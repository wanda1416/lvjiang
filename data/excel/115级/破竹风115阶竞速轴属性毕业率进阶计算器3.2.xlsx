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<sst xmlns="http://schemas.openxmlformats.org/spreadsheetml/2006/main" count="8498" uniqueCount="250">
  <si>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</si>
  <si>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</si>
  <si>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</si>
  <si>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</si>
  <si>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</si>
  <si>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</si>
  <si>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</si>
  <si>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</si>
  <si>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</si>
  <si>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</si>
  <si>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</si>
  <si>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</si>
  <si>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</si>
  <si>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</si>
  <si>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</si>
  <si>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</si>
  <si>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</si>
  <si>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</si>
  <si>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</si>
  <si>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</si>
  <si>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</si>
  <si>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</si>
  <si>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</si>
  <si>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</si>
  <si>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</si>
  <si>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</si>
  <si>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</si>
  <si>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</si>
  <si>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</si>
  <si>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</si>
  <si>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</si>
  <si>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</si>
  <si>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</si>
  <si>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</si>
  <si>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</si>
  <si>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</si>
  <si>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</si>
  <si>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</si>
  <si>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</si>
  <si>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</si>
  <si>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</si>
  <si>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</si>
  <si>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</si>
  <si>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</si>
  <si>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</si>
  <si>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</si>
  <si>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</si>
  <si>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</si>
  <si>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</si>
  <si>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</si>
  <si>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</si>
  <si>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</si>
  <si>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</si>
  <si>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</si>
  <si>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</si>
  <si>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</si>
  <si>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</si>
  <si>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</si>
  <si>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</si>
  <si>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</si>
  <si>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</si>
  <si>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</si>
  <si>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</si>
  <si>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</si>
  <si>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</si>
  <si>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</si>
  <si>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</si>
  <si>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</si>
  <si>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</si>
  <si>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</si>
  <si>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</si>
  <si>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</si>
  <si>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</si>
  <si>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</si>
  <si>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</si>
  <si>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</si>
  <si>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燕归</t>
  </si>
  <si>
    <t>防御</t>
  </si>
  <si>
    <t>千灯一月单次</t>
  </si>
  <si>
    <t>易水歌4层</t>
  </si>
  <si>
    <t>沧海帖3层</t>
  </si>
  <si>
    <t>N/a</t>
  </si>
  <si>
    <t>轮回</t>
  </si>
  <si>
    <t>嗔焰</t>
  </si>
  <si>
    <t>惧刃(拐)</t>
  </si>
  <si>
    <t>迷踪</t>
  </si>
  <si>
    <t>断石</t>
  </si>
  <si>
    <t>无惧</t>
  </si>
  <si>
    <t>离猎(拐)</t>
  </si>
  <si>
    <t>鸣金</t>
  </si>
  <si>
    <t>外抗</t>
  </si>
  <si>
    <t>易水歌5层</t>
  </si>
  <si>
    <t>裂石</t>
  </si>
  <si>
    <t>双刀</t>
  </si>
  <si>
    <t>属抗</t>
  </si>
  <si>
    <t>沧海帖4层</t>
  </si>
  <si>
    <t>牵丝</t>
  </si>
  <si>
    <t>绳镖</t>
  </si>
  <si>
    <t>副本天赋</t>
  </si>
  <si>
    <t>单体奇术</t>
  </si>
  <si>
    <t>无相</t>
  </si>
  <si>
    <t>群体奇术</t>
  </si>
  <si>
    <t>绳Q</t>
  </si>
  <si>
    <t>精准率</t>
  </si>
  <si>
    <t>实际属性</t>
  </si>
  <si>
    <t>战斗时间</t>
  </si>
  <si>
    <t>老鼠</t>
  </si>
  <si>
    <t>易水歌1层</t>
  </si>
  <si>
    <t>沧海帖1层</t>
  </si>
  <si>
    <t>燕归额外</t>
  </si>
  <si>
    <t>会心率</t>
  </si>
  <si>
    <t>白1</t>
  </si>
  <si>
    <t>恶身</t>
  </si>
  <si>
    <t>苦果</t>
  </si>
  <si>
    <t>会意率</t>
  </si>
  <si>
    <t>总伤</t>
  </si>
  <si>
    <t>白2</t>
  </si>
  <si>
    <t>直接会心率</t>
  </si>
  <si>
    <t>直接会意率</t>
  </si>
  <si>
    <t>ADPS</t>
  </si>
  <si>
    <t>白3</t>
  </si>
  <si>
    <t>易水歌2层</t>
  </si>
  <si>
    <t>会心伤害加成</t>
  </si>
  <si>
    <t>双刀～</t>
  </si>
  <si>
    <t>会意伤害加成</t>
  </si>
  <si>
    <t>RDPS</t>
  </si>
  <si>
    <t>全武增</t>
  </si>
  <si>
    <t>团队增益</t>
  </si>
  <si>
    <t>双刀～十字斩</t>
  </si>
  <si>
    <t>易水歌3层</t>
  </si>
  <si>
    <t>沧海帖2层</t>
  </si>
  <si>
    <t>首领增</t>
  </si>
  <si>
    <t>威</t>
  </si>
  <si>
    <t>√</t>
  </si>
  <si>
    <t>沧海帖</t>
  </si>
  <si>
    <t>毕业率</t>
  </si>
  <si>
    <t>双刀增</t>
  </si>
  <si>
    <t>尘</t>
  </si>
  <si>
    <t>所恨年年</t>
  </si>
  <si>
    <t>红1</t>
  </si>
  <si>
    <t>绳镖增</t>
  </si>
  <si>
    <t>虹</t>
  </si>
  <si>
    <t>真气比列</t>
  </si>
  <si>
    <t>红2</t>
  </si>
  <si>
    <t>单体奇术增</t>
  </si>
  <si>
    <t>钧</t>
  </si>
  <si>
    <t>群体奇术增</t>
  </si>
  <si>
    <t>影</t>
  </si>
  <si>
    <t>红3</t>
  </si>
  <si>
    <t>轻击定音</t>
  </si>
  <si>
    <t>翊</t>
  </si>
  <si>
    <t>×</t>
  </si>
  <si>
    <t>第四心法</t>
  </si>
  <si>
    <t>红4</t>
  </si>
  <si>
    <t>老鼠定音</t>
  </si>
  <si>
    <t>樽</t>
  </si>
  <si>
    <t>易水歌</t>
  </si>
  <si>
    <t>固伤加成</t>
  </si>
  <si>
    <t>红5</t>
  </si>
  <si>
    <t>食物加成</t>
  </si>
  <si>
    <t>双刀Q</t>
  </si>
  <si>
    <t>绳～</t>
  </si>
  <si>
    <t>前置</t>
  </si>
  <si>
    <t>阴阳</t>
  </si>
  <si>
    <t>灯</t>
  </si>
  <si>
    <t>绳R</t>
  </si>
  <si>
    <t>白刀123</t>
  </si>
  <si>
    <t>刀～</t>
  </si>
  <si>
    <t>沧海帖5层</t>
  </si>
  <si>
    <t>刀～二段</t>
  </si>
  <si>
    <t>断</t>
  </si>
  <si>
    <t>惧</t>
  </si>
  <si>
    <t>红人抬手</t>
  </si>
  <si>
    <t>红人后摇</t>
  </si>
  <si>
    <t>Q</t>
  </si>
  <si>
    <t>沧海帖6层</t>
  </si>
  <si>
    <t>切</t>
  </si>
  <si>
    <t>结算</t>
  </si>
  <si>
    <t>步乱(拐)</t>
  </si>
  <si>
    <t>白刀12</t>
  </si>
  <si>
    <t>沧海帖7层</t>
  </si>
  <si>
    <t>蚀骨增伤</t>
  </si>
  <si>
    <t>沧海帖8层</t>
  </si>
  <si>
    <t>气竭</t>
  </si>
  <si>
    <t>沧海帖9层</t>
  </si>
  <si>
    <t>沧海帖10层</t>
  </si>
  <si>
    <t>真气失衡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</si>
  <si>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</si>
  <si>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</si>
  <si>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</si>
  <si>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</si>
  <si>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</si>
  <si>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</si>
  <si>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</si>
  <si>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</si>
  <si>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</si>
  <si>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</si>
  <si>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</si>
  <si>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</si>
  <si>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</si>
  <si>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</si>
  <si>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轻击</t>
  </si>
  <si>
    <t>白4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</si>
  <si>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</si>
  <si>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</si>
  <si>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</si>
  <si>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</si>
  <si>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</si>
  <si>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</si>
  <si>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</si>
  <si>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</si>
  <si>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</si>
  <si>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</si>
  <si>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</si>
  <si>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</si>
  <si>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</si>
  <si>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</si>
  <si>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</si>
  <si>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</si>
  <si>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</si>
  <si>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</si>
  <si>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</si>
  <si>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近战笛</t>
  </si>
  <si>
    <t>蹭断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</si>
  <si>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</si>
  <si>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</si>
  <si>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</si>
  <si>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</si>
  <si>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</si>
  <si>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</si>
  <si>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数据更新至6月12日先琢版本,轴为苍演员轴(boss在"恰好"的时间攻击)</t>
  </si>
  <si>
    <t>可以理解为上限,并计算了老鼠结算bug.</t>
  </si>
  <si>
    <t>可能有小bug,但不会差很多</t>
  </si>
  <si>
    <t>增加了一个控制器来模拟boss行为逻辑</t>
  </si>
  <si>
    <t>增加了一个隐藏表来计算实际rdps,以减少需要去掉团队增益的操作步骤</t>
  </si>
  <si>
    <t>修正bug</t>
  </si>
  <si>
    <t>修正bug,调整了属性</t>
  </si>
  <si>
    <t>将所恨年年从尘增益区划入公共增益区以观测实际RD</t>
  </si>
  <si>
    <t>PS:因100%蹭闪和虹对风的增益有4%,实际DPS应低于结果5%</t>
  </si>
  <si>
    <t>修正了尘加成</t>
  </si>
  <si>
    <t>更新蕤宾叠奏上半数值,将铁花替换成了无惧</t>
  </si>
  <si>
    <t>移除了已经修复的结算bug</t>
  </si>
  <si>
    <t>轴变更为拏云蛇慢气轴</t>
  </si>
  <si>
    <t>增加了鸣金影提供的rd,约0.6%</t>
  </si>
  <si>
    <t>更新南吕相和赛季,轴变更为茧中老人无交互木桩轴。</t>
  </si>
  <si>
    <t>总战斗时长应为5轮半-6轮,轴为5轮轴,实战自行调整。</t>
  </si>
  <si>
    <t>可以理解为队伍输出越高,风越菜。</t>
  </si>
  <si>
    <t>樽对风提供4%rd</t>
  </si>
  <si>
    <t>修正了属性错误</t>
  </si>
  <si>
    <t>修正定音小数点数值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</si>
</sst>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9" borderId="17">
      <alignment vertical="center"/>
    </xf>
    <xf numFmtId="0" fontId="10" fillId="10" borderId="18">
      <alignment vertical="center"/>
    </xf>
    <xf numFmtId="0" fontId="11" fillId="10" borderId="17">
      <alignment vertical="center"/>
    </xf>
    <xf numFmtId="0" fontId="12" fillId="11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2" fontId="0" fillId="0" borderId="0" xfId="0" applyNumberFormat="1" applyFill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0"/>
  <sheetViews>
    <sheetView workbookViewId="0">
      <selection activeCell="G31" sqref="G31"/>
    </sheetView>
  </sheetViews>
  <sheetFormatPr defaultColWidth="9" defaultRowHeight="13.5"/>
  <cols>
    <col min="1" max="1" width="12.875" customWidth="1"/>
    <col min="4" max="4" width="9.375"/>
    <col min="11" max="11" width="12.625" style="35" customWidth="1"/>
    <col min="12" max="16" width="12.625" style="24" customWidth="1"/>
    <col min="18" max="18" width="24.625" style="28" customWidth="1"/>
    <col min="19" max="38" width="9" style="28"/>
    <col min="40" max="40" width="9.375" style="23"/>
    <col min="41" max="41" width="9" style="24"/>
    <col min="42" max="42" width="9.375" style="23"/>
    <col min="43" max="43" width="9" style="24"/>
    <col min="44" max="45" width="9" style="23"/>
    <col min="48" max="50" width="9" style="29"/>
    <col min="53" max="54" width="9" style="29"/>
    <col min="67" max="71" width="9" style="23"/>
    <col min="72" max="73" width="9.00833333333333" style="23" customWidth="1"/>
    <col min="74" max="76" width="9" style="23"/>
  </cols>
  <sheetData>
    <row r="1" spans="1:77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35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5" t="s">
        <v>12</v>
      </c>
      <c r="Q1" s="36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37" t="s">
        <v>19</v>
      </c>
      <c r="X1" s="37" t="s">
        <v>20</v>
      </c>
      <c r="Y1" s="37" t="s">
        <v>21</v>
      </c>
      <c r="Z1" s="37" t="s">
        <v>22</v>
      </c>
      <c r="AA1" s="37" t="s">
        <v>23</v>
      </c>
      <c r="AB1" s="37" t="s">
        <v>24</v>
      </c>
      <c r="AC1" s="37" t="s">
        <v>25</v>
      </c>
      <c r="AD1" s="37" t="s">
        <v>26</v>
      </c>
      <c r="AE1" s="37" t="s">
        <v>27</v>
      </c>
      <c r="AF1" s="37" t="s">
        <v>28</v>
      </c>
      <c r="AG1" s="37" t="s">
        <v>29</v>
      </c>
      <c r="AH1" s="37" t="s">
        <v>30</v>
      </c>
      <c r="AI1" s="37" t="s">
        <v>31</v>
      </c>
      <c r="AJ1" s="37" t="s">
        <v>32</v>
      </c>
      <c r="AK1" s="37" t="s">
        <v>33</v>
      </c>
      <c r="AL1" s="37" t="s">
        <v>34</v>
      </c>
      <c r="AM1" t="s">
        <v>35</v>
      </c>
      <c r="AN1" s="23" t="s">
        <v>36</v>
      </c>
      <c r="AO1" s="24" t="s">
        <v>37</v>
      </c>
      <c r="AP1" s="23" t="s">
        <v>38</v>
      </c>
      <c r="AQ1" s="24" t="s">
        <v>39</v>
      </c>
      <c r="AR1" s="23" t="s">
        <v>40</v>
      </c>
      <c r="AS1" s="23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s="29" t="s">
        <v>46</v>
      </c>
      <c r="AY1" t="s">
        <v>47</v>
      </c>
      <c r="AZ1" t="s">
        <v>48</v>
      </c>
      <c r="BA1" s="29" t="s">
        <v>49</v>
      </c>
      <c r="BB1" s="29" t="s">
        <v>50</v>
      </c>
      <c r="BC1" t="s">
        <v>51</v>
      </c>
      <c r="BD1" t="s">
        <v>52</v>
      </c>
      <c r="BE1" s="29" t="s">
        <v>53</v>
      </c>
      <c r="BF1" s="29" t="s">
        <v>54</v>
      </c>
      <c r="BG1" t="s">
        <v>55</v>
      </c>
      <c r="BH1" t="s">
        <v>56</v>
      </c>
      <c r="BI1" s="29" t="s">
        <v>57</v>
      </c>
      <c r="BJ1" s="29" t="s">
        <v>58</v>
      </c>
      <c r="BK1" t="s">
        <v>59</v>
      </c>
      <c r="BL1" t="s">
        <v>60</v>
      </c>
      <c r="BM1" s="29" t="s">
        <v>61</v>
      </c>
      <c r="BN1" s="29" t="s">
        <v>62</v>
      </c>
      <c r="BO1" s="23" t="s">
        <v>63</v>
      </c>
      <c r="BP1" s="23" t="s">
        <v>64</v>
      </c>
      <c r="BQ1" s="23" t="s">
        <v>65</v>
      </c>
      <c r="BR1" s="23" t="s">
        <v>66</v>
      </c>
      <c r="BS1" s="23" t="s">
        <v>67</v>
      </c>
      <c r="BT1" s="23" t="s">
        <v>68</v>
      </c>
      <c r="BU1" s="23" t="s">
        <v>69</v>
      </c>
      <c r="BV1" s="23" t="s">
        <v>70</v>
      </c>
      <c r="BW1" s="23" t="s">
        <v>71</v>
      </c>
      <c r="BX1" s="38" t="s">
        <v>72</v>
      </c>
      <c r="BY1" t="s">
        <v>73</v>
      </c>
    </row>
    <row r="2" spans="1:77">
      <c r="A2" s="39" t="s">
        <v>74</v>
      </c>
      <c r="B2" s="28">
        <v>4460</v>
      </c>
      <c r="C2" s="28">
        <v>3339.6</v>
      </c>
      <c r="D2" s="28">
        <v>63.78</v>
      </c>
      <c r="E2" s="40"/>
      <c r="F2" s="41" t="s">
        <v>75</v>
      </c>
      <c r="G2" s="42" t="s">
        <v>76</v>
      </c>
      <c r="H2" s="43" t="s">
        <v>77</v>
      </c>
      <c r="I2" s="11">
        <f>687*(1-IF(F17="√",0.06,0)-IF(D20="√",0.04,0))</f>
        <v>618.3</v>
      </c>
      <c r="K2" s="35">
        <f>$L2*VLOOKUP($R2,武学奇术!$A:$ZZ,31,FALSE)</f>
        <v>75615.5965289971</v>
      </c>
      <c r="L2" s="35">
        <f>($M2*$BT2+$N2*$BR2+$O2*$BU2+$P2*$BV2)</f>
        <v>74132.9377735266</v>
      </c>
      <c r="M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轻击",$B$21,0))*(1+IF(VLOOKUP($R2,武学奇术!$A:$ZZ,30,FALSE)="老鼠",$B$22,0))*(1+$BW2)*(1+$BX2)</f>
        <v>77777.9876650814</v>
      </c>
      <c r="N2" s="35">
        <f>(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轻击",$B$21,0))*(1+IF(VLOOKUP($R2,武学奇术!$A:$ZZ,30,FALSE)="老鼠",$B$22,0))*(1+$BW2))*(1+$BX2)</f>
        <v>51087.8021049169</v>
      </c>
      <c r="O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轻击",$B$21,0))*(1+IF(VLOOKUP($R2,武学奇术!$A:$ZZ,30,FALSE)="老鼠",$B$22,0))*(1+$BW2)*(1+$BX2)</f>
        <v>33467.2924548543</v>
      </c>
      <c r="P2" s="35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轻击",$B$21,0))*(1+IF(VLOOKUP($R2,武学奇术!$A:$ZZ,30,FALSE)="老鼠",$B$22,0))*(1+$BW2)*(1+$BX2)</f>
        <v>29091.768535696</v>
      </c>
      <c r="Q2" s="36">
        <v>1</v>
      </c>
      <c r="R2" s="37" t="s">
        <v>78</v>
      </c>
      <c r="S2" s="37" t="s">
        <v>79</v>
      </c>
      <c r="T2" s="37" t="s">
        <v>80</v>
      </c>
      <c r="U2" s="37" t="s">
        <v>81</v>
      </c>
      <c r="V2" s="37" t="s">
        <v>81</v>
      </c>
      <c r="W2" s="37" t="s">
        <v>82</v>
      </c>
      <c r="X2" s="37" t="s">
        <v>81</v>
      </c>
      <c r="Y2" s="37" t="s">
        <v>81</v>
      </c>
      <c r="Z2" s="37" t="s">
        <v>83</v>
      </c>
      <c r="AA2" s="37" t="s">
        <v>84</v>
      </c>
      <c r="AB2" s="37" t="s">
        <v>81</v>
      </c>
      <c r="AC2" s="37" t="s">
        <v>81</v>
      </c>
      <c r="AD2" s="37" t="s">
        <v>85</v>
      </c>
      <c r="AE2" s="37" t="s">
        <v>86</v>
      </c>
      <c r="AF2" s="37" t="s">
        <v>81</v>
      </c>
      <c r="AG2" s="37" t="s">
        <v>87</v>
      </c>
      <c r="AH2" s="37" t="s">
        <v>88</v>
      </c>
      <c r="AI2" s="37" t="s">
        <v>81</v>
      </c>
      <c r="AJ2" s="37" t="s">
        <v>81</v>
      </c>
      <c r="AK2" s="37" t="s">
        <v>81</v>
      </c>
      <c r="AL2" s="37" t="s">
        <v>81</v>
      </c>
      <c r="AM2" t="str">
        <f>VLOOKUP($R2,武学奇术!$A:$ZZ,25,FALSE)</f>
        <v>群体奇术</v>
      </c>
      <c r="AN2" s="23">
        <f>VLOOKUP($R2,武学奇术!$A:$ZZ,26,FALSE)</f>
        <v>2.3774</v>
      </c>
      <c r="AO2" s="24">
        <f>VLOOKUP($R2,武学奇术!$A:$ZZ,27,FALSE)*(1+IF(OR($AM2=$F$4,$AM2=$F$5),$B$23,0))</f>
        <v>476</v>
      </c>
      <c r="AP2" s="23">
        <f>VLOOKUP($R2,武学奇术!$A:$ZZ,28,FALSE)</f>
        <v>3.5661</v>
      </c>
      <c r="AQ2" s="24">
        <f>VLOOKUP($R2,武学奇术!$A:$ZZ,29,FALSE)*(1+IF(OR($AM2=$F$4,$AM2=$F$5),$B$23,0))</f>
        <v>0</v>
      </c>
      <c r="AR2" s="23" cm="1">
        <f t="array" ref="AR2">$G$3+IFERROR(VLOOKUP($AM2,$F$4:$G$7,2,FALSE),0)+VLOOKUP($R2,武学奇术!$A:$ZZ,2,FALSE)+SUM(_xlfn.XLOOKUP($S2:$AL2,增益!$A:$A,增益!$B:$B,0))</f>
        <v>0.4742</v>
      </c>
      <c r="AS2" s="23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4081.7</v>
      </c>
      <c r="AU2" cm="1">
        <f t="array" ref="AU2">$E$10*(1+$AS2)+VLOOKUP($R2,武学奇术!$A:$ZZ,4,FALSE)+SUM(_xlfn.XLOOKUP($S2:$AL2,增益!$A:$A,增益!$D:$D,0))-$I$2</f>
        <v>4081.7</v>
      </c>
      <c r="AV2" s="29" cm="1">
        <f t="array" ref="AV2">IF($F$10-$I$3+VLOOKUP($R2,武学奇术!$A:$ZZ,6,FALSE)+SUM(_xlfn.XLOOKUP(S2:AL2,增益!$A:$A,增益!$F:$F,0))&gt;0,($F$10-$I$3+VLOOKUP($R2,武学奇术!$A:$ZZ,6,FALSE)+SUM(_xlfn.XLOOKUP(S2:AL2,增益!$A:$A,增益!$F:$F,0)))/200,($F$10-$I$3+VLOOKUP($R2,武学奇术!$A:$ZZ,6,FALSE)+SUM(_xlfn.XLOOKUP(S2:AL2,增益!$A:$A,增益!$F:$F,0)))/100)</f>
        <v>0.4439</v>
      </c>
      <c r="AW2" s="29" cm="1">
        <f t="array" ref="AW2">$G$10+VLOOKUP($R2,武学奇术!$A:$ZZ,7,FALSE)+SUM(_xlfn.XLOOKUP(S2:AL2,增益!$A:$A,增益!$G:$G,0))</f>
        <v>0.02</v>
      </c>
      <c r="AX2" s="23" cm="1">
        <f t="array" ref="AX2">VLOOKUP($R2,武学奇术!$A:$ZZ,8,FALSE)+SUM(_xlfn.XLOOKUP(S2:AL2,增益!$A:$A,增益!$H:$H,0))</f>
        <v>0</v>
      </c>
      <c r="AY2">
        <f>$D$11*(1+$AX2)</f>
        <v>0</v>
      </c>
      <c r="AZ2">
        <f>$E$11*(1+$AX2)</f>
        <v>0</v>
      </c>
      <c r="BA2" s="29" cm="1">
        <f t="array" ref="BA2">IF($F$11-$I$4+VLOOKUP($R2,武学奇术!$A:$ZZ,9,FALSE)+SUM(_xlfn.XLOOKUP(S2:AL2,增益!$A:$A,增益!$I:$I,0))&gt;0,($F$11-$I$4+VLOOKUP($R2,武学奇术!$A:$ZZ,9,FALSE)+SUM(_xlfn.XLOOKUP(S2:AL2,增益!$A:$A,增益!$I:$I,0)))/200,($F$11-$I$4+VLOOKUP($R2,武学奇术!$A:$ZZ,9,FALSE)+SUM(_xlfn.XLOOKUP(S2:AL2,增益!$A:$A,增益!$I:$I,0)))/100)</f>
        <v>-0.14</v>
      </c>
      <c r="BB2" s="29" cm="1">
        <f t="array" ref="BB2">$G$11+VLOOKUP($R2,武学奇术!$A:$ZZ,10,FALSE)+SUM(_xlfn.XLOOKUP(S2:AL2,增益!$A:$A,增益!$J:$J,0))</f>
        <v>0.02</v>
      </c>
      <c r="BC2">
        <f>$D$12*(1+$AX2)</f>
        <v>0</v>
      </c>
      <c r="BD2">
        <f>$E$12*(1+$AX2)</f>
        <v>0</v>
      </c>
      <c r="BE2" s="29" cm="1">
        <f t="array" ref="BE2">IF($F$12-$I$4+VLOOKUP($R2,武学奇术!$A:$ZZ,11,FALSE)+SUM(_xlfn.XLOOKUP(S2:AL2,增益!$A:$A,增益!$K:$K,0))&gt;0,($F$12-$I$4+VLOOKUP($R2,武学奇术!$A:$ZZ,11,FALSE)+SUM(_xlfn.XLOOKUP(S2:AL2,增益!$A:$A,增益!$K:$K,0)))/200,($F$12-$I$4+VLOOKUP($R2,武学奇术!$A:$ZZ,11,FALSE)+SUM(_xlfn.XLOOKUP(S2:AL2,增益!$A:$A,增益!$K:$K,0)))/100)</f>
        <v>-0.14</v>
      </c>
      <c r="BF2" s="29" cm="1">
        <f t="array" ref="BF2">$G$12+VLOOKUP($R2,武学奇术!$A:$ZZ,12,FALSE)+SUM(_xlfn.XLOOKUP(S2:AL2,增益!$A:$A,增益!$L:$L,0))</f>
        <v>0.02</v>
      </c>
      <c r="BG2">
        <f>$D$13*(1+$AX2)</f>
        <v>0</v>
      </c>
      <c r="BH2">
        <f>$E$13*(1+$AX2)</f>
        <v>0</v>
      </c>
      <c r="BI2" s="29" cm="1">
        <f t="array" ref="BI2">IF($F$13-$I$4+VLOOKUP($R2,武学奇术!$A:$ZZ,13,FALSE)+SUM(_xlfn.XLOOKUP(S2:AL2,增益!$A:$A,增益!$M:$M,0))&gt;0,($F$13-$I$4+VLOOKUP($R2,武学奇术!$A:$ZZ,13,FALSE)+SUM(_xlfn.XLOOKUP(S2:AL2,增益!$A:$A,增益!$K:$K,0)))/200,($F$13-$I$4+VLOOKUP($R2,武学奇术!$A:$ZZ,13,FALSE)+SUM(_xlfn.XLOOKUP(S2:AL2,增益!$A:$A,增益!$M:$M,0)))/100)</f>
        <v>-0.14</v>
      </c>
      <c r="BJ2" s="29" cm="1">
        <f t="array" ref="BJ2">$G$13+VLOOKUP($R2,武学奇术!$A:$ZZ,14,FALSE)+SUM(_xlfn.XLOOKUP(S2:AL2,增益!$A:$A,增益!$N:$N,0))</f>
        <v>0.02</v>
      </c>
      <c r="BK2">
        <f>$D$14*(1+$AX2)</f>
        <v>618.2</v>
      </c>
      <c r="BL2">
        <f>$E$14*(1+$AX2)</f>
        <v>1805</v>
      </c>
      <c r="BM2" s="29" cm="1">
        <f t="array" ref="BM2">IF($F$14-$I$4+VLOOKUP($R2,武学奇术!$A:$ZZ,15,FALSE)+SUM(_xlfn.XLOOKUP(S2:AL2,增益!$A:$A,增益!$O:$O,0))&gt;0,($F$14-$I$4+VLOOKUP($R2,武学奇术!$A:$ZZ,15,FALSE)+SUM(_xlfn.XLOOKUP(S2:AL2,增益!$A:$A,增益!$O:$O,0)))/200,($F$14-$I$4+VLOOKUP($R2,武学奇术!$A:$ZZ,15,FALSE)+SUM(_xlfn.XLOOKUP(S2:AL2,增益!$A:$A,增益!$O:$O,0)))/100)</f>
        <v>0.08</v>
      </c>
      <c r="BN2" s="29" cm="1">
        <f t="array" ref="BN2">$G$14+VLOOKUP($R2,武学奇术!$A:$ZZ,16,FALSE)+SUM(_xlfn.XLOOKUP(S2:AL2,增益!$A:$A,增益!$P:$P,0))</f>
        <v>0.17</v>
      </c>
      <c r="BO2" s="23">
        <f>MIN(IF(VLOOKUP($R2,武学奇术!$A:$ZZ,23,FALSE)=1,100%,$B$8),100%)</f>
        <v>0.9943</v>
      </c>
      <c r="BP2" s="23" cm="1">
        <f t="array" ref="BP2">IF(VLOOKUP($R2,武学奇术!$A:$ZZ,23,FALSE)=1,100%,MIN(80%,$B$9+VLOOKUP($R2,武学奇术!$A:$ZZ,17,FALSE)+SUM(_xlfn.XLOOKUP(S2:AL2,增益!$A:$A,增益!$Q:$Q,0)))+$B$11+SUM(_xlfn.XLOOKUP(S2:AL2,增益!$A:$A,增益!$U:$U,0)))*IF(VLOOKUP($R2,武学奇术!$A:$ZZ,24,FALSE)=1,0,1)</f>
        <v>0.887</v>
      </c>
      <c r="BQ2" s="23" cm="1">
        <f t="array" ref="BQ2">1+$B$13+VLOOKUP($R2,武学奇术!$A:$ZZ,18,FALSE)+SUM(_xlfn.XLOOKUP(S2:AL2,增益!$A:$A,增益!$R:$R,0))</f>
        <v>2.324</v>
      </c>
      <c r="BR2" s="23" cm="1">
        <f t="array" ref="BR2">IF(VLOOKUP($R2,武学奇术!$A:$ZZ,24,FALSE)=1,100%,MIN(40%,$B$10+VLOOKUP($R2,武学奇术!$A:$ZZ,19,FALSE)+SUM(_xlfn.XLOOKUP(S2:AL2,增益!$A:$A,增益!$S:$S,0)))+$B$12+SUM(_xlfn.XLOOKUP(S2:AL2,增益!$A:$A,增益!$V:$V,0)))*IF(VLOOKUP($R2,武学奇术!$A:$ZZ,23,FALSE)=1,0,1)</f>
        <v>0.0913</v>
      </c>
      <c r="BS2" s="23" cm="1">
        <f t="array" ref="BS2">1+$B$14+VLOOKUP($R2,武学奇术!$A:$ZZ,20,FALSE)+SUM(_xlfn.XLOOKUP(S2:AL2,增益!$A:$A,增益!$T:$T,0))</f>
        <v>1.35</v>
      </c>
      <c r="BT2" s="23">
        <f>MIN((1-BR2)*BO2,BO2*BP2)</f>
        <v>0.8819441</v>
      </c>
      <c r="BU2" s="23">
        <f>1-BR2-BT2-BV2</f>
        <v>0.0215763099999999</v>
      </c>
      <c r="BV2" s="23">
        <f>IF(VLOOKUP($R2,武学奇术!$A:$ZZ,22,FALSE)=1,0,(1-$BO2))*(1-$BR2)</f>
        <v>0.00517958999999993</v>
      </c>
      <c r="BW2" s="23" cm="1">
        <f t="array" ref="BW2">SUM(_xlfn.XLOOKUP(S2:AL2,增益!$A:$A,增益!$W:$W,0))+$I$5</f>
        <v>0.11</v>
      </c>
      <c r="BX2" s="23">
        <f>VLOOKUP($R2,武学奇术!$A:$ZZ,32,FALSE)</f>
        <v>0</v>
      </c>
      <c r="BY2" s="23" cm="1">
        <f t="array" ref="BY2">SUM(_xlfn.XLOOKUP($S2:$AL2,增益!$A:$A,增益!$X:$X,0))</f>
        <v>0</v>
      </c>
    </row>
    <row r="3" spans="1:77">
      <c r="A3" s="44" t="s">
        <v>89</v>
      </c>
      <c r="B3" s="45"/>
      <c r="C3" s="45"/>
      <c r="D3" s="45"/>
      <c r="E3" s="46"/>
      <c r="F3" s="43" t="s">
        <v>40</v>
      </c>
      <c r="G3" s="47">
        <f>B16+1.5%+IF($D$16="√",8%,0)+IF($E$22="征人归",8%,0)</f>
        <v>0.1842</v>
      </c>
      <c r="H3" s="43" t="s">
        <v>90</v>
      </c>
      <c r="I3" s="11">
        <f>25-IF(D17="√",7,0)-IF(F17="√",10,0)</f>
        <v>8</v>
      </c>
      <c r="K3" s="35">
        <f>$L3*VLOOKUP($R3,武学奇术!$A:$ZZ,31,FALSE)</f>
        <v>76512.3271162549</v>
      </c>
      <c r="L3" s="35">
        <f t="shared" ref="L3:L34" si="0">($M3*$BT3+$N3*$BR3+$O3*$BU3+$P3*$BV3)</f>
        <v>75012.0854080931</v>
      </c>
      <c r="M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轻击",$B$21,0))*(1+IF(VLOOKUP($R3,武学奇术!$A:$ZZ,30,FALSE)="老鼠",$B$22,0))*(1+$BW3)*(1+$BX3)</f>
        <v>78703.1327783194</v>
      </c>
      <c r="N3" s="35">
        <f>(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轻击",$B$21,0))*(1+IF(VLOOKUP($R3,武学奇术!$A:$ZZ,30,FALSE)="老鼠",$B$22,0))*(1+$BW3))*(1+$BX3)</f>
        <v>51665.2831837916</v>
      </c>
      <c r="O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轻击",$B$21,0))*(1+IF(VLOOKUP($R3,武学奇术!$A:$ZZ,30,FALSE)="老鼠",$B$22,0))*(1+$BW3)*(1+$BX3)</f>
        <v>33865.3755500514</v>
      </c>
      <c r="P3" s="35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轻击",$B$21,0))*(1+IF(VLOOKUP($R3,武学奇术!$A:$ZZ,30,FALSE)="老鼠",$B$22,0))*(1+$BW3)*(1+$BX3)</f>
        <v>29460.1709639608</v>
      </c>
      <c r="Q3" s="36">
        <v>1</v>
      </c>
      <c r="R3" s="37" t="s">
        <v>78</v>
      </c>
      <c r="S3" s="37" t="s">
        <v>91</v>
      </c>
      <c r="T3" s="37" t="s">
        <v>80</v>
      </c>
      <c r="U3" s="37" t="s">
        <v>81</v>
      </c>
      <c r="V3" s="37" t="s">
        <v>81</v>
      </c>
      <c r="W3" s="37" t="s">
        <v>82</v>
      </c>
      <c r="X3" s="37" t="s">
        <v>81</v>
      </c>
      <c r="Y3" s="37" t="s">
        <v>81</v>
      </c>
      <c r="Z3" s="37" t="s">
        <v>83</v>
      </c>
      <c r="AA3" s="37" t="s">
        <v>84</v>
      </c>
      <c r="AB3" s="37" t="s">
        <v>81</v>
      </c>
      <c r="AC3" s="37" t="s">
        <v>81</v>
      </c>
      <c r="AD3" s="37" t="s">
        <v>85</v>
      </c>
      <c r="AE3" s="37" t="s">
        <v>86</v>
      </c>
      <c r="AF3" s="37" t="s">
        <v>81</v>
      </c>
      <c r="AG3" s="37" t="s">
        <v>87</v>
      </c>
      <c r="AH3" s="37" t="s">
        <v>88</v>
      </c>
      <c r="AI3" s="37" t="s">
        <v>81</v>
      </c>
      <c r="AJ3" s="37" t="s">
        <v>81</v>
      </c>
      <c r="AK3" s="37" t="s">
        <v>81</v>
      </c>
      <c r="AL3" s="37" t="s">
        <v>81</v>
      </c>
      <c r="AM3" t="str">
        <f>VLOOKUP($R3,武学奇术!$A:$ZZ,25,FALSE)</f>
        <v>群体奇术</v>
      </c>
      <c r="AN3" s="23">
        <f>VLOOKUP($R3,武学奇术!$A:$ZZ,26,FALSE)</f>
        <v>2.3774</v>
      </c>
      <c r="AO3" s="24">
        <f>VLOOKUP($R3,武学奇术!$A:$ZZ,27,FALSE)*(1+IF(OR($AM3=$F$4,$AM3=$F$5),$B$23,0))</f>
        <v>476</v>
      </c>
      <c r="AP3" s="23">
        <f>VLOOKUP($R3,武学奇术!$A:$ZZ,28,FALSE)</f>
        <v>3.5661</v>
      </c>
      <c r="AQ3" s="24">
        <f>VLOOKUP($R3,武学奇术!$A:$ZZ,29,FALSE)*(1+IF(OR($AM3=$F$4,$AM3=$F$5),$B$23,0))</f>
        <v>0</v>
      </c>
      <c r="AR3" s="23" cm="1">
        <f t="array" ref="AR3">$G$3+IFERROR(VLOOKUP($AM3,$F$4:$G$7,2,FALSE),0)+VLOOKUP($R3,武学奇术!$A:$ZZ,2,FALSE)+SUM(_xlfn.XLOOKUP($S3:$AL3,增益!$A:$A,增益!$B:$B,0))</f>
        <v>0.4842</v>
      </c>
      <c r="AS3" s="23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4081.7</v>
      </c>
      <c r="AU3" cm="1">
        <f t="array" ref="AU3">$E$10*(1+$AS3)+VLOOKUP($R3,武学奇术!$A:$ZZ,4,FALSE)+SUM(_xlfn.XLOOKUP($S3:$AL3,增益!$A:$A,增益!$D:$D,0))-$I$2</f>
        <v>4081.7</v>
      </c>
      <c r="AV3" s="29" cm="1">
        <f t="array" ref="AV3">IF($F$10-$I$3+VLOOKUP($R3,武学奇术!$A:$ZZ,6,FALSE)+SUM(_xlfn.XLOOKUP(S3:AL3,增益!$A:$A,增益!$F:$F,0))&gt;0,($F$10-$I$3+VLOOKUP($R3,武学奇术!$A:$ZZ,6,FALSE)+SUM(_xlfn.XLOOKUP(S3:AL3,增益!$A:$A,增益!$F:$F,0)))/200,($F$10-$I$3+VLOOKUP($R3,武学奇术!$A:$ZZ,6,FALSE)+SUM(_xlfn.XLOOKUP(S3:AL3,增益!$A:$A,增益!$F:$F,0)))/100)</f>
        <v>0.4539</v>
      </c>
      <c r="AW3" s="29" cm="1">
        <f t="array" ref="AW3">$G$10+VLOOKUP($R3,武学奇术!$A:$ZZ,7,FALSE)+SUM(_xlfn.XLOOKUP(S3:AL3,增益!$A:$A,增益!$G:$G,0))</f>
        <v>0.02</v>
      </c>
      <c r="AX3" s="23" cm="1">
        <f t="array" ref="AX3">VLOOKUP($R3,武学奇术!$A:$ZZ,8,FALSE)+SUM(_xlfn.XLOOKUP(S3:AL3,增益!$A:$A,增益!$H:$H,0))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29" cm="1">
        <f t="array" ref="BA3">IF($F$11-$I$4+VLOOKUP($R3,武学奇术!$A:$ZZ,9,FALSE)+SUM(_xlfn.XLOOKUP(S3:AL3,增益!$A:$A,增益!$I:$I,0))&gt;0,($F$11-$I$4+VLOOKUP($R3,武学奇术!$A:$ZZ,9,FALSE)+SUM(_xlfn.XLOOKUP(S3:AL3,增益!$A:$A,增益!$I:$I,0)))/200,($F$11-$I$4+VLOOKUP($R3,武学奇术!$A:$ZZ,9,FALSE)+SUM(_xlfn.XLOOKUP(S3:AL3,增益!$A:$A,增益!$I:$I,0)))/100)</f>
        <v>-0.14</v>
      </c>
      <c r="BB3" s="29" cm="1">
        <f t="array" ref="BB3">$G$11+VLOOKUP($R3,武学奇术!$A:$ZZ,10,FALSE)+SUM(_xlfn.XLOOKUP(S3:AL3,增益!$A:$A,增益!$J:$J,0))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29" cm="1">
        <f t="array" ref="BE3">IF($F$12-$I$4+VLOOKUP($R3,武学奇术!$A:$ZZ,11,FALSE)+SUM(_xlfn.XLOOKUP(S3:AL3,增益!$A:$A,增益!$K:$K,0))&gt;0,($F$12-$I$4+VLOOKUP($R3,武学奇术!$A:$ZZ,11,FALSE)+SUM(_xlfn.XLOOKUP(S3:AL3,增益!$A:$A,增益!$K:$K,0)))/200,($F$12-$I$4+VLOOKUP($R3,武学奇术!$A:$ZZ,11,FALSE)+SUM(_xlfn.XLOOKUP(S3:AL3,增益!$A:$A,增益!$K:$K,0)))/100)</f>
        <v>-0.14</v>
      </c>
      <c r="BF3" s="29" cm="1">
        <f t="array" ref="BF3">$G$12+VLOOKUP($R3,武学奇术!$A:$ZZ,12,FALSE)+SUM(_xlfn.XLOOKUP(S3:AL3,增益!$A:$A,增益!$L:$L,0))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29" cm="1">
        <f t="array" ref="BI3">IF($F$13-$I$4+VLOOKUP($R3,武学奇术!$A:$ZZ,13,FALSE)+SUM(_xlfn.XLOOKUP(S3:AL3,增益!$A:$A,增益!$M:$M,0))&gt;0,($F$13-$I$4+VLOOKUP($R3,武学奇术!$A:$ZZ,13,FALSE)+SUM(_xlfn.XLOOKUP(S3:AL3,增益!$A:$A,增益!$K:$K,0)))/200,($F$13-$I$4+VLOOKUP($R3,武学奇术!$A:$ZZ,13,FALSE)+SUM(_xlfn.XLOOKUP(S3:AL3,增益!$A:$A,增益!$M:$M,0)))/100)</f>
        <v>-0.14</v>
      </c>
      <c r="BJ3" s="29" cm="1">
        <f t="array" ref="BJ3">$G$13+VLOOKUP($R3,武学奇术!$A:$ZZ,14,FALSE)+SUM(_xlfn.XLOOKUP(S3:AL3,增益!$A:$A,增益!$N:$N,0))</f>
        <v>0.02</v>
      </c>
      <c r="BK3">
        <f t="shared" ref="BK3:BK34" si="7">$D$14*(1+$AX3)</f>
        <v>618.2</v>
      </c>
      <c r="BL3">
        <f t="shared" ref="BL3:BL34" si="8">$E$14*(1+$AX3)</f>
        <v>1805</v>
      </c>
      <c r="BM3" s="29" cm="1">
        <f t="array" ref="BM3">IF($F$14-$I$4+VLOOKUP($R3,武学奇术!$A:$ZZ,15,FALSE)+SUM(_xlfn.XLOOKUP(S3:AL3,增益!$A:$A,增益!$O:$O,0))&gt;0,($F$14-$I$4+VLOOKUP($R3,武学奇术!$A:$ZZ,15,FALSE)+SUM(_xlfn.XLOOKUP(S3:AL3,增益!$A:$A,增益!$O:$O,0)))/200,($F$14-$I$4+VLOOKUP($R3,武学奇术!$A:$ZZ,15,FALSE)+SUM(_xlfn.XLOOKUP(S3:AL3,增益!$A:$A,增益!$O:$O,0)))/100)</f>
        <v>0.08</v>
      </c>
      <c r="BN3" s="29" cm="1">
        <f t="array" ref="BN3">$G$14+VLOOKUP($R3,武学奇术!$A:$ZZ,16,FALSE)+SUM(_xlfn.XLOOKUP(S3:AL3,增益!$A:$A,增益!$P:$P,0))</f>
        <v>0.17</v>
      </c>
      <c r="BO3" s="23">
        <f>MIN(IF(VLOOKUP($R3,武学奇术!$A:$ZZ,23,FALSE)=1,100%,$B$8),100%)</f>
        <v>0.9943</v>
      </c>
      <c r="BP3" s="23" cm="1">
        <f t="array" ref="BP3">IF(VLOOKUP($R3,武学奇术!$A:$ZZ,23,FALSE)=1,100%,MIN(80%,$B$9+VLOOKUP($R3,武学奇术!$A:$ZZ,17,FALSE)+SUM(_xlfn.XLOOKUP(S3:AL3,增益!$A:$A,增益!$Q:$Q,0)))+$B$11+SUM(_xlfn.XLOOKUP(S3:AL3,增益!$A:$A,增益!$U:$U,0)))*IF(VLOOKUP($R3,武学奇术!$A:$ZZ,24,FALSE)=1,0,1)</f>
        <v>0.887</v>
      </c>
      <c r="BQ3" s="23" cm="1">
        <f t="array" ref="BQ3">1+$B$13+VLOOKUP($R3,武学奇术!$A:$ZZ,18,FALSE)+SUM(_xlfn.XLOOKUP(S3:AL3,增益!$A:$A,增益!$R:$R,0))</f>
        <v>2.324</v>
      </c>
      <c r="BR3" s="23" cm="1">
        <f t="array" ref="BR3">IF(VLOOKUP($R3,武学奇术!$A:$ZZ,24,FALSE)=1,100%,MIN(40%,$B$10+VLOOKUP($R3,武学奇术!$A:$ZZ,19,FALSE)+SUM(_xlfn.XLOOKUP(S3:AL3,增益!$A:$A,增益!$S:$S,0)))+$B$12+SUM(_xlfn.XLOOKUP(S3:AL3,增益!$A:$A,增益!$V:$V,0)))*IF(VLOOKUP($R3,武学奇术!$A:$ZZ,23,FALSE)=1,0,1)</f>
        <v>0.0913</v>
      </c>
      <c r="BS3" s="23" cm="1">
        <f t="array" ref="BS3">1+$B$14+VLOOKUP($R3,武学奇术!$A:$ZZ,20,FALSE)+SUM(_xlfn.XLOOKUP(S3:AL3,增益!$A:$A,增益!$T:$T,0))</f>
        <v>1.35</v>
      </c>
      <c r="BT3" s="23">
        <f t="shared" ref="BT3:BT34" si="9">MIN((1-BR3)*BO3,BO3*BP3)</f>
        <v>0.8819441</v>
      </c>
      <c r="BU3" s="23">
        <f t="shared" ref="BU3:BU34" si="10">1-BR3-BT3-BV3</f>
        <v>0.0215763099999999</v>
      </c>
      <c r="BV3" s="23">
        <f>IF(VLOOKUP($R3,武学奇术!$A:$ZZ,22,FALSE)=1,0,(1-$BO3))*(1-$BR3)</f>
        <v>0.00517958999999993</v>
      </c>
      <c r="BW3" s="23" cm="1">
        <f t="array" ref="BW3">SUM(_xlfn.XLOOKUP(S3:AL3,增益!$A:$A,增益!$W:$W,0))+$I$5</f>
        <v>0.11</v>
      </c>
      <c r="BX3" s="23">
        <f>VLOOKUP($R3,武学奇术!$A:$ZZ,32,FALSE)</f>
        <v>0</v>
      </c>
      <c r="BY3" s="23" cm="1">
        <f t="array" ref="BY3">SUM(_xlfn.XLOOKUP($S3:$AL3,增益!$A:$A,增益!$X:$X,0))</f>
        <v>0</v>
      </c>
    </row>
    <row r="4" ht="14.25" spans="1:77">
      <c r="A4" s="48" t="s">
        <v>92</v>
      </c>
      <c r="B4" s="49"/>
      <c r="C4" s="49"/>
      <c r="D4" s="49"/>
      <c r="E4" s="50"/>
      <c r="F4" s="43" t="s">
        <v>93</v>
      </c>
      <c r="G4" s="47">
        <f>B15+B17</f>
        <v>0.1701</v>
      </c>
      <c r="H4" s="51" t="s">
        <v>94</v>
      </c>
      <c r="I4" s="15">
        <f>30</f>
        <v>30</v>
      </c>
      <c r="K4" s="35">
        <f>$L4*VLOOKUP($R4,武学奇术!$A:$ZZ,31,FALSE)</f>
        <v>76816.9742714936</v>
      </c>
      <c r="L4" s="35">
        <f t="shared" si="0"/>
        <v>75310.7590896996</v>
      </c>
      <c r="M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轻击",$B$21,0))*(1+IF(VLOOKUP($R4,武学奇术!$A:$ZZ,30,FALSE)="老鼠",$B$22,0))*(1+$BW4)*(1+$BX4)</f>
        <v>79041.7865338199</v>
      </c>
      <c r="N4" s="35">
        <f>(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轻击",$B$21,0))*(1+IF(VLOOKUP($R4,武学奇术!$A:$ZZ,30,FALSE)="老鼠",$B$22,0))*(1+$BW4))*(1+$BX4)</f>
        <v>51665.2831837916</v>
      </c>
      <c r="O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轻击",$B$21,0))*(1+IF(VLOOKUP($R4,武学奇术!$A:$ZZ,30,FALSE)="老鼠",$B$22,0))*(1+$BW4)*(1+$BX4)</f>
        <v>33865.3755500514</v>
      </c>
      <c r="P4" s="35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轻击",$B$21,0))*(1+IF(VLOOKUP($R4,武学奇术!$A:$ZZ,30,FALSE)="老鼠",$B$22,0))*(1+$BW4)*(1+$BX4)</f>
        <v>29460.1709639608</v>
      </c>
      <c r="Q4" s="36">
        <v>1</v>
      </c>
      <c r="R4" s="37" t="s">
        <v>78</v>
      </c>
      <c r="S4" s="37" t="s">
        <v>91</v>
      </c>
      <c r="T4" s="37" t="s">
        <v>95</v>
      </c>
      <c r="U4" s="37" t="s">
        <v>81</v>
      </c>
      <c r="V4" s="37" t="s">
        <v>81</v>
      </c>
      <c r="W4" s="37" t="s">
        <v>82</v>
      </c>
      <c r="X4" s="37" t="s">
        <v>81</v>
      </c>
      <c r="Y4" s="37" t="s">
        <v>81</v>
      </c>
      <c r="Z4" s="37" t="s">
        <v>83</v>
      </c>
      <c r="AA4" s="37" t="s">
        <v>84</v>
      </c>
      <c r="AB4" s="37" t="s">
        <v>81</v>
      </c>
      <c r="AC4" s="37" t="s">
        <v>81</v>
      </c>
      <c r="AD4" s="37" t="s">
        <v>85</v>
      </c>
      <c r="AE4" s="37" t="s">
        <v>86</v>
      </c>
      <c r="AF4" s="37" t="s">
        <v>81</v>
      </c>
      <c r="AG4" s="37" t="s">
        <v>87</v>
      </c>
      <c r="AH4" s="37" t="s">
        <v>88</v>
      </c>
      <c r="AI4" s="37" t="s">
        <v>81</v>
      </c>
      <c r="AJ4" s="37" t="s">
        <v>81</v>
      </c>
      <c r="AK4" s="37" t="s">
        <v>81</v>
      </c>
      <c r="AL4" s="37" t="s">
        <v>81</v>
      </c>
      <c r="AM4" t="str">
        <f>VLOOKUP($R4,武学奇术!$A:$ZZ,25,FALSE)</f>
        <v>群体奇术</v>
      </c>
      <c r="AN4" s="23">
        <f>VLOOKUP($R4,武学奇术!$A:$ZZ,26,FALSE)</f>
        <v>2.3774</v>
      </c>
      <c r="AO4" s="24">
        <f>VLOOKUP($R4,武学奇术!$A:$ZZ,27,FALSE)*(1+IF(OR($AM4=$F$4,$AM4=$F$5),$B$23,0))</f>
        <v>476</v>
      </c>
      <c r="AP4" s="23">
        <f>VLOOKUP($R4,武学奇术!$A:$ZZ,28,FALSE)</f>
        <v>3.5661</v>
      </c>
      <c r="AQ4" s="24">
        <f>VLOOKUP($R4,武学奇术!$A:$ZZ,29,FALSE)*(1+IF(OR($AM4=$F$4,$AM4=$F$5),$B$23,0))</f>
        <v>0</v>
      </c>
      <c r="AR4" s="23" cm="1">
        <f t="array" ref="AR4">$G$3+IFERROR(VLOOKUP($AM4,$F$4:$G$7,2,FALSE),0)+VLOOKUP($R4,武学奇术!$A:$ZZ,2,FALSE)+SUM(_xlfn.XLOOKUP($S4:$AL4,增益!$A:$A,增益!$B:$B,0))</f>
        <v>0.4842</v>
      </c>
      <c r="AS4" s="23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4081.7</v>
      </c>
      <c r="AU4" cm="1">
        <f t="array" ref="AU4">$E$10*(1+$AS4)+VLOOKUP($R4,武学奇术!$A:$ZZ,4,FALSE)+SUM(_xlfn.XLOOKUP($S4:$AL4,增益!$A:$A,增益!$D:$D,0))-$I$2</f>
        <v>4081.7</v>
      </c>
      <c r="AV4" s="29" cm="1">
        <f t="array" ref="AV4">IF($F$10-$I$3+VLOOKUP($R4,武学奇术!$A:$ZZ,6,FALSE)+SUM(_xlfn.XLOOKUP(S4:AL4,增益!$A:$A,增益!$F:$F,0))&gt;0,($F$10-$I$3+VLOOKUP($R4,武学奇术!$A:$ZZ,6,FALSE)+SUM(_xlfn.XLOOKUP(S4:AL4,增益!$A:$A,增益!$F:$F,0)))/200,($F$10-$I$3+VLOOKUP($R4,武学奇术!$A:$ZZ,6,FALSE)+SUM(_xlfn.XLOOKUP(S4:AL4,增益!$A:$A,增益!$F:$F,0)))/100)</f>
        <v>0.4539</v>
      </c>
      <c r="AW4" s="29" cm="1">
        <f t="array" ref="AW4">$G$10+VLOOKUP($R4,武学奇术!$A:$ZZ,7,FALSE)+SUM(_xlfn.XLOOKUP(S4:AL4,增益!$A:$A,增益!$G:$G,0))</f>
        <v>0.02</v>
      </c>
      <c r="AX4" s="23" cm="1">
        <f t="array" ref="AX4">VLOOKUP($R4,武学奇术!$A:$ZZ,8,FALSE)+SUM(_xlfn.XLOOKUP(S4:AL4,增益!$A:$A,增益!$H:$H,0))</f>
        <v>0</v>
      </c>
      <c r="AY4">
        <f t="shared" si="1"/>
        <v>0</v>
      </c>
      <c r="AZ4">
        <f t="shared" si="2"/>
        <v>0</v>
      </c>
      <c r="BA4" s="29" cm="1">
        <f t="array" ref="BA4">IF($F$11-$I$4+VLOOKUP($R4,武学奇术!$A:$ZZ,9,FALSE)+SUM(_xlfn.XLOOKUP(S4:AL4,增益!$A:$A,增益!$I:$I,0))&gt;0,($F$11-$I$4+VLOOKUP($R4,武学奇术!$A:$ZZ,9,FALSE)+SUM(_xlfn.XLOOKUP(S4:AL4,增益!$A:$A,增益!$I:$I,0)))/200,($F$11-$I$4+VLOOKUP($R4,武学奇术!$A:$ZZ,9,FALSE)+SUM(_xlfn.XLOOKUP(S4:AL4,增益!$A:$A,增益!$I:$I,0)))/100)</f>
        <v>-0.14</v>
      </c>
      <c r="BB4" s="29" cm="1">
        <f t="array" ref="BB4">$G$11+VLOOKUP($R4,武学奇术!$A:$ZZ,10,FALSE)+SUM(_xlfn.XLOOKUP(S4:AL4,增益!$A:$A,增益!$J:$J,0))</f>
        <v>0.02</v>
      </c>
      <c r="BC4">
        <f t="shared" si="3"/>
        <v>0</v>
      </c>
      <c r="BD4">
        <f t="shared" si="4"/>
        <v>0</v>
      </c>
      <c r="BE4" s="29" cm="1">
        <f t="array" ref="BE4">IF($F$12-$I$4+VLOOKUP($R4,武学奇术!$A:$ZZ,11,FALSE)+SUM(_xlfn.XLOOKUP(S4:AL4,增益!$A:$A,增益!$K:$K,0))&gt;0,($F$12-$I$4+VLOOKUP($R4,武学奇术!$A:$ZZ,11,FALSE)+SUM(_xlfn.XLOOKUP(S4:AL4,增益!$A:$A,增益!$K:$K,0)))/200,($F$12-$I$4+VLOOKUP($R4,武学奇术!$A:$ZZ,11,FALSE)+SUM(_xlfn.XLOOKUP(S4:AL4,增益!$A:$A,增益!$K:$K,0)))/100)</f>
        <v>-0.14</v>
      </c>
      <c r="BF4" s="29" cm="1">
        <f t="array" ref="BF4">$G$12+VLOOKUP($R4,武学奇术!$A:$ZZ,12,FALSE)+SUM(_xlfn.XLOOKUP(S4:AL4,增益!$A:$A,增益!$L:$L,0))</f>
        <v>0.02</v>
      </c>
      <c r="BG4">
        <f t="shared" si="5"/>
        <v>0</v>
      </c>
      <c r="BH4">
        <f t="shared" si="6"/>
        <v>0</v>
      </c>
      <c r="BI4" s="29" cm="1">
        <f t="array" ref="BI4">IF($F$13-$I$4+VLOOKUP($R4,武学奇术!$A:$ZZ,13,FALSE)+SUM(_xlfn.XLOOKUP(S4:AL4,增益!$A:$A,增益!$M:$M,0))&gt;0,($F$13-$I$4+VLOOKUP($R4,武学奇术!$A:$ZZ,13,FALSE)+SUM(_xlfn.XLOOKUP(S4:AL4,增益!$A:$A,增益!$K:$K,0)))/200,($F$13-$I$4+VLOOKUP($R4,武学奇术!$A:$ZZ,13,FALSE)+SUM(_xlfn.XLOOKUP(S4:AL4,增益!$A:$A,增益!$M:$M,0)))/100)</f>
        <v>-0.14</v>
      </c>
      <c r="BJ4" s="29" cm="1">
        <f t="array" ref="BJ4">$G$13+VLOOKUP($R4,武学奇术!$A:$ZZ,14,FALSE)+SUM(_xlfn.XLOOKUP(S4:AL4,增益!$A:$A,增益!$N:$N,0))</f>
        <v>0.02</v>
      </c>
      <c r="BK4">
        <f t="shared" si="7"/>
        <v>618.2</v>
      </c>
      <c r="BL4">
        <f t="shared" si="8"/>
        <v>1805</v>
      </c>
      <c r="BM4" s="29" cm="1">
        <f t="array" ref="BM4">IF($F$14-$I$4+VLOOKUP($R4,武学奇术!$A:$ZZ,15,FALSE)+SUM(_xlfn.XLOOKUP(S4:AL4,增益!$A:$A,增益!$O:$O,0))&gt;0,($F$14-$I$4+VLOOKUP($R4,武学奇术!$A:$ZZ,15,FALSE)+SUM(_xlfn.XLOOKUP(S4:AL4,增益!$A:$A,增益!$O:$O,0)))/200,($F$14-$I$4+VLOOKUP($R4,武学奇术!$A:$ZZ,15,FALSE)+SUM(_xlfn.XLOOKUP(S4:AL4,增益!$A:$A,增益!$O:$O,0)))/100)</f>
        <v>0.08</v>
      </c>
      <c r="BN4" s="29" cm="1">
        <f t="array" ref="BN4">$G$14+VLOOKUP($R4,武学奇术!$A:$ZZ,16,FALSE)+SUM(_xlfn.XLOOKUP(S4:AL4,增益!$A:$A,增益!$P:$P,0))</f>
        <v>0.17</v>
      </c>
      <c r="BO4" s="23">
        <f>MIN(IF(VLOOKUP($R4,武学奇术!$A:$ZZ,23,FALSE)=1,100%,$B$8),100%)</f>
        <v>0.9943</v>
      </c>
      <c r="BP4" s="23" cm="1">
        <f t="array" ref="BP4">IF(VLOOKUP($R4,武学奇术!$A:$ZZ,23,FALSE)=1,100%,MIN(80%,$B$9+VLOOKUP($R4,武学奇术!$A:$ZZ,17,FALSE)+SUM(_xlfn.XLOOKUP(S4:AL4,增益!$A:$A,增益!$Q:$Q,0)))+$B$11+SUM(_xlfn.XLOOKUP(S4:AL4,增益!$A:$A,增益!$U:$U,0)))*IF(VLOOKUP($R4,武学奇术!$A:$ZZ,24,FALSE)=1,0,1)</f>
        <v>0.887</v>
      </c>
      <c r="BQ4" s="23" cm="1">
        <f t="array" ref="BQ4">1+$B$13+VLOOKUP($R4,武学奇术!$A:$ZZ,18,FALSE)+SUM(_xlfn.XLOOKUP(S4:AL4,增益!$A:$A,增益!$R:$R,0))</f>
        <v>2.334</v>
      </c>
      <c r="BR4" s="23" cm="1">
        <f t="array" ref="BR4">IF(VLOOKUP($R4,武学奇术!$A:$ZZ,24,FALSE)=1,100%,MIN(40%,$B$10+VLOOKUP($R4,武学奇术!$A:$ZZ,19,FALSE)+SUM(_xlfn.XLOOKUP(S4:AL4,增益!$A:$A,增益!$S:$S,0)))+$B$12+SUM(_xlfn.XLOOKUP(S4:AL4,增益!$A:$A,增益!$V:$V,0)))*IF(VLOOKUP($R4,武学奇术!$A:$ZZ,23,FALSE)=1,0,1)</f>
        <v>0.0913</v>
      </c>
      <c r="BS4" s="23" cm="1">
        <f t="array" ref="BS4">1+$B$14+VLOOKUP($R4,武学奇术!$A:$ZZ,20,FALSE)+SUM(_xlfn.XLOOKUP(S4:AL4,增益!$A:$A,增益!$T:$T,0))</f>
        <v>1.35</v>
      </c>
      <c r="BT4" s="23">
        <f t="shared" si="9"/>
        <v>0.8819441</v>
      </c>
      <c r="BU4" s="23">
        <f t="shared" si="10"/>
        <v>0.0215763099999999</v>
      </c>
      <c r="BV4" s="23">
        <f>IF(VLOOKUP($R4,武学奇术!$A:$ZZ,22,FALSE)=1,0,(1-$BO4))*(1-$BR4)</f>
        <v>0.00517958999999993</v>
      </c>
      <c r="BW4" s="23" cm="1">
        <f t="array" ref="BW4">SUM(_xlfn.XLOOKUP(S4:AL4,增益!$A:$A,增益!$W:$W,0))+$I$5</f>
        <v>0.11</v>
      </c>
      <c r="BX4" s="23">
        <f>VLOOKUP($R4,武学奇术!$A:$ZZ,32,FALSE)</f>
        <v>0</v>
      </c>
      <c r="BY4" s="23" cm="1">
        <f t="array" ref="BY4">SUM(_xlfn.XLOOKUP($S4:$AL4,增益!$A:$A,增益!$X:$X,0))</f>
        <v>0</v>
      </c>
    </row>
    <row r="5" spans="1:77">
      <c r="A5" s="52" t="s">
        <v>96</v>
      </c>
      <c r="B5" s="53"/>
      <c r="C5" s="53"/>
      <c r="D5" s="53"/>
      <c r="E5" s="54"/>
      <c r="F5" s="43" t="s">
        <v>97</v>
      </c>
      <c r="G5" s="47">
        <f>B15+B18</f>
        <v>0.1701</v>
      </c>
      <c r="H5" t="s">
        <v>98</v>
      </c>
      <c r="I5" s="25">
        <v>0.06</v>
      </c>
      <c r="K5" s="35">
        <f>$L5*VLOOKUP($R5,武学奇术!$A:$ZZ,31,FALSE)</f>
        <v>76816.9742714936</v>
      </c>
      <c r="L5" s="35">
        <f t="shared" si="0"/>
        <v>75310.7590896996</v>
      </c>
      <c r="M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轻击",$B$21,0))*(1+IF(VLOOKUP($R5,武学奇术!$A:$ZZ,30,FALSE)="老鼠",$B$22,0))*(1+$BW5)*(1+$BX5)</f>
        <v>79041.7865338199</v>
      </c>
      <c r="N5" s="35">
        <f>(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轻击",$B$21,0))*(1+IF(VLOOKUP($R5,武学奇术!$A:$ZZ,30,FALSE)="老鼠",$B$22,0))*(1+$BW5))*(1+$BX5)</f>
        <v>51665.2831837916</v>
      </c>
      <c r="O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轻击",$B$21,0))*(1+IF(VLOOKUP($R5,武学奇术!$A:$ZZ,30,FALSE)="老鼠",$B$22,0))*(1+$BW5)*(1+$BX5)</f>
        <v>33865.3755500514</v>
      </c>
      <c r="P5" s="35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轻击",$B$21,0))*(1+IF(VLOOKUP($R5,武学奇术!$A:$ZZ,30,FALSE)="老鼠",$B$22,0))*(1+$BW5)*(1+$BX5)</f>
        <v>29460.1709639608</v>
      </c>
      <c r="Q5" s="36">
        <v>1</v>
      </c>
      <c r="R5" s="37" t="s">
        <v>78</v>
      </c>
      <c r="S5" s="37" t="s">
        <v>91</v>
      </c>
      <c r="T5" s="37" t="s">
        <v>95</v>
      </c>
      <c r="U5" s="37" t="s">
        <v>81</v>
      </c>
      <c r="V5" s="37" t="s">
        <v>81</v>
      </c>
      <c r="W5" s="37" t="s">
        <v>82</v>
      </c>
      <c r="X5" s="37" t="s">
        <v>81</v>
      </c>
      <c r="Y5" s="37" t="s">
        <v>81</v>
      </c>
      <c r="Z5" s="37" t="s">
        <v>83</v>
      </c>
      <c r="AA5" s="37" t="s">
        <v>84</v>
      </c>
      <c r="AB5" s="37" t="s">
        <v>81</v>
      </c>
      <c r="AC5" s="37" t="s">
        <v>81</v>
      </c>
      <c r="AD5" s="37" t="s">
        <v>85</v>
      </c>
      <c r="AE5" s="37" t="s">
        <v>86</v>
      </c>
      <c r="AF5" s="37" t="s">
        <v>81</v>
      </c>
      <c r="AG5" s="37" t="s">
        <v>87</v>
      </c>
      <c r="AH5" s="37" t="s">
        <v>88</v>
      </c>
      <c r="AI5" s="37" t="s">
        <v>81</v>
      </c>
      <c r="AJ5" s="37" t="s">
        <v>81</v>
      </c>
      <c r="AK5" s="37" t="s">
        <v>81</v>
      </c>
      <c r="AL5" s="37" t="s">
        <v>81</v>
      </c>
      <c r="AM5" t="str">
        <f>VLOOKUP($R5,武学奇术!$A:$ZZ,25,FALSE)</f>
        <v>群体奇术</v>
      </c>
      <c r="AN5" s="23">
        <f>VLOOKUP($R5,武学奇术!$A:$ZZ,26,FALSE)</f>
        <v>2.3774</v>
      </c>
      <c r="AO5" s="24">
        <f>VLOOKUP($R5,武学奇术!$A:$ZZ,27,FALSE)*(1+IF(OR($AM5=$F$4,$AM5=$F$5),$B$23,0))</f>
        <v>476</v>
      </c>
      <c r="AP5" s="23">
        <f>VLOOKUP($R5,武学奇术!$A:$ZZ,28,FALSE)</f>
        <v>3.5661</v>
      </c>
      <c r="AQ5" s="24">
        <f>VLOOKUP($R5,武学奇术!$A:$ZZ,29,FALSE)*(1+IF(OR($AM5=$F$4,$AM5=$F$5),$B$23,0))</f>
        <v>0</v>
      </c>
      <c r="AR5" s="23" cm="1">
        <f t="array" ref="AR5">$G$3+IFERROR(VLOOKUP($AM5,$F$4:$G$7,2,FALSE),0)+VLOOKUP($R5,武学奇术!$A:$ZZ,2,FALSE)+SUM(_xlfn.XLOOKUP($S5:$AL5,增益!$A:$A,增益!$B:$B,0))</f>
        <v>0.4842</v>
      </c>
      <c r="AS5" s="23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4081.7</v>
      </c>
      <c r="AU5" cm="1">
        <f t="array" ref="AU5">$E$10*(1+$AS5)+VLOOKUP($R5,武学奇术!$A:$ZZ,4,FALSE)+SUM(_xlfn.XLOOKUP($S5:$AL5,增益!$A:$A,增益!$D:$D,0))-$I$2</f>
        <v>4081.7</v>
      </c>
      <c r="AV5" s="29" cm="1">
        <f t="array" ref="AV5">IF($F$10-$I$3+VLOOKUP($R5,武学奇术!$A:$ZZ,6,FALSE)+SUM(_xlfn.XLOOKUP(S5:AL5,增益!$A:$A,增益!$F:$F,0))&gt;0,($F$10-$I$3+VLOOKUP($R5,武学奇术!$A:$ZZ,6,FALSE)+SUM(_xlfn.XLOOKUP(S5:AL5,增益!$A:$A,增益!$F:$F,0)))/200,($F$10-$I$3+VLOOKUP($R5,武学奇术!$A:$ZZ,6,FALSE)+SUM(_xlfn.XLOOKUP(S5:AL5,增益!$A:$A,增益!$F:$F,0)))/100)</f>
        <v>0.4539</v>
      </c>
      <c r="AW5" s="29" cm="1">
        <f t="array" ref="AW5">$G$10+VLOOKUP($R5,武学奇术!$A:$ZZ,7,FALSE)+SUM(_xlfn.XLOOKUP(S5:AL5,增益!$A:$A,增益!$G:$G,0))</f>
        <v>0.02</v>
      </c>
      <c r="AX5" s="23" cm="1">
        <f t="array" ref="AX5">VLOOKUP($R5,武学奇术!$A:$ZZ,8,FALSE)+SUM(_xlfn.XLOOKUP(S5:AL5,增益!$A:$A,增益!$H:$H,0))</f>
        <v>0</v>
      </c>
      <c r="AY5">
        <f t="shared" si="1"/>
        <v>0</v>
      </c>
      <c r="AZ5">
        <f t="shared" si="2"/>
        <v>0</v>
      </c>
      <c r="BA5" s="29" cm="1">
        <f t="array" ref="BA5">IF($F$11-$I$4+VLOOKUP($R5,武学奇术!$A:$ZZ,9,FALSE)+SUM(_xlfn.XLOOKUP(S5:AL5,增益!$A:$A,增益!$I:$I,0))&gt;0,($F$11-$I$4+VLOOKUP($R5,武学奇术!$A:$ZZ,9,FALSE)+SUM(_xlfn.XLOOKUP(S5:AL5,增益!$A:$A,增益!$I:$I,0)))/200,($F$11-$I$4+VLOOKUP($R5,武学奇术!$A:$ZZ,9,FALSE)+SUM(_xlfn.XLOOKUP(S5:AL5,增益!$A:$A,增益!$I:$I,0)))/100)</f>
        <v>-0.14</v>
      </c>
      <c r="BB5" s="29" cm="1">
        <f t="array" ref="BB5">$G$11+VLOOKUP($R5,武学奇术!$A:$ZZ,10,FALSE)+SUM(_xlfn.XLOOKUP(S5:AL5,增益!$A:$A,增益!$J:$J,0))</f>
        <v>0.02</v>
      </c>
      <c r="BC5">
        <f t="shared" si="3"/>
        <v>0</v>
      </c>
      <c r="BD5">
        <f t="shared" si="4"/>
        <v>0</v>
      </c>
      <c r="BE5" s="29" cm="1">
        <f t="array" ref="BE5">IF($F$12-$I$4+VLOOKUP($R5,武学奇术!$A:$ZZ,11,FALSE)+SUM(_xlfn.XLOOKUP(S5:AL5,增益!$A:$A,增益!$K:$K,0))&gt;0,($F$12-$I$4+VLOOKUP($R5,武学奇术!$A:$ZZ,11,FALSE)+SUM(_xlfn.XLOOKUP(S5:AL5,增益!$A:$A,增益!$K:$K,0)))/200,($F$12-$I$4+VLOOKUP($R5,武学奇术!$A:$ZZ,11,FALSE)+SUM(_xlfn.XLOOKUP(S5:AL5,增益!$A:$A,增益!$K:$K,0)))/100)</f>
        <v>-0.14</v>
      </c>
      <c r="BF5" s="29" cm="1">
        <f t="array" ref="BF5">$G$12+VLOOKUP($R5,武学奇术!$A:$ZZ,12,FALSE)+SUM(_xlfn.XLOOKUP(S5:AL5,增益!$A:$A,增益!$L:$L,0))</f>
        <v>0.02</v>
      </c>
      <c r="BG5">
        <f t="shared" si="5"/>
        <v>0</v>
      </c>
      <c r="BH5">
        <f t="shared" si="6"/>
        <v>0</v>
      </c>
      <c r="BI5" s="29" cm="1">
        <f t="array" ref="BI5">IF($F$13-$I$4+VLOOKUP($R5,武学奇术!$A:$ZZ,13,FALSE)+SUM(_xlfn.XLOOKUP(S5:AL5,增益!$A:$A,增益!$M:$M,0))&gt;0,($F$13-$I$4+VLOOKUP($R5,武学奇术!$A:$ZZ,13,FALSE)+SUM(_xlfn.XLOOKUP(S5:AL5,增益!$A:$A,增益!$K:$K,0)))/200,($F$13-$I$4+VLOOKUP($R5,武学奇术!$A:$ZZ,13,FALSE)+SUM(_xlfn.XLOOKUP(S5:AL5,增益!$A:$A,增益!$M:$M,0)))/100)</f>
        <v>-0.14</v>
      </c>
      <c r="BJ5" s="29" cm="1">
        <f t="array" ref="BJ5">$G$13+VLOOKUP($R5,武学奇术!$A:$ZZ,14,FALSE)+SUM(_xlfn.XLOOKUP(S5:AL5,增益!$A:$A,增益!$N:$N,0))</f>
        <v>0.02</v>
      </c>
      <c r="BK5">
        <f t="shared" si="7"/>
        <v>618.2</v>
      </c>
      <c r="BL5">
        <f t="shared" si="8"/>
        <v>1805</v>
      </c>
      <c r="BM5" s="29" cm="1">
        <f t="array" ref="BM5">IF($F$14-$I$4+VLOOKUP($R5,武学奇术!$A:$ZZ,15,FALSE)+SUM(_xlfn.XLOOKUP(S5:AL5,增益!$A:$A,增益!$O:$O,0))&gt;0,($F$14-$I$4+VLOOKUP($R5,武学奇术!$A:$ZZ,15,FALSE)+SUM(_xlfn.XLOOKUP(S5:AL5,增益!$A:$A,增益!$O:$O,0)))/200,($F$14-$I$4+VLOOKUP($R5,武学奇术!$A:$ZZ,15,FALSE)+SUM(_xlfn.XLOOKUP(S5:AL5,增益!$A:$A,增益!$O:$O,0)))/100)</f>
        <v>0.08</v>
      </c>
      <c r="BN5" s="29" cm="1">
        <f t="array" ref="BN5">$G$14+VLOOKUP($R5,武学奇术!$A:$ZZ,16,FALSE)+SUM(_xlfn.XLOOKUP(S5:AL5,增益!$A:$A,增益!$P:$P,0))</f>
        <v>0.17</v>
      </c>
      <c r="BO5" s="23">
        <f>MIN(IF(VLOOKUP($R5,武学奇术!$A:$ZZ,23,FALSE)=1,100%,$B$8),100%)</f>
        <v>0.9943</v>
      </c>
      <c r="BP5" s="23" cm="1">
        <f t="array" ref="BP5">IF(VLOOKUP($R5,武学奇术!$A:$ZZ,23,FALSE)=1,100%,MIN(80%,$B$9+VLOOKUP($R5,武学奇术!$A:$ZZ,17,FALSE)+SUM(_xlfn.XLOOKUP(S5:AL5,增益!$A:$A,增益!$Q:$Q,0)))+$B$11+SUM(_xlfn.XLOOKUP(S5:AL5,增益!$A:$A,增益!$U:$U,0)))*IF(VLOOKUP($R5,武学奇术!$A:$ZZ,24,FALSE)=1,0,1)</f>
        <v>0.887</v>
      </c>
      <c r="BQ5" s="23" cm="1">
        <f t="array" ref="BQ5">1+$B$13+VLOOKUP($R5,武学奇术!$A:$ZZ,18,FALSE)+SUM(_xlfn.XLOOKUP(S5:AL5,增益!$A:$A,增益!$R:$R,0))</f>
        <v>2.334</v>
      </c>
      <c r="BR5" s="23" cm="1">
        <f t="array" ref="BR5">IF(VLOOKUP($R5,武学奇术!$A:$ZZ,24,FALSE)=1,100%,MIN(40%,$B$10+VLOOKUP($R5,武学奇术!$A:$ZZ,19,FALSE)+SUM(_xlfn.XLOOKUP(S5:AL5,增益!$A:$A,增益!$S:$S,0)))+$B$12+SUM(_xlfn.XLOOKUP(S5:AL5,增益!$A:$A,增益!$V:$V,0)))*IF(VLOOKUP($R5,武学奇术!$A:$ZZ,23,FALSE)=1,0,1)</f>
        <v>0.0913</v>
      </c>
      <c r="BS5" s="23" cm="1">
        <f t="array" ref="BS5">1+$B$14+VLOOKUP($R5,武学奇术!$A:$ZZ,20,FALSE)+SUM(_xlfn.XLOOKUP(S5:AL5,增益!$A:$A,增益!$T:$T,0))</f>
        <v>1.35</v>
      </c>
      <c r="BT5" s="23">
        <f t="shared" si="9"/>
        <v>0.8819441</v>
      </c>
      <c r="BU5" s="23">
        <f t="shared" si="10"/>
        <v>0.0215763099999999</v>
      </c>
      <c r="BV5" s="23">
        <f>IF(VLOOKUP($R5,武学奇术!$A:$ZZ,22,FALSE)=1,0,(1-$BO5))*(1-$BR5)</f>
        <v>0.00517958999999993</v>
      </c>
      <c r="BW5" s="23" cm="1">
        <f t="array" ref="BW5">SUM(_xlfn.XLOOKUP(S5:AL5,增益!$A:$A,增益!$W:$W,0))+$I$5</f>
        <v>0.11</v>
      </c>
      <c r="BX5" s="23">
        <f>VLOOKUP($R5,武学奇术!$A:$ZZ,32,FALSE)</f>
        <v>0</v>
      </c>
      <c r="BY5" s="23" cm="1">
        <f t="array" ref="BY5">SUM(_xlfn.XLOOKUP($S5:$AL5,增益!$A:$A,增益!$X:$X,0))</f>
        <v>0</v>
      </c>
    </row>
    <row r="6" spans="1:77">
      <c r="A6" s="55" t="s">
        <v>5</v>
      </c>
      <c r="B6" s="56">
        <v>539</v>
      </c>
      <c r="C6" s="56">
        <v>1554.2</v>
      </c>
      <c r="D6" s="56">
        <v>30</v>
      </c>
      <c r="E6" s="57">
        <v>0.15</v>
      </c>
      <c r="F6" s="43" t="s">
        <v>99</v>
      </c>
      <c r="G6" s="47">
        <f>B19</f>
        <v>0</v>
      </c>
      <c r="K6" s="35">
        <f>$L6*VLOOKUP($R6,武学奇术!$A:$ZZ,31,FALSE)</f>
        <v>76816.9742714936</v>
      </c>
      <c r="L6" s="58">
        <f t="shared" si="0"/>
        <v>75310.7590896996</v>
      </c>
      <c r="M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轻击",$B$21,0))*(1+IF(VLOOKUP($R6,武学奇术!$A:$ZZ,30,FALSE)="老鼠",$B$22,0))*(1+$BW6)*(1+$BX6)</f>
        <v>79041.7865338199</v>
      </c>
      <c r="N6" s="35">
        <f>(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轻击",$B$21,0))*(1+IF(VLOOKUP($R6,武学奇术!$A:$ZZ,30,FALSE)="老鼠",$B$22,0))*(1+$BW6))*(1+$BX6)</f>
        <v>51665.2831837916</v>
      </c>
      <c r="O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轻击",$B$21,0))*(1+IF(VLOOKUP($R6,武学奇术!$A:$ZZ,30,FALSE)="老鼠",$B$22,0))*(1+$BW6)*(1+$BX6)</f>
        <v>33865.3755500514</v>
      </c>
      <c r="P6" s="35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轻击",$B$21,0))*(1+IF(VLOOKUP($R6,武学奇术!$A:$ZZ,30,FALSE)="老鼠",$B$22,0))*(1+$BW6)*(1+$BX6)</f>
        <v>29460.1709639608</v>
      </c>
      <c r="Q6" s="36">
        <v>1</v>
      </c>
      <c r="R6" s="37" t="s">
        <v>78</v>
      </c>
      <c r="S6" s="37" t="s">
        <v>91</v>
      </c>
      <c r="T6" s="37" t="s">
        <v>95</v>
      </c>
      <c r="U6" s="37" t="s">
        <v>81</v>
      </c>
      <c r="V6" s="37" t="s">
        <v>81</v>
      </c>
      <c r="W6" s="37" t="s">
        <v>82</v>
      </c>
      <c r="X6" s="37" t="s">
        <v>81</v>
      </c>
      <c r="Y6" s="37" t="s">
        <v>81</v>
      </c>
      <c r="Z6" s="37" t="s">
        <v>83</v>
      </c>
      <c r="AA6" s="37" t="s">
        <v>84</v>
      </c>
      <c r="AB6" s="37" t="s">
        <v>81</v>
      </c>
      <c r="AC6" s="37" t="s">
        <v>81</v>
      </c>
      <c r="AD6" s="37" t="s">
        <v>85</v>
      </c>
      <c r="AE6" s="37" t="s">
        <v>86</v>
      </c>
      <c r="AF6" s="37" t="s">
        <v>81</v>
      </c>
      <c r="AG6" s="37" t="s">
        <v>87</v>
      </c>
      <c r="AH6" s="37" t="s">
        <v>88</v>
      </c>
      <c r="AI6" s="37" t="s">
        <v>81</v>
      </c>
      <c r="AJ6" s="37" t="s">
        <v>81</v>
      </c>
      <c r="AK6" s="37" t="s">
        <v>81</v>
      </c>
      <c r="AL6" s="37" t="s">
        <v>81</v>
      </c>
      <c r="AM6" t="str">
        <f>VLOOKUP($R6,武学奇术!$A:$ZZ,25,FALSE)</f>
        <v>群体奇术</v>
      </c>
      <c r="AN6" s="23">
        <f>VLOOKUP($R6,武学奇术!$A:$ZZ,26,FALSE)</f>
        <v>2.3774</v>
      </c>
      <c r="AO6" s="24">
        <f>VLOOKUP($R6,武学奇术!$A:$ZZ,27,FALSE)*(1+IF(OR($AM6=$F$4,$AM6=$F$5),$B$23,0))</f>
        <v>476</v>
      </c>
      <c r="AP6" s="23">
        <f>VLOOKUP($R6,武学奇术!$A:$ZZ,28,FALSE)</f>
        <v>3.5661</v>
      </c>
      <c r="AQ6" s="24">
        <f>VLOOKUP($R6,武学奇术!$A:$ZZ,29,FALSE)*(1+IF(OR($AM6=$F$4,$AM6=$F$5),$B$23,0))</f>
        <v>0</v>
      </c>
      <c r="AR6" s="23" cm="1">
        <f t="array" ref="AR6">$G$3+IFERROR(VLOOKUP($AM6,$F$4:$G$7,2,FALSE),0)+VLOOKUP($R6,武学奇术!$A:$ZZ,2,FALSE)+SUM(_xlfn.XLOOKUP($S6:$AL6,增益!$A:$A,增益!$B:$B,0))</f>
        <v>0.4842</v>
      </c>
      <c r="AS6" s="23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4081.7</v>
      </c>
      <c r="AU6" cm="1">
        <f t="array" ref="AU6">$E$10*(1+$AS6)+VLOOKUP($R6,武学奇术!$A:$ZZ,4,FALSE)+SUM(_xlfn.XLOOKUP($S6:$AL6,增益!$A:$A,增益!$D:$D,0))-$I$2</f>
        <v>4081.7</v>
      </c>
      <c r="AV6" s="29" cm="1">
        <f t="array" ref="AV6">IF($F$10-$I$3+VLOOKUP($R6,武学奇术!$A:$ZZ,6,FALSE)+SUM(_xlfn.XLOOKUP(S6:AL6,增益!$A:$A,增益!$F:$F,0))&gt;0,($F$10-$I$3+VLOOKUP($R6,武学奇术!$A:$ZZ,6,FALSE)+SUM(_xlfn.XLOOKUP(S6:AL6,增益!$A:$A,增益!$F:$F,0)))/200,($F$10-$I$3+VLOOKUP($R6,武学奇术!$A:$ZZ,6,FALSE)+SUM(_xlfn.XLOOKUP(S6:AL6,增益!$A:$A,增益!$F:$F,0)))/100)</f>
        <v>0.4539</v>
      </c>
      <c r="AW6" s="29" cm="1">
        <f t="array" ref="AW6">$G$10+VLOOKUP($R6,武学奇术!$A:$ZZ,7,FALSE)+SUM(_xlfn.XLOOKUP(S6:AL6,增益!$A:$A,增益!$G:$G,0))</f>
        <v>0.02</v>
      </c>
      <c r="AX6" s="23" cm="1">
        <f t="array" ref="AX6">VLOOKUP($R6,武学奇术!$A:$ZZ,8,FALSE)+SUM(_xlfn.XLOOKUP(S6:AL6,增益!$A:$A,增益!$H:$H,0))</f>
        <v>0</v>
      </c>
      <c r="AY6">
        <f t="shared" si="1"/>
        <v>0</v>
      </c>
      <c r="AZ6">
        <f t="shared" si="2"/>
        <v>0</v>
      </c>
      <c r="BA6" s="29" cm="1">
        <f t="array" ref="BA6">IF($F$11-$I$4+VLOOKUP($R6,武学奇术!$A:$ZZ,9,FALSE)+SUM(_xlfn.XLOOKUP(S6:AL6,增益!$A:$A,增益!$I:$I,0))&gt;0,($F$11-$I$4+VLOOKUP($R6,武学奇术!$A:$ZZ,9,FALSE)+SUM(_xlfn.XLOOKUP(S6:AL6,增益!$A:$A,增益!$I:$I,0)))/200,($F$11-$I$4+VLOOKUP($R6,武学奇术!$A:$ZZ,9,FALSE)+SUM(_xlfn.XLOOKUP(S6:AL6,增益!$A:$A,增益!$I:$I,0)))/100)</f>
        <v>-0.14</v>
      </c>
      <c r="BB6" s="29" cm="1">
        <f t="array" ref="BB6">$G$11+VLOOKUP($R6,武学奇术!$A:$ZZ,10,FALSE)+SUM(_xlfn.XLOOKUP(S6:AL6,增益!$A:$A,增益!$J:$J,0))</f>
        <v>0.02</v>
      </c>
      <c r="BC6">
        <f t="shared" si="3"/>
        <v>0</v>
      </c>
      <c r="BD6">
        <f t="shared" si="4"/>
        <v>0</v>
      </c>
      <c r="BE6" s="29" cm="1">
        <f t="array" ref="BE6">IF($F$12-$I$4+VLOOKUP($R6,武学奇术!$A:$ZZ,11,FALSE)+SUM(_xlfn.XLOOKUP(S6:AL6,增益!$A:$A,增益!$K:$K,0))&gt;0,($F$12-$I$4+VLOOKUP($R6,武学奇术!$A:$ZZ,11,FALSE)+SUM(_xlfn.XLOOKUP(S6:AL6,增益!$A:$A,增益!$K:$K,0)))/200,($F$12-$I$4+VLOOKUP($R6,武学奇术!$A:$ZZ,11,FALSE)+SUM(_xlfn.XLOOKUP(S6:AL6,增益!$A:$A,增益!$K:$K,0)))/100)</f>
        <v>-0.14</v>
      </c>
      <c r="BF6" s="29" cm="1">
        <f t="array" ref="BF6">$G$12+VLOOKUP($R6,武学奇术!$A:$ZZ,12,FALSE)+SUM(_xlfn.XLOOKUP(S6:AL6,增益!$A:$A,增益!$L:$L,0))</f>
        <v>0.02</v>
      </c>
      <c r="BG6">
        <f t="shared" si="5"/>
        <v>0</v>
      </c>
      <c r="BH6">
        <f t="shared" si="6"/>
        <v>0</v>
      </c>
      <c r="BI6" s="29" cm="1">
        <f t="array" ref="BI6">IF($F$13-$I$4+VLOOKUP($R6,武学奇术!$A:$ZZ,13,FALSE)+SUM(_xlfn.XLOOKUP(S6:AL6,增益!$A:$A,增益!$M:$M,0))&gt;0,($F$13-$I$4+VLOOKUP($R6,武学奇术!$A:$ZZ,13,FALSE)+SUM(_xlfn.XLOOKUP(S6:AL6,增益!$A:$A,增益!$K:$K,0)))/200,($F$13-$I$4+VLOOKUP($R6,武学奇术!$A:$ZZ,13,FALSE)+SUM(_xlfn.XLOOKUP(S6:AL6,增益!$A:$A,增益!$M:$M,0)))/100)</f>
        <v>-0.14</v>
      </c>
      <c r="BJ6" s="29" cm="1">
        <f t="array" ref="BJ6">$G$13+VLOOKUP($R6,武学奇术!$A:$ZZ,14,FALSE)+SUM(_xlfn.XLOOKUP(S6:AL6,增益!$A:$A,增益!$N:$N,0))</f>
        <v>0.02</v>
      </c>
      <c r="BK6">
        <f t="shared" si="7"/>
        <v>618.2</v>
      </c>
      <c r="BL6">
        <f t="shared" si="8"/>
        <v>1805</v>
      </c>
      <c r="BM6" s="29" cm="1">
        <f t="array" ref="BM6">IF($F$14-$I$4+VLOOKUP($R6,武学奇术!$A:$ZZ,15,FALSE)+SUM(_xlfn.XLOOKUP(S6:AL6,增益!$A:$A,增益!$O:$O,0))&gt;0,($F$14-$I$4+VLOOKUP($R6,武学奇术!$A:$ZZ,15,FALSE)+SUM(_xlfn.XLOOKUP(S6:AL6,增益!$A:$A,增益!$O:$O,0)))/200,($F$14-$I$4+VLOOKUP($R6,武学奇术!$A:$ZZ,15,FALSE)+SUM(_xlfn.XLOOKUP(S6:AL6,增益!$A:$A,增益!$O:$O,0)))/100)</f>
        <v>0.08</v>
      </c>
      <c r="BN6" s="29" cm="1">
        <f t="array" ref="BN6">$G$14+VLOOKUP($R6,武学奇术!$A:$ZZ,16,FALSE)+SUM(_xlfn.XLOOKUP(S6:AL6,增益!$A:$A,增益!$P:$P,0))</f>
        <v>0.17</v>
      </c>
      <c r="BO6" s="23">
        <f>MIN(IF(VLOOKUP($R6,武学奇术!$A:$ZZ,23,FALSE)=1,100%,$B$8),100%)</f>
        <v>0.9943</v>
      </c>
      <c r="BP6" s="23" cm="1">
        <f t="array" ref="BP6">IF(VLOOKUP($R6,武学奇术!$A:$ZZ,23,FALSE)=1,100%,MIN(80%,$B$9+VLOOKUP($R6,武学奇术!$A:$ZZ,17,FALSE)+SUM(_xlfn.XLOOKUP(S6:AL6,增益!$A:$A,增益!$Q:$Q,0)))+$B$11+SUM(_xlfn.XLOOKUP(S6:AL6,增益!$A:$A,增益!$U:$U,0)))*IF(VLOOKUP($R6,武学奇术!$A:$ZZ,24,FALSE)=1,0,1)</f>
        <v>0.887</v>
      </c>
      <c r="BQ6" s="23" cm="1">
        <f t="array" ref="BQ6">1+$B$13+VLOOKUP($R6,武学奇术!$A:$ZZ,18,FALSE)+SUM(_xlfn.XLOOKUP(S6:AL6,增益!$A:$A,增益!$R:$R,0))</f>
        <v>2.334</v>
      </c>
      <c r="BR6" s="23" cm="1">
        <f t="array" ref="BR6">IF(VLOOKUP($R6,武学奇术!$A:$ZZ,24,FALSE)=1,100%,MIN(40%,$B$10+VLOOKUP($R6,武学奇术!$A:$ZZ,19,FALSE)+SUM(_xlfn.XLOOKUP(S6:AL6,增益!$A:$A,增益!$S:$S,0)))+$B$12+SUM(_xlfn.XLOOKUP(S6:AL6,增益!$A:$A,增益!$V:$V,0)))*IF(VLOOKUP($R6,武学奇术!$A:$ZZ,23,FALSE)=1,0,1)</f>
        <v>0.0913</v>
      </c>
      <c r="BS6" s="23" cm="1">
        <f t="array" ref="BS6">1+$B$14+VLOOKUP($R6,武学奇术!$A:$ZZ,20,FALSE)+SUM(_xlfn.XLOOKUP(S6:AL6,增益!$A:$A,增益!$T:$T,0))</f>
        <v>1.35</v>
      </c>
      <c r="BT6" s="23">
        <f t="shared" si="9"/>
        <v>0.8819441</v>
      </c>
      <c r="BU6" s="23">
        <f t="shared" si="10"/>
        <v>0.0215763099999999</v>
      </c>
      <c r="BV6" s="23">
        <f>IF(VLOOKUP($R6,武学奇术!$A:$ZZ,22,FALSE)=1,0,(1-$BO6))*(1-$BR6)</f>
        <v>0.00517958999999993</v>
      </c>
      <c r="BW6" s="23" cm="1">
        <f t="array" ref="BW6">SUM(_xlfn.XLOOKUP(S6:AL6,增益!$A:$A,增益!$W:$W,0))+$I$5</f>
        <v>0.11</v>
      </c>
      <c r="BX6" s="23">
        <f>VLOOKUP($R6,武学奇术!$A:$ZZ,32,FALSE)</f>
        <v>0</v>
      </c>
      <c r="BY6" s="23" cm="1">
        <f t="array" ref="BY6">SUM(_xlfn.XLOOKUP($S6:$AL6,增益!$A:$A,增益!$X:$X,0))</f>
        <v>0</v>
      </c>
    </row>
    <row r="7" ht="14.25" spans="1:77">
      <c r="A7" s="39" t="s">
        <v>100</v>
      </c>
      <c r="B7" s="60">
        <v>79.2</v>
      </c>
      <c r="C7" s="59">
        <f>92.4+79.2*2</f>
        <v>250.8</v>
      </c>
      <c r="D7" s="61"/>
      <c r="E7" s="62"/>
      <c r="F7" s="51" t="s">
        <v>101</v>
      </c>
      <c r="G7" s="63">
        <f>B20</f>
        <v>0</v>
      </c>
      <c r="K7" s="35">
        <f>$L7*VLOOKUP($R7,武学奇术!$A:$ZZ,31,FALSE)</f>
        <v>1275.1439811763</v>
      </c>
      <c r="L7" s="58">
        <f t="shared" si="0"/>
        <v>1250.14115801598</v>
      </c>
      <c r="M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轻击",$B$21,0))*(1+IF(VLOOKUP($R7,武学奇术!$A:$ZZ,30,FALSE)="老鼠",$B$22,0))*(1+$BW7)*(1+$BX7)</f>
        <v>1304.84638870309</v>
      </c>
      <c r="N7" s="35">
        <f>(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轻击",$B$21,0))*(1+IF(VLOOKUP($R7,武学奇术!$A:$ZZ,30,FALSE)="老鼠",$B$22,0))*(1+$BW7))*(1+$BX7)</f>
        <v>1281.90877955576</v>
      </c>
      <c r="O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轻击",$B$21,0))*(1+IF(VLOOKUP($R7,武学奇术!$A:$ZZ,30,FALSE)="老鼠",$B$22,0))*(1+$BW7)*(1+$BX7)</f>
        <v>845.107764704074</v>
      </c>
      <c r="P7" s="35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轻击",$B$21,0))*(1+IF(VLOOKUP($R7,武学奇术!$A:$ZZ,30,FALSE)="老鼠",$B$22,0))*(1+$BW7)*(1+$BX7)</f>
        <v>740.653470477953</v>
      </c>
      <c r="Q7" s="36">
        <v>1</v>
      </c>
      <c r="R7" s="37" t="s">
        <v>102</v>
      </c>
      <c r="S7" s="37" t="s">
        <v>81</v>
      </c>
      <c r="T7" s="37" t="s">
        <v>81</v>
      </c>
      <c r="U7" s="37" t="s">
        <v>81</v>
      </c>
      <c r="V7" s="37" t="s">
        <v>81</v>
      </c>
      <c r="W7" s="37" t="s">
        <v>82</v>
      </c>
      <c r="X7" s="37" t="s">
        <v>81</v>
      </c>
      <c r="Y7" s="37" t="s">
        <v>81</v>
      </c>
      <c r="Z7" s="37" t="s">
        <v>81</v>
      </c>
      <c r="AA7" s="37" t="s">
        <v>81</v>
      </c>
      <c r="AB7" s="37" t="s">
        <v>81</v>
      </c>
      <c r="AC7" s="37" t="s">
        <v>81</v>
      </c>
      <c r="AD7" s="37" t="s">
        <v>81</v>
      </c>
      <c r="AE7" s="37" t="s">
        <v>81</v>
      </c>
      <c r="AF7" s="37" t="s">
        <v>81</v>
      </c>
      <c r="AG7" s="37" t="s">
        <v>87</v>
      </c>
      <c r="AH7" s="37" t="s">
        <v>88</v>
      </c>
      <c r="AI7" s="37" t="s">
        <v>81</v>
      </c>
      <c r="AJ7" s="37" t="s">
        <v>81</v>
      </c>
      <c r="AK7" s="37" t="s">
        <v>81</v>
      </c>
      <c r="AL7" s="37" t="s">
        <v>81</v>
      </c>
      <c r="AM7" t="str">
        <f>VLOOKUP($R7,武学奇术!$A:$ZZ,25,FALSE)</f>
        <v>绳镖</v>
      </c>
      <c r="AN7" s="23">
        <f>VLOOKUP($R7,武学奇术!$A:$ZZ,26,FALSE)</f>
        <v>0.0621</v>
      </c>
      <c r="AO7" s="24">
        <f>VLOOKUP($R7,武学奇术!$A:$ZZ,27,FALSE)*(1+IF(OR($AM7=$F$4,$AM7=$F$5),$B$23,0))</f>
        <v>27.2</v>
      </c>
      <c r="AP7" s="23">
        <f>VLOOKUP($R7,武学奇术!$A:$ZZ,28,FALSE)</f>
        <v>0.0932</v>
      </c>
      <c r="AQ7" s="24">
        <f>VLOOKUP($R7,武学奇术!$A:$ZZ,29,FALSE)*(1+IF(OR($AM7=$F$4,$AM7=$F$5),$B$23,0))</f>
        <v>14.4</v>
      </c>
      <c r="AR7" s="23" cm="1">
        <f t="array" ref="AR7">$G$3+IFERROR(VLOOKUP($AM7,$F$4:$G$7,2,FALSE),0)+VLOOKUP($R7,武学奇术!$A:$ZZ,2,FALSE)+SUM(_xlfn.XLOOKUP($S7:$AL7,增益!$A:$A,增益!$B:$B,0))</f>
        <v>0.4543</v>
      </c>
      <c r="AS7" s="23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4081.7</v>
      </c>
      <c r="AU7" cm="1">
        <f t="array" ref="AU7">$E$10*(1+$AS7)+VLOOKUP($R7,武学奇术!$A:$ZZ,4,FALSE)+SUM(_xlfn.XLOOKUP($S7:$AL7,增益!$A:$A,增益!$D:$D,0))-$I$2</f>
        <v>4081.7</v>
      </c>
      <c r="AV7" s="29" cm="1">
        <f t="array" ref="AV7">IF($F$10-$I$3+VLOOKUP($R7,武学奇术!$A:$ZZ,6,FALSE)+SUM(_xlfn.XLOOKUP(S7:AL7,增益!$A:$A,增益!$F:$F,0))&gt;0,($F$10-$I$3+VLOOKUP($R7,武学奇术!$A:$ZZ,6,FALSE)+SUM(_xlfn.XLOOKUP(S7:AL7,增益!$A:$A,增益!$F:$F,0)))/200,($F$10-$I$3+VLOOKUP($R7,武学奇术!$A:$ZZ,6,FALSE)+SUM(_xlfn.XLOOKUP(S7:AL7,增益!$A:$A,增益!$F:$F,0)))/100)</f>
        <v>0.2789</v>
      </c>
      <c r="AW7" s="29" cm="1">
        <f t="array" ref="AW7">$G$10+VLOOKUP($R7,武学奇术!$A:$ZZ,7,FALSE)+SUM(_xlfn.XLOOKUP(S7:AL7,增益!$A:$A,增益!$G:$G,0))</f>
        <v>0.02</v>
      </c>
      <c r="AX7" s="23" cm="1">
        <f t="array" ref="AX7">VLOOKUP($R7,武学奇术!$A:$ZZ,8,FALSE)+SUM(_xlfn.XLOOKUP(S7:AL7,增益!$A:$A,增益!$H:$H,0))</f>
        <v>0</v>
      </c>
      <c r="AY7">
        <f t="shared" si="1"/>
        <v>0</v>
      </c>
      <c r="AZ7">
        <f t="shared" si="2"/>
        <v>0</v>
      </c>
      <c r="BA7" s="29" cm="1">
        <f t="array" ref="BA7">IF($F$11-$I$4+VLOOKUP($R7,武学奇术!$A:$ZZ,9,FALSE)+SUM(_xlfn.XLOOKUP(S7:AL7,增益!$A:$A,增益!$I:$I,0))&gt;0,($F$11-$I$4+VLOOKUP($R7,武学奇术!$A:$ZZ,9,FALSE)+SUM(_xlfn.XLOOKUP(S7:AL7,增益!$A:$A,增益!$I:$I,0)))/200,($F$11-$I$4+VLOOKUP($R7,武学奇术!$A:$ZZ,9,FALSE)+SUM(_xlfn.XLOOKUP(S7:AL7,增益!$A:$A,增益!$I:$I,0)))/100)</f>
        <v>-0.3</v>
      </c>
      <c r="BB7" s="29" cm="1">
        <f t="array" ref="BB7">$G$11+VLOOKUP($R7,武学奇术!$A:$ZZ,10,FALSE)+SUM(_xlfn.XLOOKUP(S7:AL7,增益!$A:$A,增益!$J:$J,0))</f>
        <v>0.02</v>
      </c>
      <c r="BC7">
        <f t="shared" si="3"/>
        <v>0</v>
      </c>
      <c r="BD7">
        <f t="shared" si="4"/>
        <v>0</v>
      </c>
      <c r="BE7" s="29" cm="1">
        <f t="array" ref="BE7">IF($F$12-$I$4+VLOOKUP($R7,武学奇术!$A:$ZZ,11,FALSE)+SUM(_xlfn.XLOOKUP(S7:AL7,增益!$A:$A,增益!$K:$K,0))&gt;0,($F$12-$I$4+VLOOKUP($R7,武学奇术!$A:$ZZ,11,FALSE)+SUM(_xlfn.XLOOKUP(S7:AL7,增益!$A:$A,增益!$K:$K,0)))/200,($F$12-$I$4+VLOOKUP($R7,武学奇术!$A:$ZZ,11,FALSE)+SUM(_xlfn.XLOOKUP(S7:AL7,增益!$A:$A,增益!$K:$K,0)))/100)</f>
        <v>-0.3</v>
      </c>
      <c r="BF7" s="29" cm="1">
        <f t="array" ref="BF7">$G$12+VLOOKUP($R7,武学奇术!$A:$ZZ,12,FALSE)+SUM(_xlfn.XLOOKUP(S7:AL7,增益!$A:$A,增益!$L:$L,0))</f>
        <v>0.02</v>
      </c>
      <c r="BG7">
        <f t="shared" si="5"/>
        <v>0</v>
      </c>
      <c r="BH7">
        <f t="shared" si="6"/>
        <v>0</v>
      </c>
      <c r="BI7" s="29" cm="1">
        <f t="array" ref="BI7">IF($F$13-$I$4+VLOOKUP($R7,武学奇术!$A:$ZZ,13,FALSE)+SUM(_xlfn.XLOOKUP(S7:AL7,增益!$A:$A,增益!$M:$M,0))&gt;0,($F$13-$I$4+VLOOKUP($R7,武学奇术!$A:$ZZ,13,FALSE)+SUM(_xlfn.XLOOKUP(S7:AL7,增益!$A:$A,增益!$K:$K,0)))/200,($F$13-$I$4+VLOOKUP($R7,武学奇术!$A:$ZZ,13,FALSE)+SUM(_xlfn.XLOOKUP(S7:AL7,增益!$A:$A,增益!$M:$M,0)))/100)</f>
        <v>-0.3</v>
      </c>
      <c r="BJ7" s="29" cm="1">
        <f t="array" ref="BJ7">$G$13+VLOOKUP($R7,武学奇术!$A:$ZZ,14,FALSE)+SUM(_xlfn.XLOOKUP(S7:AL7,增益!$A:$A,增益!$N:$N,0))</f>
        <v>0.02</v>
      </c>
      <c r="BK7">
        <f t="shared" si="7"/>
        <v>618.2</v>
      </c>
      <c r="BL7">
        <f t="shared" si="8"/>
        <v>1805</v>
      </c>
      <c r="BM7" s="29" cm="1">
        <f t="array" ref="BM7">IF($F$14-$I$4+VLOOKUP($R7,武学奇术!$A:$ZZ,15,FALSE)+SUM(_xlfn.XLOOKUP(S7:AL7,增益!$A:$A,增益!$O:$O,0))&gt;0,($F$14-$I$4+VLOOKUP($R7,武学奇术!$A:$ZZ,15,FALSE)+SUM(_xlfn.XLOOKUP(S7:AL7,增益!$A:$A,增益!$O:$O,0)))/200,($F$14-$I$4+VLOOKUP($R7,武学奇术!$A:$ZZ,15,FALSE)+SUM(_xlfn.XLOOKUP(S7:AL7,增益!$A:$A,增益!$O:$O,0)))/100)</f>
        <v>0</v>
      </c>
      <c r="BN7" s="29" cm="1">
        <f t="array" ref="BN7">$G$14+VLOOKUP($R7,武学奇术!$A:$ZZ,16,FALSE)+SUM(_xlfn.XLOOKUP(S7:AL7,增益!$A:$A,增益!$P:$P,0))</f>
        <v>0.17</v>
      </c>
      <c r="BO7" s="23">
        <f>MIN(IF(VLOOKUP($R7,武学奇术!$A:$ZZ,23,FALSE)=1,100%,$B$8),100%)</f>
        <v>0.9943</v>
      </c>
      <c r="BP7" s="23" cm="1">
        <f t="array" ref="BP7">IF(VLOOKUP($R7,武学奇术!$A:$ZZ,23,FALSE)=1,100%,MIN(80%,$B$9+VLOOKUP($R7,武学奇术!$A:$ZZ,17,FALSE)+SUM(_xlfn.XLOOKUP(S7:AL7,增益!$A:$A,增益!$Q:$Q,0)))+$B$11+SUM(_xlfn.XLOOKUP(S7:AL7,增益!$A:$A,增益!$U:$U,0)))*IF(VLOOKUP($R7,武学奇术!$A:$ZZ,24,FALSE)=1,0,1)</f>
        <v>0.8</v>
      </c>
      <c r="BQ7" s="23" cm="1">
        <f t="array" ref="BQ7">1+$B$13+VLOOKUP($R7,武学奇术!$A:$ZZ,18,FALSE)+SUM(_xlfn.XLOOKUP(S7:AL7,增益!$A:$A,增益!$R:$R,0))</f>
        <v>1.544</v>
      </c>
      <c r="BR7" s="23" cm="1">
        <f t="array" ref="BR7">IF(VLOOKUP($R7,武学奇术!$A:$ZZ,24,FALSE)=1,100%,MIN(40%,$B$10+VLOOKUP($R7,武学奇术!$A:$ZZ,19,FALSE)+SUM(_xlfn.XLOOKUP(S7:AL7,增益!$A:$A,增益!$S:$S,0)))+$B$12+SUM(_xlfn.XLOOKUP(S7:AL7,增益!$A:$A,增益!$V:$V,0)))*IF(VLOOKUP($R7,武学奇术!$A:$ZZ,23,FALSE)=1,0,1)</f>
        <v>0.0913</v>
      </c>
      <c r="BS7" s="23" cm="1">
        <f t="array" ref="BS7">1+$B$14+VLOOKUP($R7,武学奇术!$A:$ZZ,20,FALSE)+SUM(_xlfn.XLOOKUP(S7:AL7,增益!$A:$A,增益!$T:$T,0))</f>
        <v>1.35</v>
      </c>
      <c r="BT7" s="23">
        <f t="shared" si="9"/>
        <v>0.79544</v>
      </c>
      <c r="BU7" s="23">
        <f t="shared" si="10"/>
        <v>0.10808041</v>
      </c>
      <c r="BV7" s="23">
        <f>IF(VLOOKUP($R7,武学奇术!$A:$ZZ,22,FALSE)=1,0,(1-$BO7))*(1-$BR7)</f>
        <v>0.00517958999999993</v>
      </c>
      <c r="BW7" s="23" cm="1">
        <f t="array" ref="BW7">SUM(_xlfn.XLOOKUP(S7:AL7,增益!$A:$A,增益!$W:$W,0))+$I$5</f>
        <v>0.11</v>
      </c>
      <c r="BX7" s="23">
        <f>VLOOKUP($R7,武学奇术!$A:$ZZ,32,FALSE)</f>
        <v>0</v>
      </c>
      <c r="BY7" s="23" cm="1">
        <f t="array" ref="BY7">SUM(_xlfn.XLOOKUP($S7:$AL7,增益!$A:$A,增益!$X:$X,0))</f>
        <v>0</v>
      </c>
    </row>
    <row r="8" spans="1:77">
      <c r="A8" s="64" t="s">
        <v>103</v>
      </c>
      <c r="B8" s="65">
        <v>0.9943</v>
      </c>
      <c r="C8" s="66" t="s">
        <v>104</v>
      </c>
      <c r="D8" s="66"/>
      <c r="E8" s="66"/>
      <c r="F8" s="66"/>
      <c r="G8" s="34"/>
      <c r="H8" s="67" t="s">
        <v>105</v>
      </c>
      <c r="I8" s="19">
        <v>88.5</v>
      </c>
      <c r="J8" s="68"/>
      <c r="K8" s="35">
        <f>$L8*VLOOKUP($R8,武学奇术!$A:$ZZ,31,FALSE)</f>
        <v>18340.9425430669</v>
      </c>
      <c r="L8" s="69">
        <f t="shared" si="0"/>
        <v>17981.3162186931</v>
      </c>
      <c r="M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轻击",$B$21,0))*(1+IF(VLOOKUP($R8,武学奇术!$A:$ZZ,30,FALSE)="老鼠",$B$22,0))*(1+$BW8)*(1+$BX8)</f>
        <v>18769.7568776727</v>
      </c>
      <c r="N8" s="35">
        <f>(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轻击",$B$21,0))*(1+IF(VLOOKUP($R8,武学奇术!$A:$ZZ,30,FALSE)="老鼠",$B$22,0))*(1+$BW8))*(1+$BX8)</f>
        <v>18528.3030612431</v>
      </c>
      <c r="O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轻击",$B$21,0))*(1+IF(VLOOKUP($R8,武学奇术!$A:$ZZ,30,FALSE)="老鼠",$B$22,0))*(1+$BW8)*(1+$BX8)</f>
        <v>12078.350629133</v>
      </c>
      <c r="P8" s="35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轻击",$B$21,0))*(1+IF(VLOOKUP($R8,武学奇术!$A:$ZZ,30,FALSE)="老鼠",$B$22,0))*(1+$BW8)*(1+$BX8)</f>
        <v>10432.0323240119</v>
      </c>
      <c r="Q8" s="70">
        <v>1</v>
      </c>
      <c r="R8" s="37" t="s">
        <v>106</v>
      </c>
      <c r="S8" s="37" t="s">
        <v>107</v>
      </c>
      <c r="T8" s="37" t="s">
        <v>108</v>
      </c>
      <c r="U8" s="37" t="s">
        <v>81</v>
      </c>
      <c r="V8" s="37" t="s">
        <v>81</v>
      </c>
      <c r="W8" s="37" t="s">
        <v>82</v>
      </c>
      <c r="X8" s="37" t="s">
        <v>81</v>
      </c>
      <c r="Y8" s="37" t="s">
        <v>109</v>
      </c>
      <c r="Z8" s="37" t="s">
        <v>81</v>
      </c>
      <c r="AA8" s="37" t="s">
        <v>81</v>
      </c>
      <c r="AB8" s="37" t="s">
        <v>81</v>
      </c>
      <c r="AC8" s="37" t="s">
        <v>81</v>
      </c>
      <c r="AD8" s="37" t="s">
        <v>81</v>
      </c>
      <c r="AE8" s="37" t="s">
        <v>81</v>
      </c>
      <c r="AF8" s="37" t="s">
        <v>81</v>
      </c>
      <c r="AG8" s="37" t="s">
        <v>87</v>
      </c>
      <c r="AH8" s="37" t="s">
        <v>88</v>
      </c>
      <c r="AI8" s="37" t="s">
        <v>81</v>
      </c>
      <c r="AJ8" s="37" t="s">
        <v>81</v>
      </c>
      <c r="AK8" s="37" t="s">
        <v>81</v>
      </c>
      <c r="AL8" s="37" t="s">
        <v>81</v>
      </c>
      <c r="AM8" t="str">
        <f>VLOOKUP($R8,武学奇术!$A:$ZZ,25,FALSE)</f>
        <v>绳镖</v>
      </c>
      <c r="AN8" s="23">
        <f>VLOOKUP($R8,武学奇术!$A:$ZZ,26,FALSE)</f>
        <v>0.3675</v>
      </c>
      <c r="AO8" s="24">
        <f>VLOOKUP($R8,武学奇术!$A:$ZZ,27,FALSE)*(1+IF(OR($AM8=$F$4,$AM8=$F$5),$B$23,0))</f>
        <v>0</v>
      </c>
      <c r="AP8" s="23">
        <f>VLOOKUP($R8,武学奇术!$A:$ZZ,28,FALSE)</f>
        <v>0.55125</v>
      </c>
      <c r="AQ8" s="24">
        <f>VLOOKUP($R8,武学奇术!$A:$ZZ,29,FALSE)*(1+IF(OR($AM8=$F$4,$AM8=$F$5),$B$23,0))</f>
        <v>0</v>
      </c>
      <c r="AR8" s="23" cm="1">
        <f t="array" ref="AR8">$G$3+IFERROR(VLOOKUP($AM8,$F$4:$G$7,2,FALSE),0)+VLOOKUP($R8,武学奇术!$A:$ZZ,2,FALSE)+SUM(_xlfn.XLOOKUP($S8:$AL8,增益!$A:$A,增益!$B:$B,0))</f>
        <v>1.3843</v>
      </c>
      <c r="AS8" s="23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4081.7</v>
      </c>
      <c r="AU8" cm="1">
        <f t="array" ref="AU8">$E$10*(1+$AS8)+VLOOKUP($R8,武学奇术!$A:$ZZ,4,FALSE)+SUM(_xlfn.XLOOKUP($S8:$AL8,增益!$A:$A,增益!$D:$D,0))-$I$2</f>
        <v>4081.7</v>
      </c>
      <c r="AV8" s="29" cm="1">
        <f t="array" ref="AV8">IF($F$10-$I$3+VLOOKUP($R8,武学奇术!$A:$ZZ,6,FALSE)+SUM(_xlfn.XLOOKUP(S8:AL8,增益!$A:$A,增益!$F:$F,0))&gt;0,($F$10-$I$3+VLOOKUP($R8,武学奇术!$A:$ZZ,6,FALSE)+SUM(_xlfn.XLOOKUP(S8:AL8,增益!$A:$A,增益!$F:$F,0)))/200,($F$10-$I$3+VLOOKUP($R8,武学奇术!$A:$ZZ,6,FALSE)+SUM(_xlfn.XLOOKUP(S8:AL8,增益!$A:$A,增益!$F:$F,0)))/100)</f>
        <v>0.2889</v>
      </c>
      <c r="AW8" s="29" cm="1">
        <f t="array" ref="AW8">$G$10+VLOOKUP($R8,武学奇术!$A:$ZZ,7,FALSE)+SUM(_xlfn.XLOOKUP(S8:AL8,增益!$A:$A,增益!$G:$G,0))</f>
        <v>0.29</v>
      </c>
      <c r="AX8" s="23" cm="1">
        <f t="array" ref="AX8">VLOOKUP($R8,武学奇术!$A:$ZZ,8,FALSE)+SUM(_xlfn.XLOOKUP(S8:AL8,增益!$A:$A,增益!$H:$H,0))</f>
        <v>0</v>
      </c>
      <c r="AY8">
        <f t="shared" si="1"/>
        <v>0</v>
      </c>
      <c r="AZ8">
        <f t="shared" si="2"/>
        <v>0</v>
      </c>
      <c r="BA8" s="29" cm="1">
        <f t="array" ref="BA8">IF($F$11-$I$4+VLOOKUP($R8,武学奇术!$A:$ZZ,9,FALSE)+SUM(_xlfn.XLOOKUP(S8:AL8,增益!$A:$A,增益!$I:$I,0))&gt;0,($F$11-$I$4+VLOOKUP($R8,武学奇术!$A:$ZZ,9,FALSE)+SUM(_xlfn.XLOOKUP(S8:AL8,增益!$A:$A,增益!$I:$I,0)))/200,($F$11-$I$4+VLOOKUP($R8,武学奇术!$A:$ZZ,9,FALSE)+SUM(_xlfn.XLOOKUP(S8:AL8,增益!$A:$A,增益!$I:$I,0)))/100)</f>
        <v>-0.3</v>
      </c>
      <c r="BB8" s="29" cm="1">
        <f t="array" ref="BB8">$G$11+VLOOKUP($R8,武学奇术!$A:$ZZ,10,FALSE)+SUM(_xlfn.XLOOKUP(S8:AL8,增益!$A:$A,增益!$J:$J,0))</f>
        <v>0.02</v>
      </c>
      <c r="BC8">
        <f t="shared" si="3"/>
        <v>0</v>
      </c>
      <c r="BD8">
        <f t="shared" si="4"/>
        <v>0</v>
      </c>
      <c r="BE8" s="29" cm="1">
        <f t="array" ref="BE8">IF($F$12-$I$4+VLOOKUP($R8,武学奇术!$A:$ZZ,11,FALSE)+SUM(_xlfn.XLOOKUP(S8:AL8,增益!$A:$A,增益!$K:$K,0))&gt;0,($F$12-$I$4+VLOOKUP($R8,武学奇术!$A:$ZZ,11,FALSE)+SUM(_xlfn.XLOOKUP(S8:AL8,增益!$A:$A,增益!$K:$K,0)))/200,($F$12-$I$4+VLOOKUP($R8,武学奇术!$A:$ZZ,11,FALSE)+SUM(_xlfn.XLOOKUP(S8:AL8,增益!$A:$A,增益!$K:$K,0)))/100)</f>
        <v>-0.3</v>
      </c>
      <c r="BF8" s="29" cm="1">
        <f t="array" ref="BF8">$G$12+VLOOKUP($R8,武学奇术!$A:$ZZ,12,FALSE)+SUM(_xlfn.XLOOKUP(S8:AL8,增益!$A:$A,增益!$L:$L,0))</f>
        <v>0.02</v>
      </c>
      <c r="BG8">
        <f t="shared" si="5"/>
        <v>0</v>
      </c>
      <c r="BH8">
        <f t="shared" si="6"/>
        <v>0</v>
      </c>
      <c r="BI8" s="29" cm="1">
        <f t="array" ref="BI8">IF($F$13-$I$4+VLOOKUP($R8,武学奇术!$A:$ZZ,13,FALSE)+SUM(_xlfn.XLOOKUP(S8:AL8,增益!$A:$A,增益!$M:$M,0))&gt;0,($F$13-$I$4+VLOOKUP($R8,武学奇术!$A:$ZZ,13,FALSE)+SUM(_xlfn.XLOOKUP(S8:AL8,增益!$A:$A,增益!$K:$K,0)))/200,($F$13-$I$4+VLOOKUP($R8,武学奇术!$A:$ZZ,13,FALSE)+SUM(_xlfn.XLOOKUP(S8:AL8,增益!$A:$A,增益!$M:$M,0)))/100)</f>
        <v>-0.3</v>
      </c>
      <c r="BJ8" s="29" cm="1">
        <f t="array" ref="BJ8">$G$13+VLOOKUP($R8,武学奇术!$A:$ZZ,14,FALSE)+SUM(_xlfn.XLOOKUP(S8:AL8,增益!$A:$A,增益!$N:$N,0))</f>
        <v>0.02</v>
      </c>
      <c r="BK8">
        <f t="shared" si="7"/>
        <v>618.2</v>
      </c>
      <c r="BL8">
        <f t="shared" si="8"/>
        <v>1805</v>
      </c>
      <c r="BM8" s="29" cm="1">
        <f t="array" ref="BM8">IF($F$14-$I$4+VLOOKUP($R8,武学奇术!$A:$ZZ,15,FALSE)+SUM(_xlfn.XLOOKUP(S8:AL8,增益!$A:$A,增益!$O:$O,0))&gt;0,($F$14-$I$4+VLOOKUP($R8,武学奇术!$A:$ZZ,15,FALSE)+SUM(_xlfn.XLOOKUP(S8:AL8,增益!$A:$A,增益!$O:$O,0)))/200,($F$14-$I$4+VLOOKUP($R8,武学奇术!$A:$ZZ,15,FALSE)+SUM(_xlfn.XLOOKUP(S8:AL8,增益!$A:$A,增益!$O:$O,0)))/100)</f>
        <v>0</v>
      </c>
      <c r="BN8" s="29" cm="1">
        <f t="array" ref="BN8">$G$14+VLOOKUP($R8,武学奇术!$A:$ZZ,16,FALSE)+SUM(_xlfn.XLOOKUP(S8:AL8,增益!$A:$A,增益!$P:$P,0))</f>
        <v>0.44</v>
      </c>
      <c r="BO8" s="23">
        <f>MIN(IF(VLOOKUP($R8,武学奇术!$A:$ZZ,23,FALSE)=1,100%,$B$8),100%)</f>
        <v>0.9943</v>
      </c>
      <c r="BP8" s="23" cm="1">
        <f t="array" ref="BP8">IF(VLOOKUP($R8,武学奇术!$A:$ZZ,23,FALSE)=1,100%,MIN(80%,$B$9+VLOOKUP($R8,武学奇术!$A:$ZZ,17,FALSE)+SUM(_xlfn.XLOOKUP(S8:AL8,增益!$A:$A,增益!$Q:$Q,0)))+$B$11+SUM(_xlfn.XLOOKUP(S8:AL8,增益!$A:$A,增益!$U:$U,0)))*IF(VLOOKUP($R8,武学奇术!$A:$ZZ,24,FALSE)=1,0,1)</f>
        <v>0.8</v>
      </c>
      <c r="BQ8" s="23" cm="1">
        <f t="array" ref="BQ8">1+$B$13+VLOOKUP($R8,武学奇术!$A:$ZZ,18,FALSE)+SUM(_xlfn.XLOOKUP(S8:AL8,增益!$A:$A,增益!$R:$R,0))</f>
        <v>1.554</v>
      </c>
      <c r="BR8" s="23" cm="1">
        <f t="array" ref="BR8">IF(VLOOKUP($R8,武学奇术!$A:$ZZ,24,FALSE)=1,100%,MIN(40%,$B$10+VLOOKUP($R8,武学奇术!$A:$ZZ,19,FALSE)+SUM(_xlfn.XLOOKUP(S8:AL8,增益!$A:$A,增益!$S:$S,0)))+$B$12+SUM(_xlfn.XLOOKUP(S8:AL8,增益!$A:$A,增益!$V:$V,0)))*IF(VLOOKUP($R8,武学奇术!$A:$ZZ,23,FALSE)=1,0,1)</f>
        <v>0.0913</v>
      </c>
      <c r="BS8" s="23" cm="1">
        <f t="array" ref="BS8">1+$B$14+VLOOKUP($R8,武学奇术!$A:$ZZ,20,FALSE)+SUM(_xlfn.XLOOKUP(S8:AL8,增益!$A:$A,增益!$T:$T,0))</f>
        <v>1.35</v>
      </c>
      <c r="BT8" s="23">
        <f t="shared" si="9"/>
        <v>0.79544</v>
      </c>
      <c r="BU8" s="23">
        <f t="shared" si="10"/>
        <v>0.10808041</v>
      </c>
      <c r="BV8" s="23">
        <f>IF(VLOOKUP($R8,武学奇术!$A:$ZZ,22,FALSE)=1,0,(1-$BO8))*(1-$BR8)</f>
        <v>0.00517958999999993</v>
      </c>
      <c r="BW8" s="23" cm="1">
        <f t="array" ref="BW8">SUM(_xlfn.XLOOKUP(S8:AL8,增益!$A:$A,增益!$W:$W,0))+$I$5</f>
        <v>0.11</v>
      </c>
      <c r="BX8" s="23">
        <f>VLOOKUP($R8,武学奇术!$A:$ZZ,32,FALSE)</f>
        <v>0</v>
      </c>
      <c r="BY8" s="23" cm="1">
        <f t="array" ref="BY8">SUM(_xlfn.XLOOKUP($S8:$AL8,增益!$A:$A,增益!$X:$X,0))</f>
        <v>0</v>
      </c>
    </row>
    <row r="9" ht="14.25" spans="1:77">
      <c r="A9" s="39" t="s">
        <v>110</v>
      </c>
      <c r="B9" s="71">
        <v>0.713</v>
      </c>
      <c r="C9" s="12"/>
      <c r="D9" t="s">
        <v>0</v>
      </c>
      <c r="E9" t="s">
        <v>1</v>
      </c>
      <c r="F9" s="36" t="s">
        <v>2</v>
      </c>
      <c r="G9" s="42" t="s">
        <v>3</v>
      </c>
      <c r="H9" s="72"/>
      <c r="I9" s="21"/>
      <c r="J9" s="73"/>
      <c r="K9" s="35">
        <f>$L9*VLOOKUP($R9,武学奇术!$A:$ZZ,31,FALSE)</f>
        <v>12487.8475144537</v>
      </c>
      <c r="L9" s="58">
        <f t="shared" si="0"/>
        <v>11149.8638521908</v>
      </c>
      <c r="M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轻击",$B$21,0))*(1+IF(VLOOKUP($R9,武学奇术!$A:$ZZ,30,FALSE)="老鼠",$B$22,0))*(1+$BW9)*(1+$BX9)</f>
        <v>11649.4557418989</v>
      </c>
      <c r="N9" s="35">
        <f>(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轻击",$B$21,0))*(1+IF(VLOOKUP($R9,武学奇术!$A:$ZZ,30,FALSE)="老鼠",$B$22,0))*(1+$BW9))*(1+$BX9)</f>
        <v>11382.4517504055</v>
      </c>
      <c r="O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轻击",$B$21,0))*(1+IF(VLOOKUP($R9,武学奇术!$A:$ZZ,30,FALSE)="老鼠",$B$22,0))*(1+$BW9)*(1+$BX9)</f>
        <v>7496.43226634421</v>
      </c>
      <c r="P9" s="35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轻击",$B$21,0))*(1+IF(VLOOKUP($R9,武学奇术!$A:$ZZ,30,FALSE)="老鼠",$B$22,0))*(1+$BW9)*(1+$BX9)</f>
        <v>6561.41879164731</v>
      </c>
      <c r="Q9" s="36">
        <v>1</v>
      </c>
      <c r="R9" s="37" t="s">
        <v>111</v>
      </c>
      <c r="S9" s="37" t="s">
        <v>107</v>
      </c>
      <c r="T9" s="37" t="s">
        <v>108</v>
      </c>
      <c r="U9" s="37" t="s">
        <v>112</v>
      </c>
      <c r="V9" s="37" t="s">
        <v>113</v>
      </c>
      <c r="W9" s="37" t="s">
        <v>82</v>
      </c>
      <c r="X9" s="37" t="s">
        <v>81</v>
      </c>
      <c r="Y9" s="37" t="s">
        <v>109</v>
      </c>
      <c r="Z9" s="37" t="s">
        <v>81</v>
      </c>
      <c r="AA9" s="37" t="s">
        <v>81</v>
      </c>
      <c r="AB9" s="37" t="s">
        <v>81</v>
      </c>
      <c r="AC9" s="37" t="s">
        <v>81</v>
      </c>
      <c r="AD9" s="37" t="s">
        <v>81</v>
      </c>
      <c r="AE9" s="37" t="s">
        <v>81</v>
      </c>
      <c r="AF9" s="37" t="s">
        <v>81</v>
      </c>
      <c r="AG9" s="37" t="s">
        <v>87</v>
      </c>
      <c r="AH9" s="37" t="s">
        <v>88</v>
      </c>
      <c r="AI9" s="37" t="s">
        <v>81</v>
      </c>
      <c r="AJ9" s="37" t="s">
        <v>81</v>
      </c>
      <c r="AK9" s="37" t="s">
        <v>81</v>
      </c>
      <c r="AL9" s="37" t="s">
        <v>81</v>
      </c>
      <c r="AM9" t="str">
        <f>VLOOKUP($R9,武学奇术!$A:$ZZ,25,FALSE)</f>
        <v>双刀</v>
      </c>
      <c r="AN9" s="23">
        <f>VLOOKUP($R9,武学奇术!$A:$ZZ,26,FALSE)</f>
        <v>0.4205</v>
      </c>
      <c r="AO9" s="24">
        <f>VLOOKUP($R9,武学奇术!$A:$ZZ,27,FALSE)*(1+IF(OR($AM9=$F$4,$AM9=$F$5),$B$23,0))</f>
        <v>187.2</v>
      </c>
      <c r="AP9" s="23">
        <f>VLOOKUP($R9,武学奇术!$A:$ZZ,28,FALSE)</f>
        <v>0.6307</v>
      </c>
      <c r="AQ9" s="24">
        <f>VLOOKUP($R9,武学奇术!$A:$ZZ,29,FALSE)*(1+IF(OR($AM9=$F$4,$AM9=$F$5),$B$23,0))</f>
        <v>102.4</v>
      </c>
      <c r="AR9" s="23" cm="1">
        <f t="array" ref="AR9">$G$3+IFERROR(VLOOKUP($AM9,$F$4:$G$7,2,FALSE),0)+VLOOKUP($R9,武学奇术!$A:$ZZ,2,FALSE)+SUM(_xlfn.XLOOKUP($S9:$AL9,增益!$A:$A,增益!$B:$B,0))</f>
        <v>0.5843</v>
      </c>
      <c r="AS9" s="23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4150.4</v>
      </c>
      <c r="AU9" cm="1">
        <f t="array" ref="AU9">$E$10*(1+$AS9)+VLOOKUP($R9,武学奇术!$A:$ZZ,4,FALSE)+SUM(_xlfn.XLOOKUP($S9:$AL9,增益!$A:$A,增益!$D:$D,0))-$I$2</f>
        <v>4150.4</v>
      </c>
      <c r="AV9" s="29" cm="1">
        <f t="array" ref="AV9">IF($F$10-$I$3+VLOOKUP($R9,武学奇术!$A:$ZZ,6,FALSE)+SUM(_xlfn.XLOOKUP(S9:AL9,增益!$A:$A,增益!$F:$F,0))&gt;0,($F$10-$I$3+VLOOKUP($R9,武学奇术!$A:$ZZ,6,FALSE)+SUM(_xlfn.XLOOKUP(S9:AL9,增益!$A:$A,增益!$F:$F,0)))/200,($F$10-$I$3+VLOOKUP($R9,武学奇术!$A:$ZZ,6,FALSE)+SUM(_xlfn.XLOOKUP(S9:AL9,增益!$A:$A,增益!$F:$F,0)))/100)</f>
        <v>0.2889</v>
      </c>
      <c r="AW9" s="29" cm="1">
        <f t="array" ref="AW9">$G$10+VLOOKUP($R9,武学奇术!$A:$ZZ,7,FALSE)+SUM(_xlfn.XLOOKUP(S9:AL9,增益!$A:$A,增益!$G:$G,0))</f>
        <v>0.08</v>
      </c>
      <c r="AX9" s="23" cm="1">
        <f t="array" ref="AX9">VLOOKUP($R9,武学奇术!$A:$ZZ,8,FALSE)+SUM(_xlfn.XLOOKUP(S9:AL9,增益!$A:$A,增益!$H:$H,0))</f>
        <v>0</v>
      </c>
      <c r="AY9">
        <f t="shared" si="1"/>
        <v>0</v>
      </c>
      <c r="AZ9">
        <f t="shared" si="2"/>
        <v>0</v>
      </c>
      <c r="BA9" s="29" cm="1">
        <f t="array" ref="BA9">IF($F$11-$I$4+VLOOKUP($R9,武学奇术!$A:$ZZ,9,FALSE)+SUM(_xlfn.XLOOKUP(S9:AL9,增益!$A:$A,增益!$I:$I,0))&gt;0,($F$11-$I$4+VLOOKUP($R9,武学奇术!$A:$ZZ,9,FALSE)+SUM(_xlfn.XLOOKUP(S9:AL9,增益!$A:$A,增益!$I:$I,0)))/200,($F$11-$I$4+VLOOKUP($R9,武学奇术!$A:$ZZ,9,FALSE)+SUM(_xlfn.XLOOKUP(S9:AL9,增益!$A:$A,增益!$I:$I,0)))/100)</f>
        <v>-0.3</v>
      </c>
      <c r="BB9" s="29" cm="1">
        <f t="array" ref="BB9">$G$11+VLOOKUP($R9,武学奇术!$A:$ZZ,10,FALSE)+SUM(_xlfn.XLOOKUP(S9:AL9,增益!$A:$A,增益!$J:$J,0))</f>
        <v>0.02</v>
      </c>
      <c r="BC9">
        <f t="shared" si="3"/>
        <v>0</v>
      </c>
      <c r="BD9">
        <f t="shared" si="4"/>
        <v>0</v>
      </c>
      <c r="BE9" s="29" cm="1">
        <f t="array" ref="BE9">IF($F$12-$I$4+VLOOKUP($R9,武学奇术!$A:$ZZ,11,FALSE)+SUM(_xlfn.XLOOKUP(S9:AL9,增益!$A:$A,增益!$K:$K,0))&gt;0,($F$12-$I$4+VLOOKUP($R9,武学奇术!$A:$ZZ,11,FALSE)+SUM(_xlfn.XLOOKUP(S9:AL9,增益!$A:$A,增益!$K:$K,0)))/200,($F$12-$I$4+VLOOKUP($R9,武学奇术!$A:$ZZ,11,FALSE)+SUM(_xlfn.XLOOKUP(S9:AL9,增益!$A:$A,增益!$K:$K,0)))/100)</f>
        <v>-0.3</v>
      </c>
      <c r="BF9" s="29" cm="1">
        <f t="array" ref="BF9">$G$12+VLOOKUP($R9,武学奇术!$A:$ZZ,12,FALSE)+SUM(_xlfn.XLOOKUP(S9:AL9,增益!$A:$A,增益!$L:$L,0))</f>
        <v>0.02</v>
      </c>
      <c r="BG9">
        <f t="shared" si="5"/>
        <v>0</v>
      </c>
      <c r="BH9">
        <f t="shared" si="6"/>
        <v>0</v>
      </c>
      <c r="BI9" s="29" cm="1">
        <f t="array" ref="BI9">IF($F$13-$I$4+VLOOKUP($R9,武学奇术!$A:$ZZ,13,FALSE)+SUM(_xlfn.XLOOKUP(S9:AL9,增益!$A:$A,增益!$M:$M,0))&gt;0,($F$13-$I$4+VLOOKUP($R9,武学奇术!$A:$ZZ,13,FALSE)+SUM(_xlfn.XLOOKUP(S9:AL9,增益!$A:$A,增益!$K:$K,0)))/200,($F$13-$I$4+VLOOKUP($R9,武学奇术!$A:$ZZ,13,FALSE)+SUM(_xlfn.XLOOKUP(S9:AL9,增益!$A:$A,增益!$M:$M,0)))/100)</f>
        <v>-0.3</v>
      </c>
      <c r="BJ9" s="29" cm="1">
        <f t="array" ref="BJ9">$G$13+VLOOKUP($R9,武学奇术!$A:$ZZ,14,FALSE)+SUM(_xlfn.XLOOKUP(S9:AL9,增益!$A:$A,增益!$N:$N,0))</f>
        <v>0.02</v>
      </c>
      <c r="BK9">
        <f t="shared" si="7"/>
        <v>618.2</v>
      </c>
      <c r="BL9">
        <f t="shared" si="8"/>
        <v>1805</v>
      </c>
      <c r="BM9" s="29" cm="1">
        <f t="array" ref="BM9">IF($F$14-$I$4+VLOOKUP($R9,武学奇术!$A:$ZZ,15,FALSE)+SUM(_xlfn.XLOOKUP(S9:AL9,增益!$A:$A,增益!$O:$O,0))&gt;0,($F$14-$I$4+VLOOKUP($R9,武学奇术!$A:$ZZ,15,FALSE)+SUM(_xlfn.XLOOKUP(S9:AL9,增益!$A:$A,增益!$O:$O,0)))/200,($F$14-$I$4+VLOOKUP($R9,武学奇术!$A:$ZZ,15,FALSE)+SUM(_xlfn.XLOOKUP(S9:AL9,增益!$A:$A,增益!$O:$O,0)))/100)</f>
        <v>0.05</v>
      </c>
      <c r="BN9" s="29" cm="1">
        <f t="array" ref="BN9">$G$14+VLOOKUP($R9,武学奇术!$A:$ZZ,16,FALSE)+SUM(_xlfn.XLOOKUP(S9:AL9,增益!$A:$A,增益!$P:$P,0))</f>
        <v>0.23</v>
      </c>
      <c r="BO9" s="23">
        <f>MIN(IF(VLOOKUP($R9,武学奇术!$A:$ZZ,23,FALSE)=1,100%,$B$8),100%)</f>
        <v>0.9943</v>
      </c>
      <c r="BP9" s="23" cm="1">
        <f t="array" ref="BP9">IF(VLOOKUP($R9,武学奇术!$A:$ZZ,23,FALSE)=1,100%,MIN(80%,$B$9+VLOOKUP($R9,武学奇术!$A:$ZZ,17,FALSE)+SUM(_xlfn.XLOOKUP(S9:AL9,增益!$A:$A,增益!$Q:$Q,0)))+$B$11+SUM(_xlfn.XLOOKUP(S9:AL9,增益!$A:$A,增益!$U:$U,0)))*IF(VLOOKUP($R9,武学奇术!$A:$ZZ,24,FALSE)=1,0,1)</f>
        <v>0.8</v>
      </c>
      <c r="BQ9" s="23" cm="1">
        <f t="array" ref="BQ9">1+$B$13+VLOOKUP($R9,武学奇术!$A:$ZZ,18,FALSE)+SUM(_xlfn.XLOOKUP(S9:AL9,增益!$A:$A,增益!$R:$R,0))</f>
        <v>1.554</v>
      </c>
      <c r="BR9" s="23" cm="1">
        <f t="array" ref="BR9">IF(VLOOKUP($R9,武学奇术!$A:$ZZ,24,FALSE)=1,100%,MIN(40%,$B$10+VLOOKUP($R9,武学奇术!$A:$ZZ,19,FALSE)+SUM(_xlfn.XLOOKUP(S9:AL9,增益!$A:$A,增益!$S:$S,0)))+$B$12+SUM(_xlfn.XLOOKUP(S9:AL9,增益!$A:$A,增益!$V:$V,0)))*IF(VLOOKUP($R9,武学奇术!$A:$ZZ,23,FALSE)=1,0,1)</f>
        <v>0.0913</v>
      </c>
      <c r="BS9" s="23" cm="1">
        <f t="array" ref="BS9">1+$B$14+VLOOKUP($R9,武学奇术!$A:$ZZ,20,FALSE)+SUM(_xlfn.XLOOKUP(S9:AL9,增益!$A:$A,增益!$T:$T,0))</f>
        <v>1.35</v>
      </c>
      <c r="BT9" s="23">
        <f t="shared" si="9"/>
        <v>0.79544</v>
      </c>
      <c r="BU9" s="23">
        <f t="shared" si="10"/>
        <v>0.10808041</v>
      </c>
      <c r="BV9" s="23">
        <f>IF(VLOOKUP($R9,武学奇术!$A:$ZZ,22,FALSE)=1,0,(1-$BO9))*(1-$BR9)</f>
        <v>0.00517958999999993</v>
      </c>
      <c r="BW9" s="23" cm="1">
        <f t="array" ref="BW9">SUM(_xlfn.XLOOKUP(S9:AL9,增益!$A:$A,增益!$W:$W,0))+$I$5</f>
        <v>0.11</v>
      </c>
      <c r="BX9" s="23">
        <f>VLOOKUP($R9,武学奇术!$A:$ZZ,32,FALSE)</f>
        <v>0.1</v>
      </c>
      <c r="BY9" s="23" cm="1">
        <f t="array" ref="BY9">SUM(_xlfn.XLOOKUP($S9:$AL9,增益!$A:$A,增益!$X:$X,0))</f>
        <v>0</v>
      </c>
    </row>
    <row r="10" spans="1:77">
      <c r="A10" s="39" t="s">
        <v>114</v>
      </c>
      <c r="B10" s="71">
        <v>0.0913</v>
      </c>
      <c r="C10" s="12" t="s">
        <v>74</v>
      </c>
      <c r="D10">
        <f>(B2+B24)*IF($G$2="撼天",1.06,1)</f>
        <v>4700</v>
      </c>
      <c r="E10">
        <f>MAX(B2+B24,C2+B25)*IF($G$2="撼天",1.06,1)</f>
        <v>4700</v>
      </c>
      <c r="F10">
        <f>D2</f>
        <v>63.78</v>
      </c>
      <c r="G10" s="91">
        <f>E2</f>
        <v>0</v>
      </c>
      <c r="H10" s="67" t="s">
        <v>115</v>
      </c>
      <c r="I10" s="74">
        <f>SUM(L:L)</f>
        <v>16152450.302634</v>
      </c>
      <c r="J10" s="75"/>
      <c r="K10" s="35">
        <f>$L10*VLOOKUP($R10,武学奇术!$A:$ZZ,31,FALSE)</f>
        <v>13386.4789980519</v>
      </c>
      <c r="L10" s="58">
        <f t="shared" si="0"/>
        <v>11952.2133911178</v>
      </c>
      <c r="M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轻击",$B$21,0))*(1+IF(VLOOKUP($R10,武学奇术!$A:$ZZ,30,FALSE)="老鼠",$B$22,0))*(1+$BW10)*(1+$BX10)</f>
        <v>12487.7165251864</v>
      </c>
      <c r="N10" s="35">
        <f>(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轻击",$B$21,0))*(1+IF(VLOOKUP($R10,武学奇术!$A:$ZZ,30,FALSE)="老鼠",$B$22,0))*(1+$BW10))*(1+$BX10)</f>
        <v>12201.9333483204</v>
      </c>
      <c r="O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轻击",$B$21,0))*(1+IF(VLOOKUP($R10,武学奇术!$A:$ZZ,30,FALSE)="老鼠",$B$22,0))*(1+$BW10)*(1+$BX10)</f>
        <v>8035.85361981107</v>
      </c>
      <c r="P10" s="35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轻击",$B$21,0))*(1+IF(VLOOKUP($R10,武学奇术!$A:$ZZ,30,FALSE)="老鼠",$B$22,0))*(1+$BW10)*(1+$BX10)</f>
        <v>7033.23809271814</v>
      </c>
      <c r="Q10" s="36">
        <v>1</v>
      </c>
      <c r="R10" s="37" t="s">
        <v>116</v>
      </c>
      <c r="S10" s="37" t="s">
        <v>107</v>
      </c>
      <c r="T10" s="37" t="s">
        <v>108</v>
      </c>
      <c r="U10" s="37" t="s">
        <v>112</v>
      </c>
      <c r="V10" s="37" t="s">
        <v>113</v>
      </c>
      <c r="W10" s="37" t="s">
        <v>82</v>
      </c>
      <c r="X10" s="37" t="s">
        <v>81</v>
      </c>
      <c r="Y10" s="37" t="s">
        <v>109</v>
      </c>
      <c r="Z10" s="37" t="s">
        <v>81</v>
      </c>
      <c r="AA10" s="37" t="s">
        <v>81</v>
      </c>
      <c r="AB10" s="37" t="s">
        <v>81</v>
      </c>
      <c r="AC10" s="37" t="s">
        <v>81</v>
      </c>
      <c r="AD10" s="37" t="s">
        <v>81</v>
      </c>
      <c r="AE10" s="37" t="s">
        <v>81</v>
      </c>
      <c r="AF10" s="37" t="s">
        <v>81</v>
      </c>
      <c r="AG10" s="37" t="s">
        <v>87</v>
      </c>
      <c r="AH10" s="37" t="s">
        <v>88</v>
      </c>
      <c r="AI10" s="37" t="s">
        <v>81</v>
      </c>
      <c r="AJ10" s="37" t="s">
        <v>81</v>
      </c>
      <c r="AK10" s="37" t="s">
        <v>81</v>
      </c>
      <c r="AL10" s="37" t="s">
        <v>81</v>
      </c>
      <c r="AM10" t="str">
        <f>VLOOKUP($R10,武学奇术!$A:$ZZ,25,FALSE)</f>
        <v>双刀</v>
      </c>
      <c r="AN10" s="23">
        <f>VLOOKUP($R10,武学奇术!$A:$ZZ,26,FALSE)</f>
        <v>0.4508</v>
      </c>
      <c r="AO10" s="24">
        <f>VLOOKUP($R10,武学奇术!$A:$ZZ,27,FALSE)*(1+IF(OR($AM10=$F$4,$AM10=$F$5),$B$23,0))</f>
        <v>201.6</v>
      </c>
      <c r="AP10" s="23">
        <f>VLOOKUP($R10,武学奇术!$A:$ZZ,28,FALSE)</f>
        <v>0.6763</v>
      </c>
      <c r="AQ10" s="24">
        <f>VLOOKUP($R10,武学奇术!$A:$ZZ,29,FALSE)*(1+IF(OR($AM10=$F$4,$AM10=$F$5),$B$23,0))</f>
        <v>108.8</v>
      </c>
      <c r="AR10" s="23" cm="1">
        <f t="array" ref="AR10">$G$3+IFERROR(VLOOKUP($AM10,$F$4:$G$7,2,FALSE),0)+VLOOKUP($R10,武学奇术!$A:$ZZ,2,FALSE)+SUM(_xlfn.XLOOKUP($S10:$AL10,增益!$A:$A,增益!$B:$B,0))</f>
        <v>0.5843</v>
      </c>
      <c r="AS10" s="23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4150.4</v>
      </c>
      <c r="AU10" cm="1">
        <f t="array" ref="AU10">$E$10*(1+$AS10)+VLOOKUP($R10,武学奇术!$A:$ZZ,4,FALSE)+SUM(_xlfn.XLOOKUP($S10:$AL10,增益!$A:$A,增益!$D:$D,0))-$I$2</f>
        <v>4150.4</v>
      </c>
      <c r="AV10" s="29" cm="1">
        <f t="array" ref="AV10">IF($F$10-$I$3+VLOOKUP($R10,武学奇术!$A:$ZZ,6,FALSE)+SUM(_xlfn.XLOOKUP(S10:AL10,增益!$A:$A,增益!$F:$F,0))&gt;0,($F$10-$I$3+VLOOKUP($R10,武学奇术!$A:$ZZ,6,FALSE)+SUM(_xlfn.XLOOKUP(S10:AL10,增益!$A:$A,增益!$F:$F,0)))/200,($F$10-$I$3+VLOOKUP($R10,武学奇术!$A:$ZZ,6,FALSE)+SUM(_xlfn.XLOOKUP(S10:AL10,增益!$A:$A,增益!$F:$F,0)))/100)</f>
        <v>0.2889</v>
      </c>
      <c r="AW10" s="29" cm="1">
        <f t="array" ref="AW10">$G$10+VLOOKUP($R10,武学奇术!$A:$ZZ,7,FALSE)+SUM(_xlfn.XLOOKUP(S10:AL10,增益!$A:$A,增益!$G:$G,0))</f>
        <v>0.08</v>
      </c>
      <c r="AX10" s="23" cm="1">
        <f t="array" ref="AX10">VLOOKUP($R10,武学奇术!$A:$ZZ,8,FALSE)+SUM(_xlfn.XLOOKUP(S10:AL10,增益!$A:$A,增益!$H:$H,0))</f>
        <v>0</v>
      </c>
      <c r="AY10">
        <f t="shared" si="1"/>
        <v>0</v>
      </c>
      <c r="AZ10">
        <f t="shared" si="2"/>
        <v>0</v>
      </c>
      <c r="BA10" s="29" cm="1">
        <f t="array" ref="BA10">IF($F$11-$I$4+VLOOKUP($R10,武学奇术!$A:$ZZ,9,FALSE)+SUM(_xlfn.XLOOKUP(S10:AL10,增益!$A:$A,增益!$I:$I,0))&gt;0,($F$11-$I$4+VLOOKUP($R10,武学奇术!$A:$ZZ,9,FALSE)+SUM(_xlfn.XLOOKUP(S10:AL10,增益!$A:$A,增益!$I:$I,0)))/200,($F$11-$I$4+VLOOKUP($R10,武学奇术!$A:$ZZ,9,FALSE)+SUM(_xlfn.XLOOKUP(S10:AL10,增益!$A:$A,增益!$I:$I,0)))/100)</f>
        <v>-0.3</v>
      </c>
      <c r="BB10" s="29" cm="1">
        <f t="array" ref="BB10">$G$11+VLOOKUP($R10,武学奇术!$A:$ZZ,10,FALSE)+SUM(_xlfn.XLOOKUP(S10:AL10,增益!$A:$A,增益!$J:$J,0))</f>
        <v>0.02</v>
      </c>
      <c r="BC10">
        <f t="shared" si="3"/>
        <v>0</v>
      </c>
      <c r="BD10">
        <f t="shared" si="4"/>
        <v>0</v>
      </c>
      <c r="BE10" s="29" cm="1">
        <f t="array" ref="BE10">IF($F$12-$I$4+VLOOKUP($R10,武学奇术!$A:$ZZ,11,FALSE)+SUM(_xlfn.XLOOKUP(S10:AL10,增益!$A:$A,增益!$K:$K,0))&gt;0,($F$12-$I$4+VLOOKUP($R10,武学奇术!$A:$ZZ,11,FALSE)+SUM(_xlfn.XLOOKUP(S10:AL10,增益!$A:$A,增益!$K:$K,0)))/200,($F$12-$I$4+VLOOKUP($R10,武学奇术!$A:$ZZ,11,FALSE)+SUM(_xlfn.XLOOKUP(S10:AL10,增益!$A:$A,增益!$K:$K,0)))/100)</f>
        <v>-0.3</v>
      </c>
      <c r="BF10" s="29" cm="1">
        <f t="array" ref="BF10">$G$12+VLOOKUP($R10,武学奇术!$A:$ZZ,12,FALSE)+SUM(_xlfn.XLOOKUP(S10:AL10,增益!$A:$A,增益!$L:$L,0))</f>
        <v>0.02</v>
      </c>
      <c r="BG10">
        <f t="shared" si="5"/>
        <v>0</v>
      </c>
      <c r="BH10">
        <f t="shared" si="6"/>
        <v>0</v>
      </c>
      <c r="BI10" s="29" cm="1">
        <f t="array" ref="BI10">IF($F$13-$I$4+VLOOKUP($R10,武学奇术!$A:$ZZ,13,FALSE)+SUM(_xlfn.XLOOKUP(S10:AL10,增益!$A:$A,增益!$M:$M,0))&gt;0,($F$13-$I$4+VLOOKUP($R10,武学奇术!$A:$ZZ,13,FALSE)+SUM(_xlfn.XLOOKUP(S10:AL10,增益!$A:$A,增益!$K:$K,0)))/200,($F$13-$I$4+VLOOKUP($R10,武学奇术!$A:$ZZ,13,FALSE)+SUM(_xlfn.XLOOKUP(S10:AL10,增益!$A:$A,增益!$M:$M,0)))/100)</f>
        <v>-0.3</v>
      </c>
      <c r="BJ10" s="29" cm="1">
        <f t="array" ref="BJ10">$G$13+VLOOKUP($R10,武学奇术!$A:$ZZ,14,FALSE)+SUM(_xlfn.XLOOKUP(S10:AL10,增益!$A:$A,增益!$N:$N,0))</f>
        <v>0.02</v>
      </c>
      <c r="BK10">
        <f t="shared" si="7"/>
        <v>618.2</v>
      </c>
      <c r="BL10">
        <f t="shared" si="8"/>
        <v>1805</v>
      </c>
      <c r="BM10" s="29" cm="1">
        <f t="array" ref="BM10">IF($F$14-$I$4+VLOOKUP($R10,武学奇术!$A:$ZZ,15,FALSE)+SUM(_xlfn.XLOOKUP(S10:AL10,增益!$A:$A,增益!$O:$O,0))&gt;0,($F$14-$I$4+VLOOKUP($R10,武学奇术!$A:$ZZ,15,FALSE)+SUM(_xlfn.XLOOKUP(S10:AL10,增益!$A:$A,增益!$O:$O,0)))/200,($F$14-$I$4+VLOOKUP($R10,武学奇术!$A:$ZZ,15,FALSE)+SUM(_xlfn.XLOOKUP(S10:AL10,增益!$A:$A,增益!$O:$O,0)))/100)</f>
        <v>0.05</v>
      </c>
      <c r="BN10" s="29" cm="1">
        <f t="array" ref="BN10">$G$14+VLOOKUP($R10,武学奇术!$A:$ZZ,16,FALSE)+SUM(_xlfn.XLOOKUP(S10:AL10,增益!$A:$A,增益!$P:$P,0))</f>
        <v>0.23</v>
      </c>
      <c r="BO10" s="23">
        <f>MIN(IF(VLOOKUP($R10,武学奇术!$A:$ZZ,23,FALSE)=1,100%,$B$8),100%)</f>
        <v>0.9943</v>
      </c>
      <c r="BP10" s="23" cm="1">
        <f t="array" ref="BP10">IF(VLOOKUP($R10,武学奇术!$A:$ZZ,23,FALSE)=1,100%,MIN(80%,$B$9+VLOOKUP($R10,武学奇术!$A:$ZZ,17,FALSE)+SUM(_xlfn.XLOOKUP(S10:AL10,增益!$A:$A,增益!$Q:$Q,0)))+$B$11+SUM(_xlfn.XLOOKUP(S10:AL10,增益!$A:$A,增益!$U:$U,0)))*IF(VLOOKUP($R10,武学奇术!$A:$ZZ,24,FALSE)=1,0,1)</f>
        <v>0.8</v>
      </c>
      <c r="BQ10" s="23" cm="1">
        <f t="array" ref="BQ10">1+$B$13+VLOOKUP($R10,武学奇术!$A:$ZZ,18,FALSE)+SUM(_xlfn.XLOOKUP(S10:AL10,增益!$A:$A,增益!$R:$R,0))</f>
        <v>1.554</v>
      </c>
      <c r="BR10" s="23" cm="1">
        <f t="array" ref="BR10">IF(VLOOKUP($R10,武学奇术!$A:$ZZ,24,FALSE)=1,100%,MIN(40%,$B$10+VLOOKUP($R10,武学奇术!$A:$ZZ,19,FALSE)+SUM(_xlfn.XLOOKUP(S10:AL10,增益!$A:$A,增益!$S:$S,0)))+$B$12+SUM(_xlfn.XLOOKUP(S10:AL10,增益!$A:$A,增益!$V:$V,0)))*IF(VLOOKUP($R10,武学奇术!$A:$ZZ,23,FALSE)=1,0,1)</f>
        <v>0.0913</v>
      </c>
      <c r="BS10" s="23" cm="1">
        <f t="array" ref="BS10">1+$B$14+VLOOKUP($R10,武学奇术!$A:$ZZ,20,FALSE)+SUM(_xlfn.XLOOKUP(S10:AL10,增益!$A:$A,增益!$T:$T,0))</f>
        <v>1.35</v>
      </c>
      <c r="BT10" s="23">
        <f t="shared" si="9"/>
        <v>0.79544</v>
      </c>
      <c r="BU10" s="23">
        <f t="shared" si="10"/>
        <v>0.10808041</v>
      </c>
      <c r="BV10" s="23">
        <f>IF(VLOOKUP($R10,武学奇术!$A:$ZZ,22,FALSE)=1,0,(1-$BO10))*(1-$BR10)</f>
        <v>0.00517958999999993</v>
      </c>
      <c r="BW10" s="23" cm="1">
        <f t="array" ref="BW10">SUM(_xlfn.XLOOKUP(S10:AL10,增益!$A:$A,增益!$W:$W,0))+$I$5</f>
        <v>0.11</v>
      </c>
      <c r="BX10" s="23">
        <f>VLOOKUP($R10,武学奇术!$A:$ZZ,32,FALSE)</f>
        <v>0.1</v>
      </c>
      <c r="BY10" s="23" cm="1">
        <f t="array" ref="BY10">SUM(_xlfn.XLOOKUP($S10:$AL10,增益!$A:$A,增益!$X:$X,0))</f>
        <v>0</v>
      </c>
    </row>
    <row r="11" ht="14.25" spans="1:77">
      <c r="A11" s="39" t="s">
        <v>117</v>
      </c>
      <c r="B11" s="71">
        <v>0.087</v>
      </c>
      <c r="C11" s="12" t="s">
        <v>89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1">
        <f>E3</f>
        <v>0</v>
      </c>
      <c r="H11" s="72"/>
      <c r="I11" s="76"/>
      <c r="J11" s="77"/>
      <c r="K11" s="35">
        <f>$L11*VLOOKUP($R11,武学奇术!$A:$ZZ,31,FALSE)</f>
        <v>56471.0821583363</v>
      </c>
      <c r="L11" s="69">
        <f t="shared" si="0"/>
        <v>55363.8060375846</v>
      </c>
      <c r="M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轻击",$B$21,0))*(1+IF(VLOOKUP($R11,武学奇术!$A:$ZZ,30,FALSE)="老鼠",$B$22,0))*(1+$BW11)*(1+$BX11)</f>
        <v>57776.8137018649</v>
      </c>
      <c r="N11" s="35">
        <f>(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轻击",$B$21,0))*(1+IF(VLOOKUP($R11,武学奇术!$A:$ZZ,30,FALSE)="老鼠",$B$22,0))*(1+$BW11))*(1+$BX11)</f>
        <v>57193.1812678928</v>
      </c>
      <c r="O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轻击",$B$21,0))*(1+IF(VLOOKUP($R11,武学奇术!$A:$ZZ,30,FALSE)="老鼠",$B$22,0))*(1+$BW11)*(1+$BX11)</f>
        <v>37179.4167965669</v>
      </c>
      <c r="P11" s="35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轻击",$B$21,0))*(1+IF(VLOOKUP($R11,武学奇术!$A:$ZZ,30,FALSE)="老鼠",$B$22,0))*(1+$BW11)*(1+$BX11)</f>
        <v>31993.5141354354</v>
      </c>
      <c r="Q11" s="70">
        <v>3</v>
      </c>
      <c r="R11" s="37" t="s">
        <v>106</v>
      </c>
      <c r="S11" s="37" t="s">
        <v>107</v>
      </c>
      <c r="T11" s="37" t="s">
        <v>108</v>
      </c>
      <c r="U11" s="37" t="s">
        <v>112</v>
      </c>
      <c r="V11" s="37" t="s">
        <v>113</v>
      </c>
      <c r="W11" s="37" t="s">
        <v>82</v>
      </c>
      <c r="X11" s="37" t="s">
        <v>81</v>
      </c>
      <c r="Y11" s="37" t="s">
        <v>109</v>
      </c>
      <c r="Z11" s="37" t="s">
        <v>81</v>
      </c>
      <c r="AA11" s="37" t="s">
        <v>81</v>
      </c>
      <c r="AB11" s="37" t="s">
        <v>81</v>
      </c>
      <c r="AC11" s="37" t="s">
        <v>81</v>
      </c>
      <c r="AD11" s="37" t="s">
        <v>81</v>
      </c>
      <c r="AE11" s="37" t="s">
        <v>81</v>
      </c>
      <c r="AF11" s="37" t="s">
        <v>81</v>
      </c>
      <c r="AG11" s="37" t="s">
        <v>87</v>
      </c>
      <c r="AH11" s="37" t="s">
        <v>88</v>
      </c>
      <c r="AI11" s="37" t="s">
        <v>81</v>
      </c>
      <c r="AJ11" s="37" t="s">
        <v>81</v>
      </c>
      <c r="AK11" s="37" t="s">
        <v>81</v>
      </c>
      <c r="AL11" s="37" t="s">
        <v>81</v>
      </c>
      <c r="AM11" t="str">
        <f>VLOOKUP($R11,武学奇术!$A:$ZZ,25,FALSE)</f>
        <v>绳镖</v>
      </c>
      <c r="AN11" s="23">
        <f>VLOOKUP($R11,武学奇术!$A:$ZZ,26,FALSE)</f>
        <v>0.3675</v>
      </c>
      <c r="AO11" s="24">
        <f>VLOOKUP($R11,武学奇术!$A:$ZZ,27,FALSE)*(1+IF(OR($AM11=$F$4,$AM11=$F$5),$B$23,0))</f>
        <v>0</v>
      </c>
      <c r="AP11" s="23">
        <f>VLOOKUP($R11,武学奇术!$A:$ZZ,28,FALSE)</f>
        <v>0.55125</v>
      </c>
      <c r="AQ11" s="24">
        <f>VLOOKUP($R11,武学奇术!$A:$ZZ,29,FALSE)*(1+IF(OR($AM11=$F$4,$AM11=$F$5),$B$23,0))</f>
        <v>0</v>
      </c>
      <c r="AR11" s="23" cm="1">
        <f t="array" ref="AR11">$G$3+IFERROR(VLOOKUP($AM11,$F$4:$G$7,2,FALSE),0)+VLOOKUP($R11,武学奇术!$A:$ZZ,2,FALSE)+SUM(_xlfn.XLOOKUP($S11:$AL11,增益!$A:$A,增益!$B:$B,0))</f>
        <v>1.3843</v>
      </c>
      <c r="AS11" s="23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4150.4</v>
      </c>
      <c r="AU11" cm="1">
        <f t="array" ref="AU11">$E$10*(1+$AS11)+VLOOKUP($R11,武学奇术!$A:$ZZ,4,FALSE)+SUM(_xlfn.XLOOKUP($S11:$AL11,增益!$A:$A,增益!$D:$D,0))-$I$2</f>
        <v>4150.4</v>
      </c>
      <c r="AV11" s="29" cm="1">
        <f t="array" ref="AV11">IF($F$10-$I$3+VLOOKUP($R11,武学奇术!$A:$ZZ,6,FALSE)+SUM(_xlfn.XLOOKUP(S11:AL11,增益!$A:$A,增益!$F:$F,0))&gt;0,($F$10-$I$3+VLOOKUP($R11,武学奇术!$A:$ZZ,6,FALSE)+SUM(_xlfn.XLOOKUP(S11:AL11,增益!$A:$A,增益!$F:$F,0)))/200,($F$10-$I$3+VLOOKUP($R11,武学奇术!$A:$ZZ,6,FALSE)+SUM(_xlfn.XLOOKUP(S11:AL11,增益!$A:$A,增益!$F:$F,0)))/100)</f>
        <v>0.2889</v>
      </c>
      <c r="AW11" s="29" cm="1">
        <f t="array" ref="AW11">$G$10+VLOOKUP($R11,武学奇术!$A:$ZZ,7,FALSE)+SUM(_xlfn.XLOOKUP(S11:AL11,增益!$A:$A,增益!$G:$G,0))</f>
        <v>0.29</v>
      </c>
      <c r="AX11" s="23" cm="1">
        <f t="array" ref="AX11">VLOOKUP($R11,武学奇术!$A:$ZZ,8,FALSE)+SUM(_xlfn.XLOOKUP(S11:AL11,增益!$A:$A,增益!$H:$H,0))</f>
        <v>0</v>
      </c>
      <c r="AY11">
        <f t="shared" si="1"/>
        <v>0</v>
      </c>
      <c r="AZ11">
        <f t="shared" si="2"/>
        <v>0</v>
      </c>
      <c r="BA11" s="29" cm="1">
        <f t="array" ref="BA11">IF($F$11-$I$4+VLOOKUP($R11,武学奇术!$A:$ZZ,9,FALSE)+SUM(_xlfn.XLOOKUP(S11:AL11,增益!$A:$A,增益!$I:$I,0))&gt;0,($F$11-$I$4+VLOOKUP($R11,武学奇术!$A:$ZZ,9,FALSE)+SUM(_xlfn.XLOOKUP(S11:AL11,增益!$A:$A,增益!$I:$I,0)))/200,($F$11-$I$4+VLOOKUP($R11,武学奇术!$A:$ZZ,9,FALSE)+SUM(_xlfn.XLOOKUP(S11:AL11,增益!$A:$A,增益!$I:$I,0)))/100)</f>
        <v>-0.3</v>
      </c>
      <c r="BB11" s="29" cm="1">
        <f t="array" ref="BB11">$G$11+VLOOKUP($R11,武学奇术!$A:$ZZ,10,FALSE)+SUM(_xlfn.XLOOKUP(S11:AL11,增益!$A:$A,增益!$J:$J,0))</f>
        <v>0.02</v>
      </c>
      <c r="BC11">
        <f t="shared" si="3"/>
        <v>0</v>
      </c>
      <c r="BD11">
        <f t="shared" si="4"/>
        <v>0</v>
      </c>
      <c r="BE11" s="29" cm="1">
        <f t="array" ref="BE11">IF($F$12-$I$4+VLOOKUP($R11,武学奇术!$A:$ZZ,11,FALSE)+SUM(_xlfn.XLOOKUP(S11:AL11,增益!$A:$A,增益!$K:$K,0))&gt;0,($F$12-$I$4+VLOOKUP($R11,武学奇术!$A:$ZZ,11,FALSE)+SUM(_xlfn.XLOOKUP(S11:AL11,增益!$A:$A,增益!$K:$K,0)))/200,($F$12-$I$4+VLOOKUP($R11,武学奇术!$A:$ZZ,11,FALSE)+SUM(_xlfn.XLOOKUP(S11:AL11,增益!$A:$A,增益!$K:$K,0)))/100)</f>
        <v>-0.3</v>
      </c>
      <c r="BF11" s="29" cm="1">
        <f t="array" ref="BF11">$G$12+VLOOKUP($R11,武学奇术!$A:$ZZ,12,FALSE)+SUM(_xlfn.XLOOKUP(S11:AL11,增益!$A:$A,增益!$L:$L,0))</f>
        <v>0.02</v>
      </c>
      <c r="BG11">
        <f t="shared" si="5"/>
        <v>0</v>
      </c>
      <c r="BH11">
        <f t="shared" si="6"/>
        <v>0</v>
      </c>
      <c r="BI11" s="29" cm="1">
        <f t="array" ref="BI11">IF($F$13-$I$4+VLOOKUP($R11,武学奇术!$A:$ZZ,13,FALSE)+SUM(_xlfn.XLOOKUP(S11:AL11,增益!$A:$A,增益!$M:$M,0))&gt;0,($F$13-$I$4+VLOOKUP($R11,武学奇术!$A:$ZZ,13,FALSE)+SUM(_xlfn.XLOOKUP(S11:AL11,增益!$A:$A,增益!$K:$K,0)))/200,($F$13-$I$4+VLOOKUP($R11,武学奇术!$A:$ZZ,13,FALSE)+SUM(_xlfn.XLOOKUP(S11:AL11,增益!$A:$A,增益!$M:$M,0)))/100)</f>
        <v>-0.3</v>
      </c>
      <c r="BJ11" s="29" cm="1">
        <f t="array" ref="BJ11">$G$13+VLOOKUP($R11,武学奇术!$A:$ZZ,14,FALSE)+SUM(_xlfn.XLOOKUP(S11:AL11,增益!$A:$A,增益!$N:$N,0))</f>
        <v>0.02</v>
      </c>
      <c r="BK11">
        <f t="shared" si="7"/>
        <v>618.2</v>
      </c>
      <c r="BL11">
        <f t="shared" si="8"/>
        <v>1805</v>
      </c>
      <c r="BM11" s="29" cm="1">
        <f t="array" ref="BM11">IF($F$14-$I$4+VLOOKUP($R11,武学奇术!$A:$ZZ,15,FALSE)+SUM(_xlfn.XLOOKUP(S11:AL11,增益!$A:$A,增益!$O:$O,0))&gt;0,($F$14-$I$4+VLOOKUP($R11,武学奇术!$A:$ZZ,15,FALSE)+SUM(_xlfn.XLOOKUP(S11:AL11,增益!$A:$A,增益!$O:$O,0)))/200,($F$14-$I$4+VLOOKUP($R11,武学奇术!$A:$ZZ,15,FALSE)+SUM(_xlfn.XLOOKUP(S11:AL11,增益!$A:$A,增益!$O:$O,0)))/100)</f>
        <v>0.05</v>
      </c>
      <c r="BN11" s="29" cm="1">
        <f t="array" ref="BN11">$G$14+VLOOKUP($R11,武学奇术!$A:$ZZ,16,FALSE)+SUM(_xlfn.XLOOKUP(S11:AL11,增益!$A:$A,增益!$P:$P,0))</f>
        <v>0.44</v>
      </c>
      <c r="BO11" s="23">
        <f>MIN(IF(VLOOKUP($R11,武学奇术!$A:$ZZ,23,FALSE)=1,100%,$B$8),100%)</f>
        <v>0.9943</v>
      </c>
      <c r="BP11" s="23" cm="1">
        <f t="array" ref="BP11">IF(VLOOKUP($R11,武学奇术!$A:$ZZ,23,FALSE)=1,100%,MIN(80%,$B$9+VLOOKUP($R11,武学奇术!$A:$ZZ,17,FALSE)+SUM(_xlfn.XLOOKUP(S11:AL11,增益!$A:$A,增益!$Q:$Q,0)))+$B$11+SUM(_xlfn.XLOOKUP(S11:AL11,增益!$A:$A,增益!$U:$U,0)))*IF(VLOOKUP($R11,武学奇术!$A:$ZZ,24,FALSE)=1,0,1)</f>
        <v>0.8</v>
      </c>
      <c r="BQ11" s="23" cm="1">
        <f t="array" ref="BQ11">1+$B$13+VLOOKUP($R11,武学奇术!$A:$ZZ,18,FALSE)+SUM(_xlfn.XLOOKUP(S11:AL11,增益!$A:$A,增益!$R:$R,0))</f>
        <v>1.554</v>
      </c>
      <c r="BR11" s="23" cm="1">
        <f t="array" ref="BR11">IF(VLOOKUP($R11,武学奇术!$A:$ZZ,24,FALSE)=1,100%,MIN(40%,$B$10+VLOOKUP($R11,武学奇术!$A:$ZZ,19,FALSE)+SUM(_xlfn.XLOOKUP(S11:AL11,增益!$A:$A,增益!$S:$S,0)))+$B$12+SUM(_xlfn.XLOOKUP(S11:AL11,增益!$A:$A,增益!$V:$V,0)))*IF(VLOOKUP($R11,武学奇术!$A:$ZZ,23,FALSE)=1,0,1)</f>
        <v>0.0913</v>
      </c>
      <c r="BS11" s="23" cm="1">
        <f t="array" ref="BS11">1+$B$14+VLOOKUP($R11,武学奇术!$A:$ZZ,20,FALSE)+SUM(_xlfn.XLOOKUP(S11:AL11,增益!$A:$A,增益!$T:$T,0))</f>
        <v>1.35</v>
      </c>
      <c r="BT11" s="23">
        <f t="shared" si="9"/>
        <v>0.79544</v>
      </c>
      <c r="BU11" s="23">
        <f t="shared" si="10"/>
        <v>0.10808041</v>
      </c>
      <c r="BV11" s="23">
        <f>IF(VLOOKUP($R11,武学奇术!$A:$ZZ,22,FALSE)=1,0,(1-$BO11))*(1-$BR11)</f>
        <v>0.00517958999999993</v>
      </c>
      <c r="BW11" s="23" cm="1">
        <f t="array" ref="BW11">SUM(_xlfn.XLOOKUP(S11:AL11,增益!$A:$A,增益!$W:$W,0))+$I$5</f>
        <v>0.11</v>
      </c>
      <c r="BX11" s="23">
        <f>VLOOKUP($R11,武学奇术!$A:$ZZ,32,FALSE)</f>
        <v>0</v>
      </c>
      <c r="BY11" s="23" cm="1">
        <f t="array" ref="BY11">SUM(_xlfn.XLOOKUP($S11:$AL11,增益!$A:$A,增益!$X:$X,0))</f>
        <v>0</v>
      </c>
    </row>
    <row r="12" spans="1:77">
      <c r="A12" s="39" t="s">
        <v>118</v>
      </c>
      <c r="B12" s="71">
        <v>0</v>
      </c>
      <c r="C12" s="12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1">
        <f>E4</f>
        <v>0</v>
      </c>
      <c r="H12" s="67" t="s">
        <v>119</v>
      </c>
      <c r="I12" s="35">
        <f>I10/I8</f>
        <v>182513.562741627</v>
      </c>
      <c r="J12" s="78"/>
      <c r="K12" s="35">
        <f>$L12*VLOOKUP($R12,武学奇术!$A:$ZZ,31,FALSE)</f>
        <v>17336.4216695482</v>
      </c>
      <c r="L12" s="58">
        <f t="shared" si="0"/>
        <v>15478.9479192394</v>
      </c>
      <c r="M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轻击",$B$21,0))*(1+IF(VLOOKUP($R12,武学奇术!$A:$ZZ,30,FALSE)="老鼠",$B$22,0))*(1+$BW12)*(1+$BX12)</f>
        <v>16173.3097226582</v>
      </c>
      <c r="N12" s="35">
        <f>(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轻击",$B$21,0))*(1+IF(VLOOKUP($R12,武学奇术!$A:$ZZ,30,FALSE)="老鼠",$B$22,0))*(1+$BW12))*(1+$BX12)</f>
        <v>15793.9016278491</v>
      </c>
      <c r="O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轻击",$B$21,0))*(1+IF(VLOOKUP($R12,武学奇术!$A:$ZZ,30,FALSE)="老鼠",$B$22,0))*(1+$BW12)*(1+$BX12)</f>
        <v>10407.5352140658</v>
      </c>
      <c r="P12" s="35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轻击",$B$21,0))*(1+IF(VLOOKUP($R12,武学奇术!$A:$ZZ,30,FALSE)="老鼠",$B$22,0))*(1+$BW12)*(1+$BX12)</f>
        <v>9115.88403713226</v>
      </c>
      <c r="Q12" s="36">
        <v>1</v>
      </c>
      <c r="R12" s="37" t="s">
        <v>120</v>
      </c>
      <c r="S12" s="37" t="s">
        <v>121</v>
      </c>
      <c r="T12" s="37" t="s">
        <v>108</v>
      </c>
      <c r="U12" s="37" t="s">
        <v>112</v>
      </c>
      <c r="V12" s="37" t="s">
        <v>113</v>
      </c>
      <c r="W12" s="37" t="s">
        <v>82</v>
      </c>
      <c r="X12" s="37" t="s">
        <v>81</v>
      </c>
      <c r="Y12" s="37" t="s">
        <v>109</v>
      </c>
      <c r="Z12" s="37" t="s">
        <v>81</v>
      </c>
      <c r="AA12" s="37" t="s">
        <v>81</v>
      </c>
      <c r="AB12" s="37" t="s">
        <v>81</v>
      </c>
      <c r="AC12" s="37" t="s">
        <v>81</v>
      </c>
      <c r="AD12" s="37" t="s">
        <v>81</v>
      </c>
      <c r="AE12" s="37" t="s">
        <v>81</v>
      </c>
      <c r="AF12" s="37" t="s">
        <v>81</v>
      </c>
      <c r="AG12" s="37" t="s">
        <v>87</v>
      </c>
      <c r="AH12" s="37" t="s">
        <v>88</v>
      </c>
      <c r="AI12" s="37" t="s">
        <v>81</v>
      </c>
      <c r="AJ12" s="37" t="s">
        <v>81</v>
      </c>
      <c r="AK12" s="37" t="s">
        <v>81</v>
      </c>
      <c r="AL12" s="37" t="s">
        <v>81</v>
      </c>
      <c r="AM12" t="str">
        <f>VLOOKUP($R12,武学奇术!$A:$ZZ,25,FALSE)</f>
        <v>双刀</v>
      </c>
      <c r="AN12" s="23">
        <f>VLOOKUP($R12,武学奇术!$A:$ZZ,26,FALSE)</f>
        <v>0.5772</v>
      </c>
      <c r="AO12" s="24">
        <f>VLOOKUP($R12,武学奇术!$A:$ZZ,27,FALSE)*(1+IF(OR($AM12=$F$4,$AM12=$F$5),$B$23,0))</f>
        <v>257.6</v>
      </c>
      <c r="AP12" s="23">
        <f>VLOOKUP($R12,武学奇术!$A:$ZZ,28,FALSE)</f>
        <v>0.8658</v>
      </c>
      <c r="AQ12" s="24">
        <f>VLOOKUP($R12,武学奇术!$A:$ZZ,29,FALSE)*(1+IF(OR($AM12=$F$4,$AM12=$F$5),$B$23,0))</f>
        <v>139.2</v>
      </c>
      <c r="AR12" s="23" cm="1">
        <f t="array" ref="AR12">$G$3+IFERROR(VLOOKUP($AM12,$F$4:$G$7,2,FALSE),0)+VLOOKUP($R12,武学奇术!$A:$ZZ,2,FALSE)+SUM(_xlfn.XLOOKUP($S12:$AL12,增益!$A:$A,增益!$B:$B,0))</f>
        <v>0.5943</v>
      </c>
      <c r="AS12" s="23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4150.4</v>
      </c>
      <c r="AU12" cm="1">
        <f t="array" ref="AU12">$E$10*(1+$AS12)+VLOOKUP($R12,武学奇术!$A:$ZZ,4,FALSE)+SUM(_xlfn.XLOOKUP($S12:$AL12,增益!$A:$A,增益!$D:$D,0))-$I$2</f>
        <v>4150.4</v>
      </c>
      <c r="AV12" s="29" cm="1">
        <f t="array" ref="AV12">IF($F$10-$I$3+VLOOKUP($R12,武学奇术!$A:$ZZ,6,FALSE)+SUM(_xlfn.XLOOKUP(S12:AL12,增益!$A:$A,增益!$F:$F,0))&gt;0,($F$10-$I$3+VLOOKUP($R12,武学奇术!$A:$ZZ,6,FALSE)+SUM(_xlfn.XLOOKUP(S12:AL12,增益!$A:$A,增益!$F:$F,0)))/200,($F$10-$I$3+VLOOKUP($R12,武学奇术!$A:$ZZ,6,FALSE)+SUM(_xlfn.XLOOKUP(S12:AL12,增益!$A:$A,增益!$F:$F,0)))/100)</f>
        <v>0.2989</v>
      </c>
      <c r="AW12" s="29" cm="1">
        <f t="array" ref="AW12">$G$10+VLOOKUP($R12,武学奇术!$A:$ZZ,7,FALSE)+SUM(_xlfn.XLOOKUP(S12:AL12,增益!$A:$A,增益!$G:$G,0))</f>
        <v>0.08</v>
      </c>
      <c r="AX12" s="23" cm="1">
        <f t="array" ref="AX12">VLOOKUP($R12,武学奇术!$A:$ZZ,8,FALSE)+SUM(_xlfn.XLOOKUP(S12:AL12,增益!$A:$A,增益!$H:$H,0))</f>
        <v>0</v>
      </c>
      <c r="AY12">
        <f t="shared" si="1"/>
        <v>0</v>
      </c>
      <c r="AZ12">
        <f t="shared" si="2"/>
        <v>0</v>
      </c>
      <c r="BA12" s="29" cm="1">
        <f t="array" ref="BA12">IF($F$11-$I$4+VLOOKUP($R12,武学奇术!$A:$ZZ,9,FALSE)+SUM(_xlfn.XLOOKUP(S12:AL12,增益!$A:$A,增益!$I:$I,0))&gt;0,($F$11-$I$4+VLOOKUP($R12,武学奇术!$A:$ZZ,9,FALSE)+SUM(_xlfn.XLOOKUP(S12:AL12,增益!$A:$A,增益!$I:$I,0)))/200,($F$11-$I$4+VLOOKUP($R12,武学奇术!$A:$ZZ,9,FALSE)+SUM(_xlfn.XLOOKUP(S12:AL12,增益!$A:$A,增益!$I:$I,0)))/100)</f>
        <v>-0.3</v>
      </c>
      <c r="BB12" s="29" cm="1">
        <f t="array" ref="BB12">$G$11+VLOOKUP($R12,武学奇术!$A:$ZZ,10,FALSE)+SUM(_xlfn.XLOOKUP(S12:AL12,增益!$A:$A,增益!$J:$J,0))</f>
        <v>0.02</v>
      </c>
      <c r="BC12">
        <f t="shared" si="3"/>
        <v>0</v>
      </c>
      <c r="BD12">
        <f t="shared" si="4"/>
        <v>0</v>
      </c>
      <c r="BE12" s="29" cm="1">
        <f t="array" ref="BE12">IF($F$12-$I$4+VLOOKUP($R12,武学奇术!$A:$ZZ,11,FALSE)+SUM(_xlfn.XLOOKUP(S12:AL12,增益!$A:$A,增益!$K:$K,0))&gt;0,($F$12-$I$4+VLOOKUP($R12,武学奇术!$A:$ZZ,11,FALSE)+SUM(_xlfn.XLOOKUP(S12:AL12,增益!$A:$A,增益!$K:$K,0)))/200,($F$12-$I$4+VLOOKUP($R12,武学奇术!$A:$ZZ,11,FALSE)+SUM(_xlfn.XLOOKUP(S12:AL12,增益!$A:$A,增益!$K:$K,0)))/100)</f>
        <v>-0.3</v>
      </c>
      <c r="BF12" s="29" cm="1">
        <f t="array" ref="BF12">$G$12+VLOOKUP($R12,武学奇术!$A:$ZZ,12,FALSE)+SUM(_xlfn.XLOOKUP(S12:AL12,增益!$A:$A,增益!$L:$L,0))</f>
        <v>0.02</v>
      </c>
      <c r="BG12">
        <f t="shared" si="5"/>
        <v>0</v>
      </c>
      <c r="BH12">
        <f t="shared" si="6"/>
        <v>0</v>
      </c>
      <c r="BI12" s="29" cm="1">
        <f t="array" ref="BI12">IF($F$13-$I$4+VLOOKUP($R12,武学奇术!$A:$ZZ,13,FALSE)+SUM(_xlfn.XLOOKUP(S12:AL12,增益!$A:$A,增益!$M:$M,0))&gt;0,($F$13-$I$4+VLOOKUP($R12,武学奇术!$A:$ZZ,13,FALSE)+SUM(_xlfn.XLOOKUP(S12:AL12,增益!$A:$A,增益!$K:$K,0)))/200,($F$13-$I$4+VLOOKUP($R12,武学奇术!$A:$ZZ,13,FALSE)+SUM(_xlfn.XLOOKUP(S12:AL12,增益!$A:$A,增益!$M:$M,0)))/100)</f>
        <v>-0.3</v>
      </c>
      <c r="BJ12" s="29" cm="1">
        <f t="array" ref="BJ12">$G$13+VLOOKUP($R12,武学奇术!$A:$ZZ,14,FALSE)+SUM(_xlfn.XLOOKUP(S12:AL12,增益!$A:$A,增益!$N:$N,0))</f>
        <v>0.02</v>
      </c>
      <c r="BK12">
        <f t="shared" si="7"/>
        <v>618.2</v>
      </c>
      <c r="BL12">
        <f t="shared" si="8"/>
        <v>1805</v>
      </c>
      <c r="BM12" s="29" cm="1">
        <f t="array" ref="BM12">IF($F$14-$I$4+VLOOKUP($R12,武学奇术!$A:$ZZ,15,FALSE)+SUM(_xlfn.XLOOKUP(S12:AL12,增益!$A:$A,增益!$O:$O,0))&gt;0,($F$14-$I$4+VLOOKUP($R12,武学奇术!$A:$ZZ,15,FALSE)+SUM(_xlfn.XLOOKUP(S12:AL12,增益!$A:$A,增益!$O:$O,0)))/200,($F$14-$I$4+VLOOKUP($R12,武学奇术!$A:$ZZ,15,FALSE)+SUM(_xlfn.XLOOKUP(S12:AL12,增益!$A:$A,增益!$O:$O,0)))/100)</f>
        <v>0.05</v>
      </c>
      <c r="BN12" s="29" cm="1">
        <f t="array" ref="BN12">$G$14+VLOOKUP($R12,武学奇术!$A:$ZZ,16,FALSE)+SUM(_xlfn.XLOOKUP(S12:AL12,增益!$A:$A,增益!$P:$P,0))</f>
        <v>0.23</v>
      </c>
      <c r="BO12" s="23">
        <f>MIN(IF(VLOOKUP($R12,武学奇术!$A:$ZZ,23,FALSE)=1,100%,$B$8),100%)</f>
        <v>0.9943</v>
      </c>
      <c r="BP12" s="23" cm="1">
        <f t="array" ref="BP12">IF(VLOOKUP($R12,武学奇术!$A:$ZZ,23,FALSE)=1,100%,MIN(80%,$B$9+VLOOKUP($R12,武学奇术!$A:$ZZ,17,FALSE)+SUM(_xlfn.XLOOKUP(S12:AL12,增益!$A:$A,增益!$Q:$Q,0)))+$B$11+SUM(_xlfn.XLOOKUP(S12:AL12,增益!$A:$A,增益!$U:$U,0)))*IF(VLOOKUP($R12,武学奇术!$A:$ZZ,24,FALSE)=1,0,1)</f>
        <v>0.8</v>
      </c>
      <c r="BQ12" s="23" cm="1">
        <f t="array" ref="BQ12">1+$B$13+VLOOKUP($R12,武学奇术!$A:$ZZ,18,FALSE)+SUM(_xlfn.XLOOKUP(S12:AL12,增益!$A:$A,增益!$R:$R,0))</f>
        <v>1.554</v>
      </c>
      <c r="BR12" s="23" cm="1">
        <f t="array" ref="BR12">IF(VLOOKUP($R12,武学奇术!$A:$ZZ,24,FALSE)=1,100%,MIN(40%,$B$10+VLOOKUP($R12,武学奇术!$A:$ZZ,19,FALSE)+SUM(_xlfn.XLOOKUP(S12:AL12,增益!$A:$A,增益!$S:$S,0)))+$B$12+SUM(_xlfn.XLOOKUP(S12:AL12,增益!$A:$A,增益!$V:$V,0)))*IF(VLOOKUP($R12,武学奇术!$A:$ZZ,23,FALSE)=1,0,1)</f>
        <v>0.0913</v>
      </c>
      <c r="BS12" s="23" cm="1">
        <f t="array" ref="BS12">1+$B$14+VLOOKUP($R12,武学奇术!$A:$ZZ,20,FALSE)+SUM(_xlfn.XLOOKUP(S12:AL12,增益!$A:$A,增益!$T:$T,0))</f>
        <v>1.35</v>
      </c>
      <c r="BT12" s="23">
        <f t="shared" si="9"/>
        <v>0.79544</v>
      </c>
      <c r="BU12" s="23">
        <f t="shared" si="10"/>
        <v>0.10808041</v>
      </c>
      <c r="BV12" s="23">
        <f>IF(VLOOKUP($R12,武学奇术!$A:$ZZ,22,FALSE)=1,0,(1-$BO12))*(1-$BR12)</f>
        <v>0.00517958999999993</v>
      </c>
      <c r="BW12" s="23" cm="1">
        <f t="array" ref="BW12">SUM(_xlfn.XLOOKUP(S12:AL12,增益!$A:$A,增益!$W:$W,0))+$I$5</f>
        <v>0.11</v>
      </c>
      <c r="BX12" s="23">
        <f>VLOOKUP($R12,武学奇术!$A:$ZZ,32,FALSE)</f>
        <v>0.1</v>
      </c>
      <c r="BY12" s="23" cm="1">
        <f t="array" ref="BY12">SUM(_xlfn.XLOOKUP($S12:$AL12,增益!$A:$A,增益!$X:$X,0))</f>
        <v>0</v>
      </c>
    </row>
    <row r="13" ht="14.25" spans="1:77">
      <c r="A13" s="39" t="s">
        <v>122</v>
      </c>
      <c r="B13" s="71">
        <v>0.544</v>
      </c>
      <c r="C13" s="12" t="s">
        <v>96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1">
        <f>E5</f>
        <v>0</v>
      </c>
      <c r="H13" s="72"/>
      <c r="I13" s="79"/>
      <c r="J13" s="77"/>
      <c r="K13" s="35">
        <f>$L13*VLOOKUP($R13,武学奇术!$A:$ZZ,31,FALSE)</f>
        <v>17535.8094496577</v>
      </c>
      <c r="L13" s="58">
        <f t="shared" si="0"/>
        <v>17191.9700486841</v>
      </c>
      <c r="M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轻击",$B$21,0))*(1+IF(VLOOKUP($R13,武学奇术!$A:$ZZ,30,FALSE)="老鼠",$B$22,0))*(1+$BW13)*(1+$BX13)</f>
        <v>17966.3836011841</v>
      </c>
      <c r="N13" s="35">
        <f>(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轻击",$B$21,0))*(1+IF(VLOOKUP($R13,武学奇术!$A:$ZZ,30,FALSE)="老鼠",$B$22,0))*(1+$BW13))*(1+$BX13)</f>
        <v>17509.8060971018</v>
      </c>
      <c r="O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轻击",$B$21,0))*(1+IF(VLOOKUP($R13,武学奇术!$A:$ZZ,30,FALSE)="老鼠",$B$22,0))*(1+$BW13)*(1+$BX13)</f>
        <v>11561.3794087414</v>
      </c>
      <c r="P13" s="35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轻击",$B$21,0))*(1+IF(VLOOKUP($R13,武学奇术!$A:$ZZ,30,FALSE)="老鼠",$B$22,0))*(1+$BW13)*(1+$BX13)</f>
        <v>10152.5320788888</v>
      </c>
      <c r="Q13" s="36">
        <v>1</v>
      </c>
      <c r="R13" s="37" t="s">
        <v>123</v>
      </c>
      <c r="S13" s="37" t="s">
        <v>121</v>
      </c>
      <c r="T13" s="37" t="s">
        <v>108</v>
      </c>
      <c r="U13" s="37" t="s">
        <v>81</v>
      </c>
      <c r="V13" s="37" t="s">
        <v>81</v>
      </c>
      <c r="W13" s="37" t="s">
        <v>82</v>
      </c>
      <c r="X13" s="37" t="s">
        <v>81</v>
      </c>
      <c r="Y13" s="37" t="s">
        <v>81</v>
      </c>
      <c r="Z13" s="37" t="s">
        <v>81</v>
      </c>
      <c r="AA13" s="37" t="s">
        <v>81</v>
      </c>
      <c r="AB13" s="37" t="s">
        <v>81</v>
      </c>
      <c r="AC13" s="37" t="s">
        <v>81</v>
      </c>
      <c r="AD13" s="37" t="s">
        <v>81</v>
      </c>
      <c r="AE13" s="37" t="s">
        <v>81</v>
      </c>
      <c r="AF13" s="37" t="s">
        <v>81</v>
      </c>
      <c r="AG13" s="37" t="s">
        <v>87</v>
      </c>
      <c r="AH13" s="37" t="s">
        <v>88</v>
      </c>
      <c r="AI13" s="37" t="s">
        <v>81</v>
      </c>
      <c r="AJ13" s="37" t="s">
        <v>81</v>
      </c>
      <c r="AK13" s="37" t="s">
        <v>81</v>
      </c>
      <c r="AL13" s="37" t="s">
        <v>81</v>
      </c>
      <c r="AM13" t="str">
        <f>VLOOKUP($R13,武学奇术!$A:$ZZ,25,FALSE)</f>
        <v>双刀</v>
      </c>
      <c r="AN13" s="23">
        <f>VLOOKUP($R13,武学奇术!$A:$ZZ,26,FALSE)</f>
        <v>0.8267</v>
      </c>
      <c r="AO13" s="24">
        <f>VLOOKUP($R13,武学奇术!$A:$ZZ,27,FALSE)*(1+IF(OR($AM13=$F$4,$AM13=$F$5),$B$23,0))</f>
        <v>366.4</v>
      </c>
      <c r="AP13" s="23">
        <f>VLOOKUP($R13,武学奇术!$A:$ZZ,28,FALSE)</f>
        <v>1.24</v>
      </c>
      <c r="AQ13" s="24">
        <f>VLOOKUP($R13,武学奇术!$A:$ZZ,29,FALSE)*(1+IF(OR($AM13=$F$4,$AM13=$F$5),$B$23,0))</f>
        <v>200</v>
      </c>
      <c r="AR13" s="23" cm="1">
        <f t="array" ref="AR13">$G$3+IFERROR(VLOOKUP($AM13,$F$4:$G$7,2,FALSE),0)+VLOOKUP($R13,武学奇术!$A:$ZZ,2,FALSE)+SUM(_xlfn.XLOOKUP($S13:$AL13,增益!$A:$A,增益!$B:$B,0))</f>
        <v>0.4743</v>
      </c>
      <c r="AS13" s="23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4081.7</v>
      </c>
      <c r="AU13" cm="1">
        <f t="array" ref="AU13">$E$10*(1+$AS13)+VLOOKUP($R13,武学奇术!$A:$ZZ,4,FALSE)+SUM(_xlfn.XLOOKUP($S13:$AL13,增益!$A:$A,增益!$D:$D,0))-$I$2</f>
        <v>4081.7</v>
      </c>
      <c r="AV13" s="29" cm="1">
        <f t="array" ref="AV13">IF($F$10-$I$3+VLOOKUP($R13,武学奇术!$A:$ZZ,6,FALSE)+SUM(_xlfn.XLOOKUP(S13:AL13,增益!$A:$A,增益!$F:$F,0))&gt;0,($F$10-$I$3+VLOOKUP($R13,武学奇术!$A:$ZZ,6,FALSE)+SUM(_xlfn.XLOOKUP(S13:AL13,增益!$A:$A,增益!$F:$F,0)))/200,($F$10-$I$3+VLOOKUP($R13,武学奇术!$A:$ZZ,6,FALSE)+SUM(_xlfn.XLOOKUP(S13:AL13,增益!$A:$A,增益!$F:$F,0)))/100)</f>
        <v>0.2989</v>
      </c>
      <c r="AW13" s="29" cm="1">
        <f t="array" ref="AW13">$G$10+VLOOKUP($R13,武学奇术!$A:$ZZ,7,FALSE)+SUM(_xlfn.XLOOKUP(S13:AL13,增益!$A:$A,增益!$G:$G,0))</f>
        <v>0.02</v>
      </c>
      <c r="AX13" s="23" cm="1">
        <f t="array" ref="AX13">VLOOKUP($R13,武学奇术!$A:$ZZ,8,FALSE)+SUM(_xlfn.XLOOKUP(S13:AL13,增益!$A:$A,增益!$H:$H,0))</f>
        <v>0</v>
      </c>
      <c r="AY13">
        <f t="shared" si="1"/>
        <v>0</v>
      </c>
      <c r="AZ13">
        <f t="shared" si="2"/>
        <v>0</v>
      </c>
      <c r="BA13" s="29" cm="1">
        <f t="array" ref="BA13">IF($F$11-$I$4+VLOOKUP($R13,武学奇术!$A:$ZZ,9,FALSE)+SUM(_xlfn.XLOOKUP(S13:AL13,增益!$A:$A,增益!$I:$I,0))&gt;0,($F$11-$I$4+VLOOKUP($R13,武学奇术!$A:$ZZ,9,FALSE)+SUM(_xlfn.XLOOKUP(S13:AL13,增益!$A:$A,增益!$I:$I,0)))/200,($F$11-$I$4+VLOOKUP($R13,武学奇术!$A:$ZZ,9,FALSE)+SUM(_xlfn.XLOOKUP(S13:AL13,增益!$A:$A,增益!$I:$I,0)))/100)</f>
        <v>-0.3</v>
      </c>
      <c r="BB13" s="29" cm="1">
        <f t="array" ref="BB13">$G$11+VLOOKUP($R13,武学奇术!$A:$ZZ,10,FALSE)+SUM(_xlfn.XLOOKUP(S13:AL13,增益!$A:$A,增益!$J:$J,0))</f>
        <v>0.02</v>
      </c>
      <c r="BC13">
        <f t="shared" si="3"/>
        <v>0</v>
      </c>
      <c r="BD13">
        <f t="shared" si="4"/>
        <v>0</v>
      </c>
      <c r="BE13" s="29" cm="1">
        <f t="array" ref="BE13">IF($F$12-$I$4+VLOOKUP($R13,武学奇术!$A:$ZZ,11,FALSE)+SUM(_xlfn.XLOOKUP(S13:AL13,增益!$A:$A,增益!$K:$K,0))&gt;0,($F$12-$I$4+VLOOKUP($R13,武学奇术!$A:$ZZ,11,FALSE)+SUM(_xlfn.XLOOKUP(S13:AL13,增益!$A:$A,增益!$K:$K,0)))/200,($F$12-$I$4+VLOOKUP($R13,武学奇术!$A:$ZZ,11,FALSE)+SUM(_xlfn.XLOOKUP(S13:AL13,增益!$A:$A,增益!$K:$K,0)))/100)</f>
        <v>-0.3</v>
      </c>
      <c r="BF13" s="29" cm="1">
        <f t="array" ref="BF13">$G$12+VLOOKUP($R13,武学奇术!$A:$ZZ,12,FALSE)+SUM(_xlfn.XLOOKUP(S13:AL13,增益!$A:$A,增益!$L:$L,0))</f>
        <v>0.02</v>
      </c>
      <c r="BG13">
        <f t="shared" si="5"/>
        <v>0</v>
      </c>
      <c r="BH13">
        <f t="shared" si="6"/>
        <v>0</v>
      </c>
      <c r="BI13" s="29" cm="1">
        <f t="array" ref="BI13">IF($F$13-$I$4+VLOOKUP($R13,武学奇术!$A:$ZZ,13,FALSE)+SUM(_xlfn.XLOOKUP(S13:AL13,增益!$A:$A,增益!$M:$M,0))&gt;0,($F$13-$I$4+VLOOKUP($R13,武学奇术!$A:$ZZ,13,FALSE)+SUM(_xlfn.XLOOKUP(S13:AL13,增益!$A:$A,增益!$K:$K,0)))/200,($F$13-$I$4+VLOOKUP($R13,武学奇术!$A:$ZZ,13,FALSE)+SUM(_xlfn.XLOOKUP(S13:AL13,增益!$A:$A,增益!$M:$M,0)))/100)</f>
        <v>-0.3</v>
      </c>
      <c r="BJ13" s="29" cm="1">
        <f t="array" ref="BJ13">$G$13+VLOOKUP($R13,武学奇术!$A:$ZZ,14,FALSE)+SUM(_xlfn.XLOOKUP(S13:AL13,增益!$A:$A,增益!$N:$N,0))</f>
        <v>0.02</v>
      </c>
      <c r="BK13">
        <f t="shared" si="7"/>
        <v>618.2</v>
      </c>
      <c r="BL13">
        <f t="shared" si="8"/>
        <v>1805</v>
      </c>
      <c r="BM13" s="29" cm="1">
        <f t="array" ref="BM13">IF($F$14-$I$4+VLOOKUP($R13,武学奇术!$A:$ZZ,15,FALSE)+SUM(_xlfn.XLOOKUP(S13:AL13,增益!$A:$A,增益!$O:$O,0))&gt;0,($F$14-$I$4+VLOOKUP($R13,武学奇术!$A:$ZZ,15,FALSE)+SUM(_xlfn.XLOOKUP(S13:AL13,增益!$A:$A,增益!$O:$O,0)))/200,($F$14-$I$4+VLOOKUP($R13,武学奇术!$A:$ZZ,15,FALSE)+SUM(_xlfn.XLOOKUP(S13:AL13,增益!$A:$A,增益!$O:$O,0)))/100)</f>
        <v>0</v>
      </c>
      <c r="BN13" s="29" cm="1">
        <f t="array" ref="BN13">$G$14+VLOOKUP($R13,武学奇术!$A:$ZZ,16,FALSE)+SUM(_xlfn.XLOOKUP(S13:AL13,增益!$A:$A,增益!$P:$P,0))</f>
        <v>0.17</v>
      </c>
      <c r="BO13" s="23">
        <f>MIN(IF(VLOOKUP($R13,武学奇术!$A:$ZZ,23,FALSE)=1,100%,$B$8),100%)</f>
        <v>0.9943</v>
      </c>
      <c r="BP13" s="23" cm="1">
        <f t="array" ref="BP13">IF(VLOOKUP($R13,武学奇术!$A:$ZZ,23,FALSE)=1,100%,MIN(80%,$B$9+VLOOKUP($R13,武学奇术!$A:$ZZ,17,FALSE)+SUM(_xlfn.XLOOKUP(S13:AL13,增益!$A:$A,增益!$Q:$Q,0)))+$B$11+SUM(_xlfn.XLOOKUP(S13:AL13,增益!$A:$A,增益!$U:$U,0)))*IF(VLOOKUP($R13,武学奇术!$A:$ZZ,24,FALSE)=1,0,1)</f>
        <v>0.8</v>
      </c>
      <c r="BQ13" s="23" cm="1">
        <f t="array" ref="BQ13">1+$B$13+VLOOKUP($R13,武学奇术!$A:$ZZ,18,FALSE)+SUM(_xlfn.XLOOKUP(S13:AL13,增益!$A:$A,增益!$R:$R,0))</f>
        <v>1.554</v>
      </c>
      <c r="BR13" s="23" cm="1">
        <f t="array" ref="BR13">IF(VLOOKUP($R13,武学奇术!$A:$ZZ,24,FALSE)=1,100%,MIN(40%,$B$10+VLOOKUP($R13,武学奇术!$A:$ZZ,19,FALSE)+SUM(_xlfn.XLOOKUP(S13:AL13,增益!$A:$A,增益!$S:$S,0)))+$B$12+SUM(_xlfn.XLOOKUP(S13:AL13,增益!$A:$A,增益!$V:$V,0)))*IF(VLOOKUP($R13,武学奇术!$A:$ZZ,23,FALSE)=1,0,1)</f>
        <v>0.0913</v>
      </c>
      <c r="BS13" s="23" cm="1">
        <f t="array" ref="BS13">1+$B$14+VLOOKUP($R13,武学奇术!$A:$ZZ,20,FALSE)+SUM(_xlfn.XLOOKUP(S13:AL13,增益!$A:$A,增益!$T:$T,0))</f>
        <v>1.35</v>
      </c>
      <c r="BT13" s="23">
        <f t="shared" si="9"/>
        <v>0.79544</v>
      </c>
      <c r="BU13" s="23">
        <f t="shared" si="10"/>
        <v>0.10808041</v>
      </c>
      <c r="BV13" s="23">
        <f>IF(VLOOKUP($R13,武学奇术!$A:$ZZ,22,FALSE)=1,0,(1-$BO13))*(1-$BR13)</f>
        <v>0.00517958999999993</v>
      </c>
      <c r="BW13" s="23" cm="1">
        <f t="array" ref="BW13">SUM(_xlfn.XLOOKUP(S13:AL13,增益!$A:$A,增益!$W:$W,0))+$I$5</f>
        <v>0.11</v>
      </c>
      <c r="BX13" s="23">
        <f>VLOOKUP($R13,武学奇术!$A:$ZZ,32,FALSE)</f>
        <v>0</v>
      </c>
      <c r="BY13" s="23" cm="1">
        <f t="array" ref="BY13">SUM(_xlfn.XLOOKUP($S13:$AL13,增益!$A:$A,增益!$X:$X,0))</f>
        <v>0</v>
      </c>
    </row>
    <row r="14" ht="14.25" spans="1:77">
      <c r="A14" s="39" t="s">
        <v>124</v>
      </c>
      <c r="B14" s="71">
        <v>0.35</v>
      </c>
      <c r="C14" s="14" t="s">
        <v>5</v>
      </c>
      <c r="D14" s="14">
        <f>(B6+IF($G$1=$C14,B7,0))*IF($G$2="撼天",1.06,1)</f>
        <v>618.2</v>
      </c>
      <c r="E14" s="14">
        <f>(MAX(B6,C6)+IF($G$1=$C14,$C$7,0))*IF($G$2="撼天",1.06,1)</f>
        <v>1805</v>
      </c>
      <c r="F14" s="14">
        <f>D6</f>
        <v>30</v>
      </c>
      <c r="G14" s="92">
        <f>E6</f>
        <v>0.15</v>
      </c>
      <c r="H14" s="33" t="s">
        <v>125</v>
      </c>
      <c r="I14" s="74">
        <f>RD!I14</f>
        <v>154331.243461833</v>
      </c>
      <c r="J14" s="75"/>
      <c r="K14" s="35">
        <f>$L14*VLOOKUP($R14,武学奇术!$A:$ZZ,31,FALSE)</f>
        <v>57019.1169226348</v>
      </c>
      <c r="L14" s="69">
        <f t="shared" si="0"/>
        <v>55901.095022191</v>
      </c>
      <c r="M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轻击",$B$21,0))*(1+IF(VLOOKUP($R14,武学奇术!$A:$ZZ,30,FALSE)="老鼠",$B$22,0))*(1+$BW14)*(1+$BX14)</f>
        <v>58341.0809335162</v>
      </c>
      <c r="N14" s="35">
        <f>(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轻击",$B$21,0))*(1+IF(VLOOKUP($R14,武学奇术!$A:$ZZ,30,FALSE)="老鼠",$B$22,0))*(1+$BW14))*(1+$BX14)</f>
        <v>57712.7375929169</v>
      </c>
      <c r="O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轻击",$B$21,0))*(1+IF(VLOOKUP($R14,武学奇术!$A:$ZZ,30,FALSE)="老鼠",$B$22,0))*(1+$BW14)*(1+$BX14)</f>
        <v>37542.5231232408</v>
      </c>
      <c r="P14" s="35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轻击",$B$21,0))*(1+IF(VLOOKUP($R14,武学奇术!$A:$ZZ,30,FALSE)="老鼠",$B$22,0))*(1+$BW14)*(1+$BX14)</f>
        <v>32334.8702517283</v>
      </c>
      <c r="Q14" s="70">
        <v>3</v>
      </c>
      <c r="R14" s="37" t="s">
        <v>106</v>
      </c>
      <c r="S14" s="37" t="s">
        <v>121</v>
      </c>
      <c r="T14" s="37" t="s">
        <v>108</v>
      </c>
      <c r="U14" s="37" t="s">
        <v>112</v>
      </c>
      <c r="V14" s="37" t="s">
        <v>113</v>
      </c>
      <c r="W14" s="37" t="s">
        <v>82</v>
      </c>
      <c r="X14" s="37" t="s">
        <v>81</v>
      </c>
      <c r="Y14" s="37" t="s">
        <v>109</v>
      </c>
      <c r="Z14" s="37" t="s">
        <v>81</v>
      </c>
      <c r="AA14" s="37" t="s">
        <v>81</v>
      </c>
      <c r="AB14" s="37" t="s">
        <v>81</v>
      </c>
      <c r="AC14" s="37" t="s">
        <v>81</v>
      </c>
      <c r="AD14" s="37" t="s">
        <v>81</v>
      </c>
      <c r="AE14" s="37" t="s">
        <v>81</v>
      </c>
      <c r="AF14" s="37" t="s">
        <v>81</v>
      </c>
      <c r="AG14" s="37" t="s">
        <v>87</v>
      </c>
      <c r="AH14" s="37" t="s">
        <v>88</v>
      </c>
      <c r="AI14" s="37" t="s">
        <v>81</v>
      </c>
      <c r="AJ14" s="37" t="s">
        <v>81</v>
      </c>
      <c r="AK14" s="37" t="s">
        <v>81</v>
      </c>
      <c r="AL14" s="37" t="s">
        <v>81</v>
      </c>
      <c r="AM14" t="str">
        <f>VLOOKUP($R14,武学奇术!$A:$ZZ,25,FALSE)</f>
        <v>绳镖</v>
      </c>
      <c r="AN14" s="23">
        <f>VLOOKUP($R14,武学奇术!$A:$ZZ,26,FALSE)</f>
        <v>0.3675</v>
      </c>
      <c r="AO14" s="24">
        <f>VLOOKUP($R14,武学奇术!$A:$ZZ,27,FALSE)*(1+IF(OR($AM14=$F$4,$AM14=$F$5),$B$23,0))</f>
        <v>0</v>
      </c>
      <c r="AP14" s="23">
        <f>VLOOKUP($R14,武学奇术!$A:$ZZ,28,FALSE)</f>
        <v>0.55125</v>
      </c>
      <c r="AQ14" s="24">
        <f>VLOOKUP($R14,武学奇术!$A:$ZZ,29,FALSE)*(1+IF(OR($AM14=$F$4,$AM14=$F$5),$B$23,0))</f>
        <v>0</v>
      </c>
      <c r="AR14" s="23" cm="1">
        <f t="array" ref="AR14">$G$3+IFERROR(VLOOKUP($AM14,$F$4:$G$7,2,FALSE),0)+VLOOKUP($R14,武学奇术!$A:$ZZ,2,FALSE)+SUM(_xlfn.XLOOKUP($S14:$AL14,增益!$A:$A,增益!$B:$B,0))</f>
        <v>1.3943</v>
      </c>
      <c r="AS14" s="23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4150.4</v>
      </c>
      <c r="AU14" cm="1">
        <f t="array" ref="AU14">$E$10*(1+$AS14)+VLOOKUP($R14,武学奇术!$A:$ZZ,4,FALSE)+SUM(_xlfn.XLOOKUP($S14:$AL14,增益!$A:$A,增益!$D:$D,0))-$I$2</f>
        <v>4150.4</v>
      </c>
      <c r="AV14" s="29" cm="1">
        <f t="array" ref="AV14">IF($F$10-$I$3+VLOOKUP($R14,武学奇术!$A:$ZZ,6,FALSE)+SUM(_xlfn.XLOOKUP(S14:AL14,增益!$A:$A,增益!$F:$F,0))&gt;0,($F$10-$I$3+VLOOKUP($R14,武学奇术!$A:$ZZ,6,FALSE)+SUM(_xlfn.XLOOKUP(S14:AL14,增益!$A:$A,增益!$F:$F,0)))/200,($F$10-$I$3+VLOOKUP($R14,武学奇术!$A:$ZZ,6,FALSE)+SUM(_xlfn.XLOOKUP(S14:AL14,增益!$A:$A,增益!$F:$F,0)))/100)</f>
        <v>0.2989</v>
      </c>
      <c r="AW14" s="29" cm="1">
        <f t="array" ref="AW14">$G$10+VLOOKUP($R14,武学奇术!$A:$ZZ,7,FALSE)+SUM(_xlfn.XLOOKUP(S14:AL14,增益!$A:$A,增益!$G:$G,0))</f>
        <v>0.29</v>
      </c>
      <c r="AX14" s="23" cm="1">
        <f t="array" ref="AX14">VLOOKUP($R14,武学奇术!$A:$ZZ,8,FALSE)+SUM(_xlfn.XLOOKUP(S14:AL14,增益!$A:$A,增益!$H:$H,0))</f>
        <v>0</v>
      </c>
      <c r="AY14">
        <f t="shared" si="1"/>
        <v>0</v>
      </c>
      <c r="AZ14">
        <f t="shared" si="2"/>
        <v>0</v>
      </c>
      <c r="BA14" s="29" cm="1">
        <f t="array" ref="BA14">IF($F$11-$I$4+VLOOKUP($R14,武学奇术!$A:$ZZ,9,FALSE)+SUM(_xlfn.XLOOKUP(S14:AL14,增益!$A:$A,增益!$I:$I,0))&gt;0,($F$11-$I$4+VLOOKUP($R14,武学奇术!$A:$ZZ,9,FALSE)+SUM(_xlfn.XLOOKUP(S14:AL14,增益!$A:$A,增益!$I:$I,0)))/200,($F$11-$I$4+VLOOKUP($R14,武学奇术!$A:$ZZ,9,FALSE)+SUM(_xlfn.XLOOKUP(S14:AL14,增益!$A:$A,增益!$I:$I,0)))/100)</f>
        <v>-0.3</v>
      </c>
      <c r="BB14" s="29" cm="1">
        <f t="array" ref="BB14">$G$11+VLOOKUP($R14,武学奇术!$A:$ZZ,10,FALSE)+SUM(_xlfn.XLOOKUP(S14:AL14,增益!$A:$A,增益!$J:$J,0))</f>
        <v>0.02</v>
      </c>
      <c r="BC14">
        <f t="shared" si="3"/>
        <v>0</v>
      </c>
      <c r="BD14">
        <f t="shared" si="4"/>
        <v>0</v>
      </c>
      <c r="BE14" s="29" cm="1">
        <f t="array" ref="BE14">IF($F$12-$I$4+VLOOKUP($R14,武学奇术!$A:$ZZ,11,FALSE)+SUM(_xlfn.XLOOKUP(S14:AL14,增益!$A:$A,增益!$K:$K,0))&gt;0,($F$12-$I$4+VLOOKUP($R14,武学奇术!$A:$ZZ,11,FALSE)+SUM(_xlfn.XLOOKUP(S14:AL14,增益!$A:$A,增益!$K:$K,0)))/200,($F$12-$I$4+VLOOKUP($R14,武学奇术!$A:$ZZ,11,FALSE)+SUM(_xlfn.XLOOKUP(S14:AL14,增益!$A:$A,增益!$K:$K,0)))/100)</f>
        <v>-0.3</v>
      </c>
      <c r="BF14" s="29" cm="1">
        <f t="array" ref="BF14">$G$12+VLOOKUP($R14,武学奇术!$A:$ZZ,12,FALSE)+SUM(_xlfn.XLOOKUP(S14:AL14,增益!$A:$A,增益!$L:$L,0))</f>
        <v>0.02</v>
      </c>
      <c r="BG14">
        <f t="shared" si="5"/>
        <v>0</v>
      </c>
      <c r="BH14">
        <f t="shared" si="6"/>
        <v>0</v>
      </c>
      <c r="BI14" s="29" cm="1">
        <f t="array" ref="BI14">IF($F$13-$I$4+VLOOKUP($R14,武学奇术!$A:$ZZ,13,FALSE)+SUM(_xlfn.XLOOKUP(S14:AL14,增益!$A:$A,增益!$M:$M,0))&gt;0,($F$13-$I$4+VLOOKUP($R14,武学奇术!$A:$ZZ,13,FALSE)+SUM(_xlfn.XLOOKUP(S14:AL14,增益!$A:$A,增益!$K:$K,0)))/200,($F$13-$I$4+VLOOKUP($R14,武学奇术!$A:$ZZ,13,FALSE)+SUM(_xlfn.XLOOKUP(S14:AL14,增益!$A:$A,增益!$M:$M,0)))/100)</f>
        <v>-0.3</v>
      </c>
      <c r="BJ14" s="29" cm="1">
        <f t="array" ref="BJ14">$G$13+VLOOKUP($R14,武学奇术!$A:$ZZ,14,FALSE)+SUM(_xlfn.XLOOKUP(S14:AL14,增益!$A:$A,增益!$N:$N,0))</f>
        <v>0.02</v>
      </c>
      <c r="BK14">
        <f t="shared" si="7"/>
        <v>618.2</v>
      </c>
      <c r="BL14">
        <f t="shared" si="8"/>
        <v>1805</v>
      </c>
      <c r="BM14" s="29" cm="1">
        <f t="array" ref="BM14">IF($F$14-$I$4+VLOOKUP($R14,武学奇术!$A:$ZZ,15,FALSE)+SUM(_xlfn.XLOOKUP(S14:AL14,增益!$A:$A,增益!$O:$O,0))&gt;0,($F$14-$I$4+VLOOKUP($R14,武学奇术!$A:$ZZ,15,FALSE)+SUM(_xlfn.XLOOKUP(S14:AL14,增益!$A:$A,增益!$O:$O,0)))/200,($F$14-$I$4+VLOOKUP($R14,武学奇术!$A:$ZZ,15,FALSE)+SUM(_xlfn.XLOOKUP(S14:AL14,增益!$A:$A,增益!$O:$O,0)))/100)</f>
        <v>0.05</v>
      </c>
      <c r="BN14" s="29" cm="1">
        <f t="array" ref="BN14">$G$14+VLOOKUP($R14,武学奇术!$A:$ZZ,16,FALSE)+SUM(_xlfn.XLOOKUP(S14:AL14,增益!$A:$A,增益!$P:$P,0))</f>
        <v>0.44</v>
      </c>
      <c r="BO14" s="23">
        <f>MIN(IF(VLOOKUP($R14,武学奇术!$A:$ZZ,23,FALSE)=1,100%,$B$8),100%)</f>
        <v>0.9943</v>
      </c>
      <c r="BP14" s="23" cm="1">
        <f t="array" ref="BP14">IF(VLOOKUP($R14,武学奇术!$A:$ZZ,23,FALSE)=1,100%,MIN(80%,$B$9+VLOOKUP($R14,武学奇术!$A:$ZZ,17,FALSE)+SUM(_xlfn.XLOOKUP(S14:AL14,增益!$A:$A,增益!$Q:$Q,0)))+$B$11+SUM(_xlfn.XLOOKUP(S14:AL14,增益!$A:$A,增益!$U:$U,0)))*IF(VLOOKUP($R14,武学奇术!$A:$ZZ,24,FALSE)=1,0,1)</f>
        <v>0.8</v>
      </c>
      <c r="BQ14" s="23" cm="1">
        <f t="array" ref="BQ14">1+$B$13+VLOOKUP($R14,武学奇术!$A:$ZZ,18,FALSE)+SUM(_xlfn.XLOOKUP(S14:AL14,增益!$A:$A,增益!$R:$R,0))</f>
        <v>1.554</v>
      </c>
      <c r="BR14" s="23" cm="1">
        <f t="array" ref="BR14">IF(VLOOKUP($R14,武学奇术!$A:$ZZ,24,FALSE)=1,100%,MIN(40%,$B$10+VLOOKUP($R14,武学奇术!$A:$ZZ,19,FALSE)+SUM(_xlfn.XLOOKUP(S14:AL14,增益!$A:$A,增益!$S:$S,0)))+$B$12+SUM(_xlfn.XLOOKUP(S14:AL14,增益!$A:$A,增益!$V:$V,0)))*IF(VLOOKUP($R14,武学奇术!$A:$ZZ,23,FALSE)=1,0,1)</f>
        <v>0.0913</v>
      </c>
      <c r="BS14" s="23" cm="1">
        <f t="array" ref="BS14">1+$B$14+VLOOKUP($R14,武学奇术!$A:$ZZ,20,FALSE)+SUM(_xlfn.XLOOKUP(S14:AL14,增益!$A:$A,增益!$T:$T,0))</f>
        <v>1.35</v>
      </c>
      <c r="BT14" s="23">
        <f t="shared" si="9"/>
        <v>0.79544</v>
      </c>
      <c r="BU14" s="23">
        <f t="shared" si="10"/>
        <v>0.10808041</v>
      </c>
      <c r="BV14" s="23">
        <f>IF(VLOOKUP($R14,武学奇术!$A:$ZZ,22,FALSE)=1,0,(1-$BO14))*(1-$BR14)</f>
        <v>0.00517958999999993</v>
      </c>
      <c r="BW14" s="23" cm="1">
        <f t="array" ref="BW14">SUM(_xlfn.XLOOKUP(S14:AL14,增益!$A:$A,增益!$W:$W,0))+$I$5</f>
        <v>0.11</v>
      </c>
      <c r="BX14" s="23">
        <f>VLOOKUP($R14,武学奇术!$A:$ZZ,32,FALSE)</f>
        <v>0</v>
      </c>
      <c r="BY14" s="23" cm="1">
        <f t="array" ref="BY14">SUM(_xlfn.XLOOKUP($S14:$AL14,增益!$A:$A,增益!$X:$X,0))</f>
        <v>0</v>
      </c>
    </row>
    <row r="15" ht="14.25" spans="1:77">
      <c r="A15" s="39" t="s">
        <v>126</v>
      </c>
      <c r="B15" s="71">
        <v>0.0847</v>
      </c>
      <c r="C15" s="36" t="s">
        <v>127</v>
      </c>
      <c r="D15" s="36"/>
      <c r="F15" s="80"/>
      <c r="H15" s="81"/>
      <c r="I15" s="76"/>
      <c r="J15" s="77"/>
      <c r="K15" s="35">
        <f>$L15*VLOOKUP($R15,武学奇术!$A:$ZZ,31,FALSE)</f>
        <v>72711.2839929554</v>
      </c>
      <c r="L15" s="58">
        <f t="shared" si="0"/>
        <v>71285.5725421132</v>
      </c>
      <c r="M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轻击",$B$21,0))*(1+IF(VLOOKUP($R15,武学奇术!$A:$ZZ,30,FALSE)="老鼠",$B$22,0))*(1+$BW15)*(1+$BX15)</f>
        <v>76352.6359923392</v>
      </c>
      <c r="N15" s="35">
        <f>(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轻击",$B$21,0))*(1+IF(VLOOKUP($R15,武学奇术!$A:$ZZ,30,FALSE)="老鼠",$B$22,0))*(1+$BW15))*(1+$BX15)</f>
        <v>63642.9417307697</v>
      </c>
      <c r="O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轻击",$B$21,0))*(1+IF(VLOOKUP($R15,武学奇术!$A:$ZZ,30,FALSE)="老鼠",$B$22,0))*(1+$BW15)*(1+$BX15)</f>
        <v>42090.7585404295</v>
      </c>
      <c r="P15" s="35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轻击",$B$21,0))*(1+IF(VLOOKUP($R15,武学奇术!$A:$ZZ,30,FALSE)="老鼠",$B$22,0))*(1+$BW15)*(1+$BX15)</f>
        <v>37038.5972802889</v>
      </c>
      <c r="Q15" s="36">
        <v>1</v>
      </c>
      <c r="R15" s="37" t="s">
        <v>128</v>
      </c>
      <c r="S15" s="37" t="s">
        <v>129</v>
      </c>
      <c r="T15" s="37" t="s">
        <v>130</v>
      </c>
      <c r="U15" s="37" t="s">
        <v>81</v>
      </c>
      <c r="V15" s="37" t="s">
        <v>81</v>
      </c>
      <c r="W15" s="37" t="s">
        <v>82</v>
      </c>
      <c r="X15" s="37" t="s">
        <v>81</v>
      </c>
      <c r="Y15" s="37" t="s">
        <v>81</v>
      </c>
      <c r="Z15" s="37" t="s">
        <v>81</v>
      </c>
      <c r="AA15" s="37" t="s">
        <v>84</v>
      </c>
      <c r="AB15" s="37" t="s">
        <v>81</v>
      </c>
      <c r="AC15" s="37" t="s">
        <v>81</v>
      </c>
      <c r="AD15" s="37" t="s">
        <v>85</v>
      </c>
      <c r="AE15" s="37" t="s">
        <v>86</v>
      </c>
      <c r="AF15" s="37" t="s">
        <v>81</v>
      </c>
      <c r="AG15" s="37" t="s">
        <v>87</v>
      </c>
      <c r="AH15" s="37" t="s">
        <v>88</v>
      </c>
      <c r="AI15" s="37" t="s">
        <v>81</v>
      </c>
      <c r="AJ15" s="37" t="s">
        <v>81</v>
      </c>
      <c r="AK15" s="37" t="s">
        <v>81</v>
      </c>
      <c r="AL15" s="37" t="s">
        <v>81</v>
      </c>
      <c r="AM15" t="str">
        <f>VLOOKUP($R15,武学奇术!$A:$ZZ,25,FALSE)</f>
        <v>双刀</v>
      </c>
      <c r="AN15" s="23">
        <f>VLOOKUP($R15,武学奇术!$A:$ZZ,26,FALSE)</f>
        <v>2.4761</v>
      </c>
      <c r="AO15" s="24">
        <f>VLOOKUP($R15,武学奇术!$A:$ZZ,27,FALSE)*(1+IF(OR($AM15=$F$4,$AM15=$F$5),$B$23,0))</f>
        <v>1096</v>
      </c>
      <c r="AP15" s="23">
        <f>VLOOKUP($R15,武学奇术!$A:$ZZ,28,FALSE)</f>
        <v>3.7142</v>
      </c>
      <c r="AQ15" s="24">
        <f>VLOOKUP($R15,武学奇术!$A:$ZZ,29,FALSE)*(1+IF(OR($AM15=$F$4,$AM15=$F$5),$B$23,0))</f>
        <v>596.8</v>
      </c>
      <c r="AR15" s="23" cm="1">
        <f t="array" ref="AR15">$G$3+IFERROR(VLOOKUP($AM15,$F$4:$G$7,2,FALSE),0)+VLOOKUP($R15,武学奇术!$A:$ZZ,2,FALSE)+SUM(_xlfn.XLOOKUP($S15:$AL15,增益!$A:$A,增益!$B:$B,0))</f>
        <v>0.6343</v>
      </c>
      <c r="AS15" s="23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4081.7</v>
      </c>
      <c r="AU15" cm="1">
        <f t="array" ref="AU15">$E$10*(1+$AS15)+VLOOKUP($R15,武学奇术!$A:$ZZ,4,FALSE)+SUM(_xlfn.XLOOKUP($S15:$AL15,增益!$A:$A,增益!$D:$D,0))-$I$2</f>
        <v>4081.7</v>
      </c>
      <c r="AV15" s="29" cm="1">
        <f t="array" ref="AV15">IF($F$10-$I$3+VLOOKUP($R15,武学奇术!$A:$ZZ,6,FALSE)+SUM(_xlfn.XLOOKUP(S15:AL15,增益!$A:$A,增益!$F:$F,0))&gt;0,($F$10-$I$3+VLOOKUP($R15,武学奇术!$A:$ZZ,6,FALSE)+SUM(_xlfn.XLOOKUP(S15:AL15,增益!$A:$A,增益!$F:$F,0)))/200,($F$10-$I$3+VLOOKUP($R15,武学奇术!$A:$ZZ,6,FALSE)+SUM(_xlfn.XLOOKUP(S15:AL15,增益!$A:$A,增益!$F:$F,0)))/100)</f>
        <v>0.4339</v>
      </c>
      <c r="AW15" s="29" cm="1">
        <f t="array" ref="AW15">$G$10+VLOOKUP($R15,武学奇术!$A:$ZZ,7,FALSE)+SUM(_xlfn.XLOOKUP(S15:AL15,增益!$A:$A,增益!$G:$G,0))</f>
        <v>0.02</v>
      </c>
      <c r="AX15" s="23" cm="1">
        <f t="array" ref="AX15">VLOOKUP($R15,武学奇术!$A:$ZZ,8,FALSE)+SUM(_xlfn.XLOOKUP(S15:AL15,增益!$A:$A,增益!$H:$H,0))</f>
        <v>0</v>
      </c>
      <c r="AY15">
        <f t="shared" si="1"/>
        <v>0</v>
      </c>
      <c r="AZ15">
        <f t="shared" si="2"/>
        <v>0</v>
      </c>
      <c r="BA15" s="29" cm="1">
        <f t="array" ref="BA15">IF($F$11-$I$4+VLOOKUP($R15,武学奇术!$A:$ZZ,9,FALSE)+SUM(_xlfn.XLOOKUP(S15:AL15,增益!$A:$A,增益!$I:$I,0))&gt;0,($F$11-$I$4+VLOOKUP($R15,武学奇术!$A:$ZZ,9,FALSE)+SUM(_xlfn.XLOOKUP(S15:AL15,增益!$A:$A,增益!$I:$I,0)))/200,($F$11-$I$4+VLOOKUP($R15,武学奇术!$A:$ZZ,9,FALSE)+SUM(_xlfn.XLOOKUP(S15:AL15,增益!$A:$A,增益!$I:$I,0)))/100)</f>
        <v>-0.14</v>
      </c>
      <c r="BB15" s="29" cm="1">
        <f t="array" ref="BB15">$G$11+VLOOKUP($R15,武学奇术!$A:$ZZ,10,FALSE)+SUM(_xlfn.XLOOKUP(S15:AL15,增益!$A:$A,增益!$J:$J,0))</f>
        <v>0.02</v>
      </c>
      <c r="BC15">
        <f t="shared" si="3"/>
        <v>0</v>
      </c>
      <c r="BD15">
        <f t="shared" si="4"/>
        <v>0</v>
      </c>
      <c r="BE15" s="29" cm="1">
        <f t="array" ref="BE15">IF($F$12-$I$4+VLOOKUP($R15,武学奇术!$A:$ZZ,11,FALSE)+SUM(_xlfn.XLOOKUP(S15:AL15,增益!$A:$A,增益!$K:$K,0))&gt;0,($F$12-$I$4+VLOOKUP($R15,武学奇术!$A:$ZZ,11,FALSE)+SUM(_xlfn.XLOOKUP(S15:AL15,增益!$A:$A,增益!$K:$K,0)))/200,($F$12-$I$4+VLOOKUP($R15,武学奇术!$A:$ZZ,11,FALSE)+SUM(_xlfn.XLOOKUP(S15:AL15,增益!$A:$A,增益!$K:$K,0)))/100)</f>
        <v>-0.14</v>
      </c>
      <c r="BF15" s="29" cm="1">
        <f t="array" ref="BF15">$G$12+VLOOKUP($R15,武学奇术!$A:$ZZ,12,FALSE)+SUM(_xlfn.XLOOKUP(S15:AL15,增益!$A:$A,增益!$L:$L,0))</f>
        <v>0.02</v>
      </c>
      <c r="BG15">
        <f t="shared" si="5"/>
        <v>0</v>
      </c>
      <c r="BH15">
        <f t="shared" si="6"/>
        <v>0</v>
      </c>
      <c r="BI15" s="29" cm="1">
        <f t="array" ref="BI15">IF($F$13-$I$4+VLOOKUP($R15,武学奇术!$A:$ZZ,13,FALSE)+SUM(_xlfn.XLOOKUP(S15:AL15,增益!$A:$A,增益!$M:$M,0))&gt;0,($F$13-$I$4+VLOOKUP($R15,武学奇术!$A:$ZZ,13,FALSE)+SUM(_xlfn.XLOOKUP(S15:AL15,增益!$A:$A,增益!$K:$K,0)))/200,($F$13-$I$4+VLOOKUP($R15,武学奇术!$A:$ZZ,13,FALSE)+SUM(_xlfn.XLOOKUP(S15:AL15,增益!$A:$A,增益!$M:$M,0)))/100)</f>
        <v>-0.14</v>
      </c>
      <c r="BJ15" s="29" cm="1">
        <f t="array" ref="BJ15">$G$13+VLOOKUP($R15,武学奇术!$A:$ZZ,14,FALSE)+SUM(_xlfn.XLOOKUP(S15:AL15,增益!$A:$A,增益!$N:$N,0))</f>
        <v>0.02</v>
      </c>
      <c r="BK15">
        <f t="shared" si="7"/>
        <v>618.2</v>
      </c>
      <c r="BL15">
        <f t="shared" si="8"/>
        <v>1805</v>
      </c>
      <c r="BM15" s="29" cm="1">
        <f t="array" ref="BM15">IF($F$14-$I$4+VLOOKUP($R15,武学奇术!$A:$ZZ,15,FALSE)+SUM(_xlfn.XLOOKUP(S15:AL15,增益!$A:$A,增益!$O:$O,0))&gt;0,($F$14-$I$4+VLOOKUP($R15,武学奇术!$A:$ZZ,15,FALSE)+SUM(_xlfn.XLOOKUP(S15:AL15,增益!$A:$A,增益!$O:$O,0)))/200,($F$14-$I$4+VLOOKUP($R15,武学奇术!$A:$ZZ,15,FALSE)+SUM(_xlfn.XLOOKUP(S15:AL15,增益!$A:$A,增益!$O:$O,0)))/100)</f>
        <v>0.08</v>
      </c>
      <c r="BN15" s="29" cm="1">
        <f t="array" ref="BN15">$G$14+VLOOKUP($R15,武学奇术!$A:$ZZ,16,FALSE)+SUM(_xlfn.XLOOKUP(S15:AL15,增益!$A:$A,增益!$P:$P,0))</f>
        <v>0.17</v>
      </c>
      <c r="BO15" s="23">
        <f>MIN(IF(VLOOKUP($R15,武学奇术!$A:$ZZ,23,FALSE)=1,100%,$B$8),100%)</f>
        <v>0.9943</v>
      </c>
      <c r="BP15" s="23" cm="1">
        <f t="array" ref="BP15">IF(VLOOKUP($R15,武学奇术!$A:$ZZ,23,FALSE)=1,100%,MIN(80%,$B$9+VLOOKUP($R15,武学奇术!$A:$ZZ,17,FALSE)+SUM(_xlfn.XLOOKUP(S15:AL15,增益!$A:$A,增益!$Q:$Q,0)))+$B$11+SUM(_xlfn.XLOOKUP(S15:AL15,增益!$A:$A,增益!$U:$U,0)))*IF(VLOOKUP($R15,武学奇术!$A:$ZZ,24,FALSE)=1,0,1)</f>
        <v>0.8</v>
      </c>
      <c r="BQ15" s="23" cm="1">
        <f t="array" ref="BQ15">1+$B$13+VLOOKUP($R15,武学奇术!$A:$ZZ,18,FALSE)+SUM(_xlfn.XLOOKUP(S15:AL15,增益!$A:$A,增益!$R:$R,0))</f>
        <v>1.814</v>
      </c>
      <c r="BR15" s="23" cm="1">
        <f t="array" ref="BR15">IF(VLOOKUP($R15,武学奇术!$A:$ZZ,24,FALSE)=1,100%,MIN(40%,$B$10+VLOOKUP($R15,武学奇术!$A:$ZZ,19,FALSE)+SUM(_xlfn.XLOOKUP(S15:AL15,增益!$A:$A,增益!$S:$S,0)))+$B$12+SUM(_xlfn.XLOOKUP(S15:AL15,增益!$A:$A,增益!$V:$V,0)))*IF(VLOOKUP($R15,武学奇术!$A:$ZZ,23,FALSE)=1,0,1)</f>
        <v>0.0913</v>
      </c>
      <c r="BS15" s="23" cm="1">
        <f t="array" ref="BS15">1+$B$14+VLOOKUP($R15,武学奇术!$A:$ZZ,20,FALSE)+SUM(_xlfn.XLOOKUP(S15:AL15,增益!$A:$A,增益!$T:$T,0))</f>
        <v>1.35</v>
      </c>
      <c r="BT15" s="23">
        <f t="shared" si="9"/>
        <v>0.79544</v>
      </c>
      <c r="BU15" s="23">
        <f t="shared" si="10"/>
        <v>0.10808041</v>
      </c>
      <c r="BV15" s="23">
        <f>IF(VLOOKUP($R15,武学奇术!$A:$ZZ,22,FALSE)=1,0,(1-$BO15))*(1-$BR15)</f>
        <v>0.00517958999999993</v>
      </c>
      <c r="BW15" s="23" cm="1">
        <f t="array" ref="BW15">SUM(_xlfn.XLOOKUP(S15:AL15,增益!$A:$A,增益!$W:$W,0))+$I$5</f>
        <v>0.11</v>
      </c>
      <c r="BX15" s="23">
        <f>VLOOKUP($R15,武学奇术!$A:$ZZ,32,FALSE)</f>
        <v>0</v>
      </c>
      <c r="BY15" s="23" cm="1">
        <f t="array" ref="BY15">SUM(_xlfn.XLOOKUP($S15:$AL15,增益!$A:$A,增益!$X:$X,0))</f>
        <v>0</v>
      </c>
    </row>
    <row r="16" spans="1:77">
      <c r="A16" s="39" t="s">
        <v>131</v>
      </c>
      <c r="B16" s="71">
        <v>0.0892</v>
      </c>
      <c r="C16" s="36" t="s">
        <v>132</v>
      </c>
      <c r="D16" s="80" t="s">
        <v>133</v>
      </c>
      <c r="E16" s="36" t="s">
        <v>134</v>
      </c>
      <c r="F16" s="80" t="s">
        <v>133</v>
      </c>
      <c r="H16" s="67" t="s">
        <v>135</v>
      </c>
      <c r="I16" s="82">
        <f>I12/182513.56</f>
        <v>1.0000000150215</v>
      </c>
      <c r="J16" s="83"/>
      <c r="K16" s="35">
        <f>$L16*VLOOKUP($R16,武学奇术!$A:$ZZ,31,FALSE)</f>
        <v>75920.9992515396</v>
      </c>
      <c r="L16" s="69">
        <f t="shared" si="0"/>
        <v>74432.3522073918</v>
      </c>
      <c r="M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轻击",$B$21,0))*(1+IF(VLOOKUP($R16,武学奇术!$A:$ZZ,30,FALSE)="老鼠",$B$22,0))*(1+$BW16)*(1+$BX16)</f>
        <v>79633.3375342813</v>
      </c>
      <c r="N16" s="35">
        <f>(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轻击",$B$21,0))*(1+IF(VLOOKUP($R16,武学奇术!$A:$ZZ,30,FALSE)="老鼠",$B$22,0))*(1+$BW16))*(1+$BX16)</f>
        <v>67335.6353063251</v>
      </c>
      <c r="O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轻击",$B$21,0))*(1+IF(VLOOKUP($R16,武学奇术!$A:$ZZ,30,FALSE)="老鼠",$B$22,0))*(1+$BW16)*(1+$BX16)</f>
        <v>43899.304043154</v>
      </c>
      <c r="P16" s="35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轻击",$B$21,0))*(1+IF(VLOOKUP($R16,武学奇术!$A:$ZZ,30,FALSE)="老鼠",$B$22,0))*(1+$BW16)*(1+$BX16)</f>
        <v>37920.3597112523</v>
      </c>
      <c r="Q16" s="70">
        <v>3</v>
      </c>
      <c r="R16" s="37" t="s">
        <v>106</v>
      </c>
      <c r="S16" s="37" t="s">
        <v>129</v>
      </c>
      <c r="T16" s="37" t="s">
        <v>130</v>
      </c>
      <c r="U16" s="37" t="s">
        <v>112</v>
      </c>
      <c r="V16" s="37" t="s">
        <v>113</v>
      </c>
      <c r="W16" s="37" t="s">
        <v>82</v>
      </c>
      <c r="X16" s="37" t="s">
        <v>81</v>
      </c>
      <c r="Y16" s="37" t="s">
        <v>109</v>
      </c>
      <c r="Z16" s="37" t="s">
        <v>81</v>
      </c>
      <c r="AA16" s="37" t="s">
        <v>84</v>
      </c>
      <c r="AB16" s="37" t="s">
        <v>81</v>
      </c>
      <c r="AC16" s="37" t="s">
        <v>81</v>
      </c>
      <c r="AD16" s="37" t="s">
        <v>85</v>
      </c>
      <c r="AE16" s="37" t="s">
        <v>86</v>
      </c>
      <c r="AF16" s="37" t="s">
        <v>81</v>
      </c>
      <c r="AG16" s="37" t="s">
        <v>87</v>
      </c>
      <c r="AH16" s="37" t="s">
        <v>88</v>
      </c>
      <c r="AI16" s="37" t="s">
        <v>81</v>
      </c>
      <c r="AJ16" s="37" t="s">
        <v>81</v>
      </c>
      <c r="AK16" s="37" t="s">
        <v>81</v>
      </c>
      <c r="AL16" s="37" t="s">
        <v>81</v>
      </c>
      <c r="AM16" t="str">
        <f>VLOOKUP($R16,武学奇术!$A:$ZZ,25,FALSE)</f>
        <v>绳镖</v>
      </c>
      <c r="AN16" s="23">
        <f>VLOOKUP($R16,武学奇术!$A:$ZZ,26,FALSE)</f>
        <v>0.3675</v>
      </c>
      <c r="AO16" s="24">
        <f>VLOOKUP($R16,武学奇术!$A:$ZZ,27,FALSE)*(1+IF(OR($AM16=$F$4,$AM16=$F$5),$B$23,0))</f>
        <v>0</v>
      </c>
      <c r="AP16" s="23">
        <f>VLOOKUP($R16,武学奇术!$A:$ZZ,28,FALSE)</f>
        <v>0.55125</v>
      </c>
      <c r="AQ16" s="24">
        <f>VLOOKUP($R16,武学奇术!$A:$ZZ,29,FALSE)*(1+IF(OR($AM16=$F$4,$AM16=$F$5),$B$23,0))</f>
        <v>0</v>
      </c>
      <c r="AR16" s="23" cm="1">
        <f t="array" ref="AR16">$G$3+IFERROR(VLOOKUP($AM16,$F$4:$G$7,2,FALSE),0)+VLOOKUP($R16,武学奇术!$A:$ZZ,2,FALSE)+SUM(_xlfn.XLOOKUP($S16:$AL16,增益!$A:$A,增益!$B:$B,0))</f>
        <v>1.5543</v>
      </c>
      <c r="AS16" s="23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4150.4</v>
      </c>
      <c r="AU16" cm="1">
        <f t="array" ref="AU16">$E$10*(1+$AS16)+VLOOKUP($R16,武学奇术!$A:$ZZ,4,FALSE)+SUM(_xlfn.XLOOKUP($S16:$AL16,增益!$A:$A,增益!$D:$D,0))-$I$2</f>
        <v>4150.4</v>
      </c>
      <c r="AV16" s="29" cm="1">
        <f t="array" ref="AV16">IF($F$10-$I$3+VLOOKUP($R16,武学奇术!$A:$ZZ,6,FALSE)+SUM(_xlfn.XLOOKUP(S16:AL16,增益!$A:$A,增益!$F:$F,0))&gt;0,($F$10-$I$3+VLOOKUP($R16,武学奇术!$A:$ZZ,6,FALSE)+SUM(_xlfn.XLOOKUP(S16:AL16,增益!$A:$A,增益!$F:$F,0)))/200,($F$10-$I$3+VLOOKUP($R16,武学奇术!$A:$ZZ,6,FALSE)+SUM(_xlfn.XLOOKUP(S16:AL16,增益!$A:$A,增益!$F:$F,0)))/100)</f>
        <v>0.4339</v>
      </c>
      <c r="AW16" s="29" cm="1">
        <f t="array" ref="AW16">$G$10+VLOOKUP($R16,武学奇术!$A:$ZZ,7,FALSE)+SUM(_xlfn.XLOOKUP(S16:AL16,增益!$A:$A,增益!$G:$G,0))</f>
        <v>0.29</v>
      </c>
      <c r="AX16" s="23" cm="1">
        <f t="array" ref="AX16">VLOOKUP($R16,武学奇术!$A:$ZZ,8,FALSE)+SUM(_xlfn.XLOOKUP(S16:AL16,增益!$A:$A,增益!$H:$H,0))</f>
        <v>0</v>
      </c>
      <c r="AY16">
        <f t="shared" si="1"/>
        <v>0</v>
      </c>
      <c r="AZ16">
        <f t="shared" si="2"/>
        <v>0</v>
      </c>
      <c r="BA16" s="29" cm="1">
        <f t="array" ref="BA16">IF($F$11-$I$4+VLOOKUP($R16,武学奇术!$A:$ZZ,9,FALSE)+SUM(_xlfn.XLOOKUP(S16:AL16,增益!$A:$A,增益!$I:$I,0))&gt;0,($F$11-$I$4+VLOOKUP($R16,武学奇术!$A:$ZZ,9,FALSE)+SUM(_xlfn.XLOOKUP(S16:AL16,增益!$A:$A,增益!$I:$I,0)))/200,($F$11-$I$4+VLOOKUP($R16,武学奇术!$A:$ZZ,9,FALSE)+SUM(_xlfn.XLOOKUP(S16:AL16,增益!$A:$A,增益!$I:$I,0)))/100)</f>
        <v>-0.14</v>
      </c>
      <c r="BB16" s="29" cm="1">
        <f t="array" ref="BB16">$G$11+VLOOKUP($R16,武学奇术!$A:$ZZ,10,FALSE)+SUM(_xlfn.XLOOKUP(S16:AL16,增益!$A:$A,增益!$J:$J,0))</f>
        <v>0.02</v>
      </c>
      <c r="BC16">
        <f t="shared" si="3"/>
        <v>0</v>
      </c>
      <c r="BD16">
        <f t="shared" si="4"/>
        <v>0</v>
      </c>
      <c r="BE16" s="29" cm="1">
        <f t="array" ref="BE16">IF($F$12-$I$4+VLOOKUP($R16,武学奇术!$A:$ZZ,11,FALSE)+SUM(_xlfn.XLOOKUP(S16:AL16,增益!$A:$A,增益!$K:$K,0))&gt;0,($F$12-$I$4+VLOOKUP($R16,武学奇术!$A:$ZZ,11,FALSE)+SUM(_xlfn.XLOOKUP(S16:AL16,增益!$A:$A,增益!$K:$K,0)))/200,($F$12-$I$4+VLOOKUP($R16,武学奇术!$A:$ZZ,11,FALSE)+SUM(_xlfn.XLOOKUP(S16:AL16,增益!$A:$A,增益!$K:$K,0)))/100)</f>
        <v>-0.14</v>
      </c>
      <c r="BF16" s="29" cm="1">
        <f t="array" ref="BF16">$G$12+VLOOKUP($R16,武学奇术!$A:$ZZ,12,FALSE)+SUM(_xlfn.XLOOKUP(S16:AL16,增益!$A:$A,增益!$L:$L,0))</f>
        <v>0.02</v>
      </c>
      <c r="BG16">
        <f t="shared" si="5"/>
        <v>0</v>
      </c>
      <c r="BH16">
        <f t="shared" si="6"/>
        <v>0</v>
      </c>
      <c r="BI16" s="29" cm="1">
        <f t="array" ref="BI16">IF($F$13-$I$4+VLOOKUP($R16,武学奇术!$A:$ZZ,13,FALSE)+SUM(_xlfn.XLOOKUP(S16:AL16,增益!$A:$A,增益!$M:$M,0))&gt;0,($F$13-$I$4+VLOOKUP($R16,武学奇术!$A:$ZZ,13,FALSE)+SUM(_xlfn.XLOOKUP(S16:AL16,增益!$A:$A,增益!$K:$K,0)))/200,($F$13-$I$4+VLOOKUP($R16,武学奇术!$A:$ZZ,13,FALSE)+SUM(_xlfn.XLOOKUP(S16:AL16,增益!$A:$A,增益!$M:$M,0)))/100)</f>
        <v>-0.14</v>
      </c>
      <c r="BJ16" s="29" cm="1">
        <f t="array" ref="BJ16">$G$13+VLOOKUP($R16,武学奇术!$A:$ZZ,14,FALSE)+SUM(_xlfn.XLOOKUP(S16:AL16,增益!$A:$A,增益!$N:$N,0))</f>
        <v>0.02</v>
      </c>
      <c r="BK16">
        <f t="shared" si="7"/>
        <v>618.2</v>
      </c>
      <c r="BL16">
        <f t="shared" si="8"/>
        <v>1805</v>
      </c>
      <c r="BM16" s="29" cm="1">
        <f t="array" ref="BM16">IF($F$14-$I$4+VLOOKUP($R16,武学奇术!$A:$ZZ,15,FALSE)+SUM(_xlfn.XLOOKUP(S16:AL16,增益!$A:$A,增益!$O:$O,0))&gt;0,($F$14-$I$4+VLOOKUP($R16,武学奇术!$A:$ZZ,15,FALSE)+SUM(_xlfn.XLOOKUP(S16:AL16,增益!$A:$A,增益!$O:$O,0)))/200,($F$14-$I$4+VLOOKUP($R16,武学奇术!$A:$ZZ,15,FALSE)+SUM(_xlfn.XLOOKUP(S16:AL16,增益!$A:$A,增益!$O:$O,0)))/100)</f>
        <v>0.13</v>
      </c>
      <c r="BN16" s="29" cm="1">
        <f t="array" ref="BN16">$G$14+VLOOKUP($R16,武学奇术!$A:$ZZ,16,FALSE)+SUM(_xlfn.XLOOKUP(S16:AL16,增益!$A:$A,增益!$P:$P,0))</f>
        <v>0.44</v>
      </c>
      <c r="BO16" s="23">
        <f>MIN(IF(VLOOKUP($R16,武学奇术!$A:$ZZ,23,FALSE)=1,100%,$B$8),100%)</f>
        <v>0.9943</v>
      </c>
      <c r="BP16" s="23" cm="1">
        <f t="array" ref="BP16">IF(VLOOKUP($R16,武学奇术!$A:$ZZ,23,FALSE)=1,100%,MIN(80%,$B$9+VLOOKUP($R16,武学奇术!$A:$ZZ,17,FALSE)+SUM(_xlfn.XLOOKUP(S16:AL16,增益!$A:$A,增益!$Q:$Q,0)))+$B$11+SUM(_xlfn.XLOOKUP(S16:AL16,增益!$A:$A,增益!$U:$U,0)))*IF(VLOOKUP($R16,武学奇术!$A:$ZZ,24,FALSE)=1,0,1)</f>
        <v>0.8</v>
      </c>
      <c r="BQ16" s="23" cm="1">
        <f t="array" ref="BQ16">1+$B$13+VLOOKUP($R16,武学奇术!$A:$ZZ,18,FALSE)+SUM(_xlfn.XLOOKUP(S16:AL16,增益!$A:$A,增益!$R:$R,0))</f>
        <v>1.814</v>
      </c>
      <c r="BR16" s="23" cm="1">
        <f t="array" ref="BR16">IF(VLOOKUP($R16,武学奇术!$A:$ZZ,24,FALSE)=1,100%,MIN(40%,$B$10+VLOOKUP($R16,武学奇术!$A:$ZZ,19,FALSE)+SUM(_xlfn.XLOOKUP(S16:AL16,增益!$A:$A,增益!$S:$S,0)))+$B$12+SUM(_xlfn.XLOOKUP(S16:AL16,增益!$A:$A,增益!$V:$V,0)))*IF(VLOOKUP($R16,武学奇术!$A:$ZZ,23,FALSE)=1,0,1)</f>
        <v>0.0913</v>
      </c>
      <c r="BS16" s="23" cm="1">
        <f t="array" ref="BS16">1+$B$14+VLOOKUP($R16,武学奇术!$A:$ZZ,20,FALSE)+SUM(_xlfn.XLOOKUP(S16:AL16,增益!$A:$A,增益!$T:$T,0))</f>
        <v>1.35</v>
      </c>
      <c r="BT16" s="23">
        <f t="shared" si="9"/>
        <v>0.79544</v>
      </c>
      <c r="BU16" s="23">
        <f t="shared" si="10"/>
        <v>0.10808041</v>
      </c>
      <c r="BV16" s="23">
        <f>IF(VLOOKUP($R16,武学奇术!$A:$ZZ,22,FALSE)=1,0,(1-$BO16))*(1-$BR16)</f>
        <v>0.00517958999999993</v>
      </c>
      <c r="BW16" s="23" cm="1">
        <f t="array" ref="BW16">SUM(_xlfn.XLOOKUP(S16:AL16,增益!$A:$A,增益!$W:$W,0))+$I$5</f>
        <v>0.11</v>
      </c>
      <c r="BX16" s="23">
        <f>VLOOKUP($R16,武学奇术!$A:$ZZ,32,FALSE)</f>
        <v>0</v>
      </c>
      <c r="BY16" s="23" cm="1">
        <f t="array" ref="BY16">SUM(_xlfn.XLOOKUP($S16:$AL16,增益!$A:$A,增益!$X:$X,0))</f>
        <v>0</v>
      </c>
    </row>
    <row r="17" ht="14.25" spans="1:77">
      <c r="A17" s="39" t="s">
        <v>136</v>
      </c>
      <c r="B17" s="71">
        <v>0.0854</v>
      </c>
      <c r="C17" s="36" t="s">
        <v>137</v>
      </c>
      <c r="D17" s="80" t="s">
        <v>133</v>
      </c>
      <c r="E17" s="36" t="s">
        <v>138</v>
      </c>
      <c r="F17" s="80" t="s">
        <v>133</v>
      </c>
      <c r="H17" s="72"/>
      <c r="I17" s="84"/>
      <c r="J17" s="85"/>
      <c r="K17" s="35">
        <f>$L17*VLOOKUP($R17,武学奇术!$A:$ZZ,31,FALSE)</f>
        <v>34744.9686692048</v>
      </c>
      <c r="L17" s="58">
        <f t="shared" si="0"/>
        <v>31022.2934546472</v>
      </c>
      <c r="M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轻击",$B$21,0))*(1+IF(VLOOKUP($R17,武学奇术!$A:$ZZ,30,FALSE)="老鼠",$B$22,0))*(1+$BW17)*(1+$BX17)</f>
        <v>32552.5032931674</v>
      </c>
      <c r="N17" s="35">
        <f>(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轻击",$B$21,0))*(1+IF(VLOOKUP($R17,武学奇术!$A:$ZZ,30,FALSE)="老鼠",$B$22,0))*(1+$BW17))*(1+$BX17)</f>
        <v>21306.6415845637</v>
      </c>
      <c r="O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轻击",$B$21,0))*(1+IF(VLOOKUP($R17,武学奇术!$A:$ZZ,30,FALSE)="老鼠",$B$22,0))*(1+$BW17)*(1+$BX17)</f>
        <v>14067.6332295451</v>
      </c>
      <c r="P17" s="35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轻击",$B$21,0))*(1+IF(VLOOKUP($R17,武学奇术!$A:$ZZ,30,FALSE)="老鼠",$B$22,0))*(1+$BW17)*(1+$BX17)</f>
        <v>12352.5689890431</v>
      </c>
      <c r="Q17" s="36">
        <v>1</v>
      </c>
      <c r="R17" s="37" t="s">
        <v>139</v>
      </c>
      <c r="S17" s="37" t="s">
        <v>129</v>
      </c>
      <c r="T17" s="37" t="s">
        <v>130</v>
      </c>
      <c r="U17" s="37" t="s">
        <v>112</v>
      </c>
      <c r="V17" s="37" t="s">
        <v>113</v>
      </c>
      <c r="W17" s="37" t="s">
        <v>82</v>
      </c>
      <c r="X17" s="37" t="s">
        <v>81</v>
      </c>
      <c r="Y17" s="37" t="s">
        <v>109</v>
      </c>
      <c r="Z17" s="37" t="s">
        <v>83</v>
      </c>
      <c r="AA17" s="37" t="s">
        <v>84</v>
      </c>
      <c r="AB17" s="37" t="s">
        <v>81</v>
      </c>
      <c r="AC17" s="37" t="s">
        <v>81</v>
      </c>
      <c r="AD17" s="37" t="s">
        <v>85</v>
      </c>
      <c r="AE17" s="37" t="s">
        <v>86</v>
      </c>
      <c r="AF17" s="37" t="s">
        <v>81</v>
      </c>
      <c r="AG17" s="37" t="s">
        <v>87</v>
      </c>
      <c r="AH17" s="37" t="s">
        <v>88</v>
      </c>
      <c r="AI17" s="37" t="s">
        <v>81</v>
      </c>
      <c r="AJ17" s="37" t="s">
        <v>81</v>
      </c>
      <c r="AK17" s="37" t="s">
        <v>81</v>
      </c>
      <c r="AL17" s="37" t="s">
        <v>81</v>
      </c>
      <c r="AM17" t="str">
        <f>VLOOKUP($R17,武学奇术!$A:$ZZ,25,FALSE)</f>
        <v>双刀</v>
      </c>
      <c r="AN17" s="23">
        <f>VLOOKUP($R17,武学奇术!$A:$ZZ,26,FALSE)</f>
        <v>0.6472</v>
      </c>
      <c r="AO17" s="24">
        <f>VLOOKUP($R17,武学奇术!$A:$ZZ,27,FALSE)*(1+IF(OR($AM17=$F$4,$AM17=$F$5),$B$23,0))</f>
        <v>288</v>
      </c>
      <c r="AP17" s="23">
        <f>VLOOKUP($R17,武学奇术!$A:$ZZ,28,FALSE)</f>
        <v>0.9708</v>
      </c>
      <c r="AQ17" s="24">
        <f>VLOOKUP($R17,武学奇术!$A:$ZZ,29,FALSE)*(1+IF(OR($AM17=$F$4,$AM17=$F$5),$B$23,0))</f>
        <v>156.8</v>
      </c>
      <c r="AR17" s="23" cm="1">
        <f t="array" ref="AR17">$G$3+IFERROR(VLOOKUP($AM17,$F$4:$G$7,2,FALSE),0)+VLOOKUP($R17,武学奇术!$A:$ZZ,2,FALSE)+SUM(_xlfn.XLOOKUP($S17:$AL17,增益!$A:$A,增益!$B:$B,0))</f>
        <v>0.7543</v>
      </c>
      <c r="AS17" s="23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4150.4</v>
      </c>
      <c r="AU17" cm="1">
        <f t="array" ref="AU17">$E$10*(1+$AS17)+VLOOKUP($R17,武学奇术!$A:$ZZ,4,FALSE)+SUM(_xlfn.XLOOKUP($S17:$AL17,增益!$A:$A,增益!$D:$D,0))-$I$2</f>
        <v>4150.4</v>
      </c>
      <c r="AV17" s="29" cm="1">
        <f t="array" ref="AV17">IF($F$10-$I$3+VLOOKUP($R17,武学奇术!$A:$ZZ,6,FALSE)+SUM(_xlfn.XLOOKUP(S17:AL17,增益!$A:$A,增益!$F:$F,0))&gt;0,($F$10-$I$3+VLOOKUP($R17,武学奇术!$A:$ZZ,6,FALSE)+SUM(_xlfn.XLOOKUP(S17:AL17,增益!$A:$A,增益!$F:$F,0)))/200,($F$10-$I$3+VLOOKUP($R17,武学奇术!$A:$ZZ,6,FALSE)+SUM(_xlfn.XLOOKUP(S17:AL17,增益!$A:$A,增益!$F:$F,0)))/100)</f>
        <v>0.4339</v>
      </c>
      <c r="AW17" s="29" cm="1">
        <f t="array" ref="AW17">$G$10+VLOOKUP($R17,武学奇术!$A:$ZZ,7,FALSE)+SUM(_xlfn.XLOOKUP(S17:AL17,增益!$A:$A,增益!$G:$G,0))</f>
        <v>0.08</v>
      </c>
      <c r="AX17" s="23" cm="1">
        <f t="array" ref="AX17">VLOOKUP($R17,武学奇术!$A:$ZZ,8,FALSE)+SUM(_xlfn.XLOOKUP(S17:AL17,增益!$A:$A,增益!$H:$H,0))</f>
        <v>0</v>
      </c>
      <c r="AY17">
        <f t="shared" si="1"/>
        <v>0</v>
      </c>
      <c r="AZ17">
        <f t="shared" si="2"/>
        <v>0</v>
      </c>
      <c r="BA17" s="29" cm="1">
        <f t="array" ref="BA17">IF($F$11-$I$4+VLOOKUP($R17,武学奇术!$A:$ZZ,9,FALSE)+SUM(_xlfn.XLOOKUP(S17:AL17,增益!$A:$A,增益!$I:$I,0))&gt;0,($F$11-$I$4+VLOOKUP($R17,武学奇术!$A:$ZZ,9,FALSE)+SUM(_xlfn.XLOOKUP(S17:AL17,增益!$A:$A,增益!$I:$I,0)))/200,($F$11-$I$4+VLOOKUP($R17,武学奇术!$A:$ZZ,9,FALSE)+SUM(_xlfn.XLOOKUP(S17:AL17,增益!$A:$A,增益!$I:$I,0)))/100)</f>
        <v>-0.14</v>
      </c>
      <c r="BB17" s="29" cm="1">
        <f t="array" ref="BB17">$G$11+VLOOKUP($R17,武学奇术!$A:$ZZ,10,FALSE)+SUM(_xlfn.XLOOKUP(S17:AL17,增益!$A:$A,增益!$J:$J,0))</f>
        <v>0.02</v>
      </c>
      <c r="BC17">
        <f t="shared" si="3"/>
        <v>0</v>
      </c>
      <c r="BD17">
        <f t="shared" si="4"/>
        <v>0</v>
      </c>
      <c r="BE17" s="29" cm="1">
        <f t="array" ref="BE17">IF($F$12-$I$4+VLOOKUP($R17,武学奇术!$A:$ZZ,11,FALSE)+SUM(_xlfn.XLOOKUP(S17:AL17,增益!$A:$A,增益!$K:$K,0))&gt;0,($F$12-$I$4+VLOOKUP($R17,武学奇术!$A:$ZZ,11,FALSE)+SUM(_xlfn.XLOOKUP(S17:AL17,增益!$A:$A,增益!$K:$K,0)))/200,($F$12-$I$4+VLOOKUP($R17,武学奇术!$A:$ZZ,11,FALSE)+SUM(_xlfn.XLOOKUP(S17:AL17,增益!$A:$A,增益!$K:$K,0)))/100)</f>
        <v>-0.14</v>
      </c>
      <c r="BF17" s="29" cm="1">
        <f t="array" ref="BF17">$G$12+VLOOKUP($R17,武学奇术!$A:$ZZ,12,FALSE)+SUM(_xlfn.XLOOKUP(S17:AL17,增益!$A:$A,增益!$L:$L,0))</f>
        <v>0.02</v>
      </c>
      <c r="BG17">
        <f t="shared" si="5"/>
        <v>0</v>
      </c>
      <c r="BH17">
        <f t="shared" si="6"/>
        <v>0</v>
      </c>
      <c r="BI17" s="29" cm="1">
        <f t="array" ref="BI17">IF($F$13-$I$4+VLOOKUP($R17,武学奇术!$A:$ZZ,13,FALSE)+SUM(_xlfn.XLOOKUP(S17:AL17,增益!$A:$A,增益!$M:$M,0))&gt;0,($F$13-$I$4+VLOOKUP($R17,武学奇术!$A:$ZZ,13,FALSE)+SUM(_xlfn.XLOOKUP(S17:AL17,增益!$A:$A,增益!$K:$K,0)))/200,($F$13-$I$4+VLOOKUP($R17,武学奇术!$A:$ZZ,13,FALSE)+SUM(_xlfn.XLOOKUP(S17:AL17,增益!$A:$A,增益!$M:$M,0)))/100)</f>
        <v>-0.14</v>
      </c>
      <c r="BJ17" s="29" cm="1">
        <f t="array" ref="BJ17">$G$13+VLOOKUP($R17,武学奇术!$A:$ZZ,14,FALSE)+SUM(_xlfn.XLOOKUP(S17:AL17,增益!$A:$A,增益!$N:$N,0))</f>
        <v>0.02</v>
      </c>
      <c r="BK17">
        <f t="shared" si="7"/>
        <v>618.2</v>
      </c>
      <c r="BL17">
        <f t="shared" si="8"/>
        <v>1805</v>
      </c>
      <c r="BM17" s="29" cm="1">
        <f t="array" ref="BM17">IF($F$14-$I$4+VLOOKUP($R17,武学奇术!$A:$ZZ,15,FALSE)+SUM(_xlfn.XLOOKUP(S17:AL17,增益!$A:$A,增益!$O:$O,0))&gt;0,($F$14-$I$4+VLOOKUP($R17,武学奇术!$A:$ZZ,15,FALSE)+SUM(_xlfn.XLOOKUP(S17:AL17,增益!$A:$A,增益!$O:$O,0)))/200,($F$14-$I$4+VLOOKUP($R17,武学奇术!$A:$ZZ,15,FALSE)+SUM(_xlfn.XLOOKUP(S17:AL17,增益!$A:$A,增益!$O:$O,0)))/100)</f>
        <v>0.13</v>
      </c>
      <c r="BN17" s="29" cm="1">
        <f t="array" ref="BN17">$G$14+VLOOKUP($R17,武学奇术!$A:$ZZ,16,FALSE)+SUM(_xlfn.XLOOKUP(S17:AL17,增益!$A:$A,增益!$P:$P,0))</f>
        <v>0.23</v>
      </c>
      <c r="BO17" s="23">
        <f>MIN(IF(VLOOKUP($R17,武学奇术!$A:$ZZ,23,FALSE)=1,100%,$B$8),100%)</f>
        <v>0.9943</v>
      </c>
      <c r="BP17" s="23" cm="1">
        <f t="array" ref="BP17">IF(VLOOKUP($R17,武学奇术!$A:$ZZ,23,FALSE)=1,100%,MIN(80%,$B$9+VLOOKUP($R17,武学奇术!$A:$ZZ,17,FALSE)+SUM(_xlfn.XLOOKUP(S17:AL17,增益!$A:$A,增益!$Q:$Q,0)))+$B$11+SUM(_xlfn.XLOOKUP(S17:AL17,增益!$A:$A,增益!$U:$U,0)))*IF(VLOOKUP($R17,武学奇术!$A:$ZZ,24,FALSE)=1,0,1)</f>
        <v>0.887</v>
      </c>
      <c r="BQ17" s="23" cm="1">
        <f t="array" ref="BQ17">1+$B$13+VLOOKUP($R17,武学奇术!$A:$ZZ,18,FALSE)+SUM(_xlfn.XLOOKUP(S17:AL17,增益!$A:$A,增益!$R:$R,0))</f>
        <v>2.314</v>
      </c>
      <c r="BR17" s="23" cm="1">
        <f t="array" ref="BR17">IF(VLOOKUP($R17,武学奇术!$A:$ZZ,24,FALSE)=1,100%,MIN(40%,$B$10+VLOOKUP($R17,武学奇术!$A:$ZZ,19,FALSE)+SUM(_xlfn.XLOOKUP(S17:AL17,增益!$A:$A,增益!$S:$S,0)))+$B$12+SUM(_xlfn.XLOOKUP(S17:AL17,增益!$A:$A,增益!$V:$V,0)))*IF(VLOOKUP($R17,武学奇术!$A:$ZZ,23,FALSE)=1,0,1)</f>
        <v>0.0913</v>
      </c>
      <c r="BS17" s="23" cm="1">
        <f t="array" ref="BS17">1+$B$14+VLOOKUP($R17,武学奇术!$A:$ZZ,20,FALSE)+SUM(_xlfn.XLOOKUP(S17:AL17,增益!$A:$A,增益!$T:$T,0))</f>
        <v>1.35</v>
      </c>
      <c r="BT17" s="23">
        <f t="shared" si="9"/>
        <v>0.8819441</v>
      </c>
      <c r="BU17" s="23">
        <f t="shared" si="10"/>
        <v>0.0215763099999999</v>
      </c>
      <c r="BV17" s="23">
        <f>IF(VLOOKUP($R17,武学奇术!$A:$ZZ,22,FALSE)=1,0,(1-$BO17))*(1-$BR17)</f>
        <v>0.00517958999999993</v>
      </c>
      <c r="BW17" s="23" cm="1">
        <f t="array" ref="BW17">SUM(_xlfn.XLOOKUP(S17:AL17,增益!$A:$A,增益!$W:$W,0))+$I$5</f>
        <v>0.11</v>
      </c>
      <c r="BX17" s="23">
        <f>VLOOKUP($R17,武学奇术!$A:$ZZ,32,FALSE)</f>
        <v>0.1</v>
      </c>
      <c r="BY17" s="23" cm="1">
        <f t="array" ref="BY17">SUM(_xlfn.XLOOKUP($S17:$AL17,增益!$A:$A,增益!$X:$X,0))</f>
        <v>0</v>
      </c>
    </row>
    <row r="18" spans="1:77">
      <c r="A18" s="39" t="s">
        <v>140</v>
      </c>
      <c r="B18" s="71">
        <v>0.0854</v>
      </c>
      <c r="C18" s="36" t="s">
        <v>141</v>
      </c>
      <c r="D18" s="80" t="s">
        <v>133</v>
      </c>
      <c r="H18" s="33" t="s">
        <v>142</v>
      </c>
      <c r="I18" s="82">
        <f>SUM(K:K)/SUM(L:L)</f>
        <v>0.978514662263066</v>
      </c>
      <c r="J18" s="83"/>
      <c r="K18" s="35">
        <f>$L18*VLOOKUP($R18,武学奇术!$A:$ZZ,31,FALSE)</f>
        <v>48364.5187923773</v>
      </c>
      <c r="L18" s="58">
        <f t="shared" si="0"/>
        <v>43182.6060646226</v>
      </c>
      <c r="M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轻击",$B$21,0))*(1+IF(VLOOKUP($R18,武学奇术!$A:$ZZ,30,FALSE)="老鼠",$B$22,0))*(1+$BW18)*(1+$BX18)</f>
        <v>45312.5358325564</v>
      </c>
      <c r="N18" s="35">
        <f>(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轻击",$B$21,0))*(1+IF(VLOOKUP($R18,武学奇术!$A:$ZZ,30,FALSE)="老鼠",$B$22,0))*(1+$BW18))*(1+$BX18)</f>
        <v>29659.5895953449</v>
      </c>
      <c r="O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轻击",$B$21,0))*(1+IF(VLOOKUP($R18,武学奇术!$A:$ZZ,30,FALSE)="老鼠",$B$22,0))*(1+$BW18)*(1+$BX18)</f>
        <v>19581.90831139</v>
      </c>
      <c r="P18" s="35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轻击",$B$21,0))*(1+IF(VLOOKUP($R18,武学奇术!$A:$ZZ,30,FALSE)="老鼠",$B$22,0))*(1+$BW18)*(1+$BX18)</f>
        <v>17193.7502558578</v>
      </c>
      <c r="Q18" s="36">
        <v>1</v>
      </c>
      <c r="R18" s="37" t="s">
        <v>143</v>
      </c>
      <c r="S18" s="37" t="s">
        <v>129</v>
      </c>
      <c r="T18" s="37" t="s">
        <v>130</v>
      </c>
      <c r="U18" s="37" t="s">
        <v>112</v>
      </c>
      <c r="V18" s="37" t="s">
        <v>113</v>
      </c>
      <c r="W18" s="37" t="s">
        <v>82</v>
      </c>
      <c r="X18" s="37" t="s">
        <v>81</v>
      </c>
      <c r="Y18" s="37" t="s">
        <v>109</v>
      </c>
      <c r="Z18" s="37" t="s">
        <v>83</v>
      </c>
      <c r="AA18" s="37" t="s">
        <v>84</v>
      </c>
      <c r="AB18" s="37" t="s">
        <v>81</v>
      </c>
      <c r="AC18" s="37" t="s">
        <v>81</v>
      </c>
      <c r="AD18" s="37" t="s">
        <v>85</v>
      </c>
      <c r="AE18" s="37" t="s">
        <v>86</v>
      </c>
      <c r="AF18" s="37" t="s">
        <v>81</v>
      </c>
      <c r="AG18" s="37" t="s">
        <v>87</v>
      </c>
      <c r="AH18" s="37" t="s">
        <v>88</v>
      </c>
      <c r="AI18" s="37" t="s">
        <v>81</v>
      </c>
      <c r="AJ18" s="37" t="s">
        <v>81</v>
      </c>
      <c r="AK18" s="37" t="s">
        <v>81</v>
      </c>
      <c r="AL18" s="37" t="s">
        <v>81</v>
      </c>
      <c r="AM18" t="str">
        <f>VLOOKUP($R18,武学奇术!$A:$ZZ,25,FALSE)</f>
        <v>双刀</v>
      </c>
      <c r="AN18" s="23">
        <f>VLOOKUP($R18,武学奇术!$A:$ZZ,26,FALSE)</f>
        <v>0.9012</v>
      </c>
      <c r="AO18" s="24">
        <f>VLOOKUP($R18,武学奇术!$A:$ZZ,27,FALSE)*(1+IF(OR($AM18=$F$4,$AM18=$F$5),$B$23,0))</f>
        <v>400</v>
      </c>
      <c r="AP18" s="23">
        <f>VLOOKUP($R18,武学奇术!$A:$ZZ,28,FALSE)</f>
        <v>1.3518</v>
      </c>
      <c r="AQ18" s="24">
        <f>VLOOKUP($R18,武学奇术!$A:$ZZ,29,FALSE)*(1+IF(OR($AM18=$F$4,$AM18=$F$5),$B$23,0))</f>
        <v>217.6</v>
      </c>
      <c r="AR18" s="23" cm="1">
        <f t="array" ref="AR18">$G$3+IFERROR(VLOOKUP($AM18,$F$4:$G$7,2,FALSE),0)+VLOOKUP($R18,武学奇术!$A:$ZZ,2,FALSE)+SUM(_xlfn.XLOOKUP($S18:$AL18,增益!$A:$A,增益!$B:$B,0))</f>
        <v>0.7543</v>
      </c>
      <c r="AS18" s="23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4150.4</v>
      </c>
      <c r="AU18" cm="1">
        <f t="array" ref="AU18">$E$10*(1+$AS18)+VLOOKUP($R18,武学奇术!$A:$ZZ,4,FALSE)+SUM(_xlfn.XLOOKUP($S18:$AL18,增益!$A:$A,增益!$D:$D,0))-$I$2</f>
        <v>4150.4</v>
      </c>
      <c r="AV18" s="29" cm="1">
        <f t="array" ref="AV18">IF($F$10-$I$3+VLOOKUP($R18,武学奇术!$A:$ZZ,6,FALSE)+SUM(_xlfn.XLOOKUP(S18:AL18,增益!$A:$A,增益!$F:$F,0))&gt;0,($F$10-$I$3+VLOOKUP($R18,武学奇术!$A:$ZZ,6,FALSE)+SUM(_xlfn.XLOOKUP(S18:AL18,增益!$A:$A,增益!$F:$F,0)))/200,($F$10-$I$3+VLOOKUP($R18,武学奇术!$A:$ZZ,6,FALSE)+SUM(_xlfn.XLOOKUP(S18:AL18,增益!$A:$A,增益!$F:$F,0)))/100)</f>
        <v>0.4339</v>
      </c>
      <c r="AW18" s="29" cm="1">
        <f t="array" ref="AW18">$G$10+VLOOKUP($R18,武学奇术!$A:$ZZ,7,FALSE)+SUM(_xlfn.XLOOKUP(S18:AL18,增益!$A:$A,增益!$G:$G,0))</f>
        <v>0.08</v>
      </c>
      <c r="AX18" s="23" cm="1">
        <f t="array" ref="AX18">VLOOKUP($R18,武学奇术!$A:$ZZ,8,FALSE)+SUM(_xlfn.XLOOKUP(S18:AL18,增益!$A:$A,增益!$H:$H,0))</f>
        <v>0</v>
      </c>
      <c r="AY18">
        <f t="shared" si="1"/>
        <v>0</v>
      </c>
      <c r="AZ18">
        <f t="shared" si="2"/>
        <v>0</v>
      </c>
      <c r="BA18" s="29" cm="1">
        <f t="array" ref="BA18">IF($F$11-$I$4+VLOOKUP($R18,武学奇术!$A:$ZZ,9,FALSE)+SUM(_xlfn.XLOOKUP(S18:AL18,增益!$A:$A,增益!$I:$I,0))&gt;0,($F$11-$I$4+VLOOKUP($R18,武学奇术!$A:$ZZ,9,FALSE)+SUM(_xlfn.XLOOKUP(S18:AL18,增益!$A:$A,增益!$I:$I,0)))/200,($F$11-$I$4+VLOOKUP($R18,武学奇术!$A:$ZZ,9,FALSE)+SUM(_xlfn.XLOOKUP(S18:AL18,增益!$A:$A,增益!$I:$I,0)))/100)</f>
        <v>-0.14</v>
      </c>
      <c r="BB18" s="29" cm="1">
        <f t="array" ref="BB18">$G$11+VLOOKUP($R18,武学奇术!$A:$ZZ,10,FALSE)+SUM(_xlfn.XLOOKUP(S18:AL18,增益!$A:$A,增益!$J:$J,0))</f>
        <v>0.02</v>
      </c>
      <c r="BC18">
        <f t="shared" si="3"/>
        <v>0</v>
      </c>
      <c r="BD18">
        <f t="shared" si="4"/>
        <v>0</v>
      </c>
      <c r="BE18" s="29" cm="1">
        <f t="array" ref="BE18">IF($F$12-$I$4+VLOOKUP($R18,武学奇术!$A:$ZZ,11,FALSE)+SUM(_xlfn.XLOOKUP(S18:AL18,增益!$A:$A,增益!$K:$K,0))&gt;0,($F$12-$I$4+VLOOKUP($R18,武学奇术!$A:$ZZ,11,FALSE)+SUM(_xlfn.XLOOKUP(S18:AL18,增益!$A:$A,增益!$K:$K,0)))/200,($F$12-$I$4+VLOOKUP($R18,武学奇术!$A:$ZZ,11,FALSE)+SUM(_xlfn.XLOOKUP(S18:AL18,增益!$A:$A,增益!$K:$K,0)))/100)</f>
        <v>-0.14</v>
      </c>
      <c r="BF18" s="29" cm="1">
        <f t="array" ref="BF18">$G$12+VLOOKUP($R18,武学奇术!$A:$ZZ,12,FALSE)+SUM(_xlfn.XLOOKUP(S18:AL18,增益!$A:$A,增益!$L:$L,0))</f>
        <v>0.02</v>
      </c>
      <c r="BG18">
        <f t="shared" si="5"/>
        <v>0</v>
      </c>
      <c r="BH18">
        <f t="shared" si="6"/>
        <v>0</v>
      </c>
      <c r="BI18" s="29" cm="1">
        <f t="array" ref="BI18">IF($F$13-$I$4+VLOOKUP($R18,武学奇术!$A:$ZZ,13,FALSE)+SUM(_xlfn.XLOOKUP(S18:AL18,增益!$A:$A,增益!$M:$M,0))&gt;0,($F$13-$I$4+VLOOKUP($R18,武学奇术!$A:$ZZ,13,FALSE)+SUM(_xlfn.XLOOKUP(S18:AL18,增益!$A:$A,增益!$K:$K,0)))/200,($F$13-$I$4+VLOOKUP($R18,武学奇术!$A:$ZZ,13,FALSE)+SUM(_xlfn.XLOOKUP(S18:AL18,增益!$A:$A,增益!$M:$M,0)))/100)</f>
        <v>-0.14</v>
      </c>
      <c r="BJ18" s="29" cm="1">
        <f t="array" ref="BJ18">$G$13+VLOOKUP($R18,武学奇术!$A:$ZZ,14,FALSE)+SUM(_xlfn.XLOOKUP(S18:AL18,增益!$A:$A,增益!$N:$N,0))</f>
        <v>0.02</v>
      </c>
      <c r="BK18">
        <f t="shared" si="7"/>
        <v>618.2</v>
      </c>
      <c r="BL18">
        <f t="shared" si="8"/>
        <v>1805</v>
      </c>
      <c r="BM18" s="29" cm="1">
        <f t="array" ref="BM18">IF($F$14-$I$4+VLOOKUP($R18,武学奇术!$A:$ZZ,15,FALSE)+SUM(_xlfn.XLOOKUP(S18:AL18,增益!$A:$A,增益!$O:$O,0))&gt;0,($F$14-$I$4+VLOOKUP($R18,武学奇术!$A:$ZZ,15,FALSE)+SUM(_xlfn.XLOOKUP(S18:AL18,增益!$A:$A,增益!$O:$O,0)))/200,($F$14-$I$4+VLOOKUP($R18,武学奇术!$A:$ZZ,15,FALSE)+SUM(_xlfn.XLOOKUP(S18:AL18,增益!$A:$A,增益!$O:$O,0)))/100)</f>
        <v>0.13</v>
      </c>
      <c r="BN18" s="29" cm="1">
        <f t="array" ref="BN18">$G$14+VLOOKUP($R18,武学奇术!$A:$ZZ,16,FALSE)+SUM(_xlfn.XLOOKUP(S18:AL18,增益!$A:$A,增益!$P:$P,0))</f>
        <v>0.23</v>
      </c>
      <c r="BO18" s="23">
        <f>MIN(IF(VLOOKUP($R18,武学奇术!$A:$ZZ,23,FALSE)=1,100%,$B$8),100%)</f>
        <v>0.9943</v>
      </c>
      <c r="BP18" s="23" cm="1">
        <f t="array" ref="BP18">IF(VLOOKUP($R18,武学奇术!$A:$ZZ,23,FALSE)=1,100%,MIN(80%,$B$9+VLOOKUP($R18,武学奇术!$A:$ZZ,17,FALSE)+SUM(_xlfn.XLOOKUP(S18:AL18,增益!$A:$A,增益!$Q:$Q,0)))+$B$11+SUM(_xlfn.XLOOKUP(S18:AL18,增益!$A:$A,增益!$U:$U,0)))*IF(VLOOKUP($R18,武学奇术!$A:$ZZ,24,FALSE)=1,0,1)</f>
        <v>0.887</v>
      </c>
      <c r="BQ18" s="23" cm="1">
        <f t="array" ref="BQ18">1+$B$13+VLOOKUP($R18,武学奇术!$A:$ZZ,18,FALSE)+SUM(_xlfn.XLOOKUP(S18:AL18,增益!$A:$A,增益!$R:$R,0))</f>
        <v>2.314</v>
      </c>
      <c r="BR18" s="23" cm="1">
        <f t="array" ref="BR18">IF(VLOOKUP($R18,武学奇术!$A:$ZZ,24,FALSE)=1,100%,MIN(40%,$B$10+VLOOKUP($R18,武学奇术!$A:$ZZ,19,FALSE)+SUM(_xlfn.XLOOKUP(S18:AL18,增益!$A:$A,增益!$S:$S,0)))+$B$12+SUM(_xlfn.XLOOKUP(S18:AL18,增益!$A:$A,增益!$V:$V,0)))*IF(VLOOKUP($R18,武学奇术!$A:$ZZ,23,FALSE)=1,0,1)</f>
        <v>0.0913</v>
      </c>
      <c r="BS18" s="23" cm="1">
        <f t="array" ref="BS18">1+$B$14+VLOOKUP($R18,武学奇术!$A:$ZZ,20,FALSE)+SUM(_xlfn.XLOOKUP(S18:AL18,增益!$A:$A,增益!$T:$T,0))</f>
        <v>1.35</v>
      </c>
      <c r="BT18" s="23">
        <f t="shared" si="9"/>
        <v>0.8819441</v>
      </c>
      <c r="BU18" s="23">
        <f t="shared" si="10"/>
        <v>0.0215763099999999</v>
      </c>
      <c r="BV18" s="23">
        <f>IF(VLOOKUP($R18,武学奇术!$A:$ZZ,22,FALSE)=1,0,(1-$BO18))*(1-$BR18)</f>
        <v>0.00517958999999993</v>
      </c>
      <c r="BW18" s="23" cm="1">
        <f t="array" ref="BW18">SUM(_xlfn.XLOOKUP(S18:AL18,增益!$A:$A,增益!$W:$W,0))+$I$5</f>
        <v>0.11</v>
      </c>
      <c r="BX18" s="23">
        <f>VLOOKUP($R18,武学奇术!$A:$ZZ,32,FALSE)</f>
        <v>0.1</v>
      </c>
      <c r="BY18" s="23" cm="1">
        <f t="array" ref="BY18">SUM(_xlfn.XLOOKUP($S18:$AL18,增益!$A:$A,增益!$X:$X,0))</f>
        <v>0</v>
      </c>
    </row>
    <row r="19" ht="14.25" spans="1:77">
      <c r="A19" s="39" t="s">
        <v>144</v>
      </c>
      <c r="B19" s="71">
        <v>0</v>
      </c>
      <c r="C19" s="36" t="s">
        <v>145</v>
      </c>
      <c r="D19" s="80" t="s">
        <v>133</v>
      </c>
      <c r="H19" s="81"/>
      <c r="I19" s="84"/>
      <c r="J19" s="85"/>
      <c r="K19" s="35">
        <f>$L19*VLOOKUP($R19,武学奇术!$A:$ZZ,31,FALSE)</f>
        <v>98819.4958856224</v>
      </c>
      <c r="L19" s="69">
        <f t="shared" si="0"/>
        <v>96881.8587113945</v>
      </c>
      <c r="M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轻击",$B$21,0))*(1+IF(VLOOKUP($R19,武学奇术!$A:$ZZ,30,FALSE)="老鼠",$B$22,0))*(1+$BW19)*(1+$BX19)</f>
        <v>101582.989555858</v>
      </c>
      <c r="N19" s="35">
        <f>(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轻击",$B$21,0))*(1+IF(VLOOKUP($R19,武学奇术!$A:$ZZ,30,FALSE)="老鼠",$B$22,0))*(1+$BW19))*(1+$BX19)</f>
        <v>67335.6353063251</v>
      </c>
      <c r="O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轻击",$B$21,0))*(1+IF(VLOOKUP($R19,武学奇术!$A:$ZZ,30,FALSE)="老鼠",$B$22,0))*(1+$BW19)*(1+$BX19)</f>
        <v>43899.304043154</v>
      </c>
      <c r="P19" s="35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轻击",$B$21,0))*(1+IF(VLOOKUP($R19,武学奇术!$A:$ZZ,30,FALSE)="老鼠",$B$22,0))*(1+$BW19)*(1+$BX19)</f>
        <v>37920.3597112523</v>
      </c>
      <c r="Q19" s="70">
        <v>3</v>
      </c>
      <c r="R19" s="37" t="s">
        <v>106</v>
      </c>
      <c r="S19" s="37" t="s">
        <v>129</v>
      </c>
      <c r="T19" s="37" t="s">
        <v>130</v>
      </c>
      <c r="U19" s="37" t="s">
        <v>112</v>
      </c>
      <c r="V19" s="37" t="s">
        <v>113</v>
      </c>
      <c r="W19" s="37" t="s">
        <v>82</v>
      </c>
      <c r="X19" s="37" t="s">
        <v>81</v>
      </c>
      <c r="Y19" s="37" t="s">
        <v>109</v>
      </c>
      <c r="Z19" s="37" t="s">
        <v>83</v>
      </c>
      <c r="AA19" s="37" t="s">
        <v>84</v>
      </c>
      <c r="AB19" s="37" t="s">
        <v>81</v>
      </c>
      <c r="AC19" s="37" t="s">
        <v>81</v>
      </c>
      <c r="AD19" s="37" t="s">
        <v>85</v>
      </c>
      <c r="AE19" s="37" t="s">
        <v>86</v>
      </c>
      <c r="AF19" s="37" t="s">
        <v>81</v>
      </c>
      <c r="AG19" s="37" t="s">
        <v>87</v>
      </c>
      <c r="AH19" s="37" t="s">
        <v>88</v>
      </c>
      <c r="AI19" s="37" t="s">
        <v>81</v>
      </c>
      <c r="AJ19" s="37" t="s">
        <v>81</v>
      </c>
      <c r="AK19" s="37" t="s">
        <v>81</v>
      </c>
      <c r="AL19" s="37" t="s">
        <v>81</v>
      </c>
      <c r="AM19" t="str">
        <f>VLOOKUP($R19,武学奇术!$A:$ZZ,25,FALSE)</f>
        <v>绳镖</v>
      </c>
      <c r="AN19" s="23">
        <f>VLOOKUP($R19,武学奇术!$A:$ZZ,26,FALSE)</f>
        <v>0.3675</v>
      </c>
      <c r="AO19" s="24">
        <f>VLOOKUP($R19,武学奇术!$A:$ZZ,27,FALSE)*(1+IF(OR($AM19=$F$4,$AM19=$F$5),$B$23,0))</f>
        <v>0</v>
      </c>
      <c r="AP19" s="23">
        <f>VLOOKUP($R19,武学奇术!$A:$ZZ,28,FALSE)</f>
        <v>0.55125</v>
      </c>
      <c r="AQ19" s="24">
        <f>VLOOKUP($R19,武学奇术!$A:$ZZ,29,FALSE)*(1+IF(OR($AM19=$F$4,$AM19=$F$5),$B$23,0))</f>
        <v>0</v>
      </c>
      <c r="AR19" s="23" cm="1">
        <f t="array" ref="AR19">$G$3+IFERROR(VLOOKUP($AM19,$F$4:$G$7,2,FALSE),0)+VLOOKUP($R19,武学奇术!$A:$ZZ,2,FALSE)+SUM(_xlfn.XLOOKUP($S19:$AL19,增益!$A:$A,增益!$B:$B,0))</f>
        <v>1.5543</v>
      </c>
      <c r="AS19" s="23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4150.4</v>
      </c>
      <c r="AU19" cm="1">
        <f t="array" ref="AU19">$E$10*(1+$AS19)+VLOOKUP($R19,武学奇术!$A:$ZZ,4,FALSE)+SUM(_xlfn.XLOOKUP($S19:$AL19,增益!$A:$A,增益!$D:$D,0))-$I$2</f>
        <v>4150.4</v>
      </c>
      <c r="AV19" s="29" cm="1">
        <f t="array" ref="AV19">IF($F$10-$I$3+VLOOKUP($R19,武学奇术!$A:$ZZ,6,FALSE)+SUM(_xlfn.XLOOKUP(S19:AL19,增益!$A:$A,增益!$F:$F,0))&gt;0,($F$10-$I$3+VLOOKUP($R19,武学奇术!$A:$ZZ,6,FALSE)+SUM(_xlfn.XLOOKUP(S19:AL19,增益!$A:$A,增益!$F:$F,0)))/200,($F$10-$I$3+VLOOKUP($R19,武学奇术!$A:$ZZ,6,FALSE)+SUM(_xlfn.XLOOKUP(S19:AL19,增益!$A:$A,增益!$F:$F,0)))/100)</f>
        <v>0.4339</v>
      </c>
      <c r="AW19" s="29" cm="1">
        <f t="array" ref="AW19">$G$10+VLOOKUP($R19,武学奇术!$A:$ZZ,7,FALSE)+SUM(_xlfn.XLOOKUP(S19:AL19,增益!$A:$A,增益!$G:$G,0))</f>
        <v>0.29</v>
      </c>
      <c r="AX19" s="23" cm="1">
        <f t="array" ref="AX19">VLOOKUP($R19,武学奇术!$A:$ZZ,8,FALSE)+SUM(_xlfn.XLOOKUP(S19:AL19,增益!$A:$A,增益!$H:$H,0))</f>
        <v>0</v>
      </c>
      <c r="AY19">
        <f t="shared" si="1"/>
        <v>0</v>
      </c>
      <c r="AZ19">
        <f t="shared" si="2"/>
        <v>0</v>
      </c>
      <c r="BA19" s="29" cm="1">
        <f t="array" ref="BA19">IF($F$11-$I$4+VLOOKUP($R19,武学奇术!$A:$ZZ,9,FALSE)+SUM(_xlfn.XLOOKUP(S19:AL19,增益!$A:$A,增益!$I:$I,0))&gt;0,($F$11-$I$4+VLOOKUP($R19,武学奇术!$A:$ZZ,9,FALSE)+SUM(_xlfn.XLOOKUP(S19:AL19,增益!$A:$A,增益!$I:$I,0)))/200,($F$11-$I$4+VLOOKUP($R19,武学奇术!$A:$ZZ,9,FALSE)+SUM(_xlfn.XLOOKUP(S19:AL19,增益!$A:$A,增益!$I:$I,0)))/100)</f>
        <v>-0.14</v>
      </c>
      <c r="BB19" s="29" cm="1">
        <f t="array" ref="BB19">$G$11+VLOOKUP($R19,武学奇术!$A:$ZZ,10,FALSE)+SUM(_xlfn.XLOOKUP(S19:AL19,增益!$A:$A,增益!$J:$J,0))</f>
        <v>0.02</v>
      </c>
      <c r="BC19">
        <f t="shared" si="3"/>
        <v>0</v>
      </c>
      <c r="BD19">
        <f t="shared" si="4"/>
        <v>0</v>
      </c>
      <c r="BE19" s="29" cm="1">
        <f t="array" ref="BE19">IF($F$12-$I$4+VLOOKUP($R19,武学奇术!$A:$ZZ,11,FALSE)+SUM(_xlfn.XLOOKUP(S19:AL19,增益!$A:$A,增益!$K:$K,0))&gt;0,($F$12-$I$4+VLOOKUP($R19,武学奇术!$A:$ZZ,11,FALSE)+SUM(_xlfn.XLOOKUP(S19:AL19,增益!$A:$A,增益!$K:$K,0)))/200,($F$12-$I$4+VLOOKUP($R19,武学奇术!$A:$ZZ,11,FALSE)+SUM(_xlfn.XLOOKUP(S19:AL19,增益!$A:$A,增益!$K:$K,0)))/100)</f>
        <v>-0.14</v>
      </c>
      <c r="BF19" s="29" cm="1">
        <f t="array" ref="BF19">$G$12+VLOOKUP($R19,武学奇术!$A:$ZZ,12,FALSE)+SUM(_xlfn.XLOOKUP(S19:AL19,增益!$A:$A,增益!$L:$L,0))</f>
        <v>0.02</v>
      </c>
      <c r="BG19">
        <f t="shared" si="5"/>
        <v>0</v>
      </c>
      <c r="BH19">
        <f t="shared" si="6"/>
        <v>0</v>
      </c>
      <c r="BI19" s="29" cm="1">
        <f t="array" ref="BI19">IF($F$13-$I$4+VLOOKUP($R19,武学奇术!$A:$ZZ,13,FALSE)+SUM(_xlfn.XLOOKUP(S19:AL19,增益!$A:$A,增益!$M:$M,0))&gt;0,($F$13-$I$4+VLOOKUP($R19,武学奇术!$A:$ZZ,13,FALSE)+SUM(_xlfn.XLOOKUP(S19:AL19,增益!$A:$A,增益!$K:$K,0)))/200,($F$13-$I$4+VLOOKUP($R19,武学奇术!$A:$ZZ,13,FALSE)+SUM(_xlfn.XLOOKUP(S19:AL19,增益!$A:$A,增益!$M:$M,0)))/100)</f>
        <v>-0.14</v>
      </c>
      <c r="BJ19" s="29" cm="1">
        <f t="array" ref="BJ19">$G$13+VLOOKUP($R19,武学奇术!$A:$ZZ,14,FALSE)+SUM(_xlfn.XLOOKUP(S19:AL19,增益!$A:$A,增益!$N:$N,0))</f>
        <v>0.02</v>
      </c>
      <c r="BK19">
        <f t="shared" si="7"/>
        <v>618.2</v>
      </c>
      <c r="BL19">
        <f t="shared" si="8"/>
        <v>1805</v>
      </c>
      <c r="BM19" s="29" cm="1">
        <f t="array" ref="BM19">IF($F$14-$I$4+VLOOKUP($R19,武学奇术!$A:$ZZ,15,FALSE)+SUM(_xlfn.XLOOKUP(S19:AL19,增益!$A:$A,增益!$O:$O,0))&gt;0,($F$14-$I$4+VLOOKUP($R19,武学奇术!$A:$ZZ,15,FALSE)+SUM(_xlfn.XLOOKUP(S19:AL19,增益!$A:$A,增益!$O:$O,0)))/200,($F$14-$I$4+VLOOKUP($R19,武学奇术!$A:$ZZ,15,FALSE)+SUM(_xlfn.XLOOKUP(S19:AL19,增益!$A:$A,增益!$O:$O,0)))/100)</f>
        <v>0.13</v>
      </c>
      <c r="BN19" s="29" cm="1">
        <f t="array" ref="BN19">$G$14+VLOOKUP($R19,武学奇术!$A:$ZZ,16,FALSE)+SUM(_xlfn.XLOOKUP(S19:AL19,增益!$A:$A,增益!$P:$P,0))</f>
        <v>0.44</v>
      </c>
      <c r="BO19" s="23">
        <f>MIN(IF(VLOOKUP($R19,武学奇术!$A:$ZZ,23,FALSE)=1,100%,$B$8),100%)</f>
        <v>0.9943</v>
      </c>
      <c r="BP19" s="23" cm="1">
        <f t="array" ref="BP19">IF(VLOOKUP($R19,武学奇术!$A:$ZZ,23,FALSE)=1,100%,MIN(80%,$B$9+VLOOKUP($R19,武学奇术!$A:$ZZ,17,FALSE)+SUM(_xlfn.XLOOKUP(S19:AL19,增益!$A:$A,增益!$Q:$Q,0)))+$B$11+SUM(_xlfn.XLOOKUP(S19:AL19,增益!$A:$A,增益!$U:$U,0)))*IF(VLOOKUP($R19,武学奇术!$A:$ZZ,24,FALSE)=1,0,1)</f>
        <v>0.887</v>
      </c>
      <c r="BQ19" s="23" cm="1">
        <f t="array" ref="BQ19">1+$B$13+VLOOKUP($R19,武学奇术!$A:$ZZ,18,FALSE)+SUM(_xlfn.XLOOKUP(S19:AL19,增益!$A:$A,增益!$R:$R,0))</f>
        <v>2.314</v>
      </c>
      <c r="BR19" s="23" cm="1">
        <f t="array" ref="BR19">IF(VLOOKUP($R19,武学奇术!$A:$ZZ,24,FALSE)=1,100%,MIN(40%,$B$10+VLOOKUP($R19,武学奇术!$A:$ZZ,19,FALSE)+SUM(_xlfn.XLOOKUP(S19:AL19,增益!$A:$A,增益!$S:$S,0)))+$B$12+SUM(_xlfn.XLOOKUP(S19:AL19,增益!$A:$A,增益!$V:$V,0)))*IF(VLOOKUP($R19,武学奇术!$A:$ZZ,23,FALSE)=1,0,1)</f>
        <v>0.0913</v>
      </c>
      <c r="BS19" s="23" cm="1">
        <f t="array" ref="BS19">1+$B$14+VLOOKUP($R19,武学奇术!$A:$ZZ,20,FALSE)+SUM(_xlfn.XLOOKUP(S19:AL19,增益!$A:$A,增益!$T:$T,0))</f>
        <v>1.35</v>
      </c>
      <c r="BT19" s="23">
        <f t="shared" si="9"/>
        <v>0.8819441</v>
      </c>
      <c r="BU19" s="23">
        <f t="shared" si="10"/>
        <v>0.0215763099999999</v>
      </c>
      <c r="BV19" s="23">
        <f>IF(VLOOKUP($R19,武学奇术!$A:$ZZ,22,FALSE)=1,0,(1-$BO19))*(1-$BR19)</f>
        <v>0.00517958999999993</v>
      </c>
      <c r="BW19" s="23" cm="1">
        <f t="array" ref="BW19">SUM(_xlfn.XLOOKUP(S19:AL19,增益!$A:$A,增益!$W:$W,0))+$I$5</f>
        <v>0.11</v>
      </c>
      <c r="BX19" s="23">
        <f>VLOOKUP($R19,武学奇术!$A:$ZZ,32,FALSE)</f>
        <v>0</v>
      </c>
      <c r="BY19" s="23" cm="1">
        <f t="array" ref="BY19">SUM(_xlfn.XLOOKUP($S19:$AL19,增益!$A:$A,增益!$X:$X,0))</f>
        <v>0</v>
      </c>
    </row>
    <row r="20" spans="1:77">
      <c r="A20" s="39" t="s">
        <v>146</v>
      </c>
      <c r="B20" s="71">
        <v>0</v>
      </c>
      <c r="C20" s="36" t="s">
        <v>147</v>
      </c>
      <c r="D20" s="80" t="s">
        <v>133</v>
      </c>
      <c r="K20" s="35">
        <f>$L20*VLOOKUP($R20,武学奇术!$A:$ZZ,31,FALSE)</f>
        <v>78708.2846288005</v>
      </c>
      <c r="L20" s="58">
        <f t="shared" si="0"/>
        <v>70275.2541328576</v>
      </c>
      <c r="M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轻击",$B$21,0))*(1+IF(VLOOKUP($R20,武学奇术!$A:$ZZ,30,FALSE)="老鼠",$B$22,0))*(1+$BW20)*(1+$BX20)</f>
        <v>73767.4726543601</v>
      </c>
      <c r="N20" s="35">
        <f>(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轻击",$B$21,0))*(1+IF(VLOOKUP($R20,武学奇术!$A:$ZZ,30,FALSE)="老鼠",$B$22,0))*(1+$BW20))*(1+$BX20)</f>
        <v>48051.9827714762</v>
      </c>
      <c r="O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轻击",$B$21,0))*(1+IF(VLOOKUP($R20,武学奇术!$A:$ZZ,30,FALSE)="老鼠",$B$22,0))*(1+$BW20)*(1+$BX20)</f>
        <v>31741.5975276937</v>
      </c>
      <c r="P20" s="35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轻击",$B$21,0))*(1+IF(VLOOKUP($R20,武学奇术!$A:$ZZ,30,FALSE)="老鼠",$B$22,0))*(1+$BW20)*(1+$BX20)</f>
        <v>27889.1337431827</v>
      </c>
      <c r="Q20" s="36">
        <v>1</v>
      </c>
      <c r="R20" s="37" t="s">
        <v>148</v>
      </c>
      <c r="S20" s="37" t="s">
        <v>79</v>
      </c>
      <c r="T20" s="37" t="s">
        <v>80</v>
      </c>
      <c r="U20" s="37" t="s">
        <v>112</v>
      </c>
      <c r="V20" s="37" t="s">
        <v>113</v>
      </c>
      <c r="W20" s="37" t="s">
        <v>82</v>
      </c>
      <c r="X20" s="37" t="s">
        <v>81</v>
      </c>
      <c r="Y20" s="37" t="s">
        <v>109</v>
      </c>
      <c r="Z20" s="37" t="s">
        <v>83</v>
      </c>
      <c r="AA20" s="37" t="s">
        <v>84</v>
      </c>
      <c r="AB20" s="37" t="s">
        <v>81</v>
      </c>
      <c r="AC20" s="37" t="s">
        <v>81</v>
      </c>
      <c r="AD20" s="37" t="s">
        <v>85</v>
      </c>
      <c r="AE20" s="37" t="s">
        <v>86</v>
      </c>
      <c r="AF20" s="37" t="s">
        <v>81</v>
      </c>
      <c r="AG20" s="37" t="s">
        <v>87</v>
      </c>
      <c r="AH20" s="37" t="s">
        <v>88</v>
      </c>
      <c r="AI20" s="37" t="s">
        <v>81</v>
      </c>
      <c r="AJ20" s="37" t="s">
        <v>81</v>
      </c>
      <c r="AK20" s="37" t="s">
        <v>81</v>
      </c>
      <c r="AL20" s="37" t="s">
        <v>81</v>
      </c>
      <c r="AM20" t="str">
        <f>VLOOKUP($R20,武学奇术!$A:$ZZ,25,FALSE)</f>
        <v>双刀</v>
      </c>
      <c r="AN20" s="23">
        <f>VLOOKUP($R20,武学奇术!$A:$ZZ,26,FALSE)</f>
        <v>1.4455</v>
      </c>
      <c r="AO20" s="24">
        <f>VLOOKUP($R20,武学奇术!$A:$ZZ,27,FALSE)*(1+IF(OR($AM20=$F$4,$AM20=$F$5),$B$23,0))</f>
        <v>641.6</v>
      </c>
      <c r="AP20" s="23">
        <f>VLOOKUP($R20,武学奇术!$A:$ZZ,28,FALSE)</f>
        <v>2.1683</v>
      </c>
      <c r="AQ20" s="24">
        <f>VLOOKUP($R20,武学奇术!$A:$ZZ,29,FALSE)*(1+IF(OR($AM20=$F$4,$AM20=$F$5),$B$23,0))</f>
        <v>348.8</v>
      </c>
      <c r="AR20" s="23" cm="1">
        <f t="array" ref="AR20">$G$3+IFERROR(VLOOKUP($AM20,$F$4:$G$7,2,FALSE),0)+VLOOKUP($R20,武学奇术!$A:$ZZ,2,FALSE)+SUM(_xlfn.XLOOKUP($S20:$AL20,增益!$A:$A,增益!$B:$B,0))</f>
        <v>0.7643</v>
      </c>
      <c r="AS20" s="23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4150.4</v>
      </c>
      <c r="AU20" cm="1">
        <f t="array" ref="AU20">$E$10*(1+$AS20)+VLOOKUP($R20,武学奇术!$A:$ZZ,4,FALSE)+SUM(_xlfn.XLOOKUP($S20:$AL20,增益!$A:$A,增益!$D:$D,0))-$I$2</f>
        <v>4150.4</v>
      </c>
      <c r="AV20" s="29" cm="1">
        <f t="array" ref="AV20">IF($F$10-$I$3+VLOOKUP($R20,武学奇术!$A:$ZZ,6,FALSE)+SUM(_xlfn.XLOOKUP(S20:AL20,增益!$A:$A,增益!$F:$F,0))&gt;0,($F$10-$I$3+VLOOKUP($R20,武学奇术!$A:$ZZ,6,FALSE)+SUM(_xlfn.XLOOKUP(S20:AL20,增益!$A:$A,增益!$F:$F,0)))/200,($F$10-$I$3+VLOOKUP($R20,武学奇术!$A:$ZZ,6,FALSE)+SUM(_xlfn.XLOOKUP(S20:AL20,增益!$A:$A,增益!$F:$F,0)))/100)</f>
        <v>0.4439</v>
      </c>
      <c r="AW20" s="29" cm="1">
        <f t="array" ref="AW20">$G$10+VLOOKUP($R20,武学奇术!$A:$ZZ,7,FALSE)+SUM(_xlfn.XLOOKUP(S20:AL20,增益!$A:$A,增益!$G:$G,0))</f>
        <v>0.08</v>
      </c>
      <c r="AX20" s="23" cm="1">
        <f t="array" ref="AX20">VLOOKUP($R20,武学奇术!$A:$ZZ,8,FALSE)+SUM(_xlfn.XLOOKUP(S20:AL20,增益!$A:$A,增益!$H:$H,0))</f>
        <v>0</v>
      </c>
      <c r="AY20">
        <f t="shared" si="1"/>
        <v>0</v>
      </c>
      <c r="AZ20">
        <f t="shared" si="2"/>
        <v>0</v>
      </c>
      <c r="BA20" s="29" cm="1">
        <f t="array" ref="BA20">IF($F$11-$I$4+VLOOKUP($R20,武学奇术!$A:$ZZ,9,FALSE)+SUM(_xlfn.XLOOKUP(S20:AL20,增益!$A:$A,增益!$I:$I,0))&gt;0,($F$11-$I$4+VLOOKUP($R20,武学奇术!$A:$ZZ,9,FALSE)+SUM(_xlfn.XLOOKUP(S20:AL20,增益!$A:$A,增益!$I:$I,0)))/200,($F$11-$I$4+VLOOKUP($R20,武学奇术!$A:$ZZ,9,FALSE)+SUM(_xlfn.XLOOKUP(S20:AL20,增益!$A:$A,增益!$I:$I,0)))/100)</f>
        <v>-0.14</v>
      </c>
      <c r="BB20" s="29" cm="1">
        <f t="array" ref="BB20">$G$11+VLOOKUP($R20,武学奇术!$A:$ZZ,10,FALSE)+SUM(_xlfn.XLOOKUP(S20:AL20,增益!$A:$A,增益!$J:$J,0))</f>
        <v>0.02</v>
      </c>
      <c r="BC20">
        <f t="shared" si="3"/>
        <v>0</v>
      </c>
      <c r="BD20">
        <f t="shared" si="4"/>
        <v>0</v>
      </c>
      <c r="BE20" s="29" cm="1">
        <f t="array" ref="BE20">IF($F$12-$I$4+VLOOKUP($R20,武学奇术!$A:$ZZ,11,FALSE)+SUM(_xlfn.XLOOKUP(S20:AL20,增益!$A:$A,增益!$K:$K,0))&gt;0,($F$12-$I$4+VLOOKUP($R20,武学奇术!$A:$ZZ,11,FALSE)+SUM(_xlfn.XLOOKUP(S20:AL20,增益!$A:$A,增益!$K:$K,0)))/200,($F$12-$I$4+VLOOKUP($R20,武学奇术!$A:$ZZ,11,FALSE)+SUM(_xlfn.XLOOKUP(S20:AL20,增益!$A:$A,增益!$K:$K,0)))/100)</f>
        <v>-0.14</v>
      </c>
      <c r="BF20" s="29" cm="1">
        <f t="array" ref="BF20">$G$12+VLOOKUP($R20,武学奇术!$A:$ZZ,12,FALSE)+SUM(_xlfn.XLOOKUP(S20:AL20,增益!$A:$A,增益!$L:$L,0))</f>
        <v>0.02</v>
      </c>
      <c r="BG20">
        <f t="shared" si="5"/>
        <v>0</v>
      </c>
      <c r="BH20">
        <f t="shared" si="6"/>
        <v>0</v>
      </c>
      <c r="BI20" s="29" cm="1">
        <f t="array" ref="BI20">IF($F$13-$I$4+VLOOKUP($R20,武学奇术!$A:$ZZ,13,FALSE)+SUM(_xlfn.XLOOKUP(S20:AL20,增益!$A:$A,增益!$M:$M,0))&gt;0,($F$13-$I$4+VLOOKUP($R20,武学奇术!$A:$ZZ,13,FALSE)+SUM(_xlfn.XLOOKUP(S20:AL20,增益!$A:$A,增益!$K:$K,0)))/200,($F$13-$I$4+VLOOKUP($R20,武学奇术!$A:$ZZ,13,FALSE)+SUM(_xlfn.XLOOKUP(S20:AL20,增益!$A:$A,增益!$M:$M,0)))/100)</f>
        <v>-0.14</v>
      </c>
      <c r="BJ20" s="29" cm="1">
        <f t="array" ref="BJ20">$G$13+VLOOKUP($R20,武学奇术!$A:$ZZ,14,FALSE)+SUM(_xlfn.XLOOKUP(S20:AL20,增益!$A:$A,增益!$N:$N,0))</f>
        <v>0.02</v>
      </c>
      <c r="BK20">
        <f t="shared" si="7"/>
        <v>618.2</v>
      </c>
      <c r="BL20">
        <f t="shared" si="8"/>
        <v>1805</v>
      </c>
      <c r="BM20" s="29" cm="1">
        <f t="array" ref="BM20">IF($F$14-$I$4+VLOOKUP($R20,武学奇术!$A:$ZZ,15,FALSE)+SUM(_xlfn.XLOOKUP(S20:AL20,增益!$A:$A,增益!$O:$O,0))&gt;0,($F$14-$I$4+VLOOKUP($R20,武学奇术!$A:$ZZ,15,FALSE)+SUM(_xlfn.XLOOKUP(S20:AL20,增益!$A:$A,增益!$O:$O,0)))/200,($F$14-$I$4+VLOOKUP($R20,武学奇术!$A:$ZZ,15,FALSE)+SUM(_xlfn.XLOOKUP(S20:AL20,增益!$A:$A,增益!$O:$O,0)))/100)</f>
        <v>0.13</v>
      </c>
      <c r="BN20" s="29" cm="1">
        <f t="array" ref="BN20">$G$14+VLOOKUP($R20,武学奇术!$A:$ZZ,16,FALSE)+SUM(_xlfn.XLOOKUP(S20:AL20,增益!$A:$A,增益!$P:$P,0))</f>
        <v>0.23</v>
      </c>
      <c r="BO20" s="23">
        <f>MIN(IF(VLOOKUP($R20,武学奇术!$A:$ZZ,23,FALSE)=1,100%,$B$8),100%)</f>
        <v>0.9943</v>
      </c>
      <c r="BP20" s="23" cm="1">
        <f t="array" ref="BP20">IF(VLOOKUP($R20,武学奇术!$A:$ZZ,23,FALSE)=1,100%,MIN(80%,$B$9+VLOOKUP($R20,武学奇术!$A:$ZZ,17,FALSE)+SUM(_xlfn.XLOOKUP(S20:AL20,增益!$A:$A,增益!$Q:$Q,0)))+$B$11+SUM(_xlfn.XLOOKUP(S20:AL20,增益!$A:$A,增益!$U:$U,0)))*IF(VLOOKUP($R20,武学奇术!$A:$ZZ,24,FALSE)=1,0,1)</f>
        <v>0.887</v>
      </c>
      <c r="BQ20" s="23" cm="1">
        <f t="array" ref="BQ20">1+$B$13+VLOOKUP($R20,武学奇术!$A:$ZZ,18,FALSE)+SUM(_xlfn.XLOOKUP(S20:AL20,增益!$A:$A,增益!$R:$R,0))</f>
        <v>2.324</v>
      </c>
      <c r="BR20" s="23" cm="1">
        <f t="array" ref="BR20">IF(VLOOKUP($R20,武学奇术!$A:$ZZ,24,FALSE)=1,100%,MIN(40%,$B$10+VLOOKUP($R20,武学奇术!$A:$ZZ,19,FALSE)+SUM(_xlfn.XLOOKUP(S20:AL20,增益!$A:$A,增益!$S:$S,0)))+$B$12+SUM(_xlfn.XLOOKUP(S20:AL20,增益!$A:$A,增益!$V:$V,0)))*IF(VLOOKUP($R20,武学奇术!$A:$ZZ,23,FALSE)=1,0,1)</f>
        <v>0.0913</v>
      </c>
      <c r="BS20" s="23" cm="1">
        <f t="array" ref="BS20">1+$B$14+VLOOKUP($R20,武学奇术!$A:$ZZ,20,FALSE)+SUM(_xlfn.XLOOKUP(S20:AL20,增益!$A:$A,增益!$T:$T,0))</f>
        <v>1.35</v>
      </c>
      <c r="BT20" s="23">
        <f t="shared" si="9"/>
        <v>0.8819441</v>
      </c>
      <c r="BU20" s="23">
        <f t="shared" si="10"/>
        <v>0.0215763099999999</v>
      </c>
      <c r="BV20" s="23">
        <f>IF(VLOOKUP($R20,武学奇术!$A:$ZZ,22,FALSE)=1,0,(1-$BO20))*(1-$BR20)</f>
        <v>0.00517958999999993</v>
      </c>
      <c r="BW20" s="23" cm="1">
        <f t="array" ref="BW20">SUM(_xlfn.XLOOKUP(S20:AL20,增益!$A:$A,增益!$W:$W,0))+$I$5</f>
        <v>0.11</v>
      </c>
      <c r="BX20" s="23">
        <f>VLOOKUP($R20,武学奇术!$A:$ZZ,32,FALSE)</f>
        <v>0.1</v>
      </c>
      <c r="BY20" s="23" cm="1">
        <f t="array" ref="BY20">SUM(_xlfn.XLOOKUP($S20:$AL20,增益!$A:$A,增益!$X:$X,0))</f>
        <v>0</v>
      </c>
    </row>
    <row r="21" spans="1:77">
      <c r="A21" s="39" t="s">
        <v>149</v>
      </c>
      <c r="B21" s="40">
        <v>0</v>
      </c>
      <c r="C21" s="36" t="s">
        <v>150</v>
      </c>
      <c r="D21" s="80" t="s">
        <v>151</v>
      </c>
      <c r="E21" s="36" t="s">
        <v>152</v>
      </c>
      <c r="F21" s="36"/>
      <c r="K21" s="35">
        <f>$L21*VLOOKUP($R21,武学奇术!$A:$ZZ,31,FALSE)</f>
        <v>94511.552590094</v>
      </c>
      <c r="L21" s="58">
        <f t="shared" si="0"/>
        <v>84385.314812584</v>
      </c>
      <c r="M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轻击",$B$21,0))*(1+IF(VLOOKUP($R21,武学奇术!$A:$ZZ,30,FALSE)="老鼠",$B$22,0))*(1+$BW21)*(1+$BX21)</f>
        <v>88578.7012014124</v>
      </c>
      <c r="N21" s="35">
        <f>(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轻击",$B$21,0))*(1+IF(VLOOKUP($R21,武学奇术!$A:$ZZ,30,FALSE)="老鼠",$B$22,0))*(1+$BW21))*(1+$BX21)</f>
        <v>57700.0902448366</v>
      </c>
      <c r="O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轻击",$B$21,0))*(1+IF(VLOOKUP($R21,武学奇术!$A:$ZZ,30,FALSE)="老鼠",$B$22,0))*(1+$BW21)*(1+$BX21)</f>
        <v>38114.7595531034</v>
      </c>
      <c r="P21" s="35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轻击",$B$21,0))*(1+IF(VLOOKUP($R21,武学奇术!$A:$ZZ,30,FALSE)="老鼠",$B$22,0))*(1+$BW21)*(1+$BX21)</f>
        <v>33488.711517439</v>
      </c>
      <c r="Q21" s="36">
        <v>1</v>
      </c>
      <c r="R21" s="37" t="s">
        <v>153</v>
      </c>
      <c r="S21" s="37" t="s">
        <v>79</v>
      </c>
      <c r="T21" s="37" t="s">
        <v>80</v>
      </c>
      <c r="U21" s="37" t="s">
        <v>112</v>
      </c>
      <c r="V21" s="37" t="s">
        <v>113</v>
      </c>
      <c r="W21" s="37" t="s">
        <v>82</v>
      </c>
      <c r="X21" s="37" t="s">
        <v>81</v>
      </c>
      <c r="Y21" s="37" t="s">
        <v>109</v>
      </c>
      <c r="Z21" s="37" t="s">
        <v>83</v>
      </c>
      <c r="AA21" s="37" t="s">
        <v>84</v>
      </c>
      <c r="AB21" s="37" t="s">
        <v>81</v>
      </c>
      <c r="AC21" s="37" t="s">
        <v>81</v>
      </c>
      <c r="AD21" s="37" t="s">
        <v>85</v>
      </c>
      <c r="AE21" s="37" t="s">
        <v>86</v>
      </c>
      <c r="AF21" s="37" t="s">
        <v>81</v>
      </c>
      <c r="AG21" s="37" t="s">
        <v>87</v>
      </c>
      <c r="AH21" s="37" t="s">
        <v>88</v>
      </c>
      <c r="AI21" s="37" t="s">
        <v>81</v>
      </c>
      <c r="AJ21" s="37" t="s">
        <v>81</v>
      </c>
      <c r="AK21" s="37" t="s">
        <v>81</v>
      </c>
      <c r="AL21" s="37" t="s">
        <v>81</v>
      </c>
      <c r="AM21" t="str">
        <f>VLOOKUP($R21,武学奇术!$A:$ZZ,25,FALSE)</f>
        <v>双刀</v>
      </c>
      <c r="AN21" s="23">
        <f>VLOOKUP($R21,武学奇术!$A:$ZZ,26,FALSE)</f>
        <v>1.7358</v>
      </c>
      <c r="AO21" s="24">
        <f>VLOOKUP($R21,武学奇术!$A:$ZZ,27,FALSE)*(1+IF(OR($AM21=$F$4,$AM21=$F$5),$B$23,0))</f>
        <v>769.6</v>
      </c>
      <c r="AP21" s="23">
        <f>VLOOKUP($R21,武学奇术!$A:$ZZ,28,FALSE)</f>
        <v>2.6037</v>
      </c>
      <c r="AQ21" s="24">
        <f>VLOOKUP($R21,武学奇术!$A:$ZZ,29,FALSE)*(1+IF(OR($AM21=$F$4,$AM21=$F$5),$B$23,0))</f>
        <v>419.2</v>
      </c>
      <c r="AR21" s="23" cm="1">
        <f t="array" ref="AR21">$G$3+IFERROR(VLOOKUP($AM21,$F$4:$G$7,2,FALSE),0)+VLOOKUP($R21,武学奇术!$A:$ZZ,2,FALSE)+SUM(_xlfn.XLOOKUP($S21:$AL21,增益!$A:$A,增益!$B:$B,0))</f>
        <v>0.7643</v>
      </c>
      <c r="AS21" s="23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4150.4</v>
      </c>
      <c r="AU21" cm="1">
        <f t="array" ref="AU21">$E$10*(1+$AS21)+VLOOKUP($R21,武学奇术!$A:$ZZ,4,FALSE)+SUM(_xlfn.XLOOKUP($S21:$AL21,增益!$A:$A,增益!$D:$D,0))-$I$2</f>
        <v>4150.4</v>
      </c>
      <c r="AV21" s="29" cm="1">
        <f t="array" ref="AV21">IF($F$10-$I$3+VLOOKUP($R21,武学奇术!$A:$ZZ,6,FALSE)+SUM(_xlfn.XLOOKUP(S21:AL21,增益!$A:$A,增益!$F:$F,0))&gt;0,($F$10-$I$3+VLOOKUP($R21,武学奇术!$A:$ZZ,6,FALSE)+SUM(_xlfn.XLOOKUP(S21:AL21,增益!$A:$A,增益!$F:$F,0)))/200,($F$10-$I$3+VLOOKUP($R21,武学奇术!$A:$ZZ,6,FALSE)+SUM(_xlfn.XLOOKUP(S21:AL21,增益!$A:$A,增益!$F:$F,0)))/100)</f>
        <v>0.4439</v>
      </c>
      <c r="AW21" s="29" cm="1">
        <f t="array" ref="AW21">$G$10+VLOOKUP($R21,武学奇术!$A:$ZZ,7,FALSE)+SUM(_xlfn.XLOOKUP(S21:AL21,增益!$A:$A,增益!$G:$G,0))</f>
        <v>0.08</v>
      </c>
      <c r="AX21" s="23" cm="1">
        <f t="array" ref="AX21">VLOOKUP($R21,武学奇术!$A:$ZZ,8,FALSE)+SUM(_xlfn.XLOOKUP(S21:AL21,增益!$A:$A,增益!$H:$H,0))</f>
        <v>0</v>
      </c>
      <c r="AY21">
        <f t="shared" si="1"/>
        <v>0</v>
      </c>
      <c r="AZ21">
        <f t="shared" si="2"/>
        <v>0</v>
      </c>
      <c r="BA21" s="29" cm="1">
        <f t="array" ref="BA21">IF($F$11-$I$4+VLOOKUP($R21,武学奇术!$A:$ZZ,9,FALSE)+SUM(_xlfn.XLOOKUP(S21:AL21,增益!$A:$A,增益!$I:$I,0))&gt;0,($F$11-$I$4+VLOOKUP($R21,武学奇术!$A:$ZZ,9,FALSE)+SUM(_xlfn.XLOOKUP(S21:AL21,增益!$A:$A,增益!$I:$I,0)))/200,($F$11-$I$4+VLOOKUP($R21,武学奇术!$A:$ZZ,9,FALSE)+SUM(_xlfn.XLOOKUP(S21:AL21,增益!$A:$A,增益!$I:$I,0)))/100)</f>
        <v>-0.14</v>
      </c>
      <c r="BB21" s="29" cm="1">
        <f t="array" ref="BB21">$G$11+VLOOKUP($R21,武学奇术!$A:$ZZ,10,FALSE)+SUM(_xlfn.XLOOKUP(S21:AL21,增益!$A:$A,增益!$J:$J,0))</f>
        <v>0.02</v>
      </c>
      <c r="BC21">
        <f t="shared" si="3"/>
        <v>0</v>
      </c>
      <c r="BD21">
        <f t="shared" si="4"/>
        <v>0</v>
      </c>
      <c r="BE21" s="29" cm="1">
        <f t="array" ref="BE21">IF($F$12-$I$4+VLOOKUP($R21,武学奇术!$A:$ZZ,11,FALSE)+SUM(_xlfn.XLOOKUP(S21:AL21,增益!$A:$A,增益!$K:$K,0))&gt;0,($F$12-$I$4+VLOOKUP($R21,武学奇术!$A:$ZZ,11,FALSE)+SUM(_xlfn.XLOOKUP(S21:AL21,增益!$A:$A,增益!$K:$K,0)))/200,($F$12-$I$4+VLOOKUP($R21,武学奇术!$A:$ZZ,11,FALSE)+SUM(_xlfn.XLOOKUP(S21:AL21,增益!$A:$A,增益!$K:$K,0)))/100)</f>
        <v>-0.14</v>
      </c>
      <c r="BF21" s="29" cm="1">
        <f t="array" ref="BF21">$G$12+VLOOKUP($R21,武学奇术!$A:$ZZ,12,FALSE)+SUM(_xlfn.XLOOKUP(S21:AL21,增益!$A:$A,增益!$L:$L,0))</f>
        <v>0.02</v>
      </c>
      <c r="BG21">
        <f t="shared" si="5"/>
        <v>0</v>
      </c>
      <c r="BH21">
        <f t="shared" si="6"/>
        <v>0</v>
      </c>
      <c r="BI21" s="29" cm="1">
        <f t="array" ref="BI21">IF($F$13-$I$4+VLOOKUP($R21,武学奇术!$A:$ZZ,13,FALSE)+SUM(_xlfn.XLOOKUP(S21:AL21,增益!$A:$A,增益!$M:$M,0))&gt;0,($F$13-$I$4+VLOOKUP($R21,武学奇术!$A:$ZZ,13,FALSE)+SUM(_xlfn.XLOOKUP(S21:AL21,增益!$A:$A,增益!$K:$K,0)))/200,($F$13-$I$4+VLOOKUP($R21,武学奇术!$A:$ZZ,13,FALSE)+SUM(_xlfn.XLOOKUP(S21:AL21,增益!$A:$A,增益!$M:$M,0)))/100)</f>
        <v>-0.14</v>
      </c>
      <c r="BJ21" s="29" cm="1">
        <f t="array" ref="BJ21">$G$13+VLOOKUP($R21,武学奇术!$A:$ZZ,14,FALSE)+SUM(_xlfn.XLOOKUP(S21:AL21,增益!$A:$A,增益!$N:$N,0))</f>
        <v>0.02</v>
      </c>
      <c r="BK21">
        <f t="shared" si="7"/>
        <v>618.2</v>
      </c>
      <c r="BL21">
        <f t="shared" si="8"/>
        <v>1805</v>
      </c>
      <c r="BM21" s="29" cm="1">
        <f t="array" ref="BM21">IF($F$14-$I$4+VLOOKUP($R21,武学奇术!$A:$ZZ,15,FALSE)+SUM(_xlfn.XLOOKUP(S21:AL21,增益!$A:$A,增益!$O:$O,0))&gt;0,($F$14-$I$4+VLOOKUP($R21,武学奇术!$A:$ZZ,15,FALSE)+SUM(_xlfn.XLOOKUP(S21:AL21,增益!$A:$A,增益!$O:$O,0)))/200,($F$14-$I$4+VLOOKUP($R21,武学奇术!$A:$ZZ,15,FALSE)+SUM(_xlfn.XLOOKUP(S21:AL21,增益!$A:$A,增益!$O:$O,0)))/100)</f>
        <v>0.13</v>
      </c>
      <c r="BN21" s="29" cm="1">
        <f t="array" ref="BN21">$G$14+VLOOKUP($R21,武学奇术!$A:$ZZ,16,FALSE)+SUM(_xlfn.XLOOKUP(S21:AL21,增益!$A:$A,增益!$P:$P,0))</f>
        <v>0.23</v>
      </c>
      <c r="BO21" s="23">
        <f>MIN(IF(VLOOKUP($R21,武学奇术!$A:$ZZ,23,FALSE)=1,100%,$B$8),100%)</f>
        <v>0.9943</v>
      </c>
      <c r="BP21" s="23" cm="1">
        <f t="array" ref="BP21">IF(VLOOKUP($R21,武学奇术!$A:$ZZ,23,FALSE)=1,100%,MIN(80%,$B$9+VLOOKUP($R21,武学奇术!$A:$ZZ,17,FALSE)+SUM(_xlfn.XLOOKUP(S21:AL21,增益!$A:$A,增益!$Q:$Q,0)))+$B$11+SUM(_xlfn.XLOOKUP(S21:AL21,增益!$A:$A,增益!$U:$U,0)))*IF(VLOOKUP($R21,武学奇术!$A:$ZZ,24,FALSE)=1,0,1)</f>
        <v>0.887</v>
      </c>
      <c r="BQ21" s="23" cm="1">
        <f t="array" ref="BQ21">1+$B$13+VLOOKUP($R21,武学奇术!$A:$ZZ,18,FALSE)+SUM(_xlfn.XLOOKUP(S21:AL21,增益!$A:$A,增益!$R:$R,0))</f>
        <v>2.324</v>
      </c>
      <c r="BR21" s="23" cm="1">
        <f t="array" ref="BR21">IF(VLOOKUP($R21,武学奇术!$A:$ZZ,24,FALSE)=1,100%,MIN(40%,$B$10+VLOOKUP($R21,武学奇术!$A:$ZZ,19,FALSE)+SUM(_xlfn.XLOOKUP(S21:AL21,增益!$A:$A,增益!$S:$S,0)))+$B$12+SUM(_xlfn.XLOOKUP(S21:AL21,增益!$A:$A,增益!$V:$V,0)))*IF(VLOOKUP($R21,武学奇术!$A:$ZZ,23,FALSE)=1,0,1)</f>
        <v>0.0913</v>
      </c>
      <c r="BS21" s="23" cm="1">
        <f t="array" ref="BS21">1+$B$14+VLOOKUP($R21,武学奇术!$A:$ZZ,20,FALSE)+SUM(_xlfn.XLOOKUP(S21:AL21,增益!$A:$A,增益!$T:$T,0))</f>
        <v>1.35</v>
      </c>
      <c r="BT21" s="23">
        <f t="shared" si="9"/>
        <v>0.8819441</v>
      </c>
      <c r="BU21" s="23">
        <f t="shared" si="10"/>
        <v>0.0215763099999999</v>
      </c>
      <c r="BV21" s="23">
        <f>IF(VLOOKUP($R21,武学奇术!$A:$ZZ,22,FALSE)=1,0,(1-$BO21))*(1-$BR21)</f>
        <v>0.00517958999999993</v>
      </c>
      <c r="BW21" s="23" cm="1">
        <f t="array" ref="BW21">SUM(_xlfn.XLOOKUP(S21:AL21,增益!$A:$A,增益!$W:$W,0))+$I$5</f>
        <v>0.11</v>
      </c>
      <c r="BX21" s="23">
        <f>VLOOKUP($R21,武学奇术!$A:$ZZ,32,FALSE)</f>
        <v>0.1</v>
      </c>
      <c r="BY21" s="23" cm="1">
        <f t="array" ref="BY21">SUM(_xlfn.XLOOKUP($S21:$AL21,增益!$A:$A,增益!$X:$X,0))</f>
        <v>0</v>
      </c>
    </row>
    <row r="22" ht="14.25" spans="1:77">
      <c r="A22" s="86" t="s">
        <v>154</v>
      </c>
      <c r="B22" s="87">
        <v>0.3206</v>
      </c>
      <c r="C22" s="36" t="s">
        <v>155</v>
      </c>
      <c r="D22" s="80" t="s">
        <v>133</v>
      </c>
      <c r="E22" s="37" t="s">
        <v>156</v>
      </c>
      <c r="F22" s="37"/>
      <c r="K22" s="35">
        <f>$L22*VLOOKUP($R22,武学奇术!$A:$ZZ,31,FALSE)</f>
        <v>133467.534176844</v>
      </c>
      <c r="L22" s="69">
        <f t="shared" si="0"/>
        <v>130850.523702789</v>
      </c>
      <c r="M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轻击",$B$21,0))*(1+IF(VLOOKUP($R22,武学奇术!$A:$ZZ,30,FALSE)="老鼠",$B$22,0))*(1+$BW22)*(1+$BX22)</f>
        <v>137249.397618822</v>
      </c>
      <c r="N22" s="35">
        <f>(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轻击",$B$21,0))*(1+IF(VLOOKUP($R22,武学奇术!$A:$ZZ,30,FALSE)="老鼠",$B$22,0))*(1+$BW22))*(1+$BX22)</f>
        <v>90531.7230730375</v>
      </c>
      <c r="O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轻击",$B$21,0))*(1+IF(VLOOKUP($R22,武学奇术!$A:$ZZ,30,FALSE)="老鼠",$B$22,0))*(1+$BW22)*(1+$BX22)</f>
        <v>59057.400008099</v>
      </c>
      <c r="P22" s="35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轻击",$B$21,0))*(1+IF(VLOOKUP($R22,武学奇术!$A:$ZZ,30,FALSE)="老鼠",$B$22,0))*(1+$BW22)*(1+$BX22)</f>
        <v>51054.2644065405</v>
      </c>
      <c r="Q22" s="70">
        <v>4</v>
      </c>
      <c r="R22" s="37" t="s">
        <v>106</v>
      </c>
      <c r="S22" s="37" t="s">
        <v>79</v>
      </c>
      <c r="T22" s="37" t="s">
        <v>80</v>
      </c>
      <c r="U22" s="37" t="s">
        <v>112</v>
      </c>
      <c r="V22" s="37" t="s">
        <v>113</v>
      </c>
      <c r="W22" s="37" t="s">
        <v>82</v>
      </c>
      <c r="X22" s="37" t="s">
        <v>81</v>
      </c>
      <c r="Y22" s="37" t="s">
        <v>109</v>
      </c>
      <c r="Z22" s="37" t="s">
        <v>83</v>
      </c>
      <c r="AA22" s="37" t="s">
        <v>84</v>
      </c>
      <c r="AB22" s="37" t="s">
        <v>81</v>
      </c>
      <c r="AC22" s="37" t="s">
        <v>81</v>
      </c>
      <c r="AD22" s="37" t="s">
        <v>85</v>
      </c>
      <c r="AE22" s="37" t="s">
        <v>86</v>
      </c>
      <c r="AF22" s="37" t="s">
        <v>81</v>
      </c>
      <c r="AG22" s="37" t="s">
        <v>87</v>
      </c>
      <c r="AH22" s="37" t="s">
        <v>88</v>
      </c>
      <c r="AI22" s="37" t="s">
        <v>81</v>
      </c>
      <c r="AJ22" s="37" t="s">
        <v>81</v>
      </c>
      <c r="AK22" s="37" t="s">
        <v>81</v>
      </c>
      <c r="AL22" s="37" t="s">
        <v>81</v>
      </c>
      <c r="AM22" t="str">
        <f>VLOOKUP($R22,武学奇术!$A:$ZZ,25,FALSE)</f>
        <v>绳镖</v>
      </c>
      <c r="AN22" s="23">
        <f>VLOOKUP($R22,武学奇术!$A:$ZZ,26,FALSE)</f>
        <v>0.3675</v>
      </c>
      <c r="AO22" s="24">
        <f>VLOOKUP($R22,武学奇术!$A:$ZZ,27,FALSE)*(1+IF(OR($AM22=$F$4,$AM22=$F$5),$B$23,0))</f>
        <v>0</v>
      </c>
      <c r="AP22" s="23">
        <f>VLOOKUP($R22,武学奇术!$A:$ZZ,28,FALSE)</f>
        <v>0.55125</v>
      </c>
      <c r="AQ22" s="24">
        <f>VLOOKUP($R22,武学奇术!$A:$ZZ,29,FALSE)*(1+IF(OR($AM22=$F$4,$AM22=$F$5),$B$23,0))</f>
        <v>0</v>
      </c>
      <c r="AR22" s="23" cm="1">
        <f t="array" ref="AR22">$G$3+IFERROR(VLOOKUP($AM22,$F$4:$G$7,2,FALSE),0)+VLOOKUP($R22,武学奇术!$A:$ZZ,2,FALSE)+SUM(_xlfn.XLOOKUP($S22:$AL22,增益!$A:$A,增益!$B:$B,0))</f>
        <v>1.5643</v>
      </c>
      <c r="AS22" s="23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4150.4</v>
      </c>
      <c r="AU22" cm="1">
        <f t="array" ref="AU22">$E$10*(1+$AS22)+VLOOKUP($R22,武学奇术!$A:$ZZ,4,FALSE)+SUM(_xlfn.XLOOKUP($S22:$AL22,增益!$A:$A,增益!$D:$D,0))-$I$2</f>
        <v>4150.4</v>
      </c>
      <c r="AV22" s="29" cm="1">
        <f t="array" ref="AV22">IF($F$10-$I$3+VLOOKUP($R22,武学奇术!$A:$ZZ,6,FALSE)+SUM(_xlfn.XLOOKUP(S22:AL22,增益!$A:$A,增益!$F:$F,0))&gt;0,($F$10-$I$3+VLOOKUP($R22,武学奇术!$A:$ZZ,6,FALSE)+SUM(_xlfn.XLOOKUP(S22:AL22,增益!$A:$A,增益!$F:$F,0)))/200,($F$10-$I$3+VLOOKUP($R22,武学奇术!$A:$ZZ,6,FALSE)+SUM(_xlfn.XLOOKUP(S22:AL22,增益!$A:$A,增益!$F:$F,0)))/100)</f>
        <v>0.4439</v>
      </c>
      <c r="AW22" s="29" cm="1">
        <f t="array" ref="AW22">$G$10+VLOOKUP($R22,武学奇术!$A:$ZZ,7,FALSE)+SUM(_xlfn.XLOOKUP(S22:AL22,增益!$A:$A,增益!$G:$G,0))</f>
        <v>0.29</v>
      </c>
      <c r="AX22" s="23" cm="1">
        <f t="array" ref="AX22">VLOOKUP($R22,武学奇术!$A:$ZZ,8,FALSE)+SUM(_xlfn.XLOOKUP(S22:AL22,增益!$A:$A,增益!$H:$H,0))</f>
        <v>0</v>
      </c>
      <c r="AY22">
        <f t="shared" si="1"/>
        <v>0</v>
      </c>
      <c r="AZ22">
        <f t="shared" si="2"/>
        <v>0</v>
      </c>
      <c r="BA22" s="29" cm="1">
        <f t="array" ref="BA22">IF($F$11-$I$4+VLOOKUP($R22,武学奇术!$A:$ZZ,9,FALSE)+SUM(_xlfn.XLOOKUP(S22:AL22,增益!$A:$A,增益!$I:$I,0))&gt;0,($F$11-$I$4+VLOOKUP($R22,武学奇术!$A:$ZZ,9,FALSE)+SUM(_xlfn.XLOOKUP(S22:AL22,增益!$A:$A,增益!$I:$I,0)))/200,($F$11-$I$4+VLOOKUP($R22,武学奇术!$A:$ZZ,9,FALSE)+SUM(_xlfn.XLOOKUP(S22:AL22,增益!$A:$A,增益!$I:$I,0)))/100)</f>
        <v>-0.14</v>
      </c>
      <c r="BB22" s="29" cm="1">
        <f t="array" ref="BB22">$G$11+VLOOKUP($R22,武学奇术!$A:$ZZ,10,FALSE)+SUM(_xlfn.XLOOKUP(S22:AL22,增益!$A:$A,增益!$J:$J,0))</f>
        <v>0.02</v>
      </c>
      <c r="BC22">
        <f t="shared" si="3"/>
        <v>0</v>
      </c>
      <c r="BD22">
        <f t="shared" si="4"/>
        <v>0</v>
      </c>
      <c r="BE22" s="29" cm="1">
        <f t="array" ref="BE22">IF($F$12-$I$4+VLOOKUP($R22,武学奇术!$A:$ZZ,11,FALSE)+SUM(_xlfn.XLOOKUP(S22:AL22,增益!$A:$A,增益!$K:$K,0))&gt;0,($F$12-$I$4+VLOOKUP($R22,武学奇术!$A:$ZZ,11,FALSE)+SUM(_xlfn.XLOOKUP(S22:AL22,增益!$A:$A,增益!$K:$K,0)))/200,($F$12-$I$4+VLOOKUP($R22,武学奇术!$A:$ZZ,11,FALSE)+SUM(_xlfn.XLOOKUP(S22:AL22,增益!$A:$A,增益!$K:$K,0)))/100)</f>
        <v>-0.14</v>
      </c>
      <c r="BF22" s="29" cm="1">
        <f t="array" ref="BF22">$G$12+VLOOKUP($R22,武学奇术!$A:$ZZ,12,FALSE)+SUM(_xlfn.XLOOKUP(S22:AL22,增益!$A:$A,增益!$L:$L,0))</f>
        <v>0.02</v>
      </c>
      <c r="BG22">
        <f t="shared" si="5"/>
        <v>0</v>
      </c>
      <c r="BH22">
        <f t="shared" si="6"/>
        <v>0</v>
      </c>
      <c r="BI22" s="29" cm="1">
        <f t="array" ref="BI22">IF($F$13-$I$4+VLOOKUP($R22,武学奇术!$A:$ZZ,13,FALSE)+SUM(_xlfn.XLOOKUP(S22:AL22,增益!$A:$A,增益!$M:$M,0))&gt;0,($F$13-$I$4+VLOOKUP($R22,武学奇术!$A:$ZZ,13,FALSE)+SUM(_xlfn.XLOOKUP(S22:AL22,增益!$A:$A,增益!$K:$K,0)))/200,($F$13-$I$4+VLOOKUP($R22,武学奇术!$A:$ZZ,13,FALSE)+SUM(_xlfn.XLOOKUP(S22:AL22,增益!$A:$A,增益!$M:$M,0)))/100)</f>
        <v>-0.14</v>
      </c>
      <c r="BJ22" s="29" cm="1">
        <f t="array" ref="BJ22">$G$13+VLOOKUP($R22,武学奇术!$A:$ZZ,14,FALSE)+SUM(_xlfn.XLOOKUP(S22:AL22,增益!$A:$A,增益!$N:$N,0))</f>
        <v>0.02</v>
      </c>
      <c r="BK22">
        <f t="shared" si="7"/>
        <v>618.2</v>
      </c>
      <c r="BL22">
        <f t="shared" si="8"/>
        <v>1805</v>
      </c>
      <c r="BM22" s="29" cm="1">
        <f t="array" ref="BM22">IF($F$14-$I$4+VLOOKUP($R22,武学奇术!$A:$ZZ,15,FALSE)+SUM(_xlfn.XLOOKUP(S22:AL22,增益!$A:$A,增益!$O:$O,0))&gt;0,($F$14-$I$4+VLOOKUP($R22,武学奇术!$A:$ZZ,15,FALSE)+SUM(_xlfn.XLOOKUP(S22:AL22,增益!$A:$A,增益!$O:$O,0)))/200,($F$14-$I$4+VLOOKUP($R22,武学奇术!$A:$ZZ,15,FALSE)+SUM(_xlfn.XLOOKUP(S22:AL22,增益!$A:$A,增益!$O:$O,0)))/100)</f>
        <v>0.13</v>
      </c>
      <c r="BN22" s="29" cm="1">
        <f t="array" ref="BN22">$G$14+VLOOKUP($R22,武学奇术!$A:$ZZ,16,FALSE)+SUM(_xlfn.XLOOKUP(S22:AL22,增益!$A:$A,增益!$P:$P,0))</f>
        <v>0.44</v>
      </c>
      <c r="BO22" s="23">
        <f>MIN(IF(VLOOKUP($R22,武学奇术!$A:$ZZ,23,FALSE)=1,100%,$B$8),100%)</f>
        <v>0.9943</v>
      </c>
      <c r="BP22" s="23" cm="1">
        <f t="array" ref="BP22">IF(VLOOKUP($R22,武学奇术!$A:$ZZ,23,FALSE)=1,100%,MIN(80%,$B$9+VLOOKUP($R22,武学奇术!$A:$ZZ,17,FALSE)+SUM(_xlfn.XLOOKUP(S22:AL22,增益!$A:$A,增益!$Q:$Q,0)))+$B$11+SUM(_xlfn.XLOOKUP(S22:AL22,增益!$A:$A,增益!$U:$U,0)))*IF(VLOOKUP($R22,武学奇术!$A:$ZZ,24,FALSE)=1,0,1)</f>
        <v>0.887</v>
      </c>
      <c r="BQ22" s="23" cm="1">
        <f t="array" ref="BQ22">1+$B$13+VLOOKUP($R22,武学奇术!$A:$ZZ,18,FALSE)+SUM(_xlfn.XLOOKUP(S22:AL22,增益!$A:$A,增益!$R:$R,0))</f>
        <v>2.324</v>
      </c>
      <c r="BR22" s="23" cm="1">
        <f t="array" ref="BR22">IF(VLOOKUP($R22,武学奇术!$A:$ZZ,24,FALSE)=1,100%,MIN(40%,$B$10+VLOOKUP($R22,武学奇术!$A:$ZZ,19,FALSE)+SUM(_xlfn.XLOOKUP(S22:AL22,增益!$A:$A,增益!$S:$S,0)))+$B$12+SUM(_xlfn.XLOOKUP(S22:AL22,增益!$A:$A,增益!$V:$V,0)))*IF(VLOOKUP($R22,武学奇术!$A:$ZZ,23,FALSE)=1,0,1)</f>
        <v>0.0913</v>
      </c>
      <c r="BS22" s="23" cm="1">
        <f t="array" ref="BS22">1+$B$14+VLOOKUP($R22,武学奇术!$A:$ZZ,20,FALSE)+SUM(_xlfn.XLOOKUP(S22:AL22,增益!$A:$A,增益!$T:$T,0))</f>
        <v>1.35</v>
      </c>
      <c r="BT22" s="23">
        <f t="shared" si="9"/>
        <v>0.8819441</v>
      </c>
      <c r="BU22" s="23">
        <f t="shared" si="10"/>
        <v>0.0215763099999999</v>
      </c>
      <c r="BV22" s="23">
        <f>IF(VLOOKUP($R22,武学奇术!$A:$ZZ,22,FALSE)=1,0,(1-$BO22))*(1-$BR22)</f>
        <v>0.00517958999999993</v>
      </c>
      <c r="BW22" s="23" cm="1">
        <f t="array" ref="BW22">SUM(_xlfn.XLOOKUP(S22:AL22,增益!$A:$A,增益!$W:$W,0))+$I$5</f>
        <v>0.11</v>
      </c>
      <c r="BX22" s="23">
        <f>VLOOKUP($R22,武学奇术!$A:$ZZ,32,FALSE)</f>
        <v>0</v>
      </c>
      <c r="BY22" s="23" cm="1">
        <f t="array" ref="BY22">SUM(_xlfn.XLOOKUP($S22:$AL22,增益!$A:$A,增益!$X:$X,0))</f>
        <v>0</v>
      </c>
    </row>
    <row r="23" spans="1:77">
      <c r="A23" t="s">
        <v>157</v>
      </c>
      <c r="B23" s="25">
        <v>0.6</v>
      </c>
      <c r="K23" s="35">
        <f>$L23*VLOOKUP($R23,武学奇术!$A:$ZZ,31,FALSE)</f>
        <v>139423.056794771</v>
      </c>
      <c r="L23" s="58">
        <f t="shared" si="0"/>
        <v>124484.872138188</v>
      </c>
      <c r="M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轻击",$B$21,0))*(1+IF(VLOOKUP($R23,武学奇术!$A:$ZZ,30,FALSE)="老鼠",$B$22,0))*(1+$BW23)*(1+$BX23)</f>
        <v>130674.977595463</v>
      </c>
      <c r="N23" s="35">
        <f>(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轻击",$B$21,0))*(1+IF(VLOOKUP($R23,武学奇术!$A:$ZZ,30,FALSE)="老鼠",$B$22,0))*(1+$BW23))*(1+$BX23)</f>
        <v>85077.575872171</v>
      </c>
      <c r="O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轻击",$B$21,0))*(1+IF(VLOOKUP($R23,武学奇术!$A:$ZZ,30,FALSE)="老鼠",$B$22,0))*(1+$BW23)*(1+$BX23)</f>
        <v>56228.4757295452</v>
      </c>
      <c r="P23" s="35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轻击",$B$21,0))*(1+IF(VLOOKUP($R23,武学奇术!$A:$ZZ,30,FALSE)="老鼠",$B$22,0))*(1+$BW23)*(1+$BX23)</f>
        <v>49436.5248871118</v>
      </c>
      <c r="Q23" s="36">
        <v>1</v>
      </c>
      <c r="R23" s="37" t="s">
        <v>158</v>
      </c>
      <c r="S23" s="37" t="s">
        <v>91</v>
      </c>
      <c r="T23" s="37" t="s">
        <v>80</v>
      </c>
      <c r="U23" s="37" t="s">
        <v>112</v>
      </c>
      <c r="V23" s="37" t="s">
        <v>113</v>
      </c>
      <c r="W23" s="37" t="s">
        <v>82</v>
      </c>
      <c r="X23" s="37" t="s">
        <v>81</v>
      </c>
      <c r="Y23" s="37" t="s">
        <v>109</v>
      </c>
      <c r="Z23" s="37" t="s">
        <v>83</v>
      </c>
      <c r="AA23" s="37" t="s">
        <v>84</v>
      </c>
      <c r="AB23" s="37" t="s">
        <v>81</v>
      </c>
      <c r="AC23" s="37" t="s">
        <v>81</v>
      </c>
      <c r="AD23" s="37" t="s">
        <v>85</v>
      </c>
      <c r="AE23" s="37" t="s">
        <v>86</v>
      </c>
      <c r="AF23" s="37" t="s">
        <v>81</v>
      </c>
      <c r="AG23" s="37" t="s">
        <v>87</v>
      </c>
      <c r="AH23" s="37" t="s">
        <v>88</v>
      </c>
      <c r="AI23" s="37" t="s">
        <v>81</v>
      </c>
      <c r="AJ23" s="37" t="s">
        <v>81</v>
      </c>
      <c r="AK23" s="37" t="s">
        <v>81</v>
      </c>
      <c r="AL23" s="37" t="s">
        <v>81</v>
      </c>
      <c r="AM23" t="str">
        <f>VLOOKUP($R23,武学奇术!$A:$ZZ,25,FALSE)</f>
        <v>双刀</v>
      </c>
      <c r="AN23" s="23">
        <f>VLOOKUP($R23,武学奇术!$A:$ZZ,26,FALSE)</f>
        <v>2.5342</v>
      </c>
      <c r="AO23" s="24">
        <f>VLOOKUP($R23,武学奇术!$A:$ZZ,27,FALSE)*(1+IF(OR($AM23=$F$4,$AM23=$F$5),$B$23,0))</f>
        <v>1123.2</v>
      </c>
      <c r="AP23" s="23">
        <f>VLOOKUP($R23,武学奇术!$A:$ZZ,28,FALSE)</f>
        <v>3.8012</v>
      </c>
      <c r="AQ23" s="24">
        <f>VLOOKUP($R23,武学奇术!$A:$ZZ,29,FALSE)*(1+IF(OR($AM23=$F$4,$AM23=$F$5),$B$23,0))</f>
        <v>611.2</v>
      </c>
      <c r="AR23" s="23" cm="1">
        <f t="array" ref="AR23">$G$3+IFERROR(VLOOKUP($AM23,$F$4:$G$7,2,FALSE),0)+VLOOKUP($R23,武学奇术!$A:$ZZ,2,FALSE)+SUM(_xlfn.XLOOKUP($S23:$AL23,增益!$A:$A,增益!$B:$B,0))</f>
        <v>0.7743</v>
      </c>
      <c r="AS23" s="23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4150.4</v>
      </c>
      <c r="AU23" cm="1">
        <f t="array" ref="AU23">$E$10*(1+$AS23)+VLOOKUP($R23,武学奇术!$A:$ZZ,4,FALSE)+SUM(_xlfn.XLOOKUP($S23:$AL23,增益!$A:$A,增益!$D:$D,0))-$I$2</f>
        <v>4150.4</v>
      </c>
      <c r="AV23" s="29" cm="1">
        <f t="array" ref="AV23">IF($F$10-$I$3+VLOOKUP($R23,武学奇术!$A:$ZZ,6,FALSE)+SUM(_xlfn.XLOOKUP(S23:AL23,增益!$A:$A,增益!$F:$F,0))&gt;0,($F$10-$I$3+VLOOKUP($R23,武学奇术!$A:$ZZ,6,FALSE)+SUM(_xlfn.XLOOKUP(S23:AL23,增益!$A:$A,增益!$F:$F,0)))/200,($F$10-$I$3+VLOOKUP($R23,武学奇术!$A:$ZZ,6,FALSE)+SUM(_xlfn.XLOOKUP(S23:AL23,增益!$A:$A,增益!$F:$F,0)))/100)</f>
        <v>0.4539</v>
      </c>
      <c r="AW23" s="29" cm="1">
        <f t="array" ref="AW23">$G$10+VLOOKUP($R23,武学奇术!$A:$ZZ,7,FALSE)+SUM(_xlfn.XLOOKUP(S23:AL23,增益!$A:$A,增益!$G:$G,0))</f>
        <v>0.08</v>
      </c>
      <c r="AX23" s="23" cm="1">
        <f t="array" ref="AX23">VLOOKUP($R23,武学奇术!$A:$ZZ,8,FALSE)+SUM(_xlfn.XLOOKUP(S23:AL23,增益!$A:$A,增益!$H:$H,0))</f>
        <v>0</v>
      </c>
      <c r="AY23">
        <f t="shared" si="1"/>
        <v>0</v>
      </c>
      <c r="AZ23">
        <f t="shared" si="2"/>
        <v>0</v>
      </c>
      <c r="BA23" s="29" cm="1">
        <f t="array" ref="BA23">IF($F$11-$I$4+VLOOKUP($R23,武学奇术!$A:$ZZ,9,FALSE)+SUM(_xlfn.XLOOKUP(S23:AL23,增益!$A:$A,增益!$I:$I,0))&gt;0,($F$11-$I$4+VLOOKUP($R23,武学奇术!$A:$ZZ,9,FALSE)+SUM(_xlfn.XLOOKUP(S23:AL23,增益!$A:$A,增益!$I:$I,0)))/200,($F$11-$I$4+VLOOKUP($R23,武学奇术!$A:$ZZ,9,FALSE)+SUM(_xlfn.XLOOKUP(S23:AL23,增益!$A:$A,增益!$I:$I,0)))/100)</f>
        <v>-0.14</v>
      </c>
      <c r="BB23" s="29" cm="1">
        <f t="array" ref="BB23">$G$11+VLOOKUP($R23,武学奇术!$A:$ZZ,10,FALSE)+SUM(_xlfn.XLOOKUP(S23:AL23,增益!$A:$A,增益!$J:$J,0))</f>
        <v>0.02</v>
      </c>
      <c r="BC23">
        <f t="shared" si="3"/>
        <v>0</v>
      </c>
      <c r="BD23">
        <f t="shared" si="4"/>
        <v>0</v>
      </c>
      <c r="BE23" s="29" cm="1">
        <f t="array" ref="BE23">IF($F$12-$I$4+VLOOKUP($R23,武学奇术!$A:$ZZ,11,FALSE)+SUM(_xlfn.XLOOKUP(S23:AL23,增益!$A:$A,增益!$K:$K,0))&gt;0,($F$12-$I$4+VLOOKUP($R23,武学奇术!$A:$ZZ,11,FALSE)+SUM(_xlfn.XLOOKUP(S23:AL23,增益!$A:$A,增益!$K:$K,0)))/200,($F$12-$I$4+VLOOKUP($R23,武学奇术!$A:$ZZ,11,FALSE)+SUM(_xlfn.XLOOKUP(S23:AL23,增益!$A:$A,增益!$K:$K,0)))/100)</f>
        <v>-0.14</v>
      </c>
      <c r="BF23" s="29" cm="1">
        <f t="array" ref="BF23">$G$12+VLOOKUP($R23,武学奇术!$A:$ZZ,12,FALSE)+SUM(_xlfn.XLOOKUP(S23:AL23,增益!$A:$A,增益!$L:$L,0))</f>
        <v>0.02</v>
      </c>
      <c r="BG23">
        <f t="shared" si="5"/>
        <v>0</v>
      </c>
      <c r="BH23">
        <f t="shared" si="6"/>
        <v>0</v>
      </c>
      <c r="BI23" s="29" cm="1">
        <f t="array" ref="BI23">IF($F$13-$I$4+VLOOKUP($R23,武学奇术!$A:$ZZ,13,FALSE)+SUM(_xlfn.XLOOKUP(S23:AL23,增益!$A:$A,增益!$M:$M,0))&gt;0,($F$13-$I$4+VLOOKUP($R23,武学奇术!$A:$ZZ,13,FALSE)+SUM(_xlfn.XLOOKUP(S23:AL23,增益!$A:$A,增益!$K:$K,0)))/200,($F$13-$I$4+VLOOKUP($R23,武学奇术!$A:$ZZ,13,FALSE)+SUM(_xlfn.XLOOKUP(S23:AL23,增益!$A:$A,增益!$M:$M,0)))/100)</f>
        <v>-0.14</v>
      </c>
      <c r="BJ23" s="29" cm="1">
        <f t="array" ref="BJ23">$G$13+VLOOKUP($R23,武学奇术!$A:$ZZ,14,FALSE)+SUM(_xlfn.XLOOKUP(S23:AL23,增益!$A:$A,增益!$N:$N,0))</f>
        <v>0.02</v>
      </c>
      <c r="BK23">
        <f t="shared" si="7"/>
        <v>618.2</v>
      </c>
      <c r="BL23">
        <f t="shared" si="8"/>
        <v>1805</v>
      </c>
      <c r="BM23" s="29" cm="1">
        <f t="array" ref="BM23">IF($F$14-$I$4+VLOOKUP($R23,武学奇术!$A:$ZZ,15,FALSE)+SUM(_xlfn.XLOOKUP(S23:AL23,增益!$A:$A,增益!$O:$O,0))&gt;0,($F$14-$I$4+VLOOKUP($R23,武学奇术!$A:$ZZ,15,FALSE)+SUM(_xlfn.XLOOKUP(S23:AL23,增益!$A:$A,增益!$O:$O,0)))/200,($F$14-$I$4+VLOOKUP($R23,武学奇术!$A:$ZZ,15,FALSE)+SUM(_xlfn.XLOOKUP(S23:AL23,增益!$A:$A,增益!$O:$O,0)))/100)</f>
        <v>0.13</v>
      </c>
      <c r="BN23" s="29" cm="1">
        <f t="array" ref="BN23">$G$14+VLOOKUP($R23,武学奇术!$A:$ZZ,16,FALSE)+SUM(_xlfn.XLOOKUP(S23:AL23,增益!$A:$A,增益!$P:$P,0))</f>
        <v>0.23</v>
      </c>
      <c r="BO23" s="23">
        <f>MIN(IF(VLOOKUP($R23,武学奇术!$A:$ZZ,23,FALSE)=1,100%,$B$8),100%)</f>
        <v>0.9943</v>
      </c>
      <c r="BP23" s="23" cm="1">
        <f t="array" ref="BP23">IF(VLOOKUP($R23,武学奇术!$A:$ZZ,23,FALSE)=1,100%,MIN(80%,$B$9+VLOOKUP($R23,武学奇术!$A:$ZZ,17,FALSE)+SUM(_xlfn.XLOOKUP(S23:AL23,增益!$A:$A,增益!$Q:$Q,0)))+$B$11+SUM(_xlfn.XLOOKUP(S23:AL23,增益!$A:$A,增益!$U:$U,0)))*IF(VLOOKUP($R23,武学奇术!$A:$ZZ,24,FALSE)=1,0,1)</f>
        <v>0.887</v>
      </c>
      <c r="BQ23" s="23" cm="1">
        <f t="array" ref="BQ23">1+$B$13+VLOOKUP($R23,武学奇术!$A:$ZZ,18,FALSE)+SUM(_xlfn.XLOOKUP(S23:AL23,增益!$A:$A,增益!$R:$R,0))</f>
        <v>2.324</v>
      </c>
      <c r="BR23" s="23" cm="1">
        <f t="array" ref="BR23">IF(VLOOKUP($R23,武学奇术!$A:$ZZ,24,FALSE)=1,100%,MIN(40%,$B$10+VLOOKUP($R23,武学奇术!$A:$ZZ,19,FALSE)+SUM(_xlfn.XLOOKUP(S23:AL23,增益!$A:$A,增益!$S:$S,0)))+$B$12+SUM(_xlfn.XLOOKUP(S23:AL23,增益!$A:$A,增益!$V:$V,0)))*IF(VLOOKUP($R23,武学奇术!$A:$ZZ,23,FALSE)=1,0,1)</f>
        <v>0.0913</v>
      </c>
      <c r="BS23" s="23" cm="1">
        <f t="array" ref="BS23">1+$B$14+VLOOKUP($R23,武学奇术!$A:$ZZ,20,FALSE)+SUM(_xlfn.XLOOKUP(S23:AL23,增益!$A:$A,增益!$T:$T,0))</f>
        <v>1.35</v>
      </c>
      <c r="BT23" s="23">
        <f t="shared" si="9"/>
        <v>0.8819441</v>
      </c>
      <c r="BU23" s="23">
        <f t="shared" si="10"/>
        <v>0.0215763099999999</v>
      </c>
      <c r="BV23" s="23">
        <f>IF(VLOOKUP($R23,武学奇术!$A:$ZZ,22,FALSE)=1,0,(1-$BO23))*(1-$BR23)</f>
        <v>0.00517958999999993</v>
      </c>
      <c r="BW23" s="23" cm="1">
        <f t="array" ref="BW23">SUM(_xlfn.XLOOKUP(S23:AL23,增益!$A:$A,增益!$W:$W,0))+$I$5</f>
        <v>0.11</v>
      </c>
      <c r="BX23" s="23">
        <f>VLOOKUP($R23,武学奇术!$A:$ZZ,32,FALSE)</f>
        <v>0.1</v>
      </c>
      <c r="BY23" s="23" cm="1">
        <f t="array" ref="BY23">SUM(_xlfn.XLOOKUP($S23:$AL23,增益!$A:$A,增益!$X:$X,0))</f>
        <v>0</v>
      </c>
    </row>
    <row r="24" spans="1:77">
      <c r="A24" s="36" t="s">
        <v>159</v>
      </c>
      <c r="B24">
        <v>240</v>
      </c>
      <c r="K24" s="35">
        <f>$L24*VLOOKUP($R24,武学奇术!$A:$ZZ,31,FALSE)</f>
        <v>53178.5281249186</v>
      </c>
      <c r="L24" s="58">
        <f t="shared" si="0"/>
        <v>52135.8118871751</v>
      </c>
      <c r="M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轻击",$B$21,0))*(1+IF(VLOOKUP($R24,武学奇术!$A:$ZZ,30,FALSE)="老鼠",$B$22,0))*(1+$BW24)*(1+$BX24)</f>
        <v>54734.1019992159</v>
      </c>
      <c r="N24" s="35">
        <f>(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轻击",$B$21,0))*(1+IF(VLOOKUP($R24,武学奇术!$A:$ZZ,30,FALSE)="老鼠",$B$22,0))*(1+$BW24))*(1+$BX24)</f>
        <v>35572.1809796332</v>
      </c>
      <c r="O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轻击",$B$21,0))*(1+IF(VLOOKUP($R24,武学奇术!$A:$ZZ,30,FALSE)="老鼠",$B$22,0))*(1+$BW24)*(1+$BX24)</f>
        <v>23551.6790013838</v>
      </c>
      <c r="P24" s="35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轻击",$B$21,0))*(1+IF(VLOOKUP($R24,武学奇术!$A:$ZZ,30,FALSE)="老鼠",$B$22,0))*(1+$BW24)*(1+$BX24)</f>
        <v>20753.5943141503</v>
      </c>
      <c r="Q24" s="36">
        <v>1</v>
      </c>
      <c r="R24" s="37" t="s">
        <v>160</v>
      </c>
      <c r="S24" s="37" t="s">
        <v>91</v>
      </c>
      <c r="T24" s="37" t="s">
        <v>80</v>
      </c>
      <c r="U24" s="37" t="s">
        <v>81</v>
      </c>
      <c r="V24" s="37" t="s">
        <v>81</v>
      </c>
      <c r="W24" s="37" t="s">
        <v>82</v>
      </c>
      <c r="X24" s="37" t="s">
        <v>81</v>
      </c>
      <c r="Y24" s="37" t="s">
        <v>81</v>
      </c>
      <c r="Z24" s="37" t="s">
        <v>83</v>
      </c>
      <c r="AA24" s="37" t="s">
        <v>84</v>
      </c>
      <c r="AB24" s="37" t="s">
        <v>81</v>
      </c>
      <c r="AC24" s="37" t="s">
        <v>81</v>
      </c>
      <c r="AD24" s="37" t="s">
        <v>85</v>
      </c>
      <c r="AE24" s="37" t="s">
        <v>86</v>
      </c>
      <c r="AF24" s="37" t="s">
        <v>81</v>
      </c>
      <c r="AG24" s="37" t="s">
        <v>87</v>
      </c>
      <c r="AH24" s="37" t="s">
        <v>88</v>
      </c>
      <c r="AI24" s="37" t="s">
        <v>81</v>
      </c>
      <c r="AJ24" s="37" t="s">
        <v>81</v>
      </c>
      <c r="AK24" s="37" t="s">
        <v>81</v>
      </c>
      <c r="AL24" s="37" t="s">
        <v>81</v>
      </c>
      <c r="AM24" t="str">
        <f>VLOOKUP($R24,武学奇术!$A:$ZZ,25,FALSE)</f>
        <v>双刀</v>
      </c>
      <c r="AN24" s="23">
        <f>VLOOKUP($R24,武学奇术!$A:$ZZ,26,FALSE)</f>
        <v>1.3548</v>
      </c>
      <c r="AO24" s="24">
        <f>VLOOKUP($R24,武学奇术!$A:$ZZ,27,FALSE)*(1+IF(OR($AM24=$F$4,$AM24=$F$5),$B$23,0))</f>
        <v>601.6</v>
      </c>
      <c r="AP24" s="23">
        <f>VLOOKUP($R24,武学奇术!$A:$ZZ,28,FALSE)</f>
        <v>2.0322</v>
      </c>
      <c r="AQ24" s="24">
        <f>VLOOKUP($R24,武学奇术!$A:$ZZ,29,FALSE)*(1+IF(OR($AM24=$F$4,$AM24=$F$5),$B$23,0))</f>
        <v>328</v>
      </c>
      <c r="AR24" s="23" cm="1">
        <f t="array" ref="AR24">$G$3+IFERROR(VLOOKUP($AM24,$F$4:$G$7,2,FALSE),0)+VLOOKUP($R24,武学奇术!$A:$ZZ,2,FALSE)+SUM(_xlfn.XLOOKUP($S24:$AL24,增益!$A:$A,增益!$B:$B,0))</f>
        <v>0.6543</v>
      </c>
      <c r="AS24" s="23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4081.7</v>
      </c>
      <c r="AU24" cm="1">
        <f t="array" ref="AU24">$E$10*(1+$AS24)+VLOOKUP($R24,武学奇术!$A:$ZZ,4,FALSE)+SUM(_xlfn.XLOOKUP($S24:$AL24,增益!$A:$A,增益!$D:$D,0))-$I$2</f>
        <v>4081.7</v>
      </c>
      <c r="AV24" s="29" cm="1">
        <f t="array" ref="AV24">IF($F$10-$I$3+VLOOKUP($R24,武学奇术!$A:$ZZ,6,FALSE)+SUM(_xlfn.XLOOKUP(S24:AL24,增益!$A:$A,增益!$F:$F,0))&gt;0,($F$10-$I$3+VLOOKUP($R24,武学奇术!$A:$ZZ,6,FALSE)+SUM(_xlfn.XLOOKUP(S24:AL24,增益!$A:$A,增益!$F:$F,0)))/200,($F$10-$I$3+VLOOKUP($R24,武学奇术!$A:$ZZ,6,FALSE)+SUM(_xlfn.XLOOKUP(S24:AL24,增益!$A:$A,增益!$F:$F,0)))/100)</f>
        <v>0.4539</v>
      </c>
      <c r="AW24" s="29" cm="1">
        <f t="array" ref="AW24">$G$10+VLOOKUP($R24,武学奇术!$A:$ZZ,7,FALSE)+SUM(_xlfn.XLOOKUP(S24:AL24,增益!$A:$A,增益!$G:$G,0))</f>
        <v>0.02</v>
      </c>
      <c r="AX24" s="23" cm="1">
        <f t="array" ref="AX24">VLOOKUP($R24,武学奇术!$A:$ZZ,8,FALSE)+SUM(_xlfn.XLOOKUP(S24:AL24,增益!$A:$A,增益!$H:$H,0))</f>
        <v>0</v>
      </c>
      <c r="AY24">
        <f t="shared" si="1"/>
        <v>0</v>
      </c>
      <c r="AZ24">
        <f t="shared" si="2"/>
        <v>0</v>
      </c>
      <c r="BA24" s="29" cm="1">
        <f t="array" ref="BA24">IF($F$11-$I$4+VLOOKUP($R24,武学奇术!$A:$ZZ,9,FALSE)+SUM(_xlfn.XLOOKUP(S24:AL24,增益!$A:$A,增益!$I:$I,0))&gt;0,($F$11-$I$4+VLOOKUP($R24,武学奇术!$A:$ZZ,9,FALSE)+SUM(_xlfn.XLOOKUP(S24:AL24,增益!$A:$A,增益!$I:$I,0)))/200,($F$11-$I$4+VLOOKUP($R24,武学奇术!$A:$ZZ,9,FALSE)+SUM(_xlfn.XLOOKUP(S24:AL24,增益!$A:$A,增益!$I:$I,0)))/100)</f>
        <v>-0.14</v>
      </c>
      <c r="BB24" s="29" cm="1">
        <f t="array" ref="BB24">$G$11+VLOOKUP($R24,武学奇术!$A:$ZZ,10,FALSE)+SUM(_xlfn.XLOOKUP(S24:AL24,增益!$A:$A,增益!$J:$J,0))</f>
        <v>0.02</v>
      </c>
      <c r="BC24">
        <f t="shared" si="3"/>
        <v>0</v>
      </c>
      <c r="BD24">
        <f t="shared" si="4"/>
        <v>0</v>
      </c>
      <c r="BE24" s="29" cm="1">
        <f t="array" ref="BE24">IF($F$12-$I$4+VLOOKUP($R24,武学奇术!$A:$ZZ,11,FALSE)+SUM(_xlfn.XLOOKUP(S24:AL24,增益!$A:$A,增益!$K:$K,0))&gt;0,($F$12-$I$4+VLOOKUP($R24,武学奇术!$A:$ZZ,11,FALSE)+SUM(_xlfn.XLOOKUP(S24:AL24,增益!$A:$A,增益!$K:$K,0)))/200,($F$12-$I$4+VLOOKUP($R24,武学奇术!$A:$ZZ,11,FALSE)+SUM(_xlfn.XLOOKUP(S24:AL24,增益!$A:$A,增益!$K:$K,0)))/100)</f>
        <v>-0.14</v>
      </c>
      <c r="BF24" s="29" cm="1">
        <f t="array" ref="BF24">$G$12+VLOOKUP($R24,武学奇术!$A:$ZZ,12,FALSE)+SUM(_xlfn.XLOOKUP(S24:AL24,增益!$A:$A,增益!$L:$L,0))</f>
        <v>0.02</v>
      </c>
      <c r="BG24">
        <f t="shared" si="5"/>
        <v>0</v>
      </c>
      <c r="BH24">
        <f t="shared" si="6"/>
        <v>0</v>
      </c>
      <c r="BI24" s="29" cm="1">
        <f t="array" ref="BI24">IF($F$13-$I$4+VLOOKUP($R24,武学奇术!$A:$ZZ,13,FALSE)+SUM(_xlfn.XLOOKUP(S24:AL24,增益!$A:$A,增益!$M:$M,0))&gt;0,($F$13-$I$4+VLOOKUP($R24,武学奇术!$A:$ZZ,13,FALSE)+SUM(_xlfn.XLOOKUP(S24:AL24,增益!$A:$A,增益!$K:$K,0)))/200,($F$13-$I$4+VLOOKUP($R24,武学奇术!$A:$ZZ,13,FALSE)+SUM(_xlfn.XLOOKUP(S24:AL24,增益!$A:$A,增益!$M:$M,0)))/100)</f>
        <v>-0.14</v>
      </c>
      <c r="BJ24" s="29" cm="1">
        <f t="array" ref="BJ24">$G$13+VLOOKUP($R24,武学奇术!$A:$ZZ,14,FALSE)+SUM(_xlfn.XLOOKUP(S24:AL24,增益!$A:$A,增益!$N:$N,0))</f>
        <v>0.02</v>
      </c>
      <c r="BK24">
        <f t="shared" si="7"/>
        <v>618.2</v>
      </c>
      <c r="BL24">
        <f t="shared" si="8"/>
        <v>1805</v>
      </c>
      <c r="BM24" s="29" cm="1">
        <f t="array" ref="BM24">IF($F$14-$I$4+VLOOKUP($R24,武学奇术!$A:$ZZ,15,FALSE)+SUM(_xlfn.XLOOKUP(S24:AL24,增益!$A:$A,增益!$O:$O,0))&gt;0,($F$14-$I$4+VLOOKUP($R24,武学奇术!$A:$ZZ,15,FALSE)+SUM(_xlfn.XLOOKUP(S24:AL24,增益!$A:$A,增益!$O:$O,0)))/200,($F$14-$I$4+VLOOKUP($R24,武学奇术!$A:$ZZ,15,FALSE)+SUM(_xlfn.XLOOKUP(S24:AL24,增益!$A:$A,增益!$O:$O,0)))/100)</f>
        <v>0.08</v>
      </c>
      <c r="BN24" s="29" cm="1">
        <f t="array" ref="BN24">$G$14+VLOOKUP($R24,武学奇术!$A:$ZZ,16,FALSE)+SUM(_xlfn.XLOOKUP(S24:AL24,增益!$A:$A,增益!$P:$P,0))</f>
        <v>0.17</v>
      </c>
      <c r="BO24" s="23">
        <f>MIN(IF(VLOOKUP($R24,武学奇术!$A:$ZZ,23,FALSE)=1,100%,$B$8),100%)</f>
        <v>0.9943</v>
      </c>
      <c r="BP24" s="23" cm="1">
        <f t="array" ref="BP24">IF(VLOOKUP($R24,武学奇术!$A:$ZZ,23,FALSE)=1,100%,MIN(80%,$B$9+VLOOKUP($R24,武学奇术!$A:$ZZ,17,FALSE)+SUM(_xlfn.XLOOKUP(S24:AL24,增益!$A:$A,增益!$Q:$Q,0)))+$B$11+SUM(_xlfn.XLOOKUP(S24:AL24,增益!$A:$A,增益!$U:$U,0)))*IF(VLOOKUP($R24,武学奇术!$A:$ZZ,24,FALSE)=1,0,1)</f>
        <v>0.887</v>
      </c>
      <c r="BQ24" s="23" cm="1">
        <f t="array" ref="BQ24">1+$B$13+VLOOKUP($R24,武学奇术!$A:$ZZ,18,FALSE)+SUM(_xlfn.XLOOKUP(S24:AL24,增益!$A:$A,增益!$R:$R,0))</f>
        <v>2.324</v>
      </c>
      <c r="BR24" s="23" cm="1">
        <f t="array" ref="BR24">IF(VLOOKUP($R24,武学奇术!$A:$ZZ,24,FALSE)=1,100%,MIN(40%,$B$10+VLOOKUP($R24,武学奇术!$A:$ZZ,19,FALSE)+SUM(_xlfn.XLOOKUP(S24:AL24,增益!$A:$A,增益!$S:$S,0)))+$B$12+SUM(_xlfn.XLOOKUP(S24:AL24,增益!$A:$A,增益!$V:$V,0)))*IF(VLOOKUP($R24,武学奇术!$A:$ZZ,23,FALSE)=1,0,1)</f>
        <v>0.0913</v>
      </c>
      <c r="BS24" s="23" cm="1">
        <f t="array" ref="BS24">1+$B$14+VLOOKUP($R24,武学奇术!$A:$ZZ,20,FALSE)+SUM(_xlfn.XLOOKUP(S24:AL24,增益!$A:$A,增益!$T:$T,0))</f>
        <v>1.35</v>
      </c>
      <c r="BT24" s="23">
        <f t="shared" si="9"/>
        <v>0.8819441</v>
      </c>
      <c r="BU24" s="23">
        <f t="shared" si="10"/>
        <v>0.0215763099999999</v>
      </c>
      <c r="BV24" s="23">
        <f>IF(VLOOKUP($R24,武学奇术!$A:$ZZ,22,FALSE)=1,0,(1-$BO24))*(1-$BR24)</f>
        <v>0.00517959000000003</v>
      </c>
      <c r="BW24" s="23" cm="1">
        <f t="array" ref="BW24">SUM(_xlfn.XLOOKUP(S24:AL24,增益!$A:$A,增益!$W:$W,0))+$I$5</f>
        <v>0.11</v>
      </c>
      <c r="BX24" s="23">
        <f>VLOOKUP($R24,武学奇术!$A:$ZZ,32,FALSE)</f>
        <v>0</v>
      </c>
      <c r="BY24" s="23" cm="1">
        <f t="array" ref="BY24">SUM(_xlfn.XLOOKUP($S24:$AL24,增益!$A:$A,增益!$X:$X,0))</f>
        <v>0</v>
      </c>
    </row>
    <row r="25" spans="1:77">
      <c r="A25" s="36"/>
      <c r="B25">
        <v>480</v>
      </c>
      <c r="K25" s="35">
        <f>$L25*VLOOKUP($R25,武学奇术!$A:$ZZ,31,FALSE)</f>
        <v>134654.36990849</v>
      </c>
      <c r="L25" s="69">
        <f t="shared" si="0"/>
        <v>132014.088145578</v>
      </c>
      <c r="M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轻击",$B$21,0))*(1+IF(VLOOKUP($R25,武学奇术!$A:$ZZ,30,FALSE)="老鼠",$B$22,0))*(1+$BW25)*(1+$BX25)</f>
        <v>138474.847486837</v>
      </c>
      <c r="N25" s="35">
        <f>(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轻击",$B$21,0))*(1+IF(VLOOKUP($R25,武学奇术!$A:$ZZ,30,FALSE)="老鼠",$B$22,0))*(1+$BW25))*(1+$BX25)</f>
        <v>91285.7140493449</v>
      </c>
      <c r="O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轻击",$B$21,0))*(1+IF(VLOOKUP($R25,武学奇术!$A:$ZZ,30,FALSE)="老鼠",$B$22,0))*(1+$BW25)*(1+$BX25)</f>
        <v>59584.7020167112</v>
      </c>
      <c r="P25" s="35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轻击",$B$21,0))*(1+IF(VLOOKUP($R25,武学奇术!$A:$ZZ,30,FALSE)="老鼠",$B$22,0))*(1+$BW25)*(1+$BX25)</f>
        <v>51550.3565894633</v>
      </c>
      <c r="Q25" s="70">
        <v>4</v>
      </c>
      <c r="R25" s="37" t="s">
        <v>106</v>
      </c>
      <c r="S25" s="37" t="s">
        <v>91</v>
      </c>
      <c r="T25" s="37" t="s">
        <v>80</v>
      </c>
      <c r="U25" s="37" t="s">
        <v>112</v>
      </c>
      <c r="V25" s="37" t="s">
        <v>113</v>
      </c>
      <c r="W25" s="37" t="s">
        <v>82</v>
      </c>
      <c r="X25" s="37" t="s">
        <v>81</v>
      </c>
      <c r="Y25" s="37" t="s">
        <v>109</v>
      </c>
      <c r="Z25" s="37" t="s">
        <v>83</v>
      </c>
      <c r="AA25" s="37" t="s">
        <v>84</v>
      </c>
      <c r="AB25" s="37" t="s">
        <v>81</v>
      </c>
      <c r="AC25" s="37" t="s">
        <v>81</v>
      </c>
      <c r="AD25" s="37" t="s">
        <v>85</v>
      </c>
      <c r="AE25" s="37" t="s">
        <v>86</v>
      </c>
      <c r="AF25" s="37" t="s">
        <v>81</v>
      </c>
      <c r="AG25" s="37" t="s">
        <v>87</v>
      </c>
      <c r="AH25" s="37" t="s">
        <v>88</v>
      </c>
      <c r="AI25" s="37" t="s">
        <v>81</v>
      </c>
      <c r="AJ25" s="37" t="s">
        <v>81</v>
      </c>
      <c r="AK25" s="37" t="s">
        <v>81</v>
      </c>
      <c r="AL25" s="37" t="s">
        <v>81</v>
      </c>
      <c r="AM25" t="str">
        <f>VLOOKUP($R25,武学奇术!$A:$ZZ,25,FALSE)</f>
        <v>绳镖</v>
      </c>
      <c r="AN25" s="23">
        <f>VLOOKUP($R25,武学奇术!$A:$ZZ,26,FALSE)</f>
        <v>0.3675</v>
      </c>
      <c r="AO25" s="24">
        <f>VLOOKUP($R25,武学奇术!$A:$ZZ,27,FALSE)*(1+IF(OR($AM25=$F$4,$AM25=$F$5),$B$23,0))</f>
        <v>0</v>
      </c>
      <c r="AP25" s="23">
        <f>VLOOKUP($R25,武学奇术!$A:$ZZ,28,FALSE)</f>
        <v>0.55125</v>
      </c>
      <c r="AQ25" s="24">
        <f>VLOOKUP($R25,武学奇术!$A:$ZZ,29,FALSE)*(1+IF(OR($AM25=$F$4,$AM25=$F$5),$B$23,0))</f>
        <v>0</v>
      </c>
      <c r="AR25" s="23" cm="1">
        <f t="array" ref="AR25">$G$3+IFERROR(VLOOKUP($AM25,$F$4:$G$7,2,FALSE),0)+VLOOKUP($R25,武学奇术!$A:$ZZ,2,FALSE)+SUM(_xlfn.XLOOKUP($S25:$AL25,增益!$A:$A,增益!$B:$B,0))</f>
        <v>1.5743</v>
      </c>
      <c r="AS25" s="23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4150.4</v>
      </c>
      <c r="AU25" cm="1">
        <f t="array" ref="AU25">$E$10*(1+$AS25)+VLOOKUP($R25,武学奇术!$A:$ZZ,4,FALSE)+SUM(_xlfn.XLOOKUP($S25:$AL25,增益!$A:$A,增益!$D:$D,0))-$I$2</f>
        <v>4150.4</v>
      </c>
      <c r="AV25" s="29" cm="1">
        <f t="array" ref="AV25">IF($F$10-$I$3+VLOOKUP($R25,武学奇术!$A:$ZZ,6,FALSE)+SUM(_xlfn.XLOOKUP(S25:AL25,增益!$A:$A,增益!$F:$F,0))&gt;0,($F$10-$I$3+VLOOKUP($R25,武学奇术!$A:$ZZ,6,FALSE)+SUM(_xlfn.XLOOKUP(S25:AL25,增益!$A:$A,增益!$F:$F,0)))/200,($F$10-$I$3+VLOOKUP($R25,武学奇术!$A:$ZZ,6,FALSE)+SUM(_xlfn.XLOOKUP(S25:AL25,增益!$A:$A,增益!$F:$F,0)))/100)</f>
        <v>0.4539</v>
      </c>
      <c r="AW25" s="29" cm="1">
        <f t="array" ref="AW25">$G$10+VLOOKUP($R25,武学奇术!$A:$ZZ,7,FALSE)+SUM(_xlfn.XLOOKUP(S25:AL25,增益!$A:$A,增益!$G:$G,0))</f>
        <v>0.29</v>
      </c>
      <c r="AX25" s="23" cm="1">
        <f t="array" ref="AX25">VLOOKUP($R25,武学奇术!$A:$ZZ,8,FALSE)+SUM(_xlfn.XLOOKUP(S25:AL25,增益!$A:$A,增益!$H:$H,0))</f>
        <v>0</v>
      </c>
      <c r="AY25">
        <f t="shared" si="1"/>
        <v>0</v>
      </c>
      <c r="AZ25">
        <f t="shared" si="2"/>
        <v>0</v>
      </c>
      <c r="BA25" s="29" cm="1">
        <f t="array" ref="BA25">IF($F$11-$I$4+VLOOKUP($R25,武学奇术!$A:$ZZ,9,FALSE)+SUM(_xlfn.XLOOKUP(S25:AL25,增益!$A:$A,增益!$I:$I,0))&gt;0,($F$11-$I$4+VLOOKUP($R25,武学奇术!$A:$ZZ,9,FALSE)+SUM(_xlfn.XLOOKUP(S25:AL25,增益!$A:$A,增益!$I:$I,0)))/200,($F$11-$I$4+VLOOKUP($R25,武学奇术!$A:$ZZ,9,FALSE)+SUM(_xlfn.XLOOKUP(S25:AL25,增益!$A:$A,增益!$I:$I,0)))/100)</f>
        <v>-0.14</v>
      </c>
      <c r="BB25" s="29" cm="1">
        <f t="array" ref="BB25">$G$11+VLOOKUP($R25,武学奇术!$A:$ZZ,10,FALSE)+SUM(_xlfn.XLOOKUP(S25:AL25,增益!$A:$A,增益!$J:$J,0))</f>
        <v>0.02</v>
      </c>
      <c r="BC25">
        <f t="shared" si="3"/>
        <v>0</v>
      </c>
      <c r="BD25">
        <f t="shared" si="4"/>
        <v>0</v>
      </c>
      <c r="BE25" s="29" cm="1">
        <f t="array" ref="BE25">IF($F$12-$I$4+VLOOKUP($R25,武学奇术!$A:$ZZ,11,FALSE)+SUM(_xlfn.XLOOKUP(S25:AL25,增益!$A:$A,增益!$K:$K,0))&gt;0,($F$12-$I$4+VLOOKUP($R25,武学奇术!$A:$ZZ,11,FALSE)+SUM(_xlfn.XLOOKUP(S25:AL25,增益!$A:$A,增益!$K:$K,0)))/200,($F$12-$I$4+VLOOKUP($R25,武学奇术!$A:$ZZ,11,FALSE)+SUM(_xlfn.XLOOKUP(S25:AL25,增益!$A:$A,增益!$K:$K,0)))/100)</f>
        <v>-0.14</v>
      </c>
      <c r="BF25" s="29" cm="1">
        <f t="array" ref="BF25">$G$12+VLOOKUP($R25,武学奇术!$A:$ZZ,12,FALSE)+SUM(_xlfn.XLOOKUP(S25:AL25,增益!$A:$A,增益!$L:$L,0))</f>
        <v>0.02</v>
      </c>
      <c r="BG25">
        <f t="shared" si="5"/>
        <v>0</v>
      </c>
      <c r="BH25">
        <f t="shared" si="6"/>
        <v>0</v>
      </c>
      <c r="BI25" s="29" cm="1">
        <f t="array" ref="BI25">IF($F$13-$I$4+VLOOKUP($R25,武学奇术!$A:$ZZ,13,FALSE)+SUM(_xlfn.XLOOKUP(S25:AL25,增益!$A:$A,增益!$M:$M,0))&gt;0,($F$13-$I$4+VLOOKUP($R25,武学奇术!$A:$ZZ,13,FALSE)+SUM(_xlfn.XLOOKUP(S25:AL25,增益!$A:$A,增益!$K:$K,0)))/200,($F$13-$I$4+VLOOKUP($R25,武学奇术!$A:$ZZ,13,FALSE)+SUM(_xlfn.XLOOKUP(S25:AL25,增益!$A:$A,增益!$M:$M,0)))/100)</f>
        <v>-0.14</v>
      </c>
      <c r="BJ25" s="29" cm="1">
        <f t="array" ref="BJ25">$G$13+VLOOKUP($R25,武学奇术!$A:$ZZ,14,FALSE)+SUM(_xlfn.XLOOKUP(S25:AL25,增益!$A:$A,增益!$N:$N,0))</f>
        <v>0.02</v>
      </c>
      <c r="BK25">
        <f t="shared" si="7"/>
        <v>618.2</v>
      </c>
      <c r="BL25">
        <f t="shared" si="8"/>
        <v>1805</v>
      </c>
      <c r="BM25" s="29" cm="1">
        <f t="array" ref="BM25">IF($F$14-$I$4+VLOOKUP($R25,武学奇术!$A:$ZZ,15,FALSE)+SUM(_xlfn.XLOOKUP(S25:AL25,增益!$A:$A,增益!$O:$O,0))&gt;0,($F$14-$I$4+VLOOKUP($R25,武学奇术!$A:$ZZ,15,FALSE)+SUM(_xlfn.XLOOKUP(S25:AL25,增益!$A:$A,增益!$O:$O,0)))/200,($F$14-$I$4+VLOOKUP($R25,武学奇术!$A:$ZZ,15,FALSE)+SUM(_xlfn.XLOOKUP(S25:AL25,增益!$A:$A,增益!$O:$O,0)))/100)</f>
        <v>0.13</v>
      </c>
      <c r="BN25" s="29" cm="1">
        <f t="array" ref="BN25">$G$14+VLOOKUP($R25,武学奇术!$A:$ZZ,16,FALSE)+SUM(_xlfn.XLOOKUP(S25:AL25,增益!$A:$A,增益!$P:$P,0))</f>
        <v>0.44</v>
      </c>
      <c r="BO25" s="23">
        <f>MIN(IF(VLOOKUP($R25,武学奇术!$A:$ZZ,23,FALSE)=1,100%,$B$8),100%)</f>
        <v>0.9943</v>
      </c>
      <c r="BP25" s="23" cm="1">
        <f t="array" ref="BP25">IF(VLOOKUP($R25,武学奇术!$A:$ZZ,23,FALSE)=1,100%,MIN(80%,$B$9+VLOOKUP($R25,武学奇术!$A:$ZZ,17,FALSE)+SUM(_xlfn.XLOOKUP(S25:AL25,增益!$A:$A,增益!$Q:$Q,0)))+$B$11+SUM(_xlfn.XLOOKUP(S25:AL25,增益!$A:$A,增益!$U:$U,0)))*IF(VLOOKUP($R25,武学奇术!$A:$ZZ,24,FALSE)=1,0,1)</f>
        <v>0.887</v>
      </c>
      <c r="BQ25" s="23" cm="1">
        <f t="array" ref="BQ25">1+$B$13+VLOOKUP($R25,武学奇术!$A:$ZZ,18,FALSE)+SUM(_xlfn.XLOOKUP(S25:AL25,增益!$A:$A,增益!$R:$R,0))</f>
        <v>2.324</v>
      </c>
      <c r="BR25" s="23" cm="1">
        <f t="array" ref="BR25">IF(VLOOKUP($R25,武学奇术!$A:$ZZ,24,FALSE)=1,100%,MIN(40%,$B$10+VLOOKUP($R25,武学奇术!$A:$ZZ,19,FALSE)+SUM(_xlfn.XLOOKUP(S25:AL25,增益!$A:$A,增益!$S:$S,0)))+$B$12+SUM(_xlfn.XLOOKUP(S25:AL25,增益!$A:$A,增益!$V:$V,0)))*IF(VLOOKUP($R25,武学奇术!$A:$ZZ,23,FALSE)=1,0,1)</f>
        <v>0.0913</v>
      </c>
      <c r="BS25" s="23" cm="1">
        <f t="array" ref="BS25">1+$B$14+VLOOKUP($R25,武学奇术!$A:$ZZ,20,FALSE)+SUM(_xlfn.XLOOKUP(S25:AL25,增益!$A:$A,增益!$T:$T,0))</f>
        <v>1.35</v>
      </c>
      <c r="BT25" s="23">
        <f t="shared" si="9"/>
        <v>0.8819441</v>
      </c>
      <c r="BU25" s="23">
        <f t="shared" si="10"/>
        <v>0.0215763099999999</v>
      </c>
      <c r="BV25" s="23">
        <f>IF(VLOOKUP($R25,武学奇术!$A:$ZZ,22,FALSE)=1,0,(1-$BO25))*(1-$BR25)</f>
        <v>0.00517958999999993</v>
      </c>
      <c r="BW25" s="23" cm="1">
        <f t="array" ref="BW25">SUM(_xlfn.XLOOKUP(S25:AL25,增益!$A:$A,增益!$W:$W,0))+$I$5</f>
        <v>0.11</v>
      </c>
      <c r="BX25" s="23">
        <f>VLOOKUP($R25,武学奇术!$A:$ZZ,32,FALSE)</f>
        <v>0</v>
      </c>
      <c r="BY25" s="23" cm="1">
        <f t="array" ref="BY25">SUM(_xlfn.XLOOKUP($S25:$AL25,增益!$A:$A,增益!$X:$X,0))</f>
        <v>0</v>
      </c>
    </row>
    <row r="26" spans="1:77">
      <c r="K26" s="35">
        <f>$L26*VLOOKUP($R26,武学奇术!$A:$ZZ,31,FALSE)</f>
        <v>35766.4073317754</v>
      </c>
      <c r="L26" s="58">
        <f t="shared" si="0"/>
        <v>31934.2922605137</v>
      </c>
      <c r="M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轻击",$B$21,0))*(1+IF(VLOOKUP($R26,武学奇术!$A:$ZZ,30,FALSE)="老鼠",$B$22,0))*(1+$BW26)*(1+$BX26)</f>
        <v>33533.0120763197</v>
      </c>
      <c r="N26" s="35">
        <f>(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轻击",$B$21,0))*(1+IF(VLOOKUP($R26,武学奇术!$A:$ZZ,30,FALSE)="老鼠",$B$22,0))*(1+$BW26))*(1+$BX26)</f>
        <v>21737.4339291709</v>
      </c>
      <c r="O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轻击",$B$21,0))*(1+IF(VLOOKUP($R26,武学奇术!$A:$ZZ,30,FALSE)="老鼠",$B$22,0))*(1+$BW26)*(1+$BX26)</f>
        <v>14367.1859795714</v>
      </c>
      <c r="P26" s="35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轻击",$B$21,0))*(1+IF(VLOOKUP($R26,武学奇术!$A:$ZZ,30,FALSE)="老鼠",$B$22,0))*(1+$BW26)*(1+$BX26)</f>
        <v>12632.5690486458</v>
      </c>
      <c r="Q26" s="36">
        <v>1</v>
      </c>
      <c r="R26" s="37" t="s">
        <v>139</v>
      </c>
      <c r="S26" s="37" t="s">
        <v>91</v>
      </c>
      <c r="T26" s="37" t="s">
        <v>95</v>
      </c>
      <c r="U26" s="37" t="s">
        <v>112</v>
      </c>
      <c r="V26" s="37" t="s">
        <v>113</v>
      </c>
      <c r="W26" s="37" t="s">
        <v>82</v>
      </c>
      <c r="X26" s="37" t="s">
        <v>81</v>
      </c>
      <c r="Y26" s="37" t="s">
        <v>109</v>
      </c>
      <c r="Z26" s="37" t="s">
        <v>83</v>
      </c>
      <c r="AA26" s="37" t="s">
        <v>84</v>
      </c>
      <c r="AB26" s="37" t="s">
        <v>81</v>
      </c>
      <c r="AC26" s="37" t="s">
        <v>81</v>
      </c>
      <c r="AD26" s="37" t="s">
        <v>85</v>
      </c>
      <c r="AE26" s="37" t="s">
        <v>86</v>
      </c>
      <c r="AF26" s="37" t="s">
        <v>81</v>
      </c>
      <c r="AG26" s="37" t="s">
        <v>87</v>
      </c>
      <c r="AH26" s="37" t="s">
        <v>88</v>
      </c>
      <c r="AI26" s="37" t="s">
        <v>81</v>
      </c>
      <c r="AJ26" s="37" t="s">
        <v>81</v>
      </c>
      <c r="AK26" s="37" t="s">
        <v>81</v>
      </c>
      <c r="AL26" s="37" t="s">
        <v>81</v>
      </c>
      <c r="AM26" t="str">
        <f>VLOOKUP($R26,武学奇术!$A:$ZZ,25,FALSE)</f>
        <v>双刀</v>
      </c>
      <c r="AN26" s="23">
        <f>VLOOKUP($R26,武学奇术!$A:$ZZ,26,FALSE)</f>
        <v>0.6472</v>
      </c>
      <c r="AO26" s="24">
        <f>VLOOKUP($R26,武学奇术!$A:$ZZ,27,FALSE)*(1+IF(OR($AM26=$F$4,$AM26=$F$5),$B$23,0))</f>
        <v>288</v>
      </c>
      <c r="AP26" s="23">
        <f>VLOOKUP($R26,武学奇术!$A:$ZZ,28,FALSE)</f>
        <v>0.9708</v>
      </c>
      <c r="AQ26" s="24">
        <f>VLOOKUP($R26,武学奇术!$A:$ZZ,29,FALSE)*(1+IF(OR($AM26=$F$4,$AM26=$F$5),$B$23,0))</f>
        <v>156.8</v>
      </c>
      <c r="AR26" s="23" cm="1">
        <f t="array" ref="AR26">$G$3+IFERROR(VLOOKUP($AM26,$F$4:$G$7,2,FALSE),0)+VLOOKUP($R26,武学奇术!$A:$ZZ,2,FALSE)+SUM(_xlfn.XLOOKUP($S26:$AL26,增益!$A:$A,增益!$B:$B,0))</f>
        <v>0.7743</v>
      </c>
      <c r="AS26" s="23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4150.4</v>
      </c>
      <c r="AU26" cm="1">
        <f t="array" ref="AU26">$E$10*(1+$AS26)+VLOOKUP($R26,武学奇术!$A:$ZZ,4,FALSE)+SUM(_xlfn.XLOOKUP($S26:$AL26,增益!$A:$A,增益!$D:$D,0))-$I$2</f>
        <v>4150.4</v>
      </c>
      <c r="AV26" s="29" cm="1">
        <f t="array" ref="AV26">IF($F$10-$I$3+VLOOKUP($R26,武学奇术!$A:$ZZ,6,FALSE)+SUM(_xlfn.XLOOKUP(S26:AL26,增益!$A:$A,增益!$F:$F,0))&gt;0,($F$10-$I$3+VLOOKUP($R26,武学奇术!$A:$ZZ,6,FALSE)+SUM(_xlfn.XLOOKUP(S26:AL26,增益!$A:$A,增益!$F:$F,0)))/200,($F$10-$I$3+VLOOKUP($R26,武学奇术!$A:$ZZ,6,FALSE)+SUM(_xlfn.XLOOKUP(S26:AL26,增益!$A:$A,增益!$F:$F,0)))/100)</f>
        <v>0.4539</v>
      </c>
      <c r="AW26" s="29" cm="1">
        <f t="array" ref="AW26">$G$10+VLOOKUP($R26,武学奇术!$A:$ZZ,7,FALSE)+SUM(_xlfn.XLOOKUP(S26:AL26,增益!$A:$A,增益!$G:$G,0))</f>
        <v>0.08</v>
      </c>
      <c r="AX26" s="23" cm="1">
        <f t="array" ref="AX26">VLOOKUP($R26,武学奇术!$A:$ZZ,8,FALSE)+SUM(_xlfn.XLOOKUP(S26:AL26,增益!$A:$A,增益!$H:$H,0))</f>
        <v>0</v>
      </c>
      <c r="AY26">
        <f t="shared" si="1"/>
        <v>0</v>
      </c>
      <c r="AZ26">
        <f t="shared" si="2"/>
        <v>0</v>
      </c>
      <c r="BA26" s="29" cm="1">
        <f t="array" ref="BA26">IF($F$11-$I$4+VLOOKUP($R26,武学奇术!$A:$ZZ,9,FALSE)+SUM(_xlfn.XLOOKUP(S26:AL26,增益!$A:$A,增益!$I:$I,0))&gt;0,($F$11-$I$4+VLOOKUP($R26,武学奇术!$A:$ZZ,9,FALSE)+SUM(_xlfn.XLOOKUP(S26:AL26,增益!$A:$A,增益!$I:$I,0)))/200,($F$11-$I$4+VLOOKUP($R26,武学奇术!$A:$ZZ,9,FALSE)+SUM(_xlfn.XLOOKUP(S26:AL26,增益!$A:$A,增益!$I:$I,0)))/100)</f>
        <v>-0.14</v>
      </c>
      <c r="BB26" s="29" cm="1">
        <f t="array" ref="BB26">$G$11+VLOOKUP($R26,武学奇术!$A:$ZZ,10,FALSE)+SUM(_xlfn.XLOOKUP(S26:AL26,增益!$A:$A,增益!$J:$J,0))</f>
        <v>0.02</v>
      </c>
      <c r="BC26">
        <f t="shared" si="3"/>
        <v>0</v>
      </c>
      <c r="BD26">
        <f t="shared" si="4"/>
        <v>0</v>
      </c>
      <c r="BE26" s="29" cm="1">
        <f t="array" ref="BE26">IF($F$12-$I$4+VLOOKUP($R26,武学奇术!$A:$ZZ,11,FALSE)+SUM(_xlfn.XLOOKUP(S26:AL26,增益!$A:$A,增益!$K:$K,0))&gt;0,($F$12-$I$4+VLOOKUP($R26,武学奇术!$A:$ZZ,11,FALSE)+SUM(_xlfn.XLOOKUP(S26:AL26,增益!$A:$A,增益!$K:$K,0)))/200,($F$12-$I$4+VLOOKUP($R26,武学奇术!$A:$ZZ,11,FALSE)+SUM(_xlfn.XLOOKUP(S26:AL26,增益!$A:$A,增益!$K:$K,0)))/100)</f>
        <v>-0.14</v>
      </c>
      <c r="BF26" s="29" cm="1">
        <f t="array" ref="BF26">$G$12+VLOOKUP($R26,武学奇术!$A:$ZZ,12,FALSE)+SUM(_xlfn.XLOOKUP(S26:AL26,增益!$A:$A,增益!$L:$L,0))</f>
        <v>0.02</v>
      </c>
      <c r="BG26">
        <f t="shared" si="5"/>
        <v>0</v>
      </c>
      <c r="BH26">
        <f t="shared" si="6"/>
        <v>0</v>
      </c>
      <c r="BI26" s="29" cm="1">
        <f t="array" ref="BI26">IF($F$13-$I$4+VLOOKUP($R26,武学奇术!$A:$ZZ,13,FALSE)+SUM(_xlfn.XLOOKUP(S26:AL26,增益!$A:$A,增益!$M:$M,0))&gt;0,($F$13-$I$4+VLOOKUP($R26,武学奇术!$A:$ZZ,13,FALSE)+SUM(_xlfn.XLOOKUP(S26:AL26,增益!$A:$A,增益!$K:$K,0)))/200,($F$13-$I$4+VLOOKUP($R26,武学奇术!$A:$ZZ,13,FALSE)+SUM(_xlfn.XLOOKUP(S26:AL26,增益!$A:$A,增益!$M:$M,0)))/100)</f>
        <v>-0.14</v>
      </c>
      <c r="BJ26" s="29" cm="1">
        <f t="array" ref="BJ26">$G$13+VLOOKUP($R26,武学奇术!$A:$ZZ,14,FALSE)+SUM(_xlfn.XLOOKUP(S26:AL26,增益!$A:$A,增益!$N:$N,0))</f>
        <v>0.02</v>
      </c>
      <c r="BK26">
        <f t="shared" si="7"/>
        <v>618.2</v>
      </c>
      <c r="BL26">
        <f t="shared" si="8"/>
        <v>1805</v>
      </c>
      <c r="BM26" s="29" cm="1">
        <f t="array" ref="BM26">IF($F$14-$I$4+VLOOKUP($R26,武学奇术!$A:$ZZ,15,FALSE)+SUM(_xlfn.XLOOKUP(S26:AL26,增益!$A:$A,增益!$O:$O,0))&gt;0,($F$14-$I$4+VLOOKUP($R26,武学奇术!$A:$ZZ,15,FALSE)+SUM(_xlfn.XLOOKUP(S26:AL26,增益!$A:$A,增益!$O:$O,0)))/200,($F$14-$I$4+VLOOKUP($R26,武学奇术!$A:$ZZ,15,FALSE)+SUM(_xlfn.XLOOKUP(S26:AL26,增益!$A:$A,增益!$O:$O,0)))/100)</f>
        <v>0.13</v>
      </c>
      <c r="BN26" s="29" cm="1">
        <f t="array" ref="BN26">$G$14+VLOOKUP($R26,武学奇术!$A:$ZZ,16,FALSE)+SUM(_xlfn.XLOOKUP(S26:AL26,增益!$A:$A,增益!$P:$P,0))</f>
        <v>0.23</v>
      </c>
      <c r="BO26" s="23">
        <f>MIN(IF(VLOOKUP($R26,武学奇术!$A:$ZZ,23,FALSE)=1,100%,$B$8),100%)</f>
        <v>0.9943</v>
      </c>
      <c r="BP26" s="23" cm="1">
        <f t="array" ref="BP26">IF(VLOOKUP($R26,武学奇术!$A:$ZZ,23,FALSE)=1,100%,MIN(80%,$B$9+VLOOKUP($R26,武学奇术!$A:$ZZ,17,FALSE)+SUM(_xlfn.XLOOKUP(S26:AL26,增益!$A:$A,增益!$Q:$Q,0)))+$B$11+SUM(_xlfn.XLOOKUP(S26:AL26,增益!$A:$A,增益!$U:$U,0)))*IF(VLOOKUP($R26,武学奇术!$A:$ZZ,24,FALSE)=1,0,1)</f>
        <v>0.887</v>
      </c>
      <c r="BQ26" s="23" cm="1">
        <f t="array" ref="BQ26">1+$B$13+VLOOKUP($R26,武学奇术!$A:$ZZ,18,FALSE)+SUM(_xlfn.XLOOKUP(S26:AL26,增益!$A:$A,增益!$R:$R,0))</f>
        <v>2.334</v>
      </c>
      <c r="BR26" s="23" cm="1">
        <f t="array" ref="BR26">IF(VLOOKUP($R26,武学奇术!$A:$ZZ,24,FALSE)=1,100%,MIN(40%,$B$10+VLOOKUP($R26,武学奇术!$A:$ZZ,19,FALSE)+SUM(_xlfn.XLOOKUP(S26:AL26,增益!$A:$A,增益!$S:$S,0)))+$B$12+SUM(_xlfn.XLOOKUP(S26:AL26,增益!$A:$A,增益!$V:$V,0)))*IF(VLOOKUP($R26,武学奇术!$A:$ZZ,23,FALSE)=1,0,1)</f>
        <v>0.0913</v>
      </c>
      <c r="BS26" s="23" cm="1">
        <f t="array" ref="BS26">1+$B$14+VLOOKUP($R26,武学奇术!$A:$ZZ,20,FALSE)+SUM(_xlfn.XLOOKUP(S26:AL26,增益!$A:$A,增益!$T:$T,0))</f>
        <v>1.35</v>
      </c>
      <c r="BT26" s="23">
        <f t="shared" si="9"/>
        <v>0.8819441</v>
      </c>
      <c r="BU26" s="23">
        <f t="shared" si="10"/>
        <v>0.0215763099999999</v>
      </c>
      <c r="BV26" s="23">
        <f>IF(VLOOKUP($R26,武学奇术!$A:$ZZ,22,FALSE)=1,0,(1-$BO26))*(1-$BR26)</f>
        <v>0.00517958999999993</v>
      </c>
      <c r="BW26" s="23" cm="1">
        <f t="array" ref="BW26">SUM(_xlfn.XLOOKUP(S26:AL26,增益!$A:$A,增益!$W:$W,0))+$I$5</f>
        <v>0.11</v>
      </c>
      <c r="BX26" s="23">
        <f>VLOOKUP($R26,武学奇术!$A:$ZZ,32,FALSE)</f>
        <v>0.1</v>
      </c>
      <c r="BY26" s="23" cm="1">
        <f t="array" ref="BY26">SUM(_xlfn.XLOOKUP($S26:$AL26,增益!$A:$A,增益!$X:$X,0))</f>
        <v>0</v>
      </c>
    </row>
    <row r="27" spans="1:77">
      <c r="A27" s="4"/>
      <c r="B27" s="4"/>
      <c r="K27" s="35">
        <f>$L27*VLOOKUP($R27,武学奇术!$A:$ZZ,31,FALSE)</f>
        <v>49786.3904837756</v>
      </c>
      <c r="L27" s="58">
        <f t="shared" si="0"/>
        <v>44452.1343605139</v>
      </c>
      <c r="M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轻击",$B$21,0))*(1+IF(VLOOKUP($R27,武学奇术!$A:$ZZ,30,FALSE)="老鼠",$B$22,0))*(1+$BW27)*(1+$BX27)</f>
        <v>46677.4300482125</v>
      </c>
      <c r="N27" s="35">
        <f>(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轻击",$B$21,0))*(1+IF(VLOOKUP($R27,武学奇术!$A:$ZZ,30,FALSE)="老鼠",$B$22,0))*(1+$BW27))*(1+$BX27)</f>
        <v>30259.2824524956</v>
      </c>
      <c r="O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轻击",$B$21,0))*(1+IF(VLOOKUP($R27,武学奇术!$A:$ZZ,30,FALSE)="老鼠",$B$22,0))*(1+$BW27)*(1+$BX27)</f>
        <v>19998.8989066892</v>
      </c>
      <c r="P27" s="35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轻击",$B$21,0))*(1+IF(VLOOKUP($R27,武学奇术!$A:$ZZ,30,FALSE)="老鼠",$B$22,0))*(1+$BW27)*(1+$BX27)</f>
        <v>17583.5145152335</v>
      </c>
      <c r="Q27" s="36">
        <v>1</v>
      </c>
      <c r="R27" s="37" t="s">
        <v>143</v>
      </c>
      <c r="S27" s="37" t="s">
        <v>91</v>
      </c>
      <c r="T27" s="37" t="s">
        <v>95</v>
      </c>
      <c r="U27" s="37" t="s">
        <v>112</v>
      </c>
      <c r="V27" s="37" t="s">
        <v>113</v>
      </c>
      <c r="W27" s="37" t="s">
        <v>82</v>
      </c>
      <c r="X27" s="37" t="s">
        <v>81</v>
      </c>
      <c r="Y27" s="37" t="s">
        <v>109</v>
      </c>
      <c r="Z27" s="37" t="s">
        <v>83</v>
      </c>
      <c r="AA27" s="37" t="s">
        <v>84</v>
      </c>
      <c r="AB27" s="37" t="s">
        <v>81</v>
      </c>
      <c r="AC27" s="37" t="s">
        <v>81</v>
      </c>
      <c r="AD27" s="37" t="s">
        <v>85</v>
      </c>
      <c r="AE27" s="37" t="s">
        <v>86</v>
      </c>
      <c r="AF27" s="37" t="s">
        <v>81</v>
      </c>
      <c r="AG27" s="37" t="s">
        <v>87</v>
      </c>
      <c r="AH27" s="37" t="s">
        <v>88</v>
      </c>
      <c r="AI27" s="37" t="s">
        <v>81</v>
      </c>
      <c r="AJ27" s="37" t="s">
        <v>81</v>
      </c>
      <c r="AK27" s="37" t="s">
        <v>81</v>
      </c>
      <c r="AL27" s="37" t="s">
        <v>81</v>
      </c>
      <c r="AM27" t="str">
        <f>VLOOKUP($R27,武学奇术!$A:$ZZ,25,FALSE)</f>
        <v>双刀</v>
      </c>
      <c r="AN27" s="23">
        <f>VLOOKUP($R27,武学奇术!$A:$ZZ,26,FALSE)</f>
        <v>0.9012</v>
      </c>
      <c r="AO27" s="24">
        <f>VLOOKUP($R27,武学奇术!$A:$ZZ,27,FALSE)*(1+IF(OR($AM27=$F$4,$AM27=$F$5),$B$23,0))</f>
        <v>400</v>
      </c>
      <c r="AP27" s="23">
        <f>VLOOKUP($R27,武学奇术!$A:$ZZ,28,FALSE)</f>
        <v>1.3518</v>
      </c>
      <c r="AQ27" s="24">
        <f>VLOOKUP($R27,武学奇术!$A:$ZZ,29,FALSE)*(1+IF(OR($AM27=$F$4,$AM27=$F$5),$B$23,0))</f>
        <v>217.6</v>
      </c>
      <c r="AR27" s="23" cm="1">
        <f t="array" ref="AR27">$G$3+IFERROR(VLOOKUP($AM27,$F$4:$G$7,2,FALSE),0)+VLOOKUP($R27,武学奇术!$A:$ZZ,2,FALSE)+SUM(_xlfn.XLOOKUP($S27:$AL27,增益!$A:$A,增益!$B:$B,0))</f>
        <v>0.7743</v>
      </c>
      <c r="AS27" s="23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4150.4</v>
      </c>
      <c r="AU27" cm="1">
        <f t="array" ref="AU27">$E$10*(1+$AS27)+VLOOKUP($R27,武学奇术!$A:$ZZ,4,FALSE)+SUM(_xlfn.XLOOKUP($S27:$AL27,增益!$A:$A,增益!$D:$D,0))-$I$2</f>
        <v>4150.4</v>
      </c>
      <c r="AV27" s="29" cm="1">
        <f t="array" ref="AV27">IF($F$10-$I$3+VLOOKUP($R27,武学奇术!$A:$ZZ,6,FALSE)+SUM(_xlfn.XLOOKUP(S27:AL27,增益!$A:$A,增益!$F:$F,0))&gt;0,($F$10-$I$3+VLOOKUP($R27,武学奇术!$A:$ZZ,6,FALSE)+SUM(_xlfn.XLOOKUP(S27:AL27,增益!$A:$A,增益!$F:$F,0)))/200,($F$10-$I$3+VLOOKUP($R27,武学奇术!$A:$ZZ,6,FALSE)+SUM(_xlfn.XLOOKUP(S27:AL27,增益!$A:$A,增益!$F:$F,0)))/100)</f>
        <v>0.4539</v>
      </c>
      <c r="AW27" s="29" cm="1">
        <f t="array" ref="AW27">$G$10+VLOOKUP($R27,武学奇术!$A:$ZZ,7,FALSE)+SUM(_xlfn.XLOOKUP(S27:AL27,增益!$A:$A,增益!$G:$G,0))</f>
        <v>0.08</v>
      </c>
      <c r="AX27" s="23" cm="1">
        <f t="array" ref="AX27">VLOOKUP($R27,武学奇术!$A:$ZZ,8,FALSE)+SUM(_xlfn.XLOOKUP(S27:AL27,增益!$A:$A,增益!$H:$H,0))</f>
        <v>0</v>
      </c>
      <c r="AY27">
        <f t="shared" si="1"/>
        <v>0</v>
      </c>
      <c r="AZ27">
        <f t="shared" si="2"/>
        <v>0</v>
      </c>
      <c r="BA27" s="29" cm="1">
        <f t="array" ref="BA27">IF($F$11-$I$4+VLOOKUP($R27,武学奇术!$A:$ZZ,9,FALSE)+SUM(_xlfn.XLOOKUP(S27:AL27,增益!$A:$A,增益!$I:$I,0))&gt;0,($F$11-$I$4+VLOOKUP($R27,武学奇术!$A:$ZZ,9,FALSE)+SUM(_xlfn.XLOOKUP(S27:AL27,增益!$A:$A,增益!$I:$I,0)))/200,($F$11-$I$4+VLOOKUP($R27,武学奇术!$A:$ZZ,9,FALSE)+SUM(_xlfn.XLOOKUP(S27:AL27,增益!$A:$A,增益!$I:$I,0)))/100)</f>
        <v>-0.14</v>
      </c>
      <c r="BB27" s="29" cm="1">
        <f t="array" ref="BB27">$G$11+VLOOKUP($R27,武学奇术!$A:$ZZ,10,FALSE)+SUM(_xlfn.XLOOKUP(S27:AL27,增益!$A:$A,增益!$J:$J,0))</f>
        <v>0.02</v>
      </c>
      <c r="BC27">
        <f t="shared" si="3"/>
        <v>0</v>
      </c>
      <c r="BD27">
        <f t="shared" si="4"/>
        <v>0</v>
      </c>
      <c r="BE27" s="29" cm="1">
        <f t="array" ref="BE27">IF($F$12-$I$4+VLOOKUP($R27,武学奇术!$A:$ZZ,11,FALSE)+SUM(_xlfn.XLOOKUP(S27:AL27,增益!$A:$A,增益!$K:$K,0))&gt;0,($F$12-$I$4+VLOOKUP($R27,武学奇术!$A:$ZZ,11,FALSE)+SUM(_xlfn.XLOOKUP(S27:AL27,增益!$A:$A,增益!$K:$K,0)))/200,($F$12-$I$4+VLOOKUP($R27,武学奇术!$A:$ZZ,11,FALSE)+SUM(_xlfn.XLOOKUP(S27:AL27,增益!$A:$A,增益!$K:$K,0)))/100)</f>
        <v>-0.14</v>
      </c>
      <c r="BF27" s="29" cm="1">
        <f t="array" ref="BF27">$G$12+VLOOKUP($R27,武学奇术!$A:$ZZ,12,FALSE)+SUM(_xlfn.XLOOKUP(S27:AL27,增益!$A:$A,增益!$L:$L,0))</f>
        <v>0.02</v>
      </c>
      <c r="BG27">
        <f t="shared" si="5"/>
        <v>0</v>
      </c>
      <c r="BH27">
        <f t="shared" si="6"/>
        <v>0</v>
      </c>
      <c r="BI27" s="29" cm="1">
        <f t="array" ref="BI27">IF($F$13-$I$4+VLOOKUP($R27,武学奇术!$A:$ZZ,13,FALSE)+SUM(_xlfn.XLOOKUP(S27:AL27,增益!$A:$A,增益!$M:$M,0))&gt;0,($F$13-$I$4+VLOOKUP($R27,武学奇术!$A:$ZZ,13,FALSE)+SUM(_xlfn.XLOOKUP(S27:AL27,增益!$A:$A,增益!$K:$K,0)))/200,($F$13-$I$4+VLOOKUP($R27,武学奇术!$A:$ZZ,13,FALSE)+SUM(_xlfn.XLOOKUP(S27:AL27,增益!$A:$A,增益!$M:$M,0)))/100)</f>
        <v>-0.14</v>
      </c>
      <c r="BJ27" s="29" cm="1">
        <f t="array" ref="BJ27">$G$13+VLOOKUP($R27,武学奇术!$A:$ZZ,14,FALSE)+SUM(_xlfn.XLOOKUP(S27:AL27,增益!$A:$A,增益!$N:$N,0))</f>
        <v>0.02</v>
      </c>
      <c r="BK27">
        <f t="shared" si="7"/>
        <v>618.2</v>
      </c>
      <c r="BL27">
        <f t="shared" si="8"/>
        <v>1805</v>
      </c>
      <c r="BM27" s="29" cm="1">
        <f t="array" ref="BM27">IF($F$14-$I$4+VLOOKUP($R27,武学奇术!$A:$ZZ,15,FALSE)+SUM(_xlfn.XLOOKUP(S27:AL27,增益!$A:$A,增益!$O:$O,0))&gt;0,($F$14-$I$4+VLOOKUP($R27,武学奇术!$A:$ZZ,15,FALSE)+SUM(_xlfn.XLOOKUP(S27:AL27,增益!$A:$A,增益!$O:$O,0)))/200,($F$14-$I$4+VLOOKUP($R27,武学奇术!$A:$ZZ,15,FALSE)+SUM(_xlfn.XLOOKUP(S27:AL27,增益!$A:$A,增益!$O:$O,0)))/100)</f>
        <v>0.13</v>
      </c>
      <c r="BN27" s="29" cm="1">
        <f t="array" ref="BN27">$G$14+VLOOKUP($R27,武学奇术!$A:$ZZ,16,FALSE)+SUM(_xlfn.XLOOKUP(S27:AL27,增益!$A:$A,增益!$P:$P,0))</f>
        <v>0.23</v>
      </c>
      <c r="BO27" s="23">
        <f>MIN(IF(VLOOKUP($R27,武学奇术!$A:$ZZ,23,FALSE)=1,100%,$B$8),100%)</f>
        <v>0.9943</v>
      </c>
      <c r="BP27" s="23" cm="1">
        <f t="array" ref="BP27">IF(VLOOKUP($R27,武学奇术!$A:$ZZ,23,FALSE)=1,100%,MIN(80%,$B$9+VLOOKUP($R27,武学奇术!$A:$ZZ,17,FALSE)+SUM(_xlfn.XLOOKUP(S27:AL27,增益!$A:$A,增益!$Q:$Q,0)))+$B$11+SUM(_xlfn.XLOOKUP(S27:AL27,增益!$A:$A,增益!$U:$U,0)))*IF(VLOOKUP($R27,武学奇术!$A:$ZZ,24,FALSE)=1,0,1)</f>
        <v>0.887</v>
      </c>
      <c r="BQ27" s="23" cm="1">
        <f t="array" ref="BQ27">1+$B$13+VLOOKUP($R27,武学奇术!$A:$ZZ,18,FALSE)+SUM(_xlfn.XLOOKUP(S27:AL27,增益!$A:$A,增益!$R:$R,0))</f>
        <v>2.334</v>
      </c>
      <c r="BR27" s="23" cm="1">
        <f t="array" ref="BR27">IF(VLOOKUP($R27,武学奇术!$A:$ZZ,24,FALSE)=1,100%,MIN(40%,$B$10+VLOOKUP($R27,武学奇术!$A:$ZZ,19,FALSE)+SUM(_xlfn.XLOOKUP(S27:AL27,增益!$A:$A,增益!$S:$S,0)))+$B$12+SUM(_xlfn.XLOOKUP(S27:AL27,增益!$A:$A,增益!$V:$V,0)))*IF(VLOOKUP($R27,武学奇术!$A:$ZZ,23,FALSE)=1,0,1)</f>
        <v>0.0913</v>
      </c>
      <c r="BS27" s="23" cm="1">
        <f t="array" ref="BS27">1+$B$14+VLOOKUP($R27,武学奇术!$A:$ZZ,20,FALSE)+SUM(_xlfn.XLOOKUP(S27:AL27,增益!$A:$A,增益!$T:$T,0))</f>
        <v>1.35</v>
      </c>
      <c r="BT27" s="23">
        <f t="shared" si="9"/>
        <v>0.8819441</v>
      </c>
      <c r="BU27" s="23">
        <f t="shared" si="10"/>
        <v>0.0215763099999999</v>
      </c>
      <c r="BV27" s="23">
        <f>IF(VLOOKUP($R27,武学奇术!$A:$ZZ,22,FALSE)=1,0,(1-$BO27))*(1-$BR27)</f>
        <v>0.00517958999999993</v>
      </c>
      <c r="BW27" s="23" cm="1">
        <f t="array" ref="BW27">SUM(_xlfn.XLOOKUP(S27:AL27,增益!$A:$A,增益!$W:$W,0))+$I$5</f>
        <v>0.11</v>
      </c>
      <c r="BX27" s="23">
        <f>VLOOKUP($R27,武学奇术!$A:$ZZ,32,FALSE)</f>
        <v>0.1</v>
      </c>
      <c r="BY27" s="23" cm="1">
        <f t="array" ref="BY27">SUM(_xlfn.XLOOKUP($S27:$AL27,增益!$A:$A,增益!$X:$X,0))</f>
        <v>0</v>
      </c>
    </row>
    <row r="28" spans="1:77">
      <c r="A28" s="4" t="s">
        <v>161</v>
      </c>
      <c r="B28" s="4">
        <v>1</v>
      </c>
      <c r="C28" s="36" t="s">
        <v>162</v>
      </c>
      <c r="D28" t="s">
        <v>163</v>
      </c>
      <c r="H28">
        <v>3</v>
      </c>
      <c r="K28" s="35">
        <f>$L28*VLOOKUP($R28,武学奇术!$A:$ZZ,31,FALSE)</f>
        <v>101392.787810781</v>
      </c>
      <c r="L28" s="69">
        <f t="shared" si="0"/>
        <v>99404.6939321379</v>
      </c>
      <c r="M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轻击",$B$21,0))*(1+IF(VLOOKUP($R28,武学奇术!$A:$ZZ,30,FALSE)="老鼠",$B$22,0))*(1+$BW28)*(1+$BX28)</f>
        <v>104303.020880253</v>
      </c>
      <c r="N28" s="35">
        <f>(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轻击",$B$21,0))*(1+IF(VLOOKUP($R28,武学奇术!$A:$ZZ,30,FALSE)="老鼠",$B$22,0))*(1+$BW28))*(1+$BX28)</f>
        <v>68464.2855370086</v>
      </c>
      <c r="O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轻击",$B$21,0))*(1+IF(VLOOKUP($R28,武学奇术!$A:$ZZ,30,FALSE)="老鼠",$B$22,0))*(1+$BW28)*(1+$BX28)</f>
        <v>44688.5265125334</v>
      </c>
      <c r="P28" s="35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轻击",$B$21,0))*(1+IF(VLOOKUP($R28,武学奇术!$A:$ZZ,30,FALSE)="老鼠",$B$22,0))*(1+$BW28)*(1+$BX28)</f>
        <v>38662.7674420975</v>
      </c>
      <c r="Q28" s="70">
        <v>3</v>
      </c>
      <c r="R28" s="37" t="s">
        <v>106</v>
      </c>
      <c r="S28" s="37" t="s">
        <v>91</v>
      </c>
      <c r="T28" s="37" t="s">
        <v>95</v>
      </c>
      <c r="U28" s="37" t="s">
        <v>112</v>
      </c>
      <c r="V28" s="37" t="s">
        <v>113</v>
      </c>
      <c r="W28" s="37" t="s">
        <v>82</v>
      </c>
      <c r="X28" s="37" t="s">
        <v>81</v>
      </c>
      <c r="Y28" s="37" t="s">
        <v>109</v>
      </c>
      <c r="Z28" s="37" t="s">
        <v>83</v>
      </c>
      <c r="AA28" s="37" t="s">
        <v>84</v>
      </c>
      <c r="AB28" s="37" t="s">
        <v>81</v>
      </c>
      <c r="AC28" s="37" t="s">
        <v>81</v>
      </c>
      <c r="AD28" s="37" t="s">
        <v>85</v>
      </c>
      <c r="AE28" s="37" t="s">
        <v>86</v>
      </c>
      <c r="AF28" s="37" t="s">
        <v>81</v>
      </c>
      <c r="AG28" s="37" t="s">
        <v>87</v>
      </c>
      <c r="AH28" s="37" t="s">
        <v>88</v>
      </c>
      <c r="AI28" s="37" t="s">
        <v>81</v>
      </c>
      <c r="AJ28" s="37" t="s">
        <v>81</v>
      </c>
      <c r="AK28" s="37" t="s">
        <v>81</v>
      </c>
      <c r="AL28" s="37" t="s">
        <v>81</v>
      </c>
      <c r="AM28" t="str">
        <f>VLOOKUP($R28,武学奇术!$A:$ZZ,25,FALSE)</f>
        <v>绳镖</v>
      </c>
      <c r="AN28" s="23">
        <f>VLOOKUP($R28,武学奇术!$A:$ZZ,26,FALSE)</f>
        <v>0.3675</v>
      </c>
      <c r="AO28" s="24">
        <f>VLOOKUP($R28,武学奇术!$A:$ZZ,27,FALSE)*(1+IF(OR($AM28=$F$4,$AM28=$F$5),$B$23,0))</f>
        <v>0</v>
      </c>
      <c r="AP28" s="23">
        <f>VLOOKUP($R28,武学奇术!$A:$ZZ,28,FALSE)</f>
        <v>0.55125</v>
      </c>
      <c r="AQ28" s="24">
        <f>VLOOKUP($R28,武学奇术!$A:$ZZ,29,FALSE)*(1+IF(OR($AM28=$F$4,$AM28=$F$5),$B$23,0))</f>
        <v>0</v>
      </c>
      <c r="AR28" s="23" cm="1">
        <f t="array" ref="AR28">$G$3+IFERROR(VLOOKUP($AM28,$F$4:$G$7,2,FALSE),0)+VLOOKUP($R28,武学奇术!$A:$ZZ,2,FALSE)+SUM(_xlfn.XLOOKUP($S28:$AL28,增益!$A:$A,增益!$B:$B,0))</f>
        <v>1.5743</v>
      </c>
      <c r="AS28" s="23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4150.4</v>
      </c>
      <c r="AU28" cm="1">
        <f t="array" ref="AU28">$E$10*(1+$AS28)+VLOOKUP($R28,武学奇术!$A:$ZZ,4,FALSE)+SUM(_xlfn.XLOOKUP($S28:$AL28,增益!$A:$A,增益!$D:$D,0))-$I$2</f>
        <v>4150.4</v>
      </c>
      <c r="AV28" s="29" cm="1">
        <f t="array" ref="AV28">IF($F$10-$I$3+VLOOKUP($R28,武学奇术!$A:$ZZ,6,FALSE)+SUM(_xlfn.XLOOKUP(S28:AL28,增益!$A:$A,增益!$F:$F,0))&gt;0,($F$10-$I$3+VLOOKUP($R28,武学奇术!$A:$ZZ,6,FALSE)+SUM(_xlfn.XLOOKUP(S28:AL28,增益!$A:$A,增益!$F:$F,0)))/200,($F$10-$I$3+VLOOKUP($R28,武学奇术!$A:$ZZ,6,FALSE)+SUM(_xlfn.XLOOKUP(S28:AL28,增益!$A:$A,增益!$F:$F,0)))/100)</f>
        <v>0.4539</v>
      </c>
      <c r="AW28" s="29" cm="1">
        <f t="array" ref="AW28">$G$10+VLOOKUP($R28,武学奇术!$A:$ZZ,7,FALSE)+SUM(_xlfn.XLOOKUP(S28:AL28,增益!$A:$A,增益!$G:$G,0))</f>
        <v>0.29</v>
      </c>
      <c r="AX28" s="23" cm="1">
        <f t="array" ref="AX28">VLOOKUP($R28,武学奇术!$A:$ZZ,8,FALSE)+SUM(_xlfn.XLOOKUP(S28:AL28,增益!$A:$A,增益!$H:$H,0))</f>
        <v>0</v>
      </c>
      <c r="AY28">
        <f t="shared" si="1"/>
        <v>0</v>
      </c>
      <c r="AZ28">
        <f t="shared" si="2"/>
        <v>0</v>
      </c>
      <c r="BA28" s="29" cm="1">
        <f t="array" ref="BA28">IF($F$11-$I$4+VLOOKUP($R28,武学奇术!$A:$ZZ,9,FALSE)+SUM(_xlfn.XLOOKUP(S28:AL28,增益!$A:$A,增益!$I:$I,0))&gt;0,($F$11-$I$4+VLOOKUP($R28,武学奇术!$A:$ZZ,9,FALSE)+SUM(_xlfn.XLOOKUP(S28:AL28,增益!$A:$A,增益!$I:$I,0)))/200,($F$11-$I$4+VLOOKUP($R28,武学奇术!$A:$ZZ,9,FALSE)+SUM(_xlfn.XLOOKUP(S28:AL28,增益!$A:$A,增益!$I:$I,0)))/100)</f>
        <v>-0.14</v>
      </c>
      <c r="BB28" s="29" cm="1">
        <f t="array" ref="BB28">$G$11+VLOOKUP($R28,武学奇术!$A:$ZZ,10,FALSE)+SUM(_xlfn.XLOOKUP(S28:AL28,增益!$A:$A,增益!$J:$J,0))</f>
        <v>0.02</v>
      </c>
      <c r="BC28">
        <f t="shared" si="3"/>
        <v>0</v>
      </c>
      <c r="BD28">
        <f t="shared" si="4"/>
        <v>0</v>
      </c>
      <c r="BE28" s="29" cm="1">
        <f t="array" ref="BE28">IF($F$12-$I$4+VLOOKUP($R28,武学奇术!$A:$ZZ,11,FALSE)+SUM(_xlfn.XLOOKUP(S28:AL28,增益!$A:$A,增益!$K:$K,0))&gt;0,($F$12-$I$4+VLOOKUP($R28,武学奇术!$A:$ZZ,11,FALSE)+SUM(_xlfn.XLOOKUP(S28:AL28,增益!$A:$A,增益!$K:$K,0)))/200,($F$12-$I$4+VLOOKUP($R28,武学奇术!$A:$ZZ,11,FALSE)+SUM(_xlfn.XLOOKUP(S28:AL28,增益!$A:$A,增益!$K:$K,0)))/100)</f>
        <v>-0.14</v>
      </c>
      <c r="BF28" s="29" cm="1">
        <f t="array" ref="BF28">$G$12+VLOOKUP($R28,武学奇术!$A:$ZZ,12,FALSE)+SUM(_xlfn.XLOOKUP(S28:AL28,增益!$A:$A,增益!$L:$L,0))</f>
        <v>0.02</v>
      </c>
      <c r="BG28">
        <f t="shared" si="5"/>
        <v>0</v>
      </c>
      <c r="BH28">
        <f t="shared" si="6"/>
        <v>0</v>
      </c>
      <c r="BI28" s="29" cm="1">
        <f t="array" ref="BI28">IF($F$13-$I$4+VLOOKUP($R28,武学奇术!$A:$ZZ,13,FALSE)+SUM(_xlfn.XLOOKUP(S28:AL28,增益!$A:$A,增益!$M:$M,0))&gt;0,($F$13-$I$4+VLOOKUP($R28,武学奇术!$A:$ZZ,13,FALSE)+SUM(_xlfn.XLOOKUP(S28:AL28,增益!$A:$A,增益!$K:$K,0)))/200,($F$13-$I$4+VLOOKUP($R28,武学奇术!$A:$ZZ,13,FALSE)+SUM(_xlfn.XLOOKUP(S28:AL28,增益!$A:$A,增益!$M:$M,0)))/100)</f>
        <v>-0.14</v>
      </c>
      <c r="BJ28" s="29" cm="1">
        <f t="array" ref="BJ28">$G$13+VLOOKUP($R28,武学奇术!$A:$ZZ,14,FALSE)+SUM(_xlfn.XLOOKUP(S28:AL28,增益!$A:$A,增益!$N:$N,0))</f>
        <v>0.02</v>
      </c>
      <c r="BK28">
        <f t="shared" si="7"/>
        <v>618.2</v>
      </c>
      <c r="BL28">
        <f t="shared" si="8"/>
        <v>1805</v>
      </c>
      <c r="BM28" s="29" cm="1">
        <f t="array" ref="BM28">IF($F$14-$I$4+VLOOKUP($R28,武学奇术!$A:$ZZ,15,FALSE)+SUM(_xlfn.XLOOKUP(S28:AL28,增益!$A:$A,增益!$O:$O,0))&gt;0,($F$14-$I$4+VLOOKUP($R28,武学奇术!$A:$ZZ,15,FALSE)+SUM(_xlfn.XLOOKUP(S28:AL28,增益!$A:$A,增益!$O:$O,0)))/200,($F$14-$I$4+VLOOKUP($R28,武学奇术!$A:$ZZ,15,FALSE)+SUM(_xlfn.XLOOKUP(S28:AL28,增益!$A:$A,增益!$O:$O,0)))/100)</f>
        <v>0.13</v>
      </c>
      <c r="BN28" s="29" cm="1">
        <f t="array" ref="BN28">$G$14+VLOOKUP($R28,武学奇术!$A:$ZZ,16,FALSE)+SUM(_xlfn.XLOOKUP(S28:AL28,增益!$A:$A,增益!$P:$P,0))</f>
        <v>0.44</v>
      </c>
      <c r="BO28" s="23">
        <f>MIN(IF(VLOOKUP($R28,武学奇术!$A:$ZZ,23,FALSE)=1,100%,$B$8),100%)</f>
        <v>0.9943</v>
      </c>
      <c r="BP28" s="23" cm="1">
        <f t="array" ref="BP28">IF(VLOOKUP($R28,武学奇术!$A:$ZZ,23,FALSE)=1,100%,MIN(80%,$B$9+VLOOKUP($R28,武学奇术!$A:$ZZ,17,FALSE)+SUM(_xlfn.XLOOKUP(S28:AL28,增益!$A:$A,增益!$Q:$Q,0)))+$B$11+SUM(_xlfn.XLOOKUP(S28:AL28,增益!$A:$A,增益!$U:$U,0)))*IF(VLOOKUP($R28,武学奇术!$A:$ZZ,24,FALSE)=1,0,1)</f>
        <v>0.887</v>
      </c>
      <c r="BQ28" s="23" cm="1">
        <f t="array" ref="BQ28">1+$B$13+VLOOKUP($R28,武学奇术!$A:$ZZ,18,FALSE)+SUM(_xlfn.XLOOKUP(S28:AL28,增益!$A:$A,增益!$R:$R,0))</f>
        <v>2.334</v>
      </c>
      <c r="BR28" s="23" cm="1">
        <f t="array" ref="BR28">IF(VLOOKUP($R28,武学奇术!$A:$ZZ,24,FALSE)=1,100%,MIN(40%,$B$10+VLOOKUP($R28,武学奇术!$A:$ZZ,19,FALSE)+SUM(_xlfn.XLOOKUP(S28:AL28,增益!$A:$A,增益!$S:$S,0)))+$B$12+SUM(_xlfn.XLOOKUP(S28:AL28,增益!$A:$A,增益!$V:$V,0)))*IF(VLOOKUP($R28,武学奇术!$A:$ZZ,23,FALSE)=1,0,1)</f>
        <v>0.0913</v>
      </c>
      <c r="BS28" s="23" cm="1">
        <f t="array" ref="BS28">1+$B$14+VLOOKUP($R28,武学奇术!$A:$ZZ,20,FALSE)+SUM(_xlfn.XLOOKUP(S28:AL28,增益!$A:$A,增益!$T:$T,0))</f>
        <v>1.35</v>
      </c>
      <c r="BT28" s="23">
        <f t="shared" si="9"/>
        <v>0.8819441</v>
      </c>
      <c r="BU28" s="23">
        <f t="shared" si="10"/>
        <v>0.0215763099999999</v>
      </c>
      <c r="BV28" s="23">
        <f>IF(VLOOKUP($R28,武学奇术!$A:$ZZ,22,FALSE)=1,0,(1-$BO28))*(1-$BR28)</f>
        <v>0.00517958999999993</v>
      </c>
      <c r="BW28" s="23" cm="1">
        <f t="array" ref="BW28">SUM(_xlfn.XLOOKUP(S28:AL28,增益!$A:$A,增益!$W:$W,0))+$I$5</f>
        <v>0.11</v>
      </c>
      <c r="BX28" s="23">
        <f>VLOOKUP($R28,武学奇术!$A:$ZZ,32,FALSE)</f>
        <v>0</v>
      </c>
      <c r="BY28" s="23" cm="1">
        <f t="array" ref="BY28">SUM(_xlfn.XLOOKUP($S28:$AL28,增益!$A:$A,增益!$X:$X,0))</f>
        <v>0</v>
      </c>
    </row>
    <row r="29" spans="1:77">
      <c r="A29" s="4" t="s">
        <v>164</v>
      </c>
      <c r="B29" s="4">
        <v>1.1</v>
      </c>
      <c r="C29" s="36"/>
      <c r="H29">
        <v>23</v>
      </c>
      <c r="K29" s="35">
        <f>$L29*VLOOKUP($R29,武学奇术!$A:$ZZ,31,FALSE)</f>
        <v>79854.0487948037</v>
      </c>
      <c r="L29" s="58">
        <f t="shared" si="0"/>
        <v>71298.2578525033</v>
      </c>
      <c r="M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轻击",$B$21,0))*(1+IF(VLOOKUP($R29,武学奇术!$A:$ZZ,30,FALSE)="老鼠",$B$22,0))*(1+$BW29)*(1+$BX29)</f>
        <v>74867.4607103764</v>
      </c>
      <c r="N29" s="35">
        <f>(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轻击",$B$21,0))*(1+IF(VLOOKUP($R29,武学奇术!$A:$ZZ,30,FALSE)="老鼠",$B$22,0))*(1+$BW29))*(1+$BX29)</f>
        <v>48534.105419105</v>
      </c>
      <c r="O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轻击",$B$21,0))*(1+IF(VLOOKUP($R29,武学奇术!$A:$ZZ,30,FALSE)="老鼠",$B$22,0))*(1+$BW29)*(1+$BX29)</f>
        <v>32076.8897645143</v>
      </c>
      <c r="P29" s="35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轻击",$B$21,0))*(1+IF(VLOOKUP($R29,武学奇术!$A:$ZZ,30,FALSE)="老鼠",$B$22,0))*(1+$BW29)*(1+$BX29)</f>
        <v>28202.5903296916</v>
      </c>
      <c r="Q29" s="36">
        <v>1</v>
      </c>
      <c r="R29" s="37" t="s">
        <v>148</v>
      </c>
      <c r="S29" s="37" t="s">
        <v>91</v>
      </c>
      <c r="T29" s="37" t="s">
        <v>95</v>
      </c>
      <c r="U29" s="37" t="s">
        <v>112</v>
      </c>
      <c r="V29" s="37" t="s">
        <v>113</v>
      </c>
      <c r="W29" s="37" t="s">
        <v>82</v>
      </c>
      <c r="X29" s="37" t="s">
        <v>81</v>
      </c>
      <c r="Y29" s="37" t="s">
        <v>109</v>
      </c>
      <c r="Z29" s="37" t="s">
        <v>83</v>
      </c>
      <c r="AA29" s="37" t="s">
        <v>84</v>
      </c>
      <c r="AB29" s="37" t="s">
        <v>81</v>
      </c>
      <c r="AC29" s="37" t="s">
        <v>81</v>
      </c>
      <c r="AD29" s="37" t="s">
        <v>85</v>
      </c>
      <c r="AE29" s="37" t="s">
        <v>86</v>
      </c>
      <c r="AF29" s="37" t="s">
        <v>81</v>
      </c>
      <c r="AG29" s="37" t="s">
        <v>87</v>
      </c>
      <c r="AH29" s="37" t="s">
        <v>88</v>
      </c>
      <c r="AI29" s="37" t="s">
        <v>81</v>
      </c>
      <c r="AJ29" s="37" t="s">
        <v>81</v>
      </c>
      <c r="AK29" s="37" t="s">
        <v>81</v>
      </c>
      <c r="AL29" s="37" t="s">
        <v>81</v>
      </c>
      <c r="AM29" t="str">
        <f>VLOOKUP($R29,武学奇术!$A:$ZZ,25,FALSE)</f>
        <v>双刀</v>
      </c>
      <c r="AN29" s="23">
        <f>VLOOKUP($R29,武学奇术!$A:$ZZ,26,FALSE)</f>
        <v>1.4455</v>
      </c>
      <c r="AO29" s="24">
        <f>VLOOKUP($R29,武学奇术!$A:$ZZ,27,FALSE)*(1+IF(OR($AM29=$F$4,$AM29=$F$5),$B$23,0))</f>
        <v>641.6</v>
      </c>
      <c r="AP29" s="23">
        <f>VLOOKUP($R29,武学奇术!$A:$ZZ,28,FALSE)</f>
        <v>2.1683</v>
      </c>
      <c r="AQ29" s="24">
        <f>VLOOKUP($R29,武学奇术!$A:$ZZ,29,FALSE)*(1+IF(OR($AM29=$F$4,$AM29=$F$5),$B$23,0))</f>
        <v>348.8</v>
      </c>
      <c r="AR29" s="23" cm="1">
        <f t="array" ref="AR29">$G$3+IFERROR(VLOOKUP($AM29,$F$4:$G$7,2,FALSE),0)+VLOOKUP($R29,武学奇术!$A:$ZZ,2,FALSE)+SUM(_xlfn.XLOOKUP($S29:$AL29,增益!$A:$A,增益!$B:$B,0))</f>
        <v>0.7743</v>
      </c>
      <c r="AS29" s="23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4150.4</v>
      </c>
      <c r="AU29" cm="1">
        <f t="array" ref="AU29">$E$10*(1+$AS29)+VLOOKUP($R29,武学奇术!$A:$ZZ,4,FALSE)+SUM(_xlfn.XLOOKUP($S29:$AL29,增益!$A:$A,增益!$D:$D,0))-$I$2</f>
        <v>4150.4</v>
      </c>
      <c r="AV29" s="29" cm="1">
        <f t="array" ref="AV29">IF($F$10-$I$3+VLOOKUP($R29,武学奇术!$A:$ZZ,6,FALSE)+SUM(_xlfn.XLOOKUP(S29:AL29,增益!$A:$A,增益!$F:$F,0))&gt;0,($F$10-$I$3+VLOOKUP($R29,武学奇术!$A:$ZZ,6,FALSE)+SUM(_xlfn.XLOOKUP(S29:AL29,增益!$A:$A,增益!$F:$F,0)))/200,($F$10-$I$3+VLOOKUP($R29,武学奇术!$A:$ZZ,6,FALSE)+SUM(_xlfn.XLOOKUP(S29:AL29,增益!$A:$A,增益!$F:$F,0)))/100)</f>
        <v>0.4539</v>
      </c>
      <c r="AW29" s="29" cm="1">
        <f t="array" ref="AW29">$G$10+VLOOKUP($R29,武学奇术!$A:$ZZ,7,FALSE)+SUM(_xlfn.XLOOKUP(S29:AL29,增益!$A:$A,增益!$G:$G,0))</f>
        <v>0.08</v>
      </c>
      <c r="AX29" s="23" cm="1">
        <f t="array" ref="AX29">VLOOKUP($R29,武学奇术!$A:$ZZ,8,FALSE)+SUM(_xlfn.XLOOKUP(S29:AL29,增益!$A:$A,增益!$H:$H,0))</f>
        <v>0</v>
      </c>
      <c r="AY29">
        <f t="shared" si="1"/>
        <v>0</v>
      </c>
      <c r="AZ29">
        <f t="shared" si="2"/>
        <v>0</v>
      </c>
      <c r="BA29" s="29" cm="1">
        <f t="array" ref="BA29">IF($F$11-$I$4+VLOOKUP($R29,武学奇术!$A:$ZZ,9,FALSE)+SUM(_xlfn.XLOOKUP(S29:AL29,增益!$A:$A,增益!$I:$I,0))&gt;0,($F$11-$I$4+VLOOKUP($R29,武学奇术!$A:$ZZ,9,FALSE)+SUM(_xlfn.XLOOKUP(S29:AL29,增益!$A:$A,增益!$I:$I,0)))/200,($F$11-$I$4+VLOOKUP($R29,武学奇术!$A:$ZZ,9,FALSE)+SUM(_xlfn.XLOOKUP(S29:AL29,增益!$A:$A,增益!$I:$I,0)))/100)</f>
        <v>-0.14</v>
      </c>
      <c r="BB29" s="29" cm="1">
        <f t="array" ref="BB29">$G$11+VLOOKUP($R29,武学奇术!$A:$ZZ,10,FALSE)+SUM(_xlfn.XLOOKUP(S29:AL29,增益!$A:$A,增益!$J:$J,0))</f>
        <v>0.02</v>
      </c>
      <c r="BC29">
        <f t="shared" si="3"/>
        <v>0</v>
      </c>
      <c r="BD29">
        <f t="shared" si="4"/>
        <v>0</v>
      </c>
      <c r="BE29" s="29" cm="1">
        <f t="array" ref="BE29">IF($F$12-$I$4+VLOOKUP($R29,武学奇术!$A:$ZZ,11,FALSE)+SUM(_xlfn.XLOOKUP(S29:AL29,增益!$A:$A,增益!$K:$K,0))&gt;0,($F$12-$I$4+VLOOKUP($R29,武学奇术!$A:$ZZ,11,FALSE)+SUM(_xlfn.XLOOKUP(S29:AL29,增益!$A:$A,增益!$K:$K,0)))/200,($F$12-$I$4+VLOOKUP($R29,武学奇术!$A:$ZZ,11,FALSE)+SUM(_xlfn.XLOOKUP(S29:AL29,增益!$A:$A,增益!$K:$K,0)))/100)</f>
        <v>-0.14</v>
      </c>
      <c r="BF29" s="29" cm="1">
        <f t="array" ref="BF29">$G$12+VLOOKUP($R29,武学奇术!$A:$ZZ,12,FALSE)+SUM(_xlfn.XLOOKUP(S29:AL29,增益!$A:$A,增益!$L:$L,0))</f>
        <v>0.02</v>
      </c>
      <c r="BG29">
        <f t="shared" si="5"/>
        <v>0</v>
      </c>
      <c r="BH29">
        <f t="shared" si="6"/>
        <v>0</v>
      </c>
      <c r="BI29" s="29" cm="1">
        <f t="array" ref="BI29">IF($F$13-$I$4+VLOOKUP($R29,武学奇术!$A:$ZZ,13,FALSE)+SUM(_xlfn.XLOOKUP(S29:AL29,增益!$A:$A,增益!$M:$M,0))&gt;0,($F$13-$I$4+VLOOKUP($R29,武学奇术!$A:$ZZ,13,FALSE)+SUM(_xlfn.XLOOKUP(S29:AL29,增益!$A:$A,增益!$K:$K,0)))/200,($F$13-$I$4+VLOOKUP($R29,武学奇术!$A:$ZZ,13,FALSE)+SUM(_xlfn.XLOOKUP(S29:AL29,增益!$A:$A,增益!$M:$M,0)))/100)</f>
        <v>-0.14</v>
      </c>
      <c r="BJ29" s="29" cm="1">
        <f t="array" ref="BJ29">$G$13+VLOOKUP($R29,武学奇术!$A:$ZZ,14,FALSE)+SUM(_xlfn.XLOOKUP(S29:AL29,增益!$A:$A,增益!$N:$N,0))</f>
        <v>0.02</v>
      </c>
      <c r="BK29">
        <f t="shared" si="7"/>
        <v>618.2</v>
      </c>
      <c r="BL29">
        <f t="shared" si="8"/>
        <v>1805</v>
      </c>
      <c r="BM29" s="29" cm="1">
        <f t="array" ref="BM29">IF($F$14-$I$4+VLOOKUP($R29,武学奇术!$A:$ZZ,15,FALSE)+SUM(_xlfn.XLOOKUP(S29:AL29,增益!$A:$A,增益!$O:$O,0))&gt;0,($F$14-$I$4+VLOOKUP($R29,武学奇术!$A:$ZZ,15,FALSE)+SUM(_xlfn.XLOOKUP(S29:AL29,增益!$A:$A,增益!$O:$O,0)))/200,($F$14-$I$4+VLOOKUP($R29,武学奇术!$A:$ZZ,15,FALSE)+SUM(_xlfn.XLOOKUP(S29:AL29,增益!$A:$A,增益!$O:$O,0)))/100)</f>
        <v>0.13</v>
      </c>
      <c r="BN29" s="29" cm="1">
        <f t="array" ref="BN29">$G$14+VLOOKUP($R29,武学奇术!$A:$ZZ,16,FALSE)+SUM(_xlfn.XLOOKUP(S29:AL29,增益!$A:$A,增益!$P:$P,0))</f>
        <v>0.23</v>
      </c>
      <c r="BO29" s="23">
        <f>MIN(IF(VLOOKUP($R29,武学奇术!$A:$ZZ,23,FALSE)=1,100%,$B$8),100%)</f>
        <v>0.9943</v>
      </c>
      <c r="BP29" s="23" cm="1">
        <f t="array" ref="BP29">IF(VLOOKUP($R29,武学奇术!$A:$ZZ,23,FALSE)=1,100%,MIN(80%,$B$9+VLOOKUP($R29,武学奇术!$A:$ZZ,17,FALSE)+SUM(_xlfn.XLOOKUP(S29:AL29,增益!$A:$A,增益!$Q:$Q,0)))+$B$11+SUM(_xlfn.XLOOKUP(S29:AL29,增益!$A:$A,增益!$U:$U,0)))*IF(VLOOKUP($R29,武学奇术!$A:$ZZ,24,FALSE)=1,0,1)</f>
        <v>0.887</v>
      </c>
      <c r="BQ29" s="23" cm="1">
        <f t="array" ref="BQ29">1+$B$13+VLOOKUP($R29,武学奇术!$A:$ZZ,18,FALSE)+SUM(_xlfn.XLOOKUP(S29:AL29,增益!$A:$A,增益!$R:$R,0))</f>
        <v>2.334</v>
      </c>
      <c r="BR29" s="23" cm="1">
        <f t="array" ref="BR29">IF(VLOOKUP($R29,武学奇术!$A:$ZZ,24,FALSE)=1,100%,MIN(40%,$B$10+VLOOKUP($R29,武学奇术!$A:$ZZ,19,FALSE)+SUM(_xlfn.XLOOKUP(S29:AL29,增益!$A:$A,增益!$S:$S,0)))+$B$12+SUM(_xlfn.XLOOKUP(S29:AL29,增益!$A:$A,增益!$V:$V,0)))*IF(VLOOKUP($R29,武学奇术!$A:$ZZ,23,FALSE)=1,0,1)</f>
        <v>0.0913</v>
      </c>
      <c r="BS29" s="23" cm="1">
        <f t="array" ref="BS29">1+$B$14+VLOOKUP($R29,武学奇术!$A:$ZZ,20,FALSE)+SUM(_xlfn.XLOOKUP(S29:AL29,增益!$A:$A,增益!$T:$T,0))</f>
        <v>1.35</v>
      </c>
      <c r="BT29" s="23">
        <f t="shared" si="9"/>
        <v>0.8819441</v>
      </c>
      <c r="BU29" s="23">
        <f t="shared" si="10"/>
        <v>0.0215763099999999</v>
      </c>
      <c r="BV29" s="23">
        <f>IF(VLOOKUP($R29,武学奇术!$A:$ZZ,22,FALSE)=1,0,(1-$BO29))*(1-$BR29)</f>
        <v>0.00517958999999993</v>
      </c>
      <c r="BW29" s="23" cm="1">
        <f t="array" ref="BW29">SUM(_xlfn.XLOOKUP(S29:AL29,增益!$A:$A,增益!$W:$W,0))+$I$5</f>
        <v>0.11</v>
      </c>
      <c r="BX29" s="23">
        <f>VLOOKUP($R29,武学奇术!$A:$ZZ,32,FALSE)</f>
        <v>0.1</v>
      </c>
      <c r="BY29" s="23" cm="1">
        <f t="array" ref="BY29">SUM(_xlfn.XLOOKUP($S29:$AL29,增益!$A:$A,增益!$X:$X,0))</f>
        <v>0</v>
      </c>
    </row>
    <row r="30" spans="1:77">
      <c r="A30" s="4" t="s">
        <v>165</v>
      </c>
      <c r="B30" s="4">
        <v>1.5</v>
      </c>
      <c r="C30" s="36"/>
      <c r="H30">
        <v>43</v>
      </c>
      <c r="K30" s="35">
        <f>$L30*VLOOKUP($R30,武学奇术!$A:$ZZ,31,FALSE)</f>
        <v>67595.1918738537</v>
      </c>
      <c r="L30" s="69">
        <f t="shared" si="0"/>
        <v>66269.7959547586</v>
      </c>
      <c r="M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轻击",$B$21,0))*(1+IF(VLOOKUP($R30,武学奇术!$A:$ZZ,30,FALSE)="老鼠",$B$22,0))*(1+$BW30)*(1+$BX30)</f>
        <v>69535.347253502</v>
      </c>
      <c r="N30" s="35">
        <f>(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轻击",$B$21,0))*(1+IF(VLOOKUP($R30,武学奇术!$A:$ZZ,30,FALSE)="老鼠",$B$22,0))*(1+$BW30))*(1+$BX30)</f>
        <v>45642.8570246724</v>
      </c>
      <c r="O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轻击",$B$21,0))*(1+IF(VLOOKUP($R30,武学奇术!$A:$ZZ,30,FALSE)="老鼠",$B$22,0))*(1+$BW30)*(1+$BX30)</f>
        <v>29792.3510083556</v>
      </c>
      <c r="P30" s="35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轻击",$B$21,0))*(1+IF(VLOOKUP($R30,武学奇术!$A:$ZZ,30,FALSE)="老鼠",$B$22,0))*(1+$BW30)*(1+$BX30)</f>
        <v>25775.1782947317</v>
      </c>
      <c r="Q30" s="70">
        <v>2</v>
      </c>
      <c r="R30" s="37" t="s">
        <v>106</v>
      </c>
      <c r="S30" s="37" t="s">
        <v>91</v>
      </c>
      <c r="T30" s="37" t="s">
        <v>95</v>
      </c>
      <c r="U30" s="37" t="s">
        <v>112</v>
      </c>
      <c r="V30" s="37" t="s">
        <v>113</v>
      </c>
      <c r="W30" s="37" t="s">
        <v>82</v>
      </c>
      <c r="X30" s="37" t="s">
        <v>81</v>
      </c>
      <c r="Y30" s="37" t="s">
        <v>109</v>
      </c>
      <c r="Z30" s="37" t="s">
        <v>83</v>
      </c>
      <c r="AA30" s="37" t="s">
        <v>84</v>
      </c>
      <c r="AB30" s="37" t="s">
        <v>81</v>
      </c>
      <c r="AC30" s="37" t="s">
        <v>81</v>
      </c>
      <c r="AD30" s="37" t="s">
        <v>85</v>
      </c>
      <c r="AE30" s="37" t="s">
        <v>86</v>
      </c>
      <c r="AF30" s="37" t="s">
        <v>81</v>
      </c>
      <c r="AG30" s="37" t="s">
        <v>87</v>
      </c>
      <c r="AH30" s="37" t="s">
        <v>88</v>
      </c>
      <c r="AI30" s="37" t="s">
        <v>81</v>
      </c>
      <c r="AJ30" s="37" t="s">
        <v>81</v>
      </c>
      <c r="AK30" s="37" t="s">
        <v>81</v>
      </c>
      <c r="AL30" s="37" t="s">
        <v>81</v>
      </c>
      <c r="AM30" t="str">
        <f>VLOOKUP($R30,武学奇术!$A:$ZZ,25,FALSE)</f>
        <v>绳镖</v>
      </c>
      <c r="AN30" s="23">
        <f>VLOOKUP($R30,武学奇术!$A:$ZZ,26,FALSE)</f>
        <v>0.3675</v>
      </c>
      <c r="AO30" s="24">
        <f>VLOOKUP($R30,武学奇术!$A:$ZZ,27,FALSE)*(1+IF(OR($AM30=$F$4,$AM30=$F$5),$B$23,0))</f>
        <v>0</v>
      </c>
      <c r="AP30" s="23">
        <f>VLOOKUP($R30,武学奇术!$A:$ZZ,28,FALSE)</f>
        <v>0.55125</v>
      </c>
      <c r="AQ30" s="24">
        <f>VLOOKUP($R30,武学奇术!$A:$ZZ,29,FALSE)*(1+IF(OR($AM30=$F$4,$AM30=$F$5),$B$23,0))</f>
        <v>0</v>
      </c>
      <c r="AR30" s="23" cm="1">
        <f t="array" ref="AR30">$G$3+IFERROR(VLOOKUP($AM30,$F$4:$G$7,2,FALSE),0)+VLOOKUP($R30,武学奇术!$A:$ZZ,2,FALSE)+SUM(_xlfn.XLOOKUP($S30:$AL30,增益!$A:$A,增益!$B:$B,0))</f>
        <v>1.5743</v>
      </c>
      <c r="AS30" s="23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4150.4</v>
      </c>
      <c r="AU30" cm="1">
        <f t="array" ref="AU30">$E$10*(1+$AS30)+VLOOKUP($R30,武学奇术!$A:$ZZ,4,FALSE)+SUM(_xlfn.XLOOKUP($S30:$AL30,增益!$A:$A,增益!$D:$D,0))-$I$2</f>
        <v>4150.4</v>
      </c>
      <c r="AV30" s="29" cm="1">
        <f t="array" ref="AV30">IF($F$10-$I$3+VLOOKUP($R30,武学奇术!$A:$ZZ,6,FALSE)+SUM(_xlfn.XLOOKUP(S30:AL30,增益!$A:$A,增益!$F:$F,0))&gt;0,($F$10-$I$3+VLOOKUP($R30,武学奇术!$A:$ZZ,6,FALSE)+SUM(_xlfn.XLOOKUP(S30:AL30,增益!$A:$A,增益!$F:$F,0)))/200,($F$10-$I$3+VLOOKUP($R30,武学奇术!$A:$ZZ,6,FALSE)+SUM(_xlfn.XLOOKUP(S30:AL30,增益!$A:$A,增益!$F:$F,0)))/100)</f>
        <v>0.4539</v>
      </c>
      <c r="AW30" s="29" cm="1">
        <f t="array" ref="AW30">$G$10+VLOOKUP($R30,武学奇术!$A:$ZZ,7,FALSE)+SUM(_xlfn.XLOOKUP(S30:AL30,增益!$A:$A,增益!$G:$G,0))</f>
        <v>0.29</v>
      </c>
      <c r="AX30" s="23" cm="1">
        <f t="array" ref="AX30">VLOOKUP($R30,武学奇术!$A:$ZZ,8,FALSE)+SUM(_xlfn.XLOOKUP(S30:AL30,增益!$A:$A,增益!$H:$H,0))</f>
        <v>0</v>
      </c>
      <c r="AY30">
        <f t="shared" si="1"/>
        <v>0</v>
      </c>
      <c r="AZ30">
        <f t="shared" si="2"/>
        <v>0</v>
      </c>
      <c r="BA30" s="29" cm="1">
        <f t="array" ref="BA30">IF($F$11-$I$4+VLOOKUP($R30,武学奇术!$A:$ZZ,9,FALSE)+SUM(_xlfn.XLOOKUP(S30:AL30,增益!$A:$A,增益!$I:$I,0))&gt;0,($F$11-$I$4+VLOOKUP($R30,武学奇术!$A:$ZZ,9,FALSE)+SUM(_xlfn.XLOOKUP(S30:AL30,增益!$A:$A,增益!$I:$I,0)))/200,($F$11-$I$4+VLOOKUP($R30,武学奇术!$A:$ZZ,9,FALSE)+SUM(_xlfn.XLOOKUP(S30:AL30,增益!$A:$A,增益!$I:$I,0)))/100)</f>
        <v>-0.14</v>
      </c>
      <c r="BB30" s="29" cm="1">
        <f t="array" ref="BB30">$G$11+VLOOKUP($R30,武学奇术!$A:$ZZ,10,FALSE)+SUM(_xlfn.XLOOKUP(S30:AL30,增益!$A:$A,增益!$J:$J,0))</f>
        <v>0.02</v>
      </c>
      <c r="BC30">
        <f t="shared" si="3"/>
        <v>0</v>
      </c>
      <c r="BD30">
        <f t="shared" si="4"/>
        <v>0</v>
      </c>
      <c r="BE30" s="29" cm="1">
        <f t="array" ref="BE30">IF($F$12-$I$4+VLOOKUP($R30,武学奇术!$A:$ZZ,11,FALSE)+SUM(_xlfn.XLOOKUP(S30:AL30,增益!$A:$A,增益!$K:$K,0))&gt;0,($F$12-$I$4+VLOOKUP($R30,武学奇术!$A:$ZZ,11,FALSE)+SUM(_xlfn.XLOOKUP(S30:AL30,增益!$A:$A,增益!$K:$K,0)))/200,($F$12-$I$4+VLOOKUP($R30,武学奇术!$A:$ZZ,11,FALSE)+SUM(_xlfn.XLOOKUP(S30:AL30,增益!$A:$A,增益!$K:$K,0)))/100)</f>
        <v>-0.14</v>
      </c>
      <c r="BF30" s="29" cm="1">
        <f t="array" ref="BF30">$G$12+VLOOKUP($R30,武学奇术!$A:$ZZ,12,FALSE)+SUM(_xlfn.XLOOKUP(S30:AL30,增益!$A:$A,增益!$L:$L,0))</f>
        <v>0.02</v>
      </c>
      <c r="BG30">
        <f t="shared" si="5"/>
        <v>0</v>
      </c>
      <c r="BH30">
        <f t="shared" si="6"/>
        <v>0</v>
      </c>
      <c r="BI30" s="29" cm="1">
        <f t="array" ref="BI30">IF($F$13-$I$4+VLOOKUP($R30,武学奇术!$A:$ZZ,13,FALSE)+SUM(_xlfn.XLOOKUP(S30:AL30,增益!$A:$A,增益!$M:$M,0))&gt;0,($F$13-$I$4+VLOOKUP($R30,武学奇术!$A:$ZZ,13,FALSE)+SUM(_xlfn.XLOOKUP(S30:AL30,增益!$A:$A,增益!$K:$K,0)))/200,($F$13-$I$4+VLOOKUP($R30,武学奇术!$A:$ZZ,13,FALSE)+SUM(_xlfn.XLOOKUP(S30:AL30,增益!$A:$A,增益!$M:$M,0)))/100)</f>
        <v>-0.14</v>
      </c>
      <c r="BJ30" s="29" cm="1">
        <f t="array" ref="BJ30">$G$13+VLOOKUP($R30,武学奇术!$A:$ZZ,14,FALSE)+SUM(_xlfn.XLOOKUP(S30:AL30,增益!$A:$A,增益!$N:$N,0))</f>
        <v>0.02</v>
      </c>
      <c r="BK30">
        <f t="shared" si="7"/>
        <v>618.2</v>
      </c>
      <c r="BL30">
        <f t="shared" si="8"/>
        <v>1805</v>
      </c>
      <c r="BM30" s="29" cm="1">
        <f t="array" ref="BM30">IF($F$14-$I$4+VLOOKUP($R30,武学奇术!$A:$ZZ,15,FALSE)+SUM(_xlfn.XLOOKUP(S30:AL30,增益!$A:$A,增益!$O:$O,0))&gt;0,($F$14-$I$4+VLOOKUP($R30,武学奇术!$A:$ZZ,15,FALSE)+SUM(_xlfn.XLOOKUP(S30:AL30,增益!$A:$A,增益!$O:$O,0)))/200,($F$14-$I$4+VLOOKUP($R30,武学奇术!$A:$ZZ,15,FALSE)+SUM(_xlfn.XLOOKUP(S30:AL30,增益!$A:$A,增益!$O:$O,0)))/100)</f>
        <v>0.13</v>
      </c>
      <c r="BN30" s="29" cm="1">
        <f t="array" ref="BN30">$G$14+VLOOKUP($R30,武学奇术!$A:$ZZ,16,FALSE)+SUM(_xlfn.XLOOKUP(S30:AL30,增益!$A:$A,增益!$P:$P,0))</f>
        <v>0.44</v>
      </c>
      <c r="BO30" s="23">
        <f>MIN(IF(VLOOKUP($R30,武学奇术!$A:$ZZ,23,FALSE)=1,100%,$B$8),100%)</f>
        <v>0.9943</v>
      </c>
      <c r="BP30" s="23" cm="1">
        <f t="array" ref="BP30">IF(VLOOKUP($R30,武学奇术!$A:$ZZ,23,FALSE)=1,100%,MIN(80%,$B$9+VLOOKUP($R30,武学奇术!$A:$ZZ,17,FALSE)+SUM(_xlfn.XLOOKUP(S30:AL30,增益!$A:$A,增益!$Q:$Q,0)))+$B$11+SUM(_xlfn.XLOOKUP(S30:AL30,增益!$A:$A,增益!$U:$U,0)))*IF(VLOOKUP($R30,武学奇术!$A:$ZZ,24,FALSE)=1,0,1)</f>
        <v>0.887</v>
      </c>
      <c r="BQ30" s="23" cm="1">
        <f t="array" ref="BQ30">1+$B$13+VLOOKUP($R30,武学奇术!$A:$ZZ,18,FALSE)+SUM(_xlfn.XLOOKUP(S30:AL30,增益!$A:$A,增益!$R:$R,0))</f>
        <v>2.334</v>
      </c>
      <c r="BR30" s="23" cm="1">
        <f t="array" ref="BR30">IF(VLOOKUP($R30,武学奇术!$A:$ZZ,24,FALSE)=1,100%,MIN(40%,$B$10+VLOOKUP($R30,武学奇术!$A:$ZZ,19,FALSE)+SUM(_xlfn.XLOOKUP(S30:AL30,增益!$A:$A,增益!$S:$S,0)))+$B$12+SUM(_xlfn.XLOOKUP(S30:AL30,增益!$A:$A,增益!$V:$V,0)))*IF(VLOOKUP($R30,武学奇术!$A:$ZZ,23,FALSE)=1,0,1)</f>
        <v>0.0913</v>
      </c>
      <c r="BS30" s="23" cm="1">
        <f t="array" ref="BS30">1+$B$14+VLOOKUP($R30,武学奇术!$A:$ZZ,20,FALSE)+SUM(_xlfn.XLOOKUP(S30:AL30,增益!$A:$A,增益!$T:$T,0))</f>
        <v>1.35</v>
      </c>
      <c r="BT30" s="23">
        <f t="shared" si="9"/>
        <v>0.8819441</v>
      </c>
      <c r="BU30" s="23">
        <f t="shared" si="10"/>
        <v>0.0215763099999999</v>
      </c>
      <c r="BV30" s="23">
        <f>IF(VLOOKUP($R30,武学奇术!$A:$ZZ,22,FALSE)=1,0,(1-$BO30))*(1-$BR30)</f>
        <v>0.00517958999999993</v>
      </c>
      <c r="BW30" s="23" cm="1">
        <f t="array" ref="BW30">SUM(_xlfn.XLOOKUP(S30:AL30,增益!$A:$A,增益!$W:$W,0))+$I$5</f>
        <v>0.11</v>
      </c>
      <c r="BX30" s="23">
        <f>VLOOKUP($R30,武学奇术!$A:$ZZ,32,FALSE)</f>
        <v>0</v>
      </c>
      <c r="BY30" s="23" cm="1">
        <f t="array" ref="BY30">SUM(_xlfn.XLOOKUP($S30:$AL30,增益!$A:$A,增益!$X:$X,0))</f>
        <v>0</v>
      </c>
    </row>
    <row r="31" spans="1:77">
      <c r="A31" s="4" t="s">
        <v>102</v>
      </c>
      <c r="B31" s="4">
        <v>1</v>
      </c>
      <c r="E31" s="4"/>
      <c r="F31" s="4"/>
      <c r="H31">
        <v>63</v>
      </c>
      <c r="K31" s="35">
        <f>$L31*VLOOKUP($R31,武学奇术!$A:$ZZ,31,FALSE)</f>
        <v>81183.1983312638</v>
      </c>
      <c r="L31" s="58">
        <f t="shared" si="0"/>
        <v>72484.9985100569</v>
      </c>
      <c r="M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轻击",$B$21,0))*(1+IF(VLOOKUP($R31,武学奇术!$A:$ZZ,30,FALSE)="老鼠",$B$22,0))*(1+$BW31)*(1+$BX31)</f>
        <v>75410.1026381635</v>
      </c>
      <c r="N31" s="35">
        <f>(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轻击",$B$21,0))*(1+IF(VLOOKUP($R31,武学奇术!$A:$ZZ,30,FALSE)="老鼠",$B$22,0))*(1+$BW31))*(1+$BX31)</f>
        <v>55130.6767299225</v>
      </c>
      <c r="O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轻击",$B$21,0))*(1+IF(VLOOKUP($R31,武学奇术!$A:$ZZ,30,FALSE)="老鼠",$B$22,0))*(1+$BW31)*(1+$BX31)</f>
        <v>36185.2699799249</v>
      </c>
      <c r="P31" s="35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轻击",$B$21,0))*(1+IF(VLOOKUP($R31,武学奇术!$A:$ZZ,30,FALSE)="老鼠",$B$22,0))*(1+$BW31)*(1+$BX31)</f>
        <v>31533.0016413887</v>
      </c>
      <c r="Q31" s="36">
        <v>1</v>
      </c>
      <c r="R31" s="37" t="s">
        <v>153</v>
      </c>
      <c r="S31" s="37" t="s">
        <v>91</v>
      </c>
      <c r="T31" s="37" t="s">
        <v>95</v>
      </c>
      <c r="U31" s="37" t="s">
        <v>112</v>
      </c>
      <c r="V31" s="37" t="s">
        <v>113</v>
      </c>
      <c r="W31" s="37" t="s">
        <v>82</v>
      </c>
      <c r="X31" s="37" t="s">
        <v>81</v>
      </c>
      <c r="Y31" s="37" t="s">
        <v>109</v>
      </c>
      <c r="Z31" s="37" t="s">
        <v>83</v>
      </c>
      <c r="AA31" s="37" t="s">
        <v>84</v>
      </c>
      <c r="AB31" s="37" t="s">
        <v>81</v>
      </c>
      <c r="AC31" s="37" t="s">
        <v>81</v>
      </c>
      <c r="AD31" s="37" t="s">
        <v>85</v>
      </c>
      <c r="AE31" s="37" t="s">
        <v>81</v>
      </c>
      <c r="AF31" s="37" t="s">
        <v>81</v>
      </c>
      <c r="AG31" s="37" t="s">
        <v>87</v>
      </c>
      <c r="AH31" s="37" t="s">
        <v>88</v>
      </c>
      <c r="AI31" s="37" t="s">
        <v>81</v>
      </c>
      <c r="AJ31" s="37" t="s">
        <v>81</v>
      </c>
      <c r="AK31" s="37" t="s">
        <v>81</v>
      </c>
      <c r="AL31" s="37" t="s">
        <v>81</v>
      </c>
      <c r="AM31" t="str">
        <f>VLOOKUP($R31,武学奇术!$A:$ZZ,25,FALSE)</f>
        <v>双刀</v>
      </c>
      <c r="AN31" s="23">
        <f>VLOOKUP($R31,武学奇术!$A:$ZZ,26,FALSE)</f>
        <v>1.7358</v>
      </c>
      <c r="AO31" s="24">
        <f>VLOOKUP($R31,武学奇术!$A:$ZZ,27,FALSE)*(1+IF(OR($AM31=$F$4,$AM31=$F$5),$B$23,0))</f>
        <v>769.6</v>
      </c>
      <c r="AP31" s="23">
        <f>VLOOKUP($R31,武学奇术!$A:$ZZ,28,FALSE)</f>
        <v>2.6037</v>
      </c>
      <c r="AQ31" s="24">
        <f>VLOOKUP($R31,武学奇术!$A:$ZZ,29,FALSE)*(1+IF(OR($AM31=$F$4,$AM31=$F$5),$B$23,0))</f>
        <v>419.2</v>
      </c>
      <c r="AR31" s="23" cm="1">
        <f t="array" ref="AR31">$G$3+IFERROR(VLOOKUP($AM31,$F$4:$G$7,2,FALSE),0)+VLOOKUP($R31,武学奇术!$A:$ZZ,2,FALSE)+SUM(_xlfn.XLOOKUP($S31:$AL31,增益!$A:$A,增益!$B:$B,0))</f>
        <v>0.7743</v>
      </c>
      <c r="AS31" s="23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4150.4</v>
      </c>
      <c r="AU31" cm="1">
        <f t="array" ref="AU31">$E$10*(1+$AS31)+VLOOKUP($R31,武学奇术!$A:$ZZ,4,FALSE)+SUM(_xlfn.XLOOKUP($S31:$AL31,增益!$A:$A,增益!$D:$D,0))-$I$2</f>
        <v>4150.4</v>
      </c>
      <c r="AV31" s="29" cm="1">
        <f t="array" ref="AV31">IF($F$10-$I$3+VLOOKUP($R31,武学奇术!$A:$ZZ,6,FALSE)+SUM(_xlfn.XLOOKUP(S31:AL31,增益!$A:$A,增益!$F:$F,0))&gt;0,($F$10-$I$3+VLOOKUP($R31,武学奇术!$A:$ZZ,6,FALSE)+SUM(_xlfn.XLOOKUP(S31:AL31,增益!$A:$A,增益!$F:$F,0)))/200,($F$10-$I$3+VLOOKUP($R31,武学奇术!$A:$ZZ,6,FALSE)+SUM(_xlfn.XLOOKUP(S31:AL31,增益!$A:$A,增益!$F:$F,0)))/100)</f>
        <v>0.3289</v>
      </c>
      <c r="AW31" s="29" cm="1">
        <f t="array" ref="AW31">$G$10+VLOOKUP($R31,武学奇术!$A:$ZZ,7,FALSE)+SUM(_xlfn.XLOOKUP(S31:AL31,增益!$A:$A,增益!$G:$G,0))</f>
        <v>0.08</v>
      </c>
      <c r="AX31" s="23" cm="1">
        <f t="array" ref="AX31">VLOOKUP($R31,武学奇术!$A:$ZZ,8,FALSE)+SUM(_xlfn.XLOOKUP(S31:AL31,增益!$A:$A,增益!$H:$H,0))</f>
        <v>0</v>
      </c>
      <c r="AY31">
        <f t="shared" si="1"/>
        <v>0</v>
      </c>
      <c r="AZ31">
        <f t="shared" si="2"/>
        <v>0</v>
      </c>
      <c r="BA31" s="29" cm="1">
        <f t="array" ref="BA31">IF($F$11-$I$4+VLOOKUP($R31,武学奇术!$A:$ZZ,9,FALSE)+SUM(_xlfn.XLOOKUP(S31:AL31,增益!$A:$A,增益!$I:$I,0))&gt;0,($F$11-$I$4+VLOOKUP($R31,武学奇术!$A:$ZZ,9,FALSE)+SUM(_xlfn.XLOOKUP(S31:AL31,增益!$A:$A,增益!$I:$I,0)))/200,($F$11-$I$4+VLOOKUP($R31,武学奇术!$A:$ZZ,9,FALSE)+SUM(_xlfn.XLOOKUP(S31:AL31,增益!$A:$A,增益!$I:$I,0)))/100)</f>
        <v>-0.14</v>
      </c>
      <c r="BB31" s="29" cm="1">
        <f t="array" ref="BB31">$G$11+VLOOKUP($R31,武学奇术!$A:$ZZ,10,FALSE)+SUM(_xlfn.XLOOKUP(S31:AL31,增益!$A:$A,增益!$J:$J,0))</f>
        <v>0.02</v>
      </c>
      <c r="BC31">
        <f t="shared" si="3"/>
        <v>0</v>
      </c>
      <c r="BD31">
        <f t="shared" si="4"/>
        <v>0</v>
      </c>
      <c r="BE31" s="29" cm="1">
        <f t="array" ref="BE31">IF($F$12-$I$4+VLOOKUP($R31,武学奇术!$A:$ZZ,11,FALSE)+SUM(_xlfn.XLOOKUP(S31:AL31,增益!$A:$A,增益!$K:$K,0))&gt;0,($F$12-$I$4+VLOOKUP($R31,武学奇术!$A:$ZZ,11,FALSE)+SUM(_xlfn.XLOOKUP(S31:AL31,增益!$A:$A,增益!$K:$K,0)))/200,($F$12-$I$4+VLOOKUP($R31,武学奇术!$A:$ZZ,11,FALSE)+SUM(_xlfn.XLOOKUP(S31:AL31,增益!$A:$A,增益!$K:$K,0)))/100)</f>
        <v>-0.14</v>
      </c>
      <c r="BF31" s="29" cm="1">
        <f t="array" ref="BF31">$G$12+VLOOKUP($R31,武学奇术!$A:$ZZ,12,FALSE)+SUM(_xlfn.XLOOKUP(S31:AL31,增益!$A:$A,增益!$L:$L,0))</f>
        <v>0.02</v>
      </c>
      <c r="BG31">
        <f t="shared" si="5"/>
        <v>0</v>
      </c>
      <c r="BH31">
        <f t="shared" si="6"/>
        <v>0</v>
      </c>
      <c r="BI31" s="29" cm="1">
        <f t="array" ref="BI31">IF($F$13-$I$4+VLOOKUP($R31,武学奇术!$A:$ZZ,13,FALSE)+SUM(_xlfn.XLOOKUP(S31:AL31,增益!$A:$A,增益!$M:$M,0))&gt;0,($F$13-$I$4+VLOOKUP($R31,武学奇术!$A:$ZZ,13,FALSE)+SUM(_xlfn.XLOOKUP(S31:AL31,增益!$A:$A,增益!$K:$K,0)))/200,($F$13-$I$4+VLOOKUP($R31,武学奇术!$A:$ZZ,13,FALSE)+SUM(_xlfn.XLOOKUP(S31:AL31,增益!$A:$A,增益!$M:$M,0)))/100)</f>
        <v>-0.14</v>
      </c>
      <c r="BJ31" s="29" cm="1">
        <f t="array" ref="BJ31">$G$13+VLOOKUP($R31,武学奇术!$A:$ZZ,14,FALSE)+SUM(_xlfn.XLOOKUP(S31:AL31,增益!$A:$A,增益!$N:$N,0))</f>
        <v>0.02</v>
      </c>
      <c r="BK31">
        <f t="shared" si="7"/>
        <v>618.2</v>
      </c>
      <c r="BL31">
        <f t="shared" si="8"/>
        <v>1805</v>
      </c>
      <c r="BM31" s="29" cm="1">
        <f t="array" ref="BM31">IF($F$14-$I$4+VLOOKUP($R31,武学奇术!$A:$ZZ,15,FALSE)+SUM(_xlfn.XLOOKUP(S31:AL31,增益!$A:$A,增益!$O:$O,0))&gt;0,($F$14-$I$4+VLOOKUP($R31,武学奇术!$A:$ZZ,15,FALSE)+SUM(_xlfn.XLOOKUP(S31:AL31,增益!$A:$A,增益!$O:$O,0)))/200,($F$14-$I$4+VLOOKUP($R31,武学奇术!$A:$ZZ,15,FALSE)+SUM(_xlfn.XLOOKUP(S31:AL31,增益!$A:$A,增益!$O:$O,0)))/100)</f>
        <v>0.13</v>
      </c>
      <c r="BN31" s="29" cm="1">
        <f t="array" ref="BN31">$G$14+VLOOKUP($R31,武学奇术!$A:$ZZ,16,FALSE)+SUM(_xlfn.XLOOKUP(S31:AL31,增益!$A:$A,增益!$P:$P,0))</f>
        <v>0.23</v>
      </c>
      <c r="BO31" s="23">
        <f>MIN(IF(VLOOKUP($R31,武学奇术!$A:$ZZ,23,FALSE)=1,100%,$B$8),100%)</f>
        <v>0.9943</v>
      </c>
      <c r="BP31" s="23" cm="1">
        <f t="array" ref="BP31">IF(VLOOKUP($R31,武学奇术!$A:$ZZ,23,FALSE)=1,100%,MIN(80%,$B$9+VLOOKUP($R31,武学奇术!$A:$ZZ,17,FALSE)+SUM(_xlfn.XLOOKUP(S31:AL31,增益!$A:$A,增益!$Q:$Q,0)))+$B$11+SUM(_xlfn.XLOOKUP(S31:AL31,增益!$A:$A,增益!$U:$U,0)))*IF(VLOOKUP($R31,武学奇术!$A:$ZZ,24,FALSE)=1,0,1)</f>
        <v>0.887</v>
      </c>
      <c r="BQ31" s="23" cm="1">
        <f t="array" ref="BQ31">1+$B$13+VLOOKUP($R31,武学奇术!$A:$ZZ,18,FALSE)+SUM(_xlfn.XLOOKUP(S31:AL31,增益!$A:$A,增益!$R:$R,0))</f>
        <v>2.084</v>
      </c>
      <c r="BR31" s="23" cm="1">
        <f t="array" ref="BR31">IF(VLOOKUP($R31,武学奇术!$A:$ZZ,24,FALSE)=1,100%,MIN(40%,$B$10+VLOOKUP($R31,武学奇术!$A:$ZZ,19,FALSE)+SUM(_xlfn.XLOOKUP(S31:AL31,增益!$A:$A,增益!$S:$S,0)))+$B$12+SUM(_xlfn.XLOOKUP(S31:AL31,增益!$A:$A,增益!$V:$V,0)))*IF(VLOOKUP($R31,武学奇术!$A:$ZZ,23,FALSE)=1,0,1)</f>
        <v>0.0913</v>
      </c>
      <c r="BS31" s="23" cm="1">
        <f t="array" ref="BS31">1+$B$14+VLOOKUP($R31,武学奇术!$A:$ZZ,20,FALSE)+SUM(_xlfn.XLOOKUP(S31:AL31,增益!$A:$A,增益!$T:$T,0))</f>
        <v>1.35</v>
      </c>
      <c r="BT31" s="23">
        <f t="shared" si="9"/>
        <v>0.8819441</v>
      </c>
      <c r="BU31" s="23">
        <f t="shared" si="10"/>
        <v>0.0215763099999999</v>
      </c>
      <c r="BV31" s="23">
        <f>IF(VLOOKUP($R31,武学奇术!$A:$ZZ,22,FALSE)=1,0,(1-$BO31))*(1-$BR31)</f>
        <v>0.00517958999999993</v>
      </c>
      <c r="BW31" s="23" cm="1">
        <f t="array" ref="BW31">SUM(_xlfn.XLOOKUP(S31:AL31,增益!$A:$A,增益!$W:$W,0))+$I$5</f>
        <v>0.11</v>
      </c>
      <c r="BX31" s="23">
        <f>VLOOKUP($R31,武学奇术!$A:$ZZ,32,FALSE)</f>
        <v>0.1</v>
      </c>
      <c r="BY31" s="23" cm="1">
        <f t="array" ref="BY31">SUM(_xlfn.XLOOKUP($S31:$AL31,增益!$A:$A,增益!$X:$X,0))</f>
        <v>0</v>
      </c>
    </row>
    <row r="32" spans="1:77">
      <c r="A32" s="4" t="s">
        <v>166</v>
      </c>
      <c r="B32" s="4">
        <v>1.5</v>
      </c>
      <c r="H32">
        <v>83</v>
      </c>
      <c r="K32" s="35">
        <f>$L32*VLOOKUP($R32,武学奇术!$A:$ZZ,31,FALSE)</f>
        <v>57131.0748857806</v>
      </c>
      <c r="L32" s="69">
        <f t="shared" si="0"/>
        <v>56010.8577311575</v>
      </c>
      <c r="M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轻击",$B$21,0))*(1+IF(VLOOKUP($R32,武学奇术!$A:$ZZ,30,FALSE)="老鼠",$B$22,0))*(1+$BW32)*(1+$BX32)</f>
        <v>58218.888136378</v>
      </c>
      <c r="N32" s="35">
        <f>(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轻击",$B$21,0))*(1+IF(VLOOKUP($R32,武学奇术!$A:$ZZ,30,FALSE)="老鼠",$B$22,0))*(1+$BW32))*(1+$BX32)</f>
        <v>43136.9542690115</v>
      </c>
      <c r="O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轻击",$B$21,0))*(1+IF(VLOOKUP($R32,武学奇术!$A:$ZZ,30,FALSE)="老鼠",$B$22,0))*(1+$BW32)*(1+$BX32)</f>
        <v>27936.126744903</v>
      </c>
      <c r="P32" s="35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轻击",$B$21,0))*(1+IF(VLOOKUP($R32,武学奇术!$A:$ZZ,30,FALSE)="老鼠",$B$22,0))*(1+$BW32)*(1+$BX32)</f>
        <v>23918.9540312791</v>
      </c>
      <c r="Q32" s="70">
        <v>2</v>
      </c>
      <c r="R32" s="37" t="s">
        <v>106</v>
      </c>
      <c r="S32" s="37" t="s">
        <v>91</v>
      </c>
      <c r="T32" s="37" t="s">
        <v>95</v>
      </c>
      <c r="U32" s="37" t="s">
        <v>112</v>
      </c>
      <c r="V32" s="37" t="s">
        <v>113</v>
      </c>
      <c r="W32" s="37" t="s">
        <v>82</v>
      </c>
      <c r="X32" s="37" t="s">
        <v>81</v>
      </c>
      <c r="Y32" s="37" t="s">
        <v>109</v>
      </c>
      <c r="Z32" s="37" t="s">
        <v>83</v>
      </c>
      <c r="AA32" s="37" t="s">
        <v>84</v>
      </c>
      <c r="AB32" s="37" t="s">
        <v>81</v>
      </c>
      <c r="AC32" s="37" t="s">
        <v>81</v>
      </c>
      <c r="AD32" s="37" t="s">
        <v>85</v>
      </c>
      <c r="AE32" s="37" t="s">
        <v>81</v>
      </c>
      <c r="AF32" s="37" t="s">
        <v>81</v>
      </c>
      <c r="AG32" s="37" t="s">
        <v>87</v>
      </c>
      <c r="AH32" s="37" t="s">
        <v>88</v>
      </c>
      <c r="AI32" s="37" t="s">
        <v>81</v>
      </c>
      <c r="AJ32" s="37" t="s">
        <v>81</v>
      </c>
      <c r="AK32" s="37" t="s">
        <v>81</v>
      </c>
      <c r="AL32" s="37" t="s">
        <v>81</v>
      </c>
      <c r="AM32" t="str">
        <f>VLOOKUP($R32,武学奇术!$A:$ZZ,25,FALSE)</f>
        <v>绳镖</v>
      </c>
      <c r="AN32" s="23">
        <f>VLOOKUP($R32,武学奇术!$A:$ZZ,26,FALSE)</f>
        <v>0.3675</v>
      </c>
      <c r="AO32" s="24">
        <f>VLOOKUP($R32,武学奇术!$A:$ZZ,27,FALSE)*(1+IF(OR($AM32=$F$4,$AM32=$F$5),$B$23,0))</f>
        <v>0</v>
      </c>
      <c r="AP32" s="23">
        <f>VLOOKUP($R32,武学奇术!$A:$ZZ,28,FALSE)</f>
        <v>0.55125</v>
      </c>
      <c r="AQ32" s="24">
        <f>VLOOKUP($R32,武学奇术!$A:$ZZ,29,FALSE)*(1+IF(OR($AM32=$F$4,$AM32=$F$5),$B$23,0))</f>
        <v>0</v>
      </c>
      <c r="AR32" s="23" cm="1">
        <f t="array" ref="AR32">$G$3+IFERROR(VLOOKUP($AM32,$F$4:$G$7,2,FALSE),0)+VLOOKUP($R32,武学奇术!$A:$ZZ,2,FALSE)+SUM(_xlfn.XLOOKUP($S32:$AL32,增益!$A:$A,增益!$B:$B,0))</f>
        <v>1.5743</v>
      </c>
      <c r="AS32" s="23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4150.4</v>
      </c>
      <c r="AU32" cm="1">
        <f t="array" ref="AU32">$E$10*(1+$AS32)+VLOOKUP($R32,武学奇术!$A:$ZZ,4,FALSE)+SUM(_xlfn.XLOOKUP($S32:$AL32,增益!$A:$A,增益!$D:$D,0))-$I$2</f>
        <v>4150.4</v>
      </c>
      <c r="AV32" s="29" cm="1">
        <f t="array" ref="AV32">IF($F$10-$I$3+VLOOKUP($R32,武学奇术!$A:$ZZ,6,FALSE)+SUM(_xlfn.XLOOKUP(S32:AL32,增益!$A:$A,增益!$F:$F,0))&gt;0,($F$10-$I$3+VLOOKUP($R32,武学奇术!$A:$ZZ,6,FALSE)+SUM(_xlfn.XLOOKUP(S32:AL32,增益!$A:$A,增益!$F:$F,0)))/200,($F$10-$I$3+VLOOKUP($R32,武学奇术!$A:$ZZ,6,FALSE)+SUM(_xlfn.XLOOKUP(S32:AL32,增益!$A:$A,增益!$F:$F,0)))/100)</f>
        <v>0.3289</v>
      </c>
      <c r="AW32" s="29" cm="1">
        <f t="array" ref="AW32">$G$10+VLOOKUP($R32,武学奇术!$A:$ZZ,7,FALSE)+SUM(_xlfn.XLOOKUP(S32:AL32,增益!$A:$A,增益!$G:$G,0))</f>
        <v>0.29</v>
      </c>
      <c r="AX32" s="23" cm="1">
        <f t="array" ref="AX32">VLOOKUP($R32,武学奇术!$A:$ZZ,8,FALSE)+SUM(_xlfn.XLOOKUP(S32:AL32,增益!$A:$A,增益!$H:$H,0))</f>
        <v>0</v>
      </c>
      <c r="AY32">
        <f t="shared" si="1"/>
        <v>0</v>
      </c>
      <c r="AZ32">
        <f t="shared" si="2"/>
        <v>0</v>
      </c>
      <c r="BA32" s="29" cm="1">
        <f t="array" ref="BA32">IF($F$11-$I$4+VLOOKUP($R32,武学奇术!$A:$ZZ,9,FALSE)+SUM(_xlfn.XLOOKUP(S32:AL32,增益!$A:$A,增益!$I:$I,0))&gt;0,($F$11-$I$4+VLOOKUP($R32,武学奇术!$A:$ZZ,9,FALSE)+SUM(_xlfn.XLOOKUP(S32:AL32,增益!$A:$A,增益!$I:$I,0)))/200,($F$11-$I$4+VLOOKUP($R32,武学奇术!$A:$ZZ,9,FALSE)+SUM(_xlfn.XLOOKUP(S32:AL32,增益!$A:$A,增益!$I:$I,0)))/100)</f>
        <v>-0.14</v>
      </c>
      <c r="BB32" s="29" cm="1">
        <f t="array" ref="BB32">$G$11+VLOOKUP($R32,武学奇术!$A:$ZZ,10,FALSE)+SUM(_xlfn.XLOOKUP(S32:AL32,增益!$A:$A,增益!$J:$J,0))</f>
        <v>0.02</v>
      </c>
      <c r="BC32">
        <f t="shared" si="3"/>
        <v>0</v>
      </c>
      <c r="BD32">
        <f t="shared" si="4"/>
        <v>0</v>
      </c>
      <c r="BE32" s="29" cm="1">
        <f t="array" ref="BE32">IF($F$12-$I$4+VLOOKUP($R32,武学奇术!$A:$ZZ,11,FALSE)+SUM(_xlfn.XLOOKUP(S32:AL32,增益!$A:$A,增益!$K:$K,0))&gt;0,($F$12-$I$4+VLOOKUP($R32,武学奇术!$A:$ZZ,11,FALSE)+SUM(_xlfn.XLOOKUP(S32:AL32,增益!$A:$A,增益!$K:$K,0)))/200,($F$12-$I$4+VLOOKUP($R32,武学奇术!$A:$ZZ,11,FALSE)+SUM(_xlfn.XLOOKUP(S32:AL32,增益!$A:$A,增益!$K:$K,0)))/100)</f>
        <v>-0.14</v>
      </c>
      <c r="BF32" s="29" cm="1">
        <f t="array" ref="BF32">$G$12+VLOOKUP($R32,武学奇术!$A:$ZZ,12,FALSE)+SUM(_xlfn.XLOOKUP(S32:AL32,增益!$A:$A,增益!$L:$L,0))</f>
        <v>0.02</v>
      </c>
      <c r="BG32">
        <f t="shared" si="5"/>
        <v>0</v>
      </c>
      <c r="BH32">
        <f t="shared" si="6"/>
        <v>0</v>
      </c>
      <c r="BI32" s="29" cm="1">
        <f t="array" ref="BI32">IF($F$13-$I$4+VLOOKUP($R32,武学奇术!$A:$ZZ,13,FALSE)+SUM(_xlfn.XLOOKUP(S32:AL32,增益!$A:$A,增益!$M:$M,0))&gt;0,($F$13-$I$4+VLOOKUP($R32,武学奇术!$A:$ZZ,13,FALSE)+SUM(_xlfn.XLOOKUP(S32:AL32,增益!$A:$A,增益!$K:$K,0)))/200,($F$13-$I$4+VLOOKUP($R32,武学奇术!$A:$ZZ,13,FALSE)+SUM(_xlfn.XLOOKUP(S32:AL32,增益!$A:$A,增益!$M:$M,0)))/100)</f>
        <v>-0.14</v>
      </c>
      <c r="BJ32" s="29" cm="1">
        <f t="array" ref="BJ32">$G$13+VLOOKUP($R32,武学奇术!$A:$ZZ,14,FALSE)+SUM(_xlfn.XLOOKUP(S32:AL32,增益!$A:$A,增益!$N:$N,0))</f>
        <v>0.02</v>
      </c>
      <c r="BK32">
        <f t="shared" si="7"/>
        <v>618.2</v>
      </c>
      <c r="BL32">
        <f t="shared" si="8"/>
        <v>1805</v>
      </c>
      <c r="BM32" s="29" cm="1">
        <f t="array" ref="BM32">IF($F$14-$I$4+VLOOKUP($R32,武学奇术!$A:$ZZ,15,FALSE)+SUM(_xlfn.XLOOKUP(S32:AL32,增益!$A:$A,增益!$O:$O,0))&gt;0,($F$14-$I$4+VLOOKUP($R32,武学奇术!$A:$ZZ,15,FALSE)+SUM(_xlfn.XLOOKUP(S32:AL32,增益!$A:$A,增益!$O:$O,0)))/200,($F$14-$I$4+VLOOKUP($R32,武学奇术!$A:$ZZ,15,FALSE)+SUM(_xlfn.XLOOKUP(S32:AL32,增益!$A:$A,增益!$O:$O,0)))/100)</f>
        <v>0.13</v>
      </c>
      <c r="BN32" s="29" cm="1">
        <f t="array" ref="BN32">$G$14+VLOOKUP($R32,武学奇术!$A:$ZZ,16,FALSE)+SUM(_xlfn.XLOOKUP(S32:AL32,增益!$A:$A,增益!$P:$P,0))</f>
        <v>0.44</v>
      </c>
      <c r="BO32" s="23">
        <f>MIN(IF(VLOOKUP($R32,武学奇术!$A:$ZZ,23,FALSE)=1,100%,$B$8),100%)</f>
        <v>0.9943</v>
      </c>
      <c r="BP32" s="23" cm="1">
        <f t="array" ref="BP32">IF(VLOOKUP($R32,武学奇术!$A:$ZZ,23,FALSE)=1,100%,MIN(80%,$B$9+VLOOKUP($R32,武学奇术!$A:$ZZ,17,FALSE)+SUM(_xlfn.XLOOKUP(S32:AL32,增益!$A:$A,增益!$Q:$Q,0)))+$B$11+SUM(_xlfn.XLOOKUP(S32:AL32,增益!$A:$A,增益!$U:$U,0)))*IF(VLOOKUP($R32,武学奇术!$A:$ZZ,24,FALSE)=1,0,1)</f>
        <v>0.887</v>
      </c>
      <c r="BQ32" s="23" cm="1">
        <f t="array" ref="BQ32">1+$B$13+VLOOKUP($R32,武学奇术!$A:$ZZ,18,FALSE)+SUM(_xlfn.XLOOKUP(S32:AL32,增益!$A:$A,增益!$R:$R,0))</f>
        <v>2.084</v>
      </c>
      <c r="BR32" s="23" cm="1">
        <f t="array" ref="BR32">IF(VLOOKUP($R32,武学奇术!$A:$ZZ,24,FALSE)=1,100%,MIN(40%,$B$10+VLOOKUP($R32,武学奇术!$A:$ZZ,19,FALSE)+SUM(_xlfn.XLOOKUP(S32:AL32,增益!$A:$A,增益!$S:$S,0)))+$B$12+SUM(_xlfn.XLOOKUP(S32:AL32,增益!$A:$A,增益!$V:$V,0)))*IF(VLOOKUP($R32,武学奇术!$A:$ZZ,23,FALSE)=1,0,1)</f>
        <v>0.0913</v>
      </c>
      <c r="BS32" s="23" cm="1">
        <f t="array" ref="BS32">1+$B$14+VLOOKUP($R32,武学奇术!$A:$ZZ,20,FALSE)+SUM(_xlfn.XLOOKUP(S32:AL32,增益!$A:$A,增益!$T:$T,0))</f>
        <v>1.35</v>
      </c>
      <c r="BT32" s="23">
        <f t="shared" si="9"/>
        <v>0.8819441</v>
      </c>
      <c r="BU32" s="23">
        <f t="shared" si="10"/>
        <v>0.0215763099999999</v>
      </c>
      <c r="BV32" s="23">
        <f>IF(VLOOKUP($R32,武学奇术!$A:$ZZ,22,FALSE)=1,0,(1-$BO32))*(1-$BR32)</f>
        <v>0.00517958999999993</v>
      </c>
      <c r="BW32" s="23" cm="1">
        <f t="array" ref="BW32">SUM(_xlfn.XLOOKUP(S32:AL32,增益!$A:$A,增益!$W:$W,0))+$I$5</f>
        <v>0.11</v>
      </c>
      <c r="BX32" s="23">
        <f>VLOOKUP($R32,武学奇术!$A:$ZZ,32,FALSE)</f>
        <v>0</v>
      </c>
      <c r="BY32" s="23" cm="1">
        <f t="array" ref="BY32">SUM(_xlfn.XLOOKUP($S32:$AL32,增益!$A:$A,增益!$X:$X,0))</f>
        <v>0</v>
      </c>
    </row>
    <row r="33" spans="1:77">
      <c r="A33" s="4" t="s">
        <v>167</v>
      </c>
      <c r="B33" s="4">
        <v>1.3</v>
      </c>
      <c r="K33" s="35">
        <f>$L33*VLOOKUP($R33,武学奇术!$A:$ZZ,31,FALSE)</f>
        <v>119034.362019124</v>
      </c>
      <c r="L33" s="58">
        <f t="shared" si="0"/>
        <v>106280.680374218</v>
      </c>
      <c r="M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轻击",$B$21,0))*(1+IF(VLOOKUP($R33,武学奇术!$A:$ZZ,30,FALSE)="老鼠",$B$22,0))*(1+$BW33)*(1+$BX33)</f>
        <v>110613.096631413</v>
      </c>
      <c r="N33" s="35">
        <f>(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轻击",$B$21,0))*(1+IF(VLOOKUP($R33,武学奇术!$A:$ZZ,30,FALSE)="老鼠",$B$22,0))*(1+$BW33))*(1+$BX33)</f>
        <v>80481.3019526656</v>
      </c>
      <c r="O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轻击",$B$21,0))*(1+IF(VLOOKUP($R33,武学奇术!$A:$ZZ,30,FALSE)="老鼠",$B$22,0))*(1+$BW33)*(1+$BX33)</f>
        <v>52823.8283817634</v>
      </c>
      <c r="P33" s="35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轻击",$B$21,0))*(1+IF(VLOOKUP($R33,武学奇术!$A:$ZZ,30,FALSE)="老鼠",$B$22,0))*(1+$BW33)*(1+$BX33)</f>
        <v>46031.87753933</v>
      </c>
      <c r="Q33" s="36">
        <v>1</v>
      </c>
      <c r="R33" s="37" t="s">
        <v>158</v>
      </c>
      <c r="S33" s="37" t="s">
        <v>91</v>
      </c>
      <c r="T33" s="37" t="s">
        <v>168</v>
      </c>
      <c r="U33" s="37" t="s">
        <v>112</v>
      </c>
      <c r="V33" s="37" t="s">
        <v>113</v>
      </c>
      <c r="W33" s="37" t="s">
        <v>82</v>
      </c>
      <c r="X33" s="37" t="s">
        <v>81</v>
      </c>
      <c r="Y33" s="37" t="s">
        <v>109</v>
      </c>
      <c r="Z33" s="37" t="s">
        <v>83</v>
      </c>
      <c r="AA33" s="37" t="s">
        <v>84</v>
      </c>
      <c r="AB33" s="37" t="s">
        <v>81</v>
      </c>
      <c r="AC33" s="37" t="s">
        <v>81</v>
      </c>
      <c r="AD33" s="37" t="s">
        <v>85</v>
      </c>
      <c r="AE33" s="37" t="s">
        <v>81</v>
      </c>
      <c r="AF33" s="37" t="s">
        <v>81</v>
      </c>
      <c r="AG33" s="37" t="s">
        <v>87</v>
      </c>
      <c r="AH33" s="37" t="s">
        <v>88</v>
      </c>
      <c r="AI33" s="37" t="s">
        <v>81</v>
      </c>
      <c r="AJ33" s="37" t="s">
        <v>81</v>
      </c>
      <c r="AK33" s="37" t="s">
        <v>81</v>
      </c>
      <c r="AL33" s="37" t="s">
        <v>81</v>
      </c>
      <c r="AM33" t="str">
        <f>VLOOKUP($R33,武学奇术!$A:$ZZ,25,FALSE)</f>
        <v>双刀</v>
      </c>
      <c r="AN33" s="23">
        <f>VLOOKUP($R33,武学奇术!$A:$ZZ,26,FALSE)</f>
        <v>2.5342</v>
      </c>
      <c r="AO33" s="24">
        <f>VLOOKUP($R33,武学奇术!$A:$ZZ,27,FALSE)*(1+IF(OR($AM33=$F$4,$AM33=$F$5),$B$23,0))</f>
        <v>1123.2</v>
      </c>
      <c r="AP33" s="23">
        <f>VLOOKUP($R33,武学奇术!$A:$ZZ,28,FALSE)</f>
        <v>3.8012</v>
      </c>
      <c r="AQ33" s="24">
        <f>VLOOKUP($R33,武学奇术!$A:$ZZ,29,FALSE)*(1+IF(OR($AM33=$F$4,$AM33=$F$5),$B$23,0))</f>
        <v>611.2</v>
      </c>
      <c r="AR33" s="23" cm="1">
        <f t="array" ref="AR33">$G$3+IFERROR(VLOOKUP($AM33,$F$4:$G$7,2,FALSE),0)+VLOOKUP($R33,武学奇术!$A:$ZZ,2,FALSE)+SUM(_xlfn.XLOOKUP($S33:$AL33,增益!$A:$A,增益!$B:$B,0))</f>
        <v>0.7743</v>
      </c>
      <c r="AS33" s="23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4150.4</v>
      </c>
      <c r="AU33" cm="1">
        <f t="array" ref="AU33">$E$10*(1+$AS33)+VLOOKUP($R33,武学奇术!$A:$ZZ,4,FALSE)+SUM(_xlfn.XLOOKUP($S33:$AL33,增益!$A:$A,增益!$D:$D,0))-$I$2</f>
        <v>4150.4</v>
      </c>
      <c r="AV33" s="29" cm="1">
        <f t="array" ref="AV33">IF($F$10-$I$3+VLOOKUP($R33,武学奇术!$A:$ZZ,6,FALSE)+SUM(_xlfn.XLOOKUP(S33:AL33,增益!$A:$A,增益!$F:$F,0))&gt;0,($F$10-$I$3+VLOOKUP($R33,武学奇术!$A:$ZZ,6,FALSE)+SUM(_xlfn.XLOOKUP(S33:AL33,增益!$A:$A,增益!$F:$F,0)))/200,($F$10-$I$3+VLOOKUP($R33,武学奇术!$A:$ZZ,6,FALSE)+SUM(_xlfn.XLOOKUP(S33:AL33,增益!$A:$A,增益!$F:$F,0)))/100)</f>
        <v>0.3289</v>
      </c>
      <c r="AW33" s="29" cm="1">
        <f t="array" ref="AW33">$G$10+VLOOKUP($R33,武学奇术!$A:$ZZ,7,FALSE)+SUM(_xlfn.XLOOKUP(S33:AL33,增益!$A:$A,增益!$G:$G,0))</f>
        <v>0.08</v>
      </c>
      <c r="AX33" s="23" cm="1">
        <f t="array" ref="AX33">VLOOKUP($R33,武学奇术!$A:$ZZ,8,FALSE)+SUM(_xlfn.XLOOKUP(S33:AL33,增益!$A:$A,增益!$H:$H,0))</f>
        <v>0</v>
      </c>
      <c r="AY33">
        <f t="shared" si="1"/>
        <v>0</v>
      </c>
      <c r="AZ33">
        <f t="shared" si="2"/>
        <v>0</v>
      </c>
      <c r="BA33" s="29" cm="1">
        <f t="array" ref="BA33">IF($F$11-$I$4+VLOOKUP($R33,武学奇术!$A:$ZZ,9,FALSE)+SUM(_xlfn.XLOOKUP(S33:AL33,增益!$A:$A,增益!$I:$I,0))&gt;0,($F$11-$I$4+VLOOKUP($R33,武学奇术!$A:$ZZ,9,FALSE)+SUM(_xlfn.XLOOKUP(S33:AL33,增益!$A:$A,增益!$I:$I,0)))/200,($F$11-$I$4+VLOOKUP($R33,武学奇术!$A:$ZZ,9,FALSE)+SUM(_xlfn.XLOOKUP(S33:AL33,增益!$A:$A,增益!$I:$I,0)))/100)</f>
        <v>-0.14</v>
      </c>
      <c r="BB33" s="29" cm="1">
        <f t="array" ref="BB33">$G$11+VLOOKUP($R33,武学奇术!$A:$ZZ,10,FALSE)+SUM(_xlfn.XLOOKUP(S33:AL33,增益!$A:$A,增益!$J:$J,0))</f>
        <v>0.02</v>
      </c>
      <c r="BC33">
        <f t="shared" si="3"/>
        <v>0</v>
      </c>
      <c r="BD33">
        <f t="shared" si="4"/>
        <v>0</v>
      </c>
      <c r="BE33" s="29" cm="1">
        <f t="array" ref="BE33">IF($F$12-$I$4+VLOOKUP($R33,武学奇术!$A:$ZZ,11,FALSE)+SUM(_xlfn.XLOOKUP(S33:AL33,增益!$A:$A,增益!$K:$K,0))&gt;0,($F$12-$I$4+VLOOKUP($R33,武学奇术!$A:$ZZ,11,FALSE)+SUM(_xlfn.XLOOKUP(S33:AL33,增益!$A:$A,增益!$K:$K,0)))/200,($F$12-$I$4+VLOOKUP($R33,武学奇术!$A:$ZZ,11,FALSE)+SUM(_xlfn.XLOOKUP(S33:AL33,增益!$A:$A,增益!$K:$K,0)))/100)</f>
        <v>-0.14</v>
      </c>
      <c r="BF33" s="29" cm="1">
        <f t="array" ref="BF33">$G$12+VLOOKUP($R33,武学奇术!$A:$ZZ,12,FALSE)+SUM(_xlfn.XLOOKUP(S33:AL33,增益!$A:$A,增益!$L:$L,0))</f>
        <v>0.02</v>
      </c>
      <c r="BG33">
        <f t="shared" si="5"/>
        <v>0</v>
      </c>
      <c r="BH33">
        <f t="shared" si="6"/>
        <v>0</v>
      </c>
      <c r="BI33" s="29" cm="1">
        <f t="array" ref="BI33">IF($F$13-$I$4+VLOOKUP($R33,武学奇术!$A:$ZZ,13,FALSE)+SUM(_xlfn.XLOOKUP(S33:AL33,增益!$A:$A,增益!$M:$M,0))&gt;0,($F$13-$I$4+VLOOKUP($R33,武学奇术!$A:$ZZ,13,FALSE)+SUM(_xlfn.XLOOKUP(S33:AL33,增益!$A:$A,增益!$K:$K,0)))/200,($F$13-$I$4+VLOOKUP($R33,武学奇术!$A:$ZZ,13,FALSE)+SUM(_xlfn.XLOOKUP(S33:AL33,增益!$A:$A,增益!$M:$M,0)))/100)</f>
        <v>-0.14</v>
      </c>
      <c r="BJ33" s="29" cm="1">
        <f t="array" ref="BJ33">$G$13+VLOOKUP($R33,武学奇术!$A:$ZZ,14,FALSE)+SUM(_xlfn.XLOOKUP(S33:AL33,增益!$A:$A,增益!$N:$N,0))</f>
        <v>0.02</v>
      </c>
      <c r="BK33">
        <f t="shared" si="7"/>
        <v>618.2</v>
      </c>
      <c r="BL33">
        <f t="shared" si="8"/>
        <v>1805</v>
      </c>
      <c r="BM33" s="29" cm="1">
        <f t="array" ref="BM33">IF($F$14-$I$4+VLOOKUP($R33,武学奇术!$A:$ZZ,15,FALSE)+SUM(_xlfn.XLOOKUP(S33:AL33,增益!$A:$A,增益!$O:$O,0))&gt;0,($F$14-$I$4+VLOOKUP($R33,武学奇术!$A:$ZZ,15,FALSE)+SUM(_xlfn.XLOOKUP(S33:AL33,增益!$A:$A,增益!$O:$O,0)))/200,($F$14-$I$4+VLOOKUP($R33,武学奇术!$A:$ZZ,15,FALSE)+SUM(_xlfn.XLOOKUP(S33:AL33,增益!$A:$A,增益!$O:$O,0)))/100)</f>
        <v>0.13</v>
      </c>
      <c r="BN33" s="29" cm="1">
        <f t="array" ref="BN33">$G$14+VLOOKUP($R33,武学奇术!$A:$ZZ,16,FALSE)+SUM(_xlfn.XLOOKUP(S33:AL33,增益!$A:$A,增益!$P:$P,0))</f>
        <v>0.23</v>
      </c>
      <c r="BO33" s="23">
        <f>MIN(IF(VLOOKUP($R33,武学奇术!$A:$ZZ,23,FALSE)=1,100%,$B$8),100%)</f>
        <v>0.9943</v>
      </c>
      <c r="BP33" s="23" cm="1">
        <f t="array" ref="BP33">IF(VLOOKUP($R33,武学奇术!$A:$ZZ,23,FALSE)=1,100%,MIN(80%,$B$9+VLOOKUP($R33,武学奇术!$A:$ZZ,17,FALSE)+SUM(_xlfn.XLOOKUP(S33:AL33,增益!$A:$A,增益!$Q:$Q,0)))+$B$11+SUM(_xlfn.XLOOKUP(S33:AL33,增益!$A:$A,增益!$U:$U,0)))*IF(VLOOKUP($R33,武学奇术!$A:$ZZ,24,FALSE)=1,0,1)</f>
        <v>0.887</v>
      </c>
      <c r="BQ33" s="23" cm="1">
        <f t="array" ref="BQ33">1+$B$13+VLOOKUP($R33,武学奇术!$A:$ZZ,18,FALSE)+SUM(_xlfn.XLOOKUP(S33:AL33,增益!$A:$A,增益!$R:$R,0))</f>
        <v>2.094</v>
      </c>
      <c r="BR33" s="23" cm="1">
        <f t="array" ref="BR33">IF(VLOOKUP($R33,武学奇术!$A:$ZZ,24,FALSE)=1,100%,MIN(40%,$B$10+VLOOKUP($R33,武学奇术!$A:$ZZ,19,FALSE)+SUM(_xlfn.XLOOKUP(S33:AL33,增益!$A:$A,增益!$S:$S,0)))+$B$12+SUM(_xlfn.XLOOKUP(S33:AL33,增益!$A:$A,增益!$V:$V,0)))*IF(VLOOKUP($R33,武学奇术!$A:$ZZ,23,FALSE)=1,0,1)</f>
        <v>0.0913</v>
      </c>
      <c r="BS33" s="23" cm="1">
        <f t="array" ref="BS33">1+$B$14+VLOOKUP($R33,武学奇术!$A:$ZZ,20,FALSE)+SUM(_xlfn.XLOOKUP(S33:AL33,增益!$A:$A,增益!$T:$T,0))</f>
        <v>1.35</v>
      </c>
      <c r="BT33" s="23">
        <f t="shared" si="9"/>
        <v>0.8819441</v>
      </c>
      <c r="BU33" s="23">
        <f t="shared" si="10"/>
        <v>0.0215763099999999</v>
      </c>
      <c r="BV33" s="23">
        <f>IF(VLOOKUP($R33,武学奇术!$A:$ZZ,22,FALSE)=1,0,(1-$BO33))*(1-$BR33)</f>
        <v>0.00517958999999993</v>
      </c>
      <c r="BW33" s="23" cm="1">
        <f t="array" ref="BW33">SUM(_xlfn.XLOOKUP(S33:AL33,增益!$A:$A,增益!$W:$W,0))+$I$5</f>
        <v>0.11</v>
      </c>
      <c r="BX33" s="23">
        <f>VLOOKUP($R33,武学奇术!$A:$ZZ,32,FALSE)</f>
        <v>0.1</v>
      </c>
      <c r="BY33" s="23" cm="1">
        <f t="array" ref="BY33">SUM(_xlfn.XLOOKUP($S33:$AL33,增益!$A:$A,增益!$X:$X,0))</f>
        <v>0</v>
      </c>
    </row>
    <row r="34" spans="1:77">
      <c r="A34" s="4" t="s">
        <v>169</v>
      </c>
      <c r="B34" s="4">
        <v>0.7</v>
      </c>
      <c r="C34" s="36" t="s">
        <v>170</v>
      </c>
      <c r="D34" s="36" t="s">
        <v>85</v>
      </c>
      <c r="E34" s="36" t="s">
        <v>171</v>
      </c>
      <c r="K34" s="35">
        <f>$L34*VLOOKUP($R34,武学奇术!$A:$ZZ,31,FALSE)</f>
        <v>45381.7845569964</v>
      </c>
      <c r="L34" s="58">
        <f t="shared" si="0"/>
        <v>44491.9456441141</v>
      </c>
      <c r="M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轻击",$B$21,0))*(1+IF(VLOOKUP($R34,武学奇术!$A:$ZZ,30,FALSE)="老鼠",$B$22,0))*(1+$BW34)*(1+$BX34)</f>
        <v>46311.2092012539</v>
      </c>
      <c r="N34" s="35">
        <f>(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轻击",$B$21,0))*(1+IF(VLOOKUP($R34,武学奇术!$A:$ZZ,30,FALSE)="老鼠",$B$22,0))*(1+$BW34))*(1+$BX34)</f>
        <v>33634.2110907512</v>
      </c>
      <c r="O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轻击",$B$21,0))*(1+IF(VLOOKUP($R34,武学奇术!$A:$ZZ,30,FALSE)="老鼠",$B$22,0))*(1+$BW34)*(1+$BX34)</f>
        <v>22116.14575036</v>
      </c>
      <c r="P34" s="35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轻击",$B$21,0))*(1+IF(VLOOKUP($R34,武学奇术!$A:$ZZ,30,FALSE)="老鼠",$B$22,0))*(1+$BW34)*(1+$BX34)</f>
        <v>19318.0610631266</v>
      </c>
      <c r="Q34" s="36">
        <v>1</v>
      </c>
      <c r="R34" s="37" t="s">
        <v>160</v>
      </c>
      <c r="S34" s="37" t="s">
        <v>91</v>
      </c>
      <c r="T34" s="37" t="s">
        <v>168</v>
      </c>
      <c r="U34" s="37" t="s">
        <v>81</v>
      </c>
      <c r="V34" s="37" t="s">
        <v>81</v>
      </c>
      <c r="W34" s="37" t="s">
        <v>82</v>
      </c>
      <c r="X34" s="37" t="s">
        <v>81</v>
      </c>
      <c r="Y34" s="37" t="s">
        <v>81</v>
      </c>
      <c r="Z34" s="37" t="s">
        <v>83</v>
      </c>
      <c r="AA34" s="37" t="s">
        <v>84</v>
      </c>
      <c r="AB34" s="37" t="s">
        <v>81</v>
      </c>
      <c r="AC34" s="37" t="s">
        <v>81</v>
      </c>
      <c r="AD34" s="37" t="s">
        <v>85</v>
      </c>
      <c r="AE34" s="37" t="s">
        <v>81</v>
      </c>
      <c r="AF34" s="37" t="s">
        <v>81</v>
      </c>
      <c r="AG34" s="37" t="s">
        <v>87</v>
      </c>
      <c r="AH34" s="37" t="s">
        <v>88</v>
      </c>
      <c r="AI34" s="37" t="s">
        <v>81</v>
      </c>
      <c r="AJ34" s="37" t="s">
        <v>81</v>
      </c>
      <c r="AK34" s="37" t="s">
        <v>81</v>
      </c>
      <c r="AL34" s="37" t="s">
        <v>81</v>
      </c>
      <c r="AM34" t="str">
        <f>VLOOKUP($R34,武学奇术!$A:$ZZ,25,FALSE)</f>
        <v>双刀</v>
      </c>
      <c r="AN34" s="23">
        <f>VLOOKUP($R34,武学奇术!$A:$ZZ,26,FALSE)</f>
        <v>1.3548</v>
      </c>
      <c r="AO34" s="24">
        <f>VLOOKUP($R34,武学奇术!$A:$ZZ,27,FALSE)*(1+IF(OR($AM34=$F$4,$AM34=$F$5),$B$23,0))</f>
        <v>601.6</v>
      </c>
      <c r="AP34" s="23">
        <f>VLOOKUP($R34,武学奇术!$A:$ZZ,28,FALSE)</f>
        <v>2.0322</v>
      </c>
      <c r="AQ34" s="24">
        <f>VLOOKUP($R34,武学奇术!$A:$ZZ,29,FALSE)*(1+IF(OR($AM34=$F$4,$AM34=$F$5),$B$23,0))</f>
        <v>328</v>
      </c>
      <c r="AR34" s="23" cm="1">
        <f t="array" ref="AR34">$G$3+IFERROR(VLOOKUP($AM34,$F$4:$G$7,2,FALSE),0)+VLOOKUP($R34,武学奇术!$A:$ZZ,2,FALSE)+SUM(_xlfn.XLOOKUP($S34:$AL34,增益!$A:$A,增益!$B:$B,0))</f>
        <v>0.6543</v>
      </c>
      <c r="AS34" s="23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4081.7</v>
      </c>
      <c r="AU34" cm="1">
        <f t="array" ref="AU34">$E$10*(1+$AS34)+VLOOKUP($R34,武学奇术!$A:$ZZ,4,FALSE)+SUM(_xlfn.XLOOKUP($S34:$AL34,增益!$A:$A,增益!$D:$D,0))-$I$2</f>
        <v>4081.7</v>
      </c>
      <c r="AV34" s="29" cm="1">
        <f t="array" ref="AV34">IF($F$10-$I$3+VLOOKUP($R34,武学奇术!$A:$ZZ,6,FALSE)+SUM(_xlfn.XLOOKUP(S34:AL34,增益!$A:$A,增益!$F:$F,0))&gt;0,($F$10-$I$3+VLOOKUP($R34,武学奇术!$A:$ZZ,6,FALSE)+SUM(_xlfn.XLOOKUP(S34:AL34,增益!$A:$A,增益!$F:$F,0)))/200,($F$10-$I$3+VLOOKUP($R34,武学奇术!$A:$ZZ,6,FALSE)+SUM(_xlfn.XLOOKUP(S34:AL34,增益!$A:$A,增益!$F:$F,0)))/100)</f>
        <v>0.3289</v>
      </c>
      <c r="AW34" s="29" cm="1">
        <f t="array" ref="AW34">$G$10+VLOOKUP($R34,武学奇术!$A:$ZZ,7,FALSE)+SUM(_xlfn.XLOOKUP(S34:AL34,增益!$A:$A,增益!$G:$G,0))</f>
        <v>0.02</v>
      </c>
      <c r="AX34" s="23" cm="1">
        <f t="array" ref="AX34">VLOOKUP($R34,武学奇术!$A:$ZZ,8,FALSE)+SUM(_xlfn.XLOOKUP(S34:AL34,增益!$A:$A,增益!$H:$H,0))</f>
        <v>0</v>
      </c>
      <c r="AY34">
        <f t="shared" si="1"/>
        <v>0</v>
      </c>
      <c r="AZ34">
        <f t="shared" si="2"/>
        <v>0</v>
      </c>
      <c r="BA34" s="29" cm="1">
        <f t="array" ref="BA34">IF($F$11-$I$4+VLOOKUP($R34,武学奇术!$A:$ZZ,9,FALSE)+SUM(_xlfn.XLOOKUP(S34:AL34,增益!$A:$A,增益!$I:$I,0))&gt;0,($F$11-$I$4+VLOOKUP($R34,武学奇术!$A:$ZZ,9,FALSE)+SUM(_xlfn.XLOOKUP(S34:AL34,增益!$A:$A,增益!$I:$I,0)))/200,($F$11-$I$4+VLOOKUP($R34,武学奇术!$A:$ZZ,9,FALSE)+SUM(_xlfn.XLOOKUP(S34:AL34,增益!$A:$A,增益!$I:$I,0)))/100)</f>
        <v>-0.14</v>
      </c>
      <c r="BB34" s="29" cm="1">
        <f t="array" ref="BB34">$G$11+VLOOKUP($R34,武学奇术!$A:$ZZ,10,FALSE)+SUM(_xlfn.XLOOKUP(S34:AL34,增益!$A:$A,增益!$J:$J,0))</f>
        <v>0.02</v>
      </c>
      <c r="BC34">
        <f t="shared" si="3"/>
        <v>0</v>
      </c>
      <c r="BD34">
        <f t="shared" si="4"/>
        <v>0</v>
      </c>
      <c r="BE34" s="29" cm="1">
        <f t="array" ref="BE34">IF($F$12-$I$4+VLOOKUP($R34,武学奇术!$A:$ZZ,11,FALSE)+SUM(_xlfn.XLOOKUP(S34:AL34,增益!$A:$A,增益!$K:$K,0))&gt;0,($F$12-$I$4+VLOOKUP($R34,武学奇术!$A:$ZZ,11,FALSE)+SUM(_xlfn.XLOOKUP(S34:AL34,增益!$A:$A,增益!$K:$K,0)))/200,($F$12-$I$4+VLOOKUP($R34,武学奇术!$A:$ZZ,11,FALSE)+SUM(_xlfn.XLOOKUP(S34:AL34,增益!$A:$A,增益!$K:$K,0)))/100)</f>
        <v>-0.14</v>
      </c>
      <c r="BF34" s="29" cm="1">
        <f t="array" ref="BF34">$G$12+VLOOKUP($R34,武学奇术!$A:$ZZ,12,FALSE)+SUM(_xlfn.XLOOKUP(S34:AL34,增益!$A:$A,增益!$L:$L,0))</f>
        <v>0.02</v>
      </c>
      <c r="BG34">
        <f t="shared" si="5"/>
        <v>0</v>
      </c>
      <c r="BH34">
        <f t="shared" si="6"/>
        <v>0</v>
      </c>
      <c r="BI34" s="29" cm="1">
        <f t="array" ref="BI34">IF($F$13-$I$4+VLOOKUP($R34,武学奇术!$A:$ZZ,13,FALSE)+SUM(_xlfn.XLOOKUP(S34:AL34,增益!$A:$A,增益!$M:$M,0))&gt;0,($F$13-$I$4+VLOOKUP($R34,武学奇术!$A:$ZZ,13,FALSE)+SUM(_xlfn.XLOOKUP(S34:AL34,增益!$A:$A,增益!$K:$K,0)))/200,($F$13-$I$4+VLOOKUP($R34,武学奇术!$A:$ZZ,13,FALSE)+SUM(_xlfn.XLOOKUP(S34:AL34,增益!$A:$A,增益!$M:$M,0)))/100)</f>
        <v>-0.14</v>
      </c>
      <c r="BJ34" s="29" cm="1">
        <f t="array" ref="BJ34">$G$13+VLOOKUP($R34,武学奇术!$A:$ZZ,14,FALSE)+SUM(_xlfn.XLOOKUP(S34:AL34,增益!$A:$A,增益!$N:$N,0))</f>
        <v>0.02</v>
      </c>
      <c r="BK34">
        <f t="shared" si="7"/>
        <v>618.2</v>
      </c>
      <c r="BL34">
        <f t="shared" si="8"/>
        <v>1805</v>
      </c>
      <c r="BM34" s="29" cm="1">
        <f t="array" ref="BM34">IF($F$14-$I$4+VLOOKUP($R34,武学奇术!$A:$ZZ,15,FALSE)+SUM(_xlfn.XLOOKUP(S34:AL34,增益!$A:$A,增益!$O:$O,0))&gt;0,($F$14-$I$4+VLOOKUP($R34,武学奇术!$A:$ZZ,15,FALSE)+SUM(_xlfn.XLOOKUP(S34:AL34,增益!$A:$A,增益!$O:$O,0)))/200,($F$14-$I$4+VLOOKUP($R34,武学奇术!$A:$ZZ,15,FALSE)+SUM(_xlfn.XLOOKUP(S34:AL34,增益!$A:$A,增益!$O:$O,0)))/100)</f>
        <v>0.08</v>
      </c>
      <c r="BN34" s="29" cm="1">
        <f t="array" ref="BN34">$G$14+VLOOKUP($R34,武学奇术!$A:$ZZ,16,FALSE)+SUM(_xlfn.XLOOKUP(S34:AL34,增益!$A:$A,增益!$P:$P,0))</f>
        <v>0.17</v>
      </c>
      <c r="BO34" s="23">
        <f>MIN(IF(VLOOKUP($R34,武学奇术!$A:$ZZ,23,FALSE)=1,100%,$B$8),100%)</f>
        <v>0.9943</v>
      </c>
      <c r="BP34" s="23" cm="1">
        <f t="array" ref="BP34">IF(VLOOKUP($R34,武学奇术!$A:$ZZ,23,FALSE)=1,100%,MIN(80%,$B$9+VLOOKUP($R34,武学奇术!$A:$ZZ,17,FALSE)+SUM(_xlfn.XLOOKUP(S34:AL34,增益!$A:$A,增益!$Q:$Q,0)))+$B$11+SUM(_xlfn.XLOOKUP(S34:AL34,增益!$A:$A,增益!$U:$U,0)))*IF(VLOOKUP($R34,武学奇术!$A:$ZZ,24,FALSE)=1,0,1)</f>
        <v>0.887</v>
      </c>
      <c r="BQ34" s="23" cm="1">
        <f t="array" ref="BQ34">1+$B$13+VLOOKUP($R34,武学奇术!$A:$ZZ,18,FALSE)+SUM(_xlfn.XLOOKUP(S34:AL34,增益!$A:$A,增益!$R:$R,0))</f>
        <v>2.094</v>
      </c>
      <c r="BR34" s="23" cm="1">
        <f t="array" ref="BR34">IF(VLOOKUP($R34,武学奇术!$A:$ZZ,24,FALSE)=1,100%,MIN(40%,$B$10+VLOOKUP($R34,武学奇术!$A:$ZZ,19,FALSE)+SUM(_xlfn.XLOOKUP(S34:AL34,增益!$A:$A,增益!$S:$S,0)))+$B$12+SUM(_xlfn.XLOOKUP(S34:AL34,增益!$A:$A,增益!$V:$V,0)))*IF(VLOOKUP($R34,武学奇术!$A:$ZZ,23,FALSE)=1,0,1)</f>
        <v>0.0913</v>
      </c>
      <c r="BS34" s="23" cm="1">
        <f t="array" ref="BS34">1+$B$14+VLOOKUP($R34,武学奇术!$A:$ZZ,20,FALSE)+SUM(_xlfn.XLOOKUP(S34:AL34,增益!$A:$A,增益!$T:$T,0))</f>
        <v>1.35</v>
      </c>
      <c r="BT34" s="23">
        <f t="shared" si="9"/>
        <v>0.8819441</v>
      </c>
      <c r="BU34" s="23">
        <f t="shared" si="10"/>
        <v>0.0215763099999999</v>
      </c>
      <c r="BV34" s="23">
        <f>IF(VLOOKUP($R34,武学奇术!$A:$ZZ,22,FALSE)=1,0,(1-$BO34))*(1-$BR34)</f>
        <v>0.00517958999999993</v>
      </c>
      <c r="BW34" s="23" cm="1">
        <f t="array" ref="BW34">SUM(_xlfn.XLOOKUP(S34:AL34,增益!$A:$A,增益!$W:$W,0))+$I$5</f>
        <v>0.11</v>
      </c>
      <c r="BX34" s="23">
        <f>VLOOKUP($R34,武学奇术!$A:$ZZ,32,FALSE)</f>
        <v>0</v>
      </c>
      <c r="BY34" s="23" cm="1">
        <f t="array" ref="BY34">SUM(_xlfn.XLOOKUP($S34:$AL34,增益!$A:$A,增益!$X:$X,0))</f>
        <v>0</v>
      </c>
    </row>
    <row r="35" spans="1:77">
      <c r="A35" s="93" t="s">
        <v>172</v>
      </c>
      <c r="B35" s="4">
        <v>0.166</v>
      </c>
      <c r="C35" s="36"/>
      <c r="D35" s="36"/>
      <c r="E35" s="36"/>
      <c r="H35">
        <v>0.9</v>
      </c>
      <c r="K35" s="35">
        <f>$L35*VLOOKUP($R35,武学奇术!$A:$ZZ,31,FALSE)</f>
        <v>114764.767055615</v>
      </c>
      <c r="L35" s="69">
        <f t="shared" ref="L35:L60" si="11">($M35*$BT35+$N35*$BR35+$O35*$BU35+$P35*$BV35)</f>
        <v>112514.477505505</v>
      </c>
      <c r="M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轻击",$B$21,0))*(1+IF(VLOOKUP($R35,武学奇术!$A:$ZZ,30,FALSE)="老鼠",$B$22,0))*(1+$BW35)*(1+$BX35)</f>
        <v>116996.498807654</v>
      </c>
      <c r="N35" s="35">
        <f>(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轻击",$B$21,0))*(1+IF(VLOOKUP($R35,武学奇术!$A:$ZZ,30,FALSE)="老鼠",$B$22,0))*(1+$BW35))*(1+$BX35)</f>
        <v>86273.9085380229</v>
      </c>
      <c r="O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轻击",$B$21,0))*(1+IF(VLOOKUP($R35,武学奇术!$A:$ZZ,30,FALSE)="老鼠",$B$22,0))*(1+$BW35)*(1+$BX35)</f>
        <v>55872.2534898061</v>
      </c>
      <c r="P35" s="35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轻击",$B$21,0))*(1+IF(VLOOKUP($R35,武学奇术!$A:$ZZ,30,FALSE)="老鼠",$B$22,0))*(1+$BW35)*(1+$BX35)</f>
        <v>47837.9080625582</v>
      </c>
      <c r="Q35" s="70">
        <v>4</v>
      </c>
      <c r="R35" s="37" t="s">
        <v>106</v>
      </c>
      <c r="S35" s="37" t="s">
        <v>91</v>
      </c>
      <c r="T35" s="37" t="s">
        <v>168</v>
      </c>
      <c r="U35" s="37" t="s">
        <v>112</v>
      </c>
      <c r="V35" s="37" t="s">
        <v>113</v>
      </c>
      <c r="W35" s="37" t="s">
        <v>82</v>
      </c>
      <c r="X35" s="37" t="s">
        <v>81</v>
      </c>
      <c r="Y35" s="37" t="s">
        <v>109</v>
      </c>
      <c r="Z35" s="37" t="s">
        <v>83</v>
      </c>
      <c r="AA35" s="37" t="s">
        <v>84</v>
      </c>
      <c r="AB35" s="37" t="s">
        <v>81</v>
      </c>
      <c r="AC35" s="37" t="s">
        <v>81</v>
      </c>
      <c r="AD35" s="37" t="s">
        <v>85</v>
      </c>
      <c r="AE35" s="37" t="s">
        <v>81</v>
      </c>
      <c r="AF35" s="37" t="s">
        <v>81</v>
      </c>
      <c r="AG35" s="37" t="s">
        <v>87</v>
      </c>
      <c r="AH35" s="37" t="s">
        <v>88</v>
      </c>
      <c r="AI35" s="37" t="s">
        <v>81</v>
      </c>
      <c r="AJ35" s="37" t="s">
        <v>81</v>
      </c>
      <c r="AK35" s="37" t="s">
        <v>81</v>
      </c>
      <c r="AL35" s="37" t="s">
        <v>81</v>
      </c>
      <c r="AM35" t="str">
        <f>VLOOKUP($R35,武学奇术!$A:$ZZ,25,FALSE)</f>
        <v>绳镖</v>
      </c>
      <c r="AN35" s="23">
        <f>VLOOKUP($R35,武学奇术!$A:$ZZ,26,FALSE)</f>
        <v>0.3675</v>
      </c>
      <c r="AO35" s="24">
        <f>VLOOKUP($R35,武学奇术!$A:$ZZ,27,FALSE)*(1+IF(OR($AM35=$F$4,$AM35=$F$5),$B$23,0))</f>
        <v>0</v>
      </c>
      <c r="AP35" s="23">
        <f>VLOOKUP($R35,武学奇术!$A:$ZZ,28,FALSE)</f>
        <v>0.55125</v>
      </c>
      <c r="AQ35" s="24">
        <f>VLOOKUP($R35,武学奇术!$A:$ZZ,29,FALSE)*(1+IF(OR($AM35=$F$4,$AM35=$F$5),$B$23,0))</f>
        <v>0</v>
      </c>
      <c r="AR35" s="23" cm="1">
        <f t="array" ref="AR35">$G$3+IFERROR(VLOOKUP($AM35,$F$4:$G$7,2,FALSE),0)+VLOOKUP($R35,武学奇术!$A:$ZZ,2,FALSE)+SUM(_xlfn.XLOOKUP($S35:$AL35,增益!$A:$A,增益!$B:$B,0))</f>
        <v>1.5743</v>
      </c>
      <c r="AS35" s="23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4150.4</v>
      </c>
      <c r="AU35" cm="1">
        <f t="array" ref="AU35">$E$10*(1+$AS35)+VLOOKUP($R35,武学奇术!$A:$ZZ,4,FALSE)+SUM(_xlfn.XLOOKUP($S35:$AL35,增益!$A:$A,增益!$D:$D,0))-$I$2</f>
        <v>4150.4</v>
      </c>
      <c r="AV35" s="29" cm="1">
        <f t="array" ref="AV35">IF($F$10-$I$3+VLOOKUP($R35,武学奇术!$A:$ZZ,6,FALSE)+SUM(_xlfn.XLOOKUP(S35:AL35,增益!$A:$A,增益!$F:$F,0))&gt;0,($F$10-$I$3+VLOOKUP($R35,武学奇术!$A:$ZZ,6,FALSE)+SUM(_xlfn.XLOOKUP(S35:AL35,增益!$A:$A,增益!$F:$F,0)))/200,($F$10-$I$3+VLOOKUP($R35,武学奇术!$A:$ZZ,6,FALSE)+SUM(_xlfn.XLOOKUP(S35:AL35,增益!$A:$A,增益!$F:$F,0)))/100)</f>
        <v>0.3289</v>
      </c>
      <c r="AW35" s="29" cm="1">
        <f t="array" ref="AW35">$G$10+VLOOKUP($R35,武学奇术!$A:$ZZ,7,FALSE)+SUM(_xlfn.XLOOKUP(S35:AL35,增益!$A:$A,增益!$G:$G,0))</f>
        <v>0.29</v>
      </c>
      <c r="AX35" s="23" cm="1">
        <f t="array" ref="AX35">VLOOKUP($R35,武学奇术!$A:$ZZ,8,FALSE)+SUM(_xlfn.XLOOKUP(S35:AL35,增益!$A:$A,增益!$H:$H,0))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29" cm="1">
        <f t="array" ref="BA35">IF($F$11-$I$4+VLOOKUP($R35,武学奇术!$A:$ZZ,9,FALSE)+SUM(_xlfn.XLOOKUP(S35:AL35,增益!$A:$A,增益!$I:$I,0))&gt;0,($F$11-$I$4+VLOOKUP($R35,武学奇术!$A:$ZZ,9,FALSE)+SUM(_xlfn.XLOOKUP(S35:AL35,增益!$A:$A,增益!$I:$I,0)))/200,($F$11-$I$4+VLOOKUP($R35,武学奇术!$A:$ZZ,9,FALSE)+SUM(_xlfn.XLOOKUP(S35:AL35,增益!$A:$A,增益!$I:$I,0)))/100)</f>
        <v>-0.14</v>
      </c>
      <c r="BB35" s="29" cm="1">
        <f t="array" ref="BB35">$G$11+VLOOKUP($R35,武学奇术!$A:$ZZ,10,FALSE)+SUM(_xlfn.XLOOKUP(S35:AL35,增益!$A:$A,增益!$J:$J,0))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29" cm="1">
        <f t="array" ref="BE35">IF($F$12-$I$4+VLOOKUP($R35,武学奇术!$A:$ZZ,11,FALSE)+SUM(_xlfn.XLOOKUP(S35:AL35,增益!$A:$A,增益!$K:$K,0))&gt;0,($F$12-$I$4+VLOOKUP($R35,武学奇术!$A:$ZZ,11,FALSE)+SUM(_xlfn.XLOOKUP(S35:AL35,增益!$A:$A,增益!$K:$K,0)))/200,($F$12-$I$4+VLOOKUP($R35,武学奇术!$A:$ZZ,11,FALSE)+SUM(_xlfn.XLOOKUP(S35:AL35,增益!$A:$A,增益!$K:$K,0)))/100)</f>
        <v>-0.14</v>
      </c>
      <c r="BF35" s="29" cm="1">
        <f t="array" ref="BF35">$G$12+VLOOKUP($R35,武学奇术!$A:$ZZ,12,FALSE)+SUM(_xlfn.XLOOKUP(S35:AL35,增益!$A:$A,增益!$L:$L,0))</f>
        <v>0.02</v>
      </c>
      <c r="BG35">
        <f t="shared" ref="BG35:BG66" si="16">$D$13*(1+$AX35)</f>
        <v>0</v>
      </c>
      <c r="BH35">
        <f t="shared" ref="BH35:BH66" si="17">$E$13*(1+$AX35)</f>
        <v>0</v>
      </c>
      <c r="BI35" s="29" cm="1">
        <f t="array" ref="BI35">IF($F$13-$I$4+VLOOKUP($R35,武学奇术!$A:$ZZ,13,FALSE)+SUM(_xlfn.XLOOKUP(S35:AL35,增益!$A:$A,增益!$M:$M,0))&gt;0,($F$13-$I$4+VLOOKUP($R35,武学奇术!$A:$ZZ,13,FALSE)+SUM(_xlfn.XLOOKUP(S35:AL35,增益!$A:$A,增益!$K:$K,0)))/200,($F$13-$I$4+VLOOKUP($R35,武学奇术!$A:$ZZ,13,FALSE)+SUM(_xlfn.XLOOKUP(S35:AL35,增益!$A:$A,增益!$M:$M,0)))/100)</f>
        <v>-0.14</v>
      </c>
      <c r="BJ35" s="29" cm="1">
        <f t="array" ref="BJ35">$G$13+VLOOKUP($R35,武学奇术!$A:$ZZ,14,FALSE)+SUM(_xlfn.XLOOKUP(S35:AL35,增益!$A:$A,增益!$N:$N,0))</f>
        <v>0.02</v>
      </c>
      <c r="BK35">
        <f t="shared" ref="BK35:BK66" si="18">$D$14*(1+$AX35)</f>
        <v>618.2</v>
      </c>
      <c r="BL35">
        <f t="shared" ref="BL35:BL66" si="19">$E$14*(1+$AX35)</f>
        <v>1805</v>
      </c>
      <c r="BM35" s="29" cm="1">
        <f t="array" ref="BM35">IF($F$14-$I$4+VLOOKUP($R35,武学奇术!$A:$ZZ,15,FALSE)+SUM(_xlfn.XLOOKUP(S35:AL35,增益!$A:$A,增益!$O:$O,0))&gt;0,($F$14-$I$4+VLOOKUP($R35,武学奇术!$A:$ZZ,15,FALSE)+SUM(_xlfn.XLOOKUP(S35:AL35,增益!$A:$A,增益!$O:$O,0)))/200,($F$14-$I$4+VLOOKUP($R35,武学奇术!$A:$ZZ,15,FALSE)+SUM(_xlfn.XLOOKUP(S35:AL35,增益!$A:$A,增益!$O:$O,0)))/100)</f>
        <v>0.13</v>
      </c>
      <c r="BN35" s="29" cm="1">
        <f t="array" ref="BN35">$G$14+VLOOKUP($R35,武学奇术!$A:$ZZ,16,FALSE)+SUM(_xlfn.XLOOKUP(S35:AL35,增益!$A:$A,增益!$P:$P,0))</f>
        <v>0.44</v>
      </c>
      <c r="BO35" s="23">
        <f>MIN(IF(VLOOKUP($R35,武学奇术!$A:$ZZ,23,FALSE)=1,100%,$B$8),100%)</f>
        <v>0.9943</v>
      </c>
      <c r="BP35" s="23" cm="1">
        <f t="array" ref="BP35">IF(VLOOKUP($R35,武学奇术!$A:$ZZ,23,FALSE)=1,100%,MIN(80%,$B$9+VLOOKUP($R35,武学奇术!$A:$ZZ,17,FALSE)+SUM(_xlfn.XLOOKUP(S35:AL35,增益!$A:$A,增益!$Q:$Q,0)))+$B$11+SUM(_xlfn.XLOOKUP(S35:AL35,增益!$A:$A,增益!$U:$U,0)))*IF(VLOOKUP($R35,武学奇术!$A:$ZZ,24,FALSE)=1,0,1)</f>
        <v>0.887</v>
      </c>
      <c r="BQ35" s="23" cm="1">
        <f t="array" ref="BQ35">1+$B$13+VLOOKUP($R35,武学奇术!$A:$ZZ,18,FALSE)+SUM(_xlfn.XLOOKUP(S35:AL35,增益!$A:$A,增益!$R:$R,0))</f>
        <v>2.094</v>
      </c>
      <c r="BR35" s="23" cm="1">
        <f t="array" ref="BR35">IF(VLOOKUP($R35,武学奇术!$A:$ZZ,24,FALSE)=1,100%,MIN(40%,$B$10+VLOOKUP($R35,武学奇术!$A:$ZZ,19,FALSE)+SUM(_xlfn.XLOOKUP(S35:AL35,增益!$A:$A,增益!$S:$S,0)))+$B$12+SUM(_xlfn.XLOOKUP(S35:AL35,增益!$A:$A,增益!$V:$V,0)))*IF(VLOOKUP($R35,武学奇术!$A:$ZZ,23,FALSE)=1,0,1)</f>
        <v>0.0913</v>
      </c>
      <c r="BS35" s="23" cm="1">
        <f t="array" ref="BS35">1+$B$14+VLOOKUP($R35,武学奇术!$A:$ZZ,20,FALSE)+SUM(_xlfn.XLOOKUP(S35:AL35,增益!$A:$A,增益!$T:$T,0))</f>
        <v>1.35</v>
      </c>
      <c r="BT35" s="23">
        <f t="shared" ref="BT35:BT66" si="20">MIN((1-BR35)*BO35,BO35*BP35)</f>
        <v>0.8819441</v>
      </c>
      <c r="BU35" s="23">
        <f t="shared" ref="BU35:BU66" si="21">1-BR35-BT35-BV35</f>
        <v>0.0215763099999999</v>
      </c>
      <c r="BV35" s="23">
        <f>IF(VLOOKUP($R35,武学奇术!$A:$ZZ,22,FALSE)=1,0,(1-$BO35))*(1-$BR35)</f>
        <v>0.00517958999999993</v>
      </c>
      <c r="BW35" s="23" cm="1">
        <f t="array" ref="BW35">SUM(_xlfn.XLOOKUP(S35:AL35,增益!$A:$A,增益!$W:$W,0))+$I$5</f>
        <v>0.11</v>
      </c>
      <c r="BX35" s="23">
        <f>VLOOKUP($R35,武学奇术!$A:$ZZ,32,FALSE)</f>
        <v>0</v>
      </c>
      <c r="BY35" s="23" cm="1">
        <f t="array" ref="BY35">SUM(_xlfn.XLOOKUP($S35:$AL35,增益!$A:$A,增益!$X:$X,0))</f>
        <v>0</v>
      </c>
    </row>
    <row r="36" spans="1:77">
      <c r="A36" s="93" t="s">
        <v>173</v>
      </c>
      <c r="B36" s="4">
        <v>0.633</v>
      </c>
      <c r="C36" s="36"/>
      <c r="D36" s="36"/>
      <c r="E36" s="36"/>
      <c r="H36">
        <v>0.6</v>
      </c>
      <c r="K36" s="35">
        <f>$L36*VLOOKUP($R36,武学奇术!$A:$ZZ,31,FALSE)</f>
        <v>30415.1092523326</v>
      </c>
      <c r="L36" s="58">
        <f t="shared" si="11"/>
        <v>27156.3475467256</v>
      </c>
      <c r="M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轻击",$B$21,0))*(1+IF(VLOOKUP($R36,武学奇术!$A:$ZZ,30,FALSE)="老鼠",$B$22,0))*(1+$BW36)*(1+$BX36)</f>
        <v>28263.4493829881</v>
      </c>
      <c r="N36" s="35">
        <f>(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轻击",$B$21,0))*(1+IF(VLOOKUP($R36,武学奇术!$A:$ZZ,30,FALSE)="老鼠",$B$22,0))*(1+$BW36))*(1+$BX36)</f>
        <v>20563.1543787332</v>
      </c>
      <c r="O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轻击",$B$21,0))*(1+IF(VLOOKUP($R36,武学奇术!$A:$ZZ,30,FALSE)="老鼠",$B$22,0))*(1+$BW36)*(1+$BX36)</f>
        <v>13497.3492755435</v>
      </c>
      <c r="P36" s="35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轻击",$B$21,0))*(1+IF(VLOOKUP($R36,武学奇术!$A:$ZZ,30,FALSE)="老鼠",$B$22,0))*(1+$BW36)*(1+$BX36)</f>
        <v>11762.7323446179</v>
      </c>
      <c r="Q36" s="36">
        <v>1</v>
      </c>
      <c r="R36" s="37" t="s">
        <v>139</v>
      </c>
      <c r="S36" s="37" t="s">
        <v>91</v>
      </c>
      <c r="T36" s="37" t="s">
        <v>168</v>
      </c>
      <c r="U36" s="37" t="s">
        <v>112</v>
      </c>
      <c r="V36" s="37" t="s">
        <v>113</v>
      </c>
      <c r="W36" s="37" t="s">
        <v>82</v>
      </c>
      <c r="X36" s="37" t="s">
        <v>81</v>
      </c>
      <c r="Y36" s="37" t="s">
        <v>109</v>
      </c>
      <c r="Z36" s="37" t="s">
        <v>83</v>
      </c>
      <c r="AA36" s="37" t="s">
        <v>84</v>
      </c>
      <c r="AB36" s="37" t="s">
        <v>81</v>
      </c>
      <c r="AC36" s="37" t="s">
        <v>81</v>
      </c>
      <c r="AD36" s="37" t="s">
        <v>85</v>
      </c>
      <c r="AE36" s="37" t="s">
        <v>81</v>
      </c>
      <c r="AF36" s="37" t="s">
        <v>81</v>
      </c>
      <c r="AG36" s="37" t="s">
        <v>87</v>
      </c>
      <c r="AH36" s="37" t="s">
        <v>88</v>
      </c>
      <c r="AI36" s="37" t="s">
        <v>81</v>
      </c>
      <c r="AJ36" s="37" t="s">
        <v>81</v>
      </c>
      <c r="AK36" s="37" t="s">
        <v>81</v>
      </c>
      <c r="AL36" s="37" t="s">
        <v>81</v>
      </c>
      <c r="AM36" t="str">
        <f>VLOOKUP($R36,武学奇术!$A:$ZZ,25,FALSE)</f>
        <v>双刀</v>
      </c>
      <c r="AN36" s="23">
        <f>VLOOKUP($R36,武学奇术!$A:$ZZ,26,FALSE)</f>
        <v>0.6472</v>
      </c>
      <c r="AO36" s="24">
        <f>VLOOKUP($R36,武学奇术!$A:$ZZ,27,FALSE)*(1+IF(OR($AM36=$F$4,$AM36=$F$5),$B$23,0))</f>
        <v>288</v>
      </c>
      <c r="AP36" s="23">
        <f>VLOOKUP($R36,武学奇术!$A:$ZZ,28,FALSE)</f>
        <v>0.9708</v>
      </c>
      <c r="AQ36" s="24">
        <f>VLOOKUP($R36,武学奇术!$A:$ZZ,29,FALSE)*(1+IF(OR($AM36=$F$4,$AM36=$F$5),$B$23,0))</f>
        <v>156.8</v>
      </c>
      <c r="AR36" s="23" cm="1">
        <f t="array" ref="AR36">$G$3+IFERROR(VLOOKUP($AM36,$F$4:$G$7,2,FALSE),0)+VLOOKUP($R36,武学奇术!$A:$ZZ,2,FALSE)+SUM(_xlfn.XLOOKUP($S36:$AL36,增益!$A:$A,增益!$B:$B,0))</f>
        <v>0.7743</v>
      </c>
      <c r="AS36" s="23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4150.4</v>
      </c>
      <c r="AU36" cm="1">
        <f t="array" ref="AU36">$E$10*(1+$AS36)+VLOOKUP($R36,武学奇术!$A:$ZZ,4,FALSE)+SUM(_xlfn.XLOOKUP($S36:$AL36,增益!$A:$A,增益!$D:$D,0))-$I$2</f>
        <v>4150.4</v>
      </c>
      <c r="AV36" s="29" cm="1">
        <f t="array" ref="AV36">IF($F$10-$I$3+VLOOKUP($R36,武学奇术!$A:$ZZ,6,FALSE)+SUM(_xlfn.XLOOKUP(S36:AL36,增益!$A:$A,增益!$F:$F,0))&gt;0,($F$10-$I$3+VLOOKUP($R36,武学奇术!$A:$ZZ,6,FALSE)+SUM(_xlfn.XLOOKUP(S36:AL36,增益!$A:$A,增益!$F:$F,0)))/200,($F$10-$I$3+VLOOKUP($R36,武学奇术!$A:$ZZ,6,FALSE)+SUM(_xlfn.XLOOKUP(S36:AL36,增益!$A:$A,增益!$F:$F,0)))/100)</f>
        <v>0.3289</v>
      </c>
      <c r="AW36" s="29" cm="1">
        <f t="array" ref="AW36">$G$10+VLOOKUP($R36,武学奇术!$A:$ZZ,7,FALSE)+SUM(_xlfn.XLOOKUP(S36:AL36,增益!$A:$A,增益!$G:$G,0))</f>
        <v>0.08</v>
      </c>
      <c r="AX36" s="23" cm="1">
        <f t="array" ref="AX36">VLOOKUP($R36,武学奇术!$A:$ZZ,8,FALSE)+SUM(_xlfn.XLOOKUP(S36:AL36,增益!$A:$A,增益!$H:$H,0))</f>
        <v>0</v>
      </c>
      <c r="AY36">
        <f t="shared" si="12"/>
        <v>0</v>
      </c>
      <c r="AZ36">
        <f t="shared" si="13"/>
        <v>0</v>
      </c>
      <c r="BA36" s="29" cm="1">
        <f t="array" ref="BA36">IF($F$11-$I$4+VLOOKUP($R36,武学奇术!$A:$ZZ,9,FALSE)+SUM(_xlfn.XLOOKUP(S36:AL36,增益!$A:$A,增益!$I:$I,0))&gt;0,($F$11-$I$4+VLOOKUP($R36,武学奇术!$A:$ZZ,9,FALSE)+SUM(_xlfn.XLOOKUP(S36:AL36,增益!$A:$A,增益!$I:$I,0)))/200,($F$11-$I$4+VLOOKUP($R36,武学奇术!$A:$ZZ,9,FALSE)+SUM(_xlfn.XLOOKUP(S36:AL36,增益!$A:$A,增益!$I:$I,0)))/100)</f>
        <v>-0.14</v>
      </c>
      <c r="BB36" s="29" cm="1">
        <f t="array" ref="BB36">$G$11+VLOOKUP($R36,武学奇术!$A:$ZZ,10,FALSE)+SUM(_xlfn.XLOOKUP(S36:AL36,增益!$A:$A,增益!$J:$J,0))</f>
        <v>0.02</v>
      </c>
      <c r="BC36">
        <f t="shared" si="14"/>
        <v>0</v>
      </c>
      <c r="BD36">
        <f t="shared" si="15"/>
        <v>0</v>
      </c>
      <c r="BE36" s="29" cm="1">
        <f t="array" ref="BE36">IF($F$12-$I$4+VLOOKUP($R36,武学奇术!$A:$ZZ,11,FALSE)+SUM(_xlfn.XLOOKUP(S36:AL36,增益!$A:$A,增益!$K:$K,0))&gt;0,($F$12-$I$4+VLOOKUP($R36,武学奇术!$A:$ZZ,11,FALSE)+SUM(_xlfn.XLOOKUP(S36:AL36,增益!$A:$A,增益!$K:$K,0)))/200,($F$12-$I$4+VLOOKUP($R36,武学奇术!$A:$ZZ,11,FALSE)+SUM(_xlfn.XLOOKUP(S36:AL36,增益!$A:$A,增益!$K:$K,0)))/100)</f>
        <v>-0.14</v>
      </c>
      <c r="BF36" s="29" cm="1">
        <f t="array" ref="BF36">$G$12+VLOOKUP($R36,武学奇术!$A:$ZZ,12,FALSE)+SUM(_xlfn.XLOOKUP(S36:AL36,增益!$A:$A,增益!$L:$L,0))</f>
        <v>0.02</v>
      </c>
      <c r="BG36">
        <f t="shared" si="16"/>
        <v>0</v>
      </c>
      <c r="BH36">
        <f t="shared" si="17"/>
        <v>0</v>
      </c>
      <c r="BI36" s="29" cm="1">
        <f t="array" ref="BI36">IF($F$13-$I$4+VLOOKUP($R36,武学奇术!$A:$ZZ,13,FALSE)+SUM(_xlfn.XLOOKUP(S36:AL36,增益!$A:$A,增益!$M:$M,0))&gt;0,($F$13-$I$4+VLOOKUP($R36,武学奇术!$A:$ZZ,13,FALSE)+SUM(_xlfn.XLOOKUP(S36:AL36,增益!$A:$A,增益!$K:$K,0)))/200,($F$13-$I$4+VLOOKUP($R36,武学奇术!$A:$ZZ,13,FALSE)+SUM(_xlfn.XLOOKUP(S36:AL36,增益!$A:$A,增益!$M:$M,0)))/100)</f>
        <v>-0.14</v>
      </c>
      <c r="BJ36" s="29" cm="1">
        <f t="array" ref="BJ36">$G$13+VLOOKUP($R36,武学奇术!$A:$ZZ,14,FALSE)+SUM(_xlfn.XLOOKUP(S36:AL36,增益!$A:$A,增益!$N:$N,0))</f>
        <v>0.02</v>
      </c>
      <c r="BK36">
        <f t="shared" si="18"/>
        <v>618.2</v>
      </c>
      <c r="BL36">
        <f t="shared" si="19"/>
        <v>1805</v>
      </c>
      <c r="BM36" s="29" cm="1">
        <f t="array" ref="BM36">IF($F$14-$I$4+VLOOKUP($R36,武学奇术!$A:$ZZ,15,FALSE)+SUM(_xlfn.XLOOKUP(S36:AL36,增益!$A:$A,增益!$O:$O,0))&gt;0,($F$14-$I$4+VLOOKUP($R36,武学奇术!$A:$ZZ,15,FALSE)+SUM(_xlfn.XLOOKUP(S36:AL36,增益!$A:$A,增益!$O:$O,0)))/200,($F$14-$I$4+VLOOKUP($R36,武学奇术!$A:$ZZ,15,FALSE)+SUM(_xlfn.XLOOKUP(S36:AL36,增益!$A:$A,增益!$O:$O,0)))/100)</f>
        <v>0.13</v>
      </c>
      <c r="BN36" s="29" cm="1">
        <f t="array" ref="BN36">$G$14+VLOOKUP($R36,武学奇术!$A:$ZZ,16,FALSE)+SUM(_xlfn.XLOOKUP(S36:AL36,增益!$A:$A,增益!$P:$P,0))</f>
        <v>0.23</v>
      </c>
      <c r="BO36" s="23">
        <f>MIN(IF(VLOOKUP($R36,武学奇术!$A:$ZZ,23,FALSE)=1,100%,$B$8),100%)</f>
        <v>0.9943</v>
      </c>
      <c r="BP36" s="23" cm="1">
        <f t="array" ref="BP36">IF(VLOOKUP($R36,武学奇术!$A:$ZZ,23,FALSE)=1,100%,MIN(80%,$B$9+VLOOKUP($R36,武学奇术!$A:$ZZ,17,FALSE)+SUM(_xlfn.XLOOKUP(S36:AL36,增益!$A:$A,增益!$Q:$Q,0)))+$B$11+SUM(_xlfn.XLOOKUP(S36:AL36,增益!$A:$A,增益!$U:$U,0)))*IF(VLOOKUP($R36,武学奇术!$A:$ZZ,24,FALSE)=1,0,1)</f>
        <v>0.887</v>
      </c>
      <c r="BQ36" s="23" cm="1">
        <f t="array" ref="BQ36">1+$B$13+VLOOKUP($R36,武学奇术!$A:$ZZ,18,FALSE)+SUM(_xlfn.XLOOKUP(S36:AL36,增益!$A:$A,增益!$R:$R,0))</f>
        <v>2.094</v>
      </c>
      <c r="BR36" s="23" cm="1">
        <f t="array" ref="BR36">IF(VLOOKUP($R36,武学奇术!$A:$ZZ,24,FALSE)=1,100%,MIN(40%,$B$10+VLOOKUP($R36,武学奇术!$A:$ZZ,19,FALSE)+SUM(_xlfn.XLOOKUP(S36:AL36,增益!$A:$A,增益!$S:$S,0)))+$B$12+SUM(_xlfn.XLOOKUP(S36:AL36,增益!$A:$A,增益!$V:$V,0)))*IF(VLOOKUP($R36,武学奇术!$A:$ZZ,23,FALSE)=1,0,1)</f>
        <v>0.0913</v>
      </c>
      <c r="BS36" s="23" cm="1">
        <f t="array" ref="BS36">1+$B$14+VLOOKUP($R36,武学奇术!$A:$ZZ,20,FALSE)+SUM(_xlfn.XLOOKUP(S36:AL36,增益!$A:$A,增益!$T:$T,0))</f>
        <v>1.35</v>
      </c>
      <c r="BT36" s="23">
        <f t="shared" si="20"/>
        <v>0.8819441</v>
      </c>
      <c r="BU36" s="23">
        <f t="shared" si="21"/>
        <v>0.0215763099999999</v>
      </c>
      <c r="BV36" s="23">
        <f>IF(VLOOKUP($R36,武学奇术!$A:$ZZ,22,FALSE)=1,0,(1-$BO36))*(1-$BR36)</f>
        <v>0.00517958999999993</v>
      </c>
      <c r="BW36" s="23" cm="1">
        <f t="array" ref="BW36">SUM(_xlfn.XLOOKUP(S36:AL36,增益!$A:$A,增益!$W:$W,0))+$I$5</f>
        <v>0.11</v>
      </c>
      <c r="BX36" s="23">
        <f>VLOOKUP($R36,武学奇术!$A:$ZZ,32,FALSE)</f>
        <v>0.1</v>
      </c>
      <c r="BY36" s="23" cm="1">
        <f t="array" ref="BY36">SUM(_xlfn.XLOOKUP($S36:$AL36,增益!$A:$A,增益!$X:$X,0))</f>
        <v>0</v>
      </c>
    </row>
    <row r="37" spans="1:77">
      <c r="A37" s="93">
        <v>12345</v>
      </c>
      <c r="B37" s="4">
        <v>3.3</v>
      </c>
      <c r="C37" s="36"/>
      <c r="D37" s="36"/>
      <c r="E37" s="36"/>
      <c r="H37">
        <v>0.9</v>
      </c>
      <c r="K37" s="35">
        <f>$L37*VLOOKUP($R37,武学奇术!$A:$ZZ,31,FALSE)</f>
        <v>42337.214818188</v>
      </c>
      <c r="L37" s="58">
        <f t="shared" si="11"/>
        <v>37801.0846590965</v>
      </c>
      <c r="M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轻击",$B$21,0))*(1+IF(VLOOKUP($R37,武学奇术!$A:$ZZ,30,FALSE)="老鼠",$B$22,0))*(1+$BW37)*(1+$BX37)</f>
        <v>39342.0448239494</v>
      </c>
      <c r="N37" s="35">
        <f>(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轻击",$B$21,0))*(1+IF(VLOOKUP($R37,武学奇术!$A:$ZZ,30,FALSE)="老鼠",$B$22,0))*(1+$BW37))*(1+$BX37)</f>
        <v>28624.5514080887</v>
      </c>
      <c r="O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轻击",$B$21,0))*(1+IF(VLOOKUP($R37,武学奇术!$A:$ZZ,30,FALSE)="老鼠",$B$22,0))*(1+$BW37)*(1+$BX37)</f>
        <v>18787.9870219433</v>
      </c>
      <c r="P37" s="35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轻击",$B$21,0))*(1+IF(VLOOKUP($R37,武学奇术!$A:$ZZ,30,FALSE)="老鼠",$B$22,0))*(1+$BW37)*(1+$BX37)</f>
        <v>16372.6026304877</v>
      </c>
      <c r="Q37" s="88">
        <v>1</v>
      </c>
      <c r="R37" s="37" t="s">
        <v>143</v>
      </c>
      <c r="S37" s="37" t="s">
        <v>91</v>
      </c>
      <c r="T37" s="37" t="s">
        <v>168</v>
      </c>
      <c r="U37" s="37" t="s">
        <v>112</v>
      </c>
      <c r="V37" s="37" t="s">
        <v>113</v>
      </c>
      <c r="W37" s="37" t="s">
        <v>82</v>
      </c>
      <c r="X37" s="37" t="s">
        <v>81</v>
      </c>
      <c r="Y37" s="37" t="s">
        <v>109</v>
      </c>
      <c r="Z37" s="37" t="s">
        <v>83</v>
      </c>
      <c r="AA37" s="37" t="s">
        <v>84</v>
      </c>
      <c r="AB37" s="37" t="s">
        <v>81</v>
      </c>
      <c r="AC37" s="37" t="s">
        <v>81</v>
      </c>
      <c r="AD37" s="37" t="s">
        <v>85</v>
      </c>
      <c r="AE37" s="37" t="s">
        <v>81</v>
      </c>
      <c r="AF37" s="37" t="s">
        <v>81</v>
      </c>
      <c r="AG37" s="37" t="s">
        <v>87</v>
      </c>
      <c r="AH37" s="37" t="s">
        <v>88</v>
      </c>
      <c r="AI37" s="37" t="s">
        <v>81</v>
      </c>
      <c r="AJ37" s="37" t="s">
        <v>81</v>
      </c>
      <c r="AK37" s="37" t="s">
        <v>81</v>
      </c>
      <c r="AL37" s="37" t="s">
        <v>81</v>
      </c>
      <c r="AM37" t="str">
        <f>VLOOKUP($R37,武学奇术!$A:$ZZ,25,FALSE)</f>
        <v>双刀</v>
      </c>
      <c r="AN37" s="23">
        <f>VLOOKUP($R37,武学奇术!$A:$ZZ,26,FALSE)</f>
        <v>0.9012</v>
      </c>
      <c r="AO37" s="24">
        <f>VLOOKUP($R37,武学奇术!$A:$ZZ,27,FALSE)*(1+IF(OR($AM37=$F$4,$AM37=$F$5),$B$23,0))</f>
        <v>400</v>
      </c>
      <c r="AP37" s="23">
        <f>VLOOKUP($R37,武学奇术!$A:$ZZ,28,FALSE)</f>
        <v>1.3518</v>
      </c>
      <c r="AQ37" s="24">
        <f>VLOOKUP($R37,武学奇术!$A:$ZZ,29,FALSE)*(1+IF(OR($AM37=$F$4,$AM37=$F$5),$B$23,0))</f>
        <v>217.6</v>
      </c>
      <c r="AR37" s="23" cm="1">
        <f t="array" ref="AR37">$G$3+IFERROR(VLOOKUP($AM37,$F$4:$G$7,2,FALSE),0)+VLOOKUP($R37,武学奇术!$A:$ZZ,2,FALSE)+SUM(_xlfn.XLOOKUP($S37:$AL37,增益!$A:$A,增益!$B:$B,0))</f>
        <v>0.7743</v>
      </c>
      <c r="AS37" s="23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4150.4</v>
      </c>
      <c r="AU37" cm="1">
        <f t="array" ref="AU37">$E$10*(1+$AS37)+VLOOKUP($R37,武学奇术!$A:$ZZ,4,FALSE)+SUM(_xlfn.XLOOKUP($S37:$AL37,增益!$A:$A,增益!$D:$D,0))-$I$2</f>
        <v>4150.4</v>
      </c>
      <c r="AV37" s="29" cm="1">
        <f t="array" ref="AV37">IF($F$10-$I$3+VLOOKUP($R37,武学奇术!$A:$ZZ,6,FALSE)+SUM(_xlfn.XLOOKUP(S37:AL37,增益!$A:$A,增益!$F:$F,0))&gt;0,($F$10-$I$3+VLOOKUP($R37,武学奇术!$A:$ZZ,6,FALSE)+SUM(_xlfn.XLOOKUP(S37:AL37,增益!$A:$A,增益!$F:$F,0)))/200,($F$10-$I$3+VLOOKUP($R37,武学奇术!$A:$ZZ,6,FALSE)+SUM(_xlfn.XLOOKUP(S37:AL37,增益!$A:$A,增益!$F:$F,0)))/100)</f>
        <v>0.3289</v>
      </c>
      <c r="AW37" s="29" cm="1">
        <f t="array" ref="AW37">$G$10+VLOOKUP($R37,武学奇术!$A:$ZZ,7,FALSE)+SUM(_xlfn.XLOOKUP(S37:AL37,增益!$A:$A,增益!$G:$G,0))</f>
        <v>0.08</v>
      </c>
      <c r="AX37" s="23" cm="1">
        <f t="array" ref="AX37">VLOOKUP($R37,武学奇术!$A:$ZZ,8,FALSE)+SUM(_xlfn.XLOOKUP(S37:AL37,增益!$A:$A,增益!$H:$H,0))</f>
        <v>0</v>
      </c>
      <c r="AY37">
        <f t="shared" si="12"/>
        <v>0</v>
      </c>
      <c r="AZ37">
        <f t="shared" si="13"/>
        <v>0</v>
      </c>
      <c r="BA37" s="29" cm="1">
        <f t="array" ref="BA37">IF($F$11-$I$4+VLOOKUP($R37,武学奇术!$A:$ZZ,9,FALSE)+SUM(_xlfn.XLOOKUP(S37:AL37,增益!$A:$A,增益!$I:$I,0))&gt;0,($F$11-$I$4+VLOOKUP($R37,武学奇术!$A:$ZZ,9,FALSE)+SUM(_xlfn.XLOOKUP(S37:AL37,增益!$A:$A,增益!$I:$I,0)))/200,($F$11-$I$4+VLOOKUP($R37,武学奇术!$A:$ZZ,9,FALSE)+SUM(_xlfn.XLOOKUP(S37:AL37,增益!$A:$A,增益!$I:$I,0)))/100)</f>
        <v>-0.14</v>
      </c>
      <c r="BB37" s="29" cm="1">
        <f t="array" ref="BB37">$G$11+VLOOKUP($R37,武学奇术!$A:$ZZ,10,FALSE)+SUM(_xlfn.XLOOKUP(S37:AL37,增益!$A:$A,增益!$J:$J,0))</f>
        <v>0.02</v>
      </c>
      <c r="BC37">
        <f t="shared" si="14"/>
        <v>0</v>
      </c>
      <c r="BD37">
        <f t="shared" si="15"/>
        <v>0</v>
      </c>
      <c r="BE37" s="29" cm="1">
        <f t="array" ref="BE37">IF($F$12-$I$4+VLOOKUP($R37,武学奇术!$A:$ZZ,11,FALSE)+SUM(_xlfn.XLOOKUP(S37:AL37,增益!$A:$A,增益!$K:$K,0))&gt;0,($F$12-$I$4+VLOOKUP($R37,武学奇术!$A:$ZZ,11,FALSE)+SUM(_xlfn.XLOOKUP(S37:AL37,增益!$A:$A,增益!$K:$K,0)))/200,($F$12-$I$4+VLOOKUP($R37,武学奇术!$A:$ZZ,11,FALSE)+SUM(_xlfn.XLOOKUP(S37:AL37,增益!$A:$A,增益!$K:$K,0)))/100)</f>
        <v>-0.14</v>
      </c>
      <c r="BF37" s="29" cm="1">
        <f t="array" ref="BF37">$G$12+VLOOKUP($R37,武学奇术!$A:$ZZ,12,FALSE)+SUM(_xlfn.XLOOKUP(S37:AL37,增益!$A:$A,增益!$L:$L,0))</f>
        <v>0.02</v>
      </c>
      <c r="BG37">
        <f t="shared" si="16"/>
        <v>0</v>
      </c>
      <c r="BH37">
        <f t="shared" si="17"/>
        <v>0</v>
      </c>
      <c r="BI37" s="29" cm="1">
        <f t="array" ref="BI37">IF($F$13-$I$4+VLOOKUP($R37,武学奇术!$A:$ZZ,13,FALSE)+SUM(_xlfn.XLOOKUP(S37:AL37,增益!$A:$A,增益!$M:$M,0))&gt;0,($F$13-$I$4+VLOOKUP($R37,武学奇术!$A:$ZZ,13,FALSE)+SUM(_xlfn.XLOOKUP(S37:AL37,增益!$A:$A,增益!$K:$K,0)))/200,($F$13-$I$4+VLOOKUP($R37,武学奇术!$A:$ZZ,13,FALSE)+SUM(_xlfn.XLOOKUP(S37:AL37,增益!$A:$A,增益!$M:$M,0)))/100)</f>
        <v>-0.14</v>
      </c>
      <c r="BJ37" s="29" cm="1">
        <f t="array" ref="BJ37">$G$13+VLOOKUP($R37,武学奇术!$A:$ZZ,14,FALSE)+SUM(_xlfn.XLOOKUP(S37:AL37,增益!$A:$A,增益!$N:$N,0))</f>
        <v>0.02</v>
      </c>
      <c r="BK37">
        <f t="shared" si="18"/>
        <v>618.2</v>
      </c>
      <c r="BL37">
        <f t="shared" si="19"/>
        <v>1805</v>
      </c>
      <c r="BM37" s="29" cm="1">
        <f t="array" ref="BM37">IF($F$14-$I$4+VLOOKUP($R37,武学奇术!$A:$ZZ,15,FALSE)+SUM(_xlfn.XLOOKUP(S37:AL37,增益!$A:$A,增益!$O:$O,0))&gt;0,($F$14-$I$4+VLOOKUP($R37,武学奇术!$A:$ZZ,15,FALSE)+SUM(_xlfn.XLOOKUP(S37:AL37,增益!$A:$A,增益!$O:$O,0)))/200,($F$14-$I$4+VLOOKUP($R37,武学奇术!$A:$ZZ,15,FALSE)+SUM(_xlfn.XLOOKUP(S37:AL37,增益!$A:$A,增益!$O:$O,0)))/100)</f>
        <v>0.13</v>
      </c>
      <c r="BN37" s="29" cm="1">
        <f t="array" ref="BN37">$G$14+VLOOKUP($R37,武学奇术!$A:$ZZ,16,FALSE)+SUM(_xlfn.XLOOKUP(S37:AL37,增益!$A:$A,增益!$P:$P,0))</f>
        <v>0.23</v>
      </c>
      <c r="BO37" s="23">
        <f>MIN(IF(VLOOKUP($R37,武学奇术!$A:$ZZ,23,FALSE)=1,100%,$B$8),100%)</f>
        <v>0.9943</v>
      </c>
      <c r="BP37" s="23" cm="1">
        <f t="array" ref="BP37">IF(VLOOKUP($R37,武学奇术!$A:$ZZ,23,FALSE)=1,100%,MIN(80%,$B$9+VLOOKUP($R37,武学奇术!$A:$ZZ,17,FALSE)+SUM(_xlfn.XLOOKUP(S37:AL37,增益!$A:$A,增益!$Q:$Q,0)))+$B$11+SUM(_xlfn.XLOOKUP(S37:AL37,增益!$A:$A,增益!$U:$U,0)))*IF(VLOOKUP($R37,武学奇术!$A:$ZZ,24,FALSE)=1,0,1)</f>
        <v>0.887</v>
      </c>
      <c r="BQ37" s="23" cm="1">
        <f t="array" ref="BQ37">1+$B$13+VLOOKUP($R37,武学奇术!$A:$ZZ,18,FALSE)+SUM(_xlfn.XLOOKUP(S37:AL37,增益!$A:$A,增益!$R:$R,0))</f>
        <v>2.094</v>
      </c>
      <c r="BR37" s="23" cm="1">
        <f t="array" ref="BR37">IF(VLOOKUP($R37,武学奇术!$A:$ZZ,24,FALSE)=1,100%,MIN(40%,$B$10+VLOOKUP($R37,武学奇术!$A:$ZZ,19,FALSE)+SUM(_xlfn.XLOOKUP(S37:AL37,增益!$A:$A,增益!$S:$S,0)))+$B$12+SUM(_xlfn.XLOOKUP(S37:AL37,增益!$A:$A,增益!$V:$V,0)))*IF(VLOOKUP($R37,武学奇术!$A:$ZZ,23,FALSE)=1,0,1)</f>
        <v>0.0913</v>
      </c>
      <c r="BS37" s="23" cm="1">
        <f t="array" ref="BS37">1+$B$14+VLOOKUP($R37,武学奇术!$A:$ZZ,20,FALSE)+SUM(_xlfn.XLOOKUP(S37:AL37,增益!$A:$A,增益!$T:$T,0))</f>
        <v>1.35</v>
      </c>
      <c r="BT37" s="23">
        <f t="shared" si="20"/>
        <v>0.8819441</v>
      </c>
      <c r="BU37" s="23">
        <f t="shared" si="21"/>
        <v>0.0215763099999999</v>
      </c>
      <c r="BV37" s="23">
        <f>IF(VLOOKUP($R37,武学奇术!$A:$ZZ,22,FALSE)=1,0,(1-$BO37))*(1-$BR37)</f>
        <v>0.00517958999999993</v>
      </c>
      <c r="BW37" s="23" cm="1">
        <f t="array" ref="BW37">SUM(_xlfn.XLOOKUP(S37:AL37,增益!$A:$A,增益!$W:$W,0))+$I$5</f>
        <v>0.11</v>
      </c>
      <c r="BX37" s="23">
        <f>VLOOKUP($R37,武学奇术!$A:$ZZ,32,FALSE)</f>
        <v>0.1</v>
      </c>
      <c r="BY37" s="23" cm="1">
        <f t="array" ref="BY37">SUM(_xlfn.XLOOKUP($S37:$AL37,增益!$A:$A,增益!$X:$X,0))</f>
        <v>0</v>
      </c>
    </row>
    <row r="38" spans="1:77">
      <c r="A38" s="93" t="s">
        <v>174</v>
      </c>
      <c r="B38" s="4">
        <v>0.6</v>
      </c>
      <c r="C38" s="36"/>
      <c r="D38" s="36"/>
      <c r="E38" s="36"/>
      <c r="K38" s="35">
        <f>$L38*VLOOKUP($R38,武学奇术!$A:$ZZ,31,FALSE)</f>
        <v>67905.9569882587</v>
      </c>
      <c r="L38" s="35">
        <f t="shared" si="11"/>
        <v>60630.3187395167</v>
      </c>
      <c r="M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轻击",$B$21,0))*(1+IF(VLOOKUP($R38,武学奇术!$A:$ZZ,30,FALSE)="老鼠",$B$22,0))*(1+$BW38)*(1+$BX38)</f>
        <v>63101.8884271868</v>
      </c>
      <c r="N38" s="35">
        <f>(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轻击",$B$21,0))*(1+IF(VLOOKUP($R38,武学奇术!$A:$ZZ,30,FALSE)="老鼠",$B$22,0))*(1+$BW38))*(1+$BX38)</f>
        <v>45912.037463707</v>
      </c>
      <c r="O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轻击",$B$21,0))*(1+IF(VLOOKUP($R38,武学奇术!$A:$ZZ,30,FALSE)="老鼠",$B$22,0))*(1+$BW38)*(1+$BX38)</f>
        <v>30134.6172049602</v>
      </c>
      <c r="P38" s="35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轻击",$B$21,0))*(1+IF(VLOOKUP($R38,武学奇术!$A:$ZZ,30,FALSE)="老鼠",$B$22,0))*(1+$BW38)*(1+$BX38)</f>
        <v>26260.3177701375</v>
      </c>
      <c r="Q38" s="88">
        <v>1</v>
      </c>
      <c r="R38" s="37" t="s">
        <v>148</v>
      </c>
      <c r="S38" s="37" t="s">
        <v>91</v>
      </c>
      <c r="T38" s="37" t="s">
        <v>168</v>
      </c>
      <c r="U38" s="37" t="s">
        <v>112</v>
      </c>
      <c r="V38" s="37" t="s">
        <v>113</v>
      </c>
      <c r="W38" s="37" t="s">
        <v>82</v>
      </c>
      <c r="X38" s="37" t="s">
        <v>81</v>
      </c>
      <c r="Y38" s="37" t="s">
        <v>109</v>
      </c>
      <c r="Z38" s="37" t="s">
        <v>83</v>
      </c>
      <c r="AA38" s="37" t="s">
        <v>84</v>
      </c>
      <c r="AB38" s="37" t="s">
        <v>81</v>
      </c>
      <c r="AC38" s="37" t="s">
        <v>81</v>
      </c>
      <c r="AD38" s="37" t="s">
        <v>85</v>
      </c>
      <c r="AE38" s="37" t="s">
        <v>81</v>
      </c>
      <c r="AF38" s="37" t="s">
        <v>81</v>
      </c>
      <c r="AG38" s="37" t="s">
        <v>87</v>
      </c>
      <c r="AH38" s="37" t="s">
        <v>88</v>
      </c>
      <c r="AI38" s="37" t="s">
        <v>81</v>
      </c>
      <c r="AJ38" s="37" t="s">
        <v>81</v>
      </c>
      <c r="AK38" s="37" t="s">
        <v>81</v>
      </c>
      <c r="AL38" s="37" t="s">
        <v>81</v>
      </c>
      <c r="AM38" t="str">
        <f>VLOOKUP($R38,武学奇术!$A:$ZZ,25,FALSE)</f>
        <v>双刀</v>
      </c>
      <c r="AN38" s="23">
        <f>VLOOKUP($R38,武学奇术!$A:$ZZ,26,FALSE)</f>
        <v>1.4455</v>
      </c>
      <c r="AO38" s="24">
        <f>VLOOKUP($R38,武学奇术!$A:$ZZ,27,FALSE)*(1+IF(OR($AM38=$F$4,$AM38=$F$5),$B$23,0))</f>
        <v>641.6</v>
      </c>
      <c r="AP38" s="23">
        <f>VLOOKUP($R38,武学奇术!$A:$ZZ,28,FALSE)</f>
        <v>2.1683</v>
      </c>
      <c r="AQ38" s="24">
        <f>VLOOKUP($R38,武学奇术!$A:$ZZ,29,FALSE)*(1+IF(OR($AM38=$F$4,$AM38=$F$5),$B$23,0))</f>
        <v>348.8</v>
      </c>
      <c r="AR38" s="23" cm="1">
        <f t="array" ref="AR38">$G$3+IFERROR(VLOOKUP($AM38,$F$4:$G$7,2,FALSE),0)+VLOOKUP($R38,武学奇术!$A:$ZZ,2,FALSE)+SUM(_xlfn.XLOOKUP($S38:$AL38,增益!$A:$A,增益!$B:$B,0))</f>
        <v>0.7743</v>
      </c>
      <c r="AS38" s="23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4150.4</v>
      </c>
      <c r="AU38" cm="1">
        <f t="array" ref="AU38">$E$10*(1+$AS38)+VLOOKUP($R38,武学奇术!$A:$ZZ,4,FALSE)+SUM(_xlfn.XLOOKUP($S38:$AL38,增益!$A:$A,增益!$D:$D,0))-$I$2</f>
        <v>4150.4</v>
      </c>
      <c r="AV38" s="29" cm="1">
        <f t="array" ref="AV38">IF($F$10-$I$3+VLOOKUP($R38,武学奇术!$A:$ZZ,6,FALSE)+SUM(_xlfn.XLOOKUP(S38:AL38,增益!$A:$A,增益!$F:$F,0))&gt;0,($F$10-$I$3+VLOOKUP($R38,武学奇术!$A:$ZZ,6,FALSE)+SUM(_xlfn.XLOOKUP(S38:AL38,增益!$A:$A,增益!$F:$F,0)))/200,($F$10-$I$3+VLOOKUP($R38,武学奇术!$A:$ZZ,6,FALSE)+SUM(_xlfn.XLOOKUP(S38:AL38,增益!$A:$A,增益!$F:$F,0)))/100)</f>
        <v>0.3289</v>
      </c>
      <c r="AW38" s="29" cm="1">
        <f t="array" ref="AW38">$G$10+VLOOKUP($R38,武学奇术!$A:$ZZ,7,FALSE)+SUM(_xlfn.XLOOKUP(S38:AL38,增益!$A:$A,增益!$G:$G,0))</f>
        <v>0.08</v>
      </c>
      <c r="AX38" s="23" cm="1">
        <f t="array" ref="AX38">VLOOKUP($R38,武学奇术!$A:$ZZ,8,FALSE)+SUM(_xlfn.XLOOKUP(S38:AL38,增益!$A:$A,增益!$H:$H,0))</f>
        <v>0</v>
      </c>
      <c r="AY38">
        <f t="shared" si="12"/>
        <v>0</v>
      </c>
      <c r="AZ38">
        <f t="shared" si="13"/>
        <v>0</v>
      </c>
      <c r="BA38" s="29" cm="1">
        <f t="array" ref="BA38">IF($F$11-$I$4+VLOOKUP($R38,武学奇术!$A:$ZZ,9,FALSE)+SUM(_xlfn.XLOOKUP(S38:AL38,增益!$A:$A,增益!$I:$I,0))&gt;0,($F$11-$I$4+VLOOKUP($R38,武学奇术!$A:$ZZ,9,FALSE)+SUM(_xlfn.XLOOKUP(S38:AL38,增益!$A:$A,增益!$I:$I,0)))/200,($F$11-$I$4+VLOOKUP($R38,武学奇术!$A:$ZZ,9,FALSE)+SUM(_xlfn.XLOOKUP(S38:AL38,增益!$A:$A,增益!$I:$I,0)))/100)</f>
        <v>-0.14</v>
      </c>
      <c r="BB38" s="29" cm="1">
        <f t="array" ref="BB38">$G$11+VLOOKUP($R38,武学奇术!$A:$ZZ,10,FALSE)+SUM(_xlfn.XLOOKUP(S38:AL38,增益!$A:$A,增益!$J:$J,0))</f>
        <v>0.02</v>
      </c>
      <c r="BC38">
        <f t="shared" si="14"/>
        <v>0</v>
      </c>
      <c r="BD38">
        <f t="shared" si="15"/>
        <v>0</v>
      </c>
      <c r="BE38" s="29" cm="1">
        <f t="array" ref="BE38">IF($F$12-$I$4+VLOOKUP($R38,武学奇术!$A:$ZZ,11,FALSE)+SUM(_xlfn.XLOOKUP(S38:AL38,增益!$A:$A,增益!$K:$K,0))&gt;0,($F$12-$I$4+VLOOKUP($R38,武学奇术!$A:$ZZ,11,FALSE)+SUM(_xlfn.XLOOKUP(S38:AL38,增益!$A:$A,增益!$K:$K,0)))/200,($F$12-$I$4+VLOOKUP($R38,武学奇术!$A:$ZZ,11,FALSE)+SUM(_xlfn.XLOOKUP(S38:AL38,增益!$A:$A,增益!$K:$K,0)))/100)</f>
        <v>-0.14</v>
      </c>
      <c r="BF38" s="29" cm="1">
        <f t="array" ref="BF38">$G$12+VLOOKUP($R38,武学奇术!$A:$ZZ,12,FALSE)+SUM(_xlfn.XLOOKUP(S38:AL38,增益!$A:$A,增益!$L:$L,0))</f>
        <v>0.02</v>
      </c>
      <c r="BG38">
        <f t="shared" si="16"/>
        <v>0</v>
      </c>
      <c r="BH38">
        <f t="shared" si="17"/>
        <v>0</v>
      </c>
      <c r="BI38" s="29" cm="1">
        <f t="array" ref="BI38">IF($F$13-$I$4+VLOOKUP($R38,武学奇术!$A:$ZZ,13,FALSE)+SUM(_xlfn.XLOOKUP(S38:AL38,增益!$A:$A,增益!$M:$M,0))&gt;0,($F$13-$I$4+VLOOKUP($R38,武学奇术!$A:$ZZ,13,FALSE)+SUM(_xlfn.XLOOKUP(S38:AL38,增益!$A:$A,增益!$K:$K,0)))/200,($F$13-$I$4+VLOOKUP($R38,武学奇术!$A:$ZZ,13,FALSE)+SUM(_xlfn.XLOOKUP(S38:AL38,增益!$A:$A,增益!$M:$M,0)))/100)</f>
        <v>-0.14</v>
      </c>
      <c r="BJ38" s="29" cm="1">
        <f t="array" ref="BJ38">$G$13+VLOOKUP($R38,武学奇术!$A:$ZZ,14,FALSE)+SUM(_xlfn.XLOOKUP(S38:AL38,增益!$A:$A,增益!$N:$N,0))</f>
        <v>0.02</v>
      </c>
      <c r="BK38">
        <f t="shared" si="18"/>
        <v>618.2</v>
      </c>
      <c r="BL38">
        <f t="shared" si="19"/>
        <v>1805</v>
      </c>
      <c r="BM38" s="29" cm="1">
        <f t="array" ref="BM38">IF($F$14-$I$4+VLOOKUP($R38,武学奇术!$A:$ZZ,15,FALSE)+SUM(_xlfn.XLOOKUP(S38:AL38,增益!$A:$A,增益!$O:$O,0))&gt;0,($F$14-$I$4+VLOOKUP($R38,武学奇术!$A:$ZZ,15,FALSE)+SUM(_xlfn.XLOOKUP(S38:AL38,增益!$A:$A,增益!$O:$O,0)))/200,($F$14-$I$4+VLOOKUP($R38,武学奇术!$A:$ZZ,15,FALSE)+SUM(_xlfn.XLOOKUP(S38:AL38,增益!$A:$A,增益!$O:$O,0)))/100)</f>
        <v>0.13</v>
      </c>
      <c r="BN38" s="29" cm="1">
        <f t="array" ref="BN38">$G$14+VLOOKUP($R38,武学奇术!$A:$ZZ,16,FALSE)+SUM(_xlfn.XLOOKUP(S38:AL38,增益!$A:$A,增益!$P:$P,0))</f>
        <v>0.23</v>
      </c>
      <c r="BO38" s="23">
        <f>MIN(IF(VLOOKUP($R38,武学奇术!$A:$ZZ,23,FALSE)=1,100%,$B$8),100%)</f>
        <v>0.9943</v>
      </c>
      <c r="BP38" s="23" cm="1">
        <f t="array" ref="BP38">IF(VLOOKUP($R38,武学奇术!$A:$ZZ,23,FALSE)=1,100%,MIN(80%,$B$9+VLOOKUP($R38,武学奇术!$A:$ZZ,17,FALSE)+SUM(_xlfn.XLOOKUP(S38:AL38,增益!$A:$A,增益!$Q:$Q,0)))+$B$11+SUM(_xlfn.XLOOKUP(S38:AL38,增益!$A:$A,增益!$U:$U,0)))*IF(VLOOKUP($R38,武学奇术!$A:$ZZ,24,FALSE)=1,0,1)</f>
        <v>0.887</v>
      </c>
      <c r="BQ38" s="23" cm="1">
        <f t="array" ref="BQ38">1+$B$13+VLOOKUP($R38,武学奇术!$A:$ZZ,18,FALSE)+SUM(_xlfn.XLOOKUP(S38:AL38,增益!$A:$A,增益!$R:$R,0))</f>
        <v>2.094</v>
      </c>
      <c r="BR38" s="23" cm="1">
        <f t="array" ref="BR38">IF(VLOOKUP($R38,武学奇术!$A:$ZZ,24,FALSE)=1,100%,MIN(40%,$B$10+VLOOKUP($R38,武学奇术!$A:$ZZ,19,FALSE)+SUM(_xlfn.XLOOKUP(S38:AL38,增益!$A:$A,增益!$S:$S,0)))+$B$12+SUM(_xlfn.XLOOKUP(S38:AL38,增益!$A:$A,增益!$V:$V,0)))*IF(VLOOKUP($R38,武学奇术!$A:$ZZ,23,FALSE)=1,0,1)</f>
        <v>0.0913</v>
      </c>
      <c r="BS38" s="23" cm="1">
        <f t="array" ref="BS38">1+$B$14+VLOOKUP($R38,武学奇术!$A:$ZZ,20,FALSE)+SUM(_xlfn.XLOOKUP(S38:AL38,增益!$A:$A,增益!$T:$T,0))</f>
        <v>1.35</v>
      </c>
      <c r="BT38" s="23">
        <f t="shared" si="20"/>
        <v>0.8819441</v>
      </c>
      <c r="BU38" s="23">
        <f t="shared" si="21"/>
        <v>0.0215763099999999</v>
      </c>
      <c r="BV38" s="23">
        <f>IF(VLOOKUP($R38,武学奇术!$A:$ZZ,22,FALSE)=1,0,(1-$BO38))*(1-$BR38)</f>
        <v>0.00517958999999993</v>
      </c>
      <c r="BW38" s="23" cm="1">
        <f t="array" ref="BW38">SUM(_xlfn.XLOOKUP(S38:AL38,增益!$A:$A,增益!$W:$W,0))+$I$5</f>
        <v>0.11</v>
      </c>
      <c r="BX38" s="23">
        <f>VLOOKUP($R38,武学奇术!$A:$ZZ,32,FALSE)</f>
        <v>0.1</v>
      </c>
      <c r="BY38" s="23" cm="1">
        <f t="array" ref="BY38">SUM(_xlfn.XLOOKUP($S38:$AL38,增益!$A:$A,增益!$X:$X,0))</f>
        <v>0</v>
      </c>
    </row>
    <row r="39" spans="1:77">
      <c r="A39" s="93">
        <v>123</v>
      </c>
      <c r="B39" s="4">
        <v>1.8</v>
      </c>
      <c r="C39" s="36"/>
      <c r="D39" s="36"/>
      <c r="E39" s="36"/>
      <c r="K39" s="35">
        <f>$L39*VLOOKUP($R39,武学奇术!$A:$ZZ,31,FALSE)</f>
        <v>143455.958819519</v>
      </c>
      <c r="L39" s="69">
        <f t="shared" si="11"/>
        <v>140643.096881882</v>
      </c>
      <c r="M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轻击",$B$21,0))*(1+IF(VLOOKUP($R39,武学奇术!$A:$ZZ,30,FALSE)="老鼠",$B$22,0))*(1+$BW39)*(1+$BX39)</f>
        <v>146245.623509567</v>
      </c>
      <c r="N39" s="35">
        <f>(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轻击",$B$21,0))*(1+IF(VLOOKUP($R39,武学奇术!$A:$ZZ,30,FALSE)="老鼠",$B$22,0))*(1+$BW39))*(1+$BX39)</f>
        <v>107842.385672529</v>
      </c>
      <c r="O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轻击",$B$21,0))*(1+IF(VLOOKUP($R39,武学奇术!$A:$ZZ,30,FALSE)="老鼠",$B$22,0))*(1+$BW39)*(1+$BX39)</f>
        <v>69840.3168622576</v>
      </c>
      <c r="P39" s="35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轻击",$B$21,0))*(1+IF(VLOOKUP($R39,武学奇术!$A:$ZZ,30,FALSE)="老鼠",$B$22,0))*(1+$BW39)*(1+$BX39)</f>
        <v>59797.3850781977</v>
      </c>
      <c r="Q39" s="70">
        <v>5</v>
      </c>
      <c r="R39" s="37" t="s">
        <v>106</v>
      </c>
      <c r="S39" s="37" t="s">
        <v>91</v>
      </c>
      <c r="T39" s="37" t="s">
        <v>168</v>
      </c>
      <c r="U39" s="37" t="s">
        <v>112</v>
      </c>
      <c r="V39" s="37" t="s">
        <v>113</v>
      </c>
      <c r="W39" s="37" t="s">
        <v>82</v>
      </c>
      <c r="X39" s="37" t="s">
        <v>81</v>
      </c>
      <c r="Y39" s="37" t="s">
        <v>109</v>
      </c>
      <c r="Z39" s="37" t="s">
        <v>83</v>
      </c>
      <c r="AA39" s="37" t="s">
        <v>84</v>
      </c>
      <c r="AB39" s="37" t="s">
        <v>81</v>
      </c>
      <c r="AC39" s="37" t="s">
        <v>81</v>
      </c>
      <c r="AD39" s="37" t="s">
        <v>85</v>
      </c>
      <c r="AE39" s="37" t="s">
        <v>81</v>
      </c>
      <c r="AF39" s="37" t="s">
        <v>81</v>
      </c>
      <c r="AG39" s="37" t="s">
        <v>87</v>
      </c>
      <c r="AH39" s="37" t="s">
        <v>88</v>
      </c>
      <c r="AI39" s="37" t="s">
        <v>81</v>
      </c>
      <c r="AJ39" s="37" t="s">
        <v>81</v>
      </c>
      <c r="AK39" s="37" t="s">
        <v>81</v>
      </c>
      <c r="AL39" s="37" t="s">
        <v>81</v>
      </c>
      <c r="AM39" t="str">
        <f>VLOOKUP($R39,武学奇术!$A:$ZZ,25,FALSE)</f>
        <v>绳镖</v>
      </c>
      <c r="AN39" s="23">
        <f>VLOOKUP($R39,武学奇术!$A:$ZZ,26,FALSE)</f>
        <v>0.3675</v>
      </c>
      <c r="AO39" s="24">
        <f>VLOOKUP($R39,武学奇术!$A:$ZZ,27,FALSE)*(1+IF(OR($AM39=$F$4,$AM39=$F$5),$B$23,0))</f>
        <v>0</v>
      </c>
      <c r="AP39" s="23">
        <f>VLOOKUP($R39,武学奇术!$A:$ZZ,28,FALSE)</f>
        <v>0.55125</v>
      </c>
      <c r="AQ39" s="24">
        <f>VLOOKUP($R39,武学奇术!$A:$ZZ,29,FALSE)*(1+IF(OR($AM39=$F$4,$AM39=$F$5),$B$23,0))</f>
        <v>0</v>
      </c>
      <c r="AR39" s="23" cm="1">
        <f t="array" ref="AR39">$G$3+IFERROR(VLOOKUP($AM39,$F$4:$G$7,2,FALSE),0)+VLOOKUP($R39,武学奇术!$A:$ZZ,2,FALSE)+SUM(_xlfn.XLOOKUP($S39:$AL39,增益!$A:$A,增益!$B:$B,0))</f>
        <v>1.5743</v>
      </c>
      <c r="AS39" s="23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4150.4</v>
      </c>
      <c r="AU39" cm="1">
        <f t="array" ref="AU39">$E$10*(1+$AS39)+VLOOKUP($R39,武学奇术!$A:$ZZ,4,FALSE)+SUM(_xlfn.XLOOKUP($S39:$AL39,增益!$A:$A,增益!$D:$D,0))-$I$2</f>
        <v>4150.4</v>
      </c>
      <c r="AV39" s="29" cm="1">
        <f t="array" ref="AV39">IF($F$10-$I$3+VLOOKUP($R39,武学奇术!$A:$ZZ,6,FALSE)+SUM(_xlfn.XLOOKUP(S39:AL39,增益!$A:$A,增益!$F:$F,0))&gt;0,($F$10-$I$3+VLOOKUP($R39,武学奇术!$A:$ZZ,6,FALSE)+SUM(_xlfn.XLOOKUP(S39:AL39,增益!$A:$A,增益!$F:$F,0)))/200,($F$10-$I$3+VLOOKUP($R39,武学奇术!$A:$ZZ,6,FALSE)+SUM(_xlfn.XLOOKUP(S39:AL39,增益!$A:$A,增益!$F:$F,0)))/100)</f>
        <v>0.3289</v>
      </c>
      <c r="AW39" s="29" cm="1">
        <f t="array" ref="AW39">$G$10+VLOOKUP($R39,武学奇术!$A:$ZZ,7,FALSE)+SUM(_xlfn.XLOOKUP(S39:AL39,增益!$A:$A,增益!$G:$G,0))</f>
        <v>0.29</v>
      </c>
      <c r="AX39" s="23" cm="1">
        <f t="array" ref="AX39">VLOOKUP($R39,武学奇术!$A:$ZZ,8,FALSE)+SUM(_xlfn.XLOOKUP(S39:AL39,增益!$A:$A,增益!$H:$H,0))</f>
        <v>0</v>
      </c>
      <c r="AY39">
        <f t="shared" si="12"/>
        <v>0</v>
      </c>
      <c r="AZ39">
        <f t="shared" si="13"/>
        <v>0</v>
      </c>
      <c r="BA39" s="29" cm="1">
        <f t="array" ref="BA39">IF($F$11-$I$4+VLOOKUP($R39,武学奇术!$A:$ZZ,9,FALSE)+SUM(_xlfn.XLOOKUP(S39:AL39,增益!$A:$A,增益!$I:$I,0))&gt;0,($F$11-$I$4+VLOOKUP($R39,武学奇术!$A:$ZZ,9,FALSE)+SUM(_xlfn.XLOOKUP(S39:AL39,增益!$A:$A,增益!$I:$I,0)))/200,($F$11-$I$4+VLOOKUP($R39,武学奇术!$A:$ZZ,9,FALSE)+SUM(_xlfn.XLOOKUP(S39:AL39,增益!$A:$A,增益!$I:$I,0)))/100)</f>
        <v>-0.14</v>
      </c>
      <c r="BB39" s="29" cm="1">
        <f t="array" ref="BB39">$G$11+VLOOKUP($R39,武学奇术!$A:$ZZ,10,FALSE)+SUM(_xlfn.XLOOKUP(S39:AL39,增益!$A:$A,增益!$J:$J,0))</f>
        <v>0.02</v>
      </c>
      <c r="BC39">
        <f t="shared" si="14"/>
        <v>0</v>
      </c>
      <c r="BD39">
        <f t="shared" si="15"/>
        <v>0</v>
      </c>
      <c r="BE39" s="29" cm="1">
        <f t="array" ref="BE39">IF($F$12-$I$4+VLOOKUP($R39,武学奇术!$A:$ZZ,11,FALSE)+SUM(_xlfn.XLOOKUP(S39:AL39,增益!$A:$A,增益!$K:$K,0))&gt;0,($F$12-$I$4+VLOOKUP($R39,武学奇术!$A:$ZZ,11,FALSE)+SUM(_xlfn.XLOOKUP(S39:AL39,增益!$A:$A,增益!$K:$K,0)))/200,($F$12-$I$4+VLOOKUP($R39,武学奇术!$A:$ZZ,11,FALSE)+SUM(_xlfn.XLOOKUP(S39:AL39,增益!$A:$A,增益!$K:$K,0)))/100)</f>
        <v>-0.14</v>
      </c>
      <c r="BF39" s="29" cm="1">
        <f t="array" ref="BF39">$G$12+VLOOKUP($R39,武学奇术!$A:$ZZ,12,FALSE)+SUM(_xlfn.XLOOKUP(S39:AL39,增益!$A:$A,增益!$L:$L,0))</f>
        <v>0.02</v>
      </c>
      <c r="BG39">
        <f t="shared" si="16"/>
        <v>0</v>
      </c>
      <c r="BH39">
        <f t="shared" si="17"/>
        <v>0</v>
      </c>
      <c r="BI39" s="29" cm="1">
        <f t="array" ref="BI39">IF($F$13-$I$4+VLOOKUP($R39,武学奇术!$A:$ZZ,13,FALSE)+SUM(_xlfn.XLOOKUP(S39:AL39,增益!$A:$A,增益!$M:$M,0))&gt;0,($F$13-$I$4+VLOOKUP($R39,武学奇术!$A:$ZZ,13,FALSE)+SUM(_xlfn.XLOOKUP(S39:AL39,增益!$A:$A,增益!$K:$K,0)))/200,($F$13-$I$4+VLOOKUP($R39,武学奇术!$A:$ZZ,13,FALSE)+SUM(_xlfn.XLOOKUP(S39:AL39,增益!$A:$A,增益!$M:$M,0)))/100)</f>
        <v>-0.14</v>
      </c>
      <c r="BJ39" s="29" cm="1">
        <f t="array" ref="BJ39">$G$13+VLOOKUP($R39,武学奇术!$A:$ZZ,14,FALSE)+SUM(_xlfn.XLOOKUP(S39:AL39,增益!$A:$A,增益!$N:$N,0))</f>
        <v>0.02</v>
      </c>
      <c r="BK39">
        <f t="shared" si="18"/>
        <v>618.2</v>
      </c>
      <c r="BL39">
        <f t="shared" si="19"/>
        <v>1805</v>
      </c>
      <c r="BM39" s="29" cm="1">
        <f t="array" ref="BM39">IF($F$14-$I$4+VLOOKUP($R39,武学奇术!$A:$ZZ,15,FALSE)+SUM(_xlfn.XLOOKUP(S39:AL39,增益!$A:$A,增益!$O:$O,0))&gt;0,($F$14-$I$4+VLOOKUP($R39,武学奇术!$A:$ZZ,15,FALSE)+SUM(_xlfn.XLOOKUP(S39:AL39,增益!$A:$A,增益!$O:$O,0)))/200,($F$14-$I$4+VLOOKUP($R39,武学奇术!$A:$ZZ,15,FALSE)+SUM(_xlfn.XLOOKUP(S39:AL39,增益!$A:$A,增益!$O:$O,0)))/100)</f>
        <v>0.13</v>
      </c>
      <c r="BN39" s="29" cm="1">
        <f t="array" ref="BN39">$G$14+VLOOKUP($R39,武学奇术!$A:$ZZ,16,FALSE)+SUM(_xlfn.XLOOKUP(S39:AL39,增益!$A:$A,增益!$P:$P,0))</f>
        <v>0.44</v>
      </c>
      <c r="BO39" s="23">
        <f>MIN(IF(VLOOKUP($R39,武学奇术!$A:$ZZ,23,FALSE)=1,100%,$B$8),100%)</f>
        <v>0.9943</v>
      </c>
      <c r="BP39" s="23" cm="1">
        <f t="array" ref="BP39">IF(VLOOKUP($R39,武学奇术!$A:$ZZ,23,FALSE)=1,100%,MIN(80%,$B$9+VLOOKUP($R39,武学奇术!$A:$ZZ,17,FALSE)+SUM(_xlfn.XLOOKUP(S39:AL39,增益!$A:$A,增益!$Q:$Q,0)))+$B$11+SUM(_xlfn.XLOOKUP(S39:AL39,增益!$A:$A,增益!$U:$U,0)))*IF(VLOOKUP($R39,武学奇术!$A:$ZZ,24,FALSE)=1,0,1)</f>
        <v>0.887</v>
      </c>
      <c r="BQ39" s="23" cm="1">
        <f t="array" ref="BQ39">1+$B$13+VLOOKUP($R39,武学奇术!$A:$ZZ,18,FALSE)+SUM(_xlfn.XLOOKUP(S39:AL39,增益!$A:$A,增益!$R:$R,0))</f>
        <v>2.094</v>
      </c>
      <c r="BR39" s="23" cm="1">
        <f t="array" ref="BR39">IF(VLOOKUP($R39,武学奇术!$A:$ZZ,24,FALSE)=1,100%,MIN(40%,$B$10+VLOOKUP($R39,武学奇术!$A:$ZZ,19,FALSE)+SUM(_xlfn.XLOOKUP(S39:AL39,增益!$A:$A,增益!$S:$S,0)))+$B$12+SUM(_xlfn.XLOOKUP(S39:AL39,增益!$A:$A,增益!$V:$V,0)))*IF(VLOOKUP($R39,武学奇术!$A:$ZZ,23,FALSE)=1,0,1)</f>
        <v>0.0913</v>
      </c>
      <c r="BS39" s="23" cm="1">
        <f t="array" ref="BS39">1+$B$14+VLOOKUP($R39,武学奇术!$A:$ZZ,20,FALSE)+SUM(_xlfn.XLOOKUP(S39:AL39,增益!$A:$A,增益!$T:$T,0))</f>
        <v>1.35</v>
      </c>
      <c r="BT39" s="23">
        <f t="shared" si="20"/>
        <v>0.8819441</v>
      </c>
      <c r="BU39" s="23">
        <f t="shared" si="21"/>
        <v>0.0215763099999999</v>
      </c>
      <c r="BV39" s="23">
        <f>IF(VLOOKUP($R39,武学奇术!$A:$ZZ,22,FALSE)=1,0,(1-$BO39))*(1-$BR39)</f>
        <v>0.00517958999999993</v>
      </c>
      <c r="BW39" s="23" cm="1">
        <f t="array" ref="BW39">SUM(_xlfn.XLOOKUP(S39:AL39,增益!$A:$A,增益!$W:$W,0))+$I$5</f>
        <v>0.11</v>
      </c>
      <c r="BX39" s="23">
        <f>VLOOKUP($R39,武学奇术!$A:$ZZ,32,FALSE)</f>
        <v>0</v>
      </c>
      <c r="BY39" s="23" cm="1">
        <f t="array" ref="BY39">SUM(_xlfn.XLOOKUP($S39:$AL39,增益!$A:$A,增益!$X:$X,0))</f>
        <v>0</v>
      </c>
    </row>
    <row r="40" spans="1:77">
      <c r="A40" s="93">
        <v>45</v>
      </c>
      <c r="B40" s="4">
        <v>1.5</v>
      </c>
      <c r="D40" s="36"/>
      <c r="E40" s="36"/>
      <c r="K40" s="35">
        <f>$L40*VLOOKUP($R40,武学奇术!$A:$ZZ,31,FALSE)</f>
        <v>81898.0581634555</v>
      </c>
      <c r="L40" s="35">
        <f t="shared" si="11"/>
        <v>73123.266217371</v>
      </c>
      <c r="M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轻击",$B$21,0))*(1+IF(VLOOKUP($R40,武学奇术!$A:$ZZ,30,FALSE)="老鼠",$B$22,0))*(1+$BW40)*(1+$BX40)</f>
        <v>76133.808037762</v>
      </c>
      <c r="N40" s="35">
        <f>(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轻击",$B$21,0))*(1+IF(VLOOKUP($R40,武学奇术!$A:$ZZ,30,FALSE)="老鼠",$B$22,0))*(1+$BW40))*(1+$BX40)</f>
        <v>55130.6767299225</v>
      </c>
      <c r="O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轻击",$B$21,0))*(1+IF(VLOOKUP($R40,武学奇术!$A:$ZZ,30,FALSE)="老鼠",$B$22,0))*(1+$BW40)*(1+$BX40)</f>
        <v>36185.2699799249</v>
      </c>
      <c r="P40" s="35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轻击",$B$21,0))*(1+IF(VLOOKUP($R40,武学奇术!$A:$ZZ,30,FALSE)="老鼠",$B$22,0))*(1+$BW40)*(1+$BX40)</f>
        <v>31533.0016413887</v>
      </c>
      <c r="Q40" s="36">
        <v>1</v>
      </c>
      <c r="R40" s="37" t="s">
        <v>153</v>
      </c>
      <c r="S40" s="37" t="s">
        <v>91</v>
      </c>
      <c r="T40" s="37" t="s">
        <v>175</v>
      </c>
      <c r="U40" s="37" t="s">
        <v>112</v>
      </c>
      <c r="V40" s="37" t="s">
        <v>113</v>
      </c>
      <c r="W40" s="37" t="s">
        <v>82</v>
      </c>
      <c r="X40" s="37" t="s">
        <v>81</v>
      </c>
      <c r="Y40" s="37" t="s">
        <v>109</v>
      </c>
      <c r="Z40" s="37" t="s">
        <v>83</v>
      </c>
      <c r="AA40" s="37" t="s">
        <v>84</v>
      </c>
      <c r="AB40" s="37" t="s">
        <v>81</v>
      </c>
      <c r="AC40" s="37" t="s">
        <v>81</v>
      </c>
      <c r="AD40" s="37" t="s">
        <v>85</v>
      </c>
      <c r="AE40" s="37" t="s">
        <v>81</v>
      </c>
      <c r="AF40" s="37" t="s">
        <v>81</v>
      </c>
      <c r="AG40" s="37" t="s">
        <v>87</v>
      </c>
      <c r="AH40" s="37" t="s">
        <v>88</v>
      </c>
      <c r="AI40" s="37" t="s">
        <v>81</v>
      </c>
      <c r="AJ40" s="37" t="s">
        <v>81</v>
      </c>
      <c r="AK40" s="37" t="s">
        <v>81</v>
      </c>
      <c r="AL40" s="37" t="s">
        <v>81</v>
      </c>
      <c r="AM40" t="str">
        <f>VLOOKUP($R40,武学奇术!$A:$ZZ,25,FALSE)</f>
        <v>双刀</v>
      </c>
      <c r="AN40" s="23">
        <f>VLOOKUP($R40,武学奇术!$A:$ZZ,26,FALSE)</f>
        <v>1.7358</v>
      </c>
      <c r="AO40" s="24">
        <f>VLOOKUP($R40,武学奇术!$A:$ZZ,27,FALSE)*(1+IF(OR($AM40=$F$4,$AM40=$F$5),$B$23,0))</f>
        <v>769.6</v>
      </c>
      <c r="AP40" s="23">
        <f>VLOOKUP($R40,武学奇术!$A:$ZZ,28,FALSE)</f>
        <v>2.6037</v>
      </c>
      <c r="AQ40" s="24">
        <f>VLOOKUP($R40,武学奇术!$A:$ZZ,29,FALSE)*(1+IF(OR($AM40=$F$4,$AM40=$F$5),$B$23,0))</f>
        <v>419.2</v>
      </c>
      <c r="AR40" s="23" cm="1">
        <f t="array" ref="AR40">$G$3+IFERROR(VLOOKUP($AM40,$F$4:$G$7,2,FALSE),0)+VLOOKUP($R40,武学奇术!$A:$ZZ,2,FALSE)+SUM(_xlfn.XLOOKUP($S40:$AL40,增益!$A:$A,增益!$B:$B,0))</f>
        <v>0.7743</v>
      </c>
      <c r="AS40" s="23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4150.4</v>
      </c>
      <c r="AU40" cm="1">
        <f t="array" ref="AU40">$E$10*(1+$AS40)+VLOOKUP($R40,武学奇术!$A:$ZZ,4,FALSE)+SUM(_xlfn.XLOOKUP($S40:$AL40,增益!$A:$A,增益!$D:$D,0))-$I$2</f>
        <v>4150.4</v>
      </c>
      <c r="AV40" s="29" cm="1">
        <f t="array" ref="AV40">IF($F$10-$I$3+VLOOKUP($R40,武学奇术!$A:$ZZ,6,FALSE)+SUM(_xlfn.XLOOKUP(S40:AL40,增益!$A:$A,增益!$F:$F,0))&gt;0,($F$10-$I$3+VLOOKUP($R40,武学奇术!$A:$ZZ,6,FALSE)+SUM(_xlfn.XLOOKUP(S40:AL40,增益!$A:$A,增益!$F:$F,0)))/200,($F$10-$I$3+VLOOKUP($R40,武学奇术!$A:$ZZ,6,FALSE)+SUM(_xlfn.XLOOKUP(S40:AL40,增益!$A:$A,增益!$F:$F,0)))/100)</f>
        <v>0.3289</v>
      </c>
      <c r="AW40" s="29" cm="1">
        <f t="array" ref="AW40">$G$10+VLOOKUP($R40,武学奇术!$A:$ZZ,7,FALSE)+SUM(_xlfn.XLOOKUP(S40:AL40,增益!$A:$A,增益!$G:$G,0))</f>
        <v>0.08</v>
      </c>
      <c r="AX40" s="23" cm="1">
        <f t="array" ref="AX40">VLOOKUP($R40,武学奇术!$A:$ZZ,8,FALSE)+SUM(_xlfn.XLOOKUP(S40:AL40,增益!$A:$A,增益!$H:$H,0))</f>
        <v>0</v>
      </c>
      <c r="AY40">
        <f t="shared" si="12"/>
        <v>0</v>
      </c>
      <c r="AZ40">
        <f t="shared" si="13"/>
        <v>0</v>
      </c>
      <c r="BA40" s="29" cm="1">
        <f t="array" ref="BA40">IF($F$11-$I$4+VLOOKUP($R40,武学奇术!$A:$ZZ,9,FALSE)+SUM(_xlfn.XLOOKUP(S40:AL40,增益!$A:$A,增益!$I:$I,0))&gt;0,($F$11-$I$4+VLOOKUP($R40,武学奇术!$A:$ZZ,9,FALSE)+SUM(_xlfn.XLOOKUP(S40:AL40,增益!$A:$A,增益!$I:$I,0)))/200,($F$11-$I$4+VLOOKUP($R40,武学奇术!$A:$ZZ,9,FALSE)+SUM(_xlfn.XLOOKUP(S40:AL40,增益!$A:$A,增益!$I:$I,0)))/100)</f>
        <v>-0.14</v>
      </c>
      <c r="BB40" s="29" cm="1">
        <f t="array" ref="BB40">$G$11+VLOOKUP($R40,武学奇术!$A:$ZZ,10,FALSE)+SUM(_xlfn.XLOOKUP(S40:AL40,增益!$A:$A,增益!$J:$J,0))</f>
        <v>0.02</v>
      </c>
      <c r="BC40">
        <f t="shared" si="14"/>
        <v>0</v>
      </c>
      <c r="BD40">
        <f t="shared" si="15"/>
        <v>0</v>
      </c>
      <c r="BE40" s="29" cm="1">
        <f t="array" ref="BE40">IF($F$12-$I$4+VLOOKUP($R40,武学奇术!$A:$ZZ,11,FALSE)+SUM(_xlfn.XLOOKUP(S40:AL40,增益!$A:$A,增益!$K:$K,0))&gt;0,($F$12-$I$4+VLOOKUP($R40,武学奇术!$A:$ZZ,11,FALSE)+SUM(_xlfn.XLOOKUP(S40:AL40,增益!$A:$A,增益!$K:$K,0)))/200,($F$12-$I$4+VLOOKUP($R40,武学奇术!$A:$ZZ,11,FALSE)+SUM(_xlfn.XLOOKUP(S40:AL40,增益!$A:$A,增益!$K:$K,0)))/100)</f>
        <v>-0.14</v>
      </c>
      <c r="BF40" s="29" cm="1">
        <f t="array" ref="BF40">$G$12+VLOOKUP($R40,武学奇术!$A:$ZZ,12,FALSE)+SUM(_xlfn.XLOOKUP(S40:AL40,增益!$A:$A,增益!$L:$L,0))</f>
        <v>0.02</v>
      </c>
      <c r="BG40">
        <f t="shared" si="16"/>
        <v>0</v>
      </c>
      <c r="BH40">
        <f t="shared" si="17"/>
        <v>0</v>
      </c>
      <c r="BI40" s="29" cm="1">
        <f t="array" ref="BI40">IF($F$13-$I$4+VLOOKUP($R40,武学奇术!$A:$ZZ,13,FALSE)+SUM(_xlfn.XLOOKUP(S40:AL40,增益!$A:$A,增益!$M:$M,0))&gt;0,($F$13-$I$4+VLOOKUP($R40,武学奇术!$A:$ZZ,13,FALSE)+SUM(_xlfn.XLOOKUP(S40:AL40,增益!$A:$A,增益!$K:$K,0)))/200,($F$13-$I$4+VLOOKUP($R40,武学奇术!$A:$ZZ,13,FALSE)+SUM(_xlfn.XLOOKUP(S40:AL40,增益!$A:$A,增益!$M:$M,0)))/100)</f>
        <v>-0.14</v>
      </c>
      <c r="BJ40" s="29" cm="1">
        <f t="array" ref="BJ40">$G$13+VLOOKUP($R40,武学奇术!$A:$ZZ,14,FALSE)+SUM(_xlfn.XLOOKUP(S40:AL40,增益!$A:$A,增益!$N:$N,0))</f>
        <v>0.02</v>
      </c>
      <c r="BK40">
        <f t="shared" si="18"/>
        <v>618.2</v>
      </c>
      <c r="BL40">
        <f t="shared" si="19"/>
        <v>1805</v>
      </c>
      <c r="BM40" s="29" cm="1">
        <f t="array" ref="BM40">IF($F$14-$I$4+VLOOKUP($R40,武学奇术!$A:$ZZ,15,FALSE)+SUM(_xlfn.XLOOKUP(S40:AL40,增益!$A:$A,增益!$O:$O,0))&gt;0,($F$14-$I$4+VLOOKUP($R40,武学奇术!$A:$ZZ,15,FALSE)+SUM(_xlfn.XLOOKUP(S40:AL40,增益!$A:$A,增益!$O:$O,0)))/200,($F$14-$I$4+VLOOKUP($R40,武学奇术!$A:$ZZ,15,FALSE)+SUM(_xlfn.XLOOKUP(S40:AL40,增益!$A:$A,增益!$O:$O,0)))/100)</f>
        <v>0.13</v>
      </c>
      <c r="BN40" s="29" cm="1">
        <f t="array" ref="BN40">$G$14+VLOOKUP($R40,武学奇术!$A:$ZZ,16,FALSE)+SUM(_xlfn.XLOOKUP(S40:AL40,增益!$A:$A,增益!$P:$P,0))</f>
        <v>0.23</v>
      </c>
      <c r="BO40" s="23">
        <f>MIN(IF(VLOOKUP($R40,武学奇术!$A:$ZZ,23,FALSE)=1,100%,$B$8),100%)</f>
        <v>0.9943</v>
      </c>
      <c r="BP40" s="23" cm="1">
        <f t="array" ref="BP40">IF(VLOOKUP($R40,武学奇术!$A:$ZZ,23,FALSE)=1,100%,MIN(80%,$B$9+VLOOKUP($R40,武学奇术!$A:$ZZ,17,FALSE)+SUM(_xlfn.XLOOKUP(S40:AL40,增益!$A:$A,增益!$Q:$Q,0)))+$B$11+SUM(_xlfn.XLOOKUP(S40:AL40,增益!$A:$A,增益!$U:$U,0)))*IF(VLOOKUP($R40,武学奇术!$A:$ZZ,24,FALSE)=1,0,1)</f>
        <v>0.887</v>
      </c>
      <c r="BQ40" s="23" cm="1">
        <f t="array" ref="BQ40">1+$B$13+VLOOKUP($R40,武学奇术!$A:$ZZ,18,FALSE)+SUM(_xlfn.XLOOKUP(S40:AL40,增益!$A:$A,增益!$R:$R,0))</f>
        <v>2.104</v>
      </c>
      <c r="BR40" s="23" cm="1">
        <f t="array" ref="BR40">IF(VLOOKUP($R40,武学奇术!$A:$ZZ,24,FALSE)=1,100%,MIN(40%,$B$10+VLOOKUP($R40,武学奇术!$A:$ZZ,19,FALSE)+SUM(_xlfn.XLOOKUP(S40:AL40,增益!$A:$A,增益!$S:$S,0)))+$B$12+SUM(_xlfn.XLOOKUP(S40:AL40,增益!$A:$A,增益!$V:$V,0)))*IF(VLOOKUP($R40,武学奇术!$A:$ZZ,23,FALSE)=1,0,1)</f>
        <v>0.0913</v>
      </c>
      <c r="BS40" s="23" cm="1">
        <f t="array" ref="BS40">1+$B$14+VLOOKUP($R40,武学奇术!$A:$ZZ,20,FALSE)+SUM(_xlfn.XLOOKUP(S40:AL40,增益!$A:$A,增益!$T:$T,0))</f>
        <v>1.35</v>
      </c>
      <c r="BT40" s="23">
        <f t="shared" si="20"/>
        <v>0.8819441</v>
      </c>
      <c r="BU40" s="23">
        <f t="shared" si="21"/>
        <v>0.0215763099999999</v>
      </c>
      <c r="BV40" s="23">
        <f>IF(VLOOKUP($R40,武学奇术!$A:$ZZ,22,FALSE)=1,0,(1-$BO40))*(1-$BR40)</f>
        <v>0.00517958999999993</v>
      </c>
      <c r="BW40" s="23" cm="1">
        <f t="array" ref="BW40">SUM(_xlfn.XLOOKUP(S40:AL40,增益!$A:$A,增益!$W:$W,0))+$I$5</f>
        <v>0.11</v>
      </c>
      <c r="BX40" s="23">
        <f>VLOOKUP($R40,武学奇术!$A:$ZZ,32,FALSE)</f>
        <v>0.1</v>
      </c>
      <c r="BY40" s="23" cm="1">
        <f t="array" ref="BY40">SUM(_xlfn.XLOOKUP($S40:$AL40,增益!$A:$A,增益!$X:$X,0))</f>
        <v>0</v>
      </c>
    </row>
    <row r="41" spans="1:77">
      <c r="A41" s="93" t="s">
        <v>174</v>
      </c>
      <c r="B41" s="4">
        <v>0.6</v>
      </c>
      <c r="D41" s="36"/>
      <c r="E41" s="36"/>
      <c r="K41" s="35">
        <f>$L41*VLOOKUP($R41,武学奇术!$A:$ZZ,31,FALSE)</f>
        <v>57633.6921698348</v>
      </c>
      <c r="L41" s="69">
        <f t="shared" si="11"/>
        <v>56503.6197743479</v>
      </c>
      <c r="M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轻击",$B$21,0))*(1+IF(VLOOKUP($R41,武学奇术!$A:$ZZ,30,FALSE)="老鼠",$B$22,0))*(1+$BW41)*(1+$BX41)</f>
        <v>58777.610671276</v>
      </c>
      <c r="N41" s="35">
        <f>(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轻击",$B$21,0))*(1+IF(VLOOKUP($R41,武学奇术!$A:$ZZ,30,FALSE)="老鼠",$B$22,0))*(1+$BW41))*(1+$BX41)</f>
        <v>43136.9542690115</v>
      </c>
      <c r="O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轻击",$B$21,0))*(1+IF(VLOOKUP($R41,武学奇术!$A:$ZZ,30,FALSE)="老鼠",$B$22,0))*(1+$BW41)*(1+$BX41)</f>
        <v>27936.126744903</v>
      </c>
      <c r="P41" s="35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轻击",$B$21,0))*(1+IF(VLOOKUP($R41,武学奇术!$A:$ZZ,30,FALSE)="老鼠",$B$22,0))*(1+$BW41)*(1+$BX41)</f>
        <v>23918.9540312791</v>
      </c>
      <c r="Q41" s="70">
        <v>2</v>
      </c>
      <c r="R41" s="37" t="s">
        <v>106</v>
      </c>
      <c r="S41" s="37" t="s">
        <v>91</v>
      </c>
      <c r="T41" s="37" t="s">
        <v>175</v>
      </c>
      <c r="U41" s="37" t="s">
        <v>112</v>
      </c>
      <c r="V41" s="37" t="s">
        <v>113</v>
      </c>
      <c r="W41" s="37" t="s">
        <v>82</v>
      </c>
      <c r="X41" s="37" t="s">
        <v>81</v>
      </c>
      <c r="Y41" s="37" t="s">
        <v>109</v>
      </c>
      <c r="Z41" s="37" t="s">
        <v>83</v>
      </c>
      <c r="AA41" s="37" t="s">
        <v>84</v>
      </c>
      <c r="AB41" s="37" t="s">
        <v>81</v>
      </c>
      <c r="AC41" s="37" t="s">
        <v>81</v>
      </c>
      <c r="AD41" s="37" t="s">
        <v>85</v>
      </c>
      <c r="AE41" s="37" t="s">
        <v>81</v>
      </c>
      <c r="AF41" s="37" t="s">
        <v>81</v>
      </c>
      <c r="AG41" s="37" t="s">
        <v>87</v>
      </c>
      <c r="AH41" s="37" t="s">
        <v>88</v>
      </c>
      <c r="AI41" s="37" t="s">
        <v>81</v>
      </c>
      <c r="AJ41" s="37" t="s">
        <v>81</v>
      </c>
      <c r="AK41" s="37" t="s">
        <v>81</v>
      </c>
      <c r="AL41" s="37" t="s">
        <v>81</v>
      </c>
      <c r="AM41" t="str">
        <f>VLOOKUP($R41,武学奇术!$A:$ZZ,25,FALSE)</f>
        <v>绳镖</v>
      </c>
      <c r="AN41" s="23">
        <f>VLOOKUP($R41,武学奇术!$A:$ZZ,26,FALSE)</f>
        <v>0.3675</v>
      </c>
      <c r="AO41" s="24">
        <f>VLOOKUP($R41,武学奇术!$A:$ZZ,27,FALSE)*(1+IF(OR($AM41=$F$4,$AM41=$F$5),$B$23,0))</f>
        <v>0</v>
      </c>
      <c r="AP41" s="23">
        <f>VLOOKUP($R41,武学奇术!$A:$ZZ,28,FALSE)</f>
        <v>0.55125</v>
      </c>
      <c r="AQ41" s="24">
        <f>VLOOKUP($R41,武学奇术!$A:$ZZ,29,FALSE)*(1+IF(OR($AM41=$F$4,$AM41=$F$5),$B$23,0))</f>
        <v>0</v>
      </c>
      <c r="AR41" s="23" cm="1">
        <f t="array" ref="AR41">$G$3+IFERROR(VLOOKUP($AM41,$F$4:$G$7,2,FALSE),0)+VLOOKUP($R41,武学奇术!$A:$ZZ,2,FALSE)+SUM(_xlfn.XLOOKUP($S41:$AL41,增益!$A:$A,增益!$B:$B,0))</f>
        <v>1.5743</v>
      </c>
      <c r="AS41" s="23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4150.4</v>
      </c>
      <c r="AU41" cm="1">
        <f t="array" ref="AU41">$E$10*(1+$AS41)+VLOOKUP($R41,武学奇术!$A:$ZZ,4,FALSE)+SUM(_xlfn.XLOOKUP($S41:$AL41,增益!$A:$A,增益!$D:$D,0))-$I$2</f>
        <v>4150.4</v>
      </c>
      <c r="AV41" s="29" cm="1">
        <f t="array" ref="AV41">IF($F$10-$I$3+VLOOKUP($R41,武学奇术!$A:$ZZ,6,FALSE)+SUM(_xlfn.XLOOKUP(S41:AL41,增益!$A:$A,增益!$F:$F,0))&gt;0,($F$10-$I$3+VLOOKUP($R41,武学奇术!$A:$ZZ,6,FALSE)+SUM(_xlfn.XLOOKUP(S41:AL41,增益!$A:$A,增益!$F:$F,0)))/200,($F$10-$I$3+VLOOKUP($R41,武学奇术!$A:$ZZ,6,FALSE)+SUM(_xlfn.XLOOKUP(S41:AL41,增益!$A:$A,增益!$F:$F,0)))/100)</f>
        <v>0.3289</v>
      </c>
      <c r="AW41" s="29" cm="1">
        <f t="array" ref="AW41">$G$10+VLOOKUP($R41,武学奇术!$A:$ZZ,7,FALSE)+SUM(_xlfn.XLOOKUP(S41:AL41,增益!$A:$A,增益!$G:$G,0))</f>
        <v>0.29</v>
      </c>
      <c r="AX41" s="23" cm="1">
        <f t="array" ref="AX41">VLOOKUP($R41,武学奇术!$A:$ZZ,8,FALSE)+SUM(_xlfn.XLOOKUP(S41:AL41,增益!$A:$A,增益!$H:$H,0))</f>
        <v>0</v>
      </c>
      <c r="AY41">
        <f t="shared" si="12"/>
        <v>0</v>
      </c>
      <c r="AZ41">
        <f t="shared" si="13"/>
        <v>0</v>
      </c>
      <c r="BA41" s="29" cm="1">
        <f t="array" ref="BA41">IF($F$11-$I$4+VLOOKUP($R41,武学奇术!$A:$ZZ,9,FALSE)+SUM(_xlfn.XLOOKUP(S41:AL41,增益!$A:$A,增益!$I:$I,0))&gt;0,($F$11-$I$4+VLOOKUP($R41,武学奇术!$A:$ZZ,9,FALSE)+SUM(_xlfn.XLOOKUP(S41:AL41,增益!$A:$A,增益!$I:$I,0)))/200,($F$11-$I$4+VLOOKUP($R41,武学奇术!$A:$ZZ,9,FALSE)+SUM(_xlfn.XLOOKUP(S41:AL41,增益!$A:$A,增益!$I:$I,0)))/100)</f>
        <v>-0.14</v>
      </c>
      <c r="BB41" s="29" cm="1">
        <f t="array" ref="BB41">$G$11+VLOOKUP($R41,武学奇术!$A:$ZZ,10,FALSE)+SUM(_xlfn.XLOOKUP(S41:AL41,增益!$A:$A,增益!$J:$J,0))</f>
        <v>0.02</v>
      </c>
      <c r="BC41">
        <f t="shared" si="14"/>
        <v>0</v>
      </c>
      <c r="BD41">
        <f t="shared" si="15"/>
        <v>0</v>
      </c>
      <c r="BE41" s="29" cm="1">
        <f t="array" ref="BE41">IF($F$12-$I$4+VLOOKUP($R41,武学奇术!$A:$ZZ,11,FALSE)+SUM(_xlfn.XLOOKUP(S41:AL41,增益!$A:$A,增益!$K:$K,0))&gt;0,($F$12-$I$4+VLOOKUP($R41,武学奇术!$A:$ZZ,11,FALSE)+SUM(_xlfn.XLOOKUP(S41:AL41,增益!$A:$A,增益!$K:$K,0)))/200,($F$12-$I$4+VLOOKUP($R41,武学奇术!$A:$ZZ,11,FALSE)+SUM(_xlfn.XLOOKUP(S41:AL41,增益!$A:$A,增益!$K:$K,0)))/100)</f>
        <v>-0.14</v>
      </c>
      <c r="BF41" s="29" cm="1">
        <f t="array" ref="BF41">$G$12+VLOOKUP($R41,武学奇术!$A:$ZZ,12,FALSE)+SUM(_xlfn.XLOOKUP(S41:AL41,增益!$A:$A,增益!$L:$L,0))</f>
        <v>0.02</v>
      </c>
      <c r="BG41">
        <f t="shared" si="16"/>
        <v>0</v>
      </c>
      <c r="BH41">
        <f t="shared" si="17"/>
        <v>0</v>
      </c>
      <c r="BI41" s="29" cm="1">
        <f t="array" ref="BI41">IF($F$13-$I$4+VLOOKUP($R41,武学奇术!$A:$ZZ,13,FALSE)+SUM(_xlfn.XLOOKUP(S41:AL41,增益!$A:$A,增益!$M:$M,0))&gt;0,($F$13-$I$4+VLOOKUP($R41,武学奇术!$A:$ZZ,13,FALSE)+SUM(_xlfn.XLOOKUP(S41:AL41,增益!$A:$A,增益!$K:$K,0)))/200,($F$13-$I$4+VLOOKUP($R41,武学奇术!$A:$ZZ,13,FALSE)+SUM(_xlfn.XLOOKUP(S41:AL41,增益!$A:$A,增益!$M:$M,0)))/100)</f>
        <v>-0.14</v>
      </c>
      <c r="BJ41" s="29" cm="1">
        <f t="array" ref="BJ41">$G$13+VLOOKUP($R41,武学奇术!$A:$ZZ,14,FALSE)+SUM(_xlfn.XLOOKUP(S41:AL41,增益!$A:$A,增益!$N:$N,0))</f>
        <v>0.02</v>
      </c>
      <c r="BK41">
        <f t="shared" si="18"/>
        <v>618.2</v>
      </c>
      <c r="BL41">
        <f t="shared" si="19"/>
        <v>1805</v>
      </c>
      <c r="BM41" s="29" cm="1">
        <f t="array" ref="BM41">IF($F$14-$I$4+VLOOKUP($R41,武学奇术!$A:$ZZ,15,FALSE)+SUM(_xlfn.XLOOKUP(S41:AL41,增益!$A:$A,增益!$O:$O,0))&gt;0,($F$14-$I$4+VLOOKUP($R41,武学奇术!$A:$ZZ,15,FALSE)+SUM(_xlfn.XLOOKUP(S41:AL41,增益!$A:$A,增益!$O:$O,0)))/200,($F$14-$I$4+VLOOKUP($R41,武学奇术!$A:$ZZ,15,FALSE)+SUM(_xlfn.XLOOKUP(S41:AL41,增益!$A:$A,增益!$O:$O,0)))/100)</f>
        <v>0.13</v>
      </c>
      <c r="BN41" s="29" cm="1">
        <f t="array" ref="BN41">$G$14+VLOOKUP($R41,武学奇术!$A:$ZZ,16,FALSE)+SUM(_xlfn.XLOOKUP(S41:AL41,增益!$A:$A,增益!$P:$P,0))</f>
        <v>0.44</v>
      </c>
      <c r="BO41" s="23">
        <f>MIN(IF(VLOOKUP($R41,武学奇术!$A:$ZZ,23,FALSE)=1,100%,$B$8),100%)</f>
        <v>0.9943</v>
      </c>
      <c r="BP41" s="23" cm="1">
        <f t="array" ref="BP41">IF(VLOOKUP($R41,武学奇术!$A:$ZZ,23,FALSE)=1,100%,MIN(80%,$B$9+VLOOKUP($R41,武学奇术!$A:$ZZ,17,FALSE)+SUM(_xlfn.XLOOKUP(S41:AL41,增益!$A:$A,增益!$Q:$Q,0)))+$B$11+SUM(_xlfn.XLOOKUP(S41:AL41,增益!$A:$A,增益!$U:$U,0)))*IF(VLOOKUP($R41,武学奇术!$A:$ZZ,24,FALSE)=1,0,1)</f>
        <v>0.887</v>
      </c>
      <c r="BQ41" s="23" cm="1">
        <f t="array" ref="BQ41">1+$B$13+VLOOKUP($R41,武学奇术!$A:$ZZ,18,FALSE)+SUM(_xlfn.XLOOKUP(S41:AL41,增益!$A:$A,增益!$R:$R,0))</f>
        <v>2.104</v>
      </c>
      <c r="BR41" s="23" cm="1">
        <f t="array" ref="BR41">IF(VLOOKUP($R41,武学奇术!$A:$ZZ,24,FALSE)=1,100%,MIN(40%,$B$10+VLOOKUP($R41,武学奇术!$A:$ZZ,19,FALSE)+SUM(_xlfn.XLOOKUP(S41:AL41,增益!$A:$A,增益!$S:$S,0)))+$B$12+SUM(_xlfn.XLOOKUP(S41:AL41,增益!$A:$A,增益!$V:$V,0)))*IF(VLOOKUP($R41,武学奇术!$A:$ZZ,23,FALSE)=1,0,1)</f>
        <v>0.0913</v>
      </c>
      <c r="BS41" s="23" cm="1">
        <f t="array" ref="BS41">1+$B$14+VLOOKUP($R41,武学奇术!$A:$ZZ,20,FALSE)+SUM(_xlfn.XLOOKUP(S41:AL41,增益!$A:$A,增益!$T:$T,0))</f>
        <v>1.35</v>
      </c>
      <c r="BT41" s="23">
        <f t="shared" si="20"/>
        <v>0.8819441</v>
      </c>
      <c r="BU41" s="23">
        <f t="shared" si="21"/>
        <v>0.0215763099999999</v>
      </c>
      <c r="BV41" s="23">
        <f>IF(VLOOKUP($R41,武学奇术!$A:$ZZ,22,FALSE)=1,0,(1-$BO41))*(1-$BR41)</f>
        <v>0.00517958999999993</v>
      </c>
      <c r="BW41" s="23" cm="1">
        <f t="array" ref="BW41">SUM(_xlfn.XLOOKUP(S41:AL41,增益!$A:$A,增益!$W:$W,0))+$I$5</f>
        <v>0.11</v>
      </c>
      <c r="BX41" s="23">
        <f>VLOOKUP($R41,武学奇术!$A:$ZZ,32,FALSE)</f>
        <v>0</v>
      </c>
      <c r="BY41" s="23" cm="1">
        <f t="array" ref="BY41">SUM(_xlfn.XLOOKUP($S41:$AL41,增益!$A:$A,增益!$X:$X,0))</f>
        <v>0</v>
      </c>
    </row>
    <row r="42" spans="1:77">
      <c r="A42" s="93">
        <v>123</v>
      </c>
      <c r="B42" s="4">
        <v>1.8</v>
      </c>
      <c r="C42" s="4"/>
      <c r="D42" s="36"/>
      <c r="E42" s="36"/>
      <c r="K42" s="35">
        <f>$L42*VLOOKUP($R42,武学奇术!$A:$ZZ,31,FALSE)</f>
        <v>90375.8918396417</v>
      </c>
      <c r="L42" s="35">
        <f t="shared" si="11"/>
        <v>80692.7605711087</v>
      </c>
      <c r="M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轻击",$B$21,0))*(1+IF(VLOOKUP($R42,武学奇术!$A:$ZZ,30,FALSE)="老鼠",$B$22,0))*(1+$BW42)*(1+$BX42)</f>
        <v>84729.4207243485</v>
      </c>
      <c r="N42" s="35">
        <f>(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轻击",$B$21,0))*(1+IF(VLOOKUP($R42,武学奇术!$A:$ZZ,30,FALSE)="老鼠",$B$22,0))*(1+$BW42))*(1+$BX42)</f>
        <v>80481.3019526656</v>
      </c>
      <c r="O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轻击",$B$21,0))*(1+IF(VLOOKUP($R42,武学奇术!$A:$ZZ,30,FALSE)="老鼠",$B$22,0))*(1+$BW42)*(1+$BX42)</f>
        <v>52823.8283817634</v>
      </c>
      <c r="P42" s="35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轻击",$B$21,0))*(1+IF(VLOOKUP($R42,武学奇术!$A:$ZZ,30,FALSE)="老鼠",$B$22,0))*(1+$BW42)*(1+$BX42)</f>
        <v>46031.87753933</v>
      </c>
      <c r="Q42" s="36">
        <v>1</v>
      </c>
      <c r="R42" s="37" t="s">
        <v>158</v>
      </c>
      <c r="S42" s="37" t="s">
        <v>91</v>
      </c>
      <c r="T42" s="37" t="s">
        <v>175</v>
      </c>
      <c r="U42" s="37" t="s">
        <v>112</v>
      </c>
      <c r="V42" s="37" t="s">
        <v>113</v>
      </c>
      <c r="W42" s="37" t="s">
        <v>82</v>
      </c>
      <c r="X42" s="37" t="s">
        <v>81</v>
      </c>
      <c r="Y42" s="37" t="s">
        <v>109</v>
      </c>
      <c r="Z42" s="37" t="s">
        <v>81</v>
      </c>
      <c r="AA42" s="37" t="s">
        <v>84</v>
      </c>
      <c r="AB42" s="37" t="s">
        <v>81</v>
      </c>
      <c r="AC42" s="37" t="s">
        <v>81</v>
      </c>
      <c r="AD42" s="37" t="s">
        <v>85</v>
      </c>
      <c r="AE42" s="37" t="s">
        <v>81</v>
      </c>
      <c r="AF42" s="37" t="s">
        <v>81</v>
      </c>
      <c r="AG42" s="37" t="s">
        <v>87</v>
      </c>
      <c r="AH42" s="37" t="s">
        <v>88</v>
      </c>
      <c r="AI42" s="37" t="s">
        <v>81</v>
      </c>
      <c r="AJ42" s="37" t="s">
        <v>81</v>
      </c>
      <c r="AK42" s="37" t="s">
        <v>81</v>
      </c>
      <c r="AL42" s="37" t="s">
        <v>81</v>
      </c>
      <c r="AM42" t="str">
        <f>VLOOKUP($R42,武学奇术!$A:$ZZ,25,FALSE)</f>
        <v>双刀</v>
      </c>
      <c r="AN42" s="23">
        <f>VLOOKUP($R42,武学奇术!$A:$ZZ,26,FALSE)</f>
        <v>2.5342</v>
      </c>
      <c r="AO42" s="24">
        <f>VLOOKUP($R42,武学奇术!$A:$ZZ,27,FALSE)*(1+IF(OR($AM42=$F$4,$AM42=$F$5),$B$23,0))</f>
        <v>1123.2</v>
      </c>
      <c r="AP42" s="23">
        <f>VLOOKUP($R42,武学奇术!$A:$ZZ,28,FALSE)</f>
        <v>3.8012</v>
      </c>
      <c r="AQ42" s="24">
        <f>VLOOKUP($R42,武学奇术!$A:$ZZ,29,FALSE)*(1+IF(OR($AM42=$F$4,$AM42=$F$5),$B$23,0))</f>
        <v>611.2</v>
      </c>
      <c r="AR42" s="23" cm="1">
        <f t="array" ref="AR42">$G$3+IFERROR(VLOOKUP($AM42,$F$4:$G$7,2,FALSE),0)+VLOOKUP($R42,武学奇术!$A:$ZZ,2,FALSE)+SUM(_xlfn.XLOOKUP($S42:$AL42,增益!$A:$A,增益!$B:$B,0))</f>
        <v>0.7743</v>
      </c>
      <c r="AS42" s="23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4150.4</v>
      </c>
      <c r="AU42" cm="1">
        <f t="array" ref="AU42">$E$10*(1+$AS42)+VLOOKUP($R42,武学奇术!$A:$ZZ,4,FALSE)+SUM(_xlfn.XLOOKUP($S42:$AL42,增益!$A:$A,增益!$D:$D,0))-$I$2</f>
        <v>4150.4</v>
      </c>
      <c r="AV42" s="29" cm="1">
        <f t="array" ref="AV42">IF($F$10-$I$3+VLOOKUP($R42,武学奇术!$A:$ZZ,6,FALSE)+SUM(_xlfn.XLOOKUP(S42:AL42,增益!$A:$A,增益!$F:$F,0))&gt;0,($F$10-$I$3+VLOOKUP($R42,武学奇术!$A:$ZZ,6,FALSE)+SUM(_xlfn.XLOOKUP(S42:AL42,增益!$A:$A,增益!$F:$F,0)))/200,($F$10-$I$3+VLOOKUP($R42,武学奇术!$A:$ZZ,6,FALSE)+SUM(_xlfn.XLOOKUP(S42:AL42,增益!$A:$A,增益!$F:$F,0)))/100)</f>
        <v>0.3289</v>
      </c>
      <c r="AW42" s="29" cm="1">
        <f t="array" ref="AW42">$G$10+VLOOKUP($R42,武学奇术!$A:$ZZ,7,FALSE)+SUM(_xlfn.XLOOKUP(S42:AL42,增益!$A:$A,增益!$G:$G,0))</f>
        <v>0.08</v>
      </c>
      <c r="AX42" s="23" cm="1">
        <f t="array" ref="AX42">VLOOKUP($R42,武学奇术!$A:$ZZ,8,FALSE)+SUM(_xlfn.XLOOKUP(S42:AL42,增益!$A:$A,增益!$H:$H,0))</f>
        <v>0</v>
      </c>
      <c r="AY42">
        <f t="shared" si="12"/>
        <v>0</v>
      </c>
      <c r="AZ42">
        <f t="shared" si="13"/>
        <v>0</v>
      </c>
      <c r="BA42" s="29" cm="1">
        <f t="array" ref="BA42">IF($F$11-$I$4+VLOOKUP($R42,武学奇术!$A:$ZZ,9,FALSE)+SUM(_xlfn.XLOOKUP(S42:AL42,增益!$A:$A,增益!$I:$I,0))&gt;0,($F$11-$I$4+VLOOKUP($R42,武学奇术!$A:$ZZ,9,FALSE)+SUM(_xlfn.XLOOKUP(S42:AL42,增益!$A:$A,增益!$I:$I,0)))/200,($F$11-$I$4+VLOOKUP($R42,武学奇术!$A:$ZZ,9,FALSE)+SUM(_xlfn.XLOOKUP(S42:AL42,增益!$A:$A,增益!$I:$I,0)))/100)</f>
        <v>-0.14</v>
      </c>
      <c r="BB42" s="29" cm="1">
        <f t="array" ref="BB42">$G$11+VLOOKUP($R42,武学奇术!$A:$ZZ,10,FALSE)+SUM(_xlfn.XLOOKUP(S42:AL42,增益!$A:$A,增益!$J:$J,0))</f>
        <v>0.02</v>
      </c>
      <c r="BC42">
        <f t="shared" si="14"/>
        <v>0</v>
      </c>
      <c r="BD42">
        <f t="shared" si="15"/>
        <v>0</v>
      </c>
      <c r="BE42" s="29" cm="1">
        <f t="array" ref="BE42">IF($F$12-$I$4+VLOOKUP($R42,武学奇术!$A:$ZZ,11,FALSE)+SUM(_xlfn.XLOOKUP(S42:AL42,增益!$A:$A,增益!$K:$K,0))&gt;0,($F$12-$I$4+VLOOKUP($R42,武学奇术!$A:$ZZ,11,FALSE)+SUM(_xlfn.XLOOKUP(S42:AL42,增益!$A:$A,增益!$K:$K,0)))/200,($F$12-$I$4+VLOOKUP($R42,武学奇术!$A:$ZZ,11,FALSE)+SUM(_xlfn.XLOOKUP(S42:AL42,增益!$A:$A,增益!$K:$K,0)))/100)</f>
        <v>-0.14</v>
      </c>
      <c r="BF42" s="29" cm="1">
        <f t="array" ref="BF42">$G$12+VLOOKUP($R42,武学奇术!$A:$ZZ,12,FALSE)+SUM(_xlfn.XLOOKUP(S42:AL42,增益!$A:$A,增益!$L:$L,0))</f>
        <v>0.02</v>
      </c>
      <c r="BG42">
        <f t="shared" si="16"/>
        <v>0</v>
      </c>
      <c r="BH42">
        <f t="shared" si="17"/>
        <v>0</v>
      </c>
      <c r="BI42" s="29" cm="1">
        <f t="array" ref="BI42">IF($F$13-$I$4+VLOOKUP($R42,武学奇术!$A:$ZZ,13,FALSE)+SUM(_xlfn.XLOOKUP(S42:AL42,增益!$A:$A,增益!$M:$M,0))&gt;0,($F$13-$I$4+VLOOKUP($R42,武学奇术!$A:$ZZ,13,FALSE)+SUM(_xlfn.XLOOKUP(S42:AL42,增益!$A:$A,增益!$K:$K,0)))/200,($F$13-$I$4+VLOOKUP($R42,武学奇术!$A:$ZZ,13,FALSE)+SUM(_xlfn.XLOOKUP(S42:AL42,增益!$A:$A,增益!$M:$M,0)))/100)</f>
        <v>-0.14</v>
      </c>
      <c r="BJ42" s="29" cm="1">
        <f t="array" ref="BJ42">$G$13+VLOOKUP($R42,武学奇术!$A:$ZZ,14,FALSE)+SUM(_xlfn.XLOOKUP(S42:AL42,增益!$A:$A,增益!$N:$N,0))</f>
        <v>0.02</v>
      </c>
      <c r="BK42">
        <f t="shared" si="18"/>
        <v>618.2</v>
      </c>
      <c r="BL42">
        <f t="shared" si="19"/>
        <v>1805</v>
      </c>
      <c r="BM42" s="29" cm="1">
        <f t="array" ref="BM42">IF($F$14-$I$4+VLOOKUP($R42,武学奇术!$A:$ZZ,15,FALSE)+SUM(_xlfn.XLOOKUP(S42:AL42,增益!$A:$A,增益!$O:$O,0))&gt;0,($F$14-$I$4+VLOOKUP($R42,武学奇术!$A:$ZZ,15,FALSE)+SUM(_xlfn.XLOOKUP(S42:AL42,增益!$A:$A,增益!$O:$O,0)))/200,($F$14-$I$4+VLOOKUP($R42,武学奇术!$A:$ZZ,15,FALSE)+SUM(_xlfn.XLOOKUP(S42:AL42,增益!$A:$A,增益!$O:$O,0)))/100)</f>
        <v>0.13</v>
      </c>
      <c r="BN42" s="29" cm="1">
        <f t="array" ref="BN42">$G$14+VLOOKUP($R42,武学奇术!$A:$ZZ,16,FALSE)+SUM(_xlfn.XLOOKUP(S42:AL42,增益!$A:$A,增益!$P:$P,0))</f>
        <v>0.23</v>
      </c>
      <c r="BO42" s="23">
        <f>MIN(IF(VLOOKUP($R42,武学奇术!$A:$ZZ,23,FALSE)=1,100%,$B$8),100%)</f>
        <v>0.9943</v>
      </c>
      <c r="BP42" s="23" cm="1">
        <f t="array" ref="BP42">IF(VLOOKUP($R42,武学奇术!$A:$ZZ,23,FALSE)=1,100%,MIN(80%,$B$9+VLOOKUP($R42,武学奇术!$A:$ZZ,17,FALSE)+SUM(_xlfn.XLOOKUP(S42:AL42,增益!$A:$A,增益!$Q:$Q,0)))+$B$11+SUM(_xlfn.XLOOKUP(S42:AL42,增益!$A:$A,增益!$U:$U,0)))*IF(VLOOKUP($R42,武学奇术!$A:$ZZ,24,FALSE)=1,0,1)</f>
        <v>0.8</v>
      </c>
      <c r="BQ42" s="23" cm="1">
        <f t="array" ref="BQ42">1+$B$13+VLOOKUP($R42,武学奇术!$A:$ZZ,18,FALSE)+SUM(_xlfn.XLOOKUP(S42:AL42,增益!$A:$A,增益!$R:$R,0))</f>
        <v>1.604</v>
      </c>
      <c r="BR42" s="23" cm="1">
        <f t="array" ref="BR42">IF(VLOOKUP($R42,武学奇术!$A:$ZZ,24,FALSE)=1,100%,MIN(40%,$B$10+VLOOKUP($R42,武学奇术!$A:$ZZ,19,FALSE)+SUM(_xlfn.XLOOKUP(S42:AL42,增益!$A:$A,增益!$S:$S,0)))+$B$12+SUM(_xlfn.XLOOKUP(S42:AL42,增益!$A:$A,增益!$V:$V,0)))*IF(VLOOKUP($R42,武学奇术!$A:$ZZ,23,FALSE)=1,0,1)</f>
        <v>0.0913</v>
      </c>
      <c r="BS42" s="23" cm="1">
        <f t="array" ref="BS42">1+$B$14+VLOOKUP($R42,武学奇术!$A:$ZZ,20,FALSE)+SUM(_xlfn.XLOOKUP(S42:AL42,增益!$A:$A,增益!$T:$T,0))</f>
        <v>1.35</v>
      </c>
      <c r="BT42" s="23">
        <f t="shared" si="20"/>
        <v>0.79544</v>
      </c>
      <c r="BU42" s="23">
        <f t="shared" si="21"/>
        <v>0.10808041</v>
      </c>
      <c r="BV42" s="23">
        <f>IF(VLOOKUP($R42,武学奇术!$A:$ZZ,22,FALSE)=1,0,(1-$BO42))*(1-$BR42)</f>
        <v>0.00517958999999993</v>
      </c>
      <c r="BW42" s="23" cm="1">
        <f t="array" ref="BW42">SUM(_xlfn.XLOOKUP(S42:AL42,增益!$A:$A,增益!$W:$W,0))+$I$5</f>
        <v>0.11</v>
      </c>
      <c r="BX42" s="23">
        <f>VLOOKUP($R42,武学奇术!$A:$ZZ,32,FALSE)</f>
        <v>0.1</v>
      </c>
      <c r="BY42" s="23" cm="1">
        <f t="array" ref="BY42">SUM(_xlfn.XLOOKUP($S42:$AL42,增益!$A:$A,增益!$X:$X,0))</f>
        <v>0</v>
      </c>
    </row>
    <row r="43" spans="1:77">
      <c r="A43" s="93">
        <v>45</v>
      </c>
      <c r="B43" s="4">
        <v>1.5</v>
      </c>
      <c r="C43" s="4"/>
      <c r="D43" s="36"/>
      <c r="E43" s="36"/>
      <c r="K43" s="35">
        <f>$L43*VLOOKUP($R43,武学奇术!$A:$ZZ,31,FALSE)</f>
        <v>65369.171412544</v>
      </c>
      <c r="L43" s="69">
        <f t="shared" si="11"/>
        <v>64087.4229534745</v>
      </c>
      <c r="M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轻击",$B$21,0))*(1+IF(VLOOKUP($R43,武学奇术!$A:$ZZ,30,FALSE)="老鼠",$B$22,0))*(1+$BW43)*(1+$BX43)</f>
        <v>67214.3209482367</v>
      </c>
      <c r="N43" s="35">
        <f>(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轻击",$B$21,0))*(1+IF(VLOOKUP($R43,武学奇术!$A:$ZZ,30,FALSE)="老鼠",$B$22,0))*(1+$BW43))*(1+$BX43)</f>
        <v>64705.4314035172</v>
      </c>
      <c r="O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轻击",$B$21,0))*(1+IF(VLOOKUP($R43,武学奇术!$A:$ZZ,30,FALSE)="老鼠",$B$22,0))*(1+$BW43)*(1+$BX43)</f>
        <v>41904.1901173546</v>
      </c>
      <c r="P43" s="35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轻击",$B$21,0))*(1+IF(VLOOKUP($R43,武学奇术!$A:$ZZ,30,FALSE)="老鼠",$B$22,0))*(1+$BW43)*(1+$BX43)</f>
        <v>35878.4310469186</v>
      </c>
      <c r="Q43" s="70">
        <v>3</v>
      </c>
      <c r="R43" s="37" t="s">
        <v>106</v>
      </c>
      <c r="S43" s="37" t="s">
        <v>91</v>
      </c>
      <c r="T43" s="37" t="s">
        <v>175</v>
      </c>
      <c r="U43" s="37" t="s">
        <v>112</v>
      </c>
      <c r="V43" s="37" t="s">
        <v>113</v>
      </c>
      <c r="W43" s="37" t="s">
        <v>82</v>
      </c>
      <c r="X43" s="37" t="s">
        <v>81</v>
      </c>
      <c r="Y43" s="37" t="s">
        <v>109</v>
      </c>
      <c r="Z43" s="37" t="s">
        <v>81</v>
      </c>
      <c r="AA43" s="37" t="s">
        <v>84</v>
      </c>
      <c r="AB43" s="37" t="s">
        <v>81</v>
      </c>
      <c r="AC43" s="37" t="s">
        <v>81</v>
      </c>
      <c r="AD43" s="37" t="s">
        <v>85</v>
      </c>
      <c r="AE43" s="37" t="s">
        <v>81</v>
      </c>
      <c r="AF43" s="37" t="s">
        <v>81</v>
      </c>
      <c r="AG43" s="37" t="s">
        <v>87</v>
      </c>
      <c r="AH43" s="37" t="s">
        <v>88</v>
      </c>
      <c r="AI43" s="37" t="s">
        <v>81</v>
      </c>
      <c r="AJ43" s="37" t="s">
        <v>81</v>
      </c>
      <c r="AK43" s="37" t="s">
        <v>81</v>
      </c>
      <c r="AL43" s="37" t="s">
        <v>81</v>
      </c>
      <c r="AM43" t="str">
        <f>VLOOKUP($R43,武学奇术!$A:$ZZ,25,FALSE)</f>
        <v>绳镖</v>
      </c>
      <c r="AN43" s="23">
        <f>VLOOKUP($R43,武学奇术!$A:$ZZ,26,FALSE)</f>
        <v>0.3675</v>
      </c>
      <c r="AO43" s="24">
        <f>VLOOKUP($R43,武学奇术!$A:$ZZ,27,FALSE)*(1+IF(OR($AM43=$F$4,$AM43=$F$5),$B$23,0))</f>
        <v>0</v>
      </c>
      <c r="AP43" s="23">
        <f>VLOOKUP($R43,武学奇术!$A:$ZZ,28,FALSE)</f>
        <v>0.55125</v>
      </c>
      <c r="AQ43" s="24">
        <f>VLOOKUP($R43,武学奇术!$A:$ZZ,29,FALSE)*(1+IF(OR($AM43=$F$4,$AM43=$F$5),$B$23,0))</f>
        <v>0</v>
      </c>
      <c r="AR43" s="23" cm="1">
        <f t="array" ref="AR43">$G$3+IFERROR(VLOOKUP($AM43,$F$4:$G$7,2,FALSE),0)+VLOOKUP($R43,武学奇术!$A:$ZZ,2,FALSE)+SUM(_xlfn.XLOOKUP($S43:$AL43,增益!$A:$A,增益!$B:$B,0))</f>
        <v>1.5743</v>
      </c>
      <c r="AS43" s="23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4150.4</v>
      </c>
      <c r="AU43" cm="1">
        <f t="array" ref="AU43">$E$10*(1+$AS43)+VLOOKUP($R43,武学奇术!$A:$ZZ,4,FALSE)+SUM(_xlfn.XLOOKUP($S43:$AL43,增益!$A:$A,增益!$D:$D,0))-$I$2</f>
        <v>4150.4</v>
      </c>
      <c r="AV43" s="29" cm="1">
        <f t="array" ref="AV43">IF($F$10-$I$3+VLOOKUP($R43,武学奇术!$A:$ZZ,6,FALSE)+SUM(_xlfn.XLOOKUP(S43:AL43,增益!$A:$A,增益!$F:$F,0))&gt;0,($F$10-$I$3+VLOOKUP($R43,武学奇术!$A:$ZZ,6,FALSE)+SUM(_xlfn.XLOOKUP(S43:AL43,增益!$A:$A,增益!$F:$F,0)))/200,($F$10-$I$3+VLOOKUP($R43,武学奇术!$A:$ZZ,6,FALSE)+SUM(_xlfn.XLOOKUP(S43:AL43,增益!$A:$A,增益!$F:$F,0)))/100)</f>
        <v>0.3289</v>
      </c>
      <c r="AW43" s="29" cm="1">
        <f t="array" ref="AW43">$G$10+VLOOKUP($R43,武学奇术!$A:$ZZ,7,FALSE)+SUM(_xlfn.XLOOKUP(S43:AL43,增益!$A:$A,增益!$G:$G,0))</f>
        <v>0.29</v>
      </c>
      <c r="AX43" s="23" cm="1">
        <f t="array" ref="AX43">VLOOKUP($R43,武学奇术!$A:$ZZ,8,FALSE)+SUM(_xlfn.XLOOKUP(S43:AL43,增益!$A:$A,增益!$H:$H,0))</f>
        <v>0</v>
      </c>
      <c r="AY43">
        <f t="shared" si="12"/>
        <v>0</v>
      </c>
      <c r="AZ43">
        <f t="shared" si="13"/>
        <v>0</v>
      </c>
      <c r="BA43" s="29" cm="1">
        <f t="array" ref="BA43">IF($F$11-$I$4+VLOOKUP($R43,武学奇术!$A:$ZZ,9,FALSE)+SUM(_xlfn.XLOOKUP(S43:AL43,增益!$A:$A,增益!$I:$I,0))&gt;0,($F$11-$I$4+VLOOKUP($R43,武学奇术!$A:$ZZ,9,FALSE)+SUM(_xlfn.XLOOKUP(S43:AL43,增益!$A:$A,增益!$I:$I,0)))/200,($F$11-$I$4+VLOOKUP($R43,武学奇术!$A:$ZZ,9,FALSE)+SUM(_xlfn.XLOOKUP(S43:AL43,增益!$A:$A,增益!$I:$I,0)))/100)</f>
        <v>-0.14</v>
      </c>
      <c r="BB43" s="29" cm="1">
        <f t="array" ref="BB43">$G$11+VLOOKUP($R43,武学奇术!$A:$ZZ,10,FALSE)+SUM(_xlfn.XLOOKUP(S43:AL43,增益!$A:$A,增益!$J:$J,0))</f>
        <v>0.02</v>
      </c>
      <c r="BC43">
        <f t="shared" si="14"/>
        <v>0</v>
      </c>
      <c r="BD43">
        <f t="shared" si="15"/>
        <v>0</v>
      </c>
      <c r="BE43" s="29" cm="1">
        <f t="array" ref="BE43">IF($F$12-$I$4+VLOOKUP($R43,武学奇术!$A:$ZZ,11,FALSE)+SUM(_xlfn.XLOOKUP(S43:AL43,增益!$A:$A,增益!$K:$K,0))&gt;0,($F$12-$I$4+VLOOKUP($R43,武学奇术!$A:$ZZ,11,FALSE)+SUM(_xlfn.XLOOKUP(S43:AL43,增益!$A:$A,增益!$K:$K,0)))/200,($F$12-$I$4+VLOOKUP($R43,武学奇术!$A:$ZZ,11,FALSE)+SUM(_xlfn.XLOOKUP(S43:AL43,增益!$A:$A,增益!$K:$K,0)))/100)</f>
        <v>-0.14</v>
      </c>
      <c r="BF43" s="29" cm="1">
        <f t="array" ref="BF43">$G$12+VLOOKUP($R43,武学奇术!$A:$ZZ,12,FALSE)+SUM(_xlfn.XLOOKUP(S43:AL43,增益!$A:$A,增益!$L:$L,0))</f>
        <v>0.02</v>
      </c>
      <c r="BG43">
        <f t="shared" si="16"/>
        <v>0</v>
      </c>
      <c r="BH43">
        <f t="shared" si="17"/>
        <v>0</v>
      </c>
      <c r="BI43" s="29" cm="1">
        <f t="array" ref="BI43">IF($F$13-$I$4+VLOOKUP($R43,武学奇术!$A:$ZZ,13,FALSE)+SUM(_xlfn.XLOOKUP(S43:AL43,增益!$A:$A,增益!$M:$M,0))&gt;0,($F$13-$I$4+VLOOKUP($R43,武学奇术!$A:$ZZ,13,FALSE)+SUM(_xlfn.XLOOKUP(S43:AL43,增益!$A:$A,增益!$K:$K,0)))/200,($F$13-$I$4+VLOOKUP($R43,武学奇术!$A:$ZZ,13,FALSE)+SUM(_xlfn.XLOOKUP(S43:AL43,增益!$A:$A,增益!$M:$M,0)))/100)</f>
        <v>-0.14</v>
      </c>
      <c r="BJ43" s="29" cm="1">
        <f t="array" ref="BJ43">$G$13+VLOOKUP($R43,武学奇术!$A:$ZZ,14,FALSE)+SUM(_xlfn.XLOOKUP(S43:AL43,增益!$A:$A,增益!$N:$N,0))</f>
        <v>0.02</v>
      </c>
      <c r="BK43">
        <f t="shared" si="18"/>
        <v>618.2</v>
      </c>
      <c r="BL43">
        <f t="shared" si="19"/>
        <v>1805</v>
      </c>
      <c r="BM43" s="29" cm="1">
        <f t="array" ref="BM43">IF($F$14-$I$4+VLOOKUP($R43,武学奇术!$A:$ZZ,15,FALSE)+SUM(_xlfn.XLOOKUP(S43:AL43,增益!$A:$A,增益!$O:$O,0))&gt;0,($F$14-$I$4+VLOOKUP($R43,武学奇术!$A:$ZZ,15,FALSE)+SUM(_xlfn.XLOOKUP(S43:AL43,增益!$A:$A,增益!$O:$O,0)))/200,($F$14-$I$4+VLOOKUP($R43,武学奇术!$A:$ZZ,15,FALSE)+SUM(_xlfn.XLOOKUP(S43:AL43,增益!$A:$A,增益!$O:$O,0)))/100)</f>
        <v>0.13</v>
      </c>
      <c r="BN43" s="29" cm="1">
        <f t="array" ref="BN43">$G$14+VLOOKUP($R43,武学奇术!$A:$ZZ,16,FALSE)+SUM(_xlfn.XLOOKUP(S43:AL43,增益!$A:$A,增益!$P:$P,0))</f>
        <v>0.44</v>
      </c>
      <c r="BO43" s="23">
        <f>MIN(IF(VLOOKUP($R43,武学奇术!$A:$ZZ,23,FALSE)=1,100%,$B$8),100%)</f>
        <v>0.9943</v>
      </c>
      <c r="BP43" s="23" cm="1">
        <f t="array" ref="BP43">IF(VLOOKUP($R43,武学奇术!$A:$ZZ,23,FALSE)=1,100%,MIN(80%,$B$9+VLOOKUP($R43,武学奇术!$A:$ZZ,17,FALSE)+SUM(_xlfn.XLOOKUP(S43:AL43,增益!$A:$A,增益!$Q:$Q,0)))+$B$11+SUM(_xlfn.XLOOKUP(S43:AL43,增益!$A:$A,增益!$U:$U,0)))*IF(VLOOKUP($R43,武学奇术!$A:$ZZ,24,FALSE)=1,0,1)</f>
        <v>0.8</v>
      </c>
      <c r="BQ43" s="23" cm="1">
        <f t="array" ref="BQ43">1+$B$13+VLOOKUP($R43,武学奇术!$A:$ZZ,18,FALSE)+SUM(_xlfn.XLOOKUP(S43:AL43,增益!$A:$A,增益!$R:$R,0))</f>
        <v>1.604</v>
      </c>
      <c r="BR43" s="23" cm="1">
        <f t="array" ref="BR43">IF(VLOOKUP($R43,武学奇术!$A:$ZZ,24,FALSE)=1,100%,MIN(40%,$B$10+VLOOKUP($R43,武学奇术!$A:$ZZ,19,FALSE)+SUM(_xlfn.XLOOKUP(S43:AL43,增益!$A:$A,增益!$S:$S,0)))+$B$12+SUM(_xlfn.XLOOKUP(S43:AL43,增益!$A:$A,增益!$V:$V,0)))*IF(VLOOKUP($R43,武学奇术!$A:$ZZ,23,FALSE)=1,0,1)</f>
        <v>0.0913</v>
      </c>
      <c r="BS43" s="23" cm="1">
        <f t="array" ref="BS43">1+$B$14+VLOOKUP($R43,武学奇术!$A:$ZZ,20,FALSE)+SUM(_xlfn.XLOOKUP(S43:AL43,增益!$A:$A,增益!$T:$T,0))</f>
        <v>1.35</v>
      </c>
      <c r="BT43" s="23">
        <f t="shared" si="20"/>
        <v>0.79544</v>
      </c>
      <c r="BU43" s="23">
        <f t="shared" si="21"/>
        <v>0.10808041</v>
      </c>
      <c r="BV43" s="23">
        <f>IF(VLOOKUP($R43,武学奇术!$A:$ZZ,22,FALSE)=1,0,(1-$BO43))*(1-$BR43)</f>
        <v>0.00517958999999993</v>
      </c>
      <c r="BW43" s="23" cm="1">
        <f t="array" ref="BW43">SUM(_xlfn.XLOOKUP(S43:AL43,增益!$A:$A,增益!$W:$W,0))+$I$5</f>
        <v>0.11</v>
      </c>
      <c r="BX43" s="23">
        <f>VLOOKUP($R43,武学奇术!$A:$ZZ,32,FALSE)</f>
        <v>0</v>
      </c>
      <c r="BY43" s="23" cm="1">
        <f t="array" ref="BY43">SUM(_xlfn.XLOOKUP($S43:$AL43,增益!$A:$A,增益!$X:$X,0))</f>
        <v>0</v>
      </c>
    </row>
    <row r="44" spans="1:77">
      <c r="A44" s="4" t="s">
        <v>176</v>
      </c>
      <c r="B44" s="4">
        <v>0.1</v>
      </c>
      <c r="C44" s="4"/>
      <c r="D44" s="36"/>
      <c r="E44" s="36"/>
      <c r="K44" s="35">
        <f>$L44*VLOOKUP($R44,武学奇术!$A:$ZZ,31,FALSE)</f>
        <v>1574.66505524293</v>
      </c>
      <c r="L44" s="35">
        <f t="shared" si="11"/>
        <v>1543.78926984601</v>
      </c>
      <c r="M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轻击",$B$21,0))*(1+IF(VLOOKUP($R44,武学奇术!$A:$ZZ,30,FALSE)="老鼠",$B$22,0))*(1+$BW44)*(1+$BX44)</f>
        <v>1621.21988808438</v>
      </c>
      <c r="N44" s="35">
        <f>(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轻击",$B$21,0))*(1+IF(VLOOKUP($R44,武学奇术!$A:$ZZ,30,FALSE)="老鼠",$B$22,0))*(1+$BW44))*(1+$BX44)</f>
        <v>1537.73141786949</v>
      </c>
      <c r="O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轻击",$B$21,0))*(1+IF(VLOOKUP($R44,武学奇术!$A:$ZZ,30,FALSE)="老鼠",$B$22,0))*(1+$BW44)*(1+$BX44)</f>
        <v>1010.73559107505</v>
      </c>
      <c r="P44" s="35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轻击",$B$21,0))*(1+IF(VLOOKUP($R44,武学奇术!$A:$ZZ,30,FALSE)="老鼠",$B$22,0))*(1+$BW44)*(1+$BX44)</f>
        <v>882.410872617144</v>
      </c>
      <c r="Q44" s="36">
        <v>1</v>
      </c>
      <c r="R44" s="37" t="s">
        <v>102</v>
      </c>
      <c r="S44" s="37" t="s">
        <v>91</v>
      </c>
      <c r="T44" s="37" t="s">
        <v>175</v>
      </c>
      <c r="U44" s="37" t="s">
        <v>81</v>
      </c>
      <c r="V44" s="37" t="s">
        <v>81</v>
      </c>
      <c r="W44" s="37" t="s">
        <v>82</v>
      </c>
      <c r="X44" s="37" t="s">
        <v>81</v>
      </c>
      <c r="Y44" s="37" t="s">
        <v>81</v>
      </c>
      <c r="Z44" s="37" t="s">
        <v>81</v>
      </c>
      <c r="AA44" s="37" t="s">
        <v>84</v>
      </c>
      <c r="AB44" s="37" t="s">
        <v>81</v>
      </c>
      <c r="AC44" s="37" t="s">
        <v>81</v>
      </c>
      <c r="AD44" s="37" t="s">
        <v>85</v>
      </c>
      <c r="AE44" s="37" t="s">
        <v>81</v>
      </c>
      <c r="AF44" s="37" t="s">
        <v>81</v>
      </c>
      <c r="AG44" s="37" t="s">
        <v>87</v>
      </c>
      <c r="AH44" s="37" t="s">
        <v>88</v>
      </c>
      <c r="AI44" s="37" t="s">
        <v>81</v>
      </c>
      <c r="AJ44" s="37" t="s">
        <v>81</v>
      </c>
      <c r="AK44" s="37" t="s">
        <v>81</v>
      </c>
      <c r="AL44" s="37" t="s">
        <v>81</v>
      </c>
      <c r="AM44" t="str">
        <f>VLOOKUP($R44,武学奇术!$A:$ZZ,25,FALSE)</f>
        <v>绳镖</v>
      </c>
      <c r="AN44" s="23">
        <f>VLOOKUP($R44,武学奇术!$A:$ZZ,26,FALSE)</f>
        <v>0.0621</v>
      </c>
      <c r="AO44" s="24">
        <f>VLOOKUP($R44,武学奇术!$A:$ZZ,27,FALSE)*(1+IF(OR($AM44=$F$4,$AM44=$F$5),$B$23,0))</f>
        <v>27.2</v>
      </c>
      <c r="AP44" s="23">
        <f>VLOOKUP($R44,武学奇术!$A:$ZZ,28,FALSE)</f>
        <v>0.0932</v>
      </c>
      <c r="AQ44" s="24">
        <f>VLOOKUP($R44,武学奇术!$A:$ZZ,29,FALSE)*(1+IF(OR($AM44=$F$4,$AM44=$F$5),$B$23,0))</f>
        <v>14.4</v>
      </c>
      <c r="AR44" s="23" cm="1">
        <f t="array" ref="AR44">$G$3+IFERROR(VLOOKUP($AM44,$F$4:$G$7,2,FALSE),0)+VLOOKUP($R44,武学奇术!$A:$ZZ,2,FALSE)+SUM(_xlfn.XLOOKUP($S44:$AL44,增益!$A:$A,增益!$B:$B,0))</f>
        <v>0.6543</v>
      </c>
      <c r="AS44" s="23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4081.7</v>
      </c>
      <c r="AU44" cm="1">
        <f t="array" ref="AU44">$E$10*(1+$AS44)+VLOOKUP($R44,武学奇术!$A:$ZZ,4,FALSE)+SUM(_xlfn.XLOOKUP($S44:$AL44,增益!$A:$A,增益!$D:$D,0))-$I$2</f>
        <v>4081.7</v>
      </c>
      <c r="AV44" s="29" cm="1">
        <f t="array" ref="AV44">IF($F$10-$I$3+VLOOKUP($R44,武学奇术!$A:$ZZ,6,FALSE)+SUM(_xlfn.XLOOKUP(S44:AL44,增益!$A:$A,增益!$F:$F,0))&gt;0,($F$10-$I$3+VLOOKUP($R44,武学奇术!$A:$ZZ,6,FALSE)+SUM(_xlfn.XLOOKUP(S44:AL44,增益!$A:$A,增益!$F:$F,0)))/200,($F$10-$I$3+VLOOKUP($R44,武学奇术!$A:$ZZ,6,FALSE)+SUM(_xlfn.XLOOKUP(S44:AL44,增益!$A:$A,增益!$F:$F,0)))/100)</f>
        <v>0.3289</v>
      </c>
      <c r="AW44" s="29" cm="1">
        <f t="array" ref="AW44">$G$10+VLOOKUP($R44,武学奇术!$A:$ZZ,7,FALSE)+SUM(_xlfn.XLOOKUP(S44:AL44,增益!$A:$A,增益!$G:$G,0))</f>
        <v>0.02</v>
      </c>
      <c r="AX44" s="23" cm="1">
        <f t="array" ref="AX44">VLOOKUP($R44,武学奇术!$A:$ZZ,8,FALSE)+SUM(_xlfn.XLOOKUP(S44:AL44,增益!$A:$A,增益!$H:$H,0))</f>
        <v>0</v>
      </c>
      <c r="AY44">
        <f t="shared" si="12"/>
        <v>0</v>
      </c>
      <c r="AZ44">
        <f t="shared" si="13"/>
        <v>0</v>
      </c>
      <c r="BA44" s="29" cm="1">
        <f t="array" ref="BA44">IF($F$11-$I$4+VLOOKUP($R44,武学奇术!$A:$ZZ,9,FALSE)+SUM(_xlfn.XLOOKUP(S44:AL44,增益!$A:$A,增益!$I:$I,0))&gt;0,($F$11-$I$4+VLOOKUP($R44,武学奇术!$A:$ZZ,9,FALSE)+SUM(_xlfn.XLOOKUP(S44:AL44,增益!$A:$A,增益!$I:$I,0)))/200,($F$11-$I$4+VLOOKUP($R44,武学奇术!$A:$ZZ,9,FALSE)+SUM(_xlfn.XLOOKUP(S44:AL44,增益!$A:$A,增益!$I:$I,0)))/100)</f>
        <v>-0.14</v>
      </c>
      <c r="BB44" s="29" cm="1">
        <f t="array" ref="BB44">$G$11+VLOOKUP($R44,武学奇术!$A:$ZZ,10,FALSE)+SUM(_xlfn.XLOOKUP(S44:AL44,增益!$A:$A,增益!$J:$J,0))</f>
        <v>0.02</v>
      </c>
      <c r="BC44">
        <f t="shared" si="14"/>
        <v>0</v>
      </c>
      <c r="BD44">
        <f t="shared" si="15"/>
        <v>0</v>
      </c>
      <c r="BE44" s="29" cm="1">
        <f t="array" ref="BE44">IF($F$12-$I$4+VLOOKUP($R44,武学奇术!$A:$ZZ,11,FALSE)+SUM(_xlfn.XLOOKUP(S44:AL44,增益!$A:$A,增益!$K:$K,0))&gt;0,($F$12-$I$4+VLOOKUP($R44,武学奇术!$A:$ZZ,11,FALSE)+SUM(_xlfn.XLOOKUP(S44:AL44,增益!$A:$A,增益!$K:$K,0)))/200,($F$12-$I$4+VLOOKUP($R44,武学奇术!$A:$ZZ,11,FALSE)+SUM(_xlfn.XLOOKUP(S44:AL44,增益!$A:$A,增益!$K:$K,0)))/100)</f>
        <v>-0.14</v>
      </c>
      <c r="BF44" s="29" cm="1">
        <f t="array" ref="BF44">$G$12+VLOOKUP($R44,武学奇术!$A:$ZZ,12,FALSE)+SUM(_xlfn.XLOOKUP(S44:AL44,增益!$A:$A,增益!$L:$L,0))</f>
        <v>0.02</v>
      </c>
      <c r="BG44">
        <f t="shared" si="16"/>
        <v>0</v>
      </c>
      <c r="BH44">
        <f t="shared" si="17"/>
        <v>0</v>
      </c>
      <c r="BI44" s="29" cm="1">
        <f t="array" ref="BI44">IF($F$13-$I$4+VLOOKUP($R44,武学奇术!$A:$ZZ,13,FALSE)+SUM(_xlfn.XLOOKUP(S44:AL44,增益!$A:$A,增益!$M:$M,0))&gt;0,($F$13-$I$4+VLOOKUP($R44,武学奇术!$A:$ZZ,13,FALSE)+SUM(_xlfn.XLOOKUP(S44:AL44,增益!$A:$A,增益!$K:$K,0)))/200,($F$13-$I$4+VLOOKUP($R44,武学奇术!$A:$ZZ,13,FALSE)+SUM(_xlfn.XLOOKUP(S44:AL44,增益!$A:$A,增益!$M:$M,0)))/100)</f>
        <v>-0.14</v>
      </c>
      <c r="BJ44" s="29" cm="1">
        <f t="array" ref="BJ44">$G$13+VLOOKUP($R44,武学奇术!$A:$ZZ,14,FALSE)+SUM(_xlfn.XLOOKUP(S44:AL44,增益!$A:$A,增益!$N:$N,0))</f>
        <v>0.02</v>
      </c>
      <c r="BK44">
        <f t="shared" si="18"/>
        <v>618.2</v>
      </c>
      <c r="BL44">
        <f t="shared" si="19"/>
        <v>1805</v>
      </c>
      <c r="BM44" s="29" cm="1">
        <f t="array" ref="BM44">IF($F$14-$I$4+VLOOKUP($R44,武学奇术!$A:$ZZ,15,FALSE)+SUM(_xlfn.XLOOKUP(S44:AL44,增益!$A:$A,增益!$O:$O,0))&gt;0,($F$14-$I$4+VLOOKUP($R44,武学奇术!$A:$ZZ,15,FALSE)+SUM(_xlfn.XLOOKUP(S44:AL44,增益!$A:$A,增益!$O:$O,0)))/200,($F$14-$I$4+VLOOKUP($R44,武学奇术!$A:$ZZ,15,FALSE)+SUM(_xlfn.XLOOKUP(S44:AL44,增益!$A:$A,增益!$O:$O,0)))/100)</f>
        <v>0.08</v>
      </c>
      <c r="BN44" s="29" cm="1">
        <f t="array" ref="BN44">$G$14+VLOOKUP($R44,武学奇术!$A:$ZZ,16,FALSE)+SUM(_xlfn.XLOOKUP(S44:AL44,增益!$A:$A,增益!$P:$P,0))</f>
        <v>0.17</v>
      </c>
      <c r="BO44" s="23">
        <f>MIN(IF(VLOOKUP($R44,武学奇术!$A:$ZZ,23,FALSE)=1,100%,$B$8),100%)</f>
        <v>0.9943</v>
      </c>
      <c r="BP44" s="23" cm="1">
        <f t="array" ref="BP44">IF(VLOOKUP($R44,武学奇术!$A:$ZZ,23,FALSE)=1,100%,MIN(80%,$B$9+VLOOKUP($R44,武学奇术!$A:$ZZ,17,FALSE)+SUM(_xlfn.XLOOKUP(S44:AL44,增益!$A:$A,增益!$Q:$Q,0)))+$B$11+SUM(_xlfn.XLOOKUP(S44:AL44,增益!$A:$A,增益!$U:$U,0)))*IF(VLOOKUP($R44,武学奇术!$A:$ZZ,24,FALSE)=1,0,1)</f>
        <v>0.8</v>
      </c>
      <c r="BQ44" s="23" cm="1">
        <f t="array" ref="BQ44">1+$B$13+VLOOKUP($R44,武学奇术!$A:$ZZ,18,FALSE)+SUM(_xlfn.XLOOKUP(S44:AL44,增益!$A:$A,增益!$R:$R,0))</f>
        <v>1.604</v>
      </c>
      <c r="BR44" s="23" cm="1">
        <f t="array" ref="BR44">IF(VLOOKUP($R44,武学奇术!$A:$ZZ,24,FALSE)=1,100%,MIN(40%,$B$10+VLOOKUP($R44,武学奇术!$A:$ZZ,19,FALSE)+SUM(_xlfn.XLOOKUP(S44:AL44,增益!$A:$A,增益!$S:$S,0)))+$B$12+SUM(_xlfn.XLOOKUP(S44:AL44,增益!$A:$A,增益!$V:$V,0)))*IF(VLOOKUP($R44,武学奇术!$A:$ZZ,23,FALSE)=1,0,1)</f>
        <v>0.0913</v>
      </c>
      <c r="BS44" s="23" cm="1">
        <f t="array" ref="BS44">1+$B$14+VLOOKUP($R44,武学奇术!$A:$ZZ,20,FALSE)+SUM(_xlfn.XLOOKUP(S44:AL44,增益!$A:$A,增益!$T:$T,0))</f>
        <v>1.35</v>
      </c>
      <c r="BT44" s="23">
        <f t="shared" si="20"/>
        <v>0.79544</v>
      </c>
      <c r="BU44" s="23">
        <f t="shared" si="21"/>
        <v>0.10808041</v>
      </c>
      <c r="BV44" s="23">
        <f>IF(VLOOKUP($R44,武学奇术!$A:$ZZ,22,FALSE)=1,0,(1-$BO44))*(1-$BR44)</f>
        <v>0.00517958999999993</v>
      </c>
      <c r="BW44" s="23" cm="1">
        <f t="array" ref="BW44">SUM(_xlfn.XLOOKUP(S44:AL44,增益!$A:$A,增益!$W:$W,0))+$I$5</f>
        <v>0.11</v>
      </c>
      <c r="BX44" s="23">
        <f>VLOOKUP($R44,武学奇术!$A:$ZZ,32,FALSE)</f>
        <v>0</v>
      </c>
      <c r="BY44" s="23" cm="1">
        <f t="array" ref="BY44">SUM(_xlfn.XLOOKUP($S44:$AL44,增益!$A:$A,增益!$X:$X,0))</f>
        <v>0</v>
      </c>
    </row>
    <row r="45" spans="1:77">
      <c r="A45" s="4" t="s">
        <v>161</v>
      </c>
      <c r="B45" s="4">
        <v>1</v>
      </c>
      <c r="C45" s="4"/>
      <c r="D45" s="36"/>
      <c r="E45" s="36"/>
      <c r="K45" s="35">
        <f>$L45*VLOOKUP($R45,武学奇术!$A:$ZZ,31,FALSE)</f>
        <v>43579.4476083627</v>
      </c>
      <c r="L45" s="69">
        <f t="shared" si="11"/>
        <v>42724.9486356497</v>
      </c>
      <c r="M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轻击",$B$21,0))*(1+IF(VLOOKUP($R45,武学奇术!$A:$ZZ,30,FALSE)="老鼠",$B$22,0))*(1+$BW45)*(1+$BX45)</f>
        <v>44809.5472988245</v>
      </c>
      <c r="N45" s="35">
        <f>(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轻击",$B$21,0))*(1+IF(VLOOKUP($R45,武学奇术!$A:$ZZ,30,FALSE)="老鼠",$B$22,0))*(1+$BW45))*(1+$BX45)</f>
        <v>43136.9542690115</v>
      </c>
      <c r="O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轻击",$B$21,0))*(1+IF(VLOOKUP($R45,武学奇术!$A:$ZZ,30,FALSE)="老鼠",$B$22,0))*(1+$BW45)*(1+$BX45)</f>
        <v>27936.126744903</v>
      </c>
      <c r="P45" s="35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轻击",$B$21,0))*(1+IF(VLOOKUP($R45,武学奇术!$A:$ZZ,30,FALSE)="老鼠",$B$22,0))*(1+$BW45)*(1+$BX45)</f>
        <v>23918.9540312791</v>
      </c>
      <c r="Q45" s="70">
        <v>2</v>
      </c>
      <c r="R45" s="37" t="s">
        <v>106</v>
      </c>
      <c r="S45" s="37" t="s">
        <v>91</v>
      </c>
      <c r="T45" s="37" t="s">
        <v>175</v>
      </c>
      <c r="U45" s="37" t="s">
        <v>112</v>
      </c>
      <c r="V45" s="37" t="s">
        <v>113</v>
      </c>
      <c r="W45" s="37" t="s">
        <v>82</v>
      </c>
      <c r="X45" s="37" t="s">
        <v>81</v>
      </c>
      <c r="Y45" s="37" t="s">
        <v>109</v>
      </c>
      <c r="Z45" s="37" t="s">
        <v>81</v>
      </c>
      <c r="AA45" s="37" t="s">
        <v>84</v>
      </c>
      <c r="AB45" s="37" t="s">
        <v>81</v>
      </c>
      <c r="AC45" s="37" t="s">
        <v>81</v>
      </c>
      <c r="AD45" s="37" t="s">
        <v>85</v>
      </c>
      <c r="AE45" s="37" t="s">
        <v>81</v>
      </c>
      <c r="AF45" s="37" t="s">
        <v>81</v>
      </c>
      <c r="AG45" s="37" t="s">
        <v>87</v>
      </c>
      <c r="AH45" s="37" t="s">
        <v>88</v>
      </c>
      <c r="AI45" s="37" t="s">
        <v>81</v>
      </c>
      <c r="AJ45" s="37" t="s">
        <v>81</v>
      </c>
      <c r="AK45" s="37" t="s">
        <v>81</v>
      </c>
      <c r="AL45" s="37" t="s">
        <v>81</v>
      </c>
      <c r="AM45" t="str">
        <f>VLOOKUP($R45,武学奇术!$A:$ZZ,25,FALSE)</f>
        <v>绳镖</v>
      </c>
      <c r="AN45" s="23">
        <f>VLOOKUP($R45,武学奇术!$A:$ZZ,26,FALSE)</f>
        <v>0.3675</v>
      </c>
      <c r="AO45" s="24">
        <f>VLOOKUP($R45,武学奇术!$A:$ZZ,27,FALSE)*(1+IF(OR($AM45=$F$4,$AM45=$F$5),$B$23,0))</f>
        <v>0</v>
      </c>
      <c r="AP45" s="23">
        <f>VLOOKUP($R45,武学奇术!$A:$ZZ,28,FALSE)</f>
        <v>0.55125</v>
      </c>
      <c r="AQ45" s="24">
        <f>VLOOKUP($R45,武学奇术!$A:$ZZ,29,FALSE)*(1+IF(OR($AM45=$F$4,$AM45=$F$5),$B$23,0))</f>
        <v>0</v>
      </c>
      <c r="AR45" s="23" cm="1">
        <f t="array" ref="AR45">$G$3+IFERROR(VLOOKUP($AM45,$F$4:$G$7,2,FALSE),0)+VLOOKUP($R45,武学奇术!$A:$ZZ,2,FALSE)+SUM(_xlfn.XLOOKUP($S45:$AL45,增益!$A:$A,增益!$B:$B,0))</f>
        <v>1.5743</v>
      </c>
      <c r="AS45" s="23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4150.4</v>
      </c>
      <c r="AU45" cm="1">
        <f t="array" ref="AU45">$E$10*(1+$AS45)+VLOOKUP($R45,武学奇术!$A:$ZZ,4,FALSE)+SUM(_xlfn.XLOOKUP($S45:$AL45,增益!$A:$A,增益!$D:$D,0))-$I$2</f>
        <v>4150.4</v>
      </c>
      <c r="AV45" s="29" cm="1">
        <f t="array" ref="AV45">IF($F$10-$I$3+VLOOKUP($R45,武学奇术!$A:$ZZ,6,FALSE)+SUM(_xlfn.XLOOKUP(S45:AL45,增益!$A:$A,增益!$F:$F,0))&gt;0,($F$10-$I$3+VLOOKUP($R45,武学奇术!$A:$ZZ,6,FALSE)+SUM(_xlfn.XLOOKUP(S45:AL45,增益!$A:$A,增益!$F:$F,0)))/200,($F$10-$I$3+VLOOKUP($R45,武学奇术!$A:$ZZ,6,FALSE)+SUM(_xlfn.XLOOKUP(S45:AL45,增益!$A:$A,增益!$F:$F,0)))/100)</f>
        <v>0.3289</v>
      </c>
      <c r="AW45" s="29" cm="1">
        <f t="array" ref="AW45">$G$10+VLOOKUP($R45,武学奇术!$A:$ZZ,7,FALSE)+SUM(_xlfn.XLOOKUP(S45:AL45,增益!$A:$A,增益!$G:$G,0))</f>
        <v>0.29</v>
      </c>
      <c r="AX45" s="23" cm="1">
        <f t="array" ref="AX45">VLOOKUP($R45,武学奇术!$A:$ZZ,8,FALSE)+SUM(_xlfn.XLOOKUP(S45:AL45,增益!$A:$A,增益!$H:$H,0))</f>
        <v>0</v>
      </c>
      <c r="AY45">
        <f t="shared" si="12"/>
        <v>0</v>
      </c>
      <c r="AZ45">
        <f t="shared" si="13"/>
        <v>0</v>
      </c>
      <c r="BA45" s="29" cm="1">
        <f t="array" ref="BA45">IF($F$11-$I$4+VLOOKUP($R45,武学奇术!$A:$ZZ,9,FALSE)+SUM(_xlfn.XLOOKUP(S45:AL45,增益!$A:$A,增益!$I:$I,0))&gt;0,($F$11-$I$4+VLOOKUP($R45,武学奇术!$A:$ZZ,9,FALSE)+SUM(_xlfn.XLOOKUP(S45:AL45,增益!$A:$A,增益!$I:$I,0)))/200,($F$11-$I$4+VLOOKUP($R45,武学奇术!$A:$ZZ,9,FALSE)+SUM(_xlfn.XLOOKUP(S45:AL45,增益!$A:$A,增益!$I:$I,0)))/100)</f>
        <v>-0.14</v>
      </c>
      <c r="BB45" s="29" cm="1">
        <f t="array" ref="BB45">$G$11+VLOOKUP($R45,武学奇术!$A:$ZZ,10,FALSE)+SUM(_xlfn.XLOOKUP(S45:AL45,增益!$A:$A,增益!$J:$J,0))</f>
        <v>0.02</v>
      </c>
      <c r="BC45">
        <f t="shared" si="14"/>
        <v>0</v>
      </c>
      <c r="BD45">
        <f t="shared" si="15"/>
        <v>0</v>
      </c>
      <c r="BE45" s="29" cm="1">
        <f t="array" ref="BE45">IF($F$12-$I$4+VLOOKUP($R45,武学奇术!$A:$ZZ,11,FALSE)+SUM(_xlfn.XLOOKUP(S45:AL45,增益!$A:$A,增益!$K:$K,0))&gt;0,($F$12-$I$4+VLOOKUP($R45,武学奇术!$A:$ZZ,11,FALSE)+SUM(_xlfn.XLOOKUP(S45:AL45,增益!$A:$A,增益!$K:$K,0)))/200,($F$12-$I$4+VLOOKUP($R45,武学奇术!$A:$ZZ,11,FALSE)+SUM(_xlfn.XLOOKUP(S45:AL45,增益!$A:$A,增益!$K:$K,0)))/100)</f>
        <v>-0.14</v>
      </c>
      <c r="BF45" s="29" cm="1">
        <f t="array" ref="BF45">$G$12+VLOOKUP($R45,武学奇术!$A:$ZZ,12,FALSE)+SUM(_xlfn.XLOOKUP(S45:AL45,增益!$A:$A,增益!$L:$L,0))</f>
        <v>0.02</v>
      </c>
      <c r="BG45">
        <f t="shared" si="16"/>
        <v>0</v>
      </c>
      <c r="BH45">
        <f t="shared" si="17"/>
        <v>0</v>
      </c>
      <c r="BI45" s="29" cm="1">
        <f t="array" ref="BI45">IF($F$13-$I$4+VLOOKUP($R45,武学奇术!$A:$ZZ,13,FALSE)+SUM(_xlfn.XLOOKUP(S45:AL45,增益!$A:$A,增益!$M:$M,0))&gt;0,($F$13-$I$4+VLOOKUP($R45,武学奇术!$A:$ZZ,13,FALSE)+SUM(_xlfn.XLOOKUP(S45:AL45,增益!$A:$A,增益!$K:$K,0)))/200,($F$13-$I$4+VLOOKUP($R45,武学奇术!$A:$ZZ,13,FALSE)+SUM(_xlfn.XLOOKUP(S45:AL45,增益!$A:$A,增益!$M:$M,0)))/100)</f>
        <v>-0.14</v>
      </c>
      <c r="BJ45" s="29" cm="1">
        <f t="array" ref="BJ45">$G$13+VLOOKUP($R45,武学奇术!$A:$ZZ,14,FALSE)+SUM(_xlfn.XLOOKUP(S45:AL45,增益!$A:$A,增益!$N:$N,0))</f>
        <v>0.02</v>
      </c>
      <c r="BK45">
        <f t="shared" si="18"/>
        <v>618.2</v>
      </c>
      <c r="BL45">
        <f t="shared" si="19"/>
        <v>1805</v>
      </c>
      <c r="BM45" s="29" cm="1">
        <f t="array" ref="BM45">IF($F$14-$I$4+VLOOKUP($R45,武学奇术!$A:$ZZ,15,FALSE)+SUM(_xlfn.XLOOKUP(S45:AL45,增益!$A:$A,增益!$O:$O,0))&gt;0,($F$14-$I$4+VLOOKUP($R45,武学奇术!$A:$ZZ,15,FALSE)+SUM(_xlfn.XLOOKUP(S45:AL45,增益!$A:$A,增益!$O:$O,0)))/200,($F$14-$I$4+VLOOKUP($R45,武学奇术!$A:$ZZ,15,FALSE)+SUM(_xlfn.XLOOKUP(S45:AL45,增益!$A:$A,增益!$O:$O,0)))/100)</f>
        <v>0.13</v>
      </c>
      <c r="BN45" s="29" cm="1">
        <f t="array" ref="BN45">$G$14+VLOOKUP($R45,武学奇术!$A:$ZZ,16,FALSE)+SUM(_xlfn.XLOOKUP(S45:AL45,增益!$A:$A,增益!$P:$P,0))</f>
        <v>0.44</v>
      </c>
      <c r="BO45" s="23">
        <f>MIN(IF(VLOOKUP($R45,武学奇术!$A:$ZZ,23,FALSE)=1,100%,$B$8),100%)</f>
        <v>0.9943</v>
      </c>
      <c r="BP45" s="23" cm="1">
        <f t="array" ref="BP45">IF(VLOOKUP($R45,武学奇术!$A:$ZZ,23,FALSE)=1,100%,MIN(80%,$B$9+VLOOKUP($R45,武学奇术!$A:$ZZ,17,FALSE)+SUM(_xlfn.XLOOKUP(S45:AL45,增益!$A:$A,增益!$Q:$Q,0)))+$B$11+SUM(_xlfn.XLOOKUP(S45:AL45,增益!$A:$A,增益!$U:$U,0)))*IF(VLOOKUP($R45,武学奇术!$A:$ZZ,24,FALSE)=1,0,1)</f>
        <v>0.8</v>
      </c>
      <c r="BQ45" s="23" cm="1">
        <f t="array" ref="BQ45">1+$B$13+VLOOKUP($R45,武学奇术!$A:$ZZ,18,FALSE)+SUM(_xlfn.XLOOKUP(S45:AL45,增益!$A:$A,增益!$R:$R,0))</f>
        <v>1.604</v>
      </c>
      <c r="BR45" s="23" cm="1">
        <f t="array" ref="BR45">IF(VLOOKUP($R45,武学奇术!$A:$ZZ,24,FALSE)=1,100%,MIN(40%,$B$10+VLOOKUP($R45,武学奇术!$A:$ZZ,19,FALSE)+SUM(_xlfn.XLOOKUP(S45:AL45,增益!$A:$A,增益!$S:$S,0)))+$B$12+SUM(_xlfn.XLOOKUP(S45:AL45,增益!$A:$A,增益!$V:$V,0)))*IF(VLOOKUP($R45,武学奇术!$A:$ZZ,23,FALSE)=1,0,1)</f>
        <v>0.0913</v>
      </c>
      <c r="BS45" s="23" cm="1">
        <f t="array" ref="BS45">1+$B$14+VLOOKUP($R45,武学奇术!$A:$ZZ,20,FALSE)+SUM(_xlfn.XLOOKUP(S45:AL45,增益!$A:$A,增益!$T:$T,0))</f>
        <v>1.35</v>
      </c>
      <c r="BT45" s="23">
        <f t="shared" si="20"/>
        <v>0.79544</v>
      </c>
      <c r="BU45" s="23">
        <f t="shared" si="21"/>
        <v>0.10808041</v>
      </c>
      <c r="BV45" s="23">
        <f>IF(VLOOKUP($R45,武学奇术!$A:$ZZ,22,FALSE)=1,0,(1-$BO45))*(1-$BR45)</f>
        <v>0.00517958999999993</v>
      </c>
      <c r="BW45" s="23" cm="1">
        <f t="array" ref="BW45">SUM(_xlfn.XLOOKUP(S45:AL45,增益!$A:$A,增益!$W:$W,0))+$I$5</f>
        <v>0.11</v>
      </c>
      <c r="BX45" s="23">
        <f>VLOOKUP($R45,武学奇术!$A:$ZZ,32,FALSE)</f>
        <v>0</v>
      </c>
      <c r="BY45" s="23" cm="1">
        <f t="array" ref="BY45">SUM(_xlfn.XLOOKUP($S45:$AL45,增益!$A:$A,增益!$X:$X,0))</f>
        <v>0</v>
      </c>
    </row>
    <row r="46" spans="1:77">
      <c r="A46" s="4" t="s">
        <v>102</v>
      </c>
      <c r="B46" s="4">
        <v>1</v>
      </c>
      <c r="C46" s="94">
        <v>0.4</v>
      </c>
      <c r="D46" s="36"/>
      <c r="E46" s="36"/>
      <c r="K46" s="35">
        <f>$L46*VLOOKUP($R46,武学奇术!$A:$ZZ,31,FALSE)</f>
        <v>220610.813846909</v>
      </c>
      <c r="L46" s="90">
        <f>SUM(L8,L11,L14,L16,L19,L22,L25,L28,L30,L32,L35,L39,L41,L43,L45)*30%*(1+BY46)</f>
        <v>432570.223229232</v>
      </c>
      <c r="M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轻击",$B$21,0))*(1+IF(VLOOKUP($R46,武学奇术!$A:$ZZ,30,FALSE)="老鼠",$B$22,0))*(1+$BW46)*(1+$BX46)</f>
        <v>0</v>
      </c>
      <c r="N46" s="35">
        <f>(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轻击",$B$21,0))*(1+IF(VLOOKUP($R46,武学奇术!$A:$ZZ,30,FALSE)="老鼠",$B$22,0))*(1+$BW46))*(1+$BX46)</f>
        <v>0</v>
      </c>
      <c r="O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轻击",$B$21,0))*(1+IF(VLOOKUP($R46,武学奇术!$A:$ZZ,30,FALSE)="老鼠",$B$22,0))*(1+$BW46)*(1+$BX46)</f>
        <v>0</v>
      </c>
      <c r="P46" s="35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轻击",$B$21,0))*(1+IF(VLOOKUP($R46,武学奇术!$A:$ZZ,30,FALSE)="老鼠",$B$22,0))*(1+$BW46)*(1+$BX46)</f>
        <v>0</v>
      </c>
      <c r="Q46" s="36">
        <v>1</v>
      </c>
      <c r="R46" s="37" t="s">
        <v>177</v>
      </c>
      <c r="S46" s="37" t="s">
        <v>178</v>
      </c>
      <c r="T46" s="37" t="s">
        <v>81</v>
      </c>
      <c r="U46" s="37" t="s">
        <v>81</v>
      </c>
      <c r="V46" s="37" t="s">
        <v>81</v>
      </c>
      <c r="W46" s="37" t="s">
        <v>81</v>
      </c>
      <c r="X46" s="37" t="s">
        <v>81</v>
      </c>
      <c r="Y46" s="37" t="s">
        <v>81</v>
      </c>
      <c r="Z46" s="37" t="s">
        <v>81</v>
      </c>
      <c r="AA46" s="37" t="s">
        <v>81</v>
      </c>
      <c r="AB46" s="37" t="s">
        <v>81</v>
      </c>
      <c r="AC46" s="37" t="s">
        <v>81</v>
      </c>
      <c r="AD46" s="37" t="s">
        <v>81</v>
      </c>
      <c r="AE46" s="37" t="s">
        <v>81</v>
      </c>
      <c r="AF46" s="37" t="s">
        <v>81</v>
      </c>
      <c r="AG46" s="37" t="s">
        <v>87</v>
      </c>
      <c r="AH46" s="37" t="s">
        <v>88</v>
      </c>
      <c r="AI46" s="37" t="s">
        <v>81</v>
      </c>
      <c r="AJ46" s="37" t="s">
        <v>81</v>
      </c>
      <c r="AK46" s="37" t="s">
        <v>81</v>
      </c>
      <c r="AL46" s="37" t="s">
        <v>81</v>
      </c>
      <c r="AM46" t="str">
        <f>VLOOKUP($R46,武学奇术!$A:$ZZ,25,FALSE)</f>
        <v>心法</v>
      </c>
      <c r="AN46" s="23">
        <f>VLOOKUP($R46,武学奇术!$A:$ZZ,26,FALSE)</f>
        <v>0</v>
      </c>
      <c r="AO46" s="24">
        <f>VLOOKUP($R46,武学奇术!$A:$ZZ,27,FALSE)*(1+IF(OR($AM46=$F$4,$AM46=$F$5),$B$23,0))</f>
        <v>0</v>
      </c>
      <c r="AP46" s="23">
        <f>VLOOKUP($R46,武学奇术!$A:$ZZ,28,FALSE)</f>
        <v>0</v>
      </c>
      <c r="AQ46" s="24">
        <f>VLOOKUP($R46,武学奇术!$A:$ZZ,29,FALSE)*(1+IF(OR($AM46=$F$4,$AM46=$F$5),$B$23,0))</f>
        <v>0</v>
      </c>
      <c r="AR46" s="23" cm="1">
        <f t="array" ref="AR46">$G$3+IFERROR(VLOOKUP($AM46,$F$4:$G$7,2,FALSE),0)+VLOOKUP($R46,武学奇术!$A:$ZZ,2,FALSE)+SUM(_xlfn.XLOOKUP($S46:$AL46,增益!$A:$A,增益!$B:$B,0))</f>
        <v>0.1842</v>
      </c>
      <c r="AS46" s="23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4081.7</v>
      </c>
      <c r="AU46" cm="1">
        <f t="array" ref="AU46">$E$10*(1+$AS46)+VLOOKUP($R46,武学奇术!$A:$ZZ,4,FALSE)+SUM(_xlfn.XLOOKUP($S46:$AL46,增益!$A:$A,增益!$D:$D,0))-$I$2</f>
        <v>4081.7</v>
      </c>
      <c r="AV46" s="29" cm="1">
        <f t="array" ref="AV46">IF($F$10-$I$3+VLOOKUP($R46,武学奇术!$A:$ZZ,6,FALSE)+SUM(_xlfn.XLOOKUP(S46:AL46,增益!$A:$A,增益!$F:$F,0))&gt;0,($F$10-$I$3+VLOOKUP($R46,武学奇术!$A:$ZZ,6,FALSE)+SUM(_xlfn.XLOOKUP(S46:AL46,增益!$A:$A,增益!$F:$F,0)))/200,($F$10-$I$3+VLOOKUP($R46,武学奇术!$A:$ZZ,6,FALSE)+SUM(_xlfn.XLOOKUP(S46:AL46,增益!$A:$A,增益!$F:$F,0)))/100)</f>
        <v>0.2789</v>
      </c>
      <c r="AW46" s="29" cm="1">
        <f t="array" ref="AW46">$G$10+VLOOKUP($R46,武学奇术!$A:$ZZ,7,FALSE)+SUM(_xlfn.XLOOKUP(S46:AL46,增益!$A:$A,增益!$G:$G,0))</f>
        <v>0.02</v>
      </c>
      <c r="AX46" s="23" cm="1">
        <f t="array" ref="AX46">VLOOKUP($R46,武学奇术!$A:$ZZ,8,FALSE)+SUM(_xlfn.XLOOKUP(S46:AL46,增益!$A:$A,增益!$H:$H,0))</f>
        <v>0</v>
      </c>
      <c r="AY46">
        <f t="shared" si="12"/>
        <v>0</v>
      </c>
      <c r="AZ46">
        <f t="shared" si="13"/>
        <v>0</v>
      </c>
      <c r="BA46" s="29" cm="1">
        <f t="array" ref="BA46">IF($F$11-$I$4+VLOOKUP($R46,武学奇术!$A:$ZZ,9,FALSE)+SUM(_xlfn.XLOOKUP(S46:AL46,增益!$A:$A,增益!$I:$I,0))&gt;0,($F$11-$I$4+VLOOKUP($R46,武学奇术!$A:$ZZ,9,FALSE)+SUM(_xlfn.XLOOKUP(S46:AL46,增益!$A:$A,增益!$I:$I,0)))/200,($F$11-$I$4+VLOOKUP($R46,武学奇术!$A:$ZZ,9,FALSE)+SUM(_xlfn.XLOOKUP(S46:AL46,增益!$A:$A,增益!$I:$I,0)))/100)</f>
        <v>-0.3</v>
      </c>
      <c r="BB46" s="29" cm="1">
        <f t="array" ref="BB46">$G$11+VLOOKUP($R46,武学奇术!$A:$ZZ,10,FALSE)+SUM(_xlfn.XLOOKUP(S46:AL46,增益!$A:$A,增益!$J:$J,0))</f>
        <v>0.02</v>
      </c>
      <c r="BC46">
        <f t="shared" si="14"/>
        <v>0</v>
      </c>
      <c r="BD46">
        <f t="shared" si="15"/>
        <v>0</v>
      </c>
      <c r="BE46" s="29" cm="1">
        <f t="array" ref="BE46">IF($F$12-$I$4+VLOOKUP($R46,武学奇术!$A:$ZZ,11,FALSE)+SUM(_xlfn.XLOOKUP(S46:AL46,增益!$A:$A,增益!$K:$K,0))&gt;0,($F$12-$I$4+VLOOKUP($R46,武学奇术!$A:$ZZ,11,FALSE)+SUM(_xlfn.XLOOKUP(S46:AL46,增益!$A:$A,增益!$K:$K,0)))/200,($F$12-$I$4+VLOOKUP($R46,武学奇术!$A:$ZZ,11,FALSE)+SUM(_xlfn.XLOOKUP(S46:AL46,增益!$A:$A,增益!$K:$K,0)))/100)</f>
        <v>-0.3</v>
      </c>
      <c r="BF46" s="29" cm="1">
        <f t="array" ref="BF46">$G$12+VLOOKUP($R46,武学奇术!$A:$ZZ,12,FALSE)+SUM(_xlfn.XLOOKUP(S46:AL46,增益!$A:$A,增益!$L:$L,0))</f>
        <v>0.02</v>
      </c>
      <c r="BG46">
        <f t="shared" si="16"/>
        <v>0</v>
      </c>
      <c r="BH46">
        <f t="shared" si="17"/>
        <v>0</v>
      </c>
      <c r="BI46" s="29" cm="1">
        <f t="array" ref="BI46">IF($F$13-$I$4+VLOOKUP($R46,武学奇术!$A:$ZZ,13,FALSE)+SUM(_xlfn.XLOOKUP(S46:AL46,增益!$A:$A,增益!$M:$M,0))&gt;0,($F$13-$I$4+VLOOKUP($R46,武学奇术!$A:$ZZ,13,FALSE)+SUM(_xlfn.XLOOKUP(S46:AL46,增益!$A:$A,增益!$K:$K,0)))/200,($F$13-$I$4+VLOOKUP($R46,武学奇术!$A:$ZZ,13,FALSE)+SUM(_xlfn.XLOOKUP(S46:AL46,增益!$A:$A,增益!$M:$M,0)))/100)</f>
        <v>-0.3</v>
      </c>
      <c r="BJ46" s="29" cm="1">
        <f t="array" ref="BJ46">$G$13+VLOOKUP($R46,武学奇术!$A:$ZZ,14,FALSE)+SUM(_xlfn.XLOOKUP(S46:AL46,增益!$A:$A,增益!$N:$N,0))</f>
        <v>0.02</v>
      </c>
      <c r="BK46">
        <f t="shared" si="18"/>
        <v>618.2</v>
      </c>
      <c r="BL46">
        <f t="shared" si="19"/>
        <v>1805</v>
      </c>
      <c r="BM46" s="29" cm="1">
        <f t="array" ref="BM46">IF($F$14-$I$4+VLOOKUP($R46,武学奇术!$A:$ZZ,15,FALSE)+SUM(_xlfn.XLOOKUP(S46:AL46,增益!$A:$A,增益!$O:$O,0))&gt;0,($F$14-$I$4+VLOOKUP($R46,武学奇术!$A:$ZZ,15,FALSE)+SUM(_xlfn.XLOOKUP(S46:AL46,增益!$A:$A,增益!$O:$O,0)))/200,($F$14-$I$4+VLOOKUP($R46,武学奇术!$A:$ZZ,15,FALSE)+SUM(_xlfn.XLOOKUP(S46:AL46,增益!$A:$A,增益!$O:$O,0)))/100)</f>
        <v>0</v>
      </c>
      <c r="BN46" s="29" cm="1">
        <f t="array" ref="BN46">$G$14+VLOOKUP($R46,武学奇术!$A:$ZZ,16,FALSE)+SUM(_xlfn.XLOOKUP(S46:AL46,增益!$A:$A,增益!$P:$P,0))</f>
        <v>0.17</v>
      </c>
      <c r="BO46" s="23">
        <f>MIN(IF(VLOOKUP($R46,武学奇术!$A:$ZZ,23,FALSE)=1,100%,$B$8),100%)</f>
        <v>0.9943</v>
      </c>
      <c r="BP46" s="23" cm="1">
        <f t="array" ref="BP46">IF(VLOOKUP($R46,武学奇术!$A:$ZZ,23,FALSE)=1,100%,MIN(80%,$B$9+VLOOKUP($R46,武学奇术!$A:$ZZ,17,FALSE)+SUM(_xlfn.XLOOKUP(S46:AL46,增益!$A:$A,增益!$Q:$Q,0)))+$B$11+SUM(_xlfn.XLOOKUP(S46:AL46,增益!$A:$A,增益!$U:$U,0)))*IF(VLOOKUP($R46,武学奇术!$A:$ZZ,24,FALSE)=1,0,1)</f>
        <v>0.8</v>
      </c>
      <c r="BQ46" s="23" cm="1">
        <f t="array" ref="BQ46">1+$B$13+VLOOKUP($R46,武学奇术!$A:$ZZ,18,FALSE)+SUM(_xlfn.XLOOKUP(S46:AL46,增益!$A:$A,增益!$R:$R,0))</f>
        <v>1.544</v>
      </c>
      <c r="BR46" s="23" cm="1">
        <f t="array" ref="BR46">IF(VLOOKUP($R46,武学奇术!$A:$ZZ,24,FALSE)=1,100%,MIN(40%,$B$10+VLOOKUP($R46,武学奇术!$A:$ZZ,19,FALSE)+SUM(_xlfn.XLOOKUP(S46:AL46,增益!$A:$A,增益!$S:$S,0)))+$B$12+SUM(_xlfn.XLOOKUP(S46:AL46,增益!$A:$A,增益!$V:$V,0)))*IF(VLOOKUP($R46,武学奇术!$A:$ZZ,23,FALSE)=1,0,1)</f>
        <v>0.0913</v>
      </c>
      <c r="BS46" s="23" cm="1">
        <f t="array" ref="BS46">1+$B$14+VLOOKUP($R46,武学奇术!$A:$ZZ,20,FALSE)+SUM(_xlfn.XLOOKUP(S46:AL46,增益!$A:$A,增益!$T:$T,0))</f>
        <v>1.35</v>
      </c>
      <c r="BT46" s="23">
        <f t="shared" si="20"/>
        <v>0.79544</v>
      </c>
      <c r="BU46" s="23">
        <f t="shared" si="21"/>
        <v>0.10808041</v>
      </c>
      <c r="BV46" s="23">
        <f>IF(VLOOKUP($R46,武学奇术!$A:$ZZ,22,FALSE)=1,0,(1-$BO46))*(1-$BR46)</f>
        <v>0.00517958999999993</v>
      </c>
      <c r="BW46" s="23" cm="1">
        <f t="array" ref="BW46">SUM(_xlfn.XLOOKUP(S46:AL46,增益!$A:$A,增益!$W:$W,0))+$I$5</f>
        <v>0.11</v>
      </c>
      <c r="BX46" s="23">
        <f>VLOOKUP($R46,武学奇术!$A:$ZZ,32,FALSE)</f>
        <v>0</v>
      </c>
      <c r="BY46" s="23" cm="1">
        <f t="array" ref="BY46">SUM(_xlfn.XLOOKUP($S46:$AL46,增益!$A:$A,增益!$X:$X,0))</f>
        <v>0.2</v>
      </c>
    </row>
    <row r="47" spans="1:77">
      <c r="A47" s="4" t="s">
        <v>176</v>
      </c>
      <c r="B47" s="4">
        <v>0.1</v>
      </c>
      <c r="C47" s="4"/>
      <c r="D47" s="36"/>
      <c r="K47" s="35">
        <f>$L47*VLOOKUP($R47,武学奇术!$A:$ZZ,31,FALSE)</f>
        <v>0</v>
      </c>
      <c r="L47" s="58">
        <f t="shared" si="11"/>
        <v>0</v>
      </c>
      <c r="M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轻击",$B$21,0))*(1+IF(VLOOKUP($R47,武学奇术!$A:$ZZ,30,FALSE)="老鼠",$B$22,0))*(1+$BW47)*(1+$BX47)</f>
        <v>0</v>
      </c>
      <c r="N47" s="35">
        <f>(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轻击",$B$21,0))*(1+IF(VLOOKUP($R47,武学奇术!$A:$ZZ,30,FALSE)="老鼠",$B$22,0))*(1+$BW47))*(1+$BX47)</f>
        <v>0</v>
      </c>
      <c r="O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轻击",$B$21,0))*(1+IF(VLOOKUP($R47,武学奇术!$A:$ZZ,30,FALSE)="老鼠",$B$22,0))*(1+$BW47)*(1+$BX47)</f>
        <v>0</v>
      </c>
      <c r="P47" s="35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轻击",$B$21,0))*(1+IF(VLOOKUP($R47,武学奇术!$A:$ZZ,30,FALSE)="老鼠",$B$22,0))*(1+$BW47)*(1+$BX47)</f>
        <v>0</v>
      </c>
      <c r="Q47" s="36">
        <v>1</v>
      </c>
      <c r="R47" s="37" t="s">
        <v>81</v>
      </c>
      <c r="S47" s="37" t="s">
        <v>81</v>
      </c>
      <c r="T47" s="37" t="s">
        <v>81</v>
      </c>
      <c r="U47" s="37" t="s">
        <v>81</v>
      </c>
      <c r="V47" s="37" t="s">
        <v>81</v>
      </c>
      <c r="W47" s="37" t="s">
        <v>81</v>
      </c>
      <c r="X47" s="37" t="s">
        <v>81</v>
      </c>
      <c r="Y47" s="37" t="s">
        <v>81</v>
      </c>
      <c r="Z47" s="37" t="s">
        <v>81</v>
      </c>
      <c r="AA47" s="37" t="s">
        <v>81</v>
      </c>
      <c r="AB47" s="37" t="s">
        <v>81</v>
      </c>
      <c r="AC47" s="37" t="s">
        <v>81</v>
      </c>
      <c r="AD47" s="37" t="s">
        <v>81</v>
      </c>
      <c r="AE47" s="37" t="s">
        <v>81</v>
      </c>
      <c r="AF47" s="37" t="s">
        <v>81</v>
      </c>
      <c r="AG47" s="37" t="s">
        <v>87</v>
      </c>
      <c r="AH47" s="37" t="s">
        <v>88</v>
      </c>
      <c r="AI47" s="37" t="s">
        <v>81</v>
      </c>
      <c r="AJ47" s="37" t="s">
        <v>81</v>
      </c>
      <c r="AK47" s="37" t="s">
        <v>81</v>
      </c>
      <c r="AL47" s="37" t="s">
        <v>81</v>
      </c>
      <c r="AM47" t="str">
        <f>VLOOKUP($R47,武学奇术!$A:$ZZ,25,FALSE)</f>
        <v>心法</v>
      </c>
      <c r="AN47" s="23">
        <f>VLOOKUP($R47,武学奇术!$A:$ZZ,26,FALSE)</f>
        <v>0</v>
      </c>
      <c r="AO47" s="24">
        <f>VLOOKUP($R47,武学奇术!$A:$ZZ,27,FALSE)*(1+IF(OR($AM47=$F$4,$AM47=$F$5),$B$23,0))</f>
        <v>0</v>
      </c>
      <c r="AP47" s="23">
        <f>VLOOKUP($R47,武学奇术!$A:$ZZ,28,FALSE)</f>
        <v>0</v>
      </c>
      <c r="AQ47" s="24">
        <f>VLOOKUP($R47,武学奇术!$A:$ZZ,29,FALSE)*(1+IF(OR($AM47=$F$4,$AM47=$F$5),$B$23,0))</f>
        <v>0</v>
      </c>
      <c r="AR47" s="23" cm="1">
        <f t="array" ref="AR47">$G$3+IFERROR(VLOOKUP($AM47,$F$4:$G$7,2,FALSE),0)+VLOOKUP($R47,武学奇术!$A:$ZZ,2,FALSE)+SUM(_xlfn.XLOOKUP($S47:$AL47,增益!$A:$A,增益!$B:$B,0))</f>
        <v>0.1842</v>
      </c>
      <c r="AS47" s="23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4081.7</v>
      </c>
      <c r="AU47" cm="1">
        <f t="array" ref="AU47">$E$10*(1+$AS47)+VLOOKUP($R47,武学奇术!$A:$ZZ,4,FALSE)+SUM(_xlfn.XLOOKUP($S47:$AL47,增益!$A:$A,增益!$D:$D,0))-$I$2</f>
        <v>4081.7</v>
      </c>
      <c r="AV47" s="29" cm="1">
        <f t="array" ref="AV47">IF($F$10-$I$3+VLOOKUP($R47,武学奇术!$A:$ZZ,6,FALSE)+SUM(_xlfn.XLOOKUP(S47:AL47,增益!$A:$A,增益!$F:$F,0))&gt;0,($F$10-$I$3+VLOOKUP($R47,武学奇术!$A:$ZZ,6,FALSE)+SUM(_xlfn.XLOOKUP(S47:AL47,增益!$A:$A,增益!$F:$F,0)))/200,($F$10-$I$3+VLOOKUP($R47,武学奇术!$A:$ZZ,6,FALSE)+SUM(_xlfn.XLOOKUP(S47:AL47,增益!$A:$A,增益!$F:$F,0)))/100)</f>
        <v>0.2789</v>
      </c>
      <c r="AW47" s="29" cm="1">
        <f t="array" ref="AW47">$G$10+VLOOKUP($R47,武学奇术!$A:$ZZ,7,FALSE)+SUM(_xlfn.XLOOKUP(S47:AL47,增益!$A:$A,增益!$G:$G,0))</f>
        <v>0.02</v>
      </c>
      <c r="AX47" s="23" cm="1">
        <f t="array" ref="AX47">VLOOKUP($R47,武学奇术!$A:$ZZ,8,FALSE)+SUM(_xlfn.XLOOKUP(S47:AL47,增益!$A:$A,增益!$H:$H,0))</f>
        <v>0</v>
      </c>
      <c r="AY47">
        <f t="shared" si="12"/>
        <v>0</v>
      </c>
      <c r="AZ47">
        <f t="shared" si="13"/>
        <v>0</v>
      </c>
      <c r="BA47" s="29" cm="1">
        <f t="array" ref="BA47">IF($F$11-$I$4+VLOOKUP($R47,武学奇术!$A:$ZZ,9,FALSE)+SUM(_xlfn.XLOOKUP(S47:AL47,增益!$A:$A,增益!$I:$I,0))&gt;0,($F$11-$I$4+VLOOKUP($R47,武学奇术!$A:$ZZ,9,FALSE)+SUM(_xlfn.XLOOKUP(S47:AL47,增益!$A:$A,增益!$I:$I,0)))/200,($F$11-$I$4+VLOOKUP($R47,武学奇术!$A:$ZZ,9,FALSE)+SUM(_xlfn.XLOOKUP(S47:AL47,增益!$A:$A,增益!$I:$I,0)))/100)</f>
        <v>-0.3</v>
      </c>
      <c r="BB47" s="29" cm="1">
        <f t="array" ref="BB47">$G$11+VLOOKUP($R47,武学奇术!$A:$ZZ,10,FALSE)+SUM(_xlfn.XLOOKUP(S47:AL47,增益!$A:$A,增益!$J:$J,0))</f>
        <v>0.02</v>
      </c>
      <c r="BC47">
        <f t="shared" si="14"/>
        <v>0</v>
      </c>
      <c r="BD47">
        <f t="shared" si="15"/>
        <v>0</v>
      </c>
      <c r="BE47" s="29" cm="1">
        <f t="array" ref="BE47">IF($F$12-$I$4+VLOOKUP($R47,武学奇术!$A:$ZZ,11,FALSE)+SUM(_xlfn.XLOOKUP(S47:AL47,增益!$A:$A,增益!$K:$K,0))&gt;0,($F$12-$I$4+VLOOKUP($R47,武学奇术!$A:$ZZ,11,FALSE)+SUM(_xlfn.XLOOKUP(S47:AL47,增益!$A:$A,增益!$K:$K,0)))/200,($F$12-$I$4+VLOOKUP($R47,武学奇术!$A:$ZZ,11,FALSE)+SUM(_xlfn.XLOOKUP(S47:AL47,增益!$A:$A,增益!$K:$K,0)))/100)</f>
        <v>-0.3</v>
      </c>
      <c r="BF47" s="29" cm="1">
        <f t="array" ref="BF47">$G$12+VLOOKUP($R47,武学奇术!$A:$ZZ,12,FALSE)+SUM(_xlfn.XLOOKUP(S47:AL47,增益!$A:$A,增益!$L:$L,0))</f>
        <v>0.02</v>
      </c>
      <c r="BG47">
        <f t="shared" si="16"/>
        <v>0</v>
      </c>
      <c r="BH47">
        <f t="shared" si="17"/>
        <v>0</v>
      </c>
      <c r="BI47" s="29" cm="1">
        <f t="array" ref="BI47">IF($F$13-$I$4+VLOOKUP($R47,武学奇术!$A:$ZZ,13,FALSE)+SUM(_xlfn.XLOOKUP(S47:AL47,增益!$A:$A,增益!$M:$M,0))&gt;0,($F$13-$I$4+VLOOKUP($R47,武学奇术!$A:$ZZ,13,FALSE)+SUM(_xlfn.XLOOKUP(S47:AL47,增益!$A:$A,增益!$K:$K,0)))/200,($F$13-$I$4+VLOOKUP($R47,武学奇术!$A:$ZZ,13,FALSE)+SUM(_xlfn.XLOOKUP(S47:AL47,增益!$A:$A,增益!$M:$M,0)))/100)</f>
        <v>-0.3</v>
      </c>
      <c r="BJ47" s="29" cm="1">
        <f t="array" ref="BJ47">$G$13+VLOOKUP($R47,武学奇术!$A:$ZZ,14,FALSE)+SUM(_xlfn.XLOOKUP(S47:AL47,增益!$A:$A,增益!$N:$N,0))</f>
        <v>0.02</v>
      </c>
      <c r="BK47">
        <f t="shared" si="18"/>
        <v>618.2</v>
      </c>
      <c r="BL47">
        <f t="shared" si="19"/>
        <v>1805</v>
      </c>
      <c r="BM47" s="29" cm="1">
        <f t="array" ref="BM47">IF($F$14-$I$4+VLOOKUP($R47,武学奇术!$A:$ZZ,15,FALSE)+SUM(_xlfn.XLOOKUP(S47:AL47,增益!$A:$A,增益!$O:$O,0))&gt;0,($F$14-$I$4+VLOOKUP($R47,武学奇术!$A:$ZZ,15,FALSE)+SUM(_xlfn.XLOOKUP(S47:AL47,增益!$A:$A,增益!$O:$O,0)))/200,($F$14-$I$4+VLOOKUP($R47,武学奇术!$A:$ZZ,15,FALSE)+SUM(_xlfn.XLOOKUP(S47:AL47,增益!$A:$A,增益!$O:$O,0)))/100)</f>
        <v>0</v>
      </c>
      <c r="BN47" s="29" cm="1">
        <f t="array" ref="BN47">$G$14+VLOOKUP($R47,武学奇术!$A:$ZZ,16,FALSE)+SUM(_xlfn.XLOOKUP(S47:AL47,增益!$A:$A,增益!$P:$P,0))</f>
        <v>0.17</v>
      </c>
      <c r="BO47" s="23">
        <f>MIN(IF(VLOOKUP($R47,武学奇术!$A:$ZZ,23,FALSE)=1,100%,$B$8),100%)</f>
        <v>0.9943</v>
      </c>
      <c r="BP47" s="23" cm="1">
        <f t="array" ref="BP47">IF(VLOOKUP($R47,武学奇术!$A:$ZZ,23,FALSE)=1,100%,MIN(80%,$B$9+VLOOKUP($R47,武学奇术!$A:$ZZ,17,FALSE)+SUM(_xlfn.XLOOKUP(S47:AL47,增益!$A:$A,增益!$Q:$Q,0)))+$B$11+SUM(_xlfn.XLOOKUP(S47:AL47,增益!$A:$A,增益!$U:$U,0)))*IF(VLOOKUP($R47,武学奇术!$A:$ZZ,24,FALSE)=1,0,1)</f>
        <v>0.8</v>
      </c>
      <c r="BQ47" s="23" cm="1">
        <f t="array" ref="BQ47">1+$B$13+VLOOKUP($R47,武学奇术!$A:$ZZ,18,FALSE)+SUM(_xlfn.XLOOKUP(S47:AL47,增益!$A:$A,增益!$R:$R,0))</f>
        <v>1.544</v>
      </c>
      <c r="BR47" s="23" cm="1">
        <f t="array" ref="BR47">IF(VLOOKUP($R47,武学奇术!$A:$ZZ,24,FALSE)=1,100%,MIN(40%,$B$10+VLOOKUP($R47,武学奇术!$A:$ZZ,19,FALSE)+SUM(_xlfn.XLOOKUP(S47:AL47,增益!$A:$A,增益!$S:$S,0)))+$B$12+SUM(_xlfn.XLOOKUP(S47:AL47,增益!$A:$A,增益!$V:$V,0)))*IF(VLOOKUP($R47,武学奇术!$A:$ZZ,23,FALSE)=1,0,1)</f>
        <v>0.0913</v>
      </c>
      <c r="BS47" s="23" cm="1">
        <f t="array" ref="BS47">1+$B$14+VLOOKUP($R47,武学奇术!$A:$ZZ,20,FALSE)+SUM(_xlfn.XLOOKUP(S47:AL47,增益!$A:$A,增益!$T:$T,0))</f>
        <v>1.35</v>
      </c>
      <c r="BT47" s="23">
        <f t="shared" si="20"/>
        <v>0.79544</v>
      </c>
      <c r="BU47" s="23">
        <f t="shared" si="21"/>
        <v>0.10808041</v>
      </c>
      <c r="BV47" s="23">
        <f>IF(VLOOKUP($R47,武学奇术!$A:$ZZ,22,FALSE)=1,0,(1-$BO47))*(1-$BR47)</f>
        <v>0.00517958999999993</v>
      </c>
      <c r="BW47" s="23" cm="1">
        <f t="array" ref="BW47">SUM(_xlfn.XLOOKUP(S47:AL47,增益!$A:$A,增益!$W:$W,0))+$I$5</f>
        <v>0.11</v>
      </c>
      <c r="BX47" s="23">
        <f>VLOOKUP($R47,武学奇术!$A:$ZZ,32,FALSE)</f>
        <v>0</v>
      </c>
      <c r="BY47" s="23" cm="1">
        <f t="array" ref="BY47">SUM(_xlfn.XLOOKUP($S47:$AL47,增益!$A:$A,增益!$X:$X,0))</f>
        <v>0</v>
      </c>
    </row>
    <row r="48" spans="1:77">
      <c r="A48" s="4" t="s">
        <v>179</v>
      </c>
      <c r="B48" s="4">
        <v>1</v>
      </c>
      <c r="C48" s="4"/>
      <c r="D48" s="36"/>
      <c r="K48" s="35">
        <f>$L48*VLOOKUP($R48,武学奇术!$A:$ZZ,31,FALSE)</f>
        <v>15157.6404743879</v>
      </c>
      <c r="L48" s="35">
        <f t="shared" si="11"/>
        <v>13533.6075664178</v>
      </c>
      <c r="M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轻击",$B$21,0))*(1+IF(VLOOKUP($R48,武学奇术!$A:$ZZ,30,FALSE)="老鼠",$B$22,0))*(1+$BW48)*(1+$BX48)</f>
        <v>14232.2405802699</v>
      </c>
      <c r="N48" s="35">
        <f>(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轻击",$B$21,0))*(1+IF(VLOOKUP($R48,武学奇术!$A:$ZZ,30,FALSE)="老鼠",$B$22,0))*(1+$BW48))*(1+$BX48)</f>
        <v>13357.775179956</v>
      </c>
      <c r="O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轻击",$B$21,0))*(1+IF(VLOOKUP($R48,武学奇术!$A:$ZZ,30,FALSE)="老鼠",$B$22,0))*(1+$BW48)*(1+$BX48)</f>
        <v>8817.99292457863</v>
      </c>
      <c r="P48" s="35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轻击",$B$21,0))*(1+IF(VLOOKUP($R48,武学奇术!$A:$ZZ,30,FALSE)="老鼠",$B$22,0))*(1+$BW48)*(1+$BX48)</f>
        <v>7741.33756770837</v>
      </c>
      <c r="Q48" s="36">
        <v>1</v>
      </c>
      <c r="R48" s="37" t="s">
        <v>111</v>
      </c>
      <c r="S48" s="37" t="s">
        <v>91</v>
      </c>
      <c r="T48" s="37" t="s">
        <v>180</v>
      </c>
      <c r="U48" s="37" t="s">
        <v>112</v>
      </c>
      <c r="V48" s="37" t="s">
        <v>113</v>
      </c>
      <c r="W48" s="37" t="s">
        <v>82</v>
      </c>
      <c r="X48" s="37" t="s">
        <v>81</v>
      </c>
      <c r="Y48" s="37" t="s">
        <v>109</v>
      </c>
      <c r="Z48" s="37" t="s">
        <v>81</v>
      </c>
      <c r="AA48" s="37" t="s">
        <v>81</v>
      </c>
      <c r="AB48" s="37" t="s">
        <v>81</v>
      </c>
      <c r="AC48" s="37" t="s">
        <v>81</v>
      </c>
      <c r="AD48" s="37" t="s">
        <v>85</v>
      </c>
      <c r="AE48" s="37" t="s">
        <v>81</v>
      </c>
      <c r="AF48" s="37" t="s">
        <v>181</v>
      </c>
      <c r="AG48" s="37" t="s">
        <v>87</v>
      </c>
      <c r="AH48" s="37" t="s">
        <v>88</v>
      </c>
      <c r="AI48" s="37" t="s">
        <v>81</v>
      </c>
      <c r="AJ48" s="37" t="s">
        <v>81</v>
      </c>
      <c r="AK48" s="37" t="s">
        <v>81</v>
      </c>
      <c r="AL48" s="37" t="s">
        <v>81</v>
      </c>
      <c r="AM48" t="str">
        <f>VLOOKUP($R48,武学奇术!$A:$ZZ,25,FALSE)</f>
        <v>双刀</v>
      </c>
      <c r="AN48" s="23">
        <f>VLOOKUP($R48,武学奇术!$A:$ZZ,26,FALSE)</f>
        <v>0.4205</v>
      </c>
      <c r="AO48" s="24">
        <f>VLOOKUP($R48,武学奇术!$A:$ZZ,27,FALSE)*(1+IF(OR($AM48=$F$4,$AM48=$F$5),$B$23,0))</f>
        <v>187.2</v>
      </c>
      <c r="AP48" s="23">
        <f>VLOOKUP($R48,武学奇术!$A:$ZZ,28,FALSE)</f>
        <v>0.6307</v>
      </c>
      <c r="AQ48" s="24">
        <f>VLOOKUP($R48,武学奇术!$A:$ZZ,29,FALSE)*(1+IF(OR($AM48=$F$4,$AM48=$F$5),$B$23,0))</f>
        <v>102.4</v>
      </c>
      <c r="AR48" s="23" cm="1">
        <f t="array" ref="AR48">$G$3+IFERROR(VLOOKUP($AM48,$F$4:$G$7,2,FALSE),0)+VLOOKUP($R48,武学奇术!$A:$ZZ,2,FALSE)+SUM(_xlfn.XLOOKUP($S48:$AL48,增益!$A:$A,增益!$B:$B,0))</f>
        <v>0.8243</v>
      </c>
      <c r="AS48" s="23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4150.4</v>
      </c>
      <c r="AU48" cm="1">
        <f t="array" ref="AU48">$E$10*(1+$AS48)+VLOOKUP($R48,武学奇术!$A:$ZZ,4,FALSE)+SUM(_xlfn.XLOOKUP($S48:$AL48,增益!$A:$A,增益!$D:$D,0))-$I$2</f>
        <v>4150.4</v>
      </c>
      <c r="AV48" s="29" cm="1">
        <f t="array" ref="AV48">IF($F$10-$I$3+VLOOKUP($R48,武学奇术!$A:$ZZ,6,FALSE)+SUM(_xlfn.XLOOKUP(S48:AL48,增益!$A:$A,增益!$F:$F,0))&gt;0,($F$10-$I$3+VLOOKUP($R48,武学奇术!$A:$ZZ,6,FALSE)+SUM(_xlfn.XLOOKUP(S48:AL48,增益!$A:$A,增益!$F:$F,0)))/200,($F$10-$I$3+VLOOKUP($R48,武学奇术!$A:$ZZ,6,FALSE)+SUM(_xlfn.XLOOKUP(S48:AL48,增益!$A:$A,增益!$F:$F,0)))/100)</f>
        <v>0.3289</v>
      </c>
      <c r="AW48" s="29" cm="1">
        <f t="array" ref="AW48">$G$10+VLOOKUP($R48,武学奇术!$A:$ZZ,7,FALSE)+SUM(_xlfn.XLOOKUP(S48:AL48,增益!$A:$A,增益!$G:$G,0))</f>
        <v>0.08</v>
      </c>
      <c r="AX48" s="23" cm="1">
        <f t="array" ref="AX48">VLOOKUP($R48,武学奇术!$A:$ZZ,8,FALSE)+SUM(_xlfn.XLOOKUP(S48:AL48,增益!$A:$A,增益!$H:$H,0))</f>
        <v>0</v>
      </c>
      <c r="AY48">
        <f t="shared" si="12"/>
        <v>0</v>
      </c>
      <c r="AZ48">
        <f t="shared" si="13"/>
        <v>0</v>
      </c>
      <c r="BA48" s="29" cm="1">
        <f t="array" ref="BA48">IF($F$11-$I$4+VLOOKUP($R48,武学奇术!$A:$ZZ,9,FALSE)+SUM(_xlfn.XLOOKUP(S48:AL48,增益!$A:$A,增益!$I:$I,0))&gt;0,($F$11-$I$4+VLOOKUP($R48,武学奇术!$A:$ZZ,9,FALSE)+SUM(_xlfn.XLOOKUP(S48:AL48,增益!$A:$A,增益!$I:$I,0)))/200,($F$11-$I$4+VLOOKUP($R48,武学奇术!$A:$ZZ,9,FALSE)+SUM(_xlfn.XLOOKUP(S48:AL48,增益!$A:$A,增益!$I:$I,0)))/100)</f>
        <v>-0.3</v>
      </c>
      <c r="BB48" s="29" cm="1">
        <f t="array" ref="BB48">$G$11+VLOOKUP($R48,武学奇术!$A:$ZZ,10,FALSE)+SUM(_xlfn.XLOOKUP(S48:AL48,增益!$A:$A,增益!$J:$J,0))</f>
        <v>0.02</v>
      </c>
      <c r="BC48">
        <f t="shared" si="14"/>
        <v>0</v>
      </c>
      <c r="BD48">
        <f t="shared" si="15"/>
        <v>0</v>
      </c>
      <c r="BE48" s="29" cm="1">
        <f t="array" ref="BE48">IF($F$12-$I$4+VLOOKUP($R48,武学奇术!$A:$ZZ,11,FALSE)+SUM(_xlfn.XLOOKUP(S48:AL48,增益!$A:$A,增益!$K:$K,0))&gt;0,($F$12-$I$4+VLOOKUP($R48,武学奇术!$A:$ZZ,11,FALSE)+SUM(_xlfn.XLOOKUP(S48:AL48,增益!$A:$A,增益!$K:$K,0)))/200,($F$12-$I$4+VLOOKUP($R48,武学奇术!$A:$ZZ,11,FALSE)+SUM(_xlfn.XLOOKUP(S48:AL48,增益!$A:$A,增益!$K:$K,0)))/100)</f>
        <v>-0.3</v>
      </c>
      <c r="BF48" s="29" cm="1">
        <f t="array" ref="BF48">$G$12+VLOOKUP($R48,武学奇术!$A:$ZZ,12,FALSE)+SUM(_xlfn.XLOOKUP(S48:AL48,增益!$A:$A,增益!$L:$L,0))</f>
        <v>0.02</v>
      </c>
      <c r="BG48">
        <f t="shared" si="16"/>
        <v>0</v>
      </c>
      <c r="BH48">
        <f t="shared" si="17"/>
        <v>0</v>
      </c>
      <c r="BI48" s="29" cm="1">
        <f t="array" ref="BI48">IF($F$13-$I$4+VLOOKUP($R48,武学奇术!$A:$ZZ,13,FALSE)+SUM(_xlfn.XLOOKUP(S48:AL48,增益!$A:$A,增益!$M:$M,0))&gt;0,($F$13-$I$4+VLOOKUP($R48,武学奇术!$A:$ZZ,13,FALSE)+SUM(_xlfn.XLOOKUP(S48:AL48,增益!$A:$A,增益!$K:$K,0)))/200,($F$13-$I$4+VLOOKUP($R48,武学奇术!$A:$ZZ,13,FALSE)+SUM(_xlfn.XLOOKUP(S48:AL48,增益!$A:$A,增益!$M:$M,0)))/100)</f>
        <v>-0.3</v>
      </c>
      <c r="BJ48" s="29" cm="1">
        <f t="array" ref="BJ48">$G$13+VLOOKUP($R48,武学奇术!$A:$ZZ,14,FALSE)+SUM(_xlfn.XLOOKUP(S48:AL48,增益!$A:$A,增益!$N:$N,0))</f>
        <v>0.02</v>
      </c>
      <c r="BK48">
        <f t="shared" si="18"/>
        <v>618.2</v>
      </c>
      <c r="BL48">
        <f t="shared" si="19"/>
        <v>1805</v>
      </c>
      <c r="BM48" s="29" cm="1">
        <f t="array" ref="BM48">IF($F$14-$I$4+VLOOKUP($R48,武学奇术!$A:$ZZ,15,FALSE)+SUM(_xlfn.XLOOKUP(S48:AL48,增益!$A:$A,增益!$O:$O,0))&gt;0,($F$14-$I$4+VLOOKUP($R48,武学奇术!$A:$ZZ,15,FALSE)+SUM(_xlfn.XLOOKUP(S48:AL48,增益!$A:$A,增益!$O:$O,0)))/200,($F$14-$I$4+VLOOKUP($R48,武学奇术!$A:$ZZ,15,FALSE)+SUM(_xlfn.XLOOKUP(S48:AL48,增益!$A:$A,增益!$O:$O,0)))/100)</f>
        <v>0.05</v>
      </c>
      <c r="BN48" s="29" cm="1">
        <f t="array" ref="BN48">$G$14+VLOOKUP($R48,武学奇术!$A:$ZZ,16,FALSE)+SUM(_xlfn.XLOOKUP(S48:AL48,增益!$A:$A,增益!$P:$P,0))</f>
        <v>0.23</v>
      </c>
      <c r="BO48" s="23">
        <f>MIN(IF(VLOOKUP($R48,武学奇术!$A:$ZZ,23,FALSE)=1,100%,$B$8),100%)</f>
        <v>0.9943</v>
      </c>
      <c r="BP48" s="23" cm="1">
        <f t="array" ref="BP48">IF(VLOOKUP($R48,武学奇术!$A:$ZZ,23,FALSE)=1,100%,MIN(80%,$B$9+VLOOKUP($R48,武学奇术!$A:$ZZ,17,FALSE)+SUM(_xlfn.XLOOKUP(S48:AL48,增益!$A:$A,增益!$Q:$Q,0)))+$B$11+SUM(_xlfn.XLOOKUP(S48:AL48,增益!$A:$A,增益!$U:$U,0)))*IF(VLOOKUP($R48,武学奇术!$A:$ZZ,24,FALSE)=1,0,1)</f>
        <v>0.8</v>
      </c>
      <c r="BQ48" s="23" cm="1">
        <f t="array" ref="BQ48">1+$B$13+VLOOKUP($R48,武学奇术!$A:$ZZ,18,FALSE)+SUM(_xlfn.XLOOKUP(S48:AL48,增益!$A:$A,增益!$R:$R,0))</f>
        <v>1.614</v>
      </c>
      <c r="BR48" s="23" cm="1">
        <f t="array" ref="BR48">IF(VLOOKUP($R48,武学奇术!$A:$ZZ,24,FALSE)=1,100%,MIN(40%,$B$10+VLOOKUP($R48,武学奇术!$A:$ZZ,19,FALSE)+SUM(_xlfn.XLOOKUP(S48:AL48,增益!$A:$A,增益!$S:$S,0)))+$B$12+SUM(_xlfn.XLOOKUP(S48:AL48,增益!$A:$A,增益!$V:$V,0)))*IF(VLOOKUP($R48,武学奇术!$A:$ZZ,23,FALSE)=1,0,1)</f>
        <v>0.0913</v>
      </c>
      <c r="BS48" s="23" cm="1">
        <f t="array" ref="BS48">1+$B$14+VLOOKUP($R48,武学奇术!$A:$ZZ,20,FALSE)+SUM(_xlfn.XLOOKUP(S48:AL48,增益!$A:$A,增益!$T:$T,0))</f>
        <v>1.35</v>
      </c>
      <c r="BT48" s="23">
        <f t="shared" si="20"/>
        <v>0.79544</v>
      </c>
      <c r="BU48" s="23">
        <f t="shared" si="21"/>
        <v>0.10808041</v>
      </c>
      <c r="BV48" s="23">
        <f>IF(VLOOKUP($R48,武学奇术!$A:$ZZ,22,FALSE)=1,0,(1-$BO48))*(1-$BR48)</f>
        <v>0.00517958999999993</v>
      </c>
      <c r="BW48" s="23" cm="1">
        <f t="array" ref="BW48">SUM(_xlfn.XLOOKUP(S48:AL48,增益!$A:$A,增益!$W:$W,0))+$I$5</f>
        <v>0.11</v>
      </c>
      <c r="BX48" s="23">
        <f>VLOOKUP($R48,武学奇术!$A:$ZZ,32,FALSE)</f>
        <v>0.1</v>
      </c>
      <c r="BY48" s="23" cm="1">
        <f t="array" ref="BY48">SUM(_xlfn.XLOOKUP($S48:$AL48,增益!$A:$A,增益!$X:$X,0))</f>
        <v>0</v>
      </c>
    </row>
    <row r="49" spans="1:77">
      <c r="A49" s="4" t="s">
        <v>167</v>
      </c>
      <c r="B49" s="4">
        <v>1.3</v>
      </c>
      <c r="C49" s="4"/>
      <c r="K49" s="35">
        <f>$L49*VLOOKUP($R49,武学奇术!$A:$ZZ,31,FALSE)</f>
        <v>16248.5698115255</v>
      </c>
      <c r="L49" s="58">
        <f t="shared" si="11"/>
        <v>14507.6516174334</v>
      </c>
      <c r="M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轻击",$B$21,0))*(1+IF(VLOOKUP($R49,武学奇术!$A:$ZZ,30,FALSE)="老鼠",$B$22,0))*(1+$BW49)*(1+$BX49)</f>
        <v>15256.5224973001</v>
      </c>
      <c r="N49" s="35">
        <f>(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轻击",$B$21,0))*(1+IF(VLOOKUP($R49,武学奇术!$A:$ZZ,30,FALSE)="老鼠",$B$22,0))*(1+$BW49))*(1+$BX49)</f>
        <v>14319.6044052565</v>
      </c>
      <c r="O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轻击",$B$21,0))*(1+IF(VLOOKUP($R49,武学奇术!$A:$ZZ,30,FALSE)="老鼠",$B$22,0))*(1+$BW49)*(1+$BX49)</f>
        <v>9452.61616933092</v>
      </c>
      <c r="P49" s="35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轻击",$B$21,0))*(1+IF(VLOOKUP($R49,武学奇术!$A:$ZZ,30,FALSE)="老鼠",$B$22,0))*(1+$BW49)*(1+$BX49)</f>
        <v>8298.11796439774</v>
      </c>
      <c r="Q49" s="36">
        <v>1</v>
      </c>
      <c r="R49" s="37" t="s">
        <v>116</v>
      </c>
      <c r="S49" s="37" t="s">
        <v>91</v>
      </c>
      <c r="T49" s="37" t="s">
        <v>180</v>
      </c>
      <c r="U49" s="37" t="s">
        <v>112</v>
      </c>
      <c r="V49" s="37" t="s">
        <v>113</v>
      </c>
      <c r="W49" s="37" t="s">
        <v>82</v>
      </c>
      <c r="X49" s="37" t="s">
        <v>81</v>
      </c>
      <c r="Y49" s="37" t="s">
        <v>109</v>
      </c>
      <c r="Z49" s="37" t="s">
        <v>81</v>
      </c>
      <c r="AA49" s="37" t="s">
        <v>81</v>
      </c>
      <c r="AB49" s="37" t="s">
        <v>81</v>
      </c>
      <c r="AC49" s="37" t="s">
        <v>81</v>
      </c>
      <c r="AD49" s="37" t="s">
        <v>85</v>
      </c>
      <c r="AE49" s="37" t="s">
        <v>81</v>
      </c>
      <c r="AF49" s="37" t="s">
        <v>181</v>
      </c>
      <c r="AG49" s="37" t="s">
        <v>87</v>
      </c>
      <c r="AH49" s="37" t="s">
        <v>88</v>
      </c>
      <c r="AI49" s="37" t="s">
        <v>81</v>
      </c>
      <c r="AJ49" s="37" t="s">
        <v>81</v>
      </c>
      <c r="AK49" s="37" t="s">
        <v>81</v>
      </c>
      <c r="AL49" s="37" t="s">
        <v>81</v>
      </c>
      <c r="AM49" t="str">
        <f>VLOOKUP($R49,武学奇术!$A:$ZZ,25,FALSE)</f>
        <v>双刀</v>
      </c>
      <c r="AN49" s="23">
        <f>VLOOKUP($R49,武学奇术!$A:$ZZ,26,FALSE)</f>
        <v>0.4508</v>
      </c>
      <c r="AO49" s="24">
        <f>VLOOKUP($R49,武学奇术!$A:$ZZ,27,FALSE)*(1+IF(OR($AM49=$F$4,$AM49=$F$5),$B$23,0))</f>
        <v>201.6</v>
      </c>
      <c r="AP49" s="23">
        <f>VLOOKUP($R49,武学奇术!$A:$ZZ,28,FALSE)</f>
        <v>0.6763</v>
      </c>
      <c r="AQ49" s="24">
        <f>VLOOKUP($R49,武学奇术!$A:$ZZ,29,FALSE)*(1+IF(OR($AM49=$F$4,$AM49=$F$5),$B$23,0))</f>
        <v>108.8</v>
      </c>
      <c r="AR49" s="23" cm="1">
        <f t="array" ref="AR49">$G$3+IFERROR(VLOOKUP($AM49,$F$4:$G$7,2,FALSE),0)+VLOOKUP($R49,武学奇术!$A:$ZZ,2,FALSE)+SUM(_xlfn.XLOOKUP($S49:$AL49,增益!$A:$A,增益!$B:$B,0))</f>
        <v>0.8243</v>
      </c>
      <c r="AS49" s="23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4150.4</v>
      </c>
      <c r="AU49" cm="1">
        <f t="array" ref="AU49">$E$10*(1+$AS49)+VLOOKUP($R49,武学奇术!$A:$ZZ,4,FALSE)+SUM(_xlfn.XLOOKUP($S49:$AL49,增益!$A:$A,增益!$D:$D,0))-$I$2</f>
        <v>4150.4</v>
      </c>
      <c r="AV49" s="29" cm="1">
        <f t="array" ref="AV49">IF($F$10-$I$3+VLOOKUP($R49,武学奇术!$A:$ZZ,6,FALSE)+SUM(_xlfn.XLOOKUP(S49:AL49,增益!$A:$A,增益!$F:$F,0))&gt;0,($F$10-$I$3+VLOOKUP($R49,武学奇术!$A:$ZZ,6,FALSE)+SUM(_xlfn.XLOOKUP(S49:AL49,增益!$A:$A,增益!$F:$F,0)))/200,($F$10-$I$3+VLOOKUP($R49,武学奇术!$A:$ZZ,6,FALSE)+SUM(_xlfn.XLOOKUP(S49:AL49,增益!$A:$A,增益!$F:$F,0)))/100)</f>
        <v>0.3289</v>
      </c>
      <c r="AW49" s="29" cm="1">
        <f t="array" ref="AW49">$G$10+VLOOKUP($R49,武学奇术!$A:$ZZ,7,FALSE)+SUM(_xlfn.XLOOKUP(S49:AL49,增益!$A:$A,增益!$G:$G,0))</f>
        <v>0.08</v>
      </c>
      <c r="AX49" s="23" cm="1">
        <f t="array" ref="AX49">VLOOKUP($R49,武学奇术!$A:$ZZ,8,FALSE)+SUM(_xlfn.XLOOKUP(S49:AL49,增益!$A:$A,增益!$H:$H,0))</f>
        <v>0</v>
      </c>
      <c r="AY49">
        <f t="shared" si="12"/>
        <v>0</v>
      </c>
      <c r="AZ49">
        <f t="shared" si="13"/>
        <v>0</v>
      </c>
      <c r="BA49" s="29" cm="1">
        <f t="array" ref="BA49">IF($F$11-$I$4+VLOOKUP($R49,武学奇术!$A:$ZZ,9,FALSE)+SUM(_xlfn.XLOOKUP(S49:AL49,增益!$A:$A,增益!$I:$I,0))&gt;0,($F$11-$I$4+VLOOKUP($R49,武学奇术!$A:$ZZ,9,FALSE)+SUM(_xlfn.XLOOKUP(S49:AL49,增益!$A:$A,增益!$I:$I,0)))/200,($F$11-$I$4+VLOOKUP($R49,武学奇术!$A:$ZZ,9,FALSE)+SUM(_xlfn.XLOOKUP(S49:AL49,增益!$A:$A,增益!$I:$I,0)))/100)</f>
        <v>-0.3</v>
      </c>
      <c r="BB49" s="29" cm="1">
        <f t="array" ref="BB49">$G$11+VLOOKUP($R49,武学奇术!$A:$ZZ,10,FALSE)+SUM(_xlfn.XLOOKUP(S49:AL49,增益!$A:$A,增益!$J:$J,0))</f>
        <v>0.02</v>
      </c>
      <c r="BC49">
        <f t="shared" si="14"/>
        <v>0</v>
      </c>
      <c r="BD49">
        <f t="shared" si="15"/>
        <v>0</v>
      </c>
      <c r="BE49" s="29" cm="1">
        <f t="array" ref="BE49">IF($F$12-$I$4+VLOOKUP($R49,武学奇术!$A:$ZZ,11,FALSE)+SUM(_xlfn.XLOOKUP(S49:AL49,增益!$A:$A,增益!$K:$K,0))&gt;0,($F$12-$I$4+VLOOKUP($R49,武学奇术!$A:$ZZ,11,FALSE)+SUM(_xlfn.XLOOKUP(S49:AL49,增益!$A:$A,增益!$K:$K,0)))/200,($F$12-$I$4+VLOOKUP($R49,武学奇术!$A:$ZZ,11,FALSE)+SUM(_xlfn.XLOOKUP(S49:AL49,增益!$A:$A,增益!$K:$K,0)))/100)</f>
        <v>-0.3</v>
      </c>
      <c r="BF49" s="29" cm="1">
        <f t="array" ref="BF49">$G$12+VLOOKUP($R49,武学奇术!$A:$ZZ,12,FALSE)+SUM(_xlfn.XLOOKUP(S49:AL49,增益!$A:$A,增益!$L:$L,0))</f>
        <v>0.02</v>
      </c>
      <c r="BG49">
        <f t="shared" si="16"/>
        <v>0</v>
      </c>
      <c r="BH49">
        <f t="shared" si="17"/>
        <v>0</v>
      </c>
      <c r="BI49" s="29" cm="1">
        <f t="array" ref="BI49">IF($F$13-$I$4+VLOOKUP($R49,武学奇术!$A:$ZZ,13,FALSE)+SUM(_xlfn.XLOOKUP(S49:AL49,增益!$A:$A,增益!$M:$M,0))&gt;0,($F$13-$I$4+VLOOKUP($R49,武学奇术!$A:$ZZ,13,FALSE)+SUM(_xlfn.XLOOKUP(S49:AL49,增益!$A:$A,增益!$K:$K,0)))/200,($F$13-$I$4+VLOOKUP($R49,武学奇术!$A:$ZZ,13,FALSE)+SUM(_xlfn.XLOOKUP(S49:AL49,增益!$A:$A,增益!$M:$M,0)))/100)</f>
        <v>-0.3</v>
      </c>
      <c r="BJ49" s="29" cm="1">
        <f t="array" ref="BJ49">$G$13+VLOOKUP($R49,武学奇术!$A:$ZZ,14,FALSE)+SUM(_xlfn.XLOOKUP(S49:AL49,增益!$A:$A,增益!$N:$N,0))</f>
        <v>0.02</v>
      </c>
      <c r="BK49">
        <f t="shared" si="18"/>
        <v>618.2</v>
      </c>
      <c r="BL49">
        <f t="shared" si="19"/>
        <v>1805</v>
      </c>
      <c r="BM49" s="29" cm="1">
        <f t="array" ref="BM49">IF($F$14-$I$4+VLOOKUP($R49,武学奇术!$A:$ZZ,15,FALSE)+SUM(_xlfn.XLOOKUP(S49:AL49,增益!$A:$A,增益!$O:$O,0))&gt;0,($F$14-$I$4+VLOOKUP($R49,武学奇术!$A:$ZZ,15,FALSE)+SUM(_xlfn.XLOOKUP(S49:AL49,增益!$A:$A,增益!$O:$O,0)))/200,($F$14-$I$4+VLOOKUP($R49,武学奇术!$A:$ZZ,15,FALSE)+SUM(_xlfn.XLOOKUP(S49:AL49,增益!$A:$A,增益!$O:$O,0)))/100)</f>
        <v>0.05</v>
      </c>
      <c r="BN49" s="29" cm="1">
        <f t="array" ref="BN49">$G$14+VLOOKUP($R49,武学奇术!$A:$ZZ,16,FALSE)+SUM(_xlfn.XLOOKUP(S49:AL49,增益!$A:$A,增益!$P:$P,0))</f>
        <v>0.23</v>
      </c>
      <c r="BO49" s="23">
        <f>MIN(IF(VLOOKUP($R49,武学奇术!$A:$ZZ,23,FALSE)=1,100%,$B$8),100%)</f>
        <v>0.9943</v>
      </c>
      <c r="BP49" s="23" cm="1">
        <f t="array" ref="BP49">IF(VLOOKUP($R49,武学奇术!$A:$ZZ,23,FALSE)=1,100%,MIN(80%,$B$9+VLOOKUP($R49,武学奇术!$A:$ZZ,17,FALSE)+SUM(_xlfn.XLOOKUP(S49:AL49,增益!$A:$A,增益!$Q:$Q,0)))+$B$11+SUM(_xlfn.XLOOKUP(S49:AL49,增益!$A:$A,增益!$U:$U,0)))*IF(VLOOKUP($R49,武学奇术!$A:$ZZ,24,FALSE)=1,0,1)</f>
        <v>0.8</v>
      </c>
      <c r="BQ49" s="23" cm="1">
        <f t="array" ref="BQ49">1+$B$13+VLOOKUP($R49,武学奇术!$A:$ZZ,18,FALSE)+SUM(_xlfn.XLOOKUP(S49:AL49,增益!$A:$A,增益!$R:$R,0))</f>
        <v>1.614</v>
      </c>
      <c r="BR49" s="23" cm="1">
        <f t="array" ref="BR49">IF(VLOOKUP($R49,武学奇术!$A:$ZZ,24,FALSE)=1,100%,MIN(40%,$B$10+VLOOKUP($R49,武学奇术!$A:$ZZ,19,FALSE)+SUM(_xlfn.XLOOKUP(S49:AL49,增益!$A:$A,增益!$S:$S,0)))+$B$12+SUM(_xlfn.XLOOKUP(S49:AL49,增益!$A:$A,增益!$V:$V,0)))*IF(VLOOKUP($R49,武学奇术!$A:$ZZ,23,FALSE)=1,0,1)</f>
        <v>0.0913</v>
      </c>
      <c r="BS49" s="23" cm="1">
        <f t="array" ref="BS49">1+$B$14+VLOOKUP($R49,武学奇术!$A:$ZZ,20,FALSE)+SUM(_xlfn.XLOOKUP(S49:AL49,增益!$A:$A,增益!$T:$T,0))</f>
        <v>1.35</v>
      </c>
      <c r="BT49" s="23">
        <f t="shared" si="20"/>
        <v>0.79544</v>
      </c>
      <c r="BU49" s="23">
        <f t="shared" si="21"/>
        <v>0.10808041</v>
      </c>
      <c r="BV49" s="23">
        <f>IF(VLOOKUP($R49,武学奇术!$A:$ZZ,22,FALSE)=1,0,(1-$BO49))*(1-$BR49)</f>
        <v>0.00517958999999993</v>
      </c>
      <c r="BW49" s="23" cm="1">
        <f t="array" ref="BW49">SUM(_xlfn.XLOOKUP(S49:AL49,增益!$A:$A,增益!$W:$W,0))+$I$5</f>
        <v>0.11</v>
      </c>
      <c r="BX49" s="23">
        <f>VLOOKUP($R49,武学奇术!$A:$ZZ,32,FALSE)</f>
        <v>0.1</v>
      </c>
      <c r="BY49" s="23" cm="1">
        <f t="array" ref="BY49">SUM(_xlfn.XLOOKUP($S49:$AL49,增益!$A:$A,增益!$X:$X,0))</f>
        <v>0</v>
      </c>
    </row>
    <row r="50" spans="1:77">
      <c r="A50" s="4" t="s">
        <v>169</v>
      </c>
      <c r="B50" s="4">
        <v>0.7</v>
      </c>
      <c r="C50" s="36" t="s">
        <v>170</v>
      </c>
      <c r="D50" s="36" t="s">
        <v>85</v>
      </c>
      <c r="K50" s="35">
        <f>$L50*VLOOKUP($R50,武学奇术!$A:$ZZ,31,FALSE)</f>
        <v>18763.3130340334</v>
      </c>
      <c r="L50" s="58">
        <f t="shared" si="11"/>
        <v>18395.4049353268</v>
      </c>
      <c r="M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轻击",$B$21,0))*(1+IF(VLOOKUP($R50,武学奇术!$A:$ZZ,30,FALSE)="老鼠",$B$22,0))*(1+$BW50)*(1+$BX50)</f>
        <v>19348.2626186423</v>
      </c>
      <c r="N50" s="35">
        <f>(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轻击",$B$21,0))*(1+IF(VLOOKUP($R50,武学奇术!$A:$ZZ,30,FALSE)="老鼠",$B$22,0))*(1+$BW50))*(1+$BX50)</f>
        <v>18124.1369048864</v>
      </c>
      <c r="O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轻击",$B$21,0))*(1+IF(VLOOKUP($R50,武学奇术!$A:$ZZ,30,FALSE)="老鼠",$B$22,0))*(1+$BW50)*(1+$BX50)</f>
        <v>11987.7711391836</v>
      </c>
      <c r="P50" s="35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轻击",$B$21,0))*(1+IF(VLOOKUP($R50,武学奇术!$A:$ZZ,30,FALSE)="老鼠",$B$22,0))*(1+$BW50)*(1+$BX50)</f>
        <v>10550.255682155</v>
      </c>
      <c r="Q50" s="36">
        <v>1</v>
      </c>
      <c r="R50" s="37" t="s">
        <v>123</v>
      </c>
      <c r="S50" s="37" t="s">
        <v>91</v>
      </c>
      <c r="T50" s="37" t="s">
        <v>180</v>
      </c>
      <c r="U50" s="37" t="s">
        <v>81</v>
      </c>
      <c r="V50" s="37" t="s">
        <v>81</v>
      </c>
      <c r="W50" s="37" t="s">
        <v>82</v>
      </c>
      <c r="X50" s="37" t="s">
        <v>81</v>
      </c>
      <c r="Y50" s="37" t="s">
        <v>81</v>
      </c>
      <c r="Z50" s="37" t="s">
        <v>81</v>
      </c>
      <c r="AA50" s="37" t="s">
        <v>81</v>
      </c>
      <c r="AB50" s="37" t="s">
        <v>81</v>
      </c>
      <c r="AC50" s="37" t="s">
        <v>81</v>
      </c>
      <c r="AD50" s="37" t="s">
        <v>81</v>
      </c>
      <c r="AE50" s="37" t="s">
        <v>81</v>
      </c>
      <c r="AF50" s="37" t="s">
        <v>81</v>
      </c>
      <c r="AG50" s="37" t="s">
        <v>87</v>
      </c>
      <c r="AH50" s="37" t="s">
        <v>88</v>
      </c>
      <c r="AI50" s="37" t="s">
        <v>81</v>
      </c>
      <c r="AJ50" s="37" t="s">
        <v>81</v>
      </c>
      <c r="AK50" s="37" t="s">
        <v>81</v>
      </c>
      <c r="AL50" s="37" t="s">
        <v>81</v>
      </c>
      <c r="AM50" t="str">
        <f>VLOOKUP($R50,武学奇术!$A:$ZZ,25,FALSE)</f>
        <v>双刀</v>
      </c>
      <c r="AN50" s="23">
        <f>VLOOKUP($R50,武学奇术!$A:$ZZ,26,FALSE)</f>
        <v>0.8267</v>
      </c>
      <c r="AO50" s="24">
        <f>VLOOKUP($R50,武学奇术!$A:$ZZ,27,FALSE)*(1+IF(OR($AM50=$F$4,$AM50=$F$5),$B$23,0))</f>
        <v>366.4</v>
      </c>
      <c r="AP50" s="23">
        <f>VLOOKUP($R50,武学奇术!$A:$ZZ,28,FALSE)</f>
        <v>1.24</v>
      </c>
      <c r="AQ50" s="24">
        <f>VLOOKUP($R50,武学奇术!$A:$ZZ,29,FALSE)*(1+IF(OR($AM50=$F$4,$AM50=$F$5),$B$23,0))</f>
        <v>200</v>
      </c>
      <c r="AR50" s="23" cm="1">
        <f t="array" ref="AR50">$G$3+IFERROR(VLOOKUP($AM50,$F$4:$G$7,2,FALSE),0)+VLOOKUP($R50,武学奇术!$A:$ZZ,2,FALSE)+SUM(_xlfn.XLOOKUP($S50:$AL50,增益!$A:$A,增益!$B:$B,0))</f>
        <v>0.5043</v>
      </c>
      <c r="AS50" s="23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4081.7</v>
      </c>
      <c r="AU50" cm="1">
        <f t="array" ref="AU50">$E$10*(1+$AS50)+VLOOKUP($R50,武学奇术!$A:$ZZ,4,FALSE)+SUM(_xlfn.XLOOKUP($S50:$AL50,增益!$A:$A,增益!$D:$D,0))-$I$2</f>
        <v>4081.7</v>
      </c>
      <c r="AV50" s="29" cm="1">
        <f t="array" ref="AV50">IF($F$10-$I$3+VLOOKUP($R50,武学奇术!$A:$ZZ,6,FALSE)+SUM(_xlfn.XLOOKUP(S50:AL50,增益!$A:$A,增益!$F:$F,0))&gt;0,($F$10-$I$3+VLOOKUP($R50,武学奇术!$A:$ZZ,6,FALSE)+SUM(_xlfn.XLOOKUP(S50:AL50,增益!$A:$A,增益!$F:$F,0)))/200,($F$10-$I$3+VLOOKUP($R50,武学奇术!$A:$ZZ,6,FALSE)+SUM(_xlfn.XLOOKUP(S50:AL50,增益!$A:$A,增益!$F:$F,0)))/100)</f>
        <v>0.3289</v>
      </c>
      <c r="AW50" s="29" cm="1">
        <f t="array" ref="AW50">$G$10+VLOOKUP($R50,武学奇术!$A:$ZZ,7,FALSE)+SUM(_xlfn.XLOOKUP(S50:AL50,增益!$A:$A,增益!$G:$G,0))</f>
        <v>0.02</v>
      </c>
      <c r="AX50" s="23" cm="1">
        <f t="array" ref="AX50">VLOOKUP($R50,武学奇术!$A:$ZZ,8,FALSE)+SUM(_xlfn.XLOOKUP(S50:AL50,增益!$A:$A,增益!$H:$H,0))</f>
        <v>0</v>
      </c>
      <c r="AY50">
        <f t="shared" si="12"/>
        <v>0</v>
      </c>
      <c r="AZ50">
        <f t="shared" si="13"/>
        <v>0</v>
      </c>
      <c r="BA50" s="29" cm="1">
        <f t="array" ref="BA50">IF($F$11-$I$4+VLOOKUP($R50,武学奇术!$A:$ZZ,9,FALSE)+SUM(_xlfn.XLOOKUP(S50:AL50,增益!$A:$A,增益!$I:$I,0))&gt;0,($F$11-$I$4+VLOOKUP($R50,武学奇术!$A:$ZZ,9,FALSE)+SUM(_xlfn.XLOOKUP(S50:AL50,增益!$A:$A,增益!$I:$I,0)))/200,($F$11-$I$4+VLOOKUP($R50,武学奇术!$A:$ZZ,9,FALSE)+SUM(_xlfn.XLOOKUP(S50:AL50,增益!$A:$A,增益!$I:$I,0)))/100)</f>
        <v>-0.3</v>
      </c>
      <c r="BB50" s="29" cm="1">
        <f t="array" ref="BB50">$G$11+VLOOKUP($R50,武学奇术!$A:$ZZ,10,FALSE)+SUM(_xlfn.XLOOKUP(S50:AL50,增益!$A:$A,增益!$J:$J,0))</f>
        <v>0.02</v>
      </c>
      <c r="BC50">
        <f t="shared" si="14"/>
        <v>0</v>
      </c>
      <c r="BD50">
        <f t="shared" si="15"/>
        <v>0</v>
      </c>
      <c r="BE50" s="29" cm="1">
        <f t="array" ref="BE50">IF($F$12-$I$4+VLOOKUP($R50,武学奇术!$A:$ZZ,11,FALSE)+SUM(_xlfn.XLOOKUP(S50:AL50,增益!$A:$A,增益!$K:$K,0))&gt;0,($F$12-$I$4+VLOOKUP($R50,武学奇术!$A:$ZZ,11,FALSE)+SUM(_xlfn.XLOOKUP(S50:AL50,增益!$A:$A,增益!$K:$K,0)))/200,($F$12-$I$4+VLOOKUP($R50,武学奇术!$A:$ZZ,11,FALSE)+SUM(_xlfn.XLOOKUP(S50:AL50,增益!$A:$A,增益!$K:$K,0)))/100)</f>
        <v>-0.3</v>
      </c>
      <c r="BF50" s="29" cm="1">
        <f t="array" ref="BF50">$G$12+VLOOKUP($R50,武学奇术!$A:$ZZ,12,FALSE)+SUM(_xlfn.XLOOKUP(S50:AL50,增益!$A:$A,增益!$L:$L,0))</f>
        <v>0.02</v>
      </c>
      <c r="BG50">
        <f t="shared" si="16"/>
        <v>0</v>
      </c>
      <c r="BH50">
        <f t="shared" si="17"/>
        <v>0</v>
      </c>
      <c r="BI50" s="29" cm="1">
        <f t="array" ref="BI50">IF($F$13-$I$4+VLOOKUP($R50,武学奇术!$A:$ZZ,13,FALSE)+SUM(_xlfn.XLOOKUP(S50:AL50,增益!$A:$A,增益!$M:$M,0))&gt;0,($F$13-$I$4+VLOOKUP($R50,武学奇术!$A:$ZZ,13,FALSE)+SUM(_xlfn.XLOOKUP(S50:AL50,增益!$A:$A,增益!$K:$K,0)))/200,($F$13-$I$4+VLOOKUP($R50,武学奇术!$A:$ZZ,13,FALSE)+SUM(_xlfn.XLOOKUP(S50:AL50,增益!$A:$A,增益!$M:$M,0)))/100)</f>
        <v>-0.3</v>
      </c>
      <c r="BJ50" s="29" cm="1">
        <f t="array" ref="BJ50">$G$13+VLOOKUP($R50,武学奇术!$A:$ZZ,14,FALSE)+SUM(_xlfn.XLOOKUP(S50:AL50,增益!$A:$A,增益!$N:$N,0))</f>
        <v>0.02</v>
      </c>
      <c r="BK50">
        <f t="shared" si="18"/>
        <v>618.2</v>
      </c>
      <c r="BL50">
        <f t="shared" si="19"/>
        <v>1805</v>
      </c>
      <c r="BM50" s="29" cm="1">
        <f t="array" ref="BM50">IF($F$14-$I$4+VLOOKUP($R50,武学奇术!$A:$ZZ,15,FALSE)+SUM(_xlfn.XLOOKUP(S50:AL50,增益!$A:$A,增益!$O:$O,0))&gt;0,($F$14-$I$4+VLOOKUP($R50,武学奇术!$A:$ZZ,15,FALSE)+SUM(_xlfn.XLOOKUP(S50:AL50,增益!$A:$A,增益!$O:$O,0)))/200,($F$14-$I$4+VLOOKUP($R50,武学奇术!$A:$ZZ,15,FALSE)+SUM(_xlfn.XLOOKUP(S50:AL50,增益!$A:$A,增益!$O:$O,0)))/100)</f>
        <v>0</v>
      </c>
      <c r="BN50" s="29" cm="1">
        <f t="array" ref="BN50">$G$14+VLOOKUP($R50,武学奇术!$A:$ZZ,16,FALSE)+SUM(_xlfn.XLOOKUP(S50:AL50,增益!$A:$A,增益!$P:$P,0))</f>
        <v>0.17</v>
      </c>
      <c r="BO50" s="23">
        <f>MIN(IF(VLOOKUP($R50,武学奇术!$A:$ZZ,23,FALSE)=1,100%,$B$8),100%)</f>
        <v>0.9943</v>
      </c>
      <c r="BP50" s="23" cm="1">
        <f t="array" ref="BP50">IF(VLOOKUP($R50,武学奇术!$A:$ZZ,23,FALSE)=1,100%,MIN(80%,$B$9+VLOOKUP($R50,武学奇术!$A:$ZZ,17,FALSE)+SUM(_xlfn.XLOOKUP(S50:AL50,增益!$A:$A,增益!$Q:$Q,0)))+$B$11+SUM(_xlfn.XLOOKUP(S50:AL50,增益!$A:$A,增益!$U:$U,0)))*IF(VLOOKUP($R50,武学奇术!$A:$ZZ,24,FALSE)=1,0,1)</f>
        <v>0.8</v>
      </c>
      <c r="BQ50" s="23" cm="1">
        <f t="array" ref="BQ50">1+$B$13+VLOOKUP($R50,武学奇术!$A:$ZZ,18,FALSE)+SUM(_xlfn.XLOOKUP(S50:AL50,增益!$A:$A,增益!$R:$R,0))</f>
        <v>1.614</v>
      </c>
      <c r="BR50" s="23" cm="1">
        <f t="array" ref="BR50">IF(VLOOKUP($R50,武学奇术!$A:$ZZ,24,FALSE)=1,100%,MIN(40%,$B$10+VLOOKUP($R50,武学奇术!$A:$ZZ,19,FALSE)+SUM(_xlfn.XLOOKUP(S50:AL50,增益!$A:$A,增益!$S:$S,0)))+$B$12+SUM(_xlfn.XLOOKUP(S50:AL50,增益!$A:$A,增益!$V:$V,0)))*IF(VLOOKUP($R50,武学奇术!$A:$ZZ,23,FALSE)=1,0,1)</f>
        <v>0.0913</v>
      </c>
      <c r="BS50" s="23" cm="1">
        <f t="array" ref="BS50">1+$B$14+VLOOKUP($R50,武学奇术!$A:$ZZ,20,FALSE)+SUM(_xlfn.XLOOKUP(S50:AL50,增益!$A:$A,增益!$T:$T,0))</f>
        <v>1.35</v>
      </c>
      <c r="BT50" s="23">
        <f t="shared" si="20"/>
        <v>0.79544</v>
      </c>
      <c r="BU50" s="23">
        <f t="shared" si="21"/>
        <v>0.10808041</v>
      </c>
      <c r="BV50" s="23">
        <f>IF(VLOOKUP($R50,武学奇术!$A:$ZZ,22,FALSE)=1,0,(1-$BO50))*(1-$BR50)</f>
        <v>0.00517958999999993</v>
      </c>
      <c r="BW50" s="23" cm="1">
        <f t="array" ref="BW50">SUM(_xlfn.XLOOKUP(S50:AL50,增益!$A:$A,增益!$W:$W,0))+$I$5</f>
        <v>0.11</v>
      </c>
      <c r="BX50" s="23">
        <f>VLOOKUP($R50,武学奇术!$A:$ZZ,32,FALSE)</f>
        <v>0</v>
      </c>
      <c r="BY50" s="23" cm="1">
        <f t="array" ref="BY50">SUM(_xlfn.XLOOKUP($S50:$AL50,增益!$A:$A,增益!$X:$X,0))</f>
        <v>0</v>
      </c>
    </row>
    <row r="51" spans="1:77">
      <c r="A51" s="93" t="s">
        <v>172</v>
      </c>
      <c r="B51" s="4">
        <v>0.166</v>
      </c>
      <c r="C51" s="36"/>
      <c r="D51" s="36"/>
      <c r="K51" s="35">
        <f>$L51*VLOOKUP($R51,武学奇术!$A:$ZZ,31,FALSE)</f>
        <v>80746.6094788752</v>
      </c>
      <c r="L51" s="69">
        <f t="shared" si="11"/>
        <v>79163.3426263483</v>
      </c>
      <c r="M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轻击",$B$21,0))*(1+IF(VLOOKUP($R51,武学奇术!$A:$ZZ,30,FALSE)="老鼠",$B$22,0))*(1+$BW51)*(1+$BX51)</f>
        <v>83158.0689843959</v>
      </c>
      <c r="N51" s="35">
        <f>(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轻击",$B$21,0))*(1+IF(VLOOKUP($R51,武学奇术!$A:$ZZ,30,FALSE)="老鼠",$B$22,0))*(1+$BW51))*(1+$BX51)</f>
        <v>79047.2319608728</v>
      </c>
      <c r="O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轻击",$B$21,0))*(1+IF(VLOOKUP($R51,武学奇术!$A:$ZZ,30,FALSE)="老鼠",$B$22,0))*(1+$BW51)*(1+$BX51)</f>
        <v>51522.9671526617</v>
      </c>
      <c r="P51" s="35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轻击",$B$21,0))*(1+IF(VLOOKUP($R51,武学奇术!$A:$ZZ,30,FALSE)="老鼠",$B$22,0))*(1+$BW51)*(1+$BX51)</f>
        <v>44492.4291491212</v>
      </c>
      <c r="Q51" s="70">
        <v>4</v>
      </c>
      <c r="R51" s="37" t="s">
        <v>106</v>
      </c>
      <c r="S51" s="37" t="s">
        <v>91</v>
      </c>
      <c r="T51" s="37" t="s">
        <v>180</v>
      </c>
      <c r="U51" s="37" t="s">
        <v>112</v>
      </c>
      <c r="V51" s="37" t="s">
        <v>113</v>
      </c>
      <c r="W51" s="37" t="s">
        <v>82</v>
      </c>
      <c r="X51" s="37" t="s">
        <v>81</v>
      </c>
      <c r="Y51" s="37" t="s">
        <v>109</v>
      </c>
      <c r="Z51" s="37" t="s">
        <v>81</v>
      </c>
      <c r="AA51" s="37" t="s">
        <v>81</v>
      </c>
      <c r="AB51" s="37" t="s">
        <v>81</v>
      </c>
      <c r="AC51" s="37" t="s">
        <v>81</v>
      </c>
      <c r="AD51" s="37" t="s">
        <v>81</v>
      </c>
      <c r="AE51" s="37" t="s">
        <v>81</v>
      </c>
      <c r="AF51" s="37" t="s">
        <v>81</v>
      </c>
      <c r="AG51" s="37" t="s">
        <v>87</v>
      </c>
      <c r="AH51" s="37" t="s">
        <v>88</v>
      </c>
      <c r="AI51" s="37" t="s">
        <v>81</v>
      </c>
      <c r="AJ51" s="37" t="s">
        <v>81</v>
      </c>
      <c r="AK51" s="37" t="s">
        <v>81</v>
      </c>
      <c r="AL51" s="37" t="s">
        <v>81</v>
      </c>
      <c r="AM51" t="str">
        <f>VLOOKUP($R51,武学奇术!$A:$ZZ,25,FALSE)</f>
        <v>绳镖</v>
      </c>
      <c r="AN51" s="23">
        <f>VLOOKUP($R51,武学奇术!$A:$ZZ,26,FALSE)</f>
        <v>0.3675</v>
      </c>
      <c r="AO51" s="24">
        <f>VLOOKUP($R51,武学奇术!$A:$ZZ,27,FALSE)*(1+IF(OR($AM51=$F$4,$AM51=$F$5),$B$23,0))</f>
        <v>0</v>
      </c>
      <c r="AP51" s="23">
        <f>VLOOKUP($R51,武学奇术!$A:$ZZ,28,FALSE)</f>
        <v>0.55125</v>
      </c>
      <c r="AQ51" s="24">
        <f>VLOOKUP($R51,武学奇术!$A:$ZZ,29,FALSE)*(1+IF(OR($AM51=$F$4,$AM51=$F$5),$B$23,0))</f>
        <v>0</v>
      </c>
      <c r="AR51" s="23" cm="1">
        <f t="array" ref="AR51">$G$3+IFERROR(VLOOKUP($AM51,$F$4:$G$7,2,FALSE),0)+VLOOKUP($R51,武学奇术!$A:$ZZ,2,FALSE)+SUM(_xlfn.XLOOKUP($S51:$AL51,增益!$A:$A,增益!$B:$B,0))</f>
        <v>1.4243</v>
      </c>
      <c r="AS51" s="23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4150.4</v>
      </c>
      <c r="AU51" cm="1">
        <f t="array" ref="AU51">$E$10*(1+$AS51)+VLOOKUP($R51,武学奇术!$A:$ZZ,4,FALSE)+SUM(_xlfn.XLOOKUP($S51:$AL51,增益!$A:$A,增益!$D:$D,0))-$I$2</f>
        <v>4150.4</v>
      </c>
      <c r="AV51" s="29" cm="1">
        <f t="array" ref="AV51">IF($F$10-$I$3+VLOOKUP($R51,武学奇术!$A:$ZZ,6,FALSE)+SUM(_xlfn.XLOOKUP(S51:AL51,增益!$A:$A,增益!$F:$F,0))&gt;0,($F$10-$I$3+VLOOKUP($R51,武学奇术!$A:$ZZ,6,FALSE)+SUM(_xlfn.XLOOKUP(S51:AL51,增益!$A:$A,增益!$F:$F,0)))/200,($F$10-$I$3+VLOOKUP($R51,武学奇术!$A:$ZZ,6,FALSE)+SUM(_xlfn.XLOOKUP(S51:AL51,增益!$A:$A,增益!$F:$F,0)))/100)</f>
        <v>0.3289</v>
      </c>
      <c r="AW51" s="29" cm="1">
        <f t="array" ref="AW51">$G$10+VLOOKUP($R51,武学奇术!$A:$ZZ,7,FALSE)+SUM(_xlfn.XLOOKUP(S51:AL51,增益!$A:$A,增益!$G:$G,0))</f>
        <v>0.29</v>
      </c>
      <c r="AX51" s="23" cm="1">
        <f t="array" ref="AX51">VLOOKUP($R51,武学奇术!$A:$ZZ,8,FALSE)+SUM(_xlfn.XLOOKUP(S51:AL51,增益!$A:$A,增益!$H:$H,0))</f>
        <v>0</v>
      </c>
      <c r="AY51">
        <f t="shared" si="12"/>
        <v>0</v>
      </c>
      <c r="AZ51">
        <f t="shared" si="13"/>
        <v>0</v>
      </c>
      <c r="BA51" s="29" cm="1">
        <f t="array" ref="BA51">IF($F$11-$I$4+VLOOKUP($R51,武学奇术!$A:$ZZ,9,FALSE)+SUM(_xlfn.XLOOKUP(S51:AL51,增益!$A:$A,增益!$I:$I,0))&gt;0,($F$11-$I$4+VLOOKUP($R51,武学奇术!$A:$ZZ,9,FALSE)+SUM(_xlfn.XLOOKUP(S51:AL51,增益!$A:$A,增益!$I:$I,0)))/200,($F$11-$I$4+VLOOKUP($R51,武学奇术!$A:$ZZ,9,FALSE)+SUM(_xlfn.XLOOKUP(S51:AL51,增益!$A:$A,增益!$I:$I,0)))/100)</f>
        <v>-0.3</v>
      </c>
      <c r="BB51" s="29" cm="1">
        <f t="array" ref="BB51">$G$11+VLOOKUP($R51,武学奇术!$A:$ZZ,10,FALSE)+SUM(_xlfn.XLOOKUP(S51:AL51,增益!$A:$A,增益!$J:$J,0))</f>
        <v>0.02</v>
      </c>
      <c r="BC51">
        <f t="shared" si="14"/>
        <v>0</v>
      </c>
      <c r="BD51">
        <f t="shared" si="15"/>
        <v>0</v>
      </c>
      <c r="BE51" s="29" cm="1">
        <f t="array" ref="BE51">IF($F$12-$I$4+VLOOKUP($R51,武学奇术!$A:$ZZ,11,FALSE)+SUM(_xlfn.XLOOKUP(S51:AL51,增益!$A:$A,增益!$K:$K,0))&gt;0,($F$12-$I$4+VLOOKUP($R51,武学奇术!$A:$ZZ,11,FALSE)+SUM(_xlfn.XLOOKUP(S51:AL51,增益!$A:$A,增益!$K:$K,0)))/200,($F$12-$I$4+VLOOKUP($R51,武学奇术!$A:$ZZ,11,FALSE)+SUM(_xlfn.XLOOKUP(S51:AL51,增益!$A:$A,增益!$K:$K,0)))/100)</f>
        <v>-0.3</v>
      </c>
      <c r="BF51" s="29" cm="1">
        <f t="array" ref="BF51">$G$12+VLOOKUP($R51,武学奇术!$A:$ZZ,12,FALSE)+SUM(_xlfn.XLOOKUP(S51:AL51,增益!$A:$A,增益!$L:$L,0))</f>
        <v>0.02</v>
      </c>
      <c r="BG51">
        <f t="shared" si="16"/>
        <v>0</v>
      </c>
      <c r="BH51">
        <f t="shared" si="17"/>
        <v>0</v>
      </c>
      <c r="BI51" s="29" cm="1">
        <f t="array" ref="BI51">IF($F$13-$I$4+VLOOKUP($R51,武学奇术!$A:$ZZ,13,FALSE)+SUM(_xlfn.XLOOKUP(S51:AL51,增益!$A:$A,增益!$M:$M,0))&gt;0,($F$13-$I$4+VLOOKUP($R51,武学奇术!$A:$ZZ,13,FALSE)+SUM(_xlfn.XLOOKUP(S51:AL51,增益!$A:$A,增益!$K:$K,0)))/200,($F$13-$I$4+VLOOKUP($R51,武学奇术!$A:$ZZ,13,FALSE)+SUM(_xlfn.XLOOKUP(S51:AL51,增益!$A:$A,增益!$M:$M,0)))/100)</f>
        <v>-0.3</v>
      </c>
      <c r="BJ51" s="29" cm="1">
        <f t="array" ref="BJ51">$G$13+VLOOKUP($R51,武学奇术!$A:$ZZ,14,FALSE)+SUM(_xlfn.XLOOKUP(S51:AL51,增益!$A:$A,增益!$N:$N,0))</f>
        <v>0.02</v>
      </c>
      <c r="BK51">
        <f t="shared" si="18"/>
        <v>618.2</v>
      </c>
      <c r="BL51">
        <f t="shared" si="19"/>
        <v>1805</v>
      </c>
      <c r="BM51" s="29" cm="1">
        <f t="array" ref="BM51">IF($F$14-$I$4+VLOOKUP($R51,武学奇术!$A:$ZZ,15,FALSE)+SUM(_xlfn.XLOOKUP(S51:AL51,增益!$A:$A,增益!$O:$O,0))&gt;0,($F$14-$I$4+VLOOKUP($R51,武学奇术!$A:$ZZ,15,FALSE)+SUM(_xlfn.XLOOKUP(S51:AL51,增益!$A:$A,增益!$O:$O,0)))/200,($F$14-$I$4+VLOOKUP($R51,武学奇术!$A:$ZZ,15,FALSE)+SUM(_xlfn.XLOOKUP(S51:AL51,增益!$A:$A,增益!$O:$O,0)))/100)</f>
        <v>0.05</v>
      </c>
      <c r="BN51" s="29" cm="1">
        <f t="array" ref="BN51">$G$14+VLOOKUP($R51,武学奇术!$A:$ZZ,16,FALSE)+SUM(_xlfn.XLOOKUP(S51:AL51,增益!$A:$A,增益!$P:$P,0))</f>
        <v>0.44</v>
      </c>
      <c r="BO51" s="23">
        <f>MIN(IF(VLOOKUP($R51,武学奇术!$A:$ZZ,23,FALSE)=1,100%,$B$8),100%)</f>
        <v>0.9943</v>
      </c>
      <c r="BP51" s="23" cm="1">
        <f t="array" ref="BP51">IF(VLOOKUP($R51,武学奇术!$A:$ZZ,23,FALSE)=1,100%,MIN(80%,$B$9+VLOOKUP($R51,武学奇术!$A:$ZZ,17,FALSE)+SUM(_xlfn.XLOOKUP(S51:AL51,增益!$A:$A,增益!$Q:$Q,0)))+$B$11+SUM(_xlfn.XLOOKUP(S51:AL51,增益!$A:$A,增益!$U:$U,0)))*IF(VLOOKUP($R51,武学奇术!$A:$ZZ,24,FALSE)=1,0,1)</f>
        <v>0.8</v>
      </c>
      <c r="BQ51" s="23" cm="1">
        <f t="array" ref="BQ51">1+$B$13+VLOOKUP($R51,武学奇术!$A:$ZZ,18,FALSE)+SUM(_xlfn.XLOOKUP(S51:AL51,增益!$A:$A,增益!$R:$R,0))</f>
        <v>1.614</v>
      </c>
      <c r="BR51" s="23" cm="1">
        <f t="array" ref="BR51">IF(VLOOKUP($R51,武学奇术!$A:$ZZ,24,FALSE)=1,100%,MIN(40%,$B$10+VLOOKUP($R51,武学奇术!$A:$ZZ,19,FALSE)+SUM(_xlfn.XLOOKUP(S51:AL51,增益!$A:$A,增益!$S:$S,0)))+$B$12+SUM(_xlfn.XLOOKUP(S51:AL51,增益!$A:$A,增益!$V:$V,0)))*IF(VLOOKUP($R51,武学奇术!$A:$ZZ,23,FALSE)=1,0,1)</f>
        <v>0.0913</v>
      </c>
      <c r="BS51" s="23" cm="1">
        <f t="array" ref="BS51">1+$B$14+VLOOKUP($R51,武学奇术!$A:$ZZ,20,FALSE)+SUM(_xlfn.XLOOKUP(S51:AL51,增益!$A:$A,增益!$T:$T,0))</f>
        <v>1.35</v>
      </c>
      <c r="BT51" s="23">
        <f t="shared" si="20"/>
        <v>0.79544</v>
      </c>
      <c r="BU51" s="23">
        <f t="shared" si="21"/>
        <v>0.10808041</v>
      </c>
      <c r="BV51" s="23">
        <f>IF(VLOOKUP($R51,武学奇术!$A:$ZZ,22,FALSE)=1,0,(1-$BO51))*(1-$BR51)</f>
        <v>0.00517958999999993</v>
      </c>
      <c r="BW51" s="23" cm="1">
        <f t="array" ref="BW51">SUM(_xlfn.XLOOKUP(S51:AL51,增益!$A:$A,增益!$W:$W,0))+$I$5</f>
        <v>0.11</v>
      </c>
      <c r="BX51" s="23">
        <f>VLOOKUP($R51,武学奇术!$A:$ZZ,32,FALSE)</f>
        <v>0</v>
      </c>
      <c r="BY51" s="23" cm="1">
        <f t="array" ref="BY51">SUM(_xlfn.XLOOKUP($S51:$AL51,增益!$A:$A,增益!$X:$X,0))</f>
        <v>0</v>
      </c>
    </row>
    <row r="52" spans="1:77">
      <c r="A52" s="93" t="s">
        <v>173</v>
      </c>
      <c r="B52" s="4">
        <v>0.633</v>
      </c>
      <c r="C52" s="36"/>
      <c r="D52" s="36"/>
      <c r="E52" s="25"/>
      <c r="K52" s="35">
        <f>$L52*VLOOKUP($R52,武学奇术!$A:$ZZ,31,FALSE)</f>
        <v>74735.2007489591</v>
      </c>
      <c r="L52" s="35">
        <f t="shared" si="11"/>
        <v>73269.8046558423</v>
      </c>
      <c r="M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轻击",$B$21,0))*(1+IF(VLOOKUP($R52,武学奇术!$A:$ZZ,30,FALSE)="老鼠",$B$22,0))*(1+$BW52)*(1+$BX52)</f>
        <v>78891.9915146072</v>
      </c>
      <c r="N52" s="35">
        <f>(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轻击",$B$21,0))*(1+IF(VLOOKUP($R52,武学奇术!$A:$ZZ,30,FALSE)="老鼠",$B$22,0))*(1+$BW52))*(1+$BX52)</f>
        <v>63225.0294159437</v>
      </c>
      <c r="O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轻击",$B$21,0))*(1+IF(VLOOKUP($R52,武学奇术!$A:$ZZ,30,FALSE)="老鼠",$B$22,0))*(1+$BW52)*(1+$BX52)</f>
        <v>42098.1811710817</v>
      </c>
      <c r="P52" s="35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轻击",$B$21,0))*(1+IF(VLOOKUP($R52,武学奇术!$A:$ZZ,30,FALSE)="老鼠",$B$22,0))*(1+$BW52)*(1+$BX52)</f>
        <v>37363.0072192422</v>
      </c>
      <c r="Q52" s="36">
        <v>1</v>
      </c>
      <c r="R52" s="37" t="s">
        <v>128</v>
      </c>
      <c r="S52" s="37" t="s">
        <v>91</v>
      </c>
      <c r="T52" s="37" t="s">
        <v>182</v>
      </c>
      <c r="U52" s="37" t="s">
        <v>81</v>
      </c>
      <c r="V52" s="37" t="s">
        <v>81</v>
      </c>
      <c r="W52" s="37" t="s">
        <v>82</v>
      </c>
      <c r="X52" s="37" t="s">
        <v>81</v>
      </c>
      <c r="Y52" s="37" t="s">
        <v>81</v>
      </c>
      <c r="Z52" s="37" t="s">
        <v>81</v>
      </c>
      <c r="AA52" s="37" t="s">
        <v>81</v>
      </c>
      <c r="AB52" s="37" t="s">
        <v>81</v>
      </c>
      <c r="AC52" s="37" t="s">
        <v>81</v>
      </c>
      <c r="AD52" s="37" t="s">
        <v>85</v>
      </c>
      <c r="AE52" s="37" t="s">
        <v>86</v>
      </c>
      <c r="AF52" s="37" t="s">
        <v>81</v>
      </c>
      <c r="AG52" s="37" t="s">
        <v>87</v>
      </c>
      <c r="AH52" s="37" t="s">
        <v>88</v>
      </c>
      <c r="AI52" s="37" t="s">
        <v>81</v>
      </c>
      <c r="AJ52" s="37" t="s">
        <v>81</v>
      </c>
      <c r="AK52" s="37" t="s">
        <v>81</v>
      </c>
      <c r="AL52" s="37" t="s">
        <v>81</v>
      </c>
      <c r="AM52" t="str">
        <f>VLOOKUP($R52,武学奇术!$A:$ZZ,25,FALSE)</f>
        <v>双刀</v>
      </c>
      <c r="AN52" s="23">
        <f>VLOOKUP($R52,武学奇术!$A:$ZZ,26,FALSE)</f>
        <v>2.4761</v>
      </c>
      <c r="AO52" s="24">
        <f>VLOOKUP($R52,武学奇术!$A:$ZZ,27,FALSE)*(1+IF(OR($AM52=$F$4,$AM52=$F$5),$B$23,0))</f>
        <v>1096</v>
      </c>
      <c r="AP52" s="23">
        <f>VLOOKUP($R52,武学奇术!$A:$ZZ,28,FALSE)</f>
        <v>3.7142</v>
      </c>
      <c r="AQ52" s="24">
        <f>VLOOKUP($R52,武学奇术!$A:$ZZ,29,FALSE)*(1+IF(OR($AM52=$F$4,$AM52=$F$5),$B$23,0))</f>
        <v>596.8</v>
      </c>
      <c r="AR52" s="23" cm="1">
        <f t="array" ref="AR52">$G$3+IFERROR(VLOOKUP($AM52,$F$4:$G$7,2,FALSE),0)+VLOOKUP($R52,武学奇术!$A:$ZZ,2,FALSE)+SUM(_xlfn.XLOOKUP($S52:$AL52,增益!$A:$A,增益!$B:$B,0))</f>
        <v>0.6543</v>
      </c>
      <c r="AS52" s="23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4081.7</v>
      </c>
      <c r="AU52" cm="1">
        <f t="array" ref="AU52">$E$10*(1+$AS52)+VLOOKUP($R52,武学奇术!$A:$ZZ,4,FALSE)+SUM(_xlfn.XLOOKUP($S52:$AL52,增益!$A:$A,增益!$D:$D,0))-$I$2</f>
        <v>4081.7</v>
      </c>
      <c r="AV52" s="29" cm="1">
        <f t="array" ref="AV52">IF($F$10-$I$3+VLOOKUP($R52,武学奇术!$A:$ZZ,6,FALSE)+SUM(_xlfn.XLOOKUP(S52:AL52,增益!$A:$A,增益!$F:$F,0))&gt;0,($F$10-$I$3+VLOOKUP($R52,武学奇术!$A:$ZZ,6,FALSE)+SUM(_xlfn.XLOOKUP(S52:AL52,增益!$A:$A,增益!$F:$F,0)))/200,($F$10-$I$3+VLOOKUP($R52,武学奇术!$A:$ZZ,6,FALSE)+SUM(_xlfn.XLOOKUP(S52:AL52,增益!$A:$A,增益!$F:$F,0)))/100)</f>
        <v>0.4539</v>
      </c>
      <c r="AW52" s="29" cm="1">
        <f t="array" ref="AW52">$G$10+VLOOKUP($R52,武学奇术!$A:$ZZ,7,FALSE)+SUM(_xlfn.XLOOKUP(S52:AL52,增益!$A:$A,增益!$G:$G,0))</f>
        <v>0.02</v>
      </c>
      <c r="AX52" s="23" cm="1">
        <f t="array" ref="AX52">VLOOKUP($R52,武学奇术!$A:$ZZ,8,FALSE)+SUM(_xlfn.XLOOKUP(S52:AL52,增益!$A:$A,增益!$H:$H,0))</f>
        <v>0</v>
      </c>
      <c r="AY52">
        <f t="shared" si="12"/>
        <v>0</v>
      </c>
      <c r="AZ52">
        <f t="shared" si="13"/>
        <v>0</v>
      </c>
      <c r="BA52" s="29" cm="1">
        <f t="array" ref="BA52">IF($F$11-$I$4+VLOOKUP($R52,武学奇术!$A:$ZZ,9,FALSE)+SUM(_xlfn.XLOOKUP(S52:AL52,增益!$A:$A,增益!$I:$I,0))&gt;0,($F$11-$I$4+VLOOKUP($R52,武学奇术!$A:$ZZ,9,FALSE)+SUM(_xlfn.XLOOKUP(S52:AL52,增益!$A:$A,增益!$I:$I,0)))/200,($F$11-$I$4+VLOOKUP($R52,武学奇术!$A:$ZZ,9,FALSE)+SUM(_xlfn.XLOOKUP(S52:AL52,增益!$A:$A,增益!$I:$I,0)))/100)</f>
        <v>-0.3</v>
      </c>
      <c r="BB52" s="29" cm="1">
        <f t="array" ref="BB52">$G$11+VLOOKUP($R52,武学奇术!$A:$ZZ,10,FALSE)+SUM(_xlfn.XLOOKUP(S52:AL52,增益!$A:$A,增益!$J:$J,0))</f>
        <v>0.02</v>
      </c>
      <c r="BC52">
        <f t="shared" si="14"/>
        <v>0</v>
      </c>
      <c r="BD52">
        <f t="shared" si="15"/>
        <v>0</v>
      </c>
      <c r="BE52" s="29" cm="1">
        <f t="array" ref="BE52">IF($F$12-$I$4+VLOOKUP($R52,武学奇术!$A:$ZZ,11,FALSE)+SUM(_xlfn.XLOOKUP(S52:AL52,增益!$A:$A,增益!$K:$K,0))&gt;0,($F$12-$I$4+VLOOKUP($R52,武学奇术!$A:$ZZ,11,FALSE)+SUM(_xlfn.XLOOKUP(S52:AL52,增益!$A:$A,增益!$K:$K,0)))/200,($F$12-$I$4+VLOOKUP($R52,武学奇术!$A:$ZZ,11,FALSE)+SUM(_xlfn.XLOOKUP(S52:AL52,增益!$A:$A,增益!$K:$K,0)))/100)</f>
        <v>-0.3</v>
      </c>
      <c r="BF52" s="29" cm="1">
        <f t="array" ref="BF52">$G$12+VLOOKUP($R52,武学奇术!$A:$ZZ,12,FALSE)+SUM(_xlfn.XLOOKUP(S52:AL52,增益!$A:$A,增益!$L:$L,0))</f>
        <v>0.02</v>
      </c>
      <c r="BG52">
        <f t="shared" si="16"/>
        <v>0</v>
      </c>
      <c r="BH52">
        <f t="shared" si="17"/>
        <v>0</v>
      </c>
      <c r="BI52" s="29" cm="1">
        <f t="array" ref="BI52">IF($F$13-$I$4+VLOOKUP($R52,武学奇术!$A:$ZZ,13,FALSE)+SUM(_xlfn.XLOOKUP(S52:AL52,增益!$A:$A,增益!$M:$M,0))&gt;0,($F$13-$I$4+VLOOKUP($R52,武学奇术!$A:$ZZ,13,FALSE)+SUM(_xlfn.XLOOKUP(S52:AL52,增益!$A:$A,增益!$K:$K,0)))/200,($F$13-$I$4+VLOOKUP($R52,武学奇术!$A:$ZZ,13,FALSE)+SUM(_xlfn.XLOOKUP(S52:AL52,增益!$A:$A,增益!$M:$M,0)))/100)</f>
        <v>-0.3</v>
      </c>
      <c r="BJ52" s="29" cm="1">
        <f t="array" ref="BJ52">$G$13+VLOOKUP($R52,武学奇术!$A:$ZZ,14,FALSE)+SUM(_xlfn.XLOOKUP(S52:AL52,增益!$A:$A,增益!$N:$N,0))</f>
        <v>0.02</v>
      </c>
      <c r="BK52">
        <f t="shared" si="18"/>
        <v>618.2</v>
      </c>
      <c r="BL52">
        <f t="shared" si="19"/>
        <v>1805</v>
      </c>
      <c r="BM52" s="29" cm="1">
        <f t="array" ref="BM52">IF($F$14-$I$4+VLOOKUP($R52,武学奇术!$A:$ZZ,15,FALSE)+SUM(_xlfn.XLOOKUP(S52:AL52,增益!$A:$A,增益!$O:$O,0))&gt;0,($F$14-$I$4+VLOOKUP($R52,武学奇术!$A:$ZZ,15,FALSE)+SUM(_xlfn.XLOOKUP(S52:AL52,增益!$A:$A,增益!$O:$O,0)))/200,($F$14-$I$4+VLOOKUP($R52,武学奇术!$A:$ZZ,15,FALSE)+SUM(_xlfn.XLOOKUP(S52:AL52,增益!$A:$A,增益!$O:$O,0)))/100)</f>
        <v>0</v>
      </c>
      <c r="BN52" s="29" cm="1">
        <f t="array" ref="BN52">$G$14+VLOOKUP($R52,武学奇术!$A:$ZZ,16,FALSE)+SUM(_xlfn.XLOOKUP(S52:AL52,增益!$A:$A,增益!$P:$P,0))</f>
        <v>0.17</v>
      </c>
      <c r="BO52" s="23">
        <f>MIN(IF(VLOOKUP($R52,武学奇术!$A:$ZZ,23,FALSE)=1,100%,$B$8),100%)</f>
        <v>0.9943</v>
      </c>
      <c r="BP52" s="23" cm="1">
        <f t="array" ref="BP52">IF(VLOOKUP($R52,武学奇术!$A:$ZZ,23,FALSE)=1,100%,MIN(80%,$B$9+VLOOKUP($R52,武学奇术!$A:$ZZ,17,FALSE)+SUM(_xlfn.XLOOKUP(S52:AL52,增益!$A:$A,增益!$Q:$Q,0)))+$B$11+SUM(_xlfn.XLOOKUP(S52:AL52,增益!$A:$A,增益!$U:$U,0)))*IF(VLOOKUP($R52,武学奇术!$A:$ZZ,24,FALSE)=1,0,1)</f>
        <v>0.8</v>
      </c>
      <c r="BQ52" s="23" cm="1">
        <f t="array" ref="BQ52">1+$B$13+VLOOKUP($R52,武学奇术!$A:$ZZ,18,FALSE)+SUM(_xlfn.XLOOKUP(S52:AL52,增益!$A:$A,增益!$R:$R,0))</f>
        <v>1.874</v>
      </c>
      <c r="BR52" s="23" cm="1">
        <f t="array" ref="BR52">IF(VLOOKUP($R52,武学奇术!$A:$ZZ,24,FALSE)=1,100%,MIN(40%,$B$10+VLOOKUP($R52,武学奇术!$A:$ZZ,19,FALSE)+SUM(_xlfn.XLOOKUP(S52:AL52,增益!$A:$A,增益!$S:$S,0)))+$B$12+SUM(_xlfn.XLOOKUP(S52:AL52,增益!$A:$A,增益!$V:$V,0)))*IF(VLOOKUP($R52,武学奇术!$A:$ZZ,23,FALSE)=1,0,1)</f>
        <v>0.0913</v>
      </c>
      <c r="BS52" s="23" cm="1">
        <f t="array" ref="BS52">1+$B$14+VLOOKUP($R52,武学奇术!$A:$ZZ,20,FALSE)+SUM(_xlfn.XLOOKUP(S52:AL52,增益!$A:$A,增益!$T:$T,0))</f>
        <v>1.35</v>
      </c>
      <c r="BT52" s="23">
        <f t="shared" si="20"/>
        <v>0.79544</v>
      </c>
      <c r="BU52" s="23">
        <f t="shared" si="21"/>
        <v>0.10808041</v>
      </c>
      <c r="BV52" s="23">
        <f>IF(VLOOKUP($R52,武学奇术!$A:$ZZ,22,FALSE)=1,0,(1-$BO52))*(1-$BR52)</f>
        <v>0.00517958999999993</v>
      </c>
      <c r="BW52" s="23" cm="1">
        <f t="array" ref="BW52">SUM(_xlfn.XLOOKUP(S52:AL52,增益!$A:$A,增益!$W:$W,0))+$I$5</f>
        <v>0.11</v>
      </c>
      <c r="BX52" s="23">
        <f>VLOOKUP($R52,武学奇术!$A:$ZZ,32,FALSE)</f>
        <v>0</v>
      </c>
      <c r="BY52" s="23" cm="1">
        <f t="array" ref="BY52">SUM(_xlfn.XLOOKUP($S52:$AL52,增益!$A:$A,增益!$X:$X,0))</f>
        <v>0</v>
      </c>
    </row>
    <row r="53" spans="1:77">
      <c r="A53" s="93">
        <v>12345</v>
      </c>
      <c r="B53" s="4">
        <v>3.3</v>
      </c>
      <c r="C53" s="36"/>
      <c r="D53" s="36"/>
      <c r="E53" s="36" t="s">
        <v>171</v>
      </c>
      <c r="K53" s="35">
        <f>$L53*VLOOKUP($R53,武学奇术!$A:$ZZ,31,FALSE)</f>
        <v>77512.676796448</v>
      </c>
      <c r="L53" s="69">
        <f t="shared" si="11"/>
        <v>75992.8203886745</v>
      </c>
      <c r="M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轻击",$B$21,0))*(1+IF(VLOOKUP($R53,武学奇术!$A:$ZZ,30,FALSE)="老鼠",$B$22,0))*(1+$BW53)*(1+$BX53)</f>
        <v>81675.8063359372</v>
      </c>
      <c r="N53" s="35">
        <f>(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轻击",$B$21,0))*(1+IF(VLOOKUP($R53,武学奇术!$A:$ZZ,30,FALSE)="老鼠",$B$22,0))*(1+$BW53))*(1+$BX53)</f>
        <v>66712.4765926162</v>
      </c>
      <c r="O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轻击",$B$21,0))*(1+IF(VLOOKUP($R53,武学奇术!$A:$ZZ,30,FALSE)="老鼠",$B$22,0))*(1+$BW53)*(1+$BX53)</f>
        <v>43817.4926694942</v>
      </c>
      <c r="P53" s="35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轻击",$B$21,0))*(1+IF(VLOOKUP($R53,武学奇术!$A:$ZZ,30,FALSE)="老鼠",$B$22,0))*(1+$BW53)*(1+$BX53)</f>
        <v>38218.3360111245</v>
      </c>
      <c r="Q53" s="70">
        <v>3</v>
      </c>
      <c r="R53" s="37" t="s">
        <v>106</v>
      </c>
      <c r="S53" s="37" t="s">
        <v>91</v>
      </c>
      <c r="T53" s="37" t="s">
        <v>180</v>
      </c>
      <c r="U53" s="37" t="s">
        <v>112</v>
      </c>
      <c r="V53" s="37" t="s">
        <v>113</v>
      </c>
      <c r="W53" s="37" t="s">
        <v>82</v>
      </c>
      <c r="X53" s="37" t="s">
        <v>81</v>
      </c>
      <c r="Y53" s="37" t="s">
        <v>109</v>
      </c>
      <c r="Z53" s="37" t="s">
        <v>81</v>
      </c>
      <c r="AA53" s="37" t="s">
        <v>81</v>
      </c>
      <c r="AB53" s="37" t="s">
        <v>81</v>
      </c>
      <c r="AC53" s="37" t="s">
        <v>81</v>
      </c>
      <c r="AD53" s="37" t="s">
        <v>85</v>
      </c>
      <c r="AE53" s="37" t="s">
        <v>86</v>
      </c>
      <c r="AF53" s="37" t="s">
        <v>81</v>
      </c>
      <c r="AG53" s="37" t="s">
        <v>87</v>
      </c>
      <c r="AH53" s="37" t="s">
        <v>88</v>
      </c>
      <c r="AI53" s="37" t="s">
        <v>81</v>
      </c>
      <c r="AJ53" s="37" t="s">
        <v>81</v>
      </c>
      <c r="AK53" s="37" t="s">
        <v>81</v>
      </c>
      <c r="AL53" s="37" t="s">
        <v>81</v>
      </c>
      <c r="AM53" t="str">
        <f>VLOOKUP($R53,武学奇术!$A:$ZZ,25,FALSE)</f>
        <v>绳镖</v>
      </c>
      <c r="AN53" s="23">
        <f>VLOOKUP($R53,武学奇术!$A:$ZZ,26,FALSE)</f>
        <v>0.3675</v>
      </c>
      <c r="AO53" s="24">
        <f>VLOOKUP($R53,武学奇术!$A:$ZZ,27,FALSE)*(1+IF(OR($AM53=$F$4,$AM53=$F$5),$B$23,0))</f>
        <v>0</v>
      </c>
      <c r="AP53" s="23">
        <f>VLOOKUP($R53,武学奇术!$A:$ZZ,28,FALSE)</f>
        <v>0.55125</v>
      </c>
      <c r="AQ53" s="24">
        <f>VLOOKUP($R53,武学奇术!$A:$ZZ,29,FALSE)*(1+IF(OR($AM53=$F$4,$AM53=$F$5),$B$23,0))</f>
        <v>0</v>
      </c>
      <c r="AR53" s="23" cm="1">
        <f t="array" ref="AR53">$G$3+IFERROR(VLOOKUP($AM53,$F$4:$G$7,2,FALSE),0)+VLOOKUP($R53,武学奇术!$A:$ZZ,2,FALSE)+SUM(_xlfn.XLOOKUP($S53:$AL53,增益!$A:$A,增益!$B:$B,0))</f>
        <v>1.5743</v>
      </c>
      <c r="AS53" s="23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4150.4</v>
      </c>
      <c r="AU53" cm="1">
        <f t="array" ref="AU53">$E$10*(1+$AS53)+VLOOKUP($R53,武学奇术!$A:$ZZ,4,FALSE)+SUM(_xlfn.XLOOKUP($S53:$AL53,增益!$A:$A,增益!$D:$D,0))-$I$2</f>
        <v>4150.4</v>
      </c>
      <c r="AV53" s="29" cm="1">
        <f t="array" ref="AV53">IF($F$10-$I$3+VLOOKUP($R53,武学奇术!$A:$ZZ,6,FALSE)+SUM(_xlfn.XLOOKUP(S53:AL53,增益!$A:$A,增益!$F:$F,0))&gt;0,($F$10-$I$3+VLOOKUP($R53,武学奇术!$A:$ZZ,6,FALSE)+SUM(_xlfn.XLOOKUP(S53:AL53,增益!$A:$A,增益!$F:$F,0)))/200,($F$10-$I$3+VLOOKUP($R53,武学奇术!$A:$ZZ,6,FALSE)+SUM(_xlfn.XLOOKUP(S53:AL53,增益!$A:$A,增益!$F:$F,0)))/100)</f>
        <v>0.4539</v>
      </c>
      <c r="AW53" s="29" cm="1">
        <f t="array" ref="AW53">$G$10+VLOOKUP($R53,武学奇术!$A:$ZZ,7,FALSE)+SUM(_xlfn.XLOOKUP(S53:AL53,增益!$A:$A,增益!$G:$G,0))</f>
        <v>0.29</v>
      </c>
      <c r="AX53" s="23" cm="1">
        <f t="array" ref="AX53">VLOOKUP($R53,武学奇术!$A:$ZZ,8,FALSE)+SUM(_xlfn.XLOOKUP(S53:AL53,增益!$A:$A,增益!$H:$H,0))</f>
        <v>0</v>
      </c>
      <c r="AY53">
        <f t="shared" si="12"/>
        <v>0</v>
      </c>
      <c r="AZ53">
        <f t="shared" si="13"/>
        <v>0</v>
      </c>
      <c r="BA53" s="29" cm="1">
        <f t="array" ref="BA53">IF($F$11-$I$4+VLOOKUP($R53,武学奇术!$A:$ZZ,9,FALSE)+SUM(_xlfn.XLOOKUP(S53:AL53,增益!$A:$A,增益!$I:$I,0))&gt;0,($F$11-$I$4+VLOOKUP($R53,武学奇术!$A:$ZZ,9,FALSE)+SUM(_xlfn.XLOOKUP(S53:AL53,增益!$A:$A,增益!$I:$I,0)))/200,($F$11-$I$4+VLOOKUP($R53,武学奇术!$A:$ZZ,9,FALSE)+SUM(_xlfn.XLOOKUP(S53:AL53,增益!$A:$A,增益!$I:$I,0)))/100)</f>
        <v>-0.3</v>
      </c>
      <c r="BB53" s="29" cm="1">
        <f t="array" ref="BB53">$G$11+VLOOKUP($R53,武学奇术!$A:$ZZ,10,FALSE)+SUM(_xlfn.XLOOKUP(S53:AL53,增益!$A:$A,增益!$J:$J,0))</f>
        <v>0.02</v>
      </c>
      <c r="BC53">
        <f t="shared" si="14"/>
        <v>0</v>
      </c>
      <c r="BD53">
        <f t="shared" si="15"/>
        <v>0</v>
      </c>
      <c r="BE53" s="29" cm="1">
        <f t="array" ref="BE53">IF($F$12-$I$4+VLOOKUP($R53,武学奇术!$A:$ZZ,11,FALSE)+SUM(_xlfn.XLOOKUP(S53:AL53,增益!$A:$A,增益!$K:$K,0))&gt;0,($F$12-$I$4+VLOOKUP($R53,武学奇术!$A:$ZZ,11,FALSE)+SUM(_xlfn.XLOOKUP(S53:AL53,增益!$A:$A,增益!$K:$K,0)))/200,($F$12-$I$4+VLOOKUP($R53,武学奇术!$A:$ZZ,11,FALSE)+SUM(_xlfn.XLOOKUP(S53:AL53,增益!$A:$A,增益!$K:$K,0)))/100)</f>
        <v>-0.3</v>
      </c>
      <c r="BF53" s="29" cm="1">
        <f t="array" ref="BF53">$G$12+VLOOKUP($R53,武学奇术!$A:$ZZ,12,FALSE)+SUM(_xlfn.XLOOKUP(S53:AL53,增益!$A:$A,增益!$L:$L,0))</f>
        <v>0.02</v>
      </c>
      <c r="BG53">
        <f t="shared" si="16"/>
        <v>0</v>
      </c>
      <c r="BH53">
        <f t="shared" si="17"/>
        <v>0</v>
      </c>
      <c r="BI53" s="29" cm="1">
        <f t="array" ref="BI53">IF($F$13-$I$4+VLOOKUP($R53,武学奇术!$A:$ZZ,13,FALSE)+SUM(_xlfn.XLOOKUP(S53:AL53,增益!$A:$A,增益!$M:$M,0))&gt;0,($F$13-$I$4+VLOOKUP($R53,武学奇术!$A:$ZZ,13,FALSE)+SUM(_xlfn.XLOOKUP(S53:AL53,增益!$A:$A,增益!$K:$K,0)))/200,($F$13-$I$4+VLOOKUP($R53,武学奇术!$A:$ZZ,13,FALSE)+SUM(_xlfn.XLOOKUP(S53:AL53,增益!$A:$A,增益!$M:$M,0)))/100)</f>
        <v>-0.3</v>
      </c>
      <c r="BJ53" s="29" cm="1">
        <f t="array" ref="BJ53">$G$13+VLOOKUP($R53,武学奇术!$A:$ZZ,14,FALSE)+SUM(_xlfn.XLOOKUP(S53:AL53,增益!$A:$A,增益!$N:$N,0))</f>
        <v>0.02</v>
      </c>
      <c r="BK53">
        <f t="shared" si="18"/>
        <v>618.2</v>
      </c>
      <c r="BL53">
        <f t="shared" si="19"/>
        <v>1805</v>
      </c>
      <c r="BM53" s="29" cm="1">
        <f t="array" ref="BM53">IF($F$14-$I$4+VLOOKUP($R53,武学奇术!$A:$ZZ,15,FALSE)+SUM(_xlfn.XLOOKUP(S53:AL53,增益!$A:$A,增益!$O:$O,0))&gt;0,($F$14-$I$4+VLOOKUP($R53,武学奇术!$A:$ZZ,15,FALSE)+SUM(_xlfn.XLOOKUP(S53:AL53,增益!$A:$A,增益!$O:$O,0)))/200,($F$14-$I$4+VLOOKUP($R53,武学奇术!$A:$ZZ,15,FALSE)+SUM(_xlfn.XLOOKUP(S53:AL53,增益!$A:$A,增益!$O:$O,0)))/100)</f>
        <v>0.05</v>
      </c>
      <c r="BN53" s="29" cm="1">
        <f t="array" ref="BN53">$G$14+VLOOKUP($R53,武学奇术!$A:$ZZ,16,FALSE)+SUM(_xlfn.XLOOKUP(S53:AL53,增益!$A:$A,增益!$P:$P,0))</f>
        <v>0.44</v>
      </c>
      <c r="BO53" s="23">
        <f>MIN(IF(VLOOKUP($R53,武学奇术!$A:$ZZ,23,FALSE)=1,100%,$B$8),100%)</f>
        <v>0.9943</v>
      </c>
      <c r="BP53" s="23" cm="1">
        <f t="array" ref="BP53">IF(VLOOKUP($R53,武学奇术!$A:$ZZ,23,FALSE)=1,100%,MIN(80%,$B$9+VLOOKUP($R53,武学奇术!$A:$ZZ,17,FALSE)+SUM(_xlfn.XLOOKUP(S53:AL53,增益!$A:$A,增益!$Q:$Q,0)))+$B$11+SUM(_xlfn.XLOOKUP(S53:AL53,增益!$A:$A,增益!$U:$U,0)))*IF(VLOOKUP($R53,武学奇术!$A:$ZZ,24,FALSE)=1,0,1)</f>
        <v>0.8</v>
      </c>
      <c r="BQ53" s="23" cm="1">
        <f t="array" ref="BQ53">1+$B$13+VLOOKUP($R53,武学奇术!$A:$ZZ,18,FALSE)+SUM(_xlfn.XLOOKUP(S53:AL53,增益!$A:$A,增益!$R:$R,0))</f>
        <v>1.864</v>
      </c>
      <c r="BR53" s="23" cm="1">
        <f t="array" ref="BR53">IF(VLOOKUP($R53,武学奇术!$A:$ZZ,24,FALSE)=1,100%,MIN(40%,$B$10+VLOOKUP($R53,武学奇术!$A:$ZZ,19,FALSE)+SUM(_xlfn.XLOOKUP(S53:AL53,增益!$A:$A,增益!$S:$S,0)))+$B$12+SUM(_xlfn.XLOOKUP(S53:AL53,增益!$A:$A,增益!$V:$V,0)))*IF(VLOOKUP($R53,武学奇术!$A:$ZZ,23,FALSE)=1,0,1)</f>
        <v>0.0913</v>
      </c>
      <c r="BS53" s="23" cm="1">
        <f t="array" ref="BS53">1+$B$14+VLOOKUP($R53,武学奇术!$A:$ZZ,20,FALSE)+SUM(_xlfn.XLOOKUP(S53:AL53,增益!$A:$A,增益!$T:$T,0))</f>
        <v>1.35</v>
      </c>
      <c r="BT53" s="23">
        <f t="shared" si="20"/>
        <v>0.79544</v>
      </c>
      <c r="BU53" s="23">
        <f t="shared" si="21"/>
        <v>0.10808041</v>
      </c>
      <c r="BV53" s="23">
        <f>IF(VLOOKUP($R53,武学奇术!$A:$ZZ,22,FALSE)=1,0,(1-$BO53))*(1-$BR53)</f>
        <v>0.00517958999999993</v>
      </c>
      <c r="BW53" s="23" cm="1">
        <f t="array" ref="BW53">SUM(_xlfn.XLOOKUP(S53:AL53,增益!$A:$A,增益!$W:$W,0))+$I$5</f>
        <v>0.11</v>
      </c>
      <c r="BX53" s="23">
        <f>VLOOKUP($R53,武学奇术!$A:$ZZ,32,FALSE)</f>
        <v>0</v>
      </c>
      <c r="BY53" s="23" cm="1">
        <f t="array" ref="BY53">SUM(_xlfn.XLOOKUP($S53:$AL53,增益!$A:$A,增益!$X:$X,0))</f>
        <v>0</v>
      </c>
    </row>
    <row r="54" spans="1:77">
      <c r="A54" s="93" t="s">
        <v>174</v>
      </c>
      <c r="B54" s="4">
        <v>0.6</v>
      </c>
      <c r="C54" s="36"/>
      <c r="D54" s="36"/>
      <c r="E54" s="36"/>
      <c r="K54" s="35">
        <f>$L54*VLOOKUP($R54,武学奇术!$A:$ZZ,31,FALSE)</f>
        <v>36420.9926883676</v>
      </c>
      <c r="L54" s="58">
        <f t="shared" si="11"/>
        <v>32518.7434717568</v>
      </c>
      <c r="M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轻击",$B$21,0))*(1+IF(VLOOKUP($R54,武学奇术!$A:$ZZ,30,FALSE)="老鼠",$B$22,0))*(1+$BW54)*(1+$BX54)</f>
        <v>34189.8120453522</v>
      </c>
      <c r="N54" s="35">
        <f>(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轻击",$B$21,0))*(1+IF(VLOOKUP($R54,武学奇术!$A:$ZZ,30,FALSE)="老鼠",$B$22,0))*(1+$BW54))*(1+$BX54)</f>
        <v>21761.9037665948</v>
      </c>
      <c r="O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轻击",$B$21,0))*(1+IF(VLOOKUP($R54,武学奇术!$A:$ZZ,30,FALSE)="老鼠",$B$22,0))*(1+$BW54)*(1+$BX54)</f>
        <v>14462.6954506566</v>
      </c>
      <c r="P54" s="35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轻击",$B$21,0))*(1+IF(VLOOKUP($R54,武学奇术!$A:$ZZ,30,FALSE)="老鼠",$B$22,0))*(1+$BW54)*(1+$BX54)</f>
        <v>12805.462185317</v>
      </c>
      <c r="Q54" s="36">
        <v>1</v>
      </c>
      <c r="R54" s="37" t="s">
        <v>139</v>
      </c>
      <c r="S54" s="37" t="s">
        <v>91</v>
      </c>
      <c r="T54" s="37" t="s">
        <v>180</v>
      </c>
      <c r="U54" s="37" t="s">
        <v>112</v>
      </c>
      <c r="V54" s="37" t="s">
        <v>113</v>
      </c>
      <c r="W54" s="37" t="s">
        <v>82</v>
      </c>
      <c r="X54" s="37" t="s">
        <v>81</v>
      </c>
      <c r="Y54" s="37" t="s">
        <v>109</v>
      </c>
      <c r="Z54" s="37" t="s">
        <v>83</v>
      </c>
      <c r="AA54" s="37" t="s">
        <v>81</v>
      </c>
      <c r="AB54" s="37" t="s">
        <v>81</v>
      </c>
      <c r="AC54" s="37" t="s">
        <v>81</v>
      </c>
      <c r="AD54" s="37" t="s">
        <v>85</v>
      </c>
      <c r="AE54" s="37" t="s">
        <v>86</v>
      </c>
      <c r="AF54" s="37" t="s">
        <v>181</v>
      </c>
      <c r="AG54" s="37" t="s">
        <v>87</v>
      </c>
      <c r="AH54" s="37" t="s">
        <v>88</v>
      </c>
      <c r="AI54" s="37" t="s">
        <v>81</v>
      </c>
      <c r="AJ54" s="37" t="s">
        <v>81</v>
      </c>
      <c r="AK54" s="37" t="s">
        <v>81</v>
      </c>
      <c r="AL54" s="37" t="s">
        <v>81</v>
      </c>
      <c r="AM54" t="str">
        <f>VLOOKUP($R54,武学奇术!$A:$ZZ,25,FALSE)</f>
        <v>双刀</v>
      </c>
      <c r="AN54" s="23">
        <f>VLOOKUP($R54,武学奇术!$A:$ZZ,26,FALSE)</f>
        <v>0.6472</v>
      </c>
      <c r="AO54" s="24">
        <f>VLOOKUP($R54,武学奇术!$A:$ZZ,27,FALSE)*(1+IF(OR($AM54=$F$4,$AM54=$F$5),$B$23,0))</f>
        <v>288</v>
      </c>
      <c r="AP54" s="23">
        <f>VLOOKUP($R54,武学奇术!$A:$ZZ,28,FALSE)</f>
        <v>0.9708</v>
      </c>
      <c r="AQ54" s="24">
        <f>VLOOKUP($R54,武学奇术!$A:$ZZ,29,FALSE)*(1+IF(OR($AM54=$F$4,$AM54=$F$5),$B$23,0))</f>
        <v>156.8</v>
      </c>
      <c r="AR54" s="23" cm="1">
        <f t="array" ref="AR54">$G$3+IFERROR(VLOOKUP($AM54,$F$4:$G$7,2,FALSE),0)+VLOOKUP($R54,武学奇术!$A:$ZZ,2,FALSE)+SUM(_xlfn.XLOOKUP($S54:$AL54,增益!$A:$A,增益!$B:$B,0))</f>
        <v>0.8243</v>
      </c>
      <c r="AS54" s="23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4150.4</v>
      </c>
      <c r="AU54" cm="1">
        <f t="array" ref="AU54">$E$10*(1+$AS54)+VLOOKUP($R54,武学奇术!$A:$ZZ,4,FALSE)+SUM(_xlfn.XLOOKUP($S54:$AL54,增益!$A:$A,增益!$D:$D,0))-$I$2</f>
        <v>4150.4</v>
      </c>
      <c r="AV54" s="29" cm="1">
        <f t="array" ref="AV54">IF($F$10-$I$3+VLOOKUP($R54,武学奇术!$A:$ZZ,6,FALSE)+SUM(_xlfn.XLOOKUP(S54:AL54,增益!$A:$A,增益!$F:$F,0))&gt;0,($F$10-$I$3+VLOOKUP($R54,武学奇术!$A:$ZZ,6,FALSE)+SUM(_xlfn.XLOOKUP(S54:AL54,增益!$A:$A,增益!$F:$F,0)))/200,($F$10-$I$3+VLOOKUP($R54,武学奇术!$A:$ZZ,6,FALSE)+SUM(_xlfn.XLOOKUP(S54:AL54,增益!$A:$A,增益!$F:$F,0)))/100)</f>
        <v>0.4539</v>
      </c>
      <c r="AW54" s="29" cm="1">
        <f t="array" ref="AW54">$G$10+VLOOKUP($R54,武学奇术!$A:$ZZ,7,FALSE)+SUM(_xlfn.XLOOKUP(S54:AL54,增益!$A:$A,增益!$G:$G,0))</f>
        <v>0.08</v>
      </c>
      <c r="AX54" s="23" cm="1">
        <f t="array" ref="AX54">VLOOKUP($R54,武学奇术!$A:$ZZ,8,FALSE)+SUM(_xlfn.XLOOKUP(S54:AL54,增益!$A:$A,增益!$H:$H,0))</f>
        <v>0</v>
      </c>
      <c r="AY54">
        <f t="shared" si="12"/>
        <v>0</v>
      </c>
      <c r="AZ54">
        <f t="shared" si="13"/>
        <v>0</v>
      </c>
      <c r="BA54" s="29" cm="1">
        <f t="array" ref="BA54">IF($F$11-$I$4+VLOOKUP($R54,武学奇术!$A:$ZZ,9,FALSE)+SUM(_xlfn.XLOOKUP(S54:AL54,增益!$A:$A,增益!$I:$I,0))&gt;0,($F$11-$I$4+VLOOKUP($R54,武学奇术!$A:$ZZ,9,FALSE)+SUM(_xlfn.XLOOKUP(S54:AL54,增益!$A:$A,增益!$I:$I,0)))/200,($F$11-$I$4+VLOOKUP($R54,武学奇术!$A:$ZZ,9,FALSE)+SUM(_xlfn.XLOOKUP(S54:AL54,增益!$A:$A,增益!$I:$I,0)))/100)</f>
        <v>-0.3</v>
      </c>
      <c r="BB54" s="29" cm="1">
        <f t="array" ref="BB54">$G$11+VLOOKUP($R54,武学奇术!$A:$ZZ,10,FALSE)+SUM(_xlfn.XLOOKUP(S54:AL54,增益!$A:$A,增益!$J:$J,0))</f>
        <v>0.02</v>
      </c>
      <c r="BC54">
        <f t="shared" si="14"/>
        <v>0</v>
      </c>
      <c r="BD54">
        <f t="shared" si="15"/>
        <v>0</v>
      </c>
      <c r="BE54" s="29" cm="1">
        <f t="array" ref="BE54">IF($F$12-$I$4+VLOOKUP($R54,武学奇术!$A:$ZZ,11,FALSE)+SUM(_xlfn.XLOOKUP(S54:AL54,增益!$A:$A,增益!$K:$K,0))&gt;0,($F$12-$I$4+VLOOKUP($R54,武学奇术!$A:$ZZ,11,FALSE)+SUM(_xlfn.XLOOKUP(S54:AL54,增益!$A:$A,增益!$K:$K,0)))/200,($F$12-$I$4+VLOOKUP($R54,武学奇术!$A:$ZZ,11,FALSE)+SUM(_xlfn.XLOOKUP(S54:AL54,增益!$A:$A,增益!$K:$K,0)))/100)</f>
        <v>-0.3</v>
      </c>
      <c r="BF54" s="29" cm="1">
        <f t="array" ref="BF54">$G$12+VLOOKUP($R54,武学奇术!$A:$ZZ,12,FALSE)+SUM(_xlfn.XLOOKUP(S54:AL54,增益!$A:$A,增益!$L:$L,0))</f>
        <v>0.02</v>
      </c>
      <c r="BG54">
        <f t="shared" si="16"/>
        <v>0</v>
      </c>
      <c r="BH54">
        <f t="shared" si="17"/>
        <v>0</v>
      </c>
      <c r="BI54" s="29" cm="1">
        <f t="array" ref="BI54">IF($F$13-$I$4+VLOOKUP($R54,武学奇术!$A:$ZZ,13,FALSE)+SUM(_xlfn.XLOOKUP(S54:AL54,增益!$A:$A,增益!$M:$M,0))&gt;0,($F$13-$I$4+VLOOKUP($R54,武学奇术!$A:$ZZ,13,FALSE)+SUM(_xlfn.XLOOKUP(S54:AL54,增益!$A:$A,增益!$K:$K,0)))/200,($F$13-$I$4+VLOOKUP($R54,武学奇术!$A:$ZZ,13,FALSE)+SUM(_xlfn.XLOOKUP(S54:AL54,增益!$A:$A,增益!$M:$M,0)))/100)</f>
        <v>-0.3</v>
      </c>
      <c r="BJ54" s="29" cm="1">
        <f t="array" ref="BJ54">$G$13+VLOOKUP($R54,武学奇术!$A:$ZZ,14,FALSE)+SUM(_xlfn.XLOOKUP(S54:AL54,增益!$A:$A,增益!$N:$N,0))</f>
        <v>0.02</v>
      </c>
      <c r="BK54">
        <f t="shared" si="18"/>
        <v>618.2</v>
      </c>
      <c r="BL54">
        <f t="shared" si="19"/>
        <v>1805</v>
      </c>
      <c r="BM54" s="29" cm="1">
        <f t="array" ref="BM54">IF($F$14-$I$4+VLOOKUP($R54,武学奇术!$A:$ZZ,15,FALSE)+SUM(_xlfn.XLOOKUP(S54:AL54,增益!$A:$A,增益!$O:$O,0))&gt;0,($F$14-$I$4+VLOOKUP($R54,武学奇术!$A:$ZZ,15,FALSE)+SUM(_xlfn.XLOOKUP(S54:AL54,增益!$A:$A,增益!$O:$O,0)))/200,($F$14-$I$4+VLOOKUP($R54,武学奇术!$A:$ZZ,15,FALSE)+SUM(_xlfn.XLOOKUP(S54:AL54,增益!$A:$A,增益!$O:$O,0)))/100)</f>
        <v>0.05</v>
      </c>
      <c r="BN54" s="29" cm="1">
        <f t="array" ref="BN54">$G$14+VLOOKUP($R54,武学奇术!$A:$ZZ,16,FALSE)+SUM(_xlfn.XLOOKUP(S54:AL54,增益!$A:$A,增益!$P:$P,0))</f>
        <v>0.23</v>
      </c>
      <c r="BO54" s="23">
        <f>MIN(IF(VLOOKUP($R54,武学奇术!$A:$ZZ,23,FALSE)=1,100%,$B$8),100%)</f>
        <v>0.9943</v>
      </c>
      <c r="BP54" s="23" cm="1">
        <f t="array" ref="BP54">IF(VLOOKUP($R54,武学奇术!$A:$ZZ,23,FALSE)=1,100%,MIN(80%,$B$9+VLOOKUP($R54,武学奇术!$A:$ZZ,17,FALSE)+SUM(_xlfn.XLOOKUP(S54:AL54,增益!$A:$A,增益!$Q:$Q,0)))+$B$11+SUM(_xlfn.XLOOKUP(S54:AL54,增益!$A:$A,增益!$U:$U,0)))*IF(VLOOKUP($R54,武学奇术!$A:$ZZ,24,FALSE)=1,0,1)</f>
        <v>0.887</v>
      </c>
      <c r="BQ54" s="23" cm="1">
        <f t="array" ref="BQ54">1+$B$13+VLOOKUP($R54,武学奇术!$A:$ZZ,18,FALSE)+SUM(_xlfn.XLOOKUP(S54:AL54,增益!$A:$A,增益!$R:$R,0))</f>
        <v>2.364</v>
      </c>
      <c r="BR54" s="23" cm="1">
        <f t="array" ref="BR54">IF(VLOOKUP($R54,武学奇术!$A:$ZZ,24,FALSE)=1,100%,MIN(40%,$B$10+VLOOKUP($R54,武学奇术!$A:$ZZ,19,FALSE)+SUM(_xlfn.XLOOKUP(S54:AL54,增益!$A:$A,增益!$S:$S,0)))+$B$12+SUM(_xlfn.XLOOKUP(S54:AL54,增益!$A:$A,增益!$V:$V,0)))*IF(VLOOKUP($R54,武学奇术!$A:$ZZ,23,FALSE)=1,0,1)</f>
        <v>0.0913</v>
      </c>
      <c r="BS54" s="23" cm="1">
        <f t="array" ref="BS54">1+$B$14+VLOOKUP($R54,武学奇术!$A:$ZZ,20,FALSE)+SUM(_xlfn.XLOOKUP(S54:AL54,增益!$A:$A,增益!$T:$T,0))</f>
        <v>1.35</v>
      </c>
      <c r="BT54" s="23">
        <f t="shared" si="20"/>
        <v>0.8819441</v>
      </c>
      <c r="BU54" s="23">
        <f t="shared" si="21"/>
        <v>0.0215763099999999</v>
      </c>
      <c r="BV54" s="23">
        <f>IF(VLOOKUP($R54,武学奇术!$A:$ZZ,22,FALSE)=1,0,(1-$BO54))*(1-$BR54)</f>
        <v>0.00517958999999993</v>
      </c>
      <c r="BW54" s="23" cm="1">
        <f t="array" ref="BW54">SUM(_xlfn.XLOOKUP(S54:AL54,增益!$A:$A,增益!$W:$W,0))+$I$5</f>
        <v>0.11</v>
      </c>
      <c r="BX54" s="23">
        <f>VLOOKUP($R54,武学奇术!$A:$ZZ,32,FALSE)</f>
        <v>0.1</v>
      </c>
      <c r="BY54" s="23" cm="1">
        <f t="array" ref="BY54">SUM(_xlfn.XLOOKUP($S54:$AL54,增益!$A:$A,增益!$X:$X,0))</f>
        <v>0</v>
      </c>
    </row>
    <row r="55" spans="1:77">
      <c r="A55" s="93">
        <v>123</v>
      </c>
      <c r="B55" s="4">
        <v>1.8</v>
      </c>
      <c r="C55" s="36"/>
      <c r="D55" s="36"/>
      <c r="E55" s="36"/>
      <c r="K55" s="35">
        <f>$L55*VLOOKUP($R55,武学奇术!$A:$ZZ,31,FALSE)</f>
        <v>100955.984201593</v>
      </c>
      <c r="L55" s="69">
        <f t="shared" si="11"/>
        <v>98976.4550996012</v>
      </c>
      <c r="M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轻击",$B$21,0))*(1+IF(VLOOKUP($R55,武学奇术!$A:$ZZ,30,FALSE)="老鼠",$B$22,0))*(1+$BW55)*(1+$BX55)</f>
        <v>104022.727597379</v>
      </c>
      <c r="N55" s="35">
        <f>(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轻击",$B$21,0))*(1+IF(VLOOKUP($R55,武学奇术!$A:$ZZ,30,FALSE)="老鼠",$B$22,0))*(1+$BW55))*(1+$BX55)</f>
        <v>66712.4765926162</v>
      </c>
      <c r="O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轻击",$B$21,0))*(1+IF(VLOOKUP($R55,武学奇术!$A:$ZZ,30,FALSE)="老鼠",$B$22,0))*(1+$BW55)*(1+$BX55)</f>
        <v>43817.4926694942</v>
      </c>
      <c r="P55" s="35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轻击",$B$21,0))*(1+IF(VLOOKUP($R55,武学奇术!$A:$ZZ,30,FALSE)="老鼠",$B$22,0))*(1+$BW55)*(1+$BX55)</f>
        <v>38218.3360111245</v>
      </c>
      <c r="Q55" s="70">
        <v>3</v>
      </c>
      <c r="R55" s="37" t="s">
        <v>106</v>
      </c>
      <c r="S55" s="37" t="s">
        <v>91</v>
      </c>
      <c r="T55" s="37" t="s">
        <v>182</v>
      </c>
      <c r="U55" s="37" t="s">
        <v>112</v>
      </c>
      <c r="V55" s="37" t="s">
        <v>113</v>
      </c>
      <c r="W55" s="37" t="s">
        <v>82</v>
      </c>
      <c r="X55" s="37" t="s">
        <v>81</v>
      </c>
      <c r="Y55" s="37" t="s">
        <v>109</v>
      </c>
      <c r="Z55" s="37" t="s">
        <v>83</v>
      </c>
      <c r="AA55" s="37" t="s">
        <v>81</v>
      </c>
      <c r="AB55" s="37" t="s">
        <v>81</v>
      </c>
      <c r="AC55" s="37" t="s">
        <v>81</v>
      </c>
      <c r="AD55" s="37" t="s">
        <v>85</v>
      </c>
      <c r="AE55" s="37" t="s">
        <v>86</v>
      </c>
      <c r="AF55" s="37" t="s">
        <v>81</v>
      </c>
      <c r="AG55" s="37" t="s">
        <v>87</v>
      </c>
      <c r="AH55" s="37" t="s">
        <v>88</v>
      </c>
      <c r="AI55" s="37" t="s">
        <v>81</v>
      </c>
      <c r="AJ55" s="37" t="s">
        <v>81</v>
      </c>
      <c r="AK55" s="37" t="s">
        <v>81</v>
      </c>
      <c r="AL55" s="37" t="s">
        <v>81</v>
      </c>
      <c r="AM55" t="str">
        <f>VLOOKUP($R55,武学奇术!$A:$ZZ,25,FALSE)</f>
        <v>绳镖</v>
      </c>
      <c r="AN55" s="23">
        <f>VLOOKUP($R55,武学奇术!$A:$ZZ,26,FALSE)</f>
        <v>0.3675</v>
      </c>
      <c r="AO55" s="24">
        <f>VLOOKUP($R55,武学奇术!$A:$ZZ,27,FALSE)*(1+IF(OR($AM55=$F$4,$AM55=$F$5),$B$23,0))</f>
        <v>0</v>
      </c>
      <c r="AP55" s="23">
        <f>VLOOKUP($R55,武学奇术!$A:$ZZ,28,FALSE)</f>
        <v>0.55125</v>
      </c>
      <c r="AQ55" s="24">
        <f>VLOOKUP($R55,武学奇术!$A:$ZZ,29,FALSE)*(1+IF(OR($AM55=$F$4,$AM55=$F$5),$B$23,0))</f>
        <v>0</v>
      </c>
      <c r="AR55" s="23" cm="1">
        <f t="array" ref="AR55">$G$3+IFERROR(VLOOKUP($AM55,$F$4:$G$7,2,FALSE),0)+VLOOKUP($R55,武学奇术!$A:$ZZ,2,FALSE)+SUM(_xlfn.XLOOKUP($S55:$AL55,增益!$A:$A,增益!$B:$B,0))</f>
        <v>1.5743</v>
      </c>
      <c r="AS55" s="23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4150.4</v>
      </c>
      <c r="AU55" cm="1">
        <f t="array" ref="AU55">$E$10*(1+$AS55)+VLOOKUP($R55,武学奇术!$A:$ZZ,4,FALSE)+SUM(_xlfn.XLOOKUP($S55:$AL55,增益!$A:$A,增益!$D:$D,0))-$I$2</f>
        <v>4150.4</v>
      </c>
      <c r="AV55" s="29" cm="1">
        <f t="array" ref="AV55">IF($F$10-$I$3+VLOOKUP($R55,武学奇术!$A:$ZZ,6,FALSE)+SUM(_xlfn.XLOOKUP(S55:AL55,增益!$A:$A,增益!$F:$F,0))&gt;0,($F$10-$I$3+VLOOKUP($R55,武学奇术!$A:$ZZ,6,FALSE)+SUM(_xlfn.XLOOKUP(S55:AL55,增益!$A:$A,增益!$F:$F,0)))/200,($F$10-$I$3+VLOOKUP($R55,武学奇术!$A:$ZZ,6,FALSE)+SUM(_xlfn.XLOOKUP(S55:AL55,增益!$A:$A,增益!$F:$F,0)))/100)</f>
        <v>0.4539</v>
      </c>
      <c r="AW55" s="29" cm="1">
        <f t="array" ref="AW55">$G$10+VLOOKUP($R55,武学奇术!$A:$ZZ,7,FALSE)+SUM(_xlfn.XLOOKUP(S55:AL55,增益!$A:$A,增益!$G:$G,0))</f>
        <v>0.29</v>
      </c>
      <c r="AX55" s="23" cm="1">
        <f t="array" ref="AX55">VLOOKUP($R55,武学奇术!$A:$ZZ,8,FALSE)+SUM(_xlfn.XLOOKUP(S55:AL55,增益!$A:$A,增益!$H:$H,0))</f>
        <v>0</v>
      </c>
      <c r="AY55">
        <f t="shared" si="12"/>
        <v>0</v>
      </c>
      <c r="AZ55">
        <f t="shared" si="13"/>
        <v>0</v>
      </c>
      <c r="BA55" s="29" cm="1">
        <f t="array" ref="BA55">IF($F$11-$I$4+VLOOKUP($R55,武学奇术!$A:$ZZ,9,FALSE)+SUM(_xlfn.XLOOKUP(S55:AL55,增益!$A:$A,增益!$I:$I,0))&gt;0,($F$11-$I$4+VLOOKUP($R55,武学奇术!$A:$ZZ,9,FALSE)+SUM(_xlfn.XLOOKUP(S55:AL55,增益!$A:$A,增益!$I:$I,0)))/200,($F$11-$I$4+VLOOKUP($R55,武学奇术!$A:$ZZ,9,FALSE)+SUM(_xlfn.XLOOKUP(S55:AL55,增益!$A:$A,增益!$I:$I,0)))/100)</f>
        <v>-0.3</v>
      </c>
      <c r="BB55" s="29" cm="1">
        <f t="array" ref="BB55">$G$11+VLOOKUP($R55,武学奇术!$A:$ZZ,10,FALSE)+SUM(_xlfn.XLOOKUP(S55:AL55,增益!$A:$A,增益!$J:$J,0))</f>
        <v>0.02</v>
      </c>
      <c r="BC55">
        <f t="shared" si="14"/>
        <v>0</v>
      </c>
      <c r="BD55">
        <f t="shared" si="15"/>
        <v>0</v>
      </c>
      <c r="BE55" s="29" cm="1">
        <f t="array" ref="BE55">IF($F$12-$I$4+VLOOKUP($R55,武学奇术!$A:$ZZ,11,FALSE)+SUM(_xlfn.XLOOKUP(S55:AL55,增益!$A:$A,增益!$K:$K,0))&gt;0,($F$12-$I$4+VLOOKUP($R55,武学奇术!$A:$ZZ,11,FALSE)+SUM(_xlfn.XLOOKUP(S55:AL55,增益!$A:$A,增益!$K:$K,0)))/200,($F$12-$I$4+VLOOKUP($R55,武学奇术!$A:$ZZ,11,FALSE)+SUM(_xlfn.XLOOKUP(S55:AL55,增益!$A:$A,增益!$K:$K,0)))/100)</f>
        <v>-0.3</v>
      </c>
      <c r="BF55" s="29" cm="1">
        <f t="array" ref="BF55">$G$12+VLOOKUP($R55,武学奇术!$A:$ZZ,12,FALSE)+SUM(_xlfn.XLOOKUP(S55:AL55,增益!$A:$A,增益!$L:$L,0))</f>
        <v>0.02</v>
      </c>
      <c r="BG55">
        <f t="shared" si="16"/>
        <v>0</v>
      </c>
      <c r="BH55">
        <f t="shared" si="17"/>
        <v>0</v>
      </c>
      <c r="BI55" s="29" cm="1">
        <f t="array" ref="BI55">IF($F$13-$I$4+VLOOKUP($R55,武学奇术!$A:$ZZ,13,FALSE)+SUM(_xlfn.XLOOKUP(S55:AL55,增益!$A:$A,增益!$M:$M,0))&gt;0,($F$13-$I$4+VLOOKUP($R55,武学奇术!$A:$ZZ,13,FALSE)+SUM(_xlfn.XLOOKUP(S55:AL55,增益!$A:$A,增益!$K:$K,0)))/200,($F$13-$I$4+VLOOKUP($R55,武学奇术!$A:$ZZ,13,FALSE)+SUM(_xlfn.XLOOKUP(S55:AL55,增益!$A:$A,增益!$M:$M,0)))/100)</f>
        <v>-0.3</v>
      </c>
      <c r="BJ55" s="29" cm="1">
        <f t="array" ref="BJ55">$G$13+VLOOKUP($R55,武学奇术!$A:$ZZ,14,FALSE)+SUM(_xlfn.XLOOKUP(S55:AL55,增益!$A:$A,增益!$N:$N,0))</f>
        <v>0.02</v>
      </c>
      <c r="BK55">
        <f t="shared" si="18"/>
        <v>618.2</v>
      </c>
      <c r="BL55">
        <f t="shared" si="19"/>
        <v>1805</v>
      </c>
      <c r="BM55" s="29" cm="1">
        <f t="array" ref="BM55">IF($F$14-$I$4+VLOOKUP($R55,武学奇术!$A:$ZZ,15,FALSE)+SUM(_xlfn.XLOOKUP(S55:AL55,增益!$A:$A,增益!$O:$O,0))&gt;0,($F$14-$I$4+VLOOKUP($R55,武学奇术!$A:$ZZ,15,FALSE)+SUM(_xlfn.XLOOKUP(S55:AL55,增益!$A:$A,增益!$O:$O,0)))/200,($F$14-$I$4+VLOOKUP($R55,武学奇术!$A:$ZZ,15,FALSE)+SUM(_xlfn.XLOOKUP(S55:AL55,增益!$A:$A,增益!$O:$O,0)))/100)</f>
        <v>0.05</v>
      </c>
      <c r="BN55" s="29" cm="1">
        <f t="array" ref="BN55">$G$14+VLOOKUP($R55,武学奇术!$A:$ZZ,16,FALSE)+SUM(_xlfn.XLOOKUP(S55:AL55,增益!$A:$A,增益!$P:$P,0))</f>
        <v>0.44</v>
      </c>
      <c r="BO55" s="23">
        <f>MIN(IF(VLOOKUP($R55,武学奇术!$A:$ZZ,23,FALSE)=1,100%,$B$8),100%)</f>
        <v>0.9943</v>
      </c>
      <c r="BP55" s="23" cm="1">
        <f t="array" ref="BP55">IF(VLOOKUP($R55,武学奇术!$A:$ZZ,23,FALSE)=1,100%,MIN(80%,$B$9+VLOOKUP($R55,武学奇术!$A:$ZZ,17,FALSE)+SUM(_xlfn.XLOOKUP(S55:AL55,增益!$A:$A,增益!$Q:$Q,0)))+$B$11+SUM(_xlfn.XLOOKUP(S55:AL55,增益!$A:$A,增益!$U:$U,0)))*IF(VLOOKUP($R55,武学奇术!$A:$ZZ,24,FALSE)=1,0,1)</f>
        <v>0.887</v>
      </c>
      <c r="BQ55" s="23" cm="1">
        <f t="array" ref="BQ55">1+$B$13+VLOOKUP($R55,武学奇术!$A:$ZZ,18,FALSE)+SUM(_xlfn.XLOOKUP(S55:AL55,增益!$A:$A,增益!$R:$R,0))</f>
        <v>2.374</v>
      </c>
      <c r="BR55" s="23" cm="1">
        <f t="array" ref="BR55">IF(VLOOKUP($R55,武学奇术!$A:$ZZ,24,FALSE)=1,100%,MIN(40%,$B$10+VLOOKUP($R55,武学奇术!$A:$ZZ,19,FALSE)+SUM(_xlfn.XLOOKUP(S55:AL55,增益!$A:$A,增益!$S:$S,0)))+$B$12+SUM(_xlfn.XLOOKUP(S55:AL55,增益!$A:$A,增益!$V:$V,0)))*IF(VLOOKUP($R55,武学奇术!$A:$ZZ,23,FALSE)=1,0,1)</f>
        <v>0.0913</v>
      </c>
      <c r="BS55" s="23" cm="1">
        <f t="array" ref="BS55">1+$B$14+VLOOKUP($R55,武学奇术!$A:$ZZ,20,FALSE)+SUM(_xlfn.XLOOKUP(S55:AL55,增益!$A:$A,增益!$T:$T,0))</f>
        <v>1.35</v>
      </c>
      <c r="BT55" s="23">
        <f t="shared" si="20"/>
        <v>0.8819441</v>
      </c>
      <c r="BU55" s="23">
        <f t="shared" si="21"/>
        <v>0.0215763099999999</v>
      </c>
      <c r="BV55" s="23">
        <f>IF(VLOOKUP($R55,武学奇术!$A:$ZZ,22,FALSE)=1,0,(1-$BO55))*(1-$BR55)</f>
        <v>0.00517958999999993</v>
      </c>
      <c r="BW55" s="23" cm="1">
        <f t="array" ref="BW55">SUM(_xlfn.XLOOKUP(S55:AL55,增益!$A:$A,增益!$W:$W,0))+$I$5</f>
        <v>0.11</v>
      </c>
      <c r="BX55" s="23">
        <f>VLOOKUP($R55,武学奇术!$A:$ZZ,32,FALSE)</f>
        <v>0</v>
      </c>
      <c r="BY55" s="23" cm="1">
        <f t="array" ref="BY55">SUM(_xlfn.XLOOKUP($S55:$AL55,增益!$A:$A,增益!$X:$X,0))</f>
        <v>0</v>
      </c>
    </row>
    <row r="56" spans="1:77">
      <c r="A56" s="93">
        <v>45</v>
      </c>
      <c r="B56" s="4">
        <v>1.5</v>
      </c>
      <c r="D56" s="36"/>
      <c r="E56" s="36"/>
      <c r="K56" s="35">
        <f>$L56*VLOOKUP($R56,武学奇术!$A:$ZZ,31,FALSE)</f>
        <v>52001.823045497</v>
      </c>
      <c r="L56" s="58">
        <f t="shared" si="11"/>
        <v>46430.1991477652</v>
      </c>
      <c r="M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轻击",$B$21,0))*(1+IF(VLOOKUP($R56,武学奇术!$A:$ZZ,30,FALSE)="老鼠",$B$22,0))*(1+$BW56)*(1+$BX56)</f>
        <v>48815.3047894792</v>
      </c>
      <c r="N56" s="35">
        <f>(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轻击",$B$21,0))*(1+IF(VLOOKUP($R56,武学奇术!$A:$ZZ,30,FALSE)="老鼠",$B$22,0))*(1+$BW56))*(1+$BX56)</f>
        <v>31111.992886258</v>
      </c>
      <c r="O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轻击",$B$21,0))*(1+IF(VLOOKUP($R56,武学奇术!$A:$ZZ,30,FALSE)="老鼠",$B$22,0))*(1+$BW56)*(1+$BX56)</f>
        <v>20562.4704252229</v>
      </c>
      <c r="P56" s="35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轻击",$B$21,0))*(1+IF(VLOOKUP($R56,武学奇术!$A:$ZZ,30,FALSE)="老鼠",$B$22,0))*(1+$BW56)*(1+$BX56)</f>
        <v>18079.0201939584</v>
      </c>
      <c r="Q56" s="36">
        <v>1</v>
      </c>
      <c r="R56" s="37" t="s">
        <v>143</v>
      </c>
      <c r="S56" s="37" t="s">
        <v>91</v>
      </c>
      <c r="T56" s="37" t="s">
        <v>182</v>
      </c>
      <c r="U56" s="37" t="s">
        <v>112</v>
      </c>
      <c r="V56" s="37" t="s">
        <v>113</v>
      </c>
      <c r="W56" s="37" t="s">
        <v>82</v>
      </c>
      <c r="X56" s="37" t="s">
        <v>81</v>
      </c>
      <c r="Y56" s="37" t="s">
        <v>109</v>
      </c>
      <c r="Z56" s="37" t="s">
        <v>83</v>
      </c>
      <c r="AA56" s="37" t="s">
        <v>84</v>
      </c>
      <c r="AB56" s="37" t="s">
        <v>81</v>
      </c>
      <c r="AC56" s="37" t="s">
        <v>81</v>
      </c>
      <c r="AD56" s="37" t="s">
        <v>85</v>
      </c>
      <c r="AE56" s="37" t="s">
        <v>86</v>
      </c>
      <c r="AF56" s="37" t="s">
        <v>181</v>
      </c>
      <c r="AG56" s="37" t="s">
        <v>87</v>
      </c>
      <c r="AH56" s="37" t="s">
        <v>88</v>
      </c>
      <c r="AI56" s="37" t="s">
        <v>81</v>
      </c>
      <c r="AJ56" s="37" t="s">
        <v>81</v>
      </c>
      <c r="AK56" s="37" t="s">
        <v>81</v>
      </c>
      <c r="AL56" s="37" t="s">
        <v>81</v>
      </c>
      <c r="AM56" t="str">
        <f>VLOOKUP($R56,武学奇术!$A:$ZZ,25,FALSE)</f>
        <v>双刀</v>
      </c>
      <c r="AN56" s="23">
        <f>VLOOKUP($R56,武学奇术!$A:$ZZ,26,FALSE)</f>
        <v>0.9012</v>
      </c>
      <c r="AO56" s="24">
        <f>VLOOKUP($R56,武学奇术!$A:$ZZ,27,FALSE)*(1+IF(OR($AM56=$F$4,$AM56=$F$5),$B$23,0))</f>
        <v>400</v>
      </c>
      <c r="AP56" s="23">
        <f>VLOOKUP($R56,武学奇术!$A:$ZZ,28,FALSE)</f>
        <v>1.3518</v>
      </c>
      <c r="AQ56" s="24">
        <f>VLOOKUP($R56,武学奇术!$A:$ZZ,29,FALSE)*(1+IF(OR($AM56=$F$4,$AM56=$F$5),$B$23,0))</f>
        <v>217.6</v>
      </c>
      <c r="AR56" s="23" cm="1">
        <f t="array" ref="AR56">$G$3+IFERROR(VLOOKUP($AM56,$F$4:$G$7,2,FALSE),0)+VLOOKUP($R56,武学奇术!$A:$ZZ,2,FALSE)+SUM(_xlfn.XLOOKUP($S56:$AL56,增益!$A:$A,增益!$B:$B,0))</f>
        <v>0.8243</v>
      </c>
      <c r="AS56" s="23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4150.4</v>
      </c>
      <c r="AU56" cm="1">
        <f t="array" ref="AU56">$E$10*(1+$AS56)+VLOOKUP($R56,武学奇术!$A:$ZZ,4,FALSE)+SUM(_xlfn.XLOOKUP($S56:$AL56,增益!$A:$A,增益!$D:$D,0))-$I$2</f>
        <v>4150.4</v>
      </c>
      <c r="AV56" s="29" cm="1">
        <f t="array" ref="AV56">IF($F$10-$I$3+VLOOKUP($R56,武学奇术!$A:$ZZ,6,FALSE)+SUM(_xlfn.XLOOKUP(S56:AL56,增益!$A:$A,增益!$F:$F,0))&gt;0,($F$10-$I$3+VLOOKUP($R56,武学奇术!$A:$ZZ,6,FALSE)+SUM(_xlfn.XLOOKUP(S56:AL56,增益!$A:$A,增益!$F:$F,0)))/200,($F$10-$I$3+VLOOKUP($R56,武学奇术!$A:$ZZ,6,FALSE)+SUM(_xlfn.XLOOKUP(S56:AL56,增益!$A:$A,增益!$F:$F,0)))/100)</f>
        <v>0.4539</v>
      </c>
      <c r="AW56" s="29" cm="1">
        <f t="array" ref="AW56">$G$10+VLOOKUP($R56,武学奇术!$A:$ZZ,7,FALSE)+SUM(_xlfn.XLOOKUP(S56:AL56,增益!$A:$A,增益!$G:$G,0))</f>
        <v>0.08</v>
      </c>
      <c r="AX56" s="23" cm="1">
        <f t="array" ref="AX56">VLOOKUP($R56,武学奇术!$A:$ZZ,8,FALSE)+SUM(_xlfn.XLOOKUP(S56:AL56,增益!$A:$A,增益!$H:$H,0))</f>
        <v>0</v>
      </c>
      <c r="AY56">
        <f t="shared" si="12"/>
        <v>0</v>
      </c>
      <c r="AZ56">
        <f t="shared" si="13"/>
        <v>0</v>
      </c>
      <c r="BA56" s="29" cm="1">
        <f t="array" ref="BA56">IF($F$11-$I$4+VLOOKUP($R56,武学奇术!$A:$ZZ,9,FALSE)+SUM(_xlfn.XLOOKUP(S56:AL56,增益!$A:$A,增益!$I:$I,0))&gt;0,($F$11-$I$4+VLOOKUP($R56,武学奇术!$A:$ZZ,9,FALSE)+SUM(_xlfn.XLOOKUP(S56:AL56,增益!$A:$A,增益!$I:$I,0)))/200,($F$11-$I$4+VLOOKUP($R56,武学奇术!$A:$ZZ,9,FALSE)+SUM(_xlfn.XLOOKUP(S56:AL56,增益!$A:$A,增益!$I:$I,0)))/100)</f>
        <v>-0.14</v>
      </c>
      <c r="BB56" s="29" cm="1">
        <f t="array" ref="BB56">$G$11+VLOOKUP($R56,武学奇术!$A:$ZZ,10,FALSE)+SUM(_xlfn.XLOOKUP(S56:AL56,增益!$A:$A,增益!$J:$J,0))</f>
        <v>0.02</v>
      </c>
      <c r="BC56">
        <f t="shared" si="14"/>
        <v>0</v>
      </c>
      <c r="BD56">
        <f t="shared" si="15"/>
        <v>0</v>
      </c>
      <c r="BE56" s="29" cm="1">
        <f t="array" ref="BE56">IF($F$12-$I$4+VLOOKUP($R56,武学奇术!$A:$ZZ,11,FALSE)+SUM(_xlfn.XLOOKUP(S56:AL56,增益!$A:$A,增益!$K:$K,0))&gt;0,($F$12-$I$4+VLOOKUP($R56,武学奇术!$A:$ZZ,11,FALSE)+SUM(_xlfn.XLOOKUP(S56:AL56,增益!$A:$A,增益!$K:$K,0)))/200,($F$12-$I$4+VLOOKUP($R56,武学奇术!$A:$ZZ,11,FALSE)+SUM(_xlfn.XLOOKUP(S56:AL56,增益!$A:$A,增益!$K:$K,0)))/100)</f>
        <v>-0.14</v>
      </c>
      <c r="BF56" s="29" cm="1">
        <f t="array" ref="BF56">$G$12+VLOOKUP($R56,武学奇术!$A:$ZZ,12,FALSE)+SUM(_xlfn.XLOOKUP(S56:AL56,增益!$A:$A,增益!$L:$L,0))</f>
        <v>0.02</v>
      </c>
      <c r="BG56">
        <f t="shared" si="16"/>
        <v>0</v>
      </c>
      <c r="BH56">
        <f t="shared" si="17"/>
        <v>0</v>
      </c>
      <c r="BI56" s="29" cm="1">
        <f t="array" ref="BI56">IF($F$13-$I$4+VLOOKUP($R56,武学奇术!$A:$ZZ,13,FALSE)+SUM(_xlfn.XLOOKUP(S56:AL56,增益!$A:$A,增益!$M:$M,0))&gt;0,($F$13-$I$4+VLOOKUP($R56,武学奇术!$A:$ZZ,13,FALSE)+SUM(_xlfn.XLOOKUP(S56:AL56,增益!$A:$A,增益!$K:$K,0)))/200,($F$13-$I$4+VLOOKUP($R56,武学奇术!$A:$ZZ,13,FALSE)+SUM(_xlfn.XLOOKUP(S56:AL56,增益!$A:$A,增益!$M:$M,0)))/100)</f>
        <v>-0.14</v>
      </c>
      <c r="BJ56" s="29" cm="1">
        <f t="array" ref="BJ56">$G$13+VLOOKUP($R56,武学奇术!$A:$ZZ,14,FALSE)+SUM(_xlfn.XLOOKUP(S56:AL56,增益!$A:$A,增益!$N:$N,0))</f>
        <v>0.02</v>
      </c>
      <c r="BK56">
        <f t="shared" si="18"/>
        <v>618.2</v>
      </c>
      <c r="BL56">
        <f t="shared" si="19"/>
        <v>1805</v>
      </c>
      <c r="BM56" s="29" cm="1">
        <f t="array" ref="BM56">IF($F$14-$I$4+VLOOKUP($R56,武学奇术!$A:$ZZ,15,FALSE)+SUM(_xlfn.XLOOKUP(S56:AL56,增益!$A:$A,增益!$O:$O,0))&gt;0,($F$14-$I$4+VLOOKUP($R56,武学奇术!$A:$ZZ,15,FALSE)+SUM(_xlfn.XLOOKUP(S56:AL56,增益!$A:$A,增益!$O:$O,0)))/200,($F$14-$I$4+VLOOKUP($R56,武学奇术!$A:$ZZ,15,FALSE)+SUM(_xlfn.XLOOKUP(S56:AL56,增益!$A:$A,增益!$O:$O,0)))/100)</f>
        <v>0.13</v>
      </c>
      <c r="BN56" s="29" cm="1">
        <f t="array" ref="BN56">$G$14+VLOOKUP($R56,武学奇术!$A:$ZZ,16,FALSE)+SUM(_xlfn.XLOOKUP(S56:AL56,增益!$A:$A,增益!$P:$P,0))</f>
        <v>0.23</v>
      </c>
      <c r="BO56" s="23">
        <f>MIN(IF(VLOOKUP($R56,武学奇术!$A:$ZZ,23,FALSE)=1,100%,$B$8),100%)</f>
        <v>0.9943</v>
      </c>
      <c r="BP56" s="23" cm="1">
        <f t="array" ref="BP56">IF(VLOOKUP($R56,武学奇术!$A:$ZZ,23,FALSE)=1,100%,MIN(80%,$B$9+VLOOKUP($R56,武学奇术!$A:$ZZ,17,FALSE)+SUM(_xlfn.XLOOKUP(S56:AL56,增益!$A:$A,增益!$Q:$Q,0)))+$B$11+SUM(_xlfn.XLOOKUP(S56:AL56,增益!$A:$A,增益!$U:$U,0)))*IF(VLOOKUP($R56,武学奇术!$A:$ZZ,24,FALSE)=1,0,1)</f>
        <v>0.887</v>
      </c>
      <c r="BQ56" s="23" cm="1">
        <f t="array" ref="BQ56">1+$B$13+VLOOKUP($R56,武学奇术!$A:$ZZ,18,FALSE)+SUM(_xlfn.XLOOKUP(S56:AL56,增益!$A:$A,增益!$R:$R,0))</f>
        <v>2.374</v>
      </c>
      <c r="BR56" s="23" cm="1">
        <f t="array" ref="BR56">IF(VLOOKUP($R56,武学奇术!$A:$ZZ,24,FALSE)=1,100%,MIN(40%,$B$10+VLOOKUP($R56,武学奇术!$A:$ZZ,19,FALSE)+SUM(_xlfn.XLOOKUP(S56:AL56,增益!$A:$A,增益!$S:$S,0)))+$B$12+SUM(_xlfn.XLOOKUP(S56:AL56,增益!$A:$A,增益!$V:$V,0)))*IF(VLOOKUP($R56,武学奇术!$A:$ZZ,23,FALSE)=1,0,1)</f>
        <v>0.0913</v>
      </c>
      <c r="BS56" s="23" cm="1">
        <f t="array" ref="BS56">1+$B$14+VLOOKUP($R56,武学奇术!$A:$ZZ,20,FALSE)+SUM(_xlfn.XLOOKUP(S56:AL56,增益!$A:$A,增益!$T:$T,0))</f>
        <v>1.35</v>
      </c>
      <c r="BT56" s="23">
        <f t="shared" si="20"/>
        <v>0.8819441</v>
      </c>
      <c r="BU56" s="23">
        <f t="shared" si="21"/>
        <v>0.0215763099999999</v>
      </c>
      <c r="BV56" s="23">
        <f>IF(VLOOKUP($R56,武学奇术!$A:$ZZ,22,FALSE)=1,0,(1-$BO56))*(1-$BR56)</f>
        <v>0.00517958999999993</v>
      </c>
      <c r="BW56" s="23" cm="1">
        <f t="array" ref="BW56">SUM(_xlfn.XLOOKUP(S56:AL56,增益!$A:$A,增益!$W:$W,0))+$I$5</f>
        <v>0.11</v>
      </c>
      <c r="BX56" s="23">
        <f>VLOOKUP($R56,武学奇术!$A:$ZZ,32,FALSE)</f>
        <v>0.1</v>
      </c>
      <c r="BY56" s="23" cm="1">
        <f t="array" ref="BY56">SUM(_xlfn.XLOOKUP($S56:$AL56,增益!$A:$A,增益!$X:$X,0))</f>
        <v>0</v>
      </c>
    </row>
    <row r="57" spans="1:77">
      <c r="A57" s="93" t="s">
        <v>174</v>
      </c>
      <c r="B57" s="4">
        <v>0.6</v>
      </c>
      <c r="D57" s="36"/>
      <c r="E57" s="36"/>
      <c r="K57" s="35">
        <f>$L57*VLOOKUP($R57,武学奇术!$A:$ZZ,31,FALSE)</f>
        <v>83407.4544196684</v>
      </c>
      <c r="L57" s="58">
        <f t="shared" si="11"/>
        <v>74470.9414461325</v>
      </c>
      <c r="M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轻击",$B$21,0))*(1+IF(VLOOKUP($R57,武学奇术!$A:$ZZ,30,FALSE)="老鼠",$B$22,0))*(1+$BW57)*(1+$BX57)</f>
        <v>78296.4681135297</v>
      </c>
      <c r="N57" s="35">
        <f>(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轻击",$B$21,0))*(1+IF(VLOOKUP($R57,武学奇术!$A:$ZZ,30,FALSE)="老鼠",$B$22,0))*(1+$BW57))*(1+$BX57)</f>
        <v>49901.8026918071</v>
      </c>
      <c r="O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轻击",$B$21,0))*(1+IF(VLOOKUP($R57,武学奇术!$A:$ZZ,30,FALSE)="老鼠",$B$22,0))*(1+$BW57)*(1+$BX57)</f>
        <v>32980.8206038457</v>
      </c>
      <c r="P57" s="35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轻击",$B$21,0))*(1+IF(VLOOKUP($R57,武学奇术!$A:$ZZ,30,FALSE)="老鼠",$B$22,0))*(1+$BW57)*(1+$BX57)</f>
        <v>28997.342917464</v>
      </c>
      <c r="Q57" s="36">
        <v>1</v>
      </c>
      <c r="R57" s="37" t="s">
        <v>148</v>
      </c>
      <c r="S57" s="37" t="s">
        <v>91</v>
      </c>
      <c r="T57" s="37" t="s">
        <v>182</v>
      </c>
      <c r="U57" s="37" t="s">
        <v>112</v>
      </c>
      <c r="V57" s="37" t="s">
        <v>113</v>
      </c>
      <c r="W57" s="37" t="s">
        <v>82</v>
      </c>
      <c r="X57" s="37" t="s">
        <v>81</v>
      </c>
      <c r="Y57" s="37" t="s">
        <v>109</v>
      </c>
      <c r="Z57" s="37" t="s">
        <v>83</v>
      </c>
      <c r="AA57" s="37" t="s">
        <v>84</v>
      </c>
      <c r="AB57" s="37" t="s">
        <v>81</v>
      </c>
      <c r="AC57" s="37" t="s">
        <v>81</v>
      </c>
      <c r="AD57" s="37" t="s">
        <v>85</v>
      </c>
      <c r="AE57" s="37" t="s">
        <v>86</v>
      </c>
      <c r="AF57" s="37" t="s">
        <v>181</v>
      </c>
      <c r="AG57" s="37" t="s">
        <v>87</v>
      </c>
      <c r="AH57" s="37" t="s">
        <v>88</v>
      </c>
      <c r="AI57" s="37" t="s">
        <v>81</v>
      </c>
      <c r="AJ57" s="37" t="s">
        <v>81</v>
      </c>
      <c r="AK57" s="37" t="s">
        <v>81</v>
      </c>
      <c r="AL57" s="37" t="s">
        <v>81</v>
      </c>
      <c r="AM57" t="str">
        <f>VLOOKUP($R57,武学奇术!$A:$ZZ,25,FALSE)</f>
        <v>双刀</v>
      </c>
      <c r="AN57" s="23">
        <f>VLOOKUP($R57,武学奇术!$A:$ZZ,26,FALSE)</f>
        <v>1.4455</v>
      </c>
      <c r="AO57" s="24">
        <f>VLOOKUP($R57,武学奇术!$A:$ZZ,27,FALSE)*(1+IF(OR($AM57=$F$4,$AM57=$F$5),$B$23,0))</f>
        <v>641.6</v>
      </c>
      <c r="AP57" s="23">
        <f>VLOOKUP($R57,武学奇术!$A:$ZZ,28,FALSE)</f>
        <v>2.1683</v>
      </c>
      <c r="AQ57" s="24">
        <f>VLOOKUP($R57,武学奇术!$A:$ZZ,29,FALSE)*(1+IF(OR($AM57=$F$4,$AM57=$F$5),$B$23,0))</f>
        <v>348.8</v>
      </c>
      <c r="AR57" s="23" cm="1">
        <f t="array" ref="AR57">$G$3+IFERROR(VLOOKUP($AM57,$F$4:$G$7,2,FALSE),0)+VLOOKUP($R57,武学奇术!$A:$ZZ,2,FALSE)+SUM(_xlfn.XLOOKUP($S57:$AL57,增益!$A:$A,增益!$B:$B,0))</f>
        <v>0.8243</v>
      </c>
      <c r="AS57" s="23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4150.4</v>
      </c>
      <c r="AU57" cm="1">
        <f t="array" ref="AU57">$E$10*(1+$AS57)+VLOOKUP($R57,武学奇术!$A:$ZZ,4,FALSE)+SUM(_xlfn.XLOOKUP($S57:$AL57,增益!$A:$A,增益!$D:$D,0))-$I$2</f>
        <v>4150.4</v>
      </c>
      <c r="AV57" s="29" cm="1">
        <f t="array" ref="AV57">IF($F$10-$I$3+VLOOKUP($R57,武学奇术!$A:$ZZ,6,FALSE)+SUM(_xlfn.XLOOKUP(S57:AL57,增益!$A:$A,增益!$F:$F,0))&gt;0,($F$10-$I$3+VLOOKUP($R57,武学奇术!$A:$ZZ,6,FALSE)+SUM(_xlfn.XLOOKUP(S57:AL57,增益!$A:$A,增益!$F:$F,0)))/200,($F$10-$I$3+VLOOKUP($R57,武学奇术!$A:$ZZ,6,FALSE)+SUM(_xlfn.XLOOKUP(S57:AL57,增益!$A:$A,增益!$F:$F,0)))/100)</f>
        <v>0.4539</v>
      </c>
      <c r="AW57" s="29" cm="1">
        <f t="array" ref="AW57">$G$10+VLOOKUP($R57,武学奇术!$A:$ZZ,7,FALSE)+SUM(_xlfn.XLOOKUP(S57:AL57,增益!$A:$A,增益!$G:$G,0))</f>
        <v>0.08</v>
      </c>
      <c r="AX57" s="23" cm="1">
        <f t="array" ref="AX57">VLOOKUP($R57,武学奇术!$A:$ZZ,8,FALSE)+SUM(_xlfn.XLOOKUP(S57:AL57,增益!$A:$A,增益!$H:$H,0))</f>
        <v>0</v>
      </c>
      <c r="AY57">
        <f t="shared" si="12"/>
        <v>0</v>
      </c>
      <c r="AZ57">
        <f t="shared" si="13"/>
        <v>0</v>
      </c>
      <c r="BA57" s="29" cm="1">
        <f t="array" ref="BA57">IF($F$11-$I$4+VLOOKUP($R57,武学奇术!$A:$ZZ,9,FALSE)+SUM(_xlfn.XLOOKUP(S57:AL57,增益!$A:$A,增益!$I:$I,0))&gt;0,($F$11-$I$4+VLOOKUP($R57,武学奇术!$A:$ZZ,9,FALSE)+SUM(_xlfn.XLOOKUP(S57:AL57,增益!$A:$A,增益!$I:$I,0)))/200,($F$11-$I$4+VLOOKUP($R57,武学奇术!$A:$ZZ,9,FALSE)+SUM(_xlfn.XLOOKUP(S57:AL57,增益!$A:$A,增益!$I:$I,0)))/100)</f>
        <v>-0.14</v>
      </c>
      <c r="BB57" s="29" cm="1">
        <f t="array" ref="BB57">$G$11+VLOOKUP($R57,武学奇术!$A:$ZZ,10,FALSE)+SUM(_xlfn.XLOOKUP(S57:AL57,增益!$A:$A,增益!$J:$J,0))</f>
        <v>0.02</v>
      </c>
      <c r="BC57">
        <f t="shared" si="14"/>
        <v>0</v>
      </c>
      <c r="BD57">
        <f t="shared" si="15"/>
        <v>0</v>
      </c>
      <c r="BE57" s="29" cm="1">
        <f t="array" ref="BE57">IF($F$12-$I$4+VLOOKUP($R57,武学奇术!$A:$ZZ,11,FALSE)+SUM(_xlfn.XLOOKUP(S57:AL57,增益!$A:$A,增益!$K:$K,0))&gt;0,($F$12-$I$4+VLOOKUP($R57,武学奇术!$A:$ZZ,11,FALSE)+SUM(_xlfn.XLOOKUP(S57:AL57,增益!$A:$A,增益!$K:$K,0)))/200,($F$12-$I$4+VLOOKUP($R57,武学奇术!$A:$ZZ,11,FALSE)+SUM(_xlfn.XLOOKUP(S57:AL57,增益!$A:$A,增益!$K:$K,0)))/100)</f>
        <v>-0.14</v>
      </c>
      <c r="BF57" s="29" cm="1">
        <f t="array" ref="BF57">$G$12+VLOOKUP($R57,武学奇术!$A:$ZZ,12,FALSE)+SUM(_xlfn.XLOOKUP(S57:AL57,增益!$A:$A,增益!$L:$L,0))</f>
        <v>0.02</v>
      </c>
      <c r="BG57">
        <f t="shared" si="16"/>
        <v>0</v>
      </c>
      <c r="BH57">
        <f t="shared" si="17"/>
        <v>0</v>
      </c>
      <c r="BI57" s="29" cm="1">
        <f t="array" ref="BI57">IF($F$13-$I$4+VLOOKUP($R57,武学奇术!$A:$ZZ,13,FALSE)+SUM(_xlfn.XLOOKUP(S57:AL57,增益!$A:$A,增益!$M:$M,0))&gt;0,($F$13-$I$4+VLOOKUP($R57,武学奇术!$A:$ZZ,13,FALSE)+SUM(_xlfn.XLOOKUP(S57:AL57,增益!$A:$A,增益!$K:$K,0)))/200,($F$13-$I$4+VLOOKUP($R57,武学奇术!$A:$ZZ,13,FALSE)+SUM(_xlfn.XLOOKUP(S57:AL57,增益!$A:$A,增益!$M:$M,0)))/100)</f>
        <v>-0.14</v>
      </c>
      <c r="BJ57" s="29" cm="1">
        <f t="array" ref="BJ57">$G$13+VLOOKUP($R57,武学奇术!$A:$ZZ,14,FALSE)+SUM(_xlfn.XLOOKUP(S57:AL57,增益!$A:$A,增益!$N:$N,0))</f>
        <v>0.02</v>
      </c>
      <c r="BK57">
        <f t="shared" si="18"/>
        <v>618.2</v>
      </c>
      <c r="BL57">
        <f t="shared" si="19"/>
        <v>1805</v>
      </c>
      <c r="BM57" s="29" cm="1">
        <f t="array" ref="BM57">IF($F$14-$I$4+VLOOKUP($R57,武学奇术!$A:$ZZ,15,FALSE)+SUM(_xlfn.XLOOKUP(S57:AL57,增益!$A:$A,增益!$O:$O,0))&gt;0,($F$14-$I$4+VLOOKUP($R57,武学奇术!$A:$ZZ,15,FALSE)+SUM(_xlfn.XLOOKUP(S57:AL57,增益!$A:$A,增益!$O:$O,0)))/200,($F$14-$I$4+VLOOKUP($R57,武学奇术!$A:$ZZ,15,FALSE)+SUM(_xlfn.XLOOKUP(S57:AL57,增益!$A:$A,增益!$O:$O,0)))/100)</f>
        <v>0.13</v>
      </c>
      <c r="BN57" s="29" cm="1">
        <f t="array" ref="BN57">$G$14+VLOOKUP($R57,武学奇术!$A:$ZZ,16,FALSE)+SUM(_xlfn.XLOOKUP(S57:AL57,增益!$A:$A,增益!$P:$P,0))</f>
        <v>0.23</v>
      </c>
      <c r="BO57" s="23">
        <f>MIN(IF(VLOOKUP($R57,武学奇术!$A:$ZZ,23,FALSE)=1,100%,$B$8),100%)</f>
        <v>0.9943</v>
      </c>
      <c r="BP57" s="23" cm="1">
        <f t="array" ref="BP57">IF(VLOOKUP($R57,武学奇术!$A:$ZZ,23,FALSE)=1,100%,MIN(80%,$B$9+VLOOKUP($R57,武学奇术!$A:$ZZ,17,FALSE)+SUM(_xlfn.XLOOKUP(S57:AL57,增益!$A:$A,增益!$Q:$Q,0)))+$B$11+SUM(_xlfn.XLOOKUP(S57:AL57,增益!$A:$A,增益!$U:$U,0)))*IF(VLOOKUP($R57,武学奇术!$A:$ZZ,24,FALSE)=1,0,1)</f>
        <v>0.887</v>
      </c>
      <c r="BQ57" s="23" cm="1">
        <f t="array" ref="BQ57">1+$B$13+VLOOKUP($R57,武学奇术!$A:$ZZ,18,FALSE)+SUM(_xlfn.XLOOKUP(S57:AL57,增益!$A:$A,增益!$R:$R,0))</f>
        <v>2.374</v>
      </c>
      <c r="BR57" s="23" cm="1">
        <f t="array" ref="BR57">IF(VLOOKUP($R57,武学奇术!$A:$ZZ,24,FALSE)=1,100%,MIN(40%,$B$10+VLOOKUP($R57,武学奇术!$A:$ZZ,19,FALSE)+SUM(_xlfn.XLOOKUP(S57:AL57,增益!$A:$A,增益!$S:$S,0)))+$B$12+SUM(_xlfn.XLOOKUP(S57:AL57,增益!$A:$A,增益!$V:$V,0)))*IF(VLOOKUP($R57,武学奇术!$A:$ZZ,23,FALSE)=1,0,1)</f>
        <v>0.0913</v>
      </c>
      <c r="BS57" s="23" cm="1">
        <f t="array" ref="BS57">1+$B$14+VLOOKUP($R57,武学奇术!$A:$ZZ,20,FALSE)+SUM(_xlfn.XLOOKUP(S57:AL57,增益!$A:$A,增益!$T:$T,0))</f>
        <v>1.35</v>
      </c>
      <c r="BT57" s="23">
        <f t="shared" si="20"/>
        <v>0.8819441</v>
      </c>
      <c r="BU57" s="23">
        <f t="shared" si="21"/>
        <v>0.0215763099999999</v>
      </c>
      <c r="BV57" s="23">
        <f>IF(VLOOKUP($R57,武学奇术!$A:$ZZ,22,FALSE)=1,0,(1-$BO57))*(1-$BR57)</f>
        <v>0.00517958999999993</v>
      </c>
      <c r="BW57" s="23" cm="1">
        <f t="array" ref="BW57">SUM(_xlfn.XLOOKUP(S57:AL57,增益!$A:$A,增益!$W:$W,0))+$I$5</f>
        <v>0.11</v>
      </c>
      <c r="BX57" s="23">
        <f>VLOOKUP($R57,武学奇术!$A:$ZZ,32,FALSE)</f>
        <v>0.1</v>
      </c>
      <c r="BY57" s="23" cm="1">
        <f t="array" ref="BY57">SUM(_xlfn.XLOOKUP($S57:$AL57,增益!$A:$A,增益!$X:$X,0))</f>
        <v>0</v>
      </c>
    </row>
    <row r="58" spans="1:77">
      <c r="A58" s="93">
        <v>123</v>
      </c>
      <c r="B58" s="4">
        <v>1.8</v>
      </c>
      <c r="C58" s="36" t="s">
        <v>183</v>
      </c>
      <c r="D58" s="36"/>
      <c r="E58" s="36"/>
      <c r="K58" s="35">
        <f>$L58*VLOOKUP($R58,武学奇术!$A:$ZZ,31,FALSE)</f>
        <v>103000.829328434</v>
      </c>
      <c r="L58" s="69">
        <f t="shared" si="11"/>
        <v>100981.205223955</v>
      </c>
      <c r="M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轻击",$B$21,0))*(1+IF(VLOOKUP($R58,武学奇术!$A:$ZZ,30,FALSE)="老鼠",$B$22,0))*(1+$BW58)*(1+$BX58)</f>
        <v>106090.561940754</v>
      </c>
      <c r="N58" s="35">
        <f>(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轻击",$B$21,0))*(1+IF(VLOOKUP($R58,武学奇术!$A:$ZZ,30,FALSE)="老鼠",$B$22,0))*(1+$BW58))*(1+$BX58)</f>
        <v>68464.2855370086</v>
      </c>
      <c r="O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轻击",$B$21,0))*(1+IF(VLOOKUP($R58,武学奇术!$A:$ZZ,30,FALSE)="老鼠",$B$22,0))*(1+$BW58)*(1+$BX58)</f>
        <v>44688.5265125334</v>
      </c>
      <c r="P58" s="35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轻击",$B$21,0))*(1+IF(VLOOKUP($R58,武学奇术!$A:$ZZ,30,FALSE)="老鼠",$B$22,0))*(1+$BW58)*(1+$BX58)</f>
        <v>38662.7674420975</v>
      </c>
      <c r="Q58" s="70">
        <v>3</v>
      </c>
      <c r="R58" s="37" t="s">
        <v>106</v>
      </c>
      <c r="S58" s="37" t="s">
        <v>91</v>
      </c>
      <c r="T58" s="37" t="s">
        <v>182</v>
      </c>
      <c r="U58" s="37" t="s">
        <v>112</v>
      </c>
      <c r="V58" s="37" t="s">
        <v>113</v>
      </c>
      <c r="W58" s="37" t="s">
        <v>82</v>
      </c>
      <c r="X58" s="37" t="s">
        <v>81</v>
      </c>
      <c r="Y58" s="37" t="s">
        <v>109</v>
      </c>
      <c r="Z58" s="37" t="s">
        <v>83</v>
      </c>
      <c r="AA58" s="37" t="s">
        <v>84</v>
      </c>
      <c r="AB58" s="37" t="s">
        <v>81</v>
      </c>
      <c r="AC58" s="37" t="s">
        <v>81</v>
      </c>
      <c r="AD58" s="37" t="s">
        <v>85</v>
      </c>
      <c r="AE58" s="37" t="s">
        <v>86</v>
      </c>
      <c r="AF58" s="37" t="s">
        <v>81</v>
      </c>
      <c r="AG58" s="37" t="s">
        <v>87</v>
      </c>
      <c r="AH58" s="37" t="s">
        <v>88</v>
      </c>
      <c r="AI58" s="37" t="s">
        <v>81</v>
      </c>
      <c r="AJ58" s="37" t="s">
        <v>81</v>
      </c>
      <c r="AK58" s="37" t="s">
        <v>81</v>
      </c>
      <c r="AL58" s="37" t="s">
        <v>81</v>
      </c>
      <c r="AM58" t="str">
        <f>VLOOKUP($R58,武学奇术!$A:$ZZ,25,FALSE)</f>
        <v>绳镖</v>
      </c>
      <c r="AN58" s="23">
        <f>VLOOKUP($R58,武学奇术!$A:$ZZ,26,FALSE)</f>
        <v>0.3675</v>
      </c>
      <c r="AO58" s="24">
        <f>VLOOKUP($R58,武学奇术!$A:$ZZ,27,FALSE)*(1+IF(OR($AM58=$F$4,$AM58=$F$5),$B$23,0))</f>
        <v>0</v>
      </c>
      <c r="AP58" s="23">
        <f>VLOOKUP($R58,武学奇术!$A:$ZZ,28,FALSE)</f>
        <v>0.55125</v>
      </c>
      <c r="AQ58" s="24">
        <f>VLOOKUP($R58,武学奇术!$A:$ZZ,29,FALSE)*(1+IF(OR($AM58=$F$4,$AM58=$F$5),$B$23,0))</f>
        <v>0</v>
      </c>
      <c r="AR58" s="23" cm="1">
        <f t="array" ref="AR58">$G$3+IFERROR(VLOOKUP($AM58,$F$4:$G$7,2,FALSE),0)+VLOOKUP($R58,武学奇术!$A:$ZZ,2,FALSE)+SUM(_xlfn.XLOOKUP($S58:$AL58,增益!$A:$A,增益!$B:$B,0))</f>
        <v>1.5743</v>
      </c>
      <c r="AS58" s="23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4150.4</v>
      </c>
      <c r="AU58" cm="1">
        <f t="array" ref="AU58">$E$10*(1+$AS58)+VLOOKUP($R58,武学奇术!$A:$ZZ,4,FALSE)+SUM(_xlfn.XLOOKUP($S58:$AL58,增益!$A:$A,增益!$D:$D,0))-$I$2</f>
        <v>4150.4</v>
      </c>
      <c r="AV58" s="29" cm="1">
        <f t="array" ref="AV58">IF($F$10-$I$3+VLOOKUP($R58,武学奇术!$A:$ZZ,6,FALSE)+SUM(_xlfn.XLOOKUP(S58:AL58,增益!$A:$A,增益!$F:$F,0))&gt;0,($F$10-$I$3+VLOOKUP($R58,武学奇术!$A:$ZZ,6,FALSE)+SUM(_xlfn.XLOOKUP(S58:AL58,增益!$A:$A,增益!$F:$F,0)))/200,($F$10-$I$3+VLOOKUP($R58,武学奇术!$A:$ZZ,6,FALSE)+SUM(_xlfn.XLOOKUP(S58:AL58,增益!$A:$A,增益!$F:$F,0)))/100)</f>
        <v>0.4539</v>
      </c>
      <c r="AW58" s="29" cm="1">
        <f t="array" ref="AW58">$G$10+VLOOKUP($R58,武学奇术!$A:$ZZ,7,FALSE)+SUM(_xlfn.XLOOKUP(S58:AL58,增益!$A:$A,增益!$G:$G,0))</f>
        <v>0.29</v>
      </c>
      <c r="AX58" s="23" cm="1">
        <f t="array" ref="AX58">VLOOKUP($R58,武学奇术!$A:$ZZ,8,FALSE)+SUM(_xlfn.XLOOKUP(S58:AL58,增益!$A:$A,增益!$H:$H,0))</f>
        <v>0</v>
      </c>
      <c r="AY58">
        <f t="shared" si="12"/>
        <v>0</v>
      </c>
      <c r="AZ58">
        <f t="shared" si="13"/>
        <v>0</v>
      </c>
      <c r="BA58" s="29" cm="1">
        <f t="array" ref="BA58">IF($F$11-$I$4+VLOOKUP($R58,武学奇术!$A:$ZZ,9,FALSE)+SUM(_xlfn.XLOOKUP(S58:AL58,增益!$A:$A,增益!$I:$I,0))&gt;0,($F$11-$I$4+VLOOKUP($R58,武学奇术!$A:$ZZ,9,FALSE)+SUM(_xlfn.XLOOKUP(S58:AL58,增益!$A:$A,增益!$I:$I,0)))/200,($F$11-$I$4+VLOOKUP($R58,武学奇术!$A:$ZZ,9,FALSE)+SUM(_xlfn.XLOOKUP(S58:AL58,增益!$A:$A,增益!$I:$I,0)))/100)</f>
        <v>-0.14</v>
      </c>
      <c r="BB58" s="29" cm="1">
        <f t="array" ref="BB58">$G$11+VLOOKUP($R58,武学奇术!$A:$ZZ,10,FALSE)+SUM(_xlfn.XLOOKUP(S58:AL58,增益!$A:$A,增益!$J:$J,0))</f>
        <v>0.02</v>
      </c>
      <c r="BC58">
        <f t="shared" si="14"/>
        <v>0</v>
      </c>
      <c r="BD58">
        <f t="shared" si="15"/>
        <v>0</v>
      </c>
      <c r="BE58" s="29" cm="1">
        <f t="array" ref="BE58">IF($F$12-$I$4+VLOOKUP($R58,武学奇术!$A:$ZZ,11,FALSE)+SUM(_xlfn.XLOOKUP(S58:AL58,增益!$A:$A,增益!$K:$K,0))&gt;0,($F$12-$I$4+VLOOKUP($R58,武学奇术!$A:$ZZ,11,FALSE)+SUM(_xlfn.XLOOKUP(S58:AL58,增益!$A:$A,增益!$K:$K,0)))/200,($F$12-$I$4+VLOOKUP($R58,武学奇术!$A:$ZZ,11,FALSE)+SUM(_xlfn.XLOOKUP(S58:AL58,增益!$A:$A,增益!$K:$K,0)))/100)</f>
        <v>-0.14</v>
      </c>
      <c r="BF58" s="29" cm="1">
        <f t="array" ref="BF58">$G$12+VLOOKUP($R58,武学奇术!$A:$ZZ,12,FALSE)+SUM(_xlfn.XLOOKUP(S58:AL58,增益!$A:$A,增益!$L:$L,0))</f>
        <v>0.02</v>
      </c>
      <c r="BG58">
        <f t="shared" si="16"/>
        <v>0</v>
      </c>
      <c r="BH58">
        <f t="shared" si="17"/>
        <v>0</v>
      </c>
      <c r="BI58" s="29" cm="1">
        <f t="array" ref="BI58">IF($F$13-$I$4+VLOOKUP($R58,武学奇术!$A:$ZZ,13,FALSE)+SUM(_xlfn.XLOOKUP(S58:AL58,增益!$A:$A,增益!$M:$M,0))&gt;0,($F$13-$I$4+VLOOKUP($R58,武学奇术!$A:$ZZ,13,FALSE)+SUM(_xlfn.XLOOKUP(S58:AL58,增益!$A:$A,增益!$K:$K,0)))/200,($F$13-$I$4+VLOOKUP($R58,武学奇术!$A:$ZZ,13,FALSE)+SUM(_xlfn.XLOOKUP(S58:AL58,增益!$A:$A,增益!$M:$M,0)))/100)</f>
        <v>-0.14</v>
      </c>
      <c r="BJ58" s="29" cm="1">
        <f t="array" ref="BJ58">$G$13+VLOOKUP($R58,武学奇术!$A:$ZZ,14,FALSE)+SUM(_xlfn.XLOOKUP(S58:AL58,增益!$A:$A,增益!$N:$N,0))</f>
        <v>0.02</v>
      </c>
      <c r="BK58">
        <f t="shared" si="18"/>
        <v>618.2</v>
      </c>
      <c r="BL58">
        <f t="shared" si="19"/>
        <v>1805</v>
      </c>
      <c r="BM58" s="29" cm="1">
        <f t="array" ref="BM58">IF($F$14-$I$4+VLOOKUP($R58,武学奇术!$A:$ZZ,15,FALSE)+SUM(_xlfn.XLOOKUP(S58:AL58,增益!$A:$A,增益!$O:$O,0))&gt;0,($F$14-$I$4+VLOOKUP($R58,武学奇术!$A:$ZZ,15,FALSE)+SUM(_xlfn.XLOOKUP(S58:AL58,增益!$A:$A,增益!$O:$O,0)))/200,($F$14-$I$4+VLOOKUP($R58,武学奇术!$A:$ZZ,15,FALSE)+SUM(_xlfn.XLOOKUP(S58:AL58,增益!$A:$A,增益!$O:$O,0)))/100)</f>
        <v>0.13</v>
      </c>
      <c r="BN58" s="29" cm="1">
        <f t="array" ref="BN58">$G$14+VLOOKUP($R58,武学奇术!$A:$ZZ,16,FALSE)+SUM(_xlfn.XLOOKUP(S58:AL58,增益!$A:$A,增益!$P:$P,0))</f>
        <v>0.44</v>
      </c>
      <c r="BO58" s="23">
        <f>MIN(IF(VLOOKUP($R58,武学奇术!$A:$ZZ,23,FALSE)=1,100%,$B$8),100%)</f>
        <v>0.9943</v>
      </c>
      <c r="BP58" s="23" cm="1">
        <f t="array" ref="BP58">IF(VLOOKUP($R58,武学奇术!$A:$ZZ,23,FALSE)=1,100%,MIN(80%,$B$9+VLOOKUP($R58,武学奇术!$A:$ZZ,17,FALSE)+SUM(_xlfn.XLOOKUP(S58:AL58,增益!$A:$A,增益!$Q:$Q,0)))+$B$11+SUM(_xlfn.XLOOKUP(S58:AL58,增益!$A:$A,增益!$U:$U,0)))*IF(VLOOKUP($R58,武学奇术!$A:$ZZ,24,FALSE)=1,0,1)</f>
        <v>0.887</v>
      </c>
      <c r="BQ58" s="23" cm="1">
        <f t="array" ref="BQ58">1+$B$13+VLOOKUP($R58,武学奇术!$A:$ZZ,18,FALSE)+SUM(_xlfn.XLOOKUP(S58:AL58,增益!$A:$A,增益!$R:$R,0))</f>
        <v>2.374</v>
      </c>
      <c r="BR58" s="23" cm="1">
        <f t="array" ref="BR58">IF(VLOOKUP($R58,武学奇术!$A:$ZZ,24,FALSE)=1,100%,MIN(40%,$B$10+VLOOKUP($R58,武学奇术!$A:$ZZ,19,FALSE)+SUM(_xlfn.XLOOKUP(S58:AL58,增益!$A:$A,增益!$S:$S,0)))+$B$12+SUM(_xlfn.XLOOKUP(S58:AL58,增益!$A:$A,增益!$V:$V,0)))*IF(VLOOKUP($R58,武学奇术!$A:$ZZ,23,FALSE)=1,0,1)</f>
        <v>0.0913</v>
      </c>
      <c r="BS58" s="23" cm="1">
        <f t="array" ref="BS58">1+$B$14+VLOOKUP($R58,武学奇术!$A:$ZZ,20,FALSE)+SUM(_xlfn.XLOOKUP(S58:AL58,增益!$A:$A,增益!$T:$T,0))</f>
        <v>1.35</v>
      </c>
      <c r="BT58" s="23">
        <f t="shared" si="20"/>
        <v>0.8819441</v>
      </c>
      <c r="BU58" s="23">
        <f t="shared" si="21"/>
        <v>0.0215763099999999</v>
      </c>
      <c r="BV58" s="23">
        <f>IF(VLOOKUP($R58,武学奇术!$A:$ZZ,22,FALSE)=1,0,(1-$BO58))*(1-$BR58)</f>
        <v>0.00517958999999993</v>
      </c>
      <c r="BW58" s="23" cm="1">
        <f t="array" ref="BW58">SUM(_xlfn.XLOOKUP(S58:AL58,增益!$A:$A,增益!$W:$W,0))+$I$5</f>
        <v>0.11</v>
      </c>
      <c r="BX58" s="23">
        <f>VLOOKUP($R58,武学奇术!$A:$ZZ,32,FALSE)</f>
        <v>0</v>
      </c>
      <c r="BY58" s="23" cm="1">
        <f t="array" ref="BY58">SUM(_xlfn.XLOOKUP($S58:$AL58,增益!$A:$A,增益!$X:$X,0))</f>
        <v>0</v>
      </c>
    </row>
    <row r="59" spans="1:77">
      <c r="A59" s="93">
        <v>45</v>
      </c>
      <c r="B59" s="4">
        <v>1.5</v>
      </c>
      <c r="C59" s="36"/>
      <c r="E59" s="36"/>
      <c r="K59" s="35">
        <f>$L59*VLOOKUP($R59,武学奇术!$A:$ZZ,31,FALSE)</f>
        <v>100545.389361058</v>
      </c>
      <c r="L59" s="58">
        <f t="shared" si="11"/>
        <v>89772.669072373</v>
      </c>
      <c r="M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轻击",$B$21,0))*(1+IF(VLOOKUP($R59,武学奇术!$A:$ZZ,30,FALSE)="老鼠",$B$22,0))*(1+$BW59)*(1+$BX59)</f>
        <v>94413.0375331508</v>
      </c>
      <c r="N59" s="35">
        <f>(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轻击",$B$21,0))*(1+IF(VLOOKUP($R59,武学奇术!$A:$ZZ,30,FALSE)="老鼠",$B$22,0))*(1+$BW59))*(1+$BX59)</f>
        <v>59921.3079716069</v>
      </c>
      <c r="O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轻击",$B$21,0))*(1+IF(VLOOKUP($R59,武学奇术!$A:$ZZ,30,FALSE)="老鼠",$B$22,0))*(1+$BW59)*(1+$BX59)</f>
        <v>39602.7842001472</v>
      </c>
      <c r="P59" s="35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轻击",$B$21,0))*(1+IF(VLOOKUP($R59,武学奇术!$A:$ZZ,30,FALSE)="老鼠",$B$22,0))*(1+$BW59)*(1+$BX59)</f>
        <v>34819.4143472522</v>
      </c>
      <c r="Q59" s="36">
        <v>1</v>
      </c>
      <c r="R59" s="37" t="s">
        <v>153</v>
      </c>
      <c r="S59" s="37" t="s">
        <v>91</v>
      </c>
      <c r="T59" s="37" t="s">
        <v>184</v>
      </c>
      <c r="U59" s="37" t="s">
        <v>112</v>
      </c>
      <c r="V59" s="37" t="s">
        <v>113</v>
      </c>
      <c r="W59" s="37" t="s">
        <v>82</v>
      </c>
      <c r="X59" s="37" t="s">
        <v>81</v>
      </c>
      <c r="Y59" s="37" t="s">
        <v>109</v>
      </c>
      <c r="Z59" s="37" t="s">
        <v>83</v>
      </c>
      <c r="AA59" s="37" t="s">
        <v>84</v>
      </c>
      <c r="AB59" s="37" t="s">
        <v>81</v>
      </c>
      <c r="AC59" s="37" t="s">
        <v>81</v>
      </c>
      <c r="AD59" s="37" t="s">
        <v>85</v>
      </c>
      <c r="AE59" s="37" t="s">
        <v>86</v>
      </c>
      <c r="AF59" s="37" t="s">
        <v>181</v>
      </c>
      <c r="AG59" s="37" t="s">
        <v>87</v>
      </c>
      <c r="AH59" s="37" t="s">
        <v>88</v>
      </c>
      <c r="AI59" s="37" t="s">
        <v>81</v>
      </c>
      <c r="AJ59" s="37" t="s">
        <v>81</v>
      </c>
      <c r="AK59" s="37" t="s">
        <v>81</v>
      </c>
      <c r="AL59" s="37" t="s">
        <v>81</v>
      </c>
      <c r="AM59" t="str">
        <f>VLOOKUP($R59,武学奇术!$A:$ZZ,25,FALSE)</f>
        <v>双刀</v>
      </c>
      <c r="AN59" s="23">
        <f>VLOOKUP($R59,武学奇术!$A:$ZZ,26,FALSE)</f>
        <v>1.7358</v>
      </c>
      <c r="AO59" s="24">
        <f>VLOOKUP($R59,武学奇术!$A:$ZZ,27,FALSE)*(1+IF(OR($AM59=$F$4,$AM59=$F$5),$B$23,0))</f>
        <v>769.6</v>
      </c>
      <c r="AP59" s="23">
        <f>VLOOKUP($R59,武学奇术!$A:$ZZ,28,FALSE)</f>
        <v>2.6037</v>
      </c>
      <c r="AQ59" s="24">
        <f>VLOOKUP($R59,武学奇术!$A:$ZZ,29,FALSE)*(1+IF(OR($AM59=$F$4,$AM59=$F$5),$B$23,0))</f>
        <v>419.2</v>
      </c>
      <c r="AR59" s="23" cm="1">
        <f t="array" ref="AR59">$G$3+IFERROR(VLOOKUP($AM59,$F$4:$G$7,2,FALSE),0)+VLOOKUP($R59,武学奇术!$A:$ZZ,2,FALSE)+SUM(_xlfn.XLOOKUP($S59:$AL59,增益!$A:$A,增益!$B:$B,0))</f>
        <v>0.8243</v>
      </c>
      <c r="AS59" s="23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4150.4</v>
      </c>
      <c r="AU59" cm="1">
        <f t="array" ref="AU59">$E$10*(1+$AS59)+VLOOKUP($R59,武学奇术!$A:$ZZ,4,FALSE)+SUM(_xlfn.XLOOKUP($S59:$AL59,增益!$A:$A,增益!$D:$D,0))-$I$2</f>
        <v>4150.4</v>
      </c>
      <c r="AV59" s="29" cm="1">
        <f t="array" ref="AV59">IF($F$10-$I$3+VLOOKUP($R59,武学奇术!$A:$ZZ,6,FALSE)+SUM(_xlfn.XLOOKUP(S59:AL59,增益!$A:$A,增益!$F:$F,0))&gt;0,($F$10-$I$3+VLOOKUP($R59,武学奇术!$A:$ZZ,6,FALSE)+SUM(_xlfn.XLOOKUP(S59:AL59,增益!$A:$A,增益!$F:$F,0)))/200,($F$10-$I$3+VLOOKUP($R59,武学奇术!$A:$ZZ,6,FALSE)+SUM(_xlfn.XLOOKUP(S59:AL59,增益!$A:$A,增益!$F:$F,0)))/100)</f>
        <v>0.4539</v>
      </c>
      <c r="AW59" s="29" cm="1">
        <f t="array" ref="AW59">$G$10+VLOOKUP($R59,武学奇术!$A:$ZZ,7,FALSE)+SUM(_xlfn.XLOOKUP(S59:AL59,增益!$A:$A,增益!$G:$G,0))</f>
        <v>0.08</v>
      </c>
      <c r="AX59" s="23" cm="1">
        <f t="array" ref="AX59">VLOOKUP($R59,武学奇术!$A:$ZZ,8,FALSE)+SUM(_xlfn.XLOOKUP(S59:AL59,增益!$A:$A,增益!$H:$H,0))</f>
        <v>0</v>
      </c>
      <c r="AY59">
        <f t="shared" si="12"/>
        <v>0</v>
      </c>
      <c r="AZ59">
        <f t="shared" si="13"/>
        <v>0</v>
      </c>
      <c r="BA59" s="29" cm="1">
        <f t="array" ref="BA59">IF($F$11-$I$4+VLOOKUP($R59,武学奇术!$A:$ZZ,9,FALSE)+SUM(_xlfn.XLOOKUP(S59:AL59,增益!$A:$A,增益!$I:$I,0))&gt;0,($F$11-$I$4+VLOOKUP($R59,武学奇术!$A:$ZZ,9,FALSE)+SUM(_xlfn.XLOOKUP(S59:AL59,增益!$A:$A,增益!$I:$I,0)))/200,($F$11-$I$4+VLOOKUP($R59,武学奇术!$A:$ZZ,9,FALSE)+SUM(_xlfn.XLOOKUP(S59:AL59,增益!$A:$A,增益!$I:$I,0)))/100)</f>
        <v>-0.14</v>
      </c>
      <c r="BB59" s="29" cm="1">
        <f t="array" ref="BB59">$G$11+VLOOKUP($R59,武学奇术!$A:$ZZ,10,FALSE)+SUM(_xlfn.XLOOKUP(S59:AL59,增益!$A:$A,增益!$J:$J,0))</f>
        <v>0.02</v>
      </c>
      <c r="BC59">
        <f t="shared" si="14"/>
        <v>0</v>
      </c>
      <c r="BD59">
        <f t="shared" si="15"/>
        <v>0</v>
      </c>
      <c r="BE59" s="29" cm="1">
        <f t="array" ref="BE59">IF($F$12-$I$4+VLOOKUP($R59,武学奇术!$A:$ZZ,11,FALSE)+SUM(_xlfn.XLOOKUP(S59:AL59,增益!$A:$A,增益!$K:$K,0))&gt;0,($F$12-$I$4+VLOOKUP($R59,武学奇术!$A:$ZZ,11,FALSE)+SUM(_xlfn.XLOOKUP(S59:AL59,增益!$A:$A,增益!$K:$K,0)))/200,($F$12-$I$4+VLOOKUP($R59,武学奇术!$A:$ZZ,11,FALSE)+SUM(_xlfn.XLOOKUP(S59:AL59,增益!$A:$A,增益!$K:$K,0)))/100)</f>
        <v>-0.14</v>
      </c>
      <c r="BF59" s="29" cm="1">
        <f t="array" ref="BF59">$G$12+VLOOKUP($R59,武学奇术!$A:$ZZ,12,FALSE)+SUM(_xlfn.XLOOKUP(S59:AL59,增益!$A:$A,增益!$L:$L,0))</f>
        <v>0.02</v>
      </c>
      <c r="BG59">
        <f t="shared" si="16"/>
        <v>0</v>
      </c>
      <c r="BH59">
        <f t="shared" si="17"/>
        <v>0</v>
      </c>
      <c r="BI59" s="29" cm="1">
        <f t="array" ref="BI59">IF($F$13-$I$4+VLOOKUP($R59,武学奇术!$A:$ZZ,13,FALSE)+SUM(_xlfn.XLOOKUP(S59:AL59,增益!$A:$A,增益!$M:$M,0))&gt;0,($F$13-$I$4+VLOOKUP($R59,武学奇术!$A:$ZZ,13,FALSE)+SUM(_xlfn.XLOOKUP(S59:AL59,增益!$A:$A,增益!$K:$K,0)))/200,($F$13-$I$4+VLOOKUP($R59,武学奇术!$A:$ZZ,13,FALSE)+SUM(_xlfn.XLOOKUP(S59:AL59,增益!$A:$A,增益!$M:$M,0)))/100)</f>
        <v>-0.14</v>
      </c>
      <c r="BJ59" s="29" cm="1">
        <f t="array" ref="BJ59">$G$13+VLOOKUP($R59,武学奇术!$A:$ZZ,14,FALSE)+SUM(_xlfn.XLOOKUP(S59:AL59,增益!$A:$A,增益!$N:$N,0))</f>
        <v>0.02</v>
      </c>
      <c r="BK59">
        <f t="shared" si="18"/>
        <v>618.2</v>
      </c>
      <c r="BL59">
        <f t="shared" si="19"/>
        <v>1805</v>
      </c>
      <c r="BM59" s="29" cm="1">
        <f t="array" ref="BM59">IF($F$14-$I$4+VLOOKUP($R59,武学奇术!$A:$ZZ,15,FALSE)+SUM(_xlfn.XLOOKUP(S59:AL59,增益!$A:$A,增益!$O:$O,0))&gt;0,($F$14-$I$4+VLOOKUP($R59,武学奇术!$A:$ZZ,15,FALSE)+SUM(_xlfn.XLOOKUP(S59:AL59,增益!$A:$A,增益!$O:$O,0)))/200,($F$14-$I$4+VLOOKUP($R59,武学奇术!$A:$ZZ,15,FALSE)+SUM(_xlfn.XLOOKUP(S59:AL59,增益!$A:$A,增益!$O:$O,0)))/100)</f>
        <v>0.13</v>
      </c>
      <c r="BN59" s="29" cm="1">
        <f t="array" ref="BN59">$G$14+VLOOKUP($R59,武学奇术!$A:$ZZ,16,FALSE)+SUM(_xlfn.XLOOKUP(S59:AL59,增益!$A:$A,增益!$P:$P,0))</f>
        <v>0.23</v>
      </c>
      <c r="BO59" s="23">
        <f>MIN(IF(VLOOKUP($R59,武学奇术!$A:$ZZ,23,FALSE)=1,100%,$B$8),100%)</f>
        <v>0.9943</v>
      </c>
      <c r="BP59" s="23" cm="1">
        <f t="array" ref="BP59">IF(VLOOKUP($R59,武学奇术!$A:$ZZ,23,FALSE)=1,100%,MIN(80%,$B$9+VLOOKUP($R59,武学奇术!$A:$ZZ,17,FALSE)+SUM(_xlfn.XLOOKUP(S59:AL59,增益!$A:$A,增益!$Q:$Q,0)))+$B$11+SUM(_xlfn.XLOOKUP(S59:AL59,增益!$A:$A,增益!$U:$U,0)))*IF(VLOOKUP($R59,武学奇术!$A:$ZZ,24,FALSE)=1,0,1)</f>
        <v>0.887</v>
      </c>
      <c r="BQ59" s="23" cm="1">
        <f t="array" ref="BQ59">1+$B$13+VLOOKUP($R59,武学奇术!$A:$ZZ,18,FALSE)+SUM(_xlfn.XLOOKUP(S59:AL59,增益!$A:$A,增益!$R:$R,0))</f>
        <v>2.384</v>
      </c>
      <c r="BR59" s="23" cm="1">
        <f t="array" ref="BR59">IF(VLOOKUP($R59,武学奇术!$A:$ZZ,24,FALSE)=1,100%,MIN(40%,$B$10+VLOOKUP($R59,武学奇术!$A:$ZZ,19,FALSE)+SUM(_xlfn.XLOOKUP(S59:AL59,增益!$A:$A,增益!$S:$S,0)))+$B$12+SUM(_xlfn.XLOOKUP(S59:AL59,增益!$A:$A,增益!$V:$V,0)))*IF(VLOOKUP($R59,武学奇术!$A:$ZZ,23,FALSE)=1,0,1)</f>
        <v>0.0913</v>
      </c>
      <c r="BS59" s="23" cm="1">
        <f t="array" ref="BS59">1+$B$14+VLOOKUP($R59,武学奇术!$A:$ZZ,20,FALSE)+SUM(_xlfn.XLOOKUP(S59:AL59,增益!$A:$A,增益!$T:$T,0))</f>
        <v>1.35</v>
      </c>
      <c r="BT59" s="23">
        <f t="shared" si="20"/>
        <v>0.8819441</v>
      </c>
      <c r="BU59" s="23">
        <f t="shared" si="21"/>
        <v>0.0215763099999999</v>
      </c>
      <c r="BV59" s="23">
        <f>IF(VLOOKUP($R59,武学奇术!$A:$ZZ,22,FALSE)=1,0,(1-$BO59))*(1-$BR59)</f>
        <v>0.00517958999999993</v>
      </c>
      <c r="BW59" s="23" cm="1">
        <f t="array" ref="BW59">SUM(_xlfn.XLOOKUP(S59:AL59,增益!$A:$A,增益!$W:$W,0))+$I$5</f>
        <v>0.11</v>
      </c>
      <c r="BX59" s="23">
        <f>VLOOKUP($R59,武学奇术!$A:$ZZ,32,FALSE)</f>
        <v>0.1</v>
      </c>
      <c r="BY59" s="23" cm="1">
        <f t="array" ref="BY59">SUM(_xlfn.XLOOKUP($S59:$AL59,增益!$A:$A,增益!$X:$X,0))</f>
        <v>0</v>
      </c>
    </row>
    <row r="60" spans="1:77">
      <c r="A60" s="4" t="s">
        <v>176</v>
      </c>
      <c r="B60" s="4">
        <v>0.1</v>
      </c>
      <c r="C60" s="36"/>
      <c r="E60" s="36"/>
      <c r="K60" s="35">
        <f>$L60*VLOOKUP($R60,武学奇术!$A:$ZZ,31,FALSE)</f>
        <v>146778.398835245</v>
      </c>
      <c r="L60" s="58">
        <f t="shared" si="11"/>
        <v>131052.141817183</v>
      </c>
      <c r="M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轻击",$B$21,0))*(1+IF(VLOOKUP($R60,武学奇术!$A:$ZZ,30,FALSE)="老鼠",$B$22,0))*(1+$BW60)*(1+$BX60)</f>
        <v>137826.19518898</v>
      </c>
      <c r="N60" s="35">
        <f>(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轻击",$B$21,0))*(1+IF(VLOOKUP($R60,武学奇术!$A:$ZZ,30,FALSE)="老鼠",$B$22,0))*(1+$BW60))*(1+$BX60)</f>
        <v>87475.0727969349</v>
      </c>
      <c r="O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轻击",$B$21,0))*(1+IF(VLOOKUP($R60,武学奇术!$A:$ZZ,30,FALSE)="老鼠",$B$22,0))*(1+$BW60)*(1+$BX60)</f>
        <v>57813.0013376595</v>
      </c>
      <c r="P60" s="35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轻击",$B$21,0))*(1+IF(VLOOKUP($R60,武学奇术!$A:$ZZ,30,FALSE)="老鼠",$B$22,0))*(1+$BW60)*(1+$BX60)</f>
        <v>50829.6524553672</v>
      </c>
      <c r="Q60" s="36">
        <v>1</v>
      </c>
      <c r="R60" s="37" t="s">
        <v>158</v>
      </c>
      <c r="S60" s="37" t="s">
        <v>91</v>
      </c>
      <c r="T60" s="37" t="s">
        <v>184</v>
      </c>
      <c r="U60" s="37" t="s">
        <v>112</v>
      </c>
      <c r="V60" s="37" t="s">
        <v>113</v>
      </c>
      <c r="W60" s="37" t="s">
        <v>82</v>
      </c>
      <c r="X60" s="37" t="s">
        <v>81</v>
      </c>
      <c r="Y60" s="37" t="s">
        <v>109</v>
      </c>
      <c r="Z60" s="37" t="s">
        <v>83</v>
      </c>
      <c r="AA60" s="37" t="s">
        <v>84</v>
      </c>
      <c r="AB60" s="37" t="s">
        <v>81</v>
      </c>
      <c r="AC60" s="37" t="s">
        <v>81</v>
      </c>
      <c r="AD60" s="37" t="s">
        <v>85</v>
      </c>
      <c r="AE60" s="37" t="s">
        <v>86</v>
      </c>
      <c r="AF60" s="37" t="s">
        <v>181</v>
      </c>
      <c r="AG60" s="37" t="s">
        <v>87</v>
      </c>
      <c r="AH60" s="37" t="s">
        <v>88</v>
      </c>
      <c r="AI60" s="37" t="s">
        <v>81</v>
      </c>
      <c r="AJ60" s="37" t="s">
        <v>81</v>
      </c>
      <c r="AK60" s="37" t="s">
        <v>81</v>
      </c>
      <c r="AL60" s="37" t="s">
        <v>81</v>
      </c>
      <c r="AM60" t="str">
        <f>VLOOKUP($R60,武学奇术!$A:$ZZ,25,FALSE)</f>
        <v>双刀</v>
      </c>
      <c r="AN60" s="23">
        <f>VLOOKUP($R60,武学奇术!$A:$ZZ,26,FALSE)</f>
        <v>2.5342</v>
      </c>
      <c r="AO60" s="24">
        <f>VLOOKUP($R60,武学奇术!$A:$ZZ,27,FALSE)*(1+IF(OR($AM60=$F$4,$AM60=$F$5),$B$23,0))</f>
        <v>1123.2</v>
      </c>
      <c r="AP60" s="23">
        <f>VLOOKUP($R60,武学奇术!$A:$ZZ,28,FALSE)</f>
        <v>3.8012</v>
      </c>
      <c r="AQ60" s="24">
        <f>VLOOKUP($R60,武学奇术!$A:$ZZ,29,FALSE)*(1+IF(OR($AM60=$F$4,$AM60=$F$5),$B$23,0))</f>
        <v>611.2</v>
      </c>
      <c r="AR60" s="23" cm="1">
        <f t="array" ref="AR60">$G$3+IFERROR(VLOOKUP($AM60,$F$4:$G$7,2,FALSE),0)+VLOOKUP($R60,武学奇术!$A:$ZZ,2,FALSE)+SUM(_xlfn.XLOOKUP($S60:$AL60,增益!$A:$A,增益!$B:$B,0))</f>
        <v>0.8243</v>
      </c>
      <c r="AS60" s="23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4150.4</v>
      </c>
      <c r="AU60" cm="1">
        <f t="array" ref="AU60">$E$10*(1+$AS60)+VLOOKUP($R60,武学奇术!$A:$ZZ,4,FALSE)+SUM(_xlfn.XLOOKUP($S60:$AL60,增益!$A:$A,增益!$D:$D,0))-$I$2</f>
        <v>4150.4</v>
      </c>
      <c r="AV60" s="29" cm="1">
        <f t="array" ref="AV60">IF($F$10-$I$3+VLOOKUP($R60,武学奇术!$A:$ZZ,6,FALSE)+SUM(_xlfn.XLOOKUP(S60:AL60,增益!$A:$A,增益!$F:$F,0))&gt;0,($F$10-$I$3+VLOOKUP($R60,武学奇术!$A:$ZZ,6,FALSE)+SUM(_xlfn.XLOOKUP(S60:AL60,增益!$A:$A,增益!$F:$F,0)))/200,($F$10-$I$3+VLOOKUP($R60,武学奇术!$A:$ZZ,6,FALSE)+SUM(_xlfn.XLOOKUP(S60:AL60,增益!$A:$A,增益!$F:$F,0)))/100)</f>
        <v>0.4539</v>
      </c>
      <c r="AW60" s="29" cm="1">
        <f t="array" ref="AW60">$G$10+VLOOKUP($R60,武学奇术!$A:$ZZ,7,FALSE)+SUM(_xlfn.XLOOKUP(S60:AL60,增益!$A:$A,增益!$G:$G,0))</f>
        <v>0.08</v>
      </c>
      <c r="AX60" s="23" cm="1">
        <f t="array" ref="AX60">VLOOKUP($R60,武学奇术!$A:$ZZ,8,FALSE)+SUM(_xlfn.XLOOKUP(S60:AL60,增益!$A:$A,增益!$H:$H,0))</f>
        <v>0</v>
      </c>
      <c r="AY60">
        <f t="shared" si="12"/>
        <v>0</v>
      </c>
      <c r="AZ60">
        <f t="shared" si="13"/>
        <v>0</v>
      </c>
      <c r="BA60" s="29" cm="1">
        <f t="array" ref="BA60">IF($F$11-$I$4+VLOOKUP($R60,武学奇术!$A:$ZZ,9,FALSE)+SUM(_xlfn.XLOOKUP(S60:AL60,增益!$A:$A,增益!$I:$I,0))&gt;0,($F$11-$I$4+VLOOKUP($R60,武学奇术!$A:$ZZ,9,FALSE)+SUM(_xlfn.XLOOKUP(S60:AL60,增益!$A:$A,增益!$I:$I,0)))/200,($F$11-$I$4+VLOOKUP($R60,武学奇术!$A:$ZZ,9,FALSE)+SUM(_xlfn.XLOOKUP(S60:AL60,增益!$A:$A,增益!$I:$I,0)))/100)</f>
        <v>-0.14</v>
      </c>
      <c r="BB60" s="29" cm="1">
        <f t="array" ref="BB60">$G$11+VLOOKUP($R60,武学奇术!$A:$ZZ,10,FALSE)+SUM(_xlfn.XLOOKUP(S60:AL60,增益!$A:$A,增益!$J:$J,0))</f>
        <v>0.02</v>
      </c>
      <c r="BC60">
        <f t="shared" si="14"/>
        <v>0</v>
      </c>
      <c r="BD60">
        <f t="shared" si="15"/>
        <v>0</v>
      </c>
      <c r="BE60" s="29" cm="1">
        <f t="array" ref="BE60">IF($F$12-$I$4+VLOOKUP($R60,武学奇术!$A:$ZZ,11,FALSE)+SUM(_xlfn.XLOOKUP(S60:AL60,增益!$A:$A,增益!$K:$K,0))&gt;0,($F$12-$I$4+VLOOKUP($R60,武学奇术!$A:$ZZ,11,FALSE)+SUM(_xlfn.XLOOKUP(S60:AL60,增益!$A:$A,增益!$K:$K,0)))/200,($F$12-$I$4+VLOOKUP($R60,武学奇术!$A:$ZZ,11,FALSE)+SUM(_xlfn.XLOOKUP(S60:AL60,增益!$A:$A,增益!$K:$K,0)))/100)</f>
        <v>-0.14</v>
      </c>
      <c r="BF60" s="29" cm="1">
        <f t="array" ref="BF60">$G$12+VLOOKUP($R60,武学奇术!$A:$ZZ,12,FALSE)+SUM(_xlfn.XLOOKUP(S60:AL60,增益!$A:$A,增益!$L:$L,0))</f>
        <v>0.02</v>
      </c>
      <c r="BG60">
        <f t="shared" si="16"/>
        <v>0</v>
      </c>
      <c r="BH60">
        <f t="shared" si="17"/>
        <v>0</v>
      </c>
      <c r="BI60" s="29" cm="1">
        <f t="array" ref="BI60">IF($F$13-$I$4+VLOOKUP($R60,武学奇术!$A:$ZZ,13,FALSE)+SUM(_xlfn.XLOOKUP(S60:AL60,增益!$A:$A,增益!$M:$M,0))&gt;0,($F$13-$I$4+VLOOKUP($R60,武学奇术!$A:$ZZ,13,FALSE)+SUM(_xlfn.XLOOKUP(S60:AL60,增益!$A:$A,增益!$K:$K,0)))/200,($F$13-$I$4+VLOOKUP($R60,武学奇术!$A:$ZZ,13,FALSE)+SUM(_xlfn.XLOOKUP(S60:AL60,增益!$A:$A,增益!$M:$M,0)))/100)</f>
        <v>-0.14</v>
      </c>
      <c r="BJ60" s="29" cm="1">
        <f t="array" ref="BJ60">$G$13+VLOOKUP($R60,武学奇术!$A:$ZZ,14,FALSE)+SUM(_xlfn.XLOOKUP(S60:AL60,增益!$A:$A,增益!$N:$N,0))</f>
        <v>0.02</v>
      </c>
      <c r="BK60">
        <f t="shared" si="18"/>
        <v>618.2</v>
      </c>
      <c r="BL60">
        <f t="shared" si="19"/>
        <v>1805</v>
      </c>
      <c r="BM60" s="29" cm="1">
        <f t="array" ref="BM60">IF($F$14-$I$4+VLOOKUP($R60,武学奇术!$A:$ZZ,15,FALSE)+SUM(_xlfn.XLOOKUP(S60:AL60,增益!$A:$A,增益!$O:$O,0))&gt;0,($F$14-$I$4+VLOOKUP($R60,武学奇术!$A:$ZZ,15,FALSE)+SUM(_xlfn.XLOOKUP(S60:AL60,增益!$A:$A,增益!$O:$O,0)))/200,($F$14-$I$4+VLOOKUP($R60,武学奇术!$A:$ZZ,15,FALSE)+SUM(_xlfn.XLOOKUP(S60:AL60,增益!$A:$A,增益!$O:$O,0)))/100)</f>
        <v>0.13</v>
      </c>
      <c r="BN60" s="29" cm="1">
        <f t="array" ref="BN60">$G$14+VLOOKUP($R60,武学奇术!$A:$ZZ,16,FALSE)+SUM(_xlfn.XLOOKUP(S60:AL60,增益!$A:$A,增益!$P:$P,0))</f>
        <v>0.23</v>
      </c>
      <c r="BO60" s="23">
        <f>MIN(IF(VLOOKUP($R60,武学奇术!$A:$ZZ,23,FALSE)=1,100%,$B$8),100%)</f>
        <v>0.9943</v>
      </c>
      <c r="BP60" s="23" cm="1">
        <f t="array" ref="BP60">IF(VLOOKUP($R60,武学奇术!$A:$ZZ,23,FALSE)=1,100%,MIN(80%,$B$9+VLOOKUP($R60,武学奇术!$A:$ZZ,17,FALSE)+SUM(_xlfn.XLOOKUP(S60:AL60,增益!$A:$A,增益!$Q:$Q,0)))+$B$11+SUM(_xlfn.XLOOKUP(S60:AL60,增益!$A:$A,增益!$U:$U,0)))*IF(VLOOKUP($R60,武学奇术!$A:$ZZ,24,FALSE)=1,0,1)</f>
        <v>0.887</v>
      </c>
      <c r="BQ60" s="23" cm="1">
        <f t="array" ref="BQ60">1+$B$13+VLOOKUP($R60,武学奇术!$A:$ZZ,18,FALSE)+SUM(_xlfn.XLOOKUP(S60:AL60,增益!$A:$A,增益!$R:$R,0))</f>
        <v>2.384</v>
      </c>
      <c r="BR60" s="23" cm="1">
        <f t="array" ref="BR60">IF(VLOOKUP($R60,武学奇术!$A:$ZZ,24,FALSE)=1,100%,MIN(40%,$B$10+VLOOKUP($R60,武学奇术!$A:$ZZ,19,FALSE)+SUM(_xlfn.XLOOKUP(S60:AL60,增益!$A:$A,增益!$S:$S,0)))+$B$12+SUM(_xlfn.XLOOKUP(S60:AL60,增益!$A:$A,增益!$V:$V,0)))*IF(VLOOKUP($R60,武学奇术!$A:$ZZ,23,FALSE)=1,0,1)</f>
        <v>0.0913</v>
      </c>
      <c r="BS60" s="23" cm="1">
        <f t="array" ref="BS60">1+$B$14+VLOOKUP($R60,武学奇术!$A:$ZZ,20,FALSE)+SUM(_xlfn.XLOOKUP(S60:AL60,增益!$A:$A,增益!$T:$T,0))</f>
        <v>1.35</v>
      </c>
      <c r="BT60" s="23">
        <f t="shared" si="20"/>
        <v>0.8819441</v>
      </c>
      <c r="BU60" s="23">
        <f t="shared" si="21"/>
        <v>0.0215763099999999</v>
      </c>
      <c r="BV60" s="23">
        <f>IF(VLOOKUP($R60,武学奇术!$A:$ZZ,22,FALSE)=1,0,(1-$BO60))*(1-$BR60)</f>
        <v>0.00517958999999993</v>
      </c>
      <c r="BW60" s="23" cm="1">
        <f t="array" ref="BW60">SUM(_xlfn.XLOOKUP(S60:AL60,增益!$A:$A,增益!$W:$W,0))+$I$5</f>
        <v>0.11</v>
      </c>
      <c r="BX60" s="23">
        <f>VLOOKUP($R60,武学奇术!$A:$ZZ,32,FALSE)</f>
        <v>0.1</v>
      </c>
      <c r="BY60" s="23" cm="1">
        <f t="array" ref="BY60">SUM(_xlfn.XLOOKUP($S60:$AL60,增益!$A:$A,增益!$X:$X,0))</f>
        <v>0</v>
      </c>
    </row>
    <row r="61" spans="1:77">
      <c r="A61" s="4" t="s">
        <v>161</v>
      </c>
      <c r="B61" s="4">
        <v>1</v>
      </c>
      <c r="C61" s="36"/>
      <c r="E61" s="36"/>
      <c r="K61" s="35">
        <f>$L61*VLOOKUP($R61,武学奇术!$A:$ZZ,31,FALSE)</f>
        <v>56095.4325038954</v>
      </c>
      <c r="L61" s="58">
        <f t="shared" ref="L61:L73" si="22">($M61*$BT61+$N61*$BR61+$O61*$BU61+$P61*$BV61)</f>
        <v>54995.5220626425</v>
      </c>
      <c r="M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轻击",$B$21,0))*(1+IF(VLOOKUP($R61,武学奇术!$A:$ZZ,30,FALSE)="老鼠",$B$22,0))*(1+$BW61)*(1+$BX61)</f>
        <v>57844.2106199523</v>
      </c>
      <c r="N61" s="35">
        <f>(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轻击",$B$21,0))*(1+IF(VLOOKUP($R61,武学奇术!$A:$ZZ,30,FALSE)="老鼠",$B$22,0))*(1+$BW61))*(1+$BX61)</f>
        <v>36647.3239700108</v>
      </c>
      <c r="O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轻击",$B$21,0))*(1+IF(VLOOKUP($R61,武学奇术!$A:$ZZ,30,FALSE)="老鼠",$B$22,0))*(1+$BW61)*(1+$BX61)</f>
        <v>24263.5111660874</v>
      </c>
      <c r="P61" s="35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轻击",$B$21,0))*(1+IF(VLOOKUP($R61,武学奇术!$A:$ZZ,30,FALSE)="老鼠",$B$22,0))*(1+$BW61)*(1+$BX61)</f>
        <v>21380.856428463</v>
      </c>
      <c r="Q61" s="36">
        <v>1</v>
      </c>
      <c r="R61" s="37" t="s">
        <v>160</v>
      </c>
      <c r="S61" s="37" t="s">
        <v>91</v>
      </c>
      <c r="T61" s="37" t="s">
        <v>184</v>
      </c>
      <c r="U61" s="37" t="s">
        <v>81</v>
      </c>
      <c r="V61" s="37" t="s">
        <v>81</v>
      </c>
      <c r="W61" s="37" t="s">
        <v>82</v>
      </c>
      <c r="X61" s="37" t="s">
        <v>81</v>
      </c>
      <c r="Y61" s="37" t="s">
        <v>81</v>
      </c>
      <c r="Z61" s="37" t="s">
        <v>83</v>
      </c>
      <c r="AA61" s="37" t="s">
        <v>84</v>
      </c>
      <c r="AB61" s="37" t="s">
        <v>81</v>
      </c>
      <c r="AC61" s="37" t="s">
        <v>81</v>
      </c>
      <c r="AD61" s="37" t="s">
        <v>85</v>
      </c>
      <c r="AE61" s="37" t="s">
        <v>86</v>
      </c>
      <c r="AF61" s="37" t="s">
        <v>181</v>
      </c>
      <c r="AG61" s="37" t="s">
        <v>87</v>
      </c>
      <c r="AH61" s="37" t="s">
        <v>88</v>
      </c>
      <c r="AI61" s="37" t="s">
        <v>81</v>
      </c>
      <c r="AJ61" s="37" t="s">
        <v>81</v>
      </c>
      <c r="AK61" s="37" t="s">
        <v>81</v>
      </c>
      <c r="AL61" s="37" t="s">
        <v>81</v>
      </c>
      <c r="AM61" t="str">
        <f>VLOOKUP($R61,武学奇术!$A:$ZZ,25,FALSE)</f>
        <v>双刀</v>
      </c>
      <c r="AN61" s="23">
        <f>VLOOKUP($R61,武学奇术!$A:$ZZ,26,FALSE)</f>
        <v>1.3548</v>
      </c>
      <c r="AO61" s="24">
        <f>VLOOKUP($R61,武学奇术!$A:$ZZ,27,FALSE)*(1+IF(OR($AM61=$F$4,$AM61=$F$5),$B$23,0))</f>
        <v>601.6</v>
      </c>
      <c r="AP61" s="23">
        <f>VLOOKUP($R61,武学奇术!$A:$ZZ,28,FALSE)</f>
        <v>2.0322</v>
      </c>
      <c r="AQ61" s="24">
        <f>VLOOKUP($R61,武学奇术!$A:$ZZ,29,FALSE)*(1+IF(OR($AM61=$F$4,$AM61=$F$5),$B$23,0))</f>
        <v>328</v>
      </c>
      <c r="AR61" s="23" cm="1">
        <f t="array" ref="AR61">$G$3+IFERROR(VLOOKUP($AM61,$F$4:$G$7,2,FALSE),0)+VLOOKUP($R61,武学奇术!$A:$ZZ,2,FALSE)+SUM(_xlfn.XLOOKUP($S61:$AL61,增益!$A:$A,增益!$B:$B,0))</f>
        <v>0.7043</v>
      </c>
      <c r="AS61" s="23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4081.7</v>
      </c>
      <c r="AU61" cm="1">
        <f t="array" ref="AU61">$E$10*(1+$AS61)+VLOOKUP($R61,武学奇术!$A:$ZZ,4,FALSE)+SUM(_xlfn.XLOOKUP($S61:$AL61,增益!$A:$A,增益!$D:$D,0))-$I$2</f>
        <v>4081.7</v>
      </c>
      <c r="AV61" s="29" cm="1">
        <f t="array" ref="AV61">IF($F$10-$I$3+VLOOKUP($R61,武学奇术!$A:$ZZ,6,FALSE)+SUM(_xlfn.XLOOKUP(S61:AL61,增益!$A:$A,增益!$F:$F,0))&gt;0,($F$10-$I$3+VLOOKUP($R61,武学奇术!$A:$ZZ,6,FALSE)+SUM(_xlfn.XLOOKUP(S61:AL61,增益!$A:$A,增益!$F:$F,0)))/200,($F$10-$I$3+VLOOKUP($R61,武学奇术!$A:$ZZ,6,FALSE)+SUM(_xlfn.XLOOKUP(S61:AL61,增益!$A:$A,增益!$F:$F,0)))/100)</f>
        <v>0.4539</v>
      </c>
      <c r="AW61" s="29" cm="1">
        <f t="array" ref="AW61">$G$10+VLOOKUP($R61,武学奇术!$A:$ZZ,7,FALSE)+SUM(_xlfn.XLOOKUP(S61:AL61,增益!$A:$A,增益!$G:$G,0))</f>
        <v>0.02</v>
      </c>
      <c r="AX61" s="23" cm="1">
        <f t="array" ref="AX61">VLOOKUP($R61,武学奇术!$A:$ZZ,8,FALSE)+SUM(_xlfn.XLOOKUP(S61:AL61,增益!$A:$A,增益!$H:$H,0))</f>
        <v>0</v>
      </c>
      <c r="AY61">
        <f t="shared" si="12"/>
        <v>0</v>
      </c>
      <c r="AZ61">
        <f t="shared" si="13"/>
        <v>0</v>
      </c>
      <c r="BA61" s="29" cm="1">
        <f t="array" ref="BA61">IF($F$11-$I$4+VLOOKUP($R61,武学奇术!$A:$ZZ,9,FALSE)+SUM(_xlfn.XLOOKUP(S61:AL61,增益!$A:$A,增益!$I:$I,0))&gt;0,($F$11-$I$4+VLOOKUP($R61,武学奇术!$A:$ZZ,9,FALSE)+SUM(_xlfn.XLOOKUP(S61:AL61,增益!$A:$A,增益!$I:$I,0)))/200,($F$11-$I$4+VLOOKUP($R61,武学奇术!$A:$ZZ,9,FALSE)+SUM(_xlfn.XLOOKUP(S61:AL61,增益!$A:$A,增益!$I:$I,0)))/100)</f>
        <v>-0.14</v>
      </c>
      <c r="BB61" s="29" cm="1">
        <f t="array" ref="BB61">$G$11+VLOOKUP($R61,武学奇术!$A:$ZZ,10,FALSE)+SUM(_xlfn.XLOOKUP(S61:AL61,增益!$A:$A,增益!$J:$J,0))</f>
        <v>0.02</v>
      </c>
      <c r="BC61">
        <f t="shared" si="14"/>
        <v>0</v>
      </c>
      <c r="BD61">
        <f t="shared" si="15"/>
        <v>0</v>
      </c>
      <c r="BE61" s="29" cm="1">
        <f t="array" ref="BE61">IF($F$12-$I$4+VLOOKUP($R61,武学奇术!$A:$ZZ,11,FALSE)+SUM(_xlfn.XLOOKUP(S61:AL61,增益!$A:$A,增益!$K:$K,0))&gt;0,($F$12-$I$4+VLOOKUP($R61,武学奇术!$A:$ZZ,11,FALSE)+SUM(_xlfn.XLOOKUP(S61:AL61,增益!$A:$A,增益!$K:$K,0)))/200,($F$12-$I$4+VLOOKUP($R61,武学奇术!$A:$ZZ,11,FALSE)+SUM(_xlfn.XLOOKUP(S61:AL61,增益!$A:$A,增益!$K:$K,0)))/100)</f>
        <v>-0.14</v>
      </c>
      <c r="BF61" s="29" cm="1">
        <f t="array" ref="BF61">$G$12+VLOOKUP($R61,武学奇术!$A:$ZZ,12,FALSE)+SUM(_xlfn.XLOOKUP(S61:AL61,增益!$A:$A,增益!$L:$L,0))</f>
        <v>0.02</v>
      </c>
      <c r="BG61">
        <f t="shared" si="16"/>
        <v>0</v>
      </c>
      <c r="BH61">
        <f t="shared" si="17"/>
        <v>0</v>
      </c>
      <c r="BI61" s="29" cm="1">
        <f t="array" ref="BI61">IF($F$13-$I$4+VLOOKUP($R61,武学奇术!$A:$ZZ,13,FALSE)+SUM(_xlfn.XLOOKUP(S61:AL61,增益!$A:$A,增益!$M:$M,0))&gt;0,($F$13-$I$4+VLOOKUP($R61,武学奇术!$A:$ZZ,13,FALSE)+SUM(_xlfn.XLOOKUP(S61:AL61,增益!$A:$A,增益!$K:$K,0)))/200,($F$13-$I$4+VLOOKUP($R61,武学奇术!$A:$ZZ,13,FALSE)+SUM(_xlfn.XLOOKUP(S61:AL61,增益!$A:$A,增益!$M:$M,0)))/100)</f>
        <v>-0.14</v>
      </c>
      <c r="BJ61" s="29" cm="1">
        <f t="array" ref="BJ61">$G$13+VLOOKUP($R61,武学奇术!$A:$ZZ,14,FALSE)+SUM(_xlfn.XLOOKUP(S61:AL61,增益!$A:$A,增益!$N:$N,0))</f>
        <v>0.02</v>
      </c>
      <c r="BK61">
        <f t="shared" si="18"/>
        <v>618.2</v>
      </c>
      <c r="BL61">
        <f t="shared" si="19"/>
        <v>1805</v>
      </c>
      <c r="BM61" s="29" cm="1">
        <f t="array" ref="BM61">IF($F$14-$I$4+VLOOKUP($R61,武学奇术!$A:$ZZ,15,FALSE)+SUM(_xlfn.XLOOKUP(S61:AL61,增益!$A:$A,增益!$O:$O,0))&gt;0,($F$14-$I$4+VLOOKUP($R61,武学奇术!$A:$ZZ,15,FALSE)+SUM(_xlfn.XLOOKUP(S61:AL61,增益!$A:$A,增益!$O:$O,0)))/200,($F$14-$I$4+VLOOKUP($R61,武学奇术!$A:$ZZ,15,FALSE)+SUM(_xlfn.XLOOKUP(S61:AL61,增益!$A:$A,增益!$O:$O,0)))/100)</f>
        <v>0.08</v>
      </c>
      <c r="BN61" s="29" cm="1">
        <f t="array" ref="BN61">$G$14+VLOOKUP($R61,武学奇术!$A:$ZZ,16,FALSE)+SUM(_xlfn.XLOOKUP(S61:AL61,增益!$A:$A,增益!$P:$P,0))</f>
        <v>0.17</v>
      </c>
      <c r="BO61" s="23">
        <f>MIN(IF(VLOOKUP($R61,武学奇术!$A:$ZZ,23,FALSE)=1,100%,$B$8),100%)</f>
        <v>0.9943</v>
      </c>
      <c r="BP61" s="23" cm="1">
        <f t="array" ref="BP61">IF(VLOOKUP($R61,武学奇术!$A:$ZZ,23,FALSE)=1,100%,MIN(80%,$B$9+VLOOKUP($R61,武学奇术!$A:$ZZ,17,FALSE)+SUM(_xlfn.XLOOKUP(S61:AL61,增益!$A:$A,增益!$Q:$Q,0)))+$B$11+SUM(_xlfn.XLOOKUP(S61:AL61,增益!$A:$A,增益!$U:$U,0)))*IF(VLOOKUP($R61,武学奇术!$A:$ZZ,24,FALSE)=1,0,1)</f>
        <v>0.887</v>
      </c>
      <c r="BQ61" s="23" cm="1">
        <f t="array" ref="BQ61">1+$B$13+VLOOKUP($R61,武学奇术!$A:$ZZ,18,FALSE)+SUM(_xlfn.XLOOKUP(S61:AL61,增益!$A:$A,增益!$R:$R,0))</f>
        <v>2.384</v>
      </c>
      <c r="BR61" s="23" cm="1">
        <f t="array" ref="BR61">IF(VLOOKUP($R61,武学奇术!$A:$ZZ,24,FALSE)=1,100%,MIN(40%,$B$10+VLOOKUP($R61,武学奇术!$A:$ZZ,19,FALSE)+SUM(_xlfn.XLOOKUP(S61:AL61,增益!$A:$A,增益!$S:$S,0)))+$B$12+SUM(_xlfn.XLOOKUP(S61:AL61,增益!$A:$A,增益!$V:$V,0)))*IF(VLOOKUP($R61,武学奇术!$A:$ZZ,23,FALSE)=1,0,1)</f>
        <v>0.0913</v>
      </c>
      <c r="BS61" s="23" cm="1">
        <f t="array" ref="BS61">1+$B$14+VLOOKUP($R61,武学奇术!$A:$ZZ,20,FALSE)+SUM(_xlfn.XLOOKUP(S61:AL61,增益!$A:$A,增益!$T:$T,0))</f>
        <v>1.35</v>
      </c>
      <c r="BT61" s="23">
        <f t="shared" si="20"/>
        <v>0.8819441</v>
      </c>
      <c r="BU61" s="23">
        <f t="shared" si="21"/>
        <v>0.0215763099999999</v>
      </c>
      <c r="BV61" s="23">
        <f>IF(VLOOKUP($R61,武学奇术!$A:$ZZ,22,FALSE)=1,0,(1-$BO61))*(1-$BR61)</f>
        <v>0.00517958999999993</v>
      </c>
      <c r="BW61" s="23" cm="1">
        <f t="array" ref="BW61">SUM(_xlfn.XLOOKUP(S61:AL61,增益!$A:$A,增益!$W:$W,0))+$I$5</f>
        <v>0.11</v>
      </c>
      <c r="BX61" s="23">
        <f>VLOOKUP($R61,武学奇术!$A:$ZZ,32,FALSE)</f>
        <v>0</v>
      </c>
      <c r="BY61" s="23" cm="1">
        <f t="array" ref="BY61">SUM(_xlfn.XLOOKUP($S61:$AL61,增益!$A:$A,增益!$X:$X,0))</f>
        <v>0</v>
      </c>
    </row>
    <row r="62" spans="1:77">
      <c r="A62" s="4" t="s">
        <v>102</v>
      </c>
      <c r="B62" s="4">
        <v>1</v>
      </c>
      <c r="C62" s="36"/>
      <c r="E62" s="36"/>
      <c r="K62" s="35">
        <f>$L62*VLOOKUP($R62,武学奇术!$A:$ZZ,31,FALSE)</f>
        <v>37503.8843496772</v>
      </c>
      <c r="L62" s="58">
        <f t="shared" si="22"/>
        <v>33485.6110264975</v>
      </c>
      <c r="M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轻击",$B$21,0))*(1+IF(VLOOKUP($R62,武学奇术!$A:$ZZ,30,FALSE)="老鼠",$B$22,0))*(1+$BW62)*(1+$BX62)</f>
        <v>35216.5793833943</v>
      </c>
      <c r="N62" s="35">
        <f>(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轻击",$B$21,0))*(1+IF(VLOOKUP($R62,武学奇术!$A:$ZZ,30,FALSE)="老鼠",$B$22,0))*(1+$BW62))*(1+$BX62)</f>
        <v>22349.9975860827</v>
      </c>
      <c r="O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轻击",$B$21,0))*(1+IF(VLOOKUP($R62,武学奇术!$A:$ZZ,30,FALSE)="老鼠",$B$22,0))*(1+$BW62)*(1+$BX62)</f>
        <v>14772.0551104842</v>
      </c>
      <c r="P62" s="35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轻击",$B$21,0))*(1+IF(VLOOKUP($R62,武学奇术!$A:$ZZ,30,FALSE)="老鼠",$B$22,0))*(1+$BW62)*(1+$BX62)</f>
        <v>12988.5564534997</v>
      </c>
      <c r="Q62" s="36">
        <v>1</v>
      </c>
      <c r="R62" s="37" t="s">
        <v>139</v>
      </c>
      <c r="S62" s="37" t="s">
        <v>91</v>
      </c>
      <c r="T62" s="37" t="s">
        <v>184</v>
      </c>
      <c r="U62" s="37" t="s">
        <v>112</v>
      </c>
      <c r="V62" s="37" t="s">
        <v>113</v>
      </c>
      <c r="W62" s="37" t="s">
        <v>82</v>
      </c>
      <c r="X62" s="37" t="s">
        <v>81</v>
      </c>
      <c r="Y62" s="37" t="s">
        <v>109</v>
      </c>
      <c r="Z62" s="37" t="s">
        <v>83</v>
      </c>
      <c r="AA62" s="37" t="s">
        <v>84</v>
      </c>
      <c r="AB62" s="37" t="s">
        <v>81</v>
      </c>
      <c r="AC62" s="37" t="s">
        <v>81</v>
      </c>
      <c r="AD62" s="37" t="s">
        <v>85</v>
      </c>
      <c r="AE62" s="37" t="s">
        <v>86</v>
      </c>
      <c r="AF62" s="37" t="s">
        <v>181</v>
      </c>
      <c r="AG62" s="37" t="s">
        <v>87</v>
      </c>
      <c r="AH62" s="37" t="s">
        <v>88</v>
      </c>
      <c r="AI62" s="37" t="s">
        <v>81</v>
      </c>
      <c r="AJ62" s="37" t="s">
        <v>81</v>
      </c>
      <c r="AK62" s="37" t="s">
        <v>81</v>
      </c>
      <c r="AL62" s="37" t="s">
        <v>81</v>
      </c>
      <c r="AM62" t="str">
        <f>VLOOKUP($R62,武学奇术!$A:$ZZ,25,FALSE)</f>
        <v>双刀</v>
      </c>
      <c r="AN62" s="23">
        <f>VLOOKUP($R62,武学奇术!$A:$ZZ,26,FALSE)</f>
        <v>0.6472</v>
      </c>
      <c r="AO62" s="24">
        <f>VLOOKUP($R62,武学奇术!$A:$ZZ,27,FALSE)*(1+IF(OR($AM62=$F$4,$AM62=$F$5),$B$23,0))</f>
        <v>288</v>
      </c>
      <c r="AP62" s="23">
        <f>VLOOKUP($R62,武学奇术!$A:$ZZ,28,FALSE)</f>
        <v>0.9708</v>
      </c>
      <c r="AQ62" s="24">
        <f>VLOOKUP($R62,武学奇术!$A:$ZZ,29,FALSE)*(1+IF(OR($AM62=$F$4,$AM62=$F$5),$B$23,0))</f>
        <v>156.8</v>
      </c>
      <c r="AR62" s="23" cm="1">
        <f t="array" ref="AR62">$G$3+IFERROR(VLOOKUP($AM62,$F$4:$G$7,2,FALSE),0)+VLOOKUP($R62,武学奇术!$A:$ZZ,2,FALSE)+SUM(_xlfn.XLOOKUP($S62:$AL62,增益!$A:$A,增益!$B:$B,0))</f>
        <v>0.8243</v>
      </c>
      <c r="AS62" s="23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4150.4</v>
      </c>
      <c r="AU62" cm="1">
        <f t="array" ref="AU62">$E$10*(1+$AS62)+VLOOKUP($R62,武学奇术!$A:$ZZ,4,FALSE)+SUM(_xlfn.XLOOKUP($S62:$AL62,增益!$A:$A,增益!$D:$D,0))-$I$2</f>
        <v>4150.4</v>
      </c>
      <c r="AV62" s="29" cm="1">
        <f t="array" ref="AV62">IF($F$10-$I$3+VLOOKUP($R62,武学奇术!$A:$ZZ,6,FALSE)+SUM(_xlfn.XLOOKUP(S62:AL62,增益!$A:$A,增益!$F:$F,0))&gt;0,($F$10-$I$3+VLOOKUP($R62,武学奇术!$A:$ZZ,6,FALSE)+SUM(_xlfn.XLOOKUP(S62:AL62,增益!$A:$A,增益!$F:$F,0)))/200,($F$10-$I$3+VLOOKUP($R62,武学奇术!$A:$ZZ,6,FALSE)+SUM(_xlfn.XLOOKUP(S62:AL62,增益!$A:$A,增益!$F:$F,0)))/100)</f>
        <v>0.4539</v>
      </c>
      <c r="AW62" s="29" cm="1">
        <f t="array" ref="AW62">$G$10+VLOOKUP($R62,武学奇术!$A:$ZZ,7,FALSE)+SUM(_xlfn.XLOOKUP(S62:AL62,增益!$A:$A,增益!$G:$G,0))</f>
        <v>0.08</v>
      </c>
      <c r="AX62" s="23" cm="1">
        <f t="array" ref="AX62">VLOOKUP($R62,武学奇术!$A:$ZZ,8,FALSE)+SUM(_xlfn.XLOOKUP(S62:AL62,增益!$A:$A,增益!$H:$H,0))</f>
        <v>0</v>
      </c>
      <c r="AY62">
        <f t="shared" si="12"/>
        <v>0</v>
      </c>
      <c r="AZ62">
        <f t="shared" si="13"/>
        <v>0</v>
      </c>
      <c r="BA62" s="29" cm="1">
        <f t="array" ref="BA62">IF($F$11-$I$4+VLOOKUP($R62,武学奇术!$A:$ZZ,9,FALSE)+SUM(_xlfn.XLOOKUP(S62:AL62,增益!$A:$A,增益!$I:$I,0))&gt;0,($F$11-$I$4+VLOOKUP($R62,武学奇术!$A:$ZZ,9,FALSE)+SUM(_xlfn.XLOOKUP(S62:AL62,增益!$A:$A,增益!$I:$I,0)))/200,($F$11-$I$4+VLOOKUP($R62,武学奇术!$A:$ZZ,9,FALSE)+SUM(_xlfn.XLOOKUP(S62:AL62,增益!$A:$A,增益!$I:$I,0)))/100)</f>
        <v>-0.14</v>
      </c>
      <c r="BB62" s="29" cm="1">
        <f t="array" ref="BB62">$G$11+VLOOKUP($R62,武学奇术!$A:$ZZ,10,FALSE)+SUM(_xlfn.XLOOKUP(S62:AL62,增益!$A:$A,增益!$J:$J,0))</f>
        <v>0.02</v>
      </c>
      <c r="BC62">
        <f t="shared" si="14"/>
        <v>0</v>
      </c>
      <c r="BD62">
        <f t="shared" si="15"/>
        <v>0</v>
      </c>
      <c r="BE62" s="29" cm="1">
        <f t="array" ref="BE62">IF($F$12-$I$4+VLOOKUP($R62,武学奇术!$A:$ZZ,11,FALSE)+SUM(_xlfn.XLOOKUP(S62:AL62,增益!$A:$A,增益!$K:$K,0))&gt;0,($F$12-$I$4+VLOOKUP($R62,武学奇术!$A:$ZZ,11,FALSE)+SUM(_xlfn.XLOOKUP(S62:AL62,增益!$A:$A,增益!$K:$K,0)))/200,($F$12-$I$4+VLOOKUP($R62,武学奇术!$A:$ZZ,11,FALSE)+SUM(_xlfn.XLOOKUP(S62:AL62,增益!$A:$A,增益!$K:$K,0)))/100)</f>
        <v>-0.14</v>
      </c>
      <c r="BF62" s="29" cm="1">
        <f t="array" ref="BF62">$G$12+VLOOKUP($R62,武学奇术!$A:$ZZ,12,FALSE)+SUM(_xlfn.XLOOKUP(S62:AL62,增益!$A:$A,增益!$L:$L,0))</f>
        <v>0.02</v>
      </c>
      <c r="BG62">
        <f t="shared" si="16"/>
        <v>0</v>
      </c>
      <c r="BH62">
        <f t="shared" si="17"/>
        <v>0</v>
      </c>
      <c r="BI62" s="29" cm="1">
        <f t="array" ref="BI62">IF($F$13-$I$4+VLOOKUP($R62,武学奇术!$A:$ZZ,13,FALSE)+SUM(_xlfn.XLOOKUP(S62:AL62,增益!$A:$A,增益!$M:$M,0))&gt;0,($F$13-$I$4+VLOOKUP($R62,武学奇术!$A:$ZZ,13,FALSE)+SUM(_xlfn.XLOOKUP(S62:AL62,增益!$A:$A,增益!$K:$K,0)))/200,($F$13-$I$4+VLOOKUP($R62,武学奇术!$A:$ZZ,13,FALSE)+SUM(_xlfn.XLOOKUP(S62:AL62,增益!$A:$A,增益!$M:$M,0)))/100)</f>
        <v>-0.14</v>
      </c>
      <c r="BJ62" s="29" cm="1">
        <f t="array" ref="BJ62">$G$13+VLOOKUP($R62,武学奇术!$A:$ZZ,14,FALSE)+SUM(_xlfn.XLOOKUP(S62:AL62,增益!$A:$A,增益!$N:$N,0))</f>
        <v>0.02</v>
      </c>
      <c r="BK62">
        <f t="shared" si="18"/>
        <v>618.2</v>
      </c>
      <c r="BL62">
        <f t="shared" si="19"/>
        <v>1805</v>
      </c>
      <c r="BM62" s="29" cm="1">
        <f t="array" ref="BM62">IF($F$14-$I$4+VLOOKUP($R62,武学奇术!$A:$ZZ,15,FALSE)+SUM(_xlfn.XLOOKUP(S62:AL62,增益!$A:$A,增益!$O:$O,0))&gt;0,($F$14-$I$4+VLOOKUP($R62,武学奇术!$A:$ZZ,15,FALSE)+SUM(_xlfn.XLOOKUP(S62:AL62,增益!$A:$A,增益!$O:$O,0)))/200,($F$14-$I$4+VLOOKUP($R62,武学奇术!$A:$ZZ,15,FALSE)+SUM(_xlfn.XLOOKUP(S62:AL62,增益!$A:$A,增益!$O:$O,0)))/100)</f>
        <v>0.13</v>
      </c>
      <c r="BN62" s="29" cm="1">
        <f t="array" ref="BN62">$G$14+VLOOKUP($R62,武学奇术!$A:$ZZ,16,FALSE)+SUM(_xlfn.XLOOKUP(S62:AL62,增益!$A:$A,增益!$P:$P,0))</f>
        <v>0.23</v>
      </c>
      <c r="BO62" s="23">
        <f>MIN(IF(VLOOKUP($R62,武学奇术!$A:$ZZ,23,FALSE)=1,100%,$B$8),100%)</f>
        <v>0.9943</v>
      </c>
      <c r="BP62" s="23" cm="1">
        <f t="array" ref="BP62">IF(VLOOKUP($R62,武学奇术!$A:$ZZ,23,FALSE)=1,100%,MIN(80%,$B$9+VLOOKUP($R62,武学奇术!$A:$ZZ,17,FALSE)+SUM(_xlfn.XLOOKUP(S62:AL62,增益!$A:$A,增益!$Q:$Q,0)))+$B$11+SUM(_xlfn.XLOOKUP(S62:AL62,增益!$A:$A,增益!$U:$U,0)))*IF(VLOOKUP($R62,武学奇术!$A:$ZZ,24,FALSE)=1,0,1)</f>
        <v>0.887</v>
      </c>
      <c r="BQ62" s="23" cm="1">
        <f t="array" ref="BQ62">1+$B$13+VLOOKUP($R62,武学奇术!$A:$ZZ,18,FALSE)+SUM(_xlfn.XLOOKUP(S62:AL62,增益!$A:$A,增益!$R:$R,0))</f>
        <v>2.384</v>
      </c>
      <c r="BR62" s="23" cm="1">
        <f t="array" ref="BR62">IF(VLOOKUP($R62,武学奇术!$A:$ZZ,24,FALSE)=1,100%,MIN(40%,$B$10+VLOOKUP($R62,武学奇术!$A:$ZZ,19,FALSE)+SUM(_xlfn.XLOOKUP(S62:AL62,增益!$A:$A,增益!$S:$S,0)))+$B$12+SUM(_xlfn.XLOOKUP(S62:AL62,增益!$A:$A,增益!$V:$V,0)))*IF(VLOOKUP($R62,武学奇术!$A:$ZZ,23,FALSE)=1,0,1)</f>
        <v>0.0913</v>
      </c>
      <c r="BS62" s="23" cm="1">
        <f t="array" ref="BS62">1+$B$14+VLOOKUP($R62,武学奇术!$A:$ZZ,20,FALSE)+SUM(_xlfn.XLOOKUP(S62:AL62,增益!$A:$A,增益!$T:$T,0))</f>
        <v>1.35</v>
      </c>
      <c r="BT62" s="23">
        <f t="shared" si="20"/>
        <v>0.8819441</v>
      </c>
      <c r="BU62" s="23">
        <f t="shared" si="21"/>
        <v>0.0215763099999999</v>
      </c>
      <c r="BV62" s="23">
        <f>IF(VLOOKUP($R62,武学奇术!$A:$ZZ,22,FALSE)=1,0,(1-$BO62))*(1-$BR62)</f>
        <v>0.00517958999999993</v>
      </c>
      <c r="BW62" s="23" cm="1">
        <f t="array" ref="BW62">SUM(_xlfn.XLOOKUP(S62:AL62,增益!$A:$A,增益!$W:$W,0))+$I$5</f>
        <v>0.11</v>
      </c>
      <c r="BX62" s="23">
        <f>VLOOKUP($R62,武学奇术!$A:$ZZ,32,FALSE)</f>
        <v>0.1</v>
      </c>
      <c r="BY62" s="23" cm="1">
        <f t="array" ref="BY62">SUM(_xlfn.XLOOKUP($S62:$AL62,增益!$A:$A,增益!$X:$X,0))</f>
        <v>0</v>
      </c>
    </row>
    <row r="63" spans="1:77">
      <c r="A63" s="4" t="s">
        <v>176</v>
      </c>
      <c r="B63" s="4">
        <v>0.1</v>
      </c>
      <c r="C63" s="36"/>
      <c r="E63" s="36"/>
      <c r="K63" s="35">
        <f>$L63*VLOOKUP($R63,武学奇术!$A:$ZZ,31,FALSE)</f>
        <v>52204.934479594</v>
      </c>
      <c r="L63" s="58">
        <f t="shared" si="22"/>
        <v>46611.5486424946</v>
      </c>
      <c r="M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轻击",$B$21,0))*(1+IF(VLOOKUP($R63,武学奇术!$A:$ZZ,30,FALSE)="老鼠",$B$22,0))*(1+$BW63)*(1+$BX63)</f>
        <v>49020.9294937314</v>
      </c>
      <c r="N63" s="35">
        <f>(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轻击",$B$21,0))*(1+IF(VLOOKUP($R63,武学奇术!$A:$ZZ,30,FALSE)="老鼠",$B$22,0))*(1+$BW63))*(1+$BX63)</f>
        <v>31111.992886258</v>
      </c>
      <c r="O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轻击",$B$21,0))*(1+IF(VLOOKUP($R63,武学奇术!$A:$ZZ,30,FALSE)="老鼠",$B$22,0))*(1+$BW63)*(1+$BX63)</f>
        <v>20562.4704252229</v>
      </c>
      <c r="P63" s="35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轻击",$B$21,0))*(1+IF(VLOOKUP($R63,武学奇术!$A:$ZZ,30,FALSE)="老鼠",$B$22,0))*(1+$BW63)*(1+$BX63)</f>
        <v>18079.0201939584</v>
      </c>
      <c r="Q63" s="36">
        <v>1</v>
      </c>
      <c r="R63" s="37" t="s">
        <v>143</v>
      </c>
      <c r="S63" s="37" t="s">
        <v>91</v>
      </c>
      <c r="T63" s="37" t="s">
        <v>184</v>
      </c>
      <c r="U63" s="37" t="s">
        <v>112</v>
      </c>
      <c r="V63" s="37" t="s">
        <v>113</v>
      </c>
      <c r="W63" s="37" t="s">
        <v>82</v>
      </c>
      <c r="X63" s="37" t="s">
        <v>81</v>
      </c>
      <c r="Y63" s="37" t="s">
        <v>109</v>
      </c>
      <c r="Z63" s="37" t="s">
        <v>83</v>
      </c>
      <c r="AA63" s="37" t="s">
        <v>84</v>
      </c>
      <c r="AB63" s="37" t="s">
        <v>81</v>
      </c>
      <c r="AC63" s="37" t="s">
        <v>81</v>
      </c>
      <c r="AD63" s="37" t="s">
        <v>85</v>
      </c>
      <c r="AE63" s="37" t="s">
        <v>86</v>
      </c>
      <c r="AF63" s="37" t="s">
        <v>181</v>
      </c>
      <c r="AG63" s="37" t="s">
        <v>87</v>
      </c>
      <c r="AH63" s="37" t="s">
        <v>88</v>
      </c>
      <c r="AI63" s="37" t="s">
        <v>81</v>
      </c>
      <c r="AJ63" s="37" t="s">
        <v>81</v>
      </c>
      <c r="AK63" s="37" t="s">
        <v>81</v>
      </c>
      <c r="AL63" s="37" t="s">
        <v>81</v>
      </c>
      <c r="AM63" t="str">
        <f>VLOOKUP($R63,武学奇术!$A:$ZZ,25,FALSE)</f>
        <v>双刀</v>
      </c>
      <c r="AN63" s="23">
        <f>VLOOKUP($R63,武学奇术!$A:$ZZ,26,FALSE)</f>
        <v>0.9012</v>
      </c>
      <c r="AO63" s="24">
        <f>VLOOKUP($R63,武学奇术!$A:$ZZ,27,FALSE)*(1+IF(OR($AM63=$F$4,$AM63=$F$5),$B$23,0))</f>
        <v>400</v>
      </c>
      <c r="AP63" s="23">
        <f>VLOOKUP($R63,武学奇术!$A:$ZZ,28,FALSE)</f>
        <v>1.3518</v>
      </c>
      <c r="AQ63" s="24">
        <f>VLOOKUP($R63,武学奇术!$A:$ZZ,29,FALSE)*(1+IF(OR($AM63=$F$4,$AM63=$F$5),$B$23,0))</f>
        <v>217.6</v>
      </c>
      <c r="AR63" s="23" cm="1">
        <f t="array" ref="AR63">$G$3+IFERROR(VLOOKUP($AM63,$F$4:$G$7,2,FALSE),0)+VLOOKUP($R63,武学奇术!$A:$ZZ,2,FALSE)+SUM(_xlfn.XLOOKUP($S63:$AL63,增益!$A:$A,增益!$B:$B,0))</f>
        <v>0.8243</v>
      </c>
      <c r="AS63" s="23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4150.4</v>
      </c>
      <c r="AU63" cm="1">
        <f t="array" ref="AU63">$E$10*(1+$AS63)+VLOOKUP($R63,武学奇术!$A:$ZZ,4,FALSE)+SUM(_xlfn.XLOOKUP($S63:$AL63,增益!$A:$A,增益!$D:$D,0))-$I$2</f>
        <v>4150.4</v>
      </c>
      <c r="AV63" s="29" cm="1">
        <f t="array" ref="AV63">IF($F$10-$I$3+VLOOKUP($R63,武学奇术!$A:$ZZ,6,FALSE)+SUM(_xlfn.XLOOKUP(S63:AL63,增益!$A:$A,增益!$F:$F,0))&gt;0,($F$10-$I$3+VLOOKUP($R63,武学奇术!$A:$ZZ,6,FALSE)+SUM(_xlfn.XLOOKUP(S63:AL63,增益!$A:$A,增益!$F:$F,0)))/200,($F$10-$I$3+VLOOKUP($R63,武学奇术!$A:$ZZ,6,FALSE)+SUM(_xlfn.XLOOKUP(S63:AL63,增益!$A:$A,增益!$F:$F,0)))/100)</f>
        <v>0.4539</v>
      </c>
      <c r="AW63" s="29" cm="1">
        <f t="array" ref="AW63">$G$10+VLOOKUP($R63,武学奇术!$A:$ZZ,7,FALSE)+SUM(_xlfn.XLOOKUP(S63:AL63,增益!$A:$A,增益!$G:$G,0))</f>
        <v>0.08</v>
      </c>
      <c r="AX63" s="23" cm="1">
        <f t="array" ref="AX63">VLOOKUP($R63,武学奇术!$A:$ZZ,8,FALSE)+SUM(_xlfn.XLOOKUP(S63:AL63,增益!$A:$A,增益!$H:$H,0))</f>
        <v>0</v>
      </c>
      <c r="AY63">
        <f t="shared" si="12"/>
        <v>0</v>
      </c>
      <c r="AZ63">
        <f t="shared" si="13"/>
        <v>0</v>
      </c>
      <c r="BA63" s="29" cm="1">
        <f t="array" ref="BA63">IF($F$11-$I$4+VLOOKUP($R63,武学奇术!$A:$ZZ,9,FALSE)+SUM(_xlfn.XLOOKUP(S63:AL63,增益!$A:$A,增益!$I:$I,0))&gt;0,($F$11-$I$4+VLOOKUP($R63,武学奇术!$A:$ZZ,9,FALSE)+SUM(_xlfn.XLOOKUP(S63:AL63,增益!$A:$A,增益!$I:$I,0)))/200,($F$11-$I$4+VLOOKUP($R63,武学奇术!$A:$ZZ,9,FALSE)+SUM(_xlfn.XLOOKUP(S63:AL63,增益!$A:$A,增益!$I:$I,0)))/100)</f>
        <v>-0.14</v>
      </c>
      <c r="BB63" s="29" cm="1">
        <f t="array" ref="BB63">$G$11+VLOOKUP($R63,武学奇术!$A:$ZZ,10,FALSE)+SUM(_xlfn.XLOOKUP(S63:AL63,增益!$A:$A,增益!$J:$J,0))</f>
        <v>0.02</v>
      </c>
      <c r="BC63">
        <f t="shared" si="14"/>
        <v>0</v>
      </c>
      <c r="BD63">
        <f t="shared" si="15"/>
        <v>0</v>
      </c>
      <c r="BE63" s="29" cm="1">
        <f t="array" ref="BE63">IF($F$12-$I$4+VLOOKUP($R63,武学奇术!$A:$ZZ,11,FALSE)+SUM(_xlfn.XLOOKUP(S63:AL63,增益!$A:$A,增益!$K:$K,0))&gt;0,($F$12-$I$4+VLOOKUP($R63,武学奇术!$A:$ZZ,11,FALSE)+SUM(_xlfn.XLOOKUP(S63:AL63,增益!$A:$A,增益!$K:$K,0)))/200,($F$12-$I$4+VLOOKUP($R63,武学奇术!$A:$ZZ,11,FALSE)+SUM(_xlfn.XLOOKUP(S63:AL63,增益!$A:$A,增益!$K:$K,0)))/100)</f>
        <v>-0.14</v>
      </c>
      <c r="BF63" s="29" cm="1">
        <f t="array" ref="BF63">$G$12+VLOOKUP($R63,武学奇术!$A:$ZZ,12,FALSE)+SUM(_xlfn.XLOOKUP(S63:AL63,增益!$A:$A,增益!$L:$L,0))</f>
        <v>0.02</v>
      </c>
      <c r="BG63">
        <f t="shared" si="16"/>
        <v>0</v>
      </c>
      <c r="BH63">
        <f t="shared" si="17"/>
        <v>0</v>
      </c>
      <c r="BI63" s="29" cm="1">
        <f t="array" ref="BI63">IF($F$13-$I$4+VLOOKUP($R63,武学奇术!$A:$ZZ,13,FALSE)+SUM(_xlfn.XLOOKUP(S63:AL63,增益!$A:$A,增益!$M:$M,0))&gt;0,($F$13-$I$4+VLOOKUP($R63,武学奇术!$A:$ZZ,13,FALSE)+SUM(_xlfn.XLOOKUP(S63:AL63,增益!$A:$A,增益!$K:$K,0)))/200,($F$13-$I$4+VLOOKUP($R63,武学奇术!$A:$ZZ,13,FALSE)+SUM(_xlfn.XLOOKUP(S63:AL63,增益!$A:$A,增益!$M:$M,0)))/100)</f>
        <v>-0.14</v>
      </c>
      <c r="BJ63" s="29" cm="1">
        <f t="array" ref="BJ63">$G$13+VLOOKUP($R63,武学奇术!$A:$ZZ,14,FALSE)+SUM(_xlfn.XLOOKUP(S63:AL63,增益!$A:$A,增益!$N:$N,0))</f>
        <v>0.02</v>
      </c>
      <c r="BK63">
        <f t="shared" si="18"/>
        <v>618.2</v>
      </c>
      <c r="BL63">
        <f t="shared" si="19"/>
        <v>1805</v>
      </c>
      <c r="BM63" s="29" cm="1">
        <f t="array" ref="BM63">IF($F$14-$I$4+VLOOKUP($R63,武学奇术!$A:$ZZ,15,FALSE)+SUM(_xlfn.XLOOKUP(S63:AL63,增益!$A:$A,增益!$O:$O,0))&gt;0,($F$14-$I$4+VLOOKUP($R63,武学奇术!$A:$ZZ,15,FALSE)+SUM(_xlfn.XLOOKUP(S63:AL63,增益!$A:$A,增益!$O:$O,0)))/200,($F$14-$I$4+VLOOKUP($R63,武学奇术!$A:$ZZ,15,FALSE)+SUM(_xlfn.XLOOKUP(S63:AL63,增益!$A:$A,增益!$O:$O,0)))/100)</f>
        <v>0.13</v>
      </c>
      <c r="BN63" s="29" cm="1">
        <f t="array" ref="BN63">$G$14+VLOOKUP($R63,武学奇术!$A:$ZZ,16,FALSE)+SUM(_xlfn.XLOOKUP(S63:AL63,增益!$A:$A,增益!$P:$P,0))</f>
        <v>0.23</v>
      </c>
      <c r="BO63" s="23">
        <f>MIN(IF(VLOOKUP($R63,武学奇术!$A:$ZZ,23,FALSE)=1,100%,$B$8),100%)</f>
        <v>0.9943</v>
      </c>
      <c r="BP63" s="23" cm="1">
        <f t="array" ref="BP63">IF(VLOOKUP($R63,武学奇术!$A:$ZZ,23,FALSE)=1,100%,MIN(80%,$B$9+VLOOKUP($R63,武学奇术!$A:$ZZ,17,FALSE)+SUM(_xlfn.XLOOKUP(S63:AL63,增益!$A:$A,增益!$Q:$Q,0)))+$B$11+SUM(_xlfn.XLOOKUP(S63:AL63,增益!$A:$A,增益!$U:$U,0)))*IF(VLOOKUP($R63,武学奇术!$A:$ZZ,24,FALSE)=1,0,1)</f>
        <v>0.887</v>
      </c>
      <c r="BQ63" s="23" cm="1">
        <f t="array" ref="BQ63">1+$B$13+VLOOKUP($R63,武学奇术!$A:$ZZ,18,FALSE)+SUM(_xlfn.XLOOKUP(S63:AL63,增益!$A:$A,增益!$R:$R,0))</f>
        <v>2.384</v>
      </c>
      <c r="BR63" s="23" cm="1">
        <f t="array" ref="BR63">IF(VLOOKUP($R63,武学奇术!$A:$ZZ,24,FALSE)=1,100%,MIN(40%,$B$10+VLOOKUP($R63,武学奇术!$A:$ZZ,19,FALSE)+SUM(_xlfn.XLOOKUP(S63:AL63,增益!$A:$A,增益!$S:$S,0)))+$B$12+SUM(_xlfn.XLOOKUP(S63:AL63,增益!$A:$A,增益!$V:$V,0)))*IF(VLOOKUP($R63,武学奇术!$A:$ZZ,23,FALSE)=1,0,1)</f>
        <v>0.0913</v>
      </c>
      <c r="BS63" s="23" cm="1">
        <f t="array" ref="BS63">1+$B$14+VLOOKUP($R63,武学奇术!$A:$ZZ,20,FALSE)+SUM(_xlfn.XLOOKUP(S63:AL63,增益!$A:$A,增益!$T:$T,0))</f>
        <v>1.35</v>
      </c>
      <c r="BT63" s="23">
        <f t="shared" si="20"/>
        <v>0.8819441</v>
      </c>
      <c r="BU63" s="23">
        <f t="shared" si="21"/>
        <v>0.0215763099999999</v>
      </c>
      <c r="BV63" s="23">
        <f>IF(VLOOKUP($R63,武学奇术!$A:$ZZ,22,FALSE)=1,0,(1-$BO63))*(1-$BR63)</f>
        <v>0.00517958999999993</v>
      </c>
      <c r="BW63" s="23" cm="1">
        <f t="array" ref="BW63">SUM(_xlfn.XLOOKUP(S63:AL63,增益!$A:$A,增益!$W:$W,0))+$I$5</f>
        <v>0.11</v>
      </c>
      <c r="BX63" s="23">
        <f>VLOOKUP($R63,武学奇术!$A:$ZZ,32,FALSE)</f>
        <v>0.1</v>
      </c>
      <c r="BY63" s="23" cm="1">
        <f t="array" ref="BY63">SUM(_xlfn.XLOOKUP($S63:$AL63,增益!$A:$A,增益!$X:$X,0))</f>
        <v>0</v>
      </c>
    </row>
    <row r="64" spans="1:77">
      <c r="A64" s="4" t="s">
        <v>179</v>
      </c>
      <c r="B64" s="4">
        <v>1</v>
      </c>
      <c r="C64" s="36"/>
      <c r="E64" s="36"/>
      <c r="K64" s="35">
        <f>$L64*VLOOKUP($R64,武学奇术!$A:$ZZ,31,FALSE)</f>
        <v>310208.519123542</v>
      </c>
      <c r="L64" s="69">
        <f t="shared" si="22"/>
        <v>304125.999140727</v>
      </c>
      <c r="M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轻击",$B$21,0))*(1+IF(VLOOKUP($R64,武学奇术!$A:$ZZ,30,FALSE)="老鼠",$B$22,0))*(1+$BW64)*(1+$BX64)</f>
        <v>319612.341617639</v>
      </c>
      <c r="N64" s="35">
        <f>(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轻击",$B$21,0))*(1+IF(VLOOKUP($R64,武学奇术!$A:$ZZ,30,FALSE)="老鼠",$B$22,0))*(1+$BW64))*(1+$BX64)</f>
        <v>205392.856611026</v>
      </c>
      <c r="O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轻击",$B$21,0))*(1+IF(VLOOKUP($R64,武学奇术!$A:$ZZ,30,FALSE)="老鼠",$B$22,0))*(1+$BW64)*(1+$BX64)</f>
        <v>134065.5795376</v>
      </c>
      <c r="P64" s="35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轻击",$B$21,0))*(1+IF(VLOOKUP($R64,武学奇术!$A:$ZZ,30,FALSE)="老鼠",$B$22,0))*(1+$BW64)*(1+$BX64)</f>
        <v>115988.302326292</v>
      </c>
      <c r="Q64" s="70">
        <v>9</v>
      </c>
      <c r="R64" s="37" t="s">
        <v>106</v>
      </c>
      <c r="S64" s="37" t="s">
        <v>91</v>
      </c>
      <c r="T64" s="37" t="s">
        <v>184</v>
      </c>
      <c r="U64" s="37" t="s">
        <v>112</v>
      </c>
      <c r="V64" s="37" t="s">
        <v>113</v>
      </c>
      <c r="W64" s="37" t="s">
        <v>82</v>
      </c>
      <c r="X64" s="37" t="s">
        <v>81</v>
      </c>
      <c r="Y64" s="37" t="s">
        <v>109</v>
      </c>
      <c r="Z64" s="37" t="s">
        <v>83</v>
      </c>
      <c r="AA64" s="37" t="s">
        <v>84</v>
      </c>
      <c r="AB64" s="37" t="s">
        <v>81</v>
      </c>
      <c r="AC64" s="37" t="s">
        <v>81</v>
      </c>
      <c r="AD64" s="37" t="s">
        <v>85</v>
      </c>
      <c r="AE64" s="37" t="s">
        <v>86</v>
      </c>
      <c r="AF64" s="37" t="s">
        <v>81</v>
      </c>
      <c r="AG64" s="37" t="s">
        <v>87</v>
      </c>
      <c r="AH64" s="37" t="s">
        <v>88</v>
      </c>
      <c r="AI64" s="37" t="s">
        <v>81</v>
      </c>
      <c r="AJ64" s="37" t="s">
        <v>81</v>
      </c>
      <c r="AK64" s="37" t="s">
        <v>81</v>
      </c>
      <c r="AL64" s="37" t="s">
        <v>81</v>
      </c>
      <c r="AM64" t="str">
        <f>VLOOKUP($R64,武学奇术!$A:$ZZ,25,FALSE)</f>
        <v>绳镖</v>
      </c>
      <c r="AN64" s="23">
        <f>VLOOKUP($R64,武学奇术!$A:$ZZ,26,FALSE)</f>
        <v>0.3675</v>
      </c>
      <c r="AO64" s="24">
        <f>VLOOKUP($R64,武学奇术!$A:$ZZ,27,FALSE)*(1+IF(OR($AM64=$F$4,$AM64=$F$5),$B$23,0))</f>
        <v>0</v>
      </c>
      <c r="AP64" s="23">
        <f>VLOOKUP($R64,武学奇术!$A:$ZZ,28,FALSE)</f>
        <v>0.55125</v>
      </c>
      <c r="AQ64" s="24">
        <f>VLOOKUP($R64,武学奇术!$A:$ZZ,29,FALSE)*(1+IF(OR($AM64=$F$4,$AM64=$F$5),$B$23,0))</f>
        <v>0</v>
      </c>
      <c r="AR64" s="23" cm="1">
        <f t="array" ref="AR64">$G$3+IFERROR(VLOOKUP($AM64,$F$4:$G$7,2,FALSE),0)+VLOOKUP($R64,武学奇术!$A:$ZZ,2,FALSE)+SUM(_xlfn.XLOOKUP($S64:$AL64,增益!$A:$A,增益!$B:$B,0))</f>
        <v>1.5743</v>
      </c>
      <c r="AS64" s="23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4150.4</v>
      </c>
      <c r="AU64" cm="1">
        <f t="array" ref="AU64">$E$10*(1+$AS64)+VLOOKUP($R64,武学奇术!$A:$ZZ,4,FALSE)+SUM(_xlfn.XLOOKUP($S64:$AL64,增益!$A:$A,增益!$D:$D,0))-$I$2</f>
        <v>4150.4</v>
      </c>
      <c r="AV64" s="29" cm="1">
        <f t="array" ref="AV64">IF($F$10-$I$3+VLOOKUP($R64,武学奇术!$A:$ZZ,6,FALSE)+SUM(_xlfn.XLOOKUP(S64:AL64,增益!$A:$A,增益!$F:$F,0))&gt;0,($F$10-$I$3+VLOOKUP($R64,武学奇术!$A:$ZZ,6,FALSE)+SUM(_xlfn.XLOOKUP(S64:AL64,增益!$A:$A,增益!$F:$F,0)))/200,($F$10-$I$3+VLOOKUP($R64,武学奇术!$A:$ZZ,6,FALSE)+SUM(_xlfn.XLOOKUP(S64:AL64,增益!$A:$A,增益!$F:$F,0)))/100)</f>
        <v>0.4539</v>
      </c>
      <c r="AW64" s="29" cm="1">
        <f t="array" ref="AW64">$G$10+VLOOKUP($R64,武学奇术!$A:$ZZ,7,FALSE)+SUM(_xlfn.XLOOKUP(S64:AL64,增益!$A:$A,增益!$G:$G,0))</f>
        <v>0.29</v>
      </c>
      <c r="AX64" s="23" cm="1">
        <f t="array" ref="AX64">VLOOKUP($R64,武学奇术!$A:$ZZ,8,FALSE)+SUM(_xlfn.XLOOKUP(S64:AL64,增益!$A:$A,增益!$H:$H,0))</f>
        <v>0</v>
      </c>
      <c r="AY64">
        <f t="shared" si="12"/>
        <v>0</v>
      </c>
      <c r="AZ64">
        <f t="shared" si="13"/>
        <v>0</v>
      </c>
      <c r="BA64" s="29" cm="1">
        <f t="array" ref="BA64">IF($F$11-$I$4+VLOOKUP($R64,武学奇术!$A:$ZZ,9,FALSE)+SUM(_xlfn.XLOOKUP(S64:AL64,增益!$A:$A,增益!$I:$I,0))&gt;0,($F$11-$I$4+VLOOKUP($R64,武学奇术!$A:$ZZ,9,FALSE)+SUM(_xlfn.XLOOKUP(S64:AL64,增益!$A:$A,增益!$I:$I,0)))/200,($F$11-$I$4+VLOOKUP($R64,武学奇术!$A:$ZZ,9,FALSE)+SUM(_xlfn.XLOOKUP(S64:AL64,增益!$A:$A,增益!$I:$I,0)))/100)</f>
        <v>-0.14</v>
      </c>
      <c r="BB64" s="29" cm="1">
        <f t="array" ref="BB64">$G$11+VLOOKUP($R64,武学奇术!$A:$ZZ,10,FALSE)+SUM(_xlfn.XLOOKUP(S64:AL64,增益!$A:$A,增益!$J:$J,0))</f>
        <v>0.02</v>
      </c>
      <c r="BC64">
        <f t="shared" si="14"/>
        <v>0</v>
      </c>
      <c r="BD64">
        <f t="shared" si="15"/>
        <v>0</v>
      </c>
      <c r="BE64" s="29" cm="1">
        <f t="array" ref="BE64">IF($F$12-$I$4+VLOOKUP($R64,武学奇术!$A:$ZZ,11,FALSE)+SUM(_xlfn.XLOOKUP(S64:AL64,增益!$A:$A,增益!$K:$K,0))&gt;0,($F$12-$I$4+VLOOKUP($R64,武学奇术!$A:$ZZ,11,FALSE)+SUM(_xlfn.XLOOKUP(S64:AL64,增益!$A:$A,增益!$K:$K,0)))/200,($F$12-$I$4+VLOOKUP($R64,武学奇术!$A:$ZZ,11,FALSE)+SUM(_xlfn.XLOOKUP(S64:AL64,增益!$A:$A,增益!$K:$K,0)))/100)</f>
        <v>-0.14</v>
      </c>
      <c r="BF64" s="29" cm="1">
        <f t="array" ref="BF64">$G$12+VLOOKUP($R64,武学奇术!$A:$ZZ,12,FALSE)+SUM(_xlfn.XLOOKUP(S64:AL64,增益!$A:$A,增益!$L:$L,0))</f>
        <v>0.02</v>
      </c>
      <c r="BG64">
        <f t="shared" si="16"/>
        <v>0</v>
      </c>
      <c r="BH64">
        <f t="shared" si="17"/>
        <v>0</v>
      </c>
      <c r="BI64" s="29" cm="1">
        <f t="array" ref="BI64">IF($F$13-$I$4+VLOOKUP($R64,武学奇术!$A:$ZZ,13,FALSE)+SUM(_xlfn.XLOOKUP(S64:AL64,增益!$A:$A,增益!$M:$M,0))&gt;0,($F$13-$I$4+VLOOKUP($R64,武学奇术!$A:$ZZ,13,FALSE)+SUM(_xlfn.XLOOKUP(S64:AL64,增益!$A:$A,增益!$K:$K,0)))/200,($F$13-$I$4+VLOOKUP($R64,武学奇术!$A:$ZZ,13,FALSE)+SUM(_xlfn.XLOOKUP(S64:AL64,增益!$A:$A,增益!$M:$M,0)))/100)</f>
        <v>-0.14</v>
      </c>
      <c r="BJ64" s="29" cm="1">
        <f t="array" ref="BJ64">$G$13+VLOOKUP($R64,武学奇术!$A:$ZZ,14,FALSE)+SUM(_xlfn.XLOOKUP(S64:AL64,增益!$A:$A,增益!$N:$N,0))</f>
        <v>0.02</v>
      </c>
      <c r="BK64">
        <f t="shared" si="18"/>
        <v>618.2</v>
      </c>
      <c r="BL64">
        <f t="shared" si="19"/>
        <v>1805</v>
      </c>
      <c r="BM64" s="29" cm="1">
        <f t="array" ref="BM64">IF($F$14-$I$4+VLOOKUP($R64,武学奇术!$A:$ZZ,15,FALSE)+SUM(_xlfn.XLOOKUP(S64:AL64,增益!$A:$A,增益!$O:$O,0))&gt;0,($F$14-$I$4+VLOOKUP($R64,武学奇术!$A:$ZZ,15,FALSE)+SUM(_xlfn.XLOOKUP(S64:AL64,增益!$A:$A,增益!$O:$O,0)))/200,($F$14-$I$4+VLOOKUP($R64,武学奇术!$A:$ZZ,15,FALSE)+SUM(_xlfn.XLOOKUP(S64:AL64,增益!$A:$A,增益!$O:$O,0)))/100)</f>
        <v>0.13</v>
      </c>
      <c r="BN64" s="29" cm="1">
        <f t="array" ref="BN64">$G$14+VLOOKUP($R64,武学奇术!$A:$ZZ,16,FALSE)+SUM(_xlfn.XLOOKUP(S64:AL64,增益!$A:$A,增益!$P:$P,0))</f>
        <v>0.44</v>
      </c>
      <c r="BO64" s="23">
        <f>MIN(IF(VLOOKUP($R64,武学奇术!$A:$ZZ,23,FALSE)=1,100%,$B$8),100%)</f>
        <v>0.9943</v>
      </c>
      <c r="BP64" s="23" cm="1">
        <f t="array" ref="BP64">IF(VLOOKUP($R64,武学奇术!$A:$ZZ,23,FALSE)=1,100%,MIN(80%,$B$9+VLOOKUP($R64,武学奇术!$A:$ZZ,17,FALSE)+SUM(_xlfn.XLOOKUP(S64:AL64,增益!$A:$A,增益!$Q:$Q,0)))+$B$11+SUM(_xlfn.XLOOKUP(S64:AL64,增益!$A:$A,增益!$U:$U,0)))*IF(VLOOKUP($R64,武学奇术!$A:$ZZ,24,FALSE)=1,0,1)</f>
        <v>0.887</v>
      </c>
      <c r="BQ64" s="23" cm="1">
        <f t="array" ref="BQ64">1+$B$13+VLOOKUP($R64,武学奇术!$A:$ZZ,18,FALSE)+SUM(_xlfn.XLOOKUP(S64:AL64,增益!$A:$A,增益!$R:$R,0))</f>
        <v>2.384</v>
      </c>
      <c r="BR64" s="23" cm="1">
        <f t="array" ref="BR64">IF(VLOOKUP($R64,武学奇术!$A:$ZZ,24,FALSE)=1,100%,MIN(40%,$B$10+VLOOKUP($R64,武学奇术!$A:$ZZ,19,FALSE)+SUM(_xlfn.XLOOKUP(S64:AL64,增益!$A:$A,增益!$S:$S,0)))+$B$12+SUM(_xlfn.XLOOKUP(S64:AL64,增益!$A:$A,增益!$V:$V,0)))*IF(VLOOKUP($R64,武学奇术!$A:$ZZ,23,FALSE)=1,0,1)</f>
        <v>0.0913</v>
      </c>
      <c r="BS64" s="23" cm="1">
        <f t="array" ref="BS64">1+$B$14+VLOOKUP($R64,武学奇术!$A:$ZZ,20,FALSE)+SUM(_xlfn.XLOOKUP(S64:AL64,增益!$A:$A,增益!$T:$T,0))</f>
        <v>1.35</v>
      </c>
      <c r="BT64" s="23">
        <f t="shared" si="20"/>
        <v>0.8819441</v>
      </c>
      <c r="BU64" s="23">
        <f t="shared" si="21"/>
        <v>0.0215763099999999</v>
      </c>
      <c r="BV64" s="23">
        <f>IF(VLOOKUP($R64,武学奇术!$A:$ZZ,22,FALSE)=1,0,(1-$BO64))*(1-$BR64)</f>
        <v>0.00517958999999993</v>
      </c>
      <c r="BW64" s="23" cm="1">
        <f t="array" ref="BW64">SUM(_xlfn.XLOOKUP(S64:AL64,增益!$A:$A,增益!$W:$W,0))+$I$5</f>
        <v>0.11</v>
      </c>
      <c r="BX64" s="23">
        <f>VLOOKUP($R64,武学奇术!$A:$ZZ,32,FALSE)</f>
        <v>0</v>
      </c>
      <c r="BY64" s="23" cm="1">
        <f t="array" ref="BY64">SUM(_xlfn.XLOOKUP($S64:$AL64,增益!$A:$A,增益!$X:$X,0))</f>
        <v>0</v>
      </c>
    </row>
    <row r="65" spans="1:77">
      <c r="A65" s="4" t="s">
        <v>167</v>
      </c>
      <c r="B65" s="4">
        <v>1.3</v>
      </c>
      <c r="C65" s="36"/>
      <c r="E65" s="36"/>
      <c r="K65" s="35">
        <f>$L65*VLOOKUP($R65,武学奇术!$A:$ZZ,31,FALSE)</f>
        <v>84059.0085989101</v>
      </c>
      <c r="L65" s="58">
        <f t="shared" si="22"/>
        <v>75052.6862490269</v>
      </c>
      <c r="M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轻击",$B$21,0))*(1+IF(VLOOKUP($R65,武学奇术!$A:$ZZ,30,FALSE)="老鼠",$B$22,0))*(1+$BW65)*(1+$BX65)</f>
        <v>78956.0845256067</v>
      </c>
      <c r="N65" s="35">
        <f>(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轻击",$B$21,0))*(1+IF(VLOOKUP($R65,武学奇术!$A:$ZZ,30,FALSE)="老鼠",$B$22,0))*(1+$BW65))*(1+$BX65)</f>
        <v>49901.8026918071</v>
      </c>
      <c r="O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轻击",$B$21,0))*(1+IF(VLOOKUP($R65,武学奇术!$A:$ZZ,30,FALSE)="老鼠",$B$22,0))*(1+$BW65)*(1+$BX65)</f>
        <v>32980.8206038457</v>
      </c>
      <c r="P65" s="35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轻击",$B$21,0))*(1+IF(VLOOKUP($R65,武学奇术!$A:$ZZ,30,FALSE)="老鼠",$B$22,0))*(1+$BW65)*(1+$BX65)</f>
        <v>28997.342917464</v>
      </c>
      <c r="Q65" s="88">
        <v>1</v>
      </c>
      <c r="R65" s="37" t="s">
        <v>148</v>
      </c>
      <c r="S65" s="37" t="s">
        <v>91</v>
      </c>
      <c r="T65" s="37" t="s">
        <v>185</v>
      </c>
      <c r="U65" s="37" t="s">
        <v>112</v>
      </c>
      <c r="V65" s="37" t="s">
        <v>113</v>
      </c>
      <c r="W65" s="37" t="s">
        <v>82</v>
      </c>
      <c r="X65" s="37" t="s">
        <v>81</v>
      </c>
      <c r="Y65" s="37" t="s">
        <v>109</v>
      </c>
      <c r="Z65" s="37" t="s">
        <v>83</v>
      </c>
      <c r="AA65" s="37" t="s">
        <v>84</v>
      </c>
      <c r="AB65" s="37" t="s">
        <v>81</v>
      </c>
      <c r="AC65" s="37" t="s">
        <v>81</v>
      </c>
      <c r="AD65" s="37" t="s">
        <v>85</v>
      </c>
      <c r="AE65" s="37" t="s">
        <v>86</v>
      </c>
      <c r="AF65" s="37" t="s">
        <v>181</v>
      </c>
      <c r="AG65" s="37" t="s">
        <v>87</v>
      </c>
      <c r="AH65" s="37" t="s">
        <v>88</v>
      </c>
      <c r="AI65" s="37" t="s">
        <v>81</v>
      </c>
      <c r="AJ65" s="37" t="s">
        <v>81</v>
      </c>
      <c r="AK65" s="37" t="s">
        <v>81</v>
      </c>
      <c r="AL65" s="37" t="s">
        <v>81</v>
      </c>
      <c r="AM65" t="str">
        <f>VLOOKUP($R65,武学奇术!$A:$ZZ,25,FALSE)</f>
        <v>双刀</v>
      </c>
      <c r="AN65" s="23">
        <f>VLOOKUP($R65,武学奇术!$A:$ZZ,26,FALSE)</f>
        <v>1.4455</v>
      </c>
      <c r="AO65" s="24">
        <f>VLOOKUP($R65,武学奇术!$A:$ZZ,27,FALSE)*(1+IF(OR($AM65=$F$4,$AM65=$F$5),$B$23,0))</f>
        <v>641.6</v>
      </c>
      <c r="AP65" s="23">
        <f>VLOOKUP($R65,武学奇术!$A:$ZZ,28,FALSE)</f>
        <v>2.1683</v>
      </c>
      <c r="AQ65" s="24">
        <f>VLOOKUP($R65,武学奇术!$A:$ZZ,29,FALSE)*(1+IF(OR($AM65=$F$4,$AM65=$F$5),$B$23,0))</f>
        <v>348.8</v>
      </c>
      <c r="AR65" s="23" cm="1">
        <f t="array" ref="AR65">$G$3+IFERROR(VLOOKUP($AM65,$F$4:$G$7,2,FALSE),0)+VLOOKUP($R65,武学奇术!$A:$ZZ,2,FALSE)+SUM(_xlfn.XLOOKUP($S65:$AL65,增益!$A:$A,增益!$B:$B,0))</f>
        <v>0.8243</v>
      </c>
      <c r="AS65" s="23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4150.4</v>
      </c>
      <c r="AU65" cm="1">
        <f t="array" ref="AU65">$E$10*(1+$AS65)+VLOOKUP($R65,武学奇术!$A:$ZZ,4,FALSE)+SUM(_xlfn.XLOOKUP($S65:$AL65,增益!$A:$A,增益!$D:$D,0))-$I$2</f>
        <v>4150.4</v>
      </c>
      <c r="AV65" s="29" cm="1">
        <f t="array" ref="AV65">IF($F$10-$I$3+VLOOKUP($R65,武学奇术!$A:$ZZ,6,FALSE)+SUM(_xlfn.XLOOKUP(S65:AL65,增益!$A:$A,增益!$F:$F,0))&gt;0,($F$10-$I$3+VLOOKUP($R65,武学奇术!$A:$ZZ,6,FALSE)+SUM(_xlfn.XLOOKUP(S65:AL65,增益!$A:$A,增益!$F:$F,0)))/200,($F$10-$I$3+VLOOKUP($R65,武学奇术!$A:$ZZ,6,FALSE)+SUM(_xlfn.XLOOKUP(S65:AL65,增益!$A:$A,增益!$F:$F,0)))/100)</f>
        <v>0.4539</v>
      </c>
      <c r="AW65" s="29" cm="1">
        <f t="array" ref="AW65">$G$10+VLOOKUP($R65,武学奇术!$A:$ZZ,7,FALSE)+SUM(_xlfn.XLOOKUP(S65:AL65,增益!$A:$A,增益!$G:$G,0))</f>
        <v>0.08</v>
      </c>
      <c r="AX65" s="23" cm="1">
        <f t="array" ref="AX65">VLOOKUP($R65,武学奇术!$A:$ZZ,8,FALSE)+SUM(_xlfn.XLOOKUP(S65:AL65,增益!$A:$A,增益!$H:$H,0))</f>
        <v>0</v>
      </c>
      <c r="AY65">
        <f t="shared" si="12"/>
        <v>0</v>
      </c>
      <c r="AZ65">
        <f t="shared" si="13"/>
        <v>0</v>
      </c>
      <c r="BA65" s="29" cm="1">
        <f t="array" ref="BA65">IF($F$11-$I$4+VLOOKUP($R65,武学奇术!$A:$ZZ,9,FALSE)+SUM(_xlfn.XLOOKUP(S65:AL65,增益!$A:$A,增益!$I:$I,0))&gt;0,($F$11-$I$4+VLOOKUP($R65,武学奇术!$A:$ZZ,9,FALSE)+SUM(_xlfn.XLOOKUP(S65:AL65,增益!$A:$A,增益!$I:$I,0)))/200,($F$11-$I$4+VLOOKUP($R65,武学奇术!$A:$ZZ,9,FALSE)+SUM(_xlfn.XLOOKUP(S65:AL65,增益!$A:$A,增益!$I:$I,0)))/100)</f>
        <v>-0.14</v>
      </c>
      <c r="BB65" s="29" cm="1">
        <f t="array" ref="BB65">$G$11+VLOOKUP($R65,武学奇术!$A:$ZZ,10,FALSE)+SUM(_xlfn.XLOOKUP(S65:AL65,增益!$A:$A,增益!$J:$J,0))</f>
        <v>0.02</v>
      </c>
      <c r="BC65">
        <f t="shared" si="14"/>
        <v>0</v>
      </c>
      <c r="BD65">
        <f t="shared" si="15"/>
        <v>0</v>
      </c>
      <c r="BE65" s="29" cm="1">
        <f t="array" ref="BE65">IF($F$12-$I$4+VLOOKUP($R65,武学奇术!$A:$ZZ,11,FALSE)+SUM(_xlfn.XLOOKUP(S65:AL65,增益!$A:$A,增益!$K:$K,0))&gt;0,($F$12-$I$4+VLOOKUP($R65,武学奇术!$A:$ZZ,11,FALSE)+SUM(_xlfn.XLOOKUP(S65:AL65,增益!$A:$A,增益!$K:$K,0)))/200,($F$12-$I$4+VLOOKUP($R65,武学奇术!$A:$ZZ,11,FALSE)+SUM(_xlfn.XLOOKUP(S65:AL65,增益!$A:$A,增益!$K:$K,0)))/100)</f>
        <v>-0.14</v>
      </c>
      <c r="BF65" s="29" cm="1">
        <f t="array" ref="BF65">$G$12+VLOOKUP($R65,武学奇术!$A:$ZZ,12,FALSE)+SUM(_xlfn.XLOOKUP(S65:AL65,增益!$A:$A,增益!$L:$L,0))</f>
        <v>0.02</v>
      </c>
      <c r="BG65">
        <f t="shared" si="16"/>
        <v>0</v>
      </c>
      <c r="BH65">
        <f t="shared" si="17"/>
        <v>0</v>
      </c>
      <c r="BI65" s="29" cm="1">
        <f t="array" ref="BI65">IF($F$13-$I$4+VLOOKUP($R65,武学奇术!$A:$ZZ,13,FALSE)+SUM(_xlfn.XLOOKUP(S65:AL65,增益!$A:$A,增益!$M:$M,0))&gt;0,($F$13-$I$4+VLOOKUP($R65,武学奇术!$A:$ZZ,13,FALSE)+SUM(_xlfn.XLOOKUP(S65:AL65,增益!$A:$A,增益!$K:$K,0)))/200,($F$13-$I$4+VLOOKUP($R65,武学奇术!$A:$ZZ,13,FALSE)+SUM(_xlfn.XLOOKUP(S65:AL65,增益!$A:$A,增益!$M:$M,0)))/100)</f>
        <v>-0.14</v>
      </c>
      <c r="BJ65" s="29" cm="1">
        <f t="array" ref="BJ65">$G$13+VLOOKUP($R65,武学奇术!$A:$ZZ,14,FALSE)+SUM(_xlfn.XLOOKUP(S65:AL65,增益!$A:$A,增益!$N:$N,0))</f>
        <v>0.02</v>
      </c>
      <c r="BK65">
        <f t="shared" si="18"/>
        <v>618.2</v>
      </c>
      <c r="BL65">
        <f t="shared" si="19"/>
        <v>1805</v>
      </c>
      <c r="BM65" s="29" cm="1">
        <f t="array" ref="BM65">IF($F$14-$I$4+VLOOKUP($R65,武学奇术!$A:$ZZ,15,FALSE)+SUM(_xlfn.XLOOKUP(S65:AL65,增益!$A:$A,增益!$O:$O,0))&gt;0,($F$14-$I$4+VLOOKUP($R65,武学奇术!$A:$ZZ,15,FALSE)+SUM(_xlfn.XLOOKUP(S65:AL65,增益!$A:$A,增益!$O:$O,0)))/200,($F$14-$I$4+VLOOKUP($R65,武学奇术!$A:$ZZ,15,FALSE)+SUM(_xlfn.XLOOKUP(S65:AL65,增益!$A:$A,增益!$O:$O,0)))/100)</f>
        <v>0.13</v>
      </c>
      <c r="BN65" s="29" cm="1">
        <f t="array" ref="BN65">$G$14+VLOOKUP($R65,武学奇术!$A:$ZZ,16,FALSE)+SUM(_xlfn.XLOOKUP(S65:AL65,增益!$A:$A,增益!$P:$P,0))</f>
        <v>0.23</v>
      </c>
      <c r="BO65" s="23">
        <f>MIN(IF(VLOOKUP($R65,武学奇术!$A:$ZZ,23,FALSE)=1,100%,$B$8),100%)</f>
        <v>0.9943</v>
      </c>
      <c r="BP65" s="23" cm="1">
        <f t="array" ref="BP65">IF(VLOOKUP($R65,武学奇术!$A:$ZZ,23,FALSE)=1,100%,MIN(80%,$B$9+VLOOKUP($R65,武学奇术!$A:$ZZ,17,FALSE)+SUM(_xlfn.XLOOKUP(S65:AL65,增益!$A:$A,增益!$Q:$Q,0)))+$B$11+SUM(_xlfn.XLOOKUP(S65:AL65,增益!$A:$A,增益!$U:$U,0)))*IF(VLOOKUP($R65,武学奇术!$A:$ZZ,24,FALSE)=1,0,1)</f>
        <v>0.887</v>
      </c>
      <c r="BQ65" s="23" cm="1">
        <f t="array" ref="BQ65">1+$B$13+VLOOKUP($R65,武学奇术!$A:$ZZ,18,FALSE)+SUM(_xlfn.XLOOKUP(S65:AL65,增益!$A:$A,增益!$R:$R,0))</f>
        <v>2.394</v>
      </c>
      <c r="BR65" s="23" cm="1">
        <f t="array" ref="BR65">IF(VLOOKUP($R65,武学奇术!$A:$ZZ,24,FALSE)=1,100%,MIN(40%,$B$10+VLOOKUP($R65,武学奇术!$A:$ZZ,19,FALSE)+SUM(_xlfn.XLOOKUP(S65:AL65,增益!$A:$A,增益!$S:$S,0)))+$B$12+SUM(_xlfn.XLOOKUP(S65:AL65,增益!$A:$A,增益!$V:$V,0)))*IF(VLOOKUP($R65,武学奇术!$A:$ZZ,23,FALSE)=1,0,1)</f>
        <v>0.0913</v>
      </c>
      <c r="BS65" s="23" cm="1">
        <f t="array" ref="BS65">1+$B$14+VLOOKUP($R65,武学奇术!$A:$ZZ,20,FALSE)+SUM(_xlfn.XLOOKUP(S65:AL65,增益!$A:$A,增益!$T:$T,0))</f>
        <v>1.35</v>
      </c>
      <c r="BT65" s="23">
        <f t="shared" si="20"/>
        <v>0.8819441</v>
      </c>
      <c r="BU65" s="23">
        <f t="shared" si="21"/>
        <v>0.0215763099999999</v>
      </c>
      <c r="BV65" s="23">
        <f>IF(VLOOKUP($R65,武学奇术!$A:$ZZ,22,FALSE)=1,0,(1-$BO65))*(1-$BR65)</f>
        <v>0.00517958999999993</v>
      </c>
      <c r="BW65" s="23" cm="1">
        <f t="array" ref="BW65">SUM(_xlfn.XLOOKUP(S65:AL65,增益!$A:$A,增益!$W:$W,0))+$I$5</f>
        <v>0.11</v>
      </c>
      <c r="BX65" s="23">
        <f>VLOOKUP($R65,武学奇术!$A:$ZZ,32,FALSE)</f>
        <v>0.1</v>
      </c>
      <c r="BY65" s="23" cm="1">
        <f t="array" ref="BY65">SUM(_xlfn.XLOOKUP($S65:$AL65,增益!$A:$A,增益!$X:$X,0))</f>
        <v>0</v>
      </c>
    </row>
    <row r="66" spans="1:77">
      <c r="A66" s="4" t="s">
        <v>169</v>
      </c>
      <c r="B66" s="4">
        <v>0.7</v>
      </c>
      <c r="C66" s="36"/>
      <c r="K66" s="35">
        <f>$L66*VLOOKUP($R66,武学奇术!$A:$ZZ,31,FALSE)</f>
        <v>69203.233391507</v>
      </c>
      <c r="L66" s="69">
        <f t="shared" si="22"/>
        <v>67846.3072465755</v>
      </c>
      <c r="M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轻击",$B$21,0))*(1+IF(VLOOKUP($R66,武学奇术!$A:$ZZ,30,FALSE)="老鼠",$B$22,0))*(1+$BW66)*(1+$BX66)</f>
        <v>71322.8883140033</v>
      </c>
      <c r="N66" s="35">
        <f>(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轻击",$B$21,0))*(1+IF(VLOOKUP($R66,武学奇术!$A:$ZZ,30,FALSE)="老鼠",$B$22,0))*(1+$BW66))*(1+$BX66)</f>
        <v>45642.8570246724</v>
      </c>
      <c r="O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轻击",$B$21,0))*(1+IF(VLOOKUP($R66,武学奇术!$A:$ZZ,30,FALSE)="老鼠",$B$22,0))*(1+$BW66)*(1+$BX66)</f>
        <v>29792.3510083556</v>
      </c>
      <c r="P66" s="35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轻击",$B$21,0))*(1+IF(VLOOKUP($R66,武学奇术!$A:$ZZ,30,FALSE)="老鼠",$B$22,0))*(1+$BW66)*(1+$BX66)</f>
        <v>25775.1782947317</v>
      </c>
      <c r="Q66" s="70">
        <v>2</v>
      </c>
      <c r="R66" s="37" t="s">
        <v>106</v>
      </c>
      <c r="S66" s="37" t="s">
        <v>91</v>
      </c>
      <c r="T66" s="37" t="s">
        <v>185</v>
      </c>
      <c r="U66" s="37" t="s">
        <v>112</v>
      </c>
      <c r="V66" s="37" t="s">
        <v>113</v>
      </c>
      <c r="W66" s="37" t="s">
        <v>82</v>
      </c>
      <c r="X66" s="37" t="s">
        <v>81</v>
      </c>
      <c r="Y66" s="37" t="s">
        <v>109</v>
      </c>
      <c r="Z66" s="37" t="s">
        <v>83</v>
      </c>
      <c r="AA66" s="37" t="s">
        <v>84</v>
      </c>
      <c r="AB66" s="37" t="s">
        <v>81</v>
      </c>
      <c r="AC66" s="37" t="s">
        <v>81</v>
      </c>
      <c r="AD66" s="37" t="s">
        <v>85</v>
      </c>
      <c r="AE66" s="37" t="s">
        <v>86</v>
      </c>
      <c r="AF66" s="37" t="s">
        <v>81</v>
      </c>
      <c r="AG66" s="37" t="s">
        <v>87</v>
      </c>
      <c r="AH66" s="37" t="s">
        <v>88</v>
      </c>
      <c r="AI66" s="37" t="s">
        <v>81</v>
      </c>
      <c r="AJ66" s="37" t="s">
        <v>81</v>
      </c>
      <c r="AK66" s="37" t="s">
        <v>81</v>
      </c>
      <c r="AL66" s="37" t="s">
        <v>81</v>
      </c>
      <c r="AM66" t="str">
        <f>VLOOKUP($R66,武学奇术!$A:$ZZ,25,FALSE)</f>
        <v>绳镖</v>
      </c>
      <c r="AN66" s="23">
        <f>VLOOKUP($R66,武学奇术!$A:$ZZ,26,FALSE)</f>
        <v>0.3675</v>
      </c>
      <c r="AO66" s="24">
        <f>VLOOKUP($R66,武学奇术!$A:$ZZ,27,FALSE)*(1+IF(OR($AM66=$F$4,$AM66=$F$5),$B$23,0))</f>
        <v>0</v>
      </c>
      <c r="AP66" s="23">
        <f>VLOOKUP($R66,武学奇术!$A:$ZZ,28,FALSE)</f>
        <v>0.55125</v>
      </c>
      <c r="AQ66" s="24">
        <f>VLOOKUP($R66,武学奇术!$A:$ZZ,29,FALSE)*(1+IF(OR($AM66=$F$4,$AM66=$F$5),$B$23,0))</f>
        <v>0</v>
      </c>
      <c r="AR66" s="23" cm="1">
        <f t="array" ref="AR66">$G$3+IFERROR(VLOOKUP($AM66,$F$4:$G$7,2,FALSE),0)+VLOOKUP($R66,武学奇术!$A:$ZZ,2,FALSE)+SUM(_xlfn.XLOOKUP($S66:$AL66,增益!$A:$A,增益!$B:$B,0))</f>
        <v>1.5743</v>
      </c>
      <c r="AS66" s="23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4150.4</v>
      </c>
      <c r="AU66" cm="1">
        <f t="array" ref="AU66">$E$10*(1+$AS66)+VLOOKUP($R66,武学奇术!$A:$ZZ,4,FALSE)+SUM(_xlfn.XLOOKUP($S66:$AL66,增益!$A:$A,增益!$D:$D,0))-$I$2</f>
        <v>4150.4</v>
      </c>
      <c r="AV66" s="29" cm="1">
        <f t="array" ref="AV66">IF($F$10-$I$3+VLOOKUP($R66,武学奇术!$A:$ZZ,6,FALSE)+SUM(_xlfn.XLOOKUP(S66:AL66,增益!$A:$A,增益!$F:$F,0))&gt;0,($F$10-$I$3+VLOOKUP($R66,武学奇术!$A:$ZZ,6,FALSE)+SUM(_xlfn.XLOOKUP(S66:AL66,增益!$A:$A,增益!$F:$F,0)))/200,($F$10-$I$3+VLOOKUP($R66,武学奇术!$A:$ZZ,6,FALSE)+SUM(_xlfn.XLOOKUP(S66:AL66,增益!$A:$A,增益!$F:$F,0)))/100)</f>
        <v>0.4539</v>
      </c>
      <c r="AW66" s="29" cm="1">
        <f t="array" ref="AW66">$G$10+VLOOKUP($R66,武学奇术!$A:$ZZ,7,FALSE)+SUM(_xlfn.XLOOKUP(S66:AL66,增益!$A:$A,增益!$G:$G,0))</f>
        <v>0.29</v>
      </c>
      <c r="AX66" s="23" cm="1">
        <f t="array" ref="AX66">VLOOKUP($R66,武学奇术!$A:$ZZ,8,FALSE)+SUM(_xlfn.XLOOKUP(S66:AL66,增益!$A:$A,增益!$H:$H,0))</f>
        <v>0</v>
      </c>
      <c r="AY66">
        <f t="shared" si="12"/>
        <v>0</v>
      </c>
      <c r="AZ66">
        <f t="shared" si="13"/>
        <v>0</v>
      </c>
      <c r="BA66" s="29" cm="1">
        <f t="array" ref="BA66">IF($F$11-$I$4+VLOOKUP($R66,武学奇术!$A:$ZZ,9,FALSE)+SUM(_xlfn.XLOOKUP(S66:AL66,增益!$A:$A,增益!$I:$I,0))&gt;0,($F$11-$I$4+VLOOKUP($R66,武学奇术!$A:$ZZ,9,FALSE)+SUM(_xlfn.XLOOKUP(S66:AL66,增益!$A:$A,增益!$I:$I,0)))/200,($F$11-$I$4+VLOOKUP($R66,武学奇术!$A:$ZZ,9,FALSE)+SUM(_xlfn.XLOOKUP(S66:AL66,增益!$A:$A,增益!$I:$I,0)))/100)</f>
        <v>-0.14</v>
      </c>
      <c r="BB66" s="29" cm="1">
        <f t="array" ref="BB66">$G$11+VLOOKUP($R66,武学奇术!$A:$ZZ,10,FALSE)+SUM(_xlfn.XLOOKUP(S66:AL66,增益!$A:$A,增益!$J:$J,0))</f>
        <v>0.02</v>
      </c>
      <c r="BC66">
        <f t="shared" si="14"/>
        <v>0</v>
      </c>
      <c r="BD66">
        <f t="shared" si="15"/>
        <v>0</v>
      </c>
      <c r="BE66" s="29" cm="1">
        <f t="array" ref="BE66">IF($F$12-$I$4+VLOOKUP($R66,武学奇术!$A:$ZZ,11,FALSE)+SUM(_xlfn.XLOOKUP(S66:AL66,增益!$A:$A,增益!$K:$K,0))&gt;0,($F$12-$I$4+VLOOKUP($R66,武学奇术!$A:$ZZ,11,FALSE)+SUM(_xlfn.XLOOKUP(S66:AL66,增益!$A:$A,增益!$K:$K,0)))/200,($F$12-$I$4+VLOOKUP($R66,武学奇术!$A:$ZZ,11,FALSE)+SUM(_xlfn.XLOOKUP(S66:AL66,增益!$A:$A,增益!$K:$K,0)))/100)</f>
        <v>-0.14</v>
      </c>
      <c r="BF66" s="29" cm="1">
        <f t="array" ref="BF66">$G$12+VLOOKUP($R66,武学奇术!$A:$ZZ,12,FALSE)+SUM(_xlfn.XLOOKUP(S66:AL66,增益!$A:$A,增益!$L:$L,0))</f>
        <v>0.02</v>
      </c>
      <c r="BG66">
        <f t="shared" si="16"/>
        <v>0</v>
      </c>
      <c r="BH66">
        <f t="shared" si="17"/>
        <v>0</v>
      </c>
      <c r="BI66" s="29" cm="1">
        <f t="array" ref="BI66">IF($F$13-$I$4+VLOOKUP($R66,武学奇术!$A:$ZZ,13,FALSE)+SUM(_xlfn.XLOOKUP(S66:AL66,增益!$A:$A,增益!$M:$M,0))&gt;0,($F$13-$I$4+VLOOKUP($R66,武学奇术!$A:$ZZ,13,FALSE)+SUM(_xlfn.XLOOKUP(S66:AL66,增益!$A:$A,增益!$K:$K,0)))/200,($F$13-$I$4+VLOOKUP($R66,武学奇术!$A:$ZZ,13,FALSE)+SUM(_xlfn.XLOOKUP(S66:AL66,增益!$A:$A,增益!$M:$M,0)))/100)</f>
        <v>-0.14</v>
      </c>
      <c r="BJ66" s="29" cm="1">
        <f t="array" ref="BJ66">$G$13+VLOOKUP($R66,武学奇术!$A:$ZZ,14,FALSE)+SUM(_xlfn.XLOOKUP(S66:AL66,增益!$A:$A,增益!$N:$N,0))</f>
        <v>0.02</v>
      </c>
      <c r="BK66">
        <f t="shared" si="18"/>
        <v>618.2</v>
      </c>
      <c r="BL66">
        <f t="shared" si="19"/>
        <v>1805</v>
      </c>
      <c r="BM66" s="29" cm="1">
        <f t="array" ref="BM66">IF($F$14-$I$4+VLOOKUP($R66,武学奇术!$A:$ZZ,15,FALSE)+SUM(_xlfn.XLOOKUP(S66:AL66,增益!$A:$A,增益!$O:$O,0))&gt;0,($F$14-$I$4+VLOOKUP($R66,武学奇术!$A:$ZZ,15,FALSE)+SUM(_xlfn.XLOOKUP(S66:AL66,增益!$A:$A,增益!$O:$O,0)))/200,($F$14-$I$4+VLOOKUP($R66,武学奇术!$A:$ZZ,15,FALSE)+SUM(_xlfn.XLOOKUP(S66:AL66,增益!$A:$A,增益!$O:$O,0)))/100)</f>
        <v>0.13</v>
      </c>
      <c r="BN66" s="29" cm="1">
        <f t="array" ref="BN66">$G$14+VLOOKUP($R66,武学奇术!$A:$ZZ,16,FALSE)+SUM(_xlfn.XLOOKUP(S66:AL66,增益!$A:$A,增益!$P:$P,0))</f>
        <v>0.44</v>
      </c>
      <c r="BO66" s="23">
        <f>MIN(IF(VLOOKUP($R66,武学奇术!$A:$ZZ,23,FALSE)=1,100%,$B$8),100%)</f>
        <v>0.9943</v>
      </c>
      <c r="BP66" s="23" cm="1">
        <f t="array" ref="BP66">IF(VLOOKUP($R66,武学奇术!$A:$ZZ,23,FALSE)=1,100%,MIN(80%,$B$9+VLOOKUP($R66,武学奇术!$A:$ZZ,17,FALSE)+SUM(_xlfn.XLOOKUP(S66:AL66,增益!$A:$A,增益!$Q:$Q,0)))+$B$11+SUM(_xlfn.XLOOKUP(S66:AL66,增益!$A:$A,增益!$U:$U,0)))*IF(VLOOKUP($R66,武学奇术!$A:$ZZ,24,FALSE)=1,0,1)</f>
        <v>0.887</v>
      </c>
      <c r="BQ66" s="23" cm="1">
        <f t="array" ref="BQ66">1+$B$13+VLOOKUP($R66,武学奇术!$A:$ZZ,18,FALSE)+SUM(_xlfn.XLOOKUP(S66:AL66,增益!$A:$A,增益!$R:$R,0))</f>
        <v>2.394</v>
      </c>
      <c r="BR66" s="23" cm="1">
        <f t="array" ref="BR66">IF(VLOOKUP($R66,武学奇术!$A:$ZZ,24,FALSE)=1,100%,MIN(40%,$B$10+VLOOKUP($R66,武学奇术!$A:$ZZ,19,FALSE)+SUM(_xlfn.XLOOKUP(S66:AL66,增益!$A:$A,增益!$S:$S,0)))+$B$12+SUM(_xlfn.XLOOKUP(S66:AL66,增益!$A:$A,增益!$V:$V,0)))*IF(VLOOKUP($R66,武学奇术!$A:$ZZ,23,FALSE)=1,0,1)</f>
        <v>0.0913</v>
      </c>
      <c r="BS66" s="23" cm="1">
        <f t="array" ref="BS66">1+$B$14+VLOOKUP($R66,武学奇术!$A:$ZZ,20,FALSE)+SUM(_xlfn.XLOOKUP(S66:AL66,增益!$A:$A,增益!$T:$T,0))</f>
        <v>1.35</v>
      </c>
      <c r="BT66" s="23">
        <f t="shared" si="20"/>
        <v>0.8819441</v>
      </c>
      <c r="BU66" s="23">
        <f t="shared" si="21"/>
        <v>0.0215763099999999</v>
      </c>
      <c r="BV66" s="23">
        <f>IF(VLOOKUP($R66,武学奇术!$A:$ZZ,22,FALSE)=1,0,(1-$BO66))*(1-$BR66)</f>
        <v>0.00517958999999993</v>
      </c>
      <c r="BW66" s="23" cm="1">
        <f t="array" ref="BW66">SUM(_xlfn.XLOOKUP(S66:AL66,增益!$A:$A,增益!$W:$W,0))+$I$5</f>
        <v>0.11</v>
      </c>
      <c r="BX66" s="23">
        <f>VLOOKUP($R66,武学奇术!$A:$ZZ,32,FALSE)</f>
        <v>0</v>
      </c>
      <c r="BY66" s="23" cm="1">
        <f t="array" ref="BY66">SUM(_xlfn.XLOOKUP($S66:$AL66,增益!$A:$A,增益!$X:$X,0))</f>
        <v>0</v>
      </c>
    </row>
    <row r="67" spans="1:77">
      <c r="A67" s="93" t="s">
        <v>172</v>
      </c>
      <c r="B67" s="4">
        <v>0.166</v>
      </c>
      <c r="C67" s="36"/>
      <c r="K67" s="35">
        <f>$L67*VLOOKUP($R67,武学奇术!$A:$ZZ,31,FALSE)</f>
        <v>85675.9652208345</v>
      </c>
      <c r="L67" s="58">
        <f t="shared" si="22"/>
        <v>76496.3975186022</v>
      </c>
      <c r="M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轻击",$B$21,0))*(1+IF(VLOOKUP($R67,武学奇术!$A:$ZZ,30,FALSE)="老鼠",$B$22,0))*(1+$BW67)*(1+$BX67)</f>
        <v>79767.4674656283</v>
      </c>
      <c r="N67" s="35">
        <f>(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轻击",$B$21,0))*(1+IF(VLOOKUP($R67,武学奇术!$A:$ZZ,30,FALSE)="老鼠",$B$22,0))*(1+$BW67))*(1+$BX67)</f>
        <v>56684.2662223962</v>
      </c>
      <c r="O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轻击",$B$21,0))*(1+IF(VLOOKUP($R67,武学奇术!$A:$ZZ,30,FALSE)="老鼠",$B$22,0))*(1+$BW67)*(1+$BX67)</f>
        <v>37204.9754970281</v>
      </c>
      <c r="P67" s="35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轻击",$B$21,0))*(1+IF(VLOOKUP($R67,武学奇术!$A:$ZZ,30,FALSE)="老鼠",$B$22,0))*(1+$BW67)*(1+$BX67)</f>
        <v>32421.6056441332</v>
      </c>
      <c r="Q67" s="36">
        <v>1</v>
      </c>
      <c r="R67" s="37" t="s">
        <v>153</v>
      </c>
      <c r="S67" s="37" t="s">
        <v>91</v>
      </c>
      <c r="T67" s="37" t="s">
        <v>185</v>
      </c>
      <c r="U67" s="37" t="s">
        <v>112</v>
      </c>
      <c r="V67" s="37" t="s">
        <v>113</v>
      </c>
      <c r="W67" s="37" t="s">
        <v>82</v>
      </c>
      <c r="X67" s="37" t="s">
        <v>81</v>
      </c>
      <c r="Y67" s="37" t="s">
        <v>109</v>
      </c>
      <c r="Z67" s="37" t="s">
        <v>83</v>
      </c>
      <c r="AA67" s="37" t="s">
        <v>84</v>
      </c>
      <c r="AB67" s="37" t="s">
        <v>81</v>
      </c>
      <c r="AC67" s="37" t="s">
        <v>81</v>
      </c>
      <c r="AD67" s="37" t="s">
        <v>85</v>
      </c>
      <c r="AE67" s="37" t="s">
        <v>81</v>
      </c>
      <c r="AF67" s="37" t="s">
        <v>181</v>
      </c>
      <c r="AG67" s="37" t="s">
        <v>87</v>
      </c>
      <c r="AH67" s="37" t="s">
        <v>88</v>
      </c>
      <c r="AI67" s="37" t="s">
        <v>81</v>
      </c>
      <c r="AJ67" s="37" t="s">
        <v>81</v>
      </c>
      <c r="AK67" s="37" t="s">
        <v>81</v>
      </c>
      <c r="AL67" s="37" t="s">
        <v>81</v>
      </c>
      <c r="AM67" t="str">
        <f>VLOOKUP($R67,武学奇术!$A:$ZZ,25,FALSE)</f>
        <v>双刀</v>
      </c>
      <c r="AN67" s="23">
        <f>VLOOKUP($R67,武学奇术!$A:$ZZ,26,FALSE)</f>
        <v>1.7358</v>
      </c>
      <c r="AO67" s="24">
        <f>VLOOKUP($R67,武学奇术!$A:$ZZ,27,FALSE)*(1+IF(OR($AM67=$F$4,$AM67=$F$5),$B$23,0))</f>
        <v>769.6</v>
      </c>
      <c r="AP67" s="23">
        <f>VLOOKUP($R67,武学奇术!$A:$ZZ,28,FALSE)</f>
        <v>2.6037</v>
      </c>
      <c r="AQ67" s="24">
        <f>VLOOKUP($R67,武学奇术!$A:$ZZ,29,FALSE)*(1+IF(OR($AM67=$F$4,$AM67=$F$5),$B$23,0))</f>
        <v>419.2</v>
      </c>
      <c r="AR67" s="23" cm="1">
        <f t="array" ref="AR67">$G$3+IFERROR(VLOOKUP($AM67,$F$4:$G$7,2,FALSE),0)+VLOOKUP($R67,武学奇术!$A:$ZZ,2,FALSE)+SUM(_xlfn.XLOOKUP($S67:$AL67,增益!$A:$A,增益!$B:$B,0))</f>
        <v>0.8243</v>
      </c>
      <c r="AS67" s="23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4150.4</v>
      </c>
      <c r="AU67" cm="1">
        <f t="array" ref="AU67">$E$10*(1+$AS67)+VLOOKUP($R67,武学奇术!$A:$ZZ,4,FALSE)+SUM(_xlfn.XLOOKUP($S67:$AL67,增益!$A:$A,增益!$D:$D,0))-$I$2</f>
        <v>4150.4</v>
      </c>
      <c r="AV67" s="29" cm="1">
        <f t="array" ref="AV67">IF($F$10-$I$3+VLOOKUP($R67,武学奇术!$A:$ZZ,6,FALSE)+SUM(_xlfn.XLOOKUP(S67:AL67,增益!$A:$A,增益!$F:$F,0))&gt;0,($F$10-$I$3+VLOOKUP($R67,武学奇术!$A:$ZZ,6,FALSE)+SUM(_xlfn.XLOOKUP(S67:AL67,增益!$A:$A,增益!$F:$F,0)))/200,($F$10-$I$3+VLOOKUP($R67,武学奇术!$A:$ZZ,6,FALSE)+SUM(_xlfn.XLOOKUP(S67:AL67,增益!$A:$A,增益!$F:$F,0)))/100)</f>
        <v>0.3289</v>
      </c>
      <c r="AW67" s="29" cm="1">
        <f t="array" ref="AW67">$G$10+VLOOKUP($R67,武学奇术!$A:$ZZ,7,FALSE)+SUM(_xlfn.XLOOKUP(S67:AL67,增益!$A:$A,增益!$G:$G,0))</f>
        <v>0.08</v>
      </c>
      <c r="AX67" s="23" cm="1">
        <f t="array" ref="AX67">VLOOKUP($R67,武学奇术!$A:$ZZ,8,FALSE)+SUM(_xlfn.XLOOKUP(S67:AL67,增益!$A:$A,增益!$H:$H,0))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29" cm="1">
        <f t="array" ref="BA67">IF($F$11-$I$4+VLOOKUP($R67,武学奇术!$A:$ZZ,9,FALSE)+SUM(_xlfn.XLOOKUP(S67:AL67,增益!$A:$A,增益!$I:$I,0))&gt;0,($F$11-$I$4+VLOOKUP($R67,武学奇术!$A:$ZZ,9,FALSE)+SUM(_xlfn.XLOOKUP(S67:AL67,增益!$A:$A,增益!$I:$I,0)))/200,($F$11-$I$4+VLOOKUP($R67,武学奇术!$A:$ZZ,9,FALSE)+SUM(_xlfn.XLOOKUP(S67:AL67,增益!$A:$A,增益!$I:$I,0)))/100)</f>
        <v>-0.14</v>
      </c>
      <c r="BB67" s="29" cm="1">
        <f t="array" ref="BB67">$G$11+VLOOKUP($R67,武学奇术!$A:$ZZ,10,FALSE)+SUM(_xlfn.XLOOKUP(S67:AL67,增益!$A:$A,增益!$J:$J,0))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29" cm="1">
        <f t="array" ref="BE67">IF($F$12-$I$4+VLOOKUP($R67,武学奇术!$A:$ZZ,11,FALSE)+SUM(_xlfn.XLOOKUP(S67:AL67,增益!$A:$A,增益!$K:$K,0))&gt;0,($F$12-$I$4+VLOOKUP($R67,武学奇术!$A:$ZZ,11,FALSE)+SUM(_xlfn.XLOOKUP(S67:AL67,增益!$A:$A,增益!$K:$K,0)))/200,($F$12-$I$4+VLOOKUP($R67,武学奇术!$A:$ZZ,11,FALSE)+SUM(_xlfn.XLOOKUP(S67:AL67,增益!$A:$A,增益!$K:$K,0)))/100)</f>
        <v>-0.14</v>
      </c>
      <c r="BF67" s="29" cm="1">
        <f t="array" ref="BF67">$G$12+VLOOKUP($R67,武学奇术!$A:$ZZ,12,FALSE)+SUM(_xlfn.XLOOKUP(S67:AL67,增益!$A:$A,增益!$L:$L,0))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29" cm="1">
        <f t="array" ref="BI67">IF($F$13-$I$4+VLOOKUP($R67,武学奇术!$A:$ZZ,13,FALSE)+SUM(_xlfn.XLOOKUP(S67:AL67,增益!$A:$A,增益!$M:$M,0))&gt;0,($F$13-$I$4+VLOOKUP($R67,武学奇术!$A:$ZZ,13,FALSE)+SUM(_xlfn.XLOOKUP(S67:AL67,增益!$A:$A,增益!$K:$K,0)))/200,($F$13-$I$4+VLOOKUP($R67,武学奇术!$A:$ZZ,13,FALSE)+SUM(_xlfn.XLOOKUP(S67:AL67,增益!$A:$A,增益!$M:$M,0)))/100)</f>
        <v>-0.14</v>
      </c>
      <c r="BJ67" s="29" cm="1">
        <f t="array" ref="BJ67">$G$13+VLOOKUP($R67,武学奇术!$A:$ZZ,14,FALSE)+SUM(_xlfn.XLOOKUP(S67:AL67,增益!$A:$A,增益!$N:$N,0))</f>
        <v>0.02</v>
      </c>
      <c r="BK67">
        <f t="shared" ref="BK67:BK98" si="29">$D$14*(1+$AX67)</f>
        <v>618.2</v>
      </c>
      <c r="BL67">
        <f t="shared" ref="BL67:BL98" si="30">$E$14*(1+$AX67)</f>
        <v>1805</v>
      </c>
      <c r="BM67" s="29" cm="1">
        <f t="array" ref="BM67">IF($F$14-$I$4+VLOOKUP($R67,武学奇术!$A:$ZZ,15,FALSE)+SUM(_xlfn.XLOOKUP(S67:AL67,增益!$A:$A,增益!$O:$O,0))&gt;0,($F$14-$I$4+VLOOKUP($R67,武学奇术!$A:$ZZ,15,FALSE)+SUM(_xlfn.XLOOKUP(S67:AL67,增益!$A:$A,增益!$O:$O,0)))/200,($F$14-$I$4+VLOOKUP($R67,武学奇术!$A:$ZZ,15,FALSE)+SUM(_xlfn.XLOOKUP(S67:AL67,增益!$A:$A,增益!$O:$O,0)))/100)</f>
        <v>0.13</v>
      </c>
      <c r="BN67" s="29" cm="1">
        <f t="array" ref="BN67">$G$14+VLOOKUP($R67,武学奇术!$A:$ZZ,16,FALSE)+SUM(_xlfn.XLOOKUP(S67:AL67,增益!$A:$A,增益!$P:$P,0))</f>
        <v>0.23</v>
      </c>
      <c r="BO67" s="23">
        <f>MIN(IF(VLOOKUP($R67,武学奇术!$A:$ZZ,23,FALSE)=1,100%,$B$8),100%)</f>
        <v>0.9943</v>
      </c>
      <c r="BP67" s="23" cm="1">
        <f t="array" ref="BP67">IF(VLOOKUP($R67,武学奇术!$A:$ZZ,23,FALSE)=1,100%,MIN(80%,$B$9+VLOOKUP($R67,武学奇术!$A:$ZZ,17,FALSE)+SUM(_xlfn.XLOOKUP(S67:AL67,增益!$A:$A,增益!$Q:$Q,0)))+$B$11+SUM(_xlfn.XLOOKUP(S67:AL67,增益!$A:$A,增益!$U:$U,0)))*IF(VLOOKUP($R67,武学奇术!$A:$ZZ,24,FALSE)=1,0,1)</f>
        <v>0.887</v>
      </c>
      <c r="BQ67" s="23" cm="1">
        <f t="array" ref="BQ67">1+$B$13+VLOOKUP($R67,武学奇术!$A:$ZZ,18,FALSE)+SUM(_xlfn.XLOOKUP(S67:AL67,增益!$A:$A,增益!$R:$R,0))</f>
        <v>2.144</v>
      </c>
      <c r="BR67" s="23" cm="1">
        <f t="array" ref="BR67">IF(VLOOKUP($R67,武学奇术!$A:$ZZ,24,FALSE)=1,100%,MIN(40%,$B$10+VLOOKUP($R67,武学奇术!$A:$ZZ,19,FALSE)+SUM(_xlfn.XLOOKUP(S67:AL67,增益!$A:$A,增益!$S:$S,0)))+$B$12+SUM(_xlfn.XLOOKUP(S67:AL67,增益!$A:$A,增益!$V:$V,0)))*IF(VLOOKUP($R67,武学奇术!$A:$ZZ,23,FALSE)=1,0,1)</f>
        <v>0.0913</v>
      </c>
      <c r="BS67" s="23" cm="1">
        <f t="array" ref="BS67">1+$B$14+VLOOKUP($R67,武学奇术!$A:$ZZ,20,FALSE)+SUM(_xlfn.XLOOKUP(S67:AL67,增益!$A:$A,增益!$T:$T,0))</f>
        <v>1.35</v>
      </c>
      <c r="BT67" s="23">
        <f t="shared" ref="BT67:BT98" si="31">MIN((1-BR67)*BO67,BO67*BP67)</f>
        <v>0.8819441</v>
      </c>
      <c r="BU67" s="23">
        <f t="shared" ref="BU67:BU98" si="32">1-BR67-BT67-BV67</f>
        <v>0.0215763099999999</v>
      </c>
      <c r="BV67" s="23">
        <f>IF(VLOOKUP($R67,武学奇术!$A:$ZZ,22,FALSE)=1,0,(1-$BO67))*(1-$BR67)</f>
        <v>0.00517958999999993</v>
      </c>
      <c r="BW67" s="23" cm="1">
        <f t="array" ref="BW67">SUM(_xlfn.XLOOKUP(S67:AL67,增益!$A:$A,增益!$W:$W,0))+$I$5</f>
        <v>0.11</v>
      </c>
      <c r="BX67" s="23">
        <f>VLOOKUP($R67,武学奇术!$A:$ZZ,32,FALSE)</f>
        <v>0.1</v>
      </c>
      <c r="BY67" s="23" cm="1">
        <f t="array" ref="BY67">SUM(_xlfn.XLOOKUP($S67:$AL67,增益!$A:$A,增益!$X:$X,0))</f>
        <v>0</v>
      </c>
    </row>
    <row r="68" spans="1:77">
      <c r="A68" s="93" t="s">
        <v>173</v>
      </c>
      <c r="B68" s="4">
        <v>0.633</v>
      </c>
      <c r="C68" s="36"/>
      <c r="K68" s="35">
        <f>$L68*VLOOKUP($R68,武学奇术!$A:$ZZ,31,FALSE)</f>
        <v>125071.194067213</v>
      </c>
      <c r="L68" s="58">
        <f t="shared" si="22"/>
        <v>111670.708988583</v>
      </c>
      <c r="M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轻击",$B$21,0))*(1+IF(VLOOKUP($R68,武学奇术!$A:$ZZ,30,FALSE)="老鼠",$B$22,0))*(1+$BW68)*(1+$BX68)</f>
        <v>116445.808313435</v>
      </c>
      <c r="N68" s="35">
        <f>(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轻击",$B$21,0))*(1+IF(VLOOKUP($R68,武学奇术!$A:$ZZ,30,FALSE)="老鼠",$B$22,0))*(1+$BW68))*(1+$BX68)</f>
        <v>82749.2752929312</v>
      </c>
      <c r="O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轻击",$B$21,0))*(1+IF(VLOOKUP($R68,武学奇术!$A:$ZZ,30,FALSE)="老鼠",$B$22,0))*(1+$BW68)*(1+$BX68)</f>
        <v>54312.4105939531</v>
      </c>
      <c r="P68" s="35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轻击",$B$21,0))*(1+IF(VLOOKUP($R68,武学奇术!$A:$ZZ,30,FALSE)="老鼠",$B$22,0))*(1+$BW68)*(1+$BX68)</f>
        <v>47329.0617116608</v>
      </c>
      <c r="Q68" s="36">
        <v>1</v>
      </c>
      <c r="R68" s="37" t="s">
        <v>158</v>
      </c>
      <c r="S68" s="37" t="s">
        <v>91</v>
      </c>
      <c r="T68" s="37" t="s">
        <v>185</v>
      </c>
      <c r="U68" s="37" t="s">
        <v>112</v>
      </c>
      <c r="V68" s="37" t="s">
        <v>113</v>
      </c>
      <c r="W68" s="37" t="s">
        <v>82</v>
      </c>
      <c r="X68" s="37" t="s">
        <v>81</v>
      </c>
      <c r="Y68" s="37" t="s">
        <v>109</v>
      </c>
      <c r="Z68" s="37" t="s">
        <v>83</v>
      </c>
      <c r="AA68" s="37" t="s">
        <v>84</v>
      </c>
      <c r="AB68" s="37" t="s">
        <v>81</v>
      </c>
      <c r="AC68" s="37" t="s">
        <v>81</v>
      </c>
      <c r="AD68" s="37" t="s">
        <v>85</v>
      </c>
      <c r="AE68" s="37" t="s">
        <v>81</v>
      </c>
      <c r="AF68" s="37" t="s">
        <v>181</v>
      </c>
      <c r="AG68" s="37" t="s">
        <v>87</v>
      </c>
      <c r="AH68" s="37" t="s">
        <v>88</v>
      </c>
      <c r="AI68" s="37" t="s">
        <v>81</v>
      </c>
      <c r="AJ68" s="37" t="s">
        <v>81</v>
      </c>
      <c r="AK68" s="37" t="s">
        <v>81</v>
      </c>
      <c r="AL68" s="37" t="s">
        <v>81</v>
      </c>
      <c r="AM68" t="str">
        <f>VLOOKUP($R68,武学奇术!$A:$ZZ,25,FALSE)</f>
        <v>双刀</v>
      </c>
      <c r="AN68" s="23">
        <f>VLOOKUP($R68,武学奇术!$A:$ZZ,26,FALSE)</f>
        <v>2.5342</v>
      </c>
      <c r="AO68" s="24">
        <f>VLOOKUP($R68,武学奇术!$A:$ZZ,27,FALSE)*(1+IF(OR($AM68=$F$4,$AM68=$F$5),$B$23,0))</f>
        <v>1123.2</v>
      </c>
      <c r="AP68" s="23">
        <f>VLOOKUP($R68,武学奇术!$A:$ZZ,28,FALSE)</f>
        <v>3.8012</v>
      </c>
      <c r="AQ68" s="24">
        <f>VLOOKUP($R68,武学奇术!$A:$ZZ,29,FALSE)*(1+IF(OR($AM68=$F$4,$AM68=$F$5),$B$23,0))</f>
        <v>611.2</v>
      </c>
      <c r="AR68" s="23" cm="1">
        <f t="array" ref="AR68">$G$3+IFERROR(VLOOKUP($AM68,$F$4:$G$7,2,FALSE),0)+VLOOKUP($R68,武学奇术!$A:$ZZ,2,FALSE)+SUM(_xlfn.XLOOKUP($S68:$AL68,增益!$A:$A,增益!$B:$B,0))</f>
        <v>0.8243</v>
      </c>
      <c r="AS68" s="23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4150.4</v>
      </c>
      <c r="AU68" cm="1">
        <f t="array" ref="AU68">$E$10*(1+$AS68)+VLOOKUP($R68,武学奇术!$A:$ZZ,4,FALSE)+SUM(_xlfn.XLOOKUP($S68:$AL68,增益!$A:$A,增益!$D:$D,0))-$I$2</f>
        <v>4150.4</v>
      </c>
      <c r="AV68" s="29" cm="1">
        <f t="array" ref="AV68">IF($F$10-$I$3+VLOOKUP($R68,武学奇术!$A:$ZZ,6,FALSE)+SUM(_xlfn.XLOOKUP(S68:AL68,增益!$A:$A,增益!$F:$F,0))&gt;0,($F$10-$I$3+VLOOKUP($R68,武学奇术!$A:$ZZ,6,FALSE)+SUM(_xlfn.XLOOKUP(S68:AL68,增益!$A:$A,增益!$F:$F,0)))/200,($F$10-$I$3+VLOOKUP($R68,武学奇术!$A:$ZZ,6,FALSE)+SUM(_xlfn.XLOOKUP(S68:AL68,增益!$A:$A,增益!$F:$F,0)))/100)</f>
        <v>0.3289</v>
      </c>
      <c r="AW68" s="29" cm="1">
        <f t="array" ref="AW68">$G$10+VLOOKUP($R68,武学奇术!$A:$ZZ,7,FALSE)+SUM(_xlfn.XLOOKUP(S68:AL68,增益!$A:$A,增益!$G:$G,0))</f>
        <v>0.08</v>
      </c>
      <c r="AX68" s="23" cm="1">
        <f t="array" ref="AX68">VLOOKUP($R68,武学奇术!$A:$ZZ,8,FALSE)+SUM(_xlfn.XLOOKUP(S68:AL68,增益!$A:$A,增益!$H:$H,0))</f>
        <v>0</v>
      </c>
      <c r="AY68">
        <f t="shared" si="23"/>
        <v>0</v>
      </c>
      <c r="AZ68">
        <f t="shared" si="24"/>
        <v>0</v>
      </c>
      <c r="BA68" s="29" cm="1">
        <f t="array" ref="BA68">IF($F$11-$I$4+VLOOKUP($R68,武学奇术!$A:$ZZ,9,FALSE)+SUM(_xlfn.XLOOKUP(S68:AL68,增益!$A:$A,增益!$I:$I,0))&gt;0,($F$11-$I$4+VLOOKUP($R68,武学奇术!$A:$ZZ,9,FALSE)+SUM(_xlfn.XLOOKUP(S68:AL68,增益!$A:$A,增益!$I:$I,0)))/200,($F$11-$I$4+VLOOKUP($R68,武学奇术!$A:$ZZ,9,FALSE)+SUM(_xlfn.XLOOKUP(S68:AL68,增益!$A:$A,增益!$I:$I,0)))/100)</f>
        <v>-0.14</v>
      </c>
      <c r="BB68" s="29" cm="1">
        <f t="array" ref="BB68">$G$11+VLOOKUP($R68,武学奇术!$A:$ZZ,10,FALSE)+SUM(_xlfn.XLOOKUP(S68:AL68,增益!$A:$A,增益!$J:$J,0))</f>
        <v>0.02</v>
      </c>
      <c r="BC68">
        <f t="shared" si="25"/>
        <v>0</v>
      </c>
      <c r="BD68">
        <f t="shared" si="26"/>
        <v>0</v>
      </c>
      <c r="BE68" s="29" cm="1">
        <f t="array" ref="BE68">IF($F$12-$I$4+VLOOKUP($R68,武学奇术!$A:$ZZ,11,FALSE)+SUM(_xlfn.XLOOKUP(S68:AL68,增益!$A:$A,增益!$K:$K,0))&gt;0,($F$12-$I$4+VLOOKUP($R68,武学奇术!$A:$ZZ,11,FALSE)+SUM(_xlfn.XLOOKUP(S68:AL68,增益!$A:$A,增益!$K:$K,0)))/200,($F$12-$I$4+VLOOKUP($R68,武学奇术!$A:$ZZ,11,FALSE)+SUM(_xlfn.XLOOKUP(S68:AL68,增益!$A:$A,增益!$K:$K,0)))/100)</f>
        <v>-0.14</v>
      </c>
      <c r="BF68" s="29" cm="1">
        <f t="array" ref="BF68">$G$12+VLOOKUP($R68,武学奇术!$A:$ZZ,12,FALSE)+SUM(_xlfn.XLOOKUP(S68:AL68,增益!$A:$A,增益!$L:$L,0))</f>
        <v>0.02</v>
      </c>
      <c r="BG68">
        <f t="shared" si="27"/>
        <v>0</v>
      </c>
      <c r="BH68">
        <f t="shared" si="28"/>
        <v>0</v>
      </c>
      <c r="BI68" s="29" cm="1">
        <f t="array" ref="BI68">IF($F$13-$I$4+VLOOKUP($R68,武学奇术!$A:$ZZ,13,FALSE)+SUM(_xlfn.XLOOKUP(S68:AL68,增益!$A:$A,增益!$M:$M,0))&gt;0,($F$13-$I$4+VLOOKUP($R68,武学奇术!$A:$ZZ,13,FALSE)+SUM(_xlfn.XLOOKUP(S68:AL68,增益!$A:$A,增益!$K:$K,0)))/200,($F$13-$I$4+VLOOKUP($R68,武学奇术!$A:$ZZ,13,FALSE)+SUM(_xlfn.XLOOKUP(S68:AL68,增益!$A:$A,增益!$M:$M,0)))/100)</f>
        <v>-0.14</v>
      </c>
      <c r="BJ68" s="29" cm="1">
        <f t="array" ref="BJ68">$G$13+VLOOKUP($R68,武学奇术!$A:$ZZ,14,FALSE)+SUM(_xlfn.XLOOKUP(S68:AL68,增益!$A:$A,增益!$N:$N,0))</f>
        <v>0.02</v>
      </c>
      <c r="BK68">
        <f t="shared" si="29"/>
        <v>618.2</v>
      </c>
      <c r="BL68">
        <f t="shared" si="30"/>
        <v>1805</v>
      </c>
      <c r="BM68" s="29" cm="1">
        <f t="array" ref="BM68">IF($F$14-$I$4+VLOOKUP($R68,武学奇术!$A:$ZZ,15,FALSE)+SUM(_xlfn.XLOOKUP(S68:AL68,增益!$A:$A,增益!$O:$O,0))&gt;0,($F$14-$I$4+VLOOKUP($R68,武学奇术!$A:$ZZ,15,FALSE)+SUM(_xlfn.XLOOKUP(S68:AL68,增益!$A:$A,增益!$O:$O,0)))/200,($F$14-$I$4+VLOOKUP($R68,武学奇术!$A:$ZZ,15,FALSE)+SUM(_xlfn.XLOOKUP(S68:AL68,增益!$A:$A,增益!$O:$O,0)))/100)</f>
        <v>0.13</v>
      </c>
      <c r="BN68" s="29" cm="1">
        <f t="array" ref="BN68">$G$14+VLOOKUP($R68,武学奇术!$A:$ZZ,16,FALSE)+SUM(_xlfn.XLOOKUP(S68:AL68,增益!$A:$A,增益!$P:$P,0))</f>
        <v>0.23</v>
      </c>
      <c r="BO68" s="23">
        <f>MIN(IF(VLOOKUP($R68,武学奇术!$A:$ZZ,23,FALSE)=1,100%,$B$8),100%)</f>
        <v>0.9943</v>
      </c>
      <c r="BP68" s="23" cm="1">
        <f t="array" ref="BP68">IF(VLOOKUP($R68,武学奇术!$A:$ZZ,23,FALSE)=1,100%,MIN(80%,$B$9+VLOOKUP($R68,武学奇术!$A:$ZZ,17,FALSE)+SUM(_xlfn.XLOOKUP(S68:AL68,增益!$A:$A,增益!$Q:$Q,0)))+$B$11+SUM(_xlfn.XLOOKUP(S68:AL68,增益!$A:$A,增益!$U:$U,0)))*IF(VLOOKUP($R68,武学奇术!$A:$ZZ,24,FALSE)=1,0,1)</f>
        <v>0.887</v>
      </c>
      <c r="BQ68" s="23" cm="1">
        <f t="array" ref="BQ68">1+$B$13+VLOOKUP($R68,武学奇术!$A:$ZZ,18,FALSE)+SUM(_xlfn.XLOOKUP(S68:AL68,增益!$A:$A,增益!$R:$R,0))</f>
        <v>2.144</v>
      </c>
      <c r="BR68" s="23" cm="1">
        <f t="array" ref="BR68">IF(VLOOKUP($R68,武学奇术!$A:$ZZ,24,FALSE)=1,100%,MIN(40%,$B$10+VLOOKUP($R68,武学奇术!$A:$ZZ,19,FALSE)+SUM(_xlfn.XLOOKUP(S68:AL68,增益!$A:$A,增益!$S:$S,0)))+$B$12+SUM(_xlfn.XLOOKUP(S68:AL68,增益!$A:$A,增益!$V:$V,0)))*IF(VLOOKUP($R68,武学奇术!$A:$ZZ,23,FALSE)=1,0,1)</f>
        <v>0.0913</v>
      </c>
      <c r="BS68" s="23" cm="1">
        <f t="array" ref="BS68">1+$B$14+VLOOKUP($R68,武学奇术!$A:$ZZ,20,FALSE)+SUM(_xlfn.XLOOKUP(S68:AL68,增益!$A:$A,增益!$T:$T,0))</f>
        <v>1.35</v>
      </c>
      <c r="BT68" s="23">
        <f t="shared" si="31"/>
        <v>0.8819441</v>
      </c>
      <c r="BU68" s="23">
        <f t="shared" si="32"/>
        <v>0.0215763099999999</v>
      </c>
      <c r="BV68" s="23">
        <f>IF(VLOOKUP($R68,武学奇术!$A:$ZZ,22,FALSE)=1,0,(1-$BO68))*(1-$BR68)</f>
        <v>0.00517958999999993</v>
      </c>
      <c r="BW68" s="23" cm="1">
        <f t="array" ref="BW68">SUM(_xlfn.XLOOKUP(S68:AL68,增益!$A:$A,增益!$W:$W,0))+$I$5</f>
        <v>0.11</v>
      </c>
      <c r="BX68" s="23">
        <f>VLOOKUP($R68,武学奇术!$A:$ZZ,32,FALSE)</f>
        <v>0.1</v>
      </c>
      <c r="BY68" s="23" cm="1">
        <f t="array" ref="BY68">SUM(_xlfn.XLOOKUP($S68:$AL68,增益!$A:$A,增益!$X:$X,0))</f>
        <v>0</v>
      </c>
    </row>
    <row r="69" spans="1:77">
      <c r="A69" s="93">
        <v>12</v>
      </c>
      <c r="B69" s="4">
        <v>0.9</v>
      </c>
      <c r="C69" s="36"/>
      <c r="K69" s="35">
        <f>$L69*VLOOKUP($R69,武学奇术!$A:$ZZ,31,FALSE)</f>
        <v>47778.2470658658</v>
      </c>
      <c r="L69" s="58">
        <f t="shared" si="22"/>
        <v>46841.4186920253</v>
      </c>
      <c r="M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轻击",$B$21,0))*(1+IF(VLOOKUP($R69,武学奇术!$A:$ZZ,30,FALSE)="老鼠",$B$22,0))*(1+$BW69)*(1+$BX69)</f>
        <v>48850.1609150783</v>
      </c>
      <c r="N69" s="35">
        <f>(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轻击",$B$21,0))*(1+IF(VLOOKUP($R69,武学奇术!$A:$ZZ,30,FALSE)="老鼠",$B$22,0))*(1+$BW69))*(1+$BX69)</f>
        <v>34650.7803675073</v>
      </c>
      <c r="O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轻击",$B$21,0))*(1+IF(VLOOKUP($R69,武学奇术!$A:$ZZ,30,FALSE)="老鼠",$B$22,0))*(1+$BW69)*(1+$BX69)</f>
        <v>22784.5899790477</v>
      </c>
      <c r="P69" s="35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轻击",$B$21,0))*(1+IF(VLOOKUP($R69,武学奇术!$A:$ZZ,30,FALSE)="老鼠",$B$22,0))*(1+$BW69)*(1+$BX69)</f>
        <v>19901.9352414234</v>
      </c>
      <c r="Q69" s="36">
        <v>1</v>
      </c>
      <c r="R69" s="37" t="s">
        <v>160</v>
      </c>
      <c r="S69" s="37" t="s">
        <v>91</v>
      </c>
      <c r="T69" s="37" t="s">
        <v>185</v>
      </c>
      <c r="U69" s="37" t="s">
        <v>81</v>
      </c>
      <c r="V69" s="37" t="s">
        <v>81</v>
      </c>
      <c r="W69" s="37" t="s">
        <v>82</v>
      </c>
      <c r="X69" s="37" t="s">
        <v>81</v>
      </c>
      <c r="Y69" s="37" t="s">
        <v>81</v>
      </c>
      <c r="Z69" s="37" t="s">
        <v>83</v>
      </c>
      <c r="AA69" s="37" t="s">
        <v>84</v>
      </c>
      <c r="AB69" s="37" t="s">
        <v>81</v>
      </c>
      <c r="AC69" s="37" t="s">
        <v>81</v>
      </c>
      <c r="AD69" s="37" t="s">
        <v>85</v>
      </c>
      <c r="AE69" s="37" t="s">
        <v>81</v>
      </c>
      <c r="AF69" s="37" t="s">
        <v>181</v>
      </c>
      <c r="AG69" s="37" t="s">
        <v>87</v>
      </c>
      <c r="AH69" s="37" t="s">
        <v>88</v>
      </c>
      <c r="AI69" s="37" t="s">
        <v>81</v>
      </c>
      <c r="AJ69" s="37" t="s">
        <v>81</v>
      </c>
      <c r="AK69" s="37" t="s">
        <v>81</v>
      </c>
      <c r="AL69" s="37" t="s">
        <v>81</v>
      </c>
      <c r="AM69" t="str">
        <f>VLOOKUP($R69,武学奇术!$A:$ZZ,25,FALSE)</f>
        <v>双刀</v>
      </c>
      <c r="AN69" s="23">
        <f>VLOOKUP($R69,武学奇术!$A:$ZZ,26,FALSE)</f>
        <v>1.3548</v>
      </c>
      <c r="AO69" s="24">
        <f>VLOOKUP($R69,武学奇术!$A:$ZZ,27,FALSE)*(1+IF(OR($AM69=$F$4,$AM69=$F$5),$B$23,0))</f>
        <v>601.6</v>
      </c>
      <c r="AP69" s="23">
        <f>VLOOKUP($R69,武学奇术!$A:$ZZ,28,FALSE)</f>
        <v>2.0322</v>
      </c>
      <c r="AQ69" s="24">
        <f>VLOOKUP($R69,武学奇术!$A:$ZZ,29,FALSE)*(1+IF(OR($AM69=$F$4,$AM69=$F$5),$B$23,0))</f>
        <v>328</v>
      </c>
      <c r="AR69" s="23" cm="1">
        <f t="array" ref="AR69">$G$3+IFERROR(VLOOKUP($AM69,$F$4:$G$7,2,FALSE),0)+VLOOKUP($R69,武学奇术!$A:$ZZ,2,FALSE)+SUM(_xlfn.XLOOKUP($S69:$AL69,增益!$A:$A,增益!$B:$B,0))</f>
        <v>0.7043</v>
      </c>
      <c r="AS69" s="23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4081.7</v>
      </c>
      <c r="AU69" cm="1">
        <f t="array" ref="AU69">$E$10*(1+$AS69)+VLOOKUP($R69,武学奇术!$A:$ZZ,4,FALSE)+SUM(_xlfn.XLOOKUP($S69:$AL69,增益!$A:$A,增益!$D:$D,0))-$I$2</f>
        <v>4081.7</v>
      </c>
      <c r="AV69" s="29" cm="1">
        <f t="array" ref="AV69">IF($F$10-$I$3+VLOOKUP($R69,武学奇术!$A:$ZZ,6,FALSE)+SUM(_xlfn.XLOOKUP(S69:AL69,增益!$A:$A,增益!$F:$F,0))&gt;0,($F$10-$I$3+VLOOKUP($R69,武学奇术!$A:$ZZ,6,FALSE)+SUM(_xlfn.XLOOKUP(S69:AL69,增益!$A:$A,增益!$F:$F,0)))/200,($F$10-$I$3+VLOOKUP($R69,武学奇术!$A:$ZZ,6,FALSE)+SUM(_xlfn.XLOOKUP(S69:AL69,增益!$A:$A,增益!$F:$F,0)))/100)</f>
        <v>0.3289</v>
      </c>
      <c r="AW69" s="29" cm="1">
        <f t="array" ref="AW69">$G$10+VLOOKUP($R69,武学奇术!$A:$ZZ,7,FALSE)+SUM(_xlfn.XLOOKUP(S69:AL69,增益!$A:$A,增益!$G:$G,0))</f>
        <v>0.02</v>
      </c>
      <c r="AX69" s="23" cm="1">
        <f t="array" ref="AX69">VLOOKUP($R69,武学奇术!$A:$ZZ,8,FALSE)+SUM(_xlfn.XLOOKUP(S69:AL69,增益!$A:$A,增益!$H:$H,0))</f>
        <v>0</v>
      </c>
      <c r="AY69">
        <f t="shared" si="23"/>
        <v>0</v>
      </c>
      <c r="AZ69">
        <f t="shared" si="24"/>
        <v>0</v>
      </c>
      <c r="BA69" s="29" cm="1">
        <f t="array" ref="BA69">IF($F$11-$I$4+VLOOKUP($R69,武学奇术!$A:$ZZ,9,FALSE)+SUM(_xlfn.XLOOKUP(S69:AL69,增益!$A:$A,增益!$I:$I,0))&gt;0,($F$11-$I$4+VLOOKUP($R69,武学奇术!$A:$ZZ,9,FALSE)+SUM(_xlfn.XLOOKUP(S69:AL69,增益!$A:$A,增益!$I:$I,0)))/200,($F$11-$I$4+VLOOKUP($R69,武学奇术!$A:$ZZ,9,FALSE)+SUM(_xlfn.XLOOKUP(S69:AL69,增益!$A:$A,增益!$I:$I,0)))/100)</f>
        <v>-0.14</v>
      </c>
      <c r="BB69" s="29" cm="1">
        <f t="array" ref="BB69">$G$11+VLOOKUP($R69,武学奇术!$A:$ZZ,10,FALSE)+SUM(_xlfn.XLOOKUP(S69:AL69,增益!$A:$A,增益!$J:$J,0))</f>
        <v>0.02</v>
      </c>
      <c r="BC69">
        <f t="shared" si="25"/>
        <v>0</v>
      </c>
      <c r="BD69">
        <f t="shared" si="26"/>
        <v>0</v>
      </c>
      <c r="BE69" s="29" cm="1">
        <f t="array" ref="BE69">IF($F$12-$I$4+VLOOKUP($R69,武学奇术!$A:$ZZ,11,FALSE)+SUM(_xlfn.XLOOKUP(S69:AL69,增益!$A:$A,增益!$K:$K,0))&gt;0,($F$12-$I$4+VLOOKUP($R69,武学奇术!$A:$ZZ,11,FALSE)+SUM(_xlfn.XLOOKUP(S69:AL69,增益!$A:$A,增益!$K:$K,0)))/200,($F$12-$I$4+VLOOKUP($R69,武学奇术!$A:$ZZ,11,FALSE)+SUM(_xlfn.XLOOKUP(S69:AL69,增益!$A:$A,增益!$K:$K,0)))/100)</f>
        <v>-0.14</v>
      </c>
      <c r="BF69" s="29" cm="1">
        <f t="array" ref="BF69">$G$12+VLOOKUP($R69,武学奇术!$A:$ZZ,12,FALSE)+SUM(_xlfn.XLOOKUP(S69:AL69,增益!$A:$A,增益!$L:$L,0))</f>
        <v>0.02</v>
      </c>
      <c r="BG69">
        <f t="shared" si="27"/>
        <v>0</v>
      </c>
      <c r="BH69">
        <f t="shared" si="28"/>
        <v>0</v>
      </c>
      <c r="BI69" s="29" cm="1">
        <f t="array" ref="BI69">IF($F$13-$I$4+VLOOKUP($R69,武学奇术!$A:$ZZ,13,FALSE)+SUM(_xlfn.XLOOKUP(S69:AL69,增益!$A:$A,增益!$M:$M,0))&gt;0,($F$13-$I$4+VLOOKUP($R69,武学奇术!$A:$ZZ,13,FALSE)+SUM(_xlfn.XLOOKUP(S69:AL69,增益!$A:$A,增益!$K:$K,0)))/200,($F$13-$I$4+VLOOKUP($R69,武学奇术!$A:$ZZ,13,FALSE)+SUM(_xlfn.XLOOKUP(S69:AL69,增益!$A:$A,增益!$M:$M,0)))/100)</f>
        <v>-0.14</v>
      </c>
      <c r="BJ69" s="29" cm="1">
        <f t="array" ref="BJ69">$G$13+VLOOKUP($R69,武学奇术!$A:$ZZ,14,FALSE)+SUM(_xlfn.XLOOKUP(S69:AL69,增益!$A:$A,增益!$N:$N,0))</f>
        <v>0.02</v>
      </c>
      <c r="BK69">
        <f t="shared" si="29"/>
        <v>618.2</v>
      </c>
      <c r="BL69">
        <f t="shared" si="30"/>
        <v>1805</v>
      </c>
      <c r="BM69" s="29" cm="1">
        <f t="array" ref="BM69">IF($F$14-$I$4+VLOOKUP($R69,武学奇术!$A:$ZZ,15,FALSE)+SUM(_xlfn.XLOOKUP(S69:AL69,增益!$A:$A,增益!$O:$O,0))&gt;0,($F$14-$I$4+VLOOKUP($R69,武学奇术!$A:$ZZ,15,FALSE)+SUM(_xlfn.XLOOKUP(S69:AL69,增益!$A:$A,增益!$O:$O,0)))/200,($F$14-$I$4+VLOOKUP($R69,武学奇术!$A:$ZZ,15,FALSE)+SUM(_xlfn.XLOOKUP(S69:AL69,增益!$A:$A,增益!$O:$O,0)))/100)</f>
        <v>0.08</v>
      </c>
      <c r="BN69" s="29" cm="1">
        <f t="array" ref="BN69">$G$14+VLOOKUP($R69,武学奇术!$A:$ZZ,16,FALSE)+SUM(_xlfn.XLOOKUP(S69:AL69,增益!$A:$A,增益!$P:$P,0))</f>
        <v>0.17</v>
      </c>
      <c r="BO69" s="23">
        <f>MIN(IF(VLOOKUP($R69,武学奇术!$A:$ZZ,23,FALSE)=1,100%,$B$8),100%)</f>
        <v>0.9943</v>
      </c>
      <c r="BP69" s="23" cm="1">
        <f t="array" ref="BP69">IF(VLOOKUP($R69,武学奇术!$A:$ZZ,23,FALSE)=1,100%,MIN(80%,$B$9+VLOOKUP($R69,武学奇术!$A:$ZZ,17,FALSE)+SUM(_xlfn.XLOOKUP(S69:AL69,增益!$A:$A,增益!$Q:$Q,0)))+$B$11+SUM(_xlfn.XLOOKUP(S69:AL69,增益!$A:$A,增益!$U:$U,0)))*IF(VLOOKUP($R69,武学奇术!$A:$ZZ,24,FALSE)=1,0,1)</f>
        <v>0.887</v>
      </c>
      <c r="BQ69" s="23" cm="1">
        <f t="array" ref="BQ69">1+$B$13+VLOOKUP($R69,武学奇术!$A:$ZZ,18,FALSE)+SUM(_xlfn.XLOOKUP(S69:AL69,增益!$A:$A,增益!$R:$R,0))</f>
        <v>2.144</v>
      </c>
      <c r="BR69" s="23" cm="1">
        <f t="array" ref="BR69">IF(VLOOKUP($R69,武学奇术!$A:$ZZ,24,FALSE)=1,100%,MIN(40%,$B$10+VLOOKUP($R69,武学奇术!$A:$ZZ,19,FALSE)+SUM(_xlfn.XLOOKUP(S69:AL69,增益!$A:$A,增益!$S:$S,0)))+$B$12+SUM(_xlfn.XLOOKUP(S69:AL69,增益!$A:$A,增益!$V:$V,0)))*IF(VLOOKUP($R69,武学奇术!$A:$ZZ,23,FALSE)=1,0,1)</f>
        <v>0.0913</v>
      </c>
      <c r="BS69" s="23" cm="1">
        <f t="array" ref="BS69">1+$B$14+VLOOKUP($R69,武学奇术!$A:$ZZ,20,FALSE)+SUM(_xlfn.XLOOKUP(S69:AL69,增益!$A:$A,增益!$T:$T,0))</f>
        <v>1.35</v>
      </c>
      <c r="BT69" s="23">
        <f t="shared" si="31"/>
        <v>0.8819441</v>
      </c>
      <c r="BU69" s="23">
        <f t="shared" si="32"/>
        <v>0.0215763099999999</v>
      </c>
      <c r="BV69" s="23">
        <f>IF(VLOOKUP($R69,武学奇术!$A:$ZZ,22,FALSE)=1,0,(1-$BO69))*(1-$BR69)</f>
        <v>0.00517958999999993</v>
      </c>
      <c r="BW69" s="23" cm="1">
        <f t="array" ref="BW69">SUM(_xlfn.XLOOKUP(S69:AL69,增益!$A:$A,增益!$W:$W,0))+$I$5</f>
        <v>0.11</v>
      </c>
      <c r="BX69" s="23">
        <f>VLOOKUP($R69,武学奇术!$A:$ZZ,32,FALSE)</f>
        <v>0</v>
      </c>
      <c r="BY69" s="23" cm="1">
        <f t="array" ref="BY69">SUM(_xlfn.XLOOKUP($S69:$AL69,增益!$A:$A,增益!$X:$X,0))</f>
        <v>0</v>
      </c>
    </row>
    <row r="70" spans="1:77">
      <c r="A70" s="93">
        <v>345</v>
      </c>
      <c r="B70" s="4">
        <v>2.4</v>
      </c>
      <c r="C70" s="36" t="s">
        <v>170</v>
      </c>
      <c r="K70" s="35">
        <f>$L70*VLOOKUP($R70,武学奇术!$A:$ZZ,31,FALSE)</f>
        <v>175916.78021383</v>
      </c>
      <c r="L70" s="69">
        <f t="shared" si="22"/>
        <v>172467.431582186</v>
      </c>
      <c r="M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轻击",$B$21,0))*(1+IF(VLOOKUP($R70,武学奇术!$A:$ZZ,30,FALSE)="老鼠",$B$22,0))*(1+$BW70)*(1+$BX70)</f>
        <v>179685.167223216</v>
      </c>
      <c r="N70" s="35">
        <f>(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轻击",$B$21,0))*(1+IF(VLOOKUP($R70,武学奇术!$A:$ZZ,30,FALSE)="老鼠",$B$22,0))*(1+$BW70))*(1+$BX70)</f>
        <v>129410.862807034</v>
      </c>
      <c r="O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轻击",$B$21,0))*(1+IF(VLOOKUP($R70,武学奇术!$A:$ZZ,30,FALSE)="老鼠",$B$22,0))*(1+$BW70)*(1+$BX70)</f>
        <v>83808.3802347091</v>
      </c>
      <c r="P70" s="35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轻击",$B$21,0))*(1+IF(VLOOKUP($R70,武学奇术!$A:$ZZ,30,FALSE)="老鼠",$B$22,0))*(1+$BW70)*(1+$BX70)</f>
        <v>71756.8620938373</v>
      </c>
      <c r="Q70" s="70">
        <v>6</v>
      </c>
      <c r="R70" s="37" t="s">
        <v>106</v>
      </c>
      <c r="S70" s="37" t="s">
        <v>91</v>
      </c>
      <c r="T70" s="37" t="s">
        <v>185</v>
      </c>
      <c r="U70" s="37" t="s">
        <v>112</v>
      </c>
      <c r="V70" s="37" t="s">
        <v>113</v>
      </c>
      <c r="W70" s="37" t="s">
        <v>82</v>
      </c>
      <c r="X70" s="37" t="s">
        <v>81</v>
      </c>
      <c r="Y70" s="37" t="s">
        <v>109</v>
      </c>
      <c r="Z70" s="37" t="s">
        <v>83</v>
      </c>
      <c r="AA70" s="37" t="s">
        <v>84</v>
      </c>
      <c r="AB70" s="37" t="s">
        <v>81</v>
      </c>
      <c r="AC70" s="37" t="s">
        <v>81</v>
      </c>
      <c r="AD70" s="37" t="s">
        <v>85</v>
      </c>
      <c r="AE70" s="37" t="s">
        <v>81</v>
      </c>
      <c r="AF70" s="37" t="s">
        <v>81</v>
      </c>
      <c r="AG70" s="37" t="s">
        <v>87</v>
      </c>
      <c r="AH70" s="37" t="s">
        <v>88</v>
      </c>
      <c r="AI70" s="37" t="s">
        <v>81</v>
      </c>
      <c r="AJ70" s="37" t="s">
        <v>81</v>
      </c>
      <c r="AK70" s="37" t="s">
        <v>81</v>
      </c>
      <c r="AL70" s="37" t="s">
        <v>81</v>
      </c>
      <c r="AM70" t="str">
        <f>VLOOKUP($R70,武学奇术!$A:$ZZ,25,FALSE)</f>
        <v>绳镖</v>
      </c>
      <c r="AN70" s="23">
        <f>VLOOKUP($R70,武学奇术!$A:$ZZ,26,FALSE)</f>
        <v>0.3675</v>
      </c>
      <c r="AO70" s="24">
        <f>VLOOKUP($R70,武学奇术!$A:$ZZ,27,FALSE)*(1+IF(OR($AM70=$F$4,$AM70=$F$5),$B$23,0))</f>
        <v>0</v>
      </c>
      <c r="AP70" s="23">
        <f>VLOOKUP($R70,武学奇术!$A:$ZZ,28,FALSE)</f>
        <v>0.55125</v>
      </c>
      <c r="AQ70" s="24">
        <f>VLOOKUP($R70,武学奇术!$A:$ZZ,29,FALSE)*(1+IF(OR($AM70=$F$4,$AM70=$F$5),$B$23,0))</f>
        <v>0</v>
      </c>
      <c r="AR70" s="23" cm="1">
        <f t="array" ref="AR70">$G$3+IFERROR(VLOOKUP($AM70,$F$4:$G$7,2,FALSE),0)+VLOOKUP($R70,武学奇术!$A:$ZZ,2,FALSE)+SUM(_xlfn.XLOOKUP($S70:$AL70,增益!$A:$A,增益!$B:$B,0))</f>
        <v>1.5743</v>
      </c>
      <c r="AS70" s="23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4150.4</v>
      </c>
      <c r="AU70" cm="1">
        <f t="array" ref="AU70">$E$10*(1+$AS70)+VLOOKUP($R70,武学奇术!$A:$ZZ,4,FALSE)+SUM(_xlfn.XLOOKUP($S70:$AL70,增益!$A:$A,增益!$D:$D,0))-$I$2</f>
        <v>4150.4</v>
      </c>
      <c r="AV70" s="29" cm="1">
        <f t="array" ref="AV70">IF($F$10-$I$3+VLOOKUP($R70,武学奇术!$A:$ZZ,6,FALSE)+SUM(_xlfn.XLOOKUP(S70:AL70,增益!$A:$A,增益!$F:$F,0))&gt;0,($F$10-$I$3+VLOOKUP($R70,武学奇术!$A:$ZZ,6,FALSE)+SUM(_xlfn.XLOOKUP(S70:AL70,增益!$A:$A,增益!$F:$F,0)))/200,($F$10-$I$3+VLOOKUP($R70,武学奇术!$A:$ZZ,6,FALSE)+SUM(_xlfn.XLOOKUP(S70:AL70,增益!$A:$A,增益!$F:$F,0)))/100)</f>
        <v>0.3289</v>
      </c>
      <c r="AW70" s="29" cm="1">
        <f t="array" ref="AW70">$G$10+VLOOKUP($R70,武学奇术!$A:$ZZ,7,FALSE)+SUM(_xlfn.XLOOKUP(S70:AL70,增益!$A:$A,增益!$G:$G,0))</f>
        <v>0.29</v>
      </c>
      <c r="AX70" s="23" cm="1">
        <f t="array" ref="AX70">VLOOKUP($R70,武学奇术!$A:$ZZ,8,FALSE)+SUM(_xlfn.XLOOKUP(S70:AL70,增益!$A:$A,增益!$H:$H,0))</f>
        <v>0</v>
      </c>
      <c r="AY70">
        <f t="shared" si="23"/>
        <v>0</v>
      </c>
      <c r="AZ70">
        <f t="shared" si="24"/>
        <v>0</v>
      </c>
      <c r="BA70" s="29" cm="1">
        <f t="array" ref="BA70">IF($F$11-$I$4+VLOOKUP($R70,武学奇术!$A:$ZZ,9,FALSE)+SUM(_xlfn.XLOOKUP(S70:AL70,增益!$A:$A,增益!$I:$I,0))&gt;0,($F$11-$I$4+VLOOKUP($R70,武学奇术!$A:$ZZ,9,FALSE)+SUM(_xlfn.XLOOKUP(S70:AL70,增益!$A:$A,增益!$I:$I,0)))/200,($F$11-$I$4+VLOOKUP($R70,武学奇术!$A:$ZZ,9,FALSE)+SUM(_xlfn.XLOOKUP(S70:AL70,增益!$A:$A,增益!$I:$I,0)))/100)</f>
        <v>-0.14</v>
      </c>
      <c r="BB70" s="29" cm="1">
        <f t="array" ref="BB70">$G$11+VLOOKUP($R70,武学奇术!$A:$ZZ,10,FALSE)+SUM(_xlfn.XLOOKUP(S70:AL70,增益!$A:$A,增益!$J:$J,0))</f>
        <v>0.02</v>
      </c>
      <c r="BC70">
        <f t="shared" si="25"/>
        <v>0</v>
      </c>
      <c r="BD70">
        <f t="shared" si="26"/>
        <v>0</v>
      </c>
      <c r="BE70" s="29" cm="1">
        <f t="array" ref="BE70">IF($F$12-$I$4+VLOOKUP($R70,武学奇术!$A:$ZZ,11,FALSE)+SUM(_xlfn.XLOOKUP(S70:AL70,增益!$A:$A,增益!$K:$K,0))&gt;0,($F$12-$I$4+VLOOKUP($R70,武学奇术!$A:$ZZ,11,FALSE)+SUM(_xlfn.XLOOKUP(S70:AL70,增益!$A:$A,增益!$K:$K,0)))/200,($F$12-$I$4+VLOOKUP($R70,武学奇术!$A:$ZZ,11,FALSE)+SUM(_xlfn.XLOOKUP(S70:AL70,增益!$A:$A,增益!$K:$K,0)))/100)</f>
        <v>-0.14</v>
      </c>
      <c r="BF70" s="29" cm="1">
        <f t="array" ref="BF70">$G$12+VLOOKUP($R70,武学奇术!$A:$ZZ,12,FALSE)+SUM(_xlfn.XLOOKUP(S70:AL70,增益!$A:$A,增益!$L:$L,0))</f>
        <v>0.02</v>
      </c>
      <c r="BG70">
        <f t="shared" si="27"/>
        <v>0</v>
      </c>
      <c r="BH70">
        <f t="shared" si="28"/>
        <v>0</v>
      </c>
      <c r="BI70" s="29" cm="1">
        <f t="array" ref="BI70">IF($F$13-$I$4+VLOOKUP($R70,武学奇术!$A:$ZZ,13,FALSE)+SUM(_xlfn.XLOOKUP(S70:AL70,增益!$A:$A,增益!$M:$M,0))&gt;0,($F$13-$I$4+VLOOKUP($R70,武学奇术!$A:$ZZ,13,FALSE)+SUM(_xlfn.XLOOKUP(S70:AL70,增益!$A:$A,增益!$K:$K,0)))/200,($F$13-$I$4+VLOOKUP($R70,武学奇术!$A:$ZZ,13,FALSE)+SUM(_xlfn.XLOOKUP(S70:AL70,增益!$A:$A,增益!$M:$M,0)))/100)</f>
        <v>-0.14</v>
      </c>
      <c r="BJ70" s="29" cm="1">
        <f t="array" ref="BJ70">$G$13+VLOOKUP($R70,武学奇术!$A:$ZZ,14,FALSE)+SUM(_xlfn.XLOOKUP(S70:AL70,增益!$A:$A,增益!$N:$N,0))</f>
        <v>0.02</v>
      </c>
      <c r="BK70">
        <f t="shared" si="29"/>
        <v>618.2</v>
      </c>
      <c r="BL70">
        <f t="shared" si="30"/>
        <v>1805</v>
      </c>
      <c r="BM70" s="29" cm="1">
        <f t="array" ref="BM70">IF($F$14-$I$4+VLOOKUP($R70,武学奇术!$A:$ZZ,15,FALSE)+SUM(_xlfn.XLOOKUP(S70:AL70,增益!$A:$A,增益!$O:$O,0))&gt;0,($F$14-$I$4+VLOOKUP($R70,武学奇术!$A:$ZZ,15,FALSE)+SUM(_xlfn.XLOOKUP(S70:AL70,增益!$A:$A,增益!$O:$O,0)))/200,($F$14-$I$4+VLOOKUP($R70,武学奇术!$A:$ZZ,15,FALSE)+SUM(_xlfn.XLOOKUP(S70:AL70,增益!$A:$A,增益!$O:$O,0)))/100)</f>
        <v>0.13</v>
      </c>
      <c r="BN70" s="29" cm="1">
        <f t="array" ref="BN70">$G$14+VLOOKUP($R70,武学奇术!$A:$ZZ,16,FALSE)+SUM(_xlfn.XLOOKUP(S70:AL70,增益!$A:$A,增益!$P:$P,0))</f>
        <v>0.44</v>
      </c>
      <c r="BO70" s="23">
        <f>MIN(IF(VLOOKUP($R70,武学奇术!$A:$ZZ,23,FALSE)=1,100%,$B$8),100%)</f>
        <v>0.9943</v>
      </c>
      <c r="BP70" s="23" cm="1">
        <f t="array" ref="BP70">IF(VLOOKUP($R70,武学奇术!$A:$ZZ,23,FALSE)=1,100%,MIN(80%,$B$9+VLOOKUP($R70,武学奇术!$A:$ZZ,17,FALSE)+SUM(_xlfn.XLOOKUP(S70:AL70,增益!$A:$A,增益!$Q:$Q,0)))+$B$11+SUM(_xlfn.XLOOKUP(S70:AL70,增益!$A:$A,增益!$U:$U,0)))*IF(VLOOKUP($R70,武学奇术!$A:$ZZ,24,FALSE)=1,0,1)</f>
        <v>0.887</v>
      </c>
      <c r="BQ70" s="23" cm="1">
        <f t="array" ref="BQ70">1+$B$13+VLOOKUP($R70,武学奇术!$A:$ZZ,18,FALSE)+SUM(_xlfn.XLOOKUP(S70:AL70,增益!$A:$A,增益!$R:$R,0))</f>
        <v>2.144</v>
      </c>
      <c r="BR70" s="23" cm="1">
        <f t="array" ref="BR70">IF(VLOOKUP($R70,武学奇术!$A:$ZZ,24,FALSE)=1,100%,MIN(40%,$B$10+VLOOKUP($R70,武学奇术!$A:$ZZ,19,FALSE)+SUM(_xlfn.XLOOKUP(S70:AL70,增益!$A:$A,增益!$S:$S,0)))+$B$12+SUM(_xlfn.XLOOKUP(S70:AL70,增益!$A:$A,增益!$V:$V,0)))*IF(VLOOKUP($R70,武学奇术!$A:$ZZ,23,FALSE)=1,0,1)</f>
        <v>0.0913</v>
      </c>
      <c r="BS70" s="23" cm="1">
        <f t="array" ref="BS70">1+$B$14+VLOOKUP($R70,武学奇术!$A:$ZZ,20,FALSE)+SUM(_xlfn.XLOOKUP(S70:AL70,增益!$A:$A,增益!$T:$T,0))</f>
        <v>1.35</v>
      </c>
      <c r="BT70" s="23">
        <f t="shared" si="31"/>
        <v>0.8819441</v>
      </c>
      <c r="BU70" s="23">
        <f t="shared" si="32"/>
        <v>0.0215763099999999</v>
      </c>
      <c r="BV70" s="23">
        <f>IF(VLOOKUP($R70,武学奇术!$A:$ZZ,22,FALSE)=1,0,(1-$BO70))*(1-$BR70)</f>
        <v>0.00517958999999993</v>
      </c>
      <c r="BW70" s="23" cm="1">
        <f t="array" ref="BW70">SUM(_xlfn.XLOOKUP(S70:AL70,增益!$A:$A,增益!$W:$W,0))+$I$5</f>
        <v>0.11</v>
      </c>
      <c r="BX70" s="23">
        <f>VLOOKUP($R70,武学奇术!$A:$ZZ,32,FALSE)</f>
        <v>0</v>
      </c>
      <c r="BY70" s="23" cm="1">
        <f t="array" ref="BY70">SUM(_xlfn.XLOOKUP($S70:$AL70,增益!$A:$A,增益!$X:$X,0))</f>
        <v>0</v>
      </c>
    </row>
    <row r="71" spans="1:77">
      <c r="A71" s="93" t="s">
        <v>174</v>
      </c>
      <c r="B71" s="4">
        <v>0.6</v>
      </c>
      <c r="C71" s="36"/>
      <c r="K71" s="35">
        <f>$L71*VLOOKUP($R71,武学奇术!$A:$ZZ,31,FALSE)</f>
        <v>44433.5470046973</v>
      </c>
      <c r="L71" s="58">
        <f t="shared" si="22"/>
        <v>39672.8098256225</v>
      </c>
      <c r="M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轻击",$B$21,0))*(1+IF(VLOOKUP($R71,武学奇术!$A:$ZZ,30,FALSE)="老鼠",$B$22,0))*(1+$BW71)*(1+$BX71)</f>
        <v>41736.2458686432</v>
      </c>
      <c r="N71" s="35">
        <f>(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轻击",$B$21,0))*(1+IF(VLOOKUP($R71,武学奇术!$A:$ZZ,30,FALSE)="老鼠",$B$22,0))*(1+$BW71))*(1+$BX71)</f>
        <v>26377.0241781697</v>
      </c>
      <c r="O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轻击",$B$21,0))*(1+IF(VLOOKUP($R71,武学奇术!$A:$ZZ,30,FALSE)="老鼠",$B$22,0))*(1+$BW71)*(1+$BX71)</f>
        <v>17433.6866619228</v>
      </c>
      <c r="P71" s="35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轻击",$B$21,0))*(1+IF(VLOOKUP($R71,武学奇术!$A:$ZZ,30,FALSE)="老鼠",$B$22,0))*(1+$BW71)*(1+$BX71)</f>
        <v>15328.8368955718</v>
      </c>
      <c r="Q71" s="36">
        <v>1</v>
      </c>
      <c r="R71" s="37" t="s">
        <v>139</v>
      </c>
      <c r="S71" s="37" t="s">
        <v>91</v>
      </c>
      <c r="T71" s="37" t="s">
        <v>185</v>
      </c>
      <c r="U71" s="37" t="s">
        <v>112</v>
      </c>
      <c r="V71" s="37" t="s">
        <v>113</v>
      </c>
      <c r="W71" s="37" t="s">
        <v>82</v>
      </c>
      <c r="X71" s="37" t="s">
        <v>81</v>
      </c>
      <c r="Y71" s="37" t="s">
        <v>109</v>
      </c>
      <c r="Z71" s="37" t="s">
        <v>83</v>
      </c>
      <c r="AA71" s="37" t="s">
        <v>84</v>
      </c>
      <c r="AB71" s="37" t="s">
        <v>183</v>
      </c>
      <c r="AC71" s="37" t="s">
        <v>186</v>
      </c>
      <c r="AD71" s="37" t="s">
        <v>85</v>
      </c>
      <c r="AE71" s="37" t="s">
        <v>86</v>
      </c>
      <c r="AF71" s="37" t="s">
        <v>181</v>
      </c>
      <c r="AG71" s="37" t="s">
        <v>87</v>
      </c>
      <c r="AH71" s="37" t="s">
        <v>88</v>
      </c>
      <c r="AI71" s="37" t="s">
        <v>81</v>
      </c>
      <c r="AJ71" s="37" t="s">
        <v>81</v>
      </c>
      <c r="AK71" s="37" t="s">
        <v>81</v>
      </c>
      <c r="AL71" s="37" t="s">
        <v>81</v>
      </c>
      <c r="AM71" t="str">
        <f>VLOOKUP($R71,武学奇术!$A:$ZZ,25,FALSE)</f>
        <v>双刀</v>
      </c>
      <c r="AN71" s="23">
        <f>VLOOKUP($R71,武学奇术!$A:$ZZ,26,FALSE)</f>
        <v>0.6472</v>
      </c>
      <c r="AO71" s="24">
        <f>VLOOKUP($R71,武学奇术!$A:$ZZ,27,FALSE)*(1+IF(OR($AM71=$F$4,$AM71=$F$5),$B$23,0))</f>
        <v>288</v>
      </c>
      <c r="AP71" s="23">
        <f>VLOOKUP($R71,武学奇术!$A:$ZZ,28,FALSE)</f>
        <v>0.9708</v>
      </c>
      <c r="AQ71" s="24">
        <f>VLOOKUP($R71,武学奇术!$A:$ZZ,29,FALSE)*(1+IF(OR($AM71=$F$4,$AM71=$F$5),$B$23,0))</f>
        <v>156.8</v>
      </c>
      <c r="AR71" s="23" cm="1">
        <f t="array" ref="AR71">$G$3+IFERROR(VLOOKUP($AM71,$F$4:$G$7,2,FALSE),0)+VLOOKUP($R71,武学奇术!$A:$ZZ,2,FALSE)+SUM(_xlfn.XLOOKUP($S71:$AL71,增益!$A:$A,增益!$B:$B,0))</f>
        <v>0.8243</v>
      </c>
      <c r="AS71" s="23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4150.4</v>
      </c>
      <c r="AU71" cm="1">
        <f t="array" ref="AU71">$E$10*(1+$AS71)+VLOOKUP($R71,武学奇术!$A:$ZZ,4,FALSE)+SUM(_xlfn.XLOOKUP($S71:$AL71,增益!$A:$A,增益!$D:$D,0))-$I$2</f>
        <v>4150.4</v>
      </c>
      <c r="AV71" s="29" cm="1">
        <f t="array" ref="AV71">IF($F$10-$I$3+VLOOKUP($R71,武学奇术!$A:$ZZ,6,FALSE)+SUM(_xlfn.XLOOKUP(S71:AL71,增益!$A:$A,增益!$F:$F,0))&gt;0,($F$10-$I$3+VLOOKUP($R71,武学奇术!$A:$ZZ,6,FALSE)+SUM(_xlfn.XLOOKUP(S71:AL71,增益!$A:$A,增益!$F:$F,0)))/200,($F$10-$I$3+VLOOKUP($R71,武学奇术!$A:$ZZ,6,FALSE)+SUM(_xlfn.XLOOKUP(S71:AL71,增益!$A:$A,增益!$F:$F,0)))/100)</f>
        <v>0.4539</v>
      </c>
      <c r="AW71" s="29" cm="1">
        <f t="array" ref="AW71">$G$10+VLOOKUP($R71,武学奇术!$A:$ZZ,7,FALSE)+SUM(_xlfn.XLOOKUP(S71:AL71,增益!$A:$A,增益!$G:$G,0))</f>
        <v>0.08</v>
      </c>
      <c r="AX71" s="23" cm="1">
        <f t="array" ref="AX71">VLOOKUP($R71,武学奇术!$A:$ZZ,8,FALSE)+SUM(_xlfn.XLOOKUP(S71:AL71,增益!$A:$A,增益!$H:$H,0))</f>
        <v>0</v>
      </c>
      <c r="AY71">
        <f t="shared" si="23"/>
        <v>0</v>
      </c>
      <c r="AZ71">
        <f t="shared" si="24"/>
        <v>0</v>
      </c>
      <c r="BA71" s="29" cm="1">
        <f t="array" ref="BA71">IF($F$11-$I$4+VLOOKUP($R71,武学奇术!$A:$ZZ,9,FALSE)+SUM(_xlfn.XLOOKUP(S71:AL71,增益!$A:$A,增益!$I:$I,0))&gt;0,($F$11-$I$4+VLOOKUP($R71,武学奇术!$A:$ZZ,9,FALSE)+SUM(_xlfn.XLOOKUP(S71:AL71,增益!$A:$A,增益!$I:$I,0)))/200,($F$11-$I$4+VLOOKUP($R71,武学奇术!$A:$ZZ,9,FALSE)+SUM(_xlfn.XLOOKUP(S71:AL71,增益!$A:$A,增益!$I:$I,0)))/100)</f>
        <v>-0.14</v>
      </c>
      <c r="BB71" s="29" cm="1">
        <f t="array" ref="BB71">$G$11+VLOOKUP($R71,武学奇术!$A:$ZZ,10,FALSE)+SUM(_xlfn.XLOOKUP(S71:AL71,增益!$A:$A,增益!$J:$J,0))</f>
        <v>0.12</v>
      </c>
      <c r="BC71">
        <f t="shared" si="25"/>
        <v>0</v>
      </c>
      <c r="BD71">
        <f t="shared" si="26"/>
        <v>0</v>
      </c>
      <c r="BE71" s="29" cm="1">
        <f t="array" ref="BE71">IF($F$12-$I$4+VLOOKUP($R71,武学奇术!$A:$ZZ,11,FALSE)+SUM(_xlfn.XLOOKUP(S71:AL71,增益!$A:$A,增益!$K:$K,0))&gt;0,($F$12-$I$4+VLOOKUP($R71,武学奇术!$A:$ZZ,11,FALSE)+SUM(_xlfn.XLOOKUP(S71:AL71,增益!$A:$A,增益!$K:$K,0)))/200,($F$12-$I$4+VLOOKUP($R71,武学奇术!$A:$ZZ,11,FALSE)+SUM(_xlfn.XLOOKUP(S71:AL71,增益!$A:$A,增益!$K:$K,0)))/100)</f>
        <v>-0.14</v>
      </c>
      <c r="BF71" s="29" cm="1">
        <f t="array" ref="BF71">$G$12+VLOOKUP($R71,武学奇术!$A:$ZZ,12,FALSE)+SUM(_xlfn.XLOOKUP(S71:AL71,增益!$A:$A,增益!$L:$L,0))</f>
        <v>0.02</v>
      </c>
      <c r="BG71">
        <f t="shared" si="27"/>
        <v>0</v>
      </c>
      <c r="BH71">
        <f t="shared" si="28"/>
        <v>0</v>
      </c>
      <c r="BI71" s="29" cm="1">
        <f t="array" ref="BI71">IF($F$13-$I$4+VLOOKUP($R71,武学奇术!$A:$ZZ,13,FALSE)+SUM(_xlfn.XLOOKUP(S71:AL71,增益!$A:$A,增益!$M:$M,0))&gt;0,($F$13-$I$4+VLOOKUP($R71,武学奇术!$A:$ZZ,13,FALSE)+SUM(_xlfn.XLOOKUP(S71:AL71,增益!$A:$A,增益!$K:$K,0)))/200,($F$13-$I$4+VLOOKUP($R71,武学奇术!$A:$ZZ,13,FALSE)+SUM(_xlfn.XLOOKUP(S71:AL71,增益!$A:$A,增益!$M:$M,0)))/100)</f>
        <v>-0.14</v>
      </c>
      <c r="BJ71" s="29" cm="1">
        <f t="array" ref="BJ71">$G$13+VLOOKUP($R71,武学奇术!$A:$ZZ,14,FALSE)+SUM(_xlfn.XLOOKUP(S71:AL71,增益!$A:$A,增益!$N:$N,0))</f>
        <v>0.02</v>
      </c>
      <c r="BK71">
        <f t="shared" si="29"/>
        <v>618.2</v>
      </c>
      <c r="BL71">
        <f t="shared" si="30"/>
        <v>1805</v>
      </c>
      <c r="BM71" s="29" cm="1">
        <f t="array" ref="BM71">IF($F$14-$I$4+VLOOKUP($R71,武学奇术!$A:$ZZ,15,FALSE)+SUM(_xlfn.XLOOKUP(S71:AL71,增益!$A:$A,增益!$O:$O,0))&gt;0,($F$14-$I$4+VLOOKUP($R71,武学奇术!$A:$ZZ,15,FALSE)+SUM(_xlfn.XLOOKUP(S71:AL71,增益!$A:$A,增益!$O:$O,0)))/200,($F$14-$I$4+VLOOKUP($R71,武学奇术!$A:$ZZ,15,FALSE)+SUM(_xlfn.XLOOKUP(S71:AL71,增益!$A:$A,增益!$O:$O,0)))/100)</f>
        <v>0.13</v>
      </c>
      <c r="BN71" s="29" cm="1">
        <f t="array" ref="BN71">$G$14+VLOOKUP($R71,武学奇术!$A:$ZZ,16,FALSE)+SUM(_xlfn.XLOOKUP(S71:AL71,增益!$A:$A,增益!$P:$P,0))</f>
        <v>0.23</v>
      </c>
      <c r="BO71" s="23">
        <f>MIN(IF(VLOOKUP($R71,武学奇术!$A:$ZZ,23,FALSE)=1,100%,$B$8),100%)</f>
        <v>0.9943</v>
      </c>
      <c r="BP71" s="23" cm="1">
        <f t="array" ref="BP71">IF(VLOOKUP($R71,武学奇术!$A:$ZZ,23,FALSE)=1,100%,MIN(80%,$B$9+VLOOKUP($R71,武学奇术!$A:$ZZ,17,FALSE)+SUM(_xlfn.XLOOKUP(S71:AL71,增益!$A:$A,增益!$Q:$Q,0)))+$B$11+SUM(_xlfn.XLOOKUP(S71:AL71,增益!$A:$A,增益!$U:$U,0)))*IF(VLOOKUP($R71,武学奇术!$A:$ZZ,24,FALSE)=1,0,1)</f>
        <v>0.887</v>
      </c>
      <c r="BQ71" s="23" cm="1">
        <f t="array" ref="BQ71">1+$B$13+VLOOKUP($R71,武学奇术!$A:$ZZ,18,FALSE)+SUM(_xlfn.XLOOKUP(S71:AL71,增益!$A:$A,增益!$R:$R,0))</f>
        <v>2.394</v>
      </c>
      <c r="BR71" s="23" cm="1">
        <f t="array" ref="BR71">IF(VLOOKUP($R71,武学奇术!$A:$ZZ,24,FALSE)=1,100%,MIN(40%,$B$10+VLOOKUP($R71,武学奇术!$A:$ZZ,19,FALSE)+SUM(_xlfn.XLOOKUP(S71:AL71,增益!$A:$A,增益!$S:$S,0)))+$B$12+SUM(_xlfn.XLOOKUP(S71:AL71,增益!$A:$A,增益!$V:$V,0)))*IF(VLOOKUP($R71,武学奇术!$A:$ZZ,23,FALSE)=1,0,1)</f>
        <v>0.0913</v>
      </c>
      <c r="BS71" s="23" cm="1">
        <f t="array" ref="BS71">1+$B$14+VLOOKUP($R71,武学奇术!$A:$ZZ,20,FALSE)+SUM(_xlfn.XLOOKUP(S71:AL71,增益!$A:$A,增益!$T:$T,0))</f>
        <v>1.35</v>
      </c>
      <c r="BT71" s="23">
        <f t="shared" si="31"/>
        <v>0.8819441</v>
      </c>
      <c r="BU71" s="23">
        <f t="shared" si="32"/>
        <v>0.0215763099999999</v>
      </c>
      <c r="BV71" s="23">
        <f>IF(VLOOKUP($R71,武学奇术!$A:$ZZ,22,FALSE)=1,0,(1-$BO71))*(1-$BR71)</f>
        <v>0.00517958999999993</v>
      </c>
      <c r="BW71" s="23" cm="1">
        <f t="array" ref="BW71">SUM(_xlfn.XLOOKUP(S71:AL71,增益!$A:$A,增益!$W:$W,0))+$I$5</f>
        <v>0.31</v>
      </c>
      <c r="BX71" s="23">
        <f>VLOOKUP($R71,武学奇术!$A:$ZZ,32,FALSE)</f>
        <v>0.1</v>
      </c>
      <c r="BY71" s="23" cm="1">
        <f t="array" ref="BY71">SUM(_xlfn.XLOOKUP($S71:$AL71,增益!$A:$A,增益!$X:$X,0))</f>
        <v>0</v>
      </c>
    </row>
    <row r="72" spans="1:77">
      <c r="A72" s="93">
        <v>123</v>
      </c>
      <c r="B72" s="4">
        <v>1.8</v>
      </c>
      <c r="C72" s="36"/>
      <c r="E72" s="36" t="s">
        <v>171</v>
      </c>
      <c r="K72" s="35">
        <f>$L72*VLOOKUP($R72,武学奇术!$A:$ZZ,31,FALSE)</f>
        <v>61850.9370693111</v>
      </c>
      <c r="L72" s="58">
        <f t="shared" si="22"/>
        <v>55224.050954742</v>
      </c>
      <c r="M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轻击",$B$21,0))*(1+IF(VLOOKUP($R72,武学奇术!$A:$ZZ,30,FALSE)="老鼠",$B$22,0))*(1+$BW72)*(1+$BX72)</f>
        <v>58096.2036030258</v>
      </c>
      <c r="N72" s="35">
        <f>(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轻击",$B$21,0))*(1+IF(VLOOKUP($R72,武学奇术!$A:$ZZ,30,FALSE)="老鼠",$B$22,0))*(1+$BW72))*(1+$BX72)</f>
        <v>36717.7573702685</v>
      </c>
      <c r="O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轻击",$B$21,0))*(1+IF(VLOOKUP($R72,武学奇术!$A:$ZZ,30,FALSE)="老鼠",$B$22,0))*(1+$BW72)*(1+$BX72)</f>
        <v>24267.4200513892</v>
      </c>
      <c r="P72" s="35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轻击",$B$21,0))*(1+IF(VLOOKUP($R72,武学奇术!$A:$ZZ,30,FALSE)="老鼠",$B$22,0))*(1+$BW72)*(1+$BX72)</f>
        <v>21336.501309987</v>
      </c>
      <c r="Q72" s="36">
        <v>1</v>
      </c>
      <c r="R72" s="37" t="s">
        <v>143</v>
      </c>
      <c r="S72" s="37" t="s">
        <v>91</v>
      </c>
      <c r="T72" s="37" t="s">
        <v>185</v>
      </c>
      <c r="U72" s="37" t="s">
        <v>112</v>
      </c>
      <c r="V72" s="37" t="s">
        <v>113</v>
      </c>
      <c r="W72" s="37" t="s">
        <v>82</v>
      </c>
      <c r="X72" s="37" t="s">
        <v>81</v>
      </c>
      <c r="Y72" s="37" t="s">
        <v>109</v>
      </c>
      <c r="Z72" s="37" t="s">
        <v>83</v>
      </c>
      <c r="AA72" s="37" t="s">
        <v>84</v>
      </c>
      <c r="AB72" s="37" t="s">
        <v>183</v>
      </c>
      <c r="AC72" s="37" t="s">
        <v>186</v>
      </c>
      <c r="AD72" s="37" t="s">
        <v>85</v>
      </c>
      <c r="AE72" s="37" t="s">
        <v>86</v>
      </c>
      <c r="AF72" s="37" t="s">
        <v>181</v>
      </c>
      <c r="AG72" s="37" t="s">
        <v>87</v>
      </c>
      <c r="AH72" s="37" t="s">
        <v>88</v>
      </c>
      <c r="AI72" s="37" t="s">
        <v>81</v>
      </c>
      <c r="AJ72" s="37" t="s">
        <v>81</v>
      </c>
      <c r="AK72" s="37" t="s">
        <v>81</v>
      </c>
      <c r="AL72" s="37" t="s">
        <v>81</v>
      </c>
      <c r="AM72" t="str">
        <f>VLOOKUP($R72,武学奇术!$A:$ZZ,25,FALSE)</f>
        <v>双刀</v>
      </c>
      <c r="AN72" s="23">
        <f>VLOOKUP($R72,武学奇术!$A:$ZZ,26,FALSE)</f>
        <v>0.9012</v>
      </c>
      <c r="AO72" s="24">
        <f>VLOOKUP($R72,武学奇术!$A:$ZZ,27,FALSE)*(1+IF(OR($AM72=$F$4,$AM72=$F$5),$B$23,0))</f>
        <v>400</v>
      </c>
      <c r="AP72" s="23">
        <f>VLOOKUP($R72,武学奇术!$A:$ZZ,28,FALSE)</f>
        <v>1.3518</v>
      </c>
      <c r="AQ72" s="24">
        <f>VLOOKUP($R72,武学奇术!$A:$ZZ,29,FALSE)*(1+IF(OR($AM72=$F$4,$AM72=$F$5),$B$23,0))</f>
        <v>217.6</v>
      </c>
      <c r="AR72" s="23" cm="1">
        <f t="array" ref="AR72">$G$3+IFERROR(VLOOKUP($AM72,$F$4:$G$7,2,FALSE),0)+VLOOKUP($R72,武学奇术!$A:$ZZ,2,FALSE)+SUM(_xlfn.XLOOKUP($S72:$AL72,增益!$A:$A,增益!$B:$B,0))</f>
        <v>0.8243</v>
      </c>
      <c r="AS72" s="23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4150.4</v>
      </c>
      <c r="AU72" cm="1">
        <f t="array" ref="AU72">$E$10*(1+$AS72)+VLOOKUP($R72,武学奇术!$A:$ZZ,4,FALSE)+SUM(_xlfn.XLOOKUP($S72:$AL72,增益!$A:$A,增益!$D:$D,0))-$I$2</f>
        <v>4150.4</v>
      </c>
      <c r="AV72" s="29" cm="1">
        <f t="array" ref="AV72">IF($F$10-$I$3+VLOOKUP($R72,武学奇术!$A:$ZZ,6,FALSE)+SUM(_xlfn.XLOOKUP(S72:AL72,增益!$A:$A,增益!$F:$F,0))&gt;0,($F$10-$I$3+VLOOKUP($R72,武学奇术!$A:$ZZ,6,FALSE)+SUM(_xlfn.XLOOKUP(S72:AL72,增益!$A:$A,增益!$F:$F,0)))/200,($F$10-$I$3+VLOOKUP($R72,武学奇术!$A:$ZZ,6,FALSE)+SUM(_xlfn.XLOOKUP(S72:AL72,增益!$A:$A,增益!$F:$F,0)))/100)</f>
        <v>0.4539</v>
      </c>
      <c r="AW72" s="29" cm="1">
        <f t="array" ref="AW72">$G$10+VLOOKUP($R72,武学奇术!$A:$ZZ,7,FALSE)+SUM(_xlfn.XLOOKUP(S72:AL72,增益!$A:$A,增益!$G:$G,0))</f>
        <v>0.08</v>
      </c>
      <c r="AX72" s="23" cm="1">
        <f t="array" ref="AX72">VLOOKUP($R72,武学奇术!$A:$ZZ,8,FALSE)+SUM(_xlfn.XLOOKUP(S72:AL72,增益!$A:$A,增益!$H:$H,0))</f>
        <v>0</v>
      </c>
      <c r="AY72">
        <f t="shared" si="23"/>
        <v>0</v>
      </c>
      <c r="AZ72">
        <f t="shared" si="24"/>
        <v>0</v>
      </c>
      <c r="BA72" s="29" cm="1">
        <f t="array" ref="BA72">IF($F$11-$I$4+VLOOKUP($R72,武学奇术!$A:$ZZ,9,FALSE)+SUM(_xlfn.XLOOKUP(S72:AL72,增益!$A:$A,增益!$I:$I,0))&gt;0,($F$11-$I$4+VLOOKUP($R72,武学奇术!$A:$ZZ,9,FALSE)+SUM(_xlfn.XLOOKUP(S72:AL72,增益!$A:$A,增益!$I:$I,0)))/200,($F$11-$I$4+VLOOKUP($R72,武学奇术!$A:$ZZ,9,FALSE)+SUM(_xlfn.XLOOKUP(S72:AL72,增益!$A:$A,增益!$I:$I,0)))/100)</f>
        <v>-0.14</v>
      </c>
      <c r="BB72" s="29" cm="1">
        <f t="array" ref="BB72">$G$11+VLOOKUP($R72,武学奇术!$A:$ZZ,10,FALSE)+SUM(_xlfn.XLOOKUP(S72:AL72,增益!$A:$A,增益!$J:$J,0))</f>
        <v>0.12</v>
      </c>
      <c r="BC72">
        <f t="shared" si="25"/>
        <v>0</v>
      </c>
      <c r="BD72">
        <f t="shared" si="26"/>
        <v>0</v>
      </c>
      <c r="BE72" s="29" cm="1">
        <f t="array" ref="BE72">IF($F$12-$I$4+VLOOKUP($R72,武学奇术!$A:$ZZ,11,FALSE)+SUM(_xlfn.XLOOKUP(S72:AL72,增益!$A:$A,增益!$K:$K,0))&gt;0,($F$12-$I$4+VLOOKUP($R72,武学奇术!$A:$ZZ,11,FALSE)+SUM(_xlfn.XLOOKUP(S72:AL72,增益!$A:$A,增益!$K:$K,0)))/200,($F$12-$I$4+VLOOKUP($R72,武学奇术!$A:$ZZ,11,FALSE)+SUM(_xlfn.XLOOKUP(S72:AL72,增益!$A:$A,增益!$K:$K,0)))/100)</f>
        <v>-0.14</v>
      </c>
      <c r="BF72" s="29" cm="1">
        <f t="array" ref="BF72">$G$12+VLOOKUP($R72,武学奇术!$A:$ZZ,12,FALSE)+SUM(_xlfn.XLOOKUP(S72:AL72,增益!$A:$A,增益!$L:$L,0))</f>
        <v>0.02</v>
      </c>
      <c r="BG72">
        <f t="shared" si="27"/>
        <v>0</v>
      </c>
      <c r="BH72">
        <f t="shared" si="28"/>
        <v>0</v>
      </c>
      <c r="BI72" s="29" cm="1">
        <f t="array" ref="BI72">IF($F$13-$I$4+VLOOKUP($R72,武学奇术!$A:$ZZ,13,FALSE)+SUM(_xlfn.XLOOKUP(S72:AL72,增益!$A:$A,增益!$M:$M,0))&gt;0,($F$13-$I$4+VLOOKUP($R72,武学奇术!$A:$ZZ,13,FALSE)+SUM(_xlfn.XLOOKUP(S72:AL72,增益!$A:$A,增益!$K:$K,0)))/200,($F$13-$I$4+VLOOKUP($R72,武学奇术!$A:$ZZ,13,FALSE)+SUM(_xlfn.XLOOKUP(S72:AL72,增益!$A:$A,增益!$M:$M,0)))/100)</f>
        <v>-0.14</v>
      </c>
      <c r="BJ72" s="29" cm="1">
        <f t="array" ref="BJ72">$G$13+VLOOKUP($R72,武学奇术!$A:$ZZ,14,FALSE)+SUM(_xlfn.XLOOKUP(S72:AL72,增益!$A:$A,增益!$N:$N,0))</f>
        <v>0.02</v>
      </c>
      <c r="BK72">
        <f t="shared" si="29"/>
        <v>618.2</v>
      </c>
      <c r="BL72">
        <f t="shared" si="30"/>
        <v>1805</v>
      </c>
      <c r="BM72" s="29" cm="1">
        <f t="array" ref="BM72">IF($F$14-$I$4+VLOOKUP($R72,武学奇术!$A:$ZZ,15,FALSE)+SUM(_xlfn.XLOOKUP(S72:AL72,增益!$A:$A,增益!$O:$O,0))&gt;0,($F$14-$I$4+VLOOKUP($R72,武学奇术!$A:$ZZ,15,FALSE)+SUM(_xlfn.XLOOKUP(S72:AL72,增益!$A:$A,增益!$O:$O,0)))/200,($F$14-$I$4+VLOOKUP($R72,武学奇术!$A:$ZZ,15,FALSE)+SUM(_xlfn.XLOOKUP(S72:AL72,增益!$A:$A,增益!$O:$O,0)))/100)</f>
        <v>0.13</v>
      </c>
      <c r="BN72" s="29" cm="1">
        <f t="array" ref="BN72">$G$14+VLOOKUP($R72,武学奇术!$A:$ZZ,16,FALSE)+SUM(_xlfn.XLOOKUP(S72:AL72,增益!$A:$A,增益!$P:$P,0))</f>
        <v>0.23</v>
      </c>
      <c r="BO72" s="23">
        <f>MIN(IF(VLOOKUP($R72,武学奇术!$A:$ZZ,23,FALSE)=1,100%,$B$8),100%)</f>
        <v>0.9943</v>
      </c>
      <c r="BP72" s="23" cm="1">
        <f t="array" ref="BP72">IF(VLOOKUP($R72,武学奇术!$A:$ZZ,23,FALSE)=1,100%,MIN(80%,$B$9+VLOOKUP($R72,武学奇术!$A:$ZZ,17,FALSE)+SUM(_xlfn.XLOOKUP(S72:AL72,增益!$A:$A,增益!$Q:$Q,0)))+$B$11+SUM(_xlfn.XLOOKUP(S72:AL72,增益!$A:$A,增益!$U:$U,0)))*IF(VLOOKUP($R72,武学奇术!$A:$ZZ,24,FALSE)=1,0,1)</f>
        <v>0.887</v>
      </c>
      <c r="BQ72" s="23" cm="1">
        <f t="array" ref="BQ72">1+$B$13+VLOOKUP($R72,武学奇术!$A:$ZZ,18,FALSE)+SUM(_xlfn.XLOOKUP(S72:AL72,增益!$A:$A,增益!$R:$R,0))</f>
        <v>2.394</v>
      </c>
      <c r="BR72" s="23" cm="1">
        <f t="array" ref="BR72">IF(VLOOKUP($R72,武学奇术!$A:$ZZ,24,FALSE)=1,100%,MIN(40%,$B$10+VLOOKUP($R72,武学奇术!$A:$ZZ,19,FALSE)+SUM(_xlfn.XLOOKUP(S72:AL72,增益!$A:$A,增益!$S:$S,0)))+$B$12+SUM(_xlfn.XLOOKUP(S72:AL72,增益!$A:$A,增益!$V:$V,0)))*IF(VLOOKUP($R72,武学奇术!$A:$ZZ,23,FALSE)=1,0,1)</f>
        <v>0.0913</v>
      </c>
      <c r="BS72" s="23" cm="1">
        <f t="array" ref="BS72">1+$B$14+VLOOKUP($R72,武学奇术!$A:$ZZ,20,FALSE)+SUM(_xlfn.XLOOKUP(S72:AL72,增益!$A:$A,增益!$T:$T,0))</f>
        <v>1.35</v>
      </c>
      <c r="BT72" s="23">
        <f t="shared" si="31"/>
        <v>0.8819441</v>
      </c>
      <c r="BU72" s="23">
        <f t="shared" si="32"/>
        <v>0.0215763099999999</v>
      </c>
      <c r="BV72" s="23">
        <f>IF(VLOOKUP($R72,武学奇术!$A:$ZZ,22,FALSE)=1,0,(1-$BO72))*(1-$BR72)</f>
        <v>0.00517958999999993</v>
      </c>
      <c r="BW72" s="23" cm="1">
        <f t="array" ref="BW72">SUM(_xlfn.XLOOKUP(S72:AL72,增益!$A:$A,增益!$W:$W,0))+$I$5</f>
        <v>0.31</v>
      </c>
      <c r="BX72" s="23">
        <f>VLOOKUP($R72,武学奇术!$A:$ZZ,32,FALSE)</f>
        <v>0.1</v>
      </c>
      <c r="BY72" s="23" cm="1">
        <f t="array" ref="BY72">SUM(_xlfn.XLOOKUP($S72:$AL72,增益!$A:$A,增益!$X:$X,0))</f>
        <v>0</v>
      </c>
    </row>
    <row r="73" spans="1:77">
      <c r="A73" s="93">
        <v>45</v>
      </c>
      <c r="B73" s="4">
        <v>1.5</v>
      </c>
      <c r="C73" s="36"/>
      <c r="E73" s="36"/>
      <c r="K73" s="35">
        <f>$L73*VLOOKUP($R73,武学奇术!$A:$ZZ,31,FALSE)</f>
        <v>99204.7759140291</v>
      </c>
      <c r="L73" s="58">
        <f t="shared" si="22"/>
        <v>88575.6927803831</v>
      </c>
      <c r="M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轻击",$B$21,0))*(1+IF(VLOOKUP($R73,武学奇术!$A:$ZZ,30,FALSE)="老鼠",$B$22,0))*(1+$BW73)*(1+$BX73)</f>
        <v>93182.406061752</v>
      </c>
      <c r="N73" s="35">
        <f>(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轻击",$B$21,0))*(1+IF(VLOOKUP($R73,武学奇术!$A:$ZZ,30,FALSE)="老鼠",$B$22,0))*(1+$BW73))*(1+$BX73)</f>
        <v>58893.1184921327</v>
      </c>
      <c r="O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轻击",$B$21,0))*(1+IF(VLOOKUP($R73,武学奇术!$A:$ZZ,30,FALSE)="老鼠",$B$22,0))*(1+$BW73)*(1+$BX73)</f>
        <v>38923.3108027368</v>
      </c>
      <c r="P73" s="35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轻击",$B$21,0))*(1+IF(VLOOKUP($R73,武学奇术!$A:$ZZ,30,FALSE)="老鼠",$B$22,0))*(1+$BW73)*(1+$BX73)</f>
        <v>34222.0893890791</v>
      </c>
      <c r="Q73" s="36">
        <v>1</v>
      </c>
      <c r="R73" s="37" t="s">
        <v>148</v>
      </c>
      <c r="S73" s="37" t="s">
        <v>91</v>
      </c>
      <c r="T73" s="37" t="s">
        <v>185</v>
      </c>
      <c r="U73" s="37" t="s">
        <v>112</v>
      </c>
      <c r="V73" s="37" t="s">
        <v>113</v>
      </c>
      <c r="W73" s="37" t="s">
        <v>82</v>
      </c>
      <c r="X73" s="37" t="s">
        <v>81</v>
      </c>
      <c r="Y73" s="37" t="s">
        <v>109</v>
      </c>
      <c r="Z73" s="37" t="s">
        <v>83</v>
      </c>
      <c r="AA73" s="37" t="s">
        <v>84</v>
      </c>
      <c r="AB73" s="37" t="s">
        <v>183</v>
      </c>
      <c r="AC73" s="37" t="s">
        <v>186</v>
      </c>
      <c r="AD73" s="37" t="s">
        <v>85</v>
      </c>
      <c r="AE73" s="37" t="s">
        <v>86</v>
      </c>
      <c r="AF73" s="37" t="s">
        <v>181</v>
      </c>
      <c r="AG73" s="37" t="s">
        <v>87</v>
      </c>
      <c r="AH73" s="37" t="s">
        <v>88</v>
      </c>
      <c r="AI73" s="37" t="s">
        <v>81</v>
      </c>
      <c r="AJ73" s="37" t="s">
        <v>81</v>
      </c>
      <c r="AK73" s="37" t="s">
        <v>81</v>
      </c>
      <c r="AL73" s="37" t="s">
        <v>81</v>
      </c>
      <c r="AM73" t="str">
        <f>VLOOKUP($R73,武学奇术!$A:$ZZ,25,FALSE)</f>
        <v>双刀</v>
      </c>
      <c r="AN73" s="23">
        <f>VLOOKUP($R73,武学奇术!$A:$ZZ,26,FALSE)</f>
        <v>1.4455</v>
      </c>
      <c r="AO73" s="24">
        <f>VLOOKUP($R73,武学奇术!$A:$ZZ,27,FALSE)*(1+IF(OR($AM73=$F$4,$AM73=$F$5),$B$23,0))</f>
        <v>641.6</v>
      </c>
      <c r="AP73" s="23">
        <f>VLOOKUP($R73,武学奇术!$A:$ZZ,28,FALSE)</f>
        <v>2.1683</v>
      </c>
      <c r="AQ73" s="24">
        <f>VLOOKUP($R73,武学奇术!$A:$ZZ,29,FALSE)*(1+IF(OR($AM73=$F$4,$AM73=$F$5),$B$23,0))</f>
        <v>348.8</v>
      </c>
      <c r="AR73" s="23" cm="1">
        <f t="array" ref="AR73">$G$3+IFERROR(VLOOKUP($AM73,$F$4:$G$7,2,FALSE),0)+VLOOKUP($R73,武学奇术!$A:$ZZ,2,FALSE)+SUM(_xlfn.XLOOKUP($S73:$AL73,增益!$A:$A,增益!$B:$B,0))</f>
        <v>0.8243</v>
      </c>
      <c r="AS73" s="23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4150.4</v>
      </c>
      <c r="AU73" cm="1">
        <f t="array" ref="AU73">$E$10*(1+$AS73)+VLOOKUP($R73,武学奇术!$A:$ZZ,4,FALSE)+SUM(_xlfn.XLOOKUP($S73:$AL73,增益!$A:$A,增益!$D:$D,0))-$I$2</f>
        <v>4150.4</v>
      </c>
      <c r="AV73" s="29" cm="1">
        <f t="array" ref="AV73">IF($F$10-$I$3+VLOOKUP($R73,武学奇术!$A:$ZZ,6,FALSE)+SUM(_xlfn.XLOOKUP(S73:AL73,增益!$A:$A,增益!$F:$F,0))&gt;0,($F$10-$I$3+VLOOKUP($R73,武学奇术!$A:$ZZ,6,FALSE)+SUM(_xlfn.XLOOKUP(S73:AL73,增益!$A:$A,增益!$F:$F,0)))/200,($F$10-$I$3+VLOOKUP($R73,武学奇术!$A:$ZZ,6,FALSE)+SUM(_xlfn.XLOOKUP(S73:AL73,增益!$A:$A,增益!$F:$F,0)))/100)</f>
        <v>0.4539</v>
      </c>
      <c r="AW73" s="29" cm="1">
        <f t="array" ref="AW73">$G$10+VLOOKUP($R73,武学奇术!$A:$ZZ,7,FALSE)+SUM(_xlfn.XLOOKUP(S73:AL73,增益!$A:$A,增益!$G:$G,0))</f>
        <v>0.08</v>
      </c>
      <c r="AX73" s="23" cm="1">
        <f t="array" ref="AX73">VLOOKUP($R73,武学奇术!$A:$ZZ,8,FALSE)+SUM(_xlfn.XLOOKUP(S73:AL73,增益!$A:$A,增益!$H:$H,0))</f>
        <v>0</v>
      </c>
      <c r="AY73">
        <f t="shared" si="23"/>
        <v>0</v>
      </c>
      <c r="AZ73">
        <f t="shared" si="24"/>
        <v>0</v>
      </c>
      <c r="BA73" s="29" cm="1">
        <f t="array" ref="BA73">IF($F$11-$I$4+VLOOKUP($R73,武学奇术!$A:$ZZ,9,FALSE)+SUM(_xlfn.XLOOKUP(S73:AL73,增益!$A:$A,增益!$I:$I,0))&gt;0,($F$11-$I$4+VLOOKUP($R73,武学奇术!$A:$ZZ,9,FALSE)+SUM(_xlfn.XLOOKUP(S73:AL73,增益!$A:$A,增益!$I:$I,0)))/200,($F$11-$I$4+VLOOKUP($R73,武学奇术!$A:$ZZ,9,FALSE)+SUM(_xlfn.XLOOKUP(S73:AL73,增益!$A:$A,增益!$I:$I,0)))/100)</f>
        <v>-0.14</v>
      </c>
      <c r="BB73" s="29" cm="1">
        <f t="array" ref="BB73">$G$11+VLOOKUP($R73,武学奇术!$A:$ZZ,10,FALSE)+SUM(_xlfn.XLOOKUP(S73:AL73,增益!$A:$A,增益!$J:$J,0))</f>
        <v>0.12</v>
      </c>
      <c r="BC73">
        <f t="shared" si="25"/>
        <v>0</v>
      </c>
      <c r="BD73">
        <f t="shared" si="26"/>
        <v>0</v>
      </c>
      <c r="BE73" s="29" cm="1">
        <f t="array" ref="BE73">IF($F$12-$I$4+VLOOKUP($R73,武学奇术!$A:$ZZ,11,FALSE)+SUM(_xlfn.XLOOKUP(S73:AL73,增益!$A:$A,增益!$K:$K,0))&gt;0,($F$12-$I$4+VLOOKUP($R73,武学奇术!$A:$ZZ,11,FALSE)+SUM(_xlfn.XLOOKUP(S73:AL73,增益!$A:$A,增益!$K:$K,0)))/200,($F$12-$I$4+VLOOKUP($R73,武学奇术!$A:$ZZ,11,FALSE)+SUM(_xlfn.XLOOKUP(S73:AL73,增益!$A:$A,增益!$K:$K,0)))/100)</f>
        <v>-0.14</v>
      </c>
      <c r="BF73" s="29" cm="1">
        <f t="array" ref="BF73">$G$12+VLOOKUP($R73,武学奇术!$A:$ZZ,12,FALSE)+SUM(_xlfn.XLOOKUP(S73:AL73,增益!$A:$A,增益!$L:$L,0))</f>
        <v>0.02</v>
      </c>
      <c r="BG73">
        <f t="shared" si="27"/>
        <v>0</v>
      </c>
      <c r="BH73">
        <f t="shared" si="28"/>
        <v>0</v>
      </c>
      <c r="BI73" s="29" cm="1">
        <f t="array" ref="BI73">IF($F$13-$I$4+VLOOKUP($R73,武学奇术!$A:$ZZ,13,FALSE)+SUM(_xlfn.XLOOKUP(S73:AL73,增益!$A:$A,增益!$M:$M,0))&gt;0,($F$13-$I$4+VLOOKUP($R73,武学奇术!$A:$ZZ,13,FALSE)+SUM(_xlfn.XLOOKUP(S73:AL73,增益!$A:$A,增益!$K:$K,0)))/200,($F$13-$I$4+VLOOKUP($R73,武学奇术!$A:$ZZ,13,FALSE)+SUM(_xlfn.XLOOKUP(S73:AL73,增益!$A:$A,增益!$M:$M,0)))/100)</f>
        <v>-0.14</v>
      </c>
      <c r="BJ73" s="29" cm="1">
        <f t="array" ref="BJ73">$G$13+VLOOKUP($R73,武学奇术!$A:$ZZ,14,FALSE)+SUM(_xlfn.XLOOKUP(S73:AL73,增益!$A:$A,增益!$N:$N,0))</f>
        <v>0.02</v>
      </c>
      <c r="BK73">
        <f t="shared" si="29"/>
        <v>618.2</v>
      </c>
      <c r="BL73">
        <f t="shared" si="30"/>
        <v>1805</v>
      </c>
      <c r="BM73" s="29" cm="1">
        <f t="array" ref="BM73">IF($F$14-$I$4+VLOOKUP($R73,武学奇术!$A:$ZZ,15,FALSE)+SUM(_xlfn.XLOOKUP(S73:AL73,增益!$A:$A,增益!$O:$O,0))&gt;0,($F$14-$I$4+VLOOKUP($R73,武学奇术!$A:$ZZ,15,FALSE)+SUM(_xlfn.XLOOKUP(S73:AL73,增益!$A:$A,增益!$O:$O,0)))/200,($F$14-$I$4+VLOOKUP($R73,武学奇术!$A:$ZZ,15,FALSE)+SUM(_xlfn.XLOOKUP(S73:AL73,增益!$A:$A,增益!$O:$O,0)))/100)</f>
        <v>0.13</v>
      </c>
      <c r="BN73" s="29" cm="1">
        <f t="array" ref="BN73">$G$14+VLOOKUP($R73,武学奇术!$A:$ZZ,16,FALSE)+SUM(_xlfn.XLOOKUP(S73:AL73,增益!$A:$A,增益!$P:$P,0))</f>
        <v>0.23</v>
      </c>
      <c r="BO73" s="23">
        <f>MIN(IF(VLOOKUP($R73,武学奇术!$A:$ZZ,23,FALSE)=1,100%,$B$8),100%)</f>
        <v>0.9943</v>
      </c>
      <c r="BP73" s="23" cm="1">
        <f t="array" ref="BP73">IF(VLOOKUP($R73,武学奇术!$A:$ZZ,23,FALSE)=1,100%,MIN(80%,$B$9+VLOOKUP($R73,武学奇术!$A:$ZZ,17,FALSE)+SUM(_xlfn.XLOOKUP(S73:AL73,增益!$A:$A,增益!$Q:$Q,0)))+$B$11+SUM(_xlfn.XLOOKUP(S73:AL73,增益!$A:$A,增益!$U:$U,0)))*IF(VLOOKUP($R73,武学奇术!$A:$ZZ,24,FALSE)=1,0,1)</f>
        <v>0.887</v>
      </c>
      <c r="BQ73" s="23" cm="1">
        <f t="array" ref="BQ73">1+$B$13+VLOOKUP($R73,武学奇术!$A:$ZZ,18,FALSE)+SUM(_xlfn.XLOOKUP(S73:AL73,增益!$A:$A,增益!$R:$R,0))</f>
        <v>2.394</v>
      </c>
      <c r="BR73" s="23" cm="1">
        <f t="array" ref="BR73">IF(VLOOKUP($R73,武学奇术!$A:$ZZ,24,FALSE)=1,100%,MIN(40%,$B$10+VLOOKUP($R73,武学奇术!$A:$ZZ,19,FALSE)+SUM(_xlfn.XLOOKUP(S73:AL73,增益!$A:$A,增益!$S:$S,0)))+$B$12+SUM(_xlfn.XLOOKUP(S73:AL73,增益!$A:$A,增益!$V:$V,0)))*IF(VLOOKUP($R73,武学奇术!$A:$ZZ,23,FALSE)=1,0,1)</f>
        <v>0.0913</v>
      </c>
      <c r="BS73" s="23" cm="1">
        <f t="array" ref="BS73">1+$B$14+VLOOKUP($R73,武学奇术!$A:$ZZ,20,FALSE)+SUM(_xlfn.XLOOKUP(S73:AL73,增益!$A:$A,增益!$T:$T,0))</f>
        <v>1.35</v>
      </c>
      <c r="BT73" s="23">
        <f t="shared" si="31"/>
        <v>0.8819441</v>
      </c>
      <c r="BU73" s="23">
        <f t="shared" si="32"/>
        <v>0.0215763099999999</v>
      </c>
      <c r="BV73" s="23">
        <f>IF(VLOOKUP($R73,武学奇术!$A:$ZZ,22,FALSE)=1,0,(1-$BO73))*(1-$BR73)</f>
        <v>0.00517958999999993</v>
      </c>
      <c r="BW73" s="23" cm="1">
        <f t="array" ref="BW73">SUM(_xlfn.XLOOKUP(S73:AL73,增益!$A:$A,增益!$W:$W,0))+$I$5</f>
        <v>0.31</v>
      </c>
      <c r="BX73" s="23">
        <f>VLOOKUP($R73,武学奇术!$A:$ZZ,32,FALSE)</f>
        <v>0.1</v>
      </c>
      <c r="BY73" s="23" cm="1">
        <f t="array" ref="BY73">SUM(_xlfn.XLOOKUP($S73:$AL73,增益!$A:$A,增益!$X:$X,0))</f>
        <v>0</v>
      </c>
    </row>
    <row r="74" spans="1:77">
      <c r="A74" s="93" t="s">
        <v>174</v>
      </c>
      <c r="B74" s="4">
        <v>0.6</v>
      </c>
      <c r="C74" s="36"/>
      <c r="E74" s="36"/>
      <c r="K74" s="35">
        <f>$L74*VLOOKUP($R74,武学奇术!$A:$ZZ,31,FALSE)</f>
        <v>204180.711132599</v>
      </c>
      <c r="L74" s="69">
        <f t="shared" ref="L74:L87" si="33">($M74*$BT74+$N74*$BR74+$O74*$BU74+$P74*$BV74)</f>
        <v>200177.167777058</v>
      </c>
      <c r="M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轻击",$B$21,0))*(1+IF(VLOOKUP($R74,武学奇术!$A:$ZZ,30,FALSE)="老鼠",$B$22,0))*(1+$BW74)*(1+$BX74)</f>
        <v>210434.647953478</v>
      </c>
      <c r="N74" s="35">
        <f>(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轻击",$B$21,0))*(1+IF(VLOOKUP($R74,武学奇术!$A:$ZZ,30,FALSE)="老鼠",$B$22,0))*(1+$BW74))*(1+$BX74)</f>
        <v>134666.98806829</v>
      </c>
      <c r="O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轻击",$B$21,0))*(1+IF(VLOOKUP($R74,武学奇术!$A:$ZZ,30,FALSE)="老鼠",$B$22,0))*(1+$BW74)*(1+$BX74)</f>
        <v>87900.8554525807</v>
      </c>
      <c r="P74" s="35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轻击",$B$21,0))*(1+IF(VLOOKUP($R74,武学奇术!$A:$ZZ,30,FALSE)="老鼠",$B$22,0))*(1+$BW74)*(1+$BX74)</f>
        <v>76048.3864101317</v>
      </c>
      <c r="Q74" s="70">
        <v>5</v>
      </c>
      <c r="R74" s="37" t="s">
        <v>106</v>
      </c>
      <c r="S74" s="37" t="s">
        <v>91</v>
      </c>
      <c r="T74" s="37" t="s">
        <v>185</v>
      </c>
      <c r="U74" s="37" t="s">
        <v>112</v>
      </c>
      <c r="V74" s="37" t="s">
        <v>113</v>
      </c>
      <c r="W74" s="37" t="s">
        <v>82</v>
      </c>
      <c r="X74" s="37" t="s">
        <v>81</v>
      </c>
      <c r="Y74" s="37" t="s">
        <v>109</v>
      </c>
      <c r="Z74" s="37" t="s">
        <v>83</v>
      </c>
      <c r="AA74" s="37" t="s">
        <v>84</v>
      </c>
      <c r="AB74" s="37" t="s">
        <v>183</v>
      </c>
      <c r="AC74" s="37" t="s">
        <v>186</v>
      </c>
      <c r="AD74" s="37" t="s">
        <v>85</v>
      </c>
      <c r="AE74" s="37" t="s">
        <v>86</v>
      </c>
      <c r="AF74" s="37" t="s">
        <v>81</v>
      </c>
      <c r="AG74" s="37" t="s">
        <v>87</v>
      </c>
      <c r="AH74" s="37" t="s">
        <v>88</v>
      </c>
      <c r="AI74" s="37" t="s">
        <v>81</v>
      </c>
      <c r="AJ74" s="37" t="s">
        <v>81</v>
      </c>
      <c r="AK74" s="37" t="s">
        <v>81</v>
      </c>
      <c r="AL74" s="37" t="s">
        <v>81</v>
      </c>
      <c r="AM74" t="str">
        <f>VLOOKUP($R74,武学奇术!$A:$ZZ,25,FALSE)</f>
        <v>绳镖</v>
      </c>
      <c r="AN74" s="23">
        <f>VLOOKUP($R74,武学奇术!$A:$ZZ,26,FALSE)</f>
        <v>0.3675</v>
      </c>
      <c r="AO74" s="24">
        <f>VLOOKUP($R74,武学奇术!$A:$ZZ,27,FALSE)*(1+IF(OR($AM74=$F$4,$AM74=$F$5),$B$23,0))</f>
        <v>0</v>
      </c>
      <c r="AP74" s="23">
        <f>VLOOKUP($R74,武学奇术!$A:$ZZ,28,FALSE)</f>
        <v>0.55125</v>
      </c>
      <c r="AQ74" s="24">
        <f>VLOOKUP($R74,武学奇术!$A:$ZZ,29,FALSE)*(1+IF(OR($AM74=$F$4,$AM74=$F$5),$B$23,0))</f>
        <v>0</v>
      </c>
      <c r="AR74" s="23" cm="1">
        <f t="array" ref="AR74">$G$3+IFERROR(VLOOKUP($AM74,$F$4:$G$7,2,FALSE),0)+VLOOKUP($R74,武学奇术!$A:$ZZ,2,FALSE)+SUM(_xlfn.XLOOKUP($S74:$AL74,增益!$A:$A,增益!$B:$B,0))</f>
        <v>1.5743</v>
      </c>
      <c r="AS74" s="23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4150.4</v>
      </c>
      <c r="AU74" cm="1">
        <f t="array" ref="AU74">$E$10*(1+$AS74)+VLOOKUP($R74,武学奇术!$A:$ZZ,4,FALSE)+SUM(_xlfn.XLOOKUP($S74:$AL74,增益!$A:$A,增益!$D:$D,0))-$I$2</f>
        <v>4150.4</v>
      </c>
      <c r="AV74" s="29" cm="1">
        <f t="array" ref="AV74">IF($F$10-$I$3+VLOOKUP($R74,武学奇术!$A:$ZZ,6,FALSE)+SUM(_xlfn.XLOOKUP(S74:AL74,增益!$A:$A,增益!$F:$F,0))&gt;0,($F$10-$I$3+VLOOKUP($R74,武学奇术!$A:$ZZ,6,FALSE)+SUM(_xlfn.XLOOKUP(S74:AL74,增益!$A:$A,增益!$F:$F,0)))/200,($F$10-$I$3+VLOOKUP($R74,武学奇术!$A:$ZZ,6,FALSE)+SUM(_xlfn.XLOOKUP(S74:AL74,增益!$A:$A,增益!$F:$F,0)))/100)</f>
        <v>0.4539</v>
      </c>
      <c r="AW74" s="29" cm="1">
        <f t="array" ref="AW74">$G$10+VLOOKUP($R74,武学奇术!$A:$ZZ,7,FALSE)+SUM(_xlfn.XLOOKUP(S74:AL74,增益!$A:$A,增益!$G:$G,0))</f>
        <v>0.29</v>
      </c>
      <c r="AX74" s="23" cm="1">
        <f t="array" ref="AX74">VLOOKUP($R74,武学奇术!$A:$ZZ,8,FALSE)+SUM(_xlfn.XLOOKUP(S74:AL74,增益!$A:$A,增益!$H:$H,0))</f>
        <v>0</v>
      </c>
      <c r="AY74">
        <f t="shared" si="23"/>
        <v>0</v>
      </c>
      <c r="AZ74">
        <f t="shared" si="24"/>
        <v>0</v>
      </c>
      <c r="BA74" s="29" cm="1">
        <f t="array" ref="BA74">IF($F$11-$I$4+VLOOKUP($R74,武学奇术!$A:$ZZ,9,FALSE)+SUM(_xlfn.XLOOKUP(S74:AL74,增益!$A:$A,增益!$I:$I,0))&gt;0,($F$11-$I$4+VLOOKUP($R74,武学奇术!$A:$ZZ,9,FALSE)+SUM(_xlfn.XLOOKUP(S74:AL74,增益!$A:$A,增益!$I:$I,0)))/200,($F$11-$I$4+VLOOKUP($R74,武学奇术!$A:$ZZ,9,FALSE)+SUM(_xlfn.XLOOKUP(S74:AL74,增益!$A:$A,增益!$I:$I,0)))/100)</f>
        <v>-0.14</v>
      </c>
      <c r="BB74" s="29" cm="1">
        <f t="array" ref="BB74">$G$11+VLOOKUP($R74,武学奇术!$A:$ZZ,10,FALSE)+SUM(_xlfn.XLOOKUP(S74:AL74,增益!$A:$A,增益!$J:$J,0))</f>
        <v>0.12</v>
      </c>
      <c r="BC74">
        <f t="shared" si="25"/>
        <v>0</v>
      </c>
      <c r="BD74">
        <f t="shared" si="26"/>
        <v>0</v>
      </c>
      <c r="BE74" s="29" cm="1">
        <f t="array" ref="BE74">IF($F$12-$I$4+VLOOKUP($R74,武学奇术!$A:$ZZ,11,FALSE)+SUM(_xlfn.XLOOKUP(S74:AL74,增益!$A:$A,增益!$K:$K,0))&gt;0,($F$12-$I$4+VLOOKUP($R74,武学奇术!$A:$ZZ,11,FALSE)+SUM(_xlfn.XLOOKUP(S74:AL74,增益!$A:$A,增益!$K:$K,0)))/200,($F$12-$I$4+VLOOKUP($R74,武学奇术!$A:$ZZ,11,FALSE)+SUM(_xlfn.XLOOKUP(S74:AL74,增益!$A:$A,增益!$K:$K,0)))/100)</f>
        <v>-0.14</v>
      </c>
      <c r="BF74" s="29" cm="1">
        <f t="array" ref="BF74">$G$12+VLOOKUP($R74,武学奇术!$A:$ZZ,12,FALSE)+SUM(_xlfn.XLOOKUP(S74:AL74,增益!$A:$A,增益!$L:$L,0))</f>
        <v>0.02</v>
      </c>
      <c r="BG74">
        <f t="shared" si="27"/>
        <v>0</v>
      </c>
      <c r="BH74">
        <f t="shared" si="28"/>
        <v>0</v>
      </c>
      <c r="BI74" s="29" cm="1">
        <f t="array" ref="BI74">IF($F$13-$I$4+VLOOKUP($R74,武学奇术!$A:$ZZ,13,FALSE)+SUM(_xlfn.XLOOKUP(S74:AL74,增益!$A:$A,增益!$M:$M,0))&gt;0,($F$13-$I$4+VLOOKUP($R74,武学奇术!$A:$ZZ,13,FALSE)+SUM(_xlfn.XLOOKUP(S74:AL74,增益!$A:$A,增益!$K:$K,0)))/200,($F$13-$I$4+VLOOKUP($R74,武学奇术!$A:$ZZ,13,FALSE)+SUM(_xlfn.XLOOKUP(S74:AL74,增益!$A:$A,增益!$M:$M,0)))/100)</f>
        <v>-0.14</v>
      </c>
      <c r="BJ74" s="29" cm="1">
        <f t="array" ref="BJ74">$G$13+VLOOKUP($R74,武学奇术!$A:$ZZ,14,FALSE)+SUM(_xlfn.XLOOKUP(S74:AL74,增益!$A:$A,增益!$N:$N,0))</f>
        <v>0.02</v>
      </c>
      <c r="BK74">
        <f t="shared" si="29"/>
        <v>618.2</v>
      </c>
      <c r="BL74">
        <f t="shared" si="30"/>
        <v>1805</v>
      </c>
      <c r="BM74" s="29" cm="1">
        <f t="array" ref="BM74">IF($F$14-$I$4+VLOOKUP($R74,武学奇术!$A:$ZZ,15,FALSE)+SUM(_xlfn.XLOOKUP(S74:AL74,增益!$A:$A,增益!$O:$O,0))&gt;0,($F$14-$I$4+VLOOKUP($R74,武学奇术!$A:$ZZ,15,FALSE)+SUM(_xlfn.XLOOKUP(S74:AL74,增益!$A:$A,增益!$O:$O,0)))/200,($F$14-$I$4+VLOOKUP($R74,武学奇术!$A:$ZZ,15,FALSE)+SUM(_xlfn.XLOOKUP(S74:AL74,增益!$A:$A,增益!$O:$O,0)))/100)</f>
        <v>0.13</v>
      </c>
      <c r="BN74" s="29" cm="1">
        <f t="array" ref="BN74">$G$14+VLOOKUP($R74,武学奇术!$A:$ZZ,16,FALSE)+SUM(_xlfn.XLOOKUP(S74:AL74,增益!$A:$A,增益!$P:$P,0))</f>
        <v>0.44</v>
      </c>
      <c r="BO74" s="23">
        <f>MIN(IF(VLOOKUP($R74,武学奇术!$A:$ZZ,23,FALSE)=1,100%,$B$8),100%)</f>
        <v>0.9943</v>
      </c>
      <c r="BP74" s="23" cm="1">
        <f t="array" ref="BP74">IF(VLOOKUP($R74,武学奇术!$A:$ZZ,23,FALSE)=1,100%,MIN(80%,$B$9+VLOOKUP($R74,武学奇术!$A:$ZZ,17,FALSE)+SUM(_xlfn.XLOOKUP(S74:AL74,增益!$A:$A,增益!$Q:$Q,0)))+$B$11+SUM(_xlfn.XLOOKUP(S74:AL74,增益!$A:$A,增益!$U:$U,0)))*IF(VLOOKUP($R74,武学奇术!$A:$ZZ,24,FALSE)=1,0,1)</f>
        <v>0.887</v>
      </c>
      <c r="BQ74" s="23" cm="1">
        <f t="array" ref="BQ74">1+$B$13+VLOOKUP($R74,武学奇术!$A:$ZZ,18,FALSE)+SUM(_xlfn.XLOOKUP(S74:AL74,增益!$A:$A,增益!$R:$R,0))</f>
        <v>2.394</v>
      </c>
      <c r="BR74" s="23" cm="1">
        <f t="array" ref="BR74">IF(VLOOKUP($R74,武学奇术!$A:$ZZ,24,FALSE)=1,100%,MIN(40%,$B$10+VLOOKUP($R74,武学奇术!$A:$ZZ,19,FALSE)+SUM(_xlfn.XLOOKUP(S74:AL74,增益!$A:$A,增益!$S:$S,0)))+$B$12+SUM(_xlfn.XLOOKUP(S74:AL74,增益!$A:$A,增益!$V:$V,0)))*IF(VLOOKUP($R74,武学奇术!$A:$ZZ,23,FALSE)=1,0,1)</f>
        <v>0.0913</v>
      </c>
      <c r="BS74" s="23" cm="1">
        <f t="array" ref="BS74">1+$B$14+VLOOKUP($R74,武学奇术!$A:$ZZ,20,FALSE)+SUM(_xlfn.XLOOKUP(S74:AL74,增益!$A:$A,增益!$T:$T,0))</f>
        <v>1.35</v>
      </c>
      <c r="BT74" s="23">
        <f t="shared" si="31"/>
        <v>0.8819441</v>
      </c>
      <c r="BU74" s="23">
        <f t="shared" si="32"/>
        <v>0.0215763099999999</v>
      </c>
      <c r="BV74" s="23">
        <f>IF(VLOOKUP($R74,武学奇术!$A:$ZZ,22,FALSE)=1,0,(1-$BO74))*(1-$BR74)</f>
        <v>0.00517958999999993</v>
      </c>
      <c r="BW74" s="23" cm="1">
        <f t="array" ref="BW74">SUM(_xlfn.XLOOKUP(S74:AL74,增益!$A:$A,增益!$W:$W,0))+$I$5</f>
        <v>0.31</v>
      </c>
      <c r="BX74" s="23">
        <f>VLOOKUP($R74,武学奇术!$A:$ZZ,32,FALSE)</f>
        <v>0</v>
      </c>
      <c r="BY74" s="23" cm="1">
        <f t="array" ref="BY74">SUM(_xlfn.XLOOKUP($S74:$AL74,增益!$A:$A,增益!$X:$X,0))</f>
        <v>0</v>
      </c>
    </row>
    <row r="75" spans="1:77">
      <c r="A75" s="93">
        <v>12345</v>
      </c>
      <c r="B75">
        <v>3.3</v>
      </c>
      <c r="E75" s="36"/>
      <c r="K75" s="35">
        <f>$L75*VLOOKUP($R75,武学奇术!$A:$ZZ,31,FALSE)</f>
        <v>109328.630359541</v>
      </c>
      <c r="L75" s="58">
        <f t="shared" si="33"/>
        <v>97614.8485353046</v>
      </c>
      <c r="M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轻击",$B$21,0))*(1+IF(VLOOKUP($R75,武学奇术!$A:$ZZ,30,FALSE)="老鼠",$B$22,0))*(1+$BW75)*(1+$BX75)</f>
        <v>102691.666400727</v>
      </c>
      <c r="N75" s="35">
        <f>(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轻击",$B$21,0))*(1+IF(VLOOKUP($R75,武学奇术!$A:$ZZ,30,FALSE)="老鼠",$B$22,0))*(1+$BW75))*(1+$BX75)</f>
        <v>64903.2763287651</v>
      </c>
      <c r="O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轻击",$B$21,0))*(1+IF(VLOOKUP($R75,武学奇术!$A:$ZZ,30,FALSE)="老鼠",$B$22,0))*(1+$BW75)*(1+$BX75)</f>
        <v>42895.432915926</v>
      </c>
      <c r="P75" s="35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轻击",$B$21,0))*(1+IF(VLOOKUP($R75,武学奇术!$A:$ZZ,30,FALSE)="老鼠",$B$22,0))*(1+$BW75)*(1+$BX75)</f>
        <v>37714.3648475815</v>
      </c>
      <c r="Q75" s="36">
        <v>1</v>
      </c>
      <c r="R75" s="37" t="s">
        <v>153</v>
      </c>
      <c r="S75" s="37" t="s">
        <v>91</v>
      </c>
      <c r="T75" s="37" t="s">
        <v>185</v>
      </c>
      <c r="U75" s="37" t="s">
        <v>112</v>
      </c>
      <c r="V75" s="37" t="s">
        <v>113</v>
      </c>
      <c r="W75" s="37" t="s">
        <v>82</v>
      </c>
      <c r="X75" s="37" t="s">
        <v>81</v>
      </c>
      <c r="Y75" s="37" t="s">
        <v>109</v>
      </c>
      <c r="Z75" s="37" t="s">
        <v>83</v>
      </c>
      <c r="AA75" s="37" t="s">
        <v>84</v>
      </c>
      <c r="AB75" s="37" t="s">
        <v>183</v>
      </c>
      <c r="AC75" s="37" t="s">
        <v>186</v>
      </c>
      <c r="AD75" s="37" t="s">
        <v>81</v>
      </c>
      <c r="AE75" s="37" t="s">
        <v>86</v>
      </c>
      <c r="AF75" s="37" t="s">
        <v>181</v>
      </c>
      <c r="AG75" s="37" t="s">
        <v>87</v>
      </c>
      <c r="AH75" s="37" t="s">
        <v>88</v>
      </c>
      <c r="AI75" s="37" t="s">
        <v>81</v>
      </c>
      <c r="AJ75" s="37" t="s">
        <v>81</v>
      </c>
      <c r="AK75" s="37" t="s">
        <v>81</v>
      </c>
      <c r="AL75" s="37" t="s">
        <v>81</v>
      </c>
      <c r="AM75" t="str">
        <f>VLOOKUP($R75,武学奇术!$A:$ZZ,25,FALSE)</f>
        <v>双刀</v>
      </c>
      <c r="AN75" s="23">
        <f>VLOOKUP($R75,武学奇术!$A:$ZZ,26,FALSE)</f>
        <v>1.7358</v>
      </c>
      <c r="AO75" s="24">
        <f>VLOOKUP($R75,武学奇术!$A:$ZZ,27,FALSE)*(1+IF(OR($AM75=$F$4,$AM75=$F$5),$B$23,0))</f>
        <v>769.6</v>
      </c>
      <c r="AP75" s="23">
        <f>VLOOKUP($R75,武学奇术!$A:$ZZ,28,FALSE)</f>
        <v>2.6037</v>
      </c>
      <c r="AQ75" s="24">
        <f>VLOOKUP($R75,武学奇术!$A:$ZZ,29,FALSE)*(1+IF(OR($AM75=$F$4,$AM75=$F$5),$B$23,0))</f>
        <v>419.2</v>
      </c>
      <c r="AR75" s="23" cm="1">
        <f t="array" ref="AR75">$G$3+IFERROR(VLOOKUP($AM75,$F$4:$G$7,2,FALSE),0)+VLOOKUP($R75,武学奇术!$A:$ZZ,2,FALSE)+SUM(_xlfn.XLOOKUP($S75:$AL75,增益!$A:$A,增益!$B:$B,0))</f>
        <v>0.6743</v>
      </c>
      <c r="AS75" s="23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4150.4</v>
      </c>
      <c r="AU75" cm="1">
        <f t="array" ref="AU75">$E$10*(1+$AS75)+VLOOKUP($R75,武学奇术!$A:$ZZ,4,FALSE)+SUM(_xlfn.XLOOKUP($S75:$AL75,增益!$A:$A,增益!$D:$D,0))-$I$2</f>
        <v>4150.4</v>
      </c>
      <c r="AV75" s="29" cm="1">
        <f t="array" ref="AV75">IF($F$10-$I$3+VLOOKUP($R75,武学奇术!$A:$ZZ,6,FALSE)+SUM(_xlfn.XLOOKUP(S75:AL75,增益!$A:$A,增益!$F:$F,0))&gt;0,($F$10-$I$3+VLOOKUP($R75,武学奇术!$A:$ZZ,6,FALSE)+SUM(_xlfn.XLOOKUP(S75:AL75,增益!$A:$A,增益!$F:$F,0)))/200,($F$10-$I$3+VLOOKUP($R75,武学奇术!$A:$ZZ,6,FALSE)+SUM(_xlfn.XLOOKUP(S75:AL75,增益!$A:$A,增益!$F:$F,0)))/100)</f>
        <v>0.4539</v>
      </c>
      <c r="AW75" s="29" cm="1">
        <f t="array" ref="AW75">$G$10+VLOOKUP($R75,武学奇术!$A:$ZZ,7,FALSE)+SUM(_xlfn.XLOOKUP(S75:AL75,增益!$A:$A,增益!$G:$G,0))</f>
        <v>0.08</v>
      </c>
      <c r="AX75" s="23" cm="1">
        <f t="array" ref="AX75">VLOOKUP($R75,武学奇术!$A:$ZZ,8,FALSE)+SUM(_xlfn.XLOOKUP(S75:AL75,增益!$A:$A,增益!$H:$H,0))</f>
        <v>0</v>
      </c>
      <c r="AY75">
        <f t="shared" si="23"/>
        <v>0</v>
      </c>
      <c r="AZ75">
        <f t="shared" si="24"/>
        <v>0</v>
      </c>
      <c r="BA75" s="29" cm="1">
        <f t="array" ref="BA75">IF($F$11-$I$4+VLOOKUP($R75,武学奇术!$A:$ZZ,9,FALSE)+SUM(_xlfn.XLOOKUP(S75:AL75,增益!$A:$A,增益!$I:$I,0))&gt;0,($F$11-$I$4+VLOOKUP($R75,武学奇术!$A:$ZZ,9,FALSE)+SUM(_xlfn.XLOOKUP(S75:AL75,增益!$A:$A,增益!$I:$I,0)))/200,($F$11-$I$4+VLOOKUP($R75,武学奇术!$A:$ZZ,9,FALSE)+SUM(_xlfn.XLOOKUP(S75:AL75,增益!$A:$A,增益!$I:$I,0)))/100)</f>
        <v>-0.14</v>
      </c>
      <c r="BB75" s="29" cm="1">
        <f t="array" ref="BB75">$G$11+VLOOKUP($R75,武学奇术!$A:$ZZ,10,FALSE)+SUM(_xlfn.XLOOKUP(S75:AL75,增益!$A:$A,增益!$J:$J,0))</f>
        <v>0.12</v>
      </c>
      <c r="BC75">
        <f t="shared" si="25"/>
        <v>0</v>
      </c>
      <c r="BD75">
        <f t="shared" si="26"/>
        <v>0</v>
      </c>
      <c r="BE75" s="29" cm="1">
        <f t="array" ref="BE75">IF($F$12-$I$4+VLOOKUP($R75,武学奇术!$A:$ZZ,11,FALSE)+SUM(_xlfn.XLOOKUP(S75:AL75,增益!$A:$A,增益!$K:$K,0))&gt;0,($F$12-$I$4+VLOOKUP($R75,武学奇术!$A:$ZZ,11,FALSE)+SUM(_xlfn.XLOOKUP(S75:AL75,增益!$A:$A,增益!$K:$K,0)))/200,($F$12-$I$4+VLOOKUP($R75,武学奇术!$A:$ZZ,11,FALSE)+SUM(_xlfn.XLOOKUP(S75:AL75,增益!$A:$A,增益!$K:$K,0)))/100)</f>
        <v>-0.14</v>
      </c>
      <c r="BF75" s="29" cm="1">
        <f t="array" ref="BF75">$G$12+VLOOKUP($R75,武学奇术!$A:$ZZ,12,FALSE)+SUM(_xlfn.XLOOKUP(S75:AL75,增益!$A:$A,增益!$L:$L,0))</f>
        <v>0.02</v>
      </c>
      <c r="BG75">
        <f t="shared" si="27"/>
        <v>0</v>
      </c>
      <c r="BH75">
        <f t="shared" si="28"/>
        <v>0</v>
      </c>
      <c r="BI75" s="29" cm="1">
        <f t="array" ref="BI75">IF($F$13-$I$4+VLOOKUP($R75,武学奇术!$A:$ZZ,13,FALSE)+SUM(_xlfn.XLOOKUP(S75:AL75,增益!$A:$A,增益!$M:$M,0))&gt;0,($F$13-$I$4+VLOOKUP($R75,武学奇术!$A:$ZZ,13,FALSE)+SUM(_xlfn.XLOOKUP(S75:AL75,增益!$A:$A,增益!$K:$K,0)))/200,($F$13-$I$4+VLOOKUP($R75,武学奇术!$A:$ZZ,13,FALSE)+SUM(_xlfn.XLOOKUP(S75:AL75,增益!$A:$A,增益!$M:$M,0)))/100)</f>
        <v>-0.14</v>
      </c>
      <c r="BJ75" s="29" cm="1">
        <f t="array" ref="BJ75">$G$13+VLOOKUP($R75,武学奇术!$A:$ZZ,14,FALSE)+SUM(_xlfn.XLOOKUP(S75:AL75,增益!$A:$A,增益!$N:$N,0))</f>
        <v>0.02</v>
      </c>
      <c r="BK75">
        <f t="shared" si="29"/>
        <v>618.2</v>
      </c>
      <c r="BL75">
        <f t="shared" si="30"/>
        <v>1805</v>
      </c>
      <c r="BM75" s="29" cm="1">
        <f t="array" ref="BM75">IF($F$14-$I$4+VLOOKUP($R75,武学奇术!$A:$ZZ,15,FALSE)+SUM(_xlfn.XLOOKUP(S75:AL75,增益!$A:$A,增益!$O:$O,0))&gt;0,($F$14-$I$4+VLOOKUP($R75,武学奇术!$A:$ZZ,15,FALSE)+SUM(_xlfn.XLOOKUP(S75:AL75,增益!$A:$A,增益!$O:$O,0)))/200,($F$14-$I$4+VLOOKUP($R75,武学奇术!$A:$ZZ,15,FALSE)+SUM(_xlfn.XLOOKUP(S75:AL75,增益!$A:$A,增益!$O:$O,0)))/100)</f>
        <v>0.13</v>
      </c>
      <c r="BN75" s="29" cm="1">
        <f t="array" ref="BN75">$G$14+VLOOKUP($R75,武学奇术!$A:$ZZ,16,FALSE)+SUM(_xlfn.XLOOKUP(S75:AL75,增益!$A:$A,增益!$P:$P,0))</f>
        <v>0.23</v>
      </c>
      <c r="BO75" s="23">
        <f>MIN(IF(VLOOKUP($R75,武学奇术!$A:$ZZ,23,FALSE)=1,100%,$B$8),100%)</f>
        <v>0.9943</v>
      </c>
      <c r="BP75" s="23" cm="1">
        <f t="array" ref="BP75">IF(VLOOKUP($R75,武学奇术!$A:$ZZ,23,FALSE)=1,100%,MIN(80%,$B$9+VLOOKUP($R75,武学奇术!$A:$ZZ,17,FALSE)+SUM(_xlfn.XLOOKUP(S75:AL75,增益!$A:$A,增益!$Q:$Q,0)))+$B$11+SUM(_xlfn.XLOOKUP(S75:AL75,增益!$A:$A,增益!$U:$U,0)))*IF(VLOOKUP($R75,武学奇术!$A:$ZZ,24,FALSE)=1,0,1)</f>
        <v>0.887</v>
      </c>
      <c r="BQ75" s="23" cm="1">
        <f t="array" ref="BQ75">1+$B$13+VLOOKUP($R75,武学奇术!$A:$ZZ,18,FALSE)+SUM(_xlfn.XLOOKUP(S75:AL75,增益!$A:$A,增益!$R:$R,0))</f>
        <v>2.394</v>
      </c>
      <c r="BR75" s="23" cm="1">
        <f t="array" ref="BR75">IF(VLOOKUP($R75,武学奇术!$A:$ZZ,24,FALSE)=1,100%,MIN(40%,$B$10+VLOOKUP($R75,武学奇术!$A:$ZZ,19,FALSE)+SUM(_xlfn.XLOOKUP(S75:AL75,增益!$A:$A,增益!$S:$S,0)))+$B$12+SUM(_xlfn.XLOOKUP(S75:AL75,增益!$A:$A,增益!$V:$V,0)))*IF(VLOOKUP($R75,武学奇术!$A:$ZZ,23,FALSE)=1,0,1)</f>
        <v>0.0913</v>
      </c>
      <c r="BS75" s="23" cm="1">
        <f t="array" ref="BS75">1+$B$14+VLOOKUP($R75,武学奇术!$A:$ZZ,20,FALSE)+SUM(_xlfn.XLOOKUP(S75:AL75,增益!$A:$A,增益!$T:$T,0))</f>
        <v>1.35</v>
      </c>
      <c r="BT75" s="23">
        <f t="shared" si="31"/>
        <v>0.8819441</v>
      </c>
      <c r="BU75" s="23">
        <f t="shared" si="32"/>
        <v>0.0215763099999999</v>
      </c>
      <c r="BV75" s="23">
        <f>IF(VLOOKUP($R75,武学奇术!$A:$ZZ,22,FALSE)=1,0,(1-$BO75))*(1-$BR75)</f>
        <v>0.00517958999999993</v>
      </c>
      <c r="BW75" s="23" cm="1">
        <f t="array" ref="BW75">SUM(_xlfn.XLOOKUP(S75:AL75,增益!$A:$A,增益!$W:$W,0))+$I$5</f>
        <v>0.31</v>
      </c>
      <c r="BX75" s="23">
        <f>VLOOKUP($R75,武学奇术!$A:$ZZ,32,FALSE)</f>
        <v>0.1</v>
      </c>
      <c r="BY75" s="23" cm="1">
        <f t="array" ref="BY75">SUM(_xlfn.XLOOKUP($S75:$AL75,增益!$A:$A,增益!$X:$X,0))</f>
        <v>0</v>
      </c>
    </row>
    <row r="76" spans="1:77">
      <c r="A76" s="4" t="s">
        <v>176</v>
      </c>
      <c r="B76" s="4">
        <v>0.1</v>
      </c>
      <c r="E76" s="36"/>
      <c r="K76" s="35">
        <f>$L76*VLOOKUP($R76,武学奇术!$A:$ZZ,31,FALSE)</f>
        <v>76913.3819677211</v>
      </c>
      <c r="L76" s="69">
        <f t="shared" si="33"/>
        <v>75405.2764389422</v>
      </c>
      <c r="M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轻击",$B$21,0))*(1+IF(VLOOKUP($R76,武学奇术!$A:$ZZ,30,FALSE)="老鼠",$B$22,0))*(1+$BW76)*(1+$BX76)</f>
        <v>79269.1942716261</v>
      </c>
      <c r="N76" s="35">
        <f>(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轻击",$B$21,0))*(1+IF(VLOOKUP($R76,武学奇术!$A:$ZZ,30,FALSE)="老鼠",$B$22,0))*(1+$BW76))*(1+$BX76)</f>
        <v>50728.0704150963</v>
      </c>
      <c r="O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轻击",$B$21,0))*(1+IF(VLOOKUP($R76,武学奇术!$A:$ZZ,30,FALSE)="老鼠",$B$22,0))*(1+$BW76)*(1+$BX76)</f>
        <v>33111.6099714395</v>
      </c>
      <c r="P76" s="35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轻击",$B$21,0))*(1+IF(VLOOKUP($R76,武学奇术!$A:$ZZ,30,FALSE)="老鼠",$B$22,0))*(1+$BW76)*(1+$BX76)</f>
        <v>28646.871487252</v>
      </c>
      <c r="Q76" s="70">
        <v>2</v>
      </c>
      <c r="R76" s="37" t="s">
        <v>106</v>
      </c>
      <c r="S76" s="37" t="s">
        <v>91</v>
      </c>
      <c r="T76" s="37" t="s">
        <v>185</v>
      </c>
      <c r="U76" s="37" t="s">
        <v>112</v>
      </c>
      <c r="V76" s="37" t="s">
        <v>113</v>
      </c>
      <c r="W76" s="37" t="s">
        <v>82</v>
      </c>
      <c r="X76" s="37" t="s">
        <v>81</v>
      </c>
      <c r="Y76" s="37" t="s">
        <v>109</v>
      </c>
      <c r="Z76" s="37" t="s">
        <v>83</v>
      </c>
      <c r="AA76" s="37" t="s">
        <v>84</v>
      </c>
      <c r="AB76" s="37" t="s">
        <v>183</v>
      </c>
      <c r="AC76" s="37" t="s">
        <v>186</v>
      </c>
      <c r="AD76" s="37" t="s">
        <v>81</v>
      </c>
      <c r="AE76" s="37" t="s">
        <v>86</v>
      </c>
      <c r="AF76" s="37" t="s">
        <v>81</v>
      </c>
      <c r="AG76" s="37" t="s">
        <v>87</v>
      </c>
      <c r="AH76" s="37" t="s">
        <v>88</v>
      </c>
      <c r="AI76" s="37" t="s">
        <v>81</v>
      </c>
      <c r="AJ76" s="37" t="s">
        <v>81</v>
      </c>
      <c r="AK76" s="37" t="s">
        <v>81</v>
      </c>
      <c r="AL76" s="37" t="s">
        <v>81</v>
      </c>
      <c r="AM76" t="str">
        <f>VLOOKUP($R76,武学奇术!$A:$ZZ,25,FALSE)</f>
        <v>绳镖</v>
      </c>
      <c r="AN76" s="23">
        <f>VLOOKUP($R76,武学奇术!$A:$ZZ,26,FALSE)</f>
        <v>0.3675</v>
      </c>
      <c r="AO76" s="24">
        <f>VLOOKUP($R76,武学奇术!$A:$ZZ,27,FALSE)*(1+IF(OR($AM76=$F$4,$AM76=$F$5),$B$23,0))</f>
        <v>0</v>
      </c>
      <c r="AP76" s="23">
        <f>VLOOKUP($R76,武学奇术!$A:$ZZ,28,FALSE)</f>
        <v>0.55125</v>
      </c>
      <c r="AQ76" s="24">
        <f>VLOOKUP($R76,武学奇术!$A:$ZZ,29,FALSE)*(1+IF(OR($AM76=$F$4,$AM76=$F$5),$B$23,0))</f>
        <v>0</v>
      </c>
      <c r="AR76" s="23" cm="1">
        <f t="array" ref="AR76">$G$3+IFERROR(VLOOKUP($AM76,$F$4:$G$7,2,FALSE),0)+VLOOKUP($R76,武学奇术!$A:$ZZ,2,FALSE)+SUM(_xlfn.XLOOKUP($S76:$AL76,增益!$A:$A,增益!$B:$B,0))</f>
        <v>1.4243</v>
      </c>
      <c r="AS76" s="23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4150.4</v>
      </c>
      <c r="AU76" cm="1">
        <f t="array" ref="AU76">$E$10*(1+$AS76)+VLOOKUP($R76,武学奇术!$A:$ZZ,4,FALSE)+SUM(_xlfn.XLOOKUP($S76:$AL76,增益!$A:$A,增益!$D:$D,0))-$I$2</f>
        <v>4150.4</v>
      </c>
      <c r="AV76" s="29" cm="1">
        <f t="array" ref="AV76">IF($F$10-$I$3+VLOOKUP($R76,武学奇术!$A:$ZZ,6,FALSE)+SUM(_xlfn.XLOOKUP(S76:AL76,增益!$A:$A,增益!$F:$F,0))&gt;0,($F$10-$I$3+VLOOKUP($R76,武学奇术!$A:$ZZ,6,FALSE)+SUM(_xlfn.XLOOKUP(S76:AL76,增益!$A:$A,增益!$F:$F,0)))/200,($F$10-$I$3+VLOOKUP($R76,武学奇术!$A:$ZZ,6,FALSE)+SUM(_xlfn.XLOOKUP(S76:AL76,增益!$A:$A,增益!$F:$F,0)))/100)</f>
        <v>0.4539</v>
      </c>
      <c r="AW76" s="29" cm="1">
        <f t="array" ref="AW76">$G$10+VLOOKUP($R76,武学奇术!$A:$ZZ,7,FALSE)+SUM(_xlfn.XLOOKUP(S76:AL76,增益!$A:$A,增益!$G:$G,0))</f>
        <v>0.29</v>
      </c>
      <c r="AX76" s="23" cm="1">
        <f t="array" ref="AX76">VLOOKUP($R76,武学奇术!$A:$ZZ,8,FALSE)+SUM(_xlfn.XLOOKUP(S76:AL76,增益!$A:$A,增益!$H:$H,0))</f>
        <v>0</v>
      </c>
      <c r="AY76">
        <f t="shared" si="23"/>
        <v>0</v>
      </c>
      <c r="AZ76">
        <f t="shared" si="24"/>
        <v>0</v>
      </c>
      <c r="BA76" s="29" cm="1">
        <f t="array" ref="BA76">IF($F$11-$I$4+VLOOKUP($R76,武学奇术!$A:$ZZ,9,FALSE)+SUM(_xlfn.XLOOKUP(S76:AL76,增益!$A:$A,增益!$I:$I,0))&gt;0,($F$11-$I$4+VLOOKUP($R76,武学奇术!$A:$ZZ,9,FALSE)+SUM(_xlfn.XLOOKUP(S76:AL76,增益!$A:$A,增益!$I:$I,0)))/200,($F$11-$I$4+VLOOKUP($R76,武学奇术!$A:$ZZ,9,FALSE)+SUM(_xlfn.XLOOKUP(S76:AL76,增益!$A:$A,增益!$I:$I,0)))/100)</f>
        <v>-0.14</v>
      </c>
      <c r="BB76" s="29" cm="1">
        <f t="array" ref="BB76">$G$11+VLOOKUP($R76,武学奇术!$A:$ZZ,10,FALSE)+SUM(_xlfn.XLOOKUP(S76:AL76,增益!$A:$A,增益!$J:$J,0))</f>
        <v>0.12</v>
      </c>
      <c r="BC76">
        <f t="shared" si="25"/>
        <v>0</v>
      </c>
      <c r="BD76">
        <f t="shared" si="26"/>
        <v>0</v>
      </c>
      <c r="BE76" s="29" cm="1">
        <f t="array" ref="BE76">IF($F$12-$I$4+VLOOKUP($R76,武学奇术!$A:$ZZ,11,FALSE)+SUM(_xlfn.XLOOKUP(S76:AL76,增益!$A:$A,增益!$K:$K,0))&gt;0,($F$12-$I$4+VLOOKUP($R76,武学奇术!$A:$ZZ,11,FALSE)+SUM(_xlfn.XLOOKUP(S76:AL76,增益!$A:$A,增益!$K:$K,0)))/200,($F$12-$I$4+VLOOKUP($R76,武学奇术!$A:$ZZ,11,FALSE)+SUM(_xlfn.XLOOKUP(S76:AL76,增益!$A:$A,增益!$K:$K,0)))/100)</f>
        <v>-0.14</v>
      </c>
      <c r="BF76" s="29" cm="1">
        <f t="array" ref="BF76">$G$12+VLOOKUP($R76,武学奇术!$A:$ZZ,12,FALSE)+SUM(_xlfn.XLOOKUP(S76:AL76,增益!$A:$A,增益!$L:$L,0))</f>
        <v>0.02</v>
      </c>
      <c r="BG76">
        <f t="shared" si="27"/>
        <v>0</v>
      </c>
      <c r="BH76">
        <f t="shared" si="28"/>
        <v>0</v>
      </c>
      <c r="BI76" s="29" cm="1">
        <f t="array" ref="BI76">IF($F$13-$I$4+VLOOKUP($R76,武学奇术!$A:$ZZ,13,FALSE)+SUM(_xlfn.XLOOKUP(S76:AL76,增益!$A:$A,增益!$M:$M,0))&gt;0,($F$13-$I$4+VLOOKUP($R76,武学奇术!$A:$ZZ,13,FALSE)+SUM(_xlfn.XLOOKUP(S76:AL76,增益!$A:$A,增益!$K:$K,0)))/200,($F$13-$I$4+VLOOKUP($R76,武学奇术!$A:$ZZ,13,FALSE)+SUM(_xlfn.XLOOKUP(S76:AL76,增益!$A:$A,增益!$M:$M,0)))/100)</f>
        <v>-0.14</v>
      </c>
      <c r="BJ76" s="29" cm="1">
        <f t="array" ref="BJ76">$G$13+VLOOKUP($R76,武学奇术!$A:$ZZ,14,FALSE)+SUM(_xlfn.XLOOKUP(S76:AL76,增益!$A:$A,增益!$N:$N,0))</f>
        <v>0.02</v>
      </c>
      <c r="BK76">
        <f t="shared" si="29"/>
        <v>618.2</v>
      </c>
      <c r="BL76">
        <f t="shared" si="30"/>
        <v>1805</v>
      </c>
      <c r="BM76" s="29" cm="1">
        <f t="array" ref="BM76">IF($F$14-$I$4+VLOOKUP($R76,武学奇术!$A:$ZZ,15,FALSE)+SUM(_xlfn.XLOOKUP(S76:AL76,增益!$A:$A,增益!$O:$O,0))&gt;0,($F$14-$I$4+VLOOKUP($R76,武学奇术!$A:$ZZ,15,FALSE)+SUM(_xlfn.XLOOKUP(S76:AL76,增益!$A:$A,增益!$O:$O,0)))/200,($F$14-$I$4+VLOOKUP($R76,武学奇术!$A:$ZZ,15,FALSE)+SUM(_xlfn.XLOOKUP(S76:AL76,增益!$A:$A,增益!$O:$O,0)))/100)</f>
        <v>0.13</v>
      </c>
      <c r="BN76" s="29" cm="1">
        <f t="array" ref="BN76">$G$14+VLOOKUP($R76,武学奇术!$A:$ZZ,16,FALSE)+SUM(_xlfn.XLOOKUP(S76:AL76,增益!$A:$A,增益!$P:$P,0))</f>
        <v>0.44</v>
      </c>
      <c r="BO76" s="23">
        <f>MIN(IF(VLOOKUP($R76,武学奇术!$A:$ZZ,23,FALSE)=1,100%,$B$8),100%)</f>
        <v>0.9943</v>
      </c>
      <c r="BP76" s="23" cm="1">
        <f t="array" ref="BP76">IF(VLOOKUP($R76,武学奇术!$A:$ZZ,23,FALSE)=1,100%,MIN(80%,$B$9+VLOOKUP($R76,武学奇术!$A:$ZZ,17,FALSE)+SUM(_xlfn.XLOOKUP(S76:AL76,增益!$A:$A,增益!$Q:$Q,0)))+$B$11+SUM(_xlfn.XLOOKUP(S76:AL76,增益!$A:$A,增益!$U:$U,0)))*IF(VLOOKUP($R76,武学奇术!$A:$ZZ,24,FALSE)=1,0,1)</f>
        <v>0.887</v>
      </c>
      <c r="BQ76" s="23" cm="1">
        <f t="array" ref="BQ76">1+$B$13+VLOOKUP($R76,武学奇术!$A:$ZZ,18,FALSE)+SUM(_xlfn.XLOOKUP(S76:AL76,增益!$A:$A,增益!$R:$R,0))</f>
        <v>2.394</v>
      </c>
      <c r="BR76" s="23" cm="1">
        <f t="array" ref="BR76">IF(VLOOKUP($R76,武学奇术!$A:$ZZ,24,FALSE)=1,100%,MIN(40%,$B$10+VLOOKUP($R76,武学奇术!$A:$ZZ,19,FALSE)+SUM(_xlfn.XLOOKUP(S76:AL76,增益!$A:$A,增益!$S:$S,0)))+$B$12+SUM(_xlfn.XLOOKUP(S76:AL76,增益!$A:$A,增益!$V:$V,0)))*IF(VLOOKUP($R76,武学奇术!$A:$ZZ,23,FALSE)=1,0,1)</f>
        <v>0.0913</v>
      </c>
      <c r="BS76" s="23" cm="1">
        <f t="array" ref="BS76">1+$B$14+VLOOKUP($R76,武学奇术!$A:$ZZ,20,FALSE)+SUM(_xlfn.XLOOKUP(S76:AL76,增益!$A:$A,增益!$T:$T,0))</f>
        <v>1.35</v>
      </c>
      <c r="BT76" s="23">
        <f t="shared" si="31"/>
        <v>0.8819441</v>
      </c>
      <c r="BU76" s="23">
        <f t="shared" si="32"/>
        <v>0.0215763099999999</v>
      </c>
      <c r="BV76" s="23">
        <f>IF(VLOOKUP($R76,武学奇术!$A:$ZZ,22,FALSE)=1,0,(1-$BO76))*(1-$BR76)</f>
        <v>0.00517958999999993</v>
      </c>
      <c r="BW76" s="23" cm="1">
        <f t="array" ref="BW76">SUM(_xlfn.XLOOKUP(S76:AL76,增益!$A:$A,增益!$W:$W,0))+$I$5</f>
        <v>0.31</v>
      </c>
      <c r="BX76" s="23">
        <f>VLOOKUP($R76,武学奇术!$A:$ZZ,32,FALSE)</f>
        <v>0</v>
      </c>
      <c r="BY76" s="23" cm="1">
        <f t="array" ref="BY76">SUM(_xlfn.XLOOKUP($S76:$AL76,增益!$A:$A,增益!$X:$X,0))</f>
        <v>0</v>
      </c>
    </row>
    <row r="77" spans="1:77">
      <c r="A77" s="4" t="s">
        <v>165</v>
      </c>
      <c r="B77" s="4">
        <v>1.5</v>
      </c>
      <c r="E77" s="36"/>
      <c r="K77" s="35">
        <f>$L77*VLOOKUP($R77,武学奇术!$A:$ZZ,31,FALSE)</f>
        <v>123249.423979375</v>
      </c>
      <c r="L77" s="58">
        <f t="shared" si="33"/>
        <v>110044.128553014</v>
      </c>
      <c r="M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轻击",$B$21,0))*(1+IF(VLOOKUP($R77,武学奇术!$A:$ZZ,30,FALSE)="老鼠",$B$22,0))*(1+$BW77)*(1+$BX77)</f>
        <v>118601.676159433</v>
      </c>
      <c r="N77" s="35">
        <f>(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轻击",$B$21,0))*(1+IF(VLOOKUP($R77,武学奇术!$A:$ZZ,30,FALSE)="老鼠",$B$22,0))*(1+$BW77))*(1+$BX77)</f>
        <v>94747.9121168132</v>
      </c>
      <c r="O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轻击",$B$21,0))*(1+IF(VLOOKUP($R77,武学奇术!$A:$ZZ,30,FALSE)="老鼠",$B$22,0))*(1+$BW77)*(1+$BX77)</f>
        <v>62619.6811823825</v>
      </c>
      <c r="P77" s="35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轻击",$B$21,0))*(1+IF(VLOOKUP($R77,武学奇术!$A:$ZZ,30,FALSE)="老鼠",$B$22,0))*(1+$BW77)*(1+$BX77)</f>
        <v>55055.7237597183</v>
      </c>
      <c r="Q77" s="36">
        <v>1</v>
      </c>
      <c r="R77" s="37" t="s">
        <v>158</v>
      </c>
      <c r="S77" s="37" t="s">
        <v>91</v>
      </c>
      <c r="T77" s="37" t="s">
        <v>185</v>
      </c>
      <c r="U77" s="37" t="s">
        <v>112</v>
      </c>
      <c r="V77" s="37" t="s">
        <v>113</v>
      </c>
      <c r="W77" s="37" t="s">
        <v>82</v>
      </c>
      <c r="X77" s="37" t="s">
        <v>81</v>
      </c>
      <c r="Y77" s="37" t="s">
        <v>109</v>
      </c>
      <c r="Z77" s="37" t="s">
        <v>81</v>
      </c>
      <c r="AA77" s="37" t="s">
        <v>84</v>
      </c>
      <c r="AB77" s="37" t="s">
        <v>183</v>
      </c>
      <c r="AC77" s="37" t="s">
        <v>186</v>
      </c>
      <c r="AD77" s="37" t="s">
        <v>81</v>
      </c>
      <c r="AE77" s="37" t="s">
        <v>86</v>
      </c>
      <c r="AF77" s="37" t="s">
        <v>181</v>
      </c>
      <c r="AG77" s="37" t="s">
        <v>87</v>
      </c>
      <c r="AH77" s="37" t="s">
        <v>88</v>
      </c>
      <c r="AI77" s="37" t="s">
        <v>81</v>
      </c>
      <c r="AJ77" s="37" t="s">
        <v>81</v>
      </c>
      <c r="AK77" s="37" t="s">
        <v>81</v>
      </c>
      <c r="AL77" s="37" t="s">
        <v>81</v>
      </c>
      <c r="AM77" t="str">
        <f>VLOOKUP($R77,武学奇术!$A:$ZZ,25,FALSE)</f>
        <v>双刀</v>
      </c>
      <c r="AN77" s="23">
        <f>VLOOKUP($R77,武学奇术!$A:$ZZ,26,FALSE)</f>
        <v>2.5342</v>
      </c>
      <c r="AO77" s="24">
        <f>VLOOKUP($R77,武学奇术!$A:$ZZ,27,FALSE)*(1+IF(OR($AM77=$F$4,$AM77=$F$5),$B$23,0))</f>
        <v>1123.2</v>
      </c>
      <c r="AP77" s="23">
        <f>VLOOKUP($R77,武学奇术!$A:$ZZ,28,FALSE)</f>
        <v>3.8012</v>
      </c>
      <c r="AQ77" s="24">
        <f>VLOOKUP($R77,武学奇术!$A:$ZZ,29,FALSE)*(1+IF(OR($AM77=$F$4,$AM77=$F$5),$B$23,0))</f>
        <v>611.2</v>
      </c>
      <c r="AR77" s="23" cm="1">
        <f t="array" ref="AR77">$G$3+IFERROR(VLOOKUP($AM77,$F$4:$G$7,2,FALSE),0)+VLOOKUP($R77,武学奇术!$A:$ZZ,2,FALSE)+SUM(_xlfn.XLOOKUP($S77:$AL77,增益!$A:$A,增益!$B:$B,0))</f>
        <v>0.6743</v>
      </c>
      <c r="AS77" s="23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4150.4</v>
      </c>
      <c r="AU77" cm="1">
        <f t="array" ref="AU77">$E$10*(1+$AS77)+VLOOKUP($R77,武学奇术!$A:$ZZ,4,FALSE)+SUM(_xlfn.XLOOKUP($S77:$AL77,增益!$A:$A,增益!$D:$D,0))-$I$2</f>
        <v>4150.4</v>
      </c>
      <c r="AV77" s="29" cm="1">
        <f t="array" ref="AV77">IF($F$10-$I$3+VLOOKUP($R77,武学奇术!$A:$ZZ,6,FALSE)+SUM(_xlfn.XLOOKUP(S77:AL77,增益!$A:$A,增益!$F:$F,0))&gt;0,($F$10-$I$3+VLOOKUP($R77,武学奇术!$A:$ZZ,6,FALSE)+SUM(_xlfn.XLOOKUP(S77:AL77,增益!$A:$A,增益!$F:$F,0)))/200,($F$10-$I$3+VLOOKUP($R77,武学奇术!$A:$ZZ,6,FALSE)+SUM(_xlfn.XLOOKUP(S77:AL77,增益!$A:$A,增益!$F:$F,0)))/100)</f>
        <v>0.4539</v>
      </c>
      <c r="AW77" s="29" cm="1">
        <f t="array" ref="AW77">$G$10+VLOOKUP($R77,武学奇术!$A:$ZZ,7,FALSE)+SUM(_xlfn.XLOOKUP(S77:AL77,增益!$A:$A,增益!$G:$G,0))</f>
        <v>0.08</v>
      </c>
      <c r="AX77" s="23" cm="1">
        <f t="array" ref="AX77">VLOOKUP($R77,武学奇术!$A:$ZZ,8,FALSE)+SUM(_xlfn.XLOOKUP(S77:AL77,增益!$A:$A,增益!$H:$H,0))</f>
        <v>0</v>
      </c>
      <c r="AY77">
        <f t="shared" si="23"/>
        <v>0</v>
      </c>
      <c r="AZ77">
        <f t="shared" si="24"/>
        <v>0</v>
      </c>
      <c r="BA77" s="29" cm="1">
        <f t="array" ref="BA77">IF($F$11-$I$4+VLOOKUP($R77,武学奇术!$A:$ZZ,9,FALSE)+SUM(_xlfn.XLOOKUP(S77:AL77,增益!$A:$A,增益!$I:$I,0))&gt;0,($F$11-$I$4+VLOOKUP($R77,武学奇术!$A:$ZZ,9,FALSE)+SUM(_xlfn.XLOOKUP(S77:AL77,增益!$A:$A,增益!$I:$I,0)))/200,($F$11-$I$4+VLOOKUP($R77,武学奇术!$A:$ZZ,9,FALSE)+SUM(_xlfn.XLOOKUP(S77:AL77,增益!$A:$A,增益!$I:$I,0)))/100)</f>
        <v>-0.14</v>
      </c>
      <c r="BB77" s="29" cm="1">
        <f t="array" ref="BB77">$G$11+VLOOKUP($R77,武学奇术!$A:$ZZ,10,FALSE)+SUM(_xlfn.XLOOKUP(S77:AL77,增益!$A:$A,增益!$J:$J,0))</f>
        <v>0.12</v>
      </c>
      <c r="BC77">
        <f t="shared" si="25"/>
        <v>0</v>
      </c>
      <c r="BD77">
        <f t="shared" si="26"/>
        <v>0</v>
      </c>
      <c r="BE77" s="29" cm="1">
        <f t="array" ref="BE77">IF($F$12-$I$4+VLOOKUP($R77,武学奇术!$A:$ZZ,11,FALSE)+SUM(_xlfn.XLOOKUP(S77:AL77,增益!$A:$A,增益!$K:$K,0))&gt;0,($F$12-$I$4+VLOOKUP($R77,武学奇术!$A:$ZZ,11,FALSE)+SUM(_xlfn.XLOOKUP(S77:AL77,增益!$A:$A,增益!$K:$K,0)))/200,($F$12-$I$4+VLOOKUP($R77,武学奇术!$A:$ZZ,11,FALSE)+SUM(_xlfn.XLOOKUP(S77:AL77,增益!$A:$A,增益!$K:$K,0)))/100)</f>
        <v>-0.14</v>
      </c>
      <c r="BF77" s="29" cm="1">
        <f t="array" ref="BF77">$G$12+VLOOKUP($R77,武学奇术!$A:$ZZ,12,FALSE)+SUM(_xlfn.XLOOKUP(S77:AL77,增益!$A:$A,增益!$L:$L,0))</f>
        <v>0.02</v>
      </c>
      <c r="BG77">
        <f t="shared" si="27"/>
        <v>0</v>
      </c>
      <c r="BH77">
        <f t="shared" si="28"/>
        <v>0</v>
      </c>
      <c r="BI77" s="29" cm="1">
        <f t="array" ref="BI77">IF($F$13-$I$4+VLOOKUP($R77,武学奇术!$A:$ZZ,13,FALSE)+SUM(_xlfn.XLOOKUP(S77:AL77,增益!$A:$A,增益!$M:$M,0))&gt;0,($F$13-$I$4+VLOOKUP($R77,武学奇术!$A:$ZZ,13,FALSE)+SUM(_xlfn.XLOOKUP(S77:AL77,增益!$A:$A,增益!$K:$K,0)))/200,($F$13-$I$4+VLOOKUP($R77,武学奇术!$A:$ZZ,13,FALSE)+SUM(_xlfn.XLOOKUP(S77:AL77,增益!$A:$A,增益!$M:$M,0)))/100)</f>
        <v>-0.14</v>
      </c>
      <c r="BJ77" s="29" cm="1">
        <f t="array" ref="BJ77">$G$13+VLOOKUP($R77,武学奇术!$A:$ZZ,14,FALSE)+SUM(_xlfn.XLOOKUP(S77:AL77,增益!$A:$A,增益!$N:$N,0))</f>
        <v>0.02</v>
      </c>
      <c r="BK77">
        <f t="shared" si="29"/>
        <v>618.2</v>
      </c>
      <c r="BL77">
        <f t="shared" si="30"/>
        <v>1805</v>
      </c>
      <c r="BM77" s="29" cm="1">
        <f t="array" ref="BM77">IF($F$14-$I$4+VLOOKUP($R77,武学奇术!$A:$ZZ,15,FALSE)+SUM(_xlfn.XLOOKUP(S77:AL77,增益!$A:$A,增益!$O:$O,0))&gt;0,($F$14-$I$4+VLOOKUP($R77,武学奇术!$A:$ZZ,15,FALSE)+SUM(_xlfn.XLOOKUP(S77:AL77,增益!$A:$A,增益!$O:$O,0)))/200,($F$14-$I$4+VLOOKUP($R77,武学奇术!$A:$ZZ,15,FALSE)+SUM(_xlfn.XLOOKUP(S77:AL77,增益!$A:$A,增益!$O:$O,0)))/100)</f>
        <v>0.13</v>
      </c>
      <c r="BN77" s="29" cm="1">
        <f t="array" ref="BN77">$G$14+VLOOKUP($R77,武学奇术!$A:$ZZ,16,FALSE)+SUM(_xlfn.XLOOKUP(S77:AL77,增益!$A:$A,增益!$P:$P,0))</f>
        <v>0.23</v>
      </c>
      <c r="BO77" s="23">
        <f>MIN(IF(VLOOKUP($R77,武学奇术!$A:$ZZ,23,FALSE)=1,100%,$B$8),100%)</f>
        <v>0.9943</v>
      </c>
      <c r="BP77" s="23" cm="1">
        <f t="array" ref="BP77">IF(VLOOKUP($R77,武学奇术!$A:$ZZ,23,FALSE)=1,100%,MIN(80%,$B$9+VLOOKUP($R77,武学奇术!$A:$ZZ,17,FALSE)+SUM(_xlfn.XLOOKUP(S77:AL77,增益!$A:$A,增益!$Q:$Q,0)))+$B$11+SUM(_xlfn.XLOOKUP(S77:AL77,增益!$A:$A,增益!$U:$U,0)))*IF(VLOOKUP($R77,武学奇术!$A:$ZZ,24,FALSE)=1,0,1)</f>
        <v>0.8</v>
      </c>
      <c r="BQ77" s="23" cm="1">
        <f t="array" ref="BQ77">1+$B$13+VLOOKUP($R77,武学奇术!$A:$ZZ,18,FALSE)+SUM(_xlfn.XLOOKUP(S77:AL77,增益!$A:$A,增益!$R:$R,0))</f>
        <v>1.894</v>
      </c>
      <c r="BR77" s="23" cm="1">
        <f t="array" ref="BR77">IF(VLOOKUP($R77,武学奇术!$A:$ZZ,24,FALSE)=1,100%,MIN(40%,$B$10+VLOOKUP($R77,武学奇术!$A:$ZZ,19,FALSE)+SUM(_xlfn.XLOOKUP(S77:AL77,增益!$A:$A,增益!$S:$S,0)))+$B$12+SUM(_xlfn.XLOOKUP(S77:AL77,增益!$A:$A,增益!$V:$V,0)))*IF(VLOOKUP($R77,武学奇术!$A:$ZZ,23,FALSE)=1,0,1)</f>
        <v>0.0913</v>
      </c>
      <c r="BS77" s="23" cm="1">
        <f t="array" ref="BS77">1+$B$14+VLOOKUP($R77,武学奇术!$A:$ZZ,20,FALSE)+SUM(_xlfn.XLOOKUP(S77:AL77,增益!$A:$A,增益!$T:$T,0))</f>
        <v>1.35</v>
      </c>
      <c r="BT77" s="23">
        <f t="shared" si="31"/>
        <v>0.79544</v>
      </c>
      <c r="BU77" s="23">
        <f t="shared" si="32"/>
        <v>0.10808041</v>
      </c>
      <c r="BV77" s="23">
        <f>IF(VLOOKUP($R77,武学奇术!$A:$ZZ,22,FALSE)=1,0,(1-$BO77))*(1-$BR77)</f>
        <v>0.00517958999999993</v>
      </c>
      <c r="BW77" s="23" cm="1">
        <f t="array" ref="BW77">SUM(_xlfn.XLOOKUP(S77:AL77,增益!$A:$A,增益!$W:$W,0))+$I$5</f>
        <v>0.31</v>
      </c>
      <c r="BX77" s="23">
        <f>VLOOKUP($R77,武学奇术!$A:$ZZ,32,FALSE)</f>
        <v>0.1</v>
      </c>
      <c r="BY77" s="23" cm="1">
        <f t="array" ref="BY77">SUM(_xlfn.XLOOKUP($S77:$AL77,增益!$A:$A,增益!$X:$X,0))</f>
        <v>0</v>
      </c>
    </row>
    <row r="78" spans="1:77">
      <c r="A78" s="4" t="s">
        <v>164</v>
      </c>
      <c r="B78" s="4">
        <v>1.1</v>
      </c>
      <c r="E78" s="36"/>
      <c r="K78" s="35">
        <f>$L78*VLOOKUP($R78,武学奇术!$A:$ZZ,31,FALSE)</f>
        <v>118816.345531401</v>
      </c>
      <c r="L78" s="69">
        <f t="shared" si="33"/>
        <v>116486.613266079</v>
      </c>
      <c r="M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轻击",$B$21,0))*(1+IF(VLOOKUP($R78,武学奇术!$A:$ZZ,30,FALSE)="老鼠",$B$22,0))*(1+$BW78)*(1+$BX78)</f>
        <v>125426.778571813</v>
      </c>
      <c r="N78" s="35">
        <f>(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轻击",$B$21,0))*(1+IF(VLOOKUP($R78,武学奇术!$A:$ZZ,30,FALSE)="老鼠",$B$22,0))*(1+$BW78))*(1+$BX78)</f>
        <v>101456.140830193</v>
      </c>
      <c r="O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轻击",$B$21,0))*(1+IF(VLOOKUP($R78,武学奇术!$A:$ZZ,30,FALSE)="老鼠",$B$22,0))*(1+$BW78)*(1+$BX78)</f>
        <v>66223.2199428789</v>
      </c>
      <c r="P78" s="35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轻击",$B$21,0))*(1+IF(VLOOKUP($R78,武学奇术!$A:$ZZ,30,FALSE)="老鼠",$B$22,0))*(1+$BW78)*(1+$BX78)</f>
        <v>57293.742974504</v>
      </c>
      <c r="Q78" s="70">
        <v>4</v>
      </c>
      <c r="R78" s="37" t="s">
        <v>106</v>
      </c>
      <c r="S78" s="37" t="s">
        <v>91</v>
      </c>
      <c r="T78" s="37" t="s">
        <v>185</v>
      </c>
      <c r="U78" s="37" t="s">
        <v>112</v>
      </c>
      <c r="V78" s="37" t="s">
        <v>113</v>
      </c>
      <c r="W78" s="37" t="s">
        <v>82</v>
      </c>
      <c r="X78" s="37" t="s">
        <v>81</v>
      </c>
      <c r="Y78" s="37" t="s">
        <v>109</v>
      </c>
      <c r="Z78" s="37" t="s">
        <v>81</v>
      </c>
      <c r="AA78" s="37" t="s">
        <v>84</v>
      </c>
      <c r="AB78" s="37" t="s">
        <v>183</v>
      </c>
      <c r="AC78" s="37" t="s">
        <v>186</v>
      </c>
      <c r="AD78" s="37" t="s">
        <v>81</v>
      </c>
      <c r="AE78" s="37" t="s">
        <v>86</v>
      </c>
      <c r="AF78" s="37" t="s">
        <v>81</v>
      </c>
      <c r="AG78" s="37" t="s">
        <v>87</v>
      </c>
      <c r="AH78" s="37" t="s">
        <v>88</v>
      </c>
      <c r="AI78" s="37" t="s">
        <v>81</v>
      </c>
      <c r="AJ78" s="37" t="s">
        <v>81</v>
      </c>
      <c r="AK78" s="37" t="s">
        <v>81</v>
      </c>
      <c r="AL78" s="37" t="s">
        <v>81</v>
      </c>
      <c r="AM78" t="str">
        <f>VLOOKUP($R78,武学奇术!$A:$ZZ,25,FALSE)</f>
        <v>绳镖</v>
      </c>
      <c r="AN78" s="23">
        <f>VLOOKUP($R78,武学奇术!$A:$ZZ,26,FALSE)</f>
        <v>0.3675</v>
      </c>
      <c r="AO78" s="24">
        <f>VLOOKUP($R78,武学奇术!$A:$ZZ,27,FALSE)*(1+IF(OR($AM78=$F$4,$AM78=$F$5),$B$23,0))</f>
        <v>0</v>
      </c>
      <c r="AP78" s="23">
        <f>VLOOKUP($R78,武学奇术!$A:$ZZ,28,FALSE)</f>
        <v>0.55125</v>
      </c>
      <c r="AQ78" s="24">
        <f>VLOOKUP($R78,武学奇术!$A:$ZZ,29,FALSE)*(1+IF(OR($AM78=$F$4,$AM78=$F$5),$B$23,0))</f>
        <v>0</v>
      </c>
      <c r="AR78" s="23" cm="1">
        <f t="array" ref="AR78">$G$3+IFERROR(VLOOKUP($AM78,$F$4:$G$7,2,FALSE),0)+VLOOKUP($R78,武学奇术!$A:$ZZ,2,FALSE)+SUM(_xlfn.XLOOKUP($S78:$AL78,增益!$A:$A,增益!$B:$B,0))</f>
        <v>1.4243</v>
      </c>
      <c r="AS78" s="23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4150.4</v>
      </c>
      <c r="AU78" cm="1">
        <f t="array" ref="AU78">$E$10*(1+$AS78)+VLOOKUP($R78,武学奇术!$A:$ZZ,4,FALSE)+SUM(_xlfn.XLOOKUP($S78:$AL78,增益!$A:$A,增益!$D:$D,0))-$I$2</f>
        <v>4150.4</v>
      </c>
      <c r="AV78" s="29" cm="1">
        <f t="array" ref="AV78">IF($F$10-$I$3+VLOOKUP($R78,武学奇术!$A:$ZZ,6,FALSE)+SUM(_xlfn.XLOOKUP(S78:AL78,增益!$A:$A,增益!$F:$F,0))&gt;0,($F$10-$I$3+VLOOKUP($R78,武学奇术!$A:$ZZ,6,FALSE)+SUM(_xlfn.XLOOKUP(S78:AL78,增益!$A:$A,增益!$F:$F,0)))/200,($F$10-$I$3+VLOOKUP($R78,武学奇术!$A:$ZZ,6,FALSE)+SUM(_xlfn.XLOOKUP(S78:AL78,增益!$A:$A,增益!$F:$F,0)))/100)</f>
        <v>0.4539</v>
      </c>
      <c r="AW78" s="29" cm="1">
        <f t="array" ref="AW78">$G$10+VLOOKUP($R78,武学奇术!$A:$ZZ,7,FALSE)+SUM(_xlfn.XLOOKUP(S78:AL78,增益!$A:$A,增益!$G:$G,0))</f>
        <v>0.29</v>
      </c>
      <c r="AX78" s="23" cm="1">
        <f t="array" ref="AX78">VLOOKUP($R78,武学奇术!$A:$ZZ,8,FALSE)+SUM(_xlfn.XLOOKUP(S78:AL78,增益!$A:$A,增益!$H:$H,0))</f>
        <v>0</v>
      </c>
      <c r="AY78">
        <f t="shared" si="23"/>
        <v>0</v>
      </c>
      <c r="AZ78">
        <f t="shared" si="24"/>
        <v>0</v>
      </c>
      <c r="BA78" s="29" cm="1">
        <f t="array" ref="BA78">IF($F$11-$I$4+VLOOKUP($R78,武学奇术!$A:$ZZ,9,FALSE)+SUM(_xlfn.XLOOKUP(S78:AL78,增益!$A:$A,增益!$I:$I,0))&gt;0,($F$11-$I$4+VLOOKUP($R78,武学奇术!$A:$ZZ,9,FALSE)+SUM(_xlfn.XLOOKUP(S78:AL78,增益!$A:$A,增益!$I:$I,0)))/200,($F$11-$I$4+VLOOKUP($R78,武学奇术!$A:$ZZ,9,FALSE)+SUM(_xlfn.XLOOKUP(S78:AL78,增益!$A:$A,增益!$I:$I,0)))/100)</f>
        <v>-0.14</v>
      </c>
      <c r="BB78" s="29" cm="1">
        <f t="array" ref="BB78">$G$11+VLOOKUP($R78,武学奇术!$A:$ZZ,10,FALSE)+SUM(_xlfn.XLOOKUP(S78:AL78,增益!$A:$A,增益!$J:$J,0))</f>
        <v>0.12</v>
      </c>
      <c r="BC78">
        <f t="shared" si="25"/>
        <v>0</v>
      </c>
      <c r="BD78">
        <f t="shared" si="26"/>
        <v>0</v>
      </c>
      <c r="BE78" s="29" cm="1">
        <f t="array" ref="BE78">IF($F$12-$I$4+VLOOKUP($R78,武学奇术!$A:$ZZ,11,FALSE)+SUM(_xlfn.XLOOKUP(S78:AL78,增益!$A:$A,增益!$K:$K,0))&gt;0,($F$12-$I$4+VLOOKUP($R78,武学奇术!$A:$ZZ,11,FALSE)+SUM(_xlfn.XLOOKUP(S78:AL78,增益!$A:$A,增益!$K:$K,0)))/200,($F$12-$I$4+VLOOKUP($R78,武学奇术!$A:$ZZ,11,FALSE)+SUM(_xlfn.XLOOKUP(S78:AL78,增益!$A:$A,增益!$K:$K,0)))/100)</f>
        <v>-0.14</v>
      </c>
      <c r="BF78" s="29" cm="1">
        <f t="array" ref="BF78">$G$12+VLOOKUP($R78,武学奇术!$A:$ZZ,12,FALSE)+SUM(_xlfn.XLOOKUP(S78:AL78,增益!$A:$A,增益!$L:$L,0))</f>
        <v>0.02</v>
      </c>
      <c r="BG78">
        <f t="shared" si="27"/>
        <v>0</v>
      </c>
      <c r="BH78">
        <f t="shared" si="28"/>
        <v>0</v>
      </c>
      <c r="BI78" s="29" cm="1">
        <f t="array" ref="BI78">IF($F$13-$I$4+VLOOKUP($R78,武学奇术!$A:$ZZ,13,FALSE)+SUM(_xlfn.XLOOKUP(S78:AL78,增益!$A:$A,增益!$M:$M,0))&gt;0,($F$13-$I$4+VLOOKUP($R78,武学奇术!$A:$ZZ,13,FALSE)+SUM(_xlfn.XLOOKUP(S78:AL78,增益!$A:$A,增益!$K:$K,0)))/200,($F$13-$I$4+VLOOKUP($R78,武学奇术!$A:$ZZ,13,FALSE)+SUM(_xlfn.XLOOKUP(S78:AL78,增益!$A:$A,增益!$M:$M,0)))/100)</f>
        <v>-0.14</v>
      </c>
      <c r="BJ78" s="29" cm="1">
        <f t="array" ref="BJ78">$G$13+VLOOKUP($R78,武学奇术!$A:$ZZ,14,FALSE)+SUM(_xlfn.XLOOKUP(S78:AL78,增益!$A:$A,增益!$N:$N,0))</f>
        <v>0.02</v>
      </c>
      <c r="BK78">
        <f t="shared" si="29"/>
        <v>618.2</v>
      </c>
      <c r="BL78">
        <f t="shared" si="30"/>
        <v>1805</v>
      </c>
      <c r="BM78" s="29" cm="1">
        <f t="array" ref="BM78">IF($F$14-$I$4+VLOOKUP($R78,武学奇术!$A:$ZZ,15,FALSE)+SUM(_xlfn.XLOOKUP(S78:AL78,增益!$A:$A,增益!$O:$O,0))&gt;0,($F$14-$I$4+VLOOKUP($R78,武学奇术!$A:$ZZ,15,FALSE)+SUM(_xlfn.XLOOKUP(S78:AL78,增益!$A:$A,增益!$O:$O,0)))/200,($F$14-$I$4+VLOOKUP($R78,武学奇术!$A:$ZZ,15,FALSE)+SUM(_xlfn.XLOOKUP(S78:AL78,增益!$A:$A,增益!$O:$O,0)))/100)</f>
        <v>0.13</v>
      </c>
      <c r="BN78" s="29" cm="1">
        <f t="array" ref="BN78">$G$14+VLOOKUP($R78,武学奇术!$A:$ZZ,16,FALSE)+SUM(_xlfn.XLOOKUP(S78:AL78,增益!$A:$A,增益!$P:$P,0))</f>
        <v>0.44</v>
      </c>
      <c r="BO78" s="23">
        <f>MIN(IF(VLOOKUP($R78,武学奇术!$A:$ZZ,23,FALSE)=1,100%,$B$8),100%)</f>
        <v>0.9943</v>
      </c>
      <c r="BP78" s="23" cm="1">
        <f t="array" ref="BP78">IF(VLOOKUP($R78,武学奇术!$A:$ZZ,23,FALSE)=1,100%,MIN(80%,$B$9+VLOOKUP($R78,武学奇术!$A:$ZZ,17,FALSE)+SUM(_xlfn.XLOOKUP(S78:AL78,增益!$A:$A,增益!$Q:$Q,0)))+$B$11+SUM(_xlfn.XLOOKUP(S78:AL78,增益!$A:$A,增益!$U:$U,0)))*IF(VLOOKUP($R78,武学奇术!$A:$ZZ,24,FALSE)=1,0,1)</f>
        <v>0.8</v>
      </c>
      <c r="BQ78" s="23" cm="1">
        <f t="array" ref="BQ78">1+$B$13+VLOOKUP($R78,武学奇术!$A:$ZZ,18,FALSE)+SUM(_xlfn.XLOOKUP(S78:AL78,增益!$A:$A,增益!$R:$R,0))</f>
        <v>1.894</v>
      </c>
      <c r="BR78" s="23" cm="1">
        <f t="array" ref="BR78">IF(VLOOKUP($R78,武学奇术!$A:$ZZ,24,FALSE)=1,100%,MIN(40%,$B$10+VLOOKUP($R78,武学奇术!$A:$ZZ,19,FALSE)+SUM(_xlfn.XLOOKUP(S78:AL78,增益!$A:$A,增益!$S:$S,0)))+$B$12+SUM(_xlfn.XLOOKUP(S78:AL78,增益!$A:$A,增益!$V:$V,0)))*IF(VLOOKUP($R78,武学奇术!$A:$ZZ,23,FALSE)=1,0,1)</f>
        <v>0.0913</v>
      </c>
      <c r="BS78" s="23" cm="1">
        <f t="array" ref="BS78">1+$B$14+VLOOKUP($R78,武学奇术!$A:$ZZ,20,FALSE)+SUM(_xlfn.XLOOKUP(S78:AL78,增益!$A:$A,增益!$T:$T,0))</f>
        <v>1.35</v>
      </c>
      <c r="BT78" s="23">
        <f t="shared" si="31"/>
        <v>0.79544</v>
      </c>
      <c r="BU78" s="23">
        <f t="shared" si="32"/>
        <v>0.10808041</v>
      </c>
      <c r="BV78" s="23">
        <f>IF(VLOOKUP($R78,武学奇术!$A:$ZZ,22,FALSE)=1,0,(1-$BO78))*(1-$BR78)</f>
        <v>0.00517958999999993</v>
      </c>
      <c r="BW78" s="23" cm="1">
        <f t="array" ref="BW78">SUM(_xlfn.XLOOKUP(S78:AL78,增益!$A:$A,增益!$W:$W,0))+$I$5</f>
        <v>0.31</v>
      </c>
      <c r="BX78" s="23">
        <f>VLOOKUP($R78,武学奇术!$A:$ZZ,32,FALSE)</f>
        <v>0</v>
      </c>
      <c r="BY78" s="23" cm="1">
        <f t="array" ref="BY78">SUM(_xlfn.XLOOKUP($S78:$AL78,增益!$A:$A,增益!$X:$X,0))</f>
        <v>0</v>
      </c>
    </row>
    <row r="79" spans="1:77">
      <c r="A79" s="4" t="s">
        <v>161</v>
      </c>
      <c r="B79" s="4">
        <v>1</v>
      </c>
      <c r="E79" s="36"/>
      <c r="K79" s="35">
        <f>$L79*VLOOKUP($R79,武学奇术!$A:$ZZ,31,FALSE)</f>
        <v>2070.48323575025</v>
      </c>
      <c r="L79" s="58">
        <f t="shared" si="33"/>
        <v>2029.88552524534</v>
      </c>
      <c r="M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轻击",$B$21,0))*(1+IF(VLOOKUP($R79,武学奇术!$A:$ZZ,30,FALSE)="老鼠",$B$22,0))*(1+$BW79)*(1+$BX79)</f>
        <v>2187.97133512376</v>
      </c>
      <c r="N79" s="35">
        <f>(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轻击",$B$21,0))*(1+IF(VLOOKUP($R79,武学奇术!$A:$ZZ,30,FALSE)="老鼠",$B$22,0))*(1+$BW79))*(1+$BX79)</f>
        <v>1745.45027496609</v>
      </c>
      <c r="O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轻击",$B$21,0))*(1+IF(VLOOKUP($R79,武学奇术!$A:$ZZ,30,FALSE)="老鼠",$B$22,0))*(1+$BW79)*(1+$BX79)</f>
        <v>1155.2118981646</v>
      </c>
      <c r="P79" s="35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轻击",$B$21,0))*(1+IF(VLOOKUP($R79,武学奇术!$A:$ZZ,30,FALSE)="老鼠",$B$22,0))*(1+$BW79)*(1+$BX79)</f>
        <v>1017.49766672469</v>
      </c>
      <c r="Q79" s="36">
        <v>1</v>
      </c>
      <c r="R79" s="37" t="s">
        <v>102</v>
      </c>
      <c r="S79" s="37" t="s">
        <v>91</v>
      </c>
      <c r="T79" s="37" t="s">
        <v>185</v>
      </c>
      <c r="U79" s="37" t="s">
        <v>81</v>
      </c>
      <c r="V79" s="37" t="s">
        <v>81</v>
      </c>
      <c r="W79" s="37" t="s">
        <v>82</v>
      </c>
      <c r="X79" s="37" t="s">
        <v>81</v>
      </c>
      <c r="Y79" s="37" t="s">
        <v>81</v>
      </c>
      <c r="Z79" s="37" t="s">
        <v>81</v>
      </c>
      <c r="AA79" s="37" t="s">
        <v>84</v>
      </c>
      <c r="AB79" s="37" t="s">
        <v>183</v>
      </c>
      <c r="AC79" s="37" t="s">
        <v>186</v>
      </c>
      <c r="AD79" s="37" t="s">
        <v>81</v>
      </c>
      <c r="AE79" s="37" t="s">
        <v>86</v>
      </c>
      <c r="AF79" s="37" t="s">
        <v>81</v>
      </c>
      <c r="AG79" s="37" t="s">
        <v>87</v>
      </c>
      <c r="AH79" s="37" t="s">
        <v>88</v>
      </c>
      <c r="AI79" s="37" t="s">
        <v>81</v>
      </c>
      <c r="AJ79" s="37" t="s">
        <v>81</v>
      </c>
      <c r="AK79" s="37" t="s">
        <v>81</v>
      </c>
      <c r="AL79" s="37" t="s">
        <v>81</v>
      </c>
      <c r="AM79" t="str">
        <f>VLOOKUP($R79,武学奇术!$A:$ZZ,25,FALSE)</f>
        <v>绳镖</v>
      </c>
      <c r="AN79" s="23">
        <f>VLOOKUP($R79,武学奇术!$A:$ZZ,26,FALSE)</f>
        <v>0.0621</v>
      </c>
      <c r="AO79" s="24">
        <f>VLOOKUP($R79,武学奇术!$A:$ZZ,27,FALSE)*(1+IF(OR($AM79=$F$4,$AM79=$F$5),$B$23,0))</f>
        <v>27.2</v>
      </c>
      <c r="AP79" s="23">
        <f>VLOOKUP($R79,武学奇术!$A:$ZZ,28,FALSE)</f>
        <v>0.0932</v>
      </c>
      <c r="AQ79" s="24">
        <f>VLOOKUP($R79,武学奇术!$A:$ZZ,29,FALSE)*(1+IF(OR($AM79=$F$4,$AM79=$F$5),$B$23,0))</f>
        <v>14.4</v>
      </c>
      <c r="AR79" s="23" cm="1">
        <f t="array" ref="AR79">$G$3+IFERROR(VLOOKUP($AM79,$F$4:$G$7,2,FALSE),0)+VLOOKUP($R79,武学奇术!$A:$ZZ,2,FALSE)+SUM(_xlfn.XLOOKUP($S79:$AL79,增益!$A:$A,增益!$B:$B,0))</f>
        <v>0.5043</v>
      </c>
      <c r="AS79" s="23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4081.7</v>
      </c>
      <c r="AU79" cm="1">
        <f t="array" ref="AU79">$E$10*(1+$AS79)+VLOOKUP($R79,武学奇术!$A:$ZZ,4,FALSE)+SUM(_xlfn.XLOOKUP($S79:$AL79,增益!$A:$A,增益!$D:$D,0))-$I$2</f>
        <v>4081.7</v>
      </c>
      <c r="AV79" s="29" cm="1">
        <f t="array" ref="AV79">IF($F$10-$I$3+VLOOKUP($R79,武学奇术!$A:$ZZ,6,FALSE)+SUM(_xlfn.XLOOKUP(S79:AL79,增益!$A:$A,增益!$F:$F,0))&gt;0,($F$10-$I$3+VLOOKUP($R79,武学奇术!$A:$ZZ,6,FALSE)+SUM(_xlfn.XLOOKUP(S79:AL79,增益!$A:$A,增益!$F:$F,0)))/200,($F$10-$I$3+VLOOKUP($R79,武学奇术!$A:$ZZ,6,FALSE)+SUM(_xlfn.XLOOKUP(S79:AL79,增益!$A:$A,增益!$F:$F,0)))/100)</f>
        <v>0.4539</v>
      </c>
      <c r="AW79" s="29" cm="1">
        <f t="array" ref="AW79">$G$10+VLOOKUP($R79,武学奇术!$A:$ZZ,7,FALSE)+SUM(_xlfn.XLOOKUP(S79:AL79,增益!$A:$A,增益!$G:$G,0))</f>
        <v>0.02</v>
      </c>
      <c r="AX79" s="23" cm="1">
        <f t="array" ref="AX79">VLOOKUP($R79,武学奇术!$A:$ZZ,8,FALSE)+SUM(_xlfn.XLOOKUP(S79:AL79,增益!$A:$A,增益!$H:$H,0))</f>
        <v>0</v>
      </c>
      <c r="AY79">
        <f t="shared" si="23"/>
        <v>0</v>
      </c>
      <c r="AZ79">
        <f t="shared" si="24"/>
        <v>0</v>
      </c>
      <c r="BA79" s="29" cm="1">
        <f t="array" ref="BA79">IF($F$11-$I$4+VLOOKUP($R79,武学奇术!$A:$ZZ,9,FALSE)+SUM(_xlfn.XLOOKUP(S79:AL79,增益!$A:$A,增益!$I:$I,0))&gt;0,($F$11-$I$4+VLOOKUP($R79,武学奇术!$A:$ZZ,9,FALSE)+SUM(_xlfn.XLOOKUP(S79:AL79,增益!$A:$A,增益!$I:$I,0)))/200,($F$11-$I$4+VLOOKUP($R79,武学奇术!$A:$ZZ,9,FALSE)+SUM(_xlfn.XLOOKUP(S79:AL79,增益!$A:$A,增益!$I:$I,0)))/100)</f>
        <v>-0.14</v>
      </c>
      <c r="BB79" s="29" cm="1">
        <f t="array" ref="BB79">$G$11+VLOOKUP($R79,武学奇术!$A:$ZZ,10,FALSE)+SUM(_xlfn.XLOOKUP(S79:AL79,增益!$A:$A,增益!$J:$J,0))</f>
        <v>0.12</v>
      </c>
      <c r="BC79">
        <f t="shared" si="25"/>
        <v>0</v>
      </c>
      <c r="BD79">
        <f t="shared" si="26"/>
        <v>0</v>
      </c>
      <c r="BE79" s="29" cm="1">
        <f t="array" ref="BE79">IF($F$12-$I$4+VLOOKUP($R79,武学奇术!$A:$ZZ,11,FALSE)+SUM(_xlfn.XLOOKUP(S79:AL79,增益!$A:$A,增益!$K:$K,0))&gt;0,($F$12-$I$4+VLOOKUP($R79,武学奇术!$A:$ZZ,11,FALSE)+SUM(_xlfn.XLOOKUP(S79:AL79,增益!$A:$A,增益!$K:$K,0)))/200,($F$12-$I$4+VLOOKUP($R79,武学奇术!$A:$ZZ,11,FALSE)+SUM(_xlfn.XLOOKUP(S79:AL79,增益!$A:$A,增益!$K:$K,0)))/100)</f>
        <v>-0.14</v>
      </c>
      <c r="BF79" s="29" cm="1">
        <f t="array" ref="BF79">$G$12+VLOOKUP($R79,武学奇术!$A:$ZZ,12,FALSE)+SUM(_xlfn.XLOOKUP(S79:AL79,增益!$A:$A,增益!$L:$L,0))</f>
        <v>0.02</v>
      </c>
      <c r="BG79">
        <f t="shared" si="27"/>
        <v>0</v>
      </c>
      <c r="BH79">
        <f t="shared" si="28"/>
        <v>0</v>
      </c>
      <c r="BI79" s="29" cm="1">
        <f t="array" ref="BI79">IF($F$13-$I$4+VLOOKUP($R79,武学奇术!$A:$ZZ,13,FALSE)+SUM(_xlfn.XLOOKUP(S79:AL79,增益!$A:$A,增益!$M:$M,0))&gt;0,($F$13-$I$4+VLOOKUP($R79,武学奇术!$A:$ZZ,13,FALSE)+SUM(_xlfn.XLOOKUP(S79:AL79,增益!$A:$A,增益!$K:$K,0)))/200,($F$13-$I$4+VLOOKUP($R79,武学奇术!$A:$ZZ,13,FALSE)+SUM(_xlfn.XLOOKUP(S79:AL79,增益!$A:$A,增益!$M:$M,0)))/100)</f>
        <v>-0.14</v>
      </c>
      <c r="BJ79" s="29" cm="1">
        <f t="array" ref="BJ79">$G$13+VLOOKUP($R79,武学奇术!$A:$ZZ,14,FALSE)+SUM(_xlfn.XLOOKUP(S79:AL79,增益!$A:$A,增益!$N:$N,0))</f>
        <v>0.02</v>
      </c>
      <c r="BK79">
        <f t="shared" si="29"/>
        <v>618.2</v>
      </c>
      <c r="BL79">
        <f t="shared" si="30"/>
        <v>1805</v>
      </c>
      <c r="BM79" s="29" cm="1">
        <f t="array" ref="BM79">IF($F$14-$I$4+VLOOKUP($R79,武学奇术!$A:$ZZ,15,FALSE)+SUM(_xlfn.XLOOKUP(S79:AL79,增益!$A:$A,增益!$O:$O,0))&gt;0,($F$14-$I$4+VLOOKUP($R79,武学奇术!$A:$ZZ,15,FALSE)+SUM(_xlfn.XLOOKUP(S79:AL79,增益!$A:$A,增益!$O:$O,0)))/200,($F$14-$I$4+VLOOKUP($R79,武学奇术!$A:$ZZ,15,FALSE)+SUM(_xlfn.XLOOKUP(S79:AL79,增益!$A:$A,增益!$O:$O,0)))/100)</f>
        <v>0.08</v>
      </c>
      <c r="BN79" s="29" cm="1">
        <f t="array" ref="BN79">$G$14+VLOOKUP($R79,武学奇术!$A:$ZZ,16,FALSE)+SUM(_xlfn.XLOOKUP(S79:AL79,增益!$A:$A,增益!$P:$P,0))</f>
        <v>0.17</v>
      </c>
      <c r="BO79" s="23">
        <f>MIN(IF(VLOOKUP($R79,武学奇术!$A:$ZZ,23,FALSE)=1,100%,$B$8),100%)</f>
        <v>0.9943</v>
      </c>
      <c r="BP79" s="23" cm="1">
        <f t="array" ref="BP79">IF(VLOOKUP($R79,武学奇术!$A:$ZZ,23,FALSE)=1,100%,MIN(80%,$B$9+VLOOKUP($R79,武学奇术!$A:$ZZ,17,FALSE)+SUM(_xlfn.XLOOKUP(S79:AL79,增益!$A:$A,增益!$Q:$Q,0)))+$B$11+SUM(_xlfn.XLOOKUP(S79:AL79,增益!$A:$A,增益!$U:$U,0)))*IF(VLOOKUP($R79,武学奇术!$A:$ZZ,24,FALSE)=1,0,1)</f>
        <v>0.8</v>
      </c>
      <c r="BQ79" s="23" cm="1">
        <f t="array" ref="BQ79">1+$B$13+VLOOKUP($R79,武学奇术!$A:$ZZ,18,FALSE)+SUM(_xlfn.XLOOKUP(S79:AL79,增益!$A:$A,增益!$R:$R,0))</f>
        <v>1.894</v>
      </c>
      <c r="BR79" s="23" cm="1">
        <f t="array" ref="BR79">IF(VLOOKUP($R79,武学奇术!$A:$ZZ,24,FALSE)=1,100%,MIN(40%,$B$10+VLOOKUP($R79,武学奇术!$A:$ZZ,19,FALSE)+SUM(_xlfn.XLOOKUP(S79:AL79,增益!$A:$A,增益!$S:$S,0)))+$B$12+SUM(_xlfn.XLOOKUP(S79:AL79,增益!$A:$A,增益!$V:$V,0)))*IF(VLOOKUP($R79,武学奇术!$A:$ZZ,23,FALSE)=1,0,1)</f>
        <v>0.0913</v>
      </c>
      <c r="BS79" s="23" cm="1">
        <f t="array" ref="BS79">1+$B$14+VLOOKUP($R79,武学奇术!$A:$ZZ,20,FALSE)+SUM(_xlfn.XLOOKUP(S79:AL79,增益!$A:$A,增益!$T:$T,0))</f>
        <v>1.35</v>
      </c>
      <c r="BT79" s="23">
        <f t="shared" si="31"/>
        <v>0.79544</v>
      </c>
      <c r="BU79" s="23">
        <f t="shared" si="32"/>
        <v>0.10808041</v>
      </c>
      <c r="BV79" s="23">
        <f>IF(VLOOKUP($R79,武学奇术!$A:$ZZ,22,FALSE)=1,0,(1-$BO79))*(1-$BR79)</f>
        <v>0.00517958999999993</v>
      </c>
      <c r="BW79" s="23" cm="1">
        <f t="array" ref="BW79">SUM(_xlfn.XLOOKUP(S79:AL79,增益!$A:$A,增益!$W:$W,0))+$I$5</f>
        <v>0.31</v>
      </c>
      <c r="BX79" s="23">
        <f>VLOOKUP($R79,武学奇术!$A:$ZZ,32,FALSE)</f>
        <v>0</v>
      </c>
      <c r="BY79" s="23" cm="1">
        <f t="array" ref="BY79">SUM(_xlfn.XLOOKUP($S79:$AL79,增益!$A:$A,增益!$X:$X,0))</f>
        <v>0</v>
      </c>
    </row>
    <row r="80" spans="1:77">
      <c r="A80" s="4" t="s">
        <v>102</v>
      </c>
      <c r="B80" s="4">
        <v>1</v>
      </c>
      <c r="C80" s="36"/>
      <c r="E80" s="36"/>
      <c r="K80" s="35">
        <f>$L80*VLOOKUP($R80,武学奇术!$A:$ZZ,31,FALSE)</f>
        <v>59408.1727657003</v>
      </c>
      <c r="L80" s="69">
        <f t="shared" si="33"/>
        <v>58243.3066330396</v>
      </c>
      <c r="M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轻击",$B$21,0))*(1+IF(VLOOKUP($R80,武学奇术!$A:$ZZ,30,FALSE)="老鼠",$B$22,0))*(1+$BW80)*(1+$BX80)</f>
        <v>62713.3892859063</v>
      </c>
      <c r="N80" s="35">
        <f>(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轻击",$B$21,0))*(1+IF(VLOOKUP($R80,武学奇术!$A:$ZZ,30,FALSE)="老鼠",$B$22,0))*(1+$BW80))*(1+$BX80)</f>
        <v>50728.0704150963</v>
      </c>
      <c r="O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轻击",$B$21,0))*(1+IF(VLOOKUP($R80,武学奇术!$A:$ZZ,30,FALSE)="老鼠",$B$22,0))*(1+$BW80)*(1+$BX80)</f>
        <v>33111.6099714395</v>
      </c>
      <c r="P80" s="35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轻击",$B$21,0))*(1+IF(VLOOKUP($R80,武学奇术!$A:$ZZ,30,FALSE)="老鼠",$B$22,0))*(1+$BW80)*(1+$BX80)</f>
        <v>28646.871487252</v>
      </c>
      <c r="Q80" s="70">
        <v>2</v>
      </c>
      <c r="R80" s="37" t="s">
        <v>106</v>
      </c>
      <c r="S80" s="37" t="s">
        <v>91</v>
      </c>
      <c r="T80" s="37" t="s">
        <v>185</v>
      </c>
      <c r="U80" s="37" t="s">
        <v>112</v>
      </c>
      <c r="V80" s="37" t="s">
        <v>113</v>
      </c>
      <c r="W80" s="37" t="s">
        <v>82</v>
      </c>
      <c r="X80" s="37" t="s">
        <v>81</v>
      </c>
      <c r="Y80" s="37" t="s">
        <v>109</v>
      </c>
      <c r="Z80" s="37" t="s">
        <v>81</v>
      </c>
      <c r="AA80" s="37" t="s">
        <v>84</v>
      </c>
      <c r="AB80" s="37" t="s">
        <v>183</v>
      </c>
      <c r="AC80" s="37" t="s">
        <v>186</v>
      </c>
      <c r="AD80" s="37" t="s">
        <v>81</v>
      </c>
      <c r="AE80" s="37" t="s">
        <v>86</v>
      </c>
      <c r="AF80" s="37" t="s">
        <v>81</v>
      </c>
      <c r="AG80" s="37" t="s">
        <v>87</v>
      </c>
      <c r="AH80" s="37" t="s">
        <v>88</v>
      </c>
      <c r="AI80" s="37" t="s">
        <v>81</v>
      </c>
      <c r="AJ80" s="37" t="s">
        <v>81</v>
      </c>
      <c r="AK80" s="37" t="s">
        <v>81</v>
      </c>
      <c r="AL80" s="37" t="s">
        <v>81</v>
      </c>
      <c r="AM80" t="str">
        <f>VLOOKUP($R80,武学奇术!$A:$ZZ,25,FALSE)</f>
        <v>绳镖</v>
      </c>
      <c r="AN80" s="23">
        <f>VLOOKUP($R80,武学奇术!$A:$ZZ,26,FALSE)</f>
        <v>0.3675</v>
      </c>
      <c r="AO80" s="24">
        <f>VLOOKUP($R80,武学奇术!$A:$ZZ,27,FALSE)*(1+IF(OR($AM80=$F$4,$AM80=$F$5),$B$23,0))</f>
        <v>0</v>
      </c>
      <c r="AP80" s="23">
        <f>VLOOKUP($R80,武学奇术!$A:$ZZ,28,FALSE)</f>
        <v>0.55125</v>
      </c>
      <c r="AQ80" s="24">
        <f>VLOOKUP($R80,武学奇术!$A:$ZZ,29,FALSE)*(1+IF(OR($AM80=$F$4,$AM80=$F$5),$B$23,0))</f>
        <v>0</v>
      </c>
      <c r="AR80" s="23" cm="1">
        <f t="array" ref="AR80">$G$3+IFERROR(VLOOKUP($AM80,$F$4:$G$7,2,FALSE),0)+VLOOKUP($R80,武学奇术!$A:$ZZ,2,FALSE)+SUM(_xlfn.XLOOKUP($S80:$AL80,增益!$A:$A,增益!$B:$B,0))</f>
        <v>1.4243</v>
      </c>
      <c r="AS80" s="23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4150.4</v>
      </c>
      <c r="AU80" cm="1">
        <f t="array" ref="AU80">$E$10*(1+$AS80)+VLOOKUP($R80,武学奇术!$A:$ZZ,4,FALSE)+SUM(_xlfn.XLOOKUP($S80:$AL80,增益!$A:$A,增益!$D:$D,0))-$I$2</f>
        <v>4150.4</v>
      </c>
      <c r="AV80" s="29" cm="1">
        <f t="array" ref="AV80">IF($F$10-$I$3+VLOOKUP($R80,武学奇术!$A:$ZZ,6,FALSE)+SUM(_xlfn.XLOOKUP(S80:AL80,增益!$A:$A,增益!$F:$F,0))&gt;0,($F$10-$I$3+VLOOKUP($R80,武学奇术!$A:$ZZ,6,FALSE)+SUM(_xlfn.XLOOKUP(S80:AL80,增益!$A:$A,增益!$F:$F,0)))/200,($F$10-$I$3+VLOOKUP($R80,武学奇术!$A:$ZZ,6,FALSE)+SUM(_xlfn.XLOOKUP(S80:AL80,增益!$A:$A,增益!$F:$F,0)))/100)</f>
        <v>0.4539</v>
      </c>
      <c r="AW80" s="29" cm="1">
        <f t="array" ref="AW80">$G$10+VLOOKUP($R80,武学奇术!$A:$ZZ,7,FALSE)+SUM(_xlfn.XLOOKUP(S80:AL80,增益!$A:$A,增益!$G:$G,0))</f>
        <v>0.29</v>
      </c>
      <c r="AX80" s="23" cm="1">
        <f t="array" ref="AX80">VLOOKUP($R80,武学奇术!$A:$ZZ,8,FALSE)+SUM(_xlfn.XLOOKUP(S80:AL80,增益!$A:$A,增益!$H:$H,0))</f>
        <v>0</v>
      </c>
      <c r="AY80">
        <f t="shared" si="23"/>
        <v>0</v>
      </c>
      <c r="AZ80">
        <f t="shared" si="24"/>
        <v>0</v>
      </c>
      <c r="BA80" s="29" cm="1">
        <f t="array" ref="BA80">IF($F$11-$I$4+VLOOKUP($R80,武学奇术!$A:$ZZ,9,FALSE)+SUM(_xlfn.XLOOKUP(S80:AL80,增益!$A:$A,增益!$I:$I,0))&gt;0,($F$11-$I$4+VLOOKUP($R80,武学奇术!$A:$ZZ,9,FALSE)+SUM(_xlfn.XLOOKUP(S80:AL80,增益!$A:$A,增益!$I:$I,0)))/200,($F$11-$I$4+VLOOKUP($R80,武学奇术!$A:$ZZ,9,FALSE)+SUM(_xlfn.XLOOKUP(S80:AL80,增益!$A:$A,增益!$I:$I,0)))/100)</f>
        <v>-0.14</v>
      </c>
      <c r="BB80" s="29" cm="1">
        <f t="array" ref="BB80">$G$11+VLOOKUP($R80,武学奇术!$A:$ZZ,10,FALSE)+SUM(_xlfn.XLOOKUP(S80:AL80,增益!$A:$A,增益!$J:$J,0))</f>
        <v>0.12</v>
      </c>
      <c r="BC80">
        <f t="shared" si="25"/>
        <v>0</v>
      </c>
      <c r="BD80">
        <f t="shared" si="26"/>
        <v>0</v>
      </c>
      <c r="BE80" s="29" cm="1">
        <f t="array" ref="BE80">IF($F$12-$I$4+VLOOKUP($R80,武学奇术!$A:$ZZ,11,FALSE)+SUM(_xlfn.XLOOKUP(S80:AL80,增益!$A:$A,增益!$K:$K,0))&gt;0,($F$12-$I$4+VLOOKUP($R80,武学奇术!$A:$ZZ,11,FALSE)+SUM(_xlfn.XLOOKUP(S80:AL80,增益!$A:$A,增益!$K:$K,0)))/200,($F$12-$I$4+VLOOKUP($R80,武学奇术!$A:$ZZ,11,FALSE)+SUM(_xlfn.XLOOKUP(S80:AL80,增益!$A:$A,增益!$K:$K,0)))/100)</f>
        <v>-0.14</v>
      </c>
      <c r="BF80" s="29" cm="1">
        <f t="array" ref="BF80">$G$12+VLOOKUP($R80,武学奇术!$A:$ZZ,12,FALSE)+SUM(_xlfn.XLOOKUP(S80:AL80,增益!$A:$A,增益!$L:$L,0))</f>
        <v>0.02</v>
      </c>
      <c r="BG80">
        <f t="shared" si="27"/>
        <v>0</v>
      </c>
      <c r="BH80">
        <f t="shared" si="28"/>
        <v>0</v>
      </c>
      <c r="BI80" s="29" cm="1">
        <f t="array" ref="BI80">IF($F$13-$I$4+VLOOKUP($R80,武学奇术!$A:$ZZ,13,FALSE)+SUM(_xlfn.XLOOKUP(S80:AL80,增益!$A:$A,增益!$M:$M,0))&gt;0,($F$13-$I$4+VLOOKUP($R80,武学奇术!$A:$ZZ,13,FALSE)+SUM(_xlfn.XLOOKUP(S80:AL80,增益!$A:$A,增益!$K:$K,0)))/200,($F$13-$I$4+VLOOKUP($R80,武学奇术!$A:$ZZ,13,FALSE)+SUM(_xlfn.XLOOKUP(S80:AL80,增益!$A:$A,增益!$M:$M,0)))/100)</f>
        <v>-0.14</v>
      </c>
      <c r="BJ80" s="29" cm="1">
        <f t="array" ref="BJ80">$G$13+VLOOKUP($R80,武学奇术!$A:$ZZ,14,FALSE)+SUM(_xlfn.XLOOKUP(S80:AL80,增益!$A:$A,增益!$N:$N,0))</f>
        <v>0.02</v>
      </c>
      <c r="BK80">
        <f t="shared" si="29"/>
        <v>618.2</v>
      </c>
      <c r="BL80">
        <f t="shared" si="30"/>
        <v>1805</v>
      </c>
      <c r="BM80" s="29" cm="1">
        <f t="array" ref="BM80">IF($F$14-$I$4+VLOOKUP($R80,武学奇术!$A:$ZZ,15,FALSE)+SUM(_xlfn.XLOOKUP(S80:AL80,增益!$A:$A,增益!$O:$O,0))&gt;0,($F$14-$I$4+VLOOKUP($R80,武学奇术!$A:$ZZ,15,FALSE)+SUM(_xlfn.XLOOKUP(S80:AL80,增益!$A:$A,增益!$O:$O,0)))/200,($F$14-$I$4+VLOOKUP($R80,武学奇术!$A:$ZZ,15,FALSE)+SUM(_xlfn.XLOOKUP(S80:AL80,增益!$A:$A,增益!$O:$O,0)))/100)</f>
        <v>0.13</v>
      </c>
      <c r="BN80" s="29" cm="1">
        <f t="array" ref="BN80">$G$14+VLOOKUP($R80,武学奇术!$A:$ZZ,16,FALSE)+SUM(_xlfn.XLOOKUP(S80:AL80,增益!$A:$A,增益!$P:$P,0))</f>
        <v>0.44</v>
      </c>
      <c r="BO80" s="23">
        <f>MIN(IF(VLOOKUP($R80,武学奇术!$A:$ZZ,23,FALSE)=1,100%,$B$8),100%)</f>
        <v>0.9943</v>
      </c>
      <c r="BP80" s="23" cm="1">
        <f t="array" ref="BP80">IF(VLOOKUP($R80,武学奇术!$A:$ZZ,23,FALSE)=1,100%,MIN(80%,$B$9+VLOOKUP($R80,武学奇术!$A:$ZZ,17,FALSE)+SUM(_xlfn.XLOOKUP(S80:AL80,增益!$A:$A,增益!$Q:$Q,0)))+$B$11+SUM(_xlfn.XLOOKUP(S80:AL80,增益!$A:$A,增益!$U:$U,0)))*IF(VLOOKUP($R80,武学奇术!$A:$ZZ,24,FALSE)=1,0,1)</f>
        <v>0.8</v>
      </c>
      <c r="BQ80" s="23" cm="1">
        <f t="array" ref="BQ80">1+$B$13+VLOOKUP($R80,武学奇术!$A:$ZZ,18,FALSE)+SUM(_xlfn.XLOOKUP(S80:AL80,增益!$A:$A,增益!$R:$R,0))</f>
        <v>1.894</v>
      </c>
      <c r="BR80" s="23" cm="1">
        <f t="array" ref="BR80">IF(VLOOKUP($R80,武学奇术!$A:$ZZ,24,FALSE)=1,100%,MIN(40%,$B$10+VLOOKUP($R80,武学奇术!$A:$ZZ,19,FALSE)+SUM(_xlfn.XLOOKUP(S80:AL80,增益!$A:$A,增益!$S:$S,0)))+$B$12+SUM(_xlfn.XLOOKUP(S80:AL80,增益!$A:$A,增益!$V:$V,0)))*IF(VLOOKUP($R80,武学奇术!$A:$ZZ,23,FALSE)=1,0,1)</f>
        <v>0.0913</v>
      </c>
      <c r="BS80" s="23" cm="1">
        <f t="array" ref="BS80">1+$B$14+VLOOKUP($R80,武学奇术!$A:$ZZ,20,FALSE)+SUM(_xlfn.XLOOKUP(S80:AL80,增益!$A:$A,增益!$T:$T,0))</f>
        <v>1.35</v>
      </c>
      <c r="BT80" s="23">
        <f t="shared" si="31"/>
        <v>0.79544</v>
      </c>
      <c r="BU80" s="23">
        <f t="shared" si="32"/>
        <v>0.10808041</v>
      </c>
      <c r="BV80" s="23">
        <f>IF(VLOOKUP($R80,武学奇术!$A:$ZZ,22,FALSE)=1,0,(1-$BO80))*(1-$BR80)</f>
        <v>0.00517958999999993</v>
      </c>
      <c r="BW80" s="23" cm="1">
        <f t="array" ref="BW80">SUM(_xlfn.XLOOKUP(S80:AL80,增益!$A:$A,增益!$W:$W,0))+$I$5</f>
        <v>0.31</v>
      </c>
      <c r="BX80" s="23">
        <f>VLOOKUP($R80,武学奇术!$A:$ZZ,32,FALSE)</f>
        <v>0</v>
      </c>
      <c r="BY80" s="23" cm="1">
        <f t="array" ref="BY80">SUM(_xlfn.XLOOKUP($S80:$AL80,增益!$A:$A,增益!$X:$X,0))</f>
        <v>0</v>
      </c>
    </row>
    <row r="81" spans="1:77">
      <c r="A81" s="4" t="s">
        <v>176</v>
      </c>
      <c r="B81" s="4">
        <v>0.1</v>
      </c>
      <c r="E81" s="36"/>
      <c r="K81" s="35">
        <f>$L81*VLOOKUP($R81,武学奇术!$A:$ZZ,31,FALSE)</f>
        <v>247835.383907697</v>
      </c>
      <c r="L81" s="90">
        <f>SUM(L51,L53,L55,L58,L64,L66,L70,L74,L76,L78,L80)*30%*(1+BY81)</f>
        <v>485951.733152347</v>
      </c>
      <c r="M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轻击",$B$21,0))*(1+IF(VLOOKUP($R81,武学奇术!$A:$ZZ,30,FALSE)="老鼠",$B$22,0))*(1+$BW81)*(1+$BX81)</f>
        <v>0</v>
      </c>
      <c r="N81" s="35">
        <f>(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轻击",$B$21,0))*(1+IF(VLOOKUP($R81,武学奇术!$A:$ZZ,30,FALSE)="老鼠",$B$22,0))*(1+$BW81))*(1+$BX81)</f>
        <v>0</v>
      </c>
      <c r="O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轻击",$B$21,0))*(1+IF(VLOOKUP($R81,武学奇术!$A:$ZZ,30,FALSE)="老鼠",$B$22,0))*(1+$BW81)*(1+$BX81)</f>
        <v>0</v>
      </c>
      <c r="P81" s="35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轻击",$B$21,0))*(1+IF(VLOOKUP($R81,武学奇术!$A:$ZZ,30,FALSE)="老鼠",$B$22,0))*(1+$BW81)*(1+$BX81)</f>
        <v>0</v>
      </c>
      <c r="Q81" s="36">
        <v>1</v>
      </c>
      <c r="R81" s="37" t="s">
        <v>177</v>
      </c>
      <c r="S81" s="37" t="s">
        <v>178</v>
      </c>
      <c r="T81" s="37" t="s">
        <v>81</v>
      </c>
      <c r="U81" s="37" t="s">
        <v>81</v>
      </c>
      <c r="V81" s="37" t="s">
        <v>81</v>
      </c>
      <c r="W81" s="37" t="s">
        <v>81</v>
      </c>
      <c r="X81" s="37" t="s">
        <v>81</v>
      </c>
      <c r="Y81" s="37" t="s">
        <v>81</v>
      </c>
      <c r="Z81" s="37" t="s">
        <v>81</v>
      </c>
      <c r="AA81" s="37" t="s">
        <v>81</v>
      </c>
      <c r="AB81" s="37" t="s">
        <v>81</v>
      </c>
      <c r="AC81" s="37" t="s">
        <v>81</v>
      </c>
      <c r="AD81" s="37" t="s">
        <v>81</v>
      </c>
      <c r="AE81" s="37" t="s">
        <v>81</v>
      </c>
      <c r="AF81" s="37" t="s">
        <v>81</v>
      </c>
      <c r="AG81" s="37" t="s">
        <v>87</v>
      </c>
      <c r="AH81" s="37" t="s">
        <v>88</v>
      </c>
      <c r="AI81" s="37" t="s">
        <v>81</v>
      </c>
      <c r="AJ81" s="37" t="s">
        <v>81</v>
      </c>
      <c r="AK81" s="37" t="s">
        <v>81</v>
      </c>
      <c r="AL81" s="37" t="s">
        <v>81</v>
      </c>
      <c r="AM81" t="str">
        <f>VLOOKUP($R81,武学奇术!$A:$ZZ,25,FALSE)</f>
        <v>心法</v>
      </c>
      <c r="AN81" s="23">
        <f>VLOOKUP($R81,武学奇术!$A:$ZZ,26,FALSE)</f>
        <v>0</v>
      </c>
      <c r="AO81" s="24">
        <f>VLOOKUP($R81,武学奇术!$A:$ZZ,27,FALSE)*(1+IF(OR($AM81=$F$4,$AM81=$F$5),$B$23,0))</f>
        <v>0</v>
      </c>
      <c r="AP81" s="23">
        <f>VLOOKUP($R81,武学奇术!$A:$ZZ,28,FALSE)</f>
        <v>0</v>
      </c>
      <c r="AQ81" s="24">
        <f>VLOOKUP($R81,武学奇术!$A:$ZZ,29,FALSE)*(1+IF(OR($AM81=$F$4,$AM81=$F$5),$B$23,0))</f>
        <v>0</v>
      </c>
      <c r="AR81" s="23" cm="1">
        <f t="array" ref="AR81">$G$3+IFERROR(VLOOKUP($AM81,$F$4:$G$7,2,FALSE),0)+VLOOKUP($R81,武学奇术!$A:$ZZ,2,FALSE)+SUM(_xlfn.XLOOKUP($S81:$AL81,增益!$A:$A,增益!$B:$B,0))</f>
        <v>0.1842</v>
      </c>
      <c r="AS81" s="23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4081.7</v>
      </c>
      <c r="AU81" cm="1">
        <f t="array" ref="AU81">$E$10*(1+$AS81)+VLOOKUP($R81,武学奇术!$A:$ZZ,4,FALSE)+SUM(_xlfn.XLOOKUP($S81:$AL81,增益!$A:$A,增益!$D:$D,0))-$I$2</f>
        <v>4081.7</v>
      </c>
      <c r="AV81" s="29" cm="1">
        <f t="array" ref="AV81">IF($F$10-$I$3+VLOOKUP($R81,武学奇术!$A:$ZZ,6,FALSE)+SUM(_xlfn.XLOOKUP(S81:AL81,增益!$A:$A,增益!$F:$F,0))&gt;0,($F$10-$I$3+VLOOKUP($R81,武学奇术!$A:$ZZ,6,FALSE)+SUM(_xlfn.XLOOKUP(S81:AL81,增益!$A:$A,增益!$F:$F,0)))/200,($F$10-$I$3+VLOOKUP($R81,武学奇术!$A:$ZZ,6,FALSE)+SUM(_xlfn.XLOOKUP(S81:AL81,增益!$A:$A,增益!$F:$F,0)))/100)</f>
        <v>0.2789</v>
      </c>
      <c r="AW81" s="29" cm="1">
        <f t="array" ref="AW81">$G$10+VLOOKUP($R81,武学奇术!$A:$ZZ,7,FALSE)+SUM(_xlfn.XLOOKUP(S81:AL81,增益!$A:$A,增益!$G:$G,0))</f>
        <v>0.02</v>
      </c>
      <c r="AX81" s="23" cm="1">
        <f t="array" ref="AX81">VLOOKUP($R81,武学奇术!$A:$ZZ,8,FALSE)+SUM(_xlfn.XLOOKUP(S81:AL81,增益!$A:$A,增益!$H:$H,0))</f>
        <v>0</v>
      </c>
      <c r="AY81">
        <f t="shared" si="23"/>
        <v>0</v>
      </c>
      <c r="AZ81">
        <f t="shared" si="24"/>
        <v>0</v>
      </c>
      <c r="BA81" s="29" cm="1">
        <f t="array" ref="BA81">IF($F$11-$I$4+VLOOKUP($R81,武学奇术!$A:$ZZ,9,FALSE)+SUM(_xlfn.XLOOKUP(S81:AL81,增益!$A:$A,增益!$I:$I,0))&gt;0,($F$11-$I$4+VLOOKUP($R81,武学奇术!$A:$ZZ,9,FALSE)+SUM(_xlfn.XLOOKUP(S81:AL81,增益!$A:$A,增益!$I:$I,0)))/200,($F$11-$I$4+VLOOKUP($R81,武学奇术!$A:$ZZ,9,FALSE)+SUM(_xlfn.XLOOKUP(S81:AL81,增益!$A:$A,增益!$I:$I,0)))/100)</f>
        <v>-0.3</v>
      </c>
      <c r="BB81" s="29" cm="1">
        <f t="array" ref="BB81">$G$11+VLOOKUP($R81,武学奇术!$A:$ZZ,10,FALSE)+SUM(_xlfn.XLOOKUP(S81:AL81,增益!$A:$A,增益!$J:$J,0))</f>
        <v>0.02</v>
      </c>
      <c r="BC81">
        <f t="shared" si="25"/>
        <v>0</v>
      </c>
      <c r="BD81">
        <f t="shared" si="26"/>
        <v>0</v>
      </c>
      <c r="BE81" s="29" cm="1">
        <f t="array" ref="BE81">IF($F$12-$I$4+VLOOKUP($R81,武学奇术!$A:$ZZ,11,FALSE)+SUM(_xlfn.XLOOKUP(S81:AL81,增益!$A:$A,增益!$K:$K,0))&gt;0,($F$12-$I$4+VLOOKUP($R81,武学奇术!$A:$ZZ,11,FALSE)+SUM(_xlfn.XLOOKUP(S81:AL81,增益!$A:$A,增益!$K:$K,0)))/200,($F$12-$I$4+VLOOKUP($R81,武学奇术!$A:$ZZ,11,FALSE)+SUM(_xlfn.XLOOKUP(S81:AL81,增益!$A:$A,增益!$K:$K,0)))/100)</f>
        <v>-0.3</v>
      </c>
      <c r="BF81" s="29" cm="1">
        <f t="array" ref="BF81">$G$12+VLOOKUP($R81,武学奇术!$A:$ZZ,12,FALSE)+SUM(_xlfn.XLOOKUP(S81:AL81,增益!$A:$A,增益!$L:$L,0))</f>
        <v>0.02</v>
      </c>
      <c r="BG81">
        <f t="shared" si="27"/>
        <v>0</v>
      </c>
      <c r="BH81">
        <f t="shared" si="28"/>
        <v>0</v>
      </c>
      <c r="BI81" s="29" cm="1">
        <f t="array" ref="BI81">IF($F$13-$I$4+VLOOKUP($R81,武学奇术!$A:$ZZ,13,FALSE)+SUM(_xlfn.XLOOKUP(S81:AL81,增益!$A:$A,增益!$M:$M,0))&gt;0,($F$13-$I$4+VLOOKUP($R81,武学奇术!$A:$ZZ,13,FALSE)+SUM(_xlfn.XLOOKUP(S81:AL81,增益!$A:$A,增益!$K:$K,0)))/200,($F$13-$I$4+VLOOKUP($R81,武学奇术!$A:$ZZ,13,FALSE)+SUM(_xlfn.XLOOKUP(S81:AL81,增益!$A:$A,增益!$M:$M,0)))/100)</f>
        <v>-0.3</v>
      </c>
      <c r="BJ81" s="29" cm="1">
        <f t="array" ref="BJ81">$G$13+VLOOKUP($R81,武学奇术!$A:$ZZ,14,FALSE)+SUM(_xlfn.XLOOKUP(S81:AL81,增益!$A:$A,增益!$N:$N,0))</f>
        <v>0.02</v>
      </c>
      <c r="BK81">
        <f t="shared" si="29"/>
        <v>618.2</v>
      </c>
      <c r="BL81">
        <f t="shared" si="30"/>
        <v>1805</v>
      </c>
      <c r="BM81" s="29" cm="1">
        <f t="array" ref="BM81">IF($F$14-$I$4+VLOOKUP($R81,武学奇术!$A:$ZZ,15,FALSE)+SUM(_xlfn.XLOOKUP(S81:AL81,增益!$A:$A,增益!$O:$O,0))&gt;0,($F$14-$I$4+VLOOKUP($R81,武学奇术!$A:$ZZ,15,FALSE)+SUM(_xlfn.XLOOKUP(S81:AL81,增益!$A:$A,增益!$O:$O,0)))/200,($F$14-$I$4+VLOOKUP($R81,武学奇术!$A:$ZZ,15,FALSE)+SUM(_xlfn.XLOOKUP(S81:AL81,增益!$A:$A,增益!$O:$O,0)))/100)</f>
        <v>0</v>
      </c>
      <c r="BN81" s="29" cm="1">
        <f t="array" ref="BN81">$G$14+VLOOKUP($R81,武学奇术!$A:$ZZ,16,FALSE)+SUM(_xlfn.XLOOKUP(S81:AL81,增益!$A:$A,增益!$P:$P,0))</f>
        <v>0.17</v>
      </c>
      <c r="BO81" s="23">
        <f>MIN(IF(VLOOKUP($R81,武学奇术!$A:$ZZ,23,FALSE)=1,100%,$B$8),100%)</f>
        <v>0.9943</v>
      </c>
      <c r="BP81" s="23" cm="1">
        <f t="array" ref="BP81">IF(VLOOKUP($R81,武学奇术!$A:$ZZ,23,FALSE)=1,100%,MIN(80%,$B$9+VLOOKUP($R81,武学奇术!$A:$ZZ,17,FALSE)+SUM(_xlfn.XLOOKUP(S81:AL81,增益!$A:$A,增益!$Q:$Q,0)))+$B$11+SUM(_xlfn.XLOOKUP(S81:AL81,增益!$A:$A,增益!$U:$U,0)))*IF(VLOOKUP($R81,武学奇术!$A:$ZZ,24,FALSE)=1,0,1)</f>
        <v>0.8</v>
      </c>
      <c r="BQ81" s="23" cm="1">
        <f t="array" ref="BQ81">1+$B$13+VLOOKUP($R81,武学奇术!$A:$ZZ,18,FALSE)+SUM(_xlfn.XLOOKUP(S81:AL81,增益!$A:$A,增益!$R:$R,0))</f>
        <v>1.544</v>
      </c>
      <c r="BR81" s="23" cm="1">
        <f t="array" ref="BR81">IF(VLOOKUP($R81,武学奇术!$A:$ZZ,24,FALSE)=1,100%,MIN(40%,$B$10+VLOOKUP($R81,武学奇术!$A:$ZZ,19,FALSE)+SUM(_xlfn.XLOOKUP(S81:AL81,增益!$A:$A,增益!$S:$S,0)))+$B$12+SUM(_xlfn.XLOOKUP(S81:AL81,增益!$A:$A,增益!$V:$V,0)))*IF(VLOOKUP($R81,武学奇术!$A:$ZZ,23,FALSE)=1,0,1)</f>
        <v>0.0913</v>
      </c>
      <c r="BS81" s="23" cm="1">
        <f t="array" ref="BS81">1+$B$14+VLOOKUP($R81,武学奇术!$A:$ZZ,20,FALSE)+SUM(_xlfn.XLOOKUP(S81:AL81,增益!$A:$A,增益!$T:$T,0))</f>
        <v>1.35</v>
      </c>
      <c r="BT81" s="23">
        <f t="shared" si="31"/>
        <v>0.79544</v>
      </c>
      <c r="BU81" s="23">
        <f t="shared" si="32"/>
        <v>0.10808041</v>
      </c>
      <c r="BV81" s="23">
        <f>IF(VLOOKUP($R81,武学奇术!$A:$ZZ,22,FALSE)=1,0,(1-$BO81))*(1-$BR81)</f>
        <v>0.00517958999999993</v>
      </c>
      <c r="BW81" s="23" cm="1">
        <f t="array" ref="BW81">SUM(_xlfn.XLOOKUP(S81:AL81,增益!$A:$A,增益!$W:$W,0))+$I$5</f>
        <v>0.11</v>
      </c>
      <c r="BX81" s="23">
        <f>VLOOKUP($R81,武学奇术!$A:$ZZ,32,FALSE)</f>
        <v>0</v>
      </c>
      <c r="BY81" s="23" cm="1">
        <f t="array" ref="BY81">SUM(_xlfn.XLOOKUP($S81:$AL81,增益!$A:$A,增益!$X:$X,0))</f>
        <v>0.2</v>
      </c>
    </row>
    <row r="82" spans="1:77">
      <c r="A82" s="4" t="s">
        <v>179</v>
      </c>
      <c r="B82" s="4">
        <v>1</v>
      </c>
      <c r="E82" s="36"/>
      <c r="K82" s="35">
        <f>$L82*VLOOKUP($R82,武学奇术!$A:$ZZ,31,FALSE)</f>
        <v>0</v>
      </c>
      <c r="L82" s="35">
        <f t="shared" si="33"/>
        <v>0</v>
      </c>
      <c r="M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轻击",$B$21,0))*(1+IF(VLOOKUP($R82,武学奇术!$A:$ZZ,30,FALSE)="老鼠",$B$22,0))*(1+$BW82)*(1+$BX82)</f>
        <v>0</v>
      </c>
      <c r="N82" s="35">
        <f>(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轻击",$B$21,0))*(1+IF(VLOOKUP($R82,武学奇术!$A:$ZZ,30,FALSE)="老鼠",$B$22,0))*(1+$BW82))*(1+$BX82)</f>
        <v>0</v>
      </c>
      <c r="O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轻击",$B$21,0))*(1+IF(VLOOKUP($R82,武学奇术!$A:$ZZ,30,FALSE)="老鼠",$B$22,0))*(1+$BW82)*(1+$BX82)</f>
        <v>0</v>
      </c>
      <c r="P82" s="35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轻击",$B$21,0))*(1+IF(VLOOKUP($R82,武学奇术!$A:$ZZ,30,FALSE)="老鼠",$B$22,0))*(1+$BW82)*(1+$BX82)</f>
        <v>0</v>
      </c>
      <c r="Q82" s="36">
        <v>1</v>
      </c>
      <c r="R82" s="37" t="s">
        <v>81</v>
      </c>
      <c r="S82" s="37" t="s">
        <v>81</v>
      </c>
      <c r="T82" s="37" t="s">
        <v>81</v>
      </c>
      <c r="U82" s="37" t="s">
        <v>81</v>
      </c>
      <c r="V82" s="37" t="s">
        <v>81</v>
      </c>
      <c r="W82" s="37" t="s">
        <v>81</v>
      </c>
      <c r="X82" s="37" t="s">
        <v>81</v>
      </c>
      <c r="Y82" s="37" t="s">
        <v>81</v>
      </c>
      <c r="Z82" s="37" t="s">
        <v>81</v>
      </c>
      <c r="AA82" s="37" t="s">
        <v>81</v>
      </c>
      <c r="AB82" s="37" t="s">
        <v>81</v>
      </c>
      <c r="AC82" s="37" t="s">
        <v>81</v>
      </c>
      <c r="AD82" s="37" t="s">
        <v>81</v>
      </c>
      <c r="AE82" s="37" t="s">
        <v>81</v>
      </c>
      <c r="AF82" s="37" t="s">
        <v>81</v>
      </c>
      <c r="AG82" s="37" t="s">
        <v>87</v>
      </c>
      <c r="AH82" s="37" t="s">
        <v>88</v>
      </c>
      <c r="AI82" s="37" t="s">
        <v>81</v>
      </c>
      <c r="AJ82" s="37" t="s">
        <v>81</v>
      </c>
      <c r="AK82" s="37" t="s">
        <v>81</v>
      </c>
      <c r="AL82" s="37" t="s">
        <v>81</v>
      </c>
      <c r="AM82" t="str">
        <f>VLOOKUP($R82,武学奇术!$A:$ZZ,25,FALSE)</f>
        <v>心法</v>
      </c>
      <c r="AN82" s="23">
        <f>VLOOKUP($R82,武学奇术!$A:$ZZ,26,FALSE)</f>
        <v>0</v>
      </c>
      <c r="AO82" s="24">
        <f>VLOOKUP($R82,武学奇术!$A:$ZZ,27,FALSE)*(1+IF(OR($AM82=$F$4,$AM82=$F$5),$B$23,0))</f>
        <v>0</v>
      </c>
      <c r="AP82" s="23">
        <f>VLOOKUP($R82,武学奇术!$A:$ZZ,28,FALSE)</f>
        <v>0</v>
      </c>
      <c r="AQ82" s="24">
        <f>VLOOKUP($R82,武学奇术!$A:$ZZ,29,FALSE)*(1+IF(OR($AM82=$F$4,$AM82=$F$5),$B$23,0))</f>
        <v>0</v>
      </c>
      <c r="AR82" s="23" cm="1">
        <f t="array" ref="AR82">$G$3+IFERROR(VLOOKUP($AM82,$F$4:$G$7,2,FALSE),0)+VLOOKUP($R82,武学奇术!$A:$ZZ,2,FALSE)+SUM(_xlfn.XLOOKUP($S82:$AL82,增益!$A:$A,增益!$B:$B,0))</f>
        <v>0.1842</v>
      </c>
      <c r="AS82" s="23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4081.7</v>
      </c>
      <c r="AU82" cm="1">
        <f t="array" ref="AU82">$E$10*(1+$AS82)+VLOOKUP($R82,武学奇术!$A:$ZZ,4,FALSE)+SUM(_xlfn.XLOOKUP($S82:$AL82,增益!$A:$A,增益!$D:$D,0))-$I$2</f>
        <v>4081.7</v>
      </c>
      <c r="AV82" s="29" cm="1">
        <f t="array" ref="AV82">IF($F$10-$I$3+VLOOKUP($R82,武学奇术!$A:$ZZ,6,FALSE)+SUM(_xlfn.XLOOKUP(S82:AL82,增益!$A:$A,增益!$F:$F,0))&gt;0,($F$10-$I$3+VLOOKUP($R82,武学奇术!$A:$ZZ,6,FALSE)+SUM(_xlfn.XLOOKUP(S82:AL82,增益!$A:$A,增益!$F:$F,0)))/200,($F$10-$I$3+VLOOKUP($R82,武学奇术!$A:$ZZ,6,FALSE)+SUM(_xlfn.XLOOKUP(S82:AL82,增益!$A:$A,增益!$F:$F,0)))/100)</f>
        <v>0.2789</v>
      </c>
      <c r="AW82" s="29" cm="1">
        <f t="array" ref="AW82">$G$10+VLOOKUP($R82,武学奇术!$A:$ZZ,7,FALSE)+SUM(_xlfn.XLOOKUP(S82:AL82,增益!$A:$A,增益!$G:$G,0))</f>
        <v>0.02</v>
      </c>
      <c r="AX82" s="23" cm="1">
        <f t="array" ref="AX82">VLOOKUP($R82,武学奇术!$A:$ZZ,8,FALSE)+SUM(_xlfn.XLOOKUP(S82:AL82,增益!$A:$A,增益!$H:$H,0))</f>
        <v>0</v>
      </c>
      <c r="AY82">
        <f t="shared" si="23"/>
        <v>0</v>
      </c>
      <c r="AZ82">
        <f t="shared" si="24"/>
        <v>0</v>
      </c>
      <c r="BA82" s="29" cm="1">
        <f t="array" ref="BA82">IF($F$11-$I$4+VLOOKUP($R82,武学奇术!$A:$ZZ,9,FALSE)+SUM(_xlfn.XLOOKUP(S82:AL82,增益!$A:$A,增益!$I:$I,0))&gt;0,($F$11-$I$4+VLOOKUP($R82,武学奇术!$A:$ZZ,9,FALSE)+SUM(_xlfn.XLOOKUP(S82:AL82,增益!$A:$A,增益!$I:$I,0)))/200,($F$11-$I$4+VLOOKUP($R82,武学奇术!$A:$ZZ,9,FALSE)+SUM(_xlfn.XLOOKUP(S82:AL82,增益!$A:$A,增益!$I:$I,0)))/100)</f>
        <v>-0.3</v>
      </c>
      <c r="BB82" s="29" cm="1">
        <f t="array" ref="BB82">$G$11+VLOOKUP($R82,武学奇术!$A:$ZZ,10,FALSE)+SUM(_xlfn.XLOOKUP(S82:AL82,增益!$A:$A,增益!$J:$J,0))</f>
        <v>0.02</v>
      </c>
      <c r="BC82">
        <f t="shared" si="25"/>
        <v>0</v>
      </c>
      <c r="BD82">
        <f t="shared" si="26"/>
        <v>0</v>
      </c>
      <c r="BE82" s="29" cm="1">
        <f t="array" ref="BE82">IF($F$12-$I$4+VLOOKUP($R82,武学奇术!$A:$ZZ,11,FALSE)+SUM(_xlfn.XLOOKUP(S82:AL82,增益!$A:$A,增益!$K:$K,0))&gt;0,($F$12-$I$4+VLOOKUP($R82,武学奇术!$A:$ZZ,11,FALSE)+SUM(_xlfn.XLOOKUP(S82:AL82,增益!$A:$A,增益!$K:$K,0)))/200,($F$12-$I$4+VLOOKUP($R82,武学奇术!$A:$ZZ,11,FALSE)+SUM(_xlfn.XLOOKUP(S82:AL82,增益!$A:$A,增益!$K:$K,0)))/100)</f>
        <v>-0.3</v>
      </c>
      <c r="BF82" s="29" cm="1">
        <f t="array" ref="BF82">$G$12+VLOOKUP($R82,武学奇术!$A:$ZZ,12,FALSE)+SUM(_xlfn.XLOOKUP(S82:AL82,增益!$A:$A,增益!$L:$L,0))</f>
        <v>0.02</v>
      </c>
      <c r="BG82">
        <f t="shared" si="27"/>
        <v>0</v>
      </c>
      <c r="BH82">
        <f t="shared" si="28"/>
        <v>0</v>
      </c>
      <c r="BI82" s="29" cm="1">
        <f t="array" ref="BI82">IF($F$13-$I$4+VLOOKUP($R82,武学奇术!$A:$ZZ,13,FALSE)+SUM(_xlfn.XLOOKUP(S82:AL82,增益!$A:$A,增益!$M:$M,0))&gt;0,($F$13-$I$4+VLOOKUP($R82,武学奇术!$A:$ZZ,13,FALSE)+SUM(_xlfn.XLOOKUP(S82:AL82,增益!$A:$A,增益!$K:$K,0)))/200,($F$13-$I$4+VLOOKUP($R82,武学奇术!$A:$ZZ,13,FALSE)+SUM(_xlfn.XLOOKUP(S82:AL82,增益!$A:$A,增益!$M:$M,0)))/100)</f>
        <v>-0.3</v>
      </c>
      <c r="BJ82" s="29" cm="1">
        <f t="array" ref="BJ82">$G$13+VLOOKUP($R82,武学奇术!$A:$ZZ,14,FALSE)+SUM(_xlfn.XLOOKUP(S82:AL82,增益!$A:$A,增益!$N:$N,0))</f>
        <v>0.02</v>
      </c>
      <c r="BK82">
        <f t="shared" si="29"/>
        <v>618.2</v>
      </c>
      <c r="BL82">
        <f t="shared" si="30"/>
        <v>1805</v>
      </c>
      <c r="BM82" s="29" cm="1">
        <f t="array" ref="BM82">IF($F$14-$I$4+VLOOKUP($R82,武学奇术!$A:$ZZ,15,FALSE)+SUM(_xlfn.XLOOKUP(S82:AL82,增益!$A:$A,增益!$O:$O,0))&gt;0,($F$14-$I$4+VLOOKUP($R82,武学奇术!$A:$ZZ,15,FALSE)+SUM(_xlfn.XLOOKUP(S82:AL82,增益!$A:$A,增益!$O:$O,0)))/200,($F$14-$I$4+VLOOKUP($R82,武学奇术!$A:$ZZ,15,FALSE)+SUM(_xlfn.XLOOKUP(S82:AL82,增益!$A:$A,增益!$O:$O,0)))/100)</f>
        <v>0</v>
      </c>
      <c r="BN82" s="29" cm="1">
        <f t="array" ref="BN82">$G$14+VLOOKUP($R82,武学奇术!$A:$ZZ,16,FALSE)+SUM(_xlfn.XLOOKUP(S82:AL82,增益!$A:$A,增益!$P:$P,0))</f>
        <v>0.17</v>
      </c>
      <c r="BO82" s="23">
        <f>MIN(IF(VLOOKUP($R82,武学奇术!$A:$ZZ,23,FALSE)=1,100%,$B$8),100%)</f>
        <v>0.9943</v>
      </c>
      <c r="BP82" s="23" cm="1">
        <f t="array" ref="BP82">IF(VLOOKUP($R82,武学奇术!$A:$ZZ,23,FALSE)=1,100%,MIN(80%,$B$9+VLOOKUP($R82,武学奇术!$A:$ZZ,17,FALSE)+SUM(_xlfn.XLOOKUP(S82:AL82,增益!$A:$A,增益!$Q:$Q,0)))+$B$11+SUM(_xlfn.XLOOKUP(S82:AL82,增益!$A:$A,增益!$U:$U,0)))*IF(VLOOKUP($R82,武学奇术!$A:$ZZ,24,FALSE)=1,0,1)</f>
        <v>0.8</v>
      </c>
      <c r="BQ82" s="23" cm="1">
        <f t="array" ref="BQ82">1+$B$13+VLOOKUP($R82,武学奇术!$A:$ZZ,18,FALSE)+SUM(_xlfn.XLOOKUP(S82:AL82,增益!$A:$A,增益!$R:$R,0))</f>
        <v>1.544</v>
      </c>
      <c r="BR82" s="23" cm="1">
        <f t="array" ref="BR82">IF(VLOOKUP($R82,武学奇术!$A:$ZZ,24,FALSE)=1,100%,MIN(40%,$B$10+VLOOKUP($R82,武学奇术!$A:$ZZ,19,FALSE)+SUM(_xlfn.XLOOKUP(S82:AL82,增益!$A:$A,增益!$S:$S,0)))+$B$12+SUM(_xlfn.XLOOKUP(S82:AL82,增益!$A:$A,增益!$V:$V,0)))*IF(VLOOKUP($R82,武学奇术!$A:$ZZ,23,FALSE)=1,0,1)</f>
        <v>0.0913</v>
      </c>
      <c r="BS82" s="23" cm="1">
        <f t="array" ref="BS82">1+$B$14+VLOOKUP($R82,武学奇术!$A:$ZZ,20,FALSE)+SUM(_xlfn.XLOOKUP(S82:AL82,增益!$A:$A,增益!$T:$T,0))</f>
        <v>1.35</v>
      </c>
      <c r="BT82" s="23">
        <f t="shared" si="31"/>
        <v>0.79544</v>
      </c>
      <c r="BU82" s="23">
        <f t="shared" si="32"/>
        <v>0.10808041</v>
      </c>
      <c r="BV82" s="23">
        <f>IF(VLOOKUP($R82,武学奇术!$A:$ZZ,22,FALSE)=1,0,(1-$BO82))*(1-$BR82)</f>
        <v>0.00517958999999993</v>
      </c>
      <c r="BW82" s="23" cm="1">
        <f t="array" ref="BW82">SUM(_xlfn.XLOOKUP(S82:AL82,增益!$A:$A,增益!$W:$W,0))+$I$5</f>
        <v>0.11</v>
      </c>
      <c r="BX82" s="23">
        <f>VLOOKUP($R82,武学奇术!$A:$ZZ,32,FALSE)</f>
        <v>0</v>
      </c>
      <c r="BY82" s="23" cm="1">
        <f t="array" ref="BY82">SUM(_xlfn.XLOOKUP($S82:$AL82,增益!$A:$A,增益!$X:$X,0))</f>
        <v>0</v>
      </c>
    </row>
    <row r="83" spans="1:77">
      <c r="A83" s="4" t="s">
        <v>167</v>
      </c>
      <c r="B83" s="4">
        <v>1.3</v>
      </c>
      <c r="E83" s="36"/>
      <c r="K83" s="35">
        <f>$L83*VLOOKUP($R83,武学奇术!$A:$ZZ,31,FALSE)</f>
        <v>19855.1002785612</v>
      </c>
      <c r="L83" s="35">
        <f t="shared" ref="L83:L113" si="34">($M83*$BT83+$N83*$BR83+$O83*$BU83+$P83*$BV83)</f>
        <v>17727.7681058582</v>
      </c>
      <c r="M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轻击",$B$21,0))*(1+IF(VLOOKUP($R83,武学奇术!$A:$ZZ,30,FALSE)="老鼠",$B$22,0))*(1+$BW83)*(1+$BX83)</f>
        <v>19106.4892069133</v>
      </c>
      <c r="N83" s="35">
        <f>(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轻击",$B$21,0))*(1+IF(VLOOKUP($R83,武学奇术!$A:$ZZ,30,FALSE)="老鼠",$B$22,0))*(1+$BW83))*(1+$BX83)</f>
        <v>15262.3521721421</v>
      </c>
      <c r="O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轻击",$B$21,0))*(1+IF(VLOOKUP($R83,武学奇术!$A:$ZZ,30,FALSE)="老鼠",$B$22,0))*(1+$BW83)*(1+$BX83)</f>
        <v>10087.9034883386</v>
      </c>
      <c r="P83" s="35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轻击",$B$21,0))*(1+IF(VLOOKUP($R83,武学奇术!$A:$ZZ,30,FALSE)="老鼠",$B$22,0))*(1+$BW83)*(1+$BX83)</f>
        <v>8870.36092323864</v>
      </c>
      <c r="Q83" s="36">
        <v>1</v>
      </c>
      <c r="R83" s="37" t="s">
        <v>111</v>
      </c>
      <c r="S83" s="37" t="s">
        <v>91</v>
      </c>
      <c r="T83" s="37" t="s">
        <v>185</v>
      </c>
      <c r="U83" s="37" t="s">
        <v>112</v>
      </c>
      <c r="V83" s="37" t="s">
        <v>113</v>
      </c>
      <c r="W83" s="37" t="s">
        <v>82</v>
      </c>
      <c r="X83" s="37" t="s">
        <v>81</v>
      </c>
      <c r="Y83" s="37" t="s">
        <v>109</v>
      </c>
      <c r="Z83" s="37" t="s">
        <v>81</v>
      </c>
      <c r="AA83" s="37" t="s">
        <v>84</v>
      </c>
      <c r="AB83" s="37" t="s">
        <v>183</v>
      </c>
      <c r="AC83" s="37" t="s">
        <v>186</v>
      </c>
      <c r="AD83" s="37" t="s">
        <v>81</v>
      </c>
      <c r="AE83" s="37" t="s">
        <v>86</v>
      </c>
      <c r="AF83" s="37" t="s">
        <v>81</v>
      </c>
      <c r="AG83" s="37" t="s">
        <v>87</v>
      </c>
      <c r="AH83" s="37" t="s">
        <v>88</v>
      </c>
      <c r="AI83" s="37" t="s">
        <v>81</v>
      </c>
      <c r="AJ83" s="37" t="s">
        <v>81</v>
      </c>
      <c r="AK83" s="37" t="s">
        <v>81</v>
      </c>
      <c r="AL83" s="37" t="s">
        <v>81</v>
      </c>
      <c r="AM83" t="str">
        <f>VLOOKUP($R83,武学奇术!$A:$ZZ,25,FALSE)</f>
        <v>双刀</v>
      </c>
      <c r="AN83" s="23">
        <f>VLOOKUP($R83,武学奇术!$A:$ZZ,26,FALSE)</f>
        <v>0.4205</v>
      </c>
      <c r="AO83" s="24">
        <f>VLOOKUP($R83,武学奇术!$A:$ZZ,27,FALSE)*(1+IF(OR($AM83=$F$4,$AM83=$F$5),$B$23,0))</f>
        <v>187.2</v>
      </c>
      <c r="AP83" s="23">
        <f>VLOOKUP($R83,武学奇术!$A:$ZZ,28,FALSE)</f>
        <v>0.6307</v>
      </c>
      <c r="AQ83" s="24">
        <f>VLOOKUP($R83,武学奇术!$A:$ZZ,29,FALSE)*(1+IF(OR($AM83=$F$4,$AM83=$F$5),$B$23,0))</f>
        <v>102.4</v>
      </c>
      <c r="AR83" s="23" cm="1">
        <f t="array" ref="AR83">$G$3+IFERROR(VLOOKUP($AM83,$F$4:$G$7,2,FALSE),0)+VLOOKUP($R83,武学奇术!$A:$ZZ,2,FALSE)+SUM(_xlfn.XLOOKUP($S83:$AL83,增益!$A:$A,增益!$B:$B,0))</f>
        <v>0.6243</v>
      </c>
      <c r="AS83" s="23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4150.4</v>
      </c>
      <c r="AU83" cm="1">
        <f t="array" ref="AU83">$E$10*(1+$AS83)+VLOOKUP($R83,武学奇术!$A:$ZZ,4,FALSE)+SUM(_xlfn.XLOOKUP($S83:$AL83,增益!$A:$A,增益!$D:$D,0))-$I$2</f>
        <v>4150.4</v>
      </c>
      <c r="AV83" s="29" cm="1">
        <f t="array" ref="AV83">IF($F$10-$I$3+VLOOKUP($R83,武学奇术!$A:$ZZ,6,FALSE)+SUM(_xlfn.XLOOKUP(S83:AL83,增益!$A:$A,增益!$F:$F,0))&gt;0,($F$10-$I$3+VLOOKUP($R83,武学奇术!$A:$ZZ,6,FALSE)+SUM(_xlfn.XLOOKUP(S83:AL83,增益!$A:$A,增益!$F:$F,0)))/200,($F$10-$I$3+VLOOKUP($R83,武学奇术!$A:$ZZ,6,FALSE)+SUM(_xlfn.XLOOKUP(S83:AL83,增益!$A:$A,增益!$F:$F,0)))/100)</f>
        <v>0.4539</v>
      </c>
      <c r="AW83" s="29" cm="1">
        <f t="array" ref="AW83">$G$10+VLOOKUP($R83,武学奇术!$A:$ZZ,7,FALSE)+SUM(_xlfn.XLOOKUP(S83:AL83,增益!$A:$A,增益!$G:$G,0))</f>
        <v>0.08</v>
      </c>
      <c r="AX83" s="23" cm="1">
        <f t="array" ref="AX83">VLOOKUP($R83,武学奇术!$A:$ZZ,8,FALSE)+SUM(_xlfn.XLOOKUP(S83:AL83,增益!$A:$A,增益!$H:$H,0))</f>
        <v>0</v>
      </c>
      <c r="AY83">
        <f t="shared" si="23"/>
        <v>0</v>
      </c>
      <c r="AZ83">
        <f t="shared" si="24"/>
        <v>0</v>
      </c>
      <c r="BA83" s="29" cm="1">
        <f t="array" ref="BA83">IF($F$11-$I$4+VLOOKUP($R83,武学奇术!$A:$ZZ,9,FALSE)+SUM(_xlfn.XLOOKUP(S83:AL83,增益!$A:$A,增益!$I:$I,0))&gt;0,($F$11-$I$4+VLOOKUP($R83,武学奇术!$A:$ZZ,9,FALSE)+SUM(_xlfn.XLOOKUP(S83:AL83,增益!$A:$A,增益!$I:$I,0)))/200,($F$11-$I$4+VLOOKUP($R83,武学奇术!$A:$ZZ,9,FALSE)+SUM(_xlfn.XLOOKUP(S83:AL83,增益!$A:$A,增益!$I:$I,0)))/100)</f>
        <v>-0.14</v>
      </c>
      <c r="BB83" s="29" cm="1">
        <f t="array" ref="BB83">$G$11+VLOOKUP($R83,武学奇术!$A:$ZZ,10,FALSE)+SUM(_xlfn.XLOOKUP(S83:AL83,增益!$A:$A,增益!$J:$J,0))</f>
        <v>0.12</v>
      </c>
      <c r="BC83">
        <f t="shared" si="25"/>
        <v>0</v>
      </c>
      <c r="BD83">
        <f t="shared" si="26"/>
        <v>0</v>
      </c>
      <c r="BE83" s="29" cm="1">
        <f t="array" ref="BE83">IF($F$12-$I$4+VLOOKUP($R83,武学奇术!$A:$ZZ,11,FALSE)+SUM(_xlfn.XLOOKUP(S83:AL83,增益!$A:$A,增益!$K:$K,0))&gt;0,($F$12-$I$4+VLOOKUP($R83,武学奇术!$A:$ZZ,11,FALSE)+SUM(_xlfn.XLOOKUP(S83:AL83,增益!$A:$A,增益!$K:$K,0)))/200,($F$12-$I$4+VLOOKUP($R83,武学奇术!$A:$ZZ,11,FALSE)+SUM(_xlfn.XLOOKUP(S83:AL83,增益!$A:$A,增益!$K:$K,0)))/100)</f>
        <v>-0.14</v>
      </c>
      <c r="BF83" s="29" cm="1">
        <f t="array" ref="BF83">$G$12+VLOOKUP($R83,武学奇术!$A:$ZZ,12,FALSE)+SUM(_xlfn.XLOOKUP(S83:AL83,增益!$A:$A,增益!$L:$L,0))</f>
        <v>0.02</v>
      </c>
      <c r="BG83">
        <f t="shared" si="27"/>
        <v>0</v>
      </c>
      <c r="BH83">
        <f t="shared" si="28"/>
        <v>0</v>
      </c>
      <c r="BI83" s="29" cm="1">
        <f t="array" ref="BI83">IF($F$13-$I$4+VLOOKUP($R83,武学奇术!$A:$ZZ,13,FALSE)+SUM(_xlfn.XLOOKUP(S83:AL83,增益!$A:$A,增益!$M:$M,0))&gt;0,($F$13-$I$4+VLOOKUP($R83,武学奇术!$A:$ZZ,13,FALSE)+SUM(_xlfn.XLOOKUP(S83:AL83,增益!$A:$A,增益!$K:$K,0)))/200,($F$13-$I$4+VLOOKUP($R83,武学奇术!$A:$ZZ,13,FALSE)+SUM(_xlfn.XLOOKUP(S83:AL83,增益!$A:$A,增益!$M:$M,0)))/100)</f>
        <v>-0.14</v>
      </c>
      <c r="BJ83" s="29" cm="1">
        <f t="array" ref="BJ83">$G$13+VLOOKUP($R83,武学奇术!$A:$ZZ,14,FALSE)+SUM(_xlfn.XLOOKUP(S83:AL83,增益!$A:$A,增益!$N:$N,0))</f>
        <v>0.02</v>
      </c>
      <c r="BK83">
        <f t="shared" si="29"/>
        <v>618.2</v>
      </c>
      <c r="BL83">
        <f t="shared" si="30"/>
        <v>1805</v>
      </c>
      <c r="BM83" s="29" cm="1">
        <f t="array" ref="BM83">IF($F$14-$I$4+VLOOKUP($R83,武学奇术!$A:$ZZ,15,FALSE)+SUM(_xlfn.XLOOKUP(S83:AL83,增益!$A:$A,增益!$O:$O,0))&gt;0,($F$14-$I$4+VLOOKUP($R83,武学奇术!$A:$ZZ,15,FALSE)+SUM(_xlfn.XLOOKUP(S83:AL83,增益!$A:$A,增益!$O:$O,0)))/200,($F$14-$I$4+VLOOKUP($R83,武学奇术!$A:$ZZ,15,FALSE)+SUM(_xlfn.XLOOKUP(S83:AL83,增益!$A:$A,增益!$O:$O,0)))/100)</f>
        <v>0.13</v>
      </c>
      <c r="BN83" s="29" cm="1">
        <f t="array" ref="BN83">$G$14+VLOOKUP($R83,武学奇术!$A:$ZZ,16,FALSE)+SUM(_xlfn.XLOOKUP(S83:AL83,增益!$A:$A,增益!$P:$P,0))</f>
        <v>0.23</v>
      </c>
      <c r="BO83" s="23">
        <f>MIN(IF(VLOOKUP($R83,武学奇术!$A:$ZZ,23,FALSE)=1,100%,$B$8),100%)</f>
        <v>0.9943</v>
      </c>
      <c r="BP83" s="23" cm="1">
        <f t="array" ref="BP83">IF(VLOOKUP($R83,武学奇术!$A:$ZZ,23,FALSE)=1,100%,MIN(80%,$B$9+VLOOKUP($R83,武学奇术!$A:$ZZ,17,FALSE)+SUM(_xlfn.XLOOKUP(S83:AL83,增益!$A:$A,增益!$Q:$Q,0)))+$B$11+SUM(_xlfn.XLOOKUP(S83:AL83,增益!$A:$A,增益!$U:$U,0)))*IF(VLOOKUP($R83,武学奇术!$A:$ZZ,24,FALSE)=1,0,1)</f>
        <v>0.8</v>
      </c>
      <c r="BQ83" s="23" cm="1">
        <f t="array" ref="BQ83">1+$B$13+VLOOKUP($R83,武学奇术!$A:$ZZ,18,FALSE)+SUM(_xlfn.XLOOKUP(S83:AL83,增益!$A:$A,增益!$R:$R,0))</f>
        <v>1.894</v>
      </c>
      <c r="BR83" s="23" cm="1">
        <f t="array" ref="BR83">IF(VLOOKUP($R83,武学奇术!$A:$ZZ,24,FALSE)=1,100%,MIN(40%,$B$10+VLOOKUP($R83,武学奇术!$A:$ZZ,19,FALSE)+SUM(_xlfn.XLOOKUP(S83:AL83,增益!$A:$A,增益!$S:$S,0)))+$B$12+SUM(_xlfn.XLOOKUP(S83:AL83,增益!$A:$A,增益!$V:$V,0)))*IF(VLOOKUP($R83,武学奇术!$A:$ZZ,23,FALSE)=1,0,1)</f>
        <v>0.0913</v>
      </c>
      <c r="BS83" s="23" cm="1">
        <f t="array" ref="BS83">1+$B$14+VLOOKUP($R83,武学奇术!$A:$ZZ,20,FALSE)+SUM(_xlfn.XLOOKUP(S83:AL83,增益!$A:$A,增益!$T:$T,0))</f>
        <v>1.35</v>
      </c>
      <c r="BT83" s="23">
        <f t="shared" si="31"/>
        <v>0.79544</v>
      </c>
      <c r="BU83" s="23">
        <f t="shared" si="32"/>
        <v>0.10808041</v>
      </c>
      <c r="BV83" s="23">
        <f>IF(VLOOKUP($R83,武学奇术!$A:$ZZ,22,FALSE)=1,0,(1-$BO83))*(1-$BR83)</f>
        <v>0.00517958999999993</v>
      </c>
      <c r="BW83" s="23" cm="1">
        <f t="array" ref="BW83">SUM(_xlfn.XLOOKUP(S83:AL83,增益!$A:$A,增益!$W:$W,0))+$I$5</f>
        <v>0.31</v>
      </c>
      <c r="BX83" s="23">
        <f>VLOOKUP($R83,武学奇术!$A:$ZZ,32,FALSE)</f>
        <v>0.1</v>
      </c>
      <c r="BY83" s="23" cm="1">
        <f t="array" ref="BY83">SUM(_xlfn.XLOOKUP($S83:$AL83,增益!$A:$A,增益!$X:$X,0))</f>
        <v>0</v>
      </c>
    </row>
    <row r="84" spans="1:77">
      <c r="A84" s="4" t="s">
        <v>169</v>
      </c>
      <c r="B84" s="4">
        <v>0.7</v>
      </c>
      <c r="C84" s="36" t="s">
        <v>170</v>
      </c>
      <c r="D84" s="36" t="s">
        <v>85</v>
      </c>
      <c r="E84" s="36"/>
      <c r="K84" s="35">
        <f>$L84*VLOOKUP($R84,武学奇术!$A:$ZZ,31,FALSE)</f>
        <v>21284.2345568842</v>
      </c>
      <c r="L84" s="35">
        <f t="shared" si="34"/>
        <v>19003.7808543609</v>
      </c>
      <c r="M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轻击",$B$21,0))*(1+IF(VLOOKUP($R84,武学奇术!$A:$ZZ,30,FALSE)="老鼠",$B$22,0))*(1+$BW84)*(1+$BX84)</f>
        <v>20481.6894460767</v>
      </c>
      <c r="N84" s="35">
        <f>(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轻击",$B$21,0))*(1+IF(VLOOKUP($R84,武学奇术!$A:$ZZ,30,FALSE)="老鼠",$B$22,0))*(1+$BW84))*(1+$BX84)</f>
        <v>16361.4027943091</v>
      </c>
      <c r="O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轻击",$B$21,0))*(1+IF(VLOOKUP($R84,武学奇术!$A:$ZZ,30,FALSE)="老鼠",$B$22,0))*(1+$BW84)*(1+$BX84)</f>
        <v>10813.9859799772</v>
      </c>
      <c r="P84" s="35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轻击",$B$21,0))*(1+IF(VLOOKUP($R84,武学奇术!$A:$ZZ,30,FALSE)="老鼠",$B$22,0))*(1+$BW84)*(1+$BX84)</f>
        <v>9508.41433454016</v>
      </c>
      <c r="Q84" s="36">
        <v>1</v>
      </c>
      <c r="R84" s="37" t="s">
        <v>116</v>
      </c>
      <c r="S84" s="37" t="s">
        <v>91</v>
      </c>
      <c r="T84" s="37" t="s">
        <v>185</v>
      </c>
      <c r="U84" s="37" t="s">
        <v>112</v>
      </c>
      <c r="V84" s="37" t="s">
        <v>113</v>
      </c>
      <c r="W84" s="37" t="s">
        <v>82</v>
      </c>
      <c r="X84" s="37" t="s">
        <v>81</v>
      </c>
      <c r="Y84" s="37" t="s">
        <v>109</v>
      </c>
      <c r="Z84" s="37" t="s">
        <v>81</v>
      </c>
      <c r="AA84" s="37" t="s">
        <v>84</v>
      </c>
      <c r="AB84" s="37" t="s">
        <v>183</v>
      </c>
      <c r="AC84" s="37" t="s">
        <v>186</v>
      </c>
      <c r="AD84" s="37" t="s">
        <v>81</v>
      </c>
      <c r="AE84" s="37" t="s">
        <v>86</v>
      </c>
      <c r="AF84" s="37" t="s">
        <v>81</v>
      </c>
      <c r="AG84" s="37" t="s">
        <v>87</v>
      </c>
      <c r="AH84" s="37" t="s">
        <v>88</v>
      </c>
      <c r="AI84" s="37" t="s">
        <v>81</v>
      </c>
      <c r="AJ84" s="37" t="s">
        <v>81</v>
      </c>
      <c r="AK84" s="37" t="s">
        <v>81</v>
      </c>
      <c r="AL84" s="37" t="s">
        <v>81</v>
      </c>
      <c r="AM84" t="str">
        <f>VLOOKUP($R84,武学奇术!$A:$ZZ,25,FALSE)</f>
        <v>双刀</v>
      </c>
      <c r="AN84" s="23">
        <f>VLOOKUP($R84,武学奇术!$A:$ZZ,26,FALSE)</f>
        <v>0.4508</v>
      </c>
      <c r="AO84" s="24">
        <f>VLOOKUP($R84,武学奇术!$A:$ZZ,27,FALSE)*(1+IF(OR($AM84=$F$4,$AM84=$F$5),$B$23,0))</f>
        <v>201.6</v>
      </c>
      <c r="AP84" s="23">
        <f>VLOOKUP($R84,武学奇术!$A:$ZZ,28,FALSE)</f>
        <v>0.6763</v>
      </c>
      <c r="AQ84" s="24">
        <f>VLOOKUP($R84,武学奇术!$A:$ZZ,29,FALSE)*(1+IF(OR($AM84=$F$4,$AM84=$F$5),$B$23,0))</f>
        <v>108.8</v>
      </c>
      <c r="AR84" s="23" cm="1">
        <f t="array" ref="AR84">$G$3+IFERROR(VLOOKUP($AM84,$F$4:$G$7,2,FALSE),0)+VLOOKUP($R84,武学奇术!$A:$ZZ,2,FALSE)+SUM(_xlfn.XLOOKUP($S84:$AL84,增益!$A:$A,增益!$B:$B,0))</f>
        <v>0.6243</v>
      </c>
      <c r="AS84" s="23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4150.4</v>
      </c>
      <c r="AU84" cm="1">
        <f t="array" ref="AU84">$E$10*(1+$AS84)+VLOOKUP($R84,武学奇术!$A:$ZZ,4,FALSE)+SUM(_xlfn.XLOOKUP($S84:$AL84,增益!$A:$A,增益!$D:$D,0))-$I$2</f>
        <v>4150.4</v>
      </c>
      <c r="AV84" s="29" cm="1">
        <f t="array" ref="AV84">IF($F$10-$I$3+VLOOKUP($R84,武学奇术!$A:$ZZ,6,FALSE)+SUM(_xlfn.XLOOKUP(S84:AL84,增益!$A:$A,增益!$F:$F,0))&gt;0,($F$10-$I$3+VLOOKUP($R84,武学奇术!$A:$ZZ,6,FALSE)+SUM(_xlfn.XLOOKUP(S84:AL84,增益!$A:$A,增益!$F:$F,0)))/200,($F$10-$I$3+VLOOKUP($R84,武学奇术!$A:$ZZ,6,FALSE)+SUM(_xlfn.XLOOKUP(S84:AL84,增益!$A:$A,增益!$F:$F,0)))/100)</f>
        <v>0.4539</v>
      </c>
      <c r="AW84" s="29" cm="1">
        <f t="array" ref="AW84">$G$10+VLOOKUP($R84,武学奇术!$A:$ZZ,7,FALSE)+SUM(_xlfn.XLOOKUP(S84:AL84,增益!$A:$A,增益!$G:$G,0))</f>
        <v>0.08</v>
      </c>
      <c r="AX84" s="23" cm="1">
        <f t="array" ref="AX84">VLOOKUP($R84,武学奇术!$A:$ZZ,8,FALSE)+SUM(_xlfn.XLOOKUP(S84:AL84,增益!$A:$A,增益!$H:$H,0))</f>
        <v>0</v>
      </c>
      <c r="AY84">
        <f t="shared" si="23"/>
        <v>0</v>
      </c>
      <c r="AZ84">
        <f t="shared" si="24"/>
        <v>0</v>
      </c>
      <c r="BA84" s="29" cm="1">
        <f t="array" ref="BA84">IF($F$11-$I$4+VLOOKUP($R84,武学奇术!$A:$ZZ,9,FALSE)+SUM(_xlfn.XLOOKUP(S84:AL84,增益!$A:$A,增益!$I:$I,0))&gt;0,($F$11-$I$4+VLOOKUP($R84,武学奇术!$A:$ZZ,9,FALSE)+SUM(_xlfn.XLOOKUP(S84:AL84,增益!$A:$A,增益!$I:$I,0)))/200,($F$11-$I$4+VLOOKUP($R84,武学奇术!$A:$ZZ,9,FALSE)+SUM(_xlfn.XLOOKUP(S84:AL84,增益!$A:$A,增益!$I:$I,0)))/100)</f>
        <v>-0.14</v>
      </c>
      <c r="BB84" s="29" cm="1">
        <f t="array" ref="BB84">$G$11+VLOOKUP($R84,武学奇术!$A:$ZZ,10,FALSE)+SUM(_xlfn.XLOOKUP(S84:AL84,增益!$A:$A,增益!$J:$J,0))</f>
        <v>0.12</v>
      </c>
      <c r="BC84">
        <f t="shared" si="25"/>
        <v>0</v>
      </c>
      <c r="BD84">
        <f t="shared" si="26"/>
        <v>0</v>
      </c>
      <c r="BE84" s="29" cm="1">
        <f t="array" ref="BE84">IF($F$12-$I$4+VLOOKUP($R84,武学奇术!$A:$ZZ,11,FALSE)+SUM(_xlfn.XLOOKUP(S84:AL84,增益!$A:$A,增益!$K:$K,0))&gt;0,($F$12-$I$4+VLOOKUP($R84,武学奇术!$A:$ZZ,11,FALSE)+SUM(_xlfn.XLOOKUP(S84:AL84,增益!$A:$A,增益!$K:$K,0)))/200,($F$12-$I$4+VLOOKUP($R84,武学奇术!$A:$ZZ,11,FALSE)+SUM(_xlfn.XLOOKUP(S84:AL84,增益!$A:$A,增益!$K:$K,0)))/100)</f>
        <v>-0.14</v>
      </c>
      <c r="BF84" s="29" cm="1">
        <f t="array" ref="BF84">$G$12+VLOOKUP($R84,武学奇术!$A:$ZZ,12,FALSE)+SUM(_xlfn.XLOOKUP(S84:AL84,增益!$A:$A,增益!$L:$L,0))</f>
        <v>0.02</v>
      </c>
      <c r="BG84">
        <f t="shared" si="27"/>
        <v>0</v>
      </c>
      <c r="BH84">
        <f t="shared" si="28"/>
        <v>0</v>
      </c>
      <c r="BI84" s="29" cm="1">
        <f t="array" ref="BI84">IF($F$13-$I$4+VLOOKUP($R84,武学奇术!$A:$ZZ,13,FALSE)+SUM(_xlfn.XLOOKUP(S84:AL84,增益!$A:$A,增益!$M:$M,0))&gt;0,($F$13-$I$4+VLOOKUP($R84,武学奇术!$A:$ZZ,13,FALSE)+SUM(_xlfn.XLOOKUP(S84:AL84,增益!$A:$A,增益!$K:$K,0)))/200,($F$13-$I$4+VLOOKUP($R84,武学奇术!$A:$ZZ,13,FALSE)+SUM(_xlfn.XLOOKUP(S84:AL84,增益!$A:$A,增益!$M:$M,0)))/100)</f>
        <v>-0.14</v>
      </c>
      <c r="BJ84" s="29" cm="1">
        <f t="array" ref="BJ84">$G$13+VLOOKUP($R84,武学奇术!$A:$ZZ,14,FALSE)+SUM(_xlfn.XLOOKUP(S84:AL84,增益!$A:$A,增益!$N:$N,0))</f>
        <v>0.02</v>
      </c>
      <c r="BK84">
        <f t="shared" si="29"/>
        <v>618.2</v>
      </c>
      <c r="BL84">
        <f t="shared" si="30"/>
        <v>1805</v>
      </c>
      <c r="BM84" s="29" cm="1">
        <f t="array" ref="BM84">IF($F$14-$I$4+VLOOKUP($R84,武学奇术!$A:$ZZ,15,FALSE)+SUM(_xlfn.XLOOKUP(S84:AL84,增益!$A:$A,增益!$O:$O,0))&gt;0,($F$14-$I$4+VLOOKUP($R84,武学奇术!$A:$ZZ,15,FALSE)+SUM(_xlfn.XLOOKUP(S84:AL84,增益!$A:$A,增益!$O:$O,0)))/200,($F$14-$I$4+VLOOKUP($R84,武学奇术!$A:$ZZ,15,FALSE)+SUM(_xlfn.XLOOKUP(S84:AL84,增益!$A:$A,增益!$O:$O,0)))/100)</f>
        <v>0.13</v>
      </c>
      <c r="BN84" s="29" cm="1">
        <f t="array" ref="BN84">$G$14+VLOOKUP($R84,武学奇术!$A:$ZZ,16,FALSE)+SUM(_xlfn.XLOOKUP(S84:AL84,增益!$A:$A,增益!$P:$P,0))</f>
        <v>0.23</v>
      </c>
      <c r="BO84" s="23">
        <f>MIN(IF(VLOOKUP($R84,武学奇术!$A:$ZZ,23,FALSE)=1,100%,$B$8),100%)</f>
        <v>0.9943</v>
      </c>
      <c r="BP84" s="23" cm="1">
        <f t="array" ref="BP84">IF(VLOOKUP($R84,武学奇术!$A:$ZZ,23,FALSE)=1,100%,MIN(80%,$B$9+VLOOKUP($R84,武学奇术!$A:$ZZ,17,FALSE)+SUM(_xlfn.XLOOKUP(S84:AL84,增益!$A:$A,增益!$Q:$Q,0)))+$B$11+SUM(_xlfn.XLOOKUP(S84:AL84,增益!$A:$A,增益!$U:$U,0)))*IF(VLOOKUP($R84,武学奇术!$A:$ZZ,24,FALSE)=1,0,1)</f>
        <v>0.8</v>
      </c>
      <c r="BQ84" s="23" cm="1">
        <f t="array" ref="BQ84">1+$B$13+VLOOKUP($R84,武学奇术!$A:$ZZ,18,FALSE)+SUM(_xlfn.XLOOKUP(S84:AL84,增益!$A:$A,增益!$R:$R,0))</f>
        <v>1.894</v>
      </c>
      <c r="BR84" s="23" cm="1">
        <f t="array" ref="BR84">IF(VLOOKUP($R84,武学奇术!$A:$ZZ,24,FALSE)=1,100%,MIN(40%,$B$10+VLOOKUP($R84,武学奇术!$A:$ZZ,19,FALSE)+SUM(_xlfn.XLOOKUP(S84:AL84,增益!$A:$A,增益!$S:$S,0)))+$B$12+SUM(_xlfn.XLOOKUP(S84:AL84,增益!$A:$A,增益!$V:$V,0)))*IF(VLOOKUP($R84,武学奇术!$A:$ZZ,23,FALSE)=1,0,1)</f>
        <v>0.0913</v>
      </c>
      <c r="BS84" s="23" cm="1">
        <f t="array" ref="BS84">1+$B$14+VLOOKUP($R84,武学奇术!$A:$ZZ,20,FALSE)+SUM(_xlfn.XLOOKUP(S84:AL84,增益!$A:$A,增益!$T:$T,0))</f>
        <v>1.35</v>
      </c>
      <c r="BT84" s="23">
        <f t="shared" si="31"/>
        <v>0.79544</v>
      </c>
      <c r="BU84" s="23">
        <f t="shared" si="32"/>
        <v>0.10808041</v>
      </c>
      <c r="BV84" s="23">
        <f>IF(VLOOKUP($R84,武学奇术!$A:$ZZ,22,FALSE)=1,0,(1-$BO84))*(1-$BR84)</f>
        <v>0.00517958999999993</v>
      </c>
      <c r="BW84" s="23" cm="1">
        <f t="array" ref="BW84">SUM(_xlfn.XLOOKUP(S84:AL84,增益!$A:$A,增益!$W:$W,0))+$I$5</f>
        <v>0.31</v>
      </c>
      <c r="BX84" s="23">
        <f>VLOOKUP($R84,武学奇术!$A:$ZZ,32,FALSE)</f>
        <v>0.1</v>
      </c>
      <c r="BY84" s="23" cm="1">
        <f t="array" ref="BY84">SUM(_xlfn.XLOOKUP($S84:$AL84,增益!$A:$A,增益!$X:$X,0))</f>
        <v>0</v>
      </c>
    </row>
    <row r="85" spans="1:77">
      <c r="A85" s="93" t="s">
        <v>172</v>
      </c>
      <c r="B85" s="4">
        <v>0.166</v>
      </c>
      <c r="C85" s="36"/>
      <c r="D85" s="36"/>
      <c r="F85" s="25">
        <v>0.4</v>
      </c>
      <c r="K85" s="35">
        <f>$L85*VLOOKUP($R85,武学奇术!$A:$ZZ,31,FALSE)</f>
        <v>27636.6188421021</v>
      </c>
      <c r="L85" s="35">
        <f t="shared" si="34"/>
        <v>27094.7243550021</v>
      </c>
      <c r="M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轻击",$B$21,0))*(1+IF(VLOOKUP($R85,武学奇术!$A:$ZZ,30,FALSE)="老鼠",$B$22,0))*(1+$BW85)*(1+$BX85)</f>
        <v>29205.6021765167</v>
      </c>
      <c r="N85" s="35">
        <f>(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轻击",$B$21,0))*(1+IF(VLOOKUP($R85,武学奇术!$A:$ZZ,30,FALSE)="老鼠",$B$22,0))*(1+$BW85))*(1+$BX85)</f>
        <v>23290.6238167203</v>
      </c>
      <c r="O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轻击",$B$21,0))*(1+IF(VLOOKUP($R85,武学奇术!$A:$ZZ,30,FALSE)="老鼠",$B$22,0))*(1+$BW85)*(1+$BX85)</f>
        <v>15420.0645071366</v>
      </c>
      <c r="P85" s="35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轻击",$B$21,0))*(1+IF(VLOOKUP($R85,武学奇术!$A:$ZZ,30,FALSE)="老鼠",$B$22,0))*(1+$BW85)*(1+$BX85)</f>
        <v>13587.8150759618</v>
      </c>
      <c r="Q85" s="36">
        <v>1</v>
      </c>
      <c r="R85" s="37" t="s">
        <v>123</v>
      </c>
      <c r="S85" s="37" t="s">
        <v>91</v>
      </c>
      <c r="T85" s="37" t="s">
        <v>185</v>
      </c>
      <c r="U85" s="37" t="s">
        <v>81</v>
      </c>
      <c r="V85" s="37" t="s">
        <v>81</v>
      </c>
      <c r="W85" s="37" t="s">
        <v>82</v>
      </c>
      <c r="X85" s="37" t="s">
        <v>81</v>
      </c>
      <c r="Y85" s="37" t="s">
        <v>81</v>
      </c>
      <c r="Z85" s="37" t="s">
        <v>81</v>
      </c>
      <c r="AA85" s="37" t="s">
        <v>84</v>
      </c>
      <c r="AB85" s="37" t="s">
        <v>183</v>
      </c>
      <c r="AC85" s="37" t="s">
        <v>186</v>
      </c>
      <c r="AD85" s="37" t="s">
        <v>81</v>
      </c>
      <c r="AE85" s="37" t="s">
        <v>86</v>
      </c>
      <c r="AF85" s="37" t="s">
        <v>81</v>
      </c>
      <c r="AG85" s="37" t="s">
        <v>87</v>
      </c>
      <c r="AH85" s="37" t="s">
        <v>88</v>
      </c>
      <c r="AI85" s="37" t="s">
        <v>81</v>
      </c>
      <c r="AJ85" s="37" t="s">
        <v>81</v>
      </c>
      <c r="AK85" s="37" t="s">
        <v>81</v>
      </c>
      <c r="AL85" s="37" t="s">
        <v>81</v>
      </c>
      <c r="AM85" t="str">
        <f>VLOOKUP($R85,武学奇术!$A:$ZZ,25,FALSE)</f>
        <v>双刀</v>
      </c>
      <c r="AN85" s="23">
        <f>VLOOKUP($R85,武学奇术!$A:$ZZ,26,FALSE)</f>
        <v>0.8267</v>
      </c>
      <c r="AO85" s="24">
        <f>VLOOKUP($R85,武学奇术!$A:$ZZ,27,FALSE)*(1+IF(OR($AM85=$F$4,$AM85=$F$5),$B$23,0))</f>
        <v>366.4</v>
      </c>
      <c r="AP85" s="23">
        <f>VLOOKUP($R85,武学奇术!$A:$ZZ,28,FALSE)</f>
        <v>1.24</v>
      </c>
      <c r="AQ85" s="24">
        <f>VLOOKUP($R85,武学奇术!$A:$ZZ,29,FALSE)*(1+IF(OR($AM85=$F$4,$AM85=$F$5),$B$23,0))</f>
        <v>200</v>
      </c>
      <c r="AR85" s="23" cm="1">
        <f t="array" ref="AR85">$G$3+IFERROR(VLOOKUP($AM85,$F$4:$G$7,2,FALSE),0)+VLOOKUP($R85,武学奇术!$A:$ZZ,2,FALSE)+SUM(_xlfn.XLOOKUP($S85:$AL85,增益!$A:$A,增益!$B:$B,0))</f>
        <v>0.5043</v>
      </c>
      <c r="AS85" s="23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4081.7</v>
      </c>
      <c r="AU85" cm="1">
        <f t="array" ref="AU85">$E$10*(1+$AS85)+VLOOKUP($R85,武学奇术!$A:$ZZ,4,FALSE)+SUM(_xlfn.XLOOKUP($S85:$AL85,增益!$A:$A,增益!$D:$D,0))-$I$2</f>
        <v>4081.7</v>
      </c>
      <c r="AV85" s="29" cm="1">
        <f t="array" ref="AV85">IF($F$10-$I$3+VLOOKUP($R85,武学奇术!$A:$ZZ,6,FALSE)+SUM(_xlfn.XLOOKUP(S85:AL85,增益!$A:$A,增益!$F:$F,0))&gt;0,($F$10-$I$3+VLOOKUP($R85,武学奇术!$A:$ZZ,6,FALSE)+SUM(_xlfn.XLOOKUP(S85:AL85,增益!$A:$A,增益!$F:$F,0)))/200,($F$10-$I$3+VLOOKUP($R85,武学奇术!$A:$ZZ,6,FALSE)+SUM(_xlfn.XLOOKUP(S85:AL85,增益!$A:$A,增益!$F:$F,0)))/100)</f>
        <v>0.4539</v>
      </c>
      <c r="AW85" s="29" cm="1">
        <f t="array" ref="AW85">$G$10+VLOOKUP($R85,武学奇术!$A:$ZZ,7,FALSE)+SUM(_xlfn.XLOOKUP(S85:AL85,增益!$A:$A,增益!$G:$G,0))</f>
        <v>0.02</v>
      </c>
      <c r="AX85" s="23" cm="1">
        <f t="array" ref="AX85">VLOOKUP($R85,武学奇术!$A:$ZZ,8,FALSE)+SUM(_xlfn.XLOOKUP(S85:AL85,增益!$A:$A,增益!$H:$H,0))</f>
        <v>0</v>
      </c>
      <c r="AY85">
        <f t="shared" si="23"/>
        <v>0</v>
      </c>
      <c r="AZ85">
        <f t="shared" si="24"/>
        <v>0</v>
      </c>
      <c r="BA85" s="29" cm="1">
        <f t="array" ref="BA85">IF($F$11-$I$4+VLOOKUP($R85,武学奇术!$A:$ZZ,9,FALSE)+SUM(_xlfn.XLOOKUP(S85:AL85,增益!$A:$A,增益!$I:$I,0))&gt;0,($F$11-$I$4+VLOOKUP($R85,武学奇术!$A:$ZZ,9,FALSE)+SUM(_xlfn.XLOOKUP(S85:AL85,增益!$A:$A,增益!$I:$I,0)))/200,($F$11-$I$4+VLOOKUP($R85,武学奇术!$A:$ZZ,9,FALSE)+SUM(_xlfn.XLOOKUP(S85:AL85,增益!$A:$A,增益!$I:$I,0)))/100)</f>
        <v>-0.14</v>
      </c>
      <c r="BB85" s="29" cm="1">
        <f t="array" ref="BB85">$G$11+VLOOKUP($R85,武学奇术!$A:$ZZ,10,FALSE)+SUM(_xlfn.XLOOKUP(S85:AL85,增益!$A:$A,增益!$J:$J,0))</f>
        <v>0.12</v>
      </c>
      <c r="BC85">
        <f t="shared" si="25"/>
        <v>0</v>
      </c>
      <c r="BD85">
        <f t="shared" si="26"/>
        <v>0</v>
      </c>
      <c r="BE85" s="29" cm="1">
        <f t="array" ref="BE85">IF($F$12-$I$4+VLOOKUP($R85,武学奇术!$A:$ZZ,11,FALSE)+SUM(_xlfn.XLOOKUP(S85:AL85,增益!$A:$A,增益!$K:$K,0))&gt;0,($F$12-$I$4+VLOOKUP($R85,武学奇术!$A:$ZZ,11,FALSE)+SUM(_xlfn.XLOOKUP(S85:AL85,增益!$A:$A,增益!$K:$K,0)))/200,($F$12-$I$4+VLOOKUP($R85,武学奇术!$A:$ZZ,11,FALSE)+SUM(_xlfn.XLOOKUP(S85:AL85,增益!$A:$A,增益!$K:$K,0)))/100)</f>
        <v>-0.14</v>
      </c>
      <c r="BF85" s="29" cm="1">
        <f t="array" ref="BF85">$G$12+VLOOKUP($R85,武学奇术!$A:$ZZ,12,FALSE)+SUM(_xlfn.XLOOKUP(S85:AL85,增益!$A:$A,增益!$L:$L,0))</f>
        <v>0.02</v>
      </c>
      <c r="BG85">
        <f t="shared" si="27"/>
        <v>0</v>
      </c>
      <c r="BH85">
        <f t="shared" si="28"/>
        <v>0</v>
      </c>
      <c r="BI85" s="29" cm="1">
        <f t="array" ref="BI85">IF($F$13-$I$4+VLOOKUP($R85,武学奇术!$A:$ZZ,13,FALSE)+SUM(_xlfn.XLOOKUP(S85:AL85,增益!$A:$A,增益!$M:$M,0))&gt;0,($F$13-$I$4+VLOOKUP($R85,武学奇术!$A:$ZZ,13,FALSE)+SUM(_xlfn.XLOOKUP(S85:AL85,增益!$A:$A,增益!$K:$K,0)))/200,($F$13-$I$4+VLOOKUP($R85,武学奇术!$A:$ZZ,13,FALSE)+SUM(_xlfn.XLOOKUP(S85:AL85,增益!$A:$A,增益!$M:$M,0)))/100)</f>
        <v>-0.14</v>
      </c>
      <c r="BJ85" s="29" cm="1">
        <f t="array" ref="BJ85">$G$13+VLOOKUP($R85,武学奇术!$A:$ZZ,14,FALSE)+SUM(_xlfn.XLOOKUP(S85:AL85,增益!$A:$A,增益!$N:$N,0))</f>
        <v>0.02</v>
      </c>
      <c r="BK85">
        <f t="shared" si="29"/>
        <v>618.2</v>
      </c>
      <c r="BL85">
        <f t="shared" si="30"/>
        <v>1805</v>
      </c>
      <c r="BM85" s="29" cm="1">
        <f t="array" ref="BM85">IF($F$14-$I$4+VLOOKUP($R85,武学奇术!$A:$ZZ,15,FALSE)+SUM(_xlfn.XLOOKUP(S85:AL85,增益!$A:$A,增益!$O:$O,0))&gt;0,($F$14-$I$4+VLOOKUP($R85,武学奇术!$A:$ZZ,15,FALSE)+SUM(_xlfn.XLOOKUP(S85:AL85,增益!$A:$A,增益!$O:$O,0)))/200,($F$14-$I$4+VLOOKUP($R85,武学奇术!$A:$ZZ,15,FALSE)+SUM(_xlfn.XLOOKUP(S85:AL85,增益!$A:$A,增益!$O:$O,0)))/100)</f>
        <v>0.08</v>
      </c>
      <c r="BN85" s="29" cm="1">
        <f t="array" ref="BN85">$G$14+VLOOKUP($R85,武学奇术!$A:$ZZ,16,FALSE)+SUM(_xlfn.XLOOKUP(S85:AL85,增益!$A:$A,增益!$P:$P,0))</f>
        <v>0.17</v>
      </c>
      <c r="BO85" s="23">
        <f>MIN(IF(VLOOKUP($R85,武学奇术!$A:$ZZ,23,FALSE)=1,100%,$B$8),100%)</f>
        <v>0.9943</v>
      </c>
      <c r="BP85" s="23" cm="1">
        <f t="array" ref="BP85">IF(VLOOKUP($R85,武学奇术!$A:$ZZ,23,FALSE)=1,100%,MIN(80%,$B$9+VLOOKUP($R85,武学奇术!$A:$ZZ,17,FALSE)+SUM(_xlfn.XLOOKUP(S85:AL85,增益!$A:$A,增益!$Q:$Q,0)))+$B$11+SUM(_xlfn.XLOOKUP(S85:AL85,增益!$A:$A,增益!$U:$U,0)))*IF(VLOOKUP($R85,武学奇术!$A:$ZZ,24,FALSE)=1,0,1)</f>
        <v>0.8</v>
      </c>
      <c r="BQ85" s="23" cm="1">
        <f t="array" ref="BQ85">1+$B$13+VLOOKUP($R85,武学奇术!$A:$ZZ,18,FALSE)+SUM(_xlfn.XLOOKUP(S85:AL85,增益!$A:$A,增益!$R:$R,0))</f>
        <v>1.894</v>
      </c>
      <c r="BR85" s="23" cm="1">
        <f t="array" ref="BR85">IF(VLOOKUP($R85,武学奇术!$A:$ZZ,24,FALSE)=1,100%,MIN(40%,$B$10+VLOOKUP($R85,武学奇术!$A:$ZZ,19,FALSE)+SUM(_xlfn.XLOOKUP(S85:AL85,增益!$A:$A,增益!$S:$S,0)))+$B$12+SUM(_xlfn.XLOOKUP(S85:AL85,增益!$A:$A,增益!$V:$V,0)))*IF(VLOOKUP($R85,武学奇术!$A:$ZZ,23,FALSE)=1,0,1)</f>
        <v>0.0913</v>
      </c>
      <c r="BS85" s="23" cm="1">
        <f t="array" ref="BS85">1+$B$14+VLOOKUP($R85,武学奇术!$A:$ZZ,20,FALSE)+SUM(_xlfn.XLOOKUP(S85:AL85,增益!$A:$A,增益!$T:$T,0))</f>
        <v>1.35</v>
      </c>
      <c r="BT85" s="23">
        <f t="shared" si="31"/>
        <v>0.79544</v>
      </c>
      <c r="BU85" s="23">
        <f t="shared" si="32"/>
        <v>0.10808041</v>
      </c>
      <c r="BV85" s="23">
        <f>IF(VLOOKUP($R85,武学奇术!$A:$ZZ,22,FALSE)=1,0,(1-$BO85))*(1-$BR85)</f>
        <v>0.00517958999999993</v>
      </c>
      <c r="BW85" s="23" cm="1">
        <f t="array" ref="BW85">SUM(_xlfn.XLOOKUP(S85:AL85,增益!$A:$A,增益!$W:$W,0))+$I$5</f>
        <v>0.31</v>
      </c>
      <c r="BX85" s="23">
        <f>VLOOKUP($R85,武学奇术!$A:$ZZ,32,FALSE)</f>
        <v>0</v>
      </c>
      <c r="BY85" s="23" cm="1">
        <f t="array" ref="BY85">SUM(_xlfn.XLOOKUP($S85:$AL85,增益!$A:$A,增益!$X:$X,0))</f>
        <v>0</v>
      </c>
    </row>
    <row r="86" spans="1:77">
      <c r="A86" s="93" t="s">
        <v>173</v>
      </c>
      <c r="B86" s="4">
        <v>0.633</v>
      </c>
      <c r="C86" s="36"/>
      <c r="D86" s="36"/>
      <c r="K86" s="35">
        <f>$L86*VLOOKUP($R86,武学奇术!$A:$ZZ,31,FALSE)</f>
        <v>116445.294515546</v>
      </c>
      <c r="L86" s="69">
        <f t="shared" si="34"/>
        <v>114162.053446614</v>
      </c>
      <c r="M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轻击",$B$21,0))*(1+IF(VLOOKUP($R86,武学奇术!$A:$ZZ,30,FALSE)="老鼠",$B$22,0))*(1+$BW86)*(1+$BX86)</f>
        <v>122982.057801509</v>
      </c>
      <c r="N86" s="35">
        <f>(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轻击",$B$21,0))*(1+IF(VLOOKUP($R86,武学奇术!$A:$ZZ,30,FALSE)="老鼠",$B$22,0))*(1+$BW86))*(1+$BX86)</f>
        <v>98860.1628896386</v>
      </c>
      <c r="O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轻击",$B$21,0))*(1+IF(VLOOKUP($R86,武学奇术!$A:$ZZ,30,FALSE)="老鼠",$B$22,0))*(1+$BW86)*(1+$BX86)</f>
        <v>64932.4486808392</v>
      </c>
      <c r="P86" s="35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轻击",$B$21,0))*(1+IF(VLOOKUP($R86,武学奇术!$A:$ZZ,30,FALSE)="老鼠",$B$22,0))*(1+$BW86)*(1+$BX86)</f>
        <v>56635.1470730572</v>
      </c>
      <c r="Q86" s="70">
        <v>4</v>
      </c>
      <c r="R86" s="37" t="s">
        <v>106</v>
      </c>
      <c r="S86" s="37" t="s">
        <v>91</v>
      </c>
      <c r="T86" s="37" t="s">
        <v>185</v>
      </c>
      <c r="U86" s="37" t="s">
        <v>112</v>
      </c>
      <c r="V86" s="37" t="s">
        <v>113</v>
      </c>
      <c r="W86" s="37" t="s">
        <v>82</v>
      </c>
      <c r="X86" s="37" t="s">
        <v>81</v>
      </c>
      <c r="Y86" s="37" t="s">
        <v>109</v>
      </c>
      <c r="Z86" s="37" t="s">
        <v>81</v>
      </c>
      <c r="AA86" s="37" t="s">
        <v>81</v>
      </c>
      <c r="AB86" s="37" t="s">
        <v>183</v>
      </c>
      <c r="AC86" s="37" t="s">
        <v>186</v>
      </c>
      <c r="AD86" s="37" t="s">
        <v>81</v>
      </c>
      <c r="AE86" s="37" t="s">
        <v>86</v>
      </c>
      <c r="AF86" s="37" t="s">
        <v>81</v>
      </c>
      <c r="AG86" s="37" t="s">
        <v>87</v>
      </c>
      <c r="AH86" s="37" t="s">
        <v>88</v>
      </c>
      <c r="AI86" s="37" t="s">
        <v>81</v>
      </c>
      <c r="AJ86" s="37" t="s">
        <v>81</v>
      </c>
      <c r="AK86" s="37" t="s">
        <v>81</v>
      </c>
      <c r="AL86" s="37" t="s">
        <v>81</v>
      </c>
      <c r="AM86" t="str">
        <f>VLOOKUP($R86,武学奇术!$A:$ZZ,25,FALSE)</f>
        <v>绳镖</v>
      </c>
      <c r="AN86" s="23">
        <f>VLOOKUP($R86,武学奇术!$A:$ZZ,26,FALSE)</f>
        <v>0.3675</v>
      </c>
      <c r="AO86" s="24">
        <f>VLOOKUP($R86,武学奇术!$A:$ZZ,27,FALSE)*(1+IF(OR($AM86=$F$4,$AM86=$F$5),$B$23,0))</f>
        <v>0</v>
      </c>
      <c r="AP86" s="23">
        <f>VLOOKUP($R86,武学奇术!$A:$ZZ,28,FALSE)</f>
        <v>0.55125</v>
      </c>
      <c r="AQ86" s="24">
        <f>VLOOKUP($R86,武学奇术!$A:$ZZ,29,FALSE)*(1+IF(OR($AM86=$F$4,$AM86=$F$5),$B$23,0))</f>
        <v>0</v>
      </c>
      <c r="AR86" s="23" cm="1">
        <f t="array" ref="AR86">$G$3+IFERROR(VLOOKUP($AM86,$F$4:$G$7,2,FALSE),0)+VLOOKUP($R86,武学奇术!$A:$ZZ,2,FALSE)+SUM(_xlfn.XLOOKUP($S86:$AL86,增益!$A:$A,增益!$B:$B,0))</f>
        <v>1.4243</v>
      </c>
      <c r="AS86" s="23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4150.4</v>
      </c>
      <c r="AU86" cm="1">
        <f t="array" ref="AU86">$E$10*(1+$AS86)+VLOOKUP($R86,武学奇术!$A:$ZZ,4,FALSE)+SUM(_xlfn.XLOOKUP($S86:$AL86,增益!$A:$A,增益!$D:$D,0))-$I$2</f>
        <v>4150.4</v>
      </c>
      <c r="AV86" s="29" cm="1">
        <f t="array" ref="AV86">IF($F$10-$I$3+VLOOKUP($R86,武学奇术!$A:$ZZ,6,FALSE)+SUM(_xlfn.XLOOKUP(S86:AL86,增益!$A:$A,增益!$F:$F,0))&gt;0,($F$10-$I$3+VLOOKUP($R86,武学奇术!$A:$ZZ,6,FALSE)+SUM(_xlfn.XLOOKUP(S86:AL86,增益!$A:$A,增益!$F:$F,0)))/200,($F$10-$I$3+VLOOKUP($R86,武学奇术!$A:$ZZ,6,FALSE)+SUM(_xlfn.XLOOKUP(S86:AL86,增益!$A:$A,增益!$F:$F,0)))/100)</f>
        <v>0.4539</v>
      </c>
      <c r="AW86" s="29" cm="1">
        <f t="array" ref="AW86">$G$10+VLOOKUP($R86,武学奇术!$A:$ZZ,7,FALSE)+SUM(_xlfn.XLOOKUP(S86:AL86,增益!$A:$A,增益!$G:$G,0))</f>
        <v>0.29</v>
      </c>
      <c r="AX86" s="23" cm="1">
        <f t="array" ref="AX86">VLOOKUP($R86,武学奇术!$A:$ZZ,8,FALSE)+SUM(_xlfn.XLOOKUP(S86:AL86,增益!$A:$A,增益!$H:$H,0))</f>
        <v>0</v>
      </c>
      <c r="AY86">
        <f t="shared" si="23"/>
        <v>0</v>
      </c>
      <c r="AZ86">
        <f t="shared" si="24"/>
        <v>0</v>
      </c>
      <c r="BA86" s="29" cm="1">
        <f t="array" ref="BA86">IF($F$11-$I$4+VLOOKUP($R86,武学奇术!$A:$ZZ,9,FALSE)+SUM(_xlfn.XLOOKUP(S86:AL86,增益!$A:$A,增益!$I:$I,0))&gt;0,($F$11-$I$4+VLOOKUP($R86,武学奇术!$A:$ZZ,9,FALSE)+SUM(_xlfn.XLOOKUP(S86:AL86,增益!$A:$A,增益!$I:$I,0)))/200,($F$11-$I$4+VLOOKUP($R86,武学奇术!$A:$ZZ,9,FALSE)+SUM(_xlfn.XLOOKUP(S86:AL86,增益!$A:$A,增益!$I:$I,0)))/100)</f>
        <v>-0.3</v>
      </c>
      <c r="BB86" s="29" cm="1">
        <f t="array" ref="BB86">$G$11+VLOOKUP($R86,武学奇术!$A:$ZZ,10,FALSE)+SUM(_xlfn.XLOOKUP(S86:AL86,增益!$A:$A,增益!$J:$J,0))</f>
        <v>0.12</v>
      </c>
      <c r="BC86">
        <f t="shared" si="25"/>
        <v>0</v>
      </c>
      <c r="BD86">
        <f t="shared" si="26"/>
        <v>0</v>
      </c>
      <c r="BE86" s="29" cm="1">
        <f t="array" ref="BE86">IF($F$12-$I$4+VLOOKUP($R86,武学奇术!$A:$ZZ,11,FALSE)+SUM(_xlfn.XLOOKUP(S86:AL86,增益!$A:$A,增益!$K:$K,0))&gt;0,($F$12-$I$4+VLOOKUP($R86,武学奇术!$A:$ZZ,11,FALSE)+SUM(_xlfn.XLOOKUP(S86:AL86,增益!$A:$A,增益!$K:$K,0)))/200,($F$12-$I$4+VLOOKUP($R86,武学奇术!$A:$ZZ,11,FALSE)+SUM(_xlfn.XLOOKUP(S86:AL86,增益!$A:$A,增益!$K:$K,0)))/100)</f>
        <v>-0.3</v>
      </c>
      <c r="BF86" s="29" cm="1">
        <f t="array" ref="BF86">$G$12+VLOOKUP($R86,武学奇术!$A:$ZZ,12,FALSE)+SUM(_xlfn.XLOOKUP(S86:AL86,增益!$A:$A,增益!$L:$L,0))</f>
        <v>0.02</v>
      </c>
      <c r="BG86">
        <f t="shared" si="27"/>
        <v>0</v>
      </c>
      <c r="BH86">
        <f t="shared" si="28"/>
        <v>0</v>
      </c>
      <c r="BI86" s="29" cm="1">
        <f t="array" ref="BI86">IF($F$13-$I$4+VLOOKUP($R86,武学奇术!$A:$ZZ,13,FALSE)+SUM(_xlfn.XLOOKUP(S86:AL86,增益!$A:$A,增益!$M:$M,0))&gt;0,($F$13-$I$4+VLOOKUP($R86,武学奇术!$A:$ZZ,13,FALSE)+SUM(_xlfn.XLOOKUP(S86:AL86,增益!$A:$A,增益!$K:$K,0)))/200,($F$13-$I$4+VLOOKUP($R86,武学奇术!$A:$ZZ,13,FALSE)+SUM(_xlfn.XLOOKUP(S86:AL86,增益!$A:$A,增益!$M:$M,0)))/100)</f>
        <v>-0.3</v>
      </c>
      <c r="BJ86" s="29" cm="1">
        <f t="array" ref="BJ86">$G$13+VLOOKUP($R86,武学奇术!$A:$ZZ,14,FALSE)+SUM(_xlfn.XLOOKUP(S86:AL86,增益!$A:$A,增益!$N:$N,0))</f>
        <v>0.02</v>
      </c>
      <c r="BK86">
        <f t="shared" si="29"/>
        <v>618.2</v>
      </c>
      <c r="BL86">
        <f t="shared" si="30"/>
        <v>1805</v>
      </c>
      <c r="BM86" s="29" cm="1">
        <f t="array" ref="BM86">IF($F$14-$I$4+VLOOKUP($R86,武学奇术!$A:$ZZ,15,FALSE)+SUM(_xlfn.XLOOKUP(S86:AL86,增益!$A:$A,增益!$O:$O,0))&gt;0,($F$14-$I$4+VLOOKUP($R86,武学奇术!$A:$ZZ,15,FALSE)+SUM(_xlfn.XLOOKUP(S86:AL86,增益!$A:$A,增益!$O:$O,0)))/200,($F$14-$I$4+VLOOKUP($R86,武学奇术!$A:$ZZ,15,FALSE)+SUM(_xlfn.XLOOKUP(S86:AL86,增益!$A:$A,增益!$O:$O,0)))/100)</f>
        <v>0.05</v>
      </c>
      <c r="BN86" s="29" cm="1">
        <f t="array" ref="BN86">$G$14+VLOOKUP($R86,武学奇术!$A:$ZZ,16,FALSE)+SUM(_xlfn.XLOOKUP(S86:AL86,增益!$A:$A,增益!$P:$P,0))</f>
        <v>0.44</v>
      </c>
      <c r="BO86" s="23">
        <f>MIN(IF(VLOOKUP($R86,武学奇术!$A:$ZZ,23,FALSE)=1,100%,$B$8),100%)</f>
        <v>0.9943</v>
      </c>
      <c r="BP86" s="23" cm="1">
        <f t="array" ref="BP86">IF(VLOOKUP($R86,武学奇术!$A:$ZZ,23,FALSE)=1,100%,MIN(80%,$B$9+VLOOKUP($R86,武学奇术!$A:$ZZ,17,FALSE)+SUM(_xlfn.XLOOKUP(S86:AL86,增益!$A:$A,增益!$Q:$Q,0)))+$B$11+SUM(_xlfn.XLOOKUP(S86:AL86,增益!$A:$A,增益!$U:$U,0)))*IF(VLOOKUP($R86,武学奇术!$A:$ZZ,24,FALSE)=1,0,1)</f>
        <v>0.8</v>
      </c>
      <c r="BQ86" s="23" cm="1">
        <f t="array" ref="BQ86">1+$B$13+VLOOKUP($R86,武学奇术!$A:$ZZ,18,FALSE)+SUM(_xlfn.XLOOKUP(S86:AL86,增益!$A:$A,增益!$R:$R,0))</f>
        <v>1.894</v>
      </c>
      <c r="BR86" s="23" cm="1">
        <f t="array" ref="BR86">IF(VLOOKUP($R86,武学奇术!$A:$ZZ,24,FALSE)=1,100%,MIN(40%,$B$10+VLOOKUP($R86,武学奇术!$A:$ZZ,19,FALSE)+SUM(_xlfn.XLOOKUP(S86:AL86,增益!$A:$A,增益!$S:$S,0)))+$B$12+SUM(_xlfn.XLOOKUP(S86:AL86,增益!$A:$A,增益!$V:$V,0)))*IF(VLOOKUP($R86,武学奇术!$A:$ZZ,23,FALSE)=1,0,1)</f>
        <v>0.0913</v>
      </c>
      <c r="BS86" s="23" cm="1">
        <f t="array" ref="BS86">1+$B$14+VLOOKUP($R86,武学奇术!$A:$ZZ,20,FALSE)+SUM(_xlfn.XLOOKUP(S86:AL86,增益!$A:$A,增益!$T:$T,0))</f>
        <v>1.35</v>
      </c>
      <c r="BT86" s="23">
        <f t="shared" si="31"/>
        <v>0.79544</v>
      </c>
      <c r="BU86" s="23">
        <f t="shared" si="32"/>
        <v>0.10808041</v>
      </c>
      <c r="BV86" s="23">
        <f>IF(VLOOKUP($R86,武学奇术!$A:$ZZ,22,FALSE)=1,0,(1-$BO86))*(1-$BR86)</f>
        <v>0.00517959000000003</v>
      </c>
      <c r="BW86" s="23" cm="1">
        <f t="array" ref="BW86">SUM(_xlfn.XLOOKUP(S86:AL86,增益!$A:$A,增益!$W:$W,0))+$I$5</f>
        <v>0.31</v>
      </c>
      <c r="BX86" s="23">
        <f>VLOOKUP($R86,武学奇术!$A:$ZZ,32,FALSE)</f>
        <v>0</v>
      </c>
      <c r="BY86" s="23" cm="1">
        <f t="array" ref="BY86">SUM(_xlfn.XLOOKUP($S86:$AL86,增益!$A:$A,增益!$X:$X,0))</f>
        <v>0</v>
      </c>
    </row>
    <row r="87" spans="1:77">
      <c r="A87" s="93">
        <v>12345</v>
      </c>
      <c r="B87" s="4">
        <v>3.3</v>
      </c>
      <c r="C87" s="36"/>
      <c r="D87" s="36"/>
      <c r="K87" s="35">
        <f>$L87*VLOOKUP($R87,武学奇术!$A:$ZZ,31,FALSE)</f>
        <v>80936.6819869056</v>
      </c>
      <c r="L87" s="35">
        <f t="shared" si="34"/>
        <v>79349.6882224564</v>
      </c>
      <c r="M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轻击",$B$21,0))*(1+IF(VLOOKUP($R87,武学奇术!$A:$ZZ,30,FALSE)="老鼠",$B$22,0))*(1+$BW87)*(1+$BX87)</f>
        <v>85568.0844926212</v>
      </c>
      <c r="N87" s="35">
        <f>(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轻击",$B$21,0))*(1+IF(VLOOKUP($R87,武学奇术!$A:$ZZ,30,FALSE)="老鼠",$B$22,0))*(1+$BW87))*(1+$BX87)</f>
        <v>67851.2015332302</v>
      </c>
      <c r="O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轻击",$B$21,0))*(1+IF(VLOOKUP($R87,武学奇术!$A:$ZZ,30,FALSE)="老鼠",$B$22,0))*(1+$BW87)*(1+$BX87)</f>
        <v>45178.5029000112</v>
      </c>
      <c r="P87" s="35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轻击",$B$21,0))*(1+IF(VLOOKUP($R87,武学奇术!$A:$ZZ,30,FALSE)="老鼠",$B$22,0))*(1+$BW87)*(1+$BX87)</f>
        <v>40096.8565161482</v>
      </c>
      <c r="Q87" s="36">
        <v>1</v>
      </c>
      <c r="R87" s="37" t="s">
        <v>128</v>
      </c>
      <c r="S87" s="37" t="s">
        <v>91</v>
      </c>
      <c r="T87" s="37" t="s">
        <v>185</v>
      </c>
      <c r="U87" s="37" t="s">
        <v>81</v>
      </c>
      <c r="V87" s="37" t="s">
        <v>81</v>
      </c>
      <c r="W87" s="37" t="s">
        <v>82</v>
      </c>
      <c r="X87" s="37" t="s">
        <v>81</v>
      </c>
      <c r="Y87" s="37" t="s">
        <v>81</v>
      </c>
      <c r="Z87" s="37" t="s">
        <v>81</v>
      </c>
      <c r="AA87" s="37" t="s">
        <v>81</v>
      </c>
      <c r="AB87" s="37" t="s">
        <v>183</v>
      </c>
      <c r="AC87" s="37" t="s">
        <v>186</v>
      </c>
      <c r="AD87" s="37" t="s">
        <v>81</v>
      </c>
      <c r="AE87" s="37" t="s">
        <v>86</v>
      </c>
      <c r="AF87" s="37" t="s">
        <v>81</v>
      </c>
      <c r="AG87" s="37" t="s">
        <v>87</v>
      </c>
      <c r="AH87" s="37" t="s">
        <v>88</v>
      </c>
      <c r="AI87" s="37" t="s">
        <v>81</v>
      </c>
      <c r="AJ87" s="37" t="s">
        <v>81</v>
      </c>
      <c r="AK87" s="37" t="s">
        <v>81</v>
      </c>
      <c r="AL87" s="37" t="s">
        <v>81</v>
      </c>
      <c r="AM87" t="str">
        <f>VLOOKUP($R87,武学奇术!$A:$ZZ,25,FALSE)</f>
        <v>双刀</v>
      </c>
      <c r="AN87" s="23">
        <f>VLOOKUP($R87,武学奇术!$A:$ZZ,26,FALSE)</f>
        <v>2.4761</v>
      </c>
      <c r="AO87" s="24">
        <f>VLOOKUP($R87,武学奇术!$A:$ZZ,27,FALSE)*(1+IF(OR($AM87=$F$4,$AM87=$F$5),$B$23,0))</f>
        <v>1096</v>
      </c>
      <c r="AP87" s="23">
        <f>VLOOKUP($R87,武学奇术!$A:$ZZ,28,FALSE)</f>
        <v>3.7142</v>
      </c>
      <c r="AQ87" s="24">
        <f>VLOOKUP($R87,武学奇术!$A:$ZZ,29,FALSE)*(1+IF(OR($AM87=$F$4,$AM87=$F$5),$B$23,0))</f>
        <v>596.8</v>
      </c>
      <c r="AR87" s="23" cm="1">
        <f t="array" ref="AR87">$G$3+IFERROR(VLOOKUP($AM87,$F$4:$G$7,2,FALSE),0)+VLOOKUP($R87,武学奇术!$A:$ZZ,2,FALSE)+SUM(_xlfn.XLOOKUP($S87:$AL87,增益!$A:$A,增益!$B:$B,0))</f>
        <v>0.5043</v>
      </c>
      <c r="AS87" s="23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4081.7</v>
      </c>
      <c r="AU87" cm="1">
        <f t="array" ref="AU87">$E$10*(1+$AS87)+VLOOKUP($R87,武学奇术!$A:$ZZ,4,FALSE)+SUM(_xlfn.XLOOKUP($S87:$AL87,增益!$A:$A,增益!$D:$D,0))-$I$2</f>
        <v>4081.7</v>
      </c>
      <c r="AV87" s="29" cm="1">
        <f t="array" ref="AV87">IF($F$10-$I$3+VLOOKUP($R87,武学奇术!$A:$ZZ,6,FALSE)+SUM(_xlfn.XLOOKUP(S87:AL87,增益!$A:$A,增益!$F:$F,0))&gt;0,($F$10-$I$3+VLOOKUP($R87,武学奇术!$A:$ZZ,6,FALSE)+SUM(_xlfn.XLOOKUP(S87:AL87,增益!$A:$A,增益!$F:$F,0)))/200,($F$10-$I$3+VLOOKUP($R87,武学奇术!$A:$ZZ,6,FALSE)+SUM(_xlfn.XLOOKUP(S87:AL87,增益!$A:$A,增益!$F:$F,0)))/100)</f>
        <v>0.4539</v>
      </c>
      <c r="AW87" s="29" cm="1">
        <f t="array" ref="AW87">$G$10+VLOOKUP($R87,武学奇术!$A:$ZZ,7,FALSE)+SUM(_xlfn.XLOOKUP(S87:AL87,增益!$A:$A,增益!$G:$G,0))</f>
        <v>0.02</v>
      </c>
      <c r="AX87" s="23" cm="1">
        <f t="array" ref="AX87">VLOOKUP($R87,武学奇术!$A:$ZZ,8,FALSE)+SUM(_xlfn.XLOOKUP(S87:AL87,增益!$A:$A,增益!$H:$H,0))</f>
        <v>0</v>
      </c>
      <c r="AY87">
        <f t="shared" si="23"/>
        <v>0</v>
      </c>
      <c r="AZ87">
        <f t="shared" si="24"/>
        <v>0</v>
      </c>
      <c r="BA87" s="29" cm="1">
        <f t="array" ref="BA87">IF($F$11-$I$4+VLOOKUP($R87,武学奇术!$A:$ZZ,9,FALSE)+SUM(_xlfn.XLOOKUP(S87:AL87,增益!$A:$A,增益!$I:$I,0))&gt;0,($F$11-$I$4+VLOOKUP($R87,武学奇术!$A:$ZZ,9,FALSE)+SUM(_xlfn.XLOOKUP(S87:AL87,增益!$A:$A,增益!$I:$I,0)))/200,($F$11-$I$4+VLOOKUP($R87,武学奇术!$A:$ZZ,9,FALSE)+SUM(_xlfn.XLOOKUP(S87:AL87,增益!$A:$A,增益!$I:$I,0)))/100)</f>
        <v>-0.3</v>
      </c>
      <c r="BB87" s="29" cm="1">
        <f t="array" ref="BB87">$G$11+VLOOKUP($R87,武学奇术!$A:$ZZ,10,FALSE)+SUM(_xlfn.XLOOKUP(S87:AL87,增益!$A:$A,增益!$J:$J,0))</f>
        <v>0.12</v>
      </c>
      <c r="BC87">
        <f t="shared" si="25"/>
        <v>0</v>
      </c>
      <c r="BD87">
        <f t="shared" si="26"/>
        <v>0</v>
      </c>
      <c r="BE87" s="29" cm="1">
        <f t="array" ref="BE87">IF($F$12-$I$4+VLOOKUP($R87,武学奇术!$A:$ZZ,11,FALSE)+SUM(_xlfn.XLOOKUP(S87:AL87,增益!$A:$A,增益!$K:$K,0))&gt;0,($F$12-$I$4+VLOOKUP($R87,武学奇术!$A:$ZZ,11,FALSE)+SUM(_xlfn.XLOOKUP(S87:AL87,增益!$A:$A,增益!$K:$K,0)))/200,($F$12-$I$4+VLOOKUP($R87,武学奇术!$A:$ZZ,11,FALSE)+SUM(_xlfn.XLOOKUP(S87:AL87,增益!$A:$A,增益!$K:$K,0)))/100)</f>
        <v>-0.3</v>
      </c>
      <c r="BF87" s="29" cm="1">
        <f t="array" ref="BF87">$G$12+VLOOKUP($R87,武学奇术!$A:$ZZ,12,FALSE)+SUM(_xlfn.XLOOKUP(S87:AL87,增益!$A:$A,增益!$L:$L,0))</f>
        <v>0.02</v>
      </c>
      <c r="BG87">
        <f t="shared" si="27"/>
        <v>0</v>
      </c>
      <c r="BH87">
        <f t="shared" si="28"/>
        <v>0</v>
      </c>
      <c r="BI87" s="29" cm="1">
        <f t="array" ref="BI87">IF($F$13-$I$4+VLOOKUP($R87,武学奇术!$A:$ZZ,13,FALSE)+SUM(_xlfn.XLOOKUP(S87:AL87,增益!$A:$A,增益!$M:$M,0))&gt;0,($F$13-$I$4+VLOOKUP($R87,武学奇术!$A:$ZZ,13,FALSE)+SUM(_xlfn.XLOOKUP(S87:AL87,增益!$A:$A,增益!$K:$K,0)))/200,($F$13-$I$4+VLOOKUP($R87,武学奇术!$A:$ZZ,13,FALSE)+SUM(_xlfn.XLOOKUP(S87:AL87,增益!$A:$A,增益!$M:$M,0)))/100)</f>
        <v>-0.3</v>
      </c>
      <c r="BJ87" s="29" cm="1">
        <f t="array" ref="BJ87">$G$13+VLOOKUP($R87,武学奇术!$A:$ZZ,14,FALSE)+SUM(_xlfn.XLOOKUP(S87:AL87,增益!$A:$A,增益!$N:$N,0))</f>
        <v>0.02</v>
      </c>
      <c r="BK87">
        <f t="shared" si="29"/>
        <v>618.2</v>
      </c>
      <c r="BL87">
        <f t="shared" si="30"/>
        <v>1805</v>
      </c>
      <c r="BM87" s="29" cm="1">
        <f t="array" ref="BM87">IF($F$14-$I$4+VLOOKUP($R87,武学奇术!$A:$ZZ,15,FALSE)+SUM(_xlfn.XLOOKUP(S87:AL87,增益!$A:$A,增益!$O:$O,0))&gt;0,($F$14-$I$4+VLOOKUP($R87,武学奇术!$A:$ZZ,15,FALSE)+SUM(_xlfn.XLOOKUP(S87:AL87,增益!$A:$A,增益!$O:$O,0)))/200,($F$14-$I$4+VLOOKUP($R87,武学奇术!$A:$ZZ,15,FALSE)+SUM(_xlfn.XLOOKUP(S87:AL87,增益!$A:$A,增益!$O:$O,0)))/100)</f>
        <v>0</v>
      </c>
      <c r="BN87" s="29" cm="1">
        <f t="array" ref="BN87">$G$14+VLOOKUP($R87,武学奇术!$A:$ZZ,16,FALSE)+SUM(_xlfn.XLOOKUP(S87:AL87,增益!$A:$A,增益!$P:$P,0))</f>
        <v>0.17</v>
      </c>
      <c r="BO87" s="23">
        <f>MIN(IF(VLOOKUP($R87,武学奇术!$A:$ZZ,23,FALSE)=1,100%,$B$8),100%)</f>
        <v>0.9943</v>
      </c>
      <c r="BP87" s="23" cm="1">
        <f t="array" ref="BP87">IF(VLOOKUP($R87,武学奇术!$A:$ZZ,23,FALSE)=1,100%,MIN(80%,$B$9+VLOOKUP($R87,武学奇术!$A:$ZZ,17,FALSE)+SUM(_xlfn.XLOOKUP(S87:AL87,增益!$A:$A,增益!$Q:$Q,0)))+$B$11+SUM(_xlfn.XLOOKUP(S87:AL87,增益!$A:$A,增益!$U:$U,0)))*IF(VLOOKUP($R87,武学奇术!$A:$ZZ,24,FALSE)=1,0,1)</f>
        <v>0.8</v>
      </c>
      <c r="BQ87" s="23" cm="1">
        <f t="array" ref="BQ87">1+$B$13+VLOOKUP($R87,武学奇术!$A:$ZZ,18,FALSE)+SUM(_xlfn.XLOOKUP(S87:AL87,增益!$A:$A,增益!$R:$R,0))</f>
        <v>1.894</v>
      </c>
      <c r="BR87" s="23" cm="1">
        <f t="array" ref="BR87">IF(VLOOKUP($R87,武学奇术!$A:$ZZ,24,FALSE)=1,100%,MIN(40%,$B$10+VLOOKUP($R87,武学奇术!$A:$ZZ,19,FALSE)+SUM(_xlfn.XLOOKUP(S87:AL87,增益!$A:$A,增益!$S:$S,0)))+$B$12+SUM(_xlfn.XLOOKUP(S87:AL87,增益!$A:$A,增益!$V:$V,0)))*IF(VLOOKUP($R87,武学奇术!$A:$ZZ,23,FALSE)=1,0,1)</f>
        <v>0.0913</v>
      </c>
      <c r="BS87" s="23" cm="1">
        <f t="array" ref="BS87">1+$B$14+VLOOKUP($R87,武学奇术!$A:$ZZ,20,FALSE)+SUM(_xlfn.XLOOKUP(S87:AL87,增益!$A:$A,增益!$T:$T,0))</f>
        <v>1.35</v>
      </c>
      <c r="BT87" s="23">
        <f t="shared" si="31"/>
        <v>0.79544</v>
      </c>
      <c r="BU87" s="23">
        <f t="shared" si="32"/>
        <v>0.10808041</v>
      </c>
      <c r="BV87" s="23">
        <f>IF(VLOOKUP($R87,武学奇术!$A:$ZZ,22,FALSE)=1,0,(1-$BO87))*(1-$BR87)</f>
        <v>0.00517959000000003</v>
      </c>
      <c r="BW87" s="23" cm="1">
        <f t="array" ref="BW87">SUM(_xlfn.XLOOKUP(S87:AL87,增益!$A:$A,增益!$W:$W,0))+$I$5</f>
        <v>0.31</v>
      </c>
      <c r="BX87" s="23">
        <f>VLOOKUP($R87,武学奇术!$A:$ZZ,32,FALSE)</f>
        <v>0</v>
      </c>
      <c r="BY87" s="23" cm="1">
        <f t="array" ref="BY87">SUM(_xlfn.XLOOKUP($S87:$AL87,增益!$A:$A,增益!$X:$X,0))</f>
        <v>0</v>
      </c>
    </row>
    <row r="88" spans="1:77">
      <c r="A88" s="93" t="s">
        <v>174</v>
      </c>
      <c r="B88" s="4">
        <v>0.6</v>
      </c>
      <c r="C88" s="36"/>
      <c r="D88" s="36"/>
      <c r="K88" s="35">
        <f>$L88*VLOOKUP($R88,武学奇术!$A:$ZZ,31,FALSE)</f>
        <v>61500.5268045208</v>
      </c>
      <c r="L88" s="69">
        <f t="shared" si="34"/>
        <v>60294.6341220792</v>
      </c>
      <c r="M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轻击",$B$21,0))*(1+IF(VLOOKUP($R88,武学奇术!$A:$ZZ,30,FALSE)="老鼠",$B$22,0))*(1+$BW88)*(1+$BX88)</f>
        <v>63527.8184992318</v>
      </c>
      <c r="N88" s="35">
        <f>(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轻击",$B$21,0))*(1+IF(VLOOKUP($R88,武学奇术!$A:$ZZ,30,FALSE)="老鼠",$B$22,0))*(1+$BW88))*(1+$BX88)</f>
        <v>59285.4239706546</v>
      </c>
      <c r="O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轻击",$B$21,0))*(1+IF(VLOOKUP($R88,武学奇术!$A:$ZZ,30,FALSE)="老鼠",$B$22,0))*(1+$BW88)*(1+$BX88)</f>
        <v>38642.2253644962</v>
      </c>
      <c r="P88" s="35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轻击",$B$21,0))*(1+IF(VLOOKUP($R88,武学奇术!$A:$ZZ,30,FALSE)="老鼠",$B$22,0))*(1+$BW88)*(1+$BX88)</f>
        <v>33369.3218618409</v>
      </c>
      <c r="Q88" s="70">
        <v>3</v>
      </c>
      <c r="R88" s="37" t="s">
        <v>106</v>
      </c>
      <c r="S88" s="37" t="s">
        <v>91</v>
      </c>
      <c r="T88" s="37" t="s">
        <v>185</v>
      </c>
      <c r="U88" s="37" t="s">
        <v>112</v>
      </c>
      <c r="V88" s="37" t="s">
        <v>113</v>
      </c>
      <c r="W88" s="37" t="s">
        <v>82</v>
      </c>
      <c r="X88" s="37" t="s">
        <v>81</v>
      </c>
      <c r="Y88" s="37" t="s">
        <v>109</v>
      </c>
      <c r="Z88" s="37" t="s">
        <v>81</v>
      </c>
      <c r="AA88" s="37" t="s">
        <v>81</v>
      </c>
      <c r="AB88" s="37" t="s">
        <v>81</v>
      </c>
      <c r="AC88" s="37" t="s">
        <v>81</v>
      </c>
      <c r="AD88" s="37" t="s">
        <v>81</v>
      </c>
      <c r="AE88" s="37" t="s">
        <v>81</v>
      </c>
      <c r="AF88" s="37" t="s">
        <v>81</v>
      </c>
      <c r="AG88" s="37" t="s">
        <v>87</v>
      </c>
      <c r="AH88" s="37" t="s">
        <v>88</v>
      </c>
      <c r="AI88" s="37" t="s">
        <v>81</v>
      </c>
      <c r="AJ88" s="37" t="s">
        <v>81</v>
      </c>
      <c r="AK88" s="37" t="s">
        <v>81</v>
      </c>
      <c r="AL88" s="37" t="s">
        <v>81</v>
      </c>
      <c r="AM88" t="str">
        <f>VLOOKUP($R88,武学奇术!$A:$ZZ,25,FALSE)</f>
        <v>绳镖</v>
      </c>
      <c r="AN88" s="23">
        <f>VLOOKUP($R88,武学奇术!$A:$ZZ,26,FALSE)</f>
        <v>0.3675</v>
      </c>
      <c r="AO88" s="24">
        <f>VLOOKUP($R88,武学奇术!$A:$ZZ,27,FALSE)*(1+IF(OR($AM88=$F$4,$AM88=$F$5),$B$23,0))</f>
        <v>0</v>
      </c>
      <c r="AP88" s="23">
        <f>VLOOKUP($R88,武学奇术!$A:$ZZ,28,FALSE)</f>
        <v>0.55125</v>
      </c>
      <c r="AQ88" s="24">
        <f>VLOOKUP($R88,武学奇术!$A:$ZZ,29,FALSE)*(1+IF(OR($AM88=$F$4,$AM88=$F$5),$B$23,0))</f>
        <v>0</v>
      </c>
      <c r="AR88" s="23" cm="1">
        <f t="array" ref="AR88">$G$3+IFERROR(VLOOKUP($AM88,$F$4:$G$7,2,FALSE),0)+VLOOKUP($R88,武学奇术!$A:$ZZ,2,FALSE)+SUM(_xlfn.XLOOKUP($S88:$AL88,增益!$A:$A,增益!$B:$B,0))</f>
        <v>1.4243</v>
      </c>
      <c r="AS88" s="23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4150.4</v>
      </c>
      <c r="AU88" cm="1">
        <f t="array" ref="AU88">$E$10*(1+$AS88)+VLOOKUP($R88,武学奇术!$A:$ZZ,4,FALSE)+SUM(_xlfn.XLOOKUP($S88:$AL88,增益!$A:$A,增益!$D:$D,0))-$I$2</f>
        <v>4150.4</v>
      </c>
      <c r="AV88" s="29" cm="1">
        <f t="array" ref="AV88">IF($F$10-$I$3+VLOOKUP($R88,武学奇术!$A:$ZZ,6,FALSE)+SUM(_xlfn.XLOOKUP(S88:AL88,增益!$A:$A,增益!$F:$F,0))&gt;0,($F$10-$I$3+VLOOKUP($R88,武学奇术!$A:$ZZ,6,FALSE)+SUM(_xlfn.XLOOKUP(S88:AL88,增益!$A:$A,增益!$F:$F,0)))/200,($F$10-$I$3+VLOOKUP($R88,武学奇术!$A:$ZZ,6,FALSE)+SUM(_xlfn.XLOOKUP(S88:AL88,增益!$A:$A,增益!$F:$F,0)))/100)</f>
        <v>0.3289</v>
      </c>
      <c r="AW88" s="29" cm="1">
        <f t="array" ref="AW88">$G$10+VLOOKUP($R88,武学奇术!$A:$ZZ,7,FALSE)+SUM(_xlfn.XLOOKUP(S88:AL88,增益!$A:$A,增益!$G:$G,0))</f>
        <v>0.29</v>
      </c>
      <c r="AX88" s="23" cm="1">
        <f t="array" ref="AX88">VLOOKUP($R88,武学奇术!$A:$ZZ,8,FALSE)+SUM(_xlfn.XLOOKUP(S88:AL88,增益!$A:$A,增益!$H:$H,0))</f>
        <v>0</v>
      </c>
      <c r="AY88">
        <f t="shared" si="23"/>
        <v>0</v>
      </c>
      <c r="AZ88">
        <f t="shared" si="24"/>
        <v>0</v>
      </c>
      <c r="BA88" s="29" cm="1">
        <f t="array" ref="BA88">IF($F$11-$I$4+VLOOKUP($R88,武学奇术!$A:$ZZ,9,FALSE)+SUM(_xlfn.XLOOKUP(S88:AL88,增益!$A:$A,增益!$I:$I,0))&gt;0,($F$11-$I$4+VLOOKUP($R88,武学奇术!$A:$ZZ,9,FALSE)+SUM(_xlfn.XLOOKUP(S88:AL88,增益!$A:$A,增益!$I:$I,0)))/200,($F$11-$I$4+VLOOKUP($R88,武学奇术!$A:$ZZ,9,FALSE)+SUM(_xlfn.XLOOKUP(S88:AL88,增益!$A:$A,增益!$I:$I,0)))/100)</f>
        <v>-0.3</v>
      </c>
      <c r="BB88" s="29" cm="1">
        <f t="array" ref="BB88">$G$11+VLOOKUP($R88,武学奇术!$A:$ZZ,10,FALSE)+SUM(_xlfn.XLOOKUP(S88:AL88,增益!$A:$A,增益!$J:$J,0))</f>
        <v>0.02</v>
      </c>
      <c r="BC88">
        <f t="shared" si="25"/>
        <v>0</v>
      </c>
      <c r="BD88">
        <f t="shared" si="26"/>
        <v>0</v>
      </c>
      <c r="BE88" s="29" cm="1">
        <f t="array" ref="BE88">IF($F$12-$I$4+VLOOKUP($R88,武学奇术!$A:$ZZ,11,FALSE)+SUM(_xlfn.XLOOKUP(S88:AL88,增益!$A:$A,增益!$K:$K,0))&gt;0,($F$12-$I$4+VLOOKUP($R88,武学奇术!$A:$ZZ,11,FALSE)+SUM(_xlfn.XLOOKUP(S88:AL88,增益!$A:$A,增益!$K:$K,0)))/200,($F$12-$I$4+VLOOKUP($R88,武学奇术!$A:$ZZ,11,FALSE)+SUM(_xlfn.XLOOKUP(S88:AL88,增益!$A:$A,增益!$K:$K,0)))/100)</f>
        <v>-0.3</v>
      </c>
      <c r="BF88" s="29" cm="1">
        <f t="array" ref="BF88">$G$12+VLOOKUP($R88,武学奇术!$A:$ZZ,12,FALSE)+SUM(_xlfn.XLOOKUP(S88:AL88,增益!$A:$A,增益!$L:$L,0))</f>
        <v>0.02</v>
      </c>
      <c r="BG88">
        <f t="shared" si="27"/>
        <v>0</v>
      </c>
      <c r="BH88">
        <f t="shared" si="28"/>
        <v>0</v>
      </c>
      <c r="BI88" s="29" cm="1">
        <f t="array" ref="BI88">IF($F$13-$I$4+VLOOKUP($R88,武学奇术!$A:$ZZ,13,FALSE)+SUM(_xlfn.XLOOKUP(S88:AL88,增益!$A:$A,增益!$M:$M,0))&gt;0,($F$13-$I$4+VLOOKUP($R88,武学奇术!$A:$ZZ,13,FALSE)+SUM(_xlfn.XLOOKUP(S88:AL88,增益!$A:$A,增益!$K:$K,0)))/200,($F$13-$I$4+VLOOKUP($R88,武学奇术!$A:$ZZ,13,FALSE)+SUM(_xlfn.XLOOKUP(S88:AL88,增益!$A:$A,增益!$M:$M,0)))/100)</f>
        <v>-0.3</v>
      </c>
      <c r="BJ88" s="29" cm="1">
        <f t="array" ref="BJ88">$G$13+VLOOKUP($R88,武学奇术!$A:$ZZ,14,FALSE)+SUM(_xlfn.XLOOKUP(S88:AL88,增益!$A:$A,增益!$N:$N,0))</f>
        <v>0.02</v>
      </c>
      <c r="BK88">
        <f t="shared" si="29"/>
        <v>618.2</v>
      </c>
      <c r="BL88">
        <f t="shared" si="30"/>
        <v>1805</v>
      </c>
      <c r="BM88" s="29" cm="1">
        <f t="array" ref="BM88">IF($F$14-$I$4+VLOOKUP($R88,武学奇术!$A:$ZZ,15,FALSE)+SUM(_xlfn.XLOOKUP(S88:AL88,增益!$A:$A,增益!$O:$O,0))&gt;0,($F$14-$I$4+VLOOKUP($R88,武学奇术!$A:$ZZ,15,FALSE)+SUM(_xlfn.XLOOKUP(S88:AL88,增益!$A:$A,增益!$O:$O,0)))/200,($F$14-$I$4+VLOOKUP($R88,武学奇术!$A:$ZZ,15,FALSE)+SUM(_xlfn.XLOOKUP(S88:AL88,增益!$A:$A,增益!$O:$O,0)))/100)</f>
        <v>0.05</v>
      </c>
      <c r="BN88" s="29" cm="1">
        <f t="array" ref="BN88">$G$14+VLOOKUP($R88,武学奇术!$A:$ZZ,16,FALSE)+SUM(_xlfn.XLOOKUP(S88:AL88,增益!$A:$A,增益!$P:$P,0))</f>
        <v>0.44</v>
      </c>
      <c r="BO88" s="23">
        <f>MIN(IF(VLOOKUP($R88,武学奇术!$A:$ZZ,23,FALSE)=1,100%,$B$8),100%)</f>
        <v>0.9943</v>
      </c>
      <c r="BP88" s="23" cm="1">
        <f t="array" ref="BP88">IF(VLOOKUP($R88,武学奇术!$A:$ZZ,23,FALSE)=1,100%,MIN(80%,$B$9+VLOOKUP($R88,武学奇术!$A:$ZZ,17,FALSE)+SUM(_xlfn.XLOOKUP(S88:AL88,增益!$A:$A,增益!$Q:$Q,0)))+$B$11+SUM(_xlfn.XLOOKUP(S88:AL88,增益!$A:$A,增益!$U:$U,0)))*IF(VLOOKUP($R88,武学奇术!$A:$ZZ,24,FALSE)=1,0,1)</f>
        <v>0.8</v>
      </c>
      <c r="BQ88" s="23" cm="1">
        <f t="array" ref="BQ88">1+$B$13+VLOOKUP($R88,武学奇术!$A:$ZZ,18,FALSE)+SUM(_xlfn.XLOOKUP(S88:AL88,增益!$A:$A,增益!$R:$R,0))</f>
        <v>1.644</v>
      </c>
      <c r="BR88" s="23" cm="1">
        <f t="array" ref="BR88">IF(VLOOKUP($R88,武学奇术!$A:$ZZ,24,FALSE)=1,100%,MIN(40%,$B$10+VLOOKUP($R88,武学奇术!$A:$ZZ,19,FALSE)+SUM(_xlfn.XLOOKUP(S88:AL88,增益!$A:$A,增益!$S:$S,0)))+$B$12+SUM(_xlfn.XLOOKUP(S88:AL88,增益!$A:$A,增益!$V:$V,0)))*IF(VLOOKUP($R88,武学奇术!$A:$ZZ,23,FALSE)=1,0,1)</f>
        <v>0.0913</v>
      </c>
      <c r="BS88" s="23" cm="1">
        <f t="array" ref="BS88">1+$B$14+VLOOKUP($R88,武学奇术!$A:$ZZ,20,FALSE)+SUM(_xlfn.XLOOKUP(S88:AL88,增益!$A:$A,增益!$T:$T,0))</f>
        <v>1.35</v>
      </c>
      <c r="BT88" s="23">
        <f t="shared" si="31"/>
        <v>0.79544</v>
      </c>
      <c r="BU88" s="23">
        <f t="shared" si="32"/>
        <v>0.10808041</v>
      </c>
      <c r="BV88" s="23">
        <f>IF(VLOOKUP($R88,武学奇术!$A:$ZZ,22,FALSE)=1,0,(1-$BO88))*(1-$BR88)</f>
        <v>0.00517958999999993</v>
      </c>
      <c r="BW88" s="23" cm="1">
        <f t="array" ref="BW88">SUM(_xlfn.XLOOKUP(S88:AL88,增益!$A:$A,增益!$W:$W,0))+$I$5</f>
        <v>0.11</v>
      </c>
      <c r="BX88" s="23">
        <f>VLOOKUP($R88,武学奇术!$A:$ZZ,32,FALSE)</f>
        <v>0</v>
      </c>
      <c r="BY88" s="23" cm="1">
        <f t="array" ref="BY88">SUM(_xlfn.XLOOKUP($S88:$AL88,增益!$A:$A,增益!$X:$X,0))</f>
        <v>0</v>
      </c>
    </row>
    <row r="89" spans="1:77">
      <c r="A89" s="93">
        <v>123</v>
      </c>
      <c r="B89" s="4">
        <v>1.8</v>
      </c>
      <c r="C89" s="36"/>
      <c r="D89" s="36"/>
      <c r="E89" s="36" t="s">
        <v>171</v>
      </c>
      <c r="K89" s="35">
        <f>$L89*VLOOKUP($R89,武学奇术!$A:$ZZ,31,FALSE)</f>
        <v>38721.3715564611</v>
      </c>
      <c r="L89" s="35">
        <f t="shared" si="34"/>
        <v>34572.6531754117</v>
      </c>
      <c r="M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轻击",$B$21,0))*(1+IF(VLOOKUP($R89,武学奇术!$A:$ZZ,30,FALSE)="老鼠",$B$22,0))*(1+$BW89)*(1+$BX89)</f>
        <v>36382.4289772573</v>
      </c>
      <c r="N89" s="35">
        <f>(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轻击",$B$21,0))*(1+IF(VLOOKUP($R89,武学奇术!$A:$ZZ,30,FALSE)="老鼠",$B$22,0))*(1+$BW89))*(1+$BX89)</f>
        <v>22867.3157505728</v>
      </c>
      <c r="O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轻击",$B$21,0))*(1+IF(VLOOKUP($R89,武学奇术!$A:$ZZ,30,FALSE)="老鼠",$B$22,0))*(1+$BW89)*(1+$BX89)</f>
        <v>15197.3387540757</v>
      </c>
      <c r="P89" s="35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轻击",$B$21,0))*(1+IF(VLOOKUP($R89,武学奇术!$A:$ZZ,30,FALSE)="老鼠",$B$22,0))*(1+$BW89)*(1+$BX89)</f>
        <v>13455.9251003197</v>
      </c>
      <c r="Q89" s="36">
        <v>1</v>
      </c>
      <c r="R89" s="37" t="s">
        <v>139</v>
      </c>
      <c r="S89" s="37" t="s">
        <v>91</v>
      </c>
      <c r="T89" s="37" t="s">
        <v>185</v>
      </c>
      <c r="U89" s="37" t="s">
        <v>112</v>
      </c>
      <c r="V89" s="37" t="s">
        <v>113</v>
      </c>
      <c r="W89" s="37" t="s">
        <v>82</v>
      </c>
      <c r="X89" s="37" t="s">
        <v>81</v>
      </c>
      <c r="Y89" s="37" t="s">
        <v>109</v>
      </c>
      <c r="Z89" s="37" t="s">
        <v>83</v>
      </c>
      <c r="AA89" s="37" t="s">
        <v>81</v>
      </c>
      <c r="AB89" s="37" t="s">
        <v>183</v>
      </c>
      <c r="AC89" s="37" t="s">
        <v>186</v>
      </c>
      <c r="AD89" s="37" t="s">
        <v>81</v>
      </c>
      <c r="AE89" s="37" t="s">
        <v>86</v>
      </c>
      <c r="AF89" s="37" t="s">
        <v>81</v>
      </c>
      <c r="AG89" s="37" t="s">
        <v>87</v>
      </c>
      <c r="AH89" s="37" t="s">
        <v>88</v>
      </c>
      <c r="AI89" s="37" t="s">
        <v>81</v>
      </c>
      <c r="AJ89" s="37" t="s">
        <v>81</v>
      </c>
      <c r="AK89" s="37" t="s">
        <v>81</v>
      </c>
      <c r="AL89" s="37" t="s">
        <v>81</v>
      </c>
      <c r="AM89" t="str">
        <f>VLOOKUP($R89,武学奇术!$A:$ZZ,25,FALSE)</f>
        <v>双刀</v>
      </c>
      <c r="AN89" s="23">
        <f>VLOOKUP($R89,武学奇术!$A:$ZZ,26,FALSE)</f>
        <v>0.6472</v>
      </c>
      <c r="AO89" s="24">
        <f>VLOOKUP($R89,武学奇术!$A:$ZZ,27,FALSE)*(1+IF(OR($AM89=$F$4,$AM89=$F$5),$B$23,0))</f>
        <v>288</v>
      </c>
      <c r="AP89" s="23">
        <f>VLOOKUP($R89,武学奇术!$A:$ZZ,28,FALSE)</f>
        <v>0.9708</v>
      </c>
      <c r="AQ89" s="24">
        <f>VLOOKUP($R89,武学奇术!$A:$ZZ,29,FALSE)*(1+IF(OR($AM89=$F$4,$AM89=$F$5),$B$23,0))</f>
        <v>156.8</v>
      </c>
      <c r="AR89" s="23" cm="1">
        <f t="array" ref="AR89">$G$3+IFERROR(VLOOKUP($AM89,$F$4:$G$7,2,FALSE),0)+VLOOKUP($R89,武学奇术!$A:$ZZ,2,FALSE)+SUM(_xlfn.XLOOKUP($S89:$AL89,增益!$A:$A,增益!$B:$B,0))</f>
        <v>0.6243</v>
      </c>
      <c r="AS89" s="23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4150.4</v>
      </c>
      <c r="AU89" cm="1">
        <f t="array" ref="AU89">$E$10*(1+$AS89)+VLOOKUP($R89,武学奇术!$A:$ZZ,4,FALSE)+SUM(_xlfn.XLOOKUP($S89:$AL89,增益!$A:$A,增益!$D:$D,0))-$I$2</f>
        <v>4150.4</v>
      </c>
      <c r="AV89" s="29" cm="1">
        <f t="array" ref="AV89">IF($F$10-$I$3+VLOOKUP($R89,武学奇术!$A:$ZZ,6,FALSE)+SUM(_xlfn.XLOOKUP(S89:AL89,增益!$A:$A,增益!$F:$F,0))&gt;0,($F$10-$I$3+VLOOKUP($R89,武学奇术!$A:$ZZ,6,FALSE)+SUM(_xlfn.XLOOKUP(S89:AL89,增益!$A:$A,增益!$F:$F,0)))/200,($F$10-$I$3+VLOOKUP($R89,武学奇术!$A:$ZZ,6,FALSE)+SUM(_xlfn.XLOOKUP(S89:AL89,增益!$A:$A,增益!$F:$F,0)))/100)</f>
        <v>0.4539</v>
      </c>
      <c r="AW89" s="29" cm="1">
        <f t="array" ref="AW89">$G$10+VLOOKUP($R89,武学奇术!$A:$ZZ,7,FALSE)+SUM(_xlfn.XLOOKUP(S89:AL89,增益!$A:$A,增益!$G:$G,0))</f>
        <v>0.08</v>
      </c>
      <c r="AX89" s="23" cm="1">
        <f t="array" ref="AX89">VLOOKUP($R89,武学奇术!$A:$ZZ,8,FALSE)+SUM(_xlfn.XLOOKUP(S89:AL89,增益!$A:$A,增益!$H:$H,0))</f>
        <v>0</v>
      </c>
      <c r="AY89">
        <f t="shared" si="23"/>
        <v>0</v>
      </c>
      <c r="AZ89">
        <f t="shared" si="24"/>
        <v>0</v>
      </c>
      <c r="BA89" s="29" cm="1">
        <f t="array" ref="BA89">IF($F$11-$I$4+VLOOKUP($R89,武学奇术!$A:$ZZ,9,FALSE)+SUM(_xlfn.XLOOKUP(S89:AL89,增益!$A:$A,增益!$I:$I,0))&gt;0,($F$11-$I$4+VLOOKUP($R89,武学奇术!$A:$ZZ,9,FALSE)+SUM(_xlfn.XLOOKUP(S89:AL89,增益!$A:$A,增益!$I:$I,0)))/200,($F$11-$I$4+VLOOKUP($R89,武学奇术!$A:$ZZ,9,FALSE)+SUM(_xlfn.XLOOKUP(S89:AL89,增益!$A:$A,增益!$I:$I,0)))/100)</f>
        <v>-0.3</v>
      </c>
      <c r="BB89" s="29" cm="1">
        <f t="array" ref="BB89">$G$11+VLOOKUP($R89,武学奇术!$A:$ZZ,10,FALSE)+SUM(_xlfn.XLOOKUP(S89:AL89,增益!$A:$A,增益!$J:$J,0))</f>
        <v>0.12</v>
      </c>
      <c r="BC89">
        <f t="shared" si="25"/>
        <v>0</v>
      </c>
      <c r="BD89">
        <f t="shared" si="26"/>
        <v>0</v>
      </c>
      <c r="BE89" s="29" cm="1">
        <f t="array" ref="BE89">IF($F$12-$I$4+VLOOKUP($R89,武学奇术!$A:$ZZ,11,FALSE)+SUM(_xlfn.XLOOKUP(S89:AL89,增益!$A:$A,增益!$K:$K,0))&gt;0,($F$12-$I$4+VLOOKUP($R89,武学奇术!$A:$ZZ,11,FALSE)+SUM(_xlfn.XLOOKUP(S89:AL89,增益!$A:$A,增益!$K:$K,0)))/200,($F$12-$I$4+VLOOKUP($R89,武学奇术!$A:$ZZ,11,FALSE)+SUM(_xlfn.XLOOKUP(S89:AL89,增益!$A:$A,增益!$K:$K,0)))/100)</f>
        <v>-0.3</v>
      </c>
      <c r="BF89" s="29" cm="1">
        <f t="array" ref="BF89">$G$12+VLOOKUP($R89,武学奇术!$A:$ZZ,12,FALSE)+SUM(_xlfn.XLOOKUP(S89:AL89,增益!$A:$A,增益!$L:$L,0))</f>
        <v>0.02</v>
      </c>
      <c r="BG89">
        <f t="shared" si="27"/>
        <v>0</v>
      </c>
      <c r="BH89">
        <f t="shared" si="28"/>
        <v>0</v>
      </c>
      <c r="BI89" s="29" cm="1">
        <f t="array" ref="BI89">IF($F$13-$I$4+VLOOKUP($R89,武学奇术!$A:$ZZ,13,FALSE)+SUM(_xlfn.XLOOKUP(S89:AL89,增益!$A:$A,增益!$M:$M,0))&gt;0,($F$13-$I$4+VLOOKUP($R89,武学奇术!$A:$ZZ,13,FALSE)+SUM(_xlfn.XLOOKUP(S89:AL89,增益!$A:$A,增益!$K:$K,0)))/200,($F$13-$I$4+VLOOKUP($R89,武学奇术!$A:$ZZ,13,FALSE)+SUM(_xlfn.XLOOKUP(S89:AL89,增益!$A:$A,增益!$M:$M,0)))/100)</f>
        <v>-0.3</v>
      </c>
      <c r="BJ89" s="29" cm="1">
        <f t="array" ref="BJ89">$G$13+VLOOKUP($R89,武学奇术!$A:$ZZ,14,FALSE)+SUM(_xlfn.XLOOKUP(S89:AL89,增益!$A:$A,增益!$N:$N,0))</f>
        <v>0.02</v>
      </c>
      <c r="BK89">
        <f t="shared" si="29"/>
        <v>618.2</v>
      </c>
      <c r="BL89">
        <f t="shared" si="30"/>
        <v>1805</v>
      </c>
      <c r="BM89" s="29" cm="1">
        <f t="array" ref="BM89">IF($F$14-$I$4+VLOOKUP($R89,武学奇术!$A:$ZZ,15,FALSE)+SUM(_xlfn.XLOOKUP(S89:AL89,增益!$A:$A,增益!$O:$O,0))&gt;0,($F$14-$I$4+VLOOKUP($R89,武学奇术!$A:$ZZ,15,FALSE)+SUM(_xlfn.XLOOKUP(S89:AL89,增益!$A:$A,增益!$O:$O,0)))/200,($F$14-$I$4+VLOOKUP($R89,武学奇术!$A:$ZZ,15,FALSE)+SUM(_xlfn.XLOOKUP(S89:AL89,增益!$A:$A,增益!$O:$O,0)))/100)</f>
        <v>0.05</v>
      </c>
      <c r="BN89" s="29" cm="1">
        <f t="array" ref="BN89">$G$14+VLOOKUP($R89,武学奇术!$A:$ZZ,16,FALSE)+SUM(_xlfn.XLOOKUP(S89:AL89,增益!$A:$A,增益!$P:$P,0))</f>
        <v>0.23</v>
      </c>
      <c r="BO89" s="23">
        <f>MIN(IF(VLOOKUP($R89,武学奇术!$A:$ZZ,23,FALSE)=1,100%,$B$8),100%)</f>
        <v>0.9943</v>
      </c>
      <c r="BP89" s="23" cm="1">
        <f t="array" ref="BP89">IF(VLOOKUP($R89,武学奇术!$A:$ZZ,23,FALSE)=1,100%,MIN(80%,$B$9+VLOOKUP($R89,武学奇术!$A:$ZZ,17,FALSE)+SUM(_xlfn.XLOOKUP(S89:AL89,增益!$A:$A,增益!$Q:$Q,0)))+$B$11+SUM(_xlfn.XLOOKUP(S89:AL89,增益!$A:$A,增益!$U:$U,0)))*IF(VLOOKUP($R89,武学奇术!$A:$ZZ,24,FALSE)=1,0,1)</f>
        <v>0.887</v>
      </c>
      <c r="BQ89" s="23" cm="1">
        <f t="array" ref="BQ89">1+$B$13+VLOOKUP($R89,武学奇术!$A:$ZZ,18,FALSE)+SUM(_xlfn.XLOOKUP(S89:AL89,增益!$A:$A,增益!$R:$R,0))</f>
        <v>2.394</v>
      </c>
      <c r="BR89" s="23" cm="1">
        <f t="array" ref="BR89">IF(VLOOKUP($R89,武学奇术!$A:$ZZ,24,FALSE)=1,100%,MIN(40%,$B$10+VLOOKUP($R89,武学奇术!$A:$ZZ,19,FALSE)+SUM(_xlfn.XLOOKUP(S89:AL89,增益!$A:$A,增益!$S:$S,0)))+$B$12+SUM(_xlfn.XLOOKUP(S89:AL89,增益!$A:$A,增益!$V:$V,0)))*IF(VLOOKUP($R89,武学奇术!$A:$ZZ,23,FALSE)=1,0,1)</f>
        <v>0.0913</v>
      </c>
      <c r="BS89" s="23" cm="1">
        <f t="array" ref="BS89">1+$B$14+VLOOKUP($R89,武学奇术!$A:$ZZ,20,FALSE)+SUM(_xlfn.XLOOKUP(S89:AL89,增益!$A:$A,增益!$T:$T,0))</f>
        <v>1.35</v>
      </c>
      <c r="BT89" s="23">
        <f t="shared" si="31"/>
        <v>0.8819441</v>
      </c>
      <c r="BU89" s="23">
        <f t="shared" si="32"/>
        <v>0.0215763099999999</v>
      </c>
      <c r="BV89" s="23">
        <f>IF(VLOOKUP($R89,武学奇术!$A:$ZZ,22,FALSE)=1,0,(1-$BO89))*(1-$BR89)</f>
        <v>0.00517958999999993</v>
      </c>
      <c r="BW89" s="23" cm="1">
        <f t="array" ref="BW89">SUM(_xlfn.XLOOKUP(S89:AL89,增益!$A:$A,增益!$W:$W,0))+$I$5</f>
        <v>0.31</v>
      </c>
      <c r="BX89" s="23">
        <f>VLOOKUP($R89,武学奇术!$A:$ZZ,32,FALSE)</f>
        <v>0.1</v>
      </c>
      <c r="BY89" s="23" cm="1">
        <f t="array" ref="BY89">SUM(_xlfn.XLOOKUP($S89:$AL89,增益!$A:$A,增益!$X:$X,0))</f>
        <v>0</v>
      </c>
    </row>
    <row r="90" spans="1:77">
      <c r="A90" s="93">
        <v>45</v>
      </c>
      <c r="B90" s="4">
        <v>1.5</v>
      </c>
      <c r="C90" s="36"/>
      <c r="D90" s="36"/>
      <c r="E90" s="36"/>
      <c r="K90" s="35">
        <f>$L90*VLOOKUP($R90,武学奇术!$A:$ZZ,31,FALSE)</f>
        <v>53899.9091102385</v>
      </c>
      <c r="L90" s="35">
        <f t="shared" si="34"/>
        <v>48124.9188484273</v>
      </c>
      <c r="M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轻击",$B$21,0))*(1+IF(VLOOKUP($R90,武学奇术!$A:$ZZ,30,FALSE)="老鼠",$B$22,0))*(1+$BW90)*(1+$BX90)</f>
        <v>50644.0140997428</v>
      </c>
      <c r="N90" s="35">
        <f>(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轻击",$B$21,0))*(1+IF(VLOOKUP($R90,武学奇术!$A:$ZZ,30,FALSE)="老鼠",$B$22,0))*(1+$BW90))*(1+$BX90)</f>
        <v>31832.2001167093</v>
      </c>
      <c r="O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轻击",$B$21,0))*(1+IF(VLOOKUP($R90,武学奇术!$A:$ZZ,30,FALSE)="老鼠",$B$22,0))*(1+$BW90)*(1+$BX90)</f>
        <v>21154.5589389068</v>
      </c>
      <c r="P90" s="35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轻击",$B$21,0))*(1+IF(VLOOKUP($R90,武学奇术!$A:$ZZ,30,FALSE)="老鼠",$B$22,0))*(1+$BW90)*(1+$BX90)</f>
        <v>18729.7103839548</v>
      </c>
      <c r="Q90" s="36">
        <v>1</v>
      </c>
      <c r="R90" s="37" t="s">
        <v>143</v>
      </c>
      <c r="S90" s="37" t="s">
        <v>91</v>
      </c>
      <c r="T90" s="37" t="s">
        <v>185</v>
      </c>
      <c r="U90" s="37" t="s">
        <v>112</v>
      </c>
      <c r="V90" s="37" t="s">
        <v>113</v>
      </c>
      <c r="W90" s="37" t="s">
        <v>82</v>
      </c>
      <c r="X90" s="37" t="s">
        <v>81</v>
      </c>
      <c r="Y90" s="37" t="s">
        <v>109</v>
      </c>
      <c r="Z90" s="37" t="s">
        <v>83</v>
      </c>
      <c r="AA90" s="37" t="s">
        <v>81</v>
      </c>
      <c r="AB90" s="37" t="s">
        <v>183</v>
      </c>
      <c r="AC90" s="37" t="s">
        <v>186</v>
      </c>
      <c r="AD90" s="37" t="s">
        <v>81</v>
      </c>
      <c r="AE90" s="37" t="s">
        <v>86</v>
      </c>
      <c r="AF90" s="37" t="s">
        <v>81</v>
      </c>
      <c r="AG90" s="37" t="s">
        <v>87</v>
      </c>
      <c r="AH90" s="37" t="s">
        <v>88</v>
      </c>
      <c r="AI90" s="37" t="s">
        <v>81</v>
      </c>
      <c r="AJ90" s="37" t="s">
        <v>81</v>
      </c>
      <c r="AK90" s="37" t="s">
        <v>81</v>
      </c>
      <c r="AL90" s="37" t="s">
        <v>81</v>
      </c>
      <c r="AM90" t="str">
        <f>VLOOKUP($R90,武学奇术!$A:$ZZ,25,FALSE)</f>
        <v>双刀</v>
      </c>
      <c r="AN90" s="23">
        <f>VLOOKUP($R90,武学奇术!$A:$ZZ,26,FALSE)</f>
        <v>0.9012</v>
      </c>
      <c r="AO90" s="24">
        <f>VLOOKUP($R90,武学奇术!$A:$ZZ,27,FALSE)*(1+IF(OR($AM90=$F$4,$AM90=$F$5),$B$23,0))</f>
        <v>400</v>
      </c>
      <c r="AP90" s="23">
        <f>VLOOKUP($R90,武学奇术!$A:$ZZ,28,FALSE)</f>
        <v>1.3518</v>
      </c>
      <c r="AQ90" s="24">
        <f>VLOOKUP($R90,武学奇术!$A:$ZZ,29,FALSE)*(1+IF(OR($AM90=$F$4,$AM90=$F$5),$B$23,0))</f>
        <v>217.6</v>
      </c>
      <c r="AR90" s="23" cm="1">
        <f t="array" ref="AR90">$G$3+IFERROR(VLOOKUP($AM90,$F$4:$G$7,2,FALSE),0)+VLOOKUP($R90,武学奇术!$A:$ZZ,2,FALSE)+SUM(_xlfn.XLOOKUP($S90:$AL90,增益!$A:$A,增益!$B:$B,0))</f>
        <v>0.6243</v>
      </c>
      <c r="AS90" s="23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4150.4</v>
      </c>
      <c r="AU90" cm="1">
        <f t="array" ref="AU90">$E$10*(1+$AS90)+VLOOKUP($R90,武学奇术!$A:$ZZ,4,FALSE)+SUM(_xlfn.XLOOKUP($S90:$AL90,增益!$A:$A,增益!$D:$D,0))-$I$2</f>
        <v>4150.4</v>
      </c>
      <c r="AV90" s="29" cm="1">
        <f t="array" ref="AV90">IF($F$10-$I$3+VLOOKUP($R90,武学奇术!$A:$ZZ,6,FALSE)+SUM(_xlfn.XLOOKUP(S90:AL90,增益!$A:$A,增益!$F:$F,0))&gt;0,($F$10-$I$3+VLOOKUP($R90,武学奇术!$A:$ZZ,6,FALSE)+SUM(_xlfn.XLOOKUP(S90:AL90,增益!$A:$A,增益!$F:$F,0)))/200,($F$10-$I$3+VLOOKUP($R90,武学奇术!$A:$ZZ,6,FALSE)+SUM(_xlfn.XLOOKUP(S90:AL90,增益!$A:$A,增益!$F:$F,0)))/100)</f>
        <v>0.4539</v>
      </c>
      <c r="AW90" s="29" cm="1">
        <f t="array" ref="AW90">$G$10+VLOOKUP($R90,武学奇术!$A:$ZZ,7,FALSE)+SUM(_xlfn.XLOOKUP(S90:AL90,增益!$A:$A,增益!$G:$G,0))</f>
        <v>0.08</v>
      </c>
      <c r="AX90" s="23" cm="1">
        <f t="array" ref="AX90">VLOOKUP($R90,武学奇术!$A:$ZZ,8,FALSE)+SUM(_xlfn.XLOOKUP(S90:AL90,增益!$A:$A,增益!$H:$H,0))</f>
        <v>0</v>
      </c>
      <c r="AY90">
        <f t="shared" si="23"/>
        <v>0</v>
      </c>
      <c r="AZ90">
        <f t="shared" si="24"/>
        <v>0</v>
      </c>
      <c r="BA90" s="29" cm="1">
        <f t="array" ref="BA90">IF($F$11-$I$4+VLOOKUP($R90,武学奇术!$A:$ZZ,9,FALSE)+SUM(_xlfn.XLOOKUP(S90:AL90,增益!$A:$A,增益!$I:$I,0))&gt;0,($F$11-$I$4+VLOOKUP($R90,武学奇术!$A:$ZZ,9,FALSE)+SUM(_xlfn.XLOOKUP(S90:AL90,增益!$A:$A,增益!$I:$I,0)))/200,($F$11-$I$4+VLOOKUP($R90,武学奇术!$A:$ZZ,9,FALSE)+SUM(_xlfn.XLOOKUP(S90:AL90,增益!$A:$A,增益!$I:$I,0)))/100)</f>
        <v>-0.3</v>
      </c>
      <c r="BB90" s="29" cm="1">
        <f t="array" ref="BB90">$G$11+VLOOKUP($R90,武学奇术!$A:$ZZ,10,FALSE)+SUM(_xlfn.XLOOKUP(S90:AL90,增益!$A:$A,增益!$J:$J,0))</f>
        <v>0.12</v>
      </c>
      <c r="BC90">
        <f t="shared" si="25"/>
        <v>0</v>
      </c>
      <c r="BD90">
        <f t="shared" si="26"/>
        <v>0</v>
      </c>
      <c r="BE90" s="29" cm="1">
        <f t="array" ref="BE90">IF($F$12-$I$4+VLOOKUP($R90,武学奇术!$A:$ZZ,11,FALSE)+SUM(_xlfn.XLOOKUP(S90:AL90,增益!$A:$A,增益!$K:$K,0))&gt;0,($F$12-$I$4+VLOOKUP($R90,武学奇术!$A:$ZZ,11,FALSE)+SUM(_xlfn.XLOOKUP(S90:AL90,增益!$A:$A,增益!$K:$K,0)))/200,($F$12-$I$4+VLOOKUP($R90,武学奇术!$A:$ZZ,11,FALSE)+SUM(_xlfn.XLOOKUP(S90:AL90,增益!$A:$A,增益!$K:$K,0)))/100)</f>
        <v>-0.3</v>
      </c>
      <c r="BF90" s="29" cm="1">
        <f t="array" ref="BF90">$G$12+VLOOKUP($R90,武学奇术!$A:$ZZ,12,FALSE)+SUM(_xlfn.XLOOKUP(S90:AL90,增益!$A:$A,增益!$L:$L,0))</f>
        <v>0.02</v>
      </c>
      <c r="BG90">
        <f t="shared" si="27"/>
        <v>0</v>
      </c>
      <c r="BH90">
        <f t="shared" si="28"/>
        <v>0</v>
      </c>
      <c r="BI90" s="29" cm="1">
        <f t="array" ref="BI90">IF($F$13-$I$4+VLOOKUP($R90,武学奇术!$A:$ZZ,13,FALSE)+SUM(_xlfn.XLOOKUP(S90:AL90,增益!$A:$A,增益!$M:$M,0))&gt;0,($F$13-$I$4+VLOOKUP($R90,武学奇术!$A:$ZZ,13,FALSE)+SUM(_xlfn.XLOOKUP(S90:AL90,增益!$A:$A,增益!$K:$K,0)))/200,($F$13-$I$4+VLOOKUP($R90,武学奇术!$A:$ZZ,13,FALSE)+SUM(_xlfn.XLOOKUP(S90:AL90,增益!$A:$A,增益!$M:$M,0)))/100)</f>
        <v>-0.3</v>
      </c>
      <c r="BJ90" s="29" cm="1">
        <f t="array" ref="BJ90">$G$13+VLOOKUP($R90,武学奇术!$A:$ZZ,14,FALSE)+SUM(_xlfn.XLOOKUP(S90:AL90,增益!$A:$A,增益!$N:$N,0))</f>
        <v>0.02</v>
      </c>
      <c r="BK90">
        <f t="shared" si="29"/>
        <v>618.2</v>
      </c>
      <c r="BL90">
        <f t="shared" si="30"/>
        <v>1805</v>
      </c>
      <c r="BM90" s="29" cm="1">
        <f t="array" ref="BM90">IF($F$14-$I$4+VLOOKUP($R90,武学奇术!$A:$ZZ,15,FALSE)+SUM(_xlfn.XLOOKUP(S90:AL90,增益!$A:$A,增益!$O:$O,0))&gt;0,($F$14-$I$4+VLOOKUP($R90,武学奇术!$A:$ZZ,15,FALSE)+SUM(_xlfn.XLOOKUP(S90:AL90,增益!$A:$A,增益!$O:$O,0)))/200,($F$14-$I$4+VLOOKUP($R90,武学奇术!$A:$ZZ,15,FALSE)+SUM(_xlfn.XLOOKUP(S90:AL90,增益!$A:$A,增益!$O:$O,0)))/100)</f>
        <v>0.05</v>
      </c>
      <c r="BN90" s="29" cm="1">
        <f t="array" ref="BN90">$G$14+VLOOKUP($R90,武学奇术!$A:$ZZ,16,FALSE)+SUM(_xlfn.XLOOKUP(S90:AL90,增益!$A:$A,增益!$P:$P,0))</f>
        <v>0.23</v>
      </c>
      <c r="BO90" s="23">
        <f>MIN(IF(VLOOKUP($R90,武学奇术!$A:$ZZ,23,FALSE)=1,100%,$B$8),100%)</f>
        <v>0.9943</v>
      </c>
      <c r="BP90" s="23" cm="1">
        <f t="array" ref="BP90">IF(VLOOKUP($R90,武学奇术!$A:$ZZ,23,FALSE)=1,100%,MIN(80%,$B$9+VLOOKUP($R90,武学奇术!$A:$ZZ,17,FALSE)+SUM(_xlfn.XLOOKUP(S90:AL90,增益!$A:$A,增益!$Q:$Q,0)))+$B$11+SUM(_xlfn.XLOOKUP(S90:AL90,增益!$A:$A,增益!$U:$U,0)))*IF(VLOOKUP($R90,武学奇术!$A:$ZZ,24,FALSE)=1,0,1)</f>
        <v>0.887</v>
      </c>
      <c r="BQ90" s="23" cm="1">
        <f t="array" ref="BQ90">1+$B$13+VLOOKUP($R90,武学奇术!$A:$ZZ,18,FALSE)+SUM(_xlfn.XLOOKUP(S90:AL90,增益!$A:$A,增益!$R:$R,0))</f>
        <v>2.394</v>
      </c>
      <c r="BR90" s="23" cm="1">
        <f t="array" ref="BR90">IF(VLOOKUP($R90,武学奇术!$A:$ZZ,24,FALSE)=1,100%,MIN(40%,$B$10+VLOOKUP($R90,武学奇术!$A:$ZZ,19,FALSE)+SUM(_xlfn.XLOOKUP(S90:AL90,增益!$A:$A,增益!$S:$S,0)))+$B$12+SUM(_xlfn.XLOOKUP(S90:AL90,增益!$A:$A,增益!$V:$V,0)))*IF(VLOOKUP($R90,武学奇术!$A:$ZZ,23,FALSE)=1,0,1)</f>
        <v>0.0913</v>
      </c>
      <c r="BS90" s="23" cm="1">
        <f t="array" ref="BS90">1+$B$14+VLOOKUP($R90,武学奇术!$A:$ZZ,20,FALSE)+SUM(_xlfn.XLOOKUP(S90:AL90,增益!$A:$A,增益!$T:$T,0))</f>
        <v>1.35</v>
      </c>
      <c r="BT90" s="23">
        <f t="shared" si="31"/>
        <v>0.8819441</v>
      </c>
      <c r="BU90" s="23">
        <f t="shared" si="32"/>
        <v>0.0215763099999999</v>
      </c>
      <c r="BV90" s="23">
        <f>IF(VLOOKUP($R90,武学奇术!$A:$ZZ,22,FALSE)=1,0,(1-$BO90))*(1-$BR90)</f>
        <v>0.00517958999999993</v>
      </c>
      <c r="BW90" s="23" cm="1">
        <f t="array" ref="BW90">SUM(_xlfn.XLOOKUP(S90:AL90,增益!$A:$A,增益!$W:$W,0))+$I$5</f>
        <v>0.31</v>
      </c>
      <c r="BX90" s="23">
        <f>VLOOKUP($R90,武学奇术!$A:$ZZ,32,FALSE)</f>
        <v>0.1</v>
      </c>
      <c r="BY90" s="23" cm="1">
        <f t="array" ref="BY90">SUM(_xlfn.XLOOKUP($S90:$AL90,增益!$A:$A,增益!$X:$X,0))</f>
        <v>0</v>
      </c>
    </row>
    <row r="91" spans="1:77">
      <c r="A91" s="93" t="s">
        <v>174</v>
      </c>
      <c r="B91" s="4">
        <v>0.6</v>
      </c>
      <c r="C91" s="36"/>
      <c r="D91" s="36"/>
      <c r="E91" s="36"/>
      <c r="K91" s="35">
        <f>$L91*VLOOKUP($R91,武学奇术!$A:$ZZ,31,FALSE)</f>
        <v>113079.987898623</v>
      </c>
      <c r="L91" s="69">
        <f t="shared" si="34"/>
        <v>110862.733233944</v>
      </c>
      <c r="M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轻击",$B$21,0))*(1+IF(VLOOKUP($R91,武学奇术!$A:$ZZ,30,FALSE)="老鼠",$B$22,0))*(1+$BW91)*(1+$BX91)</f>
        <v>116586.211606447</v>
      </c>
      <c r="N91" s="35">
        <f>(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轻击",$B$21,0))*(1+IF(VLOOKUP($R91,武学奇术!$A:$ZZ,30,FALSE)="老鼠",$B$22,0))*(1+$BW91))*(1+$BX91)</f>
        <v>74145.1221672289</v>
      </c>
      <c r="O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轻击",$B$21,0))*(1+IF(VLOOKUP($R91,武学奇术!$A:$ZZ,30,FALSE)="老鼠",$B$22,0))*(1+$BW91)*(1+$BX91)</f>
        <v>48699.3365106294</v>
      </c>
      <c r="P91" s="35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轻击",$B$21,0))*(1+IF(VLOOKUP($R91,武学奇术!$A:$ZZ,30,FALSE)="老鼠",$B$22,0))*(1+$BW91)*(1+$BX91)</f>
        <v>42476.3603047929</v>
      </c>
      <c r="Q91" s="70">
        <v>3</v>
      </c>
      <c r="R91" s="37" t="s">
        <v>106</v>
      </c>
      <c r="S91" s="37" t="s">
        <v>91</v>
      </c>
      <c r="T91" s="37" t="s">
        <v>185</v>
      </c>
      <c r="U91" s="37" t="s">
        <v>112</v>
      </c>
      <c r="V91" s="37" t="s">
        <v>113</v>
      </c>
      <c r="W91" s="37" t="s">
        <v>82</v>
      </c>
      <c r="X91" s="37" t="s">
        <v>81</v>
      </c>
      <c r="Y91" s="37" t="s">
        <v>109</v>
      </c>
      <c r="Z91" s="37" t="s">
        <v>83</v>
      </c>
      <c r="AA91" s="37" t="s">
        <v>81</v>
      </c>
      <c r="AB91" s="37" t="s">
        <v>183</v>
      </c>
      <c r="AC91" s="37" t="s">
        <v>186</v>
      </c>
      <c r="AD91" s="37" t="s">
        <v>81</v>
      </c>
      <c r="AE91" s="37" t="s">
        <v>86</v>
      </c>
      <c r="AF91" s="37" t="s">
        <v>81</v>
      </c>
      <c r="AG91" s="37" t="s">
        <v>87</v>
      </c>
      <c r="AH91" s="37" t="s">
        <v>88</v>
      </c>
      <c r="AI91" s="37" t="s">
        <v>81</v>
      </c>
      <c r="AJ91" s="37" t="s">
        <v>81</v>
      </c>
      <c r="AK91" s="37" t="s">
        <v>81</v>
      </c>
      <c r="AL91" s="37" t="s">
        <v>81</v>
      </c>
      <c r="AM91" t="str">
        <f>VLOOKUP($R91,武学奇术!$A:$ZZ,25,FALSE)</f>
        <v>绳镖</v>
      </c>
      <c r="AN91" s="23">
        <f>VLOOKUP($R91,武学奇术!$A:$ZZ,26,FALSE)</f>
        <v>0.3675</v>
      </c>
      <c r="AO91" s="24">
        <f>VLOOKUP($R91,武学奇术!$A:$ZZ,27,FALSE)*(1+IF(OR($AM91=$F$4,$AM91=$F$5),$B$23,0))</f>
        <v>0</v>
      </c>
      <c r="AP91" s="23">
        <f>VLOOKUP($R91,武学奇术!$A:$ZZ,28,FALSE)</f>
        <v>0.55125</v>
      </c>
      <c r="AQ91" s="24">
        <f>VLOOKUP($R91,武学奇术!$A:$ZZ,29,FALSE)*(1+IF(OR($AM91=$F$4,$AM91=$F$5),$B$23,0))</f>
        <v>0</v>
      </c>
      <c r="AR91" s="23" cm="1">
        <f t="array" ref="AR91">$G$3+IFERROR(VLOOKUP($AM91,$F$4:$G$7,2,FALSE),0)+VLOOKUP($R91,武学奇术!$A:$ZZ,2,FALSE)+SUM(_xlfn.XLOOKUP($S91:$AL91,增益!$A:$A,增益!$B:$B,0))</f>
        <v>1.4243</v>
      </c>
      <c r="AS91" s="23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4150.4</v>
      </c>
      <c r="AU91" cm="1">
        <f t="array" ref="AU91">$E$10*(1+$AS91)+VLOOKUP($R91,武学奇术!$A:$ZZ,4,FALSE)+SUM(_xlfn.XLOOKUP($S91:$AL91,增益!$A:$A,增益!$D:$D,0))-$I$2</f>
        <v>4150.4</v>
      </c>
      <c r="AV91" s="29" cm="1">
        <f t="array" ref="AV91">IF($F$10-$I$3+VLOOKUP($R91,武学奇术!$A:$ZZ,6,FALSE)+SUM(_xlfn.XLOOKUP(S91:AL91,增益!$A:$A,增益!$F:$F,0))&gt;0,($F$10-$I$3+VLOOKUP($R91,武学奇术!$A:$ZZ,6,FALSE)+SUM(_xlfn.XLOOKUP(S91:AL91,增益!$A:$A,增益!$F:$F,0)))/200,($F$10-$I$3+VLOOKUP($R91,武学奇术!$A:$ZZ,6,FALSE)+SUM(_xlfn.XLOOKUP(S91:AL91,增益!$A:$A,增益!$F:$F,0)))/100)</f>
        <v>0.4539</v>
      </c>
      <c r="AW91" s="29" cm="1">
        <f t="array" ref="AW91">$G$10+VLOOKUP($R91,武学奇术!$A:$ZZ,7,FALSE)+SUM(_xlfn.XLOOKUP(S91:AL91,增益!$A:$A,增益!$G:$G,0))</f>
        <v>0.29</v>
      </c>
      <c r="AX91" s="23" cm="1">
        <f t="array" ref="AX91">VLOOKUP($R91,武学奇术!$A:$ZZ,8,FALSE)+SUM(_xlfn.XLOOKUP(S91:AL91,增益!$A:$A,增益!$H:$H,0))</f>
        <v>0</v>
      </c>
      <c r="AY91">
        <f t="shared" si="23"/>
        <v>0</v>
      </c>
      <c r="AZ91">
        <f t="shared" si="24"/>
        <v>0</v>
      </c>
      <c r="BA91" s="29" cm="1">
        <f t="array" ref="BA91">IF($F$11-$I$4+VLOOKUP($R91,武学奇术!$A:$ZZ,9,FALSE)+SUM(_xlfn.XLOOKUP(S91:AL91,增益!$A:$A,增益!$I:$I,0))&gt;0,($F$11-$I$4+VLOOKUP($R91,武学奇术!$A:$ZZ,9,FALSE)+SUM(_xlfn.XLOOKUP(S91:AL91,增益!$A:$A,增益!$I:$I,0)))/200,($F$11-$I$4+VLOOKUP($R91,武学奇术!$A:$ZZ,9,FALSE)+SUM(_xlfn.XLOOKUP(S91:AL91,增益!$A:$A,增益!$I:$I,0)))/100)</f>
        <v>-0.3</v>
      </c>
      <c r="BB91" s="29" cm="1">
        <f t="array" ref="BB91">$G$11+VLOOKUP($R91,武学奇术!$A:$ZZ,10,FALSE)+SUM(_xlfn.XLOOKUP(S91:AL91,增益!$A:$A,增益!$J:$J,0))</f>
        <v>0.12</v>
      </c>
      <c r="BC91">
        <f t="shared" si="25"/>
        <v>0</v>
      </c>
      <c r="BD91">
        <f t="shared" si="26"/>
        <v>0</v>
      </c>
      <c r="BE91" s="29" cm="1">
        <f t="array" ref="BE91">IF($F$12-$I$4+VLOOKUP($R91,武学奇术!$A:$ZZ,11,FALSE)+SUM(_xlfn.XLOOKUP(S91:AL91,增益!$A:$A,增益!$K:$K,0))&gt;0,($F$12-$I$4+VLOOKUP($R91,武学奇术!$A:$ZZ,11,FALSE)+SUM(_xlfn.XLOOKUP(S91:AL91,增益!$A:$A,增益!$K:$K,0)))/200,($F$12-$I$4+VLOOKUP($R91,武学奇术!$A:$ZZ,11,FALSE)+SUM(_xlfn.XLOOKUP(S91:AL91,增益!$A:$A,增益!$K:$K,0)))/100)</f>
        <v>-0.3</v>
      </c>
      <c r="BF91" s="29" cm="1">
        <f t="array" ref="BF91">$G$12+VLOOKUP($R91,武学奇术!$A:$ZZ,12,FALSE)+SUM(_xlfn.XLOOKUP(S91:AL91,增益!$A:$A,增益!$L:$L,0))</f>
        <v>0.02</v>
      </c>
      <c r="BG91">
        <f t="shared" si="27"/>
        <v>0</v>
      </c>
      <c r="BH91">
        <f t="shared" si="28"/>
        <v>0</v>
      </c>
      <c r="BI91" s="29" cm="1">
        <f t="array" ref="BI91">IF($F$13-$I$4+VLOOKUP($R91,武学奇术!$A:$ZZ,13,FALSE)+SUM(_xlfn.XLOOKUP(S91:AL91,增益!$A:$A,增益!$M:$M,0))&gt;0,($F$13-$I$4+VLOOKUP($R91,武学奇术!$A:$ZZ,13,FALSE)+SUM(_xlfn.XLOOKUP(S91:AL91,增益!$A:$A,增益!$K:$K,0)))/200,($F$13-$I$4+VLOOKUP($R91,武学奇术!$A:$ZZ,13,FALSE)+SUM(_xlfn.XLOOKUP(S91:AL91,增益!$A:$A,增益!$M:$M,0)))/100)</f>
        <v>-0.3</v>
      </c>
      <c r="BJ91" s="29" cm="1">
        <f t="array" ref="BJ91">$G$13+VLOOKUP($R91,武学奇术!$A:$ZZ,14,FALSE)+SUM(_xlfn.XLOOKUP(S91:AL91,增益!$A:$A,增益!$N:$N,0))</f>
        <v>0.02</v>
      </c>
      <c r="BK91">
        <f t="shared" si="29"/>
        <v>618.2</v>
      </c>
      <c r="BL91">
        <f t="shared" si="30"/>
        <v>1805</v>
      </c>
      <c r="BM91" s="29" cm="1">
        <f t="array" ref="BM91">IF($F$14-$I$4+VLOOKUP($R91,武学奇术!$A:$ZZ,15,FALSE)+SUM(_xlfn.XLOOKUP(S91:AL91,增益!$A:$A,增益!$O:$O,0))&gt;0,($F$14-$I$4+VLOOKUP($R91,武学奇术!$A:$ZZ,15,FALSE)+SUM(_xlfn.XLOOKUP(S91:AL91,增益!$A:$A,增益!$O:$O,0)))/200,($F$14-$I$4+VLOOKUP($R91,武学奇术!$A:$ZZ,15,FALSE)+SUM(_xlfn.XLOOKUP(S91:AL91,增益!$A:$A,增益!$O:$O,0)))/100)</f>
        <v>0.05</v>
      </c>
      <c r="BN91" s="29" cm="1">
        <f t="array" ref="BN91">$G$14+VLOOKUP($R91,武学奇术!$A:$ZZ,16,FALSE)+SUM(_xlfn.XLOOKUP(S91:AL91,增益!$A:$A,增益!$P:$P,0))</f>
        <v>0.44</v>
      </c>
      <c r="BO91" s="23">
        <f>MIN(IF(VLOOKUP($R91,武学奇术!$A:$ZZ,23,FALSE)=1,100%,$B$8),100%)</f>
        <v>0.9943</v>
      </c>
      <c r="BP91" s="23" cm="1">
        <f t="array" ref="BP91">IF(VLOOKUP($R91,武学奇术!$A:$ZZ,23,FALSE)=1,100%,MIN(80%,$B$9+VLOOKUP($R91,武学奇术!$A:$ZZ,17,FALSE)+SUM(_xlfn.XLOOKUP(S91:AL91,增益!$A:$A,增益!$Q:$Q,0)))+$B$11+SUM(_xlfn.XLOOKUP(S91:AL91,增益!$A:$A,增益!$U:$U,0)))*IF(VLOOKUP($R91,武学奇术!$A:$ZZ,24,FALSE)=1,0,1)</f>
        <v>0.887</v>
      </c>
      <c r="BQ91" s="23" cm="1">
        <f t="array" ref="BQ91">1+$B$13+VLOOKUP($R91,武学奇术!$A:$ZZ,18,FALSE)+SUM(_xlfn.XLOOKUP(S91:AL91,增益!$A:$A,增益!$R:$R,0))</f>
        <v>2.394</v>
      </c>
      <c r="BR91" s="23" cm="1">
        <f t="array" ref="BR91">IF(VLOOKUP($R91,武学奇术!$A:$ZZ,24,FALSE)=1,100%,MIN(40%,$B$10+VLOOKUP($R91,武学奇术!$A:$ZZ,19,FALSE)+SUM(_xlfn.XLOOKUP(S91:AL91,增益!$A:$A,增益!$S:$S,0)))+$B$12+SUM(_xlfn.XLOOKUP(S91:AL91,增益!$A:$A,增益!$V:$V,0)))*IF(VLOOKUP($R91,武学奇术!$A:$ZZ,23,FALSE)=1,0,1)</f>
        <v>0.0913</v>
      </c>
      <c r="BS91" s="23" cm="1">
        <f t="array" ref="BS91">1+$B$14+VLOOKUP($R91,武学奇术!$A:$ZZ,20,FALSE)+SUM(_xlfn.XLOOKUP(S91:AL91,增益!$A:$A,增益!$T:$T,0))</f>
        <v>1.35</v>
      </c>
      <c r="BT91" s="23">
        <f t="shared" si="31"/>
        <v>0.8819441</v>
      </c>
      <c r="BU91" s="23">
        <f t="shared" si="32"/>
        <v>0.0215763099999999</v>
      </c>
      <c r="BV91" s="23">
        <f>IF(VLOOKUP($R91,武学奇术!$A:$ZZ,22,FALSE)=1,0,(1-$BO91))*(1-$BR91)</f>
        <v>0.00517958999999993</v>
      </c>
      <c r="BW91" s="23" cm="1">
        <f t="array" ref="BW91">SUM(_xlfn.XLOOKUP(S91:AL91,增益!$A:$A,增益!$W:$W,0))+$I$5</f>
        <v>0.31</v>
      </c>
      <c r="BX91" s="23">
        <f>VLOOKUP($R91,武学奇术!$A:$ZZ,32,FALSE)</f>
        <v>0</v>
      </c>
      <c r="BY91" s="23" cm="1">
        <f t="array" ref="BY91">SUM(_xlfn.XLOOKUP($S91:$AL91,增益!$A:$A,增益!$X:$X,0))</f>
        <v>0</v>
      </c>
    </row>
    <row r="92" spans="1:77">
      <c r="A92" s="93">
        <v>123</v>
      </c>
      <c r="B92" s="4">
        <v>1.8</v>
      </c>
      <c r="C92" s="36"/>
      <c r="D92" s="36"/>
      <c r="E92" s="36"/>
      <c r="K92" s="35">
        <f>$L92*VLOOKUP($R92,武学奇术!$A:$ZZ,31,FALSE)</f>
        <v>73253.1975248239</v>
      </c>
      <c r="L92" s="35">
        <f t="shared" si="34"/>
        <v>65404.6406471642</v>
      </c>
      <c r="M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轻击",$B$21,0))*(1+IF(VLOOKUP($R92,武学奇术!$A:$ZZ,30,FALSE)="老鼠",$B$22,0))*(1+$BW92)*(1+$BX92)</f>
        <v>68828.2226090399</v>
      </c>
      <c r="N92" s="35">
        <f>(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轻击",$B$21,0))*(1+IF(VLOOKUP($R92,武学奇术!$A:$ZZ,30,FALSE)="老鼠",$B$22,0))*(1+$BW92))*(1+$BX92)</f>
        <v>43262.05698551</v>
      </c>
      <c r="O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轻击",$B$21,0))*(1+IF(VLOOKUP($R92,武学奇术!$A:$ZZ,30,FALSE)="老鼠",$B$22,0))*(1+$BW92)*(1+$BX92)</f>
        <v>28750.3018417042</v>
      </c>
      <c r="P92" s="35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轻击",$B$21,0))*(1+IF(VLOOKUP($R92,武学奇术!$A:$ZZ,30,FALSE)="老鼠",$B$22,0))*(1+$BW92)*(1+$BX92)</f>
        <v>25454.6355459936</v>
      </c>
      <c r="Q92" s="36">
        <v>1</v>
      </c>
      <c r="R92" s="37" t="s">
        <v>148</v>
      </c>
      <c r="S92" s="37" t="s">
        <v>91</v>
      </c>
      <c r="T92" s="37" t="s">
        <v>185</v>
      </c>
      <c r="U92" s="37" t="s">
        <v>112</v>
      </c>
      <c r="V92" s="37" t="s">
        <v>113</v>
      </c>
      <c r="W92" s="37" t="s">
        <v>82</v>
      </c>
      <c r="X92" s="37" t="s">
        <v>81</v>
      </c>
      <c r="Y92" s="37" t="s">
        <v>109</v>
      </c>
      <c r="Z92" s="37" t="s">
        <v>83</v>
      </c>
      <c r="AA92" s="37" t="s">
        <v>81</v>
      </c>
      <c r="AB92" s="37" t="s">
        <v>81</v>
      </c>
      <c r="AC92" s="37" t="s">
        <v>81</v>
      </c>
      <c r="AD92" s="37" t="s">
        <v>81</v>
      </c>
      <c r="AE92" s="37" t="s">
        <v>86</v>
      </c>
      <c r="AF92" s="37" t="s">
        <v>81</v>
      </c>
      <c r="AG92" s="37" t="s">
        <v>87</v>
      </c>
      <c r="AH92" s="37" t="s">
        <v>88</v>
      </c>
      <c r="AI92" s="37" t="s">
        <v>81</v>
      </c>
      <c r="AJ92" s="37" t="s">
        <v>81</v>
      </c>
      <c r="AK92" s="37" t="s">
        <v>81</v>
      </c>
      <c r="AL92" s="37" t="s">
        <v>81</v>
      </c>
      <c r="AM92" t="str">
        <f>VLOOKUP($R92,武学奇术!$A:$ZZ,25,FALSE)</f>
        <v>双刀</v>
      </c>
      <c r="AN92" s="23">
        <f>VLOOKUP($R92,武学奇术!$A:$ZZ,26,FALSE)</f>
        <v>1.4455</v>
      </c>
      <c r="AO92" s="24">
        <f>VLOOKUP($R92,武学奇术!$A:$ZZ,27,FALSE)*(1+IF(OR($AM92=$F$4,$AM92=$F$5),$B$23,0))</f>
        <v>641.6</v>
      </c>
      <c r="AP92" s="23">
        <f>VLOOKUP($R92,武学奇术!$A:$ZZ,28,FALSE)</f>
        <v>2.1683</v>
      </c>
      <c r="AQ92" s="24">
        <f>VLOOKUP($R92,武学奇术!$A:$ZZ,29,FALSE)*(1+IF(OR($AM92=$F$4,$AM92=$F$5),$B$23,0))</f>
        <v>348.8</v>
      </c>
      <c r="AR92" s="23" cm="1">
        <f t="array" ref="AR92">$G$3+IFERROR(VLOOKUP($AM92,$F$4:$G$7,2,FALSE),0)+VLOOKUP($R92,武学奇术!$A:$ZZ,2,FALSE)+SUM(_xlfn.XLOOKUP($S92:$AL92,增益!$A:$A,增益!$B:$B,0))</f>
        <v>0.6243</v>
      </c>
      <c r="AS92" s="23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4150.4</v>
      </c>
      <c r="AU92" cm="1">
        <f t="array" ref="AU92">$E$10*(1+$AS92)+VLOOKUP($R92,武学奇术!$A:$ZZ,4,FALSE)+SUM(_xlfn.XLOOKUP($S92:$AL92,增益!$A:$A,增益!$D:$D,0))-$I$2</f>
        <v>4150.4</v>
      </c>
      <c r="AV92" s="29" cm="1">
        <f t="array" ref="AV92">IF($F$10-$I$3+VLOOKUP($R92,武学奇术!$A:$ZZ,6,FALSE)+SUM(_xlfn.XLOOKUP(S92:AL92,增益!$A:$A,增益!$F:$F,0))&gt;0,($F$10-$I$3+VLOOKUP($R92,武学奇术!$A:$ZZ,6,FALSE)+SUM(_xlfn.XLOOKUP(S92:AL92,增益!$A:$A,增益!$F:$F,0)))/200,($F$10-$I$3+VLOOKUP($R92,武学奇术!$A:$ZZ,6,FALSE)+SUM(_xlfn.XLOOKUP(S92:AL92,增益!$A:$A,增益!$F:$F,0)))/100)</f>
        <v>0.4539</v>
      </c>
      <c r="AW92" s="29" cm="1">
        <f t="array" ref="AW92">$G$10+VLOOKUP($R92,武学奇术!$A:$ZZ,7,FALSE)+SUM(_xlfn.XLOOKUP(S92:AL92,增益!$A:$A,增益!$G:$G,0))</f>
        <v>0.08</v>
      </c>
      <c r="AX92" s="23" cm="1">
        <f t="array" ref="AX92">VLOOKUP($R92,武学奇术!$A:$ZZ,8,FALSE)+SUM(_xlfn.XLOOKUP(S92:AL92,增益!$A:$A,增益!$H:$H,0))</f>
        <v>0</v>
      </c>
      <c r="AY92">
        <f t="shared" si="23"/>
        <v>0</v>
      </c>
      <c r="AZ92">
        <f t="shared" si="24"/>
        <v>0</v>
      </c>
      <c r="BA92" s="29" cm="1">
        <f t="array" ref="BA92">IF($F$11-$I$4+VLOOKUP($R92,武学奇术!$A:$ZZ,9,FALSE)+SUM(_xlfn.XLOOKUP(S92:AL92,增益!$A:$A,增益!$I:$I,0))&gt;0,($F$11-$I$4+VLOOKUP($R92,武学奇术!$A:$ZZ,9,FALSE)+SUM(_xlfn.XLOOKUP(S92:AL92,增益!$A:$A,增益!$I:$I,0)))/200,($F$11-$I$4+VLOOKUP($R92,武学奇术!$A:$ZZ,9,FALSE)+SUM(_xlfn.XLOOKUP(S92:AL92,增益!$A:$A,增益!$I:$I,0)))/100)</f>
        <v>-0.3</v>
      </c>
      <c r="BB92" s="29" cm="1">
        <f t="array" ref="BB92">$G$11+VLOOKUP($R92,武学奇术!$A:$ZZ,10,FALSE)+SUM(_xlfn.XLOOKUP(S92:AL92,增益!$A:$A,增益!$J:$J,0))</f>
        <v>0.02</v>
      </c>
      <c r="BC92">
        <f t="shared" si="25"/>
        <v>0</v>
      </c>
      <c r="BD92">
        <f t="shared" si="26"/>
        <v>0</v>
      </c>
      <c r="BE92" s="29" cm="1">
        <f t="array" ref="BE92">IF($F$12-$I$4+VLOOKUP($R92,武学奇术!$A:$ZZ,11,FALSE)+SUM(_xlfn.XLOOKUP(S92:AL92,增益!$A:$A,增益!$K:$K,0))&gt;0,($F$12-$I$4+VLOOKUP($R92,武学奇术!$A:$ZZ,11,FALSE)+SUM(_xlfn.XLOOKUP(S92:AL92,增益!$A:$A,增益!$K:$K,0)))/200,($F$12-$I$4+VLOOKUP($R92,武学奇术!$A:$ZZ,11,FALSE)+SUM(_xlfn.XLOOKUP(S92:AL92,增益!$A:$A,增益!$K:$K,0)))/100)</f>
        <v>-0.3</v>
      </c>
      <c r="BF92" s="29" cm="1">
        <f t="array" ref="BF92">$G$12+VLOOKUP($R92,武学奇术!$A:$ZZ,12,FALSE)+SUM(_xlfn.XLOOKUP(S92:AL92,增益!$A:$A,增益!$L:$L,0))</f>
        <v>0.02</v>
      </c>
      <c r="BG92">
        <f t="shared" si="27"/>
        <v>0</v>
      </c>
      <c r="BH92">
        <f t="shared" si="28"/>
        <v>0</v>
      </c>
      <c r="BI92" s="29" cm="1">
        <f t="array" ref="BI92">IF($F$13-$I$4+VLOOKUP($R92,武学奇术!$A:$ZZ,13,FALSE)+SUM(_xlfn.XLOOKUP(S92:AL92,增益!$A:$A,增益!$M:$M,0))&gt;0,($F$13-$I$4+VLOOKUP($R92,武学奇术!$A:$ZZ,13,FALSE)+SUM(_xlfn.XLOOKUP(S92:AL92,增益!$A:$A,增益!$K:$K,0)))/200,($F$13-$I$4+VLOOKUP($R92,武学奇术!$A:$ZZ,13,FALSE)+SUM(_xlfn.XLOOKUP(S92:AL92,增益!$A:$A,增益!$M:$M,0)))/100)</f>
        <v>-0.3</v>
      </c>
      <c r="BJ92" s="29" cm="1">
        <f t="array" ref="BJ92">$G$13+VLOOKUP($R92,武学奇术!$A:$ZZ,14,FALSE)+SUM(_xlfn.XLOOKUP(S92:AL92,增益!$A:$A,增益!$N:$N,0))</f>
        <v>0.02</v>
      </c>
      <c r="BK92">
        <f t="shared" si="29"/>
        <v>618.2</v>
      </c>
      <c r="BL92">
        <f t="shared" si="30"/>
        <v>1805</v>
      </c>
      <c r="BM92" s="29" cm="1">
        <f t="array" ref="BM92">IF($F$14-$I$4+VLOOKUP($R92,武学奇术!$A:$ZZ,15,FALSE)+SUM(_xlfn.XLOOKUP(S92:AL92,增益!$A:$A,增益!$O:$O,0))&gt;0,($F$14-$I$4+VLOOKUP($R92,武学奇术!$A:$ZZ,15,FALSE)+SUM(_xlfn.XLOOKUP(S92:AL92,增益!$A:$A,增益!$O:$O,0)))/200,($F$14-$I$4+VLOOKUP($R92,武学奇术!$A:$ZZ,15,FALSE)+SUM(_xlfn.XLOOKUP(S92:AL92,增益!$A:$A,增益!$O:$O,0)))/100)</f>
        <v>0.05</v>
      </c>
      <c r="BN92" s="29" cm="1">
        <f t="array" ref="BN92">$G$14+VLOOKUP($R92,武学奇术!$A:$ZZ,16,FALSE)+SUM(_xlfn.XLOOKUP(S92:AL92,增益!$A:$A,增益!$P:$P,0))</f>
        <v>0.23</v>
      </c>
      <c r="BO92" s="23">
        <f>MIN(IF(VLOOKUP($R92,武学奇术!$A:$ZZ,23,FALSE)=1,100%,$B$8),100%)</f>
        <v>0.9943</v>
      </c>
      <c r="BP92" s="23" cm="1">
        <f t="array" ref="BP92">IF(VLOOKUP($R92,武学奇术!$A:$ZZ,23,FALSE)=1,100%,MIN(80%,$B$9+VLOOKUP($R92,武学奇术!$A:$ZZ,17,FALSE)+SUM(_xlfn.XLOOKUP(S92:AL92,增益!$A:$A,增益!$Q:$Q,0)))+$B$11+SUM(_xlfn.XLOOKUP(S92:AL92,增益!$A:$A,增益!$U:$U,0)))*IF(VLOOKUP($R92,武学奇术!$A:$ZZ,24,FALSE)=1,0,1)</f>
        <v>0.887</v>
      </c>
      <c r="BQ92" s="23" cm="1">
        <f t="array" ref="BQ92">1+$B$13+VLOOKUP($R92,武学奇术!$A:$ZZ,18,FALSE)+SUM(_xlfn.XLOOKUP(S92:AL92,增益!$A:$A,增益!$R:$R,0))</f>
        <v>2.394</v>
      </c>
      <c r="BR92" s="23" cm="1">
        <f t="array" ref="BR92">IF(VLOOKUP($R92,武学奇术!$A:$ZZ,24,FALSE)=1,100%,MIN(40%,$B$10+VLOOKUP($R92,武学奇术!$A:$ZZ,19,FALSE)+SUM(_xlfn.XLOOKUP(S92:AL92,增益!$A:$A,增益!$S:$S,0)))+$B$12+SUM(_xlfn.XLOOKUP(S92:AL92,增益!$A:$A,增益!$V:$V,0)))*IF(VLOOKUP($R92,武学奇术!$A:$ZZ,23,FALSE)=1,0,1)</f>
        <v>0.0913</v>
      </c>
      <c r="BS92" s="23" cm="1">
        <f t="array" ref="BS92">1+$B$14+VLOOKUP($R92,武学奇术!$A:$ZZ,20,FALSE)+SUM(_xlfn.XLOOKUP(S92:AL92,增益!$A:$A,增益!$T:$T,0))</f>
        <v>1.35</v>
      </c>
      <c r="BT92" s="23">
        <f t="shared" si="31"/>
        <v>0.8819441</v>
      </c>
      <c r="BU92" s="23">
        <f t="shared" si="32"/>
        <v>0.0215763099999999</v>
      </c>
      <c r="BV92" s="23">
        <f>IF(VLOOKUP($R92,武学奇术!$A:$ZZ,22,FALSE)=1,0,(1-$BO92))*(1-$BR92)</f>
        <v>0.00517958999999993</v>
      </c>
      <c r="BW92" s="23" cm="1">
        <f t="array" ref="BW92">SUM(_xlfn.XLOOKUP(S92:AL92,增益!$A:$A,增益!$W:$W,0))+$I$5</f>
        <v>0.11</v>
      </c>
      <c r="BX92" s="23">
        <f>VLOOKUP($R92,武学奇术!$A:$ZZ,32,FALSE)</f>
        <v>0.1</v>
      </c>
      <c r="BY92" s="23" cm="1">
        <f t="array" ref="BY92">SUM(_xlfn.XLOOKUP($S92:$AL92,增益!$A:$A,增益!$X:$X,0))</f>
        <v>0</v>
      </c>
    </row>
    <row r="93" spans="1:77">
      <c r="A93" s="93">
        <v>4</v>
      </c>
      <c r="B93" s="4">
        <v>0.6</v>
      </c>
      <c r="C93" s="36"/>
      <c r="D93" s="36"/>
      <c r="E93" s="36"/>
      <c r="K93" s="35">
        <f>$L93*VLOOKUP($R93,武学奇术!$A:$ZZ,31,FALSE)</f>
        <v>87960.8502028395</v>
      </c>
      <c r="L93" s="35">
        <f t="shared" si="34"/>
        <v>78536.4733953924</v>
      </c>
      <c r="M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轻击",$B$21,0))*(1+IF(VLOOKUP($R93,武学奇术!$A:$ZZ,30,FALSE)="老鼠",$B$22,0))*(1+$BW93)*(1+$BX93)</f>
        <v>82647.4263766219</v>
      </c>
      <c r="N93" s="35">
        <f>(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轻击",$B$21,0))*(1+IF(VLOOKUP($R93,武学奇术!$A:$ZZ,30,FALSE)="老鼠",$B$22,0))*(1+$BW93))*(1+$BX93)</f>
        <v>51948.2412826352</v>
      </c>
      <c r="O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轻击",$B$21,0))*(1+IF(VLOOKUP($R93,武学奇术!$A:$ZZ,30,FALSE)="老鼠",$B$22,0))*(1+$BW93)*(1+$BX93)</f>
        <v>34522.7344931587</v>
      </c>
      <c r="P93" s="35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轻击",$B$21,0))*(1+IF(VLOOKUP($R93,武学奇术!$A:$ZZ,30,FALSE)="老鼠",$B$22,0))*(1+$BW93)*(1+$BX93)</f>
        <v>30565.2902584394</v>
      </c>
      <c r="Q93" s="36">
        <v>1</v>
      </c>
      <c r="R93" s="37" t="s">
        <v>153</v>
      </c>
      <c r="S93" s="37" t="s">
        <v>91</v>
      </c>
      <c r="T93" s="37" t="s">
        <v>185</v>
      </c>
      <c r="U93" s="37" t="s">
        <v>112</v>
      </c>
      <c r="V93" s="37" t="s">
        <v>113</v>
      </c>
      <c r="W93" s="37" t="s">
        <v>82</v>
      </c>
      <c r="X93" s="37" t="s">
        <v>81</v>
      </c>
      <c r="Y93" s="37" t="s">
        <v>109</v>
      </c>
      <c r="Z93" s="37" t="s">
        <v>83</v>
      </c>
      <c r="AA93" s="37" t="s">
        <v>81</v>
      </c>
      <c r="AB93" s="37" t="s">
        <v>81</v>
      </c>
      <c r="AC93" s="37" t="s">
        <v>81</v>
      </c>
      <c r="AD93" s="37" t="s">
        <v>81</v>
      </c>
      <c r="AE93" s="37" t="s">
        <v>86</v>
      </c>
      <c r="AF93" s="37" t="s">
        <v>81</v>
      </c>
      <c r="AG93" s="37" t="s">
        <v>87</v>
      </c>
      <c r="AH93" s="37" t="s">
        <v>88</v>
      </c>
      <c r="AI93" s="37" t="s">
        <v>81</v>
      </c>
      <c r="AJ93" s="37" t="s">
        <v>81</v>
      </c>
      <c r="AK93" s="37" t="s">
        <v>81</v>
      </c>
      <c r="AL93" s="37" t="s">
        <v>81</v>
      </c>
      <c r="AM93" t="str">
        <f>VLOOKUP($R93,武学奇术!$A:$ZZ,25,FALSE)</f>
        <v>双刀</v>
      </c>
      <c r="AN93" s="23">
        <f>VLOOKUP($R93,武学奇术!$A:$ZZ,26,FALSE)</f>
        <v>1.7358</v>
      </c>
      <c r="AO93" s="24">
        <f>VLOOKUP($R93,武学奇术!$A:$ZZ,27,FALSE)*(1+IF(OR($AM93=$F$4,$AM93=$F$5),$B$23,0))</f>
        <v>769.6</v>
      </c>
      <c r="AP93" s="23">
        <f>VLOOKUP($R93,武学奇术!$A:$ZZ,28,FALSE)</f>
        <v>2.6037</v>
      </c>
      <c r="AQ93" s="24">
        <f>VLOOKUP($R93,武学奇术!$A:$ZZ,29,FALSE)*(1+IF(OR($AM93=$F$4,$AM93=$F$5),$B$23,0))</f>
        <v>419.2</v>
      </c>
      <c r="AR93" s="23" cm="1">
        <f t="array" ref="AR93">$G$3+IFERROR(VLOOKUP($AM93,$F$4:$G$7,2,FALSE),0)+VLOOKUP($R93,武学奇术!$A:$ZZ,2,FALSE)+SUM(_xlfn.XLOOKUP($S93:$AL93,增益!$A:$A,增益!$B:$B,0))</f>
        <v>0.6243</v>
      </c>
      <c r="AS93" s="23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4150.4</v>
      </c>
      <c r="AU93" cm="1">
        <f t="array" ref="AU93">$E$10*(1+$AS93)+VLOOKUP($R93,武学奇术!$A:$ZZ,4,FALSE)+SUM(_xlfn.XLOOKUP($S93:$AL93,增益!$A:$A,增益!$D:$D,0))-$I$2</f>
        <v>4150.4</v>
      </c>
      <c r="AV93" s="29" cm="1">
        <f t="array" ref="AV93">IF($F$10-$I$3+VLOOKUP($R93,武学奇术!$A:$ZZ,6,FALSE)+SUM(_xlfn.XLOOKUP(S93:AL93,增益!$A:$A,增益!$F:$F,0))&gt;0,($F$10-$I$3+VLOOKUP($R93,武学奇术!$A:$ZZ,6,FALSE)+SUM(_xlfn.XLOOKUP(S93:AL93,增益!$A:$A,增益!$F:$F,0)))/200,($F$10-$I$3+VLOOKUP($R93,武学奇术!$A:$ZZ,6,FALSE)+SUM(_xlfn.XLOOKUP(S93:AL93,增益!$A:$A,增益!$F:$F,0)))/100)</f>
        <v>0.4539</v>
      </c>
      <c r="AW93" s="29" cm="1">
        <f t="array" ref="AW93">$G$10+VLOOKUP($R93,武学奇术!$A:$ZZ,7,FALSE)+SUM(_xlfn.XLOOKUP(S93:AL93,增益!$A:$A,增益!$G:$G,0))</f>
        <v>0.08</v>
      </c>
      <c r="AX93" s="23" cm="1">
        <f t="array" ref="AX93">VLOOKUP($R93,武学奇术!$A:$ZZ,8,FALSE)+SUM(_xlfn.XLOOKUP(S93:AL93,增益!$A:$A,增益!$H:$H,0))</f>
        <v>0</v>
      </c>
      <c r="AY93">
        <f t="shared" si="23"/>
        <v>0</v>
      </c>
      <c r="AZ93">
        <f t="shared" si="24"/>
        <v>0</v>
      </c>
      <c r="BA93" s="29" cm="1">
        <f t="array" ref="BA93">IF($F$11-$I$4+VLOOKUP($R93,武学奇术!$A:$ZZ,9,FALSE)+SUM(_xlfn.XLOOKUP(S93:AL93,增益!$A:$A,增益!$I:$I,0))&gt;0,($F$11-$I$4+VLOOKUP($R93,武学奇术!$A:$ZZ,9,FALSE)+SUM(_xlfn.XLOOKUP(S93:AL93,增益!$A:$A,增益!$I:$I,0)))/200,($F$11-$I$4+VLOOKUP($R93,武学奇术!$A:$ZZ,9,FALSE)+SUM(_xlfn.XLOOKUP(S93:AL93,增益!$A:$A,增益!$I:$I,0)))/100)</f>
        <v>-0.3</v>
      </c>
      <c r="BB93" s="29" cm="1">
        <f t="array" ref="BB93">$G$11+VLOOKUP($R93,武学奇术!$A:$ZZ,10,FALSE)+SUM(_xlfn.XLOOKUP(S93:AL93,增益!$A:$A,增益!$J:$J,0))</f>
        <v>0.02</v>
      </c>
      <c r="BC93">
        <f t="shared" si="25"/>
        <v>0</v>
      </c>
      <c r="BD93">
        <f t="shared" si="26"/>
        <v>0</v>
      </c>
      <c r="BE93" s="29" cm="1">
        <f t="array" ref="BE93">IF($F$12-$I$4+VLOOKUP($R93,武学奇术!$A:$ZZ,11,FALSE)+SUM(_xlfn.XLOOKUP(S93:AL93,增益!$A:$A,增益!$K:$K,0))&gt;0,($F$12-$I$4+VLOOKUP($R93,武学奇术!$A:$ZZ,11,FALSE)+SUM(_xlfn.XLOOKUP(S93:AL93,增益!$A:$A,增益!$K:$K,0)))/200,($F$12-$I$4+VLOOKUP($R93,武学奇术!$A:$ZZ,11,FALSE)+SUM(_xlfn.XLOOKUP(S93:AL93,增益!$A:$A,增益!$K:$K,0)))/100)</f>
        <v>-0.3</v>
      </c>
      <c r="BF93" s="29" cm="1">
        <f t="array" ref="BF93">$G$12+VLOOKUP($R93,武学奇术!$A:$ZZ,12,FALSE)+SUM(_xlfn.XLOOKUP(S93:AL93,增益!$A:$A,增益!$L:$L,0))</f>
        <v>0.02</v>
      </c>
      <c r="BG93">
        <f t="shared" si="27"/>
        <v>0</v>
      </c>
      <c r="BH93">
        <f t="shared" si="28"/>
        <v>0</v>
      </c>
      <c r="BI93" s="29" cm="1">
        <f t="array" ref="BI93">IF($F$13-$I$4+VLOOKUP($R93,武学奇术!$A:$ZZ,13,FALSE)+SUM(_xlfn.XLOOKUP(S93:AL93,增益!$A:$A,增益!$M:$M,0))&gt;0,($F$13-$I$4+VLOOKUP($R93,武学奇术!$A:$ZZ,13,FALSE)+SUM(_xlfn.XLOOKUP(S93:AL93,增益!$A:$A,增益!$K:$K,0)))/200,($F$13-$I$4+VLOOKUP($R93,武学奇术!$A:$ZZ,13,FALSE)+SUM(_xlfn.XLOOKUP(S93:AL93,增益!$A:$A,增益!$M:$M,0)))/100)</f>
        <v>-0.3</v>
      </c>
      <c r="BJ93" s="29" cm="1">
        <f t="array" ref="BJ93">$G$13+VLOOKUP($R93,武学奇术!$A:$ZZ,14,FALSE)+SUM(_xlfn.XLOOKUP(S93:AL93,增益!$A:$A,增益!$N:$N,0))</f>
        <v>0.02</v>
      </c>
      <c r="BK93">
        <f t="shared" si="29"/>
        <v>618.2</v>
      </c>
      <c r="BL93">
        <f t="shared" si="30"/>
        <v>1805</v>
      </c>
      <c r="BM93" s="29" cm="1">
        <f t="array" ref="BM93">IF($F$14-$I$4+VLOOKUP($R93,武学奇术!$A:$ZZ,15,FALSE)+SUM(_xlfn.XLOOKUP(S93:AL93,增益!$A:$A,增益!$O:$O,0))&gt;0,($F$14-$I$4+VLOOKUP($R93,武学奇术!$A:$ZZ,15,FALSE)+SUM(_xlfn.XLOOKUP(S93:AL93,增益!$A:$A,增益!$O:$O,0)))/200,($F$14-$I$4+VLOOKUP($R93,武学奇术!$A:$ZZ,15,FALSE)+SUM(_xlfn.XLOOKUP(S93:AL93,增益!$A:$A,增益!$O:$O,0)))/100)</f>
        <v>0.05</v>
      </c>
      <c r="BN93" s="29" cm="1">
        <f t="array" ref="BN93">$G$14+VLOOKUP($R93,武学奇术!$A:$ZZ,16,FALSE)+SUM(_xlfn.XLOOKUP(S93:AL93,增益!$A:$A,增益!$P:$P,0))</f>
        <v>0.23</v>
      </c>
      <c r="BO93" s="23">
        <f>MIN(IF(VLOOKUP($R93,武学奇术!$A:$ZZ,23,FALSE)=1,100%,$B$8),100%)</f>
        <v>0.9943</v>
      </c>
      <c r="BP93" s="23" cm="1">
        <f t="array" ref="BP93">IF(VLOOKUP($R93,武学奇术!$A:$ZZ,23,FALSE)=1,100%,MIN(80%,$B$9+VLOOKUP($R93,武学奇术!$A:$ZZ,17,FALSE)+SUM(_xlfn.XLOOKUP(S93:AL93,增益!$A:$A,增益!$Q:$Q,0)))+$B$11+SUM(_xlfn.XLOOKUP(S93:AL93,增益!$A:$A,增益!$U:$U,0)))*IF(VLOOKUP($R93,武学奇术!$A:$ZZ,24,FALSE)=1,0,1)</f>
        <v>0.887</v>
      </c>
      <c r="BQ93" s="23" cm="1">
        <f t="array" ref="BQ93">1+$B$13+VLOOKUP($R93,武学奇术!$A:$ZZ,18,FALSE)+SUM(_xlfn.XLOOKUP(S93:AL93,增益!$A:$A,增益!$R:$R,0))</f>
        <v>2.394</v>
      </c>
      <c r="BR93" s="23" cm="1">
        <f t="array" ref="BR93">IF(VLOOKUP($R93,武学奇术!$A:$ZZ,24,FALSE)=1,100%,MIN(40%,$B$10+VLOOKUP($R93,武学奇术!$A:$ZZ,19,FALSE)+SUM(_xlfn.XLOOKUP(S93:AL93,增益!$A:$A,增益!$S:$S,0)))+$B$12+SUM(_xlfn.XLOOKUP(S93:AL93,增益!$A:$A,增益!$V:$V,0)))*IF(VLOOKUP($R93,武学奇术!$A:$ZZ,23,FALSE)=1,0,1)</f>
        <v>0.0913</v>
      </c>
      <c r="BS93" s="23" cm="1">
        <f t="array" ref="BS93">1+$B$14+VLOOKUP($R93,武学奇术!$A:$ZZ,20,FALSE)+SUM(_xlfn.XLOOKUP(S93:AL93,增益!$A:$A,增益!$T:$T,0))</f>
        <v>1.35</v>
      </c>
      <c r="BT93" s="23">
        <f t="shared" si="31"/>
        <v>0.8819441</v>
      </c>
      <c r="BU93" s="23">
        <f t="shared" si="32"/>
        <v>0.0215763099999999</v>
      </c>
      <c r="BV93" s="23">
        <f>IF(VLOOKUP($R93,武学奇术!$A:$ZZ,22,FALSE)=1,0,(1-$BO93))*(1-$BR93)</f>
        <v>0.00517958999999993</v>
      </c>
      <c r="BW93" s="23" cm="1">
        <f t="array" ref="BW93">SUM(_xlfn.XLOOKUP(S93:AL93,增益!$A:$A,增益!$W:$W,0))+$I$5</f>
        <v>0.11</v>
      </c>
      <c r="BX93" s="23">
        <f>VLOOKUP($R93,武学奇术!$A:$ZZ,32,FALSE)</f>
        <v>0.1</v>
      </c>
      <c r="BY93" s="23" cm="1">
        <f t="array" ref="BY93">SUM(_xlfn.XLOOKUP($S93:$AL93,增益!$A:$A,增益!$X:$X,0))</f>
        <v>0</v>
      </c>
    </row>
    <row r="94" spans="1:77">
      <c r="A94" s="93">
        <v>5</v>
      </c>
      <c r="B94" s="4">
        <v>0.9</v>
      </c>
      <c r="C94" s="36" t="s">
        <v>183</v>
      </c>
      <c r="D94" s="36"/>
      <c r="E94" s="36"/>
      <c r="K94" s="35">
        <f>$L94*VLOOKUP($R94,武学奇术!$A:$ZZ,31,FALSE)</f>
        <v>128407.609528857</v>
      </c>
      <c r="L94" s="35">
        <f t="shared" si="34"/>
        <v>114649.651365051</v>
      </c>
      <c r="M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轻击",$B$21,0))*(1+IF(VLOOKUP($R94,武学奇术!$A:$ZZ,30,FALSE)="老鼠",$B$22,0))*(1+$BW94)*(1+$BX94)</f>
        <v>120650.88356008</v>
      </c>
      <c r="N94" s="35">
        <f>(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轻击",$B$21,0))*(1+IF(VLOOKUP($R94,武学奇术!$A:$ZZ,30,FALSE)="老鼠",$B$22,0))*(1+$BW94))*(1+$BX94)</f>
        <v>75835.9206353394</v>
      </c>
      <c r="O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轻击",$B$21,0))*(1+IF(VLOOKUP($R94,武学奇术!$A:$ZZ,30,FALSE)="老鼠",$B$22,0))*(1+$BW94)*(1+$BX94)</f>
        <v>50397.1944695407</v>
      </c>
      <c r="P94" s="35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轻击",$B$21,0))*(1+IF(VLOOKUP($R94,武学奇术!$A:$ZZ,30,FALSE)="老鼠",$B$22,0))*(1+$BW94)*(1+$BX94)</f>
        <v>44619.632912904</v>
      </c>
      <c r="Q94" s="36">
        <v>1</v>
      </c>
      <c r="R94" s="37" t="s">
        <v>158</v>
      </c>
      <c r="S94" s="37" t="s">
        <v>91</v>
      </c>
      <c r="T94" s="37" t="s">
        <v>185</v>
      </c>
      <c r="U94" s="37" t="s">
        <v>112</v>
      </c>
      <c r="V94" s="37" t="s">
        <v>113</v>
      </c>
      <c r="W94" s="37" t="s">
        <v>82</v>
      </c>
      <c r="X94" s="37" t="s">
        <v>81</v>
      </c>
      <c r="Y94" s="37" t="s">
        <v>109</v>
      </c>
      <c r="Z94" s="37" t="s">
        <v>83</v>
      </c>
      <c r="AA94" s="37" t="s">
        <v>81</v>
      </c>
      <c r="AB94" s="37" t="s">
        <v>81</v>
      </c>
      <c r="AC94" s="37" t="s">
        <v>81</v>
      </c>
      <c r="AD94" s="37" t="s">
        <v>81</v>
      </c>
      <c r="AE94" s="37" t="s">
        <v>86</v>
      </c>
      <c r="AF94" s="37" t="s">
        <v>81</v>
      </c>
      <c r="AG94" s="37" t="s">
        <v>87</v>
      </c>
      <c r="AH94" s="37" t="s">
        <v>88</v>
      </c>
      <c r="AI94" s="37" t="s">
        <v>81</v>
      </c>
      <c r="AJ94" s="37" t="s">
        <v>81</v>
      </c>
      <c r="AK94" s="37" t="s">
        <v>81</v>
      </c>
      <c r="AL94" s="37" t="s">
        <v>81</v>
      </c>
      <c r="AM94" t="str">
        <f>VLOOKUP($R94,武学奇术!$A:$ZZ,25,FALSE)</f>
        <v>双刀</v>
      </c>
      <c r="AN94" s="23">
        <f>VLOOKUP($R94,武学奇术!$A:$ZZ,26,FALSE)</f>
        <v>2.5342</v>
      </c>
      <c r="AO94" s="24">
        <f>VLOOKUP($R94,武学奇术!$A:$ZZ,27,FALSE)*(1+IF(OR($AM94=$F$4,$AM94=$F$5),$B$23,0))</f>
        <v>1123.2</v>
      </c>
      <c r="AP94" s="23">
        <f>VLOOKUP($R94,武学奇术!$A:$ZZ,28,FALSE)</f>
        <v>3.8012</v>
      </c>
      <c r="AQ94" s="24">
        <f>VLOOKUP($R94,武学奇术!$A:$ZZ,29,FALSE)*(1+IF(OR($AM94=$F$4,$AM94=$F$5),$B$23,0))</f>
        <v>611.2</v>
      </c>
      <c r="AR94" s="23" cm="1">
        <f t="array" ref="AR94">$G$3+IFERROR(VLOOKUP($AM94,$F$4:$G$7,2,FALSE),0)+VLOOKUP($R94,武学奇术!$A:$ZZ,2,FALSE)+SUM(_xlfn.XLOOKUP($S94:$AL94,增益!$A:$A,增益!$B:$B,0))</f>
        <v>0.6243</v>
      </c>
      <c r="AS94" s="23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4150.4</v>
      </c>
      <c r="AU94" cm="1">
        <f t="array" ref="AU94">$E$10*(1+$AS94)+VLOOKUP($R94,武学奇术!$A:$ZZ,4,FALSE)+SUM(_xlfn.XLOOKUP($S94:$AL94,增益!$A:$A,增益!$D:$D,0))-$I$2</f>
        <v>4150.4</v>
      </c>
      <c r="AV94" s="29" cm="1">
        <f t="array" ref="AV94">IF($F$10-$I$3+VLOOKUP($R94,武学奇术!$A:$ZZ,6,FALSE)+SUM(_xlfn.XLOOKUP(S94:AL94,增益!$A:$A,增益!$F:$F,0))&gt;0,($F$10-$I$3+VLOOKUP($R94,武学奇术!$A:$ZZ,6,FALSE)+SUM(_xlfn.XLOOKUP(S94:AL94,增益!$A:$A,增益!$F:$F,0)))/200,($F$10-$I$3+VLOOKUP($R94,武学奇术!$A:$ZZ,6,FALSE)+SUM(_xlfn.XLOOKUP(S94:AL94,增益!$A:$A,增益!$F:$F,0)))/100)</f>
        <v>0.4539</v>
      </c>
      <c r="AW94" s="29" cm="1">
        <f t="array" ref="AW94">$G$10+VLOOKUP($R94,武学奇术!$A:$ZZ,7,FALSE)+SUM(_xlfn.XLOOKUP(S94:AL94,增益!$A:$A,增益!$G:$G,0))</f>
        <v>0.08</v>
      </c>
      <c r="AX94" s="23" cm="1">
        <f t="array" ref="AX94">VLOOKUP($R94,武学奇术!$A:$ZZ,8,FALSE)+SUM(_xlfn.XLOOKUP(S94:AL94,增益!$A:$A,增益!$H:$H,0))</f>
        <v>0</v>
      </c>
      <c r="AY94">
        <f t="shared" si="23"/>
        <v>0</v>
      </c>
      <c r="AZ94">
        <f t="shared" si="24"/>
        <v>0</v>
      </c>
      <c r="BA94" s="29" cm="1">
        <f t="array" ref="BA94">IF($F$11-$I$4+VLOOKUP($R94,武学奇术!$A:$ZZ,9,FALSE)+SUM(_xlfn.XLOOKUP(S94:AL94,增益!$A:$A,增益!$I:$I,0))&gt;0,($F$11-$I$4+VLOOKUP($R94,武学奇术!$A:$ZZ,9,FALSE)+SUM(_xlfn.XLOOKUP(S94:AL94,增益!$A:$A,增益!$I:$I,0)))/200,($F$11-$I$4+VLOOKUP($R94,武学奇术!$A:$ZZ,9,FALSE)+SUM(_xlfn.XLOOKUP(S94:AL94,增益!$A:$A,增益!$I:$I,0)))/100)</f>
        <v>-0.3</v>
      </c>
      <c r="BB94" s="29" cm="1">
        <f t="array" ref="BB94">$G$11+VLOOKUP($R94,武学奇术!$A:$ZZ,10,FALSE)+SUM(_xlfn.XLOOKUP(S94:AL94,增益!$A:$A,增益!$J:$J,0))</f>
        <v>0.02</v>
      </c>
      <c r="BC94">
        <f t="shared" si="25"/>
        <v>0</v>
      </c>
      <c r="BD94">
        <f t="shared" si="26"/>
        <v>0</v>
      </c>
      <c r="BE94" s="29" cm="1">
        <f t="array" ref="BE94">IF($F$12-$I$4+VLOOKUP($R94,武学奇术!$A:$ZZ,11,FALSE)+SUM(_xlfn.XLOOKUP(S94:AL94,增益!$A:$A,增益!$K:$K,0))&gt;0,($F$12-$I$4+VLOOKUP($R94,武学奇术!$A:$ZZ,11,FALSE)+SUM(_xlfn.XLOOKUP(S94:AL94,增益!$A:$A,增益!$K:$K,0)))/200,($F$12-$I$4+VLOOKUP($R94,武学奇术!$A:$ZZ,11,FALSE)+SUM(_xlfn.XLOOKUP(S94:AL94,增益!$A:$A,增益!$K:$K,0)))/100)</f>
        <v>-0.3</v>
      </c>
      <c r="BF94" s="29" cm="1">
        <f t="array" ref="BF94">$G$12+VLOOKUP($R94,武学奇术!$A:$ZZ,12,FALSE)+SUM(_xlfn.XLOOKUP(S94:AL94,增益!$A:$A,增益!$L:$L,0))</f>
        <v>0.02</v>
      </c>
      <c r="BG94">
        <f t="shared" si="27"/>
        <v>0</v>
      </c>
      <c r="BH94">
        <f t="shared" si="28"/>
        <v>0</v>
      </c>
      <c r="BI94" s="29" cm="1">
        <f t="array" ref="BI94">IF($F$13-$I$4+VLOOKUP($R94,武学奇术!$A:$ZZ,13,FALSE)+SUM(_xlfn.XLOOKUP(S94:AL94,增益!$A:$A,增益!$M:$M,0))&gt;0,($F$13-$I$4+VLOOKUP($R94,武学奇术!$A:$ZZ,13,FALSE)+SUM(_xlfn.XLOOKUP(S94:AL94,增益!$A:$A,增益!$K:$K,0)))/200,($F$13-$I$4+VLOOKUP($R94,武学奇术!$A:$ZZ,13,FALSE)+SUM(_xlfn.XLOOKUP(S94:AL94,增益!$A:$A,增益!$M:$M,0)))/100)</f>
        <v>-0.3</v>
      </c>
      <c r="BJ94" s="29" cm="1">
        <f t="array" ref="BJ94">$G$13+VLOOKUP($R94,武学奇术!$A:$ZZ,14,FALSE)+SUM(_xlfn.XLOOKUP(S94:AL94,增益!$A:$A,增益!$N:$N,0))</f>
        <v>0.02</v>
      </c>
      <c r="BK94">
        <f t="shared" si="29"/>
        <v>618.2</v>
      </c>
      <c r="BL94">
        <f t="shared" si="30"/>
        <v>1805</v>
      </c>
      <c r="BM94" s="29" cm="1">
        <f t="array" ref="BM94">IF($F$14-$I$4+VLOOKUP($R94,武学奇术!$A:$ZZ,15,FALSE)+SUM(_xlfn.XLOOKUP(S94:AL94,增益!$A:$A,增益!$O:$O,0))&gt;0,($F$14-$I$4+VLOOKUP($R94,武学奇术!$A:$ZZ,15,FALSE)+SUM(_xlfn.XLOOKUP(S94:AL94,增益!$A:$A,增益!$O:$O,0)))/200,($F$14-$I$4+VLOOKUP($R94,武学奇术!$A:$ZZ,15,FALSE)+SUM(_xlfn.XLOOKUP(S94:AL94,增益!$A:$A,增益!$O:$O,0)))/100)</f>
        <v>0.05</v>
      </c>
      <c r="BN94" s="29" cm="1">
        <f t="array" ref="BN94">$G$14+VLOOKUP($R94,武学奇术!$A:$ZZ,16,FALSE)+SUM(_xlfn.XLOOKUP(S94:AL94,增益!$A:$A,增益!$P:$P,0))</f>
        <v>0.23</v>
      </c>
      <c r="BO94" s="23">
        <f>MIN(IF(VLOOKUP($R94,武学奇术!$A:$ZZ,23,FALSE)=1,100%,$B$8),100%)</f>
        <v>0.9943</v>
      </c>
      <c r="BP94" s="23" cm="1">
        <f t="array" ref="BP94">IF(VLOOKUP($R94,武学奇术!$A:$ZZ,23,FALSE)=1,100%,MIN(80%,$B$9+VLOOKUP($R94,武学奇术!$A:$ZZ,17,FALSE)+SUM(_xlfn.XLOOKUP(S94:AL94,增益!$A:$A,增益!$Q:$Q,0)))+$B$11+SUM(_xlfn.XLOOKUP(S94:AL94,增益!$A:$A,增益!$U:$U,0)))*IF(VLOOKUP($R94,武学奇术!$A:$ZZ,24,FALSE)=1,0,1)</f>
        <v>0.887</v>
      </c>
      <c r="BQ94" s="23" cm="1">
        <f t="array" ref="BQ94">1+$B$13+VLOOKUP($R94,武学奇术!$A:$ZZ,18,FALSE)+SUM(_xlfn.XLOOKUP(S94:AL94,增益!$A:$A,增益!$R:$R,0))</f>
        <v>2.394</v>
      </c>
      <c r="BR94" s="23" cm="1">
        <f t="array" ref="BR94">IF(VLOOKUP($R94,武学奇术!$A:$ZZ,24,FALSE)=1,100%,MIN(40%,$B$10+VLOOKUP($R94,武学奇术!$A:$ZZ,19,FALSE)+SUM(_xlfn.XLOOKUP(S94:AL94,增益!$A:$A,增益!$S:$S,0)))+$B$12+SUM(_xlfn.XLOOKUP(S94:AL94,增益!$A:$A,增益!$V:$V,0)))*IF(VLOOKUP($R94,武学奇术!$A:$ZZ,23,FALSE)=1,0,1)</f>
        <v>0.0913</v>
      </c>
      <c r="BS94" s="23" cm="1">
        <f t="array" ref="BS94">1+$B$14+VLOOKUP($R94,武学奇术!$A:$ZZ,20,FALSE)+SUM(_xlfn.XLOOKUP(S94:AL94,增益!$A:$A,增益!$T:$T,0))</f>
        <v>1.35</v>
      </c>
      <c r="BT94" s="23">
        <f t="shared" si="31"/>
        <v>0.8819441</v>
      </c>
      <c r="BU94" s="23">
        <f t="shared" si="32"/>
        <v>0.0215763099999999</v>
      </c>
      <c r="BV94" s="23">
        <f>IF(VLOOKUP($R94,武学奇术!$A:$ZZ,22,FALSE)=1,0,(1-$BO94))*(1-$BR94)</f>
        <v>0.00517958999999993</v>
      </c>
      <c r="BW94" s="23" cm="1">
        <f t="array" ref="BW94">SUM(_xlfn.XLOOKUP(S94:AL94,增益!$A:$A,增益!$W:$W,0))+$I$5</f>
        <v>0.11</v>
      </c>
      <c r="BX94" s="23">
        <f>VLOOKUP($R94,武学奇术!$A:$ZZ,32,FALSE)</f>
        <v>0.1</v>
      </c>
      <c r="BY94" s="23" cm="1">
        <f t="array" ref="BY94">SUM(_xlfn.XLOOKUP($S94:$AL94,增益!$A:$A,增益!$X:$X,0))</f>
        <v>0</v>
      </c>
    </row>
    <row r="95" spans="1:77">
      <c r="A95" s="4" t="s">
        <v>176</v>
      </c>
      <c r="B95" s="4">
        <v>0.1</v>
      </c>
      <c r="C95" s="36"/>
      <c r="D95" s="36"/>
      <c r="E95" s="36"/>
      <c r="K95" s="35">
        <f>$L95*VLOOKUP($R95,武学奇术!$A:$ZZ,31,FALSE)</f>
        <v>48617.577209241</v>
      </c>
      <c r="L95" s="35">
        <f t="shared" si="34"/>
        <v>47664.2913816088</v>
      </c>
      <c r="M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轻击",$B$21,0))*(1+IF(VLOOKUP($R95,武学奇术!$A:$ZZ,30,FALSE)="老鼠",$B$22,0))*(1+$BW95)*(1+$BX95)</f>
        <v>50164.9922080066</v>
      </c>
      <c r="N95" s="35">
        <f>(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轻击",$B$21,0))*(1+IF(VLOOKUP($R95,武学奇术!$A:$ZZ,30,FALSE)="老鼠",$B$22,0))*(1+$BW95))*(1+$BX95)</f>
        <v>31468.9976106812</v>
      </c>
      <c r="O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轻击",$B$21,0))*(1+IF(VLOOKUP($R95,武学奇术!$A:$ZZ,30,FALSE)="老鼠",$B$22,0))*(1+$BW95)*(1+$BX95)</f>
        <v>20954.4662523002</v>
      </c>
      <c r="P95" s="35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轻击",$B$21,0))*(1+IF(VLOOKUP($R95,武学奇术!$A:$ZZ,30,FALSE)="老鼠",$B$22,0))*(1+$BW95)*(1+$BX95)</f>
        <v>18598.5639040958</v>
      </c>
      <c r="Q95" s="36">
        <v>1</v>
      </c>
      <c r="R95" s="37" t="s">
        <v>160</v>
      </c>
      <c r="S95" s="37" t="s">
        <v>91</v>
      </c>
      <c r="T95" s="37" t="s">
        <v>185</v>
      </c>
      <c r="U95" s="37" t="s">
        <v>81</v>
      </c>
      <c r="V95" s="37" t="s">
        <v>81</v>
      </c>
      <c r="W95" s="37" t="s">
        <v>82</v>
      </c>
      <c r="X95" s="37" t="s">
        <v>81</v>
      </c>
      <c r="Y95" s="37" t="s">
        <v>81</v>
      </c>
      <c r="Z95" s="37" t="s">
        <v>83</v>
      </c>
      <c r="AA95" s="37" t="s">
        <v>81</v>
      </c>
      <c r="AB95" s="37" t="s">
        <v>81</v>
      </c>
      <c r="AC95" s="37" t="s">
        <v>81</v>
      </c>
      <c r="AD95" s="37" t="s">
        <v>81</v>
      </c>
      <c r="AE95" s="37" t="s">
        <v>86</v>
      </c>
      <c r="AF95" s="37" t="s">
        <v>81</v>
      </c>
      <c r="AG95" s="37" t="s">
        <v>87</v>
      </c>
      <c r="AH95" s="37" t="s">
        <v>88</v>
      </c>
      <c r="AI95" s="37" t="s">
        <v>81</v>
      </c>
      <c r="AJ95" s="37" t="s">
        <v>81</v>
      </c>
      <c r="AK95" s="37" t="s">
        <v>81</v>
      </c>
      <c r="AL95" s="37" t="s">
        <v>81</v>
      </c>
      <c r="AM95" t="str">
        <f>VLOOKUP($R95,武学奇术!$A:$ZZ,25,FALSE)</f>
        <v>双刀</v>
      </c>
      <c r="AN95" s="23">
        <f>VLOOKUP($R95,武学奇术!$A:$ZZ,26,FALSE)</f>
        <v>1.3548</v>
      </c>
      <c r="AO95" s="24">
        <f>VLOOKUP($R95,武学奇术!$A:$ZZ,27,FALSE)*(1+IF(OR($AM95=$F$4,$AM95=$F$5),$B$23,0))</f>
        <v>601.6</v>
      </c>
      <c r="AP95" s="23">
        <f>VLOOKUP($R95,武学奇术!$A:$ZZ,28,FALSE)</f>
        <v>2.0322</v>
      </c>
      <c r="AQ95" s="24">
        <f>VLOOKUP($R95,武学奇术!$A:$ZZ,29,FALSE)*(1+IF(OR($AM95=$F$4,$AM95=$F$5),$B$23,0))</f>
        <v>328</v>
      </c>
      <c r="AR95" s="23" cm="1">
        <f t="array" ref="AR95">$G$3+IFERROR(VLOOKUP($AM95,$F$4:$G$7,2,FALSE),0)+VLOOKUP($R95,武学奇术!$A:$ZZ,2,FALSE)+SUM(_xlfn.XLOOKUP($S95:$AL95,增益!$A:$A,增益!$B:$B,0))</f>
        <v>0.5043</v>
      </c>
      <c r="AS95" s="23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4081.7</v>
      </c>
      <c r="AU95" cm="1">
        <f t="array" ref="AU95">$E$10*(1+$AS95)+VLOOKUP($R95,武学奇术!$A:$ZZ,4,FALSE)+SUM(_xlfn.XLOOKUP($S95:$AL95,增益!$A:$A,增益!$D:$D,0))-$I$2</f>
        <v>4081.7</v>
      </c>
      <c r="AV95" s="29" cm="1">
        <f t="array" ref="AV95">IF($F$10-$I$3+VLOOKUP($R95,武学奇术!$A:$ZZ,6,FALSE)+SUM(_xlfn.XLOOKUP(S95:AL95,增益!$A:$A,增益!$F:$F,0))&gt;0,($F$10-$I$3+VLOOKUP($R95,武学奇术!$A:$ZZ,6,FALSE)+SUM(_xlfn.XLOOKUP(S95:AL95,增益!$A:$A,增益!$F:$F,0)))/200,($F$10-$I$3+VLOOKUP($R95,武学奇术!$A:$ZZ,6,FALSE)+SUM(_xlfn.XLOOKUP(S95:AL95,增益!$A:$A,增益!$F:$F,0)))/100)</f>
        <v>0.4539</v>
      </c>
      <c r="AW95" s="29" cm="1">
        <f t="array" ref="AW95">$G$10+VLOOKUP($R95,武学奇术!$A:$ZZ,7,FALSE)+SUM(_xlfn.XLOOKUP(S95:AL95,增益!$A:$A,增益!$G:$G,0))</f>
        <v>0.02</v>
      </c>
      <c r="AX95" s="23" cm="1">
        <f t="array" ref="AX95">VLOOKUP($R95,武学奇术!$A:$ZZ,8,FALSE)+SUM(_xlfn.XLOOKUP(S95:AL95,增益!$A:$A,增益!$H:$H,0))</f>
        <v>0</v>
      </c>
      <c r="AY95">
        <f t="shared" si="23"/>
        <v>0</v>
      </c>
      <c r="AZ95">
        <f t="shared" si="24"/>
        <v>0</v>
      </c>
      <c r="BA95" s="29" cm="1">
        <f t="array" ref="BA95">IF($F$11-$I$4+VLOOKUP($R95,武学奇术!$A:$ZZ,9,FALSE)+SUM(_xlfn.XLOOKUP(S95:AL95,增益!$A:$A,增益!$I:$I,0))&gt;0,($F$11-$I$4+VLOOKUP($R95,武学奇术!$A:$ZZ,9,FALSE)+SUM(_xlfn.XLOOKUP(S95:AL95,增益!$A:$A,增益!$I:$I,0)))/200,($F$11-$I$4+VLOOKUP($R95,武学奇术!$A:$ZZ,9,FALSE)+SUM(_xlfn.XLOOKUP(S95:AL95,增益!$A:$A,增益!$I:$I,0)))/100)</f>
        <v>-0.3</v>
      </c>
      <c r="BB95" s="29" cm="1">
        <f t="array" ref="BB95">$G$11+VLOOKUP($R95,武学奇术!$A:$ZZ,10,FALSE)+SUM(_xlfn.XLOOKUP(S95:AL95,增益!$A:$A,增益!$J:$J,0))</f>
        <v>0.02</v>
      </c>
      <c r="BC95">
        <f t="shared" si="25"/>
        <v>0</v>
      </c>
      <c r="BD95">
        <f t="shared" si="26"/>
        <v>0</v>
      </c>
      <c r="BE95" s="29" cm="1">
        <f t="array" ref="BE95">IF($F$12-$I$4+VLOOKUP($R95,武学奇术!$A:$ZZ,11,FALSE)+SUM(_xlfn.XLOOKUP(S95:AL95,增益!$A:$A,增益!$K:$K,0))&gt;0,($F$12-$I$4+VLOOKUP($R95,武学奇术!$A:$ZZ,11,FALSE)+SUM(_xlfn.XLOOKUP(S95:AL95,增益!$A:$A,增益!$K:$K,0)))/200,($F$12-$I$4+VLOOKUP($R95,武学奇术!$A:$ZZ,11,FALSE)+SUM(_xlfn.XLOOKUP(S95:AL95,增益!$A:$A,增益!$K:$K,0)))/100)</f>
        <v>-0.3</v>
      </c>
      <c r="BF95" s="29" cm="1">
        <f t="array" ref="BF95">$G$12+VLOOKUP($R95,武学奇术!$A:$ZZ,12,FALSE)+SUM(_xlfn.XLOOKUP(S95:AL95,增益!$A:$A,增益!$L:$L,0))</f>
        <v>0.02</v>
      </c>
      <c r="BG95">
        <f t="shared" si="27"/>
        <v>0</v>
      </c>
      <c r="BH95">
        <f t="shared" si="28"/>
        <v>0</v>
      </c>
      <c r="BI95" s="29" cm="1">
        <f t="array" ref="BI95">IF($F$13-$I$4+VLOOKUP($R95,武学奇术!$A:$ZZ,13,FALSE)+SUM(_xlfn.XLOOKUP(S95:AL95,增益!$A:$A,增益!$M:$M,0))&gt;0,($F$13-$I$4+VLOOKUP($R95,武学奇术!$A:$ZZ,13,FALSE)+SUM(_xlfn.XLOOKUP(S95:AL95,增益!$A:$A,增益!$K:$K,0)))/200,($F$13-$I$4+VLOOKUP($R95,武学奇术!$A:$ZZ,13,FALSE)+SUM(_xlfn.XLOOKUP(S95:AL95,增益!$A:$A,增益!$M:$M,0)))/100)</f>
        <v>-0.3</v>
      </c>
      <c r="BJ95" s="29" cm="1">
        <f t="array" ref="BJ95">$G$13+VLOOKUP($R95,武学奇术!$A:$ZZ,14,FALSE)+SUM(_xlfn.XLOOKUP(S95:AL95,增益!$A:$A,增益!$N:$N,0))</f>
        <v>0.02</v>
      </c>
      <c r="BK95">
        <f t="shared" si="29"/>
        <v>618.2</v>
      </c>
      <c r="BL95">
        <f t="shared" si="30"/>
        <v>1805</v>
      </c>
      <c r="BM95" s="29" cm="1">
        <f t="array" ref="BM95">IF($F$14-$I$4+VLOOKUP($R95,武学奇术!$A:$ZZ,15,FALSE)+SUM(_xlfn.XLOOKUP(S95:AL95,增益!$A:$A,增益!$O:$O,0))&gt;0,($F$14-$I$4+VLOOKUP($R95,武学奇术!$A:$ZZ,15,FALSE)+SUM(_xlfn.XLOOKUP(S95:AL95,增益!$A:$A,增益!$O:$O,0)))/200,($F$14-$I$4+VLOOKUP($R95,武学奇术!$A:$ZZ,15,FALSE)+SUM(_xlfn.XLOOKUP(S95:AL95,增益!$A:$A,增益!$O:$O,0)))/100)</f>
        <v>0</v>
      </c>
      <c r="BN95" s="29" cm="1">
        <f t="array" ref="BN95">$G$14+VLOOKUP($R95,武学奇术!$A:$ZZ,16,FALSE)+SUM(_xlfn.XLOOKUP(S95:AL95,增益!$A:$A,增益!$P:$P,0))</f>
        <v>0.17</v>
      </c>
      <c r="BO95" s="23">
        <f>MIN(IF(VLOOKUP($R95,武学奇术!$A:$ZZ,23,FALSE)=1,100%,$B$8),100%)</f>
        <v>0.9943</v>
      </c>
      <c r="BP95" s="23" cm="1">
        <f t="array" ref="BP95">IF(VLOOKUP($R95,武学奇术!$A:$ZZ,23,FALSE)=1,100%,MIN(80%,$B$9+VLOOKUP($R95,武学奇术!$A:$ZZ,17,FALSE)+SUM(_xlfn.XLOOKUP(S95:AL95,增益!$A:$A,增益!$Q:$Q,0)))+$B$11+SUM(_xlfn.XLOOKUP(S95:AL95,增益!$A:$A,增益!$U:$U,0)))*IF(VLOOKUP($R95,武学奇术!$A:$ZZ,24,FALSE)=1,0,1)</f>
        <v>0.887</v>
      </c>
      <c r="BQ95" s="23" cm="1">
        <f t="array" ref="BQ95">1+$B$13+VLOOKUP($R95,武学奇术!$A:$ZZ,18,FALSE)+SUM(_xlfn.XLOOKUP(S95:AL95,增益!$A:$A,增益!$R:$R,0))</f>
        <v>2.394</v>
      </c>
      <c r="BR95" s="23" cm="1">
        <f t="array" ref="BR95">IF(VLOOKUP($R95,武学奇术!$A:$ZZ,24,FALSE)=1,100%,MIN(40%,$B$10+VLOOKUP($R95,武学奇术!$A:$ZZ,19,FALSE)+SUM(_xlfn.XLOOKUP(S95:AL95,增益!$A:$A,增益!$S:$S,0)))+$B$12+SUM(_xlfn.XLOOKUP(S95:AL95,增益!$A:$A,增益!$V:$V,0)))*IF(VLOOKUP($R95,武学奇术!$A:$ZZ,23,FALSE)=1,0,1)</f>
        <v>0.0913</v>
      </c>
      <c r="BS95" s="23" cm="1">
        <f t="array" ref="BS95">1+$B$14+VLOOKUP($R95,武学奇术!$A:$ZZ,20,FALSE)+SUM(_xlfn.XLOOKUP(S95:AL95,增益!$A:$A,增益!$T:$T,0))</f>
        <v>1.35</v>
      </c>
      <c r="BT95" s="23">
        <f t="shared" si="31"/>
        <v>0.8819441</v>
      </c>
      <c r="BU95" s="23">
        <f t="shared" si="32"/>
        <v>0.0215763099999999</v>
      </c>
      <c r="BV95" s="23">
        <f>IF(VLOOKUP($R95,武学奇术!$A:$ZZ,22,FALSE)=1,0,(1-$BO95))*(1-$BR95)</f>
        <v>0.00517958999999993</v>
      </c>
      <c r="BW95" s="23" cm="1">
        <f t="array" ref="BW95">SUM(_xlfn.XLOOKUP(S95:AL95,增益!$A:$A,增益!$W:$W,0))+$I$5</f>
        <v>0.11</v>
      </c>
      <c r="BX95" s="23">
        <f>VLOOKUP($R95,武学奇术!$A:$ZZ,32,FALSE)</f>
        <v>0</v>
      </c>
      <c r="BY95" s="23" cm="1">
        <f t="array" ref="BY95">SUM(_xlfn.XLOOKUP($S95:$AL95,增益!$A:$A,增益!$X:$X,0))</f>
        <v>0</v>
      </c>
    </row>
    <row r="96" spans="1:77">
      <c r="A96" s="4" t="s">
        <v>161</v>
      </c>
      <c r="B96" s="4">
        <v>1</v>
      </c>
      <c r="C96" s="36"/>
      <c r="D96" s="36"/>
      <c r="E96" s="36"/>
      <c r="K96" s="35">
        <f>$L96*VLOOKUP($R96,武学奇术!$A:$ZZ,31,FALSE)</f>
        <v>255508.980290018</v>
      </c>
      <c r="L96" s="69">
        <f t="shared" si="34"/>
        <v>250499.000284332</v>
      </c>
      <c r="M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轻击",$B$21,0))*(1+IF(VLOOKUP($R96,武学奇术!$A:$ZZ,30,FALSE)="老鼠",$B$22,0))*(1+$BW96)*(1+$BX96)</f>
        <v>263431.439965712</v>
      </c>
      <c r="N96" s="35">
        <f>(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轻击",$B$21,0))*(1+IF(VLOOKUP($R96,武学奇术!$A:$ZZ,30,FALSE)="老鼠",$B$22,0))*(1+$BW96))*(1+$BX96)</f>
        <v>167534.016499998</v>
      </c>
      <c r="O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轻击",$B$21,0))*(1+IF(VLOOKUP($R96,武学奇术!$A:$ZZ,30,FALSE)="老鼠",$B$22,0))*(1+$BW96)*(1+$BX96)</f>
        <v>110038.195474399</v>
      </c>
      <c r="P96" s="35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轻击",$B$21,0))*(1+IF(VLOOKUP($R96,武学奇术!$A:$ZZ,30,FALSE)="老鼠",$B$22,0))*(1+$BW96)*(1+$BX96)</f>
        <v>95977.1194673184</v>
      </c>
      <c r="Q96" s="70">
        <v>8</v>
      </c>
      <c r="R96" s="37" t="s">
        <v>106</v>
      </c>
      <c r="S96" s="37" t="s">
        <v>91</v>
      </c>
      <c r="T96" s="37" t="s">
        <v>185</v>
      </c>
      <c r="U96" s="37" t="s">
        <v>112</v>
      </c>
      <c r="V96" s="37" t="s">
        <v>113</v>
      </c>
      <c r="W96" s="37" t="s">
        <v>82</v>
      </c>
      <c r="X96" s="37" t="s">
        <v>81</v>
      </c>
      <c r="Y96" s="37" t="s">
        <v>109</v>
      </c>
      <c r="Z96" s="37" t="s">
        <v>83</v>
      </c>
      <c r="AA96" s="37" t="s">
        <v>81</v>
      </c>
      <c r="AB96" s="37" t="s">
        <v>81</v>
      </c>
      <c r="AC96" s="37" t="s">
        <v>81</v>
      </c>
      <c r="AD96" s="37" t="s">
        <v>81</v>
      </c>
      <c r="AE96" s="37" t="s">
        <v>86</v>
      </c>
      <c r="AF96" s="37" t="s">
        <v>81</v>
      </c>
      <c r="AG96" s="37" t="s">
        <v>87</v>
      </c>
      <c r="AH96" s="37" t="s">
        <v>88</v>
      </c>
      <c r="AI96" s="37" t="s">
        <v>81</v>
      </c>
      <c r="AJ96" s="37" t="s">
        <v>81</v>
      </c>
      <c r="AK96" s="37" t="s">
        <v>81</v>
      </c>
      <c r="AL96" s="37" t="s">
        <v>81</v>
      </c>
      <c r="AM96" t="str">
        <f>VLOOKUP($R96,武学奇术!$A:$ZZ,25,FALSE)</f>
        <v>绳镖</v>
      </c>
      <c r="AN96" s="23">
        <f>VLOOKUP($R96,武学奇术!$A:$ZZ,26,FALSE)</f>
        <v>0.3675</v>
      </c>
      <c r="AO96" s="24">
        <f>VLOOKUP($R96,武学奇术!$A:$ZZ,27,FALSE)*(1+IF(OR($AM96=$F$4,$AM96=$F$5),$B$23,0))</f>
        <v>0</v>
      </c>
      <c r="AP96" s="23">
        <f>VLOOKUP($R96,武学奇术!$A:$ZZ,28,FALSE)</f>
        <v>0.55125</v>
      </c>
      <c r="AQ96" s="24">
        <f>VLOOKUP($R96,武学奇术!$A:$ZZ,29,FALSE)*(1+IF(OR($AM96=$F$4,$AM96=$F$5),$B$23,0))</f>
        <v>0</v>
      </c>
      <c r="AR96" s="23" cm="1">
        <f t="array" ref="AR96">$G$3+IFERROR(VLOOKUP($AM96,$F$4:$G$7,2,FALSE),0)+VLOOKUP($R96,武学奇术!$A:$ZZ,2,FALSE)+SUM(_xlfn.XLOOKUP($S96:$AL96,增益!$A:$A,增益!$B:$B,0))</f>
        <v>1.4243</v>
      </c>
      <c r="AS96" s="23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4150.4</v>
      </c>
      <c r="AU96" cm="1">
        <f t="array" ref="AU96">$E$10*(1+$AS96)+VLOOKUP($R96,武学奇术!$A:$ZZ,4,FALSE)+SUM(_xlfn.XLOOKUP($S96:$AL96,增益!$A:$A,增益!$D:$D,0))-$I$2</f>
        <v>4150.4</v>
      </c>
      <c r="AV96" s="29" cm="1">
        <f t="array" ref="AV96">IF($F$10-$I$3+VLOOKUP($R96,武学奇术!$A:$ZZ,6,FALSE)+SUM(_xlfn.XLOOKUP(S96:AL96,增益!$A:$A,增益!$F:$F,0))&gt;0,($F$10-$I$3+VLOOKUP($R96,武学奇术!$A:$ZZ,6,FALSE)+SUM(_xlfn.XLOOKUP(S96:AL96,增益!$A:$A,增益!$F:$F,0)))/200,($F$10-$I$3+VLOOKUP($R96,武学奇术!$A:$ZZ,6,FALSE)+SUM(_xlfn.XLOOKUP(S96:AL96,增益!$A:$A,增益!$F:$F,0)))/100)</f>
        <v>0.4539</v>
      </c>
      <c r="AW96" s="29" cm="1">
        <f t="array" ref="AW96">$G$10+VLOOKUP($R96,武学奇术!$A:$ZZ,7,FALSE)+SUM(_xlfn.XLOOKUP(S96:AL96,增益!$A:$A,增益!$G:$G,0))</f>
        <v>0.29</v>
      </c>
      <c r="AX96" s="23" cm="1">
        <f t="array" ref="AX96">VLOOKUP($R96,武学奇术!$A:$ZZ,8,FALSE)+SUM(_xlfn.XLOOKUP(S96:AL96,增益!$A:$A,增益!$H:$H,0))</f>
        <v>0</v>
      </c>
      <c r="AY96">
        <f t="shared" si="23"/>
        <v>0</v>
      </c>
      <c r="AZ96">
        <f t="shared" si="24"/>
        <v>0</v>
      </c>
      <c r="BA96" s="29" cm="1">
        <f t="array" ref="BA96">IF($F$11-$I$4+VLOOKUP($R96,武学奇术!$A:$ZZ,9,FALSE)+SUM(_xlfn.XLOOKUP(S96:AL96,增益!$A:$A,增益!$I:$I,0))&gt;0,($F$11-$I$4+VLOOKUP($R96,武学奇术!$A:$ZZ,9,FALSE)+SUM(_xlfn.XLOOKUP(S96:AL96,增益!$A:$A,增益!$I:$I,0)))/200,($F$11-$I$4+VLOOKUP($R96,武学奇术!$A:$ZZ,9,FALSE)+SUM(_xlfn.XLOOKUP(S96:AL96,增益!$A:$A,增益!$I:$I,0)))/100)</f>
        <v>-0.3</v>
      </c>
      <c r="BB96" s="29" cm="1">
        <f t="array" ref="BB96">$G$11+VLOOKUP($R96,武学奇术!$A:$ZZ,10,FALSE)+SUM(_xlfn.XLOOKUP(S96:AL96,增益!$A:$A,增益!$J:$J,0))</f>
        <v>0.02</v>
      </c>
      <c r="BC96">
        <f t="shared" si="25"/>
        <v>0</v>
      </c>
      <c r="BD96">
        <f t="shared" si="26"/>
        <v>0</v>
      </c>
      <c r="BE96" s="29" cm="1">
        <f t="array" ref="BE96">IF($F$12-$I$4+VLOOKUP($R96,武学奇术!$A:$ZZ,11,FALSE)+SUM(_xlfn.XLOOKUP(S96:AL96,增益!$A:$A,增益!$K:$K,0))&gt;0,($F$12-$I$4+VLOOKUP($R96,武学奇术!$A:$ZZ,11,FALSE)+SUM(_xlfn.XLOOKUP(S96:AL96,增益!$A:$A,增益!$K:$K,0)))/200,($F$12-$I$4+VLOOKUP($R96,武学奇术!$A:$ZZ,11,FALSE)+SUM(_xlfn.XLOOKUP(S96:AL96,增益!$A:$A,增益!$K:$K,0)))/100)</f>
        <v>-0.3</v>
      </c>
      <c r="BF96" s="29" cm="1">
        <f t="array" ref="BF96">$G$12+VLOOKUP($R96,武学奇术!$A:$ZZ,12,FALSE)+SUM(_xlfn.XLOOKUP(S96:AL96,增益!$A:$A,增益!$L:$L,0))</f>
        <v>0.02</v>
      </c>
      <c r="BG96">
        <f t="shared" si="27"/>
        <v>0</v>
      </c>
      <c r="BH96">
        <f t="shared" si="28"/>
        <v>0</v>
      </c>
      <c r="BI96" s="29" cm="1">
        <f t="array" ref="BI96">IF($F$13-$I$4+VLOOKUP($R96,武学奇术!$A:$ZZ,13,FALSE)+SUM(_xlfn.XLOOKUP(S96:AL96,增益!$A:$A,增益!$M:$M,0))&gt;0,($F$13-$I$4+VLOOKUP($R96,武学奇术!$A:$ZZ,13,FALSE)+SUM(_xlfn.XLOOKUP(S96:AL96,增益!$A:$A,增益!$K:$K,0)))/200,($F$13-$I$4+VLOOKUP($R96,武学奇术!$A:$ZZ,13,FALSE)+SUM(_xlfn.XLOOKUP(S96:AL96,增益!$A:$A,增益!$M:$M,0)))/100)</f>
        <v>-0.3</v>
      </c>
      <c r="BJ96" s="29" cm="1">
        <f t="array" ref="BJ96">$G$13+VLOOKUP($R96,武学奇术!$A:$ZZ,14,FALSE)+SUM(_xlfn.XLOOKUP(S96:AL96,增益!$A:$A,增益!$N:$N,0))</f>
        <v>0.02</v>
      </c>
      <c r="BK96">
        <f t="shared" si="29"/>
        <v>618.2</v>
      </c>
      <c r="BL96">
        <f t="shared" si="30"/>
        <v>1805</v>
      </c>
      <c r="BM96" s="29" cm="1">
        <f t="array" ref="BM96">IF($F$14-$I$4+VLOOKUP($R96,武学奇术!$A:$ZZ,15,FALSE)+SUM(_xlfn.XLOOKUP(S96:AL96,增益!$A:$A,增益!$O:$O,0))&gt;0,($F$14-$I$4+VLOOKUP($R96,武学奇术!$A:$ZZ,15,FALSE)+SUM(_xlfn.XLOOKUP(S96:AL96,增益!$A:$A,增益!$O:$O,0)))/200,($F$14-$I$4+VLOOKUP($R96,武学奇术!$A:$ZZ,15,FALSE)+SUM(_xlfn.XLOOKUP(S96:AL96,增益!$A:$A,增益!$O:$O,0)))/100)</f>
        <v>0.05</v>
      </c>
      <c r="BN96" s="29" cm="1">
        <f t="array" ref="BN96">$G$14+VLOOKUP($R96,武学奇术!$A:$ZZ,16,FALSE)+SUM(_xlfn.XLOOKUP(S96:AL96,增益!$A:$A,增益!$P:$P,0))</f>
        <v>0.44</v>
      </c>
      <c r="BO96" s="23">
        <f>MIN(IF(VLOOKUP($R96,武学奇术!$A:$ZZ,23,FALSE)=1,100%,$B$8),100%)</f>
        <v>0.9943</v>
      </c>
      <c r="BP96" s="23" cm="1">
        <f t="array" ref="BP96">IF(VLOOKUP($R96,武学奇术!$A:$ZZ,23,FALSE)=1,100%,MIN(80%,$B$9+VLOOKUP($R96,武学奇术!$A:$ZZ,17,FALSE)+SUM(_xlfn.XLOOKUP(S96:AL96,增益!$A:$A,增益!$Q:$Q,0)))+$B$11+SUM(_xlfn.XLOOKUP(S96:AL96,增益!$A:$A,增益!$U:$U,0)))*IF(VLOOKUP($R96,武学奇术!$A:$ZZ,24,FALSE)=1,0,1)</f>
        <v>0.887</v>
      </c>
      <c r="BQ96" s="23" cm="1">
        <f t="array" ref="BQ96">1+$B$13+VLOOKUP($R96,武学奇术!$A:$ZZ,18,FALSE)+SUM(_xlfn.XLOOKUP(S96:AL96,增益!$A:$A,增益!$R:$R,0))</f>
        <v>2.394</v>
      </c>
      <c r="BR96" s="23" cm="1">
        <f t="array" ref="BR96">IF(VLOOKUP($R96,武学奇术!$A:$ZZ,24,FALSE)=1,100%,MIN(40%,$B$10+VLOOKUP($R96,武学奇术!$A:$ZZ,19,FALSE)+SUM(_xlfn.XLOOKUP(S96:AL96,增益!$A:$A,增益!$S:$S,0)))+$B$12+SUM(_xlfn.XLOOKUP(S96:AL96,增益!$A:$A,增益!$V:$V,0)))*IF(VLOOKUP($R96,武学奇术!$A:$ZZ,23,FALSE)=1,0,1)</f>
        <v>0.0913</v>
      </c>
      <c r="BS96" s="23" cm="1">
        <f t="array" ref="BS96">1+$B$14+VLOOKUP($R96,武学奇术!$A:$ZZ,20,FALSE)+SUM(_xlfn.XLOOKUP(S96:AL96,增益!$A:$A,增益!$T:$T,0))</f>
        <v>1.35</v>
      </c>
      <c r="BT96" s="23">
        <f t="shared" si="31"/>
        <v>0.8819441</v>
      </c>
      <c r="BU96" s="23">
        <f t="shared" si="32"/>
        <v>0.0215763099999999</v>
      </c>
      <c r="BV96" s="23">
        <f>IF(VLOOKUP($R96,武学奇术!$A:$ZZ,22,FALSE)=1,0,(1-$BO96))*(1-$BR96)</f>
        <v>0.00517958999999993</v>
      </c>
      <c r="BW96" s="23" cm="1">
        <f t="array" ref="BW96">SUM(_xlfn.XLOOKUP(S96:AL96,增益!$A:$A,增益!$W:$W,0))+$I$5</f>
        <v>0.11</v>
      </c>
      <c r="BX96" s="23">
        <f>VLOOKUP($R96,武学奇术!$A:$ZZ,32,FALSE)</f>
        <v>0</v>
      </c>
      <c r="BY96" s="23" cm="1">
        <f t="array" ref="BY96">SUM(_xlfn.XLOOKUP($S96:$AL96,增益!$A:$A,增益!$X:$X,0))</f>
        <v>0</v>
      </c>
    </row>
    <row r="97" spans="1:77">
      <c r="A97" s="4" t="s">
        <v>102</v>
      </c>
      <c r="B97" s="4">
        <v>1</v>
      </c>
      <c r="C97" s="36"/>
      <c r="D97" s="36"/>
      <c r="E97" s="36"/>
      <c r="K97" s="35">
        <f>$L97*VLOOKUP($R97,武学奇术!$A:$ZZ,31,FALSE)</f>
        <v>33522.2107752718</v>
      </c>
      <c r="L97" s="35">
        <f t="shared" si="34"/>
        <v>29930.5453350641</v>
      </c>
      <c r="M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轻击",$B$21,0))*(1+IF(VLOOKUP($R97,武学奇术!$A:$ZZ,30,FALSE)="老鼠",$B$22,0))*(1+$BW97)*(1+$BX97)</f>
        <v>31487.2731368783</v>
      </c>
      <c r="N97" s="35">
        <f>(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轻击",$B$21,0))*(1+IF(VLOOKUP($R97,武学奇术!$A:$ZZ,30,FALSE)="老鼠",$B$22,0))*(1+$BW97))*(1+$BX97)</f>
        <v>19899.7429584356</v>
      </c>
      <c r="O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轻击",$B$21,0))*(1+IF(VLOOKUP($R97,武学奇术!$A:$ZZ,30,FALSE)="老鼠",$B$22,0))*(1+$BW97)*(1+$BX97)</f>
        <v>13152.578586833</v>
      </c>
      <c r="P97" s="35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轻击",$B$21,0))*(1+IF(VLOOKUP($R97,武学奇术!$A:$ZZ,30,FALSE)="老鼠",$B$22,0))*(1+$BW97)*(1+$BX97)</f>
        <v>11564.6068340841</v>
      </c>
      <c r="Q97" s="36">
        <v>1</v>
      </c>
      <c r="R97" s="37" t="s">
        <v>139</v>
      </c>
      <c r="S97" s="37" t="s">
        <v>91</v>
      </c>
      <c r="T97" s="37" t="s">
        <v>185</v>
      </c>
      <c r="U97" s="37" t="s">
        <v>112</v>
      </c>
      <c r="V97" s="37" t="s">
        <v>113</v>
      </c>
      <c r="W97" s="37" t="s">
        <v>82</v>
      </c>
      <c r="X97" s="37" t="s">
        <v>81</v>
      </c>
      <c r="Y97" s="37" t="s">
        <v>109</v>
      </c>
      <c r="Z97" s="37" t="s">
        <v>83</v>
      </c>
      <c r="AA97" s="37" t="s">
        <v>84</v>
      </c>
      <c r="AB97" s="37" t="s">
        <v>81</v>
      </c>
      <c r="AC97" s="37" t="s">
        <v>81</v>
      </c>
      <c r="AD97" s="37" t="s">
        <v>81</v>
      </c>
      <c r="AE97" s="37" t="s">
        <v>86</v>
      </c>
      <c r="AF97" s="37" t="s">
        <v>81</v>
      </c>
      <c r="AG97" s="37" t="s">
        <v>87</v>
      </c>
      <c r="AH97" s="37" t="s">
        <v>88</v>
      </c>
      <c r="AI97" s="37" t="s">
        <v>81</v>
      </c>
      <c r="AJ97" s="37" t="s">
        <v>81</v>
      </c>
      <c r="AK97" s="37" t="s">
        <v>81</v>
      </c>
      <c r="AL97" s="37" t="s">
        <v>81</v>
      </c>
      <c r="AM97" t="str">
        <f>VLOOKUP($R97,武学奇术!$A:$ZZ,25,FALSE)</f>
        <v>双刀</v>
      </c>
      <c r="AN97" s="23">
        <f>VLOOKUP($R97,武学奇术!$A:$ZZ,26,FALSE)</f>
        <v>0.6472</v>
      </c>
      <c r="AO97" s="24">
        <f>VLOOKUP($R97,武学奇术!$A:$ZZ,27,FALSE)*(1+IF(OR($AM97=$F$4,$AM97=$F$5),$B$23,0))</f>
        <v>288</v>
      </c>
      <c r="AP97" s="23">
        <f>VLOOKUP($R97,武学奇术!$A:$ZZ,28,FALSE)</f>
        <v>0.9708</v>
      </c>
      <c r="AQ97" s="24">
        <f>VLOOKUP($R97,武学奇术!$A:$ZZ,29,FALSE)*(1+IF(OR($AM97=$F$4,$AM97=$F$5),$B$23,0))</f>
        <v>156.8</v>
      </c>
      <c r="AR97" s="23" cm="1">
        <f t="array" ref="AR97">$G$3+IFERROR(VLOOKUP($AM97,$F$4:$G$7,2,FALSE),0)+VLOOKUP($R97,武学奇术!$A:$ZZ,2,FALSE)+SUM(_xlfn.XLOOKUP($S97:$AL97,增益!$A:$A,增益!$B:$B,0))</f>
        <v>0.6243</v>
      </c>
      <c r="AS97" s="23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4150.4</v>
      </c>
      <c r="AU97" cm="1">
        <f t="array" ref="AU97">$E$10*(1+$AS97)+VLOOKUP($R97,武学奇术!$A:$ZZ,4,FALSE)+SUM(_xlfn.XLOOKUP($S97:$AL97,增益!$A:$A,增益!$D:$D,0))-$I$2</f>
        <v>4150.4</v>
      </c>
      <c r="AV97" s="29" cm="1">
        <f t="array" ref="AV97">IF($F$10-$I$3+VLOOKUP($R97,武学奇术!$A:$ZZ,6,FALSE)+SUM(_xlfn.XLOOKUP(S97:AL97,增益!$A:$A,增益!$F:$F,0))&gt;0,($F$10-$I$3+VLOOKUP($R97,武学奇术!$A:$ZZ,6,FALSE)+SUM(_xlfn.XLOOKUP(S97:AL97,增益!$A:$A,增益!$F:$F,0)))/200,($F$10-$I$3+VLOOKUP($R97,武学奇术!$A:$ZZ,6,FALSE)+SUM(_xlfn.XLOOKUP(S97:AL97,增益!$A:$A,增益!$F:$F,0)))/100)</f>
        <v>0.4539</v>
      </c>
      <c r="AW97" s="29" cm="1">
        <f t="array" ref="AW97">$G$10+VLOOKUP($R97,武学奇术!$A:$ZZ,7,FALSE)+SUM(_xlfn.XLOOKUP(S97:AL97,增益!$A:$A,增益!$G:$G,0))</f>
        <v>0.08</v>
      </c>
      <c r="AX97" s="23" cm="1">
        <f t="array" ref="AX97">VLOOKUP($R97,武学奇术!$A:$ZZ,8,FALSE)+SUM(_xlfn.XLOOKUP(S97:AL97,增益!$A:$A,增益!$H:$H,0))</f>
        <v>0</v>
      </c>
      <c r="AY97">
        <f t="shared" si="23"/>
        <v>0</v>
      </c>
      <c r="AZ97">
        <f t="shared" si="24"/>
        <v>0</v>
      </c>
      <c r="BA97" s="29" cm="1">
        <f t="array" ref="BA97">IF($F$11-$I$4+VLOOKUP($R97,武学奇术!$A:$ZZ,9,FALSE)+SUM(_xlfn.XLOOKUP(S97:AL97,增益!$A:$A,增益!$I:$I,0))&gt;0,($F$11-$I$4+VLOOKUP($R97,武学奇术!$A:$ZZ,9,FALSE)+SUM(_xlfn.XLOOKUP(S97:AL97,增益!$A:$A,增益!$I:$I,0)))/200,($F$11-$I$4+VLOOKUP($R97,武学奇术!$A:$ZZ,9,FALSE)+SUM(_xlfn.XLOOKUP(S97:AL97,增益!$A:$A,增益!$I:$I,0)))/100)</f>
        <v>-0.14</v>
      </c>
      <c r="BB97" s="29" cm="1">
        <f t="array" ref="BB97">$G$11+VLOOKUP($R97,武学奇术!$A:$ZZ,10,FALSE)+SUM(_xlfn.XLOOKUP(S97:AL97,增益!$A:$A,增益!$J:$J,0))</f>
        <v>0.02</v>
      </c>
      <c r="BC97">
        <f t="shared" si="25"/>
        <v>0</v>
      </c>
      <c r="BD97">
        <f t="shared" si="26"/>
        <v>0</v>
      </c>
      <c r="BE97" s="29" cm="1">
        <f t="array" ref="BE97">IF($F$12-$I$4+VLOOKUP($R97,武学奇术!$A:$ZZ,11,FALSE)+SUM(_xlfn.XLOOKUP(S97:AL97,增益!$A:$A,增益!$K:$K,0))&gt;0,($F$12-$I$4+VLOOKUP($R97,武学奇术!$A:$ZZ,11,FALSE)+SUM(_xlfn.XLOOKUP(S97:AL97,增益!$A:$A,增益!$K:$K,0)))/200,($F$12-$I$4+VLOOKUP($R97,武学奇术!$A:$ZZ,11,FALSE)+SUM(_xlfn.XLOOKUP(S97:AL97,增益!$A:$A,增益!$K:$K,0)))/100)</f>
        <v>-0.14</v>
      </c>
      <c r="BF97" s="29" cm="1">
        <f t="array" ref="BF97">$G$12+VLOOKUP($R97,武学奇术!$A:$ZZ,12,FALSE)+SUM(_xlfn.XLOOKUP(S97:AL97,增益!$A:$A,增益!$L:$L,0))</f>
        <v>0.02</v>
      </c>
      <c r="BG97">
        <f t="shared" si="27"/>
        <v>0</v>
      </c>
      <c r="BH97">
        <f t="shared" si="28"/>
        <v>0</v>
      </c>
      <c r="BI97" s="29" cm="1">
        <f t="array" ref="BI97">IF($F$13-$I$4+VLOOKUP($R97,武学奇术!$A:$ZZ,13,FALSE)+SUM(_xlfn.XLOOKUP(S97:AL97,增益!$A:$A,增益!$M:$M,0))&gt;0,($F$13-$I$4+VLOOKUP($R97,武学奇术!$A:$ZZ,13,FALSE)+SUM(_xlfn.XLOOKUP(S97:AL97,增益!$A:$A,增益!$K:$K,0)))/200,($F$13-$I$4+VLOOKUP($R97,武学奇术!$A:$ZZ,13,FALSE)+SUM(_xlfn.XLOOKUP(S97:AL97,增益!$A:$A,增益!$M:$M,0)))/100)</f>
        <v>-0.14</v>
      </c>
      <c r="BJ97" s="29" cm="1">
        <f t="array" ref="BJ97">$G$13+VLOOKUP($R97,武学奇术!$A:$ZZ,14,FALSE)+SUM(_xlfn.XLOOKUP(S97:AL97,增益!$A:$A,增益!$N:$N,0))</f>
        <v>0.02</v>
      </c>
      <c r="BK97">
        <f t="shared" si="29"/>
        <v>618.2</v>
      </c>
      <c r="BL97">
        <f t="shared" si="30"/>
        <v>1805</v>
      </c>
      <c r="BM97" s="29" cm="1">
        <f t="array" ref="BM97">IF($F$14-$I$4+VLOOKUP($R97,武学奇术!$A:$ZZ,15,FALSE)+SUM(_xlfn.XLOOKUP(S97:AL97,增益!$A:$A,增益!$O:$O,0))&gt;0,($F$14-$I$4+VLOOKUP($R97,武学奇术!$A:$ZZ,15,FALSE)+SUM(_xlfn.XLOOKUP(S97:AL97,增益!$A:$A,增益!$O:$O,0)))/200,($F$14-$I$4+VLOOKUP($R97,武学奇术!$A:$ZZ,15,FALSE)+SUM(_xlfn.XLOOKUP(S97:AL97,增益!$A:$A,增益!$O:$O,0)))/100)</f>
        <v>0.13</v>
      </c>
      <c r="BN97" s="29" cm="1">
        <f t="array" ref="BN97">$G$14+VLOOKUP($R97,武学奇术!$A:$ZZ,16,FALSE)+SUM(_xlfn.XLOOKUP(S97:AL97,增益!$A:$A,增益!$P:$P,0))</f>
        <v>0.23</v>
      </c>
      <c r="BO97" s="23">
        <f>MIN(IF(VLOOKUP($R97,武学奇术!$A:$ZZ,23,FALSE)=1,100%,$B$8),100%)</f>
        <v>0.9943</v>
      </c>
      <c r="BP97" s="23" cm="1">
        <f t="array" ref="BP97">IF(VLOOKUP($R97,武学奇术!$A:$ZZ,23,FALSE)=1,100%,MIN(80%,$B$9+VLOOKUP($R97,武学奇术!$A:$ZZ,17,FALSE)+SUM(_xlfn.XLOOKUP(S97:AL97,增益!$A:$A,增益!$Q:$Q,0)))+$B$11+SUM(_xlfn.XLOOKUP(S97:AL97,增益!$A:$A,增益!$U:$U,0)))*IF(VLOOKUP($R97,武学奇术!$A:$ZZ,24,FALSE)=1,0,1)</f>
        <v>0.887</v>
      </c>
      <c r="BQ97" s="23" cm="1">
        <f t="array" ref="BQ97">1+$B$13+VLOOKUP($R97,武学奇术!$A:$ZZ,18,FALSE)+SUM(_xlfn.XLOOKUP(S97:AL97,增益!$A:$A,增益!$R:$R,0))</f>
        <v>2.394</v>
      </c>
      <c r="BR97" s="23" cm="1">
        <f t="array" ref="BR97">IF(VLOOKUP($R97,武学奇术!$A:$ZZ,24,FALSE)=1,100%,MIN(40%,$B$10+VLOOKUP($R97,武学奇术!$A:$ZZ,19,FALSE)+SUM(_xlfn.XLOOKUP(S97:AL97,增益!$A:$A,增益!$S:$S,0)))+$B$12+SUM(_xlfn.XLOOKUP(S97:AL97,增益!$A:$A,增益!$V:$V,0)))*IF(VLOOKUP($R97,武学奇术!$A:$ZZ,23,FALSE)=1,0,1)</f>
        <v>0.0913</v>
      </c>
      <c r="BS97" s="23" cm="1">
        <f t="array" ref="BS97">1+$B$14+VLOOKUP($R97,武学奇术!$A:$ZZ,20,FALSE)+SUM(_xlfn.XLOOKUP(S97:AL97,增益!$A:$A,增益!$T:$T,0))</f>
        <v>1.35</v>
      </c>
      <c r="BT97" s="23">
        <f t="shared" si="31"/>
        <v>0.8819441</v>
      </c>
      <c r="BU97" s="23">
        <f t="shared" si="32"/>
        <v>0.0215763099999999</v>
      </c>
      <c r="BV97" s="23">
        <f>IF(VLOOKUP($R97,武学奇术!$A:$ZZ,22,FALSE)=1,0,(1-$BO97))*(1-$BR97)</f>
        <v>0.00517958999999993</v>
      </c>
      <c r="BW97" s="23" cm="1">
        <f t="array" ref="BW97">SUM(_xlfn.XLOOKUP(S97:AL97,增益!$A:$A,增益!$W:$W,0))+$I$5</f>
        <v>0.11</v>
      </c>
      <c r="BX97" s="23">
        <f>VLOOKUP($R97,武学奇术!$A:$ZZ,32,FALSE)</f>
        <v>0.1</v>
      </c>
      <c r="BY97" s="23" cm="1">
        <f t="array" ref="BY97">SUM(_xlfn.XLOOKUP($S97:$AL97,增益!$A:$A,增益!$X:$X,0))</f>
        <v>0</v>
      </c>
    </row>
    <row r="98" spans="1:77">
      <c r="A98" s="4" t="s">
        <v>176</v>
      </c>
      <c r="B98" s="4">
        <v>0.1</v>
      </c>
      <c r="C98" s="36"/>
      <c r="D98" s="36"/>
      <c r="E98" s="36"/>
      <c r="K98" s="35">
        <f>$L98*VLOOKUP($R98,武学奇术!$A:$ZZ,31,FALSE)</f>
        <v>46662.4946432102</v>
      </c>
      <c r="L98" s="35">
        <f t="shared" si="34"/>
        <v>41662.9416457234</v>
      </c>
      <c r="M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轻击",$B$21,0))*(1+IF(VLOOKUP($R98,武学奇术!$A:$ZZ,30,FALSE)="老鼠",$B$22,0))*(1+$BW98)*(1+$BX98)</f>
        <v>43829.7933365043</v>
      </c>
      <c r="N98" s="35">
        <f>(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轻击",$B$21,0))*(1+IF(VLOOKUP($R98,武学奇术!$A:$ZZ,30,FALSE)="老鼠",$B$22,0))*(1+$BW98))*(1+$BX98)</f>
        <v>27701.1511512081</v>
      </c>
      <c r="O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轻击",$B$21,0))*(1+IF(VLOOKUP($R98,武学奇术!$A:$ZZ,30,FALSE)="老鼠",$B$22,0))*(1+$BW98)*(1+$BX98)</f>
        <v>18308.1843510879</v>
      </c>
      <c r="P98" s="35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轻击",$B$21,0))*(1+IF(VLOOKUP($R98,武学奇术!$A:$ZZ,30,FALSE)="老鼠",$B$22,0))*(1+$BW98)*(1+$BX98)</f>
        <v>16096.9974790586</v>
      </c>
      <c r="Q98" s="36">
        <v>1</v>
      </c>
      <c r="R98" s="37" t="s">
        <v>143</v>
      </c>
      <c r="S98" s="37" t="s">
        <v>91</v>
      </c>
      <c r="T98" s="37" t="s">
        <v>185</v>
      </c>
      <c r="U98" s="37" t="s">
        <v>112</v>
      </c>
      <c r="V98" s="37" t="s">
        <v>113</v>
      </c>
      <c r="W98" s="37" t="s">
        <v>82</v>
      </c>
      <c r="X98" s="37" t="s">
        <v>81</v>
      </c>
      <c r="Y98" s="37" t="s">
        <v>109</v>
      </c>
      <c r="Z98" s="37" t="s">
        <v>83</v>
      </c>
      <c r="AA98" s="37" t="s">
        <v>84</v>
      </c>
      <c r="AB98" s="37" t="s">
        <v>81</v>
      </c>
      <c r="AC98" s="37" t="s">
        <v>81</v>
      </c>
      <c r="AD98" s="37" t="s">
        <v>81</v>
      </c>
      <c r="AE98" s="37" t="s">
        <v>86</v>
      </c>
      <c r="AF98" s="37" t="s">
        <v>81</v>
      </c>
      <c r="AG98" s="37" t="s">
        <v>87</v>
      </c>
      <c r="AH98" s="37" t="s">
        <v>88</v>
      </c>
      <c r="AI98" s="37" t="s">
        <v>81</v>
      </c>
      <c r="AJ98" s="37" t="s">
        <v>81</v>
      </c>
      <c r="AK98" s="37" t="s">
        <v>81</v>
      </c>
      <c r="AL98" s="37" t="s">
        <v>81</v>
      </c>
      <c r="AM98" t="str">
        <f>VLOOKUP($R98,武学奇术!$A:$ZZ,25,FALSE)</f>
        <v>双刀</v>
      </c>
      <c r="AN98" s="23">
        <f>VLOOKUP($R98,武学奇术!$A:$ZZ,26,FALSE)</f>
        <v>0.9012</v>
      </c>
      <c r="AO98" s="24">
        <f>VLOOKUP($R98,武学奇术!$A:$ZZ,27,FALSE)*(1+IF(OR($AM98=$F$4,$AM98=$F$5),$B$23,0))</f>
        <v>400</v>
      </c>
      <c r="AP98" s="23">
        <f>VLOOKUP($R98,武学奇术!$A:$ZZ,28,FALSE)</f>
        <v>1.3518</v>
      </c>
      <c r="AQ98" s="24">
        <f>VLOOKUP($R98,武学奇术!$A:$ZZ,29,FALSE)*(1+IF(OR($AM98=$F$4,$AM98=$F$5),$B$23,0))</f>
        <v>217.6</v>
      </c>
      <c r="AR98" s="23" cm="1">
        <f t="array" ref="AR98">$G$3+IFERROR(VLOOKUP($AM98,$F$4:$G$7,2,FALSE),0)+VLOOKUP($R98,武学奇术!$A:$ZZ,2,FALSE)+SUM(_xlfn.XLOOKUP($S98:$AL98,增益!$A:$A,增益!$B:$B,0))</f>
        <v>0.6243</v>
      </c>
      <c r="AS98" s="23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4150.4</v>
      </c>
      <c r="AU98" cm="1">
        <f t="array" ref="AU98">$E$10*(1+$AS98)+VLOOKUP($R98,武学奇术!$A:$ZZ,4,FALSE)+SUM(_xlfn.XLOOKUP($S98:$AL98,增益!$A:$A,增益!$D:$D,0))-$I$2</f>
        <v>4150.4</v>
      </c>
      <c r="AV98" s="29" cm="1">
        <f t="array" ref="AV98">IF($F$10-$I$3+VLOOKUP($R98,武学奇术!$A:$ZZ,6,FALSE)+SUM(_xlfn.XLOOKUP(S98:AL98,增益!$A:$A,增益!$F:$F,0))&gt;0,($F$10-$I$3+VLOOKUP($R98,武学奇术!$A:$ZZ,6,FALSE)+SUM(_xlfn.XLOOKUP(S98:AL98,增益!$A:$A,增益!$F:$F,0)))/200,($F$10-$I$3+VLOOKUP($R98,武学奇术!$A:$ZZ,6,FALSE)+SUM(_xlfn.XLOOKUP(S98:AL98,增益!$A:$A,增益!$F:$F,0)))/100)</f>
        <v>0.4539</v>
      </c>
      <c r="AW98" s="29" cm="1">
        <f t="array" ref="AW98">$G$10+VLOOKUP($R98,武学奇术!$A:$ZZ,7,FALSE)+SUM(_xlfn.XLOOKUP(S98:AL98,增益!$A:$A,增益!$G:$G,0))</f>
        <v>0.08</v>
      </c>
      <c r="AX98" s="23" cm="1">
        <f t="array" ref="AX98">VLOOKUP($R98,武学奇术!$A:$ZZ,8,FALSE)+SUM(_xlfn.XLOOKUP(S98:AL98,增益!$A:$A,增益!$H:$H,0))</f>
        <v>0</v>
      </c>
      <c r="AY98">
        <f t="shared" si="23"/>
        <v>0</v>
      </c>
      <c r="AZ98">
        <f t="shared" si="24"/>
        <v>0</v>
      </c>
      <c r="BA98" s="29" cm="1">
        <f t="array" ref="BA98">IF($F$11-$I$4+VLOOKUP($R98,武学奇术!$A:$ZZ,9,FALSE)+SUM(_xlfn.XLOOKUP(S98:AL98,增益!$A:$A,增益!$I:$I,0))&gt;0,($F$11-$I$4+VLOOKUP($R98,武学奇术!$A:$ZZ,9,FALSE)+SUM(_xlfn.XLOOKUP(S98:AL98,增益!$A:$A,增益!$I:$I,0)))/200,($F$11-$I$4+VLOOKUP($R98,武学奇术!$A:$ZZ,9,FALSE)+SUM(_xlfn.XLOOKUP(S98:AL98,增益!$A:$A,增益!$I:$I,0)))/100)</f>
        <v>-0.14</v>
      </c>
      <c r="BB98" s="29" cm="1">
        <f t="array" ref="BB98">$G$11+VLOOKUP($R98,武学奇术!$A:$ZZ,10,FALSE)+SUM(_xlfn.XLOOKUP(S98:AL98,增益!$A:$A,增益!$J:$J,0))</f>
        <v>0.02</v>
      </c>
      <c r="BC98">
        <f t="shared" si="25"/>
        <v>0</v>
      </c>
      <c r="BD98">
        <f t="shared" si="26"/>
        <v>0</v>
      </c>
      <c r="BE98" s="29" cm="1">
        <f t="array" ref="BE98">IF($F$12-$I$4+VLOOKUP($R98,武学奇术!$A:$ZZ,11,FALSE)+SUM(_xlfn.XLOOKUP(S98:AL98,增益!$A:$A,增益!$K:$K,0))&gt;0,($F$12-$I$4+VLOOKUP($R98,武学奇术!$A:$ZZ,11,FALSE)+SUM(_xlfn.XLOOKUP(S98:AL98,增益!$A:$A,增益!$K:$K,0)))/200,($F$12-$I$4+VLOOKUP($R98,武学奇术!$A:$ZZ,11,FALSE)+SUM(_xlfn.XLOOKUP(S98:AL98,增益!$A:$A,增益!$K:$K,0)))/100)</f>
        <v>-0.14</v>
      </c>
      <c r="BF98" s="29" cm="1">
        <f t="array" ref="BF98">$G$12+VLOOKUP($R98,武学奇术!$A:$ZZ,12,FALSE)+SUM(_xlfn.XLOOKUP(S98:AL98,增益!$A:$A,增益!$L:$L,0))</f>
        <v>0.02</v>
      </c>
      <c r="BG98">
        <f t="shared" si="27"/>
        <v>0</v>
      </c>
      <c r="BH98">
        <f t="shared" si="28"/>
        <v>0</v>
      </c>
      <c r="BI98" s="29" cm="1">
        <f t="array" ref="BI98">IF($F$13-$I$4+VLOOKUP($R98,武学奇术!$A:$ZZ,13,FALSE)+SUM(_xlfn.XLOOKUP(S98:AL98,增益!$A:$A,增益!$M:$M,0))&gt;0,($F$13-$I$4+VLOOKUP($R98,武学奇术!$A:$ZZ,13,FALSE)+SUM(_xlfn.XLOOKUP(S98:AL98,增益!$A:$A,增益!$K:$K,0)))/200,($F$13-$I$4+VLOOKUP($R98,武学奇术!$A:$ZZ,13,FALSE)+SUM(_xlfn.XLOOKUP(S98:AL98,增益!$A:$A,增益!$M:$M,0)))/100)</f>
        <v>-0.14</v>
      </c>
      <c r="BJ98" s="29" cm="1">
        <f t="array" ref="BJ98">$G$13+VLOOKUP($R98,武学奇术!$A:$ZZ,14,FALSE)+SUM(_xlfn.XLOOKUP(S98:AL98,增益!$A:$A,增益!$N:$N,0))</f>
        <v>0.02</v>
      </c>
      <c r="BK98">
        <f t="shared" si="29"/>
        <v>618.2</v>
      </c>
      <c r="BL98">
        <f t="shared" si="30"/>
        <v>1805</v>
      </c>
      <c r="BM98" s="29" cm="1">
        <f t="array" ref="BM98">IF($F$14-$I$4+VLOOKUP($R98,武学奇术!$A:$ZZ,15,FALSE)+SUM(_xlfn.XLOOKUP(S98:AL98,增益!$A:$A,增益!$O:$O,0))&gt;0,($F$14-$I$4+VLOOKUP($R98,武学奇术!$A:$ZZ,15,FALSE)+SUM(_xlfn.XLOOKUP(S98:AL98,增益!$A:$A,增益!$O:$O,0)))/200,($F$14-$I$4+VLOOKUP($R98,武学奇术!$A:$ZZ,15,FALSE)+SUM(_xlfn.XLOOKUP(S98:AL98,增益!$A:$A,增益!$O:$O,0)))/100)</f>
        <v>0.13</v>
      </c>
      <c r="BN98" s="29" cm="1">
        <f t="array" ref="BN98">$G$14+VLOOKUP($R98,武学奇术!$A:$ZZ,16,FALSE)+SUM(_xlfn.XLOOKUP(S98:AL98,增益!$A:$A,增益!$P:$P,0))</f>
        <v>0.23</v>
      </c>
      <c r="BO98" s="23">
        <f>MIN(IF(VLOOKUP($R98,武学奇术!$A:$ZZ,23,FALSE)=1,100%,$B$8),100%)</f>
        <v>0.9943</v>
      </c>
      <c r="BP98" s="23" cm="1">
        <f t="array" ref="BP98">IF(VLOOKUP($R98,武学奇术!$A:$ZZ,23,FALSE)=1,100%,MIN(80%,$B$9+VLOOKUP($R98,武学奇术!$A:$ZZ,17,FALSE)+SUM(_xlfn.XLOOKUP(S98:AL98,增益!$A:$A,增益!$Q:$Q,0)))+$B$11+SUM(_xlfn.XLOOKUP(S98:AL98,增益!$A:$A,增益!$U:$U,0)))*IF(VLOOKUP($R98,武学奇术!$A:$ZZ,24,FALSE)=1,0,1)</f>
        <v>0.887</v>
      </c>
      <c r="BQ98" s="23" cm="1">
        <f t="array" ref="BQ98">1+$B$13+VLOOKUP($R98,武学奇术!$A:$ZZ,18,FALSE)+SUM(_xlfn.XLOOKUP(S98:AL98,增益!$A:$A,增益!$R:$R,0))</f>
        <v>2.394</v>
      </c>
      <c r="BR98" s="23" cm="1">
        <f t="array" ref="BR98">IF(VLOOKUP($R98,武学奇术!$A:$ZZ,24,FALSE)=1,100%,MIN(40%,$B$10+VLOOKUP($R98,武学奇术!$A:$ZZ,19,FALSE)+SUM(_xlfn.XLOOKUP(S98:AL98,增益!$A:$A,增益!$S:$S,0)))+$B$12+SUM(_xlfn.XLOOKUP(S98:AL98,增益!$A:$A,增益!$V:$V,0)))*IF(VLOOKUP($R98,武学奇术!$A:$ZZ,23,FALSE)=1,0,1)</f>
        <v>0.0913</v>
      </c>
      <c r="BS98" s="23" cm="1">
        <f t="array" ref="BS98">1+$B$14+VLOOKUP($R98,武学奇术!$A:$ZZ,20,FALSE)+SUM(_xlfn.XLOOKUP(S98:AL98,增益!$A:$A,增益!$T:$T,0))</f>
        <v>1.35</v>
      </c>
      <c r="BT98" s="23">
        <f t="shared" si="31"/>
        <v>0.8819441</v>
      </c>
      <c r="BU98" s="23">
        <f t="shared" si="32"/>
        <v>0.0215763099999999</v>
      </c>
      <c r="BV98" s="23">
        <f>IF(VLOOKUP($R98,武学奇术!$A:$ZZ,22,FALSE)=1,0,(1-$BO98))*(1-$BR98)</f>
        <v>0.00517958999999993</v>
      </c>
      <c r="BW98" s="23" cm="1">
        <f t="array" ref="BW98">SUM(_xlfn.XLOOKUP(S98:AL98,增益!$A:$A,增益!$W:$W,0))+$I$5</f>
        <v>0.11</v>
      </c>
      <c r="BX98" s="23">
        <f>VLOOKUP($R98,武学奇术!$A:$ZZ,32,FALSE)</f>
        <v>0.1</v>
      </c>
      <c r="BY98" s="23" cm="1">
        <f t="array" ref="BY98">SUM(_xlfn.XLOOKUP($S98:$AL98,增益!$A:$A,增益!$X:$X,0))</f>
        <v>0</v>
      </c>
    </row>
    <row r="99" spans="1:77">
      <c r="A99" s="4" t="s">
        <v>179</v>
      </c>
      <c r="B99" s="4">
        <v>1</v>
      </c>
      <c r="C99" s="36"/>
      <c r="D99" s="36"/>
      <c r="E99" s="36"/>
      <c r="K99" s="35">
        <f>$L99*VLOOKUP($R99,武学奇术!$A:$ZZ,31,FALSE)</f>
        <v>74843.5277460997</v>
      </c>
      <c r="L99" s="35">
        <f t="shared" si="34"/>
        <v>66824.5783447319</v>
      </c>
      <c r="M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轻击",$B$21,0))*(1+IF(VLOOKUP($R99,武学奇术!$A:$ZZ,30,FALSE)="老鼠",$B$22,0))*(1+$BW99)*(1+$BX99)</f>
        <v>70300.0428081691</v>
      </c>
      <c r="N99" s="35">
        <f>(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轻击",$B$21,0))*(1+IF(VLOOKUP($R99,武学奇术!$A:$ZZ,30,FALSE)="老鼠",$B$22,0))*(1+$BW99))*(1+$BX99)</f>
        <v>44431.0136009989</v>
      </c>
      <c r="O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轻击",$B$21,0))*(1+IF(VLOOKUP($R99,武学奇术!$A:$ZZ,30,FALSE)="老鼠",$B$22,0))*(1+$BW99)*(1+$BX99)</f>
        <v>29365.0972465201</v>
      </c>
      <c r="P99" s="35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轻击",$B$21,0))*(1+IF(VLOOKUP($R99,武学奇术!$A:$ZZ,30,FALSE)="老鼠",$B$22,0))*(1+$BW99)*(1+$BX99)</f>
        <v>25818.3325663744</v>
      </c>
      <c r="Q99" s="36">
        <v>1</v>
      </c>
      <c r="R99" s="37" t="s">
        <v>148</v>
      </c>
      <c r="S99" s="37" t="s">
        <v>91</v>
      </c>
      <c r="T99" s="37" t="s">
        <v>185</v>
      </c>
      <c r="U99" s="37" t="s">
        <v>112</v>
      </c>
      <c r="V99" s="37" t="s">
        <v>113</v>
      </c>
      <c r="W99" s="37" t="s">
        <v>82</v>
      </c>
      <c r="X99" s="37" t="s">
        <v>81</v>
      </c>
      <c r="Y99" s="37" t="s">
        <v>109</v>
      </c>
      <c r="Z99" s="37" t="s">
        <v>83</v>
      </c>
      <c r="AA99" s="37" t="s">
        <v>84</v>
      </c>
      <c r="AB99" s="37" t="s">
        <v>81</v>
      </c>
      <c r="AC99" s="37" t="s">
        <v>81</v>
      </c>
      <c r="AD99" s="37" t="s">
        <v>81</v>
      </c>
      <c r="AE99" s="37" t="s">
        <v>86</v>
      </c>
      <c r="AF99" s="37" t="s">
        <v>81</v>
      </c>
      <c r="AG99" s="37" t="s">
        <v>87</v>
      </c>
      <c r="AH99" s="37" t="s">
        <v>88</v>
      </c>
      <c r="AI99" s="37" t="s">
        <v>81</v>
      </c>
      <c r="AJ99" s="37" t="s">
        <v>81</v>
      </c>
      <c r="AK99" s="37" t="s">
        <v>81</v>
      </c>
      <c r="AL99" s="37" t="s">
        <v>81</v>
      </c>
      <c r="AM99" t="str">
        <f>VLOOKUP($R99,武学奇术!$A:$ZZ,25,FALSE)</f>
        <v>双刀</v>
      </c>
      <c r="AN99" s="23">
        <f>VLOOKUP($R99,武学奇术!$A:$ZZ,26,FALSE)</f>
        <v>1.4455</v>
      </c>
      <c r="AO99" s="24">
        <f>VLOOKUP($R99,武学奇术!$A:$ZZ,27,FALSE)*(1+IF(OR($AM99=$F$4,$AM99=$F$5),$B$23,0))</f>
        <v>641.6</v>
      </c>
      <c r="AP99" s="23">
        <f>VLOOKUP($R99,武学奇术!$A:$ZZ,28,FALSE)</f>
        <v>2.1683</v>
      </c>
      <c r="AQ99" s="24">
        <f>VLOOKUP($R99,武学奇术!$A:$ZZ,29,FALSE)*(1+IF(OR($AM99=$F$4,$AM99=$F$5),$B$23,0))</f>
        <v>348.8</v>
      </c>
      <c r="AR99" s="23" cm="1">
        <f t="array" ref="AR99">$G$3+IFERROR(VLOOKUP($AM99,$F$4:$G$7,2,FALSE),0)+VLOOKUP($R99,武学奇术!$A:$ZZ,2,FALSE)+SUM(_xlfn.XLOOKUP($S99:$AL99,增益!$A:$A,增益!$B:$B,0))</f>
        <v>0.6243</v>
      </c>
      <c r="AS99" s="23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4150.4</v>
      </c>
      <c r="AU99" cm="1">
        <f t="array" ref="AU99">$E$10*(1+$AS99)+VLOOKUP($R99,武学奇术!$A:$ZZ,4,FALSE)+SUM(_xlfn.XLOOKUP($S99:$AL99,增益!$A:$A,增益!$D:$D,0))-$I$2</f>
        <v>4150.4</v>
      </c>
      <c r="AV99" s="29" cm="1">
        <f t="array" ref="AV99">IF($F$10-$I$3+VLOOKUP($R99,武学奇术!$A:$ZZ,6,FALSE)+SUM(_xlfn.XLOOKUP(S99:AL99,增益!$A:$A,增益!$F:$F,0))&gt;0,($F$10-$I$3+VLOOKUP($R99,武学奇术!$A:$ZZ,6,FALSE)+SUM(_xlfn.XLOOKUP(S99:AL99,增益!$A:$A,增益!$F:$F,0)))/200,($F$10-$I$3+VLOOKUP($R99,武学奇术!$A:$ZZ,6,FALSE)+SUM(_xlfn.XLOOKUP(S99:AL99,增益!$A:$A,增益!$F:$F,0)))/100)</f>
        <v>0.4539</v>
      </c>
      <c r="AW99" s="29" cm="1">
        <f t="array" ref="AW99">$G$10+VLOOKUP($R99,武学奇术!$A:$ZZ,7,FALSE)+SUM(_xlfn.XLOOKUP(S99:AL99,增益!$A:$A,增益!$G:$G,0))</f>
        <v>0.08</v>
      </c>
      <c r="AX99" s="23" cm="1">
        <f t="array" ref="AX99">VLOOKUP($R99,武学奇术!$A:$ZZ,8,FALSE)+SUM(_xlfn.XLOOKUP(S99:AL99,增益!$A:$A,增益!$H:$H,0))</f>
        <v>0</v>
      </c>
      <c r="AY99">
        <f t="shared" ref="AY99:AY130" si="35">$D$11*(1+$AX99)</f>
        <v>0</v>
      </c>
      <c r="AZ99">
        <f t="shared" ref="AZ99:AZ130" si="36">$E$11*(1+$AX99)</f>
        <v>0</v>
      </c>
      <c r="BA99" s="29" cm="1">
        <f t="array" ref="BA99">IF($F$11-$I$4+VLOOKUP($R99,武学奇术!$A:$ZZ,9,FALSE)+SUM(_xlfn.XLOOKUP(S99:AL99,增益!$A:$A,增益!$I:$I,0))&gt;0,($F$11-$I$4+VLOOKUP($R99,武学奇术!$A:$ZZ,9,FALSE)+SUM(_xlfn.XLOOKUP(S99:AL99,增益!$A:$A,增益!$I:$I,0)))/200,($F$11-$I$4+VLOOKUP($R99,武学奇术!$A:$ZZ,9,FALSE)+SUM(_xlfn.XLOOKUP(S99:AL99,增益!$A:$A,增益!$I:$I,0)))/100)</f>
        <v>-0.14</v>
      </c>
      <c r="BB99" s="29" cm="1">
        <f t="array" ref="BB99">$G$11+VLOOKUP($R99,武学奇术!$A:$ZZ,10,FALSE)+SUM(_xlfn.XLOOKUP(S99:AL99,增益!$A:$A,增益!$J:$J,0))</f>
        <v>0.02</v>
      </c>
      <c r="BC99">
        <f t="shared" ref="BC99:BC130" si="37">$D$12*(1+$AX99)</f>
        <v>0</v>
      </c>
      <c r="BD99">
        <f t="shared" ref="BD99:BD130" si="38">$E$12*(1+$AX99)</f>
        <v>0</v>
      </c>
      <c r="BE99" s="29" cm="1">
        <f t="array" ref="BE99">IF($F$12-$I$4+VLOOKUP($R99,武学奇术!$A:$ZZ,11,FALSE)+SUM(_xlfn.XLOOKUP(S99:AL99,增益!$A:$A,增益!$K:$K,0))&gt;0,($F$12-$I$4+VLOOKUP($R99,武学奇术!$A:$ZZ,11,FALSE)+SUM(_xlfn.XLOOKUP(S99:AL99,增益!$A:$A,增益!$K:$K,0)))/200,($F$12-$I$4+VLOOKUP($R99,武学奇术!$A:$ZZ,11,FALSE)+SUM(_xlfn.XLOOKUP(S99:AL99,增益!$A:$A,增益!$K:$K,0)))/100)</f>
        <v>-0.14</v>
      </c>
      <c r="BF99" s="29" cm="1">
        <f t="array" ref="BF99">$G$12+VLOOKUP($R99,武学奇术!$A:$ZZ,12,FALSE)+SUM(_xlfn.XLOOKUP(S99:AL99,增益!$A:$A,增益!$L:$L,0))</f>
        <v>0.02</v>
      </c>
      <c r="BG99">
        <f t="shared" ref="BG99:BG130" si="39">$D$13*(1+$AX99)</f>
        <v>0</v>
      </c>
      <c r="BH99">
        <f t="shared" ref="BH99:BH130" si="40">$E$13*(1+$AX99)</f>
        <v>0</v>
      </c>
      <c r="BI99" s="29" cm="1">
        <f t="array" ref="BI99">IF($F$13-$I$4+VLOOKUP($R99,武学奇术!$A:$ZZ,13,FALSE)+SUM(_xlfn.XLOOKUP(S99:AL99,增益!$A:$A,增益!$M:$M,0))&gt;0,($F$13-$I$4+VLOOKUP($R99,武学奇术!$A:$ZZ,13,FALSE)+SUM(_xlfn.XLOOKUP(S99:AL99,增益!$A:$A,增益!$K:$K,0)))/200,($F$13-$I$4+VLOOKUP($R99,武学奇术!$A:$ZZ,13,FALSE)+SUM(_xlfn.XLOOKUP(S99:AL99,增益!$A:$A,增益!$M:$M,0)))/100)</f>
        <v>-0.14</v>
      </c>
      <c r="BJ99" s="29" cm="1">
        <f t="array" ref="BJ99">$G$13+VLOOKUP($R99,武学奇术!$A:$ZZ,14,FALSE)+SUM(_xlfn.XLOOKUP(S99:AL99,增益!$A:$A,增益!$N:$N,0))</f>
        <v>0.02</v>
      </c>
      <c r="BK99">
        <f t="shared" ref="BK99:BK130" si="41">$D$14*(1+$AX99)</f>
        <v>618.2</v>
      </c>
      <c r="BL99">
        <f t="shared" ref="BL99:BL130" si="42">$E$14*(1+$AX99)</f>
        <v>1805</v>
      </c>
      <c r="BM99" s="29" cm="1">
        <f t="array" ref="BM99">IF($F$14-$I$4+VLOOKUP($R99,武学奇术!$A:$ZZ,15,FALSE)+SUM(_xlfn.XLOOKUP(S99:AL99,增益!$A:$A,增益!$O:$O,0))&gt;0,($F$14-$I$4+VLOOKUP($R99,武学奇术!$A:$ZZ,15,FALSE)+SUM(_xlfn.XLOOKUP(S99:AL99,增益!$A:$A,增益!$O:$O,0)))/200,($F$14-$I$4+VLOOKUP($R99,武学奇术!$A:$ZZ,15,FALSE)+SUM(_xlfn.XLOOKUP(S99:AL99,增益!$A:$A,增益!$O:$O,0)))/100)</f>
        <v>0.13</v>
      </c>
      <c r="BN99" s="29" cm="1">
        <f t="array" ref="BN99">$G$14+VLOOKUP($R99,武学奇术!$A:$ZZ,16,FALSE)+SUM(_xlfn.XLOOKUP(S99:AL99,增益!$A:$A,增益!$P:$P,0))</f>
        <v>0.23</v>
      </c>
      <c r="BO99" s="23">
        <f>MIN(IF(VLOOKUP($R99,武学奇术!$A:$ZZ,23,FALSE)=1,100%,$B$8),100%)</f>
        <v>0.9943</v>
      </c>
      <c r="BP99" s="23" cm="1">
        <f t="array" ref="BP99">IF(VLOOKUP($R99,武学奇术!$A:$ZZ,23,FALSE)=1,100%,MIN(80%,$B$9+VLOOKUP($R99,武学奇术!$A:$ZZ,17,FALSE)+SUM(_xlfn.XLOOKUP(S99:AL99,增益!$A:$A,增益!$Q:$Q,0)))+$B$11+SUM(_xlfn.XLOOKUP(S99:AL99,增益!$A:$A,增益!$U:$U,0)))*IF(VLOOKUP($R99,武学奇术!$A:$ZZ,24,FALSE)=1,0,1)</f>
        <v>0.887</v>
      </c>
      <c r="BQ99" s="23" cm="1">
        <f t="array" ref="BQ99">1+$B$13+VLOOKUP($R99,武学奇术!$A:$ZZ,18,FALSE)+SUM(_xlfn.XLOOKUP(S99:AL99,增益!$A:$A,增益!$R:$R,0))</f>
        <v>2.394</v>
      </c>
      <c r="BR99" s="23" cm="1">
        <f t="array" ref="BR99">IF(VLOOKUP($R99,武学奇术!$A:$ZZ,24,FALSE)=1,100%,MIN(40%,$B$10+VLOOKUP($R99,武学奇术!$A:$ZZ,19,FALSE)+SUM(_xlfn.XLOOKUP(S99:AL99,增益!$A:$A,增益!$S:$S,0)))+$B$12+SUM(_xlfn.XLOOKUP(S99:AL99,增益!$A:$A,增益!$V:$V,0)))*IF(VLOOKUP($R99,武学奇术!$A:$ZZ,23,FALSE)=1,0,1)</f>
        <v>0.0913</v>
      </c>
      <c r="BS99" s="23" cm="1">
        <f t="array" ref="BS99">1+$B$14+VLOOKUP($R99,武学奇术!$A:$ZZ,20,FALSE)+SUM(_xlfn.XLOOKUP(S99:AL99,增益!$A:$A,增益!$T:$T,0))</f>
        <v>1.35</v>
      </c>
      <c r="BT99" s="23">
        <f t="shared" ref="BT99:BT130" si="43">MIN((1-BR99)*BO99,BO99*BP99)</f>
        <v>0.8819441</v>
      </c>
      <c r="BU99" s="23">
        <f t="shared" ref="BU99:BU130" si="44">1-BR99-BT99-BV99</f>
        <v>0.0215763099999999</v>
      </c>
      <c r="BV99" s="23">
        <f>IF(VLOOKUP($R99,武学奇术!$A:$ZZ,22,FALSE)=1,0,(1-$BO99))*(1-$BR99)</f>
        <v>0.00517958999999993</v>
      </c>
      <c r="BW99" s="23" cm="1">
        <f t="array" ref="BW99">SUM(_xlfn.XLOOKUP(S99:AL99,增益!$A:$A,增益!$W:$W,0))+$I$5</f>
        <v>0.11</v>
      </c>
      <c r="BX99" s="23">
        <f>VLOOKUP($R99,武学奇术!$A:$ZZ,32,FALSE)</f>
        <v>0.1</v>
      </c>
      <c r="BY99" s="23" cm="1">
        <f t="array" ref="BY99">SUM(_xlfn.XLOOKUP($S99:$AL99,增益!$A:$A,增益!$X:$X,0))</f>
        <v>0</v>
      </c>
    </row>
    <row r="100" spans="1:77">
      <c r="A100" s="4" t="s">
        <v>167</v>
      </c>
      <c r="B100" s="4">
        <v>1.3</v>
      </c>
      <c r="C100" s="36"/>
      <c r="D100" s="36"/>
      <c r="E100" s="36"/>
      <c r="K100" s="35">
        <f>$L100*VLOOKUP($R100,武学奇术!$A:$ZZ,31,FALSE)</f>
        <v>162927.202259867</v>
      </c>
      <c r="L100" s="69">
        <f t="shared" si="34"/>
        <v>159732.551235164</v>
      </c>
      <c r="M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轻击",$B$21,0))*(1+IF(VLOOKUP($R100,武学奇术!$A:$ZZ,30,FALSE)="老鼠",$B$22,0))*(1+$BW100)*(1+$BX100)</f>
        <v>167917.568018139</v>
      </c>
      <c r="N100" s="35">
        <f>(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轻击",$B$21,0))*(1+IF(VLOOKUP($R100,武学奇术!$A:$ZZ,30,FALSE)="老鼠",$B$22,0))*(1+$BW100))*(1+$BX100)</f>
        <v>107458.317100681</v>
      </c>
      <c r="O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轻击",$B$21,0))*(1+IF(VLOOKUP($R100,武学奇术!$A:$ZZ,30,FALSE)="老鼠",$B$22,0))*(1+$BW100)*(1+$BX100)</f>
        <v>70141.0058555302</v>
      </c>
      <c r="P100" s="35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轻击",$B$21,0))*(1+IF(VLOOKUP($R100,武学奇术!$A:$ZZ,30,FALSE)="老鼠",$B$22,0))*(1+$BW100)*(1+$BX100)</f>
        <v>60683.2583031484</v>
      </c>
      <c r="Q100" s="70">
        <v>5</v>
      </c>
      <c r="R100" s="37" t="s">
        <v>106</v>
      </c>
      <c r="S100" s="37" t="s">
        <v>91</v>
      </c>
      <c r="T100" s="37" t="s">
        <v>185</v>
      </c>
      <c r="U100" s="37" t="s">
        <v>112</v>
      </c>
      <c r="V100" s="37" t="s">
        <v>113</v>
      </c>
      <c r="W100" s="37" t="s">
        <v>82</v>
      </c>
      <c r="X100" s="37" t="s">
        <v>81</v>
      </c>
      <c r="Y100" s="37" t="s">
        <v>109</v>
      </c>
      <c r="Z100" s="37" t="s">
        <v>83</v>
      </c>
      <c r="AA100" s="37" t="s">
        <v>84</v>
      </c>
      <c r="AB100" s="37" t="s">
        <v>81</v>
      </c>
      <c r="AC100" s="37" t="s">
        <v>81</v>
      </c>
      <c r="AD100" s="37" t="s">
        <v>81</v>
      </c>
      <c r="AE100" s="37" t="s">
        <v>86</v>
      </c>
      <c r="AF100" s="37" t="s">
        <v>81</v>
      </c>
      <c r="AG100" s="37" t="s">
        <v>87</v>
      </c>
      <c r="AH100" s="37" t="s">
        <v>88</v>
      </c>
      <c r="AI100" s="37" t="s">
        <v>81</v>
      </c>
      <c r="AJ100" s="37" t="s">
        <v>81</v>
      </c>
      <c r="AK100" s="37" t="s">
        <v>81</v>
      </c>
      <c r="AL100" s="37" t="s">
        <v>81</v>
      </c>
      <c r="AM100" t="str">
        <f>VLOOKUP($R100,武学奇术!$A:$ZZ,25,FALSE)</f>
        <v>绳镖</v>
      </c>
      <c r="AN100" s="23">
        <f>VLOOKUP($R100,武学奇术!$A:$ZZ,26,FALSE)</f>
        <v>0.3675</v>
      </c>
      <c r="AO100" s="24">
        <f>VLOOKUP($R100,武学奇术!$A:$ZZ,27,FALSE)*(1+IF(OR($AM100=$F$4,$AM100=$F$5),$B$23,0))</f>
        <v>0</v>
      </c>
      <c r="AP100" s="23">
        <f>VLOOKUP($R100,武学奇术!$A:$ZZ,28,FALSE)</f>
        <v>0.55125</v>
      </c>
      <c r="AQ100" s="24">
        <f>VLOOKUP($R100,武学奇术!$A:$ZZ,29,FALSE)*(1+IF(OR($AM100=$F$4,$AM100=$F$5),$B$23,0))</f>
        <v>0</v>
      </c>
      <c r="AR100" s="23" cm="1">
        <f t="array" ref="AR100">$G$3+IFERROR(VLOOKUP($AM100,$F$4:$G$7,2,FALSE),0)+VLOOKUP($R100,武学奇术!$A:$ZZ,2,FALSE)+SUM(_xlfn.XLOOKUP($S100:$AL100,增益!$A:$A,增益!$B:$B,0))</f>
        <v>1.4243</v>
      </c>
      <c r="AS100" s="23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4150.4</v>
      </c>
      <c r="AU100" cm="1">
        <f t="array" ref="AU100">$E$10*(1+$AS100)+VLOOKUP($R100,武学奇术!$A:$ZZ,4,FALSE)+SUM(_xlfn.XLOOKUP($S100:$AL100,增益!$A:$A,增益!$D:$D,0))-$I$2</f>
        <v>4150.4</v>
      </c>
      <c r="AV100" s="29" cm="1">
        <f t="array" ref="AV100">IF($F$10-$I$3+VLOOKUP($R100,武学奇术!$A:$ZZ,6,FALSE)+SUM(_xlfn.XLOOKUP(S100:AL100,增益!$A:$A,增益!$F:$F,0))&gt;0,($F$10-$I$3+VLOOKUP($R100,武学奇术!$A:$ZZ,6,FALSE)+SUM(_xlfn.XLOOKUP(S100:AL100,增益!$A:$A,增益!$F:$F,0)))/200,($F$10-$I$3+VLOOKUP($R100,武学奇术!$A:$ZZ,6,FALSE)+SUM(_xlfn.XLOOKUP(S100:AL100,增益!$A:$A,增益!$F:$F,0)))/100)</f>
        <v>0.4539</v>
      </c>
      <c r="AW100" s="29" cm="1">
        <f t="array" ref="AW100">$G$10+VLOOKUP($R100,武学奇术!$A:$ZZ,7,FALSE)+SUM(_xlfn.XLOOKUP(S100:AL100,增益!$A:$A,增益!$G:$G,0))</f>
        <v>0.29</v>
      </c>
      <c r="AX100" s="23" cm="1">
        <f t="array" ref="AX100">VLOOKUP($R100,武学奇术!$A:$ZZ,8,FALSE)+SUM(_xlfn.XLOOKUP(S100:AL100,增益!$A:$A,增益!$H:$H,0))</f>
        <v>0</v>
      </c>
      <c r="AY100">
        <f t="shared" si="35"/>
        <v>0</v>
      </c>
      <c r="AZ100">
        <f t="shared" si="36"/>
        <v>0</v>
      </c>
      <c r="BA100" s="29" cm="1">
        <f t="array" ref="BA100">IF($F$11-$I$4+VLOOKUP($R100,武学奇术!$A:$ZZ,9,FALSE)+SUM(_xlfn.XLOOKUP(S100:AL100,增益!$A:$A,增益!$I:$I,0))&gt;0,($F$11-$I$4+VLOOKUP($R100,武学奇术!$A:$ZZ,9,FALSE)+SUM(_xlfn.XLOOKUP(S100:AL100,增益!$A:$A,增益!$I:$I,0)))/200,($F$11-$I$4+VLOOKUP($R100,武学奇术!$A:$ZZ,9,FALSE)+SUM(_xlfn.XLOOKUP(S100:AL100,增益!$A:$A,增益!$I:$I,0)))/100)</f>
        <v>-0.14</v>
      </c>
      <c r="BB100" s="29" cm="1">
        <f t="array" ref="BB100">$G$11+VLOOKUP($R100,武学奇术!$A:$ZZ,10,FALSE)+SUM(_xlfn.XLOOKUP(S100:AL100,增益!$A:$A,增益!$J:$J,0))</f>
        <v>0.02</v>
      </c>
      <c r="BC100">
        <f t="shared" si="37"/>
        <v>0</v>
      </c>
      <c r="BD100">
        <f t="shared" si="38"/>
        <v>0</v>
      </c>
      <c r="BE100" s="29" cm="1">
        <f t="array" ref="BE100">IF($F$12-$I$4+VLOOKUP($R100,武学奇术!$A:$ZZ,11,FALSE)+SUM(_xlfn.XLOOKUP(S100:AL100,增益!$A:$A,增益!$K:$K,0))&gt;0,($F$12-$I$4+VLOOKUP($R100,武学奇术!$A:$ZZ,11,FALSE)+SUM(_xlfn.XLOOKUP(S100:AL100,增益!$A:$A,增益!$K:$K,0)))/200,($F$12-$I$4+VLOOKUP($R100,武学奇术!$A:$ZZ,11,FALSE)+SUM(_xlfn.XLOOKUP(S100:AL100,增益!$A:$A,增益!$K:$K,0)))/100)</f>
        <v>-0.14</v>
      </c>
      <c r="BF100" s="29" cm="1">
        <f t="array" ref="BF100">$G$12+VLOOKUP($R100,武学奇术!$A:$ZZ,12,FALSE)+SUM(_xlfn.XLOOKUP(S100:AL100,增益!$A:$A,增益!$L:$L,0))</f>
        <v>0.02</v>
      </c>
      <c r="BG100">
        <f t="shared" si="39"/>
        <v>0</v>
      </c>
      <c r="BH100">
        <f t="shared" si="40"/>
        <v>0</v>
      </c>
      <c r="BI100" s="29" cm="1">
        <f t="array" ref="BI100">IF($F$13-$I$4+VLOOKUP($R100,武学奇术!$A:$ZZ,13,FALSE)+SUM(_xlfn.XLOOKUP(S100:AL100,增益!$A:$A,增益!$M:$M,0))&gt;0,($F$13-$I$4+VLOOKUP($R100,武学奇术!$A:$ZZ,13,FALSE)+SUM(_xlfn.XLOOKUP(S100:AL100,增益!$A:$A,增益!$K:$K,0)))/200,($F$13-$I$4+VLOOKUP($R100,武学奇术!$A:$ZZ,13,FALSE)+SUM(_xlfn.XLOOKUP(S100:AL100,增益!$A:$A,增益!$M:$M,0)))/100)</f>
        <v>-0.14</v>
      </c>
      <c r="BJ100" s="29" cm="1">
        <f t="array" ref="BJ100">$G$13+VLOOKUP($R100,武学奇术!$A:$ZZ,14,FALSE)+SUM(_xlfn.XLOOKUP(S100:AL100,增益!$A:$A,增益!$N:$N,0))</f>
        <v>0.02</v>
      </c>
      <c r="BK100">
        <f t="shared" si="41"/>
        <v>618.2</v>
      </c>
      <c r="BL100">
        <f t="shared" si="42"/>
        <v>1805</v>
      </c>
      <c r="BM100" s="29" cm="1">
        <f t="array" ref="BM100">IF($F$14-$I$4+VLOOKUP($R100,武学奇术!$A:$ZZ,15,FALSE)+SUM(_xlfn.XLOOKUP(S100:AL100,增益!$A:$A,增益!$O:$O,0))&gt;0,($F$14-$I$4+VLOOKUP($R100,武学奇术!$A:$ZZ,15,FALSE)+SUM(_xlfn.XLOOKUP(S100:AL100,增益!$A:$A,增益!$O:$O,0)))/200,($F$14-$I$4+VLOOKUP($R100,武学奇术!$A:$ZZ,15,FALSE)+SUM(_xlfn.XLOOKUP(S100:AL100,增益!$A:$A,增益!$O:$O,0)))/100)</f>
        <v>0.13</v>
      </c>
      <c r="BN100" s="29" cm="1">
        <f t="array" ref="BN100">$G$14+VLOOKUP($R100,武学奇术!$A:$ZZ,16,FALSE)+SUM(_xlfn.XLOOKUP(S100:AL100,增益!$A:$A,增益!$P:$P,0))</f>
        <v>0.44</v>
      </c>
      <c r="BO100" s="23">
        <f>MIN(IF(VLOOKUP($R100,武学奇术!$A:$ZZ,23,FALSE)=1,100%,$B$8),100%)</f>
        <v>0.9943</v>
      </c>
      <c r="BP100" s="23" cm="1">
        <f t="array" ref="BP100">IF(VLOOKUP($R100,武学奇术!$A:$ZZ,23,FALSE)=1,100%,MIN(80%,$B$9+VLOOKUP($R100,武学奇术!$A:$ZZ,17,FALSE)+SUM(_xlfn.XLOOKUP(S100:AL100,增益!$A:$A,增益!$Q:$Q,0)))+$B$11+SUM(_xlfn.XLOOKUP(S100:AL100,增益!$A:$A,增益!$U:$U,0)))*IF(VLOOKUP($R100,武学奇术!$A:$ZZ,24,FALSE)=1,0,1)</f>
        <v>0.887</v>
      </c>
      <c r="BQ100" s="23" cm="1">
        <f t="array" ref="BQ100">1+$B$13+VLOOKUP($R100,武学奇术!$A:$ZZ,18,FALSE)+SUM(_xlfn.XLOOKUP(S100:AL100,增益!$A:$A,增益!$R:$R,0))</f>
        <v>2.394</v>
      </c>
      <c r="BR100" s="23" cm="1">
        <f t="array" ref="BR100">IF(VLOOKUP($R100,武学奇术!$A:$ZZ,24,FALSE)=1,100%,MIN(40%,$B$10+VLOOKUP($R100,武学奇术!$A:$ZZ,19,FALSE)+SUM(_xlfn.XLOOKUP(S100:AL100,增益!$A:$A,增益!$S:$S,0)))+$B$12+SUM(_xlfn.XLOOKUP(S100:AL100,增益!$A:$A,增益!$V:$V,0)))*IF(VLOOKUP($R100,武学奇术!$A:$ZZ,23,FALSE)=1,0,1)</f>
        <v>0.0913</v>
      </c>
      <c r="BS100" s="23" cm="1">
        <f t="array" ref="BS100">1+$B$14+VLOOKUP($R100,武学奇术!$A:$ZZ,20,FALSE)+SUM(_xlfn.XLOOKUP(S100:AL100,增益!$A:$A,增益!$T:$T,0))</f>
        <v>1.35</v>
      </c>
      <c r="BT100" s="23">
        <f t="shared" si="43"/>
        <v>0.8819441</v>
      </c>
      <c r="BU100" s="23">
        <f t="shared" si="44"/>
        <v>0.0215763099999999</v>
      </c>
      <c r="BV100" s="23">
        <f>IF(VLOOKUP($R100,武学奇术!$A:$ZZ,22,FALSE)=1,0,(1-$BO100))*(1-$BR100)</f>
        <v>0.00517958999999993</v>
      </c>
      <c r="BW100" s="23" cm="1">
        <f t="array" ref="BW100">SUM(_xlfn.XLOOKUP(S100:AL100,增益!$A:$A,增益!$W:$W,0))+$I$5</f>
        <v>0.11</v>
      </c>
      <c r="BX100" s="23">
        <f>VLOOKUP($R100,武学奇术!$A:$ZZ,32,FALSE)</f>
        <v>0</v>
      </c>
      <c r="BY100" s="23" cm="1">
        <f t="array" ref="BY100">SUM(_xlfn.XLOOKUP($S100:$AL100,增益!$A:$A,增益!$X:$X,0))</f>
        <v>0</v>
      </c>
    </row>
    <row r="101" spans="1:77">
      <c r="A101" s="4" t="s">
        <v>169</v>
      </c>
      <c r="B101" s="4">
        <v>0.7</v>
      </c>
      <c r="C101" s="36"/>
      <c r="D101" s="36" t="s">
        <v>85</v>
      </c>
      <c r="E101" s="36"/>
      <c r="K101" s="35">
        <f>$L101*VLOOKUP($R101,武学奇术!$A:$ZZ,31,FALSE)</f>
        <v>89870.789645363</v>
      </c>
      <c r="L101" s="35">
        <f t="shared" si="34"/>
        <v>80241.7764690741</v>
      </c>
      <c r="M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轻击",$B$21,0))*(1+IF(VLOOKUP($R101,武学奇术!$A:$ZZ,30,FALSE)="老鼠",$B$22,0))*(1+$BW101)*(1+$BX101)</f>
        <v>84415.0440655922</v>
      </c>
      <c r="N101" s="35">
        <f>(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轻击",$B$21,0))*(1+IF(VLOOKUP($R101,武学奇术!$A:$ZZ,30,FALSE)="老鼠",$B$22,0))*(1+$BW101))*(1+$BX101)</f>
        <v>53352.0695819114</v>
      </c>
      <c r="O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轻击",$B$21,0))*(1+IF(VLOOKUP($R101,武学奇术!$A:$ZZ,30,FALSE)="老鼠",$B$22,0))*(1+$BW101)*(1+$BX101)</f>
        <v>35261.0877466968</v>
      </c>
      <c r="P101" s="35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轻击",$B$21,0))*(1+IF(VLOOKUP($R101,武学奇术!$A:$ZZ,30,FALSE)="老鼠",$B$22,0))*(1+$BW101)*(1+$BX101)</f>
        <v>31002.123951237</v>
      </c>
      <c r="Q101" s="36">
        <v>1</v>
      </c>
      <c r="R101" s="37" t="s">
        <v>153</v>
      </c>
      <c r="S101" s="37" t="s">
        <v>91</v>
      </c>
      <c r="T101" s="37" t="s">
        <v>185</v>
      </c>
      <c r="U101" s="37" t="s">
        <v>112</v>
      </c>
      <c r="V101" s="37" t="s">
        <v>113</v>
      </c>
      <c r="W101" s="37" t="s">
        <v>82</v>
      </c>
      <c r="X101" s="37" t="s">
        <v>81</v>
      </c>
      <c r="Y101" s="37" t="s">
        <v>109</v>
      </c>
      <c r="Z101" s="37" t="s">
        <v>83</v>
      </c>
      <c r="AA101" s="37" t="s">
        <v>84</v>
      </c>
      <c r="AB101" s="37" t="s">
        <v>81</v>
      </c>
      <c r="AC101" s="37" t="s">
        <v>81</v>
      </c>
      <c r="AD101" s="37" t="s">
        <v>81</v>
      </c>
      <c r="AE101" s="37" t="s">
        <v>86</v>
      </c>
      <c r="AF101" s="37" t="s">
        <v>81</v>
      </c>
      <c r="AG101" s="37" t="s">
        <v>87</v>
      </c>
      <c r="AH101" s="37" t="s">
        <v>88</v>
      </c>
      <c r="AI101" s="37" t="s">
        <v>81</v>
      </c>
      <c r="AJ101" s="37" t="s">
        <v>81</v>
      </c>
      <c r="AK101" s="37" t="s">
        <v>81</v>
      </c>
      <c r="AL101" s="37" t="s">
        <v>81</v>
      </c>
      <c r="AM101" t="str">
        <f>VLOOKUP($R101,武学奇术!$A:$ZZ,25,FALSE)</f>
        <v>双刀</v>
      </c>
      <c r="AN101" s="23">
        <f>VLOOKUP($R101,武学奇术!$A:$ZZ,26,FALSE)</f>
        <v>1.7358</v>
      </c>
      <c r="AO101" s="24">
        <f>VLOOKUP($R101,武学奇术!$A:$ZZ,27,FALSE)*(1+IF(OR($AM101=$F$4,$AM101=$F$5),$B$23,0))</f>
        <v>769.6</v>
      </c>
      <c r="AP101" s="23">
        <f>VLOOKUP($R101,武学奇术!$A:$ZZ,28,FALSE)</f>
        <v>2.6037</v>
      </c>
      <c r="AQ101" s="24">
        <f>VLOOKUP($R101,武学奇术!$A:$ZZ,29,FALSE)*(1+IF(OR($AM101=$F$4,$AM101=$F$5),$B$23,0))</f>
        <v>419.2</v>
      </c>
      <c r="AR101" s="23" cm="1">
        <f t="array" ref="AR101">$G$3+IFERROR(VLOOKUP($AM101,$F$4:$G$7,2,FALSE),0)+VLOOKUP($R101,武学奇术!$A:$ZZ,2,FALSE)+SUM(_xlfn.XLOOKUP($S101:$AL101,增益!$A:$A,增益!$B:$B,0))</f>
        <v>0.6243</v>
      </c>
      <c r="AS101" s="23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4150.4</v>
      </c>
      <c r="AU101" cm="1">
        <f t="array" ref="AU101">$E$10*(1+$AS101)+VLOOKUP($R101,武学奇术!$A:$ZZ,4,FALSE)+SUM(_xlfn.XLOOKUP($S101:$AL101,增益!$A:$A,增益!$D:$D,0))-$I$2</f>
        <v>4150.4</v>
      </c>
      <c r="AV101" s="29" cm="1">
        <f t="array" ref="AV101">IF($F$10-$I$3+VLOOKUP($R101,武学奇术!$A:$ZZ,6,FALSE)+SUM(_xlfn.XLOOKUP(S101:AL101,增益!$A:$A,增益!$F:$F,0))&gt;0,($F$10-$I$3+VLOOKUP($R101,武学奇术!$A:$ZZ,6,FALSE)+SUM(_xlfn.XLOOKUP(S101:AL101,增益!$A:$A,增益!$F:$F,0)))/200,($F$10-$I$3+VLOOKUP($R101,武学奇术!$A:$ZZ,6,FALSE)+SUM(_xlfn.XLOOKUP(S101:AL101,增益!$A:$A,增益!$F:$F,0)))/100)</f>
        <v>0.4539</v>
      </c>
      <c r="AW101" s="29" cm="1">
        <f t="array" ref="AW101">$G$10+VLOOKUP($R101,武学奇术!$A:$ZZ,7,FALSE)+SUM(_xlfn.XLOOKUP(S101:AL101,增益!$A:$A,增益!$G:$G,0))</f>
        <v>0.08</v>
      </c>
      <c r="AX101" s="23" cm="1">
        <f t="array" ref="AX101">VLOOKUP($R101,武学奇术!$A:$ZZ,8,FALSE)+SUM(_xlfn.XLOOKUP(S101:AL101,增益!$A:$A,增益!$H:$H,0))</f>
        <v>0</v>
      </c>
      <c r="AY101">
        <f t="shared" si="35"/>
        <v>0</v>
      </c>
      <c r="AZ101">
        <f t="shared" si="36"/>
        <v>0</v>
      </c>
      <c r="BA101" s="29" cm="1">
        <f t="array" ref="BA101">IF($F$11-$I$4+VLOOKUP($R101,武学奇术!$A:$ZZ,9,FALSE)+SUM(_xlfn.XLOOKUP(S101:AL101,增益!$A:$A,增益!$I:$I,0))&gt;0,($F$11-$I$4+VLOOKUP($R101,武学奇术!$A:$ZZ,9,FALSE)+SUM(_xlfn.XLOOKUP(S101:AL101,增益!$A:$A,增益!$I:$I,0)))/200,($F$11-$I$4+VLOOKUP($R101,武学奇术!$A:$ZZ,9,FALSE)+SUM(_xlfn.XLOOKUP(S101:AL101,增益!$A:$A,增益!$I:$I,0)))/100)</f>
        <v>-0.14</v>
      </c>
      <c r="BB101" s="29" cm="1">
        <f t="array" ref="BB101">$G$11+VLOOKUP($R101,武学奇术!$A:$ZZ,10,FALSE)+SUM(_xlfn.XLOOKUP(S101:AL101,增益!$A:$A,增益!$J:$J,0))</f>
        <v>0.02</v>
      </c>
      <c r="BC101">
        <f t="shared" si="37"/>
        <v>0</v>
      </c>
      <c r="BD101">
        <f t="shared" si="38"/>
        <v>0</v>
      </c>
      <c r="BE101" s="29" cm="1">
        <f t="array" ref="BE101">IF($F$12-$I$4+VLOOKUP($R101,武学奇术!$A:$ZZ,11,FALSE)+SUM(_xlfn.XLOOKUP(S101:AL101,增益!$A:$A,增益!$K:$K,0))&gt;0,($F$12-$I$4+VLOOKUP($R101,武学奇术!$A:$ZZ,11,FALSE)+SUM(_xlfn.XLOOKUP(S101:AL101,增益!$A:$A,增益!$K:$K,0)))/200,($F$12-$I$4+VLOOKUP($R101,武学奇术!$A:$ZZ,11,FALSE)+SUM(_xlfn.XLOOKUP(S101:AL101,增益!$A:$A,增益!$K:$K,0)))/100)</f>
        <v>-0.14</v>
      </c>
      <c r="BF101" s="29" cm="1">
        <f t="array" ref="BF101">$G$12+VLOOKUP($R101,武学奇术!$A:$ZZ,12,FALSE)+SUM(_xlfn.XLOOKUP(S101:AL101,增益!$A:$A,增益!$L:$L,0))</f>
        <v>0.02</v>
      </c>
      <c r="BG101">
        <f t="shared" si="39"/>
        <v>0</v>
      </c>
      <c r="BH101">
        <f t="shared" si="40"/>
        <v>0</v>
      </c>
      <c r="BI101" s="29" cm="1">
        <f t="array" ref="BI101">IF($F$13-$I$4+VLOOKUP($R101,武学奇术!$A:$ZZ,13,FALSE)+SUM(_xlfn.XLOOKUP(S101:AL101,增益!$A:$A,增益!$M:$M,0))&gt;0,($F$13-$I$4+VLOOKUP($R101,武学奇术!$A:$ZZ,13,FALSE)+SUM(_xlfn.XLOOKUP(S101:AL101,增益!$A:$A,增益!$K:$K,0)))/200,($F$13-$I$4+VLOOKUP($R101,武学奇术!$A:$ZZ,13,FALSE)+SUM(_xlfn.XLOOKUP(S101:AL101,增益!$A:$A,增益!$M:$M,0)))/100)</f>
        <v>-0.14</v>
      </c>
      <c r="BJ101" s="29" cm="1">
        <f t="array" ref="BJ101">$G$13+VLOOKUP($R101,武学奇术!$A:$ZZ,14,FALSE)+SUM(_xlfn.XLOOKUP(S101:AL101,增益!$A:$A,增益!$N:$N,0))</f>
        <v>0.02</v>
      </c>
      <c r="BK101">
        <f t="shared" si="41"/>
        <v>618.2</v>
      </c>
      <c r="BL101">
        <f t="shared" si="42"/>
        <v>1805</v>
      </c>
      <c r="BM101" s="29" cm="1">
        <f t="array" ref="BM101">IF($F$14-$I$4+VLOOKUP($R101,武学奇术!$A:$ZZ,15,FALSE)+SUM(_xlfn.XLOOKUP(S101:AL101,增益!$A:$A,增益!$O:$O,0))&gt;0,($F$14-$I$4+VLOOKUP($R101,武学奇术!$A:$ZZ,15,FALSE)+SUM(_xlfn.XLOOKUP(S101:AL101,增益!$A:$A,增益!$O:$O,0)))/200,($F$14-$I$4+VLOOKUP($R101,武学奇术!$A:$ZZ,15,FALSE)+SUM(_xlfn.XLOOKUP(S101:AL101,增益!$A:$A,增益!$O:$O,0)))/100)</f>
        <v>0.13</v>
      </c>
      <c r="BN101" s="29" cm="1">
        <f t="array" ref="BN101">$G$14+VLOOKUP($R101,武学奇术!$A:$ZZ,16,FALSE)+SUM(_xlfn.XLOOKUP(S101:AL101,增益!$A:$A,增益!$P:$P,0))</f>
        <v>0.23</v>
      </c>
      <c r="BO101" s="23">
        <f>MIN(IF(VLOOKUP($R101,武学奇术!$A:$ZZ,23,FALSE)=1,100%,$B$8),100%)</f>
        <v>0.9943</v>
      </c>
      <c r="BP101" s="23" cm="1">
        <f t="array" ref="BP101">IF(VLOOKUP($R101,武学奇术!$A:$ZZ,23,FALSE)=1,100%,MIN(80%,$B$9+VLOOKUP($R101,武学奇术!$A:$ZZ,17,FALSE)+SUM(_xlfn.XLOOKUP(S101:AL101,增益!$A:$A,增益!$Q:$Q,0)))+$B$11+SUM(_xlfn.XLOOKUP(S101:AL101,增益!$A:$A,增益!$U:$U,0)))*IF(VLOOKUP($R101,武学奇术!$A:$ZZ,24,FALSE)=1,0,1)</f>
        <v>0.887</v>
      </c>
      <c r="BQ101" s="23" cm="1">
        <f t="array" ref="BQ101">1+$B$13+VLOOKUP($R101,武学奇术!$A:$ZZ,18,FALSE)+SUM(_xlfn.XLOOKUP(S101:AL101,增益!$A:$A,增益!$R:$R,0))</f>
        <v>2.394</v>
      </c>
      <c r="BR101" s="23" cm="1">
        <f t="array" ref="BR101">IF(VLOOKUP($R101,武学奇术!$A:$ZZ,24,FALSE)=1,100%,MIN(40%,$B$10+VLOOKUP($R101,武学奇术!$A:$ZZ,19,FALSE)+SUM(_xlfn.XLOOKUP(S101:AL101,增益!$A:$A,增益!$S:$S,0)))+$B$12+SUM(_xlfn.XLOOKUP(S101:AL101,增益!$A:$A,增益!$V:$V,0)))*IF(VLOOKUP($R101,武学奇术!$A:$ZZ,23,FALSE)=1,0,1)</f>
        <v>0.0913</v>
      </c>
      <c r="BS101" s="23" cm="1">
        <f t="array" ref="BS101">1+$B$14+VLOOKUP($R101,武学奇术!$A:$ZZ,20,FALSE)+SUM(_xlfn.XLOOKUP(S101:AL101,增益!$A:$A,增益!$T:$T,0))</f>
        <v>1.35</v>
      </c>
      <c r="BT101" s="23">
        <f t="shared" si="43"/>
        <v>0.8819441</v>
      </c>
      <c r="BU101" s="23">
        <f t="shared" si="44"/>
        <v>0.0215763099999999</v>
      </c>
      <c r="BV101" s="23">
        <f>IF(VLOOKUP($R101,武学奇术!$A:$ZZ,22,FALSE)=1,0,(1-$BO101))*(1-$BR101)</f>
        <v>0.00517958999999993</v>
      </c>
      <c r="BW101" s="23" cm="1">
        <f t="array" ref="BW101">SUM(_xlfn.XLOOKUP(S101:AL101,增益!$A:$A,增益!$W:$W,0))+$I$5</f>
        <v>0.11</v>
      </c>
      <c r="BX101" s="23">
        <f>VLOOKUP($R101,武学奇术!$A:$ZZ,32,FALSE)</f>
        <v>0.1</v>
      </c>
      <c r="BY101" s="23" cm="1">
        <f t="array" ref="BY101">SUM(_xlfn.XLOOKUP($S101:$AL101,增益!$A:$A,增益!$X:$X,0))</f>
        <v>0</v>
      </c>
    </row>
    <row r="102" spans="1:77">
      <c r="A102" s="93" t="s">
        <v>172</v>
      </c>
      <c r="B102" s="4">
        <v>0.166</v>
      </c>
      <c r="C102" s="36"/>
      <c r="D102" s="36"/>
      <c r="E102" s="36"/>
      <c r="K102" s="35">
        <f>$L102*VLOOKUP($R102,武学奇术!$A:$ZZ,31,FALSE)</f>
        <v>131195.380194233</v>
      </c>
      <c r="L102" s="35">
        <f t="shared" si="34"/>
        <v>117138.73231628</v>
      </c>
      <c r="M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轻击",$B$21,0))*(1+IF(VLOOKUP($R102,武学奇术!$A:$ZZ,30,FALSE)="老鼠",$B$22,0))*(1+$BW102)*(1+$BX102)</f>
        <v>123230.907979054</v>
      </c>
      <c r="N102" s="35">
        <f>(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轻击",$B$21,0))*(1+IF(VLOOKUP($R102,武学奇术!$A:$ZZ,30,FALSE)="老鼠",$B$22,0))*(1+$BW102))*(1+$BX102)</f>
        <v>77885.0850978793</v>
      </c>
      <c r="O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轻击",$B$21,0))*(1+IF(VLOOKUP($R102,武学奇术!$A:$ZZ,30,FALSE)="老鼠",$B$22,0))*(1+$BW102)*(1+$BX102)</f>
        <v>51474.8989052022</v>
      </c>
      <c r="P102" s="35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轻击",$B$21,0))*(1+IF(VLOOKUP($R102,武学奇术!$A:$ZZ,30,FALSE)="老鼠",$B$22,0))*(1+$BW102)*(1+$BX102)</f>
        <v>45257.1421823456</v>
      </c>
      <c r="Q102" s="36">
        <v>1</v>
      </c>
      <c r="R102" s="37" t="s">
        <v>158</v>
      </c>
      <c r="S102" s="37" t="s">
        <v>91</v>
      </c>
      <c r="T102" s="37" t="s">
        <v>185</v>
      </c>
      <c r="U102" s="37" t="s">
        <v>112</v>
      </c>
      <c r="V102" s="37" t="s">
        <v>113</v>
      </c>
      <c r="W102" s="37" t="s">
        <v>82</v>
      </c>
      <c r="X102" s="37" t="s">
        <v>81</v>
      </c>
      <c r="Y102" s="37" t="s">
        <v>109</v>
      </c>
      <c r="Z102" s="37" t="s">
        <v>83</v>
      </c>
      <c r="AA102" s="37" t="s">
        <v>84</v>
      </c>
      <c r="AB102" s="37" t="s">
        <v>81</v>
      </c>
      <c r="AC102" s="37" t="s">
        <v>81</v>
      </c>
      <c r="AD102" s="37" t="s">
        <v>81</v>
      </c>
      <c r="AE102" s="37" t="s">
        <v>86</v>
      </c>
      <c r="AF102" s="37" t="s">
        <v>81</v>
      </c>
      <c r="AG102" s="37" t="s">
        <v>87</v>
      </c>
      <c r="AH102" s="37" t="s">
        <v>88</v>
      </c>
      <c r="AI102" s="37" t="s">
        <v>81</v>
      </c>
      <c r="AJ102" s="37" t="s">
        <v>81</v>
      </c>
      <c r="AK102" s="37" t="s">
        <v>81</v>
      </c>
      <c r="AL102" s="37" t="s">
        <v>81</v>
      </c>
      <c r="AM102" t="str">
        <f>VLOOKUP($R102,武学奇术!$A:$ZZ,25,FALSE)</f>
        <v>双刀</v>
      </c>
      <c r="AN102" s="23">
        <f>VLOOKUP($R102,武学奇术!$A:$ZZ,26,FALSE)</f>
        <v>2.5342</v>
      </c>
      <c r="AO102" s="24">
        <f>VLOOKUP($R102,武学奇术!$A:$ZZ,27,FALSE)*(1+IF(OR($AM102=$F$4,$AM102=$F$5),$B$23,0))</f>
        <v>1123.2</v>
      </c>
      <c r="AP102" s="23">
        <f>VLOOKUP($R102,武学奇术!$A:$ZZ,28,FALSE)</f>
        <v>3.8012</v>
      </c>
      <c r="AQ102" s="24">
        <f>VLOOKUP($R102,武学奇术!$A:$ZZ,29,FALSE)*(1+IF(OR($AM102=$F$4,$AM102=$F$5),$B$23,0))</f>
        <v>611.2</v>
      </c>
      <c r="AR102" s="23" cm="1">
        <f t="array" ref="AR102">$G$3+IFERROR(VLOOKUP($AM102,$F$4:$G$7,2,FALSE),0)+VLOOKUP($R102,武学奇术!$A:$ZZ,2,FALSE)+SUM(_xlfn.XLOOKUP($S102:$AL102,增益!$A:$A,增益!$B:$B,0))</f>
        <v>0.6243</v>
      </c>
      <c r="AS102" s="23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4150.4</v>
      </c>
      <c r="AU102" cm="1">
        <f t="array" ref="AU102">$E$10*(1+$AS102)+VLOOKUP($R102,武学奇术!$A:$ZZ,4,FALSE)+SUM(_xlfn.XLOOKUP($S102:$AL102,增益!$A:$A,增益!$D:$D,0))-$I$2</f>
        <v>4150.4</v>
      </c>
      <c r="AV102" s="29" cm="1">
        <f t="array" ref="AV102">IF($F$10-$I$3+VLOOKUP($R102,武学奇术!$A:$ZZ,6,FALSE)+SUM(_xlfn.XLOOKUP(S102:AL102,增益!$A:$A,增益!$F:$F,0))&gt;0,($F$10-$I$3+VLOOKUP($R102,武学奇术!$A:$ZZ,6,FALSE)+SUM(_xlfn.XLOOKUP(S102:AL102,增益!$A:$A,增益!$F:$F,0)))/200,($F$10-$I$3+VLOOKUP($R102,武学奇术!$A:$ZZ,6,FALSE)+SUM(_xlfn.XLOOKUP(S102:AL102,增益!$A:$A,增益!$F:$F,0)))/100)</f>
        <v>0.4539</v>
      </c>
      <c r="AW102" s="29" cm="1">
        <f t="array" ref="AW102">$G$10+VLOOKUP($R102,武学奇术!$A:$ZZ,7,FALSE)+SUM(_xlfn.XLOOKUP(S102:AL102,增益!$A:$A,增益!$G:$G,0))</f>
        <v>0.08</v>
      </c>
      <c r="AX102" s="23" cm="1">
        <f t="array" ref="AX102">VLOOKUP($R102,武学奇术!$A:$ZZ,8,FALSE)+SUM(_xlfn.XLOOKUP(S102:AL102,增益!$A:$A,增益!$H:$H,0))</f>
        <v>0</v>
      </c>
      <c r="AY102">
        <f t="shared" si="35"/>
        <v>0</v>
      </c>
      <c r="AZ102">
        <f t="shared" si="36"/>
        <v>0</v>
      </c>
      <c r="BA102" s="29" cm="1">
        <f t="array" ref="BA102">IF($F$11-$I$4+VLOOKUP($R102,武学奇术!$A:$ZZ,9,FALSE)+SUM(_xlfn.XLOOKUP(S102:AL102,增益!$A:$A,增益!$I:$I,0))&gt;0,($F$11-$I$4+VLOOKUP($R102,武学奇术!$A:$ZZ,9,FALSE)+SUM(_xlfn.XLOOKUP(S102:AL102,增益!$A:$A,增益!$I:$I,0)))/200,($F$11-$I$4+VLOOKUP($R102,武学奇术!$A:$ZZ,9,FALSE)+SUM(_xlfn.XLOOKUP(S102:AL102,增益!$A:$A,增益!$I:$I,0)))/100)</f>
        <v>-0.14</v>
      </c>
      <c r="BB102" s="29" cm="1">
        <f t="array" ref="BB102">$G$11+VLOOKUP($R102,武学奇术!$A:$ZZ,10,FALSE)+SUM(_xlfn.XLOOKUP(S102:AL102,增益!$A:$A,增益!$J:$J,0))</f>
        <v>0.02</v>
      </c>
      <c r="BC102">
        <f t="shared" si="37"/>
        <v>0</v>
      </c>
      <c r="BD102">
        <f t="shared" si="38"/>
        <v>0</v>
      </c>
      <c r="BE102" s="29" cm="1">
        <f t="array" ref="BE102">IF($F$12-$I$4+VLOOKUP($R102,武学奇术!$A:$ZZ,11,FALSE)+SUM(_xlfn.XLOOKUP(S102:AL102,增益!$A:$A,增益!$K:$K,0))&gt;0,($F$12-$I$4+VLOOKUP($R102,武学奇术!$A:$ZZ,11,FALSE)+SUM(_xlfn.XLOOKUP(S102:AL102,增益!$A:$A,增益!$K:$K,0)))/200,($F$12-$I$4+VLOOKUP($R102,武学奇术!$A:$ZZ,11,FALSE)+SUM(_xlfn.XLOOKUP(S102:AL102,增益!$A:$A,增益!$K:$K,0)))/100)</f>
        <v>-0.14</v>
      </c>
      <c r="BF102" s="29" cm="1">
        <f t="array" ref="BF102">$G$12+VLOOKUP($R102,武学奇术!$A:$ZZ,12,FALSE)+SUM(_xlfn.XLOOKUP(S102:AL102,增益!$A:$A,增益!$L:$L,0))</f>
        <v>0.02</v>
      </c>
      <c r="BG102">
        <f t="shared" si="39"/>
        <v>0</v>
      </c>
      <c r="BH102">
        <f t="shared" si="40"/>
        <v>0</v>
      </c>
      <c r="BI102" s="29" cm="1">
        <f t="array" ref="BI102">IF($F$13-$I$4+VLOOKUP($R102,武学奇术!$A:$ZZ,13,FALSE)+SUM(_xlfn.XLOOKUP(S102:AL102,增益!$A:$A,增益!$M:$M,0))&gt;0,($F$13-$I$4+VLOOKUP($R102,武学奇术!$A:$ZZ,13,FALSE)+SUM(_xlfn.XLOOKUP(S102:AL102,增益!$A:$A,增益!$K:$K,0)))/200,($F$13-$I$4+VLOOKUP($R102,武学奇术!$A:$ZZ,13,FALSE)+SUM(_xlfn.XLOOKUP(S102:AL102,增益!$A:$A,增益!$M:$M,0)))/100)</f>
        <v>-0.14</v>
      </c>
      <c r="BJ102" s="29" cm="1">
        <f t="array" ref="BJ102">$G$13+VLOOKUP($R102,武学奇术!$A:$ZZ,14,FALSE)+SUM(_xlfn.XLOOKUP(S102:AL102,增益!$A:$A,增益!$N:$N,0))</f>
        <v>0.02</v>
      </c>
      <c r="BK102">
        <f t="shared" si="41"/>
        <v>618.2</v>
      </c>
      <c r="BL102">
        <f t="shared" si="42"/>
        <v>1805</v>
      </c>
      <c r="BM102" s="29" cm="1">
        <f t="array" ref="BM102">IF($F$14-$I$4+VLOOKUP($R102,武学奇术!$A:$ZZ,15,FALSE)+SUM(_xlfn.XLOOKUP(S102:AL102,增益!$A:$A,增益!$O:$O,0))&gt;0,($F$14-$I$4+VLOOKUP($R102,武学奇术!$A:$ZZ,15,FALSE)+SUM(_xlfn.XLOOKUP(S102:AL102,增益!$A:$A,增益!$O:$O,0)))/200,($F$14-$I$4+VLOOKUP($R102,武学奇术!$A:$ZZ,15,FALSE)+SUM(_xlfn.XLOOKUP(S102:AL102,增益!$A:$A,增益!$O:$O,0)))/100)</f>
        <v>0.13</v>
      </c>
      <c r="BN102" s="29" cm="1">
        <f t="array" ref="BN102">$G$14+VLOOKUP($R102,武学奇术!$A:$ZZ,16,FALSE)+SUM(_xlfn.XLOOKUP(S102:AL102,增益!$A:$A,增益!$P:$P,0))</f>
        <v>0.23</v>
      </c>
      <c r="BO102" s="23">
        <f>MIN(IF(VLOOKUP($R102,武学奇术!$A:$ZZ,23,FALSE)=1,100%,$B$8),100%)</f>
        <v>0.9943</v>
      </c>
      <c r="BP102" s="23" cm="1">
        <f t="array" ref="BP102">IF(VLOOKUP($R102,武学奇术!$A:$ZZ,23,FALSE)=1,100%,MIN(80%,$B$9+VLOOKUP($R102,武学奇术!$A:$ZZ,17,FALSE)+SUM(_xlfn.XLOOKUP(S102:AL102,增益!$A:$A,增益!$Q:$Q,0)))+$B$11+SUM(_xlfn.XLOOKUP(S102:AL102,增益!$A:$A,增益!$U:$U,0)))*IF(VLOOKUP($R102,武学奇术!$A:$ZZ,24,FALSE)=1,0,1)</f>
        <v>0.887</v>
      </c>
      <c r="BQ102" s="23" cm="1">
        <f t="array" ref="BQ102">1+$B$13+VLOOKUP($R102,武学奇术!$A:$ZZ,18,FALSE)+SUM(_xlfn.XLOOKUP(S102:AL102,增益!$A:$A,增益!$R:$R,0))</f>
        <v>2.394</v>
      </c>
      <c r="BR102" s="23" cm="1">
        <f t="array" ref="BR102">IF(VLOOKUP($R102,武学奇术!$A:$ZZ,24,FALSE)=1,100%,MIN(40%,$B$10+VLOOKUP($R102,武学奇术!$A:$ZZ,19,FALSE)+SUM(_xlfn.XLOOKUP(S102:AL102,增益!$A:$A,增益!$S:$S,0)))+$B$12+SUM(_xlfn.XLOOKUP(S102:AL102,增益!$A:$A,增益!$V:$V,0)))*IF(VLOOKUP($R102,武学奇术!$A:$ZZ,23,FALSE)=1,0,1)</f>
        <v>0.0913</v>
      </c>
      <c r="BS102" s="23" cm="1">
        <f t="array" ref="BS102">1+$B$14+VLOOKUP($R102,武学奇术!$A:$ZZ,20,FALSE)+SUM(_xlfn.XLOOKUP(S102:AL102,增益!$A:$A,增益!$T:$T,0))</f>
        <v>1.35</v>
      </c>
      <c r="BT102" s="23">
        <f t="shared" si="43"/>
        <v>0.8819441</v>
      </c>
      <c r="BU102" s="23">
        <f t="shared" si="44"/>
        <v>0.0215763099999999</v>
      </c>
      <c r="BV102" s="23">
        <f>IF(VLOOKUP($R102,武学奇术!$A:$ZZ,22,FALSE)=1,0,(1-$BO102))*(1-$BR102)</f>
        <v>0.00517958999999993</v>
      </c>
      <c r="BW102" s="23" cm="1">
        <f t="array" ref="BW102">SUM(_xlfn.XLOOKUP(S102:AL102,增益!$A:$A,增益!$W:$W,0))+$I$5</f>
        <v>0.11</v>
      </c>
      <c r="BX102" s="23">
        <f>VLOOKUP($R102,武学奇术!$A:$ZZ,32,FALSE)</f>
        <v>0.1</v>
      </c>
      <c r="BY102" s="23" cm="1">
        <f t="array" ref="BY102">SUM(_xlfn.XLOOKUP($S102:$AL102,增益!$A:$A,增益!$X:$X,0))</f>
        <v>0</v>
      </c>
    </row>
    <row r="103" spans="1:77">
      <c r="A103" s="93" t="s">
        <v>173</v>
      </c>
      <c r="B103" s="4">
        <v>0.633</v>
      </c>
      <c r="C103" s="36"/>
      <c r="D103" s="36"/>
      <c r="E103" s="36"/>
      <c r="K103" s="35">
        <f>$L103*VLOOKUP($R103,武学奇术!$A:$ZZ,31,FALSE)</f>
        <v>49705.276831739</v>
      </c>
      <c r="L103" s="58">
        <f t="shared" si="34"/>
        <v>48730.6635605285</v>
      </c>
      <c r="M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轻击",$B$21,0))*(1+IF(VLOOKUP($R103,武学奇术!$A:$ZZ,30,FALSE)="老鼠",$B$22,0))*(1+$BW103)*(1+$BX103)</f>
        <v>51270.3409224114</v>
      </c>
      <c r="N103" s="35">
        <f>(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轻击",$B$21,0))*(1+IF(VLOOKUP($R103,武学奇术!$A:$ZZ,30,FALSE)="老鼠",$B$22,0))*(1+$BW103))*(1+$BX103)</f>
        <v>32346.7520085004</v>
      </c>
      <c r="O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轻击",$B$21,0))*(1+IF(VLOOKUP($R103,武学奇术!$A:$ZZ,30,FALSE)="老鼠",$B$22,0))*(1+$BW103)*(1+$BX103)</f>
        <v>21416.1825072729</v>
      </c>
      <c r="P103" s="35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轻击",$B$21,0))*(1+IF(VLOOKUP($R103,武学奇术!$A:$ZZ,30,FALSE)="老鼠",$B$22,0))*(1+$BW103)*(1+$BX103)</f>
        <v>18871.8079712122</v>
      </c>
      <c r="Q103" s="36">
        <v>1</v>
      </c>
      <c r="R103" s="37" t="s">
        <v>160</v>
      </c>
      <c r="S103" s="37" t="s">
        <v>91</v>
      </c>
      <c r="T103" s="37" t="s">
        <v>185</v>
      </c>
      <c r="U103" s="37" t="s">
        <v>81</v>
      </c>
      <c r="V103" s="37" t="s">
        <v>81</v>
      </c>
      <c r="W103" s="37" t="s">
        <v>82</v>
      </c>
      <c r="X103" s="37" t="s">
        <v>81</v>
      </c>
      <c r="Y103" s="37" t="s">
        <v>81</v>
      </c>
      <c r="Z103" s="37" t="s">
        <v>83</v>
      </c>
      <c r="AA103" s="37" t="s">
        <v>84</v>
      </c>
      <c r="AB103" s="37" t="s">
        <v>81</v>
      </c>
      <c r="AC103" s="37" t="s">
        <v>81</v>
      </c>
      <c r="AD103" s="37" t="s">
        <v>81</v>
      </c>
      <c r="AE103" s="37" t="s">
        <v>86</v>
      </c>
      <c r="AF103" s="37" t="s">
        <v>81</v>
      </c>
      <c r="AG103" s="37" t="s">
        <v>87</v>
      </c>
      <c r="AH103" s="37" t="s">
        <v>88</v>
      </c>
      <c r="AI103" s="37" t="s">
        <v>81</v>
      </c>
      <c r="AJ103" s="37" t="s">
        <v>81</v>
      </c>
      <c r="AK103" s="37" t="s">
        <v>81</v>
      </c>
      <c r="AL103" s="37" t="s">
        <v>81</v>
      </c>
      <c r="AM103" t="str">
        <f>VLOOKUP($R103,武学奇术!$A:$ZZ,25,FALSE)</f>
        <v>双刀</v>
      </c>
      <c r="AN103" s="23">
        <f>VLOOKUP($R103,武学奇术!$A:$ZZ,26,FALSE)</f>
        <v>1.3548</v>
      </c>
      <c r="AO103" s="24">
        <f>VLOOKUP($R103,武学奇术!$A:$ZZ,27,FALSE)*(1+IF(OR($AM103=$F$4,$AM103=$F$5),$B$23,0))</f>
        <v>601.6</v>
      </c>
      <c r="AP103" s="23">
        <f>VLOOKUP($R103,武学奇术!$A:$ZZ,28,FALSE)</f>
        <v>2.0322</v>
      </c>
      <c r="AQ103" s="24">
        <f>VLOOKUP($R103,武学奇术!$A:$ZZ,29,FALSE)*(1+IF(OR($AM103=$F$4,$AM103=$F$5),$B$23,0))</f>
        <v>328</v>
      </c>
      <c r="AR103" s="23" cm="1">
        <f t="array" ref="AR103">$G$3+IFERROR(VLOOKUP($AM103,$F$4:$G$7,2,FALSE),0)+VLOOKUP($R103,武学奇术!$A:$ZZ,2,FALSE)+SUM(_xlfn.XLOOKUP($S103:$AL103,增益!$A:$A,增益!$B:$B,0))</f>
        <v>0.5043</v>
      </c>
      <c r="AS103" s="23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4081.7</v>
      </c>
      <c r="AU103" cm="1">
        <f t="array" ref="AU103">$E$10*(1+$AS103)+VLOOKUP($R103,武学奇术!$A:$ZZ,4,FALSE)+SUM(_xlfn.XLOOKUP($S103:$AL103,增益!$A:$A,增益!$D:$D,0))-$I$2</f>
        <v>4081.7</v>
      </c>
      <c r="AV103" s="29" cm="1">
        <f t="array" ref="AV103">IF($F$10-$I$3+VLOOKUP($R103,武学奇术!$A:$ZZ,6,FALSE)+SUM(_xlfn.XLOOKUP(S103:AL103,增益!$A:$A,增益!$F:$F,0))&gt;0,($F$10-$I$3+VLOOKUP($R103,武学奇术!$A:$ZZ,6,FALSE)+SUM(_xlfn.XLOOKUP(S103:AL103,增益!$A:$A,增益!$F:$F,0)))/200,($F$10-$I$3+VLOOKUP($R103,武学奇术!$A:$ZZ,6,FALSE)+SUM(_xlfn.XLOOKUP(S103:AL103,增益!$A:$A,增益!$F:$F,0)))/100)</f>
        <v>0.4539</v>
      </c>
      <c r="AW103" s="29" cm="1">
        <f t="array" ref="AW103">$G$10+VLOOKUP($R103,武学奇术!$A:$ZZ,7,FALSE)+SUM(_xlfn.XLOOKUP(S103:AL103,增益!$A:$A,增益!$G:$G,0))</f>
        <v>0.02</v>
      </c>
      <c r="AX103" s="23" cm="1">
        <f t="array" ref="AX103">VLOOKUP($R103,武学奇术!$A:$ZZ,8,FALSE)+SUM(_xlfn.XLOOKUP(S103:AL103,增益!$A:$A,增益!$H:$H,0))</f>
        <v>0</v>
      </c>
      <c r="AY103">
        <f t="shared" si="35"/>
        <v>0</v>
      </c>
      <c r="AZ103">
        <f t="shared" si="36"/>
        <v>0</v>
      </c>
      <c r="BA103" s="29" cm="1">
        <f t="array" ref="BA103">IF($F$11-$I$4+VLOOKUP($R103,武学奇术!$A:$ZZ,9,FALSE)+SUM(_xlfn.XLOOKUP(S103:AL103,增益!$A:$A,增益!$I:$I,0))&gt;0,($F$11-$I$4+VLOOKUP($R103,武学奇术!$A:$ZZ,9,FALSE)+SUM(_xlfn.XLOOKUP(S103:AL103,增益!$A:$A,增益!$I:$I,0)))/200,($F$11-$I$4+VLOOKUP($R103,武学奇术!$A:$ZZ,9,FALSE)+SUM(_xlfn.XLOOKUP(S103:AL103,增益!$A:$A,增益!$I:$I,0)))/100)</f>
        <v>-0.14</v>
      </c>
      <c r="BB103" s="29" cm="1">
        <f t="array" ref="BB103">$G$11+VLOOKUP($R103,武学奇术!$A:$ZZ,10,FALSE)+SUM(_xlfn.XLOOKUP(S103:AL103,增益!$A:$A,增益!$J:$J,0))</f>
        <v>0.02</v>
      </c>
      <c r="BC103">
        <f t="shared" si="37"/>
        <v>0</v>
      </c>
      <c r="BD103">
        <f t="shared" si="38"/>
        <v>0</v>
      </c>
      <c r="BE103" s="29" cm="1">
        <f t="array" ref="BE103">IF($F$12-$I$4+VLOOKUP($R103,武学奇术!$A:$ZZ,11,FALSE)+SUM(_xlfn.XLOOKUP(S103:AL103,增益!$A:$A,增益!$K:$K,0))&gt;0,($F$12-$I$4+VLOOKUP($R103,武学奇术!$A:$ZZ,11,FALSE)+SUM(_xlfn.XLOOKUP(S103:AL103,增益!$A:$A,增益!$K:$K,0)))/200,($F$12-$I$4+VLOOKUP($R103,武学奇术!$A:$ZZ,11,FALSE)+SUM(_xlfn.XLOOKUP(S103:AL103,增益!$A:$A,增益!$K:$K,0)))/100)</f>
        <v>-0.14</v>
      </c>
      <c r="BF103" s="29" cm="1">
        <f t="array" ref="BF103">$G$12+VLOOKUP($R103,武学奇术!$A:$ZZ,12,FALSE)+SUM(_xlfn.XLOOKUP(S103:AL103,增益!$A:$A,增益!$L:$L,0))</f>
        <v>0.02</v>
      </c>
      <c r="BG103">
        <f t="shared" si="39"/>
        <v>0</v>
      </c>
      <c r="BH103">
        <f t="shared" si="40"/>
        <v>0</v>
      </c>
      <c r="BI103" s="29" cm="1">
        <f t="array" ref="BI103">IF($F$13-$I$4+VLOOKUP($R103,武学奇术!$A:$ZZ,13,FALSE)+SUM(_xlfn.XLOOKUP(S103:AL103,增益!$A:$A,增益!$M:$M,0))&gt;0,($F$13-$I$4+VLOOKUP($R103,武学奇术!$A:$ZZ,13,FALSE)+SUM(_xlfn.XLOOKUP(S103:AL103,增益!$A:$A,增益!$K:$K,0)))/200,($F$13-$I$4+VLOOKUP($R103,武学奇术!$A:$ZZ,13,FALSE)+SUM(_xlfn.XLOOKUP(S103:AL103,增益!$A:$A,增益!$M:$M,0)))/100)</f>
        <v>-0.14</v>
      </c>
      <c r="BJ103" s="29" cm="1">
        <f t="array" ref="BJ103">$G$13+VLOOKUP($R103,武学奇术!$A:$ZZ,14,FALSE)+SUM(_xlfn.XLOOKUP(S103:AL103,增益!$A:$A,增益!$N:$N,0))</f>
        <v>0.02</v>
      </c>
      <c r="BK103">
        <f t="shared" si="41"/>
        <v>618.2</v>
      </c>
      <c r="BL103">
        <f t="shared" si="42"/>
        <v>1805</v>
      </c>
      <c r="BM103" s="29" cm="1">
        <f t="array" ref="BM103">IF($F$14-$I$4+VLOOKUP($R103,武学奇术!$A:$ZZ,15,FALSE)+SUM(_xlfn.XLOOKUP(S103:AL103,增益!$A:$A,增益!$O:$O,0))&gt;0,($F$14-$I$4+VLOOKUP($R103,武学奇术!$A:$ZZ,15,FALSE)+SUM(_xlfn.XLOOKUP(S103:AL103,增益!$A:$A,增益!$O:$O,0)))/200,($F$14-$I$4+VLOOKUP($R103,武学奇术!$A:$ZZ,15,FALSE)+SUM(_xlfn.XLOOKUP(S103:AL103,增益!$A:$A,增益!$O:$O,0)))/100)</f>
        <v>0.08</v>
      </c>
      <c r="BN103" s="29" cm="1">
        <f t="array" ref="BN103">$G$14+VLOOKUP($R103,武学奇术!$A:$ZZ,16,FALSE)+SUM(_xlfn.XLOOKUP(S103:AL103,增益!$A:$A,增益!$P:$P,0))</f>
        <v>0.17</v>
      </c>
      <c r="BO103" s="23">
        <f>MIN(IF(VLOOKUP($R103,武学奇术!$A:$ZZ,23,FALSE)=1,100%,$B$8),100%)</f>
        <v>0.9943</v>
      </c>
      <c r="BP103" s="23" cm="1">
        <f t="array" ref="BP103">IF(VLOOKUP($R103,武学奇术!$A:$ZZ,23,FALSE)=1,100%,MIN(80%,$B$9+VLOOKUP($R103,武学奇术!$A:$ZZ,17,FALSE)+SUM(_xlfn.XLOOKUP(S103:AL103,增益!$A:$A,增益!$Q:$Q,0)))+$B$11+SUM(_xlfn.XLOOKUP(S103:AL103,增益!$A:$A,增益!$U:$U,0)))*IF(VLOOKUP($R103,武学奇术!$A:$ZZ,24,FALSE)=1,0,1)</f>
        <v>0.887</v>
      </c>
      <c r="BQ103" s="23" cm="1">
        <f t="array" ref="BQ103">1+$B$13+VLOOKUP($R103,武学奇术!$A:$ZZ,18,FALSE)+SUM(_xlfn.XLOOKUP(S103:AL103,增益!$A:$A,增益!$R:$R,0))</f>
        <v>2.394</v>
      </c>
      <c r="BR103" s="23" cm="1">
        <f t="array" ref="BR103">IF(VLOOKUP($R103,武学奇术!$A:$ZZ,24,FALSE)=1,100%,MIN(40%,$B$10+VLOOKUP($R103,武学奇术!$A:$ZZ,19,FALSE)+SUM(_xlfn.XLOOKUP(S103:AL103,增益!$A:$A,增益!$S:$S,0)))+$B$12+SUM(_xlfn.XLOOKUP(S103:AL103,增益!$A:$A,增益!$V:$V,0)))*IF(VLOOKUP($R103,武学奇术!$A:$ZZ,23,FALSE)=1,0,1)</f>
        <v>0.0913</v>
      </c>
      <c r="BS103" s="23" cm="1">
        <f t="array" ref="BS103">1+$B$14+VLOOKUP($R103,武学奇术!$A:$ZZ,20,FALSE)+SUM(_xlfn.XLOOKUP(S103:AL103,增益!$A:$A,增益!$T:$T,0))</f>
        <v>1.35</v>
      </c>
      <c r="BT103" s="23">
        <f t="shared" si="43"/>
        <v>0.8819441</v>
      </c>
      <c r="BU103" s="23">
        <f t="shared" si="44"/>
        <v>0.0215763099999999</v>
      </c>
      <c r="BV103" s="23">
        <f>IF(VLOOKUP($R103,武学奇术!$A:$ZZ,22,FALSE)=1,0,(1-$BO103))*(1-$BR103)</f>
        <v>0.00517958999999993</v>
      </c>
      <c r="BW103" s="23" cm="1">
        <f t="array" ref="BW103">SUM(_xlfn.XLOOKUP(S103:AL103,增益!$A:$A,增益!$W:$W,0))+$I$5</f>
        <v>0.11</v>
      </c>
      <c r="BX103" s="23">
        <f>VLOOKUP($R103,武学奇术!$A:$ZZ,32,FALSE)</f>
        <v>0</v>
      </c>
      <c r="BY103" s="23" cm="1">
        <f t="array" ref="BY103">SUM(_xlfn.XLOOKUP($S103:$AL103,增益!$A:$A,增益!$X:$X,0))</f>
        <v>0</v>
      </c>
    </row>
    <row r="104" spans="1:77">
      <c r="A104" s="93">
        <v>123</v>
      </c>
      <c r="B104" s="4">
        <v>1.8</v>
      </c>
      <c r="C104" s="36"/>
      <c r="D104" s="36"/>
      <c r="E104" s="36"/>
      <c r="K104" s="35">
        <f>$L104*VLOOKUP($R104,武学奇术!$A:$ZZ,31,FALSE)</f>
        <v>165666.414276653</v>
      </c>
      <c r="L104" s="69">
        <f t="shared" si="34"/>
        <v>162418.053212405</v>
      </c>
      <c r="M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轻击",$B$21,0))*(1+IF(VLOOKUP($R104,武学奇术!$A:$ZZ,30,FALSE)="老鼠",$B$22,0))*(1+$BW104)*(1+$BX104)</f>
        <v>169215.223905234</v>
      </c>
      <c r="N104" s="35">
        <f>(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轻击",$B$21,0))*(1+IF(VLOOKUP($R104,武学奇术!$A:$ZZ,30,FALSE)="老鼠",$B$22,0))*(1+$BW104))*(1+$BX104)</f>
        <v>121870.316087128</v>
      </c>
      <c r="O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轻击",$B$21,0))*(1+IF(VLOOKUP($R104,武学奇术!$A:$ZZ,30,FALSE)="老鼠",$B$22,0))*(1+$BW104)*(1+$BX104)</f>
        <v>78925.0111498292</v>
      </c>
      <c r="P104" s="35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轻击",$B$21,0))*(1+IF(VLOOKUP($R104,武学奇术!$A:$ZZ,30,FALSE)="老鼠",$B$22,0))*(1+$BW104)*(1+$BX104)</f>
        <v>67575.7140869711</v>
      </c>
      <c r="Q104" s="70">
        <v>6</v>
      </c>
      <c r="R104" s="37" t="s">
        <v>106</v>
      </c>
      <c r="S104" s="37" t="s">
        <v>91</v>
      </c>
      <c r="T104" s="37" t="s">
        <v>185</v>
      </c>
      <c r="U104" s="37" t="s">
        <v>112</v>
      </c>
      <c r="V104" s="37" t="s">
        <v>113</v>
      </c>
      <c r="W104" s="37" t="s">
        <v>82</v>
      </c>
      <c r="X104" s="37" t="s">
        <v>81</v>
      </c>
      <c r="Y104" s="37" t="s">
        <v>109</v>
      </c>
      <c r="Z104" s="37" t="s">
        <v>83</v>
      </c>
      <c r="AA104" s="37" t="s">
        <v>84</v>
      </c>
      <c r="AB104" s="37" t="s">
        <v>81</v>
      </c>
      <c r="AC104" s="37" t="s">
        <v>81</v>
      </c>
      <c r="AD104" s="37" t="s">
        <v>81</v>
      </c>
      <c r="AE104" s="37" t="s">
        <v>81</v>
      </c>
      <c r="AF104" s="37" t="s">
        <v>81</v>
      </c>
      <c r="AG104" s="37" t="s">
        <v>87</v>
      </c>
      <c r="AH104" s="37" t="s">
        <v>88</v>
      </c>
      <c r="AI104" s="37" t="s">
        <v>81</v>
      </c>
      <c r="AJ104" s="37" t="s">
        <v>81</v>
      </c>
      <c r="AK104" s="37" t="s">
        <v>81</v>
      </c>
      <c r="AL104" s="37" t="s">
        <v>81</v>
      </c>
      <c r="AM104" t="str">
        <f>VLOOKUP($R104,武学奇术!$A:$ZZ,25,FALSE)</f>
        <v>绳镖</v>
      </c>
      <c r="AN104" s="23">
        <f>VLOOKUP($R104,武学奇术!$A:$ZZ,26,FALSE)</f>
        <v>0.3675</v>
      </c>
      <c r="AO104" s="24">
        <f>VLOOKUP($R104,武学奇术!$A:$ZZ,27,FALSE)*(1+IF(OR($AM104=$F$4,$AM104=$F$5),$B$23,0))</f>
        <v>0</v>
      </c>
      <c r="AP104" s="23">
        <f>VLOOKUP($R104,武学奇术!$A:$ZZ,28,FALSE)</f>
        <v>0.55125</v>
      </c>
      <c r="AQ104" s="24">
        <f>VLOOKUP($R104,武学奇术!$A:$ZZ,29,FALSE)*(1+IF(OR($AM104=$F$4,$AM104=$F$5),$B$23,0))</f>
        <v>0</v>
      </c>
      <c r="AR104" s="23" cm="1">
        <f t="array" ref="AR104">$G$3+IFERROR(VLOOKUP($AM104,$F$4:$G$7,2,FALSE),0)+VLOOKUP($R104,武学奇术!$A:$ZZ,2,FALSE)+SUM(_xlfn.XLOOKUP($S104:$AL104,增益!$A:$A,增益!$B:$B,0))</f>
        <v>1.4243</v>
      </c>
      <c r="AS104" s="23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4150.4</v>
      </c>
      <c r="AU104" cm="1">
        <f t="array" ref="AU104">$E$10*(1+$AS104)+VLOOKUP($R104,武学奇术!$A:$ZZ,4,FALSE)+SUM(_xlfn.XLOOKUP($S104:$AL104,增益!$A:$A,增益!$D:$D,0))-$I$2</f>
        <v>4150.4</v>
      </c>
      <c r="AV104" s="29" cm="1">
        <f t="array" ref="AV104">IF($F$10-$I$3+VLOOKUP($R104,武学奇术!$A:$ZZ,6,FALSE)+SUM(_xlfn.XLOOKUP(S104:AL104,增益!$A:$A,增益!$F:$F,0))&gt;0,($F$10-$I$3+VLOOKUP($R104,武学奇术!$A:$ZZ,6,FALSE)+SUM(_xlfn.XLOOKUP(S104:AL104,增益!$A:$A,增益!$F:$F,0)))/200,($F$10-$I$3+VLOOKUP($R104,武学奇术!$A:$ZZ,6,FALSE)+SUM(_xlfn.XLOOKUP(S104:AL104,增益!$A:$A,增益!$F:$F,0)))/100)</f>
        <v>0.3289</v>
      </c>
      <c r="AW104" s="29" cm="1">
        <f t="array" ref="AW104">$G$10+VLOOKUP($R104,武学奇术!$A:$ZZ,7,FALSE)+SUM(_xlfn.XLOOKUP(S104:AL104,增益!$A:$A,增益!$G:$G,0))</f>
        <v>0.29</v>
      </c>
      <c r="AX104" s="23" cm="1">
        <f t="array" ref="AX104">VLOOKUP($R104,武学奇术!$A:$ZZ,8,FALSE)+SUM(_xlfn.XLOOKUP(S104:AL104,增益!$A:$A,增益!$H:$H,0))</f>
        <v>0</v>
      </c>
      <c r="AY104">
        <f t="shared" si="35"/>
        <v>0</v>
      </c>
      <c r="AZ104">
        <f t="shared" si="36"/>
        <v>0</v>
      </c>
      <c r="BA104" s="29" cm="1">
        <f t="array" ref="BA104">IF($F$11-$I$4+VLOOKUP($R104,武学奇术!$A:$ZZ,9,FALSE)+SUM(_xlfn.XLOOKUP(S104:AL104,增益!$A:$A,增益!$I:$I,0))&gt;0,($F$11-$I$4+VLOOKUP($R104,武学奇术!$A:$ZZ,9,FALSE)+SUM(_xlfn.XLOOKUP(S104:AL104,增益!$A:$A,增益!$I:$I,0)))/200,($F$11-$I$4+VLOOKUP($R104,武学奇术!$A:$ZZ,9,FALSE)+SUM(_xlfn.XLOOKUP(S104:AL104,增益!$A:$A,增益!$I:$I,0)))/100)</f>
        <v>-0.14</v>
      </c>
      <c r="BB104" s="29" cm="1">
        <f t="array" ref="BB104">$G$11+VLOOKUP($R104,武学奇术!$A:$ZZ,10,FALSE)+SUM(_xlfn.XLOOKUP(S104:AL104,增益!$A:$A,增益!$J:$J,0))</f>
        <v>0.02</v>
      </c>
      <c r="BC104">
        <f t="shared" si="37"/>
        <v>0</v>
      </c>
      <c r="BD104">
        <f t="shared" si="38"/>
        <v>0</v>
      </c>
      <c r="BE104" s="29" cm="1">
        <f t="array" ref="BE104">IF($F$12-$I$4+VLOOKUP($R104,武学奇术!$A:$ZZ,11,FALSE)+SUM(_xlfn.XLOOKUP(S104:AL104,增益!$A:$A,增益!$K:$K,0))&gt;0,($F$12-$I$4+VLOOKUP($R104,武学奇术!$A:$ZZ,11,FALSE)+SUM(_xlfn.XLOOKUP(S104:AL104,增益!$A:$A,增益!$K:$K,0)))/200,($F$12-$I$4+VLOOKUP($R104,武学奇术!$A:$ZZ,11,FALSE)+SUM(_xlfn.XLOOKUP(S104:AL104,增益!$A:$A,增益!$K:$K,0)))/100)</f>
        <v>-0.14</v>
      </c>
      <c r="BF104" s="29" cm="1">
        <f t="array" ref="BF104">$G$12+VLOOKUP($R104,武学奇术!$A:$ZZ,12,FALSE)+SUM(_xlfn.XLOOKUP(S104:AL104,增益!$A:$A,增益!$L:$L,0))</f>
        <v>0.02</v>
      </c>
      <c r="BG104">
        <f t="shared" si="39"/>
        <v>0</v>
      </c>
      <c r="BH104">
        <f t="shared" si="40"/>
        <v>0</v>
      </c>
      <c r="BI104" s="29" cm="1">
        <f t="array" ref="BI104">IF($F$13-$I$4+VLOOKUP($R104,武学奇术!$A:$ZZ,13,FALSE)+SUM(_xlfn.XLOOKUP(S104:AL104,增益!$A:$A,增益!$M:$M,0))&gt;0,($F$13-$I$4+VLOOKUP($R104,武学奇术!$A:$ZZ,13,FALSE)+SUM(_xlfn.XLOOKUP(S104:AL104,增益!$A:$A,增益!$K:$K,0)))/200,($F$13-$I$4+VLOOKUP($R104,武学奇术!$A:$ZZ,13,FALSE)+SUM(_xlfn.XLOOKUP(S104:AL104,增益!$A:$A,增益!$M:$M,0)))/100)</f>
        <v>-0.14</v>
      </c>
      <c r="BJ104" s="29" cm="1">
        <f t="array" ref="BJ104">$G$13+VLOOKUP($R104,武学奇术!$A:$ZZ,14,FALSE)+SUM(_xlfn.XLOOKUP(S104:AL104,增益!$A:$A,增益!$N:$N,0))</f>
        <v>0.02</v>
      </c>
      <c r="BK104">
        <f t="shared" si="41"/>
        <v>618.2</v>
      </c>
      <c r="BL104">
        <f t="shared" si="42"/>
        <v>1805</v>
      </c>
      <c r="BM104" s="29" cm="1">
        <f t="array" ref="BM104">IF($F$14-$I$4+VLOOKUP($R104,武学奇术!$A:$ZZ,15,FALSE)+SUM(_xlfn.XLOOKUP(S104:AL104,增益!$A:$A,增益!$O:$O,0))&gt;0,($F$14-$I$4+VLOOKUP($R104,武学奇术!$A:$ZZ,15,FALSE)+SUM(_xlfn.XLOOKUP(S104:AL104,增益!$A:$A,增益!$O:$O,0)))/200,($F$14-$I$4+VLOOKUP($R104,武学奇术!$A:$ZZ,15,FALSE)+SUM(_xlfn.XLOOKUP(S104:AL104,增益!$A:$A,增益!$O:$O,0)))/100)</f>
        <v>0.13</v>
      </c>
      <c r="BN104" s="29" cm="1">
        <f t="array" ref="BN104">$G$14+VLOOKUP($R104,武学奇术!$A:$ZZ,16,FALSE)+SUM(_xlfn.XLOOKUP(S104:AL104,增益!$A:$A,增益!$P:$P,0))</f>
        <v>0.44</v>
      </c>
      <c r="BO104" s="23">
        <f>MIN(IF(VLOOKUP($R104,武学奇术!$A:$ZZ,23,FALSE)=1,100%,$B$8),100%)</f>
        <v>0.9943</v>
      </c>
      <c r="BP104" s="23" cm="1">
        <f t="array" ref="BP104">IF(VLOOKUP($R104,武学奇术!$A:$ZZ,23,FALSE)=1,100%,MIN(80%,$B$9+VLOOKUP($R104,武学奇术!$A:$ZZ,17,FALSE)+SUM(_xlfn.XLOOKUP(S104:AL104,增益!$A:$A,增益!$Q:$Q,0)))+$B$11+SUM(_xlfn.XLOOKUP(S104:AL104,增益!$A:$A,增益!$U:$U,0)))*IF(VLOOKUP($R104,武学奇术!$A:$ZZ,24,FALSE)=1,0,1)</f>
        <v>0.887</v>
      </c>
      <c r="BQ104" s="23" cm="1">
        <f t="array" ref="BQ104">1+$B$13+VLOOKUP($R104,武学奇术!$A:$ZZ,18,FALSE)+SUM(_xlfn.XLOOKUP(S104:AL104,增益!$A:$A,增益!$R:$R,0))</f>
        <v>2.144</v>
      </c>
      <c r="BR104" s="23" cm="1">
        <f t="array" ref="BR104">IF(VLOOKUP($R104,武学奇术!$A:$ZZ,24,FALSE)=1,100%,MIN(40%,$B$10+VLOOKUP($R104,武学奇术!$A:$ZZ,19,FALSE)+SUM(_xlfn.XLOOKUP(S104:AL104,增益!$A:$A,增益!$S:$S,0)))+$B$12+SUM(_xlfn.XLOOKUP(S104:AL104,增益!$A:$A,增益!$V:$V,0)))*IF(VLOOKUP($R104,武学奇术!$A:$ZZ,23,FALSE)=1,0,1)</f>
        <v>0.0913</v>
      </c>
      <c r="BS104" s="23" cm="1">
        <f t="array" ref="BS104">1+$B$14+VLOOKUP($R104,武学奇术!$A:$ZZ,20,FALSE)+SUM(_xlfn.XLOOKUP(S104:AL104,增益!$A:$A,增益!$T:$T,0))</f>
        <v>1.35</v>
      </c>
      <c r="BT104" s="23">
        <f t="shared" si="43"/>
        <v>0.8819441</v>
      </c>
      <c r="BU104" s="23">
        <f t="shared" si="44"/>
        <v>0.0215763099999999</v>
      </c>
      <c r="BV104" s="23">
        <f>IF(VLOOKUP($R104,武学奇术!$A:$ZZ,22,FALSE)=1,0,(1-$BO104))*(1-$BR104)</f>
        <v>0.00517958999999993</v>
      </c>
      <c r="BW104" s="23" cm="1">
        <f t="array" ref="BW104">SUM(_xlfn.XLOOKUP(S104:AL104,增益!$A:$A,增益!$W:$W,0))+$I$5</f>
        <v>0.11</v>
      </c>
      <c r="BX104" s="23">
        <f>VLOOKUP($R104,武学奇术!$A:$ZZ,32,FALSE)</f>
        <v>0</v>
      </c>
      <c r="BY104" s="23" cm="1">
        <f t="array" ref="BY104">SUM(_xlfn.XLOOKUP($S104:$AL104,增益!$A:$A,增益!$X:$X,0))</f>
        <v>0</v>
      </c>
    </row>
    <row r="105" spans="1:77">
      <c r="A105" s="93">
        <v>45</v>
      </c>
      <c r="B105" s="4">
        <v>1.5</v>
      </c>
      <c r="C105" s="36"/>
      <c r="D105" s="36"/>
      <c r="K105" s="35">
        <f>$L105*VLOOKUP($R105,武学奇术!$A:$ZZ,31,FALSE)</f>
        <v>28454.0669071043</v>
      </c>
      <c r="L105" s="35">
        <f t="shared" si="34"/>
        <v>25405.4168813432</v>
      </c>
      <c r="M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轻击",$B$21,0))*(1+IF(VLOOKUP($R105,武学奇术!$A:$ZZ,30,FALSE)="老鼠",$B$22,0))*(1+$BW105)*(1+$BX105)</f>
        <v>26491.8604825569</v>
      </c>
      <c r="N105" s="35">
        <f>(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轻击",$B$21,0))*(1+IF(VLOOKUP($R105,武学奇术!$A:$ZZ,30,FALSE)="老鼠",$B$22,0))*(1+$BW105))*(1+$BX105)</f>
        <v>18824.7374499106</v>
      </c>
      <c r="O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轻击",$B$21,0))*(1+IF(VLOOKUP($R105,武学奇术!$A:$ZZ,30,FALSE)="老鼠",$B$22,0))*(1+$BW105)*(1+$BX105)</f>
        <v>12356.2782101478</v>
      </c>
      <c r="P105" s="35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轻击",$B$21,0))*(1+IF(VLOOKUP($R105,武学奇术!$A:$ZZ,30,FALSE)="老鼠",$B$22,0))*(1+$BW105)*(1+$BX105)</f>
        <v>10768.3064573989</v>
      </c>
      <c r="Q105" s="36">
        <v>1</v>
      </c>
      <c r="R105" s="37" t="s">
        <v>139</v>
      </c>
      <c r="S105" s="37" t="s">
        <v>91</v>
      </c>
      <c r="T105" s="37" t="s">
        <v>185</v>
      </c>
      <c r="U105" s="37" t="s">
        <v>112</v>
      </c>
      <c r="V105" s="37" t="s">
        <v>113</v>
      </c>
      <c r="W105" s="37" t="s">
        <v>82</v>
      </c>
      <c r="X105" s="37" t="s">
        <v>81</v>
      </c>
      <c r="Y105" s="37" t="s">
        <v>109</v>
      </c>
      <c r="Z105" s="37" t="s">
        <v>83</v>
      </c>
      <c r="AA105" s="37" t="s">
        <v>84</v>
      </c>
      <c r="AB105" s="37" t="s">
        <v>81</v>
      </c>
      <c r="AC105" s="37" t="s">
        <v>81</v>
      </c>
      <c r="AD105" s="37" t="s">
        <v>81</v>
      </c>
      <c r="AE105" s="37" t="s">
        <v>81</v>
      </c>
      <c r="AF105" s="37" t="s">
        <v>81</v>
      </c>
      <c r="AG105" s="37" t="s">
        <v>87</v>
      </c>
      <c r="AH105" s="37" t="s">
        <v>88</v>
      </c>
      <c r="AI105" s="37" t="s">
        <v>81</v>
      </c>
      <c r="AJ105" s="37" t="s">
        <v>81</v>
      </c>
      <c r="AK105" s="37" t="s">
        <v>81</v>
      </c>
      <c r="AL105" s="37" t="s">
        <v>81</v>
      </c>
      <c r="AM105" t="str">
        <f>VLOOKUP($R105,武学奇术!$A:$ZZ,25,FALSE)</f>
        <v>双刀</v>
      </c>
      <c r="AN105" s="23">
        <f>VLOOKUP($R105,武学奇术!$A:$ZZ,26,FALSE)</f>
        <v>0.6472</v>
      </c>
      <c r="AO105" s="24">
        <f>VLOOKUP($R105,武学奇术!$A:$ZZ,27,FALSE)*(1+IF(OR($AM105=$F$4,$AM105=$F$5),$B$23,0))</f>
        <v>288</v>
      </c>
      <c r="AP105" s="23">
        <f>VLOOKUP($R105,武学奇术!$A:$ZZ,28,FALSE)</f>
        <v>0.9708</v>
      </c>
      <c r="AQ105" s="24">
        <f>VLOOKUP($R105,武学奇术!$A:$ZZ,29,FALSE)*(1+IF(OR($AM105=$F$4,$AM105=$F$5),$B$23,0))</f>
        <v>156.8</v>
      </c>
      <c r="AR105" s="23" cm="1">
        <f t="array" ref="AR105">$G$3+IFERROR(VLOOKUP($AM105,$F$4:$G$7,2,FALSE),0)+VLOOKUP($R105,武学奇术!$A:$ZZ,2,FALSE)+SUM(_xlfn.XLOOKUP($S105:$AL105,增益!$A:$A,增益!$B:$B,0))</f>
        <v>0.6243</v>
      </c>
      <c r="AS105" s="23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4150.4</v>
      </c>
      <c r="AU105" cm="1">
        <f t="array" ref="AU105">$E$10*(1+$AS105)+VLOOKUP($R105,武学奇术!$A:$ZZ,4,FALSE)+SUM(_xlfn.XLOOKUP($S105:$AL105,增益!$A:$A,增益!$D:$D,0))-$I$2</f>
        <v>4150.4</v>
      </c>
      <c r="AV105" s="29" cm="1">
        <f t="array" ref="AV105">IF($F$10-$I$3+VLOOKUP($R105,武学奇术!$A:$ZZ,6,FALSE)+SUM(_xlfn.XLOOKUP(S105:AL105,增益!$A:$A,增益!$F:$F,0))&gt;0,($F$10-$I$3+VLOOKUP($R105,武学奇术!$A:$ZZ,6,FALSE)+SUM(_xlfn.XLOOKUP(S105:AL105,增益!$A:$A,增益!$F:$F,0)))/200,($F$10-$I$3+VLOOKUP($R105,武学奇术!$A:$ZZ,6,FALSE)+SUM(_xlfn.XLOOKUP(S105:AL105,增益!$A:$A,增益!$F:$F,0)))/100)</f>
        <v>0.3289</v>
      </c>
      <c r="AW105" s="29" cm="1">
        <f t="array" ref="AW105">$G$10+VLOOKUP($R105,武学奇术!$A:$ZZ,7,FALSE)+SUM(_xlfn.XLOOKUP(S105:AL105,增益!$A:$A,增益!$G:$G,0))</f>
        <v>0.08</v>
      </c>
      <c r="AX105" s="23" cm="1">
        <f t="array" ref="AX105">VLOOKUP($R105,武学奇术!$A:$ZZ,8,FALSE)+SUM(_xlfn.XLOOKUP(S105:AL105,增益!$A:$A,增益!$H:$H,0))</f>
        <v>0</v>
      </c>
      <c r="AY105">
        <f t="shared" si="35"/>
        <v>0</v>
      </c>
      <c r="AZ105">
        <f t="shared" si="36"/>
        <v>0</v>
      </c>
      <c r="BA105" s="29" cm="1">
        <f t="array" ref="BA105">IF($F$11-$I$4+VLOOKUP($R105,武学奇术!$A:$ZZ,9,FALSE)+SUM(_xlfn.XLOOKUP(S105:AL105,增益!$A:$A,增益!$I:$I,0))&gt;0,($F$11-$I$4+VLOOKUP($R105,武学奇术!$A:$ZZ,9,FALSE)+SUM(_xlfn.XLOOKUP(S105:AL105,增益!$A:$A,增益!$I:$I,0)))/200,($F$11-$I$4+VLOOKUP($R105,武学奇术!$A:$ZZ,9,FALSE)+SUM(_xlfn.XLOOKUP(S105:AL105,增益!$A:$A,增益!$I:$I,0)))/100)</f>
        <v>-0.14</v>
      </c>
      <c r="BB105" s="29" cm="1">
        <f t="array" ref="BB105">$G$11+VLOOKUP($R105,武学奇术!$A:$ZZ,10,FALSE)+SUM(_xlfn.XLOOKUP(S105:AL105,增益!$A:$A,增益!$J:$J,0))</f>
        <v>0.02</v>
      </c>
      <c r="BC105">
        <f t="shared" si="37"/>
        <v>0</v>
      </c>
      <c r="BD105">
        <f t="shared" si="38"/>
        <v>0</v>
      </c>
      <c r="BE105" s="29" cm="1">
        <f t="array" ref="BE105">IF($F$12-$I$4+VLOOKUP($R105,武学奇术!$A:$ZZ,11,FALSE)+SUM(_xlfn.XLOOKUP(S105:AL105,增益!$A:$A,增益!$K:$K,0))&gt;0,($F$12-$I$4+VLOOKUP($R105,武学奇术!$A:$ZZ,11,FALSE)+SUM(_xlfn.XLOOKUP(S105:AL105,增益!$A:$A,增益!$K:$K,0)))/200,($F$12-$I$4+VLOOKUP($R105,武学奇术!$A:$ZZ,11,FALSE)+SUM(_xlfn.XLOOKUP(S105:AL105,增益!$A:$A,增益!$K:$K,0)))/100)</f>
        <v>-0.14</v>
      </c>
      <c r="BF105" s="29" cm="1">
        <f t="array" ref="BF105">$G$12+VLOOKUP($R105,武学奇术!$A:$ZZ,12,FALSE)+SUM(_xlfn.XLOOKUP(S105:AL105,增益!$A:$A,增益!$L:$L,0))</f>
        <v>0.02</v>
      </c>
      <c r="BG105">
        <f t="shared" si="39"/>
        <v>0</v>
      </c>
      <c r="BH105">
        <f t="shared" si="40"/>
        <v>0</v>
      </c>
      <c r="BI105" s="29" cm="1">
        <f t="array" ref="BI105">IF($F$13-$I$4+VLOOKUP($R105,武学奇术!$A:$ZZ,13,FALSE)+SUM(_xlfn.XLOOKUP(S105:AL105,增益!$A:$A,增益!$M:$M,0))&gt;0,($F$13-$I$4+VLOOKUP($R105,武学奇术!$A:$ZZ,13,FALSE)+SUM(_xlfn.XLOOKUP(S105:AL105,增益!$A:$A,增益!$K:$K,0)))/200,($F$13-$I$4+VLOOKUP($R105,武学奇术!$A:$ZZ,13,FALSE)+SUM(_xlfn.XLOOKUP(S105:AL105,增益!$A:$A,增益!$M:$M,0)))/100)</f>
        <v>-0.14</v>
      </c>
      <c r="BJ105" s="29" cm="1">
        <f t="array" ref="BJ105">$G$13+VLOOKUP($R105,武学奇术!$A:$ZZ,14,FALSE)+SUM(_xlfn.XLOOKUP(S105:AL105,增益!$A:$A,增益!$N:$N,0))</f>
        <v>0.02</v>
      </c>
      <c r="BK105">
        <f t="shared" si="41"/>
        <v>618.2</v>
      </c>
      <c r="BL105">
        <f t="shared" si="42"/>
        <v>1805</v>
      </c>
      <c r="BM105" s="29" cm="1">
        <f t="array" ref="BM105">IF($F$14-$I$4+VLOOKUP($R105,武学奇术!$A:$ZZ,15,FALSE)+SUM(_xlfn.XLOOKUP(S105:AL105,增益!$A:$A,增益!$O:$O,0))&gt;0,($F$14-$I$4+VLOOKUP($R105,武学奇术!$A:$ZZ,15,FALSE)+SUM(_xlfn.XLOOKUP(S105:AL105,增益!$A:$A,增益!$O:$O,0)))/200,($F$14-$I$4+VLOOKUP($R105,武学奇术!$A:$ZZ,15,FALSE)+SUM(_xlfn.XLOOKUP(S105:AL105,增益!$A:$A,增益!$O:$O,0)))/100)</f>
        <v>0.13</v>
      </c>
      <c r="BN105" s="29" cm="1">
        <f t="array" ref="BN105">$G$14+VLOOKUP($R105,武学奇术!$A:$ZZ,16,FALSE)+SUM(_xlfn.XLOOKUP(S105:AL105,增益!$A:$A,增益!$P:$P,0))</f>
        <v>0.23</v>
      </c>
      <c r="BO105" s="23">
        <f>MIN(IF(VLOOKUP($R105,武学奇术!$A:$ZZ,23,FALSE)=1,100%,$B$8),100%)</f>
        <v>0.9943</v>
      </c>
      <c r="BP105" s="23" cm="1">
        <f t="array" ref="BP105">IF(VLOOKUP($R105,武学奇术!$A:$ZZ,23,FALSE)=1,100%,MIN(80%,$B$9+VLOOKUP($R105,武学奇术!$A:$ZZ,17,FALSE)+SUM(_xlfn.XLOOKUP(S105:AL105,增益!$A:$A,增益!$Q:$Q,0)))+$B$11+SUM(_xlfn.XLOOKUP(S105:AL105,增益!$A:$A,增益!$U:$U,0)))*IF(VLOOKUP($R105,武学奇术!$A:$ZZ,24,FALSE)=1,0,1)</f>
        <v>0.887</v>
      </c>
      <c r="BQ105" s="23" cm="1">
        <f t="array" ref="BQ105">1+$B$13+VLOOKUP($R105,武学奇术!$A:$ZZ,18,FALSE)+SUM(_xlfn.XLOOKUP(S105:AL105,增益!$A:$A,增益!$R:$R,0))</f>
        <v>2.144</v>
      </c>
      <c r="BR105" s="23" cm="1">
        <f t="array" ref="BR105">IF(VLOOKUP($R105,武学奇术!$A:$ZZ,24,FALSE)=1,100%,MIN(40%,$B$10+VLOOKUP($R105,武学奇术!$A:$ZZ,19,FALSE)+SUM(_xlfn.XLOOKUP(S105:AL105,增益!$A:$A,增益!$S:$S,0)))+$B$12+SUM(_xlfn.XLOOKUP(S105:AL105,增益!$A:$A,增益!$V:$V,0)))*IF(VLOOKUP($R105,武学奇术!$A:$ZZ,23,FALSE)=1,0,1)</f>
        <v>0.0913</v>
      </c>
      <c r="BS105" s="23" cm="1">
        <f t="array" ref="BS105">1+$B$14+VLOOKUP($R105,武学奇术!$A:$ZZ,20,FALSE)+SUM(_xlfn.XLOOKUP(S105:AL105,增益!$A:$A,增益!$T:$T,0))</f>
        <v>1.35</v>
      </c>
      <c r="BT105" s="23">
        <f t="shared" si="43"/>
        <v>0.8819441</v>
      </c>
      <c r="BU105" s="23">
        <f t="shared" si="44"/>
        <v>0.0215763099999999</v>
      </c>
      <c r="BV105" s="23">
        <f>IF(VLOOKUP($R105,武学奇术!$A:$ZZ,22,FALSE)=1,0,(1-$BO105))*(1-$BR105)</f>
        <v>0.00517958999999993</v>
      </c>
      <c r="BW105" s="23" cm="1">
        <f t="array" ref="BW105">SUM(_xlfn.XLOOKUP(S105:AL105,增益!$A:$A,增益!$W:$W,0))+$I$5</f>
        <v>0.11</v>
      </c>
      <c r="BX105" s="23">
        <f>VLOOKUP($R105,武学奇术!$A:$ZZ,32,FALSE)</f>
        <v>0.1</v>
      </c>
      <c r="BY105" s="23" cm="1">
        <f t="array" ref="BY105">SUM(_xlfn.XLOOKUP($S105:$AL105,增益!$A:$A,增益!$X:$X,0))</f>
        <v>0</v>
      </c>
    </row>
    <row r="106" spans="1:77">
      <c r="A106" s="93" t="s">
        <v>174</v>
      </c>
      <c r="B106" s="4">
        <v>0.6</v>
      </c>
      <c r="C106" s="36" t="s">
        <v>170</v>
      </c>
      <c r="D106" s="36"/>
      <c r="K106" s="35">
        <f>$L106*VLOOKUP($R106,武学奇术!$A:$ZZ,31,FALSE)</f>
        <v>39607.4814454817</v>
      </c>
      <c r="L106" s="35">
        <f t="shared" si="34"/>
        <v>35363.8227191801</v>
      </c>
      <c r="M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轻击",$B$21,0))*(1+IF(VLOOKUP($R106,武学奇术!$A:$ZZ,30,FALSE)="老鼠",$B$22,0))*(1+$BW106)*(1+$BX106)</f>
        <v>36876.0354920409</v>
      </c>
      <c r="N106" s="35">
        <f>(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轻击",$B$21,0))*(1+IF(VLOOKUP($R106,武学奇术!$A:$ZZ,30,FALSE)="老鼠",$B$22,0))*(1+$BW106))*(1+$BX106)</f>
        <v>26204.620893963</v>
      </c>
      <c r="O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轻击",$B$21,0))*(1+IF(VLOOKUP($R106,武学奇术!$A:$ZZ,30,FALSE)="老鼠",$B$22,0))*(1+$BW106)*(1+$BX106)</f>
        <v>17199.6434197952</v>
      </c>
      <c r="P106" s="35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轻击",$B$21,0))*(1+IF(VLOOKUP($R106,武学奇术!$A:$ZZ,30,FALSE)="老鼠",$B$22,0))*(1+$BW106)*(1+$BX106)</f>
        <v>14988.4565477659</v>
      </c>
      <c r="Q106" s="36">
        <v>1</v>
      </c>
      <c r="R106" s="37" t="s">
        <v>143</v>
      </c>
      <c r="S106" s="37" t="s">
        <v>91</v>
      </c>
      <c r="T106" s="37" t="s">
        <v>185</v>
      </c>
      <c r="U106" s="37" t="s">
        <v>112</v>
      </c>
      <c r="V106" s="37" t="s">
        <v>113</v>
      </c>
      <c r="W106" s="37" t="s">
        <v>82</v>
      </c>
      <c r="X106" s="37" t="s">
        <v>81</v>
      </c>
      <c r="Y106" s="37" t="s">
        <v>109</v>
      </c>
      <c r="Z106" s="37" t="s">
        <v>83</v>
      </c>
      <c r="AA106" s="37" t="s">
        <v>84</v>
      </c>
      <c r="AB106" s="37" t="s">
        <v>81</v>
      </c>
      <c r="AC106" s="37" t="s">
        <v>81</v>
      </c>
      <c r="AD106" s="37" t="s">
        <v>81</v>
      </c>
      <c r="AE106" s="37" t="s">
        <v>81</v>
      </c>
      <c r="AF106" s="37" t="s">
        <v>81</v>
      </c>
      <c r="AG106" s="37" t="s">
        <v>87</v>
      </c>
      <c r="AH106" s="37" t="s">
        <v>88</v>
      </c>
      <c r="AI106" s="37" t="s">
        <v>81</v>
      </c>
      <c r="AJ106" s="37" t="s">
        <v>81</v>
      </c>
      <c r="AK106" s="37" t="s">
        <v>81</v>
      </c>
      <c r="AL106" s="37" t="s">
        <v>81</v>
      </c>
      <c r="AM106" t="str">
        <f>VLOOKUP($R106,武学奇术!$A:$ZZ,25,FALSE)</f>
        <v>双刀</v>
      </c>
      <c r="AN106" s="23">
        <f>VLOOKUP($R106,武学奇术!$A:$ZZ,26,FALSE)</f>
        <v>0.9012</v>
      </c>
      <c r="AO106" s="24">
        <f>VLOOKUP($R106,武学奇术!$A:$ZZ,27,FALSE)*(1+IF(OR($AM106=$F$4,$AM106=$F$5),$B$23,0))</f>
        <v>400</v>
      </c>
      <c r="AP106" s="23">
        <f>VLOOKUP($R106,武学奇术!$A:$ZZ,28,FALSE)</f>
        <v>1.3518</v>
      </c>
      <c r="AQ106" s="24">
        <f>VLOOKUP($R106,武学奇术!$A:$ZZ,29,FALSE)*(1+IF(OR($AM106=$F$4,$AM106=$F$5),$B$23,0))</f>
        <v>217.6</v>
      </c>
      <c r="AR106" s="23" cm="1">
        <f t="array" ref="AR106">$G$3+IFERROR(VLOOKUP($AM106,$F$4:$G$7,2,FALSE),0)+VLOOKUP($R106,武学奇术!$A:$ZZ,2,FALSE)+SUM(_xlfn.XLOOKUP($S106:$AL106,增益!$A:$A,增益!$B:$B,0))</f>
        <v>0.6243</v>
      </c>
      <c r="AS106" s="23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4150.4</v>
      </c>
      <c r="AU106" cm="1">
        <f t="array" ref="AU106">$E$10*(1+$AS106)+VLOOKUP($R106,武学奇术!$A:$ZZ,4,FALSE)+SUM(_xlfn.XLOOKUP($S106:$AL106,增益!$A:$A,增益!$D:$D,0))-$I$2</f>
        <v>4150.4</v>
      </c>
      <c r="AV106" s="29" cm="1">
        <f t="array" ref="AV106">IF($F$10-$I$3+VLOOKUP($R106,武学奇术!$A:$ZZ,6,FALSE)+SUM(_xlfn.XLOOKUP(S106:AL106,增益!$A:$A,增益!$F:$F,0))&gt;0,($F$10-$I$3+VLOOKUP($R106,武学奇术!$A:$ZZ,6,FALSE)+SUM(_xlfn.XLOOKUP(S106:AL106,增益!$A:$A,增益!$F:$F,0)))/200,($F$10-$I$3+VLOOKUP($R106,武学奇术!$A:$ZZ,6,FALSE)+SUM(_xlfn.XLOOKUP(S106:AL106,增益!$A:$A,增益!$F:$F,0)))/100)</f>
        <v>0.3289</v>
      </c>
      <c r="AW106" s="29" cm="1">
        <f t="array" ref="AW106">$G$10+VLOOKUP($R106,武学奇术!$A:$ZZ,7,FALSE)+SUM(_xlfn.XLOOKUP(S106:AL106,增益!$A:$A,增益!$G:$G,0))</f>
        <v>0.08</v>
      </c>
      <c r="AX106" s="23" cm="1">
        <f t="array" ref="AX106">VLOOKUP($R106,武学奇术!$A:$ZZ,8,FALSE)+SUM(_xlfn.XLOOKUP(S106:AL106,增益!$A:$A,增益!$H:$H,0))</f>
        <v>0</v>
      </c>
      <c r="AY106">
        <f t="shared" si="35"/>
        <v>0</v>
      </c>
      <c r="AZ106">
        <f t="shared" si="36"/>
        <v>0</v>
      </c>
      <c r="BA106" s="29" cm="1">
        <f t="array" ref="BA106">IF($F$11-$I$4+VLOOKUP($R106,武学奇术!$A:$ZZ,9,FALSE)+SUM(_xlfn.XLOOKUP(S106:AL106,增益!$A:$A,增益!$I:$I,0))&gt;0,($F$11-$I$4+VLOOKUP($R106,武学奇术!$A:$ZZ,9,FALSE)+SUM(_xlfn.XLOOKUP(S106:AL106,增益!$A:$A,增益!$I:$I,0)))/200,($F$11-$I$4+VLOOKUP($R106,武学奇术!$A:$ZZ,9,FALSE)+SUM(_xlfn.XLOOKUP(S106:AL106,增益!$A:$A,增益!$I:$I,0)))/100)</f>
        <v>-0.14</v>
      </c>
      <c r="BB106" s="29" cm="1">
        <f t="array" ref="BB106">$G$11+VLOOKUP($R106,武学奇术!$A:$ZZ,10,FALSE)+SUM(_xlfn.XLOOKUP(S106:AL106,增益!$A:$A,增益!$J:$J,0))</f>
        <v>0.02</v>
      </c>
      <c r="BC106">
        <f t="shared" si="37"/>
        <v>0</v>
      </c>
      <c r="BD106">
        <f t="shared" si="38"/>
        <v>0</v>
      </c>
      <c r="BE106" s="29" cm="1">
        <f t="array" ref="BE106">IF($F$12-$I$4+VLOOKUP($R106,武学奇术!$A:$ZZ,11,FALSE)+SUM(_xlfn.XLOOKUP(S106:AL106,增益!$A:$A,增益!$K:$K,0))&gt;0,($F$12-$I$4+VLOOKUP($R106,武学奇术!$A:$ZZ,11,FALSE)+SUM(_xlfn.XLOOKUP(S106:AL106,增益!$A:$A,增益!$K:$K,0)))/200,($F$12-$I$4+VLOOKUP($R106,武学奇术!$A:$ZZ,11,FALSE)+SUM(_xlfn.XLOOKUP(S106:AL106,增益!$A:$A,增益!$K:$K,0)))/100)</f>
        <v>-0.14</v>
      </c>
      <c r="BF106" s="29" cm="1">
        <f t="array" ref="BF106">$G$12+VLOOKUP($R106,武学奇术!$A:$ZZ,12,FALSE)+SUM(_xlfn.XLOOKUP(S106:AL106,增益!$A:$A,增益!$L:$L,0))</f>
        <v>0.02</v>
      </c>
      <c r="BG106">
        <f t="shared" si="39"/>
        <v>0</v>
      </c>
      <c r="BH106">
        <f t="shared" si="40"/>
        <v>0</v>
      </c>
      <c r="BI106" s="29" cm="1">
        <f t="array" ref="BI106">IF($F$13-$I$4+VLOOKUP($R106,武学奇术!$A:$ZZ,13,FALSE)+SUM(_xlfn.XLOOKUP(S106:AL106,增益!$A:$A,增益!$M:$M,0))&gt;0,($F$13-$I$4+VLOOKUP($R106,武学奇术!$A:$ZZ,13,FALSE)+SUM(_xlfn.XLOOKUP(S106:AL106,增益!$A:$A,增益!$K:$K,0)))/200,($F$13-$I$4+VLOOKUP($R106,武学奇术!$A:$ZZ,13,FALSE)+SUM(_xlfn.XLOOKUP(S106:AL106,增益!$A:$A,增益!$M:$M,0)))/100)</f>
        <v>-0.14</v>
      </c>
      <c r="BJ106" s="29" cm="1">
        <f t="array" ref="BJ106">$G$13+VLOOKUP($R106,武学奇术!$A:$ZZ,14,FALSE)+SUM(_xlfn.XLOOKUP(S106:AL106,增益!$A:$A,增益!$N:$N,0))</f>
        <v>0.02</v>
      </c>
      <c r="BK106">
        <f t="shared" si="41"/>
        <v>618.2</v>
      </c>
      <c r="BL106">
        <f t="shared" si="42"/>
        <v>1805</v>
      </c>
      <c r="BM106" s="29" cm="1">
        <f t="array" ref="BM106">IF($F$14-$I$4+VLOOKUP($R106,武学奇术!$A:$ZZ,15,FALSE)+SUM(_xlfn.XLOOKUP(S106:AL106,增益!$A:$A,增益!$O:$O,0))&gt;0,($F$14-$I$4+VLOOKUP($R106,武学奇术!$A:$ZZ,15,FALSE)+SUM(_xlfn.XLOOKUP(S106:AL106,增益!$A:$A,增益!$O:$O,0)))/200,($F$14-$I$4+VLOOKUP($R106,武学奇术!$A:$ZZ,15,FALSE)+SUM(_xlfn.XLOOKUP(S106:AL106,增益!$A:$A,增益!$O:$O,0)))/100)</f>
        <v>0.13</v>
      </c>
      <c r="BN106" s="29" cm="1">
        <f t="array" ref="BN106">$G$14+VLOOKUP($R106,武学奇术!$A:$ZZ,16,FALSE)+SUM(_xlfn.XLOOKUP(S106:AL106,增益!$A:$A,增益!$P:$P,0))</f>
        <v>0.23</v>
      </c>
      <c r="BO106" s="23">
        <f>MIN(IF(VLOOKUP($R106,武学奇术!$A:$ZZ,23,FALSE)=1,100%,$B$8),100%)</f>
        <v>0.9943</v>
      </c>
      <c r="BP106" s="23" cm="1">
        <f t="array" ref="BP106">IF(VLOOKUP($R106,武学奇术!$A:$ZZ,23,FALSE)=1,100%,MIN(80%,$B$9+VLOOKUP($R106,武学奇术!$A:$ZZ,17,FALSE)+SUM(_xlfn.XLOOKUP(S106:AL106,增益!$A:$A,增益!$Q:$Q,0)))+$B$11+SUM(_xlfn.XLOOKUP(S106:AL106,增益!$A:$A,增益!$U:$U,0)))*IF(VLOOKUP($R106,武学奇术!$A:$ZZ,24,FALSE)=1,0,1)</f>
        <v>0.887</v>
      </c>
      <c r="BQ106" s="23" cm="1">
        <f t="array" ref="BQ106">1+$B$13+VLOOKUP($R106,武学奇术!$A:$ZZ,18,FALSE)+SUM(_xlfn.XLOOKUP(S106:AL106,增益!$A:$A,增益!$R:$R,0))</f>
        <v>2.144</v>
      </c>
      <c r="BR106" s="23" cm="1">
        <f t="array" ref="BR106">IF(VLOOKUP($R106,武学奇术!$A:$ZZ,24,FALSE)=1,100%,MIN(40%,$B$10+VLOOKUP($R106,武学奇术!$A:$ZZ,19,FALSE)+SUM(_xlfn.XLOOKUP(S106:AL106,增益!$A:$A,增益!$S:$S,0)))+$B$12+SUM(_xlfn.XLOOKUP(S106:AL106,增益!$A:$A,增益!$V:$V,0)))*IF(VLOOKUP($R106,武学奇术!$A:$ZZ,23,FALSE)=1,0,1)</f>
        <v>0.0913</v>
      </c>
      <c r="BS106" s="23" cm="1">
        <f t="array" ref="BS106">1+$B$14+VLOOKUP($R106,武学奇术!$A:$ZZ,20,FALSE)+SUM(_xlfn.XLOOKUP(S106:AL106,增益!$A:$A,增益!$T:$T,0))</f>
        <v>1.35</v>
      </c>
      <c r="BT106" s="23">
        <f t="shared" si="43"/>
        <v>0.8819441</v>
      </c>
      <c r="BU106" s="23">
        <f t="shared" si="44"/>
        <v>0.0215763099999999</v>
      </c>
      <c r="BV106" s="23">
        <f>IF(VLOOKUP($R106,武学奇术!$A:$ZZ,22,FALSE)=1,0,(1-$BO106))*(1-$BR106)</f>
        <v>0.00517958999999993</v>
      </c>
      <c r="BW106" s="23" cm="1">
        <f t="array" ref="BW106">SUM(_xlfn.XLOOKUP(S106:AL106,增益!$A:$A,增益!$W:$W,0))+$I$5</f>
        <v>0.11</v>
      </c>
      <c r="BX106" s="23">
        <f>VLOOKUP($R106,武学奇术!$A:$ZZ,32,FALSE)</f>
        <v>0.1</v>
      </c>
      <c r="BY106" s="23" cm="1">
        <f t="array" ref="BY106">SUM(_xlfn.XLOOKUP($S106:$AL106,增益!$A:$A,增益!$X:$X,0))</f>
        <v>0</v>
      </c>
    </row>
    <row r="107" spans="1:77">
      <c r="A107" s="93">
        <v>12345</v>
      </c>
      <c r="B107">
        <v>3.3</v>
      </c>
      <c r="C107" s="36"/>
      <c r="D107" s="36"/>
      <c r="K107" s="35">
        <f>$L107*VLOOKUP($R107,武学奇术!$A:$ZZ,31,FALSE)</f>
        <v>63527.6534239267</v>
      </c>
      <c r="L107" s="35">
        <f t="shared" si="34"/>
        <v>56721.119128506</v>
      </c>
      <c r="M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轻击",$B$21,0))*(1+IF(VLOOKUP($R107,武学奇术!$A:$ZZ,30,FALSE)="老鼠",$B$22,0))*(1+$BW107)*(1+$BX107)</f>
        <v>59146.5819244662</v>
      </c>
      <c r="N107" s="35">
        <f>(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轻击",$B$21,0))*(1+IF(VLOOKUP($R107,武学奇术!$A:$ZZ,30,FALSE)="老鼠",$B$22,0))*(1+$BW107))*(1+$BX107)</f>
        <v>42030.6162725015</v>
      </c>
      <c r="O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轻击",$B$21,0))*(1+IF(VLOOKUP($R107,武学奇术!$A:$ZZ,30,FALSE)="老鼠",$B$22,0))*(1+$BW107)*(1+$BX107)</f>
        <v>27587.0251513368</v>
      </c>
      <c r="P107" s="35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轻击",$B$21,0))*(1+IF(VLOOKUP($R107,武学奇术!$A:$ZZ,30,FALSE)="老鼠",$B$22,0))*(1+$BW107)*(1+$BX107)</f>
        <v>24040.2604711911</v>
      </c>
      <c r="Q107" s="36">
        <v>1</v>
      </c>
      <c r="R107" s="37" t="s">
        <v>148</v>
      </c>
      <c r="S107" s="37" t="s">
        <v>91</v>
      </c>
      <c r="T107" s="37" t="s">
        <v>185</v>
      </c>
      <c r="U107" s="37" t="s">
        <v>112</v>
      </c>
      <c r="V107" s="37" t="s">
        <v>113</v>
      </c>
      <c r="W107" s="37" t="s">
        <v>82</v>
      </c>
      <c r="X107" s="37" t="s">
        <v>81</v>
      </c>
      <c r="Y107" s="37" t="s">
        <v>109</v>
      </c>
      <c r="Z107" s="37" t="s">
        <v>83</v>
      </c>
      <c r="AA107" s="37" t="s">
        <v>84</v>
      </c>
      <c r="AB107" s="37" t="s">
        <v>81</v>
      </c>
      <c r="AC107" s="37" t="s">
        <v>81</v>
      </c>
      <c r="AD107" s="37" t="s">
        <v>81</v>
      </c>
      <c r="AE107" s="37" t="s">
        <v>81</v>
      </c>
      <c r="AF107" s="37" t="s">
        <v>81</v>
      </c>
      <c r="AG107" s="37" t="s">
        <v>87</v>
      </c>
      <c r="AH107" s="37" t="s">
        <v>88</v>
      </c>
      <c r="AI107" s="37" t="s">
        <v>81</v>
      </c>
      <c r="AJ107" s="37" t="s">
        <v>81</v>
      </c>
      <c r="AK107" s="37" t="s">
        <v>81</v>
      </c>
      <c r="AL107" s="37" t="s">
        <v>81</v>
      </c>
      <c r="AM107" t="str">
        <f>VLOOKUP($R107,武学奇术!$A:$ZZ,25,FALSE)</f>
        <v>双刀</v>
      </c>
      <c r="AN107" s="23">
        <f>VLOOKUP($R107,武学奇术!$A:$ZZ,26,FALSE)</f>
        <v>1.4455</v>
      </c>
      <c r="AO107" s="24">
        <f>VLOOKUP($R107,武学奇术!$A:$ZZ,27,FALSE)*(1+IF(OR($AM107=$F$4,$AM107=$F$5),$B$23,0))</f>
        <v>641.6</v>
      </c>
      <c r="AP107" s="23">
        <f>VLOOKUP($R107,武学奇术!$A:$ZZ,28,FALSE)</f>
        <v>2.1683</v>
      </c>
      <c r="AQ107" s="24">
        <f>VLOOKUP($R107,武学奇术!$A:$ZZ,29,FALSE)*(1+IF(OR($AM107=$F$4,$AM107=$F$5),$B$23,0))</f>
        <v>348.8</v>
      </c>
      <c r="AR107" s="23" cm="1">
        <f t="array" ref="AR107">$G$3+IFERROR(VLOOKUP($AM107,$F$4:$G$7,2,FALSE),0)+VLOOKUP($R107,武学奇术!$A:$ZZ,2,FALSE)+SUM(_xlfn.XLOOKUP($S107:$AL107,增益!$A:$A,增益!$B:$B,0))</f>
        <v>0.6243</v>
      </c>
      <c r="AS107" s="23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4150.4</v>
      </c>
      <c r="AU107" cm="1">
        <f t="array" ref="AU107">$E$10*(1+$AS107)+VLOOKUP($R107,武学奇术!$A:$ZZ,4,FALSE)+SUM(_xlfn.XLOOKUP($S107:$AL107,增益!$A:$A,增益!$D:$D,0))-$I$2</f>
        <v>4150.4</v>
      </c>
      <c r="AV107" s="29" cm="1">
        <f t="array" ref="AV107">IF($F$10-$I$3+VLOOKUP($R107,武学奇术!$A:$ZZ,6,FALSE)+SUM(_xlfn.XLOOKUP(S107:AL107,增益!$A:$A,增益!$F:$F,0))&gt;0,($F$10-$I$3+VLOOKUP($R107,武学奇术!$A:$ZZ,6,FALSE)+SUM(_xlfn.XLOOKUP(S107:AL107,增益!$A:$A,增益!$F:$F,0)))/200,($F$10-$I$3+VLOOKUP($R107,武学奇术!$A:$ZZ,6,FALSE)+SUM(_xlfn.XLOOKUP(S107:AL107,增益!$A:$A,增益!$F:$F,0)))/100)</f>
        <v>0.3289</v>
      </c>
      <c r="AW107" s="29" cm="1">
        <f t="array" ref="AW107">$G$10+VLOOKUP($R107,武学奇术!$A:$ZZ,7,FALSE)+SUM(_xlfn.XLOOKUP(S107:AL107,增益!$A:$A,增益!$G:$G,0))</f>
        <v>0.08</v>
      </c>
      <c r="AX107" s="23" cm="1">
        <f t="array" ref="AX107">VLOOKUP($R107,武学奇术!$A:$ZZ,8,FALSE)+SUM(_xlfn.XLOOKUP(S107:AL107,增益!$A:$A,增益!$H:$H,0))</f>
        <v>0</v>
      </c>
      <c r="AY107">
        <f t="shared" si="35"/>
        <v>0</v>
      </c>
      <c r="AZ107">
        <f t="shared" si="36"/>
        <v>0</v>
      </c>
      <c r="BA107" s="29" cm="1">
        <f t="array" ref="BA107">IF($F$11-$I$4+VLOOKUP($R107,武学奇术!$A:$ZZ,9,FALSE)+SUM(_xlfn.XLOOKUP(S107:AL107,增益!$A:$A,增益!$I:$I,0))&gt;0,($F$11-$I$4+VLOOKUP($R107,武学奇术!$A:$ZZ,9,FALSE)+SUM(_xlfn.XLOOKUP(S107:AL107,增益!$A:$A,增益!$I:$I,0)))/200,($F$11-$I$4+VLOOKUP($R107,武学奇术!$A:$ZZ,9,FALSE)+SUM(_xlfn.XLOOKUP(S107:AL107,增益!$A:$A,增益!$I:$I,0)))/100)</f>
        <v>-0.14</v>
      </c>
      <c r="BB107" s="29" cm="1">
        <f t="array" ref="BB107">$G$11+VLOOKUP($R107,武学奇术!$A:$ZZ,10,FALSE)+SUM(_xlfn.XLOOKUP(S107:AL107,增益!$A:$A,增益!$J:$J,0))</f>
        <v>0.02</v>
      </c>
      <c r="BC107">
        <f t="shared" si="37"/>
        <v>0</v>
      </c>
      <c r="BD107">
        <f t="shared" si="38"/>
        <v>0</v>
      </c>
      <c r="BE107" s="29" cm="1">
        <f t="array" ref="BE107">IF($F$12-$I$4+VLOOKUP($R107,武学奇术!$A:$ZZ,11,FALSE)+SUM(_xlfn.XLOOKUP(S107:AL107,增益!$A:$A,增益!$K:$K,0))&gt;0,($F$12-$I$4+VLOOKUP($R107,武学奇术!$A:$ZZ,11,FALSE)+SUM(_xlfn.XLOOKUP(S107:AL107,增益!$A:$A,增益!$K:$K,0)))/200,($F$12-$I$4+VLOOKUP($R107,武学奇术!$A:$ZZ,11,FALSE)+SUM(_xlfn.XLOOKUP(S107:AL107,增益!$A:$A,增益!$K:$K,0)))/100)</f>
        <v>-0.14</v>
      </c>
      <c r="BF107" s="29" cm="1">
        <f t="array" ref="BF107">$G$12+VLOOKUP($R107,武学奇术!$A:$ZZ,12,FALSE)+SUM(_xlfn.XLOOKUP(S107:AL107,增益!$A:$A,增益!$L:$L,0))</f>
        <v>0.02</v>
      </c>
      <c r="BG107">
        <f t="shared" si="39"/>
        <v>0</v>
      </c>
      <c r="BH107">
        <f t="shared" si="40"/>
        <v>0</v>
      </c>
      <c r="BI107" s="29" cm="1">
        <f t="array" ref="BI107">IF($F$13-$I$4+VLOOKUP($R107,武学奇术!$A:$ZZ,13,FALSE)+SUM(_xlfn.XLOOKUP(S107:AL107,增益!$A:$A,增益!$M:$M,0))&gt;0,($F$13-$I$4+VLOOKUP($R107,武学奇术!$A:$ZZ,13,FALSE)+SUM(_xlfn.XLOOKUP(S107:AL107,增益!$A:$A,增益!$K:$K,0)))/200,($F$13-$I$4+VLOOKUP($R107,武学奇术!$A:$ZZ,13,FALSE)+SUM(_xlfn.XLOOKUP(S107:AL107,增益!$A:$A,增益!$M:$M,0)))/100)</f>
        <v>-0.14</v>
      </c>
      <c r="BJ107" s="29" cm="1">
        <f t="array" ref="BJ107">$G$13+VLOOKUP($R107,武学奇术!$A:$ZZ,14,FALSE)+SUM(_xlfn.XLOOKUP(S107:AL107,增益!$A:$A,增益!$N:$N,0))</f>
        <v>0.02</v>
      </c>
      <c r="BK107">
        <f t="shared" si="41"/>
        <v>618.2</v>
      </c>
      <c r="BL107">
        <f t="shared" si="42"/>
        <v>1805</v>
      </c>
      <c r="BM107" s="29" cm="1">
        <f t="array" ref="BM107">IF($F$14-$I$4+VLOOKUP($R107,武学奇术!$A:$ZZ,15,FALSE)+SUM(_xlfn.XLOOKUP(S107:AL107,增益!$A:$A,增益!$O:$O,0))&gt;0,($F$14-$I$4+VLOOKUP($R107,武学奇术!$A:$ZZ,15,FALSE)+SUM(_xlfn.XLOOKUP(S107:AL107,增益!$A:$A,增益!$O:$O,0)))/200,($F$14-$I$4+VLOOKUP($R107,武学奇术!$A:$ZZ,15,FALSE)+SUM(_xlfn.XLOOKUP(S107:AL107,增益!$A:$A,增益!$O:$O,0)))/100)</f>
        <v>0.13</v>
      </c>
      <c r="BN107" s="29" cm="1">
        <f t="array" ref="BN107">$G$14+VLOOKUP($R107,武学奇术!$A:$ZZ,16,FALSE)+SUM(_xlfn.XLOOKUP(S107:AL107,增益!$A:$A,增益!$P:$P,0))</f>
        <v>0.23</v>
      </c>
      <c r="BO107" s="23">
        <f>MIN(IF(VLOOKUP($R107,武学奇术!$A:$ZZ,23,FALSE)=1,100%,$B$8),100%)</f>
        <v>0.9943</v>
      </c>
      <c r="BP107" s="23" cm="1">
        <f t="array" ref="BP107">IF(VLOOKUP($R107,武学奇术!$A:$ZZ,23,FALSE)=1,100%,MIN(80%,$B$9+VLOOKUP($R107,武学奇术!$A:$ZZ,17,FALSE)+SUM(_xlfn.XLOOKUP(S107:AL107,增益!$A:$A,增益!$Q:$Q,0)))+$B$11+SUM(_xlfn.XLOOKUP(S107:AL107,增益!$A:$A,增益!$U:$U,0)))*IF(VLOOKUP($R107,武学奇术!$A:$ZZ,24,FALSE)=1,0,1)</f>
        <v>0.887</v>
      </c>
      <c r="BQ107" s="23" cm="1">
        <f t="array" ref="BQ107">1+$B$13+VLOOKUP($R107,武学奇术!$A:$ZZ,18,FALSE)+SUM(_xlfn.XLOOKUP(S107:AL107,增益!$A:$A,增益!$R:$R,0))</f>
        <v>2.144</v>
      </c>
      <c r="BR107" s="23" cm="1">
        <f t="array" ref="BR107">IF(VLOOKUP($R107,武学奇术!$A:$ZZ,24,FALSE)=1,100%,MIN(40%,$B$10+VLOOKUP($R107,武学奇术!$A:$ZZ,19,FALSE)+SUM(_xlfn.XLOOKUP(S107:AL107,增益!$A:$A,增益!$S:$S,0)))+$B$12+SUM(_xlfn.XLOOKUP(S107:AL107,增益!$A:$A,增益!$V:$V,0)))*IF(VLOOKUP($R107,武学奇术!$A:$ZZ,23,FALSE)=1,0,1)</f>
        <v>0.0913</v>
      </c>
      <c r="BS107" s="23" cm="1">
        <f t="array" ref="BS107">1+$B$14+VLOOKUP($R107,武学奇术!$A:$ZZ,20,FALSE)+SUM(_xlfn.XLOOKUP(S107:AL107,增益!$A:$A,增益!$T:$T,0))</f>
        <v>1.35</v>
      </c>
      <c r="BT107" s="23">
        <f t="shared" si="43"/>
        <v>0.8819441</v>
      </c>
      <c r="BU107" s="23">
        <f t="shared" si="44"/>
        <v>0.0215763099999999</v>
      </c>
      <c r="BV107" s="23">
        <f>IF(VLOOKUP($R107,武学奇术!$A:$ZZ,22,FALSE)=1,0,(1-$BO107))*(1-$BR107)</f>
        <v>0.00517958999999993</v>
      </c>
      <c r="BW107" s="23" cm="1">
        <f t="array" ref="BW107">SUM(_xlfn.XLOOKUP(S107:AL107,增益!$A:$A,增益!$W:$W,0))+$I$5</f>
        <v>0.11</v>
      </c>
      <c r="BX107" s="23">
        <f>VLOOKUP($R107,武学奇术!$A:$ZZ,32,FALSE)</f>
        <v>0.1</v>
      </c>
      <c r="BY107" s="23" cm="1">
        <f t="array" ref="BY107">SUM(_xlfn.XLOOKUP($S107:$AL107,增益!$A:$A,增益!$X:$X,0))</f>
        <v>0</v>
      </c>
    </row>
    <row r="108" spans="1:77">
      <c r="A108" s="93" t="s">
        <v>174</v>
      </c>
      <c r="B108" s="4">
        <v>0.6</v>
      </c>
      <c r="C108" s="36"/>
      <c r="D108" s="36"/>
      <c r="E108" t="s">
        <v>171</v>
      </c>
      <c r="K108" s="35">
        <f>$L108*VLOOKUP($R108,武学奇术!$A:$ZZ,31,FALSE)</f>
        <v>76283.2156488524</v>
      </c>
      <c r="L108" s="35">
        <f t="shared" si="34"/>
        <v>68110.0139721897</v>
      </c>
      <c r="M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轻击",$B$21,0))*(1+IF(VLOOKUP($R108,武学奇术!$A:$ZZ,30,FALSE)="老鼠",$B$22,0))*(1+$BW108)*(1+$BX108)</f>
        <v>71022.4729509511</v>
      </c>
      <c r="N108" s="35">
        <f>(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轻击",$B$21,0))*(1+IF(VLOOKUP($R108,武学奇术!$A:$ZZ,30,FALSE)="老鼠",$B$22,0))*(1+$BW108))*(1+$BX108)</f>
        <v>50469.9082525013</v>
      </c>
      <c r="O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轻击",$B$21,0))*(1+IF(VLOOKUP($R108,武学奇术!$A:$ZZ,30,FALSE)="老鼠",$B$22,0))*(1+$BW108)*(1+$BX108)</f>
        <v>33126.1534286153</v>
      </c>
      <c r="P108" s="35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轻击",$B$21,0))*(1+IF(VLOOKUP($R108,武学奇术!$A:$ZZ,30,FALSE)="老鼠",$B$22,0))*(1+$BW108)*(1+$BX108)</f>
        <v>28867.1896331555</v>
      </c>
      <c r="Q108" s="36">
        <v>1</v>
      </c>
      <c r="R108" s="37" t="s">
        <v>153</v>
      </c>
      <c r="S108" s="37" t="s">
        <v>91</v>
      </c>
      <c r="T108" s="37" t="s">
        <v>185</v>
      </c>
      <c r="U108" s="37" t="s">
        <v>112</v>
      </c>
      <c r="V108" s="37" t="s">
        <v>113</v>
      </c>
      <c r="W108" s="37" t="s">
        <v>82</v>
      </c>
      <c r="X108" s="37" t="s">
        <v>81</v>
      </c>
      <c r="Y108" s="37" t="s">
        <v>109</v>
      </c>
      <c r="Z108" s="37" t="s">
        <v>83</v>
      </c>
      <c r="AA108" s="37" t="s">
        <v>84</v>
      </c>
      <c r="AB108" s="37" t="s">
        <v>81</v>
      </c>
      <c r="AC108" s="37" t="s">
        <v>81</v>
      </c>
      <c r="AD108" s="37" t="s">
        <v>81</v>
      </c>
      <c r="AE108" s="37" t="s">
        <v>81</v>
      </c>
      <c r="AF108" s="37" t="s">
        <v>81</v>
      </c>
      <c r="AG108" s="37" t="s">
        <v>87</v>
      </c>
      <c r="AH108" s="37" t="s">
        <v>88</v>
      </c>
      <c r="AI108" s="37" t="s">
        <v>81</v>
      </c>
      <c r="AJ108" s="37" t="s">
        <v>81</v>
      </c>
      <c r="AK108" s="37" t="s">
        <v>81</v>
      </c>
      <c r="AL108" s="37" t="s">
        <v>81</v>
      </c>
      <c r="AM108" t="str">
        <f>VLOOKUP($R108,武学奇术!$A:$ZZ,25,FALSE)</f>
        <v>双刀</v>
      </c>
      <c r="AN108" s="23">
        <f>VLOOKUP($R108,武学奇术!$A:$ZZ,26,FALSE)</f>
        <v>1.7358</v>
      </c>
      <c r="AO108" s="24">
        <f>VLOOKUP($R108,武学奇术!$A:$ZZ,27,FALSE)*(1+IF(OR($AM108=$F$4,$AM108=$F$5),$B$23,0))</f>
        <v>769.6</v>
      </c>
      <c r="AP108" s="23">
        <f>VLOOKUP($R108,武学奇术!$A:$ZZ,28,FALSE)</f>
        <v>2.6037</v>
      </c>
      <c r="AQ108" s="24">
        <f>VLOOKUP($R108,武学奇术!$A:$ZZ,29,FALSE)*(1+IF(OR($AM108=$F$4,$AM108=$F$5),$B$23,0))</f>
        <v>419.2</v>
      </c>
      <c r="AR108" s="23" cm="1">
        <f t="array" ref="AR108">$G$3+IFERROR(VLOOKUP($AM108,$F$4:$G$7,2,FALSE),0)+VLOOKUP($R108,武学奇术!$A:$ZZ,2,FALSE)+SUM(_xlfn.XLOOKUP($S108:$AL108,增益!$A:$A,增益!$B:$B,0))</f>
        <v>0.6243</v>
      </c>
      <c r="AS108" s="23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4150.4</v>
      </c>
      <c r="AU108" cm="1">
        <f t="array" ref="AU108">$E$10*(1+$AS108)+VLOOKUP($R108,武学奇术!$A:$ZZ,4,FALSE)+SUM(_xlfn.XLOOKUP($S108:$AL108,增益!$A:$A,增益!$D:$D,0))-$I$2</f>
        <v>4150.4</v>
      </c>
      <c r="AV108" s="29" cm="1">
        <f t="array" ref="AV108">IF($F$10-$I$3+VLOOKUP($R108,武学奇术!$A:$ZZ,6,FALSE)+SUM(_xlfn.XLOOKUP(S108:AL108,增益!$A:$A,增益!$F:$F,0))&gt;0,($F$10-$I$3+VLOOKUP($R108,武学奇术!$A:$ZZ,6,FALSE)+SUM(_xlfn.XLOOKUP(S108:AL108,增益!$A:$A,增益!$F:$F,0)))/200,($F$10-$I$3+VLOOKUP($R108,武学奇术!$A:$ZZ,6,FALSE)+SUM(_xlfn.XLOOKUP(S108:AL108,增益!$A:$A,增益!$F:$F,0)))/100)</f>
        <v>0.3289</v>
      </c>
      <c r="AW108" s="29" cm="1">
        <f t="array" ref="AW108">$G$10+VLOOKUP($R108,武学奇术!$A:$ZZ,7,FALSE)+SUM(_xlfn.XLOOKUP(S108:AL108,增益!$A:$A,增益!$G:$G,0))</f>
        <v>0.08</v>
      </c>
      <c r="AX108" s="23" cm="1">
        <f t="array" ref="AX108">VLOOKUP($R108,武学奇术!$A:$ZZ,8,FALSE)+SUM(_xlfn.XLOOKUP(S108:AL108,增益!$A:$A,增益!$H:$H,0))</f>
        <v>0</v>
      </c>
      <c r="AY108">
        <f t="shared" si="35"/>
        <v>0</v>
      </c>
      <c r="AZ108">
        <f t="shared" si="36"/>
        <v>0</v>
      </c>
      <c r="BA108" s="29" cm="1">
        <f t="array" ref="BA108">IF($F$11-$I$4+VLOOKUP($R108,武学奇术!$A:$ZZ,9,FALSE)+SUM(_xlfn.XLOOKUP(S108:AL108,增益!$A:$A,增益!$I:$I,0))&gt;0,($F$11-$I$4+VLOOKUP($R108,武学奇术!$A:$ZZ,9,FALSE)+SUM(_xlfn.XLOOKUP(S108:AL108,增益!$A:$A,增益!$I:$I,0)))/200,($F$11-$I$4+VLOOKUP($R108,武学奇术!$A:$ZZ,9,FALSE)+SUM(_xlfn.XLOOKUP(S108:AL108,增益!$A:$A,增益!$I:$I,0)))/100)</f>
        <v>-0.14</v>
      </c>
      <c r="BB108" s="29" cm="1">
        <f t="array" ref="BB108">$G$11+VLOOKUP($R108,武学奇术!$A:$ZZ,10,FALSE)+SUM(_xlfn.XLOOKUP(S108:AL108,增益!$A:$A,增益!$J:$J,0))</f>
        <v>0.02</v>
      </c>
      <c r="BC108">
        <f t="shared" si="37"/>
        <v>0</v>
      </c>
      <c r="BD108">
        <f t="shared" si="38"/>
        <v>0</v>
      </c>
      <c r="BE108" s="29" cm="1">
        <f t="array" ref="BE108">IF($F$12-$I$4+VLOOKUP($R108,武学奇术!$A:$ZZ,11,FALSE)+SUM(_xlfn.XLOOKUP(S108:AL108,增益!$A:$A,增益!$K:$K,0))&gt;0,($F$12-$I$4+VLOOKUP($R108,武学奇术!$A:$ZZ,11,FALSE)+SUM(_xlfn.XLOOKUP(S108:AL108,增益!$A:$A,增益!$K:$K,0)))/200,($F$12-$I$4+VLOOKUP($R108,武学奇术!$A:$ZZ,11,FALSE)+SUM(_xlfn.XLOOKUP(S108:AL108,增益!$A:$A,增益!$K:$K,0)))/100)</f>
        <v>-0.14</v>
      </c>
      <c r="BF108" s="29" cm="1">
        <f t="array" ref="BF108">$G$12+VLOOKUP($R108,武学奇术!$A:$ZZ,12,FALSE)+SUM(_xlfn.XLOOKUP(S108:AL108,增益!$A:$A,增益!$L:$L,0))</f>
        <v>0.02</v>
      </c>
      <c r="BG108">
        <f t="shared" si="39"/>
        <v>0</v>
      </c>
      <c r="BH108">
        <f t="shared" si="40"/>
        <v>0</v>
      </c>
      <c r="BI108" s="29" cm="1">
        <f t="array" ref="BI108">IF($F$13-$I$4+VLOOKUP($R108,武学奇术!$A:$ZZ,13,FALSE)+SUM(_xlfn.XLOOKUP(S108:AL108,增益!$A:$A,增益!$M:$M,0))&gt;0,($F$13-$I$4+VLOOKUP($R108,武学奇术!$A:$ZZ,13,FALSE)+SUM(_xlfn.XLOOKUP(S108:AL108,增益!$A:$A,增益!$K:$K,0)))/200,($F$13-$I$4+VLOOKUP($R108,武学奇术!$A:$ZZ,13,FALSE)+SUM(_xlfn.XLOOKUP(S108:AL108,增益!$A:$A,增益!$M:$M,0)))/100)</f>
        <v>-0.14</v>
      </c>
      <c r="BJ108" s="29" cm="1">
        <f t="array" ref="BJ108">$G$13+VLOOKUP($R108,武学奇术!$A:$ZZ,14,FALSE)+SUM(_xlfn.XLOOKUP(S108:AL108,增益!$A:$A,增益!$N:$N,0))</f>
        <v>0.02</v>
      </c>
      <c r="BK108">
        <f t="shared" si="41"/>
        <v>618.2</v>
      </c>
      <c r="BL108">
        <f t="shared" si="42"/>
        <v>1805</v>
      </c>
      <c r="BM108" s="29" cm="1">
        <f t="array" ref="BM108">IF($F$14-$I$4+VLOOKUP($R108,武学奇术!$A:$ZZ,15,FALSE)+SUM(_xlfn.XLOOKUP(S108:AL108,增益!$A:$A,增益!$O:$O,0))&gt;0,($F$14-$I$4+VLOOKUP($R108,武学奇术!$A:$ZZ,15,FALSE)+SUM(_xlfn.XLOOKUP(S108:AL108,增益!$A:$A,增益!$O:$O,0)))/200,($F$14-$I$4+VLOOKUP($R108,武学奇术!$A:$ZZ,15,FALSE)+SUM(_xlfn.XLOOKUP(S108:AL108,增益!$A:$A,增益!$O:$O,0)))/100)</f>
        <v>0.13</v>
      </c>
      <c r="BN108" s="29" cm="1">
        <f t="array" ref="BN108">$G$14+VLOOKUP($R108,武学奇术!$A:$ZZ,16,FALSE)+SUM(_xlfn.XLOOKUP(S108:AL108,增益!$A:$A,增益!$P:$P,0))</f>
        <v>0.23</v>
      </c>
      <c r="BO108" s="23">
        <f>MIN(IF(VLOOKUP($R108,武学奇术!$A:$ZZ,23,FALSE)=1,100%,$B$8),100%)</f>
        <v>0.9943</v>
      </c>
      <c r="BP108" s="23" cm="1">
        <f t="array" ref="BP108">IF(VLOOKUP($R108,武学奇术!$A:$ZZ,23,FALSE)=1,100%,MIN(80%,$B$9+VLOOKUP($R108,武学奇术!$A:$ZZ,17,FALSE)+SUM(_xlfn.XLOOKUP(S108:AL108,增益!$A:$A,增益!$Q:$Q,0)))+$B$11+SUM(_xlfn.XLOOKUP(S108:AL108,增益!$A:$A,增益!$U:$U,0)))*IF(VLOOKUP($R108,武学奇术!$A:$ZZ,24,FALSE)=1,0,1)</f>
        <v>0.887</v>
      </c>
      <c r="BQ108" s="23" cm="1">
        <f t="array" ref="BQ108">1+$B$13+VLOOKUP($R108,武学奇术!$A:$ZZ,18,FALSE)+SUM(_xlfn.XLOOKUP(S108:AL108,增益!$A:$A,增益!$R:$R,0))</f>
        <v>2.144</v>
      </c>
      <c r="BR108" s="23" cm="1">
        <f t="array" ref="BR108">IF(VLOOKUP($R108,武学奇术!$A:$ZZ,24,FALSE)=1,100%,MIN(40%,$B$10+VLOOKUP($R108,武学奇术!$A:$ZZ,19,FALSE)+SUM(_xlfn.XLOOKUP(S108:AL108,增益!$A:$A,增益!$S:$S,0)))+$B$12+SUM(_xlfn.XLOOKUP(S108:AL108,增益!$A:$A,增益!$V:$V,0)))*IF(VLOOKUP($R108,武学奇术!$A:$ZZ,23,FALSE)=1,0,1)</f>
        <v>0.0913</v>
      </c>
      <c r="BS108" s="23" cm="1">
        <f t="array" ref="BS108">1+$B$14+VLOOKUP($R108,武学奇术!$A:$ZZ,20,FALSE)+SUM(_xlfn.XLOOKUP(S108:AL108,增益!$A:$A,增益!$T:$T,0))</f>
        <v>1.35</v>
      </c>
      <c r="BT108" s="23">
        <f t="shared" si="43"/>
        <v>0.8819441</v>
      </c>
      <c r="BU108" s="23">
        <f t="shared" si="44"/>
        <v>0.0215763099999999</v>
      </c>
      <c r="BV108" s="23">
        <f>IF(VLOOKUP($R108,武学奇术!$A:$ZZ,22,FALSE)=1,0,(1-$BO108))*(1-$BR108)</f>
        <v>0.00517958999999993</v>
      </c>
      <c r="BW108" s="23" cm="1">
        <f t="array" ref="BW108">SUM(_xlfn.XLOOKUP(S108:AL108,增益!$A:$A,增益!$W:$W,0))+$I$5</f>
        <v>0.11</v>
      </c>
      <c r="BX108" s="23">
        <f>VLOOKUP($R108,武学奇术!$A:$ZZ,32,FALSE)</f>
        <v>0.1</v>
      </c>
      <c r="BY108" s="23" cm="1">
        <f t="array" ref="BY108">SUM(_xlfn.XLOOKUP($S108:$AL108,增益!$A:$A,增益!$X:$X,0))</f>
        <v>0</v>
      </c>
    </row>
    <row r="109" spans="1:77">
      <c r="A109" s="93">
        <v>123</v>
      </c>
      <c r="B109" s="4">
        <v>1.8</v>
      </c>
      <c r="C109" s="36"/>
      <c r="D109" s="36"/>
      <c r="K109" s="35">
        <f>$L109*VLOOKUP($R109,武学奇术!$A:$ZZ,31,FALSE)</f>
        <v>358943.897599414</v>
      </c>
      <c r="L109" s="69">
        <f t="shared" si="34"/>
        <v>351905.78196021</v>
      </c>
      <c r="M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轻击",$B$21,0))*(1+IF(VLOOKUP($R109,武学奇术!$A:$ZZ,30,FALSE)="老鼠",$B$22,0))*(1+$BW109)*(1+$BX109)</f>
        <v>366632.985128007</v>
      </c>
      <c r="N109" s="35">
        <f>(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轻击",$B$21,0))*(1+IF(VLOOKUP($R109,武学奇术!$A:$ZZ,30,FALSE)="老鼠",$B$22,0))*(1+$BW109))*(1+$BX109)</f>
        <v>264052.351522111</v>
      </c>
      <c r="O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轻击",$B$21,0))*(1+IF(VLOOKUP($R109,武学奇术!$A:$ZZ,30,FALSE)="老鼠",$B$22,0))*(1+$BW109)*(1+$BX109)</f>
        <v>171004.19082463</v>
      </c>
      <c r="P109" s="35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轻击",$B$21,0))*(1+IF(VLOOKUP($R109,武学奇术!$A:$ZZ,30,FALSE)="老鼠",$B$22,0))*(1+$BW109)*(1+$BX109)</f>
        <v>146414.047188437</v>
      </c>
      <c r="Q109" s="70">
        <v>13</v>
      </c>
      <c r="R109" s="37" t="s">
        <v>106</v>
      </c>
      <c r="S109" s="37" t="s">
        <v>91</v>
      </c>
      <c r="T109" s="37" t="s">
        <v>185</v>
      </c>
      <c r="U109" s="37" t="s">
        <v>112</v>
      </c>
      <c r="V109" s="37" t="s">
        <v>113</v>
      </c>
      <c r="W109" s="37" t="s">
        <v>82</v>
      </c>
      <c r="X109" s="37" t="s">
        <v>81</v>
      </c>
      <c r="Y109" s="37" t="s">
        <v>109</v>
      </c>
      <c r="Z109" s="37" t="s">
        <v>83</v>
      </c>
      <c r="AA109" s="37" t="s">
        <v>84</v>
      </c>
      <c r="AB109" s="37" t="s">
        <v>81</v>
      </c>
      <c r="AC109" s="37" t="s">
        <v>81</v>
      </c>
      <c r="AD109" s="37" t="s">
        <v>81</v>
      </c>
      <c r="AE109" s="37" t="s">
        <v>81</v>
      </c>
      <c r="AF109" s="37" t="s">
        <v>81</v>
      </c>
      <c r="AG109" s="37" t="s">
        <v>87</v>
      </c>
      <c r="AH109" s="37" t="s">
        <v>88</v>
      </c>
      <c r="AI109" s="37" t="s">
        <v>81</v>
      </c>
      <c r="AJ109" s="37" t="s">
        <v>81</v>
      </c>
      <c r="AK109" s="37" t="s">
        <v>81</v>
      </c>
      <c r="AL109" s="37" t="s">
        <v>81</v>
      </c>
      <c r="AM109" t="str">
        <f>VLOOKUP($R109,武学奇术!$A:$ZZ,25,FALSE)</f>
        <v>绳镖</v>
      </c>
      <c r="AN109" s="23">
        <f>VLOOKUP($R109,武学奇术!$A:$ZZ,26,FALSE)</f>
        <v>0.3675</v>
      </c>
      <c r="AO109" s="24">
        <f>VLOOKUP($R109,武学奇术!$A:$ZZ,27,FALSE)*(1+IF(OR($AM109=$F$4,$AM109=$F$5),$B$23,0))</f>
        <v>0</v>
      </c>
      <c r="AP109" s="23">
        <f>VLOOKUP($R109,武学奇术!$A:$ZZ,28,FALSE)</f>
        <v>0.55125</v>
      </c>
      <c r="AQ109" s="24">
        <f>VLOOKUP($R109,武学奇术!$A:$ZZ,29,FALSE)*(1+IF(OR($AM109=$F$4,$AM109=$F$5),$B$23,0))</f>
        <v>0</v>
      </c>
      <c r="AR109" s="23" cm="1">
        <f t="array" ref="AR109">$G$3+IFERROR(VLOOKUP($AM109,$F$4:$G$7,2,FALSE),0)+VLOOKUP($R109,武学奇术!$A:$ZZ,2,FALSE)+SUM(_xlfn.XLOOKUP($S109:$AL109,增益!$A:$A,增益!$B:$B,0))</f>
        <v>1.4243</v>
      </c>
      <c r="AS109" s="23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4150.4</v>
      </c>
      <c r="AU109" cm="1">
        <f t="array" ref="AU109">$E$10*(1+$AS109)+VLOOKUP($R109,武学奇术!$A:$ZZ,4,FALSE)+SUM(_xlfn.XLOOKUP($S109:$AL109,增益!$A:$A,增益!$D:$D,0))-$I$2</f>
        <v>4150.4</v>
      </c>
      <c r="AV109" s="29" cm="1">
        <f t="array" ref="AV109">IF($F$10-$I$3+VLOOKUP($R109,武学奇术!$A:$ZZ,6,FALSE)+SUM(_xlfn.XLOOKUP(S109:AL109,增益!$A:$A,增益!$F:$F,0))&gt;0,($F$10-$I$3+VLOOKUP($R109,武学奇术!$A:$ZZ,6,FALSE)+SUM(_xlfn.XLOOKUP(S109:AL109,增益!$A:$A,增益!$F:$F,0)))/200,($F$10-$I$3+VLOOKUP($R109,武学奇术!$A:$ZZ,6,FALSE)+SUM(_xlfn.XLOOKUP(S109:AL109,增益!$A:$A,增益!$F:$F,0)))/100)</f>
        <v>0.3289</v>
      </c>
      <c r="AW109" s="29" cm="1">
        <f t="array" ref="AW109">$G$10+VLOOKUP($R109,武学奇术!$A:$ZZ,7,FALSE)+SUM(_xlfn.XLOOKUP(S109:AL109,增益!$A:$A,增益!$G:$G,0))</f>
        <v>0.29</v>
      </c>
      <c r="AX109" s="23" cm="1">
        <f t="array" ref="AX109">VLOOKUP($R109,武学奇术!$A:$ZZ,8,FALSE)+SUM(_xlfn.XLOOKUP(S109:AL109,增益!$A:$A,增益!$H:$H,0))</f>
        <v>0</v>
      </c>
      <c r="AY109">
        <f t="shared" si="35"/>
        <v>0</v>
      </c>
      <c r="AZ109">
        <f t="shared" si="36"/>
        <v>0</v>
      </c>
      <c r="BA109" s="29" cm="1">
        <f t="array" ref="BA109">IF($F$11-$I$4+VLOOKUP($R109,武学奇术!$A:$ZZ,9,FALSE)+SUM(_xlfn.XLOOKUP(S109:AL109,增益!$A:$A,增益!$I:$I,0))&gt;0,($F$11-$I$4+VLOOKUP($R109,武学奇术!$A:$ZZ,9,FALSE)+SUM(_xlfn.XLOOKUP(S109:AL109,增益!$A:$A,增益!$I:$I,0)))/200,($F$11-$I$4+VLOOKUP($R109,武学奇术!$A:$ZZ,9,FALSE)+SUM(_xlfn.XLOOKUP(S109:AL109,增益!$A:$A,增益!$I:$I,0)))/100)</f>
        <v>-0.14</v>
      </c>
      <c r="BB109" s="29" cm="1">
        <f t="array" ref="BB109">$G$11+VLOOKUP($R109,武学奇术!$A:$ZZ,10,FALSE)+SUM(_xlfn.XLOOKUP(S109:AL109,增益!$A:$A,增益!$J:$J,0))</f>
        <v>0.02</v>
      </c>
      <c r="BC109">
        <f t="shared" si="37"/>
        <v>0</v>
      </c>
      <c r="BD109">
        <f t="shared" si="38"/>
        <v>0</v>
      </c>
      <c r="BE109" s="29" cm="1">
        <f t="array" ref="BE109">IF($F$12-$I$4+VLOOKUP($R109,武学奇术!$A:$ZZ,11,FALSE)+SUM(_xlfn.XLOOKUP(S109:AL109,增益!$A:$A,增益!$K:$K,0))&gt;0,($F$12-$I$4+VLOOKUP($R109,武学奇术!$A:$ZZ,11,FALSE)+SUM(_xlfn.XLOOKUP(S109:AL109,增益!$A:$A,增益!$K:$K,0)))/200,($F$12-$I$4+VLOOKUP($R109,武学奇术!$A:$ZZ,11,FALSE)+SUM(_xlfn.XLOOKUP(S109:AL109,增益!$A:$A,增益!$K:$K,0)))/100)</f>
        <v>-0.14</v>
      </c>
      <c r="BF109" s="29" cm="1">
        <f t="array" ref="BF109">$G$12+VLOOKUP($R109,武学奇术!$A:$ZZ,12,FALSE)+SUM(_xlfn.XLOOKUP(S109:AL109,增益!$A:$A,增益!$L:$L,0))</f>
        <v>0.02</v>
      </c>
      <c r="BG109">
        <f t="shared" si="39"/>
        <v>0</v>
      </c>
      <c r="BH109">
        <f t="shared" si="40"/>
        <v>0</v>
      </c>
      <c r="BI109" s="29" cm="1">
        <f t="array" ref="BI109">IF($F$13-$I$4+VLOOKUP($R109,武学奇术!$A:$ZZ,13,FALSE)+SUM(_xlfn.XLOOKUP(S109:AL109,增益!$A:$A,增益!$M:$M,0))&gt;0,($F$13-$I$4+VLOOKUP($R109,武学奇术!$A:$ZZ,13,FALSE)+SUM(_xlfn.XLOOKUP(S109:AL109,增益!$A:$A,增益!$K:$K,0)))/200,($F$13-$I$4+VLOOKUP($R109,武学奇术!$A:$ZZ,13,FALSE)+SUM(_xlfn.XLOOKUP(S109:AL109,增益!$A:$A,增益!$M:$M,0)))/100)</f>
        <v>-0.14</v>
      </c>
      <c r="BJ109" s="29" cm="1">
        <f t="array" ref="BJ109">$G$13+VLOOKUP($R109,武学奇术!$A:$ZZ,14,FALSE)+SUM(_xlfn.XLOOKUP(S109:AL109,增益!$A:$A,增益!$N:$N,0))</f>
        <v>0.02</v>
      </c>
      <c r="BK109">
        <f t="shared" si="41"/>
        <v>618.2</v>
      </c>
      <c r="BL109">
        <f t="shared" si="42"/>
        <v>1805</v>
      </c>
      <c r="BM109" s="29" cm="1">
        <f t="array" ref="BM109">IF($F$14-$I$4+VLOOKUP($R109,武学奇术!$A:$ZZ,15,FALSE)+SUM(_xlfn.XLOOKUP(S109:AL109,增益!$A:$A,增益!$O:$O,0))&gt;0,($F$14-$I$4+VLOOKUP($R109,武学奇术!$A:$ZZ,15,FALSE)+SUM(_xlfn.XLOOKUP(S109:AL109,增益!$A:$A,增益!$O:$O,0)))/200,($F$14-$I$4+VLOOKUP($R109,武学奇术!$A:$ZZ,15,FALSE)+SUM(_xlfn.XLOOKUP(S109:AL109,增益!$A:$A,增益!$O:$O,0)))/100)</f>
        <v>0.13</v>
      </c>
      <c r="BN109" s="29" cm="1">
        <f t="array" ref="BN109">$G$14+VLOOKUP($R109,武学奇术!$A:$ZZ,16,FALSE)+SUM(_xlfn.XLOOKUP(S109:AL109,增益!$A:$A,增益!$P:$P,0))</f>
        <v>0.44</v>
      </c>
      <c r="BO109" s="23">
        <f>MIN(IF(VLOOKUP($R109,武学奇术!$A:$ZZ,23,FALSE)=1,100%,$B$8),100%)</f>
        <v>0.9943</v>
      </c>
      <c r="BP109" s="23" cm="1">
        <f t="array" ref="BP109">IF(VLOOKUP($R109,武学奇术!$A:$ZZ,23,FALSE)=1,100%,MIN(80%,$B$9+VLOOKUP($R109,武学奇术!$A:$ZZ,17,FALSE)+SUM(_xlfn.XLOOKUP(S109:AL109,增益!$A:$A,增益!$Q:$Q,0)))+$B$11+SUM(_xlfn.XLOOKUP(S109:AL109,增益!$A:$A,增益!$U:$U,0)))*IF(VLOOKUP($R109,武学奇术!$A:$ZZ,24,FALSE)=1,0,1)</f>
        <v>0.887</v>
      </c>
      <c r="BQ109" s="23" cm="1">
        <f t="array" ref="BQ109">1+$B$13+VLOOKUP($R109,武学奇术!$A:$ZZ,18,FALSE)+SUM(_xlfn.XLOOKUP(S109:AL109,增益!$A:$A,增益!$R:$R,0))</f>
        <v>2.144</v>
      </c>
      <c r="BR109" s="23" cm="1">
        <f t="array" ref="BR109">IF(VLOOKUP($R109,武学奇术!$A:$ZZ,24,FALSE)=1,100%,MIN(40%,$B$10+VLOOKUP($R109,武学奇术!$A:$ZZ,19,FALSE)+SUM(_xlfn.XLOOKUP(S109:AL109,增益!$A:$A,增益!$S:$S,0)))+$B$12+SUM(_xlfn.XLOOKUP(S109:AL109,增益!$A:$A,增益!$V:$V,0)))*IF(VLOOKUP($R109,武学奇术!$A:$ZZ,23,FALSE)=1,0,1)</f>
        <v>0.0913</v>
      </c>
      <c r="BS109" s="23" cm="1">
        <f t="array" ref="BS109">1+$B$14+VLOOKUP($R109,武学奇术!$A:$ZZ,20,FALSE)+SUM(_xlfn.XLOOKUP(S109:AL109,增益!$A:$A,增益!$T:$T,0))</f>
        <v>1.35</v>
      </c>
      <c r="BT109" s="23">
        <f t="shared" si="43"/>
        <v>0.8819441</v>
      </c>
      <c r="BU109" s="23">
        <f t="shared" si="44"/>
        <v>0.0215763099999999</v>
      </c>
      <c r="BV109" s="23">
        <f>IF(VLOOKUP($R109,武学奇术!$A:$ZZ,22,FALSE)=1,0,(1-$BO109))*(1-$BR109)</f>
        <v>0.00517958999999993</v>
      </c>
      <c r="BW109" s="23" cm="1">
        <f t="array" ref="BW109">SUM(_xlfn.XLOOKUP(S109:AL109,增益!$A:$A,增益!$W:$W,0))+$I$5</f>
        <v>0.11</v>
      </c>
      <c r="BX109" s="23">
        <f>VLOOKUP($R109,武学奇术!$A:$ZZ,32,FALSE)</f>
        <v>0</v>
      </c>
      <c r="BY109" s="23" cm="1">
        <f t="array" ref="BY109">SUM(_xlfn.XLOOKUP($S109:$AL109,增益!$A:$A,增益!$X:$X,0))</f>
        <v>0</v>
      </c>
    </row>
    <row r="110" spans="1:77">
      <c r="A110" s="93">
        <v>4</v>
      </c>
      <c r="B110" s="4">
        <v>0.6</v>
      </c>
      <c r="C110" s="36"/>
      <c r="K110" s="35">
        <f>$L110*VLOOKUP($R110,武学奇术!$A:$ZZ,31,FALSE)</f>
        <v>84458.7540827984</v>
      </c>
      <c r="L110" s="35">
        <f t="shared" si="34"/>
        <v>75409.6018596415</v>
      </c>
      <c r="M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轻击",$B$21,0))*(1+IF(VLOOKUP($R110,武学奇术!$A:$ZZ,30,FALSE)="老鼠",$B$22,0))*(1+$BW110)*(1+$BX110)</f>
        <v>79500.6863890995</v>
      </c>
      <c r="N110" s="35">
        <f>(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轻击",$B$21,0))*(1+IF(VLOOKUP($R110,武学奇术!$A:$ZZ,30,FALSE)="老鼠",$B$22,0))*(1+$BW110))*(1+$BX110)</f>
        <v>73677.3819318688</v>
      </c>
      <c r="O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轻击",$B$21,0))*(1+IF(VLOOKUP($R110,武学奇术!$A:$ZZ,30,FALSE)="老鼠",$B$22,0))*(1+$BW110)*(1+$BX110)</f>
        <v>48358.0817451943</v>
      </c>
      <c r="P110" s="35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轻击",$B$21,0))*(1+IF(VLOOKUP($R110,武学奇术!$A:$ZZ,30,FALSE)="老鼠",$B$22,0))*(1+$BW110)*(1+$BX110)</f>
        <v>42140.3250223377</v>
      </c>
      <c r="Q110" s="36">
        <v>1</v>
      </c>
      <c r="R110" s="37" t="s">
        <v>158</v>
      </c>
      <c r="S110" s="37" t="s">
        <v>91</v>
      </c>
      <c r="T110" s="37" t="s">
        <v>185</v>
      </c>
      <c r="U110" s="37" t="s">
        <v>112</v>
      </c>
      <c r="V110" s="37" t="s">
        <v>113</v>
      </c>
      <c r="W110" s="37" t="s">
        <v>82</v>
      </c>
      <c r="X110" s="37" t="s">
        <v>81</v>
      </c>
      <c r="Y110" s="37" t="s">
        <v>109</v>
      </c>
      <c r="Z110" s="37" t="s">
        <v>81</v>
      </c>
      <c r="AA110" s="37" t="s">
        <v>84</v>
      </c>
      <c r="AB110" s="37" t="s">
        <v>81</v>
      </c>
      <c r="AC110" s="37" t="s">
        <v>81</v>
      </c>
      <c r="AD110" s="37" t="s">
        <v>81</v>
      </c>
      <c r="AE110" s="37" t="s">
        <v>81</v>
      </c>
      <c r="AF110" s="37" t="s">
        <v>81</v>
      </c>
      <c r="AG110" s="37" t="s">
        <v>87</v>
      </c>
      <c r="AH110" s="37" t="s">
        <v>88</v>
      </c>
      <c r="AI110" s="37" t="s">
        <v>81</v>
      </c>
      <c r="AJ110" s="37" t="s">
        <v>81</v>
      </c>
      <c r="AK110" s="37" t="s">
        <v>81</v>
      </c>
      <c r="AL110" s="37" t="s">
        <v>81</v>
      </c>
      <c r="AM110" t="str">
        <f>VLOOKUP($R110,武学奇术!$A:$ZZ,25,FALSE)</f>
        <v>双刀</v>
      </c>
      <c r="AN110" s="23">
        <f>VLOOKUP($R110,武学奇术!$A:$ZZ,26,FALSE)</f>
        <v>2.5342</v>
      </c>
      <c r="AO110" s="24">
        <f>VLOOKUP($R110,武学奇术!$A:$ZZ,27,FALSE)*(1+IF(OR($AM110=$F$4,$AM110=$F$5),$B$23,0))</f>
        <v>1123.2</v>
      </c>
      <c r="AP110" s="23">
        <f>VLOOKUP($R110,武学奇术!$A:$ZZ,28,FALSE)</f>
        <v>3.8012</v>
      </c>
      <c r="AQ110" s="24">
        <f>VLOOKUP($R110,武学奇术!$A:$ZZ,29,FALSE)*(1+IF(OR($AM110=$F$4,$AM110=$F$5),$B$23,0))</f>
        <v>611.2</v>
      </c>
      <c r="AR110" s="23" cm="1">
        <f t="array" ref="AR110">$G$3+IFERROR(VLOOKUP($AM110,$F$4:$G$7,2,FALSE),0)+VLOOKUP($R110,武学奇术!$A:$ZZ,2,FALSE)+SUM(_xlfn.XLOOKUP($S110:$AL110,增益!$A:$A,增益!$B:$B,0))</f>
        <v>0.6243</v>
      </c>
      <c r="AS110" s="23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4150.4</v>
      </c>
      <c r="AU110" cm="1">
        <f t="array" ref="AU110">$E$10*(1+$AS110)+VLOOKUP($R110,武学奇术!$A:$ZZ,4,FALSE)+SUM(_xlfn.XLOOKUP($S110:$AL110,增益!$A:$A,增益!$D:$D,0))-$I$2</f>
        <v>4150.4</v>
      </c>
      <c r="AV110" s="29" cm="1">
        <f t="array" ref="AV110">IF($F$10-$I$3+VLOOKUP($R110,武学奇术!$A:$ZZ,6,FALSE)+SUM(_xlfn.XLOOKUP(S110:AL110,增益!$A:$A,增益!$F:$F,0))&gt;0,($F$10-$I$3+VLOOKUP($R110,武学奇术!$A:$ZZ,6,FALSE)+SUM(_xlfn.XLOOKUP(S110:AL110,增益!$A:$A,增益!$F:$F,0)))/200,($F$10-$I$3+VLOOKUP($R110,武学奇术!$A:$ZZ,6,FALSE)+SUM(_xlfn.XLOOKUP(S110:AL110,增益!$A:$A,增益!$F:$F,0)))/100)</f>
        <v>0.3289</v>
      </c>
      <c r="AW110" s="29" cm="1">
        <f t="array" ref="AW110">$G$10+VLOOKUP($R110,武学奇术!$A:$ZZ,7,FALSE)+SUM(_xlfn.XLOOKUP(S110:AL110,增益!$A:$A,增益!$G:$G,0))</f>
        <v>0.08</v>
      </c>
      <c r="AX110" s="23" cm="1">
        <f t="array" ref="AX110">VLOOKUP($R110,武学奇术!$A:$ZZ,8,FALSE)+SUM(_xlfn.XLOOKUP(S110:AL110,增益!$A:$A,增益!$H:$H,0))</f>
        <v>0</v>
      </c>
      <c r="AY110">
        <f t="shared" si="35"/>
        <v>0</v>
      </c>
      <c r="AZ110">
        <f t="shared" si="36"/>
        <v>0</v>
      </c>
      <c r="BA110" s="29" cm="1">
        <f t="array" ref="BA110">IF($F$11-$I$4+VLOOKUP($R110,武学奇术!$A:$ZZ,9,FALSE)+SUM(_xlfn.XLOOKUP(S110:AL110,增益!$A:$A,增益!$I:$I,0))&gt;0,($F$11-$I$4+VLOOKUP($R110,武学奇术!$A:$ZZ,9,FALSE)+SUM(_xlfn.XLOOKUP(S110:AL110,增益!$A:$A,增益!$I:$I,0)))/200,($F$11-$I$4+VLOOKUP($R110,武学奇术!$A:$ZZ,9,FALSE)+SUM(_xlfn.XLOOKUP(S110:AL110,增益!$A:$A,增益!$I:$I,0)))/100)</f>
        <v>-0.14</v>
      </c>
      <c r="BB110" s="29" cm="1">
        <f t="array" ref="BB110">$G$11+VLOOKUP($R110,武学奇术!$A:$ZZ,10,FALSE)+SUM(_xlfn.XLOOKUP(S110:AL110,增益!$A:$A,增益!$J:$J,0))</f>
        <v>0.02</v>
      </c>
      <c r="BC110">
        <f t="shared" si="37"/>
        <v>0</v>
      </c>
      <c r="BD110">
        <f t="shared" si="38"/>
        <v>0</v>
      </c>
      <c r="BE110" s="29" cm="1">
        <f t="array" ref="BE110">IF($F$12-$I$4+VLOOKUP($R110,武学奇术!$A:$ZZ,11,FALSE)+SUM(_xlfn.XLOOKUP(S110:AL110,增益!$A:$A,增益!$K:$K,0))&gt;0,($F$12-$I$4+VLOOKUP($R110,武学奇术!$A:$ZZ,11,FALSE)+SUM(_xlfn.XLOOKUP(S110:AL110,增益!$A:$A,增益!$K:$K,0)))/200,($F$12-$I$4+VLOOKUP($R110,武学奇术!$A:$ZZ,11,FALSE)+SUM(_xlfn.XLOOKUP(S110:AL110,增益!$A:$A,增益!$K:$K,0)))/100)</f>
        <v>-0.14</v>
      </c>
      <c r="BF110" s="29" cm="1">
        <f t="array" ref="BF110">$G$12+VLOOKUP($R110,武学奇术!$A:$ZZ,12,FALSE)+SUM(_xlfn.XLOOKUP(S110:AL110,增益!$A:$A,增益!$L:$L,0))</f>
        <v>0.02</v>
      </c>
      <c r="BG110">
        <f t="shared" si="39"/>
        <v>0</v>
      </c>
      <c r="BH110">
        <f t="shared" si="40"/>
        <v>0</v>
      </c>
      <c r="BI110" s="29" cm="1">
        <f t="array" ref="BI110">IF($F$13-$I$4+VLOOKUP($R110,武学奇术!$A:$ZZ,13,FALSE)+SUM(_xlfn.XLOOKUP(S110:AL110,增益!$A:$A,增益!$M:$M,0))&gt;0,($F$13-$I$4+VLOOKUP($R110,武学奇术!$A:$ZZ,13,FALSE)+SUM(_xlfn.XLOOKUP(S110:AL110,增益!$A:$A,增益!$K:$K,0)))/200,($F$13-$I$4+VLOOKUP($R110,武学奇术!$A:$ZZ,13,FALSE)+SUM(_xlfn.XLOOKUP(S110:AL110,增益!$A:$A,增益!$M:$M,0)))/100)</f>
        <v>-0.14</v>
      </c>
      <c r="BJ110" s="29" cm="1">
        <f t="array" ref="BJ110">$G$13+VLOOKUP($R110,武学奇术!$A:$ZZ,14,FALSE)+SUM(_xlfn.XLOOKUP(S110:AL110,增益!$A:$A,增益!$N:$N,0))</f>
        <v>0.02</v>
      </c>
      <c r="BK110">
        <f t="shared" si="41"/>
        <v>618.2</v>
      </c>
      <c r="BL110">
        <f t="shared" si="42"/>
        <v>1805</v>
      </c>
      <c r="BM110" s="29" cm="1">
        <f t="array" ref="BM110">IF($F$14-$I$4+VLOOKUP($R110,武学奇术!$A:$ZZ,15,FALSE)+SUM(_xlfn.XLOOKUP(S110:AL110,增益!$A:$A,增益!$O:$O,0))&gt;0,($F$14-$I$4+VLOOKUP($R110,武学奇术!$A:$ZZ,15,FALSE)+SUM(_xlfn.XLOOKUP(S110:AL110,增益!$A:$A,增益!$O:$O,0)))/200,($F$14-$I$4+VLOOKUP($R110,武学奇术!$A:$ZZ,15,FALSE)+SUM(_xlfn.XLOOKUP(S110:AL110,增益!$A:$A,增益!$O:$O,0)))/100)</f>
        <v>0.13</v>
      </c>
      <c r="BN110" s="29" cm="1">
        <f t="array" ref="BN110">$G$14+VLOOKUP($R110,武学奇术!$A:$ZZ,16,FALSE)+SUM(_xlfn.XLOOKUP(S110:AL110,增益!$A:$A,增益!$P:$P,0))</f>
        <v>0.23</v>
      </c>
      <c r="BO110" s="23">
        <f>MIN(IF(VLOOKUP($R110,武学奇术!$A:$ZZ,23,FALSE)=1,100%,$B$8),100%)</f>
        <v>0.9943</v>
      </c>
      <c r="BP110" s="23" cm="1">
        <f t="array" ref="BP110">IF(VLOOKUP($R110,武学奇术!$A:$ZZ,23,FALSE)=1,100%,MIN(80%,$B$9+VLOOKUP($R110,武学奇术!$A:$ZZ,17,FALSE)+SUM(_xlfn.XLOOKUP(S110:AL110,增益!$A:$A,增益!$Q:$Q,0)))+$B$11+SUM(_xlfn.XLOOKUP(S110:AL110,增益!$A:$A,增益!$U:$U,0)))*IF(VLOOKUP($R110,武学奇术!$A:$ZZ,24,FALSE)=1,0,1)</f>
        <v>0.8</v>
      </c>
      <c r="BQ110" s="23" cm="1">
        <f t="array" ref="BQ110">1+$B$13+VLOOKUP($R110,武学奇术!$A:$ZZ,18,FALSE)+SUM(_xlfn.XLOOKUP(S110:AL110,增益!$A:$A,增益!$R:$R,0))</f>
        <v>1.644</v>
      </c>
      <c r="BR110" s="23" cm="1">
        <f t="array" ref="BR110">IF(VLOOKUP($R110,武学奇术!$A:$ZZ,24,FALSE)=1,100%,MIN(40%,$B$10+VLOOKUP($R110,武学奇术!$A:$ZZ,19,FALSE)+SUM(_xlfn.XLOOKUP(S110:AL110,增益!$A:$A,增益!$S:$S,0)))+$B$12+SUM(_xlfn.XLOOKUP(S110:AL110,增益!$A:$A,增益!$V:$V,0)))*IF(VLOOKUP($R110,武学奇术!$A:$ZZ,23,FALSE)=1,0,1)</f>
        <v>0.0913</v>
      </c>
      <c r="BS110" s="23" cm="1">
        <f t="array" ref="BS110">1+$B$14+VLOOKUP($R110,武学奇术!$A:$ZZ,20,FALSE)+SUM(_xlfn.XLOOKUP(S110:AL110,增益!$A:$A,增益!$T:$T,0))</f>
        <v>1.35</v>
      </c>
      <c r="BT110" s="23">
        <f t="shared" si="43"/>
        <v>0.79544</v>
      </c>
      <c r="BU110" s="23">
        <f t="shared" si="44"/>
        <v>0.10808041</v>
      </c>
      <c r="BV110" s="23">
        <f>IF(VLOOKUP($R110,武学奇术!$A:$ZZ,22,FALSE)=1,0,(1-$BO110))*(1-$BR110)</f>
        <v>0.00517958999999993</v>
      </c>
      <c r="BW110" s="23" cm="1">
        <f t="array" ref="BW110">SUM(_xlfn.XLOOKUP(S110:AL110,增益!$A:$A,增益!$W:$W,0))+$I$5</f>
        <v>0.11</v>
      </c>
      <c r="BX110" s="23">
        <f>VLOOKUP($R110,武学奇术!$A:$ZZ,32,FALSE)</f>
        <v>0.1</v>
      </c>
      <c r="BY110" s="23" cm="1">
        <f t="array" ref="BY110">SUM(_xlfn.XLOOKUP($S110:$AL110,增益!$A:$A,增益!$X:$X,0))</f>
        <v>0</v>
      </c>
    </row>
    <row r="111" spans="1:77">
      <c r="A111" s="93">
        <v>5</v>
      </c>
      <c r="B111" s="4">
        <v>0.9</v>
      </c>
      <c r="K111" s="35">
        <f>$L111*VLOOKUP($R111,武学奇术!$A:$ZZ,31,FALSE)</f>
        <v>83787.9164455822</v>
      </c>
      <c r="L111" s="69">
        <f t="shared" si="34"/>
        <v>82145.0161231198</v>
      </c>
      <c r="M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轻击",$B$21,0))*(1+IF(VLOOKUP($R111,武学奇术!$A:$ZZ,30,FALSE)="老鼠",$B$22,0))*(1+$BW111)*(1+$BX111)</f>
        <v>86501.8122202128</v>
      </c>
      <c r="N111" s="35">
        <f>(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轻击",$B$21,0))*(1+IF(VLOOKUP($R111,武学奇术!$A:$ZZ,30,FALSE)="老鼠",$B$22,0))*(1+$BW111))*(1+$BX111)</f>
        <v>81246.8773914186</v>
      </c>
      <c r="O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轻击",$B$21,0))*(1+IF(VLOOKUP($R111,武学奇术!$A:$ZZ,30,FALSE)="老鼠",$B$22,0))*(1+$BW111)*(1+$BX111)</f>
        <v>52616.6740998861</v>
      </c>
      <c r="P111" s="35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轻击",$B$21,0))*(1+IF(VLOOKUP($R111,武学奇术!$A:$ZZ,30,FALSE)="老鼠",$B$22,0))*(1+$BW111)*(1+$BX111)</f>
        <v>45050.4760579807</v>
      </c>
      <c r="Q111" s="70">
        <v>4</v>
      </c>
      <c r="R111" s="37" t="s">
        <v>106</v>
      </c>
      <c r="S111" s="37" t="s">
        <v>91</v>
      </c>
      <c r="T111" s="37" t="s">
        <v>185</v>
      </c>
      <c r="U111" s="37" t="s">
        <v>112</v>
      </c>
      <c r="V111" s="37" t="s">
        <v>113</v>
      </c>
      <c r="W111" s="37" t="s">
        <v>82</v>
      </c>
      <c r="X111" s="37" t="s">
        <v>81</v>
      </c>
      <c r="Y111" s="37" t="s">
        <v>109</v>
      </c>
      <c r="Z111" s="37" t="s">
        <v>81</v>
      </c>
      <c r="AA111" s="37" t="s">
        <v>84</v>
      </c>
      <c r="AB111" s="37" t="s">
        <v>81</v>
      </c>
      <c r="AC111" s="37" t="s">
        <v>81</v>
      </c>
      <c r="AD111" s="37" t="s">
        <v>81</v>
      </c>
      <c r="AE111" s="37" t="s">
        <v>81</v>
      </c>
      <c r="AF111" s="37" t="s">
        <v>81</v>
      </c>
      <c r="AG111" s="37" t="s">
        <v>87</v>
      </c>
      <c r="AH111" s="37" t="s">
        <v>88</v>
      </c>
      <c r="AI111" s="37" t="s">
        <v>81</v>
      </c>
      <c r="AJ111" s="37" t="s">
        <v>81</v>
      </c>
      <c r="AK111" s="37" t="s">
        <v>81</v>
      </c>
      <c r="AL111" s="37" t="s">
        <v>81</v>
      </c>
      <c r="AM111" t="str">
        <f>VLOOKUP($R111,武学奇术!$A:$ZZ,25,FALSE)</f>
        <v>绳镖</v>
      </c>
      <c r="AN111" s="23">
        <f>VLOOKUP($R111,武学奇术!$A:$ZZ,26,FALSE)</f>
        <v>0.3675</v>
      </c>
      <c r="AO111" s="24">
        <f>VLOOKUP($R111,武学奇术!$A:$ZZ,27,FALSE)*(1+IF(OR($AM111=$F$4,$AM111=$F$5),$B$23,0))</f>
        <v>0</v>
      </c>
      <c r="AP111" s="23">
        <f>VLOOKUP($R111,武学奇术!$A:$ZZ,28,FALSE)</f>
        <v>0.55125</v>
      </c>
      <c r="AQ111" s="24">
        <f>VLOOKUP($R111,武学奇术!$A:$ZZ,29,FALSE)*(1+IF(OR($AM111=$F$4,$AM111=$F$5),$B$23,0))</f>
        <v>0</v>
      </c>
      <c r="AR111" s="23" cm="1">
        <f t="array" ref="AR111">$G$3+IFERROR(VLOOKUP($AM111,$F$4:$G$7,2,FALSE),0)+VLOOKUP($R111,武学奇术!$A:$ZZ,2,FALSE)+SUM(_xlfn.XLOOKUP($S111:$AL111,增益!$A:$A,增益!$B:$B,0))</f>
        <v>1.4243</v>
      </c>
      <c r="AS111" s="23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4150.4</v>
      </c>
      <c r="AU111" cm="1">
        <f t="array" ref="AU111">$E$10*(1+$AS111)+VLOOKUP($R111,武学奇术!$A:$ZZ,4,FALSE)+SUM(_xlfn.XLOOKUP($S111:$AL111,增益!$A:$A,增益!$D:$D,0))-$I$2</f>
        <v>4150.4</v>
      </c>
      <c r="AV111" s="29" cm="1">
        <f t="array" ref="AV111">IF($F$10-$I$3+VLOOKUP($R111,武学奇术!$A:$ZZ,6,FALSE)+SUM(_xlfn.XLOOKUP(S111:AL111,增益!$A:$A,增益!$F:$F,0))&gt;0,($F$10-$I$3+VLOOKUP($R111,武学奇术!$A:$ZZ,6,FALSE)+SUM(_xlfn.XLOOKUP(S111:AL111,增益!$A:$A,增益!$F:$F,0)))/200,($F$10-$I$3+VLOOKUP($R111,武学奇术!$A:$ZZ,6,FALSE)+SUM(_xlfn.XLOOKUP(S111:AL111,增益!$A:$A,增益!$F:$F,0)))/100)</f>
        <v>0.3289</v>
      </c>
      <c r="AW111" s="29" cm="1">
        <f t="array" ref="AW111">$G$10+VLOOKUP($R111,武学奇术!$A:$ZZ,7,FALSE)+SUM(_xlfn.XLOOKUP(S111:AL111,增益!$A:$A,增益!$G:$G,0))</f>
        <v>0.29</v>
      </c>
      <c r="AX111" s="23" cm="1">
        <f t="array" ref="AX111">VLOOKUP($R111,武学奇术!$A:$ZZ,8,FALSE)+SUM(_xlfn.XLOOKUP(S111:AL111,增益!$A:$A,增益!$H:$H,0))</f>
        <v>0</v>
      </c>
      <c r="AY111">
        <f t="shared" si="35"/>
        <v>0</v>
      </c>
      <c r="AZ111">
        <f t="shared" si="36"/>
        <v>0</v>
      </c>
      <c r="BA111" s="29" cm="1">
        <f t="array" ref="BA111">IF($F$11-$I$4+VLOOKUP($R111,武学奇术!$A:$ZZ,9,FALSE)+SUM(_xlfn.XLOOKUP(S111:AL111,增益!$A:$A,增益!$I:$I,0))&gt;0,($F$11-$I$4+VLOOKUP($R111,武学奇术!$A:$ZZ,9,FALSE)+SUM(_xlfn.XLOOKUP(S111:AL111,增益!$A:$A,增益!$I:$I,0)))/200,($F$11-$I$4+VLOOKUP($R111,武学奇术!$A:$ZZ,9,FALSE)+SUM(_xlfn.XLOOKUP(S111:AL111,增益!$A:$A,增益!$I:$I,0)))/100)</f>
        <v>-0.14</v>
      </c>
      <c r="BB111" s="29" cm="1">
        <f t="array" ref="BB111">$G$11+VLOOKUP($R111,武学奇术!$A:$ZZ,10,FALSE)+SUM(_xlfn.XLOOKUP(S111:AL111,增益!$A:$A,增益!$J:$J,0))</f>
        <v>0.02</v>
      </c>
      <c r="BC111">
        <f t="shared" si="37"/>
        <v>0</v>
      </c>
      <c r="BD111">
        <f t="shared" si="38"/>
        <v>0</v>
      </c>
      <c r="BE111" s="29" cm="1">
        <f t="array" ref="BE111">IF($F$12-$I$4+VLOOKUP($R111,武学奇术!$A:$ZZ,11,FALSE)+SUM(_xlfn.XLOOKUP(S111:AL111,增益!$A:$A,增益!$K:$K,0))&gt;0,($F$12-$I$4+VLOOKUP($R111,武学奇术!$A:$ZZ,11,FALSE)+SUM(_xlfn.XLOOKUP(S111:AL111,增益!$A:$A,增益!$K:$K,0)))/200,($F$12-$I$4+VLOOKUP($R111,武学奇术!$A:$ZZ,11,FALSE)+SUM(_xlfn.XLOOKUP(S111:AL111,增益!$A:$A,增益!$K:$K,0)))/100)</f>
        <v>-0.14</v>
      </c>
      <c r="BF111" s="29" cm="1">
        <f t="array" ref="BF111">$G$12+VLOOKUP($R111,武学奇术!$A:$ZZ,12,FALSE)+SUM(_xlfn.XLOOKUP(S111:AL111,增益!$A:$A,增益!$L:$L,0))</f>
        <v>0.02</v>
      </c>
      <c r="BG111">
        <f t="shared" si="39"/>
        <v>0</v>
      </c>
      <c r="BH111">
        <f t="shared" si="40"/>
        <v>0</v>
      </c>
      <c r="BI111" s="29" cm="1">
        <f t="array" ref="BI111">IF($F$13-$I$4+VLOOKUP($R111,武学奇术!$A:$ZZ,13,FALSE)+SUM(_xlfn.XLOOKUP(S111:AL111,增益!$A:$A,增益!$M:$M,0))&gt;0,($F$13-$I$4+VLOOKUP($R111,武学奇术!$A:$ZZ,13,FALSE)+SUM(_xlfn.XLOOKUP(S111:AL111,增益!$A:$A,增益!$K:$K,0)))/200,($F$13-$I$4+VLOOKUP($R111,武学奇术!$A:$ZZ,13,FALSE)+SUM(_xlfn.XLOOKUP(S111:AL111,增益!$A:$A,增益!$M:$M,0)))/100)</f>
        <v>-0.14</v>
      </c>
      <c r="BJ111" s="29" cm="1">
        <f t="array" ref="BJ111">$G$13+VLOOKUP($R111,武学奇术!$A:$ZZ,14,FALSE)+SUM(_xlfn.XLOOKUP(S111:AL111,增益!$A:$A,增益!$N:$N,0))</f>
        <v>0.02</v>
      </c>
      <c r="BK111">
        <f t="shared" si="41"/>
        <v>618.2</v>
      </c>
      <c r="BL111">
        <f t="shared" si="42"/>
        <v>1805</v>
      </c>
      <c r="BM111" s="29" cm="1">
        <f t="array" ref="BM111">IF($F$14-$I$4+VLOOKUP($R111,武学奇术!$A:$ZZ,15,FALSE)+SUM(_xlfn.XLOOKUP(S111:AL111,增益!$A:$A,增益!$O:$O,0))&gt;0,($F$14-$I$4+VLOOKUP($R111,武学奇术!$A:$ZZ,15,FALSE)+SUM(_xlfn.XLOOKUP(S111:AL111,增益!$A:$A,增益!$O:$O,0)))/200,($F$14-$I$4+VLOOKUP($R111,武学奇术!$A:$ZZ,15,FALSE)+SUM(_xlfn.XLOOKUP(S111:AL111,增益!$A:$A,增益!$O:$O,0)))/100)</f>
        <v>0.13</v>
      </c>
      <c r="BN111" s="29" cm="1">
        <f t="array" ref="BN111">$G$14+VLOOKUP($R111,武学奇术!$A:$ZZ,16,FALSE)+SUM(_xlfn.XLOOKUP(S111:AL111,增益!$A:$A,增益!$P:$P,0))</f>
        <v>0.44</v>
      </c>
      <c r="BO111" s="23">
        <f>MIN(IF(VLOOKUP($R111,武学奇术!$A:$ZZ,23,FALSE)=1,100%,$B$8),100%)</f>
        <v>0.9943</v>
      </c>
      <c r="BP111" s="23" cm="1">
        <f t="array" ref="BP111">IF(VLOOKUP($R111,武学奇术!$A:$ZZ,23,FALSE)=1,100%,MIN(80%,$B$9+VLOOKUP($R111,武学奇术!$A:$ZZ,17,FALSE)+SUM(_xlfn.XLOOKUP(S111:AL111,增益!$A:$A,增益!$Q:$Q,0)))+$B$11+SUM(_xlfn.XLOOKUP(S111:AL111,增益!$A:$A,增益!$U:$U,0)))*IF(VLOOKUP($R111,武学奇术!$A:$ZZ,24,FALSE)=1,0,1)</f>
        <v>0.8</v>
      </c>
      <c r="BQ111" s="23" cm="1">
        <f t="array" ref="BQ111">1+$B$13+VLOOKUP($R111,武学奇术!$A:$ZZ,18,FALSE)+SUM(_xlfn.XLOOKUP(S111:AL111,增益!$A:$A,增益!$R:$R,0))</f>
        <v>1.644</v>
      </c>
      <c r="BR111" s="23" cm="1">
        <f t="array" ref="BR111">IF(VLOOKUP($R111,武学奇术!$A:$ZZ,24,FALSE)=1,100%,MIN(40%,$B$10+VLOOKUP($R111,武学奇术!$A:$ZZ,19,FALSE)+SUM(_xlfn.XLOOKUP(S111:AL111,增益!$A:$A,增益!$S:$S,0)))+$B$12+SUM(_xlfn.XLOOKUP(S111:AL111,增益!$A:$A,增益!$V:$V,0)))*IF(VLOOKUP($R111,武学奇术!$A:$ZZ,23,FALSE)=1,0,1)</f>
        <v>0.0913</v>
      </c>
      <c r="BS111" s="23" cm="1">
        <f t="array" ref="BS111">1+$B$14+VLOOKUP($R111,武学奇术!$A:$ZZ,20,FALSE)+SUM(_xlfn.XLOOKUP(S111:AL111,增益!$A:$A,增益!$T:$T,0))</f>
        <v>1.35</v>
      </c>
      <c r="BT111" s="23">
        <f t="shared" si="43"/>
        <v>0.79544</v>
      </c>
      <c r="BU111" s="23">
        <f t="shared" si="44"/>
        <v>0.10808041</v>
      </c>
      <c r="BV111" s="23">
        <f>IF(VLOOKUP($R111,武学奇术!$A:$ZZ,22,FALSE)=1,0,(1-$BO111))*(1-$BR111)</f>
        <v>0.00517958999999993</v>
      </c>
      <c r="BW111" s="23" cm="1">
        <f t="array" ref="BW111">SUM(_xlfn.XLOOKUP(S111:AL111,增益!$A:$A,增益!$W:$W,0))+$I$5</f>
        <v>0.11</v>
      </c>
      <c r="BX111" s="23">
        <f>VLOOKUP($R111,武学奇术!$A:$ZZ,32,FALSE)</f>
        <v>0</v>
      </c>
      <c r="BY111" s="23" cm="1">
        <f t="array" ref="BY111">SUM(_xlfn.XLOOKUP($S111:$AL111,增益!$A:$A,增益!$X:$X,0))</f>
        <v>0</v>
      </c>
    </row>
    <row r="112" spans="1:77">
      <c r="A112" s="4" t="s">
        <v>176</v>
      </c>
      <c r="B112" s="4">
        <v>0.1</v>
      </c>
      <c r="K112" s="35">
        <f>$L112*VLOOKUP($R112,武学奇术!$A:$ZZ,31,FALSE)</f>
        <v>1461.71386042727</v>
      </c>
      <c r="L112" s="35">
        <f t="shared" si="34"/>
        <v>1433.05280434046</v>
      </c>
      <c r="M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轻击",$B$21,0))*(1+IF(VLOOKUP($R112,武学奇术!$A:$ZZ,30,FALSE)="老鼠",$B$22,0))*(1+$BW112)*(1+$BX112)</f>
        <v>1510.98292911292</v>
      </c>
      <c r="N112" s="35">
        <f>(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轻击",$B$21,0))*(1+IF(VLOOKUP($R112,武学奇术!$A:$ZZ,30,FALSE)="老鼠",$B$22,0))*(1+$BW112))*(1+$BX112)</f>
        <v>1398.30101668444</v>
      </c>
      <c r="O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轻击",$B$21,0))*(1+IF(VLOOKUP($R112,武学奇术!$A:$ZZ,30,FALSE)="老鼠",$B$22,0))*(1+$BW112)*(1+$BX112)</f>
        <v>919.089372939732</v>
      </c>
      <c r="P112" s="35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轻击",$B$21,0))*(1+IF(VLOOKUP($R112,武学奇术!$A:$ZZ,30,FALSE)="老鼠",$B$22,0))*(1+$BW112)*(1+$BX112)</f>
        <v>802.400215002097</v>
      </c>
      <c r="Q112" s="36">
        <v>1</v>
      </c>
      <c r="R112" s="37" t="s">
        <v>102</v>
      </c>
      <c r="S112" s="37" t="s">
        <v>91</v>
      </c>
      <c r="T112" s="37" t="s">
        <v>185</v>
      </c>
      <c r="U112" s="37" t="s">
        <v>81</v>
      </c>
      <c r="V112" s="37" t="s">
        <v>81</v>
      </c>
      <c r="W112" s="37" t="s">
        <v>82</v>
      </c>
      <c r="X112" s="37" t="s">
        <v>81</v>
      </c>
      <c r="Y112" s="37" t="s">
        <v>81</v>
      </c>
      <c r="Z112" s="37" t="s">
        <v>81</v>
      </c>
      <c r="AA112" s="37" t="s">
        <v>84</v>
      </c>
      <c r="AB112" s="37" t="s">
        <v>81</v>
      </c>
      <c r="AC112" s="37" t="s">
        <v>81</v>
      </c>
      <c r="AD112" s="37" t="s">
        <v>81</v>
      </c>
      <c r="AE112" s="37" t="s">
        <v>81</v>
      </c>
      <c r="AF112" s="37" t="s">
        <v>81</v>
      </c>
      <c r="AG112" s="37" t="s">
        <v>87</v>
      </c>
      <c r="AH112" s="37" t="s">
        <v>88</v>
      </c>
      <c r="AI112" s="37" t="s">
        <v>81</v>
      </c>
      <c r="AJ112" s="37" t="s">
        <v>81</v>
      </c>
      <c r="AK112" s="37" t="s">
        <v>81</v>
      </c>
      <c r="AL112" s="37" t="s">
        <v>81</v>
      </c>
      <c r="AM112" t="str">
        <f>VLOOKUP($R112,武学奇术!$A:$ZZ,25,FALSE)</f>
        <v>绳镖</v>
      </c>
      <c r="AN112" s="23">
        <f>VLOOKUP($R112,武学奇术!$A:$ZZ,26,FALSE)</f>
        <v>0.0621</v>
      </c>
      <c r="AO112" s="24">
        <f>VLOOKUP($R112,武学奇术!$A:$ZZ,27,FALSE)*(1+IF(OR($AM112=$F$4,$AM112=$F$5),$B$23,0))</f>
        <v>27.2</v>
      </c>
      <c r="AP112" s="23">
        <f>VLOOKUP($R112,武学奇术!$A:$ZZ,28,FALSE)</f>
        <v>0.0932</v>
      </c>
      <c r="AQ112" s="24">
        <f>VLOOKUP($R112,武学奇术!$A:$ZZ,29,FALSE)*(1+IF(OR($AM112=$F$4,$AM112=$F$5),$B$23,0))</f>
        <v>14.4</v>
      </c>
      <c r="AR112" s="23" cm="1">
        <f t="array" ref="AR112">$G$3+IFERROR(VLOOKUP($AM112,$F$4:$G$7,2,FALSE),0)+VLOOKUP($R112,武学奇术!$A:$ZZ,2,FALSE)+SUM(_xlfn.XLOOKUP($S112:$AL112,增益!$A:$A,增益!$B:$B,0))</f>
        <v>0.5043</v>
      </c>
      <c r="AS112" s="23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4081.7</v>
      </c>
      <c r="AU112" cm="1">
        <f t="array" ref="AU112">$E$10*(1+$AS112)+VLOOKUP($R112,武学奇术!$A:$ZZ,4,FALSE)+SUM(_xlfn.XLOOKUP($S112:$AL112,增益!$A:$A,增益!$D:$D,0))-$I$2</f>
        <v>4081.7</v>
      </c>
      <c r="AV112" s="29" cm="1">
        <f t="array" ref="AV112">IF($F$10-$I$3+VLOOKUP($R112,武学奇术!$A:$ZZ,6,FALSE)+SUM(_xlfn.XLOOKUP(S112:AL112,增益!$A:$A,增益!$F:$F,0))&gt;0,($F$10-$I$3+VLOOKUP($R112,武学奇术!$A:$ZZ,6,FALSE)+SUM(_xlfn.XLOOKUP(S112:AL112,增益!$A:$A,增益!$F:$F,0)))/200,($F$10-$I$3+VLOOKUP($R112,武学奇术!$A:$ZZ,6,FALSE)+SUM(_xlfn.XLOOKUP(S112:AL112,增益!$A:$A,增益!$F:$F,0)))/100)</f>
        <v>0.3289</v>
      </c>
      <c r="AW112" s="29" cm="1">
        <f t="array" ref="AW112">$G$10+VLOOKUP($R112,武学奇术!$A:$ZZ,7,FALSE)+SUM(_xlfn.XLOOKUP(S112:AL112,增益!$A:$A,增益!$G:$G,0))</f>
        <v>0.02</v>
      </c>
      <c r="AX112" s="23" cm="1">
        <f t="array" ref="AX112">VLOOKUP($R112,武学奇术!$A:$ZZ,8,FALSE)+SUM(_xlfn.XLOOKUP(S112:AL112,增益!$A:$A,增益!$H:$H,0))</f>
        <v>0</v>
      </c>
      <c r="AY112">
        <f t="shared" si="35"/>
        <v>0</v>
      </c>
      <c r="AZ112">
        <f t="shared" si="36"/>
        <v>0</v>
      </c>
      <c r="BA112" s="29" cm="1">
        <f t="array" ref="BA112">IF($F$11-$I$4+VLOOKUP($R112,武学奇术!$A:$ZZ,9,FALSE)+SUM(_xlfn.XLOOKUP(S112:AL112,增益!$A:$A,增益!$I:$I,0))&gt;0,($F$11-$I$4+VLOOKUP($R112,武学奇术!$A:$ZZ,9,FALSE)+SUM(_xlfn.XLOOKUP(S112:AL112,增益!$A:$A,增益!$I:$I,0)))/200,($F$11-$I$4+VLOOKUP($R112,武学奇术!$A:$ZZ,9,FALSE)+SUM(_xlfn.XLOOKUP(S112:AL112,增益!$A:$A,增益!$I:$I,0)))/100)</f>
        <v>-0.14</v>
      </c>
      <c r="BB112" s="29" cm="1">
        <f t="array" ref="BB112">$G$11+VLOOKUP($R112,武学奇术!$A:$ZZ,10,FALSE)+SUM(_xlfn.XLOOKUP(S112:AL112,增益!$A:$A,增益!$J:$J,0))</f>
        <v>0.02</v>
      </c>
      <c r="BC112">
        <f t="shared" si="37"/>
        <v>0</v>
      </c>
      <c r="BD112">
        <f t="shared" si="38"/>
        <v>0</v>
      </c>
      <c r="BE112" s="29" cm="1">
        <f t="array" ref="BE112">IF($F$12-$I$4+VLOOKUP($R112,武学奇术!$A:$ZZ,11,FALSE)+SUM(_xlfn.XLOOKUP(S112:AL112,增益!$A:$A,增益!$K:$K,0))&gt;0,($F$12-$I$4+VLOOKUP($R112,武学奇术!$A:$ZZ,11,FALSE)+SUM(_xlfn.XLOOKUP(S112:AL112,增益!$A:$A,增益!$K:$K,0)))/200,($F$12-$I$4+VLOOKUP($R112,武学奇术!$A:$ZZ,11,FALSE)+SUM(_xlfn.XLOOKUP(S112:AL112,增益!$A:$A,增益!$K:$K,0)))/100)</f>
        <v>-0.14</v>
      </c>
      <c r="BF112" s="29" cm="1">
        <f t="array" ref="BF112">$G$12+VLOOKUP($R112,武学奇术!$A:$ZZ,12,FALSE)+SUM(_xlfn.XLOOKUP(S112:AL112,增益!$A:$A,增益!$L:$L,0))</f>
        <v>0.02</v>
      </c>
      <c r="BG112">
        <f t="shared" si="39"/>
        <v>0</v>
      </c>
      <c r="BH112">
        <f t="shared" si="40"/>
        <v>0</v>
      </c>
      <c r="BI112" s="29" cm="1">
        <f t="array" ref="BI112">IF($F$13-$I$4+VLOOKUP($R112,武学奇术!$A:$ZZ,13,FALSE)+SUM(_xlfn.XLOOKUP(S112:AL112,增益!$A:$A,增益!$M:$M,0))&gt;0,($F$13-$I$4+VLOOKUP($R112,武学奇术!$A:$ZZ,13,FALSE)+SUM(_xlfn.XLOOKUP(S112:AL112,增益!$A:$A,增益!$K:$K,0)))/200,($F$13-$I$4+VLOOKUP($R112,武学奇术!$A:$ZZ,13,FALSE)+SUM(_xlfn.XLOOKUP(S112:AL112,增益!$A:$A,增益!$M:$M,0)))/100)</f>
        <v>-0.14</v>
      </c>
      <c r="BJ112" s="29" cm="1">
        <f t="array" ref="BJ112">$G$13+VLOOKUP($R112,武学奇术!$A:$ZZ,14,FALSE)+SUM(_xlfn.XLOOKUP(S112:AL112,增益!$A:$A,增益!$N:$N,0))</f>
        <v>0.02</v>
      </c>
      <c r="BK112">
        <f t="shared" si="41"/>
        <v>618.2</v>
      </c>
      <c r="BL112">
        <f t="shared" si="42"/>
        <v>1805</v>
      </c>
      <c r="BM112" s="29" cm="1">
        <f t="array" ref="BM112">IF($F$14-$I$4+VLOOKUP($R112,武学奇术!$A:$ZZ,15,FALSE)+SUM(_xlfn.XLOOKUP(S112:AL112,增益!$A:$A,增益!$O:$O,0))&gt;0,($F$14-$I$4+VLOOKUP($R112,武学奇术!$A:$ZZ,15,FALSE)+SUM(_xlfn.XLOOKUP(S112:AL112,增益!$A:$A,增益!$O:$O,0)))/200,($F$14-$I$4+VLOOKUP($R112,武学奇术!$A:$ZZ,15,FALSE)+SUM(_xlfn.XLOOKUP(S112:AL112,增益!$A:$A,增益!$O:$O,0)))/100)</f>
        <v>0.08</v>
      </c>
      <c r="BN112" s="29" cm="1">
        <f t="array" ref="BN112">$G$14+VLOOKUP($R112,武学奇术!$A:$ZZ,16,FALSE)+SUM(_xlfn.XLOOKUP(S112:AL112,增益!$A:$A,增益!$P:$P,0))</f>
        <v>0.17</v>
      </c>
      <c r="BO112" s="23">
        <f>MIN(IF(VLOOKUP($R112,武学奇术!$A:$ZZ,23,FALSE)=1,100%,$B$8),100%)</f>
        <v>0.9943</v>
      </c>
      <c r="BP112" s="23" cm="1">
        <f t="array" ref="BP112">IF(VLOOKUP($R112,武学奇术!$A:$ZZ,23,FALSE)=1,100%,MIN(80%,$B$9+VLOOKUP($R112,武学奇术!$A:$ZZ,17,FALSE)+SUM(_xlfn.XLOOKUP(S112:AL112,增益!$A:$A,增益!$Q:$Q,0)))+$B$11+SUM(_xlfn.XLOOKUP(S112:AL112,增益!$A:$A,增益!$U:$U,0)))*IF(VLOOKUP($R112,武学奇术!$A:$ZZ,24,FALSE)=1,0,1)</f>
        <v>0.8</v>
      </c>
      <c r="BQ112" s="23" cm="1">
        <f t="array" ref="BQ112">1+$B$13+VLOOKUP($R112,武学奇术!$A:$ZZ,18,FALSE)+SUM(_xlfn.XLOOKUP(S112:AL112,增益!$A:$A,增益!$R:$R,0))</f>
        <v>1.644</v>
      </c>
      <c r="BR112" s="23" cm="1">
        <f t="array" ref="BR112">IF(VLOOKUP($R112,武学奇术!$A:$ZZ,24,FALSE)=1,100%,MIN(40%,$B$10+VLOOKUP($R112,武学奇术!$A:$ZZ,19,FALSE)+SUM(_xlfn.XLOOKUP(S112:AL112,增益!$A:$A,增益!$S:$S,0)))+$B$12+SUM(_xlfn.XLOOKUP(S112:AL112,增益!$A:$A,增益!$V:$V,0)))*IF(VLOOKUP($R112,武学奇术!$A:$ZZ,23,FALSE)=1,0,1)</f>
        <v>0.0913</v>
      </c>
      <c r="BS112" s="23" cm="1">
        <f t="array" ref="BS112">1+$B$14+VLOOKUP($R112,武学奇术!$A:$ZZ,20,FALSE)+SUM(_xlfn.XLOOKUP(S112:AL112,增益!$A:$A,增益!$T:$T,0))</f>
        <v>1.35</v>
      </c>
      <c r="BT112" s="23">
        <f t="shared" si="43"/>
        <v>0.79544</v>
      </c>
      <c r="BU112" s="23">
        <f t="shared" si="44"/>
        <v>0.10808041</v>
      </c>
      <c r="BV112" s="23">
        <f>IF(VLOOKUP($R112,武学奇术!$A:$ZZ,22,FALSE)=1,0,(1-$BO112))*(1-$BR112)</f>
        <v>0.00517958999999993</v>
      </c>
      <c r="BW112" s="23" cm="1">
        <f t="array" ref="BW112">SUM(_xlfn.XLOOKUP(S112:AL112,增益!$A:$A,增益!$W:$W,0))+$I$5</f>
        <v>0.11</v>
      </c>
      <c r="BX112" s="23">
        <f>VLOOKUP($R112,武学奇术!$A:$ZZ,32,FALSE)</f>
        <v>0</v>
      </c>
      <c r="BY112" s="23" cm="1">
        <f t="array" ref="BY112">SUM(_xlfn.XLOOKUP($S112:$AL112,增益!$A:$A,增益!$X:$X,0))</f>
        <v>0</v>
      </c>
    </row>
    <row r="113" spans="1:77">
      <c r="A113" s="4" t="s">
        <v>102</v>
      </c>
      <c r="B113" s="4">
        <v>1</v>
      </c>
      <c r="K113" s="35">
        <f>$L113*VLOOKUP($R113,武学奇术!$A:$ZZ,31,FALSE)</f>
        <v>104734.895556978</v>
      </c>
      <c r="L113" s="69">
        <f t="shared" si="34"/>
        <v>102681.2701539</v>
      </c>
      <c r="M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轻击",$B$21,0))*(1+IF(VLOOKUP($R113,武学奇术!$A:$ZZ,30,FALSE)="老鼠",$B$22,0))*(1+$BW113)*(1+$BX113)</f>
        <v>108127.265275266</v>
      </c>
      <c r="N113" s="35">
        <f>(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轻击",$B$21,0))*(1+IF(VLOOKUP($R113,武学奇术!$A:$ZZ,30,FALSE)="老鼠",$B$22,0))*(1+$BW113))*(1+$BX113)</f>
        <v>101558.596739273</v>
      </c>
      <c r="O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轻击",$B$21,0))*(1+IF(VLOOKUP($R113,武学奇术!$A:$ZZ,30,FALSE)="老鼠",$B$22,0))*(1+$BW113)*(1+$BX113)</f>
        <v>65770.8426248577</v>
      </c>
      <c r="P113" s="35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轻击",$B$21,0))*(1+IF(VLOOKUP($R113,武学奇术!$A:$ZZ,30,FALSE)="老鼠",$B$22,0))*(1+$BW113)*(1+$BX113)</f>
        <v>56313.0950724759</v>
      </c>
      <c r="Q113" s="70">
        <v>5</v>
      </c>
      <c r="R113" s="37" t="s">
        <v>106</v>
      </c>
      <c r="S113" s="37" t="s">
        <v>91</v>
      </c>
      <c r="T113" s="37" t="s">
        <v>185</v>
      </c>
      <c r="U113" s="37" t="s">
        <v>112</v>
      </c>
      <c r="V113" s="37" t="s">
        <v>113</v>
      </c>
      <c r="W113" s="37" t="s">
        <v>82</v>
      </c>
      <c r="X113" s="37" t="s">
        <v>81</v>
      </c>
      <c r="Y113" s="37" t="s">
        <v>109</v>
      </c>
      <c r="Z113" s="37" t="s">
        <v>81</v>
      </c>
      <c r="AA113" s="37" t="s">
        <v>84</v>
      </c>
      <c r="AB113" s="37" t="s">
        <v>81</v>
      </c>
      <c r="AC113" s="37" t="s">
        <v>81</v>
      </c>
      <c r="AD113" s="37" t="s">
        <v>81</v>
      </c>
      <c r="AE113" s="37" t="s">
        <v>81</v>
      </c>
      <c r="AF113" s="37" t="s">
        <v>81</v>
      </c>
      <c r="AG113" s="37" t="s">
        <v>87</v>
      </c>
      <c r="AH113" s="37" t="s">
        <v>88</v>
      </c>
      <c r="AI113" s="37" t="s">
        <v>81</v>
      </c>
      <c r="AJ113" s="37" t="s">
        <v>81</v>
      </c>
      <c r="AK113" s="37" t="s">
        <v>81</v>
      </c>
      <c r="AL113" s="37" t="s">
        <v>81</v>
      </c>
      <c r="AM113" t="str">
        <f>VLOOKUP($R113,武学奇术!$A:$ZZ,25,FALSE)</f>
        <v>绳镖</v>
      </c>
      <c r="AN113" s="23">
        <f>VLOOKUP($R113,武学奇术!$A:$ZZ,26,FALSE)</f>
        <v>0.3675</v>
      </c>
      <c r="AO113" s="24">
        <f>VLOOKUP($R113,武学奇术!$A:$ZZ,27,FALSE)*(1+IF(OR($AM113=$F$4,$AM113=$F$5),$B$23,0))</f>
        <v>0</v>
      </c>
      <c r="AP113" s="23">
        <f>VLOOKUP($R113,武学奇术!$A:$ZZ,28,FALSE)</f>
        <v>0.55125</v>
      </c>
      <c r="AQ113" s="24">
        <f>VLOOKUP($R113,武学奇术!$A:$ZZ,29,FALSE)*(1+IF(OR($AM113=$F$4,$AM113=$F$5),$B$23,0))</f>
        <v>0</v>
      </c>
      <c r="AR113" s="23" cm="1">
        <f t="array" ref="AR113">$G$3+IFERROR(VLOOKUP($AM113,$F$4:$G$7,2,FALSE),0)+VLOOKUP($R113,武学奇术!$A:$ZZ,2,FALSE)+SUM(_xlfn.XLOOKUP($S113:$AL113,增益!$A:$A,增益!$B:$B,0))</f>
        <v>1.4243</v>
      </c>
      <c r="AS113" s="23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4150.4</v>
      </c>
      <c r="AU113" cm="1">
        <f t="array" ref="AU113">$E$10*(1+$AS113)+VLOOKUP($R113,武学奇术!$A:$ZZ,4,FALSE)+SUM(_xlfn.XLOOKUP($S113:$AL113,增益!$A:$A,增益!$D:$D,0))-$I$2</f>
        <v>4150.4</v>
      </c>
      <c r="AV113" s="29" cm="1">
        <f t="array" ref="AV113">IF($F$10-$I$3+VLOOKUP($R113,武学奇术!$A:$ZZ,6,FALSE)+SUM(_xlfn.XLOOKUP(S113:AL113,增益!$A:$A,增益!$F:$F,0))&gt;0,($F$10-$I$3+VLOOKUP($R113,武学奇术!$A:$ZZ,6,FALSE)+SUM(_xlfn.XLOOKUP(S113:AL113,增益!$A:$A,增益!$F:$F,0)))/200,($F$10-$I$3+VLOOKUP($R113,武学奇术!$A:$ZZ,6,FALSE)+SUM(_xlfn.XLOOKUP(S113:AL113,增益!$A:$A,增益!$F:$F,0)))/100)</f>
        <v>0.3289</v>
      </c>
      <c r="AW113" s="29" cm="1">
        <f t="array" ref="AW113">$G$10+VLOOKUP($R113,武学奇术!$A:$ZZ,7,FALSE)+SUM(_xlfn.XLOOKUP(S113:AL113,增益!$A:$A,增益!$G:$G,0))</f>
        <v>0.29</v>
      </c>
      <c r="AX113" s="23" cm="1">
        <f t="array" ref="AX113">VLOOKUP($R113,武学奇术!$A:$ZZ,8,FALSE)+SUM(_xlfn.XLOOKUP(S113:AL113,增益!$A:$A,增益!$H:$H,0))</f>
        <v>0</v>
      </c>
      <c r="AY113">
        <f t="shared" si="35"/>
        <v>0</v>
      </c>
      <c r="AZ113">
        <f t="shared" si="36"/>
        <v>0</v>
      </c>
      <c r="BA113" s="29" cm="1">
        <f t="array" ref="BA113">IF($F$11-$I$4+VLOOKUP($R113,武学奇术!$A:$ZZ,9,FALSE)+SUM(_xlfn.XLOOKUP(S113:AL113,增益!$A:$A,增益!$I:$I,0))&gt;0,($F$11-$I$4+VLOOKUP($R113,武学奇术!$A:$ZZ,9,FALSE)+SUM(_xlfn.XLOOKUP(S113:AL113,增益!$A:$A,增益!$I:$I,0)))/200,($F$11-$I$4+VLOOKUP($R113,武学奇术!$A:$ZZ,9,FALSE)+SUM(_xlfn.XLOOKUP(S113:AL113,增益!$A:$A,增益!$I:$I,0)))/100)</f>
        <v>-0.14</v>
      </c>
      <c r="BB113" s="29" cm="1">
        <f t="array" ref="BB113">$G$11+VLOOKUP($R113,武学奇术!$A:$ZZ,10,FALSE)+SUM(_xlfn.XLOOKUP(S113:AL113,增益!$A:$A,增益!$J:$J,0))</f>
        <v>0.02</v>
      </c>
      <c r="BC113">
        <f t="shared" si="37"/>
        <v>0</v>
      </c>
      <c r="BD113">
        <f t="shared" si="38"/>
        <v>0</v>
      </c>
      <c r="BE113" s="29" cm="1">
        <f t="array" ref="BE113">IF($F$12-$I$4+VLOOKUP($R113,武学奇术!$A:$ZZ,11,FALSE)+SUM(_xlfn.XLOOKUP(S113:AL113,增益!$A:$A,增益!$K:$K,0))&gt;0,($F$12-$I$4+VLOOKUP($R113,武学奇术!$A:$ZZ,11,FALSE)+SUM(_xlfn.XLOOKUP(S113:AL113,增益!$A:$A,增益!$K:$K,0)))/200,($F$12-$I$4+VLOOKUP($R113,武学奇术!$A:$ZZ,11,FALSE)+SUM(_xlfn.XLOOKUP(S113:AL113,增益!$A:$A,增益!$K:$K,0)))/100)</f>
        <v>-0.14</v>
      </c>
      <c r="BF113" s="29" cm="1">
        <f t="array" ref="BF113">$G$12+VLOOKUP($R113,武学奇术!$A:$ZZ,12,FALSE)+SUM(_xlfn.XLOOKUP(S113:AL113,增益!$A:$A,增益!$L:$L,0))</f>
        <v>0.02</v>
      </c>
      <c r="BG113">
        <f t="shared" si="39"/>
        <v>0</v>
      </c>
      <c r="BH113">
        <f t="shared" si="40"/>
        <v>0</v>
      </c>
      <c r="BI113" s="29" cm="1">
        <f t="array" ref="BI113">IF($F$13-$I$4+VLOOKUP($R113,武学奇术!$A:$ZZ,13,FALSE)+SUM(_xlfn.XLOOKUP(S113:AL113,增益!$A:$A,增益!$M:$M,0))&gt;0,($F$13-$I$4+VLOOKUP($R113,武学奇术!$A:$ZZ,13,FALSE)+SUM(_xlfn.XLOOKUP(S113:AL113,增益!$A:$A,增益!$K:$K,0)))/200,($F$13-$I$4+VLOOKUP($R113,武学奇术!$A:$ZZ,13,FALSE)+SUM(_xlfn.XLOOKUP(S113:AL113,增益!$A:$A,增益!$M:$M,0)))/100)</f>
        <v>-0.14</v>
      </c>
      <c r="BJ113" s="29" cm="1">
        <f t="array" ref="BJ113">$G$13+VLOOKUP($R113,武学奇术!$A:$ZZ,14,FALSE)+SUM(_xlfn.XLOOKUP(S113:AL113,增益!$A:$A,增益!$N:$N,0))</f>
        <v>0.02</v>
      </c>
      <c r="BK113">
        <f t="shared" si="41"/>
        <v>618.2</v>
      </c>
      <c r="BL113">
        <f t="shared" si="42"/>
        <v>1805</v>
      </c>
      <c r="BM113" s="29" cm="1">
        <f t="array" ref="BM113">IF($F$14-$I$4+VLOOKUP($R113,武学奇术!$A:$ZZ,15,FALSE)+SUM(_xlfn.XLOOKUP(S113:AL113,增益!$A:$A,增益!$O:$O,0))&gt;0,($F$14-$I$4+VLOOKUP($R113,武学奇术!$A:$ZZ,15,FALSE)+SUM(_xlfn.XLOOKUP(S113:AL113,增益!$A:$A,增益!$O:$O,0)))/200,($F$14-$I$4+VLOOKUP($R113,武学奇术!$A:$ZZ,15,FALSE)+SUM(_xlfn.XLOOKUP(S113:AL113,增益!$A:$A,增益!$O:$O,0)))/100)</f>
        <v>0.13</v>
      </c>
      <c r="BN113" s="29" cm="1">
        <f t="array" ref="BN113">$G$14+VLOOKUP($R113,武学奇术!$A:$ZZ,16,FALSE)+SUM(_xlfn.XLOOKUP(S113:AL113,增益!$A:$A,增益!$P:$P,0))</f>
        <v>0.44</v>
      </c>
      <c r="BO113" s="23">
        <f>MIN(IF(VLOOKUP($R113,武学奇术!$A:$ZZ,23,FALSE)=1,100%,$B$8),100%)</f>
        <v>0.9943</v>
      </c>
      <c r="BP113" s="23" cm="1">
        <f t="array" ref="BP113">IF(VLOOKUP($R113,武学奇术!$A:$ZZ,23,FALSE)=1,100%,MIN(80%,$B$9+VLOOKUP($R113,武学奇术!$A:$ZZ,17,FALSE)+SUM(_xlfn.XLOOKUP(S113:AL113,增益!$A:$A,增益!$Q:$Q,0)))+$B$11+SUM(_xlfn.XLOOKUP(S113:AL113,增益!$A:$A,增益!$U:$U,0)))*IF(VLOOKUP($R113,武学奇术!$A:$ZZ,24,FALSE)=1,0,1)</f>
        <v>0.8</v>
      </c>
      <c r="BQ113" s="23" cm="1">
        <f t="array" ref="BQ113">1+$B$13+VLOOKUP($R113,武学奇术!$A:$ZZ,18,FALSE)+SUM(_xlfn.XLOOKUP(S113:AL113,增益!$A:$A,增益!$R:$R,0))</f>
        <v>1.644</v>
      </c>
      <c r="BR113" s="23" cm="1">
        <f t="array" ref="BR113">IF(VLOOKUP($R113,武学奇术!$A:$ZZ,24,FALSE)=1,100%,MIN(40%,$B$10+VLOOKUP($R113,武学奇术!$A:$ZZ,19,FALSE)+SUM(_xlfn.XLOOKUP(S113:AL113,增益!$A:$A,增益!$S:$S,0)))+$B$12+SUM(_xlfn.XLOOKUP(S113:AL113,增益!$A:$A,增益!$V:$V,0)))*IF(VLOOKUP($R113,武学奇术!$A:$ZZ,23,FALSE)=1,0,1)</f>
        <v>0.0913</v>
      </c>
      <c r="BS113" s="23" cm="1">
        <f t="array" ref="BS113">1+$B$14+VLOOKUP($R113,武学奇术!$A:$ZZ,20,FALSE)+SUM(_xlfn.XLOOKUP(S113:AL113,增益!$A:$A,增益!$T:$T,0))</f>
        <v>1.35</v>
      </c>
      <c r="BT113" s="23">
        <f t="shared" si="43"/>
        <v>0.79544</v>
      </c>
      <c r="BU113" s="23">
        <f t="shared" si="44"/>
        <v>0.10808041</v>
      </c>
      <c r="BV113" s="23">
        <f>IF(VLOOKUP($R113,武学奇术!$A:$ZZ,22,FALSE)=1,0,(1-$BO113))*(1-$BR113)</f>
        <v>0.00517958999999993</v>
      </c>
      <c r="BW113" s="23" cm="1">
        <f t="array" ref="BW113">SUM(_xlfn.XLOOKUP(S113:AL113,增益!$A:$A,增益!$W:$W,0))+$I$5</f>
        <v>0.11</v>
      </c>
      <c r="BX113" s="23">
        <f>VLOOKUP($R113,武学奇术!$A:$ZZ,32,FALSE)</f>
        <v>0</v>
      </c>
      <c r="BY113" s="23" cm="1">
        <f t="array" ref="BY113">SUM(_xlfn.XLOOKUP($S113:$AL113,增益!$A:$A,增益!$X:$X,0))</f>
        <v>0</v>
      </c>
    </row>
    <row r="114" spans="1:77">
      <c r="A114" s="93"/>
      <c r="K114" s="35">
        <f>$L114*VLOOKUP($R114,武学奇术!$A:$ZZ,31,FALSE)</f>
        <v>256067.120816496</v>
      </c>
      <c r="L114" s="90">
        <f>SUM(L86,L88,L91,L96,L100,L104,L109,L111,L113)*30%*(1+BY114)</f>
        <v>502092.393757836</v>
      </c>
      <c r="M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轻击",$B$21,0))*(1+IF(VLOOKUP($R114,武学奇术!$A:$ZZ,30,FALSE)="老鼠",$B$22,0))*(1+$BW114)*(1+$BX114)</f>
        <v>0</v>
      </c>
      <c r="N114" s="35">
        <f>(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轻击",$B$21,0))*(1+IF(VLOOKUP($R114,武学奇术!$A:$ZZ,30,FALSE)="老鼠",$B$22,0))*(1+$BW114))*(1+$BX114)</f>
        <v>0</v>
      </c>
      <c r="O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轻击",$B$21,0))*(1+IF(VLOOKUP($R114,武学奇术!$A:$ZZ,30,FALSE)="老鼠",$B$22,0))*(1+$BW114)*(1+$BX114)</f>
        <v>0</v>
      </c>
      <c r="P114" s="35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轻击",$B$21,0))*(1+IF(VLOOKUP($R114,武学奇术!$A:$ZZ,30,FALSE)="老鼠",$B$22,0))*(1+$BW114)*(1+$BX114)</f>
        <v>0</v>
      </c>
      <c r="Q114" s="36">
        <v>1</v>
      </c>
      <c r="R114" s="37" t="s">
        <v>177</v>
      </c>
      <c r="S114" s="37" t="s">
        <v>178</v>
      </c>
      <c r="T114" s="37" t="s">
        <v>81</v>
      </c>
      <c r="U114" s="37" t="s">
        <v>81</v>
      </c>
      <c r="V114" s="37" t="s">
        <v>81</v>
      </c>
      <c r="W114" s="37" t="s">
        <v>81</v>
      </c>
      <c r="X114" s="37" t="s">
        <v>81</v>
      </c>
      <c r="Y114" s="37" t="s">
        <v>81</v>
      </c>
      <c r="Z114" s="37" t="s">
        <v>81</v>
      </c>
      <c r="AA114" s="37" t="s">
        <v>81</v>
      </c>
      <c r="AB114" s="37" t="s">
        <v>81</v>
      </c>
      <c r="AC114" s="37" t="s">
        <v>81</v>
      </c>
      <c r="AD114" s="37" t="s">
        <v>81</v>
      </c>
      <c r="AE114" s="37" t="s">
        <v>81</v>
      </c>
      <c r="AF114" s="37" t="s">
        <v>81</v>
      </c>
      <c r="AG114" s="37" t="s">
        <v>87</v>
      </c>
      <c r="AH114" s="37" t="s">
        <v>88</v>
      </c>
      <c r="AI114" s="37" t="s">
        <v>81</v>
      </c>
      <c r="AJ114" s="37" t="s">
        <v>81</v>
      </c>
      <c r="AK114" s="37" t="s">
        <v>81</v>
      </c>
      <c r="AL114" s="37" t="s">
        <v>81</v>
      </c>
      <c r="AM114" t="str">
        <f>VLOOKUP($R114,武学奇术!$A:$ZZ,25,FALSE)</f>
        <v>心法</v>
      </c>
      <c r="AN114" s="23">
        <f>VLOOKUP($R114,武学奇术!$A:$ZZ,26,FALSE)</f>
        <v>0</v>
      </c>
      <c r="AO114" s="24">
        <f>VLOOKUP($R114,武学奇术!$A:$ZZ,27,FALSE)*(1+IF(OR($AM114=$F$4,$AM114=$F$5),$B$23,0))</f>
        <v>0</v>
      </c>
      <c r="AP114" s="23">
        <f>VLOOKUP($R114,武学奇术!$A:$ZZ,28,FALSE)</f>
        <v>0</v>
      </c>
      <c r="AQ114" s="24">
        <f>VLOOKUP($R114,武学奇术!$A:$ZZ,29,FALSE)*(1+IF(OR($AM114=$F$4,$AM114=$F$5),$B$23,0))</f>
        <v>0</v>
      </c>
      <c r="AR114" s="23" cm="1">
        <f t="array" ref="AR114">$G$3+IFERROR(VLOOKUP($AM114,$F$4:$G$7,2,FALSE),0)+VLOOKUP($R114,武学奇术!$A:$ZZ,2,FALSE)+SUM(_xlfn.XLOOKUP($S114:$AL114,增益!$A:$A,增益!$B:$B,0))</f>
        <v>0.1842</v>
      </c>
      <c r="AS114" s="23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4081.7</v>
      </c>
      <c r="AU114" cm="1">
        <f t="array" ref="AU114">$E$10*(1+$AS114)+VLOOKUP($R114,武学奇术!$A:$ZZ,4,FALSE)+SUM(_xlfn.XLOOKUP($S114:$AL114,增益!$A:$A,增益!$D:$D,0))-$I$2</f>
        <v>4081.7</v>
      </c>
      <c r="AV114" s="29" cm="1">
        <f t="array" ref="AV114">IF($F$10-$I$3+VLOOKUP($R114,武学奇术!$A:$ZZ,6,FALSE)+SUM(_xlfn.XLOOKUP(S114:AL114,增益!$A:$A,增益!$F:$F,0))&gt;0,($F$10-$I$3+VLOOKUP($R114,武学奇术!$A:$ZZ,6,FALSE)+SUM(_xlfn.XLOOKUP(S114:AL114,增益!$A:$A,增益!$F:$F,0)))/200,($F$10-$I$3+VLOOKUP($R114,武学奇术!$A:$ZZ,6,FALSE)+SUM(_xlfn.XLOOKUP(S114:AL114,增益!$A:$A,增益!$F:$F,0)))/100)</f>
        <v>0.2789</v>
      </c>
      <c r="AW114" s="29" cm="1">
        <f t="array" ref="AW114">$G$10+VLOOKUP($R114,武学奇术!$A:$ZZ,7,FALSE)+SUM(_xlfn.XLOOKUP(S114:AL114,增益!$A:$A,增益!$G:$G,0))</f>
        <v>0.02</v>
      </c>
      <c r="AX114" s="23" cm="1">
        <f t="array" ref="AX114">VLOOKUP($R114,武学奇术!$A:$ZZ,8,FALSE)+SUM(_xlfn.XLOOKUP(S114:AL114,增益!$A:$A,增益!$H:$H,0))</f>
        <v>0</v>
      </c>
      <c r="AY114">
        <f t="shared" si="35"/>
        <v>0</v>
      </c>
      <c r="AZ114">
        <f t="shared" si="36"/>
        <v>0</v>
      </c>
      <c r="BA114" s="29" cm="1">
        <f t="array" ref="BA114">IF($F$11-$I$4+VLOOKUP($R114,武学奇术!$A:$ZZ,9,FALSE)+SUM(_xlfn.XLOOKUP(S114:AL114,增益!$A:$A,增益!$I:$I,0))&gt;0,($F$11-$I$4+VLOOKUP($R114,武学奇术!$A:$ZZ,9,FALSE)+SUM(_xlfn.XLOOKUP(S114:AL114,增益!$A:$A,增益!$I:$I,0)))/200,($F$11-$I$4+VLOOKUP($R114,武学奇术!$A:$ZZ,9,FALSE)+SUM(_xlfn.XLOOKUP(S114:AL114,增益!$A:$A,增益!$I:$I,0)))/100)</f>
        <v>-0.3</v>
      </c>
      <c r="BB114" s="29" cm="1">
        <f t="array" ref="BB114">$G$11+VLOOKUP($R114,武学奇术!$A:$ZZ,10,FALSE)+SUM(_xlfn.XLOOKUP(S114:AL114,增益!$A:$A,增益!$J:$J,0))</f>
        <v>0.02</v>
      </c>
      <c r="BC114">
        <f t="shared" si="37"/>
        <v>0</v>
      </c>
      <c r="BD114">
        <f t="shared" si="38"/>
        <v>0</v>
      </c>
      <c r="BE114" s="29" cm="1">
        <f t="array" ref="BE114">IF($F$12-$I$4+VLOOKUP($R114,武学奇术!$A:$ZZ,11,FALSE)+SUM(_xlfn.XLOOKUP(S114:AL114,增益!$A:$A,增益!$K:$K,0))&gt;0,($F$12-$I$4+VLOOKUP($R114,武学奇术!$A:$ZZ,11,FALSE)+SUM(_xlfn.XLOOKUP(S114:AL114,增益!$A:$A,增益!$K:$K,0)))/200,($F$12-$I$4+VLOOKUP($R114,武学奇术!$A:$ZZ,11,FALSE)+SUM(_xlfn.XLOOKUP(S114:AL114,增益!$A:$A,增益!$K:$K,0)))/100)</f>
        <v>-0.3</v>
      </c>
      <c r="BF114" s="29" cm="1">
        <f t="array" ref="BF114">$G$12+VLOOKUP($R114,武学奇术!$A:$ZZ,12,FALSE)+SUM(_xlfn.XLOOKUP(S114:AL114,增益!$A:$A,增益!$L:$L,0))</f>
        <v>0.02</v>
      </c>
      <c r="BG114">
        <f t="shared" si="39"/>
        <v>0</v>
      </c>
      <c r="BH114">
        <f t="shared" si="40"/>
        <v>0</v>
      </c>
      <c r="BI114" s="29" cm="1">
        <f t="array" ref="BI114">IF($F$13-$I$4+VLOOKUP($R114,武学奇术!$A:$ZZ,13,FALSE)+SUM(_xlfn.XLOOKUP(S114:AL114,增益!$A:$A,增益!$M:$M,0))&gt;0,($F$13-$I$4+VLOOKUP($R114,武学奇术!$A:$ZZ,13,FALSE)+SUM(_xlfn.XLOOKUP(S114:AL114,增益!$A:$A,增益!$K:$K,0)))/200,($F$13-$I$4+VLOOKUP($R114,武学奇术!$A:$ZZ,13,FALSE)+SUM(_xlfn.XLOOKUP(S114:AL114,增益!$A:$A,增益!$M:$M,0)))/100)</f>
        <v>-0.3</v>
      </c>
      <c r="BJ114" s="29" cm="1">
        <f t="array" ref="BJ114">$G$13+VLOOKUP($R114,武学奇术!$A:$ZZ,14,FALSE)+SUM(_xlfn.XLOOKUP(S114:AL114,增益!$A:$A,增益!$N:$N,0))</f>
        <v>0.02</v>
      </c>
      <c r="BK114">
        <f t="shared" si="41"/>
        <v>618.2</v>
      </c>
      <c r="BL114">
        <f t="shared" si="42"/>
        <v>1805</v>
      </c>
      <c r="BM114" s="29" cm="1">
        <f t="array" ref="BM114">IF($F$14-$I$4+VLOOKUP($R114,武学奇术!$A:$ZZ,15,FALSE)+SUM(_xlfn.XLOOKUP(S114:AL114,增益!$A:$A,增益!$O:$O,0))&gt;0,($F$14-$I$4+VLOOKUP($R114,武学奇术!$A:$ZZ,15,FALSE)+SUM(_xlfn.XLOOKUP(S114:AL114,增益!$A:$A,增益!$O:$O,0)))/200,($F$14-$I$4+VLOOKUP($R114,武学奇术!$A:$ZZ,15,FALSE)+SUM(_xlfn.XLOOKUP(S114:AL114,增益!$A:$A,增益!$O:$O,0)))/100)</f>
        <v>0</v>
      </c>
      <c r="BN114" s="29" cm="1">
        <f t="array" ref="BN114">$G$14+VLOOKUP($R114,武学奇术!$A:$ZZ,16,FALSE)+SUM(_xlfn.XLOOKUP(S114:AL114,增益!$A:$A,增益!$P:$P,0))</f>
        <v>0.17</v>
      </c>
      <c r="BO114" s="23">
        <f>MIN(IF(VLOOKUP($R114,武学奇术!$A:$ZZ,23,FALSE)=1,100%,$B$8),100%)</f>
        <v>0.9943</v>
      </c>
      <c r="BP114" s="23" cm="1">
        <f t="array" ref="BP114">IF(VLOOKUP($R114,武学奇术!$A:$ZZ,23,FALSE)=1,100%,MIN(80%,$B$9+VLOOKUP($R114,武学奇术!$A:$ZZ,17,FALSE)+SUM(_xlfn.XLOOKUP(S114:AL114,增益!$A:$A,增益!$Q:$Q,0)))+$B$11+SUM(_xlfn.XLOOKUP(S114:AL114,增益!$A:$A,增益!$U:$U,0)))*IF(VLOOKUP($R114,武学奇术!$A:$ZZ,24,FALSE)=1,0,1)</f>
        <v>0.8</v>
      </c>
      <c r="BQ114" s="23" cm="1">
        <f t="array" ref="BQ114">1+$B$13+VLOOKUP($R114,武学奇术!$A:$ZZ,18,FALSE)+SUM(_xlfn.XLOOKUP(S114:AL114,增益!$A:$A,增益!$R:$R,0))</f>
        <v>1.544</v>
      </c>
      <c r="BR114" s="23" cm="1">
        <f t="array" ref="BR114">IF(VLOOKUP($R114,武学奇术!$A:$ZZ,24,FALSE)=1,100%,MIN(40%,$B$10+VLOOKUP($R114,武学奇术!$A:$ZZ,19,FALSE)+SUM(_xlfn.XLOOKUP(S114:AL114,增益!$A:$A,增益!$S:$S,0)))+$B$12+SUM(_xlfn.XLOOKUP(S114:AL114,增益!$A:$A,增益!$V:$V,0)))*IF(VLOOKUP($R114,武学奇术!$A:$ZZ,23,FALSE)=1,0,1)</f>
        <v>0.0913</v>
      </c>
      <c r="BS114" s="23" cm="1">
        <f t="array" ref="BS114">1+$B$14+VLOOKUP($R114,武学奇术!$A:$ZZ,20,FALSE)+SUM(_xlfn.XLOOKUP(S114:AL114,增益!$A:$A,增益!$T:$T,0))</f>
        <v>1.35</v>
      </c>
      <c r="BT114" s="23">
        <f t="shared" si="43"/>
        <v>0.79544</v>
      </c>
      <c r="BU114" s="23">
        <f t="shared" si="44"/>
        <v>0.10808041</v>
      </c>
      <c r="BV114" s="23">
        <f>IF(VLOOKUP($R114,武学奇术!$A:$ZZ,22,FALSE)=1,0,(1-$BO114))*(1-$BR114)</f>
        <v>0.00517958999999993</v>
      </c>
      <c r="BW114" s="23" cm="1">
        <f t="array" ref="BW114">SUM(_xlfn.XLOOKUP(S114:AL114,增益!$A:$A,增益!$W:$W,0))+$I$5</f>
        <v>0.11</v>
      </c>
      <c r="BX114" s="23">
        <f>VLOOKUP($R114,武学奇术!$A:$ZZ,32,FALSE)</f>
        <v>0</v>
      </c>
      <c r="BY114" s="23" cm="1">
        <f t="array" ref="BY114">SUM(_xlfn.XLOOKUP($S114:$AL114,增益!$A:$A,增益!$X:$X,0))</f>
        <v>0.2</v>
      </c>
    </row>
    <row r="115" spans="1:77">
      <c r="A115" s="93"/>
      <c r="K115" s="35">
        <f>$L115*VLOOKUP($R115,武学奇术!$A:$ZZ,31,FALSE)</f>
        <v>0</v>
      </c>
      <c r="L115" s="35">
        <f>($M115*$BT115+$N115*$BR115+$O115*$BU115+$P115*$BV115)</f>
        <v>0</v>
      </c>
      <c r="M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轻击",$B$21,0))*(1+IF(VLOOKUP($R115,武学奇术!$A:$ZZ,30,FALSE)="老鼠",$B$22,0))*(1+$BW115)*(1+$BX115)</f>
        <v>0</v>
      </c>
      <c r="N115" s="35">
        <f>(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轻击",$B$21,0))*(1+IF(VLOOKUP($R115,武学奇术!$A:$ZZ,30,FALSE)="老鼠",$B$22,0))*(1+$BW115))*(1+$BX115)</f>
        <v>0</v>
      </c>
      <c r="O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轻击",$B$21,0))*(1+IF(VLOOKUP($R115,武学奇术!$A:$ZZ,30,FALSE)="老鼠",$B$22,0))*(1+$BW115)*(1+$BX115)</f>
        <v>0</v>
      </c>
      <c r="P115" s="35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轻击",$B$21,0))*(1+IF(VLOOKUP($R115,武学奇术!$A:$ZZ,30,FALSE)="老鼠",$B$22,0))*(1+$BW115)*(1+$BX115)</f>
        <v>0</v>
      </c>
      <c r="Q115" s="36">
        <v>1</v>
      </c>
      <c r="R115" s="37" t="s">
        <v>81</v>
      </c>
      <c r="S115" s="37" t="s">
        <v>81</v>
      </c>
      <c r="T115" s="37" t="s">
        <v>81</v>
      </c>
      <c r="U115" s="37" t="s">
        <v>81</v>
      </c>
      <c r="V115" s="37" t="s">
        <v>81</v>
      </c>
      <c r="W115" s="37" t="s">
        <v>81</v>
      </c>
      <c r="X115" s="37" t="s">
        <v>81</v>
      </c>
      <c r="Y115" s="37" t="s">
        <v>81</v>
      </c>
      <c r="Z115" s="37" t="s">
        <v>81</v>
      </c>
      <c r="AA115" s="37" t="s">
        <v>81</v>
      </c>
      <c r="AB115" s="37" t="s">
        <v>81</v>
      </c>
      <c r="AC115" s="37" t="s">
        <v>81</v>
      </c>
      <c r="AD115" s="37" t="s">
        <v>81</v>
      </c>
      <c r="AE115" s="37" t="s">
        <v>81</v>
      </c>
      <c r="AF115" s="37" t="s">
        <v>81</v>
      </c>
      <c r="AG115" s="37" t="s">
        <v>87</v>
      </c>
      <c r="AH115" s="37" t="s">
        <v>88</v>
      </c>
      <c r="AI115" s="37" t="s">
        <v>81</v>
      </c>
      <c r="AJ115" s="37" t="s">
        <v>81</v>
      </c>
      <c r="AK115" s="37" t="s">
        <v>81</v>
      </c>
      <c r="AL115" s="37" t="s">
        <v>81</v>
      </c>
      <c r="AM115" t="str">
        <f>VLOOKUP($R115,武学奇术!$A:$ZZ,25,FALSE)</f>
        <v>心法</v>
      </c>
      <c r="AN115" s="23">
        <f>VLOOKUP($R115,武学奇术!$A:$ZZ,26,FALSE)</f>
        <v>0</v>
      </c>
      <c r="AO115" s="24">
        <f>VLOOKUP($R115,武学奇术!$A:$ZZ,27,FALSE)*(1+IF(OR($AM115=$F$4,$AM115=$F$5),$B$23,0))</f>
        <v>0</v>
      </c>
      <c r="AP115" s="23">
        <f>VLOOKUP($R115,武学奇术!$A:$ZZ,28,FALSE)</f>
        <v>0</v>
      </c>
      <c r="AQ115" s="24">
        <f>VLOOKUP($R115,武学奇术!$A:$ZZ,29,FALSE)*(1+IF(OR($AM115=$F$4,$AM115=$F$5),$B$23,0))</f>
        <v>0</v>
      </c>
      <c r="AR115" s="23" cm="1">
        <f t="array" ref="AR115">$G$3+IFERROR(VLOOKUP($AM115,$F$4:$G$7,2,FALSE),0)+VLOOKUP($R115,武学奇术!$A:$ZZ,2,FALSE)+SUM(_xlfn.XLOOKUP($S115:$AL115,增益!$A:$A,增益!$B:$B,0))</f>
        <v>0.1842</v>
      </c>
      <c r="AS115" s="23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4081.7</v>
      </c>
      <c r="AU115" cm="1">
        <f t="array" ref="AU115">$E$10*(1+$AS115)+VLOOKUP($R115,武学奇术!$A:$ZZ,4,FALSE)+SUM(_xlfn.XLOOKUP($S115:$AL115,增益!$A:$A,增益!$D:$D,0))-$I$2</f>
        <v>4081.7</v>
      </c>
      <c r="AV115" s="29" cm="1">
        <f t="array" ref="AV115">IF($F$10-$I$3+VLOOKUP($R115,武学奇术!$A:$ZZ,6,FALSE)+SUM(_xlfn.XLOOKUP(S115:AL115,增益!$A:$A,增益!$F:$F,0))&gt;0,($F$10-$I$3+VLOOKUP($R115,武学奇术!$A:$ZZ,6,FALSE)+SUM(_xlfn.XLOOKUP(S115:AL115,增益!$A:$A,增益!$F:$F,0)))/200,($F$10-$I$3+VLOOKUP($R115,武学奇术!$A:$ZZ,6,FALSE)+SUM(_xlfn.XLOOKUP(S115:AL115,增益!$A:$A,增益!$F:$F,0)))/100)</f>
        <v>0.2789</v>
      </c>
      <c r="AW115" s="29" cm="1">
        <f t="array" ref="AW115">$G$10+VLOOKUP($R115,武学奇术!$A:$ZZ,7,FALSE)+SUM(_xlfn.XLOOKUP(S115:AL115,增益!$A:$A,增益!$G:$G,0))</f>
        <v>0.02</v>
      </c>
      <c r="AX115" s="23" cm="1">
        <f t="array" ref="AX115">VLOOKUP($R115,武学奇术!$A:$ZZ,8,FALSE)+SUM(_xlfn.XLOOKUP(S115:AL115,增益!$A:$A,增益!$H:$H,0))</f>
        <v>0</v>
      </c>
      <c r="AY115">
        <f t="shared" si="35"/>
        <v>0</v>
      </c>
      <c r="AZ115">
        <f t="shared" si="36"/>
        <v>0</v>
      </c>
      <c r="BA115" s="29" cm="1">
        <f t="array" ref="BA115">IF($F$11-$I$4+VLOOKUP($R115,武学奇术!$A:$ZZ,9,FALSE)+SUM(_xlfn.XLOOKUP(S115:AL115,增益!$A:$A,增益!$I:$I,0))&gt;0,($F$11-$I$4+VLOOKUP($R115,武学奇术!$A:$ZZ,9,FALSE)+SUM(_xlfn.XLOOKUP(S115:AL115,增益!$A:$A,增益!$I:$I,0)))/200,($F$11-$I$4+VLOOKUP($R115,武学奇术!$A:$ZZ,9,FALSE)+SUM(_xlfn.XLOOKUP(S115:AL115,增益!$A:$A,增益!$I:$I,0)))/100)</f>
        <v>-0.3</v>
      </c>
      <c r="BB115" s="29" cm="1">
        <f t="array" ref="BB115">$G$11+VLOOKUP($R115,武学奇术!$A:$ZZ,10,FALSE)+SUM(_xlfn.XLOOKUP(S115:AL115,增益!$A:$A,增益!$J:$J,0))</f>
        <v>0.02</v>
      </c>
      <c r="BC115">
        <f t="shared" si="37"/>
        <v>0</v>
      </c>
      <c r="BD115">
        <f t="shared" si="38"/>
        <v>0</v>
      </c>
      <c r="BE115" s="29" cm="1">
        <f t="array" ref="BE115">IF($F$12-$I$4+VLOOKUP($R115,武学奇术!$A:$ZZ,11,FALSE)+SUM(_xlfn.XLOOKUP(S115:AL115,增益!$A:$A,增益!$K:$K,0))&gt;0,($F$12-$I$4+VLOOKUP($R115,武学奇术!$A:$ZZ,11,FALSE)+SUM(_xlfn.XLOOKUP(S115:AL115,增益!$A:$A,增益!$K:$K,0)))/200,($F$12-$I$4+VLOOKUP($R115,武学奇术!$A:$ZZ,11,FALSE)+SUM(_xlfn.XLOOKUP(S115:AL115,增益!$A:$A,增益!$K:$K,0)))/100)</f>
        <v>-0.3</v>
      </c>
      <c r="BF115" s="29" cm="1">
        <f t="array" ref="BF115">$G$12+VLOOKUP($R115,武学奇术!$A:$ZZ,12,FALSE)+SUM(_xlfn.XLOOKUP(S115:AL115,增益!$A:$A,增益!$L:$L,0))</f>
        <v>0.02</v>
      </c>
      <c r="BG115">
        <f t="shared" si="39"/>
        <v>0</v>
      </c>
      <c r="BH115">
        <f t="shared" si="40"/>
        <v>0</v>
      </c>
      <c r="BI115" s="29" cm="1">
        <f t="array" ref="BI115">IF($F$13-$I$4+VLOOKUP($R115,武学奇术!$A:$ZZ,13,FALSE)+SUM(_xlfn.XLOOKUP(S115:AL115,增益!$A:$A,增益!$M:$M,0))&gt;0,($F$13-$I$4+VLOOKUP($R115,武学奇术!$A:$ZZ,13,FALSE)+SUM(_xlfn.XLOOKUP(S115:AL115,增益!$A:$A,增益!$K:$K,0)))/200,($F$13-$I$4+VLOOKUP($R115,武学奇术!$A:$ZZ,13,FALSE)+SUM(_xlfn.XLOOKUP(S115:AL115,增益!$A:$A,增益!$M:$M,0)))/100)</f>
        <v>-0.3</v>
      </c>
      <c r="BJ115" s="29" cm="1">
        <f t="array" ref="BJ115">$G$13+VLOOKUP($R115,武学奇术!$A:$ZZ,14,FALSE)+SUM(_xlfn.XLOOKUP(S115:AL115,增益!$A:$A,增益!$N:$N,0))</f>
        <v>0.02</v>
      </c>
      <c r="BK115">
        <f t="shared" si="41"/>
        <v>618.2</v>
      </c>
      <c r="BL115">
        <f t="shared" si="42"/>
        <v>1805</v>
      </c>
      <c r="BM115" s="29" cm="1">
        <f t="array" ref="BM115">IF($F$14-$I$4+VLOOKUP($R115,武学奇术!$A:$ZZ,15,FALSE)+SUM(_xlfn.XLOOKUP(S115:AL115,增益!$A:$A,增益!$O:$O,0))&gt;0,($F$14-$I$4+VLOOKUP($R115,武学奇术!$A:$ZZ,15,FALSE)+SUM(_xlfn.XLOOKUP(S115:AL115,增益!$A:$A,增益!$O:$O,0)))/200,($F$14-$I$4+VLOOKUP($R115,武学奇术!$A:$ZZ,15,FALSE)+SUM(_xlfn.XLOOKUP(S115:AL115,增益!$A:$A,增益!$O:$O,0)))/100)</f>
        <v>0</v>
      </c>
      <c r="BN115" s="29" cm="1">
        <f t="array" ref="BN115">$G$14+VLOOKUP($R115,武学奇术!$A:$ZZ,16,FALSE)+SUM(_xlfn.XLOOKUP(S115:AL115,增益!$A:$A,增益!$P:$P,0))</f>
        <v>0.17</v>
      </c>
      <c r="BO115" s="23">
        <f>MIN(IF(VLOOKUP($R115,武学奇术!$A:$ZZ,23,FALSE)=1,100%,$B$8),100%)</f>
        <v>0.9943</v>
      </c>
      <c r="BP115" s="23" cm="1">
        <f t="array" ref="BP115">IF(VLOOKUP($R115,武学奇术!$A:$ZZ,23,FALSE)=1,100%,MIN(80%,$B$9+VLOOKUP($R115,武学奇术!$A:$ZZ,17,FALSE)+SUM(_xlfn.XLOOKUP(S115:AL115,增益!$A:$A,增益!$Q:$Q,0)))+$B$11+SUM(_xlfn.XLOOKUP(S115:AL115,增益!$A:$A,增益!$U:$U,0)))*IF(VLOOKUP($R115,武学奇术!$A:$ZZ,24,FALSE)=1,0,1)</f>
        <v>0.8</v>
      </c>
      <c r="BQ115" s="23" cm="1">
        <f t="array" ref="BQ115">1+$B$13+VLOOKUP($R115,武学奇术!$A:$ZZ,18,FALSE)+SUM(_xlfn.XLOOKUP(S115:AL115,增益!$A:$A,增益!$R:$R,0))</f>
        <v>1.544</v>
      </c>
      <c r="BR115" s="23" cm="1">
        <f t="array" ref="BR115">IF(VLOOKUP($R115,武学奇术!$A:$ZZ,24,FALSE)=1,100%,MIN(40%,$B$10+VLOOKUP($R115,武学奇术!$A:$ZZ,19,FALSE)+SUM(_xlfn.XLOOKUP(S115:AL115,增益!$A:$A,增益!$S:$S,0)))+$B$12+SUM(_xlfn.XLOOKUP(S115:AL115,增益!$A:$A,增益!$V:$V,0)))*IF(VLOOKUP($R115,武学奇术!$A:$ZZ,23,FALSE)=1,0,1)</f>
        <v>0.0913</v>
      </c>
      <c r="BS115" s="23" cm="1">
        <f t="array" ref="BS115">1+$B$14+VLOOKUP($R115,武学奇术!$A:$ZZ,20,FALSE)+SUM(_xlfn.XLOOKUP(S115:AL115,增益!$A:$A,增益!$T:$T,0))</f>
        <v>1.35</v>
      </c>
      <c r="BT115" s="23">
        <f t="shared" si="43"/>
        <v>0.79544</v>
      </c>
      <c r="BU115" s="23">
        <f t="shared" si="44"/>
        <v>0.10808041</v>
      </c>
      <c r="BV115" s="23">
        <f>IF(VLOOKUP($R115,武学奇术!$A:$ZZ,22,FALSE)=1,0,(1-$BO115))*(1-$BR115)</f>
        <v>0.00517958999999993</v>
      </c>
      <c r="BW115" s="23" cm="1">
        <f t="array" ref="BW115">SUM(_xlfn.XLOOKUP(S115:AL115,增益!$A:$A,增益!$W:$W,0))+$I$5</f>
        <v>0.11</v>
      </c>
      <c r="BX115" s="23">
        <f>VLOOKUP($R115,武学奇术!$A:$ZZ,32,FALSE)</f>
        <v>0</v>
      </c>
      <c r="BY115" s="23" cm="1">
        <f t="array" ref="BY115">SUM(_xlfn.XLOOKUP($S115:$AL115,增益!$A:$A,增益!$X:$X,0))</f>
        <v>0</v>
      </c>
    </row>
    <row r="116" spans="1:77">
      <c r="A116" s="93"/>
      <c r="K116" s="35">
        <f>$L116*VLOOKUP($R116,武学奇术!$A:$ZZ,31,FALSE)</f>
        <v>385343.761899349</v>
      </c>
      <c r="L116" s="35">
        <f>($M116*$BT116+$N116*$BR116+$O116*$BU116+$P116*$BV116)</f>
        <v>377788.001862106</v>
      </c>
      <c r="M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轻击",$B$21,0))*(1+IF(VLOOKUP($R116,武学奇术!$A:$ZZ,30,FALSE)="老鼠",$B$22,0))*(1+$BW116)*(1+$BX116)</f>
        <v>397393.407691429</v>
      </c>
      <c r="N116" s="35">
        <f>(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轻击",$B$21,0))*(1+IF(VLOOKUP($R116,武学奇术!$A:$ZZ,30,FALSE)="老鼠",$B$22,0))*(1+$BW116))*(1+$BX116)</f>
        <v>251626.555556729</v>
      </c>
      <c r="O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轻击",$B$21,0))*(1+IF(VLOOKUP($R116,武学奇术!$A:$ZZ,30,FALSE)="老鼠",$B$22,0))*(1+$BW116)*(1+$BX116)</f>
        <v>165995.575476787</v>
      </c>
      <c r="P116" s="35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轻击",$B$21,0))*(1+IF(VLOOKUP($R116,武学奇术!$A:$ZZ,30,FALSE)="老鼠",$B$22,0))*(1+$BW116)*(1+$BX116)</f>
        <v>145601.109800442</v>
      </c>
      <c r="Q116" s="36">
        <v>5</v>
      </c>
      <c r="R116" s="37" t="s">
        <v>78</v>
      </c>
      <c r="S116" s="37" t="s">
        <v>91</v>
      </c>
      <c r="T116" s="37" t="s">
        <v>185</v>
      </c>
      <c r="U116" s="37" t="s">
        <v>81</v>
      </c>
      <c r="V116" s="37" t="s">
        <v>81</v>
      </c>
      <c r="W116" s="37" t="s">
        <v>82</v>
      </c>
      <c r="X116" s="37" t="s">
        <v>81</v>
      </c>
      <c r="Y116" s="37" t="s">
        <v>81</v>
      </c>
      <c r="Z116" s="37" t="s">
        <v>83</v>
      </c>
      <c r="AA116" s="37" t="s">
        <v>81</v>
      </c>
      <c r="AB116" s="37" t="s">
        <v>81</v>
      </c>
      <c r="AC116" s="37" t="s">
        <v>81</v>
      </c>
      <c r="AD116" s="37" t="s">
        <v>85</v>
      </c>
      <c r="AE116" s="37" t="s">
        <v>86</v>
      </c>
      <c r="AF116" s="37" t="s">
        <v>81</v>
      </c>
      <c r="AG116" s="37" t="s">
        <v>87</v>
      </c>
      <c r="AH116" s="37" t="s">
        <v>88</v>
      </c>
      <c r="AI116" s="37" t="s">
        <v>81</v>
      </c>
      <c r="AJ116" s="37" t="s">
        <v>81</v>
      </c>
      <c r="AK116" s="37" t="s">
        <v>81</v>
      </c>
      <c r="AL116" s="37" t="s">
        <v>81</v>
      </c>
      <c r="AM116" t="str">
        <f>VLOOKUP($R116,武学奇术!$A:$ZZ,25,FALSE)</f>
        <v>群体奇术</v>
      </c>
      <c r="AN116" s="23">
        <f>VLOOKUP($R116,武学奇术!$A:$ZZ,26,FALSE)</f>
        <v>2.3774</v>
      </c>
      <c r="AO116" s="24">
        <f>VLOOKUP($R116,武学奇术!$A:$ZZ,27,FALSE)*(1+IF(OR($AM116=$F$4,$AM116=$F$5),$B$23,0))</f>
        <v>476</v>
      </c>
      <c r="AP116" s="23">
        <f>VLOOKUP($R116,武学奇术!$A:$ZZ,28,FALSE)</f>
        <v>3.5661</v>
      </c>
      <c r="AQ116" s="24">
        <f>VLOOKUP($R116,武学奇术!$A:$ZZ,29,FALSE)*(1+IF(OR($AM116=$F$4,$AM116=$F$5),$B$23,0))</f>
        <v>0</v>
      </c>
      <c r="AR116" s="23" cm="1">
        <f t="array" ref="AR116">$G$3+IFERROR(VLOOKUP($AM116,$F$4:$G$7,2,FALSE),0)+VLOOKUP($R116,武学奇术!$A:$ZZ,2,FALSE)+SUM(_xlfn.XLOOKUP($S116:$AL116,增益!$A:$A,增益!$B:$B,0))</f>
        <v>0.4842</v>
      </c>
      <c r="AS116" s="23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4081.7</v>
      </c>
      <c r="AU116" cm="1">
        <f t="array" ref="AU116">$E$10*(1+$AS116)+VLOOKUP($R116,武学奇术!$A:$ZZ,4,FALSE)+SUM(_xlfn.XLOOKUP($S116:$AL116,增益!$A:$A,增益!$D:$D,0))-$I$2</f>
        <v>4081.7</v>
      </c>
      <c r="AV116" s="29" cm="1">
        <f t="array" ref="AV116">IF($F$10-$I$3+VLOOKUP($R116,武学奇术!$A:$ZZ,6,FALSE)+SUM(_xlfn.XLOOKUP(S116:AL116,增益!$A:$A,增益!$F:$F,0))&gt;0,($F$10-$I$3+VLOOKUP($R116,武学奇术!$A:$ZZ,6,FALSE)+SUM(_xlfn.XLOOKUP(S116:AL116,增益!$A:$A,增益!$F:$F,0)))/200,($F$10-$I$3+VLOOKUP($R116,武学奇术!$A:$ZZ,6,FALSE)+SUM(_xlfn.XLOOKUP(S116:AL116,增益!$A:$A,增益!$F:$F,0)))/100)</f>
        <v>0.4539</v>
      </c>
      <c r="AW116" s="29" cm="1">
        <f t="array" ref="AW116">$G$10+VLOOKUP($R116,武学奇术!$A:$ZZ,7,FALSE)+SUM(_xlfn.XLOOKUP(S116:AL116,增益!$A:$A,增益!$G:$G,0))</f>
        <v>0.02</v>
      </c>
      <c r="AX116" s="23" cm="1">
        <f t="array" ref="AX116">VLOOKUP($R116,武学奇术!$A:$ZZ,8,FALSE)+SUM(_xlfn.XLOOKUP(S116:AL116,增益!$A:$A,增益!$H:$H,0))</f>
        <v>0</v>
      </c>
      <c r="AY116">
        <f t="shared" si="35"/>
        <v>0</v>
      </c>
      <c r="AZ116">
        <f t="shared" si="36"/>
        <v>0</v>
      </c>
      <c r="BA116" s="29" cm="1">
        <f t="array" ref="BA116">IF($F$11-$I$4+VLOOKUP($R116,武学奇术!$A:$ZZ,9,FALSE)+SUM(_xlfn.XLOOKUP(S116:AL116,增益!$A:$A,增益!$I:$I,0))&gt;0,($F$11-$I$4+VLOOKUP($R116,武学奇术!$A:$ZZ,9,FALSE)+SUM(_xlfn.XLOOKUP(S116:AL116,增益!$A:$A,增益!$I:$I,0)))/200,($F$11-$I$4+VLOOKUP($R116,武学奇术!$A:$ZZ,9,FALSE)+SUM(_xlfn.XLOOKUP(S116:AL116,增益!$A:$A,增益!$I:$I,0)))/100)</f>
        <v>-0.3</v>
      </c>
      <c r="BB116" s="29" cm="1">
        <f t="array" ref="BB116">$G$11+VLOOKUP($R116,武学奇术!$A:$ZZ,10,FALSE)+SUM(_xlfn.XLOOKUP(S116:AL116,增益!$A:$A,增益!$J:$J,0))</f>
        <v>0.02</v>
      </c>
      <c r="BC116">
        <f t="shared" si="37"/>
        <v>0</v>
      </c>
      <c r="BD116">
        <f t="shared" si="38"/>
        <v>0</v>
      </c>
      <c r="BE116" s="29" cm="1">
        <f t="array" ref="BE116">IF($F$12-$I$4+VLOOKUP($R116,武学奇术!$A:$ZZ,11,FALSE)+SUM(_xlfn.XLOOKUP(S116:AL116,增益!$A:$A,增益!$K:$K,0))&gt;0,($F$12-$I$4+VLOOKUP($R116,武学奇术!$A:$ZZ,11,FALSE)+SUM(_xlfn.XLOOKUP(S116:AL116,增益!$A:$A,增益!$K:$K,0)))/200,($F$12-$I$4+VLOOKUP($R116,武学奇术!$A:$ZZ,11,FALSE)+SUM(_xlfn.XLOOKUP(S116:AL116,增益!$A:$A,增益!$K:$K,0)))/100)</f>
        <v>-0.3</v>
      </c>
      <c r="BF116" s="29" cm="1">
        <f t="array" ref="BF116">$G$12+VLOOKUP($R116,武学奇术!$A:$ZZ,12,FALSE)+SUM(_xlfn.XLOOKUP(S116:AL116,增益!$A:$A,增益!$L:$L,0))</f>
        <v>0.02</v>
      </c>
      <c r="BG116">
        <f t="shared" si="39"/>
        <v>0</v>
      </c>
      <c r="BH116">
        <f t="shared" si="40"/>
        <v>0</v>
      </c>
      <c r="BI116" s="29" cm="1">
        <f t="array" ref="BI116">IF($F$13-$I$4+VLOOKUP($R116,武学奇术!$A:$ZZ,13,FALSE)+SUM(_xlfn.XLOOKUP(S116:AL116,增益!$A:$A,增益!$M:$M,0))&gt;0,($F$13-$I$4+VLOOKUP($R116,武学奇术!$A:$ZZ,13,FALSE)+SUM(_xlfn.XLOOKUP(S116:AL116,增益!$A:$A,增益!$K:$K,0)))/200,($F$13-$I$4+VLOOKUP($R116,武学奇术!$A:$ZZ,13,FALSE)+SUM(_xlfn.XLOOKUP(S116:AL116,增益!$A:$A,增益!$M:$M,0)))/100)</f>
        <v>-0.3</v>
      </c>
      <c r="BJ116" s="29" cm="1">
        <f t="array" ref="BJ116">$G$13+VLOOKUP($R116,武学奇术!$A:$ZZ,14,FALSE)+SUM(_xlfn.XLOOKUP(S116:AL116,增益!$A:$A,增益!$N:$N,0))</f>
        <v>0.02</v>
      </c>
      <c r="BK116">
        <f t="shared" si="41"/>
        <v>618.2</v>
      </c>
      <c r="BL116">
        <f t="shared" si="42"/>
        <v>1805</v>
      </c>
      <c r="BM116" s="29" cm="1">
        <f t="array" ref="BM116">IF($F$14-$I$4+VLOOKUP($R116,武学奇术!$A:$ZZ,15,FALSE)+SUM(_xlfn.XLOOKUP(S116:AL116,增益!$A:$A,增益!$O:$O,0))&gt;0,($F$14-$I$4+VLOOKUP($R116,武学奇术!$A:$ZZ,15,FALSE)+SUM(_xlfn.XLOOKUP(S116:AL116,增益!$A:$A,增益!$O:$O,0)))/200,($F$14-$I$4+VLOOKUP($R116,武学奇术!$A:$ZZ,15,FALSE)+SUM(_xlfn.XLOOKUP(S116:AL116,增益!$A:$A,增益!$O:$O,0)))/100)</f>
        <v>0</v>
      </c>
      <c r="BN116" s="29" cm="1">
        <f t="array" ref="BN116">$G$14+VLOOKUP($R116,武学奇术!$A:$ZZ,16,FALSE)+SUM(_xlfn.XLOOKUP(S116:AL116,增益!$A:$A,增益!$P:$P,0))</f>
        <v>0.17</v>
      </c>
      <c r="BO116" s="23">
        <f>MIN(IF(VLOOKUP($R116,武学奇术!$A:$ZZ,23,FALSE)=1,100%,$B$8),100%)</f>
        <v>0.9943</v>
      </c>
      <c r="BP116" s="23" cm="1">
        <f t="array" ref="BP116">IF(VLOOKUP($R116,武学奇术!$A:$ZZ,23,FALSE)=1,100%,MIN(80%,$B$9+VLOOKUP($R116,武学奇术!$A:$ZZ,17,FALSE)+SUM(_xlfn.XLOOKUP(S116:AL116,增益!$A:$A,增益!$Q:$Q,0)))+$B$11+SUM(_xlfn.XLOOKUP(S116:AL116,增益!$A:$A,增益!$U:$U,0)))*IF(VLOOKUP($R116,武学奇术!$A:$ZZ,24,FALSE)=1,0,1)</f>
        <v>0.887</v>
      </c>
      <c r="BQ116" s="23" cm="1">
        <f t="array" ref="BQ116">1+$B$13+VLOOKUP($R116,武学奇术!$A:$ZZ,18,FALSE)+SUM(_xlfn.XLOOKUP(S116:AL116,增益!$A:$A,增益!$R:$R,0))</f>
        <v>2.394</v>
      </c>
      <c r="BR116" s="23" cm="1">
        <f t="array" ref="BR116">IF(VLOOKUP($R116,武学奇术!$A:$ZZ,24,FALSE)=1,100%,MIN(40%,$B$10+VLOOKUP($R116,武学奇术!$A:$ZZ,19,FALSE)+SUM(_xlfn.XLOOKUP(S116:AL116,增益!$A:$A,增益!$S:$S,0)))+$B$12+SUM(_xlfn.XLOOKUP(S116:AL116,增益!$A:$A,增益!$V:$V,0)))*IF(VLOOKUP($R116,武学奇术!$A:$ZZ,23,FALSE)=1,0,1)</f>
        <v>0.0913</v>
      </c>
      <c r="BS116" s="23" cm="1">
        <f t="array" ref="BS116">1+$B$14+VLOOKUP($R116,武学奇术!$A:$ZZ,20,FALSE)+SUM(_xlfn.XLOOKUP(S116:AL116,增益!$A:$A,增益!$T:$T,0))</f>
        <v>1.35</v>
      </c>
      <c r="BT116" s="23">
        <f t="shared" si="43"/>
        <v>0.8819441</v>
      </c>
      <c r="BU116" s="23">
        <f t="shared" si="44"/>
        <v>0.0215763099999999</v>
      </c>
      <c r="BV116" s="23">
        <f>IF(VLOOKUP($R116,武学奇术!$A:$ZZ,22,FALSE)=1,0,(1-$BO116))*(1-$BR116)</f>
        <v>0.00517958999999993</v>
      </c>
      <c r="BW116" s="23" cm="1">
        <f t="array" ref="BW116">SUM(_xlfn.XLOOKUP(S116:AL116,增益!$A:$A,增益!$W:$W,0))+$I$5</f>
        <v>0.11</v>
      </c>
      <c r="BX116" s="23">
        <f>VLOOKUP($R116,武学奇术!$A:$ZZ,32,FALSE)</f>
        <v>0</v>
      </c>
      <c r="BY116" s="23" cm="1">
        <f t="array" ref="BY116">SUM(_xlfn.XLOOKUP($S116:$AL116,增益!$A:$A,增益!$X:$X,0))</f>
        <v>0</v>
      </c>
    </row>
    <row r="117" spans="1:77">
      <c r="A117" s="93"/>
      <c r="K117" s="35">
        <f>$L117*VLOOKUP($R117,武学奇术!$A:$ZZ,31,FALSE)</f>
        <v>14025.1538160252</v>
      </c>
      <c r="L117" s="35">
        <f>($M117*$BT117+$N117*$BR117+$O117*$BU117+$P117*$BV117)</f>
        <v>12522.4587643082</v>
      </c>
      <c r="M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轻击",$B$21,0))*(1+IF(VLOOKUP($R117,武学奇术!$A:$ZZ,30,FALSE)="老鼠",$B$22,0))*(1+$BW117)*(1+$BX117)</f>
        <v>13201.9288200755</v>
      </c>
      <c r="N117" s="35">
        <f>(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轻击",$B$21,0))*(1+IF(VLOOKUP($R117,武学奇术!$A:$ZZ,30,FALSE)="老鼠",$B$22,0))*(1+$BW117))*(1+$BX117)</f>
        <v>12233.7385189143</v>
      </c>
      <c r="O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轻击",$B$21,0))*(1+IF(VLOOKUP($R117,武学奇术!$A:$ZZ,30,FALSE)="老鼠",$B$22,0))*(1+$BW117)*(1+$BX117)</f>
        <v>8030.37032851309</v>
      </c>
      <c r="P117" s="35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轻击",$B$21,0))*(1+IF(VLOOKUP($R117,武学奇术!$A:$ZZ,30,FALSE)="老鼠",$B$22,0))*(1+$BW117)*(1+$BX117)</f>
        <v>6998.71212449708</v>
      </c>
      <c r="Q117" s="36">
        <v>1</v>
      </c>
      <c r="R117" s="37" t="s">
        <v>111</v>
      </c>
      <c r="S117" s="37" t="s">
        <v>91</v>
      </c>
      <c r="T117" s="37" t="s">
        <v>185</v>
      </c>
      <c r="U117" s="37" t="s">
        <v>112</v>
      </c>
      <c r="V117" s="37" t="s">
        <v>113</v>
      </c>
      <c r="W117" s="37" t="s">
        <v>82</v>
      </c>
      <c r="X117" s="37" t="s">
        <v>81</v>
      </c>
      <c r="Y117" s="37" t="s">
        <v>109</v>
      </c>
      <c r="Z117" s="37" t="s">
        <v>81</v>
      </c>
      <c r="AA117" s="37" t="s">
        <v>84</v>
      </c>
      <c r="AB117" s="37" t="s">
        <v>81</v>
      </c>
      <c r="AC117" s="37" t="s">
        <v>81</v>
      </c>
      <c r="AD117" s="37" t="s">
        <v>81</v>
      </c>
      <c r="AE117" s="37" t="s">
        <v>81</v>
      </c>
      <c r="AF117" s="37" t="s">
        <v>81</v>
      </c>
      <c r="AG117" s="37" t="s">
        <v>87</v>
      </c>
      <c r="AH117" s="37" t="s">
        <v>88</v>
      </c>
      <c r="AI117" s="37" t="s">
        <v>81</v>
      </c>
      <c r="AJ117" s="37" t="s">
        <v>81</v>
      </c>
      <c r="AK117" s="37" t="s">
        <v>81</v>
      </c>
      <c r="AL117" s="37" t="s">
        <v>81</v>
      </c>
      <c r="AM117" t="str">
        <f>VLOOKUP($R117,武学奇术!$A:$ZZ,25,FALSE)</f>
        <v>双刀</v>
      </c>
      <c r="AN117" s="23">
        <f>VLOOKUP($R117,武学奇术!$A:$ZZ,26,FALSE)</f>
        <v>0.4205</v>
      </c>
      <c r="AO117" s="24">
        <f>VLOOKUP($R117,武学奇术!$A:$ZZ,27,FALSE)*(1+IF(OR($AM117=$F$4,$AM117=$F$5),$B$23,0))</f>
        <v>187.2</v>
      </c>
      <c r="AP117" s="23">
        <f>VLOOKUP($R117,武学奇术!$A:$ZZ,28,FALSE)</f>
        <v>0.6307</v>
      </c>
      <c r="AQ117" s="24">
        <f>VLOOKUP($R117,武学奇术!$A:$ZZ,29,FALSE)*(1+IF(OR($AM117=$F$4,$AM117=$F$5),$B$23,0))</f>
        <v>102.4</v>
      </c>
      <c r="AR117" s="23" cm="1">
        <f t="array" ref="AR117">$G$3+IFERROR(VLOOKUP($AM117,$F$4:$G$7,2,FALSE),0)+VLOOKUP($R117,武学奇术!$A:$ZZ,2,FALSE)+SUM(_xlfn.XLOOKUP($S117:$AL117,增益!$A:$A,增益!$B:$B,0))</f>
        <v>0.6243</v>
      </c>
      <c r="AS117" s="23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4150.4</v>
      </c>
      <c r="AU117" cm="1">
        <f t="array" ref="AU117">$E$10*(1+$AS117)+VLOOKUP($R117,武学奇术!$A:$ZZ,4,FALSE)+SUM(_xlfn.XLOOKUP($S117:$AL117,增益!$A:$A,增益!$D:$D,0))-$I$2</f>
        <v>4150.4</v>
      </c>
      <c r="AV117" s="29" cm="1">
        <f t="array" ref="AV117">IF($F$10-$I$3+VLOOKUP($R117,武学奇术!$A:$ZZ,6,FALSE)+SUM(_xlfn.XLOOKUP(S117:AL117,增益!$A:$A,增益!$F:$F,0))&gt;0,($F$10-$I$3+VLOOKUP($R117,武学奇术!$A:$ZZ,6,FALSE)+SUM(_xlfn.XLOOKUP(S117:AL117,增益!$A:$A,增益!$F:$F,0)))/200,($F$10-$I$3+VLOOKUP($R117,武学奇术!$A:$ZZ,6,FALSE)+SUM(_xlfn.XLOOKUP(S117:AL117,增益!$A:$A,增益!$F:$F,0)))/100)</f>
        <v>0.3289</v>
      </c>
      <c r="AW117" s="29" cm="1">
        <f t="array" ref="AW117">$G$10+VLOOKUP($R117,武学奇术!$A:$ZZ,7,FALSE)+SUM(_xlfn.XLOOKUP(S117:AL117,增益!$A:$A,增益!$G:$G,0))</f>
        <v>0.08</v>
      </c>
      <c r="AX117" s="23" cm="1">
        <f t="array" ref="AX117">VLOOKUP($R117,武学奇术!$A:$ZZ,8,FALSE)+SUM(_xlfn.XLOOKUP(S117:AL117,增益!$A:$A,增益!$H:$H,0))</f>
        <v>0</v>
      </c>
      <c r="AY117">
        <f t="shared" si="35"/>
        <v>0</v>
      </c>
      <c r="AZ117">
        <f t="shared" si="36"/>
        <v>0</v>
      </c>
      <c r="BA117" s="29" cm="1">
        <f t="array" ref="BA117">IF($F$11-$I$4+VLOOKUP($R117,武学奇术!$A:$ZZ,9,FALSE)+SUM(_xlfn.XLOOKUP(S117:AL117,增益!$A:$A,增益!$I:$I,0))&gt;0,($F$11-$I$4+VLOOKUP($R117,武学奇术!$A:$ZZ,9,FALSE)+SUM(_xlfn.XLOOKUP(S117:AL117,增益!$A:$A,增益!$I:$I,0)))/200,($F$11-$I$4+VLOOKUP($R117,武学奇术!$A:$ZZ,9,FALSE)+SUM(_xlfn.XLOOKUP(S117:AL117,增益!$A:$A,增益!$I:$I,0)))/100)</f>
        <v>-0.14</v>
      </c>
      <c r="BB117" s="29" cm="1">
        <f t="array" ref="BB117">$G$11+VLOOKUP($R117,武学奇术!$A:$ZZ,10,FALSE)+SUM(_xlfn.XLOOKUP(S117:AL117,增益!$A:$A,增益!$J:$J,0))</f>
        <v>0.02</v>
      </c>
      <c r="BC117">
        <f t="shared" si="37"/>
        <v>0</v>
      </c>
      <c r="BD117">
        <f t="shared" si="38"/>
        <v>0</v>
      </c>
      <c r="BE117" s="29" cm="1">
        <f t="array" ref="BE117">IF($F$12-$I$4+VLOOKUP($R117,武学奇术!$A:$ZZ,11,FALSE)+SUM(_xlfn.XLOOKUP(S117:AL117,增益!$A:$A,增益!$K:$K,0))&gt;0,($F$12-$I$4+VLOOKUP($R117,武学奇术!$A:$ZZ,11,FALSE)+SUM(_xlfn.XLOOKUP(S117:AL117,增益!$A:$A,增益!$K:$K,0)))/200,($F$12-$I$4+VLOOKUP($R117,武学奇术!$A:$ZZ,11,FALSE)+SUM(_xlfn.XLOOKUP(S117:AL117,增益!$A:$A,增益!$K:$K,0)))/100)</f>
        <v>-0.14</v>
      </c>
      <c r="BF117" s="29" cm="1">
        <f t="array" ref="BF117">$G$12+VLOOKUP($R117,武学奇术!$A:$ZZ,12,FALSE)+SUM(_xlfn.XLOOKUP(S117:AL117,增益!$A:$A,增益!$L:$L,0))</f>
        <v>0.02</v>
      </c>
      <c r="BG117">
        <f t="shared" si="39"/>
        <v>0</v>
      </c>
      <c r="BH117">
        <f t="shared" si="40"/>
        <v>0</v>
      </c>
      <c r="BI117" s="29" cm="1">
        <f t="array" ref="BI117">IF($F$13-$I$4+VLOOKUP($R117,武学奇术!$A:$ZZ,13,FALSE)+SUM(_xlfn.XLOOKUP(S117:AL117,增益!$A:$A,增益!$M:$M,0))&gt;0,($F$13-$I$4+VLOOKUP($R117,武学奇术!$A:$ZZ,13,FALSE)+SUM(_xlfn.XLOOKUP(S117:AL117,增益!$A:$A,增益!$K:$K,0)))/200,($F$13-$I$4+VLOOKUP($R117,武学奇术!$A:$ZZ,13,FALSE)+SUM(_xlfn.XLOOKUP(S117:AL117,增益!$A:$A,增益!$M:$M,0)))/100)</f>
        <v>-0.14</v>
      </c>
      <c r="BJ117" s="29" cm="1">
        <f t="array" ref="BJ117">$G$13+VLOOKUP($R117,武学奇术!$A:$ZZ,14,FALSE)+SUM(_xlfn.XLOOKUP(S117:AL117,增益!$A:$A,增益!$N:$N,0))</f>
        <v>0.02</v>
      </c>
      <c r="BK117">
        <f t="shared" si="41"/>
        <v>618.2</v>
      </c>
      <c r="BL117">
        <f t="shared" si="42"/>
        <v>1805</v>
      </c>
      <c r="BM117" s="29" cm="1">
        <f t="array" ref="BM117">IF($F$14-$I$4+VLOOKUP($R117,武学奇术!$A:$ZZ,15,FALSE)+SUM(_xlfn.XLOOKUP(S117:AL117,增益!$A:$A,增益!$O:$O,0))&gt;0,($F$14-$I$4+VLOOKUP($R117,武学奇术!$A:$ZZ,15,FALSE)+SUM(_xlfn.XLOOKUP(S117:AL117,增益!$A:$A,增益!$O:$O,0)))/200,($F$14-$I$4+VLOOKUP($R117,武学奇术!$A:$ZZ,15,FALSE)+SUM(_xlfn.XLOOKUP(S117:AL117,增益!$A:$A,增益!$O:$O,0)))/100)</f>
        <v>0.13</v>
      </c>
      <c r="BN117" s="29" cm="1">
        <f t="array" ref="BN117">$G$14+VLOOKUP($R117,武学奇术!$A:$ZZ,16,FALSE)+SUM(_xlfn.XLOOKUP(S117:AL117,增益!$A:$A,增益!$P:$P,0))</f>
        <v>0.23</v>
      </c>
      <c r="BO117" s="23">
        <f>MIN(IF(VLOOKUP($R117,武学奇术!$A:$ZZ,23,FALSE)=1,100%,$B$8),100%)</f>
        <v>0.9943</v>
      </c>
      <c r="BP117" s="23" cm="1">
        <f t="array" ref="BP117">IF(VLOOKUP($R117,武学奇术!$A:$ZZ,23,FALSE)=1,100%,MIN(80%,$B$9+VLOOKUP($R117,武学奇术!$A:$ZZ,17,FALSE)+SUM(_xlfn.XLOOKUP(S117:AL117,增益!$A:$A,增益!$Q:$Q,0)))+$B$11+SUM(_xlfn.XLOOKUP(S117:AL117,增益!$A:$A,增益!$U:$U,0)))*IF(VLOOKUP($R117,武学奇术!$A:$ZZ,24,FALSE)=1,0,1)</f>
        <v>0.8</v>
      </c>
      <c r="BQ117" s="23" cm="1">
        <f t="array" ref="BQ117">1+$B$13+VLOOKUP($R117,武学奇术!$A:$ZZ,18,FALSE)+SUM(_xlfn.XLOOKUP(S117:AL117,增益!$A:$A,增益!$R:$R,0))</f>
        <v>1.644</v>
      </c>
      <c r="BR117" s="23" cm="1">
        <f t="array" ref="BR117">IF(VLOOKUP($R117,武学奇术!$A:$ZZ,24,FALSE)=1,100%,MIN(40%,$B$10+VLOOKUP($R117,武学奇术!$A:$ZZ,19,FALSE)+SUM(_xlfn.XLOOKUP(S117:AL117,增益!$A:$A,增益!$S:$S,0)))+$B$12+SUM(_xlfn.XLOOKUP(S117:AL117,增益!$A:$A,增益!$V:$V,0)))*IF(VLOOKUP($R117,武学奇术!$A:$ZZ,23,FALSE)=1,0,1)</f>
        <v>0.0913</v>
      </c>
      <c r="BS117" s="23" cm="1">
        <f t="array" ref="BS117">1+$B$14+VLOOKUP($R117,武学奇术!$A:$ZZ,20,FALSE)+SUM(_xlfn.XLOOKUP(S117:AL117,增益!$A:$A,增益!$T:$T,0))</f>
        <v>1.35</v>
      </c>
      <c r="BT117" s="23">
        <f t="shared" si="43"/>
        <v>0.79544</v>
      </c>
      <c r="BU117" s="23">
        <f t="shared" si="44"/>
        <v>0.10808041</v>
      </c>
      <c r="BV117" s="23">
        <f>IF(VLOOKUP($R117,武学奇术!$A:$ZZ,22,FALSE)=1,0,(1-$BO117))*(1-$BR117)</f>
        <v>0.00517958999999993</v>
      </c>
      <c r="BW117" s="23" cm="1">
        <f t="array" ref="BW117">SUM(_xlfn.XLOOKUP(S117:AL117,增益!$A:$A,增益!$W:$W,0))+$I$5</f>
        <v>0.11</v>
      </c>
      <c r="BX117" s="23">
        <f>VLOOKUP($R117,武学奇术!$A:$ZZ,32,FALSE)</f>
        <v>0.1</v>
      </c>
      <c r="BY117" s="23" cm="1">
        <f t="array" ref="BY117">SUM(_xlfn.XLOOKUP($S117:$AL117,增益!$A:$A,增益!$X:$X,0))</f>
        <v>0</v>
      </c>
    </row>
    <row r="118" spans="1:77">
      <c r="A118" s="93"/>
      <c r="K118" s="35">
        <f>$L118*VLOOKUP($R118,武学奇术!$A:$ZZ,31,FALSE)</f>
        <v>15034.1716907308</v>
      </c>
      <c r="L118" s="35">
        <f t="shared" ref="L118:L145" si="45">($M118*$BT118+$N118*$BR118+$O118*$BU118+$P118*$BV118)</f>
        <v>13423.3675810096</v>
      </c>
      <c r="M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轻击",$B$21,0))*(1+IF(VLOOKUP($R118,武学奇术!$A:$ZZ,30,FALSE)="老鼠",$B$22,0))*(1+$BW118)*(1+$BX118)</f>
        <v>14151.6747330483</v>
      </c>
      <c r="N118" s="35">
        <f>(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轻击",$B$21,0))*(1+IF(VLOOKUP($R118,武学奇术!$A:$ZZ,30,FALSE)="老鼠",$B$22,0))*(1+$BW118))*(1+$BX118)</f>
        <v>13114.3352200767</v>
      </c>
      <c r="O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轻击",$B$21,0))*(1+IF(VLOOKUP($R118,武学奇术!$A:$ZZ,30,FALSE)="老鼠",$B$22,0))*(1+$BW118)*(1+$BX118)</f>
        <v>8608.07465513887</v>
      </c>
      <c r="P118" s="35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轻击",$B$21,0))*(1+IF(VLOOKUP($R118,武学奇术!$A:$ZZ,30,FALSE)="老鼠",$B$22,0))*(1+$BW118)*(1+$BX118)</f>
        <v>7501.82692503577</v>
      </c>
      <c r="Q118" s="36">
        <v>1</v>
      </c>
      <c r="R118" s="37" t="s">
        <v>116</v>
      </c>
      <c r="S118" s="37" t="s">
        <v>91</v>
      </c>
      <c r="T118" s="37" t="s">
        <v>185</v>
      </c>
      <c r="U118" s="37" t="s">
        <v>112</v>
      </c>
      <c r="V118" s="37" t="s">
        <v>113</v>
      </c>
      <c r="W118" s="37" t="s">
        <v>82</v>
      </c>
      <c r="X118" s="37" t="s">
        <v>81</v>
      </c>
      <c r="Y118" s="37" t="s">
        <v>109</v>
      </c>
      <c r="Z118" s="37" t="s">
        <v>81</v>
      </c>
      <c r="AA118" s="37" t="s">
        <v>84</v>
      </c>
      <c r="AB118" s="37" t="s">
        <v>81</v>
      </c>
      <c r="AC118" s="37" t="s">
        <v>81</v>
      </c>
      <c r="AD118" s="37" t="s">
        <v>81</v>
      </c>
      <c r="AE118" s="37" t="s">
        <v>81</v>
      </c>
      <c r="AF118" s="37" t="s">
        <v>81</v>
      </c>
      <c r="AG118" s="37" t="s">
        <v>87</v>
      </c>
      <c r="AH118" s="37" t="s">
        <v>88</v>
      </c>
      <c r="AI118" s="37" t="s">
        <v>81</v>
      </c>
      <c r="AJ118" s="37" t="s">
        <v>81</v>
      </c>
      <c r="AK118" s="37" t="s">
        <v>81</v>
      </c>
      <c r="AL118" s="37" t="s">
        <v>81</v>
      </c>
      <c r="AM118" t="str">
        <f>VLOOKUP($R118,武学奇术!$A:$ZZ,25,FALSE)</f>
        <v>双刀</v>
      </c>
      <c r="AN118" s="23">
        <f>VLOOKUP($R118,武学奇术!$A:$ZZ,26,FALSE)</f>
        <v>0.4508</v>
      </c>
      <c r="AO118" s="24">
        <f>VLOOKUP($R118,武学奇术!$A:$ZZ,27,FALSE)*(1+IF(OR($AM118=$F$4,$AM118=$F$5),$B$23,0))</f>
        <v>201.6</v>
      </c>
      <c r="AP118" s="23">
        <f>VLOOKUP($R118,武学奇术!$A:$ZZ,28,FALSE)</f>
        <v>0.6763</v>
      </c>
      <c r="AQ118" s="24">
        <f>VLOOKUP($R118,武学奇术!$A:$ZZ,29,FALSE)*(1+IF(OR($AM118=$F$4,$AM118=$F$5),$B$23,0))</f>
        <v>108.8</v>
      </c>
      <c r="AR118" s="23" cm="1">
        <f t="array" ref="AR118">$G$3+IFERROR(VLOOKUP($AM118,$F$4:$G$7,2,FALSE),0)+VLOOKUP($R118,武学奇术!$A:$ZZ,2,FALSE)+SUM(_xlfn.XLOOKUP($S118:$AL118,增益!$A:$A,增益!$B:$B,0))</f>
        <v>0.6243</v>
      </c>
      <c r="AS118" s="23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4150.4</v>
      </c>
      <c r="AU118" cm="1">
        <f t="array" ref="AU118">$E$10*(1+$AS118)+VLOOKUP($R118,武学奇术!$A:$ZZ,4,FALSE)+SUM(_xlfn.XLOOKUP($S118:$AL118,增益!$A:$A,增益!$D:$D,0))-$I$2</f>
        <v>4150.4</v>
      </c>
      <c r="AV118" s="29" cm="1">
        <f t="array" ref="AV118">IF($F$10-$I$3+VLOOKUP($R118,武学奇术!$A:$ZZ,6,FALSE)+SUM(_xlfn.XLOOKUP(S118:AL118,增益!$A:$A,增益!$F:$F,0))&gt;0,($F$10-$I$3+VLOOKUP($R118,武学奇术!$A:$ZZ,6,FALSE)+SUM(_xlfn.XLOOKUP(S118:AL118,增益!$A:$A,增益!$F:$F,0)))/200,($F$10-$I$3+VLOOKUP($R118,武学奇术!$A:$ZZ,6,FALSE)+SUM(_xlfn.XLOOKUP(S118:AL118,增益!$A:$A,增益!$F:$F,0)))/100)</f>
        <v>0.3289</v>
      </c>
      <c r="AW118" s="29" cm="1">
        <f t="array" ref="AW118">$G$10+VLOOKUP($R118,武学奇术!$A:$ZZ,7,FALSE)+SUM(_xlfn.XLOOKUP(S118:AL118,增益!$A:$A,增益!$G:$G,0))</f>
        <v>0.08</v>
      </c>
      <c r="AX118" s="23" cm="1">
        <f t="array" ref="AX118">VLOOKUP($R118,武学奇术!$A:$ZZ,8,FALSE)+SUM(_xlfn.XLOOKUP(S118:AL118,增益!$A:$A,增益!$H:$H,0))</f>
        <v>0</v>
      </c>
      <c r="AY118">
        <f t="shared" si="35"/>
        <v>0</v>
      </c>
      <c r="AZ118">
        <f t="shared" si="36"/>
        <v>0</v>
      </c>
      <c r="BA118" s="29" cm="1">
        <f t="array" ref="BA118">IF($F$11-$I$4+VLOOKUP($R118,武学奇术!$A:$ZZ,9,FALSE)+SUM(_xlfn.XLOOKUP(S118:AL118,增益!$A:$A,增益!$I:$I,0))&gt;0,($F$11-$I$4+VLOOKUP($R118,武学奇术!$A:$ZZ,9,FALSE)+SUM(_xlfn.XLOOKUP(S118:AL118,增益!$A:$A,增益!$I:$I,0)))/200,($F$11-$I$4+VLOOKUP($R118,武学奇术!$A:$ZZ,9,FALSE)+SUM(_xlfn.XLOOKUP(S118:AL118,增益!$A:$A,增益!$I:$I,0)))/100)</f>
        <v>-0.14</v>
      </c>
      <c r="BB118" s="29" cm="1">
        <f t="array" ref="BB118">$G$11+VLOOKUP($R118,武学奇术!$A:$ZZ,10,FALSE)+SUM(_xlfn.XLOOKUP(S118:AL118,增益!$A:$A,增益!$J:$J,0))</f>
        <v>0.02</v>
      </c>
      <c r="BC118">
        <f t="shared" si="37"/>
        <v>0</v>
      </c>
      <c r="BD118">
        <f t="shared" si="38"/>
        <v>0</v>
      </c>
      <c r="BE118" s="29" cm="1">
        <f t="array" ref="BE118">IF($F$12-$I$4+VLOOKUP($R118,武学奇术!$A:$ZZ,11,FALSE)+SUM(_xlfn.XLOOKUP(S118:AL118,增益!$A:$A,增益!$K:$K,0))&gt;0,($F$12-$I$4+VLOOKUP($R118,武学奇术!$A:$ZZ,11,FALSE)+SUM(_xlfn.XLOOKUP(S118:AL118,增益!$A:$A,增益!$K:$K,0)))/200,($F$12-$I$4+VLOOKUP($R118,武学奇术!$A:$ZZ,11,FALSE)+SUM(_xlfn.XLOOKUP(S118:AL118,增益!$A:$A,增益!$K:$K,0)))/100)</f>
        <v>-0.14</v>
      </c>
      <c r="BF118" s="29" cm="1">
        <f t="array" ref="BF118">$G$12+VLOOKUP($R118,武学奇术!$A:$ZZ,12,FALSE)+SUM(_xlfn.XLOOKUP(S118:AL118,增益!$A:$A,增益!$L:$L,0))</f>
        <v>0.02</v>
      </c>
      <c r="BG118">
        <f t="shared" si="39"/>
        <v>0</v>
      </c>
      <c r="BH118">
        <f t="shared" si="40"/>
        <v>0</v>
      </c>
      <c r="BI118" s="29" cm="1">
        <f t="array" ref="BI118">IF($F$13-$I$4+VLOOKUP($R118,武学奇术!$A:$ZZ,13,FALSE)+SUM(_xlfn.XLOOKUP(S118:AL118,增益!$A:$A,增益!$M:$M,0))&gt;0,($F$13-$I$4+VLOOKUP($R118,武学奇术!$A:$ZZ,13,FALSE)+SUM(_xlfn.XLOOKUP(S118:AL118,增益!$A:$A,增益!$K:$K,0)))/200,($F$13-$I$4+VLOOKUP($R118,武学奇术!$A:$ZZ,13,FALSE)+SUM(_xlfn.XLOOKUP(S118:AL118,增益!$A:$A,增益!$M:$M,0)))/100)</f>
        <v>-0.14</v>
      </c>
      <c r="BJ118" s="29" cm="1">
        <f t="array" ref="BJ118">$G$13+VLOOKUP($R118,武学奇术!$A:$ZZ,14,FALSE)+SUM(_xlfn.XLOOKUP(S118:AL118,增益!$A:$A,增益!$N:$N,0))</f>
        <v>0.02</v>
      </c>
      <c r="BK118">
        <f t="shared" si="41"/>
        <v>618.2</v>
      </c>
      <c r="BL118">
        <f t="shared" si="42"/>
        <v>1805</v>
      </c>
      <c r="BM118" s="29" cm="1">
        <f t="array" ref="BM118">IF($F$14-$I$4+VLOOKUP($R118,武学奇术!$A:$ZZ,15,FALSE)+SUM(_xlfn.XLOOKUP(S118:AL118,增益!$A:$A,增益!$O:$O,0))&gt;0,($F$14-$I$4+VLOOKUP($R118,武学奇术!$A:$ZZ,15,FALSE)+SUM(_xlfn.XLOOKUP(S118:AL118,增益!$A:$A,增益!$O:$O,0)))/200,($F$14-$I$4+VLOOKUP($R118,武学奇术!$A:$ZZ,15,FALSE)+SUM(_xlfn.XLOOKUP(S118:AL118,增益!$A:$A,增益!$O:$O,0)))/100)</f>
        <v>0.13</v>
      </c>
      <c r="BN118" s="29" cm="1">
        <f t="array" ref="BN118">$G$14+VLOOKUP($R118,武学奇术!$A:$ZZ,16,FALSE)+SUM(_xlfn.XLOOKUP(S118:AL118,增益!$A:$A,增益!$P:$P,0))</f>
        <v>0.23</v>
      </c>
      <c r="BO118" s="23">
        <f>MIN(IF(VLOOKUP($R118,武学奇术!$A:$ZZ,23,FALSE)=1,100%,$B$8),100%)</f>
        <v>0.9943</v>
      </c>
      <c r="BP118" s="23" cm="1">
        <f t="array" ref="BP118">IF(VLOOKUP($R118,武学奇术!$A:$ZZ,23,FALSE)=1,100%,MIN(80%,$B$9+VLOOKUP($R118,武学奇术!$A:$ZZ,17,FALSE)+SUM(_xlfn.XLOOKUP(S118:AL118,增益!$A:$A,增益!$Q:$Q,0)))+$B$11+SUM(_xlfn.XLOOKUP(S118:AL118,增益!$A:$A,增益!$U:$U,0)))*IF(VLOOKUP($R118,武学奇术!$A:$ZZ,24,FALSE)=1,0,1)</f>
        <v>0.8</v>
      </c>
      <c r="BQ118" s="23" cm="1">
        <f t="array" ref="BQ118">1+$B$13+VLOOKUP($R118,武学奇术!$A:$ZZ,18,FALSE)+SUM(_xlfn.XLOOKUP(S118:AL118,增益!$A:$A,增益!$R:$R,0))</f>
        <v>1.644</v>
      </c>
      <c r="BR118" s="23" cm="1">
        <f t="array" ref="BR118">IF(VLOOKUP($R118,武学奇术!$A:$ZZ,24,FALSE)=1,100%,MIN(40%,$B$10+VLOOKUP($R118,武学奇术!$A:$ZZ,19,FALSE)+SUM(_xlfn.XLOOKUP(S118:AL118,增益!$A:$A,增益!$S:$S,0)))+$B$12+SUM(_xlfn.XLOOKUP(S118:AL118,增益!$A:$A,增益!$V:$V,0)))*IF(VLOOKUP($R118,武学奇术!$A:$ZZ,23,FALSE)=1,0,1)</f>
        <v>0.0913</v>
      </c>
      <c r="BS118" s="23" cm="1">
        <f t="array" ref="BS118">1+$B$14+VLOOKUP($R118,武学奇术!$A:$ZZ,20,FALSE)+SUM(_xlfn.XLOOKUP(S118:AL118,增益!$A:$A,增益!$T:$T,0))</f>
        <v>1.35</v>
      </c>
      <c r="BT118" s="23">
        <f t="shared" si="43"/>
        <v>0.79544</v>
      </c>
      <c r="BU118" s="23">
        <f t="shared" si="44"/>
        <v>0.10808041</v>
      </c>
      <c r="BV118" s="23">
        <f>IF(VLOOKUP($R118,武学奇术!$A:$ZZ,22,FALSE)=1,0,(1-$BO118))*(1-$BR118)</f>
        <v>0.00517958999999993</v>
      </c>
      <c r="BW118" s="23" cm="1">
        <f t="array" ref="BW118">SUM(_xlfn.XLOOKUP(S118:AL118,增益!$A:$A,增益!$W:$W,0))+$I$5</f>
        <v>0.11</v>
      </c>
      <c r="BX118" s="23">
        <f>VLOOKUP($R118,武学奇术!$A:$ZZ,32,FALSE)</f>
        <v>0.1</v>
      </c>
      <c r="BY118" s="23" cm="1">
        <f t="array" ref="BY118">SUM(_xlfn.XLOOKUP($S118:$AL118,增益!$A:$A,增益!$X:$X,0))</f>
        <v>0</v>
      </c>
    </row>
    <row r="119" spans="1:77">
      <c r="A119" s="93"/>
      <c r="K119" s="35">
        <f>$L119*VLOOKUP($R119,武学奇术!$A:$ZZ,31,FALSE)</f>
        <v>19512.6514029507</v>
      </c>
      <c r="L119" s="35">
        <f t="shared" si="45"/>
        <v>19130.0503950497</v>
      </c>
      <c r="M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轻击",$B$21,0))*(1+IF(VLOOKUP($R119,武学奇术!$A:$ZZ,30,FALSE)="老鼠",$B$22,0))*(1+$BW119)*(1+$BX119)</f>
        <v>20171.0038982259</v>
      </c>
      <c r="N119" s="35">
        <f>(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轻击",$B$21,0))*(1+IF(VLOOKUP($R119,武学奇术!$A:$ZZ,30,FALSE)="老鼠",$B$22,0))*(1+$BW119))*(1+$BX119)</f>
        <v>18659.6781097083</v>
      </c>
      <c r="O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轻击",$B$21,0))*(1+IF(VLOOKUP($R119,武学奇术!$A:$ZZ,30,FALSE)="老鼠",$B$22,0))*(1+$BW119)*(1+$BX119)</f>
        <v>12269.4670913783</v>
      </c>
      <c r="P119" s="35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轻击",$B$21,0))*(1+IF(VLOOKUP($R119,武学奇术!$A:$ZZ,30,FALSE)="老鼠",$B$22,0))*(1+$BW119)*(1+$BX119)</f>
        <v>10716.9503977874</v>
      </c>
      <c r="Q119" s="36">
        <v>1</v>
      </c>
      <c r="R119" s="37" t="s">
        <v>123</v>
      </c>
      <c r="S119" s="37" t="s">
        <v>91</v>
      </c>
      <c r="T119" s="37" t="s">
        <v>185</v>
      </c>
      <c r="U119" s="37" t="s">
        <v>81</v>
      </c>
      <c r="V119" s="37" t="s">
        <v>81</v>
      </c>
      <c r="W119" s="37" t="s">
        <v>82</v>
      </c>
      <c r="X119" s="37" t="s">
        <v>81</v>
      </c>
      <c r="Y119" s="37" t="s">
        <v>81</v>
      </c>
      <c r="Z119" s="37" t="s">
        <v>81</v>
      </c>
      <c r="AA119" s="37" t="s">
        <v>84</v>
      </c>
      <c r="AB119" s="37" t="s">
        <v>81</v>
      </c>
      <c r="AC119" s="37" t="s">
        <v>81</v>
      </c>
      <c r="AD119" s="37" t="s">
        <v>81</v>
      </c>
      <c r="AE119" s="37" t="s">
        <v>81</v>
      </c>
      <c r="AF119" s="37" t="s">
        <v>81</v>
      </c>
      <c r="AG119" s="37" t="s">
        <v>87</v>
      </c>
      <c r="AH119" s="37" t="s">
        <v>88</v>
      </c>
      <c r="AI119" s="37" t="s">
        <v>81</v>
      </c>
      <c r="AJ119" s="37" t="s">
        <v>81</v>
      </c>
      <c r="AK119" s="37" t="s">
        <v>81</v>
      </c>
      <c r="AL119" s="37" t="s">
        <v>81</v>
      </c>
      <c r="AM119" t="str">
        <f>VLOOKUP($R119,武学奇术!$A:$ZZ,25,FALSE)</f>
        <v>双刀</v>
      </c>
      <c r="AN119" s="23">
        <f>VLOOKUP($R119,武学奇术!$A:$ZZ,26,FALSE)</f>
        <v>0.8267</v>
      </c>
      <c r="AO119" s="24">
        <f>VLOOKUP($R119,武学奇术!$A:$ZZ,27,FALSE)*(1+IF(OR($AM119=$F$4,$AM119=$F$5),$B$23,0))</f>
        <v>366.4</v>
      </c>
      <c r="AP119" s="23">
        <f>VLOOKUP($R119,武学奇术!$A:$ZZ,28,FALSE)</f>
        <v>1.24</v>
      </c>
      <c r="AQ119" s="24">
        <f>VLOOKUP($R119,武学奇术!$A:$ZZ,29,FALSE)*(1+IF(OR($AM119=$F$4,$AM119=$F$5),$B$23,0))</f>
        <v>200</v>
      </c>
      <c r="AR119" s="23" cm="1">
        <f t="array" ref="AR119">$G$3+IFERROR(VLOOKUP($AM119,$F$4:$G$7,2,FALSE),0)+VLOOKUP($R119,武学奇术!$A:$ZZ,2,FALSE)+SUM(_xlfn.XLOOKUP($S119:$AL119,增益!$A:$A,增益!$B:$B,0))</f>
        <v>0.5043</v>
      </c>
      <c r="AS119" s="23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4081.7</v>
      </c>
      <c r="AU119" cm="1">
        <f t="array" ref="AU119">$E$10*(1+$AS119)+VLOOKUP($R119,武学奇术!$A:$ZZ,4,FALSE)+SUM(_xlfn.XLOOKUP($S119:$AL119,增益!$A:$A,增益!$D:$D,0))-$I$2</f>
        <v>4081.7</v>
      </c>
      <c r="AV119" s="29" cm="1">
        <f t="array" ref="AV119">IF($F$10-$I$3+VLOOKUP($R119,武学奇术!$A:$ZZ,6,FALSE)+SUM(_xlfn.XLOOKUP(S119:AL119,增益!$A:$A,增益!$F:$F,0))&gt;0,($F$10-$I$3+VLOOKUP($R119,武学奇术!$A:$ZZ,6,FALSE)+SUM(_xlfn.XLOOKUP(S119:AL119,增益!$A:$A,增益!$F:$F,0)))/200,($F$10-$I$3+VLOOKUP($R119,武学奇术!$A:$ZZ,6,FALSE)+SUM(_xlfn.XLOOKUP(S119:AL119,增益!$A:$A,增益!$F:$F,0)))/100)</f>
        <v>0.3289</v>
      </c>
      <c r="AW119" s="29" cm="1">
        <f t="array" ref="AW119">$G$10+VLOOKUP($R119,武学奇术!$A:$ZZ,7,FALSE)+SUM(_xlfn.XLOOKUP(S119:AL119,增益!$A:$A,增益!$G:$G,0))</f>
        <v>0.02</v>
      </c>
      <c r="AX119" s="23" cm="1">
        <f t="array" ref="AX119">VLOOKUP($R119,武学奇术!$A:$ZZ,8,FALSE)+SUM(_xlfn.XLOOKUP(S119:AL119,增益!$A:$A,增益!$H:$H,0))</f>
        <v>0</v>
      </c>
      <c r="AY119">
        <f t="shared" si="35"/>
        <v>0</v>
      </c>
      <c r="AZ119">
        <f t="shared" si="36"/>
        <v>0</v>
      </c>
      <c r="BA119" s="29" cm="1">
        <f t="array" ref="BA119">IF($F$11-$I$4+VLOOKUP($R119,武学奇术!$A:$ZZ,9,FALSE)+SUM(_xlfn.XLOOKUP(S119:AL119,增益!$A:$A,增益!$I:$I,0))&gt;0,($F$11-$I$4+VLOOKUP($R119,武学奇术!$A:$ZZ,9,FALSE)+SUM(_xlfn.XLOOKUP(S119:AL119,增益!$A:$A,增益!$I:$I,0)))/200,($F$11-$I$4+VLOOKUP($R119,武学奇术!$A:$ZZ,9,FALSE)+SUM(_xlfn.XLOOKUP(S119:AL119,增益!$A:$A,增益!$I:$I,0)))/100)</f>
        <v>-0.14</v>
      </c>
      <c r="BB119" s="29" cm="1">
        <f t="array" ref="BB119">$G$11+VLOOKUP($R119,武学奇术!$A:$ZZ,10,FALSE)+SUM(_xlfn.XLOOKUP(S119:AL119,增益!$A:$A,增益!$J:$J,0))</f>
        <v>0.02</v>
      </c>
      <c r="BC119">
        <f t="shared" si="37"/>
        <v>0</v>
      </c>
      <c r="BD119">
        <f t="shared" si="38"/>
        <v>0</v>
      </c>
      <c r="BE119" s="29" cm="1">
        <f t="array" ref="BE119">IF($F$12-$I$4+VLOOKUP($R119,武学奇术!$A:$ZZ,11,FALSE)+SUM(_xlfn.XLOOKUP(S119:AL119,增益!$A:$A,增益!$K:$K,0))&gt;0,($F$12-$I$4+VLOOKUP($R119,武学奇术!$A:$ZZ,11,FALSE)+SUM(_xlfn.XLOOKUP(S119:AL119,增益!$A:$A,增益!$K:$K,0)))/200,($F$12-$I$4+VLOOKUP($R119,武学奇术!$A:$ZZ,11,FALSE)+SUM(_xlfn.XLOOKUP(S119:AL119,增益!$A:$A,增益!$K:$K,0)))/100)</f>
        <v>-0.14</v>
      </c>
      <c r="BF119" s="29" cm="1">
        <f t="array" ref="BF119">$G$12+VLOOKUP($R119,武学奇术!$A:$ZZ,12,FALSE)+SUM(_xlfn.XLOOKUP(S119:AL119,增益!$A:$A,增益!$L:$L,0))</f>
        <v>0.02</v>
      </c>
      <c r="BG119">
        <f t="shared" si="39"/>
        <v>0</v>
      </c>
      <c r="BH119">
        <f t="shared" si="40"/>
        <v>0</v>
      </c>
      <c r="BI119" s="29" cm="1">
        <f t="array" ref="BI119">IF($F$13-$I$4+VLOOKUP($R119,武学奇术!$A:$ZZ,13,FALSE)+SUM(_xlfn.XLOOKUP(S119:AL119,增益!$A:$A,增益!$M:$M,0))&gt;0,($F$13-$I$4+VLOOKUP($R119,武学奇术!$A:$ZZ,13,FALSE)+SUM(_xlfn.XLOOKUP(S119:AL119,增益!$A:$A,增益!$K:$K,0)))/200,($F$13-$I$4+VLOOKUP($R119,武学奇术!$A:$ZZ,13,FALSE)+SUM(_xlfn.XLOOKUP(S119:AL119,增益!$A:$A,增益!$M:$M,0)))/100)</f>
        <v>-0.14</v>
      </c>
      <c r="BJ119" s="29" cm="1">
        <f t="array" ref="BJ119">$G$13+VLOOKUP($R119,武学奇术!$A:$ZZ,14,FALSE)+SUM(_xlfn.XLOOKUP(S119:AL119,增益!$A:$A,增益!$N:$N,0))</f>
        <v>0.02</v>
      </c>
      <c r="BK119">
        <f t="shared" si="41"/>
        <v>618.2</v>
      </c>
      <c r="BL119">
        <f t="shared" si="42"/>
        <v>1805</v>
      </c>
      <c r="BM119" s="29" cm="1">
        <f t="array" ref="BM119">IF($F$14-$I$4+VLOOKUP($R119,武学奇术!$A:$ZZ,15,FALSE)+SUM(_xlfn.XLOOKUP(S119:AL119,增益!$A:$A,增益!$O:$O,0))&gt;0,($F$14-$I$4+VLOOKUP($R119,武学奇术!$A:$ZZ,15,FALSE)+SUM(_xlfn.XLOOKUP(S119:AL119,增益!$A:$A,增益!$O:$O,0)))/200,($F$14-$I$4+VLOOKUP($R119,武学奇术!$A:$ZZ,15,FALSE)+SUM(_xlfn.XLOOKUP(S119:AL119,增益!$A:$A,增益!$O:$O,0)))/100)</f>
        <v>0.08</v>
      </c>
      <c r="BN119" s="29" cm="1">
        <f t="array" ref="BN119">$G$14+VLOOKUP($R119,武学奇术!$A:$ZZ,16,FALSE)+SUM(_xlfn.XLOOKUP(S119:AL119,增益!$A:$A,增益!$P:$P,0))</f>
        <v>0.17</v>
      </c>
      <c r="BO119" s="23">
        <f>MIN(IF(VLOOKUP($R119,武学奇术!$A:$ZZ,23,FALSE)=1,100%,$B$8),100%)</f>
        <v>0.9943</v>
      </c>
      <c r="BP119" s="23" cm="1">
        <f t="array" ref="BP119">IF(VLOOKUP($R119,武学奇术!$A:$ZZ,23,FALSE)=1,100%,MIN(80%,$B$9+VLOOKUP($R119,武学奇术!$A:$ZZ,17,FALSE)+SUM(_xlfn.XLOOKUP(S119:AL119,增益!$A:$A,增益!$Q:$Q,0)))+$B$11+SUM(_xlfn.XLOOKUP(S119:AL119,增益!$A:$A,增益!$U:$U,0)))*IF(VLOOKUP($R119,武学奇术!$A:$ZZ,24,FALSE)=1,0,1)</f>
        <v>0.8</v>
      </c>
      <c r="BQ119" s="23" cm="1">
        <f t="array" ref="BQ119">1+$B$13+VLOOKUP($R119,武学奇术!$A:$ZZ,18,FALSE)+SUM(_xlfn.XLOOKUP(S119:AL119,增益!$A:$A,增益!$R:$R,0))</f>
        <v>1.644</v>
      </c>
      <c r="BR119" s="23" cm="1">
        <f t="array" ref="BR119">IF(VLOOKUP($R119,武学奇术!$A:$ZZ,24,FALSE)=1,100%,MIN(40%,$B$10+VLOOKUP($R119,武学奇术!$A:$ZZ,19,FALSE)+SUM(_xlfn.XLOOKUP(S119:AL119,增益!$A:$A,增益!$S:$S,0)))+$B$12+SUM(_xlfn.XLOOKUP(S119:AL119,增益!$A:$A,增益!$V:$V,0)))*IF(VLOOKUP($R119,武学奇术!$A:$ZZ,23,FALSE)=1,0,1)</f>
        <v>0.0913</v>
      </c>
      <c r="BS119" s="23" cm="1">
        <f t="array" ref="BS119">1+$B$14+VLOOKUP($R119,武学奇术!$A:$ZZ,20,FALSE)+SUM(_xlfn.XLOOKUP(S119:AL119,增益!$A:$A,增益!$T:$T,0))</f>
        <v>1.35</v>
      </c>
      <c r="BT119" s="23">
        <f t="shared" si="43"/>
        <v>0.79544</v>
      </c>
      <c r="BU119" s="23">
        <f t="shared" si="44"/>
        <v>0.10808041</v>
      </c>
      <c r="BV119" s="23">
        <f>IF(VLOOKUP($R119,武学奇术!$A:$ZZ,22,FALSE)=1,0,(1-$BO119))*(1-$BR119)</f>
        <v>0.00517958999999993</v>
      </c>
      <c r="BW119" s="23" cm="1">
        <f t="array" ref="BW119">SUM(_xlfn.XLOOKUP(S119:AL119,增益!$A:$A,增益!$W:$W,0))+$I$5</f>
        <v>0.11</v>
      </c>
      <c r="BX119" s="23">
        <f>VLOOKUP($R119,武学奇术!$A:$ZZ,32,FALSE)</f>
        <v>0</v>
      </c>
      <c r="BY119" s="23" cm="1">
        <f t="array" ref="BY119">SUM(_xlfn.XLOOKUP($S119:$AL119,增益!$A:$A,增益!$X:$X,0))</f>
        <v>0</v>
      </c>
    </row>
    <row r="120" spans="1:77">
      <c r="A120" s="93"/>
      <c r="K120" s="35">
        <f>$L120*VLOOKUP($R120,武学奇术!$A:$ZZ,31,FALSE)</f>
        <v>83787.9164455822</v>
      </c>
      <c r="L120" s="69">
        <f t="shared" si="45"/>
        <v>82145.0161231198</v>
      </c>
      <c r="M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轻击",$B$21,0))*(1+IF(VLOOKUP($R120,武学奇术!$A:$ZZ,30,FALSE)="老鼠",$B$22,0))*(1+$BW120)*(1+$BX120)</f>
        <v>86501.8122202128</v>
      </c>
      <c r="N120" s="35">
        <f>(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轻击",$B$21,0))*(1+IF(VLOOKUP($R120,武学奇术!$A:$ZZ,30,FALSE)="老鼠",$B$22,0))*(1+$BW120))*(1+$BX120)</f>
        <v>81246.8773914186</v>
      </c>
      <c r="O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轻击",$B$21,0))*(1+IF(VLOOKUP($R120,武学奇术!$A:$ZZ,30,FALSE)="老鼠",$B$22,0))*(1+$BW120)*(1+$BX120)</f>
        <v>52616.6740998861</v>
      </c>
      <c r="P120" s="35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轻击",$B$21,0))*(1+IF(VLOOKUP($R120,武学奇术!$A:$ZZ,30,FALSE)="老鼠",$B$22,0))*(1+$BW120)*(1+$BX120)</f>
        <v>45050.4760579807</v>
      </c>
      <c r="Q120" s="70">
        <v>4</v>
      </c>
      <c r="R120" s="37" t="s">
        <v>106</v>
      </c>
      <c r="S120" s="37" t="s">
        <v>91</v>
      </c>
      <c r="T120" s="37" t="s">
        <v>185</v>
      </c>
      <c r="U120" s="37" t="s">
        <v>112</v>
      </c>
      <c r="V120" s="37" t="s">
        <v>113</v>
      </c>
      <c r="W120" s="37" t="s">
        <v>82</v>
      </c>
      <c r="X120" s="37" t="s">
        <v>81</v>
      </c>
      <c r="Y120" s="37" t="s">
        <v>109</v>
      </c>
      <c r="Z120" s="37" t="s">
        <v>81</v>
      </c>
      <c r="AA120" s="37" t="s">
        <v>84</v>
      </c>
      <c r="AB120" s="37" t="s">
        <v>81</v>
      </c>
      <c r="AC120" s="37" t="s">
        <v>81</v>
      </c>
      <c r="AD120" s="37" t="s">
        <v>81</v>
      </c>
      <c r="AE120" s="37" t="s">
        <v>81</v>
      </c>
      <c r="AF120" s="37" t="s">
        <v>81</v>
      </c>
      <c r="AG120" s="37" t="s">
        <v>87</v>
      </c>
      <c r="AH120" s="37" t="s">
        <v>88</v>
      </c>
      <c r="AI120" s="37" t="s">
        <v>81</v>
      </c>
      <c r="AJ120" s="37" t="s">
        <v>81</v>
      </c>
      <c r="AK120" s="37" t="s">
        <v>81</v>
      </c>
      <c r="AL120" s="37" t="s">
        <v>81</v>
      </c>
      <c r="AM120" t="str">
        <f>VLOOKUP($R120,武学奇术!$A:$ZZ,25,FALSE)</f>
        <v>绳镖</v>
      </c>
      <c r="AN120" s="23">
        <f>VLOOKUP($R120,武学奇术!$A:$ZZ,26,FALSE)</f>
        <v>0.3675</v>
      </c>
      <c r="AO120" s="24">
        <f>VLOOKUP($R120,武学奇术!$A:$ZZ,27,FALSE)*(1+IF(OR($AM120=$F$4,$AM120=$F$5),$B$23,0))</f>
        <v>0</v>
      </c>
      <c r="AP120" s="23">
        <f>VLOOKUP($R120,武学奇术!$A:$ZZ,28,FALSE)</f>
        <v>0.55125</v>
      </c>
      <c r="AQ120" s="24">
        <f>VLOOKUP($R120,武学奇术!$A:$ZZ,29,FALSE)*(1+IF(OR($AM120=$F$4,$AM120=$F$5),$B$23,0))</f>
        <v>0</v>
      </c>
      <c r="AR120" s="23" cm="1">
        <f t="array" ref="AR120">$G$3+IFERROR(VLOOKUP($AM120,$F$4:$G$7,2,FALSE),0)+VLOOKUP($R120,武学奇术!$A:$ZZ,2,FALSE)+SUM(_xlfn.XLOOKUP($S120:$AL120,增益!$A:$A,增益!$B:$B,0))</f>
        <v>1.4243</v>
      </c>
      <c r="AS120" s="23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4150.4</v>
      </c>
      <c r="AU120" cm="1">
        <f t="array" ref="AU120">$E$10*(1+$AS120)+VLOOKUP($R120,武学奇术!$A:$ZZ,4,FALSE)+SUM(_xlfn.XLOOKUP($S120:$AL120,增益!$A:$A,增益!$D:$D,0))-$I$2</f>
        <v>4150.4</v>
      </c>
      <c r="AV120" s="29" cm="1">
        <f t="array" ref="AV120">IF($F$10-$I$3+VLOOKUP($R120,武学奇术!$A:$ZZ,6,FALSE)+SUM(_xlfn.XLOOKUP(S120:AL120,增益!$A:$A,增益!$F:$F,0))&gt;0,($F$10-$I$3+VLOOKUP($R120,武学奇术!$A:$ZZ,6,FALSE)+SUM(_xlfn.XLOOKUP(S120:AL120,增益!$A:$A,增益!$F:$F,0)))/200,($F$10-$I$3+VLOOKUP($R120,武学奇术!$A:$ZZ,6,FALSE)+SUM(_xlfn.XLOOKUP(S120:AL120,增益!$A:$A,增益!$F:$F,0)))/100)</f>
        <v>0.3289</v>
      </c>
      <c r="AW120" s="29" cm="1">
        <f t="array" ref="AW120">$G$10+VLOOKUP($R120,武学奇术!$A:$ZZ,7,FALSE)+SUM(_xlfn.XLOOKUP(S120:AL120,增益!$A:$A,增益!$G:$G,0))</f>
        <v>0.29</v>
      </c>
      <c r="AX120" s="23" cm="1">
        <f t="array" ref="AX120">VLOOKUP($R120,武学奇术!$A:$ZZ,8,FALSE)+SUM(_xlfn.XLOOKUP(S120:AL120,增益!$A:$A,增益!$H:$H,0))</f>
        <v>0</v>
      </c>
      <c r="AY120">
        <f t="shared" si="35"/>
        <v>0</v>
      </c>
      <c r="AZ120">
        <f t="shared" si="36"/>
        <v>0</v>
      </c>
      <c r="BA120" s="29" cm="1">
        <f t="array" ref="BA120">IF($F$11-$I$4+VLOOKUP($R120,武学奇术!$A:$ZZ,9,FALSE)+SUM(_xlfn.XLOOKUP(S120:AL120,增益!$A:$A,增益!$I:$I,0))&gt;0,($F$11-$I$4+VLOOKUP($R120,武学奇术!$A:$ZZ,9,FALSE)+SUM(_xlfn.XLOOKUP(S120:AL120,增益!$A:$A,增益!$I:$I,0)))/200,($F$11-$I$4+VLOOKUP($R120,武学奇术!$A:$ZZ,9,FALSE)+SUM(_xlfn.XLOOKUP(S120:AL120,增益!$A:$A,增益!$I:$I,0)))/100)</f>
        <v>-0.14</v>
      </c>
      <c r="BB120" s="29" cm="1">
        <f t="array" ref="BB120">$G$11+VLOOKUP($R120,武学奇术!$A:$ZZ,10,FALSE)+SUM(_xlfn.XLOOKUP(S120:AL120,增益!$A:$A,增益!$J:$J,0))</f>
        <v>0.02</v>
      </c>
      <c r="BC120">
        <f t="shared" si="37"/>
        <v>0</v>
      </c>
      <c r="BD120">
        <f t="shared" si="38"/>
        <v>0</v>
      </c>
      <c r="BE120" s="29" cm="1">
        <f t="array" ref="BE120">IF($F$12-$I$4+VLOOKUP($R120,武学奇术!$A:$ZZ,11,FALSE)+SUM(_xlfn.XLOOKUP(S120:AL120,增益!$A:$A,增益!$K:$K,0))&gt;0,($F$12-$I$4+VLOOKUP($R120,武学奇术!$A:$ZZ,11,FALSE)+SUM(_xlfn.XLOOKUP(S120:AL120,增益!$A:$A,增益!$K:$K,0)))/200,($F$12-$I$4+VLOOKUP($R120,武学奇术!$A:$ZZ,11,FALSE)+SUM(_xlfn.XLOOKUP(S120:AL120,增益!$A:$A,增益!$K:$K,0)))/100)</f>
        <v>-0.14</v>
      </c>
      <c r="BF120" s="29" cm="1">
        <f t="array" ref="BF120">$G$12+VLOOKUP($R120,武学奇术!$A:$ZZ,12,FALSE)+SUM(_xlfn.XLOOKUP(S120:AL120,增益!$A:$A,增益!$L:$L,0))</f>
        <v>0.02</v>
      </c>
      <c r="BG120">
        <f t="shared" si="39"/>
        <v>0</v>
      </c>
      <c r="BH120">
        <f t="shared" si="40"/>
        <v>0</v>
      </c>
      <c r="BI120" s="29" cm="1">
        <f t="array" ref="BI120">IF($F$13-$I$4+VLOOKUP($R120,武学奇术!$A:$ZZ,13,FALSE)+SUM(_xlfn.XLOOKUP(S120:AL120,增益!$A:$A,增益!$M:$M,0))&gt;0,($F$13-$I$4+VLOOKUP($R120,武学奇术!$A:$ZZ,13,FALSE)+SUM(_xlfn.XLOOKUP(S120:AL120,增益!$A:$A,增益!$K:$K,0)))/200,($F$13-$I$4+VLOOKUP($R120,武学奇术!$A:$ZZ,13,FALSE)+SUM(_xlfn.XLOOKUP(S120:AL120,增益!$A:$A,增益!$M:$M,0)))/100)</f>
        <v>-0.14</v>
      </c>
      <c r="BJ120" s="29" cm="1">
        <f t="array" ref="BJ120">$G$13+VLOOKUP($R120,武学奇术!$A:$ZZ,14,FALSE)+SUM(_xlfn.XLOOKUP(S120:AL120,增益!$A:$A,增益!$N:$N,0))</f>
        <v>0.02</v>
      </c>
      <c r="BK120">
        <f t="shared" si="41"/>
        <v>618.2</v>
      </c>
      <c r="BL120">
        <f t="shared" si="42"/>
        <v>1805</v>
      </c>
      <c r="BM120" s="29" cm="1">
        <f t="array" ref="BM120">IF($F$14-$I$4+VLOOKUP($R120,武学奇术!$A:$ZZ,15,FALSE)+SUM(_xlfn.XLOOKUP(S120:AL120,增益!$A:$A,增益!$O:$O,0))&gt;0,($F$14-$I$4+VLOOKUP($R120,武学奇术!$A:$ZZ,15,FALSE)+SUM(_xlfn.XLOOKUP(S120:AL120,增益!$A:$A,增益!$O:$O,0)))/200,($F$14-$I$4+VLOOKUP($R120,武学奇术!$A:$ZZ,15,FALSE)+SUM(_xlfn.XLOOKUP(S120:AL120,增益!$A:$A,增益!$O:$O,0)))/100)</f>
        <v>0.13</v>
      </c>
      <c r="BN120" s="29" cm="1">
        <f t="array" ref="BN120">$G$14+VLOOKUP($R120,武学奇术!$A:$ZZ,16,FALSE)+SUM(_xlfn.XLOOKUP(S120:AL120,增益!$A:$A,增益!$P:$P,0))</f>
        <v>0.44</v>
      </c>
      <c r="BO120" s="23">
        <f>MIN(IF(VLOOKUP($R120,武学奇术!$A:$ZZ,23,FALSE)=1,100%,$B$8),100%)</f>
        <v>0.9943</v>
      </c>
      <c r="BP120" s="23" cm="1">
        <f t="array" ref="BP120">IF(VLOOKUP($R120,武学奇术!$A:$ZZ,23,FALSE)=1,100%,MIN(80%,$B$9+VLOOKUP($R120,武学奇术!$A:$ZZ,17,FALSE)+SUM(_xlfn.XLOOKUP(S120:AL120,增益!$A:$A,增益!$Q:$Q,0)))+$B$11+SUM(_xlfn.XLOOKUP(S120:AL120,增益!$A:$A,增益!$U:$U,0)))*IF(VLOOKUP($R120,武学奇术!$A:$ZZ,24,FALSE)=1,0,1)</f>
        <v>0.8</v>
      </c>
      <c r="BQ120" s="23" cm="1">
        <f t="array" ref="BQ120">1+$B$13+VLOOKUP($R120,武学奇术!$A:$ZZ,18,FALSE)+SUM(_xlfn.XLOOKUP(S120:AL120,增益!$A:$A,增益!$R:$R,0))</f>
        <v>1.644</v>
      </c>
      <c r="BR120" s="23" cm="1">
        <f t="array" ref="BR120">IF(VLOOKUP($R120,武学奇术!$A:$ZZ,24,FALSE)=1,100%,MIN(40%,$B$10+VLOOKUP($R120,武学奇术!$A:$ZZ,19,FALSE)+SUM(_xlfn.XLOOKUP(S120:AL120,增益!$A:$A,增益!$S:$S,0)))+$B$12+SUM(_xlfn.XLOOKUP(S120:AL120,增益!$A:$A,增益!$V:$V,0)))*IF(VLOOKUP($R120,武学奇术!$A:$ZZ,23,FALSE)=1,0,1)</f>
        <v>0.0913</v>
      </c>
      <c r="BS120" s="23" cm="1">
        <f t="array" ref="BS120">1+$B$14+VLOOKUP($R120,武学奇术!$A:$ZZ,20,FALSE)+SUM(_xlfn.XLOOKUP(S120:AL120,增益!$A:$A,增益!$T:$T,0))</f>
        <v>1.35</v>
      </c>
      <c r="BT120" s="23">
        <f t="shared" si="43"/>
        <v>0.79544</v>
      </c>
      <c r="BU120" s="23">
        <f t="shared" si="44"/>
        <v>0.10808041</v>
      </c>
      <c r="BV120" s="23">
        <f>IF(VLOOKUP($R120,武学奇术!$A:$ZZ,22,FALSE)=1,0,(1-$BO120))*(1-$BR120)</f>
        <v>0.00517958999999993</v>
      </c>
      <c r="BW120" s="23" cm="1">
        <f t="array" ref="BW120">SUM(_xlfn.XLOOKUP(S120:AL120,增益!$A:$A,增益!$W:$W,0))+$I$5</f>
        <v>0.11</v>
      </c>
      <c r="BX120" s="23">
        <f>VLOOKUP($R120,武学奇术!$A:$ZZ,32,FALSE)</f>
        <v>0</v>
      </c>
      <c r="BY120" s="23" cm="1">
        <f t="array" ref="BY120">SUM(_xlfn.XLOOKUP($S120:$AL120,增益!$A:$A,增益!$X:$X,0))</f>
        <v>0</v>
      </c>
    </row>
    <row r="121" spans="1:77">
      <c r="A121" s="4"/>
      <c r="K121" s="35">
        <f>$L121*VLOOKUP($R121,武学奇术!$A:$ZZ,31,FALSE)</f>
        <v>77112.673377699</v>
      </c>
      <c r="L121" s="35">
        <f t="shared" si="45"/>
        <v>75600.6601742147</v>
      </c>
      <c r="M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轻击",$B$21,0))*(1+IF(VLOOKUP($R121,武学奇术!$A:$ZZ,30,FALSE)="老鼠",$B$22,0))*(1+$BW121)*(1+$BX121)</f>
        <v>81490.3034997105</v>
      </c>
      <c r="N121" s="35">
        <f>(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轻击",$B$21,0))*(1+IF(VLOOKUP($R121,武学奇术!$A:$ZZ,30,FALSE)="老鼠",$B$22,0))*(1+$BW121))*(1+$BX121)</f>
        <v>64988.3132546274</v>
      </c>
      <c r="O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轻击",$B$21,0))*(1+IF(VLOOKUP($R121,武学奇术!$A:$ZZ,30,FALSE)="老鼠",$B$22,0))*(1+$BW121)*(1+$BX121)</f>
        <v>43025.5034317374</v>
      </c>
      <c r="P121" s="35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轻击",$B$21,0))*(1+IF(VLOOKUP($R121,武学奇术!$A:$ZZ,30,FALSE)="老鼠",$B$22,0))*(1+$BW121)*(1+$BX121)</f>
        <v>37911.5155637507</v>
      </c>
      <c r="Q121" s="36">
        <v>1</v>
      </c>
      <c r="R121" s="37" t="s">
        <v>128</v>
      </c>
      <c r="S121" s="37" t="s">
        <v>91</v>
      </c>
      <c r="T121" s="37" t="s">
        <v>185</v>
      </c>
      <c r="U121" s="37" t="s">
        <v>81</v>
      </c>
      <c r="V121" s="37" t="s">
        <v>81</v>
      </c>
      <c r="W121" s="37" t="s">
        <v>82</v>
      </c>
      <c r="X121" s="37" t="s">
        <v>81</v>
      </c>
      <c r="Y121" s="37" t="s">
        <v>81</v>
      </c>
      <c r="Z121" s="37" t="s">
        <v>81</v>
      </c>
      <c r="AA121" s="37" t="s">
        <v>84</v>
      </c>
      <c r="AB121" s="37" t="s">
        <v>81</v>
      </c>
      <c r="AC121" s="37" t="s">
        <v>81</v>
      </c>
      <c r="AD121" s="37" t="s">
        <v>85</v>
      </c>
      <c r="AE121" s="37" t="s">
        <v>86</v>
      </c>
      <c r="AF121" s="37" t="s">
        <v>81</v>
      </c>
      <c r="AG121" s="37" t="s">
        <v>87</v>
      </c>
      <c r="AH121" s="37" t="s">
        <v>88</v>
      </c>
      <c r="AI121" s="37" t="s">
        <v>81</v>
      </c>
      <c r="AJ121" s="37" t="s">
        <v>81</v>
      </c>
      <c r="AK121" s="37" t="s">
        <v>81</v>
      </c>
      <c r="AL121" s="37" t="s">
        <v>81</v>
      </c>
      <c r="AM121" t="str">
        <f>VLOOKUP($R121,武学奇术!$A:$ZZ,25,FALSE)</f>
        <v>双刀</v>
      </c>
      <c r="AN121" s="23">
        <f>VLOOKUP($R121,武学奇术!$A:$ZZ,26,FALSE)</f>
        <v>2.4761</v>
      </c>
      <c r="AO121" s="24">
        <f>VLOOKUP($R121,武学奇术!$A:$ZZ,27,FALSE)*(1+IF(OR($AM121=$F$4,$AM121=$F$5),$B$23,0))</f>
        <v>1096</v>
      </c>
      <c r="AP121" s="23">
        <f>VLOOKUP($R121,武学奇术!$A:$ZZ,28,FALSE)</f>
        <v>3.7142</v>
      </c>
      <c r="AQ121" s="24">
        <f>VLOOKUP($R121,武学奇术!$A:$ZZ,29,FALSE)*(1+IF(OR($AM121=$F$4,$AM121=$F$5),$B$23,0))</f>
        <v>596.8</v>
      </c>
      <c r="AR121" s="23" cm="1">
        <f t="array" ref="AR121">$G$3+IFERROR(VLOOKUP($AM121,$F$4:$G$7,2,FALSE),0)+VLOOKUP($R121,武学奇术!$A:$ZZ,2,FALSE)+SUM(_xlfn.XLOOKUP($S121:$AL121,增益!$A:$A,增益!$B:$B,0))</f>
        <v>0.6543</v>
      </c>
      <c r="AS121" s="23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4081.7</v>
      </c>
      <c r="AU121" cm="1">
        <f t="array" ref="AU121">$E$10*(1+$AS121)+VLOOKUP($R121,武学奇术!$A:$ZZ,4,FALSE)+SUM(_xlfn.XLOOKUP($S121:$AL121,增益!$A:$A,增益!$D:$D,0))-$I$2</f>
        <v>4081.7</v>
      </c>
      <c r="AV121" s="29" cm="1">
        <f t="array" ref="AV121">IF($F$10-$I$3+VLOOKUP($R121,武学奇术!$A:$ZZ,6,FALSE)+SUM(_xlfn.XLOOKUP(S121:AL121,增益!$A:$A,增益!$F:$F,0))&gt;0,($F$10-$I$3+VLOOKUP($R121,武学奇术!$A:$ZZ,6,FALSE)+SUM(_xlfn.XLOOKUP(S121:AL121,增益!$A:$A,增益!$F:$F,0)))/200,($F$10-$I$3+VLOOKUP($R121,武学奇术!$A:$ZZ,6,FALSE)+SUM(_xlfn.XLOOKUP(S121:AL121,增益!$A:$A,增益!$F:$F,0)))/100)</f>
        <v>0.4539</v>
      </c>
      <c r="AW121" s="29" cm="1">
        <f t="array" ref="AW121">$G$10+VLOOKUP($R121,武学奇术!$A:$ZZ,7,FALSE)+SUM(_xlfn.XLOOKUP(S121:AL121,增益!$A:$A,增益!$G:$G,0))</f>
        <v>0.02</v>
      </c>
      <c r="AX121" s="23" cm="1">
        <f t="array" ref="AX121">VLOOKUP($R121,武学奇术!$A:$ZZ,8,FALSE)+SUM(_xlfn.XLOOKUP(S121:AL121,增益!$A:$A,增益!$H:$H,0))</f>
        <v>0</v>
      </c>
      <c r="AY121">
        <f t="shared" si="35"/>
        <v>0</v>
      </c>
      <c r="AZ121">
        <f t="shared" si="36"/>
        <v>0</v>
      </c>
      <c r="BA121" s="29" cm="1">
        <f t="array" ref="BA121">IF($F$11-$I$4+VLOOKUP($R121,武学奇术!$A:$ZZ,9,FALSE)+SUM(_xlfn.XLOOKUP(S121:AL121,增益!$A:$A,增益!$I:$I,0))&gt;0,($F$11-$I$4+VLOOKUP($R121,武学奇术!$A:$ZZ,9,FALSE)+SUM(_xlfn.XLOOKUP(S121:AL121,增益!$A:$A,增益!$I:$I,0)))/200,($F$11-$I$4+VLOOKUP($R121,武学奇术!$A:$ZZ,9,FALSE)+SUM(_xlfn.XLOOKUP(S121:AL121,增益!$A:$A,增益!$I:$I,0)))/100)</f>
        <v>-0.14</v>
      </c>
      <c r="BB121" s="29" cm="1">
        <f t="array" ref="BB121">$G$11+VLOOKUP($R121,武学奇术!$A:$ZZ,10,FALSE)+SUM(_xlfn.XLOOKUP(S121:AL121,增益!$A:$A,增益!$J:$J,0))</f>
        <v>0.02</v>
      </c>
      <c r="BC121">
        <f t="shared" si="37"/>
        <v>0</v>
      </c>
      <c r="BD121">
        <f t="shared" si="38"/>
        <v>0</v>
      </c>
      <c r="BE121" s="29" cm="1">
        <f t="array" ref="BE121">IF($F$12-$I$4+VLOOKUP($R121,武学奇术!$A:$ZZ,11,FALSE)+SUM(_xlfn.XLOOKUP(S121:AL121,增益!$A:$A,增益!$K:$K,0))&gt;0,($F$12-$I$4+VLOOKUP($R121,武学奇术!$A:$ZZ,11,FALSE)+SUM(_xlfn.XLOOKUP(S121:AL121,增益!$A:$A,增益!$K:$K,0)))/200,($F$12-$I$4+VLOOKUP($R121,武学奇术!$A:$ZZ,11,FALSE)+SUM(_xlfn.XLOOKUP(S121:AL121,增益!$A:$A,增益!$K:$K,0)))/100)</f>
        <v>-0.14</v>
      </c>
      <c r="BF121" s="29" cm="1">
        <f t="array" ref="BF121">$G$12+VLOOKUP($R121,武学奇术!$A:$ZZ,12,FALSE)+SUM(_xlfn.XLOOKUP(S121:AL121,增益!$A:$A,增益!$L:$L,0))</f>
        <v>0.02</v>
      </c>
      <c r="BG121">
        <f t="shared" si="39"/>
        <v>0</v>
      </c>
      <c r="BH121">
        <f t="shared" si="40"/>
        <v>0</v>
      </c>
      <c r="BI121" s="29" cm="1">
        <f t="array" ref="BI121">IF($F$13-$I$4+VLOOKUP($R121,武学奇术!$A:$ZZ,13,FALSE)+SUM(_xlfn.XLOOKUP(S121:AL121,增益!$A:$A,增益!$M:$M,0))&gt;0,($F$13-$I$4+VLOOKUP($R121,武学奇术!$A:$ZZ,13,FALSE)+SUM(_xlfn.XLOOKUP(S121:AL121,增益!$A:$A,增益!$K:$K,0)))/200,($F$13-$I$4+VLOOKUP($R121,武学奇术!$A:$ZZ,13,FALSE)+SUM(_xlfn.XLOOKUP(S121:AL121,增益!$A:$A,增益!$M:$M,0)))/100)</f>
        <v>-0.14</v>
      </c>
      <c r="BJ121" s="29" cm="1">
        <f t="array" ref="BJ121">$G$13+VLOOKUP($R121,武学奇术!$A:$ZZ,14,FALSE)+SUM(_xlfn.XLOOKUP(S121:AL121,增益!$A:$A,增益!$N:$N,0))</f>
        <v>0.02</v>
      </c>
      <c r="BK121">
        <f t="shared" si="41"/>
        <v>618.2</v>
      </c>
      <c r="BL121">
        <f t="shared" si="42"/>
        <v>1805</v>
      </c>
      <c r="BM121" s="29" cm="1">
        <f t="array" ref="BM121">IF($F$14-$I$4+VLOOKUP($R121,武学奇术!$A:$ZZ,15,FALSE)+SUM(_xlfn.XLOOKUP(S121:AL121,增益!$A:$A,增益!$O:$O,0))&gt;0,($F$14-$I$4+VLOOKUP($R121,武学奇术!$A:$ZZ,15,FALSE)+SUM(_xlfn.XLOOKUP(S121:AL121,增益!$A:$A,增益!$O:$O,0)))/200,($F$14-$I$4+VLOOKUP($R121,武学奇术!$A:$ZZ,15,FALSE)+SUM(_xlfn.XLOOKUP(S121:AL121,增益!$A:$A,增益!$O:$O,0)))/100)</f>
        <v>0.08</v>
      </c>
      <c r="BN121" s="29" cm="1">
        <f t="array" ref="BN121">$G$14+VLOOKUP($R121,武学奇术!$A:$ZZ,16,FALSE)+SUM(_xlfn.XLOOKUP(S121:AL121,增益!$A:$A,增益!$P:$P,0))</f>
        <v>0.17</v>
      </c>
      <c r="BO121" s="23">
        <f>MIN(IF(VLOOKUP($R121,武学奇术!$A:$ZZ,23,FALSE)=1,100%,$B$8),100%)</f>
        <v>0.9943</v>
      </c>
      <c r="BP121" s="23" cm="1">
        <f t="array" ref="BP121">IF(VLOOKUP($R121,武学奇术!$A:$ZZ,23,FALSE)=1,100%,MIN(80%,$B$9+VLOOKUP($R121,武学奇术!$A:$ZZ,17,FALSE)+SUM(_xlfn.XLOOKUP(S121:AL121,增益!$A:$A,增益!$Q:$Q,0)))+$B$11+SUM(_xlfn.XLOOKUP(S121:AL121,增益!$A:$A,增益!$U:$U,0)))*IF(VLOOKUP($R121,武学奇术!$A:$ZZ,24,FALSE)=1,0,1)</f>
        <v>0.8</v>
      </c>
      <c r="BQ121" s="23" cm="1">
        <f t="array" ref="BQ121">1+$B$13+VLOOKUP($R121,武学奇术!$A:$ZZ,18,FALSE)+SUM(_xlfn.XLOOKUP(S121:AL121,增益!$A:$A,增益!$R:$R,0))</f>
        <v>1.894</v>
      </c>
      <c r="BR121" s="23" cm="1">
        <f t="array" ref="BR121">IF(VLOOKUP($R121,武学奇术!$A:$ZZ,24,FALSE)=1,100%,MIN(40%,$B$10+VLOOKUP($R121,武学奇术!$A:$ZZ,19,FALSE)+SUM(_xlfn.XLOOKUP(S121:AL121,增益!$A:$A,增益!$S:$S,0)))+$B$12+SUM(_xlfn.XLOOKUP(S121:AL121,增益!$A:$A,增益!$V:$V,0)))*IF(VLOOKUP($R121,武学奇术!$A:$ZZ,23,FALSE)=1,0,1)</f>
        <v>0.0913</v>
      </c>
      <c r="BS121" s="23" cm="1">
        <f t="array" ref="BS121">1+$B$14+VLOOKUP($R121,武学奇术!$A:$ZZ,20,FALSE)+SUM(_xlfn.XLOOKUP(S121:AL121,增益!$A:$A,增益!$T:$T,0))</f>
        <v>1.35</v>
      </c>
      <c r="BT121" s="23">
        <f t="shared" si="43"/>
        <v>0.79544</v>
      </c>
      <c r="BU121" s="23">
        <f t="shared" si="44"/>
        <v>0.10808041</v>
      </c>
      <c r="BV121" s="23">
        <f>IF(VLOOKUP($R121,武学奇术!$A:$ZZ,22,FALSE)=1,0,(1-$BO121))*(1-$BR121)</f>
        <v>0.00517958999999993</v>
      </c>
      <c r="BW121" s="23" cm="1">
        <f t="array" ref="BW121">SUM(_xlfn.XLOOKUP(S121:AL121,增益!$A:$A,增益!$W:$W,0))+$I$5</f>
        <v>0.11</v>
      </c>
      <c r="BX121" s="23">
        <f>VLOOKUP($R121,武学奇术!$A:$ZZ,32,FALSE)</f>
        <v>0</v>
      </c>
      <c r="BY121" s="23" cm="1">
        <f t="array" ref="BY121">SUM(_xlfn.XLOOKUP($S121:$AL121,增益!$A:$A,增益!$X:$X,0))</f>
        <v>0</v>
      </c>
    </row>
    <row r="122" spans="1:77">
      <c r="A122" s="93"/>
      <c r="K122" s="35">
        <f>$L122*VLOOKUP($R122,武学奇术!$A:$ZZ,31,FALSE)</f>
        <v>80179.2394266279</v>
      </c>
      <c r="L122" s="69">
        <f t="shared" si="45"/>
        <v>78607.0974770862</v>
      </c>
      <c r="M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轻击",$B$21,0))*(1+IF(VLOOKUP($R122,武学奇术!$A:$ZZ,30,FALSE)="老鼠",$B$22,0))*(1+$BW122)*(1+$BX122)</f>
        <v>84640.0692147383</v>
      </c>
      <c r="N122" s="35">
        <f>(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轻击",$B$21,0))*(1+IF(VLOOKUP($R122,武学奇术!$A:$ZZ,30,FALSE)="老鼠",$B$22,0))*(1+$BW122))*(1+$BX122)</f>
        <v>68464.2855370086</v>
      </c>
      <c r="O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轻击",$B$21,0))*(1+IF(VLOOKUP($R122,武学奇术!$A:$ZZ,30,FALSE)="老鼠",$B$22,0))*(1+$BW122)*(1+$BX122)</f>
        <v>44688.5265125334</v>
      </c>
      <c r="P122" s="35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轻击",$B$21,0))*(1+IF(VLOOKUP($R122,武学奇术!$A:$ZZ,30,FALSE)="老鼠",$B$22,0))*(1+$BW122)*(1+$BX122)</f>
        <v>38662.7674420975</v>
      </c>
      <c r="Q122" s="70">
        <v>3</v>
      </c>
      <c r="R122" s="37" t="s">
        <v>106</v>
      </c>
      <c r="S122" s="37" t="s">
        <v>91</v>
      </c>
      <c r="T122" s="37" t="s">
        <v>185</v>
      </c>
      <c r="U122" s="37" t="s">
        <v>112</v>
      </c>
      <c r="V122" s="37" t="s">
        <v>113</v>
      </c>
      <c r="W122" s="37" t="s">
        <v>82</v>
      </c>
      <c r="X122" s="37" t="s">
        <v>81</v>
      </c>
      <c r="Y122" s="37" t="s">
        <v>109</v>
      </c>
      <c r="Z122" s="37" t="s">
        <v>81</v>
      </c>
      <c r="AA122" s="37" t="s">
        <v>84</v>
      </c>
      <c r="AB122" s="37" t="s">
        <v>81</v>
      </c>
      <c r="AC122" s="37" t="s">
        <v>81</v>
      </c>
      <c r="AD122" s="37" t="s">
        <v>85</v>
      </c>
      <c r="AE122" s="37" t="s">
        <v>86</v>
      </c>
      <c r="AF122" s="37" t="s">
        <v>81</v>
      </c>
      <c r="AG122" s="37" t="s">
        <v>87</v>
      </c>
      <c r="AH122" s="37" t="s">
        <v>88</v>
      </c>
      <c r="AI122" s="37" t="s">
        <v>81</v>
      </c>
      <c r="AJ122" s="37" t="s">
        <v>81</v>
      </c>
      <c r="AK122" s="37" t="s">
        <v>81</v>
      </c>
      <c r="AL122" s="37" t="s">
        <v>81</v>
      </c>
      <c r="AM122" t="str">
        <f>VLOOKUP($R122,武学奇术!$A:$ZZ,25,FALSE)</f>
        <v>绳镖</v>
      </c>
      <c r="AN122" s="23">
        <f>VLOOKUP($R122,武学奇术!$A:$ZZ,26,FALSE)</f>
        <v>0.3675</v>
      </c>
      <c r="AO122" s="24">
        <f>VLOOKUP($R122,武学奇术!$A:$ZZ,27,FALSE)*(1+IF(OR($AM122=$F$4,$AM122=$F$5),$B$23,0))</f>
        <v>0</v>
      </c>
      <c r="AP122" s="23">
        <f>VLOOKUP($R122,武学奇术!$A:$ZZ,28,FALSE)</f>
        <v>0.55125</v>
      </c>
      <c r="AQ122" s="24">
        <f>VLOOKUP($R122,武学奇术!$A:$ZZ,29,FALSE)*(1+IF(OR($AM122=$F$4,$AM122=$F$5),$B$23,0))</f>
        <v>0</v>
      </c>
      <c r="AR122" s="23" cm="1">
        <f t="array" ref="AR122">$G$3+IFERROR(VLOOKUP($AM122,$F$4:$G$7,2,FALSE),0)+VLOOKUP($R122,武学奇术!$A:$ZZ,2,FALSE)+SUM(_xlfn.XLOOKUP($S122:$AL122,增益!$A:$A,增益!$B:$B,0))</f>
        <v>1.5743</v>
      </c>
      <c r="AS122" s="23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4150.4</v>
      </c>
      <c r="AU122" cm="1">
        <f t="array" ref="AU122">$E$10*(1+$AS122)+VLOOKUP($R122,武学奇术!$A:$ZZ,4,FALSE)+SUM(_xlfn.XLOOKUP($S122:$AL122,增益!$A:$A,增益!$D:$D,0))-$I$2</f>
        <v>4150.4</v>
      </c>
      <c r="AV122" s="29" cm="1">
        <f t="array" ref="AV122">IF($F$10-$I$3+VLOOKUP($R122,武学奇术!$A:$ZZ,6,FALSE)+SUM(_xlfn.XLOOKUP(S122:AL122,增益!$A:$A,增益!$F:$F,0))&gt;0,($F$10-$I$3+VLOOKUP($R122,武学奇术!$A:$ZZ,6,FALSE)+SUM(_xlfn.XLOOKUP(S122:AL122,增益!$A:$A,增益!$F:$F,0)))/200,($F$10-$I$3+VLOOKUP($R122,武学奇术!$A:$ZZ,6,FALSE)+SUM(_xlfn.XLOOKUP(S122:AL122,增益!$A:$A,增益!$F:$F,0)))/100)</f>
        <v>0.4539</v>
      </c>
      <c r="AW122" s="29" cm="1">
        <f t="array" ref="AW122">$G$10+VLOOKUP($R122,武学奇术!$A:$ZZ,7,FALSE)+SUM(_xlfn.XLOOKUP(S122:AL122,增益!$A:$A,增益!$G:$G,0))</f>
        <v>0.29</v>
      </c>
      <c r="AX122" s="23" cm="1">
        <f t="array" ref="AX122">VLOOKUP($R122,武学奇术!$A:$ZZ,8,FALSE)+SUM(_xlfn.XLOOKUP(S122:AL122,增益!$A:$A,增益!$H:$H,0))</f>
        <v>0</v>
      </c>
      <c r="AY122">
        <f t="shared" si="35"/>
        <v>0</v>
      </c>
      <c r="AZ122">
        <f t="shared" si="36"/>
        <v>0</v>
      </c>
      <c r="BA122" s="29" cm="1">
        <f t="array" ref="BA122">IF($F$11-$I$4+VLOOKUP($R122,武学奇术!$A:$ZZ,9,FALSE)+SUM(_xlfn.XLOOKUP(S122:AL122,增益!$A:$A,增益!$I:$I,0))&gt;0,($F$11-$I$4+VLOOKUP($R122,武学奇术!$A:$ZZ,9,FALSE)+SUM(_xlfn.XLOOKUP(S122:AL122,增益!$A:$A,增益!$I:$I,0)))/200,($F$11-$I$4+VLOOKUP($R122,武学奇术!$A:$ZZ,9,FALSE)+SUM(_xlfn.XLOOKUP(S122:AL122,增益!$A:$A,增益!$I:$I,0)))/100)</f>
        <v>-0.14</v>
      </c>
      <c r="BB122" s="29" cm="1">
        <f t="array" ref="BB122">$G$11+VLOOKUP($R122,武学奇术!$A:$ZZ,10,FALSE)+SUM(_xlfn.XLOOKUP(S122:AL122,增益!$A:$A,增益!$J:$J,0))</f>
        <v>0.02</v>
      </c>
      <c r="BC122">
        <f t="shared" si="37"/>
        <v>0</v>
      </c>
      <c r="BD122">
        <f t="shared" si="38"/>
        <v>0</v>
      </c>
      <c r="BE122" s="29" cm="1">
        <f t="array" ref="BE122">IF($F$12-$I$4+VLOOKUP($R122,武学奇术!$A:$ZZ,11,FALSE)+SUM(_xlfn.XLOOKUP(S122:AL122,增益!$A:$A,增益!$K:$K,0))&gt;0,($F$12-$I$4+VLOOKUP($R122,武学奇术!$A:$ZZ,11,FALSE)+SUM(_xlfn.XLOOKUP(S122:AL122,增益!$A:$A,增益!$K:$K,0)))/200,($F$12-$I$4+VLOOKUP($R122,武学奇术!$A:$ZZ,11,FALSE)+SUM(_xlfn.XLOOKUP(S122:AL122,增益!$A:$A,增益!$K:$K,0)))/100)</f>
        <v>-0.14</v>
      </c>
      <c r="BF122" s="29" cm="1">
        <f t="array" ref="BF122">$G$12+VLOOKUP($R122,武学奇术!$A:$ZZ,12,FALSE)+SUM(_xlfn.XLOOKUP(S122:AL122,增益!$A:$A,增益!$L:$L,0))</f>
        <v>0.02</v>
      </c>
      <c r="BG122">
        <f t="shared" si="39"/>
        <v>0</v>
      </c>
      <c r="BH122">
        <f t="shared" si="40"/>
        <v>0</v>
      </c>
      <c r="BI122" s="29" cm="1">
        <f t="array" ref="BI122">IF($F$13-$I$4+VLOOKUP($R122,武学奇术!$A:$ZZ,13,FALSE)+SUM(_xlfn.XLOOKUP(S122:AL122,增益!$A:$A,增益!$M:$M,0))&gt;0,($F$13-$I$4+VLOOKUP($R122,武学奇术!$A:$ZZ,13,FALSE)+SUM(_xlfn.XLOOKUP(S122:AL122,增益!$A:$A,增益!$K:$K,0)))/200,($F$13-$I$4+VLOOKUP($R122,武学奇术!$A:$ZZ,13,FALSE)+SUM(_xlfn.XLOOKUP(S122:AL122,增益!$A:$A,增益!$M:$M,0)))/100)</f>
        <v>-0.14</v>
      </c>
      <c r="BJ122" s="29" cm="1">
        <f t="array" ref="BJ122">$G$13+VLOOKUP($R122,武学奇术!$A:$ZZ,14,FALSE)+SUM(_xlfn.XLOOKUP(S122:AL122,增益!$A:$A,增益!$N:$N,0))</f>
        <v>0.02</v>
      </c>
      <c r="BK122">
        <f t="shared" si="41"/>
        <v>618.2</v>
      </c>
      <c r="BL122">
        <f t="shared" si="42"/>
        <v>1805</v>
      </c>
      <c r="BM122" s="29" cm="1">
        <f t="array" ref="BM122">IF($F$14-$I$4+VLOOKUP($R122,武学奇术!$A:$ZZ,15,FALSE)+SUM(_xlfn.XLOOKUP(S122:AL122,增益!$A:$A,增益!$O:$O,0))&gt;0,($F$14-$I$4+VLOOKUP($R122,武学奇术!$A:$ZZ,15,FALSE)+SUM(_xlfn.XLOOKUP(S122:AL122,增益!$A:$A,增益!$O:$O,0)))/200,($F$14-$I$4+VLOOKUP($R122,武学奇术!$A:$ZZ,15,FALSE)+SUM(_xlfn.XLOOKUP(S122:AL122,增益!$A:$A,增益!$O:$O,0)))/100)</f>
        <v>0.13</v>
      </c>
      <c r="BN122" s="29" cm="1">
        <f t="array" ref="BN122">$G$14+VLOOKUP($R122,武学奇术!$A:$ZZ,16,FALSE)+SUM(_xlfn.XLOOKUP(S122:AL122,增益!$A:$A,增益!$P:$P,0))</f>
        <v>0.44</v>
      </c>
      <c r="BO122" s="23">
        <f>MIN(IF(VLOOKUP($R122,武学奇术!$A:$ZZ,23,FALSE)=1,100%,$B$8),100%)</f>
        <v>0.9943</v>
      </c>
      <c r="BP122" s="23" cm="1">
        <f t="array" ref="BP122">IF(VLOOKUP($R122,武学奇术!$A:$ZZ,23,FALSE)=1,100%,MIN(80%,$B$9+VLOOKUP($R122,武学奇术!$A:$ZZ,17,FALSE)+SUM(_xlfn.XLOOKUP(S122:AL122,增益!$A:$A,增益!$Q:$Q,0)))+$B$11+SUM(_xlfn.XLOOKUP(S122:AL122,增益!$A:$A,增益!$U:$U,0)))*IF(VLOOKUP($R122,武学奇术!$A:$ZZ,24,FALSE)=1,0,1)</f>
        <v>0.8</v>
      </c>
      <c r="BQ122" s="23" cm="1">
        <f t="array" ref="BQ122">1+$B$13+VLOOKUP($R122,武学奇术!$A:$ZZ,18,FALSE)+SUM(_xlfn.XLOOKUP(S122:AL122,增益!$A:$A,增益!$R:$R,0))</f>
        <v>1.894</v>
      </c>
      <c r="BR122" s="23" cm="1">
        <f t="array" ref="BR122">IF(VLOOKUP($R122,武学奇术!$A:$ZZ,24,FALSE)=1,100%,MIN(40%,$B$10+VLOOKUP($R122,武学奇术!$A:$ZZ,19,FALSE)+SUM(_xlfn.XLOOKUP(S122:AL122,增益!$A:$A,增益!$S:$S,0)))+$B$12+SUM(_xlfn.XLOOKUP(S122:AL122,增益!$A:$A,增益!$V:$V,0)))*IF(VLOOKUP($R122,武学奇术!$A:$ZZ,23,FALSE)=1,0,1)</f>
        <v>0.0913</v>
      </c>
      <c r="BS122" s="23" cm="1">
        <f t="array" ref="BS122">1+$B$14+VLOOKUP($R122,武学奇术!$A:$ZZ,20,FALSE)+SUM(_xlfn.XLOOKUP(S122:AL122,增益!$A:$A,增益!$T:$T,0))</f>
        <v>1.35</v>
      </c>
      <c r="BT122" s="23">
        <f t="shared" si="43"/>
        <v>0.79544</v>
      </c>
      <c r="BU122" s="23">
        <f t="shared" si="44"/>
        <v>0.10808041</v>
      </c>
      <c r="BV122" s="23">
        <f>IF(VLOOKUP($R122,武学奇术!$A:$ZZ,22,FALSE)=1,0,(1-$BO122))*(1-$BR122)</f>
        <v>0.00517958999999993</v>
      </c>
      <c r="BW122" s="23" cm="1">
        <f t="array" ref="BW122">SUM(_xlfn.XLOOKUP(S122:AL122,增益!$A:$A,增益!$W:$W,0))+$I$5</f>
        <v>0.11</v>
      </c>
      <c r="BX122" s="23">
        <f>VLOOKUP($R122,武学奇术!$A:$ZZ,32,FALSE)</f>
        <v>0</v>
      </c>
      <c r="BY122" s="23" cm="1">
        <f t="array" ref="BY122">SUM(_xlfn.XLOOKUP($S122:$AL122,增益!$A:$A,增益!$X:$X,0))</f>
        <v>0</v>
      </c>
    </row>
    <row r="123" spans="1:77">
      <c r="A123" s="4"/>
      <c r="K123" s="35">
        <f>$L123*VLOOKUP($R123,武学奇术!$A:$ZZ,31,FALSE)</f>
        <v>36849.5703961738</v>
      </c>
      <c r="L123" s="35">
        <f t="shared" si="45"/>
        <v>32901.4021394409</v>
      </c>
      <c r="M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轻击",$B$21,0))*(1+IF(VLOOKUP($R123,武学奇术!$A:$ZZ,30,FALSE)="老鼠",$B$22,0))*(1+$BW123)*(1+$BX123)</f>
        <v>34623.6929088719</v>
      </c>
      <c r="N123" s="35">
        <f>(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轻击",$B$21,0))*(1+IF(VLOOKUP($R123,武学奇术!$A:$ZZ,30,FALSE)="老鼠",$B$22,0))*(1+$BW123))*(1+$BX123)</f>
        <v>21761.9037665948</v>
      </c>
      <c r="O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轻击",$B$21,0))*(1+IF(VLOOKUP($R123,武学奇术!$A:$ZZ,30,FALSE)="老鼠",$B$22,0))*(1+$BW123)*(1+$BX123)</f>
        <v>14462.6954506566</v>
      </c>
      <c r="P123" s="35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轻击",$B$21,0))*(1+IF(VLOOKUP($R123,武学奇术!$A:$ZZ,30,FALSE)="老鼠",$B$22,0))*(1+$BW123)*(1+$BX123)</f>
        <v>12805.462185317</v>
      </c>
      <c r="Q123" s="36">
        <v>1</v>
      </c>
      <c r="R123" s="37" t="s">
        <v>139</v>
      </c>
      <c r="S123" s="37" t="s">
        <v>91</v>
      </c>
      <c r="T123" s="37" t="s">
        <v>185</v>
      </c>
      <c r="U123" s="37" t="s">
        <v>112</v>
      </c>
      <c r="V123" s="37" t="s">
        <v>113</v>
      </c>
      <c r="W123" s="37" t="s">
        <v>82</v>
      </c>
      <c r="X123" s="37" t="s">
        <v>81</v>
      </c>
      <c r="Y123" s="37" t="s">
        <v>109</v>
      </c>
      <c r="Z123" s="37" t="s">
        <v>83</v>
      </c>
      <c r="AA123" s="37" t="s">
        <v>81</v>
      </c>
      <c r="AB123" s="37" t="s">
        <v>81</v>
      </c>
      <c r="AC123" s="37" t="s">
        <v>81</v>
      </c>
      <c r="AD123" s="37" t="s">
        <v>85</v>
      </c>
      <c r="AE123" s="37" t="s">
        <v>86</v>
      </c>
      <c r="AF123" s="37" t="s">
        <v>181</v>
      </c>
      <c r="AG123" s="37" t="s">
        <v>87</v>
      </c>
      <c r="AH123" s="37" t="s">
        <v>88</v>
      </c>
      <c r="AI123" s="37" t="s">
        <v>81</v>
      </c>
      <c r="AJ123" s="37" t="s">
        <v>81</v>
      </c>
      <c r="AK123" s="37" t="s">
        <v>81</v>
      </c>
      <c r="AL123" s="37" t="s">
        <v>81</v>
      </c>
      <c r="AM123" t="str">
        <f>VLOOKUP($R123,武学奇术!$A:$ZZ,25,FALSE)</f>
        <v>双刀</v>
      </c>
      <c r="AN123" s="23">
        <f>VLOOKUP($R123,武学奇术!$A:$ZZ,26,FALSE)</f>
        <v>0.6472</v>
      </c>
      <c r="AO123" s="24">
        <f>VLOOKUP($R123,武学奇术!$A:$ZZ,27,FALSE)*(1+IF(OR($AM123=$F$4,$AM123=$F$5),$B$23,0))</f>
        <v>288</v>
      </c>
      <c r="AP123" s="23">
        <f>VLOOKUP($R123,武学奇术!$A:$ZZ,28,FALSE)</f>
        <v>0.9708</v>
      </c>
      <c r="AQ123" s="24">
        <f>VLOOKUP($R123,武学奇术!$A:$ZZ,29,FALSE)*(1+IF(OR($AM123=$F$4,$AM123=$F$5),$B$23,0))</f>
        <v>156.8</v>
      </c>
      <c r="AR123" s="23" cm="1">
        <f t="array" ref="AR123">$G$3+IFERROR(VLOOKUP($AM123,$F$4:$G$7,2,FALSE),0)+VLOOKUP($R123,武学奇术!$A:$ZZ,2,FALSE)+SUM(_xlfn.XLOOKUP($S123:$AL123,增益!$A:$A,增益!$B:$B,0))</f>
        <v>0.8243</v>
      </c>
      <c r="AS123" s="23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4150.4</v>
      </c>
      <c r="AU123" cm="1">
        <f t="array" ref="AU123">$E$10*(1+$AS123)+VLOOKUP($R123,武学奇术!$A:$ZZ,4,FALSE)+SUM(_xlfn.XLOOKUP($S123:$AL123,增益!$A:$A,增益!$D:$D,0))-$I$2</f>
        <v>4150.4</v>
      </c>
      <c r="AV123" s="29" cm="1">
        <f t="array" ref="AV123">IF($F$10-$I$3+VLOOKUP($R123,武学奇术!$A:$ZZ,6,FALSE)+SUM(_xlfn.XLOOKUP(S123:AL123,增益!$A:$A,增益!$F:$F,0))&gt;0,($F$10-$I$3+VLOOKUP($R123,武学奇术!$A:$ZZ,6,FALSE)+SUM(_xlfn.XLOOKUP(S123:AL123,增益!$A:$A,增益!$F:$F,0)))/200,($F$10-$I$3+VLOOKUP($R123,武学奇术!$A:$ZZ,6,FALSE)+SUM(_xlfn.XLOOKUP(S123:AL123,增益!$A:$A,增益!$F:$F,0)))/100)</f>
        <v>0.4539</v>
      </c>
      <c r="AW123" s="29" cm="1">
        <f t="array" ref="AW123">$G$10+VLOOKUP($R123,武学奇术!$A:$ZZ,7,FALSE)+SUM(_xlfn.XLOOKUP(S123:AL123,增益!$A:$A,增益!$G:$G,0))</f>
        <v>0.08</v>
      </c>
      <c r="AX123" s="23" cm="1">
        <f t="array" ref="AX123">VLOOKUP($R123,武学奇术!$A:$ZZ,8,FALSE)+SUM(_xlfn.XLOOKUP(S123:AL123,增益!$A:$A,增益!$H:$H,0))</f>
        <v>0</v>
      </c>
      <c r="AY123">
        <f t="shared" si="35"/>
        <v>0</v>
      </c>
      <c r="AZ123">
        <f t="shared" si="36"/>
        <v>0</v>
      </c>
      <c r="BA123" s="29" cm="1">
        <f t="array" ref="BA123">IF($F$11-$I$4+VLOOKUP($R123,武学奇术!$A:$ZZ,9,FALSE)+SUM(_xlfn.XLOOKUP(S123:AL123,增益!$A:$A,增益!$I:$I,0))&gt;0,($F$11-$I$4+VLOOKUP($R123,武学奇术!$A:$ZZ,9,FALSE)+SUM(_xlfn.XLOOKUP(S123:AL123,增益!$A:$A,增益!$I:$I,0)))/200,($F$11-$I$4+VLOOKUP($R123,武学奇术!$A:$ZZ,9,FALSE)+SUM(_xlfn.XLOOKUP(S123:AL123,增益!$A:$A,增益!$I:$I,0)))/100)</f>
        <v>-0.3</v>
      </c>
      <c r="BB123" s="29" cm="1">
        <f t="array" ref="BB123">$G$11+VLOOKUP($R123,武学奇术!$A:$ZZ,10,FALSE)+SUM(_xlfn.XLOOKUP(S123:AL123,增益!$A:$A,增益!$J:$J,0))</f>
        <v>0.02</v>
      </c>
      <c r="BC123">
        <f t="shared" si="37"/>
        <v>0</v>
      </c>
      <c r="BD123">
        <f t="shared" si="38"/>
        <v>0</v>
      </c>
      <c r="BE123" s="29" cm="1">
        <f t="array" ref="BE123">IF($F$12-$I$4+VLOOKUP($R123,武学奇术!$A:$ZZ,11,FALSE)+SUM(_xlfn.XLOOKUP(S123:AL123,增益!$A:$A,增益!$K:$K,0))&gt;0,($F$12-$I$4+VLOOKUP($R123,武学奇术!$A:$ZZ,11,FALSE)+SUM(_xlfn.XLOOKUP(S123:AL123,增益!$A:$A,增益!$K:$K,0)))/200,($F$12-$I$4+VLOOKUP($R123,武学奇术!$A:$ZZ,11,FALSE)+SUM(_xlfn.XLOOKUP(S123:AL123,增益!$A:$A,增益!$K:$K,0)))/100)</f>
        <v>-0.3</v>
      </c>
      <c r="BF123" s="29" cm="1">
        <f t="array" ref="BF123">$G$12+VLOOKUP($R123,武学奇术!$A:$ZZ,12,FALSE)+SUM(_xlfn.XLOOKUP(S123:AL123,增益!$A:$A,增益!$L:$L,0))</f>
        <v>0.02</v>
      </c>
      <c r="BG123">
        <f t="shared" si="39"/>
        <v>0</v>
      </c>
      <c r="BH123">
        <f t="shared" si="40"/>
        <v>0</v>
      </c>
      <c r="BI123" s="29" cm="1">
        <f t="array" ref="BI123">IF($F$13-$I$4+VLOOKUP($R123,武学奇术!$A:$ZZ,13,FALSE)+SUM(_xlfn.XLOOKUP(S123:AL123,增益!$A:$A,增益!$M:$M,0))&gt;0,($F$13-$I$4+VLOOKUP($R123,武学奇术!$A:$ZZ,13,FALSE)+SUM(_xlfn.XLOOKUP(S123:AL123,增益!$A:$A,增益!$K:$K,0)))/200,($F$13-$I$4+VLOOKUP($R123,武学奇术!$A:$ZZ,13,FALSE)+SUM(_xlfn.XLOOKUP(S123:AL123,增益!$A:$A,增益!$M:$M,0)))/100)</f>
        <v>-0.3</v>
      </c>
      <c r="BJ123" s="29" cm="1">
        <f t="array" ref="BJ123">$G$13+VLOOKUP($R123,武学奇术!$A:$ZZ,14,FALSE)+SUM(_xlfn.XLOOKUP(S123:AL123,增益!$A:$A,增益!$N:$N,0))</f>
        <v>0.02</v>
      </c>
      <c r="BK123">
        <f t="shared" si="41"/>
        <v>618.2</v>
      </c>
      <c r="BL123">
        <f t="shared" si="42"/>
        <v>1805</v>
      </c>
      <c r="BM123" s="29" cm="1">
        <f t="array" ref="BM123">IF($F$14-$I$4+VLOOKUP($R123,武学奇术!$A:$ZZ,15,FALSE)+SUM(_xlfn.XLOOKUP(S123:AL123,增益!$A:$A,增益!$O:$O,0))&gt;0,($F$14-$I$4+VLOOKUP($R123,武学奇术!$A:$ZZ,15,FALSE)+SUM(_xlfn.XLOOKUP(S123:AL123,增益!$A:$A,增益!$O:$O,0)))/200,($F$14-$I$4+VLOOKUP($R123,武学奇术!$A:$ZZ,15,FALSE)+SUM(_xlfn.XLOOKUP(S123:AL123,增益!$A:$A,增益!$O:$O,0)))/100)</f>
        <v>0.05</v>
      </c>
      <c r="BN123" s="29" cm="1">
        <f t="array" ref="BN123">$G$14+VLOOKUP($R123,武学奇术!$A:$ZZ,16,FALSE)+SUM(_xlfn.XLOOKUP(S123:AL123,增益!$A:$A,增益!$P:$P,0))</f>
        <v>0.23</v>
      </c>
      <c r="BO123" s="23">
        <f>MIN(IF(VLOOKUP($R123,武学奇术!$A:$ZZ,23,FALSE)=1,100%,$B$8),100%)</f>
        <v>0.9943</v>
      </c>
      <c r="BP123" s="23" cm="1">
        <f t="array" ref="BP123">IF(VLOOKUP($R123,武学奇术!$A:$ZZ,23,FALSE)=1,100%,MIN(80%,$B$9+VLOOKUP($R123,武学奇术!$A:$ZZ,17,FALSE)+SUM(_xlfn.XLOOKUP(S123:AL123,增益!$A:$A,增益!$Q:$Q,0)))+$B$11+SUM(_xlfn.XLOOKUP(S123:AL123,增益!$A:$A,增益!$U:$U,0)))*IF(VLOOKUP($R123,武学奇术!$A:$ZZ,24,FALSE)=1,0,1)</f>
        <v>0.887</v>
      </c>
      <c r="BQ123" s="23" cm="1">
        <f t="array" ref="BQ123">1+$B$13+VLOOKUP($R123,武学奇术!$A:$ZZ,18,FALSE)+SUM(_xlfn.XLOOKUP(S123:AL123,增益!$A:$A,增益!$R:$R,0))</f>
        <v>2.394</v>
      </c>
      <c r="BR123" s="23" cm="1">
        <f t="array" ref="BR123">IF(VLOOKUP($R123,武学奇术!$A:$ZZ,24,FALSE)=1,100%,MIN(40%,$B$10+VLOOKUP($R123,武学奇术!$A:$ZZ,19,FALSE)+SUM(_xlfn.XLOOKUP(S123:AL123,增益!$A:$A,增益!$S:$S,0)))+$B$12+SUM(_xlfn.XLOOKUP(S123:AL123,增益!$A:$A,增益!$V:$V,0)))*IF(VLOOKUP($R123,武学奇术!$A:$ZZ,23,FALSE)=1,0,1)</f>
        <v>0.0913</v>
      </c>
      <c r="BS123" s="23" cm="1">
        <f t="array" ref="BS123">1+$B$14+VLOOKUP($R123,武学奇术!$A:$ZZ,20,FALSE)+SUM(_xlfn.XLOOKUP(S123:AL123,增益!$A:$A,增益!$T:$T,0))</f>
        <v>1.35</v>
      </c>
      <c r="BT123" s="23">
        <f t="shared" si="43"/>
        <v>0.8819441</v>
      </c>
      <c r="BU123" s="23">
        <f t="shared" si="44"/>
        <v>0.0215763099999999</v>
      </c>
      <c r="BV123" s="23">
        <f>IF(VLOOKUP($R123,武学奇术!$A:$ZZ,22,FALSE)=1,0,(1-$BO123))*(1-$BR123)</f>
        <v>0.00517958999999993</v>
      </c>
      <c r="BW123" s="23" cm="1">
        <f t="array" ref="BW123">SUM(_xlfn.XLOOKUP(S123:AL123,增益!$A:$A,增益!$W:$W,0))+$I$5</f>
        <v>0.11</v>
      </c>
      <c r="BX123" s="23">
        <f>VLOOKUP($R123,武学奇术!$A:$ZZ,32,FALSE)</f>
        <v>0.1</v>
      </c>
      <c r="BY123" s="23" cm="1">
        <f t="array" ref="BY123">SUM(_xlfn.XLOOKUP($S123:$AL123,增益!$A:$A,增益!$X:$X,0))</f>
        <v>0</v>
      </c>
    </row>
    <row r="124" spans="1:77">
      <c r="A124" s="4"/>
      <c r="K124" s="35">
        <f>$L124*VLOOKUP($R124,武学奇术!$A:$ZZ,31,FALSE)</f>
        <v>51294.3735014388</v>
      </c>
      <c r="L124" s="35">
        <f t="shared" si="45"/>
        <v>45798.5477691418</v>
      </c>
      <c r="M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轻击",$B$21,0))*(1+IF(VLOOKUP($R124,武学奇术!$A:$ZZ,30,FALSE)="老鼠",$B$22,0))*(1+$BW124)*(1+$BX124)</f>
        <v>48195.8693015845</v>
      </c>
      <c r="N124" s="35">
        <f>(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轻击",$B$21,0))*(1+IF(VLOOKUP($R124,武学奇术!$A:$ZZ,30,FALSE)="老鼠",$B$22,0))*(1+$BW124))*(1+$BX124)</f>
        <v>30293.4232935259</v>
      </c>
      <c r="O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轻击",$B$21,0))*(1+IF(VLOOKUP($R124,武学奇术!$A:$ZZ,30,FALSE)="老鼠",$B$22,0))*(1+$BW124)*(1+$BX124)</f>
        <v>20131.9420641539</v>
      </c>
      <c r="P124" s="35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轻击",$B$21,0))*(1+IF(VLOOKUP($R124,武学奇术!$A:$ZZ,30,FALSE)="老鼠",$B$22,0))*(1+$BW124)*(1+$BX124)</f>
        <v>17824.3113182887</v>
      </c>
      <c r="Q124" s="36">
        <v>1</v>
      </c>
      <c r="R124" s="37" t="s">
        <v>143</v>
      </c>
      <c r="S124" s="37" t="s">
        <v>91</v>
      </c>
      <c r="T124" s="37" t="s">
        <v>185</v>
      </c>
      <c r="U124" s="37" t="s">
        <v>112</v>
      </c>
      <c r="V124" s="37" t="s">
        <v>113</v>
      </c>
      <c r="W124" s="37" t="s">
        <v>82</v>
      </c>
      <c r="X124" s="37" t="s">
        <v>81</v>
      </c>
      <c r="Y124" s="37" t="s">
        <v>109</v>
      </c>
      <c r="Z124" s="37" t="s">
        <v>83</v>
      </c>
      <c r="AA124" s="37" t="s">
        <v>81</v>
      </c>
      <c r="AB124" s="37" t="s">
        <v>81</v>
      </c>
      <c r="AC124" s="37" t="s">
        <v>81</v>
      </c>
      <c r="AD124" s="37" t="s">
        <v>85</v>
      </c>
      <c r="AE124" s="37" t="s">
        <v>86</v>
      </c>
      <c r="AF124" s="37" t="s">
        <v>181</v>
      </c>
      <c r="AG124" s="37" t="s">
        <v>87</v>
      </c>
      <c r="AH124" s="37" t="s">
        <v>88</v>
      </c>
      <c r="AI124" s="37" t="s">
        <v>81</v>
      </c>
      <c r="AJ124" s="37" t="s">
        <v>81</v>
      </c>
      <c r="AK124" s="37" t="s">
        <v>81</v>
      </c>
      <c r="AL124" s="37" t="s">
        <v>81</v>
      </c>
      <c r="AM124" t="str">
        <f>VLOOKUP($R124,武学奇术!$A:$ZZ,25,FALSE)</f>
        <v>双刀</v>
      </c>
      <c r="AN124" s="23">
        <f>VLOOKUP($R124,武学奇术!$A:$ZZ,26,FALSE)</f>
        <v>0.9012</v>
      </c>
      <c r="AO124" s="24">
        <f>VLOOKUP($R124,武学奇术!$A:$ZZ,27,FALSE)*(1+IF(OR($AM124=$F$4,$AM124=$F$5),$B$23,0))</f>
        <v>400</v>
      </c>
      <c r="AP124" s="23">
        <f>VLOOKUP($R124,武学奇术!$A:$ZZ,28,FALSE)</f>
        <v>1.3518</v>
      </c>
      <c r="AQ124" s="24">
        <f>VLOOKUP($R124,武学奇术!$A:$ZZ,29,FALSE)*(1+IF(OR($AM124=$F$4,$AM124=$F$5),$B$23,0))</f>
        <v>217.6</v>
      </c>
      <c r="AR124" s="23" cm="1">
        <f t="array" ref="AR124">$G$3+IFERROR(VLOOKUP($AM124,$F$4:$G$7,2,FALSE),0)+VLOOKUP($R124,武学奇术!$A:$ZZ,2,FALSE)+SUM(_xlfn.XLOOKUP($S124:$AL124,增益!$A:$A,增益!$B:$B,0))</f>
        <v>0.8243</v>
      </c>
      <c r="AS124" s="23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4150.4</v>
      </c>
      <c r="AU124" cm="1">
        <f t="array" ref="AU124">$E$10*(1+$AS124)+VLOOKUP($R124,武学奇术!$A:$ZZ,4,FALSE)+SUM(_xlfn.XLOOKUP($S124:$AL124,增益!$A:$A,增益!$D:$D,0))-$I$2</f>
        <v>4150.4</v>
      </c>
      <c r="AV124" s="29" cm="1">
        <f t="array" ref="AV124">IF($F$10-$I$3+VLOOKUP($R124,武学奇术!$A:$ZZ,6,FALSE)+SUM(_xlfn.XLOOKUP(S124:AL124,增益!$A:$A,增益!$F:$F,0))&gt;0,($F$10-$I$3+VLOOKUP($R124,武学奇术!$A:$ZZ,6,FALSE)+SUM(_xlfn.XLOOKUP(S124:AL124,增益!$A:$A,增益!$F:$F,0)))/200,($F$10-$I$3+VLOOKUP($R124,武学奇术!$A:$ZZ,6,FALSE)+SUM(_xlfn.XLOOKUP(S124:AL124,增益!$A:$A,增益!$F:$F,0)))/100)</f>
        <v>0.4539</v>
      </c>
      <c r="AW124" s="29" cm="1">
        <f t="array" ref="AW124">$G$10+VLOOKUP($R124,武学奇术!$A:$ZZ,7,FALSE)+SUM(_xlfn.XLOOKUP(S124:AL124,增益!$A:$A,增益!$G:$G,0))</f>
        <v>0.08</v>
      </c>
      <c r="AX124" s="23" cm="1">
        <f t="array" ref="AX124">VLOOKUP($R124,武学奇术!$A:$ZZ,8,FALSE)+SUM(_xlfn.XLOOKUP(S124:AL124,增益!$A:$A,增益!$H:$H,0))</f>
        <v>0</v>
      </c>
      <c r="AY124">
        <f t="shared" si="35"/>
        <v>0</v>
      </c>
      <c r="AZ124">
        <f t="shared" si="36"/>
        <v>0</v>
      </c>
      <c r="BA124" s="29" cm="1">
        <f t="array" ref="BA124">IF($F$11-$I$4+VLOOKUP($R124,武学奇术!$A:$ZZ,9,FALSE)+SUM(_xlfn.XLOOKUP(S124:AL124,增益!$A:$A,增益!$I:$I,0))&gt;0,($F$11-$I$4+VLOOKUP($R124,武学奇术!$A:$ZZ,9,FALSE)+SUM(_xlfn.XLOOKUP(S124:AL124,增益!$A:$A,增益!$I:$I,0)))/200,($F$11-$I$4+VLOOKUP($R124,武学奇术!$A:$ZZ,9,FALSE)+SUM(_xlfn.XLOOKUP(S124:AL124,增益!$A:$A,增益!$I:$I,0)))/100)</f>
        <v>-0.3</v>
      </c>
      <c r="BB124" s="29" cm="1">
        <f t="array" ref="BB124">$G$11+VLOOKUP($R124,武学奇术!$A:$ZZ,10,FALSE)+SUM(_xlfn.XLOOKUP(S124:AL124,增益!$A:$A,增益!$J:$J,0))</f>
        <v>0.02</v>
      </c>
      <c r="BC124">
        <f t="shared" si="37"/>
        <v>0</v>
      </c>
      <c r="BD124">
        <f t="shared" si="38"/>
        <v>0</v>
      </c>
      <c r="BE124" s="29" cm="1">
        <f t="array" ref="BE124">IF($F$12-$I$4+VLOOKUP($R124,武学奇术!$A:$ZZ,11,FALSE)+SUM(_xlfn.XLOOKUP(S124:AL124,增益!$A:$A,增益!$K:$K,0))&gt;0,($F$12-$I$4+VLOOKUP($R124,武学奇术!$A:$ZZ,11,FALSE)+SUM(_xlfn.XLOOKUP(S124:AL124,增益!$A:$A,增益!$K:$K,0)))/200,($F$12-$I$4+VLOOKUP($R124,武学奇术!$A:$ZZ,11,FALSE)+SUM(_xlfn.XLOOKUP(S124:AL124,增益!$A:$A,增益!$K:$K,0)))/100)</f>
        <v>-0.3</v>
      </c>
      <c r="BF124" s="29" cm="1">
        <f t="array" ref="BF124">$G$12+VLOOKUP($R124,武学奇术!$A:$ZZ,12,FALSE)+SUM(_xlfn.XLOOKUP(S124:AL124,增益!$A:$A,增益!$L:$L,0))</f>
        <v>0.02</v>
      </c>
      <c r="BG124">
        <f t="shared" si="39"/>
        <v>0</v>
      </c>
      <c r="BH124">
        <f t="shared" si="40"/>
        <v>0</v>
      </c>
      <c r="BI124" s="29" cm="1">
        <f t="array" ref="BI124">IF($F$13-$I$4+VLOOKUP($R124,武学奇术!$A:$ZZ,13,FALSE)+SUM(_xlfn.XLOOKUP(S124:AL124,增益!$A:$A,增益!$M:$M,0))&gt;0,($F$13-$I$4+VLOOKUP($R124,武学奇术!$A:$ZZ,13,FALSE)+SUM(_xlfn.XLOOKUP(S124:AL124,增益!$A:$A,增益!$K:$K,0)))/200,($F$13-$I$4+VLOOKUP($R124,武学奇术!$A:$ZZ,13,FALSE)+SUM(_xlfn.XLOOKUP(S124:AL124,增益!$A:$A,增益!$M:$M,0)))/100)</f>
        <v>-0.3</v>
      </c>
      <c r="BJ124" s="29" cm="1">
        <f t="array" ref="BJ124">$G$13+VLOOKUP($R124,武学奇术!$A:$ZZ,14,FALSE)+SUM(_xlfn.XLOOKUP(S124:AL124,增益!$A:$A,增益!$N:$N,0))</f>
        <v>0.02</v>
      </c>
      <c r="BK124">
        <f t="shared" si="41"/>
        <v>618.2</v>
      </c>
      <c r="BL124">
        <f t="shared" si="42"/>
        <v>1805</v>
      </c>
      <c r="BM124" s="29" cm="1">
        <f t="array" ref="BM124">IF($F$14-$I$4+VLOOKUP($R124,武学奇术!$A:$ZZ,15,FALSE)+SUM(_xlfn.XLOOKUP(S124:AL124,增益!$A:$A,增益!$O:$O,0))&gt;0,($F$14-$I$4+VLOOKUP($R124,武学奇术!$A:$ZZ,15,FALSE)+SUM(_xlfn.XLOOKUP(S124:AL124,增益!$A:$A,增益!$O:$O,0)))/200,($F$14-$I$4+VLOOKUP($R124,武学奇术!$A:$ZZ,15,FALSE)+SUM(_xlfn.XLOOKUP(S124:AL124,增益!$A:$A,增益!$O:$O,0)))/100)</f>
        <v>0.05</v>
      </c>
      <c r="BN124" s="29" cm="1">
        <f t="array" ref="BN124">$G$14+VLOOKUP($R124,武学奇术!$A:$ZZ,16,FALSE)+SUM(_xlfn.XLOOKUP(S124:AL124,增益!$A:$A,增益!$P:$P,0))</f>
        <v>0.23</v>
      </c>
      <c r="BO124" s="23">
        <f>MIN(IF(VLOOKUP($R124,武学奇术!$A:$ZZ,23,FALSE)=1,100%,$B$8),100%)</f>
        <v>0.9943</v>
      </c>
      <c r="BP124" s="23" cm="1">
        <f t="array" ref="BP124">IF(VLOOKUP($R124,武学奇术!$A:$ZZ,23,FALSE)=1,100%,MIN(80%,$B$9+VLOOKUP($R124,武学奇术!$A:$ZZ,17,FALSE)+SUM(_xlfn.XLOOKUP(S124:AL124,增益!$A:$A,增益!$Q:$Q,0)))+$B$11+SUM(_xlfn.XLOOKUP(S124:AL124,增益!$A:$A,增益!$U:$U,0)))*IF(VLOOKUP($R124,武学奇术!$A:$ZZ,24,FALSE)=1,0,1)</f>
        <v>0.887</v>
      </c>
      <c r="BQ124" s="23" cm="1">
        <f t="array" ref="BQ124">1+$B$13+VLOOKUP($R124,武学奇术!$A:$ZZ,18,FALSE)+SUM(_xlfn.XLOOKUP(S124:AL124,增益!$A:$A,增益!$R:$R,0))</f>
        <v>2.394</v>
      </c>
      <c r="BR124" s="23" cm="1">
        <f t="array" ref="BR124">IF(VLOOKUP($R124,武学奇术!$A:$ZZ,24,FALSE)=1,100%,MIN(40%,$B$10+VLOOKUP($R124,武学奇术!$A:$ZZ,19,FALSE)+SUM(_xlfn.XLOOKUP(S124:AL124,增益!$A:$A,增益!$S:$S,0)))+$B$12+SUM(_xlfn.XLOOKUP(S124:AL124,增益!$A:$A,增益!$V:$V,0)))*IF(VLOOKUP($R124,武学奇术!$A:$ZZ,23,FALSE)=1,0,1)</f>
        <v>0.0913</v>
      </c>
      <c r="BS124" s="23" cm="1">
        <f t="array" ref="BS124">1+$B$14+VLOOKUP($R124,武学奇术!$A:$ZZ,20,FALSE)+SUM(_xlfn.XLOOKUP(S124:AL124,增益!$A:$A,增益!$T:$T,0))</f>
        <v>1.35</v>
      </c>
      <c r="BT124" s="23">
        <f t="shared" si="43"/>
        <v>0.8819441</v>
      </c>
      <c r="BU124" s="23">
        <f t="shared" si="44"/>
        <v>0.0215763099999999</v>
      </c>
      <c r="BV124" s="23">
        <f>IF(VLOOKUP($R124,武学奇术!$A:$ZZ,22,FALSE)=1,0,(1-$BO124))*(1-$BR124)</f>
        <v>0.00517958999999993</v>
      </c>
      <c r="BW124" s="23" cm="1">
        <f t="array" ref="BW124">SUM(_xlfn.XLOOKUP(S124:AL124,增益!$A:$A,增益!$W:$W,0))+$I$5</f>
        <v>0.11</v>
      </c>
      <c r="BX124" s="23">
        <f>VLOOKUP($R124,武学奇术!$A:$ZZ,32,FALSE)</f>
        <v>0.1</v>
      </c>
      <c r="BY124" s="23" cm="1">
        <f t="array" ref="BY124">SUM(_xlfn.XLOOKUP($S124:$AL124,增益!$A:$A,增益!$X:$X,0))</f>
        <v>0</v>
      </c>
    </row>
    <row r="125" spans="1:77">
      <c r="K125" s="35">
        <f>$L125*VLOOKUP($R125,武学奇术!$A:$ZZ,31,FALSE)</f>
        <v>82272.8610752548</v>
      </c>
      <c r="L125" s="35">
        <f t="shared" si="45"/>
        <v>73457.9116743346</v>
      </c>
      <c r="M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轻击",$B$21,0))*(1+IF(VLOOKUP($R125,武学奇术!$A:$ZZ,30,FALSE)="老鼠",$B$22,0))*(1+$BW125)*(1+$BX125)</f>
        <v>77303.0391588201</v>
      </c>
      <c r="N125" s="35">
        <f>(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轻击",$B$21,0))*(1+IF(VLOOKUP($R125,武学奇术!$A:$ZZ,30,FALSE)="老鼠",$B$22,0))*(1+$BW125))*(1+$BX125)</f>
        <v>48588.9124907135</v>
      </c>
      <c r="O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轻击",$B$21,0))*(1+IF(VLOOKUP($R125,武学奇术!$A:$ZZ,30,FALSE)="老鼠",$B$22,0))*(1+$BW125)*(1+$BX125)</f>
        <v>32290.3254631663</v>
      </c>
      <c r="P125" s="35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轻击",$B$21,0))*(1+IF(VLOOKUP($R125,武学奇术!$A:$ZZ,30,FALSE)="老鼠",$B$22,0))*(1+$BW125)*(1+$BX125)</f>
        <v>28588.8638961744</v>
      </c>
      <c r="Q125" s="36">
        <v>1</v>
      </c>
      <c r="R125" s="37" t="s">
        <v>148</v>
      </c>
      <c r="S125" s="37" t="s">
        <v>91</v>
      </c>
      <c r="T125" s="37" t="s">
        <v>185</v>
      </c>
      <c r="U125" s="37" t="s">
        <v>112</v>
      </c>
      <c r="V125" s="37" t="s">
        <v>113</v>
      </c>
      <c r="W125" s="37" t="s">
        <v>82</v>
      </c>
      <c r="X125" s="37" t="s">
        <v>81</v>
      </c>
      <c r="Y125" s="37" t="s">
        <v>109</v>
      </c>
      <c r="Z125" s="37" t="s">
        <v>83</v>
      </c>
      <c r="AA125" s="37" t="s">
        <v>81</v>
      </c>
      <c r="AB125" s="37" t="s">
        <v>81</v>
      </c>
      <c r="AC125" s="37" t="s">
        <v>81</v>
      </c>
      <c r="AD125" s="37" t="s">
        <v>85</v>
      </c>
      <c r="AE125" s="37" t="s">
        <v>86</v>
      </c>
      <c r="AF125" s="37" t="s">
        <v>181</v>
      </c>
      <c r="AG125" s="37" t="s">
        <v>87</v>
      </c>
      <c r="AH125" s="37" t="s">
        <v>88</v>
      </c>
      <c r="AI125" s="37" t="s">
        <v>81</v>
      </c>
      <c r="AJ125" s="37" t="s">
        <v>81</v>
      </c>
      <c r="AK125" s="37" t="s">
        <v>81</v>
      </c>
      <c r="AL125" s="37" t="s">
        <v>81</v>
      </c>
      <c r="AM125" t="str">
        <f>VLOOKUP($R125,武学奇术!$A:$ZZ,25,FALSE)</f>
        <v>双刀</v>
      </c>
      <c r="AN125" s="23">
        <f>VLOOKUP($R125,武学奇术!$A:$ZZ,26,FALSE)</f>
        <v>1.4455</v>
      </c>
      <c r="AO125" s="24">
        <f>VLOOKUP($R125,武学奇术!$A:$ZZ,27,FALSE)*(1+IF(OR($AM125=$F$4,$AM125=$F$5),$B$23,0))</f>
        <v>641.6</v>
      </c>
      <c r="AP125" s="23">
        <f>VLOOKUP($R125,武学奇术!$A:$ZZ,28,FALSE)</f>
        <v>2.1683</v>
      </c>
      <c r="AQ125" s="24">
        <f>VLOOKUP($R125,武学奇术!$A:$ZZ,29,FALSE)*(1+IF(OR($AM125=$F$4,$AM125=$F$5),$B$23,0))</f>
        <v>348.8</v>
      </c>
      <c r="AR125" s="23" cm="1">
        <f t="array" ref="AR125">$G$3+IFERROR(VLOOKUP($AM125,$F$4:$G$7,2,FALSE),0)+VLOOKUP($R125,武学奇术!$A:$ZZ,2,FALSE)+SUM(_xlfn.XLOOKUP($S125:$AL125,增益!$A:$A,增益!$B:$B,0))</f>
        <v>0.8243</v>
      </c>
      <c r="AS125" s="23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4150.4</v>
      </c>
      <c r="AU125" cm="1">
        <f t="array" ref="AU125">$E$10*(1+$AS125)+VLOOKUP($R125,武学奇术!$A:$ZZ,4,FALSE)+SUM(_xlfn.XLOOKUP($S125:$AL125,增益!$A:$A,增益!$D:$D,0))-$I$2</f>
        <v>4150.4</v>
      </c>
      <c r="AV125" s="29" cm="1">
        <f t="array" ref="AV125">IF($F$10-$I$3+VLOOKUP($R125,武学奇术!$A:$ZZ,6,FALSE)+SUM(_xlfn.XLOOKUP(S125:AL125,增益!$A:$A,增益!$F:$F,0))&gt;0,($F$10-$I$3+VLOOKUP($R125,武学奇术!$A:$ZZ,6,FALSE)+SUM(_xlfn.XLOOKUP(S125:AL125,增益!$A:$A,增益!$F:$F,0)))/200,($F$10-$I$3+VLOOKUP($R125,武学奇术!$A:$ZZ,6,FALSE)+SUM(_xlfn.XLOOKUP(S125:AL125,增益!$A:$A,增益!$F:$F,0)))/100)</f>
        <v>0.4539</v>
      </c>
      <c r="AW125" s="29" cm="1">
        <f t="array" ref="AW125">$G$10+VLOOKUP($R125,武学奇术!$A:$ZZ,7,FALSE)+SUM(_xlfn.XLOOKUP(S125:AL125,增益!$A:$A,增益!$G:$G,0))</f>
        <v>0.08</v>
      </c>
      <c r="AX125" s="23" cm="1">
        <f t="array" ref="AX125">VLOOKUP($R125,武学奇术!$A:$ZZ,8,FALSE)+SUM(_xlfn.XLOOKUP(S125:AL125,增益!$A:$A,增益!$H:$H,0))</f>
        <v>0</v>
      </c>
      <c r="AY125">
        <f t="shared" si="35"/>
        <v>0</v>
      </c>
      <c r="AZ125">
        <f t="shared" si="36"/>
        <v>0</v>
      </c>
      <c r="BA125" s="29" cm="1">
        <f t="array" ref="BA125">IF($F$11-$I$4+VLOOKUP($R125,武学奇术!$A:$ZZ,9,FALSE)+SUM(_xlfn.XLOOKUP(S125:AL125,增益!$A:$A,增益!$I:$I,0))&gt;0,($F$11-$I$4+VLOOKUP($R125,武学奇术!$A:$ZZ,9,FALSE)+SUM(_xlfn.XLOOKUP(S125:AL125,增益!$A:$A,增益!$I:$I,0)))/200,($F$11-$I$4+VLOOKUP($R125,武学奇术!$A:$ZZ,9,FALSE)+SUM(_xlfn.XLOOKUP(S125:AL125,增益!$A:$A,增益!$I:$I,0)))/100)</f>
        <v>-0.3</v>
      </c>
      <c r="BB125" s="29" cm="1">
        <f t="array" ref="BB125">$G$11+VLOOKUP($R125,武学奇术!$A:$ZZ,10,FALSE)+SUM(_xlfn.XLOOKUP(S125:AL125,增益!$A:$A,增益!$J:$J,0))</f>
        <v>0.02</v>
      </c>
      <c r="BC125">
        <f t="shared" si="37"/>
        <v>0</v>
      </c>
      <c r="BD125">
        <f t="shared" si="38"/>
        <v>0</v>
      </c>
      <c r="BE125" s="29" cm="1">
        <f t="array" ref="BE125">IF($F$12-$I$4+VLOOKUP($R125,武学奇术!$A:$ZZ,11,FALSE)+SUM(_xlfn.XLOOKUP(S125:AL125,增益!$A:$A,增益!$K:$K,0))&gt;0,($F$12-$I$4+VLOOKUP($R125,武学奇术!$A:$ZZ,11,FALSE)+SUM(_xlfn.XLOOKUP(S125:AL125,增益!$A:$A,增益!$K:$K,0)))/200,($F$12-$I$4+VLOOKUP($R125,武学奇术!$A:$ZZ,11,FALSE)+SUM(_xlfn.XLOOKUP(S125:AL125,增益!$A:$A,增益!$K:$K,0)))/100)</f>
        <v>-0.3</v>
      </c>
      <c r="BF125" s="29" cm="1">
        <f t="array" ref="BF125">$G$12+VLOOKUP($R125,武学奇术!$A:$ZZ,12,FALSE)+SUM(_xlfn.XLOOKUP(S125:AL125,增益!$A:$A,增益!$L:$L,0))</f>
        <v>0.02</v>
      </c>
      <c r="BG125">
        <f t="shared" si="39"/>
        <v>0</v>
      </c>
      <c r="BH125">
        <f t="shared" si="40"/>
        <v>0</v>
      </c>
      <c r="BI125" s="29" cm="1">
        <f t="array" ref="BI125">IF($F$13-$I$4+VLOOKUP($R125,武学奇术!$A:$ZZ,13,FALSE)+SUM(_xlfn.XLOOKUP(S125:AL125,增益!$A:$A,增益!$M:$M,0))&gt;0,($F$13-$I$4+VLOOKUP($R125,武学奇术!$A:$ZZ,13,FALSE)+SUM(_xlfn.XLOOKUP(S125:AL125,增益!$A:$A,增益!$K:$K,0)))/200,($F$13-$I$4+VLOOKUP($R125,武学奇术!$A:$ZZ,13,FALSE)+SUM(_xlfn.XLOOKUP(S125:AL125,增益!$A:$A,增益!$M:$M,0)))/100)</f>
        <v>-0.3</v>
      </c>
      <c r="BJ125" s="29" cm="1">
        <f t="array" ref="BJ125">$G$13+VLOOKUP($R125,武学奇术!$A:$ZZ,14,FALSE)+SUM(_xlfn.XLOOKUP(S125:AL125,增益!$A:$A,增益!$N:$N,0))</f>
        <v>0.02</v>
      </c>
      <c r="BK125">
        <f t="shared" si="41"/>
        <v>618.2</v>
      </c>
      <c r="BL125">
        <f t="shared" si="42"/>
        <v>1805</v>
      </c>
      <c r="BM125" s="29" cm="1">
        <f t="array" ref="BM125">IF($F$14-$I$4+VLOOKUP($R125,武学奇术!$A:$ZZ,15,FALSE)+SUM(_xlfn.XLOOKUP(S125:AL125,增益!$A:$A,增益!$O:$O,0))&gt;0,($F$14-$I$4+VLOOKUP($R125,武学奇术!$A:$ZZ,15,FALSE)+SUM(_xlfn.XLOOKUP(S125:AL125,增益!$A:$A,增益!$O:$O,0)))/200,($F$14-$I$4+VLOOKUP($R125,武学奇术!$A:$ZZ,15,FALSE)+SUM(_xlfn.XLOOKUP(S125:AL125,增益!$A:$A,增益!$O:$O,0)))/100)</f>
        <v>0.05</v>
      </c>
      <c r="BN125" s="29" cm="1">
        <f t="array" ref="BN125">$G$14+VLOOKUP($R125,武学奇术!$A:$ZZ,16,FALSE)+SUM(_xlfn.XLOOKUP(S125:AL125,增益!$A:$A,增益!$P:$P,0))</f>
        <v>0.23</v>
      </c>
      <c r="BO125" s="23">
        <f>MIN(IF(VLOOKUP($R125,武学奇术!$A:$ZZ,23,FALSE)=1,100%,$B$8),100%)</f>
        <v>0.9943</v>
      </c>
      <c r="BP125" s="23" cm="1">
        <f t="array" ref="BP125">IF(VLOOKUP($R125,武学奇术!$A:$ZZ,23,FALSE)=1,100%,MIN(80%,$B$9+VLOOKUP($R125,武学奇术!$A:$ZZ,17,FALSE)+SUM(_xlfn.XLOOKUP(S125:AL125,增益!$A:$A,增益!$Q:$Q,0)))+$B$11+SUM(_xlfn.XLOOKUP(S125:AL125,增益!$A:$A,增益!$U:$U,0)))*IF(VLOOKUP($R125,武学奇术!$A:$ZZ,24,FALSE)=1,0,1)</f>
        <v>0.887</v>
      </c>
      <c r="BQ125" s="23" cm="1">
        <f t="array" ref="BQ125">1+$B$13+VLOOKUP($R125,武学奇术!$A:$ZZ,18,FALSE)+SUM(_xlfn.XLOOKUP(S125:AL125,增益!$A:$A,增益!$R:$R,0))</f>
        <v>2.394</v>
      </c>
      <c r="BR125" s="23" cm="1">
        <f t="array" ref="BR125">IF(VLOOKUP($R125,武学奇术!$A:$ZZ,24,FALSE)=1,100%,MIN(40%,$B$10+VLOOKUP($R125,武学奇术!$A:$ZZ,19,FALSE)+SUM(_xlfn.XLOOKUP(S125:AL125,增益!$A:$A,增益!$S:$S,0)))+$B$12+SUM(_xlfn.XLOOKUP(S125:AL125,增益!$A:$A,增益!$V:$V,0)))*IF(VLOOKUP($R125,武学奇术!$A:$ZZ,23,FALSE)=1,0,1)</f>
        <v>0.0913</v>
      </c>
      <c r="BS125" s="23" cm="1">
        <f t="array" ref="BS125">1+$B$14+VLOOKUP($R125,武学奇术!$A:$ZZ,20,FALSE)+SUM(_xlfn.XLOOKUP(S125:AL125,增益!$A:$A,增益!$T:$T,0))</f>
        <v>1.35</v>
      </c>
      <c r="BT125" s="23">
        <f t="shared" si="43"/>
        <v>0.8819441</v>
      </c>
      <c r="BU125" s="23">
        <f t="shared" si="44"/>
        <v>0.0215763099999999</v>
      </c>
      <c r="BV125" s="23">
        <f>IF(VLOOKUP($R125,武学奇术!$A:$ZZ,22,FALSE)=1,0,(1-$BO125))*(1-$BR125)</f>
        <v>0.00517958999999993</v>
      </c>
      <c r="BW125" s="23" cm="1">
        <f t="array" ref="BW125">SUM(_xlfn.XLOOKUP(S125:AL125,增益!$A:$A,增益!$W:$W,0))+$I$5</f>
        <v>0.11</v>
      </c>
      <c r="BX125" s="23">
        <f>VLOOKUP($R125,武学奇术!$A:$ZZ,32,FALSE)</f>
        <v>0.1</v>
      </c>
      <c r="BY125" s="23" cm="1">
        <f t="array" ref="BY125">SUM(_xlfn.XLOOKUP($S125:$AL125,增益!$A:$A,增益!$X:$X,0))</f>
        <v>0</v>
      </c>
    </row>
    <row r="126" spans="1:77">
      <c r="K126" s="35">
        <f>$L126*VLOOKUP($R126,武学奇术!$A:$ZZ,31,FALSE)</f>
        <v>98791.4664932833</v>
      </c>
      <c r="L126" s="35">
        <f t="shared" si="45"/>
        <v>88206.6665118601</v>
      </c>
      <c r="M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轻击",$B$21,0))*(1+IF(VLOOKUP($R126,武学奇术!$A:$ZZ,30,FALSE)="老鼠",$B$22,0))*(1+$BW126)*(1+$BX126)</f>
        <v>92823.8009843448</v>
      </c>
      <c r="N126" s="35">
        <f>(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轻击",$B$21,0))*(1+IF(VLOOKUP($R126,武学奇术!$A:$ZZ,30,FALSE)="老鼠",$B$22,0))*(1+$BW126))*(1+$BX126)</f>
        <v>58344.6263448325</v>
      </c>
      <c r="O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轻击",$B$21,0))*(1+IF(VLOOKUP($R126,武学奇术!$A:$ZZ,30,FALSE)="老鼠",$B$22,0))*(1+$BW126)*(1+$BX126)</f>
        <v>38773.5175373203</v>
      </c>
      <c r="P126" s="35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轻击",$B$21,0))*(1+IF(VLOOKUP($R126,武学奇术!$A:$ZZ,30,FALSE)="老鼠",$B$22,0))*(1+$BW126)*(1+$BX126)</f>
        <v>34328.7933377276</v>
      </c>
      <c r="Q126" s="36">
        <v>1</v>
      </c>
      <c r="R126" s="37" t="s">
        <v>153</v>
      </c>
      <c r="S126" s="37" t="s">
        <v>91</v>
      </c>
      <c r="T126" s="37" t="s">
        <v>185</v>
      </c>
      <c r="U126" s="37" t="s">
        <v>112</v>
      </c>
      <c r="V126" s="37" t="s">
        <v>113</v>
      </c>
      <c r="W126" s="37" t="s">
        <v>82</v>
      </c>
      <c r="X126" s="37" t="s">
        <v>81</v>
      </c>
      <c r="Y126" s="37" t="s">
        <v>109</v>
      </c>
      <c r="Z126" s="37" t="s">
        <v>83</v>
      </c>
      <c r="AA126" s="37" t="s">
        <v>81</v>
      </c>
      <c r="AB126" s="37" t="s">
        <v>81</v>
      </c>
      <c r="AC126" s="37" t="s">
        <v>81</v>
      </c>
      <c r="AD126" s="37" t="s">
        <v>85</v>
      </c>
      <c r="AE126" s="37" t="s">
        <v>86</v>
      </c>
      <c r="AF126" s="37" t="s">
        <v>181</v>
      </c>
      <c r="AG126" s="37" t="s">
        <v>87</v>
      </c>
      <c r="AH126" s="37" t="s">
        <v>88</v>
      </c>
      <c r="AI126" s="37" t="s">
        <v>81</v>
      </c>
      <c r="AJ126" s="37" t="s">
        <v>81</v>
      </c>
      <c r="AK126" s="37" t="s">
        <v>81</v>
      </c>
      <c r="AL126" s="37" t="s">
        <v>81</v>
      </c>
      <c r="AM126" t="str">
        <f>VLOOKUP($R126,武学奇术!$A:$ZZ,25,FALSE)</f>
        <v>双刀</v>
      </c>
      <c r="AN126" s="23">
        <f>VLOOKUP($R126,武学奇术!$A:$ZZ,26,FALSE)</f>
        <v>1.7358</v>
      </c>
      <c r="AO126" s="24">
        <f>VLOOKUP($R126,武学奇术!$A:$ZZ,27,FALSE)*(1+IF(OR($AM126=$F$4,$AM126=$F$5),$B$23,0))</f>
        <v>769.6</v>
      </c>
      <c r="AP126" s="23">
        <f>VLOOKUP($R126,武学奇术!$A:$ZZ,28,FALSE)</f>
        <v>2.6037</v>
      </c>
      <c r="AQ126" s="24">
        <f>VLOOKUP($R126,武学奇术!$A:$ZZ,29,FALSE)*(1+IF(OR($AM126=$F$4,$AM126=$F$5),$B$23,0))</f>
        <v>419.2</v>
      </c>
      <c r="AR126" s="23" cm="1">
        <f t="array" ref="AR126">$G$3+IFERROR(VLOOKUP($AM126,$F$4:$G$7,2,FALSE),0)+VLOOKUP($R126,武学奇术!$A:$ZZ,2,FALSE)+SUM(_xlfn.XLOOKUP($S126:$AL126,增益!$A:$A,增益!$B:$B,0))</f>
        <v>0.8243</v>
      </c>
      <c r="AS126" s="23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4150.4</v>
      </c>
      <c r="AU126" cm="1">
        <f t="array" ref="AU126">$E$10*(1+$AS126)+VLOOKUP($R126,武学奇术!$A:$ZZ,4,FALSE)+SUM(_xlfn.XLOOKUP($S126:$AL126,增益!$A:$A,增益!$D:$D,0))-$I$2</f>
        <v>4150.4</v>
      </c>
      <c r="AV126" s="29" cm="1">
        <f t="array" ref="AV126">IF($F$10-$I$3+VLOOKUP($R126,武学奇术!$A:$ZZ,6,FALSE)+SUM(_xlfn.XLOOKUP(S126:AL126,增益!$A:$A,增益!$F:$F,0))&gt;0,($F$10-$I$3+VLOOKUP($R126,武学奇术!$A:$ZZ,6,FALSE)+SUM(_xlfn.XLOOKUP(S126:AL126,增益!$A:$A,增益!$F:$F,0)))/200,($F$10-$I$3+VLOOKUP($R126,武学奇术!$A:$ZZ,6,FALSE)+SUM(_xlfn.XLOOKUP(S126:AL126,增益!$A:$A,增益!$F:$F,0)))/100)</f>
        <v>0.4539</v>
      </c>
      <c r="AW126" s="29" cm="1">
        <f t="array" ref="AW126">$G$10+VLOOKUP($R126,武学奇术!$A:$ZZ,7,FALSE)+SUM(_xlfn.XLOOKUP(S126:AL126,增益!$A:$A,增益!$G:$G,0))</f>
        <v>0.08</v>
      </c>
      <c r="AX126" s="23" cm="1">
        <f t="array" ref="AX126">VLOOKUP($R126,武学奇术!$A:$ZZ,8,FALSE)+SUM(_xlfn.XLOOKUP(S126:AL126,增益!$A:$A,增益!$H:$H,0))</f>
        <v>0</v>
      </c>
      <c r="AY126">
        <f t="shared" si="35"/>
        <v>0</v>
      </c>
      <c r="AZ126">
        <f t="shared" si="36"/>
        <v>0</v>
      </c>
      <c r="BA126" s="29" cm="1">
        <f t="array" ref="BA126">IF($F$11-$I$4+VLOOKUP($R126,武学奇术!$A:$ZZ,9,FALSE)+SUM(_xlfn.XLOOKUP(S126:AL126,增益!$A:$A,增益!$I:$I,0))&gt;0,($F$11-$I$4+VLOOKUP($R126,武学奇术!$A:$ZZ,9,FALSE)+SUM(_xlfn.XLOOKUP(S126:AL126,增益!$A:$A,增益!$I:$I,0)))/200,($F$11-$I$4+VLOOKUP($R126,武学奇术!$A:$ZZ,9,FALSE)+SUM(_xlfn.XLOOKUP(S126:AL126,增益!$A:$A,增益!$I:$I,0)))/100)</f>
        <v>-0.3</v>
      </c>
      <c r="BB126" s="29" cm="1">
        <f t="array" ref="BB126">$G$11+VLOOKUP($R126,武学奇术!$A:$ZZ,10,FALSE)+SUM(_xlfn.XLOOKUP(S126:AL126,增益!$A:$A,增益!$J:$J,0))</f>
        <v>0.02</v>
      </c>
      <c r="BC126">
        <f t="shared" si="37"/>
        <v>0</v>
      </c>
      <c r="BD126">
        <f t="shared" si="38"/>
        <v>0</v>
      </c>
      <c r="BE126" s="29" cm="1">
        <f t="array" ref="BE126">IF($F$12-$I$4+VLOOKUP($R126,武学奇术!$A:$ZZ,11,FALSE)+SUM(_xlfn.XLOOKUP(S126:AL126,增益!$A:$A,增益!$K:$K,0))&gt;0,($F$12-$I$4+VLOOKUP($R126,武学奇术!$A:$ZZ,11,FALSE)+SUM(_xlfn.XLOOKUP(S126:AL126,增益!$A:$A,增益!$K:$K,0)))/200,($F$12-$I$4+VLOOKUP($R126,武学奇术!$A:$ZZ,11,FALSE)+SUM(_xlfn.XLOOKUP(S126:AL126,增益!$A:$A,增益!$K:$K,0)))/100)</f>
        <v>-0.3</v>
      </c>
      <c r="BF126" s="29" cm="1">
        <f t="array" ref="BF126">$G$12+VLOOKUP($R126,武学奇术!$A:$ZZ,12,FALSE)+SUM(_xlfn.XLOOKUP(S126:AL126,增益!$A:$A,增益!$L:$L,0))</f>
        <v>0.02</v>
      </c>
      <c r="BG126">
        <f t="shared" si="39"/>
        <v>0</v>
      </c>
      <c r="BH126">
        <f t="shared" si="40"/>
        <v>0</v>
      </c>
      <c r="BI126" s="29" cm="1">
        <f t="array" ref="BI126">IF($F$13-$I$4+VLOOKUP($R126,武学奇术!$A:$ZZ,13,FALSE)+SUM(_xlfn.XLOOKUP(S126:AL126,增益!$A:$A,增益!$M:$M,0))&gt;0,($F$13-$I$4+VLOOKUP($R126,武学奇术!$A:$ZZ,13,FALSE)+SUM(_xlfn.XLOOKUP(S126:AL126,增益!$A:$A,增益!$K:$K,0)))/200,($F$13-$I$4+VLOOKUP($R126,武学奇术!$A:$ZZ,13,FALSE)+SUM(_xlfn.XLOOKUP(S126:AL126,增益!$A:$A,增益!$M:$M,0)))/100)</f>
        <v>-0.3</v>
      </c>
      <c r="BJ126" s="29" cm="1">
        <f t="array" ref="BJ126">$G$13+VLOOKUP($R126,武学奇术!$A:$ZZ,14,FALSE)+SUM(_xlfn.XLOOKUP(S126:AL126,增益!$A:$A,增益!$N:$N,0))</f>
        <v>0.02</v>
      </c>
      <c r="BK126">
        <f t="shared" si="41"/>
        <v>618.2</v>
      </c>
      <c r="BL126">
        <f t="shared" si="42"/>
        <v>1805</v>
      </c>
      <c r="BM126" s="29" cm="1">
        <f t="array" ref="BM126">IF($F$14-$I$4+VLOOKUP($R126,武学奇术!$A:$ZZ,15,FALSE)+SUM(_xlfn.XLOOKUP(S126:AL126,增益!$A:$A,增益!$O:$O,0))&gt;0,($F$14-$I$4+VLOOKUP($R126,武学奇术!$A:$ZZ,15,FALSE)+SUM(_xlfn.XLOOKUP(S126:AL126,增益!$A:$A,增益!$O:$O,0)))/200,($F$14-$I$4+VLOOKUP($R126,武学奇术!$A:$ZZ,15,FALSE)+SUM(_xlfn.XLOOKUP(S126:AL126,增益!$A:$A,增益!$O:$O,0)))/100)</f>
        <v>0.05</v>
      </c>
      <c r="BN126" s="29" cm="1">
        <f t="array" ref="BN126">$G$14+VLOOKUP($R126,武学奇术!$A:$ZZ,16,FALSE)+SUM(_xlfn.XLOOKUP(S126:AL126,增益!$A:$A,增益!$P:$P,0))</f>
        <v>0.23</v>
      </c>
      <c r="BO126" s="23">
        <f>MIN(IF(VLOOKUP($R126,武学奇术!$A:$ZZ,23,FALSE)=1,100%,$B$8),100%)</f>
        <v>0.9943</v>
      </c>
      <c r="BP126" s="23" cm="1">
        <f t="array" ref="BP126">IF(VLOOKUP($R126,武学奇术!$A:$ZZ,23,FALSE)=1,100%,MIN(80%,$B$9+VLOOKUP($R126,武学奇术!$A:$ZZ,17,FALSE)+SUM(_xlfn.XLOOKUP(S126:AL126,增益!$A:$A,增益!$Q:$Q,0)))+$B$11+SUM(_xlfn.XLOOKUP(S126:AL126,增益!$A:$A,增益!$U:$U,0)))*IF(VLOOKUP($R126,武学奇术!$A:$ZZ,24,FALSE)=1,0,1)</f>
        <v>0.887</v>
      </c>
      <c r="BQ126" s="23" cm="1">
        <f t="array" ref="BQ126">1+$B$13+VLOOKUP($R126,武学奇术!$A:$ZZ,18,FALSE)+SUM(_xlfn.XLOOKUP(S126:AL126,增益!$A:$A,增益!$R:$R,0))</f>
        <v>2.394</v>
      </c>
      <c r="BR126" s="23" cm="1">
        <f t="array" ref="BR126">IF(VLOOKUP($R126,武学奇术!$A:$ZZ,24,FALSE)=1,100%,MIN(40%,$B$10+VLOOKUP($R126,武学奇术!$A:$ZZ,19,FALSE)+SUM(_xlfn.XLOOKUP(S126:AL126,增益!$A:$A,增益!$S:$S,0)))+$B$12+SUM(_xlfn.XLOOKUP(S126:AL126,增益!$A:$A,增益!$V:$V,0)))*IF(VLOOKUP($R126,武学奇术!$A:$ZZ,23,FALSE)=1,0,1)</f>
        <v>0.0913</v>
      </c>
      <c r="BS126" s="23" cm="1">
        <f t="array" ref="BS126">1+$B$14+VLOOKUP($R126,武学奇术!$A:$ZZ,20,FALSE)+SUM(_xlfn.XLOOKUP(S126:AL126,增益!$A:$A,增益!$T:$T,0))</f>
        <v>1.35</v>
      </c>
      <c r="BT126" s="23">
        <f t="shared" si="43"/>
        <v>0.8819441</v>
      </c>
      <c r="BU126" s="23">
        <f t="shared" si="44"/>
        <v>0.0215763099999999</v>
      </c>
      <c r="BV126" s="23">
        <f>IF(VLOOKUP($R126,武学奇术!$A:$ZZ,22,FALSE)=1,0,(1-$BO126))*(1-$BR126)</f>
        <v>0.00517958999999993</v>
      </c>
      <c r="BW126" s="23" cm="1">
        <f t="array" ref="BW126">SUM(_xlfn.XLOOKUP(S126:AL126,增益!$A:$A,增益!$W:$W,0))+$I$5</f>
        <v>0.11</v>
      </c>
      <c r="BX126" s="23">
        <f>VLOOKUP($R126,武学奇术!$A:$ZZ,32,FALSE)</f>
        <v>0.1</v>
      </c>
      <c r="BY126" s="23" cm="1">
        <f t="array" ref="BY126">SUM(_xlfn.XLOOKUP($S126:$AL126,增益!$A:$A,增益!$X:$X,0))</f>
        <v>0</v>
      </c>
    </row>
    <row r="127" spans="1:77">
      <c r="A127" s="4"/>
      <c r="K127" s="35">
        <f>$L127*VLOOKUP($R127,武学奇术!$A:$ZZ,31,FALSE)</f>
        <v>144218.433825952</v>
      </c>
      <c r="L127" s="35">
        <f t="shared" si="45"/>
        <v>128766.458773171</v>
      </c>
      <c r="M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轻击",$B$21,0))*(1+IF(VLOOKUP($R127,武学奇术!$A:$ZZ,30,FALSE)="老鼠",$B$22,0))*(1+$BW127)*(1+$BX127)</f>
        <v>135506.62247039</v>
      </c>
      <c r="N127" s="35">
        <f>(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轻击",$B$21,0))*(1+IF(VLOOKUP($R127,武学奇术!$A:$ZZ,30,FALSE)="老鼠",$B$22,0))*(1+$BW127))*(1+$BX127)</f>
        <v>85173.5947885549</v>
      </c>
      <c r="O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轻击",$B$21,0))*(1+IF(VLOOKUP($R127,武学奇术!$A:$ZZ,30,FALSE)="老鼠",$B$22,0))*(1+$BW127)*(1+$BX127)</f>
        <v>56602.5991939808</v>
      </c>
      <c r="P127" s="35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轻击",$B$21,0))*(1+IF(VLOOKUP($R127,武学奇术!$A:$ZZ,30,FALSE)="老鼠",$B$22,0))*(1+$BW127)*(1+$BX127)</f>
        <v>50113.6466927358</v>
      </c>
      <c r="Q127" s="36">
        <v>1</v>
      </c>
      <c r="R127" s="37" t="s">
        <v>158</v>
      </c>
      <c r="S127" s="37" t="s">
        <v>91</v>
      </c>
      <c r="T127" s="37" t="s">
        <v>185</v>
      </c>
      <c r="U127" s="37" t="s">
        <v>112</v>
      </c>
      <c r="V127" s="37" t="s">
        <v>113</v>
      </c>
      <c r="W127" s="37" t="s">
        <v>82</v>
      </c>
      <c r="X127" s="37" t="s">
        <v>81</v>
      </c>
      <c r="Y127" s="37" t="s">
        <v>109</v>
      </c>
      <c r="Z127" s="37" t="s">
        <v>83</v>
      </c>
      <c r="AA127" s="37" t="s">
        <v>81</v>
      </c>
      <c r="AB127" s="37" t="s">
        <v>81</v>
      </c>
      <c r="AC127" s="37" t="s">
        <v>81</v>
      </c>
      <c r="AD127" s="37" t="s">
        <v>85</v>
      </c>
      <c r="AE127" s="37" t="s">
        <v>86</v>
      </c>
      <c r="AF127" s="37" t="s">
        <v>181</v>
      </c>
      <c r="AG127" s="37" t="s">
        <v>87</v>
      </c>
      <c r="AH127" s="37" t="s">
        <v>88</v>
      </c>
      <c r="AI127" s="37" t="s">
        <v>81</v>
      </c>
      <c r="AJ127" s="37" t="s">
        <v>81</v>
      </c>
      <c r="AK127" s="37" t="s">
        <v>81</v>
      </c>
      <c r="AL127" s="37" t="s">
        <v>81</v>
      </c>
      <c r="AM127" t="str">
        <f>VLOOKUP($R127,武学奇术!$A:$ZZ,25,FALSE)</f>
        <v>双刀</v>
      </c>
      <c r="AN127" s="23">
        <f>VLOOKUP($R127,武学奇术!$A:$ZZ,26,FALSE)</f>
        <v>2.5342</v>
      </c>
      <c r="AO127" s="24">
        <f>VLOOKUP($R127,武学奇术!$A:$ZZ,27,FALSE)*(1+IF(OR($AM127=$F$4,$AM127=$F$5),$B$23,0))</f>
        <v>1123.2</v>
      </c>
      <c r="AP127" s="23">
        <f>VLOOKUP($R127,武学奇术!$A:$ZZ,28,FALSE)</f>
        <v>3.8012</v>
      </c>
      <c r="AQ127" s="24">
        <f>VLOOKUP($R127,武学奇术!$A:$ZZ,29,FALSE)*(1+IF(OR($AM127=$F$4,$AM127=$F$5),$B$23,0))</f>
        <v>611.2</v>
      </c>
      <c r="AR127" s="23" cm="1">
        <f t="array" ref="AR127">$G$3+IFERROR(VLOOKUP($AM127,$F$4:$G$7,2,FALSE),0)+VLOOKUP($R127,武学奇术!$A:$ZZ,2,FALSE)+SUM(_xlfn.XLOOKUP($S127:$AL127,增益!$A:$A,增益!$B:$B,0))</f>
        <v>0.8243</v>
      </c>
      <c r="AS127" s="23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4150.4</v>
      </c>
      <c r="AU127" cm="1">
        <f t="array" ref="AU127">$E$10*(1+$AS127)+VLOOKUP($R127,武学奇术!$A:$ZZ,4,FALSE)+SUM(_xlfn.XLOOKUP($S127:$AL127,增益!$A:$A,增益!$D:$D,0))-$I$2</f>
        <v>4150.4</v>
      </c>
      <c r="AV127" s="29" cm="1">
        <f t="array" ref="AV127">IF($F$10-$I$3+VLOOKUP($R127,武学奇术!$A:$ZZ,6,FALSE)+SUM(_xlfn.XLOOKUP(S127:AL127,增益!$A:$A,增益!$F:$F,0))&gt;0,($F$10-$I$3+VLOOKUP($R127,武学奇术!$A:$ZZ,6,FALSE)+SUM(_xlfn.XLOOKUP(S127:AL127,增益!$A:$A,增益!$F:$F,0)))/200,($F$10-$I$3+VLOOKUP($R127,武学奇术!$A:$ZZ,6,FALSE)+SUM(_xlfn.XLOOKUP(S127:AL127,增益!$A:$A,增益!$F:$F,0)))/100)</f>
        <v>0.4539</v>
      </c>
      <c r="AW127" s="29" cm="1">
        <f t="array" ref="AW127">$G$10+VLOOKUP($R127,武学奇术!$A:$ZZ,7,FALSE)+SUM(_xlfn.XLOOKUP(S127:AL127,增益!$A:$A,增益!$G:$G,0))</f>
        <v>0.08</v>
      </c>
      <c r="AX127" s="23" cm="1">
        <f t="array" ref="AX127">VLOOKUP($R127,武学奇术!$A:$ZZ,8,FALSE)+SUM(_xlfn.XLOOKUP(S127:AL127,增益!$A:$A,增益!$H:$H,0))</f>
        <v>0</v>
      </c>
      <c r="AY127">
        <f t="shared" si="35"/>
        <v>0</v>
      </c>
      <c r="AZ127">
        <f t="shared" si="36"/>
        <v>0</v>
      </c>
      <c r="BA127" s="29" cm="1">
        <f t="array" ref="BA127">IF($F$11-$I$4+VLOOKUP($R127,武学奇术!$A:$ZZ,9,FALSE)+SUM(_xlfn.XLOOKUP(S127:AL127,增益!$A:$A,增益!$I:$I,0))&gt;0,($F$11-$I$4+VLOOKUP($R127,武学奇术!$A:$ZZ,9,FALSE)+SUM(_xlfn.XLOOKUP(S127:AL127,增益!$A:$A,增益!$I:$I,0)))/200,($F$11-$I$4+VLOOKUP($R127,武学奇术!$A:$ZZ,9,FALSE)+SUM(_xlfn.XLOOKUP(S127:AL127,增益!$A:$A,增益!$I:$I,0)))/100)</f>
        <v>-0.3</v>
      </c>
      <c r="BB127" s="29" cm="1">
        <f t="array" ref="BB127">$G$11+VLOOKUP($R127,武学奇术!$A:$ZZ,10,FALSE)+SUM(_xlfn.XLOOKUP(S127:AL127,增益!$A:$A,增益!$J:$J,0))</f>
        <v>0.02</v>
      </c>
      <c r="BC127">
        <f t="shared" si="37"/>
        <v>0</v>
      </c>
      <c r="BD127">
        <f t="shared" si="38"/>
        <v>0</v>
      </c>
      <c r="BE127" s="29" cm="1">
        <f t="array" ref="BE127">IF($F$12-$I$4+VLOOKUP($R127,武学奇术!$A:$ZZ,11,FALSE)+SUM(_xlfn.XLOOKUP(S127:AL127,增益!$A:$A,增益!$K:$K,0))&gt;0,($F$12-$I$4+VLOOKUP($R127,武学奇术!$A:$ZZ,11,FALSE)+SUM(_xlfn.XLOOKUP(S127:AL127,增益!$A:$A,增益!$K:$K,0)))/200,($F$12-$I$4+VLOOKUP($R127,武学奇术!$A:$ZZ,11,FALSE)+SUM(_xlfn.XLOOKUP(S127:AL127,增益!$A:$A,增益!$K:$K,0)))/100)</f>
        <v>-0.3</v>
      </c>
      <c r="BF127" s="29" cm="1">
        <f t="array" ref="BF127">$G$12+VLOOKUP($R127,武学奇术!$A:$ZZ,12,FALSE)+SUM(_xlfn.XLOOKUP(S127:AL127,增益!$A:$A,增益!$L:$L,0))</f>
        <v>0.02</v>
      </c>
      <c r="BG127">
        <f t="shared" si="39"/>
        <v>0</v>
      </c>
      <c r="BH127">
        <f t="shared" si="40"/>
        <v>0</v>
      </c>
      <c r="BI127" s="29" cm="1">
        <f t="array" ref="BI127">IF($F$13-$I$4+VLOOKUP($R127,武学奇术!$A:$ZZ,13,FALSE)+SUM(_xlfn.XLOOKUP(S127:AL127,增益!$A:$A,增益!$M:$M,0))&gt;0,($F$13-$I$4+VLOOKUP($R127,武学奇术!$A:$ZZ,13,FALSE)+SUM(_xlfn.XLOOKUP(S127:AL127,增益!$A:$A,增益!$K:$K,0)))/200,($F$13-$I$4+VLOOKUP($R127,武学奇术!$A:$ZZ,13,FALSE)+SUM(_xlfn.XLOOKUP(S127:AL127,增益!$A:$A,增益!$M:$M,0)))/100)</f>
        <v>-0.3</v>
      </c>
      <c r="BJ127" s="29" cm="1">
        <f t="array" ref="BJ127">$G$13+VLOOKUP($R127,武学奇术!$A:$ZZ,14,FALSE)+SUM(_xlfn.XLOOKUP(S127:AL127,增益!$A:$A,增益!$N:$N,0))</f>
        <v>0.02</v>
      </c>
      <c r="BK127">
        <f t="shared" si="41"/>
        <v>618.2</v>
      </c>
      <c r="BL127">
        <f t="shared" si="42"/>
        <v>1805</v>
      </c>
      <c r="BM127" s="29" cm="1">
        <f t="array" ref="BM127">IF($F$14-$I$4+VLOOKUP($R127,武学奇术!$A:$ZZ,15,FALSE)+SUM(_xlfn.XLOOKUP(S127:AL127,增益!$A:$A,增益!$O:$O,0))&gt;0,($F$14-$I$4+VLOOKUP($R127,武学奇术!$A:$ZZ,15,FALSE)+SUM(_xlfn.XLOOKUP(S127:AL127,增益!$A:$A,增益!$O:$O,0)))/200,($F$14-$I$4+VLOOKUP($R127,武学奇术!$A:$ZZ,15,FALSE)+SUM(_xlfn.XLOOKUP(S127:AL127,增益!$A:$A,增益!$O:$O,0)))/100)</f>
        <v>0.05</v>
      </c>
      <c r="BN127" s="29" cm="1">
        <f t="array" ref="BN127">$G$14+VLOOKUP($R127,武学奇术!$A:$ZZ,16,FALSE)+SUM(_xlfn.XLOOKUP(S127:AL127,增益!$A:$A,增益!$P:$P,0))</f>
        <v>0.23</v>
      </c>
      <c r="BO127" s="23">
        <f>MIN(IF(VLOOKUP($R127,武学奇术!$A:$ZZ,23,FALSE)=1,100%,$B$8),100%)</f>
        <v>0.9943</v>
      </c>
      <c r="BP127" s="23" cm="1">
        <f t="array" ref="BP127">IF(VLOOKUP($R127,武学奇术!$A:$ZZ,23,FALSE)=1,100%,MIN(80%,$B$9+VLOOKUP($R127,武学奇术!$A:$ZZ,17,FALSE)+SUM(_xlfn.XLOOKUP(S127:AL127,增益!$A:$A,增益!$Q:$Q,0)))+$B$11+SUM(_xlfn.XLOOKUP(S127:AL127,增益!$A:$A,增益!$U:$U,0)))*IF(VLOOKUP($R127,武学奇术!$A:$ZZ,24,FALSE)=1,0,1)</f>
        <v>0.887</v>
      </c>
      <c r="BQ127" s="23" cm="1">
        <f t="array" ref="BQ127">1+$B$13+VLOOKUP($R127,武学奇术!$A:$ZZ,18,FALSE)+SUM(_xlfn.XLOOKUP(S127:AL127,增益!$A:$A,增益!$R:$R,0))</f>
        <v>2.394</v>
      </c>
      <c r="BR127" s="23" cm="1">
        <f t="array" ref="BR127">IF(VLOOKUP($R127,武学奇术!$A:$ZZ,24,FALSE)=1,100%,MIN(40%,$B$10+VLOOKUP($R127,武学奇术!$A:$ZZ,19,FALSE)+SUM(_xlfn.XLOOKUP(S127:AL127,增益!$A:$A,增益!$S:$S,0)))+$B$12+SUM(_xlfn.XLOOKUP(S127:AL127,增益!$A:$A,增益!$V:$V,0)))*IF(VLOOKUP($R127,武学奇术!$A:$ZZ,23,FALSE)=1,0,1)</f>
        <v>0.0913</v>
      </c>
      <c r="BS127" s="23" cm="1">
        <f t="array" ref="BS127">1+$B$14+VLOOKUP($R127,武学奇术!$A:$ZZ,20,FALSE)+SUM(_xlfn.XLOOKUP(S127:AL127,增益!$A:$A,增益!$T:$T,0))</f>
        <v>1.35</v>
      </c>
      <c r="BT127" s="23">
        <f t="shared" si="43"/>
        <v>0.8819441</v>
      </c>
      <c r="BU127" s="23">
        <f t="shared" si="44"/>
        <v>0.0215763099999999</v>
      </c>
      <c r="BV127" s="23">
        <f>IF(VLOOKUP($R127,武学奇术!$A:$ZZ,22,FALSE)=1,0,(1-$BO127))*(1-$BR127)</f>
        <v>0.00517958999999993</v>
      </c>
      <c r="BW127" s="23" cm="1">
        <f t="array" ref="BW127">SUM(_xlfn.XLOOKUP(S127:AL127,增益!$A:$A,增益!$W:$W,0))+$I$5</f>
        <v>0.11</v>
      </c>
      <c r="BX127" s="23">
        <f>VLOOKUP($R127,武学奇术!$A:$ZZ,32,FALSE)</f>
        <v>0.1</v>
      </c>
      <c r="BY127" s="23" cm="1">
        <f t="array" ref="BY127">SUM(_xlfn.XLOOKUP($S127:$AL127,增益!$A:$A,增益!$X:$X,0))</f>
        <v>0</v>
      </c>
    </row>
    <row r="128" spans="1:77">
      <c r="K128" s="35">
        <f>$L128*VLOOKUP($R128,武学奇术!$A:$ZZ,31,FALSE)</f>
        <v>50233.5307161625</v>
      </c>
      <c r="L128" s="35">
        <f t="shared" si="45"/>
        <v>49248.5595256495</v>
      </c>
      <c r="M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轻击",$B$21,0))*(1+IF(VLOOKUP($R128,武学奇术!$A:$ZZ,30,FALSE)="老鼠",$B$22,0))*(1+$BW128)*(1+$BX128)</f>
        <v>51832.3787734526</v>
      </c>
      <c r="N128" s="35">
        <f>(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轻击",$B$21,0))*(1+IF(VLOOKUP($R128,武学奇术!$A:$ZZ,30,FALSE)="老鼠",$B$22,0))*(1+$BW128))*(1+$BX128)</f>
        <v>32514.9657556882</v>
      </c>
      <c r="O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轻击",$B$21,0))*(1+IF(VLOOKUP($R128,武学奇术!$A:$ZZ,30,FALSE)="老鼠",$B$22,0))*(1+$BW128)*(1+$BX128)</f>
        <v>21650.9518686101</v>
      </c>
      <c r="P128" s="35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轻击",$B$21,0))*(1+IF(VLOOKUP($R128,武学奇术!$A:$ZZ,30,FALSE)="老鼠",$B$22,0))*(1+$BW128)*(1+$BX128)</f>
        <v>19216.7439181919</v>
      </c>
      <c r="Q128" s="36">
        <v>1</v>
      </c>
      <c r="R128" s="37" t="s">
        <v>160</v>
      </c>
      <c r="S128" s="37" t="s">
        <v>91</v>
      </c>
      <c r="T128" s="37" t="s">
        <v>185</v>
      </c>
      <c r="U128" s="37" t="s">
        <v>81</v>
      </c>
      <c r="V128" s="37" t="s">
        <v>81</v>
      </c>
      <c r="W128" s="37" t="s">
        <v>81</v>
      </c>
      <c r="X128" s="37" t="s">
        <v>81</v>
      </c>
      <c r="Y128" s="37" t="s">
        <v>81</v>
      </c>
      <c r="Z128" s="37" t="s">
        <v>83</v>
      </c>
      <c r="AA128" s="37" t="s">
        <v>81</v>
      </c>
      <c r="AB128" s="37" t="s">
        <v>81</v>
      </c>
      <c r="AC128" s="37" t="s">
        <v>81</v>
      </c>
      <c r="AD128" s="37" t="s">
        <v>85</v>
      </c>
      <c r="AE128" s="37" t="s">
        <v>86</v>
      </c>
      <c r="AF128" s="37" t="s">
        <v>81</v>
      </c>
      <c r="AG128" s="37" t="s">
        <v>87</v>
      </c>
      <c r="AH128" s="37" t="s">
        <v>88</v>
      </c>
      <c r="AI128" s="37" t="s">
        <v>81</v>
      </c>
      <c r="AJ128" s="37" t="s">
        <v>81</v>
      </c>
      <c r="AK128" s="37" t="s">
        <v>81</v>
      </c>
      <c r="AL128" s="37" t="s">
        <v>81</v>
      </c>
      <c r="AM128" t="str">
        <f>VLOOKUP($R128,武学奇术!$A:$ZZ,25,FALSE)</f>
        <v>双刀</v>
      </c>
      <c r="AN128" s="23">
        <f>VLOOKUP($R128,武学奇术!$A:$ZZ,26,FALSE)</f>
        <v>1.3548</v>
      </c>
      <c r="AO128" s="24">
        <f>VLOOKUP($R128,武学奇术!$A:$ZZ,27,FALSE)*(1+IF(OR($AM128=$F$4,$AM128=$F$5),$B$23,0))</f>
        <v>601.6</v>
      </c>
      <c r="AP128" s="23">
        <f>VLOOKUP($R128,武学奇术!$A:$ZZ,28,FALSE)</f>
        <v>2.0322</v>
      </c>
      <c r="AQ128" s="24">
        <f>VLOOKUP($R128,武学奇术!$A:$ZZ,29,FALSE)*(1+IF(OR($AM128=$F$4,$AM128=$F$5),$B$23,0))</f>
        <v>328</v>
      </c>
      <c r="AR128" s="23" cm="1">
        <f t="array" ref="AR128">$G$3+IFERROR(VLOOKUP($AM128,$F$4:$G$7,2,FALSE),0)+VLOOKUP($R128,武学奇术!$A:$ZZ,2,FALSE)+SUM(_xlfn.XLOOKUP($S128:$AL128,增益!$A:$A,增益!$B:$B,0))</f>
        <v>0.5543</v>
      </c>
      <c r="AS128" s="23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4081.7</v>
      </c>
      <c r="AU128" cm="1">
        <f t="array" ref="AU128">$E$10*(1+$AS128)+VLOOKUP($R128,武学奇术!$A:$ZZ,4,FALSE)+SUM(_xlfn.XLOOKUP($S128:$AL128,增益!$A:$A,增益!$D:$D,0))-$I$2</f>
        <v>4081.7</v>
      </c>
      <c r="AV128" s="29" cm="1">
        <f t="array" ref="AV128">IF($F$10-$I$3+VLOOKUP($R128,武学奇术!$A:$ZZ,6,FALSE)+SUM(_xlfn.XLOOKUP(S128:AL128,增益!$A:$A,增益!$F:$F,0))&gt;0,($F$10-$I$3+VLOOKUP($R128,武学奇术!$A:$ZZ,6,FALSE)+SUM(_xlfn.XLOOKUP(S128:AL128,增益!$A:$A,增益!$F:$F,0)))/200,($F$10-$I$3+VLOOKUP($R128,武学奇术!$A:$ZZ,6,FALSE)+SUM(_xlfn.XLOOKUP(S128:AL128,增益!$A:$A,增益!$F:$F,0)))/100)</f>
        <v>0.4539</v>
      </c>
      <c r="AW128" s="29" cm="1">
        <f t="array" ref="AW128">$G$10+VLOOKUP($R128,武学奇术!$A:$ZZ,7,FALSE)+SUM(_xlfn.XLOOKUP(S128:AL128,增益!$A:$A,增益!$G:$G,0))</f>
        <v>0.02</v>
      </c>
      <c r="AX128" s="23" cm="1">
        <f t="array" ref="AX128">VLOOKUP($R128,武学奇术!$A:$ZZ,8,FALSE)+SUM(_xlfn.XLOOKUP(S128:AL128,增益!$A:$A,增益!$H:$H,0))</f>
        <v>0</v>
      </c>
      <c r="AY128">
        <f t="shared" si="35"/>
        <v>0</v>
      </c>
      <c r="AZ128">
        <f t="shared" si="36"/>
        <v>0</v>
      </c>
      <c r="BA128" s="29" cm="1">
        <f t="array" ref="BA128">IF($F$11-$I$4+VLOOKUP($R128,武学奇术!$A:$ZZ,9,FALSE)+SUM(_xlfn.XLOOKUP(S128:AL128,增益!$A:$A,增益!$I:$I,0))&gt;0,($F$11-$I$4+VLOOKUP($R128,武学奇术!$A:$ZZ,9,FALSE)+SUM(_xlfn.XLOOKUP(S128:AL128,增益!$A:$A,增益!$I:$I,0)))/200,($F$11-$I$4+VLOOKUP($R128,武学奇术!$A:$ZZ,9,FALSE)+SUM(_xlfn.XLOOKUP(S128:AL128,增益!$A:$A,增益!$I:$I,0)))/100)</f>
        <v>-0.3</v>
      </c>
      <c r="BB128" s="29" cm="1">
        <f t="array" ref="BB128">$G$11+VLOOKUP($R128,武学奇术!$A:$ZZ,10,FALSE)+SUM(_xlfn.XLOOKUP(S128:AL128,增益!$A:$A,增益!$J:$J,0))</f>
        <v>0.02</v>
      </c>
      <c r="BC128">
        <f t="shared" si="37"/>
        <v>0</v>
      </c>
      <c r="BD128">
        <f t="shared" si="38"/>
        <v>0</v>
      </c>
      <c r="BE128" s="29" cm="1">
        <f t="array" ref="BE128">IF($F$12-$I$4+VLOOKUP($R128,武学奇术!$A:$ZZ,11,FALSE)+SUM(_xlfn.XLOOKUP(S128:AL128,增益!$A:$A,增益!$K:$K,0))&gt;0,($F$12-$I$4+VLOOKUP($R128,武学奇术!$A:$ZZ,11,FALSE)+SUM(_xlfn.XLOOKUP(S128:AL128,增益!$A:$A,增益!$K:$K,0)))/200,($F$12-$I$4+VLOOKUP($R128,武学奇术!$A:$ZZ,11,FALSE)+SUM(_xlfn.XLOOKUP(S128:AL128,增益!$A:$A,增益!$K:$K,0)))/100)</f>
        <v>-0.3</v>
      </c>
      <c r="BF128" s="29" cm="1">
        <f t="array" ref="BF128">$G$12+VLOOKUP($R128,武学奇术!$A:$ZZ,12,FALSE)+SUM(_xlfn.XLOOKUP(S128:AL128,增益!$A:$A,增益!$L:$L,0))</f>
        <v>0.02</v>
      </c>
      <c r="BG128">
        <f t="shared" si="39"/>
        <v>0</v>
      </c>
      <c r="BH128">
        <f t="shared" si="40"/>
        <v>0</v>
      </c>
      <c r="BI128" s="29" cm="1">
        <f t="array" ref="BI128">IF($F$13-$I$4+VLOOKUP($R128,武学奇术!$A:$ZZ,13,FALSE)+SUM(_xlfn.XLOOKUP(S128:AL128,增益!$A:$A,增益!$M:$M,0))&gt;0,($F$13-$I$4+VLOOKUP($R128,武学奇术!$A:$ZZ,13,FALSE)+SUM(_xlfn.XLOOKUP(S128:AL128,增益!$A:$A,增益!$K:$K,0)))/200,($F$13-$I$4+VLOOKUP($R128,武学奇术!$A:$ZZ,13,FALSE)+SUM(_xlfn.XLOOKUP(S128:AL128,增益!$A:$A,增益!$M:$M,0)))/100)</f>
        <v>-0.3</v>
      </c>
      <c r="BJ128" s="29" cm="1">
        <f t="array" ref="BJ128">$G$13+VLOOKUP($R128,武学奇术!$A:$ZZ,14,FALSE)+SUM(_xlfn.XLOOKUP(S128:AL128,增益!$A:$A,增益!$N:$N,0))</f>
        <v>0.02</v>
      </c>
      <c r="BK128">
        <f t="shared" si="41"/>
        <v>618.2</v>
      </c>
      <c r="BL128">
        <f t="shared" si="42"/>
        <v>1805</v>
      </c>
      <c r="BM128" s="29" cm="1">
        <f t="array" ref="BM128">IF($F$14-$I$4+VLOOKUP($R128,武学奇术!$A:$ZZ,15,FALSE)+SUM(_xlfn.XLOOKUP(S128:AL128,增益!$A:$A,增益!$O:$O,0))&gt;0,($F$14-$I$4+VLOOKUP($R128,武学奇术!$A:$ZZ,15,FALSE)+SUM(_xlfn.XLOOKUP(S128:AL128,增益!$A:$A,增益!$O:$O,0)))/200,($F$14-$I$4+VLOOKUP($R128,武学奇术!$A:$ZZ,15,FALSE)+SUM(_xlfn.XLOOKUP(S128:AL128,增益!$A:$A,增益!$O:$O,0)))/100)</f>
        <v>0</v>
      </c>
      <c r="BN128" s="29" cm="1">
        <f t="array" ref="BN128">$G$14+VLOOKUP($R128,武学奇术!$A:$ZZ,16,FALSE)+SUM(_xlfn.XLOOKUP(S128:AL128,增益!$A:$A,增益!$P:$P,0))</f>
        <v>0.17</v>
      </c>
      <c r="BO128" s="23">
        <f>MIN(IF(VLOOKUP($R128,武学奇术!$A:$ZZ,23,FALSE)=1,100%,$B$8),100%)</f>
        <v>0.9943</v>
      </c>
      <c r="BP128" s="23" cm="1">
        <f t="array" ref="BP128">IF(VLOOKUP($R128,武学奇术!$A:$ZZ,23,FALSE)=1,100%,MIN(80%,$B$9+VLOOKUP($R128,武学奇术!$A:$ZZ,17,FALSE)+SUM(_xlfn.XLOOKUP(S128:AL128,增益!$A:$A,增益!$Q:$Q,0)))+$B$11+SUM(_xlfn.XLOOKUP(S128:AL128,增益!$A:$A,增益!$U:$U,0)))*IF(VLOOKUP($R128,武学奇术!$A:$ZZ,24,FALSE)=1,0,1)</f>
        <v>0.887</v>
      </c>
      <c r="BQ128" s="23" cm="1">
        <f t="array" ref="BQ128">1+$B$13+VLOOKUP($R128,武学奇术!$A:$ZZ,18,FALSE)+SUM(_xlfn.XLOOKUP(S128:AL128,增益!$A:$A,增益!$R:$R,0))</f>
        <v>2.394</v>
      </c>
      <c r="BR128" s="23" cm="1">
        <f t="array" ref="BR128">IF(VLOOKUP($R128,武学奇术!$A:$ZZ,24,FALSE)=1,100%,MIN(40%,$B$10+VLOOKUP($R128,武学奇术!$A:$ZZ,19,FALSE)+SUM(_xlfn.XLOOKUP(S128:AL128,增益!$A:$A,增益!$S:$S,0)))+$B$12+SUM(_xlfn.XLOOKUP(S128:AL128,增益!$A:$A,增益!$V:$V,0)))*IF(VLOOKUP($R128,武学奇术!$A:$ZZ,23,FALSE)=1,0,1)</f>
        <v>0.0913</v>
      </c>
      <c r="BS128" s="23" cm="1">
        <f t="array" ref="BS128">1+$B$14+VLOOKUP($R128,武学奇术!$A:$ZZ,20,FALSE)+SUM(_xlfn.XLOOKUP(S128:AL128,增益!$A:$A,增益!$T:$T,0))</f>
        <v>1.35</v>
      </c>
      <c r="BT128" s="23">
        <f t="shared" si="43"/>
        <v>0.8819441</v>
      </c>
      <c r="BU128" s="23">
        <f t="shared" si="44"/>
        <v>0.0215763099999999</v>
      </c>
      <c r="BV128" s="23">
        <f>IF(VLOOKUP($R128,武学奇术!$A:$ZZ,22,FALSE)=1,0,(1-$BO128))*(1-$BR128)</f>
        <v>0.00517958999999993</v>
      </c>
      <c r="BW128" s="23" cm="1">
        <f t="array" ref="BW128">SUM(_xlfn.XLOOKUP(S128:AL128,增益!$A:$A,增益!$W:$W,0))+$I$5</f>
        <v>0.11</v>
      </c>
      <c r="BX128" s="23">
        <f>VLOOKUP($R128,武学奇术!$A:$ZZ,32,FALSE)</f>
        <v>0</v>
      </c>
      <c r="BY128" s="23" cm="1">
        <f t="array" ref="BY128">SUM(_xlfn.XLOOKUP($S128:$AL128,增益!$A:$A,增益!$X:$X,0))</f>
        <v>0</v>
      </c>
    </row>
    <row r="129" spans="11:77">
      <c r="K129" s="35">
        <f>$L129*VLOOKUP($R129,武学奇术!$A:$ZZ,31,FALSE)</f>
        <v>373062.55659193</v>
      </c>
      <c r="L129" s="69">
        <f t="shared" si="45"/>
        <v>365747.604501892</v>
      </c>
      <c r="M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轻击",$B$21,0))*(1+IF(VLOOKUP($R129,武学奇术!$A:$ZZ,30,FALSE)="老鼠",$B$22,0))*(1+$BW129)*(1+$BX129)</f>
        <v>384629.95065282</v>
      </c>
      <c r="N129" s="35">
        <f>(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轻击",$B$21,0))*(1+IF(VLOOKUP($R129,武学奇术!$A:$ZZ,30,FALSE)="老鼠",$B$22,0))*(1+$BW129))*(1+$BX129)</f>
        <v>244612.414172926</v>
      </c>
      <c r="O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轻击",$B$21,0))*(1+IF(VLOOKUP($R129,武学奇术!$A:$ZZ,30,FALSE)="老鼠",$B$22,0))*(1+$BW129)*(1+$BX129)</f>
        <v>160664.139788145</v>
      </c>
      <c r="P129" s="35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轻击",$B$21,0))*(1+IF(VLOOKUP($R129,武学奇术!$A:$ZZ,30,FALSE)="老鼠",$B$22,0))*(1+$BW129)*(1+$BX129)</f>
        <v>140133.898707457</v>
      </c>
      <c r="Q129" s="70">
        <v>11</v>
      </c>
      <c r="R129" s="37" t="s">
        <v>106</v>
      </c>
      <c r="S129" s="37" t="s">
        <v>91</v>
      </c>
      <c r="T129" s="37" t="s">
        <v>185</v>
      </c>
      <c r="U129" s="37" t="s">
        <v>112</v>
      </c>
      <c r="V129" s="37" t="s">
        <v>113</v>
      </c>
      <c r="W129" s="37" t="s">
        <v>82</v>
      </c>
      <c r="X129" s="37" t="s">
        <v>81</v>
      </c>
      <c r="Y129" s="37" t="s">
        <v>109</v>
      </c>
      <c r="Z129" s="37" t="s">
        <v>83</v>
      </c>
      <c r="AA129" s="37" t="s">
        <v>81</v>
      </c>
      <c r="AB129" s="37" t="s">
        <v>81</v>
      </c>
      <c r="AC129" s="37" t="s">
        <v>81</v>
      </c>
      <c r="AD129" s="37" t="s">
        <v>85</v>
      </c>
      <c r="AE129" s="37" t="s">
        <v>86</v>
      </c>
      <c r="AF129" s="37" t="s">
        <v>81</v>
      </c>
      <c r="AG129" s="37" t="s">
        <v>87</v>
      </c>
      <c r="AH129" s="37" t="s">
        <v>88</v>
      </c>
      <c r="AI129" s="37" t="s">
        <v>81</v>
      </c>
      <c r="AJ129" s="37" t="s">
        <v>81</v>
      </c>
      <c r="AK129" s="37" t="s">
        <v>81</v>
      </c>
      <c r="AL129" s="37" t="s">
        <v>81</v>
      </c>
      <c r="AM129" t="str">
        <f>VLOOKUP($R129,武学奇术!$A:$ZZ,25,FALSE)</f>
        <v>绳镖</v>
      </c>
      <c r="AN129" s="23">
        <f>VLOOKUP($R129,武学奇术!$A:$ZZ,26,FALSE)</f>
        <v>0.3675</v>
      </c>
      <c r="AO129" s="24">
        <f>VLOOKUP($R129,武学奇术!$A:$ZZ,27,FALSE)*(1+IF(OR($AM129=$F$4,$AM129=$F$5),$B$23,0))</f>
        <v>0</v>
      </c>
      <c r="AP129" s="23">
        <f>VLOOKUP($R129,武学奇术!$A:$ZZ,28,FALSE)</f>
        <v>0.55125</v>
      </c>
      <c r="AQ129" s="24">
        <f>VLOOKUP($R129,武学奇术!$A:$ZZ,29,FALSE)*(1+IF(OR($AM129=$F$4,$AM129=$F$5),$B$23,0))</f>
        <v>0</v>
      </c>
      <c r="AR129" s="23" cm="1">
        <f t="array" ref="AR129">$G$3+IFERROR(VLOOKUP($AM129,$F$4:$G$7,2,FALSE),0)+VLOOKUP($R129,武学奇术!$A:$ZZ,2,FALSE)+SUM(_xlfn.XLOOKUP($S129:$AL129,增益!$A:$A,增益!$B:$B,0))</f>
        <v>1.5743</v>
      </c>
      <c r="AS129" s="23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4150.4</v>
      </c>
      <c r="AU129" cm="1">
        <f t="array" ref="AU129">$E$10*(1+$AS129)+VLOOKUP($R129,武学奇术!$A:$ZZ,4,FALSE)+SUM(_xlfn.XLOOKUP($S129:$AL129,增益!$A:$A,增益!$D:$D,0))-$I$2</f>
        <v>4150.4</v>
      </c>
      <c r="AV129" s="29" cm="1">
        <f t="array" ref="AV129">IF($F$10-$I$3+VLOOKUP($R129,武学奇术!$A:$ZZ,6,FALSE)+SUM(_xlfn.XLOOKUP(S129:AL129,增益!$A:$A,增益!$F:$F,0))&gt;0,($F$10-$I$3+VLOOKUP($R129,武学奇术!$A:$ZZ,6,FALSE)+SUM(_xlfn.XLOOKUP(S129:AL129,增益!$A:$A,增益!$F:$F,0)))/200,($F$10-$I$3+VLOOKUP($R129,武学奇术!$A:$ZZ,6,FALSE)+SUM(_xlfn.XLOOKUP(S129:AL129,增益!$A:$A,增益!$F:$F,0)))/100)</f>
        <v>0.4539</v>
      </c>
      <c r="AW129" s="29" cm="1">
        <f t="array" ref="AW129">$G$10+VLOOKUP($R129,武学奇术!$A:$ZZ,7,FALSE)+SUM(_xlfn.XLOOKUP(S129:AL129,增益!$A:$A,增益!$G:$G,0))</f>
        <v>0.29</v>
      </c>
      <c r="AX129" s="23" cm="1">
        <f t="array" ref="AX129">VLOOKUP($R129,武学奇术!$A:$ZZ,8,FALSE)+SUM(_xlfn.XLOOKUP(S129:AL129,增益!$A:$A,增益!$H:$H,0))</f>
        <v>0</v>
      </c>
      <c r="AY129">
        <f t="shared" si="35"/>
        <v>0</v>
      </c>
      <c r="AZ129">
        <f t="shared" si="36"/>
        <v>0</v>
      </c>
      <c r="BA129" s="29" cm="1">
        <f t="array" ref="BA129">IF($F$11-$I$4+VLOOKUP($R129,武学奇术!$A:$ZZ,9,FALSE)+SUM(_xlfn.XLOOKUP(S129:AL129,增益!$A:$A,增益!$I:$I,0))&gt;0,($F$11-$I$4+VLOOKUP($R129,武学奇术!$A:$ZZ,9,FALSE)+SUM(_xlfn.XLOOKUP(S129:AL129,增益!$A:$A,增益!$I:$I,0)))/200,($F$11-$I$4+VLOOKUP($R129,武学奇术!$A:$ZZ,9,FALSE)+SUM(_xlfn.XLOOKUP(S129:AL129,增益!$A:$A,增益!$I:$I,0)))/100)</f>
        <v>-0.3</v>
      </c>
      <c r="BB129" s="29" cm="1">
        <f t="array" ref="BB129">$G$11+VLOOKUP($R129,武学奇术!$A:$ZZ,10,FALSE)+SUM(_xlfn.XLOOKUP(S129:AL129,增益!$A:$A,增益!$J:$J,0))</f>
        <v>0.02</v>
      </c>
      <c r="BC129">
        <f t="shared" si="37"/>
        <v>0</v>
      </c>
      <c r="BD129">
        <f t="shared" si="38"/>
        <v>0</v>
      </c>
      <c r="BE129" s="29" cm="1">
        <f t="array" ref="BE129">IF($F$12-$I$4+VLOOKUP($R129,武学奇术!$A:$ZZ,11,FALSE)+SUM(_xlfn.XLOOKUP(S129:AL129,增益!$A:$A,增益!$K:$K,0))&gt;0,($F$12-$I$4+VLOOKUP($R129,武学奇术!$A:$ZZ,11,FALSE)+SUM(_xlfn.XLOOKUP(S129:AL129,增益!$A:$A,增益!$K:$K,0)))/200,($F$12-$I$4+VLOOKUP($R129,武学奇术!$A:$ZZ,11,FALSE)+SUM(_xlfn.XLOOKUP(S129:AL129,增益!$A:$A,增益!$K:$K,0)))/100)</f>
        <v>-0.3</v>
      </c>
      <c r="BF129" s="29" cm="1">
        <f t="array" ref="BF129">$G$12+VLOOKUP($R129,武学奇术!$A:$ZZ,12,FALSE)+SUM(_xlfn.XLOOKUP(S129:AL129,增益!$A:$A,增益!$L:$L,0))</f>
        <v>0.02</v>
      </c>
      <c r="BG129">
        <f t="shared" si="39"/>
        <v>0</v>
      </c>
      <c r="BH129">
        <f t="shared" si="40"/>
        <v>0</v>
      </c>
      <c r="BI129" s="29" cm="1">
        <f t="array" ref="BI129">IF($F$13-$I$4+VLOOKUP($R129,武学奇术!$A:$ZZ,13,FALSE)+SUM(_xlfn.XLOOKUP(S129:AL129,增益!$A:$A,增益!$M:$M,0))&gt;0,($F$13-$I$4+VLOOKUP($R129,武学奇术!$A:$ZZ,13,FALSE)+SUM(_xlfn.XLOOKUP(S129:AL129,增益!$A:$A,增益!$K:$K,0)))/200,($F$13-$I$4+VLOOKUP($R129,武学奇术!$A:$ZZ,13,FALSE)+SUM(_xlfn.XLOOKUP(S129:AL129,增益!$A:$A,增益!$M:$M,0)))/100)</f>
        <v>-0.3</v>
      </c>
      <c r="BJ129" s="29" cm="1">
        <f t="array" ref="BJ129">$G$13+VLOOKUP($R129,武学奇术!$A:$ZZ,14,FALSE)+SUM(_xlfn.XLOOKUP(S129:AL129,增益!$A:$A,增益!$N:$N,0))</f>
        <v>0.02</v>
      </c>
      <c r="BK129">
        <f t="shared" si="41"/>
        <v>618.2</v>
      </c>
      <c r="BL129">
        <f t="shared" si="42"/>
        <v>1805</v>
      </c>
      <c r="BM129" s="29" cm="1">
        <f t="array" ref="BM129">IF($F$14-$I$4+VLOOKUP($R129,武学奇术!$A:$ZZ,15,FALSE)+SUM(_xlfn.XLOOKUP(S129:AL129,增益!$A:$A,增益!$O:$O,0))&gt;0,($F$14-$I$4+VLOOKUP($R129,武学奇术!$A:$ZZ,15,FALSE)+SUM(_xlfn.XLOOKUP(S129:AL129,增益!$A:$A,增益!$O:$O,0)))/200,($F$14-$I$4+VLOOKUP($R129,武学奇术!$A:$ZZ,15,FALSE)+SUM(_xlfn.XLOOKUP(S129:AL129,增益!$A:$A,增益!$O:$O,0)))/100)</f>
        <v>0.05</v>
      </c>
      <c r="BN129" s="29" cm="1">
        <f t="array" ref="BN129">$G$14+VLOOKUP($R129,武学奇术!$A:$ZZ,16,FALSE)+SUM(_xlfn.XLOOKUP(S129:AL129,增益!$A:$A,增益!$P:$P,0))</f>
        <v>0.44</v>
      </c>
      <c r="BO129" s="23">
        <f>MIN(IF(VLOOKUP($R129,武学奇术!$A:$ZZ,23,FALSE)=1,100%,$B$8),100%)</f>
        <v>0.9943</v>
      </c>
      <c r="BP129" s="23" cm="1">
        <f t="array" ref="BP129">IF(VLOOKUP($R129,武学奇术!$A:$ZZ,23,FALSE)=1,100%,MIN(80%,$B$9+VLOOKUP($R129,武学奇术!$A:$ZZ,17,FALSE)+SUM(_xlfn.XLOOKUP(S129:AL129,增益!$A:$A,增益!$Q:$Q,0)))+$B$11+SUM(_xlfn.XLOOKUP(S129:AL129,增益!$A:$A,增益!$U:$U,0)))*IF(VLOOKUP($R129,武学奇术!$A:$ZZ,24,FALSE)=1,0,1)</f>
        <v>0.887</v>
      </c>
      <c r="BQ129" s="23" cm="1">
        <f t="array" ref="BQ129">1+$B$13+VLOOKUP($R129,武学奇术!$A:$ZZ,18,FALSE)+SUM(_xlfn.XLOOKUP(S129:AL129,增益!$A:$A,增益!$R:$R,0))</f>
        <v>2.394</v>
      </c>
      <c r="BR129" s="23" cm="1">
        <f t="array" ref="BR129">IF(VLOOKUP($R129,武学奇术!$A:$ZZ,24,FALSE)=1,100%,MIN(40%,$B$10+VLOOKUP($R129,武学奇术!$A:$ZZ,19,FALSE)+SUM(_xlfn.XLOOKUP(S129:AL129,增益!$A:$A,增益!$S:$S,0)))+$B$12+SUM(_xlfn.XLOOKUP(S129:AL129,增益!$A:$A,增益!$V:$V,0)))*IF(VLOOKUP($R129,武学奇术!$A:$ZZ,23,FALSE)=1,0,1)</f>
        <v>0.0913</v>
      </c>
      <c r="BS129" s="23" cm="1">
        <f t="array" ref="BS129">1+$B$14+VLOOKUP($R129,武学奇术!$A:$ZZ,20,FALSE)+SUM(_xlfn.XLOOKUP(S129:AL129,增益!$A:$A,增益!$T:$T,0))</f>
        <v>1.35</v>
      </c>
      <c r="BT129" s="23">
        <f t="shared" si="43"/>
        <v>0.8819441</v>
      </c>
      <c r="BU129" s="23">
        <f t="shared" si="44"/>
        <v>0.0215763099999999</v>
      </c>
      <c r="BV129" s="23">
        <f>IF(VLOOKUP($R129,武学奇术!$A:$ZZ,22,FALSE)=1,0,(1-$BO129))*(1-$BR129)</f>
        <v>0.00517958999999993</v>
      </c>
      <c r="BW129" s="23" cm="1">
        <f t="array" ref="BW129">SUM(_xlfn.XLOOKUP(S129:AL129,增益!$A:$A,增益!$W:$W,0))+$I$5</f>
        <v>0.11</v>
      </c>
      <c r="BX129" s="23">
        <f>VLOOKUP($R129,武学奇术!$A:$ZZ,32,FALSE)</f>
        <v>0</v>
      </c>
      <c r="BY129" s="23" cm="1">
        <f t="array" ref="BY129">SUM(_xlfn.XLOOKUP($S129:$AL129,增益!$A:$A,增益!$X:$X,0))</f>
        <v>0</v>
      </c>
    </row>
    <row r="130" spans="11:77">
      <c r="K130" s="35">
        <f>$L130*VLOOKUP($R130,武学奇术!$A:$ZZ,31,FALSE)</f>
        <v>37649.7993703923</v>
      </c>
      <c r="L130" s="35">
        <f t="shared" si="45"/>
        <v>33615.8922949932</v>
      </c>
      <c r="M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轻击",$B$21,0))*(1+IF(VLOOKUP($R130,武学奇术!$A:$ZZ,30,FALSE)="老鼠",$B$22,0))*(1+$BW130)*(1+$BX130)</f>
        <v>35364.2999344992</v>
      </c>
      <c r="N130" s="35">
        <f>(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轻击",$B$21,0))*(1+IF(VLOOKUP($R130,武学奇术!$A:$ZZ,30,FALSE)="老鼠",$B$22,0))*(1+$BW130))*(1+$BX130)</f>
        <v>22349.9975860827</v>
      </c>
      <c r="O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轻击",$B$21,0))*(1+IF(VLOOKUP($R130,武学奇术!$A:$ZZ,30,FALSE)="老鼠",$B$22,0))*(1+$BW130)*(1+$BX130)</f>
        <v>14772.0551104842</v>
      </c>
      <c r="P130" s="35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轻击",$B$21,0))*(1+IF(VLOOKUP($R130,武学奇术!$A:$ZZ,30,FALSE)="老鼠",$B$22,0))*(1+$BW130)*(1+$BX130)</f>
        <v>12988.5564534997</v>
      </c>
      <c r="Q130" s="36">
        <v>1</v>
      </c>
      <c r="R130" s="37" t="s">
        <v>139</v>
      </c>
      <c r="S130" s="37" t="s">
        <v>91</v>
      </c>
      <c r="T130" s="37" t="s">
        <v>185</v>
      </c>
      <c r="U130" s="37" t="s">
        <v>112</v>
      </c>
      <c r="V130" s="37" t="s">
        <v>113</v>
      </c>
      <c r="W130" s="37" t="s">
        <v>82</v>
      </c>
      <c r="X130" s="37" t="s">
        <v>81</v>
      </c>
      <c r="Y130" s="37" t="s">
        <v>109</v>
      </c>
      <c r="Z130" s="37" t="s">
        <v>83</v>
      </c>
      <c r="AA130" s="37" t="s">
        <v>84</v>
      </c>
      <c r="AB130" s="37" t="s">
        <v>81</v>
      </c>
      <c r="AC130" s="37" t="s">
        <v>81</v>
      </c>
      <c r="AD130" s="37" t="s">
        <v>85</v>
      </c>
      <c r="AE130" s="37" t="s">
        <v>86</v>
      </c>
      <c r="AF130" s="37" t="s">
        <v>181</v>
      </c>
      <c r="AG130" s="37" t="s">
        <v>87</v>
      </c>
      <c r="AH130" s="37" t="s">
        <v>88</v>
      </c>
      <c r="AI130" s="37" t="s">
        <v>81</v>
      </c>
      <c r="AJ130" s="37" t="s">
        <v>81</v>
      </c>
      <c r="AK130" s="37" t="s">
        <v>81</v>
      </c>
      <c r="AL130" s="37" t="s">
        <v>81</v>
      </c>
      <c r="AM130" t="str">
        <f>VLOOKUP($R130,武学奇术!$A:$ZZ,25,FALSE)</f>
        <v>双刀</v>
      </c>
      <c r="AN130" s="23">
        <f>VLOOKUP($R130,武学奇术!$A:$ZZ,26,FALSE)</f>
        <v>0.6472</v>
      </c>
      <c r="AO130" s="24">
        <f>VLOOKUP($R130,武学奇术!$A:$ZZ,27,FALSE)*(1+IF(OR($AM130=$F$4,$AM130=$F$5),$B$23,0))</f>
        <v>288</v>
      </c>
      <c r="AP130" s="23">
        <f>VLOOKUP($R130,武学奇术!$A:$ZZ,28,FALSE)</f>
        <v>0.9708</v>
      </c>
      <c r="AQ130" s="24">
        <f>VLOOKUP($R130,武学奇术!$A:$ZZ,29,FALSE)*(1+IF(OR($AM130=$F$4,$AM130=$F$5),$B$23,0))</f>
        <v>156.8</v>
      </c>
      <c r="AR130" s="23" cm="1">
        <f t="array" ref="AR130">$G$3+IFERROR(VLOOKUP($AM130,$F$4:$G$7,2,FALSE),0)+VLOOKUP($R130,武学奇术!$A:$ZZ,2,FALSE)+SUM(_xlfn.XLOOKUP($S130:$AL130,增益!$A:$A,增益!$B:$B,0))</f>
        <v>0.8243</v>
      </c>
      <c r="AS130" s="23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4150.4</v>
      </c>
      <c r="AU130" cm="1">
        <f t="array" ref="AU130">$E$10*(1+$AS130)+VLOOKUP($R130,武学奇术!$A:$ZZ,4,FALSE)+SUM(_xlfn.XLOOKUP($S130:$AL130,增益!$A:$A,增益!$D:$D,0))-$I$2</f>
        <v>4150.4</v>
      </c>
      <c r="AV130" s="29" cm="1">
        <f t="array" ref="AV130">IF($F$10-$I$3+VLOOKUP($R130,武学奇术!$A:$ZZ,6,FALSE)+SUM(_xlfn.XLOOKUP(S130:AL130,增益!$A:$A,增益!$F:$F,0))&gt;0,($F$10-$I$3+VLOOKUP($R130,武学奇术!$A:$ZZ,6,FALSE)+SUM(_xlfn.XLOOKUP(S130:AL130,增益!$A:$A,增益!$F:$F,0)))/200,($F$10-$I$3+VLOOKUP($R130,武学奇术!$A:$ZZ,6,FALSE)+SUM(_xlfn.XLOOKUP(S130:AL130,增益!$A:$A,增益!$F:$F,0)))/100)</f>
        <v>0.4539</v>
      </c>
      <c r="AW130" s="29" cm="1">
        <f t="array" ref="AW130">$G$10+VLOOKUP($R130,武学奇术!$A:$ZZ,7,FALSE)+SUM(_xlfn.XLOOKUP(S130:AL130,增益!$A:$A,增益!$G:$G,0))</f>
        <v>0.08</v>
      </c>
      <c r="AX130" s="23" cm="1">
        <f t="array" ref="AX130">VLOOKUP($R130,武学奇术!$A:$ZZ,8,FALSE)+SUM(_xlfn.XLOOKUP(S130:AL130,增益!$A:$A,增益!$H:$H,0))</f>
        <v>0</v>
      </c>
      <c r="AY130">
        <f t="shared" si="35"/>
        <v>0</v>
      </c>
      <c r="AZ130">
        <f t="shared" si="36"/>
        <v>0</v>
      </c>
      <c r="BA130" s="29" cm="1">
        <f t="array" ref="BA130">IF($F$11-$I$4+VLOOKUP($R130,武学奇术!$A:$ZZ,9,FALSE)+SUM(_xlfn.XLOOKUP(S130:AL130,增益!$A:$A,增益!$I:$I,0))&gt;0,($F$11-$I$4+VLOOKUP($R130,武学奇术!$A:$ZZ,9,FALSE)+SUM(_xlfn.XLOOKUP(S130:AL130,增益!$A:$A,增益!$I:$I,0)))/200,($F$11-$I$4+VLOOKUP($R130,武学奇术!$A:$ZZ,9,FALSE)+SUM(_xlfn.XLOOKUP(S130:AL130,增益!$A:$A,增益!$I:$I,0)))/100)</f>
        <v>-0.14</v>
      </c>
      <c r="BB130" s="29" cm="1">
        <f t="array" ref="BB130">$G$11+VLOOKUP($R130,武学奇术!$A:$ZZ,10,FALSE)+SUM(_xlfn.XLOOKUP(S130:AL130,增益!$A:$A,增益!$J:$J,0))</f>
        <v>0.02</v>
      </c>
      <c r="BC130">
        <f t="shared" si="37"/>
        <v>0</v>
      </c>
      <c r="BD130">
        <f t="shared" si="38"/>
        <v>0</v>
      </c>
      <c r="BE130" s="29" cm="1">
        <f t="array" ref="BE130">IF($F$12-$I$4+VLOOKUP($R130,武学奇术!$A:$ZZ,11,FALSE)+SUM(_xlfn.XLOOKUP(S130:AL130,增益!$A:$A,增益!$K:$K,0))&gt;0,($F$12-$I$4+VLOOKUP($R130,武学奇术!$A:$ZZ,11,FALSE)+SUM(_xlfn.XLOOKUP(S130:AL130,增益!$A:$A,增益!$K:$K,0)))/200,($F$12-$I$4+VLOOKUP($R130,武学奇术!$A:$ZZ,11,FALSE)+SUM(_xlfn.XLOOKUP(S130:AL130,增益!$A:$A,增益!$K:$K,0)))/100)</f>
        <v>-0.14</v>
      </c>
      <c r="BF130" s="29" cm="1">
        <f t="array" ref="BF130">$G$12+VLOOKUP($R130,武学奇术!$A:$ZZ,12,FALSE)+SUM(_xlfn.XLOOKUP(S130:AL130,增益!$A:$A,增益!$L:$L,0))</f>
        <v>0.02</v>
      </c>
      <c r="BG130">
        <f t="shared" si="39"/>
        <v>0</v>
      </c>
      <c r="BH130">
        <f t="shared" si="40"/>
        <v>0</v>
      </c>
      <c r="BI130" s="29" cm="1">
        <f t="array" ref="BI130">IF($F$13-$I$4+VLOOKUP($R130,武学奇术!$A:$ZZ,13,FALSE)+SUM(_xlfn.XLOOKUP(S130:AL130,增益!$A:$A,增益!$M:$M,0))&gt;0,($F$13-$I$4+VLOOKUP($R130,武学奇术!$A:$ZZ,13,FALSE)+SUM(_xlfn.XLOOKUP(S130:AL130,增益!$A:$A,增益!$K:$K,0)))/200,($F$13-$I$4+VLOOKUP($R130,武学奇术!$A:$ZZ,13,FALSE)+SUM(_xlfn.XLOOKUP(S130:AL130,增益!$A:$A,增益!$M:$M,0)))/100)</f>
        <v>-0.14</v>
      </c>
      <c r="BJ130" s="29" cm="1">
        <f t="array" ref="BJ130">$G$13+VLOOKUP($R130,武学奇术!$A:$ZZ,14,FALSE)+SUM(_xlfn.XLOOKUP(S130:AL130,增益!$A:$A,增益!$N:$N,0))</f>
        <v>0.02</v>
      </c>
      <c r="BK130">
        <f t="shared" si="41"/>
        <v>618.2</v>
      </c>
      <c r="BL130">
        <f t="shared" si="42"/>
        <v>1805</v>
      </c>
      <c r="BM130" s="29" cm="1">
        <f t="array" ref="BM130">IF($F$14-$I$4+VLOOKUP($R130,武学奇术!$A:$ZZ,15,FALSE)+SUM(_xlfn.XLOOKUP(S130:AL130,增益!$A:$A,增益!$O:$O,0))&gt;0,($F$14-$I$4+VLOOKUP($R130,武学奇术!$A:$ZZ,15,FALSE)+SUM(_xlfn.XLOOKUP(S130:AL130,增益!$A:$A,增益!$O:$O,0)))/200,($F$14-$I$4+VLOOKUP($R130,武学奇术!$A:$ZZ,15,FALSE)+SUM(_xlfn.XLOOKUP(S130:AL130,增益!$A:$A,增益!$O:$O,0)))/100)</f>
        <v>0.13</v>
      </c>
      <c r="BN130" s="29" cm="1">
        <f t="array" ref="BN130">$G$14+VLOOKUP($R130,武学奇术!$A:$ZZ,16,FALSE)+SUM(_xlfn.XLOOKUP(S130:AL130,增益!$A:$A,增益!$P:$P,0))</f>
        <v>0.23</v>
      </c>
      <c r="BO130" s="23">
        <f>MIN(IF(VLOOKUP($R130,武学奇术!$A:$ZZ,23,FALSE)=1,100%,$B$8),100%)</f>
        <v>0.9943</v>
      </c>
      <c r="BP130" s="23" cm="1">
        <f t="array" ref="BP130">IF(VLOOKUP($R130,武学奇术!$A:$ZZ,23,FALSE)=1,100%,MIN(80%,$B$9+VLOOKUP($R130,武学奇术!$A:$ZZ,17,FALSE)+SUM(_xlfn.XLOOKUP(S130:AL130,增益!$A:$A,增益!$Q:$Q,0)))+$B$11+SUM(_xlfn.XLOOKUP(S130:AL130,增益!$A:$A,增益!$U:$U,0)))*IF(VLOOKUP($R130,武学奇术!$A:$ZZ,24,FALSE)=1,0,1)</f>
        <v>0.887</v>
      </c>
      <c r="BQ130" s="23" cm="1">
        <f t="array" ref="BQ130">1+$B$13+VLOOKUP($R130,武学奇术!$A:$ZZ,18,FALSE)+SUM(_xlfn.XLOOKUP(S130:AL130,增益!$A:$A,增益!$R:$R,0))</f>
        <v>2.394</v>
      </c>
      <c r="BR130" s="23" cm="1">
        <f t="array" ref="BR130">IF(VLOOKUP($R130,武学奇术!$A:$ZZ,24,FALSE)=1,100%,MIN(40%,$B$10+VLOOKUP($R130,武学奇术!$A:$ZZ,19,FALSE)+SUM(_xlfn.XLOOKUP(S130:AL130,增益!$A:$A,增益!$S:$S,0)))+$B$12+SUM(_xlfn.XLOOKUP(S130:AL130,增益!$A:$A,增益!$V:$V,0)))*IF(VLOOKUP($R130,武学奇术!$A:$ZZ,23,FALSE)=1,0,1)</f>
        <v>0.0913</v>
      </c>
      <c r="BS130" s="23" cm="1">
        <f t="array" ref="BS130">1+$B$14+VLOOKUP($R130,武学奇术!$A:$ZZ,20,FALSE)+SUM(_xlfn.XLOOKUP(S130:AL130,增益!$A:$A,增益!$T:$T,0))</f>
        <v>1.35</v>
      </c>
      <c r="BT130" s="23">
        <f t="shared" si="43"/>
        <v>0.8819441</v>
      </c>
      <c r="BU130" s="23">
        <f t="shared" si="44"/>
        <v>0.0215763099999999</v>
      </c>
      <c r="BV130" s="23">
        <f>IF(VLOOKUP($R130,武学奇术!$A:$ZZ,22,FALSE)=1,0,(1-$BO130))*(1-$BR130)</f>
        <v>0.00517958999999993</v>
      </c>
      <c r="BW130" s="23" cm="1">
        <f t="array" ref="BW130">SUM(_xlfn.XLOOKUP(S130:AL130,增益!$A:$A,增益!$W:$W,0))+$I$5</f>
        <v>0.11</v>
      </c>
      <c r="BX130" s="23">
        <f>VLOOKUP($R130,武学奇术!$A:$ZZ,32,FALSE)</f>
        <v>0.1</v>
      </c>
      <c r="BY130" s="23" cm="1">
        <f t="array" ref="BY130">SUM(_xlfn.XLOOKUP($S130:$AL130,增益!$A:$A,增益!$X:$X,0))</f>
        <v>0</v>
      </c>
    </row>
    <row r="131" spans="11:77">
      <c r="K131" s="35">
        <f>$L131*VLOOKUP($R131,武学奇术!$A:$ZZ,31,FALSE)</f>
        <v>52408.0459136911</v>
      </c>
      <c r="L131" s="35">
        <f t="shared" si="45"/>
        <v>46792.8981372242</v>
      </c>
      <c r="M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轻击",$B$21,0))*(1+IF(VLOOKUP($R131,武学奇术!$A:$ZZ,30,FALSE)="老鼠",$B$22,0))*(1+$BW131)*(1+$BX131)</f>
        <v>49226.5541979837</v>
      </c>
      <c r="N131" s="35">
        <f>(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轻击",$B$21,0))*(1+IF(VLOOKUP($R131,武学奇术!$A:$ZZ,30,FALSE)="老鼠",$B$22,0))*(1+$BW131))*(1+$BX131)</f>
        <v>31111.992886258</v>
      </c>
      <c r="O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轻击",$B$21,0))*(1+IF(VLOOKUP($R131,武学奇术!$A:$ZZ,30,FALSE)="老鼠",$B$22,0))*(1+$BW131)*(1+$BX131)</f>
        <v>20562.4704252229</v>
      </c>
      <c r="P131" s="35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轻击",$B$21,0))*(1+IF(VLOOKUP($R131,武学奇术!$A:$ZZ,30,FALSE)="老鼠",$B$22,0))*(1+$BW131)*(1+$BX131)</f>
        <v>18079.0201939584</v>
      </c>
      <c r="Q131" s="36">
        <v>1</v>
      </c>
      <c r="R131" s="37" t="s">
        <v>143</v>
      </c>
      <c r="S131" s="37" t="s">
        <v>91</v>
      </c>
      <c r="T131" s="37" t="s">
        <v>185</v>
      </c>
      <c r="U131" s="37" t="s">
        <v>112</v>
      </c>
      <c r="V131" s="37" t="s">
        <v>113</v>
      </c>
      <c r="W131" s="37" t="s">
        <v>82</v>
      </c>
      <c r="X131" s="37" t="s">
        <v>81</v>
      </c>
      <c r="Y131" s="37" t="s">
        <v>109</v>
      </c>
      <c r="Z131" s="37" t="s">
        <v>83</v>
      </c>
      <c r="AA131" s="37" t="s">
        <v>84</v>
      </c>
      <c r="AB131" s="37" t="s">
        <v>81</v>
      </c>
      <c r="AC131" s="37" t="s">
        <v>81</v>
      </c>
      <c r="AD131" s="37" t="s">
        <v>85</v>
      </c>
      <c r="AE131" s="37" t="s">
        <v>86</v>
      </c>
      <c r="AF131" s="37" t="s">
        <v>181</v>
      </c>
      <c r="AG131" s="37" t="s">
        <v>87</v>
      </c>
      <c r="AH131" s="37" t="s">
        <v>88</v>
      </c>
      <c r="AI131" s="37" t="s">
        <v>81</v>
      </c>
      <c r="AJ131" s="37" t="s">
        <v>81</v>
      </c>
      <c r="AK131" s="37" t="s">
        <v>81</v>
      </c>
      <c r="AL131" s="37" t="s">
        <v>81</v>
      </c>
      <c r="AM131" t="str">
        <f>VLOOKUP($R131,武学奇术!$A:$ZZ,25,FALSE)</f>
        <v>双刀</v>
      </c>
      <c r="AN131" s="23">
        <f>VLOOKUP($R131,武学奇术!$A:$ZZ,26,FALSE)</f>
        <v>0.9012</v>
      </c>
      <c r="AO131" s="24">
        <f>VLOOKUP($R131,武学奇术!$A:$ZZ,27,FALSE)*(1+IF(OR($AM131=$F$4,$AM131=$F$5),$B$23,0))</f>
        <v>400</v>
      </c>
      <c r="AP131" s="23">
        <f>VLOOKUP($R131,武学奇术!$A:$ZZ,28,FALSE)</f>
        <v>1.3518</v>
      </c>
      <c r="AQ131" s="24">
        <f>VLOOKUP($R131,武学奇术!$A:$ZZ,29,FALSE)*(1+IF(OR($AM131=$F$4,$AM131=$F$5),$B$23,0))</f>
        <v>217.6</v>
      </c>
      <c r="AR131" s="23" cm="1">
        <f t="array" ref="AR131">$G$3+IFERROR(VLOOKUP($AM131,$F$4:$G$7,2,FALSE),0)+VLOOKUP($R131,武学奇术!$A:$ZZ,2,FALSE)+SUM(_xlfn.XLOOKUP($S131:$AL131,增益!$A:$A,增益!$B:$B,0))</f>
        <v>0.8243</v>
      </c>
      <c r="AS131" s="23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4150.4</v>
      </c>
      <c r="AU131" cm="1">
        <f t="array" ref="AU131">$E$10*(1+$AS131)+VLOOKUP($R131,武学奇术!$A:$ZZ,4,FALSE)+SUM(_xlfn.XLOOKUP($S131:$AL131,增益!$A:$A,增益!$D:$D,0))-$I$2</f>
        <v>4150.4</v>
      </c>
      <c r="AV131" s="29" cm="1">
        <f t="array" ref="AV131">IF($F$10-$I$3+VLOOKUP($R131,武学奇术!$A:$ZZ,6,FALSE)+SUM(_xlfn.XLOOKUP(S131:AL131,增益!$A:$A,增益!$F:$F,0))&gt;0,($F$10-$I$3+VLOOKUP($R131,武学奇术!$A:$ZZ,6,FALSE)+SUM(_xlfn.XLOOKUP(S131:AL131,增益!$A:$A,增益!$F:$F,0)))/200,($F$10-$I$3+VLOOKUP($R131,武学奇术!$A:$ZZ,6,FALSE)+SUM(_xlfn.XLOOKUP(S131:AL131,增益!$A:$A,增益!$F:$F,0)))/100)</f>
        <v>0.4539</v>
      </c>
      <c r="AW131" s="29" cm="1">
        <f t="array" ref="AW131">$G$10+VLOOKUP($R131,武学奇术!$A:$ZZ,7,FALSE)+SUM(_xlfn.XLOOKUP(S131:AL131,增益!$A:$A,增益!$G:$G,0))</f>
        <v>0.08</v>
      </c>
      <c r="AX131" s="23" cm="1">
        <f t="array" ref="AX131">VLOOKUP($R131,武学奇术!$A:$ZZ,8,FALSE)+SUM(_xlfn.XLOOKUP(S131:AL131,增益!$A:$A,增益!$H:$H,0))</f>
        <v>0</v>
      </c>
      <c r="AY131">
        <f t="shared" ref="AY131:AY162" si="46">$D$11*(1+$AX131)</f>
        <v>0</v>
      </c>
      <c r="AZ131">
        <f t="shared" ref="AZ131:AZ162" si="47">$E$11*(1+$AX131)</f>
        <v>0</v>
      </c>
      <c r="BA131" s="29" cm="1">
        <f t="array" ref="BA131">IF($F$11-$I$4+VLOOKUP($R131,武学奇术!$A:$ZZ,9,FALSE)+SUM(_xlfn.XLOOKUP(S131:AL131,增益!$A:$A,增益!$I:$I,0))&gt;0,($F$11-$I$4+VLOOKUP($R131,武学奇术!$A:$ZZ,9,FALSE)+SUM(_xlfn.XLOOKUP(S131:AL131,增益!$A:$A,增益!$I:$I,0)))/200,($F$11-$I$4+VLOOKUP($R131,武学奇术!$A:$ZZ,9,FALSE)+SUM(_xlfn.XLOOKUP(S131:AL131,增益!$A:$A,增益!$I:$I,0)))/100)</f>
        <v>-0.14</v>
      </c>
      <c r="BB131" s="29" cm="1">
        <f t="array" ref="BB131">$G$11+VLOOKUP($R131,武学奇术!$A:$ZZ,10,FALSE)+SUM(_xlfn.XLOOKUP(S131:AL131,增益!$A:$A,增益!$J:$J,0))</f>
        <v>0.02</v>
      </c>
      <c r="BC131">
        <f t="shared" ref="BC131:BC162" si="48">$D$12*(1+$AX131)</f>
        <v>0</v>
      </c>
      <c r="BD131">
        <f t="shared" ref="BD131:BD162" si="49">$E$12*(1+$AX131)</f>
        <v>0</v>
      </c>
      <c r="BE131" s="29" cm="1">
        <f t="array" ref="BE131">IF($F$12-$I$4+VLOOKUP($R131,武学奇术!$A:$ZZ,11,FALSE)+SUM(_xlfn.XLOOKUP(S131:AL131,增益!$A:$A,增益!$K:$K,0))&gt;0,($F$12-$I$4+VLOOKUP($R131,武学奇术!$A:$ZZ,11,FALSE)+SUM(_xlfn.XLOOKUP(S131:AL131,增益!$A:$A,增益!$K:$K,0)))/200,($F$12-$I$4+VLOOKUP($R131,武学奇术!$A:$ZZ,11,FALSE)+SUM(_xlfn.XLOOKUP(S131:AL131,增益!$A:$A,增益!$K:$K,0)))/100)</f>
        <v>-0.14</v>
      </c>
      <c r="BF131" s="29" cm="1">
        <f t="array" ref="BF131">$G$12+VLOOKUP($R131,武学奇术!$A:$ZZ,12,FALSE)+SUM(_xlfn.XLOOKUP(S131:AL131,增益!$A:$A,增益!$L:$L,0))</f>
        <v>0.02</v>
      </c>
      <c r="BG131">
        <f t="shared" ref="BG131:BG162" si="50">$D$13*(1+$AX131)</f>
        <v>0</v>
      </c>
      <c r="BH131">
        <f t="shared" ref="BH131:BH162" si="51">$E$13*(1+$AX131)</f>
        <v>0</v>
      </c>
      <c r="BI131" s="29" cm="1">
        <f t="array" ref="BI131">IF($F$13-$I$4+VLOOKUP($R131,武学奇术!$A:$ZZ,13,FALSE)+SUM(_xlfn.XLOOKUP(S131:AL131,增益!$A:$A,增益!$M:$M,0))&gt;0,($F$13-$I$4+VLOOKUP($R131,武学奇术!$A:$ZZ,13,FALSE)+SUM(_xlfn.XLOOKUP(S131:AL131,增益!$A:$A,增益!$K:$K,0)))/200,($F$13-$I$4+VLOOKUP($R131,武学奇术!$A:$ZZ,13,FALSE)+SUM(_xlfn.XLOOKUP(S131:AL131,增益!$A:$A,增益!$M:$M,0)))/100)</f>
        <v>-0.14</v>
      </c>
      <c r="BJ131" s="29" cm="1">
        <f t="array" ref="BJ131">$G$13+VLOOKUP($R131,武学奇术!$A:$ZZ,14,FALSE)+SUM(_xlfn.XLOOKUP(S131:AL131,增益!$A:$A,增益!$N:$N,0))</f>
        <v>0.02</v>
      </c>
      <c r="BK131">
        <f t="shared" ref="BK131:BK162" si="52">$D$14*(1+$AX131)</f>
        <v>618.2</v>
      </c>
      <c r="BL131">
        <f t="shared" ref="BL131:BL162" si="53">$E$14*(1+$AX131)</f>
        <v>1805</v>
      </c>
      <c r="BM131" s="29" cm="1">
        <f t="array" ref="BM131">IF($F$14-$I$4+VLOOKUP($R131,武学奇术!$A:$ZZ,15,FALSE)+SUM(_xlfn.XLOOKUP(S131:AL131,增益!$A:$A,增益!$O:$O,0))&gt;0,($F$14-$I$4+VLOOKUP($R131,武学奇术!$A:$ZZ,15,FALSE)+SUM(_xlfn.XLOOKUP(S131:AL131,增益!$A:$A,增益!$O:$O,0)))/200,($F$14-$I$4+VLOOKUP($R131,武学奇术!$A:$ZZ,15,FALSE)+SUM(_xlfn.XLOOKUP(S131:AL131,增益!$A:$A,增益!$O:$O,0)))/100)</f>
        <v>0.13</v>
      </c>
      <c r="BN131" s="29" cm="1">
        <f t="array" ref="BN131">$G$14+VLOOKUP($R131,武学奇术!$A:$ZZ,16,FALSE)+SUM(_xlfn.XLOOKUP(S131:AL131,增益!$A:$A,增益!$P:$P,0))</f>
        <v>0.23</v>
      </c>
      <c r="BO131" s="23">
        <f>MIN(IF(VLOOKUP($R131,武学奇术!$A:$ZZ,23,FALSE)=1,100%,$B$8),100%)</f>
        <v>0.9943</v>
      </c>
      <c r="BP131" s="23" cm="1">
        <f t="array" ref="BP131">IF(VLOOKUP($R131,武学奇术!$A:$ZZ,23,FALSE)=1,100%,MIN(80%,$B$9+VLOOKUP($R131,武学奇术!$A:$ZZ,17,FALSE)+SUM(_xlfn.XLOOKUP(S131:AL131,增益!$A:$A,增益!$Q:$Q,0)))+$B$11+SUM(_xlfn.XLOOKUP(S131:AL131,增益!$A:$A,增益!$U:$U,0)))*IF(VLOOKUP($R131,武学奇术!$A:$ZZ,24,FALSE)=1,0,1)</f>
        <v>0.887</v>
      </c>
      <c r="BQ131" s="23" cm="1">
        <f t="array" ref="BQ131">1+$B$13+VLOOKUP($R131,武学奇术!$A:$ZZ,18,FALSE)+SUM(_xlfn.XLOOKUP(S131:AL131,增益!$A:$A,增益!$R:$R,0))</f>
        <v>2.394</v>
      </c>
      <c r="BR131" s="23" cm="1">
        <f t="array" ref="BR131">IF(VLOOKUP($R131,武学奇术!$A:$ZZ,24,FALSE)=1,100%,MIN(40%,$B$10+VLOOKUP($R131,武学奇术!$A:$ZZ,19,FALSE)+SUM(_xlfn.XLOOKUP(S131:AL131,增益!$A:$A,增益!$S:$S,0)))+$B$12+SUM(_xlfn.XLOOKUP(S131:AL131,增益!$A:$A,增益!$V:$V,0)))*IF(VLOOKUP($R131,武学奇术!$A:$ZZ,23,FALSE)=1,0,1)</f>
        <v>0.0913</v>
      </c>
      <c r="BS131" s="23" cm="1">
        <f t="array" ref="BS131">1+$B$14+VLOOKUP($R131,武学奇术!$A:$ZZ,20,FALSE)+SUM(_xlfn.XLOOKUP(S131:AL131,增益!$A:$A,增益!$T:$T,0))</f>
        <v>1.35</v>
      </c>
      <c r="BT131" s="23">
        <f t="shared" ref="BT131:BT162" si="54">MIN((1-BR131)*BO131,BO131*BP131)</f>
        <v>0.8819441</v>
      </c>
      <c r="BU131" s="23">
        <f t="shared" ref="BU131:BU162" si="55">1-BR131-BT131-BV131</f>
        <v>0.0215763099999999</v>
      </c>
      <c r="BV131" s="23">
        <f>IF(VLOOKUP($R131,武学奇术!$A:$ZZ,22,FALSE)=1,0,(1-$BO131))*(1-$BR131)</f>
        <v>0.00517958999999993</v>
      </c>
      <c r="BW131" s="23" cm="1">
        <f t="array" ref="BW131">SUM(_xlfn.XLOOKUP(S131:AL131,增益!$A:$A,增益!$W:$W,0))+$I$5</f>
        <v>0.11</v>
      </c>
      <c r="BX131" s="23">
        <f>VLOOKUP($R131,武学奇术!$A:$ZZ,32,FALSE)</f>
        <v>0.1</v>
      </c>
      <c r="BY131" s="23" cm="1">
        <f t="array" ref="BY131">SUM(_xlfn.XLOOKUP($S131:$AL131,增益!$A:$A,增益!$X:$X,0))</f>
        <v>0</v>
      </c>
    </row>
    <row r="132" spans="11:77">
      <c r="K132" s="35">
        <f>$L132*VLOOKUP($R132,武学奇术!$A:$ZZ,31,FALSE)</f>
        <v>84059.0085989101</v>
      </c>
      <c r="L132" s="35">
        <f t="shared" si="45"/>
        <v>75052.6862490269</v>
      </c>
      <c r="M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轻击",$B$21,0))*(1+IF(VLOOKUP($R132,武学奇术!$A:$ZZ,30,FALSE)="老鼠",$B$22,0))*(1+$BW132)*(1+$BX132)</f>
        <v>78956.0845256067</v>
      </c>
      <c r="N132" s="35">
        <f>(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轻击",$B$21,0))*(1+IF(VLOOKUP($R132,武学奇术!$A:$ZZ,30,FALSE)="老鼠",$B$22,0))*(1+$BW132))*(1+$BX132)</f>
        <v>49901.8026918071</v>
      </c>
      <c r="O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轻击",$B$21,0))*(1+IF(VLOOKUP($R132,武学奇术!$A:$ZZ,30,FALSE)="老鼠",$B$22,0))*(1+$BW132)*(1+$BX132)</f>
        <v>32980.8206038457</v>
      </c>
      <c r="P132" s="35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轻击",$B$21,0))*(1+IF(VLOOKUP($R132,武学奇术!$A:$ZZ,30,FALSE)="老鼠",$B$22,0))*(1+$BW132)*(1+$BX132)</f>
        <v>28997.342917464</v>
      </c>
      <c r="Q132" s="36">
        <v>1</v>
      </c>
      <c r="R132" s="37" t="s">
        <v>148</v>
      </c>
      <c r="S132" s="37" t="s">
        <v>91</v>
      </c>
      <c r="T132" s="37" t="s">
        <v>185</v>
      </c>
      <c r="U132" s="37" t="s">
        <v>112</v>
      </c>
      <c r="V132" s="37" t="s">
        <v>113</v>
      </c>
      <c r="W132" s="37" t="s">
        <v>82</v>
      </c>
      <c r="X132" s="37" t="s">
        <v>81</v>
      </c>
      <c r="Y132" s="37" t="s">
        <v>109</v>
      </c>
      <c r="Z132" s="37" t="s">
        <v>83</v>
      </c>
      <c r="AA132" s="37" t="s">
        <v>84</v>
      </c>
      <c r="AB132" s="37" t="s">
        <v>81</v>
      </c>
      <c r="AC132" s="37" t="s">
        <v>81</v>
      </c>
      <c r="AD132" s="37" t="s">
        <v>85</v>
      </c>
      <c r="AE132" s="37" t="s">
        <v>86</v>
      </c>
      <c r="AF132" s="37" t="s">
        <v>181</v>
      </c>
      <c r="AG132" s="37" t="s">
        <v>87</v>
      </c>
      <c r="AH132" s="37" t="s">
        <v>88</v>
      </c>
      <c r="AI132" s="37" t="s">
        <v>81</v>
      </c>
      <c r="AJ132" s="37" t="s">
        <v>81</v>
      </c>
      <c r="AK132" s="37" t="s">
        <v>81</v>
      </c>
      <c r="AL132" s="37" t="s">
        <v>81</v>
      </c>
      <c r="AM132" t="str">
        <f>VLOOKUP($R132,武学奇术!$A:$ZZ,25,FALSE)</f>
        <v>双刀</v>
      </c>
      <c r="AN132" s="23">
        <f>VLOOKUP($R132,武学奇术!$A:$ZZ,26,FALSE)</f>
        <v>1.4455</v>
      </c>
      <c r="AO132" s="24">
        <f>VLOOKUP($R132,武学奇术!$A:$ZZ,27,FALSE)*(1+IF(OR($AM132=$F$4,$AM132=$F$5),$B$23,0))</f>
        <v>641.6</v>
      </c>
      <c r="AP132" s="23">
        <f>VLOOKUP($R132,武学奇术!$A:$ZZ,28,FALSE)</f>
        <v>2.1683</v>
      </c>
      <c r="AQ132" s="24">
        <f>VLOOKUP($R132,武学奇术!$A:$ZZ,29,FALSE)*(1+IF(OR($AM132=$F$4,$AM132=$F$5),$B$23,0))</f>
        <v>348.8</v>
      </c>
      <c r="AR132" s="23" cm="1">
        <f t="array" ref="AR132">$G$3+IFERROR(VLOOKUP($AM132,$F$4:$G$7,2,FALSE),0)+VLOOKUP($R132,武学奇术!$A:$ZZ,2,FALSE)+SUM(_xlfn.XLOOKUP($S132:$AL132,增益!$A:$A,增益!$B:$B,0))</f>
        <v>0.8243</v>
      </c>
      <c r="AS132" s="23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4150.4</v>
      </c>
      <c r="AU132" cm="1">
        <f t="array" ref="AU132">$E$10*(1+$AS132)+VLOOKUP($R132,武学奇术!$A:$ZZ,4,FALSE)+SUM(_xlfn.XLOOKUP($S132:$AL132,增益!$A:$A,增益!$D:$D,0))-$I$2</f>
        <v>4150.4</v>
      </c>
      <c r="AV132" s="29" cm="1">
        <f t="array" ref="AV132">IF($F$10-$I$3+VLOOKUP($R132,武学奇术!$A:$ZZ,6,FALSE)+SUM(_xlfn.XLOOKUP(S132:AL132,增益!$A:$A,增益!$F:$F,0))&gt;0,($F$10-$I$3+VLOOKUP($R132,武学奇术!$A:$ZZ,6,FALSE)+SUM(_xlfn.XLOOKUP(S132:AL132,增益!$A:$A,增益!$F:$F,0)))/200,($F$10-$I$3+VLOOKUP($R132,武学奇术!$A:$ZZ,6,FALSE)+SUM(_xlfn.XLOOKUP(S132:AL132,增益!$A:$A,增益!$F:$F,0)))/100)</f>
        <v>0.4539</v>
      </c>
      <c r="AW132" s="29" cm="1">
        <f t="array" ref="AW132">$G$10+VLOOKUP($R132,武学奇术!$A:$ZZ,7,FALSE)+SUM(_xlfn.XLOOKUP(S132:AL132,增益!$A:$A,增益!$G:$G,0))</f>
        <v>0.08</v>
      </c>
      <c r="AX132" s="23" cm="1">
        <f t="array" ref="AX132">VLOOKUP($R132,武学奇术!$A:$ZZ,8,FALSE)+SUM(_xlfn.XLOOKUP(S132:AL132,增益!$A:$A,增益!$H:$H,0))</f>
        <v>0</v>
      </c>
      <c r="AY132">
        <f t="shared" si="46"/>
        <v>0</v>
      </c>
      <c r="AZ132">
        <f t="shared" si="47"/>
        <v>0</v>
      </c>
      <c r="BA132" s="29" cm="1">
        <f t="array" ref="BA132">IF($F$11-$I$4+VLOOKUP($R132,武学奇术!$A:$ZZ,9,FALSE)+SUM(_xlfn.XLOOKUP(S132:AL132,增益!$A:$A,增益!$I:$I,0))&gt;0,($F$11-$I$4+VLOOKUP($R132,武学奇术!$A:$ZZ,9,FALSE)+SUM(_xlfn.XLOOKUP(S132:AL132,增益!$A:$A,增益!$I:$I,0)))/200,($F$11-$I$4+VLOOKUP($R132,武学奇术!$A:$ZZ,9,FALSE)+SUM(_xlfn.XLOOKUP(S132:AL132,增益!$A:$A,增益!$I:$I,0)))/100)</f>
        <v>-0.14</v>
      </c>
      <c r="BB132" s="29" cm="1">
        <f t="array" ref="BB132">$G$11+VLOOKUP($R132,武学奇术!$A:$ZZ,10,FALSE)+SUM(_xlfn.XLOOKUP(S132:AL132,增益!$A:$A,增益!$J:$J,0))</f>
        <v>0.02</v>
      </c>
      <c r="BC132">
        <f t="shared" si="48"/>
        <v>0</v>
      </c>
      <c r="BD132">
        <f t="shared" si="49"/>
        <v>0</v>
      </c>
      <c r="BE132" s="29" cm="1">
        <f t="array" ref="BE132">IF($F$12-$I$4+VLOOKUP($R132,武学奇术!$A:$ZZ,11,FALSE)+SUM(_xlfn.XLOOKUP(S132:AL132,增益!$A:$A,增益!$K:$K,0))&gt;0,($F$12-$I$4+VLOOKUP($R132,武学奇术!$A:$ZZ,11,FALSE)+SUM(_xlfn.XLOOKUP(S132:AL132,增益!$A:$A,增益!$K:$K,0)))/200,($F$12-$I$4+VLOOKUP($R132,武学奇术!$A:$ZZ,11,FALSE)+SUM(_xlfn.XLOOKUP(S132:AL132,增益!$A:$A,增益!$K:$K,0)))/100)</f>
        <v>-0.14</v>
      </c>
      <c r="BF132" s="29" cm="1">
        <f t="array" ref="BF132">$G$12+VLOOKUP($R132,武学奇术!$A:$ZZ,12,FALSE)+SUM(_xlfn.XLOOKUP(S132:AL132,增益!$A:$A,增益!$L:$L,0))</f>
        <v>0.02</v>
      </c>
      <c r="BG132">
        <f t="shared" si="50"/>
        <v>0</v>
      </c>
      <c r="BH132">
        <f t="shared" si="51"/>
        <v>0</v>
      </c>
      <c r="BI132" s="29" cm="1">
        <f t="array" ref="BI132">IF($F$13-$I$4+VLOOKUP($R132,武学奇术!$A:$ZZ,13,FALSE)+SUM(_xlfn.XLOOKUP(S132:AL132,增益!$A:$A,增益!$M:$M,0))&gt;0,($F$13-$I$4+VLOOKUP($R132,武学奇术!$A:$ZZ,13,FALSE)+SUM(_xlfn.XLOOKUP(S132:AL132,增益!$A:$A,增益!$K:$K,0)))/200,($F$13-$I$4+VLOOKUP($R132,武学奇术!$A:$ZZ,13,FALSE)+SUM(_xlfn.XLOOKUP(S132:AL132,增益!$A:$A,增益!$M:$M,0)))/100)</f>
        <v>-0.14</v>
      </c>
      <c r="BJ132" s="29" cm="1">
        <f t="array" ref="BJ132">$G$13+VLOOKUP($R132,武学奇术!$A:$ZZ,14,FALSE)+SUM(_xlfn.XLOOKUP(S132:AL132,增益!$A:$A,增益!$N:$N,0))</f>
        <v>0.02</v>
      </c>
      <c r="BK132">
        <f t="shared" si="52"/>
        <v>618.2</v>
      </c>
      <c r="BL132">
        <f t="shared" si="53"/>
        <v>1805</v>
      </c>
      <c r="BM132" s="29" cm="1">
        <f t="array" ref="BM132">IF($F$14-$I$4+VLOOKUP($R132,武学奇术!$A:$ZZ,15,FALSE)+SUM(_xlfn.XLOOKUP(S132:AL132,增益!$A:$A,增益!$O:$O,0))&gt;0,($F$14-$I$4+VLOOKUP($R132,武学奇术!$A:$ZZ,15,FALSE)+SUM(_xlfn.XLOOKUP(S132:AL132,增益!$A:$A,增益!$O:$O,0)))/200,($F$14-$I$4+VLOOKUP($R132,武学奇术!$A:$ZZ,15,FALSE)+SUM(_xlfn.XLOOKUP(S132:AL132,增益!$A:$A,增益!$O:$O,0)))/100)</f>
        <v>0.13</v>
      </c>
      <c r="BN132" s="29" cm="1">
        <f t="array" ref="BN132">$G$14+VLOOKUP($R132,武学奇术!$A:$ZZ,16,FALSE)+SUM(_xlfn.XLOOKUP(S132:AL132,增益!$A:$A,增益!$P:$P,0))</f>
        <v>0.23</v>
      </c>
      <c r="BO132" s="23">
        <f>MIN(IF(VLOOKUP($R132,武学奇术!$A:$ZZ,23,FALSE)=1,100%,$B$8),100%)</f>
        <v>0.9943</v>
      </c>
      <c r="BP132" s="23" cm="1">
        <f t="array" ref="BP132">IF(VLOOKUP($R132,武学奇术!$A:$ZZ,23,FALSE)=1,100%,MIN(80%,$B$9+VLOOKUP($R132,武学奇术!$A:$ZZ,17,FALSE)+SUM(_xlfn.XLOOKUP(S132:AL132,增益!$A:$A,增益!$Q:$Q,0)))+$B$11+SUM(_xlfn.XLOOKUP(S132:AL132,增益!$A:$A,增益!$U:$U,0)))*IF(VLOOKUP($R132,武学奇术!$A:$ZZ,24,FALSE)=1,0,1)</f>
        <v>0.887</v>
      </c>
      <c r="BQ132" s="23" cm="1">
        <f t="array" ref="BQ132">1+$B$13+VLOOKUP($R132,武学奇术!$A:$ZZ,18,FALSE)+SUM(_xlfn.XLOOKUP(S132:AL132,增益!$A:$A,增益!$R:$R,0))</f>
        <v>2.394</v>
      </c>
      <c r="BR132" s="23" cm="1">
        <f t="array" ref="BR132">IF(VLOOKUP($R132,武学奇术!$A:$ZZ,24,FALSE)=1,100%,MIN(40%,$B$10+VLOOKUP($R132,武学奇术!$A:$ZZ,19,FALSE)+SUM(_xlfn.XLOOKUP(S132:AL132,增益!$A:$A,增益!$S:$S,0)))+$B$12+SUM(_xlfn.XLOOKUP(S132:AL132,增益!$A:$A,增益!$V:$V,0)))*IF(VLOOKUP($R132,武学奇术!$A:$ZZ,23,FALSE)=1,0,1)</f>
        <v>0.0913</v>
      </c>
      <c r="BS132" s="23" cm="1">
        <f t="array" ref="BS132">1+$B$14+VLOOKUP($R132,武学奇术!$A:$ZZ,20,FALSE)+SUM(_xlfn.XLOOKUP(S132:AL132,增益!$A:$A,增益!$T:$T,0))</f>
        <v>1.35</v>
      </c>
      <c r="BT132" s="23">
        <f t="shared" si="54"/>
        <v>0.8819441</v>
      </c>
      <c r="BU132" s="23">
        <f t="shared" si="55"/>
        <v>0.0215763099999999</v>
      </c>
      <c r="BV132" s="23">
        <f>IF(VLOOKUP($R132,武学奇术!$A:$ZZ,22,FALSE)=1,0,(1-$BO132))*(1-$BR132)</f>
        <v>0.00517958999999993</v>
      </c>
      <c r="BW132" s="23" cm="1">
        <f t="array" ref="BW132">SUM(_xlfn.XLOOKUP(S132:AL132,增益!$A:$A,增益!$W:$W,0))+$I$5</f>
        <v>0.11</v>
      </c>
      <c r="BX132" s="23">
        <f>VLOOKUP($R132,武学奇术!$A:$ZZ,32,FALSE)</f>
        <v>0.1</v>
      </c>
      <c r="BY132" s="23" cm="1">
        <f t="array" ref="BY132">SUM(_xlfn.XLOOKUP($S132:$AL132,增益!$A:$A,增益!$X:$X,0))</f>
        <v>0</v>
      </c>
    </row>
    <row r="133" spans="11:77">
      <c r="K133" s="35">
        <f>$L133*VLOOKUP($R133,武学奇术!$A:$ZZ,31,FALSE)</f>
        <v>173008.083478767</v>
      </c>
      <c r="L133" s="69">
        <f t="shared" si="45"/>
        <v>169615.768116439</v>
      </c>
      <c r="M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轻击",$B$21,0))*(1+IF(VLOOKUP($R133,武学奇术!$A:$ZZ,30,FALSE)="老鼠",$B$22,0))*(1+$BW133)*(1+$BX133)</f>
        <v>178307.220785008</v>
      </c>
      <c r="N133" s="35">
        <f>(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轻击",$B$21,0))*(1+IF(VLOOKUP($R133,武学奇术!$A:$ZZ,30,FALSE)="老鼠",$B$22,0))*(1+$BW133))*(1+$BX133)</f>
        <v>114107.142561681</v>
      </c>
      <c r="O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轻击",$B$21,0))*(1+IF(VLOOKUP($R133,武学奇术!$A:$ZZ,30,FALSE)="老鼠",$B$22,0))*(1+$BW133)*(1+$BX133)</f>
        <v>74480.877520889</v>
      </c>
      <c r="P133" s="35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轻击",$B$21,0))*(1+IF(VLOOKUP($R133,武学奇术!$A:$ZZ,30,FALSE)="老鼠",$B$22,0))*(1+$BW133)*(1+$BX133)</f>
        <v>64437.9457368291</v>
      </c>
      <c r="Q133" s="70">
        <v>5</v>
      </c>
      <c r="R133" s="37" t="s">
        <v>106</v>
      </c>
      <c r="S133" s="37" t="s">
        <v>91</v>
      </c>
      <c r="T133" s="37" t="s">
        <v>185</v>
      </c>
      <c r="U133" s="37" t="s">
        <v>112</v>
      </c>
      <c r="V133" s="37" t="s">
        <v>113</v>
      </c>
      <c r="W133" s="37" t="s">
        <v>82</v>
      </c>
      <c r="X133" s="37" t="s">
        <v>81</v>
      </c>
      <c r="Y133" s="37" t="s">
        <v>109</v>
      </c>
      <c r="Z133" s="37" t="s">
        <v>83</v>
      </c>
      <c r="AA133" s="37" t="s">
        <v>84</v>
      </c>
      <c r="AB133" s="37" t="s">
        <v>81</v>
      </c>
      <c r="AC133" s="37" t="s">
        <v>81</v>
      </c>
      <c r="AD133" s="37" t="s">
        <v>85</v>
      </c>
      <c r="AE133" s="37" t="s">
        <v>86</v>
      </c>
      <c r="AF133" s="37" t="s">
        <v>81</v>
      </c>
      <c r="AG133" s="37" t="s">
        <v>87</v>
      </c>
      <c r="AH133" s="37" t="s">
        <v>88</v>
      </c>
      <c r="AI133" s="37" t="s">
        <v>81</v>
      </c>
      <c r="AJ133" s="37" t="s">
        <v>81</v>
      </c>
      <c r="AK133" s="37" t="s">
        <v>81</v>
      </c>
      <c r="AL133" s="37" t="s">
        <v>81</v>
      </c>
      <c r="AM133" t="str">
        <f>VLOOKUP($R133,武学奇术!$A:$ZZ,25,FALSE)</f>
        <v>绳镖</v>
      </c>
      <c r="AN133" s="23">
        <f>VLOOKUP($R133,武学奇术!$A:$ZZ,26,FALSE)</f>
        <v>0.3675</v>
      </c>
      <c r="AO133" s="24">
        <f>VLOOKUP($R133,武学奇术!$A:$ZZ,27,FALSE)*(1+IF(OR($AM133=$F$4,$AM133=$F$5),$B$23,0))</f>
        <v>0</v>
      </c>
      <c r="AP133" s="23">
        <f>VLOOKUP($R133,武学奇术!$A:$ZZ,28,FALSE)</f>
        <v>0.55125</v>
      </c>
      <c r="AQ133" s="24">
        <f>VLOOKUP($R133,武学奇术!$A:$ZZ,29,FALSE)*(1+IF(OR($AM133=$F$4,$AM133=$F$5),$B$23,0))</f>
        <v>0</v>
      </c>
      <c r="AR133" s="23" cm="1">
        <f t="array" ref="AR133">$G$3+IFERROR(VLOOKUP($AM133,$F$4:$G$7,2,FALSE),0)+VLOOKUP($R133,武学奇术!$A:$ZZ,2,FALSE)+SUM(_xlfn.XLOOKUP($S133:$AL133,增益!$A:$A,增益!$B:$B,0))</f>
        <v>1.5743</v>
      </c>
      <c r="AS133" s="23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4150.4</v>
      </c>
      <c r="AU133" cm="1">
        <f t="array" ref="AU133">$E$10*(1+$AS133)+VLOOKUP($R133,武学奇术!$A:$ZZ,4,FALSE)+SUM(_xlfn.XLOOKUP($S133:$AL133,增益!$A:$A,增益!$D:$D,0))-$I$2</f>
        <v>4150.4</v>
      </c>
      <c r="AV133" s="29" cm="1">
        <f t="array" ref="AV133">IF($F$10-$I$3+VLOOKUP($R133,武学奇术!$A:$ZZ,6,FALSE)+SUM(_xlfn.XLOOKUP(S133:AL133,增益!$A:$A,增益!$F:$F,0))&gt;0,($F$10-$I$3+VLOOKUP($R133,武学奇术!$A:$ZZ,6,FALSE)+SUM(_xlfn.XLOOKUP(S133:AL133,增益!$A:$A,增益!$F:$F,0)))/200,($F$10-$I$3+VLOOKUP($R133,武学奇术!$A:$ZZ,6,FALSE)+SUM(_xlfn.XLOOKUP(S133:AL133,增益!$A:$A,增益!$F:$F,0)))/100)</f>
        <v>0.4539</v>
      </c>
      <c r="AW133" s="29" cm="1">
        <f t="array" ref="AW133">$G$10+VLOOKUP($R133,武学奇术!$A:$ZZ,7,FALSE)+SUM(_xlfn.XLOOKUP(S133:AL133,增益!$A:$A,增益!$G:$G,0))</f>
        <v>0.29</v>
      </c>
      <c r="AX133" s="23" cm="1">
        <f t="array" ref="AX133">VLOOKUP($R133,武学奇术!$A:$ZZ,8,FALSE)+SUM(_xlfn.XLOOKUP(S133:AL133,增益!$A:$A,增益!$H:$H,0))</f>
        <v>0</v>
      </c>
      <c r="AY133">
        <f t="shared" si="46"/>
        <v>0</v>
      </c>
      <c r="AZ133">
        <f t="shared" si="47"/>
        <v>0</v>
      </c>
      <c r="BA133" s="29" cm="1">
        <f t="array" ref="BA133">IF($F$11-$I$4+VLOOKUP($R133,武学奇术!$A:$ZZ,9,FALSE)+SUM(_xlfn.XLOOKUP(S133:AL133,增益!$A:$A,增益!$I:$I,0))&gt;0,($F$11-$I$4+VLOOKUP($R133,武学奇术!$A:$ZZ,9,FALSE)+SUM(_xlfn.XLOOKUP(S133:AL133,增益!$A:$A,增益!$I:$I,0)))/200,($F$11-$I$4+VLOOKUP($R133,武学奇术!$A:$ZZ,9,FALSE)+SUM(_xlfn.XLOOKUP(S133:AL133,增益!$A:$A,增益!$I:$I,0)))/100)</f>
        <v>-0.14</v>
      </c>
      <c r="BB133" s="29" cm="1">
        <f t="array" ref="BB133">$G$11+VLOOKUP($R133,武学奇术!$A:$ZZ,10,FALSE)+SUM(_xlfn.XLOOKUP(S133:AL133,增益!$A:$A,增益!$J:$J,0))</f>
        <v>0.02</v>
      </c>
      <c r="BC133">
        <f t="shared" si="48"/>
        <v>0</v>
      </c>
      <c r="BD133">
        <f t="shared" si="49"/>
        <v>0</v>
      </c>
      <c r="BE133" s="29" cm="1">
        <f t="array" ref="BE133">IF($F$12-$I$4+VLOOKUP($R133,武学奇术!$A:$ZZ,11,FALSE)+SUM(_xlfn.XLOOKUP(S133:AL133,增益!$A:$A,增益!$K:$K,0))&gt;0,($F$12-$I$4+VLOOKUP($R133,武学奇术!$A:$ZZ,11,FALSE)+SUM(_xlfn.XLOOKUP(S133:AL133,增益!$A:$A,增益!$K:$K,0)))/200,($F$12-$I$4+VLOOKUP($R133,武学奇术!$A:$ZZ,11,FALSE)+SUM(_xlfn.XLOOKUP(S133:AL133,增益!$A:$A,增益!$K:$K,0)))/100)</f>
        <v>-0.14</v>
      </c>
      <c r="BF133" s="29" cm="1">
        <f t="array" ref="BF133">$G$12+VLOOKUP($R133,武学奇术!$A:$ZZ,12,FALSE)+SUM(_xlfn.XLOOKUP(S133:AL133,增益!$A:$A,增益!$L:$L,0))</f>
        <v>0.02</v>
      </c>
      <c r="BG133">
        <f t="shared" si="50"/>
        <v>0</v>
      </c>
      <c r="BH133">
        <f t="shared" si="51"/>
        <v>0</v>
      </c>
      <c r="BI133" s="29" cm="1">
        <f t="array" ref="BI133">IF($F$13-$I$4+VLOOKUP($R133,武学奇术!$A:$ZZ,13,FALSE)+SUM(_xlfn.XLOOKUP(S133:AL133,增益!$A:$A,增益!$M:$M,0))&gt;0,($F$13-$I$4+VLOOKUP($R133,武学奇术!$A:$ZZ,13,FALSE)+SUM(_xlfn.XLOOKUP(S133:AL133,增益!$A:$A,增益!$K:$K,0)))/200,($F$13-$I$4+VLOOKUP($R133,武学奇术!$A:$ZZ,13,FALSE)+SUM(_xlfn.XLOOKUP(S133:AL133,增益!$A:$A,增益!$M:$M,0)))/100)</f>
        <v>-0.14</v>
      </c>
      <c r="BJ133" s="29" cm="1">
        <f t="array" ref="BJ133">$G$13+VLOOKUP($R133,武学奇术!$A:$ZZ,14,FALSE)+SUM(_xlfn.XLOOKUP(S133:AL133,增益!$A:$A,增益!$N:$N,0))</f>
        <v>0.02</v>
      </c>
      <c r="BK133">
        <f t="shared" si="52"/>
        <v>618.2</v>
      </c>
      <c r="BL133">
        <f t="shared" si="53"/>
        <v>1805</v>
      </c>
      <c r="BM133" s="29" cm="1">
        <f t="array" ref="BM133">IF($F$14-$I$4+VLOOKUP($R133,武学奇术!$A:$ZZ,15,FALSE)+SUM(_xlfn.XLOOKUP(S133:AL133,增益!$A:$A,增益!$O:$O,0))&gt;0,($F$14-$I$4+VLOOKUP($R133,武学奇术!$A:$ZZ,15,FALSE)+SUM(_xlfn.XLOOKUP(S133:AL133,增益!$A:$A,增益!$O:$O,0)))/200,($F$14-$I$4+VLOOKUP($R133,武学奇术!$A:$ZZ,15,FALSE)+SUM(_xlfn.XLOOKUP(S133:AL133,增益!$A:$A,增益!$O:$O,0)))/100)</f>
        <v>0.13</v>
      </c>
      <c r="BN133" s="29" cm="1">
        <f t="array" ref="BN133">$G$14+VLOOKUP($R133,武学奇术!$A:$ZZ,16,FALSE)+SUM(_xlfn.XLOOKUP(S133:AL133,增益!$A:$A,增益!$P:$P,0))</f>
        <v>0.44</v>
      </c>
      <c r="BO133" s="23">
        <f>MIN(IF(VLOOKUP($R133,武学奇术!$A:$ZZ,23,FALSE)=1,100%,$B$8),100%)</f>
        <v>0.9943</v>
      </c>
      <c r="BP133" s="23" cm="1">
        <f t="array" ref="BP133">IF(VLOOKUP($R133,武学奇术!$A:$ZZ,23,FALSE)=1,100%,MIN(80%,$B$9+VLOOKUP($R133,武学奇术!$A:$ZZ,17,FALSE)+SUM(_xlfn.XLOOKUP(S133:AL133,增益!$A:$A,增益!$Q:$Q,0)))+$B$11+SUM(_xlfn.XLOOKUP(S133:AL133,增益!$A:$A,增益!$U:$U,0)))*IF(VLOOKUP($R133,武学奇术!$A:$ZZ,24,FALSE)=1,0,1)</f>
        <v>0.887</v>
      </c>
      <c r="BQ133" s="23" cm="1">
        <f t="array" ref="BQ133">1+$B$13+VLOOKUP($R133,武学奇术!$A:$ZZ,18,FALSE)+SUM(_xlfn.XLOOKUP(S133:AL133,增益!$A:$A,增益!$R:$R,0))</f>
        <v>2.394</v>
      </c>
      <c r="BR133" s="23" cm="1">
        <f t="array" ref="BR133">IF(VLOOKUP($R133,武学奇术!$A:$ZZ,24,FALSE)=1,100%,MIN(40%,$B$10+VLOOKUP($R133,武学奇术!$A:$ZZ,19,FALSE)+SUM(_xlfn.XLOOKUP(S133:AL133,增益!$A:$A,增益!$S:$S,0)))+$B$12+SUM(_xlfn.XLOOKUP(S133:AL133,增益!$A:$A,增益!$V:$V,0)))*IF(VLOOKUP($R133,武学奇术!$A:$ZZ,23,FALSE)=1,0,1)</f>
        <v>0.0913</v>
      </c>
      <c r="BS133" s="23" cm="1">
        <f t="array" ref="BS133">1+$B$14+VLOOKUP($R133,武学奇术!$A:$ZZ,20,FALSE)+SUM(_xlfn.XLOOKUP(S133:AL133,增益!$A:$A,增益!$T:$T,0))</f>
        <v>1.35</v>
      </c>
      <c r="BT133" s="23">
        <f t="shared" si="54"/>
        <v>0.8819441</v>
      </c>
      <c r="BU133" s="23">
        <f t="shared" si="55"/>
        <v>0.0215763099999999</v>
      </c>
      <c r="BV133" s="23">
        <f>IF(VLOOKUP($R133,武学奇术!$A:$ZZ,22,FALSE)=1,0,(1-$BO133))*(1-$BR133)</f>
        <v>0.00517958999999993</v>
      </c>
      <c r="BW133" s="23" cm="1">
        <f t="array" ref="BW133">SUM(_xlfn.XLOOKUP(S133:AL133,增益!$A:$A,增益!$W:$W,0))+$I$5</f>
        <v>0.11</v>
      </c>
      <c r="BX133" s="23">
        <f>VLOOKUP($R133,武学奇术!$A:$ZZ,32,FALSE)</f>
        <v>0</v>
      </c>
      <c r="BY133" s="23" cm="1">
        <f t="array" ref="BY133">SUM(_xlfn.XLOOKUP($S133:$AL133,增益!$A:$A,增益!$X:$X,0))</f>
        <v>0</v>
      </c>
    </row>
    <row r="134" spans="11:77">
      <c r="K134" s="35">
        <f>$L134*VLOOKUP($R134,武学奇术!$A:$ZZ,31,FALSE)</f>
        <v>85675.9652208345</v>
      </c>
      <c r="L134" s="35">
        <f t="shared" si="45"/>
        <v>76496.3975186022</v>
      </c>
      <c r="M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轻击",$B$21,0))*(1+IF(VLOOKUP($R134,武学奇术!$A:$ZZ,30,FALSE)="老鼠",$B$22,0))*(1+$BW134)*(1+$BX134)</f>
        <v>79767.4674656283</v>
      </c>
      <c r="N134" s="35">
        <f>(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轻击",$B$21,0))*(1+IF(VLOOKUP($R134,武学奇术!$A:$ZZ,30,FALSE)="老鼠",$B$22,0))*(1+$BW134))*(1+$BX134)</f>
        <v>56684.2662223962</v>
      </c>
      <c r="O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轻击",$B$21,0))*(1+IF(VLOOKUP($R134,武学奇术!$A:$ZZ,30,FALSE)="老鼠",$B$22,0))*(1+$BW134)*(1+$BX134)</f>
        <v>37204.9754970281</v>
      </c>
      <c r="P134" s="35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轻击",$B$21,0))*(1+IF(VLOOKUP($R134,武学奇术!$A:$ZZ,30,FALSE)="老鼠",$B$22,0))*(1+$BW134)*(1+$BX134)</f>
        <v>32421.6056441332</v>
      </c>
      <c r="Q134" s="36">
        <v>1</v>
      </c>
      <c r="R134" s="37" t="s">
        <v>153</v>
      </c>
      <c r="S134" s="37" t="s">
        <v>91</v>
      </c>
      <c r="T134" s="37" t="s">
        <v>185</v>
      </c>
      <c r="U134" s="37" t="s">
        <v>112</v>
      </c>
      <c r="V134" s="37" t="s">
        <v>113</v>
      </c>
      <c r="W134" s="37" t="s">
        <v>82</v>
      </c>
      <c r="X134" s="37" t="s">
        <v>81</v>
      </c>
      <c r="Y134" s="37" t="s">
        <v>109</v>
      </c>
      <c r="Z134" s="37" t="s">
        <v>83</v>
      </c>
      <c r="AA134" s="37" t="s">
        <v>84</v>
      </c>
      <c r="AB134" s="37" t="s">
        <v>81</v>
      </c>
      <c r="AC134" s="37" t="s">
        <v>81</v>
      </c>
      <c r="AD134" s="37" t="s">
        <v>85</v>
      </c>
      <c r="AE134" s="37" t="s">
        <v>81</v>
      </c>
      <c r="AF134" s="37" t="s">
        <v>181</v>
      </c>
      <c r="AG134" s="37" t="s">
        <v>87</v>
      </c>
      <c r="AH134" s="37" t="s">
        <v>88</v>
      </c>
      <c r="AI134" s="37" t="s">
        <v>81</v>
      </c>
      <c r="AJ134" s="37" t="s">
        <v>81</v>
      </c>
      <c r="AK134" s="37" t="s">
        <v>81</v>
      </c>
      <c r="AL134" s="37" t="s">
        <v>81</v>
      </c>
      <c r="AM134" t="str">
        <f>VLOOKUP($R134,武学奇术!$A:$ZZ,25,FALSE)</f>
        <v>双刀</v>
      </c>
      <c r="AN134" s="23">
        <f>VLOOKUP($R134,武学奇术!$A:$ZZ,26,FALSE)</f>
        <v>1.7358</v>
      </c>
      <c r="AO134" s="24">
        <f>VLOOKUP($R134,武学奇术!$A:$ZZ,27,FALSE)*(1+IF(OR($AM134=$F$4,$AM134=$F$5),$B$23,0))</f>
        <v>769.6</v>
      </c>
      <c r="AP134" s="23">
        <f>VLOOKUP($R134,武学奇术!$A:$ZZ,28,FALSE)</f>
        <v>2.6037</v>
      </c>
      <c r="AQ134" s="24">
        <f>VLOOKUP($R134,武学奇术!$A:$ZZ,29,FALSE)*(1+IF(OR($AM134=$F$4,$AM134=$F$5),$B$23,0))</f>
        <v>419.2</v>
      </c>
      <c r="AR134" s="23" cm="1">
        <f t="array" ref="AR134">$G$3+IFERROR(VLOOKUP($AM134,$F$4:$G$7,2,FALSE),0)+VLOOKUP($R134,武学奇术!$A:$ZZ,2,FALSE)+SUM(_xlfn.XLOOKUP($S134:$AL134,增益!$A:$A,增益!$B:$B,0))</f>
        <v>0.8243</v>
      </c>
      <c r="AS134" s="23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4150.4</v>
      </c>
      <c r="AU134" cm="1">
        <f t="array" ref="AU134">$E$10*(1+$AS134)+VLOOKUP($R134,武学奇术!$A:$ZZ,4,FALSE)+SUM(_xlfn.XLOOKUP($S134:$AL134,增益!$A:$A,增益!$D:$D,0))-$I$2</f>
        <v>4150.4</v>
      </c>
      <c r="AV134" s="29" cm="1">
        <f t="array" ref="AV134">IF($F$10-$I$3+VLOOKUP($R134,武学奇术!$A:$ZZ,6,FALSE)+SUM(_xlfn.XLOOKUP(S134:AL134,增益!$A:$A,增益!$F:$F,0))&gt;0,($F$10-$I$3+VLOOKUP($R134,武学奇术!$A:$ZZ,6,FALSE)+SUM(_xlfn.XLOOKUP(S134:AL134,增益!$A:$A,增益!$F:$F,0)))/200,($F$10-$I$3+VLOOKUP($R134,武学奇术!$A:$ZZ,6,FALSE)+SUM(_xlfn.XLOOKUP(S134:AL134,增益!$A:$A,增益!$F:$F,0)))/100)</f>
        <v>0.3289</v>
      </c>
      <c r="AW134" s="29" cm="1">
        <f t="array" ref="AW134">$G$10+VLOOKUP($R134,武学奇术!$A:$ZZ,7,FALSE)+SUM(_xlfn.XLOOKUP(S134:AL134,增益!$A:$A,增益!$G:$G,0))</f>
        <v>0.08</v>
      </c>
      <c r="AX134" s="23" cm="1">
        <f t="array" ref="AX134">VLOOKUP($R134,武学奇术!$A:$ZZ,8,FALSE)+SUM(_xlfn.XLOOKUP(S134:AL134,增益!$A:$A,增益!$H:$H,0))</f>
        <v>0</v>
      </c>
      <c r="AY134">
        <f t="shared" si="46"/>
        <v>0</v>
      </c>
      <c r="AZ134">
        <f t="shared" si="47"/>
        <v>0</v>
      </c>
      <c r="BA134" s="29" cm="1">
        <f t="array" ref="BA134">IF($F$11-$I$4+VLOOKUP($R134,武学奇术!$A:$ZZ,9,FALSE)+SUM(_xlfn.XLOOKUP(S134:AL134,增益!$A:$A,增益!$I:$I,0))&gt;0,($F$11-$I$4+VLOOKUP($R134,武学奇术!$A:$ZZ,9,FALSE)+SUM(_xlfn.XLOOKUP(S134:AL134,增益!$A:$A,增益!$I:$I,0)))/200,($F$11-$I$4+VLOOKUP($R134,武学奇术!$A:$ZZ,9,FALSE)+SUM(_xlfn.XLOOKUP(S134:AL134,增益!$A:$A,增益!$I:$I,0)))/100)</f>
        <v>-0.14</v>
      </c>
      <c r="BB134" s="29" cm="1">
        <f t="array" ref="BB134">$G$11+VLOOKUP($R134,武学奇术!$A:$ZZ,10,FALSE)+SUM(_xlfn.XLOOKUP(S134:AL134,增益!$A:$A,增益!$J:$J,0))</f>
        <v>0.02</v>
      </c>
      <c r="BC134">
        <f t="shared" si="48"/>
        <v>0</v>
      </c>
      <c r="BD134">
        <f t="shared" si="49"/>
        <v>0</v>
      </c>
      <c r="BE134" s="29" cm="1">
        <f t="array" ref="BE134">IF($F$12-$I$4+VLOOKUP($R134,武学奇术!$A:$ZZ,11,FALSE)+SUM(_xlfn.XLOOKUP(S134:AL134,增益!$A:$A,增益!$K:$K,0))&gt;0,($F$12-$I$4+VLOOKUP($R134,武学奇术!$A:$ZZ,11,FALSE)+SUM(_xlfn.XLOOKUP(S134:AL134,增益!$A:$A,增益!$K:$K,0)))/200,($F$12-$I$4+VLOOKUP($R134,武学奇术!$A:$ZZ,11,FALSE)+SUM(_xlfn.XLOOKUP(S134:AL134,增益!$A:$A,增益!$K:$K,0)))/100)</f>
        <v>-0.14</v>
      </c>
      <c r="BF134" s="29" cm="1">
        <f t="array" ref="BF134">$G$12+VLOOKUP($R134,武学奇术!$A:$ZZ,12,FALSE)+SUM(_xlfn.XLOOKUP(S134:AL134,增益!$A:$A,增益!$L:$L,0))</f>
        <v>0.02</v>
      </c>
      <c r="BG134">
        <f t="shared" si="50"/>
        <v>0</v>
      </c>
      <c r="BH134">
        <f t="shared" si="51"/>
        <v>0</v>
      </c>
      <c r="BI134" s="29" cm="1">
        <f t="array" ref="BI134">IF($F$13-$I$4+VLOOKUP($R134,武学奇术!$A:$ZZ,13,FALSE)+SUM(_xlfn.XLOOKUP(S134:AL134,增益!$A:$A,增益!$M:$M,0))&gt;0,($F$13-$I$4+VLOOKUP($R134,武学奇术!$A:$ZZ,13,FALSE)+SUM(_xlfn.XLOOKUP(S134:AL134,增益!$A:$A,增益!$K:$K,0)))/200,($F$13-$I$4+VLOOKUP($R134,武学奇术!$A:$ZZ,13,FALSE)+SUM(_xlfn.XLOOKUP(S134:AL134,增益!$A:$A,增益!$M:$M,0)))/100)</f>
        <v>-0.14</v>
      </c>
      <c r="BJ134" s="29" cm="1">
        <f t="array" ref="BJ134">$G$13+VLOOKUP($R134,武学奇术!$A:$ZZ,14,FALSE)+SUM(_xlfn.XLOOKUP(S134:AL134,增益!$A:$A,增益!$N:$N,0))</f>
        <v>0.02</v>
      </c>
      <c r="BK134">
        <f t="shared" si="52"/>
        <v>618.2</v>
      </c>
      <c r="BL134">
        <f t="shared" si="53"/>
        <v>1805</v>
      </c>
      <c r="BM134" s="29" cm="1">
        <f t="array" ref="BM134">IF($F$14-$I$4+VLOOKUP($R134,武学奇术!$A:$ZZ,15,FALSE)+SUM(_xlfn.XLOOKUP(S134:AL134,增益!$A:$A,增益!$O:$O,0))&gt;0,($F$14-$I$4+VLOOKUP($R134,武学奇术!$A:$ZZ,15,FALSE)+SUM(_xlfn.XLOOKUP(S134:AL134,增益!$A:$A,增益!$O:$O,0)))/200,($F$14-$I$4+VLOOKUP($R134,武学奇术!$A:$ZZ,15,FALSE)+SUM(_xlfn.XLOOKUP(S134:AL134,增益!$A:$A,增益!$O:$O,0)))/100)</f>
        <v>0.13</v>
      </c>
      <c r="BN134" s="29" cm="1">
        <f t="array" ref="BN134">$G$14+VLOOKUP($R134,武学奇术!$A:$ZZ,16,FALSE)+SUM(_xlfn.XLOOKUP(S134:AL134,增益!$A:$A,增益!$P:$P,0))</f>
        <v>0.23</v>
      </c>
      <c r="BO134" s="23">
        <f>MIN(IF(VLOOKUP($R134,武学奇术!$A:$ZZ,23,FALSE)=1,100%,$B$8),100%)</f>
        <v>0.9943</v>
      </c>
      <c r="BP134" s="23" cm="1">
        <f t="array" ref="BP134">IF(VLOOKUP($R134,武学奇术!$A:$ZZ,23,FALSE)=1,100%,MIN(80%,$B$9+VLOOKUP($R134,武学奇术!$A:$ZZ,17,FALSE)+SUM(_xlfn.XLOOKUP(S134:AL134,增益!$A:$A,增益!$Q:$Q,0)))+$B$11+SUM(_xlfn.XLOOKUP(S134:AL134,增益!$A:$A,增益!$U:$U,0)))*IF(VLOOKUP($R134,武学奇术!$A:$ZZ,24,FALSE)=1,0,1)</f>
        <v>0.887</v>
      </c>
      <c r="BQ134" s="23" cm="1">
        <f t="array" ref="BQ134">1+$B$13+VLOOKUP($R134,武学奇术!$A:$ZZ,18,FALSE)+SUM(_xlfn.XLOOKUP(S134:AL134,增益!$A:$A,增益!$R:$R,0))</f>
        <v>2.144</v>
      </c>
      <c r="BR134" s="23" cm="1">
        <f t="array" ref="BR134">IF(VLOOKUP($R134,武学奇术!$A:$ZZ,24,FALSE)=1,100%,MIN(40%,$B$10+VLOOKUP($R134,武学奇术!$A:$ZZ,19,FALSE)+SUM(_xlfn.XLOOKUP(S134:AL134,增益!$A:$A,增益!$S:$S,0)))+$B$12+SUM(_xlfn.XLOOKUP(S134:AL134,增益!$A:$A,增益!$V:$V,0)))*IF(VLOOKUP($R134,武学奇术!$A:$ZZ,23,FALSE)=1,0,1)</f>
        <v>0.0913</v>
      </c>
      <c r="BS134" s="23" cm="1">
        <f t="array" ref="BS134">1+$B$14+VLOOKUP($R134,武学奇术!$A:$ZZ,20,FALSE)+SUM(_xlfn.XLOOKUP(S134:AL134,增益!$A:$A,增益!$T:$T,0))</f>
        <v>1.35</v>
      </c>
      <c r="BT134" s="23">
        <f t="shared" si="54"/>
        <v>0.8819441</v>
      </c>
      <c r="BU134" s="23">
        <f t="shared" si="55"/>
        <v>0.0215763099999999</v>
      </c>
      <c r="BV134" s="23">
        <f>IF(VLOOKUP($R134,武学奇术!$A:$ZZ,22,FALSE)=1,0,(1-$BO134))*(1-$BR134)</f>
        <v>0.00517958999999993</v>
      </c>
      <c r="BW134" s="23" cm="1">
        <f t="array" ref="BW134">SUM(_xlfn.XLOOKUP(S134:AL134,增益!$A:$A,增益!$W:$W,0))+$I$5</f>
        <v>0.11</v>
      </c>
      <c r="BX134" s="23">
        <f>VLOOKUP($R134,武学奇术!$A:$ZZ,32,FALSE)</f>
        <v>0.1</v>
      </c>
      <c r="BY134" s="23" cm="1">
        <f t="array" ref="BY134">SUM(_xlfn.XLOOKUP($S134:$AL134,增益!$A:$A,增益!$X:$X,0))</f>
        <v>0</v>
      </c>
    </row>
    <row r="135" spans="11:77">
      <c r="K135" s="35">
        <f>$L135*VLOOKUP($R135,武学奇术!$A:$ZZ,31,FALSE)</f>
        <v>125071.194067213</v>
      </c>
      <c r="L135" s="35">
        <f t="shared" si="45"/>
        <v>111670.708988583</v>
      </c>
      <c r="M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轻击",$B$21,0))*(1+IF(VLOOKUP($R135,武学奇术!$A:$ZZ,30,FALSE)="老鼠",$B$22,0))*(1+$BW135)*(1+$BX135)</f>
        <v>116445.808313435</v>
      </c>
      <c r="N135" s="35">
        <f>(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轻击",$B$21,0))*(1+IF(VLOOKUP($R135,武学奇术!$A:$ZZ,30,FALSE)="老鼠",$B$22,0))*(1+$BW135))*(1+$BX135)</f>
        <v>82749.2752929312</v>
      </c>
      <c r="O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轻击",$B$21,0))*(1+IF(VLOOKUP($R135,武学奇术!$A:$ZZ,30,FALSE)="老鼠",$B$22,0))*(1+$BW135)*(1+$BX135)</f>
        <v>54312.4105939531</v>
      </c>
      <c r="P135" s="35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轻击",$B$21,0))*(1+IF(VLOOKUP($R135,武学奇术!$A:$ZZ,30,FALSE)="老鼠",$B$22,0))*(1+$BW135)*(1+$BX135)</f>
        <v>47329.0617116608</v>
      </c>
      <c r="Q135" s="36">
        <v>1</v>
      </c>
      <c r="R135" s="37" t="s">
        <v>158</v>
      </c>
      <c r="S135" s="37" t="s">
        <v>91</v>
      </c>
      <c r="T135" s="37" t="s">
        <v>185</v>
      </c>
      <c r="U135" s="37" t="s">
        <v>112</v>
      </c>
      <c r="V135" s="37" t="s">
        <v>113</v>
      </c>
      <c r="W135" s="37" t="s">
        <v>82</v>
      </c>
      <c r="X135" s="37" t="s">
        <v>81</v>
      </c>
      <c r="Y135" s="37" t="s">
        <v>109</v>
      </c>
      <c r="Z135" s="37" t="s">
        <v>83</v>
      </c>
      <c r="AA135" s="37" t="s">
        <v>84</v>
      </c>
      <c r="AB135" s="37" t="s">
        <v>81</v>
      </c>
      <c r="AC135" s="37" t="s">
        <v>81</v>
      </c>
      <c r="AD135" s="37" t="s">
        <v>85</v>
      </c>
      <c r="AE135" s="37" t="s">
        <v>81</v>
      </c>
      <c r="AF135" s="37" t="s">
        <v>181</v>
      </c>
      <c r="AG135" s="37" t="s">
        <v>87</v>
      </c>
      <c r="AH135" s="37" t="s">
        <v>88</v>
      </c>
      <c r="AI135" s="37" t="s">
        <v>81</v>
      </c>
      <c r="AJ135" s="37" t="s">
        <v>81</v>
      </c>
      <c r="AK135" s="37" t="s">
        <v>81</v>
      </c>
      <c r="AL135" s="37" t="s">
        <v>81</v>
      </c>
      <c r="AM135" t="str">
        <f>VLOOKUP($R135,武学奇术!$A:$ZZ,25,FALSE)</f>
        <v>双刀</v>
      </c>
      <c r="AN135" s="23">
        <f>VLOOKUP($R135,武学奇术!$A:$ZZ,26,FALSE)</f>
        <v>2.5342</v>
      </c>
      <c r="AO135" s="24">
        <f>VLOOKUP($R135,武学奇术!$A:$ZZ,27,FALSE)*(1+IF(OR($AM135=$F$4,$AM135=$F$5),$B$23,0))</f>
        <v>1123.2</v>
      </c>
      <c r="AP135" s="23">
        <f>VLOOKUP($R135,武学奇术!$A:$ZZ,28,FALSE)</f>
        <v>3.8012</v>
      </c>
      <c r="AQ135" s="24">
        <f>VLOOKUP($R135,武学奇术!$A:$ZZ,29,FALSE)*(1+IF(OR($AM135=$F$4,$AM135=$F$5),$B$23,0))</f>
        <v>611.2</v>
      </c>
      <c r="AR135" s="23" cm="1">
        <f t="array" ref="AR135">$G$3+IFERROR(VLOOKUP($AM135,$F$4:$G$7,2,FALSE),0)+VLOOKUP($R135,武学奇术!$A:$ZZ,2,FALSE)+SUM(_xlfn.XLOOKUP($S135:$AL135,增益!$A:$A,增益!$B:$B,0))</f>
        <v>0.8243</v>
      </c>
      <c r="AS135" s="23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4150.4</v>
      </c>
      <c r="AU135" cm="1">
        <f t="array" ref="AU135">$E$10*(1+$AS135)+VLOOKUP($R135,武学奇术!$A:$ZZ,4,FALSE)+SUM(_xlfn.XLOOKUP($S135:$AL135,增益!$A:$A,增益!$D:$D,0))-$I$2</f>
        <v>4150.4</v>
      </c>
      <c r="AV135" s="29" cm="1">
        <f t="array" ref="AV135">IF($F$10-$I$3+VLOOKUP($R135,武学奇术!$A:$ZZ,6,FALSE)+SUM(_xlfn.XLOOKUP(S135:AL135,增益!$A:$A,增益!$F:$F,0))&gt;0,($F$10-$I$3+VLOOKUP($R135,武学奇术!$A:$ZZ,6,FALSE)+SUM(_xlfn.XLOOKUP(S135:AL135,增益!$A:$A,增益!$F:$F,0)))/200,($F$10-$I$3+VLOOKUP($R135,武学奇术!$A:$ZZ,6,FALSE)+SUM(_xlfn.XLOOKUP(S135:AL135,增益!$A:$A,增益!$F:$F,0)))/100)</f>
        <v>0.3289</v>
      </c>
      <c r="AW135" s="29" cm="1">
        <f t="array" ref="AW135">$G$10+VLOOKUP($R135,武学奇术!$A:$ZZ,7,FALSE)+SUM(_xlfn.XLOOKUP(S135:AL135,增益!$A:$A,增益!$G:$G,0))</f>
        <v>0.08</v>
      </c>
      <c r="AX135" s="23" cm="1">
        <f t="array" ref="AX135">VLOOKUP($R135,武学奇术!$A:$ZZ,8,FALSE)+SUM(_xlfn.XLOOKUP(S135:AL135,增益!$A:$A,增益!$H:$H,0))</f>
        <v>0</v>
      </c>
      <c r="AY135">
        <f t="shared" si="46"/>
        <v>0</v>
      </c>
      <c r="AZ135">
        <f t="shared" si="47"/>
        <v>0</v>
      </c>
      <c r="BA135" s="29" cm="1">
        <f t="array" ref="BA135">IF($F$11-$I$4+VLOOKUP($R135,武学奇术!$A:$ZZ,9,FALSE)+SUM(_xlfn.XLOOKUP(S135:AL135,增益!$A:$A,增益!$I:$I,0))&gt;0,($F$11-$I$4+VLOOKUP($R135,武学奇术!$A:$ZZ,9,FALSE)+SUM(_xlfn.XLOOKUP(S135:AL135,增益!$A:$A,增益!$I:$I,0)))/200,($F$11-$I$4+VLOOKUP($R135,武学奇术!$A:$ZZ,9,FALSE)+SUM(_xlfn.XLOOKUP(S135:AL135,增益!$A:$A,增益!$I:$I,0)))/100)</f>
        <v>-0.14</v>
      </c>
      <c r="BB135" s="29" cm="1">
        <f t="array" ref="BB135">$G$11+VLOOKUP($R135,武学奇术!$A:$ZZ,10,FALSE)+SUM(_xlfn.XLOOKUP(S135:AL135,增益!$A:$A,增益!$J:$J,0))</f>
        <v>0.02</v>
      </c>
      <c r="BC135">
        <f t="shared" si="48"/>
        <v>0</v>
      </c>
      <c r="BD135">
        <f t="shared" si="49"/>
        <v>0</v>
      </c>
      <c r="BE135" s="29" cm="1">
        <f t="array" ref="BE135">IF($F$12-$I$4+VLOOKUP($R135,武学奇术!$A:$ZZ,11,FALSE)+SUM(_xlfn.XLOOKUP(S135:AL135,增益!$A:$A,增益!$K:$K,0))&gt;0,($F$12-$I$4+VLOOKUP($R135,武学奇术!$A:$ZZ,11,FALSE)+SUM(_xlfn.XLOOKUP(S135:AL135,增益!$A:$A,增益!$K:$K,0)))/200,($F$12-$I$4+VLOOKUP($R135,武学奇术!$A:$ZZ,11,FALSE)+SUM(_xlfn.XLOOKUP(S135:AL135,增益!$A:$A,增益!$K:$K,0)))/100)</f>
        <v>-0.14</v>
      </c>
      <c r="BF135" s="29" cm="1">
        <f t="array" ref="BF135">$G$12+VLOOKUP($R135,武学奇术!$A:$ZZ,12,FALSE)+SUM(_xlfn.XLOOKUP(S135:AL135,增益!$A:$A,增益!$L:$L,0))</f>
        <v>0.02</v>
      </c>
      <c r="BG135">
        <f t="shared" si="50"/>
        <v>0</v>
      </c>
      <c r="BH135">
        <f t="shared" si="51"/>
        <v>0</v>
      </c>
      <c r="BI135" s="29" cm="1">
        <f t="array" ref="BI135">IF($F$13-$I$4+VLOOKUP($R135,武学奇术!$A:$ZZ,13,FALSE)+SUM(_xlfn.XLOOKUP(S135:AL135,增益!$A:$A,增益!$M:$M,0))&gt;0,($F$13-$I$4+VLOOKUP($R135,武学奇术!$A:$ZZ,13,FALSE)+SUM(_xlfn.XLOOKUP(S135:AL135,增益!$A:$A,增益!$K:$K,0)))/200,($F$13-$I$4+VLOOKUP($R135,武学奇术!$A:$ZZ,13,FALSE)+SUM(_xlfn.XLOOKUP(S135:AL135,增益!$A:$A,增益!$M:$M,0)))/100)</f>
        <v>-0.14</v>
      </c>
      <c r="BJ135" s="29" cm="1">
        <f t="array" ref="BJ135">$G$13+VLOOKUP($R135,武学奇术!$A:$ZZ,14,FALSE)+SUM(_xlfn.XLOOKUP(S135:AL135,增益!$A:$A,增益!$N:$N,0))</f>
        <v>0.02</v>
      </c>
      <c r="BK135">
        <f t="shared" si="52"/>
        <v>618.2</v>
      </c>
      <c r="BL135">
        <f t="shared" si="53"/>
        <v>1805</v>
      </c>
      <c r="BM135" s="29" cm="1">
        <f t="array" ref="BM135">IF($F$14-$I$4+VLOOKUP($R135,武学奇术!$A:$ZZ,15,FALSE)+SUM(_xlfn.XLOOKUP(S135:AL135,增益!$A:$A,增益!$O:$O,0))&gt;0,($F$14-$I$4+VLOOKUP($R135,武学奇术!$A:$ZZ,15,FALSE)+SUM(_xlfn.XLOOKUP(S135:AL135,增益!$A:$A,增益!$O:$O,0)))/200,($F$14-$I$4+VLOOKUP($R135,武学奇术!$A:$ZZ,15,FALSE)+SUM(_xlfn.XLOOKUP(S135:AL135,增益!$A:$A,增益!$O:$O,0)))/100)</f>
        <v>0.13</v>
      </c>
      <c r="BN135" s="29" cm="1">
        <f t="array" ref="BN135">$G$14+VLOOKUP($R135,武学奇术!$A:$ZZ,16,FALSE)+SUM(_xlfn.XLOOKUP(S135:AL135,增益!$A:$A,增益!$P:$P,0))</f>
        <v>0.23</v>
      </c>
      <c r="BO135" s="23">
        <f>MIN(IF(VLOOKUP($R135,武学奇术!$A:$ZZ,23,FALSE)=1,100%,$B$8),100%)</f>
        <v>0.9943</v>
      </c>
      <c r="BP135" s="23" cm="1">
        <f t="array" ref="BP135">IF(VLOOKUP($R135,武学奇术!$A:$ZZ,23,FALSE)=1,100%,MIN(80%,$B$9+VLOOKUP($R135,武学奇术!$A:$ZZ,17,FALSE)+SUM(_xlfn.XLOOKUP(S135:AL135,增益!$A:$A,增益!$Q:$Q,0)))+$B$11+SUM(_xlfn.XLOOKUP(S135:AL135,增益!$A:$A,增益!$U:$U,0)))*IF(VLOOKUP($R135,武学奇术!$A:$ZZ,24,FALSE)=1,0,1)</f>
        <v>0.887</v>
      </c>
      <c r="BQ135" s="23" cm="1">
        <f t="array" ref="BQ135">1+$B$13+VLOOKUP($R135,武学奇术!$A:$ZZ,18,FALSE)+SUM(_xlfn.XLOOKUP(S135:AL135,增益!$A:$A,增益!$R:$R,0))</f>
        <v>2.144</v>
      </c>
      <c r="BR135" s="23" cm="1">
        <f t="array" ref="BR135">IF(VLOOKUP($R135,武学奇术!$A:$ZZ,24,FALSE)=1,100%,MIN(40%,$B$10+VLOOKUP($R135,武学奇术!$A:$ZZ,19,FALSE)+SUM(_xlfn.XLOOKUP(S135:AL135,增益!$A:$A,增益!$S:$S,0)))+$B$12+SUM(_xlfn.XLOOKUP(S135:AL135,增益!$A:$A,增益!$V:$V,0)))*IF(VLOOKUP($R135,武学奇术!$A:$ZZ,23,FALSE)=1,0,1)</f>
        <v>0.0913</v>
      </c>
      <c r="BS135" s="23" cm="1">
        <f t="array" ref="BS135">1+$B$14+VLOOKUP($R135,武学奇术!$A:$ZZ,20,FALSE)+SUM(_xlfn.XLOOKUP(S135:AL135,增益!$A:$A,增益!$T:$T,0))</f>
        <v>1.35</v>
      </c>
      <c r="BT135" s="23">
        <f t="shared" si="54"/>
        <v>0.8819441</v>
      </c>
      <c r="BU135" s="23">
        <f t="shared" si="55"/>
        <v>0.0215763099999999</v>
      </c>
      <c r="BV135" s="23">
        <f>IF(VLOOKUP($R135,武学奇术!$A:$ZZ,22,FALSE)=1,0,(1-$BO135))*(1-$BR135)</f>
        <v>0.00517958999999993</v>
      </c>
      <c r="BW135" s="23" cm="1">
        <f t="array" ref="BW135">SUM(_xlfn.XLOOKUP(S135:AL135,增益!$A:$A,增益!$W:$W,0))+$I$5</f>
        <v>0.11</v>
      </c>
      <c r="BX135" s="23">
        <f>VLOOKUP($R135,武学奇术!$A:$ZZ,32,FALSE)</f>
        <v>0.1</v>
      </c>
      <c r="BY135" s="23" cm="1">
        <f t="array" ref="BY135">SUM(_xlfn.XLOOKUP($S135:$AL135,增益!$A:$A,增益!$X:$X,0))</f>
        <v>0</v>
      </c>
    </row>
    <row r="136" spans="11:77">
      <c r="K136" s="35">
        <f>$L136*VLOOKUP($R136,武学奇术!$A:$ZZ,31,FALSE)</f>
        <v>46376.5499742192</v>
      </c>
      <c r="L136" s="35">
        <f t="shared" si="45"/>
        <v>45467.2058570776</v>
      </c>
      <c r="M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轻击",$B$21,0))*(1+IF(VLOOKUP($R136,武学奇术!$A:$ZZ,30,FALSE)="老鼠",$B$22,0))*(1+$BW136)*(1+$BX136)</f>
        <v>47417.0164887719</v>
      </c>
      <c r="N136" s="35">
        <f>(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轻击",$B$21,0))*(1+IF(VLOOKUP($R136,武学奇术!$A:$ZZ,30,FALSE)="老鼠",$B$22,0))*(1+$BW136))*(1+$BX136)</f>
        <v>33634.2110907512</v>
      </c>
      <c r="O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轻击",$B$21,0))*(1+IF(VLOOKUP($R136,武学奇术!$A:$ZZ,30,FALSE)="老鼠",$B$22,0))*(1+$BW136)*(1+$BX136)</f>
        <v>22116.14575036</v>
      </c>
      <c r="P136" s="35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轻击",$B$21,0))*(1+IF(VLOOKUP($R136,武学奇术!$A:$ZZ,30,FALSE)="老鼠",$B$22,0))*(1+$BW136)*(1+$BX136)</f>
        <v>19318.0610631266</v>
      </c>
      <c r="Q136" s="36">
        <v>1</v>
      </c>
      <c r="R136" s="37" t="s">
        <v>160</v>
      </c>
      <c r="S136" s="37" t="s">
        <v>91</v>
      </c>
      <c r="T136" s="37" t="s">
        <v>185</v>
      </c>
      <c r="U136" s="37" t="s">
        <v>81</v>
      </c>
      <c r="V136" s="37" t="s">
        <v>81</v>
      </c>
      <c r="W136" s="37" t="s">
        <v>82</v>
      </c>
      <c r="X136" s="37" t="s">
        <v>81</v>
      </c>
      <c r="Y136" s="37" t="s">
        <v>81</v>
      </c>
      <c r="Z136" s="37" t="s">
        <v>83</v>
      </c>
      <c r="AA136" s="37" t="s">
        <v>84</v>
      </c>
      <c r="AB136" s="37" t="s">
        <v>81</v>
      </c>
      <c r="AC136" s="37" t="s">
        <v>81</v>
      </c>
      <c r="AD136" s="37" t="s">
        <v>85</v>
      </c>
      <c r="AE136" s="37" t="s">
        <v>81</v>
      </c>
      <c r="AF136" s="37" t="s">
        <v>81</v>
      </c>
      <c r="AG136" s="37" t="s">
        <v>87</v>
      </c>
      <c r="AH136" s="37" t="s">
        <v>88</v>
      </c>
      <c r="AI136" s="37" t="s">
        <v>81</v>
      </c>
      <c r="AJ136" s="37" t="s">
        <v>81</v>
      </c>
      <c r="AK136" s="37" t="s">
        <v>81</v>
      </c>
      <c r="AL136" s="37" t="s">
        <v>81</v>
      </c>
      <c r="AM136" t="str">
        <f>VLOOKUP($R136,武学奇术!$A:$ZZ,25,FALSE)</f>
        <v>双刀</v>
      </c>
      <c r="AN136" s="23">
        <f>VLOOKUP($R136,武学奇术!$A:$ZZ,26,FALSE)</f>
        <v>1.3548</v>
      </c>
      <c r="AO136" s="24">
        <f>VLOOKUP($R136,武学奇术!$A:$ZZ,27,FALSE)*(1+IF(OR($AM136=$F$4,$AM136=$F$5),$B$23,0))</f>
        <v>601.6</v>
      </c>
      <c r="AP136" s="23">
        <f>VLOOKUP($R136,武学奇术!$A:$ZZ,28,FALSE)</f>
        <v>2.0322</v>
      </c>
      <c r="AQ136" s="24">
        <f>VLOOKUP($R136,武学奇术!$A:$ZZ,29,FALSE)*(1+IF(OR($AM136=$F$4,$AM136=$F$5),$B$23,0))</f>
        <v>328</v>
      </c>
      <c r="AR136" s="23" cm="1">
        <f t="array" ref="AR136">$G$3+IFERROR(VLOOKUP($AM136,$F$4:$G$7,2,FALSE),0)+VLOOKUP($R136,武学奇术!$A:$ZZ,2,FALSE)+SUM(_xlfn.XLOOKUP($S136:$AL136,增益!$A:$A,增益!$B:$B,0))</f>
        <v>0.6543</v>
      </c>
      <c r="AS136" s="23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4081.7</v>
      </c>
      <c r="AU136" cm="1">
        <f t="array" ref="AU136">$E$10*(1+$AS136)+VLOOKUP($R136,武学奇术!$A:$ZZ,4,FALSE)+SUM(_xlfn.XLOOKUP($S136:$AL136,增益!$A:$A,增益!$D:$D,0))-$I$2</f>
        <v>4081.7</v>
      </c>
      <c r="AV136" s="29" cm="1">
        <f t="array" ref="AV136">IF($F$10-$I$3+VLOOKUP($R136,武学奇术!$A:$ZZ,6,FALSE)+SUM(_xlfn.XLOOKUP(S136:AL136,增益!$A:$A,增益!$F:$F,0))&gt;0,($F$10-$I$3+VLOOKUP($R136,武学奇术!$A:$ZZ,6,FALSE)+SUM(_xlfn.XLOOKUP(S136:AL136,增益!$A:$A,增益!$F:$F,0)))/200,($F$10-$I$3+VLOOKUP($R136,武学奇术!$A:$ZZ,6,FALSE)+SUM(_xlfn.XLOOKUP(S136:AL136,增益!$A:$A,增益!$F:$F,0)))/100)</f>
        <v>0.3289</v>
      </c>
      <c r="AW136" s="29" cm="1">
        <f t="array" ref="AW136">$G$10+VLOOKUP($R136,武学奇术!$A:$ZZ,7,FALSE)+SUM(_xlfn.XLOOKUP(S136:AL136,增益!$A:$A,增益!$G:$G,0))</f>
        <v>0.02</v>
      </c>
      <c r="AX136" s="23" cm="1">
        <f t="array" ref="AX136">VLOOKUP($R136,武学奇术!$A:$ZZ,8,FALSE)+SUM(_xlfn.XLOOKUP(S136:AL136,增益!$A:$A,增益!$H:$H,0))</f>
        <v>0</v>
      </c>
      <c r="AY136">
        <f t="shared" si="46"/>
        <v>0</v>
      </c>
      <c r="AZ136">
        <f t="shared" si="47"/>
        <v>0</v>
      </c>
      <c r="BA136" s="29" cm="1">
        <f t="array" ref="BA136">IF($F$11-$I$4+VLOOKUP($R136,武学奇术!$A:$ZZ,9,FALSE)+SUM(_xlfn.XLOOKUP(S136:AL136,增益!$A:$A,增益!$I:$I,0))&gt;0,($F$11-$I$4+VLOOKUP($R136,武学奇术!$A:$ZZ,9,FALSE)+SUM(_xlfn.XLOOKUP(S136:AL136,增益!$A:$A,增益!$I:$I,0)))/200,($F$11-$I$4+VLOOKUP($R136,武学奇术!$A:$ZZ,9,FALSE)+SUM(_xlfn.XLOOKUP(S136:AL136,增益!$A:$A,增益!$I:$I,0)))/100)</f>
        <v>-0.14</v>
      </c>
      <c r="BB136" s="29" cm="1">
        <f t="array" ref="BB136">$G$11+VLOOKUP($R136,武学奇术!$A:$ZZ,10,FALSE)+SUM(_xlfn.XLOOKUP(S136:AL136,增益!$A:$A,增益!$J:$J,0))</f>
        <v>0.02</v>
      </c>
      <c r="BC136">
        <f t="shared" si="48"/>
        <v>0</v>
      </c>
      <c r="BD136">
        <f t="shared" si="49"/>
        <v>0</v>
      </c>
      <c r="BE136" s="29" cm="1">
        <f t="array" ref="BE136">IF($F$12-$I$4+VLOOKUP($R136,武学奇术!$A:$ZZ,11,FALSE)+SUM(_xlfn.XLOOKUP(S136:AL136,增益!$A:$A,增益!$K:$K,0))&gt;0,($F$12-$I$4+VLOOKUP($R136,武学奇术!$A:$ZZ,11,FALSE)+SUM(_xlfn.XLOOKUP(S136:AL136,增益!$A:$A,增益!$K:$K,0)))/200,($F$12-$I$4+VLOOKUP($R136,武学奇术!$A:$ZZ,11,FALSE)+SUM(_xlfn.XLOOKUP(S136:AL136,增益!$A:$A,增益!$K:$K,0)))/100)</f>
        <v>-0.14</v>
      </c>
      <c r="BF136" s="29" cm="1">
        <f t="array" ref="BF136">$G$12+VLOOKUP($R136,武学奇术!$A:$ZZ,12,FALSE)+SUM(_xlfn.XLOOKUP(S136:AL136,增益!$A:$A,增益!$L:$L,0))</f>
        <v>0.02</v>
      </c>
      <c r="BG136">
        <f t="shared" si="50"/>
        <v>0</v>
      </c>
      <c r="BH136">
        <f t="shared" si="51"/>
        <v>0</v>
      </c>
      <c r="BI136" s="29" cm="1">
        <f t="array" ref="BI136">IF($F$13-$I$4+VLOOKUP($R136,武学奇术!$A:$ZZ,13,FALSE)+SUM(_xlfn.XLOOKUP(S136:AL136,增益!$A:$A,增益!$M:$M,0))&gt;0,($F$13-$I$4+VLOOKUP($R136,武学奇术!$A:$ZZ,13,FALSE)+SUM(_xlfn.XLOOKUP(S136:AL136,增益!$A:$A,增益!$K:$K,0)))/200,($F$13-$I$4+VLOOKUP($R136,武学奇术!$A:$ZZ,13,FALSE)+SUM(_xlfn.XLOOKUP(S136:AL136,增益!$A:$A,增益!$M:$M,0)))/100)</f>
        <v>-0.14</v>
      </c>
      <c r="BJ136" s="29" cm="1">
        <f t="array" ref="BJ136">$G$13+VLOOKUP($R136,武学奇术!$A:$ZZ,14,FALSE)+SUM(_xlfn.XLOOKUP(S136:AL136,增益!$A:$A,增益!$N:$N,0))</f>
        <v>0.02</v>
      </c>
      <c r="BK136">
        <f t="shared" si="52"/>
        <v>618.2</v>
      </c>
      <c r="BL136">
        <f t="shared" si="53"/>
        <v>1805</v>
      </c>
      <c r="BM136" s="29" cm="1">
        <f t="array" ref="BM136">IF($F$14-$I$4+VLOOKUP($R136,武学奇术!$A:$ZZ,15,FALSE)+SUM(_xlfn.XLOOKUP(S136:AL136,增益!$A:$A,增益!$O:$O,0))&gt;0,($F$14-$I$4+VLOOKUP($R136,武学奇术!$A:$ZZ,15,FALSE)+SUM(_xlfn.XLOOKUP(S136:AL136,增益!$A:$A,增益!$O:$O,0)))/200,($F$14-$I$4+VLOOKUP($R136,武学奇术!$A:$ZZ,15,FALSE)+SUM(_xlfn.XLOOKUP(S136:AL136,增益!$A:$A,增益!$O:$O,0)))/100)</f>
        <v>0.08</v>
      </c>
      <c r="BN136" s="29" cm="1">
        <f t="array" ref="BN136">$G$14+VLOOKUP($R136,武学奇术!$A:$ZZ,16,FALSE)+SUM(_xlfn.XLOOKUP(S136:AL136,增益!$A:$A,增益!$P:$P,0))</f>
        <v>0.17</v>
      </c>
      <c r="BO136" s="23">
        <f>MIN(IF(VLOOKUP($R136,武学奇术!$A:$ZZ,23,FALSE)=1,100%,$B$8),100%)</f>
        <v>0.9943</v>
      </c>
      <c r="BP136" s="23" cm="1">
        <f t="array" ref="BP136">IF(VLOOKUP($R136,武学奇术!$A:$ZZ,23,FALSE)=1,100%,MIN(80%,$B$9+VLOOKUP($R136,武学奇术!$A:$ZZ,17,FALSE)+SUM(_xlfn.XLOOKUP(S136:AL136,增益!$A:$A,增益!$Q:$Q,0)))+$B$11+SUM(_xlfn.XLOOKUP(S136:AL136,增益!$A:$A,增益!$U:$U,0)))*IF(VLOOKUP($R136,武学奇术!$A:$ZZ,24,FALSE)=1,0,1)</f>
        <v>0.887</v>
      </c>
      <c r="BQ136" s="23" cm="1">
        <f t="array" ref="BQ136">1+$B$13+VLOOKUP($R136,武学奇术!$A:$ZZ,18,FALSE)+SUM(_xlfn.XLOOKUP(S136:AL136,增益!$A:$A,增益!$R:$R,0))</f>
        <v>2.144</v>
      </c>
      <c r="BR136" s="23" cm="1">
        <f t="array" ref="BR136">IF(VLOOKUP($R136,武学奇术!$A:$ZZ,24,FALSE)=1,100%,MIN(40%,$B$10+VLOOKUP($R136,武学奇术!$A:$ZZ,19,FALSE)+SUM(_xlfn.XLOOKUP(S136:AL136,增益!$A:$A,增益!$S:$S,0)))+$B$12+SUM(_xlfn.XLOOKUP(S136:AL136,增益!$A:$A,增益!$V:$V,0)))*IF(VLOOKUP($R136,武学奇术!$A:$ZZ,23,FALSE)=1,0,1)</f>
        <v>0.0913</v>
      </c>
      <c r="BS136" s="23" cm="1">
        <f t="array" ref="BS136">1+$B$14+VLOOKUP($R136,武学奇术!$A:$ZZ,20,FALSE)+SUM(_xlfn.XLOOKUP(S136:AL136,增益!$A:$A,增益!$T:$T,0))</f>
        <v>1.35</v>
      </c>
      <c r="BT136" s="23">
        <f t="shared" si="54"/>
        <v>0.8819441</v>
      </c>
      <c r="BU136" s="23">
        <f t="shared" si="55"/>
        <v>0.0215763099999999</v>
      </c>
      <c r="BV136" s="23">
        <f>IF(VLOOKUP($R136,武学奇术!$A:$ZZ,22,FALSE)=1,0,(1-$BO136))*(1-$BR136)</f>
        <v>0.00517958999999993</v>
      </c>
      <c r="BW136" s="23" cm="1">
        <f t="array" ref="BW136">SUM(_xlfn.XLOOKUP(S136:AL136,增益!$A:$A,增益!$W:$W,0))+$I$5</f>
        <v>0.11</v>
      </c>
      <c r="BX136" s="23">
        <f>VLOOKUP($R136,武学奇术!$A:$ZZ,32,FALSE)</f>
        <v>0</v>
      </c>
      <c r="BY136" s="23" cm="1">
        <f t="array" ref="BY136">SUM(_xlfn.XLOOKUP($S136:$AL136,增益!$A:$A,增益!$X:$X,0))</f>
        <v>0</v>
      </c>
    </row>
    <row r="137" spans="11:77">
      <c r="K137" s="35">
        <f>$L137*VLOOKUP($R137,武学奇术!$A:$ZZ,31,FALSE)</f>
        <v>31957.6151318294</v>
      </c>
      <c r="L137" s="35">
        <f t="shared" si="45"/>
        <v>28533.5849391334</v>
      </c>
      <c r="M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轻击",$B$21,0))*(1+IF(VLOOKUP($R137,武学奇术!$A:$ZZ,30,FALSE)="老鼠",$B$22,0))*(1+$BW137)*(1+$BX137)</f>
        <v>29753.8023015013</v>
      </c>
      <c r="N137" s="35">
        <f>(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轻击",$B$21,0))*(1+IF(VLOOKUP($R137,武学奇术!$A:$ZZ,30,FALSE)="老鼠",$B$22,0))*(1+$BW137))*(1+$BX137)</f>
        <v>21142.6266883408</v>
      </c>
      <c r="O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轻击",$B$21,0))*(1+IF(VLOOKUP($R137,武学奇术!$A:$ZZ,30,FALSE)="老鼠",$B$22,0))*(1+$BW137)*(1+$BX137)</f>
        <v>13877.706297342</v>
      </c>
      <c r="P137" s="35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轻击",$B$21,0))*(1+IF(VLOOKUP($R137,武学奇术!$A:$ZZ,30,FALSE)="老鼠",$B$22,0))*(1+$BW137)*(1+$BX137)</f>
        <v>12094.2076403576</v>
      </c>
      <c r="Q137" s="36">
        <v>1</v>
      </c>
      <c r="R137" s="37" t="s">
        <v>139</v>
      </c>
      <c r="S137" s="37" t="s">
        <v>91</v>
      </c>
      <c r="T137" s="37" t="s">
        <v>185</v>
      </c>
      <c r="U137" s="37" t="s">
        <v>112</v>
      </c>
      <c r="V137" s="37" t="s">
        <v>113</v>
      </c>
      <c r="W137" s="37" t="s">
        <v>82</v>
      </c>
      <c r="X137" s="37" t="s">
        <v>81</v>
      </c>
      <c r="Y137" s="37" t="s">
        <v>109</v>
      </c>
      <c r="Z137" s="37" t="s">
        <v>83</v>
      </c>
      <c r="AA137" s="37" t="s">
        <v>84</v>
      </c>
      <c r="AB137" s="37" t="s">
        <v>81</v>
      </c>
      <c r="AC137" s="37" t="s">
        <v>81</v>
      </c>
      <c r="AD137" s="37" t="s">
        <v>85</v>
      </c>
      <c r="AE137" s="37" t="s">
        <v>81</v>
      </c>
      <c r="AF137" s="37" t="s">
        <v>181</v>
      </c>
      <c r="AG137" s="37" t="s">
        <v>87</v>
      </c>
      <c r="AH137" s="37" t="s">
        <v>88</v>
      </c>
      <c r="AI137" s="37" t="s">
        <v>81</v>
      </c>
      <c r="AJ137" s="37" t="s">
        <v>81</v>
      </c>
      <c r="AK137" s="37" t="s">
        <v>81</v>
      </c>
      <c r="AL137" s="37" t="s">
        <v>81</v>
      </c>
      <c r="AM137" t="str">
        <f>VLOOKUP($R137,武学奇术!$A:$ZZ,25,FALSE)</f>
        <v>双刀</v>
      </c>
      <c r="AN137" s="23">
        <f>VLOOKUP($R137,武学奇术!$A:$ZZ,26,FALSE)</f>
        <v>0.6472</v>
      </c>
      <c r="AO137" s="24">
        <f>VLOOKUP($R137,武学奇术!$A:$ZZ,27,FALSE)*(1+IF(OR($AM137=$F$4,$AM137=$F$5),$B$23,0))</f>
        <v>288</v>
      </c>
      <c r="AP137" s="23">
        <f>VLOOKUP($R137,武学奇术!$A:$ZZ,28,FALSE)</f>
        <v>0.9708</v>
      </c>
      <c r="AQ137" s="24">
        <f>VLOOKUP($R137,武学奇术!$A:$ZZ,29,FALSE)*(1+IF(OR($AM137=$F$4,$AM137=$F$5),$B$23,0))</f>
        <v>156.8</v>
      </c>
      <c r="AR137" s="23" cm="1">
        <f t="array" ref="AR137">$G$3+IFERROR(VLOOKUP($AM137,$F$4:$G$7,2,FALSE),0)+VLOOKUP($R137,武学奇术!$A:$ZZ,2,FALSE)+SUM(_xlfn.XLOOKUP($S137:$AL137,增益!$A:$A,增益!$B:$B,0))</f>
        <v>0.8243</v>
      </c>
      <c r="AS137" s="23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4150.4</v>
      </c>
      <c r="AU137" cm="1">
        <f t="array" ref="AU137">$E$10*(1+$AS137)+VLOOKUP($R137,武学奇术!$A:$ZZ,4,FALSE)+SUM(_xlfn.XLOOKUP($S137:$AL137,增益!$A:$A,增益!$D:$D,0))-$I$2</f>
        <v>4150.4</v>
      </c>
      <c r="AV137" s="29" cm="1">
        <f t="array" ref="AV137">IF($F$10-$I$3+VLOOKUP($R137,武学奇术!$A:$ZZ,6,FALSE)+SUM(_xlfn.XLOOKUP(S137:AL137,增益!$A:$A,增益!$F:$F,0))&gt;0,($F$10-$I$3+VLOOKUP($R137,武学奇术!$A:$ZZ,6,FALSE)+SUM(_xlfn.XLOOKUP(S137:AL137,增益!$A:$A,增益!$F:$F,0)))/200,($F$10-$I$3+VLOOKUP($R137,武学奇术!$A:$ZZ,6,FALSE)+SUM(_xlfn.XLOOKUP(S137:AL137,增益!$A:$A,增益!$F:$F,0)))/100)</f>
        <v>0.3289</v>
      </c>
      <c r="AW137" s="29" cm="1">
        <f t="array" ref="AW137">$G$10+VLOOKUP($R137,武学奇术!$A:$ZZ,7,FALSE)+SUM(_xlfn.XLOOKUP(S137:AL137,增益!$A:$A,增益!$G:$G,0))</f>
        <v>0.08</v>
      </c>
      <c r="AX137" s="23" cm="1">
        <f t="array" ref="AX137">VLOOKUP($R137,武学奇术!$A:$ZZ,8,FALSE)+SUM(_xlfn.XLOOKUP(S137:AL137,增益!$A:$A,增益!$H:$H,0))</f>
        <v>0</v>
      </c>
      <c r="AY137">
        <f t="shared" si="46"/>
        <v>0</v>
      </c>
      <c r="AZ137">
        <f t="shared" si="47"/>
        <v>0</v>
      </c>
      <c r="BA137" s="29" cm="1">
        <f t="array" ref="BA137">IF($F$11-$I$4+VLOOKUP($R137,武学奇术!$A:$ZZ,9,FALSE)+SUM(_xlfn.XLOOKUP(S137:AL137,增益!$A:$A,增益!$I:$I,0))&gt;0,($F$11-$I$4+VLOOKUP($R137,武学奇术!$A:$ZZ,9,FALSE)+SUM(_xlfn.XLOOKUP(S137:AL137,增益!$A:$A,增益!$I:$I,0)))/200,($F$11-$I$4+VLOOKUP($R137,武学奇术!$A:$ZZ,9,FALSE)+SUM(_xlfn.XLOOKUP(S137:AL137,增益!$A:$A,增益!$I:$I,0)))/100)</f>
        <v>-0.14</v>
      </c>
      <c r="BB137" s="29" cm="1">
        <f t="array" ref="BB137">$G$11+VLOOKUP($R137,武学奇术!$A:$ZZ,10,FALSE)+SUM(_xlfn.XLOOKUP(S137:AL137,增益!$A:$A,增益!$J:$J,0))</f>
        <v>0.02</v>
      </c>
      <c r="BC137">
        <f t="shared" si="48"/>
        <v>0</v>
      </c>
      <c r="BD137">
        <f t="shared" si="49"/>
        <v>0</v>
      </c>
      <c r="BE137" s="29" cm="1">
        <f t="array" ref="BE137">IF($F$12-$I$4+VLOOKUP($R137,武学奇术!$A:$ZZ,11,FALSE)+SUM(_xlfn.XLOOKUP(S137:AL137,增益!$A:$A,增益!$K:$K,0))&gt;0,($F$12-$I$4+VLOOKUP($R137,武学奇术!$A:$ZZ,11,FALSE)+SUM(_xlfn.XLOOKUP(S137:AL137,增益!$A:$A,增益!$K:$K,0)))/200,($F$12-$I$4+VLOOKUP($R137,武学奇术!$A:$ZZ,11,FALSE)+SUM(_xlfn.XLOOKUP(S137:AL137,增益!$A:$A,增益!$K:$K,0)))/100)</f>
        <v>-0.14</v>
      </c>
      <c r="BF137" s="29" cm="1">
        <f t="array" ref="BF137">$G$12+VLOOKUP($R137,武学奇术!$A:$ZZ,12,FALSE)+SUM(_xlfn.XLOOKUP(S137:AL137,增益!$A:$A,增益!$L:$L,0))</f>
        <v>0.02</v>
      </c>
      <c r="BG137">
        <f t="shared" si="50"/>
        <v>0</v>
      </c>
      <c r="BH137">
        <f t="shared" si="51"/>
        <v>0</v>
      </c>
      <c r="BI137" s="29" cm="1">
        <f t="array" ref="BI137">IF($F$13-$I$4+VLOOKUP($R137,武学奇术!$A:$ZZ,13,FALSE)+SUM(_xlfn.XLOOKUP(S137:AL137,增益!$A:$A,增益!$M:$M,0))&gt;0,($F$13-$I$4+VLOOKUP($R137,武学奇术!$A:$ZZ,13,FALSE)+SUM(_xlfn.XLOOKUP(S137:AL137,增益!$A:$A,增益!$K:$K,0)))/200,($F$13-$I$4+VLOOKUP($R137,武学奇术!$A:$ZZ,13,FALSE)+SUM(_xlfn.XLOOKUP(S137:AL137,增益!$A:$A,增益!$M:$M,0)))/100)</f>
        <v>-0.14</v>
      </c>
      <c r="BJ137" s="29" cm="1">
        <f t="array" ref="BJ137">$G$13+VLOOKUP($R137,武学奇术!$A:$ZZ,14,FALSE)+SUM(_xlfn.XLOOKUP(S137:AL137,增益!$A:$A,增益!$N:$N,0))</f>
        <v>0.02</v>
      </c>
      <c r="BK137">
        <f t="shared" si="52"/>
        <v>618.2</v>
      </c>
      <c r="BL137">
        <f t="shared" si="53"/>
        <v>1805</v>
      </c>
      <c r="BM137" s="29" cm="1">
        <f t="array" ref="BM137">IF($F$14-$I$4+VLOOKUP($R137,武学奇术!$A:$ZZ,15,FALSE)+SUM(_xlfn.XLOOKUP(S137:AL137,增益!$A:$A,增益!$O:$O,0))&gt;0,($F$14-$I$4+VLOOKUP($R137,武学奇术!$A:$ZZ,15,FALSE)+SUM(_xlfn.XLOOKUP(S137:AL137,增益!$A:$A,增益!$O:$O,0)))/200,($F$14-$I$4+VLOOKUP($R137,武学奇术!$A:$ZZ,15,FALSE)+SUM(_xlfn.XLOOKUP(S137:AL137,增益!$A:$A,增益!$O:$O,0)))/100)</f>
        <v>0.13</v>
      </c>
      <c r="BN137" s="29" cm="1">
        <f t="array" ref="BN137">$G$14+VLOOKUP($R137,武学奇术!$A:$ZZ,16,FALSE)+SUM(_xlfn.XLOOKUP(S137:AL137,增益!$A:$A,增益!$P:$P,0))</f>
        <v>0.23</v>
      </c>
      <c r="BO137" s="23">
        <f>MIN(IF(VLOOKUP($R137,武学奇术!$A:$ZZ,23,FALSE)=1,100%,$B$8),100%)</f>
        <v>0.9943</v>
      </c>
      <c r="BP137" s="23" cm="1">
        <f t="array" ref="BP137">IF(VLOOKUP($R137,武学奇术!$A:$ZZ,23,FALSE)=1,100%,MIN(80%,$B$9+VLOOKUP($R137,武学奇术!$A:$ZZ,17,FALSE)+SUM(_xlfn.XLOOKUP(S137:AL137,增益!$A:$A,增益!$Q:$Q,0)))+$B$11+SUM(_xlfn.XLOOKUP(S137:AL137,增益!$A:$A,增益!$U:$U,0)))*IF(VLOOKUP($R137,武学奇术!$A:$ZZ,24,FALSE)=1,0,1)</f>
        <v>0.887</v>
      </c>
      <c r="BQ137" s="23" cm="1">
        <f t="array" ref="BQ137">1+$B$13+VLOOKUP($R137,武学奇术!$A:$ZZ,18,FALSE)+SUM(_xlfn.XLOOKUP(S137:AL137,增益!$A:$A,增益!$R:$R,0))</f>
        <v>2.144</v>
      </c>
      <c r="BR137" s="23" cm="1">
        <f t="array" ref="BR137">IF(VLOOKUP($R137,武学奇术!$A:$ZZ,24,FALSE)=1,100%,MIN(40%,$B$10+VLOOKUP($R137,武学奇术!$A:$ZZ,19,FALSE)+SUM(_xlfn.XLOOKUP(S137:AL137,增益!$A:$A,增益!$S:$S,0)))+$B$12+SUM(_xlfn.XLOOKUP(S137:AL137,增益!$A:$A,增益!$V:$V,0)))*IF(VLOOKUP($R137,武学奇术!$A:$ZZ,23,FALSE)=1,0,1)</f>
        <v>0.0913</v>
      </c>
      <c r="BS137" s="23" cm="1">
        <f t="array" ref="BS137">1+$B$14+VLOOKUP($R137,武学奇术!$A:$ZZ,20,FALSE)+SUM(_xlfn.XLOOKUP(S137:AL137,增益!$A:$A,增益!$T:$T,0))</f>
        <v>1.35</v>
      </c>
      <c r="BT137" s="23">
        <f t="shared" si="54"/>
        <v>0.8819441</v>
      </c>
      <c r="BU137" s="23">
        <f t="shared" si="55"/>
        <v>0.0215763099999999</v>
      </c>
      <c r="BV137" s="23">
        <f>IF(VLOOKUP($R137,武学奇术!$A:$ZZ,22,FALSE)=1,0,(1-$BO137))*(1-$BR137)</f>
        <v>0.00517958999999993</v>
      </c>
      <c r="BW137" s="23" cm="1">
        <f t="array" ref="BW137">SUM(_xlfn.XLOOKUP(S137:AL137,增益!$A:$A,增益!$W:$W,0))+$I$5</f>
        <v>0.11</v>
      </c>
      <c r="BX137" s="23">
        <f>VLOOKUP($R137,武学奇术!$A:$ZZ,32,FALSE)</f>
        <v>0.1</v>
      </c>
      <c r="BY137" s="23" cm="1">
        <f t="array" ref="BY137">SUM(_xlfn.XLOOKUP($S137:$AL137,增益!$A:$A,增益!$X:$X,0))</f>
        <v>0</v>
      </c>
    </row>
    <row r="138" spans="11:77">
      <c r="K138" s="35">
        <f>$L138*VLOOKUP($R138,武学奇术!$A:$ZZ,31,FALSE)</f>
        <v>44484.3491971878</v>
      </c>
      <c r="L138" s="35">
        <f t="shared" si="45"/>
        <v>39718.1689260606</v>
      </c>
      <c r="M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轻击",$B$21,0))*(1+IF(VLOOKUP($R138,武学奇术!$A:$ZZ,30,FALSE)="老鼠",$B$22,0))*(1+$BW138)*(1+$BX138)</f>
        <v>41416.5804027151</v>
      </c>
      <c r="N138" s="35">
        <f>(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轻击",$B$21,0))*(1+IF(VLOOKUP($R138,武学奇术!$A:$ZZ,30,FALSE)="老鼠",$B$22,0))*(1+$BW138))*(1+$BX138)</f>
        <v>29431.1949127973</v>
      </c>
      <c r="O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轻击",$B$21,0))*(1+IF(VLOOKUP($R138,武学奇术!$A:$ZZ,30,FALSE)="老鼠",$B$22,0))*(1+$BW138)*(1+$BX138)</f>
        <v>19317.4348893261</v>
      </c>
      <c r="P138" s="35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轻击",$B$21,0))*(1+IF(VLOOKUP($R138,武学奇术!$A:$ZZ,30,FALSE)="老鼠",$B$22,0))*(1+$BW138)*(1+$BX138)</f>
        <v>16833.9846580616</v>
      </c>
      <c r="Q138" s="36">
        <v>1</v>
      </c>
      <c r="R138" s="37" t="s">
        <v>143</v>
      </c>
      <c r="S138" s="37" t="s">
        <v>91</v>
      </c>
      <c r="T138" s="37" t="s">
        <v>185</v>
      </c>
      <c r="U138" s="37" t="s">
        <v>112</v>
      </c>
      <c r="V138" s="37" t="s">
        <v>113</v>
      </c>
      <c r="W138" s="37" t="s">
        <v>82</v>
      </c>
      <c r="X138" s="37" t="s">
        <v>81</v>
      </c>
      <c r="Y138" s="37" t="s">
        <v>109</v>
      </c>
      <c r="Z138" s="37" t="s">
        <v>83</v>
      </c>
      <c r="AA138" s="37" t="s">
        <v>84</v>
      </c>
      <c r="AB138" s="37" t="s">
        <v>81</v>
      </c>
      <c r="AC138" s="37" t="s">
        <v>81</v>
      </c>
      <c r="AD138" s="37" t="s">
        <v>85</v>
      </c>
      <c r="AE138" s="37" t="s">
        <v>81</v>
      </c>
      <c r="AF138" s="37" t="s">
        <v>181</v>
      </c>
      <c r="AG138" s="37" t="s">
        <v>87</v>
      </c>
      <c r="AH138" s="37" t="s">
        <v>88</v>
      </c>
      <c r="AI138" s="37" t="s">
        <v>81</v>
      </c>
      <c r="AJ138" s="37" t="s">
        <v>81</v>
      </c>
      <c r="AK138" s="37" t="s">
        <v>81</v>
      </c>
      <c r="AL138" s="37" t="s">
        <v>81</v>
      </c>
      <c r="AM138" t="str">
        <f>VLOOKUP($R138,武学奇术!$A:$ZZ,25,FALSE)</f>
        <v>双刀</v>
      </c>
      <c r="AN138" s="23">
        <f>VLOOKUP($R138,武学奇术!$A:$ZZ,26,FALSE)</f>
        <v>0.9012</v>
      </c>
      <c r="AO138" s="24">
        <f>VLOOKUP($R138,武学奇术!$A:$ZZ,27,FALSE)*(1+IF(OR($AM138=$F$4,$AM138=$F$5),$B$23,0))</f>
        <v>400</v>
      </c>
      <c r="AP138" s="23">
        <f>VLOOKUP($R138,武学奇术!$A:$ZZ,28,FALSE)</f>
        <v>1.3518</v>
      </c>
      <c r="AQ138" s="24">
        <f>VLOOKUP($R138,武学奇术!$A:$ZZ,29,FALSE)*(1+IF(OR($AM138=$F$4,$AM138=$F$5),$B$23,0))</f>
        <v>217.6</v>
      </c>
      <c r="AR138" s="23" cm="1">
        <f t="array" ref="AR138">$G$3+IFERROR(VLOOKUP($AM138,$F$4:$G$7,2,FALSE),0)+VLOOKUP($R138,武学奇术!$A:$ZZ,2,FALSE)+SUM(_xlfn.XLOOKUP($S138:$AL138,增益!$A:$A,增益!$B:$B,0))</f>
        <v>0.8243</v>
      </c>
      <c r="AS138" s="23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4150.4</v>
      </c>
      <c r="AU138" cm="1">
        <f t="array" ref="AU138">$E$10*(1+$AS138)+VLOOKUP($R138,武学奇术!$A:$ZZ,4,FALSE)+SUM(_xlfn.XLOOKUP($S138:$AL138,增益!$A:$A,增益!$D:$D,0))-$I$2</f>
        <v>4150.4</v>
      </c>
      <c r="AV138" s="29" cm="1">
        <f t="array" ref="AV138">IF($F$10-$I$3+VLOOKUP($R138,武学奇术!$A:$ZZ,6,FALSE)+SUM(_xlfn.XLOOKUP(S138:AL138,增益!$A:$A,增益!$F:$F,0))&gt;0,($F$10-$I$3+VLOOKUP($R138,武学奇术!$A:$ZZ,6,FALSE)+SUM(_xlfn.XLOOKUP(S138:AL138,增益!$A:$A,增益!$F:$F,0)))/200,($F$10-$I$3+VLOOKUP($R138,武学奇术!$A:$ZZ,6,FALSE)+SUM(_xlfn.XLOOKUP(S138:AL138,增益!$A:$A,增益!$F:$F,0)))/100)</f>
        <v>0.3289</v>
      </c>
      <c r="AW138" s="29" cm="1">
        <f t="array" ref="AW138">$G$10+VLOOKUP($R138,武学奇术!$A:$ZZ,7,FALSE)+SUM(_xlfn.XLOOKUP(S138:AL138,增益!$A:$A,增益!$G:$G,0))</f>
        <v>0.08</v>
      </c>
      <c r="AX138" s="23" cm="1">
        <f t="array" ref="AX138">VLOOKUP($R138,武学奇术!$A:$ZZ,8,FALSE)+SUM(_xlfn.XLOOKUP(S138:AL138,增益!$A:$A,增益!$H:$H,0))</f>
        <v>0</v>
      </c>
      <c r="AY138">
        <f t="shared" si="46"/>
        <v>0</v>
      </c>
      <c r="AZ138">
        <f t="shared" si="47"/>
        <v>0</v>
      </c>
      <c r="BA138" s="29" cm="1">
        <f t="array" ref="BA138">IF($F$11-$I$4+VLOOKUP($R138,武学奇术!$A:$ZZ,9,FALSE)+SUM(_xlfn.XLOOKUP(S138:AL138,增益!$A:$A,增益!$I:$I,0))&gt;0,($F$11-$I$4+VLOOKUP($R138,武学奇术!$A:$ZZ,9,FALSE)+SUM(_xlfn.XLOOKUP(S138:AL138,增益!$A:$A,增益!$I:$I,0)))/200,($F$11-$I$4+VLOOKUP($R138,武学奇术!$A:$ZZ,9,FALSE)+SUM(_xlfn.XLOOKUP(S138:AL138,增益!$A:$A,增益!$I:$I,0)))/100)</f>
        <v>-0.14</v>
      </c>
      <c r="BB138" s="29" cm="1">
        <f t="array" ref="BB138">$G$11+VLOOKUP($R138,武学奇术!$A:$ZZ,10,FALSE)+SUM(_xlfn.XLOOKUP(S138:AL138,增益!$A:$A,增益!$J:$J,0))</f>
        <v>0.02</v>
      </c>
      <c r="BC138">
        <f t="shared" si="48"/>
        <v>0</v>
      </c>
      <c r="BD138">
        <f t="shared" si="49"/>
        <v>0</v>
      </c>
      <c r="BE138" s="29" cm="1">
        <f t="array" ref="BE138">IF($F$12-$I$4+VLOOKUP($R138,武学奇术!$A:$ZZ,11,FALSE)+SUM(_xlfn.XLOOKUP(S138:AL138,增益!$A:$A,增益!$K:$K,0))&gt;0,($F$12-$I$4+VLOOKUP($R138,武学奇术!$A:$ZZ,11,FALSE)+SUM(_xlfn.XLOOKUP(S138:AL138,增益!$A:$A,增益!$K:$K,0)))/200,($F$12-$I$4+VLOOKUP($R138,武学奇术!$A:$ZZ,11,FALSE)+SUM(_xlfn.XLOOKUP(S138:AL138,增益!$A:$A,增益!$K:$K,0)))/100)</f>
        <v>-0.14</v>
      </c>
      <c r="BF138" s="29" cm="1">
        <f t="array" ref="BF138">$G$12+VLOOKUP($R138,武学奇术!$A:$ZZ,12,FALSE)+SUM(_xlfn.XLOOKUP(S138:AL138,增益!$A:$A,增益!$L:$L,0))</f>
        <v>0.02</v>
      </c>
      <c r="BG138">
        <f t="shared" si="50"/>
        <v>0</v>
      </c>
      <c r="BH138">
        <f t="shared" si="51"/>
        <v>0</v>
      </c>
      <c r="BI138" s="29" cm="1">
        <f t="array" ref="BI138">IF($F$13-$I$4+VLOOKUP($R138,武学奇术!$A:$ZZ,13,FALSE)+SUM(_xlfn.XLOOKUP(S138:AL138,增益!$A:$A,增益!$M:$M,0))&gt;0,($F$13-$I$4+VLOOKUP($R138,武学奇术!$A:$ZZ,13,FALSE)+SUM(_xlfn.XLOOKUP(S138:AL138,增益!$A:$A,增益!$K:$K,0)))/200,($F$13-$I$4+VLOOKUP($R138,武学奇术!$A:$ZZ,13,FALSE)+SUM(_xlfn.XLOOKUP(S138:AL138,增益!$A:$A,增益!$M:$M,0)))/100)</f>
        <v>-0.14</v>
      </c>
      <c r="BJ138" s="29" cm="1">
        <f t="array" ref="BJ138">$G$13+VLOOKUP($R138,武学奇术!$A:$ZZ,14,FALSE)+SUM(_xlfn.XLOOKUP(S138:AL138,增益!$A:$A,增益!$N:$N,0))</f>
        <v>0.02</v>
      </c>
      <c r="BK138">
        <f t="shared" si="52"/>
        <v>618.2</v>
      </c>
      <c r="BL138">
        <f t="shared" si="53"/>
        <v>1805</v>
      </c>
      <c r="BM138" s="29" cm="1">
        <f t="array" ref="BM138">IF($F$14-$I$4+VLOOKUP($R138,武学奇术!$A:$ZZ,15,FALSE)+SUM(_xlfn.XLOOKUP(S138:AL138,增益!$A:$A,增益!$O:$O,0))&gt;0,($F$14-$I$4+VLOOKUP($R138,武学奇术!$A:$ZZ,15,FALSE)+SUM(_xlfn.XLOOKUP(S138:AL138,增益!$A:$A,增益!$O:$O,0)))/200,($F$14-$I$4+VLOOKUP($R138,武学奇术!$A:$ZZ,15,FALSE)+SUM(_xlfn.XLOOKUP(S138:AL138,增益!$A:$A,增益!$O:$O,0)))/100)</f>
        <v>0.13</v>
      </c>
      <c r="BN138" s="29" cm="1">
        <f t="array" ref="BN138">$G$14+VLOOKUP($R138,武学奇术!$A:$ZZ,16,FALSE)+SUM(_xlfn.XLOOKUP(S138:AL138,增益!$A:$A,增益!$P:$P,0))</f>
        <v>0.23</v>
      </c>
      <c r="BO138" s="23">
        <f>MIN(IF(VLOOKUP($R138,武学奇术!$A:$ZZ,23,FALSE)=1,100%,$B$8),100%)</f>
        <v>0.9943</v>
      </c>
      <c r="BP138" s="23" cm="1">
        <f t="array" ref="BP138">IF(VLOOKUP($R138,武学奇术!$A:$ZZ,23,FALSE)=1,100%,MIN(80%,$B$9+VLOOKUP($R138,武学奇术!$A:$ZZ,17,FALSE)+SUM(_xlfn.XLOOKUP(S138:AL138,增益!$A:$A,增益!$Q:$Q,0)))+$B$11+SUM(_xlfn.XLOOKUP(S138:AL138,增益!$A:$A,增益!$U:$U,0)))*IF(VLOOKUP($R138,武学奇术!$A:$ZZ,24,FALSE)=1,0,1)</f>
        <v>0.887</v>
      </c>
      <c r="BQ138" s="23" cm="1">
        <f t="array" ref="BQ138">1+$B$13+VLOOKUP($R138,武学奇术!$A:$ZZ,18,FALSE)+SUM(_xlfn.XLOOKUP(S138:AL138,增益!$A:$A,增益!$R:$R,0))</f>
        <v>2.144</v>
      </c>
      <c r="BR138" s="23" cm="1">
        <f t="array" ref="BR138">IF(VLOOKUP($R138,武学奇术!$A:$ZZ,24,FALSE)=1,100%,MIN(40%,$B$10+VLOOKUP($R138,武学奇术!$A:$ZZ,19,FALSE)+SUM(_xlfn.XLOOKUP(S138:AL138,增益!$A:$A,增益!$S:$S,0)))+$B$12+SUM(_xlfn.XLOOKUP(S138:AL138,增益!$A:$A,增益!$V:$V,0)))*IF(VLOOKUP($R138,武学奇术!$A:$ZZ,23,FALSE)=1,0,1)</f>
        <v>0.0913</v>
      </c>
      <c r="BS138" s="23" cm="1">
        <f t="array" ref="BS138">1+$B$14+VLOOKUP($R138,武学奇术!$A:$ZZ,20,FALSE)+SUM(_xlfn.XLOOKUP(S138:AL138,增益!$A:$A,增益!$T:$T,0))</f>
        <v>1.35</v>
      </c>
      <c r="BT138" s="23">
        <f t="shared" si="54"/>
        <v>0.8819441</v>
      </c>
      <c r="BU138" s="23">
        <f t="shared" si="55"/>
        <v>0.0215763099999999</v>
      </c>
      <c r="BV138" s="23">
        <f>IF(VLOOKUP($R138,武学奇术!$A:$ZZ,22,FALSE)=1,0,(1-$BO138))*(1-$BR138)</f>
        <v>0.00517958999999993</v>
      </c>
      <c r="BW138" s="23" cm="1">
        <f t="array" ref="BW138">SUM(_xlfn.XLOOKUP(S138:AL138,增益!$A:$A,增益!$W:$W,0))+$I$5</f>
        <v>0.11</v>
      </c>
      <c r="BX138" s="23">
        <f>VLOOKUP($R138,武学奇术!$A:$ZZ,32,FALSE)</f>
        <v>0.1</v>
      </c>
      <c r="BY138" s="23" cm="1">
        <f t="array" ref="BY138">SUM(_xlfn.XLOOKUP($S138:$AL138,增益!$A:$A,增益!$X:$X,0))</f>
        <v>0</v>
      </c>
    </row>
    <row r="139" spans="11:77">
      <c r="K139" s="35">
        <f>$L139*VLOOKUP($R139,武学奇术!$A:$ZZ,31,FALSE)</f>
        <v>71349.8110824783</v>
      </c>
      <c r="L139" s="35">
        <f t="shared" si="45"/>
        <v>63705.1884664985</v>
      </c>
      <c r="M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轻击",$B$21,0))*(1+IF(VLOOKUP($R139,武学奇术!$A:$ZZ,30,FALSE)="老鼠",$B$22,0))*(1+$BW139)*(1+$BX139)</f>
        <v>66429.2984084243</v>
      </c>
      <c r="N139" s="35">
        <f>(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轻击",$B$21,0))*(1+IF(VLOOKUP($R139,武学奇术!$A:$ZZ,30,FALSE)="老鼠",$B$22,0))*(1+$BW139))*(1+$BX139)</f>
        <v>47205.8445274422</v>
      </c>
      <c r="O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轻击",$B$21,0))*(1+IF(VLOOKUP($R139,武学奇术!$A:$ZZ,30,FALSE)="老鼠",$B$22,0))*(1+$BW139)*(1+$BX139)</f>
        <v>30983.8145561681</v>
      </c>
      <c r="P139" s="35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轻击",$B$21,0))*(1+IF(VLOOKUP($R139,武学奇术!$A:$ZZ,30,FALSE)="老鼠",$B$22,0))*(1+$BW139)*(1+$BX139)</f>
        <v>27000.3368697863</v>
      </c>
      <c r="Q139" s="36">
        <v>1</v>
      </c>
      <c r="R139" s="37" t="s">
        <v>148</v>
      </c>
      <c r="S139" s="37" t="s">
        <v>91</v>
      </c>
      <c r="T139" s="37" t="s">
        <v>185</v>
      </c>
      <c r="U139" s="37" t="s">
        <v>112</v>
      </c>
      <c r="V139" s="37" t="s">
        <v>113</v>
      </c>
      <c r="W139" s="37" t="s">
        <v>82</v>
      </c>
      <c r="X139" s="37" t="s">
        <v>81</v>
      </c>
      <c r="Y139" s="37" t="s">
        <v>109</v>
      </c>
      <c r="Z139" s="37" t="s">
        <v>83</v>
      </c>
      <c r="AA139" s="37" t="s">
        <v>84</v>
      </c>
      <c r="AB139" s="37" t="s">
        <v>81</v>
      </c>
      <c r="AC139" s="37" t="s">
        <v>81</v>
      </c>
      <c r="AD139" s="37" t="s">
        <v>85</v>
      </c>
      <c r="AE139" s="37" t="s">
        <v>81</v>
      </c>
      <c r="AF139" s="37" t="s">
        <v>181</v>
      </c>
      <c r="AG139" s="37" t="s">
        <v>87</v>
      </c>
      <c r="AH139" s="37" t="s">
        <v>88</v>
      </c>
      <c r="AI139" s="37" t="s">
        <v>81</v>
      </c>
      <c r="AJ139" s="37" t="s">
        <v>81</v>
      </c>
      <c r="AK139" s="37" t="s">
        <v>81</v>
      </c>
      <c r="AL139" s="37" t="s">
        <v>81</v>
      </c>
      <c r="AM139" t="str">
        <f>VLOOKUP($R139,武学奇术!$A:$ZZ,25,FALSE)</f>
        <v>双刀</v>
      </c>
      <c r="AN139" s="23">
        <f>VLOOKUP($R139,武学奇术!$A:$ZZ,26,FALSE)</f>
        <v>1.4455</v>
      </c>
      <c r="AO139" s="24">
        <f>VLOOKUP($R139,武学奇术!$A:$ZZ,27,FALSE)*(1+IF(OR($AM139=$F$4,$AM139=$F$5),$B$23,0))</f>
        <v>641.6</v>
      </c>
      <c r="AP139" s="23">
        <f>VLOOKUP($R139,武学奇术!$A:$ZZ,28,FALSE)</f>
        <v>2.1683</v>
      </c>
      <c r="AQ139" s="24">
        <f>VLOOKUP($R139,武学奇术!$A:$ZZ,29,FALSE)*(1+IF(OR($AM139=$F$4,$AM139=$F$5),$B$23,0))</f>
        <v>348.8</v>
      </c>
      <c r="AR139" s="23" cm="1">
        <f t="array" ref="AR139">$G$3+IFERROR(VLOOKUP($AM139,$F$4:$G$7,2,FALSE),0)+VLOOKUP($R139,武学奇术!$A:$ZZ,2,FALSE)+SUM(_xlfn.XLOOKUP($S139:$AL139,增益!$A:$A,增益!$B:$B,0))</f>
        <v>0.8243</v>
      </c>
      <c r="AS139" s="23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4150.4</v>
      </c>
      <c r="AU139" cm="1">
        <f t="array" ref="AU139">$E$10*(1+$AS139)+VLOOKUP($R139,武学奇术!$A:$ZZ,4,FALSE)+SUM(_xlfn.XLOOKUP($S139:$AL139,增益!$A:$A,增益!$D:$D,0))-$I$2</f>
        <v>4150.4</v>
      </c>
      <c r="AV139" s="29" cm="1">
        <f t="array" ref="AV139">IF($F$10-$I$3+VLOOKUP($R139,武学奇术!$A:$ZZ,6,FALSE)+SUM(_xlfn.XLOOKUP(S139:AL139,增益!$A:$A,增益!$F:$F,0))&gt;0,($F$10-$I$3+VLOOKUP($R139,武学奇术!$A:$ZZ,6,FALSE)+SUM(_xlfn.XLOOKUP(S139:AL139,增益!$A:$A,增益!$F:$F,0)))/200,($F$10-$I$3+VLOOKUP($R139,武学奇术!$A:$ZZ,6,FALSE)+SUM(_xlfn.XLOOKUP(S139:AL139,增益!$A:$A,增益!$F:$F,0)))/100)</f>
        <v>0.3289</v>
      </c>
      <c r="AW139" s="29" cm="1">
        <f t="array" ref="AW139">$G$10+VLOOKUP($R139,武学奇术!$A:$ZZ,7,FALSE)+SUM(_xlfn.XLOOKUP(S139:AL139,增益!$A:$A,增益!$G:$G,0))</f>
        <v>0.08</v>
      </c>
      <c r="AX139" s="23" cm="1">
        <f t="array" ref="AX139">VLOOKUP($R139,武学奇术!$A:$ZZ,8,FALSE)+SUM(_xlfn.XLOOKUP(S139:AL139,增益!$A:$A,增益!$H:$H,0))</f>
        <v>0</v>
      </c>
      <c r="AY139">
        <f t="shared" si="46"/>
        <v>0</v>
      </c>
      <c r="AZ139">
        <f t="shared" si="47"/>
        <v>0</v>
      </c>
      <c r="BA139" s="29" cm="1">
        <f t="array" ref="BA139">IF($F$11-$I$4+VLOOKUP($R139,武学奇术!$A:$ZZ,9,FALSE)+SUM(_xlfn.XLOOKUP(S139:AL139,增益!$A:$A,增益!$I:$I,0))&gt;0,($F$11-$I$4+VLOOKUP($R139,武学奇术!$A:$ZZ,9,FALSE)+SUM(_xlfn.XLOOKUP(S139:AL139,增益!$A:$A,增益!$I:$I,0)))/200,($F$11-$I$4+VLOOKUP($R139,武学奇术!$A:$ZZ,9,FALSE)+SUM(_xlfn.XLOOKUP(S139:AL139,增益!$A:$A,增益!$I:$I,0)))/100)</f>
        <v>-0.14</v>
      </c>
      <c r="BB139" s="29" cm="1">
        <f t="array" ref="BB139">$G$11+VLOOKUP($R139,武学奇术!$A:$ZZ,10,FALSE)+SUM(_xlfn.XLOOKUP(S139:AL139,增益!$A:$A,增益!$J:$J,0))</f>
        <v>0.02</v>
      </c>
      <c r="BC139">
        <f t="shared" si="48"/>
        <v>0</v>
      </c>
      <c r="BD139">
        <f t="shared" si="49"/>
        <v>0</v>
      </c>
      <c r="BE139" s="29" cm="1">
        <f t="array" ref="BE139">IF($F$12-$I$4+VLOOKUP($R139,武学奇术!$A:$ZZ,11,FALSE)+SUM(_xlfn.XLOOKUP(S139:AL139,增益!$A:$A,增益!$K:$K,0))&gt;0,($F$12-$I$4+VLOOKUP($R139,武学奇术!$A:$ZZ,11,FALSE)+SUM(_xlfn.XLOOKUP(S139:AL139,增益!$A:$A,增益!$K:$K,0)))/200,($F$12-$I$4+VLOOKUP($R139,武学奇术!$A:$ZZ,11,FALSE)+SUM(_xlfn.XLOOKUP(S139:AL139,增益!$A:$A,增益!$K:$K,0)))/100)</f>
        <v>-0.14</v>
      </c>
      <c r="BF139" s="29" cm="1">
        <f t="array" ref="BF139">$G$12+VLOOKUP($R139,武学奇术!$A:$ZZ,12,FALSE)+SUM(_xlfn.XLOOKUP(S139:AL139,增益!$A:$A,增益!$L:$L,0))</f>
        <v>0.02</v>
      </c>
      <c r="BG139">
        <f t="shared" si="50"/>
        <v>0</v>
      </c>
      <c r="BH139">
        <f t="shared" si="51"/>
        <v>0</v>
      </c>
      <c r="BI139" s="29" cm="1">
        <f t="array" ref="BI139">IF($F$13-$I$4+VLOOKUP($R139,武学奇术!$A:$ZZ,13,FALSE)+SUM(_xlfn.XLOOKUP(S139:AL139,增益!$A:$A,增益!$M:$M,0))&gt;0,($F$13-$I$4+VLOOKUP($R139,武学奇术!$A:$ZZ,13,FALSE)+SUM(_xlfn.XLOOKUP(S139:AL139,增益!$A:$A,增益!$K:$K,0)))/200,($F$13-$I$4+VLOOKUP($R139,武学奇术!$A:$ZZ,13,FALSE)+SUM(_xlfn.XLOOKUP(S139:AL139,增益!$A:$A,增益!$M:$M,0)))/100)</f>
        <v>-0.14</v>
      </c>
      <c r="BJ139" s="29" cm="1">
        <f t="array" ref="BJ139">$G$13+VLOOKUP($R139,武学奇术!$A:$ZZ,14,FALSE)+SUM(_xlfn.XLOOKUP(S139:AL139,增益!$A:$A,增益!$N:$N,0))</f>
        <v>0.02</v>
      </c>
      <c r="BK139">
        <f t="shared" si="52"/>
        <v>618.2</v>
      </c>
      <c r="BL139">
        <f t="shared" si="53"/>
        <v>1805</v>
      </c>
      <c r="BM139" s="29" cm="1">
        <f t="array" ref="BM139">IF($F$14-$I$4+VLOOKUP($R139,武学奇术!$A:$ZZ,15,FALSE)+SUM(_xlfn.XLOOKUP(S139:AL139,增益!$A:$A,增益!$O:$O,0))&gt;0,($F$14-$I$4+VLOOKUP($R139,武学奇术!$A:$ZZ,15,FALSE)+SUM(_xlfn.XLOOKUP(S139:AL139,增益!$A:$A,增益!$O:$O,0)))/200,($F$14-$I$4+VLOOKUP($R139,武学奇术!$A:$ZZ,15,FALSE)+SUM(_xlfn.XLOOKUP(S139:AL139,增益!$A:$A,增益!$O:$O,0)))/100)</f>
        <v>0.13</v>
      </c>
      <c r="BN139" s="29" cm="1">
        <f t="array" ref="BN139">$G$14+VLOOKUP($R139,武学奇术!$A:$ZZ,16,FALSE)+SUM(_xlfn.XLOOKUP(S139:AL139,增益!$A:$A,增益!$P:$P,0))</f>
        <v>0.23</v>
      </c>
      <c r="BO139" s="23">
        <f>MIN(IF(VLOOKUP($R139,武学奇术!$A:$ZZ,23,FALSE)=1,100%,$B$8),100%)</f>
        <v>0.9943</v>
      </c>
      <c r="BP139" s="23" cm="1">
        <f t="array" ref="BP139">IF(VLOOKUP($R139,武学奇术!$A:$ZZ,23,FALSE)=1,100%,MIN(80%,$B$9+VLOOKUP($R139,武学奇术!$A:$ZZ,17,FALSE)+SUM(_xlfn.XLOOKUP(S139:AL139,增益!$A:$A,增益!$Q:$Q,0)))+$B$11+SUM(_xlfn.XLOOKUP(S139:AL139,增益!$A:$A,增益!$U:$U,0)))*IF(VLOOKUP($R139,武学奇术!$A:$ZZ,24,FALSE)=1,0,1)</f>
        <v>0.887</v>
      </c>
      <c r="BQ139" s="23" cm="1">
        <f t="array" ref="BQ139">1+$B$13+VLOOKUP($R139,武学奇术!$A:$ZZ,18,FALSE)+SUM(_xlfn.XLOOKUP(S139:AL139,增益!$A:$A,增益!$R:$R,0))</f>
        <v>2.144</v>
      </c>
      <c r="BR139" s="23" cm="1">
        <f t="array" ref="BR139">IF(VLOOKUP($R139,武学奇术!$A:$ZZ,24,FALSE)=1,100%,MIN(40%,$B$10+VLOOKUP($R139,武学奇术!$A:$ZZ,19,FALSE)+SUM(_xlfn.XLOOKUP(S139:AL139,增益!$A:$A,增益!$S:$S,0)))+$B$12+SUM(_xlfn.XLOOKUP(S139:AL139,增益!$A:$A,增益!$V:$V,0)))*IF(VLOOKUP($R139,武学奇术!$A:$ZZ,23,FALSE)=1,0,1)</f>
        <v>0.0913</v>
      </c>
      <c r="BS139" s="23" cm="1">
        <f t="array" ref="BS139">1+$B$14+VLOOKUP($R139,武学奇术!$A:$ZZ,20,FALSE)+SUM(_xlfn.XLOOKUP(S139:AL139,增益!$A:$A,增益!$T:$T,0))</f>
        <v>1.35</v>
      </c>
      <c r="BT139" s="23">
        <f t="shared" si="54"/>
        <v>0.8819441</v>
      </c>
      <c r="BU139" s="23">
        <f t="shared" si="55"/>
        <v>0.0215763099999999</v>
      </c>
      <c r="BV139" s="23">
        <f>IF(VLOOKUP($R139,武学奇术!$A:$ZZ,22,FALSE)=1,0,(1-$BO139))*(1-$BR139)</f>
        <v>0.00517958999999993</v>
      </c>
      <c r="BW139" s="23" cm="1">
        <f t="array" ref="BW139">SUM(_xlfn.XLOOKUP(S139:AL139,增益!$A:$A,增益!$W:$W,0))+$I$5</f>
        <v>0.11</v>
      </c>
      <c r="BX139" s="23">
        <f>VLOOKUP($R139,武学奇术!$A:$ZZ,32,FALSE)</f>
        <v>0.1</v>
      </c>
      <c r="BY139" s="23" cm="1">
        <f t="array" ref="BY139">SUM(_xlfn.XLOOKUP($S139:$AL139,增益!$A:$A,增益!$X:$X,0))</f>
        <v>0</v>
      </c>
    </row>
    <row r="140" spans="11:77">
      <c r="K140" s="35">
        <f>$L140*VLOOKUP($R140,武学奇术!$A:$ZZ,31,FALSE)</f>
        <v>85675.9652208345</v>
      </c>
      <c r="L140" s="35">
        <f t="shared" si="45"/>
        <v>76496.3975186022</v>
      </c>
      <c r="M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轻击",$B$21,0))*(1+IF(VLOOKUP($R140,武学奇术!$A:$ZZ,30,FALSE)="老鼠",$B$22,0))*(1+$BW140)*(1+$BX140)</f>
        <v>79767.4674656283</v>
      </c>
      <c r="N140" s="35">
        <f>(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轻击",$B$21,0))*(1+IF(VLOOKUP($R140,武学奇术!$A:$ZZ,30,FALSE)="老鼠",$B$22,0))*(1+$BW140))*(1+$BX140)</f>
        <v>56684.2662223962</v>
      </c>
      <c r="O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轻击",$B$21,0))*(1+IF(VLOOKUP($R140,武学奇术!$A:$ZZ,30,FALSE)="老鼠",$B$22,0))*(1+$BW140)*(1+$BX140)</f>
        <v>37204.9754970281</v>
      </c>
      <c r="P140" s="35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轻击",$B$21,0))*(1+IF(VLOOKUP($R140,武学奇术!$A:$ZZ,30,FALSE)="老鼠",$B$22,0))*(1+$BW140)*(1+$BX140)</f>
        <v>32421.6056441332</v>
      </c>
      <c r="Q140" s="36">
        <v>1</v>
      </c>
      <c r="R140" s="37" t="s">
        <v>153</v>
      </c>
      <c r="S140" s="37" t="s">
        <v>91</v>
      </c>
      <c r="T140" s="37" t="s">
        <v>185</v>
      </c>
      <c r="U140" s="37" t="s">
        <v>112</v>
      </c>
      <c r="V140" s="37" t="s">
        <v>113</v>
      </c>
      <c r="W140" s="37" t="s">
        <v>82</v>
      </c>
      <c r="X140" s="37" t="s">
        <v>81</v>
      </c>
      <c r="Y140" s="37" t="s">
        <v>109</v>
      </c>
      <c r="Z140" s="37" t="s">
        <v>83</v>
      </c>
      <c r="AA140" s="37" t="s">
        <v>84</v>
      </c>
      <c r="AB140" s="37" t="s">
        <v>81</v>
      </c>
      <c r="AC140" s="37" t="s">
        <v>81</v>
      </c>
      <c r="AD140" s="37" t="s">
        <v>85</v>
      </c>
      <c r="AE140" s="37" t="s">
        <v>81</v>
      </c>
      <c r="AF140" s="37" t="s">
        <v>181</v>
      </c>
      <c r="AG140" s="37" t="s">
        <v>87</v>
      </c>
      <c r="AH140" s="37" t="s">
        <v>88</v>
      </c>
      <c r="AI140" s="37" t="s">
        <v>81</v>
      </c>
      <c r="AJ140" s="37" t="s">
        <v>81</v>
      </c>
      <c r="AK140" s="37" t="s">
        <v>81</v>
      </c>
      <c r="AL140" s="37" t="s">
        <v>81</v>
      </c>
      <c r="AM140" t="str">
        <f>VLOOKUP($R140,武学奇术!$A:$ZZ,25,FALSE)</f>
        <v>双刀</v>
      </c>
      <c r="AN140" s="23">
        <f>VLOOKUP($R140,武学奇术!$A:$ZZ,26,FALSE)</f>
        <v>1.7358</v>
      </c>
      <c r="AO140" s="24">
        <f>VLOOKUP($R140,武学奇术!$A:$ZZ,27,FALSE)*(1+IF(OR($AM140=$F$4,$AM140=$F$5),$B$23,0))</f>
        <v>769.6</v>
      </c>
      <c r="AP140" s="23">
        <f>VLOOKUP($R140,武学奇术!$A:$ZZ,28,FALSE)</f>
        <v>2.6037</v>
      </c>
      <c r="AQ140" s="24">
        <f>VLOOKUP($R140,武学奇术!$A:$ZZ,29,FALSE)*(1+IF(OR($AM140=$F$4,$AM140=$F$5),$B$23,0))</f>
        <v>419.2</v>
      </c>
      <c r="AR140" s="23" cm="1">
        <f t="array" ref="AR140">$G$3+IFERROR(VLOOKUP($AM140,$F$4:$G$7,2,FALSE),0)+VLOOKUP($R140,武学奇术!$A:$ZZ,2,FALSE)+SUM(_xlfn.XLOOKUP($S140:$AL140,增益!$A:$A,增益!$B:$B,0))</f>
        <v>0.8243</v>
      </c>
      <c r="AS140" s="23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4150.4</v>
      </c>
      <c r="AU140" cm="1">
        <f t="array" ref="AU140">$E$10*(1+$AS140)+VLOOKUP($R140,武学奇术!$A:$ZZ,4,FALSE)+SUM(_xlfn.XLOOKUP($S140:$AL140,增益!$A:$A,增益!$D:$D,0))-$I$2</f>
        <v>4150.4</v>
      </c>
      <c r="AV140" s="29" cm="1">
        <f t="array" ref="AV140">IF($F$10-$I$3+VLOOKUP($R140,武学奇术!$A:$ZZ,6,FALSE)+SUM(_xlfn.XLOOKUP(S140:AL140,增益!$A:$A,增益!$F:$F,0))&gt;0,($F$10-$I$3+VLOOKUP($R140,武学奇术!$A:$ZZ,6,FALSE)+SUM(_xlfn.XLOOKUP(S140:AL140,增益!$A:$A,增益!$F:$F,0)))/200,($F$10-$I$3+VLOOKUP($R140,武学奇术!$A:$ZZ,6,FALSE)+SUM(_xlfn.XLOOKUP(S140:AL140,增益!$A:$A,增益!$F:$F,0)))/100)</f>
        <v>0.3289</v>
      </c>
      <c r="AW140" s="29" cm="1">
        <f t="array" ref="AW140">$G$10+VLOOKUP($R140,武学奇术!$A:$ZZ,7,FALSE)+SUM(_xlfn.XLOOKUP(S140:AL140,增益!$A:$A,增益!$G:$G,0))</f>
        <v>0.08</v>
      </c>
      <c r="AX140" s="23" cm="1">
        <f t="array" ref="AX140">VLOOKUP($R140,武学奇术!$A:$ZZ,8,FALSE)+SUM(_xlfn.XLOOKUP(S140:AL140,增益!$A:$A,增益!$H:$H,0))</f>
        <v>0</v>
      </c>
      <c r="AY140">
        <f t="shared" si="46"/>
        <v>0</v>
      </c>
      <c r="AZ140">
        <f t="shared" si="47"/>
        <v>0</v>
      </c>
      <c r="BA140" s="29" cm="1">
        <f t="array" ref="BA140">IF($F$11-$I$4+VLOOKUP($R140,武学奇术!$A:$ZZ,9,FALSE)+SUM(_xlfn.XLOOKUP(S140:AL140,增益!$A:$A,增益!$I:$I,0))&gt;0,($F$11-$I$4+VLOOKUP($R140,武学奇术!$A:$ZZ,9,FALSE)+SUM(_xlfn.XLOOKUP(S140:AL140,增益!$A:$A,增益!$I:$I,0)))/200,($F$11-$I$4+VLOOKUP($R140,武学奇术!$A:$ZZ,9,FALSE)+SUM(_xlfn.XLOOKUP(S140:AL140,增益!$A:$A,增益!$I:$I,0)))/100)</f>
        <v>-0.14</v>
      </c>
      <c r="BB140" s="29" cm="1">
        <f t="array" ref="BB140">$G$11+VLOOKUP($R140,武学奇术!$A:$ZZ,10,FALSE)+SUM(_xlfn.XLOOKUP(S140:AL140,增益!$A:$A,增益!$J:$J,0))</f>
        <v>0.02</v>
      </c>
      <c r="BC140">
        <f t="shared" si="48"/>
        <v>0</v>
      </c>
      <c r="BD140">
        <f t="shared" si="49"/>
        <v>0</v>
      </c>
      <c r="BE140" s="29" cm="1">
        <f t="array" ref="BE140">IF($F$12-$I$4+VLOOKUP($R140,武学奇术!$A:$ZZ,11,FALSE)+SUM(_xlfn.XLOOKUP(S140:AL140,增益!$A:$A,增益!$K:$K,0))&gt;0,($F$12-$I$4+VLOOKUP($R140,武学奇术!$A:$ZZ,11,FALSE)+SUM(_xlfn.XLOOKUP(S140:AL140,增益!$A:$A,增益!$K:$K,0)))/200,($F$12-$I$4+VLOOKUP($R140,武学奇术!$A:$ZZ,11,FALSE)+SUM(_xlfn.XLOOKUP(S140:AL140,增益!$A:$A,增益!$K:$K,0)))/100)</f>
        <v>-0.14</v>
      </c>
      <c r="BF140" s="29" cm="1">
        <f t="array" ref="BF140">$G$12+VLOOKUP($R140,武学奇术!$A:$ZZ,12,FALSE)+SUM(_xlfn.XLOOKUP(S140:AL140,增益!$A:$A,增益!$L:$L,0))</f>
        <v>0.02</v>
      </c>
      <c r="BG140">
        <f t="shared" si="50"/>
        <v>0</v>
      </c>
      <c r="BH140">
        <f t="shared" si="51"/>
        <v>0</v>
      </c>
      <c r="BI140" s="29" cm="1">
        <f t="array" ref="BI140">IF($F$13-$I$4+VLOOKUP($R140,武学奇术!$A:$ZZ,13,FALSE)+SUM(_xlfn.XLOOKUP(S140:AL140,增益!$A:$A,增益!$M:$M,0))&gt;0,($F$13-$I$4+VLOOKUP($R140,武学奇术!$A:$ZZ,13,FALSE)+SUM(_xlfn.XLOOKUP(S140:AL140,增益!$A:$A,增益!$K:$K,0)))/200,($F$13-$I$4+VLOOKUP($R140,武学奇术!$A:$ZZ,13,FALSE)+SUM(_xlfn.XLOOKUP(S140:AL140,增益!$A:$A,增益!$M:$M,0)))/100)</f>
        <v>-0.14</v>
      </c>
      <c r="BJ140" s="29" cm="1">
        <f t="array" ref="BJ140">$G$13+VLOOKUP($R140,武学奇术!$A:$ZZ,14,FALSE)+SUM(_xlfn.XLOOKUP(S140:AL140,增益!$A:$A,增益!$N:$N,0))</f>
        <v>0.02</v>
      </c>
      <c r="BK140">
        <f t="shared" si="52"/>
        <v>618.2</v>
      </c>
      <c r="BL140">
        <f t="shared" si="53"/>
        <v>1805</v>
      </c>
      <c r="BM140" s="29" cm="1">
        <f t="array" ref="BM140">IF($F$14-$I$4+VLOOKUP($R140,武学奇术!$A:$ZZ,15,FALSE)+SUM(_xlfn.XLOOKUP(S140:AL140,增益!$A:$A,增益!$O:$O,0))&gt;0,($F$14-$I$4+VLOOKUP($R140,武学奇术!$A:$ZZ,15,FALSE)+SUM(_xlfn.XLOOKUP(S140:AL140,增益!$A:$A,增益!$O:$O,0)))/200,($F$14-$I$4+VLOOKUP($R140,武学奇术!$A:$ZZ,15,FALSE)+SUM(_xlfn.XLOOKUP(S140:AL140,增益!$A:$A,增益!$O:$O,0)))/100)</f>
        <v>0.13</v>
      </c>
      <c r="BN140" s="29" cm="1">
        <f t="array" ref="BN140">$G$14+VLOOKUP($R140,武学奇术!$A:$ZZ,16,FALSE)+SUM(_xlfn.XLOOKUP(S140:AL140,增益!$A:$A,增益!$P:$P,0))</f>
        <v>0.23</v>
      </c>
      <c r="BO140" s="23">
        <f>MIN(IF(VLOOKUP($R140,武学奇术!$A:$ZZ,23,FALSE)=1,100%,$B$8),100%)</f>
        <v>0.9943</v>
      </c>
      <c r="BP140" s="23" cm="1">
        <f t="array" ref="BP140">IF(VLOOKUP($R140,武学奇术!$A:$ZZ,23,FALSE)=1,100%,MIN(80%,$B$9+VLOOKUP($R140,武学奇术!$A:$ZZ,17,FALSE)+SUM(_xlfn.XLOOKUP(S140:AL140,增益!$A:$A,增益!$Q:$Q,0)))+$B$11+SUM(_xlfn.XLOOKUP(S140:AL140,增益!$A:$A,增益!$U:$U,0)))*IF(VLOOKUP($R140,武学奇术!$A:$ZZ,24,FALSE)=1,0,1)</f>
        <v>0.887</v>
      </c>
      <c r="BQ140" s="23" cm="1">
        <f t="array" ref="BQ140">1+$B$13+VLOOKUP($R140,武学奇术!$A:$ZZ,18,FALSE)+SUM(_xlfn.XLOOKUP(S140:AL140,增益!$A:$A,增益!$R:$R,0))</f>
        <v>2.144</v>
      </c>
      <c r="BR140" s="23" cm="1">
        <f t="array" ref="BR140">IF(VLOOKUP($R140,武学奇术!$A:$ZZ,24,FALSE)=1,100%,MIN(40%,$B$10+VLOOKUP($R140,武学奇术!$A:$ZZ,19,FALSE)+SUM(_xlfn.XLOOKUP(S140:AL140,增益!$A:$A,增益!$S:$S,0)))+$B$12+SUM(_xlfn.XLOOKUP(S140:AL140,增益!$A:$A,增益!$V:$V,0)))*IF(VLOOKUP($R140,武学奇术!$A:$ZZ,23,FALSE)=1,0,1)</f>
        <v>0.0913</v>
      </c>
      <c r="BS140" s="23" cm="1">
        <f t="array" ref="BS140">1+$B$14+VLOOKUP($R140,武学奇术!$A:$ZZ,20,FALSE)+SUM(_xlfn.XLOOKUP(S140:AL140,增益!$A:$A,增益!$T:$T,0))</f>
        <v>1.35</v>
      </c>
      <c r="BT140" s="23">
        <f t="shared" si="54"/>
        <v>0.8819441</v>
      </c>
      <c r="BU140" s="23">
        <f t="shared" si="55"/>
        <v>0.0215763099999999</v>
      </c>
      <c r="BV140" s="23">
        <f>IF(VLOOKUP($R140,武学奇术!$A:$ZZ,22,FALSE)=1,0,(1-$BO140))*(1-$BR140)</f>
        <v>0.00517958999999993</v>
      </c>
      <c r="BW140" s="23" cm="1">
        <f t="array" ref="BW140">SUM(_xlfn.XLOOKUP(S140:AL140,增益!$A:$A,增益!$W:$W,0))+$I$5</f>
        <v>0.11</v>
      </c>
      <c r="BX140" s="23">
        <f>VLOOKUP($R140,武学奇术!$A:$ZZ,32,FALSE)</f>
        <v>0.1</v>
      </c>
      <c r="BY140" s="23" cm="1">
        <f t="array" ref="BY140">SUM(_xlfn.XLOOKUP($S140:$AL140,增益!$A:$A,增益!$X:$X,0))</f>
        <v>0</v>
      </c>
    </row>
    <row r="141" spans="11:77">
      <c r="K141" s="35">
        <f>$L141*VLOOKUP($R141,武学奇术!$A:$ZZ,31,FALSE)</f>
        <v>351833.560427659</v>
      </c>
      <c r="L141" s="69">
        <f t="shared" si="45"/>
        <v>344934.863164372</v>
      </c>
      <c r="M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轻击",$B$21,0))*(1+IF(VLOOKUP($R141,武学奇术!$A:$ZZ,30,FALSE)="老鼠",$B$22,0))*(1+$BW141)*(1+$BX141)</f>
        <v>359370.334446433</v>
      </c>
      <c r="N141" s="35">
        <f>(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轻击",$B$21,0))*(1+IF(VLOOKUP($R141,武学奇术!$A:$ZZ,30,FALSE)="老鼠",$B$22,0))*(1+$BW141))*(1+$BX141)</f>
        <v>258821.725614069</v>
      </c>
      <c r="O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轻击",$B$21,0))*(1+IF(VLOOKUP($R141,武学奇术!$A:$ZZ,30,FALSE)="老鼠",$B$22,0))*(1+$BW141)*(1+$BX141)</f>
        <v>167616.760469418</v>
      </c>
      <c r="P141" s="35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轻击",$B$21,0))*(1+IF(VLOOKUP($R141,武学奇术!$A:$ZZ,30,FALSE)="老鼠",$B$22,0))*(1+$BW141)*(1+$BX141)</f>
        <v>143513.724187675</v>
      </c>
      <c r="Q141" s="70">
        <v>12</v>
      </c>
      <c r="R141" s="37" t="s">
        <v>106</v>
      </c>
      <c r="S141" s="37" t="s">
        <v>91</v>
      </c>
      <c r="T141" s="37" t="s">
        <v>185</v>
      </c>
      <c r="U141" s="37" t="s">
        <v>112</v>
      </c>
      <c r="V141" s="37" t="s">
        <v>113</v>
      </c>
      <c r="W141" s="37" t="s">
        <v>82</v>
      </c>
      <c r="X141" s="37" t="s">
        <v>81</v>
      </c>
      <c r="Y141" s="37" t="s">
        <v>109</v>
      </c>
      <c r="Z141" s="37" t="s">
        <v>83</v>
      </c>
      <c r="AA141" s="37" t="s">
        <v>84</v>
      </c>
      <c r="AB141" s="37" t="s">
        <v>81</v>
      </c>
      <c r="AC141" s="37" t="s">
        <v>81</v>
      </c>
      <c r="AD141" s="37" t="s">
        <v>85</v>
      </c>
      <c r="AE141" s="37" t="s">
        <v>81</v>
      </c>
      <c r="AF141" s="37" t="s">
        <v>81</v>
      </c>
      <c r="AG141" s="37" t="s">
        <v>87</v>
      </c>
      <c r="AH141" s="37" t="s">
        <v>88</v>
      </c>
      <c r="AI141" s="37" t="s">
        <v>81</v>
      </c>
      <c r="AJ141" s="37" t="s">
        <v>81</v>
      </c>
      <c r="AK141" s="37" t="s">
        <v>81</v>
      </c>
      <c r="AL141" s="37" t="s">
        <v>81</v>
      </c>
      <c r="AM141" t="str">
        <f>VLOOKUP($R141,武学奇术!$A:$ZZ,25,FALSE)</f>
        <v>绳镖</v>
      </c>
      <c r="AN141" s="23">
        <f>VLOOKUP($R141,武学奇术!$A:$ZZ,26,FALSE)</f>
        <v>0.3675</v>
      </c>
      <c r="AO141" s="24">
        <f>VLOOKUP($R141,武学奇术!$A:$ZZ,27,FALSE)*(1+IF(OR($AM141=$F$4,$AM141=$F$5),$B$23,0))</f>
        <v>0</v>
      </c>
      <c r="AP141" s="23">
        <f>VLOOKUP($R141,武学奇术!$A:$ZZ,28,FALSE)</f>
        <v>0.55125</v>
      </c>
      <c r="AQ141" s="24">
        <f>VLOOKUP($R141,武学奇术!$A:$ZZ,29,FALSE)*(1+IF(OR($AM141=$F$4,$AM141=$F$5),$B$23,0))</f>
        <v>0</v>
      </c>
      <c r="AR141" s="23" cm="1">
        <f t="array" ref="AR141">$G$3+IFERROR(VLOOKUP($AM141,$F$4:$G$7,2,FALSE),0)+VLOOKUP($R141,武学奇术!$A:$ZZ,2,FALSE)+SUM(_xlfn.XLOOKUP($S141:$AL141,增益!$A:$A,增益!$B:$B,0))</f>
        <v>1.5743</v>
      </c>
      <c r="AS141" s="23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4150.4</v>
      </c>
      <c r="AU141" cm="1">
        <f t="array" ref="AU141">$E$10*(1+$AS141)+VLOOKUP($R141,武学奇术!$A:$ZZ,4,FALSE)+SUM(_xlfn.XLOOKUP($S141:$AL141,增益!$A:$A,增益!$D:$D,0))-$I$2</f>
        <v>4150.4</v>
      </c>
      <c r="AV141" s="29" cm="1">
        <f t="array" ref="AV141">IF($F$10-$I$3+VLOOKUP($R141,武学奇术!$A:$ZZ,6,FALSE)+SUM(_xlfn.XLOOKUP(S141:AL141,增益!$A:$A,增益!$F:$F,0))&gt;0,($F$10-$I$3+VLOOKUP($R141,武学奇术!$A:$ZZ,6,FALSE)+SUM(_xlfn.XLOOKUP(S141:AL141,增益!$A:$A,增益!$F:$F,0)))/200,($F$10-$I$3+VLOOKUP($R141,武学奇术!$A:$ZZ,6,FALSE)+SUM(_xlfn.XLOOKUP(S141:AL141,增益!$A:$A,增益!$F:$F,0)))/100)</f>
        <v>0.3289</v>
      </c>
      <c r="AW141" s="29" cm="1">
        <f t="array" ref="AW141">$G$10+VLOOKUP($R141,武学奇术!$A:$ZZ,7,FALSE)+SUM(_xlfn.XLOOKUP(S141:AL141,增益!$A:$A,增益!$G:$G,0))</f>
        <v>0.29</v>
      </c>
      <c r="AX141" s="23" cm="1">
        <f t="array" ref="AX141">VLOOKUP($R141,武学奇术!$A:$ZZ,8,FALSE)+SUM(_xlfn.XLOOKUP(S141:AL141,增益!$A:$A,增益!$H:$H,0))</f>
        <v>0</v>
      </c>
      <c r="AY141">
        <f t="shared" si="46"/>
        <v>0</v>
      </c>
      <c r="AZ141">
        <f t="shared" si="47"/>
        <v>0</v>
      </c>
      <c r="BA141" s="29" cm="1">
        <f t="array" ref="BA141">IF($F$11-$I$4+VLOOKUP($R141,武学奇术!$A:$ZZ,9,FALSE)+SUM(_xlfn.XLOOKUP(S141:AL141,增益!$A:$A,增益!$I:$I,0))&gt;0,($F$11-$I$4+VLOOKUP($R141,武学奇术!$A:$ZZ,9,FALSE)+SUM(_xlfn.XLOOKUP(S141:AL141,增益!$A:$A,增益!$I:$I,0)))/200,($F$11-$I$4+VLOOKUP($R141,武学奇术!$A:$ZZ,9,FALSE)+SUM(_xlfn.XLOOKUP(S141:AL141,增益!$A:$A,增益!$I:$I,0)))/100)</f>
        <v>-0.14</v>
      </c>
      <c r="BB141" s="29" cm="1">
        <f t="array" ref="BB141">$G$11+VLOOKUP($R141,武学奇术!$A:$ZZ,10,FALSE)+SUM(_xlfn.XLOOKUP(S141:AL141,增益!$A:$A,增益!$J:$J,0))</f>
        <v>0.02</v>
      </c>
      <c r="BC141">
        <f t="shared" si="48"/>
        <v>0</v>
      </c>
      <c r="BD141">
        <f t="shared" si="49"/>
        <v>0</v>
      </c>
      <c r="BE141" s="29" cm="1">
        <f t="array" ref="BE141">IF($F$12-$I$4+VLOOKUP($R141,武学奇术!$A:$ZZ,11,FALSE)+SUM(_xlfn.XLOOKUP(S141:AL141,增益!$A:$A,增益!$K:$K,0))&gt;0,($F$12-$I$4+VLOOKUP($R141,武学奇术!$A:$ZZ,11,FALSE)+SUM(_xlfn.XLOOKUP(S141:AL141,增益!$A:$A,增益!$K:$K,0)))/200,($F$12-$I$4+VLOOKUP($R141,武学奇术!$A:$ZZ,11,FALSE)+SUM(_xlfn.XLOOKUP(S141:AL141,增益!$A:$A,增益!$K:$K,0)))/100)</f>
        <v>-0.14</v>
      </c>
      <c r="BF141" s="29" cm="1">
        <f t="array" ref="BF141">$G$12+VLOOKUP($R141,武学奇术!$A:$ZZ,12,FALSE)+SUM(_xlfn.XLOOKUP(S141:AL141,增益!$A:$A,增益!$L:$L,0))</f>
        <v>0.02</v>
      </c>
      <c r="BG141">
        <f t="shared" si="50"/>
        <v>0</v>
      </c>
      <c r="BH141">
        <f t="shared" si="51"/>
        <v>0</v>
      </c>
      <c r="BI141" s="29" cm="1">
        <f t="array" ref="BI141">IF($F$13-$I$4+VLOOKUP($R141,武学奇术!$A:$ZZ,13,FALSE)+SUM(_xlfn.XLOOKUP(S141:AL141,增益!$A:$A,增益!$M:$M,0))&gt;0,($F$13-$I$4+VLOOKUP($R141,武学奇术!$A:$ZZ,13,FALSE)+SUM(_xlfn.XLOOKUP(S141:AL141,增益!$A:$A,增益!$K:$K,0)))/200,($F$13-$I$4+VLOOKUP($R141,武学奇术!$A:$ZZ,13,FALSE)+SUM(_xlfn.XLOOKUP(S141:AL141,增益!$A:$A,增益!$M:$M,0)))/100)</f>
        <v>-0.14</v>
      </c>
      <c r="BJ141" s="29" cm="1">
        <f t="array" ref="BJ141">$G$13+VLOOKUP($R141,武学奇术!$A:$ZZ,14,FALSE)+SUM(_xlfn.XLOOKUP(S141:AL141,增益!$A:$A,增益!$N:$N,0))</f>
        <v>0.02</v>
      </c>
      <c r="BK141">
        <f t="shared" si="52"/>
        <v>618.2</v>
      </c>
      <c r="BL141">
        <f t="shared" si="53"/>
        <v>1805</v>
      </c>
      <c r="BM141" s="29" cm="1">
        <f t="array" ref="BM141">IF($F$14-$I$4+VLOOKUP($R141,武学奇术!$A:$ZZ,15,FALSE)+SUM(_xlfn.XLOOKUP(S141:AL141,增益!$A:$A,增益!$O:$O,0))&gt;0,($F$14-$I$4+VLOOKUP($R141,武学奇术!$A:$ZZ,15,FALSE)+SUM(_xlfn.XLOOKUP(S141:AL141,增益!$A:$A,增益!$O:$O,0)))/200,($F$14-$I$4+VLOOKUP($R141,武学奇术!$A:$ZZ,15,FALSE)+SUM(_xlfn.XLOOKUP(S141:AL141,增益!$A:$A,增益!$O:$O,0)))/100)</f>
        <v>0.13</v>
      </c>
      <c r="BN141" s="29" cm="1">
        <f t="array" ref="BN141">$G$14+VLOOKUP($R141,武学奇术!$A:$ZZ,16,FALSE)+SUM(_xlfn.XLOOKUP(S141:AL141,增益!$A:$A,增益!$P:$P,0))</f>
        <v>0.44</v>
      </c>
      <c r="BO141" s="23">
        <f>MIN(IF(VLOOKUP($R141,武学奇术!$A:$ZZ,23,FALSE)=1,100%,$B$8),100%)</f>
        <v>0.9943</v>
      </c>
      <c r="BP141" s="23" cm="1">
        <f t="array" ref="BP141">IF(VLOOKUP($R141,武学奇术!$A:$ZZ,23,FALSE)=1,100%,MIN(80%,$B$9+VLOOKUP($R141,武学奇术!$A:$ZZ,17,FALSE)+SUM(_xlfn.XLOOKUP(S141:AL141,增益!$A:$A,增益!$Q:$Q,0)))+$B$11+SUM(_xlfn.XLOOKUP(S141:AL141,增益!$A:$A,增益!$U:$U,0)))*IF(VLOOKUP($R141,武学奇术!$A:$ZZ,24,FALSE)=1,0,1)</f>
        <v>0.887</v>
      </c>
      <c r="BQ141" s="23" cm="1">
        <f t="array" ref="BQ141">1+$B$13+VLOOKUP($R141,武学奇术!$A:$ZZ,18,FALSE)+SUM(_xlfn.XLOOKUP(S141:AL141,增益!$A:$A,增益!$R:$R,0))</f>
        <v>2.144</v>
      </c>
      <c r="BR141" s="23" cm="1">
        <f t="array" ref="BR141">IF(VLOOKUP($R141,武学奇术!$A:$ZZ,24,FALSE)=1,100%,MIN(40%,$B$10+VLOOKUP($R141,武学奇术!$A:$ZZ,19,FALSE)+SUM(_xlfn.XLOOKUP(S141:AL141,增益!$A:$A,增益!$S:$S,0)))+$B$12+SUM(_xlfn.XLOOKUP(S141:AL141,增益!$A:$A,增益!$V:$V,0)))*IF(VLOOKUP($R141,武学奇术!$A:$ZZ,23,FALSE)=1,0,1)</f>
        <v>0.0913</v>
      </c>
      <c r="BS141" s="23" cm="1">
        <f t="array" ref="BS141">1+$B$14+VLOOKUP($R141,武学奇术!$A:$ZZ,20,FALSE)+SUM(_xlfn.XLOOKUP(S141:AL141,增益!$A:$A,增益!$T:$T,0))</f>
        <v>1.35</v>
      </c>
      <c r="BT141" s="23">
        <f t="shared" si="54"/>
        <v>0.8819441</v>
      </c>
      <c r="BU141" s="23">
        <f t="shared" si="55"/>
        <v>0.0215763099999999</v>
      </c>
      <c r="BV141" s="23">
        <f>IF(VLOOKUP($R141,武学奇术!$A:$ZZ,22,FALSE)=1,0,(1-$BO141))*(1-$BR141)</f>
        <v>0.00517958999999993</v>
      </c>
      <c r="BW141" s="23" cm="1">
        <f t="array" ref="BW141">SUM(_xlfn.XLOOKUP(S141:AL141,增益!$A:$A,增益!$W:$W,0))+$I$5</f>
        <v>0.11</v>
      </c>
      <c r="BX141" s="23">
        <f>VLOOKUP($R141,武学奇术!$A:$ZZ,32,FALSE)</f>
        <v>0</v>
      </c>
      <c r="BY141" s="23" cm="1">
        <f t="array" ref="BY141">SUM(_xlfn.XLOOKUP($S141:$AL141,增益!$A:$A,增益!$X:$X,0))</f>
        <v>0</v>
      </c>
    </row>
    <row r="142" spans="11:77">
      <c r="K142" s="35">
        <f>$L142*VLOOKUP($R142,武学奇术!$A:$ZZ,31,FALSE)</f>
        <v>111949.717298016</v>
      </c>
      <c r="L142" s="35">
        <f t="shared" si="45"/>
        <v>99955.1047303717</v>
      </c>
      <c r="M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轻击",$B$21,0))*(1+IF(VLOOKUP($R142,武学奇术!$A:$ZZ,30,FALSE)="老鼠",$B$22,0))*(1+$BW142)*(1+$BX142)</f>
        <v>105377.819776181</v>
      </c>
      <c r="N142" s="35">
        <f>(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轻击",$B$21,0))*(1+IF(VLOOKUP($R142,武学奇术!$A:$ZZ,30,FALSE)="老鼠",$B$22,0))*(1+$BW142))*(1+$BX142)</f>
        <v>97659.0546249909</v>
      </c>
      <c r="O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轻击",$B$21,0))*(1+IF(VLOOKUP($R142,武学奇术!$A:$ZZ,30,FALSE)="老鼠",$B$22,0))*(1+$BW142)*(1+$BX142)</f>
        <v>64098.4305207915</v>
      </c>
      <c r="P142" s="35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轻击",$B$21,0))*(1+IF(VLOOKUP($R142,武学奇术!$A:$ZZ,30,FALSE)="老鼠",$B$22,0))*(1+$BW142)*(1+$BX142)</f>
        <v>55856.8205786267</v>
      </c>
      <c r="Q142" s="36">
        <v>1</v>
      </c>
      <c r="R142" s="37" t="s">
        <v>158</v>
      </c>
      <c r="S142" s="37" t="s">
        <v>91</v>
      </c>
      <c r="T142" s="37" t="s">
        <v>185</v>
      </c>
      <c r="U142" s="37" t="s">
        <v>112</v>
      </c>
      <c r="V142" s="37" t="s">
        <v>113</v>
      </c>
      <c r="W142" s="37" t="s">
        <v>82</v>
      </c>
      <c r="X142" s="37" t="s">
        <v>81</v>
      </c>
      <c r="Y142" s="37" t="s">
        <v>109</v>
      </c>
      <c r="Z142" s="37" t="s">
        <v>81</v>
      </c>
      <c r="AA142" s="37" t="s">
        <v>84</v>
      </c>
      <c r="AB142" s="37" t="s">
        <v>183</v>
      </c>
      <c r="AC142" s="37" t="s">
        <v>186</v>
      </c>
      <c r="AD142" s="37" t="s">
        <v>85</v>
      </c>
      <c r="AE142" s="37" t="s">
        <v>81</v>
      </c>
      <c r="AF142" s="37" t="s">
        <v>181</v>
      </c>
      <c r="AG142" s="37" t="s">
        <v>87</v>
      </c>
      <c r="AH142" s="37" t="s">
        <v>88</v>
      </c>
      <c r="AI142" s="37" t="s">
        <v>81</v>
      </c>
      <c r="AJ142" s="37" t="s">
        <v>81</v>
      </c>
      <c r="AK142" s="37" t="s">
        <v>81</v>
      </c>
      <c r="AL142" s="37" t="s">
        <v>81</v>
      </c>
      <c r="AM142" t="str">
        <f>VLOOKUP($R142,武学奇术!$A:$ZZ,25,FALSE)</f>
        <v>双刀</v>
      </c>
      <c r="AN142" s="23">
        <f>VLOOKUP($R142,武学奇术!$A:$ZZ,26,FALSE)</f>
        <v>2.5342</v>
      </c>
      <c r="AO142" s="24">
        <f>VLOOKUP($R142,武学奇术!$A:$ZZ,27,FALSE)*(1+IF(OR($AM142=$F$4,$AM142=$F$5),$B$23,0))</f>
        <v>1123.2</v>
      </c>
      <c r="AP142" s="23">
        <f>VLOOKUP($R142,武学奇术!$A:$ZZ,28,FALSE)</f>
        <v>3.8012</v>
      </c>
      <c r="AQ142" s="24">
        <f>VLOOKUP($R142,武学奇术!$A:$ZZ,29,FALSE)*(1+IF(OR($AM142=$F$4,$AM142=$F$5),$B$23,0))</f>
        <v>611.2</v>
      </c>
      <c r="AR142" s="23" cm="1">
        <f t="array" ref="AR142">$G$3+IFERROR(VLOOKUP($AM142,$F$4:$G$7,2,FALSE),0)+VLOOKUP($R142,武学奇术!$A:$ZZ,2,FALSE)+SUM(_xlfn.XLOOKUP($S142:$AL142,增益!$A:$A,增益!$B:$B,0))</f>
        <v>0.8243</v>
      </c>
      <c r="AS142" s="23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4150.4</v>
      </c>
      <c r="AU142" cm="1">
        <f t="array" ref="AU142">$E$10*(1+$AS142)+VLOOKUP($R142,武学奇术!$A:$ZZ,4,FALSE)+SUM(_xlfn.XLOOKUP($S142:$AL142,增益!$A:$A,增益!$D:$D,0))-$I$2</f>
        <v>4150.4</v>
      </c>
      <c r="AV142" s="29" cm="1">
        <f t="array" ref="AV142">IF($F$10-$I$3+VLOOKUP($R142,武学奇术!$A:$ZZ,6,FALSE)+SUM(_xlfn.XLOOKUP(S142:AL142,增益!$A:$A,增益!$F:$F,0))&gt;0,($F$10-$I$3+VLOOKUP($R142,武学奇术!$A:$ZZ,6,FALSE)+SUM(_xlfn.XLOOKUP(S142:AL142,增益!$A:$A,增益!$F:$F,0)))/200,($F$10-$I$3+VLOOKUP($R142,武学奇术!$A:$ZZ,6,FALSE)+SUM(_xlfn.XLOOKUP(S142:AL142,增益!$A:$A,增益!$F:$F,0)))/100)</f>
        <v>0.3289</v>
      </c>
      <c r="AW142" s="29" cm="1">
        <f t="array" ref="AW142">$G$10+VLOOKUP($R142,武学奇术!$A:$ZZ,7,FALSE)+SUM(_xlfn.XLOOKUP(S142:AL142,增益!$A:$A,增益!$G:$G,0))</f>
        <v>0.08</v>
      </c>
      <c r="AX142" s="23" cm="1">
        <f t="array" ref="AX142">VLOOKUP($R142,武学奇术!$A:$ZZ,8,FALSE)+SUM(_xlfn.XLOOKUP(S142:AL142,增益!$A:$A,增益!$H:$H,0))</f>
        <v>0</v>
      </c>
      <c r="AY142">
        <f t="shared" si="46"/>
        <v>0</v>
      </c>
      <c r="AZ142">
        <f t="shared" si="47"/>
        <v>0</v>
      </c>
      <c r="BA142" s="29" cm="1">
        <f t="array" ref="BA142">IF($F$11-$I$4+VLOOKUP($R142,武学奇术!$A:$ZZ,9,FALSE)+SUM(_xlfn.XLOOKUP(S142:AL142,增益!$A:$A,增益!$I:$I,0))&gt;0,($F$11-$I$4+VLOOKUP($R142,武学奇术!$A:$ZZ,9,FALSE)+SUM(_xlfn.XLOOKUP(S142:AL142,增益!$A:$A,增益!$I:$I,0)))/200,($F$11-$I$4+VLOOKUP($R142,武学奇术!$A:$ZZ,9,FALSE)+SUM(_xlfn.XLOOKUP(S142:AL142,增益!$A:$A,增益!$I:$I,0)))/100)</f>
        <v>-0.14</v>
      </c>
      <c r="BB142" s="29" cm="1">
        <f t="array" ref="BB142">$G$11+VLOOKUP($R142,武学奇术!$A:$ZZ,10,FALSE)+SUM(_xlfn.XLOOKUP(S142:AL142,增益!$A:$A,增益!$J:$J,0))</f>
        <v>0.12</v>
      </c>
      <c r="BC142">
        <f t="shared" si="48"/>
        <v>0</v>
      </c>
      <c r="BD142">
        <f t="shared" si="49"/>
        <v>0</v>
      </c>
      <c r="BE142" s="29" cm="1">
        <f t="array" ref="BE142">IF($F$12-$I$4+VLOOKUP($R142,武学奇术!$A:$ZZ,11,FALSE)+SUM(_xlfn.XLOOKUP(S142:AL142,增益!$A:$A,增益!$K:$K,0))&gt;0,($F$12-$I$4+VLOOKUP($R142,武学奇术!$A:$ZZ,11,FALSE)+SUM(_xlfn.XLOOKUP(S142:AL142,增益!$A:$A,增益!$K:$K,0)))/200,($F$12-$I$4+VLOOKUP($R142,武学奇术!$A:$ZZ,11,FALSE)+SUM(_xlfn.XLOOKUP(S142:AL142,增益!$A:$A,增益!$K:$K,0)))/100)</f>
        <v>-0.14</v>
      </c>
      <c r="BF142" s="29" cm="1">
        <f t="array" ref="BF142">$G$12+VLOOKUP($R142,武学奇术!$A:$ZZ,12,FALSE)+SUM(_xlfn.XLOOKUP(S142:AL142,增益!$A:$A,增益!$L:$L,0))</f>
        <v>0.02</v>
      </c>
      <c r="BG142">
        <f t="shared" si="50"/>
        <v>0</v>
      </c>
      <c r="BH142">
        <f t="shared" si="51"/>
        <v>0</v>
      </c>
      <c r="BI142" s="29" cm="1">
        <f t="array" ref="BI142">IF($F$13-$I$4+VLOOKUP($R142,武学奇术!$A:$ZZ,13,FALSE)+SUM(_xlfn.XLOOKUP(S142:AL142,增益!$A:$A,增益!$M:$M,0))&gt;0,($F$13-$I$4+VLOOKUP($R142,武学奇术!$A:$ZZ,13,FALSE)+SUM(_xlfn.XLOOKUP(S142:AL142,增益!$A:$A,增益!$K:$K,0)))/200,($F$13-$I$4+VLOOKUP($R142,武学奇术!$A:$ZZ,13,FALSE)+SUM(_xlfn.XLOOKUP(S142:AL142,增益!$A:$A,增益!$M:$M,0)))/100)</f>
        <v>-0.14</v>
      </c>
      <c r="BJ142" s="29" cm="1">
        <f t="array" ref="BJ142">$G$13+VLOOKUP($R142,武学奇术!$A:$ZZ,14,FALSE)+SUM(_xlfn.XLOOKUP(S142:AL142,增益!$A:$A,增益!$N:$N,0))</f>
        <v>0.02</v>
      </c>
      <c r="BK142">
        <f t="shared" si="52"/>
        <v>618.2</v>
      </c>
      <c r="BL142">
        <f t="shared" si="53"/>
        <v>1805</v>
      </c>
      <c r="BM142" s="29" cm="1">
        <f t="array" ref="BM142">IF($F$14-$I$4+VLOOKUP($R142,武学奇术!$A:$ZZ,15,FALSE)+SUM(_xlfn.XLOOKUP(S142:AL142,增益!$A:$A,增益!$O:$O,0))&gt;0,($F$14-$I$4+VLOOKUP($R142,武学奇术!$A:$ZZ,15,FALSE)+SUM(_xlfn.XLOOKUP(S142:AL142,增益!$A:$A,增益!$O:$O,0)))/200,($F$14-$I$4+VLOOKUP($R142,武学奇术!$A:$ZZ,15,FALSE)+SUM(_xlfn.XLOOKUP(S142:AL142,增益!$A:$A,增益!$O:$O,0)))/100)</f>
        <v>0.13</v>
      </c>
      <c r="BN142" s="29" cm="1">
        <f t="array" ref="BN142">$G$14+VLOOKUP($R142,武学奇术!$A:$ZZ,16,FALSE)+SUM(_xlfn.XLOOKUP(S142:AL142,增益!$A:$A,增益!$P:$P,0))</f>
        <v>0.23</v>
      </c>
      <c r="BO142" s="23">
        <f>MIN(IF(VLOOKUP($R142,武学奇术!$A:$ZZ,23,FALSE)=1,100%,$B$8),100%)</f>
        <v>0.9943</v>
      </c>
      <c r="BP142" s="23" cm="1">
        <f t="array" ref="BP142">IF(VLOOKUP($R142,武学奇术!$A:$ZZ,23,FALSE)=1,100%,MIN(80%,$B$9+VLOOKUP($R142,武学奇术!$A:$ZZ,17,FALSE)+SUM(_xlfn.XLOOKUP(S142:AL142,增益!$A:$A,增益!$Q:$Q,0)))+$B$11+SUM(_xlfn.XLOOKUP(S142:AL142,增益!$A:$A,增益!$U:$U,0)))*IF(VLOOKUP($R142,武学奇术!$A:$ZZ,24,FALSE)=1,0,1)</f>
        <v>0.8</v>
      </c>
      <c r="BQ142" s="23" cm="1">
        <f t="array" ref="BQ142">1+$B$13+VLOOKUP($R142,武学奇术!$A:$ZZ,18,FALSE)+SUM(_xlfn.XLOOKUP(S142:AL142,增益!$A:$A,增益!$R:$R,0))</f>
        <v>1.644</v>
      </c>
      <c r="BR142" s="23" cm="1">
        <f t="array" ref="BR142">IF(VLOOKUP($R142,武学奇术!$A:$ZZ,24,FALSE)=1,100%,MIN(40%,$B$10+VLOOKUP($R142,武学奇术!$A:$ZZ,19,FALSE)+SUM(_xlfn.XLOOKUP(S142:AL142,增益!$A:$A,增益!$S:$S,0)))+$B$12+SUM(_xlfn.XLOOKUP(S142:AL142,增益!$A:$A,增益!$V:$V,0)))*IF(VLOOKUP($R142,武学奇术!$A:$ZZ,23,FALSE)=1,0,1)</f>
        <v>0.0913</v>
      </c>
      <c r="BS142" s="23" cm="1">
        <f t="array" ref="BS142">1+$B$14+VLOOKUP($R142,武学奇术!$A:$ZZ,20,FALSE)+SUM(_xlfn.XLOOKUP(S142:AL142,增益!$A:$A,增益!$T:$T,0))</f>
        <v>1.35</v>
      </c>
      <c r="BT142" s="23">
        <f t="shared" si="54"/>
        <v>0.79544</v>
      </c>
      <c r="BU142" s="23">
        <f t="shared" si="55"/>
        <v>0.10808041</v>
      </c>
      <c r="BV142" s="23">
        <f>IF(VLOOKUP($R142,武学奇术!$A:$ZZ,22,FALSE)=1,0,(1-$BO142))*(1-$BR142)</f>
        <v>0.00517958999999993</v>
      </c>
      <c r="BW142" s="23" cm="1">
        <f t="array" ref="BW142">SUM(_xlfn.XLOOKUP(S142:AL142,增益!$A:$A,增益!$W:$W,0))+$I$5</f>
        <v>0.31</v>
      </c>
      <c r="BX142" s="23">
        <f>VLOOKUP($R142,武学奇术!$A:$ZZ,32,FALSE)</f>
        <v>0.1</v>
      </c>
      <c r="BY142" s="23" cm="1">
        <f t="array" ref="BY142">SUM(_xlfn.XLOOKUP($S142:$AL142,增益!$A:$A,增益!$X:$X,0))</f>
        <v>0</v>
      </c>
    </row>
    <row r="143" spans="11:77">
      <c r="K143" s="35">
        <f>$L143*VLOOKUP($R143,武学奇术!$A:$ZZ,31,FALSE)</f>
        <v>105003.192388285</v>
      </c>
      <c r="L143" s="69">
        <f t="shared" si="45"/>
        <v>102944.306263024</v>
      </c>
      <c r="M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轻击",$B$21,0))*(1+IF(VLOOKUP($R143,武学奇术!$A:$ZZ,30,FALSE)="老鼠",$B$22,0))*(1+$BW143)*(1+$BX143)</f>
        <v>108404.252257465</v>
      </c>
      <c r="N143" s="35">
        <f>(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轻击",$B$21,0))*(1+IF(VLOOKUP($R143,武学奇术!$A:$ZZ,30,FALSE)="老鼠",$B$22,0))*(1+$BW143))*(1+$BX143)</f>
        <v>101818.756923252</v>
      </c>
      <c r="O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轻击",$B$21,0))*(1+IF(VLOOKUP($R143,武学奇术!$A:$ZZ,30,FALSE)="老鼠",$B$22,0))*(1+$BW143)*(1+$BX143)</f>
        <v>65939.3261906721</v>
      </c>
      <c r="P143" s="35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轻击",$B$21,0))*(1+IF(VLOOKUP($R143,武学奇术!$A:$ZZ,30,FALSE)="老鼠",$B$22,0))*(1+$BW143)*(1+$BX143)</f>
        <v>56457.3509567128</v>
      </c>
      <c r="Q143" s="70">
        <v>4</v>
      </c>
      <c r="R143" s="37" t="s">
        <v>106</v>
      </c>
      <c r="S143" s="37" t="s">
        <v>91</v>
      </c>
      <c r="T143" s="37" t="s">
        <v>185</v>
      </c>
      <c r="U143" s="37" t="s">
        <v>112</v>
      </c>
      <c r="V143" s="37" t="s">
        <v>113</v>
      </c>
      <c r="W143" s="37" t="s">
        <v>82</v>
      </c>
      <c r="X143" s="37" t="s">
        <v>81</v>
      </c>
      <c r="Y143" s="37" t="s">
        <v>109</v>
      </c>
      <c r="Z143" s="37" t="s">
        <v>81</v>
      </c>
      <c r="AA143" s="37" t="s">
        <v>84</v>
      </c>
      <c r="AB143" s="37" t="s">
        <v>183</v>
      </c>
      <c r="AC143" s="37" t="s">
        <v>186</v>
      </c>
      <c r="AD143" s="37" t="s">
        <v>85</v>
      </c>
      <c r="AE143" s="37" t="s">
        <v>81</v>
      </c>
      <c r="AF143" s="37" t="s">
        <v>81</v>
      </c>
      <c r="AG143" s="37" t="s">
        <v>87</v>
      </c>
      <c r="AH143" s="37" t="s">
        <v>88</v>
      </c>
      <c r="AI143" s="37" t="s">
        <v>81</v>
      </c>
      <c r="AJ143" s="37" t="s">
        <v>81</v>
      </c>
      <c r="AK143" s="37" t="s">
        <v>81</v>
      </c>
      <c r="AL143" s="37" t="s">
        <v>81</v>
      </c>
      <c r="AM143" t="str">
        <f>VLOOKUP($R143,武学奇术!$A:$ZZ,25,FALSE)</f>
        <v>绳镖</v>
      </c>
      <c r="AN143" s="23">
        <f>VLOOKUP($R143,武学奇术!$A:$ZZ,26,FALSE)</f>
        <v>0.3675</v>
      </c>
      <c r="AO143" s="24">
        <f>VLOOKUP($R143,武学奇术!$A:$ZZ,27,FALSE)*(1+IF(OR($AM143=$F$4,$AM143=$F$5),$B$23,0))</f>
        <v>0</v>
      </c>
      <c r="AP143" s="23">
        <f>VLOOKUP($R143,武学奇术!$A:$ZZ,28,FALSE)</f>
        <v>0.55125</v>
      </c>
      <c r="AQ143" s="24">
        <f>VLOOKUP($R143,武学奇术!$A:$ZZ,29,FALSE)*(1+IF(OR($AM143=$F$4,$AM143=$F$5),$B$23,0))</f>
        <v>0</v>
      </c>
      <c r="AR143" s="23" cm="1">
        <f t="array" ref="AR143">$G$3+IFERROR(VLOOKUP($AM143,$F$4:$G$7,2,FALSE),0)+VLOOKUP($R143,武学奇术!$A:$ZZ,2,FALSE)+SUM(_xlfn.XLOOKUP($S143:$AL143,增益!$A:$A,增益!$B:$B,0))</f>
        <v>1.5743</v>
      </c>
      <c r="AS143" s="23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4150.4</v>
      </c>
      <c r="AU143" cm="1">
        <f t="array" ref="AU143">$E$10*(1+$AS143)+VLOOKUP($R143,武学奇术!$A:$ZZ,4,FALSE)+SUM(_xlfn.XLOOKUP($S143:$AL143,增益!$A:$A,增益!$D:$D,0))-$I$2</f>
        <v>4150.4</v>
      </c>
      <c r="AV143" s="29" cm="1">
        <f t="array" ref="AV143">IF($F$10-$I$3+VLOOKUP($R143,武学奇术!$A:$ZZ,6,FALSE)+SUM(_xlfn.XLOOKUP(S143:AL143,增益!$A:$A,增益!$F:$F,0))&gt;0,($F$10-$I$3+VLOOKUP($R143,武学奇术!$A:$ZZ,6,FALSE)+SUM(_xlfn.XLOOKUP(S143:AL143,增益!$A:$A,增益!$F:$F,0)))/200,($F$10-$I$3+VLOOKUP($R143,武学奇术!$A:$ZZ,6,FALSE)+SUM(_xlfn.XLOOKUP(S143:AL143,增益!$A:$A,增益!$F:$F,0)))/100)</f>
        <v>0.3289</v>
      </c>
      <c r="AW143" s="29" cm="1">
        <f t="array" ref="AW143">$G$10+VLOOKUP($R143,武学奇术!$A:$ZZ,7,FALSE)+SUM(_xlfn.XLOOKUP(S143:AL143,增益!$A:$A,增益!$G:$G,0))</f>
        <v>0.29</v>
      </c>
      <c r="AX143" s="23" cm="1">
        <f t="array" ref="AX143">VLOOKUP($R143,武学奇术!$A:$ZZ,8,FALSE)+SUM(_xlfn.XLOOKUP(S143:AL143,增益!$A:$A,增益!$H:$H,0))</f>
        <v>0</v>
      </c>
      <c r="AY143">
        <f t="shared" si="46"/>
        <v>0</v>
      </c>
      <c r="AZ143">
        <f t="shared" si="47"/>
        <v>0</v>
      </c>
      <c r="BA143" s="29" cm="1">
        <f t="array" ref="BA143">IF($F$11-$I$4+VLOOKUP($R143,武学奇术!$A:$ZZ,9,FALSE)+SUM(_xlfn.XLOOKUP(S143:AL143,增益!$A:$A,增益!$I:$I,0))&gt;0,($F$11-$I$4+VLOOKUP($R143,武学奇术!$A:$ZZ,9,FALSE)+SUM(_xlfn.XLOOKUP(S143:AL143,增益!$A:$A,增益!$I:$I,0)))/200,($F$11-$I$4+VLOOKUP($R143,武学奇术!$A:$ZZ,9,FALSE)+SUM(_xlfn.XLOOKUP(S143:AL143,增益!$A:$A,增益!$I:$I,0)))/100)</f>
        <v>-0.14</v>
      </c>
      <c r="BB143" s="29" cm="1">
        <f t="array" ref="BB143">$G$11+VLOOKUP($R143,武学奇术!$A:$ZZ,10,FALSE)+SUM(_xlfn.XLOOKUP(S143:AL143,增益!$A:$A,增益!$J:$J,0))</f>
        <v>0.12</v>
      </c>
      <c r="BC143">
        <f t="shared" si="48"/>
        <v>0</v>
      </c>
      <c r="BD143">
        <f t="shared" si="49"/>
        <v>0</v>
      </c>
      <c r="BE143" s="29" cm="1">
        <f t="array" ref="BE143">IF($F$12-$I$4+VLOOKUP($R143,武学奇术!$A:$ZZ,11,FALSE)+SUM(_xlfn.XLOOKUP(S143:AL143,增益!$A:$A,增益!$K:$K,0))&gt;0,($F$12-$I$4+VLOOKUP($R143,武学奇术!$A:$ZZ,11,FALSE)+SUM(_xlfn.XLOOKUP(S143:AL143,增益!$A:$A,增益!$K:$K,0)))/200,($F$12-$I$4+VLOOKUP($R143,武学奇术!$A:$ZZ,11,FALSE)+SUM(_xlfn.XLOOKUP(S143:AL143,增益!$A:$A,增益!$K:$K,0)))/100)</f>
        <v>-0.14</v>
      </c>
      <c r="BF143" s="29" cm="1">
        <f t="array" ref="BF143">$G$12+VLOOKUP($R143,武学奇术!$A:$ZZ,12,FALSE)+SUM(_xlfn.XLOOKUP(S143:AL143,增益!$A:$A,增益!$L:$L,0))</f>
        <v>0.02</v>
      </c>
      <c r="BG143">
        <f t="shared" si="50"/>
        <v>0</v>
      </c>
      <c r="BH143">
        <f t="shared" si="51"/>
        <v>0</v>
      </c>
      <c r="BI143" s="29" cm="1">
        <f t="array" ref="BI143">IF($F$13-$I$4+VLOOKUP($R143,武学奇术!$A:$ZZ,13,FALSE)+SUM(_xlfn.XLOOKUP(S143:AL143,增益!$A:$A,增益!$M:$M,0))&gt;0,($F$13-$I$4+VLOOKUP($R143,武学奇术!$A:$ZZ,13,FALSE)+SUM(_xlfn.XLOOKUP(S143:AL143,增益!$A:$A,增益!$K:$K,0)))/200,($F$13-$I$4+VLOOKUP($R143,武学奇术!$A:$ZZ,13,FALSE)+SUM(_xlfn.XLOOKUP(S143:AL143,增益!$A:$A,增益!$M:$M,0)))/100)</f>
        <v>-0.14</v>
      </c>
      <c r="BJ143" s="29" cm="1">
        <f t="array" ref="BJ143">$G$13+VLOOKUP($R143,武学奇术!$A:$ZZ,14,FALSE)+SUM(_xlfn.XLOOKUP(S143:AL143,增益!$A:$A,增益!$N:$N,0))</f>
        <v>0.02</v>
      </c>
      <c r="BK143">
        <f t="shared" si="52"/>
        <v>618.2</v>
      </c>
      <c r="BL143">
        <f t="shared" si="53"/>
        <v>1805</v>
      </c>
      <c r="BM143" s="29" cm="1">
        <f t="array" ref="BM143">IF($F$14-$I$4+VLOOKUP($R143,武学奇术!$A:$ZZ,15,FALSE)+SUM(_xlfn.XLOOKUP(S143:AL143,增益!$A:$A,增益!$O:$O,0))&gt;0,($F$14-$I$4+VLOOKUP($R143,武学奇术!$A:$ZZ,15,FALSE)+SUM(_xlfn.XLOOKUP(S143:AL143,增益!$A:$A,增益!$O:$O,0)))/200,($F$14-$I$4+VLOOKUP($R143,武学奇术!$A:$ZZ,15,FALSE)+SUM(_xlfn.XLOOKUP(S143:AL143,增益!$A:$A,增益!$O:$O,0)))/100)</f>
        <v>0.13</v>
      </c>
      <c r="BN143" s="29" cm="1">
        <f t="array" ref="BN143">$G$14+VLOOKUP($R143,武学奇术!$A:$ZZ,16,FALSE)+SUM(_xlfn.XLOOKUP(S143:AL143,增益!$A:$A,增益!$P:$P,0))</f>
        <v>0.44</v>
      </c>
      <c r="BO143" s="23">
        <f>MIN(IF(VLOOKUP($R143,武学奇术!$A:$ZZ,23,FALSE)=1,100%,$B$8),100%)</f>
        <v>0.9943</v>
      </c>
      <c r="BP143" s="23" cm="1">
        <f t="array" ref="BP143">IF(VLOOKUP($R143,武学奇术!$A:$ZZ,23,FALSE)=1,100%,MIN(80%,$B$9+VLOOKUP($R143,武学奇术!$A:$ZZ,17,FALSE)+SUM(_xlfn.XLOOKUP(S143:AL143,增益!$A:$A,增益!$Q:$Q,0)))+$B$11+SUM(_xlfn.XLOOKUP(S143:AL143,增益!$A:$A,增益!$U:$U,0)))*IF(VLOOKUP($R143,武学奇术!$A:$ZZ,24,FALSE)=1,0,1)</f>
        <v>0.8</v>
      </c>
      <c r="BQ143" s="23" cm="1">
        <f t="array" ref="BQ143">1+$B$13+VLOOKUP($R143,武学奇术!$A:$ZZ,18,FALSE)+SUM(_xlfn.XLOOKUP(S143:AL143,增益!$A:$A,增益!$R:$R,0))</f>
        <v>1.644</v>
      </c>
      <c r="BR143" s="23" cm="1">
        <f t="array" ref="BR143">IF(VLOOKUP($R143,武学奇术!$A:$ZZ,24,FALSE)=1,100%,MIN(40%,$B$10+VLOOKUP($R143,武学奇术!$A:$ZZ,19,FALSE)+SUM(_xlfn.XLOOKUP(S143:AL143,增益!$A:$A,增益!$S:$S,0)))+$B$12+SUM(_xlfn.XLOOKUP(S143:AL143,增益!$A:$A,增益!$V:$V,0)))*IF(VLOOKUP($R143,武学奇术!$A:$ZZ,23,FALSE)=1,0,1)</f>
        <v>0.0913</v>
      </c>
      <c r="BS143" s="23" cm="1">
        <f t="array" ref="BS143">1+$B$14+VLOOKUP($R143,武学奇术!$A:$ZZ,20,FALSE)+SUM(_xlfn.XLOOKUP(S143:AL143,增益!$A:$A,增益!$T:$T,0))</f>
        <v>1.35</v>
      </c>
      <c r="BT143" s="23">
        <f t="shared" si="54"/>
        <v>0.79544</v>
      </c>
      <c r="BU143" s="23">
        <f t="shared" si="55"/>
        <v>0.10808041</v>
      </c>
      <c r="BV143" s="23">
        <f>IF(VLOOKUP($R143,武学奇术!$A:$ZZ,22,FALSE)=1,0,(1-$BO143))*(1-$BR143)</f>
        <v>0.00517958999999993</v>
      </c>
      <c r="BW143" s="23" cm="1">
        <f t="array" ref="BW143">SUM(_xlfn.XLOOKUP(S143:AL143,增益!$A:$A,增益!$W:$W,0))+$I$5</f>
        <v>0.31</v>
      </c>
      <c r="BX143" s="23">
        <f>VLOOKUP($R143,武学奇术!$A:$ZZ,32,FALSE)</f>
        <v>0</v>
      </c>
      <c r="BY143" s="23" cm="1">
        <f t="array" ref="BY143">SUM(_xlfn.XLOOKUP($S143:$AL143,增益!$A:$A,增益!$X:$X,0))</f>
        <v>0</v>
      </c>
    </row>
    <row r="144" spans="11:77">
      <c r="K144" s="35">
        <f>$L144*VLOOKUP($R144,武学奇术!$A:$ZZ,31,FALSE)</f>
        <v>2276.93971741118</v>
      </c>
      <c r="L144" s="35">
        <f t="shared" si="45"/>
        <v>2232.2938405992</v>
      </c>
      <c r="M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轻击",$B$21,0))*(1+IF(VLOOKUP($R144,武学奇术!$A:$ZZ,30,FALSE)="老鼠",$B$22,0))*(1+$BW144)*(1+$BX144)</f>
        <v>2406.14304307334</v>
      </c>
      <c r="N144" s="35">
        <f>(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轻击",$B$21,0))*(1+IF(VLOOKUP($R144,武学奇术!$A:$ZZ,30,FALSE)="老鼠",$B$22,0))*(1+$BW144))*(1+$BX144)</f>
        <v>1919.49637032268</v>
      </c>
      <c r="O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轻击",$B$21,0))*(1+IF(VLOOKUP($R144,武学奇术!$A:$ZZ,30,FALSE)="老鼠",$B$22,0))*(1+$BW144)*(1+$BX144)</f>
        <v>1270.40287385076</v>
      </c>
      <c r="P144" s="35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轻击",$B$21,0))*(1+IF(VLOOKUP($R144,武学奇术!$A:$ZZ,30,FALSE)="老鼠",$B$22,0))*(1+$BW144)*(1+$BX144)</f>
        <v>1118.95658449954</v>
      </c>
      <c r="Q144" s="36">
        <v>1</v>
      </c>
      <c r="R144" s="37" t="s">
        <v>102</v>
      </c>
      <c r="S144" s="37" t="s">
        <v>91</v>
      </c>
      <c r="T144" s="37" t="s">
        <v>185</v>
      </c>
      <c r="U144" s="37" t="s">
        <v>81</v>
      </c>
      <c r="V144" s="37" t="s">
        <v>81</v>
      </c>
      <c r="W144" s="37" t="s">
        <v>82</v>
      </c>
      <c r="X144" s="37" t="s">
        <v>81</v>
      </c>
      <c r="Y144" s="37" t="s">
        <v>81</v>
      </c>
      <c r="Z144" s="37" t="s">
        <v>81</v>
      </c>
      <c r="AA144" s="37" t="s">
        <v>84</v>
      </c>
      <c r="AB144" s="37" t="s">
        <v>183</v>
      </c>
      <c r="AC144" s="37" t="s">
        <v>186</v>
      </c>
      <c r="AD144" s="37" t="s">
        <v>85</v>
      </c>
      <c r="AE144" s="37" t="s">
        <v>86</v>
      </c>
      <c r="AF144" s="37" t="s">
        <v>81</v>
      </c>
      <c r="AG144" s="37" t="s">
        <v>87</v>
      </c>
      <c r="AH144" s="37" t="s">
        <v>88</v>
      </c>
      <c r="AI144" s="37" t="s">
        <v>81</v>
      </c>
      <c r="AJ144" s="37" t="s">
        <v>81</v>
      </c>
      <c r="AK144" s="37" t="s">
        <v>81</v>
      </c>
      <c r="AL144" s="37" t="s">
        <v>81</v>
      </c>
      <c r="AM144" t="str">
        <f>VLOOKUP($R144,武学奇术!$A:$ZZ,25,FALSE)</f>
        <v>绳镖</v>
      </c>
      <c r="AN144" s="23">
        <f>VLOOKUP($R144,武学奇术!$A:$ZZ,26,FALSE)</f>
        <v>0.0621</v>
      </c>
      <c r="AO144" s="24">
        <f>VLOOKUP($R144,武学奇术!$A:$ZZ,27,FALSE)*(1+IF(OR($AM144=$F$4,$AM144=$F$5),$B$23,0))</f>
        <v>27.2</v>
      </c>
      <c r="AP144" s="23">
        <f>VLOOKUP($R144,武学奇术!$A:$ZZ,28,FALSE)</f>
        <v>0.0932</v>
      </c>
      <c r="AQ144" s="24">
        <f>VLOOKUP($R144,武学奇术!$A:$ZZ,29,FALSE)*(1+IF(OR($AM144=$F$4,$AM144=$F$5),$B$23,0))</f>
        <v>14.4</v>
      </c>
      <c r="AR144" s="23" cm="1">
        <f t="array" ref="AR144">$G$3+IFERROR(VLOOKUP($AM144,$F$4:$G$7,2,FALSE),0)+VLOOKUP($R144,武学奇术!$A:$ZZ,2,FALSE)+SUM(_xlfn.XLOOKUP($S144:$AL144,增益!$A:$A,增益!$B:$B,0))</f>
        <v>0.6543</v>
      </c>
      <c r="AS144" s="23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4081.7</v>
      </c>
      <c r="AU144" cm="1">
        <f t="array" ref="AU144">$E$10*(1+$AS144)+VLOOKUP($R144,武学奇术!$A:$ZZ,4,FALSE)+SUM(_xlfn.XLOOKUP($S144:$AL144,增益!$A:$A,增益!$D:$D,0))-$I$2</f>
        <v>4081.7</v>
      </c>
      <c r="AV144" s="29" cm="1">
        <f t="array" ref="AV144">IF($F$10-$I$3+VLOOKUP($R144,武学奇术!$A:$ZZ,6,FALSE)+SUM(_xlfn.XLOOKUP(S144:AL144,增益!$A:$A,增益!$F:$F,0))&gt;0,($F$10-$I$3+VLOOKUP($R144,武学奇术!$A:$ZZ,6,FALSE)+SUM(_xlfn.XLOOKUP(S144:AL144,增益!$A:$A,增益!$F:$F,0)))/200,($F$10-$I$3+VLOOKUP($R144,武学奇术!$A:$ZZ,6,FALSE)+SUM(_xlfn.XLOOKUP(S144:AL144,增益!$A:$A,增益!$F:$F,0)))/100)</f>
        <v>0.4539</v>
      </c>
      <c r="AW144" s="29" cm="1">
        <f t="array" ref="AW144">$G$10+VLOOKUP($R144,武学奇术!$A:$ZZ,7,FALSE)+SUM(_xlfn.XLOOKUP(S144:AL144,增益!$A:$A,增益!$G:$G,0))</f>
        <v>0.02</v>
      </c>
      <c r="AX144" s="23" cm="1">
        <f t="array" ref="AX144">VLOOKUP($R144,武学奇术!$A:$ZZ,8,FALSE)+SUM(_xlfn.XLOOKUP(S144:AL144,增益!$A:$A,增益!$H:$H,0))</f>
        <v>0</v>
      </c>
      <c r="AY144">
        <f t="shared" si="46"/>
        <v>0</v>
      </c>
      <c r="AZ144">
        <f t="shared" si="47"/>
        <v>0</v>
      </c>
      <c r="BA144" s="29" cm="1">
        <f t="array" ref="BA144">IF($F$11-$I$4+VLOOKUP($R144,武学奇术!$A:$ZZ,9,FALSE)+SUM(_xlfn.XLOOKUP(S144:AL144,增益!$A:$A,增益!$I:$I,0))&gt;0,($F$11-$I$4+VLOOKUP($R144,武学奇术!$A:$ZZ,9,FALSE)+SUM(_xlfn.XLOOKUP(S144:AL144,增益!$A:$A,增益!$I:$I,0)))/200,($F$11-$I$4+VLOOKUP($R144,武学奇术!$A:$ZZ,9,FALSE)+SUM(_xlfn.XLOOKUP(S144:AL144,增益!$A:$A,增益!$I:$I,0)))/100)</f>
        <v>-0.14</v>
      </c>
      <c r="BB144" s="29" cm="1">
        <f t="array" ref="BB144">$G$11+VLOOKUP($R144,武学奇术!$A:$ZZ,10,FALSE)+SUM(_xlfn.XLOOKUP(S144:AL144,增益!$A:$A,增益!$J:$J,0))</f>
        <v>0.12</v>
      </c>
      <c r="BC144">
        <f t="shared" si="48"/>
        <v>0</v>
      </c>
      <c r="BD144">
        <f t="shared" si="49"/>
        <v>0</v>
      </c>
      <c r="BE144" s="29" cm="1">
        <f t="array" ref="BE144">IF($F$12-$I$4+VLOOKUP($R144,武学奇术!$A:$ZZ,11,FALSE)+SUM(_xlfn.XLOOKUP(S144:AL144,增益!$A:$A,增益!$K:$K,0))&gt;0,($F$12-$I$4+VLOOKUP($R144,武学奇术!$A:$ZZ,11,FALSE)+SUM(_xlfn.XLOOKUP(S144:AL144,增益!$A:$A,增益!$K:$K,0)))/200,($F$12-$I$4+VLOOKUP($R144,武学奇术!$A:$ZZ,11,FALSE)+SUM(_xlfn.XLOOKUP(S144:AL144,增益!$A:$A,增益!$K:$K,0)))/100)</f>
        <v>-0.14</v>
      </c>
      <c r="BF144" s="29" cm="1">
        <f t="array" ref="BF144">$G$12+VLOOKUP($R144,武学奇术!$A:$ZZ,12,FALSE)+SUM(_xlfn.XLOOKUP(S144:AL144,增益!$A:$A,增益!$L:$L,0))</f>
        <v>0.02</v>
      </c>
      <c r="BG144">
        <f t="shared" si="50"/>
        <v>0</v>
      </c>
      <c r="BH144">
        <f t="shared" si="51"/>
        <v>0</v>
      </c>
      <c r="BI144" s="29" cm="1">
        <f t="array" ref="BI144">IF($F$13-$I$4+VLOOKUP($R144,武学奇术!$A:$ZZ,13,FALSE)+SUM(_xlfn.XLOOKUP(S144:AL144,增益!$A:$A,增益!$M:$M,0))&gt;0,($F$13-$I$4+VLOOKUP($R144,武学奇术!$A:$ZZ,13,FALSE)+SUM(_xlfn.XLOOKUP(S144:AL144,增益!$A:$A,增益!$K:$K,0)))/200,($F$13-$I$4+VLOOKUP($R144,武学奇术!$A:$ZZ,13,FALSE)+SUM(_xlfn.XLOOKUP(S144:AL144,增益!$A:$A,增益!$M:$M,0)))/100)</f>
        <v>-0.14</v>
      </c>
      <c r="BJ144" s="29" cm="1">
        <f t="array" ref="BJ144">$G$13+VLOOKUP($R144,武学奇术!$A:$ZZ,14,FALSE)+SUM(_xlfn.XLOOKUP(S144:AL144,增益!$A:$A,增益!$N:$N,0))</f>
        <v>0.02</v>
      </c>
      <c r="BK144">
        <f t="shared" si="52"/>
        <v>618.2</v>
      </c>
      <c r="BL144">
        <f t="shared" si="53"/>
        <v>1805</v>
      </c>
      <c r="BM144" s="29" cm="1">
        <f t="array" ref="BM144">IF($F$14-$I$4+VLOOKUP($R144,武学奇术!$A:$ZZ,15,FALSE)+SUM(_xlfn.XLOOKUP(S144:AL144,增益!$A:$A,增益!$O:$O,0))&gt;0,($F$14-$I$4+VLOOKUP($R144,武学奇术!$A:$ZZ,15,FALSE)+SUM(_xlfn.XLOOKUP(S144:AL144,增益!$A:$A,增益!$O:$O,0)))/200,($F$14-$I$4+VLOOKUP($R144,武学奇术!$A:$ZZ,15,FALSE)+SUM(_xlfn.XLOOKUP(S144:AL144,增益!$A:$A,增益!$O:$O,0)))/100)</f>
        <v>0.08</v>
      </c>
      <c r="BN144" s="29" cm="1">
        <f t="array" ref="BN144">$G$14+VLOOKUP($R144,武学奇术!$A:$ZZ,16,FALSE)+SUM(_xlfn.XLOOKUP(S144:AL144,增益!$A:$A,增益!$P:$P,0))</f>
        <v>0.17</v>
      </c>
      <c r="BO144" s="23">
        <f>MIN(IF(VLOOKUP($R144,武学奇术!$A:$ZZ,23,FALSE)=1,100%,$B$8),100%)</f>
        <v>0.9943</v>
      </c>
      <c r="BP144" s="23" cm="1">
        <f t="array" ref="BP144">IF(VLOOKUP($R144,武学奇术!$A:$ZZ,23,FALSE)=1,100%,MIN(80%,$B$9+VLOOKUP($R144,武学奇术!$A:$ZZ,17,FALSE)+SUM(_xlfn.XLOOKUP(S144:AL144,增益!$A:$A,增益!$Q:$Q,0)))+$B$11+SUM(_xlfn.XLOOKUP(S144:AL144,增益!$A:$A,增益!$U:$U,0)))*IF(VLOOKUP($R144,武学奇术!$A:$ZZ,24,FALSE)=1,0,1)</f>
        <v>0.8</v>
      </c>
      <c r="BQ144" s="23" cm="1">
        <f t="array" ref="BQ144">1+$B$13+VLOOKUP($R144,武学奇术!$A:$ZZ,18,FALSE)+SUM(_xlfn.XLOOKUP(S144:AL144,增益!$A:$A,增益!$R:$R,0))</f>
        <v>1.894</v>
      </c>
      <c r="BR144" s="23" cm="1">
        <f t="array" ref="BR144">IF(VLOOKUP($R144,武学奇术!$A:$ZZ,24,FALSE)=1,100%,MIN(40%,$B$10+VLOOKUP($R144,武学奇术!$A:$ZZ,19,FALSE)+SUM(_xlfn.XLOOKUP(S144:AL144,增益!$A:$A,增益!$S:$S,0)))+$B$12+SUM(_xlfn.XLOOKUP(S144:AL144,增益!$A:$A,增益!$V:$V,0)))*IF(VLOOKUP($R144,武学奇术!$A:$ZZ,23,FALSE)=1,0,1)</f>
        <v>0.0913</v>
      </c>
      <c r="BS144" s="23" cm="1">
        <f t="array" ref="BS144">1+$B$14+VLOOKUP($R144,武学奇术!$A:$ZZ,20,FALSE)+SUM(_xlfn.XLOOKUP(S144:AL144,增益!$A:$A,增益!$T:$T,0))</f>
        <v>1.35</v>
      </c>
      <c r="BT144" s="23">
        <f t="shared" si="54"/>
        <v>0.79544</v>
      </c>
      <c r="BU144" s="23">
        <f t="shared" si="55"/>
        <v>0.10808041</v>
      </c>
      <c r="BV144" s="23">
        <f>IF(VLOOKUP($R144,武学奇术!$A:$ZZ,22,FALSE)=1,0,(1-$BO144))*(1-$BR144)</f>
        <v>0.00517959000000003</v>
      </c>
      <c r="BW144" s="23" cm="1">
        <f t="array" ref="BW144">SUM(_xlfn.XLOOKUP(S144:AL144,增益!$A:$A,增益!$W:$W,0))+$I$5</f>
        <v>0.31</v>
      </c>
      <c r="BX144" s="23">
        <f>VLOOKUP($R144,武学奇术!$A:$ZZ,32,FALSE)</f>
        <v>0</v>
      </c>
      <c r="BY144" s="23" cm="1">
        <f t="array" ref="BY144">SUM(_xlfn.XLOOKUP($S144:$AL144,增益!$A:$A,增益!$X:$X,0))</f>
        <v>0</v>
      </c>
    </row>
    <row r="145" spans="11:77">
      <c r="K145" s="35">
        <f>$L145*VLOOKUP($R145,武学奇术!$A:$ZZ,31,FALSE)</f>
        <v>63083.966155485</v>
      </c>
      <c r="L145" s="69">
        <f t="shared" si="45"/>
        <v>61847.0256426324</v>
      </c>
      <c r="M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轻击",$B$21,0))*(1+IF(VLOOKUP($R145,武学奇术!$A:$ZZ,30,FALSE)="老鼠",$B$22,0))*(1+$BW145)*(1+$BX145)</f>
        <v>66593.6880908752</v>
      </c>
      <c r="N145" s="35">
        <f>(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轻击",$B$21,0))*(1+IF(VLOOKUP($R145,武学奇术!$A:$ZZ,30,FALSE)="老鼠",$B$22,0))*(1+$BW145))*(1+$BX145)</f>
        <v>53866.7952273161</v>
      </c>
      <c r="O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轻击",$B$21,0))*(1+IF(VLOOKUP($R145,武学奇术!$A:$ZZ,30,FALSE)="老鼠",$B$22,0))*(1+$BW145)*(1+$BX145)</f>
        <v>35160.3421810323</v>
      </c>
      <c r="P145" s="35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轻击",$B$21,0))*(1+IF(VLOOKUP($R145,武学奇术!$A:$ZZ,30,FALSE)="老鼠",$B$22,0))*(1+$BW145)*(1+$BX145)</f>
        <v>30419.3545640527</v>
      </c>
      <c r="Q145" s="70">
        <v>2</v>
      </c>
      <c r="R145" s="37" t="s">
        <v>106</v>
      </c>
      <c r="S145" s="37" t="s">
        <v>91</v>
      </c>
      <c r="T145" s="37" t="s">
        <v>185</v>
      </c>
      <c r="U145" s="37" t="s">
        <v>112</v>
      </c>
      <c r="V145" s="37" t="s">
        <v>113</v>
      </c>
      <c r="W145" s="37" t="s">
        <v>82</v>
      </c>
      <c r="X145" s="37" t="s">
        <v>81</v>
      </c>
      <c r="Y145" s="37" t="s">
        <v>109</v>
      </c>
      <c r="Z145" s="37" t="s">
        <v>81</v>
      </c>
      <c r="AA145" s="37" t="s">
        <v>84</v>
      </c>
      <c r="AB145" s="37" t="s">
        <v>183</v>
      </c>
      <c r="AC145" s="37" t="s">
        <v>186</v>
      </c>
      <c r="AD145" s="37" t="s">
        <v>85</v>
      </c>
      <c r="AE145" s="37" t="s">
        <v>86</v>
      </c>
      <c r="AF145" s="37" t="s">
        <v>81</v>
      </c>
      <c r="AG145" s="37" t="s">
        <v>87</v>
      </c>
      <c r="AH145" s="37" t="s">
        <v>88</v>
      </c>
      <c r="AI145" s="37" t="s">
        <v>81</v>
      </c>
      <c r="AJ145" s="37" t="s">
        <v>81</v>
      </c>
      <c r="AK145" s="37" t="s">
        <v>81</v>
      </c>
      <c r="AL145" s="37" t="s">
        <v>81</v>
      </c>
      <c r="AM145" t="str">
        <f>VLOOKUP($R145,武学奇术!$A:$ZZ,25,FALSE)</f>
        <v>绳镖</v>
      </c>
      <c r="AN145" s="23">
        <f>VLOOKUP($R145,武学奇术!$A:$ZZ,26,FALSE)</f>
        <v>0.3675</v>
      </c>
      <c r="AO145" s="24">
        <f>VLOOKUP($R145,武学奇术!$A:$ZZ,27,FALSE)*(1+IF(OR($AM145=$F$4,$AM145=$F$5),$B$23,0))</f>
        <v>0</v>
      </c>
      <c r="AP145" s="23">
        <f>VLOOKUP($R145,武学奇术!$A:$ZZ,28,FALSE)</f>
        <v>0.55125</v>
      </c>
      <c r="AQ145" s="24">
        <f>VLOOKUP($R145,武学奇术!$A:$ZZ,29,FALSE)*(1+IF(OR($AM145=$F$4,$AM145=$F$5),$B$23,0))</f>
        <v>0</v>
      </c>
      <c r="AR145" s="23" cm="1">
        <f t="array" ref="AR145">$G$3+IFERROR(VLOOKUP($AM145,$F$4:$G$7,2,FALSE),0)+VLOOKUP($R145,武学奇术!$A:$ZZ,2,FALSE)+SUM(_xlfn.XLOOKUP($S145:$AL145,增益!$A:$A,增益!$B:$B,0))</f>
        <v>1.5743</v>
      </c>
      <c r="AS145" s="23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4150.4</v>
      </c>
      <c r="AU145" cm="1">
        <f t="array" ref="AU145">$E$10*(1+$AS145)+VLOOKUP($R145,武学奇术!$A:$ZZ,4,FALSE)+SUM(_xlfn.XLOOKUP($S145:$AL145,增益!$A:$A,增益!$D:$D,0))-$I$2</f>
        <v>4150.4</v>
      </c>
      <c r="AV145" s="29" cm="1">
        <f t="array" ref="AV145">IF($F$10-$I$3+VLOOKUP($R145,武学奇术!$A:$ZZ,6,FALSE)+SUM(_xlfn.XLOOKUP(S145:AL145,增益!$A:$A,增益!$F:$F,0))&gt;0,($F$10-$I$3+VLOOKUP($R145,武学奇术!$A:$ZZ,6,FALSE)+SUM(_xlfn.XLOOKUP(S145:AL145,增益!$A:$A,增益!$F:$F,0)))/200,($F$10-$I$3+VLOOKUP($R145,武学奇术!$A:$ZZ,6,FALSE)+SUM(_xlfn.XLOOKUP(S145:AL145,增益!$A:$A,增益!$F:$F,0)))/100)</f>
        <v>0.4539</v>
      </c>
      <c r="AW145" s="29" cm="1">
        <f t="array" ref="AW145">$G$10+VLOOKUP($R145,武学奇术!$A:$ZZ,7,FALSE)+SUM(_xlfn.XLOOKUP(S145:AL145,增益!$A:$A,增益!$G:$G,0))</f>
        <v>0.29</v>
      </c>
      <c r="AX145" s="23" cm="1">
        <f t="array" ref="AX145">VLOOKUP($R145,武学奇术!$A:$ZZ,8,FALSE)+SUM(_xlfn.XLOOKUP(S145:AL145,增益!$A:$A,增益!$H:$H,0))</f>
        <v>0</v>
      </c>
      <c r="AY145">
        <f t="shared" si="46"/>
        <v>0</v>
      </c>
      <c r="AZ145">
        <f t="shared" si="47"/>
        <v>0</v>
      </c>
      <c r="BA145" s="29" cm="1">
        <f t="array" ref="BA145">IF($F$11-$I$4+VLOOKUP($R145,武学奇术!$A:$ZZ,9,FALSE)+SUM(_xlfn.XLOOKUP(S145:AL145,增益!$A:$A,增益!$I:$I,0))&gt;0,($F$11-$I$4+VLOOKUP($R145,武学奇术!$A:$ZZ,9,FALSE)+SUM(_xlfn.XLOOKUP(S145:AL145,增益!$A:$A,增益!$I:$I,0)))/200,($F$11-$I$4+VLOOKUP($R145,武学奇术!$A:$ZZ,9,FALSE)+SUM(_xlfn.XLOOKUP(S145:AL145,增益!$A:$A,增益!$I:$I,0)))/100)</f>
        <v>-0.14</v>
      </c>
      <c r="BB145" s="29" cm="1">
        <f t="array" ref="BB145">$G$11+VLOOKUP($R145,武学奇术!$A:$ZZ,10,FALSE)+SUM(_xlfn.XLOOKUP(S145:AL145,增益!$A:$A,增益!$J:$J,0))</f>
        <v>0.12</v>
      </c>
      <c r="BC145">
        <f t="shared" si="48"/>
        <v>0</v>
      </c>
      <c r="BD145">
        <f t="shared" si="49"/>
        <v>0</v>
      </c>
      <c r="BE145" s="29" cm="1">
        <f t="array" ref="BE145">IF($F$12-$I$4+VLOOKUP($R145,武学奇术!$A:$ZZ,11,FALSE)+SUM(_xlfn.XLOOKUP(S145:AL145,增益!$A:$A,增益!$K:$K,0))&gt;0,($F$12-$I$4+VLOOKUP($R145,武学奇术!$A:$ZZ,11,FALSE)+SUM(_xlfn.XLOOKUP(S145:AL145,增益!$A:$A,增益!$K:$K,0)))/200,($F$12-$I$4+VLOOKUP($R145,武学奇术!$A:$ZZ,11,FALSE)+SUM(_xlfn.XLOOKUP(S145:AL145,增益!$A:$A,增益!$K:$K,0)))/100)</f>
        <v>-0.14</v>
      </c>
      <c r="BF145" s="29" cm="1">
        <f t="array" ref="BF145">$G$12+VLOOKUP($R145,武学奇术!$A:$ZZ,12,FALSE)+SUM(_xlfn.XLOOKUP(S145:AL145,增益!$A:$A,增益!$L:$L,0))</f>
        <v>0.02</v>
      </c>
      <c r="BG145">
        <f t="shared" si="50"/>
        <v>0</v>
      </c>
      <c r="BH145">
        <f t="shared" si="51"/>
        <v>0</v>
      </c>
      <c r="BI145" s="29" cm="1">
        <f t="array" ref="BI145">IF($F$13-$I$4+VLOOKUP($R145,武学奇术!$A:$ZZ,13,FALSE)+SUM(_xlfn.XLOOKUP(S145:AL145,增益!$A:$A,增益!$M:$M,0))&gt;0,($F$13-$I$4+VLOOKUP($R145,武学奇术!$A:$ZZ,13,FALSE)+SUM(_xlfn.XLOOKUP(S145:AL145,增益!$A:$A,增益!$K:$K,0)))/200,($F$13-$I$4+VLOOKUP($R145,武学奇术!$A:$ZZ,13,FALSE)+SUM(_xlfn.XLOOKUP(S145:AL145,增益!$A:$A,增益!$M:$M,0)))/100)</f>
        <v>-0.14</v>
      </c>
      <c r="BJ145" s="29" cm="1">
        <f t="array" ref="BJ145">$G$13+VLOOKUP($R145,武学奇术!$A:$ZZ,14,FALSE)+SUM(_xlfn.XLOOKUP(S145:AL145,增益!$A:$A,增益!$N:$N,0))</f>
        <v>0.02</v>
      </c>
      <c r="BK145">
        <f t="shared" si="52"/>
        <v>618.2</v>
      </c>
      <c r="BL145">
        <f t="shared" si="53"/>
        <v>1805</v>
      </c>
      <c r="BM145" s="29" cm="1">
        <f t="array" ref="BM145">IF($F$14-$I$4+VLOOKUP($R145,武学奇术!$A:$ZZ,15,FALSE)+SUM(_xlfn.XLOOKUP(S145:AL145,增益!$A:$A,增益!$O:$O,0))&gt;0,($F$14-$I$4+VLOOKUP($R145,武学奇术!$A:$ZZ,15,FALSE)+SUM(_xlfn.XLOOKUP(S145:AL145,增益!$A:$A,增益!$O:$O,0)))/200,($F$14-$I$4+VLOOKUP($R145,武学奇术!$A:$ZZ,15,FALSE)+SUM(_xlfn.XLOOKUP(S145:AL145,增益!$A:$A,增益!$O:$O,0)))/100)</f>
        <v>0.13</v>
      </c>
      <c r="BN145" s="29" cm="1">
        <f t="array" ref="BN145">$G$14+VLOOKUP($R145,武学奇术!$A:$ZZ,16,FALSE)+SUM(_xlfn.XLOOKUP(S145:AL145,增益!$A:$A,增益!$P:$P,0))</f>
        <v>0.44</v>
      </c>
      <c r="BO145" s="23">
        <f>MIN(IF(VLOOKUP($R145,武学奇术!$A:$ZZ,23,FALSE)=1,100%,$B$8),100%)</f>
        <v>0.9943</v>
      </c>
      <c r="BP145" s="23" cm="1">
        <f t="array" ref="BP145">IF(VLOOKUP($R145,武学奇术!$A:$ZZ,23,FALSE)=1,100%,MIN(80%,$B$9+VLOOKUP($R145,武学奇术!$A:$ZZ,17,FALSE)+SUM(_xlfn.XLOOKUP(S145:AL145,增益!$A:$A,增益!$Q:$Q,0)))+$B$11+SUM(_xlfn.XLOOKUP(S145:AL145,增益!$A:$A,增益!$U:$U,0)))*IF(VLOOKUP($R145,武学奇术!$A:$ZZ,24,FALSE)=1,0,1)</f>
        <v>0.8</v>
      </c>
      <c r="BQ145" s="23" cm="1">
        <f t="array" ref="BQ145">1+$B$13+VLOOKUP($R145,武学奇术!$A:$ZZ,18,FALSE)+SUM(_xlfn.XLOOKUP(S145:AL145,增益!$A:$A,增益!$R:$R,0))</f>
        <v>1.894</v>
      </c>
      <c r="BR145" s="23" cm="1">
        <f t="array" ref="BR145">IF(VLOOKUP($R145,武学奇术!$A:$ZZ,24,FALSE)=1,100%,MIN(40%,$B$10+VLOOKUP($R145,武学奇术!$A:$ZZ,19,FALSE)+SUM(_xlfn.XLOOKUP(S145:AL145,增益!$A:$A,增益!$S:$S,0)))+$B$12+SUM(_xlfn.XLOOKUP(S145:AL145,增益!$A:$A,增益!$V:$V,0)))*IF(VLOOKUP($R145,武学奇术!$A:$ZZ,23,FALSE)=1,0,1)</f>
        <v>0.0913</v>
      </c>
      <c r="BS145" s="23" cm="1">
        <f t="array" ref="BS145">1+$B$14+VLOOKUP($R145,武学奇术!$A:$ZZ,20,FALSE)+SUM(_xlfn.XLOOKUP(S145:AL145,增益!$A:$A,增益!$T:$T,0))</f>
        <v>1.35</v>
      </c>
      <c r="BT145" s="23">
        <f t="shared" si="54"/>
        <v>0.79544</v>
      </c>
      <c r="BU145" s="23">
        <f t="shared" si="55"/>
        <v>0.10808041</v>
      </c>
      <c r="BV145" s="23">
        <f>IF(VLOOKUP($R145,武学奇术!$A:$ZZ,22,FALSE)=1,0,(1-$BO145))*(1-$BR145)</f>
        <v>0.00517958999999993</v>
      </c>
      <c r="BW145" s="23" cm="1">
        <f t="array" ref="BW145">SUM(_xlfn.XLOOKUP(S145:AL145,增益!$A:$A,增益!$W:$W,0))+$I$5</f>
        <v>0.31</v>
      </c>
      <c r="BX145" s="23">
        <f>VLOOKUP($R145,武学奇术!$A:$ZZ,32,FALSE)</f>
        <v>0</v>
      </c>
      <c r="BY145" s="23" cm="1">
        <f t="array" ref="BY145">SUM(_xlfn.XLOOKUP($S145:$AL145,增益!$A:$A,增益!$X:$X,0))</f>
        <v>0</v>
      </c>
    </row>
    <row r="146" spans="11:77">
      <c r="K146" s="35">
        <f>$L146*VLOOKUP($R146,武学奇术!$A:$ZZ,31,FALSE)</f>
        <v>221392.532684581</v>
      </c>
      <c r="L146" s="90">
        <f>SUM(L120,L122,L129,L133,L141,L143,L145)*30%*(1+BY146)</f>
        <v>434103.005263884</v>
      </c>
      <c r="M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轻击",$B$21,0))*(1+IF(VLOOKUP($R146,武学奇术!$A:$ZZ,30,FALSE)="老鼠",$B$22,0))*(1+$BW146)*(1+$BX146)</f>
        <v>0</v>
      </c>
      <c r="N146" s="35">
        <f>(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轻击",$B$21,0))*(1+IF(VLOOKUP($R146,武学奇术!$A:$ZZ,30,FALSE)="老鼠",$B$22,0))*(1+$BW146))*(1+$BX146)</f>
        <v>0</v>
      </c>
      <c r="O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轻击",$B$21,0))*(1+IF(VLOOKUP($R146,武学奇术!$A:$ZZ,30,FALSE)="老鼠",$B$22,0))*(1+$BW146)*(1+$BX146)</f>
        <v>0</v>
      </c>
      <c r="P146" s="35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轻击",$B$21,0))*(1+IF(VLOOKUP($R146,武学奇术!$A:$ZZ,30,FALSE)="老鼠",$B$22,0))*(1+$BW146)*(1+$BX146)</f>
        <v>0</v>
      </c>
      <c r="Q146" s="36">
        <v>1</v>
      </c>
      <c r="R146" s="37" t="s">
        <v>177</v>
      </c>
      <c r="S146" s="37" t="s">
        <v>178</v>
      </c>
      <c r="T146" s="37" t="s">
        <v>81</v>
      </c>
      <c r="U146" s="37" t="s">
        <v>81</v>
      </c>
      <c r="V146" s="37" t="s">
        <v>81</v>
      </c>
      <c r="W146" s="37" t="s">
        <v>81</v>
      </c>
      <c r="X146" s="37" t="s">
        <v>81</v>
      </c>
      <c r="Y146" s="37" t="s">
        <v>81</v>
      </c>
      <c r="Z146" s="37" t="s">
        <v>81</v>
      </c>
      <c r="AA146" s="37" t="s">
        <v>81</v>
      </c>
      <c r="AB146" s="37" t="s">
        <v>81</v>
      </c>
      <c r="AC146" s="37" t="s">
        <v>81</v>
      </c>
      <c r="AD146" s="37" t="s">
        <v>81</v>
      </c>
      <c r="AE146" s="37" t="s">
        <v>81</v>
      </c>
      <c r="AF146" s="37" t="s">
        <v>81</v>
      </c>
      <c r="AG146" s="37" t="s">
        <v>87</v>
      </c>
      <c r="AH146" s="37" t="s">
        <v>88</v>
      </c>
      <c r="AI146" s="37" t="s">
        <v>81</v>
      </c>
      <c r="AJ146" s="37" t="s">
        <v>81</v>
      </c>
      <c r="AK146" s="37" t="s">
        <v>81</v>
      </c>
      <c r="AL146" s="37" t="s">
        <v>81</v>
      </c>
      <c r="AM146" t="str">
        <f>VLOOKUP($R146,武学奇术!$A:$ZZ,25,FALSE)</f>
        <v>心法</v>
      </c>
      <c r="AN146" s="23">
        <f>VLOOKUP($R146,武学奇术!$A:$ZZ,26,FALSE)</f>
        <v>0</v>
      </c>
      <c r="AO146" s="24">
        <f>VLOOKUP($R146,武学奇术!$A:$ZZ,27,FALSE)*(1+IF(OR($AM146=$F$4,$AM146=$F$5),$B$23,0))</f>
        <v>0</v>
      </c>
      <c r="AP146" s="23">
        <f>VLOOKUP($R146,武学奇术!$A:$ZZ,28,FALSE)</f>
        <v>0</v>
      </c>
      <c r="AQ146" s="24">
        <f>VLOOKUP($R146,武学奇术!$A:$ZZ,29,FALSE)*(1+IF(OR($AM146=$F$4,$AM146=$F$5),$B$23,0))</f>
        <v>0</v>
      </c>
      <c r="AR146" s="23" cm="1">
        <f t="array" ref="AR146">$G$3+IFERROR(VLOOKUP($AM146,$F$4:$G$7,2,FALSE),0)+VLOOKUP($R146,武学奇术!$A:$ZZ,2,FALSE)+SUM(_xlfn.XLOOKUP($S146:$AL146,增益!$A:$A,增益!$B:$B,0))</f>
        <v>0.1842</v>
      </c>
      <c r="AS146" s="23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4081.7</v>
      </c>
      <c r="AU146" cm="1">
        <f t="array" ref="AU146">$E$10*(1+$AS146)+VLOOKUP($R146,武学奇术!$A:$ZZ,4,FALSE)+SUM(_xlfn.XLOOKUP($S146:$AL146,增益!$A:$A,增益!$D:$D,0))-$I$2</f>
        <v>4081.7</v>
      </c>
      <c r="AV146" s="29" cm="1">
        <f t="array" ref="AV146">IF($F$10-$I$3+VLOOKUP($R146,武学奇术!$A:$ZZ,6,FALSE)+SUM(_xlfn.XLOOKUP(S146:AL146,增益!$A:$A,增益!$F:$F,0))&gt;0,($F$10-$I$3+VLOOKUP($R146,武学奇术!$A:$ZZ,6,FALSE)+SUM(_xlfn.XLOOKUP(S146:AL146,增益!$A:$A,增益!$F:$F,0)))/200,($F$10-$I$3+VLOOKUP($R146,武学奇术!$A:$ZZ,6,FALSE)+SUM(_xlfn.XLOOKUP(S146:AL146,增益!$A:$A,增益!$F:$F,0)))/100)</f>
        <v>0.2789</v>
      </c>
      <c r="AW146" s="29" cm="1">
        <f t="array" ref="AW146">$G$10+VLOOKUP($R146,武学奇术!$A:$ZZ,7,FALSE)+SUM(_xlfn.XLOOKUP(S146:AL146,增益!$A:$A,增益!$G:$G,0))</f>
        <v>0.02</v>
      </c>
      <c r="AX146" s="23" cm="1">
        <f t="array" ref="AX146">VLOOKUP($R146,武学奇术!$A:$ZZ,8,FALSE)+SUM(_xlfn.XLOOKUP(S146:AL146,增益!$A:$A,增益!$H:$H,0))</f>
        <v>0</v>
      </c>
      <c r="AY146">
        <f t="shared" si="46"/>
        <v>0</v>
      </c>
      <c r="AZ146">
        <f t="shared" si="47"/>
        <v>0</v>
      </c>
      <c r="BA146" s="29" cm="1">
        <f t="array" ref="BA146">IF($F$11-$I$4+VLOOKUP($R146,武学奇术!$A:$ZZ,9,FALSE)+SUM(_xlfn.XLOOKUP(S146:AL146,增益!$A:$A,增益!$I:$I,0))&gt;0,($F$11-$I$4+VLOOKUP($R146,武学奇术!$A:$ZZ,9,FALSE)+SUM(_xlfn.XLOOKUP(S146:AL146,增益!$A:$A,增益!$I:$I,0)))/200,($F$11-$I$4+VLOOKUP($R146,武学奇术!$A:$ZZ,9,FALSE)+SUM(_xlfn.XLOOKUP(S146:AL146,增益!$A:$A,增益!$I:$I,0)))/100)</f>
        <v>-0.3</v>
      </c>
      <c r="BB146" s="29" cm="1">
        <f t="array" ref="BB146">$G$11+VLOOKUP($R146,武学奇术!$A:$ZZ,10,FALSE)+SUM(_xlfn.XLOOKUP(S146:AL146,增益!$A:$A,增益!$J:$J,0))</f>
        <v>0.02</v>
      </c>
      <c r="BC146">
        <f t="shared" si="48"/>
        <v>0</v>
      </c>
      <c r="BD146">
        <f t="shared" si="49"/>
        <v>0</v>
      </c>
      <c r="BE146" s="29" cm="1">
        <f t="array" ref="BE146">IF($F$12-$I$4+VLOOKUP($R146,武学奇术!$A:$ZZ,11,FALSE)+SUM(_xlfn.XLOOKUP(S146:AL146,增益!$A:$A,增益!$K:$K,0))&gt;0,($F$12-$I$4+VLOOKUP($R146,武学奇术!$A:$ZZ,11,FALSE)+SUM(_xlfn.XLOOKUP(S146:AL146,增益!$A:$A,增益!$K:$K,0)))/200,($F$12-$I$4+VLOOKUP($R146,武学奇术!$A:$ZZ,11,FALSE)+SUM(_xlfn.XLOOKUP(S146:AL146,增益!$A:$A,增益!$K:$K,0)))/100)</f>
        <v>-0.3</v>
      </c>
      <c r="BF146" s="29" cm="1">
        <f t="array" ref="BF146">$G$12+VLOOKUP($R146,武学奇术!$A:$ZZ,12,FALSE)+SUM(_xlfn.XLOOKUP(S146:AL146,增益!$A:$A,增益!$L:$L,0))</f>
        <v>0.02</v>
      </c>
      <c r="BG146">
        <f t="shared" si="50"/>
        <v>0</v>
      </c>
      <c r="BH146">
        <f t="shared" si="51"/>
        <v>0</v>
      </c>
      <c r="BI146" s="29" cm="1">
        <f t="array" ref="BI146">IF($F$13-$I$4+VLOOKUP($R146,武学奇术!$A:$ZZ,13,FALSE)+SUM(_xlfn.XLOOKUP(S146:AL146,增益!$A:$A,增益!$M:$M,0))&gt;0,($F$13-$I$4+VLOOKUP($R146,武学奇术!$A:$ZZ,13,FALSE)+SUM(_xlfn.XLOOKUP(S146:AL146,增益!$A:$A,增益!$K:$K,0)))/200,($F$13-$I$4+VLOOKUP($R146,武学奇术!$A:$ZZ,13,FALSE)+SUM(_xlfn.XLOOKUP(S146:AL146,增益!$A:$A,增益!$M:$M,0)))/100)</f>
        <v>-0.3</v>
      </c>
      <c r="BJ146" s="29" cm="1">
        <f t="array" ref="BJ146">$G$13+VLOOKUP($R146,武学奇术!$A:$ZZ,14,FALSE)+SUM(_xlfn.XLOOKUP(S146:AL146,增益!$A:$A,增益!$N:$N,0))</f>
        <v>0.02</v>
      </c>
      <c r="BK146">
        <f t="shared" si="52"/>
        <v>618.2</v>
      </c>
      <c r="BL146">
        <f t="shared" si="53"/>
        <v>1805</v>
      </c>
      <c r="BM146" s="29" cm="1">
        <f t="array" ref="BM146">IF($F$14-$I$4+VLOOKUP($R146,武学奇术!$A:$ZZ,15,FALSE)+SUM(_xlfn.XLOOKUP(S146:AL146,增益!$A:$A,增益!$O:$O,0))&gt;0,($F$14-$I$4+VLOOKUP($R146,武学奇术!$A:$ZZ,15,FALSE)+SUM(_xlfn.XLOOKUP(S146:AL146,增益!$A:$A,增益!$O:$O,0)))/200,($F$14-$I$4+VLOOKUP($R146,武学奇术!$A:$ZZ,15,FALSE)+SUM(_xlfn.XLOOKUP(S146:AL146,增益!$A:$A,增益!$O:$O,0)))/100)</f>
        <v>0</v>
      </c>
      <c r="BN146" s="29" cm="1">
        <f t="array" ref="BN146">$G$14+VLOOKUP($R146,武学奇术!$A:$ZZ,16,FALSE)+SUM(_xlfn.XLOOKUP(S146:AL146,增益!$A:$A,增益!$P:$P,0))</f>
        <v>0.17</v>
      </c>
      <c r="BO146" s="23">
        <f>MIN(IF(VLOOKUP($R146,武学奇术!$A:$ZZ,23,FALSE)=1,100%,$B$8),100%)</f>
        <v>0.9943</v>
      </c>
      <c r="BP146" s="23" cm="1">
        <f t="array" ref="BP146">IF(VLOOKUP($R146,武学奇术!$A:$ZZ,23,FALSE)=1,100%,MIN(80%,$B$9+VLOOKUP($R146,武学奇术!$A:$ZZ,17,FALSE)+SUM(_xlfn.XLOOKUP(S146:AL146,增益!$A:$A,增益!$Q:$Q,0)))+$B$11+SUM(_xlfn.XLOOKUP(S146:AL146,增益!$A:$A,增益!$U:$U,0)))*IF(VLOOKUP($R146,武学奇术!$A:$ZZ,24,FALSE)=1,0,1)</f>
        <v>0.8</v>
      </c>
      <c r="BQ146" s="23" cm="1">
        <f t="array" ref="BQ146">1+$B$13+VLOOKUP($R146,武学奇术!$A:$ZZ,18,FALSE)+SUM(_xlfn.XLOOKUP(S146:AL146,增益!$A:$A,增益!$R:$R,0))</f>
        <v>1.544</v>
      </c>
      <c r="BR146" s="23" cm="1">
        <f t="array" ref="BR146">IF(VLOOKUP($R146,武学奇术!$A:$ZZ,24,FALSE)=1,100%,MIN(40%,$B$10+VLOOKUP($R146,武学奇术!$A:$ZZ,19,FALSE)+SUM(_xlfn.XLOOKUP(S146:AL146,增益!$A:$A,增益!$S:$S,0)))+$B$12+SUM(_xlfn.XLOOKUP(S146:AL146,增益!$A:$A,增益!$V:$V,0)))*IF(VLOOKUP($R146,武学奇术!$A:$ZZ,23,FALSE)=1,0,1)</f>
        <v>0.0913</v>
      </c>
      <c r="BS146" s="23" cm="1">
        <f t="array" ref="BS146">1+$B$14+VLOOKUP($R146,武学奇术!$A:$ZZ,20,FALSE)+SUM(_xlfn.XLOOKUP(S146:AL146,增益!$A:$A,增益!$T:$T,0))</f>
        <v>1.35</v>
      </c>
      <c r="BT146" s="23">
        <f t="shared" si="54"/>
        <v>0.79544</v>
      </c>
      <c r="BU146" s="23">
        <f t="shared" si="55"/>
        <v>0.10808041</v>
      </c>
      <c r="BV146" s="23">
        <f>IF(VLOOKUP($R146,武学奇术!$A:$ZZ,22,FALSE)=1,0,(1-$BO146))*(1-$BR146)</f>
        <v>0.00517958999999993</v>
      </c>
      <c r="BW146" s="23" cm="1">
        <f t="array" ref="BW146">SUM(_xlfn.XLOOKUP(S146:AL146,增益!$A:$A,增益!$W:$W,0))+$I$5</f>
        <v>0.11</v>
      </c>
      <c r="BX146" s="23">
        <f>VLOOKUP($R146,武学奇术!$A:$ZZ,32,FALSE)</f>
        <v>0</v>
      </c>
      <c r="BY146" s="23" cm="1">
        <f t="array" ref="BY146">SUM(_xlfn.XLOOKUP($S146:$AL146,增益!$A:$A,增益!$X:$X,0))</f>
        <v>0.2</v>
      </c>
    </row>
    <row r="147" spans="11:77">
      <c r="K147" s="35">
        <f>$L147*VLOOKUP($R147,武学奇术!$A:$ZZ,31,FALSE)</f>
        <v>0</v>
      </c>
      <c r="L147" s="35">
        <f>($M147*$BT147+$N147*$BR147+$O147*$BU147+$P147*$BV147)</f>
        <v>0</v>
      </c>
      <c r="M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轻击",$B$21,0))*(1+IF(VLOOKUP($R147,武学奇术!$A:$ZZ,30,FALSE)="老鼠",$B$22,0))*(1+$BW147)*(1+$BX147)</f>
        <v>0</v>
      </c>
      <c r="N147" s="35">
        <f>(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轻击",$B$21,0))*(1+IF(VLOOKUP($R147,武学奇术!$A:$ZZ,30,FALSE)="老鼠",$B$22,0))*(1+$BW147))*(1+$BX147)</f>
        <v>0</v>
      </c>
      <c r="O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轻击",$B$21,0))*(1+IF(VLOOKUP($R147,武学奇术!$A:$ZZ,30,FALSE)="老鼠",$B$22,0))*(1+$BW147)*(1+$BX147)</f>
        <v>0</v>
      </c>
      <c r="P147" s="35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轻击",$B$21,0))*(1+IF(VLOOKUP($R147,武学奇术!$A:$ZZ,30,FALSE)="老鼠",$B$22,0))*(1+$BW147)*(1+$BX147)</f>
        <v>0</v>
      </c>
      <c r="Q147" s="36">
        <v>1</v>
      </c>
      <c r="R147" s="37" t="s">
        <v>81</v>
      </c>
      <c r="S147" s="37" t="s">
        <v>81</v>
      </c>
      <c r="T147" s="37" t="s">
        <v>81</v>
      </c>
      <c r="U147" s="37" t="s">
        <v>81</v>
      </c>
      <c r="V147" s="37" t="s">
        <v>81</v>
      </c>
      <c r="W147" s="37" t="s">
        <v>81</v>
      </c>
      <c r="X147" s="37" t="s">
        <v>81</v>
      </c>
      <c r="Y147" s="37" t="s">
        <v>81</v>
      </c>
      <c r="Z147" s="37" t="s">
        <v>81</v>
      </c>
      <c r="AA147" s="37" t="s">
        <v>81</v>
      </c>
      <c r="AB147" s="37" t="s">
        <v>81</v>
      </c>
      <c r="AC147" s="37" t="s">
        <v>81</v>
      </c>
      <c r="AD147" s="37" t="s">
        <v>81</v>
      </c>
      <c r="AE147" s="37" t="s">
        <v>81</v>
      </c>
      <c r="AF147" s="37" t="s">
        <v>81</v>
      </c>
      <c r="AG147" s="37" t="s">
        <v>87</v>
      </c>
      <c r="AH147" s="37" t="s">
        <v>88</v>
      </c>
      <c r="AI147" s="37" t="s">
        <v>81</v>
      </c>
      <c r="AJ147" s="37" t="s">
        <v>81</v>
      </c>
      <c r="AK147" s="37" t="s">
        <v>81</v>
      </c>
      <c r="AL147" s="37" t="s">
        <v>81</v>
      </c>
      <c r="AM147" t="str">
        <f>VLOOKUP($R147,武学奇术!$A:$ZZ,25,FALSE)</f>
        <v>心法</v>
      </c>
      <c r="AN147" s="23">
        <f>VLOOKUP($R147,武学奇术!$A:$ZZ,26,FALSE)</f>
        <v>0</v>
      </c>
      <c r="AO147" s="24">
        <f>VLOOKUP($R147,武学奇术!$A:$ZZ,27,FALSE)*(1+IF(OR($AM147=$F$4,$AM147=$F$5),$B$23,0))</f>
        <v>0</v>
      </c>
      <c r="AP147" s="23">
        <f>VLOOKUP($R147,武学奇术!$A:$ZZ,28,FALSE)</f>
        <v>0</v>
      </c>
      <c r="AQ147" s="24">
        <f>VLOOKUP($R147,武学奇术!$A:$ZZ,29,FALSE)*(1+IF(OR($AM147=$F$4,$AM147=$F$5),$B$23,0))</f>
        <v>0</v>
      </c>
      <c r="AR147" s="23" cm="1">
        <f t="array" ref="AR147">$G$3+IFERROR(VLOOKUP($AM147,$F$4:$G$7,2,FALSE),0)+VLOOKUP($R147,武学奇术!$A:$ZZ,2,FALSE)+SUM(_xlfn.XLOOKUP($S147:$AL147,增益!$A:$A,增益!$B:$B,0))</f>
        <v>0.1842</v>
      </c>
      <c r="AS147" s="23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4081.7</v>
      </c>
      <c r="AU147" cm="1">
        <f t="array" ref="AU147">$E$10*(1+$AS147)+VLOOKUP($R147,武学奇术!$A:$ZZ,4,FALSE)+SUM(_xlfn.XLOOKUP($S147:$AL147,增益!$A:$A,增益!$D:$D,0))-$I$2</f>
        <v>4081.7</v>
      </c>
      <c r="AV147" s="29" cm="1">
        <f t="array" ref="AV147">IF($F$10-$I$3+VLOOKUP($R147,武学奇术!$A:$ZZ,6,FALSE)+SUM(_xlfn.XLOOKUP(S147:AL147,增益!$A:$A,增益!$F:$F,0))&gt;0,($F$10-$I$3+VLOOKUP($R147,武学奇术!$A:$ZZ,6,FALSE)+SUM(_xlfn.XLOOKUP(S147:AL147,增益!$A:$A,增益!$F:$F,0)))/200,($F$10-$I$3+VLOOKUP($R147,武学奇术!$A:$ZZ,6,FALSE)+SUM(_xlfn.XLOOKUP(S147:AL147,增益!$A:$A,增益!$F:$F,0)))/100)</f>
        <v>0.2789</v>
      </c>
      <c r="AW147" s="29" cm="1">
        <f t="array" ref="AW147">$G$10+VLOOKUP($R147,武学奇术!$A:$ZZ,7,FALSE)+SUM(_xlfn.XLOOKUP(S147:AL147,增益!$A:$A,增益!$G:$G,0))</f>
        <v>0.02</v>
      </c>
      <c r="AX147" s="23" cm="1">
        <f t="array" ref="AX147">VLOOKUP($R147,武学奇术!$A:$ZZ,8,FALSE)+SUM(_xlfn.XLOOKUP(S147:AL147,增益!$A:$A,增益!$H:$H,0))</f>
        <v>0</v>
      </c>
      <c r="AY147">
        <f t="shared" si="46"/>
        <v>0</v>
      </c>
      <c r="AZ147">
        <f t="shared" si="47"/>
        <v>0</v>
      </c>
      <c r="BA147" s="29" cm="1">
        <f t="array" ref="BA147">IF($F$11-$I$4+VLOOKUP($R147,武学奇术!$A:$ZZ,9,FALSE)+SUM(_xlfn.XLOOKUP(S147:AL147,增益!$A:$A,增益!$I:$I,0))&gt;0,($F$11-$I$4+VLOOKUP($R147,武学奇术!$A:$ZZ,9,FALSE)+SUM(_xlfn.XLOOKUP(S147:AL147,增益!$A:$A,增益!$I:$I,0)))/200,($F$11-$I$4+VLOOKUP($R147,武学奇术!$A:$ZZ,9,FALSE)+SUM(_xlfn.XLOOKUP(S147:AL147,增益!$A:$A,增益!$I:$I,0)))/100)</f>
        <v>-0.3</v>
      </c>
      <c r="BB147" s="29" cm="1">
        <f t="array" ref="BB147">$G$11+VLOOKUP($R147,武学奇术!$A:$ZZ,10,FALSE)+SUM(_xlfn.XLOOKUP(S147:AL147,增益!$A:$A,增益!$J:$J,0))</f>
        <v>0.02</v>
      </c>
      <c r="BC147">
        <f t="shared" si="48"/>
        <v>0</v>
      </c>
      <c r="BD147">
        <f t="shared" si="49"/>
        <v>0</v>
      </c>
      <c r="BE147" s="29" cm="1">
        <f t="array" ref="BE147">IF($F$12-$I$4+VLOOKUP($R147,武学奇术!$A:$ZZ,11,FALSE)+SUM(_xlfn.XLOOKUP(S147:AL147,增益!$A:$A,增益!$K:$K,0))&gt;0,($F$12-$I$4+VLOOKUP($R147,武学奇术!$A:$ZZ,11,FALSE)+SUM(_xlfn.XLOOKUP(S147:AL147,增益!$A:$A,增益!$K:$K,0)))/200,($F$12-$I$4+VLOOKUP($R147,武学奇术!$A:$ZZ,11,FALSE)+SUM(_xlfn.XLOOKUP(S147:AL147,增益!$A:$A,增益!$K:$K,0)))/100)</f>
        <v>-0.3</v>
      </c>
      <c r="BF147" s="29" cm="1">
        <f t="array" ref="BF147">$G$12+VLOOKUP($R147,武学奇术!$A:$ZZ,12,FALSE)+SUM(_xlfn.XLOOKUP(S147:AL147,增益!$A:$A,增益!$L:$L,0))</f>
        <v>0.02</v>
      </c>
      <c r="BG147">
        <f t="shared" si="50"/>
        <v>0</v>
      </c>
      <c r="BH147">
        <f t="shared" si="51"/>
        <v>0</v>
      </c>
      <c r="BI147" s="29" cm="1">
        <f t="array" ref="BI147">IF($F$13-$I$4+VLOOKUP($R147,武学奇术!$A:$ZZ,13,FALSE)+SUM(_xlfn.XLOOKUP(S147:AL147,增益!$A:$A,增益!$M:$M,0))&gt;0,($F$13-$I$4+VLOOKUP($R147,武学奇术!$A:$ZZ,13,FALSE)+SUM(_xlfn.XLOOKUP(S147:AL147,增益!$A:$A,增益!$K:$K,0)))/200,($F$13-$I$4+VLOOKUP($R147,武学奇术!$A:$ZZ,13,FALSE)+SUM(_xlfn.XLOOKUP(S147:AL147,增益!$A:$A,增益!$M:$M,0)))/100)</f>
        <v>-0.3</v>
      </c>
      <c r="BJ147" s="29" cm="1">
        <f t="array" ref="BJ147">$G$13+VLOOKUP($R147,武学奇术!$A:$ZZ,14,FALSE)+SUM(_xlfn.XLOOKUP(S147:AL147,增益!$A:$A,增益!$N:$N,0))</f>
        <v>0.02</v>
      </c>
      <c r="BK147">
        <f t="shared" si="52"/>
        <v>618.2</v>
      </c>
      <c r="BL147">
        <f t="shared" si="53"/>
        <v>1805</v>
      </c>
      <c r="BM147" s="29" cm="1">
        <f t="array" ref="BM147">IF($F$14-$I$4+VLOOKUP($R147,武学奇术!$A:$ZZ,15,FALSE)+SUM(_xlfn.XLOOKUP(S147:AL147,增益!$A:$A,增益!$O:$O,0))&gt;0,($F$14-$I$4+VLOOKUP($R147,武学奇术!$A:$ZZ,15,FALSE)+SUM(_xlfn.XLOOKUP(S147:AL147,增益!$A:$A,增益!$O:$O,0)))/200,($F$14-$I$4+VLOOKUP($R147,武学奇术!$A:$ZZ,15,FALSE)+SUM(_xlfn.XLOOKUP(S147:AL147,增益!$A:$A,增益!$O:$O,0)))/100)</f>
        <v>0</v>
      </c>
      <c r="BN147" s="29" cm="1">
        <f t="array" ref="BN147">$G$14+VLOOKUP($R147,武学奇术!$A:$ZZ,16,FALSE)+SUM(_xlfn.XLOOKUP(S147:AL147,增益!$A:$A,增益!$P:$P,0))</f>
        <v>0.17</v>
      </c>
      <c r="BO147" s="23">
        <f>MIN(IF(VLOOKUP($R147,武学奇术!$A:$ZZ,23,FALSE)=1,100%,$B$8),100%)</f>
        <v>0.9943</v>
      </c>
      <c r="BP147" s="23" cm="1">
        <f t="array" ref="BP147">IF(VLOOKUP($R147,武学奇术!$A:$ZZ,23,FALSE)=1,100%,MIN(80%,$B$9+VLOOKUP($R147,武学奇术!$A:$ZZ,17,FALSE)+SUM(_xlfn.XLOOKUP(S147:AL147,增益!$A:$A,增益!$Q:$Q,0)))+$B$11+SUM(_xlfn.XLOOKUP(S147:AL147,增益!$A:$A,增益!$U:$U,0)))*IF(VLOOKUP($R147,武学奇术!$A:$ZZ,24,FALSE)=1,0,1)</f>
        <v>0.8</v>
      </c>
      <c r="BQ147" s="23" cm="1">
        <f t="array" ref="BQ147">1+$B$13+VLOOKUP($R147,武学奇术!$A:$ZZ,18,FALSE)+SUM(_xlfn.XLOOKUP(S147:AL147,增益!$A:$A,增益!$R:$R,0))</f>
        <v>1.544</v>
      </c>
      <c r="BR147" s="23" cm="1">
        <f t="array" ref="BR147">IF(VLOOKUP($R147,武学奇术!$A:$ZZ,24,FALSE)=1,100%,MIN(40%,$B$10+VLOOKUP($R147,武学奇术!$A:$ZZ,19,FALSE)+SUM(_xlfn.XLOOKUP(S147:AL147,增益!$A:$A,增益!$S:$S,0)))+$B$12+SUM(_xlfn.XLOOKUP(S147:AL147,增益!$A:$A,增益!$V:$V,0)))*IF(VLOOKUP($R147,武学奇术!$A:$ZZ,23,FALSE)=1,0,1)</f>
        <v>0.0913</v>
      </c>
      <c r="BS147" s="23" cm="1">
        <f t="array" ref="BS147">1+$B$14+VLOOKUP($R147,武学奇术!$A:$ZZ,20,FALSE)+SUM(_xlfn.XLOOKUP(S147:AL147,增益!$A:$A,增益!$T:$T,0))</f>
        <v>1.35</v>
      </c>
      <c r="BT147" s="23">
        <f t="shared" si="54"/>
        <v>0.79544</v>
      </c>
      <c r="BU147" s="23">
        <f t="shared" si="55"/>
        <v>0.10808041</v>
      </c>
      <c r="BV147" s="23">
        <f>IF(VLOOKUP($R147,武学奇术!$A:$ZZ,22,FALSE)=1,0,(1-$BO147))*(1-$BR147)</f>
        <v>0.00517958999999993</v>
      </c>
      <c r="BW147" s="23" cm="1">
        <f t="array" ref="BW147">SUM(_xlfn.XLOOKUP(S147:AL147,增益!$A:$A,增益!$W:$W,0))+$I$5</f>
        <v>0.11</v>
      </c>
      <c r="BX147" s="23">
        <f>VLOOKUP($R147,武学奇术!$A:$ZZ,32,FALSE)</f>
        <v>0</v>
      </c>
      <c r="BY147" s="23" cm="1">
        <f t="array" ref="BY147">SUM(_xlfn.XLOOKUP($S147:$AL147,增益!$A:$A,增益!$X:$X,0))</f>
        <v>0</v>
      </c>
    </row>
    <row r="148" spans="11:77">
      <c r="K148" s="35">
        <f>$L148*VLOOKUP($R148,武学奇术!$A:$ZZ,31,FALSE)</f>
        <v>22299.8580546569</v>
      </c>
      <c r="L148" s="35">
        <f>($M148*$BT148+$N148*$BR148+$O148*$BU148+$P148*$BV148)</f>
        <v>19910.5875488008</v>
      </c>
      <c r="M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轻击",$B$21,0))*(1+IF(VLOOKUP($R148,武学奇术!$A:$ZZ,30,FALSE)="老鼠",$B$22,0))*(1+$BW148)*(1+$BX148)</f>
        <v>21459.0705289491</v>
      </c>
      <c r="N148" s="35">
        <f>(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轻击",$B$21,0))*(1+IF(VLOOKUP($R148,武学奇术!$A:$ZZ,30,FALSE)="老鼠",$B$22,0))*(1+$BW148))*(1+$BX148)</f>
        <v>17141.6050407184</v>
      </c>
      <c r="O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轻击",$B$21,0))*(1+IF(VLOOKUP($R148,武学奇术!$A:$ZZ,30,FALSE)="老鼠",$B$22,0))*(1+$BW148)*(1+$BX148)</f>
        <v>11330.0266784314</v>
      </c>
      <c r="P148" s="35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轻击",$B$21,0))*(1+IF(VLOOKUP($R148,武学奇术!$A:$ZZ,30,FALSE)="老鼠",$B$22,0))*(1+$BW148)*(1+$BX148)</f>
        <v>9962.56814151588</v>
      </c>
      <c r="Q148" s="36">
        <v>1</v>
      </c>
      <c r="R148" s="37" t="s">
        <v>111</v>
      </c>
      <c r="S148" s="37" t="s">
        <v>91</v>
      </c>
      <c r="T148" s="37" t="s">
        <v>185</v>
      </c>
      <c r="U148" s="37" t="s">
        <v>112</v>
      </c>
      <c r="V148" s="37" t="s">
        <v>113</v>
      </c>
      <c r="W148" s="37" t="s">
        <v>82</v>
      </c>
      <c r="X148" s="37" t="s">
        <v>81</v>
      </c>
      <c r="Y148" s="37" t="s">
        <v>109</v>
      </c>
      <c r="Z148" s="37" t="s">
        <v>81</v>
      </c>
      <c r="AA148" s="37" t="s">
        <v>84</v>
      </c>
      <c r="AB148" s="37" t="s">
        <v>183</v>
      </c>
      <c r="AC148" s="37" t="s">
        <v>186</v>
      </c>
      <c r="AD148" s="37" t="s">
        <v>85</v>
      </c>
      <c r="AE148" s="37" t="s">
        <v>86</v>
      </c>
      <c r="AF148" s="37" t="s">
        <v>181</v>
      </c>
      <c r="AG148" s="37" t="s">
        <v>87</v>
      </c>
      <c r="AH148" s="37" t="s">
        <v>88</v>
      </c>
      <c r="AI148" s="37" t="s">
        <v>81</v>
      </c>
      <c r="AJ148" s="37" t="s">
        <v>81</v>
      </c>
      <c r="AK148" s="37" t="s">
        <v>81</v>
      </c>
      <c r="AL148" s="37" t="s">
        <v>81</v>
      </c>
      <c r="AM148" t="str">
        <f>VLOOKUP($R148,武学奇术!$A:$ZZ,25,FALSE)</f>
        <v>双刀</v>
      </c>
      <c r="AN148" s="23">
        <f>VLOOKUP($R148,武学奇术!$A:$ZZ,26,FALSE)</f>
        <v>0.4205</v>
      </c>
      <c r="AO148" s="24">
        <f>VLOOKUP($R148,武学奇术!$A:$ZZ,27,FALSE)*(1+IF(OR($AM148=$F$4,$AM148=$F$5),$B$23,0))</f>
        <v>187.2</v>
      </c>
      <c r="AP148" s="23">
        <f>VLOOKUP($R148,武学奇术!$A:$ZZ,28,FALSE)</f>
        <v>0.6307</v>
      </c>
      <c r="AQ148" s="24">
        <f>VLOOKUP($R148,武学奇术!$A:$ZZ,29,FALSE)*(1+IF(OR($AM148=$F$4,$AM148=$F$5),$B$23,0))</f>
        <v>102.4</v>
      </c>
      <c r="AR148" s="23" cm="1">
        <f t="array" ref="AR148">$G$3+IFERROR(VLOOKUP($AM148,$F$4:$G$7,2,FALSE),0)+VLOOKUP($R148,武学奇术!$A:$ZZ,2,FALSE)+SUM(_xlfn.XLOOKUP($S148:$AL148,增益!$A:$A,增益!$B:$B,0))</f>
        <v>0.8243</v>
      </c>
      <c r="AS148" s="23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4150.4</v>
      </c>
      <c r="AU148" cm="1">
        <f t="array" ref="AU148">$E$10*(1+$AS148)+VLOOKUP($R148,武学奇术!$A:$ZZ,4,FALSE)+SUM(_xlfn.XLOOKUP($S148:$AL148,增益!$A:$A,增益!$D:$D,0))-$I$2</f>
        <v>4150.4</v>
      </c>
      <c r="AV148" s="29" cm="1">
        <f t="array" ref="AV148">IF($F$10-$I$3+VLOOKUP($R148,武学奇术!$A:$ZZ,6,FALSE)+SUM(_xlfn.XLOOKUP(S148:AL148,增益!$A:$A,增益!$F:$F,0))&gt;0,($F$10-$I$3+VLOOKUP($R148,武学奇术!$A:$ZZ,6,FALSE)+SUM(_xlfn.XLOOKUP(S148:AL148,增益!$A:$A,增益!$F:$F,0)))/200,($F$10-$I$3+VLOOKUP($R148,武学奇术!$A:$ZZ,6,FALSE)+SUM(_xlfn.XLOOKUP(S148:AL148,增益!$A:$A,增益!$F:$F,0)))/100)</f>
        <v>0.4539</v>
      </c>
      <c r="AW148" s="29" cm="1">
        <f t="array" ref="AW148">$G$10+VLOOKUP($R148,武学奇术!$A:$ZZ,7,FALSE)+SUM(_xlfn.XLOOKUP(S148:AL148,增益!$A:$A,增益!$G:$G,0))</f>
        <v>0.08</v>
      </c>
      <c r="AX148" s="23" cm="1">
        <f t="array" ref="AX148">VLOOKUP($R148,武学奇术!$A:$ZZ,8,FALSE)+SUM(_xlfn.XLOOKUP(S148:AL148,增益!$A:$A,增益!$H:$H,0))</f>
        <v>0</v>
      </c>
      <c r="AY148">
        <f t="shared" si="46"/>
        <v>0</v>
      </c>
      <c r="AZ148">
        <f t="shared" si="47"/>
        <v>0</v>
      </c>
      <c r="BA148" s="29" cm="1">
        <f t="array" ref="BA148">IF($F$11-$I$4+VLOOKUP($R148,武学奇术!$A:$ZZ,9,FALSE)+SUM(_xlfn.XLOOKUP(S148:AL148,增益!$A:$A,增益!$I:$I,0))&gt;0,($F$11-$I$4+VLOOKUP($R148,武学奇术!$A:$ZZ,9,FALSE)+SUM(_xlfn.XLOOKUP(S148:AL148,增益!$A:$A,增益!$I:$I,0)))/200,($F$11-$I$4+VLOOKUP($R148,武学奇术!$A:$ZZ,9,FALSE)+SUM(_xlfn.XLOOKUP(S148:AL148,增益!$A:$A,增益!$I:$I,0)))/100)</f>
        <v>-0.14</v>
      </c>
      <c r="BB148" s="29" cm="1">
        <f t="array" ref="BB148">$G$11+VLOOKUP($R148,武学奇术!$A:$ZZ,10,FALSE)+SUM(_xlfn.XLOOKUP(S148:AL148,增益!$A:$A,增益!$J:$J,0))</f>
        <v>0.12</v>
      </c>
      <c r="BC148">
        <f t="shared" si="48"/>
        <v>0</v>
      </c>
      <c r="BD148">
        <f t="shared" si="49"/>
        <v>0</v>
      </c>
      <c r="BE148" s="29" cm="1">
        <f t="array" ref="BE148">IF($F$12-$I$4+VLOOKUP($R148,武学奇术!$A:$ZZ,11,FALSE)+SUM(_xlfn.XLOOKUP(S148:AL148,增益!$A:$A,增益!$K:$K,0))&gt;0,($F$12-$I$4+VLOOKUP($R148,武学奇术!$A:$ZZ,11,FALSE)+SUM(_xlfn.XLOOKUP(S148:AL148,增益!$A:$A,增益!$K:$K,0)))/200,($F$12-$I$4+VLOOKUP($R148,武学奇术!$A:$ZZ,11,FALSE)+SUM(_xlfn.XLOOKUP(S148:AL148,增益!$A:$A,增益!$K:$K,0)))/100)</f>
        <v>-0.14</v>
      </c>
      <c r="BF148" s="29" cm="1">
        <f t="array" ref="BF148">$G$12+VLOOKUP($R148,武学奇术!$A:$ZZ,12,FALSE)+SUM(_xlfn.XLOOKUP(S148:AL148,增益!$A:$A,增益!$L:$L,0))</f>
        <v>0.02</v>
      </c>
      <c r="BG148">
        <f t="shared" si="50"/>
        <v>0</v>
      </c>
      <c r="BH148">
        <f t="shared" si="51"/>
        <v>0</v>
      </c>
      <c r="BI148" s="29" cm="1">
        <f t="array" ref="BI148">IF($F$13-$I$4+VLOOKUP($R148,武学奇术!$A:$ZZ,13,FALSE)+SUM(_xlfn.XLOOKUP(S148:AL148,增益!$A:$A,增益!$M:$M,0))&gt;0,($F$13-$I$4+VLOOKUP($R148,武学奇术!$A:$ZZ,13,FALSE)+SUM(_xlfn.XLOOKUP(S148:AL148,增益!$A:$A,增益!$K:$K,0)))/200,($F$13-$I$4+VLOOKUP($R148,武学奇术!$A:$ZZ,13,FALSE)+SUM(_xlfn.XLOOKUP(S148:AL148,增益!$A:$A,增益!$M:$M,0)))/100)</f>
        <v>-0.14</v>
      </c>
      <c r="BJ148" s="29" cm="1">
        <f t="array" ref="BJ148">$G$13+VLOOKUP($R148,武学奇术!$A:$ZZ,14,FALSE)+SUM(_xlfn.XLOOKUP(S148:AL148,增益!$A:$A,增益!$N:$N,0))</f>
        <v>0.02</v>
      </c>
      <c r="BK148">
        <f t="shared" si="52"/>
        <v>618.2</v>
      </c>
      <c r="BL148">
        <f t="shared" si="53"/>
        <v>1805</v>
      </c>
      <c r="BM148" s="29" cm="1">
        <f t="array" ref="BM148">IF($F$14-$I$4+VLOOKUP($R148,武学奇术!$A:$ZZ,15,FALSE)+SUM(_xlfn.XLOOKUP(S148:AL148,增益!$A:$A,增益!$O:$O,0))&gt;0,($F$14-$I$4+VLOOKUP($R148,武学奇术!$A:$ZZ,15,FALSE)+SUM(_xlfn.XLOOKUP(S148:AL148,增益!$A:$A,增益!$O:$O,0)))/200,($F$14-$I$4+VLOOKUP($R148,武学奇术!$A:$ZZ,15,FALSE)+SUM(_xlfn.XLOOKUP(S148:AL148,增益!$A:$A,增益!$O:$O,0)))/100)</f>
        <v>0.13</v>
      </c>
      <c r="BN148" s="29" cm="1">
        <f t="array" ref="BN148">$G$14+VLOOKUP($R148,武学奇术!$A:$ZZ,16,FALSE)+SUM(_xlfn.XLOOKUP(S148:AL148,增益!$A:$A,增益!$P:$P,0))</f>
        <v>0.23</v>
      </c>
      <c r="BO148" s="23">
        <f>MIN(IF(VLOOKUP($R148,武学奇术!$A:$ZZ,23,FALSE)=1,100%,$B$8),100%)</f>
        <v>0.9943</v>
      </c>
      <c r="BP148" s="23" cm="1">
        <f t="array" ref="BP148">IF(VLOOKUP($R148,武学奇术!$A:$ZZ,23,FALSE)=1,100%,MIN(80%,$B$9+VLOOKUP($R148,武学奇术!$A:$ZZ,17,FALSE)+SUM(_xlfn.XLOOKUP(S148:AL148,增益!$A:$A,增益!$Q:$Q,0)))+$B$11+SUM(_xlfn.XLOOKUP(S148:AL148,增益!$A:$A,增益!$U:$U,0)))*IF(VLOOKUP($R148,武学奇术!$A:$ZZ,24,FALSE)=1,0,1)</f>
        <v>0.8</v>
      </c>
      <c r="BQ148" s="23" cm="1">
        <f t="array" ref="BQ148">1+$B$13+VLOOKUP($R148,武学奇术!$A:$ZZ,18,FALSE)+SUM(_xlfn.XLOOKUP(S148:AL148,增益!$A:$A,增益!$R:$R,0))</f>
        <v>1.894</v>
      </c>
      <c r="BR148" s="23" cm="1">
        <f t="array" ref="BR148">IF(VLOOKUP($R148,武学奇术!$A:$ZZ,24,FALSE)=1,100%,MIN(40%,$B$10+VLOOKUP($R148,武学奇术!$A:$ZZ,19,FALSE)+SUM(_xlfn.XLOOKUP(S148:AL148,增益!$A:$A,增益!$S:$S,0)))+$B$12+SUM(_xlfn.XLOOKUP(S148:AL148,增益!$A:$A,增益!$V:$V,0)))*IF(VLOOKUP($R148,武学奇术!$A:$ZZ,23,FALSE)=1,0,1)</f>
        <v>0.0913</v>
      </c>
      <c r="BS148" s="23" cm="1">
        <f t="array" ref="BS148">1+$B$14+VLOOKUP($R148,武学奇术!$A:$ZZ,20,FALSE)+SUM(_xlfn.XLOOKUP(S148:AL148,增益!$A:$A,增益!$T:$T,0))</f>
        <v>1.35</v>
      </c>
      <c r="BT148" s="23">
        <f t="shared" si="54"/>
        <v>0.79544</v>
      </c>
      <c r="BU148" s="23">
        <f t="shared" si="55"/>
        <v>0.10808041</v>
      </c>
      <c r="BV148" s="23">
        <f>IF(VLOOKUP($R148,武学奇术!$A:$ZZ,22,FALSE)=1,0,(1-$BO148))*(1-$BR148)</f>
        <v>0.00517958999999993</v>
      </c>
      <c r="BW148" s="23" cm="1">
        <f t="array" ref="BW148">SUM(_xlfn.XLOOKUP(S148:AL148,增益!$A:$A,增益!$W:$W,0))+$I$5</f>
        <v>0.31</v>
      </c>
      <c r="BX148" s="23">
        <f>VLOOKUP($R148,武学奇术!$A:$ZZ,32,FALSE)</f>
        <v>0.1</v>
      </c>
      <c r="BY148" s="23" cm="1">
        <f t="array" ref="BY148">SUM(_xlfn.XLOOKUP($S148:$AL148,增益!$A:$A,增益!$X:$X,0))</f>
        <v>0</v>
      </c>
    </row>
    <row r="149" spans="11:77">
      <c r="K149" s="35">
        <f>$L149*VLOOKUP($R149,武学奇术!$A:$ZZ,31,FALSE)</f>
        <v>23904.9615847589</v>
      </c>
      <c r="L149" s="35">
        <f t="shared" ref="L149:L179" si="56">($M149*$BT149+$N149*$BR149+$O149*$BU149+$P149*$BV149)</f>
        <v>21343.7157006776</v>
      </c>
      <c r="M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轻击",$B$21,0))*(1+IF(VLOOKUP($R149,武学奇术!$A:$ZZ,30,FALSE)="老鼠",$B$22,0))*(1+$BW149)*(1+$BX149)</f>
        <v>23003.5991236088</v>
      </c>
      <c r="N149" s="35">
        <f>(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轻击",$B$21,0))*(1+IF(VLOOKUP($R149,武学奇术!$A:$ZZ,30,FALSE)="老鼠",$B$22,0))*(1+$BW149))*(1+$BX149)</f>
        <v>18375.9817260716</v>
      </c>
      <c r="O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轻击",$B$21,0))*(1+IF(VLOOKUP($R149,武学奇术!$A:$ZZ,30,FALSE)="老鼠",$B$22,0))*(1+$BW149)*(1+$BX149)</f>
        <v>12145.5116808917</v>
      </c>
      <c r="P149" s="35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轻击",$B$21,0))*(1+IF(VLOOKUP($R149,武学奇术!$A:$ZZ,30,FALSE)="老鼠",$B$22,0))*(1+$BW149)*(1+$BX149)</f>
        <v>10679.1850461747</v>
      </c>
      <c r="Q149" s="36">
        <v>1</v>
      </c>
      <c r="R149" s="37" t="s">
        <v>116</v>
      </c>
      <c r="S149" s="37" t="s">
        <v>91</v>
      </c>
      <c r="T149" s="37" t="s">
        <v>185</v>
      </c>
      <c r="U149" s="37" t="s">
        <v>112</v>
      </c>
      <c r="V149" s="37" t="s">
        <v>113</v>
      </c>
      <c r="W149" s="37" t="s">
        <v>82</v>
      </c>
      <c r="X149" s="37" t="s">
        <v>81</v>
      </c>
      <c r="Y149" s="37" t="s">
        <v>109</v>
      </c>
      <c r="Z149" s="37" t="s">
        <v>81</v>
      </c>
      <c r="AA149" s="37" t="s">
        <v>84</v>
      </c>
      <c r="AB149" s="37" t="s">
        <v>183</v>
      </c>
      <c r="AC149" s="37" t="s">
        <v>186</v>
      </c>
      <c r="AD149" s="37" t="s">
        <v>85</v>
      </c>
      <c r="AE149" s="37" t="s">
        <v>86</v>
      </c>
      <c r="AF149" s="37" t="s">
        <v>181</v>
      </c>
      <c r="AG149" s="37" t="s">
        <v>87</v>
      </c>
      <c r="AH149" s="37" t="s">
        <v>88</v>
      </c>
      <c r="AI149" s="37" t="s">
        <v>81</v>
      </c>
      <c r="AJ149" s="37" t="s">
        <v>81</v>
      </c>
      <c r="AK149" s="37" t="s">
        <v>81</v>
      </c>
      <c r="AL149" s="37" t="s">
        <v>81</v>
      </c>
      <c r="AM149" t="str">
        <f>VLOOKUP($R149,武学奇术!$A:$ZZ,25,FALSE)</f>
        <v>双刀</v>
      </c>
      <c r="AN149" s="23">
        <f>VLOOKUP($R149,武学奇术!$A:$ZZ,26,FALSE)</f>
        <v>0.4508</v>
      </c>
      <c r="AO149" s="24">
        <f>VLOOKUP($R149,武学奇术!$A:$ZZ,27,FALSE)*(1+IF(OR($AM149=$F$4,$AM149=$F$5),$B$23,0))</f>
        <v>201.6</v>
      </c>
      <c r="AP149" s="23">
        <f>VLOOKUP($R149,武学奇术!$A:$ZZ,28,FALSE)</f>
        <v>0.6763</v>
      </c>
      <c r="AQ149" s="24">
        <f>VLOOKUP($R149,武学奇术!$A:$ZZ,29,FALSE)*(1+IF(OR($AM149=$F$4,$AM149=$F$5),$B$23,0))</f>
        <v>108.8</v>
      </c>
      <c r="AR149" s="23" cm="1">
        <f t="array" ref="AR149">$G$3+IFERROR(VLOOKUP($AM149,$F$4:$G$7,2,FALSE),0)+VLOOKUP($R149,武学奇术!$A:$ZZ,2,FALSE)+SUM(_xlfn.XLOOKUP($S149:$AL149,增益!$A:$A,增益!$B:$B,0))</f>
        <v>0.8243</v>
      </c>
      <c r="AS149" s="23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4150.4</v>
      </c>
      <c r="AU149" cm="1">
        <f t="array" ref="AU149">$E$10*(1+$AS149)+VLOOKUP($R149,武学奇术!$A:$ZZ,4,FALSE)+SUM(_xlfn.XLOOKUP($S149:$AL149,增益!$A:$A,增益!$D:$D,0))-$I$2</f>
        <v>4150.4</v>
      </c>
      <c r="AV149" s="29" cm="1">
        <f t="array" ref="AV149">IF($F$10-$I$3+VLOOKUP($R149,武学奇术!$A:$ZZ,6,FALSE)+SUM(_xlfn.XLOOKUP(S149:AL149,增益!$A:$A,增益!$F:$F,0))&gt;0,($F$10-$I$3+VLOOKUP($R149,武学奇术!$A:$ZZ,6,FALSE)+SUM(_xlfn.XLOOKUP(S149:AL149,增益!$A:$A,增益!$F:$F,0)))/200,($F$10-$I$3+VLOOKUP($R149,武学奇术!$A:$ZZ,6,FALSE)+SUM(_xlfn.XLOOKUP(S149:AL149,增益!$A:$A,增益!$F:$F,0)))/100)</f>
        <v>0.4539</v>
      </c>
      <c r="AW149" s="29" cm="1">
        <f t="array" ref="AW149">$G$10+VLOOKUP($R149,武学奇术!$A:$ZZ,7,FALSE)+SUM(_xlfn.XLOOKUP(S149:AL149,增益!$A:$A,增益!$G:$G,0))</f>
        <v>0.08</v>
      </c>
      <c r="AX149" s="23" cm="1">
        <f t="array" ref="AX149">VLOOKUP($R149,武学奇术!$A:$ZZ,8,FALSE)+SUM(_xlfn.XLOOKUP(S149:AL149,增益!$A:$A,增益!$H:$H,0))</f>
        <v>0</v>
      </c>
      <c r="AY149">
        <f t="shared" si="46"/>
        <v>0</v>
      </c>
      <c r="AZ149">
        <f t="shared" si="47"/>
        <v>0</v>
      </c>
      <c r="BA149" s="29" cm="1">
        <f t="array" ref="BA149">IF($F$11-$I$4+VLOOKUP($R149,武学奇术!$A:$ZZ,9,FALSE)+SUM(_xlfn.XLOOKUP(S149:AL149,增益!$A:$A,增益!$I:$I,0))&gt;0,($F$11-$I$4+VLOOKUP($R149,武学奇术!$A:$ZZ,9,FALSE)+SUM(_xlfn.XLOOKUP(S149:AL149,增益!$A:$A,增益!$I:$I,0)))/200,($F$11-$I$4+VLOOKUP($R149,武学奇术!$A:$ZZ,9,FALSE)+SUM(_xlfn.XLOOKUP(S149:AL149,增益!$A:$A,增益!$I:$I,0)))/100)</f>
        <v>-0.14</v>
      </c>
      <c r="BB149" s="29" cm="1">
        <f t="array" ref="BB149">$G$11+VLOOKUP($R149,武学奇术!$A:$ZZ,10,FALSE)+SUM(_xlfn.XLOOKUP(S149:AL149,增益!$A:$A,增益!$J:$J,0))</f>
        <v>0.12</v>
      </c>
      <c r="BC149">
        <f t="shared" si="48"/>
        <v>0</v>
      </c>
      <c r="BD149">
        <f t="shared" si="49"/>
        <v>0</v>
      </c>
      <c r="BE149" s="29" cm="1">
        <f t="array" ref="BE149">IF($F$12-$I$4+VLOOKUP($R149,武学奇术!$A:$ZZ,11,FALSE)+SUM(_xlfn.XLOOKUP(S149:AL149,增益!$A:$A,增益!$K:$K,0))&gt;0,($F$12-$I$4+VLOOKUP($R149,武学奇术!$A:$ZZ,11,FALSE)+SUM(_xlfn.XLOOKUP(S149:AL149,增益!$A:$A,增益!$K:$K,0)))/200,($F$12-$I$4+VLOOKUP($R149,武学奇术!$A:$ZZ,11,FALSE)+SUM(_xlfn.XLOOKUP(S149:AL149,增益!$A:$A,增益!$K:$K,0)))/100)</f>
        <v>-0.14</v>
      </c>
      <c r="BF149" s="29" cm="1">
        <f t="array" ref="BF149">$G$12+VLOOKUP($R149,武学奇术!$A:$ZZ,12,FALSE)+SUM(_xlfn.XLOOKUP(S149:AL149,增益!$A:$A,增益!$L:$L,0))</f>
        <v>0.02</v>
      </c>
      <c r="BG149">
        <f t="shared" si="50"/>
        <v>0</v>
      </c>
      <c r="BH149">
        <f t="shared" si="51"/>
        <v>0</v>
      </c>
      <c r="BI149" s="29" cm="1">
        <f t="array" ref="BI149">IF($F$13-$I$4+VLOOKUP($R149,武学奇术!$A:$ZZ,13,FALSE)+SUM(_xlfn.XLOOKUP(S149:AL149,增益!$A:$A,增益!$M:$M,0))&gt;0,($F$13-$I$4+VLOOKUP($R149,武学奇术!$A:$ZZ,13,FALSE)+SUM(_xlfn.XLOOKUP(S149:AL149,增益!$A:$A,增益!$K:$K,0)))/200,($F$13-$I$4+VLOOKUP($R149,武学奇术!$A:$ZZ,13,FALSE)+SUM(_xlfn.XLOOKUP(S149:AL149,增益!$A:$A,增益!$M:$M,0)))/100)</f>
        <v>-0.14</v>
      </c>
      <c r="BJ149" s="29" cm="1">
        <f t="array" ref="BJ149">$G$13+VLOOKUP($R149,武学奇术!$A:$ZZ,14,FALSE)+SUM(_xlfn.XLOOKUP(S149:AL149,增益!$A:$A,增益!$N:$N,0))</f>
        <v>0.02</v>
      </c>
      <c r="BK149">
        <f t="shared" si="52"/>
        <v>618.2</v>
      </c>
      <c r="BL149">
        <f t="shared" si="53"/>
        <v>1805</v>
      </c>
      <c r="BM149" s="29" cm="1">
        <f t="array" ref="BM149">IF($F$14-$I$4+VLOOKUP($R149,武学奇术!$A:$ZZ,15,FALSE)+SUM(_xlfn.XLOOKUP(S149:AL149,增益!$A:$A,增益!$O:$O,0))&gt;0,($F$14-$I$4+VLOOKUP($R149,武学奇术!$A:$ZZ,15,FALSE)+SUM(_xlfn.XLOOKUP(S149:AL149,增益!$A:$A,增益!$O:$O,0)))/200,($F$14-$I$4+VLOOKUP($R149,武学奇术!$A:$ZZ,15,FALSE)+SUM(_xlfn.XLOOKUP(S149:AL149,增益!$A:$A,增益!$O:$O,0)))/100)</f>
        <v>0.13</v>
      </c>
      <c r="BN149" s="29" cm="1">
        <f t="array" ref="BN149">$G$14+VLOOKUP($R149,武学奇术!$A:$ZZ,16,FALSE)+SUM(_xlfn.XLOOKUP(S149:AL149,增益!$A:$A,增益!$P:$P,0))</f>
        <v>0.23</v>
      </c>
      <c r="BO149" s="23">
        <f>MIN(IF(VLOOKUP($R149,武学奇术!$A:$ZZ,23,FALSE)=1,100%,$B$8),100%)</f>
        <v>0.9943</v>
      </c>
      <c r="BP149" s="23" cm="1">
        <f t="array" ref="BP149">IF(VLOOKUP($R149,武学奇术!$A:$ZZ,23,FALSE)=1,100%,MIN(80%,$B$9+VLOOKUP($R149,武学奇术!$A:$ZZ,17,FALSE)+SUM(_xlfn.XLOOKUP(S149:AL149,增益!$A:$A,增益!$Q:$Q,0)))+$B$11+SUM(_xlfn.XLOOKUP(S149:AL149,增益!$A:$A,增益!$U:$U,0)))*IF(VLOOKUP($R149,武学奇术!$A:$ZZ,24,FALSE)=1,0,1)</f>
        <v>0.8</v>
      </c>
      <c r="BQ149" s="23" cm="1">
        <f t="array" ref="BQ149">1+$B$13+VLOOKUP($R149,武学奇术!$A:$ZZ,18,FALSE)+SUM(_xlfn.XLOOKUP(S149:AL149,增益!$A:$A,增益!$R:$R,0))</f>
        <v>1.894</v>
      </c>
      <c r="BR149" s="23" cm="1">
        <f t="array" ref="BR149">IF(VLOOKUP($R149,武学奇术!$A:$ZZ,24,FALSE)=1,100%,MIN(40%,$B$10+VLOOKUP($R149,武学奇术!$A:$ZZ,19,FALSE)+SUM(_xlfn.XLOOKUP(S149:AL149,增益!$A:$A,增益!$S:$S,0)))+$B$12+SUM(_xlfn.XLOOKUP(S149:AL149,增益!$A:$A,增益!$V:$V,0)))*IF(VLOOKUP($R149,武学奇术!$A:$ZZ,23,FALSE)=1,0,1)</f>
        <v>0.0913</v>
      </c>
      <c r="BS149" s="23" cm="1">
        <f t="array" ref="BS149">1+$B$14+VLOOKUP($R149,武学奇术!$A:$ZZ,20,FALSE)+SUM(_xlfn.XLOOKUP(S149:AL149,增益!$A:$A,增益!$T:$T,0))</f>
        <v>1.35</v>
      </c>
      <c r="BT149" s="23">
        <f t="shared" si="54"/>
        <v>0.79544</v>
      </c>
      <c r="BU149" s="23">
        <f t="shared" si="55"/>
        <v>0.10808041</v>
      </c>
      <c r="BV149" s="23">
        <f>IF(VLOOKUP($R149,武学奇术!$A:$ZZ,22,FALSE)=1,0,(1-$BO149))*(1-$BR149)</f>
        <v>0.00517958999999993</v>
      </c>
      <c r="BW149" s="23" cm="1">
        <f t="array" ref="BW149">SUM(_xlfn.XLOOKUP(S149:AL149,增益!$A:$A,增益!$W:$W,0))+$I$5</f>
        <v>0.31</v>
      </c>
      <c r="BX149" s="23">
        <f>VLOOKUP($R149,武学奇术!$A:$ZZ,32,FALSE)</f>
        <v>0.1</v>
      </c>
      <c r="BY149" s="23" cm="1">
        <f t="array" ref="BY149">SUM(_xlfn.XLOOKUP($S149:$AL149,增益!$A:$A,增益!$X:$X,0))</f>
        <v>0</v>
      </c>
    </row>
    <row r="150" spans="11:77">
      <c r="K150" s="35">
        <f>$L150*VLOOKUP($R150,武学奇术!$A:$ZZ,31,FALSE)</f>
        <v>94625.9492332276</v>
      </c>
      <c r="L150" s="69">
        <f t="shared" si="56"/>
        <v>92770.5384639486</v>
      </c>
      <c r="M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轻击",$B$21,0))*(1+IF(VLOOKUP($R150,武学奇术!$A:$ZZ,30,FALSE)="老鼠",$B$22,0))*(1+$BW150)*(1+$BX150)</f>
        <v>99890.5321363127</v>
      </c>
      <c r="N150" s="35">
        <f>(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轻击",$B$21,0))*(1+IF(VLOOKUP($R150,武学奇术!$A:$ZZ,30,FALSE)="老鼠",$B$22,0))*(1+$BW150))*(1+$BX150)</f>
        <v>80800.1928409742</v>
      </c>
      <c r="O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轻击",$B$21,0))*(1+IF(VLOOKUP($R150,武学奇术!$A:$ZZ,30,FALSE)="老鼠",$B$22,0))*(1+$BW150)*(1+$BX150)</f>
        <v>52740.5132715485</v>
      </c>
      <c r="P150" s="35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轻击",$B$21,0))*(1+IF(VLOOKUP($R150,武学奇术!$A:$ZZ,30,FALSE)="老鼠",$B$22,0))*(1+$BW150)*(1+$BX150)</f>
        <v>45629.031846079</v>
      </c>
      <c r="Q150" s="70">
        <v>3</v>
      </c>
      <c r="R150" s="37" t="s">
        <v>106</v>
      </c>
      <c r="S150" s="37" t="s">
        <v>91</v>
      </c>
      <c r="T150" s="37" t="s">
        <v>185</v>
      </c>
      <c r="U150" s="37" t="s">
        <v>112</v>
      </c>
      <c r="V150" s="37" t="s">
        <v>113</v>
      </c>
      <c r="W150" s="37" t="s">
        <v>82</v>
      </c>
      <c r="X150" s="37" t="s">
        <v>81</v>
      </c>
      <c r="Y150" s="37" t="s">
        <v>109</v>
      </c>
      <c r="Z150" s="37" t="s">
        <v>81</v>
      </c>
      <c r="AA150" s="37" t="s">
        <v>84</v>
      </c>
      <c r="AB150" s="37" t="s">
        <v>183</v>
      </c>
      <c r="AC150" s="37" t="s">
        <v>186</v>
      </c>
      <c r="AD150" s="37" t="s">
        <v>85</v>
      </c>
      <c r="AE150" s="37" t="s">
        <v>86</v>
      </c>
      <c r="AF150" s="37" t="s">
        <v>81</v>
      </c>
      <c r="AG150" s="37" t="s">
        <v>87</v>
      </c>
      <c r="AH150" s="37" t="s">
        <v>88</v>
      </c>
      <c r="AI150" s="37" t="s">
        <v>81</v>
      </c>
      <c r="AJ150" s="37" t="s">
        <v>81</v>
      </c>
      <c r="AK150" s="37" t="s">
        <v>81</v>
      </c>
      <c r="AL150" s="37" t="s">
        <v>81</v>
      </c>
      <c r="AM150" t="str">
        <f>VLOOKUP($R150,武学奇术!$A:$ZZ,25,FALSE)</f>
        <v>绳镖</v>
      </c>
      <c r="AN150" s="23">
        <f>VLOOKUP($R150,武学奇术!$A:$ZZ,26,FALSE)</f>
        <v>0.3675</v>
      </c>
      <c r="AO150" s="24">
        <f>VLOOKUP($R150,武学奇术!$A:$ZZ,27,FALSE)*(1+IF(OR($AM150=$F$4,$AM150=$F$5),$B$23,0))</f>
        <v>0</v>
      </c>
      <c r="AP150" s="23">
        <f>VLOOKUP($R150,武学奇术!$A:$ZZ,28,FALSE)</f>
        <v>0.55125</v>
      </c>
      <c r="AQ150" s="24">
        <f>VLOOKUP($R150,武学奇术!$A:$ZZ,29,FALSE)*(1+IF(OR($AM150=$F$4,$AM150=$F$5),$B$23,0))</f>
        <v>0</v>
      </c>
      <c r="AR150" s="23" cm="1">
        <f t="array" ref="AR150">$G$3+IFERROR(VLOOKUP($AM150,$F$4:$G$7,2,FALSE),0)+VLOOKUP($R150,武学奇术!$A:$ZZ,2,FALSE)+SUM(_xlfn.XLOOKUP($S150:$AL150,增益!$A:$A,增益!$B:$B,0))</f>
        <v>1.5743</v>
      </c>
      <c r="AS150" s="23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4150.4</v>
      </c>
      <c r="AU150" cm="1">
        <f t="array" ref="AU150">$E$10*(1+$AS150)+VLOOKUP($R150,武学奇术!$A:$ZZ,4,FALSE)+SUM(_xlfn.XLOOKUP($S150:$AL150,增益!$A:$A,增益!$D:$D,0))-$I$2</f>
        <v>4150.4</v>
      </c>
      <c r="AV150" s="29" cm="1">
        <f t="array" ref="AV150">IF($F$10-$I$3+VLOOKUP($R150,武学奇术!$A:$ZZ,6,FALSE)+SUM(_xlfn.XLOOKUP(S150:AL150,增益!$A:$A,增益!$F:$F,0))&gt;0,($F$10-$I$3+VLOOKUP($R150,武学奇术!$A:$ZZ,6,FALSE)+SUM(_xlfn.XLOOKUP(S150:AL150,增益!$A:$A,增益!$F:$F,0)))/200,($F$10-$I$3+VLOOKUP($R150,武学奇术!$A:$ZZ,6,FALSE)+SUM(_xlfn.XLOOKUP(S150:AL150,增益!$A:$A,增益!$F:$F,0)))/100)</f>
        <v>0.4539</v>
      </c>
      <c r="AW150" s="29" cm="1">
        <f t="array" ref="AW150">$G$10+VLOOKUP($R150,武学奇术!$A:$ZZ,7,FALSE)+SUM(_xlfn.XLOOKUP(S150:AL150,增益!$A:$A,增益!$G:$G,0))</f>
        <v>0.29</v>
      </c>
      <c r="AX150" s="23" cm="1">
        <f t="array" ref="AX150">VLOOKUP($R150,武学奇术!$A:$ZZ,8,FALSE)+SUM(_xlfn.XLOOKUP(S150:AL150,增益!$A:$A,增益!$H:$H,0))</f>
        <v>0</v>
      </c>
      <c r="AY150">
        <f t="shared" si="46"/>
        <v>0</v>
      </c>
      <c r="AZ150">
        <f t="shared" si="47"/>
        <v>0</v>
      </c>
      <c r="BA150" s="29" cm="1">
        <f t="array" ref="BA150">IF($F$11-$I$4+VLOOKUP($R150,武学奇术!$A:$ZZ,9,FALSE)+SUM(_xlfn.XLOOKUP(S150:AL150,增益!$A:$A,增益!$I:$I,0))&gt;0,($F$11-$I$4+VLOOKUP($R150,武学奇术!$A:$ZZ,9,FALSE)+SUM(_xlfn.XLOOKUP(S150:AL150,增益!$A:$A,增益!$I:$I,0)))/200,($F$11-$I$4+VLOOKUP($R150,武学奇术!$A:$ZZ,9,FALSE)+SUM(_xlfn.XLOOKUP(S150:AL150,增益!$A:$A,增益!$I:$I,0)))/100)</f>
        <v>-0.14</v>
      </c>
      <c r="BB150" s="29" cm="1">
        <f t="array" ref="BB150">$G$11+VLOOKUP($R150,武学奇术!$A:$ZZ,10,FALSE)+SUM(_xlfn.XLOOKUP(S150:AL150,增益!$A:$A,增益!$J:$J,0))</f>
        <v>0.12</v>
      </c>
      <c r="BC150">
        <f t="shared" si="48"/>
        <v>0</v>
      </c>
      <c r="BD150">
        <f t="shared" si="49"/>
        <v>0</v>
      </c>
      <c r="BE150" s="29" cm="1">
        <f t="array" ref="BE150">IF($F$12-$I$4+VLOOKUP($R150,武学奇术!$A:$ZZ,11,FALSE)+SUM(_xlfn.XLOOKUP(S150:AL150,增益!$A:$A,增益!$K:$K,0))&gt;0,($F$12-$I$4+VLOOKUP($R150,武学奇术!$A:$ZZ,11,FALSE)+SUM(_xlfn.XLOOKUP(S150:AL150,增益!$A:$A,增益!$K:$K,0)))/200,($F$12-$I$4+VLOOKUP($R150,武学奇术!$A:$ZZ,11,FALSE)+SUM(_xlfn.XLOOKUP(S150:AL150,增益!$A:$A,增益!$K:$K,0)))/100)</f>
        <v>-0.14</v>
      </c>
      <c r="BF150" s="29" cm="1">
        <f t="array" ref="BF150">$G$12+VLOOKUP($R150,武学奇术!$A:$ZZ,12,FALSE)+SUM(_xlfn.XLOOKUP(S150:AL150,增益!$A:$A,增益!$L:$L,0))</f>
        <v>0.02</v>
      </c>
      <c r="BG150">
        <f t="shared" si="50"/>
        <v>0</v>
      </c>
      <c r="BH150">
        <f t="shared" si="51"/>
        <v>0</v>
      </c>
      <c r="BI150" s="29" cm="1">
        <f t="array" ref="BI150">IF($F$13-$I$4+VLOOKUP($R150,武学奇术!$A:$ZZ,13,FALSE)+SUM(_xlfn.XLOOKUP(S150:AL150,增益!$A:$A,增益!$M:$M,0))&gt;0,($F$13-$I$4+VLOOKUP($R150,武学奇术!$A:$ZZ,13,FALSE)+SUM(_xlfn.XLOOKUP(S150:AL150,增益!$A:$A,增益!$K:$K,0)))/200,($F$13-$I$4+VLOOKUP($R150,武学奇术!$A:$ZZ,13,FALSE)+SUM(_xlfn.XLOOKUP(S150:AL150,增益!$A:$A,增益!$M:$M,0)))/100)</f>
        <v>-0.14</v>
      </c>
      <c r="BJ150" s="29" cm="1">
        <f t="array" ref="BJ150">$G$13+VLOOKUP($R150,武学奇术!$A:$ZZ,14,FALSE)+SUM(_xlfn.XLOOKUP(S150:AL150,增益!$A:$A,增益!$N:$N,0))</f>
        <v>0.02</v>
      </c>
      <c r="BK150">
        <f t="shared" si="52"/>
        <v>618.2</v>
      </c>
      <c r="BL150">
        <f t="shared" si="53"/>
        <v>1805</v>
      </c>
      <c r="BM150" s="29" cm="1">
        <f t="array" ref="BM150">IF($F$14-$I$4+VLOOKUP($R150,武学奇术!$A:$ZZ,15,FALSE)+SUM(_xlfn.XLOOKUP(S150:AL150,增益!$A:$A,增益!$O:$O,0))&gt;0,($F$14-$I$4+VLOOKUP($R150,武学奇术!$A:$ZZ,15,FALSE)+SUM(_xlfn.XLOOKUP(S150:AL150,增益!$A:$A,增益!$O:$O,0)))/200,($F$14-$I$4+VLOOKUP($R150,武学奇术!$A:$ZZ,15,FALSE)+SUM(_xlfn.XLOOKUP(S150:AL150,增益!$A:$A,增益!$O:$O,0)))/100)</f>
        <v>0.13</v>
      </c>
      <c r="BN150" s="29" cm="1">
        <f t="array" ref="BN150">$G$14+VLOOKUP($R150,武学奇术!$A:$ZZ,16,FALSE)+SUM(_xlfn.XLOOKUP(S150:AL150,增益!$A:$A,增益!$P:$P,0))</f>
        <v>0.44</v>
      </c>
      <c r="BO150" s="23">
        <f>MIN(IF(VLOOKUP($R150,武学奇术!$A:$ZZ,23,FALSE)=1,100%,$B$8),100%)</f>
        <v>0.9943</v>
      </c>
      <c r="BP150" s="23" cm="1">
        <f t="array" ref="BP150">IF(VLOOKUP($R150,武学奇术!$A:$ZZ,23,FALSE)=1,100%,MIN(80%,$B$9+VLOOKUP($R150,武学奇术!$A:$ZZ,17,FALSE)+SUM(_xlfn.XLOOKUP(S150:AL150,增益!$A:$A,增益!$Q:$Q,0)))+$B$11+SUM(_xlfn.XLOOKUP(S150:AL150,增益!$A:$A,增益!$U:$U,0)))*IF(VLOOKUP($R150,武学奇术!$A:$ZZ,24,FALSE)=1,0,1)</f>
        <v>0.8</v>
      </c>
      <c r="BQ150" s="23" cm="1">
        <f t="array" ref="BQ150">1+$B$13+VLOOKUP($R150,武学奇术!$A:$ZZ,18,FALSE)+SUM(_xlfn.XLOOKUP(S150:AL150,增益!$A:$A,增益!$R:$R,0))</f>
        <v>1.894</v>
      </c>
      <c r="BR150" s="23" cm="1">
        <f t="array" ref="BR150">IF(VLOOKUP($R150,武学奇术!$A:$ZZ,24,FALSE)=1,100%,MIN(40%,$B$10+VLOOKUP($R150,武学奇术!$A:$ZZ,19,FALSE)+SUM(_xlfn.XLOOKUP(S150:AL150,增益!$A:$A,增益!$S:$S,0)))+$B$12+SUM(_xlfn.XLOOKUP(S150:AL150,增益!$A:$A,增益!$V:$V,0)))*IF(VLOOKUP($R150,武学奇术!$A:$ZZ,23,FALSE)=1,0,1)</f>
        <v>0.0913</v>
      </c>
      <c r="BS150" s="23" cm="1">
        <f t="array" ref="BS150">1+$B$14+VLOOKUP($R150,武学奇术!$A:$ZZ,20,FALSE)+SUM(_xlfn.XLOOKUP(S150:AL150,增益!$A:$A,增益!$T:$T,0))</f>
        <v>1.35</v>
      </c>
      <c r="BT150" s="23">
        <f t="shared" si="54"/>
        <v>0.79544</v>
      </c>
      <c r="BU150" s="23">
        <f t="shared" si="55"/>
        <v>0.10808041</v>
      </c>
      <c r="BV150" s="23">
        <f>IF(VLOOKUP($R150,武学奇术!$A:$ZZ,22,FALSE)=1,0,(1-$BO150))*(1-$BR150)</f>
        <v>0.00517958999999993</v>
      </c>
      <c r="BW150" s="23" cm="1">
        <f t="array" ref="BW150">SUM(_xlfn.XLOOKUP(S150:AL150,增益!$A:$A,增益!$W:$W,0))+$I$5</f>
        <v>0.31</v>
      </c>
      <c r="BX150" s="23">
        <f>VLOOKUP($R150,武学奇术!$A:$ZZ,32,FALSE)</f>
        <v>0</v>
      </c>
      <c r="BY150" s="23" cm="1">
        <f t="array" ref="BY150">SUM(_xlfn.XLOOKUP($S150:$AL150,增益!$A:$A,增益!$X:$X,0))</f>
        <v>0</v>
      </c>
    </row>
    <row r="151" spans="11:77">
      <c r="K151" s="35">
        <f>$L151*VLOOKUP($R151,武学奇术!$A:$ZZ,31,FALSE)</f>
        <v>27636.6188421021</v>
      </c>
      <c r="L151" s="35">
        <f t="shared" si="56"/>
        <v>27094.7243550021</v>
      </c>
      <c r="M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轻击",$B$21,0))*(1+IF(VLOOKUP($R151,武学奇术!$A:$ZZ,30,FALSE)="老鼠",$B$22,0))*(1+$BW151)*(1+$BX151)</f>
        <v>29205.6021765167</v>
      </c>
      <c r="N151" s="35">
        <f>(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轻击",$B$21,0))*(1+IF(VLOOKUP($R151,武学奇术!$A:$ZZ,30,FALSE)="老鼠",$B$22,0))*(1+$BW151))*(1+$BX151)</f>
        <v>23290.6238167203</v>
      </c>
      <c r="O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轻击",$B$21,0))*(1+IF(VLOOKUP($R151,武学奇术!$A:$ZZ,30,FALSE)="老鼠",$B$22,0))*(1+$BW151)*(1+$BX151)</f>
        <v>15420.0645071366</v>
      </c>
      <c r="P151" s="35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轻击",$B$21,0))*(1+IF(VLOOKUP($R151,武学奇术!$A:$ZZ,30,FALSE)="老鼠",$B$22,0))*(1+$BW151)*(1+$BX151)</f>
        <v>13587.8150759618</v>
      </c>
      <c r="Q151" s="36">
        <v>1</v>
      </c>
      <c r="R151" s="37" t="s">
        <v>123</v>
      </c>
      <c r="S151" s="37" t="s">
        <v>91</v>
      </c>
      <c r="T151" s="37" t="s">
        <v>185</v>
      </c>
      <c r="U151" s="37" t="s">
        <v>81</v>
      </c>
      <c r="V151" s="37" t="s">
        <v>81</v>
      </c>
      <c r="W151" s="37" t="s">
        <v>82</v>
      </c>
      <c r="X151" s="37" t="s">
        <v>81</v>
      </c>
      <c r="Y151" s="37" t="s">
        <v>81</v>
      </c>
      <c r="Z151" s="37" t="s">
        <v>81</v>
      </c>
      <c r="AA151" s="37" t="s">
        <v>84</v>
      </c>
      <c r="AB151" s="37" t="s">
        <v>183</v>
      </c>
      <c r="AC151" s="37" t="s">
        <v>186</v>
      </c>
      <c r="AD151" s="37" t="s">
        <v>81</v>
      </c>
      <c r="AE151" s="37" t="s">
        <v>86</v>
      </c>
      <c r="AF151" s="37" t="s">
        <v>81</v>
      </c>
      <c r="AG151" s="37" t="s">
        <v>87</v>
      </c>
      <c r="AH151" s="37" t="s">
        <v>88</v>
      </c>
      <c r="AI151" s="37" t="s">
        <v>81</v>
      </c>
      <c r="AJ151" s="37" t="s">
        <v>81</v>
      </c>
      <c r="AK151" s="37" t="s">
        <v>81</v>
      </c>
      <c r="AL151" s="37" t="s">
        <v>81</v>
      </c>
      <c r="AM151" t="str">
        <f>VLOOKUP($R151,武学奇术!$A:$ZZ,25,FALSE)</f>
        <v>双刀</v>
      </c>
      <c r="AN151" s="23">
        <f>VLOOKUP($R151,武学奇术!$A:$ZZ,26,FALSE)</f>
        <v>0.8267</v>
      </c>
      <c r="AO151" s="24">
        <f>VLOOKUP($R151,武学奇术!$A:$ZZ,27,FALSE)*(1+IF(OR($AM151=$F$4,$AM151=$F$5),$B$23,0))</f>
        <v>366.4</v>
      </c>
      <c r="AP151" s="23">
        <f>VLOOKUP($R151,武学奇术!$A:$ZZ,28,FALSE)</f>
        <v>1.24</v>
      </c>
      <c r="AQ151" s="24">
        <f>VLOOKUP($R151,武学奇术!$A:$ZZ,29,FALSE)*(1+IF(OR($AM151=$F$4,$AM151=$F$5),$B$23,0))</f>
        <v>200</v>
      </c>
      <c r="AR151" s="23" cm="1">
        <f t="array" ref="AR151">$G$3+IFERROR(VLOOKUP($AM151,$F$4:$G$7,2,FALSE),0)+VLOOKUP($R151,武学奇术!$A:$ZZ,2,FALSE)+SUM(_xlfn.XLOOKUP($S151:$AL151,增益!$A:$A,增益!$B:$B,0))</f>
        <v>0.5043</v>
      </c>
      <c r="AS151" s="23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4081.7</v>
      </c>
      <c r="AU151" cm="1">
        <f t="array" ref="AU151">$E$10*(1+$AS151)+VLOOKUP($R151,武学奇术!$A:$ZZ,4,FALSE)+SUM(_xlfn.XLOOKUP($S151:$AL151,增益!$A:$A,增益!$D:$D,0))-$I$2</f>
        <v>4081.7</v>
      </c>
      <c r="AV151" s="29" cm="1">
        <f t="array" ref="AV151">IF($F$10-$I$3+VLOOKUP($R151,武学奇术!$A:$ZZ,6,FALSE)+SUM(_xlfn.XLOOKUP(S151:AL151,增益!$A:$A,增益!$F:$F,0))&gt;0,($F$10-$I$3+VLOOKUP($R151,武学奇术!$A:$ZZ,6,FALSE)+SUM(_xlfn.XLOOKUP(S151:AL151,增益!$A:$A,增益!$F:$F,0)))/200,($F$10-$I$3+VLOOKUP($R151,武学奇术!$A:$ZZ,6,FALSE)+SUM(_xlfn.XLOOKUP(S151:AL151,增益!$A:$A,增益!$F:$F,0)))/100)</f>
        <v>0.4539</v>
      </c>
      <c r="AW151" s="29" cm="1">
        <f t="array" ref="AW151">$G$10+VLOOKUP($R151,武学奇术!$A:$ZZ,7,FALSE)+SUM(_xlfn.XLOOKUP(S151:AL151,增益!$A:$A,增益!$G:$G,0))</f>
        <v>0.02</v>
      </c>
      <c r="AX151" s="23" cm="1">
        <f t="array" ref="AX151">VLOOKUP($R151,武学奇术!$A:$ZZ,8,FALSE)+SUM(_xlfn.XLOOKUP(S151:AL151,增益!$A:$A,增益!$H:$H,0))</f>
        <v>0</v>
      </c>
      <c r="AY151">
        <f t="shared" si="46"/>
        <v>0</v>
      </c>
      <c r="AZ151">
        <f t="shared" si="47"/>
        <v>0</v>
      </c>
      <c r="BA151" s="29" cm="1">
        <f t="array" ref="BA151">IF($F$11-$I$4+VLOOKUP($R151,武学奇术!$A:$ZZ,9,FALSE)+SUM(_xlfn.XLOOKUP(S151:AL151,增益!$A:$A,增益!$I:$I,0))&gt;0,($F$11-$I$4+VLOOKUP($R151,武学奇术!$A:$ZZ,9,FALSE)+SUM(_xlfn.XLOOKUP(S151:AL151,增益!$A:$A,增益!$I:$I,0)))/200,($F$11-$I$4+VLOOKUP($R151,武学奇术!$A:$ZZ,9,FALSE)+SUM(_xlfn.XLOOKUP(S151:AL151,增益!$A:$A,增益!$I:$I,0)))/100)</f>
        <v>-0.14</v>
      </c>
      <c r="BB151" s="29" cm="1">
        <f t="array" ref="BB151">$G$11+VLOOKUP($R151,武学奇术!$A:$ZZ,10,FALSE)+SUM(_xlfn.XLOOKUP(S151:AL151,增益!$A:$A,增益!$J:$J,0))</f>
        <v>0.12</v>
      </c>
      <c r="BC151">
        <f t="shared" si="48"/>
        <v>0</v>
      </c>
      <c r="BD151">
        <f t="shared" si="49"/>
        <v>0</v>
      </c>
      <c r="BE151" s="29" cm="1">
        <f t="array" ref="BE151">IF($F$12-$I$4+VLOOKUP($R151,武学奇术!$A:$ZZ,11,FALSE)+SUM(_xlfn.XLOOKUP(S151:AL151,增益!$A:$A,增益!$K:$K,0))&gt;0,($F$12-$I$4+VLOOKUP($R151,武学奇术!$A:$ZZ,11,FALSE)+SUM(_xlfn.XLOOKUP(S151:AL151,增益!$A:$A,增益!$K:$K,0)))/200,($F$12-$I$4+VLOOKUP($R151,武学奇术!$A:$ZZ,11,FALSE)+SUM(_xlfn.XLOOKUP(S151:AL151,增益!$A:$A,增益!$K:$K,0)))/100)</f>
        <v>-0.14</v>
      </c>
      <c r="BF151" s="29" cm="1">
        <f t="array" ref="BF151">$G$12+VLOOKUP($R151,武学奇术!$A:$ZZ,12,FALSE)+SUM(_xlfn.XLOOKUP(S151:AL151,增益!$A:$A,增益!$L:$L,0))</f>
        <v>0.02</v>
      </c>
      <c r="BG151">
        <f t="shared" si="50"/>
        <v>0</v>
      </c>
      <c r="BH151">
        <f t="shared" si="51"/>
        <v>0</v>
      </c>
      <c r="BI151" s="29" cm="1">
        <f t="array" ref="BI151">IF($F$13-$I$4+VLOOKUP($R151,武学奇术!$A:$ZZ,13,FALSE)+SUM(_xlfn.XLOOKUP(S151:AL151,增益!$A:$A,增益!$M:$M,0))&gt;0,($F$13-$I$4+VLOOKUP($R151,武学奇术!$A:$ZZ,13,FALSE)+SUM(_xlfn.XLOOKUP(S151:AL151,增益!$A:$A,增益!$K:$K,0)))/200,($F$13-$I$4+VLOOKUP($R151,武学奇术!$A:$ZZ,13,FALSE)+SUM(_xlfn.XLOOKUP(S151:AL151,增益!$A:$A,增益!$M:$M,0)))/100)</f>
        <v>-0.14</v>
      </c>
      <c r="BJ151" s="29" cm="1">
        <f t="array" ref="BJ151">$G$13+VLOOKUP($R151,武学奇术!$A:$ZZ,14,FALSE)+SUM(_xlfn.XLOOKUP(S151:AL151,增益!$A:$A,增益!$N:$N,0))</f>
        <v>0.02</v>
      </c>
      <c r="BK151">
        <f t="shared" si="52"/>
        <v>618.2</v>
      </c>
      <c r="BL151">
        <f t="shared" si="53"/>
        <v>1805</v>
      </c>
      <c r="BM151" s="29" cm="1">
        <f t="array" ref="BM151">IF($F$14-$I$4+VLOOKUP($R151,武学奇术!$A:$ZZ,15,FALSE)+SUM(_xlfn.XLOOKUP(S151:AL151,增益!$A:$A,增益!$O:$O,0))&gt;0,($F$14-$I$4+VLOOKUP($R151,武学奇术!$A:$ZZ,15,FALSE)+SUM(_xlfn.XLOOKUP(S151:AL151,增益!$A:$A,增益!$O:$O,0)))/200,($F$14-$I$4+VLOOKUP($R151,武学奇术!$A:$ZZ,15,FALSE)+SUM(_xlfn.XLOOKUP(S151:AL151,增益!$A:$A,增益!$O:$O,0)))/100)</f>
        <v>0.08</v>
      </c>
      <c r="BN151" s="29" cm="1">
        <f t="array" ref="BN151">$G$14+VLOOKUP($R151,武学奇术!$A:$ZZ,16,FALSE)+SUM(_xlfn.XLOOKUP(S151:AL151,增益!$A:$A,增益!$P:$P,0))</f>
        <v>0.17</v>
      </c>
      <c r="BO151" s="23">
        <f>MIN(IF(VLOOKUP($R151,武学奇术!$A:$ZZ,23,FALSE)=1,100%,$B$8),100%)</f>
        <v>0.9943</v>
      </c>
      <c r="BP151" s="23" cm="1">
        <f t="array" ref="BP151">IF(VLOOKUP($R151,武学奇术!$A:$ZZ,23,FALSE)=1,100%,MIN(80%,$B$9+VLOOKUP($R151,武学奇术!$A:$ZZ,17,FALSE)+SUM(_xlfn.XLOOKUP(S151:AL151,增益!$A:$A,增益!$Q:$Q,0)))+$B$11+SUM(_xlfn.XLOOKUP(S151:AL151,增益!$A:$A,增益!$U:$U,0)))*IF(VLOOKUP($R151,武学奇术!$A:$ZZ,24,FALSE)=1,0,1)</f>
        <v>0.8</v>
      </c>
      <c r="BQ151" s="23" cm="1">
        <f t="array" ref="BQ151">1+$B$13+VLOOKUP($R151,武学奇术!$A:$ZZ,18,FALSE)+SUM(_xlfn.XLOOKUP(S151:AL151,增益!$A:$A,增益!$R:$R,0))</f>
        <v>1.894</v>
      </c>
      <c r="BR151" s="23" cm="1">
        <f t="array" ref="BR151">IF(VLOOKUP($R151,武学奇术!$A:$ZZ,24,FALSE)=1,100%,MIN(40%,$B$10+VLOOKUP($R151,武学奇术!$A:$ZZ,19,FALSE)+SUM(_xlfn.XLOOKUP(S151:AL151,增益!$A:$A,增益!$S:$S,0)))+$B$12+SUM(_xlfn.XLOOKUP(S151:AL151,增益!$A:$A,增益!$V:$V,0)))*IF(VLOOKUP($R151,武学奇术!$A:$ZZ,23,FALSE)=1,0,1)</f>
        <v>0.0913</v>
      </c>
      <c r="BS151" s="23" cm="1">
        <f t="array" ref="BS151">1+$B$14+VLOOKUP($R151,武学奇术!$A:$ZZ,20,FALSE)+SUM(_xlfn.XLOOKUP(S151:AL151,增益!$A:$A,增益!$T:$T,0))</f>
        <v>1.35</v>
      </c>
      <c r="BT151" s="23">
        <f t="shared" si="54"/>
        <v>0.79544</v>
      </c>
      <c r="BU151" s="23">
        <f t="shared" si="55"/>
        <v>0.10808041</v>
      </c>
      <c r="BV151" s="23">
        <f>IF(VLOOKUP($R151,武学奇术!$A:$ZZ,22,FALSE)=1,0,(1-$BO151))*(1-$BR151)</f>
        <v>0.00517958999999993</v>
      </c>
      <c r="BW151" s="23" cm="1">
        <f t="array" ref="BW151">SUM(_xlfn.XLOOKUP(S151:AL151,增益!$A:$A,增益!$W:$W,0))+$I$5</f>
        <v>0.31</v>
      </c>
      <c r="BX151" s="23">
        <f>VLOOKUP($R151,武学奇术!$A:$ZZ,32,FALSE)</f>
        <v>0</v>
      </c>
      <c r="BY151" s="23" cm="1">
        <f t="array" ref="BY151">SUM(_xlfn.XLOOKUP($S151:$AL151,增益!$A:$A,增益!$X:$X,0))</f>
        <v>0</v>
      </c>
    </row>
    <row r="152" spans="11:77">
      <c r="K152" s="35">
        <f>$L152*VLOOKUP($R152,武学奇术!$A:$ZZ,31,FALSE)</f>
        <v>29704.0863828502</v>
      </c>
      <c r="L152" s="69">
        <f t="shared" si="56"/>
        <v>29121.6533165198</v>
      </c>
      <c r="M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轻击",$B$21,0))*(1+IF(VLOOKUP($R152,武学奇术!$A:$ZZ,30,FALSE)="老鼠",$B$22,0))*(1+$BW152)*(1+$BX152)</f>
        <v>31356.6946429532</v>
      </c>
      <c r="N152" s="35">
        <f>(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轻击",$B$21,0))*(1+IF(VLOOKUP($R152,武学奇术!$A:$ZZ,30,FALSE)="老鼠",$B$22,0))*(1+$BW152))*(1+$BX152)</f>
        <v>25364.0352075482</v>
      </c>
      <c r="O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轻击",$B$21,0))*(1+IF(VLOOKUP($R152,武学奇术!$A:$ZZ,30,FALSE)="老鼠",$B$22,0))*(1+$BW152)*(1+$BX152)</f>
        <v>16555.8049857197</v>
      </c>
      <c r="P152" s="35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轻击",$B$21,0))*(1+IF(VLOOKUP($R152,武学奇术!$A:$ZZ,30,FALSE)="老鼠",$B$22,0))*(1+$BW152)*(1+$BX152)</f>
        <v>14323.435743626</v>
      </c>
      <c r="Q152" s="70">
        <v>1</v>
      </c>
      <c r="R152" s="37" t="s">
        <v>106</v>
      </c>
      <c r="S152" s="37" t="s">
        <v>91</v>
      </c>
      <c r="T152" s="37" t="s">
        <v>185</v>
      </c>
      <c r="U152" s="37" t="s">
        <v>112</v>
      </c>
      <c r="V152" s="37" t="s">
        <v>113</v>
      </c>
      <c r="W152" s="37" t="s">
        <v>82</v>
      </c>
      <c r="X152" s="37" t="s">
        <v>81</v>
      </c>
      <c r="Y152" s="37" t="s">
        <v>109</v>
      </c>
      <c r="Z152" s="37" t="s">
        <v>81</v>
      </c>
      <c r="AA152" s="37" t="s">
        <v>84</v>
      </c>
      <c r="AB152" s="37" t="s">
        <v>183</v>
      </c>
      <c r="AC152" s="37" t="s">
        <v>186</v>
      </c>
      <c r="AD152" s="37" t="s">
        <v>81</v>
      </c>
      <c r="AE152" s="37" t="s">
        <v>86</v>
      </c>
      <c r="AF152" s="37" t="s">
        <v>81</v>
      </c>
      <c r="AG152" s="37" t="s">
        <v>87</v>
      </c>
      <c r="AH152" s="37" t="s">
        <v>88</v>
      </c>
      <c r="AI152" s="37" t="s">
        <v>81</v>
      </c>
      <c r="AJ152" s="37" t="s">
        <v>81</v>
      </c>
      <c r="AK152" s="37" t="s">
        <v>81</v>
      </c>
      <c r="AL152" s="37" t="s">
        <v>81</v>
      </c>
      <c r="AM152" t="str">
        <f>VLOOKUP($R152,武学奇术!$A:$ZZ,25,FALSE)</f>
        <v>绳镖</v>
      </c>
      <c r="AN152" s="23">
        <f>VLOOKUP($R152,武学奇术!$A:$ZZ,26,FALSE)</f>
        <v>0.3675</v>
      </c>
      <c r="AO152" s="24">
        <f>VLOOKUP($R152,武学奇术!$A:$ZZ,27,FALSE)*(1+IF(OR($AM152=$F$4,$AM152=$F$5),$B$23,0))</f>
        <v>0</v>
      </c>
      <c r="AP152" s="23">
        <f>VLOOKUP($R152,武学奇术!$A:$ZZ,28,FALSE)</f>
        <v>0.55125</v>
      </c>
      <c r="AQ152" s="24">
        <f>VLOOKUP($R152,武学奇术!$A:$ZZ,29,FALSE)*(1+IF(OR($AM152=$F$4,$AM152=$F$5),$B$23,0))</f>
        <v>0</v>
      </c>
      <c r="AR152" s="23" cm="1">
        <f t="array" ref="AR152">$G$3+IFERROR(VLOOKUP($AM152,$F$4:$G$7,2,FALSE),0)+VLOOKUP($R152,武学奇术!$A:$ZZ,2,FALSE)+SUM(_xlfn.XLOOKUP($S152:$AL152,增益!$A:$A,增益!$B:$B,0))</f>
        <v>1.4243</v>
      </c>
      <c r="AS152" s="23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4150.4</v>
      </c>
      <c r="AU152" cm="1">
        <f t="array" ref="AU152">$E$10*(1+$AS152)+VLOOKUP($R152,武学奇术!$A:$ZZ,4,FALSE)+SUM(_xlfn.XLOOKUP($S152:$AL152,增益!$A:$A,增益!$D:$D,0))-$I$2</f>
        <v>4150.4</v>
      </c>
      <c r="AV152" s="29" cm="1">
        <f t="array" ref="AV152">IF($F$10-$I$3+VLOOKUP($R152,武学奇术!$A:$ZZ,6,FALSE)+SUM(_xlfn.XLOOKUP(S152:AL152,增益!$A:$A,增益!$F:$F,0))&gt;0,($F$10-$I$3+VLOOKUP($R152,武学奇术!$A:$ZZ,6,FALSE)+SUM(_xlfn.XLOOKUP(S152:AL152,增益!$A:$A,增益!$F:$F,0)))/200,($F$10-$I$3+VLOOKUP($R152,武学奇术!$A:$ZZ,6,FALSE)+SUM(_xlfn.XLOOKUP(S152:AL152,增益!$A:$A,增益!$F:$F,0)))/100)</f>
        <v>0.4539</v>
      </c>
      <c r="AW152" s="29" cm="1">
        <f t="array" ref="AW152">$G$10+VLOOKUP($R152,武学奇术!$A:$ZZ,7,FALSE)+SUM(_xlfn.XLOOKUP(S152:AL152,增益!$A:$A,增益!$G:$G,0))</f>
        <v>0.29</v>
      </c>
      <c r="AX152" s="23" cm="1">
        <f t="array" ref="AX152">VLOOKUP($R152,武学奇术!$A:$ZZ,8,FALSE)+SUM(_xlfn.XLOOKUP(S152:AL152,增益!$A:$A,增益!$H:$H,0))</f>
        <v>0</v>
      </c>
      <c r="AY152">
        <f t="shared" si="46"/>
        <v>0</v>
      </c>
      <c r="AZ152">
        <f t="shared" si="47"/>
        <v>0</v>
      </c>
      <c r="BA152" s="29" cm="1">
        <f t="array" ref="BA152">IF($F$11-$I$4+VLOOKUP($R152,武学奇术!$A:$ZZ,9,FALSE)+SUM(_xlfn.XLOOKUP(S152:AL152,增益!$A:$A,增益!$I:$I,0))&gt;0,($F$11-$I$4+VLOOKUP($R152,武学奇术!$A:$ZZ,9,FALSE)+SUM(_xlfn.XLOOKUP(S152:AL152,增益!$A:$A,增益!$I:$I,0)))/200,($F$11-$I$4+VLOOKUP($R152,武学奇术!$A:$ZZ,9,FALSE)+SUM(_xlfn.XLOOKUP(S152:AL152,增益!$A:$A,增益!$I:$I,0)))/100)</f>
        <v>-0.14</v>
      </c>
      <c r="BB152" s="29" cm="1">
        <f t="array" ref="BB152">$G$11+VLOOKUP($R152,武学奇术!$A:$ZZ,10,FALSE)+SUM(_xlfn.XLOOKUP(S152:AL152,增益!$A:$A,增益!$J:$J,0))</f>
        <v>0.12</v>
      </c>
      <c r="BC152">
        <f t="shared" si="48"/>
        <v>0</v>
      </c>
      <c r="BD152">
        <f t="shared" si="49"/>
        <v>0</v>
      </c>
      <c r="BE152" s="29" cm="1">
        <f t="array" ref="BE152">IF($F$12-$I$4+VLOOKUP($R152,武学奇术!$A:$ZZ,11,FALSE)+SUM(_xlfn.XLOOKUP(S152:AL152,增益!$A:$A,增益!$K:$K,0))&gt;0,($F$12-$I$4+VLOOKUP($R152,武学奇术!$A:$ZZ,11,FALSE)+SUM(_xlfn.XLOOKUP(S152:AL152,增益!$A:$A,增益!$K:$K,0)))/200,($F$12-$I$4+VLOOKUP($R152,武学奇术!$A:$ZZ,11,FALSE)+SUM(_xlfn.XLOOKUP(S152:AL152,增益!$A:$A,增益!$K:$K,0)))/100)</f>
        <v>-0.14</v>
      </c>
      <c r="BF152" s="29" cm="1">
        <f t="array" ref="BF152">$G$12+VLOOKUP($R152,武学奇术!$A:$ZZ,12,FALSE)+SUM(_xlfn.XLOOKUP(S152:AL152,增益!$A:$A,增益!$L:$L,0))</f>
        <v>0.02</v>
      </c>
      <c r="BG152">
        <f t="shared" si="50"/>
        <v>0</v>
      </c>
      <c r="BH152">
        <f t="shared" si="51"/>
        <v>0</v>
      </c>
      <c r="BI152" s="29" cm="1">
        <f t="array" ref="BI152">IF($F$13-$I$4+VLOOKUP($R152,武学奇术!$A:$ZZ,13,FALSE)+SUM(_xlfn.XLOOKUP(S152:AL152,增益!$A:$A,增益!$M:$M,0))&gt;0,($F$13-$I$4+VLOOKUP($R152,武学奇术!$A:$ZZ,13,FALSE)+SUM(_xlfn.XLOOKUP(S152:AL152,增益!$A:$A,增益!$K:$K,0)))/200,($F$13-$I$4+VLOOKUP($R152,武学奇术!$A:$ZZ,13,FALSE)+SUM(_xlfn.XLOOKUP(S152:AL152,增益!$A:$A,增益!$M:$M,0)))/100)</f>
        <v>-0.14</v>
      </c>
      <c r="BJ152" s="29" cm="1">
        <f t="array" ref="BJ152">$G$13+VLOOKUP($R152,武学奇术!$A:$ZZ,14,FALSE)+SUM(_xlfn.XLOOKUP(S152:AL152,增益!$A:$A,增益!$N:$N,0))</f>
        <v>0.02</v>
      </c>
      <c r="BK152">
        <f t="shared" si="52"/>
        <v>618.2</v>
      </c>
      <c r="BL152">
        <f t="shared" si="53"/>
        <v>1805</v>
      </c>
      <c r="BM152" s="29" cm="1">
        <f t="array" ref="BM152">IF($F$14-$I$4+VLOOKUP($R152,武学奇术!$A:$ZZ,15,FALSE)+SUM(_xlfn.XLOOKUP(S152:AL152,增益!$A:$A,增益!$O:$O,0))&gt;0,($F$14-$I$4+VLOOKUP($R152,武学奇术!$A:$ZZ,15,FALSE)+SUM(_xlfn.XLOOKUP(S152:AL152,增益!$A:$A,增益!$O:$O,0)))/200,($F$14-$I$4+VLOOKUP($R152,武学奇术!$A:$ZZ,15,FALSE)+SUM(_xlfn.XLOOKUP(S152:AL152,增益!$A:$A,增益!$O:$O,0)))/100)</f>
        <v>0.13</v>
      </c>
      <c r="BN152" s="29" cm="1">
        <f t="array" ref="BN152">$G$14+VLOOKUP($R152,武学奇术!$A:$ZZ,16,FALSE)+SUM(_xlfn.XLOOKUP(S152:AL152,增益!$A:$A,增益!$P:$P,0))</f>
        <v>0.44</v>
      </c>
      <c r="BO152" s="23">
        <f>MIN(IF(VLOOKUP($R152,武学奇术!$A:$ZZ,23,FALSE)=1,100%,$B$8),100%)</f>
        <v>0.9943</v>
      </c>
      <c r="BP152" s="23" cm="1">
        <f t="array" ref="BP152">IF(VLOOKUP($R152,武学奇术!$A:$ZZ,23,FALSE)=1,100%,MIN(80%,$B$9+VLOOKUP($R152,武学奇术!$A:$ZZ,17,FALSE)+SUM(_xlfn.XLOOKUP(S152:AL152,增益!$A:$A,增益!$Q:$Q,0)))+$B$11+SUM(_xlfn.XLOOKUP(S152:AL152,增益!$A:$A,增益!$U:$U,0)))*IF(VLOOKUP($R152,武学奇术!$A:$ZZ,24,FALSE)=1,0,1)</f>
        <v>0.8</v>
      </c>
      <c r="BQ152" s="23" cm="1">
        <f t="array" ref="BQ152">1+$B$13+VLOOKUP($R152,武学奇术!$A:$ZZ,18,FALSE)+SUM(_xlfn.XLOOKUP(S152:AL152,增益!$A:$A,增益!$R:$R,0))</f>
        <v>1.894</v>
      </c>
      <c r="BR152" s="23" cm="1">
        <f t="array" ref="BR152">IF(VLOOKUP($R152,武学奇术!$A:$ZZ,24,FALSE)=1,100%,MIN(40%,$B$10+VLOOKUP($R152,武学奇术!$A:$ZZ,19,FALSE)+SUM(_xlfn.XLOOKUP(S152:AL152,增益!$A:$A,增益!$S:$S,0)))+$B$12+SUM(_xlfn.XLOOKUP(S152:AL152,增益!$A:$A,增益!$V:$V,0)))*IF(VLOOKUP($R152,武学奇术!$A:$ZZ,23,FALSE)=1,0,1)</f>
        <v>0.0913</v>
      </c>
      <c r="BS152" s="23" cm="1">
        <f t="array" ref="BS152">1+$B$14+VLOOKUP($R152,武学奇术!$A:$ZZ,20,FALSE)+SUM(_xlfn.XLOOKUP(S152:AL152,增益!$A:$A,增益!$T:$T,0))</f>
        <v>1.35</v>
      </c>
      <c r="BT152" s="23">
        <f t="shared" si="54"/>
        <v>0.79544</v>
      </c>
      <c r="BU152" s="23">
        <f t="shared" si="55"/>
        <v>0.10808041</v>
      </c>
      <c r="BV152" s="23">
        <f>IF(VLOOKUP($R152,武学奇术!$A:$ZZ,22,FALSE)=1,0,(1-$BO152))*(1-$BR152)</f>
        <v>0.00517958999999993</v>
      </c>
      <c r="BW152" s="23" cm="1">
        <f t="array" ref="BW152">SUM(_xlfn.XLOOKUP(S152:AL152,增益!$A:$A,增益!$W:$W,0))+$I$5</f>
        <v>0.31</v>
      </c>
      <c r="BX152" s="23">
        <f>VLOOKUP($R152,武学奇术!$A:$ZZ,32,FALSE)</f>
        <v>0</v>
      </c>
      <c r="BY152" s="23" cm="1">
        <f t="array" ref="BY152">SUM(_xlfn.XLOOKUP($S152:$AL152,增益!$A:$A,增益!$X:$X,0))</f>
        <v>0</v>
      </c>
    </row>
    <row r="153" spans="11:77">
      <c r="K153" s="35">
        <f>$L153*VLOOKUP($R153,武学奇术!$A:$ZZ,31,FALSE)</f>
        <v>91006.8487610681</v>
      </c>
      <c r="L153" s="35">
        <f t="shared" si="56"/>
        <v>89222.4007461452</v>
      </c>
      <c r="M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轻击",$B$21,0))*(1+IF(VLOOKUP($R153,武学奇术!$A:$ZZ,30,FALSE)="老鼠",$B$22,0))*(1+$BW153)*(1+$BX153)</f>
        <v>96173.241067226</v>
      </c>
      <c r="N153" s="35">
        <f>(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轻击",$B$21,0))*(1+IF(VLOOKUP($R153,武学奇术!$A:$ZZ,30,FALSE)="老鼠",$B$22,0))*(1+$BW153))*(1+$BX153)</f>
        <v>76697.9192464522</v>
      </c>
      <c r="O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轻击",$B$21,0))*(1+IF(VLOOKUP($R153,武学奇术!$A:$ZZ,30,FALSE)="老鼠",$B$22,0))*(1+$BW153)*(1+$BX153)</f>
        <v>50777.8463924107</v>
      </c>
      <c r="P153" s="35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轻击",$B$21,0))*(1+IF(VLOOKUP($R153,武学奇术!$A:$ZZ,30,FALSE)="老鼠",$B$22,0))*(1+$BW153)*(1+$BX153)</f>
        <v>44742.419268931</v>
      </c>
      <c r="Q153" s="36">
        <v>1</v>
      </c>
      <c r="R153" s="37" t="s">
        <v>128</v>
      </c>
      <c r="S153" s="37" t="s">
        <v>91</v>
      </c>
      <c r="T153" s="37" t="s">
        <v>185</v>
      </c>
      <c r="U153" s="37" t="s">
        <v>81</v>
      </c>
      <c r="V153" s="37" t="s">
        <v>81</v>
      </c>
      <c r="W153" s="37" t="s">
        <v>82</v>
      </c>
      <c r="X153" s="37" t="s">
        <v>81</v>
      </c>
      <c r="Y153" s="37" t="s">
        <v>81</v>
      </c>
      <c r="Z153" s="37" t="s">
        <v>81</v>
      </c>
      <c r="AA153" s="37" t="s">
        <v>84</v>
      </c>
      <c r="AB153" s="37" t="s">
        <v>183</v>
      </c>
      <c r="AC153" s="37" t="s">
        <v>186</v>
      </c>
      <c r="AD153" s="37" t="s">
        <v>85</v>
      </c>
      <c r="AE153" s="37" t="s">
        <v>86</v>
      </c>
      <c r="AF153" s="37" t="s">
        <v>81</v>
      </c>
      <c r="AG153" s="37" t="s">
        <v>87</v>
      </c>
      <c r="AH153" s="37" t="s">
        <v>88</v>
      </c>
      <c r="AI153" s="37" t="s">
        <v>81</v>
      </c>
      <c r="AJ153" s="37" t="s">
        <v>81</v>
      </c>
      <c r="AK153" s="37" t="s">
        <v>81</v>
      </c>
      <c r="AL153" s="37" t="s">
        <v>81</v>
      </c>
      <c r="AM153" t="str">
        <f>VLOOKUP($R153,武学奇术!$A:$ZZ,25,FALSE)</f>
        <v>双刀</v>
      </c>
      <c r="AN153" s="23">
        <f>VLOOKUP($R153,武学奇术!$A:$ZZ,26,FALSE)</f>
        <v>2.4761</v>
      </c>
      <c r="AO153" s="24">
        <f>VLOOKUP($R153,武学奇术!$A:$ZZ,27,FALSE)*(1+IF(OR($AM153=$F$4,$AM153=$F$5),$B$23,0))</f>
        <v>1096</v>
      </c>
      <c r="AP153" s="23">
        <f>VLOOKUP($R153,武学奇术!$A:$ZZ,28,FALSE)</f>
        <v>3.7142</v>
      </c>
      <c r="AQ153" s="24">
        <f>VLOOKUP($R153,武学奇术!$A:$ZZ,29,FALSE)*(1+IF(OR($AM153=$F$4,$AM153=$F$5),$B$23,0))</f>
        <v>596.8</v>
      </c>
      <c r="AR153" s="23" cm="1">
        <f t="array" ref="AR153">$G$3+IFERROR(VLOOKUP($AM153,$F$4:$G$7,2,FALSE),0)+VLOOKUP($R153,武学奇术!$A:$ZZ,2,FALSE)+SUM(_xlfn.XLOOKUP($S153:$AL153,增益!$A:$A,增益!$B:$B,0))</f>
        <v>0.6543</v>
      </c>
      <c r="AS153" s="23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4081.7</v>
      </c>
      <c r="AU153" cm="1">
        <f t="array" ref="AU153">$E$10*(1+$AS153)+VLOOKUP($R153,武学奇术!$A:$ZZ,4,FALSE)+SUM(_xlfn.XLOOKUP($S153:$AL153,增益!$A:$A,增益!$D:$D,0))-$I$2</f>
        <v>4081.7</v>
      </c>
      <c r="AV153" s="29" cm="1">
        <f t="array" ref="AV153">IF($F$10-$I$3+VLOOKUP($R153,武学奇术!$A:$ZZ,6,FALSE)+SUM(_xlfn.XLOOKUP(S153:AL153,增益!$A:$A,增益!$F:$F,0))&gt;0,($F$10-$I$3+VLOOKUP($R153,武学奇术!$A:$ZZ,6,FALSE)+SUM(_xlfn.XLOOKUP(S153:AL153,增益!$A:$A,增益!$F:$F,0)))/200,($F$10-$I$3+VLOOKUP($R153,武学奇术!$A:$ZZ,6,FALSE)+SUM(_xlfn.XLOOKUP(S153:AL153,增益!$A:$A,增益!$F:$F,0)))/100)</f>
        <v>0.4539</v>
      </c>
      <c r="AW153" s="29" cm="1">
        <f t="array" ref="AW153">$G$10+VLOOKUP($R153,武学奇术!$A:$ZZ,7,FALSE)+SUM(_xlfn.XLOOKUP(S153:AL153,增益!$A:$A,增益!$G:$G,0))</f>
        <v>0.02</v>
      </c>
      <c r="AX153" s="23" cm="1">
        <f t="array" ref="AX153">VLOOKUP($R153,武学奇术!$A:$ZZ,8,FALSE)+SUM(_xlfn.XLOOKUP(S153:AL153,增益!$A:$A,增益!$H:$H,0))</f>
        <v>0</v>
      </c>
      <c r="AY153">
        <f t="shared" si="46"/>
        <v>0</v>
      </c>
      <c r="AZ153">
        <f t="shared" si="47"/>
        <v>0</v>
      </c>
      <c r="BA153" s="29" cm="1">
        <f t="array" ref="BA153">IF($F$11-$I$4+VLOOKUP($R153,武学奇术!$A:$ZZ,9,FALSE)+SUM(_xlfn.XLOOKUP(S153:AL153,增益!$A:$A,增益!$I:$I,0))&gt;0,($F$11-$I$4+VLOOKUP($R153,武学奇术!$A:$ZZ,9,FALSE)+SUM(_xlfn.XLOOKUP(S153:AL153,增益!$A:$A,增益!$I:$I,0)))/200,($F$11-$I$4+VLOOKUP($R153,武学奇术!$A:$ZZ,9,FALSE)+SUM(_xlfn.XLOOKUP(S153:AL153,增益!$A:$A,增益!$I:$I,0)))/100)</f>
        <v>-0.14</v>
      </c>
      <c r="BB153" s="29" cm="1">
        <f t="array" ref="BB153">$G$11+VLOOKUP($R153,武学奇术!$A:$ZZ,10,FALSE)+SUM(_xlfn.XLOOKUP(S153:AL153,增益!$A:$A,增益!$J:$J,0))</f>
        <v>0.12</v>
      </c>
      <c r="BC153">
        <f t="shared" si="48"/>
        <v>0</v>
      </c>
      <c r="BD153">
        <f t="shared" si="49"/>
        <v>0</v>
      </c>
      <c r="BE153" s="29" cm="1">
        <f t="array" ref="BE153">IF($F$12-$I$4+VLOOKUP($R153,武学奇术!$A:$ZZ,11,FALSE)+SUM(_xlfn.XLOOKUP(S153:AL153,增益!$A:$A,增益!$K:$K,0))&gt;0,($F$12-$I$4+VLOOKUP($R153,武学奇术!$A:$ZZ,11,FALSE)+SUM(_xlfn.XLOOKUP(S153:AL153,增益!$A:$A,增益!$K:$K,0)))/200,($F$12-$I$4+VLOOKUP($R153,武学奇术!$A:$ZZ,11,FALSE)+SUM(_xlfn.XLOOKUP(S153:AL153,增益!$A:$A,增益!$K:$K,0)))/100)</f>
        <v>-0.14</v>
      </c>
      <c r="BF153" s="29" cm="1">
        <f t="array" ref="BF153">$G$12+VLOOKUP($R153,武学奇术!$A:$ZZ,12,FALSE)+SUM(_xlfn.XLOOKUP(S153:AL153,增益!$A:$A,增益!$L:$L,0))</f>
        <v>0.02</v>
      </c>
      <c r="BG153">
        <f t="shared" si="50"/>
        <v>0</v>
      </c>
      <c r="BH153">
        <f t="shared" si="51"/>
        <v>0</v>
      </c>
      <c r="BI153" s="29" cm="1">
        <f t="array" ref="BI153">IF($F$13-$I$4+VLOOKUP($R153,武学奇术!$A:$ZZ,13,FALSE)+SUM(_xlfn.XLOOKUP(S153:AL153,增益!$A:$A,增益!$M:$M,0))&gt;0,($F$13-$I$4+VLOOKUP($R153,武学奇术!$A:$ZZ,13,FALSE)+SUM(_xlfn.XLOOKUP(S153:AL153,增益!$A:$A,增益!$K:$K,0)))/200,($F$13-$I$4+VLOOKUP($R153,武学奇术!$A:$ZZ,13,FALSE)+SUM(_xlfn.XLOOKUP(S153:AL153,增益!$A:$A,增益!$M:$M,0)))/100)</f>
        <v>-0.14</v>
      </c>
      <c r="BJ153" s="29" cm="1">
        <f t="array" ref="BJ153">$G$13+VLOOKUP($R153,武学奇术!$A:$ZZ,14,FALSE)+SUM(_xlfn.XLOOKUP(S153:AL153,增益!$A:$A,增益!$N:$N,0))</f>
        <v>0.02</v>
      </c>
      <c r="BK153">
        <f t="shared" si="52"/>
        <v>618.2</v>
      </c>
      <c r="BL153">
        <f t="shared" si="53"/>
        <v>1805</v>
      </c>
      <c r="BM153" s="29" cm="1">
        <f t="array" ref="BM153">IF($F$14-$I$4+VLOOKUP($R153,武学奇术!$A:$ZZ,15,FALSE)+SUM(_xlfn.XLOOKUP(S153:AL153,增益!$A:$A,增益!$O:$O,0))&gt;0,($F$14-$I$4+VLOOKUP($R153,武学奇术!$A:$ZZ,15,FALSE)+SUM(_xlfn.XLOOKUP(S153:AL153,增益!$A:$A,增益!$O:$O,0)))/200,($F$14-$I$4+VLOOKUP($R153,武学奇术!$A:$ZZ,15,FALSE)+SUM(_xlfn.XLOOKUP(S153:AL153,增益!$A:$A,增益!$O:$O,0)))/100)</f>
        <v>0.08</v>
      </c>
      <c r="BN153" s="29" cm="1">
        <f t="array" ref="BN153">$G$14+VLOOKUP($R153,武学奇术!$A:$ZZ,16,FALSE)+SUM(_xlfn.XLOOKUP(S153:AL153,增益!$A:$A,增益!$P:$P,0))</f>
        <v>0.17</v>
      </c>
      <c r="BO153" s="23">
        <f>MIN(IF(VLOOKUP($R153,武学奇术!$A:$ZZ,23,FALSE)=1,100%,$B$8),100%)</f>
        <v>0.9943</v>
      </c>
      <c r="BP153" s="23" cm="1">
        <f t="array" ref="BP153">IF(VLOOKUP($R153,武学奇术!$A:$ZZ,23,FALSE)=1,100%,MIN(80%,$B$9+VLOOKUP($R153,武学奇术!$A:$ZZ,17,FALSE)+SUM(_xlfn.XLOOKUP(S153:AL153,增益!$A:$A,增益!$Q:$Q,0)))+$B$11+SUM(_xlfn.XLOOKUP(S153:AL153,增益!$A:$A,增益!$U:$U,0)))*IF(VLOOKUP($R153,武学奇术!$A:$ZZ,24,FALSE)=1,0,1)</f>
        <v>0.8</v>
      </c>
      <c r="BQ153" s="23" cm="1">
        <f t="array" ref="BQ153">1+$B$13+VLOOKUP($R153,武学奇术!$A:$ZZ,18,FALSE)+SUM(_xlfn.XLOOKUP(S153:AL153,增益!$A:$A,增益!$R:$R,0))</f>
        <v>1.894</v>
      </c>
      <c r="BR153" s="23" cm="1">
        <f t="array" ref="BR153">IF(VLOOKUP($R153,武学奇术!$A:$ZZ,24,FALSE)=1,100%,MIN(40%,$B$10+VLOOKUP($R153,武学奇术!$A:$ZZ,19,FALSE)+SUM(_xlfn.XLOOKUP(S153:AL153,增益!$A:$A,增益!$S:$S,0)))+$B$12+SUM(_xlfn.XLOOKUP(S153:AL153,增益!$A:$A,增益!$V:$V,0)))*IF(VLOOKUP($R153,武学奇术!$A:$ZZ,23,FALSE)=1,0,1)</f>
        <v>0.0913</v>
      </c>
      <c r="BS153" s="23" cm="1">
        <f t="array" ref="BS153">1+$B$14+VLOOKUP($R153,武学奇术!$A:$ZZ,20,FALSE)+SUM(_xlfn.XLOOKUP(S153:AL153,增益!$A:$A,增益!$T:$T,0))</f>
        <v>1.35</v>
      </c>
      <c r="BT153" s="23">
        <f t="shared" si="54"/>
        <v>0.79544</v>
      </c>
      <c r="BU153" s="23">
        <f t="shared" si="55"/>
        <v>0.10808041</v>
      </c>
      <c r="BV153" s="23">
        <f>IF(VLOOKUP($R153,武学奇术!$A:$ZZ,22,FALSE)=1,0,(1-$BO153))*(1-$BR153)</f>
        <v>0.00517958999999993</v>
      </c>
      <c r="BW153" s="23" cm="1">
        <f t="array" ref="BW153">SUM(_xlfn.XLOOKUP(S153:AL153,增益!$A:$A,增益!$W:$W,0))+$I$5</f>
        <v>0.31</v>
      </c>
      <c r="BX153" s="23">
        <f>VLOOKUP($R153,武学奇术!$A:$ZZ,32,FALSE)</f>
        <v>0</v>
      </c>
      <c r="BY153" s="23" cm="1">
        <f t="array" ref="BY153">SUM(_xlfn.XLOOKUP($S153:$AL153,增益!$A:$A,增益!$X:$X,0))</f>
        <v>0</v>
      </c>
    </row>
    <row r="154" spans="11:77">
      <c r="K154" s="35">
        <f>$L154*VLOOKUP($R154,武学奇术!$A:$ZZ,31,FALSE)</f>
        <v>94625.9492332276</v>
      </c>
      <c r="L154" s="69">
        <f t="shared" si="56"/>
        <v>92770.5384639486</v>
      </c>
      <c r="M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轻击",$B$21,0))*(1+IF(VLOOKUP($R154,武学奇术!$A:$ZZ,30,FALSE)="老鼠",$B$22,0))*(1+$BW154)*(1+$BX154)</f>
        <v>99890.5321363127</v>
      </c>
      <c r="N154" s="35">
        <f>(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轻击",$B$21,0))*(1+IF(VLOOKUP($R154,武学奇术!$A:$ZZ,30,FALSE)="老鼠",$B$22,0))*(1+$BW154))*(1+$BX154)</f>
        <v>80800.1928409742</v>
      </c>
      <c r="O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轻击",$B$21,0))*(1+IF(VLOOKUP($R154,武学奇术!$A:$ZZ,30,FALSE)="老鼠",$B$22,0))*(1+$BW154)*(1+$BX154)</f>
        <v>52740.5132715485</v>
      </c>
      <c r="P154" s="35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轻击",$B$21,0))*(1+IF(VLOOKUP($R154,武学奇术!$A:$ZZ,30,FALSE)="老鼠",$B$22,0))*(1+$BW154)*(1+$BX154)</f>
        <v>45629.031846079</v>
      </c>
      <c r="Q154" s="70">
        <v>3</v>
      </c>
      <c r="R154" s="37" t="s">
        <v>106</v>
      </c>
      <c r="S154" s="37" t="s">
        <v>91</v>
      </c>
      <c r="T154" s="37" t="s">
        <v>185</v>
      </c>
      <c r="U154" s="37" t="s">
        <v>112</v>
      </c>
      <c r="V154" s="37" t="s">
        <v>113</v>
      </c>
      <c r="W154" s="37" t="s">
        <v>82</v>
      </c>
      <c r="X154" s="37" t="s">
        <v>81</v>
      </c>
      <c r="Y154" s="37" t="s">
        <v>109</v>
      </c>
      <c r="Z154" s="37" t="s">
        <v>81</v>
      </c>
      <c r="AA154" s="37" t="s">
        <v>84</v>
      </c>
      <c r="AB154" s="37" t="s">
        <v>183</v>
      </c>
      <c r="AC154" s="37" t="s">
        <v>186</v>
      </c>
      <c r="AD154" s="37" t="s">
        <v>85</v>
      </c>
      <c r="AE154" s="37" t="s">
        <v>86</v>
      </c>
      <c r="AF154" s="37" t="s">
        <v>81</v>
      </c>
      <c r="AG154" s="37" t="s">
        <v>87</v>
      </c>
      <c r="AH154" s="37" t="s">
        <v>88</v>
      </c>
      <c r="AI154" s="37" t="s">
        <v>81</v>
      </c>
      <c r="AJ154" s="37" t="s">
        <v>81</v>
      </c>
      <c r="AK154" s="37" t="s">
        <v>81</v>
      </c>
      <c r="AL154" s="37" t="s">
        <v>81</v>
      </c>
      <c r="AM154" t="str">
        <f>VLOOKUP($R154,武学奇术!$A:$ZZ,25,FALSE)</f>
        <v>绳镖</v>
      </c>
      <c r="AN154" s="23">
        <f>VLOOKUP($R154,武学奇术!$A:$ZZ,26,FALSE)</f>
        <v>0.3675</v>
      </c>
      <c r="AO154" s="24">
        <f>VLOOKUP($R154,武学奇术!$A:$ZZ,27,FALSE)*(1+IF(OR($AM154=$F$4,$AM154=$F$5),$B$23,0))</f>
        <v>0</v>
      </c>
      <c r="AP154" s="23">
        <f>VLOOKUP($R154,武学奇术!$A:$ZZ,28,FALSE)</f>
        <v>0.55125</v>
      </c>
      <c r="AQ154" s="24">
        <f>VLOOKUP($R154,武学奇术!$A:$ZZ,29,FALSE)*(1+IF(OR($AM154=$F$4,$AM154=$F$5),$B$23,0))</f>
        <v>0</v>
      </c>
      <c r="AR154" s="23" cm="1">
        <f t="array" ref="AR154">$G$3+IFERROR(VLOOKUP($AM154,$F$4:$G$7,2,FALSE),0)+VLOOKUP($R154,武学奇术!$A:$ZZ,2,FALSE)+SUM(_xlfn.XLOOKUP($S154:$AL154,增益!$A:$A,增益!$B:$B,0))</f>
        <v>1.5743</v>
      </c>
      <c r="AS154" s="23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4150.4</v>
      </c>
      <c r="AU154" cm="1">
        <f t="array" ref="AU154">$E$10*(1+$AS154)+VLOOKUP($R154,武学奇术!$A:$ZZ,4,FALSE)+SUM(_xlfn.XLOOKUP($S154:$AL154,增益!$A:$A,增益!$D:$D,0))-$I$2</f>
        <v>4150.4</v>
      </c>
      <c r="AV154" s="29" cm="1">
        <f t="array" ref="AV154">IF($F$10-$I$3+VLOOKUP($R154,武学奇术!$A:$ZZ,6,FALSE)+SUM(_xlfn.XLOOKUP(S154:AL154,增益!$A:$A,增益!$F:$F,0))&gt;0,($F$10-$I$3+VLOOKUP($R154,武学奇术!$A:$ZZ,6,FALSE)+SUM(_xlfn.XLOOKUP(S154:AL154,增益!$A:$A,增益!$F:$F,0)))/200,($F$10-$I$3+VLOOKUP($R154,武学奇术!$A:$ZZ,6,FALSE)+SUM(_xlfn.XLOOKUP(S154:AL154,增益!$A:$A,增益!$F:$F,0)))/100)</f>
        <v>0.4539</v>
      </c>
      <c r="AW154" s="29" cm="1">
        <f t="array" ref="AW154">$G$10+VLOOKUP($R154,武学奇术!$A:$ZZ,7,FALSE)+SUM(_xlfn.XLOOKUP(S154:AL154,增益!$A:$A,增益!$G:$G,0))</f>
        <v>0.29</v>
      </c>
      <c r="AX154" s="23" cm="1">
        <f t="array" ref="AX154">VLOOKUP($R154,武学奇术!$A:$ZZ,8,FALSE)+SUM(_xlfn.XLOOKUP(S154:AL154,增益!$A:$A,增益!$H:$H,0))</f>
        <v>0</v>
      </c>
      <c r="AY154">
        <f t="shared" si="46"/>
        <v>0</v>
      </c>
      <c r="AZ154">
        <f t="shared" si="47"/>
        <v>0</v>
      </c>
      <c r="BA154" s="29" cm="1">
        <f t="array" ref="BA154">IF($F$11-$I$4+VLOOKUP($R154,武学奇术!$A:$ZZ,9,FALSE)+SUM(_xlfn.XLOOKUP(S154:AL154,增益!$A:$A,增益!$I:$I,0))&gt;0,($F$11-$I$4+VLOOKUP($R154,武学奇术!$A:$ZZ,9,FALSE)+SUM(_xlfn.XLOOKUP(S154:AL154,增益!$A:$A,增益!$I:$I,0)))/200,($F$11-$I$4+VLOOKUP($R154,武学奇术!$A:$ZZ,9,FALSE)+SUM(_xlfn.XLOOKUP(S154:AL154,增益!$A:$A,增益!$I:$I,0)))/100)</f>
        <v>-0.14</v>
      </c>
      <c r="BB154" s="29" cm="1">
        <f t="array" ref="BB154">$G$11+VLOOKUP($R154,武学奇术!$A:$ZZ,10,FALSE)+SUM(_xlfn.XLOOKUP(S154:AL154,增益!$A:$A,增益!$J:$J,0))</f>
        <v>0.12</v>
      </c>
      <c r="BC154">
        <f t="shared" si="48"/>
        <v>0</v>
      </c>
      <c r="BD154">
        <f t="shared" si="49"/>
        <v>0</v>
      </c>
      <c r="BE154" s="29" cm="1">
        <f t="array" ref="BE154">IF($F$12-$I$4+VLOOKUP($R154,武学奇术!$A:$ZZ,11,FALSE)+SUM(_xlfn.XLOOKUP(S154:AL154,增益!$A:$A,增益!$K:$K,0))&gt;0,($F$12-$I$4+VLOOKUP($R154,武学奇术!$A:$ZZ,11,FALSE)+SUM(_xlfn.XLOOKUP(S154:AL154,增益!$A:$A,增益!$K:$K,0)))/200,($F$12-$I$4+VLOOKUP($R154,武学奇术!$A:$ZZ,11,FALSE)+SUM(_xlfn.XLOOKUP(S154:AL154,增益!$A:$A,增益!$K:$K,0)))/100)</f>
        <v>-0.14</v>
      </c>
      <c r="BF154" s="29" cm="1">
        <f t="array" ref="BF154">$G$12+VLOOKUP($R154,武学奇术!$A:$ZZ,12,FALSE)+SUM(_xlfn.XLOOKUP(S154:AL154,增益!$A:$A,增益!$L:$L,0))</f>
        <v>0.02</v>
      </c>
      <c r="BG154">
        <f t="shared" si="50"/>
        <v>0</v>
      </c>
      <c r="BH154">
        <f t="shared" si="51"/>
        <v>0</v>
      </c>
      <c r="BI154" s="29" cm="1">
        <f t="array" ref="BI154">IF($F$13-$I$4+VLOOKUP($R154,武学奇术!$A:$ZZ,13,FALSE)+SUM(_xlfn.XLOOKUP(S154:AL154,增益!$A:$A,增益!$M:$M,0))&gt;0,($F$13-$I$4+VLOOKUP($R154,武学奇术!$A:$ZZ,13,FALSE)+SUM(_xlfn.XLOOKUP(S154:AL154,增益!$A:$A,增益!$K:$K,0)))/200,($F$13-$I$4+VLOOKUP($R154,武学奇术!$A:$ZZ,13,FALSE)+SUM(_xlfn.XLOOKUP(S154:AL154,增益!$A:$A,增益!$M:$M,0)))/100)</f>
        <v>-0.14</v>
      </c>
      <c r="BJ154" s="29" cm="1">
        <f t="array" ref="BJ154">$G$13+VLOOKUP($R154,武学奇术!$A:$ZZ,14,FALSE)+SUM(_xlfn.XLOOKUP(S154:AL154,增益!$A:$A,增益!$N:$N,0))</f>
        <v>0.02</v>
      </c>
      <c r="BK154">
        <f t="shared" si="52"/>
        <v>618.2</v>
      </c>
      <c r="BL154">
        <f t="shared" si="53"/>
        <v>1805</v>
      </c>
      <c r="BM154" s="29" cm="1">
        <f t="array" ref="BM154">IF($F$14-$I$4+VLOOKUP($R154,武学奇术!$A:$ZZ,15,FALSE)+SUM(_xlfn.XLOOKUP(S154:AL154,增益!$A:$A,增益!$O:$O,0))&gt;0,($F$14-$I$4+VLOOKUP($R154,武学奇术!$A:$ZZ,15,FALSE)+SUM(_xlfn.XLOOKUP(S154:AL154,增益!$A:$A,增益!$O:$O,0)))/200,($F$14-$I$4+VLOOKUP($R154,武学奇术!$A:$ZZ,15,FALSE)+SUM(_xlfn.XLOOKUP(S154:AL154,增益!$A:$A,增益!$O:$O,0)))/100)</f>
        <v>0.13</v>
      </c>
      <c r="BN154" s="29" cm="1">
        <f t="array" ref="BN154">$G$14+VLOOKUP($R154,武学奇术!$A:$ZZ,16,FALSE)+SUM(_xlfn.XLOOKUP(S154:AL154,增益!$A:$A,增益!$P:$P,0))</f>
        <v>0.44</v>
      </c>
      <c r="BO154" s="23">
        <f>MIN(IF(VLOOKUP($R154,武学奇术!$A:$ZZ,23,FALSE)=1,100%,$B$8),100%)</f>
        <v>0.9943</v>
      </c>
      <c r="BP154" s="23" cm="1">
        <f t="array" ref="BP154">IF(VLOOKUP($R154,武学奇术!$A:$ZZ,23,FALSE)=1,100%,MIN(80%,$B$9+VLOOKUP($R154,武学奇术!$A:$ZZ,17,FALSE)+SUM(_xlfn.XLOOKUP(S154:AL154,增益!$A:$A,增益!$Q:$Q,0)))+$B$11+SUM(_xlfn.XLOOKUP(S154:AL154,增益!$A:$A,增益!$U:$U,0)))*IF(VLOOKUP($R154,武学奇术!$A:$ZZ,24,FALSE)=1,0,1)</f>
        <v>0.8</v>
      </c>
      <c r="BQ154" s="23" cm="1">
        <f t="array" ref="BQ154">1+$B$13+VLOOKUP($R154,武学奇术!$A:$ZZ,18,FALSE)+SUM(_xlfn.XLOOKUP(S154:AL154,增益!$A:$A,增益!$R:$R,0))</f>
        <v>1.894</v>
      </c>
      <c r="BR154" s="23" cm="1">
        <f t="array" ref="BR154">IF(VLOOKUP($R154,武学奇术!$A:$ZZ,24,FALSE)=1,100%,MIN(40%,$B$10+VLOOKUP($R154,武学奇术!$A:$ZZ,19,FALSE)+SUM(_xlfn.XLOOKUP(S154:AL154,增益!$A:$A,增益!$S:$S,0)))+$B$12+SUM(_xlfn.XLOOKUP(S154:AL154,增益!$A:$A,增益!$V:$V,0)))*IF(VLOOKUP($R154,武学奇术!$A:$ZZ,23,FALSE)=1,0,1)</f>
        <v>0.0913</v>
      </c>
      <c r="BS154" s="23" cm="1">
        <f t="array" ref="BS154">1+$B$14+VLOOKUP($R154,武学奇术!$A:$ZZ,20,FALSE)+SUM(_xlfn.XLOOKUP(S154:AL154,增益!$A:$A,增益!$T:$T,0))</f>
        <v>1.35</v>
      </c>
      <c r="BT154" s="23">
        <f t="shared" si="54"/>
        <v>0.79544</v>
      </c>
      <c r="BU154" s="23">
        <f t="shared" si="55"/>
        <v>0.10808041</v>
      </c>
      <c r="BV154" s="23">
        <f>IF(VLOOKUP($R154,武学奇术!$A:$ZZ,22,FALSE)=1,0,(1-$BO154))*(1-$BR154)</f>
        <v>0.00517958999999993</v>
      </c>
      <c r="BW154" s="23" cm="1">
        <f t="array" ref="BW154">SUM(_xlfn.XLOOKUP(S154:AL154,增益!$A:$A,增益!$W:$W,0))+$I$5</f>
        <v>0.31</v>
      </c>
      <c r="BX154" s="23">
        <f>VLOOKUP($R154,武学奇术!$A:$ZZ,32,FALSE)</f>
        <v>0</v>
      </c>
      <c r="BY154" s="23" cm="1">
        <f t="array" ref="BY154">SUM(_xlfn.XLOOKUP($S154:$AL154,增益!$A:$A,增益!$X:$X,0))</f>
        <v>0</v>
      </c>
    </row>
    <row r="155" spans="11:77">
      <c r="K155" s="35">
        <f>$L155*VLOOKUP($R155,武学奇术!$A:$ZZ,31,FALSE)</f>
        <v>44433.5470046973</v>
      </c>
      <c r="L155" s="35">
        <f t="shared" si="56"/>
        <v>39672.8098256225</v>
      </c>
      <c r="M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轻击",$B$21,0))*(1+IF(VLOOKUP($R155,武学奇术!$A:$ZZ,30,FALSE)="老鼠",$B$22,0))*(1+$BW155)*(1+$BX155)</f>
        <v>41736.2458686432</v>
      </c>
      <c r="N155" s="35">
        <f>(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轻击",$B$21,0))*(1+IF(VLOOKUP($R155,武学奇术!$A:$ZZ,30,FALSE)="老鼠",$B$22,0))*(1+$BW155))*(1+$BX155)</f>
        <v>26377.0241781697</v>
      </c>
      <c r="O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轻击",$B$21,0))*(1+IF(VLOOKUP($R155,武学奇术!$A:$ZZ,30,FALSE)="老鼠",$B$22,0))*(1+$BW155)*(1+$BX155)</f>
        <v>17433.6866619228</v>
      </c>
      <c r="P155" s="35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轻击",$B$21,0))*(1+IF(VLOOKUP($R155,武学奇术!$A:$ZZ,30,FALSE)="老鼠",$B$22,0))*(1+$BW155)*(1+$BX155)</f>
        <v>15328.8368955718</v>
      </c>
      <c r="Q155" s="36">
        <v>1</v>
      </c>
      <c r="R155" s="37" t="s">
        <v>139</v>
      </c>
      <c r="S155" s="37" t="s">
        <v>91</v>
      </c>
      <c r="T155" s="37" t="s">
        <v>185</v>
      </c>
      <c r="U155" s="37" t="s">
        <v>112</v>
      </c>
      <c r="V155" s="37" t="s">
        <v>113</v>
      </c>
      <c r="W155" s="37" t="s">
        <v>82</v>
      </c>
      <c r="X155" s="37" t="s">
        <v>81</v>
      </c>
      <c r="Y155" s="37" t="s">
        <v>109</v>
      </c>
      <c r="Z155" s="37" t="s">
        <v>83</v>
      </c>
      <c r="AA155" s="37" t="s">
        <v>84</v>
      </c>
      <c r="AB155" s="37" t="s">
        <v>183</v>
      </c>
      <c r="AC155" s="37" t="s">
        <v>186</v>
      </c>
      <c r="AD155" s="37" t="s">
        <v>85</v>
      </c>
      <c r="AE155" s="37" t="s">
        <v>86</v>
      </c>
      <c r="AF155" s="37" t="s">
        <v>181</v>
      </c>
      <c r="AG155" s="37" t="s">
        <v>87</v>
      </c>
      <c r="AH155" s="37" t="s">
        <v>88</v>
      </c>
      <c r="AI155" s="37" t="s">
        <v>81</v>
      </c>
      <c r="AJ155" s="37" t="s">
        <v>81</v>
      </c>
      <c r="AK155" s="37" t="s">
        <v>81</v>
      </c>
      <c r="AL155" s="37" t="s">
        <v>81</v>
      </c>
      <c r="AM155" t="str">
        <f>VLOOKUP($R155,武学奇术!$A:$ZZ,25,FALSE)</f>
        <v>双刀</v>
      </c>
      <c r="AN155" s="23">
        <f>VLOOKUP($R155,武学奇术!$A:$ZZ,26,FALSE)</f>
        <v>0.6472</v>
      </c>
      <c r="AO155" s="24">
        <f>VLOOKUP($R155,武学奇术!$A:$ZZ,27,FALSE)*(1+IF(OR($AM155=$F$4,$AM155=$F$5),$B$23,0))</f>
        <v>288</v>
      </c>
      <c r="AP155" s="23">
        <f>VLOOKUP($R155,武学奇术!$A:$ZZ,28,FALSE)</f>
        <v>0.9708</v>
      </c>
      <c r="AQ155" s="24">
        <f>VLOOKUP($R155,武学奇术!$A:$ZZ,29,FALSE)*(1+IF(OR($AM155=$F$4,$AM155=$F$5),$B$23,0))</f>
        <v>156.8</v>
      </c>
      <c r="AR155" s="23" cm="1">
        <f t="array" ref="AR155">$G$3+IFERROR(VLOOKUP($AM155,$F$4:$G$7,2,FALSE),0)+VLOOKUP($R155,武学奇术!$A:$ZZ,2,FALSE)+SUM(_xlfn.XLOOKUP($S155:$AL155,增益!$A:$A,增益!$B:$B,0))</f>
        <v>0.8243</v>
      </c>
      <c r="AS155" s="23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4150.4</v>
      </c>
      <c r="AU155" cm="1">
        <f t="array" ref="AU155">$E$10*(1+$AS155)+VLOOKUP($R155,武学奇术!$A:$ZZ,4,FALSE)+SUM(_xlfn.XLOOKUP($S155:$AL155,增益!$A:$A,增益!$D:$D,0))-$I$2</f>
        <v>4150.4</v>
      </c>
      <c r="AV155" s="29" cm="1">
        <f t="array" ref="AV155">IF($F$10-$I$3+VLOOKUP($R155,武学奇术!$A:$ZZ,6,FALSE)+SUM(_xlfn.XLOOKUP(S155:AL155,增益!$A:$A,增益!$F:$F,0))&gt;0,($F$10-$I$3+VLOOKUP($R155,武学奇术!$A:$ZZ,6,FALSE)+SUM(_xlfn.XLOOKUP(S155:AL155,增益!$A:$A,增益!$F:$F,0)))/200,($F$10-$I$3+VLOOKUP($R155,武学奇术!$A:$ZZ,6,FALSE)+SUM(_xlfn.XLOOKUP(S155:AL155,增益!$A:$A,增益!$F:$F,0)))/100)</f>
        <v>0.4539</v>
      </c>
      <c r="AW155" s="29" cm="1">
        <f t="array" ref="AW155">$G$10+VLOOKUP($R155,武学奇术!$A:$ZZ,7,FALSE)+SUM(_xlfn.XLOOKUP(S155:AL155,增益!$A:$A,增益!$G:$G,0))</f>
        <v>0.08</v>
      </c>
      <c r="AX155" s="23" cm="1">
        <f t="array" ref="AX155">VLOOKUP($R155,武学奇术!$A:$ZZ,8,FALSE)+SUM(_xlfn.XLOOKUP(S155:AL155,增益!$A:$A,增益!$H:$H,0))</f>
        <v>0</v>
      </c>
      <c r="AY155">
        <f t="shared" si="46"/>
        <v>0</v>
      </c>
      <c r="AZ155">
        <f t="shared" si="47"/>
        <v>0</v>
      </c>
      <c r="BA155" s="29" cm="1">
        <f t="array" ref="BA155">IF($F$11-$I$4+VLOOKUP($R155,武学奇术!$A:$ZZ,9,FALSE)+SUM(_xlfn.XLOOKUP(S155:AL155,增益!$A:$A,增益!$I:$I,0))&gt;0,($F$11-$I$4+VLOOKUP($R155,武学奇术!$A:$ZZ,9,FALSE)+SUM(_xlfn.XLOOKUP(S155:AL155,增益!$A:$A,增益!$I:$I,0)))/200,($F$11-$I$4+VLOOKUP($R155,武学奇术!$A:$ZZ,9,FALSE)+SUM(_xlfn.XLOOKUP(S155:AL155,增益!$A:$A,增益!$I:$I,0)))/100)</f>
        <v>-0.14</v>
      </c>
      <c r="BB155" s="29" cm="1">
        <f t="array" ref="BB155">$G$11+VLOOKUP($R155,武学奇术!$A:$ZZ,10,FALSE)+SUM(_xlfn.XLOOKUP(S155:AL155,增益!$A:$A,增益!$J:$J,0))</f>
        <v>0.12</v>
      </c>
      <c r="BC155">
        <f t="shared" si="48"/>
        <v>0</v>
      </c>
      <c r="BD155">
        <f t="shared" si="49"/>
        <v>0</v>
      </c>
      <c r="BE155" s="29" cm="1">
        <f t="array" ref="BE155">IF($F$12-$I$4+VLOOKUP($R155,武学奇术!$A:$ZZ,11,FALSE)+SUM(_xlfn.XLOOKUP(S155:AL155,增益!$A:$A,增益!$K:$K,0))&gt;0,($F$12-$I$4+VLOOKUP($R155,武学奇术!$A:$ZZ,11,FALSE)+SUM(_xlfn.XLOOKUP(S155:AL155,增益!$A:$A,增益!$K:$K,0)))/200,($F$12-$I$4+VLOOKUP($R155,武学奇术!$A:$ZZ,11,FALSE)+SUM(_xlfn.XLOOKUP(S155:AL155,增益!$A:$A,增益!$K:$K,0)))/100)</f>
        <v>-0.14</v>
      </c>
      <c r="BF155" s="29" cm="1">
        <f t="array" ref="BF155">$G$12+VLOOKUP($R155,武学奇术!$A:$ZZ,12,FALSE)+SUM(_xlfn.XLOOKUP(S155:AL155,增益!$A:$A,增益!$L:$L,0))</f>
        <v>0.02</v>
      </c>
      <c r="BG155">
        <f t="shared" si="50"/>
        <v>0</v>
      </c>
      <c r="BH155">
        <f t="shared" si="51"/>
        <v>0</v>
      </c>
      <c r="BI155" s="29" cm="1">
        <f t="array" ref="BI155">IF($F$13-$I$4+VLOOKUP($R155,武学奇术!$A:$ZZ,13,FALSE)+SUM(_xlfn.XLOOKUP(S155:AL155,增益!$A:$A,增益!$M:$M,0))&gt;0,($F$13-$I$4+VLOOKUP($R155,武学奇术!$A:$ZZ,13,FALSE)+SUM(_xlfn.XLOOKUP(S155:AL155,增益!$A:$A,增益!$K:$K,0)))/200,($F$13-$I$4+VLOOKUP($R155,武学奇术!$A:$ZZ,13,FALSE)+SUM(_xlfn.XLOOKUP(S155:AL155,增益!$A:$A,增益!$M:$M,0)))/100)</f>
        <v>-0.14</v>
      </c>
      <c r="BJ155" s="29" cm="1">
        <f t="array" ref="BJ155">$G$13+VLOOKUP($R155,武学奇术!$A:$ZZ,14,FALSE)+SUM(_xlfn.XLOOKUP(S155:AL155,增益!$A:$A,增益!$N:$N,0))</f>
        <v>0.02</v>
      </c>
      <c r="BK155">
        <f t="shared" si="52"/>
        <v>618.2</v>
      </c>
      <c r="BL155">
        <f t="shared" si="53"/>
        <v>1805</v>
      </c>
      <c r="BM155" s="29" cm="1">
        <f t="array" ref="BM155">IF($F$14-$I$4+VLOOKUP($R155,武学奇术!$A:$ZZ,15,FALSE)+SUM(_xlfn.XLOOKUP(S155:AL155,增益!$A:$A,增益!$O:$O,0))&gt;0,($F$14-$I$4+VLOOKUP($R155,武学奇术!$A:$ZZ,15,FALSE)+SUM(_xlfn.XLOOKUP(S155:AL155,增益!$A:$A,增益!$O:$O,0)))/200,($F$14-$I$4+VLOOKUP($R155,武学奇术!$A:$ZZ,15,FALSE)+SUM(_xlfn.XLOOKUP(S155:AL155,增益!$A:$A,增益!$O:$O,0)))/100)</f>
        <v>0.13</v>
      </c>
      <c r="BN155" s="29" cm="1">
        <f t="array" ref="BN155">$G$14+VLOOKUP($R155,武学奇术!$A:$ZZ,16,FALSE)+SUM(_xlfn.XLOOKUP(S155:AL155,增益!$A:$A,增益!$P:$P,0))</f>
        <v>0.23</v>
      </c>
      <c r="BO155" s="23">
        <f>MIN(IF(VLOOKUP($R155,武学奇术!$A:$ZZ,23,FALSE)=1,100%,$B$8),100%)</f>
        <v>0.9943</v>
      </c>
      <c r="BP155" s="23" cm="1">
        <f t="array" ref="BP155">IF(VLOOKUP($R155,武学奇术!$A:$ZZ,23,FALSE)=1,100%,MIN(80%,$B$9+VLOOKUP($R155,武学奇术!$A:$ZZ,17,FALSE)+SUM(_xlfn.XLOOKUP(S155:AL155,增益!$A:$A,增益!$Q:$Q,0)))+$B$11+SUM(_xlfn.XLOOKUP(S155:AL155,增益!$A:$A,增益!$U:$U,0)))*IF(VLOOKUP($R155,武学奇术!$A:$ZZ,24,FALSE)=1,0,1)</f>
        <v>0.887</v>
      </c>
      <c r="BQ155" s="23" cm="1">
        <f t="array" ref="BQ155">1+$B$13+VLOOKUP($R155,武学奇术!$A:$ZZ,18,FALSE)+SUM(_xlfn.XLOOKUP(S155:AL155,增益!$A:$A,增益!$R:$R,0))</f>
        <v>2.394</v>
      </c>
      <c r="BR155" s="23" cm="1">
        <f t="array" ref="BR155">IF(VLOOKUP($R155,武学奇术!$A:$ZZ,24,FALSE)=1,100%,MIN(40%,$B$10+VLOOKUP($R155,武学奇术!$A:$ZZ,19,FALSE)+SUM(_xlfn.XLOOKUP(S155:AL155,增益!$A:$A,增益!$S:$S,0)))+$B$12+SUM(_xlfn.XLOOKUP(S155:AL155,增益!$A:$A,增益!$V:$V,0)))*IF(VLOOKUP($R155,武学奇术!$A:$ZZ,23,FALSE)=1,0,1)</f>
        <v>0.0913</v>
      </c>
      <c r="BS155" s="23" cm="1">
        <f t="array" ref="BS155">1+$B$14+VLOOKUP($R155,武学奇术!$A:$ZZ,20,FALSE)+SUM(_xlfn.XLOOKUP(S155:AL155,增益!$A:$A,增益!$T:$T,0))</f>
        <v>1.35</v>
      </c>
      <c r="BT155" s="23">
        <f t="shared" si="54"/>
        <v>0.8819441</v>
      </c>
      <c r="BU155" s="23">
        <f t="shared" si="55"/>
        <v>0.0215763099999999</v>
      </c>
      <c r="BV155" s="23">
        <f>IF(VLOOKUP($R155,武学奇术!$A:$ZZ,22,FALSE)=1,0,(1-$BO155))*(1-$BR155)</f>
        <v>0.00517958999999993</v>
      </c>
      <c r="BW155" s="23" cm="1">
        <f t="array" ref="BW155">SUM(_xlfn.XLOOKUP(S155:AL155,增益!$A:$A,增益!$W:$W,0))+$I$5</f>
        <v>0.31</v>
      </c>
      <c r="BX155" s="23">
        <f>VLOOKUP($R155,武学奇术!$A:$ZZ,32,FALSE)</f>
        <v>0.1</v>
      </c>
      <c r="BY155" s="23" cm="1">
        <f t="array" ref="BY155">SUM(_xlfn.XLOOKUP($S155:$AL155,增益!$A:$A,增益!$X:$X,0))</f>
        <v>0</v>
      </c>
    </row>
    <row r="156" spans="11:77">
      <c r="K156" s="35">
        <f>$L156*VLOOKUP($R156,武学奇术!$A:$ZZ,31,FALSE)</f>
        <v>61850.9370693111</v>
      </c>
      <c r="L156" s="35">
        <f t="shared" si="56"/>
        <v>55224.050954742</v>
      </c>
      <c r="M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轻击",$B$21,0))*(1+IF(VLOOKUP($R156,武学奇术!$A:$ZZ,30,FALSE)="老鼠",$B$22,0))*(1+$BW156)*(1+$BX156)</f>
        <v>58096.2036030258</v>
      </c>
      <c r="N156" s="35">
        <f>(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轻击",$B$21,0))*(1+IF(VLOOKUP($R156,武学奇术!$A:$ZZ,30,FALSE)="老鼠",$B$22,0))*(1+$BW156))*(1+$BX156)</f>
        <v>36717.7573702685</v>
      </c>
      <c r="O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轻击",$B$21,0))*(1+IF(VLOOKUP($R156,武学奇术!$A:$ZZ,30,FALSE)="老鼠",$B$22,0))*(1+$BW156)*(1+$BX156)</f>
        <v>24267.4200513892</v>
      </c>
      <c r="P156" s="35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轻击",$B$21,0))*(1+IF(VLOOKUP($R156,武学奇术!$A:$ZZ,30,FALSE)="老鼠",$B$22,0))*(1+$BW156)*(1+$BX156)</f>
        <v>21336.501309987</v>
      </c>
      <c r="Q156" s="36">
        <v>1</v>
      </c>
      <c r="R156" s="37" t="s">
        <v>143</v>
      </c>
      <c r="S156" s="37" t="s">
        <v>91</v>
      </c>
      <c r="T156" s="37" t="s">
        <v>185</v>
      </c>
      <c r="U156" s="37" t="s">
        <v>112</v>
      </c>
      <c r="V156" s="37" t="s">
        <v>113</v>
      </c>
      <c r="W156" s="37" t="s">
        <v>82</v>
      </c>
      <c r="X156" s="37" t="s">
        <v>81</v>
      </c>
      <c r="Y156" s="37" t="s">
        <v>109</v>
      </c>
      <c r="Z156" s="37" t="s">
        <v>83</v>
      </c>
      <c r="AA156" s="37" t="s">
        <v>84</v>
      </c>
      <c r="AB156" s="37" t="s">
        <v>183</v>
      </c>
      <c r="AC156" s="37" t="s">
        <v>186</v>
      </c>
      <c r="AD156" s="37" t="s">
        <v>85</v>
      </c>
      <c r="AE156" s="37" t="s">
        <v>86</v>
      </c>
      <c r="AF156" s="37" t="s">
        <v>181</v>
      </c>
      <c r="AG156" s="37" t="s">
        <v>87</v>
      </c>
      <c r="AH156" s="37" t="s">
        <v>88</v>
      </c>
      <c r="AI156" s="37" t="s">
        <v>81</v>
      </c>
      <c r="AJ156" s="37" t="s">
        <v>81</v>
      </c>
      <c r="AK156" s="37" t="s">
        <v>81</v>
      </c>
      <c r="AL156" s="37" t="s">
        <v>81</v>
      </c>
      <c r="AM156" t="str">
        <f>VLOOKUP($R156,武学奇术!$A:$ZZ,25,FALSE)</f>
        <v>双刀</v>
      </c>
      <c r="AN156" s="23">
        <f>VLOOKUP($R156,武学奇术!$A:$ZZ,26,FALSE)</f>
        <v>0.9012</v>
      </c>
      <c r="AO156" s="24">
        <f>VLOOKUP($R156,武学奇术!$A:$ZZ,27,FALSE)*(1+IF(OR($AM156=$F$4,$AM156=$F$5),$B$23,0))</f>
        <v>400</v>
      </c>
      <c r="AP156" s="23">
        <f>VLOOKUP($R156,武学奇术!$A:$ZZ,28,FALSE)</f>
        <v>1.3518</v>
      </c>
      <c r="AQ156" s="24">
        <f>VLOOKUP($R156,武学奇术!$A:$ZZ,29,FALSE)*(1+IF(OR($AM156=$F$4,$AM156=$F$5),$B$23,0))</f>
        <v>217.6</v>
      </c>
      <c r="AR156" s="23" cm="1">
        <f t="array" ref="AR156">$G$3+IFERROR(VLOOKUP($AM156,$F$4:$G$7,2,FALSE),0)+VLOOKUP($R156,武学奇术!$A:$ZZ,2,FALSE)+SUM(_xlfn.XLOOKUP($S156:$AL156,增益!$A:$A,增益!$B:$B,0))</f>
        <v>0.8243</v>
      </c>
      <c r="AS156" s="23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4150.4</v>
      </c>
      <c r="AU156" cm="1">
        <f t="array" ref="AU156">$E$10*(1+$AS156)+VLOOKUP($R156,武学奇术!$A:$ZZ,4,FALSE)+SUM(_xlfn.XLOOKUP($S156:$AL156,增益!$A:$A,增益!$D:$D,0))-$I$2</f>
        <v>4150.4</v>
      </c>
      <c r="AV156" s="29" cm="1">
        <f t="array" ref="AV156">IF($F$10-$I$3+VLOOKUP($R156,武学奇术!$A:$ZZ,6,FALSE)+SUM(_xlfn.XLOOKUP(S156:AL156,增益!$A:$A,增益!$F:$F,0))&gt;0,($F$10-$I$3+VLOOKUP($R156,武学奇术!$A:$ZZ,6,FALSE)+SUM(_xlfn.XLOOKUP(S156:AL156,增益!$A:$A,增益!$F:$F,0)))/200,($F$10-$I$3+VLOOKUP($R156,武学奇术!$A:$ZZ,6,FALSE)+SUM(_xlfn.XLOOKUP(S156:AL156,增益!$A:$A,增益!$F:$F,0)))/100)</f>
        <v>0.4539</v>
      </c>
      <c r="AW156" s="29" cm="1">
        <f t="array" ref="AW156">$G$10+VLOOKUP($R156,武学奇术!$A:$ZZ,7,FALSE)+SUM(_xlfn.XLOOKUP(S156:AL156,增益!$A:$A,增益!$G:$G,0))</f>
        <v>0.08</v>
      </c>
      <c r="AX156" s="23" cm="1">
        <f t="array" ref="AX156">VLOOKUP($R156,武学奇术!$A:$ZZ,8,FALSE)+SUM(_xlfn.XLOOKUP(S156:AL156,增益!$A:$A,增益!$H:$H,0))</f>
        <v>0</v>
      </c>
      <c r="AY156">
        <f t="shared" si="46"/>
        <v>0</v>
      </c>
      <c r="AZ156">
        <f t="shared" si="47"/>
        <v>0</v>
      </c>
      <c r="BA156" s="29" cm="1">
        <f t="array" ref="BA156">IF($F$11-$I$4+VLOOKUP($R156,武学奇术!$A:$ZZ,9,FALSE)+SUM(_xlfn.XLOOKUP(S156:AL156,增益!$A:$A,增益!$I:$I,0))&gt;0,($F$11-$I$4+VLOOKUP($R156,武学奇术!$A:$ZZ,9,FALSE)+SUM(_xlfn.XLOOKUP(S156:AL156,增益!$A:$A,增益!$I:$I,0)))/200,($F$11-$I$4+VLOOKUP($R156,武学奇术!$A:$ZZ,9,FALSE)+SUM(_xlfn.XLOOKUP(S156:AL156,增益!$A:$A,增益!$I:$I,0)))/100)</f>
        <v>-0.14</v>
      </c>
      <c r="BB156" s="29" cm="1">
        <f t="array" ref="BB156">$G$11+VLOOKUP($R156,武学奇术!$A:$ZZ,10,FALSE)+SUM(_xlfn.XLOOKUP(S156:AL156,增益!$A:$A,增益!$J:$J,0))</f>
        <v>0.12</v>
      </c>
      <c r="BC156">
        <f t="shared" si="48"/>
        <v>0</v>
      </c>
      <c r="BD156">
        <f t="shared" si="49"/>
        <v>0</v>
      </c>
      <c r="BE156" s="29" cm="1">
        <f t="array" ref="BE156">IF($F$12-$I$4+VLOOKUP($R156,武学奇术!$A:$ZZ,11,FALSE)+SUM(_xlfn.XLOOKUP(S156:AL156,增益!$A:$A,增益!$K:$K,0))&gt;0,($F$12-$I$4+VLOOKUP($R156,武学奇术!$A:$ZZ,11,FALSE)+SUM(_xlfn.XLOOKUP(S156:AL156,增益!$A:$A,增益!$K:$K,0)))/200,($F$12-$I$4+VLOOKUP($R156,武学奇术!$A:$ZZ,11,FALSE)+SUM(_xlfn.XLOOKUP(S156:AL156,增益!$A:$A,增益!$K:$K,0)))/100)</f>
        <v>-0.14</v>
      </c>
      <c r="BF156" s="29" cm="1">
        <f t="array" ref="BF156">$G$12+VLOOKUP($R156,武学奇术!$A:$ZZ,12,FALSE)+SUM(_xlfn.XLOOKUP(S156:AL156,增益!$A:$A,增益!$L:$L,0))</f>
        <v>0.02</v>
      </c>
      <c r="BG156">
        <f t="shared" si="50"/>
        <v>0</v>
      </c>
      <c r="BH156">
        <f t="shared" si="51"/>
        <v>0</v>
      </c>
      <c r="BI156" s="29" cm="1">
        <f t="array" ref="BI156">IF($F$13-$I$4+VLOOKUP($R156,武学奇术!$A:$ZZ,13,FALSE)+SUM(_xlfn.XLOOKUP(S156:AL156,增益!$A:$A,增益!$M:$M,0))&gt;0,($F$13-$I$4+VLOOKUP($R156,武学奇术!$A:$ZZ,13,FALSE)+SUM(_xlfn.XLOOKUP(S156:AL156,增益!$A:$A,增益!$K:$K,0)))/200,($F$13-$I$4+VLOOKUP($R156,武学奇术!$A:$ZZ,13,FALSE)+SUM(_xlfn.XLOOKUP(S156:AL156,增益!$A:$A,增益!$M:$M,0)))/100)</f>
        <v>-0.14</v>
      </c>
      <c r="BJ156" s="29" cm="1">
        <f t="array" ref="BJ156">$G$13+VLOOKUP($R156,武学奇术!$A:$ZZ,14,FALSE)+SUM(_xlfn.XLOOKUP(S156:AL156,增益!$A:$A,增益!$N:$N,0))</f>
        <v>0.02</v>
      </c>
      <c r="BK156">
        <f t="shared" si="52"/>
        <v>618.2</v>
      </c>
      <c r="BL156">
        <f t="shared" si="53"/>
        <v>1805</v>
      </c>
      <c r="BM156" s="29" cm="1">
        <f t="array" ref="BM156">IF($F$14-$I$4+VLOOKUP($R156,武学奇术!$A:$ZZ,15,FALSE)+SUM(_xlfn.XLOOKUP(S156:AL156,增益!$A:$A,增益!$O:$O,0))&gt;0,($F$14-$I$4+VLOOKUP($R156,武学奇术!$A:$ZZ,15,FALSE)+SUM(_xlfn.XLOOKUP(S156:AL156,增益!$A:$A,增益!$O:$O,0)))/200,($F$14-$I$4+VLOOKUP($R156,武学奇术!$A:$ZZ,15,FALSE)+SUM(_xlfn.XLOOKUP(S156:AL156,增益!$A:$A,增益!$O:$O,0)))/100)</f>
        <v>0.13</v>
      </c>
      <c r="BN156" s="29" cm="1">
        <f t="array" ref="BN156">$G$14+VLOOKUP($R156,武学奇术!$A:$ZZ,16,FALSE)+SUM(_xlfn.XLOOKUP(S156:AL156,增益!$A:$A,增益!$P:$P,0))</f>
        <v>0.23</v>
      </c>
      <c r="BO156" s="23">
        <f>MIN(IF(VLOOKUP($R156,武学奇术!$A:$ZZ,23,FALSE)=1,100%,$B$8),100%)</f>
        <v>0.9943</v>
      </c>
      <c r="BP156" s="23" cm="1">
        <f t="array" ref="BP156">IF(VLOOKUP($R156,武学奇术!$A:$ZZ,23,FALSE)=1,100%,MIN(80%,$B$9+VLOOKUP($R156,武学奇术!$A:$ZZ,17,FALSE)+SUM(_xlfn.XLOOKUP(S156:AL156,增益!$A:$A,增益!$Q:$Q,0)))+$B$11+SUM(_xlfn.XLOOKUP(S156:AL156,增益!$A:$A,增益!$U:$U,0)))*IF(VLOOKUP($R156,武学奇术!$A:$ZZ,24,FALSE)=1,0,1)</f>
        <v>0.887</v>
      </c>
      <c r="BQ156" s="23" cm="1">
        <f t="array" ref="BQ156">1+$B$13+VLOOKUP($R156,武学奇术!$A:$ZZ,18,FALSE)+SUM(_xlfn.XLOOKUP(S156:AL156,增益!$A:$A,增益!$R:$R,0))</f>
        <v>2.394</v>
      </c>
      <c r="BR156" s="23" cm="1">
        <f t="array" ref="BR156">IF(VLOOKUP($R156,武学奇术!$A:$ZZ,24,FALSE)=1,100%,MIN(40%,$B$10+VLOOKUP($R156,武学奇术!$A:$ZZ,19,FALSE)+SUM(_xlfn.XLOOKUP(S156:AL156,增益!$A:$A,增益!$S:$S,0)))+$B$12+SUM(_xlfn.XLOOKUP(S156:AL156,增益!$A:$A,增益!$V:$V,0)))*IF(VLOOKUP($R156,武学奇术!$A:$ZZ,23,FALSE)=1,0,1)</f>
        <v>0.0913</v>
      </c>
      <c r="BS156" s="23" cm="1">
        <f t="array" ref="BS156">1+$B$14+VLOOKUP($R156,武学奇术!$A:$ZZ,20,FALSE)+SUM(_xlfn.XLOOKUP(S156:AL156,增益!$A:$A,增益!$T:$T,0))</f>
        <v>1.35</v>
      </c>
      <c r="BT156" s="23">
        <f t="shared" si="54"/>
        <v>0.8819441</v>
      </c>
      <c r="BU156" s="23">
        <f t="shared" si="55"/>
        <v>0.0215763099999999</v>
      </c>
      <c r="BV156" s="23">
        <f>IF(VLOOKUP($R156,武学奇术!$A:$ZZ,22,FALSE)=1,0,(1-$BO156))*(1-$BR156)</f>
        <v>0.00517958999999993</v>
      </c>
      <c r="BW156" s="23" cm="1">
        <f t="array" ref="BW156">SUM(_xlfn.XLOOKUP(S156:AL156,增益!$A:$A,增益!$W:$W,0))+$I$5</f>
        <v>0.31</v>
      </c>
      <c r="BX156" s="23">
        <f>VLOOKUP($R156,武学奇术!$A:$ZZ,32,FALSE)</f>
        <v>0.1</v>
      </c>
      <c r="BY156" s="23" cm="1">
        <f t="array" ref="BY156">SUM(_xlfn.XLOOKUP($S156:$AL156,增益!$A:$A,增益!$X:$X,0))</f>
        <v>0</v>
      </c>
    </row>
    <row r="157" spans="11:77">
      <c r="K157" s="35">
        <f>$L157*VLOOKUP($R157,武学奇术!$A:$ZZ,31,FALSE)</f>
        <v>99204.7759140291</v>
      </c>
      <c r="L157" s="35">
        <f t="shared" si="56"/>
        <v>88575.6927803831</v>
      </c>
      <c r="M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轻击",$B$21,0))*(1+IF(VLOOKUP($R157,武学奇术!$A:$ZZ,30,FALSE)="老鼠",$B$22,0))*(1+$BW157)*(1+$BX157)</f>
        <v>93182.406061752</v>
      </c>
      <c r="N157" s="35">
        <f>(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轻击",$B$21,0))*(1+IF(VLOOKUP($R157,武学奇术!$A:$ZZ,30,FALSE)="老鼠",$B$22,0))*(1+$BW157))*(1+$BX157)</f>
        <v>58893.1184921327</v>
      </c>
      <c r="O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轻击",$B$21,0))*(1+IF(VLOOKUP($R157,武学奇术!$A:$ZZ,30,FALSE)="老鼠",$B$22,0))*(1+$BW157)*(1+$BX157)</f>
        <v>38923.3108027368</v>
      </c>
      <c r="P157" s="35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轻击",$B$21,0))*(1+IF(VLOOKUP($R157,武学奇术!$A:$ZZ,30,FALSE)="老鼠",$B$22,0))*(1+$BW157)*(1+$BX157)</f>
        <v>34222.0893890791</v>
      </c>
      <c r="Q157" s="36">
        <v>1</v>
      </c>
      <c r="R157" s="37" t="s">
        <v>148</v>
      </c>
      <c r="S157" s="37" t="s">
        <v>91</v>
      </c>
      <c r="T157" s="37" t="s">
        <v>185</v>
      </c>
      <c r="U157" s="37" t="s">
        <v>112</v>
      </c>
      <c r="V157" s="37" t="s">
        <v>113</v>
      </c>
      <c r="W157" s="37" t="s">
        <v>82</v>
      </c>
      <c r="X157" s="37" t="s">
        <v>81</v>
      </c>
      <c r="Y157" s="37" t="s">
        <v>109</v>
      </c>
      <c r="Z157" s="37" t="s">
        <v>83</v>
      </c>
      <c r="AA157" s="37" t="s">
        <v>84</v>
      </c>
      <c r="AB157" s="37" t="s">
        <v>183</v>
      </c>
      <c r="AC157" s="37" t="s">
        <v>186</v>
      </c>
      <c r="AD157" s="37" t="s">
        <v>85</v>
      </c>
      <c r="AE157" s="37" t="s">
        <v>86</v>
      </c>
      <c r="AF157" s="37" t="s">
        <v>181</v>
      </c>
      <c r="AG157" s="37" t="s">
        <v>87</v>
      </c>
      <c r="AH157" s="37" t="s">
        <v>88</v>
      </c>
      <c r="AI157" s="37" t="s">
        <v>81</v>
      </c>
      <c r="AJ157" s="37" t="s">
        <v>81</v>
      </c>
      <c r="AK157" s="37" t="s">
        <v>81</v>
      </c>
      <c r="AL157" s="37" t="s">
        <v>81</v>
      </c>
      <c r="AM157" t="str">
        <f>VLOOKUP($R157,武学奇术!$A:$ZZ,25,FALSE)</f>
        <v>双刀</v>
      </c>
      <c r="AN157" s="23">
        <f>VLOOKUP($R157,武学奇术!$A:$ZZ,26,FALSE)</f>
        <v>1.4455</v>
      </c>
      <c r="AO157" s="24">
        <f>VLOOKUP($R157,武学奇术!$A:$ZZ,27,FALSE)*(1+IF(OR($AM157=$F$4,$AM157=$F$5),$B$23,0))</f>
        <v>641.6</v>
      </c>
      <c r="AP157" s="23">
        <f>VLOOKUP($R157,武学奇术!$A:$ZZ,28,FALSE)</f>
        <v>2.1683</v>
      </c>
      <c r="AQ157" s="24">
        <f>VLOOKUP($R157,武学奇术!$A:$ZZ,29,FALSE)*(1+IF(OR($AM157=$F$4,$AM157=$F$5),$B$23,0))</f>
        <v>348.8</v>
      </c>
      <c r="AR157" s="23" cm="1">
        <f t="array" ref="AR157">$G$3+IFERROR(VLOOKUP($AM157,$F$4:$G$7,2,FALSE),0)+VLOOKUP($R157,武学奇术!$A:$ZZ,2,FALSE)+SUM(_xlfn.XLOOKUP($S157:$AL157,增益!$A:$A,增益!$B:$B,0))</f>
        <v>0.8243</v>
      </c>
      <c r="AS157" s="23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4150.4</v>
      </c>
      <c r="AU157" cm="1">
        <f t="array" ref="AU157">$E$10*(1+$AS157)+VLOOKUP($R157,武学奇术!$A:$ZZ,4,FALSE)+SUM(_xlfn.XLOOKUP($S157:$AL157,增益!$A:$A,增益!$D:$D,0))-$I$2</f>
        <v>4150.4</v>
      </c>
      <c r="AV157" s="29" cm="1">
        <f t="array" ref="AV157">IF($F$10-$I$3+VLOOKUP($R157,武学奇术!$A:$ZZ,6,FALSE)+SUM(_xlfn.XLOOKUP(S157:AL157,增益!$A:$A,增益!$F:$F,0))&gt;0,($F$10-$I$3+VLOOKUP($R157,武学奇术!$A:$ZZ,6,FALSE)+SUM(_xlfn.XLOOKUP(S157:AL157,增益!$A:$A,增益!$F:$F,0)))/200,($F$10-$I$3+VLOOKUP($R157,武学奇术!$A:$ZZ,6,FALSE)+SUM(_xlfn.XLOOKUP(S157:AL157,增益!$A:$A,增益!$F:$F,0)))/100)</f>
        <v>0.4539</v>
      </c>
      <c r="AW157" s="29" cm="1">
        <f t="array" ref="AW157">$G$10+VLOOKUP($R157,武学奇术!$A:$ZZ,7,FALSE)+SUM(_xlfn.XLOOKUP(S157:AL157,增益!$A:$A,增益!$G:$G,0))</f>
        <v>0.08</v>
      </c>
      <c r="AX157" s="23" cm="1">
        <f t="array" ref="AX157">VLOOKUP($R157,武学奇术!$A:$ZZ,8,FALSE)+SUM(_xlfn.XLOOKUP(S157:AL157,增益!$A:$A,增益!$H:$H,0))</f>
        <v>0</v>
      </c>
      <c r="AY157">
        <f t="shared" si="46"/>
        <v>0</v>
      </c>
      <c r="AZ157">
        <f t="shared" si="47"/>
        <v>0</v>
      </c>
      <c r="BA157" s="29" cm="1">
        <f t="array" ref="BA157">IF($F$11-$I$4+VLOOKUP($R157,武学奇术!$A:$ZZ,9,FALSE)+SUM(_xlfn.XLOOKUP(S157:AL157,增益!$A:$A,增益!$I:$I,0))&gt;0,($F$11-$I$4+VLOOKUP($R157,武学奇术!$A:$ZZ,9,FALSE)+SUM(_xlfn.XLOOKUP(S157:AL157,增益!$A:$A,增益!$I:$I,0)))/200,($F$11-$I$4+VLOOKUP($R157,武学奇术!$A:$ZZ,9,FALSE)+SUM(_xlfn.XLOOKUP(S157:AL157,增益!$A:$A,增益!$I:$I,0)))/100)</f>
        <v>-0.14</v>
      </c>
      <c r="BB157" s="29" cm="1">
        <f t="array" ref="BB157">$G$11+VLOOKUP($R157,武学奇术!$A:$ZZ,10,FALSE)+SUM(_xlfn.XLOOKUP(S157:AL157,增益!$A:$A,增益!$J:$J,0))</f>
        <v>0.12</v>
      </c>
      <c r="BC157">
        <f t="shared" si="48"/>
        <v>0</v>
      </c>
      <c r="BD157">
        <f t="shared" si="49"/>
        <v>0</v>
      </c>
      <c r="BE157" s="29" cm="1">
        <f t="array" ref="BE157">IF($F$12-$I$4+VLOOKUP($R157,武学奇术!$A:$ZZ,11,FALSE)+SUM(_xlfn.XLOOKUP(S157:AL157,增益!$A:$A,增益!$K:$K,0))&gt;0,($F$12-$I$4+VLOOKUP($R157,武学奇术!$A:$ZZ,11,FALSE)+SUM(_xlfn.XLOOKUP(S157:AL157,增益!$A:$A,增益!$K:$K,0)))/200,($F$12-$I$4+VLOOKUP($R157,武学奇术!$A:$ZZ,11,FALSE)+SUM(_xlfn.XLOOKUP(S157:AL157,增益!$A:$A,增益!$K:$K,0)))/100)</f>
        <v>-0.14</v>
      </c>
      <c r="BF157" s="29" cm="1">
        <f t="array" ref="BF157">$G$12+VLOOKUP($R157,武学奇术!$A:$ZZ,12,FALSE)+SUM(_xlfn.XLOOKUP(S157:AL157,增益!$A:$A,增益!$L:$L,0))</f>
        <v>0.02</v>
      </c>
      <c r="BG157">
        <f t="shared" si="50"/>
        <v>0</v>
      </c>
      <c r="BH157">
        <f t="shared" si="51"/>
        <v>0</v>
      </c>
      <c r="BI157" s="29" cm="1">
        <f t="array" ref="BI157">IF($F$13-$I$4+VLOOKUP($R157,武学奇术!$A:$ZZ,13,FALSE)+SUM(_xlfn.XLOOKUP(S157:AL157,增益!$A:$A,增益!$M:$M,0))&gt;0,($F$13-$I$4+VLOOKUP($R157,武学奇术!$A:$ZZ,13,FALSE)+SUM(_xlfn.XLOOKUP(S157:AL157,增益!$A:$A,增益!$K:$K,0)))/200,($F$13-$I$4+VLOOKUP($R157,武学奇术!$A:$ZZ,13,FALSE)+SUM(_xlfn.XLOOKUP(S157:AL157,增益!$A:$A,增益!$M:$M,0)))/100)</f>
        <v>-0.14</v>
      </c>
      <c r="BJ157" s="29" cm="1">
        <f t="array" ref="BJ157">$G$13+VLOOKUP($R157,武学奇术!$A:$ZZ,14,FALSE)+SUM(_xlfn.XLOOKUP(S157:AL157,增益!$A:$A,增益!$N:$N,0))</f>
        <v>0.02</v>
      </c>
      <c r="BK157">
        <f t="shared" si="52"/>
        <v>618.2</v>
      </c>
      <c r="BL157">
        <f t="shared" si="53"/>
        <v>1805</v>
      </c>
      <c r="BM157" s="29" cm="1">
        <f t="array" ref="BM157">IF($F$14-$I$4+VLOOKUP($R157,武学奇术!$A:$ZZ,15,FALSE)+SUM(_xlfn.XLOOKUP(S157:AL157,增益!$A:$A,增益!$O:$O,0))&gt;0,($F$14-$I$4+VLOOKUP($R157,武学奇术!$A:$ZZ,15,FALSE)+SUM(_xlfn.XLOOKUP(S157:AL157,增益!$A:$A,增益!$O:$O,0)))/200,($F$14-$I$4+VLOOKUP($R157,武学奇术!$A:$ZZ,15,FALSE)+SUM(_xlfn.XLOOKUP(S157:AL157,增益!$A:$A,增益!$O:$O,0)))/100)</f>
        <v>0.13</v>
      </c>
      <c r="BN157" s="29" cm="1">
        <f t="array" ref="BN157">$G$14+VLOOKUP($R157,武学奇术!$A:$ZZ,16,FALSE)+SUM(_xlfn.XLOOKUP(S157:AL157,增益!$A:$A,增益!$P:$P,0))</f>
        <v>0.23</v>
      </c>
      <c r="BO157" s="23">
        <f>MIN(IF(VLOOKUP($R157,武学奇术!$A:$ZZ,23,FALSE)=1,100%,$B$8),100%)</f>
        <v>0.9943</v>
      </c>
      <c r="BP157" s="23" cm="1">
        <f t="array" ref="BP157">IF(VLOOKUP($R157,武学奇术!$A:$ZZ,23,FALSE)=1,100%,MIN(80%,$B$9+VLOOKUP($R157,武学奇术!$A:$ZZ,17,FALSE)+SUM(_xlfn.XLOOKUP(S157:AL157,增益!$A:$A,增益!$Q:$Q,0)))+$B$11+SUM(_xlfn.XLOOKUP(S157:AL157,增益!$A:$A,增益!$U:$U,0)))*IF(VLOOKUP($R157,武学奇术!$A:$ZZ,24,FALSE)=1,0,1)</f>
        <v>0.887</v>
      </c>
      <c r="BQ157" s="23" cm="1">
        <f t="array" ref="BQ157">1+$B$13+VLOOKUP($R157,武学奇术!$A:$ZZ,18,FALSE)+SUM(_xlfn.XLOOKUP(S157:AL157,增益!$A:$A,增益!$R:$R,0))</f>
        <v>2.394</v>
      </c>
      <c r="BR157" s="23" cm="1">
        <f t="array" ref="BR157">IF(VLOOKUP($R157,武学奇术!$A:$ZZ,24,FALSE)=1,100%,MIN(40%,$B$10+VLOOKUP($R157,武学奇术!$A:$ZZ,19,FALSE)+SUM(_xlfn.XLOOKUP(S157:AL157,增益!$A:$A,增益!$S:$S,0)))+$B$12+SUM(_xlfn.XLOOKUP(S157:AL157,增益!$A:$A,增益!$V:$V,0)))*IF(VLOOKUP($R157,武学奇术!$A:$ZZ,23,FALSE)=1,0,1)</f>
        <v>0.0913</v>
      </c>
      <c r="BS157" s="23" cm="1">
        <f t="array" ref="BS157">1+$B$14+VLOOKUP($R157,武学奇术!$A:$ZZ,20,FALSE)+SUM(_xlfn.XLOOKUP(S157:AL157,增益!$A:$A,增益!$T:$T,0))</f>
        <v>1.35</v>
      </c>
      <c r="BT157" s="23">
        <f t="shared" si="54"/>
        <v>0.8819441</v>
      </c>
      <c r="BU157" s="23">
        <f t="shared" si="55"/>
        <v>0.0215763099999999</v>
      </c>
      <c r="BV157" s="23">
        <f>IF(VLOOKUP($R157,武学奇术!$A:$ZZ,22,FALSE)=1,0,(1-$BO157))*(1-$BR157)</f>
        <v>0.00517958999999993</v>
      </c>
      <c r="BW157" s="23" cm="1">
        <f t="array" ref="BW157">SUM(_xlfn.XLOOKUP(S157:AL157,增益!$A:$A,增益!$W:$W,0))+$I$5</f>
        <v>0.31</v>
      </c>
      <c r="BX157" s="23">
        <f>VLOOKUP($R157,武学奇术!$A:$ZZ,32,FALSE)</f>
        <v>0.1</v>
      </c>
      <c r="BY157" s="23" cm="1">
        <f t="array" ref="BY157">SUM(_xlfn.XLOOKUP($S157:$AL157,增益!$A:$A,增益!$X:$X,0))</f>
        <v>0</v>
      </c>
    </row>
    <row r="158" spans="11:77">
      <c r="K158" s="35">
        <f>$L158*VLOOKUP($R158,武学奇术!$A:$ZZ,31,FALSE)</f>
        <v>204180.711132599</v>
      </c>
      <c r="L158" s="69">
        <f t="shared" si="56"/>
        <v>200177.167777058</v>
      </c>
      <c r="M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轻击",$B$21,0))*(1+IF(VLOOKUP($R158,武学奇术!$A:$ZZ,30,FALSE)="老鼠",$B$22,0))*(1+$BW158)*(1+$BX158)</f>
        <v>210434.647953478</v>
      </c>
      <c r="N158" s="35">
        <f>(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轻击",$B$21,0))*(1+IF(VLOOKUP($R158,武学奇术!$A:$ZZ,30,FALSE)="老鼠",$B$22,0))*(1+$BW158))*(1+$BX158)</f>
        <v>134666.98806829</v>
      </c>
      <c r="O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轻击",$B$21,0))*(1+IF(VLOOKUP($R158,武学奇术!$A:$ZZ,30,FALSE)="老鼠",$B$22,0))*(1+$BW158)*(1+$BX158)</f>
        <v>87900.8554525807</v>
      </c>
      <c r="P158" s="35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轻击",$B$21,0))*(1+IF(VLOOKUP($R158,武学奇术!$A:$ZZ,30,FALSE)="老鼠",$B$22,0))*(1+$BW158)*(1+$BX158)</f>
        <v>76048.3864101317</v>
      </c>
      <c r="Q158" s="70">
        <v>5</v>
      </c>
      <c r="R158" s="37" t="s">
        <v>106</v>
      </c>
      <c r="S158" s="37" t="s">
        <v>91</v>
      </c>
      <c r="T158" s="37" t="s">
        <v>185</v>
      </c>
      <c r="U158" s="37" t="s">
        <v>112</v>
      </c>
      <c r="V158" s="37" t="s">
        <v>113</v>
      </c>
      <c r="W158" s="37" t="s">
        <v>82</v>
      </c>
      <c r="X158" s="37" t="s">
        <v>81</v>
      </c>
      <c r="Y158" s="37" t="s">
        <v>109</v>
      </c>
      <c r="Z158" s="37" t="s">
        <v>83</v>
      </c>
      <c r="AA158" s="37" t="s">
        <v>84</v>
      </c>
      <c r="AB158" s="37" t="s">
        <v>183</v>
      </c>
      <c r="AC158" s="37" t="s">
        <v>186</v>
      </c>
      <c r="AD158" s="37" t="s">
        <v>85</v>
      </c>
      <c r="AE158" s="37" t="s">
        <v>86</v>
      </c>
      <c r="AF158" s="37" t="s">
        <v>81</v>
      </c>
      <c r="AG158" s="37" t="s">
        <v>87</v>
      </c>
      <c r="AH158" s="37" t="s">
        <v>88</v>
      </c>
      <c r="AI158" s="37" t="s">
        <v>81</v>
      </c>
      <c r="AJ158" s="37" t="s">
        <v>81</v>
      </c>
      <c r="AK158" s="37" t="s">
        <v>81</v>
      </c>
      <c r="AL158" s="37" t="s">
        <v>81</v>
      </c>
      <c r="AM158" t="str">
        <f>VLOOKUP($R158,武学奇术!$A:$ZZ,25,FALSE)</f>
        <v>绳镖</v>
      </c>
      <c r="AN158" s="23">
        <f>VLOOKUP($R158,武学奇术!$A:$ZZ,26,FALSE)</f>
        <v>0.3675</v>
      </c>
      <c r="AO158" s="24">
        <f>VLOOKUP($R158,武学奇术!$A:$ZZ,27,FALSE)*(1+IF(OR($AM158=$F$4,$AM158=$F$5),$B$23,0))</f>
        <v>0</v>
      </c>
      <c r="AP158" s="23">
        <f>VLOOKUP($R158,武学奇术!$A:$ZZ,28,FALSE)</f>
        <v>0.55125</v>
      </c>
      <c r="AQ158" s="24">
        <f>VLOOKUP($R158,武学奇术!$A:$ZZ,29,FALSE)*(1+IF(OR($AM158=$F$4,$AM158=$F$5),$B$23,0))</f>
        <v>0</v>
      </c>
      <c r="AR158" s="23" cm="1">
        <f t="array" ref="AR158">$G$3+IFERROR(VLOOKUP($AM158,$F$4:$G$7,2,FALSE),0)+VLOOKUP($R158,武学奇术!$A:$ZZ,2,FALSE)+SUM(_xlfn.XLOOKUP($S158:$AL158,增益!$A:$A,增益!$B:$B,0))</f>
        <v>1.5743</v>
      </c>
      <c r="AS158" s="23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4150.4</v>
      </c>
      <c r="AU158" cm="1">
        <f t="array" ref="AU158">$E$10*(1+$AS158)+VLOOKUP($R158,武学奇术!$A:$ZZ,4,FALSE)+SUM(_xlfn.XLOOKUP($S158:$AL158,增益!$A:$A,增益!$D:$D,0))-$I$2</f>
        <v>4150.4</v>
      </c>
      <c r="AV158" s="29" cm="1">
        <f t="array" ref="AV158">IF($F$10-$I$3+VLOOKUP($R158,武学奇术!$A:$ZZ,6,FALSE)+SUM(_xlfn.XLOOKUP(S158:AL158,增益!$A:$A,增益!$F:$F,0))&gt;0,($F$10-$I$3+VLOOKUP($R158,武学奇术!$A:$ZZ,6,FALSE)+SUM(_xlfn.XLOOKUP(S158:AL158,增益!$A:$A,增益!$F:$F,0)))/200,($F$10-$I$3+VLOOKUP($R158,武学奇术!$A:$ZZ,6,FALSE)+SUM(_xlfn.XLOOKUP(S158:AL158,增益!$A:$A,增益!$F:$F,0)))/100)</f>
        <v>0.4539</v>
      </c>
      <c r="AW158" s="29" cm="1">
        <f t="array" ref="AW158">$G$10+VLOOKUP($R158,武学奇术!$A:$ZZ,7,FALSE)+SUM(_xlfn.XLOOKUP(S158:AL158,增益!$A:$A,增益!$G:$G,0))</f>
        <v>0.29</v>
      </c>
      <c r="AX158" s="23" cm="1">
        <f t="array" ref="AX158">VLOOKUP($R158,武学奇术!$A:$ZZ,8,FALSE)+SUM(_xlfn.XLOOKUP(S158:AL158,增益!$A:$A,增益!$H:$H,0))</f>
        <v>0</v>
      </c>
      <c r="AY158">
        <f t="shared" si="46"/>
        <v>0</v>
      </c>
      <c r="AZ158">
        <f t="shared" si="47"/>
        <v>0</v>
      </c>
      <c r="BA158" s="29" cm="1">
        <f t="array" ref="BA158">IF($F$11-$I$4+VLOOKUP($R158,武学奇术!$A:$ZZ,9,FALSE)+SUM(_xlfn.XLOOKUP(S158:AL158,增益!$A:$A,增益!$I:$I,0))&gt;0,($F$11-$I$4+VLOOKUP($R158,武学奇术!$A:$ZZ,9,FALSE)+SUM(_xlfn.XLOOKUP(S158:AL158,增益!$A:$A,增益!$I:$I,0)))/200,($F$11-$I$4+VLOOKUP($R158,武学奇术!$A:$ZZ,9,FALSE)+SUM(_xlfn.XLOOKUP(S158:AL158,增益!$A:$A,增益!$I:$I,0)))/100)</f>
        <v>-0.14</v>
      </c>
      <c r="BB158" s="29" cm="1">
        <f t="array" ref="BB158">$G$11+VLOOKUP($R158,武学奇术!$A:$ZZ,10,FALSE)+SUM(_xlfn.XLOOKUP(S158:AL158,增益!$A:$A,增益!$J:$J,0))</f>
        <v>0.12</v>
      </c>
      <c r="BC158">
        <f t="shared" si="48"/>
        <v>0</v>
      </c>
      <c r="BD158">
        <f t="shared" si="49"/>
        <v>0</v>
      </c>
      <c r="BE158" s="29" cm="1">
        <f t="array" ref="BE158">IF($F$12-$I$4+VLOOKUP($R158,武学奇术!$A:$ZZ,11,FALSE)+SUM(_xlfn.XLOOKUP(S158:AL158,增益!$A:$A,增益!$K:$K,0))&gt;0,($F$12-$I$4+VLOOKUP($R158,武学奇术!$A:$ZZ,11,FALSE)+SUM(_xlfn.XLOOKUP(S158:AL158,增益!$A:$A,增益!$K:$K,0)))/200,($F$12-$I$4+VLOOKUP($R158,武学奇术!$A:$ZZ,11,FALSE)+SUM(_xlfn.XLOOKUP(S158:AL158,增益!$A:$A,增益!$K:$K,0)))/100)</f>
        <v>-0.14</v>
      </c>
      <c r="BF158" s="29" cm="1">
        <f t="array" ref="BF158">$G$12+VLOOKUP($R158,武学奇术!$A:$ZZ,12,FALSE)+SUM(_xlfn.XLOOKUP(S158:AL158,增益!$A:$A,增益!$L:$L,0))</f>
        <v>0.02</v>
      </c>
      <c r="BG158">
        <f t="shared" si="50"/>
        <v>0</v>
      </c>
      <c r="BH158">
        <f t="shared" si="51"/>
        <v>0</v>
      </c>
      <c r="BI158" s="29" cm="1">
        <f t="array" ref="BI158">IF($F$13-$I$4+VLOOKUP($R158,武学奇术!$A:$ZZ,13,FALSE)+SUM(_xlfn.XLOOKUP(S158:AL158,增益!$A:$A,增益!$M:$M,0))&gt;0,($F$13-$I$4+VLOOKUP($R158,武学奇术!$A:$ZZ,13,FALSE)+SUM(_xlfn.XLOOKUP(S158:AL158,增益!$A:$A,增益!$K:$K,0)))/200,($F$13-$I$4+VLOOKUP($R158,武学奇术!$A:$ZZ,13,FALSE)+SUM(_xlfn.XLOOKUP(S158:AL158,增益!$A:$A,增益!$M:$M,0)))/100)</f>
        <v>-0.14</v>
      </c>
      <c r="BJ158" s="29" cm="1">
        <f t="array" ref="BJ158">$G$13+VLOOKUP($R158,武学奇术!$A:$ZZ,14,FALSE)+SUM(_xlfn.XLOOKUP(S158:AL158,增益!$A:$A,增益!$N:$N,0))</f>
        <v>0.02</v>
      </c>
      <c r="BK158">
        <f t="shared" si="52"/>
        <v>618.2</v>
      </c>
      <c r="BL158">
        <f t="shared" si="53"/>
        <v>1805</v>
      </c>
      <c r="BM158" s="29" cm="1">
        <f t="array" ref="BM158">IF($F$14-$I$4+VLOOKUP($R158,武学奇术!$A:$ZZ,15,FALSE)+SUM(_xlfn.XLOOKUP(S158:AL158,增益!$A:$A,增益!$O:$O,0))&gt;0,($F$14-$I$4+VLOOKUP($R158,武学奇术!$A:$ZZ,15,FALSE)+SUM(_xlfn.XLOOKUP(S158:AL158,增益!$A:$A,增益!$O:$O,0)))/200,($F$14-$I$4+VLOOKUP($R158,武学奇术!$A:$ZZ,15,FALSE)+SUM(_xlfn.XLOOKUP(S158:AL158,增益!$A:$A,增益!$O:$O,0)))/100)</f>
        <v>0.13</v>
      </c>
      <c r="BN158" s="29" cm="1">
        <f t="array" ref="BN158">$G$14+VLOOKUP($R158,武学奇术!$A:$ZZ,16,FALSE)+SUM(_xlfn.XLOOKUP(S158:AL158,增益!$A:$A,增益!$P:$P,0))</f>
        <v>0.44</v>
      </c>
      <c r="BO158" s="23">
        <f>MIN(IF(VLOOKUP($R158,武学奇术!$A:$ZZ,23,FALSE)=1,100%,$B$8),100%)</f>
        <v>0.9943</v>
      </c>
      <c r="BP158" s="23" cm="1">
        <f t="array" ref="BP158">IF(VLOOKUP($R158,武学奇术!$A:$ZZ,23,FALSE)=1,100%,MIN(80%,$B$9+VLOOKUP($R158,武学奇术!$A:$ZZ,17,FALSE)+SUM(_xlfn.XLOOKUP(S158:AL158,增益!$A:$A,增益!$Q:$Q,0)))+$B$11+SUM(_xlfn.XLOOKUP(S158:AL158,增益!$A:$A,增益!$U:$U,0)))*IF(VLOOKUP($R158,武学奇术!$A:$ZZ,24,FALSE)=1,0,1)</f>
        <v>0.887</v>
      </c>
      <c r="BQ158" s="23" cm="1">
        <f t="array" ref="BQ158">1+$B$13+VLOOKUP($R158,武学奇术!$A:$ZZ,18,FALSE)+SUM(_xlfn.XLOOKUP(S158:AL158,增益!$A:$A,增益!$R:$R,0))</f>
        <v>2.394</v>
      </c>
      <c r="BR158" s="23" cm="1">
        <f t="array" ref="BR158">IF(VLOOKUP($R158,武学奇术!$A:$ZZ,24,FALSE)=1,100%,MIN(40%,$B$10+VLOOKUP($R158,武学奇术!$A:$ZZ,19,FALSE)+SUM(_xlfn.XLOOKUP(S158:AL158,增益!$A:$A,增益!$S:$S,0)))+$B$12+SUM(_xlfn.XLOOKUP(S158:AL158,增益!$A:$A,增益!$V:$V,0)))*IF(VLOOKUP($R158,武学奇术!$A:$ZZ,23,FALSE)=1,0,1)</f>
        <v>0.0913</v>
      </c>
      <c r="BS158" s="23" cm="1">
        <f t="array" ref="BS158">1+$B$14+VLOOKUP($R158,武学奇术!$A:$ZZ,20,FALSE)+SUM(_xlfn.XLOOKUP(S158:AL158,增益!$A:$A,增益!$T:$T,0))</f>
        <v>1.35</v>
      </c>
      <c r="BT158" s="23">
        <f t="shared" si="54"/>
        <v>0.8819441</v>
      </c>
      <c r="BU158" s="23">
        <f t="shared" si="55"/>
        <v>0.0215763099999999</v>
      </c>
      <c r="BV158" s="23">
        <f>IF(VLOOKUP($R158,武学奇术!$A:$ZZ,22,FALSE)=1,0,(1-$BO158))*(1-$BR158)</f>
        <v>0.00517958999999993</v>
      </c>
      <c r="BW158" s="23" cm="1">
        <f t="array" ref="BW158">SUM(_xlfn.XLOOKUP(S158:AL158,增益!$A:$A,增益!$W:$W,0))+$I$5</f>
        <v>0.31</v>
      </c>
      <c r="BX158" s="23">
        <f>VLOOKUP($R158,武学奇术!$A:$ZZ,32,FALSE)</f>
        <v>0</v>
      </c>
      <c r="BY158" s="23" cm="1">
        <f t="array" ref="BY158">SUM(_xlfn.XLOOKUP($S158:$AL158,增益!$A:$A,增益!$X:$X,0))</f>
        <v>0</v>
      </c>
    </row>
    <row r="159" spans="11:77">
      <c r="K159" s="35">
        <f>$L159*VLOOKUP($R159,武学奇术!$A:$ZZ,31,FALSE)</f>
        <v>116591.730726307</v>
      </c>
      <c r="L159" s="35">
        <f t="shared" si="56"/>
        <v>104099.75957706</v>
      </c>
      <c r="M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轻击",$B$21,0))*(1+IF(VLOOKUP($R159,武学奇术!$A:$ZZ,30,FALSE)="老鼠",$B$22,0))*(1+$BW159)*(1+$BX159)</f>
        <v>109548.810170713</v>
      </c>
      <c r="N159" s="35">
        <f>(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轻击",$B$21,0))*(1+IF(VLOOKUP($R159,武学奇术!$A:$ZZ,30,FALSE)="老鼠",$B$22,0))*(1+$BW159))*(1+$BX159)</f>
        <v>68857.1716321897</v>
      </c>
      <c r="O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轻击",$B$21,0))*(1+IF(VLOOKUP($R159,武学奇术!$A:$ZZ,30,FALSE)="老鼠",$B$22,0))*(1+$BW159)*(1+$BX159)</f>
        <v>45759.736913414</v>
      </c>
      <c r="P159" s="35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轻击",$B$21,0))*(1+IF(VLOOKUP($R159,武学奇术!$A:$ZZ,30,FALSE)="老鼠",$B$22,0))*(1+$BW159)*(1+$BX159)</f>
        <v>40514.1615066876</v>
      </c>
      <c r="Q159" s="36">
        <v>1</v>
      </c>
      <c r="R159" s="37" t="s">
        <v>153</v>
      </c>
      <c r="S159" s="37" t="s">
        <v>91</v>
      </c>
      <c r="T159" s="37" t="s">
        <v>185</v>
      </c>
      <c r="U159" s="37" t="s">
        <v>112</v>
      </c>
      <c r="V159" s="37" t="s">
        <v>113</v>
      </c>
      <c r="W159" s="37" t="s">
        <v>82</v>
      </c>
      <c r="X159" s="37" t="s">
        <v>81</v>
      </c>
      <c r="Y159" s="37" t="s">
        <v>109</v>
      </c>
      <c r="Z159" s="37" t="s">
        <v>83</v>
      </c>
      <c r="AA159" s="37" t="s">
        <v>81</v>
      </c>
      <c r="AB159" s="37" t="s">
        <v>183</v>
      </c>
      <c r="AC159" s="37" t="s">
        <v>186</v>
      </c>
      <c r="AD159" s="37" t="s">
        <v>85</v>
      </c>
      <c r="AE159" s="37" t="s">
        <v>86</v>
      </c>
      <c r="AF159" s="37" t="s">
        <v>181</v>
      </c>
      <c r="AG159" s="37" t="s">
        <v>87</v>
      </c>
      <c r="AH159" s="37" t="s">
        <v>88</v>
      </c>
      <c r="AI159" s="37" t="s">
        <v>81</v>
      </c>
      <c r="AJ159" s="37" t="s">
        <v>81</v>
      </c>
      <c r="AK159" s="37" t="s">
        <v>81</v>
      </c>
      <c r="AL159" s="37" t="s">
        <v>81</v>
      </c>
      <c r="AM159" t="str">
        <f>VLOOKUP($R159,武学奇术!$A:$ZZ,25,FALSE)</f>
        <v>双刀</v>
      </c>
      <c r="AN159" s="23">
        <f>VLOOKUP($R159,武学奇术!$A:$ZZ,26,FALSE)</f>
        <v>1.7358</v>
      </c>
      <c r="AO159" s="24">
        <f>VLOOKUP($R159,武学奇术!$A:$ZZ,27,FALSE)*(1+IF(OR($AM159=$F$4,$AM159=$F$5),$B$23,0))</f>
        <v>769.6</v>
      </c>
      <c r="AP159" s="23">
        <f>VLOOKUP($R159,武学奇术!$A:$ZZ,28,FALSE)</f>
        <v>2.6037</v>
      </c>
      <c r="AQ159" s="24">
        <f>VLOOKUP($R159,武学奇术!$A:$ZZ,29,FALSE)*(1+IF(OR($AM159=$F$4,$AM159=$F$5),$B$23,0))</f>
        <v>419.2</v>
      </c>
      <c r="AR159" s="23" cm="1">
        <f t="array" ref="AR159">$G$3+IFERROR(VLOOKUP($AM159,$F$4:$G$7,2,FALSE),0)+VLOOKUP($R159,武学奇术!$A:$ZZ,2,FALSE)+SUM(_xlfn.XLOOKUP($S159:$AL159,增益!$A:$A,增益!$B:$B,0))</f>
        <v>0.8243</v>
      </c>
      <c r="AS159" s="23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4150.4</v>
      </c>
      <c r="AU159" cm="1">
        <f t="array" ref="AU159">$E$10*(1+$AS159)+VLOOKUP($R159,武学奇术!$A:$ZZ,4,FALSE)+SUM(_xlfn.XLOOKUP($S159:$AL159,增益!$A:$A,增益!$D:$D,0))-$I$2</f>
        <v>4150.4</v>
      </c>
      <c r="AV159" s="29" cm="1">
        <f t="array" ref="AV159">IF($F$10-$I$3+VLOOKUP($R159,武学奇术!$A:$ZZ,6,FALSE)+SUM(_xlfn.XLOOKUP(S159:AL159,增益!$A:$A,增益!$F:$F,0))&gt;0,($F$10-$I$3+VLOOKUP($R159,武学奇术!$A:$ZZ,6,FALSE)+SUM(_xlfn.XLOOKUP(S159:AL159,增益!$A:$A,增益!$F:$F,0)))/200,($F$10-$I$3+VLOOKUP($R159,武学奇术!$A:$ZZ,6,FALSE)+SUM(_xlfn.XLOOKUP(S159:AL159,增益!$A:$A,增益!$F:$F,0)))/100)</f>
        <v>0.4539</v>
      </c>
      <c r="AW159" s="29" cm="1">
        <f t="array" ref="AW159">$G$10+VLOOKUP($R159,武学奇术!$A:$ZZ,7,FALSE)+SUM(_xlfn.XLOOKUP(S159:AL159,增益!$A:$A,增益!$G:$G,0))</f>
        <v>0.08</v>
      </c>
      <c r="AX159" s="23" cm="1">
        <f t="array" ref="AX159">VLOOKUP($R159,武学奇术!$A:$ZZ,8,FALSE)+SUM(_xlfn.XLOOKUP(S159:AL159,增益!$A:$A,增益!$H:$H,0))</f>
        <v>0</v>
      </c>
      <c r="AY159">
        <f t="shared" si="46"/>
        <v>0</v>
      </c>
      <c r="AZ159">
        <f t="shared" si="47"/>
        <v>0</v>
      </c>
      <c r="BA159" s="29" cm="1">
        <f t="array" ref="BA159">IF($F$11-$I$4+VLOOKUP($R159,武学奇术!$A:$ZZ,9,FALSE)+SUM(_xlfn.XLOOKUP(S159:AL159,增益!$A:$A,增益!$I:$I,0))&gt;0,($F$11-$I$4+VLOOKUP($R159,武学奇术!$A:$ZZ,9,FALSE)+SUM(_xlfn.XLOOKUP(S159:AL159,增益!$A:$A,增益!$I:$I,0)))/200,($F$11-$I$4+VLOOKUP($R159,武学奇术!$A:$ZZ,9,FALSE)+SUM(_xlfn.XLOOKUP(S159:AL159,增益!$A:$A,增益!$I:$I,0)))/100)</f>
        <v>-0.3</v>
      </c>
      <c r="BB159" s="29" cm="1">
        <f t="array" ref="BB159">$G$11+VLOOKUP($R159,武学奇术!$A:$ZZ,10,FALSE)+SUM(_xlfn.XLOOKUP(S159:AL159,增益!$A:$A,增益!$J:$J,0))</f>
        <v>0.12</v>
      </c>
      <c r="BC159">
        <f t="shared" si="48"/>
        <v>0</v>
      </c>
      <c r="BD159">
        <f t="shared" si="49"/>
        <v>0</v>
      </c>
      <c r="BE159" s="29" cm="1">
        <f t="array" ref="BE159">IF($F$12-$I$4+VLOOKUP($R159,武学奇术!$A:$ZZ,11,FALSE)+SUM(_xlfn.XLOOKUP(S159:AL159,增益!$A:$A,增益!$K:$K,0))&gt;0,($F$12-$I$4+VLOOKUP($R159,武学奇术!$A:$ZZ,11,FALSE)+SUM(_xlfn.XLOOKUP(S159:AL159,增益!$A:$A,增益!$K:$K,0)))/200,($F$12-$I$4+VLOOKUP($R159,武学奇术!$A:$ZZ,11,FALSE)+SUM(_xlfn.XLOOKUP(S159:AL159,增益!$A:$A,增益!$K:$K,0)))/100)</f>
        <v>-0.3</v>
      </c>
      <c r="BF159" s="29" cm="1">
        <f t="array" ref="BF159">$G$12+VLOOKUP($R159,武学奇术!$A:$ZZ,12,FALSE)+SUM(_xlfn.XLOOKUP(S159:AL159,增益!$A:$A,增益!$L:$L,0))</f>
        <v>0.02</v>
      </c>
      <c r="BG159">
        <f t="shared" si="50"/>
        <v>0</v>
      </c>
      <c r="BH159">
        <f t="shared" si="51"/>
        <v>0</v>
      </c>
      <c r="BI159" s="29" cm="1">
        <f t="array" ref="BI159">IF($F$13-$I$4+VLOOKUP($R159,武学奇术!$A:$ZZ,13,FALSE)+SUM(_xlfn.XLOOKUP(S159:AL159,增益!$A:$A,增益!$M:$M,0))&gt;0,($F$13-$I$4+VLOOKUP($R159,武学奇术!$A:$ZZ,13,FALSE)+SUM(_xlfn.XLOOKUP(S159:AL159,增益!$A:$A,增益!$K:$K,0)))/200,($F$13-$I$4+VLOOKUP($R159,武学奇术!$A:$ZZ,13,FALSE)+SUM(_xlfn.XLOOKUP(S159:AL159,增益!$A:$A,增益!$M:$M,0)))/100)</f>
        <v>-0.3</v>
      </c>
      <c r="BJ159" s="29" cm="1">
        <f t="array" ref="BJ159">$G$13+VLOOKUP($R159,武学奇术!$A:$ZZ,14,FALSE)+SUM(_xlfn.XLOOKUP(S159:AL159,增益!$A:$A,增益!$N:$N,0))</f>
        <v>0.02</v>
      </c>
      <c r="BK159">
        <f t="shared" si="52"/>
        <v>618.2</v>
      </c>
      <c r="BL159">
        <f t="shared" si="53"/>
        <v>1805</v>
      </c>
      <c r="BM159" s="29" cm="1">
        <f t="array" ref="BM159">IF($F$14-$I$4+VLOOKUP($R159,武学奇术!$A:$ZZ,15,FALSE)+SUM(_xlfn.XLOOKUP(S159:AL159,增益!$A:$A,增益!$O:$O,0))&gt;0,($F$14-$I$4+VLOOKUP($R159,武学奇术!$A:$ZZ,15,FALSE)+SUM(_xlfn.XLOOKUP(S159:AL159,增益!$A:$A,增益!$O:$O,0)))/200,($F$14-$I$4+VLOOKUP($R159,武学奇术!$A:$ZZ,15,FALSE)+SUM(_xlfn.XLOOKUP(S159:AL159,增益!$A:$A,增益!$O:$O,0)))/100)</f>
        <v>0.05</v>
      </c>
      <c r="BN159" s="29" cm="1">
        <f t="array" ref="BN159">$G$14+VLOOKUP($R159,武学奇术!$A:$ZZ,16,FALSE)+SUM(_xlfn.XLOOKUP(S159:AL159,增益!$A:$A,增益!$P:$P,0))</f>
        <v>0.23</v>
      </c>
      <c r="BO159" s="23">
        <f>MIN(IF(VLOOKUP($R159,武学奇术!$A:$ZZ,23,FALSE)=1,100%,$B$8),100%)</f>
        <v>0.9943</v>
      </c>
      <c r="BP159" s="23" cm="1">
        <f t="array" ref="BP159">IF(VLOOKUP($R159,武学奇术!$A:$ZZ,23,FALSE)=1,100%,MIN(80%,$B$9+VLOOKUP($R159,武学奇术!$A:$ZZ,17,FALSE)+SUM(_xlfn.XLOOKUP(S159:AL159,增益!$A:$A,增益!$Q:$Q,0)))+$B$11+SUM(_xlfn.XLOOKUP(S159:AL159,增益!$A:$A,增益!$U:$U,0)))*IF(VLOOKUP($R159,武学奇术!$A:$ZZ,24,FALSE)=1,0,1)</f>
        <v>0.887</v>
      </c>
      <c r="BQ159" s="23" cm="1">
        <f t="array" ref="BQ159">1+$B$13+VLOOKUP($R159,武学奇术!$A:$ZZ,18,FALSE)+SUM(_xlfn.XLOOKUP(S159:AL159,增益!$A:$A,增益!$R:$R,0))</f>
        <v>2.394</v>
      </c>
      <c r="BR159" s="23" cm="1">
        <f t="array" ref="BR159">IF(VLOOKUP($R159,武学奇术!$A:$ZZ,24,FALSE)=1,100%,MIN(40%,$B$10+VLOOKUP($R159,武学奇术!$A:$ZZ,19,FALSE)+SUM(_xlfn.XLOOKUP(S159:AL159,增益!$A:$A,增益!$S:$S,0)))+$B$12+SUM(_xlfn.XLOOKUP(S159:AL159,增益!$A:$A,增益!$V:$V,0)))*IF(VLOOKUP($R159,武学奇术!$A:$ZZ,23,FALSE)=1,0,1)</f>
        <v>0.0913</v>
      </c>
      <c r="BS159" s="23" cm="1">
        <f t="array" ref="BS159">1+$B$14+VLOOKUP($R159,武学奇术!$A:$ZZ,20,FALSE)+SUM(_xlfn.XLOOKUP(S159:AL159,增益!$A:$A,增益!$T:$T,0))</f>
        <v>1.35</v>
      </c>
      <c r="BT159" s="23">
        <f t="shared" si="54"/>
        <v>0.8819441</v>
      </c>
      <c r="BU159" s="23">
        <f t="shared" si="55"/>
        <v>0.0215763099999999</v>
      </c>
      <c r="BV159" s="23">
        <f>IF(VLOOKUP($R159,武学奇术!$A:$ZZ,22,FALSE)=1,0,(1-$BO159))*(1-$BR159)</f>
        <v>0.00517958999999993</v>
      </c>
      <c r="BW159" s="23" cm="1">
        <f t="array" ref="BW159">SUM(_xlfn.XLOOKUP(S159:AL159,增益!$A:$A,增益!$W:$W,0))+$I$5</f>
        <v>0.31</v>
      </c>
      <c r="BX159" s="23">
        <f>VLOOKUP($R159,武学奇术!$A:$ZZ,32,FALSE)</f>
        <v>0.1</v>
      </c>
      <c r="BY159" s="23" cm="1">
        <f t="array" ref="BY159">SUM(_xlfn.XLOOKUP($S159:$AL159,增益!$A:$A,增益!$X:$X,0))</f>
        <v>0</v>
      </c>
    </row>
    <row r="160" spans="11:77">
      <c r="K160" s="35">
        <f>$L160*VLOOKUP($R160,武学奇术!$A:$ZZ,31,FALSE)</f>
        <v>170203.737218015</v>
      </c>
      <c r="L160" s="35">
        <f t="shared" si="56"/>
        <v>151967.622516085</v>
      </c>
      <c r="M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轻击",$B$21,0))*(1+IF(VLOOKUP($R160,武学奇术!$A:$ZZ,30,FALSE)="老鼠",$B$22,0))*(1+$BW160)*(1+$BX160)</f>
        <v>159922.230122713</v>
      </c>
      <c r="N160" s="35">
        <f>(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轻击",$B$21,0))*(1+IF(VLOOKUP($R160,武学奇术!$A:$ZZ,30,FALSE)="老鼠",$B$22,0))*(1+$BW160))*(1+$BX160)</f>
        <v>100520.18844415</v>
      </c>
      <c r="O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轻击",$B$21,0))*(1+IF(VLOOKUP($R160,武学奇术!$A:$ZZ,30,FALSE)="老鼠",$B$22,0))*(1+$BW160)*(1+$BX160)</f>
        <v>66801.2657154188</v>
      </c>
      <c r="P160" s="35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轻击",$B$21,0))*(1+IF(VLOOKUP($R160,武学奇术!$A:$ZZ,30,FALSE)="老鼠",$B$22,0))*(1+$BW160)*(1+$BX160)</f>
        <v>59143.1325833188</v>
      </c>
      <c r="Q160" s="36">
        <v>1</v>
      </c>
      <c r="R160" s="37" t="s">
        <v>158</v>
      </c>
      <c r="S160" s="37" t="s">
        <v>91</v>
      </c>
      <c r="T160" s="37" t="s">
        <v>185</v>
      </c>
      <c r="U160" s="37" t="s">
        <v>112</v>
      </c>
      <c r="V160" s="37" t="s">
        <v>113</v>
      </c>
      <c r="W160" s="37" t="s">
        <v>82</v>
      </c>
      <c r="X160" s="37" t="s">
        <v>81</v>
      </c>
      <c r="Y160" s="37" t="s">
        <v>109</v>
      </c>
      <c r="Z160" s="37" t="s">
        <v>83</v>
      </c>
      <c r="AA160" s="37" t="s">
        <v>81</v>
      </c>
      <c r="AB160" s="37" t="s">
        <v>183</v>
      </c>
      <c r="AC160" s="37" t="s">
        <v>186</v>
      </c>
      <c r="AD160" s="37" t="s">
        <v>85</v>
      </c>
      <c r="AE160" s="37" t="s">
        <v>86</v>
      </c>
      <c r="AF160" s="37" t="s">
        <v>181</v>
      </c>
      <c r="AG160" s="37" t="s">
        <v>87</v>
      </c>
      <c r="AH160" s="37" t="s">
        <v>88</v>
      </c>
      <c r="AI160" s="37" t="s">
        <v>81</v>
      </c>
      <c r="AJ160" s="37" t="s">
        <v>81</v>
      </c>
      <c r="AK160" s="37" t="s">
        <v>81</v>
      </c>
      <c r="AL160" s="37" t="s">
        <v>81</v>
      </c>
      <c r="AM160" t="str">
        <f>VLOOKUP($R160,武学奇术!$A:$ZZ,25,FALSE)</f>
        <v>双刀</v>
      </c>
      <c r="AN160" s="23">
        <f>VLOOKUP($R160,武学奇术!$A:$ZZ,26,FALSE)</f>
        <v>2.5342</v>
      </c>
      <c r="AO160" s="24">
        <f>VLOOKUP($R160,武学奇术!$A:$ZZ,27,FALSE)*(1+IF(OR($AM160=$F$4,$AM160=$F$5),$B$23,0))</f>
        <v>1123.2</v>
      </c>
      <c r="AP160" s="23">
        <f>VLOOKUP($R160,武学奇术!$A:$ZZ,28,FALSE)</f>
        <v>3.8012</v>
      </c>
      <c r="AQ160" s="24">
        <f>VLOOKUP($R160,武学奇术!$A:$ZZ,29,FALSE)*(1+IF(OR($AM160=$F$4,$AM160=$F$5),$B$23,0))</f>
        <v>611.2</v>
      </c>
      <c r="AR160" s="23" cm="1">
        <f t="array" ref="AR160">$G$3+IFERROR(VLOOKUP($AM160,$F$4:$G$7,2,FALSE),0)+VLOOKUP($R160,武学奇术!$A:$ZZ,2,FALSE)+SUM(_xlfn.XLOOKUP($S160:$AL160,增益!$A:$A,增益!$B:$B,0))</f>
        <v>0.8243</v>
      </c>
      <c r="AS160" s="23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4150.4</v>
      </c>
      <c r="AU160" cm="1">
        <f t="array" ref="AU160">$E$10*(1+$AS160)+VLOOKUP($R160,武学奇术!$A:$ZZ,4,FALSE)+SUM(_xlfn.XLOOKUP($S160:$AL160,增益!$A:$A,增益!$D:$D,0))-$I$2</f>
        <v>4150.4</v>
      </c>
      <c r="AV160" s="29" cm="1">
        <f t="array" ref="AV160">IF($F$10-$I$3+VLOOKUP($R160,武学奇术!$A:$ZZ,6,FALSE)+SUM(_xlfn.XLOOKUP(S160:AL160,增益!$A:$A,增益!$F:$F,0))&gt;0,($F$10-$I$3+VLOOKUP($R160,武学奇术!$A:$ZZ,6,FALSE)+SUM(_xlfn.XLOOKUP(S160:AL160,增益!$A:$A,增益!$F:$F,0)))/200,($F$10-$I$3+VLOOKUP($R160,武学奇术!$A:$ZZ,6,FALSE)+SUM(_xlfn.XLOOKUP(S160:AL160,增益!$A:$A,增益!$F:$F,0)))/100)</f>
        <v>0.4539</v>
      </c>
      <c r="AW160" s="29" cm="1">
        <f t="array" ref="AW160">$G$10+VLOOKUP($R160,武学奇术!$A:$ZZ,7,FALSE)+SUM(_xlfn.XLOOKUP(S160:AL160,增益!$A:$A,增益!$G:$G,0))</f>
        <v>0.08</v>
      </c>
      <c r="AX160" s="23" cm="1">
        <f t="array" ref="AX160">VLOOKUP($R160,武学奇术!$A:$ZZ,8,FALSE)+SUM(_xlfn.XLOOKUP(S160:AL160,增益!$A:$A,增益!$H:$H,0))</f>
        <v>0</v>
      </c>
      <c r="AY160">
        <f t="shared" si="46"/>
        <v>0</v>
      </c>
      <c r="AZ160">
        <f t="shared" si="47"/>
        <v>0</v>
      </c>
      <c r="BA160" s="29" cm="1">
        <f t="array" ref="BA160">IF($F$11-$I$4+VLOOKUP($R160,武学奇术!$A:$ZZ,9,FALSE)+SUM(_xlfn.XLOOKUP(S160:AL160,增益!$A:$A,增益!$I:$I,0))&gt;0,($F$11-$I$4+VLOOKUP($R160,武学奇术!$A:$ZZ,9,FALSE)+SUM(_xlfn.XLOOKUP(S160:AL160,增益!$A:$A,增益!$I:$I,0)))/200,($F$11-$I$4+VLOOKUP($R160,武学奇术!$A:$ZZ,9,FALSE)+SUM(_xlfn.XLOOKUP(S160:AL160,增益!$A:$A,增益!$I:$I,0)))/100)</f>
        <v>-0.3</v>
      </c>
      <c r="BB160" s="29" cm="1">
        <f t="array" ref="BB160">$G$11+VLOOKUP($R160,武学奇术!$A:$ZZ,10,FALSE)+SUM(_xlfn.XLOOKUP(S160:AL160,增益!$A:$A,增益!$J:$J,0))</f>
        <v>0.12</v>
      </c>
      <c r="BC160">
        <f t="shared" si="48"/>
        <v>0</v>
      </c>
      <c r="BD160">
        <f t="shared" si="49"/>
        <v>0</v>
      </c>
      <c r="BE160" s="29" cm="1">
        <f t="array" ref="BE160">IF($F$12-$I$4+VLOOKUP($R160,武学奇术!$A:$ZZ,11,FALSE)+SUM(_xlfn.XLOOKUP(S160:AL160,增益!$A:$A,增益!$K:$K,0))&gt;0,($F$12-$I$4+VLOOKUP($R160,武学奇术!$A:$ZZ,11,FALSE)+SUM(_xlfn.XLOOKUP(S160:AL160,增益!$A:$A,增益!$K:$K,0)))/200,($F$12-$I$4+VLOOKUP($R160,武学奇术!$A:$ZZ,11,FALSE)+SUM(_xlfn.XLOOKUP(S160:AL160,增益!$A:$A,增益!$K:$K,0)))/100)</f>
        <v>-0.3</v>
      </c>
      <c r="BF160" s="29" cm="1">
        <f t="array" ref="BF160">$G$12+VLOOKUP($R160,武学奇术!$A:$ZZ,12,FALSE)+SUM(_xlfn.XLOOKUP(S160:AL160,增益!$A:$A,增益!$L:$L,0))</f>
        <v>0.02</v>
      </c>
      <c r="BG160">
        <f t="shared" si="50"/>
        <v>0</v>
      </c>
      <c r="BH160">
        <f t="shared" si="51"/>
        <v>0</v>
      </c>
      <c r="BI160" s="29" cm="1">
        <f t="array" ref="BI160">IF($F$13-$I$4+VLOOKUP($R160,武学奇术!$A:$ZZ,13,FALSE)+SUM(_xlfn.XLOOKUP(S160:AL160,增益!$A:$A,增益!$M:$M,0))&gt;0,($F$13-$I$4+VLOOKUP($R160,武学奇术!$A:$ZZ,13,FALSE)+SUM(_xlfn.XLOOKUP(S160:AL160,增益!$A:$A,增益!$K:$K,0)))/200,($F$13-$I$4+VLOOKUP($R160,武学奇术!$A:$ZZ,13,FALSE)+SUM(_xlfn.XLOOKUP(S160:AL160,增益!$A:$A,增益!$M:$M,0)))/100)</f>
        <v>-0.3</v>
      </c>
      <c r="BJ160" s="29" cm="1">
        <f t="array" ref="BJ160">$G$13+VLOOKUP($R160,武学奇术!$A:$ZZ,14,FALSE)+SUM(_xlfn.XLOOKUP(S160:AL160,增益!$A:$A,增益!$N:$N,0))</f>
        <v>0.02</v>
      </c>
      <c r="BK160">
        <f t="shared" si="52"/>
        <v>618.2</v>
      </c>
      <c r="BL160">
        <f t="shared" si="53"/>
        <v>1805</v>
      </c>
      <c r="BM160" s="29" cm="1">
        <f t="array" ref="BM160">IF($F$14-$I$4+VLOOKUP($R160,武学奇术!$A:$ZZ,15,FALSE)+SUM(_xlfn.XLOOKUP(S160:AL160,增益!$A:$A,增益!$O:$O,0))&gt;0,($F$14-$I$4+VLOOKUP($R160,武学奇术!$A:$ZZ,15,FALSE)+SUM(_xlfn.XLOOKUP(S160:AL160,增益!$A:$A,增益!$O:$O,0)))/200,($F$14-$I$4+VLOOKUP($R160,武学奇术!$A:$ZZ,15,FALSE)+SUM(_xlfn.XLOOKUP(S160:AL160,增益!$A:$A,增益!$O:$O,0)))/100)</f>
        <v>0.05</v>
      </c>
      <c r="BN160" s="29" cm="1">
        <f t="array" ref="BN160">$G$14+VLOOKUP($R160,武学奇术!$A:$ZZ,16,FALSE)+SUM(_xlfn.XLOOKUP(S160:AL160,增益!$A:$A,增益!$P:$P,0))</f>
        <v>0.23</v>
      </c>
      <c r="BO160" s="23">
        <f>MIN(IF(VLOOKUP($R160,武学奇术!$A:$ZZ,23,FALSE)=1,100%,$B$8),100%)</f>
        <v>0.9943</v>
      </c>
      <c r="BP160" s="23" cm="1">
        <f t="array" ref="BP160">IF(VLOOKUP($R160,武学奇术!$A:$ZZ,23,FALSE)=1,100%,MIN(80%,$B$9+VLOOKUP($R160,武学奇术!$A:$ZZ,17,FALSE)+SUM(_xlfn.XLOOKUP(S160:AL160,增益!$A:$A,增益!$Q:$Q,0)))+$B$11+SUM(_xlfn.XLOOKUP(S160:AL160,增益!$A:$A,增益!$U:$U,0)))*IF(VLOOKUP($R160,武学奇术!$A:$ZZ,24,FALSE)=1,0,1)</f>
        <v>0.887</v>
      </c>
      <c r="BQ160" s="23" cm="1">
        <f t="array" ref="BQ160">1+$B$13+VLOOKUP($R160,武学奇术!$A:$ZZ,18,FALSE)+SUM(_xlfn.XLOOKUP(S160:AL160,增益!$A:$A,增益!$R:$R,0))</f>
        <v>2.394</v>
      </c>
      <c r="BR160" s="23" cm="1">
        <f t="array" ref="BR160">IF(VLOOKUP($R160,武学奇术!$A:$ZZ,24,FALSE)=1,100%,MIN(40%,$B$10+VLOOKUP($R160,武学奇术!$A:$ZZ,19,FALSE)+SUM(_xlfn.XLOOKUP(S160:AL160,增益!$A:$A,增益!$S:$S,0)))+$B$12+SUM(_xlfn.XLOOKUP(S160:AL160,增益!$A:$A,增益!$V:$V,0)))*IF(VLOOKUP($R160,武学奇术!$A:$ZZ,23,FALSE)=1,0,1)</f>
        <v>0.0913</v>
      </c>
      <c r="BS160" s="23" cm="1">
        <f t="array" ref="BS160">1+$B$14+VLOOKUP($R160,武学奇术!$A:$ZZ,20,FALSE)+SUM(_xlfn.XLOOKUP(S160:AL160,增益!$A:$A,增益!$T:$T,0))</f>
        <v>1.35</v>
      </c>
      <c r="BT160" s="23">
        <f t="shared" si="54"/>
        <v>0.8819441</v>
      </c>
      <c r="BU160" s="23">
        <f t="shared" si="55"/>
        <v>0.0215763099999999</v>
      </c>
      <c r="BV160" s="23">
        <f>IF(VLOOKUP($R160,武学奇术!$A:$ZZ,22,FALSE)=1,0,(1-$BO160))*(1-$BR160)</f>
        <v>0.00517958999999993</v>
      </c>
      <c r="BW160" s="23" cm="1">
        <f t="array" ref="BW160">SUM(_xlfn.XLOOKUP(S160:AL160,增益!$A:$A,增益!$W:$W,0))+$I$5</f>
        <v>0.31</v>
      </c>
      <c r="BX160" s="23">
        <f>VLOOKUP($R160,武学奇术!$A:$ZZ,32,FALSE)</f>
        <v>0.1</v>
      </c>
      <c r="BY160" s="23" cm="1">
        <f t="array" ref="BY160">SUM(_xlfn.XLOOKUP($S160:$AL160,增益!$A:$A,增益!$X:$X,0))</f>
        <v>0</v>
      </c>
    </row>
    <row r="161" spans="11:77">
      <c r="K161" s="35">
        <f>$L161*VLOOKUP($R161,武学奇术!$A:$ZZ,31,FALSE)</f>
        <v>240153.291958442</v>
      </c>
      <c r="L161" s="69">
        <f t="shared" si="56"/>
        <v>235444.403880825</v>
      </c>
      <c r="M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轻击",$B$21,0))*(1+IF(VLOOKUP($R161,武学奇术!$A:$ZZ,30,FALSE)="老鼠",$B$22,0))*(1+$BW161)*(1+$BX161)</f>
        <v>247599.624253167</v>
      </c>
      <c r="N161" s="35">
        <f>(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轻击",$B$21,0))*(1+IF(VLOOKUP($R161,武学奇术!$A:$ZZ,30,FALSE)="老鼠",$B$22,0))*(1+$BW161))*(1+$BX161)</f>
        <v>157465.48529068</v>
      </c>
      <c r="O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轻击",$B$21,0))*(1+IF(VLOOKUP($R161,武学奇术!$A:$ZZ,30,FALSE)="老鼠",$B$22,0))*(1+$BW161)*(1+$BX161)</f>
        <v>103425.072787455</v>
      </c>
      <c r="P161" s="35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轻击",$B$21,0))*(1+IF(VLOOKUP($R161,武学奇术!$A:$ZZ,30,FALSE)="老鼠",$B$22,0))*(1+$BW161)*(1+$BX161)</f>
        <v>90209.0453595912</v>
      </c>
      <c r="Q161" s="70">
        <v>6</v>
      </c>
      <c r="R161" s="37" t="s">
        <v>106</v>
      </c>
      <c r="S161" s="37" t="s">
        <v>91</v>
      </c>
      <c r="T161" s="37" t="s">
        <v>185</v>
      </c>
      <c r="U161" s="37" t="s">
        <v>112</v>
      </c>
      <c r="V161" s="37" t="s">
        <v>113</v>
      </c>
      <c r="W161" s="37" t="s">
        <v>82</v>
      </c>
      <c r="X161" s="37" t="s">
        <v>81</v>
      </c>
      <c r="Y161" s="37" t="s">
        <v>109</v>
      </c>
      <c r="Z161" s="37" t="s">
        <v>83</v>
      </c>
      <c r="AA161" s="37" t="s">
        <v>81</v>
      </c>
      <c r="AB161" s="37" t="s">
        <v>183</v>
      </c>
      <c r="AC161" s="37" t="s">
        <v>186</v>
      </c>
      <c r="AD161" s="37" t="s">
        <v>85</v>
      </c>
      <c r="AE161" s="37" t="s">
        <v>86</v>
      </c>
      <c r="AF161" s="37" t="s">
        <v>81</v>
      </c>
      <c r="AG161" s="37" t="s">
        <v>87</v>
      </c>
      <c r="AH161" s="37" t="s">
        <v>88</v>
      </c>
      <c r="AI161" s="37" t="s">
        <v>81</v>
      </c>
      <c r="AJ161" s="37" t="s">
        <v>81</v>
      </c>
      <c r="AK161" s="37" t="s">
        <v>81</v>
      </c>
      <c r="AL161" s="37" t="s">
        <v>81</v>
      </c>
      <c r="AM161" t="str">
        <f>VLOOKUP($R161,武学奇术!$A:$ZZ,25,FALSE)</f>
        <v>绳镖</v>
      </c>
      <c r="AN161" s="23">
        <f>VLOOKUP($R161,武学奇术!$A:$ZZ,26,FALSE)</f>
        <v>0.3675</v>
      </c>
      <c r="AO161" s="24">
        <f>VLOOKUP($R161,武学奇术!$A:$ZZ,27,FALSE)*(1+IF(OR($AM161=$F$4,$AM161=$F$5),$B$23,0))</f>
        <v>0</v>
      </c>
      <c r="AP161" s="23">
        <f>VLOOKUP($R161,武学奇术!$A:$ZZ,28,FALSE)</f>
        <v>0.55125</v>
      </c>
      <c r="AQ161" s="24">
        <f>VLOOKUP($R161,武学奇术!$A:$ZZ,29,FALSE)*(1+IF(OR($AM161=$F$4,$AM161=$F$5),$B$23,0))</f>
        <v>0</v>
      </c>
      <c r="AR161" s="23" cm="1">
        <f t="array" ref="AR161">$G$3+IFERROR(VLOOKUP($AM161,$F$4:$G$7,2,FALSE),0)+VLOOKUP($R161,武学奇术!$A:$ZZ,2,FALSE)+SUM(_xlfn.XLOOKUP($S161:$AL161,增益!$A:$A,增益!$B:$B,0))</f>
        <v>1.5743</v>
      </c>
      <c r="AS161" s="23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4150.4</v>
      </c>
      <c r="AU161" cm="1">
        <f t="array" ref="AU161">$E$10*(1+$AS161)+VLOOKUP($R161,武学奇术!$A:$ZZ,4,FALSE)+SUM(_xlfn.XLOOKUP($S161:$AL161,增益!$A:$A,增益!$D:$D,0))-$I$2</f>
        <v>4150.4</v>
      </c>
      <c r="AV161" s="29" cm="1">
        <f t="array" ref="AV161">IF($F$10-$I$3+VLOOKUP($R161,武学奇术!$A:$ZZ,6,FALSE)+SUM(_xlfn.XLOOKUP(S161:AL161,增益!$A:$A,增益!$F:$F,0))&gt;0,($F$10-$I$3+VLOOKUP($R161,武学奇术!$A:$ZZ,6,FALSE)+SUM(_xlfn.XLOOKUP(S161:AL161,增益!$A:$A,增益!$F:$F,0)))/200,($F$10-$I$3+VLOOKUP($R161,武学奇术!$A:$ZZ,6,FALSE)+SUM(_xlfn.XLOOKUP(S161:AL161,增益!$A:$A,增益!$F:$F,0)))/100)</f>
        <v>0.4539</v>
      </c>
      <c r="AW161" s="29" cm="1">
        <f t="array" ref="AW161">$G$10+VLOOKUP($R161,武学奇术!$A:$ZZ,7,FALSE)+SUM(_xlfn.XLOOKUP(S161:AL161,增益!$A:$A,增益!$G:$G,0))</f>
        <v>0.29</v>
      </c>
      <c r="AX161" s="23" cm="1">
        <f t="array" ref="AX161">VLOOKUP($R161,武学奇术!$A:$ZZ,8,FALSE)+SUM(_xlfn.XLOOKUP(S161:AL161,增益!$A:$A,增益!$H:$H,0))</f>
        <v>0</v>
      </c>
      <c r="AY161">
        <f t="shared" si="46"/>
        <v>0</v>
      </c>
      <c r="AZ161">
        <f t="shared" si="47"/>
        <v>0</v>
      </c>
      <c r="BA161" s="29" cm="1">
        <f t="array" ref="BA161">IF($F$11-$I$4+VLOOKUP($R161,武学奇术!$A:$ZZ,9,FALSE)+SUM(_xlfn.XLOOKUP(S161:AL161,增益!$A:$A,增益!$I:$I,0))&gt;0,($F$11-$I$4+VLOOKUP($R161,武学奇术!$A:$ZZ,9,FALSE)+SUM(_xlfn.XLOOKUP(S161:AL161,增益!$A:$A,增益!$I:$I,0)))/200,($F$11-$I$4+VLOOKUP($R161,武学奇术!$A:$ZZ,9,FALSE)+SUM(_xlfn.XLOOKUP(S161:AL161,增益!$A:$A,增益!$I:$I,0)))/100)</f>
        <v>-0.3</v>
      </c>
      <c r="BB161" s="29" cm="1">
        <f t="array" ref="BB161">$G$11+VLOOKUP($R161,武学奇术!$A:$ZZ,10,FALSE)+SUM(_xlfn.XLOOKUP(S161:AL161,增益!$A:$A,增益!$J:$J,0))</f>
        <v>0.12</v>
      </c>
      <c r="BC161">
        <f t="shared" si="48"/>
        <v>0</v>
      </c>
      <c r="BD161">
        <f t="shared" si="49"/>
        <v>0</v>
      </c>
      <c r="BE161" s="29" cm="1">
        <f t="array" ref="BE161">IF($F$12-$I$4+VLOOKUP($R161,武学奇术!$A:$ZZ,11,FALSE)+SUM(_xlfn.XLOOKUP(S161:AL161,增益!$A:$A,增益!$K:$K,0))&gt;0,($F$12-$I$4+VLOOKUP($R161,武学奇术!$A:$ZZ,11,FALSE)+SUM(_xlfn.XLOOKUP(S161:AL161,增益!$A:$A,增益!$K:$K,0)))/200,($F$12-$I$4+VLOOKUP($R161,武学奇术!$A:$ZZ,11,FALSE)+SUM(_xlfn.XLOOKUP(S161:AL161,增益!$A:$A,增益!$K:$K,0)))/100)</f>
        <v>-0.3</v>
      </c>
      <c r="BF161" s="29" cm="1">
        <f t="array" ref="BF161">$G$12+VLOOKUP($R161,武学奇术!$A:$ZZ,12,FALSE)+SUM(_xlfn.XLOOKUP(S161:AL161,增益!$A:$A,增益!$L:$L,0))</f>
        <v>0.02</v>
      </c>
      <c r="BG161">
        <f t="shared" si="50"/>
        <v>0</v>
      </c>
      <c r="BH161">
        <f t="shared" si="51"/>
        <v>0</v>
      </c>
      <c r="BI161" s="29" cm="1">
        <f t="array" ref="BI161">IF($F$13-$I$4+VLOOKUP($R161,武学奇术!$A:$ZZ,13,FALSE)+SUM(_xlfn.XLOOKUP(S161:AL161,增益!$A:$A,增益!$M:$M,0))&gt;0,($F$13-$I$4+VLOOKUP($R161,武学奇术!$A:$ZZ,13,FALSE)+SUM(_xlfn.XLOOKUP(S161:AL161,增益!$A:$A,增益!$K:$K,0)))/200,($F$13-$I$4+VLOOKUP($R161,武学奇术!$A:$ZZ,13,FALSE)+SUM(_xlfn.XLOOKUP(S161:AL161,增益!$A:$A,增益!$M:$M,0)))/100)</f>
        <v>-0.3</v>
      </c>
      <c r="BJ161" s="29" cm="1">
        <f t="array" ref="BJ161">$G$13+VLOOKUP($R161,武学奇术!$A:$ZZ,14,FALSE)+SUM(_xlfn.XLOOKUP(S161:AL161,增益!$A:$A,增益!$N:$N,0))</f>
        <v>0.02</v>
      </c>
      <c r="BK161">
        <f t="shared" si="52"/>
        <v>618.2</v>
      </c>
      <c r="BL161">
        <f t="shared" si="53"/>
        <v>1805</v>
      </c>
      <c r="BM161" s="29" cm="1">
        <f t="array" ref="BM161">IF($F$14-$I$4+VLOOKUP($R161,武学奇术!$A:$ZZ,15,FALSE)+SUM(_xlfn.XLOOKUP(S161:AL161,增益!$A:$A,增益!$O:$O,0))&gt;0,($F$14-$I$4+VLOOKUP($R161,武学奇术!$A:$ZZ,15,FALSE)+SUM(_xlfn.XLOOKUP(S161:AL161,增益!$A:$A,增益!$O:$O,0)))/200,($F$14-$I$4+VLOOKUP($R161,武学奇术!$A:$ZZ,15,FALSE)+SUM(_xlfn.XLOOKUP(S161:AL161,增益!$A:$A,增益!$O:$O,0)))/100)</f>
        <v>0.05</v>
      </c>
      <c r="BN161" s="29" cm="1">
        <f t="array" ref="BN161">$G$14+VLOOKUP($R161,武学奇术!$A:$ZZ,16,FALSE)+SUM(_xlfn.XLOOKUP(S161:AL161,增益!$A:$A,增益!$P:$P,0))</f>
        <v>0.44</v>
      </c>
      <c r="BO161" s="23">
        <f>MIN(IF(VLOOKUP($R161,武学奇术!$A:$ZZ,23,FALSE)=1,100%,$B$8),100%)</f>
        <v>0.9943</v>
      </c>
      <c r="BP161" s="23" cm="1">
        <f t="array" ref="BP161">IF(VLOOKUP($R161,武学奇术!$A:$ZZ,23,FALSE)=1,100%,MIN(80%,$B$9+VLOOKUP($R161,武学奇术!$A:$ZZ,17,FALSE)+SUM(_xlfn.XLOOKUP(S161:AL161,增益!$A:$A,增益!$Q:$Q,0)))+$B$11+SUM(_xlfn.XLOOKUP(S161:AL161,增益!$A:$A,增益!$U:$U,0)))*IF(VLOOKUP($R161,武学奇术!$A:$ZZ,24,FALSE)=1,0,1)</f>
        <v>0.887</v>
      </c>
      <c r="BQ161" s="23" cm="1">
        <f t="array" ref="BQ161">1+$B$13+VLOOKUP($R161,武学奇术!$A:$ZZ,18,FALSE)+SUM(_xlfn.XLOOKUP(S161:AL161,增益!$A:$A,增益!$R:$R,0))</f>
        <v>2.394</v>
      </c>
      <c r="BR161" s="23" cm="1">
        <f t="array" ref="BR161">IF(VLOOKUP($R161,武学奇术!$A:$ZZ,24,FALSE)=1,100%,MIN(40%,$B$10+VLOOKUP($R161,武学奇术!$A:$ZZ,19,FALSE)+SUM(_xlfn.XLOOKUP(S161:AL161,增益!$A:$A,增益!$S:$S,0)))+$B$12+SUM(_xlfn.XLOOKUP(S161:AL161,增益!$A:$A,增益!$V:$V,0)))*IF(VLOOKUP($R161,武学奇术!$A:$ZZ,23,FALSE)=1,0,1)</f>
        <v>0.0913</v>
      </c>
      <c r="BS161" s="23" cm="1">
        <f t="array" ref="BS161">1+$B$14+VLOOKUP($R161,武学奇术!$A:$ZZ,20,FALSE)+SUM(_xlfn.XLOOKUP(S161:AL161,增益!$A:$A,增益!$T:$T,0))</f>
        <v>1.35</v>
      </c>
      <c r="BT161" s="23">
        <f t="shared" si="54"/>
        <v>0.8819441</v>
      </c>
      <c r="BU161" s="23">
        <f t="shared" si="55"/>
        <v>0.0215763099999999</v>
      </c>
      <c r="BV161" s="23">
        <f>IF(VLOOKUP($R161,武学奇术!$A:$ZZ,22,FALSE)=1,0,(1-$BO161))*(1-$BR161)</f>
        <v>0.00517958999999993</v>
      </c>
      <c r="BW161" s="23" cm="1">
        <f t="array" ref="BW161">SUM(_xlfn.XLOOKUP(S161:AL161,增益!$A:$A,增益!$W:$W,0))+$I$5</f>
        <v>0.31</v>
      </c>
      <c r="BX161" s="23">
        <f>VLOOKUP($R161,武学奇术!$A:$ZZ,32,FALSE)</f>
        <v>0</v>
      </c>
      <c r="BY161" s="23" cm="1">
        <f t="array" ref="BY161">SUM(_xlfn.XLOOKUP($S161:$AL161,增益!$A:$A,增益!$X:$X,0))</f>
        <v>0</v>
      </c>
    </row>
    <row r="162" spans="11:77">
      <c r="K162" s="35">
        <f>$L162*VLOOKUP($R162,武学奇术!$A:$ZZ,31,FALSE)</f>
        <v>53465.4377300056</v>
      </c>
      <c r="L162" s="35">
        <f t="shared" si="56"/>
        <v>52417.0958137309</v>
      </c>
      <c r="M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轻击",$B$21,0))*(1+IF(VLOOKUP($R162,武学奇术!$A:$ZZ,30,FALSE)="老鼠",$B$22,0))*(1+$BW162)*(1+$BX162)</f>
        <v>55167.1519043445</v>
      </c>
      <c r="N162" s="35">
        <f>(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轻击",$B$21,0))*(1+IF(VLOOKUP($R162,武学奇术!$A:$ZZ,30,FALSE)="老鼠",$B$22,0))*(1+$BW162))*(1+$BX162)</f>
        <v>34606.9020457022</v>
      </c>
      <c r="O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轻击",$B$21,0))*(1+IF(VLOOKUP($R162,武学奇术!$A:$ZZ,30,FALSE)="老鼠",$B$22,0))*(1+$BW162)*(1+$BX162)</f>
        <v>23043.9231012299</v>
      </c>
      <c r="P162" s="35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轻击",$B$21,0))*(1+IF(VLOOKUP($R162,武学奇术!$A:$ZZ,30,FALSE)="老鼠",$B$22,0))*(1+$BW162)*(1+$BX162)</f>
        <v>20453.1039463842</v>
      </c>
      <c r="Q162" s="36">
        <v>1</v>
      </c>
      <c r="R162" s="37" t="s">
        <v>160</v>
      </c>
      <c r="S162" s="37" t="s">
        <v>91</v>
      </c>
      <c r="T162" s="37" t="s">
        <v>185</v>
      </c>
      <c r="U162" s="37" t="s">
        <v>81</v>
      </c>
      <c r="V162" s="37" t="s">
        <v>81</v>
      </c>
      <c r="W162" s="37" t="s">
        <v>82</v>
      </c>
      <c r="X162" s="37" t="s">
        <v>81</v>
      </c>
      <c r="Y162" s="37" t="s">
        <v>81</v>
      </c>
      <c r="Z162" s="37" t="s">
        <v>83</v>
      </c>
      <c r="AA162" s="37" t="s">
        <v>81</v>
      </c>
      <c r="AB162" s="37" t="s">
        <v>81</v>
      </c>
      <c r="AC162" s="37" t="s">
        <v>81</v>
      </c>
      <c r="AD162" s="37" t="s">
        <v>85</v>
      </c>
      <c r="AE162" s="37" t="s">
        <v>86</v>
      </c>
      <c r="AF162" s="37" t="s">
        <v>81</v>
      </c>
      <c r="AG162" s="37" t="s">
        <v>87</v>
      </c>
      <c r="AH162" s="37" t="s">
        <v>88</v>
      </c>
      <c r="AI162" s="37" t="s">
        <v>81</v>
      </c>
      <c r="AJ162" s="37" t="s">
        <v>81</v>
      </c>
      <c r="AK162" s="37" t="s">
        <v>81</v>
      </c>
      <c r="AL162" s="37" t="s">
        <v>81</v>
      </c>
      <c r="AM162" t="str">
        <f>VLOOKUP($R162,武学奇术!$A:$ZZ,25,FALSE)</f>
        <v>双刀</v>
      </c>
      <c r="AN162" s="23">
        <f>VLOOKUP($R162,武学奇术!$A:$ZZ,26,FALSE)</f>
        <v>1.3548</v>
      </c>
      <c r="AO162" s="24">
        <f>VLOOKUP($R162,武学奇术!$A:$ZZ,27,FALSE)*(1+IF(OR($AM162=$F$4,$AM162=$F$5),$B$23,0))</f>
        <v>601.6</v>
      </c>
      <c r="AP162" s="23">
        <f>VLOOKUP($R162,武学奇术!$A:$ZZ,28,FALSE)</f>
        <v>2.0322</v>
      </c>
      <c r="AQ162" s="24">
        <f>VLOOKUP($R162,武学奇术!$A:$ZZ,29,FALSE)*(1+IF(OR($AM162=$F$4,$AM162=$F$5),$B$23,0))</f>
        <v>328</v>
      </c>
      <c r="AR162" s="23" cm="1">
        <f t="array" ref="AR162">$G$3+IFERROR(VLOOKUP($AM162,$F$4:$G$7,2,FALSE),0)+VLOOKUP($R162,武学奇术!$A:$ZZ,2,FALSE)+SUM(_xlfn.XLOOKUP($S162:$AL162,增益!$A:$A,增益!$B:$B,0))</f>
        <v>0.6543</v>
      </c>
      <c r="AS162" s="23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4081.7</v>
      </c>
      <c r="AU162" cm="1">
        <f t="array" ref="AU162">$E$10*(1+$AS162)+VLOOKUP($R162,武学奇术!$A:$ZZ,4,FALSE)+SUM(_xlfn.XLOOKUP($S162:$AL162,增益!$A:$A,增益!$D:$D,0))-$I$2</f>
        <v>4081.7</v>
      </c>
      <c r="AV162" s="29" cm="1">
        <f t="array" ref="AV162">IF($F$10-$I$3+VLOOKUP($R162,武学奇术!$A:$ZZ,6,FALSE)+SUM(_xlfn.XLOOKUP(S162:AL162,增益!$A:$A,增益!$F:$F,0))&gt;0,($F$10-$I$3+VLOOKUP($R162,武学奇术!$A:$ZZ,6,FALSE)+SUM(_xlfn.XLOOKUP(S162:AL162,增益!$A:$A,增益!$F:$F,0)))/200,($F$10-$I$3+VLOOKUP($R162,武学奇术!$A:$ZZ,6,FALSE)+SUM(_xlfn.XLOOKUP(S162:AL162,增益!$A:$A,增益!$F:$F,0)))/100)</f>
        <v>0.4539</v>
      </c>
      <c r="AW162" s="29" cm="1">
        <f t="array" ref="AW162">$G$10+VLOOKUP($R162,武学奇术!$A:$ZZ,7,FALSE)+SUM(_xlfn.XLOOKUP(S162:AL162,增益!$A:$A,增益!$G:$G,0))</f>
        <v>0.02</v>
      </c>
      <c r="AX162" s="23" cm="1">
        <f t="array" ref="AX162">VLOOKUP($R162,武学奇术!$A:$ZZ,8,FALSE)+SUM(_xlfn.XLOOKUP(S162:AL162,增益!$A:$A,增益!$H:$H,0))</f>
        <v>0</v>
      </c>
      <c r="AY162">
        <f t="shared" si="46"/>
        <v>0</v>
      </c>
      <c r="AZ162">
        <f t="shared" si="47"/>
        <v>0</v>
      </c>
      <c r="BA162" s="29" cm="1">
        <f t="array" ref="BA162">IF($F$11-$I$4+VLOOKUP($R162,武学奇术!$A:$ZZ,9,FALSE)+SUM(_xlfn.XLOOKUP(S162:AL162,增益!$A:$A,增益!$I:$I,0))&gt;0,($F$11-$I$4+VLOOKUP($R162,武学奇术!$A:$ZZ,9,FALSE)+SUM(_xlfn.XLOOKUP(S162:AL162,增益!$A:$A,增益!$I:$I,0)))/200,($F$11-$I$4+VLOOKUP($R162,武学奇术!$A:$ZZ,9,FALSE)+SUM(_xlfn.XLOOKUP(S162:AL162,增益!$A:$A,增益!$I:$I,0)))/100)</f>
        <v>-0.3</v>
      </c>
      <c r="BB162" s="29" cm="1">
        <f t="array" ref="BB162">$G$11+VLOOKUP($R162,武学奇术!$A:$ZZ,10,FALSE)+SUM(_xlfn.XLOOKUP(S162:AL162,增益!$A:$A,增益!$J:$J,0))</f>
        <v>0.02</v>
      </c>
      <c r="BC162">
        <f t="shared" si="48"/>
        <v>0</v>
      </c>
      <c r="BD162">
        <f t="shared" si="49"/>
        <v>0</v>
      </c>
      <c r="BE162" s="29" cm="1">
        <f t="array" ref="BE162">IF($F$12-$I$4+VLOOKUP($R162,武学奇术!$A:$ZZ,11,FALSE)+SUM(_xlfn.XLOOKUP(S162:AL162,增益!$A:$A,增益!$K:$K,0))&gt;0,($F$12-$I$4+VLOOKUP($R162,武学奇术!$A:$ZZ,11,FALSE)+SUM(_xlfn.XLOOKUP(S162:AL162,增益!$A:$A,增益!$K:$K,0)))/200,($F$12-$I$4+VLOOKUP($R162,武学奇术!$A:$ZZ,11,FALSE)+SUM(_xlfn.XLOOKUP(S162:AL162,增益!$A:$A,增益!$K:$K,0)))/100)</f>
        <v>-0.3</v>
      </c>
      <c r="BF162" s="29" cm="1">
        <f t="array" ref="BF162">$G$12+VLOOKUP($R162,武学奇术!$A:$ZZ,12,FALSE)+SUM(_xlfn.XLOOKUP(S162:AL162,增益!$A:$A,增益!$L:$L,0))</f>
        <v>0.02</v>
      </c>
      <c r="BG162">
        <f t="shared" si="50"/>
        <v>0</v>
      </c>
      <c r="BH162">
        <f t="shared" si="51"/>
        <v>0</v>
      </c>
      <c r="BI162" s="29" cm="1">
        <f t="array" ref="BI162">IF($F$13-$I$4+VLOOKUP($R162,武学奇术!$A:$ZZ,13,FALSE)+SUM(_xlfn.XLOOKUP(S162:AL162,增益!$A:$A,增益!$M:$M,0))&gt;0,($F$13-$I$4+VLOOKUP($R162,武学奇术!$A:$ZZ,13,FALSE)+SUM(_xlfn.XLOOKUP(S162:AL162,增益!$A:$A,增益!$K:$K,0)))/200,($F$13-$I$4+VLOOKUP($R162,武学奇术!$A:$ZZ,13,FALSE)+SUM(_xlfn.XLOOKUP(S162:AL162,增益!$A:$A,增益!$M:$M,0)))/100)</f>
        <v>-0.3</v>
      </c>
      <c r="BJ162" s="29" cm="1">
        <f t="array" ref="BJ162">$G$13+VLOOKUP($R162,武学奇术!$A:$ZZ,14,FALSE)+SUM(_xlfn.XLOOKUP(S162:AL162,增益!$A:$A,增益!$N:$N,0))</f>
        <v>0.02</v>
      </c>
      <c r="BK162">
        <f t="shared" si="52"/>
        <v>618.2</v>
      </c>
      <c r="BL162">
        <f t="shared" si="53"/>
        <v>1805</v>
      </c>
      <c r="BM162" s="29" cm="1">
        <f t="array" ref="BM162">IF($F$14-$I$4+VLOOKUP($R162,武学奇术!$A:$ZZ,15,FALSE)+SUM(_xlfn.XLOOKUP(S162:AL162,增益!$A:$A,增益!$O:$O,0))&gt;0,($F$14-$I$4+VLOOKUP($R162,武学奇术!$A:$ZZ,15,FALSE)+SUM(_xlfn.XLOOKUP(S162:AL162,增益!$A:$A,增益!$O:$O,0)))/200,($F$14-$I$4+VLOOKUP($R162,武学奇术!$A:$ZZ,15,FALSE)+SUM(_xlfn.XLOOKUP(S162:AL162,增益!$A:$A,增益!$O:$O,0)))/100)</f>
        <v>0</v>
      </c>
      <c r="BN162" s="29" cm="1">
        <f t="array" ref="BN162">$G$14+VLOOKUP($R162,武学奇术!$A:$ZZ,16,FALSE)+SUM(_xlfn.XLOOKUP(S162:AL162,增益!$A:$A,增益!$P:$P,0))</f>
        <v>0.17</v>
      </c>
      <c r="BO162" s="23">
        <f>MIN(IF(VLOOKUP($R162,武学奇术!$A:$ZZ,23,FALSE)=1,100%,$B$8),100%)</f>
        <v>0.9943</v>
      </c>
      <c r="BP162" s="23" cm="1">
        <f t="array" ref="BP162">IF(VLOOKUP($R162,武学奇术!$A:$ZZ,23,FALSE)=1,100%,MIN(80%,$B$9+VLOOKUP($R162,武学奇术!$A:$ZZ,17,FALSE)+SUM(_xlfn.XLOOKUP(S162:AL162,增益!$A:$A,增益!$Q:$Q,0)))+$B$11+SUM(_xlfn.XLOOKUP(S162:AL162,增益!$A:$A,增益!$U:$U,0)))*IF(VLOOKUP($R162,武学奇术!$A:$ZZ,24,FALSE)=1,0,1)</f>
        <v>0.887</v>
      </c>
      <c r="BQ162" s="23" cm="1">
        <f t="array" ref="BQ162">1+$B$13+VLOOKUP($R162,武学奇术!$A:$ZZ,18,FALSE)+SUM(_xlfn.XLOOKUP(S162:AL162,增益!$A:$A,增益!$R:$R,0))</f>
        <v>2.394</v>
      </c>
      <c r="BR162" s="23" cm="1">
        <f t="array" ref="BR162">IF(VLOOKUP($R162,武学奇术!$A:$ZZ,24,FALSE)=1,100%,MIN(40%,$B$10+VLOOKUP($R162,武学奇术!$A:$ZZ,19,FALSE)+SUM(_xlfn.XLOOKUP(S162:AL162,增益!$A:$A,增益!$S:$S,0)))+$B$12+SUM(_xlfn.XLOOKUP(S162:AL162,增益!$A:$A,增益!$V:$V,0)))*IF(VLOOKUP($R162,武学奇术!$A:$ZZ,23,FALSE)=1,0,1)</f>
        <v>0.0913</v>
      </c>
      <c r="BS162" s="23" cm="1">
        <f t="array" ref="BS162">1+$B$14+VLOOKUP($R162,武学奇术!$A:$ZZ,20,FALSE)+SUM(_xlfn.XLOOKUP(S162:AL162,增益!$A:$A,增益!$T:$T,0))</f>
        <v>1.35</v>
      </c>
      <c r="BT162" s="23">
        <f t="shared" si="54"/>
        <v>0.8819441</v>
      </c>
      <c r="BU162" s="23">
        <f t="shared" si="55"/>
        <v>0.0215763099999999</v>
      </c>
      <c r="BV162" s="23">
        <f>IF(VLOOKUP($R162,武学奇术!$A:$ZZ,22,FALSE)=1,0,(1-$BO162))*(1-$BR162)</f>
        <v>0.00517958999999993</v>
      </c>
      <c r="BW162" s="23" cm="1">
        <f t="array" ref="BW162">SUM(_xlfn.XLOOKUP(S162:AL162,增益!$A:$A,增益!$W:$W,0))+$I$5</f>
        <v>0.11</v>
      </c>
      <c r="BX162" s="23">
        <f>VLOOKUP($R162,武学奇术!$A:$ZZ,32,FALSE)</f>
        <v>0</v>
      </c>
      <c r="BY162" s="23" cm="1">
        <f t="array" ref="BY162">SUM(_xlfn.XLOOKUP($S162:$AL162,增益!$A:$A,增益!$X:$X,0))</f>
        <v>0</v>
      </c>
    </row>
    <row r="163" spans="11:77">
      <c r="K163" s="35">
        <f>$L163*VLOOKUP($R163,武学奇术!$A:$ZZ,31,FALSE)</f>
        <v>35839.6057413425</v>
      </c>
      <c r="L163" s="35">
        <f t="shared" si="56"/>
        <v>31999.6479833415</v>
      </c>
      <c r="M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轻击",$B$21,0))*(1+IF(VLOOKUP($R163,武学奇术!$A:$ZZ,30,FALSE)="老鼠",$B$22,0))*(1+$BW163)*(1+$BX163)</f>
        <v>33674.734598592</v>
      </c>
      <c r="N163" s="35">
        <f>(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轻击",$B$21,0))*(1+IF(VLOOKUP($R163,武学奇术!$A:$ZZ,30,FALSE)="老鼠",$B$22,0))*(1+$BW163))*(1+$BX163)</f>
        <v>21165.4584514987</v>
      </c>
      <c r="O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轻击",$B$21,0))*(1+IF(VLOOKUP($R163,武学奇术!$A:$ZZ,30,FALSE)="老鼠",$B$22,0))*(1+$BW163)*(1+$BX163)</f>
        <v>14066.3051790276</v>
      </c>
      <c r="P163" s="35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轻击",$B$21,0))*(1+IF(VLOOKUP($R163,武学奇术!$A:$ZZ,30,FALSE)="老鼠",$B$22,0))*(1+$BW163)*(1+$BX163)</f>
        <v>12454.4929865746</v>
      </c>
      <c r="Q163" s="36">
        <v>1</v>
      </c>
      <c r="R163" s="37" t="s">
        <v>139</v>
      </c>
      <c r="S163" s="37" t="s">
        <v>91</v>
      </c>
      <c r="T163" s="37" t="s">
        <v>185</v>
      </c>
      <c r="U163" s="37" t="s">
        <v>112</v>
      </c>
      <c r="V163" s="37" t="s">
        <v>113</v>
      </c>
      <c r="W163" s="37" t="s">
        <v>82</v>
      </c>
      <c r="X163" s="37" t="s">
        <v>81</v>
      </c>
      <c r="Y163" s="37" t="s">
        <v>109</v>
      </c>
      <c r="Z163" s="37" t="s">
        <v>83</v>
      </c>
      <c r="AA163" s="37" t="s">
        <v>81</v>
      </c>
      <c r="AB163" s="37" t="s">
        <v>81</v>
      </c>
      <c r="AC163" s="37" t="s">
        <v>81</v>
      </c>
      <c r="AD163" s="37" t="s">
        <v>85</v>
      </c>
      <c r="AE163" s="37" t="s">
        <v>86</v>
      </c>
      <c r="AF163" s="37" t="s">
        <v>81</v>
      </c>
      <c r="AG163" s="37" t="s">
        <v>87</v>
      </c>
      <c r="AH163" s="37" t="s">
        <v>88</v>
      </c>
      <c r="AI163" s="37" t="s">
        <v>81</v>
      </c>
      <c r="AJ163" s="37" t="s">
        <v>81</v>
      </c>
      <c r="AK163" s="37" t="s">
        <v>81</v>
      </c>
      <c r="AL163" s="37" t="s">
        <v>81</v>
      </c>
      <c r="AM163" t="str">
        <f>VLOOKUP($R163,武学奇术!$A:$ZZ,25,FALSE)</f>
        <v>双刀</v>
      </c>
      <c r="AN163" s="23">
        <f>VLOOKUP($R163,武学奇术!$A:$ZZ,26,FALSE)</f>
        <v>0.6472</v>
      </c>
      <c r="AO163" s="24">
        <f>VLOOKUP($R163,武学奇术!$A:$ZZ,27,FALSE)*(1+IF(OR($AM163=$F$4,$AM163=$F$5),$B$23,0))</f>
        <v>288</v>
      </c>
      <c r="AP163" s="23">
        <f>VLOOKUP($R163,武学奇术!$A:$ZZ,28,FALSE)</f>
        <v>0.9708</v>
      </c>
      <c r="AQ163" s="24">
        <f>VLOOKUP($R163,武学奇术!$A:$ZZ,29,FALSE)*(1+IF(OR($AM163=$F$4,$AM163=$F$5),$B$23,0))</f>
        <v>156.8</v>
      </c>
      <c r="AR163" s="23" cm="1">
        <f t="array" ref="AR163">$G$3+IFERROR(VLOOKUP($AM163,$F$4:$G$7,2,FALSE),0)+VLOOKUP($R163,武学奇术!$A:$ZZ,2,FALSE)+SUM(_xlfn.XLOOKUP($S163:$AL163,增益!$A:$A,增益!$B:$B,0))</f>
        <v>0.7743</v>
      </c>
      <c r="AS163" s="23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4150.4</v>
      </c>
      <c r="AU163" cm="1">
        <f t="array" ref="AU163">$E$10*(1+$AS163)+VLOOKUP($R163,武学奇术!$A:$ZZ,4,FALSE)+SUM(_xlfn.XLOOKUP($S163:$AL163,增益!$A:$A,增益!$D:$D,0))-$I$2</f>
        <v>4150.4</v>
      </c>
      <c r="AV163" s="29" cm="1">
        <f t="array" ref="AV163">IF($F$10-$I$3+VLOOKUP($R163,武学奇术!$A:$ZZ,6,FALSE)+SUM(_xlfn.XLOOKUP(S163:AL163,增益!$A:$A,增益!$F:$F,0))&gt;0,($F$10-$I$3+VLOOKUP($R163,武学奇术!$A:$ZZ,6,FALSE)+SUM(_xlfn.XLOOKUP(S163:AL163,增益!$A:$A,增益!$F:$F,0)))/200,($F$10-$I$3+VLOOKUP($R163,武学奇术!$A:$ZZ,6,FALSE)+SUM(_xlfn.XLOOKUP(S163:AL163,增益!$A:$A,增益!$F:$F,0)))/100)</f>
        <v>0.4539</v>
      </c>
      <c r="AW163" s="29" cm="1">
        <f t="array" ref="AW163">$G$10+VLOOKUP($R163,武学奇术!$A:$ZZ,7,FALSE)+SUM(_xlfn.XLOOKUP(S163:AL163,增益!$A:$A,增益!$G:$G,0))</f>
        <v>0.08</v>
      </c>
      <c r="AX163" s="23" cm="1">
        <f t="array" ref="AX163">VLOOKUP($R163,武学奇术!$A:$ZZ,8,FALSE)+SUM(_xlfn.XLOOKUP(S163:AL163,增益!$A:$A,增益!$H:$H,0))</f>
        <v>0</v>
      </c>
      <c r="AY163">
        <f t="shared" ref="AY163:AY190" si="57">$D$11*(1+$AX163)</f>
        <v>0</v>
      </c>
      <c r="AZ163">
        <f t="shared" ref="AZ163:AZ190" si="58">$E$11*(1+$AX163)</f>
        <v>0</v>
      </c>
      <c r="BA163" s="29" cm="1">
        <f t="array" ref="BA163">IF($F$11-$I$4+VLOOKUP($R163,武学奇术!$A:$ZZ,9,FALSE)+SUM(_xlfn.XLOOKUP(S163:AL163,增益!$A:$A,增益!$I:$I,0))&gt;0,($F$11-$I$4+VLOOKUP($R163,武学奇术!$A:$ZZ,9,FALSE)+SUM(_xlfn.XLOOKUP(S163:AL163,增益!$A:$A,增益!$I:$I,0)))/200,($F$11-$I$4+VLOOKUP($R163,武学奇术!$A:$ZZ,9,FALSE)+SUM(_xlfn.XLOOKUP(S163:AL163,增益!$A:$A,增益!$I:$I,0)))/100)</f>
        <v>-0.3</v>
      </c>
      <c r="BB163" s="29" cm="1">
        <f t="array" ref="BB163">$G$11+VLOOKUP($R163,武学奇术!$A:$ZZ,10,FALSE)+SUM(_xlfn.XLOOKUP(S163:AL163,增益!$A:$A,增益!$J:$J,0))</f>
        <v>0.02</v>
      </c>
      <c r="BC163">
        <f t="shared" ref="BC163:BC190" si="59">$D$12*(1+$AX163)</f>
        <v>0</v>
      </c>
      <c r="BD163">
        <f t="shared" ref="BD163:BD190" si="60">$E$12*(1+$AX163)</f>
        <v>0</v>
      </c>
      <c r="BE163" s="29" cm="1">
        <f t="array" ref="BE163">IF($F$12-$I$4+VLOOKUP($R163,武学奇术!$A:$ZZ,11,FALSE)+SUM(_xlfn.XLOOKUP(S163:AL163,增益!$A:$A,增益!$K:$K,0))&gt;0,($F$12-$I$4+VLOOKUP($R163,武学奇术!$A:$ZZ,11,FALSE)+SUM(_xlfn.XLOOKUP(S163:AL163,增益!$A:$A,增益!$K:$K,0)))/200,($F$12-$I$4+VLOOKUP($R163,武学奇术!$A:$ZZ,11,FALSE)+SUM(_xlfn.XLOOKUP(S163:AL163,增益!$A:$A,增益!$K:$K,0)))/100)</f>
        <v>-0.3</v>
      </c>
      <c r="BF163" s="29" cm="1">
        <f t="array" ref="BF163">$G$12+VLOOKUP($R163,武学奇术!$A:$ZZ,12,FALSE)+SUM(_xlfn.XLOOKUP(S163:AL163,增益!$A:$A,增益!$L:$L,0))</f>
        <v>0.02</v>
      </c>
      <c r="BG163">
        <f t="shared" ref="BG163:BG190" si="61">$D$13*(1+$AX163)</f>
        <v>0</v>
      </c>
      <c r="BH163">
        <f t="shared" ref="BH163:BH190" si="62">$E$13*(1+$AX163)</f>
        <v>0</v>
      </c>
      <c r="BI163" s="29" cm="1">
        <f t="array" ref="BI163">IF($F$13-$I$4+VLOOKUP($R163,武学奇术!$A:$ZZ,13,FALSE)+SUM(_xlfn.XLOOKUP(S163:AL163,增益!$A:$A,增益!$M:$M,0))&gt;0,($F$13-$I$4+VLOOKUP($R163,武学奇术!$A:$ZZ,13,FALSE)+SUM(_xlfn.XLOOKUP(S163:AL163,增益!$A:$A,增益!$K:$K,0)))/200,($F$13-$I$4+VLOOKUP($R163,武学奇术!$A:$ZZ,13,FALSE)+SUM(_xlfn.XLOOKUP(S163:AL163,增益!$A:$A,增益!$M:$M,0)))/100)</f>
        <v>-0.3</v>
      </c>
      <c r="BJ163" s="29" cm="1">
        <f t="array" ref="BJ163">$G$13+VLOOKUP($R163,武学奇术!$A:$ZZ,14,FALSE)+SUM(_xlfn.XLOOKUP(S163:AL163,增益!$A:$A,增益!$N:$N,0))</f>
        <v>0.02</v>
      </c>
      <c r="BK163">
        <f t="shared" ref="BK163:BK190" si="63">$D$14*(1+$AX163)</f>
        <v>618.2</v>
      </c>
      <c r="BL163">
        <f t="shared" ref="BL163:BL190" si="64">$E$14*(1+$AX163)</f>
        <v>1805</v>
      </c>
      <c r="BM163" s="29" cm="1">
        <f t="array" ref="BM163">IF($F$14-$I$4+VLOOKUP($R163,武学奇术!$A:$ZZ,15,FALSE)+SUM(_xlfn.XLOOKUP(S163:AL163,增益!$A:$A,增益!$O:$O,0))&gt;0,($F$14-$I$4+VLOOKUP($R163,武学奇术!$A:$ZZ,15,FALSE)+SUM(_xlfn.XLOOKUP(S163:AL163,增益!$A:$A,增益!$O:$O,0)))/200,($F$14-$I$4+VLOOKUP($R163,武学奇术!$A:$ZZ,15,FALSE)+SUM(_xlfn.XLOOKUP(S163:AL163,增益!$A:$A,增益!$O:$O,0)))/100)</f>
        <v>0.05</v>
      </c>
      <c r="BN163" s="29" cm="1">
        <f t="array" ref="BN163">$G$14+VLOOKUP($R163,武学奇术!$A:$ZZ,16,FALSE)+SUM(_xlfn.XLOOKUP(S163:AL163,增益!$A:$A,增益!$P:$P,0))</f>
        <v>0.23</v>
      </c>
      <c r="BO163" s="23">
        <f>MIN(IF(VLOOKUP($R163,武学奇术!$A:$ZZ,23,FALSE)=1,100%,$B$8),100%)</f>
        <v>0.9943</v>
      </c>
      <c r="BP163" s="23" cm="1">
        <f t="array" ref="BP163">IF(VLOOKUP($R163,武学奇术!$A:$ZZ,23,FALSE)=1,100%,MIN(80%,$B$9+VLOOKUP($R163,武学奇术!$A:$ZZ,17,FALSE)+SUM(_xlfn.XLOOKUP(S163:AL163,增益!$A:$A,增益!$Q:$Q,0)))+$B$11+SUM(_xlfn.XLOOKUP(S163:AL163,增益!$A:$A,增益!$U:$U,0)))*IF(VLOOKUP($R163,武学奇术!$A:$ZZ,24,FALSE)=1,0,1)</f>
        <v>0.887</v>
      </c>
      <c r="BQ163" s="23" cm="1">
        <f t="array" ref="BQ163">1+$B$13+VLOOKUP($R163,武学奇术!$A:$ZZ,18,FALSE)+SUM(_xlfn.XLOOKUP(S163:AL163,增益!$A:$A,增益!$R:$R,0))</f>
        <v>2.394</v>
      </c>
      <c r="BR163" s="23" cm="1">
        <f t="array" ref="BR163">IF(VLOOKUP($R163,武学奇术!$A:$ZZ,24,FALSE)=1,100%,MIN(40%,$B$10+VLOOKUP($R163,武学奇术!$A:$ZZ,19,FALSE)+SUM(_xlfn.XLOOKUP(S163:AL163,增益!$A:$A,增益!$S:$S,0)))+$B$12+SUM(_xlfn.XLOOKUP(S163:AL163,增益!$A:$A,增益!$V:$V,0)))*IF(VLOOKUP($R163,武学奇术!$A:$ZZ,23,FALSE)=1,0,1)</f>
        <v>0.0913</v>
      </c>
      <c r="BS163" s="23" cm="1">
        <f t="array" ref="BS163">1+$B$14+VLOOKUP($R163,武学奇术!$A:$ZZ,20,FALSE)+SUM(_xlfn.XLOOKUP(S163:AL163,增益!$A:$A,增益!$T:$T,0))</f>
        <v>1.35</v>
      </c>
      <c r="BT163" s="23">
        <f t="shared" ref="BT163:BT190" si="65">MIN((1-BR163)*BO163,BO163*BP163)</f>
        <v>0.8819441</v>
      </c>
      <c r="BU163" s="23">
        <f t="shared" ref="BU163:BU190" si="66">1-BR163-BT163-BV163</f>
        <v>0.0215763099999999</v>
      </c>
      <c r="BV163" s="23">
        <f>IF(VLOOKUP($R163,武学奇术!$A:$ZZ,22,FALSE)=1,0,(1-$BO163))*(1-$BR163)</f>
        <v>0.00517958999999993</v>
      </c>
      <c r="BW163" s="23" cm="1">
        <f t="array" ref="BW163">SUM(_xlfn.XLOOKUP(S163:AL163,增益!$A:$A,增益!$W:$W,0))+$I$5</f>
        <v>0.11</v>
      </c>
      <c r="BX163" s="23">
        <f>VLOOKUP($R163,武学奇术!$A:$ZZ,32,FALSE)</f>
        <v>0.1</v>
      </c>
      <c r="BY163" s="23" cm="1">
        <f t="array" ref="BY163">SUM(_xlfn.XLOOKUP($S163:$AL163,增益!$A:$A,增益!$X:$X,0))</f>
        <v>0</v>
      </c>
    </row>
    <row r="164" spans="11:77">
      <c r="K164" s="35">
        <f>$L164*VLOOKUP($R164,武学奇术!$A:$ZZ,31,FALSE)</f>
        <v>49888.5089643167</v>
      </c>
      <c r="L164" s="35">
        <f t="shared" si="56"/>
        <v>44543.3115752827</v>
      </c>
      <c r="M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轻击",$B$21,0))*(1+IF(VLOOKUP($R164,武学奇术!$A:$ZZ,30,FALSE)="老鼠",$B$22,0))*(1+$BW164)*(1+$BX164)</f>
        <v>46874.9278637293</v>
      </c>
      <c r="N164" s="35">
        <f>(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轻击",$B$21,0))*(1+IF(VLOOKUP($R164,武学奇术!$A:$ZZ,30,FALSE)="老鼠",$B$22,0))*(1+$BW164))*(1+$BX164)</f>
        <v>29463.1480292183</v>
      </c>
      <c r="O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轻击",$B$21,0))*(1+IF(VLOOKUP($R164,武学奇术!$A:$ZZ,30,FALSE)="老鼠",$B$22,0))*(1+$BW164)*(1+$BX164)</f>
        <v>19580.1703691434</v>
      </c>
      <c r="P164" s="35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轻击",$B$21,0))*(1+IF(VLOOKUP($R164,武学奇术!$A:$ZZ,30,FALSE)="老鼠",$B$22,0))*(1+$BW164)*(1+$BX164)</f>
        <v>17335.7866425695</v>
      </c>
      <c r="Q164" s="36">
        <v>1</v>
      </c>
      <c r="R164" s="37" t="s">
        <v>143</v>
      </c>
      <c r="S164" s="37" t="s">
        <v>91</v>
      </c>
      <c r="T164" s="37" t="s">
        <v>185</v>
      </c>
      <c r="U164" s="37" t="s">
        <v>112</v>
      </c>
      <c r="V164" s="37" t="s">
        <v>113</v>
      </c>
      <c r="W164" s="37" t="s">
        <v>82</v>
      </c>
      <c r="X164" s="37" t="s">
        <v>81</v>
      </c>
      <c r="Y164" s="37" t="s">
        <v>109</v>
      </c>
      <c r="Z164" s="37" t="s">
        <v>83</v>
      </c>
      <c r="AA164" s="37" t="s">
        <v>81</v>
      </c>
      <c r="AB164" s="37" t="s">
        <v>81</v>
      </c>
      <c r="AC164" s="37" t="s">
        <v>81</v>
      </c>
      <c r="AD164" s="37" t="s">
        <v>85</v>
      </c>
      <c r="AE164" s="37" t="s">
        <v>86</v>
      </c>
      <c r="AF164" s="37" t="s">
        <v>81</v>
      </c>
      <c r="AG164" s="37" t="s">
        <v>87</v>
      </c>
      <c r="AH164" s="37" t="s">
        <v>88</v>
      </c>
      <c r="AI164" s="37" t="s">
        <v>81</v>
      </c>
      <c r="AJ164" s="37" t="s">
        <v>81</v>
      </c>
      <c r="AK164" s="37" t="s">
        <v>81</v>
      </c>
      <c r="AL164" s="37" t="s">
        <v>81</v>
      </c>
      <c r="AM164" t="str">
        <f>VLOOKUP($R164,武学奇术!$A:$ZZ,25,FALSE)</f>
        <v>双刀</v>
      </c>
      <c r="AN164" s="23">
        <f>VLOOKUP($R164,武学奇术!$A:$ZZ,26,FALSE)</f>
        <v>0.9012</v>
      </c>
      <c r="AO164" s="24">
        <f>VLOOKUP($R164,武学奇术!$A:$ZZ,27,FALSE)*(1+IF(OR($AM164=$F$4,$AM164=$F$5),$B$23,0))</f>
        <v>400</v>
      </c>
      <c r="AP164" s="23">
        <f>VLOOKUP($R164,武学奇术!$A:$ZZ,28,FALSE)</f>
        <v>1.3518</v>
      </c>
      <c r="AQ164" s="24">
        <f>VLOOKUP($R164,武学奇术!$A:$ZZ,29,FALSE)*(1+IF(OR($AM164=$F$4,$AM164=$F$5),$B$23,0))</f>
        <v>217.6</v>
      </c>
      <c r="AR164" s="23" cm="1">
        <f t="array" ref="AR164">$G$3+IFERROR(VLOOKUP($AM164,$F$4:$G$7,2,FALSE),0)+VLOOKUP($R164,武学奇术!$A:$ZZ,2,FALSE)+SUM(_xlfn.XLOOKUP($S164:$AL164,增益!$A:$A,增益!$B:$B,0))</f>
        <v>0.7743</v>
      </c>
      <c r="AS164" s="23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4150.4</v>
      </c>
      <c r="AU164" cm="1">
        <f t="array" ref="AU164">$E$10*(1+$AS164)+VLOOKUP($R164,武学奇术!$A:$ZZ,4,FALSE)+SUM(_xlfn.XLOOKUP($S164:$AL164,增益!$A:$A,增益!$D:$D,0))-$I$2</f>
        <v>4150.4</v>
      </c>
      <c r="AV164" s="29" cm="1">
        <f t="array" ref="AV164">IF($F$10-$I$3+VLOOKUP($R164,武学奇术!$A:$ZZ,6,FALSE)+SUM(_xlfn.XLOOKUP(S164:AL164,增益!$A:$A,增益!$F:$F,0))&gt;0,($F$10-$I$3+VLOOKUP($R164,武学奇术!$A:$ZZ,6,FALSE)+SUM(_xlfn.XLOOKUP(S164:AL164,增益!$A:$A,增益!$F:$F,0)))/200,($F$10-$I$3+VLOOKUP($R164,武学奇术!$A:$ZZ,6,FALSE)+SUM(_xlfn.XLOOKUP(S164:AL164,增益!$A:$A,增益!$F:$F,0)))/100)</f>
        <v>0.4539</v>
      </c>
      <c r="AW164" s="29" cm="1">
        <f t="array" ref="AW164">$G$10+VLOOKUP($R164,武学奇术!$A:$ZZ,7,FALSE)+SUM(_xlfn.XLOOKUP(S164:AL164,增益!$A:$A,增益!$G:$G,0))</f>
        <v>0.08</v>
      </c>
      <c r="AX164" s="23" cm="1">
        <f t="array" ref="AX164">VLOOKUP($R164,武学奇术!$A:$ZZ,8,FALSE)+SUM(_xlfn.XLOOKUP(S164:AL164,增益!$A:$A,增益!$H:$H,0))</f>
        <v>0</v>
      </c>
      <c r="AY164">
        <f t="shared" si="57"/>
        <v>0</v>
      </c>
      <c r="AZ164">
        <f t="shared" si="58"/>
        <v>0</v>
      </c>
      <c r="BA164" s="29" cm="1">
        <f t="array" ref="BA164">IF($F$11-$I$4+VLOOKUP($R164,武学奇术!$A:$ZZ,9,FALSE)+SUM(_xlfn.XLOOKUP(S164:AL164,增益!$A:$A,增益!$I:$I,0))&gt;0,($F$11-$I$4+VLOOKUP($R164,武学奇术!$A:$ZZ,9,FALSE)+SUM(_xlfn.XLOOKUP(S164:AL164,增益!$A:$A,增益!$I:$I,0)))/200,($F$11-$I$4+VLOOKUP($R164,武学奇术!$A:$ZZ,9,FALSE)+SUM(_xlfn.XLOOKUP(S164:AL164,增益!$A:$A,增益!$I:$I,0)))/100)</f>
        <v>-0.3</v>
      </c>
      <c r="BB164" s="29" cm="1">
        <f t="array" ref="BB164">$G$11+VLOOKUP($R164,武学奇术!$A:$ZZ,10,FALSE)+SUM(_xlfn.XLOOKUP(S164:AL164,增益!$A:$A,增益!$J:$J,0))</f>
        <v>0.02</v>
      </c>
      <c r="BC164">
        <f t="shared" si="59"/>
        <v>0</v>
      </c>
      <c r="BD164">
        <f t="shared" si="60"/>
        <v>0</v>
      </c>
      <c r="BE164" s="29" cm="1">
        <f t="array" ref="BE164">IF($F$12-$I$4+VLOOKUP($R164,武学奇术!$A:$ZZ,11,FALSE)+SUM(_xlfn.XLOOKUP(S164:AL164,增益!$A:$A,增益!$K:$K,0))&gt;0,($F$12-$I$4+VLOOKUP($R164,武学奇术!$A:$ZZ,11,FALSE)+SUM(_xlfn.XLOOKUP(S164:AL164,增益!$A:$A,增益!$K:$K,0)))/200,($F$12-$I$4+VLOOKUP($R164,武学奇术!$A:$ZZ,11,FALSE)+SUM(_xlfn.XLOOKUP(S164:AL164,增益!$A:$A,增益!$K:$K,0)))/100)</f>
        <v>-0.3</v>
      </c>
      <c r="BF164" s="29" cm="1">
        <f t="array" ref="BF164">$G$12+VLOOKUP($R164,武学奇术!$A:$ZZ,12,FALSE)+SUM(_xlfn.XLOOKUP(S164:AL164,增益!$A:$A,增益!$L:$L,0))</f>
        <v>0.02</v>
      </c>
      <c r="BG164">
        <f t="shared" si="61"/>
        <v>0</v>
      </c>
      <c r="BH164">
        <f t="shared" si="62"/>
        <v>0</v>
      </c>
      <c r="BI164" s="29" cm="1">
        <f t="array" ref="BI164">IF($F$13-$I$4+VLOOKUP($R164,武学奇术!$A:$ZZ,13,FALSE)+SUM(_xlfn.XLOOKUP(S164:AL164,增益!$A:$A,增益!$M:$M,0))&gt;0,($F$13-$I$4+VLOOKUP($R164,武学奇术!$A:$ZZ,13,FALSE)+SUM(_xlfn.XLOOKUP(S164:AL164,增益!$A:$A,增益!$K:$K,0)))/200,($F$13-$I$4+VLOOKUP($R164,武学奇术!$A:$ZZ,13,FALSE)+SUM(_xlfn.XLOOKUP(S164:AL164,增益!$A:$A,增益!$M:$M,0)))/100)</f>
        <v>-0.3</v>
      </c>
      <c r="BJ164" s="29" cm="1">
        <f t="array" ref="BJ164">$G$13+VLOOKUP($R164,武学奇术!$A:$ZZ,14,FALSE)+SUM(_xlfn.XLOOKUP(S164:AL164,增益!$A:$A,增益!$N:$N,0))</f>
        <v>0.02</v>
      </c>
      <c r="BK164">
        <f t="shared" si="63"/>
        <v>618.2</v>
      </c>
      <c r="BL164">
        <f t="shared" si="64"/>
        <v>1805</v>
      </c>
      <c r="BM164" s="29" cm="1">
        <f t="array" ref="BM164">IF($F$14-$I$4+VLOOKUP($R164,武学奇术!$A:$ZZ,15,FALSE)+SUM(_xlfn.XLOOKUP(S164:AL164,增益!$A:$A,增益!$O:$O,0))&gt;0,($F$14-$I$4+VLOOKUP($R164,武学奇术!$A:$ZZ,15,FALSE)+SUM(_xlfn.XLOOKUP(S164:AL164,增益!$A:$A,增益!$O:$O,0)))/200,($F$14-$I$4+VLOOKUP($R164,武学奇术!$A:$ZZ,15,FALSE)+SUM(_xlfn.XLOOKUP(S164:AL164,增益!$A:$A,增益!$O:$O,0)))/100)</f>
        <v>0.05</v>
      </c>
      <c r="BN164" s="29" cm="1">
        <f t="array" ref="BN164">$G$14+VLOOKUP($R164,武学奇术!$A:$ZZ,16,FALSE)+SUM(_xlfn.XLOOKUP(S164:AL164,增益!$A:$A,增益!$P:$P,0))</f>
        <v>0.23</v>
      </c>
      <c r="BO164" s="23">
        <f>MIN(IF(VLOOKUP($R164,武学奇术!$A:$ZZ,23,FALSE)=1,100%,$B$8),100%)</f>
        <v>0.9943</v>
      </c>
      <c r="BP164" s="23" cm="1">
        <f t="array" ref="BP164">IF(VLOOKUP($R164,武学奇术!$A:$ZZ,23,FALSE)=1,100%,MIN(80%,$B$9+VLOOKUP($R164,武学奇术!$A:$ZZ,17,FALSE)+SUM(_xlfn.XLOOKUP(S164:AL164,增益!$A:$A,增益!$Q:$Q,0)))+$B$11+SUM(_xlfn.XLOOKUP(S164:AL164,增益!$A:$A,增益!$U:$U,0)))*IF(VLOOKUP($R164,武学奇术!$A:$ZZ,24,FALSE)=1,0,1)</f>
        <v>0.887</v>
      </c>
      <c r="BQ164" s="23" cm="1">
        <f t="array" ref="BQ164">1+$B$13+VLOOKUP($R164,武学奇术!$A:$ZZ,18,FALSE)+SUM(_xlfn.XLOOKUP(S164:AL164,增益!$A:$A,增益!$R:$R,0))</f>
        <v>2.394</v>
      </c>
      <c r="BR164" s="23" cm="1">
        <f t="array" ref="BR164">IF(VLOOKUP($R164,武学奇术!$A:$ZZ,24,FALSE)=1,100%,MIN(40%,$B$10+VLOOKUP($R164,武学奇术!$A:$ZZ,19,FALSE)+SUM(_xlfn.XLOOKUP(S164:AL164,增益!$A:$A,增益!$S:$S,0)))+$B$12+SUM(_xlfn.XLOOKUP(S164:AL164,增益!$A:$A,增益!$V:$V,0)))*IF(VLOOKUP($R164,武学奇术!$A:$ZZ,23,FALSE)=1,0,1)</f>
        <v>0.0913</v>
      </c>
      <c r="BS164" s="23" cm="1">
        <f t="array" ref="BS164">1+$B$14+VLOOKUP($R164,武学奇术!$A:$ZZ,20,FALSE)+SUM(_xlfn.XLOOKUP(S164:AL164,增益!$A:$A,增益!$T:$T,0))</f>
        <v>1.35</v>
      </c>
      <c r="BT164" s="23">
        <f t="shared" si="65"/>
        <v>0.8819441</v>
      </c>
      <c r="BU164" s="23">
        <f t="shared" si="66"/>
        <v>0.0215763099999999</v>
      </c>
      <c r="BV164" s="23">
        <f>IF(VLOOKUP($R164,武学奇术!$A:$ZZ,22,FALSE)=1,0,(1-$BO164))*(1-$BR164)</f>
        <v>0.00517958999999993</v>
      </c>
      <c r="BW164" s="23" cm="1">
        <f t="array" ref="BW164">SUM(_xlfn.XLOOKUP(S164:AL164,增益!$A:$A,增益!$W:$W,0))+$I$5</f>
        <v>0.11</v>
      </c>
      <c r="BX164" s="23">
        <f>VLOOKUP($R164,武学奇术!$A:$ZZ,32,FALSE)</f>
        <v>0.1</v>
      </c>
      <c r="BY164" s="23" cm="1">
        <f t="array" ref="BY164">SUM(_xlfn.XLOOKUP($S164:$AL164,增益!$A:$A,增益!$X:$X,0))</f>
        <v>0</v>
      </c>
    </row>
    <row r="165" spans="11:77">
      <c r="K165" s="35">
        <f>$L165*VLOOKUP($R165,武学奇术!$A:$ZZ,31,FALSE)</f>
        <v>80017.9451876471</v>
      </c>
      <c r="L165" s="35">
        <f t="shared" si="56"/>
        <v>71444.593917542</v>
      </c>
      <c r="M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轻击",$B$21,0))*(1+IF(VLOOKUP($R165,武学奇术!$A:$ZZ,30,FALSE)="老鼠",$B$22,0))*(1+$BW165)*(1+$BX165)</f>
        <v>75184.335021375</v>
      </c>
      <c r="N165" s="35">
        <f>(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轻击",$B$21,0))*(1+IF(VLOOKUP($R165,武学奇术!$A:$ZZ,30,FALSE)="老鼠",$B$22,0))*(1+$BW165))*(1+$BX165)</f>
        <v>47257.1986144126</v>
      </c>
      <c r="O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轻击",$B$21,0))*(1+IF(VLOOKUP($R165,武学奇术!$A:$ZZ,30,FALSE)="老鼠",$B$22,0))*(1+$BW165)*(1+$BX165)</f>
        <v>31405.3195578008</v>
      </c>
      <c r="P165" s="35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轻击",$B$21,0))*(1+IF(VLOOKUP($R165,武学奇术!$A:$ZZ,30,FALSE)="老鼠",$B$22,0))*(1+$BW165)*(1+$BX165)</f>
        <v>27805.3068086292</v>
      </c>
      <c r="Q165" s="36">
        <v>1</v>
      </c>
      <c r="R165" s="37" t="s">
        <v>148</v>
      </c>
      <c r="S165" s="37" t="s">
        <v>91</v>
      </c>
      <c r="T165" s="37" t="s">
        <v>185</v>
      </c>
      <c r="U165" s="37" t="s">
        <v>112</v>
      </c>
      <c r="V165" s="37" t="s">
        <v>113</v>
      </c>
      <c r="W165" s="37" t="s">
        <v>82</v>
      </c>
      <c r="X165" s="37" t="s">
        <v>81</v>
      </c>
      <c r="Y165" s="37" t="s">
        <v>109</v>
      </c>
      <c r="Z165" s="37" t="s">
        <v>83</v>
      </c>
      <c r="AA165" s="37" t="s">
        <v>81</v>
      </c>
      <c r="AB165" s="37" t="s">
        <v>81</v>
      </c>
      <c r="AC165" s="37" t="s">
        <v>81</v>
      </c>
      <c r="AD165" s="37" t="s">
        <v>85</v>
      </c>
      <c r="AE165" s="37" t="s">
        <v>86</v>
      </c>
      <c r="AF165" s="37" t="s">
        <v>81</v>
      </c>
      <c r="AG165" s="37" t="s">
        <v>87</v>
      </c>
      <c r="AH165" s="37" t="s">
        <v>88</v>
      </c>
      <c r="AI165" s="37" t="s">
        <v>81</v>
      </c>
      <c r="AJ165" s="37" t="s">
        <v>81</v>
      </c>
      <c r="AK165" s="37" t="s">
        <v>81</v>
      </c>
      <c r="AL165" s="37" t="s">
        <v>81</v>
      </c>
      <c r="AM165" t="str">
        <f>VLOOKUP($R165,武学奇术!$A:$ZZ,25,FALSE)</f>
        <v>双刀</v>
      </c>
      <c r="AN165" s="23">
        <f>VLOOKUP($R165,武学奇术!$A:$ZZ,26,FALSE)</f>
        <v>1.4455</v>
      </c>
      <c r="AO165" s="24">
        <f>VLOOKUP($R165,武学奇术!$A:$ZZ,27,FALSE)*(1+IF(OR($AM165=$F$4,$AM165=$F$5),$B$23,0))</f>
        <v>641.6</v>
      </c>
      <c r="AP165" s="23">
        <f>VLOOKUP($R165,武学奇术!$A:$ZZ,28,FALSE)</f>
        <v>2.1683</v>
      </c>
      <c r="AQ165" s="24">
        <f>VLOOKUP($R165,武学奇术!$A:$ZZ,29,FALSE)*(1+IF(OR($AM165=$F$4,$AM165=$F$5),$B$23,0))</f>
        <v>348.8</v>
      </c>
      <c r="AR165" s="23" cm="1">
        <f t="array" ref="AR165">$G$3+IFERROR(VLOOKUP($AM165,$F$4:$G$7,2,FALSE),0)+VLOOKUP($R165,武学奇术!$A:$ZZ,2,FALSE)+SUM(_xlfn.XLOOKUP($S165:$AL165,增益!$A:$A,增益!$B:$B,0))</f>
        <v>0.7743</v>
      </c>
      <c r="AS165" s="23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4150.4</v>
      </c>
      <c r="AU165" cm="1">
        <f t="array" ref="AU165">$E$10*(1+$AS165)+VLOOKUP($R165,武学奇术!$A:$ZZ,4,FALSE)+SUM(_xlfn.XLOOKUP($S165:$AL165,增益!$A:$A,增益!$D:$D,0))-$I$2</f>
        <v>4150.4</v>
      </c>
      <c r="AV165" s="29" cm="1">
        <f t="array" ref="AV165">IF($F$10-$I$3+VLOOKUP($R165,武学奇术!$A:$ZZ,6,FALSE)+SUM(_xlfn.XLOOKUP(S165:AL165,增益!$A:$A,增益!$F:$F,0))&gt;0,($F$10-$I$3+VLOOKUP($R165,武学奇术!$A:$ZZ,6,FALSE)+SUM(_xlfn.XLOOKUP(S165:AL165,增益!$A:$A,增益!$F:$F,0)))/200,($F$10-$I$3+VLOOKUP($R165,武学奇术!$A:$ZZ,6,FALSE)+SUM(_xlfn.XLOOKUP(S165:AL165,增益!$A:$A,增益!$F:$F,0)))/100)</f>
        <v>0.4539</v>
      </c>
      <c r="AW165" s="29" cm="1">
        <f t="array" ref="AW165">$G$10+VLOOKUP($R165,武学奇术!$A:$ZZ,7,FALSE)+SUM(_xlfn.XLOOKUP(S165:AL165,增益!$A:$A,增益!$G:$G,0))</f>
        <v>0.08</v>
      </c>
      <c r="AX165" s="23" cm="1">
        <f t="array" ref="AX165">VLOOKUP($R165,武学奇术!$A:$ZZ,8,FALSE)+SUM(_xlfn.XLOOKUP(S165:AL165,增益!$A:$A,增益!$H:$H,0))</f>
        <v>0</v>
      </c>
      <c r="AY165">
        <f t="shared" si="57"/>
        <v>0</v>
      </c>
      <c r="AZ165">
        <f t="shared" si="58"/>
        <v>0</v>
      </c>
      <c r="BA165" s="29" cm="1">
        <f t="array" ref="BA165">IF($F$11-$I$4+VLOOKUP($R165,武学奇术!$A:$ZZ,9,FALSE)+SUM(_xlfn.XLOOKUP(S165:AL165,增益!$A:$A,增益!$I:$I,0))&gt;0,($F$11-$I$4+VLOOKUP($R165,武学奇术!$A:$ZZ,9,FALSE)+SUM(_xlfn.XLOOKUP(S165:AL165,增益!$A:$A,增益!$I:$I,0)))/200,($F$11-$I$4+VLOOKUP($R165,武学奇术!$A:$ZZ,9,FALSE)+SUM(_xlfn.XLOOKUP(S165:AL165,增益!$A:$A,增益!$I:$I,0)))/100)</f>
        <v>-0.3</v>
      </c>
      <c r="BB165" s="29" cm="1">
        <f t="array" ref="BB165">$G$11+VLOOKUP($R165,武学奇术!$A:$ZZ,10,FALSE)+SUM(_xlfn.XLOOKUP(S165:AL165,增益!$A:$A,增益!$J:$J,0))</f>
        <v>0.02</v>
      </c>
      <c r="BC165">
        <f t="shared" si="59"/>
        <v>0</v>
      </c>
      <c r="BD165">
        <f t="shared" si="60"/>
        <v>0</v>
      </c>
      <c r="BE165" s="29" cm="1">
        <f t="array" ref="BE165">IF($F$12-$I$4+VLOOKUP($R165,武学奇术!$A:$ZZ,11,FALSE)+SUM(_xlfn.XLOOKUP(S165:AL165,增益!$A:$A,增益!$K:$K,0))&gt;0,($F$12-$I$4+VLOOKUP($R165,武学奇术!$A:$ZZ,11,FALSE)+SUM(_xlfn.XLOOKUP(S165:AL165,增益!$A:$A,增益!$K:$K,0)))/200,($F$12-$I$4+VLOOKUP($R165,武学奇术!$A:$ZZ,11,FALSE)+SUM(_xlfn.XLOOKUP(S165:AL165,增益!$A:$A,增益!$K:$K,0)))/100)</f>
        <v>-0.3</v>
      </c>
      <c r="BF165" s="29" cm="1">
        <f t="array" ref="BF165">$G$12+VLOOKUP($R165,武学奇术!$A:$ZZ,12,FALSE)+SUM(_xlfn.XLOOKUP(S165:AL165,增益!$A:$A,增益!$L:$L,0))</f>
        <v>0.02</v>
      </c>
      <c r="BG165">
        <f t="shared" si="61"/>
        <v>0</v>
      </c>
      <c r="BH165">
        <f t="shared" si="62"/>
        <v>0</v>
      </c>
      <c r="BI165" s="29" cm="1">
        <f t="array" ref="BI165">IF($F$13-$I$4+VLOOKUP($R165,武学奇术!$A:$ZZ,13,FALSE)+SUM(_xlfn.XLOOKUP(S165:AL165,增益!$A:$A,增益!$M:$M,0))&gt;0,($F$13-$I$4+VLOOKUP($R165,武学奇术!$A:$ZZ,13,FALSE)+SUM(_xlfn.XLOOKUP(S165:AL165,增益!$A:$A,增益!$K:$K,0)))/200,($F$13-$I$4+VLOOKUP($R165,武学奇术!$A:$ZZ,13,FALSE)+SUM(_xlfn.XLOOKUP(S165:AL165,增益!$A:$A,增益!$M:$M,0)))/100)</f>
        <v>-0.3</v>
      </c>
      <c r="BJ165" s="29" cm="1">
        <f t="array" ref="BJ165">$G$13+VLOOKUP($R165,武学奇术!$A:$ZZ,14,FALSE)+SUM(_xlfn.XLOOKUP(S165:AL165,增益!$A:$A,增益!$N:$N,0))</f>
        <v>0.02</v>
      </c>
      <c r="BK165">
        <f t="shared" si="63"/>
        <v>618.2</v>
      </c>
      <c r="BL165">
        <f t="shared" si="64"/>
        <v>1805</v>
      </c>
      <c r="BM165" s="29" cm="1">
        <f t="array" ref="BM165">IF($F$14-$I$4+VLOOKUP($R165,武学奇术!$A:$ZZ,15,FALSE)+SUM(_xlfn.XLOOKUP(S165:AL165,增益!$A:$A,增益!$O:$O,0))&gt;0,($F$14-$I$4+VLOOKUP($R165,武学奇术!$A:$ZZ,15,FALSE)+SUM(_xlfn.XLOOKUP(S165:AL165,增益!$A:$A,增益!$O:$O,0)))/200,($F$14-$I$4+VLOOKUP($R165,武学奇术!$A:$ZZ,15,FALSE)+SUM(_xlfn.XLOOKUP(S165:AL165,增益!$A:$A,增益!$O:$O,0)))/100)</f>
        <v>0.05</v>
      </c>
      <c r="BN165" s="29" cm="1">
        <f t="array" ref="BN165">$G$14+VLOOKUP($R165,武学奇术!$A:$ZZ,16,FALSE)+SUM(_xlfn.XLOOKUP(S165:AL165,增益!$A:$A,增益!$P:$P,0))</f>
        <v>0.23</v>
      </c>
      <c r="BO165" s="23">
        <f>MIN(IF(VLOOKUP($R165,武学奇术!$A:$ZZ,23,FALSE)=1,100%,$B$8),100%)</f>
        <v>0.9943</v>
      </c>
      <c r="BP165" s="23" cm="1">
        <f t="array" ref="BP165">IF(VLOOKUP($R165,武学奇术!$A:$ZZ,23,FALSE)=1,100%,MIN(80%,$B$9+VLOOKUP($R165,武学奇术!$A:$ZZ,17,FALSE)+SUM(_xlfn.XLOOKUP(S165:AL165,增益!$A:$A,增益!$Q:$Q,0)))+$B$11+SUM(_xlfn.XLOOKUP(S165:AL165,增益!$A:$A,增益!$U:$U,0)))*IF(VLOOKUP($R165,武学奇术!$A:$ZZ,24,FALSE)=1,0,1)</f>
        <v>0.887</v>
      </c>
      <c r="BQ165" s="23" cm="1">
        <f t="array" ref="BQ165">1+$B$13+VLOOKUP($R165,武学奇术!$A:$ZZ,18,FALSE)+SUM(_xlfn.XLOOKUP(S165:AL165,增益!$A:$A,增益!$R:$R,0))</f>
        <v>2.394</v>
      </c>
      <c r="BR165" s="23" cm="1">
        <f t="array" ref="BR165">IF(VLOOKUP($R165,武学奇术!$A:$ZZ,24,FALSE)=1,100%,MIN(40%,$B$10+VLOOKUP($R165,武学奇术!$A:$ZZ,19,FALSE)+SUM(_xlfn.XLOOKUP(S165:AL165,增益!$A:$A,增益!$S:$S,0)))+$B$12+SUM(_xlfn.XLOOKUP(S165:AL165,增益!$A:$A,增益!$V:$V,0)))*IF(VLOOKUP($R165,武学奇术!$A:$ZZ,23,FALSE)=1,0,1)</f>
        <v>0.0913</v>
      </c>
      <c r="BS165" s="23" cm="1">
        <f t="array" ref="BS165">1+$B$14+VLOOKUP($R165,武学奇术!$A:$ZZ,20,FALSE)+SUM(_xlfn.XLOOKUP(S165:AL165,增益!$A:$A,增益!$T:$T,0))</f>
        <v>1.35</v>
      </c>
      <c r="BT165" s="23">
        <f t="shared" si="65"/>
        <v>0.8819441</v>
      </c>
      <c r="BU165" s="23">
        <f t="shared" si="66"/>
        <v>0.0215763099999999</v>
      </c>
      <c r="BV165" s="23">
        <f>IF(VLOOKUP($R165,武学奇术!$A:$ZZ,22,FALSE)=1,0,(1-$BO165))*(1-$BR165)</f>
        <v>0.00517958999999993</v>
      </c>
      <c r="BW165" s="23" cm="1">
        <f t="array" ref="BW165">SUM(_xlfn.XLOOKUP(S165:AL165,增益!$A:$A,增益!$W:$W,0))+$I$5</f>
        <v>0.11</v>
      </c>
      <c r="BX165" s="23">
        <f>VLOOKUP($R165,武学奇术!$A:$ZZ,32,FALSE)</f>
        <v>0.1</v>
      </c>
      <c r="BY165" s="23" cm="1">
        <f t="array" ref="BY165">SUM(_xlfn.XLOOKUP($S165:$AL165,增益!$A:$A,增益!$X:$X,0))</f>
        <v>0</v>
      </c>
    </row>
    <row r="166" spans="11:77">
      <c r="K166" s="35">
        <f>$L166*VLOOKUP($R166,武学奇术!$A:$ZZ,31,FALSE)</f>
        <v>96083.8124206724</v>
      </c>
      <c r="L166" s="35">
        <f t="shared" si="56"/>
        <v>85789.1182327432</v>
      </c>
      <c r="M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轻击",$B$21,0))*(1+IF(VLOOKUP($R166,武学奇术!$A:$ZZ,30,FALSE)="老鼠",$B$22,0))*(1+$BW166)*(1+$BX166)</f>
        <v>90279.7073324141</v>
      </c>
      <c r="N166" s="35">
        <f>(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轻击",$B$21,0))*(1+IF(VLOOKUP($R166,武学奇术!$A:$ZZ,30,FALSE)="老鼠",$B$22,0))*(1+$BW166))*(1+$BX166)</f>
        <v>56745.5300792832</v>
      </c>
      <c r="O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轻击",$B$21,0))*(1+IF(VLOOKUP($R166,武学奇术!$A:$ZZ,30,FALSE)="老鼠",$B$22,0))*(1+$BW166)*(1+$BX166)</f>
        <v>37710.8217762799</v>
      </c>
      <c r="P166" s="35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轻击",$B$21,0))*(1+IF(VLOOKUP($R166,武学奇术!$A:$ZZ,30,FALSE)="老鼠",$B$22,0))*(1+$BW166)*(1+$BX166)</f>
        <v>33387.9175679056</v>
      </c>
      <c r="Q166" s="36">
        <v>1</v>
      </c>
      <c r="R166" s="37" t="s">
        <v>153</v>
      </c>
      <c r="S166" s="37" t="s">
        <v>91</v>
      </c>
      <c r="T166" s="37" t="s">
        <v>185</v>
      </c>
      <c r="U166" s="37" t="s">
        <v>112</v>
      </c>
      <c r="V166" s="37" t="s">
        <v>113</v>
      </c>
      <c r="W166" s="37" t="s">
        <v>82</v>
      </c>
      <c r="X166" s="37" t="s">
        <v>81</v>
      </c>
      <c r="Y166" s="37" t="s">
        <v>109</v>
      </c>
      <c r="Z166" s="37" t="s">
        <v>83</v>
      </c>
      <c r="AA166" s="37" t="s">
        <v>81</v>
      </c>
      <c r="AB166" s="37" t="s">
        <v>81</v>
      </c>
      <c r="AC166" s="37" t="s">
        <v>81</v>
      </c>
      <c r="AD166" s="37" t="s">
        <v>85</v>
      </c>
      <c r="AE166" s="37" t="s">
        <v>86</v>
      </c>
      <c r="AF166" s="37" t="s">
        <v>81</v>
      </c>
      <c r="AG166" s="37" t="s">
        <v>87</v>
      </c>
      <c r="AH166" s="37" t="s">
        <v>88</v>
      </c>
      <c r="AI166" s="37" t="s">
        <v>81</v>
      </c>
      <c r="AJ166" s="37" t="s">
        <v>81</v>
      </c>
      <c r="AK166" s="37" t="s">
        <v>81</v>
      </c>
      <c r="AL166" s="37" t="s">
        <v>81</v>
      </c>
      <c r="AM166" t="str">
        <f>VLOOKUP($R166,武学奇术!$A:$ZZ,25,FALSE)</f>
        <v>双刀</v>
      </c>
      <c r="AN166" s="23">
        <f>VLOOKUP($R166,武学奇术!$A:$ZZ,26,FALSE)</f>
        <v>1.7358</v>
      </c>
      <c r="AO166" s="24">
        <f>VLOOKUP($R166,武学奇术!$A:$ZZ,27,FALSE)*(1+IF(OR($AM166=$F$4,$AM166=$F$5),$B$23,0))</f>
        <v>769.6</v>
      </c>
      <c r="AP166" s="23">
        <f>VLOOKUP($R166,武学奇术!$A:$ZZ,28,FALSE)</f>
        <v>2.6037</v>
      </c>
      <c r="AQ166" s="24">
        <f>VLOOKUP($R166,武学奇术!$A:$ZZ,29,FALSE)*(1+IF(OR($AM166=$F$4,$AM166=$F$5),$B$23,0))</f>
        <v>419.2</v>
      </c>
      <c r="AR166" s="23" cm="1">
        <f t="array" ref="AR166">$G$3+IFERROR(VLOOKUP($AM166,$F$4:$G$7,2,FALSE),0)+VLOOKUP($R166,武学奇术!$A:$ZZ,2,FALSE)+SUM(_xlfn.XLOOKUP($S166:$AL166,增益!$A:$A,增益!$B:$B,0))</f>
        <v>0.7743</v>
      </c>
      <c r="AS166" s="23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4150.4</v>
      </c>
      <c r="AU166" cm="1">
        <f t="array" ref="AU166">$E$10*(1+$AS166)+VLOOKUP($R166,武学奇术!$A:$ZZ,4,FALSE)+SUM(_xlfn.XLOOKUP($S166:$AL166,增益!$A:$A,增益!$D:$D,0))-$I$2</f>
        <v>4150.4</v>
      </c>
      <c r="AV166" s="29" cm="1">
        <f t="array" ref="AV166">IF($F$10-$I$3+VLOOKUP($R166,武学奇术!$A:$ZZ,6,FALSE)+SUM(_xlfn.XLOOKUP(S166:AL166,增益!$A:$A,增益!$F:$F,0))&gt;0,($F$10-$I$3+VLOOKUP($R166,武学奇术!$A:$ZZ,6,FALSE)+SUM(_xlfn.XLOOKUP(S166:AL166,增益!$A:$A,增益!$F:$F,0)))/200,($F$10-$I$3+VLOOKUP($R166,武学奇术!$A:$ZZ,6,FALSE)+SUM(_xlfn.XLOOKUP(S166:AL166,增益!$A:$A,增益!$F:$F,0)))/100)</f>
        <v>0.4539</v>
      </c>
      <c r="AW166" s="29" cm="1">
        <f t="array" ref="AW166">$G$10+VLOOKUP($R166,武学奇术!$A:$ZZ,7,FALSE)+SUM(_xlfn.XLOOKUP(S166:AL166,增益!$A:$A,增益!$G:$G,0))</f>
        <v>0.08</v>
      </c>
      <c r="AX166" s="23" cm="1">
        <f t="array" ref="AX166">VLOOKUP($R166,武学奇术!$A:$ZZ,8,FALSE)+SUM(_xlfn.XLOOKUP(S166:AL166,增益!$A:$A,增益!$H:$H,0))</f>
        <v>0</v>
      </c>
      <c r="AY166">
        <f t="shared" si="57"/>
        <v>0</v>
      </c>
      <c r="AZ166">
        <f t="shared" si="58"/>
        <v>0</v>
      </c>
      <c r="BA166" s="29" cm="1">
        <f t="array" ref="BA166">IF($F$11-$I$4+VLOOKUP($R166,武学奇术!$A:$ZZ,9,FALSE)+SUM(_xlfn.XLOOKUP(S166:AL166,增益!$A:$A,增益!$I:$I,0))&gt;0,($F$11-$I$4+VLOOKUP($R166,武学奇术!$A:$ZZ,9,FALSE)+SUM(_xlfn.XLOOKUP(S166:AL166,增益!$A:$A,增益!$I:$I,0)))/200,($F$11-$I$4+VLOOKUP($R166,武学奇术!$A:$ZZ,9,FALSE)+SUM(_xlfn.XLOOKUP(S166:AL166,增益!$A:$A,增益!$I:$I,0)))/100)</f>
        <v>-0.3</v>
      </c>
      <c r="BB166" s="29" cm="1">
        <f t="array" ref="BB166">$G$11+VLOOKUP($R166,武学奇术!$A:$ZZ,10,FALSE)+SUM(_xlfn.XLOOKUP(S166:AL166,增益!$A:$A,增益!$J:$J,0))</f>
        <v>0.02</v>
      </c>
      <c r="BC166">
        <f t="shared" si="59"/>
        <v>0</v>
      </c>
      <c r="BD166">
        <f t="shared" si="60"/>
        <v>0</v>
      </c>
      <c r="BE166" s="29" cm="1">
        <f t="array" ref="BE166">IF($F$12-$I$4+VLOOKUP($R166,武学奇术!$A:$ZZ,11,FALSE)+SUM(_xlfn.XLOOKUP(S166:AL166,增益!$A:$A,增益!$K:$K,0))&gt;0,($F$12-$I$4+VLOOKUP($R166,武学奇术!$A:$ZZ,11,FALSE)+SUM(_xlfn.XLOOKUP(S166:AL166,增益!$A:$A,增益!$K:$K,0)))/200,($F$12-$I$4+VLOOKUP($R166,武学奇术!$A:$ZZ,11,FALSE)+SUM(_xlfn.XLOOKUP(S166:AL166,增益!$A:$A,增益!$K:$K,0)))/100)</f>
        <v>-0.3</v>
      </c>
      <c r="BF166" s="29" cm="1">
        <f t="array" ref="BF166">$G$12+VLOOKUP($R166,武学奇术!$A:$ZZ,12,FALSE)+SUM(_xlfn.XLOOKUP(S166:AL166,增益!$A:$A,增益!$L:$L,0))</f>
        <v>0.02</v>
      </c>
      <c r="BG166">
        <f t="shared" si="61"/>
        <v>0</v>
      </c>
      <c r="BH166">
        <f t="shared" si="62"/>
        <v>0</v>
      </c>
      <c r="BI166" s="29" cm="1">
        <f t="array" ref="BI166">IF($F$13-$I$4+VLOOKUP($R166,武学奇术!$A:$ZZ,13,FALSE)+SUM(_xlfn.XLOOKUP(S166:AL166,增益!$A:$A,增益!$M:$M,0))&gt;0,($F$13-$I$4+VLOOKUP($R166,武学奇术!$A:$ZZ,13,FALSE)+SUM(_xlfn.XLOOKUP(S166:AL166,增益!$A:$A,增益!$K:$K,0)))/200,($F$13-$I$4+VLOOKUP($R166,武学奇术!$A:$ZZ,13,FALSE)+SUM(_xlfn.XLOOKUP(S166:AL166,增益!$A:$A,增益!$M:$M,0)))/100)</f>
        <v>-0.3</v>
      </c>
      <c r="BJ166" s="29" cm="1">
        <f t="array" ref="BJ166">$G$13+VLOOKUP($R166,武学奇术!$A:$ZZ,14,FALSE)+SUM(_xlfn.XLOOKUP(S166:AL166,增益!$A:$A,增益!$N:$N,0))</f>
        <v>0.02</v>
      </c>
      <c r="BK166">
        <f t="shared" si="63"/>
        <v>618.2</v>
      </c>
      <c r="BL166">
        <f t="shared" si="64"/>
        <v>1805</v>
      </c>
      <c r="BM166" s="29" cm="1">
        <f t="array" ref="BM166">IF($F$14-$I$4+VLOOKUP($R166,武学奇术!$A:$ZZ,15,FALSE)+SUM(_xlfn.XLOOKUP(S166:AL166,增益!$A:$A,增益!$O:$O,0))&gt;0,($F$14-$I$4+VLOOKUP($R166,武学奇术!$A:$ZZ,15,FALSE)+SUM(_xlfn.XLOOKUP(S166:AL166,增益!$A:$A,增益!$O:$O,0)))/200,($F$14-$I$4+VLOOKUP($R166,武学奇术!$A:$ZZ,15,FALSE)+SUM(_xlfn.XLOOKUP(S166:AL166,增益!$A:$A,增益!$O:$O,0)))/100)</f>
        <v>0.05</v>
      </c>
      <c r="BN166" s="29" cm="1">
        <f t="array" ref="BN166">$G$14+VLOOKUP($R166,武学奇术!$A:$ZZ,16,FALSE)+SUM(_xlfn.XLOOKUP(S166:AL166,增益!$A:$A,增益!$P:$P,0))</f>
        <v>0.23</v>
      </c>
      <c r="BO166" s="23">
        <f>MIN(IF(VLOOKUP($R166,武学奇术!$A:$ZZ,23,FALSE)=1,100%,$B$8),100%)</f>
        <v>0.9943</v>
      </c>
      <c r="BP166" s="23" cm="1">
        <f t="array" ref="BP166">IF(VLOOKUP($R166,武学奇术!$A:$ZZ,23,FALSE)=1,100%,MIN(80%,$B$9+VLOOKUP($R166,武学奇术!$A:$ZZ,17,FALSE)+SUM(_xlfn.XLOOKUP(S166:AL166,增益!$A:$A,增益!$Q:$Q,0)))+$B$11+SUM(_xlfn.XLOOKUP(S166:AL166,增益!$A:$A,增益!$U:$U,0)))*IF(VLOOKUP($R166,武学奇术!$A:$ZZ,24,FALSE)=1,0,1)</f>
        <v>0.887</v>
      </c>
      <c r="BQ166" s="23" cm="1">
        <f t="array" ref="BQ166">1+$B$13+VLOOKUP($R166,武学奇术!$A:$ZZ,18,FALSE)+SUM(_xlfn.XLOOKUP(S166:AL166,增益!$A:$A,增益!$R:$R,0))</f>
        <v>2.394</v>
      </c>
      <c r="BR166" s="23" cm="1">
        <f t="array" ref="BR166">IF(VLOOKUP($R166,武学奇术!$A:$ZZ,24,FALSE)=1,100%,MIN(40%,$B$10+VLOOKUP($R166,武学奇术!$A:$ZZ,19,FALSE)+SUM(_xlfn.XLOOKUP(S166:AL166,增益!$A:$A,增益!$S:$S,0)))+$B$12+SUM(_xlfn.XLOOKUP(S166:AL166,增益!$A:$A,增益!$V:$V,0)))*IF(VLOOKUP($R166,武学奇术!$A:$ZZ,23,FALSE)=1,0,1)</f>
        <v>0.0913</v>
      </c>
      <c r="BS166" s="23" cm="1">
        <f t="array" ref="BS166">1+$B$14+VLOOKUP($R166,武学奇术!$A:$ZZ,20,FALSE)+SUM(_xlfn.XLOOKUP(S166:AL166,增益!$A:$A,增益!$T:$T,0))</f>
        <v>1.35</v>
      </c>
      <c r="BT166" s="23">
        <f t="shared" si="65"/>
        <v>0.8819441</v>
      </c>
      <c r="BU166" s="23">
        <f t="shared" si="66"/>
        <v>0.0215763099999999</v>
      </c>
      <c r="BV166" s="23">
        <f>IF(VLOOKUP($R166,武学奇术!$A:$ZZ,22,FALSE)=1,0,(1-$BO166))*(1-$BR166)</f>
        <v>0.00517958999999993</v>
      </c>
      <c r="BW166" s="23" cm="1">
        <f t="array" ref="BW166">SUM(_xlfn.XLOOKUP(S166:AL166,增益!$A:$A,增益!$W:$W,0))+$I$5</f>
        <v>0.11</v>
      </c>
      <c r="BX166" s="23">
        <f>VLOOKUP($R166,武学奇术!$A:$ZZ,32,FALSE)</f>
        <v>0.1</v>
      </c>
      <c r="BY166" s="23" cm="1">
        <f t="array" ref="BY166">SUM(_xlfn.XLOOKUP($S166:$AL166,增益!$A:$A,增益!$X:$X,0))</f>
        <v>0</v>
      </c>
    </row>
    <row r="167" spans="11:77">
      <c r="K167" s="35">
        <f>$L167*VLOOKUP($R167,武学奇术!$A:$ZZ,31,FALSE)</f>
        <v>140265.727751678</v>
      </c>
      <c r="L167" s="35">
        <f t="shared" si="56"/>
        <v>125237.256921141</v>
      </c>
      <c r="M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轻击",$B$21,0))*(1+IF(VLOOKUP($R167,武学奇术!$A:$ZZ,30,FALSE)="老鼠",$B$22,0))*(1+$BW167)*(1+$BX167)</f>
        <v>131792.687742813</v>
      </c>
      <c r="N167" s="35">
        <f>(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轻击",$B$21,0))*(1+IF(VLOOKUP($R167,武学奇术!$A:$ZZ,30,FALSE)="老鼠",$B$22,0))*(1+$BW167))*(1+$BX167)</f>
        <v>82839.176250251</v>
      </c>
      <c r="O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轻击",$B$21,0))*(1+IF(VLOOKUP($R167,武学奇术!$A:$ZZ,30,FALSE)="老鼠",$B$22,0))*(1+$BW167)*(1+$BX167)</f>
        <v>55051.2480128708</v>
      </c>
      <c r="P167" s="35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轻击",$B$21,0))*(1+IF(VLOOKUP($R167,武学奇术!$A:$ZZ,30,FALSE)="老鼠",$B$22,0))*(1+$BW167)*(1+$BX167)</f>
        <v>48740.1432477779</v>
      </c>
      <c r="Q167" s="36">
        <v>1</v>
      </c>
      <c r="R167" s="37" t="s">
        <v>158</v>
      </c>
      <c r="S167" s="37" t="s">
        <v>91</v>
      </c>
      <c r="T167" s="37" t="s">
        <v>185</v>
      </c>
      <c r="U167" s="37" t="s">
        <v>112</v>
      </c>
      <c r="V167" s="37" t="s">
        <v>113</v>
      </c>
      <c r="W167" s="37" t="s">
        <v>82</v>
      </c>
      <c r="X167" s="37" t="s">
        <v>81</v>
      </c>
      <c r="Y167" s="37" t="s">
        <v>109</v>
      </c>
      <c r="Z167" s="37" t="s">
        <v>83</v>
      </c>
      <c r="AA167" s="37" t="s">
        <v>81</v>
      </c>
      <c r="AB167" s="37" t="s">
        <v>81</v>
      </c>
      <c r="AC167" s="37" t="s">
        <v>81</v>
      </c>
      <c r="AD167" s="37" t="s">
        <v>85</v>
      </c>
      <c r="AE167" s="37" t="s">
        <v>86</v>
      </c>
      <c r="AF167" s="37" t="s">
        <v>81</v>
      </c>
      <c r="AG167" s="37" t="s">
        <v>87</v>
      </c>
      <c r="AH167" s="37" t="s">
        <v>88</v>
      </c>
      <c r="AI167" s="37" t="s">
        <v>81</v>
      </c>
      <c r="AJ167" s="37" t="s">
        <v>81</v>
      </c>
      <c r="AK167" s="37" t="s">
        <v>81</v>
      </c>
      <c r="AL167" s="37" t="s">
        <v>81</v>
      </c>
      <c r="AM167" t="str">
        <f>VLOOKUP($R167,武学奇术!$A:$ZZ,25,FALSE)</f>
        <v>双刀</v>
      </c>
      <c r="AN167" s="23">
        <f>VLOOKUP($R167,武学奇术!$A:$ZZ,26,FALSE)</f>
        <v>2.5342</v>
      </c>
      <c r="AO167" s="24">
        <f>VLOOKUP($R167,武学奇术!$A:$ZZ,27,FALSE)*(1+IF(OR($AM167=$F$4,$AM167=$F$5),$B$23,0))</f>
        <v>1123.2</v>
      </c>
      <c r="AP167" s="23">
        <f>VLOOKUP($R167,武学奇术!$A:$ZZ,28,FALSE)</f>
        <v>3.8012</v>
      </c>
      <c r="AQ167" s="24">
        <f>VLOOKUP($R167,武学奇术!$A:$ZZ,29,FALSE)*(1+IF(OR($AM167=$F$4,$AM167=$F$5),$B$23,0))</f>
        <v>611.2</v>
      </c>
      <c r="AR167" s="23" cm="1">
        <f t="array" ref="AR167">$G$3+IFERROR(VLOOKUP($AM167,$F$4:$G$7,2,FALSE),0)+VLOOKUP($R167,武学奇术!$A:$ZZ,2,FALSE)+SUM(_xlfn.XLOOKUP($S167:$AL167,增益!$A:$A,增益!$B:$B,0))</f>
        <v>0.7743</v>
      </c>
      <c r="AS167" s="23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4150.4</v>
      </c>
      <c r="AU167" cm="1">
        <f t="array" ref="AU167">$E$10*(1+$AS167)+VLOOKUP($R167,武学奇术!$A:$ZZ,4,FALSE)+SUM(_xlfn.XLOOKUP($S167:$AL167,增益!$A:$A,增益!$D:$D,0))-$I$2</f>
        <v>4150.4</v>
      </c>
      <c r="AV167" s="29" cm="1">
        <f t="array" ref="AV167">IF($F$10-$I$3+VLOOKUP($R167,武学奇术!$A:$ZZ,6,FALSE)+SUM(_xlfn.XLOOKUP(S167:AL167,增益!$A:$A,增益!$F:$F,0))&gt;0,($F$10-$I$3+VLOOKUP($R167,武学奇术!$A:$ZZ,6,FALSE)+SUM(_xlfn.XLOOKUP(S167:AL167,增益!$A:$A,增益!$F:$F,0)))/200,($F$10-$I$3+VLOOKUP($R167,武学奇术!$A:$ZZ,6,FALSE)+SUM(_xlfn.XLOOKUP(S167:AL167,增益!$A:$A,增益!$F:$F,0)))/100)</f>
        <v>0.4539</v>
      </c>
      <c r="AW167" s="29" cm="1">
        <f t="array" ref="AW167">$G$10+VLOOKUP($R167,武学奇术!$A:$ZZ,7,FALSE)+SUM(_xlfn.XLOOKUP(S167:AL167,增益!$A:$A,增益!$G:$G,0))</f>
        <v>0.08</v>
      </c>
      <c r="AX167" s="23" cm="1">
        <f t="array" ref="AX167">VLOOKUP($R167,武学奇术!$A:$ZZ,8,FALSE)+SUM(_xlfn.XLOOKUP(S167:AL167,增益!$A:$A,增益!$H:$H,0))</f>
        <v>0</v>
      </c>
      <c r="AY167">
        <f t="shared" si="57"/>
        <v>0</v>
      </c>
      <c r="AZ167">
        <f t="shared" si="58"/>
        <v>0</v>
      </c>
      <c r="BA167" s="29" cm="1">
        <f t="array" ref="BA167">IF($F$11-$I$4+VLOOKUP($R167,武学奇术!$A:$ZZ,9,FALSE)+SUM(_xlfn.XLOOKUP(S167:AL167,增益!$A:$A,增益!$I:$I,0))&gt;0,($F$11-$I$4+VLOOKUP($R167,武学奇术!$A:$ZZ,9,FALSE)+SUM(_xlfn.XLOOKUP(S167:AL167,增益!$A:$A,增益!$I:$I,0)))/200,($F$11-$I$4+VLOOKUP($R167,武学奇术!$A:$ZZ,9,FALSE)+SUM(_xlfn.XLOOKUP(S167:AL167,增益!$A:$A,增益!$I:$I,0)))/100)</f>
        <v>-0.3</v>
      </c>
      <c r="BB167" s="29" cm="1">
        <f t="array" ref="BB167">$G$11+VLOOKUP($R167,武学奇术!$A:$ZZ,10,FALSE)+SUM(_xlfn.XLOOKUP(S167:AL167,增益!$A:$A,增益!$J:$J,0))</f>
        <v>0.02</v>
      </c>
      <c r="BC167">
        <f t="shared" si="59"/>
        <v>0</v>
      </c>
      <c r="BD167">
        <f t="shared" si="60"/>
        <v>0</v>
      </c>
      <c r="BE167" s="29" cm="1">
        <f t="array" ref="BE167">IF($F$12-$I$4+VLOOKUP($R167,武学奇术!$A:$ZZ,11,FALSE)+SUM(_xlfn.XLOOKUP(S167:AL167,增益!$A:$A,增益!$K:$K,0))&gt;0,($F$12-$I$4+VLOOKUP($R167,武学奇术!$A:$ZZ,11,FALSE)+SUM(_xlfn.XLOOKUP(S167:AL167,增益!$A:$A,增益!$K:$K,0)))/200,($F$12-$I$4+VLOOKUP($R167,武学奇术!$A:$ZZ,11,FALSE)+SUM(_xlfn.XLOOKUP(S167:AL167,增益!$A:$A,增益!$K:$K,0)))/100)</f>
        <v>-0.3</v>
      </c>
      <c r="BF167" s="29" cm="1">
        <f t="array" ref="BF167">$G$12+VLOOKUP($R167,武学奇术!$A:$ZZ,12,FALSE)+SUM(_xlfn.XLOOKUP(S167:AL167,增益!$A:$A,增益!$L:$L,0))</f>
        <v>0.02</v>
      </c>
      <c r="BG167">
        <f t="shared" si="61"/>
        <v>0</v>
      </c>
      <c r="BH167">
        <f t="shared" si="62"/>
        <v>0</v>
      </c>
      <c r="BI167" s="29" cm="1">
        <f t="array" ref="BI167">IF($F$13-$I$4+VLOOKUP($R167,武学奇术!$A:$ZZ,13,FALSE)+SUM(_xlfn.XLOOKUP(S167:AL167,增益!$A:$A,增益!$M:$M,0))&gt;0,($F$13-$I$4+VLOOKUP($R167,武学奇术!$A:$ZZ,13,FALSE)+SUM(_xlfn.XLOOKUP(S167:AL167,增益!$A:$A,增益!$K:$K,0)))/200,($F$13-$I$4+VLOOKUP($R167,武学奇术!$A:$ZZ,13,FALSE)+SUM(_xlfn.XLOOKUP(S167:AL167,增益!$A:$A,增益!$M:$M,0)))/100)</f>
        <v>-0.3</v>
      </c>
      <c r="BJ167" s="29" cm="1">
        <f t="array" ref="BJ167">$G$13+VLOOKUP($R167,武学奇术!$A:$ZZ,14,FALSE)+SUM(_xlfn.XLOOKUP(S167:AL167,增益!$A:$A,增益!$N:$N,0))</f>
        <v>0.02</v>
      </c>
      <c r="BK167">
        <f t="shared" si="63"/>
        <v>618.2</v>
      </c>
      <c r="BL167">
        <f t="shared" si="64"/>
        <v>1805</v>
      </c>
      <c r="BM167" s="29" cm="1">
        <f t="array" ref="BM167">IF($F$14-$I$4+VLOOKUP($R167,武学奇术!$A:$ZZ,15,FALSE)+SUM(_xlfn.XLOOKUP(S167:AL167,增益!$A:$A,增益!$O:$O,0))&gt;0,($F$14-$I$4+VLOOKUP($R167,武学奇术!$A:$ZZ,15,FALSE)+SUM(_xlfn.XLOOKUP(S167:AL167,增益!$A:$A,增益!$O:$O,0)))/200,($F$14-$I$4+VLOOKUP($R167,武学奇术!$A:$ZZ,15,FALSE)+SUM(_xlfn.XLOOKUP(S167:AL167,增益!$A:$A,增益!$O:$O,0)))/100)</f>
        <v>0.05</v>
      </c>
      <c r="BN167" s="29" cm="1">
        <f t="array" ref="BN167">$G$14+VLOOKUP($R167,武学奇术!$A:$ZZ,16,FALSE)+SUM(_xlfn.XLOOKUP(S167:AL167,增益!$A:$A,增益!$P:$P,0))</f>
        <v>0.23</v>
      </c>
      <c r="BO167" s="23">
        <f>MIN(IF(VLOOKUP($R167,武学奇术!$A:$ZZ,23,FALSE)=1,100%,$B$8),100%)</f>
        <v>0.9943</v>
      </c>
      <c r="BP167" s="23" cm="1">
        <f t="array" ref="BP167">IF(VLOOKUP($R167,武学奇术!$A:$ZZ,23,FALSE)=1,100%,MIN(80%,$B$9+VLOOKUP($R167,武学奇术!$A:$ZZ,17,FALSE)+SUM(_xlfn.XLOOKUP(S167:AL167,增益!$A:$A,增益!$Q:$Q,0)))+$B$11+SUM(_xlfn.XLOOKUP(S167:AL167,增益!$A:$A,增益!$U:$U,0)))*IF(VLOOKUP($R167,武学奇术!$A:$ZZ,24,FALSE)=1,0,1)</f>
        <v>0.887</v>
      </c>
      <c r="BQ167" s="23" cm="1">
        <f t="array" ref="BQ167">1+$B$13+VLOOKUP($R167,武学奇术!$A:$ZZ,18,FALSE)+SUM(_xlfn.XLOOKUP(S167:AL167,增益!$A:$A,增益!$R:$R,0))</f>
        <v>2.394</v>
      </c>
      <c r="BR167" s="23" cm="1">
        <f t="array" ref="BR167">IF(VLOOKUP($R167,武学奇术!$A:$ZZ,24,FALSE)=1,100%,MIN(40%,$B$10+VLOOKUP($R167,武学奇术!$A:$ZZ,19,FALSE)+SUM(_xlfn.XLOOKUP(S167:AL167,增益!$A:$A,增益!$S:$S,0)))+$B$12+SUM(_xlfn.XLOOKUP(S167:AL167,增益!$A:$A,增益!$V:$V,0)))*IF(VLOOKUP($R167,武学奇术!$A:$ZZ,23,FALSE)=1,0,1)</f>
        <v>0.0913</v>
      </c>
      <c r="BS167" s="23" cm="1">
        <f t="array" ref="BS167">1+$B$14+VLOOKUP($R167,武学奇术!$A:$ZZ,20,FALSE)+SUM(_xlfn.XLOOKUP(S167:AL167,增益!$A:$A,增益!$T:$T,0))</f>
        <v>1.35</v>
      </c>
      <c r="BT167" s="23">
        <f t="shared" si="65"/>
        <v>0.8819441</v>
      </c>
      <c r="BU167" s="23">
        <f t="shared" si="66"/>
        <v>0.0215763099999999</v>
      </c>
      <c r="BV167" s="23">
        <f>IF(VLOOKUP($R167,武学奇术!$A:$ZZ,22,FALSE)=1,0,(1-$BO167))*(1-$BR167)</f>
        <v>0.00517958999999993</v>
      </c>
      <c r="BW167" s="23" cm="1">
        <f t="array" ref="BW167">SUM(_xlfn.XLOOKUP(S167:AL167,增益!$A:$A,增益!$W:$W,0))+$I$5</f>
        <v>0.11</v>
      </c>
      <c r="BX167" s="23">
        <f>VLOOKUP($R167,武学奇术!$A:$ZZ,32,FALSE)</f>
        <v>0.1</v>
      </c>
      <c r="BY167" s="23" cm="1">
        <f t="array" ref="BY167">SUM(_xlfn.XLOOKUP($S167:$AL167,增益!$A:$A,增益!$X:$X,0))</f>
        <v>0</v>
      </c>
    </row>
    <row r="168" spans="11:77">
      <c r="K168" s="35">
        <f>$L168*VLOOKUP($R168,武学奇术!$A:$ZZ,31,FALSE)</f>
        <v>373062.55659193</v>
      </c>
      <c r="L168" s="69">
        <f t="shared" si="56"/>
        <v>365747.604501892</v>
      </c>
      <c r="M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轻击",$B$21,0))*(1+IF(VLOOKUP($R168,武学奇术!$A:$ZZ,30,FALSE)="老鼠",$B$22,0))*(1+$BW168)*(1+$BX168)</f>
        <v>384629.95065282</v>
      </c>
      <c r="N168" s="35">
        <f>(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轻击",$B$21,0))*(1+IF(VLOOKUP($R168,武学奇术!$A:$ZZ,30,FALSE)="老鼠",$B$22,0))*(1+$BW168))*(1+$BX168)</f>
        <v>244612.414172926</v>
      </c>
      <c r="O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轻击",$B$21,0))*(1+IF(VLOOKUP($R168,武学奇术!$A:$ZZ,30,FALSE)="老鼠",$B$22,0))*(1+$BW168)*(1+$BX168)</f>
        <v>160664.139788145</v>
      </c>
      <c r="P168" s="35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轻击",$B$21,0))*(1+IF(VLOOKUP($R168,武学奇术!$A:$ZZ,30,FALSE)="老鼠",$B$22,0))*(1+$BW168)*(1+$BX168)</f>
        <v>140133.898707457</v>
      </c>
      <c r="Q168" s="70">
        <v>11</v>
      </c>
      <c r="R168" s="37" t="s">
        <v>106</v>
      </c>
      <c r="S168" s="37" t="s">
        <v>91</v>
      </c>
      <c r="T168" s="37" t="s">
        <v>185</v>
      </c>
      <c r="U168" s="37" t="s">
        <v>112</v>
      </c>
      <c r="V168" s="37" t="s">
        <v>113</v>
      </c>
      <c r="W168" s="37" t="s">
        <v>82</v>
      </c>
      <c r="X168" s="37" t="s">
        <v>81</v>
      </c>
      <c r="Y168" s="37" t="s">
        <v>109</v>
      </c>
      <c r="Z168" s="37" t="s">
        <v>83</v>
      </c>
      <c r="AA168" s="37" t="s">
        <v>81</v>
      </c>
      <c r="AB168" s="37" t="s">
        <v>81</v>
      </c>
      <c r="AC168" s="37" t="s">
        <v>81</v>
      </c>
      <c r="AD168" s="37" t="s">
        <v>85</v>
      </c>
      <c r="AE168" s="37" t="s">
        <v>86</v>
      </c>
      <c r="AF168" s="37" t="s">
        <v>81</v>
      </c>
      <c r="AG168" s="37" t="s">
        <v>87</v>
      </c>
      <c r="AH168" s="37" t="s">
        <v>88</v>
      </c>
      <c r="AI168" s="37" t="s">
        <v>81</v>
      </c>
      <c r="AJ168" s="37" t="s">
        <v>81</v>
      </c>
      <c r="AK168" s="37" t="s">
        <v>81</v>
      </c>
      <c r="AL168" s="37" t="s">
        <v>81</v>
      </c>
      <c r="AM168" t="str">
        <f>VLOOKUP($R168,武学奇术!$A:$ZZ,25,FALSE)</f>
        <v>绳镖</v>
      </c>
      <c r="AN168" s="23">
        <f>VLOOKUP($R168,武学奇术!$A:$ZZ,26,FALSE)</f>
        <v>0.3675</v>
      </c>
      <c r="AO168" s="24">
        <f>VLOOKUP($R168,武学奇术!$A:$ZZ,27,FALSE)*(1+IF(OR($AM168=$F$4,$AM168=$F$5),$B$23,0))</f>
        <v>0</v>
      </c>
      <c r="AP168" s="23">
        <f>VLOOKUP($R168,武学奇术!$A:$ZZ,28,FALSE)</f>
        <v>0.55125</v>
      </c>
      <c r="AQ168" s="24">
        <f>VLOOKUP($R168,武学奇术!$A:$ZZ,29,FALSE)*(1+IF(OR($AM168=$F$4,$AM168=$F$5),$B$23,0))</f>
        <v>0</v>
      </c>
      <c r="AR168" s="23" cm="1">
        <f t="array" ref="AR168">$G$3+IFERROR(VLOOKUP($AM168,$F$4:$G$7,2,FALSE),0)+VLOOKUP($R168,武学奇术!$A:$ZZ,2,FALSE)+SUM(_xlfn.XLOOKUP($S168:$AL168,增益!$A:$A,增益!$B:$B,0))</f>
        <v>1.5743</v>
      </c>
      <c r="AS168" s="23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4150.4</v>
      </c>
      <c r="AU168" cm="1">
        <f t="array" ref="AU168">$E$10*(1+$AS168)+VLOOKUP($R168,武学奇术!$A:$ZZ,4,FALSE)+SUM(_xlfn.XLOOKUP($S168:$AL168,增益!$A:$A,增益!$D:$D,0))-$I$2</f>
        <v>4150.4</v>
      </c>
      <c r="AV168" s="29" cm="1">
        <f t="array" ref="AV168">IF($F$10-$I$3+VLOOKUP($R168,武学奇术!$A:$ZZ,6,FALSE)+SUM(_xlfn.XLOOKUP(S168:AL168,增益!$A:$A,增益!$F:$F,0))&gt;0,($F$10-$I$3+VLOOKUP($R168,武学奇术!$A:$ZZ,6,FALSE)+SUM(_xlfn.XLOOKUP(S168:AL168,增益!$A:$A,增益!$F:$F,0)))/200,($F$10-$I$3+VLOOKUP($R168,武学奇术!$A:$ZZ,6,FALSE)+SUM(_xlfn.XLOOKUP(S168:AL168,增益!$A:$A,增益!$F:$F,0)))/100)</f>
        <v>0.4539</v>
      </c>
      <c r="AW168" s="29" cm="1">
        <f t="array" ref="AW168">$G$10+VLOOKUP($R168,武学奇术!$A:$ZZ,7,FALSE)+SUM(_xlfn.XLOOKUP(S168:AL168,增益!$A:$A,增益!$G:$G,0))</f>
        <v>0.29</v>
      </c>
      <c r="AX168" s="23" cm="1">
        <f t="array" ref="AX168">VLOOKUP($R168,武学奇术!$A:$ZZ,8,FALSE)+SUM(_xlfn.XLOOKUP(S168:AL168,增益!$A:$A,增益!$H:$H,0))</f>
        <v>0</v>
      </c>
      <c r="AY168">
        <f t="shared" si="57"/>
        <v>0</v>
      </c>
      <c r="AZ168">
        <f t="shared" si="58"/>
        <v>0</v>
      </c>
      <c r="BA168" s="29" cm="1">
        <f t="array" ref="BA168">IF($F$11-$I$4+VLOOKUP($R168,武学奇术!$A:$ZZ,9,FALSE)+SUM(_xlfn.XLOOKUP(S168:AL168,增益!$A:$A,增益!$I:$I,0))&gt;0,($F$11-$I$4+VLOOKUP($R168,武学奇术!$A:$ZZ,9,FALSE)+SUM(_xlfn.XLOOKUP(S168:AL168,增益!$A:$A,增益!$I:$I,0)))/200,($F$11-$I$4+VLOOKUP($R168,武学奇术!$A:$ZZ,9,FALSE)+SUM(_xlfn.XLOOKUP(S168:AL168,增益!$A:$A,增益!$I:$I,0)))/100)</f>
        <v>-0.3</v>
      </c>
      <c r="BB168" s="29" cm="1">
        <f t="array" ref="BB168">$G$11+VLOOKUP($R168,武学奇术!$A:$ZZ,10,FALSE)+SUM(_xlfn.XLOOKUP(S168:AL168,增益!$A:$A,增益!$J:$J,0))</f>
        <v>0.02</v>
      </c>
      <c r="BC168">
        <f t="shared" si="59"/>
        <v>0</v>
      </c>
      <c r="BD168">
        <f t="shared" si="60"/>
        <v>0</v>
      </c>
      <c r="BE168" s="29" cm="1">
        <f t="array" ref="BE168">IF($F$12-$I$4+VLOOKUP($R168,武学奇术!$A:$ZZ,11,FALSE)+SUM(_xlfn.XLOOKUP(S168:AL168,增益!$A:$A,增益!$K:$K,0))&gt;0,($F$12-$I$4+VLOOKUP($R168,武学奇术!$A:$ZZ,11,FALSE)+SUM(_xlfn.XLOOKUP(S168:AL168,增益!$A:$A,增益!$K:$K,0)))/200,($F$12-$I$4+VLOOKUP($R168,武学奇术!$A:$ZZ,11,FALSE)+SUM(_xlfn.XLOOKUP(S168:AL168,增益!$A:$A,增益!$K:$K,0)))/100)</f>
        <v>-0.3</v>
      </c>
      <c r="BF168" s="29" cm="1">
        <f t="array" ref="BF168">$G$12+VLOOKUP($R168,武学奇术!$A:$ZZ,12,FALSE)+SUM(_xlfn.XLOOKUP(S168:AL168,增益!$A:$A,增益!$L:$L,0))</f>
        <v>0.02</v>
      </c>
      <c r="BG168">
        <f t="shared" si="61"/>
        <v>0</v>
      </c>
      <c r="BH168">
        <f t="shared" si="62"/>
        <v>0</v>
      </c>
      <c r="BI168" s="29" cm="1">
        <f t="array" ref="BI168">IF($F$13-$I$4+VLOOKUP($R168,武学奇术!$A:$ZZ,13,FALSE)+SUM(_xlfn.XLOOKUP(S168:AL168,增益!$A:$A,增益!$M:$M,0))&gt;0,($F$13-$I$4+VLOOKUP($R168,武学奇术!$A:$ZZ,13,FALSE)+SUM(_xlfn.XLOOKUP(S168:AL168,增益!$A:$A,增益!$K:$K,0)))/200,($F$13-$I$4+VLOOKUP($R168,武学奇术!$A:$ZZ,13,FALSE)+SUM(_xlfn.XLOOKUP(S168:AL168,增益!$A:$A,增益!$M:$M,0)))/100)</f>
        <v>-0.3</v>
      </c>
      <c r="BJ168" s="29" cm="1">
        <f t="array" ref="BJ168">$G$13+VLOOKUP($R168,武学奇术!$A:$ZZ,14,FALSE)+SUM(_xlfn.XLOOKUP(S168:AL168,增益!$A:$A,增益!$N:$N,0))</f>
        <v>0.02</v>
      </c>
      <c r="BK168">
        <f t="shared" si="63"/>
        <v>618.2</v>
      </c>
      <c r="BL168">
        <f t="shared" si="64"/>
        <v>1805</v>
      </c>
      <c r="BM168" s="29" cm="1">
        <f t="array" ref="BM168">IF($F$14-$I$4+VLOOKUP($R168,武学奇术!$A:$ZZ,15,FALSE)+SUM(_xlfn.XLOOKUP(S168:AL168,增益!$A:$A,增益!$O:$O,0))&gt;0,($F$14-$I$4+VLOOKUP($R168,武学奇术!$A:$ZZ,15,FALSE)+SUM(_xlfn.XLOOKUP(S168:AL168,增益!$A:$A,增益!$O:$O,0)))/200,($F$14-$I$4+VLOOKUP($R168,武学奇术!$A:$ZZ,15,FALSE)+SUM(_xlfn.XLOOKUP(S168:AL168,增益!$A:$A,增益!$O:$O,0)))/100)</f>
        <v>0.05</v>
      </c>
      <c r="BN168" s="29" cm="1">
        <f t="array" ref="BN168">$G$14+VLOOKUP($R168,武学奇术!$A:$ZZ,16,FALSE)+SUM(_xlfn.XLOOKUP(S168:AL168,增益!$A:$A,增益!$P:$P,0))</f>
        <v>0.44</v>
      </c>
      <c r="BO168" s="23">
        <f>MIN(IF(VLOOKUP($R168,武学奇术!$A:$ZZ,23,FALSE)=1,100%,$B$8),100%)</f>
        <v>0.9943</v>
      </c>
      <c r="BP168" s="23" cm="1">
        <f t="array" ref="BP168">IF(VLOOKUP($R168,武学奇术!$A:$ZZ,23,FALSE)=1,100%,MIN(80%,$B$9+VLOOKUP($R168,武学奇术!$A:$ZZ,17,FALSE)+SUM(_xlfn.XLOOKUP(S168:AL168,增益!$A:$A,增益!$Q:$Q,0)))+$B$11+SUM(_xlfn.XLOOKUP(S168:AL168,增益!$A:$A,增益!$U:$U,0)))*IF(VLOOKUP($R168,武学奇术!$A:$ZZ,24,FALSE)=1,0,1)</f>
        <v>0.887</v>
      </c>
      <c r="BQ168" s="23" cm="1">
        <f t="array" ref="BQ168">1+$B$13+VLOOKUP($R168,武学奇术!$A:$ZZ,18,FALSE)+SUM(_xlfn.XLOOKUP(S168:AL168,增益!$A:$A,增益!$R:$R,0))</f>
        <v>2.394</v>
      </c>
      <c r="BR168" s="23" cm="1">
        <f t="array" ref="BR168">IF(VLOOKUP($R168,武学奇术!$A:$ZZ,24,FALSE)=1,100%,MIN(40%,$B$10+VLOOKUP($R168,武学奇术!$A:$ZZ,19,FALSE)+SUM(_xlfn.XLOOKUP(S168:AL168,增益!$A:$A,增益!$S:$S,0)))+$B$12+SUM(_xlfn.XLOOKUP(S168:AL168,增益!$A:$A,增益!$V:$V,0)))*IF(VLOOKUP($R168,武学奇术!$A:$ZZ,23,FALSE)=1,0,1)</f>
        <v>0.0913</v>
      </c>
      <c r="BS168" s="23" cm="1">
        <f t="array" ref="BS168">1+$B$14+VLOOKUP($R168,武学奇术!$A:$ZZ,20,FALSE)+SUM(_xlfn.XLOOKUP(S168:AL168,增益!$A:$A,增益!$T:$T,0))</f>
        <v>1.35</v>
      </c>
      <c r="BT168" s="23">
        <f t="shared" si="65"/>
        <v>0.8819441</v>
      </c>
      <c r="BU168" s="23">
        <f t="shared" si="66"/>
        <v>0.0215763099999999</v>
      </c>
      <c r="BV168" s="23">
        <f>IF(VLOOKUP($R168,武学奇术!$A:$ZZ,22,FALSE)=1,0,(1-$BO168))*(1-$BR168)</f>
        <v>0.00517958999999993</v>
      </c>
      <c r="BW168" s="23" cm="1">
        <f t="array" ref="BW168">SUM(_xlfn.XLOOKUP(S168:AL168,增益!$A:$A,增益!$W:$W,0))+$I$5</f>
        <v>0.11</v>
      </c>
      <c r="BX168" s="23">
        <f>VLOOKUP($R168,武学奇术!$A:$ZZ,32,FALSE)</f>
        <v>0</v>
      </c>
      <c r="BY168" s="23" cm="1">
        <f t="array" ref="BY168">SUM(_xlfn.XLOOKUP($S168:$AL168,增益!$A:$A,增益!$X:$X,0))</f>
        <v>0</v>
      </c>
    </row>
    <row r="169" spans="11:77">
      <c r="K169" s="35">
        <f>$L169*VLOOKUP($R169,武学奇术!$A:$ZZ,31,FALSE)</f>
        <v>54661.5963988206</v>
      </c>
      <c r="L169" s="35">
        <f t="shared" si="56"/>
        <v>53589.8003910006</v>
      </c>
      <c r="M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轻击",$B$21,0))*(1+IF(VLOOKUP($R169,武学奇术!$A:$ZZ,30,FALSE)="老鼠",$B$22,0))*(1+$BW169)*(1+$BX169)</f>
        <v>56382.7195293127</v>
      </c>
      <c r="N169" s="35">
        <f>(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轻击",$B$21,0))*(1+IF(VLOOKUP($R169,武学奇术!$A:$ZZ,30,FALSE)="老鼠",$B$22,0))*(1+$BW169))*(1+$BX169)</f>
        <v>35572.1809796332</v>
      </c>
      <c r="O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轻击",$B$21,0))*(1+IF(VLOOKUP($R169,武学奇术!$A:$ZZ,30,FALSE)="老鼠",$B$22,0))*(1+$BW169)*(1+$BX169)</f>
        <v>23551.6790013838</v>
      </c>
      <c r="P169" s="35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轻击",$B$21,0))*(1+IF(VLOOKUP($R169,武学奇术!$A:$ZZ,30,FALSE)="老鼠",$B$22,0))*(1+$BW169)*(1+$BX169)</f>
        <v>20753.5943141503</v>
      </c>
      <c r="Q169" s="36">
        <v>1</v>
      </c>
      <c r="R169" s="37" t="s">
        <v>160</v>
      </c>
      <c r="S169" s="37" t="s">
        <v>91</v>
      </c>
      <c r="T169" s="37" t="s">
        <v>185</v>
      </c>
      <c r="U169" s="37" t="s">
        <v>81</v>
      </c>
      <c r="V169" s="37" t="s">
        <v>81</v>
      </c>
      <c r="W169" s="37" t="s">
        <v>82</v>
      </c>
      <c r="X169" s="37" t="s">
        <v>81</v>
      </c>
      <c r="Y169" s="37" t="s">
        <v>81</v>
      </c>
      <c r="Z169" s="37" t="s">
        <v>83</v>
      </c>
      <c r="AA169" s="37" t="s">
        <v>84</v>
      </c>
      <c r="AB169" s="37" t="s">
        <v>81</v>
      </c>
      <c r="AC169" s="37" t="s">
        <v>81</v>
      </c>
      <c r="AD169" s="37" t="s">
        <v>85</v>
      </c>
      <c r="AE169" s="37" t="s">
        <v>86</v>
      </c>
      <c r="AF169" s="37" t="s">
        <v>81</v>
      </c>
      <c r="AG169" s="37" t="s">
        <v>87</v>
      </c>
      <c r="AH169" s="37" t="s">
        <v>88</v>
      </c>
      <c r="AI169" s="37" t="s">
        <v>81</v>
      </c>
      <c r="AJ169" s="37" t="s">
        <v>81</v>
      </c>
      <c r="AK169" s="37" t="s">
        <v>81</v>
      </c>
      <c r="AL169" s="37" t="s">
        <v>81</v>
      </c>
      <c r="AM169" t="str">
        <f>VLOOKUP($R169,武学奇术!$A:$ZZ,25,FALSE)</f>
        <v>双刀</v>
      </c>
      <c r="AN169" s="23">
        <f>VLOOKUP($R169,武学奇术!$A:$ZZ,26,FALSE)</f>
        <v>1.3548</v>
      </c>
      <c r="AO169" s="24">
        <f>VLOOKUP($R169,武学奇术!$A:$ZZ,27,FALSE)*(1+IF(OR($AM169=$F$4,$AM169=$F$5),$B$23,0))</f>
        <v>601.6</v>
      </c>
      <c r="AP169" s="23">
        <f>VLOOKUP($R169,武学奇术!$A:$ZZ,28,FALSE)</f>
        <v>2.0322</v>
      </c>
      <c r="AQ169" s="24">
        <f>VLOOKUP($R169,武学奇术!$A:$ZZ,29,FALSE)*(1+IF(OR($AM169=$F$4,$AM169=$F$5),$B$23,0))</f>
        <v>328</v>
      </c>
      <c r="AR169" s="23" cm="1">
        <f t="array" ref="AR169">$G$3+IFERROR(VLOOKUP($AM169,$F$4:$G$7,2,FALSE),0)+VLOOKUP($R169,武学奇术!$A:$ZZ,2,FALSE)+SUM(_xlfn.XLOOKUP($S169:$AL169,增益!$A:$A,增益!$B:$B,0))</f>
        <v>0.6543</v>
      </c>
      <c r="AS169" s="23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4081.7</v>
      </c>
      <c r="AU169" cm="1">
        <f t="array" ref="AU169">$E$10*(1+$AS169)+VLOOKUP($R169,武学奇术!$A:$ZZ,4,FALSE)+SUM(_xlfn.XLOOKUP($S169:$AL169,增益!$A:$A,增益!$D:$D,0))-$I$2</f>
        <v>4081.7</v>
      </c>
      <c r="AV169" s="29" cm="1">
        <f t="array" ref="AV169">IF($F$10-$I$3+VLOOKUP($R169,武学奇术!$A:$ZZ,6,FALSE)+SUM(_xlfn.XLOOKUP(S169:AL169,增益!$A:$A,增益!$F:$F,0))&gt;0,($F$10-$I$3+VLOOKUP($R169,武学奇术!$A:$ZZ,6,FALSE)+SUM(_xlfn.XLOOKUP(S169:AL169,增益!$A:$A,增益!$F:$F,0)))/200,($F$10-$I$3+VLOOKUP($R169,武学奇术!$A:$ZZ,6,FALSE)+SUM(_xlfn.XLOOKUP(S169:AL169,增益!$A:$A,增益!$F:$F,0)))/100)</f>
        <v>0.4539</v>
      </c>
      <c r="AW169" s="29" cm="1">
        <f t="array" ref="AW169">$G$10+VLOOKUP($R169,武学奇术!$A:$ZZ,7,FALSE)+SUM(_xlfn.XLOOKUP(S169:AL169,增益!$A:$A,增益!$G:$G,0))</f>
        <v>0.02</v>
      </c>
      <c r="AX169" s="23" cm="1">
        <f t="array" ref="AX169">VLOOKUP($R169,武学奇术!$A:$ZZ,8,FALSE)+SUM(_xlfn.XLOOKUP(S169:AL169,增益!$A:$A,增益!$H:$H,0))</f>
        <v>0</v>
      </c>
      <c r="AY169">
        <f t="shared" si="57"/>
        <v>0</v>
      </c>
      <c r="AZ169">
        <f t="shared" si="58"/>
        <v>0</v>
      </c>
      <c r="BA169" s="29" cm="1">
        <f t="array" ref="BA169">IF($F$11-$I$4+VLOOKUP($R169,武学奇术!$A:$ZZ,9,FALSE)+SUM(_xlfn.XLOOKUP(S169:AL169,增益!$A:$A,增益!$I:$I,0))&gt;0,($F$11-$I$4+VLOOKUP($R169,武学奇术!$A:$ZZ,9,FALSE)+SUM(_xlfn.XLOOKUP(S169:AL169,增益!$A:$A,增益!$I:$I,0)))/200,($F$11-$I$4+VLOOKUP($R169,武学奇术!$A:$ZZ,9,FALSE)+SUM(_xlfn.XLOOKUP(S169:AL169,增益!$A:$A,增益!$I:$I,0)))/100)</f>
        <v>-0.14</v>
      </c>
      <c r="BB169" s="29" cm="1">
        <f t="array" ref="BB169">$G$11+VLOOKUP($R169,武学奇术!$A:$ZZ,10,FALSE)+SUM(_xlfn.XLOOKUP(S169:AL169,增益!$A:$A,增益!$J:$J,0))</f>
        <v>0.02</v>
      </c>
      <c r="BC169">
        <f t="shared" si="59"/>
        <v>0</v>
      </c>
      <c r="BD169">
        <f t="shared" si="60"/>
        <v>0</v>
      </c>
      <c r="BE169" s="29" cm="1">
        <f t="array" ref="BE169">IF($F$12-$I$4+VLOOKUP($R169,武学奇术!$A:$ZZ,11,FALSE)+SUM(_xlfn.XLOOKUP(S169:AL169,增益!$A:$A,增益!$K:$K,0))&gt;0,($F$12-$I$4+VLOOKUP($R169,武学奇术!$A:$ZZ,11,FALSE)+SUM(_xlfn.XLOOKUP(S169:AL169,增益!$A:$A,增益!$K:$K,0)))/200,($F$12-$I$4+VLOOKUP($R169,武学奇术!$A:$ZZ,11,FALSE)+SUM(_xlfn.XLOOKUP(S169:AL169,增益!$A:$A,增益!$K:$K,0)))/100)</f>
        <v>-0.14</v>
      </c>
      <c r="BF169" s="29" cm="1">
        <f t="array" ref="BF169">$G$12+VLOOKUP($R169,武学奇术!$A:$ZZ,12,FALSE)+SUM(_xlfn.XLOOKUP(S169:AL169,增益!$A:$A,增益!$L:$L,0))</f>
        <v>0.02</v>
      </c>
      <c r="BG169">
        <f t="shared" si="61"/>
        <v>0</v>
      </c>
      <c r="BH169">
        <f t="shared" si="62"/>
        <v>0</v>
      </c>
      <c r="BI169" s="29" cm="1">
        <f t="array" ref="BI169">IF($F$13-$I$4+VLOOKUP($R169,武学奇术!$A:$ZZ,13,FALSE)+SUM(_xlfn.XLOOKUP(S169:AL169,增益!$A:$A,增益!$M:$M,0))&gt;0,($F$13-$I$4+VLOOKUP($R169,武学奇术!$A:$ZZ,13,FALSE)+SUM(_xlfn.XLOOKUP(S169:AL169,增益!$A:$A,增益!$K:$K,0)))/200,($F$13-$I$4+VLOOKUP($R169,武学奇术!$A:$ZZ,13,FALSE)+SUM(_xlfn.XLOOKUP(S169:AL169,增益!$A:$A,增益!$M:$M,0)))/100)</f>
        <v>-0.14</v>
      </c>
      <c r="BJ169" s="29" cm="1">
        <f t="array" ref="BJ169">$G$13+VLOOKUP($R169,武学奇术!$A:$ZZ,14,FALSE)+SUM(_xlfn.XLOOKUP(S169:AL169,增益!$A:$A,增益!$N:$N,0))</f>
        <v>0.02</v>
      </c>
      <c r="BK169">
        <f t="shared" si="63"/>
        <v>618.2</v>
      </c>
      <c r="BL169">
        <f t="shared" si="64"/>
        <v>1805</v>
      </c>
      <c r="BM169" s="29" cm="1">
        <f t="array" ref="BM169">IF($F$14-$I$4+VLOOKUP($R169,武学奇术!$A:$ZZ,15,FALSE)+SUM(_xlfn.XLOOKUP(S169:AL169,增益!$A:$A,增益!$O:$O,0))&gt;0,($F$14-$I$4+VLOOKUP($R169,武学奇术!$A:$ZZ,15,FALSE)+SUM(_xlfn.XLOOKUP(S169:AL169,增益!$A:$A,增益!$O:$O,0)))/200,($F$14-$I$4+VLOOKUP($R169,武学奇术!$A:$ZZ,15,FALSE)+SUM(_xlfn.XLOOKUP(S169:AL169,增益!$A:$A,增益!$O:$O,0)))/100)</f>
        <v>0.08</v>
      </c>
      <c r="BN169" s="29" cm="1">
        <f t="array" ref="BN169">$G$14+VLOOKUP($R169,武学奇术!$A:$ZZ,16,FALSE)+SUM(_xlfn.XLOOKUP(S169:AL169,增益!$A:$A,增益!$P:$P,0))</f>
        <v>0.17</v>
      </c>
      <c r="BO169" s="23">
        <f>MIN(IF(VLOOKUP($R169,武学奇术!$A:$ZZ,23,FALSE)=1,100%,$B$8),100%)</f>
        <v>0.9943</v>
      </c>
      <c r="BP169" s="23" cm="1">
        <f t="array" ref="BP169">IF(VLOOKUP($R169,武学奇术!$A:$ZZ,23,FALSE)=1,100%,MIN(80%,$B$9+VLOOKUP($R169,武学奇术!$A:$ZZ,17,FALSE)+SUM(_xlfn.XLOOKUP(S169:AL169,增益!$A:$A,增益!$Q:$Q,0)))+$B$11+SUM(_xlfn.XLOOKUP(S169:AL169,增益!$A:$A,增益!$U:$U,0)))*IF(VLOOKUP($R169,武学奇术!$A:$ZZ,24,FALSE)=1,0,1)</f>
        <v>0.887</v>
      </c>
      <c r="BQ169" s="23" cm="1">
        <f t="array" ref="BQ169">1+$B$13+VLOOKUP($R169,武学奇术!$A:$ZZ,18,FALSE)+SUM(_xlfn.XLOOKUP(S169:AL169,增益!$A:$A,增益!$R:$R,0))</f>
        <v>2.394</v>
      </c>
      <c r="BR169" s="23" cm="1">
        <f t="array" ref="BR169">IF(VLOOKUP($R169,武学奇术!$A:$ZZ,24,FALSE)=1,100%,MIN(40%,$B$10+VLOOKUP($R169,武学奇术!$A:$ZZ,19,FALSE)+SUM(_xlfn.XLOOKUP(S169:AL169,增益!$A:$A,增益!$S:$S,0)))+$B$12+SUM(_xlfn.XLOOKUP(S169:AL169,增益!$A:$A,增益!$V:$V,0)))*IF(VLOOKUP($R169,武学奇术!$A:$ZZ,23,FALSE)=1,0,1)</f>
        <v>0.0913</v>
      </c>
      <c r="BS169" s="23" cm="1">
        <f t="array" ref="BS169">1+$B$14+VLOOKUP($R169,武学奇术!$A:$ZZ,20,FALSE)+SUM(_xlfn.XLOOKUP(S169:AL169,增益!$A:$A,增益!$T:$T,0))</f>
        <v>1.35</v>
      </c>
      <c r="BT169" s="23">
        <f t="shared" si="65"/>
        <v>0.8819441</v>
      </c>
      <c r="BU169" s="23">
        <f t="shared" si="66"/>
        <v>0.0215763099999999</v>
      </c>
      <c r="BV169" s="23">
        <f>IF(VLOOKUP($R169,武学奇术!$A:$ZZ,22,FALSE)=1,0,(1-$BO169))*(1-$BR169)</f>
        <v>0.00517958999999993</v>
      </c>
      <c r="BW169" s="23" cm="1">
        <f t="array" ref="BW169">SUM(_xlfn.XLOOKUP(S169:AL169,增益!$A:$A,增益!$W:$W,0))+$I$5</f>
        <v>0.11</v>
      </c>
      <c r="BX169" s="23">
        <f>VLOOKUP($R169,武学奇术!$A:$ZZ,32,FALSE)</f>
        <v>0</v>
      </c>
      <c r="BY169" s="23" cm="1">
        <f t="array" ref="BY169">SUM(_xlfn.XLOOKUP($S169:$AL169,增益!$A:$A,增益!$X:$X,0))</f>
        <v>0</v>
      </c>
    </row>
    <row r="170" spans="11:77">
      <c r="K170" s="35">
        <f>$L170*VLOOKUP($R170,武学奇术!$A:$ZZ,31,FALSE)</f>
        <v>36617.9022216122</v>
      </c>
      <c r="L170" s="35">
        <f t="shared" si="56"/>
        <v>32694.5555550109</v>
      </c>
      <c r="M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轻击",$B$21,0))*(1+IF(VLOOKUP($R170,武学奇术!$A:$ZZ,30,FALSE)="老鼠",$B$22,0))*(1+$BW170)*(1+$BX170)</f>
        <v>34395.0432350939</v>
      </c>
      <c r="N170" s="35">
        <f>(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轻击",$B$21,0))*(1+IF(VLOOKUP($R170,武学奇术!$A:$ZZ,30,FALSE)="老鼠",$B$22,0))*(1+$BW170))*(1+$BX170)</f>
        <v>21737.4339291709</v>
      </c>
      <c r="O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轻击",$B$21,0))*(1+IF(VLOOKUP($R170,武学奇术!$A:$ZZ,30,FALSE)="老鼠",$B$22,0))*(1+$BW170)*(1+$BX170)</f>
        <v>14367.1859795714</v>
      </c>
      <c r="P170" s="35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轻击",$B$21,0))*(1+IF(VLOOKUP($R170,武学奇术!$A:$ZZ,30,FALSE)="老鼠",$B$22,0))*(1+$BW170)*(1+$BX170)</f>
        <v>12632.5690486458</v>
      </c>
      <c r="Q170" s="36">
        <v>1</v>
      </c>
      <c r="R170" s="37" t="s">
        <v>139</v>
      </c>
      <c r="S170" s="37" t="s">
        <v>91</v>
      </c>
      <c r="T170" s="37" t="s">
        <v>185</v>
      </c>
      <c r="U170" s="37" t="s">
        <v>112</v>
      </c>
      <c r="V170" s="37" t="s">
        <v>113</v>
      </c>
      <c r="W170" s="37" t="s">
        <v>82</v>
      </c>
      <c r="X170" s="37" t="s">
        <v>81</v>
      </c>
      <c r="Y170" s="37" t="s">
        <v>109</v>
      </c>
      <c r="Z170" s="37" t="s">
        <v>83</v>
      </c>
      <c r="AA170" s="37" t="s">
        <v>84</v>
      </c>
      <c r="AB170" s="37" t="s">
        <v>81</v>
      </c>
      <c r="AC170" s="37" t="s">
        <v>81</v>
      </c>
      <c r="AD170" s="37" t="s">
        <v>85</v>
      </c>
      <c r="AE170" s="37" t="s">
        <v>86</v>
      </c>
      <c r="AF170" s="37" t="s">
        <v>81</v>
      </c>
      <c r="AG170" s="37" t="s">
        <v>87</v>
      </c>
      <c r="AH170" s="37" t="s">
        <v>88</v>
      </c>
      <c r="AI170" s="37" t="s">
        <v>81</v>
      </c>
      <c r="AJ170" s="37" t="s">
        <v>81</v>
      </c>
      <c r="AK170" s="37" t="s">
        <v>81</v>
      </c>
      <c r="AL170" s="37" t="s">
        <v>81</v>
      </c>
      <c r="AM170" t="str">
        <f>VLOOKUP($R170,武学奇术!$A:$ZZ,25,FALSE)</f>
        <v>双刀</v>
      </c>
      <c r="AN170" s="23">
        <f>VLOOKUP($R170,武学奇术!$A:$ZZ,26,FALSE)</f>
        <v>0.6472</v>
      </c>
      <c r="AO170" s="24">
        <f>VLOOKUP($R170,武学奇术!$A:$ZZ,27,FALSE)*(1+IF(OR($AM170=$F$4,$AM170=$F$5),$B$23,0))</f>
        <v>288</v>
      </c>
      <c r="AP170" s="23">
        <f>VLOOKUP($R170,武学奇术!$A:$ZZ,28,FALSE)</f>
        <v>0.9708</v>
      </c>
      <c r="AQ170" s="24">
        <f>VLOOKUP($R170,武学奇术!$A:$ZZ,29,FALSE)*(1+IF(OR($AM170=$F$4,$AM170=$F$5),$B$23,0))</f>
        <v>156.8</v>
      </c>
      <c r="AR170" s="23" cm="1">
        <f t="array" ref="AR170">$G$3+IFERROR(VLOOKUP($AM170,$F$4:$G$7,2,FALSE),0)+VLOOKUP($R170,武学奇术!$A:$ZZ,2,FALSE)+SUM(_xlfn.XLOOKUP($S170:$AL170,增益!$A:$A,增益!$B:$B,0))</f>
        <v>0.7743</v>
      </c>
      <c r="AS170" s="23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4150.4</v>
      </c>
      <c r="AU170" cm="1">
        <f t="array" ref="AU170">$E$10*(1+$AS170)+VLOOKUP($R170,武学奇术!$A:$ZZ,4,FALSE)+SUM(_xlfn.XLOOKUP($S170:$AL170,增益!$A:$A,增益!$D:$D,0))-$I$2</f>
        <v>4150.4</v>
      </c>
      <c r="AV170" s="29" cm="1">
        <f t="array" ref="AV170">IF($F$10-$I$3+VLOOKUP($R170,武学奇术!$A:$ZZ,6,FALSE)+SUM(_xlfn.XLOOKUP(S170:AL170,增益!$A:$A,增益!$F:$F,0))&gt;0,($F$10-$I$3+VLOOKUP($R170,武学奇术!$A:$ZZ,6,FALSE)+SUM(_xlfn.XLOOKUP(S170:AL170,增益!$A:$A,增益!$F:$F,0)))/200,($F$10-$I$3+VLOOKUP($R170,武学奇术!$A:$ZZ,6,FALSE)+SUM(_xlfn.XLOOKUP(S170:AL170,增益!$A:$A,增益!$F:$F,0)))/100)</f>
        <v>0.4539</v>
      </c>
      <c r="AW170" s="29" cm="1">
        <f t="array" ref="AW170">$G$10+VLOOKUP($R170,武学奇术!$A:$ZZ,7,FALSE)+SUM(_xlfn.XLOOKUP(S170:AL170,增益!$A:$A,增益!$G:$G,0))</f>
        <v>0.08</v>
      </c>
      <c r="AX170" s="23" cm="1">
        <f t="array" ref="AX170">VLOOKUP($R170,武学奇术!$A:$ZZ,8,FALSE)+SUM(_xlfn.XLOOKUP(S170:AL170,增益!$A:$A,增益!$H:$H,0))</f>
        <v>0</v>
      </c>
      <c r="AY170">
        <f t="shared" si="57"/>
        <v>0</v>
      </c>
      <c r="AZ170">
        <f t="shared" si="58"/>
        <v>0</v>
      </c>
      <c r="BA170" s="29" cm="1">
        <f t="array" ref="BA170">IF($F$11-$I$4+VLOOKUP($R170,武学奇术!$A:$ZZ,9,FALSE)+SUM(_xlfn.XLOOKUP(S170:AL170,增益!$A:$A,增益!$I:$I,0))&gt;0,($F$11-$I$4+VLOOKUP($R170,武学奇术!$A:$ZZ,9,FALSE)+SUM(_xlfn.XLOOKUP(S170:AL170,增益!$A:$A,增益!$I:$I,0)))/200,($F$11-$I$4+VLOOKUP($R170,武学奇术!$A:$ZZ,9,FALSE)+SUM(_xlfn.XLOOKUP(S170:AL170,增益!$A:$A,增益!$I:$I,0)))/100)</f>
        <v>-0.14</v>
      </c>
      <c r="BB170" s="29" cm="1">
        <f t="array" ref="BB170">$G$11+VLOOKUP($R170,武学奇术!$A:$ZZ,10,FALSE)+SUM(_xlfn.XLOOKUP(S170:AL170,增益!$A:$A,增益!$J:$J,0))</f>
        <v>0.02</v>
      </c>
      <c r="BC170">
        <f t="shared" si="59"/>
        <v>0</v>
      </c>
      <c r="BD170">
        <f t="shared" si="60"/>
        <v>0</v>
      </c>
      <c r="BE170" s="29" cm="1">
        <f t="array" ref="BE170">IF($F$12-$I$4+VLOOKUP($R170,武学奇术!$A:$ZZ,11,FALSE)+SUM(_xlfn.XLOOKUP(S170:AL170,增益!$A:$A,增益!$K:$K,0))&gt;0,($F$12-$I$4+VLOOKUP($R170,武学奇术!$A:$ZZ,11,FALSE)+SUM(_xlfn.XLOOKUP(S170:AL170,增益!$A:$A,增益!$K:$K,0)))/200,($F$12-$I$4+VLOOKUP($R170,武学奇术!$A:$ZZ,11,FALSE)+SUM(_xlfn.XLOOKUP(S170:AL170,增益!$A:$A,增益!$K:$K,0)))/100)</f>
        <v>-0.14</v>
      </c>
      <c r="BF170" s="29" cm="1">
        <f t="array" ref="BF170">$G$12+VLOOKUP($R170,武学奇术!$A:$ZZ,12,FALSE)+SUM(_xlfn.XLOOKUP(S170:AL170,增益!$A:$A,增益!$L:$L,0))</f>
        <v>0.02</v>
      </c>
      <c r="BG170">
        <f t="shared" si="61"/>
        <v>0</v>
      </c>
      <c r="BH170">
        <f t="shared" si="62"/>
        <v>0</v>
      </c>
      <c r="BI170" s="29" cm="1">
        <f t="array" ref="BI170">IF($F$13-$I$4+VLOOKUP($R170,武学奇术!$A:$ZZ,13,FALSE)+SUM(_xlfn.XLOOKUP(S170:AL170,增益!$A:$A,增益!$M:$M,0))&gt;0,($F$13-$I$4+VLOOKUP($R170,武学奇术!$A:$ZZ,13,FALSE)+SUM(_xlfn.XLOOKUP(S170:AL170,增益!$A:$A,增益!$K:$K,0)))/200,($F$13-$I$4+VLOOKUP($R170,武学奇术!$A:$ZZ,13,FALSE)+SUM(_xlfn.XLOOKUP(S170:AL170,增益!$A:$A,增益!$M:$M,0)))/100)</f>
        <v>-0.14</v>
      </c>
      <c r="BJ170" s="29" cm="1">
        <f t="array" ref="BJ170">$G$13+VLOOKUP($R170,武学奇术!$A:$ZZ,14,FALSE)+SUM(_xlfn.XLOOKUP(S170:AL170,增益!$A:$A,增益!$N:$N,0))</f>
        <v>0.02</v>
      </c>
      <c r="BK170">
        <f t="shared" si="63"/>
        <v>618.2</v>
      </c>
      <c r="BL170">
        <f t="shared" si="64"/>
        <v>1805</v>
      </c>
      <c r="BM170" s="29" cm="1">
        <f t="array" ref="BM170">IF($F$14-$I$4+VLOOKUP($R170,武学奇术!$A:$ZZ,15,FALSE)+SUM(_xlfn.XLOOKUP(S170:AL170,增益!$A:$A,增益!$O:$O,0))&gt;0,($F$14-$I$4+VLOOKUP($R170,武学奇术!$A:$ZZ,15,FALSE)+SUM(_xlfn.XLOOKUP(S170:AL170,增益!$A:$A,增益!$O:$O,0)))/200,($F$14-$I$4+VLOOKUP($R170,武学奇术!$A:$ZZ,15,FALSE)+SUM(_xlfn.XLOOKUP(S170:AL170,增益!$A:$A,增益!$O:$O,0)))/100)</f>
        <v>0.13</v>
      </c>
      <c r="BN170" s="29" cm="1">
        <f t="array" ref="BN170">$G$14+VLOOKUP($R170,武学奇术!$A:$ZZ,16,FALSE)+SUM(_xlfn.XLOOKUP(S170:AL170,增益!$A:$A,增益!$P:$P,0))</f>
        <v>0.23</v>
      </c>
      <c r="BO170" s="23">
        <f>MIN(IF(VLOOKUP($R170,武学奇术!$A:$ZZ,23,FALSE)=1,100%,$B$8),100%)</f>
        <v>0.9943</v>
      </c>
      <c r="BP170" s="23" cm="1">
        <f t="array" ref="BP170">IF(VLOOKUP($R170,武学奇术!$A:$ZZ,23,FALSE)=1,100%,MIN(80%,$B$9+VLOOKUP($R170,武学奇术!$A:$ZZ,17,FALSE)+SUM(_xlfn.XLOOKUP(S170:AL170,增益!$A:$A,增益!$Q:$Q,0)))+$B$11+SUM(_xlfn.XLOOKUP(S170:AL170,增益!$A:$A,增益!$U:$U,0)))*IF(VLOOKUP($R170,武学奇术!$A:$ZZ,24,FALSE)=1,0,1)</f>
        <v>0.887</v>
      </c>
      <c r="BQ170" s="23" cm="1">
        <f t="array" ref="BQ170">1+$B$13+VLOOKUP($R170,武学奇术!$A:$ZZ,18,FALSE)+SUM(_xlfn.XLOOKUP(S170:AL170,增益!$A:$A,增益!$R:$R,0))</f>
        <v>2.394</v>
      </c>
      <c r="BR170" s="23" cm="1">
        <f t="array" ref="BR170">IF(VLOOKUP($R170,武学奇术!$A:$ZZ,24,FALSE)=1,100%,MIN(40%,$B$10+VLOOKUP($R170,武学奇术!$A:$ZZ,19,FALSE)+SUM(_xlfn.XLOOKUP(S170:AL170,增益!$A:$A,增益!$S:$S,0)))+$B$12+SUM(_xlfn.XLOOKUP(S170:AL170,增益!$A:$A,增益!$V:$V,0)))*IF(VLOOKUP($R170,武学奇术!$A:$ZZ,23,FALSE)=1,0,1)</f>
        <v>0.0913</v>
      </c>
      <c r="BS170" s="23" cm="1">
        <f t="array" ref="BS170">1+$B$14+VLOOKUP($R170,武学奇术!$A:$ZZ,20,FALSE)+SUM(_xlfn.XLOOKUP(S170:AL170,增益!$A:$A,增益!$T:$T,0))</f>
        <v>1.35</v>
      </c>
      <c r="BT170" s="23">
        <f t="shared" si="65"/>
        <v>0.8819441</v>
      </c>
      <c r="BU170" s="23">
        <f t="shared" si="66"/>
        <v>0.0215763099999999</v>
      </c>
      <c r="BV170" s="23">
        <f>IF(VLOOKUP($R170,武学奇术!$A:$ZZ,22,FALSE)=1,0,(1-$BO170))*(1-$BR170)</f>
        <v>0.00517958999999993</v>
      </c>
      <c r="BW170" s="23" cm="1">
        <f t="array" ref="BW170">SUM(_xlfn.XLOOKUP(S170:AL170,增益!$A:$A,增益!$W:$W,0))+$I$5</f>
        <v>0.11</v>
      </c>
      <c r="BX170" s="23">
        <f>VLOOKUP($R170,武学奇术!$A:$ZZ,32,FALSE)</f>
        <v>0.1</v>
      </c>
      <c r="BY170" s="23" cm="1">
        <f t="array" ref="BY170">SUM(_xlfn.XLOOKUP($S170:$AL170,增益!$A:$A,增益!$X:$X,0))</f>
        <v>0</v>
      </c>
    </row>
    <row r="171" spans="11:77">
      <c r="K171" s="35">
        <f>$L171*VLOOKUP($R171,武学奇术!$A:$ZZ,31,FALSE)</f>
        <v>50971.6580960708</v>
      </c>
      <c r="L171" s="35">
        <f t="shared" si="56"/>
        <v>45510.409014349</v>
      </c>
      <c r="M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轻击",$B$21,0))*(1+IF(VLOOKUP($R171,武学奇术!$A:$ZZ,30,FALSE)="老鼠",$B$22,0))*(1+$BW171)*(1+$BX171)</f>
        <v>47877.3639826138</v>
      </c>
      <c r="N171" s="35">
        <f>(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轻击",$B$21,0))*(1+IF(VLOOKUP($R171,武学奇术!$A:$ZZ,30,FALSE)="老鼠",$B$22,0))*(1+$BW171))*(1+$BX171)</f>
        <v>30259.2824524956</v>
      </c>
      <c r="O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轻击",$B$21,0))*(1+IF(VLOOKUP($R171,武学奇术!$A:$ZZ,30,FALSE)="老鼠",$B$22,0))*(1+$BW171)*(1+$BX171)</f>
        <v>19998.8989066892</v>
      </c>
      <c r="P171" s="35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轻击",$B$21,0))*(1+IF(VLOOKUP($R171,武学奇术!$A:$ZZ,30,FALSE)="老鼠",$B$22,0))*(1+$BW171)*(1+$BX171)</f>
        <v>17583.5145152335</v>
      </c>
      <c r="Q171" s="36">
        <v>1</v>
      </c>
      <c r="R171" s="37" t="s">
        <v>143</v>
      </c>
      <c r="S171" s="37" t="s">
        <v>91</v>
      </c>
      <c r="T171" s="37" t="s">
        <v>185</v>
      </c>
      <c r="U171" s="37" t="s">
        <v>112</v>
      </c>
      <c r="V171" s="37" t="s">
        <v>113</v>
      </c>
      <c r="W171" s="37" t="s">
        <v>82</v>
      </c>
      <c r="X171" s="37" t="s">
        <v>81</v>
      </c>
      <c r="Y171" s="37" t="s">
        <v>109</v>
      </c>
      <c r="Z171" s="37" t="s">
        <v>83</v>
      </c>
      <c r="AA171" s="37" t="s">
        <v>84</v>
      </c>
      <c r="AB171" s="37" t="s">
        <v>81</v>
      </c>
      <c r="AC171" s="37" t="s">
        <v>81</v>
      </c>
      <c r="AD171" s="37" t="s">
        <v>85</v>
      </c>
      <c r="AE171" s="37" t="s">
        <v>86</v>
      </c>
      <c r="AF171" s="37" t="s">
        <v>81</v>
      </c>
      <c r="AG171" s="37" t="s">
        <v>87</v>
      </c>
      <c r="AH171" s="37" t="s">
        <v>88</v>
      </c>
      <c r="AI171" s="37" t="s">
        <v>81</v>
      </c>
      <c r="AJ171" s="37" t="s">
        <v>81</v>
      </c>
      <c r="AK171" s="37" t="s">
        <v>81</v>
      </c>
      <c r="AL171" s="37" t="s">
        <v>81</v>
      </c>
      <c r="AM171" t="str">
        <f>VLOOKUP($R171,武学奇术!$A:$ZZ,25,FALSE)</f>
        <v>双刀</v>
      </c>
      <c r="AN171" s="23">
        <f>VLOOKUP($R171,武学奇术!$A:$ZZ,26,FALSE)</f>
        <v>0.9012</v>
      </c>
      <c r="AO171" s="24">
        <f>VLOOKUP($R171,武学奇术!$A:$ZZ,27,FALSE)*(1+IF(OR($AM171=$F$4,$AM171=$F$5),$B$23,0))</f>
        <v>400</v>
      </c>
      <c r="AP171" s="23">
        <f>VLOOKUP($R171,武学奇术!$A:$ZZ,28,FALSE)</f>
        <v>1.3518</v>
      </c>
      <c r="AQ171" s="24">
        <f>VLOOKUP($R171,武学奇术!$A:$ZZ,29,FALSE)*(1+IF(OR($AM171=$F$4,$AM171=$F$5),$B$23,0))</f>
        <v>217.6</v>
      </c>
      <c r="AR171" s="23" cm="1">
        <f t="array" ref="AR171">$G$3+IFERROR(VLOOKUP($AM171,$F$4:$G$7,2,FALSE),0)+VLOOKUP($R171,武学奇术!$A:$ZZ,2,FALSE)+SUM(_xlfn.XLOOKUP($S171:$AL171,增益!$A:$A,增益!$B:$B,0))</f>
        <v>0.7743</v>
      </c>
      <c r="AS171" s="23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4150.4</v>
      </c>
      <c r="AU171" cm="1">
        <f t="array" ref="AU171">$E$10*(1+$AS171)+VLOOKUP($R171,武学奇术!$A:$ZZ,4,FALSE)+SUM(_xlfn.XLOOKUP($S171:$AL171,增益!$A:$A,增益!$D:$D,0))-$I$2</f>
        <v>4150.4</v>
      </c>
      <c r="AV171" s="29" cm="1">
        <f t="array" ref="AV171">IF($F$10-$I$3+VLOOKUP($R171,武学奇术!$A:$ZZ,6,FALSE)+SUM(_xlfn.XLOOKUP(S171:AL171,增益!$A:$A,增益!$F:$F,0))&gt;0,($F$10-$I$3+VLOOKUP($R171,武学奇术!$A:$ZZ,6,FALSE)+SUM(_xlfn.XLOOKUP(S171:AL171,增益!$A:$A,增益!$F:$F,0)))/200,($F$10-$I$3+VLOOKUP($R171,武学奇术!$A:$ZZ,6,FALSE)+SUM(_xlfn.XLOOKUP(S171:AL171,增益!$A:$A,增益!$F:$F,0)))/100)</f>
        <v>0.4539</v>
      </c>
      <c r="AW171" s="29" cm="1">
        <f t="array" ref="AW171">$G$10+VLOOKUP($R171,武学奇术!$A:$ZZ,7,FALSE)+SUM(_xlfn.XLOOKUP(S171:AL171,增益!$A:$A,增益!$G:$G,0))</f>
        <v>0.08</v>
      </c>
      <c r="AX171" s="23" cm="1">
        <f t="array" ref="AX171">VLOOKUP($R171,武学奇术!$A:$ZZ,8,FALSE)+SUM(_xlfn.XLOOKUP(S171:AL171,增益!$A:$A,增益!$H:$H,0))</f>
        <v>0</v>
      </c>
      <c r="AY171">
        <f t="shared" si="57"/>
        <v>0</v>
      </c>
      <c r="AZ171">
        <f t="shared" si="58"/>
        <v>0</v>
      </c>
      <c r="BA171" s="29" cm="1">
        <f t="array" ref="BA171">IF($F$11-$I$4+VLOOKUP($R171,武学奇术!$A:$ZZ,9,FALSE)+SUM(_xlfn.XLOOKUP(S171:AL171,增益!$A:$A,增益!$I:$I,0))&gt;0,($F$11-$I$4+VLOOKUP($R171,武学奇术!$A:$ZZ,9,FALSE)+SUM(_xlfn.XLOOKUP(S171:AL171,增益!$A:$A,增益!$I:$I,0)))/200,($F$11-$I$4+VLOOKUP($R171,武学奇术!$A:$ZZ,9,FALSE)+SUM(_xlfn.XLOOKUP(S171:AL171,增益!$A:$A,增益!$I:$I,0)))/100)</f>
        <v>-0.14</v>
      </c>
      <c r="BB171" s="29" cm="1">
        <f t="array" ref="BB171">$G$11+VLOOKUP($R171,武学奇术!$A:$ZZ,10,FALSE)+SUM(_xlfn.XLOOKUP(S171:AL171,增益!$A:$A,增益!$J:$J,0))</f>
        <v>0.02</v>
      </c>
      <c r="BC171">
        <f t="shared" si="59"/>
        <v>0</v>
      </c>
      <c r="BD171">
        <f t="shared" si="60"/>
        <v>0</v>
      </c>
      <c r="BE171" s="29" cm="1">
        <f t="array" ref="BE171">IF($F$12-$I$4+VLOOKUP($R171,武学奇术!$A:$ZZ,11,FALSE)+SUM(_xlfn.XLOOKUP(S171:AL171,增益!$A:$A,增益!$K:$K,0))&gt;0,($F$12-$I$4+VLOOKUP($R171,武学奇术!$A:$ZZ,11,FALSE)+SUM(_xlfn.XLOOKUP(S171:AL171,增益!$A:$A,增益!$K:$K,0)))/200,($F$12-$I$4+VLOOKUP($R171,武学奇术!$A:$ZZ,11,FALSE)+SUM(_xlfn.XLOOKUP(S171:AL171,增益!$A:$A,增益!$K:$K,0)))/100)</f>
        <v>-0.14</v>
      </c>
      <c r="BF171" s="29" cm="1">
        <f t="array" ref="BF171">$G$12+VLOOKUP($R171,武学奇术!$A:$ZZ,12,FALSE)+SUM(_xlfn.XLOOKUP(S171:AL171,增益!$A:$A,增益!$L:$L,0))</f>
        <v>0.02</v>
      </c>
      <c r="BG171">
        <f t="shared" si="61"/>
        <v>0</v>
      </c>
      <c r="BH171">
        <f t="shared" si="62"/>
        <v>0</v>
      </c>
      <c r="BI171" s="29" cm="1">
        <f t="array" ref="BI171">IF($F$13-$I$4+VLOOKUP($R171,武学奇术!$A:$ZZ,13,FALSE)+SUM(_xlfn.XLOOKUP(S171:AL171,增益!$A:$A,增益!$M:$M,0))&gt;0,($F$13-$I$4+VLOOKUP($R171,武学奇术!$A:$ZZ,13,FALSE)+SUM(_xlfn.XLOOKUP(S171:AL171,增益!$A:$A,增益!$K:$K,0)))/200,($F$13-$I$4+VLOOKUP($R171,武学奇术!$A:$ZZ,13,FALSE)+SUM(_xlfn.XLOOKUP(S171:AL171,增益!$A:$A,增益!$M:$M,0)))/100)</f>
        <v>-0.14</v>
      </c>
      <c r="BJ171" s="29" cm="1">
        <f t="array" ref="BJ171">$G$13+VLOOKUP($R171,武学奇术!$A:$ZZ,14,FALSE)+SUM(_xlfn.XLOOKUP(S171:AL171,增益!$A:$A,增益!$N:$N,0))</f>
        <v>0.02</v>
      </c>
      <c r="BK171">
        <f t="shared" si="63"/>
        <v>618.2</v>
      </c>
      <c r="BL171">
        <f t="shared" si="64"/>
        <v>1805</v>
      </c>
      <c r="BM171" s="29" cm="1">
        <f t="array" ref="BM171">IF($F$14-$I$4+VLOOKUP($R171,武学奇术!$A:$ZZ,15,FALSE)+SUM(_xlfn.XLOOKUP(S171:AL171,增益!$A:$A,增益!$O:$O,0))&gt;0,($F$14-$I$4+VLOOKUP($R171,武学奇术!$A:$ZZ,15,FALSE)+SUM(_xlfn.XLOOKUP(S171:AL171,增益!$A:$A,增益!$O:$O,0)))/200,($F$14-$I$4+VLOOKUP($R171,武学奇术!$A:$ZZ,15,FALSE)+SUM(_xlfn.XLOOKUP(S171:AL171,增益!$A:$A,增益!$O:$O,0)))/100)</f>
        <v>0.13</v>
      </c>
      <c r="BN171" s="29" cm="1">
        <f t="array" ref="BN171">$G$14+VLOOKUP($R171,武学奇术!$A:$ZZ,16,FALSE)+SUM(_xlfn.XLOOKUP(S171:AL171,增益!$A:$A,增益!$P:$P,0))</f>
        <v>0.23</v>
      </c>
      <c r="BO171" s="23">
        <f>MIN(IF(VLOOKUP($R171,武学奇术!$A:$ZZ,23,FALSE)=1,100%,$B$8),100%)</f>
        <v>0.9943</v>
      </c>
      <c r="BP171" s="23" cm="1">
        <f t="array" ref="BP171">IF(VLOOKUP($R171,武学奇术!$A:$ZZ,23,FALSE)=1,100%,MIN(80%,$B$9+VLOOKUP($R171,武学奇术!$A:$ZZ,17,FALSE)+SUM(_xlfn.XLOOKUP(S171:AL171,增益!$A:$A,增益!$Q:$Q,0)))+$B$11+SUM(_xlfn.XLOOKUP(S171:AL171,增益!$A:$A,增益!$U:$U,0)))*IF(VLOOKUP($R171,武学奇术!$A:$ZZ,24,FALSE)=1,0,1)</f>
        <v>0.887</v>
      </c>
      <c r="BQ171" s="23" cm="1">
        <f t="array" ref="BQ171">1+$B$13+VLOOKUP($R171,武学奇术!$A:$ZZ,18,FALSE)+SUM(_xlfn.XLOOKUP(S171:AL171,增益!$A:$A,增益!$R:$R,0))</f>
        <v>2.394</v>
      </c>
      <c r="BR171" s="23" cm="1">
        <f t="array" ref="BR171">IF(VLOOKUP($R171,武学奇术!$A:$ZZ,24,FALSE)=1,100%,MIN(40%,$B$10+VLOOKUP($R171,武学奇术!$A:$ZZ,19,FALSE)+SUM(_xlfn.XLOOKUP(S171:AL171,增益!$A:$A,增益!$S:$S,0)))+$B$12+SUM(_xlfn.XLOOKUP(S171:AL171,增益!$A:$A,增益!$V:$V,0)))*IF(VLOOKUP($R171,武学奇术!$A:$ZZ,23,FALSE)=1,0,1)</f>
        <v>0.0913</v>
      </c>
      <c r="BS171" s="23" cm="1">
        <f t="array" ref="BS171">1+$B$14+VLOOKUP($R171,武学奇术!$A:$ZZ,20,FALSE)+SUM(_xlfn.XLOOKUP(S171:AL171,增益!$A:$A,增益!$T:$T,0))</f>
        <v>1.35</v>
      </c>
      <c r="BT171" s="23">
        <f t="shared" si="65"/>
        <v>0.8819441</v>
      </c>
      <c r="BU171" s="23">
        <f t="shared" si="66"/>
        <v>0.0215763099999999</v>
      </c>
      <c r="BV171" s="23">
        <f>IF(VLOOKUP($R171,武学奇术!$A:$ZZ,22,FALSE)=1,0,(1-$BO171))*(1-$BR171)</f>
        <v>0.00517958999999993</v>
      </c>
      <c r="BW171" s="23" cm="1">
        <f t="array" ref="BW171">SUM(_xlfn.XLOOKUP(S171:AL171,增益!$A:$A,增益!$W:$W,0))+$I$5</f>
        <v>0.11</v>
      </c>
      <c r="BX171" s="23">
        <f>VLOOKUP($R171,武学奇术!$A:$ZZ,32,FALSE)</f>
        <v>0.1</v>
      </c>
      <c r="BY171" s="23" cm="1">
        <f t="array" ref="BY171">SUM(_xlfn.XLOOKUP($S171:$AL171,增益!$A:$A,增益!$X:$X,0))</f>
        <v>0</v>
      </c>
    </row>
    <row r="172" spans="11:77">
      <c r="K172" s="35">
        <f>$L172*VLOOKUP($R172,武学奇术!$A:$ZZ,31,FALSE)</f>
        <v>81755.1383857075</v>
      </c>
      <c r="L172" s="35">
        <f t="shared" si="56"/>
        <v>72995.6592729531</v>
      </c>
      <c r="M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轻击",$B$21,0))*(1+IF(VLOOKUP($R172,武学奇术!$A:$ZZ,30,FALSE)="老鼠",$B$22,0))*(1+$BW172)*(1+$BX172)</f>
        <v>76792.0740962472</v>
      </c>
      <c r="N172" s="35">
        <f>(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轻击",$B$21,0))*(1+IF(VLOOKUP($R172,武学奇术!$A:$ZZ,30,FALSE)="老鼠",$B$22,0))*(1+$BW172))*(1+$BX172)</f>
        <v>48534.105419105</v>
      </c>
      <c r="O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轻击",$B$21,0))*(1+IF(VLOOKUP($R172,武学奇术!$A:$ZZ,30,FALSE)="老鼠",$B$22,0))*(1+$BW172)*(1+$BX172)</f>
        <v>32076.8897645143</v>
      </c>
      <c r="P172" s="35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轻击",$B$21,0))*(1+IF(VLOOKUP($R172,武学奇术!$A:$ZZ,30,FALSE)="老鼠",$B$22,0))*(1+$BW172)*(1+$BX172)</f>
        <v>28202.5903296916</v>
      </c>
      <c r="Q172" s="36">
        <v>1</v>
      </c>
      <c r="R172" s="37" t="s">
        <v>148</v>
      </c>
      <c r="S172" s="37" t="s">
        <v>91</v>
      </c>
      <c r="T172" s="37" t="s">
        <v>185</v>
      </c>
      <c r="U172" s="37" t="s">
        <v>112</v>
      </c>
      <c r="V172" s="37" t="s">
        <v>113</v>
      </c>
      <c r="W172" s="37" t="s">
        <v>82</v>
      </c>
      <c r="X172" s="37" t="s">
        <v>81</v>
      </c>
      <c r="Y172" s="37" t="s">
        <v>109</v>
      </c>
      <c r="Z172" s="37" t="s">
        <v>83</v>
      </c>
      <c r="AA172" s="37" t="s">
        <v>84</v>
      </c>
      <c r="AB172" s="37" t="s">
        <v>81</v>
      </c>
      <c r="AC172" s="37" t="s">
        <v>81</v>
      </c>
      <c r="AD172" s="37" t="s">
        <v>85</v>
      </c>
      <c r="AE172" s="37" t="s">
        <v>86</v>
      </c>
      <c r="AF172" s="37" t="s">
        <v>81</v>
      </c>
      <c r="AG172" s="37" t="s">
        <v>87</v>
      </c>
      <c r="AH172" s="37" t="s">
        <v>88</v>
      </c>
      <c r="AI172" s="37" t="s">
        <v>81</v>
      </c>
      <c r="AJ172" s="37" t="s">
        <v>81</v>
      </c>
      <c r="AK172" s="37" t="s">
        <v>81</v>
      </c>
      <c r="AL172" s="37" t="s">
        <v>81</v>
      </c>
      <c r="AM172" t="str">
        <f>VLOOKUP($R172,武学奇术!$A:$ZZ,25,FALSE)</f>
        <v>双刀</v>
      </c>
      <c r="AN172" s="23">
        <f>VLOOKUP($R172,武学奇术!$A:$ZZ,26,FALSE)</f>
        <v>1.4455</v>
      </c>
      <c r="AO172" s="24">
        <f>VLOOKUP($R172,武学奇术!$A:$ZZ,27,FALSE)*(1+IF(OR($AM172=$F$4,$AM172=$F$5),$B$23,0))</f>
        <v>641.6</v>
      </c>
      <c r="AP172" s="23">
        <f>VLOOKUP($R172,武学奇术!$A:$ZZ,28,FALSE)</f>
        <v>2.1683</v>
      </c>
      <c r="AQ172" s="24">
        <f>VLOOKUP($R172,武学奇术!$A:$ZZ,29,FALSE)*(1+IF(OR($AM172=$F$4,$AM172=$F$5),$B$23,0))</f>
        <v>348.8</v>
      </c>
      <c r="AR172" s="23" cm="1">
        <f t="array" ref="AR172">$G$3+IFERROR(VLOOKUP($AM172,$F$4:$G$7,2,FALSE),0)+VLOOKUP($R172,武学奇术!$A:$ZZ,2,FALSE)+SUM(_xlfn.XLOOKUP($S172:$AL172,增益!$A:$A,增益!$B:$B,0))</f>
        <v>0.7743</v>
      </c>
      <c r="AS172" s="23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4150.4</v>
      </c>
      <c r="AU172" cm="1">
        <f t="array" ref="AU172">$E$10*(1+$AS172)+VLOOKUP($R172,武学奇术!$A:$ZZ,4,FALSE)+SUM(_xlfn.XLOOKUP($S172:$AL172,增益!$A:$A,增益!$D:$D,0))-$I$2</f>
        <v>4150.4</v>
      </c>
      <c r="AV172" s="29" cm="1">
        <f t="array" ref="AV172">IF($F$10-$I$3+VLOOKUP($R172,武学奇术!$A:$ZZ,6,FALSE)+SUM(_xlfn.XLOOKUP(S172:AL172,增益!$A:$A,增益!$F:$F,0))&gt;0,($F$10-$I$3+VLOOKUP($R172,武学奇术!$A:$ZZ,6,FALSE)+SUM(_xlfn.XLOOKUP(S172:AL172,增益!$A:$A,增益!$F:$F,0)))/200,($F$10-$I$3+VLOOKUP($R172,武学奇术!$A:$ZZ,6,FALSE)+SUM(_xlfn.XLOOKUP(S172:AL172,增益!$A:$A,增益!$F:$F,0)))/100)</f>
        <v>0.4539</v>
      </c>
      <c r="AW172" s="29" cm="1">
        <f t="array" ref="AW172">$G$10+VLOOKUP($R172,武学奇术!$A:$ZZ,7,FALSE)+SUM(_xlfn.XLOOKUP(S172:AL172,增益!$A:$A,增益!$G:$G,0))</f>
        <v>0.08</v>
      </c>
      <c r="AX172" s="23" cm="1">
        <f t="array" ref="AX172">VLOOKUP($R172,武学奇术!$A:$ZZ,8,FALSE)+SUM(_xlfn.XLOOKUP(S172:AL172,增益!$A:$A,增益!$H:$H,0))</f>
        <v>0</v>
      </c>
      <c r="AY172">
        <f t="shared" si="57"/>
        <v>0</v>
      </c>
      <c r="AZ172">
        <f t="shared" si="58"/>
        <v>0</v>
      </c>
      <c r="BA172" s="29" cm="1">
        <f t="array" ref="BA172">IF($F$11-$I$4+VLOOKUP($R172,武学奇术!$A:$ZZ,9,FALSE)+SUM(_xlfn.XLOOKUP(S172:AL172,增益!$A:$A,增益!$I:$I,0))&gt;0,($F$11-$I$4+VLOOKUP($R172,武学奇术!$A:$ZZ,9,FALSE)+SUM(_xlfn.XLOOKUP(S172:AL172,增益!$A:$A,增益!$I:$I,0)))/200,($F$11-$I$4+VLOOKUP($R172,武学奇术!$A:$ZZ,9,FALSE)+SUM(_xlfn.XLOOKUP(S172:AL172,增益!$A:$A,增益!$I:$I,0)))/100)</f>
        <v>-0.14</v>
      </c>
      <c r="BB172" s="29" cm="1">
        <f t="array" ref="BB172">$G$11+VLOOKUP($R172,武学奇术!$A:$ZZ,10,FALSE)+SUM(_xlfn.XLOOKUP(S172:AL172,增益!$A:$A,增益!$J:$J,0))</f>
        <v>0.02</v>
      </c>
      <c r="BC172">
        <f t="shared" si="59"/>
        <v>0</v>
      </c>
      <c r="BD172">
        <f t="shared" si="60"/>
        <v>0</v>
      </c>
      <c r="BE172" s="29" cm="1">
        <f t="array" ref="BE172">IF($F$12-$I$4+VLOOKUP($R172,武学奇术!$A:$ZZ,11,FALSE)+SUM(_xlfn.XLOOKUP(S172:AL172,增益!$A:$A,增益!$K:$K,0))&gt;0,($F$12-$I$4+VLOOKUP($R172,武学奇术!$A:$ZZ,11,FALSE)+SUM(_xlfn.XLOOKUP(S172:AL172,增益!$A:$A,增益!$K:$K,0)))/200,($F$12-$I$4+VLOOKUP($R172,武学奇术!$A:$ZZ,11,FALSE)+SUM(_xlfn.XLOOKUP(S172:AL172,增益!$A:$A,增益!$K:$K,0)))/100)</f>
        <v>-0.14</v>
      </c>
      <c r="BF172" s="29" cm="1">
        <f t="array" ref="BF172">$G$12+VLOOKUP($R172,武学奇术!$A:$ZZ,12,FALSE)+SUM(_xlfn.XLOOKUP(S172:AL172,增益!$A:$A,增益!$L:$L,0))</f>
        <v>0.02</v>
      </c>
      <c r="BG172">
        <f t="shared" si="61"/>
        <v>0</v>
      </c>
      <c r="BH172">
        <f t="shared" si="62"/>
        <v>0</v>
      </c>
      <c r="BI172" s="29" cm="1">
        <f t="array" ref="BI172">IF($F$13-$I$4+VLOOKUP($R172,武学奇术!$A:$ZZ,13,FALSE)+SUM(_xlfn.XLOOKUP(S172:AL172,增益!$A:$A,增益!$M:$M,0))&gt;0,($F$13-$I$4+VLOOKUP($R172,武学奇术!$A:$ZZ,13,FALSE)+SUM(_xlfn.XLOOKUP(S172:AL172,增益!$A:$A,增益!$K:$K,0)))/200,($F$13-$I$4+VLOOKUP($R172,武学奇术!$A:$ZZ,13,FALSE)+SUM(_xlfn.XLOOKUP(S172:AL172,增益!$A:$A,增益!$M:$M,0)))/100)</f>
        <v>-0.14</v>
      </c>
      <c r="BJ172" s="29" cm="1">
        <f t="array" ref="BJ172">$G$13+VLOOKUP($R172,武学奇术!$A:$ZZ,14,FALSE)+SUM(_xlfn.XLOOKUP(S172:AL172,增益!$A:$A,增益!$N:$N,0))</f>
        <v>0.02</v>
      </c>
      <c r="BK172">
        <f t="shared" si="63"/>
        <v>618.2</v>
      </c>
      <c r="BL172">
        <f t="shared" si="64"/>
        <v>1805</v>
      </c>
      <c r="BM172" s="29" cm="1">
        <f t="array" ref="BM172">IF($F$14-$I$4+VLOOKUP($R172,武学奇术!$A:$ZZ,15,FALSE)+SUM(_xlfn.XLOOKUP(S172:AL172,增益!$A:$A,增益!$O:$O,0))&gt;0,($F$14-$I$4+VLOOKUP($R172,武学奇术!$A:$ZZ,15,FALSE)+SUM(_xlfn.XLOOKUP(S172:AL172,增益!$A:$A,增益!$O:$O,0)))/200,($F$14-$I$4+VLOOKUP($R172,武学奇术!$A:$ZZ,15,FALSE)+SUM(_xlfn.XLOOKUP(S172:AL172,增益!$A:$A,增益!$O:$O,0)))/100)</f>
        <v>0.13</v>
      </c>
      <c r="BN172" s="29" cm="1">
        <f t="array" ref="BN172">$G$14+VLOOKUP($R172,武学奇术!$A:$ZZ,16,FALSE)+SUM(_xlfn.XLOOKUP(S172:AL172,增益!$A:$A,增益!$P:$P,0))</f>
        <v>0.23</v>
      </c>
      <c r="BO172" s="23">
        <f>MIN(IF(VLOOKUP($R172,武学奇术!$A:$ZZ,23,FALSE)=1,100%,$B$8),100%)</f>
        <v>0.9943</v>
      </c>
      <c r="BP172" s="23" cm="1">
        <f t="array" ref="BP172">IF(VLOOKUP($R172,武学奇术!$A:$ZZ,23,FALSE)=1,100%,MIN(80%,$B$9+VLOOKUP($R172,武学奇术!$A:$ZZ,17,FALSE)+SUM(_xlfn.XLOOKUP(S172:AL172,增益!$A:$A,增益!$Q:$Q,0)))+$B$11+SUM(_xlfn.XLOOKUP(S172:AL172,增益!$A:$A,增益!$U:$U,0)))*IF(VLOOKUP($R172,武学奇术!$A:$ZZ,24,FALSE)=1,0,1)</f>
        <v>0.887</v>
      </c>
      <c r="BQ172" s="23" cm="1">
        <f t="array" ref="BQ172">1+$B$13+VLOOKUP($R172,武学奇术!$A:$ZZ,18,FALSE)+SUM(_xlfn.XLOOKUP(S172:AL172,增益!$A:$A,增益!$R:$R,0))</f>
        <v>2.394</v>
      </c>
      <c r="BR172" s="23" cm="1">
        <f t="array" ref="BR172">IF(VLOOKUP($R172,武学奇术!$A:$ZZ,24,FALSE)=1,100%,MIN(40%,$B$10+VLOOKUP($R172,武学奇术!$A:$ZZ,19,FALSE)+SUM(_xlfn.XLOOKUP(S172:AL172,增益!$A:$A,增益!$S:$S,0)))+$B$12+SUM(_xlfn.XLOOKUP(S172:AL172,增益!$A:$A,增益!$V:$V,0)))*IF(VLOOKUP($R172,武学奇术!$A:$ZZ,23,FALSE)=1,0,1)</f>
        <v>0.0913</v>
      </c>
      <c r="BS172" s="23" cm="1">
        <f t="array" ref="BS172">1+$B$14+VLOOKUP($R172,武学奇术!$A:$ZZ,20,FALSE)+SUM(_xlfn.XLOOKUP(S172:AL172,增益!$A:$A,增益!$T:$T,0))</f>
        <v>1.35</v>
      </c>
      <c r="BT172" s="23">
        <f t="shared" si="65"/>
        <v>0.8819441</v>
      </c>
      <c r="BU172" s="23">
        <f t="shared" si="66"/>
        <v>0.0215763099999999</v>
      </c>
      <c r="BV172" s="23">
        <f>IF(VLOOKUP($R172,武学奇术!$A:$ZZ,22,FALSE)=1,0,(1-$BO172))*(1-$BR172)</f>
        <v>0.00517958999999993</v>
      </c>
      <c r="BW172" s="23" cm="1">
        <f t="array" ref="BW172">SUM(_xlfn.XLOOKUP(S172:AL172,增益!$A:$A,增益!$W:$W,0))+$I$5</f>
        <v>0.11</v>
      </c>
      <c r="BX172" s="23">
        <f>VLOOKUP($R172,武学奇术!$A:$ZZ,32,FALSE)</f>
        <v>0.1</v>
      </c>
      <c r="BY172" s="23" cm="1">
        <f t="array" ref="BY172">SUM(_xlfn.XLOOKUP($S172:$AL172,增益!$A:$A,增益!$X:$X,0))</f>
        <v>0</v>
      </c>
    </row>
    <row r="173" spans="11:77">
      <c r="K173" s="35">
        <f>$L173*VLOOKUP($R173,武学奇术!$A:$ZZ,31,FALSE)</f>
        <v>207609.700174521</v>
      </c>
      <c r="L173" s="69">
        <f t="shared" si="56"/>
        <v>203538.921739726</v>
      </c>
      <c r="M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轻击",$B$21,0))*(1+IF(VLOOKUP($R173,武学奇术!$A:$ZZ,30,FALSE)="老鼠",$B$22,0))*(1+$BW173)*(1+$BX173)</f>
        <v>213968.66494201</v>
      </c>
      <c r="N173" s="35">
        <f>(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轻击",$B$21,0))*(1+IF(VLOOKUP($R173,武学奇术!$A:$ZZ,30,FALSE)="老鼠",$B$22,0))*(1+$BW173))*(1+$BX173)</f>
        <v>136928.571074017</v>
      </c>
      <c r="O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轻击",$B$21,0))*(1+IF(VLOOKUP($R173,武学奇术!$A:$ZZ,30,FALSE)="老鼠",$B$22,0))*(1+$BW173)*(1+$BX173)</f>
        <v>89377.0530250668</v>
      </c>
      <c r="P173" s="35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轻击",$B$21,0))*(1+IF(VLOOKUP($R173,武学奇术!$A:$ZZ,30,FALSE)="老鼠",$B$22,0))*(1+$BW173)*(1+$BX173)</f>
        <v>77325.534884195</v>
      </c>
      <c r="Q173" s="70">
        <v>6</v>
      </c>
      <c r="R173" s="37" t="s">
        <v>106</v>
      </c>
      <c r="S173" s="37" t="s">
        <v>91</v>
      </c>
      <c r="T173" s="37" t="s">
        <v>185</v>
      </c>
      <c r="U173" s="37" t="s">
        <v>112</v>
      </c>
      <c r="V173" s="37" t="s">
        <v>113</v>
      </c>
      <c r="W173" s="37" t="s">
        <v>82</v>
      </c>
      <c r="X173" s="37" t="s">
        <v>81</v>
      </c>
      <c r="Y173" s="37" t="s">
        <v>109</v>
      </c>
      <c r="Z173" s="37" t="s">
        <v>83</v>
      </c>
      <c r="AA173" s="37" t="s">
        <v>84</v>
      </c>
      <c r="AB173" s="37" t="s">
        <v>81</v>
      </c>
      <c r="AC173" s="37" t="s">
        <v>81</v>
      </c>
      <c r="AD173" s="37" t="s">
        <v>85</v>
      </c>
      <c r="AE173" s="37" t="s">
        <v>86</v>
      </c>
      <c r="AF173" s="37" t="s">
        <v>81</v>
      </c>
      <c r="AG173" s="37" t="s">
        <v>87</v>
      </c>
      <c r="AH173" s="37" t="s">
        <v>88</v>
      </c>
      <c r="AI173" s="37" t="s">
        <v>81</v>
      </c>
      <c r="AJ173" s="37" t="s">
        <v>81</v>
      </c>
      <c r="AK173" s="37" t="s">
        <v>81</v>
      </c>
      <c r="AL173" s="37" t="s">
        <v>81</v>
      </c>
      <c r="AM173" t="str">
        <f>VLOOKUP($R173,武学奇术!$A:$ZZ,25,FALSE)</f>
        <v>绳镖</v>
      </c>
      <c r="AN173" s="23">
        <f>VLOOKUP($R173,武学奇术!$A:$ZZ,26,FALSE)</f>
        <v>0.3675</v>
      </c>
      <c r="AO173" s="24">
        <f>VLOOKUP($R173,武学奇术!$A:$ZZ,27,FALSE)*(1+IF(OR($AM173=$F$4,$AM173=$F$5),$B$23,0))</f>
        <v>0</v>
      </c>
      <c r="AP173" s="23">
        <f>VLOOKUP($R173,武学奇术!$A:$ZZ,28,FALSE)</f>
        <v>0.55125</v>
      </c>
      <c r="AQ173" s="24">
        <f>VLOOKUP($R173,武学奇术!$A:$ZZ,29,FALSE)*(1+IF(OR($AM173=$F$4,$AM173=$F$5),$B$23,0))</f>
        <v>0</v>
      </c>
      <c r="AR173" s="23" cm="1">
        <f t="array" ref="AR173">$G$3+IFERROR(VLOOKUP($AM173,$F$4:$G$7,2,FALSE),0)+VLOOKUP($R173,武学奇术!$A:$ZZ,2,FALSE)+SUM(_xlfn.XLOOKUP($S173:$AL173,增益!$A:$A,增益!$B:$B,0))</f>
        <v>1.5743</v>
      </c>
      <c r="AS173" s="23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4150.4</v>
      </c>
      <c r="AU173" cm="1">
        <f t="array" ref="AU173">$E$10*(1+$AS173)+VLOOKUP($R173,武学奇术!$A:$ZZ,4,FALSE)+SUM(_xlfn.XLOOKUP($S173:$AL173,增益!$A:$A,增益!$D:$D,0))-$I$2</f>
        <v>4150.4</v>
      </c>
      <c r="AV173" s="29" cm="1">
        <f t="array" ref="AV173">IF($F$10-$I$3+VLOOKUP($R173,武学奇术!$A:$ZZ,6,FALSE)+SUM(_xlfn.XLOOKUP(S173:AL173,增益!$A:$A,增益!$F:$F,0))&gt;0,($F$10-$I$3+VLOOKUP($R173,武学奇术!$A:$ZZ,6,FALSE)+SUM(_xlfn.XLOOKUP(S173:AL173,增益!$A:$A,增益!$F:$F,0)))/200,($F$10-$I$3+VLOOKUP($R173,武学奇术!$A:$ZZ,6,FALSE)+SUM(_xlfn.XLOOKUP(S173:AL173,增益!$A:$A,增益!$F:$F,0)))/100)</f>
        <v>0.4539</v>
      </c>
      <c r="AW173" s="29" cm="1">
        <f t="array" ref="AW173">$G$10+VLOOKUP($R173,武学奇术!$A:$ZZ,7,FALSE)+SUM(_xlfn.XLOOKUP(S173:AL173,增益!$A:$A,增益!$G:$G,0))</f>
        <v>0.29</v>
      </c>
      <c r="AX173" s="23" cm="1">
        <f t="array" ref="AX173">VLOOKUP($R173,武学奇术!$A:$ZZ,8,FALSE)+SUM(_xlfn.XLOOKUP(S173:AL173,增益!$A:$A,增益!$H:$H,0))</f>
        <v>0</v>
      </c>
      <c r="AY173">
        <f t="shared" si="57"/>
        <v>0</v>
      </c>
      <c r="AZ173">
        <f t="shared" si="58"/>
        <v>0</v>
      </c>
      <c r="BA173" s="29" cm="1">
        <f t="array" ref="BA173">IF($F$11-$I$4+VLOOKUP($R173,武学奇术!$A:$ZZ,9,FALSE)+SUM(_xlfn.XLOOKUP(S173:AL173,增益!$A:$A,增益!$I:$I,0))&gt;0,($F$11-$I$4+VLOOKUP($R173,武学奇术!$A:$ZZ,9,FALSE)+SUM(_xlfn.XLOOKUP(S173:AL173,增益!$A:$A,增益!$I:$I,0)))/200,($F$11-$I$4+VLOOKUP($R173,武学奇术!$A:$ZZ,9,FALSE)+SUM(_xlfn.XLOOKUP(S173:AL173,增益!$A:$A,增益!$I:$I,0)))/100)</f>
        <v>-0.14</v>
      </c>
      <c r="BB173" s="29" cm="1">
        <f t="array" ref="BB173">$G$11+VLOOKUP($R173,武学奇术!$A:$ZZ,10,FALSE)+SUM(_xlfn.XLOOKUP(S173:AL173,增益!$A:$A,增益!$J:$J,0))</f>
        <v>0.02</v>
      </c>
      <c r="BC173">
        <f t="shared" si="59"/>
        <v>0</v>
      </c>
      <c r="BD173">
        <f t="shared" si="60"/>
        <v>0</v>
      </c>
      <c r="BE173" s="29" cm="1">
        <f t="array" ref="BE173">IF($F$12-$I$4+VLOOKUP($R173,武学奇术!$A:$ZZ,11,FALSE)+SUM(_xlfn.XLOOKUP(S173:AL173,增益!$A:$A,增益!$K:$K,0))&gt;0,($F$12-$I$4+VLOOKUP($R173,武学奇术!$A:$ZZ,11,FALSE)+SUM(_xlfn.XLOOKUP(S173:AL173,增益!$A:$A,增益!$K:$K,0)))/200,($F$12-$I$4+VLOOKUP($R173,武学奇术!$A:$ZZ,11,FALSE)+SUM(_xlfn.XLOOKUP(S173:AL173,增益!$A:$A,增益!$K:$K,0)))/100)</f>
        <v>-0.14</v>
      </c>
      <c r="BF173" s="29" cm="1">
        <f t="array" ref="BF173">$G$12+VLOOKUP($R173,武学奇术!$A:$ZZ,12,FALSE)+SUM(_xlfn.XLOOKUP(S173:AL173,增益!$A:$A,增益!$L:$L,0))</f>
        <v>0.02</v>
      </c>
      <c r="BG173">
        <f t="shared" si="61"/>
        <v>0</v>
      </c>
      <c r="BH173">
        <f t="shared" si="62"/>
        <v>0</v>
      </c>
      <c r="BI173" s="29" cm="1">
        <f t="array" ref="BI173">IF($F$13-$I$4+VLOOKUP($R173,武学奇术!$A:$ZZ,13,FALSE)+SUM(_xlfn.XLOOKUP(S173:AL173,增益!$A:$A,增益!$M:$M,0))&gt;0,($F$13-$I$4+VLOOKUP($R173,武学奇术!$A:$ZZ,13,FALSE)+SUM(_xlfn.XLOOKUP(S173:AL173,增益!$A:$A,增益!$K:$K,0)))/200,($F$13-$I$4+VLOOKUP($R173,武学奇术!$A:$ZZ,13,FALSE)+SUM(_xlfn.XLOOKUP(S173:AL173,增益!$A:$A,增益!$M:$M,0)))/100)</f>
        <v>-0.14</v>
      </c>
      <c r="BJ173" s="29" cm="1">
        <f t="array" ref="BJ173">$G$13+VLOOKUP($R173,武学奇术!$A:$ZZ,14,FALSE)+SUM(_xlfn.XLOOKUP(S173:AL173,增益!$A:$A,增益!$N:$N,0))</f>
        <v>0.02</v>
      </c>
      <c r="BK173">
        <f t="shared" si="63"/>
        <v>618.2</v>
      </c>
      <c r="BL173">
        <f t="shared" si="64"/>
        <v>1805</v>
      </c>
      <c r="BM173" s="29" cm="1">
        <f t="array" ref="BM173">IF($F$14-$I$4+VLOOKUP($R173,武学奇术!$A:$ZZ,15,FALSE)+SUM(_xlfn.XLOOKUP(S173:AL173,增益!$A:$A,增益!$O:$O,0))&gt;0,($F$14-$I$4+VLOOKUP($R173,武学奇术!$A:$ZZ,15,FALSE)+SUM(_xlfn.XLOOKUP(S173:AL173,增益!$A:$A,增益!$O:$O,0)))/200,($F$14-$I$4+VLOOKUP($R173,武学奇术!$A:$ZZ,15,FALSE)+SUM(_xlfn.XLOOKUP(S173:AL173,增益!$A:$A,增益!$O:$O,0)))/100)</f>
        <v>0.13</v>
      </c>
      <c r="BN173" s="29" cm="1">
        <f t="array" ref="BN173">$G$14+VLOOKUP($R173,武学奇术!$A:$ZZ,16,FALSE)+SUM(_xlfn.XLOOKUP(S173:AL173,增益!$A:$A,增益!$P:$P,0))</f>
        <v>0.44</v>
      </c>
      <c r="BO173" s="23">
        <f>MIN(IF(VLOOKUP($R173,武学奇术!$A:$ZZ,23,FALSE)=1,100%,$B$8),100%)</f>
        <v>0.9943</v>
      </c>
      <c r="BP173" s="23" cm="1">
        <f t="array" ref="BP173">IF(VLOOKUP($R173,武学奇术!$A:$ZZ,23,FALSE)=1,100%,MIN(80%,$B$9+VLOOKUP($R173,武学奇术!$A:$ZZ,17,FALSE)+SUM(_xlfn.XLOOKUP(S173:AL173,增益!$A:$A,增益!$Q:$Q,0)))+$B$11+SUM(_xlfn.XLOOKUP(S173:AL173,增益!$A:$A,增益!$U:$U,0)))*IF(VLOOKUP($R173,武学奇术!$A:$ZZ,24,FALSE)=1,0,1)</f>
        <v>0.887</v>
      </c>
      <c r="BQ173" s="23" cm="1">
        <f t="array" ref="BQ173">1+$B$13+VLOOKUP($R173,武学奇术!$A:$ZZ,18,FALSE)+SUM(_xlfn.XLOOKUP(S173:AL173,增益!$A:$A,增益!$R:$R,0))</f>
        <v>2.394</v>
      </c>
      <c r="BR173" s="23" cm="1">
        <f t="array" ref="BR173">IF(VLOOKUP($R173,武学奇术!$A:$ZZ,24,FALSE)=1,100%,MIN(40%,$B$10+VLOOKUP($R173,武学奇术!$A:$ZZ,19,FALSE)+SUM(_xlfn.XLOOKUP(S173:AL173,增益!$A:$A,增益!$S:$S,0)))+$B$12+SUM(_xlfn.XLOOKUP(S173:AL173,增益!$A:$A,增益!$V:$V,0)))*IF(VLOOKUP($R173,武学奇术!$A:$ZZ,23,FALSE)=1,0,1)</f>
        <v>0.0913</v>
      </c>
      <c r="BS173" s="23" cm="1">
        <f t="array" ref="BS173">1+$B$14+VLOOKUP($R173,武学奇术!$A:$ZZ,20,FALSE)+SUM(_xlfn.XLOOKUP(S173:AL173,增益!$A:$A,增益!$T:$T,0))</f>
        <v>1.35</v>
      </c>
      <c r="BT173" s="23">
        <f t="shared" si="65"/>
        <v>0.8819441</v>
      </c>
      <c r="BU173" s="23">
        <f t="shared" si="66"/>
        <v>0.0215763099999999</v>
      </c>
      <c r="BV173" s="23">
        <f>IF(VLOOKUP($R173,武学奇术!$A:$ZZ,22,FALSE)=1,0,(1-$BO173))*(1-$BR173)</f>
        <v>0.00517958999999993</v>
      </c>
      <c r="BW173" s="23" cm="1">
        <f t="array" ref="BW173">SUM(_xlfn.XLOOKUP(S173:AL173,增益!$A:$A,增益!$W:$W,0))+$I$5</f>
        <v>0.11</v>
      </c>
      <c r="BX173" s="23">
        <f>VLOOKUP($R173,武学奇术!$A:$ZZ,32,FALSE)</f>
        <v>0</v>
      </c>
      <c r="BY173" s="23" cm="1">
        <f t="array" ref="BY173">SUM(_xlfn.XLOOKUP($S173:$AL173,增益!$A:$A,增益!$X:$X,0))</f>
        <v>0</v>
      </c>
    </row>
    <row r="174" spans="11:77">
      <c r="K174" s="35">
        <f>$L174*VLOOKUP($R174,武学奇术!$A:$ZZ,31,FALSE)</f>
        <v>89870.789645363</v>
      </c>
      <c r="L174" s="35">
        <f t="shared" si="56"/>
        <v>80241.7764690741</v>
      </c>
      <c r="M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轻击",$B$21,0))*(1+IF(VLOOKUP($R174,武学奇术!$A:$ZZ,30,FALSE)="老鼠",$B$22,0))*(1+$BW174)*(1+$BX174)</f>
        <v>84415.0440655922</v>
      </c>
      <c r="N174" s="35">
        <f>(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轻击",$B$21,0))*(1+IF(VLOOKUP($R174,武学奇术!$A:$ZZ,30,FALSE)="老鼠",$B$22,0))*(1+$BW174))*(1+$BX174)</f>
        <v>53352.0695819114</v>
      </c>
      <c r="O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轻击",$B$21,0))*(1+IF(VLOOKUP($R174,武学奇术!$A:$ZZ,30,FALSE)="老鼠",$B$22,0))*(1+$BW174)*(1+$BX174)</f>
        <v>35261.0877466968</v>
      </c>
      <c r="P174" s="35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轻击",$B$21,0))*(1+IF(VLOOKUP($R174,武学奇术!$A:$ZZ,30,FALSE)="老鼠",$B$22,0))*(1+$BW174)*(1+$BX174)</f>
        <v>31002.123951237</v>
      </c>
      <c r="Q174" s="36">
        <v>1</v>
      </c>
      <c r="R174" s="37" t="s">
        <v>153</v>
      </c>
      <c r="S174" s="37" t="s">
        <v>91</v>
      </c>
      <c r="T174" s="37" t="s">
        <v>185</v>
      </c>
      <c r="U174" s="37" t="s">
        <v>112</v>
      </c>
      <c r="V174" s="37" t="s">
        <v>113</v>
      </c>
      <c r="W174" s="37" t="s">
        <v>82</v>
      </c>
      <c r="X174" s="37" t="s">
        <v>81</v>
      </c>
      <c r="Y174" s="37" t="s">
        <v>109</v>
      </c>
      <c r="Z174" s="37" t="s">
        <v>83</v>
      </c>
      <c r="AA174" s="37" t="s">
        <v>84</v>
      </c>
      <c r="AB174" s="37" t="s">
        <v>81</v>
      </c>
      <c r="AC174" s="37" t="s">
        <v>81</v>
      </c>
      <c r="AD174" s="37" t="s">
        <v>81</v>
      </c>
      <c r="AE174" s="37" t="s">
        <v>86</v>
      </c>
      <c r="AF174" s="37" t="s">
        <v>81</v>
      </c>
      <c r="AG174" s="37" t="s">
        <v>87</v>
      </c>
      <c r="AH174" s="37" t="s">
        <v>88</v>
      </c>
      <c r="AI174" s="37" t="s">
        <v>81</v>
      </c>
      <c r="AJ174" s="37" t="s">
        <v>81</v>
      </c>
      <c r="AK174" s="37" t="s">
        <v>81</v>
      </c>
      <c r="AL174" s="37" t="s">
        <v>81</v>
      </c>
      <c r="AM174" t="str">
        <f>VLOOKUP($R174,武学奇术!$A:$ZZ,25,FALSE)</f>
        <v>双刀</v>
      </c>
      <c r="AN174" s="23">
        <f>VLOOKUP($R174,武学奇术!$A:$ZZ,26,FALSE)</f>
        <v>1.7358</v>
      </c>
      <c r="AO174" s="24">
        <f>VLOOKUP($R174,武学奇术!$A:$ZZ,27,FALSE)*(1+IF(OR($AM174=$F$4,$AM174=$F$5),$B$23,0))</f>
        <v>769.6</v>
      </c>
      <c r="AP174" s="23">
        <f>VLOOKUP($R174,武学奇术!$A:$ZZ,28,FALSE)</f>
        <v>2.6037</v>
      </c>
      <c r="AQ174" s="24">
        <f>VLOOKUP($R174,武学奇术!$A:$ZZ,29,FALSE)*(1+IF(OR($AM174=$F$4,$AM174=$F$5),$B$23,0))</f>
        <v>419.2</v>
      </c>
      <c r="AR174" s="23" cm="1">
        <f t="array" ref="AR174">$G$3+IFERROR(VLOOKUP($AM174,$F$4:$G$7,2,FALSE),0)+VLOOKUP($R174,武学奇术!$A:$ZZ,2,FALSE)+SUM(_xlfn.XLOOKUP($S174:$AL174,增益!$A:$A,增益!$B:$B,0))</f>
        <v>0.6243</v>
      </c>
      <c r="AS174" s="23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4150.4</v>
      </c>
      <c r="AU174" cm="1">
        <f t="array" ref="AU174">$E$10*(1+$AS174)+VLOOKUP($R174,武学奇术!$A:$ZZ,4,FALSE)+SUM(_xlfn.XLOOKUP($S174:$AL174,增益!$A:$A,增益!$D:$D,0))-$I$2</f>
        <v>4150.4</v>
      </c>
      <c r="AV174" s="29" cm="1">
        <f t="array" ref="AV174">IF($F$10-$I$3+VLOOKUP($R174,武学奇术!$A:$ZZ,6,FALSE)+SUM(_xlfn.XLOOKUP(S174:AL174,增益!$A:$A,增益!$F:$F,0))&gt;0,($F$10-$I$3+VLOOKUP($R174,武学奇术!$A:$ZZ,6,FALSE)+SUM(_xlfn.XLOOKUP(S174:AL174,增益!$A:$A,增益!$F:$F,0)))/200,($F$10-$I$3+VLOOKUP($R174,武学奇术!$A:$ZZ,6,FALSE)+SUM(_xlfn.XLOOKUP(S174:AL174,增益!$A:$A,增益!$F:$F,0)))/100)</f>
        <v>0.4539</v>
      </c>
      <c r="AW174" s="29" cm="1">
        <f t="array" ref="AW174">$G$10+VLOOKUP($R174,武学奇术!$A:$ZZ,7,FALSE)+SUM(_xlfn.XLOOKUP(S174:AL174,增益!$A:$A,增益!$G:$G,0))</f>
        <v>0.08</v>
      </c>
      <c r="AX174" s="23" cm="1">
        <f t="array" ref="AX174">VLOOKUP($R174,武学奇术!$A:$ZZ,8,FALSE)+SUM(_xlfn.XLOOKUP(S174:AL174,增益!$A:$A,增益!$H:$H,0))</f>
        <v>0</v>
      </c>
      <c r="AY174">
        <f t="shared" si="57"/>
        <v>0</v>
      </c>
      <c r="AZ174">
        <f t="shared" si="58"/>
        <v>0</v>
      </c>
      <c r="BA174" s="29" cm="1">
        <f t="array" ref="BA174">IF($F$11-$I$4+VLOOKUP($R174,武学奇术!$A:$ZZ,9,FALSE)+SUM(_xlfn.XLOOKUP(S174:AL174,增益!$A:$A,增益!$I:$I,0))&gt;0,($F$11-$I$4+VLOOKUP($R174,武学奇术!$A:$ZZ,9,FALSE)+SUM(_xlfn.XLOOKUP(S174:AL174,增益!$A:$A,增益!$I:$I,0)))/200,($F$11-$I$4+VLOOKUP($R174,武学奇术!$A:$ZZ,9,FALSE)+SUM(_xlfn.XLOOKUP(S174:AL174,增益!$A:$A,增益!$I:$I,0)))/100)</f>
        <v>-0.14</v>
      </c>
      <c r="BB174" s="29" cm="1">
        <f t="array" ref="BB174">$G$11+VLOOKUP($R174,武学奇术!$A:$ZZ,10,FALSE)+SUM(_xlfn.XLOOKUP(S174:AL174,增益!$A:$A,增益!$J:$J,0))</f>
        <v>0.02</v>
      </c>
      <c r="BC174">
        <f t="shared" si="59"/>
        <v>0</v>
      </c>
      <c r="BD174">
        <f t="shared" si="60"/>
        <v>0</v>
      </c>
      <c r="BE174" s="29" cm="1">
        <f t="array" ref="BE174">IF($F$12-$I$4+VLOOKUP($R174,武学奇术!$A:$ZZ,11,FALSE)+SUM(_xlfn.XLOOKUP(S174:AL174,增益!$A:$A,增益!$K:$K,0))&gt;0,($F$12-$I$4+VLOOKUP($R174,武学奇术!$A:$ZZ,11,FALSE)+SUM(_xlfn.XLOOKUP(S174:AL174,增益!$A:$A,增益!$K:$K,0)))/200,($F$12-$I$4+VLOOKUP($R174,武学奇术!$A:$ZZ,11,FALSE)+SUM(_xlfn.XLOOKUP(S174:AL174,增益!$A:$A,增益!$K:$K,0)))/100)</f>
        <v>-0.14</v>
      </c>
      <c r="BF174" s="29" cm="1">
        <f t="array" ref="BF174">$G$12+VLOOKUP($R174,武学奇术!$A:$ZZ,12,FALSE)+SUM(_xlfn.XLOOKUP(S174:AL174,增益!$A:$A,增益!$L:$L,0))</f>
        <v>0.02</v>
      </c>
      <c r="BG174">
        <f t="shared" si="61"/>
        <v>0</v>
      </c>
      <c r="BH174">
        <f t="shared" si="62"/>
        <v>0</v>
      </c>
      <c r="BI174" s="29" cm="1">
        <f t="array" ref="BI174">IF($F$13-$I$4+VLOOKUP($R174,武学奇术!$A:$ZZ,13,FALSE)+SUM(_xlfn.XLOOKUP(S174:AL174,增益!$A:$A,增益!$M:$M,0))&gt;0,($F$13-$I$4+VLOOKUP($R174,武学奇术!$A:$ZZ,13,FALSE)+SUM(_xlfn.XLOOKUP(S174:AL174,增益!$A:$A,增益!$K:$K,0)))/200,($F$13-$I$4+VLOOKUP($R174,武学奇术!$A:$ZZ,13,FALSE)+SUM(_xlfn.XLOOKUP(S174:AL174,增益!$A:$A,增益!$M:$M,0)))/100)</f>
        <v>-0.14</v>
      </c>
      <c r="BJ174" s="29" cm="1">
        <f t="array" ref="BJ174">$G$13+VLOOKUP($R174,武学奇术!$A:$ZZ,14,FALSE)+SUM(_xlfn.XLOOKUP(S174:AL174,增益!$A:$A,增益!$N:$N,0))</f>
        <v>0.02</v>
      </c>
      <c r="BK174">
        <f t="shared" si="63"/>
        <v>618.2</v>
      </c>
      <c r="BL174">
        <f t="shared" si="64"/>
        <v>1805</v>
      </c>
      <c r="BM174" s="29" cm="1">
        <f t="array" ref="BM174">IF($F$14-$I$4+VLOOKUP($R174,武学奇术!$A:$ZZ,15,FALSE)+SUM(_xlfn.XLOOKUP(S174:AL174,增益!$A:$A,增益!$O:$O,0))&gt;0,($F$14-$I$4+VLOOKUP($R174,武学奇术!$A:$ZZ,15,FALSE)+SUM(_xlfn.XLOOKUP(S174:AL174,增益!$A:$A,增益!$O:$O,0)))/200,($F$14-$I$4+VLOOKUP($R174,武学奇术!$A:$ZZ,15,FALSE)+SUM(_xlfn.XLOOKUP(S174:AL174,增益!$A:$A,增益!$O:$O,0)))/100)</f>
        <v>0.13</v>
      </c>
      <c r="BN174" s="29" cm="1">
        <f t="array" ref="BN174">$G$14+VLOOKUP($R174,武学奇术!$A:$ZZ,16,FALSE)+SUM(_xlfn.XLOOKUP(S174:AL174,增益!$A:$A,增益!$P:$P,0))</f>
        <v>0.23</v>
      </c>
      <c r="BO174" s="23">
        <f>MIN(IF(VLOOKUP($R174,武学奇术!$A:$ZZ,23,FALSE)=1,100%,$B$8),100%)</f>
        <v>0.9943</v>
      </c>
      <c r="BP174" s="23" cm="1">
        <f t="array" ref="BP174">IF(VLOOKUP($R174,武学奇术!$A:$ZZ,23,FALSE)=1,100%,MIN(80%,$B$9+VLOOKUP($R174,武学奇术!$A:$ZZ,17,FALSE)+SUM(_xlfn.XLOOKUP(S174:AL174,增益!$A:$A,增益!$Q:$Q,0)))+$B$11+SUM(_xlfn.XLOOKUP(S174:AL174,增益!$A:$A,增益!$U:$U,0)))*IF(VLOOKUP($R174,武学奇术!$A:$ZZ,24,FALSE)=1,0,1)</f>
        <v>0.887</v>
      </c>
      <c r="BQ174" s="23" cm="1">
        <f t="array" ref="BQ174">1+$B$13+VLOOKUP($R174,武学奇术!$A:$ZZ,18,FALSE)+SUM(_xlfn.XLOOKUP(S174:AL174,增益!$A:$A,增益!$R:$R,0))</f>
        <v>2.394</v>
      </c>
      <c r="BR174" s="23" cm="1">
        <f t="array" ref="BR174">IF(VLOOKUP($R174,武学奇术!$A:$ZZ,24,FALSE)=1,100%,MIN(40%,$B$10+VLOOKUP($R174,武学奇术!$A:$ZZ,19,FALSE)+SUM(_xlfn.XLOOKUP(S174:AL174,增益!$A:$A,增益!$S:$S,0)))+$B$12+SUM(_xlfn.XLOOKUP(S174:AL174,增益!$A:$A,增益!$V:$V,0)))*IF(VLOOKUP($R174,武学奇术!$A:$ZZ,23,FALSE)=1,0,1)</f>
        <v>0.0913</v>
      </c>
      <c r="BS174" s="23" cm="1">
        <f t="array" ref="BS174">1+$B$14+VLOOKUP($R174,武学奇术!$A:$ZZ,20,FALSE)+SUM(_xlfn.XLOOKUP(S174:AL174,增益!$A:$A,增益!$T:$T,0))</f>
        <v>1.35</v>
      </c>
      <c r="BT174" s="23">
        <f t="shared" si="65"/>
        <v>0.8819441</v>
      </c>
      <c r="BU174" s="23">
        <f t="shared" si="66"/>
        <v>0.0215763099999999</v>
      </c>
      <c r="BV174" s="23">
        <f>IF(VLOOKUP($R174,武学奇术!$A:$ZZ,22,FALSE)=1,0,(1-$BO174))*(1-$BR174)</f>
        <v>0.00517958999999993</v>
      </c>
      <c r="BW174" s="23" cm="1">
        <f t="array" ref="BW174">SUM(_xlfn.XLOOKUP(S174:AL174,增益!$A:$A,增益!$W:$W,0))+$I$5</f>
        <v>0.11</v>
      </c>
      <c r="BX174" s="23">
        <f>VLOOKUP($R174,武学奇术!$A:$ZZ,32,FALSE)</f>
        <v>0.1</v>
      </c>
      <c r="BY174" s="23" cm="1">
        <f t="array" ref="BY174">SUM(_xlfn.XLOOKUP($S174:$AL174,增益!$A:$A,增益!$X:$X,0))</f>
        <v>0</v>
      </c>
    </row>
    <row r="175" spans="11:77">
      <c r="K175" s="35">
        <f>$L175*VLOOKUP($R175,武学奇术!$A:$ZZ,31,FALSE)</f>
        <v>65170.8809039469</v>
      </c>
      <c r="L175" s="69">
        <f t="shared" si="56"/>
        <v>63893.0204940656</v>
      </c>
      <c r="M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轻击",$B$21,0))*(1+IF(VLOOKUP($R175,武学奇术!$A:$ZZ,30,FALSE)="老鼠",$B$22,0))*(1+$BW175)*(1+$BX175)</f>
        <v>67167.0272072557</v>
      </c>
      <c r="N175" s="35">
        <f>(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轻击",$B$21,0))*(1+IF(VLOOKUP($R175,武学奇术!$A:$ZZ,30,FALSE)="老鼠",$B$22,0))*(1+$BW175))*(1+$BX175)</f>
        <v>42983.3268402724</v>
      </c>
      <c r="O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轻击",$B$21,0))*(1+IF(VLOOKUP($R175,武学奇术!$A:$ZZ,30,FALSE)="老鼠",$B$22,0))*(1+$BW175)*(1+$BX175)</f>
        <v>28056.4023422121</v>
      </c>
      <c r="P175" s="35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轻击",$B$21,0))*(1+IF(VLOOKUP($R175,武学奇术!$A:$ZZ,30,FALSE)="老鼠",$B$22,0))*(1+$BW175)*(1+$BX175)</f>
        <v>24273.3033212593</v>
      </c>
      <c r="Q175" s="70">
        <v>2</v>
      </c>
      <c r="R175" s="37" t="s">
        <v>106</v>
      </c>
      <c r="S175" s="37" t="s">
        <v>91</v>
      </c>
      <c r="T175" s="37" t="s">
        <v>185</v>
      </c>
      <c r="U175" s="37" t="s">
        <v>112</v>
      </c>
      <c r="V175" s="37" t="s">
        <v>113</v>
      </c>
      <c r="W175" s="37" t="s">
        <v>82</v>
      </c>
      <c r="X175" s="37" t="s">
        <v>81</v>
      </c>
      <c r="Y175" s="37" t="s">
        <v>109</v>
      </c>
      <c r="Z175" s="37" t="s">
        <v>83</v>
      </c>
      <c r="AA175" s="37" t="s">
        <v>84</v>
      </c>
      <c r="AB175" s="37" t="s">
        <v>81</v>
      </c>
      <c r="AC175" s="37" t="s">
        <v>81</v>
      </c>
      <c r="AD175" s="37" t="s">
        <v>81</v>
      </c>
      <c r="AE175" s="37" t="s">
        <v>86</v>
      </c>
      <c r="AF175" s="37" t="s">
        <v>81</v>
      </c>
      <c r="AG175" s="37" t="s">
        <v>87</v>
      </c>
      <c r="AH175" s="37" t="s">
        <v>88</v>
      </c>
      <c r="AI175" s="37" t="s">
        <v>81</v>
      </c>
      <c r="AJ175" s="37" t="s">
        <v>81</v>
      </c>
      <c r="AK175" s="37" t="s">
        <v>81</v>
      </c>
      <c r="AL175" s="37" t="s">
        <v>81</v>
      </c>
      <c r="AM175" t="str">
        <f>VLOOKUP($R175,武学奇术!$A:$ZZ,25,FALSE)</f>
        <v>绳镖</v>
      </c>
      <c r="AN175" s="23">
        <f>VLOOKUP($R175,武学奇术!$A:$ZZ,26,FALSE)</f>
        <v>0.3675</v>
      </c>
      <c r="AO175" s="24">
        <f>VLOOKUP($R175,武学奇术!$A:$ZZ,27,FALSE)*(1+IF(OR($AM175=$F$4,$AM175=$F$5),$B$23,0))</f>
        <v>0</v>
      </c>
      <c r="AP175" s="23">
        <f>VLOOKUP($R175,武学奇术!$A:$ZZ,28,FALSE)</f>
        <v>0.55125</v>
      </c>
      <c r="AQ175" s="24">
        <f>VLOOKUP($R175,武学奇术!$A:$ZZ,29,FALSE)*(1+IF(OR($AM175=$F$4,$AM175=$F$5),$B$23,0))</f>
        <v>0</v>
      </c>
      <c r="AR175" s="23" cm="1">
        <f t="array" ref="AR175">$G$3+IFERROR(VLOOKUP($AM175,$F$4:$G$7,2,FALSE),0)+VLOOKUP($R175,武学奇术!$A:$ZZ,2,FALSE)+SUM(_xlfn.XLOOKUP($S175:$AL175,增益!$A:$A,增益!$B:$B,0))</f>
        <v>1.4243</v>
      </c>
      <c r="AS175" s="23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4150.4</v>
      </c>
      <c r="AU175" cm="1">
        <f t="array" ref="AU175">$E$10*(1+$AS175)+VLOOKUP($R175,武学奇术!$A:$ZZ,4,FALSE)+SUM(_xlfn.XLOOKUP($S175:$AL175,增益!$A:$A,增益!$D:$D,0))-$I$2</f>
        <v>4150.4</v>
      </c>
      <c r="AV175" s="29" cm="1">
        <f t="array" ref="AV175">IF($F$10-$I$3+VLOOKUP($R175,武学奇术!$A:$ZZ,6,FALSE)+SUM(_xlfn.XLOOKUP(S175:AL175,增益!$A:$A,增益!$F:$F,0))&gt;0,($F$10-$I$3+VLOOKUP($R175,武学奇术!$A:$ZZ,6,FALSE)+SUM(_xlfn.XLOOKUP(S175:AL175,增益!$A:$A,增益!$F:$F,0)))/200,($F$10-$I$3+VLOOKUP($R175,武学奇术!$A:$ZZ,6,FALSE)+SUM(_xlfn.XLOOKUP(S175:AL175,增益!$A:$A,增益!$F:$F,0)))/100)</f>
        <v>0.4539</v>
      </c>
      <c r="AW175" s="29" cm="1">
        <f t="array" ref="AW175">$G$10+VLOOKUP($R175,武学奇术!$A:$ZZ,7,FALSE)+SUM(_xlfn.XLOOKUP(S175:AL175,增益!$A:$A,增益!$G:$G,0))</f>
        <v>0.29</v>
      </c>
      <c r="AX175" s="23" cm="1">
        <f t="array" ref="AX175">VLOOKUP($R175,武学奇术!$A:$ZZ,8,FALSE)+SUM(_xlfn.XLOOKUP(S175:AL175,增益!$A:$A,增益!$H:$H,0))</f>
        <v>0</v>
      </c>
      <c r="AY175">
        <f t="shared" si="57"/>
        <v>0</v>
      </c>
      <c r="AZ175">
        <f t="shared" si="58"/>
        <v>0</v>
      </c>
      <c r="BA175" s="29" cm="1">
        <f t="array" ref="BA175">IF($F$11-$I$4+VLOOKUP($R175,武学奇术!$A:$ZZ,9,FALSE)+SUM(_xlfn.XLOOKUP(S175:AL175,增益!$A:$A,增益!$I:$I,0))&gt;0,($F$11-$I$4+VLOOKUP($R175,武学奇术!$A:$ZZ,9,FALSE)+SUM(_xlfn.XLOOKUP(S175:AL175,增益!$A:$A,增益!$I:$I,0)))/200,($F$11-$I$4+VLOOKUP($R175,武学奇术!$A:$ZZ,9,FALSE)+SUM(_xlfn.XLOOKUP(S175:AL175,增益!$A:$A,增益!$I:$I,0)))/100)</f>
        <v>-0.14</v>
      </c>
      <c r="BB175" s="29" cm="1">
        <f t="array" ref="BB175">$G$11+VLOOKUP($R175,武学奇术!$A:$ZZ,10,FALSE)+SUM(_xlfn.XLOOKUP(S175:AL175,增益!$A:$A,增益!$J:$J,0))</f>
        <v>0.02</v>
      </c>
      <c r="BC175">
        <f t="shared" si="59"/>
        <v>0</v>
      </c>
      <c r="BD175">
        <f t="shared" si="60"/>
        <v>0</v>
      </c>
      <c r="BE175" s="29" cm="1">
        <f t="array" ref="BE175">IF($F$12-$I$4+VLOOKUP($R175,武学奇术!$A:$ZZ,11,FALSE)+SUM(_xlfn.XLOOKUP(S175:AL175,增益!$A:$A,增益!$K:$K,0))&gt;0,($F$12-$I$4+VLOOKUP($R175,武学奇术!$A:$ZZ,11,FALSE)+SUM(_xlfn.XLOOKUP(S175:AL175,增益!$A:$A,增益!$K:$K,0)))/200,($F$12-$I$4+VLOOKUP($R175,武学奇术!$A:$ZZ,11,FALSE)+SUM(_xlfn.XLOOKUP(S175:AL175,增益!$A:$A,增益!$K:$K,0)))/100)</f>
        <v>-0.14</v>
      </c>
      <c r="BF175" s="29" cm="1">
        <f t="array" ref="BF175">$G$12+VLOOKUP($R175,武学奇术!$A:$ZZ,12,FALSE)+SUM(_xlfn.XLOOKUP(S175:AL175,增益!$A:$A,增益!$L:$L,0))</f>
        <v>0.02</v>
      </c>
      <c r="BG175">
        <f t="shared" si="61"/>
        <v>0</v>
      </c>
      <c r="BH175">
        <f t="shared" si="62"/>
        <v>0</v>
      </c>
      <c r="BI175" s="29" cm="1">
        <f t="array" ref="BI175">IF($F$13-$I$4+VLOOKUP($R175,武学奇术!$A:$ZZ,13,FALSE)+SUM(_xlfn.XLOOKUP(S175:AL175,增益!$A:$A,增益!$M:$M,0))&gt;0,($F$13-$I$4+VLOOKUP($R175,武学奇术!$A:$ZZ,13,FALSE)+SUM(_xlfn.XLOOKUP(S175:AL175,增益!$A:$A,增益!$K:$K,0)))/200,($F$13-$I$4+VLOOKUP($R175,武学奇术!$A:$ZZ,13,FALSE)+SUM(_xlfn.XLOOKUP(S175:AL175,增益!$A:$A,增益!$M:$M,0)))/100)</f>
        <v>-0.14</v>
      </c>
      <c r="BJ175" s="29" cm="1">
        <f t="array" ref="BJ175">$G$13+VLOOKUP($R175,武学奇术!$A:$ZZ,14,FALSE)+SUM(_xlfn.XLOOKUP(S175:AL175,增益!$A:$A,增益!$N:$N,0))</f>
        <v>0.02</v>
      </c>
      <c r="BK175">
        <f t="shared" si="63"/>
        <v>618.2</v>
      </c>
      <c r="BL175">
        <f t="shared" si="64"/>
        <v>1805</v>
      </c>
      <c r="BM175" s="29" cm="1">
        <f t="array" ref="BM175">IF($F$14-$I$4+VLOOKUP($R175,武学奇术!$A:$ZZ,15,FALSE)+SUM(_xlfn.XLOOKUP(S175:AL175,增益!$A:$A,增益!$O:$O,0))&gt;0,($F$14-$I$4+VLOOKUP($R175,武学奇术!$A:$ZZ,15,FALSE)+SUM(_xlfn.XLOOKUP(S175:AL175,增益!$A:$A,增益!$O:$O,0)))/200,($F$14-$I$4+VLOOKUP($R175,武学奇术!$A:$ZZ,15,FALSE)+SUM(_xlfn.XLOOKUP(S175:AL175,增益!$A:$A,增益!$O:$O,0)))/100)</f>
        <v>0.13</v>
      </c>
      <c r="BN175" s="29" cm="1">
        <f t="array" ref="BN175">$G$14+VLOOKUP($R175,武学奇术!$A:$ZZ,16,FALSE)+SUM(_xlfn.XLOOKUP(S175:AL175,增益!$A:$A,增益!$P:$P,0))</f>
        <v>0.44</v>
      </c>
      <c r="BO175" s="23">
        <f>MIN(IF(VLOOKUP($R175,武学奇术!$A:$ZZ,23,FALSE)=1,100%,$B$8),100%)</f>
        <v>0.9943</v>
      </c>
      <c r="BP175" s="23" cm="1">
        <f t="array" ref="BP175">IF(VLOOKUP($R175,武学奇术!$A:$ZZ,23,FALSE)=1,100%,MIN(80%,$B$9+VLOOKUP($R175,武学奇术!$A:$ZZ,17,FALSE)+SUM(_xlfn.XLOOKUP(S175:AL175,增益!$A:$A,增益!$Q:$Q,0)))+$B$11+SUM(_xlfn.XLOOKUP(S175:AL175,增益!$A:$A,增益!$U:$U,0)))*IF(VLOOKUP($R175,武学奇术!$A:$ZZ,24,FALSE)=1,0,1)</f>
        <v>0.887</v>
      </c>
      <c r="BQ175" s="23" cm="1">
        <f t="array" ref="BQ175">1+$B$13+VLOOKUP($R175,武学奇术!$A:$ZZ,18,FALSE)+SUM(_xlfn.XLOOKUP(S175:AL175,增益!$A:$A,增益!$R:$R,0))</f>
        <v>2.394</v>
      </c>
      <c r="BR175" s="23" cm="1">
        <f t="array" ref="BR175">IF(VLOOKUP($R175,武学奇术!$A:$ZZ,24,FALSE)=1,100%,MIN(40%,$B$10+VLOOKUP($R175,武学奇术!$A:$ZZ,19,FALSE)+SUM(_xlfn.XLOOKUP(S175:AL175,增益!$A:$A,增益!$S:$S,0)))+$B$12+SUM(_xlfn.XLOOKUP(S175:AL175,增益!$A:$A,增益!$V:$V,0)))*IF(VLOOKUP($R175,武学奇术!$A:$ZZ,23,FALSE)=1,0,1)</f>
        <v>0.0913</v>
      </c>
      <c r="BS175" s="23" cm="1">
        <f t="array" ref="BS175">1+$B$14+VLOOKUP($R175,武学奇术!$A:$ZZ,20,FALSE)+SUM(_xlfn.XLOOKUP(S175:AL175,增益!$A:$A,增益!$T:$T,0))</f>
        <v>1.35</v>
      </c>
      <c r="BT175" s="23">
        <f t="shared" si="65"/>
        <v>0.8819441</v>
      </c>
      <c r="BU175" s="23">
        <f t="shared" si="66"/>
        <v>0.0215763099999999</v>
      </c>
      <c r="BV175" s="23">
        <f>IF(VLOOKUP($R175,武学奇术!$A:$ZZ,22,FALSE)=1,0,(1-$BO175))*(1-$BR175)</f>
        <v>0.00517958999999993</v>
      </c>
      <c r="BW175" s="23" cm="1">
        <f t="array" ref="BW175">SUM(_xlfn.XLOOKUP(S175:AL175,增益!$A:$A,增益!$W:$W,0))+$I$5</f>
        <v>0.11</v>
      </c>
      <c r="BX175" s="23">
        <f>VLOOKUP($R175,武学奇术!$A:$ZZ,32,FALSE)</f>
        <v>0</v>
      </c>
      <c r="BY175" s="23" cm="1">
        <f t="array" ref="BY175">SUM(_xlfn.XLOOKUP($S175:$AL175,增益!$A:$A,增益!$X:$X,0))</f>
        <v>0</v>
      </c>
    </row>
    <row r="176" spans="11:77">
      <c r="K176" s="35">
        <f>$L176*VLOOKUP($R176,武学奇术!$A:$ZZ,31,FALSE)</f>
        <v>84458.7540827984</v>
      </c>
      <c r="L176" s="35">
        <f t="shared" si="56"/>
        <v>75409.6018596415</v>
      </c>
      <c r="M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轻击",$B$21,0))*(1+IF(VLOOKUP($R176,武学奇术!$A:$ZZ,30,FALSE)="老鼠",$B$22,0))*(1+$BW176)*(1+$BX176)</f>
        <v>79500.6863890995</v>
      </c>
      <c r="N176" s="35">
        <f>(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轻击",$B$21,0))*(1+IF(VLOOKUP($R176,武学奇术!$A:$ZZ,30,FALSE)="老鼠",$B$22,0))*(1+$BW176))*(1+$BX176)</f>
        <v>73677.3819318688</v>
      </c>
      <c r="O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轻击",$B$21,0))*(1+IF(VLOOKUP($R176,武学奇术!$A:$ZZ,30,FALSE)="老鼠",$B$22,0))*(1+$BW176)*(1+$BX176)</f>
        <v>48358.0817451943</v>
      </c>
      <c r="P176" s="35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轻击",$B$21,0))*(1+IF(VLOOKUP($R176,武学奇术!$A:$ZZ,30,FALSE)="老鼠",$B$22,0))*(1+$BW176)*(1+$BX176)</f>
        <v>42140.3250223377</v>
      </c>
      <c r="Q176" s="36">
        <v>1</v>
      </c>
      <c r="R176" s="37" t="s">
        <v>158</v>
      </c>
      <c r="S176" s="37" t="s">
        <v>91</v>
      </c>
      <c r="T176" s="37" t="s">
        <v>185</v>
      </c>
      <c r="U176" s="37" t="s">
        <v>112</v>
      </c>
      <c r="V176" s="37" t="s">
        <v>113</v>
      </c>
      <c r="W176" s="37" t="s">
        <v>82</v>
      </c>
      <c r="X176" s="37" t="s">
        <v>81</v>
      </c>
      <c r="Y176" s="37" t="s">
        <v>109</v>
      </c>
      <c r="Z176" s="37" t="s">
        <v>81</v>
      </c>
      <c r="AA176" s="37" t="s">
        <v>84</v>
      </c>
      <c r="AB176" s="37" t="s">
        <v>81</v>
      </c>
      <c r="AC176" s="37" t="s">
        <v>81</v>
      </c>
      <c r="AD176" s="37" t="s">
        <v>81</v>
      </c>
      <c r="AE176" s="37" t="s">
        <v>81</v>
      </c>
      <c r="AF176" s="37" t="s">
        <v>81</v>
      </c>
      <c r="AG176" s="37" t="s">
        <v>87</v>
      </c>
      <c r="AH176" s="37" t="s">
        <v>88</v>
      </c>
      <c r="AI176" s="37" t="s">
        <v>81</v>
      </c>
      <c r="AJ176" s="37" t="s">
        <v>81</v>
      </c>
      <c r="AK176" s="37" t="s">
        <v>81</v>
      </c>
      <c r="AL176" s="37" t="s">
        <v>81</v>
      </c>
      <c r="AM176" t="str">
        <f>VLOOKUP($R176,武学奇术!$A:$ZZ,25,FALSE)</f>
        <v>双刀</v>
      </c>
      <c r="AN176" s="23">
        <f>VLOOKUP($R176,武学奇术!$A:$ZZ,26,FALSE)</f>
        <v>2.5342</v>
      </c>
      <c r="AO176" s="24">
        <f>VLOOKUP($R176,武学奇术!$A:$ZZ,27,FALSE)*(1+IF(OR($AM176=$F$4,$AM176=$F$5),$B$23,0))</f>
        <v>1123.2</v>
      </c>
      <c r="AP176" s="23">
        <f>VLOOKUP($R176,武学奇术!$A:$ZZ,28,FALSE)</f>
        <v>3.8012</v>
      </c>
      <c r="AQ176" s="24">
        <f>VLOOKUP($R176,武学奇术!$A:$ZZ,29,FALSE)*(1+IF(OR($AM176=$F$4,$AM176=$F$5),$B$23,0))</f>
        <v>611.2</v>
      </c>
      <c r="AR176" s="23" cm="1">
        <f t="array" ref="AR176">$G$3+IFERROR(VLOOKUP($AM176,$F$4:$G$7,2,FALSE),0)+VLOOKUP($R176,武学奇术!$A:$ZZ,2,FALSE)+SUM(_xlfn.XLOOKUP($S176:$AL176,增益!$A:$A,增益!$B:$B,0))</f>
        <v>0.6243</v>
      </c>
      <c r="AS176" s="23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4150.4</v>
      </c>
      <c r="AU176" cm="1">
        <f t="array" ref="AU176">$E$10*(1+$AS176)+VLOOKUP($R176,武学奇术!$A:$ZZ,4,FALSE)+SUM(_xlfn.XLOOKUP($S176:$AL176,增益!$A:$A,增益!$D:$D,0))-$I$2</f>
        <v>4150.4</v>
      </c>
      <c r="AV176" s="29" cm="1">
        <f t="array" ref="AV176">IF($F$10-$I$3+VLOOKUP($R176,武学奇术!$A:$ZZ,6,FALSE)+SUM(_xlfn.XLOOKUP(S176:AL176,增益!$A:$A,增益!$F:$F,0))&gt;0,($F$10-$I$3+VLOOKUP($R176,武学奇术!$A:$ZZ,6,FALSE)+SUM(_xlfn.XLOOKUP(S176:AL176,增益!$A:$A,增益!$F:$F,0)))/200,($F$10-$I$3+VLOOKUP($R176,武学奇术!$A:$ZZ,6,FALSE)+SUM(_xlfn.XLOOKUP(S176:AL176,增益!$A:$A,增益!$F:$F,0)))/100)</f>
        <v>0.3289</v>
      </c>
      <c r="AW176" s="29" cm="1">
        <f t="array" ref="AW176">$G$10+VLOOKUP($R176,武学奇术!$A:$ZZ,7,FALSE)+SUM(_xlfn.XLOOKUP(S176:AL176,增益!$A:$A,增益!$G:$G,0))</f>
        <v>0.08</v>
      </c>
      <c r="AX176" s="23" cm="1">
        <f t="array" ref="AX176">VLOOKUP($R176,武学奇术!$A:$ZZ,8,FALSE)+SUM(_xlfn.XLOOKUP(S176:AL176,增益!$A:$A,增益!$H:$H,0))</f>
        <v>0</v>
      </c>
      <c r="AY176">
        <f t="shared" si="57"/>
        <v>0</v>
      </c>
      <c r="AZ176">
        <f t="shared" si="58"/>
        <v>0</v>
      </c>
      <c r="BA176" s="29" cm="1">
        <f t="array" ref="BA176">IF($F$11-$I$4+VLOOKUP($R176,武学奇术!$A:$ZZ,9,FALSE)+SUM(_xlfn.XLOOKUP(S176:AL176,增益!$A:$A,增益!$I:$I,0))&gt;0,($F$11-$I$4+VLOOKUP($R176,武学奇术!$A:$ZZ,9,FALSE)+SUM(_xlfn.XLOOKUP(S176:AL176,增益!$A:$A,增益!$I:$I,0)))/200,($F$11-$I$4+VLOOKUP($R176,武学奇术!$A:$ZZ,9,FALSE)+SUM(_xlfn.XLOOKUP(S176:AL176,增益!$A:$A,增益!$I:$I,0)))/100)</f>
        <v>-0.14</v>
      </c>
      <c r="BB176" s="29" cm="1">
        <f t="array" ref="BB176">$G$11+VLOOKUP($R176,武学奇术!$A:$ZZ,10,FALSE)+SUM(_xlfn.XLOOKUP(S176:AL176,增益!$A:$A,增益!$J:$J,0))</f>
        <v>0.02</v>
      </c>
      <c r="BC176">
        <f t="shared" si="59"/>
        <v>0</v>
      </c>
      <c r="BD176">
        <f t="shared" si="60"/>
        <v>0</v>
      </c>
      <c r="BE176" s="29" cm="1">
        <f t="array" ref="BE176">IF($F$12-$I$4+VLOOKUP($R176,武学奇术!$A:$ZZ,11,FALSE)+SUM(_xlfn.XLOOKUP(S176:AL176,增益!$A:$A,增益!$K:$K,0))&gt;0,($F$12-$I$4+VLOOKUP($R176,武学奇术!$A:$ZZ,11,FALSE)+SUM(_xlfn.XLOOKUP(S176:AL176,增益!$A:$A,增益!$K:$K,0)))/200,($F$12-$I$4+VLOOKUP($R176,武学奇术!$A:$ZZ,11,FALSE)+SUM(_xlfn.XLOOKUP(S176:AL176,增益!$A:$A,增益!$K:$K,0)))/100)</f>
        <v>-0.14</v>
      </c>
      <c r="BF176" s="29" cm="1">
        <f t="array" ref="BF176">$G$12+VLOOKUP($R176,武学奇术!$A:$ZZ,12,FALSE)+SUM(_xlfn.XLOOKUP(S176:AL176,增益!$A:$A,增益!$L:$L,0))</f>
        <v>0.02</v>
      </c>
      <c r="BG176">
        <f t="shared" si="61"/>
        <v>0</v>
      </c>
      <c r="BH176">
        <f t="shared" si="62"/>
        <v>0</v>
      </c>
      <c r="BI176" s="29" cm="1">
        <f t="array" ref="BI176">IF($F$13-$I$4+VLOOKUP($R176,武学奇术!$A:$ZZ,13,FALSE)+SUM(_xlfn.XLOOKUP(S176:AL176,增益!$A:$A,增益!$M:$M,0))&gt;0,($F$13-$I$4+VLOOKUP($R176,武学奇术!$A:$ZZ,13,FALSE)+SUM(_xlfn.XLOOKUP(S176:AL176,增益!$A:$A,增益!$K:$K,0)))/200,($F$13-$I$4+VLOOKUP($R176,武学奇术!$A:$ZZ,13,FALSE)+SUM(_xlfn.XLOOKUP(S176:AL176,增益!$A:$A,增益!$M:$M,0)))/100)</f>
        <v>-0.14</v>
      </c>
      <c r="BJ176" s="29" cm="1">
        <f t="array" ref="BJ176">$G$13+VLOOKUP($R176,武学奇术!$A:$ZZ,14,FALSE)+SUM(_xlfn.XLOOKUP(S176:AL176,增益!$A:$A,增益!$N:$N,0))</f>
        <v>0.02</v>
      </c>
      <c r="BK176">
        <f t="shared" si="63"/>
        <v>618.2</v>
      </c>
      <c r="BL176">
        <f t="shared" si="64"/>
        <v>1805</v>
      </c>
      <c r="BM176" s="29" cm="1">
        <f t="array" ref="BM176">IF($F$14-$I$4+VLOOKUP($R176,武学奇术!$A:$ZZ,15,FALSE)+SUM(_xlfn.XLOOKUP(S176:AL176,增益!$A:$A,增益!$O:$O,0))&gt;0,($F$14-$I$4+VLOOKUP($R176,武学奇术!$A:$ZZ,15,FALSE)+SUM(_xlfn.XLOOKUP(S176:AL176,增益!$A:$A,增益!$O:$O,0)))/200,($F$14-$I$4+VLOOKUP($R176,武学奇术!$A:$ZZ,15,FALSE)+SUM(_xlfn.XLOOKUP(S176:AL176,增益!$A:$A,增益!$O:$O,0)))/100)</f>
        <v>0.13</v>
      </c>
      <c r="BN176" s="29" cm="1">
        <f t="array" ref="BN176">$G$14+VLOOKUP($R176,武学奇术!$A:$ZZ,16,FALSE)+SUM(_xlfn.XLOOKUP(S176:AL176,增益!$A:$A,增益!$P:$P,0))</f>
        <v>0.23</v>
      </c>
      <c r="BO176" s="23">
        <f>MIN(IF(VLOOKUP($R176,武学奇术!$A:$ZZ,23,FALSE)=1,100%,$B$8),100%)</f>
        <v>0.9943</v>
      </c>
      <c r="BP176" s="23" cm="1">
        <f t="array" ref="BP176">IF(VLOOKUP($R176,武学奇术!$A:$ZZ,23,FALSE)=1,100%,MIN(80%,$B$9+VLOOKUP($R176,武学奇术!$A:$ZZ,17,FALSE)+SUM(_xlfn.XLOOKUP(S176:AL176,增益!$A:$A,增益!$Q:$Q,0)))+$B$11+SUM(_xlfn.XLOOKUP(S176:AL176,增益!$A:$A,增益!$U:$U,0)))*IF(VLOOKUP($R176,武学奇术!$A:$ZZ,24,FALSE)=1,0,1)</f>
        <v>0.8</v>
      </c>
      <c r="BQ176" s="23" cm="1">
        <f t="array" ref="BQ176">1+$B$13+VLOOKUP($R176,武学奇术!$A:$ZZ,18,FALSE)+SUM(_xlfn.XLOOKUP(S176:AL176,增益!$A:$A,增益!$R:$R,0))</f>
        <v>1.644</v>
      </c>
      <c r="BR176" s="23" cm="1">
        <f t="array" ref="BR176">IF(VLOOKUP($R176,武学奇术!$A:$ZZ,24,FALSE)=1,100%,MIN(40%,$B$10+VLOOKUP($R176,武学奇术!$A:$ZZ,19,FALSE)+SUM(_xlfn.XLOOKUP(S176:AL176,增益!$A:$A,增益!$S:$S,0)))+$B$12+SUM(_xlfn.XLOOKUP(S176:AL176,增益!$A:$A,增益!$V:$V,0)))*IF(VLOOKUP($R176,武学奇术!$A:$ZZ,23,FALSE)=1,0,1)</f>
        <v>0.0913</v>
      </c>
      <c r="BS176" s="23" cm="1">
        <f t="array" ref="BS176">1+$B$14+VLOOKUP($R176,武学奇术!$A:$ZZ,20,FALSE)+SUM(_xlfn.XLOOKUP(S176:AL176,增益!$A:$A,增益!$T:$T,0))</f>
        <v>1.35</v>
      </c>
      <c r="BT176" s="23">
        <f t="shared" si="65"/>
        <v>0.79544</v>
      </c>
      <c r="BU176" s="23">
        <f t="shared" si="66"/>
        <v>0.10808041</v>
      </c>
      <c r="BV176" s="23">
        <f>IF(VLOOKUP($R176,武学奇术!$A:$ZZ,22,FALSE)=1,0,(1-$BO176))*(1-$BR176)</f>
        <v>0.00517958999999993</v>
      </c>
      <c r="BW176" s="23" cm="1">
        <f t="array" ref="BW176">SUM(_xlfn.XLOOKUP(S176:AL176,增益!$A:$A,增益!$W:$W,0))+$I$5</f>
        <v>0.11</v>
      </c>
      <c r="BX176" s="23">
        <f>VLOOKUP($R176,武学奇术!$A:$ZZ,32,FALSE)</f>
        <v>0.1</v>
      </c>
      <c r="BY176" s="23" cm="1">
        <f t="array" ref="BY176">SUM(_xlfn.XLOOKUP($S176:$AL176,增益!$A:$A,增益!$X:$X,0))</f>
        <v>0</v>
      </c>
    </row>
    <row r="177" spans="11:77">
      <c r="K177" s="35">
        <f>$L177*VLOOKUP($R177,武学奇术!$A:$ZZ,31,FALSE)</f>
        <v>83787.9164455822</v>
      </c>
      <c r="L177" s="69">
        <f t="shared" si="56"/>
        <v>82145.0161231198</v>
      </c>
      <c r="M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轻击",$B$21,0))*(1+IF(VLOOKUP($R177,武学奇术!$A:$ZZ,30,FALSE)="老鼠",$B$22,0))*(1+$BW177)*(1+$BX177)</f>
        <v>86501.8122202128</v>
      </c>
      <c r="N177" s="35">
        <f>(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轻击",$B$21,0))*(1+IF(VLOOKUP($R177,武学奇术!$A:$ZZ,30,FALSE)="老鼠",$B$22,0))*(1+$BW177))*(1+$BX177)</f>
        <v>81246.8773914186</v>
      </c>
      <c r="O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轻击",$B$21,0))*(1+IF(VLOOKUP($R177,武学奇术!$A:$ZZ,30,FALSE)="老鼠",$B$22,0))*(1+$BW177)*(1+$BX177)</f>
        <v>52616.6740998861</v>
      </c>
      <c r="P177" s="35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轻击",$B$21,0))*(1+IF(VLOOKUP($R177,武学奇术!$A:$ZZ,30,FALSE)="老鼠",$B$22,0))*(1+$BW177)*(1+$BX177)</f>
        <v>45050.4760579807</v>
      </c>
      <c r="Q177" s="70">
        <v>4</v>
      </c>
      <c r="R177" s="37" t="s">
        <v>106</v>
      </c>
      <c r="S177" s="37" t="s">
        <v>91</v>
      </c>
      <c r="T177" s="37" t="s">
        <v>185</v>
      </c>
      <c r="U177" s="37" t="s">
        <v>112</v>
      </c>
      <c r="V177" s="37" t="s">
        <v>113</v>
      </c>
      <c r="W177" s="37" t="s">
        <v>82</v>
      </c>
      <c r="X177" s="37" t="s">
        <v>81</v>
      </c>
      <c r="Y177" s="37" t="s">
        <v>109</v>
      </c>
      <c r="Z177" s="37" t="s">
        <v>81</v>
      </c>
      <c r="AA177" s="37" t="s">
        <v>84</v>
      </c>
      <c r="AB177" s="37" t="s">
        <v>81</v>
      </c>
      <c r="AC177" s="37" t="s">
        <v>81</v>
      </c>
      <c r="AD177" s="37" t="s">
        <v>81</v>
      </c>
      <c r="AE177" s="37" t="s">
        <v>81</v>
      </c>
      <c r="AF177" s="37" t="s">
        <v>81</v>
      </c>
      <c r="AG177" s="37" t="s">
        <v>87</v>
      </c>
      <c r="AH177" s="37" t="s">
        <v>88</v>
      </c>
      <c r="AI177" s="37" t="s">
        <v>81</v>
      </c>
      <c r="AJ177" s="37" t="s">
        <v>81</v>
      </c>
      <c r="AK177" s="37" t="s">
        <v>81</v>
      </c>
      <c r="AL177" s="37" t="s">
        <v>81</v>
      </c>
      <c r="AM177" t="str">
        <f>VLOOKUP($R177,武学奇术!$A:$ZZ,25,FALSE)</f>
        <v>绳镖</v>
      </c>
      <c r="AN177" s="23">
        <f>VLOOKUP($R177,武学奇术!$A:$ZZ,26,FALSE)</f>
        <v>0.3675</v>
      </c>
      <c r="AO177" s="24">
        <f>VLOOKUP($R177,武学奇术!$A:$ZZ,27,FALSE)*(1+IF(OR($AM177=$F$4,$AM177=$F$5),$B$23,0))</f>
        <v>0</v>
      </c>
      <c r="AP177" s="23">
        <f>VLOOKUP($R177,武学奇术!$A:$ZZ,28,FALSE)</f>
        <v>0.55125</v>
      </c>
      <c r="AQ177" s="24">
        <f>VLOOKUP($R177,武学奇术!$A:$ZZ,29,FALSE)*(1+IF(OR($AM177=$F$4,$AM177=$F$5),$B$23,0))</f>
        <v>0</v>
      </c>
      <c r="AR177" s="23" cm="1">
        <f t="array" ref="AR177">$G$3+IFERROR(VLOOKUP($AM177,$F$4:$G$7,2,FALSE),0)+VLOOKUP($R177,武学奇术!$A:$ZZ,2,FALSE)+SUM(_xlfn.XLOOKUP($S177:$AL177,增益!$A:$A,增益!$B:$B,0))</f>
        <v>1.4243</v>
      </c>
      <c r="AS177" s="23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4150.4</v>
      </c>
      <c r="AU177" cm="1">
        <f t="array" ref="AU177">$E$10*(1+$AS177)+VLOOKUP($R177,武学奇术!$A:$ZZ,4,FALSE)+SUM(_xlfn.XLOOKUP($S177:$AL177,增益!$A:$A,增益!$D:$D,0))-$I$2</f>
        <v>4150.4</v>
      </c>
      <c r="AV177" s="29" cm="1">
        <f t="array" ref="AV177">IF($F$10-$I$3+VLOOKUP($R177,武学奇术!$A:$ZZ,6,FALSE)+SUM(_xlfn.XLOOKUP(S177:AL177,增益!$A:$A,增益!$F:$F,0))&gt;0,($F$10-$I$3+VLOOKUP($R177,武学奇术!$A:$ZZ,6,FALSE)+SUM(_xlfn.XLOOKUP(S177:AL177,增益!$A:$A,增益!$F:$F,0)))/200,($F$10-$I$3+VLOOKUP($R177,武学奇术!$A:$ZZ,6,FALSE)+SUM(_xlfn.XLOOKUP(S177:AL177,增益!$A:$A,增益!$F:$F,0)))/100)</f>
        <v>0.3289</v>
      </c>
      <c r="AW177" s="29" cm="1">
        <f t="array" ref="AW177">$G$10+VLOOKUP($R177,武学奇术!$A:$ZZ,7,FALSE)+SUM(_xlfn.XLOOKUP(S177:AL177,增益!$A:$A,增益!$G:$G,0))</f>
        <v>0.29</v>
      </c>
      <c r="AX177" s="23" cm="1">
        <f t="array" ref="AX177">VLOOKUP($R177,武学奇术!$A:$ZZ,8,FALSE)+SUM(_xlfn.XLOOKUP(S177:AL177,增益!$A:$A,增益!$H:$H,0))</f>
        <v>0</v>
      </c>
      <c r="AY177">
        <f t="shared" si="57"/>
        <v>0</v>
      </c>
      <c r="AZ177">
        <f t="shared" si="58"/>
        <v>0</v>
      </c>
      <c r="BA177" s="29" cm="1">
        <f t="array" ref="BA177">IF($F$11-$I$4+VLOOKUP($R177,武学奇术!$A:$ZZ,9,FALSE)+SUM(_xlfn.XLOOKUP(S177:AL177,增益!$A:$A,增益!$I:$I,0))&gt;0,($F$11-$I$4+VLOOKUP($R177,武学奇术!$A:$ZZ,9,FALSE)+SUM(_xlfn.XLOOKUP(S177:AL177,增益!$A:$A,增益!$I:$I,0)))/200,($F$11-$I$4+VLOOKUP($R177,武学奇术!$A:$ZZ,9,FALSE)+SUM(_xlfn.XLOOKUP(S177:AL177,增益!$A:$A,增益!$I:$I,0)))/100)</f>
        <v>-0.14</v>
      </c>
      <c r="BB177" s="29" cm="1">
        <f t="array" ref="BB177">$G$11+VLOOKUP($R177,武学奇术!$A:$ZZ,10,FALSE)+SUM(_xlfn.XLOOKUP(S177:AL177,增益!$A:$A,增益!$J:$J,0))</f>
        <v>0.02</v>
      </c>
      <c r="BC177">
        <f t="shared" si="59"/>
        <v>0</v>
      </c>
      <c r="BD177">
        <f t="shared" si="60"/>
        <v>0</v>
      </c>
      <c r="BE177" s="29" cm="1">
        <f t="array" ref="BE177">IF($F$12-$I$4+VLOOKUP($R177,武学奇术!$A:$ZZ,11,FALSE)+SUM(_xlfn.XLOOKUP(S177:AL177,增益!$A:$A,增益!$K:$K,0))&gt;0,($F$12-$I$4+VLOOKUP($R177,武学奇术!$A:$ZZ,11,FALSE)+SUM(_xlfn.XLOOKUP(S177:AL177,增益!$A:$A,增益!$K:$K,0)))/200,($F$12-$I$4+VLOOKUP($R177,武学奇术!$A:$ZZ,11,FALSE)+SUM(_xlfn.XLOOKUP(S177:AL177,增益!$A:$A,增益!$K:$K,0)))/100)</f>
        <v>-0.14</v>
      </c>
      <c r="BF177" s="29" cm="1">
        <f t="array" ref="BF177">$G$12+VLOOKUP($R177,武学奇术!$A:$ZZ,12,FALSE)+SUM(_xlfn.XLOOKUP(S177:AL177,增益!$A:$A,增益!$L:$L,0))</f>
        <v>0.02</v>
      </c>
      <c r="BG177">
        <f t="shared" si="61"/>
        <v>0</v>
      </c>
      <c r="BH177">
        <f t="shared" si="62"/>
        <v>0</v>
      </c>
      <c r="BI177" s="29" cm="1">
        <f t="array" ref="BI177">IF($F$13-$I$4+VLOOKUP($R177,武学奇术!$A:$ZZ,13,FALSE)+SUM(_xlfn.XLOOKUP(S177:AL177,增益!$A:$A,增益!$M:$M,0))&gt;0,($F$13-$I$4+VLOOKUP($R177,武学奇术!$A:$ZZ,13,FALSE)+SUM(_xlfn.XLOOKUP(S177:AL177,增益!$A:$A,增益!$K:$K,0)))/200,($F$13-$I$4+VLOOKUP($R177,武学奇术!$A:$ZZ,13,FALSE)+SUM(_xlfn.XLOOKUP(S177:AL177,增益!$A:$A,增益!$M:$M,0)))/100)</f>
        <v>-0.14</v>
      </c>
      <c r="BJ177" s="29" cm="1">
        <f t="array" ref="BJ177">$G$13+VLOOKUP($R177,武学奇术!$A:$ZZ,14,FALSE)+SUM(_xlfn.XLOOKUP(S177:AL177,增益!$A:$A,增益!$N:$N,0))</f>
        <v>0.02</v>
      </c>
      <c r="BK177">
        <f t="shared" si="63"/>
        <v>618.2</v>
      </c>
      <c r="BL177">
        <f t="shared" si="64"/>
        <v>1805</v>
      </c>
      <c r="BM177" s="29" cm="1">
        <f t="array" ref="BM177">IF($F$14-$I$4+VLOOKUP($R177,武学奇术!$A:$ZZ,15,FALSE)+SUM(_xlfn.XLOOKUP(S177:AL177,增益!$A:$A,增益!$O:$O,0))&gt;0,($F$14-$I$4+VLOOKUP($R177,武学奇术!$A:$ZZ,15,FALSE)+SUM(_xlfn.XLOOKUP(S177:AL177,增益!$A:$A,增益!$O:$O,0)))/200,($F$14-$I$4+VLOOKUP($R177,武学奇术!$A:$ZZ,15,FALSE)+SUM(_xlfn.XLOOKUP(S177:AL177,增益!$A:$A,增益!$O:$O,0)))/100)</f>
        <v>0.13</v>
      </c>
      <c r="BN177" s="29" cm="1">
        <f t="array" ref="BN177">$G$14+VLOOKUP($R177,武学奇术!$A:$ZZ,16,FALSE)+SUM(_xlfn.XLOOKUP(S177:AL177,增益!$A:$A,增益!$P:$P,0))</f>
        <v>0.44</v>
      </c>
      <c r="BO177" s="23">
        <f>MIN(IF(VLOOKUP($R177,武学奇术!$A:$ZZ,23,FALSE)=1,100%,$B$8),100%)</f>
        <v>0.9943</v>
      </c>
      <c r="BP177" s="23" cm="1">
        <f t="array" ref="BP177">IF(VLOOKUP($R177,武学奇术!$A:$ZZ,23,FALSE)=1,100%,MIN(80%,$B$9+VLOOKUP($R177,武学奇术!$A:$ZZ,17,FALSE)+SUM(_xlfn.XLOOKUP(S177:AL177,增益!$A:$A,增益!$Q:$Q,0)))+$B$11+SUM(_xlfn.XLOOKUP(S177:AL177,增益!$A:$A,增益!$U:$U,0)))*IF(VLOOKUP($R177,武学奇术!$A:$ZZ,24,FALSE)=1,0,1)</f>
        <v>0.8</v>
      </c>
      <c r="BQ177" s="23" cm="1">
        <f t="array" ref="BQ177">1+$B$13+VLOOKUP($R177,武学奇术!$A:$ZZ,18,FALSE)+SUM(_xlfn.XLOOKUP(S177:AL177,增益!$A:$A,增益!$R:$R,0))</f>
        <v>1.644</v>
      </c>
      <c r="BR177" s="23" cm="1">
        <f t="array" ref="BR177">IF(VLOOKUP($R177,武学奇术!$A:$ZZ,24,FALSE)=1,100%,MIN(40%,$B$10+VLOOKUP($R177,武学奇术!$A:$ZZ,19,FALSE)+SUM(_xlfn.XLOOKUP(S177:AL177,增益!$A:$A,增益!$S:$S,0)))+$B$12+SUM(_xlfn.XLOOKUP(S177:AL177,增益!$A:$A,增益!$V:$V,0)))*IF(VLOOKUP($R177,武学奇术!$A:$ZZ,23,FALSE)=1,0,1)</f>
        <v>0.0913</v>
      </c>
      <c r="BS177" s="23" cm="1">
        <f t="array" ref="BS177">1+$B$14+VLOOKUP($R177,武学奇术!$A:$ZZ,20,FALSE)+SUM(_xlfn.XLOOKUP(S177:AL177,增益!$A:$A,增益!$T:$T,0))</f>
        <v>1.35</v>
      </c>
      <c r="BT177" s="23">
        <f t="shared" si="65"/>
        <v>0.79544</v>
      </c>
      <c r="BU177" s="23">
        <f t="shared" si="66"/>
        <v>0.10808041</v>
      </c>
      <c r="BV177" s="23">
        <f>IF(VLOOKUP($R177,武学奇术!$A:$ZZ,22,FALSE)=1,0,(1-$BO177))*(1-$BR177)</f>
        <v>0.00517958999999993</v>
      </c>
      <c r="BW177" s="23" cm="1">
        <f t="array" ref="BW177">SUM(_xlfn.XLOOKUP(S177:AL177,增益!$A:$A,增益!$W:$W,0))+$I$5</f>
        <v>0.11</v>
      </c>
      <c r="BX177" s="23">
        <f>VLOOKUP($R177,武学奇术!$A:$ZZ,32,FALSE)</f>
        <v>0</v>
      </c>
      <c r="BY177" s="23" cm="1">
        <f t="array" ref="BY177">SUM(_xlfn.XLOOKUP($S177:$AL177,增益!$A:$A,增益!$X:$X,0))</f>
        <v>0</v>
      </c>
    </row>
    <row r="178" spans="11:77">
      <c r="K178" s="35">
        <f>$L178*VLOOKUP($R178,武学奇术!$A:$ZZ,31,FALSE)</f>
        <v>1461.71386042727</v>
      </c>
      <c r="L178" s="35">
        <f t="shared" si="56"/>
        <v>1433.05280434046</v>
      </c>
      <c r="M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轻击",$B$21,0))*(1+IF(VLOOKUP($R178,武学奇术!$A:$ZZ,30,FALSE)="老鼠",$B$22,0))*(1+$BW178)*(1+$BX178)</f>
        <v>1510.98292911292</v>
      </c>
      <c r="N178" s="35">
        <f>(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轻击",$B$21,0))*(1+IF(VLOOKUP($R178,武学奇术!$A:$ZZ,30,FALSE)="老鼠",$B$22,0))*(1+$BW178))*(1+$BX178)</f>
        <v>1398.30101668444</v>
      </c>
      <c r="O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轻击",$B$21,0))*(1+IF(VLOOKUP($R178,武学奇术!$A:$ZZ,30,FALSE)="老鼠",$B$22,0))*(1+$BW178)*(1+$BX178)</f>
        <v>919.089372939732</v>
      </c>
      <c r="P178" s="35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轻击",$B$21,0))*(1+IF(VLOOKUP($R178,武学奇术!$A:$ZZ,30,FALSE)="老鼠",$B$22,0))*(1+$BW178)*(1+$BX178)</f>
        <v>802.400215002097</v>
      </c>
      <c r="Q178" s="36">
        <v>1</v>
      </c>
      <c r="R178" s="37" t="s">
        <v>102</v>
      </c>
      <c r="S178" s="37" t="s">
        <v>91</v>
      </c>
      <c r="T178" s="37" t="s">
        <v>185</v>
      </c>
      <c r="U178" s="37" t="s">
        <v>81</v>
      </c>
      <c r="V178" s="37" t="s">
        <v>81</v>
      </c>
      <c r="W178" s="37" t="s">
        <v>82</v>
      </c>
      <c r="X178" s="37" t="s">
        <v>81</v>
      </c>
      <c r="Y178" s="37" t="s">
        <v>81</v>
      </c>
      <c r="Z178" s="37" t="s">
        <v>81</v>
      </c>
      <c r="AA178" s="37" t="s">
        <v>84</v>
      </c>
      <c r="AB178" s="37" t="s">
        <v>81</v>
      </c>
      <c r="AC178" s="37" t="s">
        <v>81</v>
      </c>
      <c r="AD178" s="37" t="s">
        <v>81</v>
      </c>
      <c r="AE178" s="37" t="s">
        <v>81</v>
      </c>
      <c r="AF178" s="37" t="s">
        <v>81</v>
      </c>
      <c r="AG178" s="37" t="s">
        <v>87</v>
      </c>
      <c r="AH178" s="37" t="s">
        <v>88</v>
      </c>
      <c r="AI178" s="37" t="s">
        <v>81</v>
      </c>
      <c r="AJ178" s="37" t="s">
        <v>81</v>
      </c>
      <c r="AK178" s="37" t="s">
        <v>81</v>
      </c>
      <c r="AL178" s="37" t="s">
        <v>81</v>
      </c>
      <c r="AM178" t="str">
        <f>VLOOKUP($R178,武学奇术!$A:$ZZ,25,FALSE)</f>
        <v>绳镖</v>
      </c>
      <c r="AN178" s="23">
        <f>VLOOKUP($R178,武学奇术!$A:$ZZ,26,FALSE)</f>
        <v>0.0621</v>
      </c>
      <c r="AO178" s="24">
        <f>VLOOKUP($R178,武学奇术!$A:$ZZ,27,FALSE)*(1+IF(OR($AM178=$F$4,$AM178=$F$5),$B$23,0))</f>
        <v>27.2</v>
      </c>
      <c r="AP178" s="23">
        <f>VLOOKUP($R178,武学奇术!$A:$ZZ,28,FALSE)</f>
        <v>0.0932</v>
      </c>
      <c r="AQ178" s="24">
        <f>VLOOKUP($R178,武学奇术!$A:$ZZ,29,FALSE)*(1+IF(OR($AM178=$F$4,$AM178=$F$5),$B$23,0))</f>
        <v>14.4</v>
      </c>
      <c r="AR178" s="23" cm="1">
        <f t="array" ref="AR178">$G$3+IFERROR(VLOOKUP($AM178,$F$4:$G$7,2,FALSE),0)+VLOOKUP($R178,武学奇术!$A:$ZZ,2,FALSE)+SUM(_xlfn.XLOOKUP($S178:$AL178,增益!$A:$A,增益!$B:$B,0))</f>
        <v>0.5043</v>
      </c>
      <c r="AS178" s="23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4081.7</v>
      </c>
      <c r="AU178" cm="1">
        <f t="array" ref="AU178">$E$10*(1+$AS178)+VLOOKUP($R178,武学奇术!$A:$ZZ,4,FALSE)+SUM(_xlfn.XLOOKUP($S178:$AL178,增益!$A:$A,增益!$D:$D,0))-$I$2</f>
        <v>4081.7</v>
      </c>
      <c r="AV178" s="29" cm="1">
        <f t="array" ref="AV178">IF($F$10-$I$3+VLOOKUP($R178,武学奇术!$A:$ZZ,6,FALSE)+SUM(_xlfn.XLOOKUP(S178:AL178,增益!$A:$A,增益!$F:$F,0))&gt;0,($F$10-$I$3+VLOOKUP($R178,武学奇术!$A:$ZZ,6,FALSE)+SUM(_xlfn.XLOOKUP(S178:AL178,增益!$A:$A,增益!$F:$F,0)))/200,($F$10-$I$3+VLOOKUP($R178,武学奇术!$A:$ZZ,6,FALSE)+SUM(_xlfn.XLOOKUP(S178:AL178,增益!$A:$A,增益!$F:$F,0)))/100)</f>
        <v>0.3289</v>
      </c>
      <c r="AW178" s="29" cm="1">
        <f t="array" ref="AW178">$G$10+VLOOKUP($R178,武学奇术!$A:$ZZ,7,FALSE)+SUM(_xlfn.XLOOKUP(S178:AL178,增益!$A:$A,增益!$G:$G,0))</f>
        <v>0.02</v>
      </c>
      <c r="AX178" s="23" cm="1">
        <f t="array" ref="AX178">VLOOKUP($R178,武学奇术!$A:$ZZ,8,FALSE)+SUM(_xlfn.XLOOKUP(S178:AL178,增益!$A:$A,增益!$H:$H,0))</f>
        <v>0</v>
      </c>
      <c r="AY178">
        <f t="shared" si="57"/>
        <v>0</v>
      </c>
      <c r="AZ178">
        <f t="shared" si="58"/>
        <v>0</v>
      </c>
      <c r="BA178" s="29" cm="1">
        <f t="array" ref="BA178">IF($F$11-$I$4+VLOOKUP($R178,武学奇术!$A:$ZZ,9,FALSE)+SUM(_xlfn.XLOOKUP(S178:AL178,增益!$A:$A,增益!$I:$I,0))&gt;0,($F$11-$I$4+VLOOKUP($R178,武学奇术!$A:$ZZ,9,FALSE)+SUM(_xlfn.XLOOKUP(S178:AL178,增益!$A:$A,增益!$I:$I,0)))/200,($F$11-$I$4+VLOOKUP($R178,武学奇术!$A:$ZZ,9,FALSE)+SUM(_xlfn.XLOOKUP(S178:AL178,增益!$A:$A,增益!$I:$I,0)))/100)</f>
        <v>-0.14</v>
      </c>
      <c r="BB178" s="29" cm="1">
        <f t="array" ref="BB178">$G$11+VLOOKUP($R178,武学奇术!$A:$ZZ,10,FALSE)+SUM(_xlfn.XLOOKUP(S178:AL178,增益!$A:$A,增益!$J:$J,0))</f>
        <v>0.02</v>
      </c>
      <c r="BC178">
        <f t="shared" si="59"/>
        <v>0</v>
      </c>
      <c r="BD178">
        <f t="shared" si="60"/>
        <v>0</v>
      </c>
      <c r="BE178" s="29" cm="1">
        <f t="array" ref="BE178">IF($F$12-$I$4+VLOOKUP($R178,武学奇术!$A:$ZZ,11,FALSE)+SUM(_xlfn.XLOOKUP(S178:AL178,增益!$A:$A,增益!$K:$K,0))&gt;0,($F$12-$I$4+VLOOKUP($R178,武学奇术!$A:$ZZ,11,FALSE)+SUM(_xlfn.XLOOKUP(S178:AL178,增益!$A:$A,增益!$K:$K,0)))/200,($F$12-$I$4+VLOOKUP($R178,武学奇术!$A:$ZZ,11,FALSE)+SUM(_xlfn.XLOOKUP(S178:AL178,增益!$A:$A,增益!$K:$K,0)))/100)</f>
        <v>-0.14</v>
      </c>
      <c r="BF178" s="29" cm="1">
        <f t="array" ref="BF178">$G$12+VLOOKUP($R178,武学奇术!$A:$ZZ,12,FALSE)+SUM(_xlfn.XLOOKUP(S178:AL178,增益!$A:$A,增益!$L:$L,0))</f>
        <v>0.02</v>
      </c>
      <c r="BG178">
        <f t="shared" si="61"/>
        <v>0</v>
      </c>
      <c r="BH178">
        <f t="shared" si="62"/>
        <v>0</v>
      </c>
      <c r="BI178" s="29" cm="1">
        <f t="array" ref="BI178">IF($F$13-$I$4+VLOOKUP($R178,武学奇术!$A:$ZZ,13,FALSE)+SUM(_xlfn.XLOOKUP(S178:AL178,增益!$A:$A,增益!$M:$M,0))&gt;0,($F$13-$I$4+VLOOKUP($R178,武学奇术!$A:$ZZ,13,FALSE)+SUM(_xlfn.XLOOKUP(S178:AL178,增益!$A:$A,增益!$K:$K,0)))/200,($F$13-$I$4+VLOOKUP($R178,武学奇术!$A:$ZZ,13,FALSE)+SUM(_xlfn.XLOOKUP(S178:AL178,增益!$A:$A,增益!$M:$M,0)))/100)</f>
        <v>-0.14</v>
      </c>
      <c r="BJ178" s="29" cm="1">
        <f t="array" ref="BJ178">$G$13+VLOOKUP($R178,武学奇术!$A:$ZZ,14,FALSE)+SUM(_xlfn.XLOOKUP(S178:AL178,增益!$A:$A,增益!$N:$N,0))</f>
        <v>0.02</v>
      </c>
      <c r="BK178">
        <f t="shared" si="63"/>
        <v>618.2</v>
      </c>
      <c r="BL178">
        <f t="shared" si="64"/>
        <v>1805</v>
      </c>
      <c r="BM178" s="29" cm="1">
        <f t="array" ref="BM178">IF($F$14-$I$4+VLOOKUP($R178,武学奇术!$A:$ZZ,15,FALSE)+SUM(_xlfn.XLOOKUP(S178:AL178,增益!$A:$A,增益!$O:$O,0))&gt;0,($F$14-$I$4+VLOOKUP($R178,武学奇术!$A:$ZZ,15,FALSE)+SUM(_xlfn.XLOOKUP(S178:AL178,增益!$A:$A,增益!$O:$O,0)))/200,($F$14-$I$4+VLOOKUP($R178,武学奇术!$A:$ZZ,15,FALSE)+SUM(_xlfn.XLOOKUP(S178:AL178,增益!$A:$A,增益!$O:$O,0)))/100)</f>
        <v>0.08</v>
      </c>
      <c r="BN178" s="29" cm="1">
        <f t="array" ref="BN178">$G$14+VLOOKUP($R178,武学奇术!$A:$ZZ,16,FALSE)+SUM(_xlfn.XLOOKUP(S178:AL178,增益!$A:$A,增益!$P:$P,0))</f>
        <v>0.17</v>
      </c>
      <c r="BO178" s="23">
        <f>MIN(IF(VLOOKUP($R178,武学奇术!$A:$ZZ,23,FALSE)=1,100%,$B$8),100%)</f>
        <v>0.9943</v>
      </c>
      <c r="BP178" s="23" cm="1">
        <f t="array" ref="BP178">IF(VLOOKUP($R178,武学奇术!$A:$ZZ,23,FALSE)=1,100%,MIN(80%,$B$9+VLOOKUP($R178,武学奇术!$A:$ZZ,17,FALSE)+SUM(_xlfn.XLOOKUP(S178:AL178,增益!$A:$A,增益!$Q:$Q,0)))+$B$11+SUM(_xlfn.XLOOKUP(S178:AL178,增益!$A:$A,增益!$U:$U,0)))*IF(VLOOKUP($R178,武学奇术!$A:$ZZ,24,FALSE)=1,0,1)</f>
        <v>0.8</v>
      </c>
      <c r="BQ178" s="23" cm="1">
        <f t="array" ref="BQ178">1+$B$13+VLOOKUP($R178,武学奇术!$A:$ZZ,18,FALSE)+SUM(_xlfn.XLOOKUP(S178:AL178,增益!$A:$A,增益!$R:$R,0))</f>
        <v>1.644</v>
      </c>
      <c r="BR178" s="23" cm="1">
        <f t="array" ref="BR178">IF(VLOOKUP($R178,武学奇术!$A:$ZZ,24,FALSE)=1,100%,MIN(40%,$B$10+VLOOKUP($R178,武学奇术!$A:$ZZ,19,FALSE)+SUM(_xlfn.XLOOKUP(S178:AL178,增益!$A:$A,增益!$S:$S,0)))+$B$12+SUM(_xlfn.XLOOKUP(S178:AL178,增益!$A:$A,增益!$V:$V,0)))*IF(VLOOKUP($R178,武学奇术!$A:$ZZ,23,FALSE)=1,0,1)</f>
        <v>0.0913</v>
      </c>
      <c r="BS178" s="23" cm="1">
        <f t="array" ref="BS178">1+$B$14+VLOOKUP($R178,武学奇术!$A:$ZZ,20,FALSE)+SUM(_xlfn.XLOOKUP(S178:AL178,增益!$A:$A,增益!$T:$T,0))</f>
        <v>1.35</v>
      </c>
      <c r="BT178" s="23">
        <f t="shared" si="65"/>
        <v>0.79544</v>
      </c>
      <c r="BU178" s="23">
        <f t="shared" si="66"/>
        <v>0.10808041</v>
      </c>
      <c r="BV178" s="23">
        <f>IF(VLOOKUP($R178,武学奇术!$A:$ZZ,22,FALSE)=1,0,(1-$BO178))*(1-$BR178)</f>
        <v>0.00517958999999993</v>
      </c>
      <c r="BW178" s="23" cm="1">
        <f t="array" ref="BW178">SUM(_xlfn.XLOOKUP(S178:AL178,增益!$A:$A,增益!$W:$W,0))+$I$5</f>
        <v>0.11</v>
      </c>
      <c r="BX178" s="23">
        <f>VLOOKUP($R178,武学奇术!$A:$ZZ,32,FALSE)</f>
        <v>0</v>
      </c>
      <c r="BY178" s="23" cm="1">
        <f t="array" ref="BY178">SUM(_xlfn.XLOOKUP($S178:$AL178,增益!$A:$A,增益!$X:$X,0))</f>
        <v>0</v>
      </c>
    </row>
    <row r="179" spans="11:77">
      <c r="K179" s="35">
        <f>$L179*VLOOKUP($R179,武学奇术!$A:$ZZ,31,FALSE)</f>
        <v>20946.9791113956</v>
      </c>
      <c r="L179" s="69">
        <f t="shared" si="56"/>
        <v>20536.25403078</v>
      </c>
      <c r="M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轻击",$B$21,0))*(1+IF(VLOOKUP($R179,武学奇术!$A:$ZZ,30,FALSE)="老鼠",$B$22,0))*(1+$BW179)*(1+$BX179)</f>
        <v>21625.4530550532</v>
      </c>
      <c r="N179" s="35">
        <f>(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轻击",$B$21,0))*(1+IF(VLOOKUP($R179,武学奇术!$A:$ZZ,30,FALSE)="老鼠",$B$22,0))*(1+$BW179))*(1+$BX179)</f>
        <v>20311.7193478547</v>
      </c>
      <c r="O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轻击",$B$21,0))*(1+IF(VLOOKUP($R179,武学奇术!$A:$ZZ,30,FALSE)="老鼠",$B$22,0))*(1+$BW179)*(1+$BX179)</f>
        <v>13154.1685249715</v>
      </c>
      <c r="P179" s="35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轻击",$B$21,0))*(1+IF(VLOOKUP($R179,武学奇术!$A:$ZZ,30,FALSE)="老鼠",$B$22,0))*(1+$BW179)*(1+$BX179)</f>
        <v>11262.6190144952</v>
      </c>
      <c r="Q179" s="70">
        <v>1</v>
      </c>
      <c r="R179" s="37" t="s">
        <v>106</v>
      </c>
      <c r="S179" s="37" t="s">
        <v>91</v>
      </c>
      <c r="T179" s="37" t="s">
        <v>185</v>
      </c>
      <c r="U179" s="37" t="s">
        <v>112</v>
      </c>
      <c r="V179" s="37" t="s">
        <v>113</v>
      </c>
      <c r="W179" s="37" t="s">
        <v>82</v>
      </c>
      <c r="X179" s="37" t="s">
        <v>81</v>
      </c>
      <c r="Y179" s="37" t="s">
        <v>109</v>
      </c>
      <c r="Z179" s="37" t="s">
        <v>81</v>
      </c>
      <c r="AA179" s="37" t="s">
        <v>84</v>
      </c>
      <c r="AB179" s="37" t="s">
        <v>81</v>
      </c>
      <c r="AC179" s="37" t="s">
        <v>81</v>
      </c>
      <c r="AD179" s="37" t="s">
        <v>81</v>
      </c>
      <c r="AE179" s="37" t="s">
        <v>81</v>
      </c>
      <c r="AF179" s="37" t="s">
        <v>81</v>
      </c>
      <c r="AG179" s="37" t="s">
        <v>87</v>
      </c>
      <c r="AH179" s="37" t="s">
        <v>88</v>
      </c>
      <c r="AI179" s="37" t="s">
        <v>81</v>
      </c>
      <c r="AJ179" s="37" t="s">
        <v>81</v>
      </c>
      <c r="AK179" s="37" t="s">
        <v>81</v>
      </c>
      <c r="AL179" s="37" t="s">
        <v>81</v>
      </c>
      <c r="AM179" t="str">
        <f>VLOOKUP($R179,武学奇术!$A:$ZZ,25,FALSE)</f>
        <v>绳镖</v>
      </c>
      <c r="AN179" s="23">
        <f>VLOOKUP($R179,武学奇术!$A:$ZZ,26,FALSE)</f>
        <v>0.3675</v>
      </c>
      <c r="AO179" s="24">
        <f>VLOOKUP($R179,武学奇术!$A:$ZZ,27,FALSE)*(1+IF(OR($AM179=$F$4,$AM179=$F$5),$B$23,0))</f>
        <v>0</v>
      </c>
      <c r="AP179" s="23">
        <f>VLOOKUP($R179,武学奇术!$A:$ZZ,28,FALSE)</f>
        <v>0.55125</v>
      </c>
      <c r="AQ179" s="24">
        <f>VLOOKUP($R179,武学奇术!$A:$ZZ,29,FALSE)*(1+IF(OR($AM179=$F$4,$AM179=$F$5),$B$23,0))</f>
        <v>0</v>
      </c>
      <c r="AR179" s="23" cm="1">
        <f t="array" ref="AR179">$G$3+IFERROR(VLOOKUP($AM179,$F$4:$G$7,2,FALSE),0)+VLOOKUP($R179,武学奇术!$A:$ZZ,2,FALSE)+SUM(_xlfn.XLOOKUP($S179:$AL179,增益!$A:$A,增益!$B:$B,0))</f>
        <v>1.4243</v>
      </c>
      <c r="AS179" s="23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4150.4</v>
      </c>
      <c r="AU179" cm="1">
        <f t="array" ref="AU179">$E$10*(1+$AS179)+VLOOKUP($R179,武学奇术!$A:$ZZ,4,FALSE)+SUM(_xlfn.XLOOKUP($S179:$AL179,增益!$A:$A,增益!$D:$D,0))-$I$2</f>
        <v>4150.4</v>
      </c>
      <c r="AV179" s="29" cm="1">
        <f t="array" ref="AV179">IF($F$10-$I$3+VLOOKUP($R179,武学奇术!$A:$ZZ,6,FALSE)+SUM(_xlfn.XLOOKUP(S179:AL179,增益!$A:$A,增益!$F:$F,0))&gt;0,($F$10-$I$3+VLOOKUP($R179,武学奇术!$A:$ZZ,6,FALSE)+SUM(_xlfn.XLOOKUP(S179:AL179,增益!$A:$A,增益!$F:$F,0)))/200,($F$10-$I$3+VLOOKUP($R179,武学奇术!$A:$ZZ,6,FALSE)+SUM(_xlfn.XLOOKUP(S179:AL179,增益!$A:$A,增益!$F:$F,0)))/100)</f>
        <v>0.3289</v>
      </c>
      <c r="AW179" s="29" cm="1">
        <f t="array" ref="AW179">$G$10+VLOOKUP($R179,武学奇术!$A:$ZZ,7,FALSE)+SUM(_xlfn.XLOOKUP(S179:AL179,增益!$A:$A,增益!$G:$G,0))</f>
        <v>0.29</v>
      </c>
      <c r="AX179" s="23" cm="1">
        <f t="array" ref="AX179">VLOOKUP($R179,武学奇术!$A:$ZZ,8,FALSE)+SUM(_xlfn.XLOOKUP(S179:AL179,增益!$A:$A,增益!$H:$H,0))</f>
        <v>0</v>
      </c>
      <c r="AY179">
        <f t="shared" si="57"/>
        <v>0</v>
      </c>
      <c r="AZ179">
        <f t="shared" si="58"/>
        <v>0</v>
      </c>
      <c r="BA179" s="29" cm="1">
        <f t="array" ref="BA179">IF($F$11-$I$4+VLOOKUP($R179,武学奇术!$A:$ZZ,9,FALSE)+SUM(_xlfn.XLOOKUP(S179:AL179,增益!$A:$A,增益!$I:$I,0))&gt;0,($F$11-$I$4+VLOOKUP($R179,武学奇术!$A:$ZZ,9,FALSE)+SUM(_xlfn.XLOOKUP(S179:AL179,增益!$A:$A,增益!$I:$I,0)))/200,($F$11-$I$4+VLOOKUP($R179,武学奇术!$A:$ZZ,9,FALSE)+SUM(_xlfn.XLOOKUP(S179:AL179,增益!$A:$A,增益!$I:$I,0)))/100)</f>
        <v>-0.14</v>
      </c>
      <c r="BB179" s="29" cm="1">
        <f t="array" ref="BB179">$G$11+VLOOKUP($R179,武学奇术!$A:$ZZ,10,FALSE)+SUM(_xlfn.XLOOKUP(S179:AL179,增益!$A:$A,增益!$J:$J,0))</f>
        <v>0.02</v>
      </c>
      <c r="BC179">
        <f t="shared" si="59"/>
        <v>0</v>
      </c>
      <c r="BD179">
        <f t="shared" si="60"/>
        <v>0</v>
      </c>
      <c r="BE179" s="29" cm="1">
        <f t="array" ref="BE179">IF($F$12-$I$4+VLOOKUP($R179,武学奇术!$A:$ZZ,11,FALSE)+SUM(_xlfn.XLOOKUP(S179:AL179,增益!$A:$A,增益!$K:$K,0))&gt;0,($F$12-$I$4+VLOOKUP($R179,武学奇术!$A:$ZZ,11,FALSE)+SUM(_xlfn.XLOOKUP(S179:AL179,增益!$A:$A,增益!$K:$K,0)))/200,($F$12-$I$4+VLOOKUP($R179,武学奇术!$A:$ZZ,11,FALSE)+SUM(_xlfn.XLOOKUP(S179:AL179,增益!$A:$A,增益!$K:$K,0)))/100)</f>
        <v>-0.14</v>
      </c>
      <c r="BF179" s="29" cm="1">
        <f t="array" ref="BF179">$G$12+VLOOKUP($R179,武学奇术!$A:$ZZ,12,FALSE)+SUM(_xlfn.XLOOKUP(S179:AL179,增益!$A:$A,增益!$L:$L,0))</f>
        <v>0.02</v>
      </c>
      <c r="BG179">
        <f t="shared" si="61"/>
        <v>0</v>
      </c>
      <c r="BH179">
        <f t="shared" si="62"/>
        <v>0</v>
      </c>
      <c r="BI179" s="29" cm="1">
        <f t="array" ref="BI179">IF($F$13-$I$4+VLOOKUP($R179,武学奇术!$A:$ZZ,13,FALSE)+SUM(_xlfn.XLOOKUP(S179:AL179,增益!$A:$A,增益!$M:$M,0))&gt;0,($F$13-$I$4+VLOOKUP($R179,武学奇术!$A:$ZZ,13,FALSE)+SUM(_xlfn.XLOOKUP(S179:AL179,增益!$A:$A,增益!$K:$K,0)))/200,($F$13-$I$4+VLOOKUP($R179,武学奇术!$A:$ZZ,13,FALSE)+SUM(_xlfn.XLOOKUP(S179:AL179,增益!$A:$A,增益!$M:$M,0)))/100)</f>
        <v>-0.14</v>
      </c>
      <c r="BJ179" s="29" cm="1">
        <f t="array" ref="BJ179">$G$13+VLOOKUP($R179,武学奇术!$A:$ZZ,14,FALSE)+SUM(_xlfn.XLOOKUP(S179:AL179,增益!$A:$A,增益!$N:$N,0))</f>
        <v>0.02</v>
      </c>
      <c r="BK179">
        <f t="shared" si="63"/>
        <v>618.2</v>
      </c>
      <c r="BL179">
        <f t="shared" si="64"/>
        <v>1805</v>
      </c>
      <c r="BM179" s="29" cm="1">
        <f t="array" ref="BM179">IF($F$14-$I$4+VLOOKUP($R179,武学奇术!$A:$ZZ,15,FALSE)+SUM(_xlfn.XLOOKUP(S179:AL179,增益!$A:$A,增益!$O:$O,0))&gt;0,($F$14-$I$4+VLOOKUP($R179,武学奇术!$A:$ZZ,15,FALSE)+SUM(_xlfn.XLOOKUP(S179:AL179,增益!$A:$A,增益!$O:$O,0)))/200,($F$14-$I$4+VLOOKUP($R179,武学奇术!$A:$ZZ,15,FALSE)+SUM(_xlfn.XLOOKUP(S179:AL179,增益!$A:$A,增益!$O:$O,0)))/100)</f>
        <v>0.13</v>
      </c>
      <c r="BN179" s="29" cm="1">
        <f t="array" ref="BN179">$G$14+VLOOKUP($R179,武学奇术!$A:$ZZ,16,FALSE)+SUM(_xlfn.XLOOKUP(S179:AL179,增益!$A:$A,增益!$P:$P,0))</f>
        <v>0.44</v>
      </c>
      <c r="BO179" s="23">
        <f>MIN(IF(VLOOKUP($R179,武学奇术!$A:$ZZ,23,FALSE)=1,100%,$B$8),100%)</f>
        <v>0.9943</v>
      </c>
      <c r="BP179" s="23" cm="1">
        <f t="array" ref="BP179">IF(VLOOKUP($R179,武学奇术!$A:$ZZ,23,FALSE)=1,100%,MIN(80%,$B$9+VLOOKUP($R179,武学奇术!$A:$ZZ,17,FALSE)+SUM(_xlfn.XLOOKUP(S179:AL179,增益!$A:$A,增益!$Q:$Q,0)))+$B$11+SUM(_xlfn.XLOOKUP(S179:AL179,增益!$A:$A,增益!$U:$U,0)))*IF(VLOOKUP($R179,武学奇术!$A:$ZZ,24,FALSE)=1,0,1)</f>
        <v>0.8</v>
      </c>
      <c r="BQ179" s="23" cm="1">
        <f t="array" ref="BQ179">1+$B$13+VLOOKUP($R179,武学奇术!$A:$ZZ,18,FALSE)+SUM(_xlfn.XLOOKUP(S179:AL179,增益!$A:$A,增益!$R:$R,0))</f>
        <v>1.644</v>
      </c>
      <c r="BR179" s="23" cm="1">
        <f t="array" ref="BR179">IF(VLOOKUP($R179,武学奇术!$A:$ZZ,24,FALSE)=1,100%,MIN(40%,$B$10+VLOOKUP($R179,武学奇术!$A:$ZZ,19,FALSE)+SUM(_xlfn.XLOOKUP(S179:AL179,增益!$A:$A,增益!$S:$S,0)))+$B$12+SUM(_xlfn.XLOOKUP(S179:AL179,增益!$A:$A,增益!$V:$V,0)))*IF(VLOOKUP($R179,武学奇术!$A:$ZZ,23,FALSE)=1,0,1)</f>
        <v>0.0913</v>
      </c>
      <c r="BS179" s="23" cm="1">
        <f t="array" ref="BS179">1+$B$14+VLOOKUP($R179,武学奇术!$A:$ZZ,20,FALSE)+SUM(_xlfn.XLOOKUP(S179:AL179,增益!$A:$A,增益!$T:$T,0))</f>
        <v>1.35</v>
      </c>
      <c r="BT179" s="23">
        <f t="shared" si="65"/>
        <v>0.79544</v>
      </c>
      <c r="BU179" s="23">
        <f t="shared" si="66"/>
        <v>0.10808041</v>
      </c>
      <c r="BV179" s="23">
        <f>IF(VLOOKUP($R179,武学奇术!$A:$ZZ,22,FALSE)=1,0,(1-$BO179))*(1-$BR179)</f>
        <v>0.00517958999999993</v>
      </c>
      <c r="BW179" s="23" cm="1">
        <f t="array" ref="BW179">SUM(_xlfn.XLOOKUP(S179:AL179,增益!$A:$A,增益!$W:$W,0))+$I$5</f>
        <v>0.11</v>
      </c>
      <c r="BX179" s="23">
        <f>VLOOKUP($R179,武学奇术!$A:$ZZ,32,FALSE)</f>
        <v>0</v>
      </c>
      <c r="BY179" s="23" cm="1">
        <f t="array" ref="BY179">SUM(_xlfn.XLOOKUP($S179:$AL179,增益!$A:$A,增益!$X:$X,0))</f>
        <v>0</v>
      </c>
    </row>
    <row r="180" spans="11:77">
      <c r="K180" s="35">
        <f>$L180*VLOOKUP($R180,武学奇术!$A:$ZZ,31,FALSE)</f>
        <v>254496.24381019</v>
      </c>
      <c r="L180" s="90">
        <f>SUM(L150,L152,L154,L158,L161,L168,L173,L175,L177,L179)*30%*(1+BY180)</f>
        <v>499012.242765078</v>
      </c>
      <c r="M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轻击",$B$21,0))*(1+IF(VLOOKUP($R180,武学奇术!$A:$ZZ,30,FALSE)="老鼠",$B$22,0))*(1+$BW180)*(1+$BX180)</f>
        <v>0</v>
      </c>
      <c r="N180" s="35">
        <f>(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轻击",$B$21,0))*(1+IF(VLOOKUP($R180,武学奇术!$A:$ZZ,30,FALSE)="老鼠",$B$22,0))*(1+$BW180))*(1+$BX180)</f>
        <v>0</v>
      </c>
      <c r="O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轻击",$B$21,0))*(1+IF(VLOOKUP($R180,武学奇术!$A:$ZZ,30,FALSE)="老鼠",$B$22,0))*(1+$BW180)*(1+$BX180)</f>
        <v>0</v>
      </c>
      <c r="P180" s="35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轻击",$B$21,0))*(1+IF(VLOOKUP($R180,武学奇术!$A:$ZZ,30,FALSE)="老鼠",$B$22,0))*(1+$BW180)*(1+$BX180)</f>
        <v>0</v>
      </c>
      <c r="Q180" s="36">
        <v>1</v>
      </c>
      <c r="R180" s="37" t="s">
        <v>177</v>
      </c>
      <c r="S180" s="37" t="s">
        <v>178</v>
      </c>
      <c r="T180" s="37" t="s">
        <v>81</v>
      </c>
      <c r="U180" s="37" t="s">
        <v>81</v>
      </c>
      <c r="V180" s="37" t="s">
        <v>81</v>
      </c>
      <c r="W180" s="37" t="s">
        <v>81</v>
      </c>
      <c r="X180" s="37" t="s">
        <v>81</v>
      </c>
      <c r="Y180" s="37" t="s">
        <v>81</v>
      </c>
      <c r="Z180" s="37" t="s">
        <v>81</v>
      </c>
      <c r="AA180" s="37" t="s">
        <v>81</v>
      </c>
      <c r="AB180" s="37" t="s">
        <v>81</v>
      </c>
      <c r="AC180" s="37" t="s">
        <v>81</v>
      </c>
      <c r="AD180" s="37" t="s">
        <v>81</v>
      </c>
      <c r="AE180" s="37" t="s">
        <v>81</v>
      </c>
      <c r="AF180" s="37" t="s">
        <v>81</v>
      </c>
      <c r="AG180" s="37" t="s">
        <v>87</v>
      </c>
      <c r="AH180" s="37" t="s">
        <v>88</v>
      </c>
      <c r="AI180" s="37" t="s">
        <v>81</v>
      </c>
      <c r="AJ180" s="37" t="s">
        <v>81</v>
      </c>
      <c r="AK180" s="37" t="s">
        <v>81</v>
      </c>
      <c r="AL180" s="37" t="s">
        <v>81</v>
      </c>
      <c r="AM180" t="str">
        <f>VLOOKUP($R180,武学奇术!$A:$ZZ,25,FALSE)</f>
        <v>心法</v>
      </c>
      <c r="AN180" s="23">
        <f>VLOOKUP($R180,武学奇术!$A:$ZZ,26,FALSE)</f>
        <v>0</v>
      </c>
      <c r="AO180" s="24">
        <f>VLOOKUP($R180,武学奇术!$A:$ZZ,27,FALSE)*(1+IF(OR($AM180=$F$4,$AM180=$F$5),$B$23,0))</f>
        <v>0</v>
      </c>
      <c r="AP180" s="23">
        <f>VLOOKUP($R180,武学奇术!$A:$ZZ,28,FALSE)</f>
        <v>0</v>
      </c>
      <c r="AQ180" s="24">
        <f>VLOOKUP($R180,武学奇术!$A:$ZZ,29,FALSE)*(1+IF(OR($AM180=$F$4,$AM180=$F$5),$B$23,0))</f>
        <v>0</v>
      </c>
      <c r="AR180" s="23" cm="1">
        <f t="array" ref="AR180">$G$3+IFERROR(VLOOKUP($AM180,$F$4:$G$7,2,FALSE),0)+VLOOKUP($R180,武学奇术!$A:$ZZ,2,FALSE)+SUM(_xlfn.XLOOKUP($S180:$AL180,增益!$A:$A,增益!$B:$B,0))</f>
        <v>0.1842</v>
      </c>
      <c r="AS180" s="23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4081.7</v>
      </c>
      <c r="AU180" cm="1">
        <f t="array" ref="AU180">$E$10*(1+$AS180)+VLOOKUP($R180,武学奇术!$A:$ZZ,4,FALSE)+SUM(_xlfn.XLOOKUP($S180:$AL180,增益!$A:$A,增益!$D:$D,0))-$I$2</f>
        <v>4081.7</v>
      </c>
      <c r="AV180" s="29" cm="1">
        <f t="array" ref="AV180">IF($F$10-$I$3+VLOOKUP($R180,武学奇术!$A:$ZZ,6,FALSE)+SUM(_xlfn.XLOOKUP(S180:AL180,增益!$A:$A,增益!$F:$F,0))&gt;0,($F$10-$I$3+VLOOKUP($R180,武学奇术!$A:$ZZ,6,FALSE)+SUM(_xlfn.XLOOKUP(S180:AL180,增益!$A:$A,增益!$F:$F,0)))/200,($F$10-$I$3+VLOOKUP($R180,武学奇术!$A:$ZZ,6,FALSE)+SUM(_xlfn.XLOOKUP(S180:AL180,增益!$A:$A,增益!$F:$F,0)))/100)</f>
        <v>0.2789</v>
      </c>
      <c r="AW180" s="29" cm="1">
        <f t="array" ref="AW180">$G$10+VLOOKUP($R180,武学奇术!$A:$ZZ,7,FALSE)+SUM(_xlfn.XLOOKUP(S180:AL180,增益!$A:$A,增益!$G:$G,0))</f>
        <v>0.02</v>
      </c>
      <c r="AX180" s="23" cm="1">
        <f t="array" ref="AX180">VLOOKUP($R180,武学奇术!$A:$ZZ,8,FALSE)+SUM(_xlfn.XLOOKUP(S180:AL180,增益!$A:$A,增益!$H:$H,0))</f>
        <v>0</v>
      </c>
      <c r="AY180">
        <f t="shared" si="57"/>
        <v>0</v>
      </c>
      <c r="AZ180">
        <f t="shared" si="58"/>
        <v>0</v>
      </c>
      <c r="BA180" s="29" cm="1">
        <f t="array" ref="BA180">IF($F$11-$I$4+VLOOKUP($R180,武学奇术!$A:$ZZ,9,FALSE)+SUM(_xlfn.XLOOKUP(S180:AL180,增益!$A:$A,增益!$I:$I,0))&gt;0,($F$11-$I$4+VLOOKUP($R180,武学奇术!$A:$ZZ,9,FALSE)+SUM(_xlfn.XLOOKUP(S180:AL180,增益!$A:$A,增益!$I:$I,0)))/200,($F$11-$I$4+VLOOKUP($R180,武学奇术!$A:$ZZ,9,FALSE)+SUM(_xlfn.XLOOKUP(S180:AL180,增益!$A:$A,增益!$I:$I,0)))/100)</f>
        <v>-0.3</v>
      </c>
      <c r="BB180" s="29" cm="1">
        <f t="array" ref="BB180">$G$11+VLOOKUP($R180,武学奇术!$A:$ZZ,10,FALSE)+SUM(_xlfn.XLOOKUP(S180:AL180,增益!$A:$A,增益!$J:$J,0))</f>
        <v>0.02</v>
      </c>
      <c r="BC180">
        <f t="shared" si="59"/>
        <v>0</v>
      </c>
      <c r="BD180">
        <f t="shared" si="60"/>
        <v>0</v>
      </c>
      <c r="BE180" s="29" cm="1">
        <f t="array" ref="BE180">IF($F$12-$I$4+VLOOKUP($R180,武学奇术!$A:$ZZ,11,FALSE)+SUM(_xlfn.XLOOKUP(S180:AL180,增益!$A:$A,增益!$K:$K,0))&gt;0,($F$12-$I$4+VLOOKUP($R180,武学奇术!$A:$ZZ,11,FALSE)+SUM(_xlfn.XLOOKUP(S180:AL180,增益!$A:$A,增益!$K:$K,0)))/200,($F$12-$I$4+VLOOKUP($R180,武学奇术!$A:$ZZ,11,FALSE)+SUM(_xlfn.XLOOKUP(S180:AL180,增益!$A:$A,增益!$K:$K,0)))/100)</f>
        <v>-0.3</v>
      </c>
      <c r="BF180" s="29" cm="1">
        <f t="array" ref="BF180">$G$12+VLOOKUP($R180,武学奇术!$A:$ZZ,12,FALSE)+SUM(_xlfn.XLOOKUP(S180:AL180,增益!$A:$A,增益!$L:$L,0))</f>
        <v>0.02</v>
      </c>
      <c r="BG180">
        <f t="shared" si="61"/>
        <v>0</v>
      </c>
      <c r="BH180">
        <f t="shared" si="62"/>
        <v>0</v>
      </c>
      <c r="BI180" s="29" cm="1">
        <f t="array" ref="BI180">IF($F$13-$I$4+VLOOKUP($R180,武学奇术!$A:$ZZ,13,FALSE)+SUM(_xlfn.XLOOKUP(S180:AL180,增益!$A:$A,增益!$M:$M,0))&gt;0,($F$13-$I$4+VLOOKUP($R180,武学奇术!$A:$ZZ,13,FALSE)+SUM(_xlfn.XLOOKUP(S180:AL180,增益!$A:$A,增益!$K:$K,0)))/200,($F$13-$I$4+VLOOKUP($R180,武学奇术!$A:$ZZ,13,FALSE)+SUM(_xlfn.XLOOKUP(S180:AL180,增益!$A:$A,增益!$M:$M,0)))/100)</f>
        <v>-0.3</v>
      </c>
      <c r="BJ180" s="29" cm="1">
        <f t="array" ref="BJ180">$G$13+VLOOKUP($R180,武学奇术!$A:$ZZ,14,FALSE)+SUM(_xlfn.XLOOKUP(S180:AL180,增益!$A:$A,增益!$N:$N,0))</f>
        <v>0.02</v>
      </c>
      <c r="BK180">
        <f t="shared" si="63"/>
        <v>618.2</v>
      </c>
      <c r="BL180">
        <f t="shared" si="64"/>
        <v>1805</v>
      </c>
      <c r="BM180" s="29" cm="1">
        <f t="array" ref="BM180">IF($F$14-$I$4+VLOOKUP($R180,武学奇术!$A:$ZZ,15,FALSE)+SUM(_xlfn.XLOOKUP(S180:AL180,增益!$A:$A,增益!$O:$O,0))&gt;0,($F$14-$I$4+VLOOKUP($R180,武学奇术!$A:$ZZ,15,FALSE)+SUM(_xlfn.XLOOKUP(S180:AL180,增益!$A:$A,增益!$O:$O,0)))/200,($F$14-$I$4+VLOOKUP($R180,武学奇术!$A:$ZZ,15,FALSE)+SUM(_xlfn.XLOOKUP(S180:AL180,增益!$A:$A,增益!$O:$O,0)))/100)</f>
        <v>0</v>
      </c>
      <c r="BN180" s="29" cm="1">
        <f t="array" ref="BN180">$G$14+VLOOKUP($R180,武学奇术!$A:$ZZ,16,FALSE)+SUM(_xlfn.XLOOKUP(S180:AL180,增益!$A:$A,增益!$P:$P,0))</f>
        <v>0.17</v>
      </c>
      <c r="BO180" s="23">
        <f>MIN(IF(VLOOKUP($R180,武学奇术!$A:$ZZ,23,FALSE)=1,100%,$B$8),100%)</f>
        <v>0.9943</v>
      </c>
      <c r="BP180" s="23" cm="1">
        <f t="array" ref="BP180">IF(VLOOKUP($R180,武学奇术!$A:$ZZ,23,FALSE)=1,100%,MIN(80%,$B$9+VLOOKUP($R180,武学奇术!$A:$ZZ,17,FALSE)+SUM(_xlfn.XLOOKUP(S180:AL180,增益!$A:$A,增益!$Q:$Q,0)))+$B$11+SUM(_xlfn.XLOOKUP(S180:AL180,增益!$A:$A,增益!$U:$U,0)))*IF(VLOOKUP($R180,武学奇术!$A:$ZZ,24,FALSE)=1,0,1)</f>
        <v>0.8</v>
      </c>
      <c r="BQ180" s="23" cm="1">
        <f t="array" ref="BQ180">1+$B$13+VLOOKUP($R180,武学奇术!$A:$ZZ,18,FALSE)+SUM(_xlfn.XLOOKUP(S180:AL180,增益!$A:$A,增益!$R:$R,0))</f>
        <v>1.544</v>
      </c>
      <c r="BR180" s="23" cm="1">
        <f t="array" ref="BR180">IF(VLOOKUP($R180,武学奇术!$A:$ZZ,24,FALSE)=1,100%,MIN(40%,$B$10+VLOOKUP($R180,武学奇术!$A:$ZZ,19,FALSE)+SUM(_xlfn.XLOOKUP(S180:AL180,增益!$A:$A,增益!$S:$S,0)))+$B$12+SUM(_xlfn.XLOOKUP(S180:AL180,增益!$A:$A,增益!$V:$V,0)))*IF(VLOOKUP($R180,武学奇术!$A:$ZZ,23,FALSE)=1,0,1)</f>
        <v>0.0913</v>
      </c>
      <c r="BS180" s="23" cm="1">
        <f t="array" ref="BS180">1+$B$14+VLOOKUP($R180,武学奇术!$A:$ZZ,20,FALSE)+SUM(_xlfn.XLOOKUP(S180:AL180,增益!$A:$A,增益!$T:$T,0))</f>
        <v>1.35</v>
      </c>
      <c r="BT180" s="23">
        <f t="shared" si="65"/>
        <v>0.79544</v>
      </c>
      <c r="BU180" s="23">
        <f t="shared" si="66"/>
        <v>0.10808041</v>
      </c>
      <c r="BV180" s="23">
        <f>IF(VLOOKUP($R180,武学奇术!$A:$ZZ,22,FALSE)=1,0,(1-$BO180))*(1-$BR180)</f>
        <v>0.00517958999999993</v>
      </c>
      <c r="BW180" s="23" cm="1">
        <f t="array" ref="BW180">SUM(_xlfn.XLOOKUP(S180:AL180,增益!$A:$A,增益!$W:$W,0))+$I$5</f>
        <v>0.11</v>
      </c>
      <c r="BX180" s="23">
        <f>VLOOKUP($R180,武学奇术!$A:$ZZ,32,FALSE)</f>
        <v>0</v>
      </c>
      <c r="BY180" s="23" cm="1">
        <f t="array" ref="BY180">SUM(_xlfn.XLOOKUP($S180:$AL180,增益!$A:$A,增益!$X:$X,0))</f>
        <v>0.2</v>
      </c>
    </row>
    <row r="181" spans="11:77">
      <c r="K181" s="35">
        <f>$L181*VLOOKUP($R181,武学奇术!$A:$ZZ,31,FALSE)</f>
        <v>0</v>
      </c>
      <c r="L181" s="35">
        <f>($M181*$BT181+$N181*$BR181+$O181*$BU181+$P181*$BV181)</f>
        <v>0</v>
      </c>
      <c r="M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轻击",$B$21,0))*(1+IF(VLOOKUP($R181,武学奇术!$A:$ZZ,30,FALSE)="老鼠",$B$22,0))*(1+$BW181)*(1+$BX181)</f>
        <v>0</v>
      </c>
      <c r="N181" s="35">
        <f>(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轻击",$B$21,0))*(1+IF(VLOOKUP($R181,武学奇术!$A:$ZZ,30,FALSE)="老鼠",$B$22,0))*(1+$BW181))*(1+$BX181)</f>
        <v>0</v>
      </c>
      <c r="O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轻击",$B$21,0))*(1+IF(VLOOKUP($R181,武学奇术!$A:$ZZ,30,FALSE)="老鼠",$B$22,0))*(1+$BW181)*(1+$BX181)</f>
        <v>0</v>
      </c>
      <c r="P181" s="35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轻击",$B$21,0))*(1+IF(VLOOKUP($R181,武学奇术!$A:$ZZ,30,FALSE)="老鼠",$B$22,0))*(1+$BW181)*(1+$BX181)</f>
        <v>0</v>
      </c>
      <c r="Q181" s="36">
        <v>1</v>
      </c>
      <c r="R181" s="37" t="s">
        <v>81</v>
      </c>
      <c r="S181" s="37" t="s">
        <v>81</v>
      </c>
      <c r="T181" s="37" t="s">
        <v>81</v>
      </c>
      <c r="U181" s="37" t="s">
        <v>81</v>
      </c>
      <c r="V181" s="37" t="s">
        <v>81</v>
      </c>
      <c r="W181" s="37" t="s">
        <v>81</v>
      </c>
      <c r="X181" s="37" t="s">
        <v>81</v>
      </c>
      <c r="Y181" s="37" t="s">
        <v>81</v>
      </c>
      <c r="Z181" s="37" t="s">
        <v>81</v>
      </c>
      <c r="AA181" s="37" t="s">
        <v>81</v>
      </c>
      <c r="AB181" s="37" t="s">
        <v>81</v>
      </c>
      <c r="AC181" s="37" t="s">
        <v>81</v>
      </c>
      <c r="AD181" s="37" t="s">
        <v>81</v>
      </c>
      <c r="AE181" s="37" t="s">
        <v>81</v>
      </c>
      <c r="AF181" s="37" t="s">
        <v>81</v>
      </c>
      <c r="AG181" s="37" t="s">
        <v>87</v>
      </c>
      <c r="AH181" s="37" t="s">
        <v>88</v>
      </c>
      <c r="AI181" s="37" t="s">
        <v>81</v>
      </c>
      <c r="AJ181" s="37" t="s">
        <v>81</v>
      </c>
      <c r="AK181" s="37" t="s">
        <v>81</v>
      </c>
      <c r="AL181" s="37" t="s">
        <v>81</v>
      </c>
      <c r="AM181" t="str">
        <f>VLOOKUP($R181,武学奇术!$A:$ZZ,25,FALSE)</f>
        <v>心法</v>
      </c>
      <c r="AN181" s="23">
        <f>VLOOKUP($R181,武学奇术!$A:$ZZ,26,FALSE)</f>
        <v>0</v>
      </c>
      <c r="AO181" s="24">
        <f>VLOOKUP($R181,武学奇术!$A:$ZZ,27,FALSE)*(1+IF(OR($AM181=$F$4,$AM181=$F$5),$B$23,0))</f>
        <v>0</v>
      </c>
      <c r="AP181" s="23">
        <f>VLOOKUP($R181,武学奇术!$A:$ZZ,28,FALSE)</f>
        <v>0</v>
      </c>
      <c r="AQ181" s="24">
        <f>VLOOKUP($R181,武学奇术!$A:$ZZ,29,FALSE)*(1+IF(OR($AM181=$F$4,$AM181=$F$5),$B$23,0))</f>
        <v>0</v>
      </c>
      <c r="AR181" s="23" cm="1">
        <f t="array" ref="AR181">$G$3+IFERROR(VLOOKUP($AM181,$F$4:$G$7,2,FALSE),0)+VLOOKUP($R181,武学奇术!$A:$ZZ,2,FALSE)+SUM(_xlfn.XLOOKUP($S181:$AL181,增益!$A:$A,增益!$B:$B,0))</f>
        <v>0.1842</v>
      </c>
      <c r="AS181" s="23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4081.7</v>
      </c>
      <c r="AU181" cm="1">
        <f t="array" ref="AU181">$E$10*(1+$AS181)+VLOOKUP($R181,武学奇术!$A:$ZZ,4,FALSE)+SUM(_xlfn.XLOOKUP($S181:$AL181,增益!$A:$A,增益!$D:$D,0))-$I$2</f>
        <v>4081.7</v>
      </c>
      <c r="AV181" s="29" cm="1">
        <f t="array" ref="AV181">IF($F$10-$I$3+VLOOKUP($R181,武学奇术!$A:$ZZ,6,FALSE)+SUM(_xlfn.XLOOKUP(S181:AL181,增益!$A:$A,增益!$F:$F,0))&gt;0,($F$10-$I$3+VLOOKUP($R181,武学奇术!$A:$ZZ,6,FALSE)+SUM(_xlfn.XLOOKUP(S181:AL181,增益!$A:$A,增益!$F:$F,0)))/200,($F$10-$I$3+VLOOKUP($R181,武学奇术!$A:$ZZ,6,FALSE)+SUM(_xlfn.XLOOKUP(S181:AL181,增益!$A:$A,增益!$F:$F,0)))/100)</f>
        <v>0.2789</v>
      </c>
      <c r="AW181" s="29" cm="1">
        <f t="array" ref="AW181">$G$10+VLOOKUP($R181,武学奇术!$A:$ZZ,7,FALSE)+SUM(_xlfn.XLOOKUP(S181:AL181,增益!$A:$A,增益!$G:$G,0))</f>
        <v>0.02</v>
      </c>
      <c r="AX181" s="23" cm="1">
        <f t="array" ref="AX181">VLOOKUP($R181,武学奇术!$A:$ZZ,8,FALSE)+SUM(_xlfn.XLOOKUP(S181:AL181,增益!$A:$A,增益!$H:$H,0))</f>
        <v>0</v>
      </c>
      <c r="AY181">
        <f t="shared" si="57"/>
        <v>0</v>
      </c>
      <c r="AZ181">
        <f t="shared" si="58"/>
        <v>0</v>
      </c>
      <c r="BA181" s="29" cm="1">
        <f t="array" ref="BA181">IF($F$11-$I$4+VLOOKUP($R181,武学奇术!$A:$ZZ,9,FALSE)+SUM(_xlfn.XLOOKUP(S181:AL181,增益!$A:$A,增益!$I:$I,0))&gt;0,($F$11-$I$4+VLOOKUP($R181,武学奇术!$A:$ZZ,9,FALSE)+SUM(_xlfn.XLOOKUP(S181:AL181,增益!$A:$A,增益!$I:$I,0)))/200,($F$11-$I$4+VLOOKUP($R181,武学奇术!$A:$ZZ,9,FALSE)+SUM(_xlfn.XLOOKUP(S181:AL181,增益!$A:$A,增益!$I:$I,0)))/100)</f>
        <v>-0.3</v>
      </c>
      <c r="BB181" s="29" cm="1">
        <f t="array" ref="BB181">$G$11+VLOOKUP($R181,武学奇术!$A:$ZZ,10,FALSE)+SUM(_xlfn.XLOOKUP(S181:AL181,增益!$A:$A,增益!$J:$J,0))</f>
        <v>0.02</v>
      </c>
      <c r="BC181">
        <f t="shared" si="59"/>
        <v>0</v>
      </c>
      <c r="BD181">
        <f t="shared" si="60"/>
        <v>0</v>
      </c>
      <c r="BE181" s="29" cm="1">
        <f t="array" ref="BE181">IF($F$12-$I$4+VLOOKUP($R181,武学奇术!$A:$ZZ,11,FALSE)+SUM(_xlfn.XLOOKUP(S181:AL181,增益!$A:$A,增益!$K:$K,0))&gt;0,($F$12-$I$4+VLOOKUP($R181,武学奇术!$A:$ZZ,11,FALSE)+SUM(_xlfn.XLOOKUP(S181:AL181,增益!$A:$A,增益!$K:$K,0)))/200,($F$12-$I$4+VLOOKUP($R181,武学奇术!$A:$ZZ,11,FALSE)+SUM(_xlfn.XLOOKUP(S181:AL181,增益!$A:$A,增益!$K:$K,0)))/100)</f>
        <v>-0.3</v>
      </c>
      <c r="BF181" s="29" cm="1">
        <f t="array" ref="BF181">$G$12+VLOOKUP($R181,武学奇术!$A:$ZZ,12,FALSE)+SUM(_xlfn.XLOOKUP(S181:AL181,增益!$A:$A,增益!$L:$L,0))</f>
        <v>0.02</v>
      </c>
      <c r="BG181">
        <f t="shared" si="61"/>
        <v>0</v>
      </c>
      <c r="BH181">
        <f t="shared" si="62"/>
        <v>0</v>
      </c>
      <c r="BI181" s="29" cm="1">
        <f t="array" ref="BI181">IF($F$13-$I$4+VLOOKUP($R181,武学奇术!$A:$ZZ,13,FALSE)+SUM(_xlfn.XLOOKUP(S181:AL181,增益!$A:$A,增益!$M:$M,0))&gt;0,($F$13-$I$4+VLOOKUP($R181,武学奇术!$A:$ZZ,13,FALSE)+SUM(_xlfn.XLOOKUP(S181:AL181,增益!$A:$A,增益!$K:$K,0)))/200,($F$13-$I$4+VLOOKUP($R181,武学奇术!$A:$ZZ,13,FALSE)+SUM(_xlfn.XLOOKUP(S181:AL181,增益!$A:$A,增益!$M:$M,0)))/100)</f>
        <v>-0.3</v>
      </c>
      <c r="BJ181" s="29" cm="1">
        <f t="array" ref="BJ181">$G$13+VLOOKUP($R181,武学奇术!$A:$ZZ,14,FALSE)+SUM(_xlfn.XLOOKUP(S181:AL181,增益!$A:$A,增益!$N:$N,0))</f>
        <v>0.02</v>
      </c>
      <c r="BK181">
        <f t="shared" si="63"/>
        <v>618.2</v>
      </c>
      <c r="BL181">
        <f t="shared" si="64"/>
        <v>1805</v>
      </c>
      <c r="BM181" s="29" cm="1">
        <f t="array" ref="BM181">IF($F$14-$I$4+VLOOKUP($R181,武学奇术!$A:$ZZ,15,FALSE)+SUM(_xlfn.XLOOKUP(S181:AL181,增益!$A:$A,增益!$O:$O,0))&gt;0,($F$14-$I$4+VLOOKUP($R181,武学奇术!$A:$ZZ,15,FALSE)+SUM(_xlfn.XLOOKUP(S181:AL181,增益!$A:$A,增益!$O:$O,0)))/200,($F$14-$I$4+VLOOKUP($R181,武学奇术!$A:$ZZ,15,FALSE)+SUM(_xlfn.XLOOKUP(S181:AL181,增益!$A:$A,增益!$O:$O,0)))/100)</f>
        <v>0</v>
      </c>
      <c r="BN181" s="29" cm="1">
        <f t="array" ref="BN181">$G$14+VLOOKUP($R181,武学奇术!$A:$ZZ,16,FALSE)+SUM(_xlfn.XLOOKUP(S181:AL181,增益!$A:$A,增益!$P:$P,0))</f>
        <v>0.17</v>
      </c>
      <c r="BO181" s="23">
        <f>MIN(IF(VLOOKUP($R181,武学奇术!$A:$ZZ,23,FALSE)=1,100%,$B$8),100%)</f>
        <v>0.9943</v>
      </c>
      <c r="BP181" s="23" cm="1">
        <f t="array" ref="BP181">IF(VLOOKUP($R181,武学奇术!$A:$ZZ,23,FALSE)=1,100%,MIN(80%,$B$9+VLOOKUP($R181,武学奇术!$A:$ZZ,17,FALSE)+SUM(_xlfn.XLOOKUP(S181:AL181,增益!$A:$A,增益!$Q:$Q,0)))+$B$11+SUM(_xlfn.XLOOKUP(S181:AL181,增益!$A:$A,增益!$U:$U,0)))*IF(VLOOKUP($R181,武学奇术!$A:$ZZ,24,FALSE)=1,0,1)</f>
        <v>0.8</v>
      </c>
      <c r="BQ181" s="23" cm="1">
        <f t="array" ref="BQ181">1+$B$13+VLOOKUP($R181,武学奇术!$A:$ZZ,18,FALSE)+SUM(_xlfn.XLOOKUP(S181:AL181,增益!$A:$A,增益!$R:$R,0))</f>
        <v>1.544</v>
      </c>
      <c r="BR181" s="23" cm="1">
        <f t="array" ref="BR181">IF(VLOOKUP($R181,武学奇术!$A:$ZZ,24,FALSE)=1,100%,MIN(40%,$B$10+VLOOKUP($R181,武学奇术!$A:$ZZ,19,FALSE)+SUM(_xlfn.XLOOKUP(S181:AL181,增益!$A:$A,增益!$S:$S,0)))+$B$12+SUM(_xlfn.XLOOKUP(S181:AL181,增益!$A:$A,增益!$V:$V,0)))*IF(VLOOKUP($R181,武学奇术!$A:$ZZ,23,FALSE)=1,0,1)</f>
        <v>0.0913</v>
      </c>
      <c r="BS181" s="23" cm="1">
        <f t="array" ref="BS181">1+$B$14+VLOOKUP($R181,武学奇术!$A:$ZZ,20,FALSE)+SUM(_xlfn.XLOOKUP(S181:AL181,增益!$A:$A,增益!$T:$T,0))</f>
        <v>1.35</v>
      </c>
      <c r="BT181" s="23">
        <f t="shared" si="65"/>
        <v>0.79544</v>
      </c>
      <c r="BU181" s="23">
        <f t="shared" si="66"/>
        <v>0.10808041</v>
      </c>
      <c r="BV181" s="23">
        <f>IF(VLOOKUP($R181,武学奇术!$A:$ZZ,22,FALSE)=1,0,(1-$BO181))*(1-$BR181)</f>
        <v>0.00517958999999993</v>
      </c>
      <c r="BW181" s="23" cm="1">
        <f t="array" ref="BW181">SUM(_xlfn.XLOOKUP(S181:AL181,增益!$A:$A,增益!$W:$W,0))+$I$5</f>
        <v>0.11</v>
      </c>
      <c r="BX181" s="23">
        <f>VLOOKUP($R181,武学奇术!$A:$ZZ,32,FALSE)</f>
        <v>0</v>
      </c>
      <c r="BY181" s="23" cm="1">
        <f t="array" ref="BY181">SUM(_xlfn.XLOOKUP($S181:$AL181,增益!$A:$A,增益!$X:$X,0))</f>
        <v>0</v>
      </c>
    </row>
    <row r="182" spans="11:77">
      <c r="K182" s="35">
        <f>$L182*VLOOKUP($R182,武学奇术!$A:$ZZ,31,FALSE)</f>
        <v>28181.8091997772</v>
      </c>
      <c r="L182" s="35">
        <f t="shared" ref="L182:L190" si="67">($M182*$BT182+$N182*$BR182+$O182*$BU182+$P182*$BV182)</f>
        <v>27629.2247056639</v>
      </c>
      <c r="M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轻击",$B$21,0))*(1+IF(VLOOKUP($R182,武学奇术!$A:$ZZ,30,FALSE)="老鼠",$B$22,0))*(1+$BW182)*(1+$BX182)</f>
        <v>29037.0614478514</v>
      </c>
      <c r="N182" s="35">
        <f>(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轻击",$B$21,0))*(1+IF(VLOOKUP($R182,武学奇术!$A:$ZZ,30,FALSE)="老鼠",$B$22,0))*(1+$BW182))*(1+$BX182)</f>
        <v>18535.13953515</v>
      </c>
      <c r="O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轻击",$B$21,0))*(1+IF(VLOOKUP($R182,武学奇术!$A:$ZZ,30,FALSE)="老鼠",$B$22,0))*(1+$BW182)*(1+$BX182)</f>
        <v>12494.4326367691</v>
      </c>
      <c r="P182" s="35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轻击",$B$21,0))*(1+IF(VLOOKUP($R182,武学奇术!$A:$ZZ,30,FALSE)="老鼠",$B$22,0))*(1+$BW182)*(1+$BX182)</f>
        <v>11259.1322845382</v>
      </c>
      <c r="Q182" s="36">
        <f t="shared" ref="Q182:Q190" si="68">IF($E$22="易水歌",1,0)</f>
        <v>1</v>
      </c>
      <c r="R182" s="37" t="s">
        <v>187</v>
      </c>
      <c r="S182" s="37" t="s">
        <v>91</v>
      </c>
      <c r="T182" s="37" t="s">
        <v>80</v>
      </c>
      <c r="U182" s="37" t="s">
        <v>81</v>
      </c>
      <c r="V182" s="37" t="s">
        <v>81</v>
      </c>
      <c r="W182" s="37" t="s">
        <v>82</v>
      </c>
      <c r="X182" s="37" t="s">
        <v>81</v>
      </c>
      <c r="Y182" s="37" t="s">
        <v>81</v>
      </c>
      <c r="Z182" s="37" t="s">
        <v>83</v>
      </c>
      <c r="AA182" s="37" t="s">
        <v>84</v>
      </c>
      <c r="AB182" s="37" t="s">
        <v>81</v>
      </c>
      <c r="AC182" s="37" t="s">
        <v>81</v>
      </c>
      <c r="AD182" s="37" t="s">
        <v>85</v>
      </c>
      <c r="AE182" s="37" t="s">
        <v>86</v>
      </c>
      <c r="AF182" s="37" t="s">
        <v>81</v>
      </c>
      <c r="AG182" s="37" t="s">
        <v>87</v>
      </c>
      <c r="AH182" s="37" t="s">
        <v>88</v>
      </c>
      <c r="AI182" s="37" t="s">
        <v>81</v>
      </c>
      <c r="AJ182" s="37" t="s">
        <v>81</v>
      </c>
      <c r="AK182" s="37" t="s">
        <v>81</v>
      </c>
      <c r="AL182" s="37" t="s">
        <v>81</v>
      </c>
      <c r="AM182" t="str">
        <f>VLOOKUP($R182,武学奇术!$A:$ZZ,25,FALSE)</f>
        <v>心法</v>
      </c>
      <c r="AN182" s="23">
        <f>VLOOKUP($R182,武学奇术!$A:$ZZ,26,FALSE)</f>
        <v>1</v>
      </c>
      <c r="AO182" s="24">
        <f>VLOOKUP($R182,武学奇术!$A:$ZZ,27,FALSE)*(1+IF(OR($AM182=$F$4,$AM182=$F$5),$B$23,0))</f>
        <v>0</v>
      </c>
      <c r="AP182" s="23">
        <f>VLOOKUP($R182,武学奇术!$A:$ZZ,28,FALSE)</f>
        <v>1</v>
      </c>
      <c r="AQ182" s="24">
        <f>VLOOKUP($R182,武学奇术!$A:$ZZ,29,FALSE)*(1+IF(OR($AM182=$F$4,$AM182=$F$5),$B$23,0))</f>
        <v>0</v>
      </c>
      <c r="AR182" s="23" cm="1">
        <f t="array" ref="AR182">$G$3+IFERROR(VLOOKUP($AM182,$F$4:$G$7,2,FALSE),0)+VLOOKUP($R182,武学奇术!$A:$ZZ,2,FALSE)+SUM(_xlfn.XLOOKUP($S182:$AL182,增益!$A:$A,增益!$B:$B,0))</f>
        <v>0.4842</v>
      </c>
      <c r="AS182" s="23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4081.7</v>
      </c>
      <c r="AU182" cm="1">
        <f t="array" ref="AU182">$E$10*(1+$AS182)+VLOOKUP($R182,武学奇术!$A:$ZZ,4,FALSE)+SUM(_xlfn.XLOOKUP($S182:$AL182,增益!$A:$A,增益!$D:$D,0))-$I$2</f>
        <v>4081.7</v>
      </c>
      <c r="AV182" s="29" cm="1">
        <f t="array" ref="AV182">IF($F$10-$I$3+VLOOKUP($R182,武学奇术!$A:$ZZ,6,FALSE)+SUM(_xlfn.XLOOKUP(S182:AL182,增益!$A:$A,增益!$F:$F,0))&gt;0,($F$10-$I$3+VLOOKUP($R182,武学奇术!$A:$ZZ,6,FALSE)+SUM(_xlfn.XLOOKUP(S182:AL182,增益!$A:$A,增益!$F:$F,0)))/200,($F$10-$I$3+VLOOKUP($R182,武学奇术!$A:$ZZ,6,FALSE)+SUM(_xlfn.XLOOKUP(S182:AL182,增益!$A:$A,增益!$F:$F,0)))/100)</f>
        <v>0.4539</v>
      </c>
      <c r="AW182" s="29" cm="1">
        <f t="array" ref="AW182">$G$10+VLOOKUP($R182,武学奇术!$A:$ZZ,7,FALSE)+SUM(_xlfn.XLOOKUP(S182:AL182,增益!$A:$A,增益!$G:$G,0))</f>
        <v>0.02</v>
      </c>
      <c r="AX182" s="23" cm="1">
        <f t="array" ref="AX182">VLOOKUP($R182,武学奇术!$A:$ZZ,8,FALSE)+SUM(_xlfn.XLOOKUP(S182:AL182,增益!$A:$A,增益!$H:$H,0))</f>
        <v>0</v>
      </c>
      <c r="AY182">
        <f t="shared" si="57"/>
        <v>0</v>
      </c>
      <c r="AZ182">
        <f t="shared" si="58"/>
        <v>0</v>
      </c>
      <c r="BA182" s="29" cm="1">
        <f t="array" ref="BA182">IF($F$11-$I$4+VLOOKUP($R182,武学奇术!$A:$ZZ,9,FALSE)+SUM(_xlfn.XLOOKUP(S182:AL182,增益!$A:$A,增益!$I:$I,0))&gt;0,($F$11-$I$4+VLOOKUP($R182,武学奇术!$A:$ZZ,9,FALSE)+SUM(_xlfn.XLOOKUP(S182:AL182,增益!$A:$A,增益!$I:$I,0)))/200,($F$11-$I$4+VLOOKUP($R182,武学奇术!$A:$ZZ,9,FALSE)+SUM(_xlfn.XLOOKUP(S182:AL182,增益!$A:$A,增益!$I:$I,0)))/100)</f>
        <v>-0.14</v>
      </c>
      <c r="BB182" s="29" cm="1">
        <f t="array" ref="BB182">$G$11+VLOOKUP($R182,武学奇术!$A:$ZZ,10,FALSE)+SUM(_xlfn.XLOOKUP(S182:AL182,增益!$A:$A,增益!$J:$J,0))</f>
        <v>0.02</v>
      </c>
      <c r="BC182">
        <f t="shared" si="59"/>
        <v>0</v>
      </c>
      <c r="BD182">
        <f t="shared" si="60"/>
        <v>0</v>
      </c>
      <c r="BE182" s="29" cm="1">
        <f t="array" ref="BE182">IF($F$12-$I$4+VLOOKUP($R182,武学奇术!$A:$ZZ,11,FALSE)+SUM(_xlfn.XLOOKUP(S182:AL182,增益!$A:$A,增益!$K:$K,0))&gt;0,($F$12-$I$4+VLOOKUP($R182,武学奇术!$A:$ZZ,11,FALSE)+SUM(_xlfn.XLOOKUP(S182:AL182,增益!$A:$A,增益!$K:$K,0)))/200,($F$12-$I$4+VLOOKUP($R182,武学奇术!$A:$ZZ,11,FALSE)+SUM(_xlfn.XLOOKUP(S182:AL182,增益!$A:$A,增益!$K:$K,0)))/100)</f>
        <v>-0.14</v>
      </c>
      <c r="BF182" s="29" cm="1">
        <f t="array" ref="BF182">$G$12+VLOOKUP($R182,武学奇术!$A:$ZZ,12,FALSE)+SUM(_xlfn.XLOOKUP(S182:AL182,增益!$A:$A,增益!$L:$L,0))</f>
        <v>0.02</v>
      </c>
      <c r="BG182">
        <f t="shared" si="61"/>
        <v>0</v>
      </c>
      <c r="BH182">
        <f t="shared" si="62"/>
        <v>0</v>
      </c>
      <c r="BI182" s="29" cm="1">
        <f t="array" ref="BI182">IF($F$13-$I$4+VLOOKUP($R182,武学奇术!$A:$ZZ,13,FALSE)+SUM(_xlfn.XLOOKUP(S182:AL182,增益!$A:$A,增益!$M:$M,0))&gt;0,($F$13-$I$4+VLOOKUP($R182,武学奇术!$A:$ZZ,13,FALSE)+SUM(_xlfn.XLOOKUP(S182:AL182,增益!$A:$A,增益!$K:$K,0)))/200,($F$13-$I$4+VLOOKUP($R182,武学奇术!$A:$ZZ,13,FALSE)+SUM(_xlfn.XLOOKUP(S182:AL182,增益!$A:$A,增益!$M:$M,0)))/100)</f>
        <v>-0.14</v>
      </c>
      <c r="BJ182" s="29" cm="1">
        <f t="array" ref="BJ182">$G$13+VLOOKUP($R182,武学奇术!$A:$ZZ,14,FALSE)+SUM(_xlfn.XLOOKUP(S182:AL182,增益!$A:$A,增益!$N:$N,0))</f>
        <v>0.02</v>
      </c>
      <c r="BK182">
        <f t="shared" si="63"/>
        <v>618.2</v>
      </c>
      <c r="BL182">
        <f t="shared" si="64"/>
        <v>1805</v>
      </c>
      <c r="BM182" s="29" cm="1">
        <f t="array" ref="BM182">IF($F$14-$I$4+VLOOKUP($R182,武学奇术!$A:$ZZ,15,FALSE)+SUM(_xlfn.XLOOKUP(S182:AL182,增益!$A:$A,增益!$O:$O,0))&gt;0,($F$14-$I$4+VLOOKUP($R182,武学奇术!$A:$ZZ,15,FALSE)+SUM(_xlfn.XLOOKUP(S182:AL182,增益!$A:$A,增益!$O:$O,0)))/200,($F$14-$I$4+VLOOKUP($R182,武学奇术!$A:$ZZ,15,FALSE)+SUM(_xlfn.XLOOKUP(S182:AL182,增益!$A:$A,增益!$O:$O,0)))/100)</f>
        <v>0.08</v>
      </c>
      <c r="BN182" s="29" cm="1">
        <f t="array" ref="BN182">$G$14+VLOOKUP($R182,武学奇术!$A:$ZZ,16,FALSE)+SUM(_xlfn.XLOOKUP(S182:AL182,增益!$A:$A,增益!$P:$P,0))</f>
        <v>0.17</v>
      </c>
      <c r="BO182" s="23">
        <f>MIN(IF(VLOOKUP($R182,武学奇术!$A:$ZZ,23,FALSE)=1,100%,$B$8),100%)</f>
        <v>0.9943</v>
      </c>
      <c r="BP182" s="23" cm="1">
        <f t="array" ref="BP182">IF(VLOOKUP($R182,武学奇术!$A:$ZZ,23,FALSE)=1,100%,MIN(80%,$B$9+VLOOKUP($R182,武学奇术!$A:$ZZ,17,FALSE)+SUM(_xlfn.XLOOKUP(S182:AL182,增益!$A:$A,增益!$Q:$Q,0)))+$B$11+SUM(_xlfn.XLOOKUP(S182:AL182,增益!$A:$A,增益!$U:$U,0)))*IF(VLOOKUP($R182,武学奇术!$A:$ZZ,24,FALSE)=1,0,1)</f>
        <v>0.887</v>
      </c>
      <c r="BQ182" s="23" cm="1">
        <f t="array" ref="BQ182">1+$B$13+VLOOKUP($R182,武学奇术!$A:$ZZ,18,FALSE)+SUM(_xlfn.XLOOKUP(S182:AL182,增益!$A:$A,增益!$R:$R,0))</f>
        <v>2.324</v>
      </c>
      <c r="BR182" s="23" cm="1">
        <f t="array" ref="BR182">IF(VLOOKUP($R182,武学奇术!$A:$ZZ,24,FALSE)=1,100%,MIN(40%,$B$10+VLOOKUP($R182,武学奇术!$A:$ZZ,19,FALSE)+SUM(_xlfn.XLOOKUP(S182:AL182,增益!$A:$A,增益!$S:$S,0)))+$B$12+SUM(_xlfn.XLOOKUP(S182:AL182,增益!$A:$A,增益!$V:$V,0)))*IF(VLOOKUP($R182,武学奇术!$A:$ZZ,23,FALSE)=1,0,1)</f>
        <v>0.0913</v>
      </c>
      <c r="BS182" s="23" cm="1">
        <f t="array" ref="BS182">1+$B$14+VLOOKUP($R182,武学奇术!$A:$ZZ,20,FALSE)+SUM(_xlfn.XLOOKUP(S182:AL182,增益!$A:$A,增益!$T:$T,0))</f>
        <v>1.35</v>
      </c>
      <c r="BT182" s="23">
        <f t="shared" si="65"/>
        <v>0.8819441</v>
      </c>
      <c r="BU182" s="23">
        <f t="shared" si="66"/>
        <v>0.0215763099999999</v>
      </c>
      <c r="BV182" s="23">
        <f>IF(VLOOKUP($R182,武学奇术!$A:$ZZ,22,FALSE)=1,0,(1-$BO182))*(1-$BR182)</f>
        <v>0.00517958999999993</v>
      </c>
      <c r="BW182" s="23" cm="1">
        <f t="array" ref="BW182">SUM(_xlfn.XLOOKUP(S182:AL182,增益!$A:$A,增益!$W:$W,0))+$I$5</f>
        <v>0.11</v>
      </c>
      <c r="BX182" s="23">
        <f>VLOOKUP($R182,武学奇术!$A:$ZZ,32,FALSE)</f>
        <v>0</v>
      </c>
      <c r="BY182" s="23" cm="1">
        <f t="array" ref="BY182">SUM(_xlfn.XLOOKUP($S182:$AL182,增益!$A:$A,增益!$X:$X,0))</f>
        <v>0</v>
      </c>
    </row>
    <row r="183" spans="11:77">
      <c r="K183" s="35">
        <f>$L183*VLOOKUP($R183,武学奇术!$A:$ZZ,31,FALSE)</f>
        <v>17894.3463444069</v>
      </c>
      <c r="L183" s="35">
        <f t="shared" si="67"/>
        <v>17543.476808242</v>
      </c>
      <c r="M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轻击",$B$21,0))*(1+IF(VLOOKUP($R183,武学奇术!$A:$ZZ,30,FALSE)="老鼠",$B$22,0))*(1+$BW183)*(1+$BX183)</f>
        <v>18480.6778967944</v>
      </c>
      <c r="N183" s="35">
        <f>(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轻击",$B$21,0))*(1+IF(VLOOKUP($R183,武学奇术!$A:$ZZ,30,FALSE)="老鼠",$B$22,0))*(1+$BW183))*(1+$BX183)</f>
        <v>17001.9415249679</v>
      </c>
      <c r="O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轻击",$B$21,0))*(1+IF(VLOOKUP($R183,武学奇术!$A:$ZZ,30,FALSE)="老鼠",$B$22,0))*(1+$BW183)*(1+$BX183)</f>
        <v>11450.2341367995</v>
      </c>
      <c r="P183" s="35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轻击",$B$21,0))*(1+IF(VLOOKUP($R183,武学奇术!$A:$ZZ,30,FALSE)="老鼠",$B$22,0))*(1+$BW183)*(1+$BX183)</f>
        <v>10306.4375143635</v>
      </c>
      <c r="Q183" s="36">
        <f t="shared" si="68"/>
        <v>1</v>
      </c>
      <c r="R183" s="37" t="s">
        <v>187</v>
      </c>
      <c r="S183" s="37" t="s">
        <v>91</v>
      </c>
      <c r="T183" s="37" t="s">
        <v>180</v>
      </c>
      <c r="U183" s="37" t="s">
        <v>81</v>
      </c>
      <c r="V183" s="37" t="s">
        <v>81</v>
      </c>
      <c r="W183" s="37" t="s">
        <v>82</v>
      </c>
      <c r="X183" s="37" t="s">
        <v>81</v>
      </c>
      <c r="Y183" s="37" t="s">
        <v>81</v>
      </c>
      <c r="Z183" s="37" t="s">
        <v>81</v>
      </c>
      <c r="AA183" s="37" t="s">
        <v>81</v>
      </c>
      <c r="AB183" s="37" t="s">
        <v>81</v>
      </c>
      <c r="AC183" s="37" t="s">
        <v>81</v>
      </c>
      <c r="AD183" s="37" t="s">
        <v>85</v>
      </c>
      <c r="AE183" s="37" t="s">
        <v>81</v>
      </c>
      <c r="AF183" s="37" t="s">
        <v>81</v>
      </c>
      <c r="AG183" s="37" t="s">
        <v>87</v>
      </c>
      <c r="AH183" s="37" t="s">
        <v>88</v>
      </c>
      <c r="AI183" s="37" t="s">
        <v>81</v>
      </c>
      <c r="AJ183" s="37" t="s">
        <v>81</v>
      </c>
      <c r="AK183" s="37" t="s">
        <v>81</v>
      </c>
      <c r="AL183" s="37" t="s">
        <v>81</v>
      </c>
      <c r="AM183" t="str">
        <f>VLOOKUP($R183,武学奇术!$A:$ZZ,25,FALSE)</f>
        <v>心法</v>
      </c>
      <c r="AN183" s="23">
        <f>VLOOKUP($R183,武学奇术!$A:$ZZ,26,FALSE)</f>
        <v>1</v>
      </c>
      <c r="AO183" s="24">
        <f>VLOOKUP($R183,武学奇术!$A:$ZZ,27,FALSE)*(1+IF(OR($AM183=$F$4,$AM183=$F$5),$B$23,0))</f>
        <v>0</v>
      </c>
      <c r="AP183" s="23">
        <f>VLOOKUP($R183,武学奇术!$A:$ZZ,28,FALSE)</f>
        <v>1</v>
      </c>
      <c r="AQ183" s="24">
        <f>VLOOKUP($R183,武学奇术!$A:$ZZ,29,FALSE)*(1+IF(OR($AM183=$F$4,$AM183=$F$5),$B$23,0))</f>
        <v>0</v>
      </c>
      <c r="AR183" s="23" cm="1">
        <f t="array" ref="AR183">$G$3+IFERROR(VLOOKUP($AM183,$F$4:$G$7,2,FALSE),0)+VLOOKUP($R183,武学奇术!$A:$ZZ,2,FALSE)+SUM(_xlfn.XLOOKUP($S183:$AL183,增益!$A:$A,增益!$B:$B,0))</f>
        <v>0.4842</v>
      </c>
      <c r="AS183" s="23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4081.7</v>
      </c>
      <c r="AU183" cm="1">
        <f t="array" ref="AU183">$E$10*(1+$AS183)+VLOOKUP($R183,武学奇术!$A:$ZZ,4,FALSE)+SUM(_xlfn.XLOOKUP($S183:$AL183,增益!$A:$A,增益!$D:$D,0))-$I$2</f>
        <v>4081.7</v>
      </c>
      <c r="AV183" s="29" cm="1">
        <f t="array" ref="AV183">IF($F$10-$I$3+VLOOKUP($R183,武学奇术!$A:$ZZ,6,FALSE)+SUM(_xlfn.XLOOKUP(S183:AL183,增益!$A:$A,增益!$F:$F,0))&gt;0,($F$10-$I$3+VLOOKUP($R183,武学奇术!$A:$ZZ,6,FALSE)+SUM(_xlfn.XLOOKUP(S183:AL183,增益!$A:$A,增益!$F:$F,0)))/200,($F$10-$I$3+VLOOKUP($R183,武学奇术!$A:$ZZ,6,FALSE)+SUM(_xlfn.XLOOKUP(S183:AL183,增益!$A:$A,增益!$F:$F,0)))/100)</f>
        <v>0.3289</v>
      </c>
      <c r="AW183" s="29" cm="1">
        <f t="array" ref="AW183">$G$10+VLOOKUP($R183,武学奇术!$A:$ZZ,7,FALSE)+SUM(_xlfn.XLOOKUP(S183:AL183,增益!$A:$A,增益!$G:$G,0))</f>
        <v>0.02</v>
      </c>
      <c r="AX183" s="23" cm="1">
        <f t="array" ref="AX183">VLOOKUP($R183,武学奇术!$A:$ZZ,8,FALSE)+SUM(_xlfn.XLOOKUP(S183:AL183,增益!$A:$A,增益!$H:$H,0))</f>
        <v>0</v>
      </c>
      <c r="AY183">
        <f t="shared" si="57"/>
        <v>0</v>
      </c>
      <c r="AZ183">
        <f t="shared" si="58"/>
        <v>0</v>
      </c>
      <c r="BA183" s="29" cm="1">
        <f t="array" ref="BA183">IF($F$11-$I$4+VLOOKUP($R183,武学奇术!$A:$ZZ,9,FALSE)+SUM(_xlfn.XLOOKUP(S183:AL183,增益!$A:$A,增益!$I:$I,0))&gt;0,($F$11-$I$4+VLOOKUP($R183,武学奇术!$A:$ZZ,9,FALSE)+SUM(_xlfn.XLOOKUP(S183:AL183,增益!$A:$A,增益!$I:$I,0)))/200,($F$11-$I$4+VLOOKUP($R183,武学奇术!$A:$ZZ,9,FALSE)+SUM(_xlfn.XLOOKUP(S183:AL183,增益!$A:$A,增益!$I:$I,0)))/100)</f>
        <v>-0.3</v>
      </c>
      <c r="BB183" s="29" cm="1">
        <f t="array" ref="BB183">$G$11+VLOOKUP($R183,武学奇术!$A:$ZZ,10,FALSE)+SUM(_xlfn.XLOOKUP(S183:AL183,增益!$A:$A,增益!$J:$J,0))</f>
        <v>0.02</v>
      </c>
      <c r="BC183">
        <f t="shared" si="59"/>
        <v>0</v>
      </c>
      <c r="BD183">
        <f t="shared" si="60"/>
        <v>0</v>
      </c>
      <c r="BE183" s="29" cm="1">
        <f t="array" ref="BE183">IF($F$12-$I$4+VLOOKUP($R183,武学奇术!$A:$ZZ,11,FALSE)+SUM(_xlfn.XLOOKUP(S183:AL183,增益!$A:$A,增益!$K:$K,0))&gt;0,($F$12-$I$4+VLOOKUP($R183,武学奇术!$A:$ZZ,11,FALSE)+SUM(_xlfn.XLOOKUP(S183:AL183,增益!$A:$A,增益!$K:$K,0)))/200,($F$12-$I$4+VLOOKUP($R183,武学奇术!$A:$ZZ,11,FALSE)+SUM(_xlfn.XLOOKUP(S183:AL183,增益!$A:$A,增益!$K:$K,0)))/100)</f>
        <v>-0.3</v>
      </c>
      <c r="BF183" s="29" cm="1">
        <f t="array" ref="BF183">$G$12+VLOOKUP($R183,武学奇术!$A:$ZZ,12,FALSE)+SUM(_xlfn.XLOOKUP(S183:AL183,增益!$A:$A,增益!$L:$L,0))</f>
        <v>0.02</v>
      </c>
      <c r="BG183">
        <f t="shared" si="61"/>
        <v>0</v>
      </c>
      <c r="BH183">
        <f t="shared" si="62"/>
        <v>0</v>
      </c>
      <c r="BI183" s="29" cm="1">
        <f t="array" ref="BI183">IF($F$13-$I$4+VLOOKUP($R183,武学奇术!$A:$ZZ,13,FALSE)+SUM(_xlfn.XLOOKUP(S183:AL183,增益!$A:$A,增益!$M:$M,0))&gt;0,($F$13-$I$4+VLOOKUP($R183,武学奇术!$A:$ZZ,13,FALSE)+SUM(_xlfn.XLOOKUP(S183:AL183,增益!$A:$A,增益!$K:$K,0)))/200,($F$13-$I$4+VLOOKUP($R183,武学奇术!$A:$ZZ,13,FALSE)+SUM(_xlfn.XLOOKUP(S183:AL183,增益!$A:$A,增益!$M:$M,0)))/100)</f>
        <v>-0.3</v>
      </c>
      <c r="BJ183" s="29" cm="1">
        <f t="array" ref="BJ183">$G$13+VLOOKUP($R183,武学奇术!$A:$ZZ,14,FALSE)+SUM(_xlfn.XLOOKUP(S183:AL183,增益!$A:$A,增益!$N:$N,0))</f>
        <v>0.02</v>
      </c>
      <c r="BK183">
        <f t="shared" si="63"/>
        <v>618.2</v>
      </c>
      <c r="BL183">
        <f t="shared" si="64"/>
        <v>1805</v>
      </c>
      <c r="BM183" s="29" cm="1">
        <f t="array" ref="BM183">IF($F$14-$I$4+VLOOKUP($R183,武学奇术!$A:$ZZ,15,FALSE)+SUM(_xlfn.XLOOKUP(S183:AL183,增益!$A:$A,增益!$O:$O,0))&gt;0,($F$14-$I$4+VLOOKUP($R183,武学奇术!$A:$ZZ,15,FALSE)+SUM(_xlfn.XLOOKUP(S183:AL183,增益!$A:$A,增益!$O:$O,0)))/200,($F$14-$I$4+VLOOKUP($R183,武学奇术!$A:$ZZ,15,FALSE)+SUM(_xlfn.XLOOKUP(S183:AL183,增益!$A:$A,增益!$O:$O,0)))/100)</f>
        <v>0</v>
      </c>
      <c r="BN183" s="29" cm="1">
        <f t="array" ref="BN183">$G$14+VLOOKUP($R183,武学奇术!$A:$ZZ,16,FALSE)+SUM(_xlfn.XLOOKUP(S183:AL183,增益!$A:$A,增益!$P:$P,0))</f>
        <v>0.17</v>
      </c>
      <c r="BO183" s="23">
        <f>MIN(IF(VLOOKUP($R183,武学奇术!$A:$ZZ,23,FALSE)=1,100%,$B$8),100%)</f>
        <v>0.9943</v>
      </c>
      <c r="BP183" s="23" cm="1">
        <f t="array" ref="BP183">IF(VLOOKUP($R183,武学奇术!$A:$ZZ,23,FALSE)=1,100%,MIN(80%,$B$9+VLOOKUP($R183,武学奇术!$A:$ZZ,17,FALSE)+SUM(_xlfn.XLOOKUP(S183:AL183,增益!$A:$A,增益!$Q:$Q,0)))+$B$11+SUM(_xlfn.XLOOKUP(S183:AL183,增益!$A:$A,增益!$U:$U,0)))*IF(VLOOKUP($R183,武学奇术!$A:$ZZ,24,FALSE)=1,0,1)</f>
        <v>0.8</v>
      </c>
      <c r="BQ183" s="23" cm="1">
        <f t="array" ref="BQ183">1+$B$13+VLOOKUP($R183,武学奇术!$A:$ZZ,18,FALSE)+SUM(_xlfn.XLOOKUP(S183:AL183,增益!$A:$A,增益!$R:$R,0))</f>
        <v>1.614</v>
      </c>
      <c r="BR183" s="23" cm="1">
        <f t="array" ref="BR183">IF(VLOOKUP($R183,武学奇术!$A:$ZZ,24,FALSE)=1,100%,MIN(40%,$B$10+VLOOKUP($R183,武学奇术!$A:$ZZ,19,FALSE)+SUM(_xlfn.XLOOKUP(S183:AL183,增益!$A:$A,增益!$S:$S,0)))+$B$12+SUM(_xlfn.XLOOKUP(S183:AL183,增益!$A:$A,增益!$V:$V,0)))*IF(VLOOKUP($R183,武学奇术!$A:$ZZ,23,FALSE)=1,0,1)</f>
        <v>0.0913</v>
      </c>
      <c r="BS183" s="23" cm="1">
        <f t="array" ref="BS183">1+$B$14+VLOOKUP($R183,武学奇术!$A:$ZZ,20,FALSE)+SUM(_xlfn.XLOOKUP(S183:AL183,增益!$A:$A,增益!$T:$T,0))</f>
        <v>1.35</v>
      </c>
      <c r="BT183" s="23">
        <f t="shared" si="65"/>
        <v>0.79544</v>
      </c>
      <c r="BU183" s="23">
        <f t="shared" si="66"/>
        <v>0.10808041</v>
      </c>
      <c r="BV183" s="23">
        <f>IF(VLOOKUP($R183,武学奇术!$A:$ZZ,22,FALSE)=1,0,(1-$BO183))*(1-$BR183)</f>
        <v>0.00517958999999993</v>
      </c>
      <c r="BW183" s="23" cm="1">
        <f t="array" ref="BW183">SUM(_xlfn.XLOOKUP(S183:AL183,增益!$A:$A,增益!$W:$W,0))+$I$5</f>
        <v>0.11</v>
      </c>
      <c r="BX183" s="23">
        <f>VLOOKUP($R183,武学奇术!$A:$ZZ,32,FALSE)</f>
        <v>0</v>
      </c>
      <c r="BY183" s="23" cm="1">
        <f t="array" ref="BY183">SUM(_xlfn.XLOOKUP($S183:$AL183,增益!$A:$A,增益!$X:$X,0))</f>
        <v>0</v>
      </c>
    </row>
    <row r="184" spans="11:77">
      <c r="K184" s="35">
        <f>$L184*VLOOKUP($R184,武学奇术!$A:$ZZ,31,FALSE)</f>
        <v>24373.8538742985</v>
      </c>
      <c r="L184" s="35">
        <f t="shared" si="67"/>
        <v>23895.9351708809</v>
      </c>
      <c r="M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轻击",$B$21,0))*(1+IF(VLOOKUP($R184,武学奇术!$A:$ZZ,30,FALSE)="老鼠",$B$22,0))*(1+$BW184)*(1+$BX184)</f>
        <v>24949.8691116065</v>
      </c>
      <c r="N184" s="35">
        <f>(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轻击",$B$21,0))*(1+IF(VLOOKUP($R184,武学奇术!$A:$ZZ,30,FALSE)="老鼠",$B$22,0))*(1+$BW184))*(1+$BX184)</f>
        <v>17377.6943284355</v>
      </c>
      <c r="O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轻击",$B$21,0))*(1+IF(VLOOKUP($R184,武学奇术!$A:$ZZ,30,FALSE)="老鼠",$B$22,0))*(1+$BW184)*(1+$BX184)</f>
        <v>11637.0658169806</v>
      </c>
      <c r="P184" s="35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轻击",$B$21,0))*(1+IF(VLOOKUP($R184,武学奇术!$A:$ZZ,30,FALSE)="老鼠",$B$22,0))*(1+$BW184)*(1+$BX184)</f>
        <v>10401.7654647497</v>
      </c>
      <c r="Q184" s="36">
        <f t="shared" si="68"/>
        <v>1</v>
      </c>
      <c r="R184" s="37" t="s">
        <v>187</v>
      </c>
      <c r="S184" s="37" t="s">
        <v>91</v>
      </c>
      <c r="T184" s="37" t="s">
        <v>185</v>
      </c>
      <c r="U184" s="37" t="s">
        <v>81</v>
      </c>
      <c r="V184" s="37" t="s">
        <v>81</v>
      </c>
      <c r="W184" s="37" t="s">
        <v>82</v>
      </c>
      <c r="X184" s="37" t="s">
        <v>81</v>
      </c>
      <c r="Y184" s="37" t="s">
        <v>81</v>
      </c>
      <c r="Z184" s="37" t="s">
        <v>83</v>
      </c>
      <c r="AA184" s="37" t="s">
        <v>84</v>
      </c>
      <c r="AB184" s="37" t="s">
        <v>81</v>
      </c>
      <c r="AC184" s="37" t="s">
        <v>81</v>
      </c>
      <c r="AD184" s="37" t="s">
        <v>85</v>
      </c>
      <c r="AE184" s="37" t="s">
        <v>81</v>
      </c>
      <c r="AF184" s="37" t="s">
        <v>81</v>
      </c>
      <c r="AG184" s="37" t="s">
        <v>87</v>
      </c>
      <c r="AH184" s="37" t="s">
        <v>88</v>
      </c>
      <c r="AI184" s="37" t="s">
        <v>81</v>
      </c>
      <c r="AJ184" s="37" t="s">
        <v>81</v>
      </c>
      <c r="AK184" s="37" t="s">
        <v>81</v>
      </c>
      <c r="AL184" s="37" t="s">
        <v>81</v>
      </c>
      <c r="AM184" t="str">
        <f>VLOOKUP($R184,武学奇术!$A:$ZZ,25,FALSE)</f>
        <v>心法</v>
      </c>
      <c r="AN184" s="23">
        <f>VLOOKUP($R184,武学奇术!$A:$ZZ,26,FALSE)</f>
        <v>1</v>
      </c>
      <c r="AO184" s="24">
        <f>VLOOKUP($R184,武学奇术!$A:$ZZ,27,FALSE)*(1+IF(OR($AM184=$F$4,$AM184=$F$5),$B$23,0))</f>
        <v>0</v>
      </c>
      <c r="AP184" s="23">
        <f>VLOOKUP($R184,武学奇术!$A:$ZZ,28,FALSE)</f>
        <v>1</v>
      </c>
      <c r="AQ184" s="24">
        <f>VLOOKUP($R184,武学奇术!$A:$ZZ,29,FALSE)*(1+IF(OR($AM184=$F$4,$AM184=$F$5),$B$23,0))</f>
        <v>0</v>
      </c>
      <c r="AR184" s="23" cm="1">
        <f t="array" ref="AR184">$G$3+IFERROR(VLOOKUP($AM184,$F$4:$G$7,2,FALSE),0)+VLOOKUP($R184,武学奇术!$A:$ZZ,2,FALSE)+SUM(_xlfn.XLOOKUP($S184:$AL184,增益!$A:$A,增益!$B:$B,0))</f>
        <v>0.4842</v>
      </c>
      <c r="AS184" s="23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4081.7</v>
      </c>
      <c r="AU184" cm="1">
        <f t="array" ref="AU184">$E$10*(1+$AS184)+VLOOKUP($R184,武学奇术!$A:$ZZ,4,FALSE)+SUM(_xlfn.XLOOKUP($S184:$AL184,增益!$A:$A,增益!$D:$D,0))-$I$2</f>
        <v>4081.7</v>
      </c>
      <c r="AV184" s="29" cm="1">
        <f t="array" ref="AV184">IF($F$10-$I$3+VLOOKUP($R184,武学奇术!$A:$ZZ,6,FALSE)+SUM(_xlfn.XLOOKUP(S184:AL184,增益!$A:$A,增益!$F:$F,0))&gt;0,($F$10-$I$3+VLOOKUP($R184,武学奇术!$A:$ZZ,6,FALSE)+SUM(_xlfn.XLOOKUP(S184:AL184,增益!$A:$A,增益!$F:$F,0)))/200,($F$10-$I$3+VLOOKUP($R184,武学奇术!$A:$ZZ,6,FALSE)+SUM(_xlfn.XLOOKUP(S184:AL184,增益!$A:$A,增益!$F:$F,0)))/100)</f>
        <v>0.3289</v>
      </c>
      <c r="AW184" s="29" cm="1">
        <f t="array" ref="AW184">$G$10+VLOOKUP($R184,武学奇术!$A:$ZZ,7,FALSE)+SUM(_xlfn.XLOOKUP(S184:AL184,增益!$A:$A,增益!$G:$G,0))</f>
        <v>0.02</v>
      </c>
      <c r="AX184" s="23" cm="1">
        <f t="array" ref="AX184">VLOOKUP($R184,武学奇术!$A:$ZZ,8,FALSE)+SUM(_xlfn.XLOOKUP(S184:AL184,增益!$A:$A,增益!$H:$H,0))</f>
        <v>0</v>
      </c>
      <c r="AY184">
        <f t="shared" si="57"/>
        <v>0</v>
      </c>
      <c r="AZ184">
        <f t="shared" si="58"/>
        <v>0</v>
      </c>
      <c r="BA184" s="29" cm="1">
        <f t="array" ref="BA184">IF($F$11-$I$4+VLOOKUP($R184,武学奇术!$A:$ZZ,9,FALSE)+SUM(_xlfn.XLOOKUP(S184:AL184,增益!$A:$A,增益!$I:$I,0))&gt;0,($F$11-$I$4+VLOOKUP($R184,武学奇术!$A:$ZZ,9,FALSE)+SUM(_xlfn.XLOOKUP(S184:AL184,增益!$A:$A,增益!$I:$I,0)))/200,($F$11-$I$4+VLOOKUP($R184,武学奇术!$A:$ZZ,9,FALSE)+SUM(_xlfn.XLOOKUP(S184:AL184,增益!$A:$A,增益!$I:$I,0)))/100)</f>
        <v>-0.14</v>
      </c>
      <c r="BB184" s="29" cm="1">
        <f t="array" ref="BB184">$G$11+VLOOKUP($R184,武学奇术!$A:$ZZ,10,FALSE)+SUM(_xlfn.XLOOKUP(S184:AL184,增益!$A:$A,增益!$J:$J,0))</f>
        <v>0.02</v>
      </c>
      <c r="BC184">
        <f t="shared" si="59"/>
        <v>0</v>
      </c>
      <c r="BD184">
        <f t="shared" si="60"/>
        <v>0</v>
      </c>
      <c r="BE184" s="29" cm="1">
        <f t="array" ref="BE184">IF($F$12-$I$4+VLOOKUP($R184,武学奇术!$A:$ZZ,11,FALSE)+SUM(_xlfn.XLOOKUP(S184:AL184,增益!$A:$A,增益!$K:$K,0))&gt;0,($F$12-$I$4+VLOOKUP($R184,武学奇术!$A:$ZZ,11,FALSE)+SUM(_xlfn.XLOOKUP(S184:AL184,增益!$A:$A,增益!$K:$K,0)))/200,($F$12-$I$4+VLOOKUP($R184,武学奇术!$A:$ZZ,11,FALSE)+SUM(_xlfn.XLOOKUP(S184:AL184,增益!$A:$A,增益!$K:$K,0)))/100)</f>
        <v>-0.14</v>
      </c>
      <c r="BF184" s="29" cm="1">
        <f t="array" ref="BF184">$G$12+VLOOKUP($R184,武学奇术!$A:$ZZ,12,FALSE)+SUM(_xlfn.XLOOKUP(S184:AL184,增益!$A:$A,增益!$L:$L,0))</f>
        <v>0.02</v>
      </c>
      <c r="BG184">
        <f t="shared" si="61"/>
        <v>0</v>
      </c>
      <c r="BH184">
        <f t="shared" si="62"/>
        <v>0</v>
      </c>
      <c r="BI184" s="29" cm="1">
        <f t="array" ref="BI184">IF($F$13-$I$4+VLOOKUP($R184,武学奇术!$A:$ZZ,13,FALSE)+SUM(_xlfn.XLOOKUP(S184:AL184,增益!$A:$A,增益!$M:$M,0))&gt;0,($F$13-$I$4+VLOOKUP($R184,武学奇术!$A:$ZZ,13,FALSE)+SUM(_xlfn.XLOOKUP(S184:AL184,增益!$A:$A,增益!$K:$K,0)))/200,($F$13-$I$4+VLOOKUP($R184,武学奇术!$A:$ZZ,13,FALSE)+SUM(_xlfn.XLOOKUP(S184:AL184,增益!$A:$A,增益!$M:$M,0)))/100)</f>
        <v>-0.14</v>
      </c>
      <c r="BJ184" s="29" cm="1">
        <f t="array" ref="BJ184">$G$13+VLOOKUP($R184,武学奇术!$A:$ZZ,14,FALSE)+SUM(_xlfn.XLOOKUP(S184:AL184,增益!$A:$A,增益!$N:$N,0))</f>
        <v>0.02</v>
      </c>
      <c r="BK184">
        <f t="shared" si="63"/>
        <v>618.2</v>
      </c>
      <c r="BL184">
        <f t="shared" si="64"/>
        <v>1805</v>
      </c>
      <c r="BM184" s="29" cm="1">
        <f t="array" ref="BM184">IF($F$14-$I$4+VLOOKUP($R184,武学奇术!$A:$ZZ,15,FALSE)+SUM(_xlfn.XLOOKUP(S184:AL184,增益!$A:$A,增益!$O:$O,0))&gt;0,($F$14-$I$4+VLOOKUP($R184,武学奇术!$A:$ZZ,15,FALSE)+SUM(_xlfn.XLOOKUP(S184:AL184,增益!$A:$A,增益!$O:$O,0)))/200,($F$14-$I$4+VLOOKUP($R184,武学奇术!$A:$ZZ,15,FALSE)+SUM(_xlfn.XLOOKUP(S184:AL184,增益!$A:$A,增益!$O:$O,0)))/100)</f>
        <v>0.08</v>
      </c>
      <c r="BN184" s="29" cm="1">
        <f t="array" ref="BN184">$G$14+VLOOKUP($R184,武学奇术!$A:$ZZ,16,FALSE)+SUM(_xlfn.XLOOKUP(S184:AL184,增益!$A:$A,增益!$P:$P,0))</f>
        <v>0.17</v>
      </c>
      <c r="BO184" s="23">
        <f>MIN(IF(VLOOKUP($R184,武学奇术!$A:$ZZ,23,FALSE)=1,100%,$B$8),100%)</f>
        <v>0.9943</v>
      </c>
      <c r="BP184" s="23" cm="1">
        <f t="array" ref="BP184">IF(VLOOKUP($R184,武学奇术!$A:$ZZ,23,FALSE)=1,100%,MIN(80%,$B$9+VLOOKUP($R184,武学奇术!$A:$ZZ,17,FALSE)+SUM(_xlfn.XLOOKUP(S184:AL184,增益!$A:$A,增益!$Q:$Q,0)))+$B$11+SUM(_xlfn.XLOOKUP(S184:AL184,增益!$A:$A,增益!$U:$U,0)))*IF(VLOOKUP($R184,武学奇术!$A:$ZZ,24,FALSE)=1,0,1)</f>
        <v>0.887</v>
      </c>
      <c r="BQ184" s="23" cm="1">
        <f t="array" ref="BQ184">1+$B$13+VLOOKUP($R184,武学奇术!$A:$ZZ,18,FALSE)+SUM(_xlfn.XLOOKUP(S184:AL184,增益!$A:$A,增益!$R:$R,0))</f>
        <v>2.144</v>
      </c>
      <c r="BR184" s="23" cm="1">
        <f t="array" ref="BR184">IF(VLOOKUP($R184,武学奇术!$A:$ZZ,24,FALSE)=1,100%,MIN(40%,$B$10+VLOOKUP($R184,武学奇术!$A:$ZZ,19,FALSE)+SUM(_xlfn.XLOOKUP(S184:AL184,增益!$A:$A,增益!$S:$S,0)))+$B$12+SUM(_xlfn.XLOOKUP(S184:AL184,增益!$A:$A,增益!$V:$V,0)))*IF(VLOOKUP($R184,武学奇术!$A:$ZZ,23,FALSE)=1,0,1)</f>
        <v>0.0913</v>
      </c>
      <c r="BS184" s="23" cm="1">
        <f t="array" ref="BS184">1+$B$14+VLOOKUP($R184,武学奇术!$A:$ZZ,20,FALSE)+SUM(_xlfn.XLOOKUP(S184:AL184,增益!$A:$A,增益!$T:$T,0))</f>
        <v>1.35</v>
      </c>
      <c r="BT184" s="23">
        <f t="shared" si="65"/>
        <v>0.8819441</v>
      </c>
      <c r="BU184" s="23">
        <f t="shared" si="66"/>
        <v>0.0215763099999999</v>
      </c>
      <c r="BV184" s="23">
        <f>IF(VLOOKUP($R184,武学奇术!$A:$ZZ,22,FALSE)=1,0,(1-$BO184))*(1-$BR184)</f>
        <v>0.00517958999999993</v>
      </c>
      <c r="BW184" s="23" cm="1">
        <f t="array" ref="BW184">SUM(_xlfn.XLOOKUP(S184:AL184,增益!$A:$A,增益!$W:$W,0))+$I$5</f>
        <v>0.11</v>
      </c>
      <c r="BX184" s="23">
        <f>VLOOKUP($R184,武学奇术!$A:$ZZ,32,FALSE)</f>
        <v>0</v>
      </c>
      <c r="BY184" s="23" cm="1">
        <f t="array" ref="BY184">SUM(_xlfn.XLOOKUP($S184:$AL184,增益!$A:$A,增益!$X:$X,0))</f>
        <v>0</v>
      </c>
    </row>
    <row r="185" spans="11:77">
      <c r="K185" s="35">
        <f>$L185*VLOOKUP($R185,武学奇术!$A:$ZZ,31,FALSE)</f>
        <v>23361.0720906242</v>
      </c>
      <c r="L185" s="35">
        <f t="shared" si="67"/>
        <v>22903.0118535532</v>
      </c>
      <c r="M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轻击",$B$21,0))*(1+IF(VLOOKUP($R185,武学奇术!$A:$ZZ,30,FALSE)="老鼠",$B$22,0))*(1+$BW185)*(1+$BX185)</f>
        <v>24730.3468487513</v>
      </c>
      <c r="N185" s="35">
        <f>(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轻击",$B$21,0))*(1+IF(VLOOKUP($R185,武学奇术!$A:$ZZ,30,FALSE)="老鼠",$B$22,0))*(1+$BW185))*(1+$BX185)</f>
        <v>19265.3988064113</v>
      </c>
      <c r="O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轻击",$B$21,0))*(1+IF(VLOOKUP($R185,武学奇术!$A:$ZZ,30,FALSE)="老鼠",$B$22,0))*(1+$BW185)*(1+$BX185)</f>
        <v>13057.2053055709</v>
      </c>
      <c r="P185" s="35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轻击",$B$21,0))*(1+IF(VLOOKUP($R185,武学奇术!$A:$ZZ,30,FALSE)="老鼠",$B$22,0))*(1+$BW185)*(1+$BX185)</f>
        <v>11843.7448286149</v>
      </c>
      <c r="Q185" s="36">
        <f t="shared" si="68"/>
        <v>1</v>
      </c>
      <c r="R185" s="37" t="s">
        <v>187</v>
      </c>
      <c r="S185" s="37" t="s">
        <v>91</v>
      </c>
      <c r="T185" s="37" t="s">
        <v>185</v>
      </c>
      <c r="U185" s="37" t="s">
        <v>81</v>
      </c>
      <c r="V185" s="37" t="s">
        <v>81</v>
      </c>
      <c r="W185" s="37" t="s">
        <v>82</v>
      </c>
      <c r="X185" s="37" t="s">
        <v>81</v>
      </c>
      <c r="Y185" s="37" t="s">
        <v>81</v>
      </c>
      <c r="Z185" s="37" t="s">
        <v>81</v>
      </c>
      <c r="AA185" s="37" t="s">
        <v>81</v>
      </c>
      <c r="AB185" s="37" t="s">
        <v>183</v>
      </c>
      <c r="AC185" s="37" t="s">
        <v>186</v>
      </c>
      <c r="AD185" s="37" t="s">
        <v>81</v>
      </c>
      <c r="AE185" s="37" t="s">
        <v>86</v>
      </c>
      <c r="AF185" s="37" t="s">
        <v>81</v>
      </c>
      <c r="AG185" s="37" t="s">
        <v>87</v>
      </c>
      <c r="AH185" s="37" t="s">
        <v>88</v>
      </c>
      <c r="AI185" s="37" t="s">
        <v>81</v>
      </c>
      <c r="AJ185" s="37" t="s">
        <v>81</v>
      </c>
      <c r="AK185" s="37" t="s">
        <v>81</v>
      </c>
      <c r="AL185" s="37" t="s">
        <v>81</v>
      </c>
      <c r="AM185" t="str">
        <f>VLOOKUP($R185,武学奇术!$A:$ZZ,25,FALSE)</f>
        <v>心法</v>
      </c>
      <c r="AN185" s="23">
        <f>VLOOKUP($R185,武学奇术!$A:$ZZ,26,FALSE)</f>
        <v>1</v>
      </c>
      <c r="AO185" s="24">
        <f>VLOOKUP($R185,武学奇术!$A:$ZZ,27,FALSE)*(1+IF(OR($AM185=$F$4,$AM185=$F$5),$B$23,0))</f>
        <v>0</v>
      </c>
      <c r="AP185" s="23">
        <f>VLOOKUP($R185,武学奇术!$A:$ZZ,28,FALSE)</f>
        <v>1</v>
      </c>
      <c r="AQ185" s="24">
        <f>VLOOKUP($R185,武学奇术!$A:$ZZ,29,FALSE)*(1+IF(OR($AM185=$F$4,$AM185=$F$5),$B$23,0))</f>
        <v>0</v>
      </c>
      <c r="AR185" s="23" cm="1">
        <f t="array" ref="AR185">$G$3+IFERROR(VLOOKUP($AM185,$F$4:$G$7,2,FALSE),0)+VLOOKUP($R185,武学奇术!$A:$ZZ,2,FALSE)+SUM(_xlfn.XLOOKUP($S185:$AL185,增益!$A:$A,增益!$B:$B,0))</f>
        <v>0.3342</v>
      </c>
      <c r="AS185" s="23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4081.7</v>
      </c>
      <c r="AU185" cm="1">
        <f t="array" ref="AU185">$E$10*(1+$AS185)+VLOOKUP($R185,武学奇术!$A:$ZZ,4,FALSE)+SUM(_xlfn.XLOOKUP($S185:$AL185,增益!$A:$A,增益!$D:$D,0))-$I$2</f>
        <v>4081.7</v>
      </c>
      <c r="AV185" s="29" cm="1">
        <f t="array" ref="AV185">IF($F$10-$I$3+VLOOKUP($R185,武学奇术!$A:$ZZ,6,FALSE)+SUM(_xlfn.XLOOKUP(S185:AL185,增益!$A:$A,增益!$F:$F,0))&gt;0,($F$10-$I$3+VLOOKUP($R185,武学奇术!$A:$ZZ,6,FALSE)+SUM(_xlfn.XLOOKUP(S185:AL185,增益!$A:$A,增益!$F:$F,0)))/200,($F$10-$I$3+VLOOKUP($R185,武学奇术!$A:$ZZ,6,FALSE)+SUM(_xlfn.XLOOKUP(S185:AL185,增益!$A:$A,增益!$F:$F,0)))/100)</f>
        <v>0.4539</v>
      </c>
      <c r="AW185" s="29" cm="1">
        <f t="array" ref="AW185">$G$10+VLOOKUP($R185,武学奇术!$A:$ZZ,7,FALSE)+SUM(_xlfn.XLOOKUP(S185:AL185,增益!$A:$A,增益!$G:$G,0))</f>
        <v>0.02</v>
      </c>
      <c r="AX185" s="23" cm="1">
        <f t="array" ref="AX185">VLOOKUP($R185,武学奇术!$A:$ZZ,8,FALSE)+SUM(_xlfn.XLOOKUP(S185:AL185,增益!$A:$A,增益!$H:$H,0))</f>
        <v>0</v>
      </c>
      <c r="AY185">
        <f t="shared" si="57"/>
        <v>0</v>
      </c>
      <c r="AZ185">
        <f t="shared" si="58"/>
        <v>0</v>
      </c>
      <c r="BA185" s="29" cm="1">
        <f t="array" ref="BA185">IF($F$11-$I$4+VLOOKUP($R185,武学奇术!$A:$ZZ,9,FALSE)+SUM(_xlfn.XLOOKUP(S185:AL185,增益!$A:$A,增益!$I:$I,0))&gt;0,($F$11-$I$4+VLOOKUP($R185,武学奇术!$A:$ZZ,9,FALSE)+SUM(_xlfn.XLOOKUP(S185:AL185,增益!$A:$A,增益!$I:$I,0)))/200,($F$11-$I$4+VLOOKUP($R185,武学奇术!$A:$ZZ,9,FALSE)+SUM(_xlfn.XLOOKUP(S185:AL185,增益!$A:$A,增益!$I:$I,0)))/100)</f>
        <v>-0.3</v>
      </c>
      <c r="BB185" s="29" cm="1">
        <f t="array" ref="BB185">$G$11+VLOOKUP($R185,武学奇术!$A:$ZZ,10,FALSE)+SUM(_xlfn.XLOOKUP(S185:AL185,增益!$A:$A,增益!$J:$J,0))</f>
        <v>0.12</v>
      </c>
      <c r="BC185">
        <f t="shared" si="59"/>
        <v>0</v>
      </c>
      <c r="BD185">
        <f t="shared" si="60"/>
        <v>0</v>
      </c>
      <c r="BE185" s="29" cm="1">
        <f t="array" ref="BE185">IF($F$12-$I$4+VLOOKUP($R185,武学奇术!$A:$ZZ,11,FALSE)+SUM(_xlfn.XLOOKUP(S185:AL185,增益!$A:$A,增益!$K:$K,0))&gt;0,($F$12-$I$4+VLOOKUP($R185,武学奇术!$A:$ZZ,11,FALSE)+SUM(_xlfn.XLOOKUP(S185:AL185,增益!$A:$A,增益!$K:$K,0)))/200,($F$12-$I$4+VLOOKUP($R185,武学奇术!$A:$ZZ,11,FALSE)+SUM(_xlfn.XLOOKUP(S185:AL185,增益!$A:$A,增益!$K:$K,0)))/100)</f>
        <v>-0.3</v>
      </c>
      <c r="BF185" s="29" cm="1">
        <f t="array" ref="BF185">$G$12+VLOOKUP($R185,武学奇术!$A:$ZZ,12,FALSE)+SUM(_xlfn.XLOOKUP(S185:AL185,增益!$A:$A,增益!$L:$L,0))</f>
        <v>0.02</v>
      </c>
      <c r="BG185">
        <f t="shared" si="61"/>
        <v>0</v>
      </c>
      <c r="BH185">
        <f t="shared" si="62"/>
        <v>0</v>
      </c>
      <c r="BI185" s="29" cm="1">
        <f t="array" ref="BI185">IF($F$13-$I$4+VLOOKUP($R185,武学奇术!$A:$ZZ,13,FALSE)+SUM(_xlfn.XLOOKUP(S185:AL185,增益!$A:$A,增益!$M:$M,0))&gt;0,($F$13-$I$4+VLOOKUP($R185,武学奇术!$A:$ZZ,13,FALSE)+SUM(_xlfn.XLOOKUP(S185:AL185,增益!$A:$A,增益!$K:$K,0)))/200,($F$13-$I$4+VLOOKUP($R185,武学奇术!$A:$ZZ,13,FALSE)+SUM(_xlfn.XLOOKUP(S185:AL185,增益!$A:$A,增益!$M:$M,0)))/100)</f>
        <v>-0.3</v>
      </c>
      <c r="BJ185" s="29" cm="1">
        <f t="array" ref="BJ185">$G$13+VLOOKUP($R185,武学奇术!$A:$ZZ,14,FALSE)+SUM(_xlfn.XLOOKUP(S185:AL185,增益!$A:$A,增益!$N:$N,0))</f>
        <v>0.02</v>
      </c>
      <c r="BK185">
        <f t="shared" si="63"/>
        <v>618.2</v>
      </c>
      <c r="BL185">
        <f t="shared" si="64"/>
        <v>1805</v>
      </c>
      <c r="BM185" s="29" cm="1">
        <f t="array" ref="BM185">IF($F$14-$I$4+VLOOKUP($R185,武学奇术!$A:$ZZ,15,FALSE)+SUM(_xlfn.XLOOKUP(S185:AL185,增益!$A:$A,增益!$O:$O,0))&gt;0,($F$14-$I$4+VLOOKUP($R185,武学奇术!$A:$ZZ,15,FALSE)+SUM(_xlfn.XLOOKUP(S185:AL185,增益!$A:$A,增益!$O:$O,0)))/200,($F$14-$I$4+VLOOKUP($R185,武学奇术!$A:$ZZ,15,FALSE)+SUM(_xlfn.XLOOKUP(S185:AL185,增益!$A:$A,增益!$O:$O,0)))/100)</f>
        <v>0</v>
      </c>
      <c r="BN185" s="29" cm="1">
        <f t="array" ref="BN185">$G$14+VLOOKUP($R185,武学奇术!$A:$ZZ,16,FALSE)+SUM(_xlfn.XLOOKUP(S185:AL185,增益!$A:$A,增益!$P:$P,0))</f>
        <v>0.17</v>
      </c>
      <c r="BO185" s="23">
        <f>MIN(IF(VLOOKUP($R185,武学奇术!$A:$ZZ,23,FALSE)=1,100%,$B$8),100%)</f>
        <v>0.9943</v>
      </c>
      <c r="BP185" s="23" cm="1">
        <f t="array" ref="BP185">IF(VLOOKUP($R185,武学奇术!$A:$ZZ,23,FALSE)=1,100%,MIN(80%,$B$9+VLOOKUP($R185,武学奇术!$A:$ZZ,17,FALSE)+SUM(_xlfn.XLOOKUP(S185:AL185,增益!$A:$A,增益!$Q:$Q,0)))+$B$11+SUM(_xlfn.XLOOKUP(S185:AL185,增益!$A:$A,增益!$U:$U,0)))*IF(VLOOKUP($R185,武学奇术!$A:$ZZ,24,FALSE)=1,0,1)</f>
        <v>0.8</v>
      </c>
      <c r="BQ185" s="23" cm="1">
        <f t="array" ref="BQ185">1+$B$13+VLOOKUP($R185,武学奇术!$A:$ZZ,18,FALSE)+SUM(_xlfn.XLOOKUP(S185:AL185,增益!$A:$A,增益!$R:$R,0))</f>
        <v>1.894</v>
      </c>
      <c r="BR185" s="23" cm="1">
        <f t="array" ref="BR185">IF(VLOOKUP($R185,武学奇术!$A:$ZZ,24,FALSE)=1,100%,MIN(40%,$B$10+VLOOKUP($R185,武学奇术!$A:$ZZ,19,FALSE)+SUM(_xlfn.XLOOKUP(S185:AL185,增益!$A:$A,增益!$S:$S,0)))+$B$12+SUM(_xlfn.XLOOKUP(S185:AL185,增益!$A:$A,增益!$V:$V,0)))*IF(VLOOKUP($R185,武学奇术!$A:$ZZ,23,FALSE)=1,0,1)</f>
        <v>0.0913</v>
      </c>
      <c r="BS185" s="23" cm="1">
        <f t="array" ref="BS185">1+$B$14+VLOOKUP($R185,武学奇术!$A:$ZZ,20,FALSE)+SUM(_xlfn.XLOOKUP(S185:AL185,增益!$A:$A,增益!$T:$T,0))</f>
        <v>1.35</v>
      </c>
      <c r="BT185" s="23">
        <f t="shared" si="65"/>
        <v>0.79544</v>
      </c>
      <c r="BU185" s="23">
        <f t="shared" si="66"/>
        <v>0.10808041</v>
      </c>
      <c r="BV185" s="23">
        <f>IF(VLOOKUP($R185,武学奇术!$A:$ZZ,22,FALSE)=1,0,(1-$BO185))*(1-$BR185)</f>
        <v>0.00517958999999993</v>
      </c>
      <c r="BW185" s="23" cm="1">
        <f t="array" ref="BW185">SUM(_xlfn.XLOOKUP(S185:AL185,增益!$A:$A,增益!$W:$W,0))+$I$5</f>
        <v>0.31</v>
      </c>
      <c r="BX185" s="23">
        <f>VLOOKUP($R185,武学奇术!$A:$ZZ,32,FALSE)</f>
        <v>0</v>
      </c>
      <c r="BY185" s="23" cm="1">
        <f t="array" ref="BY185">SUM(_xlfn.XLOOKUP($S185:$AL185,增益!$A:$A,增益!$X:$X,0))</f>
        <v>0</v>
      </c>
    </row>
    <row r="186" spans="11:77">
      <c r="K186" s="35">
        <f>$L186*VLOOKUP($R186,武学奇术!$A:$ZZ,31,FALSE)</f>
        <v>21910.5213846443</v>
      </c>
      <c r="L186" s="35">
        <f t="shared" si="67"/>
        <v>21480.9033182787</v>
      </c>
      <c r="M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轻击",$B$21,0))*(1+IF(VLOOKUP($R186,武学奇术!$A:$ZZ,30,FALSE)="老鼠",$B$22,0))*(1+$BW186)*(1+$BX186)</f>
        <v>22428.3219031838</v>
      </c>
      <c r="N186" s="35">
        <f>(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轻击",$B$21,0))*(1+IF(VLOOKUP($R186,武学奇术!$A:$ZZ,30,FALSE)="老鼠",$B$22,0))*(1+$BW186))*(1+$BX186)</f>
        <v>15621.4255309249</v>
      </c>
      <c r="O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轻击",$B$21,0))*(1+IF(VLOOKUP($R186,武学奇术!$A:$ZZ,30,FALSE)="老鼠",$B$22,0))*(1+$BW186)*(1+$BX186)</f>
        <v>10460.9710369327</v>
      </c>
      <c r="P186" s="35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轻击",$B$21,0))*(1+IF(VLOOKUP($R186,武学奇术!$A:$ZZ,30,FALSE)="老鼠",$B$22,0))*(1+$BW186)*(1+$BX186)</f>
        <v>9350.51575466184</v>
      </c>
      <c r="Q186" s="36">
        <f t="shared" si="68"/>
        <v>1</v>
      </c>
      <c r="R186" s="37" t="s">
        <v>187</v>
      </c>
      <c r="S186" s="37" t="s">
        <v>91</v>
      </c>
      <c r="T186" s="37" t="s">
        <v>185</v>
      </c>
      <c r="U186" s="37" t="s">
        <v>81</v>
      </c>
      <c r="V186" s="37" t="s">
        <v>81</v>
      </c>
      <c r="W186" s="37" t="s">
        <v>82</v>
      </c>
      <c r="X186" s="37" t="s">
        <v>81</v>
      </c>
      <c r="Y186" s="37" t="s">
        <v>81</v>
      </c>
      <c r="Z186" s="37" t="s">
        <v>83</v>
      </c>
      <c r="AA186" s="37" t="s">
        <v>84</v>
      </c>
      <c r="AB186" s="37" t="s">
        <v>81</v>
      </c>
      <c r="AC186" s="37" t="s">
        <v>81</v>
      </c>
      <c r="AD186" s="37" t="s">
        <v>81</v>
      </c>
      <c r="AE186" s="37" t="s">
        <v>81</v>
      </c>
      <c r="AF186" s="37" t="s">
        <v>81</v>
      </c>
      <c r="AG186" s="37" t="s">
        <v>87</v>
      </c>
      <c r="AH186" s="37" t="s">
        <v>88</v>
      </c>
      <c r="AI186" s="37" t="s">
        <v>81</v>
      </c>
      <c r="AJ186" s="37" t="s">
        <v>81</v>
      </c>
      <c r="AK186" s="37" t="s">
        <v>81</v>
      </c>
      <c r="AL186" s="37" t="s">
        <v>81</v>
      </c>
      <c r="AM186" t="str">
        <f>VLOOKUP($R186,武学奇术!$A:$ZZ,25,FALSE)</f>
        <v>心法</v>
      </c>
      <c r="AN186" s="23">
        <f>VLOOKUP($R186,武学奇术!$A:$ZZ,26,FALSE)</f>
        <v>1</v>
      </c>
      <c r="AO186" s="24">
        <f>VLOOKUP($R186,武学奇术!$A:$ZZ,27,FALSE)*(1+IF(OR($AM186=$F$4,$AM186=$F$5),$B$23,0))</f>
        <v>0</v>
      </c>
      <c r="AP186" s="23">
        <f>VLOOKUP($R186,武学奇术!$A:$ZZ,28,FALSE)</f>
        <v>1</v>
      </c>
      <c r="AQ186" s="24">
        <f>VLOOKUP($R186,武学奇术!$A:$ZZ,29,FALSE)*(1+IF(OR($AM186=$F$4,$AM186=$F$5),$B$23,0))</f>
        <v>0</v>
      </c>
      <c r="AR186" s="23" cm="1">
        <f t="array" ref="AR186">$G$3+IFERROR(VLOOKUP($AM186,$F$4:$G$7,2,FALSE),0)+VLOOKUP($R186,武学奇术!$A:$ZZ,2,FALSE)+SUM(_xlfn.XLOOKUP($S186:$AL186,增益!$A:$A,增益!$B:$B,0))</f>
        <v>0.3342</v>
      </c>
      <c r="AS186" s="23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4081.7</v>
      </c>
      <c r="AU186" cm="1">
        <f t="array" ref="AU186">$E$10*(1+$AS186)+VLOOKUP($R186,武学奇术!$A:$ZZ,4,FALSE)+SUM(_xlfn.XLOOKUP($S186:$AL186,增益!$A:$A,增益!$D:$D,0))-$I$2</f>
        <v>4081.7</v>
      </c>
      <c r="AV186" s="29" cm="1">
        <f t="array" ref="AV186">IF($F$10-$I$3+VLOOKUP($R186,武学奇术!$A:$ZZ,6,FALSE)+SUM(_xlfn.XLOOKUP(S186:AL186,增益!$A:$A,增益!$F:$F,0))&gt;0,($F$10-$I$3+VLOOKUP($R186,武学奇术!$A:$ZZ,6,FALSE)+SUM(_xlfn.XLOOKUP(S186:AL186,增益!$A:$A,增益!$F:$F,0)))/200,($F$10-$I$3+VLOOKUP($R186,武学奇术!$A:$ZZ,6,FALSE)+SUM(_xlfn.XLOOKUP(S186:AL186,增益!$A:$A,增益!$F:$F,0)))/100)</f>
        <v>0.3289</v>
      </c>
      <c r="AW186" s="29" cm="1">
        <f t="array" ref="AW186">$G$10+VLOOKUP($R186,武学奇术!$A:$ZZ,7,FALSE)+SUM(_xlfn.XLOOKUP(S186:AL186,增益!$A:$A,增益!$G:$G,0))</f>
        <v>0.02</v>
      </c>
      <c r="AX186" s="23" cm="1">
        <f t="array" ref="AX186">VLOOKUP($R186,武学奇术!$A:$ZZ,8,FALSE)+SUM(_xlfn.XLOOKUP(S186:AL186,增益!$A:$A,增益!$H:$H,0))</f>
        <v>0</v>
      </c>
      <c r="AY186">
        <f t="shared" si="57"/>
        <v>0</v>
      </c>
      <c r="AZ186">
        <f t="shared" si="58"/>
        <v>0</v>
      </c>
      <c r="BA186" s="29" cm="1">
        <f t="array" ref="BA186">IF($F$11-$I$4+VLOOKUP($R186,武学奇术!$A:$ZZ,9,FALSE)+SUM(_xlfn.XLOOKUP(S186:AL186,增益!$A:$A,增益!$I:$I,0))&gt;0,($F$11-$I$4+VLOOKUP($R186,武学奇术!$A:$ZZ,9,FALSE)+SUM(_xlfn.XLOOKUP(S186:AL186,增益!$A:$A,增益!$I:$I,0)))/200,($F$11-$I$4+VLOOKUP($R186,武学奇术!$A:$ZZ,9,FALSE)+SUM(_xlfn.XLOOKUP(S186:AL186,增益!$A:$A,增益!$I:$I,0)))/100)</f>
        <v>-0.14</v>
      </c>
      <c r="BB186" s="29" cm="1">
        <f t="array" ref="BB186">$G$11+VLOOKUP($R186,武学奇术!$A:$ZZ,10,FALSE)+SUM(_xlfn.XLOOKUP(S186:AL186,增益!$A:$A,增益!$J:$J,0))</f>
        <v>0.02</v>
      </c>
      <c r="BC186">
        <f t="shared" si="59"/>
        <v>0</v>
      </c>
      <c r="BD186">
        <f t="shared" si="60"/>
        <v>0</v>
      </c>
      <c r="BE186" s="29" cm="1">
        <f t="array" ref="BE186">IF($F$12-$I$4+VLOOKUP($R186,武学奇术!$A:$ZZ,11,FALSE)+SUM(_xlfn.XLOOKUP(S186:AL186,增益!$A:$A,增益!$K:$K,0))&gt;0,($F$12-$I$4+VLOOKUP($R186,武学奇术!$A:$ZZ,11,FALSE)+SUM(_xlfn.XLOOKUP(S186:AL186,增益!$A:$A,增益!$K:$K,0)))/200,($F$12-$I$4+VLOOKUP($R186,武学奇术!$A:$ZZ,11,FALSE)+SUM(_xlfn.XLOOKUP(S186:AL186,增益!$A:$A,增益!$K:$K,0)))/100)</f>
        <v>-0.14</v>
      </c>
      <c r="BF186" s="29" cm="1">
        <f t="array" ref="BF186">$G$12+VLOOKUP($R186,武学奇术!$A:$ZZ,12,FALSE)+SUM(_xlfn.XLOOKUP(S186:AL186,增益!$A:$A,增益!$L:$L,0))</f>
        <v>0.02</v>
      </c>
      <c r="BG186">
        <f t="shared" si="61"/>
        <v>0</v>
      </c>
      <c r="BH186">
        <f t="shared" si="62"/>
        <v>0</v>
      </c>
      <c r="BI186" s="29" cm="1">
        <f t="array" ref="BI186">IF($F$13-$I$4+VLOOKUP($R186,武学奇术!$A:$ZZ,13,FALSE)+SUM(_xlfn.XLOOKUP(S186:AL186,增益!$A:$A,增益!$M:$M,0))&gt;0,($F$13-$I$4+VLOOKUP($R186,武学奇术!$A:$ZZ,13,FALSE)+SUM(_xlfn.XLOOKUP(S186:AL186,增益!$A:$A,增益!$K:$K,0)))/200,($F$13-$I$4+VLOOKUP($R186,武学奇术!$A:$ZZ,13,FALSE)+SUM(_xlfn.XLOOKUP(S186:AL186,增益!$A:$A,增益!$M:$M,0)))/100)</f>
        <v>-0.14</v>
      </c>
      <c r="BJ186" s="29" cm="1">
        <f t="array" ref="BJ186">$G$13+VLOOKUP($R186,武学奇术!$A:$ZZ,14,FALSE)+SUM(_xlfn.XLOOKUP(S186:AL186,增益!$A:$A,增益!$N:$N,0))</f>
        <v>0.02</v>
      </c>
      <c r="BK186">
        <f t="shared" si="63"/>
        <v>618.2</v>
      </c>
      <c r="BL186">
        <f t="shared" si="64"/>
        <v>1805</v>
      </c>
      <c r="BM186" s="29" cm="1">
        <f t="array" ref="BM186">IF($F$14-$I$4+VLOOKUP($R186,武学奇术!$A:$ZZ,15,FALSE)+SUM(_xlfn.XLOOKUP(S186:AL186,增益!$A:$A,增益!$O:$O,0))&gt;0,($F$14-$I$4+VLOOKUP($R186,武学奇术!$A:$ZZ,15,FALSE)+SUM(_xlfn.XLOOKUP(S186:AL186,增益!$A:$A,增益!$O:$O,0)))/200,($F$14-$I$4+VLOOKUP($R186,武学奇术!$A:$ZZ,15,FALSE)+SUM(_xlfn.XLOOKUP(S186:AL186,增益!$A:$A,增益!$O:$O,0)))/100)</f>
        <v>0.08</v>
      </c>
      <c r="BN186" s="29" cm="1">
        <f t="array" ref="BN186">$G$14+VLOOKUP($R186,武学奇术!$A:$ZZ,16,FALSE)+SUM(_xlfn.XLOOKUP(S186:AL186,增益!$A:$A,增益!$P:$P,0))</f>
        <v>0.17</v>
      </c>
      <c r="BO186" s="23">
        <f>MIN(IF(VLOOKUP($R186,武学奇术!$A:$ZZ,23,FALSE)=1,100%,$B$8),100%)</f>
        <v>0.9943</v>
      </c>
      <c r="BP186" s="23" cm="1">
        <f t="array" ref="BP186">IF(VLOOKUP($R186,武学奇术!$A:$ZZ,23,FALSE)=1,100%,MIN(80%,$B$9+VLOOKUP($R186,武学奇术!$A:$ZZ,17,FALSE)+SUM(_xlfn.XLOOKUP(S186:AL186,增益!$A:$A,增益!$Q:$Q,0)))+$B$11+SUM(_xlfn.XLOOKUP(S186:AL186,增益!$A:$A,增益!$U:$U,0)))*IF(VLOOKUP($R186,武学奇术!$A:$ZZ,24,FALSE)=1,0,1)</f>
        <v>0.887</v>
      </c>
      <c r="BQ186" s="23" cm="1">
        <f t="array" ref="BQ186">1+$B$13+VLOOKUP($R186,武学奇术!$A:$ZZ,18,FALSE)+SUM(_xlfn.XLOOKUP(S186:AL186,增益!$A:$A,增益!$R:$R,0))</f>
        <v>2.144</v>
      </c>
      <c r="BR186" s="23" cm="1">
        <f t="array" ref="BR186">IF(VLOOKUP($R186,武学奇术!$A:$ZZ,24,FALSE)=1,100%,MIN(40%,$B$10+VLOOKUP($R186,武学奇术!$A:$ZZ,19,FALSE)+SUM(_xlfn.XLOOKUP(S186:AL186,增益!$A:$A,增益!$S:$S,0)))+$B$12+SUM(_xlfn.XLOOKUP(S186:AL186,增益!$A:$A,增益!$V:$V,0)))*IF(VLOOKUP($R186,武学奇术!$A:$ZZ,23,FALSE)=1,0,1)</f>
        <v>0.0913</v>
      </c>
      <c r="BS186" s="23" cm="1">
        <f t="array" ref="BS186">1+$B$14+VLOOKUP($R186,武学奇术!$A:$ZZ,20,FALSE)+SUM(_xlfn.XLOOKUP(S186:AL186,增益!$A:$A,增益!$T:$T,0))</f>
        <v>1.35</v>
      </c>
      <c r="BT186" s="23">
        <f t="shared" si="65"/>
        <v>0.8819441</v>
      </c>
      <c r="BU186" s="23">
        <f t="shared" si="66"/>
        <v>0.0215763099999999</v>
      </c>
      <c r="BV186" s="23">
        <f>IF(VLOOKUP($R186,武学奇术!$A:$ZZ,22,FALSE)=1,0,(1-$BO186))*(1-$BR186)</f>
        <v>0.00517958999999993</v>
      </c>
      <c r="BW186" s="23" cm="1">
        <f t="array" ref="BW186">SUM(_xlfn.XLOOKUP(S186:AL186,增益!$A:$A,增益!$W:$W,0))+$I$5</f>
        <v>0.11</v>
      </c>
      <c r="BX186" s="23">
        <f>VLOOKUP($R186,武学奇术!$A:$ZZ,32,FALSE)</f>
        <v>0</v>
      </c>
      <c r="BY186" s="23" cm="1">
        <f t="array" ref="BY186">SUM(_xlfn.XLOOKUP($S186:$AL186,增益!$A:$A,增益!$X:$X,0))</f>
        <v>0</v>
      </c>
    </row>
    <row r="187" spans="11:77">
      <c r="K187" s="35">
        <f>$L187*VLOOKUP($R187,武学奇术!$A:$ZZ,31,FALSE)</f>
        <v>15111.9651998575</v>
      </c>
      <c r="L187" s="35">
        <f t="shared" si="67"/>
        <v>14815.652156723</v>
      </c>
      <c r="M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轻击",$B$21,0))*(1+IF(VLOOKUP($R187,武学奇术!$A:$ZZ,30,FALSE)="老鼠",$B$22,0))*(1+$BW187)*(1+$BX187)</f>
        <v>15653.4220653367</v>
      </c>
      <c r="N187" s="35">
        <f>(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轻击",$B$21,0))*(1+IF(VLOOKUP($R187,武学奇术!$A:$ZZ,30,FALSE)="老鼠",$B$22,0))*(1+$BW187))*(1+$BX187)</f>
        <v>14138.1190069502</v>
      </c>
      <c r="O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轻击",$B$21,0))*(1+IF(VLOOKUP($R187,武学奇术!$A:$ZZ,30,FALSE)="老鼠",$B$22,0))*(1+$BW187)*(1+$BX187)</f>
        <v>9521.546268453</v>
      </c>
      <c r="P187" s="35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轻击",$B$21,0))*(1+IF(VLOOKUP($R187,武学奇术!$A:$ZZ,30,FALSE)="老鼠",$B$22,0))*(1+$BW187)*(1+$BX187)</f>
        <v>8570.411791017</v>
      </c>
      <c r="Q187" s="36">
        <f t="shared" si="68"/>
        <v>1</v>
      </c>
      <c r="R187" s="37" t="s">
        <v>187</v>
      </c>
      <c r="S187" s="37" t="s">
        <v>91</v>
      </c>
      <c r="T187" s="37" t="s">
        <v>185</v>
      </c>
      <c r="U187" s="37" t="s">
        <v>81</v>
      </c>
      <c r="V187" s="37" t="s">
        <v>81</v>
      </c>
      <c r="W187" s="37" t="s">
        <v>81</v>
      </c>
      <c r="X187" s="37" t="s">
        <v>81</v>
      </c>
      <c r="Y187" s="37" t="s">
        <v>81</v>
      </c>
      <c r="Z187" s="37" t="s">
        <v>81</v>
      </c>
      <c r="AA187" s="37" t="s">
        <v>81</v>
      </c>
      <c r="AB187" s="37" t="s">
        <v>81</v>
      </c>
      <c r="AC187" s="37" t="s">
        <v>81</v>
      </c>
      <c r="AD187" s="37" t="s">
        <v>81</v>
      </c>
      <c r="AE187" s="37" t="s">
        <v>81</v>
      </c>
      <c r="AF187" s="37" t="s">
        <v>81</v>
      </c>
      <c r="AG187" s="37" t="s">
        <v>87</v>
      </c>
      <c r="AH187" s="37" t="s">
        <v>88</v>
      </c>
      <c r="AI187" s="37" t="s">
        <v>81</v>
      </c>
      <c r="AJ187" s="37" t="s">
        <v>81</v>
      </c>
      <c r="AK187" s="37" t="s">
        <v>81</v>
      </c>
      <c r="AL187" s="37" t="s">
        <v>81</v>
      </c>
      <c r="AM187" t="str">
        <f>VLOOKUP($R187,武学奇术!$A:$ZZ,25,FALSE)</f>
        <v>心法</v>
      </c>
      <c r="AN187" s="23">
        <f>VLOOKUP($R187,武学奇术!$A:$ZZ,26,FALSE)</f>
        <v>1</v>
      </c>
      <c r="AO187" s="24">
        <f>VLOOKUP($R187,武学奇术!$A:$ZZ,27,FALSE)*(1+IF(OR($AM187=$F$4,$AM187=$F$5),$B$23,0))</f>
        <v>0</v>
      </c>
      <c r="AP187" s="23">
        <f>VLOOKUP($R187,武学奇术!$A:$ZZ,28,FALSE)</f>
        <v>1</v>
      </c>
      <c r="AQ187" s="24">
        <f>VLOOKUP($R187,武学奇术!$A:$ZZ,29,FALSE)*(1+IF(OR($AM187=$F$4,$AM187=$F$5),$B$23,0))</f>
        <v>0</v>
      </c>
      <c r="AR187" s="23" cm="1">
        <f t="array" ref="AR187">$G$3+IFERROR(VLOOKUP($AM187,$F$4:$G$7,2,FALSE),0)+VLOOKUP($R187,武学奇术!$A:$ZZ,2,FALSE)+SUM(_xlfn.XLOOKUP($S187:$AL187,增益!$A:$A,增益!$B:$B,0))</f>
        <v>0.2342</v>
      </c>
      <c r="AS187" s="23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4081.7</v>
      </c>
      <c r="AU187" cm="1">
        <f t="array" ref="AU187">$E$10*(1+$AS187)+VLOOKUP($R187,武学奇术!$A:$ZZ,4,FALSE)+SUM(_xlfn.XLOOKUP($S187:$AL187,增益!$A:$A,增益!$D:$D,0))-$I$2</f>
        <v>4081.7</v>
      </c>
      <c r="AV187" s="29" cm="1">
        <f t="array" ref="AV187">IF($F$10-$I$3+VLOOKUP($R187,武学奇术!$A:$ZZ,6,FALSE)+SUM(_xlfn.XLOOKUP(S187:AL187,增益!$A:$A,增益!$F:$F,0))&gt;0,($F$10-$I$3+VLOOKUP($R187,武学奇术!$A:$ZZ,6,FALSE)+SUM(_xlfn.XLOOKUP(S187:AL187,增益!$A:$A,增益!$F:$F,0)))/200,($F$10-$I$3+VLOOKUP($R187,武学奇术!$A:$ZZ,6,FALSE)+SUM(_xlfn.XLOOKUP(S187:AL187,增益!$A:$A,增益!$F:$F,0)))/100)</f>
        <v>0.3289</v>
      </c>
      <c r="AW187" s="29" cm="1">
        <f t="array" ref="AW187">$G$10+VLOOKUP($R187,武学奇术!$A:$ZZ,7,FALSE)+SUM(_xlfn.XLOOKUP(S187:AL187,增益!$A:$A,增益!$G:$G,0))</f>
        <v>0.02</v>
      </c>
      <c r="AX187" s="23" cm="1">
        <f t="array" ref="AX187">VLOOKUP($R187,武学奇术!$A:$ZZ,8,FALSE)+SUM(_xlfn.XLOOKUP(S187:AL187,增益!$A:$A,增益!$H:$H,0))</f>
        <v>0</v>
      </c>
      <c r="AY187">
        <f t="shared" si="57"/>
        <v>0</v>
      </c>
      <c r="AZ187">
        <f t="shared" si="58"/>
        <v>0</v>
      </c>
      <c r="BA187" s="29" cm="1">
        <f t="array" ref="BA187">IF($F$11-$I$4+VLOOKUP($R187,武学奇术!$A:$ZZ,9,FALSE)+SUM(_xlfn.XLOOKUP(S187:AL187,增益!$A:$A,增益!$I:$I,0))&gt;0,($F$11-$I$4+VLOOKUP($R187,武学奇术!$A:$ZZ,9,FALSE)+SUM(_xlfn.XLOOKUP(S187:AL187,增益!$A:$A,增益!$I:$I,0)))/200,($F$11-$I$4+VLOOKUP($R187,武学奇术!$A:$ZZ,9,FALSE)+SUM(_xlfn.XLOOKUP(S187:AL187,增益!$A:$A,增益!$I:$I,0)))/100)</f>
        <v>-0.3</v>
      </c>
      <c r="BB187" s="29" cm="1">
        <f t="array" ref="BB187">$G$11+VLOOKUP($R187,武学奇术!$A:$ZZ,10,FALSE)+SUM(_xlfn.XLOOKUP(S187:AL187,增益!$A:$A,增益!$J:$J,0))</f>
        <v>0.02</v>
      </c>
      <c r="BC187">
        <f t="shared" si="59"/>
        <v>0</v>
      </c>
      <c r="BD187">
        <f t="shared" si="60"/>
        <v>0</v>
      </c>
      <c r="BE187" s="29" cm="1">
        <f t="array" ref="BE187">IF($F$12-$I$4+VLOOKUP($R187,武学奇术!$A:$ZZ,11,FALSE)+SUM(_xlfn.XLOOKUP(S187:AL187,增益!$A:$A,增益!$K:$K,0))&gt;0,($F$12-$I$4+VLOOKUP($R187,武学奇术!$A:$ZZ,11,FALSE)+SUM(_xlfn.XLOOKUP(S187:AL187,增益!$A:$A,增益!$K:$K,0)))/200,($F$12-$I$4+VLOOKUP($R187,武学奇术!$A:$ZZ,11,FALSE)+SUM(_xlfn.XLOOKUP(S187:AL187,增益!$A:$A,增益!$K:$K,0)))/100)</f>
        <v>-0.3</v>
      </c>
      <c r="BF187" s="29" cm="1">
        <f t="array" ref="BF187">$G$12+VLOOKUP($R187,武学奇术!$A:$ZZ,12,FALSE)+SUM(_xlfn.XLOOKUP(S187:AL187,增益!$A:$A,增益!$L:$L,0))</f>
        <v>0.02</v>
      </c>
      <c r="BG187">
        <f t="shared" si="61"/>
        <v>0</v>
      </c>
      <c r="BH187">
        <f t="shared" si="62"/>
        <v>0</v>
      </c>
      <c r="BI187" s="29" cm="1">
        <f t="array" ref="BI187">IF($F$13-$I$4+VLOOKUP($R187,武学奇术!$A:$ZZ,13,FALSE)+SUM(_xlfn.XLOOKUP(S187:AL187,增益!$A:$A,增益!$M:$M,0))&gt;0,($F$13-$I$4+VLOOKUP($R187,武学奇术!$A:$ZZ,13,FALSE)+SUM(_xlfn.XLOOKUP(S187:AL187,增益!$A:$A,增益!$K:$K,0)))/200,($F$13-$I$4+VLOOKUP($R187,武学奇术!$A:$ZZ,13,FALSE)+SUM(_xlfn.XLOOKUP(S187:AL187,增益!$A:$A,增益!$M:$M,0)))/100)</f>
        <v>-0.3</v>
      </c>
      <c r="BJ187" s="29" cm="1">
        <f t="array" ref="BJ187">$G$13+VLOOKUP($R187,武学奇术!$A:$ZZ,14,FALSE)+SUM(_xlfn.XLOOKUP(S187:AL187,增益!$A:$A,增益!$N:$N,0))</f>
        <v>0.02</v>
      </c>
      <c r="BK187">
        <f t="shared" si="63"/>
        <v>618.2</v>
      </c>
      <c r="BL187">
        <f t="shared" si="64"/>
        <v>1805</v>
      </c>
      <c r="BM187" s="29" cm="1">
        <f t="array" ref="BM187">IF($F$14-$I$4+VLOOKUP($R187,武学奇术!$A:$ZZ,15,FALSE)+SUM(_xlfn.XLOOKUP(S187:AL187,增益!$A:$A,增益!$O:$O,0))&gt;0,($F$14-$I$4+VLOOKUP($R187,武学奇术!$A:$ZZ,15,FALSE)+SUM(_xlfn.XLOOKUP(S187:AL187,增益!$A:$A,增益!$O:$O,0)))/200,($F$14-$I$4+VLOOKUP($R187,武学奇术!$A:$ZZ,15,FALSE)+SUM(_xlfn.XLOOKUP(S187:AL187,增益!$A:$A,增益!$O:$O,0)))/100)</f>
        <v>0</v>
      </c>
      <c r="BN187" s="29" cm="1">
        <f t="array" ref="BN187">$G$14+VLOOKUP($R187,武学奇术!$A:$ZZ,16,FALSE)+SUM(_xlfn.XLOOKUP(S187:AL187,增益!$A:$A,增益!$P:$P,0))</f>
        <v>0.17</v>
      </c>
      <c r="BO187" s="23">
        <f>MIN(IF(VLOOKUP($R187,武学奇术!$A:$ZZ,23,FALSE)=1,100%,$B$8),100%)</f>
        <v>0.9943</v>
      </c>
      <c r="BP187" s="23" cm="1">
        <f t="array" ref="BP187">IF(VLOOKUP($R187,武学奇术!$A:$ZZ,23,FALSE)=1,100%,MIN(80%,$B$9+VLOOKUP($R187,武学奇术!$A:$ZZ,17,FALSE)+SUM(_xlfn.XLOOKUP(S187:AL187,增益!$A:$A,增益!$Q:$Q,0)))+$B$11+SUM(_xlfn.XLOOKUP(S187:AL187,增益!$A:$A,增益!$U:$U,0)))*IF(VLOOKUP($R187,武学奇术!$A:$ZZ,24,FALSE)=1,0,1)</f>
        <v>0.8</v>
      </c>
      <c r="BQ187" s="23" cm="1">
        <f t="array" ref="BQ187">1+$B$13+VLOOKUP($R187,武学奇术!$A:$ZZ,18,FALSE)+SUM(_xlfn.XLOOKUP(S187:AL187,增益!$A:$A,增益!$R:$R,0))</f>
        <v>1.644</v>
      </c>
      <c r="BR187" s="23" cm="1">
        <f t="array" ref="BR187">IF(VLOOKUP($R187,武学奇术!$A:$ZZ,24,FALSE)=1,100%,MIN(40%,$B$10+VLOOKUP($R187,武学奇术!$A:$ZZ,19,FALSE)+SUM(_xlfn.XLOOKUP(S187:AL187,增益!$A:$A,增益!$S:$S,0)))+$B$12+SUM(_xlfn.XLOOKUP(S187:AL187,增益!$A:$A,增益!$V:$V,0)))*IF(VLOOKUP($R187,武学奇术!$A:$ZZ,23,FALSE)=1,0,1)</f>
        <v>0.0913</v>
      </c>
      <c r="BS187" s="23" cm="1">
        <f t="array" ref="BS187">1+$B$14+VLOOKUP($R187,武学奇术!$A:$ZZ,20,FALSE)+SUM(_xlfn.XLOOKUP(S187:AL187,增益!$A:$A,增益!$T:$T,0))</f>
        <v>1.35</v>
      </c>
      <c r="BT187" s="23">
        <f t="shared" si="65"/>
        <v>0.79544</v>
      </c>
      <c r="BU187" s="23">
        <f t="shared" si="66"/>
        <v>0.10808041</v>
      </c>
      <c r="BV187" s="23">
        <f>IF(VLOOKUP($R187,武学奇术!$A:$ZZ,22,FALSE)=1,0,(1-$BO187))*(1-$BR187)</f>
        <v>0.00517958999999993</v>
      </c>
      <c r="BW187" s="23" cm="1">
        <f t="array" ref="BW187">SUM(_xlfn.XLOOKUP(S187:AL187,增益!$A:$A,增益!$W:$W,0))+$I$5</f>
        <v>0.11</v>
      </c>
      <c r="BX187" s="23">
        <f>VLOOKUP($R187,武学奇术!$A:$ZZ,32,FALSE)</f>
        <v>0</v>
      </c>
      <c r="BY187" s="23" cm="1">
        <f t="array" ref="BY187">SUM(_xlfn.XLOOKUP($S187:$AL187,增益!$A:$A,增益!$X:$X,0))</f>
        <v>0</v>
      </c>
    </row>
    <row r="188" spans="11:77">
      <c r="K188" s="35">
        <f>$L188*VLOOKUP($R188,武学奇术!$A:$ZZ,31,FALSE)</f>
        <v>24373.8538742985</v>
      </c>
      <c r="L188" s="35">
        <f t="shared" si="67"/>
        <v>23895.9351708809</v>
      </c>
      <c r="M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轻击",$B$21,0))*(1+IF(VLOOKUP($R188,武学奇术!$A:$ZZ,30,FALSE)="老鼠",$B$22,0))*(1+$BW188)*(1+$BX188)</f>
        <v>24949.8691116065</v>
      </c>
      <c r="N188" s="35">
        <f>(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轻击",$B$21,0))*(1+IF(VLOOKUP($R188,武学奇术!$A:$ZZ,30,FALSE)="老鼠",$B$22,0))*(1+$BW188))*(1+$BX188)</f>
        <v>17377.6943284355</v>
      </c>
      <c r="O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轻击",$B$21,0))*(1+IF(VLOOKUP($R188,武学奇术!$A:$ZZ,30,FALSE)="老鼠",$B$22,0))*(1+$BW188)*(1+$BX188)</f>
        <v>11637.0658169806</v>
      </c>
      <c r="P188" s="35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轻击",$B$21,0))*(1+IF(VLOOKUP($R188,武学奇术!$A:$ZZ,30,FALSE)="老鼠",$B$22,0))*(1+$BW188)*(1+$BX188)</f>
        <v>10401.7654647497</v>
      </c>
      <c r="Q188" s="36">
        <f t="shared" si="68"/>
        <v>1</v>
      </c>
      <c r="R188" s="37" t="s">
        <v>187</v>
      </c>
      <c r="S188" s="37" t="s">
        <v>91</v>
      </c>
      <c r="T188" s="37" t="s">
        <v>185</v>
      </c>
      <c r="U188" s="37" t="s">
        <v>81</v>
      </c>
      <c r="V188" s="37" t="s">
        <v>81</v>
      </c>
      <c r="W188" s="37" t="s">
        <v>82</v>
      </c>
      <c r="X188" s="37" t="s">
        <v>81</v>
      </c>
      <c r="Y188" s="37" t="s">
        <v>81</v>
      </c>
      <c r="Z188" s="37" t="s">
        <v>83</v>
      </c>
      <c r="AA188" s="37" t="s">
        <v>84</v>
      </c>
      <c r="AB188" s="37" t="s">
        <v>81</v>
      </c>
      <c r="AC188" s="37" t="s">
        <v>81</v>
      </c>
      <c r="AD188" s="37" t="s">
        <v>85</v>
      </c>
      <c r="AE188" s="37" t="s">
        <v>81</v>
      </c>
      <c r="AF188" s="37" t="s">
        <v>81</v>
      </c>
      <c r="AG188" s="37" t="s">
        <v>87</v>
      </c>
      <c r="AH188" s="37" t="s">
        <v>88</v>
      </c>
      <c r="AI188" s="37" t="s">
        <v>81</v>
      </c>
      <c r="AJ188" s="37" t="s">
        <v>81</v>
      </c>
      <c r="AK188" s="37" t="s">
        <v>81</v>
      </c>
      <c r="AL188" s="37" t="s">
        <v>81</v>
      </c>
      <c r="AM188" t="str">
        <f>VLOOKUP($R188,武学奇术!$A:$ZZ,25,FALSE)</f>
        <v>心法</v>
      </c>
      <c r="AN188" s="23">
        <f>VLOOKUP($R188,武学奇术!$A:$ZZ,26,FALSE)</f>
        <v>1</v>
      </c>
      <c r="AO188" s="24">
        <f>VLOOKUP($R188,武学奇术!$A:$ZZ,27,FALSE)*(1+IF(OR($AM188=$F$4,$AM188=$F$5),$B$23,0))</f>
        <v>0</v>
      </c>
      <c r="AP188" s="23">
        <f>VLOOKUP($R188,武学奇术!$A:$ZZ,28,FALSE)</f>
        <v>1</v>
      </c>
      <c r="AQ188" s="24">
        <f>VLOOKUP($R188,武学奇术!$A:$ZZ,29,FALSE)*(1+IF(OR($AM188=$F$4,$AM188=$F$5),$B$23,0))</f>
        <v>0</v>
      </c>
      <c r="AR188" s="23" cm="1">
        <f t="array" ref="AR188">$G$3+IFERROR(VLOOKUP($AM188,$F$4:$G$7,2,FALSE),0)+VLOOKUP($R188,武学奇术!$A:$ZZ,2,FALSE)+SUM(_xlfn.XLOOKUP($S188:$AL188,增益!$A:$A,增益!$B:$B,0))</f>
        <v>0.4842</v>
      </c>
      <c r="AS188" s="23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4081.7</v>
      </c>
      <c r="AU188" cm="1">
        <f t="array" ref="AU188">$E$10*(1+$AS188)+VLOOKUP($R188,武学奇术!$A:$ZZ,4,FALSE)+SUM(_xlfn.XLOOKUP($S188:$AL188,增益!$A:$A,增益!$D:$D,0))-$I$2</f>
        <v>4081.7</v>
      </c>
      <c r="AV188" s="29" cm="1">
        <f t="array" ref="AV188">IF($F$10-$I$3+VLOOKUP($R188,武学奇术!$A:$ZZ,6,FALSE)+SUM(_xlfn.XLOOKUP(S188:AL188,增益!$A:$A,增益!$F:$F,0))&gt;0,($F$10-$I$3+VLOOKUP($R188,武学奇术!$A:$ZZ,6,FALSE)+SUM(_xlfn.XLOOKUP(S188:AL188,增益!$A:$A,增益!$F:$F,0)))/200,($F$10-$I$3+VLOOKUP($R188,武学奇术!$A:$ZZ,6,FALSE)+SUM(_xlfn.XLOOKUP(S188:AL188,增益!$A:$A,增益!$F:$F,0)))/100)</f>
        <v>0.3289</v>
      </c>
      <c r="AW188" s="29" cm="1">
        <f t="array" ref="AW188">$G$10+VLOOKUP($R188,武学奇术!$A:$ZZ,7,FALSE)+SUM(_xlfn.XLOOKUP(S188:AL188,增益!$A:$A,增益!$G:$G,0))</f>
        <v>0.02</v>
      </c>
      <c r="AX188" s="23" cm="1">
        <f t="array" ref="AX188">VLOOKUP($R188,武学奇术!$A:$ZZ,8,FALSE)+SUM(_xlfn.XLOOKUP(S188:AL188,增益!$A:$A,增益!$H:$H,0))</f>
        <v>0</v>
      </c>
      <c r="AY188">
        <f t="shared" si="57"/>
        <v>0</v>
      </c>
      <c r="AZ188">
        <f t="shared" si="58"/>
        <v>0</v>
      </c>
      <c r="BA188" s="29" cm="1">
        <f t="array" ref="BA188">IF($F$11-$I$4+VLOOKUP($R188,武学奇术!$A:$ZZ,9,FALSE)+SUM(_xlfn.XLOOKUP(S188:AL188,增益!$A:$A,增益!$I:$I,0))&gt;0,($F$11-$I$4+VLOOKUP($R188,武学奇术!$A:$ZZ,9,FALSE)+SUM(_xlfn.XLOOKUP(S188:AL188,增益!$A:$A,增益!$I:$I,0)))/200,($F$11-$I$4+VLOOKUP($R188,武学奇术!$A:$ZZ,9,FALSE)+SUM(_xlfn.XLOOKUP(S188:AL188,增益!$A:$A,增益!$I:$I,0)))/100)</f>
        <v>-0.14</v>
      </c>
      <c r="BB188" s="29" cm="1">
        <f t="array" ref="BB188">$G$11+VLOOKUP($R188,武学奇术!$A:$ZZ,10,FALSE)+SUM(_xlfn.XLOOKUP(S188:AL188,增益!$A:$A,增益!$J:$J,0))</f>
        <v>0.02</v>
      </c>
      <c r="BC188">
        <f t="shared" si="59"/>
        <v>0</v>
      </c>
      <c r="BD188">
        <f t="shared" si="60"/>
        <v>0</v>
      </c>
      <c r="BE188" s="29" cm="1">
        <f t="array" ref="BE188">IF($F$12-$I$4+VLOOKUP($R188,武学奇术!$A:$ZZ,11,FALSE)+SUM(_xlfn.XLOOKUP(S188:AL188,增益!$A:$A,增益!$K:$K,0))&gt;0,($F$12-$I$4+VLOOKUP($R188,武学奇术!$A:$ZZ,11,FALSE)+SUM(_xlfn.XLOOKUP(S188:AL188,增益!$A:$A,增益!$K:$K,0)))/200,($F$12-$I$4+VLOOKUP($R188,武学奇术!$A:$ZZ,11,FALSE)+SUM(_xlfn.XLOOKUP(S188:AL188,增益!$A:$A,增益!$K:$K,0)))/100)</f>
        <v>-0.14</v>
      </c>
      <c r="BF188" s="29" cm="1">
        <f t="array" ref="BF188">$G$12+VLOOKUP($R188,武学奇术!$A:$ZZ,12,FALSE)+SUM(_xlfn.XLOOKUP(S188:AL188,增益!$A:$A,增益!$L:$L,0))</f>
        <v>0.02</v>
      </c>
      <c r="BG188">
        <f t="shared" si="61"/>
        <v>0</v>
      </c>
      <c r="BH188">
        <f t="shared" si="62"/>
        <v>0</v>
      </c>
      <c r="BI188" s="29" cm="1">
        <f t="array" ref="BI188">IF($F$13-$I$4+VLOOKUP($R188,武学奇术!$A:$ZZ,13,FALSE)+SUM(_xlfn.XLOOKUP(S188:AL188,增益!$A:$A,增益!$M:$M,0))&gt;0,($F$13-$I$4+VLOOKUP($R188,武学奇术!$A:$ZZ,13,FALSE)+SUM(_xlfn.XLOOKUP(S188:AL188,增益!$A:$A,增益!$K:$K,0)))/200,($F$13-$I$4+VLOOKUP($R188,武学奇术!$A:$ZZ,13,FALSE)+SUM(_xlfn.XLOOKUP(S188:AL188,增益!$A:$A,增益!$M:$M,0)))/100)</f>
        <v>-0.14</v>
      </c>
      <c r="BJ188" s="29" cm="1">
        <f t="array" ref="BJ188">$G$13+VLOOKUP($R188,武学奇术!$A:$ZZ,14,FALSE)+SUM(_xlfn.XLOOKUP(S188:AL188,增益!$A:$A,增益!$N:$N,0))</f>
        <v>0.02</v>
      </c>
      <c r="BK188">
        <f t="shared" si="63"/>
        <v>618.2</v>
      </c>
      <c r="BL188">
        <f t="shared" si="64"/>
        <v>1805</v>
      </c>
      <c r="BM188" s="29" cm="1">
        <f t="array" ref="BM188">IF($F$14-$I$4+VLOOKUP($R188,武学奇术!$A:$ZZ,15,FALSE)+SUM(_xlfn.XLOOKUP(S188:AL188,增益!$A:$A,增益!$O:$O,0))&gt;0,($F$14-$I$4+VLOOKUP($R188,武学奇术!$A:$ZZ,15,FALSE)+SUM(_xlfn.XLOOKUP(S188:AL188,增益!$A:$A,增益!$O:$O,0)))/200,($F$14-$I$4+VLOOKUP($R188,武学奇术!$A:$ZZ,15,FALSE)+SUM(_xlfn.XLOOKUP(S188:AL188,增益!$A:$A,增益!$O:$O,0)))/100)</f>
        <v>0.08</v>
      </c>
      <c r="BN188" s="29" cm="1">
        <f t="array" ref="BN188">$G$14+VLOOKUP($R188,武学奇术!$A:$ZZ,16,FALSE)+SUM(_xlfn.XLOOKUP(S188:AL188,增益!$A:$A,增益!$P:$P,0))</f>
        <v>0.17</v>
      </c>
      <c r="BO188" s="23">
        <f>MIN(IF(VLOOKUP($R188,武学奇术!$A:$ZZ,23,FALSE)=1,100%,$B$8),100%)</f>
        <v>0.9943</v>
      </c>
      <c r="BP188" s="23" cm="1">
        <f t="array" ref="BP188">IF(VLOOKUP($R188,武学奇术!$A:$ZZ,23,FALSE)=1,100%,MIN(80%,$B$9+VLOOKUP($R188,武学奇术!$A:$ZZ,17,FALSE)+SUM(_xlfn.XLOOKUP(S188:AL188,增益!$A:$A,增益!$Q:$Q,0)))+$B$11+SUM(_xlfn.XLOOKUP(S188:AL188,增益!$A:$A,增益!$U:$U,0)))*IF(VLOOKUP($R188,武学奇术!$A:$ZZ,24,FALSE)=1,0,1)</f>
        <v>0.887</v>
      </c>
      <c r="BQ188" s="23" cm="1">
        <f t="array" ref="BQ188">1+$B$13+VLOOKUP($R188,武学奇术!$A:$ZZ,18,FALSE)+SUM(_xlfn.XLOOKUP(S188:AL188,增益!$A:$A,增益!$R:$R,0))</f>
        <v>2.144</v>
      </c>
      <c r="BR188" s="23" cm="1">
        <f t="array" ref="BR188">IF(VLOOKUP($R188,武学奇术!$A:$ZZ,24,FALSE)=1,100%,MIN(40%,$B$10+VLOOKUP($R188,武学奇术!$A:$ZZ,19,FALSE)+SUM(_xlfn.XLOOKUP(S188:AL188,增益!$A:$A,增益!$S:$S,0)))+$B$12+SUM(_xlfn.XLOOKUP(S188:AL188,增益!$A:$A,增益!$V:$V,0)))*IF(VLOOKUP($R188,武学奇术!$A:$ZZ,23,FALSE)=1,0,1)</f>
        <v>0.0913</v>
      </c>
      <c r="BS188" s="23" cm="1">
        <f t="array" ref="BS188">1+$B$14+VLOOKUP($R188,武学奇术!$A:$ZZ,20,FALSE)+SUM(_xlfn.XLOOKUP(S188:AL188,增益!$A:$A,增益!$T:$T,0))</f>
        <v>1.35</v>
      </c>
      <c r="BT188" s="23">
        <f t="shared" si="65"/>
        <v>0.8819441</v>
      </c>
      <c r="BU188" s="23">
        <f t="shared" si="66"/>
        <v>0.0215763099999999</v>
      </c>
      <c r="BV188" s="23">
        <f>IF(VLOOKUP($R188,武学奇术!$A:$ZZ,22,FALSE)=1,0,(1-$BO188))*(1-$BR188)</f>
        <v>0.00517958999999993</v>
      </c>
      <c r="BW188" s="23" cm="1">
        <f t="array" ref="BW188">SUM(_xlfn.XLOOKUP(S188:AL188,增益!$A:$A,增益!$W:$W,0))+$I$5</f>
        <v>0.11</v>
      </c>
      <c r="BX188" s="23">
        <f>VLOOKUP($R188,武学奇术!$A:$ZZ,32,FALSE)</f>
        <v>0</v>
      </c>
      <c r="BY188" s="23" cm="1">
        <f t="array" ref="BY188">SUM(_xlfn.XLOOKUP($S188:$AL188,增益!$A:$A,增益!$X:$X,0))</f>
        <v>0</v>
      </c>
    </row>
    <row r="189" spans="11:77">
      <c r="K189" s="35">
        <f>$L189*VLOOKUP($R189,武学奇术!$A:$ZZ,31,FALSE)</f>
        <v>33666.5573849948</v>
      </c>
      <c r="L189" s="35">
        <f t="shared" si="67"/>
        <v>33006.4288088184</v>
      </c>
      <c r="M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轻击",$B$21,0))*(1+IF(VLOOKUP($R189,武学奇术!$A:$ZZ,30,FALSE)="老鼠",$B$22,0))*(1+$BW189)*(1+$BX189)</f>
        <v>34773.2969945891</v>
      </c>
      <c r="N189" s="35">
        <f>(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轻击",$B$21,0))*(1+IF(VLOOKUP($R189,武学奇术!$A:$ZZ,30,FALSE)="老鼠",$B$22,0))*(1+$BW189))*(1+$BX189)</f>
        <v>21431.3483049585</v>
      </c>
      <c r="O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轻击",$B$21,0))*(1+IF(VLOOKUP($R189,武学奇术!$A:$ZZ,30,FALSE)="老鼠",$B$22,0))*(1+$BW189)*(1+$BX189)</f>
        <v>14525.1867145318</v>
      </c>
      <c r="P189" s="35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轻击",$B$21,0))*(1+IF(VLOOKUP($R189,武学奇术!$A:$ZZ,30,FALSE)="老鼠",$B$22,0))*(1+$BW189)*(1+$BX189)</f>
        <v>13175.3006105758</v>
      </c>
      <c r="Q189" s="36">
        <f t="shared" si="68"/>
        <v>1</v>
      </c>
      <c r="R189" s="37" t="s">
        <v>187</v>
      </c>
      <c r="S189" s="37" t="s">
        <v>91</v>
      </c>
      <c r="T189" s="37" t="s">
        <v>185</v>
      </c>
      <c r="U189" s="37" t="s">
        <v>81</v>
      </c>
      <c r="V189" s="37" t="s">
        <v>81</v>
      </c>
      <c r="W189" s="37" t="s">
        <v>82</v>
      </c>
      <c r="X189" s="37" t="s">
        <v>81</v>
      </c>
      <c r="Y189" s="37" t="s">
        <v>81</v>
      </c>
      <c r="Z189" s="37" t="s">
        <v>83</v>
      </c>
      <c r="AA189" s="37" t="s">
        <v>81</v>
      </c>
      <c r="AB189" s="37" t="s">
        <v>183</v>
      </c>
      <c r="AC189" s="37" t="s">
        <v>186</v>
      </c>
      <c r="AD189" s="37" t="s">
        <v>85</v>
      </c>
      <c r="AE189" s="37" t="s">
        <v>86</v>
      </c>
      <c r="AF189" s="37" t="s">
        <v>81</v>
      </c>
      <c r="AG189" s="37" t="s">
        <v>87</v>
      </c>
      <c r="AH189" s="37" t="s">
        <v>88</v>
      </c>
      <c r="AI189" s="37" t="s">
        <v>81</v>
      </c>
      <c r="AJ189" s="37" t="s">
        <v>81</v>
      </c>
      <c r="AK189" s="37" t="s">
        <v>81</v>
      </c>
      <c r="AL189" s="37" t="s">
        <v>81</v>
      </c>
      <c r="AM189" t="str">
        <f>VLOOKUP($R189,武学奇术!$A:$ZZ,25,FALSE)</f>
        <v>心法</v>
      </c>
      <c r="AN189" s="23">
        <f>VLOOKUP($R189,武学奇术!$A:$ZZ,26,FALSE)</f>
        <v>1</v>
      </c>
      <c r="AO189" s="24">
        <f>VLOOKUP($R189,武学奇术!$A:$ZZ,27,FALSE)*(1+IF(OR($AM189=$F$4,$AM189=$F$5),$B$23,0))</f>
        <v>0</v>
      </c>
      <c r="AP189" s="23">
        <f>VLOOKUP($R189,武学奇术!$A:$ZZ,28,FALSE)</f>
        <v>1</v>
      </c>
      <c r="AQ189" s="24">
        <f>VLOOKUP($R189,武学奇术!$A:$ZZ,29,FALSE)*(1+IF(OR($AM189=$F$4,$AM189=$F$5),$B$23,0))</f>
        <v>0</v>
      </c>
      <c r="AR189" s="23" cm="1">
        <f t="array" ref="AR189">$G$3+IFERROR(VLOOKUP($AM189,$F$4:$G$7,2,FALSE),0)+VLOOKUP($R189,武学奇术!$A:$ZZ,2,FALSE)+SUM(_xlfn.XLOOKUP($S189:$AL189,增益!$A:$A,增益!$B:$B,0))</f>
        <v>0.4842</v>
      </c>
      <c r="AS189" s="23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4081.7</v>
      </c>
      <c r="AU189" cm="1">
        <f t="array" ref="AU189">$E$10*(1+$AS189)+VLOOKUP($R189,武学奇术!$A:$ZZ,4,FALSE)+SUM(_xlfn.XLOOKUP($S189:$AL189,增益!$A:$A,增益!$D:$D,0))-$I$2</f>
        <v>4081.7</v>
      </c>
      <c r="AV189" s="29" cm="1">
        <f t="array" ref="AV189">IF($F$10-$I$3+VLOOKUP($R189,武学奇术!$A:$ZZ,6,FALSE)+SUM(_xlfn.XLOOKUP(S189:AL189,增益!$A:$A,增益!$F:$F,0))&gt;0,($F$10-$I$3+VLOOKUP($R189,武学奇术!$A:$ZZ,6,FALSE)+SUM(_xlfn.XLOOKUP(S189:AL189,增益!$A:$A,增益!$F:$F,0)))/200,($F$10-$I$3+VLOOKUP($R189,武学奇术!$A:$ZZ,6,FALSE)+SUM(_xlfn.XLOOKUP(S189:AL189,增益!$A:$A,增益!$F:$F,0)))/100)</f>
        <v>0.4539</v>
      </c>
      <c r="AW189" s="29" cm="1">
        <f t="array" ref="AW189">$G$10+VLOOKUP($R189,武学奇术!$A:$ZZ,7,FALSE)+SUM(_xlfn.XLOOKUP(S189:AL189,增益!$A:$A,增益!$G:$G,0))</f>
        <v>0.02</v>
      </c>
      <c r="AX189" s="23" cm="1">
        <f t="array" ref="AX189">VLOOKUP($R189,武学奇术!$A:$ZZ,8,FALSE)+SUM(_xlfn.XLOOKUP(S189:AL189,增益!$A:$A,增益!$H:$H,0))</f>
        <v>0</v>
      </c>
      <c r="AY189">
        <f t="shared" si="57"/>
        <v>0</v>
      </c>
      <c r="AZ189">
        <f t="shared" si="58"/>
        <v>0</v>
      </c>
      <c r="BA189" s="29" cm="1">
        <f t="array" ref="BA189">IF($F$11-$I$4+VLOOKUP($R189,武学奇术!$A:$ZZ,9,FALSE)+SUM(_xlfn.XLOOKUP(S189:AL189,增益!$A:$A,增益!$I:$I,0))&gt;0,($F$11-$I$4+VLOOKUP($R189,武学奇术!$A:$ZZ,9,FALSE)+SUM(_xlfn.XLOOKUP(S189:AL189,增益!$A:$A,增益!$I:$I,0)))/200,($F$11-$I$4+VLOOKUP($R189,武学奇术!$A:$ZZ,9,FALSE)+SUM(_xlfn.XLOOKUP(S189:AL189,增益!$A:$A,增益!$I:$I,0)))/100)</f>
        <v>-0.3</v>
      </c>
      <c r="BB189" s="29" cm="1">
        <f t="array" ref="BB189">$G$11+VLOOKUP($R189,武学奇术!$A:$ZZ,10,FALSE)+SUM(_xlfn.XLOOKUP(S189:AL189,增益!$A:$A,增益!$J:$J,0))</f>
        <v>0.12</v>
      </c>
      <c r="BC189">
        <f t="shared" si="59"/>
        <v>0</v>
      </c>
      <c r="BD189">
        <f t="shared" si="60"/>
        <v>0</v>
      </c>
      <c r="BE189" s="29" cm="1">
        <f t="array" ref="BE189">IF($F$12-$I$4+VLOOKUP($R189,武学奇术!$A:$ZZ,11,FALSE)+SUM(_xlfn.XLOOKUP(S189:AL189,增益!$A:$A,增益!$K:$K,0))&gt;0,($F$12-$I$4+VLOOKUP($R189,武学奇术!$A:$ZZ,11,FALSE)+SUM(_xlfn.XLOOKUP(S189:AL189,增益!$A:$A,增益!$K:$K,0)))/200,($F$12-$I$4+VLOOKUP($R189,武学奇术!$A:$ZZ,11,FALSE)+SUM(_xlfn.XLOOKUP(S189:AL189,增益!$A:$A,增益!$K:$K,0)))/100)</f>
        <v>-0.3</v>
      </c>
      <c r="BF189" s="29" cm="1">
        <f t="array" ref="BF189">$G$12+VLOOKUP($R189,武学奇术!$A:$ZZ,12,FALSE)+SUM(_xlfn.XLOOKUP(S189:AL189,增益!$A:$A,增益!$L:$L,0))</f>
        <v>0.02</v>
      </c>
      <c r="BG189">
        <f t="shared" si="61"/>
        <v>0</v>
      </c>
      <c r="BH189">
        <f t="shared" si="62"/>
        <v>0</v>
      </c>
      <c r="BI189" s="29" cm="1">
        <f t="array" ref="BI189">IF($F$13-$I$4+VLOOKUP($R189,武学奇术!$A:$ZZ,13,FALSE)+SUM(_xlfn.XLOOKUP(S189:AL189,增益!$A:$A,增益!$M:$M,0))&gt;0,($F$13-$I$4+VLOOKUP($R189,武学奇术!$A:$ZZ,13,FALSE)+SUM(_xlfn.XLOOKUP(S189:AL189,增益!$A:$A,增益!$K:$K,0)))/200,($F$13-$I$4+VLOOKUP($R189,武学奇术!$A:$ZZ,13,FALSE)+SUM(_xlfn.XLOOKUP(S189:AL189,增益!$A:$A,增益!$M:$M,0)))/100)</f>
        <v>-0.3</v>
      </c>
      <c r="BJ189" s="29" cm="1">
        <f t="array" ref="BJ189">$G$13+VLOOKUP($R189,武学奇术!$A:$ZZ,14,FALSE)+SUM(_xlfn.XLOOKUP(S189:AL189,增益!$A:$A,增益!$N:$N,0))</f>
        <v>0.02</v>
      </c>
      <c r="BK189">
        <f t="shared" si="63"/>
        <v>618.2</v>
      </c>
      <c r="BL189">
        <f t="shared" si="64"/>
        <v>1805</v>
      </c>
      <c r="BM189" s="29" cm="1">
        <f t="array" ref="BM189">IF($F$14-$I$4+VLOOKUP($R189,武学奇术!$A:$ZZ,15,FALSE)+SUM(_xlfn.XLOOKUP(S189:AL189,增益!$A:$A,增益!$O:$O,0))&gt;0,($F$14-$I$4+VLOOKUP($R189,武学奇术!$A:$ZZ,15,FALSE)+SUM(_xlfn.XLOOKUP(S189:AL189,增益!$A:$A,增益!$O:$O,0)))/200,($F$14-$I$4+VLOOKUP($R189,武学奇术!$A:$ZZ,15,FALSE)+SUM(_xlfn.XLOOKUP(S189:AL189,增益!$A:$A,增益!$O:$O,0)))/100)</f>
        <v>0</v>
      </c>
      <c r="BN189" s="29" cm="1">
        <f t="array" ref="BN189">$G$14+VLOOKUP($R189,武学奇术!$A:$ZZ,16,FALSE)+SUM(_xlfn.XLOOKUP(S189:AL189,增益!$A:$A,增益!$P:$P,0))</f>
        <v>0.17</v>
      </c>
      <c r="BO189" s="23">
        <f>MIN(IF(VLOOKUP($R189,武学奇术!$A:$ZZ,23,FALSE)=1,100%,$B$8),100%)</f>
        <v>0.9943</v>
      </c>
      <c r="BP189" s="23" cm="1">
        <f t="array" ref="BP189">IF(VLOOKUP($R189,武学奇术!$A:$ZZ,23,FALSE)=1,100%,MIN(80%,$B$9+VLOOKUP($R189,武学奇术!$A:$ZZ,17,FALSE)+SUM(_xlfn.XLOOKUP(S189:AL189,增益!$A:$A,增益!$Q:$Q,0)))+$B$11+SUM(_xlfn.XLOOKUP(S189:AL189,增益!$A:$A,增益!$U:$U,0)))*IF(VLOOKUP($R189,武学奇术!$A:$ZZ,24,FALSE)=1,0,1)</f>
        <v>0.887</v>
      </c>
      <c r="BQ189" s="23" cm="1">
        <f t="array" ref="BQ189">1+$B$13+VLOOKUP($R189,武学奇术!$A:$ZZ,18,FALSE)+SUM(_xlfn.XLOOKUP(S189:AL189,增益!$A:$A,增益!$R:$R,0))</f>
        <v>2.394</v>
      </c>
      <c r="BR189" s="23" cm="1">
        <f t="array" ref="BR189">IF(VLOOKUP($R189,武学奇术!$A:$ZZ,24,FALSE)=1,100%,MIN(40%,$B$10+VLOOKUP($R189,武学奇术!$A:$ZZ,19,FALSE)+SUM(_xlfn.XLOOKUP(S189:AL189,增益!$A:$A,增益!$S:$S,0)))+$B$12+SUM(_xlfn.XLOOKUP(S189:AL189,增益!$A:$A,增益!$V:$V,0)))*IF(VLOOKUP($R189,武学奇术!$A:$ZZ,23,FALSE)=1,0,1)</f>
        <v>0.0913</v>
      </c>
      <c r="BS189" s="23" cm="1">
        <f t="array" ref="BS189">1+$B$14+VLOOKUP($R189,武学奇术!$A:$ZZ,20,FALSE)+SUM(_xlfn.XLOOKUP(S189:AL189,增益!$A:$A,增益!$T:$T,0))</f>
        <v>1.35</v>
      </c>
      <c r="BT189" s="23">
        <f t="shared" si="65"/>
        <v>0.8819441</v>
      </c>
      <c r="BU189" s="23">
        <f t="shared" si="66"/>
        <v>0.0215763099999999</v>
      </c>
      <c r="BV189" s="23">
        <f>IF(VLOOKUP($R189,武学奇术!$A:$ZZ,22,FALSE)=1,0,(1-$BO189))*(1-$BR189)</f>
        <v>0.00517958999999993</v>
      </c>
      <c r="BW189" s="23" cm="1">
        <f t="array" ref="BW189">SUM(_xlfn.XLOOKUP(S189:AL189,增益!$A:$A,增益!$W:$W,0))+$I$5</f>
        <v>0.31</v>
      </c>
      <c r="BX189" s="23">
        <f>VLOOKUP($R189,武学奇术!$A:$ZZ,32,FALSE)</f>
        <v>0</v>
      </c>
      <c r="BY189" s="23" cm="1">
        <f t="array" ref="BY189">SUM(_xlfn.XLOOKUP($S189:$AL189,增益!$A:$A,增益!$X:$X,0))</f>
        <v>0</v>
      </c>
    </row>
    <row r="190" spans="11:77">
      <c r="K190" s="35">
        <f>$L190*VLOOKUP($R190,武学奇术!$A:$ZZ,31,FALSE)</f>
        <v>16610.8438214286</v>
      </c>
      <c r="L190" s="35">
        <f t="shared" si="67"/>
        <v>16285.1410014005</v>
      </c>
      <c r="M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轻击",$B$21,0))*(1+IF(VLOOKUP($R190,武学奇术!$A:$ZZ,30,FALSE)="老鼠",$B$22,0))*(1+$BW190)*(1+$BX190)</f>
        <v>17197.8363847174</v>
      </c>
      <c r="N190" s="35">
        <f>(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轻击",$B$21,0))*(1+IF(VLOOKUP($R190,武学奇术!$A:$ZZ,30,FALSE)="老鼠",$B$22,0))*(1+$BW190))*(1+$BX190)</f>
        <v>15621.4255309249</v>
      </c>
      <c r="O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轻击",$B$21,0))*(1+IF(VLOOKUP($R190,武学奇术!$A:$ZZ,30,FALSE)="老鼠",$B$22,0))*(1+$BW190)*(1+$BX190)</f>
        <v>10460.9710369327</v>
      </c>
      <c r="P190" s="35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轻击",$B$21,0))*(1+IF(VLOOKUP($R190,武学奇术!$A:$ZZ,30,FALSE)="老鼠",$B$22,0))*(1+$BW190)*(1+$BX190)</f>
        <v>9350.51575466184</v>
      </c>
      <c r="Q190" s="36">
        <f t="shared" si="68"/>
        <v>1</v>
      </c>
      <c r="R190" s="37" t="s">
        <v>187</v>
      </c>
      <c r="S190" s="37" t="s">
        <v>91</v>
      </c>
      <c r="T190" s="37" t="s">
        <v>185</v>
      </c>
      <c r="U190" s="37" t="s">
        <v>81</v>
      </c>
      <c r="V190" s="37" t="s">
        <v>81</v>
      </c>
      <c r="W190" s="37" t="s">
        <v>82</v>
      </c>
      <c r="X190" s="37" t="s">
        <v>81</v>
      </c>
      <c r="Y190" s="37" t="s">
        <v>81</v>
      </c>
      <c r="Z190" s="37" t="s">
        <v>81</v>
      </c>
      <c r="AA190" s="37" t="s">
        <v>84</v>
      </c>
      <c r="AB190" s="37" t="s">
        <v>81</v>
      </c>
      <c r="AC190" s="37" t="s">
        <v>81</v>
      </c>
      <c r="AD190" s="37" t="s">
        <v>81</v>
      </c>
      <c r="AE190" s="37" t="s">
        <v>81</v>
      </c>
      <c r="AF190" s="37" t="s">
        <v>81</v>
      </c>
      <c r="AG190" s="37" t="s">
        <v>87</v>
      </c>
      <c r="AH190" s="37" t="s">
        <v>88</v>
      </c>
      <c r="AI190" s="37" t="s">
        <v>81</v>
      </c>
      <c r="AJ190" s="37" t="s">
        <v>81</v>
      </c>
      <c r="AK190" s="37" t="s">
        <v>81</v>
      </c>
      <c r="AL190" s="37" t="s">
        <v>81</v>
      </c>
      <c r="AM190" t="str">
        <f>VLOOKUP($R190,武学奇术!$A:$ZZ,25,FALSE)</f>
        <v>心法</v>
      </c>
      <c r="AN190" s="23">
        <f>VLOOKUP($R190,武学奇术!$A:$ZZ,26,FALSE)</f>
        <v>1</v>
      </c>
      <c r="AO190" s="24">
        <f>VLOOKUP($R190,武学奇术!$A:$ZZ,27,FALSE)*(1+IF(OR($AM190=$F$4,$AM190=$F$5),$B$23,0))</f>
        <v>0</v>
      </c>
      <c r="AP190" s="23">
        <f>VLOOKUP($R190,武学奇术!$A:$ZZ,28,FALSE)</f>
        <v>1</v>
      </c>
      <c r="AQ190" s="24">
        <f>VLOOKUP($R190,武学奇术!$A:$ZZ,29,FALSE)*(1+IF(OR($AM190=$F$4,$AM190=$F$5),$B$23,0))</f>
        <v>0</v>
      </c>
      <c r="AR190" s="23" cm="1">
        <f t="array" ref="AR190">$G$3+IFERROR(VLOOKUP($AM190,$F$4:$G$7,2,FALSE),0)+VLOOKUP($R190,武学奇术!$A:$ZZ,2,FALSE)+SUM(_xlfn.XLOOKUP($S190:$AL190,增益!$A:$A,增益!$B:$B,0))</f>
        <v>0.3342</v>
      </c>
      <c r="AS190" s="23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4081.7</v>
      </c>
      <c r="AU190" cm="1">
        <f t="array" ref="AU190">$E$10*(1+$AS190)+VLOOKUP($R190,武学奇术!$A:$ZZ,4,FALSE)+SUM(_xlfn.XLOOKUP($S190:$AL190,增益!$A:$A,增益!$D:$D,0))-$I$2</f>
        <v>4081.7</v>
      </c>
      <c r="AV190" s="29" cm="1">
        <f t="array" ref="AV190">IF($F$10-$I$3+VLOOKUP($R190,武学奇术!$A:$ZZ,6,FALSE)+SUM(_xlfn.XLOOKUP(S190:AL190,增益!$A:$A,增益!$F:$F,0))&gt;0,($F$10-$I$3+VLOOKUP($R190,武学奇术!$A:$ZZ,6,FALSE)+SUM(_xlfn.XLOOKUP(S190:AL190,增益!$A:$A,增益!$F:$F,0)))/200,($F$10-$I$3+VLOOKUP($R190,武学奇术!$A:$ZZ,6,FALSE)+SUM(_xlfn.XLOOKUP(S190:AL190,增益!$A:$A,增益!$F:$F,0)))/100)</f>
        <v>0.3289</v>
      </c>
      <c r="AW190" s="29" cm="1">
        <f t="array" ref="AW190">$G$10+VLOOKUP($R190,武学奇术!$A:$ZZ,7,FALSE)+SUM(_xlfn.XLOOKUP(S190:AL190,增益!$A:$A,增益!$G:$G,0))</f>
        <v>0.02</v>
      </c>
      <c r="AX190" s="23" cm="1">
        <f t="array" ref="AX190">VLOOKUP($R190,武学奇术!$A:$ZZ,8,FALSE)+SUM(_xlfn.XLOOKUP(S190:AL190,增益!$A:$A,增益!$H:$H,0))</f>
        <v>0</v>
      </c>
      <c r="AY190">
        <f t="shared" si="57"/>
        <v>0</v>
      </c>
      <c r="AZ190">
        <f t="shared" si="58"/>
        <v>0</v>
      </c>
      <c r="BA190" s="29" cm="1">
        <f t="array" ref="BA190">IF($F$11-$I$4+VLOOKUP($R190,武学奇术!$A:$ZZ,9,FALSE)+SUM(_xlfn.XLOOKUP(S190:AL190,增益!$A:$A,增益!$I:$I,0))&gt;0,($F$11-$I$4+VLOOKUP($R190,武学奇术!$A:$ZZ,9,FALSE)+SUM(_xlfn.XLOOKUP(S190:AL190,增益!$A:$A,增益!$I:$I,0)))/200,($F$11-$I$4+VLOOKUP($R190,武学奇术!$A:$ZZ,9,FALSE)+SUM(_xlfn.XLOOKUP(S190:AL190,增益!$A:$A,增益!$I:$I,0)))/100)</f>
        <v>-0.14</v>
      </c>
      <c r="BB190" s="29" cm="1">
        <f t="array" ref="BB190">$G$11+VLOOKUP($R190,武学奇术!$A:$ZZ,10,FALSE)+SUM(_xlfn.XLOOKUP(S190:AL190,增益!$A:$A,增益!$J:$J,0))</f>
        <v>0.02</v>
      </c>
      <c r="BC190">
        <f t="shared" si="59"/>
        <v>0</v>
      </c>
      <c r="BD190">
        <f t="shared" si="60"/>
        <v>0</v>
      </c>
      <c r="BE190" s="29" cm="1">
        <f t="array" ref="BE190">IF($F$12-$I$4+VLOOKUP($R190,武学奇术!$A:$ZZ,11,FALSE)+SUM(_xlfn.XLOOKUP(S190:AL190,增益!$A:$A,增益!$K:$K,0))&gt;0,($F$12-$I$4+VLOOKUP($R190,武学奇术!$A:$ZZ,11,FALSE)+SUM(_xlfn.XLOOKUP(S190:AL190,增益!$A:$A,增益!$K:$K,0)))/200,($F$12-$I$4+VLOOKUP($R190,武学奇术!$A:$ZZ,11,FALSE)+SUM(_xlfn.XLOOKUP(S190:AL190,增益!$A:$A,增益!$K:$K,0)))/100)</f>
        <v>-0.14</v>
      </c>
      <c r="BF190" s="29" cm="1">
        <f t="array" ref="BF190">$G$12+VLOOKUP($R190,武学奇术!$A:$ZZ,12,FALSE)+SUM(_xlfn.XLOOKUP(S190:AL190,增益!$A:$A,增益!$L:$L,0))</f>
        <v>0.02</v>
      </c>
      <c r="BG190">
        <f t="shared" si="61"/>
        <v>0</v>
      </c>
      <c r="BH190">
        <f t="shared" si="62"/>
        <v>0</v>
      </c>
      <c r="BI190" s="29" cm="1">
        <f t="array" ref="BI190">IF($F$13-$I$4+VLOOKUP($R190,武学奇术!$A:$ZZ,13,FALSE)+SUM(_xlfn.XLOOKUP(S190:AL190,增益!$A:$A,增益!$M:$M,0))&gt;0,($F$13-$I$4+VLOOKUP($R190,武学奇术!$A:$ZZ,13,FALSE)+SUM(_xlfn.XLOOKUP(S190:AL190,增益!$A:$A,增益!$K:$K,0)))/200,($F$13-$I$4+VLOOKUP($R190,武学奇术!$A:$ZZ,13,FALSE)+SUM(_xlfn.XLOOKUP(S190:AL190,增益!$A:$A,增益!$M:$M,0)))/100)</f>
        <v>-0.14</v>
      </c>
      <c r="BJ190" s="29" cm="1">
        <f t="array" ref="BJ190">$G$13+VLOOKUP($R190,武学奇术!$A:$ZZ,14,FALSE)+SUM(_xlfn.XLOOKUP(S190:AL190,增益!$A:$A,增益!$N:$N,0))</f>
        <v>0.02</v>
      </c>
      <c r="BK190">
        <f t="shared" si="63"/>
        <v>618.2</v>
      </c>
      <c r="BL190">
        <f t="shared" si="64"/>
        <v>1805</v>
      </c>
      <c r="BM190" s="29" cm="1">
        <f t="array" ref="BM190">IF($F$14-$I$4+VLOOKUP($R190,武学奇术!$A:$ZZ,15,FALSE)+SUM(_xlfn.XLOOKUP(S190:AL190,增益!$A:$A,增益!$O:$O,0))&gt;0,($F$14-$I$4+VLOOKUP($R190,武学奇术!$A:$ZZ,15,FALSE)+SUM(_xlfn.XLOOKUP(S190:AL190,增益!$A:$A,增益!$O:$O,0)))/200,($F$14-$I$4+VLOOKUP($R190,武学奇术!$A:$ZZ,15,FALSE)+SUM(_xlfn.XLOOKUP(S190:AL190,增益!$A:$A,增益!$O:$O,0)))/100)</f>
        <v>0.08</v>
      </c>
      <c r="BN190" s="29" cm="1">
        <f t="array" ref="BN190">$G$14+VLOOKUP($R190,武学奇术!$A:$ZZ,16,FALSE)+SUM(_xlfn.XLOOKUP(S190:AL190,增益!$A:$A,增益!$P:$P,0))</f>
        <v>0.17</v>
      </c>
      <c r="BO190" s="23">
        <f>MIN(IF(VLOOKUP($R190,武学奇术!$A:$ZZ,23,FALSE)=1,100%,$B$8),100%)</f>
        <v>0.9943</v>
      </c>
      <c r="BP190" s="23" cm="1">
        <f t="array" ref="BP190">IF(VLOOKUP($R190,武学奇术!$A:$ZZ,23,FALSE)=1,100%,MIN(80%,$B$9+VLOOKUP($R190,武学奇术!$A:$ZZ,17,FALSE)+SUM(_xlfn.XLOOKUP(S190:AL190,增益!$A:$A,增益!$Q:$Q,0)))+$B$11+SUM(_xlfn.XLOOKUP(S190:AL190,增益!$A:$A,增益!$U:$U,0)))*IF(VLOOKUP($R190,武学奇术!$A:$ZZ,24,FALSE)=1,0,1)</f>
        <v>0.8</v>
      </c>
      <c r="BQ190" s="23" cm="1">
        <f t="array" ref="BQ190">1+$B$13+VLOOKUP($R190,武学奇术!$A:$ZZ,18,FALSE)+SUM(_xlfn.XLOOKUP(S190:AL190,增益!$A:$A,增益!$R:$R,0))</f>
        <v>1.644</v>
      </c>
      <c r="BR190" s="23" cm="1">
        <f t="array" ref="BR190">IF(VLOOKUP($R190,武学奇术!$A:$ZZ,24,FALSE)=1,100%,MIN(40%,$B$10+VLOOKUP($R190,武学奇术!$A:$ZZ,19,FALSE)+SUM(_xlfn.XLOOKUP(S190:AL190,增益!$A:$A,增益!$S:$S,0)))+$B$12+SUM(_xlfn.XLOOKUP(S190:AL190,增益!$A:$A,增益!$V:$V,0)))*IF(VLOOKUP($R190,武学奇术!$A:$ZZ,23,FALSE)=1,0,1)</f>
        <v>0.0913</v>
      </c>
      <c r="BS190" s="23" cm="1">
        <f t="array" ref="BS190">1+$B$14+VLOOKUP($R190,武学奇术!$A:$ZZ,20,FALSE)+SUM(_xlfn.XLOOKUP(S190:AL190,增益!$A:$A,增益!$T:$T,0))</f>
        <v>1.35</v>
      </c>
      <c r="BT190" s="23">
        <f t="shared" si="65"/>
        <v>0.79544</v>
      </c>
      <c r="BU190" s="23">
        <f t="shared" si="66"/>
        <v>0.10808041</v>
      </c>
      <c r="BV190" s="23">
        <f>IF(VLOOKUP($R190,武学奇术!$A:$ZZ,22,FALSE)=1,0,(1-$BO190))*(1-$BR190)</f>
        <v>0.00517958999999993</v>
      </c>
      <c r="BW190" s="23" cm="1">
        <f t="array" ref="BW190">SUM(_xlfn.XLOOKUP(S190:AL190,增益!$A:$A,增益!$W:$W,0))+$I$5</f>
        <v>0.11</v>
      </c>
      <c r="BX190" s="23">
        <f>VLOOKUP($R190,武学奇术!$A:$ZZ,32,FALSE)</f>
        <v>0</v>
      </c>
      <c r="BY190" s="23" cm="1">
        <f t="array" ref="BY190">SUM(_xlfn.XLOOKUP($S190:$AL190,增益!$A:$A,增益!$X:$X,0))</f>
        <v>0</v>
      </c>
    </row>
  </sheetData>
  <mergeCells count="34">
    <mergeCell ref="H1:I1"/>
    <mergeCell ref="C8:G8"/>
    <mergeCell ref="C15:D15"/>
    <mergeCell ref="E21:F21"/>
    <mergeCell ref="E22:F22"/>
    <mergeCell ref="A24:A25"/>
    <mergeCell ref="C28:C30"/>
    <mergeCell ref="C34:C39"/>
    <mergeCell ref="C50:C55"/>
    <mergeCell ref="C58:C69"/>
    <mergeCell ref="C70:C74"/>
    <mergeCell ref="C84:C89"/>
    <mergeCell ref="C94:C105"/>
    <mergeCell ref="C106:C110"/>
    <mergeCell ref="D34:D48"/>
    <mergeCell ref="D50:D58"/>
    <mergeCell ref="D84:D99"/>
    <mergeCell ref="D101:D109"/>
    <mergeCell ref="E34:E46"/>
    <mergeCell ref="E53:E65"/>
    <mergeCell ref="E72:E84"/>
    <mergeCell ref="E89:E104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"燕归"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90">
      <formula1>武学奇术!$A:$A</formula1>
    </dataValidation>
    <dataValidation type="list" allowBlank="1" showInputMessage="1" showErrorMessage="1" sqref="S2:AL190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90"/>
  <sheetViews>
    <sheetView workbookViewId="0">
      <selection activeCell="AB34" sqref="AB34"/>
    </sheetView>
  </sheetViews>
  <sheetFormatPr defaultColWidth="9" defaultRowHeight="13.5"/>
  <cols>
    <col min="1" max="1" width="12.875" customWidth="1"/>
    <col min="4" max="4" width="9.375"/>
    <col min="11" max="15" width="12.625" style="24" customWidth="1"/>
    <col min="17" max="17" width="24.625" style="28" customWidth="1"/>
    <col min="18" max="32" width="9" style="28"/>
    <col min="34" max="34" width="9" style="23"/>
    <col min="35" max="35" width="9" style="24"/>
    <col min="36" max="36" width="9" style="23"/>
    <col min="37" max="37" width="9" style="24"/>
    <col min="38" max="39" width="9" style="23"/>
    <col min="42" max="44" width="9" style="29"/>
    <col min="47" max="48" width="9" style="29"/>
    <col min="61" max="65" width="9" style="23"/>
    <col min="66" max="67" width="9.00833333333333" style="23" customWidth="1"/>
    <col min="68" max="69" width="9" style="23"/>
  </cols>
  <sheetData>
    <row r="1" spans="1:77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35" t="s">
        <v>7</v>
      </c>
      <c r="L1" s="35" t="s">
        <v>8</v>
      </c>
      <c r="M1" s="35" t="s">
        <v>9</v>
      </c>
      <c r="N1" s="35" t="s">
        <v>10</v>
      </c>
      <c r="O1" s="35" t="s">
        <v>11</v>
      </c>
      <c r="P1" s="35" t="s">
        <v>12</v>
      </c>
      <c r="Q1" s="36" t="s">
        <v>13</v>
      </c>
      <c r="R1" s="37" t="s">
        <v>14</v>
      </c>
      <c r="S1" s="37" t="s">
        <v>15</v>
      </c>
      <c r="T1" s="37" t="s">
        <v>16</v>
      </c>
      <c r="U1" s="37" t="s">
        <v>17</v>
      </c>
      <c r="V1" s="37" t="s">
        <v>18</v>
      </c>
      <c r="W1" s="37" t="s">
        <v>19</v>
      </c>
      <c r="X1" s="37" t="s">
        <v>20</v>
      </c>
      <c r="Y1" s="37" t="s">
        <v>21</v>
      </c>
      <c r="Z1" s="37" t="s">
        <v>22</v>
      </c>
      <c r="AA1" s="37" t="s">
        <v>23</v>
      </c>
      <c r="AB1" s="37" t="s">
        <v>24</v>
      </c>
      <c r="AC1" s="37" t="s">
        <v>25</v>
      </c>
      <c r="AD1" s="37" t="s">
        <v>26</v>
      </c>
      <c r="AE1" s="37" t="s">
        <v>27</v>
      </c>
      <c r="AF1" s="37" t="s">
        <v>28</v>
      </c>
      <c r="AG1" s="37" t="s">
        <v>29</v>
      </c>
      <c r="AH1" s="37" t="s">
        <v>30</v>
      </c>
      <c r="AI1" s="37" t="s">
        <v>31</v>
      </c>
      <c r="AJ1" s="37" t="s">
        <v>32</v>
      </c>
      <c r="AK1" s="37" t="s">
        <v>33</v>
      </c>
      <c r="AL1" s="37" t="s">
        <v>34</v>
      </c>
      <c r="AM1" t="s">
        <v>35</v>
      </c>
      <c r="AN1" s="23" t="s">
        <v>36</v>
      </c>
      <c r="AO1" s="24" t="s">
        <v>37</v>
      </c>
      <c r="AP1" s="23" t="s">
        <v>38</v>
      </c>
      <c r="AQ1" s="24" t="s">
        <v>39</v>
      </c>
      <c r="AR1" s="23" t="s">
        <v>40</v>
      </c>
      <c r="AS1" s="23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s="29" t="s">
        <v>46</v>
      </c>
      <c r="AY1" t="s">
        <v>47</v>
      </c>
      <c r="AZ1" t="s">
        <v>48</v>
      </c>
      <c r="BA1" s="29" t="s">
        <v>49</v>
      </c>
      <c r="BB1" s="29" t="s">
        <v>50</v>
      </c>
      <c r="BC1" t="s">
        <v>51</v>
      </c>
      <c r="BD1" t="s">
        <v>52</v>
      </c>
      <c r="BE1" s="29" t="s">
        <v>53</v>
      </c>
      <c r="BF1" s="29" t="s">
        <v>54</v>
      </c>
      <c r="BG1" t="s">
        <v>55</v>
      </c>
      <c r="BH1" t="s">
        <v>56</v>
      </c>
      <c r="BI1" s="29" t="s">
        <v>57</v>
      </c>
      <c r="BJ1" s="29" t="s">
        <v>58</v>
      </c>
      <c r="BK1" t="s">
        <v>59</v>
      </c>
      <c r="BL1" t="s">
        <v>60</v>
      </c>
      <c r="BM1" s="29" t="s">
        <v>61</v>
      </c>
      <c r="BN1" s="29" t="s">
        <v>62</v>
      </c>
      <c r="BO1" s="23" t="s">
        <v>63</v>
      </c>
      <c r="BP1" s="23" t="s">
        <v>64</v>
      </c>
      <c r="BQ1" s="23" t="s">
        <v>65</v>
      </c>
      <c r="BR1" s="23" t="s">
        <v>66</v>
      </c>
      <c r="BS1" s="23" t="s">
        <v>67</v>
      </c>
      <c r="BT1" s="23" t="s">
        <v>68</v>
      </c>
      <c r="BU1" s="23" t="s">
        <v>69</v>
      </c>
      <c r="BV1" s="23" t="s">
        <v>70</v>
      </c>
      <c r="BW1" s="23" t="s">
        <v>71</v>
      </c>
      <c r="BX1" s="38" t="s">
        <v>72</v>
      </c>
      <c r="BY1" t="s">
        <v>73</v>
      </c>
    </row>
    <row r="2" spans="1:77">
      <c r="A2" s="39" t="s">
        <v>74</v>
      </c>
      <c r="B2" s="28"/>
      <c r="C2" s="28"/>
      <c r="D2" s="28"/>
      <c r="E2" s="40"/>
      <c r="F2" s="41" t="s">
        <v>75</v>
      </c>
      <c r="G2" s="42" t="s">
        <v>76</v>
      </c>
      <c r="H2" s="43" t="s">
        <v>77</v>
      </c>
      <c r="I2" s="11">
        <f>687*(1-IF(F17="√",0.06,0)-IF(D20="√",0.04,0))</f>
        <v>687</v>
      </c>
      <c r="K2" s="35">
        <f>$L2*VLOOKUP($R2,武学奇术!$A:$ZZ,31,FALSE)</f>
        <v>64967.3488768773</v>
      </c>
      <c r="L2" s="35">
        <f t="shared" ref="L2:L45" si="0">($M2*$BT2+$N2*$BR2+$O2*$BU2+$P2*$BV2)</f>
        <v>63693.4792910562</v>
      </c>
      <c r="M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轻击",$B$21,0))*(1+IF(VLOOKUP($R2,武学奇术!$A:$ZZ,30,FALSE)="老鼠",$B$22,0))*(1+$BW2)*(1+$BX2)</f>
        <v>66824.3947694169</v>
      </c>
      <c r="N2" s="35">
        <f>(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轻击",$B$21,0))*(1+IF(VLOOKUP($R2,武学奇术!$A:$ZZ,30,FALSE)="老鼠",$B$22,0))*(1+$BW2))*(1+$BX2)</f>
        <v>43902.1351217285</v>
      </c>
      <c r="O2" s="35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轻击",$B$21,0))*(1+IF(VLOOKUP($R2,武学奇术!$A:$ZZ,30,FALSE)="老鼠",$B$22,0))*(1+$BW2)*(1+$BX2)</f>
        <v>28754.0424997491</v>
      </c>
      <c r="P2" s="35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轻击",$B$21,0))*(1+IF(VLOOKUP($R2,武学奇术!$A:$ZZ,30,FALSE)="老鼠",$B$22,0))*(1+$BW2)*(1+$BX2)</f>
        <v>24987.9849093289</v>
      </c>
      <c r="Q2" s="36">
        <v>1</v>
      </c>
      <c r="R2" s="37" t="s">
        <v>78</v>
      </c>
      <c r="S2" s="37" t="s">
        <v>79</v>
      </c>
      <c r="T2" s="37" t="s">
        <v>80</v>
      </c>
      <c r="U2" s="37" t="s">
        <v>81</v>
      </c>
      <c r="V2" s="37" t="s">
        <v>81</v>
      </c>
      <c r="W2" s="37" t="s">
        <v>82</v>
      </c>
      <c r="X2" s="37" t="s">
        <v>81</v>
      </c>
      <c r="Y2" s="37" t="s">
        <v>81</v>
      </c>
      <c r="Z2" s="37" t="s">
        <v>83</v>
      </c>
      <c r="AA2" s="37" t="s">
        <v>81</v>
      </c>
      <c r="AB2" s="37" t="s">
        <v>81</v>
      </c>
      <c r="AC2" s="37" t="s">
        <v>81</v>
      </c>
      <c r="AD2" s="37" t="s">
        <v>85</v>
      </c>
      <c r="AE2" s="37" t="s">
        <v>86</v>
      </c>
      <c r="AF2" s="37" t="s">
        <v>81</v>
      </c>
      <c r="AG2" s="37" t="s">
        <v>87</v>
      </c>
      <c r="AH2" s="37" t="s">
        <v>81</v>
      </c>
      <c r="AI2" s="37" t="s">
        <v>81</v>
      </c>
      <c r="AJ2" s="37" t="s">
        <v>81</v>
      </c>
      <c r="AK2" s="37" t="s">
        <v>81</v>
      </c>
      <c r="AL2" s="37" t="s">
        <v>81</v>
      </c>
      <c r="AM2" t="str">
        <f>VLOOKUP($R2,武学奇术!$A:$ZZ,25,FALSE)</f>
        <v>群体奇术</v>
      </c>
      <c r="AN2" s="23">
        <f>VLOOKUP($R2,武学奇术!$A:$ZZ,26,FALSE)</f>
        <v>2.3774</v>
      </c>
      <c r="AO2" s="24">
        <f>VLOOKUP($R2,武学奇术!$A:$ZZ,27,FALSE)*(1+IF(OR($AM2=$F$4,$AM2=$F$5),$B$23,0))</f>
        <v>476</v>
      </c>
      <c r="AP2" s="23">
        <f>VLOOKUP($R2,武学奇术!$A:$ZZ,28,FALSE)</f>
        <v>3.5661</v>
      </c>
      <c r="AQ2" s="24">
        <f>VLOOKUP($R2,武学奇术!$A:$ZZ,29,FALSE)*(1+IF(OR($AM2=$F$4,$AM2=$F$5),$B$23,0))</f>
        <v>0</v>
      </c>
      <c r="AR2" s="23" cm="1">
        <f t="array" ref="AR2">$G$3+IFERROR(VLOOKUP($AM2,$F$4:$G$7,2,FALSE),0)+VLOOKUP($R2,武学奇术!$A:$ZZ,2,FALSE)+SUM(_xlfn.XLOOKUP($S2:$AL2,增益!$A:$A,增益!$B:$B,0))</f>
        <v>0.3942</v>
      </c>
      <c r="AS2" s="23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4013</v>
      </c>
      <c r="AU2" cm="1">
        <f t="array" ref="AU2">$E$10*(1+$AS2)+VLOOKUP($R2,武学奇术!$A:$ZZ,4,FALSE)+SUM(_xlfn.XLOOKUP($S2:$AL2,增益!$A:$A,增益!$D:$D,0))-$I$2</f>
        <v>4013</v>
      </c>
      <c r="AV2" s="29" cm="1">
        <f t="array" ref="AV2">IF($F$10-$I$3+VLOOKUP($R2,武学奇术!$A:$ZZ,6,FALSE)+SUM(_xlfn.XLOOKUP(S2:AL2,增益!$A:$A,增益!$F:$F,0))&gt;0,($F$10-$I$3+VLOOKUP($R2,武学奇术!$A:$ZZ,6,FALSE)+SUM(_xlfn.XLOOKUP(S2:AL2,增益!$A:$A,增益!$F:$F,0)))/200,($F$10-$I$3+VLOOKUP($R2,武学奇术!$A:$ZZ,6,FALSE)+SUM(_xlfn.XLOOKUP(S2:AL2,增益!$A:$A,增益!$F:$F,0)))/100)</f>
        <v>0.3589</v>
      </c>
      <c r="AW2" s="29" cm="1">
        <f t="array" ref="AW2">$G$10+VLOOKUP($R2,武学奇术!$A:$ZZ,7,FALSE)+SUM(_xlfn.XLOOKUP(S2:AL2,增益!$A:$A,增益!$G:$G,0))</f>
        <v>0</v>
      </c>
      <c r="AX2" s="23" cm="1">
        <f t="array" ref="AX2">VLOOKUP($R2,武学奇术!$A:$ZZ,8,FALSE)+SUM(_xlfn.XLOOKUP(S2:AL2,增益!$A:$A,增益!$H:$H,0))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29" cm="1">
        <f t="array" ref="BA2">IF($F$11-$I$4+VLOOKUP($R2,武学奇术!$A:$ZZ,9,FALSE)+SUM(_xlfn.XLOOKUP(S2:AL2,增益!$A:$A,增益!$I:$I,0))&gt;0,($F$11-$I$4+VLOOKUP($R2,武学奇术!$A:$ZZ,9,FALSE)+SUM(_xlfn.XLOOKUP(S2:AL2,增益!$A:$A,增益!$I:$I,0)))/200,($F$11-$I$4+VLOOKUP($R2,武学奇术!$A:$ZZ,9,FALSE)+SUM(_xlfn.XLOOKUP(S2:AL2,增益!$A:$A,增益!$I:$I,0)))/100)</f>
        <v>-0.3</v>
      </c>
      <c r="BB2" s="29" cm="1">
        <f t="array" ref="BB2">$G$11+VLOOKUP($R2,武学奇术!$A:$ZZ,10,FALSE)+SUM(_xlfn.XLOOKUP(S2:AL2,增益!$A:$A,增益!$J:$J,0))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29" cm="1">
        <f t="array" ref="BE2">IF($F$12-$I$4+VLOOKUP($R2,武学奇术!$A:$ZZ,11,FALSE)+SUM(_xlfn.XLOOKUP(S2:AL2,增益!$A:$A,增益!$K:$K,0))&gt;0,($F$12-$I$4+VLOOKUP($R2,武学奇术!$A:$ZZ,11,FALSE)+SUM(_xlfn.XLOOKUP(S2:AL2,增益!$A:$A,增益!$K:$K,0)))/200,($F$12-$I$4+VLOOKUP($R2,武学奇术!$A:$ZZ,11,FALSE)+SUM(_xlfn.XLOOKUP(S2:AL2,增益!$A:$A,增益!$K:$K,0)))/100)</f>
        <v>-0.3</v>
      </c>
      <c r="BF2" s="29" cm="1">
        <f t="array" ref="BF2">$G$12+VLOOKUP($R2,武学奇术!$A:$ZZ,12,FALSE)+SUM(_xlfn.XLOOKUP(S2:AL2,增益!$A:$A,增益!$L:$L,0))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29" cm="1">
        <f t="array" ref="BI2">IF($F$13-$I$4+VLOOKUP($R2,武学奇术!$A:$ZZ,13,FALSE)+SUM(_xlfn.XLOOKUP(S2:AL2,增益!$A:$A,增益!$M:$M,0))&gt;0,($F$13-$I$4+VLOOKUP($R2,武学奇术!$A:$ZZ,13,FALSE)+SUM(_xlfn.XLOOKUP(S2:AL2,增益!$A:$A,增益!$K:$K,0)))/200,($F$13-$I$4+VLOOKUP($R2,武学奇术!$A:$ZZ,13,FALSE)+SUM(_xlfn.XLOOKUP(S2:AL2,增益!$A:$A,增益!$M:$M,0)))/100)</f>
        <v>-0.3</v>
      </c>
      <c r="BJ2" s="29" cm="1">
        <f t="array" ref="BJ2">$G$13+VLOOKUP($R2,武学奇术!$A:$ZZ,14,FALSE)+SUM(_xlfn.XLOOKUP(S2:AL2,增益!$A:$A,增益!$N:$N,0))</f>
        <v>0</v>
      </c>
      <c r="BK2">
        <f t="shared" ref="BK2:BK65" si="7">$D$14*(1+$AX2)</f>
        <v>618.2</v>
      </c>
      <c r="BL2">
        <f t="shared" ref="BL2:BL65" si="8">$E$14*(1+$AX2)</f>
        <v>1805</v>
      </c>
      <c r="BM2" s="29" cm="1">
        <f t="array" ref="BM2">IF($F$14-$I$4+VLOOKUP($R2,武学奇术!$A:$ZZ,15,FALSE)+SUM(_xlfn.XLOOKUP(S2:AL2,增益!$A:$A,增益!$O:$O,0))&gt;0,($F$14-$I$4+VLOOKUP($R2,武学奇术!$A:$ZZ,15,FALSE)+SUM(_xlfn.XLOOKUP(S2:AL2,增益!$A:$A,增益!$O:$O,0)))/200,($F$14-$I$4+VLOOKUP($R2,武学奇术!$A:$ZZ,15,FALSE)+SUM(_xlfn.XLOOKUP(S2:AL2,增益!$A:$A,增益!$O:$O,0)))/100)</f>
        <v>0</v>
      </c>
      <c r="BN2" s="29" cm="1">
        <f t="array" ref="BN2">$G$14+VLOOKUP($R2,武学奇术!$A:$ZZ,16,FALSE)+SUM(_xlfn.XLOOKUP(S2:AL2,增益!$A:$A,增益!$P:$P,0))</f>
        <v>0.15</v>
      </c>
      <c r="BO2" s="23">
        <f>MIN(IF(VLOOKUP($R2,武学奇术!$A:$ZZ,23,FALSE)=1,100%,$B$8),100%)</f>
        <v>0.9943</v>
      </c>
      <c r="BP2" s="23" cm="1">
        <f t="array" ref="BP2">IF(VLOOKUP($R2,武学奇术!$A:$ZZ,23,FALSE)=1,100%,MIN(80%,$B$9+VLOOKUP($R2,武学奇术!$A:$ZZ,17,FALSE)+SUM(_xlfn.XLOOKUP(S2:AL2,增益!$A:$A,增益!$Q:$Q,0)))+$B$11+SUM(_xlfn.XLOOKUP(S2:AL2,增益!$A:$A,增益!$U:$U,0)))*IF(VLOOKUP($R2,武学奇术!$A:$ZZ,24,FALSE)=1,0,1)</f>
        <v>0.887</v>
      </c>
      <c r="BQ2" s="23" cm="1">
        <f t="array" ref="BQ2">1+$B$13+VLOOKUP($R2,武学奇术!$A:$ZZ,18,FALSE)+SUM(_xlfn.XLOOKUP(S2:AL2,增益!$A:$A,增益!$R:$R,0))</f>
        <v>2.324</v>
      </c>
      <c r="BR2" s="23" cm="1">
        <f t="array" ref="BR2">IF(VLOOKUP($R2,武学奇术!$A:$ZZ,24,FALSE)=1,100%,MIN(40%,$B$10+VLOOKUP($R2,武学奇术!$A:$ZZ,19,FALSE)+SUM(_xlfn.XLOOKUP(S2:AL2,增益!$A:$A,增益!$S:$S,0)))+$B$12+SUM(_xlfn.XLOOKUP(S2:AL2,增益!$A:$A,增益!$V:$V,0)))*IF(VLOOKUP($R2,武学奇术!$A:$ZZ,23,FALSE)=1,0,1)</f>
        <v>0.0913</v>
      </c>
      <c r="BS2" s="23" cm="1">
        <f t="array" ref="BS2">1+$B$14+VLOOKUP($R2,武学奇术!$A:$ZZ,20,FALSE)+SUM(_xlfn.XLOOKUP(S2:AL2,增益!$A:$A,增益!$T:$T,0))</f>
        <v>1.35</v>
      </c>
      <c r="BT2" s="23">
        <f t="shared" ref="BT2:BT65" si="9">MIN((1-BR2)*BO2,BO2*BP2)</f>
        <v>0.8819441</v>
      </c>
      <c r="BU2" s="23">
        <f t="shared" ref="BU2:BU65" si="10">1-BR2-BT2-BV2</f>
        <v>0.0215763099999999</v>
      </c>
      <c r="BV2" s="23">
        <f>IF(VLOOKUP($R2,武学奇术!$A:$ZZ,22,FALSE)=1,0,(1-$BO2))*(1-$BR2)</f>
        <v>0.00517959000000003</v>
      </c>
      <c r="BW2" s="23" cm="1">
        <f t="array" ref="BW2">SUM(_xlfn.XLOOKUP(S2:AL2,增益!$A:$A,增益!$W:$W,0))+$I$5</f>
        <v>0.11</v>
      </c>
      <c r="BX2" s="23">
        <f>VLOOKUP($R2,武学奇术!$A:$ZZ,32,FALSE)</f>
        <v>0</v>
      </c>
      <c r="BY2" s="23" cm="1">
        <f t="array" ref="BY2">SUM(_xlfn.XLOOKUP($S2:$AL2,增益!$A:$A,增益!$X:$X,0))</f>
        <v>0</v>
      </c>
    </row>
    <row r="3" spans="1:77">
      <c r="A3" s="44" t="s">
        <v>89</v>
      </c>
      <c r="B3" s="45"/>
      <c r="C3" s="45"/>
      <c r="D3" s="45"/>
      <c r="E3" s="46"/>
      <c r="F3" s="43" t="s">
        <v>40</v>
      </c>
      <c r="G3" s="47">
        <f>B16+1.5%+IF($D$16="√",8%,0)+IF($E$22="征人归",8%,0)</f>
        <v>0.1042</v>
      </c>
      <c r="H3" s="43" t="s">
        <v>90</v>
      </c>
      <c r="I3" s="11">
        <f>25-IF(D17="√",10,0)-IF(F17="√",10,0)</f>
        <v>25</v>
      </c>
      <c r="K3" s="35">
        <f>$L3*VLOOKUP($R3,武学奇术!$A:$ZZ,31,FALSE)</f>
        <v>65783.6170524974</v>
      </c>
      <c r="L3" s="35">
        <f t="shared" si="0"/>
        <v>64493.7422083307</v>
      </c>
      <c r="M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轻击",$B$21,0))*(1+IF(VLOOKUP($R3,武学奇术!$A:$ZZ,30,FALSE)="老鼠",$B$22,0))*(1+$BW3)*(1+$BX3)</f>
        <v>67666.5285158086</v>
      </c>
      <c r="N3" s="35">
        <f>(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轻击",$B$21,0))*(1+IF(VLOOKUP($R3,武学奇术!$A:$ZZ,30,FALSE)="老鼠",$B$22,0))*(1+$BW3))*(1+$BX3)</f>
        <v>44427.7930429665</v>
      </c>
      <c r="O3" s="35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轻击",$B$21,0))*(1+IF(VLOOKUP($R3,武学奇术!$A:$ZZ,30,FALSE)="老鼠",$B$22,0))*(1+$BW3)*(1+$BX3)</f>
        <v>29116.406418162</v>
      </c>
      <c r="P3" s="35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轻击",$B$21,0))*(1+IF(VLOOKUP($R3,武学奇术!$A:$ZZ,30,FALSE)="老鼠",$B$22,0))*(1+$BW3)*(1+$BX3)</f>
        <v>25323.3365082008</v>
      </c>
      <c r="Q3" s="36">
        <v>1</v>
      </c>
      <c r="R3" s="37" t="s">
        <v>78</v>
      </c>
      <c r="S3" s="37" t="s">
        <v>91</v>
      </c>
      <c r="T3" s="37" t="s">
        <v>80</v>
      </c>
      <c r="U3" s="37" t="s">
        <v>81</v>
      </c>
      <c r="V3" s="37" t="s">
        <v>81</v>
      </c>
      <c r="W3" s="37" t="s">
        <v>82</v>
      </c>
      <c r="X3" s="37" t="s">
        <v>81</v>
      </c>
      <c r="Y3" s="37" t="s">
        <v>81</v>
      </c>
      <c r="Z3" s="37" t="s">
        <v>83</v>
      </c>
      <c r="AA3" s="37" t="s">
        <v>81</v>
      </c>
      <c r="AB3" s="37" t="s">
        <v>81</v>
      </c>
      <c r="AC3" s="37" t="s">
        <v>81</v>
      </c>
      <c r="AD3" s="37" t="s">
        <v>85</v>
      </c>
      <c r="AE3" s="37" t="s">
        <v>86</v>
      </c>
      <c r="AF3" s="37" t="s">
        <v>81</v>
      </c>
      <c r="AG3" s="37" t="s">
        <v>87</v>
      </c>
      <c r="AH3" s="37" t="s">
        <v>81</v>
      </c>
      <c r="AI3" s="37" t="s">
        <v>81</v>
      </c>
      <c r="AJ3" s="37" t="s">
        <v>81</v>
      </c>
      <c r="AK3" s="37" t="s">
        <v>81</v>
      </c>
      <c r="AL3" s="37" t="s">
        <v>81</v>
      </c>
      <c r="AM3" t="str">
        <f>VLOOKUP($R3,武学奇术!$A:$ZZ,25,FALSE)</f>
        <v>群体奇术</v>
      </c>
      <c r="AN3" s="23">
        <f>VLOOKUP($R3,武学奇术!$A:$ZZ,26,FALSE)</f>
        <v>2.3774</v>
      </c>
      <c r="AO3" s="24">
        <f>VLOOKUP($R3,武学奇术!$A:$ZZ,27,FALSE)*(1+IF(OR($AM3=$F$4,$AM3=$F$5),$B$23,0))</f>
        <v>476</v>
      </c>
      <c r="AP3" s="23">
        <f>VLOOKUP($R3,武学奇术!$A:$ZZ,28,FALSE)</f>
        <v>3.5661</v>
      </c>
      <c r="AQ3" s="24">
        <f>VLOOKUP($R3,武学奇术!$A:$ZZ,29,FALSE)*(1+IF(OR($AM3=$F$4,$AM3=$F$5),$B$23,0))</f>
        <v>0</v>
      </c>
      <c r="AR3" s="23" cm="1">
        <f t="array" ref="AR3">$G$3+IFERROR(VLOOKUP($AM3,$F$4:$G$7,2,FALSE),0)+VLOOKUP($R3,武学奇术!$A:$ZZ,2,FALSE)+SUM(_xlfn.XLOOKUP($S3:$AL3,增益!$A:$A,增益!$B:$B,0))</f>
        <v>0.4042</v>
      </c>
      <c r="AS3" s="23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4013</v>
      </c>
      <c r="AU3" cm="1">
        <f t="array" ref="AU3">$E$10*(1+$AS3)+VLOOKUP($R3,武学奇术!$A:$ZZ,4,FALSE)+SUM(_xlfn.XLOOKUP($S3:$AL3,增益!$A:$A,增益!$D:$D,0))-$I$2</f>
        <v>4013</v>
      </c>
      <c r="AV3" s="29" cm="1">
        <f t="array" ref="AV3">IF($F$10-$I$3+VLOOKUP($R3,武学奇术!$A:$ZZ,6,FALSE)+SUM(_xlfn.XLOOKUP(S3:AL3,增益!$A:$A,增益!$F:$F,0))&gt;0,($F$10-$I$3+VLOOKUP($R3,武学奇术!$A:$ZZ,6,FALSE)+SUM(_xlfn.XLOOKUP(S3:AL3,增益!$A:$A,增益!$F:$F,0)))/200,($F$10-$I$3+VLOOKUP($R3,武学奇术!$A:$ZZ,6,FALSE)+SUM(_xlfn.XLOOKUP(S3:AL3,增益!$A:$A,增益!$F:$F,0)))/100)</f>
        <v>0.3689</v>
      </c>
      <c r="AW3" s="29" cm="1">
        <f t="array" ref="AW3">$G$10+VLOOKUP($R3,武学奇术!$A:$ZZ,7,FALSE)+SUM(_xlfn.XLOOKUP(S3:AL3,增益!$A:$A,增益!$G:$G,0))</f>
        <v>0</v>
      </c>
      <c r="AX3" s="23" cm="1">
        <f t="array" ref="AX3">VLOOKUP($R3,武学奇术!$A:$ZZ,8,FALSE)+SUM(_xlfn.XLOOKUP(S3:AL3,增益!$A:$A,增益!$H:$H,0))</f>
        <v>0</v>
      </c>
      <c r="AY3">
        <f t="shared" si="1"/>
        <v>0</v>
      </c>
      <c r="AZ3">
        <f t="shared" si="2"/>
        <v>0</v>
      </c>
      <c r="BA3" s="29" cm="1">
        <f t="array" ref="BA3">IF($F$11-$I$4+VLOOKUP($R3,武学奇术!$A:$ZZ,9,FALSE)+SUM(_xlfn.XLOOKUP(S3:AL3,增益!$A:$A,增益!$I:$I,0))&gt;0,($F$11-$I$4+VLOOKUP($R3,武学奇术!$A:$ZZ,9,FALSE)+SUM(_xlfn.XLOOKUP(S3:AL3,增益!$A:$A,增益!$I:$I,0)))/200,($F$11-$I$4+VLOOKUP($R3,武学奇术!$A:$ZZ,9,FALSE)+SUM(_xlfn.XLOOKUP(S3:AL3,增益!$A:$A,增益!$I:$I,0)))/100)</f>
        <v>-0.3</v>
      </c>
      <c r="BB3" s="29" cm="1">
        <f t="array" ref="BB3">$G$11+VLOOKUP($R3,武学奇术!$A:$ZZ,10,FALSE)+SUM(_xlfn.XLOOKUP(S3:AL3,增益!$A:$A,增益!$J:$J,0))</f>
        <v>0</v>
      </c>
      <c r="BC3">
        <f t="shared" si="3"/>
        <v>0</v>
      </c>
      <c r="BD3">
        <f t="shared" si="4"/>
        <v>0</v>
      </c>
      <c r="BE3" s="29" cm="1">
        <f t="array" ref="BE3">IF($F$12-$I$4+VLOOKUP($R3,武学奇术!$A:$ZZ,11,FALSE)+SUM(_xlfn.XLOOKUP(S3:AL3,增益!$A:$A,增益!$K:$K,0))&gt;0,($F$12-$I$4+VLOOKUP($R3,武学奇术!$A:$ZZ,11,FALSE)+SUM(_xlfn.XLOOKUP(S3:AL3,增益!$A:$A,增益!$K:$K,0)))/200,($F$12-$I$4+VLOOKUP($R3,武学奇术!$A:$ZZ,11,FALSE)+SUM(_xlfn.XLOOKUP(S3:AL3,增益!$A:$A,增益!$K:$K,0)))/100)</f>
        <v>-0.3</v>
      </c>
      <c r="BF3" s="29" cm="1">
        <f t="array" ref="BF3">$G$12+VLOOKUP($R3,武学奇术!$A:$ZZ,12,FALSE)+SUM(_xlfn.XLOOKUP(S3:AL3,增益!$A:$A,增益!$L:$L,0))</f>
        <v>0</v>
      </c>
      <c r="BG3">
        <f t="shared" si="5"/>
        <v>0</v>
      </c>
      <c r="BH3">
        <f t="shared" si="6"/>
        <v>0</v>
      </c>
      <c r="BI3" s="29" cm="1">
        <f t="array" ref="BI3">IF($F$13-$I$4+VLOOKUP($R3,武学奇术!$A:$ZZ,13,FALSE)+SUM(_xlfn.XLOOKUP(S3:AL3,增益!$A:$A,增益!$M:$M,0))&gt;0,($F$13-$I$4+VLOOKUP($R3,武学奇术!$A:$ZZ,13,FALSE)+SUM(_xlfn.XLOOKUP(S3:AL3,增益!$A:$A,增益!$K:$K,0)))/200,($F$13-$I$4+VLOOKUP($R3,武学奇术!$A:$ZZ,13,FALSE)+SUM(_xlfn.XLOOKUP(S3:AL3,增益!$A:$A,增益!$M:$M,0)))/100)</f>
        <v>-0.3</v>
      </c>
      <c r="BJ3" s="29" cm="1">
        <f t="array" ref="BJ3">$G$13+VLOOKUP($R3,武学奇术!$A:$ZZ,14,FALSE)+SUM(_xlfn.XLOOKUP(S3:AL3,增益!$A:$A,增益!$N:$N,0))</f>
        <v>0</v>
      </c>
      <c r="BK3">
        <f t="shared" si="7"/>
        <v>618.2</v>
      </c>
      <c r="BL3">
        <f t="shared" si="8"/>
        <v>1805</v>
      </c>
      <c r="BM3" s="29" cm="1">
        <f t="array" ref="BM3">IF($F$14-$I$4+VLOOKUP($R3,武学奇术!$A:$ZZ,15,FALSE)+SUM(_xlfn.XLOOKUP(S3:AL3,增益!$A:$A,增益!$O:$O,0))&gt;0,($F$14-$I$4+VLOOKUP($R3,武学奇术!$A:$ZZ,15,FALSE)+SUM(_xlfn.XLOOKUP(S3:AL3,增益!$A:$A,增益!$O:$O,0)))/200,($F$14-$I$4+VLOOKUP($R3,武学奇术!$A:$ZZ,15,FALSE)+SUM(_xlfn.XLOOKUP(S3:AL3,增益!$A:$A,增益!$O:$O,0)))/100)</f>
        <v>0</v>
      </c>
      <c r="BN3" s="29" cm="1">
        <f t="array" ref="BN3">$G$14+VLOOKUP($R3,武学奇术!$A:$ZZ,16,FALSE)+SUM(_xlfn.XLOOKUP(S3:AL3,增益!$A:$A,增益!$P:$P,0))</f>
        <v>0.15</v>
      </c>
      <c r="BO3" s="23">
        <f>MIN(IF(VLOOKUP($R3,武学奇术!$A:$ZZ,23,FALSE)=1,100%,$B$8),100%)</f>
        <v>0.9943</v>
      </c>
      <c r="BP3" s="23" cm="1">
        <f t="array" ref="BP3">IF(VLOOKUP($R3,武学奇术!$A:$ZZ,23,FALSE)=1,100%,MIN(80%,$B$9+VLOOKUP($R3,武学奇术!$A:$ZZ,17,FALSE)+SUM(_xlfn.XLOOKUP(S3:AL3,增益!$A:$A,增益!$Q:$Q,0)))+$B$11+SUM(_xlfn.XLOOKUP(S3:AL3,增益!$A:$A,增益!$U:$U,0)))*IF(VLOOKUP($R3,武学奇术!$A:$ZZ,24,FALSE)=1,0,1)</f>
        <v>0.887</v>
      </c>
      <c r="BQ3" s="23" cm="1">
        <f t="array" ref="BQ3">1+$B$13+VLOOKUP($R3,武学奇术!$A:$ZZ,18,FALSE)+SUM(_xlfn.XLOOKUP(S3:AL3,增益!$A:$A,增益!$R:$R,0))</f>
        <v>2.324</v>
      </c>
      <c r="BR3" s="23" cm="1">
        <f t="array" ref="BR3">IF(VLOOKUP($R3,武学奇术!$A:$ZZ,24,FALSE)=1,100%,MIN(40%,$B$10+VLOOKUP($R3,武学奇术!$A:$ZZ,19,FALSE)+SUM(_xlfn.XLOOKUP(S3:AL3,增益!$A:$A,增益!$S:$S,0)))+$B$12+SUM(_xlfn.XLOOKUP(S3:AL3,增益!$A:$A,增益!$V:$V,0)))*IF(VLOOKUP($R3,武学奇术!$A:$ZZ,23,FALSE)=1,0,1)</f>
        <v>0.0913</v>
      </c>
      <c r="BS3" s="23" cm="1">
        <f t="array" ref="BS3">1+$B$14+VLOOKUP($R3,武学奇术!$A:$ZZ,20,FALSE)+SUM(_xlfn.XLOOKUP(S3:AL3,增益!$A:$A,增益!$T:$T,0))</f>
        <v>1.35</v>
      </c>
      <c r="BT3" s="23">
        <f t="shared" si="9"/>
        <v>0.8819441</v>
      </c>
      <c r="BU3" s="23">
        <f t="shared" si="10"/>
        <v>0.0215763099999999</v>
      </c>
      <c r="BV3" s="23">
        <f>IF(VLOOKUP($R3,武学奇术!$A:$ZZ,22,FALSE)=1,0,(1-$BO3))*(1-$BR3)</f>
        <v>0.00517959000000003</v>
      </c>
      <c r="BW3" s="23" cm="1">
        <f t="array" ref="BW3">SUM(_xlfn.XLOOKUP(S3:AL3,增益!$A:$A,增益!$W:$W,0))+$I$5</f>
        <v>0.11</v>
      </c>
      <c r="BX3" s="23">
        <f>VLOOKUP($R3,武学奇术!$A:$ZZ,32,FALSE)</f>
        <v>0</v>
      </c>
      <c r="BY3" s="23" cm="1">
        <f t="array" ref="BY3">SUM(_xlfn.XLOOKUP($S3:$AL3,增益!$A:$A,增益!$X:$X,0))</f>
        <v>0</v>
      </c>
    </row>
    <row r="4" ht="14.25" spans="1:77">
      <c r="A4" s="48" t="s">
        <v>92</v>
      </c>
      <c r="B4" s="49"/>
      <c r="C4" s="49"/>
      <c r="D4" s="49"/>
      <c r="E4" s="50"/>
      <c r="F4" s="43" t="s">
        <v>93</v>
      </c>
      <c r="G4" s="47">
        <f>B15+B17</f>
        <v>0.1701</v>
      </c>
      <c r="H4" s="51" t="s">
        <v>94</v>
      </c>
      <c r="I4" s="15">
        <f>30</f>
        <v>30</v>
      </c>
      <c r="K4" s="35">
        <f>$L4*VLOOKUP($R4,武学奇术!$A:$ZZ,31,FALSE)</f>
        <v>66045.5432896051</v>
      </c>
      <c r="L4" s="35">
        <f t="shared" si="0"/>
        <v>64750.5326368678</v>
      </c>
      <c r="M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轻击",$B$21,0))*(1+IF(VLOOKUP($R4,武学奇术!$A:$ZZ,30,FALSE)="老鼠",$B$22,0))*(1+$BW4)*(1+$BX4)</f>
        <v>67957.6925799902</v>
      </c>
      <c r="N4" s="35">
        <f>(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轻击",$B$21,0))*(1+IF(VLOOKUP($R4,武学奇术!$A:$ZZ,30,FALSE)="老鼠",$B$22,0))*(1+$BW4))*(1+$BX4)</f>
        <v>44427.7930429665</v>
      </c>
      <c r="O4" s="35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轻击",$B$21,0))*(1+IF(VLOOKUP($R4,武学奇术!$A:$ZZ,30,FALSE)="老鼠",$B$22,0))*(1+$BW4)*(1+$BX4)</f>
        <v>29116.406418162</v>
      </c>
      <c r="P4" s="35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轻击",$B$21,0))*(1+IF(VLOOKUP($R4,武学奇术!$A:$ZZ,30,FALSE)="老鼠",$B$22,0))*(1+$BW4)*(1+$BX4)</f>
        <v>25323.3365082008</v>
      </c>
      <c r="Q4" s="36">
        <v>1</v>
      </c>
      <c r="R4" s="37" t="s">
        <v>78</v>
      </c>
      <c r="S4" s="37" t="s">
        <v>91</v>
      </c>
      <c r="T4" s="37" t="s">
        <v>95</v>
      </c>
      <c r="U4" s="37" t="s">
        <v>81</v>
      </c>
      <c r="V4" s="37" t="s">
        <v>81</v>
      </c>
      <c r="W4" s="37" t="s">
        <v>82</v>
      </c>
      <c r="X4" s="37" t="s">
        <v>81</v>
      </c>
      <c r="Y4" s="37" t="s">
        <v>81</v>
      </c>
      <c r="Z4" s="37" t="s">
        <v>83</v>
      </c>
      <c r="AA4" s="37" t="s">
        <v>81</v>
      </c>
      <c r="AB4" s="37" t="s">
        <v>81</v>
      </c>
      <c r="AC4" s="37" t="s">
        <v>81</v>
      </c>
      <c r="AD4" s="37" t="s">
        <v>85</v>
      </c>
      <c r="AE4" s="37" t="s">
        <v>86</v>
      </c>
      <c r="AF4" s="37" t="s">
        <v>81</v>
      </c>
      <c r="AG4" s="37" t="s">
        <v>87</v>
      </c>
      <c r="AH4" s="37" t="s">
        <v>81</v>
      </c>
      <c r="AI4" s="37" t="s">
        <v>81</v>
      </c>
      <c r="AJ4" s="37" t="s">
        <v>81</v>
      </c>
      <c r="AK4" s="37" t="s">
        <v>81</v>
      </c>
      <c r="AL4" s="37" t="s">
        <v>81</v>
      </c>
      <c r="AM4" t="str">
        <f>VLOOKUP($R4,武学奇术!$A:$ZZ,25,FALSE)</f>
        <v>群体奇术</v>
      </c>
      <c r="AN4" s="23">
        <f>VLOOKUP($R4,武学奇术!$A:$ZZ,26,FALSE)</f>
        <v>2.3774</v>
      </c>
      <c r="AO4" s="24">
        <f>VLOOKUP($R4,武学奇术!$A:$ZZ,27,FALSE)*(1+IF(OR($AM4=$F$4,$AM4=$F$5),$B$23,0))</f>
        <v>476</v>
      </c>
      <c r="AP4" s="23">
        <f>VLOOKUP($R4,武学奇术!$A:$ZZ,28,FALSE)</f>
        <v>3.5661</v>
      </c>
      <c r="AQ4" s="24">
        <f>VLOOKUP($R4,武学奇术!$A:$ZZ,29,FALSE)*(1+IF(OR($AM4=$F$4,$AM4=$F$5),$B$23,0))</f>
        <v>0</v>
      </c>
      <c r="AR4" s="23" cm="1">
        <f t="array" ref="AR4">$G$3+IFERROR(VLOOKUP($AM4,$F$4:$G$7,2,FALSE),0)+VLOOKUP($R4,武学奇术!$A:$ZZ,2,FALSE)+SUM(_xlfn.XLOOKUP($S4:$AL4,增益!$A:$A,增益!$B:$B,0))</f>
        <v>0.4042</v>
      </c>
      <c r="AS4" s="23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4013</v>
      </c>
      <c r="AU4" cm="1">
        <f t="array" ref="AU4">$E$10*(1+$AS4)+VLOOKUP($R4,武学奇术!$A:$ZZ,4,FALSE)+SUM(_xlfn.XLOOKUP($S4:$AL4,增益!$A:$A,增益!$D:$D,0))-$I$2</f>
        <v>4013</v>
      </c>
      <c r="AV4" s="29" cm="1">
        <f t="array" ref="AV4">IF($F$10-$I$3+VLOOKUP($R4,武学奇术!$A:$ZZ,6,FALSE)+SUM(_xlfn.XLOOKUP(S4:AL4,增益!$A:$A,增益!$F:$F,0))&gt;0,($F$10-$I$3+VLOOKUP($R4,武学奇术!$A:$ZZ,6,FALSE)+SUM(_xlfn.XLOOKUP(S4:AL4,增益!$A:$A,增益!$F:$F,0)))/200,($F$10-$I$3+VLOOKUP($R4,武学奇术!$A:$ZZ,6,FALSE)+SUM(_xlfn.XLOOKUP(S4:AL4,增益!$A:$A,增益!$F:$F,0)))/100)</f>
        <v>0.3689</v>
      </c>
      <c r="AW4" s="29" cm="1">
        <f t="array" ref="AW4">$G$10+VLOOKUP($R4,武学奇术!$A:$ZZ,7,FALSE)+SUM(_xlfn.XLOOKUP(S4:AL4,增益!$A:$A,增益!$G:$G,0))</f>
        <v>0</v>
      </c>
      <c r="AX4" s="23" cm="1">
        <f t="array" ref="AX4">VLOOKUP($R4,武学奇术!$A:$ZZ,8,FALSE)+SUM(_xlfn.XLOOKUP(S4:AL4,增益!$A:$A,增益!$H:$H,0))</f>
        <v>0</v>
      </c>
      <c r="AY4">
        <f t="shared" si="1"/>
        <v>0</v>
      </c>
      <c r="AZ4">
        <f t="shared" si="2"/>
        <v>0</v>
      </c>
      <c r="BA4" s="29" cm="1">
        <f t="array" ref="BA4">IF($F$11-$I$4+VLOOKUP($R4,武学奇术!$A:$ZZ,9,FALSE)+SUM(_xlfn.XLOOKUP(S4:AL4,增益!$A:$A,增益!$I:$I,0))&gt;0,($F$11-$I$4+VLOOKUP($R4,武学奇术!$A:$ZZ,9,FALSE)+SUM(_xlfn.XLOOKUP(S4:AL4,增益!$A:$A,增益!$I:$I,0)))/200,($F$11-$I$4+VLOOKUP($R4,武学奇术!$A:$ZZ,9,FALSE)+SUM(_xlfn.XLOOKUP(S4:AL4,增益!$A:$A,增益!$I:$I,0)))/100)</f>
        <v>-0.3</v>
      </c>
      <c r="BB4" s="29" cm="1">
        <f t="array" ref="BB4">$G$11+VLOOKUP($R4,武学奇术!$A:$ZZ,10,FALSE)+SUM(_xlfn.XLOOKUP(S4:AL4,增益!$A:$A,增益!$J:$J,0))</f>
        <v>0</v>
      </c>
      <c r="BC4">
        <f t="shared" si="3"/>
        <v>0</v>
      </c>
      <c r="BD4">
        <f t="shared" si="4"/>
        <v>0</v>
      </c>
      <c r="BE4" s="29" cm="1">
        <f t="array" ref="BE4">IF($F$12-$I$4+VLOOKUP($R4,武学奇术!$A:$ZZ,11,FALSE)+SUM(_xlfn.XLOOKUP(S4:AL4,增益!$A:$A,增益!$K:$K,0))&gt;0,($F$12-$I$4+VLOOKUP($R4,武学奇术!$A:$ZZ,11,FALSE)+SUM(_xlfn.XLOOKUP(S4:AL4,增益!$A:$A,增益!$K:$K,0)))/200,($F$12-$I$4+VLOOKUP($R4,武学奇术!$A:$ZZ,11,FALSE)+SUM(_xlfn.XLOOKUP(S4:AL4,增益!$A:$A,增益!$K:$K,0)))/100)</f>
        <v>-0.3</v>
      </c>
      <c r="BF4" s="29" cm="1">
        <f t="array" ref="BF4">$G$12+VLOOKUP($R4,武学奇术!$A:$ZZ,12,FALSE)+SUM(_xlfn.XLOOKUP(S4:AL4,增益!$A:$A,增益!$L:$L,0))</f>
        <v>0</v>
      </c>
      <c r="BG4">
        <f t="shared" si="5"/>
        <v>0</v>
      </c>
      <c r="BH4">
        <f t="shared" si="6"/>
        <v>0</v>
      </c>
      <c r="BI4" s="29" cm="1">
        <f t="array" ref="BI4">IF($F$13-$I$4+VLOOKUP($R4,武学奇术!$A:$ZZ,13,FALSE)+SUM(_xlfn.XLOOKUP(S4:AL4,增益!$A:$A,增益!$M:$M,0))&gt;0,($F$13-$I$4+VLOOKUP($R4,武学奇术!$A:$ZZ,13,FALSE)+SUM(_xlfn.XLOOKUP(S4:AL4,增益!$A:$A,增益!$K:$K,0)))/200,($F$13-$I$4+VLOOKUP($R4,武学奇术!$A:$ZZ,13,FALSE)+SUM(_xlfn.XLOOKUP(S4:AL4,增益!$A:$A,增益!$M:$M,0)))/100)</f>
        <v>-0.3</v>
      </c>
      <c r="BJ4" s="29" cm="1">
        <f t="array" ref="BJ4">$G$13+VLOOKUP($R4,武学奇术!$A:$ZZ,14,FALSE)+SUM(_xlfn.XLOOKUP(S4:AL4,增益!$A:$A,增益!$N:$N,0))</f>
        <v>0</v>
      </c>
      <c r="BK4">
        <f t="shared" si="7"/>
        <v>618.2</v>
      </c>
      <c r="BL4">
        <f t="shared" si="8"/>
        <v>1805</v>
      </c>
      <c r="BM4" s="29" cm="1">
        <f t="array" ref="BM4">IF($F$14-$I$4+VLOOKUP($R4,武学奇术!$A:$ZZ,15,FALSE)+SUM(_xlfn.XLOOKUP(S4:AL4,增益!$A:$A,增益!$O:$O,0))&gt;0,($F$14-$I$4+VLOOKUP($R4,武学奇术!$A:$ZZ,15,FALSE)+SUM(_xlfn.XLOOKUP(S4:AL4,增益!$A:$A,增益!$O:$O,0)))/200,($F$14-$I$4+VLOOKUP($R4,武学奇术!$A:$ZZ,15,FALSE)+SUM(_xlfn.XLOOKUP(S4:AL4,增益!$A:$A,增益!$O:$O,0)))/100)</f>
        <v>0</v>
      </c>
      <c r="BN4" s="29" cm="1">
        <f t="array" ref="BN4">$G$14+VLOOKUP($R4,武学奇术!$A:$ZZ,16,FALSE)+SUM(_xlfn.XLOOKUP(S4:AL4,增益!$A:$A,增益!$P:$P,0))</f>
        <v>0.15</v>
      </c>
      <c r="BO4" s="23">
        <f>MIN(IF(VLOOKUP($R4,武学奇术!$A:$ZZ,23,FALSE)=1,100%,$B$8),100%)</f>
        <v>0.9943</v>
      </c>
      <c r="BP4" s="23" cm="1">
        <f t="array" ref="BP4">IF(VLOOKUP($R4,武学奇术!$A:$ZZ,23,FALSE)=1,100%,MIN(80%,$B$9+VLOOKUP($R4,武学奇术!$A:$ZZ,17,FALSE)+SUM(_xlfn.XLOOKUP(S4:AL4,增益!$A:$A,增益!$Q:$Q,0)))+$B$11+SUM(_xlfn.XLOOKUP(S4:AL4,增益!$A:$A,增益!$U:$U,0)))*IF(VLOOKUP($R4,武学奇术!$A:$ZZ,24,FALSE)=1,0,1)</f>
        <v>0.887</v>
      </c>
      <c r="BQ4" s="23" cm="1">
        <f t="array" ref="BQ4">1+$B$13+VLOOKUP($R4,武学奇术!$A:$ZZ,18,FALSE)+SUM(_xlfn.XLOOKUP(S4:AL4,增益!$A:$A,增益!$R:$R,0))</f>
        <v>2.334</v>
      </c>
      <c r="BR4" s="23" cm="1">
        <f t="array" ref="BR4">IF(VLOOKUP($R4,武学奇术!$A:$ZZ,24,FALSE)=1,100%,MIN(40%,$B$10+VLOOKUP($R4,武学奇术!$A:$ZZ,19,FALSE)+SUM(_xlfn.XLOOKUP(S4:AL4,增益!$A:$A,增益!$S:$S,0)))+$B$12+SUM(_xlfn.XLOOKUP(S4:AL4,增益!$A:$A,增益!$V:$V,0)))*IF(VLOOKUP($R4,武学奇术!$A:$ZZ,23,FALSE)=1,0,1)</f>
        <v>0.0913</v>
      </c>
      <c r="BS4" s="23" cm="1">
        <f t="array" ref="BS4">1+$B$14+VLOOKUP($R4,武学奇术!$A:$ZZ,20,FALSE)+SUM(_xlfn.XLOOKUP(S4:AL4,增益!$A:$A,增益!$T:$T,0))</f>
        <v>1.35</v>
      </c>
      <c r="BT4" s="23">
        <f t="shared" si="9"/>
        <v>0.8819441</v>
      </c>
      <c r="BU4" s="23">
        <f t="shared" si="10"/>
        <v>0.0215763099999999</v>
      </c>
      <c r="BV4" s="23">
        <f>IF(VLOOKUP($R4,武学奇术!$A:$ZZ,22,FALSE)=1,0,(1-$BO4))*(1-$BR4)</f>
        <v>0.00517959000000003</v>
      </c>
      <c r="BW4" s="23" cm="1">
        <f t="array" ref="BW4">SUM(_xlfn.XLOOKUP(S4:AL4,增益!$A:$A,增益!$W:$W,0))+$I$5</f>
        <v>0.11</v>
      </c>
      <c r="BX4" s="23">
        <f>VLOOKUP($R4,武学奇术!$A:$ZZ,32,FALSE)</f>
        <v>0</v>
      </c>
      <c r="BY4" s="23" cm="1">
        <f t="array" ref="BY4">SUM(_xlfn.XLOOKUP($S4:$AL4,增益!$A:$A,增益!$X:$X,0))</f>
        <v>0</v>
      </c>
    </row>
    <row r="5" spans="1:77">
      <c r="A5" s="52" t="s">
        <v>96</v>
      </c>
      <c r="B5" s="53"/>
      <c r="C5" s="53"/>
      <c r="D5" s="53"/>
      <c r="E5" s="54"/>
      <c r="F5" s="43" t="s">
        <v>97</v>
      </c>
      <c r="G5" s="47">
        <f>B15+B18</f>
        <v>0.1701</v>
      </c>
      <c r="H5" t="s">
        <v>98</v>
      </c>
      <c r="I5" s="25">
        <v>0.06</v>
      </c>
      <c r="K5" s="35">
        <f>$L5*VLOOKUP($R5,武学奇术!$A:$ZZ,31,FALSE)</f>
        <v>66045.5432896051</v>
      </c>
      <c r="L5" s="35">
        <f t="shared" si="0"/>
        <v>64750.5326368678</v>
      </c>
      <c r="M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轻击",$B$21,0))*(1+IF(VLOOKUP($R5,武学奇术!$A:$ZZ,30,FALSE)="老鼠",$B$22,0))*(1+$BW5)*(1+$BX5)</f>
        <v>67957.6925799902</v>
      </c>
      <c r="N5" s="35">
        <f>(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轻击",$B$21,0))*(1+IF(VLOOKUP($R5,武学奇术!$A:$ZZ,30,FALSE)="老鼠",$B$22,0))*(1+$BW5))*(1+$BX5)</f>
        <v>44427.7930429665</v>
      </c>
      <c r="O5" s="35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轻击",$B$21,0))*(1+IF(VLOOKUP($R5,武学奇术!$A:$ZZ,30,FALSE)="老鼠",$B$22,0))*(1+$BW5)*(1+$BX5)</f>
        <v>29116.406418162</v>
      </c>
      <c r="P5" s="35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轻击",$B$21,0))*(1+IF(VLOOKUP($R5,武学奇术!$A:$ZZ,30,FALSE)="老鼠",$B$22,0))*(1+$BW5)*(1+$BX5)</f>
        <v>25323.3365082008</v>
      </c>
      <c r="Q5" s="36">
        <v>1</v>
      </c>
      <c r="R5" s="37" t="s">
        <v>78</v>
      </c>
      <c r="S5" s="37" t="s">
        <v>91</v>
      </c>
      <c r="T5" s="37" t="s">
        <v>95</v>
      </c>
      <c r="U5" s="37" t="s">
        <v>81</v>
      </c>
      <c r="V5" s="37" t="s">
        <v>81</v>
      </c>
      <c r="W5" s="37" t="s">
        <v>82</v>
      </c>
      <c r="X5" s="37" t="s">
        <v>81</v>
      </c>
      <c r="Y5" s="37" t="s">
        <v>81</v>
      </c>
      <c r="Z5" s="37" t="s">
        <v>83</v>
      </c>
      <c r="AA5" s="37" t="s">
        <v>81</v>
      </c>
      <c r="AB5" s="37" t="s">
        <v>81</v>
      </c>
      <c r="AC5" s="37" t="s">
        <v>81</v>
      </c>
      <c r="AD5" s="37" t="s">
        <v>85</v>
      </c>
      <c r="AE5" s="37" t="s">
        <v>86</v>
      </c>
      <c r="AF5" s="37" t="s">
        <v>81</v>
      </c>
      <c r="AG5" s="37" t="s">
        <v>87</v>
      </c>
      <c r="AH5" s="37" t="s">
        <v>81</v>
      </c>
      <c r="AI5" s="37" t="s">
        <v>81</v>
      </c>
      <c r="AJ5" s="37" t="s">
        <v>81</v>
      </c>
      <c r="AK5" s="37" t="s">
        <v>81</v>
      </c>
      <c r="AL5" s="37" t="s">
        <v>81</v>
      </c>
      <c r="AM5" t="str">
        <f>VLOOKUP($R5,武学奇术!$A:$ZZ,25,FALSE)</f>
        <v>群体奇术</v>
      </c>
      <c r="AN5" s="23">
        <f>VLOOKUP($R5,武学奇术!$A:$ZZ,26,FALSE)</f>
        <v>2.3774</v>
      </c>
      <c r="AO5" s="24">
        <f>VLOOKUP($R5,武学奇术!$A:$ZZ,27,FALSE)*(1+IF(OR($AM5=$F$4,$AM5=$F$5),$B$23,0))</f>
        <v>476</v>
      </c>
      <c r="AP5" s="23">
        <f>VLOOKUP($R5,武学奇术!$A:$ZZ,28,FALSE)</f>
        <v>3.5661</v>
      </c>
      <c r="AQ5" s="24">
        <f>VLOOKUP($R5,武学奇术!$A:$ZZ,29,FALSE)*(1+IF(OR($AM5=$F$4,$AM5=$F$5),$B$23,0))</f>
        <v>0</v>
      </c>
      <c r="AR5" s="23" cm="1">
        <f t="array" ref="AR5">$G$3+IFERROR(VLOOKUP($AM5,$F$4:$G$7,2,FALSE),0)+VLOOKUP($R5,武学奇术!$A:$ZZ,2,FALSE)+SUM(_xlfn.XLOOKUP($S5:$AL5,增益!$A:$A,增益!$B:$B,0))</f>
        <v>0.4042</v>
      </c>
      <c r="AS5" s="23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4013</v>
      </c>
      <c r="AU5" cm="1">
        <f t="array" ref="AU5">$E$10*(1+$AS5)+VLOOKUP($R5,武学奇术!$A:$ZZ,4,FALSE)+SUM(_xlfn.XLOOKUP($S5:$AL5,增益!$A:$A,增益!$D:$D,0))-$I$2</f>
        <v>4013</v>
      </c>
      <c r="AV5" s="29" cm="1">
        <f t="array" ref="AV5">IF($F$10-$I$3+VLOOKUP($R5,武学奇术!$A:$ZZ,6,FALSE)+SUM(_xlfn.XLOOKUP(S5:AL5,增益!$A:$A,增益!$F:$F,0))&gt;0,($F$10-$I$3+VLOOKUP($R5,武学奇术!$A:$ZZ,6,FALSE)+SUM(_xlfn.XLOOKUP(S5:AL5,增益!$A:$A,增益!$F:$F,0)))/200,($F$10-$I$3+VLOOKUP($R5,武学奇术!$A:$ZZ,6,FALSE)+SUM(_xlfn.XLOOKUP(S5:AL5,增益!$A:$A,增益!$F:$F,0)))/100)</f>
        <v>0.3689</v>
      </c>
      <c r="AW5" s="29" cm="1">
        <f t="array" ref="AW5">$G$10+VLOOKUP($R5,武学奇术!$A:$ZZ,7,FALSE)+SUM(_xlfn.XLOOKUP(S5:AL5,增益!$A:$A,增益!$G:$G,0))</f>
        <v>0</v>
      </c>
      <c r="AX5" s="23" cm="1">
        <f t="array" ref="AX5">VLOOKUP($R5,武学奇术!$A:$ZZ,8,FALSE)+SUM(_xlfn.XLOOKUP(S5:AL5,增益!$A:$A,增益!$H:$H,0))</f>
        <v>0</v>
      </c>
      <c r="AY5">
        <f t="shared" si="1"/>
        <v>0</v>
      </c>
      <c r="AZ5">
        <f t="shared" si="2"/>
        <v>0</v>
      </c>
      <c r="BA5" s="29" cm="1">
        <f t="array" ref="BA5">IF($F$11-$I$4+VLOOKUP($R5,武学奇术!$A:$ZZ,9,FALSE)+SUM(_xlfn.XLOOKUP(S5:AL5,增益!$A:$A,增益!$I:$I,0))&gt;0,($F$11-$I$4+VLOOKUP($R5,武学奇术!$A:$ZZ,9,FALSE)+SUM(_xlfn.XLOOKUP(S5:AL5,增益!$A:$A,增益!$I:$I,0)))/200,($F$11-$I$4+VLOOKUP($R5,武学奇术!$A:$ZZ,9,FALSE)+SUM(_xlfn.XLOOKUP(S5:AL5,增益!$A:$A,增益!$I:$I,0)))/100)</f>
        <v>-0.3</v>
      </c>
      <c r="BB5" s="29" cm="1">
        <f t="array" ref="BB5">$G$11+VLOOKUP($R5,武学奇术!$A:$ZZ,10,FALSE)+SUM(_xlfn.XLOOKUP(S5:AL5,增益!$A:$A,增益!$J:$J,0))</f>
        <v>0</v>
      </c>
      <c r="BC5">
        <f t="shared" si="3"/>
        <v>0</v>
      </c>
      <c r="BD5">
        <f t="shared" si="4"/>
        <v>0</v>
      </c>
      <c r="BE5" s="29" cm="1">
        <f t="array" ref="BE5">IF($F$12-$I$4+VLOOKUP($R5,武学奇术!$A:$ZZ,11,FALSE)+SUM(_xlfn.XLOOKUP(S5:AL5,增益!$A:$A,增益!$K:$K,0))&gt;0,($F$12-$I$4+VLOOKUP($R5,武学奇术!$A:$ZZ,11,FALSE)+SUM(_xlfn.XLOOKUP(S5:AL5,增益!$A:$A,增益!$K:$K,0)))/200,($F$12-$I$4+VLOOKUP($R5,武学奇术!$A:$ZZ,11,FALSE)+SUM(_xlfn.XLOOKUP(S5:AL5,增益!$A:$A,增益!$K:$K,0)))/100)</f>
        <v>-0.3</v>
      </c>
      <c r="BF5" s="29" cm="1">
        <f t="array" ref="BF5">$G$12+VLOOKUP($R5,武学奇术!$A:$ZZ,12,FALSE)+SUM(_xlfn.XLOOKUP(S5:AL5,增益!$A:$A,增益!$L:$L,0))</f>
        <v>0</v>
      </c>
      <c r="BG5">
        <f t="shared" si="5"/>
        <v>0</v>
      </c>
      <c r="BH5">
        <f t="shared" si="6"/>
        <v>0</v>
      </c>
      <c r="BI5" s="29" cm="1">
        <f t="array" ref="BI5">IF($F$13-$I$4+VLOOKUP($R5,武学奇术!$A:$ZZ,13,FALSE)+SUM(_xlfn.XLOOKUP(S5:AL5,增益!$A:$A,增益!$M:$M,0))&gt;0,($F$13-$I$4+VLOOKUP($R5,武学奇术!$A:$ZZ,13,FALSE)+SUM(_xlfn.XLOOKUP(S5:AL5,增益!$A:$A,增益!$K:$K,0)))/200,($F$13-$I$4+VLOOKUP($R5,武学奇术!$A:$ZZ,13,FALSE)+SUM(_xlfn.XLOOKUP(S5:AL5,增益!$A:$A,增益!$M:$M,0)))/100)</f>
        <v>-0.3</v>
      </c>
      <c r="BJ5" s="29" cm="1">
        <f t="array" ref="BJ5">$G$13+VLOOKUP($R5,武学奇术!$A:$ZZ,14,FALSE)+SUM(_xlfn.XLOOKUP(S5:AL5,增益!$A:$A,增益!$N:$N,0))</f>
        <v>0</v>
      </c>
      <c r="BK5">
        <f t="shared" si="7"/>
        <v>618.2</v>
      </c>
      <c r="BL5">
        <f t="shared" si="8"/>
        <v>1805</v>
      </c>
      <c r="BM5" s="29" cm="1">
        <f t="array" ref="BM5">IF($F$14-$I$4+VLOOKUP($R5,武学奇术!$A:$ZZ,15,FALSE)+SUM(_xlfn.XLOOKUP(S5:AL5,增益!$A:$A,增益!$O:$O,0))&gt;0,($F$14-$I$4+VLOOKUP($R5,武学奇术!$A:$ZZ,15,FALSE)+SUM(_xlfn.XLOOKUP(S5:AL5,增益!$A:$A,增益!$O:$O,0)))/200,($F$14-$I$4+VLOOKUP($R5,武学奇术!$A:$ZZ,15,FALSE)+SUM(_xlfn.XLOOKUP(S5:AL5,增益!$A:$A,增益!$O:$O,0)))/100)</f>
        <v>0</v>
      </c>
      <c r="BN5" s="29" cm="1">
        <f t="array" ref="BN5">$G$14+VLOOKUP($R5,武学奇术!$A:$ZZ,16,FALSE)+SUM(_xlfn.XLOOKUP(S5:AL5,增益!$A:$A,增益!$P:$P,0))</f>
        <v>0.15</v>
      </c>
      <c r="BO5" s="23">
        <f>MIN(IF(VLOOKUP($R5,武学奇术!$A:$ZZ,23,FALSE)=1,100%,$B$8),100%)</f>
        <v>0.9943</v>
      </c>
      <c r="BP5" s="23" cm="1">
        <f t="array" ref="BP5">IF(VLOOKUP($R5,武学奇术!$A:$ZZ,23,FALSE)=1,100%,MIN(80%,$B$9+VLOOKUP($R5,武学奇术!$A:$ZZ,17,FALSE)+SUM(_xlfn.XLOOKUP(S5:AL5,增益!$A:$A,增益!$Q:$Q,0)))+$B$11+SUM(_xlfn.XLOOKUP(S5:AL5,增益!$A:$A,增益!$U:$U,0)))*IF(VLOOKUP($R5,武学奇术!$A:$ZZ,24,FALSE)=1,0,1)</f>
        <v>0.887</v>
      </c>
      <c r="BQ5" s="23" cm="1">
        <f t="array" ref="BQ5">1+$B$13+VLOOKUP($R5,武学奇术!$A:$ZZ,18,FALSE)+SUM(_xlfn.XLOOKUP(S5:AL5,增益!$A:$A,增益!$R:$R,0))</f>
        <v>2.334</v>
      </c>
      <c r="BR5" s="23" cm="1">
        <f t="array" ref="BR5">IF(VLOOKUP($R5,武学奇术!$A:$ZZ,24,FALSE)=1,100%,MIN(40%,$B$10+VLOOKUP($R5,武学奇术!$A:$ZZ,19,FALSE)+SUM(_xlfn.XLOOKUP(S5:AL5,增益!$A:$A,增益!$S:$S,0)))+$B$12+SUM(_xlfn.XLOOKUP(S5:AL5,增益!$A:$A,增益!$V:$V,0)))*IF(VLOOKUP($R5,武学奇术!$A:$ZZ,23,FALSE)=1,0,1)</f>
        <v>0.0913</v>
      </c>
      <c r="BS5" s="23" cm="1">
        <f t="array" ref="BS5">1+$B$14+VLOOKUP($R5,武学奇术!$A:$ZZ,20,FALSE)+SUM(_xlfn.XLOOKUP(S5:AL5,增益!$A:$A,增益!$T:$T,0))</f>
        <v>1.35</v>
      </c>
      <c r="BT5" s="23">
        <f t="shared" si="9"/>
        <v>0.8819441</v>
      </c>
      <c r="BU5" s="23">
        <f t="shared" si="10"/>
        <v>0.0215763099999999</v>
      </c>
      <c r="BV5" s="23">
        <f>IF(VLOOKUP($R5,武学奇术!$A:$ZZ,22,FALSE)=1,0,(1-$BO5))*(1-$BR5)</f>
        <v>0.00517959000000003</v>
      </c>
      <c r="BW5" s="23" cm="1">
        <f t="array" ref="BW5">SUM(_xlfn.XLOOKUP(S5:AL5,增益!$A:$A,增益!$W:$W,0))+$I$5</f>
        <v>0.11</v>
      </c>
      <c r="BX5" s="23">
        <f>VLOOKUP($R5,武学奇术!$A:$ZZ,32,FALSE)</f>
        <v>0</v>
      </c>
      <c r="BY5" s="23" cm="1">
        <f t="array" ref="BY5">SUM(_xlfn.XLOOKUP($S5:$AL5,增益!$A:$A,增益!$X:$X,0))</f>
        <v>0</v>
      </c>
    </row>
    <row r="6" spans="1:77">
      <c r="A6" s="55" t="s">
        <v>5</v>
      </c>
      <c r="B6" s="56"/>
      <c r="C6" s="56"/>
      <c r="D6" s="56"/>
      <c r="E6" s="57"/>
      <c r="F6" s="43" t="s">
        <v>99</v>
      </c>
      <c r="G6" s="47">
        <f>B19</f>
        <v>0</v>
      </c>
      <c r="K6" s="35">
        <f>$L6*VLOOKUP($R6,武学奇术!$A:$ZZ,31,FALSE)</f>
        <v>66045.5432896051</v>
      </c>
      <c r="L6" s="58">
        <f t="shared" si="0"/>
        <v>64750.5326368678</v>
      </c>
      <c r="M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轻击",$B$21,0))*(1+IF(VLOOKUP($R6,武学奇术!$A:$ZZ,30,FALSE)="老鼠",$B$22,0))*(1+$BW6)*(1+$BX6)</f>
        <v>67957.6925799902</v>
      </c>
      <c r="N6" s="35">
        <f>(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轻击",$B$21,0))*(1+IF(VLOOKUP($R6,武学奇术!$A:$ZZ,30,FALSE)="老鼠",$B$22,0))*(1+$BW6))*(1+$BX6)</f>
        <v>44427.7930429665</v>
      </c>
      <c r="O6" s="35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轻击",$B$21,0))*(1+IF(VLOOKUP($R6,武学奇术!$A:$ZZ,30,FALSE)="老鼠",$B$22,0))*(1+$BW6)*(1+$BX6)</f>
        <v>29116.406418162</v>
      </c>
      <c r="P6" s="35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轻击",$B$21,0))*(1+IF(VLOOKUP($R6,武学奇术!$A:$ZZ,30,FALSE)="老鼠",$B$22,0))*(1+$BW6)*(1+$BX6)</f>
        <v>25323.3365082008</v>
      </c>
      <c r="Q6" s="36">
        <v>1</v>
      </c>
      <c r="R6" s="37" t="s">
        <v>78</v>
      </c>
      <c r="S6" s="37" t="s">
        <v>91</v>
      </c>
      <c r="T6" s="37" t="s">
        <v>95</v>
      </c>
      <c r="U6" s="37" t="s">
        <v>81</v>
      </c>
      <c r="V6" s="37" t="s">
        <v>81</v>
      </c>
      <c r="W6" s="37" t="s">
        <v>82</v>
      </c>
      <c r="X6" s="37" t="s">
        <v>81</v>
      </c>
      <c r="Y6" s="37" t="s">
        <v>81</v>
      </c>
      <c r="Z6" s="37" t="s">
        <v>83</v>
      </c>
      <c r="AA6" s="37" t="s">
        <v>81</v>
      </c>
      <c r="AB6" s="37" t="s">
        <v>81</v>
      </c>
      <c r="AC6" s="37" t="s">
        <v>81</v>
      </c>
      <c r="AD6" s="37" t="s">
        <v>85</v>
      </c>
      <c r="AE6" s="37" t="s">
        <v>86</v>
      </c>
      <c r="AF6" s="37" t="s">
        <v>81</v>
      </c>
      <c r="AG6" s="37" t="s">
        <v>87</v>
      </c>
      <c r="AH6" s="37" t="s">
        <v>81</v>
      </c>
      <c r="AI6" s="37" t="s">
        <v>81</v>
      </c>
      <c r="AJ6" s="37" t="s">
        <v>81</v>
      </c>
      <c r="AK6" s="37" t="s">
        <v>81</v>
      </c>
      <c r="AL6" s="37" t="s">
        <v>81</v>
      </c>
      <c r="AM6" t="str">
        <f>VLOOKUP($R6,武学奇术!$A:$ZZ,25,FALSE)</f>
        <v>群体奇术</v>
      </c>
      <c r="AN6" s="23">
        <f>VLOOKUP($R6,武学奇术!$A:$ZZ,26,FALSE)</f>
        <v>2.3774</v>
      </c>
      <c r="AO6" s="24">
        <f>VLOOKUP($R6,武学奇术!$A:$ZZ,27,FALSE)*(1+IF(OR($AM6=$F$4,$AM6=$F$5),$B$23,0))</f>
        <v>476</v>
      </c>
      <c r="AP6" s="23">
        <f>VLOOKUP($R6,武学奇术!$A:$ZZ,28,FALSE)</f>
        <v>3.5661</v>
      </c>
      <c r="AQ6" s="24">
        <f>VLOOKUP($R6,武学奇术!$A:$ZZ,29,FALSE)*(1+IF(OR($AM6=$F$4,$AM6=$F$5),$B$23,0))</f>
        <v>0</v>
      </c>
      <c r="AR6" s="23" cm="1">
        <f t="array" ref="AR6">$G$3+IFERROR(VLOOKUP($AM6,$F$4:$G$7,2,FALSE),0)+VLOOKUP($R6,武学奇术!$A:$ZZ,2,FALSE)+SUM(_xlfn.XLOOKUP($S6:$AL6,增益!$A:$A,增益!$B:$B,0))</f>
        <v>0.4042</v>
      </c>
      <c r="AS6" s="23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4013</v>
      </c>
      <c r="AU6" cm="1">
        <f t="array" ref="AU6">$E$10*(1+$AS6)+VLOOKUP($R6,武学奇术!$A:$ZZ,4,FALSE)+SUM(_xlfn.XLOOKUP($S6:$AL6,增益!$A:$A,增益!$D:$D,0))-$I$2</f>
        <v>4013</v>
      </c>
      <c r="AV6" s="29" cm="1">
        <f t="array" ref="AV6">IF($F$10-$I$3+VLOOKUP($R6,武学奇术!$A:$ZZ,6,FALSE)+SUM(_xlfn.XLOOKUP(S6:AL6,增益!$A:$A,增益!$F:$F,0))&gt;0,($F$10-$I$3+VLOOKUP($R6,武学奇术!$A:$ZZ,6,FALSE)+SUM(_xlfn.XLOOKUP(S6:AL6,增益!$A:$A,增益!$F:$F,0)))/200,($F$10-$I$3+VLOOKUP($R6,武学奇术!$A:$ZZ,6,FALSE)+SUM(_xlfn.XLOOKUP(S6:AL6,增益!$A:$A,增益!$F:$F,0)))/100)</f>
        <v>0.3689</v>
      </c>
      <c r="AW6" s="29" cm="1">
        <f t="array" ref="AW6">$G$10+VLOOKUP($R6,武学奇术!$A:$ZZ,7,FALSE)+SUM(_xlfn.XLOOKUP(S6:AL6,增益!$A:$A,增益!$G:$G,0))</f>
        <v>0</v>
      </c>
      <c r="AX6" s="23" cm="1">
        <f t="array" ref="AX6">VLOOKUP($R6,武学奇术!$A:$ZZ,8,FALSE)+SUM(_xlfn.XLOOKUP(S6:AL6,增益!$A:$A,增益!$H:$H,0))</f>
        <v>0</v>
      </c>
      <c r="AY6">
        <f t="shared" si="1"/>
        <v>0</v>
      </c>
      <c r="AZ6">
        <f t="shared" si="2"/>
        <v>0</v>
      </c>
      <c r="BA6" s="29" cm="1">
        <f t="array" ref="BA6">IF($F$11-$I$4+VLOOKUP($R6,武学奇术!$A:$ZZ,9,FALSE)+SUM(_xlfn.XLOOKUP(S6:AL6,增益!$A:$A,增益!$I:$I,0))&gt;0,($F$11-$I$4+VLOOKUP($R6,武学奇术!$A:$ZZ,9,FALSE)+SUM(_xlfn.XLOOKUP(S6:AL6,增益!$A:$A,增益!$I:$I,0)))/200,($F$11-$I$4+VLOOKUP($R6,武学奇术!$A:$ZZ,9,FALSE)+SUM(_xlfn.XLOOKUP(S6:AL6,增益!$A:$A,增益!$I:$I,0)))/100)</f>
        <v>-0.3</v>
      </c>
      <c r="BB6" s="29" cm="1">
        <f t="array" ref="BB6">$G$11+VLOOKUP($R6,武学奇术!$A:$ZZ,10,FALSE)+SUM(_xlfn.XLOOKUP(S6:AL6,增益!$A:$A,增益!$J:$J,0))</f>
        <v>0</v>
      </c>
      <c r="BC6">
        <f t="shared" si="3"/>
        <v>0</v>
      </c>
      <c r="BD6">
        <f t="shared" si="4"/>
        <v>0</v>
      </c>
      <c r="BE6" s="29" cm="1">
        <f t="array" ref="BE6">IF($F$12-$I$4+VLOOKUP($R6,武学奇术!$A:$ZZ,11,FALSE)+SUM(_xlfn.XLOOKUP(S6:AL6,增益!$A:$A,增益!$K:$K,0))&gt;0,($F$12-$I$4+VLOOKUP($R6,武学奇术!$A:$ZZ,11,FALSE)+SUM(_xlfn.XLOOKUP(S6:AL6,增益!$A:$A,增益!$K:$K,0)))/200,($F$12-$I$4+VLOOKUP($R6,武学奇术!$A:$ZZ,11,FALSE)+SUM(_xlfn.XLOOKUP(S6:AL6,增益!$A:$A,增益!$K:$K,0)))/100)</f>
        <v>-0.3</v>
      </c>
      <c r="BF6" s="29" cm="1">
        <f t="array" ref="BF6">$G$12+VLOOKUP($R6,武学奇术!$A:$ZZ,12,FALSE)+SUM(_xlfn.XLOOKUP(S6:AL6,增益!$A:$A,增益!$L:$L,0))</f>
        <v>0</v>
      </c>
      <c r="BG6">
        <f t="shared" si="5"/>
        <v>0</v>
      </c>
      <c r="BH6">
        <f t="shared" si="6"/>
        <v>0</v>
      </c>
      <c r="BI6" s="29" cm="1">
        <f t="array" ref="BI6">IF($F$13-$I$4+VLOOKUP($R6,武学奇术!$A:$ZZ,13,FALSE)+SUM(_xlfn.XLOOKUP(S6:AL6,增益!$A:$A,增益!$M:$M,0))&gt;0,($F$13-$I$4+VLOOKUP($R6,武学奇术!$A:$ZZ,13,FALSE)+SUM(_xlfn.XLOOKUP(S6:AL6,增益!$A:$A,增益!$K:$K,0)))/200,($F$13-$I$4+VLOOKUP($R6,武学奇术!$A:$ZZ,13,FALSE)+SUM(_xlfn.XLOOKUP(S6:AL6,增益!$A:$A,增益!$M:$M,0)))/100)</f>
        <v>-0.3</v>
      </c>
      <c r="BJ6" s="29" cm="1">
        <f t="array" ref="BJ6">$G$13+VLOOKUP($R6,武学奇术!$A:$ZZ,14,FALSE)+SUM(_xlfn.XLOOKUP(S6:AL6,增益!$A:$A,增益!$N:$N,0))</f>
        <v>0</v>
      </c>
      <c r="BK6">
        <f t="shared" si="7"/>
        <v>618.2</v>
      </c>
      <c r="BL6">
        <f t="shared" si="8"/>
        <v>1805</v>
      </c>
      <c r="BM6" s="29" cm="1">
        <f t="array" ref="BM6">IF($F$14-$I$4+VLOOKUP($R6,武学奇术!$A:$ZZ,15,FALSE)+SUM(_xlfn.XLOOKUP(S6:AL6,增益!$A:$A,增益!$O:$O,0))&gt;0,($F$14-$I$4+VLOOKUP($R6,武学奇术!$A:$ZZ,15,FALSE)+SUM(_xlfn.XLOOKUP(S6:AL6,增益!$A:$A,增益!$O:$O,0)))/200,($F$14-$I$4+VLOOKUP($R6,武学奇术!$A:$ZZ,15,FALSE)+SUM(_xlfn.XLOOKUP(S6:AL6,增益!$A:$A,增益!$O:$O,0)))/100)</f>
        <v>0</v>
      </c>
      <c r="BN6" s="29" cm="1">
        <f t="array" ref="BN6">$G$14+VLOOKUP($R6,武学奇术!$A:$ZZ,16,FALSE)+SUM(_xlfn.XLOOKUP(S6:AL6,增益!$A:$A,增益!$P:$P,0))</f>
        <v>0.15</v>
      </c>
      <c r="BO6" s="23">
        <f>MIN(IF(VLOOKUP($R6,武学奇术!$A:$ZZ,23,FALSE)=1,100%,$B$8),100%)</f>
        <v>0.9943</v>
      </c>
      <c r="BP6" s="23" cm="1">
        <f t="array" ref="BP6">IF(VLOOKUP($R6,武学奇术!$A:$ZZ,23,FALSE)=1,100%,MIN(80%,$B$9+VLOOKUP($R6,武学奇术!$A:$ZZ,17,FALSE)+SUM(_xlfn.XLOOKUP(S6:AL6,增益!$A:$A,增益!$Q:$Q,0)))+$B$11+SUM(_xlfn.XLOOKUP(S6:AL6,增益!$A:$A,增益!$U:$U,0)))*IF(VLOOKUP($R6,武学奇术!$A:$ZZ,24,FALSE)=1,0,1)</f>
        <v>0.887</v>
      </c>
      <c r="BQ6" s="23" cm="1">
        <f t="array" ref="BQ6">1+$B$13+VLOOKUP($R6,武学奇术!$A:$ZZ,18,FALSE)+SUM(_xlfn.XLOOKUP(S6:AL6,增益!$A:$A,增益!$R:$R,0))</f>
        <v>2.334</v>
      </c>
      <c r="BR6" s="23" cm="1">
        <f t="array" ref="BR6">IF(VLOOKUP($R6,武学奇术!$A:$ZZ,24,FALSE)=1,100%,MIN(40%,$B$10+VLOOKUP($R6,武学奇术!$A:$ZZ,19,FALSE)+SUM(_xlfn.XLOOKUP(S6:AL6,增益!$A:$A,增益!$S:$S,0)))+$B$12+SUM(_xlfn.XLOOKUP(S6:AL6,增益!$A:$A,增益!$V:$V,0)))*IF(VLOOKUP($R6,武学奇术!$A:$ZZ,23,FALSE)=1,0,1)</f>
        <v>0.0913</v>
      </c>
      <c r="BS6" s="23" cm="1">
        <f t="array" ref="BS6">1+$B$14+VLOOKUP($R6,武学奇术!$A:$ZZ,20,FALSE)+SUM(_xlfn.XLOOKUP(S6:AL6,增益!$A:$A,增益!$T:$T,0))</f>
        <v>1.35</v>
      </c>
      <c r="BT6" s="23">
        <f t="shared" si="9"/>
        <v>0.8819441</v>
      </c>
      <c r="BU6" s="23">
        <f t="shared" si="10"/>
        <v>0.0215763099999999</v>
      </c>
      <c r="BV6" s="23">
        <f>IF(VLOOKUP($R6,武学奇术!$A:$ZZ,22,FALSE)=1,0,(1-$BO6))*(1-$BR6)</f>
        <v>0.00517959000000003</v>
      </c>
      <c r="BW6" s="23" cm="1">
        <f t="array" ref="BW6">SUM(_xlfn.XLOOKUP(S6:AL6,增益!$A:$A,增益!$W:$W,0))+$I$5</f>
        <v>0.11</v>
      </c>
      <c r="BX6" s="23">
        <f>VLOOKUP($R6,武学奇术!$A:$ZZ,32,FALSE)</f>
        <v>0</v>
      </c>
      <c r="BY6" s="23" cm="1">
        <f t="array" ref="BY6">SUM(_xlfn.XLOOKUP($S6:$AL6,增益!$A:$A,增益!$X:$X,0))</f>
        <v>0</v>
      </c>
    </row>
    <row r="7" ht="14.25" spans="1:77">
      <c r="A7" s="39" t="s">
        <v>100</v>
      </c>
      <c r="B7" s="59"/>
      <c r="C7" s="60"/>
      <c r="D7" s="61"/>
      <c r="E7" s="62"/>
      <c r="F7" s="51" t="s">
        <v>101</v>
      </c>
      <c r="G7" s="63">
        <f>B20</f>
        <v>0</v>
      </c>
      <c r="K7" s="35">
        <f>$L7*VLOOKUP($R7,武学奇术!$A:$ZZ,31,FALSE)</f>
        <v>1116.32437737281</v>
      </c>
      <c r="L7" s="58">
        <f t="shared" si="0"/>
        <v>1094.435664091</v>
      </c>
      <c r="M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轻击",$B$21,0))*(1+IF(VLOOKUP($R7,武学奇术!$A:$ZZ,30,FALSE)="老鼠",$B$22,0))*(1+$BW7)*(1+$BX7)</f>
        <v>1141.63322684681</v>
      </c>
      <c r="N7" s="35">
        <f>(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轻击",$B$21,0))*(1+IF(VLOOKUP($R7,武学奇术!$A:$ZZ,30,FALSE)="老鼠",$B$22,0))*(1+$BW7))*(1+$BX7)</f>
        <v>1129.16804585843</v>
      </c>
      <c r="O7" s="35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轻击",$B$21,0))*(1+IF(VLOOKUP($R7,武学奇术!$A:$ZZ,30,FALSE)="老鼠",$B$22,0))*(1+$BW7)*(1+$BX7)</f>
        <v>739.399758320471</v>
      </c>
      <c r="P7" s="35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轻击",$B$21,0))*(1+IF(VLOOKUP($R7,武学奇术!$A:$ZZ,30,FALSE)="老鼠",$B$22,0))*(1+$BW7)*(1+$BX7)</f>
        <v>642.378741930995</v>
      </c>
      <c r="Q7" s="36">
        <v>1</v>
      </c>
      <c r="R7" s="37" t="s">
        <v>102</v>
      </c>
      <c r="S7" s="37" t="s">
        <v>81</v>
      </c>
      <c r="T7" s="37" t="s">
        <v>81</v>
      </c>
      <c r="U7" s="37" t="s">
        <v>81</v>
      </c>
      <c r="V7" s="37" t="s">
        <v>81</v>
      </c>
      <c r="W7" s="37" t="s">
        <v>82</v>
      </c>
      <c r="X7" s="37" t="s">
        <v>81</v>
      </c>
      <c r="Y7" s="37" t="s">
        <v>81</v>
      </c>
      <c r="Z7" s="37" t="s">
        <v>81</v>
      </c>
      <c r="AA7" s="37" t="s">
        <v>81</v>
      </c>
      <c r="AB7" s="37" t="s">
        <v>81</v>
      </c>
      <c r="AC7" s="37" t="s">
        <v>81</v>
      </c>
      <c r="AD7" s="37" t="s">
        <v>81</v>
      </c>
      <c r="AE7" s="37" t="s">
        <v>81</v>
      </c>
      <c r="AF7" s="37" t="s">
        <v>81</v>
      </c>
      <c r="AG7" s="37" t="s">
        <v>87</v>
      </c>
      <c r="AH7" s="37" t="s">
        <v>81</v>
      </c>
      <c r="AI7" s="37" t="s">
        <v>81</v>
      </c>
      <c r="AJ7" s="37" t="s">
        <v>81</v>
      </c>
      <c r="AK7" s="37" t="s">
        <v>81</v>
      </c>
      <c r="AL7" s="37" t="s">
        <v>81</v>
      </c>
      <c r="AM7" t="str">
        <f>VLOOKUP($R7,武学奇术!$A:$ZZ,25,FALSE)</f>
        <v>绳镖</v>
      </c>
      <c r="AN7" s="23">
        <f>VLOOKUP($R7,武学奇术!$A:$ZZ,26,FALSE)</f>
        <v>0.0621</v>
      </c>
      <c r="AO7" s="24">
        <f>VLOOKUP($R7,武学奇术!$A:$ZZ,27,FALSE)*(1+IF(OR($AM7=$F$4,$AM7=$F$5),$B$23,0))</f>
        <v>27.2</v>
      </c>
      <c r="AP7" s="23">
        <f>VLOOKUP($R7,武学奇术!$A:$ZZ,28,FALSE)</f>
        <v>0.0932</v>
      </c>
      <c r="AQ7" s="24">
        <f>VLOOKUP($R7,武学奇术!$A:$ZZ,29,FALSE)*(1+IF(OR($AM7=$F$4,$AM7=$F$5),$B$23,0))</f>
        <v>14.4</v>
      </c>
      <c r="AR7" s="23" cm="1">
        <f t="array" ref="AR7">$G$3+IFERROR(VLOOKUP($AM7,$F$4:$G$7,2,FALSE),0)+VLOOKUP($R7,武学奇术!$A:$ZZ,2,FALSE)+SUM(_xlfn.XLOOKUP($S7:$AL7,增益!$A:$A,增益!$B:$B,0))</f>
        <v>0.3743</v>
      </c>
      <c r="AS7" s="23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4013</v>
      </c>
      <c r="AU7" cm="1">
        <f t="array" ref="AU7">$E$10*(1+$AS7)+VLOOKUP($R7,武学奇术!$A:$ZZ,4,FALSE)+SUM(_xlfn.XLOOKUP($S7:$AL7,增益!$A:$A,增益!$D:$D,0))-$I$2</f>
        <v>4013</v>
      </c>
      <c r="AV7" s="29" cm="1">
        <f t="array" ref="AV7">IF($F$10-$I$3+VLOOKUP($R7,武学奇术!$A:$ZZ,6,FALSE)+SUM(_xlfn.XLOOKUP(S7:AL7,增益!$A:$A,增益!$F:$F,0))&gt;0,($F$10-$I$3+VLOOKUP($R7,武学奇术!$A:$ZZ,6,FALSE)+SUM(_xlfn.XLOOKUP(S7:AL7,增益!$A:$A,增益!$F:$F,0)))/200,($F$10-$I$3+VLOOKUP($R7,武学奇术!$A:$ZZ,6,FALSE)+SUM(_xlfn.XLOOKUP(S7:AL7,增益!$A:$A,增益!$F:$F,0)))/100)</f>
        <v>0.1939</v>
      </c>
      <c r="AW7" s="29" cm="1">
        <f t="array" ref="AW7">$G$10+VLOOKUP($R7,武学奇术!$A:$ZZ,7,FALSE)+SUM(_xlfn.XLOOKUP(S7:AL7,增益!$A:$A,增益!$G:$G,0))</f>
        <v>0</v>
      </c>
      <c r="AX7" s="23" cm="1">
        <f t="array" ref="AX7">VLOOKUP($R7,武学奇术!$A:$ZZ,8,FALSE)+SUM(_xlfn.XLOOKUP(S7:AL7,增益!$A:$A,增益!$H:$H,0))</f>
        <v>0</v>
      </c>
      <c r="AY7">
        <f t="shared" si="1"/>
        <v>0</v>
      </c>
      <c r="AZ7">
        <f t="shared" si="2"/>
        <v>0</v>
      </c>
      <c r="BA7" s="29" cm="1">
        <f t="array" ref="BA7">IF($F$11-$I$4+VLOOKUP($R7,武学奇术!$A:$ZZ,9,FALSE)+SUM(_xlfn.XLOOKUP(S7:AL7,增益!$A:$A,增益!$I:$I,0))&gt;0,($F$11-$I$4+VLOOKUP($R7,武学奇术!$A:$ZZ,9,FALSE)+SUM(_xlfn.XLOOKUP(S7:AL7,增益!$A:$A,增益!$I:$I,0)))/200,($F$11-$I$4+VLOOKUP($R7,武学奇术!$A:$ZZ,9,FALSE)+SUM(_xlfn.XLOOKUP(S7:AL7,增益!$A:$A,增益!$I:$I,0)))/100)</f>
        <v>-0.3</v>
      </c>
      <c r="BB7" s="29" cm="1">
        <f t="array" ref="BB7">$G$11+VLOOKUP($R7,武学奇术!$A:$ZZ,10,FALSE)+SUM(_xlfn.XLOOKUP(S7:AL7,增益!$A:$A,增益!$J:$J,0))</f>
        <v>0</v>
      </c>
      <c r="BC7">
        <f t="shared" si="3"/>
        <v>0</v>
      </c>
      <c r="BD7">
        <f t="shared" si="4"/>
        <v>0</v>
      </c>
      <c r="BE7" s="29" cm="1">
        <f t="array" ref="BE7">IF($F$12-$I$4+VLOOKUP($R7,武学奇术!$A:$ZZ,11,FALSE)+SUM(_xlfn.XLOOKUP(S7:AL7,增益!$A:$A,增益!$K:$K,0))&gt;0,($F$12-$I$4+VLOOKUP($R7,武学奇术!$A:$ZZ,11,FALSE)+SUM(_xlfn.XLOOKUP(S7:AL7,增益!$A:$A,增益!$K:$K,0)))/200,($F$12-$I$4+VLOOKUP($R7,武学奇术!$A:$ZZ,11,FALSE)+SUM(_xlfn.XLOOKUP(S7:AL7,增益!$A:$A,增益!$K:$K,0)))/100)</f>
        <v>-0.3</v>
      </c>
      <c r="BF7" s="29" cm="1">
        <f t="array" ref="BF7">$G$12+VLOOKUP($R7,武学奇术!$A:$ZZ,12,FALSE)+SUM(_xlfn.XLOOKUP(S7:AL7,增益!$A:$A,增益!$L:$L,0))</f>
        <v>0</v>
      </c>
      <c r="BG7">
        <f t="shared" si="5"/>
        <v>0</v>
      </c>
      <c r="BH7">
        <f t="shared" si="6"/>
        <v>0</v>
      </c>
      <c r="BI7" s="29" cm="1">
        <f t="array" ref="BI7">IF($F$13-$I$4+VLOOKUP($R7,武学奇术!$A:$ZZ,13,FALSE)+SUM(_xlfn.XLOOKUP(S7:AL7,增益!$A:$A,增益!$M:$M,0))&gt;0,($F$13-$I$4+VLOOKUP($R7,武学奇术!$A:$ZZ,13,FALSE)+SUM(_xlfn.XLOOKUP(S7:AL7,增益!$A:$A,增益!$K:$K,0)))/200,($F$13-$I$4+VLOOKUP($R7,武学奇术!$A:$ZZ,13,FALSE)+SUM(_xlfn.XLOOKUP(S7:AL7,增益!$A:$A,增益!$M:$M,0)))/100)</f>
        <v>-0.3</v>
      </c>
      <c r="BJ7" s="29" cm="1">
        <f t="array" ref="BJ7">$G$13+VLOOKUP($R7,武学奇术!$A:$ZZ,14,FALSE)+SUM(_xlfn.XLOOKUP(S7:AL7,增益!$A:$A,增益!$N:$N,0))</f>
        <v>0</v>
      </c>
      <c r="BK7">
        <f t="shared" si="7"/>
        <v>618.2</v>
      </c>
      <c r="BL7">
        <f t="shared" si="8"/>
        <v>1805</v>
      </c>
      <c r="BM7" s="29" cm="1">
        <f t="array" ref="BM7">IF($F$14-$I$4+VLOOKUP($R7,武学奇术!$A:$ZZ,15,FALSE)+SUM(_xlfn.XLOOKUP(S7:AL7,增益!$A:$A,增益!$O:$O,0))&gt;0,($F$14-$I$4+VLOOKUP($R7,武学奇术!$A:$ZZ,15,FALSE)+SUM(_xlfn.XLOOKUP(S7:AL7,增益!$A:$A,增益!$O:$O,0)))/200,($F$14-$I$4+VLOOKUP($R7,武学奇术!$A:$ZZ,15,FALSE)+SUM(_xlfn.XLOOKUP(S7:AL7,增益!$A:$A,增益!$O:$O,0)))/100)</f>
        <v>0</v>
      </c>
      <c r="BN7" s="29" cm="1">
        <f t="array" ref="BN7">$G$14+VLOOKUP($R7,武学奇术!$A:$ZZ,16,FALSE)+SUM(_xlfn.XLOOKUP(S7:AL7,增益!$A:$A,增益!$P:$P,0))</f>
        <v>0.15</v>
      </c>
      <c r="BO7" s="23">
        <f>MIN(IF(VLOOKUP($R7,武学奇术!$A:$ZZ,23,FALSE)=1,100%,$B$8),100%)</f>
        <v>0.9943</v>
      </c>
      <c r="BP7" s="23" cm="1">
        <f t="array" ref="BP7">IF(VLOOKUP($R7,武学奇术!$A:$ZZ,23,FALSE)=1,100%,MIN(80%,$B$9+VLOOKUP($R7,武学奇术!$A:$ZZ,17,FALSE)+SUM(_xlfn.XLOOKUP(S7:AL7,增益!$A:$A,增益!$Q:$Q,0)))+$B$11+SUM(_xlfn.XLOOKUP(S7:AL7,增益!$A:$A,增益!$U:$U,0)))*IF(VLOOKUP($R7,武学奇术!$A:$ZZ,24,FALSE)=1,0,1)</f>
        <v>0.8</v>
      </c>
      <c r="BQ7" s="23" cm="1">
        <f t="array" ref="BQ7">1+$B$13+VLOOKUP($R7,武学奇术!$A:$ZZ,18,FALSE)+SUM(_xlfn.XLOOKUP(S7:AL7,增益!$A:$A,增益!$R:$R,0))</f>
        <v>1.544</v>
      </c>
      <c r="BR7" s="23" cm="1">
        <f t="array" ref="BR7">IF(VLOOKUP($R7,武学奇术!$A:$ZZ,24,FALSE)=1,100%,MIN(40%,$B$10+VLOOKUP($R7,武学奇术!$A:$ZZ,19,FALSE)+SUM(_xlfn.XLOOKUP(S7:AL7,增益!$A:$A,增益!$S:$S,0)))+$B$12+SUM(_xlfn.XLOOKUP(S7:AL7,增益!$A:$A,增益!$V:$V,0)))*IF(VLOOKUP($R7,武学奇术!$A:$ZZ,23,FALSE)=1,0,1)</f>
        <v>0.0913</v>
      </c>
      <c r="BS7" s="23" cm="1">
        <f t="array" ref="BS7">1+$B$14+VLOOKUP($R7,武学奇术!$A:$ZZ,20,FALSE)+SUM(_xlfn.XLOOKUP(S7:AL7,增益!$A:$A,增益!$T:$T,0))</f>
        <v>1.35</v>
      </c>
      <c r="BT7" s="23">
        <f t="shared" si="9"/>
        <v>0.79544</v>
      </c>
      <c r="BU7" s="23">
        <f t="shared" si="10"/>
        <v>0.10808041</v>
      </c>
      <c r="BV7" s="23">
        <f>IF(VLOOKUP($R7,武学奇术!$A:$ZZ,22,FALSE)=1,0,(1-$BO7))*(1-$BR7)</f>
        <v>0.00517959000000003</v>
      </c>
      <c r="BW7" s="23" cm="1">
        <f t="array" ref="BW7">SUM(_xlfn.XLOOKUP(S7:AL7,增益!$A:$A,增益!$W:$W,0))+$I$5</f>
        <v>0.11</v>
      </c>
      <c r="BX7" s="23">
        <f>VLOOKUP($R7,武学奇术!$A:$ZZ,32,FALSE)</f>
        <v>0</v>
      </c>
      <c r="BY7" s="23" cm="1">
        <f t="array" ref="BY7">SUM(_xlfn.XLOOKUP($S7:$AL7,增益!$A:$A,增益!$X:$X,0))</f>
        <v>0</v>
      </c>
    </row>
    <row r="8" spans="1:77">
      <c r="A8" s="64" t="s">
        <v>103</v>
      </c>
      <c r="B8" s="65">
        <f>期望!B8</f>
        <v>0.9943</v>
      </c>
      <c r="C8" s="66" t="s">
        <v>104</v>
      </c>
      <c r="D8" s="66"/>
      <c r="E8" s="66"/>
      <c r="F8" s="66"/>
      <c r="G8" s="34"/>
      <c r="H8" s="67" t="s">
        <v>105</v>
      </c>
      <c r="I8" s="19">
        <f>期望!I8</f>
        <v>88.5</v>
      </c>
      <c r="J8" s="68"/>
      <c r="K8" s="35">
        <f>$L8*VLOOKUP($R8,武学奇术!$A:$ZZ,31,FALSE)</f>
        <v>16441.4962849013</v>
      </c>
      <c r="L8" s="69">
        <f t="shared" si="0"/>
        <v>16119.1140048052</v>
      </c>
      <c r="M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轻击",$B$21,0))*(1+IF(VLOOKUP($R8,武学奇术!$A:$ZZ,30,FALSE)="老鼠",$B$22,0))*(1+$BW8)*(1+$BX8)</f>
        <v>16814.2934078738</v>
      </c>
      <c r="N8" s="35">
        <f>(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轻击",$B$21,0))*(1+IF(VLOOKUP($R8,武学奇术!$A:$ZZ,30,FALSE)="老鼠",$B$22,0))*(1+$BW8))*(1+$BX8)</f>
        <v>16725.1364658856</v>
      </c>
      <c r="O8" s="35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轻击",$B$21,0))*(1+IF(VLOOKUP($R8,武学奇术!$A:$ZZ,30,FALSE)="老鼠",$B$22,0))*(1+$BW8)*(1+$BX8)</f>
        <v>10820.0086279754</v>
      </c>
      <c r="P8" s="35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轻击",$B$21,0))*(1+IF(VLOOKUP($R8,武学奇术!$A:$ZZ,30,FALSE)="老鼠",$B$22,0))*(1+$BW8)*(1+$BX8)</f>
        <v>9251.0272812208</v>
      </c>
      <c r="Q8" s="70">
        <v>1</v>
      </c>
      <c r="R8" s="37" t="s">
        <v>106</v>
      </c>
      <c r="S8" s="37" t="s">
        <v>107</v>
      </c>
      <c r="T8" s="37" t="s">
        <v>108</v>
      </c>
      <c r="U8" s="37" t="s">
        <v>81</v>
      </c>
      <c r="V8" s="37" t="s">
        <v>81</v>
      </c>
      <c r="W8" s="37" t="s">
        <v>82</v>
      </c>
      <c r="X8" s="37" t="s">
        <v>81</v>
      </c>
      <c r="Y8" s="37" t="s">
        <v>109</v>
      </c>
      <c r="Z8" s="37" t="s">
        <v>81</v>
      </c>
      <c r="AA8" s="37" t="s">
        <v>81</v>
      </c>
      <c r="AB8" s="37" t="s">
        <v>81</v>
      </c>
      <c r="AC8" s="37" t="s">
        <v>81</v>
      </c>
      <c r="AD8" s="37" t="s">
        <v>81</v>
      </c>
      <c r="AE8" s="37" t="s">
        <v>81</v>
      </c>
      <c r="AF8" s="37" t="s">
        <v>81</v>
      </c>
      <c r="AG8" s="37" t="s">
        <v>87</v>
      </c>
      <c r="AH8" s="37" t="s">
        <v>81</v>
      </c>
      <c r="AI8" s="37" t="s">
        <v>81</v>
      </c>
      <c r="AJ8" s="37" t="s">
        <v>81</v>
      </c>
      <c r="AK8" s="37" t="s">
        <v>81</v>
      </c>
      <c r="AL8" s="37" t="s">
        <v>81</v>
      </c>
      <c r="AM8" t="str">
        <f>VLOOKUP($R8,武学奇术!$A:$ZZ,25,FALSE)</f>
        <v>绳镖</v>
      </c>
      <c r="AN8" s="23">
        <f>VLOOKUP($R8,武学奇术!$A:$ZZ,26,FALSE)</f>
        <v>0.3675</v>
      </c>
      <c r="AO8" s="24">
        <f>VLOOKUP($R8,武学奇术!$A:$ZZ,27,FALSE)*(1+IF(OR($AM8=$F$4,$AM8=$F$5),$B$23,0))</f>
        <v>0</v>
      </c>
      <c r="AP8" s="23">
        <f>VLOOKUP($R8,武学奇术!$A:$ZZ,28,FALSE)</f>
        <v>0.55125</v>
      </c>
      <c r="AQ8" s="24">
        <f>VLOOKUP($R8,武学奇术!$A:$ZZ,29,FALSE)*(1+IF(OR($AM8=$F$4,$AM8=$F$5),$B$23,0))</f>
        <v>0</v>
      </c>
      <c r="AR8" s="23" cm="1">
        <f t="array" ref="AR8">$G$3+IFERROR(VLOOKUP($AM8,$F$4:$G$7,2,FALSE),0)+VLOOKUP($R8,武学奇术!$A:$ZZ,2,FALSE)+SUM(_xlfn.XLOOKUP($S8:$AL8,增益!$A:$A,增益!$B:$B,0))</f>
        <v>1.3043</v>
      </c>
      <c r="AS8" s="23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4013</v>
      </c>
      <c r="AU8" cm="1">
        <f t="array" ref="AU8">$E$10*(1+$AS8)+VLOOKUP($R8,武学奇术!$A:$ZZ,4,FALSE)+SUM(_xlfn.XLOOKUP($S8:$AL8,增益!$A:$A,增益!$D:$D,0))-$I$2</f>
        <v>4013</v>
      </c>
      <c r="AV8" s="29" cm="1">
        <f t="array" ref="AV8">IF($F$10-$I$3+VLOOKUP($R8,武学奇术!$A:$ZZ,6,FALSE)+SUM(_xlfn.XLOOKUP(S8:AL8,增益!$A:$A,增益!$F:$F,0))&gt;0,($F$10-$I$3+VLOOKUP($R8,武学奇术!$A:$ZZ,6,FALSE)+SUM(_xlfn.XLOOKUP(S8:AL8,增益!$A:$A,增益!$F:$F,0)))/200,($F$10-$I$3+VLOOKUP($R8,武学奇术!$A:$ZZ,6,FALSE)+SUM(_xlfn.XLOOKUP(S8:AL8,增益!$A:$A,增益!$F:$F,0)))/100)</f>
        <v>0.2039</v>
      </c>
      <c r="AW8" s="29" cm="1">
        <f t="array" ref="AW8">$G$10+VLOOKUP($R8,武学奇术!$A:$ZZ,7,FALSE)+SUM(_xlfn.XLOOKUP(S8:AL8,增益!$A:$A,增益!$G:$G,0))</f>
        <v>0.27</v>
      </c>
      <c r="AX8" s="23" cm="1">
        <f t="array" ref="AX8">VLOOKUP($R8,武学奇术!$A:$ZZ,8,FALSE)+SUM(_xlfn.XLOOKUP(S8:AL8,增益!$A:$A,增益!$H:$H,0))</f>
        <v>0</v>
      </c>
      <c r="AY8">
        <f t="shared" si="1"/>
        <v>0</v>
      </c>
      <c r="AZ8">
        <f t="shared" si="2"/>
        <v>0</v>
      </c>
      <c r="BA8" s="29" cm="1">
        <f t="array" ref="BA8">IF($F$11-$I$4+VLOOKUP($R8,武学奇术!$A:$ZZ,9,FALSE)+SUM(_xlfn.XLOOKUP(S8:AL8,增益!$A:$A,增益!$I:$I,0))&gt;0,($F$11-$I$4+VLOOKUP($R8,武学奇术!$A:$ZZ,9,FALSE)+SUM(_xlfn.XLOOKUP(S8:AL8,增益!$A:$A,增益!$I:$I,0)))/200,($F$11-$I$4+VLOOKUP($R8,武学奇术!$A:$ZZ,9,FALSE)+SUM(_xlfn.XLOOKUP(S8:AL8,增益!$A:$A,增益!$I:$I,0)))/100)</f>
        <v>-0.3</v>
      </c>
      <c r="BB8" s="29" cm="1">
        <f t="array" ref="BB8">$G$11+VLOOKUP($R8,武学奇术!$A:$ZZ,10,FALSE)+SUM(_xlfn.XLOOKUP(S8:AL8,增益!$A:$A,增益!$J:$J,0))</f>
        <v>0</v>
      </c>
      <c r="BC8">
        <f t="shared" si="3"/>
        <v>0</v>
      </c>
      <c r="BD8">
        <f t="shared" si="4"/>
        <v>0</v>
      </c>
      <c r="BE8" s="29" cm="1">
        <f t="array" ref="BE8">IF($F$12-$I$4+VLOOKUP($R8,武学奇术!$A:$ZZ,11,FALSE)+SUM(_xlfn.XLOOKUP(S8:AL8,增益!$A:$A,增益!$K:$K,0))&gt;0,($F$12-$I$4+VLOOKUP($R8,武学奇术!$A:$ZZ,11,FALSE)+SUM(_xlfn.XLOOKUP(S8:AL8,增益!$A:$A,增益!$K:$K,0)))/200,($F$12-$I$4+VLOOKUP($R8,武学奇术!$A:$ZZ,11,FALSE)+SUM(_xlfn.XLOOKUP(S8:AL8,增益!$A:$A,增益!$K:$K,0)))/100)</f>
        <v>-0.3</v>
      </c>
      <c r="BF8" s="29" cm="1">
        <f t="array" ref="BF8">$G$12+VLOOKUP($R8,武学奇术!$A:$ZZ,12,FALSE)+SUM(_xlfn.XLOOKUP(S8:AL8,增益!$A:$A,增益!$L:$L,0))</f>
        <v>0</v>
      </c>
      <c r="BG8">
        <f t="shared" si="5"/>
        <v>0</v>
      </c>
      <c r="BH8">
        <f t="shared" si="6"/>
        <v>0</v>
      </c>
      <c r="BI8" s="29" cm="1">
        <f t="array" ref="BI8">IF($F$13-$I$4+VLOOKUP($R8,武学奇术!$A:$ZZ,13,FALSE)+SUM(_xlfn.XLOOKUP(S8:AL8,增益!$A:$A,增益!$M:$M,0))&gt;0,($F$13-$I$4+VLOOKUP($R8,武学奇术!$A:$ZZ,13,FALSE)+SUM(_xlfn.XLOOKUP(S8:AL8,增益!$A:$A,增益!$K:$K,0)))/200,($F$13-$I$4+VLOOKUP($R8,武学奇术!$A:$ZZ,13,FALSE)+SUM(_xlfn.XLOOKUP(S8:AL8,增益!$A:$A,增益!$M:$M,0)))/100)</f>
        <v>-0.3</v>
      </c>
      <c r="BJ8" s="29" cm="1">
        <f t="array" ref="BJ8">$G$13+VLOOKUP($R8,武学奇术!$A:$ZZ,14,FALSE)+SUM(_xlfn.XLOOKUP(S8:AL8,增益!$A:$A,增益!$N:$N,0))</f>
        <v>0</v>
      </c>
      <c r="BK8">
        <f t="shared" si="7"/>
        <v>618.2</v>
      </c>
      <c r="BL8">
        <f t="shared" si="8"/>
        <v>1805</v>
      </c>
      <c r="BM8" s="29" cm="1">
        <f t="array" ref="BM8">IF($F$14-$I$4+VLOOKUP($R8,武学奇术!$A:$ZZ,15,FALSE)+SUM(_xlfn.XLOOKUP(S8:AL8,增益!$A:$A,增益!$O:$O,0))&gt;0,($F$14-$I$4+VLOOKUP($R8,武学奇术!$A:$ZZ,15,FALSE)+SUM(_xlfn.XLOOKUP(S8:AL8,增益!$A:$A,增益!$O:$O,0)))/200,($F$14-$I$4+VLOOKUP($R8,武学奇术!$A:$ZZ,15,FALSE)+SUM(_xlfn.XLOOKUP(S8:AL8,增益!$A:$A,增益!$O:$O,0)))/100)</f>
        <v>0</v>
      </c>
      <c r="BN8" s="29" cm="1">
        <f t="array" ref="BN8">$G$14+VLOOKUP($R8,武学奇术!$A:$ZZ,16,FALSE)+SUM(_xlfn.XLOOKUP(S8:AL8,增益!$A:$A,增益!$P:$P,0))</f>
        <v>0.42</v>
      </c>
      <c r="BO8" s="23">
        <f>MIN(IF(VLOOKUP($R8,武学奇术!$A:$ZZ,23,FALSE)=1,100%,$B$8),100%)</f>
        <v>0.9943</v>
      </c>
      <c r="BP8" s="23" cm="1">
        <f t="array" ref="BP8">IF(VLOOKUP($R8,武学奇术!$A:$ZZ,23,FALSE)=1,100%,MIN(80%,$B$9+VLOOKUP($R8,武学奇术!$A:$ZZ,17,FALSE)+SUM(_xlfn.XLOOKUP(S8:AL8,增益!$A:$A,增益!$Q:$Q,0)))+$B$11+SUM(_xlfn.XLOOKUP(S8:AL8,增益!$A:$A,增益!$U:$U,0)))*IF(VLOOKUP($R8,武学奇术!$A:$ZZ,24,FALSE)=1,0,1)</f>
        <v>0.8</v>
      </c>
      <c r="BQ8" s="23" cm="1">
        <f t="array" ref="BQ8">1+$B$13+VLOOKUP($R8,武学奇术!$A:$ZZ,18,FALSE)+SUM(_xlfn.XLOOKUP(S8:AL8,增益!$A:$A,增益!$R:$R,0))</f>
        <v>1.554</v>
      </c>
      <c r="BR8" s="23" cm="1">
        <f t="array" ref="BR8">IF(VLOOKUP($R8,武学奇术!$A:$ZZ,24,FALSE)=1,100%,MIN(40%,$B$10+VLOOKUP($R8,武学奇术!$A:$ZZ,19,FALSE)+SUM(_xlfn.XLOOKUP(S8:AL8,增益!$A:$A,增益!$S:$S,0)))+$B$12+SUM(_xlfn.XLOOKUP(S8:AL8,增益!$A:$A,增益!$V:$V,0)))*IF(VLOOKUP($R8,武学奇术!$A:$ZZ,23,FALSE)=1,0,1)</f>
        <v>0.0913</v>
      </c>
      <c r="BS8" s="23" cm="1">
        <f t="array" ref="BS8">1+$B$14+VLOOKUP($R8,武学奇术!$A:$ZZ,20,FALSE)+SUM(_xlfn.XLOOKUP(S8:AL8,增益!$A:$A,增益!$T:$T,0))</f>
        <v>1.35</v>
      </c>
      <c r="BT8" s="23">
        <f t="shared" si="9"/>
        <v>0.79544</v>
      </c>
      <c r="BU8" s="23">
        <f t="shared" si="10"/>
        <v>0.10808041</v>
      </c>
      <c r="BV8" s="23">
        <f>IF(VLOOKUP($R8,武学奇术!$A:$ZZ,22,FALSE)=1,0,(1-$BO8))*(1-$BR8)</f>
        <v>0.00517959000000003</v>
      </c>
      <c r="BW8" s="23" cm="1">
        <f t="array" ref="BW8">SUM(_xlfn.XLOOKUP(S8:AL8,增益!$A:$A,增益!$W:$W,0))+$I$5</f>
        <v>0.11</v>
      </c>
      <c r="BX8" s="23">
        <f>VLOOKUP($R8,武学奇术!$A:$ZZ,32,FALSE)</f>
        <v>0</v>
      </c>
      <c r="BY8" s="23" cm="1">
        <f t="array" ref="BY8">SUM(_xlfn.XLOOKUP($S8:$AL8,增益!$A:$A,增益!$X:$X,0))</f>
        <v>0</v>
      </c>
    </row>
    <row r="9" ht="14.25" spans="1:77">
      <c r="A9" s="39" t="s">
        <v>110</v>
      </c>
      <c r="B9" s="71">
        <f>期望!B9</f>
        <v>0.713</v>
      </c>
      <c r="C9" s="12"/>
      <c r="D9" t="s">
        <v>0</v>
      </c>
      <c r="E9" t="s">
        <v>1</v>
      </c>
      <c r="F9" s="36" t="s">
        <v>2</v>
      </c>
      <c r="G9" s="42" t="s">
        <v>3</v>
      </c>
      <c r="H9" s="72"/>
      <c r="I9" s="21"/>
      <c r="J9" s="73"/>
      <c r="K9" s="35">
        <f>$L9*VLOOKUP($R9,武学奇术!$A:$ZZ,31,FALSE)</f>
        <v>11006.9173976406</v>
      </c>
      <c r="L9" s="58">
        <f t="shared" si="0"/>
        <v>9827.60481932199</v>
      </c>
      <c r="M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轻击",$B$21,0))*(1+IF(VLOOKUP($R9,武学奇术!$A:$ZZ,30,FALSE)="老鼠",$B$22,0))*(1+$BW9)*(1+$BX9)</f>
        <v>10261.8158053289</v>
      </c>
      <c r="N9" s="35">
        <f>(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轻击",$B$21,0))*(1+IF(VLOOKUP($R9,武学奇术!$A:$ZZ,30,FALSE)="老鼠",$B$22,0))*(1+$BW9))*(1+$BX9)</f>
        <v>10093.7459120379</v>
      </c>
      <c r="O9" s="35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轻击",$B$21,0))*(1+IF(VLOOKUP($R9,武学奇术!$A:$ZZ,30,FALSE)="老鼠",$B$22,0))*(1+$BW9)*(1+$BX9)</f>
        <v>6603.4850742142</v>
      </c>
      <c r="P9" s="35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轻击",$B$21,0))*(1+IF(VLOOKUP($R9,武学奇术!$A:$ZZ,30,FALSE)="老鼠",$B$22,0))*(1+$BW9)*(1+$BX9)</f>
        <v>5730.12132469659</v>
      </c>
      <c r="Q9" s="36">
        <v>1</v>
      </c>
      <c r="R9" s="37" t="s">
        <v>111</v>
      </c>
      <c r="S9" s="37" t="s">
        <v>107</v>
      </c>
      <c r="T9" s="37" t="s">
        <v>108</v>
      </c>
      <c r="U9" s="37" t="s">
        <v>112</v>
      </c>
      <c r="V9" s="37" t="s">
        <v>113</v>
      </c>
      <c r="W9" s="37" t="s">
        <v>82</v>
      </c>
      <c r="X9" s="37" t="s">
        <v>81</v>
      </c>
      <c r="Y9" s="37" t="s">
        <v>109</v>
      </c>
      <c r="Z9" s="37" t="s">
        <v>81</v>
      </c>
      <c r="AA9" s="37" t="s">
        <v>81</v>
      </c>
      <c r="AB9" s="37" t="s">
        <v>81</v>
      </c>
      <c r="AC9" s="37" t="s">
        <v>81</v>
      </c>
      <c r="AD9" s="37" t="s">
        <v>81</v>
      </c>
      <c r="AE9" s="37" t="s">
        <v>81</v>
      </c>
      <c r="AF9" s="37" t="s">
        <v>81</v>
      </c>
      <c r="AG9" s="37" t="s">
        <v>87</v>
      </c>
      <c r="AH9" s="37" t="s">
        <v>81</v>
      </c>
      <c r="AI9" s="37" t="s">
        <v>81</v>
      </c>
      <c r="AJ9" s="37" t="s">
        <v>81</v>
      </c>
      <c r="AK9" s="37" t="s">
        <v>81</v>
      </c>
      <c r="AL9" s="37" t="s">
        <v>81</v>
      </c>
      <c r="AM9" t="str">
        <f>VLOOKUP($R9,武学奇术!$A:$ZZ,25,FALSE)</f>
        <v>双刀</v>
      </c>
      <c r="AN9" s="23">
        <f>VLOOKUP($R9,武学奇术!$A:$ZZ,26,FALSE)</f>
        <v>0.4205</v>
      </c>
      <c r="AO9" s="24">
        <f>VLOOKUP($R9,武学奇术!$A:$ZZ,27,FALSE)*(1+IF(OR($AM9=$F$4,$AM9=$F$5),$B$23,0))</f>
        <v>187.2</v>
      </c>
      <c r="AP9" s="23">
        <f>VLOOKUP($R9,武学奇术!$A:$ZZ,28,FALSE)</f>
        <v>0.6307</v>
      </c>
      <c r="AQ9" s="24">
        <f>VLOOKUP($R9,武学奇术!$A:$ZZ,29,FALSE)*(1+IF(OR($AM9=$F$4,$AM9=$F$5),$B$23,0))</f>
        <v>102.4</v>
      </c>
      <c r="AR9" s="23" cm="1">
        <f t="array" ref="AR9">$G$3+IFERROR(VLOOKUP($AM9,$F$4:$G$7,2,FALSE),0)+VLOOKUP($R9,武学奇术!$A:$ZZ,2,FALSE)+SUM(_xlfn.XLOOKUP($S9:$AL9,增益!$A:$A,增益!$B:$B,0))</f>
        <v>0.5043</v>
      </c>
      <c r="AS9" s="23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4081.7</v>
      </c>
      <c r="AU9" cm="1">
        <f t="array" ref="AU9">$E$10*(1+$AS9)+VLOOKUP($R9,武学奇术!$A:$ZZ,4,FALSE)+SUM(_xlfn.XLOOKUP($S9:$AL9,增益!$A:$A,增益!$D:$D,0))-$I$2</f>
        <v>4081.7</v>
      </c>
      <c r="AV9" s="29" cm="1">
        <f t="array" ref="AV9">IF($F$10-$I$3+VLOOKUP($R9,武学奇术!$A:$ZZ,6,FALSE)+SUM(_xlfn.XLOOKUP(S9:AL9,增益!$A:$A,增益!$F:$F,0))&gt;0,($F$10-$I$3+VLOOKUP($R9,武学奇术!$A:$ZZ,6,FALSE)+SUM(_xlfn.XLOOKUP(S9:AL9,增益!$A:$A,增益!$F:$F,0)))/200,($F$10-$I$3+VLOOKUP($R9,武学奇术!$A:$ZZ,6,FALSE)+SUM(_xlfn.XLOOKUP(S9:AL9,增益!$A:$A,增益!$F:$F,0)))/100)</f>
        <v>0.2039</v>
      </c>
      <c r="AW9" s="29" cm="1">
        <f t="array" ref="AW9">$G$10+VLOOKUP($R9,武学奇术!$A:$ZZ,7,FALSE)+SUM(_xlfn.XLOOKUP(S9:AL9,增益!$A:$A,增益!$G:$G,0))</f>
        <v>0.06</v>
      </c>
      <c r="AX9" s="23" cm="1">
        <f t="array" ref="AX9">VLOOKUP($R9,武学奇术!$A:$ZZ,8,FALSE)+SUM(_xlfn.XLOOKUP(S9:AL9,增益!$A:$A,增益!$H:$H,0))</f>
        <v>0</v>
      </c>
      <c r="AY9">
        <f t="shared" si="1"/>
        <v>0</v>
      </c>
      <c r="AZ9">
        <f t="shared" si="2"/>
        <v>0</v>
      </c>
      <c r="BA9" s="29" cm="1">
        <f t="array" ref="BA9">IF($F$11-$I$4+VLOOKUP($R9,武学奇术!$A:$ZZ,9,FALSE)+SUM(_xlfn.XLOOKUP(S9:AL9,增益!$A:$A,增益!$I:$I,0))&gt;0,($F$11-$I$4+VLOOKUP($R9,武学奇术!$A:$ZZ,9,FALSE)+SUM(_xlfn.XLOOKUP(S9:AL9,增益!$A:$A,增益!$I:$I,0)))/200,($F$11-$I$4+VLOOKUP($R9,武学奇术!$A:$ZZ,9,FALSE)+SUM(_xlfn.XLOOKUP(S9:AL9,增益!$A:$A,增益!$I:$I,0)))/100)</f>
        <v>-0.3</v>
      </c>
      <c r="BB9" s="29" cm="1">
        <f t="array" ref="BB9">$G$11+VLOOKUP($R9,武学奇术!$A:$ZZ,10,FALSE)+SUM(_xlfn.XLOOKUP(S9:AL9,增益!$A:$A,增益!$J:$J,0))</f>
        <v>0</v>
      </c>
      <c r="BC9">
        <f t="shared" si="3"/>
        <v>0</v>
      </c>
      <c r="BD9">
        <f t="shared" si="4"/>
        <v>0</v>
      </c>
      <c r="BE9" s="29" cm="1">
        <f t="array" ref="BE9">IF($F$12-$I$4+VLOOKUP($R9,武学奇术!$A:$ZZ,11,FALSE)+SUM(_xlfn.XLOOKUP(S9:AL9,增益!$A:$A,增益!$K:$K,0))&gt;0,($F$12-$I$4+VLOOKUP($R9,武学奇术!$A:$ZZ,11,FALSE)+SUM(_xlfn.XLOOKUP(S9:AL9,增益!$A:$A,增益!$K:$K,0)))/200,($F$12-$I$4+VLOOKUP($R9,武学奇术!$A:$ZZ,11,FALSE)+SUM(_xlfn.XLOOKUP(S9:AL9,增益!$A:$A,增益!$K:$K,0)))/100)</f>
        <v>-0.3</v>
      </c>
      <c r="BF9" s="29" cm="1">
        <f t="array" ref="BF9">$G$12+VLOOKUP($R9,武学奇术!$A:$ZZ,12,FALSE)+SUM(_xlfn.XLOOKUP(S9:AL9,增益!$A:$A,增益!$L:$L,0))</f>
        <v>0</v>
      </c>
      <c r="BG9">
        <f t="shared" si="5"/>
        <v>0</v>
      </c>
      <c r="BH9">
        <f t="shared" si="6"/>
        <v>0</v>
      </c>
      <c r="BI9" s="29" cm="1">
        <f t="array" ref="BI9">IF($F$13-$I$4+VLOOKUP($R9,武学奇术!$A:$ZZ,13,FALSE)+SUM(_xlfn.XLOOKUP(S9:AL9,增益!$A:$A,增益!$M:$M,0))&gt;0,($F$13-$I$4+VLOOKUP($R9,武学奇术!$A:$ZZ,13,FALSE)+SUM(_xlfn.XLOOKUP(S9:AL9,增益!$A:$A,增益!$K:$K,0)))/200,($F$13-$I$4+VLOOKUP($R9,武学奇术!$A:$ZZ,13,FALSE)+SUM(_xlfn.XLOOKUP(S9:AL9,增益!$A:$A,增益!$M:$M,0)))/100)</f>
        <v>-0.3</v>
      </c>
      <c r="BJ9" s="29" cm="1">
        <f t="array" ref="BJ9">$G$13+VLOOKUP($R9,武学奇术!$A:$ZZ,14,FALSE)+SUM(_xlfn.XLOOKUP(S9:AL9,增益!$A:$A,增益!$N:$N,0))</f>
        <v>0</v>
      </c>
      <c r="BK9">
        <f t="shared" si="7"/>
        <v>618.2</v>
      </c>
      <c r="BL9">
        <f t="shared" si="8"/>
        <v>1805</v>
      </c>
      <c r="BM9" s="29" cm="1">
        <f t="array" ref="BM9">IF($F$14-$I$4+VLOOKUP($R9,武学奇术!$A:$ZZ,15,FALSE)+SUM(_xlfn.XLOOKUP(S9:AL9,增益!$A:$A,增益!$O:$O,0))&gt;0,($F$14-$I$4+VLOOKUP($R9,武学奇术!$A:$ZZ,15,FALSE)+SUM(_xlfn.XLOOKUP(S9:AL9,增益!$A:$A,增益!$O:$O,0)))/200,($F$14-$I$4+VLOOKUP($R9,武学奇术!$A:$ZZ,15,FALSE)+SUM(_xlfn.XLOOKUP(S9:AL9,增益!$A:$A,增益!$O:$O,0)))/100)</f>
        <v>0.05</v>
      </c>
      <c r="BN9" s="29" cm="1">
        <f t="array" ref="BN9">$G$14+VLOOKUP($R9,武学奇术!$A:$ZZ,16,FALSE)+SUM(_xlfn.XLOOKUP(S9:AL9,增益!$A:$A,增益!$P:$P,0))</f>
        <v>0.21</v>
      </c>
      <c r="BO9" s="23">
        <f>MIN(IF(VLOOKUP($R9,武学奇术!$A:$ZZ,23,FALSE)=1,100%,$B$8),100%)</f>
        <v>0.9943</v>
      </c>
      <c r="BP9" s="23" cm="1">
        <f t="array" ref="BP9">IF(VLOOKUP($R9,武学奇术!$A:$ZZ,23,FALSE)=1,100%,MIN(80%,$B$9+VLOOKUP($R9,武学奇术!$A:$ZZ,17,FALSE)+SUM(_xlfn.XLOOKUP(S9:AL9,增益!$A:$A,增益!$Q:$Q,0)))+$B$11+SUM(_xlfn.XLOOKUP(S9:AL9,增益!$A:$A,增益!$U:$U,0)))*IF(VLOOKUP($R9,武学奇术!$A:$ZZ,24,FALSE)=1,0,1)</f>
        <v>0.8</v>
      </c>
      <c r="BQ9" s="23" cm="1">
        <f t="array" ref="BQ9">1+$B$13+VLOOKUP($R9,武学奇术!$A:$ZZ,18,FALSE)+SUM(_xlfn.XLOOKUP(S9:AL9,增益!$A:$A,增益!$R:$R,0))</f>
        <v>1.554</v>
      </c>
      <c r="BR9" s="23" cm="1">
        <f t="array" ref="BR9">IF(VLOOKUP($R9,武学奇术!$A:$ZZ,24,FALSE)=1,100%,MIN(40%,$B$10+VLOOKUP($R9,武学奇术!$A:$ZZ,19,FALSE)+SUM(_xlfn.XLOOKUP(S9:AL9,增益!$A:$A,增益!$S:$S,0)))+$B$12+SUM(_xlfn.XLOOKUP(S9:AL9,增益!$A:$A,增益!$V:$V,0)))*IF(VLOOKUP($R9,武学奇术!$A:$ZZ,23,FALSE)=1,0,1)</f>
        <v>0.0913</v>
      </c>
      <c r="BS9" s="23" cm="1">
        <f t="array" ref="BS9">1+$B$14+VLOOKUP($R9,武学奇术!$A:$ZZ,20,FALSE)+SUM(_xlfn.XLOOKUP(S9:AL9,增益!$A:$A,增益!$T:$T,0))</f>
        <v>1.35</v>
      </c>
      <c r="BT9" s="23">
        <f t="shared" si="9"/>
        <v>0.79544</v>
      </c>
      <c r="BU9" s="23">
        <f t="shared" si="10"/>
        <v>0.10808041</v>
      </c>
      <c r="BV9" s="23">
        <f>IF(VLOOKUP($R9,武学奇术!$A:$ZZ,22,FALSE)=1,0,(1-$BO9))*(1-$BR9)</f>
        <v>0.00517959000000003</v>
      </c>
      <c r="BW9" s="23" cm="1">
        <f t="array" ref="BW9">SUM(_xlfn.XLOOKUP(S9:AL9,增益!$A:$A,增益!$W:$W,0))+$I$5</f>
        <v>0.11</v>
      </c>
      <c r="BX9" s="23">
        <f>VLOOKUP($R9,武学奇术!$A:$ZZ,32,FALSE)</f>
        <v>0.1</v>
      </c>
      <c r="BY9" s="23" cm="1">
        <f t="array" ref="BY9">SUM(_xlfn.XLOOKUP($S9:$AL9,增益!$A:$A,增益!$X:$X,0))</f>
        <v>0</v>
      </c>
    </row>
    <row r="10" spans="1:77">
      <c r="A10" s="39" t="s">
        <v>114</v>
      </c>
      <c r="B10" s="71">
        <f>期望!B10</f>
        <v>0.0913</v>
      </c>
      <c r="C10" s="12" t="s">
        <v>74</v>
      </c>
      <c r="D10">
        <f>期望!D10</f>
        <v>4700</v>
      </c>
      <c r="E10">
        <f>期望!E10</f>
        <v>4700</v>
      </c>
      <c r="F10">
        <f>期望!F10</f>
        <v>63.78</v>
      </c>
      <c r="G10" s="11">
        <f>期望!G10</f>
        <v>0</v>
      </c>
      <c r="H10" s="67" t="s">
        <v>115</v>
      </c>
      <c r="I10" s="74">
        <f>SUM(L:L)</f>
        <v>13658315.0463722</v>
      </c>
      <c r="J10" s="75"/>
      <c r="K10" s="35">
        <f>$L10*VLOOKUP($R10,武学奇术!$A:$ZZ,31,FALSE)</f>
        <v>11798.6596131627</v>
      </c>
      <c r="L10" s="58">
        <f t="shared" si="0"/>
        <v>10534.5175117524</v>
      </c>
      <c r="M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轻击",$B$21,0))*(1+IF(VLOOKUP($R10,武学奇术!$A:$ZZ,30,FALSE)="老鼠",$B$22,0))*(1+$BW10)*(1+$BX10)</f>
        <v>10999.9216855774</v>
      </c>
      <c r="N10" s="35">
        <f>(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轻击",$B$21,0))*(1+IF(VLOOKUP($R10,武学奇术!$A:$ZZ,30,FALSE)="老鼠",$B$22,0))*(1+$BW10))*(1+$BX10)</f>
        <v>10820.2029819127</v>
      </c>
      <c r="O10" s="35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轻击",$B$21,0))*(1+IF(VLOOKUP($R10,武学奇术!$A:$ZZ,30,FALSE)="老鼠",$B$22,0))*(1+$BW10)*(1+$BX10)</f>
        <v>7078.45668312577</v>
      </c>
      <c r="P10" s="35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轻击",$B$21,0))*(1+IF(VLOOKUP($R10,武学奇术!$A:$ZZ,30,FALSE)="老鼠",$B$22,0))*(1+$BW10)*(1+$BX10)</f>
        <v>6141.94819446435</v>
      </c>
      <c r="Q10" s="36">
        <v>1</v>
      </c>
      <c r="R10" s="37" t="s">
        <v>116</v>
      </c>
      <c r="S10" s="37" t="s">
        <v>107</v>
      </c>
      <c r="T10" s="37" t="s">
        <v>108</v>
      </c>
      <c r="U10" s="37" t="s">
        <v>112</v>
      </c>
      <c r="V10" s="37" t="s">
        <v>113</v>
      </c>
      <c r="W10" s="37" t="s">
        <v>82</v>
      </c>
      <c r="X10" s="37" t="s">
        <v>81</v>
      </c>
      <c r="Y10" s="37" t="s">
        <v>109</v>
      </c>
      <c r="Z10" s="37" t="s">
        <v>81</v>
      </c>
      <c r="AA10" s="37" t="s">
        <v>81</v>
      </c>
      <c r="AB10" s="37" t="s">
        <v>81</v>
      </c>
      <c r="AC10" s="37" t="s">
        <v>81</v>
      </c>
      <c r="AD10" s="37" t="s">
        <v>81</v>
      </c>
      <c r="AE10" s="37" t="s">
        <v>81</v>
      </c>
      <c r="AF10" s="37" t="s">
        <v>81</v>
      </c>
      <c r="AG10" s="37" t="s">
        <v>87</v>
      </c>
      <c r="AH10" s="37" t="s">
        <v>81</v>
      </c>
      <c r="AI10" s="37" t="s">
        <v>81</v>
      </c>
      <c r="AJ10" s="37" t="s">
        <v>81</v>
      </c>
      <c r="AK10" s="37" t="s">
        <v>81</v>
      </c>
      <c r="AL10" s="37" t="s">
        <v>81</v>
      </c>
      <c r="AM10" t="str">
        <f>VLOOKUP($R10,武学奇术!$A:$ZZ,25,FALSE)</f>
        <v>双刀</v>
      </c>
      <c r="AN10" s="23">
        <f>VLOOKUP($R10,武学奇术!$A:$ZZ,26,FALSE)</f>
        <v>0.4508</v>
      </c>
      <c r="AO10" s="24">
        <f>VLOOKUP($R10,武学奇术!$A:$ZZ,27,FALSE)*(1+IF(OR($AM10=$F$4,$AM10=$F$5),$B$23,0))</f>
        <v>201.6</v>
      </c>
      <c r="AP10" s="23">
        <f>VLOOKUP($R10,武学奇术!$A:$ZZ,28,FALSE)</f>
        <v>0.6763</v>
      </c>
      <c r="AQ10" s="24">
        <f>VLOOKUP($R10,武学奇术!$A:$ZZ,29,FALSE)*(1+IF(OR($AM10=$F$4,$AM10=$F$5),$B$23,0))</f>
        <v>108.8</v>
      </c>
      <c r="AR10" s="23" cm="1">
        <f t="array" ref="AR10">$G$3+IFERROR(VLOOKUP($AM10,$F$4:$G$7,2,FALSE),0)+VLOOKUP($R10,武学奇术!$A:$ZZ,2,FALSE)+SUM(_xlfn.XLOOKUP($S10:$AL10,增益!$A:$A,增益!$B:$B,0))</f>
        <v>0.5043</v>
      </c>
      <c r="AS10" s="23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4081.7</v>
      </c>
      <c r="AU10" cm="1">
        <f t="array" ref="AU10">$E$10*(1+$AS10)+VLOOKUP($R10,武学奇术!$A:$ZZ,4,FALSE)+SUM(_xlfn.XLOOKUP($S10:$AL10,增益!$A:$A,增益!$D:$D,0))-$I$2</f>
        <v>4081.7</v>
      </c>
      <c r="AV10" s="29" cm="1">
        <f t="array" ref="AV10">IF($F$10-$I$3+VLOOKUP($R10,武学奇术!$A:$ZZ,6,FALSE)+SUM(_xlfn.XLOOKUP(S10:AL10,增益!$A:$A,增益!$F:$F,0))&gt;0,($F$10-$I$3+VLOOKUP($R10,武学奇术!$A:$ZZ,6,FALSE)+SUM(_xlfn.XLOOKUP(S10:AL10,增益!$A:$A,增益!$F:$F,0)))/200,($F$10-$I$3+VLOOKUP($R10,武学奇术!$A:$ZZ,6,FALSE)+SUM(_xlfn.XLOOKUP(S10:AL10,增益!$A:$A,增益!$F:$F,0)))/100)</f>
        <v>0.2039</v>
      </c>
      <c r="AW10" s="29" cm="1">
        <f t="array" ref="AW10">$G$10+VLOOKUP($R10,武学奇术!$A:$ZZ,7,FALSE)+SUM(_xlfn.XLOOKUP(S10:AL10,增益!$A:$A,增益!$G:$G,0))</f>
        <v>0.06</v>
      </c>
      <c r="AX10" s="23" cm="1">
        <f t="array" ref="AX10">VLOOKUP($R10,武学奇术!$A:$ZZ,8,FALSE)+SUM(_xlfn.XLOOKUP(S10:AL10,增益!$A:$A,增益!$H:$H,0))</f>
        <v>0</v>
      </c>
      <c r="AY10">
        <f t="shared" si="1"/>
        <v>0</v>
      </c>
      <c r="AZ10">
        <f t="shared" si="2"/>
        <v>0</v>
      </c>
      <c r="BA10" s="29" cm="1">
        <f t="array" ref="BA10">IF($F$11-$I$4+VLOOKUP($R10,武学奇术!$A:$ZZ,9,FALSE)+SUM(_xlfn.XLOOKUP(S10:AL10,增益!$A:$A,增益!$I:$I,0))&gt;0,($F$11-$I$4+VLOOKUP($R10,武学奇术!$A:$ZZ,9,FALSE)+SUM(_xlfn.XLOOKUP(S10:AL10,增益!$A:$A,增益!$I:$I,0)))/200,($F$11-$I$4+VLOOKUP($R10,武学奇术!$A:$ZZ,9,FALSE)+SUM(_xlfn.XLOOKUP(S10:AL10,增益!$A:$A,增益!$I:$I,0)))/100)</f>
        <v>-0.3</v>
      </c>
      <c r="BB10" s="29" cm="1">
        <f t="array" ref="BB10">$G$11+VLOOKUP($R10,武学奇术!$A:$ZZ,10,FALSE)+SUM(_xlfn.XLOOKUP(S10:AL10,增益!$A:$A,增益!$J:$J,0))</f>
        <v>0</v>
      </c>
      <c r="BC10">
        <f t="shared" si="3"/>
        <v>0</v>
      </c>
      <c r="BD10">
        <f t="shared" si="4"/>
        <v>0</v>
      </c>
      <c r="BE10" s="29" cm="1">
        <f t="array" ref="BE10">IF($F$12-$I$4+VLOOKUP($R10,武学奇术!$A:$ZZ,11,FALSE)+SUM(_xlfn.XLOOKUP(S10:AL10,增益!$A:$A,增益!$K:$K,0))&gt;0,($F$12-$I$4+VLOOKUP($R10,武学奇术!$A:$ZZ,11,FALSE)+SUM(_xlfn.XLOOKUP(S10:AL10,增益!$A:$A,增益!$K:$K,0)))/200,($F$12-$I$4+VLOOKUP($R10,武学奇术!$A:$ZZ,11,FALSE)+SUM(_xlfn.XLOOKUP(S10:AL10,增益!$A:$A,增益!$K:$K,0)))/100)</f>
        <v>-0.3</v>
      </c>
      <c r="BF10" s="29" cm="1">
        <f t="array" ref="BF10">$G$12+VLOOKUP($R10,武学奇术!$A:$ZZ,12,FALSE)+SUM(_xlfn.XLOOKUP(S10:AL10,增益!$A:$A,增益!$L:$L,0))</f>
        <v>0</v>
      </c>
      <c r="BG10">
        <f t="shared" si="5"/>
        <v>0</v>
      </c>
      <c r="BH10">
        <f t="shared" si="6"/>
        <v>0</v>
      </c>
      <c r="BI10" s="29" cm="1">
        <f t="array" ref="BI10">IF($F$13-$I$4+VLOOKUP($R10,武学奇术!$A:$ZZ,13,FALSE)+SUM(_xlfn.XLOOKUP(S10:AL10,增益!$A:$A,增益!$M:$M,0))&gt;0,($F$13-$I$4+VLOOKUP($R10,武学奇术!$A:$ZZ,13,FALSE)+SUM(_xlfn.XLOOKUP(S10:AL10,增益!$A:$A,增益!$K:$K,0)))/200,($F$13-$I$4+VLOOKUP($R10,武学奇术!$A:$ZZ,13,FALSE)+SUM(_xlfn.XLOOKUP(S10:AL10,增益!$A:$A,增益!$M:$M,0)))/100)</f>
        <v>-0.3</v>
      </c>
      <c r="BJ10" s="29" cm="1">
        <f t="array" ref="BJ10">$G$13+VLOOKUP($R10,武学奇术!$A:$ZZ,14,FALSE)+SUM(_xlfn.XLOOKUP(S10:AL10,增益!$A:$A,增益!$N:$N,0))</f>
        <v>0</v>
      </c>
      <c r="BK10">
        <f t="shared" si="7"/>
        <v>618.2</v>
      </c>
      <c r="BL10">
        <f t="shared" si="8"/>
        <v>1805</v>
      </c>
      <c r="BM10" s="29" cm="1">
        <f t="array" ref="BM10">IF($F$14-$I$4+VLOOKUP($R10,武学奇术!$A:$ZZ,15,FALSE)+SUM(_xlfn.XLOOKUP(S10:AL10,增益!$A:$A,增益!$O:$O,0))&gt;0,($F$14-$I$4+VLOOKUP($R10,武学奇术!$A:$ZZ,15,FALSE)+SUM(_xlfn.XLOOKUP(S10:AL10,增益!$A:$A,增益!$O:$O,0)))/200,($F$14-$I$4+VLOOKUP($R10,武学奇术!$A:$ZZ,15,FALSE)+SUM(_xlfn.XLOOKUP(S10:AL10,增益!$A:$A,增益!$O:$O,0)))/100)</f>
        <v>0.05</v>
      </c>
      <c r="BN10" s="29" cm="1">
        <f t="array" ref="BN10">$G$14+VLOOKUP($R10,武学奇术!$A:$ZZ,16,FALSE)+SUM(_xlfn.XLOOKUP(S10:AL10,增益!$A:$A,增益!$P:$P,0))</f>
        <v>0.21</v>
      </c>
      <c r="BO10" s="23">
        <f>MIN(IF(VLOOKUP($R10,武学奇术!$A:$ZZ,23,FALSE)=1,100%,$B$8),100%)</f>
        <v>0.9943</v>
      </c>
      <c r="BP10" s="23" cm="1">
        <f t="array" ref="BP10">IF(VLOOKUP($R10,武学奇术!$A:$ZZ,23,FALSE)=1,100%,MIN(80%,$B$9+VLOOKUP($R10,武学奇术!$A:$ZZ,17,FALSE)+SUM(_xlfn.XLOOKUP(S10:AL10,增益!$A:$A,增益!$Q:$Q,0)))+$B$11+SUM(_xlfn.XLOOKUP(S10:AL10,增益!$A:$A,增益!$U:$U,0)))*IF(VLOOKUP($R10,武学奇术!$A:$ZZ,24,FALSE)=1,0,1)</f>
        <v>0.8</v>
      </c>
      <c r="BQ10" s="23" cm="1">
        <f t="array" ref="BQ10">1+$B$13+VLOOKUP($R10,武学奇术!$A:$ZZ,18,FALSE)+SUM(_xlfn.XLOOKUP(S10:AL10,增益!$A:$A,增益!$R:$R,0))</f>
        <v>1.554</v>
      </c>
      <c r="BR10" s="23" cm="1">
        <f t="array" ref="BR10">IF(VLOOKUP($R10,武学奇术!$A:$ZZ,24,FALSE)=1,100%,MIN(40%,$B$10+VLOOKUP($R10,武学奇术!$A:$ZZ,19,FALSE)+SUM(_xlfn.XLOOKUP(S10:AL10,增益!$A:$A,增益!$S:$S,0)))+$B$12+SUM(_xlfn.XLOOKUP(S10:AL10,增益!$A:$A,增益!$V:$V,0)))*IF(VLOOKUP($R10,武学奇术!$A:$ZZ,23,FALSE)=1,0,1)</f>
        <v>0.0913</v>
      </c>
      <c r="BS10" s="23" cm="1">
        <f t="array" ref="BS10">1+$B$14+VLOOKUP($R10,武学奇术!$A:$ZZ,20,FALSE)+SUM(_xlfn.XLOOKUP(S10:AL10,增益!$A:$A,增益!$T:$T,0))</f>
        <v>1.35</v>
      </c>
      <c r="BT10" s="23">
        <f t="shared" si="9"/>
        <v>0.79544</v>
      </c>
      <c r="BU10" s="23">
        <f t="shared" si="10"/>
        <v>0.10808041</v>
      </c>
      <c r="BV10" s="23">
        <f>IF(VLOOKUP($R10,武学奇术!$A:$ZZ,22,FALSE)=1,0,(1-$BO10))*(1-$BR10)</f>
        <v>0.00517959000000003</v>
      </c>
      <c r="BW10" s="23" cm="1">
        <f t="array" ref="BW10">SUM(_xlfn.XLOOKUP(S10:AL10,增益!$A:$A,增益!$W:$W,0))+$I$5</f>
        <v>0.11</v>
      </c>
      <c r="BX10" s="23">
        <f>VLOOKUP($R10,武学奇术!$A:$ZZ,32,FALSE)</f>
        <v>0.1</v>
      </c>
      <c r="BY10" s="23" cm="1">
        <f t="array" ref="BY10">SUM(_xlfn.XLOOKUP($S10:$AL10,增益!$A:$A,增益!$X:$X,0))</f>
        <v>0</v>
      </c>
    </row>
    <row r="11" ht="14.25" spans="1:77">
      <c r="A11" s="39" t="s">
        <v>117</v>
      </c>
      <c r="B11" s="71">
        <f>期望!B11</f>
        <v>0.087</v>
      </c>
      <c r="C11" s="12" t="s">
        <v>89</v>
      </c>
      <c r="D11">
        <f>期望!D11</f>
        <v>0</v>
      </c>
      <c r="E11">
        <f>期望!E11</f>
        <v>0</v>
      </c>
      <c r="F11">
        <f>期望!F11</f>
        <v>0</v>
      </c>
      <c r="G11" s="11">
        <f>期望!G11</f>
        <v>0</v>
      </c>
      <c r="H11" s="72"/>
      <c r="I11" s="76"/>
      <c r="J11" s="77"/>
      <c r="K11" s="35">
        <f>$L11*VLOOKUP($R11,武学奇术!$A:$ZZ,31,FALSE)</f>
        <v>50662.1943132078</v>
      </c>
      <c r="L11" s="69">
        <f t="shared" si="0"/>
        <v>49668.8179541253</v>
      </c>
      <c r="M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轻击",$B$21,0))*(1+IF(VLOOKUP($R11,武学奇术!$A:$ZZ,30,FALSE)="老鼠",$B$22,0))*(1+$BW11)*(1+$BX11)</f>
        <v>51797.498575307</v>
      </c>
      <c r="N11" s="35">
        <f>(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轻击",$B$21,0))*(1+IF(VLOOKUP($R11,武学奇术!$A:$ZZ,30,FALSE)="老鼠",$B$22,0))*(1+$BW11))*(1+$BX11)</f>
        <v>51669.9201247347</v>
      </c>
      <c r="O11" s="35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轻击",$B$21,0))*(1+IF(VLOOKUP($R11,武学奇术!$A:$ZZ,30,FALSE)="老鼠",$B$22,0))*(1+$BW11)*(1+$BX11)</f>
        <v>33331.7236649337</v>
      </c>
      <c r="P11" s="35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轻击",$B$21,0))*(1+IF(VLOOKUP($R11,武学奇术!$A:$ZZ,30,FALSE)="老鼠",$B$22,0))*(1+$BW11)*(1+$BX11)</f>
        <v>28389.4324226566</v>
      </c>
      <c r="Q11" s="70">
        <v>3</v>
      </c>
      <c r="R11" s="37" t="s">
        <v>106</v>
      </c>
      <c r="S11" s="37" t="s">
        <v>107</v>
      </c>
      <c r="T11" s="37" t="s">
        <v>108</v>
      </c>
      <c r="U11" s="37" t="s">
        <v>112</v>
      </c>
      <c r="V11" s="37" t="s">
        <v>113</v>
      </c>
      <c r="W11" s="37" t="s">
        <v>82</v>
      </c>
      <c r="X11" s="37" t="s">
        <v>81</v>
      </c>
      <c r="Y11" s="37" t="s">
        <v>109</v>
      </c>
      <c r="Z11" s="37" t="s">
        <v>81</v>
      </c>
      <c r="AA11" s="37" t="s">
        <v>81</v>
      </c>
      <c r="AB11" s="37" t="s">
        <v>81</v>
      </c>
      <c r="AC11" s="37" t="s">
        <v>81</v>
      </c>
      <c r="AD11" s="37" t="s">
        <v>81</v>
      </c>
      <c r="AE11" s="37" t="s">
        <v>81</v>
      </c>
      <c r="AF11" s="37" t="s">
        <v>81</v>
      </c>
      <c r="AG11" s="37" t="s">
        <v>87</v>
      </c>
      <c r="AH11" s="37" t="s">
        <v>81</v>
      </c>
      <c r="AI11" s="37" t="s">
        <v>81</v>
      </c>
      <c r="AJ11" s="37" t="s">
        <v>81</v>
      </c>
      <c r="AK11" s="37" t="s">
        <v>81</v>
      </c>
      <c r="AL11" s="37" t="s">
        <v>81</v>
      </c>
      <c r="AM11" t="str">
        <f>VLOOKUP($R11,武学奇术!$A:$ZZ,25,FALSE)</f>
        <v>绳镖</v>
      </c>
      <c r="AN11" s="23">
        <f>VLOOKUP($R11,武学奇术!$A:$ZZ,26,FALSE)</f>
        <v>0.3675</v>
      </c>
      <c r="AO11" s="24">
        <f>VLOOKUP($R11,武学奇术!$A:$ZZ,27,FALSE)*(1+IF(OR($AM11=$F$4,$AM11=$F$5),$B$23,0))</f>
        <v>0</v>
      </c>
      <c r="AP11" s="23">
        <f>VLOOKUP($R11,武学奇术!$A:$ZZ,28,FALSE)</f>
        <v>0.55125</v>
      </c>
      <c r="AQ11" s="24">
        <f>VLOOKUP($R11,武学奇术!$A:$ZZ,29,FALSE)*(1+IF(OR($AM11=$F$4,$AM11=$F$5),$B$23,0))</f>
        <v>0</v>
      </c>
      <c r="AR11" s="23" cm="1">
        <f t="array" ref="AR11">$G$3+IFERROR(VLOOKUP($AM11,$F$4:$G$7,2,FALSE),0)+VLOOKUP($R11,武学奇术!$A:$ZZ,2,FALSE)+SUM(_xlfn.XLOOKUP($S11:$AL11,增益!$A:$A,增益!$B:$B,0))</f>
        <v>1.3043</v>
      </c>
      <c r="AS11" s="23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4081.7</v>
      </c>
      <c r="AU11" cm="1">
        <f t="array" ref="AU11">$E$10*(1+$AS11)+VLOOKUP($R11,武学奇术!$A:$ZZ,4,FALSE)+SUM(_xlfn.XLOOKUP($S11:$AL11,增益!$A:$A,增益!$D:$D,0))-$I$2</f>
        <v>4081.7</v>
      </c>
      <c r="AV11" s="29" cm="1">
        <f t="array" ref="AV11">IF($F$10-$I$3+VLOOKUP($R11,武学奇术!$A:$ZZ,6,FALSE)+SUM(_xlfn.XLOOKUP(S11:AL11,增益!$A:$A,增益!$F:$F,0))&gt;0,($F$10-$I$3+VLOOKUP($R11,武学奇术!$A:$ZZ,6,FALSE)+SUM(_xlfn.XLOOKUP(S11:AL11,增益!$A:$A,增益!$F:$F,0)))/200,($F$10-$I$3+VLOOKUP($R11,武学奇术!$A:$ZZ,6,FALSE)+SUM(_xlfn.XLOOKUP(S11:AL11,增益!$A:$A,增益!$F:$F,0)))/100)</f>
        <v>0.2039</v>
      </c>
      <c r="AW11" s="29" cm="1">
        <f t="array" ref="AW11">$G$10+VLOOKUP($R11,武学奇术!$A:$ZZ,7,FALSE)+SUM(_xlfn.XLOOKUP(S11:AL11,增益!$A:$A,增益!$G:$G,0))</f>
        <v>0.27</v>
      </c>
      <c r="AX11" s="23" cm="1">
        <f t="array" ref="AX11">VLOOKUP($R11,武学奇术!$A:$ZZ,8,FALSE)+SUM(_xlfn.XLOOKUP(S11:AL11,增益!$A:$A,增益!$H:$H,0))</f>
        <v>0</v>
      </c>
      <c r="AY11">
        <f t="shared" si="1"/>
        <v>0</v>
      </c>
      <c r="AZ11">
        <f t="shared" si="2"/>
        <v>0</v>
      </c>
      <c r="BA11" s="29" cm="1">
        <f t="array" ref="BA11">IF($F$11-$I$4+VLOOKUP($R11,武学奇术!$A:$ZZ,9,FALSE)+SUM(_xlfn.XLOOKUP(S11:AL11,增益!$A:$A,增益!$I:$I,0))&gt;0,($F$11-$I$4+VLOOKUP($R11,武学奇术!$A:$ZZ,9,FALSE)+SUM(_xlfn.XLOOKUP(S11:AL11,增益!$A:$A,增益!$I:$I,0)))/200,($F$11-$I$4+VLOOKUP($R11,武学奇术!$A:$ZZ,9,FALSE)+SUM(_xlfn.XLOOKUP(S11:AL11,增益!$A:$A,增益!$I:$I,0)))/100)</f>
        <v>-0.3</v>
      </c>
      <c r="BB11" s="29" cm="1">
        <f t="array" ref="BB11">$G$11+VLOOKUP($R11,武学奇术!$A:$ZZ,10,FALSE)+SUM(_xlfn.XLOOKUP(S11:AL11,增益!$A:$A,增益!$J:$J,0))</f>
        <v>0</v>
      </c>
      <c r="BC11">
        <f t="shared" si="3"/>
        <v>0</v>
      </c>
      <c r="BD11">
        <f t="shared" si="4"/>
        <v>0</v>
      </c>
      <c r="BE11" s="29" cm="1">
        <f t="array" ref="BE11">IF($F$12-$I$4+VLOOKUP($R11,武学奇术!$A:$ZZ,11,FALSE)+SUM(_xlfn.XLOOKUP(S11:AL11,增益!$A:$A,增益!$K:$K,0))&gt;0,($F$12-$I$4+VLOOKUP($R11,武学奇术!$A:$ZZ,11,FALSE)+SUM(_xlfn.XLOOKUP(S11:AL11,增益!$A:$A,增益!$K:$K,0)))/200,($F$12-$I$4+VLOOKUP($R11,武学奇术!$A:$ZZ,11,FALSE)+SUM(_xlfn.XLOOKUP(S11:AL11,增益!$A:$A,增益!$K:$K,0)))/100)</f>
        <v>-0.3</v>
      </c>
      <c r="BF11" s="29" cm="1">
        <f t="array" ref="BF11">$G$12+VLOOKUP($R11,武学奇术!$A:$ZZ,12,FALSE)+SUM(_xlfn.XLOOKUP(S11:AL11,增益!$A:$A,增益!$L:$L,0))</f>
        <v>0</v>
      </c>
      <c r="BG11">
        <f t="shared" si="5"/>
        <v>0</v>
      </c>
      <c r="BH11">
        <f t="shared" si="6"/>
        <v>0</v>
      </c>
      <c r="BI11" s="29" cm="1">
        <f t="array" ref="BI11">IF($F$13-$I$4+VLOOKUP($R11,武学奇术!$A:$ZZ,13,FALSE)+SUM(_xlfn.XLOOKUP(S11:AL11,增益!$A:$A,增益!$M:$M,0))&gt;0,($F$13-$I$4+VLOOKUP($R11,武学奇术!$A:$ZZ,13,FALSE)+SUM(_xlfn.XLOOKUP(S11:AL11,增益!$A:$A,增益!$K:$K,0)))/200,($F$13-$I$4+VLOOKUP($R11,武学奇术!$A:$ZZ,13,FALSE)+SUM(_xlfn.XLOOKUP(S11:AL11,增益!$A:$A,增益!$M:$M,0)))/100)</f>
        <v>-0.3</v>
      </c>
      <c r="BJ11" s="29" cm="1">
        <f t="array" ref="BJ11">$G$13+VLOOKUP($R11,武学奇术!$A:$ZZ,14,FALSE)+SUM(_xlfn.XLOOKUP(S11:AL11,增益!$A:$A,增益!$N:$N,0))</f>
        <v>0</v>
      </c>
      <c r="BK11">
        <f t="shared" si="7"/>
        <v>618.2</v>
      </c>
      <c r="BL11">
        <f t="shared" si="8"/>
        <v>1805</v>
      </c>
      <c r="BM11" s="29" cm="1">
        <f t="array" ref="BM11">IF($F$14-$I$4+VLOOKUP($R11,武学奇术!$A:$ZZ,15,FALSE)+SUM(_xlfn.XLOOKUP(S11:AL11,增益!$A:$A,增益!$O:$O,0))&gt;0,($F$14-$I$4+VLOOKUP($R11,武学奇术!$A:$ZZ,15,FALSE)+SUM(_xlfn.XLOOKUP(S11:AL11,增益!$A:$A,增益!$O:$O,0)))/200,($F$14-$I$4+VLOOKUP($R11,武学奇术!$A:$ZZ,15,FALSE)+SUM(_xlfn.XLOOKUP(S11:AL11,增益!$A:$A,增益!$O:$O,0)))/100)</f>
        <v>0.05</v>
      </c>
      <c r="BN11" s="29" cm="1">
        <f t="array" ref="BN11">$G$14+VLOOKUP($R11,武学奇术!$A:$ZZ,16,FALSE)+SUM(_xlfn.XLOOKUP(S11:AL11,增益!$A:$A,增益!$P:$P,0))</f>
        <v>0.42</v>
      </c>
      <c r="BO11" s="23">
        <f>MIN(IF(VLOOKUP($R11,武学奇术!$A:$ZZ,23,FALSE)=1,100%,$B$8),100%)</f>
        <v>0.9943</v>
      </c>
      <c r="BP11" s="23" cm="1">
        <f t="array" ref="BP11">IF(VLOOKUP($R11,武学奇术!$A:$ZZ,23,FALSE)=1,100%,MIN(80%,$B$9+VLOOKUP($R11,武学奇术!$A:$ZZ,17,FALSE)+SUM(_xlfn.XLOOKUP(S11:AL11,增益!$A:$A,增益!$Q:$Q,0)))+$B$11+SUM(_xlfn.XLOOKUP(S11:AL11,增益!$A:$A,增益!$U:$U,0)))*IF(VLOOKUP($R11,武学奇术!$A:$ZZ,24,FALSE)=1,0,1)</f>
        <v>0.8</v>
      </c>
      <c r="BQ11" s="23" cm="1">
        <f t="array" ref="BQ11">1+$B$13+VLOOKUP($R11,武学奇术!$A:$ZZ,18,FALSE)+SUM(_xlfn.XLOOKUP(S11:AL11,增益!$A:$A,增益!$R:$R,0))</f>
        <v>1.554</v>
      </c>
      <c r="BR11" s="23" cm="1">
        <f t="array" ref="BR11">IF(VLOOKUP($R11,武学奇术!$A:$ZZ,24,FALSE)=1,100%,MIN(40%,$B$10+VLOOKUP($R11,武学奇术!$A:$ZZ,19,FALSE)+SUM(_xlfn.XLOOKUP(S11:AL11,增益!$A:$A,增益!$S:$S,0)))+$B$12+SUM(_xlfn.XLOOKUP(S11:AL11,增益!$A:$A,增益!$V:$V,0)))*IF(VLOOKUP($R11,武学奇术!$A:$ZZ,23,FALSE)=1,0,1)</f>
        <v>0.0913</v>
      </c>
      <c r="BS11" s="23" cm="1">
        <f t="array" ref="BS11">1+$B$14+VLOOKUP($R11,武学奇术!$A:$ZZ,20,FALSE)+SUM(_xlfn.XLOOKUP(S11:AL11,增益!$A:$A,增益!$T:$T,0))</f>
        <v>1.35</v>
      </c>
      <c r="BT11" s="23">
        <f t="shared" si="9"/>
        <v>0.79544</v>
      </c>
      <c r="BU11" s="23">
        <f t="shared" si="10"/>
        <v>0.10808041</v>
      </c>
      <c r="BV11" s="23">
        <f>IF(VLOOKUP($R11,武学奇术!$A:$ZZ,22,FALSE)=1,0,(1-$BO11))*(1-$BR11)</f>
        <v>0.00517959000000003</v>
      </c>
      <c r="BW11" s="23" cm="1">
        <f t="array" ref="BW11">SUM(_xlfn.XLOOKUP(S11:AL11,增益!$A:$A,增益!$W:$W,0))+$I$5</f>
        <v>0.11</v>
      </c>
      <c r="BX11" s="23">
        <f>VLOOKUP($R11,武学奇术!$A:$ZZ,32,FALSE)</f>
        <v>0</v>
      </c>
      <c r="BY11" s="23" cm="1">
        <f t="array" ref="BY11">SUM(_xlfn.XLOOKUP($S11:$AL11,增益!$A:$A,增益!$X:$X,0))</f>
        <v>0</v>
      </c>
    </row>
    <row r="12" spans="1:77">
      <c r="A12" s="39" t="s">
        <v>118</v>
      </c>
      <c r="B12" s="71">
        <f>期望!B12</f>
        <v>0</v>
      </c>
      <c r="C12" s="12" t="s">
        <v>92</v>
      </c>
      <c r="D12">
        <f>期望!D12</f>
        <v>0</v>
      </c>
      <c r="E12">
        <f>期望!E12</f>
        <v>0</v>
      </c>
      <c r="F12">
        <f>期望!F12</f>
        <v>0</v>
      </c>
      <c r="G12" s="11">
        <f>期望!G12</f>
        <v>0</v>
      </c>
      <c r="H12" s="67" t="s">
        <v>119</v>
      </c>
      <c r="I12" s="35">
        <f>I10/I8</f>
        <v>154331.243461833</v>
      </c>
      <c r="J12" s="78"/>
      <c r="K12" s="35">
        <f>$L12*VLOOKUP($R12,武学奇术!$A:$ZZ,31,FALSE)</f>
        <v>15288.5066240682</v>
      </c>
      <c r="L12" s="58">
        <f t="shared" si="0"/>
        <v>13650.4523429181</v>
      </c>
      <c r="M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轻击",$B$21,0))*(1+IF(VLOOKUP($R12,武学奇术!$A:$ZZ,30,FALSE)="老鼠",$B$22,0))*(1+$BW12)*(1+$BX12)</f>
        <v>14254.3405398049</v>
      </c>
      <c r="N12" s="35">
        <f>(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轻击",$B$21,0))*(1+IF(VLOOKUP($R12,武学奇术!$A:$ZZ,30,FALSE)="老鼠",$B$22,0))*(1+$BW12))*(1+$BX12)</f>
        <v>14012.4147066541</v>
      </c>
      <c r="O12" s="35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轻击",$B$21,0))*(1+IF(VLOOKUP($R12,武学奇术!$A:$ZZ,30,FALSE)="老鼠",$B$22,0))*(1+$BW12)*(1+$BX12)</f>
        <v>9172.67731004175</v>
      </c>
      <c r="P12" s="35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轻击",$B$21,0))*(1+IF(VLOOKUP($R12,武学奇术!$A:$ZZ,30,FALSE)="老鼠",$B$22,0))*(1+$BW12)*(1+$BX12)</f>
        <v>7965.7881707101</v>
      </c>
      <c r="Q12" s="36">
        <v>1</v>
      </c>
      <c r="R12" s="37" t="s">
        <v>120</v>
      </c>
      <c r="S12" s="37" t="s">
        <v>121</v>
      </c>
      <c r="T12" s="37" t="s">
        <v>108</v>
      </c>
      <c r="U12" s="37" t="s">
        <v>112</v>
      </c>
      <c r="V12" s="37" t="s">
        <v>113</v>
      </c>
      <c r="W12" s="37" t="s">
        <v>82</v>
      </c>
      <c r="X12" s="37" t="s">
        <v>81</v>
      </c>
      <c r="Y12" s="37" t="s">
        <v>109</v>
      </c>
      <c r="Z12" s="37" t="s">
        <v>81</v>
      </c>
      <c r="AA12" s="37" t="s">
        <v>81</v>
      </c>
      <c r="AB12" s="37" t="s">
        <v>81</v>
      </c>
      <c r="AC12" s="37" t="s">
        <v>81</v>
      </c>
      <c r="AD12" s="37" t="s">
        <v>81</v>
      </c>
      <c r="AE12" s="37" t="s">
        <v>81</v>
      </c>
      <c r="AF12" s="37" t="s">
        <v>81</v>
      </c>
      <c r="AG12" s="37" t="s">
        <v>87</v>
      </c>
      <c r="AH12" s="37" t="s">
        <v>81</v>
      </c>
      <c r="AI12" s="37" t="s">
        <v>81</v>
      </c>
      <c r="AJ12" s="37" t="s">
        <v>81</v>
      </c>
      <c r="AK12" s="37" t="s">
        <v>81</v>
      </c>
      <c r="AL12" s="37" t="s">
        <v>81</v>
      </c>
      <c r="AM12" t="str">
        <f>VLOOKUP($R12,武学奇术!$A:$ZZ,25,FALSE)</f>
        <v>双刀</v>
      </c>
      <c r="AN12" s="23">
        <f>VLOOKUP($R12,武学奇术!$A:$ZZ,26,FALSE)</f>
        <v>0.5772</v>
      </c>
      <c r="AO12" s="24">
        <f>VLOOKUP($R12,武学奇术!$A:$ZZ,27,FALSE)*(1+IF(OR($AM12=$F$4,$AM12=$F$5),$B$23,0))</f>
        <v>257.6</v>
      </c>
      <c r="AP12" s="23">
        <f>VLOOKUP($R12,武学奇术!$A:$ZZ,28,FALSE)</f>
        <v>0.8658</v>
      </c>
      <c r="AQ12" s="24">
        <f>VLOOKUP($R12,武学奇术!$A:$ZZ,29,FALSE)*(1+IF(OR($AM12=$F$4,$AM12=$F$5),$B$23,0))</f>
        <v>139.2</v>
      </c>
      <c r="AR12" s="23" cm="1">
        <f t="array" ref="AR12">$G$3+IFERROR(VLOOKUP($AM12,$F$4:$G$7,2,FALSE),0)+VLOOKUP($R12,武学奇术!$A:$ZZ,2,FALSE)+SUM(_xlfn.XLOOKUP($S12:$AL12,增益!$A:$A,增益!$B:$B,0))</f>
        <v>0.5143</v>
      </c>
      <c r="AS12" s="23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4081.7</v>
      </c>
      <c r="AU12" cm="1">
        <f t="array" ref="AU12">$E$10*(1+$AS12)+VLOOKUP($R12,武学奇术!$A:$ZZ,4,FALSE)+SUM(_xlfn.XLOOKUP($S12:$AL12,增益!$A:$A,增益!$D:$D,0))-$I$2</f>
        <v>4081.7</v>
      </c>
      <c r="AV12" s="29" cm="1">
        <f t="array" ref="AV12">IF($F$10-$I$3+VLOOKUP($R12,武学奇术!$A:$ZZ,6,FALSE)+SUM(_xlfn.XLOOKUP(S12:AL12,增益!$A:$A,增益!$F:$F,0))&gt;0,($F$10-$I$3+VLOOKUP($R12,武学奇术!$A:$ZZ,6,FALSE)+SUM(_xlfn.XLOOKUP(S12:AL12,增益!$A:$A,增益!$F:$F,0)))/200,($F$10-$I$3+VLOOKUP($R12,武学奇术!$A:$ZZ,6,FALSE)+SUM(_xlfn.XLOOKUP(S12:AL12,增益!$A:$A,增益!$F:$F,0)))/100)</f>
        <v>0.2139</v>
      </c>
      <c r="AW12" s="29" cm="1">
        <f t="array" ref="AW12">$G$10+VLOOKUP($R12,武学奇术!$A:$ZZ,7,FALSE)+SUM(_xlfn.XLOOKUP(S12:AL12,增益!$A:$A,增益!$G:$G,0))</f>
        <v>0.06</v>
      </c>
      <c r="AX12" s="23" cm="1">
        <f t="array" ref="AX12">VLOOKUP($R12,武学奇术!$A:$ZZ,8,FALSE)+SUM(_xlfn.XLOOKUP(S12:AL12,增益!$A:$A,增益!$H:$H,0))</f>
        <v>0</v>
      </c>
      <c r="AY12">
        <f t="shared" si="1"/>
        <v>0</v>
      </c>
      <c r="AZ12">
        <f t="shared" si="2"/>
        <v>0</v>
      </c>
      <c r="BA12" s="29" cm="1">
        <f t="array" ref="BA12">IF($F$11-$I$4+VLOOKUP($R12,武学奇术!$A:$ZZ,9,FALSE)+SUM(_xlfn.XLOOKUP(S12:AL12,增益!$A:$A,增益!$I:$I,0))&gt;0,($F$11-$I$4+VLOOKUP($R12,武学奇术!$A:$ZZ,9,FALSE)+SUM(_xlfn.XLOOKUP(S12:AL12,增益!$A:$A,增益!$I:$I,0)))/200,($F$11-$I$4+VLOOKUP($R12,武学奇术!$A:$ZZ,9,FALSE)+SUM(_xlfn.XLOOKUP(S12:AL12,增益!$A:$A,增益!$I:$I,0)))/100)</f>
        <v>-0.3</v>
      </c>
      <c r="BB12" s="29" cm="1">
        <f t="array" ref="BB12">$G$11+VLOOKUP($R12,武学奇术!$A:$ZZ,10,FALSE)+SUM(_xlfn.XLOOKUP(S12:AL12,增益!$A:$A,增益!$J:$J,0))</f>
        <v>0</v>
      </c>
      <c r="BC12">
        <f t="shared" si="3"/>
        <v>0</v>
      </c>
      <c r="BD12">
        <f t="shared" si="4"/>
        <v>0</v>
      </c>
      <c r="BE12" s="29" cm="1">
        <f t="array" ref="BE12">IF($F$12-$I$4+VLOOKUP($R12,武学奇术!$A:$ZZ,11,FALSE)+SUM(_xlfn.XLOOKUP(S12:AL12,增益!$A:$A,增益!$K:$K,0))&gt;0,($F$12-$I$4+VLOOKUP($R12,武学奇术!$A:$ZZ,11,FALSE)+SUM(_xlfn.XLOOKUP(S12:AL12,增益!$A:$A,增益!$K:$K,0)))/200,($F$12-$I$4+VLOOKUP($R12,武学奇术!$A:$ZZ,11,FALSE)+SUM(_xlfn.XLOOKUP(S12:AL12,增益!$A:$A,增益!$K:$K,0)))/100)</f>
        <v>-0.3</v>
      </c>
      <c r="BF12" s="29" cm="1">
        <f t="array" ref="BF12">$G$12+VLOOKUP($R12,武学奇术!$A:$ZZ,12,FALSE)+SUM(_xlfn.XLOOKUP(S12:AL12,增益!$A:$A,增益!$L:$L,0))</f>
        <v>0</v>
      </c>
      <c r="BG12">
        <f t="shared" si="5"/>
        <v>0</v>
      </c>
      <c r="BH12">
        <f t="shared" si="6"/>
        <v>0</v>
      </c>
      <c r="BI12" s="29" cm="1">
        <f t="array" ref="BI12">IF($F$13-$I$4+VLOOKUP($R12,武学奇术!$A:$ZZ,13,FALSE)+SUM(_xlfn.XLOOKUP(S12:AL12,增益!$A:$A,增益!$M:$M,0))&gt;0,($F$13-$I$4+VLOOKUP($R12,武学奇术!$A:$ZZ,13,FALSE)+SUM(_xlfn.XLOOKUP(S12:AL12,增益!$A:$A,增益!$K:$K,0)))/200,($F$13-$I$4+VLOOKUP($R12,武学奇术!$A:$ZZ,13,FALSE)+SUM(_xlfn.XLOOKUP(S12:AL12,增益!$A:$A,增益!$M:$M,0)))/100)</f>
        <v>-0.3</v>
      </c>
      <c r="BJ12" s="29" cm="1">
        <f t="array" ref="BJ12">$G$13+VLOOKUP($R12,武学奇术!$A:$ZZ,14,FALSE)+SUM(_xlfn.XLOOKUP(S12:AL12,增益!$A:$A,增益!$N:$N,0))</f>
        <v>0</v>
      </c>
      <c r="BK12">
        <f t="shared" si="7"/>
        <v>618.2</v>
      </c>
      <c r="BL12">
        <f t="shared" si="8"/>
        <v>1805</v>
      </c>
      <c r="BM12" s="29" cm="1">
        <f t="array" ref="BM12">IF($F$14-$I$4+VLOOKUP($R12,武学奇术!$A:$ZZ,15,FALSE)+SUM(_xlfn.XLOOKUP(S12:AL12,增益!$A:$A,增益!$O:$O,0))&gt;0,($F$14-$I$4+VLOOKUP($R12,武学奇术!$A:$ZZ,15,FALSE)+SUM(_xlfn.XLOOKUP(S12:AL12,增益!$A:$A,增益!$O:$O,0)))/200,($F$14-$I$4+VLOOKUP($R12,武学奇术!$A:$ZZ,15,FALSE)+SUM(_xlfn.XLOOKUP(S12:AL12,增益!$A:$A,增益!$O:$O,0)))/100)</f>
        <v>0.05</v>
      </c>
      <c r="BN12" s="29" cm="1">
        <f t="array" ref="BN12">$G$14+VLOOKUP($R12,武学奇术!$A:$ZZ,16,FALSE)+SUM(_xlfn.XLOOKUP(S12:AL12,增益!$A:$A,增益!$P:$P,0))</f>
        <v>0.21</v>
      </c>
      <c r="BO12" s="23">
        <f>MIN(IF(VLOOKUP($R12,武学奇术!$A:$ZZ,23,FALSE)=1,100%,$B$8),100%)</f>
        <v>0.9943</v>
      </c>
      <c r="BP12" s="23" cm="1">
        <f t="array" ref="BP12">IF(VLOOKUP($R12,武学奇术!$A:$ZZ,23,FALSE)=1,100%,MIN(80%,$B$9+VLOOKUP($R12,武学奇术!$A:$ZZ,17,FALSE)+SUM(_xlfn.XLOOKUP(S12:AL12,增益!$A:$A,增益!$Q:$Q,0)))+$B$11+SUM(_xlfn.XLOOKUP(S12:AL12,增益!$A:$A,增益!$U:$U,0)))*IF(VLOOKUP($R12,武学奇术!$A:$ZZ,24,FALSE)=1,0,1)</f>
        <v>0.8</v>
      </c>
      <c r="BQ12" s="23" cm="1">
        <f t="array" ref="BQ12">1+$B$13+VLOOKUP($R12,武学奇术!$A:$ZZ,18,FALSE)+SUM(_xlfn.XLOOKUP(S12:AL12,增益!$A:$A,增益!$R:$R,0))</f>
        <v>1.554</v>
      </c>
      <c r="BR12" s="23" cm="1">
        <f t="array" ref="BR12">IF(VLOOKUP($R12,武学奇术!$A:$ZZ,24,FALSE)=1,100%,MIN(40%,$B$10+VLOOKUP($R12,武学奇术!$A:$ZZ,19,FALSE)+SUM(_xlfn.XLOOKUP(S12:AL12,增益!$A:$A,增益!$S:$S,0)))+$B$12+SUM(_xlfn.XLOOKUP(S12:AL12,增益!$A:$A,增益!$V:$V,0)))*IF(VLOOKUP($R12,武学奇术!$A:$ZZ,23,FALSE)=1,0,1)</f>
        <v>0.0913</v>
      </c>
      <c r="BS12" s="23" cm="1">
        <f t="array" ref="BS12">1+$B$14+VLOOKUP($R12,武学奇术!$A:$ZZ,20,FALSE)+SUM(_xlfn.XLOOKUP(S12:AL12,增益!$A:$A,增益!$T:$T,0))</f>
        <v>1.35</v>
      </c>
      <c r="BT12" s="23">
        <f t="shared" si="9"/>
        <v>0.79544</v>
      </c>
      <c r="BU12" s="23">
        <f t="shared" si="10"/>
        <v>0.10808041</v>
      </c>
      <c r="BV12" s="23">
        <f>IF(VLOOKUP($R12,武学奇术!$A:$ZZ,22,FALSE)=1,0,(1-$BO12))*(1-$BR12)</f>
        <v>0.00517959000000003</v>
      </c>
      <c r="BW12" s="23" cm="1">
        <f t="array" ref="BW12">SUM(_xlfn.XLOOKUP(S12:AL12,增益!$A:$A,增益!$W:$W,0))+$I$5</f>
        <v>0.11</v>
      </c>
      <c r="BX12" s="23">
        <f>VLOOKUP($R12,武学奇术!$A:$ZZ,32,FALSE)</f>
        <v>0.1</v>
      </c>
      <c r="BY12" s="23" cm="1">
        <f t="array" ref="BY12">SUM(_xlfn.XLOOKUP($S12:$AL12,增益!$A:$A,增益!$X:$X,0))</f>
        <v>0</v>
      </c>
    </row>
    <row r="13" ht="14.25" spans="1:77">
      <c r="A13" s="39" t="s">
        <v>122</v>
      </c>
      <c r="B13" s="71">
        <f>期望!B13</f>
        <v>0.544</v>
      </c>
      <c r="C13" s="12" t="s">
        <v>96</v>
      </c>
      <c r="D13">
        <f>期望!D13</f>
        <v>0</v>
      </c>
      <c r="E13">
        <f>期望!E13</f>
        <v>0</v>
      </c>
      <c r="F13">
        <f>期望!F13</f>
        <v>0</v>
      </c>
      <c r="G13" s="11">
        <f>期望!G13</f>
        <v>0</v>
      </c>
      <c r="H13" s="72"/>
      <c r="I13" s="79"/>
      <c r="J13" s="77"/>
      <c r="K13" s="35">
        <f>$L13*VLOOKUP($R13,武学奇术!$A:$ZZ,31,FALSE)</f>
        <v>15372.3572286658</v>
      </c>
      <c r="L13" s="58">
        <f t="shared" si="0"/>
        <v>15070.9384594763</v>
      </c>
      <c r="M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轻击",$B$21,0))*(1+IF(VLOOKUP($R13,武学奇术!$A:$ZZ,30,FALSE)="老鼠",$B$22,0))*(1+$BW13)*(1+$BX13)</f>
        <v>15740.5161076579</v>
      </c>
      <c r="N13" s="35">
        <f>(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轻击",$B$21,0))*(1+IF(VLOOKUP($R13,武学奇术!$A:$ZZ,30,FALSE)="老鼠",$B$22,0))*(1+$BW13))*(1+$BX13)</f>
        <v>15442.1844982695</v>
      </c>
      <c r="O13" s="35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轻击",$B$21,0))*(1+IF(VLOOKUP($R13,武学奇术!$A:$ZZ,30,FALSE)="老鼠",$B$22,0))*(1+$BW13)*(1+$BX13)</f>
        <v>10129.0322443101</v>
      </c>
      <c r="P13" s="35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轻击",$B$21,0))*(1+IF(VLOOKUP($R13,武学奇术!$A:$ZZ,30,FALSE)="老鼠",$B$22,0))*(1+$BW13)*(1+$BX13)</f>
        <v>8819.40930471693</v>
      </c>
      <c r="Q13" s="36">
        <v>1</v>
      </c>
      <c r="R13" s="37" t="s">
        <v>123</v>
      </c>
      <c r="S13" s="37" t="s">
        <v>121</v>
      </c>
      <c r="T13" s="37" t="s">
        <v>108</v>
      </c>
      <c r="U13" s="37" t="s">
        <v>81</v>
      </c>
      <c r="V13" s="37" t="s">
        <v>81</v>
      </c>
      <c r="W13" s="37" t="s">
        <v>82</v>
      </c>
      <c r="X13" s="37" t="s">
        <v>81</v>
      </c>
      <c r="Y13" s="37" t="s">
        <v>81</v>
      </c>
      <c r="Z13" s="37" t="s">
        <v>81</v>
      </c>
      <c r="AA13" s="37" t="s">
        <v>81</v>
      </c>
      <c r="AB13" s="37" t="s">
        <v>81</v>
      </c>
      <c r="AC13" s="37" t="s">
        <v>81</v>
      </c>
      <c r="AD13" s="37" t="s">
        <v>81</v>
      </c>
      <c r="AE13" s="37" t="s">
        <v>81</v>
      </c>
      <c r="AF13" s="37" t="s">
        <v>81</v>
      </c>
      <c r="AG13" s="37" t="s">
        <v>87</v>
      </c>
      <c r="AH13" s="37" t="s">
        <v>81</v>
      </c>
      <c r="AI13" s="37" t="s">
        <v>81</v>
      </c>
      <c r="AJ13" s="37" t="s">
        <v>81</v>
      </c>
      <c r="AK13" s="37" t="s">
        <v>81</v>
      </c>
      <c r="AL13" s="37" t="s">
        <v>81</v>
      </c>
      <c r="AM13" t="str">
        <f>VLOOKUP($R13,武学奇术!$A:$ZZ,25,FALSE)</f>
        <v>双刀</v>
      </c>
      <c r="AN13" s="23">
        <f>VLOOKUP($R13,武学奇术!$A:$ZZ,26,FALSE)</f>
        <v>0.8267</v>
      </c>
      <c r="AO13" s="24">
        <f>VLOOKUP($R13,武学奇术!$A:$ZZ,27,FALSE)*(1+IF(OR($AM13=$F$4,$AM13=$F$5),$B$23,0))</f>
        <v>366.4</v>
      </c>
      <c r="AP13" s="23">
        <f>VLOOKUP($R13,武学奇术!$A:$ZZ,28,FALSE)</f>
        <v>1.24</v>
      </c>
      <c r="AQ13" s="24">
        <f>VLOOKUP($R13,武学奇术!$A:$ZZ,29,FALSE)*(1+IF(OR($AM13=$F$4,$AM13=$F$5),$B$23,0))</f>
        <v>200</v>
      </c>
      <c r="AR13" s="23" cm="1">
        <f t="array" ref="AR13">$G$3+IFERROR(VLOOKUP($AM13,$F$4:$G$7,2,FALSE),0)+VLOOKUP($R13,武学奇术!$A:$ZZ,2,FALSE)+SUM(_xlfn.XLOOKUP($S13:$AL13,增益!$A:$A,增益!$B:$B,0))</f>
        <v>0.3943</v>
      </c>
      <c r="AS13" s="23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4013</v>
      </c>
      <c r="AU13" cm="1">
        <f t="array" ref="AU13">$E$10*(1+$AS13)+VLOOKUP($R13,武学奇术!$A:$ZZ,4,FALSE)+SUM(_xlfn.XLOOKUP($S13:$AL13,增益!$A:$A,增益!$D:$D,0))-$I$2</f>
        <v>4013</v>
      </c>
      <c r="AV13" s="29" cm="1">
        <f t="array" ref="AV13">IF($F$10-$I$3+VLOOKUP($R13,武学奇术!$A:$ZZ,6,FALSE)+SUM(_xlfn.XLOOKUP(S13:AL13,增益!$A:$A,增益!$F:$F,0))&gt;0,($F$10-$I$3+VLOOKUP($R13,武学奇术!$A:$ZZ,6,FALSE)+SUM(_xlfn.XLOOKUP(S13:AL13,增益!$A:$A,增益!$F:$F,0)))/200,($F$10-$I$3+VLOOKUP($R13,武学奇术!$A:$ZZ,6,FALSE)+SUM(_xlfn.XLOOKUP(S13:AL13,增益!$A:$A,增益!$F:$F,0)))/100)</f>
        <v>0.2139</v>
      </c>
      <c r="AW13" s="29" cm="1">
        <f t="array" ref="AW13">$G$10+VLOOKUP($R13,武学奇术!$A:$ZZ,7,FALSE)+SUM(_xlfn.XLOOKUP(S13:AL13,增益!$A:$A,增益!$G:$G,0))</f>
        <v>0</v>
      </c>
      <c r="AX13" s="23" cm="1">
        <f t="array" ref="AX13">VLOOKUP($R13,武学奇术!$A:$ZZ,8,FALSE)+SUM(_xlfn.XLOOKUP(S13:AL13,增益!$A:$A,增益!$H:$H,0))</f>
        <v>0</v>
      </c>
      <c r="AY13">
        <f t="shared" si="1"/>
        <v>0</v>
      </c>
      <c r="AZ13">
        <f t="shared" si="2"/>
        <v>0</v>
      </c>
      <c r="BA13" s="29" cm="1">
        <f t="array" ref="BA13">IF($F$11-$I$4+VLOOKUP($R13,武学奇术!$A:$ZZ,9,FALSE)+SUM(_xlfn.XLOOKUP(S13:AL13,增益!$A:$A,增益!$I:$I,0))&gt;0,($F$11-$I$4+VLOOKUP($R13,武学奇术!$A:$ZZ,9,FALSE)+SUM(_xlfn.XLOOKUP(S13:AL13,增益!$A:$A,增益!$I:$I,0)))/200,($F$11-$I$4+VLOOKUP($R13,武学奇术!$A:$ZZ,9,FALSE)+SUM(_xlfn.XLOOKUP(S13:AL13,增益!$A:$A,增益!$I:$I,0)))/100)</f>
        <v>-0.3</v>
      </c>
      <c r="BB13" s="29" cm="1">
        <f t="array" ref="BB13">$G$11+VLOOKUP($R13,武学奇术!$A:$ZZ,10,FALSE)+SUM(_xlfn.XLOOKUP(S13:AL13,增益!$A:$A,增益!$J:$J,0))</f>
        <v>0</v>
      </c>
      <c r="BC13">
        <f t="shared" si="3"/>
        <v>0</v>
      </c>
      <c r="BD13">
        <f t="shared" si="4"/>
        <v>0</v>
      </c>
      <c r="BE13" s="29" cm="1">
        <f t="array" ref="BE13">IF($F$12-$I$4+VLOOKUP($R13,武学奇术!$A:$ZZ,11,FALSE)+SUM(_xlfn.XLOOKUP(S13:AL13,增益!$A:$A,增益!$K:$K,0))&gt;0,($F$12-$I$4+VLOOKUP($R13,武学奇术!$A:$ZZ,11,FALSE)+SUM(_xlfn.XLOOKUP(S13:AL13,增益!$A:$A,增益!$K:$K,0)))/200,($F$12-$I$4+VLOOKUP($R13,武学奇术!$A:$ZZ,11,FALSE)+SUM(_xlfn.XLOOKUP(S13:AL13,增益!$A:$A,增益!$K:$K,0)))/100)</f>
        <v>-0.3</v>
      </c>
      <c r="BF13" s="29" cm="1">
        <f t="array" ref="BF13">$G$12+VLOOKUP($R13,武学奇术!$A:$ZZ,12,FALSE)+SUM(_xlfn.XLOOKUP(S13:AL13,增益!$A:$A,增益!$L:$L,0))</f>
        <v>0</v>
      </c>
      <c r="BG13">
        <f t="shared" si="5"/>
        <v>0</v>
      </c>
      <c r="BH13">
        <f t="shared" si="6"/>
        <v>0</v>
      </c>
      <c r="BI13" s="29" cm="1">
        <f t="array" ref="BI13">IF($F$13-$I$4+VLOOKUP($R13,武学奇术!$A:$ZZ,13,FALSE)+SUM(_xlfn.XLOOKUP(S13:AL13,增益!$A:$A,增益!$M:$M,0))&gt;0,($F$13-$I$4+VLOOKUP($R13,武学奇术!$A:$ZZ,13,FALSE)+SUM(_xlfn.XLOOKUP(S13:AL13,增益!$A:$A,增益!$K:$K,0)))/200,($F$13-$I$4+VLOOKUP($R13,武学奇术!$A:$ZZ,13,FALSE)+SUM(_xlfn.XLOOKUP(S13:AL13,增益!$A:$A,增益!$M:$M,0)))/100)</f>
        <v>-0.3</v>
      </c>
      <c r="BJ13" s="29" cm="1">
        <f t="array" ref="BJ13">$G$13+VLOOKUP($R13,武学奇术!$A:$ZZ,14,FALSE)+SUM(_xlfn.XLOOKUP(S13:AL13,增益!$A:$A,增益!$N:$N,0))</f>
        <v>0</v>
      </c>
      <c r="BK13">
        <f t="shared" si="7"/>
        <v>618.2</v>
      </c>
      <c r="BL13">
        <f t="shared" si="8"/>
        <v>1805</v>
      </c>
      <c r="BM13" s="29" cm="1">
        <f t="array" ref="BM13">IF($F$14-$I$4+VLOOKUP($R13,武学奇术!$A:$ZZ,15,FALSE)+SUM(_xlfn.XLOOKUP(S13:AL13,增益!$A:$A,增益!$O:$O,0))&gt;0,($F$14-$I$4+VLOOKUP($R13,武学奇术!$A:$ZZ,15,FALSE)+SUM(_xlfn.XLOOKUP(S13:AL13,增益!$A:$A,增益!$O:$O,0)))/200,($F$14-$I$4+VLOOKUP($R13,武学奇术!$A:$ZZ,15,FALSE)+SUM(_xlfn.XLOOKUP(S13:AL13,增益!$A:$A,增益!$O:$O,0)))/100)</f>
        <v>0</v>
      </c>
      <c r="BN13" s="29" cm="1">
        <f t="array" ref="BN13">$G$14+VLOOKUP($R13,武学奇术!$A:$ZZ,16,FALSE)+SUM(_xlfn.XLOOKUP(S13:AL13,增益!$A:$A,增益!$P:$P,0))</f>
        <v>0.15</v>
      </c>
      <c r="BO13" s="23">
        <f>MIN(IF(VLOOKUP($R13,武学奇术!$A:$ZZ,23,FALSE)=1,100%,$B$8),100%)</f>
        <v>0.9943</v>
      </c>
      <c r="BP13" s="23" cm="1">
        <f t="array" ref="BP13">IF(VLOOKUP($R13,武学奇术!$A:$ZZ,23,FALSE)=1,100%,MIN(80%,$B$9+VLOOKUP($R13,武学奇术!$A:$ZZ,17,FALSE)+SUM(_xlfn.XLOOKUP(S13:AL13,增益!$A:$A,增益!$Q:$Q,0)))+$B$11+SUM(_xlfn.XLOOKUP(S13:AL13,增益!$A:$A,增益!$U:$U,0)))*IF(VLOOKUP($R13,武学奇术!$A:$ZZ,24,FALSE)=1,0,1)</f>
        <v>0.8</v>
      </c>
      <c r="BQ13" s="23" cm="1">
        <f t="array" ref="BQ13">1+$B$13+VLOOKUP($R13,武学奇术!$A:$ZZ,18,FALSE)+SUM(_xlfn.XLOOKUP(S13:AL13,增益!$A:$A,增益!$R:$R,0))</f>
        <v>1.554</v>
      </c>
      <c r="BR13" s="23" cm="1">
        <f t="array" ref="BR13">IF(VLOOKUP($R13,武学奇术!$A:$ZZ,24,FALSE)=1,100%,MIN(40%,$B$10+VLOOKUP($R13,武学奇术!$A:$ZZ,19,FALSE)+SUM(_xlfn.XLOOKUP(S13:AL13,增益!$A:$A,增益!$S:$S,0)))+$B$12+SUM(_xlfn.XLOOKUP(S13:AL13,增益!$A:$A,增益!$V:$V,0)))*IF(VLOOKUP($R13,武学奇术!$A:$ZZ,23,FALSE)=1,0,1)</f>
        <v>0.0913</v>
      </c>
      <c r="BS13" s="23" cm="1">
        <f t="array" ref="BS13">1+$B$14+VLOOKUP($R13,武学奇术!$A:$ZZ,20,FALSE)+SUM(_xlfn.XLOOKUP(S13:AL13,增益!$A:$A,增益!$T:$T,0))</f>
        <v>1.35</v>
      </c>
      <c r="BT13" s="23">
        <f t="shared" si="9"/>
        <v>0.79544</v>
      </c>
      <c r="BU13" s="23">
        <f t="shared" si="10"/>
        <v>0.10808041</v>
      </c>
      <c r="BV13" s="23">
        <f>IF(VLOOKUP($R13,武学奇术!$A:$ZZ,22,FALSE)=1,0,(1-$BO13))*(1-$BR13)</f>
        <v>0.00517959000000003</v>
      </c>
      <c r="BW13" s="23" cm="1">
        <f t="array" ref="BW13">SUM(_xlfn.XLOOKUP(S13:AL13,增益!$A:$A,增益!$W:$W,0))+$I$5</f>
        <v>0.11</v>
      </c>
      <c r="BX13" s="23">
        <f>VLOOKUP($R13,武学奇术!$A:$ZZ,32,FALSE)</f>
        <v>0</v>
      </c>
      <c r="BY13" s="23" cm="1">
        <f t="array" ref="BY13">SUM(_xlfn.XLOOKUP($S13:$AL13,增益!$A:$A,增益!$X:$X,0))</f>
        <v>0</v>
      </c>
    </row>
    <row r="14" ht="14.25" spans="1:77">
      <c r="A14" s="39" t="s">
        <v>124</v>
      </c>
      <c r="B14" s="71">
        <f>期望!B14</f>
        <v>0.35</v>
      </c>
      <c r="C14" s="14" t="s">
        <v>5</v>
      </c>
      <c r="D14" s="14">
        <f>期望!D14</f>
        <v>618.2</v>
      </c>
      <c r="E14" s="14">
        <f>期望!E14</f>
        <v>1805</v>
      </c>
      <c r="F14" s="14">
        <f>期望!F14</f>
        <v>30</v>
      </c>
      <c r="G14" s="15">
        <f>期望!G14</f>
        <v>0.15</v>
      </c>
      <c r="H14" s="33" t="s">
        <v>125</v>
      </c>
      <c r="I14" s="74">
        <f>I12</f>
        <v>154331.243461833</v>
      </c>
      <c r="J14" s="75"/>
      <c r="K14" s="35">
        <f>$L14*VLOOKUP($R14,武学奇术!$A:$ZZ,31,FALSE)</f>
        <v>51173.2801056586</v>
      </c>
      <c r="L14" s="69">
        <f t="shared" si="0"/>
        <v>50169.882456528</v>
      </c>
      <c r="M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轻击",$B$21,0))*(1+IF(VLOOKUP($R14,武学奇术!$A:$ZZ,30,FALSE)="老鼠",$B$22,0))*(1+$BW14)*(1+$BX14)</f>
        <v>52323.5773528751</v>
      </c>
      <c r="N14" s="35">
        <f>(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轻击",$B$21,0))*(1+IF(VLOOKUP($R14,武学奇术!$A:$ZZ,30,FALSE)="老鼠",$B$22,0))*(1+$BW14))*(1+$BX14)</f>
        <v>52155.8933353653</v>
      </c>
      <c r="O14" s="35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轻击",$B$21,0))*(1+IF(VLOOKUP($R14,武学奇术!$A:$ZZ,30,FALSE)="老鼠",$B$22,0))*(1+$BW14)*(1+$BX14)</f>
        <v>33670.2556968308</v>
      </c>
      <c r="P14" s="35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轻击",$B$21,0))*(1+IF(VLOOKUP($R14,武学奇术!$A:$ZZ,30,FALSE)="老鼠",$B$22,0))*(1+$BW14)*(1+$BX14)</f>
        <v>28706.516330428</v>
      </c>
      <c r="Q14" s="70">
        <v>3</v>
      </c>
      <c r="R14" s="37" t="s">
        <v>106</v>
      </c>
      <c r="S14" s="37" t="s">
        <v>121</v>
      </c>
      <c r="T14" s="37" t="s">
        <v>108</v>
      </c>
      <c r="U14" s="37" t="s">
        <v>112</v>
      </c>
      <c r="V14" s="37" t="s">
        <v>113</v>
      </c>
      <c r="W14" s="37" t="s">
        <v>82</v>
      </c>
      <c r="X14" s="37" t="s">
        <v>81</v>
      </c>
      <c r="Y14" s="37" t="s">
        <v>109</v>
      </c>
      <c r="Z14" s="37" t="s">
        <v>81</v>
      </c>
      <c r="AA14" s="37" t="s">
        <v>81</v>
      </c>
      <c r="AB14" s="37" t="s">
        <v>81</v>
      </c>
      <c r="AC14" s="37" t="s">
        <v>81</v>
      </c>
      <c r="AD14" s="37" t="s">
        <v>81</v>
      </c>
      <c r="AE14" s="37" t="s">
        <v>81</v>
      </c>
      <c r="AF14" s="37" t="s">
        <v>81</v>
      </c>
      <c r="AG14" s="37" t="s">
        <v>87</v>
      </c>
      <c r="AH14" s="37" t="s">
        <v>81</v>
      </c>
      <c r="AI14" s="37" t="s">
        <v>81</v>
      </c>
      <c r="AJ14" s="37" t="s">
        <v>81</v>
      </c>
      <c r="AK14" s="37" t="s">
        <v>81</v>
      </c>
      <c r="AL14" s="37" t="s">
        <v>81</v>
      </c>
      <c r="AM14" t="str">
        <f>VLOOKUP($R14,武学奇术!$A:$ZZ,25,FALSE)</f>
        <v>绳镖</v>
      </c>
      <c r="AN14" s="23">
        <f>VLOOKUP($R14,武学奇术!$A:$ZZ,26,FALSE)</f>
        <v>0.3675</v>
      </c>
      <c r="AO14" s="24">
        <f>VLOOKUP($R14,武学奇术!$A:$ZZ,27,FALSE)*(1+IF(OR($AM14=$F$4,$AM14=$F$5),$B$23,0))</f>
        <v>0</v>
      </c>
      <c r="AP14" s="23">
        <f>VLOOKUP($R14,武学奇术!$A:$ZZ,28,FALSE)</f>
        <v>0.55125</v>
      </c>
      <c r="AQ14" s="24">
        <f>VLOOKUP($R14,武学奇术!$A:$ZZ,29,FALSE)*(1+IF(OR($AM14=$F$4,$AM14=$F$5),$B$23,0))</f>
        <v>0</v>
      </c>
      <c r="AR14" s="23" cm="1">
        <f t="array" ref="AR14">$G$3+IFERROR(VLOOKUP($AM14,$F$4:$G$7,2,FALSE),0)+VLOOKUP($R14,武学奇术!$A:$ZZ,2,FALSE)+SUM(_xlfn.XLOOKUP($S14:$AL14,增益!$A:$A,增益!$B:$B,0))</f>
        <v>1.3143</v>
      </c>
      <c r="AS14" s="23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4081.7</v>
      </c>
      <c r="AU14" cm="1">
        <f t="array" ref="AU14">$E$10*(1+$AS14)+VLOOKUP($R14,武学奇术!$A:$ZZ,4,FALSE)+SUM(_xlfn.XLOOKUP($S14:$AL14,增益!$A:$A,增益!$D:$D,0))-$I$2</f>
        <v>4081.7</v>
      </c>
      <c r="AV14" s="29" cm="1">
        <f t="array" ref="AV14">IF($F$10-$I$3+VLOOKUP($R14,武学奇术!$A:$ZZ,6,FALSE)+SUM(_xlfn.XLOOKUP(S14:AL14,增益!$A:$A,增益!$F:$F,0))&gt;0,($F$10-$I$3+VLOOKUP($R14,武学奇术!$A:$ZZ,6,FALSE)+SUM(_xlfn.XLOOKUP(S14:AL14,增益!$A:$A,增益!$F:$F,0)))/200,($F$10-$I$3+VLOOKUP($R14,武学奇术!$A:$ZZ,6,FALSE)+SUM(_xlfn.XLOOKUP(S14:AL14,增益!$A:$A,增益!$F:$F,0)))/100)</f>
        <v>0.2139</v>
      </c>
      <c r="AW14" s="29" cm="1">
        <f t="array" ref="AW14">$G$10+VLOOKUP($R14,武学奇术!$A:$ZZ,7,FALSE)+SUM(_xlfn.XLOOKUP(S14:AL14,增益!$A:$A,增益!$G:$G,0))</f>
        <v>0.27</v>
      </c>
      <c r="AX14" s="23" cm="1">
        <f t="array" ref="AX14">VLOOKUP($R14,武学奇术!$A:$ZZ,8,FALSE)+SUM(_xlfn.XLOOKUP(S14:AL14,增益!$A:$A,增益!$H:$H,0))</f>
        <v>0</v>
      </c>
      <c r="AY14">
        <f t="shared" si="1"/>
        <v>0</v>
      </c>
      <c r="AZ14">
        <f t="shared" si="2"/>
        <v>0</v>
      </c>
      <c r="BA14" s="29" cm="1">
        <f t="array" ref="BA14">IF($F$11-$I$4+VLOOKUP($R14,武学奇术!$A:$ZZ,9,FALSE)+SUM(_xlfn.XLOOKUP(S14:AL14,增益!$A:$A,增益!$I:$I,0))&gt;0,($F$11-$I$4+VLOOKUP($R14,武学奇术!$A:$ZZ,9,FALSE)+SUM(_xlfn.XLOOKUP(S14:AL14,增益!$A:$A,增益!$I:$I,0)))/200,($F$11-$I$4+VLOOKUP($R14,武学奇术!$A:$ZZ,9,FALSE)+SUM(_xlfn.XLOOKUP(S14:AL14,增益!$A:$A,增益!$I:$I,0)))/100)</f>
        <v>-0.3</v>
      </c>
      <c r="BB14" s="29" cm="1">
        <f t="array" ref="BB14">$G$11+VLOOKUP($R14,武学奇术!$A:$ZZ,10,FALSE)+SUM(_xlfn.XLOOKUP(S14:AL14,增益!$A:$A,增益!$J:$J,0))</f>
        <v>0</v>
      </c>
      <c r="BC14">
        <f t="shared" si="3"/>
        <v>0</v>
      </c>
      <c r="BD14">
        <f t="shared" si="4"/>
        <v>0</v>
      </c>
      <c r="BE14" s="29" cm="1">
        <f t="array" ref="BE14">IF($F$12-$I$4+VLOOKUP($R14,武学奇术!$A:$ZZ,11,FALSE)+SUM(_xlfn.XLOOKUP(S14:AL14,增益!$A:$A,增益!$K:$K,0))&gt;0,($F$12-$I$4+VLOOKUP($R14,武学奇术!$A:$ZZ,11,FALSE)+SUM(_xlfn.XLOOKUP(S14:AL14,增益!$A:$A,增益!$K:$K,0)))/200,($F$12-$I$4+VLOOKUP($R14,武学奇术!$A:$ZZ,11,FALSE)+SUM(_xlfn.XLOOKUP(S14:AL14,增益!$A:$A,增益!$K:$K,0)))/100)</f>
        <v>-0.3</v>
      </c>
      <c r="BF14" s="29" cm="1">
        <f t="array" ref="BF14">$G$12+VLOOKUP($R14,武学奇术!$A:$ZZ,12,FALSE)+SUM(_xlfn.XLOOKUP(S14:AL14,增益!$A:$A,增益!$L:$L,0))</f>
        <v>0</v>
      </c>
      <c r="BG14">
        <f t="shared" si="5"/>
        <v>0</v>
      </c>
      <c r="BH14">
        <f t="shared" si="6"/>
        <v>0</v>
      </c>
      <c r="BI14" s="29" cm="1">
        <f t="array" ref="BI14">IF($F$13-$I$4+VLOOKUP($R14,武学奇术!$A:$ZZ,13,FALSE)+SUM(_xlfn.XLOOKUP(S14:AL14,增益!$A:$A,增益!$M:$M,0))&gt;0,($F$13-$I$4+VLOOKUP($R14,武学奇术!$A:$ZZ,13,FALSE)+SUM(_xlfn.XLOOKUP(S14:AL14,增益!$A:$A,增益!$K:$K,0)))/200,($F$13-$I$4+VLOOKUP($R14,武学奇术!$A:$ZZ,13,FALSE)+SUM(_xlfn.XLOOKUP(S14:AL14,增益!$A:$A,增益!$M:$M,0)))/100)</f>
        <v>-0.3</v>
      </c>
      <c r="BJ14" s="29" cm="1">
        <f t="array" ref="BJ14">$G$13+VLOOKUP($R14,武学奇术!$A:$ZZ,14,FALSE)+SUM(_xlfn.XLOOKUP(S14:AL14,增益!$A:$A,增益!$N:$N,0))</f>
        <v>0</v>
      </c>
      <c r="BK14">
        <f t="shared" si="7"/>
        <v>618.2</v>
      </c>
      <c r="BL14">
        <f t="shared" si="8"/>
        <v>1805</v>
      </c>
      <c r="BM14" s="29" cm="1">
        <f t="array" ref="BM14">IF($F$14-$I$4+VLOOKUP($R14,武学奇术!$A:$ZZ,15,FALSE)+SUM(_xlfn.XLOOKUP(S14:AL14,增益!$A:$A,增益!$O:$O,0))&gt;0,($F$14-$I$4+VLOOKUP($R14,武学奇术!$A:$ZZ,15,FALSE)+SUM(_xlfn.XLOOKUP(S14:AL14,增益!$A:$A,增益!$O:$O,0)))/200,($F$14-$I$4+VLOOKUP($R14,武学奇术!$A:$ZZ,15,FALSE)+SUM(_xlfn.XLOOKUP(S14:AL14,增益!$A:$A,增益!$O:$O,0)))/100)</f>
        <v>0.05</v>
      </c>
      <c r="BN14" s="29" cm="1">
        <f t="array" ref="BN14">$G$14+VLOOKUP($R14,武学奇术!$A:$ZZ,16,FALSE)+SUM(_xlfn.XLOOKUP(S14:AL14,增益!$A:$A,增益!$P:$P,0))</f>
        <v>0.42</v>
      </c>
      <c r="BO14" s="23">
        <f>MIN(IF(VLOOKUP($R14,武学奇术!$A:$ZZ,23,FALSE)=1,100%,$B$8),100%)</f>
        <v>0.9943</v>
      </c>
      <c r="BP14" s="23" cm="1">
        <f t="array" ref="BP14">IF(VLOOKUP($R14,武学奇术!$A:$ZZ,23,FALSE)=1,100%,MIN(80%,$B$9+VLOOKUP($R14,武学奇术!$A:$ZZ,17,FALSE)+SUM(_xlfn.XLOOKUP(S14:AL14,增益!$A:$A,增益!$Q:$Q,0)))+$B$11+SUM(_xlfn.XLOOKUP(S14:AL14,增益!$A:$A,增益!$U:$U,0)))*IF(VLOOKUP($R14,武学奇术!$A:$ZZ,24,FALSE)=1,0,1)</f>
        <v>0.8</v>
      </c>
      <c r="BQ14" s="23" cm="1">
        <f t="array" ref="BQ14">1+$B$13+VLOOKUP($R14,武学奇术!$A:$ZZ,18,FALSE)+SUM(_xlfn.XLOOKUP(S14:AL14,增益!$A:$A,增益!$R:$R,0))</f>
        <v>1.554</v>
      </c>
      <c r="BR14" s="23" cm="1">
        <f t="array" ref="BR14">IF(VLOOKUP($R14,武学奇术!$A:$ZZ,24,FALSE)=1,100%,MIN(40%,$B$10+VLOOKUP($R14,武学奇术!$A:$ZZ,19,FALSE)+SUM(_xlfn.XLOOKUP(S14:AL14,增益!$A:$A,增益!$S:$S,0)))+$B$12+SUM(_xlfn.XLOOKUP(S14:AL14,增益!$A:$A,增益!$V:$V,0)))*IF(VLOOKUP($R14,武学奇术!$A:$ZZ,23,FALSE)=1,0,1)</f>
        <v>0.0913</v>
      </c>
      <c r="BS14" s="23" cm="1">
        <f t="array" ref="BS14">1+$B$14+VLOOKUP($R14,武学奇术!$A:$ZZ,20,FALSE)+SUM(_xlfn.XLOOKUP(S14:AL14,增益!$A:$A,增益!$T:$T,0))</f>
        <v>1.35</v>
      </c>
      <c r="BT14" s="23">
        <f t="shared" si="9"/>
        <v>0.79544</v>
      </c>
      <c r="BU14" s="23">
        <f t="shared" si="10"/>
        <v>0.10808041</v>
      </c>
      <c r="BV14" s="23">
        <f>IF(VLOOKUP($R14,武学奇术!$A:$ZZ,22,FALSE)=1,0,(1-$BO14))*(1-$BR14)</f>
        <v>0.00517959000000003</v>
      </c>
      <c r="BW14" s="23" cm="1">
        <f t="array" ref="BW14">SUM(_xlfn.XLOOKUP(S14:AL14,增益!$A:$A,增益!$W:$W,0))+$I$5</f>
        <v>0.11</v>
      </c>
      <c r="BX14" s="23">
        <f>VLOOKUP($R14,武学奇术!$A:$ZZ,32,FALSE)</f>
        <v>0</v>
      </c>
      <c r="BY14" s="23" cm="1">
        <f t="array" ref="BY14">SUM(_xlfn.XLOOKUP($S14:$AL14,增益!$A:$A,增益!$X:$X,0))</f>
        <v>0</v>
      </c>
    </row>
    <row r="15" ht="14.25" spans="1:77">
      <c r="A15" s="39" t="s">
        <v>126</v>
      </c>
      <c r="B15" s="71">
        <f>期望!B15</f>
        <v>0.0847</v>
      </c>
      <c r="C15" s="36" t="s">
        <v>127</v>
      </c>
      <c r="D15" s="36"/>
      <c r="F15" s="80"/>
      <c r="H15" s="81"/>
      <c r="I15" s="76"/>
      <c r="J15" s="77"/>
      <c r="K15" s="35">
        <f>$L15*VLOOKUP($R15,武学奇术!$A:$ZZ,31,FALSE)</f>
        <v>62846.6595755115</v>
      </c>
      <c r="L15" s="58">
        <f t="shared" si="0"/>
        <v>61614.3721328544</v>
      </c>
      <c r="M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轻击",$B$21,0))*(1+IF(VLOOKUP($R15,武学奇术!$A:$ZZ,30,FALSE)="老鼠",$B$22,0))*(1+$BW15)*(1+$BX15)</f>
        <v>65993.2111915165</v>
      </c>
      <c r="N15" s="35">
        <f>(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轻击",$B$21,0))*(1+IF(VLOOKUP($R15,武学奇术!$A:$ZZ,30,FALSE)="老鼠",$B$22,0))*(1+$BW15))*(1+$BX15)</f>
        <v>55016.3197211791</v>
      </c>
      <c r="O15" s="35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轻击",$B$21,0))*(1+IF(VLOOKUP($R15,武学奇术!$A:$ZZ,30,FALSE)="老鼠",$B$22,0))*(1+$BW15)*(1+$BX15)</f>
        <v>36379.940017374</v>
      </c>
      <c r="P15" s="35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轻击",$B$21,0))*(1+IF(VLOOKUP($R15,武学奇术!$A:$ZZ,30,FALSE)="老鼠",$B$22,0))*(1+$BW15)*(1+$BX15)</f>
        <v>32007.0506116524</v>
      </c>
      <c r="Q15" s="36">
        <v>1</v>
      </c>
      <c r="R15" s="37" t="s">
        <v>128</v>
      </c>
      <c r="S15" s="37" t="s">
        <v>129</v>
      </c>
      <c r="T15" s="37" t="s">
        <v>130</v>
      </c>
      <c r="U15" s="37" t="s">
        <v>81</v>
      </c>
      <c r="V15" s="37" t="s">
        <v>81</v>
      </c>
      <c r="W15" s="37" t="s">
        <v>82</v>
      </c>
      <c r="X15" s="37" t="s">
        <v>81</v>
      </c>
      <c r="Y15" s="37" t="s">
        <v>81</v>
      </c>
      <c r="Z15" s="37" t="s">
        <v>81</v>
      </c>
      <c r="AA15" s="37" t="s">
        <v>81</v>
      </c>
      <c r="AB15" s="37" t="s">
        <v>81</v>
      </c>
      <c r="AC15" s="37" t="s">
        <v>81</v>
      </c>
      <c r="AD15" s="37" t="s">
        <v>85</v>
      </c>
      <c r="AE15" s="37" t="s">
        <v>86</v>
      </c>
      <c r="AF15" s="37" t="s">
        <v>81</v>
      </c>
      <c r="AG15" s="37" t="s">
        <v>87</v>
      </c>
      <c r="AH15" s="37" t="s">
        <v>81</v>
      </c>
      <c r="AI15" s="37" t="s">
        <v>81</v>
      </c>
      <c r="AJ15" s="37" t="s">
        <v>81</v>
      </c>
      <c r="AK15" s="37" t="s">
        <v>81</v>
      </c>
      <c r="AL15" s="37" t="s">
        <v>81</v>
      </c>
      <c r="AM15" t="str">
        <f>VLOOKUP($R15,武学奇术!$A:$ZZ,25,FALSE)</f>
        <v>双刀</v>
      </c>
      <c r="AN15" s="23">
        <f>VLOOKUP($R15,武学奇术!$A:$ZZ,26,FALSE)</f>
        <v>2.4761</v>
      </c>
      <c r="AO15" s="24">
        <f>VLOOKUP($R15,武学奇术!$A:$ZZ,27,FALSE)*(1+IF(OR($AM15=$F$4,$AM15=$F$5),$B$23,0))</f>
        <v>1096</v>
      </c>
      <c r="AP15" s="23">
        <f>VLOOKUP($R15,武学奇术!$A:$ZZ,28,FALSE)</f>
        <v>3.7142</v>
      </c>
      <c r="AQ15" s="24">
        <f>VLOOKUP($R15,武学奇术!$A:$ZZ,29,FALSE)*(1+IF(OR($AM15=$F$4,$AM15=$F$5),$B$23,0))</f>
        <v>596.8</v>
      </c>
      <c r="AR15" s="23" cm="1">
        <f t="array" ref="AR15">$G$3+IFERROR(VLOOKUP($AM15,$F$4:$G$7,2,FALSE),0)+VLOOKUP($R15,武学奇术!$A:$ZZ,2,FALSE)+SUM(_xlfn.XLOOKUP($S15:$AL15,增益!$A:$A,增益!$B:$B,0))</f>
        <v>0.5543</v>
      </c>
      <c r="AS15" s="23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4013</v>
      </c>
      <c r="AU15" cm="1">
        <f t="array" ref="AU15">$E$10*(1+$AS15)+VLOOKUP($R15,武学奇术!$A:$ZZ,4,FALSE)+SUM(_xlfn.XLOOKUP($S15:$AL15,增益!$A:$A,增益!$D:$D,0))-$I$2</f>
        <v>4013</v>
      </c>
      <c r="AV15" s="29" cm="1">
        <f t="array" ref="AV15">IF($F$10-$I$3+VLOOKUP($R15,武学奇术!$A:$ZZ,6,FALSE)+SUM(_xlfn.XLOOKUP(S15:AL15,增益!$A:$A,增益!$F:$F,0))&gt;0,($F$10-$I$3+VLOOKUP($R15,武学奇术!$A:$ZZ,6,FALSE)+SUM(_xlfn.XLOOKUP(S15:AL15,增益!$A:$A,增益!$F:$F,0)))/200,($F$10-$I$3+VLOOKUP($R15,武学奇术!$A:$ZZ,6,FALSE)+SUM(_xlfn.XLOOKUP(S15:AL15,增益!$A:$A,增益!$F:$F,0)))/100)</f>
        <v>0.3489</v>
      </c>
      <c r="AW15" s="29" cm="1">
        <f t="array" ref="AW15">$G$10+VLOOKUP($R15,武学奇术!$A:$ZZ,7,FALSE)+SUM(_xlfn.XLOOKUP(S15:AL15,增益!$A:$A,增益!$G:$G,0))</f>
        <v>0</v>
      </c>
      <c r="AX15" s="23" cm="1">
        <f t="array" ref="AX15">VLOOKUP($R15,武学奇术!$A:$ZZ,8,FALSE)+SUM(_xlfn.XLOOKUP(S15:AL15,增益!$A:$A,增益!$H:$H,0))</f>
        <v>0</v>
      </c>
      <c r="AY15">
        <f t="shared" si="1"/>
        <v>0</v>
      </c>
      <c r="AZ15">
        <f t="shared" si="2"/>
        <v>0</v>
      </c>
      <c r="BA15" s="29" cm="1">
        <f t="array" ref="BA15">IF($F$11-$I$4+VLOOKUP($R15,武学奇术!$A:$ZZ,9,FALSE)+SUM(_xlfn.XLOOKUP(S15:AL15,增益!$A:$A,增益!$I:$I,0))&gt;0,($F$11-$I$4+VLOOKUP($R15,武学奇术!$A:$ZZ,9,FALSE)+SUM(_xlfn.XLOOKUP(S15:AL15,增益!$A:$A,增益!$I:$I,0)))/200,($F$11-$I$4+VLOOKUP($R15,武学奇术!$A:$ZZ,9,FALSE)+SUM(_xlfn.XLOOKUP(S15:AL15,增益!$A:$A,增益!$I:$I,0)))/100)</f>
        <v>-0.3</v>
      </c>
      <c r="BB15" s="29" cm="1">
        <f t="array" ref="BB15">$G$11+VLOOKUP($R15,武学奇术!$A:$ZZ,10,FALSE)+SUM(_xlfn.XLOOKUP(S15:AL15,增益!$A:$A,增益!$J:$J,0))</f>
        <v>0</v>
      </c>
      <c r="BC15">
        <f t="shared" si="3"/>
        <v>0</v>
      </c>
      <c r="BD15">
        <f t="shared" si="4"/>
        <v>0</v>
      </c>
      <c r="BE15" s="29" cm="1">
        <f t="array" ref="BE15">IF($F$12-$I$4+VLOOKUP($R15,武学奇术!$A:$ZZ,11,FALSE)+SUM(_xlfn.XLOOKUP(S15:AL15,增益!$A:$A,增益!$K:$K,0))&gt;0,($F$12-$I$4+VLOOKUP($R15,武学奇术!$A:$ZZ,11,FALSE)+SUM(_xlfn.XLOOKUP(S15:AL15,增益!$A:$A,增益!$K:$K,0)))/200,($F$12-$I$4+VLOOKUP($R15,武学奇术!$A:$ZZ,11,FALSE)+SUM(_xlfn.XLOOKUP(S15:AL15,增益!$A:$A,增益!$K:$K,0)))/100)</f>
        <v>-0.3</v>
      </c>
      <c r="BF15" s="29" cm="1">
        <f t="array" ref="BF15">$G$12+VLOOKUP($R15,武学奇术!$A:$ZZ,12,FALSE)+SUM(_xlfn.XLOOKUP(S15:AL15,增益!$A:$A,增益!$L:$L,0))</f>
        <v>0</v>
      </c>
      <c r="BG15">
        <f t="shared" si="5"/>
        <v>0</v>
      </c>
      <c r="BH15">
        <f t="shared" si="6"/>
        <v>0</v>
      </c>
      <c r="BI15" s="29" cm="1">
        <f t="array" ref="BI15">IF($F$13-$I$4+VLOOKUP($R15,武学奇术!$A:$ZZ,13,FALSE)+SUM(_xlfn.XLOOKUP(S15:AL15,增益!$A:$A,增益!$M:$M,0))&gt;0,($F$13-$I$4+VLOOKUP($R15,武学奇术!$A:$ZZ,13,FALSE)+SUM(_xlfn.XLOOKUP(S15:AL15,增益!$A:$A,增益!$K:$K,0)))/200,($F$13-$I$4+VLOOKUP($R15,武学奇术!$A:$ZZ,13,FALSE)+SUM(_xlfn.XLOOKUP(S15:AL15,增益!$A:$A,增益!$M:$M,0)))/100)</f>
        <v>-0.3</v>
      </c>
      <c r="BJ15" s="29" cm="1">
        <f t="array" ref="BJ15">$G$13+VLOOKUP($R15,武学奇术!$A:$ZZ,14,FALSE)+SUM(_xlfn.XLOOKUP(S15:AL15,增益!$A:$A,增益!$N:$N,0))</f>
        <v>0</v>
      </c>
      <c r="BK15">
        <f t="shared" si="7"/>
        <v>618.2</v>
      </c>
      <c r="BL15">
        <f t="shared" si="8"/>
        <v>1805</v>
      </c>
      <c r="BM15" s="29" cm="1">
        <f t="array" ref="BM15">IF($F$14-$I$4+VLOOKUP($R15,武学奇术!$A:$ZZ,15,FALSE)+SUM(_xlfn.XLOOKUP(S15:AL15,增益!$A:$A,增益!$O:$O,0))&gt;0,($F$14-$I$4+VLOOKUP($R15,武学奇术!$A:$ZZ,15,FALSE)+SUM(_xlfn.XLOOKUP(S15:AL15,增益!$A:$A,增益!$O:$O,0)))/200,($F$14-$I$4+VLOOKUP($R15,武学奇术!$A:$ZZ,15,FALSE)+SUM(_xlfn.XLOOKUP(S15:AL15,增益!$A:$A,增益!$O:$O,0)))/100)</f>
        <v>0</v>
      </c>
      <c r="BN15" s="29" cm="1">
        <f t="array" ref="BN15">$G$14+VLOOKUP($R15,武学奇术!$A:$ZZ,16,FALSE)+SUM(_xlfn.XLOOKUP(S15:AL15,增益!$A:$A,增益!$P:$P,0))</f>
        <v>0.15</v>
      </c>
      <c r="BO15" s="23">
        <f>MIN(IF(VLOOKUP($R15,武学奇术!$A:$ZZ,23,FALSE)=1,100%,$B$8),100%)</f>
        <v>0.9943</v>
      </c>
      <c r="BP15" s="23" cm="1">
        <f t="array" ref="BP15">IF(VLOOKUP($R15,武学奇术!$A:$ZZ,23,FALSE)=1,100%,MIN(80%,$B$9+VLOOKUP($R15,武学奇术!$A:$ZZ,17,FALSE)+SUM(_xlfn.XLOOKUP(S15:AL15,增益!$A:$A,增益!$Q:$Q,0)))+$B$11+SUM(_xlfn.XLOOKUP(S15:AL15,增益!$A:$A,增益!$U:$U,0)))*IF(VLOOKUP($R15,武学奇术!$A:$ZZ,24,FALSE)=1,0,1)</f>
        <v>0.8</v>
      </c>
      <c r="BQ15" s="23" cm="1">
        <f t="array" ref="BQ15">1+$B$13+VLOOKUP($R15,武学奇术!$A:$ZZ,18,FALSE)+SUM(_xlfn.XLOOKUP(S15:AL15,增益!$A:$A,增益!$R:$R,0))</f>
        <v>1.814</v>
      </c>
      <c r="BR15" s="23" cm="1">
        <f t="array" ref="BR15">IF(VLOOKUP($R15,武学奇术!$A:$ZZ,24,FALSE)=1,100%,MIN(40%,$B$10+VLOOKUP($R15,武学奇术!$A:$ZZ,19,FALSE)+SUM(_xlfn.XLOOKUP(S15:AL15,增益!$A:$A,增益!$S:$S,0)))+$B$12+SUM(_xlfn.XLOOKUP(S15:AL15,增益!$A:$A,增益!$V:$V,0)))*IF(VLOOKUP($R15,武学奇术!$A:$ZZ,23,FALSE)=1,0,1)</f>
        <v>0.0913</v>
      </c>
      <c r="BS15" s="23" cm="1">
        <f t="array" ref="BS15">1+$B$14+VLOOKUP($R15,武学奇术!$A:$ZZ,20,FALSE)+SUM(_xlfn.XLOOKUP(S15:AL15,增益!$A:$A,增益!$T:$T,0))</f>
        <v>1.35</v>
      </c>
      <c r="BT15" s="23">
        <f t="shared" si="9"/>
        <v>0.79544</v>
      </c>
      <c r="BU15" s="23">
        <f t="shared" si="10"/>
        <v>0.10808041</v>
      </c>
      <c r="BV15" s="23">
        <f>IF(VLOOKUP($R15,武学奇术!$A:$ZZ,22,FALSE)=1,0,(1-$BO15))*(1-$BR15)</f>
        <v>0.00517959000000003</v>
      </c>
      <c r="BW15" s="23" cm="1">
        <f t="array" ref="BW15">SUM(_xlfn.XLOOKUP(S15:AL15,增益!$A:$A,增益!$W:$W,0))+$I$5</f>
        <v>0.11</v>
      </c>
      <c r="BX15" s="23">
        <f>VLOOKUP($R15,武学奇术!$A:$ZZ,32,FALSE)</f>
        <v>0</v>
      </c>
      <c r="BY15" s="23" cm="1">
        <f t="array" ref="BY15">SUM(_xlfn.XLOOKUP($S15:$AL15,增益!$A:$A,增益!$X:$X,0))</f>
        <v>0</v>
      </c>
    </row>
    <row r="16" spans="1:77">
      <c r="A16" s="39" t="s">
        <v>131</v>
      </c>
      <c r="B16" s="71">
        <f>期望!B16</f>
        <v>0.0892</v>
      </c>
      <c r="C16" s="36" t="s">
        <v>132</v>
      </c>
      <c r="D16" s="80" t="s">
        <v>151</v>
      </c>
      <c r="E16" s="36" t="s">
        <v>134</v>
      </c>
      <c r="F16" s="80" t="s">
        <v>133</v>
      </c>
      <c r="H16" s="67" t="s">
        <v>135</v>
      </c>
      <c r="I16" s="82"/>
      <c r="J16" s="83"/>
      <c r="K16" s="35">
        <f>$L16*VLOOKUP($R16,武学奇术!$A:$ZZ,31,FALSE)</f>
        <v>67098.6625141579</v>
      </c>
      <c r="L16" s="69">
        <f t="shared" si="0"/>
        <v>65783.0024648607</v>
      </c>
      <c r="M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轻击",$B$21,0))*(1+IF(VLOOKUP($R16,武学奇术!$A:$ZZ,30,FALSE)="老鼠",$B$22,0))*(1+$BW16)*(1+$BX16)</f>
        <v>70376.7110275863</v>
      </c>
      <c r="N16" s="35">
        <f>(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轻击",$B$21,0))*(1+IF(VLOOKUP($R16,武学奇术!$A:$ZZ,30,FALSE)="老鼠",$B$22,0))*(1+$BW16))*(1+$BX16)</f>
        <v>59539.498456652</v>
      </c>
      <c r="O16" s="35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轻击",$B$21,0))*(1+IF(VLOOKUP($R16,武学奇术!$A:$ZZ,30,FALSE)="老鼠",$B$22,0))*(1+$BW16)*(1+$BX16)</f>
        <v>38796.4228376992</v>
      </c>
      <c r="P16" s="35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轻击",$B$21,0))*(1+IF(VLOOKUP($R16,武学奇术!$A:$ZZ,30,FALSE)="老鼠",$B$22,0))*(1+$BW16)*(1+$BX16)</f>
        <v>33489.5134852857</v>
      </c>
      <c r="Q16" s="70">
        <v>3</v>
      </c>
      <c r="R16" s="37" t="s">
        <v>106</v>
      </c>
      <c r="S16" s="37" t="s">
        <v>129</v>
      </c>
      <c r="T16" s="37" t="s">
        <v>130</v>
      </c>
      <c r="U16" s="37" t="s">
        <v>112</v>
      </c>
      <c r="V16" s="37" t="s">
        <v>113</v>
      </c>
      <c r="W16" s="37" t="s">
        <v>82</v>
      </c>
      <c r="X16" s="37" t="s">
        <v>81</v>
      </c>
      <c r="Y16" s="37" t="s">
        <v>109</v>
      </c>
      <c r="Z16" s="37" t="s">
        <v>81</v>
      </c>
      <c r="AA16" s="37" t="s">
        <v>81</v>
      </c>
      <c r="AB16" s="37" t="s">
        <v>81</v>
      </c>
      <c r="AC16" s="37" t="s">
        <v>81</v>
      </c>
      <c r="AD16" s="37" t="s">
        <v>85</v>
      </c>
      <c r="AE16" s="37" t="s">
        <v>86</v>
      </c>
      <c r="AF16" s="37" t="s">
        <v>81</v>
      </c>
      <c r="AG16" s="37" t="s">
        <v>87</v>
      </c>
      <c r="AH16" s="37" t="s">
        <v>81</v>
      </c>
      <c r="AI16" s="37" t="s">
        <v>81</v>
      </c>
      <c r="AJ16" s="37" t="s">
        <v>81</v>
      </c>
      <c r="AK16" s="37" t="s">
        <v>81</v>
      </c>
      <c r="AL16" s="37" t="s">
        <v>81</v>
      </c>
      <c r="AM16" t="str">
        <f>VLOOKUP($R16,武学奇术!$A:$ZZ,25,FALSE)</f>
        <v>绳镖</v>
      </c>
      <c r="AN16" s="23">
        <f>VLOOKUP($R16,武学奇术!$A:$ZZ,26,FALSE)</f>
        <v>0.3675</v>
      </c>
      <c r="AO16" s="24">
        <f>VLOOKUP($R16,武学奇术!$A:$ZZ,27,FALSE)*(1+IF(OR($AM16=$F$4,$AM16=$F$5),$B$23,0))</f>
        <v>0</v>
      </c>
      <c r="AP16" s="23">
        <f>VLOOKUP($R16,武学奇术!$A:$ZZ,28,FALSE)</f>
        <v>0.55125</v>
      </c>
      <c r="AQ16" s="24">
        <f>VLOOKUP($R16,武学奇术!$A:$ZZ,29,FALSE)*(1+IF(OR($AM16=$F$4,$AM16=$F$5),$B$23,0))</f>
        <v>0</v>
      </c>
      <c r="AR16" s="23" cm="1">
        <f t="array" ref="AR16">$G$3+IFERROR(VLOOKUP($AM16,$F$4:$G$7,2,FALSE),0)+VLOOKUP($R16,武学奇术!$A:$ZZ,2,FALSE)+SUM(_xlfn.XLOOKUP($S16:$AL16,增益!$A:$A,增益!$B:$B,0))</f>
        <v>1.4743</v>
      </c>
      <c r="AS16" s="23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4081.7</v>
      </c>
      <c r="AU16" cm="1">
        <f t="array" ref="AU16">$E$10*(1+$AS16)+VLOOKUP($R16,武学奇术!$A:$ZZ,4,FALSE)+SUM(_xlfn.XLOOKUP($S16:$AL16,增益!$A:$A,增益!$D:$D,0))-$I$2</f>
        <v>4081.7</v>
      </c>
      <c r="AV16" s="29" cm="1">
        <f t="array" ref="AV16">IF($F$10-$I$3+VLOOKUP($R16,武学奇术!$A:$ZZ,6,FALSE)+SUM(_xlfn.XLOOKUP(S16:AL16,增益!$A:$A,增益!$F:$F,0))&gt;0,($F$10-$I$3+VLOOKUP($R16,武学奇术!$A:$ZZ,6,FALSE)+SUM(_xlfn.XLOOKUP(S16:AL16,增益!$A:$A,增益!$F:$F,0)))/200,($F$10-$I$3+VLOOKUP($R16,武学奇术!$A:$ZZ,6,FALSE)+SUM(_xlfn.XLOOKUP(S16:AL16,增益!$A:$A,增益!$F:$F,0)))/100)</f>
        <v>0.3489</v>
      </c>
      <c r="AW16" s="29" cm="1">
        <f t="array" ref="AW16">$G$10+VLOOKUP($R16,武学奇术!$A:$ZZ,7,FALSE)+SUM(_xlfn.XLOOKUP(S16:AL16,增益!$A:$A,增益!$G:$G,0))</f>
        <v>0.27</v>
      </c>
      <c r="AX16" s="23" cm="1">
        <f t="array" ref="AX16">VLOOKUP($R16,武学奇术!$A:$ZZ,8,FALSE)+SUM(_xlfn.XLOOKUP(S16:AL16,增益!$A:$A,增益!$H:$H,0))</f>
        <v>0</v>
      </c>
      <c r="AY16">
        <f t="shared" si="1"/>
        <v>0</v>
      </c>
      <c r="AZ16">
        <f t="shared" si="2"/>
        <v>0</v>
      </c>
      <c r="BA16" s="29" cm="1">
        <f t="array" ref="BA16">IF($F$11-$I$4+VLOOKUP($R16,武学奇术!$A:$ZZ,9,FALSE)+SUM(_xlfn.XLOOKUP(S16:AL16,增益!$A:$A,增益!$I:$I,0))&gt;0,($F$11-$I$4+VLOOKUP($R16,武学奇术!$A:$ZZ,9,FALSE)+SUM(_xlfn.XLOOKUP(S16:AL16,增益!$A:$A,增益!$I:$I,0)))/200,($F$11-$I$4+VLOOKUP($R16,武学奇术!$A:$ZZ,9,FALSE)+SUM(_xlfn.XLOOKUP(S16:AL16,增益!$A:$A,增益!$I:$I,0)))/100)</f>
        <v>-0.3</v>
      </c>
      <c r="BB16" s="29" cm="1">
        <f t="array" ref="BB16">$G$11+VLOOKUP($R16,武学奇术!$A:$ZZ,10,FALSE)+SUM(_xlfn.XLOOKUP(S16:AL16,增益!$A:$A,增益!$J:$J,0))</f>
        <v>0</v>
      </c>
      <c r="BC16">
        <f t="shared" si="3"/>
        <v>0</v>
      </c>
      <c r="BD16">
        <f t="shared" si="4"/>
        <v>0</v>
      </c>
      <c r="BE16" s="29" cm="1">
        <f t="array" ref="BE16">IF($F$12-$I$4+VLOOKUP($R16,武学奇术!$A:$ZZ,11,FALSE)+SUM(_xlfn.XLOOKUP(S16:AL16,增益!$A:$A,增益!$K:$K,0))&gt;0,($F$12-$I$4+VLOOKUP($R16,武学奇术!$A:$ZZ,11,FALSE)+SUM(_xlfn.XLOOKUP(S16:AL16,增益!$A:$A,增益!$K:$K,0)))/200,($F$12-$I$4+VLOOKUP($R16,武学奇术!$A:$ZZ,11,FALSE)+SUM(_xlfn.XLOOKUP(S16:AL16,增益!$A:$A,增益!$K:$K,0)))/100)</f>
        <v>-0.3</v>
      </c>
      <c r="BF16" s="29" cm="1">
        <f t="array" ref="BF16">$G$12+VLOOKUP($R16,武学奇术!$A:$ZZ,12,FALSE)+SUM(_xlfn.XLOOKUP(S16:AL16,增益!$A:$A,增益!$L:$L,0))</f>
        <v>0</v>
      </c>
      <c r="BG16">
        <f t="shared" si="5"/>
        <v>0</v>
      </c>
      <c r="BH16">
        <f t="shared" si="6"/>
        <v>0</v>
      </c>
      <c r="BI16" s="29" cm="1">
        <f t="array" ref="BI16">IF($F$13-$I$4+VLOOKUP($R16,武学奇术!$A:$ZZ,13,FALSE)+SUM(_xlfn.XLOOKUP(S16:AL16,增益!$A:$A,增益!$M:$M,0))&gt;0,($F$13-$I$4+VLOOKUP($R16,武学奇术!$A:$ZZ,13,FALSE)+SUM(_xlfn.XLOOKUP(S16:AL16,增益!$A:$A,增益!$K:$K,0)))/200,($F$13-$I$4+VLOOKUP($R16,武学奇术!$A:$ZZ,13,FALSE)+SUM(_xlfn.XLOOKUP(S16:AL16,增益!$A:$A,增益!$M:$M,0)))/100)</f>
        <v>-0.3</v>
      </c>
      <c r="BJ16" s="29" cm="1">
        <f t="array" ref="BJ16">$G$13+VLOOKUP($R16,武学奇术!$A:$ZZ,14,FALSE)+SUM(_xlfn.XLOOKUP(S16:AL16,增益!$A:$A,增益!$N:$N,0))</f>
        <v>0</v>
      </c>
      <c r="BK16">
        <f t="shared" si="7"/>
        <v>618.2</v>
      </c>
      <c r="BL16">
        <f t="shared" si="8"/>
        <v>1805</v>
      </c>
      <c r="BM16" s="29" cm="1">
        <f t="array" ref="BM16">IF($F$14-$I$4+VLOOKUP($R16,武学奇术!$A:$ZZ,15,FALSE)+SUM(_xlfn.XLOOKUP(S16:AL16,增益!$A:$A,增益!$O:$O,0))&gt;0,($F$14-$I$4+VLOOKUP($R16,武学奇术!$A:$ZZ,15,FALSE)+SUM(_xlfn.XLOOKUP(S16:AL16,增益!$A:$A,增益!$O:$O,0)))/200,($F$14-$I$4+VLOOKUP($R16,武学奇术!$A:$ZZ,15,FALSE)+SUM(_xlfn.XLOOKUP(S16:AL16,增益!$A:$A,增益!$O:$O,0)))/100)</f>
        <v>0.05</v>
      </c>
      <c r="BN16" s="29" cm="1">
        <f t="array" ref="BN16">$G$14+VLOOKUP($R16,武学奇术!$A:$ZZ,16,FALSE)+SUM(_xlfn.XLOOKUP(S16:AL16,增益!$A:$A,增益!$P:$P,0))</f>
        <v>0.42</v>
      </c>
      <c r="BO16" s="23">
        <f>MIN(IF(VLOOKUP($R16,武学奇术!$A:$ZZ,23,FALSE)=1,100%,$B$8),100%)</f>
        <v>0.9943</v>
      </c>
      <c r="BP16" s="23" cm="1">
        <f t="array" ref="BP16">IF(VLOOKUP($R16,武学奇术!$A:$ZZ,23,FALSE)=1,100%,MIN(80%,$B$9+VLOOKUP($R16,武学奇术!$A:$ZZ,17,FALSE)+SUM(_xlfn.XLOOKUP(S16:AL16,增益!$A:$A,增益!$Q:$Q,0)))+$B$11+SUM(_xlfn.XLOOKUP(S16:AL16,增益!$A:$A,增益!$U:$U,0)))*IF(VLOOKUP($R16,武学奇术!$A:$ZZ,24,FALSE)=1,0,1)</f>
        <v>0.8</v>
      </c>
      <c r="BQ16" s="23" cm="1">
        <f t="array" ref="BQ16">1+$B$13+VLOOKUP($R16,武学奇术!$A:$ZZ,18,FALSE)+SUM(_xlfn.XLOOKUP(S16:AL16,增益!$A:$A,增益!$R:$R,0))</f>
        <v>1.814</v>
      </c>
      <c r="BR16" s="23" cm="1">
        <f t="array" ref="BR16">IF(VLOOKUP($R16,武学奇术!$A:$ZZ,24,FALSE)=1,100%,MIN(40%,$B$10+VLOOKUP($R16,武学奇术!$A:$ZZ,19,FALSE)+SUM(_xlfn.XLOOKUP(S16:AL16,增益!$A:$A,增益!$S:$S,0)))+$B$12+SUM(_xlfn.XLOOKUP(S16:AL16,增益!$A:$A,增益!$V:$V,0)))*IF(VLOOKUP($R16,武学奇术!$A:$ZZ,23,FALSE)=1,0,1)</f>
        <v>0.0913</v>
      </c>
      <c r="BS16" s="23" cm="1">
        <f t="array" ref="BS16">1+$B$14+VLOOKUP($R16,武学奇术!$A:$ZZ,20,FALSE)+SUM(_xlfn.XLOOKUP(S16:AL16,增益!$A:$A,增益!$T:$T,0))</f>
        <v>1.35</v>
      </c>
      <c r="BT16" s="23">
        <f t="shared" si="9"/>
        <v>0.79544</v>
      </c>
      <c r="BU16" s="23">
        <f t="shared" si="10"/>
        <v>0.10808041</v>
      </c>
      <c r="BV16" s="23">
        <f>IF(VLOOKUP($R16,武学奇术!$A:$ZZ,22,FALSE)=1,0,(1-$BO16))*(1-$BR16)</f>
        <v>0.00517959000000003</v>
      </c>
      <c r="BW16" s="23" cm="1">
        <f t="array" ref="BW16">SUM(_xlfn.XLOOKUP(S16:AL16,增益!$A:$A,增益!$W:$W,0))+$I$5</f>
        <v>0.11</v>
      </c>
      <c r="BX16" s="23">
        <f>VLOOKUP($R16,武学奇术!$A:$ZZ,32,FALSE)</f>
        <v>0</v>
      </c>
      <c r="BY16" s="23" cm="1">
        <f t="array" ref="BY16">SUM(_xlfn.XLOOKUP($S16:$AL16,增益!$A:$A,增益!$X:$X,0))</f>
        <v>0</v>
      </c>
    </row>
    <row r="17" ht="14.25" spans="1:77">
      <c r="A17" s="39" t="s">
        <v>136</v>
      </c>
      <c r="B17" s="71">
        <f>期望!B17</f>
        <v>0.0854</v>
      </c>
      <c r="C17" s="36" t="s">
        <v>137</v>
      </c>
      <c r="D17" s="80" t="s">
        <v>151</v>
      </c>
      <c r="E17" s="36" t="s">
        <v>138</v>
      </c>
      <c r="F17" s="80" t="s">
        <v>151</v>
      </c>
      <c r="H17" s="72"/>
      <c r="I17" s="84"/>
      <c r="J17" s="85"/>
      <c r="K17" s="35">
        <f>$L17*VLOOKUP($R17,武学奇术!$A:$ZZ,31,FALSE)</f>
        <v>30205.6365035736</v>
      </c>
      <c r="L17" s="58">
        <f t="shared" si="0"/>
        <v>26969.3183067622</v>
      </c>
      <c r="M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轻击",$B$21,0))*(1+IF(VLOOKUP($R17,武学奇术!$A:$ZZ,30,FALSE)="老鼠",$B$22,0))*(1+$BW17)*(1+$BX17)</f>
        <v>28298.9566849719</v>
      </c>
      <c r="N17" s="35">
        <f>(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轻击",$B$21,0))*(1+IF(VLOOKUP($R17,武学奇术!$A:$ZZ,30,FALSE)="老鼠",$B$22,0))*(1+$BW17))*(1+$BX17)</f>
        <v>18529.6853908945</v>
      </c>
      <c r="O17" s="35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轻击",$B$21,0))*(1+IF(VLOOKUP($R17,武学奇术!$A:$ZZ,30,FALSE)="老鼠",$B$22,0))*(1+$BW17)*(1+$BX17)</f>
        <v>12229.4540557355</v>
      </c>
      <c r="P17" s="35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轻击",$B$21,0))*(1+IF(VLOOKUP($R17,武学奇术!$A:$ZZ,30,FALSE)="老鼠",$B$22,0))*(1+$BW17)*(1+$BX17)</f>
        <v>10733.2152293269</v>
      </c>
      <c r="Q17" s="36">
        <v>1</v>
      </c>
      <c r="R17" s="37" t="s">
        <v>139</v>
      </c>
      <c r="S17" s="37" t="s">
        <v>129</v>
      </c>
      <c r="T17" s="37" t="s">
        <v>130</v>
      </c>
      <c r="U17" s="37" t="s">
        <v>112</v>
      </c>
      <c r="V17" s="37" t="s">
        <v>113</v>
      </c>
      <c r="W17" s="37" t="s">
        <v>82</v>
      </c>
      <c r="X17" s="37" t="s">
        <v>81</v>
      </c>
      <c r="Y17" s="37" t="s">
        <v>109</v>
      </c>
      <c r="Z17" s="37" t="s">
        <v>83</v>
      </c>
      <c r="AA17" s="37" t="s">
        <v>81</v>
      </c>
      <c r="AB17" s="37" t="s">
        <v>81</v>
      </c>
      <c r="AC17" s="37" t="s">
        <v>81</v>
      </c>
      <c r="AD17" s="37" t="s">
        <v>85</v>
      </c>
      <c r="AE17" s="37" t="s">
        <v>86</v>
      </c>
      <c r="AF17" s="37" t="s">
        <v>81</v>
      </c>
      <c r="AG17" s="37" t="s">
        <v>87</v>
      </c>
      <c r="AH17" s="37" t="s">
        <v>81</v>
      </c>
      <c r="AI17" s="37" t="s">
        <v>81</v>
      </c>
      <c r="AJ17" s="37" t="s">
        <v>81</v>
      </c>
      <c r="AK17" s="37" t="s">
        <v>81</v>
      </c>
      <c r="AL17" s="37" t="s">
        <v>81</v>
      </c>
      <c r="AM17" t="str">
        <f>VLOOKUP($R17,武学奇术!$A:$ZZ,25,FALSE)</f>
        <v>双刀</v>
      </c>
      <c r="AN17" s="23">
        <f>VLOOKUP($R17,武学奇术!$A:$ZZ,26,FALSE)</f>
        <v>0.6472</v>
      </c>
      <c r="AO17" s="24">
        <f>VLOOKUP($R17,武学奇术!$A:$ZZ,27,FALSE)*(1+IF(OR($AM17=$F$4,$AM17=$F$5),$B$23,0))</f>
        <v>288</v>
      </c>
      <c r="AP17" s="23">
        <f>VLOOKUP($R17,武学奇术!$A:$ZZ,28,FALSE)</f>
        <v>0.9708</v>
      </c>
      <c r="AQ17" s="24">
        <f>VLOOKUP($R17,武学奇术!$A:$ZZ,29,FALSE)*(1+IF(OR($AM17=$F$4,$AM17=$F$5),$B$23,0))</f>
        <v>156.8</v>
      </c>
      <c r="AR17" s="23" cm="1">
        <f t="array" ref="AR17">$G$3+IFERROR(VLOOKUP($AM17,$F$4:$G$7,2,FALSE),0)+VLOOKUP($R17,武学奇术!$A:$ZZ,2,FALSE)+SUM(_xlfn.XLOOKUP($S17:$AL17,增益!$A:$A,增益!$B:$B,0))</f>
        <v>0.6743</v>
      </c>
      <c r="AS17" s="23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4081.7</v>
      </c>
      <c r="AU17" cm="1">
        <f t="array" ref="AU17">$E$10*(1+$AS17)+VLOOKUP($R17,武学奇术!$A:$ZZ,4,FALSE)+SUM(_xlfn.XLOOKUP($S17:$AL17,增益!$A:$A,增益!$D:$D,0))-$I$2</f>
        <v>4081.7</v>
      </c>
      <c r="AV17" s="29" cm="1">
        <f t="array" ref="AV17">IF($F$10-$I$3+VLOOKUP($R17,武学奇术!$A:$ZZ,6,FALSE)+SUM(_xlfn.XLOOKUP(S17:AL17,增益!$A:$A,增益!$F:$F,0))&gt;0,($F$10-$I$3+VLOOKUP($R17,武学奇术!$A:$ZZ,6,FALSE)+SUM(_xlfn.XLOOKUP(S17:AL17,增益!$A:$A,增益!$F:$F,0)))/200,($F$10-$I$3+VLOOKUP($R17,武学奇术!$A:$ZZ,6,FALSE)+SUM(_xlfn.XLOOKUP(S17:AL17,增益!$A:$A,增益!$F:$F,0)))/100)</f>
        <v>0.3489</v>
      </c>
      <c r="AW17" s="29" cm="1">
        <f t="array" ref="AW17">$G$10+VLOOKUP($R17,武学奇术!$A:$ZZ,7,FALSE)+SUM(_xlfn.XLOOKUP(S17:AL17,增益!$A:$A,增益!$G:$G,0))</f>
        <v>0.06</v>
      </c>
      <c r="AX17" s="23" cm="1">
        <f t="array" ref="AX17">VLOOKUP($R17,武学奇术!$A:$ZZ,8,FALSE)+SUM(_xlfn.XLOOKUP(S17:AL17,增益!$A:$A,增益!$H:$H,0))</f>
        <v>0</v>
      </c>
      <c r="AY17">
        <f t="shared" si="1"/>
        <v>0</v>
      </c>
      <c r="AZ17">
        <f t="shared" si="2"/>
        <v>0</v>
      </c>
      <c r="BA17" s="29" cm="1">
        <f t="array" ref="BA17">IF($F$11-$I$4+VLOOKUP($R17,武学奇术!$A:$ZZ,9,FALSE)+SUM(_xlfn.XLOOKUP(S17:AL17,增益!$A:$A,增益!$I:$I,0))&gt;0,($F$11-$I$4+VLOOKUP($R17,武学奇术!$A:$ZZ,9,FALSE)+SUM(_xlfn.XLOOKUP(S17:AL17,增益!$A:$A,增益!$I:$I,0)))/200,($F$11-$I$4+VLOOKUP($R17,武学奇术!$A:$ZZ,9,FALSE)+SUM(_xlfn.XLOOKUP(S17:AL17,增益!$A:$A,增益!$I:$I,0)))/100)</f>
        <v>-0.3</v>
      </c>
      <c r="BB17" s="29" cm="1">
        <f t="array" ref="BB17">$G$11+VLOOKUP($R17,武学奇术!$A:$ZZ,10,FALSE)+SUM(_xlfn.XLOOKUP(S17:AL17,增益!$A:$A,增益!$J:$J,0))</f>
        <v>0</v>
      </c>
      <c r="BC17">
        <f t="shared" si="3"/>
        <v>0</v>
      </c>
      <c r="BD17">
        <f t="shared" si="4"/>
        <v>0</v>
      </c>
      <c r="BE17" s="29" cm="1">
        <f t="array" ref="BE17">IF($F$12-$I$4+VLOOKUP($R17,武学奇术!$A:$ZZ,11,FALSE)+SUM(_xlfn.XLOOKUP(S17:AL17,增益!$A:$A,增益!$K:$K,0))&gt;0,($F$12-$I$4+VLOOKUP($R17,武学奇术!$A:$ZZ,11,FALSE)+SUM(_xlfn.XLOOKUP(S17:AL17,增益!$A:$A,增益!$K:$K,0)))/200,($F$12-$I$4+VLOOKUP($R17,武学奇术!$A:$ZZ,11,FALSE)+SUM(_xlfn.XLOOKUP(S17:AL17,增益!$A:$A,增益!$K:$K,0)))/100)</f>
        <v>-0.3</v>
      </c>
      <c r="BF17" s="29" cm="1">
        <f t="array" ref="BF17">$G$12+VLOOKUP($R17,武学奇术!$A:$ZZ,12,FALSE)+SUM(_xlfn.XLOOKUP(S17:AL17,增益!$A:$A,增益!$L:$L,0))</f>
        <v>0</v>
      </c>
      <c r="BG17">
        <f t="shared" si="5"/>
        <v>0</v>
      </c>
      <c r="BH17">
        <f t="shared" si="6"/>
        <v>0</v>
      </c>
      <c r="BI17" s="29" cm="1">
        <f t="array" ref="BI17">IF($F$13-$I$4+VLOOKUP($R17,武学奇术!$A:$ZZ,13,FALSE)+SUM(_xlfn.XLOOKUP(S17:AL17,增益!$A:$A,增益!$M:$M,0))&gt;0,($F$13-$I$4+VLOOKUP($R17,武学奇术!$A:$ZZ,13,FALSE)+SUM(_xlfn.XLOOKUP(S17:AL17,增益!$A:$A,增益!$K:$K,0)))/200,($F$13-$I$4+VLOOKUP($R17,武学奇术!$A:$ZZ,13,FALSE)+SUM(_xlfn.XLOOKUP(S17:AL17,增益!$A:$A,增益!$M:$M,0)))/100)</f>
        <v>-0.3</v>
      </c>
      <c r="BJ17" s="29" cm="1">
        <f t="array" ref="BJ17">$G$13+VLOOKUP($R17,武学奇术!$A:$ZZ,14,FALSE)+SUM(_xlfn.XLOOKUP(S17:AL17,增益!$A:$A,增益!$N:$N,0))</f>
        <v>0</v>
      </c>
      <c r="BK17">
        <f t="shared" si="7"/>
        <v>618.2</v>
      </c>
      <c r="BL17">
        <f t="shared" si="8"/>
        <v>1805</v>
      </c>
      <c r="BM17" s="29" cm="1">
        <f t="array" ref="BM17">IF($F$14-$I$4+VLOOKUP($R17,武学奇术!$A:$ZZ,15,FALSE)+SUM(_xlfn.XLOOKUP(S17:AL17,增益!$A:$A,增益!$O:$O,0))&gt;0,($F$14-$I$4+VLOOKUP($R17,武学奇术!$A:$ZZ,15,FALSE)+SUM(_xlfn.XLOOKUP(S17:AL17,增益!$A:$A,增益!$O:$O,0)))/200,($F$14-$I$4+VLOOKUP($R17,武学奇术!$A:$ZZ,15,FALSE)+SUM(_xlfn.XLOOKUP(S17:AL17,增益!$A:$A,增益!$O:$O,0)))/100)</f>
        <v>0.05</v>
      </c>
      <c r="BN17" s="29" cm="1">
        <f t="array" ref="BN17">$G$14+VLOOKUP($R17,武学奇术!$A:$ZZ,16,FALSE)+SUM(_xlfn.XLOOKUP(S17:AL17,增益!$A:$A,增益!$P:$P,0))</f>
        <v>0.21</v>
      </c>
      <c r="BO17" s="23">
        <f>MIN(IF(VLOOKUP($R17,武学奇术!$A:$ZZ,23,FALSE)=1,100%,$B$8),100%)</f>
        <v>0.9943</v>
      </c>
      <c r="BP17" s="23" cm="1">
        <f t="array" ref="BP17">IF(VLOOKUP($R17,武学奇术!$A:$ZZ,23,FALSE)=1,100%,MIN(80%,$B$9+VLOOKUP($R17,武学奇术!$A:$ZZ,17,FALSE)+SUM(_xlfn.XLOOKUP(S17:AL17,增益!$A:$A,增益!$Q:$Q,0)))+$B$11+SUM(_xlfn.XLOOKUP(S17:AL17,增益!$A:$A,增益!$U:$U,0)))*IF(VLOOKUP($R17,武学奇术!$A:$ZZ,24,FALSE)=1,0,1)</f>
        <v>0.887</v>
      </c>
      <c r="BQ17" s="23" cm="1">
        <f t="array" ref="BQ17">1+$B$13+VLOOKUP($R17,武学奇术!$A:$ZZ,18,FALSE)+SUM(_xlfn.XLOOKUP(S17:AL17,增益!$A:$A,增益!$R:$R,0))</f>
        <v>2.314</v>
      </c>
      <c r="BR17" s="23" cm="1">
        <f t="array" ref="BR17">IF(VLOOKUP($R17,武学奇术!$A:$ZZ,24,FALSE)=1,100%,MIN(40%,$B$10+VLOOKUP($R17,武学奇术!$A:$ZZ,19,FALSE)+SUM(_xlfn.XLOOKUP(S17:AL17,增益!$A:$A,增益!$S:$S,0)))+$B$12+SUM(_xlfn.XLOOKUP(S17:AL17,增益!$A:$A,增益!$V:$V,0)))*IF(VLOOKUP($R17,武学奇术!$A:$ZZ,23,FALSE)=1,0,1)</f>
        <v>0.0913</v>
      </c>
      <c r="BS17" s="23" cm="1">
        <f t="array" ref="BS17">1+$B$14+VLOOKUP($R17,武学奇术!$A:$ZZ,20,FALSE)+SUM(_xlfn.XLOOKUP(S17:AL17,增益!$A:$A,增益!$T:$T,0))</f>
        <v>1.35</v>
      </c>
      <c r="BT17" s="23">
        <f t="shared" si="9"/>
        <v>0.8819441</v>
      </c>
      <c r="BU17" s="23">
        <f t="shared" si="10"/>
        <v>0.0215763099999999</v>
      </c>
      <c r="BV17" s="23">
        <f>IF(VLOOKUP($R17,武学奇术!$A:$ZZ,22,FALSE)=1,0,(1-$BO17))*(1-$BR17)</f>
        <v>0.00517959000000003</v>
      </c>
      <c r="BW17" s="23" cm="1">
        <f t="array" ref="BW17">SUM(_xlfn.XLOOKUP(S17:AL17,增益!$A:$A,增益!$W:$W,0))+$I$5</f>
        <v>0.11</v>
      </c>
      <c r="BX17" s="23">
        <f>VLOOKUP($R17,武学奇术!$A:$ZZ,32,FALSE)</f>
        <v>0.1</v>
      </c>
      <c r="BY17" s="23" cm="1">
        <f t="array" ref="BY17">SUM(_xlfn.XLOOKUP($S17:$AL17,增益!$A:$A,增益!$X:$X,0))</f>
        <v>0</v>
      </c>
    </row>
    <row r="18" spans="1:77">
      <c r="A18" s="39" t="s">
        <v>140</v>
      </c>
      <c r="B18" s="71">
        <f>期望!B18</f>
        <v>0.0854</v>
      </c>
      <c r="C18" s="36" t="s">
        <v>141</v>
      </c>
      <c r="D18" s="80" t="s">
        <v>151</v>
      </c>
      <c r="K18" s="35">
        <f>$L18*VLOOKUP($R18,武学奇术!$A:$ZZ,31,FALSE)</f>
        <v>42045.706968843</v>
      </c>
      <c r="L18" s="58">
        <f t="shared" si="0"/>
        <v>37540.8097936098</v>
      </c>
      <c r="M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轻击",$B$21,0))*(1+IF(VLOOKUP($R18,武学奇术!$A:$ZZ,30,FALSE)="老鼠",$B$22,0))*(1+$BW18)*(1+$BX18)</f>
        <v>39391.5535531434</v>
      </c>
      <c r="N18" s="35">
        <f>(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轻击",$B$21,0))*(1+IF(VLOOKUP($R18,武学奇术!$A:$ZZ,30,FALSE)="老鼠",$B$22,0))*(1+$BW18))*(1+$BX18)</f>
        <v>25793.9042472248</v>
      </c>
      <c r="O18" s="35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轻击",$B$21,0))*(1+IF(VLOOKUP($R18,武学奇术!$A:$ZZ,30,FALSE)="老鼠",$B$22,0))*(1+$BW18)*(1+$BX18)</f>
        <v>17023.143281393</v>
      </c>
      <c r="P18" s="35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轻击",$B$21,0))*(1+IF(VLOOKUP($R18,武学奇术!$A:$ZZ,30,FALSE)="老鼠",$B$22,0))*(1+$BW18)*(1+$BX18)</f>
        <v>14939.6908241009</v>
      </c>
      <c r="Q18" s="36">
        <v>1</v>
      </c>
      <c r="R18" s="37" t="s">
        <v>143</v>
      </c>
      <c r="S18" s="37" t="s">
        <v>129</v>
      </c>
      <c r="T18" s="37" t="s">
        <v>130</v>
      </c>
      <c r="U18" s="37" t="s">
        <v>112</v>
      </c>
      <c r="V18" s="37" t="s">
        <v>113</v>
      </c>
      <c r="W18" s="37" t="s">
        <v>82</v>
      </c>
      <c r="X18" s="37" t="s">
        <v>81</v>
      </c>
      <c r="Y18" s="37" t="s">
        <v>109</v>
      </c>
      <c r="Z18" s="37" t="s">
        <v>83</v>
      </c>
      <c r="AA18" s="37" t="s">
        <v>81</v>
      </c>
      <c r="AB18" s="37" t="s">
        <v>81</v>
      </c>
      <c r="AC18" s="37" t="s">
        <v>81</v>
      </c>
      <c r="AD18" s="37" t="s">
        <v>85</v>
      </c>
      <c r="AE18" s="37" t="s">
        <v>86</v>
      </c>
      <c r="AF18" s="37" t="s">
        <v>81</v>
      </c>
      <c r="AG18" s="37" t="s">
        <v>87</v>
      </c>
      <c r="AH18" s="37" t="s">
        <v>81</v>
      </c>
      <c r="AI18" s="37" t="s">
        <v>81</v>
      </c>
      <c r="AJ18" s="37" t="s">
        <v>81</v>
      </c>
      <c r="AK18" s="37" t="s">
        <v>81</v>
      </c>
      <c r="AL18" s="37" t="s">
        <v>81</v>
      </c>
      <c r="AM18" t="str">
        <f>VLOOKUP($R18,武学奇术!$A:$ZZ,25,FALSE)</f>
        <v>双刀</v>
      </c>
      <c r="AN18" s="23">
        <f>VLOOKUP($R18,武学奇术!$A:$ZZ,26,FALSE)</f>
        <v>0.9012</v>
      </c>
      <c r="AO18" s="24">
        <f>VLOOKUP($R18,武学奇术!$A:$ZZ,27,FALSE)*(1+IF(OR($AM18=$F$4,$AM18=$F$5),$B$23,0))</f>
        <v>400</v>
      </c>
      <c r="AP18" s="23">
        <f>VLOOKUP($R18,武学奇术!$A:$ZZ,28,FALSE)</f>
        <v>1.3518</v>
      </c>
      <c r="AQ18" s="24">
        <f>VLOOKUP($R18,武学奇术!$A:$ZZ,29,FALSE)*(1+IF(OR($AM18=$F$4,$AM18=$F$5),$B$23,0))</f>
        <v>217.6</v>
      </c>
      <c r="AR18" s="23" cm="1">
        <f t="array" ref="AR18">$G$3+IFERROR(VLOOKUP($AM18,$F$4:$G$7,2,FALSE),0)+VLOOKUP($R18,武学奇术!$A:$ZZ,2,FALSE)+SUM(_xlfn.XLOOKUP($S18:$AL18,增益!$A:$A,增益!$B:$B,0))</f>
        <v>0.6743</v>
      </c>
      <c r="AS18" s="23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4081.7</v>
      </c>
      <c r="AU18" cm="1">
        <f t="array" ref="AU18">$E$10*(1+$AS18)+VLOOKUP($R18,武学奇术!$A:$ZZ,4,FALSE)+SUM(_xlfn.XLOOKUP($S18:$AL18,增益!$A:$A,增益!$D:$D,0))-$I$2</f>
        <v>4081.7</v>
      </c>
      <c r="AV18" s="29" cm="1">
        <f t="array" ref="AV18">IF($F$10-$I$3+VLOOKUP($R18,武学奇术!$A:$ZZ,6,FALSE)+SUM(_xlfn.XLOOKUP(S18:AL18,增益!$A:$A,增益!$F:$F,0))&gt;0,($F$10-$I$3+VLOOKUP($R18,武学奇术!$A:$ZZ,6,FALSE)+SUM(_xlfn.XLOOKUP(S18:AL18,增益!$A:$A,增益!$F:$F,0)))/200,($F$10-$I$3+VLOOKUP($R18,武学奇术!$A:$ZZ,6,FALSE)+SUM(_xlfn.XLOOKUP(S18:AL18,增益!$A:$A,增益!$F:$F,0)))/100)</f>
        <v>0.3489</v>
      </c>
      <c r="AW18" s="29" cm="1">
        <f t="array" ref="AW18">$G$10+VLOOKUP($R18,武学奇术!$A:$ZZ,7,FALSE)+SUM(_xlfn.XLOOKUP(S18:AL18,增益!$A:$A,增益!$G:$G,0))</f>
        <v>0.06</v>
      </c>
      <c r="AX18" s="23" cm="1">
        <f t="array" ref="AX18">VLOOKUP($R18,武学奇术!$A:$ZZ,8,FALSE)+SUM(_xlfn.XLOOKUP(S18:AL18,增益!$A:$A,增益!$H:$H,0))</f>
        <v>0</v>
      </c>
      <c r="AY18">
        <f t="shared" si="1"/>
        <v>0</v>
      </c>
      <c r="AZ18">
        <f t="shared" si="2"/>
        <v>0</v>
      </c>
      <c r="BA18" s="29" cm="1">
        <f t="array" ref="BA18">IF($F$11-$I$4+VLOOKUP($R18,武学奇术!$A:$ZZ,9,FALSE)+SUM(_xlfn.XLOOKUP(S18:AL18,增益!$A:$A,增益!$I:$I,0))&gt;0,($F$11-$I$4+VLOOKUP($R18,武学奇术!$A:$ZZ,9,FALSE)+SUM(_xlfn.XLOOKUP(S18:AL18,增益!$A:$A,增益!$I:$I,0)))/200,($F$11-$I$4+VLOOKUP($R18,武学奇术!$A:$ZZ,9,FALSE)+SUM(_xlfn.XLOOKUP(S18:AL18,增益!$A:$A,增益!$I:$I,0)))/100)</f>
        <v>-0.3</v>
      </c>
      <c r="BB18" s="29" cm="1">
        <f t="array" ref="BB18">$G$11+VLOOKUP($R18,武学奇术!$A:$ZZ,10,FALSE)+SUM(_xlfn.XLOOKUP(S18:AL18,增益!$A:$A,增益!$J:$J,0))</f>
        <v>0</v>
      </c>
      <c r="BC18">
        <f t="shared" si="3"/>
        <v>0</v>
      </c>
      <c r="BD18">
        <f t="shared" si="4"/>
        <v>0</v>
      </c>
      <c r="BE18" s="29" cm="1">
        <f t="array" ref="BE18">IF($F$12-$I$4+VLOOKUP($R18,武学奇术!$A:$ZZ,11,FALSE)+SUM(_xlfn.XLOOKUP(S18:AL18,增益!$A:$A,增益!$K:$K,0))&gt;0,($F$12-$I$4+VLOOKUP($R18,武学奇术!$A:$ZZ,11,FALSE)+SUM(_xlfn.XLOOKUP(S18:AL18,增益!$A:$A,增益!$K:$K,0)))/200,($F$12-$I$4+VLOOKUP($R18,武学奇术!$A:$ZZ,11,FALSE)+SUM(_xlfn.XLOOKUP(S18:AL18,增益!$A:$A,增益!$K:$K,0)))/100)</f>
        <v>-0.3</v>
      </c>
      <c r="BF18" s="29" cm="1">
        <f t="array" ref="BF18">$G$12+VLOOKUP($R18,武学奇术!$A:$ZZ,12,FALSE)+SUM(_xlfn.XLOOKUP(S18:AL18,增益!$A:$A,增益!$L:$L,0))</f>
        <v>0</v>
      </c>
      <c r="BG18">
        <f t="shared" si="5"/>
        <v>0</v>
      </c>
      <c r="BH18">
        <f t="shared" si="6"/>
        <v>0</v>
      </c>
      <c r="BI18" s="29" cm="1">
        <f t="array" ref="BI18">IF($F$13-$I$4+VLOOKUP($R18,武学奇术!$A:$ZZ,13,FALSE)+SUM(_xlfn.XLOOKUP(S18:AL18,增益!$A:$A,增益!$M:$M,0))&gt;0,($F$13-$I$4+VLOOKUP($R18,武学奇术!$A:$ZZ,13,FALSE)+SUM(_xlfn.XLOOKUP(S18:AL18,增益!$A:$A,增益!$K:$K,0)))/200,($F$13-$I$4+VLOOKUP($R18,武学奇术!$A:$ZZ,13,FALSE)+SUM(_xlfn.XLOOKUP(S18:AL18,增益!$A:$A,增益!$M:$M,0)))/100)</f>
        <v>-0.3</v>
      </c>
      <c r="BJ18" s="29" cm="1">
        <f t="array" ref="BJ18">$G$13+VLOOKUP($R18,武学奇术!$A:$ZZ,14,FALSE)+SUM(_xlfn.XLOOKUP(S18:AL18,增益!$A:$A,增益!$N:$N,0))</f>
        <v>0</v>
      </c>
      <c r="BK18">
        <f t="shared" si="7"/>
        <v>618.2</v>
      </c>
      <c r="BL18">
        <f t="shared" si="8"/>
        <v>1805</v>
      </c>
      <c r="BM18" s="29" cm="1">
        <f t="array" ref="BM18">IF($F$14-$I$4+VLOOKUP($R18,武学奇术!$A:$ZZ,15,FALSE)+SUM(_xlfn.XLOOKUP(S18:AL18,增益!$A:$A,增益!$O:$O,0))&gt;0,($F$14-$I$4+VLOOKUP($R18,武学奇术!$A:$ZZ,15,FALSE)+SUM(_xlfn.XLOOKUP(S18:AL18,增益!$A:$A,增益!$O:$O,0)))/200,($F$14-$I$4+VLOOKUP($R18,武学奇术!$A:$ZZ,15,FALSE)+SUM(_xlfn.XLOOKUP(S18:AL18,增益!$A:$A,增益!$O:$O,0)))/100)</f>
        <v>0.05</v>
      </c>
      <c r="BN18" s="29" cm="1">
        <f t="array" ref="BN18">$G$14+VLOOKUP($R18,武学奇术!$A:$ZZ,16,FALSE)+SUM(_xlfn.XLOOKUP(S18:AL18,增益!$A:$A,增益!$P:$P,0))</f>
        <v>0.21</v>
      </c>
      <c r="BO18" s="23">
        <f>MIN(IF(VLOOKUP($R18,武学奇术!$A:$ZZ,23,FALSE)=1,100%,$B$8),100%)</f>
        <v>0.9943</v>
      </c>
      <c r="BP18" s="23" cm="1">
        <f t="array" ref="BP18">IF(VLOOKUP($R18,武学奇术!$A:$ZZ,23,FALSE)=1,100%,MIN(80%,$B$9+VLOOKUP($R18,武学奇术!$A:$ZZ,17,FALSE)+SUM(_xlfn.XLOOKUP(S18:AL18,增益!$A:$A,增益!$Q:$Q,0)))+$B$11+SUM(_xlfn.XLOOKUP(S18:AL18,增益!$A:$A,增益!$U:$U,0)))*IF(VLOOKUP($R18,武学奇术!$A:$ZZ,24,FALSE)=1,0,1)</f>
        <v>0.887</v>
      </c>
      <c r="BQ18" s="23" cm="1">
        <f t="array" ref="BQ18">1+$B$13+VLOOKUP($R18,武学奇术!$A:$ZZ,18,FALSE)+SUM(_xlfn.XLOOKUP(S18:AL18,增益!$A:$A,增益!$R:$R,0))</f>
        <v>2.314</v>
      </c>
      <c r="BR18" s="23" cm="1">
        <f t="array" ref="BR18">IF(VLOOKUP($R18,武学奇术!$A:$ZZ,24,FALSE)=1,100%,MIN(40%,$B$10+VLOOKUP($R18,武学奇术!$A:$ZZ,19,FALSE)+SUM(_xlfn.XLOOKUP(S18:AL18,增益!$A:$A,增益!$S:$S,0)))+$B$12+SUM(_xlfn.XLOOKUP(S18:AL18,增益!$A:$A,增益!$V:$V,0)))*IF(VLOOKUP($R18,武学奇术!$A:$ZZ,23,FALSE)=1,0,1)</f>
        <v>0.0913</v>
      </c>
      <c r="BS18" s="23" cm="1">
        <f t="array" ref="BS18">1+$B$14+VLOOKUP($R18,武学奇术!$A:$ZZ,20,FALSE)+SUM(_xlfn.XLOOKUP(S18:AL18,增益!$A:$A,增益!$T:$T,0))</f>
        <v>1.35</v>
      </c>
      <c r="BT18" s="23">
        <f t="shared" si="9"/>
        <v>0.8819441</v>
      </c>
      <c r="BU18" s="23">
        <f t="shared" si="10"/>
        <v>0.0215763099999999</v>
      </c>
      <c r="BV18" s="23">
        <f>IF(VLOOKUP($R18,武学奇术!$A:$ZZ,22,FALSE)=1,0,(1-$BO18))*(1-$BR18)</f>
        <v>0.00517959000000003</v>
      </c>
      <c r="BW18" s="23" cm="1">
        <f t="array" ref="BW18">SUM(_xlfn.XLOOKUP(S18:AL18,增益!$A:$A,增益!$W:$W,0))+$I$5</f>
        <v>0.11</v>
      </c>
      <c r="BX18" s="23">
        <f>VLOOKUP($R18,武学奇术!$A:$ZZ,32,FALSE)</f>
        <v>0.1</v>
      </c>
      <c r="BY18" s="23" cm="1">
        <f t="array" ref="BY18">SUM(_xlfn.XLOOKUP($S18:$AL18,增益!$A:$A,增益!$X:$X,0))</f>
        <v>0</v>
      </c>
    </row>
    <row r="19" spans="1:77">
      <c r="A19" s="39" t="s">
        <v>144</v>
      </c>
      <c r="B19" s="71">
        <f>期望!B19</f>
        <v>0</v>
      </c>
      <c r="C19" s="36" t="s">
        <v>145</v>
      </c>
      <c r="D19" s="80" t="s">
        <v>151</v>
      </c>
      <c r="K19" s="35">
        <f>$L19*VLOOKUP($R19,武学奇术!$A:$ZZ,31,FALSE)</f>
        <v>87335.424283552</v>
      </c>
      <c r="L19" s="69">
        <f t="shared" si="0"/>
        <v>85622.9649838745</v>
      </c>
      <c r="M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轻击",$B$21,0))*(1+IF(VLOOKUP($R19,武学奇术!$A:$ZZ,30,FALSE)="老鼠",$B$22,0))*(1+$BW19)*(1+$BX19)</f>
        <v>89774.9224464358</v>
      </c>
      <c r="N19" s="35">
        <f>(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轻击",$B$21,0))*(1+IF(VLOOKUP($R19,武学奇术!$A:$ZZ,30,FALSE)="老鼠",$B$22,0))*(1+$BW19))*(1+$BX19)</f>
        <v>59539.498456652</v>
      </c>
      <c r="O19" s="35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轻击",$B$21,0))*(1+IF(VLOOKUP($R19,武学奇术!$A:$ZZ,30,FALSE)="老鼠",$B$22,0))*(1+$BW19)*(1+$BX19)</f>
        <v>38796.4228376992</v>
      </c>
      <c r="P19" s="35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轻击",$B$21,0))*(1+IF(VLOOKUP($R19,武学奇术!$A:$ZZ,30,FALSE)="老鼠",$B$22,0))*(1+$BW19)*(1+$BX19)</f>
        <v>33489.5134852857</v>
      </c>
      <c r="Q19" s="70">
        <v>3</v>
      </c>
      <c r="R19" s="37" t="s">
        <v>106</v>
      </c>
      <c r="S19" s="37" t="s">
        <v>129</v>
      </c>
      <c r="T19" s="37" t="s">
        <v>130</v>
      </c>
      <c r="U19" s="37" t="s">
        <v>112</v>
      </c>
      <c r="V19" s="37" t="s">
        <v>113</v>
      </c>
      <c r="W19" s="37" t="s">
        <v>82</v>
      </c>
      <c r="X19" s="37" t="s">
        <v>81</v>
      </c>
      <c r="Y19" s="37" t="s">
        <v>109</v>
      </c>
      <c r="Z19" s="37" t="s">
        <v>83</v>
      </c>
      <c r="AA19" s="37" t="s">
        <v>81</v>
      </c>
      <c r="AB19" s="37" t="s">
        <v>81</v>
      </c>
      <c r="AC19" s="37" t="s">
        <v>81</v>
      </c>
      <c r="AD19" s="37" t="s">
        <v>85</v>
      </c>
      <c r="AE19" s="37" t="s">
        <v>86</v>
      </c>
      <c r="AF19" s="37" t="s">
        <v>81</v>
      </c>
      <c r="AG19" s="37" t="s">
        <v>87</v>
      </c>
      <c r="AH19" s="37" t="s">
        <v>81</v>
      </c>
      <c r="AI19" s="37" t="s">
        <v>81</v>
      </c>
      <c r="AJ19" s="37" t="s">
        <v>81</v>
      </c>
      <c r="AK19" s="37" t="s">
        <v>81</v>
      </c>
      <c r="AL19" s="37" t="s">
        <v>81</v>
      </c>
      <c r="AM19" t="str">
        <f>VLOOKUP($R19,武学奇术!$A:$ZZ,25,FALSE)</f>
        <v>绳镖</v>
      </c>
      <c r="AN19" s="23">
        <f>VLOOKUP($R19,武学奇术!$A:$ZZ,26,FALSE)</f>
        <v>0.3675</v>
      </c>
      <c r="AO19" s="24">
        <f>VLOOKUP($R19,武学奇术!$A:$ZZ,27,FALSE)*(1+IF(OR($AM19=$F$4,$AM19=$F$5),$B$23,0))</f>
        <v>0</v>
      </c>
      <c r="AP19" s="23">
        <f>VLOOKUP($R19,武学奇术!$A:$ZZ,28,FALSE)</f>
        <v>0.55125</v>
      </c>
      <c r="AQ19" s="24">
        <f>VLOOKUP($R19,武学奇术!$A:$ZZ,29,FALSE)*(1+IF(OR($AM19=$F$4,$AM19=$F$5),$B$23,0))</f>
        <v>0</v>
      </c>
      <c r="AR19" s="23" cm="1">
        <f t="array" ref="AR19">$G$3+IFERROR(VLOOKUP($AM19,$F$4:$G$7,2,FALSE),0)+VLOOKUP($R19,武学奇术!$A:$ZZ,2,FALSE)+SUM(_xlfn.XLOOKUP($S19:$AL19,增益!$A:$A,增益!$B:$B,0))</f>
        <v>1.4743</v>
      </c>
      <c r="AS19" s="23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4081.7</v>
      </c>
      <c r="AU19" cm="1">
        <f t="array" ref="AU19">$E$10*(1+$AS19)+VLOOKUP($R19,武学奇术!$A:$ZZ,4,FALSE)+SUM(_xlfn.XLOOKUP($S19:$AL19,增益!$A:$A,增益!$D:$D,0))-$I$2</f>
        <v>4081.7</v>
      </c>
      <c r="AV19" s="29" cm="1">
        <f t="array" ref="AV19">IF($F$10-$I$3+VLOOKUP($R19,武学奇术!$A:$ZZ,6,FALSE)+SUM(_xlfn.XLOOKUP(S19:AL19,增益!$A:$A,增益!$F:$F,0))&gt;0,($F$10-$I$3+VLOOKUP($R19,武学奇术!$A:$ZZ,6,FALSE)+SUM(_xlfn.XLOOKUP(S19:AL19,增益!$A:$A,增益!$F:$F,0)))/200,($F$10-$I$3+VLOOKUP($R19,武学奇术!$A:$ZZ,6,FALSE)+SUM(_xlfn.XLOOKUP(S19:AL19,增益!$A:$A,增益!$F:$F,0)))/100)</f>
        <v>0.3489</v>
      </c>
      <c r="AW19" s="29" cm="1">
        <f t="array" ref="AW19">$G$10+VLOOKUP($R19,武学奇术!$A:$ZZ,7,FALSE)+SUM(_xlfn.XLOOKUP(S19:AL19,增益!$A:$A,增益!$G:$G,0))</f>
        <v>0.27</v>
      </c>
      <c r="AX19" s="23" cm="1">
        <f t="array" ref="AX19">VLOOKUP($R19,武学奇术!$A:$ZZ,8,FALSE)+SUM(_xlfn.XLOOKUP(S19:AL19,增益!$A:$A,增益!$H:$H,0))</f>
        <v>0</v>
      </c>
      <c r="AY19">
        <f t="shared" si="1"/>
        <v>0</v>
      </c>
      <c r="AZ19">
        <f t="shared" si="2"/>
        <v>0</v>
      </c>
      <c r="BA19" s="29" cm="1">
        <f t="array" ref="BA19">IF($F$11-$I$4+VLOOKUP($R19,武学奇术!$A:$ZZ,9,FALSE)+SUM(_xlfn.XLOOKUP(S19:AL19,增益!$A:$A,增益!$I:$I,0))&gt;0,($F$11-$I$4+VLOOKUP($R19,武学奇术!$A:$ZZ,9,FALSE)+SUM(_xlfn.XLOOKUP(S19:AL19,增益!$A:$A,增益!$I:$I,0)))/200,($F$11-$I$4+VLOOKUP($R19,武学奇术!$A:$ZZ,9,FALSE)+SUM(_xlfn.XLOOKUP(S19:AL19,增益!$A:$A,增益!$I:$I,0)))/100)</f>
        <v>-0.3</v>
      </c>
      <c r="BB19" s="29" cm="1">
        <f t="array" ref="BB19">$G$11+VLOOKUP($R19,武学奇术!$A:$ZZ,10,FALSE)+SUM(_xlfn.XLOOKUP(S19:AL19,增益!$A:$A,增益!$J:$J,0))</f>
        <v>0</v>
      </c>
      <c r="BC19">
        <f t="shared" si="3"/>
        <v>0</v>
      </c>
      <c r="BD19">
        <f t="shared" si="4"/>
        <v>0</v>
      </c>
      <c r="BE19" s="29" cm="1">
        <f t="array" ref="BE19">IF($F$12-$I$4+VLOOKUP($R19,武学奇术!$A:$ZZ,11,FALSE)+SUM(_xlfn.XLOOKUP(S19:AL19,增益!$A:$A,增益!$K:$K,0))&gt;0,($F$12-$I$4+VLOOKUP($R19,武学奇术!$A:$ZZ,11,FALSE)+SUM(_xlfn.XLOOKUP(S19:AL19,增益!$A:$A,增益!$K:$K,0)))/200,($F$12-$I$4+VLOOKUP($R19,武学奇术!$A:$ZZ,11,FALSE)+SUM(_xlfn.XLOOKUP(S19:AL19,增益!$A:$A,增益!$K:$K,0)))/100)</f>
        <v>-0.3</v>
      </c>
      <c r="BF19" s="29" cm="1">
        <f t="array" ref="BF19">$G$12+VLOOKUP($R19,武学奇术!$A:$ZZ,12,FALSE)+SUM(_xlfn.XLOOKUP(S19:AL19,增益!$A:$A,增益!$L:$L,0))</f>
        <v>0</v>
      </c>
      <c r="BG19">
        <f t="shared" si="5"/>
        <v>0</v>
      </c>
      <c r="BH19">
        <f t="shared" si="6"/>
        <v>0</v>
      </c>
      <c r="BI19" s="29" cm="1">
        <f t="array" ref="BI19">IF($F$13-$I$4+VLOOKUP($R19,武学奇术!$A:$ZZ,13,FALSE)+SUM(_xlfn.XLOOKUP(S19:AL19,增益!$A:$A,增益!$M:$M,0))&gt;0,($F$13-$I$4+VLOOKUP($R19,武学奇术!$A:$ZZ,13,FALSE)+SUM(_xlfn.XLOOKUP(S19:AL19,增益!$A:$A,增益!$K:$K,0)))/200,($F$13-$I$4+VLOOKUP($R19,武学奇术!$A:$ZZ,13,FALSE)+SUM(_xlfn.XLOOKUP(S19:AL19,增益!$A:$A,增益!$M:$M,0)))/100)</f>
        <v>-0.3</v>
      </c>
      <c r="BJ19" s="29" cm="1">
        <f t="array" ref="BJ19">$G$13+VLOOKUP($R19,武学奇术!$A:$ZZ,14,FALSE)+SUM(_xlfn.XLOOKUP(S19:AL19,增益!$A:$A,增益!$N:$N,0))</f>
        <v>0</v>
      </c>
      <c r="BK19">
        <f t="shared" si="7"/>
        <v>618.2</v>
      </c>
      <c r="BL19">
        <f t="shared" si="8"/>
        <v>1805</v>
      </c>
      <c r="BM19" s="29" cm="1">
        <f t="array" ref="BM19">IF($F$14-$I$4+VLOOKUP($R19,武学奇术!$A:$ZZ,15,FALSE)+SUM(_xlfn.XLOOKUP(S19:AL19,增益!$A:$A,增益!$O:$O,0))&gt;0,($F$14-$I$4+VLOOKUP($R19,武学奇术!$A:$ZZ,15,FALSE)+SUM(_xlfn.XLOOKUP(S19:AL19,增益!$A:$A,增益!$O:$O,0)))/200,($F$14-$I$4+VLOOKUP($R19,武学奇术!$A:$ZZ,15,FALSE)+SUM(_xlfn.XLOOKUP(S19:AL19,增益!$A:$A,增益!$O:$O,0)))/100)</f>
        <v>0.05</v>
      </c>
      <c r="BN19" s="29" cm="1">
        <f t="array" ref="BN19">$G$14+VLOOKUP($R19,武学奇术!$A:$ZZ,16,FALSE)+SUM(_xlfn.XLOOKUP(S19:AL19,增益!$A:$A,增益!$P:$P,0))</f>
        <v>0.42</v>
      </c>
      <c r="BO19" s="23">
        <f>MIN(IF(VLOOKUP($R19,武学奇术!$A:$ZZ,23,FALSE)=1,100%,$B$8),100%)</f>
        <v>0.9943</v>
      </c>
      <c r="BP19" s="23" cm="1">
        <f t="array" ref="BP19">IF(VLOOKUP($R19,武学奇术!$A:$ZZ,23,FALSE)=1,100%,MIN(80%,$B$9+VLOOKUP($R19,武学奇术!$A:$ZZ,17,FALSE)+SUM(_xlfn.XLOOKUP(S19:AL19,增益!$A:$A,增益!$Q:$Q,0)))+$B$11+SUM(_xlfn.XLOOKUP(S19:AL19,增益!$A:$A,增益!$U:$U,0)))*IF(VLOOKUP($R19,武学奇术!$A:$ZZ,24,FALSE)=1,0,1)</f>
        <v>0.887</v>
      </c>
      <c r="BQ19" s="23" cm="1">
        <f t="array" ref="BQ19">1+$B$13+VLOOKUP($R19,武学奇术!$A:$ZZ,18,FALSE)+SUM(_xlfn.XLOOKUP(S19:AL19,增益!$A:$A,增益!$R:$R,0))</f>
        <v>2.314</v>
      </c>
      <c r="BR19" s="23" cm="1">
        <f t="array" ref="BR19">IF(VLOOKUP($R19,武学奇术!$A:$ZZ,24,FALSE)=1,100%,MIN(40%,$B$10+VLOOKUP($R19,武学奇术!$A:$ZZ,19,FALSE)+SUM(_xlfn.XLOOKUP(S19:AL19,增益!$A:$A,增益!$S:$S,0)))+$B$12+SUM(_xlfn.XLOOKUP(S19:AL19,增益!$A:$A,增益!$V:$V,0)))*IF(VLOOKUP($R19,武学奇术!$A:$ZZ,23,FALSE)=1,0,1)</f>
        <v>0.0913</v>
      </c>
      <c r="BS19" s="23" cm="1">
        <f t="array" ref="BS19">1+$B$14+VLOOKUP($R19,武学奇术!$A:$ZZ,20,FALSE)+SUM(_xlfn.XLOOKUP(S19:AL19,增益!$A:$A,增益!$T:$T,0))</f>
        <v>1.35</v>
      </c>
      <c r="BT19" s="23">
        <f t="shared" si="9"/>
        <v>0.8819441</v>
      </c>
      <c r="BU19" s="23">
        <f t="shared" si="10"/>
        <v>0.0215763099999999</v>
      </c>
      <c r="BV19" s="23">
        <f>IF(VLOOKUP($R19,武学奇术!$A:$ZZ,22,FALSE)=1,0,(1-$BO19))*(1-$BR19)</f>
        <v>0.00517959000000003</v>
      </c>
      <c r="BW19" s="23" cm="1">
        <f t="array" ref="BW19">SUM(_xlfn.XLOOKUP(S19:AL19,增益!$A:$A,增益!$W:$W,0))+$I$5</f>
        <v>0.11</v>
      </c>
      <c r="BX19" s="23">
        <f>VLOOKUP($R19,武学奇术!$A:$ZZ,32,FALSE)</f>
        <v>0</v>
      </c>
      <c r="BY19" s="23" cm="1">
        <f t="array" ref="BY19">SUM(_xlfn.XLOOKUP($S19:$AL19,增益!$A:$A,增益!$X:$X,0))</f>
        <v>0</v>
      </c>
    </row>
    <row r="20" spans="1:77">
      <c r="A20" s="39" t="s">
        <v>146</v>
      </c>
      <c r="B20" s="71">
        <f>期望!B20</f>
        <v>0</v>
      </c>
      <c r="C20" s="36" t="s">
        <v>147</v>
      </c>
      <c r="D20" s="80" t="s">
        <v>151</v>
      </c>
      <c r="K20" s="35">
        <f>$L20*VLOOKUP($R20,武学奇术!$A:$ZZ,31,FALSE)</f>
        <v>68463.9062460444</v>
      </c>
      <c r="L20" s="58">
        <f t="shared" si="0"/>
        <v>61128.4877196825</v>
      </c>
      <c r="M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轻击",$B$21,0))*(1+IF(VLOOKUP($R20,武学奇术!$A:$ZZ,30,FALSE)="老鼠",$B$22,0))*(1+$BW20)*(1+$BX20)</f>
        <v>64164.8252343416</v>
      </c>
      <c r="N20" s="35">
        <f>(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轻击",$B$21,0))*(1+IF(VLOOKUP($R20,武学奇术!$A:$ZZ,30,FALSE)="老鼠",$B$22,0))*(1+$BW20))*(1+$BX20)</f>
        <v>41811.507086155</v>
      </c>
      <c r="O20" s="35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轻击",$B$21,0))*(1+IF(VLOOKUP($R20,武学奇术!$A:$ZZ,30,FALSE)="老鼠",$B$22,0))*(1+$BW20)*(1+$BX20)</f>
        <v>27609.6494123673</v>
      </c>
      <c r="P20" s="35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轻击",$B$21,0))*(1+IF(VLOOKUP($R20,武学奇术!$A:$ZZ,30,FALSE)="老鼠",$B$22,0))*(1+$BW20)*(1+$BX20)</f>
        <v>24247.8120942495</v>
      </c>
      <c r="Q20" s="36">
        <v>1</v>
      </c>
      <c r="R20" s="37" t="s">
        <v>148</v>
      </c>
      <c r="S20" s="37" t="s">
        <v>79</v>
      </c>
      <c r="T20" s="37" t="s">
        <v>80</v>
      </c>
      <c r="U20" s="37" t="s">
        <v>112</v>
      </c>
      <c r="V20" s="37" t="s">
        <v>113</v>
      </c>
      <c r="W20" s="37" t="s">
        <v>82</v>
      </c>
      <c r="X20" s="37" t="s">
        <v>81</v>
      </c>
      <c r="Y20" s="37" t="s">
        <v>109</v>
      </c>
      <c r="Z20" s="37" t="s">
        <v>83</v>
      </c>
      <c r="AA20" s="37" t="s">
        <v>81</v>
      </c>
      <c r="AB20" s="37" t="s">
        <v>81</v>
      </c>
      <c r="AC20" s="37" t="s">
        <v>81</v>
      </c>
      <c r="AD20" s="37" t="s">
        <v>85</v>
      </c>
      <c r="AE20" s="37" t="s">
        <v>86</v>
      </c>
      <c r="AF20" s="37" t="s">
        <v>81</v>
      </c>
      <c r="AG20" s="37" t="s">
        <v>87</v>
      </c>
      <c r="AH20" s="37" t="s">
        <v>81</v>
      </c>
      <c r="AI20" s="37" t="s">
        <v>81</v>
      </c>
      <c r="AJ20" s="37" t="s">
        <v>81</v>
      </c>
      <c r="AK20" s="37" t="s">
        <v>81</v>
      </c>
      <c r="AL20" s="37" t="s">
        <v>81</v>
      </c>
      <c r="AM20" t="str">
        <f>VLOOKUP($R20,武学奇术!$A:$ZZ,25,FALSE)</f>
        <v>双刀</v>
      </c>
      <c r="AN20" s="23">
        <f>VLOOKUP($R20,武学奇术!$A:$ZZ,26,FALSE)</f>
        <v>1.4455</v>
      </c>
      <c r="AO20" s="24">
        <f>VLOOKUP($R20,武学奇术!$A:$ZZ,27,FALSE)*(1+IF(OR($AM20=$F$4,$AM20=$F$5),$B$23,0))</f>
        <v>641.6</v>
      </c>
      <c r="AP20" s="23">
        <f>VLOOKUP($R20,武学奇术!$A:$ZZ,28,FALSE)</f>
        <v>2.1683</v>
      </c>
      <c r="AQ20" s="24">
        <f>VLOOKUP($R20,武学奇术!$A:$ZZ,29,FALSE)*(1+IF(OR($AM20=$F$4,$AM20=$F$5),$B$23,0))</f>
        <v>348.8</v>
      </c>
      <c r="AR20" s="23" cm="1">
        <f t="array" ref="AR20">$G$3+IFERROR(VLOOKUP($AM20,$F$4:$G$7,2,FALSE),0)+VLOOKUP($R20,武学奇术!$A:$ZZ,2,FALSE)+SUM(_xlfn.XLOOKUP($S20:$AL20,增益!$A:$A,增益!$B:$B,0))</f>
        <v>0.6843</v>
      </c>
      <c r="AS20" s="23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4081.7</v>
      </c>
      <c r="AU20" cm="1">
        <f t="array" ref="AU20">$E$10*(1+$AS20)+VLOOKUP($R20,武学奇术!$A:$ZZ,4,FALSE)+SUM(_xlfn.XLOOKUP($S20:$AL20,增益!$A:$A,增益!$D:$D,0))-$I$2</f>
        <v>4081.7</v>
      </c>
      <c r="AV20" s="29" cm="1">
        <f t="array" ref="AV20">IF($F$10-$I$3+VLOOKUP($R20,武学奇术!$A:$ZZ,6,FALSE)+SUM(_xlfn.XLOOKUP(S20:AL20,增益!$A:$A,增益!$F:$F,0))&gt;0,($F$10-$I$3+VLOOKUP($R20,武学奇术!$A:$ZZ,6,FALSE)+SUM(_xlfn.XLOOKUP(S20:AL20,增益!$A:$A,增益!$F:$F,0)))/200,($F$10-$I$3+VLOOKUP($R20,武学奇术!$A:$ZZ,6,FALSE)+SUM(_xlfn.XLOOKUP(S20:AL20,增益!$A:$A,增益!$F:$F,0)))/100)</f>
        <v>0.3589</v>
      </c>
      <c r="AW20" s="29" cm="1">
        <f t="array" ref="AW20">$G$10+VLOOKUP($R20,武学奇术!$A:$ZZ,7,FALSE)+SUM(_xlfn.XLOOKUP(S20:AL20,增益!$A:$A,增益!$G:$G,0))</f>
        <v>0.06</v>
      </c>
      <c r="AX20" s="23" cm="1">
        <f t="array" ref="AX20">VLOOKUP($R20,武学奇术!$A:$ZZ,8,FALSE)+SUM(_xlfn.XLOOKUP(S20:AL20,增益!$A:$A,增益!$H:$H,0))</f>
        <v>0</v>
      </c>
      <c r="AY20">
        <f t="shared" si="1"/>
        <v>0</v>
      </c>
      <c r="AZ20">
        <f t="shared" si="2"/>
        <v>0</v>
      </c>
      <c r="BA20" s="29" cm="1">
        <f t="array" ref="BA20">IF($F$11-$I$4+VLOOKUP($R20,武学奇术!$A:$ZZ,9,FALSE)+SUM(_xlfn.XLOOKUP(S20:AL20,增益!$A:$A,增益!$I:$I,0))&gt;0,($F$11-$I$4+VLOOKUP($R20,武学奇术!$A:$ZZ,9,FALSE)+SUM(_xlfn.XLOOKUP(S20:AL20,增益!$A:$A,增益!$I:$I,0)))/200,($F$11-$I$4+VLOOKUP($R20,武学奇术!$A:$ZZ,9,FALSE)+SUM(_xlfn.XLOOKUP(S20:AL20,增益!$A:$A,增益!$I:$I,0)))/100)</f>
        <v>-0.3</v>
      </c>
      <c r="BB20" s="29" cm="1">
        <f t="array" ref="BB20">$G$11+VLOOKUP($R20,武学奇术!$A:$ZZ,10,FALSE)+SUM(_xlfn.XLOOKUP(S20:AL20,增益!$A:$A,增益!$J:$J,0))</f>
        <v>0</v>
      </c>
      <c r="BC20">
        <f t="shared" si="3"/>
        <v>0</v>
      </c>
      <c r="BD20">
        <f t="shared" si="4"/>
        <v>0</v>
      </c>
      <c r="BE20" s="29" cm="1">
        <f t="array" ref="BE20">IF($F$12-$I$4+VLOOKUP($R20,武学奇术!$A:$ZZ,11,FALSE)+SUM(_xlfn.XLOOKUP(S20:AL20,增益!$A:$A,增益!$K:$K,0))&gt;0,($F$12-$I$4+VLOOKUP($R20,武学奇术!$A:$ZZ,11,FALSE)+SUM(_xlfn.XLOOKUP(S20:AL20,增益!$A:$A,增益!$K:$K,0)))/200,($F$12-$I$4+VLOOKUP($R20,武学奇术!$A:$ZZ,11,FALSE)+SUM(_xlfn.XLOOKUP(S20:AL20,增益!$A:$A,增益!$K:$K,0)))/100)</f>
        <v>-0.3</v>
      </c>
      <c r="BF20" s="29" cm="1">
        <f t="array" ref="BF20">$G$12+VLOOKUP($R20,武学奇术!$A:$ZZ,12,FALSE)+SUM(_xlfn.XLOOKUP(S20:AL20,增益!$A:$A,增益!$L:$L,0))</f>
        <v>0</v>
      </c>
      <c r="BG20">
        <f t="shared" si="5"/>
        <v>0</v>
      </c>
      <c r="BH20">
        <f t="shared" si="6"/>
        <v>0</v>
      </c>
      <c r="BI20" s="29" cm="1">
        <f t="array" ref="BI20">IF($F$13-$I$4+VLOOKUP($R20,武学奇术!$A:$ZZ,13,FALSE)+SUM(_xlfn.XLOOKUP(S20:AL20,增益!$A:$A,增益!$M:$M,0))&gt;0,($F$13-$I$4+VLOOKUP($R20,武学奇术!$A:$ZZ,13,FALSE)+SUM(_xlfn.XLOOKUP(S20:AL20,增益!$A:$A,增益!$K:$K,0)))/200,($F$13-$I$4+VLOOKUP($R20,武学奇术!$A:$ZZ,13,FALSE)+SUM(_xlfn.XLOOKUP(S20:AL20,增益!$A:$A,增益!$M:$M,0)))/100)</f>
        <v>-0.3</v>
      </c>
      <c r="BJ20" s="29" cm="1">
        <f t="array" ref="BJ20">$G$13+VLOOKUP($R20,武学奇术!$A:$ZZ,14,FALSE)+SUM(_xlfn.XLOOKUP(S20:AL20,增益!$A:$A,增益!$N:$N,0))</f>
        <v>0</v>
      </c>
      <c r="BK20">
        <f t="shared" si="7"/>
        <v>618.2</v>
      </c>
      <c r="BL20">
        <f t="shared" si="8"/>
        <v>1805</v>
      </c>
      <c r="BM20" s="29" cm="1">
        <f t="array" ref="BM20">IF($F$14-$I$4+VLOOKUP($R20,武学奇术!$A:$ZZ,15,FALSE)+SUM(_xlfn.XLOOKUP(S20:AL20,增益!$A:$A,增益!$O:$O,0))&gt;0,($F$14-$I$4+VLOOKUP($R20,武学奇术!$A:$ZZ,15,FALSE)+SUM(_xlfn.XLOOKUP(S20:AL20,增益!$A:$A,增益!$O:$O,0)))/200,($F$14-$I$4+VLOOKUP($R20,武学奇术!$A:$ZZ,15,FALSE)+SUM(_xlfn.XLOOKUP(S20:AL20,增益!$A:$A,增益!$O:$O,0)))/100)</f>
        <v>0.05</v>
      </c>
      <c r="BN20" s="29" cm="1">
        <f t="array" ref="BN20">$G$14+VLOOKUP($R20,武学奇术!$A:$ZZ,16,FALSE)+SUM(_xlfn.XLOOKUP(S20:AL20,增益!$A:$A,增益!$P:$P,0))</f>
        <v>0.21</v>
      </c>
      <c r="BO20" s="23">
        <f>MIN(IF(VLOOKUP($R20,武学奇术!$A:$ZZ,23,FALSE)=1,100%,$B$8),100%)</f>
        <v>0.9943</v>
      </c>
      <c r="BP20" s="23" cm="1">
        <f t="array" ref="BP20">IF(VLOOKUP($R20,武学奇术!$A:$ZZ,23,FALSE)=1,100%,MIN(80%,$B$9+VLOOKUP($R20,武学奇术!$A:$ZZ,17,FALSE)+SUM(_xlfn.XLOOKUP(S20:AL20,增益!$A:$A,增益!$Q:$Q,0)))+$B$11+SUM(_xlfn.XLOOKUP(S20:AL20,增益!$A:$A,增益!$U:$U,0)))*IF(VLOOKUP($R20,武学奇术!$A:$ZZ,24,FALSE)=1,0,1)</f>
        <v>0.887</v>
      </c>
      <c r="BQ20" s="23" cm="1">
        <f t="array" ref="BQ20">1+$B$13+VLOOKUP($R20,武学奇术!$A:$ZZ,18,FALSE)+SUM(_xlfn.XLOOKUP(S20:AL20,增益!$A:$A,增益!$R:$R,0))</f>
        <v>2.324</v>
      </c>
      <c r="BR20" s="23" cm="1">
        <f t="array" ref="BR20">IF(VLOOKUP($R20,武学奇术!$A:$ZZ,24,FALSE)=1,100%,MIN(40%,$B$10+VLOOKUP($R20,武学奇术!$A:$ZZ,19,FALSE)+SUM(_xlfn.XLOOKUP(S20:AL20,增益!$A:$A,增益!$S:$S,0)))+$B$12+SUM(_xlfn.XLOOKUP(S20:AL20,增益!$A:$A,增益!$V:$V,0)))*IF(VLOOKUP($R20,武学奇术!$A:$ZZ,23,FALSE)=1,0,1)</f>
        <v>0.0913</v>
      </c>
      <c r="BS20" s="23" cm="1">
        <f t="array" ref="BS20">1+$B$14+VLOOKUP($R20,武学奇术!$A:$ZZ,20,FALSE)+SUM(_xlfn.XLOOKUP(S20:AL20,增益!$A:$A,增益!$T:$T,0))</f>
        <v>1.35</v>
      </c>
      <c r="BT20" s="23">
        <f t="shared" si="9"/>
        <v>0.8819441</v>
      </c>
      <c r="BU20" s="23">
        <f t="shared" si="10"/>
        <v>0.0215763099999999</v>
      </c>
      <c r="BV20" s="23">
        <f>IF(VLOOKUP($R20,武学奇术!$A:$ZZ,22,FALSE)=1,0,(1-$BO20))*(1-$BR20)</f>
        <v>0.00517959000000003</v>
      </c>
      <c r="BW20" s="23" cm="1">
        <f t="array" ref="BW20">SUM(_xlfn.XLOOKUP(S20:AL20,增益!$A:$A,增益!$W:$W,0))+$I$5</f>
        <v>0.11</v>
      </c>
      <c r="BX20" s="23">
        <f>VLOOKUP($R20,武学奇术!$A:$ZZ,32,FALSE)</f>
        <v>0.1</v>
      </c>
      <c r="BY20" s="23" cm="1">
        <f t="array" ref="BY20">SUM(_xlfn.XLOOKUP($S20:$AL20,增益!$A:$A,增益!$X:$X,0))</f>
        <v>0</v>
      </c>
    </row>
    <row r="21" spans="1:77">
      <c r="A21" s="39" t="s">
        <v>149</v>
      </c>
      <c r="B21" s="71">
        <f>期望!B21</f>
        <v>0</v>
      </c>
      <c r="C21" s="36" t="s">
        <v>150</v>
      </c>
      <c r="D21" s="80" t="s">
        <v>151</v>
      </c>
      <c r="E21" s="36" t="s">
        <v>152</v>
      </c>
      <c r="F21" s="36"/>
      <c r="K21" s="35">
        <f>$L21*VLOOKUP($R21,武学奇术!$A:$ZZ,31,FALSE)</f>
        <v>82210.2042865968</v>
      </c>
      <c r="L21" s="58">
        <f t="shared" si="0"/>
        <v>73401.9681130328</v>
      </c>
      <c r="M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轻击",$B$21,0))*(1+IF(VLOOKUP($R21,武学奇术!$A:$ZZ,30,FALSE)="老鼠",$B$22,0))*(1+$BW21)*(1+$BX21)</f>
        <v>77047.937851186</v>
      </c>
      <c r="N21" s="35">
        <f>(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轻击",$B$21,0))*(1+IF(VLOOKUP($R21,武学奇术!$A:$ZZ,30,FALSE)="老鼠",$B$22,0))*(1+$BW21))*(1+$BX21)</f>
        <v>50206.5809798271</v>
      </c>
      <c r="O21" s="35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轻击",$B$21,0))*(1+IF(VLOOKUP($R21,武学奇术!$A:$ZZ,30,FALSE)="老鼠",$B$22,0))*(1+$BW21)*(1+$BX21)</f>
        <v>33153.1574230577</v>
      </c>
      <c r="P21" s="35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轻击",$B$21,0))*(1+IF(VLOOKUP($R21,武学奇术!$A:$ZZ,30,FALSE)="老鼠",$B$22,0))*(1+$BW21)*(1+$BX21)</f>
        <v>29116.2548610582</v>
      </c>
      <c r="Q21" s="36">
        <v>1</v>
      </c>
      <c r="R21" s="37" t="s">
        <v>153</v>
      </c>
      <c r="S21" s="37" t="s">
        <v>79</v>
      </c>
      <c r="T21" s="37" t="s">
        <v>80</v>
      </c>
      <c r="U21" s="37" t="s">
        <v>112</v>
      </c>
      <c r="V21" s="37" t="s">
        <v>113</v>
      </c>
      <c r="W21" s="37" t="s">
        <v>82</v>
      </c>
      <c r="X21" s="37" t="s">
        <v>81</v>
      </c>
      <c r="Y21" s="37" t="s">
        <v>109</v>
      </c>
      <c r="Z21" s="37" t="s">
        <v>83</v>
      </c>
      <c r="AA21" s="37" t="s">
        <v>81</v>
      </c>
      <c r="AB21" s="37" t="s">
        <v>81</v>
      </c>
      <c r="AC21" s="37" t="s">
        <v>81</v>
      </c>
      <c r="AD21" s="37" t="s">
        <v>85</v>
      </c>
      <c r="AE21" s="37" t="s">
        <v>86</v>
      </c>
      <c r="AF21" s="37" t="s">
        <v>81</v>
      </c>
      <c r="AG21" s="37" t="s">
        <v>87</v>
      </c>
      <c r="AH21" s="37" t="s">
        <v>81</v>
      </c>
      <c r="AI21" s="37" t="s">
        <v>81</v>
      </c>
      <c r="AJ21" s="37" t="s">
        <v>81</v>
      </c>
      <c r="AK21" s="37" t="s">
        <v>81</v>
      </c>
      <c r="AL21" s="37" t="s">
        <v>81</v>
      </c>
      <c r="AM21" t="str">
        <f>VLOOKUP($R21,武学奇术!$A:$ZZ,25,FALSE)</f>
        <v>双刀</v>
      </c>
      <c r="AN21" s="23">
        <f>VLOOKUP($R21,武学奇术!$A:$ZZ,26,FALSE)</f>
        <v>1.7358</v>
      </c>
      <c r="AO21" s="24">
        <f>VLOOKUP($R21,武学奇术!$A:$ZZ,27,FALSE)*(1+IF(OR($AM21=$F$4,$AM21=$F$5),$B$23,0))</f>
        <v>769.6</v>
      </c>
      <c r="AP21" s="23">
        <f>VLOOKUP($R21,武学奇术!$A:$ZZ,28,FALSE)</f>
        <v>2.6037</v>
      </c>
      <c r="AQ21" s="24">
        <f>VLOOKUP($R21,武学奇术!$A:$ZZ,29,FALSE)*(1+IF(OR($AM21=$F$4,$AM21=$F$5),$B$23,0))</f>
        <v>419.2</v>
      </c>
      <c r="AR21" s="23" cm="1">
        <f t="array" ref="AR21">$G$3+IFERROR(VLOOKUP($AM21,$F$4:$G$7,2,FALSE),0)+VLOOKUP($R21,武学奇术!$A:$ZZ,2,FALSE)+SUM(_xlfn.XLOOKUP($S21:$AL21,增益!$A:$A,增益!$B:$B,0))</f>
        <v>0.6843</v>
      </c>
      <c r="AS21" s="23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4081.7</v>
      </c>
      <c r="AU21" cm="1">
        <f t="array" ref="AU21">$E$10*(1+$AS21)+VLOOKUP($R21,武学奇术!$A:$ZZ,4,FALSE)+SUM(_xlfn.XLOOKUP($S21:$AL21,增益!$A:$A,增益!$D:$D,0))-$I$2</f>
        <v>4081.7</v>
      </c>
      <c r="AV21" s="29" cm="1">
        <f t="array" ref="AV21">IF($F$10-$I$3+VLOOKUP($R21,武学奇术!$A:$ZZ,6,FALSE)+SUM(_xlfn.XLOOKUP(S21:AL21,增益!$A:$A,增益!$F:$F,0))&gt;0,($F$10-$I$3+VLOOKUP($R21,武学奇术!$A:$ZZ,6,FALSE)+SUM(_xlfn.XLOOKUP(S21:AL21,增益!$A:$A,增益!$F:$F,0)))/200,($F$10-$I$3+VLOOKUP($R21,武学奇术!$A:$ZZ,6,FALSE)+SUM(_xlfn.XLOOKUP(S21:AL21,增益!$A:$A,增益!$F:$F,0)))/100)</f>
        <v>0.3589</v>
      </c>
      <c r="AW21" s="29" cm="1">
        <f t="array" ref="AW21">$G$10+VLOOKUP($R21,武学奇术!$A:$ZZ,7,FALSE)+SUM(_xlfn.XLOOKUP(S21:AL21,增益!$A:$A,增益!$G:$G,0))</f>
        <v>0.06</v>
      </c>
      <c r="AX21" s="23" cm="1">
        <f t="array" ref="AX21">VLOOKUP($R21,武学奇术!$A:$ZZ,8,FALSE)+SUM(_xlfn.XLOOKUP(S21:AL21,增益!$A:$A,增益!$H:$H,0))</f>
        <v>0</v>
      </c>
      <c r="AY21">
        <f t="shared" si="1"/>
        <v>0</v>
      </c>
      <c r="AZ21">
        <f t="shared" si="2"/>
        <v>0</v>
      </c>
      <c r="BA21" s="29" cm="1">
        <f t="array" ref="BA21">IF($F$11-$I$4+VLOOKUP($R21,武学奇术!$A:$ZZ,9,FALSE)+SUM(_xlfn.XLOOKUP(S21:AL21,增益!$A:$A,增益!$I:$I,0))&gt;0,($F$11-$I$4+VLOOKUP($R21,武学奇术!$A:$ZZ,9,FALSE)+SUM(_xlfn.XLOOKUP(S21:AL21,增益!$A:$A,增益!$I:$I,0)))/200,($F$11-$I$4+VLOOKUP($R21,武学奇术!$A:$ZZ,9,FALSE)+SUM(_xlfn.XLOOKUP(S21:AL21,增益!$A:$A,增益!$I:$I,0)))/100)</f>
        <v>-0.3</v>
      </c>
      <c r="BB21" s="29" cm="1">
        <f t="array" ref="BB21">$G$11+VLOOKUP($R21,武学奇术!$A:$ZZ,10,FALSE)+SUM(_xlfn.XLOOKUP(S21:AL21,增益!$A:$A,增益!$J:$J,0))</f>
        <v>0</v>
      </c>
      <c r="BC21">
        <f t="shared" si="3"/>
        <v>0</v>
      </c>
      <c r="BD21">
        <f t="shared" si="4"/>
        <v>0</v>
      </c>
      <c r="BE21" s="29" cm="1">
        <f t="array" ref="BE21">IF($F$12-$I$4+VLOOKUP($R21,武学奇术!$A:$ZZ,11,FALSE)+SUM(_xlfn.XLOOKUP(S21:AL21,增益!$A:$A,增益!$K:$K,0))&gt;0,($F$12-$I$4+VLOOKUP($R21,武学奇术!$A:$ZZ,11,FALSE)+SUM(_xlfn.XLOOKUP(S21:AL21,增益!$A:$A,增益!$K:$K,0)))/200,($F$12-$I$4+VLOOKUP($R21,武学奇术!$A:$ZZ,11,FALSE)+SUM(_xlfn.XLOOKUP(S21:AL21,增益!$A:$A,增益!$K:$K,0)))/100)</f>
        <v>-0.3</v>
      </c>
      <c r="BF21" s="29" cm="1">
        <f t="array" ref="BF21">$G$12+VLOOKUP($R21,武学奇术!$A:$ZZ,12,FALSE)+SUM(_xlfn.XLOOKUP(S21:AL21,增益!$A:$A,增益!$L:$L,0))</f>
        <v>0</v>
      </c>
      <c r="BG21">
        <f t="shared" si="5"/>
        <v>0</v>
      </c>
      <c r="BH21">
        <f t="shared" si="6"/>
        <v>0</v>
      </c>
      <c r="BI21" s="29" cm="1">
        <f t="array" ref="BI21">IF($F$13-$I$4+VLOOKUP($R21,武学奇术!$A:$ZZ,13,FALSE)+SUM(_xlfn.XLOOKUP(S21:AL21,增益!$A:$A,增益!$M:$M,0))&gt;0,($F$13-$I$4+VLOOKUP($R21,武学奇术!$A:$ZZ,13,FALSE)+SUM(_xlfn.XLOOKUP(S21:AL21,增益!$A:$A,增益!$K:$K,0)))/200,($F$13-$I$4+VLOOKUP($R21,武学奇术!$A:$ZZ,13,FALSE)+SUM(_xlfn.XLOOKUP(S21:AL21,增益!$A:$A,增益!$M:$M,0)))/100)</f>
        <v>-0.3</v>
      </c>
      <c r="BJ21" s="29" cm="1">
        <f t="array" ref="BJ21">$G$13+VLOOKUP($R21,武学奇术!$A:$ZZ,14,FALSE)+SUM(_xlfn.XLOOKUP(S21:AL21,增益!$A:$A,增益!$N:$N,0))</f>
        <v>0</v>
      </c>
      <c r="BK21">
        <f t="shared" si="7"/>
        <v>618.2</v>
      </c>
      <c r="BL21">
        <f t="shared" si="8"/>
        <v>1805</v>
      </c>
      <c r="BM21" s="29" cm="1">
        <f t="array" ref="BM21">IF($F$14-$I$4+VLOOKUP($R21,武学奇术!$A:$ZZ,15,FALSE)+SUM(_xlfn.XLOOKUP(S21:AL21,增益!$A:$A,增益!$O:$O,0))&gt;0,($F$14-$I$4+VLOOKUP($R21,武学奇术!$A:$ZZ,15,FALSE)+SUM(_xlfn.XLOOKUP(S21:AL21,增益!$A:$A,增益!$O:$O,0)))/200,($F$14-$I$4+VLOOKUP($R21,武学奇术!$A:$ZZ,15,FALSE)+SUM(_xlfn.XLOOKUP(S21:AL21,增益!$A:$A,增益!$O:$O,0)))/100)</f>
        <v>0.05</v>
      </c>
      <c r="BN21" s="29" cm="1">
        <f t="array" ref="BN21">$G$14+VLOOKUP($R21,武学奇术!$A:$ZZ,16,FALSE)+SUM(_xlfn.XLOOKUP(S21:AL21,增益!$A:$A,增益!$P:$P,0))</f>
        <v>0.21</v>
      </c>
      <c r="BO21" s="23">
        <f>MIN(IF(VLOOKUP($R21,武学奇术!$A:$ZZ,23,FALSE)=1,100%,$B$8),100%)</f>
        <v>0.9943</v>
      </c>
      <c r="BP21" s="23" cm="1">
        <f t="array" ref="BP21">IF(VLOOKUP($R21,武学奇术!$A:$ZZ,23,FALSE)=1,100%,MIN(80%,$B$9+VLOOKUP($R21,武学奇术!$A:$ZZ,17,FALSE)+SUM(_xlfn.XLOOKUP(S21:AL21,增益!$A:$A,增益!$Q:$Q,0)))+$B$11+SUM(_xlfn.XLOOKUP(S21:AL21,增益!$A:$A,增益!$U:$U,0)))*IF(VLOOKUP($R21,武学奇术!$A:$ZZ,24,FALSE)=1,0,1)</f>
        <v>0.887</v>
      </c>
      <c r="BQ21" s="23" cm="1">
        <f t="array" ref="BQ21">1+$B$13+VLOOKUP($R21,武学奇术!$A:$ZZ,18,FALSE)+SUM(_xlfn.XLOOKUP(S21:AL21,增益!$A:$A,增益!$R:$R,0))</f>
        <v>2.324</v>
      </c>
      <c r="BR21" s="23" cm="1">
        <f t="array" ref="BR21">IF(VLOOKUP($R21,武学奇术!$A:$ZZ,24,FALSE)=1,100%,MIN(40%,$B$10+VLOOKUP($R21,武学奇术!$A:$ZZ,19,FALSE)+SUM(_xlfn.XLOOKUP(S21:AL21,增益!$A:$A,增益!$S:$S,0)))+$B$12+SUM(_xlfn.XLOOKUP(S21:AL21,增益!$A:$A,增益!$V:$V,0)))*IF(VLOOKUP($R21,武学奇术!$A:$ZZ,23,FALSE)=1,0,1)</f>
        <v>0.0913</v>
      </c>
      <c r="BS21" s="23" cm="1">
        <f t="array" ref="BS21">1+$B$14+VLOOKUP($R21,武学奇术!$A:$ZZ,20,FALSE)+SUM(_xlfn.XLOOKUP(S21:AL21,增益!$A:$A,增益!$T:$T,0))</f>
        <v>1.35</v>
      </c>
      <c r="BT21" s="23">
        <f t="shared" si="9"/>
        <v>0.8819441</v>
      </c>
      <c r="BU21" s="23">
        <f t="shared" si="10"/>
        <v>0.0215763099999999</v>
      </c>
      <c r="BV21" s="23">
        <f>IF(VLOOKUP($R21,武学奇术!$A:$ZZ,22,FALSE)=1,0,(1-$BO21))*(1-$BR21)</f>
        <v>0.00517959000000003</v>
      </c>
      <c r="BW21" s="23" cm="1">
        <f t="array" ref="BW21">SUM(_xlfn.XLOOKUP(S21:AL21,增益!$A:$A,增益!$W:$W,0))+$I$5</f>
        <v>0.11</v>
      </c>
      <c r="BX21" s="23">
        <f>VLOOKUP($R21,武学奇术!$A:$ZZ,32,FALSE)</f>
        <v>0.1</v>
      </c>
      <c r="BY21" s="23" cm="1">
        <f t="array" ref="BY21">SUM(_xlfn.XLOOKUP($S21:$AL21,增益!$A:$A,增益!$X:$X,0))</f>
        <v>0</v>
      </c>
    </row>
    <row r="22" ht="14.25" spans="1:77">
      <c r="A22" s="86" t="s">
        <v>154</v>
      </c>
      <c r="B22" s="87">
        <f>期望!B22</f>
        <v>0.3206</v>
      </c>
      <c r="C22" s="36" t="s">
        <v>155</v>
      </c>
      <c r="D22" s="80" t="s">
        <v>151</v>
      </c>
      <c r="E22" s="37" t="str">
        <f>期望!E22</f>
        <v>易水歌</v>
      </c>
      <c r="F22" s="37"/>
      <c r="K22" s="35">
        <f>$L22*VLOOKUP($R22,武学奇术!$A:$ZZ,31,FALSE)</f>
        <v>118007.688414422</v>
      </c>
      <c r="L22" s="69">
        <f t="shared" si="0"/>
        <v>115693.812171002</v>
      </c>
      <c r="M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轻击",$B$21,0))*(1+IF(VLOOKUP($R22,武学奇术!$A:$ZZ,30,FALSE)="老鼠",$B$22,0))*(1+$BW22)*(1+$BX22)</f>
        <v>121347.951867167</v>
      </c>
      <c r="N22" s="35">
        <f>(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轻击",$B$21,0))*(1+IF(VLOOKUP($R22,武学奇术!$A:$ZZ,30,FALSE)="老鼠",$B$22,0))*(1+$BW22))*(1+$BX22)</f>
        <v>80081.4630019508</v>
      </c>
      <c r="O22" s="35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轻击",$B$21,0))*(1+IF(VLOOKUP($R22,武学奇术!$A:$ZZ,30,FALSE)="老鼠",$B$22,0))*(1+$BW22)*(1+$BX22)</f>
        <v>52215.1255882818</v>
      </c>
      <c r="P22" s="35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轻击",$B$21,0))*(1+IF(VLOOKUP($R22,武学奇术!$A:$ZZ,30,FALSE)="老鼠",$B$22,0))*(1+$BW22)*(1+$BX22)</f>
        <v>45110.6489528963</v>
      </c>
      <c r="Q22" s="70">
        <v>4</v>
      </c>
      <c r="R22" s="37" t="s">
        <v>106</v>
      </c>
      <c r="S22" s="37" t="s">
        <v>79</v>
      </c>
      <c r="T22" s="37" t="s">
        <v>80</v>
      </c>
      <c r="U22" s="37" t="s">
        <v>112</v>
      </c>
      <c r="V22" s="37" t="s">
        <v>113</v>
      </c>
      <c r="W22" s="37" t="s">
        <v>82</v>
      </c>
      <c r="X22" s="37" t="s">
        <v>81</v>
      </c>
      <c r="Y22" s="37" t="s">
        <v>109</v>
      </c>
      <c r="Z22" s="37" t="s">
        <v>83</v>
      </c>
      <c r="AA22" s="37" t="s">
        <v>81</v>
      </c>
      <c r="AB22" s="37" t="s">
        <v>81</v>
      </c>
      <c r="AC22" s="37" t="s">
        <v>81</v>
      </c>
      <c r="AD22" s="37" t="s">
        <v>85</v>
      </c>
      <c r="AE22" s="37" t="s">
        <v>86</v>
      </c>
      <c r="AF22" s="37" t="s">
        <v>81</v>
      </c>
      <c r="AG22" s="37" t="s">
        <v>87</v>
      </c>
      <c r="AH22" s="37" t="s">
        <v>81</v>
      </c>
      <c r="AI22" s="37" t="s">
        <v>81</v>
      </c>
      <c r="AJ22" s="37" t="s">
        <v>81</v>
      </c>
      <c r="AK22" s="37" t="s">
        <v>81</v>
      </c>
      <c r="AL22" s="37" t="s">
        <v>81</v>
      </c>
      <c r="AM22" t="str">
        <f>VLOOKUP($R22,武学奇术!$A:$ZZ,25,FALSE)</f>
        <v>绳镖</v>
      </c>
      <c r="AN22" s="23">
        <f>VLOOKUP($R22,武学奇术!$A:$ZZ,26,FALSE)</f>
        <v>0.3675</v>
      </c>
      <c r="AO22" s="24">
        <f>VLOOKUP($R22,武学奇术!$A:$ZZ,27,FALSE)*(1+IF(OR($AM22=$F$4,$AM22=$F$5),$B$23,0))</f>
        <v>0</v>
      </c>
      <c r="AP22" s="23">
        <f>VLOOKUP($R22,武学奇术!$A:$ZZ,28,FALSE)</f>
        <v>0.55125</v>
      </c>
      <c r="AQ22" s="24">
        <f>VLOOKUP($R22,武学奇术!$A:$ZZ,29,FALSE)*(1+IF(OR($AM22=$F$4,$AM22=$F$5),$B$23,0))</f>
        <v>0</v>
      </c>
      <c r="AR22" s="23" cm="1">
        <f t="array" ref="AR22">$G$3+IFERROR(VLOOKUP($AM22,$F$4:$G$7,2,FALSE),0)+VLOOKUP($R22,武学奇术!$A:$ZZ,2,FALSE)+SUM(_xlfn.XLOOKUP($S22:$AL22,增益!$A:$A,增益!$B:$B,0))</f>
        <v>1.4843</v>
      </c>
      <c r="AS22" s="23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4081.7</v>
      </c>
      <c r="AU22" cm="1">
        <f t="array" ref="AU22">$E$10*(1+$AS22)+VLOOKUP($R22,武学奇术!$A:$ZZ,4,FALSE)+SUM(_xlfn.XLOOKUP($S22:$AL22,增益!$A:$A,增益!$D:$D,0))-$I$2</f>
        <v>4081.7</v>
      </c>
      <c r="AV22" s="29" cm="1">
        <f t="array" ref="AV22">IF($F$10-$I$3+VLOOKUP($R22,武学奇术!$A:$ZZ,6,FALSE)+SUM(_xlfn.XLOOKUP(S22:AL22,增益!$A:$A,增益!$F:$F,0))&gt;0,($F$10-$I$3+VLOOKUP($R22,武学奇术!$A:$ZZ,6,FALSE)+SUM(_xlfn.XLOOKUP(S22:AL22,增益!$A:$A,增益!$F:$F,0)))/200,($F$10-$I$3+VLOOKUP($R22,武学奇术!$A:$ZZ,6,FALSE)+SUM(_xlfn.XLOOKUP(S22:AL22,增益!$A:$A,增益!$F:$F,0)))/100)</f>
        <v>0.3589</v>
      </c>
      <c r="AW22" s="29" cm="1">
        <f t="array" ref="AW22">$G$10+VLOOKUP($R22,武学奇术!$A:$ZZ,7,FALSE)+SUM(_xlfn.XLOOKUP(S22:AL22,增益!$A:$A,增益!$G:$G,0))</f>
        <v>0.27</v>
      </c>
      <c r="AX22" s="23" cm="1">
        <f t="array" ref="AX22">VLOOKUP($R22,武学奇术!$A:$ZZ,8,FALSE)+SUM(_xlfn.XLOOKUP(S22:AL22,增益!$A:$A,增益!$H:$H,0))</f>
        <v>0</v>
      </c>
      <c r="AY22">
        <f t="shared" si="1"/>
        <v>0</v>
      </c>
      <c r="AZ22">
        <f t="shared" si="2"/>
        <v>0</v>
      </c>
      <c r="BA22" s="29" cm="1">
        <f t="array" ref="BA22">IF($F$11-$I$4+VLOOKUP($R22,武学奇术!$A:$ZZ,9,FALSE)+SUM(_xlfn.XLOOKUP(S22:AL22,增益!$A:$A,增益!$I:$I,0))&gt;0,($F$11-$I$4+VLOOKUP($R22,武学奇术!$A:$ZZ,9,FALSE)+SUM(_xlfn.XLOOKUP(S22:AL22,增益!$A:$A,增益!$I:$I,0)))/200,($F$11-$I$4+VLOOKUP($R22,武学奇术!$A:$ZZ,9,FALSE)+SUM(_xlfn.XLOOKUP(S22:AL22,增益!$A:$A,增益!$I:$I,0)))/100)</f>
        <v>-0.3</v>
      </c>
      <c r="BB22" s="29" cm="1">
        <f t="array" ref="BB22">$G$11+VLOOKUP($R22,武学奇术!$A:$ZZ,10,FALSE)+SUM(_xlfn.XLOOKUP(S22:AL22,增益!$A:$A,增益!$J:$J,0))</f>
        <v>0</v>
      </c>
      <c r="BC22">
        <f t="shared" si="3"/>
        <v>0</v>
      </c>
      <c r="BD22">
        <f t="shared" si="4"/>
        <v>0</v>
      </c>
      <c r="BE22" s="29" cm="1">
        <f t="array" ref="BE22">IF($F$12-$I$4+VLOOKUP($R22,武学奇术!$A:$ZZ,11,FALSE)+SUM(_xlfn.XLOOKUP(S22:AL22,增益!$A:$A,增益!$K:$K,0))&gt;0,($F$12-$I$4+VLOOKUP($R22,武学奇术!$A:$ZZ,11,FALSE)+SUM(_xlfn.XLOOKUP(S22:AL22,增益!$A:$A,增益!$K:$K,0)))/200,($F$12-$I$4+VLOOKUP($R22,武学奇术!$A:$ZZ,11,FALSE)+SUM(_xlfn.XLOOKUP(S22:AL22,增益!$A:$A,增益!$K:$K,0)))/100)</f>
        <v>-0.3</v>
      </c>
      <c r="BF22" s="29" cm="1">
        <f t="array" ref="BF22">$G$12+VLOOKUP($R22,武学奇术!$A:$ZZ,12,FALSE)+SUM(_xlfn.XLOOKUP(S22:AL22,增益!$A:$A,增益!$L:$L,0))</f>
        <v>0</v>
      </c>
      <c r="BG22">
        <f t="shared" si="5"/>
        <v>0</v>
      </c>
      <c r="BH22">
        <f t="shared" si="6"/>
        <v>0</v>
      </c>
      <c r="BI22" s="29" cm="1">
        <f t="array" ref="BI22">IF($F$13-$I$4+VLOOKUP($R22,武学奇术!$A:$ZZ,13,FALSE)+SUM(_xlfn.XLOOKUP(S22:AL22,增益!$A:$A,增益!$M:$M,0))&gt;0,($F$13-$I$4+VLOOKUP($R22,武学奇术!$A:$ZZ,13,FALSE)+SUM(_xlfn.XLOOKUP(S22:AL22,增益!$A:$A,增益!$K:$K,0)))/200,($F$13-$I$4+VLOOKUP($R22,武学奇术!$A:$ZZ,13,FALSE)+SUM(_xlfn.XLOOKUP(S22:AL22,增益!$A:$A,增益!$M:$M,0)))/100)</f>
        <v>-0.3</v>
      </c>
      <c r="BJ22" s="29" cm="1">
        <f t="array" ref="BJ22">$G$13+VLOOKUP($R22,武学奇术!$A:$ZZ,14,FALSE)+SUM(_xlfn.XLOOKUP(S22:AL22,增益!$A:$A,增益!$N:$N,0))</f>
        <v>0</v>
      </c>
      <c r="BK22">
        <f t="shared" si="7"/>
        <v>618.2</v>
      </c>
      <c r="BL22">
        <f t="shared" si="8"/>
        <v>1805</v>
      </c>
      <c r="BM22" s="29" cm="1">
        <f t="array" ref="BM22">IF($F$14-$I$4+VLOOKUP($R22,武学奇术!$A:$ZZ,15,FALSE)+SUM(_xlfn.XLOOKUP(S22:AL22,增益!$A:$A,增益!$O:$O,0))&gt;0,($F$14-$I$4+VLOOKUP($R22,武学奇术!$A:$ZZ,15,FALSE)+SUM(_xlfn.XLOOKUP(S22:AL22,增益!$A:$A,增益!$O:$O,0)))/200,($F$14-$I$4+VLOOKUP($R22,武学奇术!$A:$ZZ,15,FALSE)+SUM(_xlfn.XLOOKUP(S22:AL22,增益!$A:$A,增益!$O:$O,0)))/100)</f>
        <v>0.05</v>
      </c>
      <c r="BN22" s="29" cm="1">
        <f t="array" ref="BN22">$G$14+VLOOKUP($R22,武学奇术!$A:$ZZ,16,FALSE)+SUM(_xlfn.XLOOKUP(S22:AL22,增益!$A:$A,增益!$P:$P,0))</f>
        <v>0.42</v>
      </c>
      <c r="BO22" s="23">
        <f>MIN(IF(VLOOKUP($R22,武学奇术!$A:$ZZ,23,FALSE)=1,100%,$B$8),100%)</f>
        <v>0.9943</v>
      </c>
      <c r="BP22" s="23" cm="1">
        <f t="array" ref="BP22">IF(VLOOKUP($R22,武学奇术!$A:$ZZ,23,FALSE)=1,100%,MIN(80%,$B$9+VLOOKUP($R22,武学奇术!$A:$ZZ,17,FALSE)+SUM(_xlfn.XLOOKUP(S22:AL22,增益!$A:$A,增益!$Q:$Q,0)))+$B$11+SUM(_xlfn.XLOOKUP(S22:AL22,增益!$A:$A,增益!$U:$U,0)))*IF(VLOOKUP($R22,武学奇术!$A:$ZZ,24,FALSE)=1,0,1)</f>
        <v>0.887</v>
      </c>
      <c r="BQ22" s="23" cm="1">
        <f t="array" ref="BQ22">1+$B$13+VLOOKUP($R22,武学奇术!$A:$ZZ,18,FALSE)+SUM(_xlfn.XLOOKUP(S22:AL22,增益!$A:$A,增益!$R:$R,0))</f>
        <v>2.324</v>
      </c>
      <c r="BR22" s="23" cm="1">
        <f t="array" ref="BR22">IF(VLOOKUP($R22,武学奇术!$A:$ZZ,24,FALSE)=1,100%,MIN(40%,$B$10+VLOOKUP($R22,武学奇术!$A:$ZZ,19,FALSE)+SUM(_xlfn.XLOOKUP(S22:AL22,增益!$A:$A,增益!$S:$S,0)))+$B$12+SUM(_xlfn.XLOOKUP(S22:AL22,增益!$A:$A,增益!$V:$V,0)))*IF(VLOOKUP($R22,武学奇术!$A:$ZZ,23,FALSE)=1,0,1)</f>
        <v>0.0913</v>
      </c>
      <c r="BS22" s="23" cm="1">
        <f t="array" ref="BS22">1+$B$14+VLOOKUP($R22,武学奇术!$A:$ZZ,20,FALSE)+SUM(_xlfn.XLOOKUP(S22:AL22,增益!$A:$A,增益!$T:$T,0))</f>
        <v>1.35</v>
      </c>
      <c r="BT22" s="23">
        <f t="shared" si="9"/>
        <v>0.8819441</v>
      </c>
      <c r="BU22" s="23">
        <f t="shared" si="10"/>
        <v>0.0215763099999999</v>
      </c>
      <c r="BV22" s="23">
        <f>IF(VLOOKUP($R22,武学奇术!$A:$ZZ,22,FALSE)=1,0,(1-$BO22))*(1-$BR22)</f>
        <v>0.00517959000000003</v>
      </c>
      <c r="BW22" s="23" cm="1">
        <f t="array" ref="BW22">SUM(_xlfn.XLOOKUP(S22:AL22,增益!$A:$A,增益!$W:$W,0))+$I$5</f>
        <v>0.11</v>
      </c>
      <c r="BX22" s="23">
        <f>VLOOKUP($R22,武学奇术!$A:$ZZ,32,FALSE)</f>
        <v>0</v>
      </c>
      <c r="BY22" s="23" cm="1">
        <f t="array" ref="BY22">SUM(_xlfn.XLOOKUP($S22:$AL22,增益!$A:$A,增益!$X:$X,0))</f>
        <v>0</v>
      </c>
    </row>
    <row r="23" spans="1:77">
      <c r="A23" t="s">
        <v>157</v>
      </c>
      <c r="B23" s="25">
        <f>期望!B23</f>
        <v>0.6</v>
      </c>
      <c r="K23" s="35">
        <f>$L23*VLOOKUP($R23,武学奇术!$A:$ZZ,31,FALSE)</f>
        <v>121344.211699463</v>
      </c>
      <c r="L23" s="58">
        <f t="shared" si="0"/>
        <v>108343.046160235</v>
      </c>
      <c r="M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轻击",$B$21,0))*(1+IF(VLOOKUP($R23,武学奇术!$A:$ZZ,30,FALSE)="老鼠",$B$22,0))*(1+$BW23)*(1+$BX23)</f>
        <v>113728.327521485</v>
      </c>
      <c r="N23" s="35">
        <f>(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轻击",$B$21,0))*(1+IF(VLOOKUP($R23,武学奇术!$A:$ZZ,30,FALSE)="老鼠",$B$22,0))*(1+$BW23))*(1+$BX23)</f>
        <v>74067.7680305596</v>
      </c>
      <c r="O23" s="35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轻击",$B$21,0))*(1+IF(VLOOKUP($R23,武学奇术!$A:$ZZ,30,FALSE)="老鼠",$B$22,0))*(1+$BW23)*(1+$BX23)</f>
        <v>48936.4576254237</v>
      </c>
      <c r="P23" s="35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轻击",$B$21,0))*(1+IF(VLOOKUP($R23,武学奇术!$A:$ZZ,30,FALSE)="老鼠",$B$22,0))*(1+$BW23)*(1+$BX23)</f>
        <v>43007.9018948774</v>
      </c>
      <c r="Q23" s="36">
        <v>1</v>
      </c>
      <c r="R23" s="37" t="s">
        <v>158</v>
      </c>
      <c r="S23" s="37" t="s">
        <v>91</v>
      </c>
      <c r="T23" s="37" t="s">
        <v>80</v>
      </c>
      <c r="U23" s="37" t="s">
        <v>112</v>
      </c>
      <c r="V23" s="37" t="s">
        <v>113</v>
      </c>
      <c r="W23" s="37" t="s">
        <v>82</v>
      </c>
      <c r="X23" s="37" t="s">
        <v>81</v>
      </c>
      <c r="Y23" s="37" t="s">
        <v>109</v>
      </c>
      <c r="Z23" s="37" t="s">
        <v>83</v>
      </c>
      <c r="AA23" s="37" t="s">
        <v>81</v>
      </c>
      <c r="AB23" s="37" t="s">
        <v>81</v>
      </c>
      <c r="AC23" s="37" t="s">
        <v>81</v>
      </c>
      <c r="AD23" s="37" t="s">
        <v>85</v>
      </c>
      <c r="AE23" s="37" t="s">
        <v>86</v>
      </c>
      <c r="AF23" s="37" t="s">
        <v>81</v>
      </c>
      <c r="AG23" s="37" t="s">
        <v>87</v>
      </c>
      <c r="AH23" s="37" t="s">
        <v>81</v>
      </c>
      <c r="AI23" s="37" t="s">
        <v>81</v>
      </c>
      <c r="AJ23" s="37" t="s">
        <v>81</v>
      </c>
      <c r="AK23" s="37" t="s">
        <v>81</v>
      </c>
      <c r="AL23" s="37" t="s">
        <v>81</v>
      </c>
      <c r="AM23" t="str">
        <f>VLOOKUP($R23,武学奇术!$A:$ZZ,25,FALSE)</f>
        <v>双刀</v>
      </c>
      <c r="AN23" s="23">
        <f>VLOOKUP($R23,武学奇术!$A:$ZZ,26,FALSE)</f>
        <v>2.5342</v>
      </c>
      <c r="AO23" s="24">
        <f>VLOOKUP($R23,武学奇术!$A:$ZZ,27,FALSE)*(1+IF(OR($AM23=$F$4,$AM23=$F$5),$B$23,0))</f>
        <v>1123.2</v>
      </c>
      <c r="AP23" s="23">
        <f>VLOOKUP($R23,武学奇术!$A:$ZZ,28,FALSE)</f>
        <v>3.8012</v>
      </c>
      <c r="AQ23" s="24">
        <f>VLOOKUP($R23,武学奇术!$A:$ZZ,29,FALSE)*(1+IF(OR($AM23=$F$4,$AM23=$F$5),$B$23,0))</f>
        <v>611.2</v>
      </c>
      <c r="AR23" s="23" cm="1">
        <f t="array" ref="AR23">$G$3+IFERROR(VLOOKUP($AM23,$F$4:$G$7,2,FALSE),0)+VLOOKUP($R23,武学奇术!$A:$ZZ,2,FALSE)+SUM(_xlfn.XLOOKUP($S23:$AL23,增益!$A:$A,增益!$B:$B,0))</f>
        <v>0.6943</v>
      </c>
      <c r="AS23" s="23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4081.7</v>
      </c>
      <c r="AU23" cm="1">
        <f t="array" ref="AU23">$E$10*(1+$AS23)+VLOOKUP($R23,武学奇术!$A:$ZZ,4,FALSE)+SUM(_xlfn.XLOOKUP($S23:$AL23,增益!$A:$A,增益!$D:$D,0))-$I$2</f>
        <v>4081.7</v>
      </c>
      <c r="AV23" s="29" cm="1">
        <f t="array" ref="AV23">IF($F$10-$I$3+VLOOKUP($R23,武学奇术!$A:$ZZ,6,FALSE)+SUM(_xlfn.XLOOKUP(S23:AL23,增益!$A:$A,增益!$F:$F,0))&gt;0,($F$10-$I$3+VLOOKUP($R23,武学奇术!$A:$ZZ,6,FALSE)+SUM(_xlfn.XLOOKUP(S23:AL23,增益!$A:$A,增益!$F:$F,0)))/200,($F$10-$I$3+VLOOKUP($R23,武学奇术!$A:$ZZ,6,FALSE)+SUM(_xlfn.XLOOKUP(S23:AL23,增益!$A:$A,增益!$F:$F,0)))/100)</f>
        <v>0.3689</v>
      </c>
      <c r="AW23" s="29" cm="1">
        <f t="array" ref="AW23">$G$10+VLOOKUP($R23,武学奇术!$A:$ZZ,7,FALSE)+SUM(_xlfn.XLOOKUP(S23:AL23,增益!$A:$A,增益!$G:$G,0))</f>
        <v>0.06</v>
      </c>
      <c r="AX23" s="23" cm="1">
        <f t="array" ref="AX23">VLOOKUP($R23,武学奇术!$A:$ZZ,8,FALSE)+SUM(_xlfn.XLOOKUP(S23:AL23,增益!$A:$A,增益!$H:$H,0))</f>
        <v>0</v>
      </c>
      <c r="AY23">
        <f t="shared" si="1"/>
        <v>0</v>
      </c>
      <c r="AZ23">
        <f t="shared" si="2"/>
        <v>0</v>
      </c>
      <c r="BA23" s="29" cm="1">
        <f t="array" ref="BA23">IF($F$11-$I$4+VLOOKUP($R23,武学奇术!$A:$ZZ,9,FALSE)+SUM(_xlfn.XLOOKUP(S23:AL23,增益!$A:$A,增益!$I:$I,0))&gt;0,($F$11-$I$4+VLOOKUP($R23,武学奇术!$A:$ZZ,9,FALSE)+SUM(_xlfn.XLOOKUP(S23:AL23,增益!$A:$A,增益!$I:$I,0)))/200,($F$11-$I$4+VLOOKUP($R23,武学奇术!$A:$ZZ,9,FALSE)+SUM(_xlfn.XLOOKUP(S23:AL23,增益!$A:$A,增益!$I:$I,0)))/100)</f>
        <v>-0.3</v>
      </c>
      <c r="BB23" s="29" cm="1">
        <f t="array" ref="BB23">$G$11+VLOOKUP($R23,武学奇术!$A:$ZZ,10,FALSE)+SUM(_xlfn.XLOOKUP(S23:AL23,增益!$A:$A,增益!$J:$J,0))</f>
        <v>0</v>
      </c>
      <c r="BC23">
        <f t="shared" si="3"/>
        <v>0</v>
      </c>
      <c r="BD23">
        <f t="shared" si="4"/>
        <v>0</v>
      </c>
      <c r="BE23" s="29" cm="1">
        <f t="array" ref="BE23">IF($F$12-$I$4+VLOOKUP($R23,武学奇术!$A:$ZZ,11,FALSE)+SUM(_xlfn.XLOOKUP(S23:AL23,增益!$A:$A,增益!$K:$K,0))&gt;0,($F$12-$I$4+VLOOKUP($R23,武学奇术!$A:$ZZ,11,FALSE)+SUM(_xlfn.XLOOKUP(S23:AL23,增益!$A:$A,增益!$K:$K,0)))/200,($F$12-$I$4+VLOOKUP($R23,武学奇术!$A:$ZZ,11,FALSE)+SUM(_xlfn.XLOOKUP(S23:AL23,增益!$A:$A,增益!$K:$K,0)))/100)</f>
        <v>-0.3</v>
      </c>
      <c r="BF23" s="29" cm="1">
        <f t="array" ref="BF23">$G$12+VLOOKUP($R23,武学奇术!$A:$ZZ,12,FALSE)+SUM(_xlfn.XLOOKUP(S23:AL23,增益!$A:$A,增益!$L:$L,0))</f>
        <v>0</v>
      </c>
      <c r="BG23">
        <f t="shared" si="5"/>
        <v>0</v>
      </c>
      <c r="BH23">
        <f t="shared" si="6"/>
        <v>0</v>
      </c>
      <c r="BI23" s="29" cm="1">
        <f t="array" ref="BI23">IF($F$13-$I$4+VLOOKUP($R23,武学奇术!$A:$ZZ,13,FALSE)+SUM(_xlfn.XLOOKUP(S23:AL23,增益!$A:$A,增益!$M:$M,0))&gt;0,($F$13-$I$4+VLOOKUP($R23,武学奇术!$A:$ZZ,13,FALSE)+SUM(_xlfn.XLOOKUP(S23:AL23,增益!$A:$A,增益!$K:$K,0)))/200,($F$13-$I$4+VLOOKUP($R23,武学奇术!$A:$ZZ,13,FALSE)+SUM(_xlfn.XLOOKUP(S23:AL23,增益!$A:$A,增益!$M:$M,0)))/100)</f>
        <v>-0.3</v>
      </c>
      <c r="BJ23" s="29" cm="1">
        <f t="array" ref="BJ23">$G$13+VLOOKUP($R23,武学奇术!$A:$ZZ,14,FALSE)+SUM(_xlfn.XLOOKUP(S23:AL23,增益!$A:$A,增益!$N:$N,0))</f>
        <v>0</v>
      </c>
      <c r="BK23">
        <f t="shared" si="7"/>
        <v>618.2</v>
      </c>
      <c r="BL23">
        <f t="shared" si="8"/>
        <v>1805</v>
      </c>
      <c r="BM23" s="29" cm="1">
        <f t="array" ref="BM23">IF($F$14-$I$4+VLOOKUP($R23,武学奇术!$A:$ZZ,15,FALSE)+SUM(_xlfn.XLOOKUP(S23:AL23,增益!$A:$A,增益!$O:$O,0))&gt;0,($F$14-$I$4+VLOOKUP($R23,武学奇术!$A:$ZZ,15,FALSE)+SUM(_xlfn.XLOOKUP(S23:AL23,增益!$A:$A,增益!$O:$O,0)))/200,($F$14-$I$4+VLOOKUP($R23,武学奇术!$A:$ZZ,15,FALSE)+SUM(_xlfn.XLOOKUP(S23:AL23,增益!$A:$A,增益!$O:$O,0)))/100)</f>
        <v>0.05</v>
      </c>
      <c r="BN23" s="29" cm="1">
        <f t="array" ref="BN23">$G$14+VLOOKUP($R23,武学奇术!$A:$ZZ,16,FALSE)+SUM(_xlfn.XLOOKUP(S23:AL23,增益!$A:$A,增益!$P:$P,0))</f>
        <v>0.21</v>
      </c>
      <c r="BO23" s="23">
        <f>MIN(IF(VLOOKUP($R23,武学奇术!$A:$ZZ,23,FALSE)=1,100%,$B$8),100%)</f>
        <v>0.9943</v>
      </c>
      <c r="BP23" s="23" cm="1">
        <f t="array" ref="BP23">IF(VLOOKUP($R23,武学奇术!$A:$ZZ,23,FALSE)=1,100%,MIN(80%,$B$9+VLOOKUP($R23,武学奇术!$A:$ZZ,17,FALSE)+SUM(_xlfn.XLOOKUP(S23:AL23,增益!$A:$A,增益!$Q:$Q,0)))+$B$11+SUM(_xlfn.XLOOKUP(S23:AL23,增益!$A:$A,增益!$U:$U,0)))*IF(VLOOKUP($R23,武学奇术!$A:$ZZ,24,FALSE)=1,0,1)</f>
        <v>0.887</v>
      </c>
      <c r="BQ23" s="23" cm="1">
        <f t="array" ref="BQ23">1+$B$13+VLOOKUP($R23,武学奇术!$A:$ZZ,18,FALSE)+SUM(_xlfn.XLOOKUP(S23:AL23,增益!$A:$A,增益!$R:$R,0))</f>
        <v>2.324</v>
      </c>
      <c r="BR23" s="23" cm="1">
        <f t="array" ref="BR23">IF(VLOOKUP($R23,武学奇术!$A:$ZZ,24,FALSE)=1,100%,MIN(40%,$B$10+VLOOKUP($R23,武学奇术!$A:$ZZ,19,FALSE)+SUM(_xlfn.XLOOKUP(S23:AL23,增益!$A:$A,增益!$S:$S,0)))+$B$12+SUM(_xlfn.XLOOKUP(S23:AL23,增益!$A:$A,增益!$V:$V,0)))*IF(VLOOKUP($R23,武学奇术!$A:$ZZ,23,FALSE)=1,0,1)</f>
        <v>0.0913</v>
      </c>
      <c r="BS23" s="23" cm="1">
        <f t="array" ref="BS23">1+$B$14+VLOOKUP($R23,武学奇术!$A:$ZZ,20,FALSE)+SUM(_xlfn.XLOOKUP(S23:AL23,增益!$A:$A,增益!$T:$T,0))</f>
        <v>1.35</v>
      </c>
      <c r="BT23" s="23">
        <f t="shared" si="9"/>
        <v>0.8819441</v>
      </c>
      <c r="BU23" s="23">
        <f t="shared" si="10"/>
        <v>0.0215763099999999</v>
      </c>
      <c r="BV23" s="23">
        <f>IF(VLOOKUP($R23,武学奇术!$A:$ZZ,22,FALSE)=1,0,(1-$BO23))*(1-$BR23)</f>
        <v>0.00517959000000003</v>
      </c>
      <c r="BW23" s="23" cm="1">
        <f t="array" ref="BW23">SUM(_xlfn.XLOOKUP(S23:AL23,增益!$A:$A,增益!$W:$W,0))+$I$5</f>
        <v>0.11</v>
      </c>
      <c r="BX23" s="23">
        <f>VLOOKUP($R23,武学奇术!$A:$ZZ,32,FALSE)</f>
        <v>0.1</v>
      </c>
      <c r="BY23" s="23" cm="1">
        <f t="array" ref="BY23">SUM(_xlfn.XLOOKUP($S23:$AL23,增益!$A:$A,增益!$X:$X,0))</f>
        <v>0</v>
      </c>
    </row>
    <row r="24" spans="1:77">
      <c r="A24" s="36" t="s">
        <v>159</v>
      </c>
      <c r="B24">
        <f>期望!B24</f>
        <v>240</v>
      </c>
      <c r="K24" s="35">
        <f>$L24*VLOOKUP($R24,武学奇术!$A:$ZZ,31,FALSE)</f>
        <v>46020.3200087658</v>
      </c>
      <c r="L24" s="58">
        <f t="shared" si="0"/>
        <v>45117.9607929077</v>
      </c>
      <c r="M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轻击",$B$21,0))*(1+IF(VLOOKUP($R24,武学奇术!$A:$ZZ,30,FALSE)="老鼠",$B$22,0))*(1+$BW24)*(1+$BX24)</f>
        <v>47366.2603365146</v>
      </c>
      <c r="N24" s="35">
        <f>(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轻击",$B$21,0))*(1+IF(VLOOKUP($R24,武学奇术!$A:$ZZ,30,FALSE)="老鼠",$B$22,0))*(1+$BW24))*(1+$BX24)</f>
        <v>30786.3931134981</v>
      </c>
      <c r="O24" s="35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轻击",$B$21,0))*(1+IF(VLOOKUP($R24,武学奇术!$A:$ZZ,30,FALSE)="老鼠",$B$22,0))*(1+$BW24)*(1+$BX24)</f>
        <v>20381.3512635605</v>
      </c>
      <c r="P24" s="35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轻击",$B$21,0))*(1+IF(VLOOKUP($R24,武学奇术!$A:$ZZ,30,FALSE)="老鼠",$B$22,0))*(1+$BW24)*(1+$BX24)</f>
        <v>17957.9668874927</v>
      </c>
      <c r="Q24" s="36">
        <v>1</v>
      </c>
      <c r="R24" s="37" t="s">
        <v>160</v>
      </c>
      <c r="S24" s="37" t="s">
        <v>91</v>
      </c>
      <c r="T24" s="37" t="s">
        <v>80</v>
      </c>
      <c r="U24" s="37" t="s">
        <v>81</v>
      </c>
      <c r="V24" s="37" t="s">
        <v>81</v>
      </c>
      <c r="W24" s="37" t="s">
        <v>82</v>
      </c>
      <c r="X24" s="37" t="s">
        <v>81</v>
      </c>
      <c r="Y24" s="37" t="s">
        <v>81</v>
      </c>
      <c r="Z24" s="37" t="s">
        <v>83</v>
      </c>
      <c r="AA24" s="37" t="s">
        <v>81</v>
      </c>
      <c r="AB24" s="37" t="s">
        <v>81</v>
      </c>
      <c r="AC24" s="37" t="s">
        <v>81</v>
      </c>
      <c r="AD24" s="37" t="s">
        <v>85</v>
      </c>
      <c r="AE24" s="37" t="s">
        <v>86</v>
      </c>
      <c r="AF24" s="37" t="s">
        <v>81</v>
      </c>
      <c r="AG24" s="37" t="s">
        <v>87</v>
      </c>
      <c r="AH24" s="37" t="s">
        <v>81</v>
      </c>
      <c r="AI24" s="37" t="s">
        <v>81</v>
      </c>
      <c r="AJ24" s="37" t="s">
        <v>81</v>
      </c>
      <c r="AK24" s="37" t="s">
        <v>81</v>
      </c>
      <c r="AL24" s="37" t="s">
        <v>81</v>
      </c>
      <c r="AM24" t="str">
        <f>VLOOKUP($R24,武学奇术!$A:$ZZ,25,FALSE)</f>
        <v>双刀</v>
      </c>
      <c r="AN24" s="23">
        <f>VLOOKUP($R24,武学奇术!$A:$ZZ,26,FALSE)</f>
        <v>1.3548</v>
      </c>
      <c r="AO24" s="24">
        <f>VLOOKUP($R24,武学奇术!$A:$ZZ,27,FALSE)*(1+IF(OR($AM24=$F$4,$AM24=$F$5),$B$23,0))</f>
        <v>601.6</v>
      </c>
      <c r="AP24" s="23">
        <f>VLOOKUP($R24,武学奇术!$A:$ZZ,28,FALSE)</f>
        <v>2.0322</v>
      </c>
      <c r="AQ24" s="24">
        <f>VLOOKUP($R24,武学奇术!$A:$ZZ,29,FALSE)*(1+IF(OR($AM24=$F$4,$AM24=$F$5),$B$23,0))</f>
        <v>328</v>
      </c>
      <c r="AR24" s="23" cm="1">
        <f t="array" ref="AR24">$G$3+IFERROR(VLOOKUP($AM24,$F$4:$G$7,2,FALSE),0)+VLOOKUP($R24,武学奇术!$A:$ZZ,2,FALSE)+SUM(_xlfn.XLOOKUP($S24:$AL24,增益!$A:$A,增益!$B:$B,0))</f>
        <v>0.5743</v>
      </c>
      <c r="AS24" s="23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4013</v>
      </c>
      <c r="AU24" cm="1">
        <f t="array" ref="AU24">$E$10*(1+$AS24)+VLOOKUP($R24,武学奇术!$A:$ZZ,4,FALSE)+SUM(_xlfn.XLOOKUP($S24:$AL24,增益!$A:$A,增益!$D:$D,0))-$I$2</f>
        <v>4013</v>
      </c>
      <c r="AV24" s="29" cm="1">
        <f t="array" ref="AV24">IF($F$10-$I$3+VLOOKUP($R24,武学奇术!$A:$ZZ,6,FALSE)+SUM(_xlfn.XLOOKUP(S24:AL24,增益!$A:$A,增益!$F:$F,0))&gt;0,($F$10-$I$3+VLOOKUP($R24,武学奇术!$A:$ZZ,6,FALSE)+SUM(_xlfn.XLOOKUP(S24:AL24,增益!$A:$A,增益!$F:$F,0)))/200,($F$10-$I$3+VLOOKUP($R24,武学奇术!$A:$ZZ,6,FALSE)+SUM(_xlfn.XLOOKUP(S24:AL24,增益!$A:$A,增益!$F:$F,0)))/100)</f>
        <v>0.3689</v>
      </c>
      <c r="AW24" s="29" cm="1">
        <f t="array" ref="AW24">$G$10+VLOOKUP($R24,武学奇术!$A:$ZZ,7,FALSE)+SUM(_xlfn.XLOOKUP(S24:AL24,增益!$A:$A,增益!$G:$G,0))</f>
        <v>0</v>
      </c>
      <c r="AX24" s="23" cm="1">
        <f t="array" ref="AX24">VLOOKUP($R24,武学奇术!$A:$ZZ,8,FALSE)+SUM(_xlfn.XLOOKUP(S24:AL24,增益!$A:$A,增益!$H:$H,0))</f>
        <v>0</v>
      </c>
      <c r="AY24">
        <f t="shared" si="1"/>
        <v>0</v>
      </c>
      <c r="AZ24">
        <f t="shared" si="2"/>
        <v>0</v>
      </c>
      <c r="BA24" s="29" cm="1">
        <f t="array" ref="BA24">IF($F$11-$I$4+VLOOKUP($R24,武学奇术!$A:$ZZ,9,FALSE)+SUM(_xlfn.XLOOKUP(S24:AL24,增益!$A:$A,增益!$I:$I,0))&gt;0,($F$11-$I$4+VLOOKUP($R24,武学奇术!$A:$ZZ,9,FALSE)+SUM(_xlfn.XLOOKUP(S24:AL24,增益!$A:$A,增益!$I:$I,0)))/200,($F$11-$I$4+VLOOKUP($R24,武学奇术!$A:$ZZ,9,FALSE)+SUM(_xlfn.XLOOKUP(S24:AL24,增益!$A:$A,增益!$I:$I,0)))/100)</f>
        <v>-0.3</v>
      </c>
      <c r="BB24" s="29" cm="1">
        <f t="array" ref="BB24">$G$11+VLOOKUP($R24,武学奇术!$A:$ZZ,10,FALSE)+SUM(_xlfn.XLOOKUP(S24:AL24,增益!$A:$A,增益!$J:$J,0))</f>
        <v>0</v>
      </c>
      <c r="BC24">
        <f t="shared" si="3"/>
        <v>0</v>
      </c>
      <c r="BD24">
        <f t="shared" si="4"/>
        <v>0</v>
      </c>
      <c r="BE24" s="29" cm="1">
        <f t="array" ref="BE24">IF($F$12-$I$4+VLOOKUP($R24,武学奇术!$A:$ZZ,11,FALSE)+SUM(_xlfn.XLOOKUP(S24:AL24,增益!$A:$A,增益!$K:$K,0))&gt;0,($F$12-$I$4+VLOOKUP($R24,武学奇术!$A:$ZZ,11,FALSE)+SUM(_xlfn.XLOOKUP(S24:AL24,增益!$A:$A,增益!$K:$K,0)))/200,($F$12-$I$4+VLOOKUP($R24,武学奇术!$A:$ZZ,11,FALSE)+SUM(_xlfn.XLOOKUP(S24:AL24,增益!$A:$A,增益!$K:$K,0)))/100)</f>
        <v>-0.3</v>
      </c>
      <c r="BF24" s="29" cm="1">
        <f t="array" ref="BF24">$G$12+VLOOKUP($R24,武学奇术!$A:$ZZ,12,FALSE)+SUM(_xlfn.XLOOKUP(S24:AL24,增益!$A:$A,增益!$L:$L,0))</f>
        <v>0</v>
      </c>
      <c r="BG24">
        <f t="shared" si="5"/>
        <v>0</v>
      </c>
      <c r="BH24">
        <f t="shared" si="6"/>
        <v>0</v>
      </c>
      <c r="BI24" s="29" cm="1">
        <f t="array" ref="BI24">IF($F$13-$I$4+VLOOKUP($R24,武学奇术!$A:$ZZ,13,FALSE)+SUM(_xlfn.XLOOKUP(S24:AL24,增益!$A:$A,增益!$M:$M,0))&gt;0,($F$13-$I$4+VLOOKUP($R24,武学奇术!$A:$ZZ,13,FALSE)+SUM(_xlfn.XLOOKUP(S24:AL24,增益!$A:$A,增益!$K:$K,0)))/200,($F$13-$I$4+VLOOKUP($R24,武学奇术!$A:$ZZ,13,FALSE)+SUM(_xlfn.XLOOKUP(S24:AL24,增益!$A:$A,增益!$M:$M,0)))/100)</f>
        <v>-0.3</v>
      </c>
      <c r="BJ24" s="29" cm="1">
        <f t="array" ref="BJ24">$G$13+VLOOKUP($R24,武学奇术!$A:$ZZ,14,FALSE)+SUM(_xlfn.XLOOKUP(S24:AL24,增益!$A:$A,增益!$N:$N,0))</f>
        <v>0</v>
      </c>
      <c r="BK24">
        <f t="shared" si="7"/>
        <v>618.2</v>
      </c>
      <c r="BL24">
        <f t="shared" si="8"/>
        <v>1805</v>
      </c>
      <c r="BM24" s="29" cm="1">
        <f t="array" ref="BM24">IF($F$14-$I$4+VLOOKUP($R24,武学奇术!$A:$ZZ,15,FALSE)+SUM(_xlfn.XLOOKUP(S24:AL24,增益!$A:$A,增益!$O:$O,0))&gt;0,($F$14-$I$4+VLOOKUP($R24,武学奇术!$A:$ZZ,15,FALSE)+SUM(_xlfn.XLOOKUP(S24:AL24,增益!$A:$A,增益!$O:$O,0)))/200,($F$14-$I$4+VLOOKUP($R24,武学奇术!$A:$ZZ,15,FALSE)+SUM(_xlfn.XLOOKUP(S24:AL24,增益!$A:$A,增益!$O:$O,0)))/100)</f>
        <v>0</v>
      </c>
      <c r="BN24" s="29" cm="1">
        <f t="array" ref="BN24">$G$14+VLOOKUP($R24,武学奇术!$A:$ZZ,16,FALSE)+SUM(_xlfn.XLOOKUP(S24:AL24,增益!$A:$A,增益!$P:$P,0))</f>
        <v>0.15</v>
      </c>
      <c r="BO24" s="23">
        <f>MIN(IF(VLOOKUP($R24,武学奇术!$A:$ZZ,23,FALSE)=1,100%,$B$8),100%)</f>
        <v>0.9943</v>
      </c>
      <c r="BP24" s="23" cm="1">
        <f t="array" ref="BP24">IF(VLOOKUP($R24,武学奇术!$A:$ZZ,23,FALSE)=1,100%,MIN(80%,$B$9+VLOOKUP($R24,武学奇术!$A:$ZZ,17,FALSE)+SUM(_xlfn.XLOOKUP(S24:AL24,增益!$A:$A,增益!$Q:$Q,0)))+$B$11+SUM(_xlfn.XLOOKUP(S24:AL24,增益!$A:$A,增益!$U:$U,0)))*IF(VLOOKUP($R24,武学奇术!$A:$ZZ,24,FALSE)=1,0,1)</f>
        <v>0.887</v>
      </c>
      <c r="BQ24" s="23" cm="1">
        <f t="array" ref="BQ24">1+$B$13+VLOOKUP($R24,武学奇术!$A:$ZZ,18,FALSE)+SUM(_xlfn.XLOOKUP(S24:AL24,增益!$A:$A,增益!$R:$R,0))</f>
        <v>2.324</v>
      </c>
      <c r="BR24" s="23" cm="1">
        <f t="array" ref="BR24">IF(VLOOKUP($R24,武学奇术!$A:$ZZ,24,FALSE)=1,100%,MIN(40%,$B$10+VLOOKUP($R24,武学奇术!$A:$ZZ,19,FALSE)+SUM(_xlfn.XLOOKUP(S24:AL24,增益!$A:$A,增益!$S:$S,0)))+$B$12+SUM(_xlfn.XLOOKUP(S24:AL24,增益!$A:$A,增益!$V:$V,0)))*IF(VLOOKUP($R24,武学奇术!$A:$ZZ,23,FALSE)=1,0,1)</f>
        <v>0.0913</v>
      </c>
      <c r="BS24" s="23" cm="1">
        <f t="array" ref="BS24">1+$B$14+VLOOKUP($R24,武学奇术!$A:$ZZ,20,FALSE)+SUM(_xlfn.XLOOKUP(S24:AL24,增益!$A:$A,增益!$T:$T,0))</f>
        <v>1.35</v>
      </c>
      <c r="BT24" s="23">
        <f t="shared" si="9"/>
        <v>0.8819441</v>
      </c>
      <c r="BU24" s="23">
        <f t="shared" si="10"/>
        <v>0.0215763099999999</v>
      </c>
      <c r="BV24" s="23">
        <f>IF(VLOOKUP($R24,武学奇术!$A:$ZZ,22,FALSE)=1,0,(1-$BO24))*(1-$BR24)</f>
        <v>0.00517959000000003</v>
      </c>
      <c r="BW24" s="23" cm="1">
        <f t="array" ref="BW24">SUM(_xlfn.XLOOKUP(S24:AL24,增益!$A:$A,增益!$W:$W,0))+$I$5</f>
        <v>0.11</v>
      </c>
      <c r="BX24" s="23">
        <f>VLOOKUP($R24,武学奇术!$A:$ZZ,32,FALSE)</f>
        <v>0</v>
      </c>
      <c r="BY24" s="23" cm="1">
        <f t="array" ref="BY24">SUM(_xlfn.XLOOKUP($S24:$AL24,增益!$A:$A,增益!$X:$X,0))</f>
        <v>0</v>
      </c>
    </row>
    <row r="25" spans="1:77">
      <c r="A25" s="36"/>
      <c r="B25">
        <f>期望!B25</f>
        <v>480</v>
      </c>
      <c r="K25" s="35">
        <f>$L25*VLOOKUP($R25,武学奇术!$A:$ZZ,31,FALSE)</f>
        <v>119107.815427645</v>
      </c>
      <c r="L25" s="69">
        <f t="shared" si="0"/>
        <v>116772.368066319</v>
      </c>
      <c r="M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轻击",$B$21,0))*(1+IF(VLOOKUP($R25,武学奇术!$A:$ZZ,30,FALSE)="老鼠",$B$22,0))*(1+$BW25)*(1+$BX25)</f>
        <v>122483.913355932</v>
      </c>
      <c r="N25" s="35">
        <f>(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轻击",$B$21,0))*(1+IF(VLOOKUP($R25,武学奇术!$A:$ZZ,30,FALSE)="老鼠",$B$22,0))*(1+$BW25))*(1+$BX25)</f>
        <v>80779.9439841692</v>
      </c>
      <c r="O25" s="35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轻击",$B$21,0))*(1+IF(VLOOKUP($R25,武学奇术!$A:$ZZ,30,FALSE)="老鼠",$B$22,0))*(1+$BW25)*(1+$BX25)</f>
        <v>52703.9214096093</v>
      </c>
      <c r="P25" s="35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轻击",$B$21,0))*(1+IF(VLOOKUP($R25,武学奇术!$A:$ZZ,30,FALSE)="老鼠",$B$22,0))*(1+$BW25)*(1+$BX25)</f>
        <v>45570.8472753896</v>
      </c>
      <c r="Q25" s="70">
        <v>4</v>
      </c>
      <c r="R25" s="37" t="s">
        <v>106</v>
      </c>
      <c r="S25" s="37" t="s">
        <v>91</v>
      </c>
      <c r="T25" s="37" t="s">
        <v>80</v>
      </c>
      <c r="U25" s="37" t="s">
        <v>112</v>
      </c>
      <c r="V25" s="37" t="s">
        <v>113</v>
      </c>
      <c r="W25" s="37" t="s">
        <v>82</v>
      </c>
      <c r="X25" s="37" t="s">
        <v>81</v>
      </c>
      <c r="Y25" s="37" t="s">
        <v>109</v>
      </c>
      <c r="Z25" s="37" t="s">
        <v>83</v>
      </c>
      <c r="AA25" s="37" t="s">
        <v>81</v>
      </c>
      <c r="AB25" s="37" t="s">
        <v>81</v>
      </c>
      <c r="AC25" s="37" t="s">
        <v>81</v>
      </c>
      <c r="AD25" s="37" t="s">
        <v>85</v>
      </c>
      <c r="AE25" s="37" t="s">
        <v>86</v>
      </c>
      <c r="AF25" s="37" t="s">
        <v>81</v>
      </c>
      <c r="AG25" s="37" t="s">
        <v>87</v>
      </c>
      <c r="AH25" s="37" t="s">
        <v>81</v>
      </c>
      <c r="AI25" s="37" t="s">
        <v>81</v>
      </c>
      <c r="AJ25" s="37" t="s">
        <v>81</v>
      </c>
      <c r="AK25" s="37" t="s">
        <v>81</v>
      </c>
      <c r="AL25" s="37" t="s">
        <v>81</v>
      </c>
      <c r="AM25" t="str">
        <f>VLOOKUP($R25,武学奇术!$A:$ZZ,25,FALSE)</f>
        <v>绳镖</v>
      </c>
      <c r="AN25" s="23">
        <f>VLOOKUP($R25,武学奇术!$A:$ZZ,26,FALSE)</f>
        <v>0.3675</v>
      </c>
      <c r="AO25" s="24">
        <f>VLOOKUP($R25,武学奇术!$A:$ZZ,27,FALSE)*(1+IF(OR($AM25=$F$4,$AM25=$F$5),$B$23,0))</f>
        <v>0</v>
      </c>
      <c r="AP25" s="23">
        <f>VLOOKUP($R25,武学奇术!$A:$ZZ,28,FALSE)</f>
        <v>0.55125</v>
      </c>
      <c r="AQ25" s="24">
        <f>VLOOKUP($R25,武学奇术!$A:$ZZ,29,FALSE)*(1+IF(OR($AM25=$F$4,$AM25=$F$5),$B$23,0))</f>
        <v>0</v>
      </c>
      <c r="AR25" s="23" cm="1">
        <f t="array" ref="AR25">$G$3+IFERROR(VLOOKUP($AM25,$F$4:$G$7,2,FALSE),0)+VLOOKUP($R25,武学奇术!$A:$ZZ,2,FALSE)+SUM(_xlfn.XLOOKUP($S25:$AL25,增益!$A:$A,增益!$B:$B,0))</f>
        <v>1.4943</v>
      </c>
      <c r="AS25" s="23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4081.7</v>
      </c>
      <c r="AU25" cm="1">
        <f t="array" ref="AU25">$E$10*(1+$AS25)+VLOOKUP($R25,武学奇术!$A:$ZZ,4,FALSE)+SUM(_xlfn.XLOOKUP($S25:$AL25,增益!$A:$A,增益!$D:$D,0))-$I$2</f>
        <v>4081.7</v>
      </c>
      <c r="AV25" s="29" cm="1">
        <f t="array" ref="AV25">IF($F$10-$I$3+VLOOKUP($R25,武学奇术!$A:$ZZ,6,FALSE)+SUM(_xlfn.XLOOKUP(S25:AL25,增益!$A:$A,增益!$F:$F,0))&gt;0,($F$10-$I$3+VLOOKUP($R25,武学奇术!$A:$ZZ,6,FALSE)+SUM(_xlfn.XLOOKUP(S25:AL25,增益!$A:$A,增益!$F:$F,0)))/200,($F$10-$I$3+VLOOKUP($R25,武学奇术!$A:$ZZ,6,FALSE)+SUM(_xlfn.XLOOKUP(S25:AL25,增益!$A:$A,增益!$F:$F,0)))/100)</f>
        <v>0.3689</v>
      </c>
      <c r="AW25" s="29" cm="1">
        <f t="array" ref="AW25">$G$10+VLOOKUP($R25,武学奇术!$A:$ZZ,7,FALSE)+SUM(_xlfn.XLOOKUP(S25:AL25,增益!$A:$A,增益!$G:$G,0))</f>
        <v>0.27</v>
      </c>
      <c r="AX25" s="23" cm="1">
        <f t="array" ref="AX25">VLOOKUP($R25,武学奇术!$A:$ZZ,8,FALSE)+SUM(_xlfn.XLOOKUP(S25:AL25,增益!$A:$A,增益!$H:$H,0))</f>
        <v>0</v>
      </c>
      <c r="AY25">
        <f t="shared" si="1"/>
        <v>0</v>
      </c>
      <c r="AZ25">
        <f t="shared" si="2"/>
        <v>0</v>
      </c>
      <c r="BA25" s="29" cm="1">
        <f t="array" ref="BA25">IF($F$11-$I$4+VLOOKUP($R25,武学奇术!$A:$ZZ,9,FALSE)+SUM(_xlfn.XLOOKUP(S25:AL25,增益!$A:$A,增益!$I:$I,0))&gt;0,($F$11-$I$4+VLOOKUP($R25,武学奇术!$A:$ZZ,9,FALSE)+SUM(_xlfn.XLOOKUP(S25:AL25,增益!$A:$A,增益!$I:$I,0)))/200,($F$11-$I$4+VLOOKUP($R25,武学奇术!$A:$ZZ,9,FALSE)+SUM(_xlfn.XLOOKUP(S25:AL25,增益!$A:$A,增益!$I:$I,0)))/100)</f>
        <v>-0.3</v>
      </c>
      <c r="BB25" s="29" cm="1">
        <f t="array" ref="BB25">$G$11+VLOOKUP($R25,武学奇术!$A:$ZZ,10,FALSE)+SUM(_xlfn.XLOOKUP(S25:AL25,增益!$A:$A,增益!$J:$J,0))</f>
        <v>0</v>
      </c>
      <c r="BC25">
        <f t="shared" si="3"/>
        <v>0</v>
      </c>
      <c r="BD25">
        <f t="shared" si="4"/>
        <v>0</v>
      </c>
      <c r="BE25" s="29" cm="1">
        <f t="array" ref="BE25">IF($F$12-$I$4+VLOOKUP($R25,武学奇术!$A:$ZZ,11,FALSE)+SUM(_xlfn.XLOOKUP(S25:AL25,增益!$A:$A,增益!$K:$K,0))&gt;0,($F$12-$I$4+VLOOKUP($R25,武学奇术!$A:$ZZ,11,FALSE)+SUM(_xlfn.XLOOKUP(S25:AL25,增益!$A:$A,增益!$K:$K,0)))/200,($F$12-$I$4+VLOOKUP($R25,武学奇术!$A:$ZZ,11,FALSE)+SUM(_xlfn.XLOOKUP(S25:AL25,增益!$A:$A,增益!$K:$K,0)))/100)</f>
        <v>-0.3</v>
      </c>
      <c r="BF25" s="29" cm="1">
        <f t="array" ref="BF25">$G$12+VLOOKUP($R25,武学奇术!$A:$ZZ,12,FALSE)+SUM(_xlfn.XLOOKUP(S25:AL25,增益!$A:$A,增益!$L:$L,0))</f>
        <v>0</v>
      </c>
      <c r="BG25">
        <f t="shared" si="5"/>
        <v>0</v>
      </c>
      <c r="BH25">
        <f t="shared" si="6"/>
        <v>0</v>
      </c>
      <c r="BI25" s="29" cm="1">
        <f t="array" ref="BI25">IF($F$13-$I$4+VLOOKUP($R25,武学奇术!$A:$ZZ,13,FALSE)+SUM(_xlfn.XLOOKUP(S25:AL25,增益!$A:$A,增益!$M:$M,0))&gt;0,($F$13-$I$4+VLOOKUP($R25,武学奇术!$A:$ZZ,13,FALSE)+SUM(_xlfn.XLOOKUP(S25:AL25,增益!$A:$A,增益!$K:$K,0)))/200,($F$13-$I$4+VLOOKUP($R25,武学奇术!$A:$ZZ,13,FALSE)+SUM(_xlfn.XLOOKUP(S25:AL25,增益!$A:$A,增益!$M:$M,0)))/100)</f>
        <v>-0.3</v>
      </c>
      <c r="BJ25" s="29" cm="1">
        <f t="array" ref="BJ25">$G$13+VLOOKUP($R25,武学奇术!$A:$ZZ,14,FALSE)+SUM(_xlfn.XLOOKUP(S25:AL25,增益!$A:$A,增益!$N:$N,0))</f>
        <v>0</v>
      </c>
      <c r="BK25">
        <f t="shared" si="7"/>
        <v>618.2</v>
      </c>
      <c r="BL25">
        <f t="shared" si="8"/>
        <v>1805</v>
      </c>
      <c r="BM25" s="29" cm="1">
        <f t="array" ref="BM25">IF($F$14-$I$4+VLOOKUP($R25,武学奇术!$A:$ZZ,15,FALSE)+SUM(_xlfn.XLOOKUP(S25:AL25,增益!$A:$A,增益!$O:$O,0))&gt;0,($F$14-$I$4+VLOOKUP($R25,武学奇术!$A:$ZZ,15,FALSE)+SUM(_xlfn.XLOOKUP(S25:AL25,增益!$A:$A,增益!$O:$O,0)))/200,($F$14-$I$4+VLOOKUP($R25,武学奇术!$A:$ZZ,15,FALSE)+SUM(_xlfn.XLOOKUP(S25:AL25,增益!$A:$A,增益!$O:$O,0)))/100)</f>
        <v>0.05</v>
      </c>
      <c r="BN25" s="29" cm="1">
        <f t="array" ref="BN25">$G$14+VLOOKUP($R25,武学奇术!$A:$ZZ,16,FALSE)+SUM(_xlfn.XLOOKUP(S25:AL25,增益!$A:$A,增益!$P:$P,0))</f>
        <v>0.42</v>
      </c>
      <c r="BO25" s="23">
        <f>MIN(IF(VLOOKUP($R25,武学奇术!$A:$ZZ,23,FALSE)=1,100%,$B$8),100%)</f>
        <v>0.9943</v>
      </c>
      <c r="BP25" s="23" cm="1">
        <f t="array" ref="BP25">IF(VLOOKUP($R25,武学奇术!$A:$ZZ,23,FALSE)=1,100%,MIN(80%,$B$9+VLOOKUP($R25,武学奇术!$A:$ZZ,17,FALSE)+SUM(_xlfn.XLOOKUP(S25:AL25,增益!$A:$A,增益!$Q:$Q,0)))+$B$11+SUM(_xlfn.XLOOKUP(S25:AL25,增益!$A:$A,增益!$U:$U,0)))*IF(VLOOKUP($R25,武学奇术!$A:$ZZ,24,FALSE)=1,0,1)</f>
        <v>0.887</v>
      </c>
      <c r="BQ25" s="23" cm="1">
        <f t="array" ref="BQ25">1+$B$13+VLOOKUP($R25,武学奇术!$A:$ZZ,18,FALSE)+SUM(_xlfn.XLOOKUP(S25:AL25,增益!$A:$A,增益!$R:$R,0))</f>
        <v>2.324</v>
      </c>
      <c r="BR25" s="23" cm="1">
        <f t="array" ref="BR25">IF(VLOOKUP($R25,武学奇术!$A:$ZZ,24,FALSE)=1,100%,MIN(40%,$B$10+VLOOKUP($R25,武学奇术!$A:$ZZ,19,FALSE)+SUM(_xlfn.XLOOKUP(S25:AL25,增益!$A:$A,增益!$S:$S,0)))+$B$12+SUM(_xlfn.XLOOKUP(S25:AL25,增益!$A:$A,增益!$V:$V,0)))*IF(VLOOKUP($R25,武学奇术!$A:$ZZ,23,FALSE)=1,0,1)</f>
        <v>0.0913</v>
      </c>
      <c r="BS25" s="23" cm="1">
        <f t="array" ref="BS25">1+$B$14+VLOOKUP($R25,武学奇术!$A:$ZZ,20,FALSE)+SUM(_xlfn.XLOOKUP(S25:AL25,增益!$A:$A,增益!$T:$T,0))</f>
        <v>1.35</v>
      </c>
      <c r="BT25" s="23">
        <f t="shared" si="9"/>
        <v>0.8819441</v>
      </c>
      <c r="BU25" s="23">
        <f t="shared" si="10"/>
        <v>0.0215763099999999</v>
      </c>
      <c r="BV25" s="23">
        <f>IF(VLOOKUP($R25,武学奇术!$A:$ZZ,22,FALSE)=1,0,(1-$BO25))*(1-$BR25)</f>
        <v>0.00517959000000003</v>
      </c>
      <c r="BW25" s="23" cm="1">
        <f t="array" ref="BW25">SUM(_xlfn.XLOOKUP(S25:AL25,增益!$A:$A,增益!$W:$W,0))+$I$5</f>
        <v>0.11</v>
      </c>
      <c r="BX25" s="23">
        <f>VLOOKUP($R25,武学奇术!$A:$ZZ,32,FALSE)</f>
        <v>0</v>
      </c>
      <c r="BY25" s="23" cm="1">
        <f t="array" ref="BY25">SUM(_xlfn.XLOOKUP($S25:$AL25,增益!$A:$A,增益!$X:$X,0))</f>
        <v>0</v>
      </c>
    </row>
    <row r="26" spans="1:77">
      <c r="K26" s="35">
        <f>$L26*VLOOKUP($R26,武学奇术!$A:$ZZ,31,FALSE)</f>
        <v>31128.7494363933</v>
      </c>
      <c r="L26" s="58">
        <f t="shared" si="0"/>
        <v>27793.526282494</v>
      </c>
      <c r="M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轻击",$B$21,0))*(1+IF(VLOOKUP($R26,武学奇术!$A:$ZZ,30,FALSE)="老鼠",$B$22,0))*(1+$BW26)*(1+$BX26)</f>
        <v>29184.3969434731</v>
      </c>
      <c r="N26" s="35">
        <f>(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轻击",$B$21,0))*(1+IF(VLOOKUP($R26,武学奇术!$A:$ZZ,30,FALSE)="老鼠",$B$22,0))*(1+$BW26))*(1+$BX26)</f>
        <v>18924.4862259147</v>
      </c>
      <c r="O26" s="35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轻击",$B$21,0))*(1+IF(VLOOKUP($R26,武学奇术!$A:$ZZ,30,FALSE)="老鼠",$B$22,0))*(1+$BW26)*(1+$BX26)</f>
        <v>12504.026111171</v>
      </c>
      <c r="P26" s="35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轻击",$B$21,0))*(1+IF(VLOOKUP($R26,武学奇术!$A:$ZZ,30,FALSE)="老鼠",$B$22,0))*(1+$BW26)*(1+$BX26)</f>
        <v>10989.9142772201</v>
      </c>
      <c r="Q26" s="36">
        <v>1</v>
      </c>
      <c r="R26" s="37" t="s">
        <v>139</v>
      </c>
      <c r="S26" s="37" t="s">
        <v>91</v>
      </c>
      <c r="T26" s="37" t="s">
        <v>95</v>
      </c>
      <c r="U26" s="37" t="s">
        <v>112</v>
      </c>
      <c r="V26" s="37" t="s">
        <v>113</v>
      </c>
      <c r="W26" s="37" t="s">
        <v>82</v>
      </c>
      <c r="X26" s="37" t="s">
        <v>81</v>
      </c>
      <c r="Y26" s="37" t="s">
        <v>109</v>
      </c>
      <c r="Z26" s="37" t="s">
        <v>83</v>
      </c>
      <c r="AA26" s="37" t="s">
        <v>81</v>
      </c>
      <c r="AB26" s="37" t="s">
        <v>81</v>
      </c>
      <c r="AC26" s="37" t="s">
        <v>81</v>
      </c>
      <c r="AD26" s="37" t="s">
        <v>85</v>
      </c>
      <c r="AE26" s="37" t="s">
        <v>86</v>
      </c>
      <c r="AF26" s="37" t="s">
        <v>81</v>
      </c>
      <c r="AG26" s="37" t="s">
        <v>87</v>
      </c>
      <c r="AH26" s="37" t="s">
        <v>81</v>
      </c>
      <c r="AI26" s="37" t="s">
        <v>81</v>
      </c>
      <c r="AJ26" s="37" t="s">
        <v>81</v>
      </c>
      <c r="AK26" s="37" t="s">
        <v>81</v>
      </c>
      <c r="AL26" s="37" t="s">
        <v>81</v>
      </c>
      <c r="AM26" t="str">
        <f>VLOOKUP($R26,武学奇术!$A:$ZZ,25,FALSE)</f>
        <v>双刀</v>
      </c>
      <c r="AN26" s="23">
        <f>VLOOKUP($R26,武学奇术!$A:$ZZ,26,FALSE)</f>
        <v>0.6472</v>
      </c>
      <c r="AO26" s="24">
        <f>VLOOKUP($R26,武学奇术!$A:$ZZ,27,FALSE)*(1+IF(OR($AM26=$F$4,$AM26=$F$5),$B$23,0))</f>
        <v>288</v>
      </c>
      <c r="AP26" s="23">
        <f>VLOOKUP($R26,武学奇术!$A:$ZZ,28,FALSE)</f>
        <v>0.9708</v>
      </c>
      <c r="AQ26" s="24">
        <f>VLOOKUP($R26,武学奇术!$A:$ZZ,29,FALSE)*(1+IF(OR($AM26=$F$4,$AM26=$F$5),$B$23,0))</f>
        <v>156.8</v>
      </c>
      <c r="AR26" s="23" cm="1">
        <f t="array" ref="AR26">$G$3+IFERROR(VLOOKUP($AM26,$F$4:$G$7,2,FALSE),0)+VLOOKUP($R26,武学奇术!$A:$ZZ,2,FALSE)+SUM(_xlfn.XLOOKUP($S26:$AL26,增益!$A:$A,增益!$B:$B,0))</f>
        <v>0.6943</v>
      </c>
      <c r="AS26" s="23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4081.7</v>
      </c>
      <c r="AU26" cm="1">
        <f t="array" ref="AU26">$E$10*(1+$AS26)+VLOOKUP($R26,武学奇术!$A:$ZZ,4,FALSE)+SUM(_xlfn.XLOOKUP($S26:$AL26,增益!$A:$A,增益!$D:$D,0))-$I$2</f>
        <v>4081.7</v>
      </c>
      <c r="AV26" s="29" cm="1">
        <f t="array" ref="AV26">IF($F$10-$I$3+VLOOKUP($R26,武学奇术!$A:$ZZ,6,FALSE)+SUM(_xlfn.XLOOKUP(S26:AL26,增益!$A:$A,增益!$F:$F,0))&gt;0,($F$10-$I$3+VLOOKUP($R26,武学奇术!$A:$ZZ,6,FALSE)+SUM(_xlfn.XLOOKUP(S26:AL26,增益!$A:$A,增益!$F:$F,0)))/200,($F$10-$I$3+VLOOKUP($R26,武学奇术!$A:$ZZ,6,FALSE)+SUM(_xlfn.XLOOKUP(S26:AL26,增益!$A:$A,增益!$F:$F,0)))/100)</f>
        <v>0.3689</v>
      </c>
      <c r="AW26" s="29" cm="1">
        <f t="array" ref="AW26">$G$10+VLOOKUP($R26,武学奇术!$A:$ZZ,7,FALSE)+SUM(_xlfn.XLOOKUP(S26:AL26,增益!$A:$A,增益!$G:$G,0))</f>
        <v>0.06</v>
      </c>
      <c r="AX26" s="23" cm="1">
        <f t="array" ref="AX26">VLOOKUP($R26,武学奇术!$A:$ZZ,8,FALSE)+SUM(_xlfn.XLOOKUP(S26:AL26,增益!$A:$A,增益!$H:$H,0))</f>
        <v>0</v>
      </c>
      <c r="AY26">
        <f t="shared" si="1"/>
        <v>0</v>
      </c>
      <c r="AZ26">
        <f t="shared" si="2"/>
        <v>0</v>
      </c>
      <c r="BA26" s="29" cm="1">
        <f t="array" ref="BA26">IF($F$11-$I$4+VLOOKUP($R26,武学奇术!$A:$ZZ,9,FALSE)+SUM(_xlfn.XLOOKUP(S26:AL26,增益!$A:$A,增益!$I:$I,0))&gt;0,($F$11-$I$4+VLOOKUP($R26,武学奇术!$A:$ZZ,9,FALSE)+SUM(_xlfn.XLOOKUP(S26:AL26,增益!$A:$A,增益!$I:$I,0)))/200,($F$11-$I$4+VLOOKUP($R26,武学奇术!$A:$ZZ,9,FALSE)+SUM(_xlfn.XLOOKUP(S26:AL26,增益!$A:$A,增益!$I:$I,0)))/100)</f>
        <v>-0.3</v>
      </c>
      <c r="BB26" s="29" cm="1">
        <f t="array" ref="BB26">$G$11+VLOOKUP($R26,武学奇术!$A:$ZZ,10,FALSE)+SUM(_xlfn.XLOOKUP(S26:AL26,增益!$A:$A,增益!$J:$J,0))</f>
        <v>0</v>
      </c>
      <c r="BC26">
        <f t="shared" si="3"/>
        <v>0</v>
      </c>
      <c r="BD26">
        <f t="shared" si="4"/>
        <v>0</v>
      </c>
      <c r="BE26" s="29" cm="1">
        <f t="array" ref="BE26">IF($F$12-$I$4+VLOOKUP($R26,武学奇术!$A:$ZZ,11,FALSE)+SUM(_xlfn.XLOOKUP(S26:AL26,增益!$A:$A,增益!$K:$K,0))&gt;0,($F$12-$I$4+VLOOKUP($R26,武学奇术!$A:$ZZ,11,FALSE)+SUM(_xlfn.XLOOKUP(S26:AL26,增益!$A:$A,增益!$K:$K,0)))/200,($F$12-$I$4+VLOOKUP($R26,武学奇术!$A:$ZZ,11,FALSE)+SUM(_xlfn.XLOOKUP(S26:AL26,增益!$A:$A,增益!$K:$K,0)))/100)</f>
        <v>-0.3</v>
      </c>
      <c r="BF26" s="29" cm="1">
        <f t="array" ref="BF26">$G$12+VLOOKUP($R26,武学奇术!$A:$ZZ,12,FALSE)+SUM(_xlfn.XLOOKUP(S26:AL26,增益!$A:$A,增益!$L:$L,0))</f>
        <v>0</v>
      </c>
      <c r="BG26">
        <f t="shared" si="5"/>
        <v>0</v>
      </c>
      <c r="BH26">
        <f t="shared" si="6"/>
        <v>0</v>
      </c>
      <c r="BI26" s="29" cm="1">
        <f t="array" ref="BI26">IF($F$13-$I$4+VLOOKUP($R26,武学奇术!$A:$ZZ,13,FALSE)+SUM(_xlfn.XLOOKUP(S26:AL26,增益!$A:$A,增益!$M:$M,0))&gt;0,($F$13-$I$4+VLOOKUP($R26,武学奇术!$A:$ZZ,13,FALSE)+SUM(_xlfn.XLOOKUP(S26:AL26,增益!$A:$A,增益!$K:$K,0)))/200,($F$13-$I$4+VLOOKUP($R26,武学奇术!$A:$ZZ,13,FALSE)+SUM(_xlfn.XLOOKUP(S26:AL26,增益!$A:$A,增益!$M:$M,0)))/100)</f>
        <v>-0.3</v>
      </c>
      <c r="BJ26" s="29" cm="1">
        <f t="array" ref="BJ26">$G$13+VLOOKUP($R26,武学奇术!$A:$ZZ,14,FALSE)+SUM(_xlfn.XLOOKUP(S26:AL26,增益!$A:$A,增益!$N:$N,0))</f>
        <v>0</v>
      </c>
      <c r="BK26">
        <f t="shared" si="7"/>
        <v>618.2</v>
      </c>
      <c r="BL26">
        <f t="shared" si="8"/>
        <v>1805</v>
      </c>
      <c r="BM26" s="29" cm="1">
        <f t="array" ref="BM26">IF($F$14-$I$4+VLOOKUP($R26,武学奇术!$A:$ZZ,15,FALSE)+SUM(_xlfn.XLOOKUP(S26:AL26,增益!$A:$A,增益!$O:$O,0))&gt;0,($F$14-$I$4+VLOOKUP($R26,武学奇术!$A:$ZZ,15,FALSE)+SUM(_xlfn.XLOOKUP(S26:AL26,增益!$A:$A,增益!$O:$O,0)))/200,($F$14-$I$4+VLOOKUP($R26,武学奇术!$A:$ZZ,15,FALSE)+SUM(_xlfn.XLOOKUP(S26:AL26,增益!$A:$A,增益!$O:$O,0)))/100)</f>
        <v>0.05</v>
      </c>
      <c r="BN26" s="29" cm="1">
        <f t="array" ref="BN26">$G$14+VLOOKUP($R26,武学奇术!$A:$ZZ,16,FALSE)+SUM(_xlfn.XLOOKUP(S26:AL26,增益!$A:$A,增益!$P:$P,0))</f>
        <v>0.21</v>
      </c>
      <c r="BO26" s="23">
        <f>MIN(IF(VLOOKUP($R26,武学奇术!$A:$ZZ,23,FALSE)=1,100%,$B$8),100%)</f>
        <v>0.9943</v>
      </c>
      <c r="BP26" s="23" cm="1">
        <f t="array" ref="BP26">IF(VLOOKUP($R26,武学奇术!$A:$ZZ,23,FALSE)=1,100%,MIN(80%,$B$9+VLOOKUP($R26,武学奇术!$A:$ZZ,17,FALSE)+SUM(_xlfn.XLOOKUP(S26:AL26,增益!$A:$A,增益!$Q:$Q,0)))+$B$11+SUM(_xlfn.XLOOKUP(S26:AL26,增益!$A:$A,增益!$U:$U,0)))*IF(VLOOKUP($R26,武学奇术!$A:$ZZ,24,FALSE)=1,0,1)</f>
        <v>0.887</v>
      </c>
      <c r="BQ26" s="23" cm="1">
        <f t="array" ref="BQ26">1+$B$13+VLOOKUP($R26,武学奇术!$A:$ZZ,18,FALSE)+SUM(_xlfn.XLOOKUP(S26:AL26,增益!$A:$A,增益!$R:$R,0))</f>
        <v>2.334</v>
      </c>
      <c r="BR26" s="23" cm="1">
        <f t="array" ref="BR26">IF(VLOOKUP($R26,武学奇术!$A:$ZZ,24,FALSE)=1,100%,MIN(40%,$B$10+VLOOKUP($R26,武学奇术!$A:$ZZ,19,FALSE)+SUM(_xlfn.XLOOKUP(S26:AL26,增益!$A:$A,增益!$S:$S,0)))+$B$12+SUM(_xlfn.XLOOKUP(S26:AL26,增益!$A:$A,增益!$V:$V,0)))*IF(VLOOKUP($R26,武学奇术!$A:$ZZ,23,FALSE)=1,0,1)</f>
        <v>0.0913</v>
      </c>
      <c r="BS26" s="23" cm="1">
        <f t="array" ref="BS26">1+$B$14+VLOOKUP($R26,武学奇术!$A:$ZZ,20,FALSE)+SUM(_xlfn.XLOOKUP(S26:AL26,增益!$A:$A,增益!$T:$T,0))</f>
        <v>1.35</v>
      </c>
      <c r="BT26" s="23">
        <f t="shared" si="9"/>
        <v>0.8819441</v>
      </c>
      <c r="BU26" s="23">
        <f t="shared" si="10"/>
        <v>0.0215763099999999</v>
      </c>
      <c r="BV26" s="23">
        <f>IF(VLOOKUP($R26,武学奇术!$A:$ZZ,22,FALSE)=1,0,(1-$BO26))*(1-$BR26)</f>
        <v>0.00517959000000003</v>
      </c>
      <c r="BW26" s="23" cm="1">
        <f t="array" ref="BW26">SUM(_xlfn.XLOOKUP(S26:AL26,增益!$A:$A,增益!$W:$W,0))+$I$5</f>
        <v>0.11</v>
      </c>
      <c r="BX26" s="23">
        <f>VLOOKUP($R26,武学奇术!$A:$ZZ,32,FALSE)</f>
        <v>0.1</v>
      </c>
      <c r="BY26" s="23" cm="1">
        <f t="array" ref="BY26">SUM(_xlfn.XLOOKUP($S26:$AL26,增益!$A:$A,增益!$X:$X,0))</f>
        <v>0</v>
      </c>
    </row>
    <row r="27" spans="1:77">
      <c r="A27" s="4"/>
      <c r="B27" s="4"/>
      <c r="K27" s="35">
        <f>$L27*VLOOKUP($R27,武学奇术!$A:$ZZ,31,FALSE)</f>
        <v>43330.703173375</v>
      </c>
      <c r="L27" s="58">
        <f t="shared" si="0"/>
        <v>38688.1278333705</v>
      </c>
      <c r="M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轻击",$B$21,0))*(1+IF(VLOOKUP($R27,武学奇术!$A:$ZZ,30,FALSE)="老鼠",$B$22,0))*(1+$BW27)*(1+$BX27)</f>
        <v>40624.1067235176</v>
      </c>
      <c r="N27" s="35">
        <f>(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轻击",$B$21,0))*(1+IF(VLOOKUP($R27,武学奇术!$A:$ZZ,30,FALSE)="老鼠",$B$22,0))*(1+$BW27))*(1+$BX27)</f>
        <v>26343.492834125</v>
      </c>
      <c r="O27" s="35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轻击",$B$21,0))*(1+IF(VLOOKUP($R27,武学奇术!$A:$ZZ,30,FALSE)="老鼠",$B$22,0))*(1+$BW27)*(1+$BX27)</f>
        <v>17405.3584933666</v>
      </c>
      <c r="P27" s="35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轻击",$B$21,0))*(1+IF(VLOOKUP($R27,武学奇术!$A:$ZZ,30,FALSE)="老鼠",$B$22,0))*(1+$BW27)*(1+$BX27)</f>
        <v>15297.0185910851</v>
      </c>
      <c r="Q27" s="36">
        <v>1</v>
      </c>
      <c r="R27" s="37" t="s">
        <v>143</v>
      </c>
      <c r="S27" s="37" t="s">
        <v>91</v>
      </c>
      <c r="T27" s="37" t="s">
        <v>95</v>
      </c>
      <c r="U27" s="37" t="s">
        <v>112</v>
      </c>
      <c r="V27" s="37" t="s">
        <v>113</v>
      </c>
      <c r="W27" s="37" t="s">
        <v>82</v>
      </c>
      <c r="X27" s="37" t="s">
        <v>81</v>
      </c>
      <c r="Y27" s="37" t="s">
        <v>109</v>
      </c>
      <c r="Z27" s="37" t="s">
        <v>83</v>
      </c>
      <c r="AA27" s="37" t="s">
        <v>81</v>
      </c>
      <c r="AB27" s="37" t="s">
        <v>81</v>
      </c>
      <c r="AC27" s="37" t="s">
        <v>81</v>
      </c>
      <c r="AD27" s="37" t="s">
        <v>85</v>
      </c>
      <c r="AE27" s="37" t="s">
        <v>86</v>
      </c>
      <c r="AF27" s="37" t="s">
        <v>81</v>
      </c>
      <c r="AG27" s="37" t="s">
        <v>87</v>
      </c>
      <c r="AH27" s="37" t="s">
        <v>81</v>
      </c>
      <c r="AI27" s="37" t="s">
        <v>81</v>
      </c>
      <c r="AJ27" s="37" t="s">
        <v>81</v>
      </c>
      <c r="AK27" s="37" t="s">
        <v>81</v>
      </c>
      <c r="AL27" s="37" t="s">
        <v>81</v>
      </c>
      <c r="AM27" t="str">
        <f>VLOOKUP($R27,武学奇术!$A:$ZZ,25,FALSE)</f>
        <v>双刀</v>
      </c>
      <c r="AN27" s="23">
        <f>VLOOKUP($R27,武学奇术!$A:$ZZ,26,FALSE)</f>
        <v>0.9012</v>
      </c>
      <c r="AO27" s="24">
        <f>VLOOKUP($R27,武学奇术!$A:$ZZ,27,FALSE)*(1+IF(OR($AM27=$F$4,$AM27=$F$5),$B$23,0))</f>
        <v>400</v>
      </c>
      <c r="AP27" s="23">
        <f>VLOOKUP($R27,武学奇术!$A:$ZZ,28,FALSE)</f>
        <v>1.3518</v>
      </c>
      <c r="AQ27" s="24">
        <f>VLOOKUP($R27,武学奇术!$A:$ZZ,29,FALSE)*(1+IF(OR($AM27=$F$4,$AM27=$F$5),$B$23,0))</f>
        <v>217.6</v>
      </c>
      <c r="AR27" s="23" cm="1">
        <f t="array" ref="AR27">$G$3+IFERROR(VLOOKUP($AM27,$F$4:$G$7,2,FALSE),0)+VLOOKUP($R27,武学奇术!$A:$ZZ,2,FALSE)+SUM(_xlfn.XLOOKUP($S27:$AL27,增益!$A:$A,增益!$B:$B,0))</f>
        <v>0.6943</v>
      </c>
      <c r="AS27" s="23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4081.7</v>
      </c>
      <c r="AU27" cm="1">
        <f t="array" ref="AU27">$E$10*(1+$AS27)+VLOOKUP($R27,武学奇术!$A:$ZZ,4,FALSE)+SUM(_xlfn.XLOOKUP($S27:$AL27,增益!$A:$A,增益!$D:$D,0))-$I$2</f>
        <v>4081.7</v>
      </c>
      <c r="AV27" s="29" cm="1">
        <f t="array" ref="AV27">IF($F$10-$I$3+VLOOKUP($R27,武学奇术!$A:$ZZ,6,FALSE)+SUM(_xlfn.XLOOKUP(S27:AL27,增益!$A:$A,增益!$F:$F,0))&gt;0,($F$10-$I$3+VLOOKUP($R27,武学奇术!$A:$ZZ,6,FALSE)+SUM(_xlfn.XLOOKUP(S27:AL27,增益!$A:$A,增益!$F:$F,0)))/200,($F$10-$I$3+VLOOKUP($R27,武学奇术!$A:$ZZ,6,FALSE)+SUM(_xlfn.XLOOKUP(S27:AL27,增益!$A:$A,增益!$F:$F,0)))/100)</f>
        <v>0.3689</v>
      </c>
      <c r="AW27" s="29" cm="1">
        <f t="array" ref="AW27">$G$10+VLOOKUP($R27,武学奇术!$A:$ZZ,7,FALSE)+SUM(_xlfn.XLOOKUP(S27:AL27,增益!$A:$A,增益!$G:$G,0))</f>
        <v>0.06</v>
      </c>
      <c r="AX27" s="23" cm="1">
        <f t="array" ref="AX27">VLOOKUP($R27,武学奇术!$A:$ZZ,8,FALSE)+SUM(_xlfn.XLOOKUP(S27:AL27,增益!$A:$A,增益!$H:$H,0))</f>
        <v>0</v>
      </c>
      <c r="AY27">
        <f t="shared" si="1"/>
        <v>0</v>
      </c>
      <c r="AZ27">
        <f t="shared" si="2"/>
        <v>0</v>
      </c>
      <c r="BA27" s="29" cm="1">
        <f t="array" ref="BA27">IF($F$11-$I$4+VLOOKUP($R27,武学奇术!$A:$ZZ,9,FALSE)+SUM(_xlfn.XLOOKUP(S27:AL27,增益!$A:$A,增益!$I:$I,0))&gt;0,($F$11-$I$4+VLOOKUP($R27,武学奇术!$A:$ZZ,9,FALSE)+SUM(_xlfn.XLOOKUP(S27:AL27,增益!$A:$A,增益!$I:$I,0)))/200,($F$11-$I$4+VLOOKUP($R27,武学奇术!$A:$ZZ,9,FALSE)+SUM(_xlfn.XLOOKUP(S27:AL27,增益!$A:$A,增益!$I:$I,0)))/100)</f>
        <v>-0.3</v>
      </c>
      <c r="BB27" s="29" cm="1">
        <f t="array" ref="BB27">$G$11+VLOOKUP($R27,武学奇术!$A:$ZZ,10,FALSE)+SUM(_xlfn.XLOOKUP(S27:AL27,增益!$A:$A,增益!$J:$J,0))</f>
        <v>0</v>
      </c>
      <c r="BC27">
        <f t="shared" si="3"/>
        <v>0</v>
      </c>
      <c r="BD27">
        <f t="shared" si="4"/>
        <v>0</v>
      </c>
      <c r="BE27" s="29" cm="1">
        <f t="array" ref="BE27">IF($F$12-$I$4+VLOOKUP($R27,武学奇术!$A:$ZZ,11,FALSE)+SUM(_xlfn.XLOOKUP(S27:AL27,增益!$A:$A,增益!$K:$K,0))&gt;0,($F$12-$I$4+VLOOKUP($R27,武学奇术!$A:$ZZ,11,FALSE)+SUM(_xlfn.XLOOKUP(S27:AL27,增益!$A:$A,增益!$K:$K,0)))/200,($F$12-$I$4+VLOOKUP($R27,武学奇术!$A:$ZZ,11,FALSE)+SUM(_xlfn.XLOOKUP(S27:AL27,增益!$A:$A,增益!$K:$K,0)))/100)</f>
        <v>-0.3</v>
      </c>
      <c r="BF27" s="29" cm="1">
        <f t="array" ref="BF27">$G$12+VLOOKUP($R27,武学奇术!$A:$ZZ,12,FALSE)+SUM(_xlfn.XLOOKUP(S27:AL27,增益!$A:$A,增益!$L:$L,0))</f>
        <v>0</v>
      </c>
      <c r="BG27">
        <f t="shared" si="5"/>
        <v>0</v>
      </c>
      <c r="BH27">
        <f t="shared" si="6"/>
        <v>0</v>
      </c>
      <c r="BI27" s="29" cm="1">
        <f t="array" ref="BI27">IF($F$13-$I$4+VLOOKUP($R27,武学奇术!$A:$ZZ,13,FALSE)+SUM(_xlfn.XLOOKUP(S27:AL27,增益!$A:$A,增益!$M:$M,0))&gt;0,($F$13-$I$4+VLOOKUP($R27,武学奇术!$A:$ZZ,13,FALSE)+SUM(_xlfn.XLOOKUP(S27:AL27,增益!$A:$A,增益!$K:$K,0)))/200,($F$13-$I$4+VLOOKUP($R27,武学奇术!$A:$ZZ,13,FALSE)+SUM(_xlfn.XLOOKUP(S27:AL27,增益!$A:$A,增益!$M:$M,0)))/100)</f>
        <v>-0.3</v>
      </c>
      <c r="BJ27" s="29" cm="1">
        <f t="array" ref="BJ27">$G$13+VLOOKUP($R27,武学奇术!$A:$ZZ,14,FALSE)+SUM(_xlfn.XLOOKUP(S27:AL27,增益!$A:$A,增益!$N:$N,0))</f>
        <v>0</v>
      </c>
      <c r="BK27">
        <f t="shared" si="7"/>
        <v>618.2</v>
      </c>
      <c r="BL27">
        <f t="shared" si="8"/>
        <v>1805</v>
      </c>
      <c r="BM27" s="29" cm="1">
        <f t="array" ref="BM27">IF($F$14-$I$4+VLOOKUP($R27,武学奇术!$A:$ZZ,15,FALSE)+SUM(_xlfn.XLOOKUP(S27:AL27,增益!$A:$A,增益!$O:$O,0))&gt;0,($F$14-$I$4+VLOOKUP($R27,武学奇术!$A:$ZZ,15,FALSE)+SUM(_xlfn.XLOOKUP(S27:AL27,增益!$A:$A,增益!$O:$O,0)))/200,($F$14-$I$4+VLOOKUP($R27,武学奇术!$A:$ZZ,15,FALSE)+SUM(_xlfn.XLOOKUP(S27:AL27,增益!$A:$A,增益!$O:$O,0)))/100)</f>
        <v>0.05</v>
      </c>
      <c r="BN27" s="29" cm="1">
        <f t="array" ref="BN27">$G$14+VLOOKUP($R27,武学奇术!$A:$ZZ,16,FALSE)+SUM(_xlfn.XLOOKUP(S27:AL27,增益!$A:$A,增益!$P:$P,0))</f>
        <v>0.21</v>
      </c>
      <c r="BO27" s="23">
        <f>MIN(IF(VLOOKUP($R27,武学奇术!$A:$ZZ,23,FALSE)=1,100%,$B$8),100%)</f>
        <v>0.9943</v>
      </c>
      <c r="BP27" s="23" cm="1">
        <f t="array" ref="BP27">IF(VLOOKUP($R27,武学奇术!$A:$ZZ,23,FALSE)=1,100%,MIN(80%,$B$9+VLOOKUP($R27,武学奇术!$A:$ZZ,17,FALSE)+SUM(_xlfn.XLOOKUP(S27:AL27,增益!$A:$A,增益!$Q:$Q,0)))+$B$11+SUM(_xlfn.XLOOKUP(S27:AL27,增益!$A:$A,增益!$U:$U,0)))*IF(VLOOKUP($R27,武学奇术!$A:$ZZ,24,FALSE)=1,0,1)</f>
        <v>0.887</v>
      </c>
      <c r="BQ27" s="23" cm="1">
        <f t="array" ref="BQ27">1+$B$13+VLOOKUP($R27,武学奇术!$A:$ZZ,18,FALSE)+SUM(_xlfn.XLOOKUP(S27:AL27,增益!$A:$A,增益!$R:$R,0))</f>
        <v>2.334</v>
      </c>
      <c r="BR27" s="23" cm="1">
        <f t="array" ref="BR27">IF(VLOOKUP($R27,武学奇术!$A:$ZZ,24,FALSE)=1,100%,MIN(40%,$B$10+VLOOKUP($R27,武学奇术!$A:$ZZ,19,FALSE)+SUM(_xlfn.XLOOKUP(S27:AL27,增益!$A:$A,增益!$S:$S,0)))+$B$12+SUM(_xlfn.XLOOKUP(S27:AL27,增益!$A:$A,增益!$V:$V,0)))*IF(VLOOKUP($R27,武学奇术!$A:$ZZ,23,FALSE)=1,0,1)</f>
        <v>0.0913</v>
      </c>
      <c r="BS27" s="23" cm="1">
        <f t="array" ref="BS27">1+$B$14+VLOOKUP($R27,武学奇术!$A:$ZZ,20,FALSE)+SUM(_xlfn.XLOOKUP(S27:AL27,增益!$A:$A,增益!$T:$T,0))</f>
        <v>1.35</v>
      </c>
      <c r="BT27" s="23">
        <f t="shared" si="9"/>
        <v>0.8819441</v>
      </c>
      <c r="BU27" s="23">
        <f t="shared" si="10"/>
        <v>0.0215763099999999</v>
      </c>
      <c r="BV27" s="23">
        <f>IF(VLOOKUP($R27,武学奇术!$A:$ZZ,22,FALSE)=1,0,(1-$BO27))*(1-$BR27)</f>
        <v>0.00517959000000003</v>
      </c>
      <c r="BW27" s="23" cm="1">
        <f t="array" ref="BW27">SUM(_xlfn.XLOOKUP(S27:AL27,增益!$A:$A,增益!$W:$W,0))+$I$5</f>
        <v>0.11</v>
      </c>
      <c r="BX27" s="23">
        <f>VLOOKUP($R27,武学奇术!$A:$ZZ,32,FALSE)</f>
        <v>0.1</v>
      </c>
      <c r="BY27" s="23" cm="1">
        <f t="array" ref="BY27">SUM(_xlfn.XLOOKUP($S27:$AL27,增益!$A:$A,增益!$X:$X,0))</f>
        <v>0</v>
      </c>
    </row>
    <row r="28" spans="1:77">
      <c r="K28" s="35">
        <f>$L28*VLOOKUP($R28,武学奇术!$A:$ZZ,31,FALSE)</f>
        <v>89686.4482016194</v>
      </c>
      <c r="L28" s="69">
        <f t="shared" si="0"/>
        <v>87927.8903937445</v>
      </c>
      <c r="M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轻击",$B$21,0))*(1+IF(VLOOKUP($R28,武学奇术!$A:$ZZ,30,FALSE)="老鼠",$B$22,0))*(1+$BW28)*(1+$BX28)</f>
        <v>92258.2144275211</v>
      </c>
      <c r="N28" s="35">
        <f>(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轻击",$B$21,0))*(1+IF(VLOOKUP($R28,武学奇术!$A:$ZZ,30,FALSE)="老鼠",$B$22,0))*(1+$BW28))*(1+$BX28)</f>
        <v>60584.9579881269</v>
      </c>
      <c r="O28" s="35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轻击",$B$21,0))*(1+IF(VLOOKUP($R28,武学奇术!$A:$ZZ,30,FALSE)="老鼠",$B$22,0))*(1+$BW28)*(1+$BX28)</f>
        <v>39527.941057207</v>
      </c>
      <c r="P28" s="35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轻击",$B$21,0))*(1+IF(VLOOKUP($R28,武学奇术!$A:$ZZ,30,FALSE)="老鼠",$B$22,0))*(1+$BW28)*(1+$BX28)</f>
        <v>34178.1354565422</v>
      </c>
      <c r="Q28" s="70">
        <v>3</v>
      </c>
      <c r="R28" s="37" t="s">
        <v>106</v>
      </c>
      <c r="S28" s="37" t="s">
        <v>91</v>
      </c>
      <c r="T28" s="37" t="s">
        <v>95</v>
      </c>
      <c r="U28" s="37" t="s">
        <v>112</v>
      </c>
      <c r="V28" s="37" t="s">
        <v>113</v>
      </c>
      <c r="W28" s="37" t="s">
        <v>82</v>
      </c>
      <c r="X28" s="37" t="s">
        <v>81</v>
      </c>
      <c r="Y28" s="37" t="s">
        <v>109</v>
      </c>
      <c r="Z28" s="37" t="s">
        <v>83</v>
      </c>
      <c r="AA28" s="37" t="s">
        <v>81</v>
      </c>
      <c r="AB28" s="37" t="s">
        <v>81</v>
      </c>
      <c r="AC28" s="37" t="s">
        <v>81</v>
      </c>
      <c r="AD28" s="37" t="s">
        <v>85</v>
      </c>
      <c r="AE28" s="37" t="s">
        <v>86</v>
      </c>
      <c r="AF28" s="37" t="s">
        <v>81</v>
      </c>
      <c r="AG28" s="37" t="s">
        <v>87</v>
      </c>
      <c r="AH28" s="37" t="s">
        <v>81</v>
      </c>
      <c r="AI28" s="37" t="s">
        <v>81</v>
      </c>
      <c r="AJ28" s="37" t="s">
        <v>81</v>
      </c>
      <c r="AK28" s="37" t="s">
        <v>81</v>
      </c>
      <c r="AL28" s="37" t="s">
        <v>81</v>
      </c>
      <c r="AM28" t="str">
        <f>VLOOKUP($R28,武学奇术!$A:$ZZ,25,FALSE)</f>
        <v>绳镖</v>
      </c>
      <c r="AN28" s="23">
        <f>VLOOKUP($R28,武学奇术!$A:$ZZ,26,FALSE)</f>
        <v>0.3675</v>
      </c>
      <c r="AO28" s="24">
        <f>VLOOKUP($R28,武学奇术!$A:$ZZ,27,FALSE)*(1+IF(OR($AM28=$F$4,$AM28=$F$5),$B$23,0))</f>
        <v>0</v>
      </c>
      <c r="AP28" s="23">
        <f>VLOOKUP($R28,武学奇术!$A:$ZZ,28,FALSE)</f>
        <v>0.55125</v>
      </c>
      <c r="AQ28" s="24">
        <f>VLOOKUP($R28,武学奇术!$A:$ZZ,29,FALSE)*(1+IF(OR($AM28=$F$4,$AM28=$F$5),$B$23,0))</f>
        <v>0</v>
      </c>
      <c r="AR28" s="23" cm="1">
        <f t="array" ref="AR28">$G$3+IFERROR(VLOOKUP($AM28,$F$4:$G$7,2,FALSE),0)+VLOOKUP($R28,武学奇术!$A:$ZZ,2,FALSE)+SUM(_xlfn.XLOOKUP($S28:$AL28,增益!$A:$A,增益!$B:$B,0))</f>
        <v>1.4943</v>
      </c>
      <c r="AS28" s="23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4081.7</v>
      </c>
      <c r="AU28" cm="1">
        <f t="array" ref="AU28">$E$10*(1+$AS28)+VLOOKUP($R28,武学奇术!$A:$ZZ,4,FALSE)+SUM(_xlfn.XLOOKUP($S28:$AL28,增益!$A:$A,增益!$D:$D,0))-$I$2</f>
        <v>4081.7</v>
      </c>
      <c r="AV28" s="29" cm="1">
        <f t="array" ref="AV28">IF($F$10-$I$3+VLOOKUP($R28,武学奇术!$A:$ZZ,6,FALSE)+SUM(_xlfn.XLOOKUP(S28:AL28,增益!$A:$A,增益!$F:$F,0))&gt;0,($F$10-$I$3+VLOOKUP($R28,武学奇术!$A:$ZZ,6,FALSE)+SUM(_xlfn.XLOOKUP(S28:AL28,增益!$A:$A,增益!$F:$F,0)))/200,($F$10-$I$3+VLOOKUP($R28,武学奇术!$A:$ZZ,6,FALSE)+SUM(_xlfn.XLOOKUP(S28:AL28,增益!$A:$A,增益!$F:$F,0)))/100)</f>
        <v>0.3689</v>
      </c>
      <c r="AW28" s="29" cm="1">
        <f t="array" ref="AW28">$G$10+VLOOKUP($R28,武学奇术!$A:$ZZ,7,FALSE)+SUM(_xlfn.XLOOKUP(S28:AL28,增益!$A:$A,增益!$G:$G,0))</f>
        <v>0.27</v>
      </c>
      <c r="AX28" s="23" cm="1">
        <f t="array" ref="AX28">VLOOKUP($R28,武学奇术!$A:$ZZ,8,FALSE)+SUM(_xlfn.XLOOKUP(S28:AL28,增益!$A:$A,增益!$H:$H,0))</f>
        <v>0</v>
      </c>
      <c r="AY28">
        <f t="shared" si="1"/>
        <v>0</v>
      </c>
      <c r="AZ28">
        <f t="shared" si="2"/>
        <v>0</v>
      </c>
      <c r="BA28" s="29" cm="1">
        <f t="array" ref="BA28">IF($F$11-$I$4+VLOOKUP($R28,武学奇术!$A:$ZZ,9,FALSE)+SUM(_xlfn.XLOOKUP(S28:AL28,增益!$A:$A,增益!$I:$I,0))&gt;0,($F$11-$I$4+VLOOKUP($R28,武学奇术!$A:$ZZ,9,FALSE)+SUM(_xlfn.XLOOKUP(S28:AL28,增益!$A:$A,增益!$I:$I,0)))/200,($F$11-$I$4+VLOOKUP($R28,武学奇术!$A:$ZZ,9,FALSE)+SUM(_xlfn.XLOOKUP(S28:AL28,增益!$A:$A,增益!$I:$I,0)))/100)</f>
        <v>-0.3</v>
      </c>
      <c r="BB28" s="29" cm="1">
        <f t="array" ref="BB28">$G$11+VLOOKUP($R28,武学奇术!$A:$ZZ,10,FALSE)+SUM(_xlfn.XLOOKUP(S28:AL28,增益!$A:$A,增益!$J:$J,0))</f>
        <v>0</v>
      </c>
      <c r="BC28">
        <f t="shared" si="3"/>
        <v>0</v>
      </c>
      <c r="BD28">
        <f t="shared" si="4"/>
        <v>0</v>
      </c>
      <c r="BE28" s="29" cm="1">
        <f t="array" ref="BE28">IF($F$12-$I$4+VLOOKUP($R28,武学奇术!$A:$ZZ,11,FALSE)+SUM(_xlfn.XLOOKUP(S28:AL28,增益!$A:$A,增益!$K:$K,0))&gt;0,($F$12-$I$4+VLOOKUP($R28,武学奇术!$A:$ZZ,11,FALSE)+SUM(_xlfn.XLOOKUP(S28:AL28,增益!$A:$A,增益!$K:$K,0)))/200,($F$12-$I$4+VLOOKUP($R28,武学奇术!$A:$ZZ,11,FALSE)+SUM(_xlfn.XLOOKUP(S28:AL28,增益!$A:$A,增益!$K:$K,0)))/100)</f>
        <v>-0.3</v>
      </c>
      <c r="BF28" s="29" cm="1">
        <f t="array" ref="BF28">$G$12+VLOOKUP($R28,武学奇术!$A:$ZZ,12,FALSE)+SUM(_xlfn.XLOOKUP(S28:AL28,增益!$A:$A,增益!$L:$L,0))</f>
        <v>0</v>
      </c>
      <c r="BG28">
        <f t="shared" si="5"/>
        <v>0</v>
      </c>
      <c r="BH28">
        <f t="shared" si="6"/>
        <v>0</v>
      </c>
      <c r="BI28" s="29" cm="1">
        <f t="array" ref="BI28">IF($F$13-$I$4+VLOOKUP($R28,武学奇术!$A:$ZZ,13,FALSE)+SUM(_xlfn.XLOOKUP(S28:AL28,增益!$A:$A,增益!$M:$M,0))&gt;0,($F$13-$I$4+VLOOKUP($R28,武学奇术!$A:$ZZ,13,FALSE)+SUM(_xlfn.XLOOKUP(S28:AL28,增益!$A:$A,增益!$K:$K,0)))/200,($F$13-$I$4+VLOOKUP($R28,武学奇术!$A:$ZZ,13,FALSE)+SUM(_xlfn.XLOOKUP(S28:AL28,增益!$A:$A,增益!$M:$M,0)))/100)</f>
        <v>-0.3</v>
      </c>
      <c r="BJ28" s="29" cm="1">
        <f t="array" ref="BJ28">$G$13+VLOOKUP($R28,武学奇术!$A:$ZZ,14,FALSE)+SUM(_xlfn.XLOOKUP(S28:AL28,增益!$A:$A,增益!$N:$N,0))</f>
        <v>0</v>
      </c>
      <c r="BK28">
        <f t="shared" si="7"/>
        <v>618.2</v>
      </c>
      <c r="BL28">
        <f t="shared" si="8"/>
        <v>1805</v>
      </c>
      <c r="BM28" s="29" cm="1">
        <f t="array" ref="BM28">IF($F$14-$I$4+VLOOKUP($R28,武学奇术!$A:$ZZ,15,FALSE)+SUM(_xlfn.XLOOKUP(S28:AL28,增益!$A:$A,增益!$O:$O,0))&gt;0,($F$14-$I$4+VLOOKUP($R28,武学奇术!$A:$ZZ,15,FALSE)+SUM(_xlfn.XLOOKUP(S28:AL28,增益!$A:$A,增益!$O:$O,0)))/200,($F$14-$I$4+VLOOKUP($R28,武学奇术!$A:$ZZ,15,FALSE)+SUM(_xlfn.XLOOKUP(S28:AL28,增益!$A:$A,增益!$O:$O,0)))/100)</f>
        <v>0.05</v>
      </c>
      <c r="BN28" s="29" cm="1">
        <f t="array" ref="BN28">$G$14+VLOOKUP($R28,武学奇术!$A:$ZZ,16,FALSE)+SUM(_xlfn.XLOOKUP(S28:AL28,增益!$A:$A,增益!$P:$P,0))</f>
        <v>0.42</v>
      </c>
      <c r="BO28" s="23">
        <f>MIN(IF(VLOOKUP($R28,武学奇术!$A:$ZZ,23,FALSE)=1,100%,$B$8),100%)</f>
        <v>0.9943</v>
      </c>
      <c r="BP28" s="23" cm="1">
        <f t="array" ref="BP28">IF(VLOOKUP($R28,武学奇术!$A:$ZZ,23,FALSE)=1,100%,MIN(80%,$B$9+VLOOKUP($R28,武学奇术!$A:$ZZ,17,FALSE)+SUM(_xlfn.XLOOKUP(S28:AL28,增益!$A:$A,增益!$Q:$Q,0)))+$B$11+SUM(_xlfn.XLOOKUP(S28:AL28,增益!$A:$A,增益!$U:$U,0)))*IF(VLOOKUP($R28,武学奇术!$A:$ZZ,24,FALSE)=1,0,1)</f>
        <v>0.887</v>
      </c>
      <c r="BQ28" s="23" cm="1">
        <f t="array" ref="BQ28">1+$B$13+VLOOKUP($R28,武学奇术!$A:$ZZ,18,FALSE)+SUM(_xlfn.XLOOKUP(S28:AL28,增益!$A:$A,增益!$R:$R,0))</f>
        <v>2.334</v>
      </c>
      <c r="BR28" s="23" cm="1">
        <f t="array" ref="BR28">IF(VLOOKUP($R28,武学奇术!$A:$ZZ,24,FALSE)=1,100%,MIN(40%,$B$10+VLOOKUP($R28,武学奇术!$A:$ZZ,19,FALSE)+SUM(_xlfn.XLOOKUP(S28:AL28,增益!$A:$A,增益!$S:$S,0)))+$B$12+SUM(_xlfn.XLOOKUP(S28:AL28,增益!$A:$A,增益!$V:$V,0)))*IF(VLOOKUP($R28,武学奇术!$A:$ZZ,23,FALSE)=1,0,1)</f>
        <v>0.0913</v>
      </c>
      <c r="BS28" s="23" cm="1">
        <f t="array" ref="BS28">1+$B$14+VLOOKUP($R28,武学奇术!$A:$ZZ,20,FALSE)+SUM(_xlfn.XLOOKUP(S28:AL28,增益!$A:$A,增益!$T:$T,0))</f>
        <v>1.35</v>
      </c>
      <c r="BT28" s="23">
        <f t="shared" si="9"/>
        <v>0.8819441</v>
      </c>
      <c r="BU28" s="23">
        <f t="shared" si="10"/>
        <v>0.0215763099999999</v>
      </c>
      <c r="BV28" s="23">
        <f>IF(VLOOKUP($R28,武学奇术!$A:$ZZ,22,FALSE)=1,0,(1-$BO28))*(1-$BR28)</f>
        <v>0.00517959000000003</v>
      </c>
      <c r="BW28" s="23" cm="1">
        <f t="array" ref="BW28">SUM(_xlfn.XLOOKUP(S28:AL28,增益!$A:$A,增益!$W:$W,0))+$I$5</f>
        <v>0.11</v>
      </c>
      <c r="BX28" s="23">
        <f>VLOOKUP($R28,武学奇术!$A:$ZZ,32,FALSE)</f>
        <v>0</v>
      </c>
      <c r="BY28" s="23" cm="1">
        <f t="array" ref="BY28">SUM(_xlfn.XLOOKUP($S28:$AL28,增益!$A:$A,增益!$X:$X,0))</f>
        <v>0</v>
      </c>
    </row>
    <row r="29" spans="1:77">
      <c r="K29" s="35">
        <f>$L29*VLOOKUP($R29,武学奇术!$A:$ZZ,31,FALSE)</f>
        <v>69499.5529594072</v>
      </c>
      <c r="L29" s="58">
        <f t="shared" si="0"/>
        <v>62053.172285185</v>
      </c>
      <c r="M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轻击",$B$21,0))*(1+IF(VLOOKUP($R29,武学奇术!$A:$ZZ,30,FALSE)="老鼠",$B$22,0))*(1+$BW29)*(1+$BX29)</f>
        <v>65158.333013452</v>
      </c>
      <c r="N29" s="35">
        <f>(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轻击",$B$21,0))*(1+IF(VLOOKUP($R29,武学奇术!$A:$ZZ,30,FALSE)="老鼠",$B$22,0))*(1+$BW29))*(1+$BX29)</f>
        <v>42253.4079953368</v>
      </c>
      <c r="O29" s="35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轻击",$B$21,0))*(1+IF(VLOOKUP($R29,武学奇术!$A:$ZZ,30,FALSE)="老鼠",$B$22,0))*(1+$BW29)*(1+$BX29)</f>
        <v>27917.0235704593</v>
      </c>
      <c r="P29" s="35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轻击",$B$21,0))*(1+IF(VLOOKUP($R29,武学奇术!$A:$ZZ,30,FALSE)="老鼠",$B$22,0))*(1+$BW29)*(1+$BX29)</f>
        <v>24535.2264036321</v>
      </c>
      <c r="Q29" s="36">
        <v>1</v>
      </c>
      <c r="R29" s="37" t="s">
        <v>148</v>
      </c>
      <c r="S29" s="37" t="s">
        <v>91</v>
      </c>
      <c r="T29" s="37" t="s">
        <v>95</v>
      </c>
      <c r="U29" s="37" t="s">
        <v>112</v>
      </c>
      <c r="V29" s="37" t="s">
        <v>113</v>
      </c>
      <c r="W29" s="37" t="s">
        <v>82</v>
      </c>
      <c r="X29" s="37" t="s">
        <v>81</v>
      </c>
      <c r="Y29" s="37" t="s">
        <v>109</v>
      </c>
      <c r="Z29" s="37" t="s">
        <v>83</v>
      </c>
      <c r="AA29" s="37" t="s">
        <v>81</v>
      </c>
      <c r="AB29" s="37" t="s">
        <v>81</v>
      </c>
      <c r="AC29" s="37" t="s">
        <v>81</v>
      </c>
      <c r="AD29" s="37" t="s">
        <v>85</v>
      </c>
      <c r="AE29" s="37" t="s">
        <v>86</v>
      </c>
      <c r="AF29" s="37" t="s">
        <v>81</v>
      </c>
      <c r="AG29" s="37" t="s">
        <v>87</v>
      </c>
      <c r="AH29" s="37" t="s">
        <v>81</v>
      </c>
      <c r="AI29" s="37" t="s">
        <v>81</v>
      </c>
      <c r="AJ29" s="37" t="s">
        <v>81</v>
      </c>
      <c r="AK29" s="37" t="s">
        <v>81</v>
      </c>
      <c r="AL29" s="37" t="s">
        <v>81</v>
      </c>
      <c r="AM29" t="str">
        <f>VLOOKUP($R29,武学奇术!$A:$ZZ,25,FALSE)</f>
        <v>双刀</v>
      </c>
      <c r="AN29" s="23">
        <f>VLOOKUP($R29,武学奇术!$A:$ZZ,26,FALSE)</f>
        <v>1.4455</v>
      </c>
      <c r="AO29" s="24">
        <f>VLOOKUP($R29,武学奇术!$A:$ZZ,27,FALSE)*(1+IF(OR($AM29=$F$4,$AM29=$F$5),$B$23,0))</f>
        <v>641.6</v>
      </c>
      <c r="AP29" s="23">
        <f>VLOOKUP($R29,武学奇术!$A:$ZZ,28,FALSE)</f>
        <v>2.1683</v>
      </c>
      <c r="AQ29" s="24">
        <f>VLOOKUP($R29,武学奇术!$A:$ZZ,29,FALSE)*(1+IF(OR($AM29=$F$4,$AM29=$F$5),$B$23,0))</f>
        <v>348.8</v>
      </c>
      <c r="AR29" s="23" cm="1">
        <f t="array" ref="AR29">$G$3+IFERROR(VLOOKUP($AM29,$F$4:$G$7,2,FALSE),0)+VLOOKUP($R29,武学奇术!$A:$ZZ,2,FALSE)+SUM(_xlfn.XLOOKUP($S29:$AL29,增益!$A:$A,增益!$B:$B,0))</f>
        <v>0.6943</v>
      </c>
      <c r="AS29" s="23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4081.7</v>
      </c>
      <c r="AU29" cm="1">
        <f t="array" ref="AU29">$E$10*(1+$AS29)+VLOOKUP($R29,武学奇术!$A:$ZZ,4,FALSE)+SUM(_xlfn.XLOOKUP($S29:$AL29,增益!$A:$A,增益!$D:$D,0))-$I$2</f>
        <v>4081.7</v>
      </c>
      <c r="AV29" s="29" cm="1">
        <f t="array" ref="AV29">IF($F$10-$I$3+VLOOKUP($R29,武学奇术!$A:$ZZ,6,FALSE)+SUM(_xlfn.XLOOKUP(S29:AL29,增益!$A:$A,增益!$F:$F,0))&gt;0,($F$10-$I$3+VLOOKUP($R29,武学奇术!$A:$ZZ,6,FALSE)+SUM(_xlfn.XLOOKUP(S29:AL29,增益!$A:$A,增益!$F:$F,0)))/200,($F$10-$I$3+VLOOKUP($R29,武学奇术!$A:$ZZ,6,FALSE)+SUM(_xlfn.XLOOKUP(S29:AL29,增益!$A:$A,增益!$F:$F,0)))/100)</f>
        <v>0.3689</v>
      </c>
      <c r="AW29" s="29" cm="1">
        <f t="array" ref="AW29">$G$10+VLOOKUP($R29,武学奇术!$A:$ZZ,7,FALSE)+SUM(_xlfn.XLOOKUP(S29:AL29,增益!$A:$A,增益!$G:$G,0))</f>
        <v>0.06</v>
      </c>
      <c r="AX29" s="23" cm="1">
        <f t="array" ref="AX29">VLOOKUP($R29,武学奇术!$A:$ZZ,8,FALSE)+SUM(_xlfn.XLOOKUP(S29:AL29,增益!$A:$A,增益!$H:$H,0))</f>
        <v>0</v>
      </c>
      <c r="AY29">
        <f t="shared" si="1"/>
        <v>0</v>
      </c>
      <c r="AZ29">
        <f t="shared" si="2"/>
        <v>0</v>
      </c>
      <c r="BA29" s="29" cm="1">
        <f t="array" ref="BA29">IF($F$11-$I$4+VLOOKUP($R29,武学奇术!$A:$ZZ,9,FALSE)+SUM(_xlfn.XLOOKUP(S29:AL29,增益!$A:$A,增益!$I:$I,0))&gt;0,($F$11-$I$4+VLOOKUP($R29,武学奇术!$A:$ZZ,9,FALSE)+SUM(_xlfn.XLOOKUP(S29:AL29,增益!$A:$A,增益!$I:$I,0)))/200,($F$11-$I$4+VLOOKUP($R29,武学奇术!$A:$ZZ,9,FALSE)+SUM(_xlfn.XLOOKUP(S29:AL29,增益!$A:$A,增益!$I:$I,0)))/100)</f>
        <v>-0.3</v>
      </c>
      <c r="BB29" s="29" cm="1">
        <f t="array" ref="BB29">$G$11+VLOOKUP($R29,武学奇术!$A:$ZZ,10,FALSE)+SUM(_xlfn.XLOOKUP(S29:AL29,增益!$A:$A,增益!$J:$J,0))</f>
        <v>0</v>
      </c>
      <c r="BC29">
        <f t="shared" si="3"/>
        <v>0</v>
      </c>
      <c r="BD29">
        <f t="shared" si="4"/>
        <v>0</v>
      </c>
      <c r="BE29" s="29" cm="1">
        <f t="array" ref="BE29">IF($F$12-$I$4+VLOOKUP($R29,武学奇术!$A:$ZZ,11,FALSE)+SUM(_xlfn.XLOOKUP(S29:AL29,增益!$A:$A,增益!$K:$K,0))&gt;0,($F$12-$I$4+VLOOKUP($R29,武学奇术!$A:$ZZ,11,FALSE)+SUM(_xlfn.XLOOKUP(S29:AL29,增益!$A:$A,增益!$K:$K,0)))/200,($F$12-$I$4+VLOOKUP($R29,武学奇术!$A:$ZZ,11,FALSE)+SUM(_xlfn.XLOOKUP(S29:AL29,增益!$A:$A,增益!$K:$K,0)))/100)</f>
        <v>-0.3</v>
      </c>
      <c r="BF29" s="29" cm="1">
        <f t="array" ref="BF29">$G$12+VLOOKUP($R29,武学奇术!$A:$ZZ,12,FALSE)+SUM(_xlfn.XLOOKUP(S29:AL29,增益!$A:$A,增益!$L:$L,0))</f>
        <v>0</v>
      </c>
      <c r="BG29">
        <f t="shared" si="5"/>
        <v>0</v>
      </c>
      <c r="BH29">
        <f t="shared" si="6"/>
        <v>0</v>
      </c>
      <c r="BI29" s="29" cm="1">
        <f t="array" ref="BI29">IF($F$13-$I$4+VLOOKUP($R29,武学奇术!$A:$ZZ,13,FALSE)+SUM(_xlfn.XLOOKUP(S29:AL29,增益!$A:$A,增益!$M:$M,0))&gt;0,($F$13-$I$4+VLOOKUP($R29,武学奇术!$A:$ZZ,13,FALSE)+SUM(_xlfn.XLOOKUP(S29:AL29,增益!$A:$A,增益!$K:$K,0)))/200,($F$13-$I$4+VLOOKUP($R29,武学奇术!$A:$ZZ,13,FALSE)+SUM(_xlfn.XLOOKUP(S29:AL29,增益!$A:$A,增益!$M:$M,0)))/100)</f>
        <v>-0.3</v>
      </c>
      <c r="BJ29" s="29" cm="1">
        <f t="array" ref="BJ29">$G$13+VLOOKUP($R29,武学奇术!$A:$ZZ,14,FALSE)+SUM(_xlfn.XLOOKUP(S29:AL29,增益!$A:$A,增益!$N:$N,0))</f>
        <v>0</v>
      </c>
      <c r="BK29">
        <f t="shared" si="7"/>
        <v>618.2</v>
      </c>
      <c r="BL29">
        <f t="shared" si="8"/>
        <v>1805</v>
      </c>
      <c r="BM29" s="29" cm="1">
        <f t="array" ref="BM29">IF($F$14-$I$4+VLOOKUP($R29,武学奇术!$A:$ZZ,15,FALSE)+SUM(_xlfn.XLOOKUP(S29:AL29,增益!$A:$A,增益!$O:$O,0))&gt;0,($F$14-$I$4+VLOOKUP($R29,武学奇术!$A:$ZZ,15,FALSE)+SUM(_xlfn.XLOOKUP(S29:AL29,增益!$A:$A,增益!$O:$O,0)))/200,($F$14-$I$4+VLOOKUP($R29,武学奇术!$A:$ZZ,15,FALSE)+SUM(_xlfn.XLOOKUP(S29:AL29,增益!$A:$A,增益!$O:$O,0)))/100)</f>
        <v>0.05</v>
      </c>
      <c r="BN29" s="29" cm="1">
        <f t="array" ref="BN29">$G$14+VLOOKUP($R29,武学奇术!$A:$ZZ,16,FALSE)+SUM(_xlfn.XLOOKUP(S29:AL29,增益!$A:$A,增益!$P:$P,0))</f>
        <v>0.21</v>
      </c>
      <c r="BO29" s="23">
        <f>MIN(IF(VLOOKUP($R29,武学奇术!$A:$ZZ,23,FALSE)=1,100%,$B$8),100%)</f>
        <v>0.9943</v>
      </c>
      <c r="BP29" s="23" cm="1">
        <f t="array" ref="BP29">IF(VLOOKUP($R29,武学奇术!$A:$ZZ,23,FALSE)=1,100%,MIN(80%,$B$9+VLOOKUP($R29,武学奇术!$A:$ZZ,17,FALSE)+SUM(_xlfn.XLOOKUP(S29:AL29,增益!$A:$A,增益!$Q:$Q,0)))+$B$11+SUM(_xlfn.XLOOKUP(S29:AL29,增益!$A:$A,增益!$U:$U,0)))*IF(VLOOKUP($R29,武学奇术!$A:$ZZ,24,FALSE)=1,0,1)</f>
        <v>0.887</v>
      </c>
      <c r="BQ29" s="23" cm="1">
        <f t="array" ref="BQ29">1+$B$13+VLOOKUP($R29,武学奇术!$A:$ZZ,18,FALSE)+SUM(_xlfn.XLOOKUP(S29:AL29,增益!$A:$A,增益!$R:$R,0))</f>
        <v>2.334</v>
      </c>
      <c r="BR29" s="23" cm="1">
        <f t="array" ref="BR29">IF(VLOOKUP($R29,武学奇术!$A:$ZZ,24,FALSE)=1,100%,MIN(40%,$B$10+VLOOKUP($R29,武学奇术!$A:$ZZ,19,FALSE)+SUM(_xlfn.XLOOKUP(S29:AL29,增益!$A:$A,增益!$S:$S,0)))+$B$12+SUM(_xlfn.XLOOKUP(S29:AL29,增益!$A:$A,增益!$V:$V,0)))*IF(VLOOKUP($R29,武学奇术!$A:$ZZ,23,FALSE)=1,0,1)</f>
        <v>0.0913</v>
      </c>
      <c r="BS29" s="23" cm="1">
        <f t="array" ref="BS29">1+$B$14+VLOOKUP($R29,武学奇术!$A:$ZZ,20,FALSE)+SUM(_xlfn.XLOOKUP(S29:AL29,增益!$A:$A,增益!$T:$T,0))</f>
        <v>1.35</v>
      </c>
      <c r="BT29" s="23">
        <f t="shared" si="9"/>
        <v>0.8819441</v>
      </c>
      <c r="BU29" s="23">
        <f t="shared" si="10"/>
        <v>0.0215763099999999</v>
      </c>
      <c r="BV29" s="23">
        <f>IF(VLOOKUP($R29,武学奇术!$A:$ZZ,22,FALSE)=1,0,(1-$BO29))*(1-$BR29)</f>
        <v>0.00517959000000003</v>
      </c>
      <c r="BW29" s="23" cm="1">
        <f t="array" ref="BW29">SUM(_xlfn.XLOOKUP(S29:AL29,增益!$A:$A,增益!$W:$W,0))+$I$5</f>
        <v>0.11</v>
      </c>
      <c r="BX29" s="23">
        <f>VLOOKUP($R29,武学奇术!$A:$ZZ,32,FALSE)</f>
        <v>0.1</v>
      </c>
      <c r="BY29" s="23" cm="1">
        <f t="array" ref="BY29">SUM(_xlfn.XLOOKUP($S29:$AL29,增益!$A:$A,增益!$X:$X,0))</f>
        <v>0</v>
      </c>
    </row>
    <row r="30" spans="1:77">
      <c r="K30" s="35">
        <f>$L30*VLOOKUP($R30,武学奇术!$A:$ZZ,31,FALSE)</f>
        <v>59790.9654677463</v>
      </c>
      <c r="L30" s="69">
        <f t="shared" si="0"/>
        <v>58618.5935958297</v>
      </c>
      <c r="M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轻击",$B$21,0))*(1+IF(VLOOKUP($R30,武学奇术!$A:$ZZ,30,FALSE)="老鼠",$B$22,0))*(1+$BW30)*(1+$BX30)</f>
        <v>61505.4762850141</v>
      </c>
      <c r="N30" s="35">
        <f>(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轻击",$B$21,0))*(1+IF(VLOOKUP($R30,武学奇术!$A:$ZZ,30,FALSE)="老鼠",$B$22,0))*(1+$BW30))*(1+$BX30)</f>
        <v>40389.9719920846</v>
      </c>
      <c r="O30" s="35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轻击",$B$21,0))*(1+IF(VLOOKUP($R30,武学奇术!$A:$ZZ,30,FALSE)="老鼠",$B$22,0))*(1+$BW30)*(1+$BX30)</f>
        <v>26351.9607048047</v>
      </c>
      <c r="P30" s="35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轻击",$B$21,0))*(1+IF(VLOOKUP($R30,武学奇术!$A:$ZZ,30,FALSE)="老鼠",$B$22,0))*(1+$BW30)*(1+$BX30)</f>
        <v>22785.4236376948</v>
      </c>
      <c r="Q30" s="70">
        <v>2</v>
      </c>
      <c r="R30" s="37" t="s">
        <v>106</v>
      </c>
      <c r="S30" s="37" t="s">
        <v>91</v>
      </c>
      <c r="T30" s="37" t="s">
        <v>95</v>
      </c>
      <c r="U30" s="37" t="s">
        <v>112</v>
      </c>
      <c r="V30" s="37" t="s">
        <v>113</v>
      </c>
      <c r="W30" s="37" t="s">
        <v>82</v>
      </c>
      <c r="X30" s="37" t="s">
        <v>81</v>
      </c>
      <c r="Y30" s="37" t="s">
        <v>109</v>
      </c>
      <c r="Z30" s="37" t="s">
        <v>83</v>
      </c>
      <c r="AA30" s="37" t="s">
        <v>81</v>
      </c>
      <c r="AB30" s="37" t="s">
        <v>81</v>
      </c>
      <c r="AC30" s="37" t="s">
        <v>81</v>
      </c>
      <c r="AD30" s="37" t="s">
        <v>85</v>
      </c>
      <c r="AE30" s="37" t="s">
        <v>86</v>
      </c>
      <c r="AF30" s="37" t="s">
        <v>81</v>
      </c>
      <c r="AG30" s="37" t="s">
        <v>87</v>
      </c>
      <c r="AH30" s="37" t="s">
        <v>81</v>
      </c>
      <c r="AI30" s="37" t="s">
        <v>81</v>
      </c>
      <c r="AJ30" s="37" t="s">
        <v>81</v>
      </c>
      <c r="AK30" s="37" t="s">
        <v>81</v>
      </c>
      <c r="AL30" s="37" t="s">
        <v>81</v>
      </c>
      <c r="AM30" t="str">
        <f>VLOOKUP($R30,武学奇术!$A:$ZZ,25,FALSE)</f>
        <v>绳镖</v>
      </c>
      <c r="AN30" s="23">
        <f>VLOOKUP($R30,武学奇术!$A:$ZZ,26,FALSE)</f>
        <v>0.3675</v>
      </c>
      <c r="AO30" s="24">
        <f>VLOOKUP($R30,武学奇术!$A:$ZZ,27,FALSE)*(1+IF(OR($AM30=$F$4,$AM30=$F$5),$B$23,0))</f>
        <v>0</v>
      </c>
      <c r="AP30" s="23">
        <f>VLOOKUP($R30,武学奇术!$A:$ZZ,28,FALSE)</f>
        <v>0.55125</v>
      </c>
      <c r="AQ30" s="24">
        <f>VLOOKUP($R30,武学奇术!$A:$ZZ,29,FALSE)*(1+IF(OR($AM30=$F$4,$AM30=$F$5),$B$23,0))</f>
        <v>0</v>
      </c>
      <c r="AR30" s="23" cm="1">
        <f t="array" ref="AR30">$G$3+IFERROR(VLOOKUP($AM30,$F$4:$G$7,2,FALSE),0)+VLOOKUP($R30,武学奇术!$A:$ZZ,2,FALSE)+SUM(_xlfn.XLOOKUP($S30:$AL30,增益!$A:$A,增益!$B:$B,0))</f>
        <v>1.4943</v>
      </c>
      <c r="AS30" s="23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4081.7</v>
      </c>
      <c r="AU30" cm="1">
        <f t="array" ref="AU30">$E$10*(1+$AS30)+VLOOKUP($R30,武学奇术!$A:$ZZ,4,FALSE)+SUM(_xlfn.XLOOKUP($S30:$AL30,增益!$A:$A,增益!$D:$D,0))-$I$2</f>
        <v>4081.7</v>
      </c>
      <c r="AV30" s="29" cm="1">
        <f t="array" ref="AV30">IF($F$10-$I$3+VLOOKUP($R30,武学奇术!$A:$ZZ,6,FALSE)+SUM(_xlfn.XLOOKUP(S30:AL30,增益!$A:$A,增益!$F:$F,0))&gt;0,($F$10-$I$3+VLOOKUP($R30,武学奇术!$A:$ZZ,6,FALSE)+SUM(_xlfn.XLOOKUP(S30:AL30,增益!$A:$A,增益!$F:$F,0)))/200,($F$10-$I$3+VLOOKUP($R30,武学奇术!$A:$ZZ,6,FALSE)+SUM(_xlfn.XLOOKUP(S30:AL30,增益!$A:$A,增益!$F:$F,0)))/100)</f>
        <v>0.3689</v>
      </c>
      <c r="AW30" s="29" cm="1">
        <f t="array" ref="AW30">$G$10+VLOOKUP($R30,武学奇术!$A:$ZZ,7,FALSE)+SUM(_xlfn.XLOOKUP(S30:AL30,增益!$A:$A,增益!$G:$G,0))</f>
        <v>0.27</v>
      </c>
      <c r="AX30" s="23" cm="1">
        <f t="array" ref="AX30">VLOOKUP($R30,武学奇术!$A:$ZZ,8,FALSE)+SUM(_xlfn.XLOOKUP(S30:AL30,增益!$A:$A,增益!$H:$H,0))</f>
        <v>0</v>
      </c>
      <c r="AY30">
        <f t="shared" si="1"/>
        <v>0</v>
      </c>
      <c r="AZ30">
        <f t="shared" si="2"/>
        <v>0</v>
      </c>
      <c r="BA30" s="29" cm="1">
        <f t="array" ref="BA30">IF($F$11-$I$4+VLOOKUP($R30,武学奇术!$A:$ZZ,9,FALSE)+SUM(_xlfn.XLOOKUP(S30:AL30,增益!$A:$A,增益!$I:$I,0))&gt;0,($F$11-$I$4+VLOOKUP($R30,武学奇术!$A:$ZZ,9,FALSE)+SUM(_xlfn.XLOOKUP(S30:AL30,增益!$A:$A,增益!$I:$I,0)))/200,($F$11-$I$4+VLOOKUP($R30,武学奇术!$A:$ZZ,9,FALSE)+SUM(_xlfn.XLOOKUP(S30:AL30,增益!$A:$A,增益!$I:$I,0)))/100)</f>
        <v>-0.3</v>
      </c>
      <c r="BB30" s="29" cm="1">
        <f t="array" ref="BB30">$G$11+VLOOKUP($R30,武学奇术!$A:$ZZ,10,FALSE)+SUM(_xlfn.XLOOKUP(S30:AL30,增益!$A:$A,增益!$J:$J,0))</f>
        <v>0</v>
      </c>
      <c r="BC30">
        <f t="shared" si="3"/>
        <v>0</v>
      </c>
      <c r="BD30">
        <f t="shared" si="4"/>
        <v>0</v>
      </c>
      <c r="BE30" s="29" cm="1">
        <f t="array" ref="BE30">IF($F$12-$I$4+VLOOKUP($R30,武学奇术!$A:$ZZ,11,FALSE)+SUM(_xlfn.XLOOKUP(S30:AL30,增益!$A:$A,增益!$K:$K,0))&gt;0,($F$12-$I$4+VLOOKUP($R30,武学奇术!$A:$ZZ,11,FALSE)+SUM(_xlfn.XLOOKUP(S30:AL30,增益!$A:$A,增益!$K:$K,0)))/200,($F$12-$I$4+VLOOKUP($R30,武学奇术!$A:$ZZ,11,FALSE)+SUM(_xlfn.XLOOKUP(S30:AL30,增益!$A:$A,增益!$K:$K,0)))/100)</f>
        <v>-0.3</v>
      </c>
      <c r="BF30" s="29" cm="1">
        <f t="array" ref="BF30">$G$12+VLOOKUP($R30,武学奇术!$A:$ZZ,12,FALSE)+SUM(_xlfn.XLOOKUP(S30:AL30,增益!$A:$A,增益!$L:$L,0))</f>
        <v>0</v>
      </c>
      <c r="BG30">
        <f t="shared" si="5"/>
        <v>0</v>
      </c>
      <c r="BH30">
        <f t="shared" si="6"/>
        <v>0</v>
      </c>
      <c r="BI30" s="29" cm="1">
        <f t="array" ref="BI30">IF($F$13-$I$4+VLOOKUP($R30,武学奇术!$A:$ZZ,13,FALSE)+SUM(_xlfn.XLOOKUP(S30:AL30,增益!$A:$A,增益!$M:$M,0))&gt;0,($F$13-$I$4+VLOOKUP($R30,武学奇术!$A:$ZZ,13,FALSE)+SUM(_xlfn.XLOOKUP(S30:AL30,增益!$A:$A,增益!$K:$K,0)))/200,($F$13-$I$4+VLOOKUP($R30,武学奇术!$A:$ZZ,13,FALSE)+SUM(_xlfn.XLOOKUP(S30:AL30,增益!$A:$A,增益!$M:$M,0)))/100)</f>
        <v>-0.3</v>
      </c>
      <c r="BJ30" s="29" cm="1">
        <f t="array" ref="BJ30">$G$13+VLOOKUP($R30,武学奇术!$A:$ZZ,14,FALSE)+SUM(_xlfn.XLOOKUP(S30:AL30,增益!$A:$A,增益!$N:$N,0))</f>
        <v>0</v>
      </c>
      <c r="BK30">
        <f t="shared" si="7"/>
        <v>618.2</v>
      </c>
      <c r="BL30">
        <f t="shared" si="8"/>
        <v>1805</v>
      </c>
      <c r="BM30" s="29" cm="1">
        <f t="array" ref="BM30">IF($F$14-$I$4+VLOOKUP($R30,武学奇术!$A:$ZZ,15,FALSE)+SUM(_xlfn.XLOOKUP(S30:AL30,增益!$A:$A,增益!$O:$O,0))&gt;0,($F$14-$I$4+VLOOKUP($R30,武学奇术!$A:$ZZ,15,FALSE)+SUM(_xlfn.XLOOKUP(S30:AL30,增益!$A:$A,增益!$O:$O,0)))/200,($F$14-$I$4+VLOOKUP($R30,武学奇术!$A:$ZZ,15,FALSE)+SUM(_xlfn.XLOOKUP(S30:AL30,增益!$A:$A,增益!$O:$O,0)))/100)</f>
        <v>0.05</v>
      </c>
      <c r="BN30" s="29" cm="1">
        <f t="array" ref="BN30">$G$14+VLOOKUP($R30,武学奇术!$A:$ZZ,16,FALSE)+SUM(_xlfn.XLOOKUP(S30:AL30,增益!$A:$A,增益!$P:$P,0))</f>
        <v>0.42</v>
      </c>
      <c r="BO30" s="23">
        <f>MIN(IF(VLOOKUP($R30,武学奇术!$A:$ZZ,23,FALSE)=1,100%,$B$8),100%)</f>
        <v>0.9943</v>
      </c>
      <c r="BP30" s="23" cm="1">
        <f t="array" ref="BP30">IF(VLOOKUP($R30,武学奇术!$A:$ZZ,23,FALSE)=1,100%,MIN(80%,$B$9+VLOOKUP($R30,武学奇术!$A:$ZZ,17,FALSE)+SUM(_xlfn.XLOOKUP(S30:AL30,增益!$A:$A,增益!$Q:$Q,0)))+$B$11+SUM(_xlfn.XLOOKUP(S30:AL30,增益!$A:$A,增益!$U:$U,0)))*IF(VLOOKUP($R30,武学奇术!$A:$ZZ,24,FALSE)=1,0,1)</f>
        <v>0.887</v>
      </c>
      <c r="BQ30" s="23" cm="1">
        <f t="array" ref="BQ30">1+$B$13+VLOOKUP($R30,武学奇术!$A:$ZZ,18,FALSE)+SUM(_xlfn.XLOOKUP(S30:AL30,增益!$A:$A,增益!$R:$R,0))</f>
        <v>2.334</v>
      </c>
      <c r="BR30" s="23" cm="1">
        <f t="array" ref="BR30">IF(VLOOKUP($R30,武学奇术!$A:$ZZ,24,FALSE)=1,100%,MIN(40%,$B$10+VLOOKUP($R30,武学奇术!$A:$ZZ,19,FALSE)+SUM(_xlfn.XLOOKUP(S30:AL30,增益!$A:$A,增益!$S:$S,0)))+$B$12+SUM(_xlfn.XLOOKUP(S30:AL30,增益!$A:$A,增益!$V:$V,0)))*IF(VLOOKUP($R30,武学奇术!$A:$ZZ,23,FALSE)=1,0,1)</f>
        <v>0.0913</v>
      </c>
      <c r="BS30" s="23" cm="1">
        <f t="array" ref="BS30">1+$B$14+VLOOKUP($R30,武学奇术!$A:$ZZ,20,FALSE)+SUM(_xlfn.XLOOKUP(S30:AL30,增益!$A:$A,增益!$T:$T,0))</f>
        <v>1.35</v>
      </c>
      <c r="BT30" s="23">
        <f t="shared" si="9"/>
        <v>0.8819441</v>
      </c>
      <c r="BU30" s="23">
        <f t="shared" si="10"/>
        <v>0.0215763099999999</v>
      </c>
      <c r="BV30" s="23">
        <f>IF(VLOOKUP($R30,武学奇术!$A:$ZZ,22,FALSE)=1,0,(1-$BO30))*(1-$BR30)</f>
        <v>0.00517959000000003</v>
      </c>
      <c r="BW30" s="23" cm="1">
        <f t="array" ref="BW30">SUM(_xlfn.XLOOKUP(S30:AL30,增益!$A:$A,增益!$W:$W,0))+$I$5</f>
        <v>0.11</v>
      </c>
      <c r="BX30" s="23">
        <f>VLOOKUP($R30,武学奇术!$A:$ZZ,32,FALSE)</f>
        <v>0</v>
      </c>
      <c r="BY30" s="23" cm="1">
        <f t="array" ref="BY30">SUM(_xlfn.XLOOKUP($S30:$AL30,增益!$A:$A,增益!$X:$X,0))</f>
        <v>0</v>
      </c>
    </row>
    <row r="31" spans="1:77">
      <c r="K31" s="35">
        <f>$L31*VLOOKUP($R31,武学奇术!$A:$ZZ,31,FALSE)</f>
        <v>70381.8631065137</v>
      </c>
      <c r="L31" s="58">
        <f t="shared" si="0"/>
        <v>62840.9492022444</v>
      </c>
      <c r="M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轻击",$B$21,0))*(1+IF(VLOOKUP($R31,武学奇术!$A:$ZZ,30,FALSE)="老鼠",$B$22,0))*(1+$BW31)*(1+$BX31)</f>
        <v>65373.4574837227</v>
      </c>
      <c r="N31" s="35">
        <f>(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轻击",$B$21,0))*(1+IF(VLOOKUP($R31,武学奇术!$A:$ZZ,30,FALSE)="老鼠",$B$22,0))*(1+$BW31))*(1+$BX31)</f>
        <v>47830.6239826442</v>
      </c>
      <c r="O31" s="35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轻击",$B$21,0))*(1+IF(VLOOKUP($R31,武学奇术!$A:$ZZ,30,FALSE)="老鼠",$B$22,0))*(1+$BW31)*(1+$BX31)</f>
        <v>31369.2214413257</v>
      </c>
      <c r="P31" s="35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轻击",$B$21,0))*(1+IF(VLOOKUP($R31,武学奇术!$A:$ZZ,30,FALSE)="老鼠",$B$22,0))*(1+$BW31)*(1+$BX31)</f>
        <v>27308.3510436556</v>
      </c>
      <c r="Q31" s="36">
        <v>1</v>
      </c>
      <c r="R31" s="37" t="s">
        <v>153</v>
      </c>
      <c r="S31" s="37" t="s">
        <v>91</v>
      </c>
      <c r="T31" s="37" t="s">
        <v>95</v>
      </c>
      <c r="U31" s="37" t="s">
        <v>112</v>
      </c>
      <c r="V31" s="37" t="s">
        <v>113</v>
      </c>
      <c r="W31" s="37" t="s">
        <v>82</v>
      </c>
      <c r="X31" s="37" t="s">
        <v>81</v>
      </c>
      <c r="Y31" s="37" t="s">
        <v>109</v>
      </c>
      <c r="Z31" s="37" t="s">
        <v>83</v>
      </c>
      <c r="AA31" s="37" t="s">
        <v>81</v>
      </c>
      <c r="AB31" s="37" t="s">
        <v>81</v>
      </c>
      <c r="AC31" s="37" t="s">
        <v>81</v>
      </c>
      <c r="AD31" s="37" t="s">
        <v>85</v>
      </c>
      <c r="AE31" s="37" t="s">
        <v>81</v>
      </c>
      <c r="AF31" s="37" t="s">
        <v>81</v>
      </c>
      <c r="AG31" s="37" t="s">
        <v>87</v>
      </c>
      <c r="AH31" s="37" t="s">
        <v>81</v>
      </c>
      <c r="AI31" s="37" t="s">
        <v>81</v>
      </c>
      <c r="AJ31" s="37" t="s">
        <v>81</v>
      </c>
      <c r="AK31" s="37" t="s">
        <v>81</v>
      </c>
      <c r="AL31" s="37" t="s">
        <v>81</v>
      </c>
      <c r="AM31" t="str">
        <f>VLOOKUP($R31,武学奇术!$A:$ZZ,25,FALSE)</f>
        <v>双刀</v>
      </c>
      <c r="AN31" s="23">
        <f>VLOOKUP($R31,武学奇术!$A:$ZZ,26,FALSE)</f>
        <v>1.7358</v>
      </c>
      <c r="AO31" s="24">
        <f>VLOOKUP($R31,武学奇术!$A:$ZZ,27,FALSE)*(1+IF(OR($AM31=$F$4,$AM31=$F$5),$B$23,0))</f>
        <v>769.6</v>
      </c>
      <c r="AP31" s="23">
        <f>VLOOKUP($R31,武学奇术!$A:$ZZ,28,FALSE)</f>
        <v>2.6037</v>
      </c>
      <c r="AQ31" s="24">
        <f>VLOOKUP($R31,武学奇术!$A:$ZZ,29,FALSE)*(1+IF(OR($AM31=$F$4,$AM31=$F$5),$B$23,0))</f>
        <v>419.2</v>
      </c>
      <c r="AR31" s="23" cm="1">
        <f t="array" ref="AR31">$G$3+IFERROR(VLOOKUP($AM31,$F$4:$G$7,2,FALSE),0)+VLOOKUP($R31,武学奇术!$A:$ZZ,2,FALSE)+SUM(_xlfn.XLOOKUP($S31:$AL31,增益!$A:$A,增益!$B:$B,0))</f>
        <v>0.6943</v>
      </c>
      <c r="AS31" s="23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4081.7</v>
      </c>
      <c r="AU31" cm="1">
        <f t="array" ref="AU31">$E$10*(1+$AS31)+VLOOKUP($R31,武学奇术!$A:$ZZ,4,FALSE)+SUM(_xlfn.XLOOKUP($S31:$AL31,增益!$A:$A,增益!$D:$D,0))-$I$2</f>
        <v>4081.7</v>
      </c>
      <c r="AV31" s="29" cm="1">
        <f t="array" ref="AV31">IF($F$10-$I$3+VLOOKUP($R31,武学奇术!$A:$ZZ,6,FALSE)+SUM(_xlfn.XLOOKUP(S31:AL31,增益!$A:$A,增益!$F:$F,0))&gt;0,($F$10-$I$3+VLOOKUP($R31,武学奇术!$A:$ZZ,6,FALSE)+SUM(_xlfn.XLOOKUP(S31:AL31,增益!$A:$A,增益!$F:$F,0)))/200,($F$10-$I$3+VLOOKUP($R31,武学奇术!$A:$ZZ,6,FALSE)+SUM(_xlfn.XLOOKUP(S31:AL31,增益!$A:$A,增益!$F:$F,0)))/100)</f>
        <v>0.2439</v>
      </c>
      <c r="AW31" s="29" cm="1">
        <f t="array" ref="AW31">$G$10+VLOOKUP($R31,武学奇术!$A:$ZZ,7,FALSE)+SUM(_xlfn.XLOOKUP(S31:AL31,增益!$A:$A,增益!$G:$G,0))</f>
        <v>0.06</v>
      </c>
      <c r="AX31" s="23" cm="1">
        <f t="array" ref="AX31">VLOOKUP($R31,武学奇术!$A:$ZZ,8,FALSE)+SUM(_xlfn.XLOOKUP(S31:AL31,增益!$A:$A,增益!$H:$H,0))</f>
        <v>0</v>
      </c>
      <c r="AY31">
        <f t="shared" si="1"/>
        <v>0</v>
      </c>
      <c r="AZ31">
        <f t="shared" si="2"/>
        <v>0</v>
      </c>
      <c r="BA31" s="29" cm="1">
        <f t="array" ref="BA31">IF($F$11-$I$4+VLOOKUP($R31,武学奇术!$A:$ZZ,9,FALSE)+SUM(_xlfn.XLOOKUP(S31:AL31,增益!$A:$A,增益!$I:$I,0))&gt;0,($F$11-$I$4+VLOOKUP($R31,武学奇术!$A:$ZZ,9,FALSE)+SUM(_xlfn.XLOOKUP(S31:AL31,增益!$A:$A,增益!$I:$I,0)))/200,($F$11-$I$4+VLOOKUP($R31,武学奇术!$A:$ZZ,9,FALSE)+SUM(_xlfn.XLOOKUP(S31:AL31,增益!$A:$A,增益!$I:$I,0)))/100)</f>
        <v>-0.3</v>
      </c>
      <c r="BB31" s="29" cm="1">
        <f t="array" ref="BB31">$G$11+VLOOKUP($R31,武学奇术!$A:$ZZ,10,FALSE)+SUM(_xlfn.XLOOKUP(S31:AL31,增益!$A:$A,增益!$J:$J,0))</f>
        <v>0</v>
      </c>
      <c r="BC31">
        <f t="shared" si="3"/>
        <v>0</v>
      </c>
      <c r="BD31">
        <f t="shared" si="4"/>
        <v>0</v>
      </c>
      <c r="BE31" s="29" cm="1">
        <f t="array" ref="BE31">IF($F$12-$I$4+VLOOKUP($R31,武学奇术!$A:$ZZ,11,FALSE)+SUM(_xlfn.XLOOKUP(S31:AL31,增益!$A:$A,增益!$K:$K,0))&gt;0,($F$12-$I$4+VLOOKUP($R31,武学奇术!$A:$ZZ,11,FALSE)+SUM(_xlfn.XLOOKUP(S31:AL31,增益!$A:$A,增益!$K:$K,0)))/200,($F$12-$I$4+VLOOKUP($R31,武学奇术!$A:$ZZ,11,FALSE)+SUM(_xlfn.XLOOKUP(S31:AL31,增益!$A:$A,增益!$K:$K,0)))/100)</f>
        <v>-0.3</v>
      </c>
      <c r="BF31" s="29" cm="1">
        <f t="array" ref="BF31">$G$12+VLOOKUP($R31,武学奇术!$A:$ZZ,12,FALSE)+SUM(_xlfn.XLOOKUP(S31:AL31,增益!$A:$A,增益!$L:$L,0))</f>
        <v>0</v>
      </c>
      <c r="BG31">
        <f t="shared" si="5"/>
        <v>0</v>
      </c>
      <c r="BH31">
        <f t="shared" si="6"/>
        <v>0</v>
      </c>
      <c r="BI31" s="29" cm="1">
        <f t="array" ref="BI31">IF($F$13-$I$4+VLOOKUP($R31,武学奇术!$A:$ZZ,13,FALSE)+SUM(_xlfn.XLOOKUP(S31:AL31,增益!$A:$A,增益!$M:$M,0))&gt;0,($F$13-$I$4+VLOOKUP($R31,武学奇术!$A:$ZZ,13,FALSE)+SUM(_xlfn.XLOOKUP(S31:AL31,增益!$A:$A,增益!$K:$K,0)))/200,($F$13-$I$4+VLOOKUP($R31,武学奇术!$A:$ZZ,13,FALSE)+SUM(_xlfn.XLOOKUP(S31:AL31,增益!$A:$A,增益!$M:$M,0)))/100)</f>
        <v>-0.3</v>
      </c>
      <c r="BJ31" s="29" cm="1">
        <f t="array" ref="BJ31">$G$13+VLOOKUP($R31,武学奇术!$A:$ZZ,14,FALSE)+SUM(_xlfn.XLOOKUP(S31:AL31,增益!$A:$A,增益!$N:$N,0))</f>
        <v>0</v>
      </c>
      <c r="BK31">
        <f t="shared" si="7"/>
        <v>618.2</v>
      </c>
      <c r="BL31">
        <f t="shared" si="8"/>
        <v>1805</v>
      </c>
      <c r="BM31" s="29" cm="1">
        <f t="array" ref="BM31">IF($F$14-$I$4+VLOOKUP($R31,武学奇术!$A:$ZZ,15,FALSE)+SUM(_xlfn.XLOOKUP(S31:AL31,增益!$A:$A,增益!$O:$O,0))&gt;0,($F$14-$I$4+VLOOKUP($R31,武学奇术!$A:$ZZ,15,FALSE)+SUM(_xlfn.XLOOKUP(S31:AL31,增益!$A:$A,增益!$O:$O,0)))/200,($F$14-$I$4+VLOOKUP($R31,武学奇术!$A:$ZZ,15,FALSE)+SUM(_xlfn.XLOOKUP(S31:AL31,增益!$A:$A,增益!$O:$O,0)))/100)</f>
        <v>0.05</v>
      </c>
      <c r="BN31" s="29" cm="1">
        <f t="array" ref="BN31">$G$14+VLOOKUP($R31,武学奇术!$A:$ZZ,16,FALSE)+SUM(_xlfn.XLOOKUP(S31:AL31,增益!$A:$A,增益!$P:$P,0))</f>
        <v>0.21</v>
      </c>
      <c r="BO31" s="23">
        <f>MIN(IF(VLOOKUP($R31,武学奇术!$A:$ZZ,23,FALSE)=1,100%,$B$8),100%)</f>
        <v>0.9943</v>
      </c>
      <c r="BP31" s="23" cm="1">
        <f t="array" ref="BP31">IF(VLOOKUP($R31,武学奇术!$A:$ZZ,23,FALSE)=1,100%,MIN(80%,$B$9+VLOOKUP($R31,武学奇术!$A:$ZZ,17,FALSE)+SUM(_xlfn.XLOOKUP(S31:AL31,增益!$A:$A,增益!$Q:$Q,0)))+$B$11+SUM(_xlfn.XLOOKUP(S31:AL31,增益!$A:$A,增益!$U:$U,0)))*IF(VLOOKUP($R31,武学奇术!$A:$ZZ,24,FALSE)=1,0,1)</f>
        <v>0.887</v>
      </c>
      <c r="BQ31" s="23" cm="1">
        <f t="array" ref="BQ31">1+$B$13+VLOOKUP($R31,武学奇术!$A:$ZZ,18,FALSE)+SUM(_xlfn.XLOOKUP(S31:AL31,增益!$A:$A,增益!$R:$R,0))</f>
        <v>2.084</v>
      </c>
      <c r="BR31" s="23" cm="1">
        <f t="array" ref="BR31">IF(VLOOKUP($R31,武学奇术!$A:$ZZ,24,FALSE)=1,100%,MIN(40%,$B$10+VLOOKUP($R31,武学奇术!$A:$ZZ,19,FALSE)+SUM(_xlfn.XLOOKUP(S31:AL31,增益!$A:$A,增益!$S:$S,0)))+$B$12+SUM(_xlfn.XLOOKUP(S31:AL31,增益!$A:$A,增益!$V:$V,0)))*IF(VLOOKUP($R31,武学奇术!$A:$ZZ,23,FALSE)=1,0,1)</f>
        <v>0.0913</v>
      </c>
      <c r="BS31" s="23" cm="1">
        <f t="array" ref="BS31">1+$B$14+VLOOKUP($R31,武学奇术!$A:$ZZ,20,FALSE)+SUM(_xlfn.XLOOKUP(S31:AL31,增益!$A:$A,增益!$T:$T,0))</f>
        <v>1.35</v>
      </c>
      <c r="BT31" s="23">
        <f t="shared" si="9"/>
        <v>0.8819441</v>
      </c>
      <c r="BU31" s="23">
        <f t="shared" si="10"/>
        <v>0.0215763099999999</v>
      </c>
      <c r="BV31" s="23">
        <f>IF(VLOOKUP($R31,武学奇术!$A:$ZZ,22,FALSE)=1,0,(1-$BO31))*(1-$BR31)</f>
        <v>0.00517959000000003</v>
      </c>
      <c r="BW31" s="23" cm="1">
        <f t="array" ref="BW31">SUM(_xlfn.XLOOKUP(S31:AL31,增益!$A:$A,增益!$W:$W,0))+$I$5</f>
        <v>0.11</v>
      </c>
      <c r="BX31" s="23">
        <f>VLOOKUP($R31,武学奇术!$A:$ZZ,32,FALSE)</f>
        <v>0.1</v>
      </c>
      <c r="BY31" s="23" cm="1">
        <f t="array" ref="BY31">SUM(_xlfn.XLOOKUP($S31:$AL31,增益!$A:$A,增益!$X:$X,0))</f>
        <v>0</v>
      </c>
    </row>
    <row r="32" spans="1:77">
      <c r="K32" s="35">
        <f>$L32*VLOOKUP($R32,武学奇术!$A:$ZZ,31,FALSE)</f>
        <v>50333.5207800458</v>
      </c>
      <c r="L32" s="69">
        <f t="shared" si="0"/>
        <v>49346.5890000449</v>
      </c>
      <c r="M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轻击",$B$21,0))*(1+IF(VLOOKUP($R32,武学奇术!$A:$ZZ,30,FALSE)="老鼠",$B$22,0))*(1+$BW32)*(1+$BX32)</f>
        <v>51288.5207082525</v>
      </c>
      <c r="N32" s="35">
        <f>(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轻击",$B$21,0))*(1+IF(VLOOKUP($R32,武学奇术!$A:$ZZ,30,FALSE)="老鼠",$B$22,0))*(1+$BW32))*(1+$BX32)</f>
        <v>38039.1546740632</v>
      </c>
      <c r="O32" s="35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轻击",$B$21,0))*(1+IF(VLOOKUP($R32,武学奇术!$A:$ZZ,30,FALSE)="老鼠",$B$22,0))*(1+$BW32)*(1+$BX32)</f>
        <v>24610.6145433073</v>
      </c>
      <c r="P32" s="35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轻击",$B$21,0))*(1+IF(VLOOKUP($R32,武学奇术!$A:$ZZ,30,FALSE)="老鼠",$B$22,0))*(1+$BW32)*(1+$BX32)</f>
        <v>21044.0774761975</v>
      </c>
      <c r="Q32" s="70">
        <v>2</v>
      </c>
      <c r="R32" s="37" t="s">
        <v>106</v>
      </c>
      <c r="S32" s="37" t="s">
        <v>91</v>
      </c>
      <c r="T32" s="37" t="s">
        <v>95</v>
      </c>
      <c r="U32" s="37" t="s">
        <v>112</v>
      </c>
      <c r="V32" s="37" t="s">
        <v>113</v>
      </c>
      <c r="W32" s="37" t="s">
        <v>82</v>
      </c>
      <c r="X32" s="37" t="s">
        <v>81</v>
      </c>
      <c r="Y32" s="37" t="s">
        <v>109</v>
      </c>
      <c r="Z32" s="37" t="s">
        <v>83</v>
      </c>
      <c r="AA32" s="37" t="s">
        <v>81</v>
      </c>
      <c r="AB32" s="37" t="s">
        <v>81</v>
      </c>
      <c r="AC32" s="37" t="s">
        <v>81</v>
      </c>
      <c r="AD32" s="37" t="s">
        <v>85</v>
      </c>
      <c r="AE32" s="37" t="s">
        <v>81</v>
      </c>
      <c r="AF32" s="37" t="s">
        <v>81</v>
      </c>
      <c r="AG32" s="37" t="s">
        <v>87</v>
      </c>
      <c r="AH32" s="37" t="s">
        <v>81</v>
      </c>
      <c r="AI32" s="37" t="s">
        <v>81</v>
      </c>
      <c r="AJ32" s="37" t="s">
        <v>81</v>
      </c>
      <c r="AK32" s="37" t="s">
        <v>81</v>
      </c>
      <c r="AL32" s="37" t="s">
        <v>81</v>
      </c>
      <c r="AM32" t="str">
        <f>VLOOKUP($R32,武学奇术!$A:$ZZ,25,FALSE)</f>
        <v>绳镖</v>
      </c>
      <c r="AN32" s="23">
        <f>VLOOKUP($R32,武学奇术!$A:$ZZ,26,FALSE)</f>
        <v>0.3675</v>
      </c>
      <c r="AO32" s="24">
        <f>VLOOKUP($R32,武学奇术!$A:$ZZ,27,FALSE)*(1+IF(OR($AM32=$F$4,$AM32=$F$5),$B$23,0))</f>
        <v>0</v>
      </c>
      <c r="AP32" s="23">
        <f>VLOOKUP($R32,武学奇术!$A:$ZZ,28,FALSE)</f>
        <v>0.55125</v>
      </c>
      <c r="AQ32" s="24">
        <f>VLOOKUP($R32,武学奇术!$A:$ZZ,29,FALSE)*(1+IF(OR($AM32=$F$4,$AM32=$F$5),$B$23,0))</f>
        <v>0</v>
      </c>
      <c r="AR32" s="23" cm="1">
        <f t="array" ref="AR32">$G$3+IFERROR(VLOOKUP($AM32,$F$4:$G$7,2,FALSE),0)+VLOOKUP($R32,武学奇术!$A:$ZZ,2,FALSE)+SUM(_xlfn.XLOOKUP($S32:$AL32,增益!$A:$A,增益!$B:$B,0))</f>
        <v>1.4943</v>
      </c>
      <c r="AS32" s="23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4081.7</v>
      </c>
      <c r="AU32" cm="1">
        <f t="array" ref="AU32">$E$10*(1+$AS32)+VLOOKUP($R32,武学奇术!$A:$ZZ,4,FALSE)+SUM(_xlfn.XLOOKUP($S32:$AL32,增益!$A:$A,增益!$D:$D,0))-$I$2</f>
        <v>4081.7</v>
      </c>
      <c r="AV32" s="29" cm="1">
        <f t="array" ref="AV32">IF($F$10-$I$3+VLOOKUP($R32,武学奇术!$A:$ZZ,6,FALSE)+SUM(_xlfn.XLOOKUP(S32:AL32,增益!$A:$A,增益!$F:$F,0))&gt;0,($F$10-$I$3+VLOOKUP($R32,武学奇术!$A:$ZZ,6,FALSE)+SUM(_xlfn.XLOOKUP(S32:AL32,增益!$A:$A,增益!$F:$F,0)))/200,($F$10-$I$3+VLOOKUP($R32,武学奇术!$A:$ZZ,6,FALSE)+SUM(_xlfn.XLOOKUP(S32:AL32,增益!$A:$A,增益!$F:$F,0)))/100)</f>
        <v>0.2439</v>
      </c>
      <c r="AW32" s="29" cm="1">
        <f t="array" ref="AW32">$G$10+VLOOKUP($R32,武学奇术!$A:$ZZ,7,FALSE)+SUM(_xlfn.XLOOKUP(S32:AL32,增益!$A:$A,增益!$G:$G,0))</f>
        <v>0.27</v>
      </c>
      <c r="AX32" s="23" cm="1">
        <f t="array" ref="AX32">VLOOKUP($R32,武学奇术!$A:$ZZ,8,FALSE)+SUM(_xlfn.XLOOKUP(S32:AL32,增益!$A:$A,增益!$H:$H,0))</f>
        <v>0</v>
      </c>
      <c r="AY32">
        <f t="shared" si="1"/>
        <v>0</v>
      </c>
      <c r="AZ32">
        <f t="shared" si="2"/>
        <v>0</v>
      </c>
      <c r="BA32" s="29" cm="1">
        <f t="array" ref="BA32">IF($F$11-$I$4+VLOOKUP($R32,武学奇术!$A:$ZZ,9,FALSE)+SUM(_xlfn.XLOOKUP(S32:AL32,增益!$A:$A,增益!$I:$I,0))&gt;0,($F$11-$I$4+VLOOKUP($R32,武学奇术!$A:$ZZ,9,FALSE)+SUM(_xlfn.XLOOKUP(S32:AL32,增益!$A:$A,增益!$I:$I,0)))/200,($F$11-$I$4+VLOOKUP($R32,武学奇术!$A:$ZZ,9,FALSE)+SUM(_xlfn.XLOOKUP(S32:AL32,增益!$A:$A,增益!$I:$I,0)))/100)</f>
        <v>-0.3</v>
      </c>
      <c r="BB32" s="29" cm="1">
        <f t="array" ref="BB32">$G$11+VLOOKUP($R32,武学奇术!$A:$ZZ,10,FALSE)+SUM(_xlfn.XLOOKUP(S32:AL32,增益!$A:$A,增益!$J:$J,0))</f>
        <v>0</v>
      </c>
      <c r="BC32">
        <f t="shared" si="3"/>
        <v>0</v>
      </c>
      <c r="BD32">
        <f t="shared" si="4"/>
        <v>0</v>
      </c>
      <c r="BE32" s="29" cm="1">
        <f t="array" ref="BE32">IF($F$12-$I$4+VLOOKUP($R32,武学奇术!$A:$ZZ,11,FALSE)+SUM(_xlfn.XLOOKUP(S32:AL32,增益!$A:$A,增益!$K:$K,0))&gt;0,($F$12-$I$4+VLOOKUP($R32,武学奇术!$A:$ZZ,11,FALSE)+SUM(_xlfn.XLOOKUP(S32:AL32,增益!$A:$A,增益!$K:$K,0)))/200,($F$12-$I$4+VLOOKUP($R32,武学奇术!$A:$ZZ,11,FALSE)+SUM(_xlfn.XLOOKUP(S32:AL32,增益!$A:$A,增益!$K:$K,0)))/100)</f>
        <v>-0.3</v>
      </c>
      <c r="BF32" s="29" cm="1">
        <f t="array" ref="BF32">$G$12+VLOOKUP($R32,武学奇术!$A:$ZZ,12,FALSE)+SUM(_xlfn.XLOOKUP(S32:AL32,增益!$A:$A,增益!$L:$L,0))</f>
        <v>0</v>
      </c>
      <c r="BG32">
        <f t="shared" si="5"/>
        <v>0</v>
      </c>
      <c r="BH32">
        <f t="shared" si="6"/>
        <v>0</v>
      </c>
      <c r="BI32" s="29" cm="1">
        <f t="array" ref="BI32">IF($F$13-$I$4+VLOOKUP($R32,武学奇术!$A:$ZZ,13,FALSE)+SUM(_xlfn.XLOOKUP(S32:AL32,增益!$A:$A,增益!$M:$M,0))&gt;0,($F$13-$I$4+VLOOKUP($R32,武学奇术!$A:$ZZ,13,FALSE)+SUM(_xlfn.XLOOKUP(S32:AL32,增益!$A:$A,增益!$K:$K,0)))/200,($F$13-$I$4+VLOOKUP($R32,武学奇术!$A:$ZZ,13,FALSE)+SUM(_xlfn.XLOOKUP(S32:AL32,增益!$A:$A,增益!$M:$M,0)))/100)</f>
        <v>-0.3</v>
      </c>
      <c r="BJ32" s="29" cm="1">
        <f t="array" ref="BJ32">$G$13+VLOOKUP($R32,武学奇术!$A:$ZZ,14,FALSE)+SUM(_xlfn.XLOOKUP(S32:AL32,增益!$A:$A,增益!$N:$N,0))</f>
        <v>0</v>
      </c>
      <c r="BK32">
        <f t="shared" si="7"/>
        <v>618.2</v>
      </c>
      <c r="BL32">
        <f t="shared" si="8"/>
        <v>1805</v>
      </c>
      <c r="BM32" s="29" cm="1">
        <f t="array" ref="BM32">IF($F$14-$I$4+VLOOKUP($R32,武学奇术!$A:$ZZ,15,FALSE)+SUM(_xlfn.XLOOKUP(S32:AL32,增益!$A:$A,增益!$O:$O,0))&gt;0,($F$14-$I$4+VLOOKUP($R32,武学奇术!$A:$ZZ,15,FALSE)+SUM(_xlfn.XLOOKUP(S32:AL32,增益!$A:$A,增益!$O:$O,0)))/200,($F$14-$I$4+VLOOKUP($R32,武学奇术!$A:$ZZ,15,FALSE)+SUM(_xlfn.XLOOKUP(S32:AL32,增益!$A:$A,增益!$O:$O,0)))/100)</f>
        <v>0.05</v>
      </c>
      <c r="BN32" s="29" cm="1">
        <f t="array" ref="BN32">$G$14+VLOOKUP($R32,武学奇术!$A:$ZZ,16,FALSE)+SUM(_xlfn.XLOOKUP(S32:AL32,增益!$A:$A,增益!$P:$P,0))</f>
        <v>0.42</v>
      </c>
      <c r="BO32" s="23">
        <f>MIN(IF(VLOOKUP($R32,武学奇术!$A:$ZZ,23,FALSE)=1,100%,$B$8),100%)</f>
        <v>0.9943</v>
      </c>
      <c r="BP32" s="23" cm="1">
        <f t="array" ref="BP32">IF(VLOOKUP($R32,武学奇术!$A:$ZZ,23,FALSE)=1,100%,MIN(80%,$B$9+VLOOKUP($R32,武学奇术!$A:$ZZ,17,FALSE)+SUM(_xlfn.XLOOKUP(S32:AL32,增益!$A:$A,增益!$Q:$Q,0)))+$B$11+SUM(_xlfn.XLOOKUP(S32:AL32,增益!$A:$A,增益!$U:$U,0)))*IF(VLOOKUP($R32,武学奇术!$A:$ZZ,24,FALSE)=1,0,1)</f>
        <v>0.887</v>
      </c>
      <c r="BQ32" s="23" cm="1">
        <f t="array" ref="BQ32">1+$B$13+VLOOKUP($R32,武学奇术!$A:$ZZ,18,FALSE)+SUM(_xlfn.XLOOKUP(S32:AL32,增益!$A:$A,增益!$R:$R,0))</f>
        <v>2.084</v>
      </c>
      <c r="BR32" s="23" cm="1">
        <f t="array" ref="BR32">IF(VLOOKUP($R32,武学奇术!$A:$ZZ,24,FALSE)=1,100%,MIN(40%,$B$10+VLOOKUP($R32,武学奇术!$A:$ZZ,19,FALSE)+SUM(_xlfn.XLOOKUP(S32:AL32,增益!$A:$A,增益!$S:$S,0)))+$B$12+SUM(_xlfn.XLOOKUP(S32:AL32,增益!$A:$A,增益!$V:$V,0)))*IF(VLOOKUP($R32,武学奇术!$A:$ZZ,23,FALSE)=1,0,1)</f>
        <v>0.0913</v>
      </c>
      <c r="BS32" s="23" cm="1">
        <f t="array" ref="BS32">1+$B$14+VLOOKUP($R32,武学奇术!$A:$ZZ,20,FALSE)+SUM(_xlfn.XLOOKUP(S32:AL32,增益!$A:$A,增益!$T:$T,0))</f>
        <v>1.35</v>
      </c>
      <c r="BT32" s="23">
        <f t="shared" si="9"/>
        <v>0.8819441</v>
      </c>
      <c r="BU32" s="23">
        <f t="shared" si="10"/>
        <v>0.0215763099999999</v>
      </c>
      <c r="BV32" s="23">
        <f>IF(VLOOKUP($R32,武学奇术!$A:$ZZ,22,FALSE)=1,0,(1-$BO32))*(1-$BR32)</f>
        <v>0.00517959000000003</v>
      </c>
      <c r="BW32" s="23" cm="1">
        <f t="array" ref="BW32">SUM(_xlfn.XLOOKUP(S32:AL32,增益!$A:$A,增益!$W:$W,0))+$I$5</f>
        <v>0.11</v>
      </c>
      <c r="BX32" s="23">
        <f>VLOOKUP($R32,武学奇术!$A:$ZZ,32,FALSE)</f>
        <v>0</v>
      </c>
      <c r="BY32" s="23" cm="1">
        <f t="array" ref="BY32">SUM(_xlfn.XLOOKUP($S32:$AL32,增益!$A:$A,增益!$X:$X,0))</f>
        <v>0</v>
      </c>
    </row>
    <row r="33" spans="2:77">
      <c r="K33" s="35">
        <f>$L33*VLOOKUP($R33,武学奇术!$A:$ZZ,31,FALSE)</f>
        <v>103196.865949985</v>
      </c>
      <c r="L33" s="58">
        <f t="shared" si="0"/>
        <v>92140.0588839152</v>
      </c>
      <c r="M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轻击",$B$21,0))*(1+IF(VLOOKUP($R33,武学奇术!$A:$ZZ,30,FALSE)="老鼠",$B$22,0))*(1+$BW33)*(1+$BX33)</f>
        <v>95891.0614400049</v>
      </c>
      <c r="N33" s="35">
        <f>(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轻击",$B$21,0))*(1+IF(VLOOKUP($R33,武学奇术!$A:$ZZ,30,FALSE)="老鼠",$B$22,0))*(1+$BW33))*(1+$BX33)</f>
        <v>69824.4351187623</v>
      </c>
      <c r="O33" s="35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轻击",$B$21,0))*(1+IF(VLOOKUP($R33,武学奇术!$A:$ZZ,30,FALSE)="老鼠",$B$22,0))*(1+$BW33)*(1+$BX33)</f>
        <v>45793.2480611294</v>
      </c>
      <c r="P33" s="35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轻击",$B$21,0))*(1+IF(VLOOKUP($R33,武学奇术!$A:$ZZ,30,FALSE)="老鼠",$B$22,0))*(1+$BW33)*(1+$BX33)</f>
        <v>39864.692330583</v>
      </c>
      <c r="Q33" s="36">
        <v>1</v>
      </c>
      <c r="R33" s="37" t="s">
        <v>158</v>
      </c>
      <c r="S33" s="37" t="s">
        <v>91</v>
      </c>
      <c r="T33" s="37" t="s">
        <v>168</v>
      </c>
      <c r="U33" s="37" t="s">
        <v>112</v>
      </c>
      <c r="V33" s="37" t="s">
        <v>113</v>
      </c>
      <c r="W33" s="37" t="s">
        <v>82</v>
      </c>
      <c r="X33" s="37" t="s">
        <v>81</v>
      </c>
      <c r="Y33" s="37" t="s">
        <v>109</v>
      </c>
      <c r="Z33" s="37" t="s">
        <v>83</v>
      </c>
      <c r="AA33" s="37" t="s">
        <v>81</v>
      </c>
      <c r="AB33" s="37" t="s">
        <v>81</v>
      </c>
      <c r="AC33" s="37" t="s">
        <v>81</v>
      </c>
      <c r="AD33" s="37" t="s">
        <v>85</v>
      </c>
      <c r="AE33" s="37" t="s">
        <v>81</v>
      </c>
      <c r="AF33" s="37" t="s">
        <v>81</v>
      </c>
      <c r="AG33" s="37" t="s">
        <v>87</v>
      </c>
      <c r="AH33" s="37" t="s">
        <v>81</v>
      </c>
      <c r="AI33" s="37" t="s">
        <v>81</v>
      </c>
      <c r="AJ33" s="37" t="s">
        <v>81</v>
      </c>
      <c r="AK33" s="37" t="s">
        <v>81</v>
      </c>
      <c r="AL33" s="37" t="s">
        <v>81</v>
      </c>
      <c r="AM33" t="str">
        <f>VLOOKUP($R33,武学奇术!$A:$ZZ,25,FALSE)</f>
        <v>双刀</v>
      </c>
      <c r="AN33" s="23">
        <f>VLOOKUP($R33,武学奇术!$A:$ZZ,26,FALSE)</f>
        <v>2.5342</v>
      </c>
      <c r="AO33" s="24">
        <f>VLOOKUP($R33,武学奇术!$A:$ZZ,27,FALSE)*(1+IF(OR($AM33=$F$4,$AM33=$F$5),$B$23,0))</f>
        <v>1123.2</v>
      </c>
      <c r="AP33" s="23">
        <f>VLOOKUP($R33,武学奇术!$A:$ZZ,28,FALSE)</f>
        <v>3.8012</v>
      </c>
      <c r="AQ33" s="24">
        <f>VLOOKUP($R33,武学奇术!$A:$ZZ,29,FALSE)*(1+IF(OR($AM33=$F$4,$AM33=$F$5),$B$23,0))</f>
        <v>611.2</v>
      </c>
      <c r="AR33" s="23" cm="1">
        <f t="array" ref="AR33">$G$3+IFERROR(VLOOKUP($AM33,$F$4:$G$7,2,FALSE),0)+VLOOKUP($R33,武学奇术!$A:$ZZ,2,FALSE)+SUM(_xlfn.XLOOKUP($S33:$AL33,增益!$A:$A,增益!$B:$B,0))</f>
        <v>0.6943</v>
      </c>
      <c r="AS33" s="23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4081.7</v>
      </c>
      <c r="AU33" cm="1">
        <f t="array" ref="AU33">$E$10*(1+$AS33)+VLOOKUP($R33,武学奇术!$A:$ZZ,4,FALSE)+SUM(_xlfn.XLOOKUP($S33:$AL33,增益!$A:$A,增益!$D:$D,0))-$I$2</f>
        <v>4081.7</v>
      </c>
      <c r="AV33" s="29" cm="1">
        <f t="array" ref="AV33">IF($F$10-$I$3+VLOOKUP($R33,武学奇术!$A:$ZZ,6,FALSE)+SUM(_xlfn.XLOOKUP(S33:AL33,增益!$A:$A,增益!$F:$F,0))&gt;0,($F$10-$I$3+VLOOKUP($R33,武学奇术!$A:$ZZ,6,FALSE)+SUM(_xlfn.XLOOKUP(S33:AL33,增益!$A:$A,增益!$F:$F,0)))/200,($F$10-$I$3+VLOOKUP($R33,武学奇术!$A:$ZZ,6,FALSE)+SUM(_xlfn.XLOOKUP(S33:AL33,增益!$A:$A,增益!$F:$F,0)))/100)</f>
        <v>0.2439</v>
      </c>
      <c r="AW33" s="29" cm="1">
        <f t="array" ref="AW33">$G$10+VLOOKUP($R33,武学奇术!$A:$ZZ,7,FALSE)+SUM(_xlfn.XLOOKUP(S33:AL33,增益!$A:$A,增益!$G:$G,0))</f>
        <v>0.06</v>
      </c>
      <c r="AX33" s="23" cm="1">
        <f t="array" ref="AX33">VLOOKUP($R33,武学奇术!$A:$ZZ,8,FALSE)+SUM(_xlfn.XLOOKUP(S33:AL33,增益!$A:$A,增益!$H:$H,0))</f>
        <v>0</v>
      </c>
      <c r="AY33">
        <f t="shared" si="1"/>
        <v>0</v>
      </c>
      <c r="AZ33">
        <f t="shared" si="2"/>
        <v>0</v>
      </c>
      <c r="BA33" s="29" cm="1">
        <f t="array" ref="BA33">IF($F$11-$I$4+VLOOKUP($R33,武学奇术!$A:$ZZ,9,FALSE)+SUM(_xlfn.XLOOKUP(S33:AL33,增益!$A:$A,增益!$I:$I,0))&gt;0,($F$11-$I$4+VLOOKUP($R33,武学奇术!$A:$ZZ,9,FALSE)+SUM(_xlfn.XLOOKUP(S33:AL33,增益!$A:$A,增益!$I:$I,0)))/200,($F$11-$I$4+VLOOKUP($R33,武学奇术!$A:$ZZ,9,FALSE)+SUM(_xlfn.XLOOKUP(S33:AL33,增益!$A:$A,增益!$I:$I,0)))/100)</f>
        <v>-0.3</v>
      </c>
      <c r="BB33" s="29" cm="1">
        <f t="array" ref="BB33">$G$11+VLOOKUP($R33,武学奇术!$A:$ZZ,10,FALSE)+SUM(_xlfn.XLOOKUP(S33:AL33,增益!$A:$A,增益!$J:$J,0))</f>
        <v>0</v>
      </c>
      <c r="BC33">
        <f t="shared" si="3"/>
        <v>0</v>
      </c>
      <c r="BD33">
        <f t="shared" si="4"/>
        <v>0</v>
      </c>
      <c r="BE33" s="29" cm="1">
        <f t="array" ref="BE33">IF($F$12-$I$4+VLOOKUP($R33,武学奇术!$A:$ZZ,11,FALSE)+SUM(_xlfn.XLOOKUP(S33:AL33,增益!$A:$A,增益!$K:$K,0))&gt;0,($F$12-$I$4+VLOOKUP($R33,武学奇术!$A:$ZZ,11,FALSE)+SUM(_xlfn.XLOOKUP(S33:AL33,增益!$A:$A,增益!$K:$K,0)))/200,($F$12-$I$4+VLOOKUP($R33,武学奇术!$A:$ZZ,11,FALSE)+SUM(_xlfn.XLOOKUP(S33:AL33,增益!$A:$A,增益!$K:$K,0)))/100)</f>
        <v>-0.3</v>
      </c>
      <c r="BF33" s="29" cm="1">
        <f t="array" ref="BF33">$G$12+VLOOKUP($R33,武学奇术!$A:$ZZ,12,FALSE)+SUM(_xlfn.XLOOKUP(S33:AL33,增益!$A:$A,增益!$L:$L,0))</f>
        <v>0</v>
      </c>
      <c r="BG33">
        <f t="shared" si="5"/>
        <v>0</v>
      </c>
      <c r="BH33">
        <f t="shared" si="6"/>
        <v>0</v>
      </c>
      <c r="BI33" s="29" cm="1">
        <f t="array" ref="BI33">IF($F$13-$I$4+VLOOKUP($R33,武学奇术!$A:$ZZ,13,FALSE)+SUM(_xlfn.XLOOKUP(S33:AL33,增益!$A:$A,增益!$M:$M,0))&gt;0,($F$13-$I$4+VLOOKUP($R33,武学奇术!$A:$ZZ,13,FALSE)+SUM(_xlfn.XLOOKUP(S33:AL33,增益!$A:$A,增益!$K:$K,0)))/200,($F$13-$I$4+VLOOKUP($R33,武学奇术!$A:$ZZ,13,FALSE)+SUM(_xlfn.XLOOKUP(S33:AL33,增益!$A:$A,增益!$M:$M,0)))/100)</f>
        <v>-0.3</v>
      </c>
      <c r="BJ33" s="29" cm="1">
        <f t="array" ref="BJ33">$G$13+VLOOKUP($R33,武学奇术!$A:$ZZ,14,FALSE)+SUM(_xlfn.XLOOKUP(S33:AL33,增益!$A:$A,增益!$N:$N,0))</f>
        <v>0</v>
      </c>
      <c r="BK33">
        <f t="shared" si="7"/>
        <v>618.2</v>
      </c>
      <c r="BL33">
        <f t="shared" si="8"/>
        <v>1805</v>
      </c>
      <c r="BM33" s="29" cm="1">
        <f t="array" ref="BM33">IF($F$14-$I$4+VLOOKUP($R33,武学奇术!$A:$ZZ,15,FALSE)+SUM(_xlfn.XLOOKUP(S33:AL33,增益!$A:$A,增益!$O:$O,0))&gt;0,($F$14-$I$4+VLOOKUP($R33,武学奇术!$A:$ZZ,15,FALSE)+SUM(_xlfn.XLOOKUP(S33:AL33,增益!$A:$A,增益!$O:$O,0)))/200,($F$14-$I$4+VLOOKUP($R33,武学奇术!$A:$ZZ,15,FALSE)+SUM(_xlfn.XLOOKUP(S33:AL33,增益!$A:$A,增益!$O:$O,0)))/100)</f>
        <v>0.05</v>
      </c>
      <c r="BN33" s="29" cm="1">
        <f t="array" ref="BN33">$G$14+VLOOKUP($R33,武学奇术!$A:$ZZ,16,FALSE)+SUM(_xlfn.XLOOKUP(S33:AL33,增益!$A:$A,增益!$P:$P,0))</f>
        <v>0.21</v>
      </c>
      <c r="BO33" s="23">
        <f>MIN(IF(VLOOKUP($R33,武学奇术!$A:$ZZ,23,FALSE)=1,100%,$B$8),100%)</f>
        <v>0.9943</v>
      </c>
      <c r="BP33" s="23" cm="1">
        <f t="array" ref="BP33">IF(VLOOKUP($R33,武学奇术!$A:$ZZ,23,FALSE)=1,100%,MIN(80%,$B$9+VLOOKUP($R33,武学奇术!$A:$ZZ,17,FALSE)+SUM(_xlfn.XLOOKUP(S33:AL33,增益!$A:$A,增益!$Q:$Q,0)))+$B$11+SUM(_xlfn.XLOOKUP(S33:AL33,增益!$A:$A,增益!$U:$U,0)))*IF(VLOOKUP($R33,武学奇术!$A:$ZZ,24,FALSE)=1,0,1)</f>
        <v>0.887</v>
      </c>
      <c r="BQ33" s="23" cm="1">
        <f t="array" ref="BQ33">1+$B$13+VLOOKUP($R33,武学奇术!$A:$ZZ,18,FALSE)+SUM(_xlfn.XLOOKUP(S33:AL33,增益!$A:$A,增益!$R:$R,0))</f>
        <v>2.094</v>
      </c>
      <c r="BR33" s="23" cm="1">
        <f t="array" ref="BR33">IF(VLOOKUP($R33,武学奇术!$A:$ZZ,24,FALSE)=1,100%,MIN(40%,$B$10+VLOOKUP($R33,武学奇术!$A:$ZZ,19,FALSE)+SUM(_xlfn.XLOOKUP(S33:AL33,增益!$A:$A,增益!$S:$S,0)))+$B$12+SUM(_xlfn.XLOOKUP(S33:AL33,增益!$A:$A,增益!$V:$V,0)))*IF(VLOOKUP($R33,武学奇术!$A:$ZZ,23,FALSE)=1,0,1)</f>
        <v>0.0913</v>
      </c>
      <c r="BS33" s="23" cm="1">
        <f t="array" ref="BS33">1+$B$14+VLOOKUP($R33,武学奇术!$A:$ZZ,20,FALSE)+SUM(_xlfn.XLOOKUP(S33:AL33,增益!$A:$A,增益!$T:$T,0))</f>
        <v>1.35</v>
      </c>
      <c r="BT33" s="23">
        <f t="shared" si="9"/>
        <v>0.8819441</v>
      </c>
      <c r="BU33" s="23">
        <f t="shared" si="10"/>
        <v>0.0215763099999999</v>
      </c>
      <c r="BV33" s="23">
        <f>IF(VLOOKUP($R33,武学奇术!$A:$ZZ,22,FALSE)=1,0,(1-$BO33))*(1-$BR33)</f>
        <v>0.00517959000000003</v>
      </c>
      <c r="BW33" s="23" cm="1">
        <f t="array" ref="BW33">SUM(_xlfn.XLOOKUP(S33:AL33,增益!$A:$A,增益!$W:$W,0))+$I$5</f>
        <v>0.11</v>
      </c>
      <c r="BX33" s="23">
        <f>VLOOKUP($R33,武学奇术!$A:$ZZ,32,FALSE)</f>
        <v>0.1</v>
      </c>
      <c r="BY33" s="23" cm="1">
        <f t="array" ref="BY33">SUM(_xlfn.XLOOKUP($S33:$AL33,增益!$A:$A,增益!$X:$X,0))</f>
        <v>0</v>
      </c>
    </row>
    <row r="34" spans="2:77">
      <c r="K34" s="35">
        <f>$L34*VLOOKUP($R34,武学奇术!$A:$ZZ,31,FALSE)</f>
        <v>39116.88740386</v>
      </c>
      <c r="L34" s="58">
        <f t="shared" si="0"/>
        <v>38349.8896116274</v>
      </c>
      <c r="M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轻击",$B$21,0))*(1+IF(VLOOKUP($R34,武学奇术!$A:$ZZ,30,FALSE)="老鼠",$B$22,0))*(1+$BW34)*(1+$BX34)</f>
        <v>39916.5733270049</v>
      </c>
      <c r="N34" s="35">
        <f>(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轻击",$B$21,0))*(1+IF(VLOOKUP($R34,武学奇术!$A:$ZZ,30,FALSE)="老鼠",$B$22,0))*(1+$BW34))*(1+$BX34)</f>
        <v>29005.7494193709</v>
      </c>
      <c r="O34" s="35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轻击",$B$21,0))*(1+IF(VLOOKUP($R34,武学奇术!$A:$ZZ,30,FALSE)="老鼠",$B$22,0))*(1+$BW34)*(1+$BX34)</f>
        <v>19062.3559345773</v>
      </c>
      <c r="P34" s="35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轻击",$B$21,0))*(1+IF(VLOOKUP($R34,武学奇术!$A:$ZZ,30,FALSE)="老鼠",$B$22,0))*(1+$BW34)*(1+$BX34)</f>
        <v>16638.9715585096</v>
      </c>
      <c r="Q34" s="36">
        <v>1</v>
      </c>
      <c r="R34" s="37" t="s">
        <v>160</v>
      </c>
      <c r="S34" s="37" t="s">
        <v>91</v>
      </c>
      <c r="T34" s="37" t="s">
        <v>168</v>
      </c>
      <c r="U34" s="37" t="s">
        <v>81</v>
      </c>
      <c r="V34" s="37" t="s">
        <v>81</v>
      </c>
      <c r="W34" s="37" t="s">
        <v>82</v>
      </c>
      <c r="X34" s="37" t="s">
        <v>81</v>
      </c>
      <c r="Y34" s="37" t="s">
        <v>81</v>
      </c>
      <c r="Z34" s="37" t="s">
        <v>83</v>
      </c>
      <c r="AA34" s="37" t="s">
        <v>81</v>
      </c>
      <c r="AB34" s="37" t="s">
        <v>81</v>
      </c>
      <c r="AC34" s="37" t="s">
        <v>81</v>
      </c>
      <c r="AD34" s="37" t="s">
        <v>85</v>
      </c>
      <c r="AE34" s="37" t="s">
        <v>81</v>
      </c>
      <c r="AF34" s="37" t="s">
        <v>81</v>
      </c>
      <c r="AG34" s="37" t="s">
        <v>87</v>
      </c>
      <c r="AH34" s="37" t="s">
        <v>81</v>
      </c>
      <c r="AI34" s="37" t="s">
        <v>81</v>
      </c>
      <c r="AJ34" s="37" t="s">
        <v>81</v>
      </c>
      <c r="AK34" s="37" t="s">
        <v>81</v>
      </c>
      <c r="AL34" s="37" t="s">
        <v>81</v>
      </c>
      <c r="AM34" t="str">
        <f>VLOOKUP($R34,武学奇术!$A:$ZZ,25,FALSE)</f>
        <v>双刀</v>
      </c>
      <c r="AN34" s="23">
        <f>VLOOKUP($R34,武学奇术!$A:$ZZ,26,FALSE)</f>
        <v>1.3548</v>
      </c>
      <c r="AO34" s="24">
        <f>VLOOKUP($R34,武学奇术!$A:$ZZ,27,FALSE)*(1+IF(OR($AM34=$F$4,$AM34=$F$5),$B$23,0))</f>
        <v>601.6</v>
      </c>
      <c r="AP34" s="23">
        <f>VLOOKUP($R34,武学奇术!$A:$ZZ,28,FALSE)</f>
        <v>2.0322</v>
      </c>
      <c r="AQ34" s="24">
        <f>VLOOKUP($R34,武学奇术!$A:$ZZ,29,FALSE)*(1+IF(OR($AM34=$F$4,$AM34=$F$5),$B$23,0))</f>
        <v>328</v>
      </c>
      <c r="AR34" s="23" cm="1">
        <f t="array" ref="AR34">$G$3+IFERROR(VLOOKUP($AM34,$F$4:$G$7,2,FALSE),0)+VLOOKUP($R34,武学奇术!$A:$ZZ,2,FALSE)+SUM(_xlfn.XLOOKUP($S34:$AL34,增益!$A:$A,增益!$B:$B,0))</f>
        <v>0.5743</v>
      </c>
      <c r="AS34" s="23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4013</v>
      </c>
      <c r="AU34" cm="1">
        <f t="array" ref="AU34">$E$10*(1+$AS34)+VLOOKUP($R34,武学奇术!$A:$ZZ,4,FALSE)+SUM(_xlfn.XLOOKUP($S34:$AL34,增益!$A:$A,增益!$D:$D,0))-$I$2</f>
        <v>4013</v>
      </c>
      <c r="AV34" s="29" cm="1">
        <f t="array" ref="AV34">IF($F$10-$I$3+VLOOKUP($R34,武学奇术!$A:$ZZ,6,FALSE)+SUM(_xlfn.XLOOKUP(S34:AL34,增益!$A:$A,增益!$F:$F,0))&gt;0,($F$10-$I$3+VLOOKUP($R34,武学奇术!$A:$ZZ,6,FALSE)+SUM(_xlfn.XLOOKUP(S34:AL34,增益!$A:$A,增益!$F:$F,0)))/200,($F$10-$I$3+VLOOKUP($R34,武学奇术!$A:$ZZ,6,FALSE)+SUM(_xlfn.XLOOKUP(S34:AL34,增益!$A:$A,增益!$F:$F,0)))/100)</f>
        <v>0.2439</v>
      </c>
      <c r="AW34" s="29" cm="1">
        <f t="array" ref="AW34">$G$10+VLOOKUP($R34,武学奇术!$A:$ZZ,7,FALSE)+SUM(_xlfn.XLOOKUP(S34:AL34,增益!$A:$A,增益!$G:$G,0))</f>
        <v>0</v>
      </c>
      <c r="AX34" s="23" cm="1">
        <f t="array" ref="AX34">VLOOKUP($R34,武学奇术!$A:$ZZ,8,FALSE)+SUM(_xlfn.XLOOKUP(S34:AL34,增益!$A:$A,增益!$H:$H,0))</f>
        <v>0</v>
      </c>
      <c r="AY34">
        <f t="shared" si="1"/>
        <v>0</v>
      </c>
      <c r="AZ34">
        <f t="shared" si="2"/>
        <v>0</v>
      </c>
      <c r="BA34" s="29" cm="1">
        <f t="array" ref="BA34">IF($F$11-$I$4+VLOOKUP($R34,武学奇术!$A:$ZZ,9,FALSE)+SUM(_xlfn.XLOOKUP(S34:AL34,增益!$A:$A,增益!$I:$I,0))&gt;0,($F$11-$I$4+VLOOKUP($R34,武学奇术!$A:$ZZ,9,FALSE)+SUM(_xlfn.XLOOKUP(S34:AL34,增益!$A:$A,增益!$I:$I,0)))/200,($F$11-$I$4+VLOOKUP($R34,武学奇术!$A:$ZZ,9,FALSE)+SUM(_xlfn.XLOOKUP(S34:AL34,增益!$A:$A,增益!$I:$I,0)))/100)</f>
        <v>-0.3</v>
      </c>
      <c r="BB34" s="29" cm="1">
        <f t="array" ref="BB34">$G$11+VLOOKUP($R34,武学奇术!$A:$ZZ,10,FALSE)+SUM(_xlfn.XLOOKUP(S34:AL34,增益!$A:$A,增益!$J:$J,0))</f>
        <v>0</v>
      </c>
      <c r="BC34">
        <f t="shared" si="3"/>
        <v>0</v>
      </c>
      <c r="BD34">
        <f t="shared" si="4"/>
        <v>0</v>
      </c>
      <c r="BE34" s="29" cm="1">
        <f t="array" ref="BE34">IF($F$12-$I$4+VLOOKUP($R34,武学奇术!$A:$ZZ,11,FALSE)+SUM(_xlfn.XLOOKUP(S34:AL34,增益!$A:$A,增益!$K:$K,0))&gt;0,($F$12-$I$4+VLOOKUP($R34,武学奇术!$A:$ZZ,11,FALSE)+SUM(_xlfn.XLOOKUP(S34:AL34,增益!$A:$A,增益!$K:$K,0)))/200,($F$12-$I$4+VLOOKUP($R34,武学奇术!$A:$ZZ,11,FALSE)+SUM(_xlfn.XLOOKUP(S34:AL34,增益!$A:$A,增益!$K:$K,0)))/100)</f>
        <v>-0.3</v>
      </c>
      <c r="BF34" s="29" cm="1">
        <f t="array" ref="BF34">$G$12+VLOOKUP($R34,武学奇术!$A:$ZZ,12,FALSE)+SUM(_xlfn.XLOOKUP(S34:AL34,增益!$A:$A,增益!$L:$L,0))</f>
        <v>0</v>
      </c>
      <c r="BG34">
        <f t="shared" si="5"/>
        <v>0</v>
      </c>
      <c r="BH34">
        <f t="shared" si="6"/>
        <v>0</v>
      </c>
      <c r="BI34" s="29" cm="1">
        <f t="array" ref="BI34">IF($F$13-$I$4+VLOOKUP($R34,武学奇术!$A:$ZZ,13,FALSE)+SUM(_xlfn.XLOOKUP(S34:AL34,增益!$A:$A,增益!$M:$M,0))&gt;0,($F$13-$I$4+VLOOKUP($R34,武学奇术!$A:$ZZ,13,FALSE)+SUM(_xlfn.XLOOKUP(S34:AL34,增益!$A:$A,增益!$K:$K,0)))/200,($F$13-$I$4+VLOOKUP($R34,武学奇术!$A:$ZZ,13,FALSE)+SUM(_xlfn.XLOOKUP(S34:AL34,增益!$A:$A,增益!$M:$M,0)))/100)</f>
        <v>-0.3</v>
      </c>
      <c r="BJ34" s="29" cm="1">
        <f t="array" ref="BJ34">$G$13+VLOOKUP($R34,武学奇术!$A:$ZZ,14,FALSE)+SUM(_xlfn.XLOOKUP(S34:AL34,增益!$A:$A,增益!$N:$N,0))</f>
        <v>0</v>
      </c>
      <c r="BK34">
        <f t="shared" si="7"/>
        <v>618.2</v>
      </c>
      <c r="BL34">
        <f t="shared" si="8"/>
        <v>1805</v>
      </c>
      <c r="BM34" s="29" cm="1">
        <f t="array" ref="BM34">IF($F$14-$I$4+VLOOKUP($R34,武学奇术!$A:$ZZ,15,FALSE)+SUM(_xlfn.XLOOKUP(S34:AL34,增益!$A:$A,增益!$O:$O,0))&gt;0,($F$14-$I$4+VLOOKUP($R34,武学奇术!$A:$ZZ,15,FALSE)+SUM(_xlfn.XLOOKUP(S34:AL34,增益!$A:$A,增益!$O:$O,0)))/200,($F$14-$I$4+VLOOKUP($R34,武学奇术!$A:$ZZ,15,FALSE)+SUM(_xlfn.XLOOKUP(S34:AL34,增益!$A:$A,增益!$O:$O,0)))/100)</f>
        <v>0</v>
      </c>
      <c r="BN34" s="29" cm="1">
        <f t="array" ref="BN34">$G$14+VLOOKUP($R34,武学奇术!$A:$ZZ,16,FALSE)+SUM(_xlfn.XLOOKUP(S34:AL34,增益!$A:$A,增益!$P:$P,0))</f>
        <v>0.15</v>
      </c>
      <c r="BO34" s="23">
        <f>MIN(IF(VLOOKUP($R34,武学奇术!$A:$ZZ,23,FALSE)=1,100%,$B$8),100%)</f>
        <v>0.9943</v>
      </c>
      <c r="BP34" s="23" cm="1">
        <f t="array" ref="BP34">IF(VLOOKUP($R34,武学奇术!$A:$ZZ,23,FALSE)=1,100%,MIN(80%,$B$9+VLOOKUP($R34,武学奇术!$A:$ZZ,17,FALSE)+SUM(_xlfn.XLOOKUP(S34:AL34,增益!$A:$A,增益!$Q:$Q,0)))+$B$11+SUM(_xlfn.XLOOKUP(S34:AL34,增益!$A:$A,增益!$U:$U,0)))*IF(VLOOKUP($R34,武学奇术!$A:$ZZ,24,FALSE)=1,0,1)</f>
        <v>0.887</v>
      </c>
      <c r="BQ34" s="23" cm="1">
        <f t="array" ref="BQ34">1+$B$13+VLOOKUP($R34,武学奇术!$A:$ZZ,18,FALSE)+SUM(_xlfn.XLOOKUP(S34:AL34,增益!$A:$A,增益!$R:$R,0))</f>
        <v>2.094</v>
      </c>
      <c r="BR34" s="23" cm="1">
        <f t="array" ref="BR34">IF(VLOOKUP($R34,武学奇术!$A:$ZZ,24,FALSE)=1,100%,MIN(40%,$B$10+VLOOKUP($R34,武学奇术!$A:$ZZ,19,FALSE)+SUM(_xlfn.XLOOKUP(S34:AL34,增益!$A:$A,增益!$S:$S,0)))+$B$12+SUM(_xlfn.XLOOKUP(S34:AL34,增益!$A:$A,增益!$V:$V,0)))*IF(VLOOKUP($R34,武学奇术!$A:$ZZ,23,FALSE)=1,0,1)</f>
        <v>0.0913</v>
      </c>
      <c r="BS34" s="23" cm="1">
        <f t="array" ref="BS34">1+$B$14+VLOOKUP($R34,武学奇术!$A:$ZZ,20,FALSE)+SUM(_xlfn.XLOOKUP(S34:AL34,增益!$A:$A,增益!$T:$T,0))</f>
        <v>1.35</v>
      </c>
      <c r="BT34" s="23">
        <f t="shared" si="9"/>
        <v>0.8819441</v>
      </c>
      <c r="BU34" s="23">
        <f t="shared" si="10"/>
        <v>0.0215763099999999</v>
      </c>
      <c r="BV34" s="23">
        <f>IF(VLOOKUP($R34,武学奇术!$A:$ZZ,22,FALSE)=1,0,(1-$BO34))*(1-$BR34)</f>
        <v>0.00517959000000003</v>
      </c>
      <c r="BW34" s="23" cm="1">
        <f t="array" ref="BW34">SUM(_xlfn.XLOOKUP(S34:AL34,增益!$A:$A,增益!$W:$W,0))+$I$5</f>
        <v>0.11</v>
      </c>
      <c r="BX34" s="23">
        <f>VLOOKUP($R34,武学奇术!$A:$ZZ,32,FALSE)</f>
        <v>0</v>
      </c>
      <c r="BY34" s="23" cm="1">
        <f t="array" ref="BY34">SUM(_xlfn.XLOOKUP($S34:$AL34,增益!$A:$A,增益!$X:$X,0))</f>
        <v>0</v>
      </c>
    </row>
    <row r="35" spans="2:77">
      <c r="K35" s="35">
        <f>$L35*VLOOKUP($R35,武学奇术!$A:$ZZ,31,FALSE)</f>
        <v>101109.827360486</v>
      </c>
      <c r="L35" s="69">
        <f t="shared" si="0"/>
        <v>99127.2817259667</v>
      </c>
      <c r="M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轻击",$B$21,0))*(1+IF(VLOOKUP($R35,武学奇术!$A:$ZZ,30,FALSE)="老鼠",$B$22,0))*(1+$BW35)*(1+$BX35)</f>
        <v>103069.253707371</v>
      </c>
      <c r="N35" s="35">
        <f>(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轻击",$B$21,0))*(1+IF(VLOOKUP($R35,武学奇术!$A:$ZZ,30,FALSE)="老鼠",$B$22,0))*(1+$BW35))*(1+$BX35)</f>
        <v>76078.3093481264</v>
      </c>
      <c r="O35" s="35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轻击",$B$21,0))*(1+IF(VLOOKUP($R35,武学奇术!$A:$ZZ,30,FALSE)="老鼠",$B$22,0))*(1+$BW35)*(1+$BX35)</f>
        <v>49221.2290866147</v>
      </c>
      <c r="P35" s="35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轻击",$B$21,0))*(1+IF(VLOOKUP($R35,武学奇术!$A:$ZZ,30,FALSE)="老鼠",$B$22,0))*(1+$BW35)*(1+$BX35)</f>
        <v>42088.154952395</v>
      </c>
      <c r="Q35" s="70">
        <v>4</v>
      </c>
      <c r="R35" s="37" t="s">
        <v>106</v>
      </c>
      <c r="S35" s="37" t="s">
        <v>91</v>
      </c>
      <c r="T35" s="37" t="s">
        <v>168</v>
      </c>
      <c r="U35" s="37" t="s">
        <v>112</v>
      </c>
      <c r="V35" s="37" t="s">
        <v>113</v>
      </c>
      <c r="W35" s="37" t="s">
        <v>82</v>
      </c>
      <c r="X35" s="37" t="s">
        <v>81</v>
      </c>
      <c r="Y35" s="37" t="s">
        <v>109</v>
      </c>
      <c r="Z35" s="37" t="s">
        <v>83</v>
      </c>
      <c r="AA35" s="37" t="s">
        <v>81</v>
      </c>
      <c r="AB35" s="37" t="s">
        <v>81</v>
      </c>
      <c r="AC35" s="37" t="s">
        <v>81</v>
      </c>
      <c r="AD35" s="37" t="s">
        <v>85</v>
      </c>
      <c r="AE35" s="37" t="s">
        <v>81</v>
      </c>
      <c r="AF35" s="37" t="s">
        <v>81</v>
      </c>
      <c r="AG35" s="37" t="s">
        <v>87</v>
      </c>
      <c r="AH35" s="37" t="s">
        <v>81</v>
      </c>
      <c r="AI35" s="37" t="s">
        <v>81</v>
      </c>
      <c r="AJ35" s="37" t="s">
        <v>81</v>
      </c>
      <c r="AK35" s="37" t="s">
        <v>81</v>
      </c>
      <c r="AL35" s="37" t="s">
        <v>81</v>
      </c>
      <c r="AM35" t="str">
        <f>VLOOKUP($R35,武学奇术!$A:$ZZ,25,FALSE)</f>
        <v>绳镖</v>
      </c>
      <c r="AN35" s="23">
        <f>VLOOKUP($R35,武学奇术!$A:$ZZ,26,FALSE)</f>
        <v>0.3675</v>
      </c>
      <c r="AO35" s="24">
        <f>VLOOKUP($R35,武学奇术!$A:$ZZ,27,FALSE)*(1+IF(OR($AM35=$F$4,$AM35=$F$5),$B$23,0))</f>
        <v>0</v>
      </c>
      <c r="AP35" s="23">
        <f>VLOOKUP($R35,武学奇术!$A:$ZZ,28,FALSE)</f>
        <v>0.55125</v>
      </c>
      <c r="AQ35" s="24">
        <f>VLOOKUP($R35,武学奇术!$A:$ZZ,29,FALSE)*(1+IF(OR($AM35=$F$4,$AM35=$F$5),$B$23,0))</f>
        <v>0</v>
      </c>
      <c r="AR35" s="23" cm="1">
        <f t="array" ref="AR35">$G$3+IFERROR(VLOOKUP($AM35,$F$4:$G$7,2,FALSE),0)+VLOOKUP($R35,武学奇术!$A:$ZZ,2,FALSE)+SUM(_xlfn.XLOOKUP($S35:$AL35,增益!$A:$A,增益!$B:$B,0))</f>
        <v>1.4943</v>
      </c>
      <c r="AS35" s="23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4081.7</v>
      </c>
      <c r="AU35" cm="1">
        <f t="array" ref="AU35">$E$10*(1+$AS35)+VLOOKUP($R35,武学奇术!$A:$ZZ,4,FALSE)+SUM(_xlfn.XLOOKUP($S35:$AL35,增益!$A:$A,增益!$D:$D,0))-$I$2</f>
        <v>4081.7</v>
      </c>
      <c r="AV35" s="29" cm="1">
        <f t="array" ref="AV35">IF($F$10-$I$3+VLOOKUP($R35,武学奇术!$A:$ZZ,6,FALSE)+SUM(_xlfn.XLOOKUP(S35:AL35,增益!$A:$A,增益!$F:$F,0))&gt;0,($F$10-$I$3+VLOOKUP($R35,武学奇术!$A:$ZZ,6,FALSE)+SUM(_xlfn.XLOOKUP(S35:AL35,增益!$A:$A,增益!$F:$F,0)))/200,($F$10-$I$3+VLOOKUP($R35,武学奇术!$A:$ZZ,6,FALSE)+SUM(_xlfn.XLOOKUP(S35:AL35,增益!$A:$A,增益!$F:$F,0)))/100)</f>
        <v>0.2439</v>
      </c>
      <c r="AW35" s="29" cm="1">
        <f t="array" ref="AW35">$G$10+VLOOKUP($R35,武学奇术!$A:$ZZ,7,FALSE)+SUM(_xlfn.XLOOKUP(S35:AL35,增益!$A:$A,增益!$G:$G,0))</f>
        <v>0.27</v>
      </c>
      <c r="AX35" s="23" cm="1">
        <f t="array" ref="AX35">VLOOKUP($R35,武学奇术!$A:$ZZ,8,FALSE)+SUM(_xlfn.XLOOKUP(S35:AL35,增益!$A:$A,增益!$H:$H,0))</f>
        <v>0</v>
      </c>
      <c r="AY35">
        <f t="shared" si="1"/>
        <v>0</v>
      </c>
      <c r="AZ35">
        <f t="shared" si="2"/>
        <v>0</v>
      </c>
      <c r="BA35" s="29" cm="1">
        <f t="array" ref="BA35">IF($F$11-$I$4+VLOOKUP($R35,武学奇术!$A:$ZZ,9,FALSE)+SUM(_xlfn.XLOOKUP(S35:AL35,增益!$A:$A,增益!$I:$I,0))&gt;0,($F$11-$I$4+VLOOKUP($R35,武学奇术!$A:$ZZ,9,FALSE)+SUM(_xlfn.XLOOKUP(S35:AL35,增益!$A:$A,增益!$I:$I,0)))/200,($F$11-$I$4+VLOOKUP($R35,武学奇术!$A:$ZZ,9,FALSE)+SUM(_xlfn.XLOOKUP(S35:AL35,增益!$A:$A,增益!$I:$I,0)))/100)</f>
        <v>-0.3</v>
      </c>
      <c r="BB35" s="29" cm="1">
        <f t="array" ref="BB35">$G$11+VLOOKUP($R35,武学奇术!$A:$ZZ,10,FALSE)+SUM(_xlfn.XLOOKUP(S35:AL35,增益!$A:$A,增益!$J:$J,0))</f>
        <v>0</v>
      </c>
      <c r="BC35">
        <f t="shared" si="3"/>
        <v>0</v>
      </c>
      <c r="BD35">
        <f t="shared" si="4"/>
        <v>0</v>
      </c>
      <c r="BE35" s="29" cm="1">
        <f t="array" ref="BE35">IF($F$12-$I$4+VLOOKUP($R35,武学奇术!$A:$ZZ,11,FALSE)+SUM(_xlfn.XLOOKUP(S35:AL35,增益!$A:$A,增益!$K:$K,0))&gt;0,($F$12-$I$4+VLOOKUP($R35,武学奇术!$A:$ZZ,11,FALSE)+SUM(_xlfn.XLOOKUP(S35:AL35,增益!$A:$A,增益!$K:$K,0)))/200,($F$12-$I$4+VLOOKUP($R35,武学奇术!$A:$ZZ,11,FALSE)+SUM(_xlfn.XLOOKUP(S35:AL35,增益!$A:$A,增益!$K:$K,0)))/100)</f>
        <v>-0.3</v>
      </c>
      <c r="BF35" s="29" cm="1">
        <f t="array" ref="BF35">$G$12+VLOOKUP($R35,武学奇术!$A:$ZZ,12,FALSE)+SUM(_xlfn.XLOOKUP(S35:AL35,增益!$A:$A,增益!$L:$L,0))</f>
        <v>0</v>
      </c>
      <c r="BG35">
        <f t="shared" si="5"/>
        <v>0</v>
      </c>
      <c r="BH35">
        <f t="shared" si="6"/>
        <v>0</v>
      </c>
      <c r="BI35" s="29" cm="1">
        <f t="array" ref="BI35">IF($F$13-$I$4+VLOOKUP($R35,武学奇术!$A:$ZZ,13,FALSE)+SUM(_xlfn.XLOOKUP(S35:AL35,增益!$A:$A,增益!$M:$M,0))&gt;0,($F$13-$I$4+VLOOKUP($R35,武学奇术!$A:$ZZ,13,FALSE)+SUM(_xlfn.XLOOKUP(S35:AL35,增益!$A:$A,增益!$K:$K,0)))/200,($F$13-$I$4+VLOOKUP($R35,武学奇术!$A:$ZZ,13,FALSE)+SUM(_xlfn.XLOOKUP(S35:AL35,增益!$A:$A,增益!$M:$M,0)))/100)</f>
        <v>-0.3</v>
      </c>
      <c r="BJ35" s="29" cm="1">
        <f t="array" ref="BJ35">$G$13+VLOOKUP($R35,武学奇术!$A:$ZZ,14,FALSE)+SUM(_xlfn.XLOOKUP(S35:AL35,增益!$A:$A,增益!$N:$N,0))</f>
        <v>0</v>
      </c>
      <c r="BK35">
        <f t="shared" si="7"/>
        <v>618.2</v>
      </c>
      <c r="BL35">
        <f t="shared" si="8"/>
        <v>1805</v>
      </c>
      <c r="BM35" s="29" cm="1">
        <f t="array" ref="BM35">IF($F$14-$I$4+VLOOKUP($R35,武学奇术!$A:$ZZ,15,FALSE)+SUM(_xlfn.XLOOKUP(S35:AL35,增益!$A:$A,增益!$O:$O,0))&gt;0,($F$14-$I$4+VLOOKUP($R35,武学奇术!$A:$ZZ,15,FALSE)+SUM(_xlfn.XLOOKUP(S35:AL35,增益!$A:$A,增益!$O:$O,0)))/200,($F$14-$I$4+VLOOKUP($R35,武学奇术!$A:$ZZ,15,FALSE)+SUM(_xlfn.XLOOKUP(S35:AL35,增益!$A:$A,增益!$O:$O,0)))/100)</f>
        <v>0.05</v>
      </c>
      <c r="BN35" s="29" cm="1">
        <f t="array" ref="BN35">$G$14+VLOOKUP($R35,武学奇术!$A:$ZZ,16,FALSE)+SUM(_xlfn.XLOOKUP(S35:AL35,增益!$A:$A,增益!$P:$P,0))</f>
        <v>0.42</v>
      </c>
      <c r="BO35" s="23">
        <f>MIN(IF(VLOOKUP($R35,武学奇术!$A:$ZZ,23,FALSE)=1,100%,$B$8),100%)</f>
        <v>0.9943</v>
      </c>
      <c r="BP35" s="23" cm="1">
        <f t="array" ref="BP35">IF(VLOOKUP($R35,武学奇术!$A:$ZZ,23,FALSE)=1,100%,MIN(80%,$B$9+VLOOKUP($R35,武学奇术!$A:$ZZ,17,FALSE)+SUM(_xlfn.XLOOKUP(S35:AL35,增益!$A:$A,增益!$Q:$Q,0)))+$B$11+SUM(_xlfn.XLOOKUP(S35:AL35,增益!$A:$A,增益!$U:$U,0)))*IF(VLOOKUP($R35,武学奇术!$A:$ZZ,24,FALSE)=1,0,1)</f>
        <v>0.887</v>
      </c>
      <c r="BQ35" s="23" cm="1">
        <f t="array" ref="BQ35">1+$B$13+VLOOKUP($R35,武学奇术!$A:$ZZ,18,FALSE)+SUM(_xlfn.XLOOKUP(S35:AL35,增益!$A:$A,增益!$R:$R,0))</f>
        <v>2.094</v>
      </c>
      <c r="BR35" s="23" cm="1">
        <f t="array" ref="BR35">IF(VLOOKUP($R35,武学奇术!$A:$ZZ,24,FALSE)=1,100%,MIN(40%,$B$10+VLOOKUP($R35,武学奇术!$A:$ZZ,19,FALSE)+SUM(_xlfn.XLOOKUP(S35:AL35,增益!$A:$A,增益!$S:$S,0)))+$B$12+SUM(_xlfn.XLOOKUP(S35:AL35,增益!$A:$A,增益!$V:$V,0)))*IF(VLOOKUP($R35,武学奇术!$A:$ZZ,23,FALSE)=1,0,1)</f>
        <v>0.0913</v>
      </c>
      <c r="BS35" s="23" cm="1">
        <f t="array" ref="BS35">1+$B$14+VLOOKUP($R35,武学奇术!$A:$ZZ,20,FALSE)+SUM(_xlfn.XLOOKUP(S35:AL35,增益!$A:$A,增益!$T:$T,0))</f>
        <v>1.35</v>
      </c>
      <c r="BT35" s="23">
        <f t="shared" si="9"/>
        <v>0.8819441</v>
      </c>
      <c r="BU35" s="23">
        <f t="shared" si="10"/>
        <v>0.0215763099999999</v>
      </c>
      <c r="BV35" s="23">
        <f>IF(VLOOKUP($R35,武学奇术!$A:$ZZ,22,FALSE)=1,0,(1-$BO35))*(1-$BR35)</f>
        <v>0.00517959000000003</v>
      </c>
      <c r="BW35" s="23" cm="1">
        <f t="array" ref="BW35">SUM(_xlfn.XLOOKUP(S35:AL35,增益!$A:$A,增益!$W:$W,0))+$I$5</f>
        <v>0.11</v>
      </c>
      <c r="BX35" s="23">
        <f>VLOOKUP($R35,武学奇术!$A:$ZZ,32,FALSE)</f>
        <v>0</v>
      </c>
      <c r="BY35" s="23" cm="1">
        <f t="array" ref="BY35">SUM(_xlfn.XLOOKUP($S35:$AL35,增益!$A:$A,增益!$X:$X,0))</f>
        <v>0</v>
      </c>
    </row>
    <row r="36" spans="2:77">
      <c r="K36" s="35">
        <f>$L36*VLOOKUP($R36,武学奇术!$A:$ZZ,31,FALSE)</f>
        <v>26368.5118427931</v>
      </c>
      <c r="L36" s="58">
        <f t="shared" si="0"/>
        <v>23543.314145351</v>
      </c>
      <c r="M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轻击",$B$21,0))*(1+IF(VLOOKUP($R36,武学奇术!$A:$ZZ,30,FALSE)="老鼠",$B$22,0))*(1+$BW36)*(1+$BX36)</f>
        <v>24501.8482533005</v>
      </c>
      <c r="N36" s="35">
        <f>(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轻击",$B$21,0))*(1+IF(VLOOKUP($R36,武学奇术!$A:$ZZ,30,FALSE)="老鼠",$B$22,0))*(1+$BW36))*(1+$BX36)</f>
        <v>17840.371482976</v>
      </c>
      <c r="O36" s="35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轻击",$B$21,0))*(1+IF(VLOOKUP($R36,武学奇术!$A:$ZZ,30,FALSE)="老鼠",$B$22,0))*(1+$BW36)*(1+$BX36)</f>
        <v>11700.9781534386</v>
      </c>
      <c r="P36" s="35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轻击",$B$21,0))*(1+IF(VLOOKUP($R36,武学奇术!$A:$ZZ,30,FALSE)="老鼠",$B$22,0))*(1+$BW36)*(1+$BX36)</f>
        <v>10186.8663194877</v>
      </c>
      <c r="Q36" s="36">
        <v>1</v>
      </c>
      <c r="R36" s="37" t="s">
        <v>139</v>
      </c>
      <c r="S36" s="37" t="s">
        <v>91</v>
      </c>
      <c r="T36" s="37" t="s">
        <v>168</v>
      </c>
      <c r="U36" s="37" t="s">
        <v>112</v>
      </c>
      <c r="V36" s="37" t="s">
        <v>113</v>
      </c>
      <c r="W36" s="37" t="s">
        <v>82</v>
      </c>
      <c r="X36" s="37" t="s">
        <v>81</v>
      </c>
      <c r="Y36" s="37" t="s">
        <v>109</v>
      </c>
      <c r="Z36" s="37" t="s">
        <v>83</v>
      </c>
      <c r="AA36" s="37" t="s">
        <v>81</v>
      </c>
      <c r="AB36" s="37" t="s">
        <v>81</v>
      </c>
      <c r="AC36" s="37" t="s">
        <v>81</v>
      </c>
      <c r="AD36" s="37" t="s">
        <v>85</v>
      </c>
      <c r="AE36" s="37" t="s">
        <v>81</v>
      </c>
      <c r="AF36" s="37" t="s">
        <v>81</v>
      </c>
      <c r="AG36" s="37" t="s">
        <v>87</v>
      </c>
      <c r="AH36" s="37" t="s">
        <v>81</v>
      </c>
      <c r="AI36" s="37" t="s">
        <v>81</v>
      </c>
      <c r="AJ36" s="37" t="s">
        <v>81</v>
      </c>
      <c r="AK36" s="37" t="s">
        <v>81</v>
      </c>
      <c r="AL36" s="37" t="s">
        <v>81</v>
      </c>
      <c r="AM36" t="str">
        <f>VLOOKUP($R36,武学奇术!$A:$ZZ,25,FALSE)</f>
        <v>双刀</v>
      </c>
      <c r="AN36" s="23">
        <f>VLOOKUP($R36,武学奇术!$A:$ZZ,26,FALSE)</f>
        <v>0.6472</v>
      </c>
      <c r="AO36" s="24">
        <f>VLOOKUP($R36,武学奇术!$A:$ZZ,27,FALSE)*(1+IF(OR($AM36=$F$4,$AM36=$F$5),$B$23,0))</f>
        <v>288</v>
      </c>
      <c r="AP36" s="23">
        <f>VLOOKUP($R36,武学奇术!$A:$ZZ,28,FALSE)</f>
        <v>0.9708</v>
      </c>
      <c r="AQ36" s="24">
        <f>VLOOKUP($R36,武学奇术!$A:$ZZ,29,FALSE)*(1+IF(OR($AM36=$F$4,$AM36=$F$5),$B$23,0))</f>
        <v>156.8</v>
      </c>
      <c r="AR36" s="23" cm="1">
        <f t="array" ref="AR36">$G$3+IFERROR(VLOOKUP($AM36,$F$4:$G$7,2,FALSE),0)+VLOOKUP($R36,武学奇术!$A:$ZZ,2,FALSE)+SUM(_xlfn.XLOOKUP($S36:$AL36,增益!$A:$A,增益!$B:$B,0))</f>
        <v>0.6943</v>
      </c>
      <c r="AS36" s="23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4081.7</v>
      </c>
      <c r="AU36" cm="1">
        <f t="array" ref="AU36">$E$10*(1+$AS36)+VLOOKUP($R36,武学奇术!$A:$ZZ,4,FALSE)+SUM(_xlfn.XLOOKUP($S36:$AL36,增益!$A:$A,增益!$D:$D,0))-$I$2</f>
        <v>4081.7</v>
      </c>
      <c r="AV36" s="29" cm="1">
        <f t="array" ref="AV36">IF($F$10-$I$3+VLOOKUP($R36,武学奇术!$A:$ZZ,6,FALSE)+SUM(_xlfn.XLOOKUP(S36:AL36,增益!$A:$A,增益!$F:$F,0))&gt;0,($F$10-$I$3+VLOOKUP($R36,武学奇术!$A:$ZZ,6,FALSE)+SUM(_xlfn.XLOOKUP(S36:AL36,增益!$A:$A,增益!$F:$F,0)))/200,($F$10-$I$3+VLOOKUP($R36,武学奇术!$A:$ZZ,6,FALSE)+SUM(_xlfn.XLOOKUP(S36:AL36,增益!$A:$A,增益!$F:$F,0)))/100)</f>
        <v>0.2439</v>
      </c>
      <c r="AW36" s="29" cm="1">
        <f t="array" ref="AW36">$G$10+VLOOKUP($R36,武学奇术!$A:$ZZ,7,FALSE)+SUM(_xlfn.XLOOKUP(S36:AL36,增益!$A:$A,增益!$G:$G,0))</f>
        <v>0.06</v>
      </c>
      <c r="AX36" s="23" cm="1">
        <f t="array" ref="AX36">VLOOKUP($R36,武学奇术!$A:$ZZ,8,FALSE)+SUM(_xlfn.XLOOKUP(S36:AL36,增益!$A:$A,增益!$H:$H,0))</f>
        <v>0</v>
      </c>
      <c r="AY36">
        <f t="shared" si="1"/>
        <v>0</v>
      </c>
      <c r="AZ36">
        <f t="shared" si="2"/>
        <v>0</v>
      </c>
      <c r="BA36" s="29" cm="1">
        <f t="array" ref="BA36">IF($F$11-$I$4+VLOOKUP($R36,武学奇术!$A:$ZZ,9,FALSE)+SUM(_xlfn.XLOOKUP(S36:AL36,增益!$A:$A,增益!$I:$I,0))&gt;0,($F$11-$I$4+VLOOKUP($R36,武学奇术!$A:$ZZ,9,FALSE)+SUM(_xlfn.XLOOKUP(S36:AL36,增益!$A:$A,增益!$I:$I,0)))/200,($F$11-$I$4+VLOOKUP($R36,武学奇术!$A:$ZZ,9,FALSE)+SUM(_xlfn.XLOOKUP(S36:AL36,增益!$A:$A,增益!$I:$I,0)))/100)</f>
        <v>-0.3</v>
      </c>
      <c r="BB36" s="29" cm="1">
        <f t="array" ref="BB36">$G$11+VLOOKUP($R36,武学奇术!$A:$ZZ,10,FALSE)+SUM(_xlfn.XLOOKUP(S36:AL36,增益!$A:$A,增益!$J:$J,0))</f>
        <v>0</v>
      </c>
      <c r="BC36">
        <f t="shared" si="3"/>
        <v>0</v>
      </c>
      <c r="BD36">
        <f t="shared" si="4"/>
        <v>0</v>
      </c>
      <c r="BE36" s="29" cm="1">
        <f t="array" ref="BE36">IF($F$12-$I$4+VLOOKUP($R36,武学奇术!$A:$ZZ,11,FALSE)+SUM(_xlfn.XLOOKUP(S36:AL36,增益!$A:$A,增益!$K:$K,0))&gt;0,($F$12-$I$4+VLOOKUP($R36,武学奇术!$A:$ZZ,11,FALSE)+SUM(_xlfn.XLOOKUP(S36:AL36,增益!$A:$A,增益!$K:$K,0)))/200,($F$12-$I$4+VLOOKUP($R36,武学奇术!$A:$ZZ,11,FALSE)+SUM(_xlfn.XLOOKUP(S36:AL36,增益!$A:$A,增益!$K:$K,0)))/100)</f>
        <v>-0.3</v>
      </c>
      <c r="BF36" s="29" cm="1">
        <f t="array" ref="BF36">$G$12+VLOOKUP($R36,武学奇术!$A:$ZZ,12,FALSE)+SUM(_xlfn.XLOOKUP(S36:AL36,增益!$A:$A,增益!$L:$L,0))</f>
        <v>0</v>
      </c>
      <c r="BG36">
        <f t="shared" si="5"/>
        <v>0</v>
      </c>
      <c r="BH36">
        <f t="shared" si="6"/>
        <v>0</v>
      </c>
      <c r="BI36" s="29" cm="1">
        <f t="array" ref="BI36">IF($F$13-$I$4+VLOOKUP($R36,武学奇术!$A:$ZZ,13,FALSE)+SUM(_xlfn.XLOOKUP(S36:AL36,增益!$A:$A,增益!$M:$M,0))&gt;0,($F$13-$I$4+VLOOKUP($R36,武学奇术!$A:$ZZ,13,FALSE)+SUM(_xlfn.XLOOKUP(S36:AL36,增益!$A:$A,增益!$K:$K,0)))/200,($F$13-$I$4+VLOOKUP($R36,武学奇术!$A:$ZZ,13,FALSE)+SUM(_xlfn.XLOOKUP(S36:AL36,增益!$A:$A,增益!$M:$M,0)))/100)</f>
        <v>-0.3</v>
      </c>
      <c r="BJ36" s="29" cm="1">
        <f t="array" ref="BJ36">$G$13+VLOOKUP($R36,武学奇术!$A:$ZZ,14,FALSE)+SUM(_xlfn.XLOOKUP(S36:AL36,增益!$A:$A,增益!$N:$N,0))</f>
        <v>0</v>
      </c>
      <c r="BK36">
        <f t="shared" si="7"/>
        <v>618.2</v>
      </c>
      <c r="BL36">
        <f t="shared" si="8"/>
        <v>1805</v>
      </c>
      <c r="BM36" s="29" cm="1">
        <f t="array" ref="BM36">IF($F$14-$I$4+VLOOKUP($R36,武学奇术!$A:$ZZ,15,FALSE)+SUM(_xlfn.XLOOKUP(S36:AL36,增益!$A:$A,增益!$O:$O,0))&gt;0,($F$14-$I$4+VLOOKUP($R36,武学奇术!$A:$ZZ,15,FALSE)+SUM(_xlfn.XLOOKUP(S36:AL36,增益!$A:$A,增益!$O:$O,0)))/200,($F$14-$I$4+VLOOKUP($R36,武学奇术!$A:$ZZ,15,FALSE)+SUM(_xlfn.XLOOKUP(S36:AL36,增益!$A:$A,增益!$O:$O,0)))/100)</f>
        <v>0.05</v>
      </c>
      <c r="BN36" s="29" cm="1">
        <f t="array" ref="BN36">$G$14+VLOOKUP($R36,武学奇术!$A:$ZZ,16,FALSE)+SUM(_xlfn.XLOOKUP(S36:AL36,增益!$A:$A,增益!$P:$P,0))</f>
        <v>0.21</v>
      </c>
      <c r="BO36" s="23">
        <f>MIN(IF(VLOOKUP($R36,武学奇术!$A:$ZZ,23,FALSE)=1,100%,$B$8),100%)</f>
        <v>0.9943</v>
      </c>
      <c r="BP36" s="23" cm="1">
        <f t="array" ref="BP36">IF(VLOOKUP($R36,武学奇术!$A:$ZZ,23,FALSE)=1,100%,MIN(80%,$B$9+VLOOKUP($R36,武学奇术!$A:$ZZ,17,FALSE)+SUM(_xlfn.XLOOKUP(S36:AL36,增益!$A:$A,增益!$Q:$Q,0)))+$B$11+SUM(_xlfn.XLOOKUP(S36:AL36,增益!$A:$A,增益!$U:$U,0)))*IF(VLOOKUP($R36,武学奇术!$A:$ZZ,24,FALSE)=1,0,1)</f>
        <v>0.887</v>
      </c>
      <c r="BQ36" s="23" cm="1">
        <f t="array" ref="BQ36">1+$B$13+VLOOKUP($R36,武学奇术!$A:$ZZ,18,FALSE)+SUM(_xlfn.XLOOKUP(S36:AL36,增益!$A:$A,增益!$R:$R,0))</f>
        <v>2.094</v>
      </c>
      <c r="BR36" s="23" cm="1">
        <f t="array" ref="BR36">IF(VLOOKUP($R36,武学奇术!$A:$ZZ,24,FALSE)=1,100%,MIN(40%,$B$10+VLOOKUP($R36,武学奇术!$A:$ZZ,19,FALSE)+SUM(_xlfn.XLOOKUP(S36:AL36,增益!$A:$A,增益!$S:$S,0)))+$B$12+SUM(_xlfn.XLOOKUP(S36:AL36,增益!$A:$A,增益!$V:$V,0)))*IF(VLOOKUP($R36,武学奇术!$A:$ZZ,23,FALSE)=1,0,1)</f>
        <v>0.0913</v>
      </c>
      <c r="BS36" s="23" cm="1">
        <f t="array" ref="BS36">1+$B$14+VLOOKUP($R36,武学奇术!$A:$ZZ,20,FALSE)+SUM(_xlfn.XLOOKUP(S36:AL36,增益!$A:$A,增益!$T:$T,0))</f>
        <v>1.35</v>
      </c>
      <c r="BT36" s="23">
        <f t="shared" si="9"/>
        <v>0.8819441</v>
      </c>
      <c r="BU36" s="23">
        <f t="shared" si="10"/>
        <v>0.0215763099999999</v>
      </c>
      <c r="BV36" s="23">
        <f>IF(VLOOKUP($R36,武学奇术!$A:$ZZ,22,FALSE)=1,0,(1-$BO36))*(1-$BR36)</f>
        <v>0.00517959000000003</v>
      </c>
      <c r="BW36" s="23" cm="1">
        <f t="array" ref="BW36">SUM(_xlfn.XLOOKUP(S36:AL36,增益!$A:$A,增益!$W:$W,0))+$I$5</f>
        <v>0.11</v>
      </c>
      <c r="BX36" s="23">
        <f>VLOOKUP($R36,武学奇术!$A:$ZZ,32,FALSE)</f>
        <v>0.1</v>
      </c>
      <c r="BY36" s="23" cm="1">
        <f t="array" ref="BY36">SUM(_xlfn.XLOOKUP($S36:$AL36,增益!$A:$A,增益!$X:$X,0))</f>
        <v>0</v>
      </c>
    </row>
    <row r="37" spans="2:77">
      <c r="K37" s="35">
        <f>$L37*VLOOKUP($R37,武学奇术!$A:$ZZ,31,FALSE)</f>
        <v>36704.315348605</v>
      </c>
      <c r="L37" s="58">
        <f t="shared" si="0"/>
        <v>32771.710132683</v>
      </c>
      <c r="M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轻击",$B$21,0))*(1+IF(VLOOKUP($R37,武学奇术!$A:$ZZ,30,FALSE)="老鼠",$B$22,0))*(1+$BW37)*(1+$BX37)</f>
        <v>34105.8750154478</v>
      </c>
      <c r="N37" s="35">
        <f>(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轻击",$B$21,0))*(1+IF(VLOOKUP($R37,武学奇术!$A:$ZZ,30,FALSE)="老鼠",$B$22,0))*(1+$BW37))*(1+$BX37)</f>
        <v>24834.2871731682</v>
      </c>
      <c r="O37" s="35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轻击",$B$21,0))*(1+IF(VLOOKUP($R37,武学奇术!$A:$ZZ,30,FALSE)="老鼠",$B$22,0))*(1+$BW37)*(1+$BX37)</f>
        <v>16287.4283741394</v>
      </c>
      <c r="P37" s="35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轻击",$B$21,0))*(1+IF(VLOOKUP($R37,武学奇术!$A:$ZZ,30,FALSE)="老鼠",$B$22,0))*(1+$BW37)*(1+$BX37)</f>
        <v>14179.0884718578</v>
      </c>
      <c r="Q37" s="88">
        <v>1</v>
      </c>
      <c r="R37" s="37" t="s">
        <v>143</v>
      </c>
      <c r="S37" s="37" t="s">
        <v>91</v>
      </c>
      <c r="T37" s="37" t="s">
        <v>168</v>
      </c>
      <c r="U37" s="37" t="s">
        <v>112</v>
      </c>
      <c r="V37" s="37" t="s">
        <v>113</v>
      </c>
      <c r="W37" s="37" t="s">
        <v>82</v>
      </c>
      <c r="X37" s="37" t="s">
        <v>81</v>
      </c>
      <c r="Y37" s="37" t="s">
        <v>109</v>
      </c>
      <c r="Z37" s="37" t="s">
        <v>83</v>
      </c>
      <c r="AA37" s="37" t="s">
        <v>81</v>
      </c>
      <c r="AB37" s="37" t="s">
        <v>81</v>
      </c>
      <c r="AC37" s="37" t="s">
        <v>81</v>
      </c>
      <c r="AD37" s="37" t="s">
        <v>85</v>
      </c>
      <c r="AE37" s="37" t="s">
        <v>81</v>
      </c>
      <c r="AF37" s="37" t="s">
        <v>81</v>
      </c>
      <c r="AG37" s="37" t="s">
        <v>87</v>
      </c>
      <c r="AH37" s="37" t="s">
        <v>81</v>
      </c>
      <c r="AI37" s="37" t="s">
        <v>81</v>
      </c>
      <c r="AJ37" s="37" t="s">
        <v>81</v>
      </c>
      <c r="AK37" s="37" t="s">
        <v>81</v>
      </c>
      <c r="AL37" s="37" t="s">
        <v>81</v>
      </c>
      <c r="AM37" t="str">
        <f>VLOOKUP($R37,武学奇术!$A:$ZZ,25,FALSE)</f>
        <v>双刀</v>
      </c>
      <c r="AN37" s="23">
        <f>VLOOKUP($R37,武学奇术!$A:$ZZ,26,FALSE)</f>
        <v>0.9012</v>
      </c>
      <c r="AO37" s="24">
        <f>VLOOKUP($R37,武学奇术!$A:$ZZ,27,FALSE)*(1+IF(OR($AM37=$F$4,$AM37=$F$5),$B$23,0))</f>
        <v>400</v>
      </c>
      <c r="AP37" s="23">
        <f>VLOOKUP($R37,武学奇术!$A:$ZZ,28,FALSE)</f>
        <v>1.3518</v>
      </c>
      <c r="AQ37" s="24">
        <f>VLOOKUP($R37,武学奇术!$A:$ZZ,29,FALSE)*(1+IF(OR($AM37=$F$4,$AM37=$F$5),$B$23,0))</f>
        <v>217.6</v>
      </c>
      <c r="AR37" s="23" cm="1">
        <f t="array" ref="AR37">$G$3+IFERROR(VLOOKUP($AM37,$F$4:$G$7,2,FALSE),0)+VLOOKUP($R37,武学奇术!$A:$ZZ,2,FALSE)+SUM(_xlfn.XLOOKUP($S37:$AL37,增益!$A:$A,增益!$B:$B,0))</f>
        <v>0.6943</v>
      </c>
      <c r="AS37" s="23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4081.7</v>
      </c>
      <c r="AU37" cm="1">
        <f t="array" ref="AU37">$E$10*(1+$AS37)+VLOOKUP($R37,武学奇术!$A:$ZZ,4,FALSE)+SUM(_xlfn.XLOOKUP($S37:$AL37,增益!$A:$A,增益!$D:$D,0))-$I$2</f>
        <v>4081.7</v>
      </c>
      <c r="AV37" s="29" cm="1">
        <f t="array" ref="AV37">IF($F$10-$I$3+VLOOKUP($R37,武学奇术!$A:$ZZ,6,FALSE)+SUM(_xlfn.XLOOKUP(S37:AL37,增益!$A:$A,增益!$F:$F,0))&gt;0,($F$10-$I$3+VLOOKUP($R37,武学奇术!$A:$ZZ,6,FALSE)+SUM(_xlfn.XLOOKUP(S37:AL37,增益!$A:$A,增益!$F:$F,0)))/200,($F$10-$I$3+VLOOKUP($R37,武学奇术!$A:$ZZ,6,FALSE)+SUM(_xlfn.XLOOKUP(S37:AL37,增益!$A:$A,增益!$F:$F,0)))/100)</f>
        <v>0.2439</v>
      </c>
      <c r="AW37" s="29" cm="1">
        <f t="array" ref="AW37">$G$10+VLOOKUP($R37,武学奇术!$A:$ZZ,7,FALSE)+SUM(_xlfn.XLOOKUP(S37:AL37,增益!$A:$A,增益!$G:$G,0))</f>
        <v>0.06</v>
      </c>
      <c r="AX37" s="23" cm="1">
        <f t="array" ref="AX37">VLOOKUP($R37,武学奇术!$A:$ZZ,8,FALSE)+SUM(_xlfn.XLOOKUP(S37:AL37,增益!$A:$A,增益!$H:$H,0))</f>
        <v>0</v>
      </c>
      <c r="AY37">
        <f t="shared" si="1"/>
        <v>0</v>
      </c>
      <c r="AZ37">
        <f t="shared" si="2"/>
        <v>0</v>
      </c>
      <c r="BA37" s="29" cm="1">
        <f t="array" ref="BA37">IF($F$11-$I$4+VLOOKUP($R37,武学奇术!$A:$ZZ,9,FALSE)+SUM(_xlfn.XLOOKUP(S37:AL37,增益!$A:$A,增益!$I:$I,0))&gt;0,($F$11-$I$4+VLOOKUP($R37,武学奇术!$A:$ZZ,9,FALSE)+SUM(_xlfn.XLOOKUP(S37:AL37,增益!$A:$A,增益!$I:$I,0)))/200,($F$11-$I$4+VLOOKUP($R37,武学奇术!$A:$ZZ,9,FALSE)+SUM(_xlfn.XLOOKUP(S37:AL37,增益!$A:$A,增益!$I:$I,0)))/100)</f>
        <v>-0.3</v>
      </c>
      <c r="BB37" s="29" cm="1">
        <f t="array" ref="BB37">$G$11+VLOOKUP($R37,武学奇术!$A:$ZZ,10,FALSE)+SUM(_xlfn.XLOOKUP(S37:AL37,增益!$A:$A,增益!$J:$J,0))</f>
        <v>0</v>
      </c>
      <c r="BC37">
        <f t="shared" si="3"/>
        <v>0</v>
      </c>
      <c r="BD37">
        <f t="shared" si="4"/>
        <v>0</v>
      </c>
      <c r="BE37" s="29" cm="1">
        <f t="array" ref="BE37">IF($F$12-$I$4+VLOOKUP($R37,武学奇术!$A:$ZZ,11,FALSE)+SUM(_xlfn.XLOOKUP(S37:AL37,增益!$A:$A,增益!$K:$K,0))&gt;0,($F$12-$I$4+VLOOKUP($R37,武学奇术!$A:$ZZ,11,FALSE)+SUM(_xlfn.XLOOKUP(S37:AL37,增益!$A:$A,增益!$K:$K,0)))/200,($F$12-$I$4+VLOOKUP($R37,武学奇术!$A:$ZZ,11,FALSE)+SUM(_xlfn.XLOOKUP(S37:AL37,增益!$A:$A,增益!$K:$K,0)))/100)</f>
        <v>-0.3</v>
      </c>
      <c r="BF37" s="29" cm="1">
        <f t="array" ref="BF37">$G$12+VLOOKUP($R37,武学奇术!$A:$ZZ,12,FALSE)+SUM(_xlfn.XLOOKUP(S37:AL37,增益!$A:$A,增益!$L:$L,0))</f>
        <v>0</v>
      </c>
      <c r="BG37">
        <f t="shared" si="5"/>
        <v>0</v>
      </c>
      <c r="BH37">
        <f t="shared" si="6"/>
        <v>0</v>
      </c>
      <c r="BI37" s="29" cm="1">
        <f t="array" ref="BI37">IF($F$13-$I$4+VLOOKUP($R37,武学奇术!$A:$ZZ,13,FALSE)+SUM(_xlfn.XLOOKUP(S37:AL37,增益!$A:$A,增益!$M:$M,0))&gt;0,($F$13-$I$4+VLOOKUP($R37,武学奇术!$A:$ZZ,13,FALSE)+SUM(_xlfn.XLOOKUP(S37:AL37,增益!$A:$A,增益!$K:$K,0)))/200,($F$13-$I$4+VLOOKUP($R37,武学奇术!$A:$ZZ,13,FALSE)+SUM(_xlfn.XLOOKUP(S37:AL37,增益!$A:$A,增益!$M:$M,0)))/100)</f>
        <v>-0.3</v>
      </c>
      <c r="BJ37" s="29" cm="1">
        <f t="array" ref="BJ37">$G$13+VLOOKUP($R37,武学奇术!$A:$ZZ,14,FALSE)+SUM(_xlfn.XLOOKUP(S37:AL37,增益!$A:$A,增益!$N:$N,0))</f>
        <v>0</v>
      </c>
      <c r="BK37">
        <f t="shared" si="7"/>
        <v>618.2</v>
      </c>
      <c r="BL37">
        <f t="shared" si="8"/>
        <v>1805</v>
      </c>
      <c r="BM37" s="29" cm="1">
        <f t="array" ref="BM37">IF($F$14-$I$4+VLOOKUP($R37,武学奇术!$A:$ZZ,15,FALSE)+SUM(_xlfn.XLOOKUP(S37:AL37,增益!$A:$A,增益!$O:$O,0))&gt;0,($F$14-$I$4+VLOOKUP($R37,武学奇术!$A:$ZZ,15,FALSE)+SUM(_xlfn.XLOOKUP(S37:AL37,增益!$A:$A,增益!$O:$O,0)))/200,($F$14-$I$4+VLOOKUP($R37,武学奇术!$A:$ZZ,15,FALSE)+SUM(_xlfn.XLOOKUP(S37:AL37,增益!$A:$A,增益!$O:$O,0)))/100)</f>
        <v>0.05</v>
      </c>
      <c r="BN37" s="29" cm="1">
        <f t="array" ref="BN37">$G$14+VLOOKUP($R37,武学奇术!$A:$ZZ,16,FALSE)+SUM(_xlfn.XLOOKUP(S37:AL37,增益!$A:$A,增益!$P:$P,0))</f>
        <v>0.21</v>
      </c>
      <c r="BO37" s="23">
        <f>MIN(IF(VLOOKUP($R37,武学奇术!$A:$ZZ,23,FALSE)=1,100%,$B$8),100%)</f>
        <v>0.9943</v>
      </c>
      <c r="BP37" s="23" cm="1">
        <f t="array" ref="BP37">IF(VLOOKUP($R37,武学奇术!$A:$ZZ,23,FALSE)=1,100%,MIN(80%,$B$9+VLOOKUP($R37,武学奇术!$A:$ZZ,17,FALSE)+SUM(_xlfn.XLOOKUP(S37:AL37,增益!$A:$A,增益!$Q:$Q,0)))+$B$11+SUM(_xlfn.XLOOKUP(S37:AL37,增益!$A:$A,增益!$U:$U,0)))*IF(VLOOKUP($R37,武学奇术!$A:$ZZ,24,FALSE)=1,0,1)</f>
        <v>0.887</v>
      </c>
      <c r="BQ37" s="23" cm="1">
        <f t="array" ref="BQ37">1+$B$13+VLOOKUP($R37,武学奇术!$A:$ZZ,18,FALSE)+SUM(_xlfn.XLOOKUP(S37:AL37,增益!$A:$A,增益!$R:$R,0))</f>
        <v>2.094</v>
      </c>
      <c r="BR37" s="23" cm="1">
        <f t="array" ref="BR37">IF(VLOOKUP($R37,武学奇术!$A:$ZZ,24,FALSE)=1,100%,MIN(40%,$B$10+VLOOKUP($R37,武学奇术!$A:$ZZ,19,FALSE)+SUM(_xlfn.XLOOKUP(S37:AL37,增益!$A:$A,增益!$S:$S,0)))+$B$12+SUM(_xlfn.XLOOKUP(S37:AL37,增益!$A:$A,增益!$V:$V,0)))*IF(VLOOKUP($R37,武学奇术!$A:$ZZ,23,FALSE)=1,0,1)</f>
        <v>0.0913</v>
      </c>
      <c r="BS37" s="23" cm="1">
        <f t="array" ref="BS37">1+$B$14+VLOOKUP($R37,武学奇术!$A:$ZZ,20,FALSE)+SUM(_xlfn.XLOOKUP(S37:AL37,增益!$A:$A,增益!$T:$T,0))</f>
        <v>1.35</v>
      </c>
      <c r="BT37" s="23">
        <f t="shared" si="9"/>
        <v>0.8819441</v>
      </c>
      <c r="BU37" s="23">
        <f t="shared" si="10"/>
        <v>0.0215763099999999</v>
      </c>
      <c r="BV37" s="23">
        <f>IF(VLOOKUP($R37,武学奇术!$A:$ZZ,22,FALSE)=1,0,(1-$BO37))*(1-$BR37)</f>
        <v>0.00517959000000003</v>
      </c>
      <c r="BW37" s="23" cm="1">
        <f t="array" ref="BW37">SUM(_xlfn.XLOOKUP(S37:AL37,增益!$A:$A,增益!$W:$W,0))+$I$5</f>
        <v>0.11</v>
      </c>
      <c r="BX37" s="23">
        <f>VLOOKUP($R37,武学奇术!$A:$ZZ,32,FALSE)</f>
        <v>0.1</v>
      </c>
      <c r="BY37" s="23" cm="1">
        <f t="array" ref="BY37">SUM(_xlfn.XLOOKUP($S37:$AL37,增益!$A:$A,增益!$X:$X,0))</f>
        <v>0</v>
      </c>
    </row>
    <row r="38" spans="2:77">
      <c r="K38" s="35">
        <f>$L38*VLOOKUP($R38,武学奇术!$A:$ZZ,31,FALSE)</f>
        <v>58871.1666544914</v>
      </c>
      <c r="L38" s="35">
        <f t="shared" si="0"/>
        <v>52563.5416557959</v>
      </c>
      <c r="M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轻击",$B$21,0))*(1+IF(VLOOKUP($R38,武学奇术!$A:$ZZ,30,FALSE)="老鼠",$B$22,0))*(1+$BW38)*(1+$BX38)</f>
        <v>54703.4286044324</v>
      </c>
      <c r="N38" s="35">
        <f>(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轻击",$B$21,0))*(1+IF(VLOOKUP($R38,武学奇术!$A:$ZZ,30,FALSE)="老鼠",$B$22,0))*(1+$BW38))*(1+$BX38)</f>
        <v>39832.6795734898</v>
      </c>
      <c r="O38" s="35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轻击",$B$21,0))*(1+IF(VLOOKUP($R38,武学奇术!$A:$ZZ,30,FALSE)="老鼠",$B$22,0))*(1+$BW38)*(1+$BX38)</f>
        <v>26123.8914061282</v>
      </c>
      <c r="P38" s="35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轻击",$B$21,0))*(1+IF(VLOOKUP($R38,武学奇术!$A:$ZZ,30,FALSE)="老鼠",$B$22,0))*(1+$BW38)*(1+$BX38)</f>
        <v>22742.0942393009</v>
      </c>
      <c r="Q38" s="88">
        <v>1</v>
      </c>
      <c r="R38" s="37" t="s">
        <v>148</v>
      </c>
      <c r="S38" s="37" t="s">
        <v>91</v>
      </c>
      <c r="T38" s="37" t="s">
        <v>168</v>
      </c>
      <c r="U38" s="37" t="s">
        <v>112</v>
      </c>
      <c r="V38" s="37" t="s">
        <v>113</v>
      </c>
      <c r="W38" s="37" t="s">
        <v>82</v>
      </c>
      <c r="X38" s="37" t="s">
        <v>81</v>
      </c>
      <c r="Y38" s="37" t="s">
        <v>109</v>
      </c>
      <c r="Z38" s="37" t="s">
        <v>83</v>
      </c>
      <c r="AA38" s="37" t="s">
        <v>81</v>
      </c>
      <c r="AB38" s="37" t="s">
        <v>81</v>
      </c>
      <c r="AC38" s="37" t="s">
        <v>81</v>
      </c>
      <c r="AD38" s="37" t="s">
        <v>85</v>
      </c>
      <c r="AE38" s="37" t="s">
        <v>81</v>
      </c>
      <c r="AF38" s="37" t="s">
        <v>81</v>
      </c>
      <c r="AG38" s="37" t="s">
        <v>87</v>
      </c>
      <c r="AH38" s="37" t="s">
        <v>81</v>
      </c>
      <c r="AI38" s="37" t="s">
        <v>81</v>
      </c>
      <c r="AJ38" s="37" t="s">
        <v>81</v>
      </c>
      <c r="AK38" s="37" t="s">
        <v>81</v>
      </c>
      <c r="AL38" s="37" t="s">
        <v>81</v>
      </c>
      <c r="AM38" t="str">
        <f>VLOOKUP($R38,武学奇术!$A:$ZZ,25,FALSE)</f>
        <v>双刀</v>
      </c>
      <c r="AN38" s="23">
        <f>VLOOKUP($R38,武学奇术!$A:$ZZ,26,FALSE)</f>
        <v>1.4455</v>
      </c>
      <c r="AO38" s="24">
        <f>VLOOKUP($R38,武学奇术!$A:$ZZ,27,FALSE)*(1+IF(OR($AM38=$F$4,$AM38=$F$5),$B$23,0))</f>
        <v>641.6</v>
      </c>
      <c r="AP38" s="23">
        <f>VLOOKUP($R38,武学奇术!$A:$ZZ,28,FALSE)</f>
        <v>2.1683</v>
      </c>
      <c r="AQ38" s="24">
        <f>VLOOKUP($R38,武学奇术!$A:$ZZ,29,FALSE)*(1+IF(OR($AM38=$F$4,$AM38=$F$5),$B$23,0))</f>
        <v>348.8</v>
      </c>
      <c r="AR38" s="23" cm="1">
        <f t="array" ref="AR38">$G$3+IFERROR(VLOOKUP($AM38,$F$4:$G$7,2,FALSE),0)+VLOOKUP($R38,武学奇术!$A:$ZZ,2,FALSE)+SUM(_xlfn.XLOOKUP($S38:$AL38,增益!$A:$A,增益!$B:$B,0))</f>
        <v>0.6943</v>
      </c>
      <c r="AS38" s="23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4081.7</v>
      </c>
      <c r="AU38" cm="1">
        <f t="array" ref="AU38">$E$10*(1+$AS38)+VLOOKUP($R38,武学奇术!$A:$ZZ,4,FALSE)+SUM(_xlfn.XLOOKUP($S38:$AL38,增益!$A:$A,增益!$D:$D,0))-$I$2</f>
        <v>4081.7</v>
      </c>
      <c r="AV38" s="29" cm="1">
        <f t="array" ref="AV38">IF($F$10-$I$3+VLOOKUP($R38,武学奇术!$A:$ZZ,6,FALSE)+SUM(_xlfn.XLOOKUP(S38:AL38,增益!$A:$A,增益!$F:$F,0))&gt;0,($F$10-$I$3+VLOOKUP($R38,武学奇术!$A:$ZZ,6,FALSE)+SUM(_xlfn.XLOOKUP(S38:AL38,增益!$A:$A,增益!$F:$F,0)))/200,($F$10-$I$3+VLOOKUP($R38,武学奇术!$A:$ZZ,6,FALSE)+SUM(_xlfn.XLOOKUP(S38:AL38,增益!$A:$A,增益!$F:$F,0)))/100)</f>
        <v>0.2439</v>
      </c>
      <c r="AW38" s="29" cm="1">
        <f t="array" ref="AW38">$G$10+VLOOKUP($R38,武学奇术!$A:$ZZ,7,FALSE)+SUM(_xlfn.XLOOKUP(S38:AL38,增益!$A:$A,增益!$G:$G,0))</f>
        <v>0.06</v>
      </c>
      <c r="AX38" s="23" cm="1">
        <f t="array" ref="AX38">VLOOKUP($R38,武学奇术!$A:$ZZ,8,FALSE)+SUM(_xlfn.XLOOKUP(S38:AL38,增益!$A:$A,增益!$H:$H,0))</f>
        <v>0</v>
      </c>
      <c r="AY38">
        <f t="shared" si="1"/>
        <v>0</v>
      </c>
      <c r="AZ38">
        <f t="shared" si="2"/>
        <v>0</v>
      </c>
      <c r="BA38" s="29" cm="1">
        <f t="array" ref="BA38">IF($F$11-$I$4+VLOOKUP($R38,武学奇术!$A:$ZZ,9,FALSE)+SUM(_xlfn.XLOOKUP(S38:AL38,增益!$A:$A,增益!$I:$I,0))&gt;0,($F$11-$I$4+VLOOKUP($R38,武学奇术!$A:$ZZ,9,FALSE)+SUM(_xlfn.XLOOKUP(S38:AL38,增益!$A:$A,增益!$I:$I,0)))/200,($F$11-$I$4+VLOOKUP($R38,武学奇术!$A:$ZZ,9,FALSE)+SUM(_xlfn.XLOOKUP(S38:AL38,增益!$A:$A,增益!$I:$I,0)))/100)</f>
        <v>-0.3</v>
      </c>
      <c r="BB38" s="29" cm="1">
        <f t="array" ref="BB38">$G$11+VLOOKUP($R38,武学奇术!$A:$ZZ,10,FALSE)+SUM(_xlfn.XLOOKUP(S38:AL38,增益!$A:$A,增益!$J:$J,0))</f>
        <v>0</v>
      </c>
      <c r="BC38">
        <f t="shared" si="3"/>
        <v>0</v>
      </c>
      <c r="BD38">
        <f t="shared" si="4"/>
        <v>0</v>
      </c>
      <c r="BE38" s="29" cm="1">
        <f t="array" ref="BE38">IF($F$12-$I$4+VLOOKUP($R38,武学奇术!$A:$ZZ,11,FALSE)+SUM(_xlfn.XLOOKUP(S38:AL38,增益!$A:$A,增益!$K:$K,0))&gt;0,($F$12-$I$4+VLOOKUP($R38,武学奇术!$A:$ZZ,11,FALSE)+SUM(_xlfn.XLOOKUP(S38:AL38,增益!$A:$A,增益!$K:$K,0)))/200,($F$12-$I$4+VLOOKUP($R38,武学奇术!$A:$ZZ,11,FALSE)+SUM(_xlfn.XLOOKUP(S38:AL38,增益!$A:$A,增益!$K:$K,0)))/100)</f>
        <v>-0.3</v>
      </c>
      <c r="BF38" s="29" cm="1">
        <f t="array" ref="BF38">$G$12+VLOOKUP($R38,武学奇术!$A:$ZZ,12,FALSE)+SUM(_xlfn.XLOOKUP(S38:AL38,增益!$A:$A,增益!$L:$L,0))</f>
        <v>0</v>
      </c>
      <c r="BG38">
        <f t="shared" si="5"/>
        <v>0</v>
      </c>
      <c r="BH38">
        <f t="shared" si="6"/>
        <v>0</v>
      </c>
      <c r="BI38" s="29" cm="1">
        <f t="array" ref="BI38">IF($F$13-$I$4+VLOOKUP($R38,武学奇术!$A:$ZZ,13,FALSE)+SUM(_xlfn.XLOOKUP(S38:AL38,增益!$A:$A,增益!$M:$M,0))&gt;0,($F$13-$I$4+VLOOKUP($R38,武学奇术!$A:$ZZ,13,FALSE)+SUM(_xlfn.XLOOKUP(S38:AL38,增益!$A:$A,增益!$K:$K,0)))/200,($F$13-$I$4+VLOOKUP($R38,武学奇术!$A:$ZZ,13,FALSE)+SUM(_xlfn.XLOOKUP(S38:AL38,增益!$A:$A,增益!$M:$M,0)))/100)</f>
        <v>-0.3</v>
      </c>
      <c r="BJ38" s="29" cm="1">
        <f t="array" ref="BJ38">$G$13+VLOOKUP($R38,武学奇术!$A:$ZZ,14,FALSE)+SUM(_xlfn.XLOOKUP(S38:AL38,增益!$A:$A,增益!$N:$N,0))</f>
        <v>0</v>
      </c>
      <c r="BK38">
        <f t="shared" si="7"/>
        <v>618.2</v>
      </c>
      <c r="BL38">
        <f t="shared" si="8"/>
        <v>1805</v>
      </c>
      <c r="BM38" s="29" cm="1">
        <f t="array" ref="BM38">IF($F$14-$I$4+VLOOKUP($R38,武学奇术!$A:$ZZ,15,FALSE)+SUM(_xlfn.XLOOKUP(S38:AL38,增益!$A:$A,增益!$O:$O,0))&gt;0,($F$14-$I$4+VLOOKUP($R38,武学奇术!$A:$ZZ,15,FALSE)+SUM(_xlfn.XLOOKUP(S38:AL38,增益!$A:$A,增益!$O:$O,0)))/200,($F$14-$I$4+VLOOKUP($R38,武学奇术!$A:$ZZ,15,FALSE)+SUM(_xlfn.XLOOKUP(S38:AL38,增益!$A:$A,增益!$O:$O,0)))/100)</f>
        <v>0.05</v>
      </c>
      <c r="BN38" s="29" cm="1">
        <f t="array" ref="BN38">$G$14+VLOOKUP($R38,武学奇术!$A:$ZZ,16,FALSE)+SUM(_xlfn.XLOOKUP(S38:AL38,增益!$A:$A,增益!$P:$P,0))</f>
        <v>0.21</v>
      </c>
      <c r="BO38" s="23">
        <f>MIN(IF(VLOOKUP($R38,武学奇术!$A:$ZZ,23,FALSE)=1,100%,$B$8),100%)</f>
        <v>0.9943</v>
      </c>
      <c r="BP38" s="23" cm="1">
        <f t="array" ref="BP38">IF(VLOOKUP($R38,武学奇术!$A:$ZZ,23,FALSE)=1,100%,MIN(80%,$B$9+VLOOKUP($R38,武学奇术!$A:$ZZ,17,FALSE)+SUM(_xlfn.XLOOKUP(S38:AL38,增益!$A:$A,增益!$Q:$Q,0)))+$B$11+SUM(_xlfn.XLOOKUP(S38:AL38,增益!$A:$A,增益!$U:$U,0)))*IF(VLOOKUP($R38,武学奇术!$A:$ZZ,24,FALSE)=1,0,1)</f>
        <v>0.887</v>
      </c>
      <c r="BQ38" s="23" cm="1">
        <f t="array" ref="BQ38">1+$B$13+VLOOKUP($R38,武学奇术!$A:$ZZ,18,FALSE)+SUM(_xlfn.XLOOKUP(S38:AL38,增益!$A:$A,增益!$R:$R,0))</f>
        <v>2.094</v>
      </c>
      <c r="BR38" s="23" cm="1">
        <f t="array" ref="BR38">IF(VLOOKUP($R38,武学奇术!$A:$ZZ,24,FALSE)=1,100%,MIN(40%,$B$10+VLOOKUP($R38,武学奇术!$A:$ZZ,19,FALSE)+SUM(_xlfn.XLOOKUP(S38:AL38,增益!$A:$A,增益!$S:$S,0)))+$B$12+SUM(_xlfn.XLOOKUP(S38:AL38,增益!$A:$A,增益!$V:$V,0)))*IF(VLOOKUP($R38,武学奇术!$A:$ZZ,23,FALSE)=1,0,1)</f>
        <v>0.0913</v>
      </c>
      <c r="BS38" s="23" cm="1">
        <f t="array" ref="BS38">1+$B$14+VLOOKUP($R38,武学奇术!$A:$ZZ,20,FALSE)+SUM(_xlfn.XLOOKUP(S38:AL38,增益!$A:$A,增益!$T:$T,0))</f>
        <v>1.35</v>
      </c>
      <c r="BT38" s="23">
        <f t="shared" si="9"/>
        <v>0.8819441</v>
      </c>
      <c r="BU38" s="23">
        <f t="shared" si="10"/>
        <v>0.0215763099999999</v>
      </c>
      <c r="BV38" s="23">
        <f>IF(VLOOKUP($R38,武学奇术!$A:$ZZ,22,FALSE)=1,0,(1-$BO38))*(1-$BR38)</f>
        <v>0.00517959000000003</v>
      </c>
      <c r="BW38" s="23" cm="1">
        <f t="array" ref="BW38">SUM(_xlfn.XLOOKUP(S38:AL38,增益!$A:$A,增益!$W:$W,0))+$I$5</f>
        <v>0.11</v>
      </c>
      <c r="BX38" s="23">
        <f>VLOOKUP($R38,武学奇术!$A:$ZZ,32,FALSE)</f>
        <v>0.1</v>
      </c>
      <c r="BY38" s="23" cm="1">
        <f t="array" ref="BY38">SUM(_xlfn.XLOOKUP($S38:$AL38,增益!$A:$A,增益!$X:$X,0))</f>
        <v>0</v>
      </c>
    </row>
    <row r="39" spans="2:77">
      <c r="K39" s="35">
        <f>$L39*VLOOKUP($R39,武学奇术!$A:$ZZ,31,FALSE)</f>
        <v>126387.284200608</v>
      </c>
      <c r="L39" s="69">
        <f t="shared" si="0"/>
        <v>123909.102157458</v>
      </c>
      <c r="M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轻击",$B$21,0))*(1+IF(VLOOKUP($R39,武学奇术!$A:$ZZ,30,FALSE)="老鼠",$B$22,0))*(1+$BW39)*(1+$BX39)</f>
        <v>128836.567134214</v>
      </c>
      <c r="N39" s="35">
        <f>(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轻击",$B$21,0))*(1+IF(VLOOKUP($R39,武学奇术!$A:$ZZ,30,FALSE)="老鼠",$B$22,0))*(1+$BW39))*(1+$BX39)</f>
        <v>95097.886685158</v>
      </c>
      <c r="O39" s="35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轻击",$B$21,0))*(1+IF(VLOOKUP($R39,武学奇术!$A:$ZZ,30,FALSE)="老鼠",$B$22,0))*(1+$BW39)*(1+$BX39)</f>
        <v>61526.5363582683</v>
      </c>
      <c r="P39" s="35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轻击",$B$21,0))*(1+IF(VLOOKUP($R39,武学奇术!$A:$ZZ,30,FALSE)="老鼠",$B$22,0))*(1+$BW39)*(1+$BX39)</f>
        <v>52610.1936904937</v>
      </c>
      <c r="Q39" s="70">
        <v>5</v>
      </c>
      <c r="R39" s="37" t="s">
        <v>106</v>
      </c>
      <c r="S39" s="37" t="s">
        <v>91</v>
      </c>
      <c r="T39" s="37" t="s">
        <v>168</v>
      </c>
      <c r="U39" s="37" t="s">
        <v>112</v>
      </c>
      <c r="V39" s="37" t="s">
        <v>113</v>
      </c>
      <c r="W39" s="37" t="s">
        <v>82</v>
      </c>
      <c r="X39" s="37" t="s">
        <v>81</v>
      </c>
      <c r="Y39" s="37" t="s">
        <v>109</v>
      </c>
      <c r="Z39" s="37" t="s">
        <v>83</v>
      </c>
      <c r="AA39" s="37" t="s">
        <v>81</v>
      </c>
      <c r="AB39" s="37" t="s">
        <v>81</v>
      </c>
      <c r="AC39" s="37" t="s">
        <v>81</v>
      </c>
      <c r="AD39" s="37" t="s">
        <v>85</v>
      </c>
      <c r="AE39" s="37" t="s">
        <v>81</v>
      </c>
      <c r="AF39" s="37" t="s">
        <v>81</v>
      </c>
      <c r="AG39" s="37" t="s">
        <v>87</v>
      </c>
      <c r="AH39" s="37" t="s">
        <v>81</v>
      </c>
      <c r="AI39" s="37" t="s">
        <v>81</v>
      </c>
      <c r="AJ39" s="37" t="s">
        <v>81</v>
      </c>
      <c r="AK39" s="37" t="s">
        <v>81</v>
      </c>
      <c r="AL39" s="37" t="s">
        <v>81</v>
      </c>
      <c r="AM39" t="str">
        <f>VLOOKUP($R39,武学奇术!$A:$ZZ,25,FALSE)</f>
        <v>绳镖</v>
      </c>
      <c r="AN39" s="23">
        <f>VLOOKUP($R39,武学奇术!$A:$ZZ,26,FALSE)</f>
        <v>0.3675</v>
      </c>
      <c r="AO39" s="24">
        <f>VLOOKUP($R39,武学奇术!$A:$ZZ,27,FALSE)*(1+IF(OR($AM39=$F$4,$AM39=$F$5),$B$23,0))</f>
        <v>0</v>
      </c>
      <c r="AP39" s="23">
        <f>VLOOKUP($R39,武学奇术!$A:$ZZ,28,FALSE)</f>
        <v>0.55125</v>
      </c>
      <c r="AQ39" s="24">
        <f>VLOOKUP($R39,武学奇术!$A:$ZZ,29,FALSE)*(1+IF(OR($AM39=$F$4,$AM39=$F$5),$B$23,0))</f>
        <v>0</v>
      </c>
      <c r="AR39" s="23" cm="1">
        <f t="array" ref="AR39">$G$3+IFERROR(VLOOKUP($AM39,$F$4:$G$7,2,FALSE),0)+VLOOKUP($R39,武学奇术!$A:$ZZ,2,FALSE)+SUM(_xlfn.XLOOKUP($S39:$AL39,增益!$A:$A,增益!$B:$B,0))</f>
        <v>1.4943</v>
      </c>
      <c r="AS39" s="23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4081.7</v>
      </c>
      <c r="AU39" cm="1">
        <f t="array" ref="AU39">$E$10*(1+$AS39)+VLOOKUP($R39,武学奇术!$A:$ZZ,4,FALSE)+SUM(_xlfn.XLOOKUP($S39:$AL39,增益!$A:$A,增益!$D:$D,0))-$I$2</f>
        <v>4081.7</v>
      </c>
      <c r="AV39" s="29" cm="1">
        <f t="array" ref="AV39">IF($F$10-$I$3+VLOOKUP($R39,武学奇术!$A:$ZZ,6,FALSE)+SUM(_xlfn.XLOOKUP(S39:AL39,增益!$A:$A,增益!$F:$F,0))&gt;0,($F$10-$I$3+VLOOKUP($R39,武学奇术!$A:$ZZ,6,FALSE)+SUM(_xlfn.XLOOKUP(S39:AL39,增益!$A:$A,增益!$F:$F,0)))/200,($F$10-$I$3+VLOOKUP($R39,武学奇术!$A:$ZZ,6,FALSE)+SUM(_xlfn.XLOOKUP(S39:AL39,增益!$A:$A,增益!$F:$F,0)))/100)</f>
        <v>0.2439</v>
      </c>
      <c r="AW39" s="29" cm="1">
        <f t="array" ref="AW39">$G$10+VLOOKUP($R39,武学奇术!$A:$ZZ,7,FALSE)+SUM(_xlfn.XLOOKUP(S39:AL39,增益!$A:$A,增益!$G:$G,0))</f>
        <v>0.27</v>
      </c>
      <c r="AX39" s="23" cm="1">
        <f t="array" ref="AX39">VLOOKUP($R39,武学奇术!$A:$ZZ,8,FALSE)+SUM(_xlfn.XLOOKUP(S39:AL39,增益!$A:$A,增益!$H:$H,0))</f>
        <v>0</v>
      </c>
      <c r="AY39">
        <f t="shared" si="1"/>
        <v>0</v>
      </c>
      <c r="AZ39">
        <f t="shared" si="2"/>
        <v>0</v>
      </c>
      <c r="BA39" s="29" cm="1">
        <f t="array" ref="BA39">IF($F$11-$I$4+VLOOKUP($R39,武学奇术!$A:$ZZ,9,FALSE)+SUM(_xlfn.XLOOKUP(S39:AL39,增益!$A:$A,增益!$I:$I,0))&gt;0,($F$11-$I$4+VLOOKUP($R39,武学奇术!$A:$ZZ,9,FALSE)+SUM(_xlfn.XLOOKUP(S39:AL39,增益!$A:$A,增益!$I:$I,0)))/200,($F$11-$I$4+VLOOKUP($R39,武学奇术!$A:$ZZ,9,FALSE)+SUM(_xlfn.XLOOKUP(S39:AL39,增益!$A:$A,增益!$I:$I,0)))/100)</f>
        <v>-0.3</v>
      </c>
      <c r="BB39" s="29" cm="1">
        <f t="array" ref="BB39">$G$11+VLOOKUP($R39,武学奇术!$A:$ZZ,10,FALSE)+SUM(_xlfn.XLOOKUP(S39:AL39,增益!$A:$A,增益!$J:$J,0))</f>
        <v>0</v>
      </c>
      <c r="BC39">
        <f t="shared" si="3"/>
        <v>0</v>
      </c>
      <c r="BD39">
        <f t="shared" si="4"/>
        <v>0</v>
      </c>
      <c r="BE39" s="29" cm="1">
        <f t="array" ref="BE39">IF($F$12-$I$4+VLOOKUP($R39,武学奇术!$A:$ZZ,11,FALSE)+SUM(_xlfn.XLOOKUP(S39:AL39,增益!$A:$A,增益!$K:$K,0))&gt;0,($F$12-$I$4+VLOOKUP($R39,武学奇术!$A:$ZZ,11,FALSE)+SUM(_xlfn.XLOOKUP(S39:AL39,增益!$A:$A,增益!$K:$K,0)))/200,($F$12-$I$4+VLOOKUP($R39,武学奇术!$A:$ZZ,11,FALSE)+SUM(_xlfn.XLOOKUP(S39:AL39,增益!$A:$A,增益!$K:$K,0)))/100)</f>
        <v>-0.3</v>
      </c>
      <c r="BF39" s="29" cm="1">
        <f t="array" ref="BF39">$G$12+VLOOKUP($R39,武学奇术!$A:$ZZ,12,FALSE)+SUM(_xlfn.XLOOKUP(S39:AL39,增益!$A:$A,增益!$L:$L,0))</f>
        <v>0</v>
      </c>
      <c r="BG39">
        <f t="shared" si="5"/>
        <v>0</v>
      </c>
      <c r="BH39">
        <f t="shared" si="6"/>
        <v>0</v>
      </c>
      <c r="BI39" s="29" cm="1">
        <f t="array" ref="BI39">IF($F$13-$I$4+VLOOKUP($R39,武学奇术!$A:$ZZ,13,FALSE)+SUM(_xlfn.XLOOKUP(S39:AL39,增益!$A:$A,增益!$M:$M,0))&gt;0,($F$13-$I$4+VLOOKUP($R39,武学奇术!$A:$ZZ,13,FALSE)+SUM(_xlfn.XLOOKUP(S39:AL39,增益!$A:$A,增益!$K:$K,0)))/200,($F$13-$I$4+VLOOKUP($R39,武学奇术!$A:$ZZ,13,FALSE)+SUM(_xlfn.XLOOKUP(S39:AL39,增益!$A:$A,增益!$M:$M,0)))/100)</f>
        <v>-0.3</v>
      </c>
      <c r="BJ39" s="29" cm="1">
        <f t="array" ref="BJ39">$G$13+VLOOKUP($R39,武学奇术!$A:$ZZ,14,FALSE)+SUM(_xlfn.XLOOKUP(S39:AL39,增益!$A:$A,增益!$N:$N,0))</f>
        <v>0</v>
      </c>
      <c r="BK39">
        <f t="shared" si="7"/>
        <v>618.2</v>
      </c>
      <c r="BL39">
        <f t="shared" si="8"/>
        <v>1805</v>
      </c>
      <c r="BM39" s="29" cm="1">
        <f t="array" ref="BM39">IF($F$14-$I$4+VLOOKUP($R39,武学奇术!$A:$ZZ,15,FALSE)+SUM(_xlfn.XLOOKUP(S39:AL39,增益!$A:$A,增益!$O:$O,0))&gt;0,($F$14-$I$4+VLOOKUP($R39,武学奇术!$A:$ZZ,15,FALSE)+SUM(_xlfn.XLOOKUP(S39:AL39,增益!$A:$A,增益!$O:$O,0)))/200,($F$14-$I$4+VLOOKUP($R39,武学奇术!$A:$ZZ,15,FALSE)+SUM(_xlfn.XLOOKUP(S39:AL39,增益!$A:$A,增益!$O:$O,0)))/100)</f>
        <v>0.05</v>
      </c>
      <c r="BN39" s="29" cm="1">
        <f t="array" ref="BN39">$G$14+VLOOKUP($R39,武学奇术!$A:$ZZ,16,FALSE)+SUM(_xlfn.XLOOKUP(S39:AL39,增益!$A:$A,增益!$P:$P,0))</f>
        <v>0.42</v>
      </c>
      <c r="BO39" s="23">
        <f>MIN(IF(VLOOKUP($R39,武学奇术!$A:$ZZ,23,FALSE)=1,100%,$B$8),100%)</f>
        <v>0.9943</v>
      </c>
      <c r="BP39" s="23" cm="1">
        <f t="array" ref="BP39">IF(VLOOKUP($R39,武学奇术!$A:$ZZ,23,FALSE)=1,100%,MIN(80%,$B$9+VLOOKUP($R39,武学奇术!$A:$ZZ,17,FALSE)+SUM(_xlfn.XLOOKUP(S39:AL39,增益!$A:$A,增益!$Q:$Q,0)))+$B$11+SUM(_xlfn.XLOOKUP(S39:AL39,增益!$A:$A,增益!$U:$U,0)))*IF(VLOOKUP($R39,武学奇术!$A:$ZZ,24,FALSE)=1,0,1)</f>
        <v>0.887</v>
      </c>
      <c r="BQ39" s="23" cm="1">
        <f t="array" ref="BQ39">1+$B$13+VLOOKUP($R39,武学奇术!$A:$ZZ,18,FALSE)+SUM(_xlfn.XLOOKUP(S39:AL39,增益!$A:$A,增益!$R:$R,0))</f>
        <v>2.094</v>
      </c>
      <c r="BR39" s="23" cm="1">
        <f t="array" ref="BR39">IF(VLOOKUP($R39,武学奇术!$A:$ZZ,24,FALSE)=1,100%,MIN(40%,$B$10+VLOOKUP($R39,武学奇术!$A:$ZZ,19,FALSE)+SUM(_xlfn.XLOOKUP(S39:AL39,增益!$A:$A,增益!$S:$S,0)))+$B$12+SUM(_xlfn.XLOOKUP(S39:AL39,增益!$A:$A,增益!$V:$V,0)))*IF(VLOOKUP($R39,武学奇术!$A:$ZZ,23,FALSE)=1,0,1)</f>
        <v>0.0913</v>
      </c>
      <c r="BS39" s="23" cm="1">
        <f t="array" ref="BS39">1+$B$14+VLOOKUP($R39,武学奇术!$A:$ZZ,20,FALSE)+SUM(_xlfn.XLOOKUP(S39:AL39,增益!$A:$A,增益!$T:$T,0))</f>
        <v>1.35</v>
      </c>
      <c r="BT39" s="23">
        <f t="shared" si="9"/>
        <v>0.8819441</v>
      </c>
      <c r="BU39" s="23">
        <f t="shared" si="10"/>
        <v>0.0215763099999999</v>
      </c>
      <c r="BV39" s="23">
        <f>IF(VLOOKUP($R39,武学奇术!$A:$ZZ,22,FALSE)=1,0,(1-$BO39))*(1-$BR39)</f>
        <v>0.00517959000000003</v>
      </c>
      <c r="BW39" s="23" cm="1">
        <f t="array" ref="BW39">SUM(_xlfn.XLOOKUP(S39:AL39,增益!$A:$A,增益!$W:$W,0))+$I$5</f>
        <v>0.11</v>
      </c>
      <c r="BX39" s="23">
        <f>VLOOKUP($R39,武学奇术!$A:$ZZ,32,FALSE)</f>
        <v>0</v>
      </c>
      <c r="BY39" s="23" cm="1">
        <f t="array" ref="BY39">SUM(_xlfn.XLOOKUP($S39:$AL39,增益!$A:$A,增益!$X:$X,0))</f>
        <v>0</v>
      </c>
    </row>
    <row r="40" spans="2:77">
      <c r="K40" s="35">
        <f>$L40*VLOOKUP($R40,武学奇术!$A:$ZZ,31,FALSE)</f>
        <v>71001.5792614014</v>
      </c>
      <c r="L40" s="35">
        <f t="shared" si="0"/>
        <v>63394.2671976798</v>
      </c>
      <c r="M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轻击",$B$21,0))*(1+IF(VLOOKUP($R40,武学奇术!$A:$ZZ,30,FALSE)="老鼠",$B$22,0))*(1+$BW40)*(1+$BX40)</f>
        <v>66000.8419125492</v>
      </c>
      <c r="N40" s="35">
        <f>(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轻击",$B$21,0))*(1+IF(VLOOKUP($R40,武学奇术!$A:$ZZ,30,FALSE)="老鼠",$B$22,0))*(1+$BW40))*(1+$BX40)</f>
        <v>47830.6239826442</v>
      </c>
      <c r="O40" s="35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轻击",$B$21,0))*(1+IF(VLOOKUP($R40,武学奇术!$A:$ZZ,30,FALSE)="老鼠",$B$22,0))*(1+$BW40)*(1+$BX40)</f>
        <v>31369.2214413257</v>
      </c>
      <c r="P40" s="35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轻击",$B$21,0))*(1+IF(VLOOKUP($R40,武学奇术!$A:$ZZ,30,FALSE)="老鼠",$B$22,0))*(1+$BW40)*(1+$BX40)</f>
        <v>27308.3510436556</v>
      </c>
      <c r="Q40" s="36">
        <v>1</v>
      </c>
      <c r="R40" s="37" t="s">
        <v>153</v>
      </c>
      <c r="S40" s="37" t="s">
        <v>91</v>
      </c>
      <c r="T40" s="37" t="s">
        <v>175</v>
      </c>
      <c r="U40" s="37" t="s">
        <v>112</v>
      </c>
      <c r="V40" s="37" t="s">
        <v>113</v>
      </c>
      <c r="W40" s="37" t="s">
        <v>82</v>
      </c>
      <c r="X40" s="37" t="s">
        <v>81</v>
      </c>
      <c r="Y40" s="37" t="s">
        <v>109</v>
      </c>
      <c r="Z40" s="37" t="s">
        <v>83</v>
      </c>
      <c r="AA40" s="37" t="s">
        <v>81</v>
      </c>
      <c r="AB40" s="37" t="s">
        <v>81</v>
      </c>
      <c r="AC40" s="37" t="s">
        <v>81</v>
      </c>
      <c r="AD40" s="37" t="s">
        <v>85</v>
      </c>
      <c r="AE40" s="37" t="s">
        <v>81</v>
      </c>
      <c r="AF40" s="37" t="s">
        <v>81</v>
      </c>
      <c r="AG40" s="37" t="s">
        <v>87</v>
      </c>
      <c r="AH40" s="37" t="s">
        <v>81</v>
      </c>
      <c r="AI40" s="37" t="s">
        <v>81</v>
      </c>
      <c r="AJ40" s="37" t="s">
        <v>81</v>
      </c>
      <c r="AK40" s="37" t="s">
        <v>81</v>
      </c>
      <c r="AL40" s="37" t="s">
        <v>81</v>
      </c>
      <c r="AM40" t="str">
        <f>VLOOKUP($R40,武学奇术!$A:$ZZ,25,FALSE)</f>
        <v>双刀</v>
      </c>
      <c r="AN40" s="23">
        <f>VLOOKUP($R40,武学奇术!$A:$ZZ,26,FALSE)</f>
        <v>1.7358</v>
      </c>
      <c r="AO40" s="24">
        <f>VLOOKUP($R40,武学奇术!$A:$ZZ,27,FALSE)*(1+IF(OR($AM40=$F$4,$AM40=$F$5),$B$23,0))</f>
        <v>769.6</v>
      </c>
      <c r="AP40" s="23">
        <f>VLOOKUP($R40,武学奇术!$A:$ZZ,28,FALSE)</f>
        <v>2.6037</v>
      </c>
      <c r="AQ40" s="24">
        <f>VLOOKUP($R40,武学奇术!$A:$ZZ,29,FALSE)*(1+IF(OR($AM40=$F$4,$AM40=$F$5),$B$23,0))</f>
        <v>419.2</v>
      </c>
      <c r="AR40" s="23" cm="1">
        <f t="array" ref="AR40">$G$3+IFERROR(VLOOKUP($AM40,$F$4:$G$7,2,FALSE),0)+VLOOKUP($R40,武学奇术!$A:$ZZ,2,FALSE)+SUM(_xlfn.XLOOKUP($S40:$AL40,增益!$A:$A,增益!$B:$B,0))</f>
        <v>0.6943</v>
      </c>
      <c r="AS40" s="23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4081.7</v>
      </c>
      <c r="AU40" cm="1">
        <f t="array" ref="AU40">$E$10*(1+$AS40)+VLOOKUP($R40,武学奇术!$A:$ZZ,4,FALSE)+SUM(_xlfn.XLOOKUP($S40:$AL40,增益!$A:$A,增益!$D:$D,0))-$I$2</f>
        <v>4081.7</v>
      </c>
      <c r="AV40" s="29" cm="1">
        <f t="array" ref="AV40">IF($F$10-$I$3+VLOOKUP($R40,武学奇术!$A:$ZZ,6,FALSE)+SUM(_xlfn.XLOOKUP(S40:AL40,增益!$A:$A,增益!$F:$F,0))&gt;0,($F$10-$I$3+VLOOKUP($R40,武学奇术!$A:$ZZ,6,FALSE)+SUM(_xlfn.XLOOKUP(S40:AL40,增益!$A:$A,增益!$F:$F,0)))/200,($F$10-$I$3+VLOOKUP($R40,武学奇术!$A:$ZZ,6,FALSE)+SUM(_xlfn.XLOOKUP(S40:AL40,增益!$A:$A,增益!$F:$F,0)))/100)</f>
        <v>0.2439</v>
      </c>
      <c r="AW40" s="29" cm="1">
        <f t="array" ref="AW40">$G$10+VLOOKUP($R40,武学奇术!$A:$ZZ,7,FALSE)+SUM(_xlfn.XLOOKUP(S40:AL40,增益!$A:$A,增益!$G:$G,0))</f>
        <v>0.06</v>
      </c>
      <c r="AX40" s="23" cm="1">
        <f t="array" ref="AX40">VLOOKUP($R40,武学奇术!$A:$ZZ,8,FALSE)+SUM(_xlfn.XLOOKUP(S40:AL40,增益!$A:$A,增益!$H:$H,0))</f>
        <v>0</v>
      </c>
      <c r="AY40">
        <f t="shared" si="1"/>
        <v>0</v>
      </c>
      <c r="AZ40">
        <f t="shared" si="2"/>
        <v>0</v>
      </c>
      <c r="BA40" s="29" cm="1">
        <f t="array" ref="BA40">IF($F$11-$I$4+VLOOKUP($R40,武学奇术!$A:$ZZ,9,FALSE)+SUM(_xlfn.XLOOKUP(S40:AL40,增益!$A:$A,增益!$I:$I,0))&gt;0,($F$11-$I$4+VLOOKUP($R40,武学奇术!$A:$ZZ,9,FALSE)+SUM(_xlfn.XLOOKUP(S40:AL40,增益!$A:$A,增益!$I:$I,0)))/200,($F$11-$I$4+VLOOKUP($R40,武学奇术!$A:$ZZ,9,FALSE)+SUM(_xlfn.XLOOKUP(S40:AL40,增益!$A:$A,增益!$I:$I,0)))/100)</f>
        <v>-0.3</v>
      </c>
      <c r="BB40" s="29" cm="1">
        <f t="array" ref="BB40">$G$11+VLOOKUP($R40,武学奇术!$A:$ZZ,10,FALSE)+SUM(_xlfn.XLOOKUP(S40:AL40,增益!$A:$A,增益!$J:$J,0))</f>
        <v>0</v>
      </c>
      <c r="BC40">
        <f t="shared" si="3"/>
        <v>0</v>
      </c>
      <c r="BD40">
        <f t="shared" si="4"/>
        <v>0</v>
      </c>
      <c r="BE40" s="29" cm="1">
        <f t="array" ref="BE40">IF($F$12-$I$4+VLOOKUP($R40,武学奇术!$A:$ZZ,11,FALSE)+SUM(_xlfn.XLOOKUP(S40:AL40,增益!$A:$A,增益!$K:$K,0))&gt;0,($F$12-$I$4+VLOOKUP($R40,武学奇术!$A:$ZZ,11,FALSE)+SUM(_xlfn.XLOOKUP(S40:AL40,增益!$A:$A,增益!$K:$K,0)))/200,($F$12-$I$4+VLOOKUP($R40,武学奇术!$A:$ZZ,11,FALSE)+SUM(_xlfn.XLOOKUP(S40:AL40,增益!$A:$A,增益!$K:$K,0)))/100)</f>
        <v>-0.3</v>
      </c>
      <c r="BF40" s="29" cm="1">
        <f t="array" ref="BF40">$G$12+VLOOKUP($R40,武学奇术!$A:$ZZ,12,FALSE)+SUM(_xlfn.XLOOKUP(S40:AL40,增益!$A:$A,增益!$L:$L,0))</f>
        <v>0</v>
      </c>
      <c r="BG40">
        <f t="shared" si="5"/>
        <v>0</v>
      </c>
      <c r="BH40">
        <f t="shared" si="6"/>
        <v>0</v>
      </c>
      <c r="BI40" s="29" cm="1">
        <f t="array" ref="BI40">IF($F$13-$I$4+VLOOKUP($R40,武学奇术!$A:$ZZ,13,FALSE)+SUM(_xlfn.XLOOKUP(S40:AL40,增益!$A:$A,增益!$M:$M,0))&gt;0,($F$13-$I$4+VLOOKUP($R40,武学奇术!$A:$ZZ,13,FALSE)+SUM(_xlfn.XLOOKUP(S40:AL40,增益!$A:$A,增益!$K:$K,0)))/200,($F$13-$I$4+VLOOKUP($R40,武学奇术!$A:$ZZ,13,FALSE)+SUM(_xlfn.XLOOKUP(S40:AL40,增益!$A:$A,增益!$M:$M,0)))/100)</f>
        <v>-0.3</v>
      </c>
      <c r="BJ40" s="29" cm="1">
        <f t="array" ref="BJ40">$G$13+VLOOKUP($R40,武学奇术!$A:$ZZ,14,FALSE)+SUM(_xlfn.XLOOKUP(S40:AL40,增益!$A:$A,增益!$N:$N,0))</f>
        <v>0</v>
      </c>
      <c r="BK40">
        <f t="shared" si="7"/>
        <v>618.2</v>
      </c>
      <c r="BL40">
        <f t="shared" si="8"/>
        <v>1805</v>
      </c>
      <c r="BM40" s="29" cm="1">
        <f t="array" ref="BM40">IF($F$14-$I$4+VLOOKUP($R40,武学奇术!$A:$ZZ,15,FALSE)+SUM(_xlfn.XLOOKUP(S40:AL40,增益!$A:$A,增益!$O:$O,0))&gt;0,($F$14-$I$4+VLOOKUP($R40,武学奇术!$A:$ZZ,15,FALSE)+SUM(_xlfn.XLOOKUP(S40:AL40,增益!$A:$A,增益!$O:$O,0)))/200,($F$14-$I$4+VLOOKUP($R40,武学奇术!$A:$ZZ,15,FALSE)+SUM(_xlfn.XLOOKUP(S40:AL40,增益!$A:$A,增益!$O:$O,0)))/100)</f>
        <v>0.05</v>
      </c>
      <c r="BN40" s="29" cm="1">
        <f t="array" ref="BN40">$G$14+VLOOKUP($R40,武学奇术!$A:$ZZ,16,FALSE)+SUM(_xlfn.XLOOKUP(S40:AL40,增益!$A:$A,增益!$P:$P,0))</f>
        <v>0.21</v>
      </c>
      <c r="BO40" s="23">
        <f>MIN(IF(VLOOKUP($R40,武学奇术!$A:$ZZ,23,FALSE)=1,100%,$B$8),100%)</f>
        <v>0.9943</v>
      </c>
      <c r="BP40" s="23" cm="1">
        <f t="array" ref="BP40">IF(VLOOKUP($R40,武学奇术!$A:$ZZ,23,FALSE)=1,100%,MIN(80%,$B$9+VLOOKUP($R40,武学奇术!$A:$ZZ,17,FALSE)+SUM(_xlfn.XLOOKUP(S40:AL40,增益!$A:$A,增益!$Q:$Q,0)))+$B$11+SUM(_xlfn.XLOOKUP(S40:AL40,增益!$A:$A,增益!$U:$U,0)))*IF(VLOOKUP($R40,武学奇术!$A:$ZZ,24,FALSE)=1,0,1)</f>
        <v>0.887</v>
      </c>
      <c r="BQ40" s="23" cm="1">
        <f t="array" ref="BQ40">1+$B$13+VLOOKUP($R40,武学奇术!$A:$ZZ,18,FALSE)+SUM(_xlfn.XLOOKUP(S40:AL40,增益!$A:$A,增益!$R:$R,0))</f>
        <v>2.104</v>
      </c>
      <c r="BR40" s="23" cm="1">
        <f t="array" ref="BR40">IF(VLOOKUP($R40,武学奇术!$A:$ZZ,24,FALSE)=1,100%,MIN(40%,$B$10+VLOOKUP($R40,武学奇术!$A:$ZZ,19,FALSE)+SUM(_xlfn.XLOOKUP(S40:AL40,增益!$A:$A,增益!$S:$S,0)))+$B$12+SUM(_xlfn.XLOOKUP(S40:AL40,增益!$A:$A,增益!$V:$V,0)))*IF(VLOOKUP($R40,武学奇术!$A:$ZZ,23,FALSE)=1,0,1)</f>
        <v>0.0913</v>
      </c>
      <c r="BS40" s="23" cm="1">
        <f t="array" ref="BS40">1+$B$14+VLOOKUP($R40,武学奇术!$A:$ZZ,20,FALSE)+SUM(_xlfn.XLOOKUP(S40:AL40,增益!$A:$A,增益!$T:$T,0))</f>
        <v>1.35</v>
      </c>
      <c r="BT40" s="23">
        <f t="shared" si="9"/>
        <v>0.8819441</v>
      </c>
      <c r="BU40" s="23">
        <f t="shared" si="10"/>
        <v>0.0215763099999999</v>
      </c>
      <c r="BV40" s="23">
        <f>IF(VLOOKUP($R40,武学奇术!$A:$ZZ,22,FALSE)=1,0,(1-$BO40))*(1-$BR40)</f>
        <v>0.00517959000000003</v>
      </c>
      <c r="BW40" s="23" cm="1">
        <f t="array" ref="BW40">SUM(_xlfn.XLOOKUP(S40:AL40,增益!$A:$A,增益!$W:$W,0))+$I$5</f>
        <v>0.11</v>
      </c>
      <c r="BX40" s="23">
        <f>VLOOKUP($R40,武学奇术!$A:$ZZ,32,FALSE)</f>
        <v>0.1</v>
      </c>
      <c r="BY40" s="23" cm="1">
        <f t="array" ref="BY40">SUM(_xlfn.XLOOKUP($S40:$AL40,增益!$A:$A,增益!$X:$X,0))</f>
        <v>0</v>
      </c>
    </row>
    <row r="41" spans="2:77">
      <c r="K41" s="35">
        <f>$L41*VLOOKUP($R41,武学奇术!$A:$ZZ,31,FALSE)</f>
        <v>50776.3065804402</v>
      </c>
      <c r="L41" s="69">
        <f t="shared" si="0"/>
        <v>49780.6927259218</v>
      </c>
      <c r="M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轻击",$B$21,0))*(1+IF(VLOOKUP($R41,武学奇术!$A:$ZZ,30,FALSE)="老鼠",$B$22,0))*(1+$BW41)*(1+$BX41)</f>
        <v>51780.7329991186</v>
      </c>
      <c r="N41" s="35">
        <f>(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轻击",$B$21,0))*(1+IF(VLOOKUP($R41,武学奇术!$A:$ZZ,30,FALSE)="老鼠",$B$22,0))*(1+$BW41))*(1+$BX41)</f>
        <v>38039.1546740632</v>
      </c>
      <c r="O41" s="35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轻击",$B$21,0))*(1+IF(VLOOKUP($R41,武学奇术!$A:$ZZ,30,FALSE)="老鼠",$B$22,0))*(1+$BW41)*(1+$BX41)</f>
        <v>24610.6145433073</v>
      </c>
      <c r="P41" s="35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轻击",$B$21,0))*(1+IF(VLOOKUP($R41,武学奇术!$A:$ZZ,30,FALSE)="老鼠",$B$22,0))*(1+$BW41)*(1+$BX41)</f>
        <v>21044.0774761975</v>
      </c>
      <c r="Q41" s="70">
        <v>2</v>
      </c>
      <c r="R41" s="37" t="s">
        <v>106</v>
      </c>
      <c r="S41" s="37" t="s">
        <v>91</v>
      </c>
      <c r="T41" s="37" t="s">
        <v>175</v>
      </c>
      <c r="U41" s="37" t="s">
        <v>112</v>
      </c>
      <c r="V41" s="37" t="s">
        <v>113</v>
      </c>
      <c r="W41" s="37" t="s">
        <v>82</v>
      </c>
      <c r="X41" s="37" t="s">
        <v>81</v>
      </c>
      <c r="Y41" s="37" t="s">
        <v>109</v>
      </c>
      <c r="Z41" s="37" t="s">
        <v>83</v>
      </c>
      <c r="AA41" s="37" t="s">
        <v>81</v>
      </c>
      <c r="AB41" s="37" t="s">
        <v>81</v>
      </c>
      <c r="AC41" s="37" t="s">
        <v>81</v>
      </c>
      <c r="AD41" s="37" t="s">
        <v>85</v>
      </c>
      <c r="AE41" s="37" t="s">
        <v>81</v>
      </c>
      <c r="AF41" s="37" t="s">
        <v>81</v>
      </c>
      <c r="AG41" s="37" t="s">
        <v>87</v>
      </c>
      <c r="AH41" s="37" t="s">
        <v>81</v>
      </c>
      <c r="AI41" s="37" t="s">
        <v>81</v>
      </c>
      <c r="AJ41" s="37" t="s">
        <v>81</v>
      </c>
      <c r="AK41" s="37" t="s">
        <v>81</v>
      </c>
      <c r="AL41" s="37" t="s">
        <v>81</v>
      </c>
      <c r="AM41" t="str">
        <f>VLOOKUP($R41,武学奇术!$A:$ZZ,25,FALSE)</f>
        <v>绳镖</v>
      </c>
      <c r="AN41" s="23">
        <f>VLOOKUP($R41,武学奇术!$A:$ZZ,26,FALSE)</f>
        <v>0.3675</v>
      </c>
      <c r="AO41" s="24">
        <f>VLOOKUP($R41,武学奇术!$A:$ZZ,27,FALSE)*(1+IF(OR($AM41=$F$4,$AM41=$F$5),$B$23,0))</f>
        <v>0</v>
      </c>
      <c r="AP41" s="23">
        <f>VLOOKUP($R41,武学奇术!$A:$ZZ,28,FALSE)</f>
        <v>0.55125</v>
      </c>
      <c r="AQ41" s="24">
        <f>VLOOKUP($R41,武学奇术!$A:$ZZ,29,FALSE)*(1+IF(OR($AM41=$F$4,$AM41=$F$5),$B$23,0))</f>
        <v>0</v>
      </c>
      <c r="AR41" s="23" cm="1">
        <f t="array" ref="AR41">$G$3+IFERROR(VLOOKUP($AM41,$F$4:$G$7,2,FALSE),0)+VLOOKUP($R41,武学奇术!$A:$ZZ,2,FALSE)+SUM(_xlfn.XLOOKUP($S41:$AL41,增益!$A:$A,增益!$B:$B,0))</f>
        <v>1.4943</v>
      </c>
      <c r="AS41" s="23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4081.7</v>
      </c>
      <c r="AU41" cm="1">
        <f t="array" ref="AU41">$E$10*(1+$AS41)+VLOOKUP($R41,武学奇术!$A:$ZZ,4,FALSE)+SUM(_xlfn.XLOOKUP($S41:$AL41,增益!$A:$A,增益!$D:$D,0))-$I$2</f>
        <v>4081.7</v>
      </c>
      <c r="AV41" s="29" cm="1">
        <f t="array" ref="AV41">IF($F$10-$I$3+VLOOKUP($R41,武学奇术!$A:$ZZ,6,FALSE)+SUM(_xlfn.XLOOKUP(S41:AL41,增益!$A:$A,增益!$F:$F,0))&gt;0,($F$10-$I$3+VLOOKUP($R41,武学奇术!$A:$ZZ,6,FALSE)+SUM(_xlfn.XLOOKUP(S41:AL41,增益!$A:$A,增益!$F:$F,0)))/200,($F$10-$I$3+VLOOKUP($R41,武学奇术!$A:$ZZ,6,FALSE)+SUM(_xlfn.XLOOKUP(S41:AL41,增益!$A:$A,增益!$F:$F,0)))/100)</f>
        <v>0.2439</v>
      </c>
      <c r="AW41" s="29" cm="1">
        <f t="array" ref="AW41">$G$10+VLOOKUP($R41,武学奇术!$A:$ZZ,7,FALSE)+SUM(_xlfn.XLOOKUP(S41:AL41,增益!$A:$A,增益!$G:$G,0))</f>
        <v>0.27</v>
      </c>
      <c r="AX41" s="23" cm="1">
        <f t="array" ref="AX41">VLOOKUP($R41,武学奇术!$A:$ZZ,8,FALSE)+SUM(_xlfn.XLOOKUP(S41:AL41,增益!$A:$A,增益!$H:$H,0))</f>
        <v>0</v>
      </c>
      <c r="AY41">
        <f t="shared" si="1"/>
        <v>0</v>
      </c>
      <c r="AZ41">
        <f t="shared" si="2"/>
        <v>0</v>
      </c>
      <c r="BA41" s="29" cm="1">
        <f t="array" ref="BA41">IF($F$11-$I$4+VLOOKUP($R41,武学奇术!$A:$ZZ,9,FALSE)+SUM(_xlfn.XLOOKUP(S41:AL41,增益!$A:$A,增益!$I:$I,0))&gt;0,($F$11-$I$4+VLOOKUP($R41,武学奇术!$A:$ZZ,9,FALSE)+SUM(_xlfn.XLOOKUP(S41:AL41,增益!$A:$A,增益!$I:$I,0)))/200,($F$11-$I$4+VLOOKUP($R41,武学奇术!$A:$ZZ,9,FALSE)+SUM(_xlfn.XLOOKUP(S41:AL41,增益!$A:$A,增益!$I:$I,0)))/100)</f>
        <v>-0.3</v>
      </c>
      <c r="BB41" s="29" cm="1">
        <f t="array" ref="BB41">$G$11+VLOOKUP($R41,武学奇术!$A:$ZZ,10,FALSE)+SUM(_xlfn.XLOOKUP(S41:AL41,增益!$A:$A,增益!$J:$J,0))</f>
        <v>0</v>
      </c>
      <c r="BC41">
        <f t="shared" si="3"/>
        <v>0</v>
      </c>
      <c r="BD41">
        <f t="shared" si="4"/>
        <v>0</v>
      </c>
      <c r="BE41" s="29" cm="1">
        <f t="array" ref="BE41">IF($F$12-$I$4+VLOOKUP($R41,武学奇术!$A:$ZZ,11,FALSE)+SUM(_xlfn.XLOOKUP(S41:AL41,增益!$A:$A,增益!$K:$K,0))&gt;0,($F$12-$I$4+VLOOKUP($R41,武学奇术!$A:$ZZ,11,FALSE)+SUM(_xlfn.XLOOKUP(S41:AL41,增益!$A:$A,增益!$K:$K,0)))/200,($F$12-$I$4+VLOOKUP($R41,武学奇术!$A:$ZZ,11,FALSE)+SUM(_xlfn.XLOOKUP(S41:AL41,增益!$A:$A,增益!$K:$K,0)))/100)</f>
        <v>-0.3</v>
      </c>
      <c r="BF41" s="29" cm="1">
        <f t="array" ref="BF41">$G$12+VLOOKUP($R41,武学奇术!$A:$ZZ,12,FALSE)+SUM(_xlfn.XLOOKUP(S41:AL41,增益!$A:$A,增益!$L:$L,0))</f>
        <v>0</v>
      </c>
      <c r="BG41">
        <f t="shared" si="5"/>
        <v>0</v>
      </c>
      <c r="BH41">
        <f t="shared" si="6"/>
        <v>0</v>
      </c>
      <c r="BI41" s="29" cm="1">
        <f t="array" ref="BI41">IF($F$13-$I$4+VLOOKUP($R41,武学奇术!$A:$ZZ,13,FALSE)+SUM(_xlfn.XLOOKUP(S41:AL41,增益!$A:$A,增益!$M:$M,0))&gt;0,($F$13-$I$4+VLOOKUP($R41,武学奇术!$A:$ZZ,13,FALSE)+SUM(_xlfn.XLOOKUP(S41:AL41,增益!$A:$A,增益!$K:$K,0)))/200,($F$13-$I$4+VLOOKUP($R41,武学奇术!$A:$ZZ,13,FALSE)+SUM(_xlfn.XLOOKUP(S41:AL41,增益!$A:$A,增益!$M:$M,0)))/100)</f>
        <v>-0.3</v>
      </c>
      <c r="BJ41" s="29" cm="1">
        <f t="array" ref="BJ41">$G$13+VLOOKUP($R41,武学奇术!$A:$ZZ,14,FALSE)+SUM(_xlfn.XLOOKUP(S41:AL41,增益!$A:$A,增益!$N:$N,0))</f>
        <v>0</v>
      </c>
      <c r="BK41">
        <f t="shared" si="7"/>
        <v>618.2</v>
      </c>
      <c r="BL41">
        <f t="shared" si="8"/>
        <v>1805</v>
      </c>
      <c r="BM41" s="29" cm="1">
        <f t="array" ref="BM41">IF($F$14-$I$4+VLOOKUP($R41,武学奇术!$A:$ZZ,15,FALSE)+SUM(_xlfn.XLOOKUP(S41:AL41,增益!$A:$A,增益!$O:$O,0))&gt;0,($F$14-$I$4+VLOOKUP($R41,武学奇术!$A:$ZZ,15,FALSE)+SUM(_xlfn.XLOOKUP(S41:AL41,增益!$A:$A,增益!$O:$O,0)))/200,($F$14-$I$4+VLOOKUP($R41,武学奇术!$A:$ZZ,15,FALSE)+SUM(_xlfn.XLOOKUP(S41:AL41,增益!$A:$A,增益!$O:$O,0)))/100)</f>
        <v>0.05</v>
      </c>
      <c r="BN41" s="29" cm="1">
        <f t="array" ref="BN41">$G$14+VLOOKUP($R41,武学奇术!$A:$ZZ,16,FALSE)+SUM(_xlfn.XLOOKUP(S41:AL41,增益!$A:$A,增益!$P:$P,0))</f>
        <v>0.42</v>
      </c>
      <c r="BO41" s="23">
        <f>MIN(IF(VLOOKUP($R41,武学奇术!$A:$ZZ,23,FALSE)=1,100%,$B$8),100%)</f>
        <v>0.9943</v>
      </c>
      <c r="BP41" s="23" cm="1">
        <f t="array" ref="BP41">IF(VLOOKUP($R41,武学奇术!$A:$ZZ,23,FALSE)=1,100%,MIN(80%,$B$9+VLOOKUP($R41,武学奇术!$A:$ZZ,17,FALSE)+SUM(_xlfn.XLOOKUP(S41:AL41,增益!$A:$A,增益!$Q:$Q,0)))+$B$11+SUM(_xlfn.XLOOKUP(S41:AL41,增益!$A:$A,增益!$U:$U,0)))*IF(VLOOKUP($R41,武学奇术!$A:$ZZ,24,FALSE)=1,0,1)</f>
        <v>0.887</v>
      </c>
      <c r="BQ41" s="23" cm="1">
        <f t="array" ref="BQ41">1+$B$13+VLOOKUP($R41,武学奇术!$A:$ZZ,18,FALSE)+SUM(_xlfn.XLOOKUP(S41:AL41,增益!$A:$A,增益!$R:$R,0))</f>
        <v>2.104</v>
      </c>
      <c r="BR41" s="23" cm="1">
        <f t="array" ref="BR41">IF(VLOOKUP($R41,武学奇术!$A:$ZZ,24,FALSE)=1,100%,MIN(40%,$B$10+VLOOKUP($R41,武学奇术!$A:$ZZ,19,FALSE)+SUM(_xlfn.XLOOKUP(S41:AL41,增益!$A:$A,增益!$S:$S,0)))+$B$12+SUM(_xlfn.XLOOKUP(S41:AL41,增益!$A:$A,增益!$V:$V,0)))*IF(VLOOKUP($R41,武学奇术!$A:$ZZ,23,FALSE)=1,0,1)</f>
        <v>0.0913</v>
      </c>
      <c r="BS41" s="23" cm="1">
        <f t="array" ref="BS41">1+$B$14+VLOOKUP($R41,武学奇术!$A:$ZZ,20,FALSE)+SUM(_xlfn.XLOOKUP(S41:AL41,增益!$A:$A,增益!$T:$T,0))</f>
        <v>1.35</v>
      </c>
      <c r="BT41" s="23">
        <f t="shared" si="9"/>
        <v>0.8819441</v>
      </c>
      <c r="BU41" s="23">
        <f t="shared" si="10"/>
        <v>0.0215763099999999</v>
      </c>
      <c r="BV41" s="23">
        <f>IF(VLOOKUP($R41,武学奇术!$A:$ZZ,22,FALSE)=1,0,(1-$BO41))*(1-$BR41)</f>
        <v>0.00517959000000003</v>
      </c>
      <c r="BW41" s="23" cm="1">
        <f t="array" ref="BW41">SUM(_xlfn.XLOOKUP(S41:AL41,增益!$A:$A,增益!$W:$W,0))+$I$5</f>
        <v>0.11</v>
      </c>
      <c r="BX41" s="23">
        <f>VLOOKUP($R41,武学奇术!$A:$ZZ,32,FALSE)</f>
        <v>0</v>
      </c>
      <c r="BY41" s="23" cm="1">
        <f t="array" ref="BY41">SUM(_xlfn.XLOOKUP($S41:$AL41,增益!$A:$A,增益!$X:$X,0))</f>
        <v>0</v>
      </c>
    </row>
    <row r="42" spans="2:77">
      <c r="K42" s="35">
        <f>$L42*VLOOKUP($R42,武学奇术!$A:$ZZ,31,FALSE)</f>
        <v>78352.6909974063</v>
      </c>
      <c r="L42" s="35">
        <f t="shared" si="0"/>
        <v>69957.7598191127</v>
      </c>
      <c r="M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轻击",$B$21,0))*(1+IF(VLOOKUP($R42,武学奇术!$A:$ZZ,30,FALSE)="老鼠",$B$22,0))*(1+$BW42)*(1+$BX42)</f>
        <v>73452.3698900515</v>
      </c>
      <c r="N42" s="35">
        <f>(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轻击",$B$21,0))*(1+IF(VLOOKUP($R42,武学奇术!$A:$ZZ,30,FALSE)="老鼠",$B$22,0))*(1+$BW42))*(1+$BX42)</f>
        <v>69824.4351187623</v>
      </c>
      <c r="O42" s="35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轻击",$B$21,0))*(1+IF(VLOOKUP($R42,武学奇术!$A:$ZZ,30,FALSE)="老鼠",$B$22,0))*(1+$BW42)*(1+$BX42)</f>
        <v>45793.2480611294</v>
      </c>
      <c r="P42" s="35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轻击",$B$21,0))*(1+IF(VLOOKUP($R42,武学奇术!$A:$ZZ,30,FALSE)="老鼠",$B$22,0))*(1+$BW42)*(1+$BX42)</f>
        <v>39864.692330583</v>
      </c>
      <c r="Q42" s="36">
        <v>1</v>
      </c>
      <c r="R42" s="37" t="s">
        <v>158</v>
      </c>
      <c r="S42" s="37" t="s">
        <v>91</v>
      </c>
      <c r="T42" s="37" t="s">
        <v>175</v>
      </c>
      <c r="U42" s="37" t="s">
        <v>112</v>
      </c>
      <c r="V42" s="37" t="s">
        <v>113</v>
      </c>
      <c r="W42" s="37" t="s">
        <v>82</v>
      </c>
      <c r="X42" s="37" t="s">
        <v>81</v>
      </c>
      <c r="Y42" s="37" t="s">
        <v>109</v>
      </c>
      <c r="Z42" s="37" t="s">
        <v>81</v>
      </c>
      <c r="AA42" s="37" t="s">
        <v>81</v>
      </c>
      <c r="AB42" s="37" t="s">
        <v>81</v>
      </c>
      <c r="AC42" s="37" t="s">
        <v>81</v>
      </c>
      <c r="AD42" s="37" t="s">
        <v>85</v>
      </c>
      <c r="AE42" s="37" t="s">
        <v>81</v>
      </c>
      <c r="AF42" s="37" t="s">
        <v>81</v>
      </c>
      <c r="AG42" s="37" t="s">
        <v>87</v>
      </c>
      <c r="AH42" s="37" t="s">
        <v>81</v>
      </c>
      <c r="AI42" s="37" t="s">
        <v>81</v>
      </c>
      <c r="AJ42" s="37" t="s">
        <v>81</v>
      </c>
      <c r="AK42" s="37" t="s">
        <v>81</v>
      </c>
      <c r="AL42" s="37" t="s">
        <v>81</v>
      </c>
      <c r="AM42" t="str">
        <f>VLOOKUP($R42,武学奇术!$A:$ZZ,25,FALSE)</f>
        <v>双刀</v>
      </c>
      <c r="AN42" s="23">
        <f>VLOOKUP($R42,武学奇术!$A:$ZZ,26,FALSE)</f>
        <v>2.5342</v>
      </c>
      <c r="AO42" s="24">
        <f>VLOOKUP($R42,武学奇术!$A:$ZZ,27,FALSE)*(1+IF(OR($AM42=$F$4,$AM42=$F$5),$B$23,0))</f>
        <v>1123.2</v>
      </c>
      <c r="AP42" s="23">
        <f>VLOOKUP($R42,武学奇术!$A:$ZZ,28,FALSE)</f>
        <v>3.8012</v>
      </c>
      <c r="AQ42" s="24">
        <f>VLOOKUP($R42,武学奇术!$A:$ZZ,29,FALSE)*(1+IF(OR($AM42=$F$4,$AM42=$F$5),$B$23,0))</f>
        <v>611.2</v>
      </c>
      <c r="AR42" s="23" cm="1">
        <f t="array" ref="AR42">$G$3+IFERROR(VLOOKUP($AM42,$F$4:$G$7,2,FALSE),0)+VLOOKUP($R42,武学奇术!$A:$ZZ,2,FALSE)+SUM(_xlfn.XLOOKUP($S42:$AL42,增益!$A:$A,增益!$B:$B,0))</f>
        <v>0.6943</v>
      </c>
      <c r="AS42" s="23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4081.7</v>
      </c>
      <c r="AU42" cm="1">
        <f t="array" ref="AU42">$E$10*(1+$AS42)+VLOOKUP($R42,武学奇术!$A:$ZZ,4,FALSE)+SUM(_xlfn.XLOOKUP($S42:$AL42,增益!$A:$A,增益!$D:$D,0))-$I$2</f>
        <v>4081.7</v>
      </c>
      <c r="AV42" s="29" cm="1">
        <f t="array" ref="AV42">IF($F$10-$I$3+VLOOKUP($R42,武学奇术!$A:$ZZ,6,FALSE)+SUM(_xlfn.XLOOKUP(S42:AL42,增益!$A:$A,增益!$F:$F,0))&gt;0,($F$10-$I$3+VLOOKUP($R42,武学奇术!$A:$ZZ,6,FALSE)+SUM(_xlfn.XLOOKUP(S42:AL42,增益!$A:$A,增益!$F:$F,0)))/200,($F$10-$I$3+VLOOKUP($R42,武学奇术!$A:$ZZ,6,FALSE)+SUM(_xlfn.XLOOKUP(S42:AL42,增益!$A:$A,增益!$F:$F,0)))/100)</f>
        <v>0.2439</v>
      </c>
      <c r="AW42" s="29" cm="1">
        <f t="array" ref="AW42">$G$10+VLOOKUP($R42,武学奇术!$A:$ZZ,7,FALSE)+SUM(_xlfn.XLOOKUP(S42:AL42,增益!$A:$A,增益!$G:$G,0))</f>
        <v>0.06</v>
      </c>
      <c r="AX42" s="23" cm="1">
        <f t="array" ref="AX42">VLOOKUP($R42,武学奇术!$A:$ZZ,8,FALSE)+SUM(_xlfn.XLOOKUP(S42:AL42,增益!$A:$A,增益!$H:$H,0))</f>
        <v>0</v>
      </c>
      <c r="AY42">
        <f t="shared" si="1"/>
        <v>0</v>
      </c>
      <c r="AZ42">
        <f t="shared" si="2"/>
        <v>0</v>
      </c>
      <c r="BA42" s="29" cm="1">
        <f t="array" ref="BA42">IF($F$11-$I$4+VLOOKUP($R42,武学奇术!$A:$ZZ,9,FALSE)+SUM(_xlfn.XLOOKUP(S42:AL42,增益!$A:$A,增益!$I:$I,0))&gt;0,($F$11-$I$4+VLOOKUP($R42,武学奇术!$A:$ZZ,9,FALSE)+SUM(_xlfn.XLOOKUP(S42:AL42,增益!$A:$A,增益!$I:$I,0)))/200,($F$11-$I$4+VLOOKUP($R42,武学奇术!$A:$ZZ,9,FALSE)+SUM(_xlfn.XLOOKUP(S42:AL42,增益!$A:$A,增益!$I:$I,0)))/100)</f>
        <v>-0.3</v>
      </c>
      <c r="BB42" s="29" cm="1">
        <f t="array" ref="BB42">$G$11+VLOOKUP($R42,武学奇术!$A:$ZZ,10,FALSE)+SUM(_xlfn.XLOOKUP(S42:AL42,增益!$A:$A,增益!$J:$J,0))</f>
        <v>0</v>
      </c>
      <c r="BC42">
        <f t="shared" si="3"/>
        <v>0</v>
      </c>
      <c r="BD42">
        <f t="shared" si="4"/>
        <v>0</v>
      </c>
      <c r="BE42" s="29" cm="1">
        <f t="array" ref="BE42">IF($F$12-$I$4+VLOOKUP($R42,武学奇术!$A:$ZZ,11,FALSE)+SUM(_xlfn.XLOOKUP(S42:AL42,增益!$A:$A,增益!$K:$K,0))&gt;0,($F$12-$I$4+VLOOKUP($R42,武学奇术!$A:$ZZ,11,FALSE)+SUM(_xlfn.XLOOKUP(S42:AL42,增益!$A:$A,增益!$K:$K,0)))/200,($F$12-$I$4+VLOOKUP($R42,武学奇术!$A:$ZZ,11,FALSE)+SUM(_xlfn.XLOOKUP(S42:AL42,增益!$A:$A,增益!$K:$K,0)))/100)</f>
        <v>-0.3</v>
      </c>
      <c r="BF42" s="29" cm="1">
        <f t="array" ref="BF42">$G$12+VLOOKUP($R42,武学奇术!$A:$ZZ,12,FALSE)+SUM(_xlfn.XLOOKUP(S42:AL42,增益!$A:$A,增益!$L:$L,0))</f>
        <v>0</v>
      </c>
      <c r="BG42">
        <f t="shared" si="5"/>
        <v>0</v>
      </c>
      <c r="BH42">
        <f t="shared" si="6"/>
        <v>0</v>
      </c>
      <c r="BI42" s="29" cm="1">
        <f t="array" ref="BI42">IF($F$13-$I$4+VLOOKUP($R42,武学奇术!$A:$ZZ,13,FALSE)+SUM(_xlfn.XLOOKUP(S42:AL42,增益!$A:$A,增益!$M:$M,0))&gt;0,($F$13-$I$4+VLOOKUP($R42,武学奇术!$A:$ZZ,13,FALSE)+SUM(_xlfn.XLOOKUP(S42:AL42,增益!$A:$A,增益!$K:$K,0)))/200,($F$13-$I$4+VLOOKUP($R42,武学奇术!$A:$ZZ,13,FALSE)+SUM(_xlfn.XLOOKUP(S42:AL42,增益!$A:$A,增益!$M:$M,0)))/100)</f>
        <v>-0.3</v>
      </c>
      <c r="BJ42" s="29" cm="1">
        <f t="array" ref="BJ42">$G$13+VLOOKUP($R42,武学奇术!$A:$ZZ,14,FALSE)+SUM(_xlfn.XLOOKUP(S42:AL42,增益!$A:$A,增益!$N:$N,0))</f>
        <v>0</v>
      </c>
      <c r="BK42">
        <f t="shared" si="7"/>
        <v>618.2</v>
      </c>
      <c r="BL42">
        <f t="shared" si="8"/>
        <v>1805</v>
      </c>
      <c r="BM42" s="29" cm="1">
        <f t="array" ref="BM42">IF($F$14-$I$4+VLOOKUP($R42,武学奇术!$A:$ZZ,15,FALSE)+SUM(_xlfn.XLOOKUP(S42:AL42,增益!$A:$A,增益!$O:$O,0))&gt;0,($F$14-$I$4+VLOOKUP($R42,武学奇术!$A:$ZZ,15,FALSE)+SUM(_xlfn.XLOOKUP(S42:AL42,增益!$A:$A,增益!$O:$O,0)))/200,($F$14-$I$4+VLOOKUP($R42,武学奇术!$A:$ZZ,15,FALSE)+SUM(_xlfn.XLOOKUP(S42:AL42,增益!$A:$A,增益!$O:$O,0)))/100)</f>
        <v>0.05</v>
      </c>
      <c r="BN42" s="29" cm="1">
        <f t="array" ref="BN42">$G$14+VLOOKUP($R42,武学奇术!$A:$ZZ,16,FALSE)+SUM(_xlfn.XLOOKUP(S42:AL42,增益!$A:$A,增益!$P:$P,0))</f>
        <v>0.21</v>
      </c>
      <c r="BO42" s="23">
        <f>MIN(IF(VLOOKUP($R42,武学奇术!$A:$ZZ,23,FALSE)=1,100%,$B$8),100%)</f>
        <v>0.9943</v>
      </c>
      <c r="BP42" s="23" cm="1">
        <f t="array" ref="BP42">IF(VLOOKUP($R42,武学奇术!$A:$ZZ,23,FALSE)=1,100%,MIN(80%,$B$9+VLOOKUP($R42,武学奇术!$A:$ZZ,17,FALSE)+SUM(_xlfn.XLOOKUP(S42:AL42,增益!$A:$A,增益!$Q:$Q,0)))+$B$11+SUM(_xlfn.XLOOKUP(S42:AL42,增益!$A:$A,增益!$U:$U,0)))*IF(VLOOKUP($R42,武学奇术!$A:$ZZ,24,FALSE)=1,0,1)</f>
        <v>0.8</v>
      </c>
      <c r="BQ42" s="23" cm="1">
        <f t="array" ref="BQ42">1+$B$13+VLOOKUP($R42,武学奇术!$A:$ZZ,18,FALSE)+SUM(_xlfn.XLOOKUP(S42:AL42,增益!$A:$A,增益!$R:$R,0))</f>
        <v>1.604</v>
      </c>
      <c r="BR42" s="23" cm="1">
        <f t="array" ref="BR42">IF(VLOOKUP($R42,武学奇术!$A:$ZZ,24,FALSE)=1,100%,MIN(40%,$B$10+VLOOKUP($R42,武学奇术!$A:$ZZ,19,FALSE)+SUM(_xlfn.XLOOKUP(S42:AL42,增益!$A:$A,增益!$S:$S,0)))+$B$12+SUM(_xlfn.XLOOKUP(S42:AL42,增益!$A:$A,增益!$V:$V,0)))*IF(VLOOKUP($R42,武学奇术!$A:$ZZ,23,FALSE)=1,0,1)</f>
        <v>0.0913</v>
      </c>
      <c r="BS42" s="23" cm="1">
        <f t="array" ref="BS42">1+$B$14+VLOOKUP($R42,武学奇术!$A:$ZZ,20,FALSE)+SUM(_xlfn.XLOOKUP(S42:AL42,增益!$A:$A,增益!$T:$T,0))</f>
        <v>1.35</v>
      </c>
      <c r="BT42" s="23">
        <f t="shared" si="9"/>
        <v>0.79544</v>
      </c>
      <c r="BU42" s="23">
        <f t="shared" si="10"/>
        <v>0.10808041</v>
      </c>
      <c r="BV42" s="23">
        <f>IF(VLOOKUP($R42,武学奇术!$A:$ZZ,22,FALSE)=1,0,(1-$BO42))*(1-$BR42)</f>
        <v>0.00517959000000003</v>
      </c>
      <c r="BW42" s="23" cm="1">
        <f t="array" ref="BW42">SUM(_xlfn.XLOOKUP(S42:AL42,增益!$A:$A,增益!$W:$W,0))+$I$5</f>
        <v>0.11</v>
      </c>
      <c r="BX42" s="23">
        <f>VLOOKUP($R42,武学奇术!$A:$ZZ,32,FALSE)</f>
        <v>0.1</v>
      </c>
      <c r="BY42" s="23" cm="1">
        <f t="array" ref="BY42">SUM(_xlfn.XLOOKUP($S42:$AL42,增益!$A:$A,增益!$X:$X,0))</f>
        <v>0</v>
      </c>
    </row>
    <row r="43" spans="2:77">
      <c r="K43" s="35">
        <f>$L43*VLOOKUP($R43,武学奇术!$A:$ZZ,31,FALSE)</f>
        <v>57592.6156727417</v>
      </c>
      <c r="L43" s="69">
        <f t="shared" si="0"/>
        <v>56463.3486987664</v>
      </c>
      <c r="M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轻击",$B$21,0))*(1+IF(VLOOKUP($R43,武学奇术!$A:$ZZ,30,FALSE)="老鼠",$B$22,0))*(1+$BW43)*(1+$BX43)</f>
        <v>59213.1385911974</v>
      </c>
      <c r="N43" s="35">
        <f>(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轻击",$B$21,0))*(1+IF(VLOOKUP($R43,武学奇术!$A:$ZZ,30,FALSE)="老鼠",$B$22,0))*(1+$BW43))*(1+$BX43)</f>
        <v>57058.7320110948</v>
      </c>
      <c r="O43" s="35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轻击",$B$21,0))*(1+IF(VLOOKUP($R43,武学奇术!$A:$ZZ,30,FALSE)="老鼠",$B$22,0))*(1+$BW43)*(1+$BX43)</f>
        <v>36915.921814961</v>
      </c>
      <c r="P43" s="35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轻击",$B$21,0))*(1+IF(VLOOKUP($R43,武学奇术!$A:$ZZ,30,FALSE)="老鼠",$B$22,0))*(1+$BW43)*(1+$BX43)</f>
        <v>31566.1162142962</v>
      </c>
      <c r="Q43" s="70">
        <v>3</v>
      </c>
      <c r="R43" s="37" t="s">
        <v>106</v>
      </c>
      <c r="S43" s="37" t="s">
        <v>91</v>
      </c>
      <c r="T43" s="37" t="s">
        <v>175</v>
      </c>
      <c r="U43" s="37" t="s">
        <v>112</v>
      </c>
      <c r="V43" s="37" t="s">
        <v>113</v>
      </c>
      <c r="W43" s="37" t="s">
        <v>82</v>
      </c>
      <c r="X43" s="37" t="s">
        <v>81</v>
      </c>
      <c r="Y43" s="37" t="s">
        <v>109</v>
      </c>
      <c r="Z43" s="37" t="s">
        <v>81</v>
      </c>
      <c r="AA43" s="37" t="s">
        <v>81</v>
      </c>
      <c r="AB43" s="37" t="s">
        <v>81</v>
      </c>
      <c r="AC43" s="37" t="s">
        <v>81</v>
      </c>
      <c r="AD43" s="37" t="s">
        <v>85</v>
      </c>
      <c r="AE43" s="37" t="s">
        <v>81</v>
      </c>
      <c r="AF43" s="37" t="s">
        <v>81</v>
      </c>
      <c r="AG43" s="37" t="s">
        <v>87</v>
      </c>
      <c r="AH43" s="37" t="s">
        <v>81</v>
      </c>
      <c r="AI43" s="37" t="s">
        <v>81</v>
      </c>
      <c r="AJ43" s="37" t="s">
        <v>81</v>
      </c>
      <c r="AK43" s="37" t="s">
        <v>81</v>
      </c>
      <c r="AL43" s="37" t="s">
        <v>81</v>
      </c>
      <c r="AM43" t="str">
        <f>VLOOKUP($R43,武学奇术!$A:$ZZ,25,FALSE)</f>
        <v>绳镖</v>
      </c>
      <c r="AN43" s="23">
        <f>VLOOKUP($R43,武学奇术!$A:$ZZ,26,FALSE)</f>
        <v>0.3675</v>
      </c>
      <c r="AO43" s="24">
        <f>VLOOKUP($R43,武学奇术!$A:$ZZ,27,FALSE)*(1+IF(OR($AM43=$F$4,$AM43=$F$5),$B$23,0))</f>
        <v>0</v>
      </c>
      <c r="AP43" s="23">
        <f>VLOOKUP($R43,武学奇术!$A:$ZZ,28,FALSE)</f>
        <v>0.55125</v>
      </c>
      <c r="AQ43" s="24">
        <f>VLOOKUP($R43,武学奇术!$A:$ZZ,29,FALSE)*(1+IF(OR($AM43=$F$4,$AM43=$F$5),$B$23,0))</f>
        <v>0</v>
      </c>
      <c r="AR43" s="23" cm="1">
        <f t="array" ref="AR43">$G$3+IFERROR(VLOOKUP($AM43,$F$4:$G$7,2,FALSE),0)+VLOOKUP($R43,武学奇术!$A:$ZZ,2,FALSE)+SUM(_xlfn.XLOOKUP($S43:$AL43,增益!$A:$A,增益!$B:$B,0))</f>
        <v>1.4943</v>
      </c>
      <c r="AS43" s="23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4081.7</v>
      </c>
      <c r="AU43" cm="1">
        <f t="array" ref="AU43">$E$10*(1+$AS43)+VLOOKUP($R43,武学奇术!$A:$ZZ,4,FALSE)+SUM(_xlfn.XLOOKUP($S43:$AL43,增益!$A:$A,增益!$D:$D,0))-$I$2</f>
        <v>4081.7</v>
      </c>
      <c r="AV43" s="29" cm="1">
        <f t="array" ref="AV43">IF($F$10-$I$3+VLOOKUP($R43,武学奇术!$A:$ZZ,6,FALSE)+SUM(_xlfn.XLOOKUP(S43:AL43,增益!$A:$A,增益!$F:$F,0))&gt;0,($F$10-$I$3+VLOOKUP($R43,武学奇术!$A:$ZZ,6,FALSE)+SUM(_xlfn.XLOOKUP(S43:AL43,增益!$A:$A,增益!$F:$F,0)))/200,($F$10-$I$3+VLOOKUP($R43,武学奇术!$A:$ZZ,6,FALSE)+SUM(_xlfn.XLOOKUP(S43:AL43,增益!$A:$A,增益!$F:$F,0)))/100)</f>
        <v>0.2439</v>
      </c>
      <c r="AW43" s="29" cm="1">
        <f t="array" ref="AW43">$G$10+VLOOKUP($R43,武学奇术!$A:$ZZ,7,FALSE)+SUM(_xlfn.XLOOKUP(S43:AL43,增益!$A:$A,增益!$G:$G,0))</f>
        <v>0.27</v>
      </c>
      <c r="AX43" s="23" cm="1">
        <f t="array" ref="AX43">VLOOKUP($R43,武学奇术!$A:$ZZ,8,FALSE)+SUM(_xlfn.XLOOKUP(S43:AL43,增益!$A:$A,增益!$H:$H,0))</f>
        <v>0</v>
      </c>
      <c r="AY43">
        <f t="shared" si="1"/>
        <v>0</v>
      </c>
      <c r="AZ43">
        <f t="shared" si="2"/>
        <v>0</v>
      </c>
      <c r="BA43" s="29" cm="1">
        <f t="array" ref="BA43">IF($F$11-$I$4+VLOOKUP($R43,武学奇术!$A:$ZZ,9,FALSE)+SUM(_xlfn.XLOOKUP(S43:AL43,增益!$A:$A,增益!$I:$I,0))&gt;0,($F$11-$I$4+VLOOKUP($R43,武学奇术!$A:$ZZ,9,FALSE)+SUM(_xlfn.XLOOKUP(S43:AL43,增益!$A:$A,增益!$I:$I,0)))/200,($F$11-$I$4+VLOOKUP($R43,武学奇术!$A:$ZZ,9,FALSE)+SUM(_xlfn.XLOOKUP(S43:AL43,增益!$A:$A,增益!$I:$I,0)))/100)</f>
        <v>-0.3</v>
      </c>
      <c r="BB43" s="29" cm="1">
        <f t="array" ref="BB43">$G$11+VLOOKUP($R43,武学奇术!$A:$ZZ,10,FALSE)+SUM(_xlfn.XLOOKUP(S43:AL43,增益!$A:$A,增益!$J:$J,0))</f>
        <v>0</v>
      </c>
      <c r="BC43">
        <f t="shared" si="3"/>
        <v>0</v>
      </c>
      <c r="BD43">
        <f t="shared" si="4"/>
        <v>0</v>
      </c>
      <c r="BE43" s="29" cm="1">
        <f t="array" ref="BE43">IF($F$12-$I$4+VLOOKUP($R43,武学奇术!$A:$ZZ,11,FALSE)+SUM(_xlfn.XLOOKUP(S43:AL43,增益!$A:$A,增益!$K:$K,0))&gt;0,($F$12-$I$4+VLOOKUP($R43,武学奇术!$A:$ZZ,11,FALSE)+SUM(_xlfn.XLOOKUP(S43:AL43,增益!$A:$A,增益!$K:$K,0)))/200,($F$12-$I$4+VLOOKUP($R43,武学奇术!$A:$ZZ,11,FALSE)+SUM(_xlfn.XLOOKUP(S43:AL43,增益!$A:$A,增益!$K:$K,0)))/100)</f>
        <v>-0.3</v>
      </c>
      <c r="BF43" s="29" cm="1">
        <f t="array" ref="BF43">$G$12+VLOOKUP($R43,武学奇术!$A:$ZZ,12,FALSE)+SUM(_xlfn.XLOOKUP(S43:AL43,增益!$A:$A,增益!$L:$L,0))</f>
        <v>0</v>
      </c>
      <c r="BG43">
        <f t="shared" si="5"/>
        <v>0</v>
      </c>
      <c r="BH43">
        <f t="shared" si="6"/>
        <v>0</v>
      </c>
      <c r="BI43" s="29" cm="1">
        <f t="array" ref="BI43">IF($F$13-$I$4+VLOOKUP($R43,武学奇术!$A:$ZZ,13,FALSE)+SUM(_xlfn.XLOOKUP(S43:AL43,增益!$A:$A,增益!$M:$M,0))&gt;0,($F$13-$I$4+VLOOKUP($R43,武学奇术!$A:$ZZ,13,FALSE)+SUM(_xlfn.XLOOKUP(S43:AL43,增益!$A:$A,增益!$K:$K,0)))/200,($F$13-$I$4+VLOOKUP($R43,武学奇术!$A:$ZZ,13,FALSE)+SUM(_xlfn.XLOOKUP(S43:AL43,增益!$A:$A,增益!$M:$M,0)))/100)</f>
        <v>-0.3</v>
      </c>
      <c r="BJ43" s="29" cm="1">
        <f t="array" ref="BJ43">$G$13+VLOOKUP($R43,武学奇术!$A:$ZZ,14,FALSE)+SUM(_xlfn.XLOOKUP(S43:AL43,增益!$A:$A,增益!$N:$N,0))</f>
        <v>0</v>
      </c>
      <c r="BK43">
        <f t="shared" si="7"/>
        <v>618.2</v>
      </c>
      <c r="BL43">
        <f t="shared" si="8"/>
        <v>1805</v>
      </c>
      <c r="BM43" s="29" cm="1">
        <f t="array" ref="BM43">IF($F$14-$I$4+VLOOKUP($R43,武学奇术!$A:$ZZ,15,FALSE)+SUM(_xlfn.XLOOKUP(S43:AL43,增益!$A:$A,增益!$O:$O,0))&gt;0,($F$14-$I$4+VLOOKUP($R43,武学奇术!$A:$ZZ,15,FALSE)+SUM(_xlfn.XLOOKUP(S43:AL43,增益!$A:$A,增益!$O:$O,0)))/200,($F$14-$I$4+VLOOKUP($R43,武学奇术!$A:$ZZ,15,FALSE)+SUM(_xlfn.XLOOKUP(S43:AL43,增益!$A:$A,增益!$O:$O,0)))/100)</f>
        <v>0.05</v>
      </c>
      <c r="BN43" s="29" cm="1">
        <f t="array" ref="BN43">$G$14+VLOOKUP($R43,武学奇术!$A:$ZZ,16,FALSE)+SUM(_xlfn.XLOOKUP(S43:AL43,增益!$A:$A,增益!$P:$P,0))</f>
        <v>0.42</v>
      </c>
      <c r="BO43" s="23">
        <f>MIN(IF(VLOOKUP($R43,武学奇术!$A:$ZZ,23,FALSE)=1,100%,$B$8),100%)</f>
        <v>0.9943</v>
      </c>
      <c r="BP43" s="23" cm="1">
        <f t="array" ref="BP43">IF(VLOOKUP($R43,武学奇术!$A:$ZZ,23,FALSE)=1,100%,MIN(80%,$B$9+VLOOKUP($R43,武学奇术!$A:$ZZ,17,FALSE)+SUM(_xlfn.XLOOKUP(S43:AL43,增益!$A:$A,增益!$Q:$Q,0)))+$B$11+SUM(_xlfn.XLOOKUP(S43:AL43,增益!$A:$A,增益!$U:$U,0)))*IF(VLOOKUP($R43,武学奇术!$A:$ZZ,24,FALSE)=1,0,1)</f>
        <v>0.8</v>
      </c>
      <c r="BQ43" s="23" cm="1">
        <f t="array" ref="BQ43">1+$B$13+VLOOKUP($R43,武学奇术!$A:$ZZ,18,FALSE)+SUM(_xlfn.XLOOKUP(S43:AL43,增益!$A:$A,增益!$R:$R,0))</f>
        <v>1.604</v>
      </c>
      <c r="BR43" s="23" cm="1">
        <f t="array" ref="BR43">IF(VLOOKUP($R43,武学奇术!$A:$ZZ,24,FALSE)=1,100%,MIN(40%,$B$10+VLOOKUP($R43,武学奇术!$A:$ZZ,19,FALSE)+SUM(_xlfn.XLOOKUP(S43:AL43,增益!$A:$A,增益!$S:$S,0)))+$B$12+SUM(_xlfn.XLOOKUP(S43:AL43,增益!$A:$A,增益!$V:$V,0)))*IF(VLOOKUP($R43,武学奇术!$A:$ZZ,23,FALSE)=1,0,1)</f>
        <v>0.0913</v>
      </c>
      <c r="BS43" s="23" cm="1">
        <f t="array" ref="BS43">1+$B$14+VLOOKUP($R43,武学奇术!$A:$ZZ,20,FALSE)+SUM(_xlfn.XLOOKUP(S43:AL43,增益!$A:$A,增益!$T:$T,0))</f>
        <v>1.35</v>
      </c>
      <c r="BT43" s="23">
        <f t="shared" si="9"/>
        <v>0.79544</v>
      </c>
      <c r="BU43" s="23">
        <f t="shared" si="10"/>
        <v>0.10808041</v>
      </c>
      <c r="BV43" s="23">
        <f>IF(VLOOKUP($R43,武学奇术!$A:$ZZ,22,FALSE)=1,0,(1-$BO43))*(1-$BR43)</f>
        <v>0.00517959000000003</v>
      </c>
      <c r="BW43" s="23" cm="1">
        <f t="array" ref="BW43">SUM(_xlfn.XLOOKUP(S43:AL43,增益!$A:$A,增益!$W:$W,0))+$I$5</f>
        <v>0.11</v>
      </c>
      <c r="BX43" s="23">
        <f>VLOOKUP($R43,武学奇术!$A:$ZZ,32,FALSE)</f>
        <v>0</v>
      </c>
      <c r="BY43" s="23" cm="1">
        <f t="array" ref="BY43">SUM(_xlfn.XLOOKUP($S43:$AL43,增益!$A:$A,增益!$X:$X,0))</f>
        <v>0</v>
      </c>
    </row>
    <row r="44" spans="2:77">
      <c r="K44" s="35">
        <f>$L44*VLOOKUP($R44,武学奇术!$A:$ZZ,31,FALSE)</f>
        <v>1357.27052914548</v>
      </c>
      <c r="L44" s="35">
        <f t="shared" si="0"/>
        <v>1330.65738151517</v>
      </c>
      <c r="M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轻击",$B$21,0))*(1+IF(VLOOKUP($R44,武学奇术!$A:$ZZ,30,FALSE)="老鼠",$B$22,0))*(1+$BW44)*(1+$BX44)</f>
        <v>1397.33151147312</v>
      </c>
      <c r="N44" s="35">
        <f>(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轻击",$B$21,0))*(1+IF(VLOOKUP($R44,武学奇术!$A:$ZZ,30,FALSE)="老鼠",$B$22,0))*(1+$BW44))*(1+$BX44)</f>
        <v>1326.09779255511</v>
      </c>
      <c r="O44" s="35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轻击",$B$21,0))*(1+IF(VLOOKUP($R44,武学奇术!$A:$ZZ,30,FALSE)="老鼠",$B$22,0))*(1+$BW44)*(1+$BX44)</f>
        <v>871.154308898457</v>
      </c>
      <c r="P44" s="35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轻击",$B$21,0))*(1+IF(VLOOKUP($R44,武学奇术!$A:$ZZ,30,FALSE)="老鼠",$B$22,0))*(1+$BW44)*(1+$BX44)</f>
        <v>760.01395664498</v>
      </c>
      <c r="Q44" s="36">
        <v>1</v>
      </c>
      <c r="R44" s="37" t="s">
        <v>102</v>
      </c>
      <c r="S44" s="37" t="s">
        <v>91</v>
      </c>
      <c r="T44" s="37" t="s">
        <v>175</v>
      </c>
      <c r="U44" s="37" t="s">
        <v>81</v>
      </c>
      <c r="V44" s="37" t="s">
        <v>81</v>
      </c>
      <c r="W44" s="37" t="s">
        <v>82</v>
      </c>
      <c r="X44" s="37" t="s">
        <v>81</v>
      </c>
      <c r="Y44" s="37" t="s">
        <v>81</v>
      </c>
      <c r="Z44" s="37" t="s">
        <v>81</v>
      </c>
      <c r="AA44" s="37" t="s">
        <v>81</v>
      </c>
      <c r="AB44" s="37" t="s">
        <v>81</v>
      </c>
      <c r="AC44" s="37" t="s">
        <v>81</v>
      </c>
      <c r="AD44" s="37" t="s">
        <v>85</v>
      </c>
      <c r="AE44" s="37" t="s">
        <v>81</v>
      </c>
      <c r="AF44" s="37" t="s">
        <v>81</v>
      </c>
      <c r="AG44" s="37" t="s">
        <v>87</v>
      </c>
      <c r="AH44" s="37" t="s">
        <v>81</v>
      </c>
      <c r="AI44" s="37" t="s">
        <v>81</v>
      </c>
      <c r="AJ44" s="37" t="s">
        <v>81</v>
      </c>
      <c r="AK44" s="37" t="s">
        <v>81</v>
      </c>
      <c r="AL44" s="37" t="s">
        <v>81</v>
      </c>
      <c r="AM44" t="str">
        <f>VLOOKUP($R44,武学奇术!$A:$ZZ,25,FALSE)</f>
        <v>绳镖</v>
      </c>
      <c r="AN44" s="23">
        <f>VLOOKUP($R44,武学奇术!$A:$ZZ,26,FALSE)</f>
        <v>0.0621</v>
      </c>
      <c r="AO44" s="24">
        <f>VLOOKUP($R44,武学奇术!$A:$ZZ,27,FALSE)*(1+IF(OR($AM44=$F$4,$AM44=$F$5),$B$23,0))</f>
        <v>27.2</v>
      </c>
      <c r="AP44" s="23">
        <f>VLOOKUP($R44,武学奇术!$A:$ZZ,28,FALSE)</f>
        <v>0.0932</v>
      </c>
      <c r="AQ44" s="24">
        <f>VLOOKUP($R44,武学奇术!$A:$ZZ,29,FALSE)*(1+IF(OR($AM44=$F$4,$AM44=$F$5),$B$23,0))</f>
        <v>14.4</v>
      </c>
      <c r="AR44" s="23" cm="1">
        <f t="array" ref="AR44">$G$3+IFERROR(VLOOKUP($AM44,$F$4:$G$7,2,FALSE),0)+VLOOKUP($R44,武学奇术!$A:$ZZ,2,FALSE)+SUM(_xlfn.XLOOKUP($S44:$AL44,增益!$A:$A,增益!$B:$B,0))</f>
        <v>0.5743</v>
      </c>
      <c r="AS44" s="23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4013</v>
      </c>
      <c r="AU44" cm="1">
        <f t="array" ref="AU44">$E$10*(1+$AS44)+VLOOKUP($R44,武学奇术!$A:$ZZ,4,FALSE)+SUM(_xlfn.XLOOKUP($S44:$AL44,增益!$A:$A,增益!$D:$D,0))-$I$2</f>
        <v>4013</v>
      </c>
      <c r="AV44" s="29" cm="1">
        <f t="array" ref="AV44">IF($F$10-$I$3+VLOOKUP($R44,武学奇术!$A:$ZZ,6,FALSE)+SUM(_xlfn.XLOOKUP(S44:AL44,增益!$A:$A,增益!$F:$F,0))&gt;0,($F$10-$I$3+VLOOKUP($R44,武学奇术!$A:$ZZ,6,FALSE)+SUM(_xlfn.XLOOKUP(S44:AL44,增益!$A:$A,增益!$F:$F,0)))/200,($F$10-$I$3+VLOOKUP($R44,武学奇术!$A:$ZZ,6,FALSE)+SUM(_xlfn.XLOOKUP(S44:AL44,增益!$A:$A,增益!$F:$F,0)))/100)</f>
        <v>0.2439</v>
      </c>
      <c r="AW44" s="29" cm="1">
        <f t="array" ref="AW44">$G$10+VLOOKUP($R44,武学奇术!$A:$ZZ,7,FALSE)+SUM(_xlfn.XLOOKUP(S44:AL44,增益!$A:$A,增益!$G:$G,0))</f>
        <v>0</v>
      </c>
      <c r="AX44" s="23" cm="1">
        <f t="array" ref="AX44">VLOOKUP($R44,武学奇术!$A:$ZZ,8,FALSE)+SUM(_xlfn.XLOOKUP(S44:AL44,增益!$A:$A,增益!$H:$H,0))</f>
        <v>0</v>
      </c>
      <c r="AY44">
        <f t="shared" si="1"/>
        <v>0</v>
      </c>
      <c r="AZ44">
        <f t="shared" si="2"/>
        <v>0</v>
      </c>
      <c r="BA44" s="29" cm="1">
        <f t="array" ref="BA44">IF($F$11-$I$4+VLOOKUP($R44,武学奇术!$A:$ZZ,9,FALSE)+SUM(_xlfn.XLOOKUP(S44:AL44,增益!$A:$A,增益!$I:$I,0))&gt;0,($F$11-$I$4+VLOOKUP($R44,武学奇术!$A:$ZZ,9,FALSE)+SUM(_xlfn.XLOOKUP(S44:AL44,增益!$A:$A,增益!$I:$I,0)))/200,($F$11-$I$4+VLOOKUP($R44,武学奇术!$A:$ZZ,9,FALSE)+SUM(_xlfn.XLOOKUP(S44:AL44,增益!$A:$A,增益!$I:$I,0)))/100)</f>
        <v>-0.3</v>
      </c>
      <c r="BB44" s="29" cm="1">
        <f t="array" ref="BB44">$G$11+VLOOKUP($R44,武学奇术!$A:$ZZ,10,FALSE)+SUM(_xlfn.XLOOKUP(S44:AL44,增益!$A:$A,增益!$J:$J,0))</f>
        <v>0</v>
      </c>
      <c r="BC44">
        <f t="shared" si="3"/>
        <v>0</v>
      </c>
      <c r="BD44">
        <f t="shared" si="4"/>
        <v>0</v>
      </c>
      <c r="BE44" s="29" cm="1">
        <f t="array" ref="BE44">IF($F$12-$I$4+VLOOKUP($R44,武学奇术!$A:$ZZ,11,FALSE)+SUM(_xlfn.XLOOKUP(S44:AL44,增益!$A:$A,增益!$K:$K,0))&gt;0,($F$12-$I$4+VLOOKUP($R44,武学奇术!$A:$ZZ,11,FALSE)+SUM(_xlfn.XLOOKUP(S44:AL44,增益!$A:$A,增益!$K:$K,0)))/200,($F$12-$I$4+VLOOKUP($R44,武学奇术!$A:$ZZ,11,FALSE)+SUM(_xlfn.XLOOKUP(S44:AL44,增益!$A:$A,增益!$K:$K,0)))/100)</f>
        <v>-0.3</v>
      </c>
      <c r="BF44" s="29" cm="1">
        <f t="array" ref="BF44">$G$12+VLOOKUP($R44,武学奇术!$A:$ZZ,12,FALSE)+SUM(_xlfn.XLOOKUP(S44:AL44,增益!$A:$A,增益!$L:$L,0))</f>
        <v>0</v>
      </c>
      <c r="BG44">
        <f t="shared" si="5"/>
        <v>0</v>
      </c>
      <c r="BH44">
        <f t="shared" si="6"/>
        <v>0</v>
      </c>
      <c r="BI44" s="29" cm="1">
        <f t="array" ref="BI44">IF($F$13-$I$4+VLOOKUP($R44,武学奇术!$A:$ZZ,13,FALSE)+SUM(_xlfn.XLOOKUP(S44:AL44,增益!$A:$A,增益!$M:$M,0))&gt;0,($F$13-$I$4+VLOOKUP($R44,武学奇术!$A:$ZZ,13,FALSE)+SUM(_xlfn.XLOOKUP(S44:AL44,增益!$A:$A,增益!$K:$K,0)))/200,($F$13-$I$4+VLOOKUP($R44,武学奇术!$A:$ZZ,13,FALSE)+SUM(_xlfn.XLOOKUP(S44:AL44,增益!$A:$A,增益!$M:$M,0)))/100)</f>
        <v>-0.3</v>
      </c>
      <c r="BJ44" s="29" cm="1">
        <f t="array" ref="BJ44">$G$13+VLOOKUP($R44,武学奇术!$A:$ZZ,14,FALSE)+SUM(_xlfn.XLOOKUP(S44:AL44,增益!$A:$A,增益!$N:$N,0))</f>
        <v>0</v>
      </c>
      <c r="BK44">
        <f t="shared" si="7"/>
        <v>618.2</v>
      </c>
      <c r="BL44">
        <f t="shared" si="8"/>
        <v>1805</v>
      </c>
      <c r="BM44" s="29" cm="1">
        <f t="array" ref="BM44">IF($F$14-$I$4+VLOOKUP($R44,武学奇术!$A:$ZZ,15,FALSE)+SUM(_xlfn.XLOOKUP(S44:AL44,增益!$A:$A,增益!$O:$O,0))&gt;0,($F$14-$I$4+VLOOKUP($R44,武学奇术!$A:$ZZ,15,FALSE)+SUM(_xlfn.XLOOKUP(S44:AL44,增益!$A:$A,增益!$O:$O,0)))/200,($F$14-$I$4+VLOOKUP($R44,武学奇术!$A:$ZZ,15,FALSE)+SUM(_xlfn.XLOOKUP(S44:AL44,增益!$A:$A,增益!$O:$O,0)))/100)</f>
        <v>0</v>
      </c>
      <c r="BN44" s="29" cm="1">
        <f t="array" ref="BN44">$G$14+VLOOKUP($R44,武学奇术!$A:$ZZ,16,FALSE)+SUM(_xlfn.XLOOKUP(S44:AL44,增益!$A:$A,增益!$P:$P,0))</f>
        <v>0.15</v>
      </c>
      <c r="BO44" s="23">
        <f>MIN(IF(VLOOKUP($R44,武学奇术!$A:$ZZ,23,FALSE)=1,100%,$B$8),100%)</f>
        <v>0.9943</v>
      </c>
      <c r="BP44" s="23" cm="1">
        <f t="array" ref="BP44">IF(VLOOKUP($R44,武学奇术!$A:$ZZ,23,FALSE)=1,100%,MIN(80%,$B$9+VLOOKUP($R44,武学奇术!$A:$ZZ,17,FALSE)+SUM(_xlfn.XLOOKUP(S44:AL44,增益!$A:$A,增益!$Q:$Q,0)))+$B$11+SUM(_xlfn.XLOOKUP(S44:AL44,增益!$A:$A,增益!$U:$U,0)))*IF(VLOOKUP($R44,武学奇术!$A:$ZZ,24,FALSE)=1,0,1)</f>
        <v>0.8</v>
      </c>
      <c r="BQ44" s="23" cm="1">
        <f t="array" ref="BQ44">1+$B$13+VLOOKUP($R44,武学奇术!$A:$ZZ,18,FALSE)+SUM(_xlfn.XLOOKUP(S44:AL44,增益!$A:$A,增益!$R:$R,0))</f>
        <v>1.604</v>
      </c>
      <c r="BR44" s="23" cm="1">
        <f t="array" ref="BR44">IF(VLOOKUP($R44,武学奇术!$A:$ZZ,24,FALSE)=1,100%,MIN(40%,$B$10+VLOOKUP($R44,武学奇术!$A:$ZZ,19,FALSE)+SUM(_xlfn.XLOOKUP(S44:AL44,增益!$A:$A,增益!$S:$S,0)))+$B$12+SUM(_xlfn.XLOOKUP(S44:AL44,增益!$A:$A,增益!$V:$V,0)))*IF(VLOOKUP($R44,武学奇术!$A:$ZZ,23,FALSE)=1,0,1)</f>
        <v>0.0913</v>
      </c>
      <c r="BS44" s="23" cm="1">
        <f t="array" ref="BS44">1+$B$14+VLOOKUP($R44,武学奇术!$A:$ZZ,20,FALSE)+SUM(_xlfn.XLOOKUP(S44:AL44,增益!$A:$A,增益!$T:$T,0))</f>
        <v>1.35</v>
      </c>
      <c r="BT44" s="23">
        <f t="shared" si="9"/>
        <v>0.79544</v>
      </c>
      <c r="BU44" s="23">
        <f t="shared" si="10"/>
        <v>0.10808041</v>
      </c>
      <c r="BV44" s="23">
        <f>IF(VLOOKUP($R44,武学奇术!$A:$ZZ,22,FALSE)=1,0,(1-$BO44))*(1-$BR44)</f>
        <v>0.00517959000000003</v>
      </c>
      <c r="BW44" s="23" cm="1">
        <f t="array" ref="BW44">SUM(_xlfn.XLOOKUP(S44:AL44,增益!$A:$A,增益!$W:$W,0))+$I$5</f>
        <v>0.11</v>
      </c>
      <c r="BX44" s="23">
        <f>VLOOKUP($R44,武学奇术!$A:$ZZ,32,FALSE)</f>
        <v>0</v>
      </c>
      <c r="BY44" s="23" cm="1">
        <f t="array" ref="BY44">SUM(_xlfn.XLOOKUP($S44:$AL44,增益!$A:$A,增益!$X:$X,0))</f>
        <v>0</v>
      </c>
    </row>
    <row r="45" spans="2:77">
      <c r="B45" s="89"/>
      <c r="K45" s="35">
        <f>$L45*VLOOKUP($R45,武学奇术!$A:$ZZ,31,FALSE)</f>
        <v>38395.0771151612</v>
      </c>
      <c r="L45" s="69">
        <f t="shared" si="0"/>
        <v>37642.2324658443</v>
      </c>
      <c r="M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轻击",$B$21,0))*(1+IF(VLOOKUP($R45,武学奇术!$A:$ZZ,30,FALSE)="老鼠",$B$22,0))*(1+$BW45)*(1+$BX45)</f>
        <v>39475.425727465</v>
      </c>
      <c r="N45" s="35">
        <f>(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轻击",$B$21,0))*(1+IF(VLOOKUP($R45,武学奇术!$A:$ZZ,30,FALSE)="老鼠",$B$22,0))*(1+$BW45))*(1+$BX45)</f>
        <v>38039.1546740632</v>
      </c>
      <c r="O45" s="35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轻击",$B$21,0))*(1+IF(VLOOKUP($R45,武学奇术!$A:$ZZ,30,FALSE)="老鼠",$B$22,0))*(1+$BW45)*(1+$BX45)</f>
        <v>24610.6145433073</v>
      </c>
      <c r="P45" s="35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轻击",$B$21,0))*(1+IF(VLOOKUP($R45,武学奇术!$A:$ZZ,30,FALSE)="老鼠",$B$22,0))*(1+$BW45)*(1+$BX45)</f>
        <v>21044.0774761975</v>
      </c>
      <c r="Q45" s="70">
        <v>2</v>
      </c>
      <c r="R45" s="37" t="s">
        <v>106</v>
      </c>
      <c r="S45" s="37" t="s">
        <v>91</v>
      </c>
      <c r="T45" s="37" t="s">
        <v>175</v>
      </c>
      <c r="U45" s="37" t="s">
        <v>112</v>
      </c>
      <c r="V45" s="37" t="s">
        <v>113</v>
      </c>
      <c r="W45" s="37" t="s">
        <v>82</v>
      </c>
      <c r="X45" s="37" t="s">
        <v>81</v>
      </c>
      <c r="Y45" s="37" t="s">
        <v>109</v>
      </c>
      <c r="Z45" s="37" t="s">
        <v>81</v>
      </c>
      <c r="AA45" s="37" t="s">
        <v>81</v>
      </c>
      <c r="AB45" s="37" t="s">
        <v>81</v>
      </c>
      <c r="AC45" s="37" t="s">
        <v>81</v>
      </c>
      <c r="AD45" s="37" t="s">
        <v>85</v>
      </c>
      <c r="AE45" s="37" t="s">
        <v>81</v>
      </c>
      <c r="AF45" s="37" t="s">
        <v>81</v>
      </c>
      <c r="AG45" s="37" t="s">
        <v>87</v>
      </c>
      <c r="AH45" s="37" t="s">
        <v>81</v>
      </c>
      <c r="AI45" s="37" t="s">
        <v>81</v>
      </c>
      <c r="AJ45" s="37" t="s">
        <v>81</v>
      </c>
      <c r="AK45" s="37" t="s">
        <v>81</v>
      </c>
      <c r="AL45" s="37" t="s">
        <v>81</v>
      </c>
      <c r="AM45" t="str">
        <f>VLOOKUP($R45,武学奇术!$A:$ZZ,25,FALSE)</f>
        <v>绳镖</v>
      </c>
      <c r="AN45" s="23">
        <f>VLOOKUP($R45,武学奇术!$A:$ZZ,26,FALSE)</f>
        <v>0.3675</v>
      </c>
      <c r="AO45" s="24">
        <f>VLOOKUP($R45,武学奇术!$A:$ZZ,27,FALSE)*(1+IF(OR($AM45=$F$4,$AM45=$F$5),$B$23,0))</f>
        <v>0</v>
      </c>
      <c r="AP45" s="23">
        <f>VLOOKUP($R45,武学奇术!$A:$ZZ,28,FALSE)</f>
        <v>0.55125</v>
      </c>
      <c r="AQ45" s="24">
        <f>VLOOKUP($R45,武学奇术!$A:$ZZ,29,FALSE)*(1+IF(OR($AM45=$F$4,$AM45=$F$5),$B$23,0))</f>
        <v>0</v>
      </c>
      <c r="AR45" s="23" cm="1">
        <f t="array" ref="AR45">$G$3+IFERROR(VLOOKUP($AM45,$F$4:$G$7,2,FALSE),0)+VLOOKUP($R45,武学奇术!$A:$ZZ,2,FALSE)+SUM(_xlfn.XLOOKUP($S45:$AL45,增益!$A:$A,增益!$B:$B,0))</f>
        <v>1.4943</v>
      </c>
      <c r="AS45" s="23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4081.7</v>
      </c>
      <c r="AU45" cm="1">
        <f t="array" ref="AU45">$E$10*(1+$AS45)+VLOOKUP($R45,武学奇术!$A:$ZZ,4,FALSE)+SUM(_xlfn.XLOOKUP($S45:$AL45,增益!$A:$A,增益!$D:$D,0))-$I$2</f>
        <v>4081.7</v>
      </c>
      <c r="AV45" s="29" cm="1">
        <f t="array" ref="AV45">IF($F$10-$I$3+VLOOKUP($R45,武学奇术!$A:$ZZ,6,FALSE)+SUM(_xlfn.XLOOKUP(S45:AL45,增益!$A:$A,增益!$F:$F,0))&gt;0,($F$10-$I$3+VLOOKUP($R45,武学奇术!$A:$ZZ,6,FALSE)+SUM(_xlfn.XLOOKUP(S45:AL45,增益!$A:$A,增益!$F:$F,0)))/200,($F$10-$I$3+VLOOKUP($R45,武学奇术!$A:$ZZ,6,FALSE)+SUM(_xlfn.XLOOKUP(S45:AL45,增益!$A:$A,增益!$F:$F,0)))/100)</f>
        <v>0.2439</v>
      </c>
      <c r="AW45" s="29" cm="1">
        <f t="array" ref="AW45">$G$10+VLOOKUP($R45,武学奇术!$A:$ZZ,7,FALSE)+SUM(_xlfn.XLOOKUP(S45:AL45,增益!$A:$A,增益!$G:$G,0))</f>
        <v>0.27</v>
      </c>
      <c r="AX45" s="23" cm="1">
        <f t="array" ref="AX45">VLOOKUP($R45,武学奇术!$A:$ZZ,8,FALSE)+SUM(_xlfn.XLOOKUP(S45:AL45,增益!$A:$A,增益!$H:$H,0))</f>
        <v>0</v>
      </c>
      <c r="AY45">
        <f t="shared" si="1"/>
        <v>0</v>
      </c>
      <c r="AZ45">
        <f t="shared" si="2"/>
        <v>0</v>
      </c>
      <c r="BA45" s="29" cm="1">
        <f t="array" ref="BA45">IF($F$11-$I$4+VLOOKUP($R45,武学奇术!$A:$ZZ,9,FALSE)+SUM(_xlfn.XLOOKUP(S45:AL45,增益!$A:$A,增益!$I:$I,0))&gt;0,($F$11-$I$4+VLOOKUP($R45,武学奇术!$A:$ZZ,9,FALSE)+SUM(_xlfn.XLOOKUP(S45:AL45,增益!$A:$A,增益!$I:$I,0)))/200,($F$11-$I$4+VLOOKUP($R45,武学奇术!$A:$ZZ,9,FALSE)+SUM(_xlfn.XLOOKUP(S45:AL45,增益!$A:$A,增益!$I:$I,0)))/100)</f>
        <v>-0.3</v>
      </c>
      <c r="BB45" s="29" cm="1">
        <f t="array" ref="BB45">$G$11+VLOOKUP($R45,武学奇术!$A:$ZZ,10,FALSE)+SUM(_xlfn.XLOOKUP(S45:AL45,增益!$A:$A,增益!$J:$J,0))</f>
        <v>0</v>
      </c>
      <c r="BC45">
        <f t="shared" si="3"/>
        <v>0</v>
      </c>
      <c r="BD45">
        <f t="shared" si="4"/>
        <v>0</v>
      </c>
      <c r="BE45" s="29" cm="1">
        <f t="array" ref="BE45">IF($F$12-$I$4+VLOOKUP($R45,武学奇术!$A:$ZZ,11,FALSE)+SUM(_xlfn.XLOOKUP(S45:AL45,增益!$A:$A,增益!$K:$K,0))&gt;0,($F$12-$I$4+VLOOKUP($R45,武学奇术!$A:$ZZ,11,FALSE)+SUM(_xlfn.XLOOKUP(S45:AL45,增益!$A:$A,增益!$K:$K,0)))/200,($F$12-$I$4+VLOOKUP($R45,武学奇术!$A:$ZZ,11,FALSE)+SUM(_xlfn.XLOOKUP(S45:AL45,增益!$A:$A,增益!$K:$K,0)))/100)</f>
        <v>-0.3</v>
      </c>
      <c r="BF45" s="29" cm="1">
        <f t="array" ref="BF45">$G$12+VLOOKUP($R45,武学奇术!$A:$ZZ,12,FALSE)+SUM(_xlfn.XLOOKUP(S45:AL45,增益!$A:$A,增益!$L:$L,0))</f>
        <v>0</v>
      </c>
      <c r="BG45">
        <f t="shared" si="5"/>
        <v>0</v>
      </c>
      <c r="BH45">
        <f t="shared" si="6"/>
        <v>0</v>
      </c>
      <c r="BI45" s="29" cm="1">
        <f t="array" ref="BI45">IF($F$13-$I$4+VLOOKUP($R45,武学奇术!$A:$ZZ,13,FALSE)+SUM(_xlfn.XLOOKUP(S45:AL45,增益!$A:$A,增益!$M:$M,0))&gt;0,($F$13-$I$4+VLOOKUP($R45,武学奇术!$A:$ZZ,13,FALSE)+SUM(_xlfn.XLOOKUP(S45:AL45,增益!$A:$A,增益!$K:$K,0)))/200,($F$13-$I$4+VLOOKUP($R45,武学奇术!$A:$ZZ,13,FALSE)+SUM(_xlfn.XLOOKUP(S45:AL45,增益!$A:$A,增益!$M:$M,0)))/100)</f>
        <v>-0.3</v>
      </c>
      <c r="BJ45" s="29" cm="1">
        <f t="array" ref="BJ45">$G$13+VLOOKUP($R45,武学奇术!$A:$ZZ,14,FALSE)+SUM(_xlfn.XLOOKUP(S45:AL45,增益!$A:$A,增益!$N:$N,0))</f>
        <v>0</v>
      </c>
      <c r="BK45">
        <f t="shared" si="7"/>
        <v>618.2</v>
      </c>
      <c r="BL45">
        <f t="shared" si="8"/>
        <v>1805</v>
      </c>
      <c r="BM45" s="29" cm="1">
        <f t="array" ref="BM45">IF($F$14-$I$4+VLOOKUP($R45,武学奇术!$A:$ZZ,15,FALSE)+SUM(_xlfn.XLOOKUP(S45:AL45,增益!$A:$A,增益!$O:$O,0))&gt;0,($F$14-$I$4+VLOOKUP($R45,武学奇术!$A:$ZZ,15,FALSE)+SUM(_xlfn.XLOOKUP(S45:AL45,增益!$A:$A,增益!$O:$O,0)))/200,($F$14-$I$4+VLOOKUP($R45,武学奇术!$A:$ZZ,15,FALSE)+SUM(_xlfn.XLOOKUP(S45:AL45,增益!$A:$A,增益!$O:$O,0)))/100)</f>
        <v>0.05</v>
      </c>
      <c r="BN45" s="29" cm="1">
        <f t="array" ref="BN45">$G$14+VLOOKUP($R45,武学奇术!$A:$ZZ,16,FALSE)+SUM(_xlfn.XLOOKUP(S45:AL45,增益!$A:$A,增益!$P:$P,0))</f>
        <v>0.42</v>
      </c>
      <c r="BO45" s="23">
        <f>MIN(IF(VLOOKUP($R45,武学奇术!$A:$ZZ,23,FALSE)=1,100%,$B$8),100%)</f>
        <v>0.9943</v>
      </c>
      <c r="BP45" s="23" cm="1">
        <f t="array" ref="BP45">IF(VLOOKUP($R45,武学奇术!$A:$ZZ,23,FALSE)=1,100%,MIN(80%,$B$9+VLOOKUP($R45,武学奇术!$A:$ZZ,17,FALSE)+SUM(_xlfn.XLOOKUP(S45:AL45,增益!$A:$A,增益!$Q:$Q,0)))+$B$11+SUM(_xlfn.XLOOKUP(S45:AL45,增益!$A:$A,增益!$U:$U,0)))*IF(VLOOKUP($R45,武学奇术!$A:$ZZ,24,FALSE)=1,0,1)</f>
        <v>0.8</v>
      </c>
      <c r="BQ45" s="23" cm="1">
        <f t="array" ref="BQ45">1+$B$13+VLOOKUP($R45,武学奇术!$A:$ZZ,18,FALSE)+SUM(_xlfn.XLOOKUP(S45:AL45,增益!$A:$A,增益!$R:$R,0))</f>
        <v>1.604</v>
      </c>
      <c r="BR45" s="23" cm="1">
        <f t="array" ref="BR45">IF(VLOOKUP($R45,武学奇术!$A:$ZZ,24,FALSE)=1,100%,MIN(40%,$B$10+VLOOKUP($R45,武学奇术!$A:$ZZ,19,FALSE)+SUM(_xlfn.XLOOKUP(S45:AL45,增益!$A:$A,增益!$S:$S,0)))+$B$12+SUM(_xlfn.XLOOKUP(S45:AL45,增益!$A:$A,增益!$V:$V,0)))*IF(VLOOKUP($R45,武学奇术!$A:$ZZ,23,FALSE)=1,0,1)</f>
        <v>0.0913</v>
      </c>
      <c r="BS45" s="23" cm="1">
        <f t="array" ref="BS45">1+$B$14+VLOOKUP($R45,武学奇术!$A:$ZZ,20,FALSE)+SUM(_xlfn.XLOOKUP(S45:AL45,增益!$A:$A,增益!$T:$T,0))</f>
        <v>1.35</v>
      </c>
      <c r="BT45" s="23">
        <f t="shared" si="9"/>
        <v>0.79544</v>
      </c>
      <c r="BU45" s="23">
        <f t="shared" si="10"/>
        <v>0.10808041</v>
      </c>
      <c r="BV45" s="23">
        <f>IF(VLOOKUP($R45,武学奇术!$A:$ZZ,22,FALSE)=1,0,(1-$BO45))*(1-$BR45)</f>
        <v>0.00517959000000003</v>
      </c>
      <c r="BW45" s="23" cm="1">
        <f t="array" ref="BW45">SUM(_xlfn.XLOOKUP(S45:AL45,增益!$A:$A,增益!$W:$W,0))+$I$5</f>
        <v>0.11</v>
      </c>
      <c r="BX45" s="23">
        <f>VLOOKUP($R45,武学奇术!$A:$ZZ,32,FALSE)</f>
        <v>0</v>
      </c>
      <c r="BY45" s="23" cm="1">
        <f t="array" ref="BY45">SUM(_xlfn.XLOOKUP($S45:$AL45,增益!$A:$A,增益!$X:$X,0))</f>
        <v>0</v>
      </c>
    </row>
    <row r="46" spans="2:77">
      <c r="K46" s="35">
        <f>$L46*VLOOKUP($R46,武学奇术!$A:$ZZ,31,FALSE)</f>
        <v>162584.791008359</v>
      </c>
      <c r="L46" s="90">
        <f>SUM(L8,L11,L14,L16,L19,L22,L25,L28,L30,L32,L35,L39,L41,L43,L45)*30%*(1+BY46)</f>
        <v>318793.707859527</v>
      </c>
      <c r="M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轻击",$B$21,0))*(1+IF(VLOOKUP($R46,武学奇术!$A:$ZZ,30,FALSE)="老鼠",$B$22,0))*(1+$BW46)*(1+$BX46)</f>
        <v>0</v>
      </c>
      <c r="N46" s="35">
        <f>(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轻击",$B$21,0))*(1+IF(VLOOKUP($R46,武学奇术!$A:$ZZ,30,FALSE)="老鼠",$B$22,0))*(1+$BW46))*(1+$BX46)</f>
        <v>0</v>
      </c>
      <c r="O46" s="35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轻击",$B$21,0))*(1+IF(VLOOKUP($R46,武学奇术!$A:$ZZ,30,FALSE)="老鼠",$B$22,0))*(1+$BW46)*(1+$BX46)</f>
        <v>0</v>
      </c>
      <c r="P46" s="35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轻击",$B$21,0))*(1+IF(VLOOKUP($R46,武学奇术!$A:$ZZ,30,FALSE)="老鼠",$B$22,0))*(1+$BW46)*(1+$BX46)</f>
        <v>0</v>
      </c>
      <c r="Q46" s="36">
        <v>1</v>
      </c>
      <c r="R46" s="37" t="s">
        <v>177</v>
      </c>
      <c r="S46" s="37" t="s">
        <v>81</v>
      </c>
      <c r="T46" s="37" t="s">
        <v>81</v>
      </c>
      <c r="U46" s="37" t="s">
        <v>81</v>
      </c>
      <c r="V46" s="37" t="s">
        <v>81</v>
      </c>
      <c r="W46" s="37" t="s">
        <v>81</v>
      </c>
      <c r="X46" s="37" t="s">
        <v>81</v>
      </c>
      <c r="Y46" s="37" t="s">
        <v>81</v>
      </c>
      <c r="Z46" s="37" t="s">
        <v>81</v>
      </c>
      <c r="AA46" s="37" t="s">
        <v>81</v>
      </c>
      <c r="AB46" s="37" t="s">
        <v>81</v>
      </c>
      <c r="AC46" s="37" t="s">
        <v>81</v>
      </c>
      <c r="AD46" s="37" t="s">
        <v>81</v>
      </c>
      <c r="AE46" s="37" t="s">
        <v>81</v>
      </c>
      <c r="AF46" s="37" t="s">
        <v>81</v>
      </c>
      <c r="AG46" s="37" t="s">
        <v>87</v>
      </c>
      <c r="AH46" s="37" t="s">
        <v>81</v>
      </c>
      <c r="AI46" s="37" t="s">
        <v>81</v>
      </c>
      <c r="AJ46" s="37" t="s">
        <v>81</v>
      </c>
      <c r="AK46" s="37" t="s">
        <v>81</v>
      </c>
      <c r="AL46" s="37" t="s">
        <v>81</v>
      </c>
      <c r="AM46" t="str">
        <f>VLOOKUP($R46,武学奇术!$A:$ZZ,25,FALSE)</f>
        <v>心法</v>
      </c>
      <c r="AN46" s="23">
        <f>VLOOKUP($R46,武学奇术!$A:$ZZ,26,FALSE)</f>
        <v>0</v>
      </c>
      <c r="AO46" s="24">
        <f>VLOOKUP($R46,武学奇术!$A:$ZZ,27,FALSE)*(1+IF(OR($AM46=$F$4,$AM46=$F$5),$B$23,0))</f>
        <v>0</v>
      </c>
      <c r="AP46" s="23">
        <f>VLOOKUP($R46,武学奇术!$A:$ZZ,28,FALSE)</f>
        <v>0</v>
      </c>
      <c r="AQ46" s="24">
        <f>VLOOKUP($R46,武学奇术!$A:$ZZ,29,FALSE)*(1+IF(OR($AM46=$F$4,$AM46=$F$5),$B$23,0))</f>
        <v>0</v>
      </c>
      <c r="AR46" s="23" cm="1">
        <f t="array" ref="AR46">$G$3+IFERROR(VLOOKUP($AM46,$F$4:$G$7,2,FALSE),0)+VLOOKUP($R46,武学奇术!$A:$ZZ,2,FALSE)+SUM(_xlfn.XLOOKUP($S46:$AL46,增益!$A:$A,增益!$B:$B,0))</f>
        <v>0.1042</v>
      </c>
      <c r="AS46" s="23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4013</v>
      </c>
      <c r="AU46" cm="1">
        <f t="array" ref="AU46">$E$10*(1+$AS46)+VLOOKUP($R46,武学奇术!$A:$ZZ,4,FALSE)+SUM(_xlfn.XLOOKUP($S46:$AL46,增益!$A:$A,增益!$D:$D,0))-$I$2</f>
        <v>4013</v>
      </c>
      <c r="AV46" s="29" cm="1">
        <f t="array" ref="AV46">IF($F$10-$I$3+VLOOKUP($R46,武学奇术!$A:$ZZ,6,FALSE)+SUM(_xlfn.XLOOKUP(S46:AL46,增益!$A:$A,增益!$F:$F,0))&gt;0,($F$10-$I$3+VLOOKUP($R46,武学奇术!$A:$ZZ,6,FALSE)+SUM(_xlfn.XLOOKUP(S46:AL46,增益!$A:$A,增益!$F:$F,0)))/200,($F$10-$I$3+VLOOKUP($R46,武学奇术!$A:$ZZ,6,FALSE)+SUM(_xlfn.XLOOKUP(S46:AL46,增益!$A:$A,增益!$F:$F,0)))/100)</f>
        <v>0.1939</v>
      </c>
      <c r="AW46" s="29" cm="1">
        <f t="array" ref="AW46">$G$10+VLOOKUP($R46,武学奇术!$A:$ZZ,7,FALSE)+SUM(_xlfn.XLOOKUP(S46:AL46,增益!$A:$A,增益!$G:$G,0))</f>
        <v>0</v>
      </c>
      <c r="AX46" s="23" cm="1">
        <f t="array" ref="AX46">VLOOKUP($R46,武学奇术!$A:$ZZ,8,FALSE)+SUM(_xlfn.XLOOKUP(S46:AL46,增益!$A:$A,增益!$H:$H,0))</f>
        <v>0</v>
      </c>
      <c r="AY46">
        <f t="shared" si="1"/>
        <v>0</v>
      </c>
      <c r="AZ46">
        <f t="shared" si="2"/>
        <v>0</v>
      </c>
      <c r="BA46" s="29" cm="1">
        <f t="array" ref="BA46">IF($F$11-$I$4+VLOOKUP($R46,武学奇术!$A:$ZZ,9,FALSE)+SUM(_xlfn.XLOOKUP(S46:AL46,增益!$A:$A,增益!$I:$I,0))&gt;0,($F$11-$I$4+VLOOKUP($R46,武学奇术!$A:$ZZ,9,FALSE)+SUM(_xlfn.XLOOKUP(S46:AL46,增益!$A:$A,增益!$I:$I,0)))/200,($F$11-$I$4+VLOOKUP($R46,武学奇术!$A:$ZZ,9,FALSE)+SUM(_xlfn.XLOOKUP(S46:AL46,增益!$A:$A,增益!$I:$I,0)))/100)</f>
        <v>-0.3</v>
      </c>
      <c r="BB46" s="29" cm="1">
        <f t="array" ref="BB46">$G$11+VLOOKUP($R46,武学奇术!$A:$ZZ,10,FALSE)+SUM(_xlfn.XLOOKUP(S46:AL46,增益!$A:$A,增益!$J:$J,0))</f>
        <v>0</v>
      </c>
      <c r="BC46">
        <f t="shared" si="3"/>
        <v>0</v>
      </c>
      <c r="BD46">
        <f t="shared" si="4"/>
        <v>0</v>
      </c>
      <c r="BE46" s="29" cm="1">
        <f t="array" ref="BE46">IF($F$12-$I$4+VLOOKUP($R46,武学奇术!$A:$ZZ,11,FALSE)+SUM(_xlfn.XLOOKUP(S46:AL46,增益!$A:$A,增益!$K:$K,0))&gt;0,($F$12-$I$4+VLOOKUP($R46,武学奇术!$A:$ZZ,11,FALSE)+SUM(_xlfn.XLOOKUP(S46:AL46,增益!$A:$A,增益!$K:$K,0)))/200,($F$12-$I$4+VLOOKUP($R46,武学奇术!$A:$ZZ,11,FALSE)+SUM(_xlfn.XLOOKUP(S46:AL46,增益!$A:$A,增益!$K:$K,0)))/100)</f>
        <v>-0.3</v>
      </c>
      <c r="BF46" s="29" cm="1">
        <f t="array" ref="BF46">$G$12+VLOOKUP($R46,武学奇术!$A:$ZZ,12,FALSE)+SUM(_xlfn.XLOOKUP(S46:AL46,增益!$A:$A,增益!$L:$L,0))</f>
        <v>0</v>
      </c>
      <c r="BG46">
        <f t="shared" si="5"/>
        <v>0</v>
      </c>
      <c r="BH46">
        <f t="shared" si="6"/>
        <v>0</v>
      </c>
      <c r="BI46" s="29" cm="1">
        <f t="array" ref="BI46">IF($F$13-$I$4+VLOOKUP($R46,武学奇术!$A:$ZZ,13,FALSE)+SUM(_xlfn.XLOOKUP(S46:AL46,增益!$A:$A,增益!$M:$M,0))&gt;0,($F$13-$I$4+VLOOKUP($R46,武学奇术!$A:$ZZ,13,FALSE)+SUM(_xlfn.XLOOKUP(S46:AL46,增益!$A:$A,增益!$K:$K,0)))/200,($F$13-$I$4+VLOOKUP($R46,武学奇术!$A:$ZZ,13,FALSE)+SUM(_xlfn.XLOOKUP(S46:AL46,增益!$A:$A,增益!$M:$M,0)))/100)</f>
        <v>-0.3</v>
      </c>
      <c r="BJ46" s="29" cm="1">
        <f t="array" ref="BJ46">$G$13+VLOOKUP($R46,武学奇术!$A:$ZZ,14,FALSE)+SUM(_xlfn.XLOOKUP(S46:AL46,增益!$A:$A,增益!$N:$N,0))</f>
        <v>0</v>
      </c>
      <c r="BK46">
        <f t="shared" si="7"/>
        <v>618.2</v>
      </c>
      <c r="BL46">
        <f t="shared" si="8"/>
        <v>1805</v>
      </c>
      <c r="BM46" s="29" cm="1">
        <f t="array" ref="BM46">IF($F$14-$I$4+VLOOKUP($R46,武学奇术!$A:$ZZ,15,FALSE)+SUM(_xlfn.XLOOKUP(S46:AL46,增益!$A:$A,增益!$O:$O,0))&gt;0,($F$14-$I$4+VLOOKUP($R46,武学奇术!$A:$ZZ,15,FALSE)+SUM(_xlfn.XLOOKUP(S46:AL46,增益!$A:$A,增益!$O:$O,0)))/200,($F$14-$I$4+VLOOKUP($R46,武学奇术!$A:$ZZ,15,FALSE)+SUM(_xlfn.XLOOKUP(S46:AL46,增益!$A:$A,增益!$O:$O,0)))/100)</f>
        <v>0</v>
      </c>
      <c r="BN46" s="29" cm="1">
        <f t="array" ref="BN46">$G$14+VLOOKUP($R46,武学奇术!$A:$ZZ,16,FALSE)+SUM(_xlfn.XLOOKUP(S46:AL46,增益!$A:$A,增益!$P:$P,0))</f>
        <v>0.15</v>
      </c>
      <c r="BO46" s="23">
        <f>MIN(IF(VLOOKUP($R46,武学奇术!$A:$ZZ,23,FALSE)=1,100%,$B$8),100%)</f>
        <v>0.9943</v>
      </c>
      <c r="BP46" s="23" cm="1">
        <f t="array" ref="BP46">IF(VLOOKUP($R46,武学奇术!$A:$ZZ,23,FALSE)=1,100%,MIN(80%,$B$9+VLOOKUP($R46,武学奇术!$A:$ZZ,17,FALSE)+SUM(_xlfn.XLOOKUP(S46:AL46,增益!$A:$A,增益!$Q:$Q,0)))+$B$11+SUM(_xlfn.XLOOKUP(S46:AL46,增益!$A:$A,增益!$U:$U,0)))*IF(VLOOKUP($R46,武学奇术!$A:$ZZ,24,FALSE)=1,0,1)</f>
        <v>0.8</v>
      </c>
      <c r="BQ46" s="23" cm="1">
        <f t="array" ref="BQ46">1+$B$13+VLOOKUP($R46,武学奇术!$A:$ZZ,18,FALSE)+SUM(_xlfn.XLOOKUP(S46:AL46,增益!$A:$A,增益!$R:$R,0))</f>
        <v>1.544</v>
      </c>
      <c r="BR46" s="23" cm="1">
        <f t="array" ref="BR46">IF(VLOOKUP($R46,武学奇术!$A:$ZZ,24,FALSE)=1,100%,MIN(40%,$B$10+VLOOKUP($R46,武学奇术!$A:$ZZ,19,FALSE)+SUM(_xlfn.XLOOKUP(S46:AL46,增益!$A:$A,增益!$S:$S,0)))+$B$12+SUM(_xlfn.XLOOKUP(S46:AL46,增益!$A:$A,增益!$V:$V,0)))*IF(VLOOKUP($R46,武学奇术!$A:$ZZ,23,FALSE)=1,0,1)</f>
        <v>0.0913</v>
      </c>
      <c r="BS46" s="23" cm="1">
        <f t="array" ref="BS46">1+$B$14+VLOOKUP($R46,武学奇术!$A:$ZZ,20,FALSE)+SUM(_xlfn.XLOOKUP(S46:AL46,增益!$A:$A,增益!$T:$T,0))</f>
        <v>1.35</v>
      </c>
      <c r="BT46" s="23">
        <f t="shared" si="9"/>
        <v>0.79544</v>
      </c>
      <c r="BU46" s="23">
        <f t="shared" si="10"/>
        <v>0.10808041</v>
      </c>
      <c r="BV46" s="23">
        <f>IF(VLOOKUP($R46,武学奇术!$A:$ZZ,22,FALSE)=1,0,(1-$BO46))*(1-$BR46)</f>
        <v>0.00517959000000003</v>
      </c>
      <c r="BW46" s="23" cm="1">
        <f t="array" ref="BW46">SUM(_xlfn.XLOOKUP(S46:AL46,增益!$A:$A,增益!$W:$W,0))+$I$5</f>
        <v>0.11</v>
      </c>
      <c r="BX46" s="23">
        <f>VLOOKUP($R46,武学奇术!$A:$ZZ,32,FALSE)</f>
        <v>0</v>
      </c>
      <c r="BY46" s="23" cm="1">
        <f t="array" ref="BY46">SUM(_xlfn.XLOOKUP($S46:$AL46,增益!$A:$A,增益!$X:$X,0))</f>
        <v>0</v>
      </c>
    </row>
    <row r="47" spans="2:77">
      <c r="K47" s="35">
        <f>$L47*VLOOKUP($R47,武学奇术!$A:$ZZ,31,FALSE)</f>
        <v>0</v>
      </c>
      <c r="L47" s="58">
        <f t="shared" ref="L47:L80" si="11">($M47*$BT47+$N47*$BR47+$O47*$BU47+$P47*$BV47)</f>
        <v>0</v>
      </c>
      <c r="M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轻击",$B$21,0))*(1+IF(VLOOKUP($R47,武学奇术!$A:$ZZ,30,FALSE)="老鼠",$B$22,0))*(1+$BW47)*(1+$BX47)</f>
        <v>0</v>
      </c>
      <c r="N47" s="35">
        <f>(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轻击",$B$21,0))*(1+IF(VLOOKUP($R47,武学奇术!$A:$ZZ,30,FALSE)="老鼠",$B$22,0))*(1+$BW47))*(1+$BX47)</f>
        <v>0</v>
      </c>
      <c r="O47" s="35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轻击",$B$21,0))*(1+IF(VLOOKUP($R47,武学奇术!$A:$ZZ,30,FALSE)="老鼠",$B$22,0))*(1+$BW47)*(1+$BX47)</f>
        <v>0</v>
      </c>
      <c r="P47" s="35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轻击",$B$21,0))*(1+IF(VLOOKUP($R47,武学奇术!$A:$ZZ,30,FALSE)="老鼠",$B$22,0))*(1+$BW47)*(1+$BX47)</f>
        <v>0</v>
      </c>
      <c r="Q47" s="36">
        <v>1</v>
      </c>
      <c r="R47" s="37" t="s">
        <v>81</v>
      </c>
      <c r="S47" s="37" t="s">
        <v>81</v>
      </c>
      <c r="T47" s="37" t="s">
        <v>81</v>
      </c>
      <c r="U47" s="37" t="s">
        <v>81</v>
      </c>
      <c r="V47" s="37" t="s">
        <v>81</v>
      </c>
      <c r="W47" s="37" t="s">
        <v>81</v>
      </c>
      <c r="X47" s="37" t="s">
        <v>81</v>
      </c>
      <c r="Y47" s="37" t="s">
        <v>81</v>
      </c>
      <c r="Z47" s="37" t="s">
        <v>81</v>
      </c>
      <c r="AA47" s="37" t="s">
        <v>81</v>
      </c>
      <c r="AB47" s="37" t="s">
        <v>81</v>
      </c>
      <c r="AC47" s="37" t="s">
        <v>81</v>
      </c>
      <c r="AD47" s="37" t="s">
        <v>81</v>
      </c>
      <c r="AE47" s="37" t="s">
        <v>81</v>
      </c>
      <c r="AF47" s="37" t="s">
        <v>81</v>
      </c>
      <c r="AG47" s="37" t="s">
        <v>87</v>
      </c>
      <c r="AH47" s="37" t="s">
        <v>81</v>
      </c>
      <c r="AI47" s="37" t="s">
        <v>81</v>
      </c>
      <c r="AJ47" s="37" t="s">
        <v>81</v>
      </c>
      <c r="AK47" s="37" t="s">
        <v>81</v>
      </c>
      <c r="AL47" s="37" t="s">
        <v>81</v>
      </c>
      <c r="AM47" t="str">
        <f>VLOOKUP($R47,武学奇术!$A:$ZZ,25,FALSE)</f>
        <v>心法</v>
      </c>
      <c r="AN47" s="23">
        <f>VLOOKUP($R47,武学奇术!$A:$ZZ,26,FALSE)</f>
        <v>0</v>
      </c>
      <c r="AO47" s="24">
        <f>VLOOKUP($R47,武学奇术!$A:$ZZ,27,FALSE)*(1+IF(OR($AM47=$F$4,$AM47=$F$5),$B$23,0))</f>
        <v>0</v>
      </c>
      <c r="AP47" s="23">
        <f>VLOOKUP($R47,武学奇术!$A:$ZZ,28,FALSE)</f>
        <v>0</v>
      </c>
      <c r="AQ47" s="24">
        <f>VLOOKUP($R47,武学奇术!$A:$ZZ,29,FALSE)*(1+IF(OR($AM47=$F$4,$AM47=$F$5),$B$23,0))</f>
        <v>0</v>
      </c>
      <c r="AR47" s="23" cm="1">
        <f t="array" ref="AR47">$G$3+IFERROR(VLOOKUP($AM47,$F$4:$G$7,2,FALSE),0)+VLOOKUP($R47,武学奇术!$A:$ZZ,2,FALSE)+SUM(_xlfn.XLOOKUP($S47:$AL47,增益!$A:$A,增益!$B:$B,0))</f>
        <v>0.1042</v>
      </c>
      <c r="AS47" s="23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4013</v>
      </c>
      <c r="AU47" cm="1">
        <f t="array" ref="AU47">$E$10*(1+$AS47)+VLOOKUP($R47,武学奇术!$A:$ZZ,4,FALSE)+SUM(_xlfn.XLOOKUP($S47:$AL47,增益!$A:$A,增益!$D:$D,0))-$I$2</f>
        <v>4013</v>
      </c>
      <c r="AV47" s="29" cm="1">
        <f t="array" ref="AV47">IF($F$10-$I$3+VLOOKUP($R47,武学奇术!$A:$ZZ,6,FALSE)+SUM(_xlfn.XLOOKUP(S47:AL47,增益!$A:$A,增益!$F:$F,0))&gt;0,($F$10-$I$3+VLOOKUP($R47,武学奇术!$A:$ZZ,6,FALSE)+SUM(_xlfn.XLOOKUP(S47:AL47,增益!$A:$A,增益!$F:$F,0)))/200,($F$10-$I$3+VLOOKUP($R47,武学奇术!$A:$ZZ,6,FALSE)+SUM(_xlfn.XLOOKUP(S47:AL47,增益!$A:$A,增益!$F:$F,0)))/100)</f>
        <v>0.1939</v>
      </c>
      <c r="AW47" s="29" cm="1">
        <f t="array" ref="AW47">$G$10+VLOOKUP($R47,武学奇术!$A:$ZZ,7,FALSE)+SUM(_xlfn.XLOOKUP(S47:AL47,增益!$A:$A,增益!$G:$G,0))</f>
        <v>0</v>
      </c>
      <c r="AX47" s="23" cm="1">
        <f t="array" ref="AX47">VLOOKUP($R47,武学奇术!$A:$ZZ,8,FALSE)+SUM(_xlfn.XLOOKUP(S47:AL47,增益!$A:$A,增益!$H:$H,0))</f>
        <v>0</v>
      </c>
      <c r="AY47">
        <f t="shared" si="1"/>
        <v>0</v>
      </c>
      <c r="AZ47">
        <f t="shared" si="2"/>
        <v>0</v>
      </c>
      <c r="BA47" s="29" cm="1">
        <f t="array" ref="BA47">IF($F$11-$I$4+VLOOKUP($R47,武学奇术!$A:$ZZ,9,FALSE)+SUM(_xlfn.XLOOKUP(S47:AL47,增益!$A:$A,增益!$I:$I,0))&gt;0,($F$11-$I$4+VLOOKUP($R47,武学奇术!$A:$ZZ,9,FALSE)+SUM(_xlfn.XLOOKUP(S47:AL47,增益!$A:$A,增益!$I:$I,0)))/200,($F$11-$I$4+VLOOKUP($R47,武学奇术!$A:$ZZ,9,FALSE)+SUM(_xlfn.XLOOKUP(S47:AL47,增益!$A:$A,增益!$I:$I,0)))/100)</f>
        <v>-0.3</v>
      </c>
      <c r="BB47" s="29" cm="1">
        <f t="array" ref="BB47">$G$11+VLOOKUP($R47,武学奇术!$A:$ZZ,10,FALSE)+SUM(_xlfn.XLOOKUP(S47:AL47,增益!$A:$A,增益!$J:$J,0))</f>
        <v>0</v>
      </c>
      <c r="BC47">
        <f t="shared" si="3"/>
        <v>0</v>
      </c>
      <c r="BD47">
        <f t="shared" si="4"/>
        <v>0</v>
      </c>
      <c r="BE47" s="29" cm="1">
        <f t="array" ref="BE47">IF($F$12-$I$4+VLOOKUP($R47,武学奇术!$A:$ZZ,11,FALSE)+SUM(_xlfn.XLOOKUP(S47:AL47,增益!$A:$A,增益!$K:$K,0))&gt;0,($F$12-$I$4+VLOOKUP($R47,武学奇术!$A:$ZZ,11,FALSE)+SUM(_xlfn.XLOOKUP(S47:AL47,增益!$A:$A,增益!$K:$K,0)))/200,($F$12-$I$4+VLOOKUP($R47,武学奇术!$A:$ZZ,11,FALSE)+SUM(_xlfn.XLOOKUP(S47:AL47,增益!$A:$A,增益!$K:$K,0)))/100)</f>
        <v>-0.3</v>
      </c>
      <c r="BF47" s="29" cm="1">
        <f t="array" ref="BF47">$G$12+VLOOKUP($R47,武学奇术!$A:$ZZ,12,FALSE)+SUM(_xlfn.XLOOKUP(S47:AL47,增益!$A:$A,增益!$L:$L,0))</f>
        <v>0</v>
      </c>
      <c r="BG47">
        <f t="shared" si="5"/>
        <v>0</v>
      </c>
      <c r="BH47">
        <f t="shared" si="6"/>
        <v>0</v>
      </c>
      <c r="BI47" s="29" cm="1">
        <f t="array" ref="BI47">IF($F$13-$I$4+VLOOKUP($R47,武学奇术!$A:$ZZ,13,FALSE)+SUM(_xlfn.XLOOKUP(S47:AL47,增益!$A:$A,增益!$M:$M,0))&gt;0,($F$13-$I$4+VLOOKUP($R47,武学奇术!$A:$ZZ,13,FALSE)+SUM(_xlfn.XLOOKUP(S47:AL47,增益!$A:$A,增益!$K:$K,0)))/200,($F$13-$I$4+VLOOKUP($R47,武学奇术!$A:$ZZ,13,FALSE)+SUM(_xlfn.XLOOKUP(S47:AL47,增益!$A:$A,增益!$M:$M,0)))/100)</f>
        <v>-0.3</v>
      </c>
      <c r="BJ47" s="29" cm="1">
        <f t="array" ref="BJ47">$G$13+VLOOKUP($R47,武学奇术!$A:$ZZ,14,FALSE)+SUM(_xlfn.XLOOKUP(S47:AL47,增益!$A:$A,增益!$N:$N,0))</f>
        <v>0</v>
      </c>
      <c r="BK47">
        <f t="shared" si="7"/>
        <v>618.2</v>
      </c>
      <c r="BL47">
        <f t="shared" si="8"/>
        <v>1805</v>
      </c>
      <c r="BM47" s="29" cm="1">
        <f t="array" ref="BM47">IF($F$14-$I$4+VLOOKUP($R47,武学奇术!$A:$ZZ,15,FALSE)+SUM(_xlfn.XLOOKUP(S47:AL47,增益!$A:$A,增益!$O:$O,0))&gt;0,($F$14-$I$4+VLOOKUP($R47,武学奇术!$A:$ZZ,15,FALSE)+SUM(_xlfn.XLOOKUP(S47:AL47,增益!$A:$A,增益!$O:$O,0)))/200,($F$14-$I$4+VLOOKUP($R47,武学奇术!$A:$ZZ,15,FALSE)+SUM(_xlfn.XLOOKUP(S47:AL47,增益!$A:$A,增益!$O:$O,0)))/100)</f>
        <v>0</v>
      </c>
      <c r="BN47" s="29" cm="1">
        <f t="array" ref="BN47">$G$14+VLOOKUP($R47,武学奇术!$A:$ZZ,16,FALSE)+SUM(_xlfn.XLOOKUP(S47:AL47,增益!$A:$A,增益!$P:$P,0))</f>
        <v>0.15</v>
      </c>
      <c r="BO47" s="23">
        <f>MIN(IF(VLOOKUP($R47,武学奇术!$A:$ZZ,23,FALSE)=1,100%,$B$8),100%)</f>
        <v>0.9943</v>
      </c>
      <c r="BP47" s="23" cm="1">
        <f t="array" ref="BP47">IF(VLOOKUP($R47,武学奇术!$A:$ZZ,23,FALSE)=1,100%,MIN(80%,$B$9+VLOOKUP($R47,武学奇术!$A:$ZZ,17,FALSE)+SUM(_xlfn.XLOOKUP(S47:AL47,增益!$A:$A,增益!$Q:$Q,0)))+$B$11+SUM(_xlfn.XLOOKUP(S47:AL47,增益!$A:$A,增益!$U:$U,0)))*IF(VLOOKUP($R47,武学奇术!$A:$ZZ,24,FALSE)=1,0,1)</f>
        <v>0.8</v>
      </c>
      <c r="BQ47" s="23" cm="1">
        <f t="array" ref="BQ47">1+$B$13+VLOOKUP($R47,武学奇术!$A:$ZZ,18,FALSE)+SUM(_xlfn.XLOOKUP(S47:AL47,增益!$A:$A,增益!$R:$R,0))</f>
        <v>1.544</v>
      </c>
      <c r="BR47" s="23" cm="1">
        <f t="array" ref="BR47">IF(VLOOKUP($R47,武学奇术!$A:$ZZ,24,FALSE)=1,100%,MIN(40%,$B$10+VLOOKUP($R47,武学奇术!$A:$ZZ,19,FALSE)+SUM(_xlfn.XLOOKUP(S47:AL47,增益!$A:$A,增益!$S:$S,0)))+$B$12+SUM(_xlfn.XLOOKUP(S47:AL47,增益!$A:$A,增益!$V:$V,0)))*IF(VLOOKUP($R47,武学奇术!$A:$ZZ,23,FALSE)=1,0,1)</f>
        <v>0.0913</v>
      </c>
      <c r="BS47" s="23" cm="1">
        <f t="array" ref="BS47">1+$B$14+VLOOKUP($R47,武学奇术!$A:$ZZ,20,FALSE)+SUM(_xlfn.XLOOKUP(S47:AL47,增益!$A:$A,增益!$T:$T,0))</f>
        <v>1.35</v>
      </c>
      <c r="BT47" s="23">
        <f t="shared" si="9"/>
        <v>0.79544</v>
      </c>
      <c r="BU47" s="23">
        <f t="shared" si="10"/>
        <v>0.10808041</v>
      </c>
      <c r="BV47" s="23">
        <f>IF(VLOOKUP($R47,武学奇术!$A:$ZZ,22,FALSE)=1,0,(1-$BO47))*(1-$BR47)</f>
        <v>0.00517959000000003</v>
      </c>
      <c r="BW47" s="23" cm="1">
        <f t="array" ref="BW47">SUM(_xlfn.XLOOKUP(S47:AL47,增益!$A:$A,增益!$W:$W,0))+$I$5</f>
        <v>0.11</v>
      </c>
      <c r="BX47" s="23">
        <f>VLOOKUP($R47,武学奇术!$A:$ZZ,32,FALSE)</f>
        <v>0</v>
      </c>
      <c r="BY47" s="23" cm="1">
        <f t="array" ref="BY47">SUM(_xlfn.XLOOKUP($S47:$AL47,增益!$A:$A,增益!$X:$X,0))</f>
        <v>0</v>
      </c>
    </row>
    <row r="48" spans="2:77">
      <c r="K48" s="35">
        <f>$L48*VLOOKUP($R48,武学奇术!$A:$ZZ,31,FALSE)</f>
        <v>13464.9909760749</v>
      </c>
      <c r="L48" s="35">
        <f t="shared" si="11"/>
        <v>12022.3133714954</v>
      </c>
      <c r="M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轻击",$B$21,0))*(1+IF(VLOOKUP($R48,武学奇术!$A:$ZZ,30,FALSE)="老鼠",$B$22,0))*(1+$BW48)*(1+$BX48)</f>
        <v>12635.8760179819</v>
      </c>
      <c r="N48" s="35">
        <f>(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轻击",$B$21,0))*(1+IF(VLOOKUP($R48,武学奇术!$A:$ZZ,30,FALSE)="老鼠",$B$22,0))*(1+$BW48))*(1+$BX48)</f>
        <v>11936.1896697162</v>
      </c>
      <c r="O48" s="35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轻击",$B$21,0))*(1+IF(VLOOKUP($R48,武学奇术!$A:$ZZ,30,FALSE)="老鼠",$B$22,0))*(1+$BW48)*(1+$BX48)</f>
        <v>7828.91946591195</v>
      </c>
      <c r="P48" s="35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轻击",$B$21,0))*(1+IF(VLOOKUP($R48,武学奇术!$A:$ZZ,30,FALSE)="老鼠",$B$22,0))*(1+$BW48)*(1+$BX48)</f>
        <v>6816.21695425632</v>
      </c>
      <c r="Q48" s="36">
        <v>1</v>
      </c>
      <c r="R48" s="37" t="s">
        <v>111</v>
      </c>
      <c r="S48" s="37" t="s">
        <v>91</v>
      </c>
      <c r="T48" s="37" t="s">
        <v>180</v>
      </c>
      <c r="U48" s="37" t="s">
        <v>112</v>
      </c>
      <c r="V48" s="37" t="s">
        <v>113</v>
      </c>
      <c r="W48" s="37" t="s">
        <v>82</v>
      </c>
      <c r="X48" s="37" t="s">
        <v>81</v>
      </c>
      <c r="Y48" s="37" t="s">
        <v>109</v>
      </c>
      <c r="Z48" s="37" t="s">
        <v>81</v>
      </c>
      <c r="AA48" s="37" t="s">
        <v>81</v>
      </c>
      <c r="AB48" s="37" t="s">
        <v>81</v>
      </c>
      <c r="AC48" s="37" t="s">
        <v>81</v>
      </c>
      <c r="AD48" s="37" t="s">
        <v>85</v>
      </c>
      <c r="AE48" s="37" t="s">
        <v>81</v>
      </c>
      <c r="AF48" s="37" t="s">
        <v>181</v>
      </c>
      <c r="AG48" s="37" t="s">
        <v>87</v>
      </c>
      <c r="AH48" s="37" t="s">
        <v>81</v>
      </c>
      <c r="AI48" s="37" t="s">
        <v>81</v>
      </c>
      <c r="AJ48" s="37" t="s">
        <v>81</v>
      </c>
      <c r="AK48" s="37" t="s">
        <v>81</v>
      </c>
      <c r="AL48" s="37" t="s">
        <v>81</v>
      </c>
      <c r="AM48" t="str">
        <f>VLOOKUP($R48,武学奇术!$A:$ZZ,25,FALSE)</f>
        <v>双刀</v>
      </c>
      <c r="AN48" s="23">
        <f>VLOOKUP($R48,武学奇术!$A:$ZZ,26,FALSE)</f>
        <v>0.4205</v>
      </c>
      <c r="AO48" s="24">
        <f>VLOOKUP($R48,武学奇术!$A:$ZZ,27,FALSE)*(1+IF(OR($AM48=$F$4,$AM48=$F$5),$B$23,0))</f>
        <v>187.2</v>
      </c>
      <c r="AP48" s="23">
        <f>VLOOKUP($R48,武学奇术!$A:$ZZ,28,FALSE)</f>
        <v>0.6307</v>
      </c>
      <c r="AQ48" s="24">
        <f>VLOOKUP($R48,武学奇术!$A:$ZZ,29,FALSE)*(1+IF(OR($AM48=$F$4,$AM48=$F$5),$B$23,0))</f>
        <v>102.4</v>
      </c>
      <c r="AR48" s="23" cm="1">
        <f t="array" ref="AR48">$G$3+IFERROR(VLOOKUP($AM48,$F$4:$G$7,2,FALSE),0)+VLOOKUP($R48,武学奇术!$A:$ZZ,2,FALSE)+SUM(_xlfn.XLOOKUP($S48:$AL48,增益!$A:$A,增益!$B:$B,0))</f>
        <v>0.7443</v>
      </c>
      <c r="AS48" s="23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4081.7</v>
      </c>
      <c r="AU48" cm="1">
        <f t="array" ref="AU48">$E$10*(1+$AS48)+VLOOKUP($R48,武学奇术!$A:$ZZ,4,FALSE)+SUM(_xlfn.XLOOKUP($S48:$AL48,增益!$A:$A,增益!$D:$D,0))-$I$2</f>
        <v>4081.7</v>
      </c>
      <c r="AV48" s="29" cm="1">
        <f t="array" ref="AV48">IF($F$10-$I$3+VLOOKUP($R48,武学奇术!$A:$ZZ,6,FALSE)+SUM(_xlfn.XLOOKUP(S48:AL48,增益!$A:$A,增益!$F:$F,0))&gt;0,($F$10-$I$3+VLOOKUP($R48,武学奇术!$A:$ZZ,6,FALSE)+SUM(_xlfn.XLOOKUP(S48:AL48,增益!$A:$A,增益!$F:$F,0)))/200,($F$10-$I$3+VLOOKUP($R48,武学奇术!$A:$ZZ,6,FALSE)+SUM(_xlfn.XLOOKUP(S48:AL48,增益!$A:$A,增益!$F:$F,0)))/100)</f>
        <v>0.2439</v>
      </c>
      <c r="AW48" s="29" cm="1">
        <f t="array" ref="AW48">$G$10+VLOOKUP($R48,武学奇术!$A:$ZZ,7,FALSE)+SUM(_xlfn.XLOOKUP(S48:AL48,增益!$A:$A,增益!$G:$G,0))</f>
        <v>0.06</v>
      </c>
      <c r="AX48" s="23" cm="1">
        <f t="array" ref="AX48">VLOOKUP($R48,武学奇术!$A:$ZZ,8,FALSE)+SUM(_xlfn.XLOOKUP(S48:AL48,增益!$A:$A,增益!$H:$H,0))</f>
        <v>0</v>
      </c>
      <c r="AY48">
        <f t="shared" si="1"/>
        <v>0</v>
      </c>
      <c r="AZ48">
        <f t="shared" si="2"/>
        <v>0</v>
      </c>
      <c r="BA48" s="29" cm="1">
        <f t="array" ref="BA48">IF($F$11-$I$4+VLOOKUP($R48,武学奇术!$A:$ZZ,9,FALSE)+SUM(_xlfn.XLOOKUP(S48:AL48,增益!$A:$A,增益!$I:$I,0))&gt;0,($F$11-$I$4+VLOOKUP($R48,武学奇术!$A:$ZZ,9,FALSE)+SUM(_xlfn.XLOOKUP(S48:AL48,增益!$A:$A,增益!$I:$I,0)))/200,($F$11-$I$4+VLOOKUP($R48,武学奇术!$A:$ZZ,9,FALSE)+SUM(_xlfn.XLOOKUP(S48:AL48,增益!$A:$A,增益!$I:$I,0)))/100)</f>
        <v>-0.3</v>
      </c>
      <c r="BB48" s="29" cm="1">
        <f t="array" ref="BB48">$G$11+VLOOKUP($R48,武学奇术!$A:$ZZ,10,FALSE)+SUM(_xlfn.XLOOKUP(S48:AL48,增益!$A:$A,增益!$J:$J,0))</f>
        <v>0</v>
      </c>
      <c r="BC48">
        <f t="shared" si="3"/>
        <v>0</v>
      </c>
      <c r="BD48">
        <f t="shared" si="4"/>
        <v>0</v>
      </c>
      <c r="BE48" s="29" cm="1">
        <f t="array" ref="BE48">IF($F$12-$I$4+VLOOKUP($R48,武学奇术!$A:$ZZ,11,FALSE)+SUM(_xlfn.XLOOKUP(S48:AL48,增益!$A:$A,增益!$K:$K,0))&gt;0,($F$12-$I$4+VLOOKUP($R48,武学奇术!$A:$ZZ,11,FALSE)+SUM(_xlfn.XLOOKUP(S48:AL48,增益!$A:$A,增益!$K:$K,0)))/200,($F$12-$I$4+VLOOKUP($R48,武学奇术!$A:$ZZ,11,FALSE)+SUM(_xlfn.XLOOKUP(S48:AL48,增益!$A:$A,增益!$K:$K,0)))/100)</f>
        <v>-0.3</v>
      </c>
      <c r="BF48" s="29" cm="1">
        <f t="array" ref="BF48">$G$12+VLOOKUP($R48,武学奇术!$A:$ZZ,12,FALSE)+SUM(_xlfn.XLOOKUP(S48:AL48,增益!$A:$A,增益!$L:$L,0))</f>
        <v>0</v>
      </c>
      <c r="BG48">
        <f t="shared" si="5"/>
        <v>0</v>
      </c>
      <c r="BH48">
        <f t="shared" si="6"/>
        <v>0</v>
      </c>
      <c r="BI48" s="29" cm="1">
        <f t="array" ref="BI48">IF($F$13-$I$4+VLOOKUP($R48,武学奇术!$A:$ZZ,13,FALSE)+SUM(_xlfn.XLOOKUP(S48:AL48,增益!$A:$A,增益!$M:$M,0))&gt;0,($F$13-$I$4+VLOOKUP($R48,武学奇术!$A:$ZZ,13,FALSE)+SUM(_xlfn.XLOOKUP(S48:AL48,增益!$A:$A,增益!$K:$K,0)))/200,($F$13-$I$4+VLOOKUP($R48,武学奇术!$A:$ZZ,13,FALSE)+SUM(_xlfn.XLOOKUP(S48:AL48,增益!$A:$A,增益!$M:$M,0)))/100)</f>
        <v>-0.3</v>
      </c>
      <c r="BJ48" s="29" cm="1">
        <f t="array" ref="BJ48">$G$13+VLOOKUP($R48,武学奇术!$A:$ZZ,14,FALSE)+SUM(_xlfn.XLOOKUP(S48:AL48,增益!$A:$A,增益!$N:$N,0))</f>
        <v>0</v>
      </c>
      <c r="BK48">
        <f t="shared" si="7"/>
        <v>618.2</v>
      </c>
      <c r="BL48">
        <f t="shared" si="8"/>
        <v>1805</v>
      </c>
      <c r="BM48" s="29" cm="1">
        <f t="array" ref="BM48">IF($F$14-$I$4+VLOOKUP($R48,武学奇术!$A:$ZZ,15,FALSE)+SUM(_xlfn.XLOOKUP(S48:AL48,增益!$A:$A,增益!$O:$O,0))&gt;0,($F$14-$I$4+VLOOKUP($R48,武学奇术!$A:$ZZ,15,FALSE)+SUM(_xlfn.XLOOKUP(S48:AL48,增益!$A:$A,增益!$O:$O,0)))/200,($F$14-$I$4+VLOOKUP($R48,武学奇术!$A:$ZZ,15,FALSE)+SUM(_xlfn.XLOOKUP(S48:AL48,增益!$A:$A,增益!$O:$O,0)))/100)</f>
        <v>0.05</v>
      </c>
      <c r="BN48" s="29" cm="1">
        <f t="array" ref="BN48">$G$14+VLOOKUP($R48,武学奇术!$A:$ZZ,16,FALSE)+SUM(_xlfn.XLOOKUP(S48:AL48,增益!$A:$A,增益!$P:$P,0))</f>
        <v>0.21</v>
      </c>
      <c r="BO48" s="23">
        <f>MIN(IF(VLOOKUP($R48,武学奇术!$A:$ZZ,23,FALSE)=1,100%,$B$8),100%)</f>
        <v>0.9943</v>
      </c>
      <c r="BP48" s="23" cm="1">
        <f t="array" ref="BP48">IF(VLOOKUP($R48,武学奇术!$A:$ZZ,23,FALSE)=1,100%,MIN(80%,$B$9+VLOOKUP($R48,武学奇术!$A:$ZZ,17,FALSE)+SUM(_xlfn.XLOOKUP(S48:AL48,增益!$A:$A,增益!$Q:$Q,0)))+$B$11+SUM(_xlfn.XLOOKUP(S48:AL48,增益!$A:$A,增益!$U:$U,0)))*IF(VLOOKUP($R48,武学奇术!$A:$ZZ,24,FALSE)=1,0,1)</f>
        <v>0.8</v>
      </c>
      <c r="BQ48" s="23" cm="1">
        <f t="array" ref="BQ48">1+$B$13+VLOOKUP($R48,武学奇术!$A:$ZZ,18,FALSE)+SUM(_xlfn.XLOOKUP(S48:AL48,增益!$A:$A,增益!$R:$R,0))</f>
        <v>1.614</v>
      </c>
      <c r="BR48" s="23" cm="1">
        <f t="array" ref="BR48">IF(VLOOKUP($R48,武学奇术!$A:$ZZ,24,FALSE)=1,100%,MIN(40%,$B$10+VLOOKUP($R48,武学奇术!$A:$ZZ,19,FALSE)+SUM(_xlfn.XLOOKUP(S48:AL48,增益!$A:$A,增益!$S:$S,0)))+$B$12+SUM(_xlfn.XLOOKUP(S48:AL48,增益!$A:$A,增益!$V:$V,0)))*IF(VLOOKUP($R48,武学奇术!$A:$ZZ,23,FALSE)=1,0,1)</f>
        <v>0.0913</v>
      </c>
      <c r="BS48" s="23" cm="1">
        <f t="array" ref="BS48">1+$B$14+VLOOKUP($R48,武学奇术!$A:$ZZ,20,FALSE)+SUM(_xlfn.XLOOKUP(S48:AL48,增益!$A:$A,增益!$T:$T,0))</f>
        <v>1.35</v>
      </c>
      <c r="BT48" s="23">
        <f t="shared" si="9"/>
        <v>0.79544</v>
      </c>
      <c r="BU48" s="23">
        <f t="shared" si="10"/>
        <v>0.10808041</v>
      </c>
      <c r="BV48" s="23">
        <f>IF(VLOOKUP($R48,武学奇术!$A:$ZZ,22,FALSE)=1,0,(1-$BO48))*(1-$BR48)</f>
        <v>0.00517959000000003</v>
      </c>
      <c r="BW48" s="23" cm="1">
        <f t="array" ref="BW48">SUM(_xlfn.XLOOKUP(S48:AL48,增益!$A:$A,增益!$W:$W,0))+$I$5</f>
        <v>0.11</v>
      </c>
      <c r="BX48" s="23">
        <f>VLOOKUP($R48,武学奇术!$A:$ZZ,32,FALSE)</f>
        <v>0.1</v>
      </c>
      <c r="BY48" s="23" cm="1">
        <f t="array" ref="BY48">SUM(_xlfn.XLOOKUP($S48:$AL48,增益!$A:$A,增益!$X:$X,0))</f>
        <v>0</v>
      </c>
    </row>
    <row r="49" spans="2:77">
      <c r="K49" s="35">
        <f>$L49*VLOOKUP($R49,武学奇术!$A:$ZZ,31,FALSE)</f>
        <v>14433.7209679068</v>
      </c>
      <c r="L49" s="58">
        <f t="shared" si="11"/>
        <v>12887.2508642025</v>
      </c>
      <c r="M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轻击",$B$21,0))*(1+IF(VLOOKUP($R49,武学奇术!$A:$ZZ,30,FALSE)="老鼠",$B$22,0))*(1+$BW49)*(1+$BX49)</f>
        <v>13544.9106498869</v>
      </c>
      <c r="N49" s="35">
        <f>(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轻击",$B$21,0))*(1+IF(VLOOKUP($R49,武学奇术!$A:$ZZ,30,FALSE)="老鼠",$B$22,0))*(1+$BW49))*(1+$BX49)</f>
        <v>12795.3802960939</v>
      </c>
      <c r="O49" s="35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轻击",$B$21,0))*(1+IF(VLOOKUP($R49,武学奇术!$A:$ZZ,30,FALSE)="老鼠",$B$22,0))*(1+$BW49)*(1+$BX49)</f>
        <v>8392.13794912447</v>
      </c>
      <c r="P49" s="35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轻击",$B$21,0))*(1+IF(VLOOKUP($R49,武学奇术!$A:$ZZ,30,FALSE)="老鼠",$B$22,0))*(1+$BW49)*(1+$BX49)</f>
        <v>7306.21641966086</v>
      </c>
      <c r="Q49" s="36">
        <v>1</v>
      </c>
      <c r="R49" s="37" t="s">
        <v>116</v>
      </c>
      <c r="S49" s="37" t="s">
        <v>91</v>
      </c>
      <c r="T49" s="37" t="s">
        <v>180</v>
      </c>
      <c r="U49" s="37" t="s">
        <v>112</v>
      </c>
      <c r="V49" s="37" t="s">
        <v>113</v>
      </c>
      <c r="W49" s="37" t="s">
        <v>82</v>
      </c>
      <c r="X49" s="37" t="s">
        <v>81</v>
      </c>
      <c r="Y49" s="37" t="s">
        <v>109</v>
      </c>
      <c r="Z49" s="37" t="s">
        <v>81</v>
      </c>
      <c r="AA49" s="37" t="s">
        <v>81</v>
      </c>
      <c r="AB49" s="37" t="s">
        <v>81</v>
      </c>
      <c r="AC49" s="37" t="s">
        <v>81</v>
      </c>
      <c r="AD49" s="37" t="s">
        <v>85</v>
      </c>
      <c r="AE49" s="37" t="s">
        <v>81</v>
      </c>
      <c r="AF49" s="37" t="s">
        <v>181</v>
      </c>
      <c r="AG49" s="37" t="s">
        <v>87</v>
      </c>
      <c r="AH49" s="37" t="s">
        <v>81</v>
      </c>
      <c r="AI49" s="37" t="s">
        <v>81</v>
      </c>
      <c r="AJ49" s="37" t="s">
        <v>81</v>
      </c>
      <c r="AK49" s="37" t="s">
        <v>81</v>
      </c>
      <c r="AL49" s="37" t="s">
        <v>81</v>
      </c>
      <c r="AM49" t="str">
        <f>VLOOKUP($R49,武学奇术!$A:$ZZ,25,FALSE)</f>
        <v>双刀</v>
      </c>
      <c r="AN49" s="23">
        <f>VLOOKUP($R49,武学奇术!$A:$ZZ,26,FALSE)</f>
        <v>0.4508</v>
      </c>
      <c r="AO49" s="24">
        <f>VLOOKUP($R49,武学奇术!$A:$ZZ,27,FALSE)*(1+IF(OR($AM49=$F$4,$AM49=$F$5),$B$23,0))</f>
        <v>201.6</v>
      </c>
      <c r="AP49" s="23">
        <f>VLOOKUP($R49,武学奇术!$A:$ZZ,28,FALSE)</f>
        <v>0.6763</v>
      </c>
      <c r="AQ49" s="24">
        <f>VLOOKUP($R49,武学奇术!$A:$ZZ,29,FALSE)*(1+IF(OR($AM49=$F$4,$AM49=$F$5),$B$23,0))</f>
        <v>108.8</v>
      </c>
      <c r="AR49" s="23" cm="1">
        <f t="array" ref="AR49">$G$3+IFERROR(VLOOKUP($AM49,$F$4:$G$7,2,FALSE),0)+VLOOKUP($R49,武学奇术!$A:$ZZ,2,FALSE)+SUM(_xlfn.XLOOKUP($S49:$AL49,增益!$A:$A,增益!$B:$B,0))</f>
        <v>0.7443</v>
      </c>
      <c r="AS49" s="23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4081.7</v>
      </c>
      <c r="AU49" cm="1">
        <f t="array" ref="AU49">$E$10*(1+$AS49)+VLOOKUP($R49,武学奇术!$A:$ZZ,4,FALSE)+SUM(_xlfn.XLOOKUP($S49:$AL49,增益!$A:$A,增益!$D:$D,0))-$I$2</f>
        <v>4081.7</v>
      </c>
      <c r="AV49" s="29" cm="1">
        <f t="array" ref="AV49">IF($F$10-$I$3+VLOOKUP($R49,武学奇术!$A:$ZZ,6,FALSE)+SUM(_xlfn.XLOOKUP(S49:AL49,增益!$A:$A,增益!$F:$F,0))&gt;0,($F$10-$I$3+VLOOKUP($R49,武学奇术!$A:$ZZ,6,FALSE)+SUM(_xlfn.XLOOKUP(S49:AL49,增益!$A:$A,增益!$F:$F,0)))/200,($F$10-$I$3+VLOOKUP($R49,武学奇术!$A:$ZZ,6,FALSE)+SUM(_xlfn.XLOOKUP(S49:AL49,增益!$A:$A,增益!$F:$F,0)))/100)</f>
        <v>0.2439</v>
      </c>
      <c r="AW49" s="29" cm="1">
        <f t="array" ref="AW49">$G$10+VLOOKUP($R49,武学奇术!$A:$ZZ,7,FALSE)+SUM(_xlfn.XLOOKUP(S49:AL49,增益!$A:$A,增益!$G:$G,0))</f>
        <v>0.06</v>
      </c>
      <c r="AX49" s="23" cm="1">
        <f t="array" ref="AX49">VLOOKUP($R49,武学奇术!$A:$ZZ,8,FALSE)+SUM(_xlfn.XLOOKUP(S49:AL49,增益!$A:$A,增益!$H:$H,0))</f>
        <v>0</v>
      </c>
      <c r="AY49">
        <f t="shared" si="1"/>
        <v>0</v>
      </c>
      <c r="AZ49">
        <f t="shared" si="2"/>
        <v>0</v>
      </c>
      <c r="BA49" s="29" cm="1">
        <f t="array" ref="BA49">IF($F$11-$I$4+VLOOKUP($R49,武学奇术!$A:$ZZ,9,FALSE)+SUM(_xlfn.XLOOKUP(S49:AL49,增益!$A:$A,增益!$I:$I,0))&gt;0,($F$11-$I$4+VLOOKUP($R49,武学奇术!$A:$ZZ,9,FALSE)+SUM(_xlfn.XLOOKUP(S49:AL49,增益!$A:$A,增益!$I:$I,0)))/200,($F$11-$I$4+VLOOKUP($R49,武学奇术!$A:$ZZ,9,FALSE)+SUM(_xlfn.XLOOKUP(S49:AL49,增益!$A:$A,增益!$I:$I,0)))/100)</f>
        <v>-0.3</v>
      </c>
      <c r="BB49" s="29" cm="1">
        <f t="array" ref="BB49">$G$11+VLOOKUP($R49,武学奇术!$A:$ZZ,10,FALSE)+SUM(_xlfn.XLOOKUP(S49:AL49,增益!$A:$A,增益!$J:$J,0))</f>
        <v>0</v>
      </c>
      <c r="BC49">
        <f t="shared" si="3"/>
        <v>0</v>
      </c>
      <c r="BD49">
        <f t="shared" si="4"/>
        <v>0</v>
      </c>
      <c r="BE49" s="29" cm="1">
        <f t="array" ref="BE49">IF($F$12-$I$4+VLOOKUP($R49,武学奇术!$A:$ZZ,11,FALSE)+SUM(_xlfn.XLOOKUP(S49:AL49,增益!$A:$A,增益!$K:$K,0))&gt;0,($F$12-$I$4+VLOOKUP($R49,武学奇术!$A:$ZZ,11,FALSE)+SUM(_xlfn.XLOOKUP(S49:AL49,增益!$A:$A,增益!$K:$K,0)))/200,($F$12-$I$4+VLOOKUP($R49,武学奇术!$A:$ZZ,11,FALSE)+SUM(_xlfn.XLOOKUP(S49:AL49,增益!$A:$A,增益!$K:$K,0)))/100)</f>
        <v>-0.3</v>
      </c>
      <c r="BF49" s="29" cm="1">
        <f t="array" ref="BF49">$G$12+VLOOKUP($R49,武学奇术!$A:$ZZ,12,FALSE)+SUM(_xlfn.XLOOKUP(S49:AL49,增益!$A:$A,增益!$L:$L,0))</f>
        <v>0</v>
      </c>
      <c r="BG49">
        <f t="shared" si="5"/>
        <v>0</v>
      </c>
      <c r="BH49">
        <f t="shared" si="6"/>
        <v>0</v>
      </c>
      <c r="BI49" s="29" cm="1">
        <f t="array" ref="BI49">IF($F$13-$I$4+VLOOKUP($R49,武学奇术!$A:$ZZ,13,FALSE)+SUM(_xlfn.XLOOKUP(S49:AL49,增益!$A:$A,增益!$M:$M,0))&gt;0,($F$13-$I$4+VLOOKUP($R49,武学奇术!$A:$ZZ,13,FALSE)+SUM(_xlfn.XLOOKUP(S49:AL49,增益!$A:$A,增益!$K:$K,0)))/200,($F$13-$I$4+VLOOKUP($R49,武学奇术!$A:$ZZ,13,FALSE)+SUM(_xlfn.XLOOKUP(S49:AL49,增益!$A:$A,增益!$M:$M,0)))/100)</f>
        <v>-0.3</v>
      </c>
      <c r="BJ49" s="29" cm="1">
        <f t="array" ref="BJ49">$G$13+VLOOKUP($R49,武学奇术!$A:$ZZ,14,FALSE)+SUM(_xlfn.XLOOKUP(S49:AL49,增益!$A:$A,增益!$N:$N,0))</f>
        <v>0</v>
      </c>
      <c r="BK49">
        <f t="shared" si="7"/>
        <v>618.2</v>
      </c>
      <c r="BL49">
        <f t="shared" si="8"/>
        <v>1805</v>
      </c>
      <c r="BM49" s="29" cm="1">
        <f t="array" ref="BM49">IF($F$14-$I$4+VLOOKUP($R49,武学奇术!$A:$ZZ,15,FALSE)+SUM(_xlfn.XLOOKUP(S49:AL49,增益!$A:$A,增益!$O:$O,0))&gt;0,($F$14-$I$4+VLOOKUP($R49,武学奇术!$A:$ZZ,15,FALSE)+SUM(_xlfn.XLOOKUP(S49:AL49,增益!$A:$A,增益!$O:$O,0)))/200,($F$14-$I$4+VLOOKUP($R49,武学奇术!$A:$ZZ,15,FALSE)+SUM(_xlfn.XLOOKUP(S49:AL49,增益!$A:$A,增益!$O:$O,0)))/100)</f>
        <v>0.05</v>
      </c>
      <c r="BN49" s="29" cm="1">
        <f t="array" ref="BN49">$G$14+VLOOKUP($R49,武学奇术!$A:$ZZ,16,FALSE)+SUM(_xlfn.XLOOKUP(S49:AL49,增益!$A:$A,增益!$P:$P,0))</f>
        <v>0.21</v>
      </c>
      <c r="BO49" s="23">
        <f>MIN(IF(VLOOKUP($R49,武学奇术!$A:$ZZ,23,FALSE)=1,100%,$B$8),100%)</f>
        <v>0.9943</v>
      </c>
      <c r="BP49" s="23" cm="1">
        <f t="array" ref="BP49">IF(VLOOKUP($R49,武学奇术!$A:$ZZ,23,FALSE)=1,100%,MIN(80%,$B$9+VLOOKUP($R49,武学奇术!$A:$ZZ,17,FALSE)+SUM(_xlfn.XLOOKUP(S49:AL49,增益!$A:$A,增益!$Q:$Q,0)))+$B$11+SUM(_xlfn.XLOOKUP(S49:AL49,增益!$A:$A,增益!$U:$U,0)))*IF(VLOOKUP($R49,武学奇术!$A:$ZZ,24,FALSE)=1,0,1)</f>
        <v>0.8</v>
      </c>
      <c r="BQ49" s="23" cm="1">
        <f t="array" ref="BQ49">1+$B$13+VLOOKUP($R49,武学奇术!$A:$ZZ,18,FALSE)+SUM(_xlfn.XLOOKUP(S49:AL49,增益!$A:$A,增益!$R:$R,0))</f>
        <v>1.614</v>
      </c>
      <c r="BR49" s="23" cm="1">
        <f t="array" ref="BR49">IF(VLOOKUP($R49,武学奇术!$A:$ZZ,24,FALSE)=1,100%,MIN(40%,$B$10+VLOOKUP($R49,武学奇术!$A:$ZZ,19,FALSE)+SUM(_xlfn.XLOOKUP(S49:AL49,增益!$A:$A,增益!$S:$S,0)))+$B$12+SUM(_xlfn.XLOOKUP(S49:AL49,增益!$A:$A,增益!$V:$V,0)))*IF(VLOOKUP($R49,武学奇术!$A:$ZZ,23,FALSE)=1,0,1)</f>
        <v>0.0913</v>
      </c>
      <c r="BS49" s="23" cm="1">
        <f t="array" ref="BS49">1+$B$14+VLOOKUP($R49,武学奇术!$A:$ZZ,20,FALSE)+SUM(_xlfn.XLOOKUP(S49:AL49,增益!$A:$A,增益!$T:$T,0))</f>
        <v>1.35</v>
      </c>
      <c r="BT49" s="23">
        <f t="shared" si="9"/>
        <v>0.79544</v>
      </c>
      <c r="BU49" s="23">
        <f t="shared" si="10"/>
        <v>0.10808041</v>
      </c>
      <c r="BV49" s="23">
        <f>IF(VLOOKUP($R49,武学奇术!$A:$ZZ,22,FALSE)=1,0,(1-$BO49))*(1-$BR49)</f>
        <v>0.00517959000000003</v>
      </c>
      <c r="BW49" s="23" cm="1">
        <f t="array" ref="BW49">SUM(_xlfn.XLOOKUP(S49:AL49,增益!$A:$A,增益!$W:$W,0))+$I$5</f>
        <v>0.11</v>
      </c>
      <c r="BX49" s="23">
        <f>VLOOKUP($R49,武学奇术!$A:$ZZ,32,FALSE)</f>
        <v>0.1</v>
      </c>
      <c r="BY49" s="23" cm="1">
        <f t="array" ref="BY49">SUM(_xlfn.XLOOKUP($S49:$AL49,增益!$A:$A,增益!$X:$X,0))</f>
        <v>0</v>
      </c>
    </row>
    <row r="50" spans="2:77">
      <c r="K50" s="35">
        <f>$L50*VLOOKUP($R50,武学奇术!$A:$ZZ,31,FALSE)</f>
        <v>16477.7710994895</v>
      </c>
      <c r="L50" s="58">
        <f t="shared" si="11"/>
        <v>16154.6775485191</v>
      </c>
      <c r="M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轻击",$B$21,0))*(1+IF(VLOOKUP($R50,武学奇术!$A:$ZZ,30,FALSE)="老鼠",$B$22,0))*(1+$BW50)*(1+$BX50)</f>
        <v>16982.0187663474</v>
      </c>
      <c r="N50" s="35">
        <f>(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轻击",$B$21,0))*(1+IF(VLOOKUP($R50,武学奇术!$A:$ZZ,30,FALSE)="老鼠",$B$22,0))*(1+$BW50))*(1+$BX50)</f>
        <v>16010.3221576686</v>
      </c>
      <c r="O50" s="35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轻击",$B$21,0))*(1+IF(VLOOKUP($R50,武学奇术!$A:$ZZ,30,FALSE)="老鼠",$B$22,0))*(1+$BW50)*(1+$BX50)</f>
        <v>10521.6968812562</v>
      </c>
      <c r="P50" s="35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轻击",$B$21,0))*(1+IF(VLOOKUP($R50,武学奇术!$A:$ZZ,30,FALSE)="老鼠",$B$22,0))*(1+$BW50)*(1+$BX50)</f>
        <v>9183.89586794295</v>
      </c>
      <c r="Q50" s="36">
        <v>1</v>
      </c>
      <c r="R50" s="37" t="s">
        <v>123</v>
      </c>
      <c r="S50" s="37" t="s">
        <v>91</v>
      </c>
      <c r="T50" s="37" t="s">
        <v>180</v>
      </c>
      <c r="U50" s="37" t="s">
        <v>81</v>
      </c>
      <c r="V50" s="37" t="s">
        <v>81</v>
      </c>
      <c r="W50" s="37" t="s">
        <v>82</v>
      </c>
      <c r="X50" s="37" t="s">
        <v>81</v>
      </c>
      <c r="Y50" s="37" t="s">
        <v>81</v>
      </c>
      <c r="Z50" s="37" t="s">
        <v>81</v>
      </c>
      <c r="AA50" s="37" t="s">
        <v>81</v>
      </c>
      <c r="AB50" s="37" t="s">
        <v>81</v>
      </c>
      <c r="AC50" s="37" t="s">
        <v>81</v>
      </c>
      <c r="AD50" s="37" t="s">
        <v>81</v>
      </c>
      <c r="AE50" s="37" t="s">
        <v>81</v>
      </c>
      <c r="AF50" s="37" t="s">
        <v>81</v>
      </c>
      <c r="AG50" s="37" t="s">
        <v>87</v>
      </c>
      <c r="AH50" s="37" t="s">
        <v>81</v>
      </c>
      <c r="AI50" s="37" t="s">
        <v>81</v>
      </c>
      <c r="AJ50" s="37" t="s">
        <v>81</v>
      </c>
      <c r="AK50" s="37" t="s">
        <v>81</v>
      </c>
      <c r="AL50" s="37" t="s">
        <v>81</v>
      </c>
      <c r="AM50" t="str">
        <f>VLOOKUP($R50,武学奇术!$A:$ZZ,25,FALSE)</f>
        <v>双刀</v>
      </c>
      <c r="AN50" s="23">
        <f>VLOOKUP($R50,武学奇术!$A:$ZZ,26,FALSE)</f>
        <v>0.8267</v>
      </c>
      <c r="AO50" s="24">
        <f>VLOOKUP($R50,武学奇术!$A:$ZZ,27,FALSE)*(1+IF(OR($AM50=$F$4,$AM50=$F$5),$B$23,0))</f>
        <v>366.4</v>
      </c>
      <c r="AP50" s="23">
        <f>VLOOKUP($R50,武学奇术!$A:$ZZ,28,FALSE)</f>
        <v>1.24</v>
      </c>
      <c r="AQ50" s="24">
        <f>VLOOKUP($R50,武学奇术!$A:$ZZ,29,FALSE)*(1+IF(OR($AM50=$F$4,$AM50=$F$5),$B$23,0))</f>
        <v>200</v>
      </c>
      <c r="AR50" s="23" cm="1">
        <f t="array" ref="AR50">$G$3+IFERROR(VLOOKUP($AM50,$F$4:$G$7,2,FALSE),0)+VLOOKUP($R50,武学奇术!$A:$ZZ,2,FALSE)+SUM(_xlfn.XLOOKUP($S50:$AL50,增益!$A:$A,增益!$B:$B,0))</f>
        <v>0.4243</v>
      </c>
      <c r="AS50" s="23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4013</v>
      </c>
      <c r="AU50" cm="1">
        <f t="array" ref="AU50">$E$10*(1+$AS50)+VLOOKUP($R50,武学奇术!$A:$ZZ,4,FALSE)+SUM(_xlfn.XLOOKUP($S50:$AL50,增益!$A:$A,增益!$D:$D,0))-$I$2</f>
        <v>4013</v>
      </c>
      <c r="AV50" s="29" cm="1">
        <f t="array" ref="AV50">IF($F$10-$I$3+VLOOKUP($R50,武学奇术!$A:$ZZ,6,FALSE)+SUM(_xlfn.XLOOKUP(S50:AL50,增益!$A:$A,增益!$F:$F,0))&gt;0,($F$10-$I$3+VLOOKUP($R50,武学奇术!$A:$ZZ,6,FALSE)+SUM(_xlfn.XLOOKUP(S50:AL50,增益!$A:$A,增益!$F:$F,0)))/200,($F$10-$I$3+VLOOKUP($R50,武学奇术!$A:$ZZ,6,FALSE)+SUM(_xlfn.XLOOKUP(S50:AL50,增益!$A:$A,增益!$F:$F,0)))/100)</f>
        <v>0.2439</v>
      </c>
      <c r="AW50" s="29" cm="1">
        <f t="array" ref="AW50">$G$10+VLOOKUP($R50,武学奇术!$A:$ZZ,7,FALSE)+SUM(_xlfn.XLOOKUP(S50:AL50,增益!$A:$A,增益!$G:$G,0))</f>
        <v>0</v>
      </c>
      <c r="AX50" s="23" cm="1">
        <f t="array" ref="AX50">VLOOKUP($R50,武学奇术!$A:$ZZ,8,FALSE)+SUM(_xlfn.XLOOKUP(S50:AL50,增益!$A:$A,增益!$H:$H,0))</f>
        <v>0</v>
      </c>
      <c r="AY50">
        <f t="shared" si="1"/>
        <v>0</v>
      </c>
      <c r="AZ50">
        <f t="shared" si="2"/>
        <v>0</v>
      </c>
      <c r="BA50" s="29" cm="1">
        <f t="array" ref="BA50">IF($F$11-$I$4+VLOOKUP($R50,武学奇术!$A:$ZZ,9,FALSE)+SUM(_xlfn.XLOOKUP(S50:AL50,增益!$A:$A,增益!$I:$I,0))&gt;0,($F$11-$I$4+VLOOKUP($R50,武学奇术!$A:$ZZ,9,FALSE)+SUM(_xlfn.XLOOKUP(S50:AL50,增益!$A:$A,增益!$I:$I,0)))/200,($F$11-$I$4+VLOOKUP($R50,武学奇术!$A:$ZZ,9,FALSE)+SUM(_xlfn.XLOOKUP(S50:AL50,增益!$A:$A,增益!$I:$I,0)))/100)</f>
        <v>-0.3</v>
      </c>
      <c r="BB50" s="29" cm="1">
        <f t="array" ref="BB50">$G$11+VLOOKUP($R50,武学奇术!$A:$ZZ,10,FALSE)+SUM(_xlfn.XLOOKUP(S50:AL50,增益!$A:$A,增益!$J:$J,0))</f>
        <v>0</v>
      </c>
      <c r="BC50">
        <f t="shared" si="3"/>
        <v>0</v>
      </c>
      <c r="BD50">
        <f t="shared" si="4"/>
        <v>0</v>
      </c>
      <c r="BE50" s="29" cm="1">
        <f t="array" ref="BE50">IF($F$12-$I$4+VLOOKUP($R50,武学奇术!$A:$ZZ,11,FALSE)+SUM(_xlfn.XLOOKUP(S50:AL50,增益!$A:$A,增益!$K:$K,0))&gt;0,($F$12-$I$4+VLOOKUP($R50,武学奇术!$A:$ZZ,11,FALSE)+SUM(_xlfn.XLOOKUP(S50:AL50,增益!$A:$A,增益!$K:$K,0)))/200,($F$12-$I$4+VLOOKUP($R50,武学奇术!$A:$ZZ,11,FALSE)+SUM(_xlfn.XLOOKUP(S50:AL50,增益!$A:$A,增益!$K:$K,0)))/100)</f>
        <v>-0.3</v>
      </c>
      <c r="BF50" s="29" cm="1">
        <f t="array" ref="BF50">$G$12+VLOOKUP($R50,武学奇术!$A:$ZZ,12,FALSE)+SUM(_xlfn.XLOOKUP(S50:AL50,增益!$A:$A,增益!$L:$L,0))</f>
        <v>0</v>
      </c>
      <c r="BG50">
        <f t="shared" si="5"/>
        <v>0</v>
      </c>
      <c r="BH50">
        <f t="shared" si="6"/>
        <v>0</v>
      </c>
      <c r="BI50" s="29" cm="1">
        <f t="array" ref="BI50">IF($F$13-$I$4+VLOOKUP($R50,武学奇术!$A:$ZZ,13,FALSE)+SUM(_xlfn.XLOOKUP(S50:AL50,增益!$A:$A,增益!$M:$M,0))&gt;0,($F$13-$I$4+VLOOKUP($R50,武学奇术!$A:$ZZ,13,FALSE)+SUM(_xlfn.XLOOKUP(S50:AL50,增益!$A:$A,增益!$K:$K,0)))/200,($F$13-$I$4+VLOOKUP($R50,武学奇术!$A:$ZZ,13,FALSE)+SUM(_xlfn.XLOOKUP(S50:AL50,增益!$A:$A,增益!$M:$M,0)))/100)</f>
        <v>-0.3</v>
      </c>
      <c r="BJ50" s="29" cm="1">
        <f t="array" ref="BJ50">$G$13+VLOOKUP($R50,武学奇术!$A:$ZZ,14,FALSE)+SUM(_xlfn.XLOOKUP(S50:AL50,增益!$A:$A,增益!$N:$N,0))</f>
        <v>0</v>
      </c>
      <c r="BK50">
        <f t="shared" si="7"/>
        <v>618.2</v>
      </c>
      <c r="BL50">
        <f t="shared" si="8"/>
        <v>1805</v>
      </c>
      <c r="BM50" s="29" cm="1">
        <f t="array" ref="BM50">IF($F$14-$I$4+VLOOKUP($R50,武学奇术!$A:$ZZ,15,FALSE)+SUM(_xlfn.XLOOKUP(S50:AL50,增益!$A:$A,增益!$O:$O,0))&gt;0,($F$14-$I$4+VLOOKUP($R50,武学奇术!$A:$ZZ,15,FALSE)+SUM(_xlfn.XLOOKUP(S50:AL50,增益!$A:$A,增益!$O:$O,0)))/200,($F$14-$I$4+VLOOKUP($R50,武学奇术!$A:$ZZ,15,FALSE)+SUM(_xlfn.XLOOKUP(S50:AL50,增益!$A:$A,增益!$O:$O,0)))/100)</f>
        <v>0</v>
      </c>
      <c r="BN50" s="29" cm="1">
        <f t="array" ref="BN50">$G$14+VLOOKUP($R50,武学奇术!$A:$ZZ,16,FALSE)+SUM(_xlfn.XLOOKUP(S50:AL50,增益!$A:$A,增益!$P:$P,0))</f>
        <v>0.15</v>
      </c>
      <c r="BO50" s="23">
        <f>MIN(IF(VLOOKUP($R50,武学奇术!$A:$ZZ,23,FALSE)=1,100%,$B$8),100%)</f>
        <v>0.9943</v>
      </c>
      <c r="BP50" s="23" cm="1">
        <f t="array" ref="BP50">IF(VLOOKUP($R50,武学奇术!$A:$ZZ,23,FALSE)=1,100%,MIN(80%,$B$9+VLOOKUP($R50,武学奇术!$A:$ZZ,17,FALSE)+SUM(_xlfn.XLOOKUP(S50:AL50,增益!$A:$A,增益!$Q:$Q,0)))+$B$11+SUM(_xlfn.XLOOKUP(S50:AL50,增益!$A:$A,增益!$U:$U,0)))*IF(VLOOKUP($R50,武学奇术!$A:$ZZ,24,FALSE)=1,0,1)</f>
        <v>0.8</v>
      </c>
      <c r="BQ50" s="23" cm="1">
        <f t="array" ref="BQ50">1+$B$13+VLOOKUP($R50,武学奇术!$A:$ZZ,18,FALSE)+SUM(_xlfn.XLOOKUP(S50:AL50,增益!$A:$A,增益!$R:$R,0))</f>
        <v>1.614</v>
      </c>
      <c r="BR50" s="23" cm="1">
        <f t="array" ref="BR50">IF(VLOOKUP($R50,武学奇术!$A:$ZZ,24,FALSE)=1,100%,MIN(40%,$B$10+VLOOKUP($R50,武学奇术!$A:$ZZ,19,FALSE)+SUM(_xlfn.XLOOKUP(S50:AL50,增益!$A:$A,增益!$S:$S,0)))+$B$12+SUM(_xlfn.XLOOKUP(S50:AL50,增益!$A:$A,增益!$V:$V,0)))*IF(VLOOKUP($R50,武学奇术!$A:$ZZ,23,FALSE)=1,0,1)</f>
        <v>0.0913</v>
      </c>
      <c r="BS50" s="23" cm="1">
        <f t="array" ref="BS50">1+$B$14+VLOOKUP($R50,武学奇术!$A:$ZZ,20,FALSE)+SUM(_xlfn.XLOOKUP(S50:AL50,增益!$A:$A,增益!$T:$T,0))</f>
        <v>1.35</v>
      </c>
      <c r="BT50" s="23">
        <f t="shared" si="9"/>
        <v>0.79544</v>
      </c>
      <c r="BU50" s="23">
        <f t="shared" si="10"/>
        <v>0.10808041</v>
      </c>
      <c r="BV50" s="23">
        <f>IF(VLOOKUP($R50,武学奇术!$A:$ZZ,22,FALSE)=1,0,(1-$BO50))*(1-$BR50)</f>
        <v>0.00517959000000003</v>
      </c>
      <c r="BW50" s="23" cm="1">
        <f t="array" ref="BW50">SUM(_xlfn.XLOOKUP(S50:AL50,增益!$A:$A,增益!$W:$W,0))+$I$5</f>
        <v>0.11</v>
      </c>
      <c r="BX50" s="23">
        <f>VLOOKUP($R50,武学奇术!$A:$ZZ,32,FALSE)</f>
        <v>0</v>
      </c>
      <c r="BY50" s="23" cm="1">
        <f t="array" ref="BY50">SUM(_xlfn.XLOOKUP($S50:$AL50,增益!$A:$A,增益!$X:$X,0))</f>
        <v>0</v>
      </c>
    </row>
    <row r="51" spans="2:77">
      <c r="K51" s="35">
        <f>$L51*VLOOKUP($R51,武学奇术!$A:$ZZ,31,FALSE)</f>
        <v>72547.5558212358</v>
      </c>
      <c r="L51" s="69">
        <f t="shared" si="11"/>
        <v>71125.0547267018</v>
      </c>
      <c r="M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轻击",$B$21,0))*(1+IF(VLOOKUP($R51,武学奇术!$A:$ZZ,30,FALSE)="老鼠",$B$22,0))*(1+$BW51)*(1+$BX51)</f>
        <v>74665.5872746942</v>
      </c>
      <c r="N51" s="35">
        <f>(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轻击",$B$21,0))*(1+IF(VLOOKUP($R51,武学奇术!$A:$ZZ,30,FALSE)="老鼠",$B$22,0))*(1+$BW51))*(1+$BX51)</f>
        <v>71503.1794911649</v>
      </c>
      <c r="O51" s="35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轻击",$B$21,0))*(1+IF(VLOOKUP($R51,武学奇术!$A:$ZZ,30,FALSE)="老鼠",$B$22,0))*(1+$BW51)*(1+$BX51)</f>
        <v>46261.2064898973</v>
      </c>
      <c r="P51" s="35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轻击",$B$21,0))*(1+IF(VLOOKUP($R51,武学奇术!$A:$ZZ,30,FALSE)="老鼠",$B$22,0))*(1+$BW51)*(1+$BX51)</f>
        <v>39557.0948381909</v>
      </c>
      <c r="Q51" s="70">
        <v>4</v>
      </c>
      <c r="R51" s="37" t="s">
        <v>106</v>
      </c>
      <c r="S51" s="37" t="s">
        <v>91</v>
      </c>
      <c r="T51" s="37" t="s">
        <v>180</v>
      </c>
      <c r="U51" s="37" t="s">
        <v>112</v>
      </c>
      <c r="V51" s="37" t="s">
        <v>113</v>
      </c>
      <c r="W51" s="37" t="s">
        <v>82</v>
      </c>
      <c r="X51" s="37" t="s">
        <v>81</v>
      </c>
      <c r="Y51" s="37" t="s">
        <v>109</v>
      </c>
      <c r="Z51" s="37" t="s">
        <v>81</v>
      </c>
      <c r="AA51" s="37" t="s">
        <v>81</v>
      </c>
      <c r="AB51" s="37" t="s">
        <v>81</v>
      </c>
      <c r="AC51" s="37" t="s">
        <v>81</v>
      </c>
      <c r="AD51" s="37" t="s">
        <v>81</v>
      </c>
      <c r="AE51" s="37" t="s">
        <v>81</v>
      </c>
      <c r="AF51" s="37" t="s">
        <v>81</v>
      </c>
      <c r="AG51" s="37" t="s">
        <v>87</v>
      </c>
      <c r="AH51" s="37" t="s">
        <v>81</v>
      </c>
      <c r="AI51" s="37" t="s">
        <v>81</v>
      </c>
      <c r="AJ51" s="37" t="s">
        <v>81</v>
      </c>
      <c r="AK51" s="37" t="s">
        <v>81</v>
      </c>
      <c r="AL51" s="37" t="s">
        <v>81</v>
      </c>
      <c r="AM51" t="str">
        <f>VLOOKUP($R51,武学奇术!$A:$ZZ,25,FALSE)</f>
        <v>绳镖</v>
      </c>
      <c r="AN51" s="23">
        <f>VLOOKUP($R51,武学奇术!$A:$ZZ,26,FALSE)</f>
        <v>0.3675</v>
      </c>
      <c r="AO51" s="24">
        <f>VLOOKUP($R51,武学奇术!$A:$ZZ,27,FALSE)*(1+IF(OR($AM51=$F$4,$AM51=$F$5),$B$23,0))</f>
        <v>0</v>
      </c>
      <c r="AP51" s="23">
        <f>VLOOKUP($R51,武学奇术!$A:$ZZ,28,FALSE)</f>
        <v>0.55125</v>
      </c>
      <c r="AQ51" s="24">
        <f>VLOOKUP($R51,武学奇术!$A:$ZZ,29,FALSE)*(1+IF(OR($AM51=$F$4,$AM51=$F$5),$B$23,0))</f>
        <v>0</v>
      </c>
      <c r="AR51" s="23" cm="1">
        <f t="array" ref="AR51">$G$3+IFERROR(VLOOKUP($AM51,$F$4:$G$7,2,FALSE),0)+VLOOKUP($R51,武学奇术!$A:$ZZ,2,FALSE)+SUM(_xlfn.XLOOKUP($S51:$AL51,增益!$A:$A,增益!$B:$B,0))</f>
        <v>1.3443</v>
      </c>
      <c r="AS51" s="23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4081.7</v>
      </c>
      <c r="AU51" cm="1">
        <f t="array" ref="AU51">$E$10*(1+$AS51)+VLOOKUP($R51,武学奇术!$A:$ZZ,4,FALSE)+SUM(_xlfn.XLOOKUP($S51:$AL51,增益!$A:$A,增益!$D:$D,0))-$I$2</f>
        <v>4081.7</v>
      </c>
      <c r="AV51" s="29" cm="1">
        <f t="array" ref="AV51">IF($F$10-$I$3+VLOOKUP($R51,武学奇术!$A:$ZZ,6,FALSE)+SUM(_xlfn.XLOOKUP(S51:AL51,增益!$A:$A,增益!$F:$F,0))&gt;0,($F$10-$I$3+VLOOKUP($R51,武学奇术!$A:$ZZ,6,FALSE)+SUM(_xlfn.XLOOKUP(S51:AL51,增益!$A:$A,增益!$F:$F,0)))/200,($F$10-$I$3+VLOOKUP($R51,武学奇术!$A:$ZZ,6,FALSE)+SUM(_xlfn.XLOOKUP(S51:AL51,增益!$A:$A,增益!$F:$F,0)))/100)</f>
        <v>0.2439</v>
      </c>
      <c r="AW51" s="29" cm="1">
        <f t="array" ref="AW51">$G$10+VLOOKUP($R51,武学奇术!$A:$ZZ,7,FALSE)+SUM(_xlfn.XLOOKUP(S51:AL51,增益!$A:$A,增益!$G:$G,0))</f>
        <v>0.27</v>
      </c>
      <c r="AX51" s="23" cm="1">
        <f t="array" ref="AX51">VLOOKUP($R51,武学奇术!$A:$ZZ,8,FALSE)+SUM(_xlfn.XLOOKUP(S51:AL51,增益!$A:$A,增益!$H:$H,0))</f>
        <v>0</v>
      </c>
      <c r="AY51">
        <f t="shared" si="1"/>
        <v>0</v>
      </c>
      <c r="AZ51">
        <f t="shared" si="2"/>
        <v>0</v>
      </c>
      <c r="BA51" s="29" cm="1">
        <f t="array" ref="BA51">IF($F$11-$I$4+VLOOKUP($R51,武学奇术!$A:$ZZ,9,FALSE)+SUM(_xlfn.XLOOKUP(S51:AL51,增益!$A:$A,增益!$I:$I,0))&gt;0,($F$11-$I$4+VLOOKUP($R51,武学奇术!$A:$ZZ,9,FALSE)+SUM(_xlfn.XLOOKUP(S51:AL51,增益!$A:$A,增益!$I:$I,0)))/200,($F$11-$I$4+VLOOKUP($R51,武学奇术!$A:$ZZ,9,FALSE)+SUM(_xlfn.XLOOKUP(S51:AL51,增益!$A:$A,增益!$I:$I,0)))/100)</f>
        <v>-0.3</v>
      </c>
      <c r="BB51" s="29" cm="1">
        <f t="array" ref="BB51">$G$11+VLOOKUP($R51,武学奇术!$A:$ZZ,10,FALSE)+SUM(_xlfn.XLOOKUP(S51:AL51,增益!$A:$A,增益!$J:$J,0))</f>
        <v>0</v>
      </c>
      <c r="BC51">
        <f t="shared" si="3"/>
        <v>0</v>
      </c>
      <c r="BD51">
        <f t="shared" si="4"/>
        <v>0</v>
      </c>
      <c r="BE51" s="29" cm="1">
        <f t="array" ref="BE51">IF($F$12-$I$4+VLOOKUP($R51,武学奇术!$A:$ZZ,11,FALSE)+SUM(_xlfn.XLOOKUP(S51:AL51,增益!$A:$A,增益!$K:$K,0))&gt;0,($F$12-$I$4+VLOOKUP($R51,武学奇术!$A:$ZZ,11,FALSE)+SUM(_xlfn.XLOOKUP(S51:AL51,增益!$A:$A,增益!$K:$K,0)))/200,($F$12-$I$4+VLOOKUP($R51,武学奇术!$A:$ZZ,11,FALSE)+SUM(_xlfn.XLOOKUP(S51:AL51,增益!$A:$A,增益!$K:$K,0)))/100)</f>
        <v>-0.3</v>
      </c>
      <c r="BF51" s="29" cm="1">
        <f t="array" ref="BF51">$G$12+VLOOKUP($R51,武学奇术!$A:$ZZ,12,FALSE)+SUM(_xlfn.XLOOKUP(S51:AL51,增益!$A:$A,增益!$L:$L,0))</f>
        <v>0</v>
      </c>
      <c r="BG51">
        <f t="shared" si="5"/>
        <v>0</v>
      </c>
      <c r="BH51">
        <f t="shared" si="6"/>
        <v>0</v>
      </c>
      <c r="BI51" s="29" cm="1">
        <f t="array" ref="BI51">IF($F$13-$I$4+VLOOKUP($R51,武学奇术!$A:$ZZ,13,FALSE)+SUM(_xlfn.XLOOKUP(S51:AL51,增益!$A:$A,增益!$M:$M,0))&gt;0,($F$13-$I$4+VLOOKUP($R51,武学奇术!$A:$ZZ,13,FALSE)+SUM(_xlfn.XLOOKUP(S51:AL51,增益!$A:$A,增益!$K:$K,0)))/200,($F$13-$I$4+VLOOKUP($R51,武学奇术!$A:$ZZ,13,FALSE)+SUM(_xlfn.XLOOKUP(S51:AL51,增益!$A:$A,增益!$M:$M,0)))/100)</f>
        <v>-0.3</v>
      </c>
      <c r="BJ51" s="29" cm="1">
        <f t="array" ref="BJ51">$G$13+VLOOKUP($R51,武学奇术!$A:$ZZ,14,FALSE)+SUM(_xlfn.XLOOKUP(S51:AL51,增益!$A:$A,增益!$N:$N,0))</f>
        <v>0</v>
      </c>
      <c r="BK51">
        <f t="shared" si="7"/>
        <v>618.2</v>
      </c>
      <c r="BL51">
        <f t="shared" si="8"/>
        <v>1805</v>
      </c>
      <c r="BM51" s="29" cm="1">
        <f t="array" ref="BM51">IF($F$14-$I$4+VLOOKUP($R51,武学奇术!$A:$ZZ,15,FALSE)+SUM(_xlfn.XLOOKUP(S51:AL51,增益!$A:$A,增益!$O:$O,0))&gt;0,($F$14-$I$4+VLOOKUP($R51,武学奇术!$A:$ZZ,15,FALSE)+SUM(_xlfn.XLOOKUP(S51:AL51,增益!$A:$A,增益!$O:$O,0)))/200,($F$14-$I$4+VLOOKUP($R51,武学奇术!$A:$ZZ,15,FALSE)+SUM(_xlfn.XLOOKUP(S51:AL51,增益!$A:$A,增益!$O:$O,0)))/100)</f>
        <v>0.05</v>
      </c>
      <c r="BN51" s="29" cm="1">
        <f t="array" ref="BN51">$G$14+VLOOKUP($R51,武学奇术!$A:$ZZ,16,FALSE)+SUM(_xlfn.XLOOKUP(S51:AL51,增益!$A:$A,增益!$P:$P,0))</f>
        <v>0.42</v>
      </c>
      <c r="BO51" s="23">
        <f>MIN(IF(VLOOKUP($R51,武学奇术!$A:$ZZ,23,FALSE)=1,100%,$B$8),100%)</f>
        <v>0.9943</v>
      </c>
      <c r="BP51" s="23" cm="1">
        <f t="array" ref="BP51">IF(VLOOKUP($R51,武学奇术!$A:$ZZ,23,FALSE)=1,100%,MIN(80%,$B$9+VLOOKUP($R51,武学奇术!$A:$ZZ,17,FALSE)+SUM(_xlfn.XLOOKUP(S51:AL51,增益!$A:$A,增益!$Q:$Q,0)))+$B$11+SUM(_xlfn.XLOOKUP(S51:AL51,增益!$A:$A,增益!$U:$U,0)))*IF(VLOOKUP($R51,武学奇术!$A:$ZZ,24,FALSE)=1,0,1)</f>
        <v>0.8</v>
      </c>
      <c r="BQ51" s="23" cm="1">
        <f t="array" ref="BQ51">1+$B$13+VLOOKUP($R51,武学奇术!$A:$ZZ,18,FALSE)+SUM(_xlfn.XLOOKUP(S51:AL51,增益!$A:$A,增益!$R:$R,0))</f>
        <v>1.614</v>
      </c>
      <c r="BR51" s="23" cm="1">
        <f t="array" ref="BR51">IF(VLOOKUP($R51,武学奇术!$A:$ZZ,24,FALSE)=1,100%,MIN(40%,$B$10+VLOOKUP($R51,武学奇术!$A:$ZZ,19,FALSE)+SUM(_xlfn.XLOOKUP(S51:AL51,增益!$A:$A,增益!$S:$S,0)))+$B$12+SUM(_xlfn.XLOOKUP(S51:AL51,增益!$A:$A,增益!$V:$V,0)))*IF(VLOOKUP($R51,武学奇术!$A:$ZZ,23,FALSE)=1,0,1)</f>
        <v>0.0913</v>
      </c>
      <c r="BS51" s="23" cm="1">
        <f t="array" ref="BS51">1+$B$14+VLOOKUP($R51,武学奇术!$A:$ZZ,20,FALSE)+SUM(_xlfn.XLOOKUP(S51:AL51,增益!$A:$A,增益!$T:$T,0))</f>
        <v>1.35</v>
      </c>
      <c r="BT51" s="23">
        <f t="shared" si="9"/>
        <v>0.79544</v>
      </c>
      <c r="BU51" s="23">
        <f t="shared" si="10"/>
        <v>0.10808041</v>
      </c>
      <c r="BV51" s="23">
        <f>IF(VLOOKUP($R51,武学奇术!$A:$ZZ,22,FALSE)=1,0,(1-$BO51))*(1-$BR51)</f>
        <v>0.00517959000000003</v>
      </c>
      <c r="BW51" s="23" cm="1">
        <f t="array" ref="BW51">SUM(_xlfn.XLOOKUP(S51:AL51,增益!$A:$A,增益!$W:$W,0))+$I$5</f>
        <v>0.11</v>
      </c>
      <c r="BX51" s="23">
        <f>VLOOKUP($R51,武学奇术!$A:$ZZ,32,FALSE)</f>
        <v>0</v>
      </c>
      <c r="BY51" s="23" cm="1">
        <f t="array" ref="BY51">SUM(_xlfn.XLOOKUP($S51:$AL51,增益!$A:$A,增益!$X:$X,0))</f>
        <v>0</v>
      </c>
    </row>
    <row r="52" spans="2:77">
      <c r="K52" s="35">
        <f>$L52*VLOOKUP($R52,武学奇术!$A:$ZZ,31,FALSE)</f>
        <v>66128.4251626239</v>
      </c>
      <c r="L52" s="35">
        <f t="shared" si="11"/>
        <v>64831.7893751214</v>
      </c>
      <c r="M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轻击",$B$21,0))*(1+IF(VLOOKUP($R52,武学奇术!$A:$ZZ,30,FALSE)="老鼠",$B$22,0))*(1+$BW52)*(1+$BX52)</f>
        <v>69775.8469471487</v>
      </c>
      <c r="N52" s="35">
        <f>(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轻击",$B$21,0))*(1+IF(VLOOKUP($R52,武学奇术!$A:$ZZ,30,FALSE)="老鼠",$B$22,0))*(1+$BW52))*(1+$BX52)</f>
        <v>56244.7809010612</v>
      </c>
      <c r="O52" s="35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轻击",$B$21,0))*(1+IF(VLOOKUP($R52,武学奇术!$A:$ZZ,30,FALSE)="老鼠",$B$22,0))*(1+$BW52)*(1+$BX52)</f>
        <v>37233.6429814027</v>
      </c>
      <c r="P52" s="35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轻击",$B$21,0))*(1+IF(VLOOKUP($R52,武学奇术!$A:$ZZ,30,FALSE)="老鼠",$B$22,0))*(1+$BW52)*(1+$BX52)</f>
        <v>32804.4852953527</v>
      </c>
      <c r="Q52" s="36">
        <v>1</v>
      </c>
      <c r="R52" s="37" t="s">
        <v>128</v>
      </c>
      <c r="S52" s="37" t="s">
        <v>91</v>
      </c>
      <c r="T52" s="37" t="s">
        <v>182</v>
      </c>
      <c r="U52" s="37" t="s">
        <v>81</v>
      </c>
      <c r="V52" s="37" t="s">
        <v>81</v>
      </c>
      <c r="W52" s="37" t="s">
        <v>82</v>
      </c>
      <c r="X52" s="37" t="s">
        <v>81</v>
      </c>
      <c r="Y52" s="37" t="s">
        <v>81</v>
      </c>
      <c r="Z52" s="37" t="s">
        <v>81</v>
      </c>
      <c r="AA52" s="37" t="s">
        <v>81</v>
      </c>
      <c r="AB52" s="37" t="s">
        <v>81</v>
      </c>
      <c r="AC52" s="37" t="s">
        <v>81</v>
      </c>
      <c r="AD52" s="37" t="s">
        <v>85</v>
      </c>
      <c r="AE52" s="37" t="s">
        <v>86</v>
      </c>
      <c r="AF52" s="37" t="s">
        <v>81</v>
      </c>
      <c r="AG52" s="37" t="s">
        <v>87</v>
      </c>
      <c r="AH52" s="37" t="s">
        <v>81</v>
      </c>
      <c r="AI52" s="37" t="s">
        <v>81</v>
      </c>
      <c r="AJ52" s="37" t="s">
        <v>81</v>
      </c>
      <c r="AK52" s="37" t="s">
        <v>81</v>
      </c>
      <c r="AL52" s="37" t="s">
        <v>81</v>
      </c>
      <c r="AM52" t="str">
        <f>VLOOKUP($R52,武学奇术!$A:$ZZ,25,FALSE)</f>
        <v>双刀</v>
      </c>
      <c r="AN52" s="23">
        <f>VLOOKUP($R52,武学奇术!$A:$ZZ,26,FALSE)</f>
        <v>2.4761</v>
      </c>
      <c r="AO52" s="24">
        <f>VLOOKUP($R52,武学奇术!$A:$ZZ,27,FALSE)*(1+IF(OR($AM52=$F$4,$AM52=$F$5),$B$23,0))</f>
        <v>1096</v>
      </c>
      <c r="AP52" s="23">
        <f>VLOOKUP($R52,武学奇术!$A:$ZZ,28,FALSE)</f>
        <v>3.7142</v>
      </c>
      <c r="AQ52" s="24">
        <f>VLOOKUP($R52,武学奇术!$A:$ZZ,29,FALSE)*(1+IF(OR($AM52=$F$4,$AM52=$F$5),$B$23,0))</f>
        <v>596.8</v>
      </c>
      <c r="AR52" s="23" cm="1">
        <f t="array" ref="AR52">$G$3+IFERROR(VLOOKUP($AM52,$F$4:$G$7,2,FALSE),0)+VLOOKUP($R52,武学奇术!$A:$ZZ,2,FALSE)+SUM(_xlfn.XLOOKUP($S52:$AL52,增益!$A:$A,增益!$B:$B,0))</f>
        <v>0.5743</v>
      </c>
      <c r="AS52" s="23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4013</v>
      </c>
      <c r="AU52" cm="1">
        <f t="array" ref="AU52">$E$10*(1+$AS52)+VLOOKUP($R52,武学奇术!$A:$ZZ,4,FALSE)+SUM(_xlfn.XLOOKUP($S52:$AL52,增益!$A:$A,增益!$D:$D,0))-$I$2</f>
        <v>4013</v>
      </c>
      <c r="AV52" s="29" cm="1">
        <f t="array" ref="AV52">IF($F$10-$I$3+VLOOKUP($R52,武学奇术!$A:$ZZ,6,FALSE)+SUM(_xlfn.XLOOKUP(S52:AL52,增益!$A:$A,增益!$F:$F,0))&gt;0,($F$10-$I$3+VLOOKUP($R52,武学奇术!$A:$ZZ,6,FALSE)+SUM(_xlfn.XLOOKUP(S52:AL52,增益!$A:$A,增益!$F:$F,0)))/200,($F$10-$I$3+VLOOKUP($R52,武学奇术!$A:$ZZ,6,FALSE)+SUM(_xlfn.XLOOKUP(S52:AL52,增益!$A:$A,增益!$F:$F,0)))/100)</f>
        <v>0.3689</v>
      </c>
      <c r="AW52" s="29" cm="1">
        <f t="array" ref="AW52">$G$10+VLOOKUP($R52,武学奇术!$A:$ZZ,7,FALSE)+SUM(_xlfn.XLOOKUP(S52:AL52,增益!$A:$A,增益!$G:$G,0))</f>
        <v>0</v>
      </c>
      <c r="AX52" s="23" cm="1">
        <f t="array" ref="AX52">VLOOKUP($R52,武学奇术!$A:$ZZ,8,FALSE)+SUM(_xlfn.XLOOKUP(S52:AL52,增益!$A:$A,增益!$H:$H,0))</f>
        <v>0</v>
      </c>
      <c r="AY52">
        <f t="shared" si="1"/>
        <v>0</v>
      </c>
      <c r="AZ52">
        <f t="shared" si="2"/>
        <v>0</v>
      </c>
      <c r="BA52" s="29" cm="1">
        <f t="array" ref="BA52">IF($F$11-$I$4+VLOOKUP($R52,武学奇术!$A:$ZZ,9,FALSE)+SUM(_xlfn.XLOOKUP(S52:AL52,增益!$A:$A,增益!$I:$I,0))&gt;0,($F$11-$I$4+VLOOKUP($R52,武学奇术!$A:$ZZ,9,FALSE)+SUM(_xlfn.XLOOKUP(S52:AL52,增益!$A:$A,增益!$I:$I,0)))/200,($F$11-$I$4+VLOOKUP($R52,武学奇术!$A:$ZZ,9,FALSE)+SUM(_xlfn.XLOOKUP(S52:AL52,增益!$A:$A,增益!$I:$I,0)))/100)</f>
        <v>-0.3</v>
      </c>
      <c r="BB52" s="29" cm="1">
        <f t="array" ref="BB52">$G$11+VLOOKUP($R52,武学奇术!$A:$ZZ,10,FALSE)+SUM(_xlfn.XLOOKUP(S52:AL52,增益!$A:$A,增益!$J:$J,0))</f>
        <v>0</v>
      </c>
      <c r="BC52">
        <f t="shared" si="3"/>
        <v>0</v>
      </c>
      <c r="BD52">
        <f t="shared" si="4"/>
        <v>0</v>
      </c>
      <c r="BE52" s="29" cm="1">
        <f t="array" ref="BE52">IF($F$12-$I$4+VLOOKUP($R52,武学奇术!$A:$ZZ,11,FALSE)+SUM(_xlfn.XLOOKUP(S52:AL52,增益!$A:$A,增益!$K:$K,0))&gt;0,($F$12-$I$4+VLOOKUP($R52,武学奇术!$A:$ZZ,11,FALSE)+SUM(_xlfn.XLOOKUP(S52:AL52,增益!$A:$A,增益!$K:$K,0)))/200,($F$12-$I$4+VLOOKUP($R52,武学奇术!$A:$ZZ,11,FALSE)+SUM(_xlfn.XLOOKUP(S52:AL52,增益!$A:$A,增益!$K:$K,0)))/100)</f>
        <v>-0.3</v>
      </c>
      <c r="BF52" s="29" cm="1">
        <f t="array" ref="BF52">$G$12+VLOOKUP($R52,武学奇术!$A:$ZZ,12,FALSE)+SUM(_xlfn.XLOOKUP(S52:AL52,增益!$A:$A,增益!$L:$L,0))</f>
        <v>0</v>
      </c>
      <c r="BG52">
        <f t="shared" si="5"/>
        <v>0</v>
      </c>
      <c r="BH52">
        <f t="shared" si="6"/>
        <v>0</v>
      </c>
      <c r="BI52" s="29" cm="1">
        <f t="array" ref="BI52">IF($F$13-$I$4+VLOOKUP($R52,武学奇术!$A:$ZZ,13,FALSE)+SUM(_xlfn.XLOOKUP(S52:AL52,增益!$A:$A,增益!$M:$M,0))&gt;0,($F$13-$I$4+VLOOKUP($R52,武学奇术!$A:$ZZ,13,FALSE)+SUM(_xlfn.XLOOKUP(S52:AL52,增益!$A:$A,增益!$K:$K,0)))/200,($F$13-$I$4+VLOOKUP($R52,武学奇术!$A:$ZZ,13,FALSE)+SUM(_xlfn.XLOOKUP(S52:AL52,增益!$A:$A,增益!$M:$M,0)))/100)</f>
        <v>-0.3</v>
      </c>
      <c r="BJ52" s="29" cm="1">
        <f t="array" ref="BJ52">$G$13+VLOOKUP($R52,武学奇术!$A:$ZZ,14,FALSE)+SUM(_xlfn.XLOOKUP(S52:AL52,增益!$A:$A,增益!$N:$N,0))</f>
        <v>0</v>
      </c>
      <c r="BK52">
        <f t="shared" si="7"/>
        <v>618.2</v>
      </c>
      <c r="BL52">
        <f t="shared" si="8"/>
        <v>1805</v>
      </c>
      <c r="BM52" s="29" cm="1">
        <f t="array" ref="BM52">IF($F$14-$I$4+VLOOKUP($R52,武学奇术!$A:$ZZ,15,FALSE)+SUM(_xlfn.XLOOKUP(S52:AL52,增益!$A:$A,增益!$O:$O,0))&gt;0,($F$14-$I$4+VLOOKUP($R52,武学奇术!$A:$ZZ,15,FALSE)+SUM(_xlfn.XLOOKUP(S52:AL52,增益!$A:$A,增益!$O:$O,0)))/200,($F$14-$I$4+VLOOKUP($R52,武学奇术!$A:$ZZ,15,FALSE)+SUM(_xlfn.XLOOKUP(S52:AL52,增益!$A:$A,增益!$O:$O,0)))/100)</f>
        <v>0</v>
      </c>
      <c r="BN52" s="29" cm="1">
        <f t="array" ref="BN52">$G$14+VLOOKUP($R52,武学奇术!$A:$ZZ,16,FALSE)+SUM(_xlfn.XLOOKUP(S52:AL52,增益!$A:$A,增益!$P:$P,0))</f>
        <v>0.15</v>
      </c>
      <c r="BO52" s="23">
        <f>MIN(IF(VLOOKUP($R52,武学奇术!$A:$ZZ,23,FALSE)=1,100%,$B$8),100%)</f>
        <v>0.9943</v>
      </c>
      <c r="BP52" s="23" cm="1">
        <f t="array" ref="BP52">IF(VLOOKUP($R52,武学奇术!$A:$ZZ,23,FALSE)=1,100%,MIN(80%,$B$9+VLOOKUP($R52,武学奇术!$A:$ZZ,17,FALSE)+SUM(_xlfn.XLOOKUP(S52:AL52,增益!$A:$A,增益!$Q:$Q,0)))+$B$11+SUM(_xlfn.XLOOKUP(S52:AL52,增益!$A:$A,增益!$U:$U,0)))*IF(VLOOKUP($R52,武学奇术!$A:$ZZ,24,FALSE)=1,0,1)</f>
        <v>0.8</v>
      </c>
      <c r="BQ52" s="23" cm="1">
        <f t="array" ref="BQ52">1+$B$13+VLOOKUP($R52,武学奇术!$A:$ZZ,18,FALSE)+SUM(_xlfn.XLOOKUP(S52:AL52,增益!$A:$A,增益!$R:$R,0))</f>
        <v>1.874</v>
      </c>
      <c r="BR52" s="23" cm="1">
        <f t="array" ref="BR52">IF(VLOOKUP($R52,武学奇术!$A:$ZZ,24,FALSE)=1,100%,MIN(40%,$B$10+VLOOKUP($R52,武学奇术!$A:$ZZ,19,FALSE)+SUM(_xlfn.XLOOKUP(S52:AL52,增益!$A:$A,增益!$S:$S,0)))+$B$12+SUM(_xlfn.XLOOKUP(S52:AL52,增益!$A:$A,增益!$V:$V,0)))*IF(VLOOKUP($R52,武学奇术!$A:$ZZ,23,FALSE)=1,0,1)</f>
        <v>0.0913</v>
      </c>
      <c r="BS52" s="23" cm="1">
        <f t="array" ref="BS52">1+$B$14+VLOOKUP($R52,武学奇术!$A:$ZZ,20,FALSE)+SUM(_xlfn.XLOOKUP(S52:AL52,增益!$A:$A,增益!$T:$T,0))</f>
        <v>1.35</v>
      </c>
      <c r="BT52" s="23">
        <f t="shared" si="9"/>
        <v>0.79544</v>
      </c>
      <c r="BU52" s="23">
        <f t="shared" si="10"/>
        <v>0.10808041</v>
      </c>
      <c r="BV52" s="23">
        <f>IF(VLOOKUP($R52,武学奇术!$A:$ZZ,22,FALSE)=1,0,(1-$BO52))*(1-$BR52)</f>
        <v>0.00517959000000003</v>
      </c>
      <c r="BW52" s="23" cm="1">
        <f t="array" ref="BW52">SUM(_xlfn.XLOOKUP(S52:AL52,增益!$A:$A,增益!$W:$W,0))+$I$5</f>
        <v>0.11</v>
      </c>
      <c r="BX52" s="23">
        <f>VLOOKUP($R52,武学奇术!$A:$ZZ,32,FALSE)</f>
        <v>0</v>
      </c>
      <c r="BY52" s="23" cm="1">
        <f t="array" ref="BY52">SUM(_xlfn.XLOOKUP($S52:$AL52,增益!$A:$A,增益!$X:$X,0))</f>
        <v>0</v>
      </c>
    </row>
    <row r="53" spans="2:77">
      <c r="K53" s="35">
        <f>$L53*VLOOKUP($R53,武学奇术!$A:$ZZ,31,FALSE)</f>
        <v>69960.4903188326</v>
      </c>
      <c r="L53" s="69">
        <f t="shared" si="11"/>
        <v>68588.7159988555</v>
      </c>
      <c r="M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轻击",$B$21,0))*(1+IF(VLOOKUP($R53,武学奇术!$A:$ZZ,30,FALSE)="老鼠",$B$22,0))*(1+$BW53)*(1+$BX53)</f>
        <v>73680.0821306339</v>
      </c>
      <c r="N53" s="35">
        <f>(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轻击",$B$21,0))*(1+IF(VLOOKUP($R53,武学奇术!$A:$ZZ,30,FALSE)="老鼠",$B$22,0))*(1+$BW53))*(1+$BX53)</f>
        <v>60584.9579881269</v>
      </c>
      <c r="O53" s="35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轻击",$B$21,0))*(1+IF(VLOOKUP($R53,武学奇术!$A:$ZZ,30,FALSE)="老鼠",$B$22,0))*(1+$BW53)*(1+$BX53)</f>
        <v>39527.941057207</v>
      </c>
      <c r="P53" s="35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轻击",$B$21,0))*(1+IF(VLOOKUP($R53,武学奇术!$A:$ZZ,30,FALSE)="老鼠",$B$22,0))*(1+$BW53)*(1+$BX53)</f>
        <v>34178.1354565422</v>
      </c>
      <c r="Q53" s="70">
        <v>3</v>
      </c>
      <c r="R53" s="37" t="s">
        <v>106</v>
      </c>
      <c r="S53" s="37" t="s">
        <v>91</v>
      </c>
      <c r="T53" s="37" t="s">
        <v>180</v>
      </c>
      <c r="U53" s="37" t="s">
        <v>112</v>
      </c>
      <c r="V53" s="37" t="s">
        <v>113</v>
      </c>
      <c r="W53" s="37" t="s">
        <v>82</v>
      </c>
      <c r="X53" s="37" t="s">
        <v>81</v>
      </c>
      <c r="Y53" s="37" t="s">
        <v>109</v>
      </c>
      <c r="Z53" s="37" t="s">
        <v>81</v>
      </c>
      <c r="AA53" s="37" t="s">
        <v>81</v>
      </c>
      <c r="AB53" s="37" t="s">
        <v>81</v>
      </c>
      <c r="AC53" s="37" t="s">
        <v>81</v>
      </c>
      <c r="AD53" s="37" t="s">
        <v>85</v>
      </c>
      <c r="AE53" s="37" t="s">
        <v>86</v>
      </c>
      <c r="AF53" s="37" t="s">
        <v>81</v>
      </c>
      <c r="AG53" s="37" t="s">
        <v>87</v>
      </c>
      <c r="AH53" s="37" t="s">
        <v>81</v>
      </c>
      <c r="AI53" s="37" t="s">
        <v>81</v>
      </c>
      <c r="AJ53" s="37" t="s">
        <v>81</v>
      </c>
      <c r="AK53" s="37" t="s">
        <v>81</v>
      </c>
      <c r="AL53" s="37" t="s">
        <v>81</v>
      </c>
      <c r="AM53" t="str">
        <f>VLOOKUP($R53,武学奇术!$A:$ZZ,25,FALSE)</f>
        <v>绳镖</v>
      </c>
      <c r="AN53" s="23">
        <f>VLOOKUP($R53,武学奇术!$A:$ZZ,26,FALSE)</f>
        <v>0.3675</v>
      </c>
      <c r="AO53" s="24">
        <f>VLOOKUP($R53,武学奇术!$A:$ZZ,27,FALSE)*(1+IF(OR($AM53=$F$4,$AM53=$F$5),$B$23,0))</f>
        <v>0</v>
      </c>
      <c r="AP53" s="23">
        <f>VLOOKUP($R53,武学奇术!$A:$ZZ,28,FALSE)</f>
        <v>0.55125</v>
      </c>
      <c r="AQ53" s="24">
        <f>VLOOKUP($R53,武学奇术!$A:$ZZ,29,FALSE)*(1+IF(OR($AM53=$F$4,$AM53=$F$5),$B$23,0))</f>
        <v>0</v>
      </c>
      <c r="AR53" s="23" cm="1">
        <f t="array" ref="AR53">$G$3+IFERROR(VLOOKUP($AM53,$F$4:$G$7,2,FALSE),0)+VLOOKUP($R53,武学奇术!$A:$ZZ,2,FALSE)+SUM(_xlfn.XLOOKUP($S53:$AL53,增益!$A:$A,增益!$B:$B,0))</f>
        <v>1.4943</v>
      </c>
      <c r="AS53" s="23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4081.7</v>
      </c>
      <c r="AU53" cm="1">
        <f t="array" ref="AU53">$E$10*(1+$AS53)+VLOOKUP($R53,武学奇术!$A:$ZZ,4,FALSE)+SUM(_xlfn.XLOOKUP($S53:$AL53,增益!$A:$A,增益!$D:$D,0))-$I$2</f>
        <v>4081.7</v>
      </c>
      <c r="AV53" s="29" cm="1">
        <f t="array" ref="AV53">IF($F$10-$I$3+VLOOKUP($R53,武学奇术!$A:$ZZ,6,FALSE)+SUM(_xlfn.XLOOKUP(S53:AL53,增益!$A:$A,增益!$F:$F,0))&gt;0,($F$10-$I$3+VLOOKUP($R53,武学奇术!$A:$ZZ,6,FALSE)+SUM(_xlfn.XLOOKUP(S53:AL53,增益!$A:$A,增益!$F:$F,0)))/200,($F$10-$I$3+VLOOKUP($R53,武学奇术!$A:$ZZ,6,FALSE)+SUM(_xlfn.XLOOKUP(S53:AL53,增益!$A:$A,增益!$F:$F,0)))/100)</f>
        <v>0.3689</v>
      </c>
      <c r="AW53" s="29" cm="1">
        <f t="array" ref="AW53">$G$10+VLOOKUP($R53,武学奇术!$A:$ZZ,7,FALSE)+SUM(_xlfn.XLOOKUP(S53:AL53,增益!$A:$A,增益!$G:$G,0))</f>
        <v>0.27</v>
      </c>
      <c r="AX53" s="23" cm="1">
        <f t="array" ref="AX53">VLOOKUP($R53,武学奇术!$A:$ZZ,8,FALSE)+SUM(_xlfn.XLOOKUP(S53:AL53,增益!$A:$A,增益!$H:$H,0))</f>
        <v>0</v>
      </c>
      <c r="AY53">
        <f t="shared" si="1"/>
        <v>0</v>
      </c>
      <c r="AZ53">
        <f t="shared" si="2"/>
        <v>0</v>
      </c>
      <c r="BA53" s="29" cm="1">
        <f t="array" ref="BA53">IF($F$11-$I$4+VLOOKUP($R53,武学奇术!$A:$ZZ,9,FALSE)+SUM(_xlfn.XLOOKUP(S53:AL53,增益!$A:$A,增益!$I:$I,0))&gt;0,($F$11-$I$4+VLOOKUP($R53,武学奇术!$A:$ZZ,9,FALSE)+SUM(_xlfn.XLOOKUP(S53:AL53,增益!$A:$A,增益!$I:$I,0)))/200,($F$11-$I$4+VLOOKUP($R53,武学奇术!$A:$ZZ,9,FALSE)+SUM(_xlfn.XLOOKUP(S53:AL53,增益!$A:$A,增益!$I:$I,0)))/100)</f>
        <v>-0.3</v>
      </c>
      <c r="BB53" s="29" cm="1">
        <f t="array" ref="BB53">$G$11+VLOOKUP($R53,武学奇术!$A:$ZZ,10,FALSE)+SUM(_xlfn.XLOOKUP(S53:AL53,增益!$A:$A,增益!$J:$J,0))</f>
        <v>0</v>
      </c>
      <c r="BC53">
        <f t="shared" si="3"/>
        <v>0</v>
      </c>
      <c r="BD53">
        <f t="shared" si="4"/>
        <v>0</v>
      </c>
      <c r="BE53" s="29" cm="1">
        <f t="array" ref="BE53">IF($F$12-$I$4+VLOOKUP($R53,武学奇术!$A:$ZZ,11,FALSE)+SUM(_xlfn.XLOOKUP(S53:AL53,增益!$A:$A,增益!$K:$K,0))&gt;0,($F$12-$I$4+VLOOKUP($R53,武学奇术!$A:$ZZ,11,FALSE)+SUM(_xlfn.XLOOKUP(S53:AL53,增益!$A:$A,增益!$K:$K,0)))/200,($F$12-$I$4+VLOOKUP($R53,武学奇术!$A:$ZZ,11,FALSE)+SUM(_xlfn.XLOOKUP(S53:AL53,增益!$A:$A,增益!$K:$K,0)))/100)</f>
        <v>-0.3</v>
      </c>
      <c r="BF53" s="29" cm="1">
        <f t="array" ref="BF53">$G$12+VLOOKUP($R53,武学奇术!$A:$ZZ,12,FALSE)+SUM(_xlfn.XLOOKUP(S53:AL53,增益!$A:$A,增益!$L:$L,0))</f>
        <v>0</v>
      </c>
      <c r="BG53">
        <f t="shared" si="5"/>
        <v>0</v>
      </c>
      <c r="BH53">
        <f t="shared" si="6"/>
        <v>0</v>
      </c>
      <c r="BI53" s="29" cm="1">
        <f t="array" ref="BI53">IF($F$13-$I$4+VLOOKUP($R53,武学奇术!$A:$ZZ,13,FALSE)+SUM(_xlfn.XLOOKUP(S53:AL53,增益!$A:$A,增益!$M:$M,0))&gt;0,($F$13-$I$4+VLOOKUP($R53,武学奇术!$A:$ZZ,13,FALSE)+SUM(_xlfn.XLOOKUP(S53:AL53,增益!$A:$A,增益!$K:$K,0)))/200,($F$13-$I$4+VLOOKUP($R53,武学奇术!$A:$ZZ,13,FALSE)+SUM(_xlfn.XLOOKUP(S53:AL53,增益!$A:$A,增益!$M:$M,0)))/100)</f>
        <v>-0.3</v>
      </c>
      <c r="BJ53" s="29" cm="1">
        <f t="array" ref="BJ53">$G$13+VLOOKUP($R53,武学奇术!$A:$ZZ,14,FALSE)+SUM(_xlfn.XLOOKUP(S53:AL53,增益!$A:$A,增益!$N:$N,0))</f>
        <v>0</v>
      </c>
      <c r="BK53">
        <f t="shared" si="7"/>
        <v>618.2</v>
      </c>
      <c r="BL53">
        <f t="shared" si="8"/>
        <v>1805</v>
      </c>
      <c r="BM53" s="29" cm="1">
        <f t="array" ref="BM53">IF($F$14-$I$4+VLOOKUP($R53,武学奇术!$A:$ZZ,15,FALSE)+SUM(_xlfn.XLOOKUP(S53:AL53,增益!$A:$A,增益!$O:$O,0))&gt;0,($F$14-$I$4+VLOOKUP($R53,武学奇术!$A:$ZZ,15,FALSE)+SUM(_xlfn.XLOOKUP(S53:AL53,增益!$A:$A,增益!$O:$O,0)))/200,($F$14-$I$4+VLOOKUP($R53,武学奇术!$A:$ZZ,15,FALSE)+SUM(_xlfn.XLOOKUP(S53:AL53,增益!$A:$A,增益!$O:$O,0)))/100)</f>
        <v>0.05</v>
      </c>
      <c r="BN53" s="29" cm="1">
        <f t="array" ref="BN53">$G$14+VLOOKUP($R53,武学奇术!$A:$ZZ,16,FALSE)+SUM(_xlfn.XLOOKUP(S53:AL53,增益!$A:$A,增益!$P:$P,0))</f>
        <v>0.42</v>
      </c>
      <c r="BO53" s="23">
        <f>MIN(IF(VLOOKUP($R53,武学奇术!$A:$ZZ,23,FALSE)=1,100%,$B$8),100%)</f>
        <v>0.9943</v>
      </c>
      <c r="BP53" s="23" cm="1">
        <f t="array" ref="BP53">IF(VLOOKUP($R53,武学奇术!$A:$ZZ,23,FALSE)=1,100%,MIN(80%,$B$9+VLOOKUP($R53,武学奇术!$A:$ZZ,17,FALSE)+SUM(_xlfn.XLOOKUP(S53:AL53,增益!$A:$A,增益!$Q:$Q,0)))+$B$11+SUM(_xlfn.XLOOKUP(S53:AL53,增益!$A:$A,增益!$U:$U,0)))*IF(VLOOKUP($R53,武学奇术!$A:$ZZ,24,FALSE)=1,0,1)</f>
        <v>0.8</v>
      </c>
      <c r="BQ53" s="23" cm="1">
        <f t="array" ref="BQ53">1+$B$13+VLOOKUP($R53,武学奇术!$A:$ZZ,18,FALSE)+SUM(_xlfn.XLOOKUP(S53:AL53,增益!$A:$A,增益!$R:$R,0))</f>
        <v>1.864</v>
      </c>
      <c r="BR53" s="23" cm="1">
        <f t="array" ref="BR53">IF(VLOOKUP($R53,武学奇术!$A:$ZZ,24,FALSE)=1,100%,MIN(40%,$B$10+VLOOKUP($R53,武学奇术!$A:$ZZ,19,FALSE)+SUM(_xlfn.XLOOKUP(S53:AL53,增益!$A:$A,增益!$S:$S,0)))+$B$12+SUM(_xlfn.XLOOKUP(S53:AL53,增益!$A:$A,增益!$V:$V,0)))*IF(VLOOKUP($R53,武学奇术!$A:$ZZ,23,FALSE)=1,0,1)</f>
        <v>0.0913</v>
      </c>
      <c r="BS53" s="23" cm="1">
        <f t="array" ref="BS53">1+$B$14+VLOOKUP($R53,武学奇术!$A:$ZZ,20,FALSE)+SUM(_xlfn.XLOOKUP(S53:AL53,增益!$A:$A,增益!$T:$T,0))</f>
        <v>1.35</v>
      </c>
      <c r="BT53" s="23">
        <f t="shared" si="9"/>
        <v>0.79544</v>
      </c>
      <c r="BU53" s="23">
        <f t="shared" si="10"/>
        <v>0.10808041</v>
      </c>
      <c r="BV53" s="23">
        <f>IF(VLOOKUP($R53,武学奇术!$A:$ZZ,22,FALSE)=1,0,(1-$BO53))*(1-$BR53)</f>
        <v>0.00517959000000003</v>
      </c>
      <c r="BW53" s="23" cm="1">
        <f t="array" ref="BW53">SUM(_xlfn.XLOOKUP(S53:AL53,增益!$A:$A,增益!$W:$W,0))+$I$5</f>
        <v>0.11</v>
      </c>
      <c r="BX53" s="23">
        <f>VLOOKUP($R53,武学奇术!$A:$ZZ,32,FALSE)</f>
        <v>0</v>
      </c>
      <c r="BY53" s="23" cm="1">
        <f t="array" ref="BY53">SUM(_xlfn.XLOOKUP($S53:$AL53,增益!$A:$A,增益!$X:$X,0))</f>
        <v>0</v>
      </c>
    </row>
    <row r="54" spans="2:77">
      <c r="K54" s="35">
        <f>$L54*VLOOKUP($R54,武学奇术!$A:$ZZ,31,FALSE)</f>
        <v>32428.8516133559</v>
      </c>
      <c r="L54" s="58">
        <f t="shared" si="11"/>
        <v>28954.3317976392</v>
      </c>
      <c r="M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轻击",$B$21,0))*(1+IF(VLOOKUP($R54,武学奇术!$A:$ZZ,30,FALSE)="老鼠",$B$22,0))*(1+$BW54)*(1+$BX54)</f>
        <v>30431.8401527897</v>
      </c>
      <c r="N54" s="35">
        <f>(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轻击",$B$21,0))*(1+IF(VLOOKUP($R54,武学奇术!$A:$ZZ,30,FALSE)="老鼠",$B$22,0))*(1+$BW54))*(1+$BX54)</f>
        <v>19482.9612960296</v>
      </c>
      <c r="O54" s="35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轻击",$B$21,0))*(1+IF(VLOOKUP($R54,武学奇术!$A:$ZZ,30,FALSE)="老鼠",$B$22,0))*(1+$BW54)*(1+$BX54)</f>
        <v>12873.0288294373</v>
      </c>
      <c r="P54" s="35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轻击",$B$21,0))*(1+IF(VLOOKUP($R54,武学奇术!$A:$ZZ,30,FALSE)="老鼠",$B$22,0))*(1+$BW54)*(1+$BX54)</f>
        <v>11314.2344766304</v>
      </c>
      <c r="Q54" s="36">
        <v>1</v>
      </c>
      <c r="R54" s="37" t="s">
        <v>139</v>
      </c>
      <c r="S54" s="37" t="s">
        <v>91</v>
      </c>
      <c r="T54" s="37" t="s">
        <v>180</v>
      </c>
      <c r="U54" s="37" t="s">
        <v>112</v>
      </c>
      <c r="V54" s="37" t="s">
        <v>113</v>
      </c>
      <c r="W54" s="37" t="s">
        <v>82</v>
      </c>
      <c r="X54" s="37" t="s">
        <v>81</v>
      </c>
      <c r="Y54" s="37" t="s">
        <v>109</v>
      </c>
      <c r="Z54" s="37" t="s">
        <v>83</v>
      </c>
      <c r="AA54" s="37" t="s">
        <v>81</v>
      </c>
      <c r="AB54" s="37" t="s">
        <v>81</v>
      </c>
      <c r="AC54" s="37" t="s">
        <v>81</v>
      </c>
      <c r="AD54" s="37" t="s">
        <v>85</v>
      </c>
      <c r="AE54" s="37" t="s">
        <v>86</v>
      </c>
      <c r="AF54" s="37" t="s">
        <v>181</v>
      </c>
      <c r="AG54" s="37" t="s">
        <v>87</v>
      </c>
      <c r="AH54" s="37" t="s">
        <v>81</v>
      </c>
      <c r="AI54" s="37" t="s">
        <v>81</v>
      </c>
      <c r="AJ54" s="37" t="s">
        <v>81</v>
      </c>
      <c r="AK54" s="37" t="s">
        <v>81</v>
      </c>
      <c r="AL54" s="37" t="s">
        <v>81</v>
      </c>
      <c r="AM54" t="str">
        <f>VLOOKUP($R54,武学奇术!$A:$ZZ,25,FALSE)</f>
        <v>双刀</v>
      </c>
      <c r="AN54" s="23">
        <f>VLOOKUP($R54,武学奇术!$A:$ZZ,26,FALSE)</f>
        <v>0.6472</v>
      </c>
      <c r="AO54" s="24">
        <f>VLOOKUP($R54,武学奇术!$A:$ZZ,27,FALSE)*(1+IF(OR($AM54=$F$4,$AM54=$F$5),$B$23,0))</f>
        <v>288</v>
      </c>
      <c r="AP54" s="23">
        <f>VLOOKUP($R54,武学奇术!$A:$ZZ,28,FALSE)</f>
        <v>0.9708</v>
      </c>
      <c r="AQ54" s="24">
        <f>VLOOKUP($R54,武学奇术!$A:$ZZ,29,FALSE)*(1+IF(OR($AM54=$F$4,$AM54=$F$5),$B$23,0))</f>
        <v>156.8</v>
      </c>
      <c r="AR54" s="23" cm="1">
        <f t="array" ref="AR54">$G$3+IFERROR(VLOOKUP($AM54,$F$4:$G$7,2,FALSE),0)+VLOOKUP($R54,武学奇术!$A:$ZZ,2,FALSE)+SUM(_xlfn.XLOOKUP($S54:$AL54,增益!$A:$A,增益!$B:$B,0))</f>
        <v>0.7443</v>
      </c>
      <c r="AS54" s="23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4081.7</v>
      </c>
      <c r="AU54" cm="1">
        <f t="array" ref="AU54">$E$10*(1+$AS54)+VLOOKUP($R54,武学奇术!$A:$ZZ,4,FALSE)+SUM(_xlfn.XLOOKUP($S54:$AL54,增益!$A:$A,增益!$D:$D,0))-$I$2</f>
        <v>4081.7</v>
      </c>
      <c r="AV54" s="29" cm="1">
        <f t="array" ref="AV54">IF($F$10-$I$3+VLOOKUP($R54,武学奇术!$A:$ZZ,6,FALSE)+SUM(_xlfn.XLOOKUP(S54:AL54,增益!$A:$A,增益!$F:$F,0))&gt;0,($F$10-$I$3+VLOOKUP($R54,武学奇术!$A:$ZZ,6,FALSE)+SUM(_xlfn.XLOOKUP(S54:AL54,增益!$A:$A,增益!$F:$F,0)))/200,($F$10-$I$3+VLOOKUP($R54,武学奇术!$A:$ZZ,6,FALSE)+SUM(_xlfn.XLOOKUP(S54:AL54,增益!$A:$A,增益!$F:$F,0)))/100)</f>
        <v>0.3689</v>
      </c>
      <c r="AW54" s="29" cm="1">
        <f t="array" ref="AW54">$G$10+VLOOKUP($R54,武学奇术!$A:$ZZ,7,FALSE)+SUM(_xlfn.XLOOKUP(S54:AL54,增益!$A:$A,增益!$G:$G,0))</f>
        <v>0.06</v>
      </c>
      <c r="AX54" s="23" cm="1">
        <f t="array" ref="AX54">VLOOKUP($R54,武学奇术!$A:$ZZ,8,FALSE)+SUM(_xlfn.XLOOKUP(S54:AL54,增益!$A:$A,增益!$H:$H,0))</f>
        <v>0</v>
      </c>
      <c r="AY54">
        <f t="shared" si="1"/>
        <v>0</v>
      </c>
      <c r="AZ54">
        <f t="shared" si="2"/>
        <v>0</v>
      </c>
      <c r="BA54" s="29" cm="1">
        <f t="array" ref="BA54">IF($F$11-$I$4+VLOOKUP($R54,武学奇术!$A:$ZZ,9,FALSE)+SUM(_xlfn.XLOOKUP(S54:AL54,增益!$A:$A,增益!$I:$I,0))&gt;0,($F$11-$I$4+VLOOKUP($R54,武学奇术!$A:$ZZ,9,FALSE)+SUM(_xlfn.XLOOKUP(S54:AL54,增益!$A:$A,增益!$I:$I,0)))/200,($F$11-$I$4+VLOOKUP($R54,武学奇术!$A:$ZZ,9,FALSE)+SUM(_xlfn.XLOOKUP(S54:AL54,增益!$A:$A,增益!$I:$I,0)))/100)</f>
        <v>-0.3</v>
      </c>
      <c r="BB54" s="29" cm="1">
        <f t="array" ref="BB54">$G$11+VLOOKUP($R54,武学奇术!$A:$ZZ,10,FALSE)+SUM(_xlfn.XLOOKUP(S54:AL54,增益!$A:$A,增益!$J:$J,0))</f>
        <v>0</v>
      </c>
      <c r="BC54">
        <f t="shared" si="3"/>
        <v>0</v>
      </c>
      <c r="BD54">
        <f t="shared" si="4"/>
        <v>0</v>
      </c>
      <c r="BE54" s="29" cm="1">
        <f t="array" ref="BE54">IF($F$12-$I$4+VLOOKUP($R54,武学奇术!$A:$ZZ,11,FALSE)+SUM(_xlfn.XLOOKUP(S54:AL54,增益!$A:$A,增益!$K:$K,0))&gt;0,($F$12-$I$4+VLOOKUP($R54,武学奇术!$A:$ZZ,11,FALSE)+SUM(_xlfn.XLOOKUP(S54:AL54,增益!$A:$A,增益!$K:$K,0)))/200,($F$12-$I$4+VLOOKUP($R54,武学奇术!$A:$ZZ,11,FALSE)+SUM(_xlfn.XLOOKUP(S54:AL54,增益!$A:$A,增益!$K:$K,0)))/100)</f>
        <v>-0.3</v>
      </c>
      <c r="BF54" s="29" cm="1">
        <f t="array" ref="BF54">$G$12+VLOOKUP($R54,武学奇术!$A:$ZZ,12,FALSE)+SUM(_xlfn.XLOOKUP(S54:AL54,增益!$A:$A,增益!$L:$L,0))</f>
        <v>0</v>
      </c>
      <c r="BG54">
        <f t="shared" si="5"/>
        <v>0</v>
      </c>
      <c r="BH54">
        <f t="shared" si="6"/>
        <v>0</v>
      </c>
      <c r="BI54" s="29" cm="1">
        <f t="array" ref="BI54">IF($F$13-$I$4+VLOOKUP($R54,武学奇术!$A:$ZZ,13,FALSE)+SUM(_xlfn.XLOOKUP(S54:AL54,增益!$A:$A,增益!$M:$M,0))&gt;0,($F$13-$I$4+VLOOKUP($R54,武学奇术!$A:$ZZ,13,FALSE)+SUM(_xlfn.XLOOKUP(S54:AL54,增益!$A:$A,增益!$K:$K,0)))/200,($F$13-$I$4+VLOOKUP($R54,武学奇术!$A:$ZZ,13,FALSE)+SUM(_xlfn.XLOOKUP(S54:AL54,增益!$A:$A,增益!$M:$M,0)))/100)</f>
        <v>-0.3</v>
      </c>
      <c r="BJ54" s="29" cm="1">
        <f t="array" ref="BJ54">$G$13+VLOOKUP($R54,武学奇术!$A:$ZZ,14,FALSE)+SUM(_xlfn.XLOOKUP(S54:AL54,增益!$A:$A,增益!$N:$N,0))</f>
        <v>0</v>
      </c>
      <c r="BK54">
        <f t="shared" si="7"/>
        <v>618.2</v>
      </c>
      <c r="BL54">
        <f t="shared" si="8"/>
        <v>1805</v>
      </c>
      <c r="BM54" s="29" cm="1">
        <f t="array" ref="BM54">IF($F$14-$I$4+VLOOKUP($R54,武学奇术!$A:$ZZ,15,FALSE)+SUM(_xlfn.XLOOKUP(S54:AL54,增益!$A:$A,增益!$O:$O,0))&gt;0,($F$14-$I$4+VLOOKUP($R54,武学奇术!$A:$ZZ,15,FALSE)+SUM(_xlfn.XLOOKUP(S54:AL54,增益!$A:$A,增益!$O:$O,0)))/200,($F$14-$I$4+VLOOKUP($R54,武学奇术!$A:$ZZ,15,FALSE)+SUM(_xlfn.XLOOKUP(S54:AL54,增益!$A:$A,增益!$O:$O,0)))/100)</f>
        <v>0.05</v>
      </c>
      <c r="BN54" s="29" cm="1">
        <f t="array" ref="BN54">$G$14+VLOOKUP($R54,武学奇术!$A:$ZZ,16,FALSE)+SUM(_xlfn.XLOOKUP(S54:AL54,增益!$A:$A,增益!$P:$P,0))</f>
        <v>0.21</v>
      </c>
      <c r="BO54" s="23">
        <f>MIN(IF(VLOOKUP($R54,武学奇术!$A:$ZZ,23,FALSE)=1,100%,$B$8),100%)</f>
        <v>0.9943</v>
      </c>
      <c r="BP54" s="23" cm="1">
        <f t="array" ref="BP54">IF(VLOOKUP($R54,武学奇术!$A:$ZZ,23,FALSE)=1,100%,MIN(80%,$B$9+VLOOKUP($R54,武学奇术!$A:$ZZ,17,FALSE)+SUM(_xlfn.XLOOKUP(S54:AL54,增益!$A:$A,增益!$Q:$Q,0)))+$B$11+SUM(_xlfn.XLOOKUP(S54:AL54,增益!$A:$A,增益!$U:$U,0)))*IF(VLOOKUP($R54,武学奇术!$A:$ZZ,24,FALSE)=1,0,1)</f>
        <v>0.887</v>
      </c>
      <c r="BQ54" s="23" cm="1">
        <f t="array" ref="BQ54">1+$B$13+VLOOKUP($R54,武学奇术!$A:$ZZ,18,FALSE)+SUM(_xlfn.XLOOKUP(S54:AL54,增益!$A:$A,增益!$R:$R,0))</f>
        <v>2.364</v>
      </c>
      <c r="BR54" s="23" cm="1">
        <f t="array" ref="BR54">IF(VLOOKUP($R54,武学奇术!$A:$ZZ,24,FALSE)=1,100%,MIN(40%,$B$10+VLOOKUP($R54,武学奇术!$A:$ZZ,19,FALSE)+SUM(_xlfn.XLOOKUP(S54:AL54,增益!$A:$A,增益!$S:$S,0)))+$B$12+SUM(_xlfn.XLOOKUP(S54:AL54,增益!$A:$A,增益!$V:$V,0)))*IF(VLOOKUP($R54,武学奇术!$A:$ZZ,23,FALSE)=1,0,1)</f>
        <v>0.0913</v>
      </c>
      <c r="BS54" s="23" cm="1">
        <f t="array" ref="BS54">1+$B$14+VLOOKUP($R54,武学奇术!$A:$ZZ,20,FALSE)+SUM(_xlfn.XLOOKUP(S54:AL54,增益!$A:$A,增益!$T:$T,0))</f>
        <v>1.35</v>
      </c>
      <c r="BT54" s="23">
        <f t="shared" si="9"/>
        <v>0.8819441</v>
      </c>
      <c r="BU54" s="23">
        <f t="shared" si="10"/>
        <v>0.0215763099999999</v>
      </c>
      <c r="BV54" s="23">
        <f>IF(VLOOKUP($R54,武学奇术!$A:$ZZ,22,FALSE)=1,0,(1-$BO54))*(1-$BR54)</f>
        <v>0.00517959000000003</v>
      </c>
      <c r="BW54" s="23" cm="1">
        <f t="array" ref="BW54">SUM(_xlfn.XLOOKUP(S54:AL54,增益!$A:$A,增益!$W:$W,0))+$I$5</f>
        <v>0.11</v>
      </c>
      <c r="BX54" s="23">
        <f>VLOOKUP($R54,武学奇术!$A:$ZZ,32,FALSE)</f>
        <v>0.1</v>
      </c>
      <c r="BY54" s="23" cm="1">
        <f t="array" ref="BY54">SUM(_xlfn.XLOOKUP($S54:$AL54,增益!$A:$A,增益!$X:$X,0))</f>
        <v>0</v>
      </c>
    </row>
    <row r="55" spans="2:77">
      <c r="K55" s="35">
        <f>$L55*VLOOKUP($R55,武学奇术!$A:$ZZ,31,FALSE)</f>
        <v>91108.7947251619</v>
      </c>
      <c r="L55" s="69">
        <f t="shared" si="11"/>
        <v>89322.3477697666</v>
      </c>
      <c r="M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轻击",$B$21,0))*(1+IF(VLOOKUP($R55,武学奇术!$A:$ZZ,30,FALSE)="老鼠",$B$22,0))*(1+$BW55)*(1+$BX55)</f>
        <v>93839.3320698094</v>
      </c>
      <c r="N55" s="35">
        <f>(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轻击",$B$21,0))*(1+IF(VLOOKUP($R55,武学奇术!$A:$ZZ,30,FALSE)="老鼠",$B$22,0))*(1+$BW55))*(1+$BX55)</f>
        <v>60584.9579881269</v>
      </c>
      <c r="O55" s="35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轻击",$B$21,0))*(1+IF(VLOOKUP($R55,武学奇术!$A:$ZZ,30,FALSE)="老鼠",$B$22,0))*(1+$BW55)*(1+$BX55)</f>
        <v>39527.941057207</v>
      </c>
      <c r="P55" s="35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轻击",$B$21,0))*(1+IF(VLOOKUP($R55,武学奇术!$A:$ZZ,30,FALSE)="老鼠",$B$22,0))*(1+$BW55)*(1+$BX55)</f>
        <v>34178.1354565422</v>
      </c>
      <c r="Q55" s="70">
        <v>3</v>
      </c>
      <c r="R55" s="37" t="s">
        <v>106</v>
      </c>
      <c r="S55" s="37" t="s">
        <v>91</v>
      </c>
      <c r="T55" s="37" t="s">
        <v>182</v>
      </c>
      <c r="U55" s="37" t="s">
        <v>112</v>
      </c>
      <c r="V55" s="37" t="s">
        <v>113</v>
      </c>
      <c r="W55" s="37" t="s">
        <v>82</v>
      </c>
      <c r="X55" s="37" t="s">
        <v>81</v>
      </c>
      <c r="Y55" s="37" t="s">
        <v>109</v>
      </c>
      <c r="Z55" s="37" t="s">
        <v>83</v>
      </c>
      <c r="AA55" s="37" t="s">
        <v>81</v>
      </c>
      <c r="AB55" s="37" t="s">
        <v>81</v>
      </c>
      <c r="AC55" s="37" t="s">
        <v>81</v>
      </c>
      <c r="AD55" s="37" t="s">
        <v>85</v>
      </c>
      <c r="AE55" s="37" t="s">
        <v>86</v>
      </c>
      <c r="AF55" s="37" t="s">
        <v>81</v>
      </c>
      <c r="AG55" s="37" t="s">
        <v>87</v>
      </c>
      <c r="AH55" s="37" t="s">
        <v>81</v>
      </c>
      <c r="AI55" s="37" t="s">
        <v>81</v>
      </c>
      <c r="AJ55" s="37" t="s">
        <v>81</v>
      </c>
      <c r="AK55" s="37" t="s">
        <v>81</v>
      </c>
      <c r="AL55" s="37" t="s">
        <v>81</v>
      </c>
      <c r="AM55" t="str">
        <f>VLOOKUP($R55,武学奇术!$A:$ZZ,25,FALSE)</f>
        <v>绳镖</v>
      </c>
      <c r="AN55" s="23">
        <f>VLOOKUP($R55,武学奇术!$A:$ZZ,26,FALSE)</f>
        <v>0.3675</v>
      </c>
      <c r="AO55" s="24">
        <f>VLOOKUP($R55,武学奇术!$A:$ZZ,27,FALSE)*(1+IF(OR($AM55=$F$4,$AM55=$F$5),$B$23,0))</f>
        <v>0</v>
      </c>
      <c r="AP55" s="23">
        <f>VLOOKUP($R55,武学奇术!$A:$ZZ,28,FALSE)</f>
        <v>0.55125</v>
      </c>
      <c r="AQ55" s="24">
        <f>VLOOKUP($R55,武学奇术!$A:$ZZ,29,FALSE)*(1+IF(OR($AM55=$F$4,$AM55=$F$5),$B$23,0))</f>
        <v>0</v>
      </c>
      <c r="AR55" s="23" cm="1">
        <f t="array" ref="AR55">$G$3+IFERROR(VLOOKUP($AM55,$F$4:$G$7,2,FALSE),0)+VLOOKUP($R55,武学奇术!$A:$ZZ,2,FALSE)+SUM(_xlfn.XLOOKUP($S55:$AL55,增益!$A:$A,增益!$B:$B,0))</f>
        <v>1.4943</v>
      </c>
      <c r="AS55" s="23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4081.7</v>
      </c>
      <c r="AU55" cm="1">
        <f t="array" ref="AU55">$E$10*(1+$AS55)+VLOOKUP($R55,武学奇术!$A:$ZZ,4,FALSE)+SUM(_xlfn.XLOOKUP($S55:$AL55,增益!$A:$A,增益!$D:$D,0))-$I$2</f>
        <v>4081.7</v>
      </c>
      <c r="AV55" s="29" cm="1">
        <f t="array" ref="AV55">IF($F$10-$I$3+VLOOKUP($R55,武学奇术!$A:$ZZ,6,FALSE)+SUM(_xlfn.XLOOKUP(S55:AL55,增益!$A:$A,增益!$F:$F,0))&gt;0,($F$10-$I$3+VLOOKUP($R55,武学奇术!$A:$ZZ,6,FALSE)+SUM(_xlfn.XLOOKUP(S55:AL55,增益!$A:$A,增益!$F:$F,0)))/200,($F$10-$I$3+VLOOKUP($R55,武学奇术!$A:$ZZ,6,FALSE)+SUM(_xlfn.XLOOKUP(S55:AL55,增益!$A:$A,增益!$F:$F,0)))/100)</f>
        <v>0.3689</v>
      </c>
      <c r="AW55" s="29" cm="1">
        <f t="array" ref="AW55">$G$10+VLOOKUP($R55,武学奇术!$A:$ZZ,7,FALSE)+SUM(_xlfn.XLOOKUP(S55:AL55,增益!$A:$A,增益!$G:$G,0))</f>
        <v>0.27</v>
      </c>
      <c r="AX55" s="23" cm="1">
        <f t="array" ref="AX55">VLOOKUP($R55,武学奇术!$A:$ZZ,8,FALSE)+SUM(_xlfn.XLOOKUP(S55:AL55,增益!$A:$A,增益!$H:$H,0))</f>
        <v>0</v>
      </c>
      <c r="AY55">
        <f t="shared" si="1"/>
        <v>0</v>
      </c>
      <c r="AZ55">
        <f t="shared" si="2"/>
        <v>0</v>
      </c>
      <c r="BA55" s="29" cm="1">
        <f t="array" ref="BA55">IF($F$11-$I$4+VLOOKUP($R55,武学奇术!$A:$ZZ,9,FALSE)+SUM(_xlfn.XLOOKUP(S55:AL55,增益!$A:$A,增益!$I:$I,0))&gt;0,($F$11-$I$4+VLOOKUP($R55,武学奇术!$A:$ZZ,9,FALSE)+SUM(_xlfn.XLOOKUP(S55:AL55,增益!$A:$A,增益!$I:$I,0)))/200,($F$11-$I$4+VLOOKUP($R55,武学奇术!$A:$ZZ,9,FALSE)+SUM(_xlfn.XLOOKUP(S55:AL55,增益!$A:$A,增益!$I:$I,0)))/100)</f>
        <v>-0.3</v>
      </c>
      <c r="BB55" s="29" cm="1">
        <f t="array" ref="BB55">$G$11+VLOOKUP($R55,武学奇术!$A:$ZZ,10,FALSE)+SUM(_xlfn.XLOOKUP(S55:AL55,增益!$A:$A,增益!$J:$J,0))</f>
        <v>0</v>
      </c>
      <c r="BC55">
        <f t="shared" si="3"/>
        <v>0</v>
      </c>
      <c r="BD55">
        <f t="shared" si="4"/>
        <v>0</v>
      </c>
      <c r="BE55" s="29" cm="1">
        <f t="array" ref="BE55">IF($F$12-$I$4+VLOOKUP($R55,武学奇术!$A:$ZZ,11,FALSE)+SUM(_xlfn.XLOOKUP(S55:AL55,增益!$A:$A,增益!$K:$K,0))&gt;0,($F$12-$I$4+VLOOKUP($R55,武学奇术!$A:$ZZ,11,FALSE)+SUM(_xlfn.XLOOKUP(S55:AL55,增益!$A:$A,增益!$K:$K,0)))/200,($F$12-$I$4+VLOOKUP($R55,武学奇术!$A:$ZZ,11,FALSE)+SUM(_xlfn.XLOOKUP(S55:AL55,增益!$A:$A,增益!$K:$K,0)))/100)</f>
        <v>-0.3</v>
      </c>
      <c r="BF55" s="29" cm="1">
        <f t="array" ref="BF55">$G$12+VLOOKUP($R55,武学奇术!$A:$ZZ,12,FALSE)+SUM(_xlfn.XLOOKUP(S55:AL55,增益!$A:$A,增益!$L:$L,0))</f>
        <v>0</v>
      </c>
      <c r="BG55">
        <f t="shared" si="5"/>
        <v>0</v>
      </c>
      <c r="BH55">
        <f t="shared" si="6"/>
        <v>0</v>
      </c>
      <c r="BI55" s="29" cm="1">
        <f t="array" ref="BI55">IF($F$13-$I$4+VLOOKUP($R55,武学奇术!$A:$ZZ,13,FALSE)+SUM(_xlfn.XLOOKUP(S55:AL55,增益!$A:$A,增益!$M:$M,0))&gt;0,($F$13-$I$4+VLOOKUP($R55,武学奇术!$A:$ZZ,13,FALSE)+SUM(_xlfn.XLOOKUP(S55:AL55,增益!$A:$A,增益!$K:$K,0)))/200,($F$13-$I$4+VLOOKUP($R55,武学奇术!$A:$ZZ,13,FALSE)+SUM(_xlfn.XLOOKUP(S55:AL55,增益!$A:$A,增益!$M:$M,0)))/100)</f>
        <v>-0.3</v>
      </c>
      <c r="BJ55" s="29" cm="1">
        <f t="array" ref="BJ55">$G$13+VLOOKUP($R55,武学奇术!$A:$ZZ,14,FALSE)+SUM(_xlfn.XLOOKUP(S55:AL55,增益!$A:$A,增益!$N:$N,0))</f>
        <v>0</v>
      </c>
      <c r="BK55">
        <f t="shared" si="7"/>
        <v>618.2</v>
      </c>
      <c r="BL55">
        <f t="shared" si="8"/>
        <v>1805</v>
      </c>
      <c r="BM55" s="29" cm="1">
        <f t="array" ref="BM55">IF($F$14-$I$4+VLOOKUP($R55,武学奇术!$A:$ZZ,15,FALSE)+SUM(_xlfn.XLOOKUP(S55:AL55,增益!$A:$A,增益!$O:$O,0))&gt;0,($F$14-$I$4+VLOOKUP($R55,武学奇术!$A:$ZZ,15,FALSE)+SUM(_xlfn.XLOOKUP(S55:AL55,增益!$A:$A,增益!$O:$O,0)))/200,($F$14-$I$4+VLOOKUP($R55,武学奇术!$A:$ZZ,15,FALSE)+SUM(_xlfn.XLOOKUP(S55:AL55,增益!$A:$A,增益!$O:$O,0)))/100)</f>
        <v>0.05</v>
      </c>
      <c r="BN55" s="29" cm="1">
        <f t="array" ref="BN55">$G$14+VLOOKUP($R55,武学奇术!$A:$ZZ,16,FALSE)+SUM(_xlfn.XLOOKUP(S55:AL55,增益!$A:$A,增益!$P:$P,0))</f>
        <v>0.42</v>
      </c>
      <c r="BO55" s="23">
        <f>MIN(IF(VLOOKUP($R55,武学奇术!$A:$ZZ,23,FALSE)=1,100%,$B$8),100%)</f>
        <v>0.9943</v>
      </c>
      <c r="BP55" s="23" cm="1">
        <f t="array" ref="BP55">IF(VLOOKUP($R55,武学奇术!$A:$ZZ,23,FALSE)=1,100%,MIN(80%,$B$9+VLOOKUP($R55,武学奇术!$A:$ZZ,17,FALSE)+SUM(_xlfn.XLOOKUP(S55:AL55,增益!$A:$A,增益!$Q:$Q,0)))+$B$11+SUM(_xlfn.XLOOKUP(S55:AL55,增益!$A:$A,增益!$U:$U,0)))*IF(VLOOKUP($R55,武学奇术!$A:$ZZ,24,FALSE)=1,0,1)</f>
        <v>0.887</v>
      </c>
      <c r="BQ55" s="23" cm="1">
        <f t="array" ref="BQ55">1+$B$13+VLOOKUP($R55,武学奇术!$A:$ZZ,18,FALSE)+SUM(_xlfn.XLOOKUP(S55:AL55,增益!$A:$A,增益!$R:$R,0))</f>
        <v>2.374</v>
      </c>
      <c r="BR55" s="23" cm="1">
        <f t="array" ref="BR55">IF(VLOOKUP($R55,武学奇术!$A:$ZZ,24,FALSE)=1,100%,MIN(40%,$B$10+VLOOKUP($R55,武学奇术!$A:$ZZ,19,FALSE)+SUM(_xlfn.XLOOKUP(S55:AL55,增益!$A:$A,增益!$S:$S,0)))+$B$12+SUM(_xlfn.XLOOKUP(S55:AL55,增益!$A:$A,增益!$V:$V,0)))*IF(VLOOKUP($R55,武学奇术!$A:$ZZ,23,FALSE)=1,0,1)</f>
        <v>0.0913</v>
      </c>
      <c r="BS55" s="23" cm="1">
        <f t="array" ref="BS55">1+$B$14+VLOOKUP($R55,武学奇术!$A:$ZZ,20,FALSE)+SUM(_xlfn.XLOOKUP(S55:AL55,增益!$A:$A,增益!$T:$T,0))</f>
        <v>1.35</v>
      </c>
      <c r="BT55" s="23">
        <f t="shared" si="9"/>
        <v>0.8819441</v>
      </c>
      <c r="BU55" s="23">
        <f t="shared" si="10"/>
        <v>0.0215763099999999</v>
      </c>
      <c r="BV55" s="23">
        <f>IF(VLOOKUP($R55,武学奇术!$A:$ZZ,22,FALSE)=1,0,(1-$BO55))*(1-$BR55)</f>
        <v>0.00517959000000003</v>
      </c>
      <c r="BW55" s="23" cm="1">
        <f t="array" ref="BW55">SUM(_xlfn.XLOOKUP(S55:AL55,增益!$A:$A,增益!$W:$W,0))+$I$5</f>
        <v>0.11</v>
      </c>
      <c r="BX55" s="23">
        <f>VLOOKUP($R55,武学奇术!$A:$ZZ,32,FALSE)</f>
        <v>0</v>
      </c>
      <c r="BY55" s="23" cm="1">
        <f t="array" ref="BY55">SUM(_xlfn.XLOOKUP($S55:$AL55,增益!$A:$A,增益!$X:$X,0))</f>
        <v>0</v>
      </c>
    </row>
    <row r="56" spans="2:77">
      <c r="K56" s="35">
        <f>$L56*VLOOKUP($R56,武学奇术!$A:$ZZ,31,FALSE)</f>
        <v>45317.4225352081</v>
      </c>
      <c r="L56" s="58">
        <f t="shared" si="11"/>
        <v>40461.9844064358</v>
      </c>
      <c r="M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轻击",$B$21,0))*(1+IF(VLOOKUP($R56,武学奇术!$A:$ZZ,30,FALSE)="老鼠",$B$22,0))*(1+$BW56)*(1+$BX56)</f>
        <v>42539.7131739544</v>
      </c>
      <c r="N56" s="35">
        <f>(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轻击",$B$21,0))*(1+IF(VLOOKUP($R56,武学奇术!$A:$ZZ,30,FALSE)="老鼠",$B$22,0))*(1+$BW56))*(1+$BX56)</f>
        <v>27120.9080744639</v>
      </c>
      <c r="O56" s="35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轻击",$B$21,0))*(1+IF(VLOOKUP($R56,武学奇术!$A:$ZZ,30,FALSE)="老鼠",$B$22,0))*(1+$BW56)*(1+$BX56)</f>
        <v>17919.0030218848</v>
      </c>
      <c r="P56" s="35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轻击",$B$21,0))*(1+IF(VLOOKUP($R56,武学奇术!$A:$ZZ,30,FALSE)="老鼠",$B$22,0))*(1+$BW56)*(1+$BX56)</f>
        <v>15748.4445071296</v>
      </c>
      <c r="Q56" s="36">
        <v>1</v>
      </c>
      <c r="R56" s="37" t="s">
        <v>143</v>
      </c>
      <c r="S56" s="37" t="s">
        <v>91</v>
      </c>
      <c r="T56" s="37" t="s">
        <v>182</v>
      </c>
      <c r="U56" s="37" t="s">
        <v>112</v>
      </c>
      <c r="V56" s="37" t="s">
        <v>113</v>
      </c>
      <c r="W56" s="37" t="s">
        <v>82</v>
      </c>
      <c r="X56" s="37" t="s">
        <v>81</v>
      </c>
      <c r="Y56" s="37" t="s">
        <v>109</v>
      </c>
      <c r="Z56" s="37" t="s">
        <v>83</v>
      </c>
      <c r="AA56" s="37" t="s">
        <v>81</v>
      </c>
      <c r="AB56" s="37" t="s">
        <v>81</v>
      </c>
      <c r="AC56" s="37" t="s">
        <v>81</v>
      </c>
      <c r="AD56" s="37" t="s">
        <v>85</v>
      </c>
      <c r="AE56" s="37" t="s">
        <v>86</v>
      </c>
      <c r="AF56" s="37" t="s">
        <v>181</v>
      </c>
      <c r="AG56" s="37" t="s">
        <v>87</v>
      </c>
      <c r="AH56" s="37" t="s">
        <v>81</v>
      </c>
      <c r="AI56" s="37" t="s">
        <v>81</v>
      </c>
      <c r="AJ56" s="37" t="s">
        <v>81</v>
      </c>
      <c r="AK56" s="37" t="s">
        <v>81</v>
      </c>
      <c r="AL56" s="37" t="s">
        <v>81</v>
      </c>
      <c r="AM56" t="str">
        <f>VLOOKUP($R56,武学奇术!$A:$ZZ,25,FALSE)</f>
        <v>双刀</v>
      </c>
      <c r="AN56" s="23">
        <f>VLOOKUP($R56,武学奇术!$A:$ZZ,26,FALSE)</f>
        <v>0.9012</v>
      </c>
      <c r="AO56" s="24">
        <f>VLOOKUP($R56,武学奇术!$A:$ZZ,27,FALSE)*(1+IF(OR($AM56=$F$4,$AM56=$F$5),$B$23,0))</f>
        <v>400</v>
      </c>
      <c r="AP56" s="23">
        <f>VLOOKUP($R56,武学奇术!$A:$ZZ,28,FALSE)</f>
        <v>1.3518</v>
      </c>
      <c r="AQ56" s="24">
        <f>VLOOKUP($R56,武学奇术!$A:$ZZ,29,FALSE)*(1+IF(OR($AM56=$F$4,$AM56=$F$5),$B$23,0))</f>
        <v>217.6</v>
      </c>
      <c r="AR56" s="23" cm="1">
        <f t="array" ref="AR56">$G$3+IFERROR(VLOOKUP($AM56,$F$4:$G$7,2,FALSE),0)+VLOOKUP($R56,武学奇术!$A:$ZZ,2,FALSE)+SUM(_xlfn.XLOOKUP($S56:$AL56,增益!$A:$A,增益!$B:$B,0))</f>
        <v>0.7443</v>
      </c>
      <c r="AS56" s="23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4081.7</v>
      </c>
      <c r="AU56" cm="1">
        <f t="array" ref="AU56">$E$10*(1+$AS56)+VLOOKUP($R56,武学奇术!$A:$ZZ,4,FALSE)+SUM(_xlfn.XLOOKUP($S56:$AL56,增益!$A:$A,增益!$D:$D,0))-$I$2</f>
        <v>4081.7</v>
      </c>
      <c r="AV56" s="29" cm="1">
        <f t="array" ref="AV56">IF($F$10-$I$3+VLOOKUP($R56,武学奇术!$A:$ZZ,6,FALSE)+SUM(_xlfn.XLOOKUP(S56:AL56,增益!$A:$A,增益!$F:$F,0))&gt;0,($F$10-$I$3+VLOOKUP($R56,武学奇术!$A:$ZZ,6,FALSE)+SUM(_xlfn.XLOOKUP(S56:AL56,增益!$A:$A,增益!$F:$F,0)))/200,($F$10-$I$3+VLOOKUP($R56,武学奇术!$A:$ZZ,6,FALSE)+SUM(_xlfn.XLOOKUP(S56:AL56,增益!$A:$A,增益!$F:$F,0)))/100)</f>
        <v>0.3689</v>
      </c>
      <c r="AW56" s="29" cm="1">
        <f t="array" ref="AW56">$G$10+VLOOKUP($R56,武学奇术!$A:$ZZ,7,FALSE)+SUM(_xlfn.XLOOKUP(S56:AL56,增益!$A:$A,增益!$G:$G,0))</f>
        <v>0.06</v>
      </c>
      <c r="AX56" s="23" cm="1">
        <f t="array" ref="AX56">VLOOKUP($R56,武学奇术!$A:$ZZ,8,FALSE)+SUM(_xlfn.XLOOKUP(S56:AL56,增益!$A:$A,增益!$H:$H,0))</f>
        <v>0</v>
      </c>
      <c r="AY56">
        <f t="shared" si="1"/>
        <v>0</v>
      </c>
      <c r="AZ56">
        <f t="shared" si="2"/>
        <v>0</v>
      </c>
      <c r="BA56" s="29" cm="1">
        <f t="array" ref="BA56">IF($F$11-$I$4+VLOOKUP($R56,武学奇术!$A:$ZZ,9,FALSE)+SUM(_xlfn.XLOOKUP(S56:AL56,增益!$A:$A,增益!$I:$I,0))&gt;0,($F$11-$I$4+VLOOKUP($R56,武学奇术!$A:$ZZ,9,FALSE)+SUM(_xlfn.XLOOKUP(S56:AL56,增益!$A:$A,增益!$I:$I,0)))/200,($F$11-$I$4+VLOOKUP($R56,武学奇术!$A:$ZZ,9,FALSE)+SUM(_xlfn.XLOOKUP(S56:AL56,增益!$A:$A,增益!$I:$I,0)))/100)</f>
        <v>-0.3</v>
      </c>
      <c r="BB56" s="29" cm="1">
        <f t="array" ref="BB56">$G$11+VLOOKUP($R56,武学奇术!$A:$ZZ,10,FALSE)+SUM(_xlfn.XLOOKUP(S56:AL56,增益!$A:$A,增益!$J:$J,0))</f>
        <v>0</v>
      </c>
      <c r="BC56">
        <f t="shared" si="3"/>
        <v>0</v>
      </c>
      <c r="BD56">
        <f t="shared" si="4"/>
        <v>0</v>
      </c>
      <c r="BE56" s="29" cm="1">
        <f t="array" ref="BE56">IF($F$12-$I$4+VLOOKUP($R56,武学奇术!$A:$ZZ,11,FALSE)+SUM(_xlfn.XLOOKUP(S56:AL56,增益!$A:$A,增益!$K:$K,0))&gt;0,($F$12-$I$4+VLOOKUP($R56,武学奇术!$A:$ZZ,11,FALSE)+SUM(_xlfn.XLOOKUP(S56:AL56,增益!$A:$A,增益!$K:$K,0)))/200,($F$12-$I$4+VLOOKUP($R56,武学奇术!$A:$ZZ,11,FALSE)+SUM(_xlfn.XLOOKUP(S56:AL56,增益!$A:$A,增益!$K:$K,0)))/100)</f>
        <v>-0.3</v>
      </c>
      <c r="BF56" s="29" cm="1">
        <f t="array" ref="BF56">$G$12+VLOOKUP($R56,武学奇术!$A:$ZZ,12,FALSE)+SUM(_xlfn.XLOOKUP(S56:AL56,增益!$A:$A,增益!$L:$L,0))</f>
        <v>0</v>
      </c>
      <c r="BG56">
        <f t="shared" si="5"/>
        <v>0</v>
      </c>
      <c r="BH56">
        <f t="shared" si="6"/>
        <v>0</v>
      </c>
      <c r="BI56" s="29" cm="1">
        <f t="array" ref="BI56">IF($F$13-$I$4+VLOOKUP($R56,武学奇术!$A:$ZZ,13,FALSE)+SUM(_xlfn.XLOOKUP(S56:AL56,增益!$A:$A,增益!$M:$M,0))&gt;0,($F$13-$I$4+VLOOKUP($R56,武学奇术!$A:$ZZ,13,FALSE)+SUM(_xlfn.XLOOKUP(S56:AL56,增益!$A:$A,增益!$K:$K,0)))/200,($F$13-$I$4+VLOOKUP($R56,武学奇术!$A:$ZZ,13,FALSE)+SUM(_xlfn.XLOOKUP(S56:AL56,增益!$A:$A,增益!$M:$M,0)))/100)</f>
        <v>-0.3</v>
      </c>
      <c r="BJ56" s="29" cm="1">
        <f t="array" ref="BJ56">$G$13+VLOOKUP($R56,武学奇术!$A:$ZZ,14,FALSE)+SUM(_xlfn.XLOOKUP(S56:AL56,增益!$A:$A,增益!$N:$N,0))</f>
        <v>0</v>
      </c>
      <c r="BK56">
        <f t="shared" si="7"/>
        <v>618.2</v>
      </c>
      <c r="BL56">
        <f t="shared" si="8"/>
        <v>1805</v>
      </c>
      <c r="BM56" s="29" cm="1">
        <f t="array" ref="BM56">IF($F$14-$I$4+VLOOKUP($R56,武学奇术!$A:$ZZ,15,FALSE)+SUM(_xlfn.XLOOKUP(S56:AL56,增益!$A:$A,增益!$O:$O,0))&gt;0,($F$14-$I$4+VLOOKUP($R56,武学奇术!$A:$ZZ,15,FALSE)+SUM(_xlfn.XLOOKUP(S56:AL56,增益!$A:$A,增益!$O:$O,0)))/200,($F$14-$I$4+VLOOKUP($R56,武学奇术!$A:$ZZ,15,FALSE)+SUM(_xlfn.XLOOKUP(S56:AL56,增益!$A:$A,增益!$O:$O,0)))/100)</f>
        <v>0.05</v>
      </c>
      <c r="BN56" s="29" cm="1">
        <f t="array" ref="BN56">$G$14+VLOOKUP($R56,武学奇术!$A:$ZZ,16,FALSE)+SUM(_xlfn.XLOOKUP(S56:AL56,增益!$A:$A,增益!$P:$P,0))</f>
        <v>0.21</v>
      </c>
      <c r="BO56" s="23">
        <f>MIN(IF(VLOOKUP($R56,武学奇术!$A:$ZZ,23,FALSE)=1,100%,$B$8),100%)</f>
        <v>0.9943</v>
      </c>
      <c r="BP56" s="23" cm="1">
        <f t="array" ref="BP56">IF(VLOOKUP($R56,武学奇术!$A:$ZZ,23,FALSE)=1,100%,MIN(80%,$B$9+VLOOKUP($R56,武学奇术!$A:$ZZ,17,FALSE)+SUM(_xlfn.XLOOKUP(S56:AL56,增益!$A:$A,增益!$Q:$Q,0)))+$B$11+SUM(_xlfn.XLOOKUP(S56:AL56,增益!$A:$A,增益!$U:$U,0)))*IF(VLOOKUP($R56,武学奇术!$A:$ZZ,24,FALSE)=1,0,1)</f>
        <v>0.887</v>
      </c>
      <c r="BQ56" s="23" cm="1">
        <f t="array" ref="BQ56">1+$B$13+VLOOKUP($R56,武学奇术!$A:$ZZ,18,FALSE)+SUM(_xlfn.XLOOKUP(S56:AL56,增益!$A:$A,增益!$R:$R,0))</f>
        <v>2.374</v>
      </c>
      <c r="BR56" s="23" cm="1">
        <f t="array" ref="BR56">IF(VLOOKUP($R56,武学奇术!$A:$ZZ,24,FALSE)=1,100%,MIN(40%,$B$10+VLOOKUP($R56,武学奇术!$A:$ZZ,19,FALSE)+SUM(_xlfn.XLOOKUP(S56:AL56,增益!$A:$A,增益!$S:$S,0)))+$B$12+SUM(_xlfn.XLOOKUP(S56:AL56,增益!$A:$A,增益!$V:$V,0)))*IF(VLOOKUP($R56,武学奇术!$A:$ZZ,23,FALSE)=1,0,1)</f>
        <v>0.0913</v>
      </c>
      <c r="BS56" s="23" cm="1">
        <f t="array" ref="BS56">1+$B$14+VLOOKUP($R56,武学奇术!$A:$ZZ,20,FALSE)+SUM(_xlfn.XLOOKUP(S56:AL56,增益!$A:$A,增益!$T:$T,0))</f>
        <v>1.35</v>
      </c>
      <c r="BT56" s="23">
        <f t="shared" si="9"/>
        <v>0.8819441</v>
      </c>
      <c r="BU56" s="23">
        <f t="shared" si="10"/>
        <v>0.0215763099999999</v>
      </c>
      <c r="BV56" s="23">
        <f>IF(VLOOKUP($R56,武学奇术!$A:$ZZ,22,FALSE)=1,0,(1-$BO56))*(1-$BR56)</f>
        <v>0.00517959000000003</v>
      </c>
      <c r="BW56" s="23" cm="1">
        <f t="array" ref="BW56">SUM(_xlfn.XLOOKUP(S56:AL56,增益!$A:$A,增益!$W:$W,0))+$I$5</f>
        <v>0.11</v>
      </c>
      <c r="BX56" s="23">
        <f>VLOOKUP($R56,武学奇术!$A:$ZZ,32,FALSE)</f>
        <v>0.1</v>
      </c>
      <c r="BY56" s="23" cm="1">
        <f t="array" ref="BY56">SUM(_xlfn.XLOOKUP($S56:$AL56,增益!$A:$A,增益!$X:$X,0))</f>
        <v>0</v>
      </c>
    </row>
    <row r="57" spans="2:77">
      <c r="K57" s="35">
        <f>$L57*VLOOKUP($R57,武学奇术!$A:$ZZ,31,FALSE)</f>
        <v>72686.1177330181</v>
      </c>
      <c r="L57" s="58">
        <f t="shared" si="11"/>
        <v>64898.3194044804</v>
      </c>
      <c r="M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轻击",$B$21,0))*(1+IF(VLOOKUP($R57,武学奇术!$A:$ZZ,30,FALSE)="老鼠",$B$22,0))*(1+$BW57)*(1+$BX57)</f>
        <v>68230.8368316841</v>
      </c>
      <c r="N57" s="35">
        <f>(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轻击",$B$21,0))*(1+IF(VLOOKUP($R57,武学奇术!$A:$ZZ,30,FALSE)="老鼠",$B$22,0))*(1+$BW57))*(1+$BX57)</f>
        <v>43500.3361661252</v>
      </c>
      <c r="O57" s="35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轻击",$B$21,0))*(1+IF(VLOOKUP($R57,武学奇术!$A:$ZZ,30,FALSE)="老鼠",$B$22,0))*(1+$BW57)*(1+$BX57)</f>
        <v>28740.8748237928</v>
      </c>
      <c r="P57" s="35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轻击",$B$21,0))*(1+IF(VLOOKUP($R57,武学奇术!$A:$ZZ,30,FALSE)="老鼠",$B$22,0))*(1+$BW57)*(1+$BX57)</f>
        <v>25259.2784134188</v>
      </c>
      <c r="Q57" s="36">
        <v>1</v>
      </c>
      <c r="R57" s="37" t="s">
        <v>148</v>
      </c>
      <c r="S57" s="37" t="s">
        <v>91</v>
      </c>
      <c r="T57" s="37" t="s">
        <v>182</v>
      </c>
      <c r="U57" s="37" t="s">
        <v>112</v>
      </c>
      <c r="V57" s="37" t="s">
        <v>113</v>
      </c>
      <c r="W57" s="37" t="s">
        <v>82</v>
      </c>
      <c r="X57" s="37" t="s">
        <v>81</v>
      </c>
      <c r="Y57" s="37" t="s">
        <v>109</v>
      </c>
      <c r="Z57" s="37" t="s">
        <v>83</v>
      </c>
      <c r="AA57" s="37" t="s">
        <v>81</v>
      </c>
      <c r="AB57" s="37" t="s">
        <v>81</v>
      </c>
      <c r="AC57" s="37" t="s">
        <v>81</v>
      </c>
      <c r="AD57" s="37" t="s">
        <v>85</v>
      </c>
      <c r="AE57" s="37" t="s">
        <v>86</v>
      </c>
      <c r="AF57" s="37" t="s">
        <v>181</v>
      </c>
      <c r="AG57" s="37" t="s">
        <v>87</v>
      </c>
      <c r="AH57" s="37" t="s">
        <v>81</v>
      </c>
      <c r="AI57" s="37" t="s">
        <v>81</v>
      </c>
      <c r="AJ57" s="37" t="s">
        <v>81</v>
      </c>
      <c r="AK57" s="37" t="s">
        <v>81</v>
      </c>
      <c r="AL57" s="37" t="s">
        <v>81</v>
      </c>
      <c r="AM57" t="str">
        <f>VLOOKUP($R57,武学奇术!$A:$ZZ,25,FALSE)</f>
        <v>双刀</v>
      </c>
      <c r="AN57" s="23">
        <f>VLOOKUP($R57,武学奇术!$A:$ZZ,26,FALSE)</f>
        <v>1.4455</v>
      </c>
      <c r="AO57" s="24">
        <f>VLOOKUP($R57,武学奇术!$A:$ZZ,27,FALSE)*(1+IF(OR($AM57=$F$4,$AM57=$F$5),$B$23,0))</f>
        <v>641.6</v>
      </c>
      <c r="AP57" s="23">
        <f>VLOOKUP($R57,武学奇术!$A:$ZZ,28,FALSE)</f>
        <v>2.1683</v>
      </c>
      <c r="AQ57" s="24">
        <f>VLOOKUP($R57,武学奇术!$A:$ZZ,29,FALSE)*(1+IF(OR($AM57=$F$4,$AM57=$F$5),$B$23,0))</f>
        <v>348.8</v>
      </c>
      <c r="AR57" s="23" cm="1">
        <f t="array" ref="AR57">$G$3+IFERROR(VLOOKUP($AM57,$F$4:$G$7,2,FALSE),0)+VLOOKUP($R57,武学奇术!$A:$ZZ,2,FALSE)+SUM(_xlfn.XLOOKUP($S57:$AL57,增益!$A:$A,增益!$B:$B,0))</f>
        <v>0.7443</v>
      </c>
      <c r="AS57" s="23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4081.7</v>
      </c>
      <c r="AU57" cm="1">
        <f t="array" ref="AU57">$E$10*(1+$AS57)+VLOOKUP($R57,武学奇术!$A:$ZZ,4,FALSE)+SUM(_xlfn.XLOOKUP($S57:$AL57,增益!$A:$A,增益!$D:$D,0))-$I$2</f>
        <v>4081.7</v>
      </c>
      <c r="AV57" s="29" cm="1">
        <f t="array" ref="AV57">IF($F$10-$I$3+VLOOKUP($R57,武学奇术!$A:$ZZ,6,FALSE)+SUM(_xlfn.XLOOKUP(S57:AL57,增益!$A:$A,增益!$F:$F,0))&gt;0,($F$10-$I$3+VLOOKUP($R57,武学奇术!$A:$ZZ,6,FALSE)+SUM(_xlfn.XLOOKUP(S57:AL57,增益!$A:$A,增益!$F:$F,0)))/200,($F$10-$I$3+VLOOKUP($R57,武学奇术!$A:$ZZ,6,FALSE)+SUM(_xlfn.XLOOKUP(S57:AL57,增益!$A:$A,增益!$F:$F,0)))/100)</f>
        <v>0.3689</v>
      </c>
      <c r="AW57" s="29" cm="1">
        <f t="array" ref="AW57">$G$10+VLOOKUP($R57,武学奇术!$A:$ZZ,7,FALSE)+SUM(_xlfn.XLOOKUP(S57:AL57,增益!$A:$A,增益!$G:$G,0))</f>
        <v>0.06</v>
      </c>
      <c r="AX57" s="23" cm="1">
        <f t="array" ref="AX57">VLOOKUP($R57,武学奇术!$A:$ZZ,8,FALSE)+SUM(_xlfn.XLOOKUP(S57:AL57,增益!$A:$A,增益!$H:$H,0))</f>
        <v>0</v>
      </c>
      <c r="AY57">
        <f t="shared" si="1"/>
        <v>0</v>
      </c>
      <c r="AZ57">
        <f t="shared" si="2"/>
        <v>0</v>
      </c>
      <c r="BA57" s="29" cm="1">
        <f t="array" ref="BA57">IF($F$11-$I$4+VLOOKUP($R57,武学奇术!$A:$ZZ,9,FALSE)+SUM(_xlfn.XLOOKUP(S57:AL57,增益!$A:$A,增益!$I:$I,0))&gt;0,($F$11-$I$4+VLOOKUP($R57,武学奇术!$A:$ZZ,9,FALSE)+SUM(_xlfn.XLOOKUP(S57:AL57,增益!$A:$A,增益!$I:$I,0)))/200,($F$11-$I$4+VLOOKUP($R57,武学奇术!$A:$ZZ,9,FALSE)+SUM(_xlfn.XLOOKUP(S57:AL57,增益!$A:$A,增益!$I:$I,0)))/100)</f>
        <v>-0.3</v>
      </c>
      <c r="BB57" s="29" cm="1">
        <f t="array" ref="BB57">$G$11+VLOOKUP($R57,武学奇术!$A:$ZZ,10,FALSE)+SUM(_xlfn.XLOOKUP(S57:AL57,增益!$A:$A,增益!$J:$J,0))</f>
        <v>0</v>
      </c>
      <c r="BC57">
        <f t="shared" si="3"/>
        <v>0</v>
      </c>
      <c r="BD57">
        <f t="shared" si="4"/>
        <v>0</v>
      </c>
      <c r="BE57" s="29" cm="1">
        <f t="array" ref="BE57">IF($F$12-$I$4+VLOOKUP($R57,武学奇术!$A:$ZZ,11,FALSE)+SUM(_xlfn.XLOOKUP(S57:AL57,增益!$A:$A,增益!$K:$K,0))&gt;0,($F$12-$I$4+VLOOKUP($R57,武学奇术!$A:$ZZ,11,FALSE)+SUM(_xlfn.XLOOKUP(S57:AL57,增益!$A:$A,增益!$K:$K,0)))/200,($F$12-$I$4+VLOOKUP($R57,武学奇术!$A:$ZZ,11,FALSE)+SUM(_xlfn.XLOOKUP(S57:AL57,增益!$A:$A,增益!$K:$K,0)))/100)</f>
        <v>-0.3</v>
      </c>
      <c r="BF57" s="29" cm="1">
        <f t="array" ref="BF57">$G$12+VLOOKUP($R57,武学奇术!$A:$ZZ,12,FALSE)+SUM(_xlfn.XLOOKUP(S57:AL57,增益!$A:$A,增益!$L:$L,0))</f>
        <v>0</v>
      </c>
      <c r="BG57">
        <f t="shared" si="5"/>
        <v>0</v>
      </c>
      <c r="BH57">
        <f t="shared" si="6"/>
        <v>0</v>
      </c>
      <c r="BI57" s="29" cm="1">
        <f t="array" ref="BI57">IF($F$13-$I$4+VLOOKUP($R57,武学奇术!$A:$ZZ,13,FALSE)+SUM(_xlfn.XLOOKUP(S57:AL57,增益!$A:$A,增益!$M:$M,0))&gt;0,($F$13-$I$4+VLOOKUP($R57,武学奇术!$A:$ZZ,13,FALSE)+SUM(_xlfn.XLOOKUP(S57:AL57,增益!$A:$A,增益!$K:$K,0)))/200,($F$13-$I$4+VLOOKUP($R57,武学奇术!$A:$ZZ,13,FALSE)+SUM(_xlfn.XLOOKUP(S57:AL57,增益!$A:$A,增益!$M:$M,0)))/100)</f>
        <v>-0.3</v>
      </c>
      <c r="BJ57" s="29" cm="1">
        <f t="array" ref="BJ57">$G$13+VLOOKUP($R57,武学奇术!$A:$ZZ,14,FALSE)+SUM(_xlfn.XLOOKUP(S57:AL57,增益!$A:$A,增益!$N:$N,0))</f>
        <v>0</v>
      </c>
      <c r="BK57">
        <f t="shared" si="7"/>
        <v>618.2</v>
      </c>
      <c r="BL57">
        <f t="shared" si="8"/>
        <v>1805</v>
      </c>
      <c r="BM57" s="29" cm="1">
        <f t="array" ref="BM57">IF($F$14-$I$4+VLOOKUP($R57,武学奇术!$A:$ZZ,15,FALSE)+SUM(_xlfn.XLOOKUP(S57:AL57,增益!$A:$A,增益!$O:$O,0))&gt;0,($F$14-$I$4+VLOOKUP($R57,武学奇术!$A:$ZZ,15,FALSE)+SUM(_xlfn.XLOOKUP(S57:AL57,增益!$A:$A,增益!$O:$O,0)))/200,($F$14-$I$4+VLOOKUP($R57,武学奇术!$A:$ZZ,15,FALSE)+SUM(_xlfn.XLOOKUP(S57:AL57,增益!$A:$A,增益!$O:$O,0)))/100)</f>
        <v>0.05</v>
      </c>
      <c r="BN57" s="29" cm="1">
        <f t="array" ref="BN57">$G$14+VLOOKUP($R57,武学奇术!$A:$ZZ,16,FALSE)+SUM(_xlfn.XLOOKUP(S57:AL57,增益!$A:$A,增益!$P:$P,0))</f>
        <v>0.21</v>
      </c>
      <c r="BO57" s="23">
        <f>MIN(IF(VLOOKUP($R57,武学奇术!$A:$ZZ,23,FALSE)=1,100%,$B$8),100%)</f>
        <v>0.9943</v>
      </c>
      <c r="BP57" s="23" cm="1">
        <f t="array" ref="BP57">IF(VLOOKUP($R57,武学奇术!$A:$ZZ,23,FALSE)=1,100%,MIN(80%,$B$9+VLOOKUP($R57,武学奇术!$A:$ZZ,17,FALSE)+SUM(_xlfn.XLOOKUP(S57:AL57,增益!$A:$A,增益!$Q:$Q,0)))+$B$11+SUM(_xlfn.XLOOKUP(S57:AL57,增益!$A:$A,增益!$U:$U,0)))*IF(VLOOKUP($R57,武学奇术!$A:$ZZ,24,FALSE)=1,0,1)</f>
        <v>0.887</v>
      </c>
      <c r="BQ57" s="23" cm="1">
        <f t="array" ref="BQ57">1+$B$13+VLOOKUP($R57,武学奇术!$A:$ZZ,18,FALSE)+SUM(_xlfn.XLOOKUP(S57:AL57,增益!$A:$A,增益!$R:$R,0))</f>
        <v>2.374</v>
      </c>
      <c r="BR57" s="23" cm="1">
        <f t="array" ref="BR57">IF(VLOOKUP($R57,武学奇术!$A:$ZZ,24,FALSE)=1,100%,MIN(40%,$B$10+VLOOKUP($R57,武学奇术!$A:$ZZ,19,FALSE)+SUM(_xlfn.XLOOKUP(S57:AL57,增益!$A:$A,增益!$S:$S,0)))+$B$12+SUM(_xlfn.XLOOKUP(S57:AL57,增益!$A:$A,增益!$V:$V,0)))*IF(VLOOKUP($R57,武学奇术!$A:$ZZ,23,FALSE)=1,0,1)</f>
        <v>0.0913</v>
      </c>
      <c r="BS57" s="23" cm="1">
        <f t="array" ref="BS57">1+$B$14+VLOOKUP($R57,武学奇术!$A:$ZZ,20,FALSE)+SUM(_xlfn.XLOOKUP(S57:AL57,增益!$A:$A,增益!$T:$T,0))</f>
        <v>1.35</v>
      </c>
      <c r="BT57" s="23">
        <f t="shared" si="9"/>
        <v>0.8819441</v>
      </c>
      <c r="BU57" s="23">
        <f t="shared" si="10"/>
        <v>0.0215763099999999</v>
      </c>
      <c r="BV57" s="23">
        <f>IF(VLOOKUP($R57,武学奇术!$A:$ZZ,22,FALSE)=1,0,(1-$BO57))*(1-$BR57)</f>
        <v>0.00517959000000003</v>
      </c>
      <c r="BW57" s="23" cm="1">
        <f t="array" ref="BW57">SUM(_xlfn.XLOOKUP(S57:AL57,增益!$A:$A,增益!$W:$W,0))+$I$5</f>
        <v>0.11</v>
      </c>
      <c r="BX57" s="23">
        <f>VLOOKUP($R57,武学奇术!$A:$ZZ,32,FALSE)</f>
        <v>0.1</v>
      </c>
      <c r="BY57" s="23" cm="1">
        <f t="array" ref="BY57">SUM(_xlfn.XLOOKUP($S57:$AL57,增益!$A:$A,增益!$X:$X,0))</f>
        <v>0</v>
      </c>
    </row>
    <row r="58" spans="2:77">
      <c r="K58" s="35">
        <f>$L58*VLOOKUP($R58,武学奇术!$A:$ZZ,31,FALSE)</f>
        <v>91108.7947251619</v>
      </c>
      <c r="L58" s="69">
        <f t="shared" si="11"/>
        <v>89322.3477697666</v>
      </c>
      <c r="M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轻击",$B$21,0))*(1+IF(VLOOKUP($R58,武学奇术!$A:$ZZ,30,FALSE)="老鼠",$B$22,0))*(1+$BW58)*(1+$BX58)</f>
        <v>93839.3320698094</v>
      </c>
      <c r="N58" s="35">
        <f>(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轻击",$B$21,0))*(1+IF(VLOOKUP($R58,武学奇术!$A:$ZZ,30,FALSE)="老鼠",$B$22,0))*(1+$BW58))*(1+$BX58)</f>
        <v>60584.9579881269</v>
      </c>
      <c r="O58" s="35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轻击",$B$21,0))*(1+IF(VLOOKUP($R58,武学奇术!$A:$ZZ,30,FALSE)="老鼠",$B$22,0))*(1+$BW58)*(1+$BX58)</f>
        <v>39527.941057207</v>
      </c>
      <c r="P58" s="35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轻击",$B$21,0))*(1+IF(VLOOKUP($R58,武学奇术!$A:$ZZ,30,FALSE)="老鼠",$B$22,0))*(1+$BW58)*(1+$BX58)</f>
        <v>34178.1354565422</v>
      </c>
      <c r="Q58" s="70">
        <v>3</v>
      </c>
      <c r="R58" s="37" t="s">
        <v>106</v>
      </c>
      <c r="S58" s="37" t="s">
        <v>91</v>
      </c>
      <c r="T58" s="37" t="s">
        <v>182</v>
      </c>
      <c r="U58" s="37" t="s">
        <v>112</v>
      </c>
      <c r="V58" s="37" t="s">
        <v>113</v>
      </c>
      <c r="W58" s="37" t="s">
        <v>82</v>
      </c>
      <c r="X58" s="37" t="s">
        <v>81</v>
      </c>
      <c r="Y58" s="37" t="s">
        <v>109</v>
      </c>
      <c r="Z58" s="37" t="s">
        <v>83</v>
      </c>
      <c r="AA58" s="37" t="s">
        <v>81</v>
      </c>
      <c r="AB58" s="37" t="s">
        <v>81</v>
      </c>
      <c r="AC58" s="37" t="s">
        <v>81</v>
      </c>
      <c r="AD58" s="37" t="s">
        <v>85</v>
      </c>
      <c r="AE58" s="37" t="s">
        <v>86</v>
      </c>
      <c r="AF58" s="37" t="s">
        <v>81</v>
      </c>
      <c r="AG58" s="37" t="s">
        <v>87</v>
      </c>
      <c r="AH58" s="37" t="s">
        <v>81</v>
      </c>
      <c r="AI58" s="37" t="s">
        <v>81</v>
      </c>
      <c r="AJ58" s="37" t="s">
        <v>81</v>
      </c>
      <c r="AK58" s="37" t="s">
        <v>81</v>
      </c>
      <c r="AL58" s="37" t="s">
        <v>81</v>
      </c>
      <c r="AM58" t="str">
        <f>VLOOKUP($R58,武学奇术!$A:$ZZ,25,FALSE)</f>
        <v>绳镖</v>
      </c>
      <c r="AN58" s="23">
        <f>VLOOKUP($R58,武学奇术!$A:$ZZ,26,FALSE)</f>
        <v>0.3675</v>
      </c>
      <c r="AO58" s="24">
        <f>VLOOKUP($R58,武学奇术!$A:$ZZ,27,FALSE)*(1+IF(OR($AM58=$F$4,$AM58=$F$5),$B$23,0))</f>
        <v>0</v>
      </c>
      <c r="AP58" s="23">
        <f>VLOOKUP($R58,武学奇术!$A:$ZZ,28,FALSE)</f>
        <v>0.55125</v>
      </c>
      <c r="AQ58" s="24">
        <f>VLOOKUP($R58,武学奇术!$A:$ZZ,29,FALSE)*(1+IF(OR($AM58=$F$4,$AM58=$F$5),$B$23,0))</f>
        <v>0</v>
      </c>
      <c r="AR58" s="23" cm="1">
        <f t="array" ref="AR58">$G$3+IFERROR(VLOOKUP($AM58,$F$4:$G$7,2,FALSE),0)+VLOOKUP($R58,武学奇术!$A:$ZZ,2,FALSE)+SUM(_xlfn.XLOOKUP($S58:$AL58,增益!$A:$A,增益!$B:$B,0))</f>
        <v>1.4943</v>
      </c>
      <c r="AS58" s="23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4081.7</v>
      </c>
      <c r="AU58" cm="1">
        <f t="array" ref="AU58">$E$10*(1+$AS58)+VLOOKUP($R58,武学奇术!$A:$ZZ,4,FALSE)+SUM(_xlfn.XLOOKUP($S58:$AL58,增益!$A:$A,增益!$D:$D,0))-$I$2</f>
        <v>4081.7</v>
      </c>
      <c r="AV58" s="29" cm="1">
        <f t="array" ref="AV58">IF($F$10-$I$3+VLOOKUP($R58,武学奇术!$A:$ZZ,6,FALSE)+SUM(_xlfn.XLOOKUP(S58:AL58,增益!$A:$A,增益!$F:$F,0))&gt;0,($F$10-$I$3+VLOOKUP($R58,武学奇术!$A:$ZZ,6,FALSE)+SUM(_xlfn.XLOOKUP(S58:AL58,增益!$A:$A,增益!$F:$F,0)))/200,($F$10-$I$3+VLOOKUP($R58,武学奇术!$A:$ZZ,6,FALSE)+SUM(_xlfn.XLOOKUP(S58:AL58,增益!$A:$A,增益!$F:$F,0)))/100)</f>
        <v>0.3689</v>
      </c>
      <c r="AW58" s="29" cm="1">
        <f t="array" ref="AW58">$G$10+VLOOKUP($R58,武学奇术!$A:$ZZ,7,FALSE)+SUM(_xlfn.XLOOKUP(S58:AL58,增益!$A:$A,增益!$G:$G,0))</f>
        <v>0.27</v>
      </c>
      <c r="AX58" s="23" cm="1">
        <f t="array" ref="AX58">VLOOKUP($R58,武学奇术!$A:$ZZ,8,FALSE)+SUM(_xlfn.XLOOKUP(S58:AL58,增益!$A:$A,增益!$H:$H,0))</f>
        <v>0</v>
      </c>
      <c r="AY58">
        <f t="shared" si="1"/>
        <v>0</v>
      </c>
      <c r="AZ58">
        <f t="shared" si="2"/>
        <v>0</v>
      </c>
      <c r="BA58" s="29" cm="1">
        <f t="array" ref="BA58">IF($F$11-$I$4+VLOOKUP($R58,武学奇术!$A:$ZZ,9,FALSE)+SUM(_xlfn.XLOOKUP(S58:AL58,增益!$A:$A,增益!$I:$I,0))&gt;0,($F$11-$I$4+VLOOKUP($R58,武学奇术!$A:$ZZ,9,FALSE)+SUM(_xlfn.XLOOKUP(S58:AL58,增益!$A:$A,增益!$I:$I,0)))/200,($F$11-$I$4+VLOOKUP($R58,武学奇术!$A:$ZZ,9,FALSE)+SUM(_xlfn.XLOOKUP(S58:AL58,增益!$A:$A,增益!$I:$I,0)))/100)</f>
        <v>-0.3</v>
      </c>
      <c r="BB58" s="29" cm="1">
        <f t="array" ref="BB58">$G$11+VLOOKUP($R58,武学奇术!$A:$ZZ,10,FALSE)+SUM(_xlfn.XLOOKUP(S58:AL58,增益!$A:$A,增益!$J:$J,0))</f>
        <v>0</v>
      </c>
      <c r="BC58">
        <f t="shared" si="3"/>
        <v>0</v>
      </c>
      <c r="BD58">
        <f t="shared" si="4"/>
        <v>0</v>
      </c>
      <c r="BE58" s="29" cm="1">
        <f t="array" ref="BE58">IF($F$12-$I$4+VLOOKUP($R58,武学奇术!$A:$ZZ,11,FALSE)+SUM(_xlfn.XLOOKUP(S58:AL58,增益!$A:$A,增益!$K:$K,0))&gt;0,($F$12-$I$4+VLOOKUP($R58,武学奇术!$A:$ZZ,11,FALSE)+SUM(_xlfn.XLOOKUP(S58:AL58,增益!$A:$A,增益!$K:$K,0)))/200,($F$12-$I$4+VLOOKUP($R58,武学奇术!$A:$ZZ,11,FALSE)+SUM(_xlfn.XLOOKUP(S58:AL58,增益!$A:$A,增益!$K:$K,0)))/100)</f>
        <v>-0.3</v>
      </c>
      <c r="BF58" s="29" cm="1">
        <f t="array" ref="BF58">$G$12+VLOOKUP($R58,武学奇术!$A:$ZZ,12,FALSE)+SUM(_xlfn.XLOOKUP(S58:AL58,增益!$A:$A,增益!$L:$L,0))</f>
        <v>0</v>
      </c>
      <c r="BG58">
        <f t="shared" si="5"/>
        <v>0</v>
      </c>
      <c r="BH58">
        <f t="shared" si="6"/>
        <v>0</v>
      </c>
      <c r="BI58" s="29" cm="1">
        <f t="array" ref="BI58">IF($F$13-$I$4+VLOOKUP($R58,武学奇术!$A:$ZZ,13,FALSE)+SUM(_xlfn.XLOOKUP(S58:AL58,增益!$A:$A,增益!$M:$M,0))&gt;0,($F$13-$I$4+VLOOKUP($R58,武学奇术!$A:$ZZ,13,FALSE)+SUM(_xlfn.XLOOKUP(S58:AL58,增益!$A:$A,增益!$K:$K,0)))/200,($F$13-$I$4+VLOOKUP($R58,武学奇术!$A:$ZZ,13,FALSE)+SUM(_xlfn.XLOOKUP(S58:AL58,增益!$A:$A,增益!$M:$M,0)))/100)</f>
        <v>-0.3</v>
      </c>
      <c r="BJ58" s="29" cm="1">
        <f t="array" ref="BJ58">$G$13+VLOOKUP($R58,武学奇术!$A:$ZZ,14,FALSE)+SUM(_xlfn.XLOOKUP(S58:AL58,增益!$A:$A,增益!$N:$N,0))</f>
        <v>0</v>
      </c>
      <c r="BK58">
        <f t="shared" si="7"/>
        <v>618.2</v>
      </c>
      <c r="BL58">
        <f t="shared" si="8"/>
        <v>1805</v>
      </c>
      <c r="BM58" s="29" cm="1">
        <f t="array" ref="BM58">IF($F$14-$I$4+VLOOKUP($R58,武学奇术!$A:$ZZ,15,FALSE)+SUM(_xlfn.XLOOKUP(S58:AL58,增益!$A:$A,增益!$O:$O,0))&gt;0,($F$14-$I$4+VLOOKUP($R58,武学奇术!$A:$ZZ,15,FALSE)+SUM(_xlfn.XLOOKUP(S58:AL58,增益!$A:$A,增益!$O:$O,0)))/200,($F$14-$I$4+VLOOKUP($R58,武学奇术!$A:$ZZ,15,FALSE)+SUM(_xlfn.XLOOKUP(S58:AL58,增益!$A:$A,增益!$O:$O,0)))/100)</f>
        <v>0.05</v>
      </c>
      <c r="BN58" s="29" cm="1">
        <f t="array" ref="BN58">$G$14+VLOOKUP($R58,武学奇术!$A:$ZZ,16,FALSE)+SUM(_xlfn.XLOOKUP(S58:AL58,增益!$A:$A,增益!$P:$P,0))</f>
        <v>0.42</v>
      </c>
      <c r="BO58" s="23">
        <f>MIN(IF(VLOOKUP($R58,武学奇术!$A:$ZZ,23,FALSE)=1,100%,$B$8),100%)</f>
        <v>0.9943</v>
      </c>
      <c r="BP58" s="23" cm="1">
        <f t="array" ref="BP58">IF(VLOOKUP($R58,武学奇术!$A:$ZZ,23,FALSE)=1,100%,MIN(80%,$B$9+VLOOKUP($R58,武学奇术!$A:$ZZ,17,FALSE)+SUM(_xlfn.XLOOKUP(S58:AL58,增益!$A:$A,增益!$Q:$Q,0)))+$B$11+SUM(_xlfn.XLOOKUP(S58:AL58,增益!$A:$A,增益!$U:$U,0)))*IF(VLOOKUP($R58,武学奇术!$A:$ZZ,24,FALSE)=1,0,1)</f>
        <v>0.887</v>
      </c>
      <c r="BQ58" s="23" cm="1">
        <f t="array" ref="BQ58">1+$B$13+VLOOKUP($R58,武学奇术!$A:$ZZ,18,FALSE)+SUM(_xlfn.XLOOKUP(S58:AL58,增益!$A:$A,增益!$R:$R,0))</f>
        <v>2.374</v>
      </c>
      <c r="BR58" s="23" cm="1">
        <f t="array" ref="BR58">IF(VLOOKUP($R58,武学奇术!$A:$ZZ,24,FALSE)=1,100%,MIN(40%,$B$10+VLOOKUP($R58,武学奇术!$A:$ZZ,19,FALSE)+SUM(_xlfn.XLOOKUP(S58:AL58,增益!$A:$A,增益!$S:$S,0)))+$B$12+SUM(_xlfn.XLOOKUP(S58:AL58,增益!$A:$A,增益!$V:$V,0)))*IF(VLOOKUP($R58,武学奇术!$A:$ZZ,23,FALSE)=1,0,1)</f>
        <v>0.0913</v>
      </c>
      <c r="BS58" s="23" cm="1">
        <f t="array" ref="BS58">1+$B$14+VLOOKUP($R58,武学奇术!$A:$ZZ,20,FALSE)+SUM(_xlfn.XLOOKUP(S58:AL58,增益!$A:$A,增益!$T:$T,0))</f>
        <v>1.35</v>
      </c>
      <c r="BT58" s="23">
        <f t="shared" si="9"/>
        <v>0.8819441</v>
      </c>
      <c r="BU58" s="23">
        <f t="shared" si="10"/>
        <v>0.0215763099999999</v>
      </c>
      <c r="BV58" s="23">
        <f>IF(VLOOKUP($R58,武学奇术!$A:$ZZ,22,FALSE)=1,0,(1-$BO58))*(1-$BR58)</f>
        <v>0.00517959000000003</v>
      </c>
      <c r="BW58" s="23" cm="1">
        <f t="array" ref="BW58">SUM(_xlfn.XLOOKUP(S58:AL58,增益!$A:$A,增益!$W:$W,0))+$I$5</f>
        <v>0.11</v>
      </c>
      <c r="BX58" s="23">
        <f>VLOOKUP($R58,武学奇术!$A:$ZZ,32,FALSE)</f>
        <v>0</v>
      </c>
      <c r="BY58" s="23" cm="1">
        <f t="array" ref="BY58">SUM(_xlfn.XLOOKUP($S58:$AL58,增益!$A:$A,增益!$X:$X,0))</f>
        <v>0</v>
      </c>
    </row>
    <row r="59" spans="2:77">
      <c r="K59" s="35">
        <f>$L59*VLOOKUP($R59,武学奇术!$A:$ZZ,31,FALSE)</f>
        <v>87621.0247082887</v>
      </c>
      <c r="L59" s="58">
        <f t="shared" si="11"/>
        <v>78233.0577752578</v>
      </c>
      <c r="M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轻击",$B$21,0))*(1+IF(VLOOKUP($R59,武学奇术!$A:$ZZ,30,FALSE)="老鼠",$B$22,0))*(1+$BW59)*(1+$BX59)</f>
        <v>82275.4158797529</v>
      </c>
      <c r="N59" s="35">
        <f>(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轻击",$B$21,0))*(1+IF(VLOOKUP($R59,武学奇术!$A:$ZZ,30,FALSE)="老鼠",$B$22,0))*(1+$BW59))*(1+$BX59)</f>
        <v>52234.4828595382</v>
      </c>
      <c r="O59" s="35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轻击",$B$21,0))*(1+IF(VLOOKUP($R59,武学奇术!$A:$ZZ,30,FALSE)="老鼠",$B$22,0))*(1+$BW59)*(1+$BX59)</f>
        <v>34511.4999495608</v>
      </c>
      <c r="P59" s="35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轻击",$B$21,0))*(1+IF(VLOOKUP($R59,武学奇术!$A:$ZZ,30,FALSE)="老鼠",$B$22,0))*(1+$BW59)*(1+$BX59)</f>
        <v>30330.7903735377</v>
      </c>
      <c r="Q59" s="36">
        <v>1</v>
      </c>
      <c r="R59" s="37" t="s">
        <v>153</v>
      </c>
      <c r="S59" s="37" t="s">
        <v>91</v>
      </c>
      <c r="T59" s="37" t="s">
        <v>184</v>
      </c>
      <c r="U59" s="37" t="s">
        <v>112</v>
      </c>
      <c r="V59" s="37" t="s">
        <v>113</v>
      </c>
      <c r="W59" s="37" t="s">
        <v>82</v>
      </c>
      <c r="X59" s="37" t="s">
        <v>81</v>
      </c>
      <c r="Y59" s="37" t="s">
        <v>109</v>
      </c>
      <c r="Z59" s="37" t="s">
        <v>83</v>
      </c>
      <c r="AA59" s="37" t="s">
        <v>81</v>
      </c>
      <c r="AB59" s="37" t="s">
        <v>81</v>
      </c>
      <c r="AC59" s="37" t="s">
        <v>81</v>
      </c>
      <c r="AD59" s="37" t="s">
        <v>85</v>
      </c>
      <c r="AE59" s="37" t="s">
        <v>86</v>
      </c>
      <c r="AF59" s="37" t="s">
        <v>181</v>
      </c>
      <c r="AG59" s="37" t="s">
        <v>87</v>
      </c>
      <c r="AH59" s="37" t="s">
        <v>81</v>
      </c>
      <c r="AI59" s="37" t="s">
        <v>81</v>
      </c>
      <c r="AJ59" s="37" t="s">
        <v>81</v>
      </c>
      <c r="AK59" s="37" t="s">
        <v>81</v>
      </c>
      <c r="AL59" s="37" t="s">
        <v>81</v>
      </c>
      <c r="AM59" t="str">
        <f>VLOOKUP($R59,武学奇术!$A:$ZZ,25,FALSE)</f>
        <v>双刀</v>
      </c>
      <c r="AN59" s="23">
        <f>VLOOKUP($R59,武学奇术!$A:$ZZ,26,FALSE)</f>
        <v>1.7358</v>
      </c>
      <c r="AO59" s="24">
        <f>VLOOKUP($R59,武学奇术!$A:$ZZ,27,FALSE)*(1+IF(OR($AM59=$F$4,$AM59=$F$5),$B$23,0))</f>
        <v>769.6</v>
      </c>
      <c r="AP59" s="23">
        <f>VLOOKUP($R59,武学奇术!$A:$ZZ,28,FALSE)</f>
        <v>2.6037</v>
      </c>
      <c r="AQ59" s="24">
        <f>VLOOKUP($R59,武学奇术!$A:$ZZ,29,FALSE)*(1+IF(OR($AM59=$F$4,$AM59=$F$5),$B$23,0))</f>
        <v>419.2</v>
      </c>
      <c r="AR59" s="23" cm="1">
        <f t="array" ref="AR59">$G$3+IFERROR(VLOOKUP($AM59,$F$4:$G$7,2,FALSE),0)+VLOOKUP($R59,武学奇术!$A:$ZZ,2,FALSE)+SUM(_xlfn.XLOOKUP($S59:$AL59,增益!$A:$A,增益!$B:$B,0))</f>
        <v>0.7443</v>
      </c>
      <c r="AS59" s="23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4081.7</v>
      </c>
      <c r="AU59" cm="1">
        <f t="array" ref="AU59">$E$10*(1+$AS59)+VLOOKUP($R59,武学奇术!$A:$ZZ,4,FALSE)+SUM(_xlfn.XLOOKUP($S59:$AL59,增益!$A:$A,增益!$D:$D,0))-$I$2</f>
        <v>4081.7</v>
      </c>
      <c r="AV59" s="29" cm="1">
        <f t="array" ref="AV59">IF($F$10-$I$3+VLOOKUP($R59,武学奇术!$A:$ZZ,6,FALSE)+SUM(_xlfn.XLOOKUP(S59:AL59,增益!$A:$A,增益!$F:$F,0))&gt;0,($F$10-$I$3+VLOOKUP($R59,武学奇术!$A:$ZZ,6,FALSE)+SUM(_xlfn.XLOOKUP(S59:AL59,增益!$A:$A,增益!$F:$F,0)))/200,($F$10-$I$3+VLOOKUP($R59,武学奇术!$A:$ZZ,6,FALSE)+SUM(_xlfn.XLOOKUP(S59:AL59,增益!$A:$A,增益!$F:$F,0)))/100)</f>
        <v>0.3689</v>
      </c>
      <c r="AW59" s="29" cm="1">
        <f t="array" ref="AW59">$G$10+VLOOKUP($R59,武学奇术!$A:$ZZ,7,FALSE)+SUM(_xlfn.XLOOKUP(S59:AL59,增益!$A:$A,增益!$G:$G,0))</f>
        <v>0.06</v>
      </c>
      <c r="AX59" s="23" cm="1">
        <f t="array" ref="AX59">VLOOKUP($R59,武学奇术!$A:$ZZ,8,FALSE)+SUM(_xlfn.XLOOKUP(S59:AL59,增益!$A:$A,增益!$H:$H,0))</f>
        <v>0</v>
      </c>
      <c r="AY59">
        <f t="shared" si="1"/>
        <v>0</v>
      </c>
      <c r="AZ59">
        <f t="shared" si="2"/>
        <v>0</v>
      </c>
      <c r="BA59" s="29" cm="1">
        <f t="array" ref="BA59">IF($F$11-$I$4+VLOOKUP($R59,武学奇术!$A:$ZZ,9,FALSE)+SUM(_xlfn.XLOOKUP(S59:AL59,增益!$A:$A,增益!$I:$I,0))&gt;0,($F$11-$I$4+VLOOKUP($R59,武学奇术!$A:$ZZ,9,FALSE)+SUM(_xlfn.XLOOKUP(S59:AL59,增益!$A:$A,增益!$I:$I,0)))/200,($F$11-$I$4+VLOOKUP($R59,武学奇术!$A:$ZZ,9,FALSE)+SUM(_xlfn.XLOOKUP(S59:AL59,增益!$A:$A,增益!$I:$I,0)))/100)</f>
        <v>-0.3</v>
      </c>
      <c r="BB59" s="29" cm="1">
        <f t="array" ref="BB59">$G$11+VLOOKUP($R59,武学奇术!$A:$ZZ,10,FALSE)+SUM(_xlfn.XLOOKUP(S59:AL59,增益!$A:$A,增益!$J:$J,0))</f>
        <v>0</v>
      </c>
      <c r="BC59">
        <f t="shared" si="3"/>
        <v>0</v>
      </c>
      <c r="BD59">
        <f t="shared" si="4"/>
        <v>0</v>
      </c>
      <c r="BE59" s="29" cm="1">
        <f t="array" ref="BE59">IF($F$12-$I$4+VLOOKUP($R59,武学奇术!$A:$ZZ,11,FALSE)+SUM(_xlfn.XLOOKUP(S59:AL59,增益!$A:$A,增益!$K:$K,0))&gt;0,($F$12-$I$4+VLOOKUP($R59,武学奇术!$A:$ZZ,11,FALSE)+SUM(_xlfn.XLOOKUP(S59:AL59,增益!$A:$A,增益!$K:$K,0)))/200,($F$12-$I$4+VLOOKUP($R59,武学奇术!$A:$ZZ,11,FALSE)+SUM(_xlfn.XLOOKUP(S59:AL59,增益!$A:$A,增益!$K:$K,0)))/100)</f>
        <v>-0.3</v>
      </c>
      <c r="BF59" s="29" cm="1">
        <f t="array" ref="BF59">$G$12+VLOOKUP($R59,武学奇术!$A:$ZZ,12,FALSE)+SUM(_xlfn.XLOOKUP(S59:AL59,增益!$A:$A,增益!$L:$L,0))</f>
        <v>0</v>
      </c>
      <c r="BG59">
        <f t="shared" si="5"/>
        <v>0</v>
      </c>
      <c r="BH59">
        <f t="shared" si="6"/>
        <v>0</v>
      </c>
      <c r="BI59" s="29" cm="1">
        <f t="array" ref="BI59">IF($F$13-$I$4+VLOOKUP($R59,武学奇术!$A:$ZZ,13,FALSE)+SUM(_xlfn.XLOOKUP(S59:AL59,增益!$A:$A,增益!$M:$M,0))&gt;0,($F$13-$I$4+VLOOKUP($R59,武学奇术!$A:$ZZ,13,FALSE)+SUM(_xlfn.XLOOKUP(S59:AL59,增益!$A:$A,增益!$K:$K,0)))/200,($F$13-$I$4+VLOOKUP($R59,武学奇术!$A:$ZZ,13,FALSE)+SUM(_xlfn.XLOOKUP(S59:AL59,增益!$A:$A,增益!$M:$M,0)))/100)</f>
        <v>-0.3</v>
      </c>
      <c r="BJ59" s="29" cm="1">
        <f t="array" ref="BJ59">$G$13+VLOOKUP($R59,武学奇术!$A:$ZZ,14,FALSE)+SUM(_xlfn.XLOOKUP(S59:AL59,增益!$A:$A,增益!$N:$N,0))</f>
        <v>0</v>
      </c>
      <c r="BK59">
        <f t="shared" si="7"/>
        <v>618.2</v>
      </c>
      <c r="BL59">
        <f t="shared" si="8"/>
        <v>1805</v>
      </c>
      <c r="BM59" s="29" cm="1">
        <f t="array" ref="BM59">IF($F$14-$I$4+VLOOKUP($R59,武学奇术!$A:$ZZ,15,FALSE)+SUM(_xlfn.XLOOKUP(S59:AL59,增益!$A:$A,增益!$O:$O,0))&gt;0,($F$14-$I$4+VLOOKUP($R59,武学奇术!$A:$ZZ,15,FALSE)+SUM(_xlfn.XLOOKUP(S59:AL59,增益!$A:$A,增益!$O:$O,0)))/200,($F$14-$I$4+VLOOKUP($R59,武学奇术!$A:$ZZ,15,FALSE)+SUM(_xlfn.XLOOKUP(S59:AL59,增益!$A:$A,增益!$O:$O,0)))/100)</f>
        <v>0.05</v>
      </c>
      <c r="BN59" s="29" cm="1">
        <f t="array" ref="BN59">$G$14+VLOOKUP($R59,武学奇术!$A:$ZZ,16,FALSE)+SUM(_xlfn.XLOOKUP(S59:AL59,增益!$A:$A,增益!$P:$P,0))</f>
        <v>0.21</v>
      </c>
      <c r="BO59" s="23">
        <f>MIN(IF(VLOOKUP($R59,武学奇术!$A:$ZZ,23,FALSE)=1,100%,$B$8),100%)</f>
        <v>0.9943</v>
      </c>
      <c r="BP59" s="23" cm="1">
        <f t="array" ref="BP59">IF(VLOOKUP($R59,武学奇术!$A:$ZZ,23,FALSE)=1,100%,MIN(80%,$B$9+VLOOKUP($R59,武学奇术!$A:$ZZ,17,FALSE)+SUM(_xlfn.XLOOKUP(S59:AL59,增益!$A:$A,增益!$Q:$Q,0)))+$B$11+SUM(_xlfn.XLOOKUP(S59:AL59,增益!$A:$A,增益!$U:$U,0)))*IF(VLOOKUP($R59,武学奇术!$A:$ZZ,24,FALSE)=1,0,1)</f>
        <v>0.887</v>
      </c>
      <c r="BQ59" s="23" cm="1">
        <f t="array" ref="BQ59">1+$B$13+VLOOKUP($R59,武学奇术!$A:$ZZ,18,FALSE)+SUM(_xlfn.XLOOKUP(S59:AL59,增益!$A:$A,增益!$R:$R,0))</f>
        <v>2.384</v>
      </c>
      <c r="BR59" s="23" cm="1">
        <f t="array" ref="BR59">IF(VLOOKUP($R59,武学奇术!$A:$ZZ,24,FALSE)=1,100%,MIN(40%,$B$10+VLOOKUP($R59,武学奇术!$A:$ZZ,19,FALSE)+SUM(_xlfn.XLOOKUP(S59:AL59,增益!$A:$A,增益!$S:$S,0)))+$B$12+SUM(_xlfn.XLOOKUP(S59:AL59,增益!$A:$A,增益!$V:$V,0)))*IF(VLOOKUP($R59,武学奇术!$A:$ZZ,23,FALSE)=1,0,1)</f>
        <v>0.0913</v>
      </c>
      <c r="BS59" s="23" cm="1">
        <f t="array" ref="BS59">1+$B$14+VLOOKUP($R59,武学奇术!$A:$ZZ,20,FALSE)+SUM(_xlfn.XLOOKUP(S59:AL59,增益!$A:$A,增益!$T:$T,0))</f>
        <v>1.35</v>
      </c>
      <c r="BT59" s="23">
        <f t="shared" si="9"/>
        <v>0.8819441</v>
      </c>
      <c r="BU59" s="23">
        <f t="shared" si="10"/>
        <v>0.0215763099999999</v>
      </c>
      <c r="BV59" s="23">
        <f>IF(VLOOKUP($R59,武学奇术!$A:$ZZ,22,FALSE)=1,0,(1-$BO59))*(1-$BR59)</f>
        <v>0.00517959000000003</v>
      </c>
      <c r="BW59" s="23" cm="1">
        <f t="array" ref="BW59">SUM(_xlfn.XLOOKUP(S59:AL59,增益!$A:$A,增益!$W:$W,0))+$I$5</f>
        <v>0.11</v>
      </c>
      <c r="BX59" s="23">
        <f>VLOOKUP($R59,武学奇术!$A:$ZZ,32,FALSE)</f>
        <v>0.1</v>
      </c>
      <c r="BY59" s="23" cm="1">
        <f t="array" ref="BY59">SUM(_xlfn.XLOOKUP($S59:$AL59,增益!$A:$A,增益!$X:$X,0))</f>
        <v>0</v>
      </c>
    </row>
    <row r="60" spans="2:77">
      <c r="K60" s="35">
        <f>$L60*VLOOKUP($R60,武学奇术!$A:$ZZ,31,FALSE)</f>
        <v>127911.055327183</v>
      </c>
      <c r="L60" s="58">
        <f t="shared" si="11"/>
        <v>114206.29939927</v>
      </c>
      <c r="M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轻击",$B$21,0))*(1+IF(VLOOKUP($R60,武学奇术!$A:$ZZ,30,FALSE)="老鼠",$B$22,0))*(1+$BW60)*(1+$BX60)</f>
        <v>120107.367926511</v>
      </c>
      <c r="N60" s="35">
        <f>(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轻击",$B$21,0))*(1+IF(VLOOKUP($R60,武学奇术!$A:$ZZ,30,FALSE)="老鼠",$B$22,0))*(1+$BW60))*(1+$BX60)</f>
        <v>76253.5606301748</v>
      </c>
      <c r="O60" s="35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轻击",$B$21,0))*(1+IF(VLOOKUP($R60,武学奇术!$A:$ZZ,30,FALSE)="老鼠",$B$22,0))*(1+$BW60)*(1+$BX60)</f>
        <v>50380.6073517244</v>
      </c>
      <c r="P60" s="35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轻击",$B$21,0))*(1+IF(VLOOKUP($R60,武学奇术!$A:$ZZ,30,FALSE)="老鼠",$B$22,0))*(1+$BW60)*(1+$BX60)</f>
        <v>44277.0957181341</v>
      </c>
      <c r="Q60" s="36">
        <v>1</v>
      </c>
      <c r="R60" s="37" t="s">
        <v>158</v>
      </c>
      <c r="S60" s="37" t="s">
        <v>91</v>
      </c>
      <c r="T60" s="37" t="s">
        <v>184</v>
      </c>
      <c r="U60" s="37" t="s">
        <v>112</v>
      </c>
      <c r="V60" s="37" t="s">
        <v>113</v>
      </c>
      <c r="W60" s="37" t="s">
        <v>82</v>
      </c>
      <c r="X60" s="37" t="s">
        <v>81</v>
      </c>
      <c r="Y60" s="37" t="s">
        <v>109</v>
      </c>
      <c r="Z60" s="37" t="s">
        <v>83</v>
      </c>
      <c r="AA60" s="37" t="s">
        <v>81</v>
      </c>
      <c r="AB60" s="37" t="s">
        <v>81</v>
      </c>
      <c r="AC60" s="37" t="s">
        <v>81</v>
      </c>
      <c r="AD60" s="37" t="s">
        <v>85</v>
      </c>
      <c r="AE60" s="37" t="s">
        <v>86</v>
      </c>
      <c r="AF60" s="37" t="s">
        <v>181</v>
      </c>
      <c r="AG60" s="37" t="s">
        <v>87</v>
      </c>
      <c r="AH60" s="37" t="s">
        <v>81</v>
      </c>
      <c r="AI60" s="37" t="s">
        <v>81</v>
      </c>
      <c r="AJ60" s="37" t="s">
        <v>81</v>
      </c>
      <c r="AK60" s="37" t="s">
        <v>81</v>
      </c>
      <c r="AL60" s="37" t="s">
        <v>81</v>
      </c>
      <c r="AM60" t="str">
        <f>VLOOKUP($R60,武学奇术!$A:$ZZ,25,FALSE)</f>
        <v>双刀</v>
      </c>
      <c r="AN60" s="23">
        <f>VLOOKUP($R60,武学奇术!$A:$ZZ,26,FALSE)</f>
        <v>2.5342</v>
      </c>
      <c r="AO60" s="24">
        <f>VLOOKUP($R60,武学奇术!$A:$ZZ,27,FALSE)*(1+IF(OR($AM60=$F$4,$AM60=$F$5),$B$23,0))</f>
        <v>1123.2</v>
      </c>
      <c r="AP60" s="23">
        <f>VLOOKUP($R60,武学奇术!$A:$ZZ,28,FALSE)</f>
        <v>3.8012</v>
      </c>
      <c r="AQ60" s="24">
        <f>VLOOKUP($R60,武学奇术!$A:$ZZ,29,FALSE)*(1+IF(OR($AM60=$F$4,$AM60=$F$5),$B$23,0))</f>
        <v>611.2</v>
      </c>
      <c r="AR60" s="23" cm="1">
        <f t="array" ref="AR60">$G$3+IFERROR(VLOOKUP($AM60,$F$4:$G$7,2,FALSE),0)+VLOOKUP($R60,武学奇术!$A:$ZZ,2,FALSE)+SUM(_xlfn.XLOOKUP($S60:$AL60,增益!$A:$A,增益!$B:$B,0))</f>
        <v>0.7443</v>
      </c>
      <c r="AS60" s="23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4081.7</v>
      </c>
      <c r="AU60" cm="1">
        <f t="array" ref="AU60">$E$10*(1+$AS60)+VLOOKUP($R60,武学奇术!$A:$ZZ,4,FALSE)+SUM(_xlfn.XLOOKUP($S60:$AL60,增益!$A:$A,增益!$D:$D,0))-$I$2</f>
        <v>4081.7</v>
      </c>
      <c r="AV60" s="29" cm="1">
        <f t="array" ref="AV60">IF($F$10-$I$3+VLOOKUP($R60,武学奇术!$A:$ZZ,6,FALSE)+SUM(_xlfn.XLOOKUP(S60:AL60,增益!$A:$A,增益!$F:$F,0))&gt;0,($F$10-$I$3+VLOOKUP($R60,武学奇术!$A:$ZZ,6,FALSE)+SUM(_xlfn.XLOOKUP(S60:AL60,增益!$A:$A,增益!$F:$F,0)))/200,($F$10-$I$3+VLOOKUP($R60,武学奇术!$A:$ZZ,6,FALSE)+SUM(_xlfn.XLOOKUP(S60:AL60,增益!$A:$A,增益!$F:$F,0)))/100)</f>
        <v>0.3689</v>
      </c>
      <c r="AW60" s="29" cm="1">
        <f t="array" ref="AW60">$G$10+VLOOKUP($R60,武学奇术!$A:$ZZ,7,FALSE)+SUM(_xlfn.XLOOKUP(S60:AL60,增益!$A:$A,增益!$G:$G,0))</f>
        <v>0.06</v>
      </c>
      <c r="AX60" s="23" cm="1">
        <f t="array" ref="AX60">VLOOKUP($R60,武学奇术!$A:$ZZ,8,FALSE)+SUM(_xlfn.XLOOKUP(S60:AL60,增益!$A:$A,增益!$H:$H,0))</f>
        <v>0</v>
      </c>
      <c r="AY60">
        <f t="shared" si="1"/>
        <v>0</v>
      </c>
      <c r="AZ60">
        <f t="shared" si="2"/>
        <v>0</v>
      </c>
      <c r="BA60" s="29" cm="1">
        <f t="array" ref="BA60">IF($F$11-$I$4+VLOOKUP($R60,武学奇术!$A:$ZZ,9,FALSE)+SUM(_xlfn.XLOOKUP(S60:AL60,增益!$A:$A,增益!$I:$I,0))&gt;0,($F$11-$I$4+VLOOKUP($R60,武学奇术!$A:$ZZ,9,FALSE)+SUM(_xlfn.XLOOKUP(S60:AL60,增益!$A:$A,增益!$I:$I,0)))/200,($F$11-$I$4+VLOOKUP($R60,武学奇术!$A:$ZZ,9,FALSE)+SUM(_xlfn.XLOOKUP(S60:AL60,增益!$A:$A,增益!$I:$I,0)))/100)</f>
        <v>-0.3</v>
      </c>
      <c r="BB60" s="29" cm="1">
        <f t="array" ref="BB60">$G$11+VLOOKUP($R60,武学奇术!$A:$ZZ,10,FALSE)+SUM(_xlfn.XLOOKUP(S60:AL60,增益!$A:$A,增益!$J:$J,0))</f>
        <v>0</v>
      </c>
      <c r="BC60">
        <f t="shared" si="3"/>
        <v>0</v>
      </c>
      <c r="BD60">
        <f t="shared" si="4"/>
        <v>0</v>
      </c>
      <c r="BE60" s="29" cm="1">
        <f t="array" ref="BE60">IF($F$12-$I$4+VLOOKUP($R60,武学奇术!$A:$ZZ,11,FALSE)+SUM(_xlfn.XLOOKUP(S60:AL60,增益!$A:$A,增益!$K:$K,0))&gt;0,($F$12-$I$4+VLOOKUP($R60,武学奇术!$A:$ZZ,11,FALSE)+SUM(_xlfn.XLOOKUP(S60:AL60,增益!$A:$A,增益!$K:$K,0)))/200,($F$12-$I$4+VLOOKUP($R60,武学奇术!$A:$ZZ,11,FALSE)+SUM(_xlfn.XLOOKUP(S60:AL60,增益!$A:$A,增益!$K:$K,0)))/100)</f>
        <v>-0.3</v>
      </c>
      <c r="BF60" s="29" cm="1">
        <f t="array" ref="BF60">$G$12+VLOOKUP($R60,武学奇术!$A:$ZZ,12,FALSE)+SUM(_xlfn.XLOOKUP(S60:AL60,增益!$A:$A,增益!$L:$L,0))</f>
        <v>0</v>
      </c>
      <c r="BG60">
        <f t="shared" si="5"/>
        <v>0</v>
      </c>
      <c r="BH60">
        <f t="shared" si="6"/>
        <v>0</v>
      </c>
      <c r="BI60" s="29" cm="1">
        <f t="array" ref="BI60">IF($F$13-$I$4+VLOOKUP($R60,武学奇术!$A:$ZZ,13,FALSE)+SUM(_xlfn.XLOOKUP(S60:AL60,增益!$A:$A,增益!$M:$M,0))&gt;0,($F$13-$I$4+VLOOKUP($R60,武学奇术!$A:$ZZ,13,FALSE)+SUM(_xlfn.XLOOKUP(S60:AL60,增益!$A:$A,增益!$K:$K,0)))/200,($F$13-$I$4+VLOOKUP($R60,武学奇术!$A:$ZZ,13,FALSE)+SUM(_xlfn.XLOOKUP(S60:AL60,增益!$A:$A,增益!$M:$M,0)))/100)</f>
        <v>-0.3</v>
      </c>
      <c r="BJ60" s="29" cm="1">
        <f t="array" ref="BJ60">$G$13+VLOOKUP($R60,武学奇术!$A:$ZZ,14,FALSE)+SUM(_xlfn.XLOOKUP(S60:AL60,增益!$A:$A,增益!$N:$N,0))</f>
        <v>0</v>
      </c>
      <c r="BK60">
        <f t="shared" si="7"/>
        <v>618.2</v>
      </c>
      <c r="BL60">
        <f t="shared" si="8"/>
        <v>1805</v>
      </c>
      <c r="BM60" s="29" cm="1">
        <f t="array" ref="BM60">IF($F$14-$I$4+VLOOKUP($R60,武学奇术!$A:$ZZ,15,FALSE)+SUM(_xlfn.XLOOKUP(S60:AL60,增益!$A:$A,增益!$O:$O,0))&gt;0,($F$14-$I$4+VLOOKUP($R60,武学奇术!$A:$ZZ,15,FALSE)+SUM(_xlfn.XLOOKUP(S60:AL60,增益!$A:$A,增益!$O:$O,0)))/200,($F$14-$I$4+VLOOKUP($R60,武学奇术!$A:$ZZ,15,FALSE)+SUM(_xlfn.XLOOKUP(S60:AL60,增益!$A:$A,增益!$O:$O,0)))/100)</f>
        <v>0.05</v>
      </c>
      <c r="BN60" s="29" cm="1">
        <f t="array" ref="BN60">$G$14+VLOOKUP($R60,武学奇术!$A:$ZZ,16,FALSE)+SUM(_xlfn.XLOOKUP(S60:AL60,增益!$A:$A,增益!$P:$P,0))</f>
        <v>0.21</v>
      </c>
      <c r="BO60" s="23">
        <f>MIN(IF(VLOOKUP($R60,武学奇术!$A:$ZZ,23,FALSE)=1,100%,$B$8),100%)</f>
        <v>0.9943</v>
      </c>
      <c r="BP60" s="23" cm="1">
        <f t="array" ref="BP60">IF(VLOOKUP($R60,武学奇术!$A:$ZZ,23,FALSE)=1,100%,MIN(80%,$B$9+VLOOKUP($R60,武学奇术!$A:$ZZ,17,FALSE)+SUM(_xlfn.XLOOKUP(S60:AL60,增益!$A:$A,增益!$Q:$Q,0)))+$B$11+SUM(_xlfn.XLOOKUP(S60:AL60,增益!$A:$A,增益!$U:$U,0)))*IF(VLOOKUP($R60,武学奇术!$A:$ZZ,24,FALSE)=1,0,1)</f>
        <v>0.887</v>
      </c>
      <c r="BQ60" s="23" cm="1">
        <f t="array" ref="BQ60">1+$B$13+VLOOKUP($R60,武学奇术!$A:$ZZ,18,FALSE)+SUM(_xlfn.XLOOKUP(S60:AL60,增益!$A:$A,增益!$R:$R,0))</f>
        <v>2.384</v>
      </c>
      <c r="BR60" s="23" cm="1">
        <f t="array" ref="BR60">IF(VLOOKUP($R60,武学奇术!$A:$ZZ,24,FALSE)=1,100%,MIN(40%,$B$10+VLOOKUP($R60,武学奇术!$A:$ZZ,19,FALSE)+SUM(_xlfn.XLOOKUP(S60:AL60,增益!$A:$A,增益!$S:$S,0)))+$B$12+SUM(_xlfn.XLOOKUP(S60:AL60,增益!$A:$A,增益!$V:$V,0)))*IF(VLOOKUP($R60,武学奇术!$A:$ZZ,23,FALSE)=1,0,1)</f>
        <v>0.0913</v>
      </c>
      <c r="BS60" s="23" cm="1">
        <f t="array" ref="BS60">1+$B$14+VLOOKUP($R60,武学奇术!$A:$ZZ,20,FALSE)+SUM(_xlfn.XLOOKUP(S60:AL60,增益!$A:$A,增益!$T:$T,0))</f>
        <v>1.35</v>
      </c>
      <c r="BT60" s="23">
        <f t="shared" si="9"/>
        <v>0.8819441</v>
      </c>
      <c r="BU60" s="23">
        <f t="shared" si="10"/>
        <v>0.0215763099999999</v>
      </c>
      <c r="BV60" s="23">
        <f>IF(VLOOKUP($R60,武学奇术!$A:$ZZ,22,FALSE)=1,0,(1-$BO60))*(1-$BR60)</f>
        <v>0.00517959000000003</v>
      </c>
      <c r="BW60" s="23" cm="1">
        <f t="array" ref="BW60">SUM(_xlfn.XLOOKUP(S60:AL60,增益!$A:$A,增益!$W:$W,0))+$I$5</f>
        <v>0.11</v>
      </c>
      <c r="BX60" s="23">
        <f>VLOOKUP($R60,武学奇术!$A:$ZZ,32,FALSE)</f>
        <v>0.1</v>
      </c>
      <c r="BY60" s="23" cm="1">
        <f t="array" ref="BY60">SUM(_xlfn.XLOOKUP($S60:$AL60,增益!$A:$A,增益!$X:$X,0))</f>
        <v>0</v>
      </c>
    </row>
    <row r="61" spans="2:77">
      <c r="K61" s="35">
        <f>$L61*VLOOKUP($R61,武学奇术!$A:$ZZ,31,FALSE)</f>
        <v>48616.9539572852</v>
      </c>
      <c r="L61" s="58">
        <f t="shared" si="11"/>
        <v>47663.6803502796</v>
      </c>
      <c r="M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轻击",$B$21,0))*(1+IF(VLOOKUP($R61,武学奇术!$A:$ZZ,30,FALSE)="老鼠",$B$22,0))*(1+$BW61)*(1+$BX61)</f>
        <v>50132.3397040238</v>
      </c>
      <c r="N61" s="35">
        <f>(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轻击",$B$21,0))*(1+IF(VLOOKUP($R61,武学奇术!$A:$ZZ,30,FALSE)="老鼠",$B$22,0))*(1+$BW61))*(1+$BX61)</f>
        <v>31764.1734956838</v>
      </c>
      <c r="O61" s="35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轻击",$B$21,0))*(1+IF(VLOOKUP($R61,武学奇术!$A:$ZZ,30,FALSE)="老鼠",$B$22,0))*(1+$BW61)*(1+$BX61)</f>
        <v>21028.6659832315</v>
      </c>
      <c r="P61" s="35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轻击",$B$21,0))*(1+IF(VLOOKUP($R61,武学奇术!$A:$ZZ,30,FALSE)="老鼠",$B$22,0))*(1+$BW61)*(1+$BX61)</f>
        <v>18528.3145622527</v>
      </c>
      <c r="Q61" s="36">
        <v>1</v>
      </c>
      <c r="R61" s="37" t="s">
        <v>160</v>
      </c>
      <c r="S61" s="37" t="s">
        <v>91</v>
      </c>
      <c r="T61" s="37" t="s">
        <v>184</v>
      </c>
      <c r="U61" s="37" t="s">
        <v>81</v>
      </c>
      <c r="V61" s="37" t="s">
        <v>81</v>
      </c>
      <c r="W61" s="37" t="s">
        <v>82</v>
      </c>
      <c r="X61" s="37" t="s">
        <v>81</v>
      </c>
      <c r="Y61" s="37" t="s">
        <v>81</v>
      </c>
      <c r="Z61" s="37" t="s">
        <v>83</v>
      </c>
      <c r="AA61" s="37" t="s">
        <v>81</v>
      </c>
      <c r="AB61" s="37" t="s">
        <v>81</v>
      </c>
      <c r="AC61" s="37" t="s">
        <v>81</v>
      </c>
      <c r="AD61" s="37" t="s">
        <v>85</v>
      </c>
      <c r="AE61" s="37" t="s">
        <v>86</v>
      </c>
      <c r="AF61" s="37" t="s">
        <v>181</v>
      </c>
      <c r="AG61" s="37" t="s">
        <v>87</v>
      </c>
      <c r="AH61" s="37" t="s">
        <v>81</v>
      </c>
      <c r="AI61" s="37" t="s">
        <v>81</v>
      </c>
      <c r="AJ61" s="37" t="s">
        <v>81</v>
      </c>
      <c r="AK61" s="37" t="s">
        <v>81</v>
      </c>
      <c r="AL61" s="37" t="s">
        <v>81</v>
      </c>
      <c r="AM61" t="str">
        <f>VLOOKUP($R61,武学奇术!$A:$ZZ,25,FALSE)</f>
        <v>双刀</v>
      </c>
      <c r="AN61" s="23">
        <f>VLOOKUP($R61,武学奇术!$A:$ZZ,26,FALSE)</f>
        <v>1.3548</v>
      </c>
      <c r="AO61" s="24">
        <f>VLOOKUP($R61,武学奇术!$A:$ZZ,27,FALSE)*(1+IF(OR($AM61=$F$4,$AM61=$F$5),$B$23,0))</f>
        <v>601.6</v>
      </c>
      <c r="AP61" s="23">
        <f>VLOOKUP($R61,武学奇术!$A:$ZZ,28,FALSE)</f>
        <v>2.0322</v>
      </c>
      <c r="AQ61" s="24">
        <f>VLOOKUP($R61,武学奇术!$A:$ZZ,29,FALSE)*(1+IF(OR($AM61=$F$4,$AM61=$F$5),$B$23,0))</f>
        <v>328</v>
      </c>
      <c r="AR61" s="23" cm="1">
        <f t="array" ref="AR61">$G$3+IFERROR(VLOOKUP($AM61,$F$4:$G$7,2,FALSE),0)+VLOOKUP($R61,武学奇术!$A:$ZZ,2,FALSE)+SUM(_xlfn.XLOOKUP($S61:$AL61,增益!$A:$A,增益!$B:$B,0))</f>
        <v>0.6243</v>
      </c>
      <c r="AS61" s="23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4013</v>
      </c>
      <c r="AU61" cm="1">
        <f t="array" ref="AU61">$E$10*(1+$AS61)+VLOOKUP($R61,武学奇术!$A:$ZZ,4,FALSE)+SUM(_xlfn.XLOOKUP($S61:$AL61,增益!$A:$A,增益!$D:$D,0))-$I$2</f>
        <v>4013</v>
      </c>
      <c r="AV61" s="29" cm="1">
        <f t="array" ref="AV61">IF($F$10-$I$3+VLOOKUP($R61,武学奇术!$A:$ZZ,6,FALSE)+SUM(_xlfn.XLOOKUP(S61:AL61,增益!$A:$A,增益!$F:$F,0))&gt;0,($F$10-$I$3+VLOOKUP($R61,武学奇术!$A:$ZZ,6,FALSE)+SUM(_xlfn.XLOOKUP(S61:AL61,增益!$A:$A,增益!$F:$F,0)))/200,($F$10-$I$3+VLOOKUP($R61,武学奇术!$A:$ZZ,6,FALSE)+SUM(_xlfn.XLOOKUP(S61:AL61,增益!$A:$A,增益!$F:$F,0)))/100)</f>
        <v>0.3689</v>
      </c>
      <c r="AW61" s="29" cm="1">
        <f t="array" ref="AW61">$G$10+VLOOKUP($R61,武学奇术!$A:$ZZ,7,FALSE)+SUM(_xlfn.XLOOKUP(S61:AL61,增益!$A:$A,增益!$G:$G,0))</f>
        <v>0</v>
      </c>
      <c r="AX61" s="23" cm="1">
        <f t="array" ref="AX61">VLOOKUP($R61,武学奇术!$A:$ZZ,8,FALSE)+SUM(_xlfn.XLOOKUP(S61:AL61,增益!$A:$A,增益!$H:$H,0))</f>
        <v>0</v>
      </c>
      <c r="AY61">
        <f t="shared" si="1"/>
        <v>0</v>
      </c>
      <c r="AZ61">
        <f t="shared" si="2"/>
        <v>0</v>
      </c>
      <c r="BA61" s="29" cm="1">
        <f t="array" ref="BA61">IF($F$11-$I$4+VLOOKUP($R61,武学奇术!$A:$ZZ,9,FALSE)+SUM(_xlfn.XLOOKUP(S61:AL61,增益!$A:$A,增益!$I:$I,0))&gt;0,($F$11-$I$4+VLOOKUP($R61,武学奇术!$A:$ZZ,9,FALSE)+SUM(_xlfn.XLOOKUP(S61:AL61,增益!$A:$A,增益!$I:$I,0)))/200,($F$11-$I$4+VLOOKUP($R61,武学奇术!$A:$ZZ,9,FALSE)+SUM(_xlfn.XLOOKUP(S61:AL61,增益!$A:$A,增益!$I:$I,0)))/100)</f>
        <v>-0.3</v>
      </c>
      <c r="BB61" s="29" cm="1">
        <f t="array" ref="BB61">$G$11+VLOOKUP($R61,武学奇术!$A:$ZZ,10,FALSE)+SUM(_xlfn.XLOOKUP(S61:AL61,增益!$A:$A,增益!$J:$J,0))</f>
        <v>0</v>
      </c>
      <c r="BC61">
        <f t="shared" si="3"/>
        <v>0</v>
      </c>
      <c r="BD61">
        <f t="shared" si="4"/>
        <v>0</v>
      </c>
      <c r="BE61" s="29" cm="1">
        <f t="array" ref="BE61">IF($F$12-$I$4+VLOOKUP($R61,武学奇术!$A:$ZZ,11,FALSE)+SUM(_xlfn.XLOOKUP(S61:AL61,增益!$A:$A,增益!$K:$K,0))&gt;0,($F$12-$I$4+VLOOKUP($R61,武学奇术!$A:$ZZ,11,FALSE)+SUM(_xlfn.XLOOKUP(S61:AL61,增益!$A:$A,增益!$K:$K,0)))/200,($F$12-$I$4+VLOOKUP($R61,武学奇术!$A:$ZZ,11,FALSE)+SUM(_xlfn.XLOOKUP(S61:AL61,增益!$A:$A,增益!$K:$K,0)))/100)</f>
        <v>-0.3</v>
      </c>
      <c r="BF61" s="29" cm="1">
        <f t="array" ref="BF61">$G$12+VLOOKUP($R61,武学奇术!$A:$ZZ,12,FALSE)+SUM(_xlfn.XLOOKUP(S61:AL61,增益!$A:$A,增益!$L:$L,0))</f>
        <v>0</v>
      </c>
      <c r="BG61">
        <f t="shared" si="5"/>
        <v>0</v>
      </c>
      <c r="BH61">
        <f t="shared" si="6"/>
        <v>0</v>
      </c>
      <c r="BI61" s="29" cm="1">
        <f t="array" ref="BI61">IF($F$13-$I$4+VLOOKUP($R61,武学奇术!$A:$ZZ,13,FALSE)+SUM(_xlfn.XLOOKUP(S61:AL61,增益!$A:$A,增益!$M:$M,0))&gt;0,($F$13-$I$4+VLOOKUP($R61,武学奇术!$A:$ZZ,13,FALSE)+SUM(_xlfn.XLOOKUP(S61:AL61,增益!$A:$A,增益!$K:$K,0)))/200,($F$13-$I$4+VLOOKUP($R61,武学奇术!$A:$ZZ,13,FALSE)+SUM(_xlfn.XLOOKUP(S61:AL61,增益!$A:$A,增益!$M:$M,0)))/100)</f>
        <v>-0.3</v>
      </c>
      <c r="BJ61" s="29" cm="1">
        <f t="array" ref="BJ61">$G$13+VLOOKUP($R61,武学奇术!$A:$ZZ,14,FALSE)+SUM(_xlfn.XLOOKUP(S61:AL61,增益!$A:$A,增益!$N:$N,0))</f>
        <v>0</v>
      </c>
      <c r="BK61">
        <f t="shared" si="7"/>
        <v>618.2</v>
      </c>
      <c r="BL61">
        <f t="shared" si="8"/>
        <v>1805</v>
      </c>
      <c r="BM61" s="29" cm="1">
        <f t="array" ref="BM61">IF($F$14-$I$4+VLOOKUP($R61,武学奇术!$A:$ZZ,15,FALSE)+SUM(_xlfn.XLOOKUP(S61:AL61,增益!$A:$A,增益!$O:$O,0))&gt;0,($F$14-$I$4+VLOOKUP($R61,武学奇术!$A:$ZZ,15,FALSE)+SUM(_xlfn.XLOOKUP(S61:AL61,增益!$A:$A,增益!$O:$O,0)))/200,($F$14-$I$4+VLOOKUP($R61,武学奇术!$A:$ZZ,15,FALSE)+SUM(_xlfn.XLOOKUP(S61:AL61,增益!$A:$A,增益!$O:$O,0)))/100)</f>
        <v>0</v>
      </c>
      <c r="BN61" s="29" cm="1">
        <f t="array" ref="BN61">$G$14+VLOOKUP($R61,武学奇术!$A:$ZZ,16,FALSE)+SUM(_xlfn.XLOOKUP(S61:AL61,增益!$A:$A,增益!$P:$P,0))</f>
        <v>0.15</v>
      </c>
      <c r="BO61" s="23">
        <f>MIN(IF(VLOOKUP($R61,武学奇术!$A:$ZZ,23,FALSE)=1,100%,$B$8),100%)</f>
        <v>0.9943</v>
      </c>
      <c r="BP61" s="23" cm="1">
        <f t="array" ref="BP61">IF(VLOOKUP($R61,武学奇术!$A:$ZZ,23,FALSE)=1,100%,MIN(80%,$B$9+VLOOKUP($R61,武学奇术!$A:$ZZ,17,FALSE)+SUM(_xlfn.XLOOKUP(S61:AL61,增益!$A:$A,增益!$Q:$Q,0)))+$B$11+SUM(_xlfn.XLOOKUP(S61:AL61,增益!$A:$A,增益!$U:$U,0)))*IF(VLOOKUP($R61,武学奇术!$A:$ZZ,24,FALSE)=1,0,1)</f>
        <v>0.887</v>
      </c>
      <c r="BQ61" s="23" cm="1">
        <f t="array" ref="BQ61">1+$B$13+VLOOKUP($R61,武学奇术!$A:$ZZ,18,FALSE)+SUM(_xlfn.XLOOKUP(S61:AL61,增益!$A:$A,增益!$R:$R,0))</f>
        <v>2.384</v>
      </c>
      <c r="BR61" s="23" cm="1">
        <f t="array" ref="BR61">IF(VLOOKUP($R61,武学奇术!$A:$ZZ,24,FALSE)=1,100%,MIN(40%,$B$10+VLOOKUP($R61,武学奇术!$A:$ZZ,19,FALSE)+SUM(_xlfn.XLOOKUP(S61:AL61,增益!$A:$A,增益!$S:$S,0)))+$B$12+SUM(_xlfn.XLOOKUP(S61:AL61,增益!$A:$A,增益!$V:$V,0)))*IF(VLOOKUP($R61,武学奇术!$A:$ZZ,23,FALSE)=1,0,1)</f>
        <v>0.0913</v>
      </c>
      <c r="BS61" s="23" cm="1">
        <f t="array" ref="BS61">1+$B$14+VLOOKUP($R61,武学奇术!$A:$ZZ,20,FALSE)+SUM(_xlfn.XLOOKUP(S61:AL61,增益!$A:$A,增益!$T:$T,0))</f>
        <v>1.35</v>
      </c>
      <c r="BT61" s="23">
        <f t="shared" si="9"/>
        <v>0.8819441</v>
      </c>
      <c r="BU61" s="23">
        <f t="shared" si="10"/>
        <v>0.0215763099999999</v>
      </c>
      <c r="BV61" s="23">
        <f>IF(VLOOKUP($R61,武学奇术!$A:$ZZ,22,FALSE)=1,0,(1-$BO61))*(1-$BR61)</f>
        <v>0.00517959000000003</v>
      </c>
      <c r="BW61" s="23" cm="1">
        <f t="array" ref="BW61">SUM(_xlfn.XLOOKUP(S61:AL61,增益!$A:$A,增益!$W:$W,0))+$I$5</f>
        <v>0.11</v>
      </c>
      <c r="BX61" s="23">
        <f>VLOOKUP($R61,武学奇术!$A:$ZZ,32,FALSE)</f>
        <v>0</v>
      </c>
      <c r="BY61" s="23" cm="1">
        <f t="array" ref="BY61">SUM(_xlfn.XLOOKUP($S61:$AL61,增益!$A:$A,增益!$X:$X,0))</f>
        <v>0</v>
      </c>
    </row>
    <row r="62" spans="2:77">
      <c r="B62" s="89"/>
      <c r="K62" s="35">
        <f>$L62*VLOOKUP($R62,武学奇术!$A:$ZZ,31,FALSE)</f>
        <v>32683.1653502416</v>
      </c>
      <c r="L62" s="58">
        <f t="shared" si="11"/>
        <v>29181.3976341442</v>
      </c>
      <c r="M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轻击",$B$21,0))*(1+IF(VLOOKUP($R62,武学奇术!$A:$ZZ,30,FALSE)="老鼠",$B$22,0))*(1+$BW62)*(1+$BX62)</f>
        <v>30689.3007293785</v>
      </c>
      <c r="N62" s="35">
        <f>(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轻击",$B$21,0))*(1+IF(VLOOKUP($R62,武学奇术!$A:$ZZ,30,FALSE)="老鼠",$B$22,0))*(1+$BW62))*(1+$BX62)</f>
        <v>19482.9612960296</v>
      </c>
      <c r="O62" s="35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轻击",$B$21,0))*(1+IF(VLOOKUP($R62,武学奇术!$A:$ZZ,30,FALSE)="老鼠",$B$22,0))*(1+$BW62)*(1+$BX62)</f>
        <v>12873.0288294373</v>
      </c>
      <c r="P62" s="35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轻击",$B$21,0))*(1+IF(VLOOKUP($R62,武学奇术!$A:$ZZ,30,FALSE)="老鼠",$B$22,0))*(1+$BW62)*(1+$BX62)</f>
        <v>11314.2344766304</v>
      </c>
      <c r="Q62" s="36">
        <v>1</v>
      </c>
      <c r="R62" s="37" t="s">
        <v>139</v>
      </c>
      <c r="S62" s="37" t="s">
        <v>91</v>
      </c>
      <c r="T62" s="37" t="s">
        <v>184</v>
      </c>
      <c r="U62" s="37" t="s">
        <v>112</v>
      </c>
      <c r="V62" s="37" t="s">
        <v>113</v>
      </c>
      <c r="W62" s="37" t="s">
        <v>82</v>
      </c>
      <c r="X62" s="37" t="s">
        <v>81</v>
      </c>
      <c r="Y62" s="37" t="s">
        <v>109</v>
      </c>
      <c r="Z62" s="37" t="s">
        <v>83</v>
      </c>
      <c r="AA62" s="37" t="s">
        <v>81</v>
      </c>
      <c r="AB62" s="37" t="s">
        <v>81</v>
      </c>
      <c r="AC62" s="37" t="s">
        <v>81</v>
      </c>
      <c r="AD62" s="37" t="s">
        <v>85</v>
      </c>
      <c r="AE62" s="37" t="s">
        <v>86</v>
      </c>
      <c r="AF62" s="37" t="s">
        <v>181</v>
      </c>
      <c r="AG62" s="37" t="s">
        <v>87</v>
      </c>
      <c r="AH62" s="37" t="s">
        <v>81</v>
      </c>
      <c r="AI62" s="37" t="s">
        <v>81</v>
      </c>
      <c r="AJ62" s="37" t="s">
        <v>81</v>
      </c>
      <c r="AK62" s="37" t="s">
        <v>81</v>
      </c>
      <c r="AL62" s="37" t="s">
        <v>81</v>
      </c>
      <c r="AM62" t="str">
        <f>VLOOKUP($R62,武学奇术!$A:$ZZ,25,FALSE)</f>
        <v>双刀</v>
      </c>
      <c r="AN62" s="23">
        <f>VLOOKUP($R62,武学奇术!$A:$ZZ,26,FALSE)</f>
        <v>0.6472</v>
      </c>
      <c r="AO62" s="24">
        <f>VLOOKUP($R62,武学奇术!$A:$ZZ,27,FALSE)*(1+IF(OR($AM62=$F$4,$AM62=$F$5),$B$23,0))</f>
        <v>288</v>
      </c>
      <c r="AP62" s="23">
        <f>VLOOKUP($R62,武学奇术!$A:$ZZ,28,FALSE)</f>
        <v>0.9708</v>
      </c>
      <c r="AQ62" s="24">
        <f>VLOOKUP($R62,武学奇术!$A:$ZZ,29,FALSE)*(1+IF(OR($AM62=$F$4,$AM62=$F$5),$B$23,0))</f>
        <v>156.8</v>
      </c>
      <c r="AR62" s="23" cm="1">
        <f t="array" ref="AR62">$G$3+IFERROR(VLOOKUP($AM62,$F$4:$G$7,2,FALSE),0)+VLOOKUP($R62,武学奇术!$A:$ZZ,2,FALSE)+SUM(_xlfn.XLOOKUP($S62:$AL62,增益!$A:$A,增益!$B:$B,0))</f>
        <v>0.7443</v>
      </c>
      <c r="AS62" s="23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4081.7</v>
      </c>
      <c r="AU62" cm="1">
        <f t="array" ref="AU62">$E$10*(1+$AS62)+VLOOKUP($R62,武学奇术!$A:$ZZ,4,FALSE)+SUM(_xlfn.XLOOKUP($S62:$AL62,增益!$A:$A,增益!$D:$D,0))-$I$2</f>
        <v>4081.7</v>
      </c>
      <c r="AV62" s="29" cm="1">
        <f t="array" ref="AV62">IF($F$10-$I$3+VLOOKUP($R62,武学奇术!$A:$ZZ,6,FALSE)+SUM(_xlfn.XLOOKUP(S62:AL62,增益!$A:$A,增益!$F:$F,0))&gt;0,($F$10-$I$3+VLOOKUP($R62,武学奇术!$A:$ZZ,6,FALSE)+SUM(_xlfn.XLOOKUP(S62:AL62,增益!$A:$A,增益!$F:$F,0)))/200,($F$10-$I$3+VLOOKUP($R62,武学奇术!$A:$ZZ,6,FALSE)+SUM(_xlfn.XLOOKUP(S62:AL62,增益!$A:$A,增益!$F:$F,0)))/100)</f>
        <v>0.3689</v>
      </c>
      <c r="AW62" s="29" cm="1">
        <f t="array" ref="AW62">$G$10+VLOOKUP($R62,武学奇术!$A:$ZZ,7,FALSE)+SUM(_xlfn.XLOOKUP(S62:AL62,增益!$A:$A,增益!$G:$G,0))</f>
        <v>0.06</v>
      </c>
      <c r="AX62" s="23" cm="1">
        <f t="array" ref="AX62">VLOOKUP($R62,武学奇术!$A:$ZZ,8,FALSE)+SUM(_xlfn.XLOOKUP(S62:AL62,增益!$A:$A,增益!$H:$H,0))</f>
        <v>0</v>
      </c>
      <c r="AY62">
        <f t="shared" si="1"/>
        <v>0</v>
      </c>
      <c r="AZ62">
        <f t="shared" si="2"/>
        <v>0</v>
      </c>
      <c r="BA62" s="29" cm="1">
        <f t="array" ref="BA62">IF($F$11-$I$4+VLOOKUP($R62,武学奇术!$A:$ZZ,9,FALSE)+SUM(_xlfn.XLOOKUP(S62:AL62,增益!$A:$A,增益!$I:$I,0))&gt;0,($F$11-$I$4+VLOOKUP($R62,武学奇术!$A:$ZZ,9,FALSE)+SUM(_xlfn.XLOOKUP(S62:AL62,增益!$A:$A,增益!$I:$I,0)))/200,($F$11-$I$4+VLOOKUP($R62,武学奇术!$A:$ZZ,9,FALSE)+SUM(_xlfn.XLOOKUP(S62:AL62,增益!$A:$A,增益!$I:$I,0)))/100)</f>
        <v>-0.3</v>
      </c>
      <c r="BB62" s="29" cm="1">
        <f t="array" ref="BB62">$G$11+VLOOKUP($R62,武学奇术!$A:$ZZ,10,FALSE)+SUM(_xlfn.XLOOKUP(S62:AL62,增益!$A:$A,增益!$J:$J,0))</f>
        <v>0</v>
      </c>
      <c r="BC62">
        <f t="shared" si="3"/>
        <v>0</v>
      </c>
      <c r="BD62">
        <f t="shared" si="4"/>
        <v>0</v>
      </c>
      <c r="BE62" s="29" cm="1">
        <f t="array" ref="BE62">IF($F$12-$I$4+VLOOKUP($R62,武学奇术!$A:$ZZ,11,FALSE)+SUM(_xlfn.XLOOKUP(S62:AL62,增益!$A:$A,增益!$K:$K,0))&gt;0,($F$12-$I$4+VLOOKUP($R62,武学奇术!$A:$ZZ,11,FALSE)+SUM(_xlfn.XLOOKUP(S62:AL62,增益!$A:$A,增益!$K:$K,0)))/200,($F$12-$I$4+VLOOKUP($R62,武学奇术!$A:$ZZ,11,FALSE)+SUM(_xlfn.XLOOKUP(S62:AL62,增益!$A:$A,增益!$K:$K,0)))/100)</f>
        <v>-0.3</v>
      </c>
      <c r="BF62" s="29" cm="1">
        <f t="array" ref="BF62">$G$12+VLOOKUP($R62,武学奇术!$A:$ZZ,12,FALSE)+SUM(_xlfn.XLOOKUP(S62:AL62,增益!$A:$A,增益!$L:$L,0))</f>
        <v>0</v>
      </c>
      <c r="BG62">
        <f t="shared" si="5"/>
        <v>0</v>
      </c>
      <c r="BH62">
        <f t="shared" si="6"/>
        <v>0</v>
      </c>
      <c r="BI62" s="29" cm="1">
        <f t="array" ref="BI62">IF($F$13-$I$4+VLOOKUP($R62,武学奇术!$A:$ZZ,13,FALSE)+SUM(_xlfn.XLOOKUP(S62:AL62,增益!$A:$A,增益!$M:$M,0))&gt;0,($F$13-$I$4+VLOOKUP($R62,武学奇术!$A:$ZZ,13,FALSE)+SUM(_xlfn.XLOOKUP(S62:AL62,增益!$A:$A,增益!$K:$K,0)))/200,($F$13-$I$4+VLOOKUP($R62,武学奇术!$A:$ZZ,13,FALSE)+SUM(_xlfn.XLOOKUP(S62:AL62,增益!$A:$A,增益!$M:$M,0)))/100)</f>
        <v>-0.3</v>
      </c>
      <c r="BJ62" s="29" cm="1">
        <f t="array" ref="BJ62">$G$13+VLOOKUP($R62,武学奇术!$A:$ZZ,14,FALSE)+SUM(_xlfn.XLOOKUP(S62:AL62,增益!$A:$A,增益!$N:$N,0))</f>
        <v>0</v>
      </c>
      <c r="BK62">
        <f t="shared" si="7"/>
        <v>618.2</v>
      </c>
      <c r="BL62">
        <f t="shared" si="8"/>
        <v>1805</v>
      </c>
      <c r="BM62" s="29" cm="1">
        <f t="array" ref="BM62">IF($F$14-$I$4+VLOOKUP($R62,武学奇术!$A:$ZZ,15,FALSE)+SUM(_xlfn.XLOOKUP(S62:AL62,增益!$A:$A,增益!$O:$O,0))&gt;0,($F$14-$I$4+VLOOKUP($R62,武学奇术!$A:$ZZ,15,FALSE)+SUM(_xlfn.XLOOKUP(S62:AL62,增益!$A:$A,增益!$O:$O,0)))/200,($F$14-$I$4+VLOOKUP($R62,武学奇术!$A:$ZZ,15,FALSE)+SUM(_xlfn.XLOOKUP(S62:AL62,增益!$A:$A,增益!$O:$O,0)))/100)</f>
        <v>0.05</v>
      </c>
      <c r="BN62" s="29" cm="1">
        <f t="array" ref="BN62">$G$14+VLOOKUP($R62,武学奇术!$A:$ZZ,16,FALSE)+SUM(_xlfn.XLOOKUP(S62:AL62,增益!$A:$A,增益!$P:$P,0))</f>
        <v>0.21</v>
      </c>
      <c r="BO62" s="23">
        <f>MIN(IF(VLOOKUP($R62,武学奇术!$A:$ZZ,23,FALSE)=1,100%,$B$8),100%)</f>
        <v>0.9943</v>
      </c>
      <c r="BP62" s="23" cm="1">
        <f t="array" ref="BP62">IF(VLOOKUP($R62,武学奇术!$A:$ZZ,23,FALSE)=1,100%,MIN(80%,$B$9+VLOOKUP($R62,武学奇术!$A:$ZZ,17,FALSE)+SUM(_xlfn.XLOOKUP(S62:AL62,增益!$A:$A,增益!$Q:$Q,0)))+$B$11+SUM(_xlfn.XLOOKUP(S62:AL62,增益!$A:$A,增益!$U:$U,0)))*IF(VLOOKUP($R62,武学奇术!$A:$ZZ,24,FALSE)=1,0,1)</f>
        <v>0.887</v>
      </c>
      <c r="BQ62" s="23" cm="1">
        <f t="array" ref="BQ62">1+$B$13+VLOOKUP($R62,武学奇术!$A:$ZZ,18,FALSE)+SUM(_xlfn.XLOOKUP(S62:AL62,增益!$A:$A,增益!$R:$R,0))</f>
        <v>2.384</v>
      </c>
      <c r="BR62" s="23" cm="1">
        <f t="array" ref="BR62">IF(VLOOKUP($R62,武学奇术!$A:$ZZ,24,FALSE)=1,100%,MIN(40%,$B$10+VLOOKUP($R62,武学奇术!$A:$ZZ,19,FALSE)+SUM(_xlfn.XLOOKUP(S62:AL62,增益!$A:$A,增益!$S:$S,0)))+$B$12+SUM(_xlfn.XLOOKUP(S62:AL62,增益!$A:$A,增益!$V:$V,0)))*IF(VLOOKUP($R62,武学奇术!$A:$ZZ,23,FALSE)=1,0,1)</f>
        <v>0.0913</v>
      </c>
      <c r="BS62" s="23" cm="1">
        <f t="array" ref="BS62">1+$B$14+VLOOKUP($R62,武学奇术!$A:$ZZ,20,FALSE)+SUM(_xlfn.XLOOKUP(S62:AL62,增益!$A:$A,增益!$T:$T,0))</f>
        <v>1.35</v>
      </c>
      <c r="BT62" s="23">
        <f t="shared" si="9"/>
        <v>0.8819441</v>
      </c>
      <c r="BU62" s="23">
        <f t="shared" si="10"/>
        <v>0.0215763099999999</v>
      </c>
      <c r="BV62" s="23">
        <f>IF(VLOOKUP($R62,武学奇术!$A:$ZZ,22,FALSE)=1,0,(1-$BO62))*(1-$BR62)</f>
        <v>0.00517959000000003</v>
      </c>
      <c r="BW62" s="23" cm="1">
        <f t="array" ref="BW62">SUM(_xlfn.XLOOKUP(S62:AL62,增益!$A:$A,增益!$W:$W,0))+$I$5</f>
        <v>0.11</v>
      </c>
      <c r="BX62" s="23">
        <f>VLOOKUP($R62,武学奇术!$A:$ZZ,32,FALSE)</f>
        <v>0.1</v>
      </c>
      <c r="BY62" s="23" cm="1">
        <f t="array" ref="BY62">SUM(_xlfn.XLOOKUP($S62:$AL62,增益!$A:$A,增益!$X:$X,0))</f>
        <v>0</v>
      </c>
    </row>
    <row r="63" spans="2:77">
      <c r="K63" s="35">
        <f>$L63*VLOOKUP($R63,武学奇术!$A:$ZZ,31,FALSE)</f>
        <v>45494.42239593</v>
      </c>
      <c r="L63" s="58">
        <f t="shared" si="11"/>
        <v>40620.0199963661</v>
      </c>
      <c r="M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轻击",$B$21,0))*(1+IF(VLOOKUP($R63,武学奇术!$A:$ZZ,30,FALSE)="老鼠",$B$22,0))*(1+$BW63)*(1+$BX63)</f>
        <v>42718.9032041733</v>
      </c>
      <c r="N63" s="35">
        <f>(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轻击",$B$21,0))*(1+IF(VLOOKUP($R63,武学奇术!$A:$ZZ,30,FALSE)="老鼠",$B$22,0))*(1+$BW63))*(1+$BX63)</f>
        <v>27120.9080744639</v>
      </c>
      <c r="O63" s="35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轻击",$B$21,0))*(1+IF(VLOOKUP($R63,武学奇术!$A:$ZZ,30,FALSE)="老鼠",$B$22,0))*(1+$BW63)*(1+$BX63)</f>
        <v>17919.0030218848</v>
      </c>
      <c r="P63" s="35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轻击",$B$21,0))*(1+IF(VLOOKUP($R63,武学奇术!$A:$ZZ,30,FALSE)="老鼠",$B$22,0))*(1+$BW63)*(1+$BX63)</f>
        <v>15748.4445071296</v>
      </c>
      <c r="Q63" s="36">
        <v>1</v>
      </c>
      <c r="R63" s="37" t="s">
        <v>143</v>
      </c>
      <c r="S63" s="37" t="s">
        <v>91</v>
      </c>
      <c r="T63" s="37" t="s">
        <v>184</v>
      </c>
      <c r="U63" s="37" t="s">
        <v>112</v>
      </c>
      <c r="V63" s="37" t="s">
        <v>113</v>
      </c>
      <c r="W63" s="37" t="s">
        <v>82</v>
      </c>
      <c r="X63" s="37" t="s">
        <v>81</v>
      </c>
      <c r="Y63" s="37" t="s">
        <v>109</v>
      </c>
      <c r="Z63" s="37" t="s">
        <v>83</v>
      </c>
      <c r="AA63" s="37" t="s">
        <v>81</v>
      </c>
      <c r="AB63" s="37" t="s">
        <v>81</v>
      </c>
      <c r="AC63" s="37" t="s">
        <v>81</v>
      </c>
      <c r="AD63" s="37" t="s">
        <v>85</v>
      </c>
      <c r="AE63" s="37" t="s">
        <v>86</v>
      </c>
      <c r="AF63" s="37" t="s">
        <v>181</v>
      </c>
      <c r="AG63" s="37" t="s">
        <v>87</v>
      </c>
      <c r="AH63" s="37" t="s">
        <v>81</v>
      </c>
      <c r="AI63" s="37" t="s">
        <v>81</v>
      </c>
      <c r="AJ63" s="37" t="s">
        <v>81</v>
      </c>
      <c r="AK63" s="37" t="s">
        <v>81</v>
      </c>
      <c r="AL63" s="37" t="s">
        <v>81</v>
      </c>
      <c r="AM63" t="str">
        <f>VLOOKUP($R63,武学奇术!$A:$ZZ,25,FALSE)</f>
        <v>双刀</v>
      </c>
      <c r="AN63" s="23">
        <f>VLOOKUP($R63,武学奇术!$A:$ZZ,26,FALSE)</f>
        <v>0.9012</v>
      </c>
      <c r="AO63" s="24">
        <f>VLOOKUP($R63,武学奇术!$A:$ZZ,27,FALSE)*(1+IF(OR($AM63=$F$4,$AM63=$F$5),$B$23,0))</f>
        <v>400</v>
      </c>
      <c r="AP63" s="23">
        <f>VLOOKUP($R63,武学奇术!$A:$ZZ,28,FALSE)</f>
        <v>1.3518</v>
      </c>
      <c r="AQ63" s="24">
        <f>VLOOKUP($R63,武学奇术!$A:$ZZ,29,FALSE)*(1+IF(OR($AM63=$F$4,$AM63=$F$5),$B$23,0))</f>
        <v>217.6</v>
      </c>
      <c r="AR63" s="23" cm="1">
        <f t="array" ref="AR63">$G$3+IFERROR(VLOOKUP($AM63,$F$4:$G$7,2,FALSE),0)+VLOOKUP($R63,武学奇术!$A:$ZZ,2,FALSE)+SUM(_xlfn.XLOOKUP($S63:$AL63,增益!$A:$A,增益!$B:$B,0))</f>
        <v>0.7443</v>
      </c>
      <c r="AS63" s="23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4081.7</v>
      </c>
      <c r="AU63" cm="1">
        <f t="array" ref="AU63">$E$10*(1+$AS63)+VLOOKUP($R63,武学奇术!$A:$ZZ,4,FALSE)+SUM(_xlfn.XLOOKUP($S63:$AL63,增益!$A:$A,增益!$D:$D,0))-$I$2</f>
        <v>4081.7</v>
      </c>
      <c r="AV63" s="29" cm="1">
        <f t="array" ref="AV63">IF($F$10-$I$3+VLOOKUP($R63,武学奇术!$A:$ZZ,6,FALSE)+SUM(_xlfn.XLOOKUP(S63:AL63,增益!$A:$A,增益!$F:$F,0))&gt;0,($F$10-$I$3+VLOOKUP($R63,武学奇术!$A:$ZZ,6,FALSE)+SUM(_xlfn.XLOOKUP(S63:AL63,增益!$A:$A,增益!$F:$F,0)))/200,($F$10-$I$3+VLOOKUP($R63,武学奇术!$A:$ZZ,6,FALSE)+SUM(_xlfn.XLOOKUP(S63:AL63,增益!$A:$A,增益!$F:$F,0)))/100)</f>
        <v>0.3689</v>
      </c>
      <c r="AW63" s="29" cm="1">
        <f t="array" ref="AW63">$G$10+VLOOKUP($R63,武学奇术!$A:$ZZ,7,FALSE)+SUM(_xlfn.XLOOKUP(S63:AL63,增益!$A:$A,增益!$G:$G,0))</f>
        <v>0.06</v>
      </c>
      <c r="AX63" s="23" cm="1">
        <f t="array" ref="AX63">VLOOKUP($R63,武学奇术!$A:$ZZ,8,FALSE)+SUM(_xlfn.XLOOKUP(S63:AL63,增益!$A:$A,增益!$H:$H,0))</f>
        <v>0</v>
      </c>
      <c r="AY63">
        <f t="shared" si="1"/>
        <v>0</v>
      </c>
      <c r="AZ63">
        <f t="shared" si="2"/>
        <v>0</v>
      </c>
      <c r="BA63" s="29" cm="1">
        <f t="array" ref="BA63">IF($F$11-$I$4+VLOOKUP($R63,武学奇术!$A:$ZZ,9,FALSE)+SUM(_xlfn.XLOOKUP(S63:AL63,增益!$A:$A,增益!$I:$I,0))&gt;0,($F$11-$I$4+VLOOKUP($R63,武学奇术!$A:$ZZ,9,FALSE)+SUM(_xlfn.XLOOKUP(S63:AL63,增益!$A:$A,增益!$I:$I,0)))/200,($F$11-$I$4+VLOOKUP($R63,武学奇术!$A:$ZZ,9,FALSE)+SUM(_xlfn.XLOOKUP(S63:AL63,增益!$A:$A,增益!$I:$I,0)))/100)</f>
        <v>-0.3</v>
      </c>
      <c r="BB63" s="29" cm="1">
        <f t="array" ref="BB63">$G$11+VLOOKUP($R63,武学奇术!$A:$ZZ,10,FALSE)+SUM(_xlfn.XLOOKUP(S63:AL63,增益!$A:$A,增益!$J:$J,0))</f>
        <v>0</v>
      </c>
      <c r="BC63">
        <f t="shared" si="3"/>
        <v>0</v>
      </c>
      <c r="BD63">
        <f t="shared" si="4"/>
        <v>0</v>
      </c>
      <c r="BE63" s="29" cm="1">
        <f t="array" ref="BE63">IF($F$12-$I$4+VLOOKUP($R63,武学奇术!$A:$ZZ,11,FALSE)+SUM(_xlfn.XLOOKUP(S63:AL63,增益!$A:$A,增益!$K:$K,0))&gt;0,($F$12-$I$4+VLOOKUP($R63,武学奇术!$A:$ZZ,11,FALSE)+SUM(_xlfn.XLOOKUP(S63:AL63,增益!$A:$A,增益!$K:$K,0)))/200,($F$12-$I$4+VLOOKUP($R63,武学奇术!$A:$ZZ,11,FALSE)+SUM(_xlfn.XLOOKUP(S63:AL63,增益!$A:$A,增益!$K:$K,0)))/100)</f>
        <v>-0.3</v>
      </c>
      <c r="BF63" s="29" cm="1">
        <f t="array" ref="BF63">$G$12+VLOOKUP($R63,武学奇术!$A:$ZZ,12,FALSE)+SUM(_xlfn.XLOOKUP(S63:AL63,增益!$A:$A,增益!$L:$L,0))</f>
        <v>0</v>
      </c>
      <c r="BG63">
        <f t="shared" si="5"/>
        <v>0</v>
      </c>
      <c r="BH63">
        <f t="shared" si="6"/>
        <v>0</v>
      </c>
      <c r="BI63" s="29" cm="1">
        <f t="array" ref="BI63">IF($F$13-$I$4+VLOOKUP($R63,武学奇术!$A:$ZZ,13,FALSE)+SUM(_xlfn.XLOOKUP(S63:AL63,增益!$A:$A,增益!$M:$M,0))&gt;0,($F$13-$I$4+VLOOKUP($R63,武学奇术!$A:$ZZ,13,FALSE)+SUM(_xlfn.XLOOKUP(S63:AL63,增益!$A:$A,增益!$K:$K,0)))/200,($F$13-$I$4+VLOOKUP($R63,武学奇术!$A:$ZZ,13,FALSE)+SUM(_xlfn.XLOOKUP(S63:AL63,增益!$A:$A,增益!$M:$M,0)))/100)</f>
        <v>-0.3</v>
      </c>
      <c r="BJ63" s="29" cm="1">
        <f t="array" ref="BJ63">$G$13+VLOOKUP($R63,武学奇术!$A:$ZZ,14,FALSE)+SUM(_xlfn.XLOOKUP(S63:AL63,增益!$A:$A,增益!$N:$N,0))</f>
        <v>0</v>
      </c>
      <c r="BK63">
        <f t="shared" si="7"/>
        <v>618.2</v>
      </c>
      <c r="BL63">
        <f t="shared" si="8"/>
        <v>1805</v>
      </c>
      <c r="BM63" s="29" cm="1">
        <f t="array" ref="BM63">IF($F$14-$I$4+VLOOKUP($R63,武学奇术!$A:$ZZ,15,FALSE)+SUM(_xlfn.XLOOKUP(S63:AL63,增益!$A:$A,增益!$O:$O,0))&gt;0,($F$14-$I$4+VLOOKUP($R63,武学奇术!$A:$ZZ,15,FALSE)+SUM(_xlfn.XLOOKUP(S63:AL63,增益!$A:$A,增益!$O:$O,0)))/200,($F$14-$I$4+VLOOKUP($R63,武学奇术!$A:$ZZ,15,FALSE)+SUM(_xlfn.XLOOKUP(S63:AL63,增益!$A:$A,增益!$O:$O,0)))/100)</f>
        <v>0.05</v>
      </c>
      <c r="BN63" s="29" cm="1">
        <f t="array" ref="BN63">$G$14+VLOOKUP($R63,武学奇术!$A:$ZZ,16,FALSE)+SUM(_xlfn.XLOOKUP(S63:AL63,增益!$A:$A,增益!$P:$P,0))</f>
        <v>0.21</v>
      </c>
      <c r="BO63" s="23">
        <f>MIN(IF(VLOOKUP($R63,武学奇术!$A:$ZZ,23,FALSE)=1,100%,$B$8),100%)</f>
        <v>0.9943</v>
      </c>
      <c r="BP63" s="23" cm="1">
        <f t="array" ref="BP63">IF(VLOOKUP($R63,武学奇术!$A:$ZZ,23,FALSE)=1,100%,MIN(80%,$B$9+VLOOKUP($R63,武学奇术!$A:$ZZ,17,FALSE)+SUM(_xlfn.XLOOKUP(S63:AL63,增益!$A:$A,增益!$Q:$Q,0)))+$B$11+SUM(_xlfn.XLOOKUP(S63:AL63,增益!$A:$A,增益!$U:$U,0)))*IF(VLOOKUP($R63,武学奇术!$A:$ZZ,24,FALSE)=1,0,1)</f>
        <v>0.887</v>
      </c>
      <c r="BQ63" s="23" cm="1">
        <f t="array" ref="BQ63">1+$B$13+VLOOKUP($R63,武学奇术!$A:$ZZ,18,FALSE)+SUM(_xlfn.XLOOKUP(S63:AL63,增益!$A:$A,增益!$R:$R,0))</f>
        <v>2.384</v>
      </c>
      <c r="BR63" s="23" cm="1">
        <f t="array" ref="BR63">IF(VLOOKUP($R63,武学奇术!$A:$ZZ,24,FALSE)=1,100%,MIN(40%,$B$10+VLOOKUP($R63,武学奇术!$A:$ZZ,19,FALSE)+SUM(_xlfn.XLOOKUP(S63:AL63,增益!$A:$A,增益!$S:$S,0)))+$B$12+SUM(_xlfn.XLOOKUP(S63:AL63,增益!$A:$A,增益!$V:$V,0)))*IF(VLOOKUP($R63,武学奇术!$A:$ZZ,23,FALSE)=1,0,1)</f>
        <v>0.0913</v>
      </c>
      <c r="BS63" s="23" cm="1">
        <f t="array" ref="BS63">1+$B$14+VLOOKUP($R63,武学奇术!$A:$ZZ,20,FALSE)+SUM(_xlfn.XLOOKUP(S63:AL63,增益!$A:$A,增益!$T:$T,0))</f>
        <v>1.35</v>
      </c>
      <c r="BT63" s="23">
        <f t="shared" si="9"/>
        <v>0.8819441</v>
      </c>
      <c r="BU63" s="23">
        <f t="shared" si="10"/>
        <v>0.0215763099999999</v>
      </c>
      <c r="BV63" s="23">
        <f>IF(VLOOKUP($R63,武学奇术!$A:$ZZ,22,FALSE)=1,0,(1-$BO63))*(1-$BR63)</f>
        <v>0.00517959000000003</v>
      </c>
      <c r="BW63" s="23" cm="1">
        <f t="array" ref="BW63">SUM(_xlfn.XLOOKUP(S63:AL63,增益!$A:$A,增益!$W:$W,0))+$I$5</f>
        <v>0.11</v>
      </c>
      <c r="BX63" s="23">
        <f>VLOOKUP($R63,武学奇术!$A:$ZZ,32,FALSE)</f>
        <v>0.1</v>
      </c>
      <c r="BY63" s="23" cm="1">
        <f t="array" ref="BY63">SUM(_xlfn.XLOOKUP($S63:$AL63,增益!$A:$A,增益!$X:$X,0))</f>
        <v>0</v>
      </c>
    </row>
    <row r="64" spans="2:77">
      <c r="K64" s="35">
        <f>$L64*VLOOKUP($R64,武学奇术!$A:$ZZ,31,FALSE)</f>
        <v>274393.144068143</v>
      </c>
      <c r="L64" s="69">
        <f t="shared" si="11"/>
        <v>269012.886341316</v>
      </c>
      <c r="M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轻击",$B$21,0))*(1+IF(VLOOKUP($R64,武学奇术!$A:$ZZ,30,FALSE)="老鼠",$B$22,0))*(1+$BW64)*(1+$BX64)</f>
        <v>282703.834441144</v>
      </c>
      <c r="N64" s="35">
        <f>(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轻击",$B$21,0))*(1+IF(VLOOKUP($R64,武学奇术!$A:$ZZ,30,FALSE)="老鼠",$B$22,0))*(1+$BW64))*(1+$BX64)</f>
        <v>181754.873964381</v>
      </c>
      <c r="O64" s="35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轻击",$B$21,0))*(1+IF(VLOOKUP($R64,武学奇术!$A:$ZZ,30,FALSE)="老鼠",$B$22,0))*(1+$BW64)*(1+$BX64)</f>
        <v>118583.823171621</v>
      </c>
      <c r="P64" s="35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轻击",$B$21,0))*(1+IF(VLOOKUP($R64,武学奇术!$A:$ZZ,30,FALSE)="老鼠",$B$22,0))*(1+$BW64)*(1+$BX64)</f>
        <v>102534.406369627</v>
      </c>
      <c r="Q64" s="70">
        <v>9</v>
      </c>
      <c r="R64" s="37" t="s">
        <v>106</v>
      </c>
      <c r="S64" s="37" t="s">
        <v>91</v>
      </c>
      <c r="T64" s="37" t="s">
        <v>184</v>
      </c>
      <c r="U64" s="37" t="s">
        <v>112</v>
      </c>
      <c r="V64" s="37" t="s">
        <v>113</v>
      </c>
      <c r="W64" s="37" t="s">
        <v>82</v>
      </c>
      <c r="X64" s="37" t="s">
        <v>81</v>
      </c>
      <c r="Y64" s="37" t="s">
        <v>109</v>
      </c>
      <c r="Z64" s="37" t="s">
        <v>83</v>
      </c>
      <c r="AA64" s="37" t="s">
        <v>81</v>
      </c>
      <c r="AB64" s="37" t="s">
        <v>81</v>
      </c>
      <c r="AC64" s="37" t="s">
        <v>81</v>
      </c>
      <c r="AD64" s="37" t="s">
        <v>85</v>
      </c>
      <c r="AE64" s="37" t="s">
        <v>86</v>
      </c>
      <c r="AF64" s="37" t="s">
        <v>81</v>
      </c>
      <c r="AG64" s="37" t="s">
        <v>87</v>
      </c>
      <c r="AH64" s="37" t="s">
        <v>81</v>
      </c>
      <c r="AI64" s="37" t="s">
        <v>81</v>
      </c>
      <c r="AJ64" s="37" t="s">
        <v>81</v>
      </c>
      <c r="AK64" s="37" t="s">
        <v>81</v>
      </c>
      <c r="AL64" s="37" t="s">
        <v>81</v>
      </c>
      <c r="AM64" t="str">
        <f>VLOOKUP($R64,武学奇术!$A:$ZZ,25,FALSE)</f>
        <v>绳镖</v>
      </c>
      <c r="AN64" s="23">
        <f>VLOOKUP($R64,武学奇术!$A:$ZZ,26,FALSE)</f>
        <v>0.3675</v>
      </c>
      <c r="AO64" s="24">
        <f>VLOOKUP($R64,武学奇术!$A:$ZZ,27,FALSE)*(1+IF(OR($AM64=$F$4,$AM64=$F$5),$B$23,0))</f>
        <v>0</v>
      </c>
      <c r="AP64" s="23">
        <f>VLOOKUP($R64,武学奇术!$A:$ZZ,28,FALSE)</f>
        <v>0.55125</v>
      </c>
      <c r="AQ64" s="24">
        <f>VLOOKUP($R64,武学奇术!$A:$ZZ,29,FALSE)*(1+IF(OR($AM64=$F$4,$AM64=$F$5),$B$23,0))</f>
        <v>0</v>
      </c>
      <c r="AR64" s="23" cm="1">
        <f t="array" ref="AR64">$G$3+IFERROR(VLOOKUP($AM64,$F$4:$G$7,2,FALSE),0)+VLOOKUP($R64,武学奇术!$A:$ZZ,2,FALSE)+SUM(_xlfn.XLOOKUP($S64:$AL64,增益!$A:$A,增益!$B:$B,0))</f>
        <v>1.4943</v>
      </c>
      <c r="AS64" s="23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4081.7</v>
      </c>
      <c r="AU64" cm="1">
        <f t="array" ref="AU64">$E$10*(1+$AS64)+VLOOKUP($R64,武学奇术!$A:$ZZ,4,FALSE)+SUM(_xlfn.XLOOKUP($S64:$AL64,增益!$A:$A,增益!$D:$D,0))-$I$2</f>
        <v>4081.7</v>
      </c>
      <c r="AV64" s="29" cm="1">
        <f t="array" ref="AV64">IF($F$10-$I$3+VLOOKUP($R64,武学奇术!$A:$ZZ,6,FALSE)+SUM(_xlfn.XLOOKUP(S64:AL64,增益!$A:$A,增益!$F:$F,0))&gt;0,($F$10-$I$3+VLOOKUP($R64,武学奇术!$A:$ZZ,6,FALSE)+SUM(_xlfn.XLOOKUP(S64:AL64,增益!$A:$A,增益!$F:$F,0)))/200,($F$10-$I$3+VLOOKUP($R64,武学奇术!$A:$ZZ,6,FALSE)+SUM(_xlfn.XLOOKUP(S64:AL64,增益!$A:$A,增益!$F:$F,0)))/100)</f>
        <v>0.3689</v>
      </c>
      <c r="AW64" s="29" cm="1">
        <f t="array" ref="AW64">$G$10+VLOOKUP($R64,武学奇术!$A:$ZZ,7,FALSE)+SUM(_xlfn.XLOOKUP(S64:AL64,增益!$A:$A,增益!$G:$G,0))</f>
        <v>0.27</v>
      </c>
      <c r="AX64" s="23" cm="1">
        <f t="array" ref="AX64">VLOOKUP($R64,武学奇术!$A:$ZZ,8,FALSE)+SUM(_xlfn.XLOOKUP(S64:AL64,增益!$A:$A,增益!$H:$H,0))</f>
        <v>0</v>
      </c>
      <c r="AY64">
        <f t="shared" si="1"/>
        <v>0</v>
      </c>
      <c r="AZ64">
        <f t="shared" si="2"/>
        <v>0</v>
      </c>
      <c r="BA64" s="29" cm="1">
        <f t="array" ref="BA64">IF($F$11-$I$4+VLOOKUP($R64,武学奇术!$A:$ZZ,9,FALSE)+SUM(_xlfn.XLOOKUP(S64:AL64,增益!$A:$A,增益!$I:$I,0))&gt;0,($F$11-$I$4+VLOOKUP($R64,武学奇术!$A:$ZZ,9,FALSE)+SUM(_xlfn.XLOOKUP(S64:AL64,增益!$A:$A,增益!$I:$I,0)))/200,($F$11-$I$4+VLOOKUP($R64,武学奇术!$A:$ZZ,9,FALSE)+SUM(_xlfn.XLOOKUP(S64:AL64,增益!$A:$A,增益!$I:$I,0)))/100)</f>
        <v>-0.3</v>
      </c>
      <c r="BB64" s="29" cm="1">
        <f t="array" ref="BB64">$G$11+VLOOKUP($R64,武学奇术!$A:$ZZ,10,FALSE)+SUM(_xlfn.XLOOKUP(S64:AL64,增益!$A:$A,增益!$J:$J,0))</f>
        <v>0</v>
      </c>
      <c r="BC64">
        <f t="shared" si="3"/>
        <v>0</v>
      </c>
      <c r="BD64">
        <f t="shared" si="4"/>
        <v>0</v>
      </c>
      <c r="BE64" s="29" cm="1">
        <f t="array" ref="BE64">IF($F$12-$I$4+VLOOKUP($R64,武学奇术!$A:$ZZ,11,FALSE)+SUM(_xlfn.XLOOKUP(S64:AL64,增益!$A:$A,增益!$K:$K,0))&gt;0,($F$12-$I$4+VLOOKUP($R64,武学奇术!$A:$ZZ,11,FALSE)+SUM(_xlfn.XLOOKUP(S64:AL64,增益!$A:$A,增益!$K:$K,0)))/200,($F$12-$I$4+VLOOKUP($R64,武学奇术!$A:$ZZ,11,FALSE)+SUM(_xlfn.XLOOKUP(S64:AL64,增益!$A:$A,增益!$K:$K,0)))/100)</f>
        <v>-0.3</v>
      </c>
      <c r="BF64" s="29" cm="1">
        <f t="array" ref="BF64">$G$12+VLOOKUP($R64,武学奇术!$A:$ZZ,12,FALSE)+SUM(_xlfn.XLOOKUP(S64:AL64,增益!$A:$A,增益!$L:$L,0))</f>
        <v>0</v>
      </c>
      <c r="BG64">
        <f t="shared" si="5"/>
        <v>0</v>
      </c>
      <c r="BH64">
        <f t="shared" si="6"/>
        <v>0</v>
      </c>
      <c r="BI64" s="29" cm="1">
        <f t="array" ref="BI64">IF($F$13-$I$4+VLOOKUP($R64,武学奇术!$A:$ZZ,13,FALSE)+SUM(_xlfn.XLOOKUP(S64:AL64,增益!$A:$A,增益!$M:$M,0))&gt;0,($F$13-$I$4+VLOOKUP($R64,武学奇术!$A:$ZZ,13,FALSE)+SUM(_xlfn.XLOOKUP(S64:AL64,增益!$A:$A,增益!$K:$K,0)))/200,($F$13-$I$4+VLOOKUP($R64,武学奇术!$A:$ZZ,13,FALSE)+SUM(_xlfn.XLOOKUP(S64:AL64,增益!$A:$A,增益!$M:$M,0)))/100)</f>
        <v>-0.3</v>
      </c>
      <c r="BJ64" s="29" cm="1">
        <f t="array" ref="BJ64">$G$13+VLOOKUP($R64,武学奇术!$A:$ZZ,14,FALSE)+SUM(_xlfn.XLOOKUP(S64:AL64,增益!$A:$A,增益!$N:$N,0))</f>
        <v>0</v>
      </c>
      <c r="BK64">
        <f t="shared" si="7"/>
        <v>618.2</v>
      </c>
      <c r="BL64">
        <f t="shared" si="8"/>
        <v>1805</v>
      </c>
      <c r="BM64" s="29" cm="1">
        <f t="array" ref="BM64">IF($F$14-$I$4+VLOOKUP($R64,武学奇术!$A:$ZZ,15,FALSE)+SUM(_xlfn.XLOOKUP(S64:AL64,增益!$A:$A,增益!$O:$O,0))&gt;0,($F$14-$I$4+VLOOKUP($R64,武学奇术!$A:$ZZ,15,FALSE)+SUM(_xlfn.XLOOKUP(S64:AL64,增益!$A:$A,增益!$O:$O,0)))/200,($F$14-$I$4+VLOOKUP($R64,武学奇术!$A:$ZZ,15,FALSE)+SUM(_xlfn.XLOOKUP(S64:AL64,增益!$A:$A,增益!$O:$O,0)))/100)</f>
        <v>0.05</v>
      </c>
      <c r="BN64" s="29" cm="1">
        <f t="array" ref="BN64">$G$14+VLOOKUP($R64,武学奇术!$A:$ZZ,16,FALSE)+SUM(_xlfn.XLOOKUP(S64:AL64,增益!$A:$A,增益!$P:$P,0))</f>
        <v>0.42</v>
      </c>
      <c r="BO64" s="23">
        <f>MIN(IF(VLOOKUP($R64,武学奇术!$A:$ZZ,23,FALSE)=1,100%,$B$8),100%)</f>
        <v>0.9943</v>
      </c>
      <c r="BP64" s="23" cm="1">
        <f t="array" ref="BP64">IF(VLOOKUP($R64,武学奇术!$A:$ZZ,23,FALSE)=1,100%,MIN(80%,$B$9+VLOOKUP($R64,武学奇术!$A:$ZZ,17,FALSE)+SUM(_xlfn.XLOOKUP(S64:AL64,增益!$A:$A,增益!$Q:$Q,0)))+$B$11+SUM(_xlfn.XLOOKUP(S64:AL64,增益!$A:$A,增益!$U:$U,0)))*IF(VLOOKUP($R64,武学奇术!$A:$ZZ,24,FALSE)=1,0,1)</f>
        <v>0.887</v>
      </c>
      <c r="BQ64" s="23" cm="1">
        <f t="array" ref="BQ64">1+$B$13+VLOOKUP($R64,武学奇术!$A:$ZZ,18,FALSE)+SUM(_xlfn.XLOOKUP(S64:AL64,增益!$A:$A,增益!$R:$R,0))</f>
        <v>2.384</v>
      </c>
      <c r="BR64" s="23" cm="1">
        <f t="array" ref="BR64">IF(VLOOKUP($R64,武学奇术!$A:$ZZ,24,FALSE)=1,100%,MIN(40%,$B$10+VLOOKUP($R64,武学奇术!$A:$ZZ,19,FALSE)+SUM(_xlfn.XLOOKUP(S64:AL64,增益!$A:$A,增益!$S:$S,0)))+$B$12+SUM(_xlfn.XLOOKUP(S64:AL64,增益!$A:$A,增益!$V:$V,0)))*IF(VLOOKUP($R64,武学奇术!$A:$ZZ,23,FALSE)=1,0,1)</f>
        <v>0.0913</v>
      </c>
      <c r="BS64" s="23" cm="1">
        <f t="array" ref="BS64">1+$B$14+VLOOKUP($R64,武学奇术!$A:$ZZ,20,FALSE)+SUM(_xlfn.XLOOKUP(S64:AL64,增益!$A:$A,增益!$T:$T,0))</f>
        <v>1.35</v>
      </c>
      <c r="BT64" s="23">
        <f t="shared" si="9"/>
        <v>0.8819441</v>
      </c>
      <c r="BU64" s="23">
        <f t="shared" si="10"/>
        <v>0.0215763099999999</v>
      </c>
      <c r="BV64" s="23">
        <f>IF(VLOOKUP($R64,武学奇术!$A:$ZZ,22,FALSE)=1,0,(1-$BO64))*(1-$BR64)</f>
        <v>0.00517959000000003</v>
      </c>
      <c r="BW64" s="23" cm="1">
        <f t="array" ref="BW64">SUM(_xlfn.XLOOKUP(S64:AL64,增益!$A:$A,增益!$W:$W,0))+$I$5</f>
        <v>0.11</v>
      </c>
      <c r="BX64" s="23">
        <f>VLOOKUP($R64,武学奇术!$A:$ZZ,32,FALSE)</f>
        <v>0</v>
      </c>
      <c r="BY64" s="23" cm="1">
        <f t="array" ref="BY64">SUM(_xlfn.XLOOKUP($S64:$AL64,增益!$A:$A,增益!$X:$X,0))</f>
        <v>0</v>
      </c>
    </row>
    <row r="65" spans="2:77">
      <c r="K65" s="35">
        <f>$L65*VLOOKUP($R65,武学奇术!$A:$ZZ,31,FALSE)</f>
        <v>73253.909460563</v>
      </c>
      <c r="L65" s="58">
        <f t="shared" si="11"/>
        <v>65405.2763040741</v>
      </c>
      <c r="M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轻击",$B$21,0))*(1+IF(VLOOKUP($R65,武学奇术!$A:$ZZ,30,FALSE)="老鼠",$B$22,0))*(1+$BW65)*(1+$BX65)</f>
        <v>68805.65432816</v>
      </c>
      <c r="N65" s="35">
        <f>(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轻击",$B$21,0))*(1+IF(VLOOKUP($R65,武学奇术!$A:$ZZ,30,FALSE)="老鼠",$B$22,0))*(1+$BW65))*(1+$BX65)</f>
        <v>43500.3361661252</v>
      </c>
      <c r="O65" s="35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轻击",$B$21,0))*(1+IF(VLOOKUP($R65,武学奇术!$A:$ZZ,30,FALSE)="老鼠",$B$22,0))*(1+$BW65)*(1+$BX65)</f>
        <v>28740.8748237928</v>
      </c>
      <c r="P65" s="35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轻击",$B$21,0))*(1+IF(VLOOKUP($R65,武学奇术!$A:$ZZ,30,FALSE)="老鼠",$B$22,0))*(1+$BW65)*(1+$BX65)</f>
        <v>25259.2784134188</v>
      </c>
      <c r="Q65" s="88">
        <v>1</v>
      </c>
      <c r="R65" s="37" t="s">
        <v>148</v>
      </c>
      <c r="S65" s="37" t="s">
        <v>91</v>
      </c>
      <c r="T65" s="37" t="s">
        <v>185</v>
      </c>
      <c r="U65" s="37" t="s">
        <v>112</v>
      </c>
      <c r="V65" s="37" t="s">
        <v>113</v>
      </c>
      <c r="W65" s="37" t="s">
        <v>82</v>
      </c>
      <c r="X65" s="37" t="s">
        <v>81</v>
      </c>
      <c r="Y65" s="37" t="s">
        <v>109</v>
      </c>
      <c r="Z65" s="37" t="s">
        <v>83</v>
      </c>
      <c r="AA65" s="37" t="s">
        <v>81</v>
      </c>
      <c r="AB65" s="37" t="s">
        <v>81</v>
      </c>
      <c r="AC65" s="37" t="s">
        <v>81</v>
      </c>
      <c r="AD65" s="37" t="s">
        <v>85</v>
      </c>
      <c r="AE65" s="37" t="s">
        <v>86</v>
      </c>
      <c r="AF65" s="37" t="s">
        <v>181</v>
      </c>
      <c r="AG65" s="37" t="s">
        <v>87</v>
      </c>
      <c r="AH65" s="37" t="s">
        <v>81</v>
      </c>
      <c r="AI65" s="37" t="s">
        <v>81</v>
      </c>
      <c r="AJ65" s="37" t="s">
        <v>81</v>
      </c>
      <c r="AK65" s="37" t="s">
        <v>81</v>
      </c>
      <c r="AL65" s="37" t="s">
        <v>81</v>
      </c>
      <c r="AM65" t="str">
        <f>VLOOKUP($R65,武学奇术!$A:$ZZ,25,FALSE)</f>
        <v>双刀</v>
      </c>
      <c r="AN65" s="23">
        <f>VLOOKUP($R65,武学奇术!$A:$ZZ,26,FALSE)</f>
        <v>1.4455</v>
      </c>
      <c r="AO65" s="24">
        <f>VLOOKUP($R65,武学奇术!$A:$ZZ,27,FALSE)*(1+IF(OR($AM65=$F$4,$AM65=$F$5),$B$23,0))</f>
        <v>641.6</v>
      </c>
      <c r="AP65" s="23">
        <f>VLOOKUP($R65,武学奇术!$A:$ZZ,28,FALSE)</f>
        <v>2.1683</v>
      </c>
      <c r="AQ65" s="24">
        <f>VLOOKUP($R65,武学奇术!$A:$ZZ,29,FALSE)*(1+IF(OR($AM65=$F$4,$AM65=$F$5),$B$23,0))</f>
        <v>348.8</v>
      </c>
      <c r="AR65" s="23" cm="1">
        <f t="array" ref="AR65">$G$3+IFERROR(VLOOKUP($AM65,$F$4:$G$7,2,FALSE),0)+VLOOKUP($R65,武学奇术!$A:$ZZ,2,FALSE)+SUM(_xlfn.XLOOKUP($S65:$AL65,增益!$A:$A,增益!$B:$B,0))</f>
        <v>0.7443</v>
      </c>
      <c r="AS65" s="23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4081.7</v>
      </c>
      <c r="AU65" cm="1">
        <f t="array" ref="AU65">$E$10*(1+$AS65)+VLOOKUP($R65,武学奇术!$A:$ZZ,4,FALSE)+SUM(_xlfn.XLOOKUP($S65:$AL65,增益!$A:$A,增益!$D:$D,0))-$I$2</f>
        <v>4081.7</v>
      </c>
      <c r="AV65" s="29" cm="1">
        <f t="array" ref="AV65">IF($F$10-$I$3+VLOOKUP($R65,武学奇术!$A:$ZZ,6,FALSE)+SUM(_xlfn.XLOOKUP(S65:AL65,增益!$A:$A,增益!$F:$F,0))&gt;0,($F$10-$I$3+VLOOKUP($R65,武学奇术!$A:$ZZ,6,FALSE)+SUM(_xlfn.XLOOKUP(S65:AL65,增益!$A:$A,增益!$F:$F,0)))/200,($F$10-$I$3+VLOOKUP($R65,武学奇术!$A:$ZZ,6,FALSE)+SUM(_xlfn.XLOOKUP(S65:AL65,增益!$A:$A,增益!$F:$F,0)))/100)</f>
        <v>0.3689</v>
      </c>
      <c r="AW65" s="29" cm="1">
        <f t="array" ref="AW65">$G$10+VLOOKUP($R65,武学奇术!$A:$ZZ,7,FALSE)+SUM(_xlfn.XLOOKUP(S65:AL65,增益!$A:$A,增益!$G:$G,0))</f>
        <v>0.06</v>
      </c>
      <c r="AX65" s="23" cm="1">
        <f t="array" ref="AX65">VLOOKUP($R65,武学奇术!$A:$ZZ,8,FALSE)+SUM(_xlfn.XLOOKUP(S65:AL65,增益!$A:$A,增益!$H:$H,0))</f>
        <v>0</v>
      </c>
      <c r="AY65">
        <f t="shared" si="1"/>
        <v>0</v>
      </c>
      <c r="AZ65">
        <f t="shared" si="2"/>
        <v>0</v>
      </c>
      <c r="BA65" s="29" cm="1">
        <f t="array" ref="BA65">IF($F$11-$I$4+VLOOKUP($R65,武学奇术!$A:$ZZ,9,FALSE)+SUM(_xlfn.XLOOKUP(S65:AL65,增益!$A:$A,增益!$I:$I,0))&gt;0,($F$11-$I$4+VLOOKUP($R65,武学奇术!$A:$ZZ,9,FALSE)+SUM(_xlfn.XLOOKUP(S65:AL65,增益!$A:$A,增益!$I:$I,0)))/200,($F$11-$I$4+VLOOKUP($R65,武学奇术!$A:$ZZ,9,FALSE)+SUM(_xlfn.XLOOKUP(S65:AL65,增益!$A:$A,增益!$I:$I,0)))/100)</f>
        <v>-0.3</v>
      </c>
      <c r="BB65" s="29" cm="1">
        <f t="array" ref="BB65">$G$11+VLOOKUP($R65,武学奇术!$A:$ZZ,10,FALSE)+SUM(_xlfn.XLOOKUP(S65:AL65,增益!$A:$A,增益!$J:$J,0))</f>
        <v>0</v>
      </c>
      <c r="BC65">
        <f t="shared" si="3"/>
        <v>0</v>
      </c>
      <c r="BD65">
        <f t="shared" si="4"/>
        <v>0</v>
      </c>
      <c r="BE65" s="29" cm="1">
        <f t="array" ref="BE65">IF($F$12-$I$4+VLOOKUP($R65,武学奇术!$A:$ZZ,11,FALSE)+SUM(_xlfn.XLOOKUP(S65:AL65,增益!$A:$A,增益!$K:$K,0))&gt;0,($F$12-$I$4+VLOOKUP($R65,武学奇术!$A:$ZZ,11,FALSE)+SUM(_xlfn.XLOOKUP(S65:AL65,增益!$A:$A,增益!$K:$K,0)))/200,($F$12-$I$4+VLOOKUP($R65,武学奇术!$A:$ZZ,11,FALSE)+SUM(_xlfn.XLOOKUP(S65:AL65,增益!$A:$A,增益!$K:$K,0)))/100)</f>
        <v>-0.3</v>
      </c>
      <c r="BF65" s="29" cm="1">
        <f t="array" ref="BF65">$G$12+VLOOKUP($R65,武学奇术!$A:$ZZ,12,FALSE)+SUM(_xlfn.XLOOKUP(S65:AL65,增益!$A:$A,增益!$L:$L,0))</f>
        <v>0</v>
      </c>
      <c r="BG65">
        <f t="shared" si="5"/>
        <v>0</v>
      </c>
      <c r="BH65">
        <f t="shared" si="6"/>
        <v>0</v>
      </c>
      <c r="BI65" s="29" cm="1">
        <f t="array" ref="BI65">IF($F$13-$I$4+VLOOKUP($R65,武学奇术!$A:$ZZ,13,FALSE)+SUM(_xlfn.XLOOKUP(S65:AL65,增益!$A:$A,增益!$M:$M,0))&gt;0,($F$13-$I$4+VLOOKUP($R65,武学奇术!$A:$ZZ,13,FALSE)+SUM(_xlfn.XLOOKUP(S65:AL65,增益!$A:$A,增益!$K:$K,0)))/200,($F$13-$I$4+VLOOKUP($R65,武学奇术!$A:$ZZ,13,FALSE)+SUM(_xlfn.XLOOKUP(S65:AL65,增益!$A:$A,增益!$M:$M,0)))/100)</f>
        <v>-0.3</v>
      </c>
      <c r="BJ65" s="29" cm="1">
        <f t="array" ref="BJ65">$G$13+VLOOKUP($R65,武学奇术!$A:$ZZ,14,FALSE)+SUM(_xlfn.XLOOKUP(S65:AL65,增益!$A:$A,增益!$N:$N,0))</f>
        <v>0</v>
      </c>
      <c r="BK65">
        <f t="shared" si="7"/>
        <v>618.2</v>
      </c>
      <c r="BL65">
        <f t="shared" si="8"/>
        <v>1805</v>
      </c>
      <c r="BM65" s="29" cm="1">
        <f t="array" ref="BM65">IF($F$14-$I$4+VLOOKUP($R65,武学奇术!$A:$ZZ,15,FALSE)+SUM(_xlfn.XLOOKUP(S65:AL65,增益!$A:$A,增益!$O:$O,0))&gt;0,($F$14-$I$4+VLOOKUP($R65,武学奇术!$A:$ZZ,15,FALSE)+SUM(_xlfn.XLOOKUP(S65:AL65,增益!$A:$A,增益!$O:$O,0)))/200,($F$14-$I$4+VLOOKUP($R65,武学奇术!$A:$ZZ,15,FALSE)+SUM(_xlfn.XLOOKUP(S65:AL65,增益!$A:$A,增益!$O:$O,0)))/100)</f>
        <v>0.05</v>
      </c>
      <c r="BN65" s="29" cm="1">
        <f t="array" ref="BN65">$G$14+VLOOKUP($R65,武学奇术!$A:$ZZ,16,FALSE)+SUM(_xlfn.XLOOKUP(S65:AL65,增益!$A:$A,增益!$P:$P,0))</f>
        <v>0.21</v>
      </c>
      <c r="BO65" s="23">
        <f>MIN(IF(VLOOKUP($R65,武学奇术!$A:$ZZ,23,FALSE)=1,100%,$B$8),100%)</f>
        <v>0.9943</v>
      </c>
      <c r="BP65" s="23" cm="1">
        <f t="array" ref="BP65">IF(VLOOKUP($R65,武学奇术!$A:$ZZ,23,FALSE)=1,100%,MIN(80%,$B$9+VLOOKUP($R65,武学奇术!$A:$ZZ,17,FALSE)+SUM(_xlfn.XLOOKUP(S65:AL65,增益!$A:$A,增益!$Q:$Q,0)))+$B$11+SUM(_xlfn.XLOOKUP(S65:AL65,增益!$A:$A,增益!$U:$U,0)))*IF(VLOOKUP($R65,武学奇术!$A:$ZZ,24,FALSE)=1,0,1)</f>
        <v>0.887</v>
      </c>
      <c r="BQ65" s="23" cm="1">
        <f t="array" ref="BQ65">1+$B$13+VLOOKUP($R65,武学奇术!$A:$ZZ,18,FALSE)+SUM(_xlfn.XLOOKUP(S65:AL65,增益!$A:$A,增益!$R:$R,0))</f>
        <v>2.394</v>
      </c>
      <c r="BR65" s="23" cm="1">
        <f t="array" ref="BR65">IF(VLOOKUP($R65,武学奇术!$A:$ZZ,24,FALSE)=1,100%,MIN(40%,$B$10+VLOOKUP($R65,武学奇术!$A:$ZZ,19,FALSE)+SUM(_xlfn.XLOOKUP(S65:AL65,增益!$A:$A,增益!$S:$S,0)))+$B$12+SUM(_xlfn.XLOOKUP(S65:AL65,增益!$A:$A,增益!$V:$V,0)))*IF(VLOOKUP($R65,武学奇术!$A:$ZZ,23,FALSE)=1,0,1)</f>
        <v>0.0913</v>
      </c>
      <c r="BS65" s="23" cm="1">
        <f t="array" ref="BS65">1+$B$14+VLOOKUP($R65,武学奇术!$A:$ZZ,20,FALSE)+SUM(_xlfn.XLOOKUP(S65:AL65,增益!$A:$A,增益!$T:$T,0))</f>
        <v>1.35</v>
      </c>
      <c r="BT65" s="23">
        <f t="shared" si="9"/>
        <v>0.8819441</v>
      </c>
      <c r="BU65" s="23">
        <f t="shared" si="10"/>
        <v>0.0215763099999999</v>
      </c>
      <c r="BV65" s="23">
        <f>IF(VLOOKUP($R65,武学奇术!$A:$ZZ,22,FALSE)=1,0,(1-$BO65))*(1-$BR65)</f>
        <v>0.00517959000000003</v>
      </c>
      <c r="BW65" s="23" cm="1">
        <f t="array" ref="BW65">SUM(_xlfn.XLOOKUP(S65:AL65,增益!$A:$A,增益!$W:$W,0))+$I$5</f>
        <v>0.11</v>
      </c>
      <c r="BX65" s="23">
        <f>VLOOKUP($R65,武学奇术!$A:$ZZ,32,FALSE)</f>
        <v>0.1</v>
      </c>
      <c r="BY65" s="23" cm="1">
        <f t="array" ref="BY65">SUM(_xlfn.XLOOKUP($S65:$AL65,增益!$A:$A,增益!$X:$X,0))</f>
        <v>0</v>
      </c>
    </row>
    <row r="66" spans="2:77">
      <c r="K66" s="35">
        <f>$L66*VLOOKUP($R66,武学奇术!$A:$ZZ,31,FALSE)</f>
        <v>61213.3119912888</v>
      </c>
      <c r="L66" s="69">
        <f t="shared" si="11"/>
        <v>60013.0509718517</v>
      </c>
      <c r="M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轻击",$B$21,0))*(1+IF(VLOOKUP($R66,武学奇术!$A:$ZZ,30,FALSE)="老鼠",$B$22,0))*(1+$BW66)*(1+$BX66)</f>
        <v>63086.5939273024</v>
      </c>
      <c r="N66" s="35">
        <f>(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轻击",$B$21,0))*(1+IF(VLOOKUP($R66,武学奇术!$A:$ZZ,30,FALSE)="老鼠",$B$22,0))*(1+$BW66))*(1+$BX66)</f>
        <v>40389.9719920846</v>
      </c>
      <c r="O66" s="35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轻击",$B$21,0))*(1+IF(VLOOKUP($R66,武学奇术!$A:$ZZ,30,FALSE)="老鼠",$B$22,0))*(1+$BW66)*(1+$BX66)</f>
        <v>26351.9607048047</v>
      </c>
      <c r="P66" s="35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轻击",$B$21,0))*(1+IF(VLOOKUP($R66,武学奇术!$A:$ZZ,30,FALSE)="老鼠",$B$22,0))*(1+$BW66)*(1+$BX66)</f>
        <v>22785.4236376948</v>
      </c>
      <c r="Q66" s="70">
        <v>2</v>
      </c>
      <c r="R66" s="37" t="s">
        <v>106</v>
      </c>
      <c r="S66" s="37" t="s">
        <v>91</v>
      </c>
      <c r="T66" s="37" t="s">
        <v>185</v>
      </c>
      <c r="U66" s="37" t="s">
        <v>112</v>
      </c>
      <c r="V66" s="37" t="s">
        <v>113</v>
      </c>
      <c r="W66" s="37" t="s">
        <v>82</v>
      </c>
      <c r="X66" s="37" t="s">
        <v>81</v>
      </c>
      <c r="Y66" s="37" t="s">
        <v>109</v>
      </c>
      <c r="Z66" s="37" t="s">
        <v>83</v>
      </c>
      <c r="AA66" s="37" t="s">
        <v>81</v>
      </c>
      <c r="AB66" s="37" t="s">
        <v>81</v>
      </c>
      <c r="AC66" s="37" t="s">
        <v>81</v>
      </c>
      <c r="AD66" s="37" t="s">
        <v>85</v>
      </c>
      <c r="AE66" s="37" t="s">
        <v>86</v>
      </c>
      <c r="AF66" s="37" t="s">
        <v>81</v>
      </c>
      <c r="AG66" s="37" t="s">
        <v>87</v>
      </c>
      <c r="AH66" s="37" t="s">
        <v>81</v>
      </c>
      <c r="AI66" s="37" t="s">
        <v>81</v>
      </c>
      <c r="AJ66" s="37" t="s">
        <v>81</v>
      </c>
      <c r="AK66" s="37" t="s">
        <v>81</v>
      </c>
      <c r="AL66" s="37" t="s">
        <v>81</v>
      </c>
      <c r="AM66" t="str">
        <f>VLOOKUP($R66,武学奇术!$A:$ZZ,25,FALSE)</f>
        <v>绳镖</v>
      </c>
      <c r="AN66" s="23">
        <f>VLOOKUP($R66,武学奇术!$A:$ZZ,26,FALSE)</f>
        <v>0.3675</v>
      </c>
      <c r="AO66" s="24">
        <f>VLOOKUP($R66,武学奇术!$A:$ZZ,27,FALSE)*(1+IF(OR($AM66=$F$4,$AM66=$F$5),$B$23,0))</f>
        <v>0</v>
      </c>
      <c r="AP66" s="23">
        <f>VLOOKUP($R66,武学奇术!$A:$ZZ,28,FALSE)</f>
        <v>0.55125</v>
      </c>
      <c r="AQ66" s="24">
        <f>VLOOKUP($R66,武学奇术!$A:$ZZ,29,FALSE)*(1+IF(OR($AM66=$F$4,$AM66=$F$5),$B$23,0))</f>
        <v>0</v>
      </c>
      <c r="AR66" s="23" cm="1">
        <f t="array" ref="AR66">$G$3+IFERROR(VLOOKUP($AM66,$F$4:$G$7,2,FALSE),0)+VLOOKUP($R66,武学奇术!$A:$ZZ,2,FALSE)+SUM(_xlfn.XLOOKUP($S66:$AL66,增益!$A:$A,增益!$B:$B,0))</f>
        <v>1.4943</v>
      </c>
      <c r="AS66" s="23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4081.7</v>
      </c>
      <c r="AU66" cm="1">
        <f t="array" ref="AU66">$E$10*(1+$AS66)+VLOOKUP($R66,武学奇术!$A:$ZZ,4,FALSE)+SUM(_xlfn.XLOOKUP($S66:$AL66,增益!$A:$A,增益!$D:$D,0))-$I$2</f>
        <v>4081.7</v>
      </c>
      <c r="AV66" s="29" cm="1">
        <f t="array" ref="AV66">IF($F$10-$I$3+VLOOKUP($R66,武学奇术!$A:$ZZ,6,FALSE)+SUM(_xlfn.XLOOKUP(S66:AL66,增益!$A:$A,增益!$F:$F,0))&gt;0,($F$10-$I$3+VLOOKUP($R66,武学奇术!$A:$ZZ,6,FALSE)+SUM(_xlfn.XLOOKUP(S66:AL66,增益!$A:$A,增益!$F:$F,0)))/200,($F$10-$I$3+VLOOKUP($R66,武学奇术!$A:$ZZ,6,FALSE)+SUM(_xlfn.XLOOKUP(S66:AL66,增益!$A:$A,增益!$F:$F,0)))/100)</f>
        <v>0.3689</v>
      </c>
      <c r="AW66" s="29" cm="1">
        <f t="array" ref="AW66">$G$10+VLOOKUP($R66,武学奇术!$A:$ZZ,7,FALSE)+SUM(_xlfn.XLOOKUP(S66:AL66,增益!$A:$A,增益!$G:$G,0))</f>
        <v>0.27</v>
      </c>
      <c r="AX66" s="23" cm="1">
        <f t="array" ref="AX66">VLOOKUP($R66,武学奇术!$A:$ZZ,8,FALSE)+SUM(_xlfn.XLOOKUP(S66:AL66,增益!$A:$A,增益!$H:$H,0))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29" cm="1">
        <f t="array" ref="BA66">IF($F$11-$I$4+VLOOKUP($R66,武学奇术!$A:$ZZ,9,FALSE)+SUM(_xlfn.XLOOKUP(S66:AL66,增益!$A:$A,增益!$I:$I,0))&gt;0,($F$11-$I$4+VLOOKUP($R66,武学奇术!$A:$ZZ,9,FALSE)+SUM(_xlfn.XLOOKUP(S66:AL66,增益!$A:$A,增益!$I:$I,0)))/200,($F$11-$I$4+VLOOKUP($R66,武学奇术!$A:$ZZ,9,FALSE)+SUM(_xlfn.XLOOKUP(S66:AL66,增益!$A:$A,增益!$I:$I,0)))/100)</f>
        <v>-0.3</v>
      </c>
      <c r="BB66" s="29" cm="1">
        <f t="array" ref="BB66">$G$11+VLOOKUP($R66,武学奇术!$A:$ZZ,10,FALSE)+SUM(_xlfn.XLOOKUP(S66:AL66,增益!$A:$A,增益!$J:$J,0))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29" cm="1">
        <f t="array" ref="BE66">IF($F$12-$I$4+VLOOKUP($R66,武学奇术!$A:$ZZ,11,FALSE)+SUM(_xlfn.XLOOKUP(S66:AL66,增益!$A:$A,增益!$K:$K,0))&gt;0,($F$12-$I$4+VLOOKUP($R66,武学奇术!$A:$ZZ,11,FALSE)+SUM(_xlfn.XLOOKUP(S66:AL66,增益!$A:$A,增益!$K:$K,0)))/200,($F$12-$I$4+VLOOKUP($R66,武学奇术!$A:$ZZ,11,FALSE)+SUM(_xlfn.XLOOKUP(S66:AL66,增益!$A:$A,增益!$K:$K,0)))/100)</f>
        <v>-0.3</v>
      </c>
      <c r="BF66" s="29" cm="1">
        <f t="array" ref="BF66">$G$12+VLOOKUP($R66,武学奇术!$A:$ZZ,12,FALSE)+SUM(_xlfn.XLOOKUP(S66:AL66,增益!$A:$A,增益!$L:$L,0))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29" cm="1">
        <f t="array" ref="BI66">IF($F$13-$I$4+VLOOKUP($R66,武学奇术!$A:$ZZ,13,FALSE)+SUM(_xlfn.XLOOKUP(S66:AL66,增益!$A:$A,增益!$M:$M,0))&gt;0,($F$13-$I$4+VLOOKUP($R66,武学奇术!$A:$ZZ,13,FALSE)+SUM(_xlfn.XLOOKUP(S66:AL66,增益!$A:$A,增益!$K:$K,0)))/200,($F$13-$I$4+VLOOKUP($R66,武学奇术!$A:$ZZ,13,FALSE)+SUM(_xlfn.XLOOKUP(S66:AL66,增益!$A:$A,增益!$M:$M,0)))/100)</f>
        <v>-0.3</v>
      </c>
      <c r="BJ66" s="29" cm="1">
        <f t="array" ref="BJ66">$G$13+VLOOKUP($R66,武学奇术!$A:$ZZ,14,FALSE)+SUM(_xlfn.XLOOKUP(S66:AL66,增益!$A:$A,增益!$N:$N,0))</f>
        <v>0</v>
      </c>
      <c r="BK66">
        <f t="shared" ref="BK66:BK129" si="18">$D$14*(1+$AX66)</f>
        <v>618.2</v>
      </c>
      <c r="BL66">
        <f t="shared" ref="BL66:BL129" si="19">$E$14*(1+$AX66)</f>
        <v>1805</v>
      </c>
      <c r="BM66" s="29" cm="1">
        <f t="array" ref="BM66">IF($F$14-$I$4+VLOOKUP($R66,武学奇术!$A:$ZZ,15,FALSE)+SUM(_xlfn.XLOOKUP(S66:AL66,增益!$A:$A,增益!$O:$O,0))&gt;0,($F$14-$I$4+VLOOKUP($R66,武学奇术!$A:$ZZ,15,FALSE)+SUM(_xlfn.XLOOKUP(S66:AL66,增益!$A:$A,增益!$O:$O,0)))/200,($F$14-$I$4+VLOOKUP($R66,武学奇术!$A:$ZZ,15,FALSE)+SUM(_xlfn.XLOOKUP(S66:AL66,增益!$A:$A,增益!$O:$O,0)))/100)</f>
        <v>0.05</v>
      </c>
      <c r="BN66" s="29" cm="1">
        <f t="array" ref="BN66">$G$14+VLOOKUP($R66,武学奇术!$A:$ZZ,16,FALSE)+SUM(_xlfn.XLOOKUP(S66:AL66,增益!$A:$A,增益!$P:$P,0))</f>
        <v>0.42</v>
      </c>
      <c r="BO66" s="23">
        <f>MIN(IF(VLOOKUP($R66,武学奇术!$A:$ZZ,23,FALSE)=1,100%,$B$8),100%)</f>
        <v>0.9943</v>
      </c>
      <c r="BP66" s="23" cm="1">
        <f t="array" ref="BP66">IF(VLOOKUP($R66,武学奇术!$A:$ZZ,23,FALSE)=1,100%,MIN(80%,$B$9+VLOOKUP($R66,武学奇术!$A:$ZZ,17,FALSE)+SUM(_xlfn.XLOOKUP(S66:AL66,增益!$A:$A,增益!$Q:$Q,0)))+$B$11+SUM(_xlfn.XLOOKUP(S66:AL66,增益!$A:$A,增益!$U:$U,0)))*IF(VLOOKUP($R66,武学奇术!$A:$ZZ,24,FALSE)=1,0,1)</f>
        <v>0.887</v>
      </c>
      <c r="BQ66" s="23" cm="1">
        <f t="array" ref="BQ66">1+$B$13+VLOOKUP($R66,武学奇术!$A:$ZZ,18,FALSE)+SUM(_xlfn.XLOOKUP(S66:AL66,增益!$A:$A,增益!$R:$R,0))</f>
        <v>2.394</v>
      </c>
      <c r="BR66" s="23" cm="1">
        <f t="array" ref="BR66">IF(VLOOKUP($R66,武学奇术!$A:$ZZ,24,FALSE)=1,100%,MIN(40%,$B$10+VLOOKUP($R66,武学奇术!$A:$ZZ,19,FALSE)+SUM(_xlfn.XLOOKUP(S66:AL66,增益!$A:$A,增益!$S:$S,0)))+$B$12+SUM(_xlfn.XLOOKUP(S66:AL66,增益!$A:$A,增益!$V:$V,0)))*IF(VLOOKUP($R66,武学奇术!$A:$ZZ,23,FALSE)=1,0,1)</f>
        <v>0.0913</v>
      </c>
      <c r="BS66" s="23" cm="1">
        <f t="array" ref="BS66">1+$B$14+VLOOKUP($R66,武学奇术!$A:$ZZ,20,FALSE)+SUM(_xlfn.XLOOKUP(S66:AL66,增益!$A:$A,增益!$T:$T,0))</f>
        <v>1.35</v>
      </c>
      <c r="BT66" s="23">
        <f t="shared" ref="BT66:BT129" si="20">MIN((1-BR66)*BO66,BO66*BP66)</f>
        <v>0.8819441</v>
      </c>
      <c r="BU66" s="23">
        <f t="shared" ref="BU66:BU129" si="21">1-BR66-BT66-BV66</f>
        <v>0.0215763099999999</v>
      </c>
      <c r="BV66" s="23">
        <f>IF(VLOOKUP($R66,武学奇术!$A:$ZZ,22,FALSE)=1,0,(1-$BO66))*(1-$BR66)</f>
        <v>0.00517959000000003</v>
      </c>
      <c r="BW66" s="23" cm="1">
        <f t="array" ref="BW66">SUM(_xlfn.XLOOKUP(S66:AL66,增益!$A:$A,增益!$W:$W,0))+$I$5</f>
        <v>0.11</v>
      </c>
      <c r="BX66" s="23">
        <f>VLOOKUP($R66,武学奇术!$A:$ZZ,32,FALSE)</f>
        <v>0</v>
      </c>
      <c r="BY66" s="23" cm="1">
        <f t="array" ref="BY66">SUM(_xlfn.XLOOKUP($S66:$AL66,增益!$A:$A,增益!$X:$X,0))</f>
        <v>0</v>
      </c>
    </row>
    <row r="67" spans="2:77">
      <c r="K67" s="35">
        <f>$L67*VLOOKUP($R67,武学奇术!$A:$ZZ,31,FALSE)</f>
        <v>74372.895286315</v>
      </c>
      <c r="L67" s="58">
        <f t="shared" si="11"/>
        <v>66404.3707913527</v>
      </c>
      <c r="M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轻击",$B$21,0))*(1+IF(VLOOKUP($R67,武学奇术!$A:$ZZ,30,FALSE)="老鼠",$B$22,0))*(1+$BW67)*(1+$BX67)</f>
        <v>69240.3717561611</v>
      </c>
      <c r="N67" s="35">
        <f>(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轻击",$B$21,0))*(1+IF(VLOOKUP($R67,武学奇术!$A:$ZZ,30,FALSE)="老鼠",$B$22,0))*(1+$BW67))*(1+$BX67)</f>
        <v>49242.1397703632</v>
      </c>
      <c r="O67" s="35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轻击",$B$21,0))*(1+IF(VLOOKUP($R67,武学奇术!$A:$ZZ,30,FALSE)="老鼠",$B$22,0))*(1+$BW67)*(1+$BX67)</f>
        <v>32294.9495131348</v>
      </c>
      <c r="P67" s="35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轻击",$B$21,0))*(1+IF(VLOOKUP($R67,武学奇术!$A:$ZZ,30,FALSE)="老鼠",$B$22,0))*(1+$BW67)*(1+$BX67)</f>
        <v>28114.2399371117</v>
      </c>
      <c r="Q67" s="36">
        <v>1</v>
      </c>
      <c r="R67" s="37" t="s">
        <v>153</v>
      </c>
      <c r="S67" s="37" t="s">
        <v>91</v>
      </c>
      <c r="T67" s="37" t="s">
        <v>185</v>
      </c>
      <c r="U67" s="37" t="s">
        <v>112</v>
      </c>
      <c r="V67" s="37" t="s">
        <v>113</v>
      </c>
      <c r="W67" s="37" t="s">
        <v>82</v>
      </c>
      <c r="X67" s="37" t="s">
        <v>81</v>
      </c>
      <c r="Y67" s="37" t="s">
        <v>109</v>
      </c>
      <c r="Z67" s="37" t="s">
        <v>83</v>
      </c>
      <c r="AA67" s="37" t="s">
        <v>81</v>
      </c>
      <c r="AB67" s="37" t="s">
        <v>81</v>
      </c>
      <c r="AC67" s="37" t="s">
        <v>81</v>
      </c>
      <c r="AD67" s="37" t="s">
        <v>85</v>
      </c>
      <c r="AE67" s="37" t="s">
        <v>81</v>
      </c>
      <c r="AF67" s="37" t="s">
        <v>181</v>
      </c>
      <c r="AG67" s="37" t="s">
        <v>87</v>
      </c>
      <c r="AH67" s="37" t="s">
        <v>81</v>
      </c>
      <c r="AI67" s="37" t="s">
        <v>81</v>
      </c>
      <c r="AJ67" s="37" t="s">
        <v>81</v>
      </c>
      <c r="AK67" s="37" t="s">
        <v>81</v>
      </c>
      <c r="AL67" s="37" t="s">
        <v>81</v>
      </c>
      <c r="AM67" t="str">
        <f>VLOOKUP($R67,武学奇术!$A:$ZZ,25,FALSE)</f>
        <v>双刀</v>
      </c>
      <c r="AN67" s="23">
        <f>VLOOKUP($R67,武学奇术!$A:$ZZ,26,FALSE)</f>
        <v>1.7358</v>
      </c>
      <c r="AO67" s="24">
        <f>VLOOKUP($R67,武学奇术!$A:$ZZ,27,FALSE)*(1+IF(OR($AM67=$F$4,$AM67=$F$5),$B$23,0))</f>
        <v>769.6</v>
      </c>
      <c r="AP67" s="23">
        <f>VLOOKUP($R67,武学奇术!$A:$ZZ,28,FALSE)</f>
        <v>2.6037</v>
      </c>
      <c r="AQ67" s="24">
        <f>VLOOKUP($R67,武学奇术!$A:$ZZ,29,FALSE)*(1+IF(OR($AM67=$F$4,$AM67=$F$5),$B$23,0))</f>
        <v>419.2</v>
      </c>
      <c r="AR67" s="23" cm="1">
        <f t="array" ref="AR67">$G$3+IFERROR(VLOOKUP($AM67,$F$4:$G$7,2,FALSE),0)+VLOOKUP($R67,武学奇术!$A:$ZZ,2,FALSE)+SUM(_xlfn.XLOOKUP($S67:$AL67,增益!$A:$A,增益!$B:$B,0))</f>
        <v>0.7443</v>
      </c>
      <c r="AS67" s="23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4081.7</v>
      </c>
      <c r="AU67" cm="1">
        <f t="array" ref="AU67">$E$10*(1+$AS67)+VLOOKUP($R67,武学奇术!$A:$ZZ,4,FALSE)+SUM(_xlfn.XLOOKUP($S67:$AL67,增益!$A:$A,增益!$D:$D,0))-$I$2</f>
        <v>4081.7</v>
      </c>
      <c r="AV67" s="29" cm="1">
        <f t="array" ref="AV67">IF($F$10-$I$3+VLOOKUP($R67,武学奇术!$A:$ZZ,6,FALSE)+SUM(_xlfn.XLOOKUP(S67:AL67,增益!$A:$A,增益!$F:$F,0))&gt;0,($F$10-$I$3+VLOOKUP($R67,武学奇术!$A:$ZZ,6,FALSE)+SUM(_xlfn.XLOOKUP(S67:AL67,增益!$A:$A,增益!$F:$F,0)))/200,($F$10-$I$3+VLOOKUP($R67,武学奇术!$A:$ZZ,6,FALSE)+SUM(_xlfn.XLOOKUP(S67:AL67,增益!$A:$A,增益!$F:$F,0)))/100)</f>
        <v>0.2439</v>
      </c>
      <c r="AW67" s="29" cm="1">
        <f t="array" ref="AW67">$G$10+VLOOKUP($R67,武学奇术!$A:$ZZ,7,FALSE)+SUM(_xlfn.XLOOKUP(S67:AL67,增益!$A:$A,增益!$G:$G,0))</f>
        <v>0.06</v>
      </c>
      <c r="AX67" s="23" cm="1">
        <f t="array" ref="AX67">VLOOKUP($R67,武学奇术!$A:$ZZ,8,FALSE)+SUM(_xlfn.XLOOKUP(S67:AL67,增益!$A:$A,增益!$H:$H,0))</f>
        <v>0</v>
      </c>
      <c r="AY67">
        <f t="shared" si="12"/>
        <v>0</v>
      </c>
      <c r="AZ67">
        <f t="shared" si="13"/>
        <v>0</v>
      </c>
      <c r="BA67" s="29" cm="1">
        <f t="array" ref="BA67">IF($F$11-$I$4+VLOOKUP($R67,武学奇术!$A:$ZZ,9,FALSE)+SUM(_xlfn.XLOOKUP(S67:AL67,增益!$A:$A,增益!$I:$I,0))&gt;0,($F$11-$I$4+VLOOKUP($R67,武学奇术!$A:$ZZ,9,FALSE)+SUM(_xlfn.XLOOKUP(S67:AL67,增益!$A:$A,增益!$I:$I,0)))/200,($F$11-$I$4+VLOOKUP($R67,武学奇术!$A:$ZZ,9,FALSE)+SUM(_xlfn.XLOOKUP(S67:AL67,增益!$A:$A,增益!$I:$I,0)))/100)</f>
        <v>-0.3</v>
      </c>
      <c r="BB67" s="29" cm="1">
        <f t="array" ref="BB67">$G$11+VLOOKUP($R67,武学奇术!$A:$ZZ,10,FALSE)+SUM(_xlfn.XLOOKUP(S67:AL67,增益!$A:$A,增益!$J:$J,0))</f>
        <v>0</v>
      </c>
      <c r="BC67">
        <f t="shared" si="14"/>
        <v>0</v>
      </c>
      <c r="BD67">
        <f t="shared" si="15"/>
        <v>0</v>
      </c>
      <c r="BE67" s="29" cm="1">
        <f t="array" ref="BE67">IF($F$12-$I$4+VLOOKUP($R67,武学奇术!$A:$ZZ,11,FALSE)+SUM(_xlfn.XLOOKUP(S67:AL67,增益!$A:$A,增益!$K:$K,0))&gt;0,($F$12-$I$4+VLOOKUP($R67,武学奇术!$A:$ZZ,11,FALSE)+SUM(_xlfn.XLOOKUP(S67:AL67,增益!$A:$A,增益!$K:$K,0)))/200,($F$12-$I$4+VLOOKUP($R67,武学奇术!$A:$ZZ,11,FALSE)+SUM(_xlfn.XLOOKUP(S67:AL67,增益!$A:$A,增益!$K:$K,0)))/100)</f>
        <v>-0.3</v>
      </c>
      <c r="BF67" s="29" cm="1">
        <f t="array" ref="BF67">$G$12+VLOOKUP($R67,武学奇术!$A:$ZZ,12,FALSE)+SUM(_xlfn.XLOOKUP(S67:AL67,增益!$A:$A,增益!$L:$L,0))</f>
        <v>0</v>
      </c>
      <c r="BG67">
        <f t="shared" si="16"/>
        <v>0</v>
      </c>
      <c r="BH67">
        <f t="shared" si="17"/>
        <v>0</v>
      </c>
      <c r="BI67" s="29" cm="1">
        <f t="array" ref="BI67">IF($F$13-$I$4+VLOOKUP($R67,武学奇术!$A:$ZZ,13,FALSE)+SUM(_xlfn.XLOOKUP(S67:AL67,增益!$A:$A,增益!$M:$M,0))&gt;0,($F$13-$I$4+VLOOKUP($R67,武学奇术!$A:$ZZ,13,FALSE)+SUM(_xlfn.XLOOKUP(S67:AL67,增益!$A:$A,增益!$K:$K,0)))/200,($F$13-$I$4+VLOOKUP($R67,武学奇术!$A:$ZZ,13,FALSE)+SUM(_xlfn.XLOOKUP(S67:AL67,增益!$A:$A,增益!$M:$M,0)))/100)</f>
        <v>-0.3</v>
      </c>
      <c r="BJ67" s="29" cm="1">
        <f t="array" ref="BJ67">$G$13+VLOOKUP($R67,武学奇术!$A:$ZZ,14,FALSE)+SUM(_xlfn.XLOOKUP(S67:AL67,增益!$A:$A,增益!$N:$N,0))</f>
        <v>0</v>
      </c>
      <c r="BK67">
        <f t="shared" si="18"/>
        <v>618.2</v>
      </c>
      <c r="BL67">
        <f t="shared" si="19"/>
        <v>1805</v>
      </c>
      <c r="BM67" s="29" cm="1">
        <f t="array" ref="BM67">IF($F$14-$I$4+VLOOKUP($R67,武学奇术!$A:$ZZ,15,FALSE)+SUM(_xlfn.XLOOKUP(S67:AL67,增益!$A:$A,增益!$O:$O,0))&gt;0,($F$14-$I$4+VLOOKUP($R67,武学奇术!$A:$ZZ,15,FALSE)+SUM(_xlfn.XLOOKUP(S67:AL67,增益!$A:$A,增益!$O:$O,0)))/200,($F$14-$I$4+VLOOKUP($R67,武学奇术!$A:$ZZ,15,FALSE)+SUM(_xlfn.XLOOKUP(S67:AL67,增益!$A:$A,增益!$O:$O,0)))/100)</f>
        <v>0.05</v>
      </c>
      <c r="BN67" s="29" cm="1">
        <f t="array" ref="BN67">$G$14+VLOOKUP($R67,武学奇术!$A:$ZZ,16,FALSE)+SUM(_xlfn.XLOOKUP(S67:AL67,增益!$A:$A,增益!$P:$P,0))</f>
        <v>0.21</v>
      </c>
      <c r="BO67" s="23">
        <f>MIN(IF(VLOOKUP($R67,武学奇术!$A:$ZZ,23,FALSE)=1,100%,$B$8),100%)</f>
        <v>0.9943</v>
      </c>
      <c r="BP67" s="23" cm="1">
        <f t="array" ref="BP67">IF(VLOOKUP($R67,武学奇术!$A:$ZZ,23,FALSE)=1,100%,MIN(80%,$B$9+VLOOKUP($R67,武学奇术!$A:$ZZ,17,FALSE)+SUM(_xlfn.XLOOKUP(S67:AL67,增益!$A:$A,增益!$Q:$Q,0)))+$B$11+SUM(_xlfn.XLOOKUP(S67:AL67,增益!$A:$A,增益!$U:$U,0)))*IF(VLOOKUP($R67,武学奇术!$A:$ZZ,24,FALSE)=1,0,1)</f>
        <v>0.887</v>
      </c>
      <c r="BQ67" s="23" cm="1">
        <f t="array" ref="BQ67">1+$B$13+VLOOKUP($R67,武学奇术!$A:$ZZ,18,FALSE)+SUM(_xlfn.XLOOKUP(S67:AL67,增益!$A:$A,增益!$R:$R,0))</f>
        <v>2.144</v>
      </c>
      <c r="BR67" s="23" cm="1">
        <f t="array" ref="BR67">IF(VLOOKUP($R67,武学奇术!$A:$ZZ,24,FALSE)=1,100%,MIN(40%,$B$10+VLOOKUP($R67,武学奇术!$A:$ZZ,19,FALSE)+SUM(_xlfn.XLOOKUP(S67:AL67,增益!$A:$A,增益!$S:$S,0)))+$B$12+SUM(_xlfn.XLOOKUP(S67:AL67,增益!$A:$A,增益!$V:$V,0)))*IF(VLOOKUP($R67,武学奇术!$A:$ZZ,23,FALSE)=1,0,1)</f>
        <v>0.0913</v>
      </c>
      <c r="BS67" s="23" cm="1">
        <f t="array" ref="BS67">1+$B$14+VLOOKUP($R67,武学奇术!$A:$ZZ,20,FALSE)+SUM(_xlfn.XLOOKUP(S67:AL67,增益!$A:$A,增益!$T:$T,0))</f>
        <v>1.35</v>
      </c>
      <c r="BT67" s="23">
        <f t="shared" si="20"/>
        <v>0.8819441</v>
      </c>
      <c r="BU67" s="23">
        <f t="shared" si="21"/>
        <v>0.0215763099999999</v>
      </c>
      <c r="BV67" s="23">
        <f>IF(VLOOKUP($R67,武学奇术!$A:$ZZ,22,FALSE)=1,0,(1-$BO67))*(1-$BR67)</f>
        <v>0.00517959000000003</v>
      </c>
      <c r="BW67" s="23" cm="1">
        <f t="array" ref="BW67">SUM(_xlfn.XLOOKUP(S67:AL67,增益!$A:$A,增益!$W:$W,0))+$I$5</f>
        <v>0.11</v>
      </c>
      <c r="BX67" s="23">
        <f>VLOOKUP($R67,武学奇术!$A:$ZZ,32,FALSE)</f>
        <v>0.1</v>
      </c>
      <c r="BY67" s="23" cm="1">
        <f t="array" ref="BY67">SUM(_xlfn.XLOOKUP($S67:$AL67,增益!$A:$A,增益!$X:$X,0))</f>
        <v>0</v>
      </c>
    </row>
    <row r="68" spans="2:77">
      <c r="K68" s="35">
        <f>$L68*VLOOKUP($R68,武学奇术!$A:$ZZ,31,FALSE)</f>
        <v>108570.699429785</v>
      </c>
      <c r="L68" s="58">
        <f t="shared" si="11"/>
        <v>96938.1244908791</v>
      </c>
      <c r="M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轻击",$B$21,0))*(1+IF(VLOOKUP($R68,武学奇术!$A:$ZZ,30,FALSE)="老鼠",$B$22,0))*(1+$BW68)*(1+$BX68)</f>
        <v>101078.106946498</v>
      </c>
      <c r="N68" s="35">
        <f>(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轻击",$B$21,0))*(1+IF(VLOOKUP($R68,武学奇术!$A:$ZZ,30,FALSE)="老鼠",$B$22,0))*(1+$BW68))*(1+$BX68)</f>
        <v>71885.0039412483</v>
      </c>
      <c r="O68" s="35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轻击",$B$21,0))*(1+IF(VLOOKUP($R68,武学奇术!$A:$ZZ,30,FALSE)="老鼠",$B$22,0))*(1+$BW68)*(1+$BX68)</f>
        <v>47144.6394340011</v>
      </c>
      <c r="P68" s="35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轻击",$B$21,0))*(1+IF(VLOOKUP($R68,武学奇术!$A:$ZZ,30,FALSE)="老鼠",$B$22,0))*(1+$BW68)*(1+$BX68)</f>
        <v>41041.1278004108</v>
      </c>
      <c r="Q68" s="36">
        <v>1</v>
      </c>
      <c r="R68" s="37" t="s">
        <v>158</v>
      </c>
      <c r="S68" s="37" t="s">
        <v>91</v>
      </c>
      <c r="T68" s="37" t="s">
        <v>185</v>
      </c>
      <c r="U68" s="37" t="s">
        <v>112</v>
      </c>
      <c r="V68" s="37" t="s">
        <v>113</v>
      </c>
      <c r="W68" s="37" t="s">
        <v>82</v>
      </c>
      <c r="X68" s="37" t="s">
        <v>81</v>
      </c>
      <c r="Y68" s="37" t="s">
        <v>109</v>
      </c>
      <c r="Z68" s="37" t="s">
        <v>83</v>
      </c>
      <c r="AA68" s="37" t="s">
        <v>81</v>
      </c>
      <c r="AB68" s="37" t="s">
        <v>81</v>
      </c>
      <c r="AC68" s="37" t="s">
        <v>81</v>
      </c>
      <c r="AD68" s="37" t="s">
        <v>85</v>
      </c>
      <c r="AE68" s="37" t="s">
        <v>81</v>
      </c>
      <c r="AF68" s="37" t="s">
        <v>181</v>
      </c>
      <c r="AG68" s="37" t="s">
        <v>87</v>
      </c>
      <c r="AH68" s="37" t="s">
        <v>81</v>
      </c>
      <c r="AI68" s="37" t="s">
        <v>81</v>
      </c>
      <c r="AJ68" s="37" t="s">
        <v>81</v>
      </c>
      <c r="AK68" s="37" t="s">
        <v>81</v>
      </c>
      <c r="AL68" s="37" t="s">
        <v>81</v>
      </c>
      <c r="AM68" t="str">
        <f>VLOOKUP($R68,武学奇术!$A:$ZZ,25,FALSE)</f>
        <v>双刀</v>
      </c>
      <c r="AN68" s="23">
        <f>VLOOKUP($R68,武学奇术!$A:$ZZ,26,FALSE)</f>
        <v>2.5342</v>
      </c>
      <c r="AO68" s="24">
        <f>VLOOKUP($R68,武学奇术!$A:$ZZ,27,FALSE)*(1+IF(OR($AM68=$F$4,$AM68=$F$5),$B$23,0))</f>
        <v>1123.2</v>
      </c>
      <c r="AP68" s="23">
        <f>VLOOKUP($R68,武学奇术!$A:$ZZ,28,FALSE)</f>
        <v>3.8012</v>
      </c>
      <c r="AQ68" s="24">
        <f>VLOOKUP($R68,武学奇术!$A:$ZZ,29,FALSE)*(1+IF(OR($AM68=$F$4,$AM68=$F$5),$B$23,0))</f>
        <v>611.2</v>
      </c>
      <c r="AR68" s="23" cm="1">
        <f t="array" ref="AR68">$G$3+IFERROR(VLOOKUP($AM68,$F$4:$G$7,2,FALSE),0)+VLOOKUP($R68,武学奇术!$A:$ZZ,2,FALSE)+SUM(_xlfn.XLOOKUP($S68:$AL68,增益!$A:$A,增益!$B:$B,0))</f>
        <v>0.7443</v>
      </c>
      <c r="AS68" s="23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4081.7</v>
      </c>
      <c r="AU68" cm="1">
        <f t="array" ref="AU68">$E$10*(1+$AS68)+VLOOKUP($R68,武学奇术!$A:$ZZ,4,FALSE)+SUM(_xlfn.XLOOKUP($S68:$AL68,增益!$A:$A,增益!$D:$D,0))-$I$2</f>
        <v>4081.7</v>
      </c>
      <c r="AV68" s="29" cm="1">
        <f t="array" ref="AV68">IF($F$10-$I$3+VLOOKUP($R68,武学奇术!$A:$ZZ,6,FALSE)+SUM(_xlfn.XLOOKUP(S68:AL68,增益!$A:$A,增益!$F:$F,0))&gt;0,($F$10-$I$3+VLOOKUP($R68,武学奇术!$A:$ZZ,6,FALSE)+SUM(_xlfn.XLOOKUP(S68:AL68,增益!$A:$A,增益!$F:$F,0)))/200,($F$10-$I$3+VLOOKUP($R68,武学奇术!$A:$ZZ,6,FALSE)+SUM(_xlfn.XLOOKUP(S68:AL68,增益!$A:$A,增益!$F:$F,0)))/100)</f>
        <v>0.2439</v>
      </c>
      <c r="AW68" s="29" cm="1">
        <f t="array" ref="AW68">$G$10+VLOOKUP($R68,武学奇术!$A:$ZZ,7,FALSE)+SUM(_xlfn.XLOOKUP(S68:AL68,增益!$A:$A,增益!$G:$G,0))</f>
        <v>0.06</v>
      </c>
      <c r="AX68" s="23" cm="1">
        <f t="array" ref="AX68">VLOOKUP($R68,武学奇术!$A:$ZZ,8,FALSE)+SUM(_xlfn.XLOOKUP(S68:AL68,增益!$A:$A,增益!$H:$H,0))</f>
        <v>0</v>
      </c>
      <c r="AY68">
        <f t="shared" si="12"/>
        <v>0</v>
      </c>
      <c r="AZ68">
        <f t="shared" si="13"/>
        <v>0</v>
      </c>
      <c r="BA68" s="29" cm="1">
        <f t="array" ref="BA68">IF($F$11-$I$4+VLOOKUP($R68,武学奇术!$A:$ZZ,9,FALSE)+SUM(_xlfn.XLOOKUP(S68:AL68,增益!$A:$A,增益!$I:$I,0))&gt;0,($F$11-$I$4+VLOOKUP($R68,武学奇术!$A:$ZZ,9,FALSE)+SUM(_xlfn.XLOOKUP(S68:AL68,增益!$A:$A,增益!$I:$I,0)))/200,($F$11-$I$4+VLOOKUP($R68,武学奇术!$A:$ZZ,9,FALSE)+SUM(_xlfn.XLOOKUP(S68:AL68,增益!$A:$A,增益!$I:$I,0)))/100)</f>
        <v>-0.3</v>
      </c>
      <c r="BB68" s="29" cm="1">
        <f t="array" ref="BB68">$G$11+VLOOKUP($R68,武学奇术!$A:$ZZ,10,FALSE)+SUM(_xlfn.XLOOKUP(S68:AL68,增益!$A:$A,增益!$J:$J,0))</f>
        <v>0</v>
      </c>
      <c r="BC68">
        <f t="shared" si="14"/>
        <v>0</v>
      </c>
      <c r="BD68">
        <f t="shared" si="15"/>
        <v>0</v>
      </c>
      <c r="BE68" s="29" cm="1">
        <f t="array" ref="BE68">IF($F$12-$I$4+VLOOKUP($R68,武学奇术!$A:$ZZ,11,FALSE)+SUM(_xlfn.XLOOKUP(S68:AL68,增益!$A:$A,增益!$K:$K,0))&gt;0,($F$12-$I$4+VLOOKUP($R68,武学奇术!$A:$ZZ,11,FALSE)+SUM(_xlfn.XLOOKUP(S68:AL68,增益!$A:$A,增益!$K:$K,0)))/200,($F$12-$I$4+VLOOKUP($R68,武学奇术!$A:$ZZ,11,FALSE)+SUM(_xlfn.XLOOKUP(S68:AL68,增益!$A:$A,增益!$K:$K,0)))/100)</f>
        <v>-0.3</v>
      </c>
      <c r="BF68" s="29" cm="1">
        <f t="array" ref="BF68">$G$12+VLOOKUP($R68,武学奇术!$A:$ZZ,12,FALSE)+SUM(_xlfn.XLOOKUP(S68:AL68,增益!$A:$A,增益!$L:$L,0))</f>
        <v>0</v>
      </c>
      <c r="BG68">
        <f t="shared" si="16"/>
        <v>0</v>
      </c>
      <c r="BH68">
        <f t="shared" si="17"/>
        <v>0</v>
      </c>
      <c r="BI68" s="29" cm="1">
        <f t="array" ref="BI68">IF($F$13-$I$4+VLOOKUP($R68,武学奇术!$A:$ZZ,13,FALSE)+SUM(_xlfn.XLOOKUP(S68:AL68,增益!$A:$A,增益!$M:$M,0))&gt;0,($F$13-$I$4+VLOOKUP($R68,武学奇术!$A:$ZZ,13,FALSE)+SUM(_xlfn.XLOOKUP(S68:AL68,增益!$A:$A,增益!$K:$K,0)))/200,($F$13-$I$4+VLOOKUP($R68,武学奇术!$A:$ZZ,13,FALSE)+SUM(_xlfn.XLOOKUP(S68:AL68,增益!$A:$A,增益!$M:$M,0)))/100)</f>
        <v>-0.3</v>
      </c>
      <c r="BJ68" s="29" cm="1">
        <f t="array" ref="BJ68">$G$13+VLOOKUP($R68,武学奇术!$A:$ZZ,14,FALSE)+SUM(_xlfn.XLOOKUP(S68:AL68,增益!$A:$A,增益!$N:$N,0))</f>
        <v>0</v>
      </c>
      <c r="BK68">
        <f t="shared" si="18"/>
        <v>618.2</v>
      </c>
      <c r="BL68">
        <f t="shared" si="19"/>
        <v>1805</v>
      </c>
      <c r="BM68" s="29" cm="1">
        <f t="array" ref="BM68">IF($F$14-$I$4+VLOOKUP($R68,武学奇术!$A:$ZZ,15,FALSE)+SUM(_xlfn.XLOOKUP(S68:AL68,增益!$A:$A,增益!$O:$O,0))&gt;0,($F$14-$I$4+VLOOKUP($R68,武学奇术!$A:$ZZ,15,FALSE)+SUM(_xlfn.XLOOKUP(S68:AL68,增益!$A:$A,增益!$O:$O,0)))/200,($F$14-$I$4+VLOOKUP($R68,武学奇术!$A:$ZZ,15,FALSE)+SUM(_xlfn.XLOOKUP(S68:AL68,增益!$A:$A,增益!$O:$O,0)))/100)</f>
        <v>0.05</v>
      </c>
      <c r="BN68" s="29" cm="1">
        <f t="array" ref="BN68">$G$14+VLOOKUP($R68,武学奇术!$A:$ZZ,16,FALSE)+SUM(_xlfn.XLOOKUP(S68:AL68,增益!$A:$A,增益!$P:$P,0))</f>
        <v>0.21</v>
      </c>
      <c r="BO68" s="23">
        <f>MIN(IF(VLOOKUP($R68,武学奇术!$A:$ZZ,23,FALSE)=1,100%,$B$8),100%)</f>
        <v>0.9943</v>
      </c>
      <c r="BP68" s="23" cm="1">
        <f t="array" ref="BP68">IF(VLOOKUP($R68,武学奇术!$A:$ZZ,23,FALSE)=1,100%,MIN(80%,$B$9+VLOOKUP($R68,武学奇术!$A:$ZZ,17,FALSE)+SUM(_xlfn.XLOOKUP(S68:AL68,增益!$A:$A,增益!$Q:$Q,0)))+$B$11+SUM(_xlfn.XLOOKUP(S68:AL68,增益!$A:$A,增益!$U:$U,0)))*IF(VLOOKUP($R68,武学奇术!$A:$ZZ,24,FALSE)=1,0,1)</f>
        <v>0.887</v>
      </c>
      <c r="BQ68" s="23" cm="1">
        <f t="array" ref="BQ68">1+$B$13+VLOOKUP($R68,武学奇术!$A:$ZZ,18,FALSE)+SUM(_xlfn.XLOOKUP(S68:AL68,增益!$A:$A,增益!$R:$R,0))</f>
        <v>2.144</v>
      </c>
      <c r="BR68" s="23" cm="1">
        <f t="array" ref="BR68">IF(VLOOKUP($R68,武学奇术!$A:$ZZ,24,FALSE)=1,100%,MIN(40%,$B$10+VLOOKUP($R68,武学奇术!$A:$ZZ,19,FALSE)+SUM(_xlfn.XLOOKUP(S68:AL68,增益!$A:$A,增益!$S:$S,0)))+$B$12+SUM(_xlfn.XLOOKUP(S68:AL68,增益!$A:$A,增益!$V:$V,0)))*IF(VLOOKUP($R68,武学奇术!$A:$ZZ,23,FALSE)=1,0,1)</f>
        <v>0.0913</v>
      </c>
      <c r="BS68" s="23" cm="1">
        <f t="array" ref="BS68">1+$B$14+VLOOKUP($R68,武学奇术!$A:$ZZ,20,FALSE)+SUM(_xlfn.XLOOKUP(S68:AL68,增益!$A:$A,增益!$T:$T,0))</f>
        <v>1.35</v>
      </c>
      <c r="BT68" s="23">
        <f t="shared" si="20"/>
        <v>0.8819441</v>
      </c>
      <c r="BU68" s="23">
        <f t="shared" si="21"/>
        <v>0.0215763099999999</v>
      </c>
      <c r="BV68" s="23">
        <f>IF(VLOOKUP($R68,武学奇术!$A:$ZZ,22,FALSE)=1,0,(1-$BO68))*(1-$BR68)</f>
        <v>0.00517959000000003</v>
      </c>
      <c r="BW68" s="23" cm="1">
        <f t="array" ref="BW68">SUM(_xlfn.XLOOKUP(S68:AL68,增益!$A:$A,增益!$W:$W,0))+$I$5</f>
        <v>0.11</v>
      </c>
      <c r="BX68" s="23">
        <f>VLOOKUP($R68,武学奇术!$A:$ZZ,32,FALSE)</f>
        <v>0.1</v>
      </c>
      <c r="BY68" s="23" cm="1">
        <f t="array" ref="BY68">SUM(_xlfn.XLOOKUP($S68:$AL68,增益!$A:$A,增益!$X:$X,0))</f>
        <v>0</v>
      </c>
    </row>
    <row r="69" spans="2:77">
      <c r="K69" s="35">
        <f>$L69*VLOOKUP($R69,武学奇术!$A:$ZZ,31,FALSE)</f>
        <v>41243.8854840216</v>
      </c>
      <c r="L69" s="58">
        <f t="shared" si="11"/>
        <v>40435.18184708</v>
      </c>
      <c r="M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轻击",$B$21,0))*(1+IF(VLOOKUP($R69,武学奇术!$A:$ZZ,30,FALSE)="老鼠",$B$22,0))*(1+$BW69)*(1+$BX69)</f>
        <v>42167.7185366708</v>
      </c>
      <c r="N69" s="35">
        <f>(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轻击",$B$21,0))*(1+IF(VLOOKUP($R69,武学奇术!$A:$ZZ,30,FALSE)="老鼠",$B$22,0))*(1+$BW69))*(1+$BX69)</f>
        <v>29926.9762954228</v>
      </c>
      <c r="O69" s="35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轻击",$B$21,0))*(1+IF(VLOOKUP($R69,武学奇术!$A:$ZZ,30,FALSE)="老鼠",$B$22,0))*(1+$BW69)*(1+$BX69)</f>
        <v>19667.7791682233</v>
      </c>
      <c r="P69" s="35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轻击",$B$21,0))*(1+IF(VLOOKUP($R69,武学奇术!$A:$ZZ,30,FALSE)="老鼠",$B$22,0))*(1+$BW69)*(1+$BX69)</f>
        <v>17167.4277472446</v>
      </c>
      <c r="Q69" s="36">
        <v>1</v>
      </c>
      <c r="R69" s="37" t="s">
        <v>160</v>
      </c>
      <c r="S69" s="37" t="s">
        <v>91</v>
      </c>
      <c r="T69" s="37" t="s">
        <v>185</v>
      </c>
      <c r="U69" s="37" t="s">
        <v>81</v>
      </c>
      <c r="V69" s="37" t="s">
        <v>81</v>
      </c>
      <c r="W69" s="37" t="s">
        <v>82</v>
      </c>
      <c r="X69" s="37" t="s">
        <v>81</v>
      </c>
      <c r="Y69" s="37" t="s">
        <v>81</v>
      </c>
      <c r="Z69" s="37" t="s">
        <v>83</v>
      </c>
      <c r="AA69" s="37" t="s">
        <v>81</v>
      </c>
      <c r="AB69" s="37" t="s">
        <v>81</v>
      </c>
      <c r="AC69" s="37" t="s">
        <v>81</v>
      </c>
      <c r="AD69" s="37" t="s">
        <v>85</v>
      </c>
      <c r="AE69" s="37" t="s">
        <v>81</v>
      </c>
      <c r="AF69" s="37" t="s">
        <v>181</v>
      </c>
      <c r="AG69" s="37" t="s">
        <v>87</v>
      </c>
      <c r="AH69" s="37" t="s">
        <v>81</v>
      </c>
      <c r="AI69" s="37" t="s">
        <v>81</v>
      </c>
      <c r="AJ69" s="37" t="s">
        <v>81</v>
      </c>
      <c r="AK69" s="37" t="s">
        <v>81</v>
      </c>
      <c r="AL69" s="37" t="s">
        <v>81</v>
      </c>
      <c r="AM69" t="str">
        <f>VLOOKUP($R69,武学奇术!$A:$ZZ,25,FALSE)</f>
        <v>双刀</v>
      </c>
      <c r="AN69" s="23">
        <f>VLOOKUP($R69,武学奇术!$A:$ZZ,26,FALSE)</f>
        <v>1.3548</v>
      </c>
      <c r="AO69" s="24">
        <f>VLOOKUP($R69,武学奇术!$A:$ZZ,27,FALSE)*(1+IF(OR($AM69=$F$4,$AM69=$F$5),$B$23,0))</f>
        <v>601.6</v>
      </c>
      <c r="AP69" s="23">
        <f>VLOOKUP($R69,武学奇术!$A:$ZZ,28,FALSE)</f>
        <v>2.0322</v>
      </c>
      <c r="AQ69" s="24">
        <f>VLOOKUP($R69,武学奇术!$A:$ZZ,29,FALSE)*(1+IF(OR($AM69=$F$4,$AM69=$F$5),$B$23,0))</f>
        <v>328</v>
      </c>
      <c r="AR69" s="23" cm="1">
        <f t="array" ref="AR69">$G$3+IFERROR(VLOOKUP($AM69,$F$4:$G$7,2,FALSE),0)+VLOOKUP($R69,武学奇术!$A:$ZZ,2,FALSE)+SUM(_xlfn.XLOOKUP($S69:$AL69,增益!$A:$A,增益!$B:$B,0))</f>
        <v>0.6243</v>
      </c>
      <c r="AS69" s="23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4013</v>
      </c>
      <c r="AU69" cm="1">
        <f t="array" ref="AU69">$E$10*(1+$AS69)+VLOOKUP($R69,武学奇术!$A:$ZZ,4,FALSE)+SUM(_xlfn.XLOOKUP($S69:$AL69,增益!$A:$A,增益!$D:$D,0))-$I$2</f>
        <v>4013</v>
      </c>
      <c r="AV69" s="29" cm="1">
        <f t="array" ref="AV69">IF($F$10-$I$3+VLOOKUP($R69,武学奇术!$A:$ZZ,6,FALSE)+SUM(_xlfn.XLOOKUP(S69:AL69,增益!$A:$A,增益!$F:$F,0))&gt;0,($F$10-$I$3+VLOOKUP($R69,武学奇术!$A:$ZZ,6,FALSE)+SUM(_xlfn.XLOOKUP(S69:AL69,增益!$A:$A,增益!$F:$F,0)))/200,($F$10-$I$3+VLOOKUP($R69,武学奇术!$A:$ZZ,6,FALSE)+SUM(_xlfn.XLOOKUP(S69:AL69,增益!$A:$A,增益!$F:$F,0)))/100)</f>
        <v>0.2439</v>
      </c>
      <c r="AW69" s="29" cm="1">
        <f t="array" ref="AW69">$G$10+VLOOKUP($R69,武学奇术!$A:$ZZ,7,FALSE)+SUM(_xlfn.XLOOKUP(S69:AL69,增益!$A:$A,增益!$G:$G,0))</f>
        <v>0</v>
      </c>
      <c r="AX69" s="23" cm="1">
        <f t="array" ref="AX69">VLOOKUP($R69,武学奇术!$A:$ZZ,8,FALSE)+SUM(_xlfn.XLOOKUP(S69:AL69,增益!$A:$A,增益!$H:$H,0))</f>
        <v>0</v>
      </c>
      <c r="AY69">
        <f t="shared" si="12"/>
        <v>0</v>
      </c>
      <c r="AZ69">
        <f t="shared" si="13"/>
        <v>0</v>
      </c>
      <c r="BA69" s="29" cm="1">
        <f t="array" ref="BA69">IF($F$11-$I$4+VLOOKUP($R69,武学奇术!$A:$ZZ,9,FALSE)+SUM(_xlfn.XLOOKUP(S69:AL69,增益!$A:$A,增益!$I:$I,0))&gt;0,($F$11-$I$4+VLOOKUP($R69,武学奇术!$A:$ZZ,9,FALSE)+SUM(_xlfn.XLOOKUP(S69:AL69,增益!$A:$A,增益!$I:$I,0)))/200,($F$11-$I$4+VLOOKUP($R69,武学奇术!$A:$ZZ,9,FALSE)+SUM(_xlfn.XLOOKUP(S69:AL69,增益!$A:$A,增益!$I:$I,0)))/100)</f>
        <v>-0.3</v>
      </c>
      <c r="BB69" s="29" cm="1">
        <f t="array" ref="BB69">$G$11+VLOOKUP($R69,武学奇术!$A:$ZZ,10,FALSE)+SUM(_xlfn.XLOOKUP(S69:AL69,增益!$A:$A,增益!$J:$J,0))</f>
        <v>0</v>
      </c>
      <c r="BC69">
        <f t="shared" si="14"/>
        <v>0</v>
      </c>
      <c r="BD69">
        <f t="shared" si="15"/>
        <v>0</v>
      </c>
      <c r="BE69" s="29" cm="1">
        <f t="array" ref="BE69">IF($F$12-$I$4+VLOOKUP($R69,武学奇术!$A:$ZZ,11,FALSE)+SUM(_xlfn.XLOOKUP(S69:AL69,增益!$A:$A,增益!$K:$K,0))&gt;0,($F$12-$I$4+VLOOKUP($R69,武学奇术!$A:$ZZ,11,FALSE)+SUM(_xlfn.XLOOKUP(S69:AL69,增益!$A:$A,增益!$K:$K,0)))/200,($F$12-$I$4+VLOOKUP($R69,武学奇术!$A:$ZZ,11,FALSE)+SUM(_xlfn.XLOOKUP(S69:AL69,增益!$A:$A,增益!$K:$K,0)))/100)</f>
        <v>-0.3</v>
      </c>
      <c r="BF69" s="29" cm="1">
        <f t="array" ref="BF69">$G$12+VLOOKUP($R69,武学奇术!$A:$ZZ,12,FALSE)+SUM(_xlfn.XLOOKUP(S69:AL69,增益!$A:$A,增益!$L:$L,0))</f>
        <v>0</v>
      </c>
      <c r="BG69">
        <f t="shared" si="16"/>
        <v>0</v>
      </c>
      <c r="BH69">
        <f t="shared" si="17"/>
        <v>0</v>
      </c>
      <c r="BI69" s="29" cm="1">
        <f t="array" ref="BI69">IF($F$13-$I$4+VLOOKUP($R69,武学奇术!$A:$ZZ,13,FALSE)+SUM(_xlfn.XLOOKUP(S69:AL69,增益!$A:$A,增益!$M:$M,0))&gt;0,($F$13-$I$4+VLOOKUP($R69,武学奇术!$A:$ZZ,13,FALSE)+SUM(_xlfn.XLOOKUP(S69:AL69,增益!$A:$A,增益!$K:$K,0)))/200,($F$13-$I$4+VLOOKUP($R69,武学奇术!$A:$ZZ,13,FALSE)+SUM(_xlfn.XLOOKUP(S69:AL69,增益!$A:$A,增益!$M:$M,0)))/100)</f>
        <v>-0.3</v>
      </c>
      <c r="BJ69" s="29" cm="1">
        <f t="array" ref="BJ69">$G$13+VLOOKUP($R69,武学奇术!$A:$ZZ,14,FALSE)+SUM(_xlfn.XLOOKUP(S69:AL69,增益!$A:$A,增益!$N:$N,0))</f>
        <v>0</v>
      </c>
      <c r="BK69">
        <f t="shared" si="18"/>
        <v>618.2</v>
      </c>
      <c r="BL69">
        <f t="shared" si="19"/>
        <v>1805</v>
      </c>
      <c r="BM69" s="29" cm="1">
        <f t="array" ref="BM69">IF($F$14-$I$4+VLOOKUP($R69,武学奇术!$A:$ZZ,15,FALSE)+SUM(_xlfn.XLOOKUP(S69:AL69,增益!$A:$A,增益!$O:$O,0))&gt;0,($F$14-$I$4+VLOOKUP($R69,武学奇术!$A:$ZZ,15,FALSE)+SUM(_xlfn.XLOOKUP(S69:AL69,增益!$A:$A,增益!$O:$O,0)))/200,($F$14-$I$4+VLOOKUP($R69,武学奇术!$A:$ZZ,15,FALSE)+SUM(_xlfn.XLOOKUP(S69:AL69,增益!$A:$A,增益!$O:$O,0)))/100)</f>
        <v>0</v>
      </c>
      <c r="BN69" s="29" cm="1">
        <f t="array" ref="BN69">$G$14+VLOOKUP($R69,武学奇术!$A:$ZZ,16,FALSE)+SUM(_xlfn.XLOOKUP(S69:AL69,增益!$A:$A,增益!$P:$P,0))</f>
        <v>0.15</v>
      </c>
      <c r="BO69" s="23">
        <f>MIN(IF(VLOOKUP($R69,武学奇术!$A:$ZZ,23,FALSE)=1,100%,$B$8),100%)</f>
        <v>0.9943</v>
      </c>
      <c r="BP69" s="23" cm="1">
        <f t="array" ref="BP69">IF(VLOOKUP($R69,武学奇术!$A:$ZZ,23,FALSE)=1,100%,MIN(80%,$B$9+VLOOKUP($R69,武学奇术!$A:$ZZ,17,FALSE)+SUM(_xlfn.XLOOKUP(S69:AL69,增益!$A:$A,增益!$Q:$Q,0)))+$B$11+SUM(_xlfn.XLOOKUP(S69:AL69,增益!$A:$A,增益!$U:$U,0)))*IF(VLOOKUP($R69,武学奇术!$A:$ZZ,24,FALSE)=1,0,1)</f>
        <v>0.887</v>
      </c>
      <c r="BQ69" s="23" cm="1">
        <f t="array" ref="BQ69">1+$B$13+VLOOKUP($R69,武学奇术!$A:$ZZ,18,FALSE)+SUM(_xlfn.XLOOKUP(S69:AL69,增益!$A:$A,增益!$R:$R,0))</f>
        <v>2.144</v>
      </c>
      <c r="BR69" s="23" cm="1">
        <f t="array" ref="BR69">IF(VLOOKUP($R69,武学奇术!$A:$ZZ,24,FALSE)=1,100%,MIN(40%,$B$10+VLOOKUP($R69,武学奇术!$A:$ZZ,19,FALSE)+SUM(_xlfn.XLOOKUP(S69:AL69,增益!$A:$A,增益!$S:$S,0)))+$B$12+SUM(_xlfn.XLOOKUP(S69:AL69,增益!$A:$A,增益!$V:$V,0)))*IF(VLOOKUP($R69,武学奇术!$A:$ZZ,23,FALSE)=1,0,1)</f>
        <v>0.0913</v>
      </c>
      <c r="BS69" s="23" cm="1">
        <f t="array" ref="BS69">1+$B$14+VLOOKUP($R69,武学奇术!$A:$ZZ,20,FALSE)+SUM(_xlfn.XLOOKUP(S69:AL69,增益!$A:$A,增益!$T:$T,0))</f>
        <v>1.35</v>
      </c>
      <c r="BT69" s="23">
        <f t="shared" si="20"/>
        <v>0.8819441</v>
      </c>
      <c r="BU69" s="23">
        <f t="shared" si="21"/>
        <v>0.0215763099999999</v>
      </c>
      <c r="BV69" s="23">
        <f>IF(VLOOKUP($R69,武学奇术!$A:$ZZ,22,FALSE)=1,0,(1-$BO69))*(1-$BR69)</f>
        <v>0.00517959000000003</v>
      </c>
      <c r="BW69" s="23" cm="1">
        <f t="array" ref="BW69">SUM(_xlfn.XLOOKUP(S69:AL69,增益!$A:$A,增益!$W:$W,0))+$I$5</f>
        <v>0.11</v>
      </c>
      <c r="BX69" s="23">
        <f>VLOOKUP($R69,武学奇术!$A:$ZZ,32,FALSE)</f>
        <v>0</v>
      </c>
      <c r="BY69" s="23" cm="1">
        <f t="array" ref="BY69">SUM(_xlfn.XLOOKUP($S69:$AL69,增益!$A:$A,增益!$X:$X,0))</f>
        <v>0</v>
      </c>
    </row>
    <row r="70" spans="2:77">
      <c r="K70" s="35">
        <f>$L70*VLOOKUP($R70,武学奇术!$A:$ZZ,31,FALSE)</f>
        <v>154985.634543687</v>
      </c>
      <c r="L70" s="69">
        <f t="shared" si="11"/>
        <v>151946.700533027</v>
      </c>
      <c r="M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轻击",$B$21,0))*(1+IF(VLOOKUP($R70,武学奇术!$A:$ZZ,30,FALSE)="老鼠",$B$22,0))*(1+$BW70)*(1+$BX70)</f>
        <v>158295.472742553</v>
      </c>
      <c r="N70" s="35">
        <f>(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轻击",$B$21,0))*(1+IF(VLOOKUP($R70,武学奇术!$A:$ZZ,30,FALSE)="老鼠",$B$22,0))*(1+$BW70))*(1+$BX70)</f>
        <v>114117.46402219</v>
      </c>
      <c r="O70" s="35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轻击",$B$21,0))*(1+IF(VLOOKUP($R70,武学奇术!$A:$ZZ,30,FALSE)="老鼠",$B$22,0))*(1+$BW70)*(1+$BX70)</f>
        <v>73831.843629922</v>
      </c>
      <c r="P70" s="35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轻击",$B$21,0))*(1+IF(VLOOKUP($R70,武学奇术!$A:$ZZ,30,FALSE)="老鼠",$B$22,0))*(1+$BW70)*(1+$BX70)</f>
        <v>63132.2324285924</v>
      </c>
      <c r="Q70" s="70">
        <v>6</v>
      </c>
      <c r="R70" s="37" t="s">
        <v>106</v>
      </c>
      <c r="S70" s="37" t="s">
        <v>91</v>
      </c>
      <c r="T70" s="37" t="s">
        <v>185</v>
      </c>
      <c r="U70" s="37" t="s">
        <v>112</v>
      </c>
      <c r="V70" s="37" t="s">
        <v>113</v>
      </c>
      <c r="W70" s="37" t="s">
        <v>82</v>
      </c>
      <c r="X70" s="37" t="s">
        <v>81</v>
      </c>
      <c r="Y70" s="37" t="s">
        <v>109</v>
      </c>
      <c r="Z70" s="37" t="s">
        <v>83</v>
      </c>
      <c r="AA70" s="37" t="s">
        <v>81</v>
      </c>
      <c r="AB70" s="37" t="s">
        <v>81</v>
      </c>
      <c r="AC70" s="37" t="s">
        <v>81</v>
      </c>
      <c r="AD70" s="37" t="s">
        <v>85</v>
      </c>
      <c r="AE70" s="37" t="s">
        <v>81</v>
      </c>
      <c r="AF70" s="37" t="s">
        <v>81</v>
      </c>
      <c r="AG70" s="37" t="s">
        <v>87</v>
      </c>
      <c r="AH70" s="37" t="s">
        <v>81</v>
      </c>
      <c r="AI70" s="37" t="s">
        <v>81</v>
      </c>
      <c r="AJ70" s="37" t="s">
        <v>81</v>
      </c>
      <c r="AK70" s="37" t="s">
        <v>81</v>
      </c>
      <c r="AL70" s="37" t="s">
        <v>81</v>
      </c>
      <c r="AM70" t="str">
        <f>VLOOKUP($R70,武学奇术!$A:$ZZ,25,FALSE)</f>
        <v>绳镖</v>
      </c>
      <c r="AN70" s="23">
        <f>VLOOKUP($R70,武学奇术!$A:$ZZ,26,FALSE)</f>
        <v>0.3675</v>
      </c>
      <c r="AO70" s="24">
        <f>VLOOKUP($R70,武学奇术!$A:$ZZ,27,FALSE)*(1+IF(OR($AM70=$F$4,$AM70=$F$5),$B$23,0))</f>
        <v>0</v>
      </c>
      <c r="AP70" s="23">
        <f>VLOOKUP($R70,武学奇术!$A:$ZZ,28,FALSE)</f>
        <v>0.55125</v>
      </c>
      <c r="AQ70" s="24">
        <f>VLOOKUP($R70,武学奇术!$A:$ZZ,29,FALSE)*(1+IF(OR($AM70=$F$4,$AM70=$F$5),$B$23,0))</f>
        <v>0</v>
      </c>
      <c r="AR70" s="23" cm="1">
        <f t="array" ref="AR70">$G$3+IFERROR(VLOOKUP($AM70,$F$4:$G$7,2,FALSE),0)+VLOOKUP($R70,武学奇术!$A:$ZZ,2,FALSE)+SUM(_xlfn.XLOOKUP($S70:$AL70,增益!$A:$A,增益!$B:$B,0))</f>
        <v>1.4943</v>
      </c>
      <c r="AS70" s="23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4081.7</v>
      </c>
      <c r="AU70" cm="1">
        <f t="array" ref="AU70">$E$10*(1+$AS70)+VLOOKUP($R70,武学奇术!$A:$ZZ,4,FALSE)+SUM(_xlfn.XLOOKUP($S70:$AL70,增益!$A:$A,增益!$D:$D,0))-$I$2</f>
        <v>4081.7</v>
      </c>
      <c r="AV70" s="29" cm="1">
        <f t="array" ref="AV70">IF($F$10-$I$3+VLOOKUP($R70,武学奇术!$A:$ZZ,6,FALSE)+SUM(_xlfn.XLOOKUP(S70:AL70,增益!$A:$A,增益!$F:$F,0))&gt;0,($F$10-$I$3+VLOOKUP($R70,武学奇术!$A:$ZZ,6,FALSE)+SUM(_xlfn.XLOOKUP(S70:AL70,增益!$A:$A,增益!$F:$F,0)))/200,($F$10-$I$3+VLOOKUP($R70,武学奇术!$A:$ZZ,6,FALSE)+SUM(_xlfn.XLOOKUP(S70:AL70,增益!$A:$A,增益!$F:$F,0)))/100)</f>
        <v>0.2439</v>
      </c>
      <c r="AW70" s="29" cm="1">
        <f t="array" ref="AW70">$G$10+VLOOKUP($R70,武学奇术!$A:$ZZ,7,FALSE)+SUM(_xlfn.XLOOKUP(S70:AL70,增益!$A:$A,增益!$G:$G,0))</f>
        <v>0.27</v>
      </c>
      <c r="AX70" s="23" cm="1">
        <f t="array" ref="AX70">VLOOKUP($R70,武学奇术!$A:$ZZ,8,FALSE)+SUM(_xlfn.XLOOKUP(S70:AL70,增益!$A:$A,增益!$H:$H,0))</f>
        <v>0</v>
      </c>
      <c r="AY70">
        <f t="shared" si="12"/>
        <v>0</v>
      </c>
      <c r="AZ70">
        <f t="shared" si="13"/>
        <v>0</v>
      </c>
      <c r="BA70" s="29" cm="1">
        <f t="array" ref="BA70">IF($F$11-$I$4+VLOOKUP($R70,武学奇术!$A:$ZZ,9,FALSE)+SUM(_xlfn.XLOOKUP(S70:AL70,增益!$A:$A,增益!$I:$I,0))&gt;0,($F$11-$I$4+VLOOKUP($R70,武学奇术!$A:$ZZ,9,FALSE)+SUM(_xlfn.XLOOKUP(S70:AL70,增益!$A:$A,增益!$I:$I,0)))/200,($F$11-$I$4+VLOOKUP($R70,武学奇术!$A:$ZZ,9,FALSE)+SUM(_xlfn.XLOOKUP(S70:AL70,增益!$A:$A,增益!$I:$I,0)))/100)</f>
        <v>-0.3</v>
      </c>
      <c r="BB70" s="29" cm="1">
        <f t="array" ref="BB70">$G$11+VLOOKUP($R70,武学奇术!$A:$ZZ,10,FALSE)+SUM(_xlfn.XLOOKUP(S70:AL70,增益!$A:$A,增益!$J:$J,0))</f>
        <v>0</v>
      </c>
      <c r="BC70">
        <f t="shared" si="14"/>
        <v>0</v>
      </c>
      <c r="BD70">
        <f t="shared" si="15"/>
        <v>0</v>
      </c>
      <c r="BE70" s="29" cm="1">
        <f t="array" ref="BE70">IF($F$12-$I$4+VLOOKUP($R70,武学奇术!$A:$ZZ,11,FALSE)+SUM(_xlfn.XLOOKUP(S70:AL70,增益!$A:$A,增益!$K:$K,0))&gt;0,($F$12-$I$4+VLOOKUP($R70,武学奇术!$A:$ZZ,11,FALSE)+SUM(_xlfn.XLOOKUP(S70:AL70,增益!$A:$A,增益!$K:$K,0)))/200,($F$12-$I$4+VLOOKUP($R70,武学奇术!$A:$ZZ,11,FALSE)+SUM(_xlfn.XLOOKUP(S70:AL70,增益!$A:$A,增益!$K:$K,0)))/100)</f>
        <v>-0.3</v>
      </c>
      <c r="BF70" s="29" cm="1">
        <f t="array" ref="BF70">$G$12+VLOOKUP($R70,武学奇术!$A:$ZZ,12,FALSE)+SUM(_xlfn.XLOOKUP(S70:AL70,增益!$A:$A,增益!$L:$L,0))</f>
        <v>0</v>
      </c>
      <c r="BG70">
        <f t="shared" si="16"/>
        <v>0</v>
      </c>
      <c r="BH70">
        <f t="shared" si="17"/>
        <v>0</v>
      </c>
      <c r="BI70" s="29" cm="1">
        <f t="array" ref="BI70">IF($F$13-$I$4+VLOOKUP($R70,武学奇术!$A:$ZZ,13,FALSE)+SUM(_xlfn.XLOOKUP(S70:AL70,增益!$A:$A,增益!$M:$M,0))&gt;0,($F$13-$I$4+VLOOKUP($R70,武学奇术!$A:$ZZ,13,FALSE)+SUM(_xlfn.XLOOKUP(S70:AL70,增益!$A:$A,增益!$K:$K,0)))/200,($F$13-$I$4+VLOOKUP($R70,武学奇术!$A:$ZZ,13,FALSE)+SUM(_xlfn.XLOOKUP(S70:AL70,增益!$A:$A,增益!$M:$M,0)))/100)</f>
        <v>-0.3</v>
      </c>
      <c r="BJ70" s="29" cm="1">
        <f t="array" ref="BJ70">$G$13+VLOOKUP($R70,武学奇术!$A:$ZZ,14,FALSE)+SUM(_xlfn.XLOOKUP(S70:AL70,增益!$A:$A,增益!$N:$N,0))</f>
        <v>0</v>
      </c>
      <c r="BK70">
        <f t="shared" si="18"/>
        <v>618.2</v>
      </c>
      <c r="BL70">
        <f t="shared" si="19"/>
        <v>1805</v>
      </c>
      <c r="BM70" s="29" cm="1">
        <f t="array" ref="BM70">IF($F$14-$I$4+VLOOKUP($R70,武学奇术!$A:$ZZ,15,FALSE)+SUM(_xlfn.XLOOKUP(S70:AL70,增益!$A:$A,增益!$O:$O,0))&gt;0,($F$14-$I$4+VLOOKUP($R70,武学奇术!$A:$ZZ,15,FALSE)+SUM(_xlfn.XLOOKUP(S70:AL70,增益!$A:$A,增益!$O:$O,0)))/200,($F$14-$I$4+VLOOKUP($R70,武学奇术!$A:$ZZ,15,FALSE)+SUM(_xlfn.XLOOKUP(S70:AL70,增益!$A:$A,增益!$O:$O,0)))/100)</f>
        <v>0.05</v>
      </c>
      <c r="BN70" s="29" cm="1">
        <f t="array" ref="BN70">$G$14+VLOOKUP($R70,武学奇术!$A:$ZZ,16,FALSE)+SUM(_xlfn.XLOOKUP(S70:AL70,增益!$A:$A,增益!$P:$P,0))</f>
        <v>0.42</v>
      </c>
      <c r="BO70" s="23">
        <f>MIN(IF(VLOOKUP($R70,武学奇术!$A:$ZZ,23,FALSE)=1,100%,$B$8),100%)</f>
        <v>0.9943</v>
      </c>
      <c r="BP70" s="23" cm="1">
        <f t="array" ref="BP70">IF(VLOOKUP($R70,武学奇术!$A:$ZZ,23,FALSE)=1,100%,MIN(80%,$B$9+VLOOKUP($R70,武学奇术!$A:$ZZ,17,FALSE)+SUM(_xlfn.XLOOKUP(S70:AL70,增益!$A:$A,增益!$Q:$Q,0)))+$B$11+SUM(_xlfn.XLOOKUP(S70:AL70,增益!$A:$A,增益!$U:$U,0)))*IF(VLOOKUP($R70,武学奇术!$A:$ZZ,24,FALSE)=1,0,1)</f>
        <v>0.887</v>
      </c>
      <c r="BQ70" s="23" cm="1">
        <f t="array" ref="BQ70">1+$B$13+VLOOKUP($R70,武学奇术!$A:$ZZ,18,FALSE)+SUM(_xlfn.XLOOKUP(S70:AL70,增益!$A:$A,增益!$R:$R,0))</f>
        <v>2.144</v>
      </c>
      <c r="BR70" s="23" cm="1">
        <f t="array" ref="BR70">IF(VLOOKUP($R70,武学奇术!$A:$ZZ,24,FALSE)=1,100%,MIN(40%,$B$10+VLOOKUP($R70,武学奇术!$A:$ZZ,19,FALSE)+SUM(_xlfn.XLOOKUP(S70:AL70,增益!$A:$A,增益!$S:$S,0)))+$B$12+SUM(_xlfn.XLOOKUP(S70:AL70,增益!$A:$A,增益!$V:$V,0)))*IF(VLOOKUP($R70,武学奇术!$A:$ZZ,23,FALSE)=1,0,1)</f>
        <v>0.0913</v>
      </c>
      <c r="BS70" s="23" cm="1">
        <f t="array" ref="BS70">1+$B$14+VLOOKUP($R70,武学奇术!$A:$ZZ,20,FALSE)+SUM(_xlfn.XLOOKUP(S70:AL70,增益!$A:$A,增益!$T:$T,0))</f>
        <v>1.35</v>
      </c>
      <c r="BT70" s="23">
        <f t="shared" si="20"/>
        <v>0.8819441</v>
      </c>
      <c r="BU70" s="23">
        <f t="shared" si="21"/>
        <v>0.0215763099999999</v>
      </c>
      <c r="BV70" s="23">
        <f>IF(VLOOKUP($R70,武学奇术!$A:$ZZ,22,FALSE)=1,0,(1-$BO70))*(1-$BR70)</f>
        <v>0.00517959000000003</v>
      </c>
      <c r="BW70" s="23" cm="1">
        <f t="array" ref="BW70">SUM(_xlfn.XLOOKUP(S70:AL70,增益!$A:$A,增益!$W:$W,0))+$I$5</f>
        <v>0.11</v>
      </c>
      <c r="BX70" s="23">
        <f>VLOOKUP($R70,武学奇术!$A:$ZZ,32,FALSE)</f>
        <v>0</v>
      </c>
      <c r="BY70" s="23" cm="1">
        <f t="array" ref="BY70">SUM(_xlfn.XLOOKUP($S70:$AL70,增益!$A:$A,增益!$X:$X,0))</f>
        <v>0</v>
      </c>
    </row>
    <row r="71" spans="2:77">
      <c r="K71" s="35">
        <f>$L71*VLOOKUP($R71,武学奇术!$A:$ZZ,31,FALSE)</f>
        <v>35766.2071032505</v>
      </c>
      <c r="L71" s="58">
        <f t="shared" si="11"/>
        <v>31934.1134850451</v>
      </c>
      <c r="M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轻击",$B$21,0))*(1+IF(VLOOKUP($R71,武学奇术!$A:$ZZ,30,FALSE)="老鼠",$B$22,0))*(1+$BW71)*(1+$BX71)</f>
        <v>33594.4302084542</v>
      </c>
      <c r="N71" s="35">
        <f>(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轻击",$B$21,0))*(1+IF(VLOOKUP($R71,武学奇术!$A:$ZZ,30,FALSE)="老鼠",$B$22,0))*(1+$BW71))*(1+$BX71)</f>
        <v>21238.1830344106</v>
      </c>
      <c r="O71" s="35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轻击",$B$21,0))*(1+IF(VLOOKUP($R71,武学奇术!$A:$ZZ,30,FALSE)="老鼠",$B$22,0))*(1+$BW71)*(1+$BX71)</f>
        <v>14032.7611564136</v>
      </c>
      <c r="P71" s="35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轻击",$B$21,0))*(1+IF(VLOOKUP($R71,武学奇术!$A:$ZZ,30,FALSE)="老鼠",$B$22,0))*(1+$BW71)*(1+$BX71)</f>
        <v>12333.5348799305</v>
      </c>
      <c r="Q71" s="36">
        <v>1</v>
      </c>
      <c r="R71" s="37" t="s">
        <v>139</v>
      </c>
      <c r="S71" s="37" t="s">
        <v>91</v>
      </c>
      <c r="T71" s="37" t="s">
        <v>185</v>
      </c>
      <c r="U71" s="37" t="s">
        <v>112</v>
      </c>
      <c r="V71" s="37" t="s">
        <v>113</v>
      </c>
      <c r="W71" s="37" t="s">
        <v>82</v>
      </c>
      <c r="X71" s="37" t="s">
        <v>81</v>
      </c>
      <c r="Y71" s="37" t="s">
        <v>109</v>
      </c>
      <c r="Z71" s="37" t="s">
        <v>83</v>
      </c>
      <c r="AA71" s="37" t="s">
        <v>81</v>
      </c>
      <c r="AB71" s="37" t="s">
        <v>183</v>
      </c>
      <c r="AC71" s="37" t="s">
        <v>81</v>
      </c>
      <c r="AD71" s="37" t="s">
        <v>85</v>
      </c>
      <c r="AE71" s="37" t="s">
        <v>86</v>
      </c>
      <c r="AF71" s="37" t="s">
        <v>181</v>
      </c>
      <c r="AG71" s="37" t="s">
        <v>87</v>
      </c>
      <c r="AH71" s="37" t="s">
        <v>81</v>
      </c>
      <c r="AI71" s="37" t="s">
        <v>81</v>
      </c>
      <c r="AJ71" s="37" t="s">
        <v>81</v>
      </c>
      <c r="AK71" s="37" t="s">
        <v>81</v>
      </c>
      <c r="AL71" s="37" t="s">
        <v>81</v>
      </c>
      <c r="AM71" t="str">
        <f>VLOOKUP($R71,武学奇术!$A:$ZZ,25,FALSE)</f>
        <v>双刀</v>
      </c>
      <c r="AN71" s="23">
        <f>VLOOKUP($R71,武学奇术!$A:$ZZ,26,FALSE)</f>
        <v>0.6472</v>
      </c>
      <c r="AO71" s="24">
        <f>VLOOKUP($R71,武学奇术!$A:$ZZ,27,FALSE)*(1+IF(OR($AM71=$F$4,$AM71=$F$5),$B$23,0))</f>
        <v>288</v>
      </c>
      <c r="AP71" s="23">
        <f>VLOOKUP($R71,武学奇术!$A:$ZZ,28,FALSE)</f>
        <v>0.9708</v>
      </c>
      <c r="AQ71" s="24">
        <f>VLOOKUP($R71,武学奇术!$A:$ZZ,29,FALSE)*(1+IF(OR($AM71=$F$4,$AM71=$F$5),$B$23,0))</f>
        <v>156.8</v>
      </c>
      <c r="AR71" s="23" cm="1">
        <f t="array" ref="AR71">$G$3+IFERROR(VLOOKUP($AM71,$F$4:$G$7,2,FALSE),0)+VLOOKUP($R71,武学奇术!$A:$ZZ,2,FALSE)+SUM(_xlfn.XLOOKUP($S71:$AL71,增益!$A:$A,增益!$B:$B,0))</f>
        <v>0.7443</v>
      </c>
      <c r="AS71" s="23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4081.7</v>
      </c>
      <c r="AU71" cm="1">
        <f t="array" ref="AU71">$E$10*(1+$AS71)+VLOOKUP($R71,武学奇术!$A:$ZZ,4,FALSE)+SUM(_xlfn.XLOOKUP($S71:$AL71,增益!$A:$A,增益!$D:$D,0))-$I$2</f>
        <v>4081.7</v>
      </c>
      <c r="AV71" s="29" cm="1">
        <f t="array" ref="AV71">IF($F$10-$I$3+VLOOKUP($R71,武学奇术!$A:$ZZ,6,FALSE)+SUM(_xlfn.XLOOKUP(S71:AL71,增益!$A:$A,增益!$F:$F,0))&gt;0,($F$10-$I$3+VLOOKUP($R71,武学奇术!$A:$ZZ,6,FALSE)+SUM(_xlfn.XLOOKUP(S71:AL71,增益!$A:$A,增益!$F:$F,0)))/200,($F$10-$I$3+VLOOKUP($R71,武学奇术!$A:$ZZ,6,FALSE)+SUM(_xlfn.XLOOKUP(S71:AL71,增益!$A:$A,增益!$F:$F,0)))/100)</f>
        <v>0.3689</v>
      </c>
      <c r="AW71" s="29" cm="1">
        <f t="array" ref="AW71">$G$10+VLOOKUP($R71,武学奇术!$A:$ZZ,7,FALSE)+SUM(_xlfn.XLOOKUP(S71:AL71,增益!$A:$A,增益!$G:$G,0))</f>
        <v>0.06</v>
      </c>
      <c r="AX71" s="23" cm="1">
        <f t="array" ref="AX71">VLOOKUP($R71,武学奇术!$A:$ZZ,8,FALSE)+SUM(_xlfn.XLOOKUP(S71:AL71,增益!$A:$A,增益!$H:$H,0))</f>
        <v>0</v>
      </c>
      <c r="AY71">
        <f t="shared" si="12"/>
        <v>0</v>
      </c>
      <c r="AZ71">
        <f t="shared" si="13"/>
        <v>0</v>
      </c>
      <c r="BA71" s="29" cm="1">
        <f t="array" ref="BA71">IF($F$11-$I$4+VLOOKUP($R71,武学奇术!$A:$ZZ,9,FALSE)+SUM(_xlfn.XLOOKUP(S71:AL71,增益!$A:$A,增益!$I:$I,0))&gt;0,($F$11-$I$4+VLOOKUP($R71,武学奇术!$A:$ZZ,9,FALSE)+SUM(_xlfn.XLOOKUP(S71:AL71,增益!$A:$A,增益!$I:$I,0)))/200,($F$11-$I$4+VLOOKUP($R71,武学奇术!$A:$ZZ,9,FALSE)+SUM(_xlfn.XLOOKUP(S71:AL71,增益!$A:$A,增益!$I:$I,0)))/100)</f>
        <v>-0.3</v>
      </c>
      <c r="BB71" s="29" cm="1">
        <f t="array" ref="BB71">$G$11+VLOOKUP($R71,武学奇术!$A:$ZZ,10,FALSE)+SUM(_xlfn.XLOOKUP(S71:AL71,增益!$A:$A,增益!$J:$J,0))</f>
        <v>0</v>
      </c>
      <c r="BC71">
        <f t="shared" si="14"/>
        <v>0</v>
      </c>
      <c r="BD71">
        <f t="shared" si="15"/>
        <v>0</v>
      </c>
      <c r="BE71" s="29" cm="1">
        <f t="array" ref="BE71">IF($F$12-$I$4+VLOOKUP($R71,武学奇术!$A:$ZZ,11,FALSE)+SUM(_xlfn.XLOOKUP(S71:AL71,增益!$A:$A,增益!$K:$K,0))&gt;0,($F$12-$I$4+VLOOKUP($R71,武学奇术!$A:$ZZ,11,FALSE)+SUM(_xlfn.XLOOKUP(S71:AL71,增益!$A:$A,增益!$K:$K,0)))/200,($F$12-$I$4+VLOOKUP($R71,武学奇术!$A:$ZZ,11,FALSE)+SUM(_xlfn.XLOOKUP(S71:AL71,增益!$A:$A,增益!$K:$K,0)))/100)</f>
        <v>-0.3</v>
      </c>
      <c r="BF71" s="29" cm="1">
        <f t="array" ref="BF71">$G$12+VLOOKUP($R71,武学奇术!$A:$ZZ,12,FALSE)+SUM(_xlfn.XLOOKUP(S71:AL71,增益!$A:$A,增益!$L:$L,0))</f>
        <v>0</v>
      </c>
      <c r="BG71">
        <f t="shared" si="16"/>
        <v>0</v>
      </c>
      <c r="BH71">
        <f t="shared" si="17"/>
        <v>0</v>
      </c>
      <c r="BI71" s="29" cm="1">
        <f t="array" ref="BI71">IF($F$13-$I$4+VLOOKUP($R71,武学奇术!$A:$ZZ,13,FALSE)+SUM(_xlfn.XLOOKUP(S71:AL71,增益!$A:$A,增益!$M:$M,0))&gt;0,($F$13-$I$4+VLOOKUP($R71,武学奇术!$A:$ZZ,13,FALSE)+SUM(_xlfn.XLOOKUP(S71:AL71,增益!$A:$A,增益!$K:$K,0)))/200,($F$13-$I$4+VLOOKUP($R71,武学奇术!$A:$ZZ,13,FALSE)+SUM(_xlfn.XLOOKUP(S71:AL71,增益!$A:$A,增益!$M:$M,0)))/100)</f>
        <v>-0.3</v>
      </c>
      <c r="BJ71" s="29" cm="1">
        <f t="array" ref="BJ71">$G$13+VLOOKUP($R71,武学奇术!$A:$ZZ,14,FALSE)+SUM(_xlfn.XLOOKUP(S71:AL71,增益!$A:$A,增益!$N:$N,0))</f>
        <v>0</v>
      </c>
      <c r="BK71">
        <f t="shared" si="18"/>
        <v>618.2</v>
      </c>
      <c r="BL71">
        <f t="shared" si="19"/>
        <v>1805</v>
      </c>
      <c r="BM71" s="29" cm="1">
        <f t="array" ref="BM71">IF($F$14-$I$4+VLOOKUP($R71,武学奇术!$A:$ZZ,15,FALSE)+SUM(_xlfn.XLOOKUP(S71:AL71,增益!$A:$A,增益!$O:$O,0))&gt;0,($F$14-$I$4+VLOOKUP($R71,武学奇术!$A:$ZZ,15,FALSE)+SUM(_xlfn.XLOOKUP(S71:AL71,增益!$A:$A,增益!$O:$O,0)))/200,($F$14-$I$4+VLOOKUP($R71,武学奇术!$A:$ZZ,15,FALSE)+SUM(_xlfn.XLOOKUP(S71:AL71,增益!$A:$A,增益!$O:$O,0)))/100)</f>
        <v>0.05</v>
      </c>
      <c r="BN71" s="29" cm="1">
        <f t="array" ref="BN71">$G$14+VLOOKUP($R71,武学奇术!$A:$ZZ,16,FALSE)+SUM(_xlfn.XLOOKUP(S71:AL71,增益!$A:$A,增益!$P:$P,0))</f>
        <v>0.21</v>
      </c>
      <c r="BO71" s="23">
        <f>MIN(IF(VLOOKUP($R71,武学奇术!$A:$ZZ,23,FALSE)=1,100%,$B$8),100%)</f>
        <v>0.9943</v>
      </c>
      <c r="BP71" s="23" cm="1">
        <f t="array" ref="BP71">IF(VLOOKUP($R71,武学奇术!$A:$ZZ,23,FALSE)=1,100%,MIN(80%,$B$9+VLOOKUP($R71,武学奇术!$A:$ZZ,17,FALSE)+SUM(_xlfn.XLOOKUP(S71:AL71,增益!$A:$A,增益!$Q:$Q,0)))+$B$11+SUM(_xlfn.XLOOKUP(S71:AL71,增益!$A:$A,增益!$U:$U,0)))*IF(VLOOKUP($R71,武学奇术!$A:$ZZ,24,FALSE)=1,0,1)</f>
        <v>0.887</v>
      </c>
      <c r="BQ71" s="23" cm="1">
        <f t="array" ref="BQ71">1+$B$13+VLOOKUP($R71,武学奇术!$A:$ZZ,18,FALSE)+SUM(_xlfn.XLOOKUP(S71:AL71,增益!$A:$A,增益!$R:$R,0))</f>
        <v>2.394</v>
      </c>
      <c r="BR71" s="23" cm="1">
        <f t="array" ref="BR71">IF(VLOOKUP($R71,武学奇术!$A:$ZZ,24,FALSE)=1,100%,MIN(40%,$B$10+VLOOKUP($R71,武学奇术!$A:$ZZ,19,FALSE)+SUM(_xlfn.XLOOKUP(S71:AL71,增益!$A:$A,增益!$S:$S,0)))+$B$12+SUM(_xlfn.XLOOKUP(S71:AL71,增益!$A:$A,增益!$V:$V,0)))*IF(VLOOKUP($R71,武学奇术!$A:$ZZ,23,FALSE)=1,0,1)</f>
        <v>0.0913</v>
      </c>
      <c r="BS71" s="23" cm="1">
        <f t="array" ref="BS71">1+$B$14+VLOOKUP($R71,武学奇术!$A:$ZZ,20,FALSE)+SUM(_xlfn.XLOOKUP(S71:AL71,增益!$A:$A,增益!$T:$T,0))</f>
        <v>1.35</v>
      </c>
      <c r="BT71" s="23">
        <f t="shared" si="20"/>
        <v>0.8819441</v>
      </c>
      <c r="BU71" s="23">
        <f t="shared" si="21"/>
        <v>0.0215763099999999</v>
      </c>
      <c r="BV71" s="23">
        <f>IF(VLOOKUP($R71,武学奇术!$A:$ZZ,22,FALSE)=1,0,(1-$BO71))*(1-$BR71)</f>
        <v>0.00517959000000003</v>
      </c>
      <c r="BW71" s="23" cm="1">
        <f t="array" ref="BW71">SUM(_xlfn.XLOOKUP(S71:AL71,增益!$A:$A,增益!$W:$W,0))+$I$5</f>
        <v>0.21</v>
      </c>
      <c r="BX71" s="23">
        <f>VLOOKUP($R71,武学奇术!$A:$ZZ,32,FALSE)</f>
        <v>0.1</v>
      </c>
      <c r="BY71" s="23" cm="1">
        <f t="array" ref="BY71">SUM(_xlfn.XLOOKUP($S71:$AL71,增益!$A:$A,增益!$X:$X,0))</f>
        <v>0</v>
      </c>
    </row>
    <row r="72" spans="2:77">
      <c r="K72" s="35">
        <f>$L72*VLOOKUP($R72,武学奇术!$A:$ZZ,31,FALSE)</f>
        <v>49785.9648022963</v>
      </c>
      <c r="L72" s="58">
        <f t="shared" si="11"/>
        <v>44451.7542877646</v>
      </c>
      <c r="M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轻击",$B$21,0))*(1+IF(VLOOKUP($R72,武学奇术!$A:$ZZ,30,FALSE)="老鼠",$B$22,0))*(1+$BW72)*(1+$BX72)</f>
        <v>46762.7863185716</v>
      </c>
      <c r="N72" s="35">
        <f>(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轻击",$B$21,0))*(1+IF(VLOOKUP($R72,武学奇术!$A:$ZZ,30,FALSE)="老鼠",$B$22,0))*(1+$BW72))*(1+$BX72)</f>
        <v>29564.2331262174</v>
      </c>
      <c r="O72" s="35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轻击",$B$21,0))*(1+IF(VLOOKUP($R72,武学奇术!$A:$ZZ,30,FALSE)="老鼠",$B$22,0))*(1+$BW72)*(1+$BX72)</f>
        <v>19533.327618451</v>
      </c>
      <c r="P72" s="35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轻击",$B$21,0))*(1+IF(VLOOKUP($R72,武学奇术!$A:$ZZ,30,FALSE)="老鼠",$B$22,0))*(1+$BW72)*(1+$BX72)</f>
        <v>17167.2232915557</v>
      </c>
      <c r="Q72" s="36">
        <v>1</v>
      </c>
      <c r="R72" s="37" t="s">
        <v>143</v>
      </c>
      <c r="S72" s="37" t="s">
        <v>91</v>
      </c>
      <c r="T72" s="37" t="s">
        <v>185</v>
      </c>
      <c r="U72" s="37" t="s">
        <v>112</v>
      </c>
      <c r="V72" s="37" t="s">
        <v>113</v>
      </c>
      <c r="W72" s="37" t="s">
        <v>82</v>
      </c>
      <c r="X72" s="37" t="s">
        <v>81</v>
      </c>
      <c r="Y72" s="37" t="s">
        <v>109</v>
      </c>
      <c r="Z72" s="37" t="s">
        <v>83</v>
      </c>
      <c r="AA72" s="37" t="s">
        <v>81</v>
      </c>
      <c r="AB72" s="37" t="s">
        <v>183</v>
      </c>
      <c r="AC72" s="37" t="s">
        <v>81</v>
      </c>
      <c r="AD72" s="37" t="s">
        <v>85</v>
      </c>
      <c r="AE72" s="37" t="s">
        <v>86</v>
      </c>
      <c r="AF72" s="37" t="s">
        <v>181</v>
      </c>
      <c r="AG72" s="37" t="s">
        <v>87</v>
      </c>
      <c r="AH72" s="37" t="s">
        <v>81</v>
      </c>
      <c r="AI72" s="37" t="s">
        <v>81</v>
      </c>
      <c r="AJ72" s="37" t="s">
        <v>81</v>
      </c>
      <c r="AK72" s="37" t="s">
        <v>81</v>
      </c>
      <c r="AL72" s="37" t="s">
        <v>81</v>
      </c>
      <c r="AM72" t="str">
        <f>VLOOKUP($R72,武学奇术!$A:$ZZ,25,FALSE)</f>
        <v>双刀</v>
      </c>
      <c r="AN72" s="23">
        <f>VLOOKUP($R72,武学奇术!$A:$ZZ,26,FALSE)</f>
        <v>0.9012</v>
      </c>
      <c r="AO72" s="24">
        <f>VLOOKUP($R72,武学奇术!$A:$ZZ,27,FALSE)*(1+IF(OR($AM72=$F$4,$AM72=$F$5),$B$23,0))</f>
        <v>400</v>
      </c>
      <c r="AP72" s="23">
        <f>VLOOKUP($R72,武学奇术!$A:$ZZ,28,FALSE)</f>
        <v>1.3518</v>
      </c>
      <c r="AQ72" s="24">
        <f>VLOOKUP($R72,武学奇术!$A:$ZZ,29,FALSE)*(1+IF(OR($AM72=$F$4,$AM72=$F$5),$B$23,0))</f>
        <v>217.6</v>
      </c>
      <c r="AR72" s="23" cm="1">
        <f t="array" ref="AR72">$G$3+IFERROR(VLOOKUP($AM72,$F$4:$G$7,2,FALSE),0)+VLOOKUP($R72,武学奇术!$A:$ZZ,2,FALSE)+SUM(_xlfn.XLOOKUP($S72:$AL72,增益!$A:$A,增益!$B:$B,0))</f>
        <v>0.7443</v>
      </c>
      <c r="AS72" s="23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4081.7</v>
      </c>
      <c r="AU72" cm="1">
        <f t="array" ref="AU72">$E$10*(1+$AS72)+VLOOKUP($R72,武学奇术!$A:$ZZ,4,FALSE)+SUM(_xlfn.XLOOKUP($S72:$AL72,增益!$A:$A,增益!$D:$D,0))-$I$2</f>
        <v>4081.7</v>
      </c>
      <c r="AV72" s="29" cm="1">
        <f t="array" ref="AV72">IF($F$10-$I$3+VLOOKUP($R72,武学奇术!$A:$ZZ,6,FALSE)+SUM(_xlfn.XLOOKUP(S72:AL72,增益!$A:$A,增益!$F:$F,0))&gt;0,($F$10-$I$3+VLOOKUP($R72,武学奇术!$A:$ZZ,6,FALSE)+SUM(_xlfn.XLOOKUP(S72:AL72,增益!$A:$A,增益!$F:$F,0)))/200,($F$10-$I$3+VLOOKUP($R72,武学奇术!$A:$ZZ,6,FALSE)+SUM(_xlfn.XLOOKUP(S72:AL72,增益!$A:$A,增益!$F:$F,0)))/100)</f>
        <v>0.3689</v>
      </c>
      <c r="AW72" s="29" cm="1">
        <f t="array" ref="AW72">$G$10+VLOOKUP($R72,武学奇术!$A:$ZZ,7,FALSE)+SUM(_xlfn.XLOOKUP(S72:AL72,增益!$A:$A,增益!$G:$G,0))</f>
        <v>0.06</v>
      </c>
      <c r="AX72" s="23" cm="1">
        <f t="array" ref="AX72">VLOOKUP($R72,武学奇术!$A:$ZZ,8,FALSE)+SUM(_xlfn.XLOOKUP(S72:AL72,增益!$A:$A,增益!$H:$H,0))</f>
        <v>0</v>
      </c>
      <c r="AY72">
        <f t="shared" si="12"/>
        <v>0</v>
      </c>
      <c r="AZ72">
        <f t="shared" si="13"/>
        <v>0</v>
      </c>
      <c r="BA72" s="29" cm="1">
        <f t="array" ref="BA72">IF($F$11-$I$4+VLOOKUP($R72,武学奇术!$A:$ZZ,9,FALSE)+SUM(_xlfn.XLOOKUP(S72:AL72,增益!$A:$A,增益!$I:$I,0))&gt;0,($F$11-$I$4+VLOOKUP($R72,武学奇术!$A:$ZZ,9,FALSE)+SUM(_xlfn.XLOOKUP(S72:AL72,增益!$A:$A,增益!$I:$I,0)))/200,($F$11-$I$4+VLOOKUP($R72,武学奇术!$A:$ZZ,9,FALSE)+SUM(_xlfn.XLOOKUP(S72:AL72,增益!$A:$A,增益!$I:$I,0)))/100)</f>
        <v>-0.3</v>
      </c>
      <c r="BB72" s="29" cm="1">
        <f t="array" ref="BB72">$G$11+VLOOKUP($R72,武学奇术!$A:$ZZ,10,FALSE)+SUM(_xlfn.XLOOKUP(S72:AL72,增益!$A:$A,增益!$J:$J,0))</f>
        <v>0</v>
      </c>
      <c r="BC72">
        <f t="shared" si="14"/>
        <v>0</v>
      </c>
      <c r="BD72">
        <f t="shared" si="15"/>
        <v>0</v>
      </c>
      <c r="BE72" s="29" cm="1">
        <f t="array" ref="BE72">IF($F$12-$I$4+VLOOKUP($R72,武学奇术!$A:$ZZ,11,FALSE)+SUM(_xlfn.XLOOKUP(S72:AL72,增益!$A:$A,增益!$K:$K,0))&gt;0,($F$12-$I$4+VLOOKUP($R72,武学奇术!$A:$ZZ,11,FALSE)+SUM(_xlfn.XLOOKUP(S72:AL72,增益!$A:$A,增益!$K:$K,0)))/200,($F$12-$I$4+VLOOKUP($R72,武学奇术!$A:$ZZ,11,FALSE)+SUM(_xlfn.XLOOKUP(S72:AL72,增益!$A:$A,增益!$K:$K,0)))/100)</f>
        <v>-0.3</v>
      </c>
      <c r="BF72" s="29" cm="1">
        <f t="array" ref="BF72">$G$12+VLOOKUP($R72,武学奇术!$A:$ZZ,12,FALSE)+SUM(_xlfn.XLOOKUP(S72:AL72,增益!$A:$A,增益!$L:$L,0))</f>
        <v>0</v>
      </c>
      <c r="BG72">
        <f t="shared" si="16"/>
        <v>0</v>
      </c>
      <c r="BH72">
        <f t="shared" si="17"/>
        <v>0</v>
      </c>
      <c r="BI72" s="29" cm="1">
        <f t="array" ref="BI72">IF($F$13-$I$4+VLOOKUP($R72,武学奇术!$A:$ZZ,13,FALSE)+SUM(_xlfn.XLOOKUP(S72:AL72,增益!$A:$A,增益!$M:$M,0))&gt;0,($F$13-$I$4+VLOOKUP($R72,武学奇术!$A:$ZZ,13,FALSE)+SUM(_xlfn.XLOOKUP(S72:AL72,增益!$A:$A,增益!$K:$K,0)))/200,($F$13-$I$4+VLOOKUP($R72,武学奇术!$A:$ZZ,13,FALSE)+SUM(_xlfn.XLOOKUP(S72:AL72,增益!$A:$A,增益!$M:$M,0)))/100)</f>
        <v>-0.3</v>
      </c>
      <c r="BJ72" s="29" cm="1">
        <f t="array" ref="BJ72">$G$13+VLOOKUP($R72,武学奇术!$A:$ZZ,14,FALSE)+SUM(_xlfn.XLOOKUP(S72:AL72,增益!$A:$A,增益!$N:$N,0))</f>
        <v>0</v>
      </c>
      <c r="BK72">
        <f t="shared" si="18"/>
        <v>618.2</v>
      </c>
      <c r="BL72">
        <f t="shared" si="19"/>
        <v>1805</v>
      </c>
      <c r="BM72" s="29" cm="1">
        <f t="array" ref="BM72">IF($F$14-$I$4+VLOOKUP($R72,武学奇术!$A:$ZZ,15,FALSE)+SUM(_xlfn.XLOOKUP(S72:AL72,增益!$A:$A,增益!$O:$O,0))&gt;0,($F$14-$I$4+VLOOKUP($R72,武学奇术!$A:$ZZ,15,FALSE)+SUM(_xlfn.XLOOKUP(S72:AL72,增益!$A:$A,增益!$O:$O,0)))/200,($F$14-$I$4+VLOOKUP($R72,武学奇术!$A:$ZZ,15,FALSE)+SUM(_xlfn.XLOOKUP(S72:AL72,增益!$A:$A,增益!$O:$O,0)))/100)</f>
        <v>0.05</v>
      </c>
      <c r="BN72" s="29" cm="1">
        <f t="array" ref="BN72">$G$14+VLOOKUP($R72,武学奇术!$A:$ZZ,16,FALSE)+SUM(_xlfn.XLOOKUP(S72:AL72,增益!$A:$A,增益!$P:$P,0))</f>
        <v>0.21</v>
      </c>
      <c r="BO72" s="23">
        <f>MIN(IF(VLOOKUP($R72,武学奇术!$A:$ZZ,23,FALSE)=1,100%,$B$8),100%)</f>
        <v>0.9943</v>
      </c>
      <c r="BP72" s="23" cm="1">
        <f t="array" ref="BP72">IF(VLOOKUP($R72,武学奇术!$A:$ZZ,23,FALSE)=1,100%,MIN(80%,$B$9+VLOOKUP($R72,武学奇术!$A:$ZZ,17,FALSE)+SUM(_xlfn.XLOOKUP(S72:AL72,增益!$A:$A,增益!$Q:$Q,0)))+$B$11+SUM(_xlfn.XLOOKUP(S72:AL72,增益!$A:$A,增益!$U:$U,0)))*IF(VLOOKUP($R72,武学奇术!$A:$ZZ,24,FALSE)=1,0,1)</f>
        <v>0.887</v>
      </c>
      <c r="BQ72" s="23" cm="1">
        <f t="array" ref="BQ72">1+$B$13+VLOOKUP($R72,武学奇术!$A:$ZZ,18,FALSE)+SUM(_xlfn.XLOOKUP(S72:AL72,增益!$A:$A,增益!$R:$R,0))</f>
        <v>2.394</v>
      </c>
      <c r="BR72" s="23" cm="1">
        <f t="array" ref="BR72">IF(VLOOKUP($R72,武学奇术!$A:$ZZ,24,FALSE)=1,100%,MIN(40%,$B$10+VLOOKUP($R72,武学奇术!$A:$ZZ,19,FALSE)+SUM(_xlfn.XLOOKUP(S72:AL72,增益!$A:$A,增益!$S:$S,0)))+$B$12+SUM(_xlfn.XLOOKUP(S72:AL72,增益!$A:$A,增益!$V:$V,0)))*IF(VLOOKUP($R72,武学奇术!$A:$ZZ,23,FALSE)=1,0,1)</f>
        <v>0.0913</v>
      </c>
      <c r="BS72" s="23" cm="1">
        <f t="array" ref="BS72">1+$B$14+VLOOKUP($R72,武学奇术!$A:$ZZ,20,FALSE)+SUM(_xlfn.XLOOKUP(S72:AL72,增益!$A:$A,增益!$T:$T,0))</f>
        <v>1.35</v>
      </c>
      <c r="BT72" s="23">
        <f t="shared" si="20"/>
        <v>0.8819441</v>
      </c>
      <c r="BU72" s="23">
        <f t="shared" si="21"/>
        <v>0.0215763099999999</v>
      </c>
      <c r="BV72" s="23">
        <f>IF(VLOOKUP($R72,武学奇术!$A:$ZZ,22,FALSE)=1,0,(1-$BO72))*(1-$BR72)</f>
        <v>0.00517959000000003</v>
      </c>
      <c r="BW72" s="23" cm="1">
        <f t="array" ref="BW72">SUM(_xlfn.XLOOKUP(S72:AL72,增益!$A:$A,增益!$W:$W,0))+$I$5</f>
        <v>0.21</v>
      </c>
      <c r="BX72" s="23">
        <f>VLOOKUP($R72,武学奇术!$A:$ZZ,32,FALSE)</f>
        <v>0.1</v>
      </c>
      <c r="BY72" s="23" cm="1">
        <f t="array" ref="BY72">SUM(_xlfn.XLOOKUP($S72:$AL72,增益!$A:$A,增益!$X:$X,0))</f>
        <v>0</v>
      </c>
    </row>
    <row r="73" spans="2:77">
      <c r="K73" s="35">
        <f>$L73*VLOOKUP($R73,武学奇术!$A:$ZZ,31,FALSE)</f>
        <v>79853.3607633164</v>
      </c>
      <c r="L73" s="58">
        <f t="shared" si="11"/>
        <v>71297.6435386753</v>
      </c>
      <c r="M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轻击",$B$21,0))*(1+IF(VLOOKUP($R73,武学奇术!$A:$ZZ,30,FALSE)="老鼠",$B$22,0))*(1+$BW73)*(1+$BX73)</f>
        <v>75004.3619252915</v>
      </c>
      <c r="N73" s="35">
        <f>(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轻击",$B$21,0))*(1+IF(VLOOKUP($R73,武学奇术!$A:$ZZ,30,FALSE)="老鼠",$B$22,0))*(1+$BW73))*(1+$BX73)</f>
        <v>47419.2853702806</v>
      </c>
      <c r="O73" s="35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轻击",$B$21,0))*(1+IF(VLOOKUP($R73,武学奇术!$A:$ZZ,30,FALSE)="老鼠",$B$22,0))*(1+$BW73)*(1+$BX73)</f>
        <v>31330.1428259363</v>
      </c>
      <c r="P73" s="35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轻击",$B$21,0))*(1+IF(VLOOKUP($R73,武学奇术!$A:$ZZ,30,FALSE)="老鼠",$B$22,0))*(1+$BW73)*(1+$BX73)</f>
        <v>27534.8890812943</v>
      </c>
      <c r="Q73" s="36">
        <v>1</v>
      </c>
      <c r="R73" s="37" t="s">
        <v>148</v>
      </c>
      <c r="S73" s="37" t="s">
        <v>91</v>
      </c>
      <c r="T73" s="37" t="s">
        <v>185</v>
      </c>
      <c r="U73" s="37" t="s">
        <v>112</v>
      </c>
      <c r="V73" s="37" t="s">
        <v>113</v>
      </c>
      <c r="W73" s="37" t="s">
        <v>82</v>
      </c>
      <c r="X73" s="37" t="s">
        <v>81</v>
      </c>
      <c r="Y73" s="37" t="s">
        <v>109</v>
      </c>
      <c r="Z73" s="37" t="s">
        <v>83</v>
      </c>
      <c r="AA73" s="37" t="s">
        <v>81</v>
      </c>
      <c r="AB73" s="37" t="s">
        <v>183</v>
      </c>
      <c r="AC73" s="37" t="s">
        <v>81</v>
      </c>
      <c r="AD73" s="37" t="s">
        <v>85</v>
      </c>
      <c r="AE73" s="37" t="s">
        <v>86</v>
      </c>
      <c r="AF73" s="37" t="s">
        <v>181</v>
      </c>
      <c r="AG73" s="37" t="s">
        <v>87</v>
      </c>
      <c r="AH73" s="37" t="s">
        <v>81</v>
      </c>
      <c r="AI73" s="37" t="s">
        <v>81</v>
      </c>
      <c r="AJ73" s="37" t="s">
        <v>81</v>
      </c>
      <c r="AK73" s="37" t="s">
        <v>81</v>
      </c>
      <c r="AL73" s="37" t="s">
        <v>81</v>
      </c>
      <c r="AM73" t="str">
        <f>VLOOKUP($R73,武学奇术!$A:$ZZ,25,FALSE)</f>
        <v>双刀</v>
      </c>
      <c r="AN73" s="23">
        <f>VLOOKUP($R73,武学奇术!$A:$ZZ,26,FALSE)</f>
        <v>1.4455</v>
      </c>
      <c r="AO73" s="24">
        <f>VLOOKUP($R73,武学奇术!$A:$ZZ,27,FALSE)*(1+IF(OR($AM73=$F$4,$AM73=$F$5),$B$23,0))</f>
        <v>641.6</v>
      </c>
      <c r="AP73" s="23">
        <f>VLOOKUP($R73,武学奇术!$A:$ZZ,28,FALSE)</f>
        <v>2.1683</v>
      </c>
      <c r="AQ73" s="24">
        <f>VLOOKUP($R73,武学奇术!$A:$ZZ,29,FALSE)*(1+IF(OR($AM73=$F$4,$AM73=$F$5),$B$23,0))</f>
        <v>348.8</v>
      </c>
      <c r="AR73" s="23" cm="1">
        <f t="array" ref="AR73">$G$3+IFERROR(VLOOKUP($AM73,$F$4:$G$7,2,FALSE),0)+VLOOKUP($R73,武学奇术!$A:$ZZ,2,FALSE)+SUM(_xlfn.XLOOKUP($S73:$AL73,增益!$A:$A,增益!$B:$B,0))</f>
        <v>0.7443</v>
      </c>
      <c r="AS73" s="23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4081.7</v>
      </c>
      <c r="AU73" cm="1">
        <f t="array" ref="AU73">$E$10*(1+$AS73)+VLOOKUP($R73,武学奇术!$A:$ZZ,4,FALSE)+SUM(_xlfn.XLOOKUP($S73:$AL73,增益!$A:$A,增益!$D:$D,0))-$I$2</f>
        <v>4081.7</v>
      </c>
      <c r="AV73" s="29" cm="1">
        <f t="array" ref="AV73">IF($F$10-$I$3+VLOOKUP($R73,武学奇术!$A:$ZZ,6,FALSE)+SUM(_xlfn.XLOOKUP(S73:AL73,增益!$A:$A,增益!$F:$F,0))&gt;0,($F$10-$I$3+VLOOKUP($R73,武学奇术!$A:$ZZ,6,FALSE)+SUM(_xlfn.XLOOKUP(S73:AL73,增益!$A:$A,增益!$F:$F,0)))/200,($F$10-$I$3+VLOOKUP($R73,武学奇术!$A:$ZZ,6,FALSE)+SUM(_xlfn.XLOOKUP(S73:AL73,增益!$A:$A,增益!$F:$F,0)))/100)</f>
        <v>0.3689</v>
      </c>
      <c r="AW73" s="29" cm="1">
        <f t="array" ref="AW73">$G$10+VLOOKUP($R73,武学奇术!$A:$ZZ,7,FALSE)+SUM(_xlfn.XLOOKUP(S73:AL73,增益!$A:$A,增益!$G:$G,0))</f>
        <v>0.06</v>
      </c>
      <c r="AX73" s="23" cm="1">
        <f t="array" ref="AX73">VLOOKUP($R73,武学奇术!$A:$ZZ,8,FALSE)+SUM(_xlfn.XLOOKUP(S73:AL73,增益!$A:$A,增益!$H:$H,0))</f>
        <v>0</v>
      </c>
      <c r="AY73">
        <f t="shared" si="12"/>
        <v>0</v>
      </c>
      <c r="AZ73">
        <f t="shared" si="13"/>
        <v>0</v>
      </c>
      <c r="BA73" s="29" cm="1">
        <f t="array" ref="BA73">IF($F$11-$I$4+VLOOKUP($R73,武学奇术!$A:$ZZ,9,FALSE)+SUM(_xlfn.XLOOKUP(S73:AL73,增益!$A:$A,增益!$I:$I,0))&gt;0,($F$11-$I$4+VLOOKUP($R73,武学奇术!$A:$ZZ,9,FALSE)+SUM(_xlfn.XLOOKUP(S73:AL73,增益!$A:$A,增益!$I:$I,0)))/200,($F$11-$I$4+VLOOKUP($R73,武学奇术!$A:$ZZ,9,FALSE)+SUM(_xlfn.XLOOKUP(S73:AL73,增益!$A:$A,增益!$I:$I,0)))/100)</f>
        <v>-0.3</v>
      </c>
      <c r="BB73" s="29" cm="1">
        <f t="array" ref="BB73">$G$11+VLOOKUP($R73,武学奇术!$A:$ZZ,10,FALSE)+SUM(_xlfn.XLOOKUP(S73:AL73,增益!$A:$A,增益!$J:$J,0))</f>
        <v>0</v>
      </c>
      <c r="BC73">
        <f t="shared" si="14"/>
        <v>0</v>
      </c>
      <c r="BD73">
        <f t="shared" si="15"/>
        <v>0</v>
      </c>
      <c r="BE73" s="29" cm="1">
        <f t="array" ref="BE73">IF($F$12-$I$4+VLOOKUP($R73,武学奇术!$A:$ZZ,11,FALSE)+SUM(_xlfn.XLOOKUP(S73:AL73,增益!$A:$A,增益!$K:$K,0))&gt;0,($F$12-$I$4+VLOOKUP($R73,武学奇术!$A:$ZZ,11,FALSE)+SUM(_xlfn.XLOOKUP(S73:AL73,增益!$A:$A,增益!$K:$K,0)))/200,($F$12-$I$4+VLOOKUP($R73,武学奇术!$A:$ZZ,11,FALSE)+SUM(_xlfn.XLOOKUP(S73:AL73,增益!$A:$A,增益!$K:$K,0)))/100)</f>
        <v>-0.3</v>
      </c>
      <c r="BF73" s="29" cm="1">
        <f t="array" ref="BF73">$G$12+VLOOKUP($R73,武学奇术!$A:$ZZ,12,FALSE)+SUM(_xlfn.XLOOKUP(S73:AL73,增益!$A:$A,增益!$L:$L,0))</f>
        <v>0</v>
      </c>
      <c r="BG73">
        <f t="shared" si="16"/>
        <v>0</v>
      </c>
      <c r="BH73">
        <f t="shared" si="17"/>
        <v>0</v>
      </c>
      <c r="BI73" s="29" cm="1">
        <f t="array" ref="BI73">IF($F$13-$I$4+VLOOKUP($R73,武学奇术!$A:$ZZ,13,FALSE)+SUM(_xlfn.XLOOKUP(S73:AL73,增益!$A:$A,增益!$M:$M,0))&gt;0,($F$13-$I$4+VLOOKUP($R73,武学奇术!$A:$ZZ,13,FALSE)+SUM(_xlfn.XLOOKUP(S73:AL73,增益!$A:$A,增益!$K:$K,0)))/200,($F$13-$I$4+VLOOKUP($R73,武学奇术!$A:$ZZ,13,FALSE)+SUM(_xlfn.XLOOKUP(S73:AL73,增益!$A:$A,增益!$M:$M,0)))/100)</f>
        <v>-0.3</v>
      </c>
      <c r="BJ73" s="29" cm="1">
        <f t="array" ref="BJ73">$G$13+VLOOKUP($R73,武学奇术!$A:$ZZ,14,FALSE)+SUM(_xlfn.XLOOKUP(S73:AL73,增益!$A:$A,增益!$N:$N,0))</f>
        <v>0</v>
      </c>
      <c r="BK73">
        <f t="shared" si="18"/>
        <v>618.2</v>
      </c>
      <c r="BL73">
        <f t="shared" si="19"/>
        <v>1805</v>
      </c>
      <c r="BM73" s="29" cm="1">
        <f t="array" ref="BM73">IF($F$14-$I$4+VLOOKUP($R73,武学奇术!$A:$ZZ,15,FALSE)+SUM(_xlfn.XLOOKUP(S73:AL73,增益!$A:$A,增益!$O:$O,0))&gt;0,($F$14-$I$4+VLOOKUP($R73,武学奇术!$A:$ZZ,15,FALSE)+SUM(_xlfn.XLOOKUP(S73:AL73,增益!$A:$A,增益!$O:$O,0)))/200,($F$14-$I$4+VLOOKUP($R73,武学奇术!$A:$ZZ,15,FALSE)+SUM(_xlfn.XLOOKUP(S73:AL73,增益!$A:$A,增益!$O:$O,0)))/100)</f>
        <v>0.05</v>
      </c>
      <c r="BN73" s="29" cm="1">
        <f t="array" ref="BN73">$G$14+VLOOKUP($R73,武学奇术!$A:$ZZ,16,FALSE)+SUM(_xlfn.XLOOKUP(S73:AL73,增益!$A:$A,增益!$P:$P,0))</f>
        <v>0.21</v>
      </c>
      <c r="BO73" s="23">
        <f>MIN(IF(VLOOKUP($R73,武学奇术!$A:$ZZ,23,FALSE)=1,100%,$B$8),100%)</f>
        <v>0.9943</v>
      </c>
      <c r="BP73" s="23" cm="1">
        <f t="array" ref="BP73">IF(VLOOKUP($R73,武学奇术!$A:$ZZ,23,FALSE)=1,100%,MIN(80%,$B$9+VLOOKUP($R73,武学奇术!$A:$ZZ,17,FALSE)+SUM(_xlfn.XLOOKUP(S73:AL73,增益!$A:$A,增益!$Q:$Q,0)))+$B$11+SUM(_xlfn.XLOOKUP(S73:AL73,增益!$A:$A,增益!$U:$U,0)))*IF(VLOOKUP($R73,武学奇术!$A:$ZZ,24,FALSE)=1,0,1)</f>
        <v>0.887</v>
      </c>
      <c r="BQ73" s="23" cm="1">
        <f t="array" ref="BQ73">1+$B$13+VLOOKUP($R73,武学奇术!$A:$ZZ,18,FALSE)+SUM(_xlfn.XLOOKUP(S73:AL73,增益!$A:$A,增益!$R:$R,0))</f>
        <v>2.394</v>
      </c>
      <c r="BR73" s="23" cm="1">
        <f t="array" ref="BR73">IF(VLOOKUP($R73,武学奇术!$A:$ZZ,24,FALSE)=1,100%,MIN(40%,$B$10+VLOOKUP($R73,武学奇术!$A:$ZZ,19,FALSE)+SUM(_xlfn.XLOOKUP(S73:AL73,增益!$A:$A,增益!$S:$S,0)))+$B$12+SUM(_xlfn.XLOOKUP(S73:AL73,增益!$A:$A,增益!$V:$V,0)))*IF(VLOOKUP($R73,武学奇术!$A:$ZZ,23,FALSE)=1,0,1)</f>
        <v>0.0913</v>
      </c>
      <c r="BS73" s="23" cm="1">
        <f t="array" ref="BS73">1+$B$14+VLOOKUP($R73,武学奇术!$A:$ZZ,20,FALSE)+SUM(_xlfn.XLOOKUP(S73:AL73,增益!$A:$A,增益!$T:$T,0))</f>
        <v>1.35</v>
      </c>
      <c r="BT73" s="23">
        <f t="shared" si="20"/>
        <v>0.8819441</v>
      </c>
      <c r="BU73" s="23">
        <f t="shared" si="21"/>
        <v>0.0215763099999999</v>
      </c>
      <c r="BV73" s="23">
        <f>IF(VLOOKUP($R73,武学奇术!$A:$ZZ,22,FALSE)=1,0,(1-$BO73))*(1-$BR73)</f>
        <v>0.00517959000000003</v>
      </c>
      <c r="BW73" s="23" cm="1">
        <f t="array" ref="BW73">SUM(_xlfn.XLOOKUP(S73:AL73,增益!$A:$A,增益!$W:$W,0))+$I$5</f>
        <v>0.21</v>
      </c>
      <c r="BX73" s="23">
        <f>VLOOKUP($R73,武学奇术!$A:$ZZ,32,FALSE)</f>
        <v>0.1</v>
      </c>
      <c r="BY73" s="23" cm="1">
        <f t="array" ref="BY73">SUM(_xlfn.XLOOKUP($S73:$AL73,增益!$A:$A,增益!$X:$X,0))</f>
        <v>0</v>
      </c>
    </row>
    <row r="74" spans="2:77">
      <c r="K74" s="35">
        <f>$L74*VLOOKUP($R74,武学奇术!$A:$ZZ,31,FALSE)</f>
        <v>166820.061958242</v>
      </c>
      <c r="L74" s="69">
        <f t="shared" si="11"/>
        <v>163549.080351218</v>
      </c>
      <c r="M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轻击",$B$21,0))*(1+IF(VLOOKUP($R74,武学奇术!$A:$ZZ,30,FALSE)="老鼠",$B$22,0))*(1+$BW74)*(1+$BX74)</f>
        <v>171925.177144225</v>
      </c>
      <c r="N74" s="35">
        <f>(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轻击",$B$21,0))*(1+IF(VLOOKUP($R74,武学奇术!$A:$ZZ,30,FALSE)="老鼠",$B$22,0))*(1+$BW74))*(1+$BX74)</f>
        <v>110071.770518969</v>
      </c>
      <c r="O74" s="35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轻击",$B$21,0))*(1+IF(VLOOKUP($R74,武学奇术!$A:$ZZ,30,FALSE)="老鼠",$B$22,0))*(1+$BW74)*(1+$BX74)</f>
        <v>71815.0280468776</v>
      </c>
      <c r="P74" s="35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轻击",$B$21,0))*(1+IF(VLOOKUP($R74,武学奇术!$A:$ZZ,30,FALSE)="老鼠",$B$22,0))*(1+$BW74)*(1+$BX74)</f>
        <v>62095.411264889</v>
      </c>
      <c r="Q74" s="70">
        <v>5</v>
      </c>
      <c r="R74" s="37" t="s">
        <v>106</v>
      </c>
      <c r="S74" s="37" t="s">
        <v>91</v>
      </c>
      <c r="T74" s="37" t="s">
        <v>185</v>
      </c>
      <c r="U74" s="37" t="s">
        <v>112</v>
      </c>
      <c r="V74" s="37" t="s">
        <v>113</v>
      </c>
      <c r="W74" s="37" t="s">
        <v>82</v>
      </c>
      <c r="X74" s="37" t="s">
        <v>81</v>
      </c>
      <c r="Y74" s="37" t="s">
        <v>109</v>
      </c>
      <c r="Z74" s="37" t="s">
        <v>83</v>
      </c>
      <c r="AA74" s="37" t="s">
        <v>81</v>
      </c>
      <c r="AB74" s="37" t="s">
        <v>183</v>
      </c>
      <c r="AC74" s="37" t="s">
        <v>81</v>
      </c>
      <c r="AD74" s="37" t="s">
        <v>85</v>
      </c>
      <c r="AE74" s="37" t="s">
        <v>86</v>
      </c>
      <c r="AF74" s="37" t="s">
        <v>81</v>
      </c>
      <c r="AG74" s="37" t="s">
        <v>87</v>
      </c>
      <c r="AH74" s="37" t="s">
        <v>81</v>
      </c>
      <c r="AI74" s="37" t="s">
        <v>81</v>
      </c>
      <c r="AJ74" s="37" t="s">
        <v>81</v>
      </c>
      <c r="AK74" s="37" t="s">
        <v>81</v>
      </c>
      <c r="AL74" s="37" t="s">
        <v>81</v>
      </c>
      <c r="AM74" t="str">
        <f>VLOOKUP($R74,武学奇术!$A:$ZZ,25,FALSE)</f>
        <v>绳镖</v>
      </c>
      <c r="AN74" s="23">
        <f>VLOOKUP($R74,武学奇术!$A:$ZZ,26,FALSE)</f>
        <v>0.3675</v>
      </c>
      <c r="AO74" s="24">
        <f>VLOOKUP($R74,武学奇术!$A:$ZZ,27,FALSE)*(1+IF(OR($AM74=$F$4,$AM74=$F$5),$B$23,0))</f>
        <v>0</v>
      </c>
      <c r="AP74" s="23">
        <f>VLOOKUP($R74,武学奇术!$A:$ZZ,28,FALSE)</f>
        <v>0.55125</v>
      </c>
      <c r="AQ74" s="24">
        <f>VLOOKUP($R74,武学奇术!$A:$ZZ,29,FALSE)*(1+IF(OR($AM74=$F$4,$AM74=$F$5),$B$23,0))</f>
        <v>0</v>
      </c>
      <c r="AR74" s="23" cm="1">
        <f t="array" ref="AR74">$G$3+IFERROR(VLOOKUP($AM74,$F$4:$G$7,2,FALSE),0)+VLOOKUP($R74,武学奇术!$A:$ZZ,2,FALSE)+SUM(_xlfn.XLOOKUP($S74:$AL74,增益!$A:$A,增益!$B:$B,0))</f>
        <v>1.4943</v>
      </c>
      <c r="AS74" s="23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4081.7</v>
      </c>
      <c r="AU74" cm="1">
        <f t="array" ref="AU74">$E$10*(1+$AS74)+VLOOKUP($R74,武学奇术!$A:$ZZ,4,FALSE)+SUM(_xlfn.XLOOKUP($S74:$AL74,增益!$A:$A,增益!$D:$D,0))-$I$2</f>
        <v>4081.7</v>
      </c>
      <c r="AV74" s="29" cm="1">
        <f t="array" ref="AV74">IF($F$10-$I$3+VLOOKUP($R74,武学奇术!$A:$ZZ,6,FALSE)+SUM(_xlfn.XLOOKUP(S74:AL74,增益!$A:$A,增益!$F:$F,0))&gt;0,($F$10-$I$3+VLOOKUP($R74,武学奇术!$A:$ZZ,6,FALSE)+SUM(_xlfn.XLOOKUP(S74:AL74,增益!$A:$A,增益!$F:$F,0)))/200,($F$10-$I$3+VLOOKUP($R74,武学奇术!$A:$ZZ,6,FALSE)+SUM(_xlfn.XLOOKUP(S74:AL74,增益!$A:$A,增益!$F:$F,0)))/100)</f>
        <v>0.3689</v>
      </c>
      <c r="AW74" s="29" cm="1">
        <f t="array" ref="AW74">$G$10+VLOOKUP($R74,武学奇术!$A:$ZZ,7,FALSE)+SUM(_xlfn.XLOOKUP(S74:AL74,增益!$A:$A,增益!$G:$G,0))</f>
        <v>0.27</v>
      </c>
      <c r="AX74" s="23" cm="1">
        <f t="array" ref="AX74">VLOOKUP($R74,武学奇术!$A:$ZZ,8,FALSE)+SUM(_xlfn.XLOOKUP(S74:AL74,增益!$A:$A,增益!$H:$H,0))</f>
        <v>0</v>
      </c>
      <c r="AY74">
        <f t="shared" si="12"/>
        <v>0</v>
      </c>
      <c r="AZ74">
        <f t="shared" si="13"/>
        <v>0</v>
      </c>
      <c r="BA74" s="29" cm="1">
        <f t="array" ref="BA74">IF($F$11-$I$4+VLOOKUP($R74,武学奇术!$A:$ZZ,9,FALSE)+SUM(_xlfn.XLOOKUP(S74:AL74,增益!$A:$A,增益!$I:$I,0))&gt;0,($F$11-$I$4+VLOOKUP($R74,武学奇术!$A:$ZZ,9,FALSE)+SUM(_xlfn.XLOOKUP(S74:AL74,增益!$A:$A,增益!$I:$I,0)))/200,($F$11-$I$4+VLOOKUP($R74,武学奇术!$A:$ZZ,9,FALSE)+SUM(_xlfn.XLOOKUP(S74:AL74,增益!$A:$A,增益!$I:$I,0)))/100)</f>
        <v>-0.3</v>
      </c>
      <c r="BB74" s="29" cm="1">
        <f t="array" ref="BB74">$G$11+VLOOKUP($R74,武学奇术!$A:$ZZ,10,FALSE)+SUM(_xlfn.XLOOKUP(S74:AL74,增益!$A:$A,增益!$J:$J,0))</f>
        <v>0</v>
      </c>
      <c r="BC74">
        <f t="shared" si="14"/>
        <v>0</v>
      </c>
      <c r="BD74">
        <f t="shared" si="15"/>
        <v>0</v>
      </c>
      <c r="BE74" s="29" cm="1">
        <f t="array" ref="BE74">IF($F$12-$I$4+VLOOKUP($R74,武学奇术!$A:$ZZ,11,FALSE)+SUM(_xlfn.XLOOKUP(S74:AL74,增益!$A:$A,增益!$K:$K,0))&gt;0,($F$12-$I$4+VLOOKUP($R74,武学奇术!$A:$ZZ,11,FALSE)+SUM(_xlfn.XLOOKUP(S74:AL74,增益!$A:$A,增益!$K:$K,0)))/200,($F$12-$I$4+VLOOKUP($R74,武学奇术!$A:$ZZ,11,FALSE)+SUM(_xlfn.XLOOKUP(S74:AL74,增益!$A:$A,增益!$K:$K,0)))/100)</f>
        <v>-0.3</v>
      </c>
      <c r="BF74" s="29" cm="1">
        <f t="array" ref="BF74">$G$12+VLOOKUP($R74,武学奇术!$A:$ZZ,12,FALSE)+SUM(_xlfn.XLOOKUP(S74:AL74,增益!$A:$A,增益!$L:$L,0))</f>
        <v>0</v>
      </c>
      <c r="BG74">
        <f t="shared" si="16"/>
        <v>0</v>
      </c>
      <c r="BH74">
        <f t="shared" si="17"/>
        <v>0</v>
      </c>
      <c r="BI74" s="29" cm="1">
        <f t="array" ref="BI74">IF($F$13-$I$4+VLOOKUP($R74,武学奇术!$A:$ZZ,13,FALSE)+SUM(_xlfn.XLOOKUP(S74:AL74,增益!$A:$A,增益!$M:$M,0))&gt;0,($F$13-$I$4+VLOOKUP($R74,武学奇术!$A:$ZZ,13,FALSE)+SUM(_xlfn.XLOOKUP(S74:AL74,增益!$A:$A,增益!$K:$K,0)))/200,($F$13-$I$4+VLOOKUP($R74,武学奇术!$A:$ZZ,13,FALSE)+SUM(_xlfn.XLOOKUP(S74:AL74,增益!$A:$A,增益!$M:$M,0)))/100)</f>
        <v>-0.3</v>
      </c>
      <c r="BJ74" s="29" cm="1">
        <f t="array" ref="BJ74">$G$13+VLOOKUP($R74,武学奇术!$A:$ZZ,14,FALSE)+SUM(_xlfn.XLOOKUP(S74:AL74,增益!$A:$A,增益!$N:$N,0))</f>
        <v>0</v>
      </c>
      <c r="BK74">
        <f t="shared" si="18"/>
        <v>618.2</v>
      </c>
      <c r="BL74">
        <f t="shared" si="19"/>
        <v>1805</v>
      </c>
      <c r="BM74" s="29" cm="1">
        <f t="array" ref="BM74">IF($F$14-$I$4+VLOOKUP($R74,武学奇术!$A:$ZZ,15,FALSE)+SUM(_xlfn.XLOOKUP(S74:AL74,增益!$A:$A,增益!$O:$O,0))&gt;0,($F$14-$I$4+VLOOKUP($R74,武学奇术!$A:$ZZ,15,FALSE)+SUM(_xlfn.XLOOKUP(S74:AL74,增益!$A:$A,增益!$O:$O,0)))/200,($F$14-$I$4+VLOOKUP($R74,武学奇术!$A:$ZZ,15,FALSE)+SUM(_xlfn.XLOOKUP(S74:AL74,增益!$A:$A,增益!$O:$O,0)))/100)</f>
        <v>0.05</v>
      </c>
      <c r="BN74" s="29" cm="1">
        <f t="array" ref="BN74">$G$14+VLOOKUP($R74,武学奇术!$A:$ZZ,16,FALSE)+SUM(_xlfn.XLOOKUP(S74:AL74,增益!$A:$A,增益!$P:$P,0))</f>
        <v>0.42</v>
      </c>
      <c r="BO74" s="23">
        <f>MIN(IF(VLOOKUP($R74,武学奇术!$A:$ZZ,23,FALSE)=1,100%,$B$8),100%)</f>
        <v>0.9943</v>
      </c>
      <c r="BP74" s="23" cm="1">
        <f t="array" ref="BP74">IF(VLOOKUP($R74,武学奇术!$A:$ZZ,23,FALSE)=1,100%,MIN(80%,$B$9+VLOOKUP($R74,武学奇术!$A:$ZZ,17,FALSE)+SUM(_xlfn.XLOOKUP(S74:AL74,增益!$A:$A,增益!$Q:$Q,0)))+$B$11+SUM(_xlfn.XLOOKUP(S74:AL74,增益!$A:$A,增益!$U:$U,0)))*IF(VLOOKUP($R74,武学奇术!$A:$ZZ,24,FALSE)=1,0,1)</f>
        <v>0.887</v>
      </c>
      <c r="BQ74" s="23" cm="1">
        <f t="array" ref="BQ74">1+$B$13+VLOOKUP($R74,武学奇术!$A:$ZZ,18,FALSE)+SUM(_xlfn.XLOOKUP(S74:AL74,增益!$A:$A,增益!$R:$R,0))</f>
        <v>2.394</v>
      </c>
      <c r="BR74" s="23" cm="1">
        <f t="array" ref="BR74">IF(VLOOKUP($R74,武学奇术!$A:$ZZ,24,FALSE)=1,100%,MIN(40%,$B$10+VLOOKUP($R74,武学奇术!$A:$ZZ,19,FALSE)+SUM(_xlfn.XLOOKUP(S74:AL74,增益!$A:$A,增益!$S:$S,0)))+$B$12+SUM(_xlfn.XLOOKUP(S74:AL74,增益!$A:$A,增益!$V:$V,0)))*IF(VLOOKUP($R74,武学奇术!$A:$ZZ,23,FALSE)=1,0,1)</f>
        <v>0.0913</v>
      </c>
      <c r="BS74" s="23" cm="1">
        <f t="array" ref="BS74">1+$B$14+VLOOKUP($R74,武学奇术!$A:$ZZ,20,FALSE)+SUM(_xlfn.XLOOKUP(S74:AL74,增益!$A:$A,增益!$T:$T,0))</f>
        <v>1.35</v>
      </c>
      <c r="BT74" s="23">
        <f t="shared" si="20"/>
        <v>0.8819441</v>
      </c>
      <c r="BU74" s="23">
        <f t="shared" si="21"/>
        <v>0.0215763099999999</v>
      </c>
      <c r="BV74" s="23">
        <f>IF(VLOOKUP($R74,武学奇术!$A:$ZZ,22,FALSE)=1,0,(1-$BO74))*(1-$BR74)</f>
        <v>0.00517959000000003</v>
      </c>
      <c r="BW74" s="23" cm="1">
        <f t="array" ref="BW74">SUM(_xlfn.XLOOKUP(S74:AL74,增益!$A:$A,增益!$W:$W,0))+$I$5</f>
        <v>0.21</v>
      </c>
      <c r="BX74" s="23">
        <f>VLOOKUP($R74,武学奇术!$A:$ZZ,32,FALSE)</f>
        <v>0</v>
      </c>
      <c r="BY74" s="23" cm="1">
        <f t="array" ref="BY74">SUM(_xlfn.XLOOKUP($S74:$AL74,增益!$A:$A,增益!$X:$X,0))</f>
        <v>0</v>
      </c>
    </row>
    <row r="75" spans="2:77">
      <c r="K75" s="35">
        <f>$L75*VLOOKUP($R75,武学奇术!$A:$ZZ,31,FALSE)</f>
        <v>87640.7256252946</v>
      </c>
      <c r="L75" s="58">
        <f t="shared" si="11"/>
        <v>78250.6478797273</v>
      </c>
      <c r="M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轻击",$B$21,0))*(1+IF(VLOOKUP($R75,武学奇术!$A:$ZZ,30,FALSE)="老鼠",$B$22,0))*(1+$BW75)*(1+$BX75)</f>
        <v>82318.8392673335</v>
      </c>
      <c r="N75" s="35">
        <f>(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轻击",$B$21,0))*(1+IF(VLOOKUP($R75,武学奇术!$A:$ZZ,30,FALSE)="老鼠",$B$22,0))*(1+$BW75))*(1+$BX75)</f>
        <v>52043.746910934</v>
      </c>
      <c r="O75" s="35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轻击",$B$21,0))*(1+IF(VLOOKUP($R75,武学奇术!$A:$ZZ,30,FALSE)="老鼠",$B$22,0))*(1+$BW75)*(1+$BX75)</f>
        <v>34385.4800615428</v>
      </c>
      <c r="P75" s="35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轻击",$B$21,0))*(1+IF(VLOOKUP($R75,武学奇术!$A:$ZZ,30,FALSE)="老鼠",$B$22,0))*(1+$BW75)*(1+$BX75)</f>
        <v>30220.0364853568</v>
      </c>
      <c r="Q75" s="36">
        <v>1</v>
      </c>
      <c r="R75" s="37" t="s">
        <v>153</v>
      </c>
      <c r="S75" s="37" t="s">
        <v>91</v>
      </c>
      <c r="T75" s="37" t="s">
        <v>185</v>
      </c>
      <c r="U75" s="37" t="s">
        <v>112</v>
      </c>
      <c r="V75" s="37" t="s">
        <v>113</v>
      </c>
      <c r="W75" s="37" t="s">
        <v>82</v>
      </c>
      <c r="X75" s="37" t="s">
        <v>81</v>
      </c>
      <c r="Y75" s="37" t="s">
        <v>109</v>
      </c>
      <c r="Z75" s="37" t="s">
        <v>83</v>
      </c>
      <c r="AA75" s="37" t="s">
        <v>81</v>
      </c>
      <c r="AB75" s="37" t="s">
        <v>183</v>
      </c>
      <c r="AC75" s="37" t="s">
        <v>81</v>
      </c>
      <c r="AD75" s="37" t="s">
        <v>81</v>
      </c>
      <c r="AE75" s="37" t="s">
        <v>86</v>
      </c>
      <c r="AF75" s="37" t="s">
        <v>181</v>
      </c>
      <c r="AG75" s="37" t="s">
        <v>87</v>
      </c>
      <c r="AH75" s="37" t="s">
        <v>81</v>
      </c>
      <c r="AI75" s="37" t="s">
        <v>81</v>
      </c>
      <c r="AJ75" s="37" t="s">
        <v>81</v>
      </c>
      <c r="AK75" s="37" t="s">
        <v>81</v>
      </c>
      <c r="AL75" s="37" t="s">
        <v>81</v>
      </c>
      <c r="AM75" t="str">
        <f>VLOOKUP($R75,武学奇术!$A:$ZZ,25,FALSE)</f>
        <v>双刀</v>
      </c>
      <c r="AN75" s="23">
        <f>VLOOKUP($R75,武学奇术!$A:$ZZ,26,FALSE)</f>
        <v>1.7358</v>
      </c>
      <c r="AO75" s="24">
        <f>VLOOKUP($R75,武学奇术!$A:$ZZ,27,FALSE)*(1+IF(OR($AM75=$F$4,$AM75=$F$5),$B$23,0))</f>
        <v>769.6</v>
      </c>
      <c r="AP75" s="23">
        <f>VLOOKUP($R75,武学奇术!$A:$ZZ,28,FALSE)</f>
        <v>2.6037</v>
      </c>
      <c r="AQ75" s="24">
        <f>VLOOKUP($R75,武学奇术!$A:$ZZ,29,FALSE)*(1+IF(OR($AM75=$F$4,$AM75=$F$5),$B$23,0))</f>
        <v>419.2</v>
      </c>
      <c r="AR75" s="23" cm="1">
        <f t="array" ref="AR75">$G$3+IFERROR(VLOOKUP($AM75,$F$4:$G$7,2,FALSE),0)+VLOOKUP($R75,武学奇术!$A:$ZZ,2,FALSE)+SUM(_xlfn.XLOOKUP($S75:$AL75,增益!$A:$A,增益!$B:$B,0))</f>
        <v>0.5943</v>
      </c>
      <c r="AS75" s="23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4081.7</v>
      </c>
      <c r="AU75" cm="1">
        <f t="array" ref="AU75">$E$10*(1+$AS75)+VLOOKUP($R75,武学奇术!$A:$ZZ,4,FALSE)+SUM(_xlfn.XLOOKUP($S75:$AL75,增益!$A:$A,增益!$D:$D,0))-$I$2</f>
        <v>4081.7</v>
      </c>
      <c r="AV75" s="29" cm="1">
        <f t="array" ref="AV75">IF($F$10-$I$3+VLOOKUP($R75,武学奇术!$A:$ZZ,6,FALSE)+SUM(_xlfn.XLOOKUP(S75:AL75,增益!$A:$A,增益!$F:$F,0))&gt;0,($F$10-$I$3+VLOOKUP($R75,武学奇术!$A:$ZZ,6,FALSE)+SUM(_xlfn.XLOOKUP(S75:AL75,增益!$A:$A,增益!$F:$F,0)))/200,($F$10-$I$3+VLOOKUP($R75,武学奇术!$A:$ZZ,6,FALSE)+SUM(_xlfn.XLOOKUP(S75:AL75,增益!$A:$A,增益!$F:$F,0)))/100)</f>
        <v>0.3689</v>
      </c>
      <c r="AW75" s="29" cm="1">
        <f t="array" ref="AW75">$G$10+VLOOKUP($R75,武学奇术!$A:$ZZ,7,FALSE)+SUM(_xlfn.XLOOKUP(S75:AL75,增益!$A:$A,增益!$G:$G,0))</f>
        <v>0.06</v>
      </c>
      <c r="AX75" s="23" cm="1">
        <f t="array" ref="AX75">VLOOKUP($R75,武学奇术!$A:$ZZ,8,FALSE)+SUM(_xlfn.XLOOKUP(S75:AL75,增益!$A:$A,增益!$H:$H,0))</f>
        <v>0</v>
      </c>
      <c r="AY75">
        <f t="shared" si="12"/>
        <v>0</v>
      </c>
      <c r="AZ75">
        <f t="shared" si="13"/>
        <v>0</v>
      </c>
      <c r="BA75" s="29" cm="1">
        <f t="array" ref="BA75">IF($F$11-$I$4+VLOOKUP($R75,武学奇术!$A:$ZZ,9,FALSE)+SUM(_xlfn.XLOOKUP(S75:AL75,增益!$A:$A,增益!$I:$I,0))&gt;0,($F$11-$I$4+VLOOKUP($R75,武学奇术!$A:$ZZ,9,FALSE)+SUM(_xlfn.XLOOKUP(S75:AL75,增益!$A:$A,增益!$I:$I,0)))/200,($F$11-$I$4+VLOOKUP($R75,武学奇术!$A:$ZZ,9,FALSE)+SUM(_xlfn.XLOOKUP(S75:AL75,增益!$A:$A,增益!$I:$I,0)))/100)</f>
        <v>-0.3</v>
      </c>
      <c r="BB75" s="29" cm="1">
        <f t="array" ref="BB75">$G$11+VLOOKUP($R75,武学奇术!$A:$ZZ,10,FALSE)+SUM(_xlfn.XLOOKUP(S75:AL75,增益!$A:$A,增益!$J:$J,0))</f>
        <v>0</v>
      </c>
      <c r="BC75">
        <f t="shared" si="14"/>
        <v>0</v>
      </c>
      <c r="BD75">
        <f t="shared" si="15"/>
        <v>0</v>
      </c>
      <c r="BE75" s="29" cm="1">
        <f t="array" ref="BE75">IF($F$12-$I$4+VLOOKUP($R75,武学奇术!$A:$ZZ,11,FALSE)+SUM(_xlfn.XLOOKUP(S75:AL75,增益!$A:$A,增益!$K:$K,0))&gt;0,($F$12-$I$4+VLOOKUP($R75,武学奇术!$A:$ZZ,11,FALSE)+SUM(_xlfn.XLOOKUP(S75:AL75,增益!$A:$A,增益!$K:$K,0)))/200,($F$12-$I$4+VLOOKUP($R75,武学奇术!$A:$ZZ,11,FALSE)+SUM(_xlfn.XLOOKUP(S75:AL75,增益!$A:$A,增益!$K:$K,0)))/100)</f>
        <v>-0.3</v>
      </c>
      <c r="BF75" s="29" cm="1">
        <f t="array" ref="BF75">$G$12+VLOOKUP($R75,武学奇术!$A:$ZZ,12,FALSE)+SUM(_xlfn.XLOOKUP(S75:AL75,增益!$A:$A,增益!$L:$L,0))</f>
        <v>0</v>
      </c>
      <c r="BG75">
        <f t="shared" si="16"/>
        <v>0</v>
      </c>
      <c r="BH75">
        <f t="shared" si="17"/>
        <v>0</v>
      </c>
      <c r="BI75" s="29" cm="1">
        <f t="array" ref="BI75">IF($F$13-$I$4+VLOOKUP($R75,武学奇术!$A:$ZZ,13,FALSE)+SUM(_xlfn.XLOOKUP(S75:AL75,增益!$A:$A,增益!$M:$M,0))&gt;0,($F$13-$I$4+VLOOKUP($R75,武学奇术!$A:$ZZ,13,FALSE)+SUM(_xlfn.XLOOKUP(S75:AL75,增益!$A:$A,增益!$K:$K,0)))/200,($F$13-$I$4+VLOOKUP($R75,武学奇术!$A:$ZZ,13,FALSE)+SUM(_xlfn.XLOOKUP(S75:AL75,增益!$A:$A,增益!$M:$M,0)))/100)</f>
        <v>-0.3</v>
      </c>
      <c r="BJ75" s="29" cm="1">
        <f t="array" ref="BJ75">$G$13+VLOOKUP($R75,武学奇术!$A:$ZZ,14,FALSE)+SUM(_xlfn.XLOOKUP(S75:AL75,增益!$A:$A,增益!$N:$N,0))</f>
        <v>0</v>
      </c>
      <c r="BK75">
        <f t="shared" si="18"/>
        <v>618.2</v>
      </c>
      <c r="BL75">
        <f t="shared" si="19"/>
        <v>1805</v>
      </c>
      <c r="BM75" s="29" cm="1">
        <f t="array" ref="BM75">IF($F$14-$I$4+VLOOKUP($R75,武学奇术!$A:$ZZ,15,FALSE)+SUM(_xlfn.XLOOKUP(S75:AL75,增益!$A:$A,增益!$O:$O,0))&gt;0,($F$14-$I$4+VLOOKUP($R75,武学奇术!$A:$ZZ,15,FALSE)+SUM(_xlfn.XLOOKUP(S75:AL75,增益!$A:$A,增益!$O:$O,0)))/200,($F$14-$I$4+VLOOKUP($R75,武学奇术!$A:$ZZ,15,FALSE)+SUM(_xlfn.XLOOKUP(S75:AL75,增益!$A:$A,增益!$O:$O,0)))/100)</f>
        <v>0.05</v>
      </c>
      <c r="BN75" s="29" cm="1">
        <f t="array" ref="BN75">$G$14+VLOOKUP($R75,武学奇术!$A:$ZZ,16,FALSE)+SUM(_xlfn.XLOOKUP(S75:AL75,增益!$A:$A,增益!$P:$P,0))</f>
        <v>0.21</v>
      </c>
      <c r="BO75" s="23">
        <f>MIN(IF(VLOOKUP($R75,武学奇术!$A:$ZZ,23,FALSE)=1,100%,$B$8),100%)</f>
        <v>0.9943</v>
      </c>
      <c r="BP75" s="23" cm="1">
        <f t="array" ref="BP75">IF(VLOOKUP($R75,武学奇术!$A:$ZZ,23,FALSE)=1,100%,MIN(80%,$B$9+VLOOKUP($R75,武学奇术!$A:$ZZ,17,FALSE)+SUM(_xlfn.XLOOKUP(S75:AL75,增益!$A:$A,增益!$Q:$Q,0)))+$B$11+SUM(_xlfn.XLOOKUP(S75:AL75,增益!$A:$A,增益!$U:$U,0)))*IF(VLOOKUP($R75,武学奇术!$A:$ZZ,24,FALSE)=1,0,1)</f>
        <v>0.887</v>
      </c>
      <c r="BQ75" s="23" cm="1">
        <f t="array" ref="BQ75">1+$B$13+VLOOKUP($R75,武学奇术!$A:$ZZ,18,FALSE)+SUM(_xlfn.XLOOKUP(S75:AL75,增益!$A:$A,增益!$R:$R,0))</f>
        <v>2.394</v>
      </c>
      <c r="BR75" s="23" cm="1">
        <f t="array" ref="BR75">IF(VLOOKUP($R75,武学奇术!$A:$ZZ,24,FALSE)=1,100%,MIN(40%,$B$10+VLOOKUP($R75,武学奇术!$A:$ZZ,19,FALSE)+SUM(_xlfn.XLOOKUP(S75:AL75,增益!$A:$A,增益!$S:$S,0)))+$B$12+SUM(_xlfn.XLOOKUP(S75:AL75,增益!$A:$A,增益!$V:$V,0)))*IF(VLOOKUP($R75,武学奇术!$A:$ZZ,23,FALSE)=1,0,1)</f>
        <v>0.0913</v>
      </c>
      <c r="BS75" s="23" cm="1">
        <f t="array" ref="BS75">1+$B$14+VLOOKUP($R75,武学奇术!$A:$ZZ,20,FALSE)+SUM(_xlfn.XLOOKUP(S75:AL75,增益!$A:$A,增益!$T:$T,0))</f>
        <v>1.35</v>
      </c>
      <c r="BT75" s="23">
        <f t="shared" si="20"/>
        <v>0.8819441</v>
      </c>
      <c r="BU75" s="23">
        <f t="shared" si="21"/>
        <v>0.0215763099999999</v>
      </c>
      <c r="BV75" s="23">
        <f>IF(VLOOKUP($R75,武学奇术!$A:$ZZ,22,FALSE)=1,0,(1-$BO75))*(1-$BR75)</f>
        <v>0.00517959000000003</v>
      </c>
      <c r="BW75" s="23" cm="1">
        <f t="array" ref="BW75">SUM(_xlfn.XLOOKUP(S75:AL75,增益!$A:$A,增益!$W:$W,0))+$I$5</f>
        <v>0.21</v>
      </c>
      <c r="BX75" s="23">
        <f>VLOOKUP($R75,武学奇术!$A:$ZZ,32,FALSE)</f>
        <v>0.1</v>
      </c>
      <c r="BY75" s="23" cm="1">
        <f t="array" ref="BY75">SUM(_xlfn.XLOOKUP($S75:$AL75,增益!$A:$A,增益!$X:$X,0))</f>
        <v>0</v>
      </c>
    </row>
    <row r="76" spans="2:77">
      <c r="K76" s="35">
        <f>$L76*VLOOKUP($R76,武学奇术!$A:$ZZ,31,FALSE)</f>
        <v>62715.1940422093</v>
      </c>
      <c r="L76" s="69">
        <f t="shared" si="11"/>
        <v>61485.4843551071</v>
      </c>
      <c r="M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轻击",$B$21,0))*(1+IF(VLOOKUP($R76,武学奇术!$A:$ZZ,30,FALSE)="老鼠",$B$22,0))*(1+$BW76)*(1+$BX76)</f>
        <v>64634.4373618581</v>
      </c>
      <c r="N76" s="35">
        <f>(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轻击",$B$21,0))*(1+IF(VLOOKUP($R76,武学奇术!$A:$ZZ,30,FALSE)="老鼠",$B$22,0))*(1+$BW76))*(1+$BX76)</f>
        <v>41380.9488237373</v>
      </c>
      <c r="O76" s="35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轻击",$B$21,0))*(1+IF(VLOOKUP($R76,武学奇术!$A:$ZZ,30,FALSE)="老鼠",$B$22,0))*(1+$BW76)*(1+$BX76)</f>
        <v>26998.5118470585</v>
      </c>
      <c r="P76" s="35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轻击",$B$21,0))*(1+IF(VLOOKUP($R76,武学奇术!$A:$ZZ,30,FALSE)="老鼠",$B$22,0))*(1+$BW76)*(1+$BX76)</f>
        <v>23344.4690098672</v>
      </c>
      <c r="Q76" s="70">
        <v>2</v>
      </c>
      <c r="R76" s="37" t="s">
        <v>106</v>
      </c>
      <c r="S76" s="37" t="s">
        <v>91</v>
      </c>
      <c r="T76" s="37" t="s">
        <v>185</v>
      </c>
      <c r="U76" s="37" t="s">
        <v>112</v>
      </c>
      <c r="V76" s="37" t="s">
        <v>113</v>
      </c>
      <c r="W76" s="37" t="s">
        <v>82</v>
      </c>
      <c r="X76" s="37" t="s">
        <v>81</v>
      </c>
      <c r="Y76" s="37" t="s">
        <v>109</v>
      </c>
      <c r="Z76" s="37" t="s">
        <v>83</v>
      </c>
      <c r="AA76" s="37" t="s">
        <v>81</v>
      </c>
      <c r="AB76" s="37" t="s">
        <v>183</v>
      </c>
      <c r="AC76" s="37" t="s">
        <v>81</v>
      </c>
      <c r="AD76" s="37" t="s">
        <v>81</v>
      </c>
      <c r="AE76" s="37" t="s">
        <v>86</v>
      </c>
      <c r="AF76" s="37" t="s">
        <v>81</v>
      </c>
      <c r="AG76" s="37" t="s">
        <v>87</v>
      </c>
      <c r="AH76" s="37" t="s">
        <v>81</v>
      </c>
      <c r="AI76" s="37" t="s">
        <v>81</v>
      </c>
      <c r="AJ76" s="37" t="s">
        <v>81</v>
      </c>
      <c r="AK76" s="37" t="s">
        <v>81</v>
      </c>
      <c r="AL76" s="37" t="s">
        <v>81</v>
      </c>
      <c r="AM76" t="str">
        <f>VLOOKUP($R76,武学奇术!$A:$ZZ,25,FALSE)</f>
        <v>绳镖</v>
      </c>
      <c r="AN76" s="23">
        <f>VLOOKUP($R76,武学奇术!$A:$ZZ,26,FALSE)</f>
        <v>0.3675</v>
      </c>
      <c r="AO76" s="24">
        <f>VLOOKUP($R76,武学奇术!$A:$ZZ,27,FALSE)*(1+IF(OR($AM76=$F$4,$AM76=$F$5),$B$23,0))</f>
        <v>0</v>
      </c>
      <c r="AP76" s="23">
        <f>VLOOKUP($R76,武学奇术!$A:$ZZ,28,FALSE)</f>
        <v>0.55125</v>
      </c>
      <c r="AQ76" s="24">
        <f>VLOOKUP($R76,武学奇术!$A:$ZZ,29,FALSE)*(1+IF(OR($AM76=$F$4,$AM76=$F$5),$B$23,0))</f>
        <v>0</v>
      </c>
      <c r="AR76" s="23" cm="1">
        <f t="array" ref="AR76">$G$3+IFERROR(VLOOKUP($AM76,$F$4:$G$7,2,FALSE),0)+VLOOKUP($R76,武学奇术!$A:$ZZ,2,FALSE)+SUM(_xlfn.XLOOKUP($S76:$AL76,增益!$A:$A,增益!$B:$B,0))</f>
        <v>1.3443</v>
      </c>
      <c r="AS76" s="23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4081.7</v>
      </c>
      <c r="AU76" cm="1">
        <f t="array" ref="AU76">$E$10*(1+$AS76)+VLOOKUP($R76,武学奇术!$A:$ZZ,4,FALSE)+SUM(_xlfn.XLOOKUP($S76:$AL76,增益!$A:$A,增益!$D:$D,0))-$I$2</f>
        <v>4081.7</v>
      </c>
      <c r="AV76" s="29" cm="1">
        <f t="array" ref="AV76">IF($F$10-$I$3+VLOOKUP($R76,武学奇术!$A:$ZZ,6,FALSE)+SUM(_xlfn.XLOOKUP(S76:AL76,增益!$A:$A,增益!$F:$F,0))&gt;0,($F$10-$I$3+VLOOKUP($R76,武学奇术!$A:$ZZ,6,FALSE)+SUM(_xlfn.XLOOKUP(S76:AL76,增益!$A:$A,增益!$F:$F,0)))/200,($F$10-$I$3+VLOOKUP($R76,武学奇术!$A:$ZZ,6,FALSE)+SUM(_xlfn.XLOOKUP(S76:AL76,增益!$A:$A,增益!$F:$F,0)))/100)</f>
        <v>0.3689</v>
      </c>
      <c r="AW76" s="29" cm="1">
        <f t="array" ref="AW76">$G$10+VLOOKUP($R76,武学奇术!$A:$ZZ,7,FALSE)+SUM(_xlfn.XLOOKUP(S76:AL76,增益!$A:$A,增益!$G:$G,0))</f>
        <v>0.27</v>
      </c>
      <c r="AX76" s="23" cm="1">
        <f t="array" ref="AX76">VLOOKUP($R76,武学奇术!$A:$ZZ,8,FALSE)+SUM(_xlfn.XLOOKUP(S76:AL76,增益!$A:$A,增益!$H:$H,0))</f>
        <v>0</v>
      </c>
      <c r="AY76">
        <f t="shared" si="12"/>
        <v>0</v>
      </c>
      <c r="AZ76">
        <f t="shared" si="13"/>
        <v>0</v>
      </c>
      <c r="BA76" s="29" cm="1">
        <f t="array" ref="BA76">IF($F$11-$I$4+VLOOKUP($R76,武学奇术!$A:$ZZ,9,FALSE)+SUM(_xlfn.XLOOKUP(S76:AL76,增益!$A:$A,增益!$I:$I,0))&gt;0,($F$11-$I$4+VLOOKUP($R76,武学奇术!$A:$ZZ,9,FALSE)+SUM(_xlfn.XLOOKUP(S76:AL76,增益!$A:$A,增益!$I:$I,0)))/200,($F$11-$I$4+VLOOKUP($R76,武学奇术!$A:$ZZ,9,FALSE)+SUM(_xlfn.XLOOKUP(S76:AL76,增益!$A:$A,增益!$I:$I,0)))/100)</f>
        <v>-0.3</v>
      </c>
      <c r="BB76" s="29" cm="1">
        <f t="array" ref="BB76">$G$11+VLOOKUP($R76,武学奇术!$A:$ZZ,10,FALSE)+SUM(_xlfn.XLOOKUP(S76:AL76,增益!$A:$A,增益!$J:$J,0))</f>
        <v>0</v>
      </c>
      <c r="BC76">
        <f t="shared" si="14"/>
        <v>0</v>
      </c>
      <c r="BD76">
        <f t="shared" si="15"/>
        <v>0</v>
      </c>
      <c r="BE76" s="29" cm="1">
        <f t="array" ref="BE76">IF($F$12-$I$4+VLOOKUP($R76,武学奇术!$A:$ZZ,11,FALSE)+SUM(_xlfn.XLOOKUP(S76:AL76,增益!$A:$A,增益!$K:$K,0))&gt;0,($F$12-$I$4+VLOOKUP($R76,武学奇术!$A:$ZZ,11,FALSE)+SUM(_xlfn.XLOOKUP(S76:AL76,增益!$A:$A,增益!$K:$K,0)))/200,($F$12-$I$4+VLOOKUP($R76,武学奇术!$A:$ZZ,11,FALSE)+SUM(_xlfn.XLOOKUP(S76:AL76,增益!$A:$A,增益!$K:$K,0)))/100)</f>
        <v>-0.3</v>
      </c>
      <c r="BF76" s="29" cm="1">
        <f t="array" ref="BF76">$G$12+VLOOKUP($R76,武学奇术!$A:$ZZ,12,FALSE)+SUM(_xlfn.XLOOKUP(S76:AL76,增益!$A:$A,增益!$L:$L,0))</f>
        <v>0</v>
      </c>
      <c r="BG76">
        <f t="shared" si="16"/>
        <v>0</v>
      </c>
      <c r="BH76">
        <f t="shared" si="17"/>
        <v>0</v>
      </c>
      <c r="BI76" s="29" cm="1">
        <f t="array" ref="BI76">IF($F$13-$I$4+VLOOKUP($R76,武学奇术!$A:$ZZ,13,FALSE)+SUM(_xlfn.XLOOKUP(S76:AL76,增益!$A:$A,增益!$M:$M,0))&gt;0,($F$13-$I$4+VLOOKUP($R76,武学奇术!$A:$ZZ,13,FALSE)+SUM(_xlfn.XLOOKUP(S76:AL76,增益!$A:$A,增益!$K:$K,0)))/200,($F$13-$I$4+VLOOKUP($R76,武学奇术!$A:$ZZ,13,FALSE)+SUM(_xlfn.XLOOKUP(S76:AL76,增益!$A:$A,增益!$M:$M,0)))/100)</f>
        <v>-0.3</v>
      </c>
      <c r="BJ76" s="29" cm="1">
        <f t="array" ref="BJ76">$G$13+VLOOKUP($R76,武学奇术!$A:$ZZ,14,FALSE)+SUM(_xlfn.XLOOKUP(S76:AL76,增益!$A:$A,增益!$N:$N,0))</f>
        <v>0</v>
      </c>
      <c r="BK76">
        <f t="shared" si="18"/>
        <v>618.2</v>
      </c>
      <c r="BL76">
        <f t="shared" si="19"/>
        <v>1805</v>
      </c>
      <c r="BM76" s="29" cm="1">
        <f t="array" ref="BM76">IF($F$14-$I$4+VLOOKUP($R76,武学奇术!$A:$ZZ,15,FALSE)+SUM(_xlfn.XLOOKUP(S76:AL76,增益!$A:$A,增益!$O:$O,0))&gt;0,($F$14-$I$4+VLOOKUP($R76,武学奇术!$A:$ZZ,15,FALSE)+SUM(_xlfn.XLOOKUP(S76:AL76,增益!$A:$A,增益!$O:$O,0)))/200,($F$14-$I$4+VLOOKUP($R76,武学奇术!$A:$ZZ,15,FALSE)+SUM(_xlfn.XLOOKUP(S76:AL76,增益!$A:$A,增益!$O:$O,0)))/100)</f>
        <v>0.05</v>
      </c>
      <c r="BN76" s="29" cm="1">
        <f t="array" ref="BN76">$G$14+VLOOKUP($R76,武学奇术!$A:$ZZ,16,FALSE)+SUM(_xlfn.XLOOKUP(S76:AL76,增益!$A:$A,增益!$P:$P,0))</f>
        <v>0.42</v>
      </c>
      <c r="BO76" s="23">
        <f>MIN(IF(VLOOKUP($R76,武学奇术!$A:$ZZ,23,FALSE)=1,100%,$B$8),100%)</f>
        <v>0.9943</v>
      </c>
      <c r="BP76" s="23" cm="1">
        <f t="array" ref="BP76">IF(VLOOKUP($R76,武学奇术!$A:$ZZ,23,FALSE)=1,100%,MIN(80%,$B$9+VLOOKUP($R76,武学奇术!$A:$ZZ,17,FALSE)+SUM(_xlfn.XLOOKUP(S76:AL76,增益!$A:$A,增益!$Q:$Q,0)))+$B$11+SUM(_xlfn.XLOOKUP(S76:AL76,增益!$A:$A,增益!$U:$U,0)))*IF(VLOOKUP($R76,武学奇术!$A:$ZZ,24,FALSE)=1,0,1)</f>
        <v>0.887</v>
      </c>
      <c r="BQ76" s="23" cm="1">
        <f t="array" ref="BQ76">1+$B$13+VLOOKUP($R76,武学奇术!$A:$ZZ,18,FALSE)+SUM(_xlfn.XLOOKUP(S76:AL76,增益!$A:$A,增益!$R:$R,0))</f>
        <v>2.394</v>
      </c>
      <c r="BR76" s="23" cm="1">
        <f t="array" ref="BR76">IF(VLOOKUP($R76,武学奇术!$A:$ZZ,24,FALSE)=1,100%,MIN(40%,$B$10+VLOOKUP($R76,武学奇术!$A:$ZZ,19,FALSE)+SUM(_xlfn.XLOOKUP(S76:AL76,增益!$A:$A,增益!$S:$S,0)))+$B$12+SUM(_xlfn.XLOOKUP(S76:AL76,增益!$A:$A,增益!$V:$V,0)))*IF(VLOOKUP($R76,武学奇术!$A:$ZZ,23,FALSE)=1,0,1)</f>
        <v>0.0913</v>
      </c>
      <c r="BS76" s="23" cm="1">
        <f t="array" ref="BS76">1+$B$14+VLOOKUP($R76,武学奇术!$A:$ZZ,20,FALSE)+SUM(_xlfn.XLOOKUP(S76:AL76,增益!$A:$A,增益!$T:$T,0))</f>
        <v>1.35</v>
      </c>
      <c r="BT76" s="23">
        <f t="shared" si="20"/>
        <v>0.8819441</v>
      </c>
      <c r="BU76" s="23">
        <f t="shared" si="21"/>
        <v>0.0215763099999999</v>
      </c>
      <c r="BV76" s="23">
        <f>IF(VLOOKUP($R76,武学奇术!$A:$ZZ,22,FALSE)=1,0,(1-$BO76))*(1-$BR76)</f>
        <v>0.00517959000000003</v>
      </c>
      <c r="BW76" s="23" cm="1">
        <f t="array" ref="BW76">SUM(_xlfn.XLOOKUP(S76:AL76,增益!$A:$A,增益!$W:$W,0))+$I$5</f>
        <v>0.21</v>
      </c>
      <c r="BX76" s="23">
        <f>VLOOKUP($R76,武学奇术!$A:$ZZ,32,FALSE)</f>
        <v>0</v>
      </c>
      <c r="BY76" s="23" cm="1">
        <f t="array" ref="BY76">SUM(_xlfn.XLOOKUP($S76:$AL76,增益!$A:$A,增益!$X:$X,0))</f>
        <v>0</v>
      </c>
    </row>
    <row r="77" spans="2:77">
      <c r="B77" s="89"/>
      <c r="K77" s="35">
        <f>$L77*VLOOKUP($R77,武学奇术!$A:$ZZ,31,FALSE)</f>
        <v>98800.4881395409</v>
      </c>
      <c r="L77" s="58">
        <f t="shared" si="11"/>
        <v>88214.7215531615</v>
      </c>
      <c r="M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轻击",$B$21,0))*(1+IF(VLOOKUP($R77,武学奇术!$A:$ZZ,30,FALSE)="老鼠",$B$22,0))*(1+$BW77)*(1+$BX77)</f>
        <v>95072.4378477334</v>
      </c>
      <c r="N77" s="35">
        <f>(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轻击",$B$21,0))*(1+IF(VLOOKUP($R77,武学奇术!$A:$ZZ,30,FALSE)="老鼠",$B$22,0))*(1+$BW77))*(1+$BX77)</f>
        <v>75975.1182215391</v>
      </c>
      <c r="O77" s="35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轻击",$B$21,0))*(1+IF(VLOOKUP($R77,武学奇术!$A:$ZZ,30,FALSE)="老鼠",$B$22,0))*(1+$BW77)*(1+$BX77)</f>
        <v>50196.6408910947</v>
      </c>
      <c r="P77" s="35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轻击",$B$21,0))*(1+IF(VLOOKUP($R77,武学奇术!$A:$ZZ,30,FALSE)="老鼠",$B$22,0))*(1+$BW77)*(1+$BX77)</f>
        <v>44115.4164329012</v>
      </c>
      <c r="Q77" s="36">
        <v>1</v>
      </c>
      <c r="R77" s="37" t="s">
        <v>158</v>
      </c>
      <c r="S77" s="37" t="s">
        <v>91</v>
      </c>
      <c r="T77" s="37" t="s">
        <v>185</v>
      </c>
      <c r="U77" s="37" t="s">
        <v>112</v>
      </c>
      <c r="V77" s="37" t="s">
        <v>113</v>
      </c>
      <c r="W77" s="37" t="s">
        <v>82</v>
      </c>
      <c r="X77" s="37" t="s">
        <v>81</v>
      </c>
      <c r="Y77" s="37" t="s">
        <v>109</v>
      </c>
      <c r="Z77" s="37" t="s">
        <v>81</v>
      </c>
      <c r="AA77" s="37" t="s">
        <v>81</v>
      </c>
      <c r="AB77" s="37" t="s">
        <v>183</v>
      </c>
      <c r="AC77" s="37" t="s">
        <v>81</v>
      </c>
      <c r="AD77" s="37" t="s">
        <v>81</v>
      </c>
      <c r="AE77" s="37" t="s">
        <v>86</v>
      </c>
      <c r="AF77" s="37" t="s">
        <v>181</v>
      </c>
      <c r="AG77" s="37" t="s">
        <v>87</v>
      </c>
      <c r="AH77" s="37" t="s">
        <v>81</v>
      </c>
      <c r="AI77" s="37" t="s">
        <v>81</v>
      </c>
      <c r="AJ77" s="37" t="s">
        <v>81</v>
      </c>
      <c r="AK77" s="37" t="s">
        <v>81</v>
      </c>
      <c r="AL77" s="37" t="s">
        <v>81</v>
      </c>
      <c r="AM77" t="str">
        <f>VLOOKUP($R77,武学奇术!$A:$ZZ,25,FALSE)</f>
        <v>双刀</v>
      </c>
      <c r="AN77" s="23">
        <f>VLOOKUP($R77,武学奇术!$A:$ZZ,26,FALSE)</f>
        <v>2.5342</v>
      </c>
      <c r="AO77" s="24">
        <f>VLOOKUP($R77,武学奇术!$A:$ZZ,27,FALSE)*(1+IF(OR($AM77=$F$4,$AM77=$F$5),$B$23,0))</f>
        <v>1123.2</v>
      </c>
      <c r="AP77" s="23">
        <f>VLOOKUP($R77,武学奇术!$A:$ZZ,28,FALSE)</f>
        <v>3.8012</v>
      </c>
      <c r="AQ77" s="24">
        <f>VLOOKUP($R77,武学奇术!$A:$ZZ,29,FALSE)*(1+IF(OR($AM77=$F$4,$AM77=$F$5),$B$23,0))</f>
        <v>611.2</v>
      </c>
      <c r="AR77" s="23" cm="1">
        <f t="array" ref="AR77">$G$3+IFERROR(VLOOKUP($AM77,$F$4:$G$7,2,FALSE),0)+VLOOKUP($R77,武学奇术!$A:$ZZ,2,FALSE)+SUM(_xlfn.XLOOKUP($S77:$AL77,增益!$A:$A,增益!$B:$B,0))</f>
        <v>0.5943</v>
      </c>
      <c r="AS77" s="23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4081.7</v>
      </c>
      <c r="AU77" cm="1">
        <f t="array" ref="AU77">$E$10*(1+$AS77)+VLOOKUP($R77,武学奇术!$A:$ZZ,4,FALSE)+SUM(_xlfn.XLOOKUP($S77:$AL77,增益!$A:$A,增益!$D:$D,0))-$I$2</f>
        <v>4081.7</v>
      </c>
      <c r="AV77" s="29" cm="1">
        <f t="array" ref="AV77">IF($F$10-$I$3+VLOOKUP($R77,武学奇术!$A:$ZZ,6,FALSE)+SUM(_xlfn.XLOOKUP(S77:AL77,增益!$A:$A,增益!$F:$F,0))&gt;0,($F$10-$I$3+VLOOKUP($R77,武学奇术!$A:$ZZ,6,FALSE)+SUM(_xlfn.XLOOKUP(S77:AL77,增益!$A:$A,增益!$F:$F,0)))/200,($F$10-$I$3+VLOOKUP($R77,武学奇术!$A:$ZZ,6,FALSE)+SUM(_xlfn.XLOOKUP(S77:AL77,增益!$A:$A,增益!$F:$F,0)))/100)</f>
        <v>0.3689</v>
      </c>
      <c r="AW77" s="29" cm="1">
        <f t="array" ref="AW77">$G$10+VLOOKUP($R77,武学奇术!$A:$ZZ,7,FALSE)+SUM(_xlfn.XLOOKUP(S77:AL77,增益!$A:$A,增益!$G:$G,0))</f>
        <v>0.06</v>
      </c>
      <c r="AX77" s="23" cm="1">
        <f t="array" ref="AX77">VLOOKUP($R77,武学奇术!$A:$ZZ,8,FALSE)+SUM(_xlfn.XLOOKUP(S77:AL77,增益!$A:$A,增益!$H:$H,0))</f>
        <v>0</v>
      </c>
      <c r="AY77">
        <f t="shared" si="12"/>
        <v>0</v>
      </c>
      <c r="AZ77">
        <f t="shared" si="13"/>
        <v>0</v>
      </c>
      <c r="BA77" s="29" cm="1">
        <f t="array" ref="BA77">IF($F$11-$I$4+VLOOKUP($R77,武学奇术!$A:$ZZ,9,FALSE)+SUM(_xlfn.XLOOKUP(S77:AL77,增益!$A:$A,增益!$I:$I,0))&gt;0,($F$11-$I$4+VLOOKUP($R77,武学奇术!$A:$ZZ,9,FALSE)+SUM(_xlfn.XLOOKUP(S77:AL77,增益!$A:$A,增益!$I:$I,0)))/200,($F$11-$I$4+VLOOKUP($R77,武学奇术!$A:$ZZ,9,FALSE)+SUM(_xlfn.XLOOKUP(S77:AL77,增益!$A:$A,增益!$I:$I,0)))/100)</f>
        <v>-0.3</v>
      </c>
      <c r="BB77" s="29" cm="1">
        <f t="array" ref="BB77">$G$11+VLOOKUP($R77,武学奇术!$A:$ZZ,10,FALSE)+SUM(_xlfn.XLOOKUP(S77:AL77,增益!$A:$A,增益!$J:$J,0))</f>
        <v>0</v>
      </c>
      <c r="BC77">
        <f t="shared" si="14"/>
        <v>0</v>
      </c>
      <c r="BD77">
        <f t="shared" si="15"/>
        <v>0</v>
      </c>
      <c r="BE77" s="29" cm="1">
        <f t="array" ref="BE77">IF($F$12-$I$4+VLOOKUP($R77,武学奇术!$A:$ZZ,11,FALSE)+SUM(_xlfn.XLOOKUP(S77:AL77,增益!$A:$A,增益!$K:$K,0))&gt;0,($F$12-$I$4+VLOOKUP($R77,武学奇术!$A:$ZZ,11,FALSE)+SUM(_xlfn.XLOOKUP(S77:AL77,增益!$A:$A,增益!$K:$K,0)))/200,($F$12-$I$4+VLOOKUP($R77,武学奇术!$A:$ZZ,11,FALSE)+SUM(_xlfn.XLOOKUP(S77:AL77,增益!$A:$A,增益!$K:$K,0)))/100)</f>
        <v>-0.3</v>
      </c>
      <c r="BF77" s="29" cm="1">
        <f t="array" ref="BF77">$G$12+VLOOKUP($R77,武学奇术!$A:$ZZ,12,FALSE)+SUM(_xlfn.XLOOKUP(S77:AL77,增益!$A:$A,增益!$L:$L,0))</f>
        <v>0</v>
      </c>
      <c r="BG77">
        <f t="shared" si="16"/>
        <v>0</v>
      </c>
      <c r="BH77">
        <f t="shared" si="17"/>
        <v>0</v>
      </c>
      <c r="BI77" s="29" cm="1">
        <f t="array" ref="BI77">IF($F$13-$I$4+VLOOKUP($R77,武学奇术!$A:$ZZ,13,FALSE)+SUM(_xlfn.XLOOKUP(S77:AL77,增益!$A:$A,增益!$M:$M,0))&gt;0,($F$13-$I$4+VLOOKUP($R77,武学奇术!$A:$ZZ,13,FALSE)+SUM(_xlfn.XLOOKUP(S77:AL77,增益!$A:$A,增益!$K:$K,0)))/200,($F$13-$I$4+VLOOKUP($R77,武学奇术!$A:$ZZ,13,FALSE)+SUM(_xlfn.XLOOKUP(S77:AL77,增益!$A:$A,增益!$M:$M,0)))/100)</f>
        <v>-0.3</v>
      </c>
      <c r="BJ77" s="29" cm="1">
        <f t="array" ref="BJ77">$G$13+VLOOKUP($R77,武学奇术!$A:$ZZ,14,FALSE)+SUM(_xlfn.XLOOKUP(S77:AL77,增益!$A:$A,增益!$N:$N,0))</f>
        <v>0</v>
      </c>
      <c r="BK77">
        <f t="shared" si="18"/>
        <v>618.2</v>
      </c>
      <c r="BL77">
        <f t="shared" si="19"/>
        <v>1805</v>
      </c>
      <c r="BM77" s="29" cm="1">
        <f t="array" ref="BM77">IF($F$14-$I$4+VLOOKUP($R77,武学奇术!$A:$ZZ,15,FALSE)+SUM(_xlfn.XLOOKUP(S77:AL77,增益!$A:$A,增益!$O:$O,0))&gt;0,($F$14-$I$4+VLOOKUP($R77,武学奇术!$A:$ZZ,15,FALSE)+SUM(_xlfn.XLOOKUP(S77:AL77,增益!$A:$A,增益!$O:$O,0)))/200,($F$14-$I$4+VLOOKUP($R77,武学奇术!$A:$ZZ,15,FALSE)+SUM(_xlfn.XLOOKUP(S77:AL77,增益!$A:$A,增益!$O:$O,0)))/100)</f>
        <v>0.05</v>
      </c>
      <c r="BN77" s="29" cm="1">
        <f t="array" ref="BN77">$G$14+VLOOKUP($R77,武学奇术!$A:$ZZ,16,FALSE)+SUM(_xlfn.XLOOKUP(S77:AL77,增益!$A:$A,增益!$P:$P,0))</f>
        <v>0.21</v>
      </c>
      <c r="BO77" s="23">
        <f>MIN(IF(VLOOKUP($R77,武学奇术!$A:$ZZ,23,FALSE)=1,100%,$B$8),100%)</f>
        <v>0.9943</v>
      </c>
      <c r="BP77" s="23" cm="1">
        <f t="array" ref="BP77">IF(VLOOKUP($R77,武学奇术!$A:$ZZ,23,FALSE)=1,100%,MIN(80%,$B$9+VLOOKUP($R77,武学奇术!$A:$ZZ,17,FALSE)+SUM(_xlfn.XLOOKUP(S77:AL77,增益!$A:$A,增益!$Q:$Q,0)))+$B$11+SUM(_xlfn.XLOOKUP(S77:AL77,增益!$A:$A,增益!$U:$U,0)))*IF(VLOOKUP($R77,武学奇术!$A:$ZZ,24,FALSE)=1,0,1)</f>
        <v>0.8</v>
      </c>
      <c r="BQ77" s="23" cm="1">
        <f t="array" ref="BQ77">1+$B$13+VLOOKUP($R77,武学奇术!$A:$ZZ,18,FALSE)+SUM(_xlfn.XLOOKUP(S77:AL77,增益!$A:$A,增益!$R:$R,0))</f>
        <v>1.894</v>
      </c>
      <c r="BR77" s="23" cm="1">
        <f t="array" ref="BR77">IF(VLOOKUP($R77,武学奇术!$A:$ZZ,24,FALSE)=1,100%,MIN(40%,$B$10+VLOOKUP($R77,武学奇术!$A:$ZZ,19,FALSE)+SUM(_xlfn.XLOOKUP(S77:AL77,增益!$A:$A,增益!$S:$S,0)))+$B$12+SUM(_xlfn.XLOOKUP(S77:AL77,增益!$A:$A,增益!$V:$V,0)))*IF(VLOOKUP($R77,武学奇术!$A:$ZZ,23,FALSE)=1,0,1)</f>
        <v>0.0913</v>
      </c>
      <c r="BS77" s="23" cm="1">
        <f t="array" ref="BS77">1+$B$14+VLOOKUP($R77,武学奇术!$A:$ZZ,20,FALSE)+SUM(_xlfn.XLOOKUP(S77:AL77,增益!$A:$A,增益!$T:$T,0))</f>
        <v>1.35</v>
      </c>
      <c r="BT77" s="23">
        <f t="shared" si="20"/>
        <v>0.79544</v>
      </c>
      <c r="BU77" s="23">
        <f t="shared" si="21"/>
        <v>0.10808041</v>
      </c>
      <c r="BV77" s="23">
        <f>IF(VLOOKUP($R77,武学奇术!$A:$ZZ,22,FALSE)=1,0,(1-$BO77))*(1-$BR77)</f>
        <v>0.00517959000000003</v>
      </c>
      <c r="BW77" s="23" cm="1">
        <f t="array" ref="BW77">SUM(_xlfn.XLOOKUP(S77:AL77,增益!$A:$A,增益!$W:$W,0))+$I$5</f>
        <v>0.21</v>
      </c>
      <c r="BX77" s="23">
        <f>VLOOKUP($R77,武学奇术!$A:$ZZ,32,FALSE)</f>
        <v>0.1</v>
      </c>
      <c r="BY77" s="23" cm="1">
        <f t="array" ref="BY77">SUM(_xlfn.XLOOKUP($S77:$AL77,增益!$A:$A,增益!$X:$X,0))</f>
        <v>0</v>
      </c>
    </row>
    <row r="78" spans="2:77">
      <c r="K78" s="35">
        <f>$L78*VLOOKUP($R78,武学奇术!$A:$ZZ,31,FALSE)</f>
        <v>96883.6276922993</v>
      </c>
      <c r="L78" s="69">
        <f t="shared" si="11"/>
        <v>94983.9487179405</v>
      </c>
      <c r="M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轻击",$B$21,0))*(1+IF(VLOOKUP($R78,武学奇术!$A:$ZZ,30,FALSE)="老鼠",$B$22,0))*(1+$BW78)*(1+$BX78)</f>
        <v>102270.362876658</v>
      </c>
      <c r="N78" s="35">
        <f>(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轻击",$B$21,0))*(1+IF(VLOOKUP($R78,武学奇术!$A:$ZZ,30,FALSE)="老鼠",$B$22,0))*(1+$BW78))*(1+$BX78)</f>
        <v>82761.8976474746</v>
      </c>
      <c r="O78" s="35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轻击",$B$21,0))*(1+IF(VLOOKUP($R78,武学奇术!$A:$ZZ,30,FALSE)="老鼠",$B$22,0))*(1+$BW78)*(1+$BX78)</f>
        <v>53997.023694117</v>
      </c>
      <c r="P78" s="35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轻击",$B$21,0))*(1+IF(VLOOKUP($R78,武学奇术!$A:$ZZ,30,FALSE)="老鼠",$B$22,0))*(1+$BW78)*(1+$BX78)</f>
        <v>46688.9380197344</v>
      </c>
      <c r="Q78" s="70">
        <v>4</v>
      </c>
      <c r="R78" s="37" t="s">
        <v>106</v>
      </c>
      <c r="S78" s="37" t="s">
        <v>91</v>
      </c>
      <c r="T78" s="37" t="s">
        <v>185</v>
      </c>
      <c r="U78" s="37" t="s">
        <v>112</v>
      </c>
      <c r="V78" s="37" t="s">
        <v>113</v>
      </c>
      <c r="W78" s="37" t="s">
        <v>82</v>
      </c>
      <c r="X78" s="37" t="s">
        <v>81</v>
      </c>
      <c r="Y78" s="37" t="s">
        <v>109</v>
      </c>
      <c r="Z78" s="37" t="s">
        <v>81</v>
      </c>
      <c r="AA78" s="37" t="s">
        <v>81</v>
      </c>
      <c r="AB78" s="37" t="s">
        <v>183</v>
      </c>
      <c r="AC78" s="37" t="s">
        <v>81</v>
      </c>
      <c r="AD78" s="37" t="s">
        <v>81</v>
      </c>
      <c r="AE78" s="37" t="s">
        <v>86</v>
      </c>
      <c r="AF78" s="37" t="s">
        <v>81</v>
      </c>
      <c r="AG78" s="37" t="s">
        <v>87</v>
      </c>
      <c r="AH78" s="37" t="s">
        <v>81</v>
      </c>
      <c r="AI78" s="37" t="s">
        <v>81</v>
      </c>
      <c r="AJ78" s="37" t="s">
        <v>81</v>
      </c>
      <c r="AK78" s="37" t="s">
        <v>81</v>
      </c>
      <c r="AL78" s="37" t="s">
        <v>81</v>
      </c>
      <c r="AM78" t="str">
        <f>VLOOKUP($R78,武学奇术!$A:$ZZ,25,FALSE)</f>
        <v>绳镖</v>
      </c>
      <c r="AN78" s="23">
        <f>VLOOKUP($R78,武学奇术!$A:$ZZ,26,FALSE)</f>
        <v>0.3675</v>
      </c>
      <c r="AO78" s="24">
        <f>VLOOKUP($R78,武学奇术!$A:$ZZ,27,FALSE)*(1+IF(OR($AM78=$F$4,$AM78=$F$5),$B$23,0))</f>
        <v>0</v>
      </c>
      <c r="AP78" s="23">
        <f>VLOOKUP($R78,武学奇术!$A:$ZZ,28,FALSE)</f>
        <v>0.55125</v>
      </c>
      <c r="AQ78" s="24">
        <f>VLOOKUP($R78,武学奇术!$A:$ZZ,29,FALSE)*(1+IF(OR($AM78=$F$4,$AM78=$F$5),$B$23,0))</f>
        <v>0</v>
      </c>
      <c r="AR78" s="23" cm="1">
        <f t="array" ref="AR78">$G$3+IFERROR(VLOOKUP($AM78,$F$4:$G$7,2,FALSE),0)+VLOOKUP($R78,武学奇术!$A:$ZZ,2,FALSE)+SUM(_xlfn.XLOOKUP($S78:$AL78,增益!$A:$A,增益!$B:$B,0))</f>
        <v>1.3443</v>
      </c>
      <c r="AS78" s="23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4081.7</v>
      </c>
      <c r="AU78" cm="1">
        <f t="array" ref="AU78">$E$10*(1+$AS78)+VLOOKUP($R78,武学奇术!$A:$ZZ,4,FALSE)+SUM(_xlfn.XLOOKUP($S78:$AL78,增益!$A:$A,增益!$D:$D,0))-$I$2</f>
        <v>4081.7</v>
      </c>
      <c r="AV78" s="29" cm="1">
        <f t="array" ref="AV78">IF($F$10-$I$3+VLOOKUP($R78,武学奇术!$A:$ZZ,6,FALSE)+SUM(_xlfn.XLOOKUP(S78:AL78,增益!$A:$A,增益!$F:$F,0))&gt;0,($F$10-$I$3+VLOOKUP($R78,武学奇术!$A:$ZZ,6,FALSE)+SUM(_xlfn.XLOOKUP(S78:AL78,增益!$A:$A,增益!$F:$F,0)))/200,($F$10-$I$3+VLOOKUP($R78,武学奇术!$A:$ZZ,6,FALSE)+SUM(_xlfn.XLOOKUP(S78:AL78,增益!$A:$A,增益!$F:$F,0)))/100)</f>
        <v>0.3689</v>
      </c>
      <c r="AW78" s="29" cm="1">
        <f t="array" ref="AW78">$G$10+VLOOKUP($R78,武学奇术!$A:$ZZ,7,FALSE)+SUM(_xlfn.XLOOKUP(S78:AL78,增益!$A:$A,增益!$G:$G,0))</f>
        <v>0.27</v>
      </c>
      <c r="AX78" s="23" cm="1">
        <f t="array" ref="AX78">VLOOKUP($R78,武学奇术!$A:$ZZ,8,FALSE)+SUM(_xlfn.XLOOKUP(S78:AL78,增益!$A:$A,增益!$H:$H,0))</f>
        <v>0</v>
      </c>
      <c r="AY78">
        <f t="shared" si="12"/>
        <v>0</v>
      </c>
      <c r="AZ78">
        <f t="shared" si="13"/>
        <v>0</v>
      </c>
      <c r="BA78" s="29" cm="1">
        <f t="array" ref="BA78">IF($F$11-$I$4+VLOOKUP($R78,武学奇术!$A:$ZZ,9,FALSE)+SUM(_xlfn.XLOOKUP(S78:AL78,增益!$A:$A,增益!$I:$I,0))&gt;0,($F$11-$I$4+VLOOKUP($R78,武学奇术!$A:$ZZ,9,FALSE)+SUM(_xlfn.XLOOKUP(S78:AL78,增益!$A:$A,增益!$I:$I,0)))/200,($F$11-$I$4+VLOOKUP($R78,武学奇术!$A:$ZZ,9,FALSE)+SUM(_xlfn.XLOOKUP(S78:AL78,增益!$A:$A,增益!$I:$I,0)))/100)</f>
        <v>-0.3</v>
      </c>
      <c r="BB78" s="29" cm="1">
        <f t="array" ref="BB78">$G$11+VLOOKUP($R78,武学奇术!$A:$ZZ,10,FALSE)+SUM(_xlfn.XLOOKUP(S78:AL78,增益!$A:$A,增益!$J:$J,0))</f>
        <v>0</v>
      </c>
      <c r="BC78">
        <f t="shared" si="14"/>
        <v>0</v>
      </c>
      <c r="BD78">
        <f t="shared" si="15"/>
        <v>0</v>
      </c>
      <c r="BE78" s="29" cm="1">
        <f t="array" ref="BE78">IF($F$12-$I$4+VLOOKUP($R78,武学奇术!$A:$ZZ,11,FALSE)+SUM(_xlfn.XLOOKUP(S78:AL78,增益!$A:$A,增益!$K:$K,0))&gt;0,($F$12-$I$4+VLOOKUP($R78,武学奇术!$A:$ZZ,11,FALSE)+SUM(_xlfn.XLOOKUP(S78:AL78,增益!$A:$A,增益!$K:$K,0)))/200,($F$12-$I$4+VLOOKUP($R78,武学奇术!$A:$ZZ,11,FALSE)+SUM(_xlfn.XLOOKUP(S78:AL78,增益!$A:$A,增益!$K:$K,0)))/100)</f>
        <v>-0.3</v>
      </c>
      <c r="BF78" s="29" cm="1">
        <f t="array" ref="BF78">$G$12+VLOOKUP($R78,武学奇术!$A:$ZZ,12,FALSE)+SUM(_xlfn.XLOOKUP(S78:AL78,增益!$A:$A,增益!$L:$L,0))</f>
        <v>0</v>
      </c>
      <c r="BG78">
        <f t="shared" si="16"/>
        <v>0</v>
      </c>
      <c r="BH78">
        <f t="shared" si="17"/>
        <v>0</v>
      </c>
      <c r="BI78" s="29" cm="1">
        <f t="array" ref="BI78">IF($F$13-$I$4+VLOOKUP($R78,武学奇术!$A:$ZZ,13,FALSE)+SUM(_xlfn.XLOOKUP(S78:AL78,增益!$A:$A,增益!$M:$M,0))&gt;0,($F$13-$I$4+VLOOKUP($R78,武学奇术!$A:$ZZ,13,FALSE)+SUM(_xlfn.XLOOKUP(S78:AL78,增益!$A:$A,增益!$K:$K,0)))/200,($F$13-$I$4+VLOOKUP($R78,武学奇术!$A:$ZZ,13,FALSE)+SUM(_xlfn.XLOOKUP(S78:AL78,增益!$A:$A,增益!$M:$M,0)))/100)</f>
        <v>-0.3</v>
      </c>
      <c r="BJ78" s="29" cm="1">
        <f t="array" ref="BJ78">$G$13+VLOOKUP($R78,武学奇术!$A:$ZZ,14,FALSE)+SUM(_xlfn.XLOOKUP(S78:AL78,增益!$A:$A,增益!$N:$N,0))</f>
        <v>0</v>
      </c>
      <c r="BK78">
        <f t="shared" si="18"/>
        <v>618.2</v>
      </c>
      <c r="BL78">
        <f t="shared" si="19"/>
        <v>1805</v>
      </c>
      <c r="BM78" s="29" cm="1">
        <f t="array" ref="BM78">IF($F$14-$I$4+VLOOKUP($R78,武学奇术!$A:$ZZ,15,FALSE)+SUM(_xlfn.XLOOKUP(S78:AL78,增益!$A:$A,增益!$O:$O,0))&gt;0,($F$14-$I$4+VLOOKUP($R78,武学奇术!$A:$ZZ,15,FALSE)+SUM(_xlfn.XLOOKUP(S78:AL78,增益!$A:$A,增益!$O:$O,0)))/200,($F$14-$I$4+VLOOKUP($R78,武学奇术!$A:$ZZ,15,FALSE)+SUM(_xlfn.XLOOKUP(S78:AL78,增益!$A:$A,增益!$O:$O,0)))/100)</f>
        <v>0.05</v>
      </c>
      <c r="BN78" s="29" cm="1">
        <f t="array" ref="BN78">$G$14+VLOOKUP($R78,武学奇术!$A:$ZZ,16,FALSE)+SUM(_xlfn.XLOOKUP(S78:AL78,增益!$A:$A,增益!$P:$P,0))</f>
        <v>0.42</v>
      </c>
      <c r="BO78" s="23">
        <f>MIN(IF(VLOOKUP($R78,武学奇术!$A:$ZZ,23,FALSE)=1,100%,$B$8),100%)</f>
        <v>0.9943</v>
      </c>
      <c r="BP78" s="23" cm="1">
        <f t="array" ref="BP78">IF(VLOOKUP($R78,武学奇术!$A:$ZZ,23,FALSE)=1,100%,MIN(80%,$B$9+VLOOKUP($R78,武学奇术!$A:$ZZ,17,FALSE)+SUM(_xlfn.XLOOKUP(S78:AL78,增益!$A:$A,增益!$Q:$Q,0)))+$B$11+SUM(_xlfn.XLOOKUP(S78:AL78,增益!$A:$A,增益!$U:$U,0)))*IF(VLOOKUP($R78,武学奇术!$A:$ZZ,24,FALSE)=1,0,1)</f>
        <v>0.8</v>
      </c>
      <c r="BQ78" s="23" cm="1">
        <f t="array" ref="BQ78">1+$B$13+VLOOKUP($R78,武学奇术!$A:$ZZ,18,FALSE)+SUM(_xlfn.XLOOKUP(S78:AL78,增益!$A:$A,增益!$R:$R,0))</f>
        <v>1.894</v>
      </c>
      <c r="BR78" s="23" cm="1">
        <f t="array" ref="BR78">IF(VLOOKUP($R78,武学奇术!$A:$ZZ,24,FALSE)=1,100%,MIN(40%,$B$10+VLOOKUP($R78,武学奇术!$A:$ZZ,19,FALSE)+SUM(_xlfn.XLOOKUP(S78:AL78,增益!$A:$A,增益!$S:$S,0)))+$B$12+SUM(_xlfn.XLOOKUP(S78:AL78,增益!$A:$A,增益!$V:$V,0)))*IF(VLOOKUP($R78,武学奇术!$A:$ZZ,23,FALSE)=1,0,1)</f>
        <v>0.0913</v>
      </c>
      <c r="BS78" s="23" cm="1">
        <f t="array" ref="BS78">1+$B$14+VLOOKUP($R78,武学奇术!$A:$ZZ,20,FALSE)+SUM(_xlfn.XLOOKUP(S78:AL78,增益!$A:$A,增益!$T:$T,0))</f>
        <v>1.35</v>
      </c>
      <c r="BT78" s="23">
        <f t="shared" si="20"/>
        <v>0.79544</v>
      </c>
      <c r="BU78" s="23">
        <f t="shared" si="21"/>
        <v>0.10808041</v>
      </c>
      <c r="BV78" s="23">
        <f>IF(VLOOKUP($R78,武学奇术!$A:$ZZ,22,FALSE)=1,0,(1-$BO78))*(1-$BR78)</f>
        <v>0.00517959000000003</v>
      </c>
      <c r="BW78" s="23" cm="1">
        <f t="array" ref="BW78">SUM(_xlfn.XLOOKUP(S78:AL78,增益!$A:$A,增益!$W:$W,0))+$I$5</f>
        <v>0.21</v>
      </c>
      <c r="BX78" s="23">
        <f>VLOOKUP($R78,武学奇术!$A:$ZZ,32,FALSE)</f>
        <v>0</v>
      </c>
      <c r="BY78" s="23" cm="1">
        <f t="array" ref="BY78">SUM(_xlfn.XLOOKUP($S78:$AL78,增益!$A:$A,增益!$X:$X,0))</f>
        <v>0</v>
      </c>
    </row>
    <row r="79" spans="2:77">
      <c r="K79" s="35">
        <f>$L79*VLOOKUP($R79,武学奇术!$A:$ZZ,31,FALSE)</f>
        <v>1646.5944801329</v>
      </c>
      <c r="L79" s="58">
        <f t="shared" si="11"/>
        <v>1614.30831385579</v>
      </c>
      <c r="M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轻击",$B$21,0))*(1+IF(VLOOKUP($R79,武学奇术!$A:$ZZ,30,FALSE)="老鼠",$B$22,0))*(1+$BW79)*(1+$BX79)</f>
        <v>1740.01784300786</v>
      </c>
      <c r="N79" s="35">
        <f>(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轻击",$B$21,0))*(1+IF(VLOOKUP($R79,武学奇术!$A:$ZZ,30,FALSE)="老鼠",$B$22,0))*(1+$BW79))*(1+$BX79)</f>
        <v>1388.21783611058</v>
      </c>
      <c r="O79" s="35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轻击",$B$21,0))*(1+IF(VLOOKUP($R79,武学奇术!$A:$ZZ,30,FALSE)="老鼠",$B$22,0))*(1+$BW79)*(1+$BX79)</f>
        <v>918.700022707421</v>
      </c>
      <c r="P79" s="35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轻击",$B$21,0))*(1+IF(VLOOKUP($R79,武学奇术!$A:$ZZ,30,FALSE)="老鼠",$B$22,0))*(1+$BW79)*(1+$BX79)</f>
        <v>809.090537184785</v>
      </c>
      <c r="Q79" s="36">
        <v>1</v>
      </c>
      <c r="R79" s="37" t="s">
        <v>102</v>
      </c>
      <c r="S79" s="37" t="s">
        <v>91</v>
      </c>
      <c r="T79" s="37" t="s">
        <v>185</v>
      </c>
      <c r="U79" s="37" t="s">
        <v>81</v>
      </c>
      <c r="V79" s="37" t="s">
        <v>81</v>
      </c>
      <c r="W79" s="37" t="s">
        <v>82</v>
      </c>
      <c r="X79" s="37" t="s">
        <v>81</v>
      </c>
      <c r="Y79" s="37" t="s">
        <v>81</v>
      </c>
      <c r="Z79" s="37" t="s">
        <v>81</v>
      </c>
      <c r="AA79" s="37" t="s">
        <v>81</v>
      </c>
      <c r="AB79" s="37" t="s">
        <v>183</v>
      </c>
      <c r="AC79" s="37" t="s">
        <v>81</v>
      </c>
      <c r="AD79" s="37" t="s">
        <v>81</v>
      </c>
      <c r="AE79" s="37" t="s">
        <v>86</v>
      </c>
      <c r="AF79" s="37" t="s">
        <v>81</v>
      </c>
      <c r="AG79" s="37" t="s">
        <v>87</v>
      </c>
      <c r="AH79" s="37" t="s">
        <v>81</v>
      </c>
      <c r="AI79" s="37" t="s">
        <v>81</v>
      </c>
      <c r="AJ79" s="37" t="s">
        <v>81</v>
      </c>
      <c r="AK79" s="37" t="s">
        <v>81</v>
      </c>
      <c r="AL79" s="37" t="s">
        <v>81</v>
      </c>
      <c r="AM79" t="str">
        <f>VLOOKUP($R79,武学奇术!$A:$ZZ,25,FALSE)</f>
        <v>绳镖</v>
      </c>
      <c r="AN79" s="23">
        <f>VLOOKUP($R79,武学奇术!$A:$ZZ,26,FALSE)</f>
        <v>0.0621</v>
      </c>
      <c r="AO79" s="24">
        <f>VLOOKUP($R79,武学奇术!$A:$ZZ,27,FALSE)*(1+IF(OR($AM79=$F$4,$AM79=$F$5),$B$23,0))</f>
        <v>27.2</v>
      </c>
      <c r="AP79" s="23">
        <f>VLOOKUP($R79,武学奇术!$A:$ZZ,28,FALSE)</f>
        <v>0.0932</v>
      </c>
      <c r="AQ79" s="24">
        <f>VLOOKUP($R79,武学奇术!$A:$ZZ,29,FALSE)*(1+IF(OR($AM79=$F$4,$AM79=$F$5),$B$23,0))</f>
        <v>14.4</v>
      </c>
      <c r="AR79" s="23" cm="1">
        <f t="array" ref="AR79">$G$3+IFERROR(VLOOKUP($AM79,$F$4:$G$7,2,FALSE),0)+VLOOKUP($R79,武学奇术!$A:$ZZ,2,FALSE)+SUM(_xlfn.XLOOKUP($S79:$AL79,增益!$A:$A,增益!$B:$B,0))</f>
        <v>0.4243</v>
      </c>
      <c r="AS79" s="23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4013</v>
      </c>
      <c r="AU79" cm="1">
        <f t="array" ref="AU79">$E$10*(1+$AS79)+VLOOKUP($R79,武学奇术!$A:$ZZ,4,FALSE)+SUM(_xlfn.XLOOKUP($S79:$AL79,增益!$A:$A,增益!$D:$D,0))-$I$2</f>
        <v>4013</v>
      </c>
      <c r="AV79" s="29" cm="1">
        <f t="array" ref="AV79">IF($F$10-$I$3+VLOOKUP($R79,武学奇术!$A:$ZZ,6,FALSE)+SUM(_xlfn.XLOOKUP(S79:AL79,增益!$A:$A,增益!$F:$F,0))&gt;0,($F$10-$I$3+VLOOKUP($R79,武学奇术!$A:$ZZ,6,FALSE)+SUM(_xlfn.XLOOKUP(S79:AL79,增益!$A:$A,增益!$F:$F,0)))/200,($F$10-$I$3+VLOOKUP($R79,武学奇术!$A:$ZZ,6,FALSE)+SUM(_xlfn.XLOOKUP(S79:AL79,增益!$A:$A,增益!$F:$F,0)))/100)</f>
        <v>0.3689</v>
      </c>
      <c r="AW79" s="29" cm="1">
        <f t="array" ref="AW79">$G$10+VLOOKUP($R79,武学奇术!$A:$ZZ,7,FALSE)+SUM(_xlfn.XLOOKUP(S79:AL79,增益!$A:$A,增益!$G:$G,0))</f>
        <v>0</v>
      </c>
      <c r="AX79" s="23" cm="1">
        <f t="array" ref="AX79">VLOOKUP($R79,武学奇术!$A:$ZZ,8,FALSE)+SUM(_xlfn.XLOOKUP(S79:AL79,增益!$A:$A,增益!$H:$H,0))</f>
        <v>0</v>
      </c>
      <c r="AY79">
        <f t="shared" si="12"/>
        <v>0</v>
      </c>
      <c r="AZ79">
        <f t="shared" si="13"/>
        <v>0</v>
      </c>
      <c r="BA79" s="29" cm="1">
        <f t="array" ref="BA79">IF($F$11-$I$4+VLOOKUP($R79,武学奇术!$A:$ZZ,9,FALSE)+SUM(_xlfn.XLOOKUP(S79:AL79,增益!$A:$A,增益!$I:$I,0))&gt;0,($F$11-$I$4+VLOOKUP($R79,武学奇术!$A:$ZZ,9,FALSE)+SUM(_xlfn.XLOOKUP(S79:AL79,增益!$A:$A,增益!$I:$I,0)))/200,($F$11-$I$4+VLOOKUP($R79,武学奇术!$A:$ZZ,9,FALSE)+SUM(_xlfn.XLOOKUP(S79:AL79,增益!$A:$A,增益!$I:$I,0)))/100)</f>
        <v>-0.3</v>
      </c>
      <c r="BB79" s="29" cm="1">
        <f t="array" ref="BB79">$G$11+VLOOKUP($R79,武学奇术!$A:$ZZ,10,FALSE)+SUM(_xlfn.XLOOKUP(S79:AL79,增益!$A:$A,增益!$J:$J,0))</f>
        <v>0</v>
      </c>
      <c r="BC79">
        <f t="shared" si="14"/>
        <v>0</v>
      </c>
      <c r="BD79">
        <f t="shared" si="15"/>
        <v>0</v>
      </c>
      <c r="BE79" s="29" cm="1">
        <f t="array" ref="BE79">IF($F$12-$I$4+VLOOKUP($R79,武学奇术!$A:$ZZ,11,FALSE)+SUM(_xlfn.XLOOKUP(S79:AL79,增益!$A:$A,增益!$K:$K,0))&gt;0,($F$12-$I$4+VLOOKUP($R79,武学奇术!$A:$ZZ,11,FALSE)+SUM(_xlfn.XLOOKUP(S79:AL79,增益!$A:$A,增益!$K:$K,0)))/200,($F$12-$I$4+VLOOKUP($R79,武学奇术!$A:$ZZ,11,FALSE)+SUM(_xlfn.XLOOKUP(S79:AL79,增益!$A:$A,增益!$K:$K,0)))/100)</f>
        <v>-0.3</v>
      </c>
      <c r="BF79" s="29" cm="1">
        <f t="array" ref="BF79">$G$12+VLOOKUP($R79,武学奇术!$A:$ZZ,12,FALSE)+SUM(_xlfn.XLOOKUP(S79:AL79,增益!$A:$A,增益!$L:$L,0))</f>
        <v>0</v>
      </c>
      <c r="BG79">
        <f t="shared" si="16"/>
        <v>0</v>
      </c>
      <c r="BH79">
        <f t="shared" si="17"/>
        <v>0</v>
      </c>
      <c r="BI79" s="29" cm="1">
        <f t="array" ref="BI79">IF($F$13-$I$4+VLOOKUP($R79,武学奇术!$A:$ZZ,13,FALSE)+SUM(_xlfn.XLOOKUP(S79:AL79,增益!$A:$A,增益!$M:$M,0))&gt;0,($F$13-$I$4+VLOOKUP($R79,武学奇术!$A:$ZZ,13,FALSE)+SUM(_xlfn.XLOOKUP(S79:AL79,增益!$A:$A,增益!$K:$K,0)))/200,($F$13-$I$4+VLOOKUP($R79,武学奇术!$A:$ZZ,13,FALSE)+SUM(_xlfn.XLOOKUP(S79:AL79,增益!$A:$A,增益!$M:$M,0)))/100)</f>
        <v>-0.3</v>
      </c>
      <c r="BJ79" s="29" cm="1">
        <f t="array" ref="BJ79">$G$13+VLOOKUP($R79,武学奇术!$A:$ZZ,14,FALSE)+SUM(_xlfn.XLOOKUP(S79:AL79,增益!$A:$A,增益!$N:$N,0))</f>
        <v>0</v>
      </c>
      <c r="BK79">
        <f t="shared" si="18"/>
        <v>618.2</v>
      </c>
      <c r="BL79">
        <f t="shared" si="19"/>
        <v>1805</v>
      </c>
      <c r="BM79" s="29" cm="1">
        <f t="array" ref="BM79">IF($F$14-$I$4+VLOOKUP($R79,武学奇术!$A:$ZZ,15,FALSE)+SUM(_xlfn.XLOOKUP(S79:AL79,增益!$A:$A,增益!$O:$O,0))&gt;0,($F$14-$I$4+VLOOKUP($R79,武学奇术!$A:$ZZ,15,FALSE)+SUM(_xlfn.XLOOKUP(S79:AL79,增益!$A:$A,增益!$O:$O,0)))/200,($F$14-$I$4+VLOOKUP($R79,武学奇术!$A:$ZZ,15,FALSE)+SUM(_xlfn.XLOOKUP(S79:AL79,增益!$A:$A,增益!$O:$O,0)))/100)</f>
        <v>0</v>
      </c>
      <c r="BN79" s="29" cm="1">
        <f t="array" ref="BN79">$G$14+VLOOKUP($R79,武学奇术!$A:$ZZ,16,FALSE)+SUM(_xlfn.XLOOKUP(S79:AL79,增益!$A:$A,增益!$P:$P,0))</f>
        <v>0.15</v>
      </c>
      <c r="BO79" s="23">
        <f>MIN(IF(VLOOKUP($R79,武学奇术!$A:$ZZ,23,FALSE)=1,100%,$B$8),100%)</f>
        <v>0.9943</v>
      </c>
      <c r="BP79" s="23" cm="1">
        <f t="array" ref="BP79">IF(VLOOKUP($R79,武学奇术!$A:$ZZ,23,FALSE)=1,100%,MIN(80%,$B$9+VLOOKUP($R79,武学奇术!$A:$ZZ,17,FALSE)+SUM(_xlfn.XLOOKUP(S79:AL79,增益!$A:$A,增益!$Q:$Q,0)))+$B$11+SUM(_xlfn.XLOOKUP(S79:AL79,增益!$A:$A,增益!$U:$U,0)))*IF(VLOOKUP($R79,武学奇术!$A:$ZZ,24,FALSE)=1,0,1)</f>
        <v>0.8</v>
      </c>
      <c r="BQ79" s="23" cm="1">
        <f t="array" ref="BQ79">1+$B$13+VLOOKUP($R79,武学奇术!$A:$ZZ,18,FALSE)+SUM(_xlfn.XLOOKUP(S79:AL79,增益!$A:$A,增益!$R:$R,0))</f>
        <v>1.894</v>
      </c>
      <c r="BR79" s="23" cm="1">
        <f t="array" ref="BR79">IF(VLOOKUP($R79,武学奇术!$A:$ZZ,24,FALSE)=1,100%,MIN(40%,$B$10+VLOOKUP($R79,武学奇术!$A:$ZZ,19,FALSE)+SUM(_xlfn.XLOOKUP(S79:AL79,增益!$A:$A,增益!$S:$S,0)))+$B$12+SUM(_xlfn.XLOOKUP(S79:AL79,增益!$A:$A,增益!$V:$V,0)))*IF(VLOOKUP($R79,武学奇术!$A:$ZZ,23,FALSE)=1,0,1)</f>
        <v>0.0913</v>
      </c>
      <c r="BS79" s="23" cm="1">
        <f t="array" ref="BS79">1+$B$14+VLOOKUP($R79,武学奇术!$A:$ZZ,20,FALSE)+SUM(_xlfn.XLOOKUP(S79:AL79,增益!$A:$A,增益!$T:$T,0))</f>
        <v>1.35</v>
      </c>
      <c r="BT79" s="23">
        <f t="shared" si="20"/>
        <v>0.79544</v>
      </c>
      <c r="BU79" s="23">
        <f t="shared" si="21"/>
        <v>0.10808041</v>
      </c>
      <c r="BV79" s="23">
        <f>IF(VLOOKUP($R79,武学奇术!$A:$ZZ,22,FALSE)=1,0,(1-$BO79))*(1-$BR79)</f>
        <v>0.00517959000000003</v>
      </c>
      <c r="BW79" s="23" cm="1">
        <f t="array" ref="BW79">SUM(_xlfn.XLOOKUP(S79:AL79,增益!$A:$A,增益!$W:$W,0))+$I$5</f>
        <v>0.21</v>
      </c>
      <c r="BX79" s="23">
        <f>VLOOKUP($R79,武学奇术!$A:$ZZ,32,FALSE)</f>
        <v>0</v>
      </c>
      <c r="BY79" s="23" cm="1">
        <f t="array" ref="BY79">SUM(_xlfn.XLOOKUP($S79:$AL79,增益!$A:$A,增益!$X:$X,0))</f>
        <v>0</v>
      </c>
    </row>
    <row r="80" spans="2:77">
      <c r="K80" s="35">
        <f>$L80*VLOOKUP($R80,武学奇术!$A:$ZZ,31,FALSE)</f>
        <v>48441.8138461496</v>
      </c>
      <c r="L80" s="69">
        <f t="shared" si="11"/>
        <v>47491.9743589702</v>
      </c>
      <c r="M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轻击",$B$21,0))*(1+IF(VLOOKUP($R80,武学奇术!$A:$ZZ,30,FALSE)="老鼠",$B$22,0))*(1+$BW80)*(1+$BX80)</f>
        <v>51135.1814383288</v>
      </c>
      <c r="N80" s="35">
        <f>(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轻击",$B$21,0))*(1+IF(VLOOKUP($R80,武学奇术!$A:$ZZ,30,FALSE)="老鼠",$B$22,0))*(1+$BW80))*(1+$BX80)</f>
        <v>41380.9488237373</v>
      </c>
      <c r="O80" s="35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轻击",$B$21,0))*(1+IF(VLOOKUP($R80,武学奇术!$A:$ZZ,30,FALSE)="老鼠",$B$22,0))*(1+$BW80)*(1+$BX80)</f>
        <v>26998.5118470585</v>
      </c>
      <c r="P80" s="35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轻击",$B$21,0))*(1+IF(VLOOKUP($R80,武学奇术!$A:$ZZ,30,FALSE)="老鼠",$B$22,0))*(1+$BW80)*(1+$BX80)</f>
        <v>23344.4690098672</v>
      </c>
      <c r="Q80" s="70">
        <v>2</v>
      </c>
      <c r="R80" s="37" t="s">
        <v>106</v>
      </c>
      <c r="S80" s="37" t="s">
        <v>91</v>
      </c>
      <c r="T80" s="37" t="s">
        <v>185</v>
      </c>
      <c r="U80" s="37" t="s">
        <v>112</v>
      </c>
      <c r="V80" s="37" t="s">
        <v>113</v>
      </c>
      <c r="W80" s="37" t="s">
        <v>82</v>
      </c>
      <c r="X80" s="37" t="s">
        <v>81</v>
      </c>
      <c r="Y80" s="37" t="s">
        <v>109</v>
      </c>
      <c r="Z80" s="37" t="s">
        <v>81</v>
      </c>
      <c r="AA80" s="37" t="s">
        <v>81</v>
      </c>
      <c r="AB80" s="37" t="s">
        <v>183</v>
      </c>
      <c r="AC80" s="37" t="s">
        <v>81</v>
      </c>
      <c r="AD80" s="37" t="s">
        <v>81</v>
      </c>
      <c r="AE80" s="37" t="s">
        <v>86</v>
      </c>
      <c r="AF80" s="37" t="s">
        <v>81</v>
      </c>
      <c r="AG80" s="37" t="s">
        <v>87</v>
      </c>
      <c r="AH80" s="37" t="s">
        <v>81</v>
      </c>
      <c r="AI80" s="37" t="s">
        <v>81</v>
      </c>
      <c r="AJ80" s="37" t="s">
        <v>81</v>
      </c>
      <c r="AK80" s="37" t="s">
        <v>81</v>
      </c>
      <c r="AL80" s="37" t="s">
        <v>81</v>
      </c>
      <c r="AM80" t="str">
        <f>VLOOKUP($R80,武学奇术!$A:$ZZ,25,FALSE)</f>
        <v>绳镖</v>
      </c>
      <c r="AN80" s="23">
        <f>VLOOKUP($R80,武学奇术!$A:$ZZ,26,FALSE)</f>
        <v>0.3675</v>
      </c>
      <c r="AO80" s="24">
        <f>VLOOKUP($R80,武学奇术!$A:$ZZ,27,FALSE)*(1+IF(OR($AM80=$F$4,$AM80=$F$5),$B$23,0))</f>
        <v>0</v>
      </c>
      <c r="AP80" s="23">
        <f>VLOOKUP($R80,武学奇术!$A:$ZZ,28,FALSE)</f>
        <v>0.55125</v>
      </c>
      <c r="AQ80" s="24">
        <f>VLOOKUP($R80,武学奇术!$A:$ZZ,29,FALSE)*(1+IF(OR($AM80=$F$4,$AM80=$F$5),$B$23,0))</f>
        <v>0</v>
      </c>
      <c r="AR80" s="23" cm="1">
        <f t="array" ref="AR80">$G$3+IFERROR(VLOOKUP($AM80,$F$4:$G$7,2,FALSE),0)+VLOOKUP($R80,武学奇术!$A:$ZZ,2,FALSE)+SUM(_xlfn.XLOOKUP($S80:$AL80,增益!$A:$A,增益!$B:$B,0))</f>
        <v>1.3443</v>
      </c>
      <c r="AS80" s="23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4081.7</v>
      </c>
      <c r="AU80" cm="1">
        <f t="array" ref="AU80">$E$10*(1+$AS80)+VLOOKUP($R80,武学奇术!$A:$ZZ,4,FALSE)+SUM(_xlfn.XLOOKUP($S80:$AL80,增益!$A:$A,增益!$D:$D,0))-$I$2</f>
        <v>4081.7</v>
      </c>
      <c r="AV80" s="29" cm="1">
        <f t="array" ref="AV80">IF($F$10-$I$3+VLOOKUP($R80,武学奇术!$A:$ZZ,6,FALSE)+SUM(_xlfn.XLOOKUP(S80:AL80,增益!$A:$A,增益!$F:$F,0))&gt;0,($F$10-$I$3+VLOOKUP($R80,武学奇术!$A:$ZZ,6,FALSE)+SUM(_xlfn.XLOOKUP(S80:AL80,增益!$A:$A,增益!$F:$F,0)))/200,($F$10-$I$3+VLOOKUP($R80,武学奇术!$A:$ZZ,6,FALSE)+SUM(_xlfn.XLOOKUP(S80:AL80,增益!$A:$A,增益!$F:$F,0)))/100)</f>
        <v>0.3689</v>
      </c>
      <c r="AW80" s="29" cm="1">
        <f t="array" ref="AW80">$G$10+VLOOKUP($R80,武学奇术!$A:$ZZ,7,FALSE)+SUM(_xlfn.XLOOKUP(S80:AL80,增益!$A:$A,增益!$G:$G,0))</f>
        <v>0.27</v>
      </c>
      <c r="AX80" s="23" cm="1">
        <f t="array" ref="AX80">VLOOKUP($R80,武学奇术!$A:$ZZ,8,FALSE)+SUM(_xlfn.XLOOKUP(S80:AL80,增益!$A:$A,增益!$H:$H,0))</f>
        <v>0</v>
      </c>
      <c r="AY80">
        <f t="shared" si="12"/>
        <v>0</v>
      </c>
      <c r="AZ80">
        <f t="shared" si="13"/>
        <v>0</v>
      </c>
      <c r="BA80" s="29" cm="1">
        <f t="array" ref="BA80">IF($F$11-$I$4+VLOOKUP($R80,武学奇术!$A:$ZZ,9,FALSE)+SUM(_xlfn.XLOOKUP(S80:AL80,增益!$A:$A,增益!$I:$I,0))&gt;0,($F$11-$I$4+VLOOKUP($R80,武学奇术!$A:$ZZ,9,FALSE)+SUM(_xlfn.XLOOKUP(S80:AL80,增益!$A:$A,增益!$I:$I,0)))/200,($F$11-$I$4+VLOOKUP($R80,武学奇术!$A:$ZZ,9,FALSE)+SUM(_xlfn.XLOOKUP(S80:AL80,增益!$A:$A,增益!$I:$I,0)))/100)</f>
        <v>-0.3</v>
      </c>
      <c r="BB80" s="29" cm="1">
        <f t="array" ref="BB80">$G$11+VLOOKUP($R80,武学奇术!$A:$ZZ,10,FALSE)+SUM(_xlfn.XLOOKUP(S80:AL80,增益!$A:$A,增益!$J:$J,0))</f>
        <v>0</v>
      </c>
      <c r="BC80">
        <f t="shared" si="14"/>
        <v>0</v>
      </c>
      <c r="BD80">
        <f t="shared" si="15"/>
        <v>0</v>
      </c>
      <c r="BE80" s="29" cm="1">
        <f t="array" ref="BE80">IF($F$12-$I$4+VLOOKUP($R80,武学奇术!$A:$ZZ,11,FALSE)+SUM(_xlfn.XLOOKUP(S80:AL80,增益!$A:$A,增益!$K:$K,0))&gt;0,($F$12-$I$4+VLOOKUP($R80,武学奇术!$A:$ZZ,11,FALSE)+SUM(_xlfn.XLOOKUP(S80:AL80,增益!$A:$A,增益!$K:$K,0)))/200,($F$12-$I$4+VLOOKUP($R80,武学奇术!$A:$ZZ,11,FALSE)+SUM(_xlfn.XLOOKUP(S80:AL80,增益!$A:$A,增益!$K:$K,0)))/100)</f>
        <v>-0.3</v>
      </c>
      <c r="BF80" s="29" cm="1">
        <f t="array" ref="BF80">$G$12+VLOOKUP($R80,武学奇术!$A:$ZZ,12,FALSE)+SUM(_xlfn.XLOOKUP(S80:AL80,增益!$A:$A,增益!$L:$L,0))</f>
        <v>0</v>
      </c>
      <c r="BG80">
        <f t="shared" si="16"/>
        <v>0</v>
      </c>
      <c r="BH80">
        <f t="shared" si="17"/>
        <v>0</v>
      </c>
      <c r="BI80" s="29" cm="1">
        <f t="array" ref="BI80">IF($F$13-$I$4+VLOOKUP($R80,武学奇术!$A:$ZZ,13,FALSE)+SUM(_xlfn.XLOOKUP(S80:AL80,增益!$A:$A,增益!$M:$M,0))&gt;0,($F$13-$I$4+VLOOKUP($R80,武学奇术!$A:$ZZ,13,FALSE)+SUM(_xlfn.XLOOKUP(S80:AL80,增益!$A:$A,增益!$K:$K,0)))/200,($F$13-$I$4+VLOOKUP($R80,武学奇术!$A:$ZZ,13,FALSE)+SUM(_xlfn.XLOOKUP(S80:AL80,增益!$A:$A,增益!$M:$M,0)))/100)</f>
        <v>-0.3</v>
      </c>
      <c r="BJ80" s="29" cm="1">
        <f t="array" ref="BJ80">$G$13+VLOOKUP($R80,武学奇术!$A:$ZZ,14,FALSE)+SUM(_xlfn.XLOOKUP(S80:AL80,增益!$A:$A,增益!$N:$N,0))</f>
        <v>0</v>
      </c>
      <c r="BK80">
        <f t="shared" si="18"/>
        <v>618.2</v>
      </c>
      <c r="BL80">
        <f t="shared" si="19"/>
        <v>1805</v>
      </c>
      <c r="BM80" s="29" cm="1">
        <f t="array" ref="BM80">IF($F$14-$I$4+VLOOKUP($R80,武学奇术!$A:$ZZ,15,FALSE)+SUM(_xlfn.XLOOKUP(S80:AL80,增益!$A:$A,增益!$O:$O,0))&gt;0,($F$14-$I$4+VLOOKUP($R80,武学奇术!$A:$ZZ,15,FALSE)+SUM(_xlfn.XLOOKUP(S80:AL80,增益!$A:$A,增益!$O:$O,0)))/200,($F$14-$I$4+VLOOKUP($R80,武学奇术!$A:$ZZ,15,FALSE)+SUM(_xlfn.XLOOKUP(S80:AL80,增益!$A:$A,增益!$O:$O,0)))/100)</f>
        <v>0.05</v>
      </c>
      <c r="BN80" s="29" cm="1">
        <f t="array" ref="BN80">$G$14+VLOOKUP($R80,武学奇术!$A:$ZZ,16,FALSE)+SUM(_xlfn.XLOOKUP(S80:AL80,增益!$A:$A,增益!$P:$P,0))</f>
        <v>0.42</v>
      </c>
      <c r="BO80" s="23">
        <f>MIN(IF(VLOOKUP($R80,武学奇术!$A:$ZZ,23,FALSE)=1,100%,$B$8),100%)</f>
        <v>0.9943</v>
      </c>
      <c r="BP80" s="23" cm="1">
        <f t="array" ref="BP80">IF(VLOOKUP($R80,武学奇术!$A:$ZZ,23,FALSE)=1,100%,MIN(80%,$B$9+VLOOKUP($R80,武学奇术!$A:$ZZ,17,FALSE)+SUM(_xlfn.XLOOKUP(S80:AL80,增益!$A:$A,增益!$Q:$Q,0)))+$B$11+SUM(_xlfn.XLOOKUP(S80:AL80,增益!$A:$A,增益!$U:$U,0)))*IF(VLOOKUP($R80,武学奇术!$A:$ZZ,24,FALSE)=1,0,1)</f>
        <v>0.8</v>
      </c>
      <c r="BQ80" s="23" cm="1">
        <f t="array" ref="BQ80">1+$B$13+VLOOKUP($R80,武学奇术!$A:$ZZ,18,FALSE)+SUM(_xlfn.XLOOKUP(S80:AL80,增益!$A:$A,增益!$R:$R,0))</f>
        <v>1.894</v>
      </c>
      <c r="BR80" s="23" cm="1">
        <f t="array" ref="BR80">IF(VLOOKUP($R80,武学奇术!$A:$ZZ,24,FALSE)=1,100%,MIN(40%,$B$10+VLOOKUP($R80,武学奇术!$A:$ZZ,19,FALSE)+SUM(_xlfn.XLOOKUP(S80:AL80,增益!$A:$A,增益!$S:$S,0)))+$B$12+SUM(_xlfn.XLOOKUP(S80:AL80,增益!$A:$A,增益!$V:$V,0)))*IF(VLOOKUP($R80,武学奇术!$A:$ZZ,23,FALSE)=1,0,1)</f>
        <v>0.0913</v>
      </c>
      <c r="BS80" s="23" cm="1">
        <f t="array" ref="BS80">1+$B$14+VLOOKUP($R80,武学奇术!$A:$ZZ,20,FALSE)+SUM(_xlfn.XLOOKUP(S80:AL80,增益!$A:$A,增益!$T:$T,0))</f>
        <v>1.35</v>
      </c>
      <c r="BT80" s="23">
        <f t="shared" si="20"/>
        <v>0.79544</v>
      </c>
      <c r="BU80" s="23">
        <f t="shared" si="21"/>
        <v>0.10808041</v>
      </c>
      <c r="BV80" s="23">
        <f>IF(VLOOKUP($R80,武学奇术!$A:$ZZ,22,FALSE)=1,0,(1-$BO80))*(1-$BR80)</f>
        <v>0.00517959000000003</v>
      </c>
      <c r="BW80" s="23" cm="1">
        <f t="array" ref="BW80">SUM(_xlfn.XLOOKUP(S80:AL80,增益!$A:$A,增益!$W:$W,0))+$I$5</f>
        <v>0.21</v>
      </c>
      <c r="BX80" s="23">
        <f>VLOOKUP($R80,武学奇术!$A:$ZZ,32,FALSE)</f>
        <v>0</v>
      </c>
      <c r="BY80" s="23" cm="1">
        <f t="array" ref="BY80">SUM(_xlfn.XLOOKUP($S80:$AL80,增益!$A:$A,增益!$X:$X,0))</f>
        <v>0</v>
      </c>
    </row>
    <row r="81" spans="2:77">
      <c r="K81" s="35">
        <f>$L81*VLOOKUP($R81,武学奇术!$A:$ZZ,31,FALSE)</f>
        <v>178526.763559862</v>
      </c>
      <c r="L81" s="90">
        <f>SUM(L51,L53,L55,L58,L64,L66,L70,L74,L76,L78,L80)*30%*(1+BY81)</f>
        <v>350052.477568356</v>
      </c>
      <c r="M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轻击",$B$21,0))*(1+IF(VLOOKUP($R81,武学奇术!$A:$ZZ,30,FALSE)="老鼠",$B$22,0))*(1+$BW81)*(1+$BX81)</f>
        <v>0</v>
      </c>
      <c r="N81" s="35">
        <f>(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轻击",$B$21,0))*(1+IF(VLOOKUP($R81,武学奇术!$A:$ZZ,30,FALSE)="老鼠",$B$22,0))*(1+$BW81))*(1+$BX81)</f>
        <v>0</v>
      </c>
      <c r="O81" s="35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轻击",$B$21,0))*(1+IF(VLOOKUP($R81,武学奇术!$A:$ZZ,30,FALSE)="老鼠",$B$22,0))*(1+$BW81)*(1+$BX81)</f>
        <v>0</v>
      </c>
      <c r="P81" s="35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轻击",$B$21,0))*(1+IF(VLOOKUP($R81,武学奇术!$A:$ZZ,30,FALSE)="老鼠",$B$22,0))*(1+$BW81)*(1+$BX81)</f>
        <v>0</v>
      </c>
      <c r="Q81" s="36">
        <v>1</v>
      </c>
      <c r="R81" s="37" t="s">
        <v>177</v>
      </c>
      <c r="S81" s="37" t="s">
        <v>81</v>
      </c>
      <c r="T81" s="37" t="s">
        <v>81</v>
      </c>
      <c r="U81" s="37" t="s">
        <v>81</v>
      </c>
      <c r="V81" s="37" t="s">
        <v>81</v>
      </c>
      <c r="W81" s="37" t="s">
        <v>81</v>
      </c>
      <c r="X81" s="37" t="s">
        <v>81</v>
      </c>
      <c r="Y81" s="37" t="s">
        <v>81</v>
      </c>
      <c r="Z81" s="37" t="s">
        <v>81</v>
      </c>
      <c r="AA81" s="37" t="s">
        <v>81</v>
      </c>
      <c r="AB81" s="37" t="s">
        <v>81</v>
      </c>
      <c r="AC81" s="37" t="s">
        <v>81</v>
      </c>
      <c r="AD81" s="37" t="s">
        <v>81</v>
      </c>
      <c r="AE81" s="37" t="s">
        <v>81</v>
      </c>
      <c r="AF81" s="37" t="s">
        <v>81</v>
      </c>
      <c r="AG81" s="37" t="s">
        <v>87</v>
      </c>
      <c r="AH81" s="37" t="s">
        <v>81</v>
      </c>
      <c r="AI81" s="37" t="s">
        <v>81</v>
      </c>
      <c r="AJ81" s="37" t="s">
        <v>81</v>
      </c>
      <c r="AK81" s="37" t="s">
        <v>81</v>
      </c>
      <c r="AL81" s="37" t="s">
        <v>81</v>
      </c>
      <c r="AM81" t="str">
        <f>VLOOKUP($R81,武学奇术!$A:$ZZ,25,FALSE)</f>
        <v>心法</v>
      </c>
      <c r="AN81" s="23">
        <f>VLOOKUP($R81,武学奇术!$A:$ZZ,26,FALSE)</f>
        <v>0</v>
      </c>
      <c r="AO81" s="24">
        <f>VLOOKUP($R81,武学奇术!$A:$ZZ,27,FALSE)*(1+IF(OR($AM81=$F$4,$AM81=$F$5),$B$23,0))</f>
        <v>0</v>
      </c>
      <c r="AP81" s="23">
        <f>VLOOKUP($R81,武学奇术!$A:$ZZ,28,FALSE)</f>
        <v>0</v>
      </c>
      <c r="AQ81" s="24">
        <f>VLOOKUP($R81,武学奇术!$A:$ZZ,29,FALSE)*(1+IF(OR($AM81=$F$4,$AM81=$F$5),$B$23,0))</f>
        <v>0</v>
      </c>
      <c r="AR81" s="23" cm="1">
        <f t="array" ref="AR81">$G$3+IFERROR(VLOOKUP($AM81,$F$4:$G$7,2,FALSE),0)+VLOOKUP($R81,武学奇术!$A:$ZZ,2,FALSE)+SUM(_xlfn.XLOOKUP($S81:$AL81,增益!$A:$A,增益!$B:$B,0))</f>
        <v>0.1042</v>
      </c>
      <c r="AS81" s="23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4013</v>
      </c>
      <c r="AU81" cm="1">
        <f t="array" ref="AU81">$E$10*(1+$AS81)+VLOOKUP($R81,武学奇术!$A:$ZZ,4,FALSE)+SUM(_xlfn.XLOOKUP($S81:$AL81,增益!$A:$A,增益!$D:$D,0))-$I$2</f>
        <v>4013</v>
      </c>
      <c r="AV81" s="29" cm="1">
        <f t="array" ref="AV81">IF($F$10-$I$3+VLOOKUP($R81,武学奇术!$A:$ZZ,6,FALSE)+SUM(_xlfn.XLOOKUP(S81:AL81,增益!$A:$A,增益!$F:$F,0))&gt;0,($F$10-$I$3+VLOOKUP($R81,武学奇术!$A:$ZZ,6,FALSE)+SUM(_xlfn.XLOOKUP(S81:AL81,增益!$A:$A,增益!$F:$F,0)))/200,($F$10-$I$3+VLOOKUP($R81,武学奇术!$A:$ZZ,6,FALSE)+SUM(_xlfn.XLOOKUP(S81:AL81,增益!$A:$A,增益!$F:$F,0)))/100)</f>
        <v>0.1939</v>
      </c>
      <c r="AW81" s="29" cm="1">
        <f t="array" ref="AW81">$G$10+VLOOKUP($R81,武学奇术!$A:$ZZ,7,FALSE)+SUM(_xlfn.XLOOKUP(S81:AL81,增益!$A:$A,增益!$G:$G,0))</f>
        <v>0</v>
      </c>
      <c r="AX81" s="23" cm="1">
        <f t="array" ref="AX81">VLOOKUP($R81,武学奇术!$A:$ZZ,8,FALSE)+SUM(_xlfn.XLOOKUP(S81:AL81,增益!$A:$A,增益!$H:$H,0))</f>
        <v>0</v>
      </c>
      <c r="AY81">
        <f t="shared" si="12"/>
        <v>0</v>
      </c>
      <c r="AZ81">
        <f t="shared" si="13"/>
        <v>0</v>
      </c>
      <c r="BA81" s="29" cm="1">
        <f t="array" ref="BA81">IF($F$11-$I$4+VLOOKUP($R81,武学奇术!$A:$ZZ,9,FALSE)+SUM(_xlfn.XLOOKUP(S81:AL81,增益!$A:$A,增益!$I:$I,0))&gt;0,($F$11-$I$4+VLOOKUP($R81,武学奇术!$A:$ZZ,9,FALSE)+SUM(_xlfn.XLOOKUP(S81:AL81,增益!$A:$A,增益!$I:$I,0)))/200,($F$11-$I$4+VLOOKUP($R81,武学奇术!$A:$ZZ,9,FALSE)+SUM(_xlfn.XLOOKUP(S81:AL81,增益!$A:$A,增益!$I:$I,0)))/100)</f>
        <v>-0.3</v>
      </c>
      <c r="BB81" s="29" cm="1">
        <f t="array" ref="BB81">$G$11+VLOOKUP($R81,武学奇术!$A:$ZZ,10,FALSE)+SUM(_xlfn.XLOOKUP(S81:AL81,增益!$A:$A,增益!$J:$J,0))</f>
        <v>0</v>
      </c>
      <c r="BC81">
        <f t="shared" si="14"/>
        <v>0</v>
      </c>
      <c r="BD81">
        <f t="shared" si="15"/>
        <v>0</v>
      </c>
      <c r="BE81" s="29" cm="1">
        <f t="array" ref="BE81">IF($F$12-$I$4+VLOOKUP($R81,武学奇术!$A:$ZZ,11,FALSE)+SUM(_xlfn.XLOOKUP(S81:AL81,增益!$A:$A,增益!$K:$K,0))&gt;0,($F$12-$I$4+VLOOKUP($R81,武学奇术!$A:$ZZ,11,FALSE)+SUM(_xlfn.XLOOKUP(S81:AL81,增益!$A:$A,增益!$K:$K,0)))/200,($F$12-$I$4+VLOOKUP($R81,武学奇术!$A:$ZZ,11,FALSE)+SUM(_xlfn.XLOOKUP(S81:AL81,增益!$A:$A,增益!$K:$K,0)))/100)</f>
        <v>-0.3</v>
      </c>
      <c r="BF81" s="29" cm="1">
        <f t="array" ref="BF81">$G$12+VLOOKUP($R81,武学奇术!$A:$ZZ,12,FALSE)+SUM(_xlfn.XLOOKUP(S81:AL81,增益!$A:$A,增益!$L:$L,0))</f>
        <v>0</v>
      </c>
      <c r="BG81">
        <f t="shared" si="16"/>
        <v>0</v>
      </c>
      <c r="BH81">
        <f t="shared" si="17"/>
        <v>0</v>
      </c>
      <c r="BI81" s="29" cm="1">
        <f t="array" ref="BI81">IF($F$13-$I$4+VLOOKUP($R81,武学奇术!$A:$ZZ,13,FALSE)+SUM(_xlfn.XLOOKUP(S81:AL81,增益!$A:$A,增益!$M:$M,0))&gt;0,($F$13-$I$4+VLOOKUP($R81,武学奇术!$A:$ZZ,13,FALSE)+SUM(_xlfn.XLOOKUP(S81:AL81,增益!$A:$A,增益!$K:$K,0)))/200,($F$13-$I$4+VLOOKUP($R81,武学奇术!$A:$ZZ,13,FALSE)+SUM(_xlfn.XLOOKUP(S81:AL81,增益!$A:$A,增益!$M:$M,0)))/100)</f>
        <v>-0.3</v>
      </c>
      <c r="BJ81" s="29" cm="1">
        <f t="array" ref="BJ81">$G$13+VLOOKUP($R81,武学奇术!$A:$ZZ,14,FALSE)+SUM(_xlfn.XLOOKUP(S81:AL81,增益!$A:$A,增益!$N:$N,0))</f>
        <v>0</v>
      </c>
      <c r="BK81">
        <f t="shared" si="18"/>
        <v>618.2</v>
      </c>
      <c r="BL81">
        <f t="shared" si="19"/>
        <v>1805</v>
      </c>
      <c r="BM81" s="29" cm="1">
        <f t="array" ref="BM81">IF($F$14-$I$4+VLOOKUP($R81,武学奇术!$A:$ZZ,15,FALSE)+SUM(_xlfn.XLOOKUP(S81:AL81,增益!$A:$A,增益!$O:$O,0))&gt;0,($F$14-$I$4+VLOOKUP($R81,武学奇术!$A:$ZZ,15,FALSE)+SUM(_xlfn.XLOOKUP(S81:AL81,增益!$A:$A,增益!$O:$O,0)))/200,($F$14-$I$4+VLOOKUP($R81,武学奇术!$A:$ZZ,15,FALSE)+SUM(_xlfn.XLOOKUP(S81:AL81,增益!$A:$A,增益!$O:$O,0)))/100)</f>
        <v>0</v>
      </c>
      <c r="BN81" s="29" cm="1">
        <f t="array" ref="BN81">$G$14+VLOOKUP($R81,武学奇术!$A:$ZZ,16,FALSE)+SUM(_xlfn.XLOOKUP(S81:AL81,增益!$A:$A,增益!$P:$P,0))</f>
        <v>0.15</v>
      </c>
      <c r="BO81" s="23">
        <f>MIN(IF(VLOOKUP($R81,武学奇术!$A:$ZZ,23,FALSE)=1,100%,$B$8),100%)</f>
        <v>0.9943</v>
      </c>
      <c r="BP81" s="23" cm="1">
        <f t="array" ref="BP81">IF(VLOOKUP($R81,武学奇术!$A:$ZZ,23,FALSE)=1,100%,MIN(80%,$B$9+VLOOKUP($R81,武学奇术!$A:$ZZ,17,FALSE)+SUM(_xlfn.XLOOKUP(S81:AL81,增益!$A:$A,增益!$Q:$Q,0)))+$B$11+SUM(_xlfn.XLOOKUP(S81:AL81,增益!$A:$A,增益!$U:$U,0)))*IF(VLOOKUP($R81,武学奇术!$A:$ZZ,24,FALSE)=1,0,1)</f>
        <v>0.8</v>
      </c>
      <c r="BQ81" s="23" cm="1">
        <f t="array" ref="BQ81">1+$B$13+VLOOKUP($R81,武学奇术!$A:$ZZ,18,FALSE)+SUM(_xlfn.XLOOKUP(S81:AL81,增益!$A:$A,增益!$R:$R,0))</f>
        <v>1.544</v>
      </c>
      <c r="BR81" s="23" cm="1">
        <f t="array" ref="BR81">IF(VLOOKUP($R81,武学奇术!$A:$ZZ,24,FALSE)=1,100%,MIN(40%,$B$10+VLOOKUP($R81,武学奇术!$A:$ZZ,19,FALSE)+SUM(_xlfn.XLOOKUP(S81:AL81,增益!$A:$A,增益!$S:$S,0)))+$B$12+SUM(_xlfn.XLOOKUP(S81:AL81,增益!$A:$A,增益!$V:$V,0)))*IF(VLOOKUP($R81,武学奇术!$A:$ZZ,23,FALSE)=1,0,1)</f>
        <v>0.0913</v>
      </c>
      <c r="BS81" s="23" cm="1">
        <f t="array" ref="BS81">1+$B$14+VLOOKUP($R81,武学奇术!$A:$ZZ,20,FALSE)+SUM(_xlfn.XLOOKUP(S81:AL81,增益!$A:$A,增益!$T:$T,0))</f>
        <v>1.35</v>
      </c>
      <c r="BT81" s="23">
        <f t="shared" si="20"/>
        <v>0.79544</v>
      </c>
      <c r="BU81" s="23">
        <f t="shared" si="21"/>
        <v>0.10808041</v>
      </c>
      <c r="BV81" s="23">
        <f>IF(VLOOKUP($R81,武学奇术!$A:$ZZ,22,FALSE)=1,0,(1-$BO81))*(1-$BR81)</f>
        <v>0.00517959000000003</v>
      </c>
      <c r="BW81" s="23" cm="1">
        <f t="array" ref="BW81">SUM(_xlfn.XLOOKUP(S81:AL81,增益!$A:$A,增益!$W:$W,0))+$I$5</f>
        <v>0.11</v>
      </c>
      <c r="BX81" s="23">
        <f>VLOOKUP($R81,武学奇术!$A:$ZZ,32,FALSE)</f>
        <v>0</v>
      </c>
      <c r="BY81" s="23" cm="1">
        <f t="array" ref="BY81">SUM(_xlfn.XLOOKUP($S81:$AL81,增益!$A:$A,增益!$X:$X,0))</f>
        <v>0</v>
      </c>
    </row>
    <row r="82" spans="2:77">
      <c r="K82" s="35">
        <f>$L82*VLOOKUP($R82,武学奇术!$A:$ZZ,31,FALSE)</f>
        <v>0</v>
      </c>
      <c r="L82" s="35">
        <f t="shared" ref="L82:L113" si="22">($M82*$BT82+$N82*$BR82+$O82*$BU82+$P82*$BV82)</f>
        <v>0</v>
      </c>
      <c r="M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轻击",$B$21,0))*(1+IF(VLOOKUP($R82,武学奇术!$A:$ZZ,30,FALSE)="老鼠",$B$22,0))*(1+$BW82)*(1+$BX82)</f>
        <v>0</v>
      </c>
      <c r="N82" s="35">
        <f>(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轻击",$B$21,0))*(1+IF(VLOOKUP($R82,武学奇术!$A:$ZZ,30,FALSE)="老鼠",$B$22,0))*(1+$BW82))*(1+$BX82)</f>
        <v>0</v>
      </c>
      <c r="O82" s="35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轻击",$B$21,0))*(1+IF(VLOOKUP($R82,武学奇术!$A:$ZZ,30,FALSE)="老鼠",$B$22,0))*(1+$BW82)*(1+$BX82)</f>
        <v>0</v>
      </c>
      <c r="P82" s="35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轻击",$B$21,0))*(1+IF(VLOOKUP($R82,武学奇术!$A:$ZZ,30,FALSE)="老鼠",$B$22,0))*(1+$BW82)*(1+$BX82)</f>
        <v>0</v>
      </c>
      <c r="Q82" s="36">
        <v>1</v>
      </c>
      <c r="R82" s="37" t="s">
        <v>81</v>
      </c>
      <c r="S82" s="37" t="s">
        <v>81</v>
      </c>
      <c r="T82" s="37" t="s">
        <v>81</v>
      </c>
      <c r="U82" s="37" t="s">
        <v>81</v>
      </c>
      <c r="V82" s="37" t="s">
        <v>81</v>
      </c>
      <c r="W82" s="37" t="s">
        <v>81</v>
      </c>
      <c r="X82" s="37" t="s">
        <v>81</v>
      </c>
      <c r="Y82" s="37" t="s">
        <v>81</v>
      </c>
      <c r="Z82" s="37" t="s">
        <v>81</v>
      </c>
      <c r="AA82" s="37" t="s">
        <v>81</v>
      </c>
      <c r="AB82" s="37" t="s">
        <v>81</v>
      </c>
      <c r="AC82" s="37" t="s">
        <v>81</v>
      </c>
      <c r="AD82" s="37" t="s">
        <v>81</v>
      </c>
      <c r="AE82" s="37" t="s">
        <v>81</v>
      </c>
      <c r="AF82" s="37" t="s">
        <v>81</v>
      </c>
      <c r="AG82" s="37" t="s">
        <v>87</v>
      </c>
      <c r="AH82" s="37" t="s">
        <v>81</v>
      </c>
      <c r="AI82" s="37" t="s">
        <v>81</v>
      </c>
      <c r="AJ82" s="37" t="s">
        <v>81</v>
      </c>
      <c r="AK82" s="37" t="s">
        <v>81</v>
      </c>
      <c r="AL82" s="37" t="s">
        <v>81</v>
      </c>
      <c r="AM82" t="str">
        <f>VLOOKUP($R82,武学奇术!$A:$ZZ,25,FALSE)</f>
        <v>心法</v>
      </c>
      <c r="AN82" s="23">
        <f>VLOOKUP($R82,武学奇术!$A:$ZZ,26,FALSE)</f>
        <v>0</v>
      </c>
      <c r="AO82" s="24">
        <f>VLOOKUP($R82,武学奇术!$A:$ZZ,27,FALSE)*(1+IF(OR($AM82=$F$4,$AM82=$F$5),$B$23,0))</f>
        <v>0</v>
      </c>
      <c r="AP82" s="23">
        <f>VLOOKUP($R82,武学奇术!$A:$ZZ,28,FALSE)</f>
        <v>0</v>
      </c>
      <c r="AQ82" s="24">
        <f>VLOOKUP($R82,武学奇术!$A:$ZZ,29,FALSE)*(1+IF(OR($AM82=$F$4,$AM82=$F$5),$B$23,0))</f>
        <v>0</v>
      </c>
      <c r="AR82" s="23" cm="1">
        <f t="array" ref="AR82">$G$3+IFERROR(VLOOKUP($AM82,$F$4:$G$7,2,FALSE),0)+VLOOKUP($R82,武学奇术!$A:$ZZ,2,FALSE)+SUM(_xlfn.XLOOKUP($S82:$AL82,增益!$A:$A,增益!$B:$B,0))</f>
        <v>0.1042</v>
      </c>
      <c r="AS82" s="23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4013</v>
      </c>
      <c r="AU82" cm="1">
        <f t="array" ref="AU82">$E$10*(1+$AS82)+VLOOKUP($R82,武学奇术!$A:$ZZ,4,FALSE)+SUM(_xlfn.XLOOKUP($S82:$AL82,增益!$A:$A,增益!$D:$D,0))-$I$2</f>
        <v>4013</v>
      </c>
      <c r="AV82" s="29" cm="1">
        <f t="array" ref="AV82">IF($F$10-$I$3+VLOOKUP($R82,武学奇术!$A:$ZZ,6,FALSE)+SUM(_xlfn.XLOOKUP(S82:AL82,增益!$A:$A,增益!$F:$F,0))&gt;0,($F$10-$I$3+VLOOKUP($R82,武学奇术!$A:$ZZ,6,FALSE)+SUM(_xlfn.XLOOKUP(S82:AL82,增益!$A:$A,增益!$F:$F,0)))/200,($F$10-$I$3+VLOOKUP($R82,武学奇术!$A:$ZZ,6,FALSE)+SUM(_xlfn.XLOOKUP(S82:AL82,增益!$A:$A,增益!$F:$F,0)))/100)</f>
        <v>0.1939</v>
      </c>
      <c r="AW82" s="29" cm="1">
        <f t="array" ref="AW82">$G$10+VLOOKUP($R82,武学奇术!$A:$ZZ,7,FALSE)+SUM(_xlfn.XLOOKUP(S82:AL82,增益!$A:$A,增益!$G:$G,0))</f>
        <v>0</v>
      </c>
      <c r="AX82" s="23" cm="1">
        <f t="array" ref="AX82">VLOOKUP($R82,武学奇术!$A:$ZZ,8,FALSE)+SUM(_xlfn.XLOOKUP(S82:AL82,增益!$A:$A,增益!$H:$H,0))</f>
        <v>0</v>
      </c>
      <c r="AY82">
        <f t="shared" si="12"/>
        <v>0</v>
      </c>
      <c r="AZ82">
        <f t="shared" si="13"/>
        <v>0</v>
      </c>
      <c r="BA82" s="29" cm="1">
        <f t="array" ref="BA82">IF($F$11-$I$4+VLOOKUP($R82,武学奇术!$A:$ZZ,9,FALSE)+SUM(_xlfn.XLOOKUP(S82:AL82,增益!$A:$A,增益!$I:$I,0))&gt;0,($F$11-$I$4+VLOOKUP($R82,武学奇术!$A:$ZZ,9,FALSE)+SUM(_xlfn.XLOOKUP(S82:AL82,增益!$A:$A,增益!$I:$I,0)))/200,($F$11-$I$4+VLOOKUP($R82,武学奇术!$A:$ZZ,9,FALSE)+SUM(_xlfn.XLOOKUP(S82:AL82,增益!$A:$A,增益!$I:$I,0)))/100)</f>
        <v>-0.3</v>
      </c>
      <c r="BB82" s="29" cm="1">
        <f t="array" ref="BB82">$G$11+VLOOKUP($R82,武学奇术!$A:$ZZ,10,FALSE)+SUM(_xlfn.XLOOKUP(S82:AL82,增益!$A:$A,增益!$J:$J,0))</f>
        <v>0</v>
      </c>
      <c r="BC82">
        <f t="shared" si="14"/>
        <v>0</v>
      </c>
      <c r="BD82">
        <f t="shared" si="15"/>
        <v>0</v>
      </c>
      <c r="BE82" s="29" cm="1">
        <f t="array" ref="BE82">IF($F$12-$I$4+VLOOKUP($R82,武学奇术!$A:$ZZ,11,FALSE)+SUM(_xlfn.XLOOKUP(S82:AL82,增益!$A:$A,增益!$K:$K,0))&gt;0,($F$12-$I$4+VLOOKUP($R82,武学奇术!$A:$ZZ,11,FALSE)+SUM(_xlfn.XLOOKUP(S82:AL82,增益!$A:$A,增益!$K:$K,0)))/200,($F$12-$I$4+VLOOKUP($R82,武学奇术!$A:$ZZ,11,FALSE)+SUM(_xlfn.XLOOKUP(S82:AL82,增益!$A:$A,增益!$K:$K,0)))/100)</f>
        <v>-0.3</v>
      </c>
      <c r="BF82" s="29" cm="1">
        <f t="array" ref="BF82">$G$12+VLOOKUP($R82,武学奇术!$A:$ZZ,12,FALSE)+SUM(_xlfn.XLOOKUP(S82:AL82,增益!$A:$A,增益!$L:$L,0))</f>
        <v>0</v>
      </c>
      <c r="BG82">
        <f t="shared" si="16"/>
        <v>0</v>
      </c>
      <c r="BH82">
        <f t="shared" si="17"/>
        <v>0</v>
      </c>
      <c r="BI82" s="29" cm="1">
        <f t="array" ref="BI82">IF($F$13-$I$4+VLOOKUP($R82,武学奇术!$A:$ZZ,13,FALSE)+SUM(_xlfn.XLOOKUP(S82:AL82,增益!$A:$A,增益!$M:$M,0))&gt;0,($F$13-$I$4+VLOOKUP($R82,武学奇术!$A:$ZZ,13,FALSE)+SUM(_xlfn.XLOOKUP(S82:AL82,增益!$A:$A,增益!$K:$K,0)))/200,($F$13-$I$4+VLOOKUP($R82,武学奇术!$A:$ZZ,13,FALSE)+SUM(_xlfn.XLOOKUP(S82:AL82,增益!$A:$A,增益!$M:$M,0)))/100)</f>
        <v>-0.3</v>
      </c>
      <c r="BJ82" s="29" cm="1">
        <f t="array" ref="BJ82">$G$13+VLOOKUP($R82,武学奇术!$A:$ZZ,14,FALSE)+SUM(_xlfn.XLOOKUP(S82:AL82,增益!$A:$A,增益!$N:$N,0))</f>
        <v>0</v>
      </c>
      <c r="BK82">
        <f t="shared" si="18"/>
        <v>618.2</v>
      </c>
      <c r="BL82">
        <f t="shared" si="19"/>
        <v>1805</v>
      </c>
      <c r="BM82" s="29" cm="1">
        <f t="array" ref="BM82">IF($F$14-$I$4+VLOOKUP($R82,武学奇术!$A:$ZZ,15,FALSE)+SUM(_xlfn.XLOOKUP(S82:AL82,增益!$A:$A,增益!$O:$O,0))&gt;0,($F$14-$I$4+VLOOKUP($R82,武学奇术!$A:$ZZ,15,FALSE)+SUM(_xlfn.XLOOKUP(S82:AL82,增益!$A:$A,增益!$O:$O,0)))/200,($F$14-$I$4+VLOOKUP($R82,武学奇术!$A:$ZZ,15,FALSE)+SUM(_xlfn.XLOOKUP(S82:AL82,增益!$A:$A,增益!$O:$O,0)))/100)</f>
        <v>0</v>
      </c>
      <c r="BN82" s="29" cm="1">
        <f t="array" ref="BN82">$G$14+VLOOKUP($R82,武学奇术!$A:$ZZ,16,FALSE)+SUM(_xlfn.XLOOKUP(S82:AL82,增益!$A:$A,增益!$P:$P,0))</f>
        <v>0.15</v>
      </c>
      <c r="BO82" s="23">
        <f>MIN(IF(VLOOKUP($R82,武学奇术!$A:$ZZ,23,FALSE)=1,100%,$B$8),100%)</f>
        <v>0.9943</v>
      </c>
      <c r="BP82" s="23" cm="1">
        <f t="array" ref="BP82">IF(VLOOKUP($R82,武学奇术!$A:$ZZ,23,FALSE)=1,100%,MIN(80%,$B$9+VLOOKUP($R82,武学奇术!$A:$ZZ,17,FALSE)+SUM(_xlfn.XLOOKUP(S82:AL82,增益!$A:$A,增益!$Q:$Q,0)))+$B$11+SUM(_xlfn.XLOOKUP(S82:AL82,增益!$A:$A,增益!$U:$U,0)))*IF(VLOOKUP($R82,武学奇术!$A:$ZZ,24,FALSE)=1,0,1)</f>
        <v>0.8</v>
      </c>
      <c r="BQ82" s="23" cm="1">
        <f t="array" ref="BQ82">1+$B$13+VLOOKUP($R82,武学奇术!$A:$ZZ,18,FALSE)+SUM(_xlfn.XLOOKUP(S82:AL82,增益!$A:$A,增益!$R:$R,0))</f>
        <v>1.544</v>
      </c>
      <c r="BR82" s="23" cm="1">
        <f t="array" ref="BR82">IF(VLOOKUP($R82,武学奇术!$A:$ZZ,24,FALSE)=1,100%,MIN(40%,$B$10+VLOOKUP($R82,武学奇术!$A:$ZZ,19,FALSE)+SUM(_xlfn.XLOOKUP(S82:AL82,增益!$A:$A,增益!$S:$S,0)))+$B$12+SUM(_xlfn.XLOOKUP(S82:AL82,增益!$A:$A,增益!$V:$V,0)))*IF(VLOOKUP($R82,武学奇术!$A:$ZZ,23,FALSE)=1,0,1)</f>
        <v>0.0913</v>
      </c>
      <c r="BS82" s="23" cm="1">
        <f t="array" ref="BS82">1+$B$14+VLOOKUP($R82,武学奇术!$A:$ZZ,20,FALSE)+SUM(_xlfn.XLOOKUP(S82:AL82,增益!$A:$A,增益!$T:$T,0))</f>
        <v>1.35</v>
      </c>
      <c r="BT82" s="23">
        <f t="shared" si="20"/>
        <v>0.79544</v>
      </c>
      <c r="BU82" s="23">
        <f t="shared" si="21"/>
        <v>0.10808041</v>
      </c>
      <c r="BV82" s="23">
        <f>IF(VLOOKUP($R82,武学奇术!$A:$ZZ,22,FALSE)=1,0,(1-$BO82))*(1-$BR82)</f>
        <v>0.00517959000000003</v>
      </c>
      <c r="BW82" s="23" cm="1">
        <f t="array" ref="BW82">SUM(_xlfn.XLOOKUP(S82:AL82,增益!$A:$A,增益!$W:$W,0))+$I$5</f>
        <v>0.11</v>
      </c>
      <c r="BX82" s="23">
        <f>VLOOKUP($R82,武学奇术!$A:$ZZ,32,FALSE)</f>
        <v>0</v>
      </c>
      <c r="BY82" s="23" cm="1">
        <f t="array" ref="BY82">SUM(_xlfn.XLOOKUP($S82:$AL82,增益!$A:$A,增益!$X:$X,0))</f>
        <v>0</v>
      </c>
    </row>
    <row r="83" spans="2:77">
      <c r="K83" s="35">
        <f>$L83*VLOOKUP($R83,武学奇术!$A:$ZZ,31,FALSE)</f>
        <v>15891.9548446758</v>
      </c>
      <c r="L83" s="35">
        <f t="shared" si="22"/>
        <v>14189.245397032</v>
      </c>
      <c r="M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轻击",$B$21,0))*(1+IF(VLOOKUP($R83,武学奇术!$A:$ZZ,30,FALSE)="老鼠",$B$22,0))*(1+$BW83)*(1+$BX83)</f>
        <v>15292.4042628937</v>
      </c>
      <c r="N83" s="35">
        <f>(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轻击",$B$21,0))*(1+IF(VLOOKUP($R83,武学奇术!$A:$ZZ,30,FALSE)="老鼠",$B$22,0))*(1+$BW83))*(1+$BX83)</f>
        <v>12219.5135893074</v>
      </c>
      <c r="O83" s="35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轻击",$B$21,0))*(1+IF(VLOOKUP($R83,武学奇术!$A:$ZZ,30,FALSE)="老鼠",$B$22,0))*(1+$BW83)*(1+$BX83)</f>
        <v>8074.13107861337</v>
      </c>
      <c r="P83" s="35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轻击",$B$21,0))*(1+IF(VLOOKUP($R83,武学奇术!$A:$ZZ,30,FALSE)="老鼠",$B$22,0))*(1+$BW83)*(1+$BX83)</f>
        <v>7096.77060959163</v>
      </c>
      <c r="Q83" s="36">
        <v>1</v>
      </c>
      <c r="R83" s="37" t="s">
        <v>111</v>
      </c>
      <c r="S83" s="37" t="s">
        <v>91</v>
      </c>
      <c r="T83" s="37" t="s">
        <v>185</v>
      </c>
      <c r="U83" s="37" t="s">
        <v>112</v>
      </c>
      <c r="V83" s="37" t="s">
        <v>113</v>
      </c>
      <c r="W83" s="37" t="s">
        <v>82</v>
      </c>
      <c r="X83" s="37" t="s">
        <v>81</v>
      </c>
      <c r="Y83" s="37" t="s">
        <v>109</v>
      </c>
      <c r="Z83" s="37" t="s">
        <v>81</v>
      </c>
      <c r="AA83" s="37" t="s">
        <v>81</v>
      </c>
      <c r="AB83" s="37" t="s">
        <v>183</v>
      </c>
      <c r="AC83" s="37" t="s">
        <v>81</v>
      </c>
      <c r="AD83" s="37" t="s">
        <v>81</v>
      </c>
      <c r="AE83" s="37" t="s">
        <v>86</v>
      </c>
      <c r="AF83" s="37" t="s">
        <v>81</v>
      </c>
      <c r="AG83" s="37" t="s">
        <v>87</v>
      </c>
      <c r="AH83" s="37" t="s">
        <v>81</v>
      </c>
      <c r="AI83" s="37" t="s">
        <v>81</v>
      </c>
      <c r="AJ83" s="37" t="s">
        <v>81</v>
      </c>
      <c r="AK83" s="37" t="s">
        <v>81</v>
      </c>
      <c r="AL83" s="37" t="s">
        <v>81</v>
      </c>
      <c r="AM83" t="str">
        <f>VLOOKUP($R83,武学奇术!$A:$ZZ,25,FALSE)</f>
        <v>双刀</v>
      </c>
      <c r="AN83" s="23">
        <f>VLOOKUP($R83,武学奇术!$A:$ZZ,26,FALSE)</f>
        <v>0.4205</v>
      </c>
      <c r="AO83" s="24">
        <f>VLOOKUP($R83,武学奇术!$A:$ZZ,27,FALSE)*(1+IF(OR($AM83=$F$4,$AM83=$F$5),$B$23,0))</f>
        <v>187.2</v>
      </c>
      <c r="AP83" s="23">
        <f>VLOOKUP($R83,武学奇术!$A:$ZZ,28,FALSE)</f>
        <v>0.6307</v>
      </c>
      <c r="AQ83" s="24">
        <f>VLOOKUP($R83,武学奇术!$A:$ZZ,29,FALSE)*(1+IF(OR($AM83=$F$4,$AM83=$F$5),$B$23,0))</f>
        <v>102.4</v>
      </c>
      <c r="AR83" s="23" cm="1">
        <f t="array" ref="AR83">$G$3+IFERROR(VLOOKUP($AM83,$F$4:$G$7,2,FALSE),0)+VLOOKUP($R83,武学奇术!$A:$ZZ,2,FALSE)+SUM(_xlfn.XLOOKUP($S83:$AL83,增益!$A:$A,增益!$B:$B,0))</f>
        <v>0.5443</v>
      </c>
      <c r="AS83" s="23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4081.7</v>
      </c>
      <c r="AU83" cm="1">
        <f t="array" ref="AU83">$E$10*(1+$AS83)+VLOOKUP($R83,武学奇术!$A:$ZZ,4,FALSE)+SUM(_xlfn.XLOOKUP($S83:$AL83,增益!$A:$A,增益!$D:$D,0))-$I$2</f>
        <v>4081.7</v>
      </c>
      <c r="AV83" s="29" cm="1">
        <f t="array" ref="AV83">IF($F$10-$I$3+VLOOKUP($R83,武学奇术!$A:$ZZ,6,FALSE)+SUM(_xlfn.XLOOKUP(S83:AL83,增益!$A:$A,增益!$F:$F,0))&gt;0,($F$10-$I$3+VLOOKUP($R83,武学奇术!$A:$ZZ,6,FALSE)+SUM(_xlfn.XLOOKUP(S83:AL83,增益!$A:$A,增益!$F:$F,0)))/200,($F$10-$I$3+VLOOKUP($R83,武学奇术!$A:$ZZ,6,FALSE)+SUM(_xlfn.XLOOKUP(S83:AL83,增益!$A:$A,增益!$F:$F,0)))/100)</f>
        <v>0.3689</v>
      </c>
      <c r="AW83" s="29" cm="1">
        <f t="array" ref="AW83">$G$10+VLOOKUP($R83,武学奇术!$A:$ZZ,7,FALSE)+SUM(_xlfn.XLOOKUP(S83:AL83,增益!$A:$A,增益!$G:$G,0))</f>
        <v>0.06</v>
      </c>
      <c r="AX83" s="23" cm="1">
        <f t="array" ref="AX83">VLOOKUP($R83,武学奇术!$A:$ZZ,8,FALSE)+SUM(_xlfn.XLOOKUP(S83:AL83,增益!$A:$A,增益!$H:$H,0))</f>
        <v>0</v>
      </c>
      <c r="AY83">
        <f t="shared" si="12"/>
        <v>0</v>
      </c>
      <c r="AZ83">
        <f t="shared" si="13"/>
        <v>0</v>
      </c>
      <c r="BA83" s="29" cm="1">
        <f t="array" ref="BA83">IF($F$11-$I$4+VLOOKUP($R83,武学奇术!$A:$ZZ,9,FALSE)+SUM(_xlfn.XLOOKUP(S83:AL83,增益!$A:$A,增益!$I:$I,0))&gt;0,($F$11-$I$4+VLOOKUP($R83,武学奇术!$A:$ZZ,9,FALSE)+SUM(_xlfn.XLOOKUP(S83:AL83,增益!$A:$A,增益!$I:$I,0)))/200,($F$11-$I$4+VLOOKUP($R83,武学奇术!$A:$ZZ,9,FALSE)+SUM(_xlfn.XLOOKUP(S83:AL83,增益!$A:$A,增益!$I:$I,0)))/100)</f>
        <v>-0.3</v>
      </c>
      <c r="BB83" s="29" cm="1">
        <f t="array" ref="BB83">$G$11+VLOOKUP($R83,武学奇术!$A:$ZZ,10,FALSE)+SUM(_xlfn.XLOOKUP(S83:AL83,增益!$A:$A,增益!$J:$J,0))</f>
        <v>0</v>
      </c>
      <c r="BC83">
        <f t="shared" si="14"/>
        <v>0</v>
      </c>
      <c r="BD83">
        <f t="shared" si="15"/>
        <v>0</v>
      </c>
      <c r="BE83" s="29" cm="1">
        <f t="array" ref="BE83">IF($F$12-$I$4+VLOOKUP($R83,武学奇术!$A:$ZZ,11,FALSE)+SUM(_xlfn.XLOOKUP(S83:AL83,增益!$A:$A,增益!$K:$K,0))&gt;0,($F$12-$I$4+VLOOKUP($R83,武学奇术!$A:$ZZ,11,FALSE)+SUM(_xlfn.XLOOKUP(S83:AL83,增益!$A:$A,增益!$K:$K,0)))/200,($F$12-$I$4+VLOOKUP($R83,武学奇术!$A:$ZZ,11,FALSE)+SUM(_xlfn.XLOOKUP(S83:AL83,增益!$A:$A,增益!$K:$K,0)))/100)</f>
        <v>-0.3</v>
      </c>
      <c r="BF83" s="29" cm="1">
        <f t="array" ref="BF83">$G$12+VLOOKUP($R83,武学奇术!$A:$ZZ,12,FALSE)+SUM(_xlfn.XLOOKUP(S83:AL83,增益!$A:$A,增益!$L:$L,0))</f>
        <v>0</v>
      </c>
      <c r="BG83">
        <f t="shared" si="16"/>
        <v>0</v>
      </c>
      <c r="BH83">
        <f t="shared" si="17"/>
        <v>0</v>
      </c>
      <c r="BI83" s="29" cm="1">
        <f t="array" ref="BI83">IF($F$13-$I$4+VLOOKUP($R83,武学奇术!$A:$ZZ,13,FALSE)+SUM(_xlfn.XLOOKUP(S83:AL83,增益!$A:$A,增益!$M:$M,0))&gt;0,($F$13-$I$4+VLOOKUP($R83,武学奇术!$A:$ZZ,13,FALSE)+SUM(_xlfn.XLOOKUP(S83:AL83,增益!$A:$A,增益!$K:$K,0)))/200,($F$13-$I$4+VLOOKUP($R83,武学奇术!$A:$ZZ,13,FALSE)+SUM(_xlfn.XLOOKUP(S83:AL83,增益!$A:$A,增益!$M:$M,0)))/100)</f>
        <v>-0.3</v>
      </c>
      <c r="BJ83" s="29" cm="1">
        <f t="array" ref="BJ83">$G$13+VLOOKUP($R83,武学奇术!$A:$ZZ,14,FALSE)+SUM(_xlfn.XLOOKUP(S83:AL83,增益!$A:$A,增益!$N:$N,0))</f>
        <v>0</v>
      </c>
      <c r="BK83">
        <f t="shared" si="18"/>
        <v>618.2</v>
      </c>
      <c r="BL83">
        <f t="shared" si="19"/>
        <v>1805</v>
      </c>
      <c r="BM83" s="29" cm="1">
        <f t="array" ref="BM83">IF($F$14-$I$4+VLOOKUP($R83,武学奇术!$A:$ZZ,15,FALSE)+SUM(_xlfn.XLOOKUP(S83:AL83,增益!$A:$A,增益!$O:$O,0))&gt;0,($F$14-$I$4+VLOOKUP($R83,武学奇术!$A:$ZZ,15,FALSE)+SUM(_xlfn.XLOOKUP(S83:AL83,增益!$A:$A,增益!$O:$O,0)))/200,($F$14-$I$4+VLOOKUP($R83,武学奇术!$A:$ZZ,15,FALSE)+SUM(_xlfn.XLOOKUP(S83:AL83,增益!$A:$A,增益!$O:$O,0)))/100)</f>
        <v>0.05</v>
      </c>
      <c r="BN83" s="29" cm="1">
        <f t="array" ref="BN83">$G$14+VLOOKUP($R83,武学奇术!$A:$ZZ,16,FALSE)+SUM(_xlfn.XLOOKUP(S83:AL83,增益!$A:$A,增益!$P:$P,0))</f>
        <v>0.21</v>
      </c>
      <c r="BO83" s="23">
        <f>MIN(IF(VLOOKUP($R83,武学奇术!$A:$ZZ,23,FALSE)=1,100%,$B$8),100%)</f>
        <v>0.9943</v>
      </c>
      <c r="BP83" s="23" cm="1">
        <f t="array" ref="BP83">IF(VLOOKUP($R83,武学奇术!$A:$ZZ,23,FALSE)=1,100%,MIN(80%,$B$9+VLOOKUP($R83,武学奇术!$A:$ZZ,17,FALSE)+SUM(_xlfn.XLOOKUP(S83:AL83,增益!$A:$A,增益!$Q:$Q,0)))+$B$11+SUM(_xlfn.XLOOKUP(S83:AL83,增益!$A:$A,增益!$U:$U,0)))*IF(VLOOKUP($R83,武学奇术!$A:$ZZ,24,FALSE)=1,0,1)</f>
        <v>0.8</v>
      </c>
      <c r="BQ83" s="23" cm="1">
        <f t="array" ref="BQ83">1+$B$13+VLOOKUP($R83,武学奇术!$A:$ZZ,18,FALSE)+SUM(_xlfn.XLOOKUP(S83:AL83,增益!$A:$A,增益!$R:$R,0))</f>
        <v>1.894</v>
      </c>
      <c r="BR83" s="23" cm="1">
        <f t="array" ref="BR83">IF(VLOOKUP($R83,武学奇术!$A:$ZZ,24,FALSE)=1,100%,MIN(40%,$B$10+VLOOKUP($R83,武学奇术!$A:$ZZ,19,FALSE)+SUM(_xlfn.XLOOKUP(S83:AL83,增益!$A:$A,增益!$S:$S,0)))+$B$12+SUM(_xlfn.XLOOKUP(S83:AL83,增益!$A:$A,增益!$V:$V,0)))*IF(VLOOKUP($R83,武学奇术!$A:$ZZ,23,FALSE)=1,0,1)</f>
        <v>0.0913</v>
      </c>
      <c r="BS83" s="23" cm="1">
        <f t="array" ref="BS83">1+$B$14+VLOOKUP($R83,武学奇术!$A:$ZZ,20,FALSE)+SUM(_xlfn.XLOOKUP(S83:AL83,增益!$A:$A,增益!$T:$T,0))</f>
        <v>1.35</v>
      </c>
      <c r="BT83" s="23">
        <f t="shared" si="20"/>
        <v>0.79544</v>
      </c>
      <c r="BU83" s="23">
        <f t="shared" si="21"/>
        <v>0.10808041</v>
      </c>
      <c r="BV83" s="23">
        <f>IF(VLOOKUP($R83,武学奇术!$A:$ZZ,22,FALSE)=1,0,(1-$BO83))*(1-$BR83)</f>
        <v>0.00517959000000003</v>
      </c>
      <c r="BW83" s="23" cm="1">
        <f t="array" ref="BW83">SUM(_xlfn.XLOOKUP(S83:AL83,增益!$A:$A,增益!$W:$W,0))+$I$5</f>
        <v>0.21</v>
      </c>
      <c r="BX83" s="23">
        <f>VLOOKUP($R83,武学奇术!$A:$ZZ,32,FALSE)</f>
        <v>0.1</v>
      </c>
      <c r="BY83" s="23" cm="1">
        <f t="array" ref="BY83">SUM(_xlfn.XLOOKUP($S83:$AL83,增益!$A:$A,增益!$X:$X,0))</f>
        <v>0</v>
      </c>
    </row>
    <row r="84" spans="2:77">
      <c r="K84" s="35">
        <f>$L84*VLOOKUP($R84,武学奇术!$A:$ZZ,31,FALSE)</f>
        <v>17035.8828419146</v>
      </c>
      <c r="L84" s="35">
        <f t="shared" si="22"/>
        <v>15210.6096802809</v>
      </c>
      <c r="M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轻击",$B$21,0))*(1+IF(VLOOKUP($R84,武学奇术!$A:$ZZ,30,FALSE)="老鼠",$B$22,0))*(1+$BW84)*(1+$BX84)</f>
        <v>16393.1356570697</v>
      </c>
      <c r="N84" s="35">
        <f>(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轻击",$B$21,0))*(1+IF(VLOOKUP($R84,武学奇术!$A:$ZZ,30,FALSE)="老鼠",$B$22,0))*(1+$BW84))*(1+$BX84)</f>
        <v>13099.4859051031</v>
      </c>
      <c r="O84" s="35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轻击",$B$21,0))*(1+IF(VLOOKUP($R84,武学奇术!$A:$ZZ,30,FALSE)="老鼠",$B$22,0))*(1+$BW84)*(1+$BX84)</f>
        <v>8655.29865737575</v>
      </c>
      <c r="P84" s="35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轻击",$B$21,0))*(1+IF(VLOOKUP($R84,武学奇术!$A:$ZZ,30,FALSE)="老鼠",$B$22,0))*(1+$BW84)*(1+$BX84)</f>
        <v>7607.27442208257</v>
      </c>
      <c r="Q84" s="36">
        <v>1</v>
      </c>
      <c r="R84" s="37" t="s">
        <v>116</v>
      </c>
      <c r="S84" s="37" t="s">
        <v>91</v>
      </c>
      <c r="T84" s="37" t="s">
        <v>185</v>
      </c>
      <c r="U84" s="37" t="s">
        <v>112</v>
      </c>
      <c r="V84" s="37" t="s">
        <v>113</v>
      </c>
      <c r="W84" s="37" t="s">
        <v>82</v>
      </c>
      <c r="X84" s="37" t="s">
        <v>81</v>
      </c>
      <c r="Y84" s="37" t="s">
        <v>109</v>
      </c>
      <c r="Z84" s="37" t="s">
        <v>81</v>
      </c>
      <c r="AA84" s="37" t="s">
        <v>81</v>
      </c>
      <c r="AB84" s="37" t="s">
        <v>183</v>
      </c>
      <c r="AC84" s="37" t="s">
        <v>81</v>
      </c>
      <c r="AD84" s="37" t="s">
        <v>81</v>
      </c>
      <c r="AE84" s="37" t="s">
        <v>86</v>
      </c>
      <c r="AF84" s="37" t="s">
        <v>81</v>
      </c>
      <c r="AG84" s="37" t="s">
        <v>87</v>
      </c>
      <c r="AH84" s="37" t="s">
        <v>81</v>
      </c>
      <c r="AI84" s="37" t="s">
        <v>81</v>
      </c>
      <c r="AJ84" s="37" t="s">
        <v>81</v>
      </c>
      <c r="AK84" s="37" t="s">
        <v>81</v>
      </c>
      <c r="AL84" s="37" t="s">
        <v>81</v>
      </c>
      <c r="AM84" t="str">
        <f>VLOOKUP($R84,武学奇术!$A:$ZZ,25,FALSE)</f>
        <v>双刀</v>
      </c>
      <c r="AN84" s="23">
        <f>VLOOKUP($R84,武学奇术!$A:$ZZ,26,FALSE)</f>
        <v>0.4508</v>
      </c>
      <c r="AO84" s="24">
        <f>VLOOKUP($R84,武学奇术!$A:$ZZ,27,FALSE)*(1+IF(OR($AM84=$F$4,$AM84=$F$5),$B$23,0))</f>
        <v>201.6</v>
      </c>
      <c r="AP84" s="23">
        <f>VLOOKUP($R84,武学奇术!$A:$ZZ,28,FALSE)</f>
        <v>0.6763</v>
      </c>
      <c r="AQ84" s="24">
        <f>VLOOKUP($R84,武学奇术!$A:$ZZ,29,FALSE)*(1+IF(OR($AM84=$F$4,$AM84=$F$5),$B$23,0))</f>
        <v>108.8</v>
      </c>
      <c r="AR84" s="23" cm="1">
        <f t="array" ref="AR84">$G$3+IFERROR(VLOOKUP($AM84,$F$4:$G$7,2,FALSE),0)+VLOOKUP($R84,武学奇术!$A:$ZZ,2,FALSE)+SUM(_xlfn.XLOOKUP($S84:$AL84,增益!$A:$A,增益!$B:$B,0))</f>
        <v>0.5443</v>
      </c>
      <c r="AS84" s="23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4081.7</v>
      </c>
      <c r="AU84" cm="1">
        <f t="array" ref="AU84">$E$10*(1+$AS84)+VLOOKUP($R84,武学奇术!$A:$ZZ,4,FALSE)+SUM(_xlfn.XLOOKUP($S84:$AL84,增益!$A:$A,增益!$D:$D,0))-$I$2</f>
        <v>4081.7</v>
      </c>
      <c r="AV84" s="29" cm="1">
        <f t="array" ref="AV84">IF($F$10-$I$3+VLOOKUP($R84,武学奇术!$A:$ZZ,6,FALSE)+SUM(_xlfn.XLOOKUP(S84:AL84,增益!$A:$A,增益!$F:$F,0))&gt;0,($F$10-$I$3+VLOOKUP($R84,武学奇术!$A:$ZZ,6,FALSE)+SUM(_xlfn.XLOOKUP(S84:AL84,增益!$A:$A,增益!$F:$F,0)))/200,($F$10-$I$3+VLOOKUP($R84,武学奇术!$A:$ZZ,6,FALSE)+SUM(_xlfn.XLOOKUP(S84:AL84,增益!$A:$A,增益!$F:$F,0)))/100)</f>
        <v>0.3689</v>
      </c>
      <c r="AW84" s="29" cm="1">
        <f t="array" ref="AW84">$G$10+VLOOKUP($R84,武学奇术!$A:$ZZ,7,FALSE)+SUM(_xlfn.XLOOKUP(S84:AL84,增益!$A:$A,增益!$G:$G,0))</f>
        <v>0.06</v>
      </c>
      <c r="AX84" s="23" cm="1">
        <f t="array" ref="AX84">VLOOKUP($R84,武学奇术!$A:$ZZ,8,FALSE)+SUM(_xlfn.XLOOKUP(S84:AL84,增益!$A:$A,增益!$H:$H,0))</f>
        <v>0</v>
      </c>
      <c r="AY84">
        <f t="shared" si="12"/>
        <v>0</v>
      </c>
      <c r="AZ84">
        <f t="shared" si="13"/>
        <v>0</v>
      </c>
      <c r="BA84" s="29" cm="1">
        <f t="array" ref="BA84">IF($F$11-$I$4+VLOOKUP($R84,武学奇术!$A:$ZZ,9,FALSE)+SUM(_xlfn.XLOOKUP(S84:AL84,增益!$A:$A,增益!$I:$I,0))&gt;0,($F$11-$I$4+VLOOKUP($R84,武学奇术!$A:$ZZ,9,FALSE)+SUM(_xlfn.XLOOKUP(S84:AL84,增益!$A:$A,增益!$I:$I,0)))/200,($F$11-$I$4+VLOOKUP($R84,武学奇术!$A:$ZZ,9,FALSE)+SUM(_xlfn.XLOOKUP(S84:AL84,增益!$A:$A,增益!$I:$I,0)))/100)</f>
        <v>-0.3</v>
      </c>
      <c r="BB84" s="29" cm="1">
        <f t="array" ref="BB84">$G$11+VLOOKUP($R84,武学奇术!$A:$ZZ,10,FALSE)+SUM(_xlfn.XLOOKUP(S84:AL84,增益!$A:$A,增益!$J:$J,0))</f>
        <v>0</v>
      </c>
      <c r="BC84">
        <f t="shared" si="14"/>
        <v>0</v>
      </c>
      <c r="BD84">
        <f t="shared" si="15"/>
        <v>0</v>
      </c>
      <c r="BE84" s="29" cm="1">
        <f t="array" ref="BE84">IF($F$12-$I$4+VLOOKUP($R84,武学奇术!$A:$ZZ,11,FALSE)+SUM(_xlfn.XLOOKUP(S84:AL84,增益!$A:$A,增益!$K:$K,0))&gt;0,($F$12-$I$4+VLOOKUP($R84,武学奇术!$A:$ZZ,11,FALSE)+SUM(_xlfn.XLOOKUP(S84:AL84,增益!$A:$A,增益!$K:$K,0)))/200,($F$12-$I$4+VLOOKUP($R84,武学奇术!$A:$ZZ,11,FALSE)+SUM(_xlfn.XLOOKUP(S84:AL84,增益!$A:$A,增益!$K:$K,0)))/100)</f>
        <v>-0.3</v>
      </c>
      <c r="BF84" s="29" cm="1">
        <f t="array" ref="BF84">$G$12+VLOOKUP($R84,武学奇术!$A:$ZZ,12,FALSE)+SUM(_xlfn.XLOOKUP(S84:AL84,增益!$A:$A,增益!$L:$L,0))</f>
        <v>0</v>
      </c>
      <c r="BG84">
        <f t="shared" si="16"/>
        <v>0</v>
      </c>
      <c r="BH84">
        <f t="shared" si="17"/>
        <v>0</v>
      </c>
      <c r="BI84" s="29" cm="1">
        <f t="array" ref="BI84">IF($F$13-$I$4+VLOOKUP($R84,武学奇术!$A:$ZZ,13,FALSE)+SUM(_xlfn.XLOOKUP(S84:AL84,增益!$A:$A,增益!$M:$M,0))&gt;0,($F$13-$I$4+VLOOKUP($R84,武学奇术!$A:$ZZ,13,FALSE)+SUM(_xlfn.XLOOKUP(S84:AL84,增益!$A:$A,增益!$K:$K,0)))/200,($F$13-$I$4+VLOOKUP($R84,武学奇术!$A:$ZZ,13,FALSE)+SUM(_xlfn.XLOOKUP(S84:AL84,增益!$A:$A,增益!$M:$M,0)))/100)</f>
        <v>-0.3</v>
      </c>
      <c r="BJ84" s="29" cm="1">
        <f t="array" ref="BJ84">$G$13+VLOOKUP($R84,武学奇术!$A:$ZZ,14,FALSE)+SUM(_xlfn.XLOOKUP(S84:AL84,增益!$A:$A,增益!$N:$N,0))</f>
        <v>0</v>
      </c>
      <c r="BK84">
        <f t="shared" si="18"/>
        <v>618.2</v>
      </c>
      <c r="BL84">
        <f t="shared" si="19"/>
        <v>1805</v>
      </c>
      <c r="BM84" s="29" cm="1">
        <f t="array" ref="BM84">IF($F$14-$I$4+VLOOKUP($R84,武学奇术!$A:$ZZ,15,FALSE)+SUM(_xlfn.XLOOKUP(S84:AL84,增益!$A:$A,增益!$O:$O,0))&gt;0,($F$14-$I$4+VLOOKUP($R84,武学奇术!$A:$ZZ,15,FALSE)+SUM(_xlfn.XLOOKUP(S84:AL84,增益!$A:$A,增益!$O:$O,0)))/200,($F$14-$I$4+VLOOKUP($R84,武学奇术!$A:$ZZ,15,FALSE)+SUM(_xlfn.XLOOKUP(S84:AL84,增益!$A:$A,增益!$O:$O,0)))/100)</f>
        <v>0.05</v>
      </c>
      <c r="BN84" s="29" cm="1">
        <f t="array" ref="BN84">$G$14+VLOOKUP($R84,武学奇术!$A:$ZZ,16,FALSE)+SUM(_xlfn.XLOOKUP(S84:AL84,增益!$A:$A,增益!$P:$P,0))</f>
        <v>0.21</v>
      </c>
      <c r="BO84" s="23">
        <f>MIN(IF(VLOOKUP($R84,武学奇术!$A:$ZZ,23,FALSE)=1,100%,$B$8),100%)</f>
        <v>0.9943</v>
      </c>
      <c r="BP84" s="23" cm="1">
        <f t="array" ref="BP84">IF(VLOOKUP($R84,武学奇术!$A:$ZZ,23,FALSE)=1,100%,MIN(80%,$B$9+VLOOKUP($R84,武学奇术!$A:$ZZ,17,FALSE)+SUM(_xlfn.XLOOKUP(S84:AL84,增益!$A:$A,增益!$Q:$Q,0)))+$B$11+SUM(_xlfn.XLOOKUP(S84:AL84,增益!$A:$A,增益!$U:$U,0)))*IF(VLOOKUP($R84,武学奇术!$A:$ZZ,24,FALSE)=1,0,1)</f>
        <v>0.8</v>
      </c>
      <c r="BQ84" s="23" cm="1">
        <f t="array" ref="BQ84">1+$B$13+VLOOKUP($R84,武学奇术!$A:$ZZ,18,FALSE)+SUM(_xlfn.XLOOKUP(S84:AL84,增益!$A:$A,增益!$R:$R,0))</f>
        <v>1.894</v>
      </c>
      <c r="BR84" s="23" cm="1">
        <f t="array" ref="BR84">IF(VLOOKUP($R84,武学奇术!$A:$ZZ,24,FALSE)=1,100%,MIN(40%,$B$10+VLOOKUP($R84,武学奇术!$A:$ZZ,19,FALSE)+SUM(_xlfn.XLOOKUP(S84:AL84,增益!$A:$A,增益!$S:$S,0)))+$B$12+SUM(_xlfn.XLOOKUP(S84:AL84,增益!$A:$A,增益!$V:$V,0)))*IF(VLOOKUP($R84,武学奇术!$A:$ZZ,23,FALSE)=1,0,1)</f>
        <v>0.0913</v>
      </c>
      <c r="BS84" s="23" cm="1">
        <f t="array" ref="BS84">1+$B$14+VLOOKUP($R84,武学奇术!$A:$ZZ,20,FALSE)+SUM(_xlfn.XLOOKUP(S84:AL84,增益!$A:$A,增益!$T:$T,0))</f>
        <v>1.35</v>
      </c>
      <c r="BT84" s="23">
        <f t="shared" si="20"/>
        <v>0.79544</v>
      </c>
      <c r="BU84" s="23">
        <f t="shared" si="21"/>
        <v>0.10808041</v>
      </c>
      <c r="BV84" s="23">
        <f>IF(VLOOKUP($R84,武学奇术!$A:$ZZ,22,FALSE)=1,0,(1-$BO84))*(1-$BR84)</f>
        <v>0.00517959000000003</v>
      </c>
      <c r="BW84" s="23" cm="1">
        <f t="array" ref="BW84">SUM(_xlfn.XLOOKUP(S84:AL84,增益!$A:$A,增益!$W:$W,0))+$I$5</f>
        <v>0.21</v>
      </c>
      <c r="BX84" s="23">
        <f>VLOOKUP($R84,武学奇术!$A:$ZZ,32,FALSE)</f>
        <v>0.1</v>
      </c>
      <c r="BY84" s="23" cm="1">
        <f t="array" ref="BY84">SUM(_xlfn.XLOOKUP($S84:$AL84,增益!$A:$A,增益!$X:$X,0))</f>
        <v>0</v>
      </c>
    </row>
    <row r="85" spans="2:77">
      <c r="K85" s="35">
        <f>$L85*VLOOKUP($R85,武学奇术!$A:$ZZ,31,FALSE)</f>
        <v>21978.8923637652</v>
      </c>
      <c r="L85" s="35">
        <f t="shared" si="22"/>
        <v>21547.9336899659</v>
      </c>
      <c r="M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轻击",$B$21,0))*(1+IF(VLOOKUP($R85,武学奇术!$A:$ZZ,30,FALSE)="老鼠",$B$22,0))*(1+$BW85)*(1+$BX85)</f>
        <v>23226.5257755848</v>
      </c>
      <c r="N85" s="35">
        <f>(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轻击",$B$21,0))*(1+IF(VLOOKUP($R85,武学奇术!$A:$ZZ,30,FALSE)="老鼠",$B$22,0))*(1+$BW85))*(1+$BX85)</f>
        <v>18524.0746986462</v>
      </c>
      <c r="O85" s="35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轻击",$B$21,0))*(1+IF(VLOOKUP($R85,武学奇术!$A:$ZZ,30,FALSE)="老鼠",$B$22,0))*(1+$BW85)*(1+$BX85)</f>
        <v>12263.2131866868</v>
      </c>
      <c r="P85" s="35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轻击",$B$21,0))*(1+IF(VLOOKUP($R85,武学奇术!$A:$ZZ,30,FALSE)="老鼠",$B$22,0))*(1+$BW85)*(1+$BX85)</f>
        <v>10804.8895595616</v>
      </c>
      <c r="Q85" s="36">
        <v>1</v>
      </c>
      <c r="R85" s="37" t="s">
        <v>123</v>
      </c>
      <c r="S85" s="37" t="s">
        <v>91</v>
      </c>
      <c r="T85" s="37" t="s">
        <v>185</v>
      </c>
      <c r="U85" s="37" t="s">
        <v>81</v>
      </c>
      <c r="V85" s="37" t="s">
        <v>81</v>
      </c>
      <c r="W85" s="37" t="s">
        <v>82</v>
      </c>
      <c r="X85" s="37" t="s">
        <v>81</v>
      </c>
      <c r="Y85" s="37" t="s">
        <v>81</v>
      </c>
      <c r="Z85" s="37" t="s">
        <v>81</v>
      </c>
      <c r="AA85" s="37" t="s">
        <v>81</v>
      </c>
      <c r="AB85" s="37" t="s">
        <v>183</v>
      </c>
      <c r="AC85" s="37" t="s">
        <v>81</v>
      </c>
      <c r="AD85" s="37" t="s">
        <v>81</v>
      </c>
      <c r="AE85" s="37" t="s">
        <v>86</v>
      </c>
      <c r="AF85" s="37" t="s">
        <v>81</v>
      </c>
      <c r="AG85" s="37" t="s">
        <v>87</v>
      </c>
      <c r="AH85" s="37" t="s">
        <v>81</v>
      </c>
      <c r="AI85" s="37" t="s">
        <v>81</v>
      </c>
      <c r="AJ85" s="37" t="s">
        <v>81</v>
      </c>
      <c r="AK85" s="37" t="s">
        <v>81</v>
      </c>
      <c r="AL85" s="37" t="s">
        <v>81</v>
      </c>
      <c r="AM85" t="str">
        <f>VLOOKUP($R85,武学奇术!$A:$ZZ,25,FALSE)</f>
        <v>双刀</v>
      </c>
      <c r="AN85" s="23">
        <f>VLOOKUP($R85,武学奇术!$A:$ZZ,26,FALSE)</f>
        <v>0.8267</v>
      </c>
      <c r="AO85" s="24">
        <f>VLOOKUP($R85,武学奇术!$A:$ZZ,27,FALSE)*(1+IF(OR($AM85=$F$4,$AM85=$F$5),$B$23,0))</f>
        <v>366.4</v>
      </c>
      <c r="AP85" s="23">
        <f>VLOOKUP($R85,武学奇术!$A:$ZZ,28,FALSE)</f>
        <v>1.24</v>
      </c>
      <c r="AQ85" s="24">
        <f>VLOOKUP($R85,武学奇术!$A:$ZZ,29,FALSE)*(1+IF(OR($AM85=$F$4,$AM85=$F$5),$B$23,0))</f>
        <v>200</v>
      </c>
      <c r="AR85" s="23" cm="1">
        <f t="array" ref="AR85">$G$3+IFERROR(VLOOKUP($AM85,$F$4:$G$7,2,FALSE),0)+VLOOKUP($R85,武学奇术!$A:$ZZ,2,FALSE)+SUM(_xlfn.XLOOKUP($S85:$AL85,增益!$A:$A,增益!$B:$B,0))</f>
        <v>0.4243</v>
      </c>
      <c r="AS85" s="23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4013</v>
      </c>
      <c r="AU85" cm="1">
        <f t="array" ref="AU85">$E$10*(1+$AS85)+VLOOKUP($R85,武学奇术!$A:$ZZ,4,FALSE)+SUM(_xlfn.XLOOKUP($S85:$AL85,增益!$A:$A,增益!$D:$D,0))-$I$2</f>
        <v>4013</v>
      </c>
      <c r="AV85" s="29" cm="1">
        <f t="array" ref="AV85">IF($F$10-$I$3+VLOOKUP($R85,武学奇术!$A:$ZZ,6,FALSE)+SUM(_xlfn.XLOOKUP(S85:AL85,增益!$A:$A,增益!$F:$F,0))&gt;0,($F$10-$I$3+VLOOKUP($R85,武学奇术!$A:$ZZ,6,FALSE)+SUM(_xlfn.XLOOKUP(S85:AL85,增益!$A:$A,增益!$F:$F,0)))/200,($F$10-$I$3+VLOOKUP($R85,武学奇术!$A:$ZZ,6,FALSE)+SUM(_xlfn.XLOOKUP(S85:AL85,增益!$A:$A,增益!$F:$F,0)))/100)</f>
        <v>0.3689</v>
      </c>
      <c r="AW85" s="29" cm="1">
        <f t="array" ref="AW85">$G$10+VLOOKUP($R85,武学奇术!$A:$ZZ,7,FALSE)+SUM(_xlfn.XLOOKUP(S85:AL85,增益!$A:$A,增益!$G:$G,0))</f>
        <v>0</v>
      </c>
      <c r="AX85" s="23" cm="1">
        <f t="array" ref="AX85">VLOOKUP($R85,武学奇术!$A:$ZZ,8,FALSE)+SUM(_xlfn.XLOOKUP(S85:AL85,增益!$A:$A,增益!$H:$H,0))</f>
        <v>0</v>
      </c>
      <c r="AY85">
        <f t="shared" si="12"/>
        <v>0</v>
      </c>
      <c r="AZ85">
        <f t="shared" si="13"/>
        <v>0</v>
      </c>
      <c r="BA85" s="29" cm="1">
        <f t="array" ref="BA85">IF($F$11-$I$4+VLOOKUP($R85,武学奇术!$A:$ZZ,9,FALSE)+SUM(_xlfn.XLOOKUP(S85:AL85,增益!$A:$A,增益!$I:$I,0))&gt;0,($F$11-$I$4+VLOOKUP($R85,武学奇术!$A:$ZZ,9,FALSE)+SUM(_xlfn.XLOOKUP(S85:AL85,增益!$A:$A,增益!$I:$I,0)))/200,($F$11-$I$4+VLOOKUP($R85,武学奇术!$A:$ZZ,9,FALSE)+SUM(_xlfn.XLOOKUP(S85:AL85,增益!$A:$A,增益!$I:$I,0)))/100)</f>
        <v>-0.3</v>
      </c>
      <c r="BB85" s="29" cm="1">
        <f t="array" ref="BB85">$G$11+VLOOKUP($R85,武学奇术!$A:$ZZ,10,FALSE)+SUM(_xlfn.XLOOKUP(S85:AL85,增益!$A:$A,增益!$J:$J,0))</f>
        <v>0</v>
      </c>
      <c r="BC85">
        <f t="shared" si="14"/>
        <v>0</v>
      </c>
      <c r="BD85">
        <f t="shared" si="15"/>
        <v>0</v>
      </c>
      <c r="BE85" s="29" cm="1">
        <f t="array" ref="BE85">IF($F$12-$I$4+VLOOKUP($R85,武学奇术!$A:$ZZ,11,FALSE)+SUM(_xlfn.XLOOKUP(S85:AL85,增益!$A:$A,增益!$K:$K,0))&gt;0,($F$12-$I$4+VLOOKUP($R85,武学奇术!$A:$ZZ,11,FALSE)+SUM(_xlfn.XLOOKUP(S85:AL85,增益!$A:$A,增益!$K:$K,0)))/200,($F$12-$I$4+VLOOKUP($R85,武学奇术!$A:$ZZ,11,FALSE)+SUM(_xlfn.XLOOKUP(S85:AL85,增益!$A:$A,增益!$K:$K,0)))/100)</f>
        <v>-0.3</v>
      </c>
      <c r="BF85" s="29" cm="1">
        <f t="array" ref="BF85">$G$12+VLOOKUP($R85,武学奇术!$A:$ZZ,12,FALSE)+SUM(_xlfn.XLOOKUP(S85:AL85,增益!$A:$A,增益!$L:$L,0))</f>
        <v>0</v>
      </c>
      <c r="BG85">
        <f t="shared" si="16"/>
        <v>0</v>
      </c>
      <c r="BH85">
        <f t="shared" si="17"/>
        <v>0</v>
      </c>
      <c r="BI85" s="29" cm="1">
        <f t="array" ref="BI85">IF($F$13-$I$4+VLOOKUP($R85,武学奇术!$A:$ZZ,13,FALSE)+SUM(_xlfn.XLOOKUP(S85:AL85,增益!$A:$A,增益!$M:$M,0))&gt;0,($F$13-$I$4+VLOOKUP($R85,武学奇术!$A:$ZZ,13,FALSE)+SUM(_xlfn.XLOOKUP(S85:AL85,增益!$A:$A,增益!$K:$K,0)))/200,($F$13-$I$4+VLOOKUP($R85,武学奇术!$A:$ZZ,13,FALSE)+SUM(_xlfn.XLOOKUP(S85:AL85,增益!$A:$A,增益!$M:$M,0)))/100)</f>
        <v>-0.3</v>
      </c>
      <c r="BJ85" s="29" cm="1">
        <f t="array" ref="BJ85">$G$13+VLOOKUP($R85,武学奇术!$A:$ZZ,14,FALSE)+SUM(_xlfn.XLOOKUP(S85:AL85,增益!$A:$A,增益!$N:$N,0))</f>
        <v>0</v>
      </c>
      <c r="BK85">
        <f t="shared" si="18"/>
        <v>618.2</v>
      </c>
      <c r="BL85">
        <f t="shared" si="19"/>
        <v>1805</v>
      </c>
      <c r="BM85" s="29" cm="1">
        <f t="array" ref="BM85">IF($F$14-$I$4+VLOOKUP($R85,武学奇术!$A:$ZZ,15,FALSE)+SUM(_xlfn.XLOOKUP(S85:AL85,增益!$A:$A,增益!$O:$O,0))&gt;0,($F$14-$I$4+VLOOKUP($R85,武学奇术!$A:$ZZ,15,FALSE)+SUM(_xlfn.XLOOKUP(S85:AL85,增益!$A:$A,增益!$O:$O,0)))/200,($F$14-$I$4+VLOOKUP($R85,武学奇术!$A:$ZZ,15,FALSE)+SUM(_xlfn.XLOOKUP(S85:AL85,增益!$A:$A,增益!$O:$O,0)))/100)</f>
        <v>0</v>
      </c>
      <c r="BN85" s="29" cm="1">
        <f t="array" ref="BN85">$G$14+VLOOKUP($R85,武学奇术!$A:$ZZ,16,FALSE)+SUM(_xlfn.XLOOKUP(S85:AL85,增益!$A:$A,增益!$P:$P,0))</f>
        <v>0.15</v>
      </c>
      <c r="BO85" s="23">
        <f>MIN(IF(VLOOKUP($R85,武学奇术!$A:$ZZ,23,FALSE)=1,100%,$B$8),100%)</f>
        <v>0.9943</v>
      </c>
      <c r="BP85" s="23" cm="1">
        <f t="array" ref="BP85">IF(VLOOKUP($R85,武学奇术!$A:$ZZ,23,FALSE)=1,100%,MIN(80%,$B$9+VLOOKUP($R85,武学奇术!$A:$ZZ,17,FALSE)+SUM(_xlfn.XLOOKUP(S85:AL85,增益!$A:$A,增益!$Q:$Q,0)))+$B$11+SUM(_xlfn.XLOOKUP(S85:AL85,增益!$A:$A,增益!$U:$U,0)))*IF(VLOOKUP($R85,武学奇术!$A:$ZZ,24,FALSE)=1,0,1)</f>
        <v>0.8</v>
      </c>
      <c r="BQ85" s="23" cm="1">
        <f t="array" ref="BQ85">1+$B$13+VLOOKUP($R85,武学奇术!$A:$ZZ,18,FALSE)+SUM(_xlfn.XLOOKUP(S85:AL85,增益!$A:$A,增益!$R:$R,0))</f>
        <v>1.894</v>
      </c>
      <c r="BR85" s="23" cm="1">
        <f t="array" ref="BR85">IF(VLOOKUP($R85,武学奇术!$A:$ZZ,24,FALSE)=1,100%,MIN(40%,$B$10+VLOOKUP($R85,武学奇术!$A:$ZZ,19,FALSE)+SUM(_xlfn.XLOOKUP(S85:AL85,增益!$A:$A,增益!$S:$S,0)))+$B$12+SUM(_xlfn.XLOOKUP(S85:AL85,增益!$A:$A,增益!$V:$V,0)))*IF(VLOOKUP($R85,武学奇术!$A:$ZZ,23,FALSE)=1,0,1)</f>
        <v>0.0913</v>
      </c>
      <c r="BS85" s="23" cm="1">
        <f t="array" ref="BS85">1+$B$14+VLOOKUP($R85,武学奇术!$A:$ZZ,20,FALSE)+SUM(_xlfn.XLOOKUP(S85:AL85,增益!$A:$A,增益!$T:$T,0))</f>
        <v>1.35</v>
      </c>
      <c r="BT85" s="23">
        <f t="shared" si="20"/>
        <v>0.79544</v>
      </c>
      <c r="BU85" s="23">
        <f t="shared" si="21"/>
        <v>0.10808041</v>
      </c>
      <c r="BV85" s="23">
        <f>IF(VLOOKUP($R85,武学奇术!$A:$ZZ,22,FALSE)=1,0,(1-$BO85))*(1-$BR85)</f>
        <v>0.00517959000000003</v>
      </c>
      <c r="BW85" s="23" cm="1">
        <f t="array" ref="BW85">SUM(_xlfn.XLOOKUP(S85:AL85,增益!$A:$A,增益!$W:$W,0))+$I$5</f>
        <v>0.21</v>
      </c>
      <c r="BX85" s="23">
        <f>VLOOKUP($R85,武学奇术!$A:$ZZ,32,FALSE)</f>
        <v>0</v>
      </c>
      <c r="BY85" s="23" cm="1">
        <f t="array" ref="BY85">SUM(_xlfn.XLOOKUP($S85:$AL85,增益!$A:$A,增益!$X:$X,0))</f>
        <v>0</v>
      </c>
    </row>
    <row r="86" spans="2:77">
      <c r="K86" s="35">
        <f>$L86*VLOOKUP($R86,武学奇术!$A:$ZZ,31,FALSE)</f>
        <v>96883.6276922993</v>
      </c>
      <c r="L86" s="69">
        <f t="shared" si="22"/>
        <v>94983.9487179405</v>
      </c>
      <c r="M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轻击",$B$21,0))*(1+IF(VLOOKUP($R86,武学奇术!$A:$ZZ,30,FALSE)="老鼠",$B$22,0))*(1+$BW86)*(1+$BX86)</f>
        <v>102270.362876658</v>
      </c>
      <c r="N86" s="35">
        <f>(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轻击",$B$21,0))*(1+IF(VLOOKUP($R86,武学奇术!$A:$ZZ,30,FALSE)="老鼠",$B$22,0))*(1+$BW86))*(1+$BX86)</f>
        <v>82761.8976474746</v>
      </c>
      <c r="O86" s="35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轻击",$B$21,0))*(1+IF(VLOOKUP($R86,武学奇术!$A:$ZZ,30,FALSE)="老鼠",$B$22,0))*(1+$BW86)*(1+$BX86)</f>
        <v>53997.023694117</v>
      </c>
      <c r="P86" s="35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轻击",$B$21,0))*(1+IF(VLOOKUP($R86,武学奇术!$A:$ZZ,30,FALSE)="老鼠",$B$22,0))*(1+$BW86)*(1+$BX86)</f>
        <v>46688.9380197344</v>
      </c>
      <c r="Q86" s="70">
        <v>4</v>
      </c>
      <c r="R86" s="37" t="s">
        <v>106</v>
      </c>
      <c r="S86" s="37" t="s">
        <v>91</v>
      </c>
      <c r="T86" s="37" t="s">
        <v>185</v>
      </c>
      <c r="U86" s="37" t="s">
        <v>112</v>
      </c>
      <c r="V86" s="37" t="s">
        <v>113</v>
      </c>
      <c r="W86" s="37" t="s">
        <v>82</v>
      </c>
      <c r="X86" s="37" t="s">
        <v>81</v>
      </c>
      <c r="Y86" s="37" t="s">
        <v>109</v>
      </c>
      <c r="Z86" s="37" t="s">
        <v>81</v>
      </c>
      <c r="AA86" s="37" t="s">
        <v>81</v>
      </c>
      <c r="AB86" s="37" t="s">
        <v>183</v>
      </c>
      <c r="AC86" s="37" t="s">
        <v>81</v>
      </c>
      <c r="AD86" s="37" t="s">
        <v>81</v>
      </c>
      <c r="AE86" s="37" t="s">
        <v>86</v>
      </c>
      <c r="AF86" s="37" t="s">
        <v>81</v>
      </c>
      <c r="AG86" s="37" t="s">
        <v>87</v>
      </c>
      <c r="AH86" s="37" t="s">
        <v>81</v>
      </c>
      <c r="AI86" s="37" t="s">
        <v>81</v>
      </c>
      <c r="AJ86" s="37" t="s">
        <v>81</v>
      </c>
      <c r="AK86" s="37" t="s">
        <v>81</v>
      </c>
      <c r="AL86" s="37" t="s">
        <v>81</v>
      </c>
      <c r="AM86" t="str">
        <f>VLOOKUP($R86,武学奇术!$A:$ZZ,25,FALSE)</f>
        <v>绳镖</v>
      </c>
      <c r="AN86" s="23">
        <f>VLOOKUP($R86,武学奇术!$A:$ZZ,26,FALSE)</f>
        <v>0.3675</v>
      </c>
      <c r="AO86" s="24">
        <f>VLOOKUP($R86,武学奇术!$A:$ZZ,27,FALSE)*(1+IF(OR($AM86=$F$4,$AM86=$F$5),$B$23,0))</f>
        <v>0</v>
      </c>
      <c r="AP86" s="23">
        <f>VLOOKUP($R86,武学奇术!$A:$ZZ,28,FALSE)</f>
        <v>0.55125</v>
      </c>
      <c r="AQ86" s="24">
        <f>VLOOKUP($R86,武学奇术!$A:$ZZ,29,FALSE)*(1+IF(OR($AM86=$F$4,$AM86=$F$5),$B$23,0))</f>
        <v>0</v>
      </c>
      <c r="AR86" s="23" cm="1">
        <f t="array" ref="AR86">$G$3+IFERROR(VLOOKUP($AM86,$F$4:$G$7,2,FALSE),0)+VLOOKUP($R86,武学奇术!$A:$ZZ,2,FALSE)+SUM(_xlfn.XLOOKUP($S86:$AL86,增益!$A:$A,增益!$B:$B,0))</f>
        <v>1.3443</v>
      </c>
      <c r="AS86" s="23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4081.7</v>
      </c>
      <c r="AU86" cm="1">
        <f t="array" ref="AU86">$E$10*(1+$AS86)+VLOOKUP($R86,武学奇术!$A:$ZZ,4,FALSE)+SUM(_xlfn.XLOOKUP($S86:$AL86,增益!$A:$A,增益!$D:$D,0))-$I$2</f>
        <v>4081.7</v>
      </c>
      <c r="AV86" s="29" cm="1">
        <f t="array" ref="AV86">IF($F$10-$I$3+VLOOKUP($R86,武学奇术!$A:$ZZ,6,FALSE)+SUM(_xlfn.XLOOKUP(S86:AL86,增益!$A:$A,增益!$F:$F,0))&gt;0,($F$10-$I$3+VLOOKUP($R86,武学奇术!$A:$ZZ,6,FALSE)+SUM(_xlfn.XLOOKUP(S86:AL86,增益!$A:$A,增益!$F:$F,0)))/200,($F$10-$I$3+VLOOKUP($R86,武学奇术!$A:$ZZ,6,FALSE)+SUM(_xlfn.XLOOKUP(S86:AL86,增益!$A:$A,增益!$F:$F,0)))/100)</f>
        <v>0.3689</v>
      </c>
      <c r="AW86" s="29" cm="1">
        <f t="array" ref="AW86">$G$10+VLOOKUP($R86,武学奇术!$A:$ZZ,7,FALSE)+SUM(_xlfn.XLOOKUP(S86:AL86,增益!$A:$A,增益!$G:$G,0))</f>
        <v>0.27</v>
      </c>
      <c r="AX86" s="23" cm="1">
        <f t="array" ref="AX86">VLOOKUP($R86,武学奇术!$A:$ZZ,8,FALSE)+SUM(_xlfn.XLOOKUP(S86:AL86,增益!$A:$A,增益!$H:$H,0))</f>
        <v>0</v>
      </c>
      <c r="AY86">
        <f t="shared" si="12"/>
        <v>0</v>
      </c>
      <c r="AZ86">
        <f t="shared" si="13"/>
        <v>0</v>
      </c>
      <c r="BA86" s="29" cm="1">
        <f t="array" ref="BA86">IF($F$11-$I$4+VLOOKUP($R86,武学奇术!$A:$ZZ,9,FALSE)+SUM(_xlfn.XLOOKUP(S86:AL86,增益!$A:$A,增益!$I:$I,0))&gt;0,($F$11-$I$4+VLOOKUP($R86,武学奇术!$A:$ZZ,9,FALSE)+SUM(_xlfn.XLOOKUP(S86:AL86,增益!$A:$A,增益!$I:$I,0)))/200,($F$11-$I$4+VLOOKUP($R86,武学奇术!$A:$ZZ,9,FALSE)+SUM(_xlfn.XLOOKUP(S86:AL86,增益!$A:$A,增益!$I:$I,0)))/100)</f>
        <v>-0.3</v>
      </c>
      <c r="BB86" s="29" cm="1">
        <f t="array" ref="BB86">$G$11+VLOOKUP($R86,武学奇术!$A:$ZZ,10,FALSE)+SUM(_xlfn.XLOOKUP(S86:AL86,增益!$A:$A,增益!$J:$J,0))</f>
        <v>0</v>
      </c>
      <c r="BC86">
        <f t="shared" si="14"/>
        <v>0</v>
      </c>
      <c r="BD86">
        <f t="shared" si="15"/>
        <v>0</v>
      </c>
      <c r="BE86" s="29" cm="1">
        <f t="array" ref="BE86">IF($F$12-$I$4+VLOOKUP($R86,武学奇术!$A:$ZZ,11,FALSE)+SUM(_xlfn.XLOOKUP(S86:AL86,增益!$A:$A,增益!$K:$K,0))&gt;0,($F$12-$I$4+VLOOKUP($R86,武学奇术!$A:$ZZ,11,FALSE)+SUM(_xlfn.XLOOKUP(S86:AL86,增益!$A:$A,增益!$K:$K,0)))/200,($F$12-$I$4+VLOOKUP($R86,武学奇术!$A:$ZZ,11,FALSE)+SUM(_xlfn.XLOOKUP(S86:AL86,增益!$A:$A,增益!$K:$K,0)))/100)</f>
        <v>-0.3</v>
      </c>
      <c r="BF86" s="29" cm="1">
        <f t="array" ref="BF86">$G$12+VLOOKUP($R86,武学奇术!$A:$ZZ,12,FALSE)+SUM(_xlfn.XLOOKUP(S86:AL86,增益!$A:$A,增益!$L:$L,0))</f>
        <v>0</v>
      </c>
      <c r="BG86">
        <f t="shared" si="16"/>
        <v>0</v>
      </c>
      <c r="BH86">
        <f t="shared" si="17"/>
        <v>0</v>
      </c>
      <c r="BI86" s="29" cm="1">
        <f t="array" ref="BI86">IF($F$13-$I$4+VLOOKUP($R86,武学奇术!$A:$ZZ,13,FALSE)+SUM(_xlfn.XLOOKUP(S86:AL86,增益!$A:$A,增益!$M:$M,0))&gt;0,($F$13-$I$4+VLOOKUP($R86,武学奇术!$A:$ZZ,13,FALSE)+SUM(_xlfn.XLOOKUP(S86:AL86,增益!$A:$A,增益!$K:$K,0)))/200,($F$13-$I$4+VLOOKUP($R86,武学奇术!$A:$ZZ,13,FALSE)+SUM(_xlfn.XLOOKUP(S86:AL86,增益!$A:$A,增益!$M:$M,0)))/100)</f>
        <v>-0.3</v>
      </c>
      <c r="BJ86" s="29" cm="1">
        <f t="array" ref="BJ86">$G$13+VLOOKUP($R86,武学奇术!$A:$ZZ,14,FALSE)+SUM(_xlfn.XLOOKUP(S86:AL86,增益!$A:$A,增益!$N:$N,0))</f>
        <v>0</v>
      </c>
      <c r="BK86">
        <f t="shared" si="18"/>
        <v>618.2</v>
      </c>
      <c r="BL86">
        <f t="shared" si="19"/>
        <v>1805</v>
      </c>
      <c r="BM86" s="29" cm="1">
        <f t="array" ref="BM86">IF($F$14-$I$4+VLOOKUP($R86,武学奇术!$A:$ZZ,15,FALSE)+SUM(_xlfn.XLOOKUP(S86:AL86,增益!$A:$A,增益!$O:$O,0))&gt;0,($F$14-$I$4+VLOOKUP($R86,武学奇术!$A:$ZZ,15,FALSE)+SUM(_xlfn.XLOOKUP(S86:AL86,增益!$A:$A,增益!$O:$O,0)))/200,($F$14-$I$4+VLOOKUP($R86,武学奇术!$A:$ZZ,15,FALSE)+SUM(_xlfn.XLOOKUP(S86:AL86,增益!$A:$A,增益!$O:$O,0)))/100)</f>
        <v>0.05</v>
      </c>
      <c r="BN86" s="29" cm="1">
        <f t="array" ref="BN86">$G$14+VLOOKUP($R86,武学奇术!$A:$ZZ,16,FALSE)+SUM(_xlfn.XLOOKUP(S86:AL86,增益!$A:$A,增益!$P:$P,0))</f>
        <v>0.42</v>
      </c>
      <c r="BO86" s="23">
        <f>MIN(IF(VLOOKUP($R86,武学奇术!$A:$ZZ,23,FALSE)=1,100%,$B$8),100%)</f>
        <v>0.9943</v>
      </c>
      <c r="BP86" s="23" cm="1">
        <f t="array" ref="BP86">IF(VLOOKUP($R86,武学奇术!$A:$ZZ,23,FALSE)=1,100%,MIN(80%,$B$9+VLOOKUP($R86,武学奇术!$A:$ZZ,17,FALSE)+SUM(_xlfn.XLOOKUP(S86:AL86,增益!$A:$A,增益!$Q:$Q,0)))+$B$11+SUM(_xlfn.XLOOKUP(S86:AL86,增益!$A:$A,增益!$U:$U,0)))*IF(VLOOKUP($R86,武学奇术!$A:$ZZ,24,FALSE)=1,0,1)</f>
        <v>0.8</v>
      </c>
      <c r="BQ86" s="23" cm="1">
        <f t="array" ref="BQ86">1+$B$13+VLOOKUP($R86,武学奇术!$A:$ZZ,18,FALSE)+SUM(_xlfn.XLOOKUP(S86:AL86,增益!$A:$A,增益!$R:$R,0))</f>
        <v>1.894</v>
      </c>
      <c r="BR86" s="23" cm="1">
        <f t="array" ref="BR86">IF(VLOOKUP($R86,武学奇术!$A:$ZZ,24,FALSE)=1,100%,MIN(40%,$B$10+VLOOKUP($R86,武学奇术!$A:$ZZ,19,FALSE)+SUM(_xlfn.XLOOKUP(S86:AL86,增益!$A:$A,增益!$S:$S,0)))+$B$12+SUM(_xlfn.XLOOKUP(S86:AL86,增益!$A:$A,增益!$V:$V,0)))*IF(VLOOKUP($R86,武学奇术!$A:$ZZ,23,FALSE)=1,0,1)</f>
        <v>0.0913</v>
      </c>
      <c r="BS86" s="23" cm="1">
        <f t="array" ref="BS86">1+$B$14+VLOOKUP($R86,武学奇术!$A:$ZZ,20,FALSE)+SUM(_xlfn.XLOOKUP(S86:AL86,增益!$A:$A,增益!$T:$T,0))</f>
        <v>1.35</v>
      </c>
      <c r="BT86" s="23">
        <f t="shared" si="20"/>
        <v>0.79544</v>
      </c>
      <c r="BU86" s="23">
        <f t="shared" si="21"/>
        <v>0.10808041</v>
      </c>
      <c r="BV86" s="23">
        <f>IF(VLOOKUP($R86,武学奇术!$A:$ZZ,22,FALSE)=1,0,(1-$BO86))*(1-$BR86)</f>
        <v>0.00517959000000003</v>
      </c>
      <c r="BW86" s="23" cm="1">
        <f t="array" ref="BW86">SUM(_xlfn.XLOOKUP(S86:AL86,增益!$A:$A,增益!$W:$W,0))+$I$5</f>
        <v>0.21</v>
      </c>
      <c r="BX86" s="23">
        <f>VLOOKUP($R86,武学奇术!$A:$ZZ,32,FALSE)</f>
        <v>0</v>
      </c>
      <c r="BY86" s="23" cm="1">
        <f t="array" ref="BY86">SUM(_xlfn.XLOOKUP($S86:$AL86,增益!$A:$A,增益!$X:$X,0))</f>
        <v>0</v>
      </c>
    </row>
    <row r="87" spans="2:77">
      <c r="K87" s="35">
        <f>$L87*VLOOKUP($R87,武学奇术!$A:$ZZ,31,FALSE)</f>
        <v>65813.4278404212</v>
      </c>
      <c r="L87" s="35">
        <f t="shared" si="22"/>
        <v>64522.9684710012</v>
      </c>
      <c r="M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轻击",$B$21,0))*(1+IF(VLOOKUP($R87,武学奇术!$A:$ZZ,30,FALSE)="老鼠",$B$22,0))*(1+$BW87)*(1+$BX87)</f>
        <v>69549.1577818704</v>
      </c>
      <c r="N87" s="35">
        <f>(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轻击",$B$21,0))*(1+IF(VLOOKUP($R87,武学奇术!$A:$ZZ,30,FALSE)="老鼠",$B$22,0))*(1+$BW87))*(1+$BX87)</f>
        <v>55470.0554110029</v>
      </c>
      <c r="O87" s="35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轻击",$B$21,0))*(1+IF(VLOOKUP($R87,武学奇术!$A:$ZZ,30,FALSE)="老鼠",$B$22,0))*(1+$BW87)*(1+$BX87)</f>
        <v>36720.7802438598</v>
      </c>
      <c r="P87" s="35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轻击",$B$21,0))*(1+IF(VLOOKUP($R87,武学奇术!$A:$ZZ,30,FALSE)="老鼠",$B$22,0))*(1+$BW87)*(1+$BX87)</f>
        <v>32352.6305536433</v>
      </c>
      <c r="Q87" s="36">
        <v>1</v>
      </c>
      <c r="R87" s="37" t="s">
        <v>128</v>
      </c>
      <c r="S87" s="37" t="s">
        <v>91</v>
      </c>
      <c r="T87" s="37" t="s">
        <v>185</v>
      </c>
      <c r="U87" s="37" t="s">
        <v>81</v>
      </c>
      <c r="V87" s="37" t="s">
        <v>81</v>
      </c>
      <c r="W87" s="37" t="s">
        <v>82</v>
      </c>
      <c r="X87" s="37" t="s">
        <v>81</v>
      </c>
      <c r="Y87" s="37" t="s">
        <v>81</v>
      </c>
      <c r="Z87" s="37" t="s">
        <v>81</v>
      </c>
      <c r="AA87" s="37" t="s">
        <v>81</v>
      </c>
      <c r="AB87" s="37" t="s">
        <v>183</v>
      </c>
      <c r="AC87" s="37" t="s">
        <v>81</v>
      </c>
      <c r="AD87" s="37" t="s">
        <v>81</v>
      </c>
      <c r="AE87" s="37" t="s">
        <v>86</v>
      </c>
      <c r="AF87" s="37" t="s">
        <v>81</v>
      </c>
      <c r="AG87" s="37" t="s">
        <v>87</v>
      </c>
      <c r="AH87" s="37" t="s">
        <v>81</v>
      </c>
      <c r="AI87" s="37" t="s">
        <v>81</v>
      </c>
      <c r="AJ87" s="37" t="s">
        <v>81</v>
      </c>
      <c r="AK87" s="37" t="s">
        <v>81</v>
      </c>
      <c r="AL87" s="37" t="s">
        <v>81</v>
      </c>
      <c r="AM87" t="str">
        <f>VLOOKUP($R87,武学奇术!$A:$ZZ,25,FALSE)</f>
        <v>双刀</v>
      </c>
      <c r="AN87" s="23">
        <f>VLOOKUP($R87,武学奇术!$A:$ZZ,26,FALSE)</f>
        <v>2.4761</v>
      </c>
      <c r="AO87" s="24">
        <f>VLOOKUP($R87,武学奇术!$A:$ZZ,27,FALSE)*(1+IF(OR($AM87=$F$4,$AM87=$F$5),$B$23,0))</f>
        <v>1096</v>
      </c>
      <c r="AP87" s="23">
        <f>VLOOKUP($R87,武学奇术!$A:$ZZ,28,FALSE)</f>
        <v>3.7142</v>
      </c>
      <c r="AQ87" s="24">
        <f>VLOOKUP($R87,武学奇术!$A:$ZZ,29,FALSE)*(1+IF(OR($AM87=$F$4,$AM87=$F$5),$B$23,0))</f>
        <v>596.8</v>
      </c>
      <c r="AR87" s="23" cm="1">
        <f t="array" ref="AR87">$G$3+IFERROR(VLOOKUP($AM87,$F$4:$G$7,2,FALSE),0)+VLOOKUP($R87,武学奇术!$A:$ZZ,2,FALSE)+SUM(_xlfn.XLOOKUP($S87:$AL87,增益!$A:$A,增益!$B:$B,0))</f>
        <v>0.4243</v>
      </c>
      <c r="AS87" s="23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4013</v>
      </c>
      <c r="AU87" cm="1">
        <f t="array" ref="AU87">$E$10*(1+$AS87)+VLOOKUP($R87,武学奇术!$A:$ZZ,4,FALSE)+SUM(_xlfn.XLOOKUP($S87:$AL87,增益!$A:$A,增益!$D:$D,0))-$I$2</f>
        <v>4013</v>
      </c>
      <c r="AV87" s="29" cm="1">
        <f t="array" ref="AV87">IF($F$10-$I$3+VLOOKUP($R87,武学奇术!$A:$ZZ,6,FALSE)+SUM(_xlfn.XLOOKUP(S87:AL87,增益!$A:$A,增益!$F:$F,0))&gt;0,($F$10-$I$3+VLOOKUP($R87,武学奇术!$A:$ZZ,6,FALSE)+SUM(_xlfn.XLOOKUP(S87:AL87,增益!$A:$A,增益!$F:$F,0)))/200,($F$10-$I$3+VLOOKUP($R87,武学奇术!$A:$ZZ,6,FALSE)+SUM(_xlfn.XLOOKUP(S87:AL87,增益!$A:$A,增益!$F:$F,0)))/100)</f>
        <v>0.3689</v>
      </c>
      <c r="AW87" s="29" cm="1">
        <f t="array" ref="AW87">$G$10+VLOOKUP($R87,武学奇术!$A:$ZZ,7,FALSE)+SUM(_xlfn.XLOOKUP(S87:AL87,增益!$A:$A,增益!$G:$G,0))</f>
        <v>0</v>
      </c>
      <c r="AX87" s="23" cm="1">
        <f t="array" ref="AX87">VLOOKUP($R87,武学奇术!$A:$ZZ,8,FALSE)+SUM(_xlfn.XLOOKUP(S87:AL87,增益!$A:$A,增益!$H:$H,0))</f>
        <v>0</v>
      </c>
      <c r="AY87">
        <f t="shared" si="12"/>
        <v>0</v>
      </c>
      <c r="AZ87">
        <f t="shared" si="13"/>
        <v>0</v>
      </c>
      <c r="BA87" s="29" cm="1">
        <f t="array" ref="BA87">IF($F$11-$I$4+VLOOKUP($R87,武学奇术!$A:$ZZ,9,FALSE)+SUM(_xlfn.XLOOKUP(S87:AL87,增益!$A:$A,增益!$I:$I,0))&gt;0,($F$11-$I$4+VLOOKUP($R87,武学奇术!$A:$ZZ,9,FALSE)+SUM(_xlfn.XLOOKUP(S87:AL87,增益!$A:$A,增益!$I:$I,0)))/200,($F$11-$I$4+VLOOKUP($R87,武学奇术!$A:$ZZ,9,FALSE)+SUM(_xlfn.XLOOKUP(S87:AL87,增益!$A:$A,增益!$I:$I,0)))/100)</f>
        <v>-0.3</v>
      </c>
      <c r="BB87" s="29" cm="1">
        <f t="array" ref="BB87">$G$11+VLOOKUP($R87,武学奇术!$A:$ZZ,10,FALSE)+SUM(_xlfn.XLOOKUP(S87:AL87,增益!$A:$A,增益!$J:$J,0))</f>
        <v>0</v>
      </c>
      <c r="BC87">
        <f t="shared" si="14"/>
        <v>0</v>
      </c>
      <c r="BD87">
        <f t="shared" si="15"/>
        <v>0</v>
      </c>
      <c r="BE87" s="29" cm="1">
        <f t="array" ref="BE87">IF($F$12-$I$4+VLOOKUP($R87,武学奇术!$A:$ZZ,11,FALSE)+SUM(_xlfn.XLOOKUP(S87:AL87,增益!$A:$A,增益!$K:$K,0))&gt;0,($F$12-$I$4+VLOOKUP($R87,武学奇术!$A:$ZZ,11,FALSE)+SUM(_xlfn.XLOOKUP(S87:AL87,增益!$A:$A,增益!$K:$K,0)))/200,($F$12-$I$4+VLOOKUP($R87,武学奇术!$A:$ZZ,11,FALSE)+SUM(_xlfn.XLOOKUP(S87:AL87,增益!$A:$A,增益!$K:$K,0)))/100)</f>
        <v>-0.3</v>
      </c>
      <c r="BF87" s="29" cm="1">
        <f t="array" ref="BF87">$G$12+VLOOKUP($R87,武学奇术!$A:$ZZ,12,FALSE)+SUM(_xlfn.XLOOKUP(S87:AL87,增益!$A:$A,增益!$L:$L,0))</f>
        <v>0</v>
      </c>
      <c r="BG87">
        <f t="shared" si="16"/>
        <v>0</v>
      </c>
      <c r="BH87">
        <f t="shared" si="17"/>
        <v>0</v>
      </c>
      <c r="BI87" s="29" cm="1">
        <f t="array" ref="BI87">IF($F$13-$I$4+VLOOKUP($R87,武学奇术!$A:$ZZ,13,FALSE)+SUM(_xlfn.XLOOKUP(S87:AL87,增益!$A:$A,增益!$M:$M,0))&gt;0,($F$13-$I$4+VLOOKUP($R87,武学奇术!$A:$ZZ,13,FALSE)+SUM(_xlfn.XLOOKUP(S87:AL87,增益!$A:$A,增益!$K:$K,0)))/200,($F$13-$I$4+VLOOKUP($R87,武学奇术!$A:$ZZ,13,FALSE)+SUM(_xlfn.XLOOKUP(S87:AL87,增益!$A:$A,增益!$M:$M,0)))/100)</f>
        <v>-0.3</v>
      </c>
      <c r="BJ87" s="29" cm="1">
        <f t="array" ref="BJ87">$G$13+VLOOKUP($R87,武学奇术!$A:$ZZ,14,FALSE)+SUM(_xlfn.XLOOKUP(S87:AL87,增益!$A:$A,增益!$N:$N,0))</f>
        <v>0</v>
      </c>
      <c r="BK87">
        <f t="shared" si="18"/>
        <v>618.2</v>
      </c>
      <c r="BL87">
        <f t="shared" si="19"/>
        <v>1805</v>
      </c>
      <c r="BM87" s="29" cm="1">
        <f t="array" ref="BM87">IF($F$14-$I$4+VLOOKUP($R87,武学奇术!$A:$ZZ,15,FALSE)+SUM(_xlfn.XLOOKUP(S87:AL87,增益!$A:$A,增益!$O:$O,0))&gt;0,($F$14-$I$4+VLOOKUP($R87,武学奇术!$A:$ZZ,15,FALSE)+SUM(_xlfn.XLOOKUP(S87:AL87,增益!$A:$A,增益!$O:$O,0)))/200,($F$14-$I$4+VLOOKUP($R87,武学奇术!$A:$ZZ,15,FALSE)+SUM(_xlfn.XLOOKUP(S87:AL87,增益!$A:$A,增益!$O:$O,0)))/100)</f>
        <v>0</v>
      </c>
      <c r="BN87" s="29" cm="1">
        <f t="array" ref="BN87">$G$14+VLOOKUP($R87,武学奇术!$A:$ZZ,16,FALSE)+SUM(_xlfn.XLOOKUP(S87:AL87,增益!$A:$A,增益!$P:$P,0))</f>
        <v>0.15</v>
      </c>
      <c r="BO87" s="23">
        <f>MIN(IF(VLOOKUP($R87,武学奇术!$A:$ZZ,23,FALSE)=1,100%,$B$8),100%)</f>
        <v>0.9943</v>
      </c>
      <c r="BP87" s="23" cm="1">
        <f t="array" ref="BP87">IF(VLOOKUP($R87,武学奇术!$A:$ZZ,23,FALSE)=1,100%,MIN(80%,$B$9+VLOOKUP($R87,武学奇术!$A:$ZZ,17,FALSE)+SUM(_xlfn.XLOOKUP(S87:AL87,增益!$A:$A,增益!$Q:$Q,0)))+$B$11+SUM(_xlfn.XLOOKUP(S87:AL87,增益!$A:$A,增益!$U:$U,0)))*IF(VLOOKUP($R87,武学奇术!$A:$ZZ,24,FALSE)=1,0,1)</f>
        <v>0.8</v>
      </c>
      <c r="BQ87" s="23" cm="1">
        <f t="array" ref="BQ87">1+$B$13+VLOOKUP($R87,武学奇术!$A:$ZZ,18,FALSE)+SUM(_xlfn.XLOOKUP(S87:AL87,增益!$A:$A,增益!$R:$R,0))</f>
        <v>1.894</v>
      </c>
      <c r="BR87" s="23" cm="1">
        <f t="array" ref="BR87">IF(VLOOKUP($R87,武学奇术!$A:$ZZ,24,FALSE)=1,100%,MIN(40%,$B$10+VLOOKUP($R87,武学奇术!$A:$ZZ,19,FALSE)+SUM(_xlfn.XLOOKUP(S87:AL87,增益!$A:$A,增益!$S:$S,0)))+$B$12+SUM(_xlfn.XLOOKUP(S87:AL87,增益!$A:$A,增益!$V:$V,0)))*IF(VLOOKUP($R87,武学奇术!$A:$ZZ,23,FALSE)=1,0,1)</f>
        <v>0.0913</v>
      </c>
      <c r="BS87" s="23" cm="1">
        <f t="array" ref="BS87">1+$B$14+VLOOKUP($R87,武学奇术!$A:$ZZ,20,FALSE)+SUM(_xlfn.XLOOKUP(S87:AL87,增益!$A:$A,增益!$T:$T,0))</f>
        <v>1.35</v>
      </c>
      <c r="BT87" s="23">
        <f t="shared" si="20"/>
        <v>0.79544</v>
      </c>
      <c r="BU87" s="23">
        <f t="shared" si="21"/>
        <v>0.10808041</v>
      </c>
      <c r="BV87" s="23">
        <f>IF(VLOOKUP($R87,武学奇术!$A:$ZZ,22,FALSE)=1,0,(1-$BO87))*(1-$BR87)</f>
        <v>0.00517959000000003</v>
      </c>
      <c r="BW87" s="23" cm="1">
        <f t="array" ref="BW87">SUM(_xlfn.XLOOKUP(S87:AL87,增益!$A:$A,增益!$W:$W,0))+$I$5</f>
        <v>0.21</v>
      </c>
      <c r="BX87" s="23">
        <f>VLOOKUP($R87,武学奇术!$A:$ZZ,32,FALSE)</f>
        <v>0</v>
      </c>
      <c r="BY87" s="23" cm="1">
        <f t="array" ref="BY87">SUM(_xlfn.XLOOKUP($S87:$AL87,增益!$A:$A,增益!$X:$X,0))</f>
        <v>0</v>
      </c>
    </row>
    <row r="88" spans="2:77">
      <c r="K88" s="35">
        <f>$L88*VLOOKUP($R88,武学奇术!$A:$ZZ,31,FALSE)</f>
        <v>55255.1812892998</v>
      </c>
      <c r="L88" s="69">
        <f t="shared" si="22"/>
        <v>54171.7463620586</v>
      </c>
      <c r="M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轻击",$B$21,0))*(1+IF(VLOOKUP($R88,武学奇术!$A:$ZZ,30,FALSE)="老鼠",$B$22,0))*(1+$BW88)*(1+$BX88)</f>
        <v>57040.0676020433</v>
      </c>
      <c r="N88" s="35">
        <f>(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轻击",$B$21,0))*(1+IF(VLOOKUP($R88,武学奇术!$A:$ZZ,30,FALSE)="老鼠",$B$22,0))*(1+$BW88))*(1+$BX88)</f>
        <v>53627.3846183737</v>
      </c>
      <c r="O88" s="35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轻击",$B$21,0))*(1+IF(VLOOKUP($R88,武学奇术!$A:$ZZ,30,FALSE)="老鼠",$B$22,0))*(1+$BW88)*(1+$BX88)</f>
        <v>34695.9048674229</v>
      </c>
      <c r="P88" s="35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轻击",$B$21,0))*(1+IF(VLOOKUP($R88,武学奇术!$A:$ZZ,30,FALSE)="老鼠",$B$22,0))*(1+$BW88)*(1+$BX88)</f>
        <v>29667.8211286432</v>
      </c>
      <c r="Q88" s="70">
        <v>3</v>
      </c>
      <c r="R88" s="37" t="s">
        <v>106</v>
      </c>
      <c r="S88" s="37" t="s">
        <v>91</v>
      </c>
      <c r="T88" s="37" t="s">
        <v>185</v>
      </c>
      <c r="U88" s="37" t="s">
        <v>112</v>
      </c>
      <c r="V88" s="37" t="s">
        <v>113</v>
      </c>
      <c r="W88" s="37" t="s">
        <v>82</v>
      </c>
      <c r="X88" s="37" t="s">
        <v>81</v>
      </c>
      <c r="Y88" s="37" t="s">
        <v>109</v>
      </c>
      <c r="Z88" s="37" t="s">
        <v>81</v>
      </c>
      <c r="AA88" s="37" t="s">
        <v>81</v>
      </c>
      <c r="AB88" s="37" t="s">
        <v>81</v>
      </c>
      <c r="AC88" s="37" t="s">
        <v>81</v>
      </c>
      <c r="AD88" s="37" t="s">
        <v>81</v>
      </c>
      <c r="AE88" s="37" t="s">
        <v>81</v>
      </c>
      <c r="AF88" s="37" t="s">
        <v>81</v>
      </c>
      <c r="AG88" s="37" t="s">
        <v>87</v>
      </c>
      <c r="AH88" s="37" t="s">
        <v>81</v>
      </c>
      <c r="AI88" s="37" t="s">
        <v>81</v>
      </c>
      <c r="AJ88" s="37" t="s">
        <v>81</v>
      </c>
      <c r="AK88" s="37" t="s">
        <v>81</v>
      </c>
      <c r="AL88" s="37" t="s">
        <v>81</v>
      </c>
      <c r="AM88" t="str">
        <f>VLOOKUP($R88,武学奇术!$A:$ZZ,25,FALSE)</f>
        <v>绳镖</v>
      </c>
      <c r="AN88" s="23">
        <f>VLOOKUP($R88,武学奇术!$A:$ZZ,26,FALSE)</f>
        <v>0.3675</v>
      </c>
      <c r="AO88" s="24">
        <f>VLOOKUP($R88,武学奇术!$A:$ZZ,27,FALSE)*(1+IF(OR($AM88=$F$4,$AM88=$F$5),$B$23,0))</f>
        <v>0</v>
      </c>
      <c r="AP88" s="23">
        <f>VLOOKUP($R88,武学奇术!$A:$ZZ,28,FALSE)</f>
        <v>0.55125</v>
      </c>
      <c r="AQ88" s="24">
        <f>VLOOKUP($R88,武学奇术!$A:$ZZ,29,FALSE)*(1+IF(OR($AM88=$F$4,$AM88=$F$5),$B$23,0))</f>
        <v>0</v>
      </c>
      <c r="AR88" s="23" cm="1">
        <f t="array" ref="AR88">$G$3+IFERROR(VLOOKUP($AM88,$F$4:$G$7,2,FALSE),0)+VLOOKUP($R88,武学奇术!$A:$ZZ,2,FALSE)+SUM(_xlfn.XLOOKUP($S88:$AL88,增益!$A:$A,增益!$B:$B,0))</f>
        <v>1.3443</v>
      </c>
      <c r="AS88" s="23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4081.7</v>
      </c>
      <c r="AU88" cm="1">
        <f t="array" ref="AU88">$E$10*(1+$AS88)+VLOOKUP($R88,武学奇术!$A:$ZZ,4,FALSE)+SUM(_xlfn.XLOOKUP($S88:$AL88,增益!$A:$A,增益!$D:$D,0))-$I$2</f>
        <v>4081.7</v>
      </c>
      <c r="AV88" s="29" cm="1">
        <f t="array" ref="AV88">IF($F$10-$I$3+VLOOKUP($R88,武学奇术!$A:$ZZ,6,FALSE)+SUM(_xlfn.XLOOKUP(S88:AL88,增益!$A:$A,增益!$F:$F,0))&gt;0,($F$10-$I$3+VLOOKUP($R88,武学奇术!$A:$ZZ,6,FALSE)+SUM(_xlfn.XLOOKUP(S88:AL88,增益!$A:$A,增益!$F:$F,0)))/200,($F$10-$I$3+VLOOKUP($R88,武学奇术!$A:$ZZ,6,FALSE)+SUM(_xlfn.XLOOKUP(S88:AL88,增益!$A:$A,增益!$F:$F,0)))/100)</f>
        <v>0.2439</v>
      </c>
      <c r="AW88" s="29" cm="1">
        <f t="array" ref="AW88">$G$10+VLOOKUP($R88,武学奇术!$A:$ZZ,7,FALSE)+SUM(_xlfn.XLOOKUP(S88:AL88,增益!$A:$A,增益!$G:$G,0))</f>
        <v>0.27</v>
      </c>
      <c r="AX88" s="23" cm="1">
        <f t="array" ref="AX88">VLOOKUP($R88,武学奇术!$A:$ZZ,8,FALSE)+SUM(_xlfn.XLOOKUP(S88:AL88,增益!$A:$A,增益!$H:$H,0))</f>
        <v>0</v>
      </c>
      <c r="AY88">
        <f t="shared" si="12"/>
        <v>0</v>
      </c>
      <c r="AZ88">
        <f t="shared" si="13"/>
        <v>0</v>
      </c>
      <c r="BA88" s="29" cm="1">
        <f t="array" ref="BA88">IF($F$11-$I$4+VLOOKUP($R88,武学奇术!$A:$ZZ,9,FALSE)+SUM(_xlfn.XLOOKUP(S88:AL88,增益!$A:$A,增益!$I:$I,0))&gt;0,($F$11-$I$4+VLOOKUP($R88,武学奇术!$A:$ZZ,9,FALSE)+SUM(_xlfn.XLOOKUP(S88:AL88,增益!$A:$A,增益!$I:$I,0)))/200,($F$11-$I$4+VLOOKUP($R88,武学奇术!$A:$ZZ,9,FALSE)+SUM(_xlfn.XLOOKUP(S88:AL88,增益!$A:$A,增益!$I:$I,0)))/100)</f>
        <v>-0.3</v>
      </c>
      <c r="BB88" s="29" cm="1">
        <f t="array" ref="BB88">$G$11+VLOOKUP($R88,武学奇术!$A:$ZZ,10,FALSE)+SUM(_xlfn.XLOOKUP(S88:AL88,增益!$A:$A,增益!$J:$J,0))</f>
        <v>0</v>
      </c>
      <c r="BC88">
        <f t="shared" si="14"/>
        <v>0</v>
      </c>
      <c r="BD88">
        <f t="shared" si="15"/>
        <v>0</v>
      </c>
      <c r="BE88" s="29" cm="1">
        <f t="array" ref="BE88">IF($F$12-$I$4+VLOOKUP($R88,武学奇术!$A:$ZZ,11,FALSE)+SUM(_xlfn.XLOOKUP(S88:AL88,增益!$A:$A,增益!$K:$K,0))&gt;0,($F$12-$I$4+VLOOKUP($R88,武学奇术!$A:$ZZ,11,FALSE)+SUM(_xlfn.XLOOKUP(S88:AL88,增益!$A:$A,增益!$K:$K,0)))/200,($F$12-$I$4+VLOOKUP($R88,武学奇术!$A:$ZZ,11,FALSE)+SUM(_xlfn.XLOOKUP(S88:AL88,增益!$A:$A,增益!$K:$K,0)))/100)</f>
        <v>-0.3</v>
      </c>
      <c r="BF88" s="29" cm="1">
        <f t="array" ref="BF88">$G$12+VLOOKUP($R88,武学奇术!$A:$ZZ,12,FALSE)+SUM(_xlfn.XLOOKUP(S88:AL88,增益!$A:$A,增益!$L:$L,0))</f>
        <v>0</v>
      </c>
      <c r="BG88">
        <f t="shared" si="16"/>
        <v>0</v>
      </c>
      <c r="BH88">
        <f t="shared" si="17"/>
        <v>0</v>
      </c>
      <c r="BI88" s="29" cm="1">
        <f t="array" ref="BI88">IF($F$13-$I$4+VLOOKUP($R88,武学奇术!$A:$ZZ,13,FALSE)+SUM(_xlfn.XLOOKUP(S88:AL88,增益!$A:$A,增益!$M:$M,0))&gt;0,($F$13-$I$4+VLOOKUP($R88,武学奇术!$A:$ZZ,13,FALSE)+SUM(_xlfn.XLOOKUP(S88:AL88,增益!$A:$A,增益!$K:$K,0)))/200,($F$13-$I$4+VLOOKUP($R88,武学奇术!$A:$ZZ,13,FALSE)+SUM(_xlfn.XLOOKUP(S88:AL88,增益!$A:$A,增益!$M:$M,0)))/100)</f>
        <v>-0.3</v>
      </c>
      <c r="BJ88" s="29" cm="1">
        <f t="array" ref="BJ88">$G$13+VLOOKUP($R88,武学奇术!$A:$ZZ,14,FALSE)+SUM(_xlfn.XLOOKUP(S88:AL88,增益!$A:$A,增益!$N:$N,0))</f>
        <v>0</v>
      </c>
      <c r="BK88">
        <f t="shared" si="18"/>
        <v>618.2</v>
      </c>
      <c r="BL88">
        <f t="shared" si="19"/>
        <v>1805</v>
      </c>
      <c r="BM88" s="29" cm="1">
        <f t="array" ref="BM88">IF($F$14-$I$4+VLOOKUP($R88,武学奇术!$A:$ZZ,15,FALSE)+SUM(_xlfn.XLOOKUP(S88:AL88,增益!$A:$A,增益!$O:$O,0))&gt;0,($F$14-$I$4+VLOOKUP($R88,武学奇术!$A:$ZZ,15,FALSE)+SUM(_xlfn.XLOOKUP(S88:AL88,增益!$A:$A,增益!$O:$O,0)))/200,($F$14-$I$4+VLOOKUP($R88,武学奇术!$A:$ZZ,15,FALSE)+SUM(_xlfn.XLOOKUP(S88:AL88,增益!$A:$A,增益!$O:$O,0)))/100)</f>
        <v>0.05</v>
      </c>
      <c r="BN88" s="29" cm="1">
        <f t="array" ref="BN88">$G$14+VLOOKUP($R88,武学奇术!$A:$ZZ,16,FALSE)+SUM(_xlfn.XLOOKUP(S88:AL88,增益!$A:$A,增益!$P:$P,0))</f>
        <v>0.42</v>
      </c>
      <c r="BO88" s="23">
        <f>MIN(IF(VLOOKUP($R88,武学奇术!$A:$ZZ,23,FALSE)=1,100%,$B$8),100%)</f>
        <v>0.9943</v>
      </c>
      <c r="BP88" s="23" cm="1">
        <f t="array" ref="BP88">IF(VLOOKUP($R88,武学奇术!$A:$ZZ,23,FALSE)=1,100%,MIN(80%,$B$9+VLOOKUP($R88,武学奇术!$A:$ZZ,17,FALSE)+SUM(_xlfn.XLOOKUP(S88:AL88,增益!$A:$A,增益!$Q:$Q,0)))+$B$11+SUM(_xlfn.XLOOKUP(S88:AL88,增益!$A:$A,增益!$U:$U,0)))*IF(VLOOKUP($R88,武学奇术!$A:$ZZ,24,FALSE)=1,0,1)</f>
        <v>0.8</v>
      </c>
      <c r="BQ88" s="23" cm="1">
        <f t="array" ref="BQ88">1+$B$13+VLOOKUP($R88,武学奇术!$A:$ZZ,18,FALSE)+SUM(_xlfn.XLOOKUP(S88:AL88,增益!$A:$A,增益!$R:$R,0))</f>
        <v>1.644</v>
      </c>
      <c r="BR88" s="23" cm="1">
        <f t="array" ref="BR88">IF(VLOOKUP($R88,武学奇术!$A:$ZZ,24,FALSE)=1,100%,MIN(40%,$B$10+VLOOKUP($R88,武学奇术!$A:$ZZ,19,FALSE)+SUM(_xlfn.XLOOKUP(S88:AL88,增益!$A:$A,增益!$S:$S,0)))+$B$12+SUM(_xlfn.XLOOKUP(S88:AL88,增益!$A:$A,增益!$V:$V,0)))*IF(VLOOKUP($R88,武学奇术!$A:$ZZ,23,FALSE)=1,0,1)</f>
        <v>0.0913</v>
      </c>
      <c r="BS88" s="23" cm="1">
        <f t="array" ref="BS88">1+$B$14+VLOOKUP($R88,武学奇术!$A:$ZZ,20,FALSE)+SUM(_xlfn.XLOOKUP(S88:AL88,增益!$A:$A,增益!$T:$T,0))</f>
        <v>1.35</v>
      </c>
      <c r="BT88" s="23">
        <f t="shared" si="20"/>
        <v>0.79544</v>
      </c>
      <c r="BU88" s="23">
        <f t="shared" si="21"/>
        <v>0.10808041</v>
      </c>
      <c r="BV88" s="23">
        <f>IF(VLOOKUP($R88,武学奇术!$A:$ZZ,22,FALSE)=1,0,(1-$BO88))*(1-$BR88)</f>
        <v>0.00517959000000003</v>
      </c>
      <c r="BW88" s="23" cm="1">
        <f t="array" ref="BW88">SUM(_xlfn.XLOOKUP(S88:AL88,增益!$A:$A,增益!$W:$W,0))+$I$5</f>
        <v>0.11</v>
      </c>
      <c r="BX88" s="23">
        <f>VLOOKUP($R88,武学奇术!$A:$ZZ,32,FALSE)</f>
        <v>0</v>
      </c>
      <c r="BY88" s="23" cm="1">
        <f t="array" ref="BY88">SUM(_xlfn.XLOOKUP($S88:$AL88,增益!$A:$A,增益!$X:$X,0))</f>
        <v>0</v>
      </c>
    </row>
    <row r="89" spans="2:77">
      <c r="K89" s="35">
        <f>$L89*VLOOKUP($R89,武学奇术!$A:$ZZ,31,FALSE)</f>
        <v>31665.2832824341</v>
      </c>
      <c r="L89" s="35">
        <f t="shared" si="22"/>
        <v>28272.5743593162</v>
      </c>
      <c r="M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轻击",$B$21,0))*(1+IF(VLOOKUP($R89,武学奇术!$A:$ZZ,30,FALSE)="老鼠",$B$22,0))*(1+$BW89)*(1+$BX89)</f>
        <v>29742.5205359834</v>
      </c>
      <c r="N89" s="35">
        <f>(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轻击",$B$21,0))*(1+IF(VLOOKUP($R89,武学奇术!$A:$ZZ,30,FALSE)="老鼠",$B$22,0))*(1+$BW89))*(1+$BX89)</f>
        <v>18803.030476432</v>
      </c>
      <c r="O89" s="35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轻击",$B$21,0))*(1+IF(VLOOKUP($R89,武学奇术!$A:$ZZ,30,FALSE)="老鼠",$B$22,0))*(1+$BW89)*(1+$BX89)</f>
        <v>12423.7763308201</v>
      </c>
      <c r="P89" s="35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轻击",$B$21,0))*(1+IF(VLOOKUP($R89,武学奇术!$A:$ZZ,30,FALSE)="老鼠",$B$22,0))*(1+$BW89)*(1+$BX89)</f>
        <v>10919.3819383573</v>
      </c>
      <c r="Q89" s="36">
        <v>1</v>
      </c>
      <c r="R89" s="37" t="s">
        <v>139</v>
      </c>
      <c r="S89" s="37" t="s">
        <v>91</v>
      </c>
      <c r="T89" s="37" t="s">
        <v>185</v>
      </c>
      <c r="U89" s="37" t="s">
        <v>112</v>
      </c>
      <c r="V89" s="37" t="s">
        <v>113</v>
      </c>
      <c r="W89" s="37" t="s">
        <v>82</v>
      </c>
      <c r="X89" s="37" t="s">
        <v>81</v>
      </c>
      <c r="Y89" s="37" t="s">
        <v>109</v>
      </c>
      <c r="Z89" s="37" t="s">
        <v>83</v>
      </c>
      <c r="AA89" s="37" t="s">
        <v>81</v>
      </c>
      <c r="AB89" s="37" t="s">
        <v>183</v>
      </c>
      <c r="AC89" s="37" t="s">
        <v>81</v>
      </c>
      <c r="AD89" s="37" t="s">
        <v>81</v>
      </c>
      <c r="AE89" s="37" t="s">
        <v>86</v>
      </c>
      <c r="AF89" s="37" t="s">
        <v>81</v>
      </c>
      <c r="AG89" s="37" t="s">
        <v>87</v>
      </c>
      <c r="AH89" s="37" t="s">
        <v>81</v>
      </c>
      <c r="AI89" s="37" t="s">
        <v>81</v>
      </c>
      <c r="AJ89" s="37" t="s">
        <v>81</v>
      </c>
      <c r="AK89" s="37" t="s">
        <v>81</v>
      </c>
      <c r="AL89" s="37" t="s">
        <v>81</v>
      </c>
      <c r="AM89" t="str">
        <f>VLOOKUP($R89,武学奇术!$A:$ZZ,25,FALSE)</f>
        <v>双刀</v>
      </c>
      <c r="AN89" s="23">
        <f>VLOOKUP($R89,武学奇术!$A:$ZZ,26,FALSE)</f>
        <v>0.6472</v>
      </c>
      <c r="AO89" s="24">
        <f>VLOOKUP($R89,武学奇术!$A:$ZZ,27,FALSE)*(1+IF(OR($AM89=$F$4,$AM89=$F$5),$B$23,0))</f>
        <v>288</v>
      </c>
      <c r="AP89" s="23">
        <f>VLOOKUP($R89,武学奇术!$A:$ZZ,28,FALSE)</f>
        <v>0.9708</v>
      </c>
      <c r="AQ89" s="24">
        <f>VLOOKUP($R89,武学奇术!$A:$ZZ,29,FALSE)*(1+IF(OR($AM89=$F$4,$AM89=$F$5),$B$23,0))</f>
        <v>156.8</v>
      </c>
      <c r="AR89" s="23" cm="1">
        <f t="array" ref="AR89">$G$3+IFERROR(VLOOKUP($AM89,$F$4:$G$7,2,FALSE),0)+VLOOKUP($R89,武学奇术!$A:$ZZ,2,FALSE)+SUM(_xlfn.XLOOKUP($S89:$AL89,增益!$A:$A,增益!$B:$B,0))</f>
        <v>0.5443</v>
      </c>
      <c r="AS89" s="23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4081.7</v>
      </c>
      <c r="AU89" cm="1">
        <f t="array" ref="AU89">$E$10*(1+$AS89)+VLOOKUP($R89,武学奇术!$A:$ZZ,4,FALSE)+SUM(_xlfn.XLOOKUP($S89:$AL89,增益!$A:$A,增益!$D:$D,0))-$I$2</f>
        <v>4081.7</v>
      </c>
      <c r="AV89" s="29" cm="1">
        <f t="array" ref="AV89">IF($F$10-$I$3+VLOOKUP($R89,武学奇术!$A:$ZZ,6,FALSE)+SUM(_xlfn.XLOOKUP(S89:AL89,增益!$A:$A,增益!$F:$F,0))&gt;0,($F$10-$I$3+VLOOKUP($R89,武学奇术!$A:$ZZ,6,FALSE)+SUM(_xlfn.XLOOKUP(S89:AL89,增益!$A:$A,增益!$F:$F,0)))/200,($F$10-$I$3+VLOOKUP($R89,武学奇术!$A:$ZZ,6,FALSE)+SUM(_xlfn.XLOOKUP(S89:AL89,增益!$A:$A,增益!$F:$F,0)))/100)</f>
        <v>0.3689</v>
      </c>
      <c r="AW89" s="29" cm="1">
        <f t="array" ref="AW89">$G$10+VLOOKUP($R89,武学奇术!$A:$ZZ,7,FALSE)+SUM(_xlfn.XLOOKUP(S89:AL89,增益!$A:$A,增益!$G:$G,0))</f>
        <v>0.06</v>
      </c>
      <c r="AX89" s="23" cm="1">
        <f t="array" ref="AX89">VLOOKUP($R89,武学奇术!$A:$ZZ,8,FALSE)+SUM(_xlfn.XLOOKUP(S89:AL89,增益!$A:$A,增益!$H:$H,0))</f>
        <v>0</v>
      </c>
      <c r="AY89">
        <f t="shared" si="12"/>
        <v>0</v>
      </c>
      <c r="AZ89">
        <f t="shared" si="13"/>
        <v>0</v>
      </c>
      <c r="BA89" s="29" cm="1">
        <f t="array" ref="BA89">IF($F$11-$I$4+VLOOKUP($R89,武学奇术!$A:$ZZ,9,FALSE)+SUM(_xlfn.XLOOKUP(S89:AL89,增益!$A:$A,增益!$I:$I,0))&gt;0,($F$11-$I$4+VLOOKUP($R89,武学奇术!$A:$ZZ,9,FALSE)+SUM(_xlfn.XLOOKUP(S89:AL89,增益!$A:$A,增益!$I:$I,0)))/200,($F$11-$I$4+VLOOKUP($R89,武学奇术!$A:$ZZ,9,FALSE)+SUM(_xlfn.XLOOKUP(S89:AL89,增益!$A:$A,增益!$I:$I,0)))/100)</f>
        <v>-0.3</v>
      </c>
      <c r="BB89" s="29" cm="1">
        <f t="array" ref="BB89">$G$11+VLOOKUP($R89,武学奇术!$A:$ZZ,10,FALSE)+SUM(_xlfn.XLOOKUP(S89:AL89,增益!$A:$A,增益!$J:$J,0))</f>
        <v>0</v>
      </c>
      <c r="BC89">
        <f t="shared" si="14"/>
        <v>0</v>
      </c>
      <c r="BD89">
        <f t="shared" si="15"/>
        <v>0</v>
      </c>
      <c r="BE89" s="29" cm="1">
        <f t="array" ref="BE89">IF($F$12-$I$4+VLOOKUP($R89,武学奇术!$A:$ZZ,11,FALSE)+SUM(_xlfn.XLOOKUP(S89:AL89,增益!$A:$A,增益!$K:$K,0))&gt;0,($F$12-$I$4+VLOOKUP($R89,武学奇术!$A:$ZZ,11,FALSE)+SUM(_xlfn.XLOOKUP(S89:AL89,增益!$A:$A,增益!$K:$K,0)))/200,($F$12-$I$4+VLOOKUP($R89,武学奇术!$A:$ZZ,11,FALSE)+SUM(_xlfn.XLOOKUP(S89:AL89,增益!$A:$A,增益!$K:$K,0)))/100)</f>
        <v>-0.3</v>
      </c>
      <c r="BF89" s="29" cm="1">
        <f t="array" ref="BF89">$G$12+VLOOKUP($R89,武学奇术!$A:$ZZ,12,FALSE)+SUM(_xlfn.XLOOKUP(S89:AL89,增益!$A:$A,增益!$L:$L,0))</f>
        <v>0</v>
      </c>
      <c r="BG89">
        <f t="shared" si="16"/>
        <v>0</v>
      </c>
      <c r="BH89">
        <f t="shared" si="17"/>
        <v>0</v>
      </c>
      <c r="BI89" s="29" cm="1">
        <f t="array" ref="BI89">IF($F$13-$I$4+VLOOKUP($R89,武学奇术!$A:$ZZ,13,FALSE)+SUM(_xlfn.XLOOKUP(S89:AL89,增益!$A:$A,增益!$M:$M,0))&gt;0,($F$13-$I$4+VLOOKUP($R89,武学奇术!$A:$ZZ,13,FALSE)+SUM(_xlfn.XLOOKUP(S89:AL89,增益!$A:$A,增益!$K:$K,0)))/200,($F$13-$I$4+VLOOKUP($R89,武学奇术!$A:$ZZ,13,FALSE)+SUM(_xlfn.XLOOKUP(S89:AL89,增益!$A:$A,增益!$M:$M,0)))/100)</f>
        <v>-0.3</v>
      </c>
      <c r="BJ89" s="29" cm="1">
        <f t="array" ref="BJ89">$G$13+VLOOKUP($R89,武学奇术!$A:$ZZ,14,FALSE)+SUM(_xlfn.XLOOKUP(S89:AL89,增益!$A:$A,增益!$N:$N,0))</f>
        <v>0</v>
      </c>
      <c r="BK89">
        <f t="shared" si="18"/>
        <v>618.2</v>
      </c>
      <c r="BL89">
        <f t="shared" si="19"/>
        <v>1805</v>
      </c>
      <c r="BM89" s="29" cm="1">
        <f t="array" ref="BM89">IF($F$14-$I$4+VLOOKUP($R89,武学奇术!$A:$ZZ,15,FALSE)+SUM(_xlfn.XLOOKUP(S89:AL89,增益!$A:$A,增益!$O:$O,0))&gt;0,($F$14-$I$4+VLOOKUP($R89,武学奇术!$A:$ZZ,15,FALSE)+SUM(_xlfn.XLOOKUP(S89:AL89,增益!$A:$A,增益!$O:$O,0)))/200,($F$14-$I$4+VLOOKUP($R89,武学奇术!$A:$ZZ,15,FALSE)+SUM(_xlfn.XLOOKUP(S89:AL89,增益!$A:$A,增益!$O:$O,0)))/100)</f>
        <v>0.05</v>
      </c>
      <c r="BN89" s="29" cm="1">
        <f t="array" ref="BN89">$G$14+VLOOKUP($R89,武学奇术!$A:$ZZ,16,FALSE)+SUM(_xlfn.XLOOKUP(S89:AL89,增益!$A:$A,增益!$P:$P,0))</f>
        <v>0.21</v>
      </c>
      <c r="BO89" s="23">
        <f>MIN(IF(VLOOKUP($R89,武学奇术!$A:$ZZ,23,FALSE)=1,100%,$B$8),100%)</f>
        <v>0.9943</v>
      </c>
      <c r="BP89" s="23" cm="1">
        <f t="array" ref="BP89">IF(VLOOKUP($R89,武学奇术!$A:$ZZ,23,FALSE)=1,100%,MIN(80%,$B$9+VLOOKUP($R89,武学奇术!$A:$ZZ,17,FALSE)+SUM(_xlfn.XLOOKUP(S89:AL89,增益!$A:$A,增益!$Q:$Q,0)))+$B$11+SUM(_xlfn.XLOOKUP(S89:AL89,增益!$A:$A,增益!$U:$U,0)))*IF(VLOOKUP($R89,武学奇术!$A:$ZZ,24,FALSE)=1,0,1)</f>
        <v>0.887</v>
      </c>
      <c r="BQ89" s="23" cm="1">
        <f t="array" ref="BQ89">1+$B$13+VLOOKUP($R89,武学奇术!$A:$ZZ,18,FALSE)+SUM(_xlfn.XLOOKUP(S89:AL89,增益!$A:$A,增益!$R:$R,0))</f>
        <v>2.394</v>
      </c>
      <c r="BR89" s="23" cm="1">
        <f t="array" ref="BR89">IF(VLOOKUP($R89,武学奇术!$A:$ZZ,24,FALSE)=1,100%,MIN(40%,$B$10+VLOOKUP($R89,武学奇术!$A:$ZZ,19,FALSE)+SUM(_xlfn.XLOOKUP(S89:AL89,增益!$A:$A,增益!$S:$S,0)))+$B$12+SUM(_xlfn.XLOOKUP(S89:AL89,增益!$A:$A,增益!$V:$V,0)))*IF(VLOOKUP($R89,武学奇术!$A:$ZZ,23,FALSE)=1,0,1)</f>
        <v>0.0913</v>
      </c>
      <c r="BS89" s="23" cm="1">
        <f t="array" ref="BS89">1+$B$14+VLOOKUP($R89,武学奇术!$A:$ZZ,20,FALSE)+SUM(_xlfn.XLOOKUP(S89:AL89,增益!$A:$A,增益!$T:$T,0))</f>
        <v>1.35</v>
      </c>
      <c r="BT89" s="23">
        <f t="shared" si="20"/>
        <v>0.8819441</v>
      </c>
      <c r="BU89" s="23">
        <f t="shared" si="21"/>
        <v>0.0215763099999999</v>
      </c>
      <c r="BV89" s="23">
        <f>IF(VLOOKUP($R89,武学奇术!$A:$ZZ,22,FALSE)=1,0,(1-$BO89))*(1-$BR89)</f>
        <v>0.00517959000000003</v>
      </c>
      <c r="BW89" s="23" cm="1">
        <f t="array" ref="BW89">SUM(_xlfn.XLOOKUP(S89:AL89,增益!$A:$A,增益!$W:$W,0))+$I$5</f>
        <v>0.21</v>
      </c>
      <c r="BX89" s="23">
        <f>VLOOKUP($R89,武学奇术!$A:$ZZ,32,FALSE)</f>
        <v>0.1</v>
      </c>
      <c r="BY89" s="23" cm="1">
        <f t="array" ref="BY89">SUM(_xlfn.XLOOKUP($S89:$AL89,增益!$A:$A,增益!$X:$X,0))</f>
        <v>0</v>
      </c>
    </row>
    <row r="90" spans="2:77">
      <c r="K90" s="35">
        <f>$L90*VLOOKUP($R90,武学奇术!$A:$ZZ,31,FALSE)</f>
        <v>44077.5471215881</v>
      </c>
      <c r="L90" s="35">
        <f t="shared" si="22"/>
        <v>39354.9527871323</v>
      </c>
      <c r="M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轻击",$B$21,0))*(1+IF(VLOOKUP($R90,武学奇术!$A:$ZZ,30,FALSE)="老鼠",$B$22,0))*(1+$BW90)*(1+$BX90)</f>
        <v>41401.0037905006</v>
      </c>
      <c r="N90" s="35">
        <f>(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轻击",$B$21,0))*(1+IF(VLOOKUP($R90,武学奇术!$A:$ZZ,30,FALSE)="老鼠",$B$22,0))*(1+$BW90))*(1+$BX90)</f>
        <v>26174.4225287035</v>
      </c>
      <c r="O90" s="35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轻击",$B$21,0))*(1+IF(VLOOKUP($R90,武学奇术!$A:$ZZ,30,FALSE)="老鼠",$B$22,0))*(1+$BW90)*(1+$BX90)</f>
        <v>17293.6523769844</v>
      </c>
      <c r="P90" s="35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轻击",$B$21,0))*(1+IF(VLOOKUP($R90,武学奇术!$A:$ZZ,30,FALSE)="老鼠",$B$22,0))*(1+$BW90)*(1+$BX90)</f>
        <v>15198.8436215957</v>
      </c>
      <c r="Q90" s="36">
        <v>1</v>
      </c>
      <c r="R90" s="37" t="s">
        <v>143</v>
      </c>
      <c r="S90" s="37" t="s">
        <v>91</v>
      </c>
      <c r="T90" s="37" t="s">
        <v>185</v>
      </c>
      <c r="U90" s="37" t="s">
        <v>112</v>
      </c>
      <c r="V90" s="37" t="s">
        <v>113</v>
      </c>
      <c r="W90" s="37" t="s">
        <v>82</v>
      </c>
      <c r="X90" s="37" t="s">
        <v>81</v>
      </c>
      <c r="Y90" s="37" t="s">
        <v>109</v>
      </c>
      <c r="Z90" s="37" t="s">
        <v>83</v>
      </c>
      <c r="AA90" s="37" t="s">
        <v>81</v>
      </c>
      <c r="AB90" s="37" t="s">
        <v>183</v>
      </c>
      <c r="AC90" s="37" t="s">
        <v>81</v>
      </c>
      <c r="AD90" s="37" t="s">
        <v>81</v>
      </c>
      <c r="AE90" s="37" t="s">
        <v>86</v>
      </c>
      <c r="AF90" s="37" t="s">
        <v>81</v>
      </c>
      <c r="AG90" s="37" t="s">
        <v>87</v>
      </c>
      <c r="AH90" s="37" t="s">
        <v>81</v>
      </c>
      <c r="AI90" s="37" t="s">
        <v>81</v>
      </c>
      <c r="AJ90" s="37" t="s">
        <v>81</v>
      </c>
      <c r="AK90" s="37" t="s">
        <v>81</v>
      </c>
      <c r="AL90" s="37" t="s">
        <v>81</v>
      </c>
      <c r="AM90" t="str">
        <f>VLOOKUP($R90,武学奇术!$A:$ZZ,25,FALSE)</f>
        <v>双刀</v>
      </c>
      <c r="AN90" s="23">
        <f>VLOOKUP($R90,武学奇术!$A:$ZZ,26,FALSE)</f>
        <v>0.9012</v>
      </c>
      <c r="AO90" s="24">
        <f>VLOOKUP($R90,武学奇术!$A:$ZZ,27,FALSE)*(1+IF(OR($AM90=$F$4,$AM90=$F$5),$B$23,0))</f>
        <v>400</v>
      </c>
      <c r="AP90" s="23">
        <f>VLOOKUP($R90,武学奇术!$A:$ZZ,28,FALSE)</f>
        <v>1.3518</v>
      </c>
      <c r="AQ90" s="24">
        <f>VLOOKUP($R90,武学奇术!$A:$ZZ,29,FALSE)*(1+IF(OR($AM90=$F$4,$AM90=$F$5),$B$23,0))</f>
        <v>217.6</v>
      </c>
      <c r="AR90" s="23" cm="1">
        <f t="array" ref="AR90">$G$3+IFERROR(VLOOKUP($AM90,$F$4:$G$7,2,FALSE),0)+VLOOKUP($R90,武学奇术!$A:$ZZ,2,FALSE)+SUM(_xlfn.XLOOKUP($S90:$AL90,增益!$A:$A,增益!$B:$B,0))</f>
        <v>0.5443</v>
      </c>
      <c r="AS90" s="23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4081.7</v>
      </c>
      <c r="AU90" cm="1">
        <f t="array" ref="AU90">$E$10*(1+$AS90)+VLOOKUP($R90,武学奇术!$A:$ZZ,4,FALSE)+SUM(_xlfn.XLOOKUP($S90:$AL90,增益!$A:$A,增益!$D:$D,0))-$I$2</f>
        <v>4081.7</v>
      </c>
      <c r="AV90" s="29" cm="1">
        <f t="array" ref="AV90">IF($F$10-$I$3+VLOOKUP($R90,武学奇术!$A:$ZZ,6,FALSE)+SUM(_xlfn.XLOOKUP(S90:AL90,增益!$A:$A,增益!$F:$F,0))&gt;0,($F$10-$I$3+VLOOKUP($R90,武学奇术!$A:$ZZ,6,FALSE)+SUM(_xlfn.XLOOKUP(S90:AL90,增益!$A:$A,增益!$F:$F,0)))/200,($F$10-$I$3+VLOOKUP($R90,武学奇术!$A:$ZZ,6,FALSE)+SUM(_xlfn.XLOOKUP(S90:AL90,增益!$A:$A,增益!$F:$F,0)))/100)</f>
        <v>0.3689</v>
      </c>
      <c r="AW90" s="29" cm="1">
        <f t="array" ref="AW90">$G$10+VLOOKUP($R90,武学奇术!$A:$ZZ,7,FALSE)+SUM(_xlfn.XLOOKUP(S90:AL90,增益!$A:$A,增益!$G:$G,0))</f>
        <v>0.06</v>
      </c>
      <c r="AX90" s="23" cm="1">
        <f t="array" ref="AX90">VLOOKUP($R90,武学奇术!$A:$ZZ,8,FALSE)+SUM(_xlfn.XLOOKUP(S90:AL90,增益!$A:$A,增益!$H:$H,0))</f>
        <v>0</v>
      </c>
      <c r="AY90">
        <f t="shared" si="12"/>
        <v>0</v>
      </c>
      <c r="AZ90">
        <f t="shared" si="13"/>
        <v>0</v>
      </c>
      <c r="BA90" s="29" cm="1">
        <f t="array" ref="BA90">IF($F$11-$I$4+VLOOKUP($R90,武学奇术!$A:$ZZ,9,FALSE)+SUM(_xlfn.XLOOKUP(S90:AL90,增益!$A:$A,增益!$I:$I,0))&gt;0,($F$11-$I$4+VLOOKUP($R90,武学奇术!$A:$ZZ,9,FALSE)+SUM(_xlfn.XLOOKUP(S90:AL90,增益!$A:$A,增益!$I:$I,0)))/200,($F$11-$I$4+VLOOKUP($R90,武学奇术!$A:$ZZ,9,FALSE)+SUM(_xlfn.XLOOKUP(S90:AL90,增益!$A:$A,增益!$I:$I,0)))/100)</f>
        <v>-0.3</v>
      </c>
      <c r="BB90" s="29" cm="1">
        <f t="array" ref="BB90">$G$11+VLOOKUP($R90,武学奇术!$A:$ZZ,10,FALSE)+SUM(_xlfn.XLOOKUP(S90:AL90,增益!$A:$A,增益!$J:$J,0))</f>
        <v>0</v>
      </c>
      <c r="BC90">
        <f t="shared" si="14"/>
        <v>0</v>
      </c>
      <c r="BD90">
        <f t="shared" si="15"/>
        <v>0</v>
      </c>
      <c r="BE90" s="29" cm="1">
        <f t="array" ref="BE90">IF($F$12-$I$4+VLOOKUP($R90,武学奇术!$A:$ZZ,11,FALSE)+SUM(_xlfn.XLOOKUP(S90:AL90,增益!$A:$A,增益!$K:$K,0))&gt;0,($F$12-$I$4+VLOOKUP($R90,武学奇术!$A:$ZZ,11,FALSE)+SUM(_xlfn.XLOOKUP(S90:AL90,增益!$A:$A,增益!$K:$K,0)))/200,($F$12-$I$4+VLOOKUP($R90,武学奇术!$A:$ZZ,11,FALSE)+SUM(_xlfn.XLOOKUP(S90:AL90,增益!$A:$A,增益!$K:$K,0)))/100)</f>
        <v>-0.3</v>
      </c>
      <c r="BF90" s="29" cm="1">
        <f t="array" ref="BF90">$G$12+VLOOKUP($R90,武学奇术!$A:$ZZ,12,FALSE)+SUM(_xlfn.XLOOKUP(S90:AL90,增益!$A:$A,增益!$L:$L,0))</f>
        <v>0</v>
      </c>
      <c r="BG90">
        <f t="shared" si="16"/>
        <v>0</v>
      </c>
      <c r="BH90">
        <f t="shared" si="17"/>
        <v>0</v>
      </c>
      <c r="BI90" s="29" cm="1">
        <f t="array" ref="BI90">IF($F$13-$I$4+VLOOKUP($R90,武学奇术!$A:$ZZ,13,FALSE)+SUM(_xlfn.XLOOKUP(S90:AL90,增益!$A:$A,增益!$M:$M,0))&gt;0,($F$13-$I$4+VLOOKUP($R90,武学奇术!$A:$ZZ,13,FALSE)+SUM(_xlfn.XLOOKUP(S90:AL90,增益!$A:$A,增益!$K:$K,0)))/200,($F$13-$I$4+VLOOKUP($R90,武学奇术!$A:$ZZ,13,FALSE)+SUM(_xlfn.XLOOKUP(S90:AL90,增益!$A:$A,增益!$M:$M,0)))/100)</f>
        <v>-0.3</v>
      </c>
      <c r="BJ90" s="29" cm="1">
        <f t="array" ref="BJ90">$G$13+VLOOKUP($R90,武学奇术!$A:$ZZ,14,FALSE)+SUM(_xlfn.XLOOKUP(S90:AL90,增益!$A:$A,增益!$N:$N,0))</f>
        <v>0</v>
      </c>
      <c r="BK90">
        <f t="shared" si="18"/>
        <v>618.2</v>
      </c>
      <c r="BL90">
        <f t="shared" si="19"/>
        <v>1805</v>
      </c>
      <c r="BM90" s="29" cm="1">
        <f t="array" ref="BM90">IF($F$14-$I$4+VLOOKUP($R90,武学奇术!$A:$ZZ,15,FALSE)+SUM(_xlfn.XLOOKUP(S90:AL90,增益!$A:$A,增益!$O:$O,0))&gt;0,($F$14-$I$4+VLOOKUP($R90,武学奇术!$A:$ZZ,15,FALSE)+SUM(_xlfn.XLOOKUP(S90:AL90,增益!$A:$A,增益!$O:$O,0)))/200,($F$14-$I$4+VLOOKUP($R90,武学奇术!$A:$ZZ,15,FALSE)+SUM(_xlfn.XLOOKUP(S90:AL90,增益!$A:$A,增益!$O:$O,0)))/100)</f>
        <v>0.05</v>
      </c>
      <c r="BN90" s="29" cm="1">
        <f t="array" ref="BN90">$G$14+VLOOKUP($R90,武学奇术!$A:$ZZ,16,FALSE)+SUM(_xlfn.XLOOKUP(S90:AL90,增益!$A:$A,增益!$P:$P,0))</f>
        <v>0.21</v>
      </c>
      <c r="BO90" s="23">
        <f>MIN(IF(VLOOKUP($R90,武学奇术!$A:$ZZ,23,FALSE)=1,100%,$B$8),100%)</f>
        <v>0.9943</v>
      </c>
      <c r="BP90" s="23" cm="1">
        <f t="array" ref="BP90">IF(VLOOKUP($R90,武学奇术!$A:$ZZ,23,FALSE)=1,100%,MIN(80%,$B$9+VLOOKUP($R90,武学奇术!$A:$ZZ,17,FALSE)+SUM(_xlfn.XLOOKUP(S90:AL90,增益!$A:$A,增益!$Q:$Q,0)))+$B$11+SUM(_xlfn.XLOOKUP(S90:AL90,增益!$A:$A,增益!$U:$U,0)))*IF(VLOOKUP($R90,武学奇术!$A:$ZZ,24,FALSE)=1,0,1)</f>
        <v>0.887</v>
      </c>
      <c r="BQ90" s="23" cm="1">
        <f t="array" ref="BQ90">1+$B$13+VLOOKUP($R90,武学奇术!$A:$ZZ,18,FALSE)+SUM(_xlfn.XLOOKUP(S90:AL90,增益!$A:$A,增益!$R:$R,0))</f>
        <v>2.394</v>
      </c>
      <c r="BR90" s="23" cm="1">
        <f t="array" ref="BR90">IF(VLOOKUP($R90,武学奇术!$A:$ZZ,24,FALSE)=1,100%,MIN(40%,$B$10+VLOOKUP($R90,武学奇术!$A:$ZZ,19,FALSE)+SUM(_xlfn.XLOOKUP(S90:AL90,增益!$A:$A,增益!$S:$S,0)))+$B$12+SUM(_xlfn.XLOOKUP(S90:AL90,增益!$A:$A,增益!$V:$V,0)))*IF(VLOOKUP($R90,武学奇术!$A:$ZZ,23,FALSE)=1,0,1)</f>
        <v>0.0913</v>
      </c>
      <c r="BS90" s="23" cm="1">
        <f t="array" ref="BS90">1+$B$14+VLOOKUP($R90,武学奇术!$A:$ZZ,20,FALSE)+SUM(_xlfn.XLOOKUP(S90:AL90,增益!$A:$A,增益!$T:$T,0))</f>
        <v>1.35</v>
      </c>
      <c r="BT90" s="23">
        <f t="shared" si="20"/>
        <v>0.8819441</v>
      </c>
      <c r="BU90" s="23">
        <f t="shared" si="21"/>
        <v>0.0215763099999999</v>
      </c>
      <c r="BV90" s="23">
        <f>IF(VLOOKUP($R90,武学奇术!$A:$ZZ,22,FALSE)=1,0,(1-$BO90))*(1-$BR90)</f>
        <v>0.00517959000000003</v>
      </c>
      <c r="BW90" s="23" cm="1">
        <f t="array" ref="BW90">SUM(_xlfn.XLOOKUP(S90:AL90,增益!$A:$A,增益!$W:$W,0))+$I$5</f>
        <v>0.21</v>
      </c>
      <c r="BX90" s="23">
        <f>VLOOKUP($R90,武学奇术!$A:$ZZ,32,FALSE)</f>
        <v>0.1</v>
      </c>
      <c r="BY90" s="23" cm="1">
        <f t="array" ref="BY90">SUM(_xlfn.XLOOKUP($S90:$AL90,增益!$A:$A,增益!$X:$X,0))</f>
        <v>0</v>
      </c>
    </row>
    <row r="91" spans="2:77">
      <c r="K91" s="35">
        <f>$L91*VLOOKUP($R91,武学奇术!$A:$ZZ,31,FALSE)</f>
        <v>94072.7910633139</v>
      </c>
      <c r="L91" s="69">
        <f t="shared" si="22"/>
        <v>92228.2265326607</v>
      </c>
      <c r="M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轻击",$B$21,0))*(1+IF(VLOOKUP($R91,武学奇术!$A:$ZZ,30,FALSE)="老鼠",$B$22,0))*(1+$BW91)*(1+$BX91)</f>
        <v>96951.6560427871</v>
      </c>
      <c r="N91" s="35">
        <f>(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轻击",$B$21,0))*(1+IF(VLOOKUP($R91,武学奇术!$A:$ZZ,30,FALSE)="老鼠",$B$22,0))*(1+$BW91))*(1+$BX91)</f>
        <v>62071.4232356059</v>
      </c>
      <c r="O91" s="35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轻击",$B$21,0))*(1+IF(VLOOKUP($R91,武学奇术!$A:$ZZ,30,FALSE)="老鼠",$B$22,0))*(1+$BW91)*(1+$BX91)</f>
        <v>40497.7677705878</v>
      </c>
      <c r="P91" s="35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轻击",$B$21,0))*(1+IF(VLOOKUP($R91,武学奇术!$A:$ZZ,30,FALSE)="老鼠",$B$22,0))*(1+$BW91)*(1+$BX91)</f>
        <v>35016.7035148008</v>
      </c>
      <c r="Q91" s="70">
        <v>3</v>
      </c>
      <c r="R91" s="37" t="s">
        <v>106</v>
      </c>
      <c r="S91" s="37" t="s">
        <v>91</v>
      </c>
      <c r="T91" s="37" t="s">
        <v>185</v>
      </c>
      <c r="U91" s="37" t="s">
        <v>112</v>
      </c>
      <c r="V91" s="37" t="s">
        <v>113</v>
      </c>
      <c r="W91" s="37" t="s">
        <v>82</v>
      </c>
      <c r="X91" s="37" t="s">
        <v>81</v>
      </c>
      <c r="Y91" s="37" t="s">
        <v>109</v>
      </c>
      <c r="Z91" s="37" t="s">
        <v>83</v>
      </c>
      <c r="AA91" s="37" t="s">
        <v>81</v>
      </c>
      <c r="AB91" s="37" t="s">
        <v>183</v>
      </c>
      <c r="AC91" s="37" t="s">
        <v>81</v>
      </c>
      <c r="AD91" s="37" t="s">
        <v>81</v>
      </c>
      <c r="AE91" s="37" t="s">
        <v>86</v>
      </c>
      <c r="AF91" s="37" t="s">
        <v>81</v>
      </c>
      <c r="AG91" s="37" t="s">
        <v>87</v>
      </c>
      <c r="AH91" s="37" t="s">
        <v>81</v>
      </c>
      <c r="AI91" s="37" t="s">
        <v>81</v>
      </c>
      <c r="AJ91" s="37" t="s">
        <v>81</v>
      </c>
      <c r="AK91" s="37" t="s">
        <v>81</v>
      </c>
      <c r="AL91" s="37" t="s">
        <v>81</v>
      </c>
      <c r="AM91" t="str">
        <f>VLOOKUP($R91,武学奇术!$A:$ZZ,25,FALSE)</f>
        <v>绳镖</v>
      </c>
      <c r="AN91" s="23">
        <f>VLOOKUP($R91,武学奇术!$A:$ZZ,26,FALSE)</f>
        <v>0.3675</v>
      </c>
      <c r="AO91" s="24">
        <f>VLOOKUP($R91,武学奇术!$A:$ZZ,27,FALSE)*(1+IF(OR($AM91=$F$4,$AM91=$F$5),$B$23,0))</f>
        <v>0</v>
      </c>
      <c r="AP91" s="23">
        <f>VLOOKUP($R91,武学奇术!$A:$ZZ,28,FALSE)</f>
        <v>0.55125</v>
      </c>
      <c r="AQ91" s="24">
        <f>VLOOKUP($R91,武学奇术!$A:$ZZ,29,FALSE)*(1+IF(OR($AM91=$F$4,$AM91=$F$5),$B$23,0))</f>
        <v>0</v>
      </c>
      <c r="AR91" s="23" cm="1">
        <f t="array" ref="AR91">$G$3+IFERROR(VLOOKUP($AM91,$F$4:$G$7,2,FALSE),0)+VLOOKUP($R91,武学奇术!$A:$ZZ,2,FALSE)+SUM(_xlfn.XLOOKUP($S91:$AL91,增益!$A:$A,增益!$B:$B,0))</f>
        <v>1.3443</v>
      </c>
      <c r="AS91" s="23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4081.7</v>
      </c>
      <c r="AU91" cm="1">
        <f t="array" ref="AU91">$E$10*(1+$AS91)+VLOOKUP($R91,武学奇术!$A:$ZZ,4,FALSE)+SUM(_xlfn.XLOOKUP($S91:$AL91,增益!$A:$A,增益!$D:$D,0))-$I$2</f>
        <v>4081.7</v>
      </c>
      <c r="AV91" s="29" cm="1">
        <f t="array" ref="AV91">IF($F$10-$I$3+VLOOKUP($R91,武学奇术!$A:$ZZ,6,FALSE)+SUM(_xlfn.XLOOKUP(S91:AL91,增益!$A:$A,增益!$F:$F,0))&gt;0,($F$10-$I$3+VLOOKUP($R91,武学奇术!$A:$ZZ,6,FALSE)+SUM(_xlfn.XLOOKUP(S91:AL91,增益!$A:$A,增益!$F:$F,0)))/200,($F$10-$I$3+VLOOKUP($R91,武学奇术!$A:$ZZ,6,FALSE)+SUM(_xlfn.XLOOKUP(S91:AL91,增益!$A:$A,增益!$F:$F,0)))/100)</f>
        <v>0.3689</v>
      </c>
      <c r="AW91" s="29" cm="1">
        <f t="array" ref="AW91">$G$10+VLOOKUP($R91,武学奇术!$A:$ZZ,7,FALSE)+SUM(_xlfn.XLOOKUP(S91:AL91,增益!$A:$A,增益!$G:$G,0))</f>
        <v>0.27</v>
      </c>
      <c r="AX91" s="23" cm="1">
        <f t="array" ref="AX91">VLOOKUP($R91,武学奇术!$A:$ZZ,8,FALSE)+SUM(_xlfn.XLOOKUP(S91:AL91,增益!$A:$A,增益!$H:$H,0))</f>
        <v>0</v>
      </c>
      <c r="AY91">
        <f t="shared" si="12"/>
        <v>0</v>
      </c>
      <c r="AZ91">
        <f t="shared" si="13"/>
        <v>0</v>
      </c>
      <c r="BA91" s="29" cm="1">
        <f t="array" ref="BA91">IF($F$11-$I$4+VLOOKUP($R91,武学奇术!$A:$ZZ,9,FALSE)+SUM(_xlfn.XLOOKUP(S91:AL91,增益!$A:$A,增益!$I:$I,0))&gt;0,($F$11-$I$4+VLOOKUP($R91,武学奇术!$A:$ZZ,9,FALSE)+SUM(_xlfn.XLOOKUP(S91:AL91,增益!$A:$A,增益!$I:$I,0)))/200,($F$11-$I$4+VLOOKUP($R91,武学奇术!$A:$ZZ,9,FALSE)+SUM(_xlfn.XLOOKUP(S91:AL91,增益!$A:$A,增益!$I:$I,0)))/100)</f>
        <v>-0.3</v>
      </c>
      <c r="BB91" s="29" cm="1">
        <f t="array" ref="BB91">$G$11+VLOOKUP($R91,武学奇术!$A:$ZZ,10,FALSE)+SUM(_xlfn.XLOOKUP(S91:AL91,增益!$A:$A,增益!$J:$J,0))</f>
        <v>0</v>
      </c>
      <c r="BC91">
        <f t="shared" si="14"/>
        <v>0</v>
      </c>
      <c r="BD91">
        <f t="shared" si="15"/>
        <v>0</v>
      </c>
      <c r="BE91" s="29" cm="1">
        <f t="array" ref="BE91">IF($F$12-$I$4+VLOOKUP($R91,武学奇术!$A:$ZZ,11,FALSE)+SUM(_xlfn.XLOOKUP(S91:AL91,增益!$A:$A,增益!$K:$K,0))&gt;0,($F$12-$I$4+VLOOKUP($R91,武学奇术!$A:$ZZ,11,FALSE)+SUM(_xlfn.XLOOKUP(S91:AL91,增益!$A:$A,增益!$K:$K,0)))/200,($F$12-$I$4+VLOOKUP($R91,武学奇术!$A:$ZZ,11,FALSE)+SUM(_xlfn.XLOOKUP(S91:AL91,增益!$A:$A,增益!$K:$K,0)))/100)</f>
        <v>-0.3</v>
      </c>
      <c r="BF91" s="29" cm="1">
        <f t="array" ref="BF91">$G$12+VLOOKUP($R91,武学奇术!$A:$ZZ,12,FALSE)+SUM(_xlfn.XLOOKUP(S91:AL91,增益!$A:$A,增益!$L:$L,0))</f>
        <v>0</v>
      </c>
      <c r="BG91">
        <f t="shared" si="16"/>
        <v>0</v>
      </c>
      <c r="BH91">
        <f t="shared" si="17"/>
        <v>0</v>
      </c>
      <c r="BI91" s="29" cm="1">
        <f t="array" ref="BI91">IF($F$13-$I$4+VLOOKUP($R91,武学奇术!$A:$ZZ,13,FALSE)+SUM(_xlfn.XLOOKUP(S91:AL91,增益!$A:$A,增益!$M:$M,0))&gt;0,($F$13-$I$4+VLOOKUP($R91,武学奇术!$A:$ZZ,13,FALSE)+SUM(_xlfn.XLOOKUP(S91:AL91,增益!$A:$A,增益!$K:$K,0)))/200,($F$13-$I$4+VLOOKUP($R91,武学奇术!$A:$ZZ,13,FALSE)+SUM(_xlfn.XLOOKUP(S91:AL91,增益!$A:$A,增益!$M:$M,0)))/100)</f>
        <v>-0.3</v>
      </c>
      <c r="BJ91" s="29" cm="1">
        <f t="array" ref="BJ91">$G$13+VLOOKUP($R91,武学奇术!$A:$ZZ,14,FALSE)+SUM(_xlfn.XLOOKUP(S91:AL91,增益!$A:$A,增益!$N:$N,0))</f>
        <v>0</v>
      </c>
      <c r="BK91">
        <f t="shared" si="18"/>
        <v>618.2</v>
      </c>
      <c r="BL91">
        <f t="shared" si="19"/>
        <v>1805</v>
      </c>
      <c r="BM91" s="29" cm="1">
        <f t="array" ref="BM91">IF($F$14-$I$4+VLOOKUP($R91,武学奇术!$A:$ZZ,15,FALSE)+SUM(_xlfn.XLOOKUP(S91:AL91,增益!$A:$A,增益!$O:$O,0))&gt;0,($F$14-$I$4+VLOOKUP($R91,武学奇术!$A:$ZZ,15,FALSE)+SUM(_xlfn.XLOOKUP(S91:AL91,增益!$A:$A,增益!$O:$O,0)))/200,($F$14-$I$4+VLOOKUP($R91,武学奇术!$A:$ZZ,15,FALSE)+SUM(_xlfn.XLOOKUP(S91:AL91,增益!$A:$A,增益!$O:$O,0)))/100)</f>
        <v>0.05</v>
      </c>
      <c r="BN91" s="29" cm="1">
        <f t="array" ref="BN91">$G$14+VLOOKUP($R91,武学奇术!$A:$ZZ,16,FALSE)+SUM(_xlfn.XLOOKUP(S91:AL91,增益!$A:$A,增益!$P:$P,0))</f>
        <v>0.42</v>
      </c>
      <c r="BO91" s="23">
        <f>MIN(IF(VLOOKUP($R91,武学奇术!$A:$ZZ,23,FALSE)=1,100%,$B$8),100%)</f>
        <v>0.9943</v>
      </c>
      <c r="BP91" s="23" cm="1">
        <f t="array" ref="BP91">IF(VLOOKUP($R91,武学奇术!$A:$ZZ,23,FALSE)=1,100%,MIN(80%,$B$9+VLOOKUP($R91,武学奇术!$A:$ZZ,17,FALSE)+SUM(_xlfn.XLOOKUP(S91:AL91,增益!$A:$A,增益!$Q:$Q,0)))+$B$11+SUM(_xlfn.XLOOKUP(S91:AL91,增益!$A:$A,增益!$U:$U,0)))*IF(VLOOKUP($R91,武学奇术!$A:$ZZ,24,FALSE)=1,0,1)</f>
        <v>0.887</v>
      </c>
      <c r="BQ91" s="23" cm="1">
        <f t="array" ref="BQ91">1+$B$13+VLOOKUP($R91,武学奇术!$A:$ZZ,18,FALSE)+SUM(_xlfn.XLOOKUP(S91:AL91,增益!$A:$A,增益!$R:$R,0))</f>
        <v>2.394</v>
      </c>
      <c r="BR91" s="23" cm="1">
        <f t="array" ref="BR91">IF(VLOOKUP($R91,武学奇术!$A:$ZZ,24,FALSE)=1,100%,MIN(40%,$B$10+VLOOKUP($R91,武学奇术!$A:$ZZ,19,FALSE)+SUM(_xlfn.XLOOKUP(S91:AL91,增益!$A:$A,增益!$S:$S,0)))+$B$12+SUM(_xlfn.XLOOKUP(S91:AL91,增益!$A:$A,增益!$V:$V,0)))*IF(VLOOKUP($R91,武学奇术!$A:$ZZ,23,FALSE)=1,0,1)</f>
        <v>0.0913</v>
      </c>
      <c r="BS91" s="23" cm="1">
        <f t="array" ref="BS91">1+$B$14+VLOOKUP($R91,武学奇术!$A:$ZZ,20,FALSE)+SUM(_xlfn.XLOOKUP(S91:AL91,增益!$A:$A,增益!$T:$T,0))</f>
        <v>1.35</v>
      </c>
      <c r="BT91" s="23">
        <f t="shared" si="20"/>
        <v>0.8819441</v>
      </c>
      <c r="BU91" s="23">
        <f t="shared" si="21"/>
        <v>0.0215763099999999</v>
      </c>
      <c r="BV91" s="23">
        <f>IF(VLOOKUP($R91,武学奇术!$A:$ZZ,22,FALSE)=1,0,(1-$BO91))*(1-$BR91)</f>
        <v>0.00517959000000003</v>
      </c>
      <c r="BW91" s="23" cm="1">
        <f t="array" ref="BW91">SUM(_xlfn.XLOOKUP(S91:AL91,增益!$A:$A,增益!$W:$W,0))+$I$5</f>
        <v>0.21</v>
      </c>
      <c r="BX91" s="23">
        <f>VLOOKUP($R91,武学奇术!$A:$ZZ,32,FALSE)</f>
        <v>0</v>
      </c>
      <c r="BY91" s="23" cm="1">
        <f t="array" ref="BY91">SUM(_xlfn.XLOOKUP($S91:$AL91,增益!$A:$A,增益!$X:$X,0))</f>
        <v>0</v>
      </c>
    </row>
    <row r="92" spans="2:77">
      <c r="K92" s="35">
        <f>$L92*VLOOKUP($R92,武学奇术!$A:$ZZ,31,FALSE)</f>
        <v>64854.6765922992</v>
      </c>
      <c r="L92" s="35">
        <f t="shared" si="22"/>
        <v>57905.9612431242</v>
      </c>
      <c r="M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轻击",$B$21,0))*(1+IF(VLOOKUP($R92,武学奇术!$A:$ZZ,30,FALSE)="老鼠",$B$22,0))*(1+$BW92)*(1+$BX92)</f>
        <v>60916.4547262383</v>
      </c>
      <c r="N92" s="35">
        <f>(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轻击",$B$21,0))*(1+IF(VLOOKUP($R92,武学奇术!$A:$ZZ,30,FALSE)="老鼠",$B$22,0))*(1+$BW92))*(1+$BX92)</f>
        <v>38512.6234829715</v>
      </c>
      <c r="O92" s="35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轻击",$B$21,0))*(1+IF(VLOOKUP($R92,武学奇术!$A:$ZZ,30,FALSE)="老鼠",$B$22,0))*(1+$BW92)*(1+$BX92)</f>
        <v>25445.4698104588</v>
      </c>
      <c r="P92" s="35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轻击",$B$21,0))*(1+IF(VLOOKUP($R92,武学奇术!$A:$ZZ,30,FALSE)="老鼠",$B$22,0))*(1+$BW92)*(1+$BX92)</f>
        <v>22363.070374272</v>
      </c>
      <c r="Q92" s="36">
        <v>1</v>
      </c>
      <c r="R92" s="37" t="s">
        <v>148</v>
      </c>
      <c r="S92" s="37" t="s">
        <v>91</v>
      </c>
      <c r="T92" s="37" t="s">
        <v>185</v>
      </c>
      <c r="U92" s="37" t="s">
        <v>112</v>
      </c>
      <c r="V92" s="37" t="s">
        <v>113</v>
      </c>
      <c r="W92" s="37" t="s">
        <v>82</v>
      </c>
      <c r="X92" s="37" t="s">
        <v>81</v>
      </c>
      <c r="Y92" s="37" t="s">
        <v>109</v>
      </c>
      <c r="Z92" s="37" t="s">
        <v>83</v>
      </c>
      <c r="AA92" s="37" t="s">
        <v>81</v>
      </c>
      <c r="AB92" s="37" t="s">
        <v>81</v>
      </c>
      <c r="AC92" s="37" t="s">
        <v>81</v>
      </c>
      <c r="AD92" s="37" t="s">
        <v>81</v>
      </c>
      <c r="AE92" s="37" t="s">
        <v>86</v>
      </c>
      <c r="AF92" s="37" t="s">
        <v>81</v>
      </c>
      <c r="AG92" s="37" t="s">
        <v>87</v>
      </c>
      <c r="AH92" s="37" t="s">
        <v>81</v>
      </c>
      <c r="AI92" s="37" t="s">
        <v>81</v>
      </c>
      <c r="AJ92" s="37" t="s">
        <v>81</v>
      </c>
      <c r="AK92" s="37" t="s">
        <v>81</v>
      </c>
      <c r="AL92" s="37" t="s">
        <v>81</v>
      </c>
      <c r="AM92" t="str">
        <f>VLOOKUP($R92,武学奇术!$A:$ZZ,25,FALSE)</f>
        <v>双刀</v>
      </c>
      <c r="AN92" s="23">
        <f>VLOOKUP($R92,武学奇术!$A:$ZZ,26,FALSE)</f>
        <v>1.4455</v>
      </c>
      <c r="AO92" s="24">
        <f>VLOOKUP($R92,武学奇术!$A:$ZZ,27,FALSE)*(1+IF(OR($AM92=$F$4,$AM92=$F$5),$B$23,0))</f>
        <v>641.6</v>
      </c>
      <c r="AP92" s="23">
        <f>VLOOKUP($R92,武学奇术!$A:$ZZ,28,FALSE)</f>
        <v>2.1683</v>
      </c>
      <c r="AQ92" s="24">
        <f>VLOOKUP($R92,武学奇术!$A:$ZZ,29,FALSE)*(1+IF(OR($AM92=$F$4,$AM92=$F$5),$B$23,0))</f>
        <v>348.8</v>
      </c>
      <c r="AR92" s="23" cm="1">
        <f t="array" ref="AR92">$G$3+IFERROR(VLOOKUP($AM92,$F$4:$G$7,2,FALSE),0)+VLOOKUP($R92,武学奇术!$A:$ZZ,2,FALSE)+SUM(_xlfn.XLOOKUP($S92:$AL92,增益!$A:$A,增益!$B:$B,0))</f>
        <v>0.5443</v>
      </c>
      <c r="AS92" s="23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4081.7</v>
      </c>
      <c r="AU92" cm="1">
        <f t="array" ref="AU92">$E$10*(1+$AS92)+VLOOKUP($R92,武学奇术!$A:$ZZ,4,FALSE)+SUM(_xlfn.XLOOKUP($S92:$AL92,增益!$A:$A,增益!$D:$D,0))-$I$2</f>
        <v>4081.7</v>
      </c>
      <c r="AV92" s="29" cm="1">
        <f t="array" ref="AV92">IF($F$10-$I$3+VLOOKUP($R92,武学奇术!$A:$ZZ,6,FALSE)+SUM(_xlfn.XLOOKUP(S92:AL92,增益!$A:$A,增益!$F:$F,0))&gt;0,($F$10-$I$3+VLOOKUP($R92,武学奇术!$A:$ZZ,6,FALSE)+SUM(_xlfn.XLOOKUP(S92:AL92,增益!$A:$A,增益!$F:$F,0)))/200,($F$10-$I$3+VLOOKUP($R92,武学奇术!$A:$ZZ,6,FALSE)+SUM(_xlfn.XLOOKUP(S92:AL92,增益!$A:$A,增益!$F:$F,0)))/100)</f>
        <v>0.3689</v>
      </c>
      <c r="AW92" s="29" cm="1">
        <f t="array" ref="AW92">$G$10+VLOOKUP($R92,武学奇术!$A:$ZZ,7,FALSE)+SUM(_xlfn.XLOOKUP(S92:AL92,增益!$A:$A,增益!$G:$G,0))</f>
        <v>0.06</v>
      </c>
      <c r="AX92" s="23" cm="1">
        <f t="array" ref="AX92">VLOOKUP($R92,武学奇术!$A:$ZZ,8,FALSE)+SUM(_xlfn.XLOOKUP(S92:AL92,增益!$A:$A,增益!$H:$H,0))</f>
        <v>0</v>
      </c>
      <c r="AY92">
        <f t="shared" si="12"/>
        <v>0</v>
      </c>
      <c r="AZ92">
        <f t="shared" si="13"/>
        <v>0</v>
      </c>
      <c r="BA92" s="29" cm="1">
        <f t="array" ref="BA92">IF($F$11-$I$4+VLOOKUP($R92,武学奇术!$A:$ZZ,9,FALSE)+SUM(_xlfn.XLOOKUP(S92:AL92,增益!$A:$A,增益!$I:$I,0))&gt;0,($F$11-$I$4+VLOOKUP($R92,武学奇术!$A:$ZZ,9,FALSE)+SUM(_xlfn.XLOOKUP(S92:AL92,增益!$A:$A,增益!$I:$I,0)))/200,($F$11-$I$4+VLOOKUP($R92,武学奇术!$A:$ZZ,9,FALSE)+SUM(_xlfn.XLOOKUP(S92:AL92,增益!$A:$A,增益!$I:$I,0)))/100)</f>
        <v>-0.3</v>
      </c>
      <c r="BB92" s="29" cm="1">
        <f t="array" ref="BB92">$G$11+VLOOKUP($R92,武学奇术!$A:$ZZ,10,FALSE)+SUM(_xlfn.XLOOKUP(S92:AL92,增益!$A:$A,增益!$J:$J,0))</f>
        <v>0</v>
      </c>
      <c r="BC92">
        <f t="shared" si="14"/>
        <v>0</v>
      </c>
      <c r="BD92">
        <f t="shared" si="15"/>
        <v>0</v>
      </c>
      <c r="BE92" s="29" cm="1">
        <f t="array" ref="BE92">IF($F$12-$I$4+VLOOKUP($R92,武学奇术!$A:$ZZ,11,FALSE)+SUM(_xlfn.XLOOKUP(S92:AL92,增益!$A:$A,增益!$K:$K,0))&gt;0,($F$12-$I$4+VLOOKUP($R92,武学奇术!$A:$ZZ,11,FALSE)+SUM(_xlfn.XLOOKUP(S92:AL92,增益!$A:$A,增益!$K:$K,0)))/200,($F$12-$I$4+VLOOKUP($R92,武学奇术!$A:$ZZ,11,FALSE)+SUM(_xlfn.XLOOKUP(S92:AL92,增益!$A:$A,增益!$K:$K,0)))/100)</f>
        <v>-0.3</v>
      </c>
      <c r="BF92" s="29" cm="1">
        <f t="array" ref="BF92">$G$12+VLOOKUP($R92,武学奇术!$A:$ZZ,12,FALSE)+SUM(_xlfn.XLOOKUP(S92:AL92,增益!$A:$A,增益!$L:$L,0))</f>
        <v>0</v>
      </c>
      <c r="BG92">
        <f t="shared" si="16"/>
        <v>0</v>
      </c>
      <c r="BH92">
        <f t="shared" si="17"/>
        <v>0</v>
      </c>
      <c r="BI92" s="29" cm="1">
        <f t="array" ref="BI92">IF($F$13-$I$4+VLOOKUP($R92,武学奇术!$A:$ZZ,13,FALSE)+SUM(_xlfn.XLOOKUP(S92:AL92,增益!$A:$A,增益!$M:$M,0))&gt;0,($F$13-$I$4+VLOOKUP($R92,武学奇术!$A:$ZZ,13,FALSE)+SUM(_xlfn.XLOOKUP(S92:AL92,增益!$A:$A,增益!$K:$K,0)))/200,($F$13-$I$4+VLOOKUP($R92,武学奇术!$A:$ZZ,13,FALSE)+SUM(_xlfn.XLOOKUP(S92:AL92,增益!$A:$A,增益!$M:$M,0)))/100)</f>
        <v>-0.3</v>
      </c>
      <c r="BJ92" s="29" cm="1">
        <f t="array" ref="BJ92">$G$13+VLOOKUP($R92,武学奇术!$A:$ZZ,14,FALSE)+SUM(_xlfn.XLOOKUP(S92:AL92,增益!$A:$A,增益!$N:$N,0))</f>
        <v>0</v>
      </c>
      <c r="BK92">
        <f t="shared" si="18"/>
        <v>618.2</v>
      </c>
      <c r="BL92">
        <f t="shared" si="19"/>
        <v>1805</v>
      </c>
      <c r="BM92" s="29" cm="1">
        <f t="array" ref="BM92">IF($F$14-$I$4+VLOOKUP($R92,武学奇术!$A:$ZZ,15,FALSE)+SUM(_xlfn.XLOOKUP(S92:AL92,增益!$A:$A,增益!$O:$O,0))&gt;0,($F$14-$I$4+VLOOKUP($R92,武学奇术!$A:$ZZ,15,FALSE)+SUM(_xlfn.XLOOKUP(S92:AL92,增益!$A:$A,增益!$O:$O,0)))/200,($F$14-$I$4+VLOOKUP($R92,武学奇术!$A:$ZZ,15,FALSE)+SUM(_xlfn.XLOOKUP(S92:AL92,增益!$A:$A,增益!$O:$O,0)))/100)</f>
        <v>0.05</v>
      </c>
      <c r="BN92" s="29" cm="1">
        <f t="array" ref="BN92">$G$14+VLOOKUP($R92,武学奇术!$A:$ZZ,16,FALSE)+SUM(_xlfn.XLOOKUP(S92:AL92,增益!$A:$A,增益!$P:$P,0))</f>
        <v>0.21</v>
      </c>
      <c r="BO92" s="23">
        <f>MIN(IF(VLOOKUP($R92,武学奇术!$A:$ZZ,23,FALSE)=1,100%,$B$8),100%)</f>
        <v>0.9943</v>
      </c>
      <c r="BP92" s="23" cm="1">
        <f t="array" ref="BP92">IF(VLOOKUP($R92,武学奇术!$A:$ZZ,23,FALSE)=1,100%,MIN(80%,$B$9+VLOOKUP($R92,武学奇术!$A:$ZZ,17,FALSE)+SUM(_xlfn.XLOOKUP(S92:AL92,增益!$A:$A,增益!$Q:$Q,0)))+$B$11+SUM(_xlfn.XLOOKUP(S92:AL92,增益!$A:$A,增益!$U:$U,0)))*IF(VLOOKUP($R92,武学奇术!$A:$ZZ,24,FALSE)=1,0,1)</f>
        <v>0.887</v>
      </c>
      <c r="BQ92" s="23" cm="1">
        <f t="array" ref="BQ92">1+$B$13+VLOOKUP($R92,武学奇术!$A:$ZZ,18,FALSE)+SUM(_xlfn.XLOOKUP(S92:AL92,增益!$A:$A,增益!$R:$R,0))</f>
        <v>2.394</v>
      </c>
      <c r="BR92" s="23" cm="1">
        <f t="array" ref="BR92">IF(VLOOKUP($R92,武学奇术!$A:$ZZ,24,FALSE)=1,100%,MIN(40%,$B$10+VLOOKUP($R92,武学奇术!$A:$ZZ,19,FALSE)+SUM(_xlfn.XLOOKUP(S92:AL92,增益!$A:$A,增益!$S:$S,0)))+$B$12+SUM(_xlfn.XLOOKUP(S92:AL92,增益!$A:$A,增益!$V:$V,0)))*IF(VLOOKUP($R92,武学奇术!$A:$ZZ,23,FALSE)=1,0,1)</f>
        <v>0.0913</v>
      </c>
      <c r="BS92" s="23" cm="1">
        <f t="array" ref="BS92">1+$B$14+VLOOKUP($R92,武学奇术!$A:$ZZ,20,FALSE)+SUM(_xlfn.XLOOKUP(S92:AL92,增益!$A:$A,增益!$T:$T,0))</f>
        <v>1.35</v>
      </c>
      <c r="BT92" s="23">
        <f t="shared" si="20"/>
        <v>0.8819441</v>
      </c>
      <c r="BU92" s="23">
        <f t="shared" si="21"/>
        <v>0.0215763099999999</v>
      </c>
      <c r="BV92" s="23">
        <f>IF(VLOOKUP($R92,武学奇术!$A:$ZZ,22,FALSE)=1,0,(1-$BO92))*(1-$BR92)</f>
        <v>0.00517959000000003</v>
      </c>
      <c r="BW92" s="23" cm="1">
        <f t="array" ref="BW92">SUM(_xlfn.XLOOKUP(S92:AL92,增益!$A:$A,增益!$W:$W,0))+$I$5</f>
        <v>0.11</v>
      </c>
      <c r="BX92" s="23">
        <f>VLOOKUP($R92,武学奇术!$A:$ZZ,32,FALSE)</f>
        <v>0.1</v>
      </c>
      <c r="BY92" s="23" cm="1">
        <f t="array" ref="BY92">SUM(_xlfn.XLOOKUP($S92:$AL92,增益!$A:$A,增益!$X:$X,0))</f>
        <v>0</v>
      </c>
    </row>
    <row r="93" spans="2:77">
      <c r="K93" s="35">
        <f>$L93*VLOOKUP($R93,武学奇术!$A:$ZZ,31,FALSE)</f>
        <v>77876.2800987236</v>
      </c>
      <c r="L93" s="35">
        <f t="shared" si="22"/>
        <v>69532.3929452889</v>
      </c>
      <c r="M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轻击",$B$21,0))*(1+IF(VLOOKUP($R93,武学奇术!$A:$ZZ,30,FALSE)="老鼠",$B$22,0))*(1+$BW93)*(1+$BX93)</f>
        <v>73147.328920956</v>
      </c>
      <c r="N93" s="35">
        <f>(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轻击",$B$21,0))*(1+IF(VLOOKUP($R93,武学奇术!$A:$ZZ,30,FALSE)="老鼠",$B$22,0))*(1+$BW93))*(1+$BX93)</f>
        <v>46245.3201169437</v>
      </c>
      <c r="O93" s="35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轻击",$B$21,0))*(1+IF(VLOOKUP($R93,武学奇术!$A:$ZZ,30,FALSE)="老鼠",$B$22,0))*(1+$BW93)*(1+$BX93)</f>
        <v>30554.4398166065</v>
      </c>
      <c r="P93" s="35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轻击",$B$21,0))*(1+IF(VLOOKUP($R93,武学奇术!$A:$ZZ,30,FALSE)="老鼠",$B$22,0))*(1+$BW93)*(1+$BX93)</f>
        <v>26853.0869539955</v>
      </c>
      <c r="Q93" s="36">
        <v>1</v>
      </c>
      <c r="R93" s="37" t="s">
        <v>153</v>
      </c>
      <c r="S93" s="37" t="s">
        <v>91</v>
      </c>
      <c r="T93" s="37" t="s">
        <v>185</v>
      </c>
      <c r="U93" s="37" t="s">
        <v>112</v>
      </c>
      <c r="V93" s="37" t="s">
        <v>113</v>
      </c>
      <c r="W93" s="37" t="s">
        <v>82</v>
      </c>
      <c r="X93" s="37" t="s">
        <v>81</v>
      </c>
      <c r="Y93" s="37" t="s">
        <v>109</v>
      </c>
      <c r="Z93" s="37" t="s">
        <v>83</v>
      </c>
      <c r="AA93" s="37" t="s">
        <v>81</v>
      </c>
      <c r="AB93" s="37" t="s">
        <v>81</v>
      </c>
      <c r="AC93" s="37" t="s">
        <v>81</v>
      </c>
      <c r="AD93" s="37" t="s">
        <v>81</v>
      </c>
      <c r="AE93" s="37" t="s">
        <v>86</v>
      </c>
      <c r="AF93" s="37" t="s">
        <v>81</v>
      </c>
      <c r="AG93" s="37" t="s">
        <v>87</v>
      </c>
      <c r="AH93" s="37" t="s">
        <v>81</v>
      </c>
      <c r="AI93" s="37" t="s">
        <v>81</v>
      </c>
      <c r="AJ93" s="37" t="s">
        <v>81</v>
      </c>
      <c r="AK93" s="37" t="s">
        <v>81</v>
      </c>
      <c r="AL93" s="37" t="s">
        <v>81</v>
      </c>
      <c r="AM93" t="str">
        <f>VLOOKUP($R93,武学奇术!$A:$ZZ,25,FALSE)</f>
        <v>双刀</v>
      </c>
      <c r="AN93" s="23">
        <f>VLOOKUP($R93,武学奇术!$A:$ZZ,26,FALSE)</f>
        <v>1.7358</v>
      </c>
      <c r="AO93" s="24">
        <f>VLOOKUP($R93,武学奇术!$A:$ZZ,27,FALSE)*(1+IF(OR($AM93=$F$4,$AM93=$F$5),$B$23,0))</f>
        <v>769.6</v>
      </c>
      <c r="AP93" s="23">
        <f>VLOOKUP($R93,武学奇术!$A:$ZZ,28,FALSE)</f>
        <v>2.6037</v>
      </c>
      <c r="AQ93" s="24">
        <f>VLOOKUP($R93,武学奇术!$A:$ZZ,29,FALSE)*(1+IF(OR($AM93=$F$4,$AM93=$F$5),$B$23,0))</f>
        <v>419.2</v>
      </c>
      <c r="AR93" s="23" cm="1">
        <f t="array" ref="AR93">$G$3+IFERROR(VLOOKUP($AM93,$F$4:$G$7,2,FALSE),0)+VLOOKUP($R93,武学奇术!$A:$ZZ,2,FALSE)+SUM(_xlfn.XLOOKUP($S93:$AL93,增益!$A:$A,增益!$B:$B,0))</f>
        <v>0.5443</v>
      </c>
      <c r="AS93" s="23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4081.7</v>
      </c>
      <c r="AU93" cm="1">
        <f t="array" ref="AU93">$E$10*(1+$AS93)+VLOOKUP($R93,武学奇术!$A:$ZZ,4,FALSE)+SUM(_xlfn.XLOOKUP($S93:$AL93,增益!$A:$A,增益!$D:$D,0))-$I$2</f>
        <v>4081.7</v>
      </c>
      <c r="AV93" s="29" cm="1">
        <f t="array" ref="AV93">IF($F$10-$I$3+VLOOKUP($R93,武学奇术!$A:$ZZ,6,FALSE)+SUM(_xlfn.XLOOKUP(S93:AL93,增益!$A:$A,增益!$F:$F,0))&gt;0,($F$10-$I$3+VLOOKUP($R93,武学奇术!$A:$ZZ,6,FALSE)+SUM(_xlfn.XLOOKUP(S93:AL93,增益!$A:$A,增益!$F:$F,0)))/200,($F$10-$I$3+VLOOKUP($R93,武学奇术!$A:$ZZ,6,FALSE)+SUM(_xlfn.XLOOKUP(S93:AL93,增益!$A:$A,增益!$F:$F,0)))/100)</f>
        <v>0.3689</v>
      </c>
      <c r="AW93" s="29" cm="1">
        <f t="array" ref="AW93">$G$10+VLOOKUP($R93,武学奇术!$A:$ZZ,7,FALSE)+SUM(_xlfn.XLOOKUP(S93:AL93,增益!$A:$A,增益!$G:$G,0))</f>
        <v>0.06</v>
      </c>
      <c r="AX93" s="23" cm="1">
        <f t="array" ref="AX93">VLOOKUP($R93,武学奇术!$A:$ZZ,8,FALSE)+SUM(_xlfn.XLOOKUP(S93:AL93,增益!$A:$A,增益!$H:$H,0))</f>
        <v>0</v>
      </c>
      <c r="AY93">
        <f t="shared" si="12"/>
        <v>0</v>
      </c>
      <c r="AZ93">
        <f t="shared" si="13"/>
        <v>0</v>
      </c>
      <c r="BA93" s="29" cm="1">
        <f t="array" ref="BA93">IF($F$11-$I$4+VLOOKUP($R93,武学奇术!$A:$ZZ,9,FALSE)+SUM(_xlfn.XLOOKUP(S93:AL93,增益!$A:$A,增益!$I:$I,0))&gt;0,($F$11-$I$4+VLOOKUP($R93,武学奇术!$A:$ZZ,9,FALSE)+SUM(_xlfn.XLOOKUP(S93:AL93,增益!$A:$A,增益!$I:$I,0)))/200,($F$11-$I$4+VLOOKUP($R93,武学奇术!$A:$ZZ,9,FALSE)+SUM(_xlfn.XLOOKUP(S93:AL93,增益!$A:$A,增益!$I:$I,0)))/100)</f>
        <v>-0.3</v>
      </c>
      <c r="BB93" s="29" cm="1">
        <f t="array" ref="BB93">$G$11+VLOOKUP($R93,武学奇术!$A:$ZZ,10,FALSE)+SUM(_xlfn.XLOOKUP(S93:AL93,增益!$A:$A,增益!$J:$J,0))</f>
        <v>0</v>
      </c>
      <c r="BC93">
        <f t="shared" si="14"/>
        <v>0</v>
      </c>
      <c r="BD93">
        <f t="shared" si="15"/>
        <v>0</v>
      </c>
      <c r="BE93" s="29" cm="1">
        <f t="array" ref="BE93">IF($F$12-$I$4+VLOOKUP($R93,武学奇术!$A:$ZZ,11,FALSE)+SUM(_xlfn.XLOOKUP(S93:AL93,增益!$A:$A,增益!$K:$K,0))&gt;0,($F$12-$I$4+VLOOKUP($R93,武学奇术!$A:$ZZ,11,FALSE)+SUM(_xlfn.XLOOKUP(S93:AL93,增益!$A:$A,增益!$K:$K,0)))/200,($F$12-$I$4+VLOOKUP($R93,武学奇术!$A:$ZZ,11,FALSE)+SUM(_xlfn.XLOOKUP(S93:AL93,增益!$A:$A,增益!$K:$K,0)))/100)</f>
        <v>-0.3</v>
      </c>
      <c r="BF93" s="29" cm="1">
        <f t="array" ref="BF93">$G$12+VLOOKUP($R93,武学奇术!$A:$ZZ,12,FALSE)+SUM(_xlfn.XLOOKUP(S93:AL93,增益!$A:$A,增益!$L:$L,0))</f>
        <v>0</v>
      </c>
      <c r="BG93">
        <f t="shared" si="16"/>
        <v>0</v>
      </c>
      <c r="BH93">
        <f t="shared" si="17"/>
        <v>0</v>
      </c>
      <c r="BI93" s="29" cm="1">
        <f t="array" ref="BI93">IF($F$13-$I$4+VLOOKUP($R93,武学奇术!$A:$ZZ,13,FALSE)+SUM(_xlfn.XLOOKUP(S93:AL93,增益!$A:$A,增益!$M:$M,0))&gt;0,($F$13-$I$4+VLOOKUP($R93,武学奇术!$A:$ZZ,13,FALSE)+SUM(_xlfn.XLOOKUP(S93:AL93,增益!$A:$A,增益!$K:$K,0)))/200,($F$13-$I$4+VLOOKUP($R93,武学奇术!$A:$ZZ,13,FALSE)+SUM(_xlfn.XLOOKUP(S93:AL93,增益!$A:$A,增益!$M:$M,0)))/100)</f>
        <v>-0.3</v>
      </c>
      <c r="BJ93" s="29" cm="1">
        <f t="array" ref="BJ93">$G$13+VLOOKUP($R93,武学奇术!$A:$ZZ,14,FALSE)+SUM(_xlfn.XLOOKUP(S93:AL93,增益!$A:$A,增益!$N:$N,0))</f>
        <v>0</v>
      </c>
      <c r="BK93">
        <f t="shared" si="18"/>
        <v>618.2</v>
      </c>
      <c r="BL93">
        <f t="shared" si="19"/>
        <v>1805</v>
      </c>
      <c r="BM93" s="29" cm="1">
        <f t="array" ref="BM93">IF($F$14-$I$4+VLOOKUP($R93,武学奇术!$A:$ZZ,15,FALSE)+SUM(_xlfn.XLOOKUP(S93:AL93,增益!$A:$A,增益!$O:$O,0))&gt;0,($F$14-$I$4+VLOOKUP($R93,武学奇术!$A:$ZZ,15,FALSE)+SUM(_xlfn.XLOOKUP(S93:AL93,增益!$A:$A,增益!$O:$O,0)))/200,($F$14-$I$4+VLOOKUP($R93,武学奇术!$A:$ZZ,15,FALSE)+SUM(_xlfn.XLOOKUP(S93:AL93,增益!$A:$A,增益!$O:$O,0)))/100)</f>
        <v>0.05</v>
      </c>
      <c r="BN93" s="29" cm="1">
        <f t="array" ref="BN93">$G$14+VLOOKUP($R93,武学奇术!$A:$ZZ,16,FALSE)+SUM(_xlfn.XLOOKUP(S93:AL93,增益!$A:$A,增益!$P:$P,0))</f>
        <v>0.21</v>
      </c>
      <c r="BO93" s="23">
        <f>MIN(IF(VLOOKUP($R93,武学奇术!$A:$ZZ,23,FALSE)=1,100%,$B$8),100%)</f>
        <v>0.9943</v>
      </c>
      <c r="BP93" s="23" cm="1">
        <f t="array" ref="BP93">IF(VLOOKUP($R93,武学奇术!$A:$ZZ,23,FALSE)=1,100%,MIN(80%,$B$9+VLOOKUP($R93,武学奇术!$A:$ZZ,17,FALSE)+SUM(_xlfn.XLOOKUP(S93:AL93,增益!$A:$A,增益!$Q:$Q,0)))+$B$11+SUM(_xlfn.XLOOKUP(S93:AL93,增益!$A:$A,增益!$U:$U,0)))*IF(VLOOKUP($R93,武学奇术!$A:$ZZ,24,FALSE)=1,0,1)</f>
        <v>0.887</v>
      </c>
      <c r="BQ93" s="23" cm="1">
        <f t="array" ref="BQ93">1+$B$13+VLOOKUP($R93,武学奇术!$A:$ZZ,18,FALSE)+SUM(_xlfn.XLOOKUP(S93:AL93,增益!$A:$A,增益!$R:$R,0))</f>
        <v>2.394</v>
      </c>
      <c r="BR93" s="23" cm="1">
        <f t="array" ref="BR93">IF(VLOOKUP($R93,武学奇术!$A:$ZZ,24,FALSE)=1,100%,MIN(40%,$B$10+VLOOKUP($R93,武学奇术!$A:$ZZ,19,FALSE)+SUM(_xlfn.XLOOKUP(S93:AL93,增益!$A:$A,增益!$S:$S,0)))+$B$12+SUM(_xlfn.XLOOKUP(S93:AL93,增益!$A:$A,增益!$V:$V,0)))*IF(VLOOKUP($R93,武学奇术!$A:$ZZ,23,FALSE)=1,0,1)</f>
        <v>0.0913</v>
      </c>
      <c r="BS93" s="23" cm="1">
        <f t="array" ref="BS93">1+$B$14+VLOOKUP($R93,武学奇术!$A:$ZZ,20,FALSE)+SUM(_xlfn.XLOOKUP(S93:AL93,增益!$A:$A,增益!$T:$T,0))</f>
        <v>1.35</v>
      </c>
      <c r="BT93" s="23">
        <f t="shared" si="20"/>
        <v>0.8819441</v>
      </c>
      <c r="BU93" s="23">
        <f t="shared" si="21"/>
        <v>0.0215763099999999</v>
      </c>
      <c r="BV93" s="23">
        <f>IF(VLOOKUP($R93,武学奇术!$A:$ZZ,22,FALSE)=1,0,(1-$BO93))*(1-$BR93)</f>
        <v>0.00517959000000003</v>
      </c>
      <c r="BW93" s="23" cm="1">
        <f t="array" ref="BW93">SUM(_xlfn.XLOOKUP(S93:AL93,增益!$A:$A,增益!$W:$W,0))+$I$5</f>
        <v>0.11</v>
      </c>
      <c r="BX93" s="23">
        <f>VLOOKUP($R93,武学奇术!$A:$ZZ,32,FALSE)</f>
        <v>0.1</v>
      </c>
      <c r="BY93" s="23" cm="1">
        <f t="array" ref="BY93">SUM(_xlfn.XLOOKUP($S93:$AL93,增益!$A:$A,增益!$X:$X,0))</f>
        <v>0</v>
      </c>
    </row>
    <row r="94" spans="2:77">
      <c r="B94" s="89"/>
      <c r="K94" s="35">
        <f>$L94*VLOOKUP($R94,武学奇术!$A:$ZZ,31,FALSE)</f>
        <v>113685.467484535</v>
      </c>
      <c r="L94" s="35">
        <f t="shared" si="22"/>
        <v>101504.881682621</v>
      </c>
      <c r="M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轻击",$B$21,0))*(1+IF(VLOOKUP($R94,武学奇术!$A:$ZZ,30,FALSE)="老鼠",$B$22,0))*(1+$BW94)*(1+$BX94)</f>
        <v>106781.996220973</v>
      </c>
      <c r="N94" s="35">
        <f>(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轻击",$B$21,0))*(1+IF(VLOOKUP($R94,武学奇术!$A:$ZZ,30,FALSE)="老鼠",$B$22,0))*(1+$BW94))*(1+$BX94)</f>
        <v>67510.3902317141</v>
      </c>
      <c r="O94" s="35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轻击",$B$21,0))*(1+IF(VLOOKUP($R94,武学奇术!$A:$ZZ,30,FALSE)="老鼠",$B$22,0))*(1+$BW94)*(1+$BX94)</f>
        <v>44604.0084465218</v>
      </c>
      <c r="P94" s="35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轻击",$B$21,0))*(1+IF(VLOOKUP($R94,武学奇术!$A:$ZZ,30,FALSE)="老鼠",$B$22,0))*(1+$BW94)*(1+$BX94)</f>
        <v>39200.3204251072</v>
      </c>
      <c r="Q94" s="36">
        <v>1</v>
      </c>
      <c r="R94" s="37" t="s">
        <v>158</v>
      </c>
      <c r="S94" s="37" t="s">
        <v>91</v>
      </c>
      <c r="T94" s="37" t="s">
        <v>185</v>
      </c>
      <c r="U94" s="37" t="s">
        <v>112</v>
      </c>
      <c r="V94" s="37" t="s">
        <v>113</v>
      </c>
      <c r="W94" s="37" t="s">
        <v>82</v>
      </c>
      <c r="X94" s="37" t="s">
        <v>81</v>
      </c>
      <c r="Y94" s="37" t="s">
        <v>109</v>
      </c>
      <c r="Z94" s="37" t="s">
        <v>83</v>
      </c>
      <c r="AA94" s="37" t="s">
        <v>81</v>
      </c>
      <c r="AB94" s="37" t="s">
        <v>81</v>
      </c>
      <c r="AC94" s="37" t="s">
        <v>81</v>
      </c>
      <c r="AD94" s="37" t="s">
        <v>81</v>
      </c>
      <c r="AE94" s="37" t="s">
        <v>86</v>
      </c>
      <c r="AF94" s="37" t="s">
        <v>81</v>
      </c>
      <c r="AG94" s="37" t="s">
        <v>87</v>
      </c>
      <c r="AH94" s="37" t="s">
        <v>81</v>
      </c>
      <c r="AI94" s="37" t="s">
        <v>81</v>
      </c>
      <c r="AJ94" s="37" t="s">
        <v>81</v>
      </c>
      <c r="AK94" s="37" t="s">
        <v>81</v>
      </c>
      <c r="AL94" s="37" t="s">
        <v>81</v>
      </c>
      <c r="AM94" t="str">
        <f>VLOOKUP($R94,武学奇术!$A:$ZZ,25,FALSE)</f>
        <v>双刀</v>
      </c>
      <c r="AN94" s="23">
        <f>VLOOKUP($R94,武学奇术!$A:$ZZ,26,FALSE)</f>
        <v>2.5342</v>
      </c>
      <c r="AO94" s="24">
        <f>VLOOKUP($R94,武学奇术!$A:$ZZ,27,FALSE)*(1+IF(OR($AM94=$F$4,$AM94=$F$5),$B$23,0))</f>
        <v>1123.2</v>
      </c>
      <c r="AP94" s="23">
        <f>VLOOKUP($R94,武学奇术!$A:$ZZ,28,FALSE)</f>
        <v>3.8012</v>
      </c>
      <c r="AQ94" s="24">
        <f>VLOOKUP($R94,武学奇术!$A:$ZZ,29,FALSE)*(1+IF(OR($AM94=$F$4,$AM94=$F$5),$B$23,0))</f>
        <v>611.2</v>
      </c>
      <c r="AR94" s="23" cm="1">
        <f t="array" ref="AR94">$G$3+IFERROR(VLOOKUP($AM94,$F$4:$G$7,2,FALSE),0)+VLOOKUP($R94,武学奇术!$A:$ZZ,2,FALSE)+SUM(_xlfn.XLOOKUP($S94:$AL94,增益!$A:$A,增益!$B:$B,0))</f>
        <v>0.5443</v>
      </c>
      <c r="AS94" s="23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4081.7</v>
      </c>
      <c r="AU94" cm="1">
        <f t="array" ref="AU94">$E$10*(1+$AS94)+VLOOKUP($R94,武学奇术!$A:$ZZ,4,FALSE)+SUM(_xlfn.XLOOKUP($S94:$AL94,增益!$A:$A,增益!$D:$D,0))-$I$2</f>
        <v>4081.7</v>
      </c>
      <c r="AV94" s="29" cm="1">
        <f t="array" ref="AV94">IF($F$10-$I$3+VLOOKUP($R94,武学奇术!$A:$ZZ,6,FALSE)+SUM(_xlfn.XLOOKUP(S94:AL94,增益!$A:$A,增益!$F:$F,0))&gt;0,($F$10-$I$3+VLOOKUP($R94,武学奇术!$A:$ZZ,6,FALSE)+SUM(_xlfn.XLOOKUP(S94:AL94,增益!$A:$A,增益!$F:$F,0)))/200,($F$10-$I$3+VLOOKUP($R94,武学奇术!$A:$ZZ,6,FALSE)+SUM(_xlfn.XLOOKUP(S94:AL94,增益!$A:$A,增益!$F:$F,0)))/100)</f>
        <v>0.3689</v>
      </c>
      <c r="AW94" s="29" cm="1">
        <f t="array" ref="AW94">$G$10+VLOOKUP($R94,武学奇术!$A:$ZZ,7,FALSE)+SUM(_xlfn.XLOOKUP(S94:AL94,增益!$A:$A,增益!$G:$G,0))</f>
        <v>0.06</v>
      </c>
      <c r="AX94" s="23" cm="1">
        <f t="array" ref="AX94">VLOOKUP($R94,武学奇术!$A:$ZZ,8,FALSE)+SUM(_xlfn.XLOOKUP(S94:AL94,增益!$A:$A,增益!$H:$H,0))</f>
        <v>0</v>
      </c>
      <c r="AY94">
        <f t="shared" si="12"/>
        <v>0</v>
      </c>
      <c r="AZ94">
        <f t="shared" si="13"/>
        <v>0</v>
      </c>
      <c r="BA94" s="29" cm="1">
        <f t="array" ref="BA94">IF($F$11-$I$4+VLOOKUP($R94,武学奇术!$A:$ZZ,9,FALSE)+SUM(_xlfn.XLOOKUP(S94:AL94,增益!$A:$A,增益!$I:$I,0))&gt;0,($F$11-$I$4+VLOOKUP($R94,武学奇术!$A:$ZZ,9,FALSE)+SUM(_xlfn.XLOOKUP(S94:AL94,增益!$A:$A,增益!$I:$I,0)))/200,($F$11-$I$4+VLOOKUP($R94,武学奇术!$A:$ZZ,9,FALSE)+SUM(_xlfn.XLOOKUP(S94:AL94,增益!$A:$A,增益!$I:$I,0)))/100)</f>
        <v>-0.3</v>
      </c>
      <c r="BB94" s="29" cm="1">
        <f t="array" ref="BB94">$G$11+VLOOKUP($R94,武学奇术!$A:$ZZ,10,FALSE)+SUM(_xlfn.XLOOKUP(S94:AL94,增益!$A:$A,增益!$J:$J,0))</f>
        <v>0</v>
      </c>
      <c r="BC94">
        <f t="shared" si="14"/>
        <v>0</v>
      </c>
      <c r="BD94">
        <f t="shared" si="15"/>
        <v>0</v>
      </c>
      <c r="BE94" s="29" cm="1">
        <f t="array" ref="BE94">IF($F$12-$I$4+VLOOKUP($R94,武学奇术!$A:$ZZ,11,FALSE)+SUM(_xlfn.XLOOKUP(S94:AL94,增益!$A:$A,增益!$K:$K,0))&gt;0,($F$12-$I$4+VLOOKUP($R94,武学奇术!$A:$ZZ,11,FALSE)+SUM(_xlfn.XLOOKUP(S94:AL94,增益!$A:$A,增益!$K:$K,0)))/200,($F$12-$I$4+VLOOKUP($R94,武学奇术!$A:$ZZ,11,FALSE)+SUM(_xlfn.XLOOKUP(S94:AL94,增益!$A:$A,增益!$K:$K,0)))/100)</f>
        <v>-0.3</v>
      </c>
      <c r="BF94" s="29" cm="1">
        <f t="array" ref="BF94">$G$12+VLOOKUP($R94,武学奇术!$A:$ZZ,12,FALSE)+SUM(_xlfn.XLOOKUP(S94:AL94,增益!$A:$A,增益!$L:$L,0))</f>
        <v>0</v>
      </c>
      <c r="BG94">
        <f t="shared" si="16"/>
        <v>0</v>
      </c>
      <c r="BH94">
        <f t="shared" si="17"/>
        <v>0</v>
      </c>
      <c r="BI94" s="29" cm="1">
        <f t="array" ref="BI94">IF($F$13-$I$4+VLOOKUP($R94,武学奇术!$A:$ZZ,13,FALSE)+SUM(_xlfn.XLOOKUP(S94:AL94,增益!$A:$A,增益!$M:$M,0))&gt;0,($F$13-$I$4+VLOOKUP($R94,武学奇术!$A:$ZZ,13,FALSE)+SUM(_xlfn.XLOOKUP(S94:AL94,增益!$A:$A,增益!$K:$K,0)))/200,($F$13-$I$4+VLOOKUP($R94,武学奇术!$A:$ZZ,13,FALSE)+SUM(_xlfn.XLOOKUP(S94:AL94,增益!$A:$A,增益!$M:$M,0)))/100)</f>
        <v>-0.3</v>
      </c>
      <c r="BJ94" s="29" cm="1">
        <f t="array" ref="BJ94">$G$13+VLOOKUP($R94,武学奇术!$A:$ZZ,14,FALSE)+SUM(_xlfn.XLOOKUP(S94:AL94,增益!$A:$A,增益!$N:$N,0))</f>
        <v>0</v>
      </c>
      <c r="BK94">
        <f t="shared" si="18"/>
        <v>618.2</v>
      </c>
      <c r="BL94">
        <f t="shared" si="19"/>
        <v>1805</v>
      </c>
      <c r="BM94" s="29" cm="1">
        <f t="array" ref="BM94">IF($F$14-$I$4+VLOOKUP($R94,武学奇术!$A:$ZZ,15,FALSE)+SUM(_xlfn.XLOOKUP(S94:AL94,增益!$A:$A,增益!$O:$O,0))&gt;0,($F$14-$I$4+VLOOKUP($R94,武学奇术!$A:$ZZ,15,FALSE)+SUM(_xlfn.XLOOKUP(S94:AL94,增益!$A:$A,增益!$O:$O,0)))/200,($F$14-$I$4+VLOOKUP($R94,武学奇术!$A:$ZZ,15,FALSE)+SUM(_xlfn.XLOOKUP(S94:AL94,增益!$A:$A,增益!$O:$O,0)))/100)</f>
        <v>0.05</v>
      </c>
      <c r="BN94" s="29" cm="1">
        <f t="array" ref="BN94">$G$14+VLOOKUP($R94,武学奇术!$A:$ZZ,16,FALSE)+SUM(_xlfn.XLOOKUP(S94:AL94,增益!$A:$A,增益!$P:$P,0))</f>
        <v>0.21</v>
      </c>
      <c r="BO94" s="23">
        <f>MIN(IF(VLOOKUP($R94,武学奇术!$A:$ZZ,23,FALSE)=1,100%,$B$8),100%)</f>
        <v>0.9943</v>
      </c>
      <c r="BP94" s="23" cm="1">
        <f t="array" ref="BP94">IF(VLOOKUP($R94,武学奇术!$A:$ZZ,23,FALSE)=1,100%,MIN(80%,$B$9+VLOOKUP($R94,武学奇术!$A:$ZZ,17,FALSE)+SUM(_xlfn.XLOOKUP(S94:AL94,增益!$A:$A,增益!$Q:$Q,0)))+$B$11+SUM(_xlfn.XLOOKUP(S94:AL94,增益!$A:$A,增益!$U:$U,0)))*IF(VLOOKUP($R94,武学奇术!$A:$ZZ,24,FALSE)=1,0,1)</f>
        <v>0.887</v>
      </c>
      <c r="BQ94" s="23" cm="1">
        <f t="array" ref="BQ94">1+$B$13+VLOOKUP($R94,武学奇术!$A:$ZZ,18,FALSE)+SUM(_xlfn.XLOOKUP(S94:AL94,增益!$A:$A,增益!$R:$R,0))</f>
        <v>2.394</v>
      </c>
      <c r="BR94" s="23" cm="1">
        <f t="array" ref="BR94">IF(VLOOKUP($R94,武学奇术!$A:$ZZ,24,FALSE)=1,100%,MIN(40%,$B$10+VLOOKUP($R94,武学奇术!$A:$ZZ,19,FALSE)+SUM(_xlfn.XLOOKUP(S94:AL94,增益!$A:$A,增益!$S:$S,0)))+$B$12+SUM(_xlfn.XLOOKUP(S94:AL94,增益!$A:$A,增益!$V:$V,0)))*IF(VLOOKUP($R94,武学奇术!$A:$ZZ,23,FALSE)=1,0,1)</f>
        <v>0.0913</v>
      </c>
      <c r="BS94" s="23" cm="1">
        <f t="array" ref="BS94">1+$B$14+VLOOKUP($R94,武学奇术!$A:$ZZ,20,FALSE)+SUM(_xlfn.XLOOKUP(S94:AL94,增益!$A:$A,增益!$T:$T,0))</f>
        <v>1.35</v>
      </c>
      <c r="BT94" s="23">
        <f t="shared" si="20"/>
        <v>0.8819441</v>
      </c>
      <c r="BU94" s="23">
        <f t="shared" si="21"/>
        <v>0.0215763099999999</v>
      </c>
      <c r="BV94" s="23">
        <f>IF(VLOOKUP($R94,武学奇术!$A:$ZZ,22,FALSE)=1,0,(1-$BO94))*(1-$BR94)</f>
        <v>0.00517959000000003</v>
      </c>
      <c r="BW94" s="23" cm="1">
        <f t="array" ref="BW94">SUM(_xlfn.XLOOKUP(S94:AL94,增益!$A:$A,增益!$W:$W,0))+$I$5</f>
        <v>0.11</v>
      </c>
      <c r="BX94" s="23">
        <f>VLOOKUP($R94,武学奇术!$A:$ZZ,32,FALSE)</f>
        <v>0.1</v>
      </c>
      <c r="BY94" s="23" cm="1">
        <f t="array" ref="BY94">SUM(_xlfn.XLOOKUP($S94:$AL94,增益!$A:$A,增益!$X:$X,0))</f>
        <v>0</v>
      </c>
    </row>
    <row r="95" spans="2:77">
      <c r="B95" s="89"/>
      <c r="K95" s="35">
        <f>$L95*VLOOKUP($R95,武学奇术!$A:$ZZ,31,FALSE)</f>
        <v>42796.627950749</v>
      </c>
      <c r="L95" s="35">
        <f t="shared" si="22"/>
        <v>41957.4783830873</v>
      </c>
      <c r="M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轻击",$B$21,0))*(1+IF(VLOOKUP($R95,武学奇术!$A:$ZZ,30,FALSE)="老鼠",$B$22,0))*(1+$BW95)*(1+$BX95)</f>
        <v>44143.9406082868</v>
      </c>
      <c r="N95" s="35">
        <f>(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轻击",$B$21,0))*(1+IF(VLOOKUP($R95,武学奇术!$A:$ZZ,30,FALSE)="老鼠",$B$22,0))*(1+$BW95))*(1+$BX95)</f>
        <v>27853.0519669411</v>
      </c>
      <c r="O95" s="35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轻击",$B$21,0))*(1+IF(VLOOKUP($R95,武学奇术!$A:$ZZ,30,FALSE)="老鼠",$B$22,0))*(1+$BW95)*(1+$BX95)</f>
        <v>18439.4071045475</v>
      </c>
      <c r="P95" s="35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轻击",$B$21,0))*(1+IF(VLOOKUP($R95,武学奇术!$A:$ZZ,30,FALSE)="老鼠",$B$22,0))*(1+$BW95)*(1+$BX95)</f>
        <v>16246.9238632128</v>
      </c>
      <c r="Q95" s="36">
        <v>1</v>
      </c>
      <c r="R95" s="37" t="s">
        <v>160</v>
      </c>
      <c r="S95" s="37" t="s">
        <v>91</v>
      </c>
      <c r="T95" s="37" t="s">
        <v>185</v>
      </c>
      <c r="U95" s="37" t="s">
        <v>81</v>
      </c>
      <c r="V95" s="37" t="s">
        <v>81</v>
      </c>
      <c r="W95" s="37" t="s">
        <v>82</v>
      </c>
      <c r="X95" s="37" t="s">
        <v>81</v>
      </c>
      <c r="Y95" s="37" t="s">
        <v>81</v>
      </c>
      <c r="Z95" s="37" t="s">
        <v>83</v>
      </c>
      <c r="AA95" s="37" t="s">
        <v>81</v>
      </c>
      <c r="AB95" s="37" t="s">
        <v>81</v>
      </c>
      <c r="AC95" s="37" t="s">
        <v>81</v>
      </c>
      <c r="AD95" s="37" t="s">
        <v>81</v>
      </c>
      <c r="AE95" s="37" t="s">
        <v>86</v>
      </c>
      <c r="AF95" s="37" t="s">
        <v>81</v>
      </c>
      <c r="AG95" s="37" t="s">
        <v>87</v>
      </c>
      <c r="AH95" s="37" t="s">
        <v>81</v>
      </c>
      <c r="AI95" s="37" t="s">
        <v>81</v>
      </c>
      <c r="AJ95" s="37" t="s">
        <v>81</v>
      </c>
      <c r="AK95" s="37" t="s">
        <v>81</v>
      </c>
      <c r="AL95" s="37" t="s">
        <v>81</v>
      </c>
      <c r="AM95" t="str">
        <f>VLOOKUP($R95,武学奇术!$A:$ZZ,25,FALSE)</f>
        <v>双刀</v>
      </c>
      <c r="AN95" s="23">
        <f>VLOOKUP($R95,武学奇术!$A:$ZZ,26,FALSE)</f>
        <v>1.3548</v>
      </c>
      <c r="AO95" s="24">
        <f>VLOOKUP($R95,武学奇术!$A:$ZZ,27,FALSE)*(1+IF(OR($AM95=$F$4,$AM95=$F$5),$B$23,0))</f>
        <v>601.6</v>
      </c>
      <c r="AP95" s="23">
        <f>VLOOKUP($R95,武学奇术!$A:$ZZ,28,FALSE)</f>
        <v>2.0322</v>
      </c>
      <c r="AQ95" s="24">
        <f>VLOOKUP($R95,武学奇术!$A:$ZZ,29,FALSE)*(1+IF(OR($AM95=$F$4,$AM95=$F$5),$B$23,0))</f>
        <v>328</v>
      </c>
      <c r="AR95" s="23" cm="1">
        <f t="array" ref="AR95">$G$3+IFERROR(VLOOKUP($AM95,$F$4:$G$7,2,FALSE),0)+VLOOKUP($R95,武学奇术!$A:$ZZ,2,FALSE)+SUM(_xlfn.XLOOKUP($S95:$AL95,增益!$A:$A,增益!$B:$B,0))</f>
        <v>0.4243</v>
      </c>
      <c r="AS95" s="23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4013</v>
      </c>
      <c r="AU95" cm="1">
        <f t="array" ref="AU95">$E$10*(1+$AS95)+VLOOKUP($R95,武学奇术!$A:$ZZ,4,FALSE)+SUM(_xlfn.XLOOKUP($S95:$AL95,增益!$A:$A,增益!$D:$D,0))-$I$2</f>
        <v>4013</v>
      </c>
      <c r="AV95" s="29" cm="1">
        <f t="array" ref="AV95">IF($F$10-$I$3+VLOOKUP($R95,武学奇术!$A:$ZZ,6,FALSE)+SUM(_xlfn.XLOOKUP(S95:AL95,增益!$A:$A,增益!$F:$F,0))&gt;0,($F$10-$I$3+VLOOKUP($R95,武学奇术!$A:$ZZ,6,FALSE)+SUM(_xlfn.XLOOKUP(S95:AL95,增益!$A:$A,增益!$F:$F,0)))/200,($F$10-$I$3+VLOOKUP($R95,武学奇术!$A:$ZZ,6,FALSE)+SUM(_xlfn.XLOOKUP(S95:AL95,增益!$A:$A,增益!$F:$F,0)))/100)</f>
        <v>0.3689</v>
      </c>
      <c r="AW95" s="29" cm="1">
        <f t="array" ref="AW95">$G$10+VLOOKUP($R95,武学奇术!$A:$ZZ,7,FALSE)+SUM(_xlfn.XLOOKUP(S95:AL95,增益!$A:$A,增益!$G:$G,0))</f>
        <v>0</v>
      </c>
      <c r="AX95" s="23" cm="1">
        <f t="array" ref="AX95">VLOOKUP($R95,武学奇术!$A:$ZZ,8,FALSE)+SUM(_xlfn.XLOOKUP(S95:AL95,增益!$A:$A,增益!$H:$H,0))</f>
        <v>0</v>
      </c>
      <c r="AY95">
        <f t="shared" si="12"/>
        <v>0</v>
      </c>
      <c r="AZ95">
        <f t="shared" si="13"/>
        <v>0</v>
      </c>
      <c r="BA95" s="29" cm="1">
        <f t="array" ref="BA95">IF($F$11-$I$4+VLOOKUP($R95,武学奇术!$A:$ZZ,9,FALSE)+SUM(_xlfn.XLOOKUP(S95:AL95,增益!$A:$A,增益!$I:$I,0))&gt;0,($F$11-$I$4+VLOOKUP($R95,武学奇术!$A:$ZZ,9,FALSE)+SUM(_xlfn.XLOOKUP(S95:AL95,增益!$A:$A,增益!$I:$I,0)))/200,($F$11-$I$4+VLOOKUP($R95,武学奇术!$A:$ZZ,9,FALSE)+SUM(_xlfn.XLOOKUP(S95:AL95,增益!$A:$A,增益!$I:$I,0)))/100)</f>
        <v>-0.3</v>
      </c>
      <c r="BB95" s="29" cm="1">
        <f t="array" ref="BB95">$G$11+VLOOKUP($R95,武学奇术!$A:$ZZ,10,FALSE)+SUM(_xlfn.XLOOKUP(S95:AL95,增益!$A:$A,增益!$J:$J,0))</f>
        <v>0</v>
      </c>
      <c r="BC95">
        <f t="shared" si="14"/>
        <v>0</v>
      </c>
      <c r="BD95">
        <f t="shared" si="15"/>
        <v>0</v>
      </c>
      <c r="BE95" s="29" cm="1">
        <f t="array" ref="BE95">IF($F$12-$I$4+VLOOKUP($R95,武学奇术!$A:$ZZ,11,FALSE)+SUM(_xlfn.XLOOKUP(S95:AL95,增益!$A:$A,增益!$K:$K,0))&gt;0,($F$12-$I$4+VLOOKUP($R95,武学奇术!$A:$ZZ,11,FALSE)+SUM(_xlfn.XLOOKUP(S95:AL95,增益!$A:$A,增益!$K:$K,0)))/200,($F$12-$I$4+VLOOKUP($R95,武学奇术!$A:$ZZ,11,FALSE)+SUM(_xlfn.XLOOKUP(S95:AL95,增益!$A:$A,增益!$K:$K,0)))/100)</f>
        <v>-0.3</v>
      </c>
      <c r="BF95" s="29" cm="1">
        <f t="array" ref="BF95">$G$12+VLOOKUP($R95,武学奇术!$A:$ZZ,12,FALSE)+SUM(_xlfn.XLOOKUP(S95:AL95,增益!$A:$A,增益!$L:$L,0))</f>
        <v>0</v>
      </c>
      <c r="BG95">
        <f t="shared" si="16"/>
        <v>0</v>
      </c>
      <c r="BH95">
        <f t="shared" si="17"/>
        <v>0</v>
      </c>
      <c r="BI95" s="29" cm="1">
        <f t="array" ref="BI95">IF($F$13-$I$4+VLOOKUP($R95,武学奇术!$A:$ZZ,13,FALSE)+SUM(_xlfn.XLOOKUP(S95:AL95,增益!$A:$A,增益!$M:$M,0))&gt;0,($F$13-$I$4+VLOOKUP($R95,武学奇术!$A:$ZZ,13,FALSE)+SUM(_xlfn.XLOOKUP(S95:AL95,增益!$A:$A,增益!$K:$K,0)))/200,($F$13-$I$4+VLOOKUP($R95,武学奇术!$A:$ZZ,13,FALSE)+SUM(_xlfn.XLOOKUP(S95:AL95,增益!$A:$A,增益!$M:$M,0)))/100)</f>
        <v>-0.3</v>
      </c>
      <c r="BJ95" s="29" cm="1">
        <f t="array" ref="BJ95">$G$13+VLOOKUP($R95,武学奇术!$A:$ZZ,14,FALSE)+SUM(_xlfn.XLOOKUP(S95:AL95,增益!$A:$A,增益!$N:$N,0))</f>
        <v>0</v>
      </c>
      <c r="BK95">
        <f t="shared" si="18"/>
        <v>618.2</v>
      </c>
      <c r="BL95">
        <f t="shared" si="19"/>
        <v>1805</v>
      </c>
      <c r="BM95" s="29" cm="1">
        <f t="array" ref="BM95">IF($F$14-$I$4+VLOOKUP($R95,武学奇术!$A:$ZZ,15,FALSE)+SUM(_xlfn.XLOOKUP(S95:AL95,增益!$A:$A,增益!$O:$O,0))&gt;0,($F$14-$I$4+VLOOKUP($R95,武学奇术!$A:$ZZ,15,FALSE)+SUM(_xlfn.XLOOKUP(S95:AL95,增益!$A:$A,增益!$O:$O,0)))/200,($F$14-$I$4+VLOOKUP($R95,武学奇术!$A:$ZZ,15,FALSE)+SUM(_xlfn.XLOOKUP(S95:AL95,增益!$A:$A,增益!$O:$O,0)))/100)</f>
        <v>0</v>
      </c>
      <c r="BN95" s="29" cm="1">
        <f t="array" ref="BN95">$G$14+VLOOKUP($R95,武学奇术!$A:$ZZ,16,FALSE)+SUM(_xlfn.XLOOKUP(S95:AL95,增益!$A:$A,增益!$P:$P,0))</f>
        <v>0.15</v>
      </c>
      <c r="BO95" s="23">
        <f>MIN(IF(VLOOKUP($R95,武学奇术!$A:$ZZ,23,FALSE)=1,100%,$B$8),100%)</f>
        <v>0.9943</v>
      </c>
      <c r="BP95" s="23" cm="1">
        <f t="array" ref="BP95">IF(VLOOKUP($R95,武学奇术!$A:$ZZ,23,FALSE)=1,100%,MIN(80%,$B$9+VLOOKUP($R95,武学奇术!$A:$ZZ,17,FALSE)+SUM(_xlfn.XLOOKUP(S95:AL95,增益!$A:$A,增益!$Q:$Q,0)))+$B$11+SUM(_xlfn.XLOOKUP(S95:AL95,增益!$A:$A,增益!$U:$U,0)))*IF(VLOOKUP($R95,武学奇术!$A:$ZZ,24,FALSE)=1,0,1)</f>
        <v>0.887</v>
      </c>
      <c r="BQ95" s="23" cm="1">
        <f t="array" ref="BQ95">1+$B$13+VLOOKUP($R95,武学奇术!$A:$ZZ,18,FALSE)+SUM(_xlfn.XLOOKUP(S95:AL95,增益!$A:$A,增益!$R:$R,0))</f>
        <v>2.394</v>
      </c>
      <c r="BR95" s="23" cm="1">
        <f t="array" ref="BR95">IF(VLOOKUP($R95,武学奇术!$A:$ZZ,24,FALSE)=1,100%,MIN(40%,$B$10+VLOOKUP($R95,武学奇术!$A:$ZZ,19,FALSE)+SUM(_xlfn.XLOOKUP(S95:AL95,增益!$A:$A,增益!$S:$S,0)))+$B$12+SUM(_xlfn.XLOOKUP(S95:AL95,增益!$A:$A,增益!$V:$V,0)))*IF(VLOOKUP($R95,武学奇术!$A:$ZZ,23,FALSE)=1,0,1)</f>
        <v>0.0913</v>
      </c>
      <c r="BS95" s="23" cm="1">
        <f t="array" ref="BS95">1+$B$14+VLOOKUP($R95,武学奇术!$A:$ZZ,20,FALSE)+SUM(_xlfn.XLOOKUP(S95:AL95,增益!$A:$A,增益!$T:$T,0))</f>
        <v>1.35</v>
      </c>
      <c r="BT95" s="23">
        <f t="shared" si="20"/>
        <v>0.8819441</v>
      </c>
      <c r="BU95" s="23">
        <f t="shared" si="21"/>
        <v>0.0215763099999999</v>
      </c>
      <c r="BV95" s="23">
        <f>IF(VLOOKUP($R95,武学奇术!$A:$ZZ,22,FALSE)=1,0,(1-$BO95))*(1-$BR95)</f>
        <v>0.00517959000000003</v>
      </c>
      <c r="BW95" s="23" cm="1">
        <f t="array" ref="BW95">SUM(_xlfn.XLOOKUP(S95:AL95,增益!$A:$A,增益!$W:$W,0))+$I$5</f>
        <v>0.11</v>
      </c>
      <c r="BX95" s="23">
        <f>VLOOKUP($R95,武学奇术!$A:$ZZ,32,FALSE)</f>
        <v>0</v>
      </c>
      <c r="BY95" s="23" cm="1">
        <f t="array" ref="BY95">SUM(_xlfn.XLOOKUP($S95:$AL95,增益!$A:$A,增益!$X:$X,0))</f>
        <v>0</v>
      </c>
    </row>
    <row r="96" spans="2:77">
      <c r="C96" s="25"/>
      <c r="K96" s="35">
        <f>$L96*VLOOKUP($R96,武学奇术!$A:$ZZ,31,FALSE)</f>
        <v>230128.480617694</v>
      </c>
      <c r="L96" s="69">
        <f t="shared" si="22"/>
        <v>225616.157468327</v>
      </c>
      <c r="M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轻击",$B$21,0))*(1+IF(VLOOKUP($R96,武学奇术!$A:$ZZ,30,FALSE)="老鼠",$B$22,0))*(1+$BW96)*(1+$BX96)</f>
        <v>237170.993294752</v>
      </c>
      <c r="N96" s="35">
        <f>(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轻击",$B$21,0))*(1+IF(VLOOKUP($R96,武学奇术!$A:$ZZ,30,FALSE)="老鼠",$B$22,0))*(1+$BW96))*(1+$BX96)</f>
        <v>151844.142791234</v>
      </c>
      <c r="O96" s="35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轻击",$B$21,0))*(1+IF(VLOOKUP($R96,武学奇术!$A:$ZZ,30,FALSE)="老鼠",$B$22,0))*(1+$BW96)*(1+$BX96)</f>
        <v>99068.9195049089</v>
      </c>
      <c r="P96" s="35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轻击",$B$21,0))*(1+IF(VLOOKUP($R96,武学奇术!$A:$ZZ,30,FALSE)="老鼠",$B$22,0))*(1+$BW96)*(1+$BX96)</f>
        <v>85660.6962014962</v>
      </c>
      <c r="Q96" s="70">
        <v>8</v>
      </c>
      <c r="R96" s="37" t="s">
        <v>106</v>
      </c>
      <c r="S96" s="37" t="s">
        <v>91</v>
      </c>
      <c r="T96" s="37" t="s">
        <v>185</v>
      </c>
      <c r="U96" s="37" t="s">
        <v>112</v>
      </c>
      <c r="V96" s="37" t="s">
        <v>113</v>
      </c>
      <c r="W96" s="37" t="s">
        <v>82</v>
      </c>
      <c r="X96" s="37" t="s">
        <v>81</v>
      </c>
      <c r="Y96" s="37" t="s">
        <v>109</v>
      </c>
      <c r="Z96" s="37" t="s">
        <v>83</v>
      </c>
      <c r="AA96" s="37" t="s">
        <v>81</v>
      </c>
      <c r="AB96" s="37" t="s">
        <v>81</v>
      </c>
      <c r="AC96" s="37" t="s">
        <v>81</v>
      </c>
      <c r="AD96" s="37" t="s">
        <v>81</v>
      </c>
      <c r="AE96" s="37" t="s">
        <v>86</v>
      </c>
      <c r="AF96" s="37" t="s">
        <v>81</v>
      </c>
      <c r="AG96" s="37" t="s">
        <v>87</v>
      </c>
      <c r="AH96" s="37" t="s">
        <v>81</v>
      </c>
      <c r="AI96" s="37" t="s">
        <v>81</v>
      </c>
      <c r="AJ96" s="37" t="s">
        <v>81</v>
      </c>
      <c r="AK96" s="37" t="s">
        <v>81</v>
      </c>
      <c r="AL96" s="37" t="s">
        <v>81</v>
      </c>
      <c r="AM96" t="str">
        <f>VLOOKUP($R96,武学奇术!$A:$ZZ,25,FALSE)</f>
        <v>绳镖</v>
      </c>
      <c r="AN96" s="23">
        <f>VLOOKUP($R96,武学奇术!$A:$ZZ,26,FALSE)</f>
        <v>0.3675</v>
      </c>
      <c r="AO96" s="24">
        <f>VLOOKUP($R96,武学奇术!$A:$ZZ,27,FALSE)*(1+IF(OR($AM96=$F$4,$AM96=$F$5),$B$23,0))</f>
        <v>0</v>
      </c>
      <c r="AP96" s="23">
        <f>VLOOKUP($R96,武学奇术!$A:$ZZ,28,FALSE)</f>
        <v>0.55125</v>
      </c>
      <c r="AQ96" s="24">
        <f>VLOOKUP($R96,武学奇术!$A:$ZZ,29,FALSE)*(1+IF(OR($AM96=$F$4,$AM96=$F$5),$B$23,0))</f>
        <v>0</v>
      </c>
      <c r="AR96" s="23" cm="1">
        <f t="array" ref="AR96">$G$3+IFERROR(VLOOKUP($AM96,$F$4:$G$7,2,FALSE),0)+VLOOKUP($R96,武学奇术!$A:$ZZ,2,FALSE)+SUM(_xlfn.XLOOKUP($S96:$AL96,增益!$A:$A,增益!$B:$B,0))</f>
        <v>1.3443</v>
      </c>
      <c r="AS96" s="23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4081.7</v>
      </c>
      <c r="AU96" cm="1">
        <f t="array" ref="AU96">$E$10*(1+$AS96)+VLOOKUP($R96,武学奇术!$A:$ZZ,4,FALSE)+SUM(_xlfn.XLOOKUP($S96:$AL96,增益!$A:$A,增益!$D:$D,0))-$I$2</f>
        <v>4081.7</v>
      </c>
      <c r="AV96" s="29" cm="1">
        <f t="array" ref="AV96">IF($F$10-$I$3+VLOOKUP($R96,武学奇术!$A:$ZZ,6,FALSE)+SUM(_xlfn.XLOOKUP(S96:AL96,增益!$A:$A,增益!$F:$F,0))&gt;0,($F$10-$I$3+VLOOKUP($R96,武学奇术!$A:$ZZ,6,FALSE)+SUM(_xlfn.XLOOKUP(S96:AL96,增益!$A:$A,增益!$F:$F,0)))/200,($F$10-$I$3+VLOOKUP($R96,武学奇术!$A:$ZZ,6,FALSE)+SUM(_xlfn.XLOOKUP(S96:AL96,增益!$A:$A,增益!$F:$F,0)))/100)</f>
        <v>0.3689</v>
      </c>
      <c r="AW96" s="29" cm="1">
        <f t="array" ref="AW96">$G$10+VLOOKUP($R96,武学奇术!$A:$ZZ,7,FALSE)+SUM(_xlfn.XLOOKUP(S96:AL96,增益!$A:$A,增益!$G:$G,0))</f>
        <v>0.27</v>
      </c>
      <c r="AX96" s="23" cm="1">
        <f t="array" ref="AX96">VLOOKUP($R96,武学奇术!$A:$ZZ,8,FALSE)+SUM(_xlfn.XLOOKUP(S96:AL96,增益!$A:$A,增益!$H:$H,0))</f>
        <v>0</v>
      </c>
      <c r="AY96">
        <f t="shared" si="12"/>
        <v>0</v>
      </c>
      <c r="AZ96">
        <f t="shared" si="13"/>
        <v>0</v>
      </c>
      <c r="BA96" s="29" cm="1">
        <f t="array" ref="BA96">IF($F$11-$I$4+VLOOKUP($R96,武学奇术!$A:$ZZ,9,FALSE)+SUM(_xlfn.XLOOKUP(S96:AL96,增益!$A:$A,增益!$I:$I,0))&gt;0,($F$11-$I$4+VLOOKUP($R96,武学奇术!$A:$ZZ,9,FALSE)+SUM(_xlfn.XLOOKUP(S96:AL96,增益!$A:$A,增益!$I:$I,0)))/200,($F$11-$I$4+VLOOKUP($R96,武学奇术!$A:$ZZ,9,FALSE)+SUM(_xlfn.XLOOKUP(S96:AL96,增益!$A:$A,增益!$I:$I,0)))/100)</f>
        <v>-0.3</v>
      </c>
      <c r="BB96" s="29" cm="1">
        <f t="array" ref="BB96">$G$11+VLOOKUP($R96,武学奇术!$A:$ZZ,10,FALSE)+SUM(_xlfn.XLOOKUP(S96:AL96,增益!$A:$A,增益!$J:$J,0))</f>
        <v>0</v>
      </c>
      <c r="BC96">
        <f t="shared" si="14"/>
        <v>0</v>
      </c>
      <c r="BD96">
        <f t="shared" si="15"/>
        <v>0</v>
      </c>
      <c r="BE96" s="29" cm="1">
        <f t="array" ref="BE96">IF($F$12-$I$4+VLOOKUP($R96,武学奇术!$A:$ZZ,11,FALSE)+SUM(_xlfn.XLOOKUP(S96:AL96,增益!$A:$A,增益!$K:$K,0))&gt;0,($F$12-$I$4+VLOOKUP($R96,武学奇术!$A:$ZZ,11,FALSE)+SUM(_xlfn.XLOOKUP(S96:AL96,增益!$A:$A,增益!$K:$K,0)))/200,($F$12-$I$4+VLOOKUP($R96,武学奇术!$A:$ZZ,11,FALSE)+SUM(_xlfn.XLOOKUP(S96:AL96,增益!$A:$A,增益!$K:$K,0)))/100)</f>
        <v>-0.3</v>
      </c>
      <c r="BF96" s="29" cm="1">
        <f t="array" ref="BF96">$G$12+VLOOKUP($R96,武学奇术!$A:$ZZ,12,FALSE)+SUM(_xlfn.XLOOKUP(S96:AL96,增益!$A:$A,增益!$L:$L,0))</f>
        <v>0</v>
      </c>
      <c r="BG96">
        <f t="shared" si="16"/>
        <v>0</v>
      </c>
      <c r="BH96">
        <f t="shared" si="17"/>
        <v>0</v>
      </c>
      <c r="BI96" s="29" cm="1">
        <f t="array" ref="BI96">IF($F$13-$I$4+VLOOKUP($R96,武学奇术!$A:$ZZ,13,FALSE)+SUM(_xlfn.XLOOKUP(S96:AL96,增益!$A:$A,增益!$M:$M,0))&gt;0,($F$13-$I$4+VLOOKUP($R96,武学奇术!$A:$ZZ,13,FALSE)+SUM(_xlfn.XLOOKUP(S96:AL96,增益!$A:$A,增益!$K:$K,0)))/200,($F$13-$I$4+VLOOKUP($R96,武学奇术!$A:$ZZ,13,FALSE)+SUM(_xlfn.XLOOKUP(S96:AL96,增益!$A:$A,增益!$M:$M,0)))/100)</f>
        <v>-0.3</v>
      </c>
      <c r="BJ96" s="29" cm="1">
        <f t="array" ref="BJ96">$G$13+VLOOKUP($R96,武学奇术!$A:$ZZ,14,FALSE)+SUM(_xlfn.XLOOKUP(S96:AL96,增益!$A:$A,增益!$N:$N,0))</f>
        <v>0</v>
      </c>
      <c r="BK96">
        <f t="shared" si="18"/>
        <v>618.2</v>
      </c>
      <c r="BL96">
        <f t="shared" si="19"/>
        <v>1805</v>
      </c>
      <c r="BM96" s="29" cm="1">
        <f t="array" ref="BM96">IF($F$14-$I$4+VLOOKUP($R96,武学奇术!$A:$ZZ,15,FALSE)+SUM(_xlfn.XLOOKUP(S96:AL96,增益!$A:$A,增益!$O:$O,0))&gt;0,($F$14-$I$4+VLOOKUP($R96,武学奇术!$A:$ZZ,15,FALSE)+SUM(_xlfn.XLOOKUP(S96:AL96,增益!$A:$A,增益!$O:$O,0)))/200,($F$14-$I$4+VLOOKUP($R96,武学奇术!$A:$ZZ,15,FALSE)+SUM(_xlfn.XLOOKUP(S96:AL96,增益!$A:$A,增益!$O:$O,0)))/100)</f>
        <v>0.05</v>
      </c>
      <c r="BN96" s="29" cm="1">
        <f t="array" ref="BN96">$G$14+VLOOKUP($R96,武学奇术!$A:$ZZ,16,FALSE)+SUM(_xlfn.XLOOKUP(S96:AL96,增益!$A:$A,增益!$P:$P,0))</f>
        <v>0.42</v>
      </c>
      <c r="BO96" s="23">
        <f>MIN(IF(VLOOKUP($R96,武学奇术!$A:$ZZ,23,FALSE)=1,100%,$B$8),100%)</f>
        <v>0.9943</v>
      </c>
      <c r="BP96" s="23" cm="1">
        <f t="array" ref="BP96">IF(VLOOKUP($R96,武学奇术!$A:$ZZ,23,FALSE)=1,100%,MIN(80%,$B$9+VLOOKUP($R96,武学奇术!$A:$ZZ,17,FALSE)+SUM(_xlfn.XLOOKUP(S96:AL96,增益!$A:$A,增益!$Q:$Q,0)))+$B$11+SUM(_xlfn.XLOOKUP(S96:AL96,增益!$A:$A,增益!$U:$U,0)))*IF(VLOOKUP($R96,武学奇术!$A:$ZZ,24,FALSE)=1,0,1)</f>
        <v>0.887</v>
      </c>
      <c r="BQ96" s="23" cm="1">
        <f t="array" ref="BQ96">1+$B$13+VLOOKUP($R96,武学奇术!$A:$ZZ,18,FALSE)+SUM(_xlfn.XLOOKUP(S96:AL96,增益!$A:$A,增益!$R:$R,0))</f>
        <v>2.394</v>
      </c>
      <c r="BR96" s="23" cm="1">
        <f t="array" ref="BR96">IF(VLOOKUP($R96,武学奇术!$A:$ZZ,24,FALSE)=1,100%,MIN(40%,$B$10+VLOOKUP($R96,武学奇术!$A:$ZZ,19,FALSE)+SUM(_xlfn.XLOOKUP(S96:AL96,增益!$A:$A,增益!$S:$S,0)))+$B$12+SUM(_xlfn.XLOOKUP(S96:AL96,增益!$A:$A,增益!$V:$V,0)))*IF(VLOOKUP($R96,武学奇术!$A:$ZZ,23,FALSE)=1,0,1)</f>
        <v>0.0913</v>
      </c>
      <c r="BS96" s="23" cm="1">
        <f t="array" ref="BS96">1+$B$14+VLOOKUP($R96,武学奇术!$A:$ZZ,20,FALSE)+SUM(_xlfn.XLOOKUP(S96:AL96,增益!$A:$A,增益!$T:$T,0))</f>
        <v>1.35</v>
      </c>
      <c r="BT96" s="23">
        <f t="shared" si="20"/>
        <v>0.8819441</v>
      </c>
      <c r="BU96" s="23">
        <f t="shared" si="21"/>
        <v>0.0215763099999999</v>
      </c>
      <c r="BV96" s="23">
        <f>IF(VLOOKUP($R96,武学奇术!$A:$ZZ,22,FALSE)=1,0,(1-$BO96))*(1-$BR96)</f>
        <v>0.00517959000000003</v>
      </c>
      <c r="BW96" s="23" cm="1">
        <f t="array" ref="BW96">SUM(_xlfn.XLOOKUP(S96:AL96,增益!$A:$A,增益!$W:$W,0))+$I$5</f>
        <v>0.11</v>
      </c>
      <c r="BX96" s="23">
        <f>VLOOKUP($R96,武学奇术!$A:$ZZ,32,FALSE)</f>
        <v>0</v>
      </c>
      <c r="BY96" s="23" cm="1">
        <f t="array" ref="BY96">SUM(_xlfn.XLOOKUP($S96:$AL96,增益!$A:$A,增益!$X:$X,0))</f>
        <v>0</v>
      </c>
    </row>
    <row r="97" spans="11:77">
      <c r="K97" s="35">
        <f>$L97*VLOOKUP($R97,武学奇术!$A:$ZZ,31,FALSE)</f>
        <v>29048.3177219024</v>
      </c>
      <c r="L97" s="35">
        <f t="shared" si="22"/>
        <v>25935.9979659842</v>
      </c>
      <c r="M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轻击",$B$21,0))*(1+IF(VLOOKUP($R97,武学奇术!$A:$ZZ,30,FALSE)="老鼠",$B$22,0))*(1+$BW97)*(1+$BX97)</f>
        <v>27284.460987555</v>
      </c>
      <c r="N97" s="35">
        <f>(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轻击",$B$21,0))*(1+IF(VLOOKUP($R97,武学奇术!$A:$ZZ,30,FALSE)="老鼠",$B$22,0))*(1+$BW97))*(1+$BX97)</f>
        <v>17249.0610155699</v>
      </c>
      <c r="O97" s="35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轻击",$B$21,0))*(1+IF(VLOOKUP($R97,武学奇术!$A:$ZZ,30,FALSE)="老鼠",$B$22,0))*(1+$BW97)*(1+$BX97)</f>
        <v>11397.0179563722</v>
      </c>
      <c r="P97" s="35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轻击",$B$21,0))*(1+IF(VLOOKUP($R97,武学奇术!$A:$ZZ,30,FALSE)="老鼠",$B$22,0))*(1+$BW97)*(1+$BX97)</f>
        <v>10016.9536789889</v>
      </c>
      <c r="Q97" s="36">
        <v>1</v>
      </c>
      <c r="R97" s="37" t="s">
        <v>139</v>
      </c>
      <c r="S97" s="37" t="s">
        <v>91</v>
      </c>
      <c r="T97" s="37" t="s">
        <v>185</v>
      </c>
      <c r="U97" s="37" t="s">
        <v>112</v>
      </c>
      <c r="V97" s="37" t="s">
        <v>113</v>
      </c>
      <c r="W97" s="37" t="s">
        <v>82</v>
      </c>
      <c r="X97" s="37" t="s">
        <v>81</v>
      </c>
      <c r="Y97" s="37" t="s">
        <v>109</v>
      </c>
      <c r="Z97" s="37" t="s">
        <v>83</v>
      </c>
      <c r="AA97" s="37" t="s">
        <v>81</v>
      </c>
      <c r="AB97" s="37" t="s">
        <v>81</v>
      </c>
      <c r="AC97" s="37" t="s">
        <v>81</v>
      </c>
      <c r="AD97" s="37" t="s">
        <v>81</v>
      </c>
      <c r="AE97" s="37" t="s">
        <v>86</v>
      </c>
      <c r="AF97" s="37" t="s">
        <v>81</v>
      </c>
      <c r="AG97" s="37" t="s">
        <v>87</v>
      </c>
      <c r="AH97" s="37" t="s">
        <v>81</v>
      </c>
      <c r="AI97" s="37" t="s">
        <v>81</v>
      </c>
      <c r="AJ97" s="37" t="s">
        <v>81</v>
      </c>
      <c r="AK97" s="37" t="s">
        <v>81</v>
      </c>
      <c r="AL97" s="37" t="s">
        <v>81</v>
      </c>
      <c r="AM97" t="str">
        <f>VLOOKUP($R97,武学奇术!$A:$ZZ,25,FALSE)</f>
        <v>双刀</v>
      </c>
      <c r="AN97" s="23">
        <f>VLOOKUP($R97,武学奇术!$A:$ZZ,26,FALSE)</f>
        <v>0.6472</v>
      </c>
      <c r="AO97" s="24">
        <f>VLOOKUP($R97,武学奇术!$A:$ZZ,27,FALSE)*(1+IF(OR($AM97=$F$4,$AM97=$F$5),$B$23,0))</f>
        <v>288</v>
      </c>
      <c r="AP97" s="23">
        <f>VLOOKUP($R97,武学奇术!$A:$ZZ,28,FALSE)</f>
        <v>0.9708</v>
      </c>
      <c r="AQ97" s="24">
        <f>VLOOKUP($R97,武学奇术!$A:$ZZ,29,FALSE)*(1+IF(OR($AM97=$F$4,$AM97=$F$5),$B$23,0))</f>
        <v>156.8</v>
      </c>
      <c r="AR97" s="23" cm="1">
        <f t="array" ref="AR97">$G$3+IFERROR(VLOOKUP($AM97,$F$4:$G$7,2,FALSE),0)+VLOOKUP($R97,武学奇术!$A:$ZZ,2,FALSE)+SUM(_xlfn.XLOOKUP($S97:$AL97,增益!$A:$A,增益!$B:$B,0))</f>
        <v>0.5443</v>
      </c>
      <c r="AS97" s="23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4081.7</v>
      </c>
      <c r="AU97" cm="1">
        <f t="array" ref="AU97">$E$10*(1+$AS97)+VLOOKUP($R97,武学奇术!$A:$ZZ,4,FALSE)+SUM(_xlfn.XLOOKUP($S97:$AL97,增益!$A:$A,增益!$D:$D,0))-$I$2</f>
        <v>4081.7</v>
      </c>
      <c r="AV97" s="29" cm="1">
        <f t="array" ref="AV97">IF($F$10-$I$3+VLOOKUP($R97,武学奇术!$A:$ZZ,6,FALSE)+SUM(_xlfn.XLOOKUP(S97:AL97,增益!$A:$A,增益!$F:$F,0))&gt;0,($F$10-$I$3+VLOOKUP($R97,武学奇术!$A:$ZZ,6,FALSE)+SUM(_xlfn.XLOOKUP(S97:AL97,增益!$A:$A,增益!$F:$F,0)))/200,($F$10-$I$3+VLOOKUP($R97,武学奇术!$A:$ZZ,6,FALSE)+SUM(_xlfn.XLOOKUP(S97:AL97,增益!$A:$A,增益!$F:$F,0)))/100)</f>
        <v>0.3689</v>
      </c>
      <c r="AW97" s="29" cm="1">
        <f t="array" ref="AW97">$G$10+VLOOKUP($R97,武学奇术!$A:$ZZ,7,FALSE)+SUM(_xlfn.XLOOKUP(S97:AL97,增益!$A:$A,增益!$G:$G,0))</f>
        <v>0.06</v>
      </c>
      <c r="AX97" s="23" cm="1">
        <f t="array" ref="AX97">VLOOKUP($R97,武学奇术!$A:$ZZ,8,FALSE)+SUM(_xlfn.XLOOKUP(S97:AL97,增益!$A:$A,增益!$H:$H,0))</f>
        <v>0</v>
      </c>
      <c r="AY97">
        <f t="shared" si="12"/>
        <v>0</v>
      </c>
      <c r="AZ97">
        <f t="shared" si="13"/>
        <v>0</v>
      </c>
      <c r="BA97" s="29" cm="1">
        <f t="array" ref="BA97">IF($F$11-$I$4+VLOOKUP($R97,武学奇术!$A:$ZZ,9,FALSE)+SUM(_xlfn.XLOOKUP(S97:AL97,增益!$A:$A,增益!$I:$I,0))&gt;0,($F$11-$I$4+VLOOKUP($R97,武学奇术!$A:$ZZ,9,FALSE)+SUM(_xlfn.XLOOKUP(S97:AL97,增益!$A:$A,增益!$I:$I,0)))/200,($F$11-$I$4+VLOOKUP($R97,武学奇术!$A:$ZZ,9,FALSE)+SUM(_xlfn.XLOOKUP(S97:AL97,增益!$A:$A,增益!$I:$I,0)))/100)</f>
        <v>-0.3</v>
      </c>
      <c r="BB97" s="29" cm="1">
        <f t="array" ref="BB97">$G$11+VLOOKUP($R97,武学奇术!$A:$ZZ,10,FALSE)+SUM(_xlfn.XLOOKUP(S97:AL97,增益!$A:$A,增益!$J:$J,0))</f>
        <v>0</v>
      </c>
      <c r="BC97">
        <f t="shared" si="14"/>
        <v>0</v>
      </c>
      <c r="BD97">
        <f t="shared" si="15"/>
        <v>0</v>
      </c>
      <c r="BE97" s="29" cm="1">
        <f t="array" ref="BE97">IF($F$12-$I$4+VLOOKUP($R97,武学奇术!$A:$ZZ,11,FALSE)+SUM(_xlfn.XLOOKUP(S97:AL97,增益!$A:$A,增益!$K:$K,0))&gt;0,($F$12-$I$4+VLOOKUP($R97,武学奇术!$A:$ZZ,11,FALSE)+SUM(_xlfn.XLOOKUP(S97:AL97,增益!$A:$A,增益!$K:$K,0)))/200,($F$12-$I$4+VLOOKUP($R97,武学奇术!$A:$ZZ,11,FALSE)+SUM(_xlfn.XLOOKUP(S97:AL97,增益!$A:$A,增益!$K:$K,0)))/100)</f>
        <v>-0.3</v>
      </c>
      <c r="BF97" s="29" cm="1">
        <f t="array" ref="BF97">$G$12+VLOOKUP($R97,武学奇术!$A:$ZZ,12,FALSE)+SUM(_xlfn.XLOOKUP(S97:AL97,增益!$A:$A,增益!$L:$L,0))</f>
        <v>0</v>
      </c>
      <c r="BG97">
        <f t="shared" si="16"/>
        <v>0</v>
      </c>
      <c r="BH97">
        <f t="shared" si="17"/>
        <v>0</v>
      </c>
      <c r="BI97" s="29" cm="1">
        <f t="array" ref="BI97">IF($F$13-$I$4+VLOOKUP($R97,武学奇术!$A:$ZZ,13,FALSE)+SUM(_xlfn.XLOOKUP(S97:AL97,增益!$A:$A,增益!$M:$M,0))&gt;0,($F$13-$I$4+VLOOKUP($R97,武学奇术!$A:$ZZ,13,FALSE)+SUM(_xlfn.XLOOKUP(S97:AL97,增益!$A:$A,增益!$K:$K,0)))/200,($F$13-$I$4+VLOOKUP($R97,武学奇术!$A:$ZZ,13,FALSE)+SUM(_xlfn.XLOOKUP(S97:AL97,增益!$A:$A,增益!$M:$M,0)))/100)</f>
        <v>-0.3</v>
      </c>
      <c r="BJ97" s="29" cm="1">
        <f t="array" ref="BJ97">$G$13+VLOOKUP($R97,武学奇术!$A:$ZZ,14,FALSE)+SUM(_xlfn.XLOOKUP(S97:AL97,增益!$A:$A,增益!$N:$N,0))</f>
        <v>0</v>
      </c>
      <c r="BK97">
        <f t="shared" si="18"/>
        <v>618.2</v>
      </c>
      <c r="BL97">
        <f t="shared" si="19"/>
        <v>1805</v>
      </c>
      <c r="BM97" s="29" cm="1">
        <f t="array" ref="BM97">IF($F$14-$I$4+VLOOKUP($R97,武学奇术!$A:$ZZ,15,FALSE)+SUM(_xlfn.XLOOKUP(S97:AL97,增益!$A:$A,增益!$O:$O,0))&gt;0,($F$14-$I$4+VLOOKUP($R97,武学奇术!$A:$ZZ,15,FALSE)+SUM(_xlfn.XLOOKUP(S97:AL97,增益!$A:$A,增益!$O:$O,0)))/200,($F$14-$I$4+VLOOKUP($R97,武学奇术!$A:$ZZ,15,FALSE)+SUM(_xlfn.XLOOKUP(S97:AL97,增益!$A:$A,增益!$O:$O,0)))/100)</f>
        <v>0.05</v>
      </c>
      <c r="BN97" s="29" cm="1">
        <f t="array" ref="BN97">$G$14+VLOOKUP($R97,武学奇术!$A:$ZZ,16,FALSE)+SUM(_xlfn.XLOOKUP(S97:AL97,增益!$A:$A,增益!$P:$P,0))</f>
        <v>0.21</v>
      </c>
      <c r="BO97" s="23">
        <f>MIN(IF(VLOOKUP($R97,武学奇术!$A:$ZZ,23,FALSE)=1,100%,$B$8),100%)</f>
        <v>0.9943</v>
      </c>
      <c r="BP97" s="23" cm="1">
        <f t="array" ref="BP97">IF(VLOOKUP($R97,武学奇术!$A:$ZZ,23,FALSE)=1,100%,MIN(80%,$B$9+VLOOKUP($R97,武学奇术!$A:$ZZ,17,FALSE)+SUM(_xlfn.XLOOKUP(S97:AL97,增益!$A:$A,增益!$Q:$Q,0)))+$B$11+SUM(_xlfn.XLOOKUP(S97:AL97,增益!$A:$A,增益!$U:$U,0)))*IF(VLOOKUP($R97,武学奇术!$A:$ZZ,24,FALSE)=1,0,1)</f>
        <v>0.887</v>
      </c>
      <c r="BQ97" s="23" cm="1">
        <f t="array" ref="BQ97">1+$B$13+VLOOKUP($R97,武学奇术!$A:$ZZ,18,FALSE)+SUM(_xlfn.XLOOKUP(S97:AL97,增益!$A:$A,增益!$R:$R,0))</f>
        <v>2.394</v>
      </c>
      <c r="BR97" s="23" cm="1">
        <f t="array" ref="BR97">IF(VLOOKUP($R97,武学奇术!$A:$ZZ,24,FALSE)=1,100%,MIN(40%,$B$10+VLOOKUP($R97,武学奇术!$A:$ZZ,19,FALSE)+SUM(_xlfn.XLOOKUP(S97:AL97,增益!$A:$A,增益!$S:$S,0)))+$B$12+SUM(_xlfn.XLOOKUP(S97:AL97,增益!$A:$A,增益!$V:$V,0)))*IF(VLOOKUP($R97,武学奇术!$A:$ZZ,23,FALSE)=1,0,1)</f>
        <v>0.0913</v>
      </c>
      <c r="BS97" s="23" cm="1">
        <f t="array" ref="BS97">1+$B$14+VLOOKUP($R97,武学奇术!$A:$ZZ,20,FALSE)+SUM(_xlfn.XLOOKUP(S97:AL97,增益!$A:$A,增益!$T:$T,0))</f>
        <v>1.35</v>
      </c>
      <c r="BT97" s="23">
        <f t="shared" si="20"/>
        <v>0.8819441</v>
      </c>
      <c r="BU97" s="23">
        <f t="shared" si="21"/>
        <v>0.0215763099999999</v>
      </c>
      <c r="BV97" s="23">
        <f>IF(VLOOKUP($R97,武学奇术!$A:$ZZ,22,FALSE)=1,0,(1-$BO97))*(1-$BR97)</f>
        <v>0.00517959000000003</v>
      </c>
      <c r="BW97" s="23" cm="1">
        <f t="array" ref="BW97">SUM(_xlfn.XLOOKUP(S97:AL97,增益!$A:$A,增益!$W:$W,0))+$I$5</f>
        <v>0.11</v>
      </c>
      <c r="BX97" s="23">
        <f>VLOOKUP($R97,武学奇术!$A:$ZZ,32,FALSE)</f>
        <v>0.1</v>
      </c>
      <c r="BY97" s="23" cm="1">
        <f t="array" ref="BY97">SUM(_xlfn.XLOOKUP($S97:$AL97,增益!$A:$A,增益!$X:$X,0))</f>
        <v>0</v>
      </c>
    </row>
    <row r="98" spans="11:77">
      <c r="K98" s="35">
        <f>$L98*VLOOKUP($R98,武学奇术!$A:$ZZ,31,FALSE)</f>
        <v>40434.7746322007</v>
      </c>
      <c r="L98" s="35">
        <f t="shared" si="22"/>
        <v>36102.4773501792</v>
      </c>
      <c r="M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轻击",$B$21,0))*(1+IF(VLOOKUP($R98,武学奇术!$A:$ZZ,30,FALSE)="老鼠",$B$22,0))*(1+$BW98)*(1+$BX98)</f>
        <v>37979.4332293022</v>
      </c>
      <c r="N98" s="35">
        <f>(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轻击",$B$21,0))*(1+IF(VLOOKUP($R98,武学奇术!$A:$ZZ,30,FALSE)="老鼠",$B$22,0))*(1+$BW98))*(1+$BX98)</f>
        <v>24011.2471131082</v>
      </c>
      <c r="O98" s="35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轻击",$B$21,0))*(1+IF(VLOOKUP($R98,武学奇术!$A:$ZZ,30,FALSE)="老鼠",$B$22,0))*(1+$BW98)*(1+$BX98)</f>
        <v>15864.4249078121</v>
      </c>
      <c r="P98" s="35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轻击",$B$21,0))*(1+IF(VLOOKUP($R98,武学奇术!$A:$ZZ,30,FALSE)="老鼠",$B$22,0))*(1+$BW98)*(1+$BX98)</f>
        <v>13942.7408429515</v>
      </c>
      <c r="Q98" s="36">
        <v>1</v>
      </c>
      <c r="R98" s="37" t="s">
        <v>143</v>
      </c>
      <c r="S98" s="37" t="s">
        <v>91</v>
      </c>
      <c r="T98" s="37" t="s">
        <v>185</v>
      </c>
      <c r="U98" s="37" t="s">
        <v>112</v>
      </c>
      <c r="V98" s="37" t="s">
        <v>113</v>
      </c>
      <c r="W98" s="37" t="s">
        <v>82</v>
      </c>
      <c r="X98" s="37" t="s">
        <v>81</v>
      </c>
      <c r="Y98" s="37" t="s">
        <v>109</v>
      </c>
      <c r="Z98" s="37" t="s">
        <v>83</v>
      </c>
      <c r="AA98" s="37" t="s">
        <v>81</v>
      </c>
      <c r="AB98" s="37" t="s">
        <v>81</v>
      </c>
      <c r="AC98" s="37" t="s">
        <v>81</v>
      </c>
      <c r="AD98" s="37" t="s">
        <v>81</v>
      </c>
      <c r="AE98" s="37" t="s">
        <v>86</v>
      </c>
      <c r="AF98" s="37" t="s">
        <v>81</v>
      </c>
      <c r="AG98" s="37" t="s">
        <v>87</v>
      </c>
      <c r="AH98" s="37" t="s">
        <v>81</v>
      </c>
      <c r="AI98" s="37" t="s">
        <v>81</v>
      </c>
      <c r="AJ98" s="37" t="s">
        <v>81</v>
      </c>
      <c r="AK98" s="37" t="s">
        <v>81</v>
      </c>
      <c r="AL98" s="37" t="s">
        <v>81</v>
      </c>
      <c r="AM98" t="str">
        <f>VLOOKUP($R98,武学奇术!$A:$ZZ,25,FALSE)</f>
        <v>双刀</v>
      </c>
      <c r="AN98" s="23">
        <f>VLOOKUP($R98,武学奇术!$A:$ZZ,26,FALSE)</f>
        <v>0.9012</v>
      </c>
      <c r="AO98" s="24">
        <f>VLOOKUP($R98,武学奇术!$A:$ZZ,27,FALSE)*(1+IF(OR($AM98=$F$4,$AM98=$F$5),$B$23,0))</f>
        <v>400</v>
      </c>
      <c r="AP98" s="23">
        <f>VLOOKUP($R98,武学奇术!$A:$ZZ,28,FALSE)</f>
        <v>1.3518</v>
      </c>
      <c r="AQ98" s="24">
        <f>VLOOKUP($R98,武学奇术!$A:$ZZ,29,FALSE)*(1+IF(OR($AM98=$F$4,$AM98=$F$5),$B$23,0))</f>
        <v>217.6</v>
      </c>
      <c r="AR98" s="23" cm="1">
        <f t="array" ref="AR98">$G$3+IFERROR(VLOOKUP($AM98,$F$4:$G$7,2,FALSE),0)+VLOOKUP($R98,武学奇术!$A:$ZZ,2,FALSE)+SUM(_xlfn.XLOOKUP($S98:$AL98,增益!$A:$A,增益!$B:$B,0))</f>
        <v>0.5443</v>
      </c>
      <c r="AS98" s="23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4081.7</v>
      </c>
      <c r="AU98" cm="1">
        <f t="array" ref="AU98">$E$10*(1+$AS98)+VLOOKUP($R98,武学奇术!$A:$ZZ,4,FALSE)+SUM(_xlfn.XLOOKUP($S98:$AL98,增益!$A:$A,增益!$D:$D,0))-$I$2</f>
        <v>4081.7</v>
      </c>
      <c r="AV98" s="29" cm="1">
        <f t="array" ref="AV98">IF($F$10-$I$3+VLOOKUP($R98,武学奇术!$A:$ZZ,6,FALSE)+SUM(_xlfn.XLOOKUP(S98:AL98,增益!$A:$A,增益!$F:$F,0))&gt;0,($F$10-$I$3+VLOOKUP($R98,武学奇术!$A:$ZZ,6,FALSE)+SUM(_xlfn.XLOOKUP(S98:AL98,增益!$A:$A,增益!$F:$F,0)))/200,($F$10-$I$3+VLOOKUP($R98,武学奇术!$A:$ZZ,6,FALSE)+SUM(_xlfn.XLOOKUP(S98:AL98,增益!$A:$A,增益!$F:$F,0)))/100)</f>
        <v>0.3689</v>
      </c>
      <c r="AW98" s="29" cm="1">
        <f t="array" ref="AW98">$G$10+VLOOKUP($R98,武学奇术!$A:$ZZ,7,FALSE)+SUM(_xlfn.XLOOKUP(S98:AL98,增益!$A:$A,增益!$G:$G,0))</f>
        <v>0.06</v>
      </c>
      <c r="AX98" s="23" cm="1">
        <f t="array" ref="AX98">VLOOKUP($R98,武学奇术!$A:$ZZ,8,FALSE)+SUM(_xlfn.XLOOKUP(S98:AL98,增益!$A:$A,增益!$H:$H,0))</f>
        <v>0</v>
      </c>
      <c r="AY98">
        <f t="shared" si="12"/>
        <v>0</v>
      </c>
      <c r="AZ98">
        <f t="shared" si="13"/>
        <v>0</v>
      </c>
      <c r="BA98" s="29" cm="1">
        <f t="array" ref="BA98">IF($F$11-$I$4+VLOOKUP($R98,武学奇术!$A:$ZZ,9,FALSE)+SUM(_xlfn.XLOOKUP(S98:AL98,增益!$A:$A,增益!$I:$I,0))&gt;0,($F$11-$I$4+VLOOKUP($R98,武学奇术!$A:$ZZ,9,FALSE)+SUM(_xlfn.XLOOKUP(S98:AL98,增益!$A:$A,增益!$I:$I,0)))/200,($F$11-$I$4+VLOOKUP($R98,武学奇术!$A:$ZZ,9,FALSE)+SUM(_xlfn.XLOOKUP(S98:AL98,增益!$A:$A,增益!$I:$I,0)))/100)</f>
        <v>-0.3</v>
      </c>
      <c r="BB98" s="29" cm="1">
        <f t="array" ref="BB98">$G$11+VLOOKUP($R98,武学奇术!$A:$ZZ,10,FALSE)+SUM(_xlfn.XLOOKUP(S98:AL98,增益!$A:$A,增益!$J:$J,0))</f>
        <v>0</v>
      </c>
      <c r="BC98">
        <f t="shared" si="14"/>
        <v>0</v>
      </c>
      <c r="BD98">
        <f t="shared" si="15"/>
        <v>0</v>
      </c>
      <c r="BE98" s="29" cm="1">
        <f t="array" ref="BE98">IF($F$12-$I$4+VLOOKUP($R98,武学奇术!$A:$ZZ,11,FALSE)+SUM(_xlfn.XLOOKUP(S98:AL98,增益!$A:$A,增益!$K:$K,0))&gt;0,($F$12-$I$4+VLOOKUP($R98,武学奇术!$A:$ZZ,11,FALSE)+SUM(_xlfn.XLOOKUP(S98:AL98,增益!$A:$A,增益!$K:$K,0)))/200,($F$12-$I$4+VLOOKUP($R98,武学奇术!$A:$ZZ,11,FALSE)+SUM(_xlfn.XLOOKUP(S98:AL98,增益!$A:$A,增益!$K:$K,0)))/100)</f>
        <v>-0.3</v>
      </c>
      <c r="BF98" s="29" cm="1">
        <f t="array" ref="BF98">$G$12+VLOOKUP($R98,武学奇术!$A:$ZZ,12,FALSE)+SUM(_xlfn.XLOOKUP(S98:AL98,增益!$A:$A,增益!$L:$L,0))</f>
        <v>0</v>
      </c>
      <c r="BG98">
        <f t="shared" si="16"/>
        <v>0</v>
      </c>
      <c r="BH98">
        <f t="shared" si="17"/>
        <v>0</v>
      </c>
      <c r="BI98" s="29" cm="1">
        <f t="array" ref="BI98">IF($F$13-$I$4+VLOOKUP($R98,武学奇术!$A:$ZZ,13,FALSE)+SUM(_xlfn.XLOOKUP(S98:AL98,增益!$A:$A,增益!$M:$M,0))&gt;0,($F$13-$I$4+VLOOKUP($R98,武学奇术!$A:$ZZ,13,FALSE)+SUM(_xlfn.XLOOKUP(S98:AL98,增益!$A:$A,增益!$K:$K,0)))/200,($F$13-$I$4+VLOOKUP($R98,武学奇术!$A:$ZZ,13,FALSE)+SUM(_xlfn.XLOOKUP(S98:AL98,增益!$A:$A,增益!$M:$M,0)))/100)</f>
        <v>-0.3</v>
      </c>
      <c r="BJ98" s="29" cm="1">
        <f t="array" ref="BJ98">$G$13+VLOOKUP($R98,武学奇术!$A:$ZZ,14,FALSE)+SUM(_xlfn.XLOOKUP(S98:AL98,增益!$A:$A,增益!$N:$N,0))</f>
        <v>0</v>
      </c>
      <c r="BK98">
        <f t="shared" si="18"/>
        <v>618.2</v>
      </c>
      <c r="BL98">
        <f t="shared" si="19"/>
        <v>1805</v>
      </c>
      <c r="BM98" s="29" cm="1">
        <f t="array" ref="BM98">IF($F$14-$I$4+VLOOKUP($R98,武学奇术!$A:$ZZ,15,FALSE)+SUM(_xlfn.XLOOKUP(S98:AL98,增益!$A:$A,增益!$O:$O,0))&gt;0,($F$14-$I$4+VLOOKUP($R98,武学奇术!$A:$ZZ,15,FALSE)+SUM(_xlfn.XLOOKUP(S98:AL98,增益!$A:$A,增益!$O:$O,0)))/200,($F$14-$I$4+VLOOKUP($R98,武学奇术!$A:$ZZ,15,FALSE)+SUM(_xlfn.XLOOKUP(S98:AL98,增益!$A:$A,增益!$O:$O,0)))/100)</f>
        <v>0.05</v>
      </c>
      <c r="BN98" s="29" cm="1">
        <f t="array" ref="BN98">$G$14+VLOOKUP($R98,武学奇术!$A:$ZZ,16,FALSE)+SUM(_xlfn.XLOOKUP(S98:AL98,增益!$A:$A,增益!$P:$P,0))</f>
        <v>0.21</v>
      </c>
      <c r="BO98" s="23">
        <f>MIN(IF(VLOOKUP($R98,武学奇术!$A:$ZZ,23,FALSE)=1,100%,$B$8),100%)</f>
        <v>0.9943</v>
      </c>
      <c r="BP98" s="23" cm="1">
        <f t="array" ref="BP98">IF(VLOOKUP($R98,武学奇术!$A:$ZZ,23,FALSE)=1,100%,MIN(80%,$B$9+VLOOKUP($R98,武学奇术!$A:$ZZ,17,FALSE)+SUM(_xlfn.XLOOKUP(S98:AL98,增益!$A:$A,增益!$Q:$Q,0)))+$B$11+SUM(_xlfn.XLOOKUP(S98:AL98,增益!$A:$A,增益!$U:$U,0)))*IF(VLOOKUP($R98,武学奇术!$A:$ZZ,24,FALSE)=1,0,1)</f>
        <v>0.887</v>
      </c>
      <c r="BQ98" s="23" cm="1">
        <f t="array" ref="BQ98">1+$B$13+VLOOKUP($R98,武学奇术!$A:$ZZ,18,FALSE)+SUM(_xlfn.XLOOKUP(S98:AL98,增益!$A:$A,增益!$R:$R,0))</f>
        <v>2.394</v>
      </c>
      <c r="BR98" s="23" cm="1">
        <f t="array" ref="BR98">IF(VLOOKUP($R98,武学奇术!$A:$ZZ,24,FALSE)=1,100%,MIN(40%,$B$10+VLOOKUP($R98,武学奇术!$A:$ZZ,19,FALSE)+SUM(_xlfn.XLOOKUP(S98:AL98,增益!$A:$A,增益!$S:$S,0)))+$B$12+SUM(_xlfn.XLOOKUP(S98:AL98,增益!$A:$A,增益!$V:$V,0)))*IF(VLOOKUP($R98,武学奇术!$A:$ZZ,23,FALSE)=1,0,1)</f>
        <v>0.0913</v>
      </c>
      <c r="BS98" s="23" cm="1">
        <f t="array" ref="BS98">1+$B$14+VLOOKUP($R98,武学奇术!$A:$ZZ,20,FALSE)+SUM(_xlfn.XLOOKUP(S98:AL98,增益!$A:$A,增益!$T:$T,0))</f>
        <v>1.35</v>
      </c>
      <c r="BT98" s="23">
        <f t="shared" si="20"/>
        <v>0.8819441</v>
      </c>
      <c r="BU98" s="23">
        <f t="shared" si="21"/>
        <v>0.0215763099999999</v>
      </c>
      <c r="BV98" s="23">
        <f>IF(VLOOKUP($R98,武学奇术!$A:$ZZ,22,FALSE)=1,0,(1-$BO98))*(1-$BR98)</f>
        <v>0.00517959000000003</v>
      </c>
      <c r="BW98" s="23" cm="1">
        <f t="array" ref="BW98">SUM(_xlfn.XLOOKUP(S98:AL98,增益!$A:$A,增益!$W:$W,0))+$I$5</f>
        <v>0.11</v>
      </c>
      <c r="BX98" s="23">
        <f>VLOOKUP($R98,武学奇术!$A:$ZZ,32,FALSE)</f>
        <v>0.1</v>
      </c>
      <c r="BY98" s="23" cm="1">
        <f t="array" ref="BY98">SUM(_xlfn.XLOOKUP($S98:$AL98,增益!$A:$A,增益!$X:$X,0))</f>
        <v>0</v>
      </c>
    </row>
    <row r="99" spans="11:77">
      <c r="K99" s="35">
        <f>$L99*VLOOKUP($R99,武学奇术!$A:$ZZ,31,FALSE)</f>
        <v>64854.6765922992</v>
      </c>
      <c r="L99" s="35">
        <f t="shared" si="22"/>
        <v>57905.9612431242</v>
      </c>
      <c r="M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轻击",$B$21,0))*(1+IF(VLOOKUP($R99,武学奇术!$A:$ZZ,30,FALSE)="老鼠",$B$22,0))*(1+$BW99)*(1+$BX99)</f>
        <v>60916.4547262383</v>
      </c>
      <c r="N99" s="35">
        <f>(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轻击",$B$21,0))*(1+IF(VLOOKUP($R99,武学奇术!$A:$ZZ,30,FALSE)="老鼠",$B$22,0))*(1+$BW99))*(1+$BX99)</f>
        <v>38512.6234829715</v>
      </c>
      <c r="O99" s="35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轻击",$B$21,0))*(1+IF(VLOOKUP($R99,武学奇术!$A:$ZZ,30,FALSE)="老鼠",$B$22,0))*(1+$BW99)*(1+$BX99)</f>
        <v>25445.4698104588</v>
      </c>
      <c r="P99" s="35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轻击",$B$21,0))*(1+IF(VLOOKUP($R99,武学奇术!$A:$ZZ,30,FALSE)="老鼠",$B$22,0))*(1+$BW99)*(1+$BX99)</f>
        <v>22363.070374272</v>
      </c>
      <c r="Q99" s="36">
        <v>1</v>
      </c>
      <c r="R99" s="37" t="s">
        <v>148</v>
      </c>
      <c r="S99" s="37" t="s">
        <v>91</v>
      </c>
      <c r="T99" s="37" t="s">
        <v>185</v>
      </c>
      <c r="U99" s="37" t="s">
        <v>112</v>
      </c>
      <c r="V99" s="37" t="s">
        <v>113</v>
      </c>
      <c r="W99" s="37" t="s">
        <v>82</v>
      </c>
      <c r="X99" s="37" t="s">
        <v>81</v>
      </c>
      <c r="Y99" s="37" t="s">
        <v>109</v>
      </c>
      <c r="Z99" s="37" t="s">
        <v>83</v>
      </c>
      <c r="AA99" s="37" t="s">
        <v>81</v>
      </c>
      <c r="AB99" s="37" t="s">
        <v>81</v>
      </c>
      <c r="AC99" s="37" t="s">
        <v>81</v>
      </c>
      <c r="AD99" s="37" t="s">
        <v>81</v>
      </c>
      <c r="AE99" s="37" t="s">
        <v>86</v>
      </c>
      <c r="AF99" s="37" t="s">
        <v>81</v>
      </c>
      <c r="AG99" s="37" t="s">
        <v>87</v>
      </c>
      <c r="AH99" s="37" t="s">
        <v>81</v>
      </c>
      <c r="AI99" s="37" t="s">
        <v>81</v>
      </c>
      <c r="AJ99" s="37" t="s">
        <v>81</v>
      </c>
      <c r="AK99" s="37" t="s">
        <v>81</v>
      </c>
      <c r="AL99" s="37" t="s">
        <v>81</v>
      </c>
      <c r="AM99" t="str">
        <f>VLOOKUP($R99,武学奇术!$A:$ZZ,25,FALSE)</f>
        <v>双刀</v>
      </c>
      <c r="AN99" s="23">
        <f>VLOOKUP($R99,武学奇术!$A:$ZZ,26,FALSE)</f>
        <v>1.4455</v>
      </c>
      <c r="AO99" s="24">
        <f>VLOOKUP($R99,武学奇术!$A:$ZZ,27,FALSE)*(1+IF(OR($AM99=$F$4,$AM99=$F$5),$B$23,0))</f>
        <v>641.6</v>
      </c>
      <c r="AP99" s="23">
        <f>VLOOKUP($R99,武学奇术!$A:$ZZ,28,FALSE)</f>
        <v>2.1683</v>
      </c>
      <c r="AQ99" s="24">
        <f>VLOOKUP($R99,武学奇术!$A:$ZZ,29,FALSE)*(1+IF(OR($AM99=$F$4,$AM99=$F$5),$B$23,0))</f>
        <v>348.8</v>
      </c>
      <c r="AR99" s="23" cm="1">
        <f t="array" ref="AR99">$G$3+IFERROR(VLOOKUP($AM99,$F$4:$G$7,2,FALSE),0)+VLOOKUP($R99,武学奇术!$A:$ZZ,2,FALSE)+SUM(_xlfn.XLOOKUP($S99:$AL99,增益!$A:$A,增益!$B:$B,0))</f>
        <v>0.5443</v>
      </c>
      <c r="AS99" s="23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4081.7</v>
      </c>
      <c r="AU99" cm="1">
        <f t="array" ref="AU99">$E$10*(1+$AS99)+VLOOKUP($R99,武学奇术!$A:$ZZ,4,FALSE)+SUM(_xlfn.XLOOKUP($S99:$AL99,增益!$A:$A,增益!$D:$D,0))-$I$2</f>
        <v>4081.7</v>
      </c>
      <c r="AV99" s="29" cm="1">
        <f t="array" ref="AV99">IF($F$10-$I$3+VLOOKUP($R99,武学奇术!$A:$ZZ,6,FALSE)+SUM(_xlfn.XLOOKUP(S99:AL99,增益!$A:$A,增益!$F:$F,0))&gt;0,($F$10-$I$3+VLOOKUP($R99,武学奇术!$A:$ZZ,6,FALSE)+SUM(_xlfn.XLOOKUP(S99:AL99,增益!$A:$A,增益!$F:$F,0)))/200,($F$10-$I$3+VLOOKUP($R99,武学奇术!$A:$ZZ,6,FALSE)+SUM(_xlfn.XLOOKUP(S99:AL99,增益!$A:$A,增益!$F:$F,0)))/100)</f>
        <v>0.3689</v>
      </c>
      <c r="AW99" s="29" cm="1">
        <f t="array" ref="AW99">$G$10+VLOOKUP($R99,武学奇术!$A:$ZZ,7,FALSE)+SUM(_xlfn.XLOOKUP(S99:AL99,增益!$A:$A,增益!$G:$G,0))</f>
        <v>0.06</v>
      </c>
      <c r="AX99" s="23" cm="1">
        <f t="array" ref="AX99">VLOOKUP($R99,武学奇术!$A:$ZZ,8,FALSE)+SUM(_xlfn.XLOOKUP(S99:AL99,增益!$A:$A,增益!$H:$H,0))</f>
        <v>0</v>
      </c>
      <c r="AY99">
        <f t="shared" si="12"/>
        <v>0</v>
      </c>
      <c r="AZ99">
        <f t="shared" si="13"/>
        <v>0</v>
      </c>
      <c r="BA99" s="29" cm="1">
        <f t="array" ref="BA99">IF($F$11-$I$4+VLOOKUP($R99,武学奇术!$A:$ZZ,9,FALSE)+SUM(_xlfn.XLOOKUP(S99:AL99,增益!$A:$A,增益!$I:$I,0))&gt;0,($F$11-$I$4+VLOOKUP($R99,武学奇术!$A:$ZZ,9,FALSE)+SUM(_xlfn.XLOOKUP(S99:AL99,增益!$A:$A,增益!$I:$I,0)))/200,($F$11-$I$4+VLOOKUP($R99,武学奇术!$A:$ZZ,9,FALSE)+SUM(_xlfn.XLOOKUP(S99:AL99,增益!$A:$A,增益!$I:$I,0)))/100)</f>
        <v>-0.3</v>
      </c>
      <c r="BB99" s="29" cm="1">
        <f t="array" ref="BB99">$G$11+VLOOKUP($R99,武学奇术!$A:$ZZ,10,FALSE)+SUM(_xlfn.XLOOKUP(S99:AL99,增益!$A:$A,增益!$J:$J,0))</f>
        <v>0</v>
      </c>
      <c r="BC99">
        <f t="shared" si="14"/>
        <v>0</v>
      </c>
      <c r="BD99">
        <f t="shared" si="15"/>
        <v>0</v>
      </c>
      <c r="BE99" s="29" cm="1">
        <f t="array" ref="BE99">IF($F$12-$I$4+VLOOKUP($R99,武学奇术!$A:$ZZ,11,FALSE)+SUM(_xlfn.XLOOKUP(S99:AL99,增益!$A:$A,增益!$K:$K,0))&gt;0,($F$12-$I$4+VLOOKUP($R99,武学奇术!$A:$ZZ,11,FALSE)+SUM(_xlfn.XLOOKUP(S99:AL99,增益!$A:$A,增益!$K:$K,0)))/200,($F$12-$I$4+VLOOKUP($R99,武学奇术!$A:$ZZ,11,FALSE)+SUM(_xlfn.XLOOKUP(S99:AL99,增益!$A:$A,增益!$K:$K,0)))/100)</f>
        <v>-0.3</v>
      </c>
      <c r="BF99" s="29" cm="1">
        <f t="array" ref="BF99">$G$12+VLOOKUP($R99,武学奇术!$A:$ZZ,12,FALSE)+SUM(_xlfn.XLOOKUP(S99:AL99,增益!$A:$A,增益!$L:$L,0))</f>
        <v>0</v>
      </c>
      <c r="BG99">
        <f t="shared" si="16"/>
        <v>0</v>
      </c>
      <c r="BH99">
        <f t="shared" si="17"/>
        <v>0</v>
      </c>
      <c r="BI99" s="29" cm="1">
        <f t="array" ref="BI99">IF($F$13-$I$4+VLOOKUP($R99,武学奇术!$A:$ZZ,13,FALSE)+SUM(_xlfn.XLOOKUP(S99:AL99,增益!$A:$A,增益!$M:$M,0))&gt;0,($F$13-$I$4+VLOOKUP($R99,武学奇术!$A:$ZZ,13,FALSE)+SUM(_xlfn.XLOOKUP(S99:AL99,增益!$A:$A,增益!$K:$K,0)))/200,($F$13-$I$4+VLOOKUP($R99,武学奇术!$A:$ZZ,13,FALSE)+SUM(_xlfn.XLOOKUP(S99:AL99,增益!$A:$A,增益!$M:$M,0)))/100)</f>
        <v>-0.3</v>
      </c>
      <c r="BJ99" s="29" cm="1">
        <f t="array" ref="BJ99">$G$13+VLOOKUP($R99,武学奇术!$A:$ZZ,14,FALSE)+SUM(_xlfn.XLOOKUP(S99:AL99,增益!$A:$A,增益!$N:$N,0))</f>
        <v>0</v>
      </c>
      <c r="BK99">
        <f t="shared" si="18"/>
        <v>618.2</v>
      </c>
      <c r="BL99">
        <f t="shared" si="19"/>
        <v>1805</v>
      </c>
      <c r="BM99" s="29" cm="1">
        <f t="array" ref="BM99">IF($F$14-$I$4+VLOOKUP($R99,武学奇术!$A:$ZZ,15,FALSE)+SUM(_xlfn.XLOOKUP(S99:AL99,增益!$A:$A,增益!$O:$O,0))&gt;0,($F$14-$I$4+VLOOKUP($R99,武学奇术!$A:$ZZ,15,FALSE)+SUM(_xlfn.XLOOKUP(S99:AL99,增益!$A:$A,增益!$O:$O,0)))/200,($F$14-$I$4+VLOOKUP($R99,武学奇术!$A:$ZZ,15,FALSE)+SUM(_xlfn.XLOOKUP(S99:AL99,增益!$A:$A,增益!$O:$O,0)))/100)</f>
        <v>0.05</v>
      </c>
      <c r="BN99" s="29" cm="1">
        <f t="array" ref="BN99">$G$14+VLOOKUP($R99,武学奇术!$A:$ZZ,16,FALSE)+SUM(_xlfn.XLOOKUP(S99:AL99,增益!$A:$A,增益!$P:$P,0))</f>
        <v>0.21</v>
      </c>
      <c r="BO99" s="23">
        <f>MIN(IF(VLOOKUP($R99,武学奇术!$A:$ZZ,23,FALSE)=1,100%,$B$8),100%)</f>
        <v>0.9943</v>
      </c>
      <c r="BP99" s="23" cm="1">
        <f t="array" ref="BP99">IF(VLOOKUP($R99,武学奇术!$A:$ZZ,23,FALSE)=1,100%,MIN(80%,$B$9+VLOOKUP($R99,武学奇术!$A:$ZZ,17,FALSE)+SUM(_xlfn.XLOOKUP(S99:AL99,增益!$A:$A,增益!$Q:$Q,0)))+$B$11+SUM(_xlfn.XLOOKUP(S99:AL99,增益!$A:$A,增益!$U:$U,0)))*IF(VLOOKUP($R99,武学奇术!$A:$ZZ,24,FALSE)=1,0,1)</f>
        <v>0.887</v>
      </c>
      <c r="BQ99" s="23" cm="1">
        <f t="array" ref="BQ99">1+$B$13+VLOOKUP($R99,武学奇术!$A:$ZZ,18,FALSE)+SUM(_xlfn.XLOOKUP(S99:AL99,增益!$A:$A,增益!$R:$R,0))</f>
        <v>2.394</v>
      </c>
      <c r="BR99" s="23" cm="1">
        <f t="array" ref="BR99">IF(VLOOKUP($R99,武学奇术!$A:$ZZ,24,FALSE)=1,100%,MIN(40%,$B$10+VLOOKUP($R99,武学奇术!$A:$ZZ,19,FALSE)+SUM(_xlfn.XLOOKUP(S99:AL99,增益!$A:$A,增益!$S:$S,0)))+$B$12+SUM(_xlfn.XLOOKUP(S99:AL99,增益!$A:$A,增益!$V:$V,0)))*IF(VLOOKUP($R99,武学奇术!$A:$ZZ,23,FALSE)=1,0,1)</f>
        <v>0.0913</v>
      </c>
      <c r="BS99" s="23" cm="1">
        <f t="array" ref="BS99">1+$B$14+VLOOKUP($R99,武学奇术!$A:$ZZ,20,FALSE)+SUM(_xlfn.XLOOKUP(S99:AL99,增益!$A:$A,增益!$T:$T,0))</f>
        <v>1.35</v>
      </c>
      <c r="BT99" s="23">
        <f t="shared" si="20"/>
        <v>0.8819441</v>
      </c>
      <c r="BU99" s="23">
        <f t="shared" si="21"/>
        <v>0.0215763099999999</v>
      </c>
      <c r="BV99" s="23">
        <f>IF(VLOOKUP($R99,武学奇术!$A:$ZZ,22,FALSE)=1,0,(1-$BO99))*(1-$BR99)</f>
        <v>0.00517959000000003</v>
      </c>
      <c r="BW99" s="23" cm="1">
        <f t="array" ref="BW99">SUM(_xlfn.XLOOKUP(S99:AL99,增益!$A:$A,增益!$W:$W,0))+$I$5</f>
        <v>0.11</v>
      </c>
      <c r="BX99" s="23">
        <f>VLOOKUP($R99,武学奇术!$A:$ZZ,32,FALSE)</f>
        <v>0.1</v>
      </c>
      <c r="BY99" s="23" cm="1">
        <f t="array" ref="BY99">SUM(_xlfn.XLOOKUP($S99:$AL99,增益!$A:$A,增益!$X:$X,0))</f>
        <v>0</v>
      </c>
    </row>
    <row r="100" spans="11:77">
      <c r="K100" s="35">
        <f>$L100*VLOOKUP($R100,武学奇术!$A:$ZZ,31,FALSE)</f>
        <v>143830.300386059</v>
      </c>
      <c r="L100" s="69">
        <f t="shared" si="22"/>
        <v>141010.098417704</v>
      </c>
      <c r="M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轻击",$B$21,0))*(1+IF(VLOOKUP($R100,武学奇术!$A:$ZZ,30,FALSE)="老鼠",$B$22,0))*(1+$BW100)*(1+$BX100)</f>
        <v>148231.87080922</v>
      </c>
      <c r="N100" s="35">
        <f>(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轻击",$B$21,0))*(1+IF(VLOOKUP($R100,武学奇术!$A:$ZZ,30,FALSE)="老鼠",$B$22,0))*(1+$BW100))*(1+$BX100)</f>
        <v>94902.5892445215</v>
      </c>
      <c r="O100" s="35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轻击",$B$21,0))*(1+IF(VLOOKUP($R100,武学奇术!$A:$ZZ,30,FALSE)="老鼠",$B$22,0))*(1+$BW100)*(1+$BX100)</f>
        <v>61918.0746905681</v>
      </c>
      <c r="P100" s="35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轻击",$B$21,0))*(1+IF(VLOOKUP($R100,武学奇术!$A:$ZZ,30,FALSE)="老鼠",$B$22,0))*(1+$BW100)*(1+$BX100)</f>
        <v>53537.9351259351</v>
      </c>
      <c r="Q100" s="70">
        <v>5</v>
      </c>
      <c r="R100" s="37" t="s">
        <v>106</v>
      </c>
      <c r="S100" s="37" t="s">
        <v>91</v>
      </c>
      <c r="T100" s="37" t="s">
        <v>185</v>
      </c>
      <c r="U100" s="37" t="s">
        <v>112</v>
      </c>
      <c r="V100" s="37" t="s">
        <v>113</v>
      </c>
      <c r="W100" s="37" t="s">
        <v>82</v>
      </c>
      <c r="X100" s="37" t="s">
        <v>81</v>
      </c>
      <c r="Y100" s="37" t="s">
        <v>109</v>
      </c>
      <c r="Z100" s="37" t="s">
        <v>83</v>
      </c>
      <c r="AA100" s="37" t="s">
        <v>81</v>
      </c>
      <c r="AB100" s="37" t="s">
        <v>81</v>
      </c>
      <c r="AC100" s="37" t="s">
        <v>81</v>
      </c>
      <c r="AD100" s="37" t="s">
        <v>81</v>
      </c>
      <c r="AE100" s="37" t="s">
        <v>86</v>
      </c>
      <c r="AF100" s="37" t="s">
        <v>81</v>
      </c>
      <c r="AG100" s="37" t="s">
        <v>87</v>
      </c>
      <c r="AH100" s="37" t="s">
        <v>81</v>
      </c>
      <c r="AI100" s="37" t="s">
        <v>81</v>
      </c>
      <c r="AJ100" s="37" t="s">
        <v>81</v>
      </c>
      <c r="AK100" s="37" t="s">
        <v>81</v>
      </c>
      <c r="AL100" s="37" t="s">
        <v>81</v>
      </c>
      <c r="AM100" t="str">
        <f>VLOOKUP($R100,武学奇术!$A:$ZZ,25,FALSE)</f>
        <v>绳镖</v>
      </c>
      <c r="AN100" s="23">
        <f>VLOOKUP($R100,武学奇术!$A:$ZZ,26,FALSE)</f>
        <v>0.3675</v>
      </c>
      <c r="AO100" s="24">
        <f>VLOOKUP($R100,武学奇术!$A:$ZZ,27,FALSE)*(1+IF(OR($AM100=$F$4,$AM100=$F$5),$B$23,0))</f>
        <v>0</v>
      </c>
      <c r="AP100" s="23">
        <f>VLOOKUP($R100,武学奇术!$A:$ZZ,28,FALSE)</f>
        <v>0.55125</v>
      </c>
      <c r="AQ100" s="24">
        <f>VLOOKUP($R100,武学奇术!$A:$ZZ,29,FALSE)*(1+IF(OR($AM100=$F$4,$AM100=$F$5),$B$23,0))</f>
        <v>0</v>
      </c>
      <c r="AR100" s="23" cm="1">
        <f t="array" ref="AR100">$G$3+IFERROR(VLOOKUP($AM100,$F$4:$G$7,2,FALSE),0)+VLOOKUP($R100,武学奇术!$A:$ZZ,2,FALSE)+SUM(_xlfn.XLOOKUP($S100:$AL100,增益!$A:$A,增益!$B:$B,0))</f>
        <v>1.3443</v>
      </c>
      <c r="AS100" s="23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4081.7</v>
      </c>
      <c r="AU100" cm="1">
        <f t="array" ref="AU100">$E$10*(1+$AS100)+VLOOKUP($R100,武学奇术!$A:$ZZ,4,FALSE)+SUM(_xlfn.XLOOKUP($S100:$AL100,增益!$A:$A,增益!$D:$D,0))-$I$2</f>
        <v>4081.7</v>
      </c>
      <c r="AV100" s="29" cm="1">
        <f t="array" ref="AV100">IF($F$10-$I$3+VLOOKUP($R100,武学奇术!$A:$ZZ,6,FALSE)+SUM(_xlfn.XLOOKUP(S100:AL100,增益!$A:$A,增益!$F:$F,0))&gt;0,($F$10-$I$3+VLOOKUP($R100,武学奇术!$A:$ZZ,6,FALSE)+SUM(_xlfn.XLOOKUP(S100:AL100,增益!$A:$A,增益!$F:$F,0)))/200,($F$10-$I$3+VLOOKUP($R100,武学奇术!$A:$ZZ,6,FALSE)+SUM(_xlfn.XLOOKUP(S100:AL100,增益!$A:$A,增益!$F:$F,0)))/100)</f>
        <v>0.3689</v>
      </c>
      <c r="AW100" s="29" cm="1">
        <f t="array" ref="AW100">$G$10+VLOOKUP($R100,武学奇术!$A:$ZZ,7,FALSE)+SUM(_xlfn.XLOOKUP(S100:AL100,增益!$A:$A,增益!$G:$G,0))</f>
        <v>0.27</v>
      </c>
      <c r="AX100" s="23" cm="1">
        <f t="array" ref="AX100">VLOOKUP($R100,武学奇术!$A:$ZZ,8,FALSE)+SUM(_xlfn.XLOOKUP(S100:AL100,增益!$A:$A,增益!$H:$H,0))</f>
        <v>0</v>
      </c>
      <c r="AY100">
        <f t="shared" si="12"/>
        <v>0</v>
      </c>
      <c r="AZ100">
        <f t="shared" si="13"/>
        <v>0</v>
      </c>
      <c r="BA100" s="29" cm="1">
        <f t="array" ref="BA100">IF($F$11-$I$4+VLOOKUP($R100,武学奇术!$A:$ZZ,9,FALSE)+SUM(_xlfn.XLOOKUP(S100:AL100,增益!$A:$A,增益!$I:$I,0))&gt;0,($F$11-$I$4+VLOOKUP($R100,武学奇术!$A:$ZZ,9,FALSE)+SUM(_xlfn.XLOOKUP(S100:AL100,增益!$A:$A,增益!$I:$I,0)))/200,($F$11-$I$4+VLOOKUP($R100,武学奇术!$A:$ZZ,9,FALSE)+SUM(_xlfn.XLOOKUP(S100:AL100,增益!$A:$A,增益!$I:$I,0)))/100)</f>
        <v>-0.3</v>
      </c>
      <c r="BB100" s="29" cm="1">
        <f t="array" ref="BB100">$G$11+VLOOKUP($R100,武学奇术!$A:$ZZ,10,FALSE)+SUM(_xlfn.XLOOKUP(S100:AL100,增益!$A:$A,增益!$J:$J,0))</f>
        <v>0</v>
      </c>
      <c r="BC100">
        <f t="shared" si="14"/>
        <v>0</v>
      </c>
      <c r="BD100">
        <f t="shared" si="15"/>
        <v>0</v>
      </c>
      <c r="BE100" s="29" cm="1">
        <f t="array" ref="BE100">IF($F$12-$I$4+VLOOKUP($R100,武学奇术!$A:$ZZ,11,FALSE)+SUM(_xlfn.XLOOKUP(S100:AL100,增益!$A:$A,增益!$K:$K,0))&gt;0,($F$12-$I$4+VLOOKUP($R100,武学奇术!$A:$ZZ,11,FALSE)+SUM(_xlfn.XLOOKUP(S100:AL100,增益!$A:$A,增益!$K:$K,0)))/200,($F$12-$I$4+VLOOKUP($R100,武学奇术!$A:$ZZ,11,FALSE)+SUM(_xlfn.XLOOKUP(S100:AL100,增益!$A:$A,增益!$K:$K,0)))/100)</f>
        <v>-0.3</v>
      </c>
      <c r="BF100" s="29" cm="1">
        <f t="array" ref="BF100">$G$12+VLOOKUP($R100,武学奇术!$A:$ZZ,12,FALSE)+SUM(_xlfn.XLOOKUP(S100:AL100,增益!$A:$A,增益!$L:$L,0))</f>
        <v>0</v>
      </c>
      <c r="BG100">
        <f t="shared" si="16"/>
        <v>0</v>
      </c>
      <c r="BH100">
        <f t="shared" si="17"/>
        <v>0</v>
      </c>
      <c r="BI100" s="29" cm="1">
        <f t="array" ref="BI100">IF($F$13-$I$4+VLOOKUP($R100,武学奇术!$A:$ZZ,13,FALSE)+SUM(_xlfn.XLOOKUP(S100:AL100,增益!$A:$A,增益!$M:$M,0))&gt;0,($F$13-$I$4+VLOOKUP($R100,武学奇术!$A:$ZZ,13,FALSE)+SUM(_xlfn.XLOOKUP(S100:AL100,增益!$A:$A,增益!$K:$K,0)))/200,($F$13-$I$4+VLOOKUP($R100,武学奇术!$A:$ZZ,13,FALSE)+SUM(_xlfn.XLOOKUP(S100:AL100,增益!$A:$A,增益!$M:$M,0)))/100)</f>
        <v>-0.3</v>
      </c>
      <c r="BJ100" s="29" cm="1">
        <f t="array" ref="BJ100">$G$13+VLOOKUP($R100,武学奇术!$A:$ZZ,14,FALSE)+SUM(_xlfn.XLOOKUP(S100:AL100,增益!$A:$A,增益!$N:$N,0))</f>
        <v>0</v>
      </c>
      <c r="BK100">
        <f t="shared" si="18"/>
        <v>618.2</v>
      </c>
      <c r="BL100">
        <f t="shared" si="19"/>
        <v>1805</v>
      </c>
      <c r="BM100" s="29" cm="1">
        <f t="array" ref="BM100">IF($F$14-$I$4+VLOOKUP($R100,武学奇术!$A:$ZZ,15,FALSE)+SUM(_xlfn.XLOOKUP(S100:AL100,增益!$A:$A,增益!$O:$O,0))&gt;0,($F$14-$I$4+VLOOKUP($R100,武学奇术!$A:$ZZ,15,FALSE)+SUM(_xlfn.XLOOKUP(S100:AL100,增益!$A:$A,增益!$O:$O,0)))/200,($F$14-$I$4+VLOOKUP($R100,武学奇术!$A:$ZZ,15,FALSE)+SUM(_xlfn.XLOOKUP(S100:AL100,增益!$A:$A,增益!$O:$O,0)))/100)</f>
        <v>0.05</v>
      </c>
      <c r="BN100" s="29" cm="1">
        <f t="array" ref="BN100">$G$14+VLOOKUP($R100,武学奇术!$A:$ZZ,16,FALSE)+SUM(_xlfn.XLOOKUP(S100:AL100,增益!$A:$A,增益!$P:$P,0))</f>
        <v>0.42</v>
      </c>
      <c r="BO100" s="23">
        <f>MIN(IF(VLOOKUP($R100,武学奇术!$A:$ZZ,23,FALSE)=1,100%,$B$8),100%)</f>
        <v>0.9943</v>
      </c>
      <c r="BP100" s="23" cm="1">
        <f t="array" ref="BP100">IF(VLOOKUP($R100,武学奇术!$A:$ZZ,23,FALSE)=1,100%,MIN(80%,$B$9+VLOOKUP($R100,武学奇术!$A:$ZZ,17,FALSE)+SUM(_xlfn.XLOOKUP(S100:AL100,增益!$A:$A,增益!$Q:$Q,0)))+$B$11+SUM(_xlfn.XLOOKUP(S100:AL100,增益!$A:$A,增益!$U:$U,0)))*IF(VLOOKUP($R100,武学奇术!$A:$ZZ,24,FALSE)=1,0,1)</f>
        <v>0.887</v>
      </c>
      <c r="BQ100" s="23" cm="1">
        <f t="array" ref="BQ100">1+$B$13+VLOOKUP($R100,武学奇术!$A:$ZZ,18,FALSE)+SUM(_xlfn.XLOOKUP(S100:AL100,增益!$A:$A,增益!$R:$R,0))</f>
        <v>2.394</v>
      </c>
      <c r="BR100" s="23" cm="1">
        <f t="array" ref="BR100">IF(VLOOKUP($R100,武学奇术!$A:$ZZ,24,FALSE)=1,100%,MIN(40%,$B$10+VLOOKUP($R100,武学奇术!$A:$ZZ,19,FALSE)+SUM(_xlfn.XLOOKUP(S100:AL100,增益!$A:$A,增益!$S:$S,0)))+$B$12+SUM(_xlfn.XLOOKUP(S100:AL100,增益!$A:$A,增益!$V:$V,0)))*IF(VLOOKUP($R100,武学奇术!$A:$ZZ,23,FALSE)=1,0,1)</f>
        <v>0.0913</v>
      </c>
      <c r="BS100" s="23" cm="1">
        <f t="array" ref="BS100">1+$B$14+VLOOKUP($R100,武学奇术!$A:$ZZ,20,FALSE)+SUM(_xlfn.XLOOKUP(S100:AL100,增益!$A:$A,增益!$T:$T,0))</f>
        <v>1.35</v>
      </c>
      <c r="BT100" s="23">
        <f t="shared" si="20"/>
        <v>0.8819441</v>
      </c>
      <c r="BU100" s="23">
        <f t="shared" si="21"/>
        <v>0.0215763099999999</v>
      </c>
      <c r="BV100" s="23">
        <f>IF(VLOOKUP($R100,武学奇术!$A:$ZZ,22,FALSE)=1,0,(1-$BO100))*(1-$BR100)</f>
        <v>0.00517959000000003</v>
      </c>
      <c r="BW100" s="23" cm="1">
        <f t="array" ref="BW100">SUM(_xlfn.XLOOKUP(S100:AL100,增益!$A:$A,增益!$W:$W,0))+$I$5</f>
        <v>0.11</v>
      </c>
      <c r="BX100" s="23">
        <f>VLOOKUP($R100,武学奇术!$A:$ZZ,32,FALSE)</f>
        <v>0</v>
      </c>
      <c r="BY100" s="23" cm="1">
        <f t="array" ref="BY100">SUM(_xlfn.XLOOKUP($S100:$AL100,增益!$A:$A,增益!$X:$X,0))</f>
        <v>0</v>
      </c>
    </row>
    <row r="101" spans="11:77">
      <c r="K101" s="35">
        <f>$L101*VLOOKUP($R101,武学奇术!$A:$ZZ,31,FALSE)</f>
        <v>77876.2800987236</v>
      </c>
      <c r="L101" s="35">
        <f t="shared" si="22"/>
        <v>69532.3929452889</v>
      </c>
      <c r="M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轻击",$B$21,0))*(1+IF(VLOOKUP($R101,武学奇术!$A:$ZZ,30,FALSE)="老鼠",$B$22,0))*(1+$BW101)*(1+$BX101)</f>
        <v>73147.328920956</v>
      </c>
      <c r="N101" s="35">
        <f>(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轻击",$B$21,0))*(1+IF(VLOOKUP($R101,武学奇术!$A:$ZZ,30,FALSE)="老鼠",$B$22,0))*(1+$BW101))*(1+$BX101)</f>
        <v>46245.3201169437</v>
      </c>
      <c r="O101" s="35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轻击",$B$21,0))*(1+IF(VLOOKUP($R101,武学奇术!$A:$ZZ,30,FALSE)="老鼠",$B$22,0))*(1+$BW101)*(1+$BX101)</f>
        <v>30554.4398166065</v>
      </c>
      <c r="P101" s="35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轻击",$B$21,0))*(1+IF(VLOOKUP($R101,武学奇术!$A:$ZZ,30,FALSE)="老鼠",$B$22,0))*(1+$BW101)*(1+$BX101)</f>
        <v>26853.0869539955</v>
      </c>
      <c r="Q101" s="36">
        <v>1</v>
      </c>
      <c r="R101" s="37" t="s">
        <v>153</v>
      </c>
      <c r="S101" s="37" t="s">
        <v>91</v>
      </c>
      <c r="T101" s="37" t="s">
        <v>185</v>
      </c>
      <c r="U101" s="37" t="s">
        <v>112</v>
      </c>
      <c r="V101" s="37" t="s">
        <v>113</v>
      </c>
      <c r="W101" s="37" t="s">
        <v>82</v>
      </c>
      <c r="X101" s="37" t="s">
        <v>81</v>
      </c>
      <c r="Y101" s="37" t="s">
        <v>109</v>
      </c>
      <c r="Z101" s="37" t="s">
        <v>83</v>
      </c>
      <c r="AA101" s="37" t="s">
        <v>81</v>
      </c>
      <c r="AB101" s="37" t="s">
        <v>81</v>
      </c>
      <c r="AC101" s="37" t="s">
        <v>81</v>
      </c>
      <c r="AD101" s="37" t="s">
        <v>81</v>
      </c>
      <c r="AE101" s="37" t="s">
        <v>86</v>
      </c>
      <c r="AF101" s="37" t="s">
        <v>81</v>
      </c>
      <c r="AG101" s="37" t="s">
        <v>87</v>
      </c>
      <c r="AH101" s="37" t="s">
        <v>81</v>
      </c>
      <c r="AI101" s="37" t="s">
        <v>81</v>
      </c>
      <c r="AJ101" s="37" t="s">
        <v>81</v>
      </c>
      <c r="AK101" s="37" t="s">
        <v>81</v>
      </c>
      <c r="AL101" s="37" t="s">
        <v>81</v>
      </c>
      <c r="AM101" t="str">
        <f>VLOOKUP($R101,武学奇术!$A:$ZZ,25,FALSE)</f>
        <v>双刀</v>
      </c>
      <c r="AN101" s="23">
        <f>VLOOKUP($R101,武学奇术!$A:$ZZ,26,FALSE)</f>
        <v>1.7358</v>
      </c>
      <c r="AO101" s="24">
        <f>VLOOKUP($R101,武学奇术!$A:$ZZ,27,FALSE)*(1+IF(OR($AM101=$F$4,$AM101=$F$5),$B$23,0))</f>
        <v>769.6</v>
      </c>
      <c r="AP101" s="23">
        <f>VLOOKUP($R101,武学奇术!$A:$ZZ,28,FALSE)</f>
        <v>2.6037</v>
      </c>
      <c r="AQ101" s="24">
        <f>VLOOKUP($R101,武学奇术!$A:$ZZ,29,FALSE)*(1+IF(OR($AM101=$F$4,$AM101=$F$5),$B$23,0))</f>
        <v>419.2</v>
      </c>
      <c r="AR101" s="23" cm="1">
        <f t="array" ref="AR101">$G$3+IFERROR(VLOOKUP($AM101,$F$4:$G$7,2,FALSE),0)+VLOOKUP($R101,武学奇术!$A:$ZZ,2,FALSE)+SUM(_xlfn.XLOOKUP($S101:$AL101,增益!$A:$A,增益!$B:$B,0))</f>
        <v>0.5443</v>
      </c>
      <c r="AS101" s="23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4081.7</v>
      </c>
      <c r="AU101" cm="1">
        <f t="array" ref="AU101">$E$10*(1+$AS101)+VLOOKUP($R101,武学奇术!$A:$ZZ,4,FALSE)+SUM(_xlfn.XLOOKUP($S101:$AL101,增益!$A:$A,增益!$D:$D,0))-$I$2</f>
        <v>4081.7</v>
      </c>
      <c r="AV101" s="29" cm="1">
        <f t="array" ref="AV101">IF($F$10-$I$3+VLOOKUP($R101,武学奇术!$A:$ZZ,6,FALSE)+SUM(_xlfn.XLOOKUP(S101:AL101,增益!$A:$A,增益!$F:$F,0))&gt;0,($F$10-$I$3+VLOOKUP($R101,武学奇术!$A:$ZZ,6,FALSE)+SUM(_xlfn.XLOOKUP(S101:AL101,增益!$A:$A,增益!$F:$F,0)))/200,($F$10-$I$3+VLOOKUP($R101,武学奇术!$A:$ZZ,6,FALSE)+SUM(_xlfn.XLOOKUP(S101:AL101,增益!$A:$A,增益!$F:$F,0)))/100)</f>
        <v>0.3689</v>
      </c>
      <c r="AW101" s="29" cm="1">
        <f t="array" ref="AW101">$G$10+VLOOKUP($R101,武学奇术!$A:$ZZ,7,FALSE)+SUM(_xlfn.XLOOKUP(S101:AL101,增益!$A:$A,增益!$G:$G,0))</f>
        <v>0.06</v>
      </c>
      <c r="AX101" s="23" cm="1">
        <f t="array" ref="AX101">VLOOKUP($R101,武学奇术!$A:$ZZ,8,FALSE)+SUM(_xlfn.XLOOKUP(S101:AL101,增益!$A:$A,增益!$H:$H,0))</f>
        <v>0</v>
      </c>
      <c r="AY101">
        <f t="shared" si="12"/>
        <v>0</v>
      </c>
      <c r="AZ101">
        <f t="shared" si="13"/>
        <v>0</v>
      </c>
      <c r="BA101" s="29" cm="1">
        <f t="array" ref="BA101">IF($F$11-$I$4+VLOOKUP($R101,武学奇术!$A:$ZZ,9,FALSE)+SUM(_xlfn.XLOOKUP(S101:AL101,增益!$A:$A,增益!$I:$I,0))&gt;0,($F$11-$I$4+VLOOKUP($R101,武学奇术!$A:$ZZ,9,FALSE)+SUM(_xlfn.XLOOKUP(S101:AL101,增益!$A:$A,增益!$I:$I,0)))/200,($F$11-$I$4+VLOOKUP($R101,武学奇术!$A:$ZZ,9,FALSE)+SUM(_xlfn.XLOOKUP(S101:AL101,增益!$A:$A,增益!$I:$I,0)))/100)</f>
        <v>-0.3</v>
      </c>
      <c r="BB101" s="29" cm="1">
        <f t="array" ref="BB101">$G$11+VLOOKUP($R101,武学奇术!$A:$ZZ,10,FALSE)+SUM(_xlfn.XLOOKUP(S101:AL101,增益!$A:$A,增益!$J:$J,0))</f>
        <v>0</v>
      </c>
      <c r="BC101">
        <f t="shared" si="14"/>
        <v>0</v>
      </c>
      <c r="BD101">
        <f t="shared" si="15"/>
        <v>0</v>
      </c>
      <c r="BE101" s="29" cm="1">
        <f t="array" ref="BE101">IF($F$12-$I$4+VLOOKUP($R101,武学奇术!$A:$ZZ,11,FALSE)+SUM(_xlfn.XLOOKUP(S101:AL101,增益!$A:$A,增益!$K:$K,0))&gt;0,($F$12-$I$4+VLOOKUP($R101,武学奇术!$A:$ZZ,11,FALSE)+SUM(_xlfn.XLOOKUP(S101:AL101,增益!$A:$A,增益!$K:$K,0)))/200,($F$12-$I$4+VLOOKUP($R101,武学奇术!$A:$ZZ,11,FALSE)+SUM(_xlfn.XLOOKUP(S101:AL101,增益!$A:$A,增益!$K:$K,0)))/100)</f>
        <v>-0.3</v>
      </c>
      <c r="BF101" s="29" cm="1">
        <f t="array" ref="BF101">$G$12+VLOOKUP($R101,武学奇术!$A:$ZZ,12,FALSE)+SUM(_xlfn.XLOOKUP(S101:AL101,增益!$A:$A,增益!$L:$L,0))</f>
        <v>0</v>
      </c>
      <c r="BG101">
        <f t="shared" si="16"/>
        <v>0</v>
      </c>
      <c r="BH101">
        <f t="shared" si="17"/>
        <v>0</v>
      </c>
      <c r="BI101" s="29" cm="1">
        <f t="array" ref="BI101">IF($F$13-$I$4+VLOOKUP($R101,武学奇术!$A:$ZZ,13,FALSE)+SUM(_xlfn.XLOOKUP(S101:AL101,增益!$A:$A,增益!$M:$M,0))&gt;0,($F$13-$I$4+VLOOKUP($R101,武学奇术!$A:$ZZ,13,FALSE)+SUM(_xlfn.XLOOKUP(S101:AL101,增益!$A:$A,增益!$K:$K,0)))/200,($F$13-$I$4+VLOOKUP($R101,武学奇术!$A:$ZZ,13,FALSE)+SUM(_xlfn.XLOOKUP(S101:AL101,增益!$A:$A,增益!$M:$M,0)))/100)</f>
        <v>-0.3</v>
      </c>
      <c r="BJ101" s="29" cm="1">
        <f t="array" ref="BJ101">$G$13+VLOOKUP($R101,武学奇术!$A:$ZZ,14,FALSE)+SUM(_xlfn.XLOOKUP(S101:AL101,增益!$A:$A,增益!$N:$N,0))</f>
        <v>0</v>
      </c>
      <c r="BK101">
        <f t="shared" si="18"/>
        <v>618.2</v>
      </c>
      <c r="BL101">
        <f t="shared" si="19"/>
        <v>1805</v>
      </c>
      <c r="BM101" s="29" cm="1">
        <f t="array" ref="BM101">IF($F$14-$I$4+VLOOKUP($R101,武学奇术!$A:$ZZ,15,FALSE)+SUM(_xlfn.XLOOKUP(S101:AL101,增益!$A:$A,增益!$O:$O,0))&gt;0,($F$14-$I$4+VLOOKUP($R101,武学奇术!$A:$ZZ,15,FALSE)+SUM(_xlfn.XLOOKUP(S101:AL101,增益!$A:$A,增益!$O:$O,0)))/200,($F$14-$I$4+VLOOKUP($R101,武学奇术!$A:$ZZ,15,FALSE)+SUM(_xlfn.XLOOKUP(S101:AL101,增益!$A:$A,增益!$O:$O,0)))/100)</f>
        <v>0.05</v>
      </c>
      <c r="BN101" s="29" cm="1">
        <f t="array" ref="BN101">$G$14+VLOOKUP($R101,武学奇术!$A:$ZZ,16,FALSE)+SUM(_xlfn.XLOOKUP(S101:AL101,增益!$A:$A,增益!$P:$P,0))</f>
        <v>0.21</v>
      </c>
      <c r="BO101" s="23">
        <f>MIN(IF(VLOOKUP($R101,武学奇术!$A:$ZZ,23,FALSE)=1,100%,$B$8),100%)</f>
        <v>0.9943</v>
      </c>
      <c r="BP101" s="23" cm="1">
        <f t="array" ref="BP101">IF(VLOOKUP($R101,武学奇术!$A:$ZZ,23,FALSE)=1,100%,MIN(80%,$B$9+VLOOKUP($R101,武学奇术!$A:$ZZ,17,FALSE)+SUM(_xlfn.XLOOKUP(S101:AL101,增益!$A:$A,增益!$Q:$Q,0)))+$B$11+SUM(_xlfn.XLOOKUP(S101:AL101,增益!$A:$A,增益!$U:$U,0)))*IF(VLOOKUP($R101,武学奇术!$A:$ZZ,24,FALSE)=1,0,1)</f>
        <v>0.887</v>
      </c>
      <c r="BQ101" s="23" cm="1">
        <f t="array" ref="BQ101">1+$B$13+VLOOKUP($R101,武学奇术!$A:$ZZ,18,FALSE)+SUM(_xlfn.XLOOKUP(S101:AL101,增益!$A:$A,增益!$R:$R,0))</f>
        <v>2.394</v>
      </c>
      <c r="BR101" s="23" cm="1">
        <f t="array" ref="BR101">IF(VLOOKUP($R101,武学奇术!$A:$ZZ,24,FALSE)=1,100%,MIN(40%,$B$10+VLOOKUP($R101,武学奇术!$A:$ZZ,19,FALSE)+SUM(_xlfn.XLOOKUP(S101:AL101,增益!$A:$A,增益!$S:$S,0)))+$B$12+SUM(_xlfn.XLOOKUP(S101:AL101,增益!$A:$A,增益!$V:$V,0)))*IF(VLOOKUP($R101,武学奇术!$A:$ZZ,23,FALSE)=1,0,1)</f>
        <v>0.0913</v>
      </c>
      <c r="BS101" s="23" cm="1">
        <f t="array" ref="BS101">1+$B$14+VLOOKUP($R101,武学奇术!$A:$ZZ,20,FALSE)+SUM(_xlfn.XLOOKUP(S101:AL101,增益!$A:$A,增益!$T:$T,0))</f>
        <v>1.35</v>
      </c>
      <c r="BT101" s="23">
        <f t="shared" si="20"/>
        <v>0.8819441</v>
      </c>
      <c r="BU101" s="23">
        <f t="shared" si="21"/>
        <v>0.0215763099999999</v>
      </c>
      <c r="BV101" s="23">
        <f>IF(VLOOKUP($R101,武学奇术!$A:$ZZ,22,FALSE)=1,0,(1-$BO101))*(1-$BR101)</f>
        <v>0.00517959000000003</v>
      </c>
      <c r="BW101" s="23" cm="1">
        <f t="array" ref="BW101">SUM(_xlfn.XLOOKUP(S101:AL101,增益!$A:$A,增益!$W:$W,0))+$I$5</f>
        <v>0.11</v>
      </c>
      <c r="BX101" s="23">
        <f>VLOOKUP($R101,武学奇术!$A:$ZZ,32,FALSE)</f>
        <v>0.1</v>
      </c>
      <c r="BY101" s="23" cm="1">
        <f t="array" ref="BY101">SUM(_xlfn.XLOOKUP($S101:$AL101,增益!$A:$A,增益!$X:$X,0))</f>
        <v>0</v>
      </c>
    </row>
    <row r="102" spans="11:77">
      <c r="K102" s="35">
        <f>$L102*VLOOKUP($R102,武学奇术!$A:$ZZ,31,FALSE)</f>
        <v>113685.467484535</v>
      </c>
      <c r="L102" s="35">
        <f t="shared" si="22"/>
        <v>101504.881682621</v>
      </c>
      <c r="M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轻击",$B$21,0))*(1+IF(VLOOKUP($R102,武学奇术!$A:$ZZ,30,FALSE)="老鼠",$B$22,0))*(1+$BW102)*(1+$BX102)</f>
        <v>106781.996220973</v>
      </c>
      <c r="N102" s="35">
        <f>(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轻击",$B$21,0))*(1+IF(VLOOKUP($R102,武学奇术!$A:$ZZ,30,FALSE)="老鼠",$B$22,0))*(1+$BW102))*(1+$BX102)</f>
        <v>67510.3902317141</v>
      </c>
      <c r="O102" s="35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轻击",$B$21,0))*(1+IF(VLOOKUP($R102,武学奇术!$A:$ZZ,30,FALSE)="老鼠",$B$22,0))*(1+$BW102)*(1+$BX102)</f>
        <v>44604.0084465218</v>
      </c>
      <c r="P102" s="35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轻击",$B$21,0))*(1+IF(VLOOKUP($R102,武学奇术!$A:$ZZ,30,FALSE)="老鼠",$B$22,0))*(1+$BW102)*(1+$BX102)</f>
        <v>39200.3204251072</v>
      </c>
      <c r="Q102" s="36">
        <v>1</v>
      </c>
      <c r="R102" s="37" t="s">
        <v>158</v>
      </c>
      <c r="S102" s="37" t="s">
        <v>91</v>
      </c>
      <c r="T102" s="37" t="s">
        <v>185</v>
      </c>
      <c r="U102" s="37" t="s">
        <v>112</v>
      </c>
      <c r="V102" s="37" t="s">
        <v>113</v>
      </c>
      <c r="W102" s="37" t="s">
        <v>82</v>
      </c>
      <c r="X102" s="37" t="s">
        <v>81</v>
      </c>
      <c r="Y102" s="37" t="s">
        <v>109</v>
      </c>
      <c r="Z102" s="37" t="s">
        <v>83</v>
      </c>
      <c r="AA102" s="37" t="s">
        <v>81</v>
      </c>
      <c r="AB102" s="37" t="s">
        <v>81</v>
      </c>
      <c r="AC102" s="37" t="s">
        <v>81</v>
      </c>
      <c r="AD102" s="37" t="s">
        <v>81</v>
      </c>
      <c r="AE102" s="37" t="s">
        <v>86</v>
      </c>
      <c r="AF102" s="37" t="s">
        <v>81</v>
      </c>
      <c r="AG102" s="37" t="s">
        <v>87</v>
      </c>
      <c r="AH102" s="37" t="s">
        <v>81</v>
      </c>
      <c r="AI102" s="37" t="s">
        <v>81</v>
      </c>
      <c r="AJ102" s="37" t="s">
        <v>81</v>
      </c>
      <c r="AK102" s="37" t="s">
        <v>81</v>
      </c>
      <c r="AL102" s="37" t="s">
        <v>81</v>
      </c>
      <c r="AM102" t="str">
        <f>VLOOKUP($R102,武学奇术!$A:$ZZ,25,FALSE)</f>
        <v>双刀</v>
      </c>
      <c r="AN102" s="23">
        <f>VLOOKUP($R102,武学奇术!$A:$ZZ,26,FALSE)</f>
        <v>2.5342</v>
      </c>
      <c r="AO102" s="24">
        <f>VLOOKUP($R102,武学奇术!$A:$ZZ,27,FALSE)*(1+IF(OR($AM102=$F$4,$AM102=$F$5),$B$23,0))</f>
        <v>1123.2</v>
      </c>
      <c r="AP102" s="23">
        <f>VLOOKUP($R102,武学奇术!$A:$ZZ,28,FALSE)</f>
        <v>3.8012</v>
      </c>
      <c r="AQ102" s="24">
        <f>VLOOKUP($R102,武学奇术!$A:$ZZ,29,FALSE)*(1+IF(OR($AM102=$F$4,$AM102=$F$5),$B$23,0))</f>
        <v>611.2</v>
      </c>
      <c r="AR102" s="23" cm="1">
        <f t="array" ref="AR102">$G$3+IFERROR(VLOOKUP($AM102,$F$4:$G$7,2,FALSE),0)+VLOOKUP($R102,武学奇术!$A:$ZZ,2,FALSE)+SUM(_xlfn.XLOOKUP($S102:$AL102,增益!$A:$A,增益!$B:$B,0))</f>
        <v>0.5443</v>
      </c>
      <c r="AS102" s="23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4081.7</v>
      </c>
      <c r="AU102" cm="1">
        <f t="array" ref="AU102">$E$10*(1+$AS102)+VLOOKUP($R102,武学奇术!$A:$ZZ,4,FALSE)+SUM(_xlfn.XLOOKUP($S102:$AL102,增益!$A:$A,增益!$D:$D,0))-$I$2</f>
        <v>4081.7</v>
      </c>
      <c r="AV102" s="29" cm="1">
        <f t="array" ref="AV102">IF($F$10-$I$3+VLOOKUP($R102,武学奇术!$A:$ZZ,6,FALSE)+SUM(_xlfn.XLOOKUP(S102:AL102,增益!$A:$A,增益!$F:$F,0))&gt;0,($F$10-$I$3+VLOOKUP($R102,武学奇术!$A:$ZZ,6,FALSE)+SUM(_xlfn.XLOOKUP(S102:AL102,增益!$A:$A,增益!$F:$F,0)))/200,($F$10-$I$3+VLOOKUP($R102,武学奇术!$A:$ZZ,6,FALSE)+SUM(_xlfn.XLOOKUP(S102:AL102,增益!$A:$A,增益!$F:$F,0)))/100)</f>
        <v>0.3689</v>
      </c>
      <c r="AW102" s="29" cm="1">
        <f t="array" ref="AW102">$G$10+VLOOKUP($R102,武学奇术!$A:$ZZ,7,FALSE)+SUM(_xlfn.XLOOKUP(S102:AL102,增益!$A:$A,增益!$G:$G,0))</f>
        <v>0.06</v>
      </c>
      <c r="AX102" s="23" cm="1">
        <f t="array" ref="AX102">VLOOKUP($R102,武学奇术!$A:$ZZ,8,FALSE)+SUM(_xlfn.XLOOKUP(S102:AL102,增益!$A:$A,增益!$H:$H,0))</f>
        <v>0</v>
      </c>
      <c r="AY102">
        <f t="shared" si="12"/>
        <v>0</v>
      </c>
      <c r="AZ102">
        <f t="shared" si="13"/>
        <v>0</v>
      </c>
      <c r="BA102" s="29" cm="1">
        <f t="array" ref="BA102">IF($F$11-$I$4+VLOOKUP($R102,武学奇术!$A:$ZZ,9,FALSE)+SUM(_xlfn.XLOOKUP(S102:AL102,增益!$A:$A,增益!$I:$I,0))&gt;0,($F$11-$I$4+VLOOKUP($R102,武学奇术!$A:$ZZ,9,FALSE)+SUM(_xlfn.XLOOKUP(S102:AL102,增益!$A:$A,增益!$I:$I,0)))/200,($F$11-$I$4+VLOOKUP($R102,武学奇术!$A:$ZZ,9,FALSE)+SUM(_xlfn.XLOOKUP(S102:AL102,增益!$A:$A,增益!$I:$I,0)))/100)</f>
        <v>-0.3</v>
      </c>
      <c r="BB102" s="29" cm="1">
        <f t="array" ref="BB102">$G$11+VLOOKUP($R102,武学奇术!$A:$ZZ,10,FALSE)+SUM(_xlfn.XLOOKUP(S102:AL102,增益!$A:$A,增益!$J:$J,0))</f>
        <v>0</v>
      </c>
      <c r="BC102">
        <f t="shared" si="14"/>
        <v>0</v>
      </c>
      <c r="BD102">
        <f t="shared" si="15"/>
        <v>0</v>
      </c>
      <c r="BE102" s="29" cm="1">
        <f t="array" ref="BE102">IF($F$12-$I$4+VLOOKUP($R102,武学奇术!$A:$ZZ,11,FALSE)+SUM(_xlfn.XLOOKUP(S102:AL102,增益!$A:$A,增益!$K:$K,0))&gt;0,($F$12-$I$4+VLOOKUP($R102,武学奇术!$A:$ZZ,11,FALSE)+SUM(_xlfn.XLOOKUP(S102:AL102,增益!$A:$A,增益!$K:$K,0)))/200,($F$12-$I$4+VLOOKUP($R102,武学奇术!$A:$ZZ,11,FALSE)+SUM(_xlfn.XLOOKUP(S102:AL102,增益!$A:$A,增益!$K:$K,0)))/100)</f>
        <v>-0.3</v>
      </c>
      <c r="BF102" s="29" cm="1">
        <f t="array" ref="BF102">$G$12+VLOOKUP($R102,武学奇术!$A:$ZZ,12,FALSE)+SUM(_xlfn.XLOOKUP(S102:AL102,增益!$A:$A,增益!$L:$L,0))</f>
        <v>0</v>
      </c>
      <c r="BG102">
        <f t="shared" si="16"/>
        <v>0</v>
      </c>
      <c r="BH102">
        <f t="shared" si="17"/>
        <v>0</v>
      </c>
      <c r="BI102" s="29" cm="1">
        <f t="array" ref="BI102">IF($F$13-$I$4+VLOOKUP($R102,武学奇术!$A:$ZZ,13,FALSE)+SUM(_xlfn.XLOOKUP(S102:AL102,增益!$A:$A,增益!$M:$M,0))&gt;0,($F$13-$I$4+VLOOKUP($R102,武学奇术!$A:$ZZ,13,FALSE)+SUM(_xlfn.XLOOKUP(S102:AL102,增益!$A:$A,增益!$K:$K,0)))/200,($F$13-$I$4+VLOOKUP($R102,武学奇术!$A:$ZZ,13,FALSE)+SUM(_xlfn.XLOOKUP(S102:AL102,增益!$A:$A,增益!$M:$M,0)))/100)</f>
        <v>-0.3</v>
      </c>
      <c r="BJ102" s="29" cm="1">
        <f t="array" ref="BJ102">$G$13+VLOOKUP($R102,武学奇术!$A:$ZZ,14,FALSE)+SUM(_xlfn.XLOOKUP(S102:AL102,增益!$A:$A,增益!$N:$N,0))</f>
        <v>0</v>
      </c>
      <c r="BK102">
        <f t="shared" si="18"/>
        <v>618.2</v>
      </c>
      <c r="BL102">
        <f t="shared" si="19"/>
        <v>1805</v>
      </c>
      <c r="BM102" s="29" cm="1">
        <f t="array" ref="BM102">IF($F$14-$I$4+VLOOKUP($R102,武学奇术!$A:$ZZ,15,FALSE)+SUM(_xlfn.XLOOKUP(S102:AL102,增益!$A:$A,增益!$O:$O,0))&gt;0,($F$14-$I$4+VLOOKUP($R102,武学奇术!$A:$ZZ,15,FALSE)+SUM(_xlfn.XLOOKUP(S102:AL102,增益!$A:$A,增益!$O:$O,0)))/200,($F$14-$I$4+VLOOKUP($R102,武学奇术!$A:$ZZ,15,FALSE)+SUM(_xlfn.XLOOKUP(S102:AL102,增益!$A:$A,增益!$O:$O,0)))/100)</f>
        <v>0.05</v>
      </c>
      <c r="BN102" s="29" cm="1">
        <f t="array" ref="BN102">$G$14+VLOOKUP($R102,武学奇术!$A:$ZZ,16,FALSE)+SUM(_xlfn.XLOOKUP(S102:AL102,增益!$A:$A,增益!$P:$P,0))</f>
        <v>0.21</v>
      </c>
      <c r="BO102" s="23">
        <f>MIN(IF(VLOOKUP($R102,武学奇术!$A:$ZZ,23,FALSE)=1,100%,$B$8),100%)</f>
        <v>0.9943</v>
      </c>
      <c r="BP102" s="23" cm="1">
        <f t="array" ref="BP102">IF(VLOOKUP($R102,武学奇术!$A:$ZZ,23,FALSE)=1,100%,MIN(80%,$B$9+VLOOKUP($R102,武学奇术!$A:$ZZ,17,FALSE)+SUM(_xlfn.XLOOKUP(S102:AL102,增益!$A:$A,增益!$Q:$Q,0)))+$B$11+SUM(_xlfn.XLOOKUP(S102:AL102,增益!$A:$A,增益!$U:$U,0)))*IF(VLOOKUP($R102,武学奇术!$A:$ZZ,24,FALSE)=1,0,1)</f>
        <v>0.887</v>
      </c>
      <c r="BQ102" s="23" cm="1">
        <f t="array" ref="BQ102">1+$B$13+VLOOKUP($R102,武学奇术!$A:$ZZ,18,FALSE)+SUM(_xlfn.XLOOKUP(S102:AL102,增益!$A:$A,增益!$R:$R,0))</f>
        <v>2.394</v>
      </c>
      <c r="BR102" s="23" cm="1">
        <f t="array" ref="BR102">IF(VLOOKUP($R102,武学奇术!$A:$ZZ,24,FALSE)=1,100%,MIN(40%,$B$10+VLOOKUP($R102,武学奇术!$A:$ZZ,19,FALSE)+SUM(_xlfn.XLOOKUP(S102:AL102,增益!$A:$A,增益!$S:$S,0)))+$B$12+SUM(_xlfn.XLOOKUP(S102:AL102,增益!$A:$A,增益!$V:$V,0)))*IF(VLOOKUP($R102,武学奇术!$A:$ZZ,23,FALSE)=1,0,1)</f>
        <v>0.0913</v>
      </c>
      <c r="BS102" s="23" cm="1">
        <f t="array" ref="BS102">1+$B$14+VLOOKUP($R102,武学奇术!$A:$ZZ,20,FALSE)+SUM(_xlfn.XLOOKUP(S102:AL102,增益!$A:$A,增益!$T:$T,0))</f>
        <v>1.35</v>
      </c>
      <c r="BT102" s="23">
        <f t="shared" si="20"/>
        <v>0.8819441</v>
      </c>
      <c r="BU102" s="23">
        <f t="shared" si="21"/>
        <v>0.0215763099999999</v>
      </c>
      <c r="BV102" s="23">
        <f>IF(VLOOKUP($R102,武学奇术!$A:$ZZ,22,FALSE)=1,0,(1-$BO102))*(1-$BR102)</f>
        <v>0.00517959000000003</v>
      </c>
      <c r="BW102" s="23" cm="1">
        <f t="array" ref="BW102">SUM(_xlfn.XLOOKUP(S102:AL102,增益!$A:$A,增益!$W:$W,0))+$I$5</f>
        <v>0.11</v>
      </c>
      <c r="BX102" s="23">
        <f>VLOOKUP($R102,武学奇术!$A:$ZZ,32,FALSE)</f>
        <v>0.1</v>
      </c>
      <c r="BY102" s="23" cm="1">
        <f t="array" ref="BY102">SUM(_xlfn.XLOOKUP($S102:$AL102,增益!$A:$A,增益!$X:$X,0))</f>
        <v>0</v>
      </c>
    </row>
    <row r="103" spans="11:77">
      <c r="K103" s="35">
        <f>$L103*VLOOKUP($R103,武学奇术!$A:$ZZ,31,FALSE)</f>
        <v>42796.627950749</v>
      </c>
      <c r="L103" s="58">
        <f t="shared" si="22"/>
        <v>41957.4783830873</v>
      </c>
      <c r="M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轻击",$B$21,0))*(1+IF(VLOOKUP($R103,武学奇术!$A:$ZZ,30,FALSE)="老鼠",$B$22,0))*(1+$BW103)*(1+$BX103)</f>
        <v>44143.9406082868</v>
      </c>
      <c r="N103" s="35">
        <f>(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轻击",$B$21,0))*(1+IF(VLOOKUP($R103,武学奇术!$A:$ZZ,30,FALSE)="老鼠",$B$22,0))*(1+$BW103))*(1+$BX103)</f>
        <v>27853.0519669411</v>
      </c>
      <c r="O103" s="35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轻击",$B$21,0))*(1+IF(VLOOKUP($R103,武学奇术!$A:$ZZ,30,FALSE)="老鼠",$B$22,0))*(1+$BW103)*(1+$BX103)</f>
        <v>18439.4071045475</v>
      </c>
      <c r="P103" s="35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轻击",$B$21,0))*(1+IF(VLOOKUP($R103,武学奇术!$A:$ZZ,30,FALSE)="老鼠",$B$22,0))*(1+$BW103)*(1+$BX103)</f>
        <v>16246.9238632128</v>
      </c>
      <c r="Q103" s="36">
        <v>1</v>
      </c>
      <c r="R103" s="37" t="s">
        <v>160</v>
      </c>
      <c r="S103" s="37" t="s">
        <v>91</v>
      </c>
      <c r="T103" s="37" t="s">
        <v>185</v>
      </c>
      <c r="U103" s="37" t="s">
        <v>81</v>
      </c>
      <c r="V103" s="37" t="s">
        <v>81</v>
      </c>
      <c r="W103" s="37" t="s">
        <v>82</v>
      </c>
      <c r="X103" s="37" t="s">
        <v>81</v>
      </c>
      <c r="Y103" s="37" t="s">
        <v>81</v>
      </c>
      <c r="Z103" s="37" t="s">
        <v>83</v>
      </c>
      <c r="AA103" s="37" t="s">
        <v>81</v>
      </c>
      <c r="AB103" s="37" t="s">
        <v>81</v>
      </c>
      <c r="AC103" s="37" t="s">
        <v>81</v>
      </c>
      <c r="AD103" s="37" t="s">
        <v>81</v>
      </c>
      <c r="AE103" s="37" t="s">
        <v>86</v>
      </c>
      <c r="AF103" s="37" t="s">
        <v>81</v>
      </c>
      <c r="AG103" s="37" t="s">
        <v>87</v>
      </c>
      <c r="AH103" s="37" t="s">
        <v>81</v>
      </c>
      <c r="AI103" s="37" t="s">
        <v>81</v>
      </c>
      <c r="AJ103" s="37" t="s">
        <v>81</v>
      </c>
      <c r="AK103" s="37" t="s">
        <v>81</v>
      </c>
      <c r="AL103" s="37" t="s">
        <v>81</v>
      </c>
      <c r="AM103" t="str">
        <f>VLOOKUP($R103,武学奇术!$A:$ZZ,25,FALSE)</f>
        <v>双刀</v>
      </c>
      <c r="AN103" s="23">
        <f>VLOOKUP($R103,武学奇术!$A:$ZZ,26,FALSE)</f>
        <v>1.3548</v>
      </c>
      <c r="AO103" s="24">
        <f>VLOOKUP($R103,武学奇术!$A:$ZZ,27,FALSE)*(1+IF(OR($AM103=$F$4,$AM103=$F$5),$B$23,0))</f>
        <v>601.6</v>
      </c>
      <c r="AP103" s="23">
        <f>VLOOKUP($R103,武学奇术!$A:$ZZ,28,FALSE)</f>
        <v>2.0322</v>
      </c>
      <c r="AQ103" s="24">
        <f>VLOOKUP($R103,武学奇术!$A:$ZZ,29,FALSE)*(1+IF(OR($AM103=$F$4,$AM103=$F$5),$B$23,0))</f>
        <v>328</v>
      </c>
      <c r="AR103" s="23" cm="1">
        <f t="array" ref="AR103">$G$3+IFERROR(VLOOKUP($AM103,$F$4:$G$7,2,FALSE),0)+VLOOKUP($R103,武学奇术!$A:$ZZ,2,FALSE)+SUM(_xlfn.XLOOKUP($S103:$AL103,增益!$A:$A,增益!$B:$B,0))</f>
        <v>0.4243</v>
      </c>
      <c r="AS103" s="23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4013</v>
      </c>
      <c r="AU103" cm="1">
        <f t="array" ref="AU103">$E$10*(1+$AS103)+VLOOKUP($R103,武学奇术!$A:$ZZ,4,FALSE)+SUM(_xlfn.XLOOKUP($S103:$AL103,增益!$A:$A,增益!$D:$D,0))-$I$2</f>
        <v>4013</v>
      </c>
      <c r="AV103" s="29" cm="1">
        <f t="array" ref="AV103">IF($F$10-$I$3+VLOOKUP($R103,武学奇术!$A:$ZZ,6,FALSE)+SUM(_xlfn.XLOOKUP(S103:AL103,增益!$A:$A,增益!$F:$F,0))&gt;0,($F$10-$I$3+VLOOKUP($R103,武学奇术!$A:$ZZ,6,FALSE)+SUM(_xlfn.XLOOKUP(S103:AL103,增益!$A:$A,增益!$F:$F,0)))/200,($F$10-$I$3+VLOOKUP($R103,武学奇术!$A:$ZZ,6,FALSE)+SUM(_xlfn.XLOOKUP(S103:AL103,增益!$A:$A,增益!$F:$F,0)))/100)</f>
        <v>0.3689</v>
      </c>
      <c r="AW103" s="29" cm="1">
        <f t="array" ref="AW103">$G$10+VLOOKUP($R103,武学奇术!$A:$ZZ,7,FALSE)+SUM(_xlfn.XLOOKUP(S103:AL103,增益!$A:$A,增益!$G:$G,0))</f>
        <v>0</v>
      </c>
      <c r="AX103" s="23" cm="1">
        <f t="array" ref="AX103">VLOOKUP($R103,武学奇术!$A:$ZZ,8,FALSE)+SUM(_xlfn.XLOOKUP(S103:AL103,增益!$A:$A,增益!$H:$H,0))</f>
        <v>0</v>
      </c>
      <c r="AY103">
        <f t="shared" si="12"/>
        <v>0</v>
      </c>
      <c r="AZ103">
        <f t="shared" si="13"/>
        <v>0</v>
      </c>
      <c r="BA103" s="29" cm="1">
        <f t="array" ref="BA103">IF($F$11-$I$4+VLOOKUP($R103,武学奇术!$A:$ZZ,9,FALSE)+SUM(_xlfn.XLOOKUP(S103:AL103,增益!$A:$A,增益!$I:$I,0))&gt;0,($F$11-$I$4+VLOOKUP($R103,武学奇术!$A:$ZZ,9,FALSE)+SUM(_xlfn.XLOOKUP(S103:AL103,增益!$A:$A,增益!$I:$I,0)))/200,($F$11-$I$4+VLOOKUP($R103,武学奇术!$A:$ZZ,9,FALSE)+SUM(_xlfn.XLOOKUP(S103:AL103,增益!$A:$A,增益!$I:$I,0)))/100)</f>
        <v>-0.3</v>
      </c>
      <c r="BB103" s="29" cm="1">
        <f t="array" ref="BB103">$G$11+VLOOKUP($R103,武学奇术!$A:$ZZ,10,FALSE)+SUM(_xlfn.XLOOKUP(S103:AL103,增益!$A:$A,增益!$J:$J,0))</f>
        <v>0</v>
      </c>
      <c r="BC103">
        <f t="shared" si="14"/>
        <v>0</v>
      </c>
      <c r="BD103">
        <f t="shared" si="15"/>
        <v>0</v>
      </c>
      <c r="BE103" s="29" cm="1">
        <f t="array" ref="BE103">IF($F$12-$I$4+VLOOKUP($R103,武学奇术!$A:$ZZ,11,FALSE)+SUM(_xlfn.XLOOKUP(S103:AL103,增益!$A:$A,增益!$K:$K,0))&gt;0,($F$12-$I$4+VLOOKUP($R103,武学奇术!$A:$ZZ,11,FALSE)+SUM(_xlfn.XLOOKUP(S103:AL103,增益!$A:$A,增益!$K:$K,0)))/200,($F$12-$I$4+VLOOKUP($R103,武学奇术!$A:$ZZ,11,FALSE)+SUM(_xlfn.XLOOKUP(S103:AL103,增益!$A:$A,增益!$K:$K,0)))/100)</f>
        <v>-0.3</v>
      </c>
      <c r="BF103" s="29" cm="1">
        <f t="array" ref="BF103">$G$12+VLOOKUP($R103,武学奇术!$A:$ZZ,12,FALSE)+SUM(_xlfn.XLOOKUP(S103:AL103,增益!$A:$A,增益!$L:$L,0))</f>
        <v>0</v>
      </c>
      <c r="BG103">
        <f t="shared" si="16"/>
        <v>0</v>
      </c>
      <c r="BH103">
        <f t="shared" si="17"/>
        <v>0</v>
      </c>
      <c r="BI103" s="29" cm="1">
        <f t="array" ref="BI103">IF($F$13-$I$4+VLOOKUP($R103,武学奇术!$A:$ZZ,13,FALSE)+SUM(_xlfn.XLOOKUP(S103:AL103,增益!$A:$A,增益!$M:$M,0))&gt;0,($F$13-$I$4+VLOOKUP($R103,武学奇术!$A:$ZZ,13,FALSE)+SUM(_xlfn.XLOOKUP(S103:AL103,增益!$A:$A,增益!$K:$K,0)))/200,($F$13-$I$4+VLOOKUP($R103,武学奇术!$A:$ZZ,13,FALSE)+SUM(_xlfn.XLOOKUP(S103:AL103,增益!$A:$A,增益!$M:$M,0)))/100)</f>
        <v>-0.3</v>
      </c>
      <c r="BJ103" s="29" cm="1">
        <f t="array" ref="BJ103">$G$13+VLOOKUP($R103,武学奇术!$A:$ZZ,14,FALSE)+SUM(_xlfn.XLOOKUP(S103:AL103,增益!$A:$A,增益!$N:$N,0))</f>
        <v>0</v>
      </c>
      <c r="BK103">
        <f t="shared" si="18"/>
        <v>618.2</v>
      </c>
      <c r="BL103">
        <f t="shared" si="19"/>
        <v>1805</v>
      </c>
      <c r="BM103" s="29" cm="1">
        <f t="array" ref="BM103">IF($F$14-$I$4+VLOOKUP($R103,武学奇术!$A:$ZZ,15,FALSE)+SUM(_xlfn.XLOOKUP(S103:AL103,增益!$A:$A,增益!$O:$O,0))&gt;0,($F$14-$I$4+VLOOKUP($R103,武学奇术!$A:$ZZ,15,FALSE)+SUM(_xlfn.XLOOKUP(S103:AL103,增益!$A:$A,增益!$O:$O,0)))/200,($F$14-$I$4+VLOOKUP($R103,武学奇术!$A:$ZZ,15,FALSE)+SUM(_xlfn.XLOOKUP(S103:AL103,增益!$A:$A,增益!$O:$O,0)))/100)</f>
        <v>0</v>
      </c>
      <c r="BN103" s="29" cm="1">
        <f t="array" ref="BN103">$G$14+VLOOKUP($R103,武学奇术!$A:$ZZ,16,FALSE)+SUM(_xlfn.XLOOKUP(S103:AL103,增益!$A:$A,增益!$P:$P,0))</f>
        <v>0.15</v>
      </c>
      <c r="BO103" s="23">
        <f>MIN(IF(VLOOKUP($R103,武学奇术!$A:$ZZ,23,FALSE)=1,100%,$B$8),100%)</f>
        <v>0.9943</v>
      </c>
      <c r="BP103" s="23" cm="1">
        <f t="array" ref="BP103">IF(VLOOKUP($R103,武学奇术!$A:$ZZ,23,FALSE)=1,100%,MIN(80%,$B$9+VLOOKUP($R103,武学奇术!$A:$ZZ,17,FALSE)+SUM(_xlfn.XLOOKUP(S103:AL103,增益!$A:$A,增益!$Q:$Q,0)))+$B$11+SUM(_xlfn.XLOOKUP(S103:AL103,增益!$A:$A,增益!$U:$U,0)))*IF(VLOOKUP($R103,武学奇术!$A:$ZZ,24,FALSE)=1,0,1)</f>
        <v>0.887</v>
      </c>
      <c r="BQ103" s="23" cm="1">
        <f t="array" ref="BQ103">1+$B$13+VLOOKUP($R103,武学奇术!$A:$ZZ,18,FALSE)+SUM(_xlfn.XLOOKUP(S103:AL103,增益!$A:$A,增益!$R:$R,0))</f>
        <v>2.394</v>
      </c>
      <c r="BR103" s="23" cm="1">
        <f t="array" ref="BR103">IF(VLOOKUP($R103,武学奇术!$A:$ZZ,24,FALSE)=1,100%,MIN(40%,$B$10+VLOOKUP($R103,武学奇术!$A:$ZZ,19,FALSE)+SUM(_xlfn.XLOOKUP(S103:AL103,增益!$A:$A,增益!$S:$S,0)))+$B$12+SUM(_xlfn.XLOOKUP(S103:AL103,增益!$A:$A,增益!$V:$V,0)))*IF(VLOOKUP($R103,武学奇术!$A:$ZZ,23,FALSE)=1,0,1)</f>
        <v>0.0913</v>
      </c>
      <c r="BS103" s="23" cm="1">
        <f t="array" ref="BS103">1+$B$14+VLOOKUP($R103,武学奇术!$A:$ZZ,20,FALSE)+SUM(_xlfn.XLOOKUP(S103:AL103,增益!$A:$A,增益!$T:$T,0))</f>
        <v>1.35</v>
      </c>
      <c r="BT103" s="23">
        <f t="shared" si="20"/>
        <v>0.8819441</v>
      </c>
      <c r="BU103" s="23">
        <f t="shared" si="21"/>
        <v>0.0215763099999999</v>
      </c>
      <c r="BV103" s="23">
        <f>IF(VLOOKUP($R103,武学奇术!$A:$ZZ,22,FALSE)=1,0,(1-$BO103))*(1-$BR103)</f>
        <v>0.00517959000000003</v>
      </c>
      <c r="BW103" s="23" cm="1">
        <f t="array" ref="BW103">SUM(_xlfn.XLOOKUP(S103:AL103,增益!$A:$A,增益!$W:$W,0))+$I$5</f>
        <v>0.11</v>
      </c>
      <c r="BX103" s="23">
        <f>VLOOKUP($R103,武学奇术!$A:$ZZ,32,FALSE)</f>
        <v>0</v>
      </c>
      <c r="BY103" s="23" cm="1">
        <f t="array" ref="BY103">SUM(_xlfn.XLOOKUP($S103:$AL103,增益!$A:$A,增益!$X:$X,0))</f>
        <v>0</v>
      </c>
    </row>
    <row r="104" spans="11:77">
      <c r="K104" s="35">
        <f>$L104*VLOOKUP($R104,武学奇术!$A:$ZZ,31,FALSE)</f>
        <v>145665.245985152</v>
      </c>
      <c r="L104" s="69">
        <f t="shared" si="22"/>
        <v>142809.064691326</v>
      </c>
      <c r="M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轻击",$B$21,0))*(1+IF(VLOOKUP($R104,武学奇术!$A:$ZZ,30,FALSE)="老鼠",$B$22,0))*(1+$BW104)*(1+$BX104)</f>
        <v>148776.04007151</v>
      </c>
      <c r="N104" s="35">
        <f>(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轻击",$B$21,0))*(1+IF(VLOOKUP($R104,武学奇术!$A:$ZZ,30,FALSE)="老鼠",$B$22,0))*(1+$BW104))*(1+$BX104)</f>
        <v>107254.769236747</v>
      </c>
      <c r="O104" s="35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轻击",$B$21,0))*(1+IF(VLOOKUP($R104,武学奇术!$A:$ZZ,30,FALSE)="老鼠",$B$22,0))*(1+$BW104)*(1+$BX104)</f>
        <v>69391.8097348459</v>
      </c>
      <c r="P104" s="35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轻击",$B$21,0))*(1+IF(VLOOKUP($R104,武学奇术!$A:$ZZ,30,FALSE)="老鼠",$B$22,0))*(1+$BW104)*(1+$BX104)</f>
        <v>59335.6422572863</v>
      </c>
      <c r="Q104" s="70">
        <v>6</v>
      </c>
      <c r="R104" s="37" t="s">
        <v>106</v>
      </c>
      <c r="S104" s="37" t="s">
        <v>91</v>
      </c>
      <c r="T104" s="37" t="s">
        <v>185</v>
      </c>
      <c r="U104" s="37" t="s">
        <v>112</v>
      </c>
      <c r="V104" s="37" t="s">
        <v>113</v>
      </c>
      <c r="W104" s="37" t="s">
        <v>82</v>
      </c>
      <c r="X104" s="37" t="s">
        <v>81</v>
      </c>
      <c r="Y104" s="37" t="s">
        <v>109</v>
      </c>
      <c r="Z104" s="37" t="s">
        <v>83</v>
      </c>
      <c r="AA104" s="37" t="s">
        <v>81</v>
      </c>
      <c r="AB104" s="37" t="s">
        <v>81</v>
      </c>
      <c r="AC104" s="37" t="s">
        <v>81</v>
      </c>
      <c r="AD104" s="37" t="s">
        <v>81</v>
      </c>
      <c r="AE104" s="37" t="s">
        <v>81</v>
      </c>
      <c r="AF104" s="37" t="s">
        <v>81</v>
      </c>
      <c r="AG104" s="37" t="s">
        <v>87</v>
      </c>
      <c r="AH104" s="37" t="s">
        <v>81</v>
      </c>
      <c r="AI104" s="37" t="s">
        <v>81</v>
      </c>
      <c r="AJ104" s="37" t="s">
        <v>81</v>
      </c>
      <c r="AK104" s="37" t="s">
        <v>81</v>
      </c>
      <c r="AL104" s="37" t="s">
        <v>81</v>
      </c>
      <c r="AM104" t="str">
        <f>VLOOKUP($R104,武学奇术!$A:$ZZ,25,FALSE)</f>
        <v>绳镖</v>
      </c>
      <c r="AN104" s="23">
        <f>VLOOKUP($R104,武学奇术!$A:$ZZ,26,FALSE)</f>
        <v>0.3675</v>
      </c>
      <c r="AO104" s="24">
        <f>VLOOKUP($R104,武学奇术!$A:$ZZ,27,FALSE)*(1+IF(OR($AM104=$F$4,$AM104=$F$5),$B$23,0))</f>
        <v>0</v>
      </c>
      <c r="AP104" s="23">
        <f>VLOOKUP($R104,武学奇术!$A:$ZZ,28,FALSE)</f>
        <v>0.55125</v>
      </c>
      <c r="AQ104" s="24">
        <f>VLOOKUP($R104,武学奇术!$A:$ZZ,29,FALSE)*(1+IF(OR($AM104=$F$4,$AM104=$F$5),$B$23,0))</f>
        <v>0</v>
      </c>
      <c r="AR104" s="23" cm="1">
        <f t="array" ref="AR104">$G$3+IFERROR(VLOOKUP($AM104,$F$4:$G$7,2,FALSE),0)+VLOOKUP($R104,武学奇术!$A:$ZZ,2,FALSE)+SUM(_xlfn.XLOOKUP($S104:$AL104,增益!$A:$A,增益!$B:$B,0))</f>
        <v>1.3443</v>
      </c>
      <c r="AS104" s="23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4081.7</v>
      </c>
      <c r="AU104" cm="1">
        <f t="array" ref="AU104">$E$10*(1+$AS104)+VLOOKUP($R104,武学奇术!$A:$ZZ,4,FALSE)+SUM(_xlfn.XLOOKUP($S104:$AL104,增益!$A:$A,增益!$D:$D,0))-$I$2</f>
        <v>4081.7</v>
      </c>
      <c r="AV104" s="29" cm="1">
        <f t="array" ref="AV104">IF($F$10-$I$3+VLOOKUP($R104,武学奇术!$A:$ZZ,6,FALSE)+SUM(_xlfn.XLOOKUP(S104:AL104,增益!$A:$A,增益!$F:$F,0))&gt;0,($F$10-$I$3+VLOOKUP($R104,武学奇术!$A:$ZZ,6,FALSE)+SUM(_xlfn.XLOOKUP(S104:AL104,增益!$A:$A,增益!$F:$F,0)))/200,($F$10-$I$3+VLOOKUP($R104,武学奇术!$A:$ZZ,6,FALSE)+SUM(_xlfn.XLOOKUP(S104:AL104,增益!$A:$A,增益!$F:$F,0)))/100)</f>
        <v>0.2439</v>
      </c>
      <c r="AW104" s="29" cm="1">
        <f t="array" ref="AW104">$G$10+VLOOKUP($R104,武学奇术!$A:$ZZ,7,FALSE)+SUM(_xlfn.XLOOKUP(S104:AL104,增益!$A:$A,增益!$G:$G,0))</f>
        <v>0.27</v>
      </c>
      <c r="AX104" s="23" cm="1">
        <f t="array" ref="AX104">VLOOKUP($R104,武学奇术!$A:$ZZ,8,FALSE)+SUM(_xlfn.XLOOKUP(S104:AL104,增益!$A:$A,增益!$H:$H,0))</f>
        <v>0</v>
      </c>
      <c r="AY104">
        <f t="shared" si="12"/>
        <v>0</v>
      </c>
      <c r="AZ104">
        <f t="shared" si="13"/>
        <v>0</v>
      </c>
      <c r="BA104" s="29" cm="1">
        <f t="array" ref="BA104">IF($F$11-$I$4+VLOOKUP($R104,武学奇术!$A:$ZZ,9,FALSE)+SUM(_xlfn.XLOOKUP(S104:AL104,增益!$A:$A,增益!$I:$I,0))&gt;0,($F$11-$I$4+VLOOKUP($R104,武学奇术!$A:$ZZ,9,FALSE)+SUM(_xlfn.XLOOKUP(S104:AL104,增益!$A:$A,增益!$I:$I,0)))/200,($F$11-$I$4+VLOOKUP($R104,武学奇术!$A:$ZZ,9,FALSE)+SUM(_xlfn.XLOOKUP(S104:AL104,增益!$A:$A,增益!$I:$I,0)))/100)</f>
        <v>-0.3</v>
      </c>
      <c r="BB104" s="29" cm="1">
        <f t="array" ref="BB104">$G$11+VLOOKUP($R104,武学奇术!$A:$ZZ,10,FALSE)+SUM(_xlfn.XLOOKUP(S104:AL104,增益!$A:$A,增益!$J:$J,0))</f>
        <v>0</v>
      </c>
      <c r="BC104">
        <f t="shared" si="14"/>
        <v>0</v>
      </c>
      <c r="BD104">
        <f t="shared" si="15"/>
        <v>0</v>
      </c>
      <c r="BE104" s="29" cm="1">
        <f t="array" ref="BE104">IF($F$12-$I$4+VLOOKUP($R104,武学奇术!$A:$ZZ,11,FALSE)+SUM(_xlfn.XLOOKUP(S104:AL104,增益!$A:$A,增益!$K:$K,0))&gt;0,($F$12-$I$4+VLOOKUP($R104,武学奇术!$A:$ZZ,11,FALSE)+SUM(_xlfn.XLOOKUP(S104:AL104,增益!$A:$A,增益!$K:$K,0)))/200,($F$12-$I$4+VLOOKUP($R104,武学奇术!$A:$ZZ,11,FALSE)+SUM(_xlfn.XLOOKUP(S104:AL104,增益!$A:$A,增益!$K:$K,0)))/100)</f>
        <v>-0.3</v>
      </c>
      <c r="BF104" s="29" cm="1">
        <f t="array" ref="BF104">$G$12+VLOOKUP($R104,武学奇术!$A:$ZZ,12,FALSE)+SUM(_xlfn.XLOOKUP(S104:AL104,增益!$A:$A,增益!$L:$L,0))</f>
        <v>0</v>
      </c>
      <c r="BG104">
        <f t="shared" si="16"/>
        <v>0</v>
      </c>
      <c r="BH104">
        <f t="shared" si="17"/>
        <v>0</v>
      </c>
      <c r="BI104" s="29" cm="1">
        <f t="array" ref="BI104">IF($F$13-$I$4+VLOOKUP($R104,武学奇术!$A:$ZZ,13,FALSE)+SUM(_xlfn.XLOOKUP(S104:AL104,增益!$A:$A,增益!$M:$M,0))&gt;0,($F$13-$I$4+VLOOKUP($R104,武学奇术!$A:$ZZ,13,FALSE)+SUM(_xlfn.XLOOKUP(S104:AL104,增益!$A:$A,增益!$K:$K,0)))/200,($F$13-$I$4+VLOOKUP($R104,武学奇术!$A:$ZZ,13,FALSE)+SUM(_xlfn.XLOOKUP(S104:AL104,增益!$A:$A,增益!$M:$M,0)))/100)</f>
        <v>-0.3</v>
      </c>
      <c r="BJ104" s="29" cm="1">
        <f t="array" ref="BJ104">$G$13+VLOOKUP($R104,武学奇术!$A:$ZZ,14,FALSE)+SUM(_xlfn.XLOOKUP(S104:AL104,增益!$A:$A,增益!$N:$N,0))</f>
        <v>0</v>
      </c>
      <c r="BK104">
        <f t="shared" si="18"/>
        <v>618.2</v>
      </c>
      <c r="BL104">
        <f t="shared" si="19"/>
        <v>1805</v>
      </c>
      <c r="BM104" s="29" cm="1">
        <f t="array" ref="BM104">IF($F$14-$I$4+VLOOKUP($R104,武学奇术!$A:$ZZ,15,FALSE)+SUM(_xlfn.XLOOKUP(S104:AL104,增益!$A:$A,增益!$O:$O,0))&gt;0,($F$14-$I$4+VLOOKUP($R104,武学奇术!$A:$ZZ,15,FALSE)+SUM(_xlfn.XLOOKUP(S104:AL104,增益!$A:$A,增益!$O:$O,0)))/200,($F$14-$I$4+VLOOKUP($R104,武学奇术!$A:$ZZ,15,FALSE)+SUM(_xlfn.XLOOKUP(S104:AL104,增益!$A:$A,增益!$O:$O,0)))/100)</f>
        <v>0.05</v>
      </c>
      <c r="BN104" s="29" cm="1">
        <f t="array" ref="BN104">$G$14+VLOOKUP($R104,武学奇术!$A:$ZZ,16,FALSE)+SUM(_xlfn.XLOOKUP(S104:AL104,增益!$A:$A,增益!$P:$P,0))</f>
        <v>0.42</v>
      </c>
      <c r="BO104" s="23">
        <f>MIN(IF(VLOOKUP($R104,武学奇术!$A:$ZZ,23,FALSE)=1,100%,$B$8),100%)</f>
        <v>0.9943</v>
      </c>
      <c r="BP104" s="23" cm="1">
        <f t="array" ref="BP104">IF(VLOOKUP($R104,武学奇术!$A:$ZZ,23,FALSE)=1,100%,MIN(80%,$B$9+VLOOKUP($R104,武学奇术!$A:$ZZ,17,FALSE)+SUM(_xlfn.XLOOKUP(S104:AL104,增益!$A:$A,增益!$Q:$Q,0)))+$B$11+SUM(_xlfn.XLOOKUP(S104:AL104,增益!$A:$A,增益!$U:$U,0)))*IF(VLOOKUP($R104,武学奇术!$A:$ZZ,24,FALSE)=1,0,1)</f>
        <v>0.887</v>
      </c>
      <c r="BQ104" s="23" cm="1">
        <f t="array" ref="BQ104">1+$B$13+VLOOKUP($R104,武学奇术!$A:$ZZ,18,FALSE)+SUM(_xlfn.XLOOKUP(S104:AL104,增益!$A:$A,增益!$R:$R,0))</f>
        <v>2.144</v>
      </c>
      <c r="BR104" s="23" cm="1">
        <f t="array" ref="BR104">IF(VLOOKUP($R104,武学奇术!$A:$ZZ,24,FALSE)=1,100%,MIN(40%,$B$10+VLOOKUP($R104,武学奇术!$A:$ZZ,19,FALSE)+SUM(_xlfn.XLOOKUP(S104:AL104,增益!$A:$A,增益!$S:$S,0)))+$B$12+SUM(_xlfn.XLOOKUP(S104:AL104,增益!$A:$A,增益!$V:$V,0)))*IF(VLOOKUP($R104,武学奇术!$A:$ZZ,23,FALSE)=1,0,1)</f>
        <v>0.0913</v>
      </c>
      <c r="BS104" s="23" cm="1">
        <f t="array" ref="BS104">1+$B$14+VLOOKUP($R104,武学奇术!$A:$ZZ,20,FALSE)+SUM(_xlfn.XLOOKUP(S104:AL104,增益!$A:$A,增益!$T:$T,0))</f>
        <v>1.35</v>
      </c>
      <c r="BT104" s="23">
        <f t="shared" si="20"/>
        <v>0.8819441</v>
      </c>
      <c r="BU104" s="23">
        <f t="shared" si="21"/>
        <v>0.0215763099999999</v>
      </c>
      <c r="BV104" s="23">
        <f>IF(VLOOKUP($R104,武学奇术!$A:$ZZ,22,FALSE)=1,0,(1-$BO104))*(1-$BR104)</f>
        <v>0.00517959000000003</v>
      </c>
      <c r="BW104" s="23" cm="1">
        <f t="array" ref="BW104">SUM(_xlfn.XLOOKUP(S104:AL104,增益!$A:$A,增益!$W:$W,0))+$I$5</f>
        <v>0.11</v>
      </c>
      <c r="BX104" s="23">
        <f>VLOOKUP($R104,武学奇术!$A:$ZZ,32,FALSE)</f>
        <v>0</v>
      </c>
      <c r="BY104" s="23" cm="1">
        <f t="array" ref="BY104">SUM(_xlfn.XLOOKUP($S104:$AL104,增益!$A:$A,增益!$X:$X,0))</f>
        <v>0</v>
      </c>
    </row>
    <row r="105" spans="11:77">
      <c r="K105" s="35">
        <f>$L105*VLOOKUP($R105,武学奇术!$A:$ZZ,31,FALSE)</f>
        <v>24560.7866672224</v>
      </c>
      <c r="L105" s="35">
        <f t="shared" si="22"/>
        <v>21929.27381002</v>
      </c>
      <c r="M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轻击",$B$21,0))*(1+IF(VLOOKUP($R105,武学奇术!$A:$ZZ,30,FALSE)="老鼠",$B$22,0))*(1+$BW105)*(1+$BX105)</f>
        <v>22865.9005404532</v>
      </c>
      <c r="N105" s="35">
        <f>(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轻击",$B$21,0))*(1+IF(VLOOKUP($R105,武学奇术!$A:$ZZ,30,FALSE)="老鼠",$B$22,0))*(1+$BW105))*(1+$BX105)</f>
        <v>16260.9252677565</v>
      </c>
      <c r="O105" s="35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轻击",$B$21,0))*(1+IF(VLOOKUP($R105,武学奇术!$A:$ZZ,30,FALSE)="老鼠",$B$22,0))*(1+$BW105)*(1+$BX105)</f>
        <v>10665.0655505845</v>
      </c>
      <c r="P105" s="35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轻击",$B$21,0))*(1+IF(VLOOKUP($R105,武学奇术!$A:$ZZ,30,FALSE)="老鼠",$B$22,0))*(1+$BW105)*(1+$BX105)</f>
        <v>9285.00127320123</v>
      </c>
      <c r="Q105" s="36">
        <v>1</v>
      </c>
      <c r="R105" s="37" t="s">
        <v>139</v>
      </c>
      <c r="S105" s="37" t="s">
        <v>91</v>
      </c>
      <c r="T105" s="37" t="s">
        <v>185</v>
      </c>
      <c r="U105" s="37" t="s">
        <v>112</v>
      </c>
      <c r="V105" s="37" t="s">
        <v>113</v>
      </c>
      <c r="W105" s="37" t="s">
        <v>82</v>
      </c>
      <c r="X105" s="37" t="s">
        <v>81</v>
      </c>
      <c r="Y105" s="37" t="s">
        <v>109</v>
      </c>
      <c r="Z105" s="37" t="s">
        <v>83</v>
      </c>
      <c r="AA105" s="37" t="s">
        <v>81</v>
      </c>
      <c r="AB105" s="37" t="s">
        <v>81</v>
      </c>
      <c r="AC105" s="37" t="s">
        <v>81</v>
      </c>
      <c r="AD105" s="37" t="s">
        <v>81</v>
      </c>
      <c r="AE105" s="37" t="s">
        <v>81</v>
      </c>
      <c r="AF105" s="37" t="s">
        <v>81</v>
      </c>
      <c r="AG105" s="37" t="s">
        <v>87</v>
      </c>
      <c r="AH105" s="37" t="s">
        <v>81</v>
      </c>
      <c r="AI105" s="37" t="s">
        <v>81</v>
      </c>
      <c r="AJ105" s="37" t="s">
        <v>81</v>
      </c>
      <c r="AK105" s="37" t="s">
        <v>81</v>
      </c>
      <c r="AL105" s="37" t="s">
        <v>81</v>
      </c>
      <c r="AM105" t="str">
        <f>VLOOKUP($R105,武学奇术!$A:$ZZ,25,FALSE)</f>
        <v>双刀</v>
      </c>
      <c r="AN105" s="23">
        <f>VLOOKUP($R105,武学奇术!$A:$ZZ,26,FALSE)</f>
        <v>0.6472</v>
      </c>
      <c r="AO105" s="24">
        <f>VLOOKUP($R105,武学奇术!$A:$ZZ,27,FALSE)*(1+IF(OR($AM105=$F$4,$AM105=$F$5),$B$23,0))</f>
        <v>288</v>
      </c>
      <c r="AP105" s="23">
        <f>VLOOKUP($R105,武学奇术!$A:$ZZ,28,FALSE)</f>
        <v>0.9708</v>
      </c>
      <c r="AQ105" s="24">
        <f>VLOOKUP($R105,武学奇术!$A:$ZZ,29,FALSE)*(1+IF(OR($AM105=$F$4,$AM105=$F$5),$B$23,0))</f>
        <v>156.8</v>
      </c>
      <c r="AR105" s="23" cm="1">
        <f t="array" ref="AR105">$G$3+IFERROR(VLOOKUP($AM105,$F$4:$G$7,2,FALSE),0)+VLOOKUP($R105,武学奇术!$A:$ZZ,2,FALSE)+SUM(_xlfn.XLOOKUP($S105:$AL105,增益!$A:$A,增益!$B:$B,0))</f>
        <v>0.5443</v>
      </c>
      <c r="AS105" s="23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4081.7</v>
      </c>
      <c r="AU105" cm="1">
        <f t="array" ref="AU105">$E$10*(1+$AS105)+VLOOKUP($R105,武学奇术!$A:$ZZ,4,FALSE)+SUM(_xlfn.XLOOKUP($S105:$AL105,增益!$A:$A,增益!$D:$D,0))-$I$2</f>
        <v>4081.7</v>
      </c>
      <c r="AV105" s="29" cm="1">
        <f t="array" ref="AV105">IF($F$10-$I$3+VLOOKUP($R105,武学奇术!$A:$ZZ,6,FALSE)+SUM(_xlfn.XLOOKUP(S105:AL105,增益!$A:$A,增益!$F:$F,0))&gt;0,($F$10-$I$3+VLOOKUP($R105,武学奇术!$A:$ZZ,6,FALSE)+SUM(_xlfn.XLOOKUP(S105:AL105,增益!$A:$A,增益!$F:$F,0)))/200,($F$10-$I$3+VLOOKUP($R105,武学奇术!$A:$ZZ,6,FALSE)+SUM(_xlfn.XLOOKUP(S105:AL105,增益!$A:$A,增益!$F:$F,0)))/100)</f>
        <v>0.2439</v>
      </c>
      <c r="AW105" s="29" cm="1">
        <f t="array" ref="AW105">$G$10+VLOOKUP($R105,武学奇术!$A:$ZZ,7,FALSE)+SUM(_xlfn.XLOOKUP(S105:AL105,增益!$A:$A,增益!$G:$G,0))</f>
        <v>0.06</v>
      </c>
      <c r="AX105" s="23" cm="1">
        <f t="array" ref="AX105">VLOOKUP($R105,武学奇术!$A:$ZZ,8,FALSE)+SUM(_xlfn.XLOOKUP(S105:AL105,增益!$A:$A,增益!$H:$H,0))</f>
        <v>0</v>
      </c>
      <c r="AY105">
        <f t="shared" si="12"/>
        <v>0</v>
      </c>
      <c r="AZ105">
        <f t="shared" si="13"/>
        <v>0</v>
      </c>
      <c r="BA105" s="29" cm="1">
        <f t="array" ref="BA105">IF($F$11-$I$4+VLOOKUP($R105,武学奇术!$A:$ZZ,9,FALSE)+SUM(_xlfn.XLOOKUP(S105:AL105,增益!$A:$A,增益!$I:$I,0))&gt;0,($F$11-$I$4+VLOOKUP($R105,武学奇术!$A:$ZZ,9,FALSE)+SUM(_xlfn.XLOOKUP(S105:AL105,增益!$A:$A,增益!$I:$I,0)))/200,($F$11-$I$4+VLOOKUP($R105,武学奇术!$A:$ZZ,9,FALSE)+SUM(_xlfn.XLOOKUP(S105:AL105,增益!$A:$A,增益!$I:$I,0)))/100)</f>
        <v>-0.3</v>
      </c>
      <c r="BB105" s="29" cm="1">
        <f t="array" ref="BB105">$G$11+VLOOKUP($R105,武学奇术!$A:$ZZ,10,FALSE)+SUM(_xlfn.XLOOKUP(S105:AL105,增益!$A:$A,增益!$J:$J,0))</f>
        <v>0</v>
      </c>
      <c r="BC105">
        <f t="shared" si="14"/>
        <v>0</v>
      </c>
      <c r="BD105">
        <f t="shared" si="15"/>
        <v>0</v>
      </c>
      <c r="BE105" s="29" cm="1">
        <f t="array" ref="BE105">IF($F$12-$I$4+VLOOKUP($R105,武学奇术!$A:$ZZ,11,FALSE)+SUM(_xlfn.XLOOKUP(S105:AL105,增益!$A:$A,增益!$K:$K,0))&gt;0,($F$12-$I$4+VLOOKUP($R105,武学奇术!$A:$ZZ,11,FALSE)+SUM(_xlfn.XLOOKUP(S105:AL105,增益!$A:$A,增益!$K:$K,0)))/200,($F$12-$I$4+VLOOKUP($R105,武学奇术!$A:$ZZ,11,FALSE)+SUM(_xlfn.XLOOKUP(S105:AL105,增益!$A:$A,增益!$K:$K,0)))/100)</f>
        <v>-0.3</v>
      </c>
      <c r="BF105" s="29" cm="1">
        <f t="array" ref="BF105">$G$12+VLOOKUP($R105,武学奇术!$A:$ZZ,12,FALSE)+SUM(_xlfn.XLOOKUP(S105:AL105,增益!$A:$A,增益!$L:$L,0))</f>
        <v>0</v>
      </c>
      <c r="BG105">
        <f t="shared" si="16"/>
        <v>0</v>
      </c>
      <c r="BH105">
        <f t="shared" si="17"/>
        <v>0</v>
      </c>
      <c r="BI105" s="29" cm="1">
        <f t="array" ref="BI105">IF($F$13-$I$4+VLOOKUP($R105,武学奇术!$A:$ZZ,13,FALSE)+SUM(_xlfn.XLOOKUP(S105:AL105,增益!$A:$A,增益!$M:$M,0))&gt;0,($F$13-$I$4+VLOOKUP($R105,武学奇术!$A:$ZZ,13,FALSE)+SUM(_xlfn.XLOOKUP(S105:AL105,增益!$A:$A,增益!$K:$K,0)))/200,($F$13-$I$4+VLOOKUP($R105,武学奇术!$A:$ZZ,13,FALSE)+SUM(_xlfn.XLOOKUP(S105:AL105,增益!$A:$A,增益!$M:$M,0)))/100)</f>
        <v>-0.3</v>
      </c>
      <c r="BJ105" s="29" cm="1">
        <f t="array" ref="BJ105">$G$13+VLOOKUP($R105,武学奇术!$A:$ZZ,14,FALSE)+SUM(_xlfn.XLOOKUP(S105:AL105,增益!$A:$A,增益!$N:$N,0))</f>
        <v>0</v>
      </c>
      <c r="BK105">
        <f t="shared" si="18"/>
        <v>618.2</v>
      </c>
      <c r="BL105">
        <f t="shared" si="19"/>
        <v>1805</v>
      </c>
      <c r="BM105" s="29" cm="1">
        <f t="array" ref="BM105">IF($F$14-$I$4+VLOOKUP($R105,武学奇术!$A:$ZZ,15,FALSE)+SUM(_xlfn.XLOOKUP(S105:AL105,增益!$A:$A,增益!$O:$O,0))&gt;0,($F$14-$I$4+VLOOKUP($R105,武学奇术!$A:$ZZ,15,FALSE)+SUM(_xlfn.XLOOKUP(S105:AL105,增益!$A:$A,增益!$O:$O,0)))/200,($F$14-$I$4+VLOOKUP($R105,武学奇术!$A:$ZZ,15,FALSE)+SUM(_xlfn.XLOOKUP(S105:AL105,增益!$A:$A,增益!$O:$O,0)))/100)</f>
        <v>0.05</v>
      </c>
      <c r="BN105" s="29" cm="1">
        <f t="array" ref="BN105">$G$14+VLOOKUP($R105,武学奇术!$A:$ZZ,16,FALSE)+SUM(_xlfn.XLOOKUP(S105:AL105,增益!$A:$A,增益!$P:$P,0))</f>
        <v>0.21</v>
      </c>
      <c r="BO105" s="23">
        <f>MIN(IF(VLOOKUP($R105,武学奇术!$A:$ZZ,23,FALSE)=1,100%,$B$8),100%)</f>
        <v>0.9943</v>
      </c>
      <c r="BP105" s="23" cm="1">
        <f t="array" ref="BP105">IF(VLOOKUP($R105,武学奇术!$A:$ZZ,23,FALSE)=1,100%,MIN(80%,$B$9+VLOOKUP($R105,武学奇术!$A:$ZZ,17,FALSE)+SUM(_xlfn.XLOOKUP(S105:AL105,增益!$A:$A,增益!$Q:$Q,0)))+$B$11+SUM(_xlfn.XLOOKUP(S105:AL105,增益!$A:$A,增益!$U:$U,0)))*IF(VLOOKUP($R105,武学奇术!$A:$ZZ,24,FALSE)=1,0,1)</f>
        <v>0.887</v>
      </c>
      <c r="BQ105" s="23" cm="1">
        <f t="array" ref="BQ105">1+$B$13+VLOOKUP($R105,武学奇术!$A:$ZZ,18,FALSE)+SUM(_xlfn.XLOOKUP(S105:AL105,增益!$A:$A,增益!$R:$R,0))</f>
        <v>2.144</v>
      </c>
      <c r="BR105" s="23" cm="1">
        <f t="array" ref="BR105">IF(VLOOKUP($R105,武学奇术!$A:$ZZ,24,FALSE)=1,100%,MIN(40%,$B$10+VLOOKUP($R105,武学奇术!$A:$ZZ,19,FALSE)+SUM(_xlfn.XLOOKUP(S105:AL105,增益!$A:$A,增益!$S:$S,0)))+$B$12+SUM(_xlfn.XLOOKUP(S105:AL105,增益!$A:$A,增益!$V:$V,0)))*IF(VLOOKUP($R105,武学奇术!$A:$ZZ,23,FALSE)=1,0,1)</f>
        <v>0.0913</v>
      </c>
      <c r="BS105" s="23" cm="1">
        <f t="array" ref="BS105">1+$B$14+VLOOKUP($R105,武学奇术!$A:$ZZ,20,FALSE)+SUM(_xlfn.XLOOKUP(S105:AL105,增益!$A:$A,增益!$T:$T,0))</f>
        <v>1.35</v>
      </c>
      <c r="BT105" s="23">
        <f t="shared" si="20"/>
        <v>0.8819441</v>
      </c>
      <c r="BU105" s="23">
        <f t="shared" si="21"/>
        <v>0.0215763099999999</v>
      </c>
      <c r="BV105" s="23">
        <f>IF(VLOOKUP($R105,武学奇术!$A:$ZZ,22,FALSE)=1,0,(1-$BO105))*(1-$BR105)</f>
        <v>0.00517959000000003</v>
      </c>
      <c r="BW105" s="23" cm="1">
        <f t="array" ref="BW105">SUM(_xlfn.XLOOKUP(S105:AL105,增益!$A:$A,增益!$W:$W,0))+$I$5</f>
        <v>0.11</v>
      </c>
      <c r="BX105" s="23">
        <f>VLOOKUP($R105,武学奇术!$A:$ZZ,32,FALSE)</f>
        <v>0.1</v>
      </c>
      <c r="BY105" s="23" cm="1">
        <f t="array" ref="BY105">SUM(_xlfn.XLOOKUP($S105:$AL105,增益!$A:$A,增益!$X:$X,0))</f>
        <v>0</v>
      </c>
    </row>
    <row r="106" spans="11:77">
      <c r="K106" s="35">
        <f>$L106*VLOOKUP($R106,武学奇术!$A:$ZZ,31,FALSE)</f>
        <v>34188.0047276374</v>
      </c>
      <c r="L106" s="35">
        <f t="shared" si="22"/>
        <v>30525.0042211048</v>
      </c>
      <c r="M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轻击",$B$21,0))*(1+IF(VLOOKUP($R106,武学奇术!$A:$ZZ,30,FALSE)="老鼠",$B$22,0))*(1+$BW106)*(1+$BX106)</f>
        <v>31828.682386983</v>
      </c>
      <c r="N106" s="35">
        <f>(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轻击",$B$21,0))*(1+IF(VLOOKUP($R106,武学奇术!$A:$ZZ,30,FALSE)="老鼠",$B$22,0))*(1+$BW106))*(1+$BX106)</f>
        <v>22635.6546547386</v>
      </c>
      <c r="O106" s="35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轻击",$B$21,0))*(1+IF(VLOOKUP($R106,武学奇术!$A:$ZZ,30,FALSE)="老鼠",$B$22,0))*(1+$BW106)*(1+$BX106)</f>
        <v>14845.4675312421</v>
      </c>
      <c r="P106" s="35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轻击",$B$21,0))*(1+IF(VLOOKUP($R106,武学奇术!$A:$ZZ,30,FALSE)="老鼠",$B$22,0))*(1+$BW106)*(1+$BX106)</f>
        <v>12923.7834663814</v>
      </c>
      <c r="Q106" s="36">
        <v>1</v>
      </c>
      <c r="R106" s="37" t="s">
        <v>143</v>
      </c>
      <c r="S106" s="37" t="s">
        <v>91</v>
      </c>
      <c r="T106" s="37" t="s">
        <v>185</v>
      </c>
      <c r="U106" s="37" t="s">
        <v>112</v>
      </c>
      <c r="V106" s="37" t="s">
        <v>113</v>
      </c>
      <c r="W106" s="37" t="s">
        <v>82</v>
      </c>
      <c r="X106" s="37" t="s">
        <v>81</v>
      </c>
      <c r="Y106" s="37" t="s">
        <v>109</v>
      </c>
      <c r="Z106" s="37" t="s">
        <v>83</v>
      </c>
      <c r="AA106" s="37" t="s">
        <v>81</v>
      </c>
      <c r="AB106" s="37" t="s">
        <v>81</v>
      </c>
      <c r="AC106" s="37" t="s">
        <v>81</v>
      </c>
      <c r="AD106" s="37" t="s">
        <v>81</v>
      </c>
      <c r="AE106" s="37" t="s">
        <v>81</v>
      </c>
      <c r="AF106" s="37" t="s">
        <v>81</v>
      </c>
      <c r="AG106" s="37" t="s">
        <v>87</v>
      </c>
      <c r="AH106" s="37" t="s">
        <v>81</v>
      </c>
      <c r="AI106" s="37" t="s">
        <v>81</v>
      </c>
      <c r="AJ106" s="37" t="s">
        <v>81</v>
      </c>
      <c r="AK106" s="37" t="s">
        <v>81</v>
      </c>
      <c r="AL106" s="37" t="s">
        <v>81</v>
      </c>
      <c r="AM106" t="str">
        <f>VLOOKUP($R106,武学奇术!$A:$ZZ,25,FALSE)</f>
        <v>双刀</v>
      </c>
      <c r="AN106" s="23">
        <f>VLOOKUP($R106,武学奇术!$A:$ZZ,26,FALSE)</f>
        <v>0.9012</v>
      </c>
      <c r="AO106" s="24">
        <f>VLOOKUP($R106,武学奇术!$A:$ZZ,27,FALSE)*(1+IF(OR($AM106=$F$4,$AM106=$F$5),$B$23,0))</f>
        <v>400</v>
      </c>
      <c r="AP106" s="23">
        <f>VLOOKUP($R106,武学奇术!$A:$ZZ,28,FALSE)</f>
        <v>1.3518</v>
      </c>
      <c r="AQ106" s="24">
        <f>VLOOKUP($R106,武学奇术!$A:$ZZ,29,FALSE)*(1+IF(OR($AM106=$F$4,$AM106=$F$5),$B$23,0))</f>
        <v>217.6</v>
      </c>
      <c r="AR106" s="23" cm="1">
        <f t="array" ref="AR106">$G$3+IFERROR(VLOOKUP($AM106,$F$4:$G$7,2,FALSE),0)+VLOOKUP($R106,武学奇术!$A:$ZZ,2,FALSE)+SUM(_xlfn.XLOOKUP($S106:$AL106,增益!$A:$A,增益!$B:$B,0))</f>
        <v>0.5443</v>
      </c>
      <c r="AS106" s="23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4081.7</v>
      </c>
      <c r="AU106" cm="1">
        <f t="array" ref="AU106">$E$10*(1+$AS106)+VLOOKUP($R106,武学奇术!$A:$ZZ,4,FALSE)+SUM(_xlfn.XLOOKUP($S106:$AL106,增益!$A:$A,增益!$D:$D,0))-$I$2</f>
        <v>4081.7</v>
      </c>
      <c r="AV106" s="29" cm="1">
        <f t="array" ref="AV106">IF($F$10-$I$3+VLOOKUP($R106,武学奇术!$A:$ZZ,6,FALSE)+SUM(_xlfn.XLOOKUP(S106:AL106,增益!$A:$A,增益!$F:$F,0))&gt;0,($F$10-$I$3+VLOOKUP($R106,武学奇术!$A:$ZZ,6,FALSE)+SUM(_xlfn.XLOOKUP(S106:AL106,增益!$A:$A,增益!$F:$F,0)))/200,($F$10-$I$3+VLOOKUP($R106,武学奇术!$A:$ZZ,6,FALSE)+SUM(_xlfn.XLOOKUP(S106:AL106,增益!$A:$A,增益!$F:$F,0)))/100)</f>
        <v>0.2439</v>
      </c>
      <c r="AW106" s="29" cm="1">
        <f t="array" ref="AW106">$G$10+VLOOKUP($R106,武学奇术!$A:$ZZ,7,FALSE)+SUM(_xlfn.XLOOKUP(S106:AL106,增益!$A:$A,增益!$G:$G,0))</f>
        <v>0.06</v>
      </c>
      <c r="AX106" s="23" cm="1">
        <f t="array" ref="AX106">VLOOKUP($R106,武学奇术!$A:$ZZ,8,FALSE)+SUM(_xlfn.XLOOKUP(S106:AL106,增益!$A:$A,增益!$H:$H,0))</f>
        <v>0</v>
      </c>
      <c r="AY106">
        <f t="shared" si="12"/>
        <v>0</v>
      </c>
      <c r="AZ106">
        <f t="shared" si="13"/>
        <v>0</v>
      </c>
      <c r="BA106" s="29" cm="1">
        <f t="array" ref="BA106">IF($F$11-$I$4+VLOOKUP($R106,武学奇术!$A:$ZZ,9,FALSE)+SUM(_xlfn.XLOOKUP(S106:AL106,增益!$A:$A,增益!$I:$I,0))&gt;0,($F$11-$I$4+VLOOKUP($R106,武学奇术!$A:$ZZ,9,FALSE)+SUM(_xlfn.XLOOKUP(S106:AL106,增益!$A:$A,增益!$I:$I,0)))/200,($F$11-$I$4+VLOOKUP($R106,武学奇术!$A:$ZZ,9,FALSE)+SUM(_xlfn.XLOOKUP(S106:AL106,增益!$A:$A,增益!$I:$I,0)))/100)</f>
        <v>-0.3</v>
      </c>
      <c r="BB106" s="29" cm="1">
        <f t="array" ref="BB106">$G$11+VLOOKUP($R106,武学奇术!$A:$ZZ,10,FALSE)+SUM(_xlfn.XLOOKUP(S106:AL106,增益!$A:$A,增益!$J:$J,0))</f>
        <v>0</v>
      </c>
      <c r="BC106">
        <f t="shared" si="14"/>
        <v>0</v>
      </c>
      <c r="BD106">
        <f t="shared" si="15"/>
        <v>0</v>
      </c>
      <c r="BE106" s="29" cm="1">
        <f t="array" ref="BE106">IF($F$12-$I$4+VLOOKUP($R106,武学奇术!$A:$ZZ,11,FALSE)+SUM(_xlfn.XLOOKUP(S106:AL106,增益!$A:$A,增益!$K:$K,0))&gt;0,($F$12-$I$4+VLOOKUP($R106,武学奇术!$A:$ZZ,11,FALSE)+SUM(_xlfn.XLOOKUP(S106:AL106,增益!$A:$A,增益!$K:$K,0)))/200,($F$12-$I$4+VLOOKUP($R106,武学奇术!$A:$ZZ,11,FALSE)+SUM(_xlfn.XLOOKUP(S106:AL106,增益!$A:$A,增益!$K:$K,0)))/100)</f>
        <v>-0.3</v>
      </c>
      <c r="BF106" s="29" cm="1">
        <f t="array" ref="BF106">$G$12+VLOOKUP($R106,武学奇术!$A:$ZZ,12,FALSE)+SUM(_xlfn.XLOOKUP(S106:AL106,增益!$A:$A,增益!$L:$L,0))</f>
        <v>0</v>
      </c>
      <c r="BG106">
        <f t="shared" si="16"/>
        <v>0</v>
      </c>
      <c r="BH106">
        <f t="shared" si="17"/>
        <v>0</v>
      </c>
      <c r="BI106" s="29" cm="1">
        <f t="array" ref="BI106">IF($F$13-$I$4+VLOOKUP($R106,武学奇术!$A:$ZZ,13,FALSE)+SUM(_xlfn.XLOOKUP(S106:AL106,增益!$A:$A,增益!$M:$M,0))&gt;0,($F$13-$I$4+VLOOKUP($R106,武学奇术!$A:$ZZ,13,FALSE)+SUM(_xlfn.XLOOKUP(S106:AL106,增益!$A:$A,增益!$K:$K,0)))/200,($F$13-$I$4+VLOOKUP($R106,武学奇术!$A:$ZZ,13,FALSE)+SUM(_xlfn.XLOOKUP(S106:AL106,增益!$A:$A,增益!$M:$M,0)))/100)</f>
        <v>-0.3</v>
      </c>
      <c r="BJ106" s="29" cm="1">
        <f t="array" ref="BJ106">$G$13+VLOOKUP($R106,武学奇术!$A:$ZZ,14,FALSE)+SUM(_xlfn.XLOOKUP(S106:AL106,增益!$A:$A,增益!$N:$N,0))</f>
        <v>0</v>
      </c>
      <c r="BK106">
        <f t="shared" si="18"/>
        <v>618.2</v>
      </c>
      <c r="BL106">
        <f t="shared" si="19"/>
        <v>1805</v>
      </c>
      <c r="BM106" s="29" cm="1">
        <f t="array" ref="BM106">IF($F$14-$I$4+VLOOKUP($R106,武学奇术!$A:$ZZ,15,FALSE)+SUM(_xlfn.XLOOKUP(S106:AL106,增益!$A:$A,增益!$O:$O,0))&gt;0,($F$14-$I$4+VLOOKUP($R106,武学奇术!$A:$ZZ,15,FALSE)+SUM(_xlfn.XLOOKUP(S106:AL106,增益!$A:$A,增益!$O:$O,0)))/200,($F$14-$I$4+VLOOKUP($R106,武学奇术!$A:$ZZ,15,FALSE)+SUM(_xlfn.XLOOKUP(S106:AL106,增益!$A:$A,增益!$O:$O,0)))/100)</f>
        <v>0.05</v>
      </c>
      <c r="BN106" s="29" cm="1">
        <f t="array" ref="BN106">$G$14+VLOOKUP($R106,武学奇术!$A:$ZZ,16,FALSE)+SUM(_xlfn.XLOOKUP(S106:AL106,增益!$A:$A,增益!$P:$P,0))</f>
        <v>0.21</v>
      </c>
      <c r="BO106" s="23">
        <f>MIN(IF(VLOOKUP($R106,武学奇术!$A:$ZZ,23,FALSE)=1,100%,$B$8),100%)</f>
        <v>0.9943</v>
      </c>
      <c r="BP106" s="23" cm="1">
        <f t="array" ref="BP106">IF(VLOOKUP($R106,武学奇术!$A:$ZZ,23,FALSE)=1,100%,MIN(80%,$B$9+VLOOKUP($R106,武学奇术!$A:$ZZ,17,FALSE)+SUM(_xlfn.XLOOKUP(S106:AL106,增益!$A:$A,增益!$Q:$Q,0)))+$B$11+SUM(_xlfn.XLOOKUP(S106:AL106,增益!$A:$A,增益!$U:$U,0)))*IF(VLOOKUP($R106,武学奇术!$A:$ZZ,24,FALSE)=1,0,1)</f>
        <v>0.887</v>
      </c>
      <c r="BQ106" s="23" cm="1">
        <f t="array" ref="BQ106">1+$B$13+VLOOKUP($R106,武学奇术!$A:$ZZ,18,FALSE)+SUM(_xlfn.XLOOKUP(S106:AL106,增益!$A:$A,增益!$R:$R,0))</f>
        <v>2.144</v>
      </c>
      <c r="BR106" s="23" cm="1">
        <f t="array" ref="BR106">IF(VLOOKUP($R106,武学奇术!$A:$ZZ,24,FALSE)=1,100%,MIN(40%,$B$10+VLOOKUP($R106,武学奇术!$A:$ZZ,19,FALSE)+SUM(_xlfn.XLOOKUP(S106:AL106,增益!$A:$A,增益!$S:$S,0)))+$B$12+SUM(_xlfn.XLOOKUP(S106:AL106,增益!$A:$A,增益!$V:$V,0)))*IF(VLOOKUP($R106,武学奇术!$A:$ZZ,23,FALSE)=1,0,1)</f>
        <v>0.0913</v>
      </c>
      <c r="BS106" s="23" cm="1">
        <f t="array" ref="BS106">1+$B$14+VLOOKUP($R106,武学奇术!$A:$ZZ,20,FALSE)+SUM(_xlfn.XLOOKUP(S106:AL106,增益!$A:$A,增益!$T:$T,0))</f>
        <v>1.35</v>
      </c>
      <c r="BT106" s="23">
        <f t="shared" si="20"/>
        <v>0.8819441</v>
      </c>
      <c r="BU106" s="23">
        <f t="shared" si="21"/>
        <v>0.0215763099999999</v>
      </c>
      <c r="BV106" s="23">
        <f>IF(VLOOKUP($R106,武学奇术!$A:$ZZ,22,FALSE)=1,0,(1-$BO106))*(1-$BR106)</f>
        <v>0.00517959000000003</v>
      </c>
      <c r="BW106" s="23" cm="1">
        <f t="array" ref="BW106">SUM(_xlfn.XLOOKUP(S106:AL106,增益!$A:$A,增益!$W:$W,0))+$I$5</f>
        <v>0.11</v>
      </c>
      <c r="BX106" s="23">
        <f>VLOOKUP($R106,武学奇术!$A:$ZZ,32,FALSE)</f>
        <v>0.1</v>
      </c>
      <c r="BY106" s="23" cm="1">
        <f t="array" ref="BY106">SUM(_xlfn.XLOOKUP($S106:$AL106,增益!$A:$A,增益!$X:$X,0))</f>
        <v>0</v>
      </c>
    </row>
    <row r="107" spans="11:77">
      <c r="K107" s="35">
        <f>$L107*VLOOKUP($R107,武学奇术!$A:$ZZ,31,FALSE)</f>
        <v>54835.1791471593</v>
      </c>
      <c r="L107" s="35">
        <f t="shared" si="22"/>
        <v>48959.9813813923</v>
      </c>
      <c r="M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轻击",$B$21,0))*(1+IF(VLOOKUP($R107,武学奇术!$A:$ZZ,30,FALSE)="老鼠",$B$22,0))*(1+$BW107)*(1+$BX107)</f>
        <v>51050.9715332285</v>
      </c>
      <c r="N107" s="35">
        <f>(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轻击",$B$21,0))*(1+IF(VLOOKUP($R107,武学奇术!$A:$ZZ,30,FALSE)="老鼠",$B$22,0))*(1+$BW107))*(1+$BX107)</f>
        <v>36306.2073218086</v>
      </c>
      <c r="O107" s="35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轻击",$B$21,0))*(1+IF(VLOOKUP($R107,武学奇术!$A:$ZZ,30,FALSE)="老鼠",$B$22,0))*(1+$BW107)*(1+$BX107)</f>
        <v>23811.0874688566</v>
      </c>
      <c r="P107" s="35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轻击",$B$21,0))*(1+IF(VLOOKUP($R107,武学奇术!$A:$ZZ,30,FALSE)="老鼠",$B$22,0))*(1+$BW107)*(1+$BX107)</f>
        <v>20728.6880326698</v>
      </c>
      <c r="Q107" s="36">
        <v>1</v>
      </c>
      <c r="R107" s="37" t="s">
        <v>148</v>
      </c>
      <c r="S107" s="37" t="s">
        <v>91</v>
      </c>
      <c r="T107" s="37" t="s">
        <v>185</v>
      </c>
      <c r="U107" s="37" t="s">
        <v>112</v>
      </c>
      <c r="V107" s="37" t="s">
        <v>113</v>
      </c>
      <c r="W107" s="37" t="s">
        <v>82</v>
      </c>
      <c r="X107" s="37" t="s">
        <v>81</v>
      </c>
      <c r="Y107" s="37" t="s">
        <v>109</v>
      </c>
      <c r="Z107" s="37" t="s">
        <v>83</v>
      </c>
      <c r="AA107" s="37" t="s">
        <v>81</v>
      </c>
      <c r="AB107" s="37" t="s">
        <v>81</v>
      </c>
      <c r="AC107" s="37" t="s">
        <v>81</v>
      </c>
      <c r="AD107" s="37" t="s">
        <v>81</v>
      </c>
      <c r="AE107" s="37" t="s">
        <v>81</v>
      </c>
      <c r="AF107" s="37" t="s">
        <v>81</v>
      </c>
      <c r="AG107" s="37" t="s">
        <v>87</v>
      </c>
      <c r="AH107" s="37" t="s">
        <v>81</v>
      </c>
      <c r="AI107" s="37" t="s">
        <v>81</v>
      </c>
      <c r="AJ107" s="37" t="s">
        <v>81</v>
      </c>
      <c r="AK107" s="37" t="s">
        <v>81</v>
      </c>
      <c r="AL107" s="37" t="s">
        <v>81</v>
      </c>
      <c r="AM107" t="str">
        <f>VLOOKUP($R107,武学奇术!$A:$ZZ,25,FALSE)</f>
        <v>双刀</v>
      </c>
      <c r="AN107" s="23">
        <f>VLOOKUP($R107,武学奇术!$A:$ZZ,26,FALSE)</f>
        <v>1.4455</v>
      </c>
      <c r="AO107" s="24">
        <f>VLOOKUP($R107,武学奇术!$A:$ZZ,27,FALSE)*(1+IF(OR($AM107=$F$4,$AM107=$F$5),$B$23,0))</f>
        <v>641.6</v>
      </c>
      <c r="AP107" s="23">
        <f>VLOOKUP($R107,武学奇术!$A:$ZZ,28,FALSE)</f>
        <v>2.1683</v>
      </c>
      <c r="AQ107" s="24">
        <f>VLOOKUP($R107,武学奇术!$A:$ZZ,29,FALSE)*(1+IF(OR($AM107=$F$4,$AM107=$F$5),$B$23,0))</f>
        <v>348.8</v>
      </c>
      <c r="AR107" s="23" cm="1">
        <f t="array" ref="AR107">$G$3+IFERROR(VLOOKUP($AM107,$F$4:$G$7,2,FALSE),0)+VLOOKUP($R107,武学奇术!$A:$ZZ,2,FALSE)+SUM(_xlfn.XLOOKUP($S107:$AL107,增益!$A:$A,增益!$B:$B,0))</f>
        <v>0.5443</v>
      </c>
      <c r="AS107" s="23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4081.7</v>
      </c>
      <c r="AU107" cm="1">
        <f t="array" ref="AU107">$E$10*(1+$AS107)+VLOOKUP($R107,武学奇术!$A:$ZZ,4,FALSE)+SUM(_xlfn.XLOOKUP($S107:$AL107,增益!$A:$A,增益!$D:$D,0))-$I$2</f>
        <v>4081.7</v>
      </c>
      <c r="AV107" s="29" cm="1">
        <f t="array" ref="AV107">IF($F$10-$I$3+VLOOKUP($R107,武学奇术!$A:$ZZ,6,FALSE)+SUM(_xlfn.XLOOKUP(S107:AL107,增益!$A:$A,增益!$F:$F,0))&gt;0,($F$10-$I$3+VLOOKUP($R107,武学奇术!$A:$ZZ,6,FALSE)+SUM(_xlfn.XLOOKUP(S107:AL107,增益!$A:$A,增益!$F:$F,0)))/200,($F$10-$I$3+VLOOKUP($R107,武学奇术!$A:$ZZ,6,FALSE)+SUM(_xlfn.XLOOKUP(S107:AL107,增益!$A:$A,增益!$F:$F,0)))/100)</f>
        <v>0.2439</v>
      </c>
      <c r="AW107" s="29" cm="1">
        <f t="array" ref="AW107">$G$10+VLOOKUP($R107,武学奇术!$A:$ZZ,7,FALSE)+SUM(_xlfn.XLOOKUP(S107:AL107,增益!$A:$A,增益!$G:$G,0))</f>
        <v>0.06</v>
      </c>
      <c r="AX107" s="23" cm="1">
        <f t="array" ref="AX107">VLOOKUP($R107,武学奇术!$A:$ZZ,8,FALSE)+SUM(_xlfn.XLOOKUP(S107:AL107,增益!$A:$A,增益!$H:$H,0))</f>
        <v>0</v>
      </c>
      <c r="AY107">
        <f t="shared" si="12"/>
        <v>0</v>
      </c>
      <c r="AZ107">
        <f t="shared" si="13"/>
        <v>0</v>
      </c>
      <c r="BA107" s="29" cm="1">
        <f t="array" ref="BA107">IF($F$11-$I$4+VLOOKUP($R107,武学奇术!$A:$ZZ,9,FALSE)+SUM(_xlfn.XLOOKUP(S107:AL107,增益!$A:$A,增益!$I:$I,0))&gt;0,($F$11-$I$4+VLOOKUP($R107,武学奇术!$A:$ZZ,9,FALSE)+SUM(_xlfn.XLOOKUP(S107:AL107,增益!$A:$A,增益!$I:$I,0)))/200,($F$11-$I$4+VLOOKUP($R107,武学奇术!$A:$ZZ,9,FALSE)+SUM(_xlfn.XLOOKUP(S107:AL107,增益!$A:$A,增益!$I:$I,0)))/100)</f>
        <v>-0.3</v>
      </c>
      <c r="BB107" s="29" cm="1">
        <f t="array" ref="BB107">$G$11+VLOOKUP($R107,武学奇术!$A:$ZZ,10,FALSE)+SUM(_xlfn.XLOOKUP(S107:AL107,增益!$A:$A,增益!$J:$J,0))</f>
        <v>0</v>
      </c>
      <c r="BC107">
        <f t="shared" si="14"/>
        <v>0</v>
      </c>
      <c r="BD107">
        <f t="shared" si="15"/>
        <v>0</v>
      </c>
      <c r="BE107" s="29" cm="1">
        <f t="array" ref="BE107">IF($F$12-$I$4+VLOOKUP($R107,武学奇术!$A:$ZZ,11,FALSE)+SUM(_xlfn.XLOOKUP(S107:AL107,增益!$A:$A,增益!$K:$K,0))&gt;0,($F$12-$I$4+VLOOKUP($R107,武学奇术!$A:$ZZ,11,FALSE)+SUM(_xlfn.XLOOKUP(S107:AL107,增益!$A:$A,增益!$K:$K,0)))/200,($F$12-$I$4+VLOOKUP($R107,武学奇术!$A:$ZZ,11,FALSE)+SUM(_xlfn.XLOOKUP(S107:AL107,增益!$A:$A,增益!$K:$K,0)))/100)</f>
        <v>-0.3</v>
      </c>
      <c r="BF107" s="29" cm="1">
        <f t="array" ref="BF107">$G$12+VLOOKUP($R107,武学奇术!$A:$ZZ,12,FALSE)+SUM(_xlfn.XLOOKUP(S107:AL107,增益!$A:$A,增益!$L:$L,0))</f>
        <v>0</v>
      </c>
      <c r="BG107">
        <f t="shared" si="16"/>
        <v>0</v>
      </c>
      <c r="BH107">
        <f t="shared" si="17"/>
        <v>0</v>
      </c>
      <c r="BI107" s="29" cm="1">
        <f t="array" ref="BI107">IF($F$13-$I$4+VLOOKUP($R107,武学奇术!$A:$ZZ,13,FALSE)+SUM(_xlfn.XLOOKUP(S107:AL107,增益!$A:$A,增益!$M:$M,0))&gt;0,($F$13-$I$4+VLOOKUP($R107,武学奇术!$A:$ZZ,13,FALSE)+SUM(_xlfn.XLOOKUP(S107:AL107,增益!$A:$A,增益!$K:$K,0)))/200,($F$13-$I$4+VLOOKUP($R107,武学奇术!$A:$ZZ,13,FALSE)+SUM(_xlfn.XLOOKUP(S107:AL107,增益!$A:$A,增益!$M:$M,0)))/100)</f>
        <v>-0.3</v>
      </c>
      <c r="BJ107" s="29" cm="1">
        <f t="array" ref="BJ107">$G$13+VLOOKUP($R107,武学奇术!$A:$ZZ,14,FALSE)+SUM(_xlfn.XLOOKUP(S107:AL107,增益!$A:$A,增益!$N:$N,0))</f>
        <v>0</v>
      </c>
      <c r="BK107">
        <f t="shared" si="18"/>
        <v>618.2</v>
      </c>
      <c r="BL107">
        <f t="shared" si="19"/>
        <v>1805</v>
      </c>
      <c r="BM107" s="29" cm="1">
        <f t="array" ref="BM107">IF($F$14-$I$4+VLOOKUP($R107,武学奇术!$A:$ZZ,15,FALSE)+SUM(_xlfn.XLOOKUP(S107:AL107,增益!$A:$A,增益!$O:$O,0))&gt;0,($F$14-$I$4+VLOOKUP($R107,武学奇术!$A:$ZZ,15,FALSE)+SUM(_xlfn.XLOOKUP(S107:AL107,增益!$A:$A,增益!$O:$O,0)))/200,($F$14-$I$4+VLOOKUP($R107,武学奇术!$A:$ZZ,15,FALSE)+SUM(_xlfn.XLOOKUP(S107:AL107,增益!$A:$A,增益!$O:$O,0)))/100)</f>
        <v>0.05</v>
      </c>
      <c r="BN107" s="29" cm="1">
        <f t="array" ref="BN107">$G$14+VLOOKUP($R107,武学奇术!$A:$ZZ,16,FALSE)+SUM(_xlfn.XLOOKUP(S107:AL107,增益!$A:$A,增益!$P:$P,0))</f>
        <v>0.21</v>
      </c>
      <c r="BO107" s="23">
        <f>MIN(IF(VLOOKUP($R107,武学奇术!$A:$ZZ,23,FALSE)=1,100%,$B$8),100%)</f>
        <v>0.9943</v>
      </c>
      <c r="BP107" s="23" cm="1">
        <f t="array" ref="BP107">IF(VLOOKUP($R107,武学奇术!$A:$ZZ,23,FALSE)=1,100%,MIN(80%,$B$9+VLOOKUP($R107,武学奇术!$A:$ZZ,17,FALSE)+SUM(_xlfn.XLOOKUP(S107:AL107,增益!$A:$A,增益!$Q:$Q,0)))+$B$11+SUM(_xlfn.XLOOKUP(S107:AL107,增益!$A:$A,增益!$U:$U,0)))*IF(VLOOKUP($R107,武学奇术!$A:$ZZ,24,FALSE)=1,0,1)</f>
        <v>0.887</v>
      </c>
      <c r="BQ107" s="23" cm="1">
        <f t="array" ref="BQ107">1+$B$13+VLOOKUP($R107,武学奇术!$A:$ZZ,18,FALSE)+SUM(_xlfn.XLOOKUP(S107:AL107,增益!$A:$A,增益!$R:$R,0))</f>
        <v>2.144</v>
      </c>
      <c r="BR107" s="23" cm="1">
        <f t="array" ref="BR107">IF(VLOOKUP($R107,武学奇术!$A:$ZZ,24,FALSE)=1,100%,MIN(40%,$B$10+VLOOKUP($R107,武学奇术!$A:$ZZ,19,FALSE)+SUM(_xlfn.XLOOKUP(S107:AL107,增益!$A:$A,增益!$S:$S,0)))+$B$12+SUM(_xlfn.XLOOKUP(S107:AL107,增益!$A:$A,增益!$V:$V,0)))*IF(VLOOKUP($R107,武学奇术!$A:$ZZ,23,FALSE)=1,0,1)</f>
        <v>0.0913</v>
      </c>
      <c r="BS107" s="23" cm="1">
        <f t="array" ref="BS107">1+$B$14+VLOOKUP($R107,武学奇术!$A:$ZZ,20,FALSE)+SUM(_xlfn.XLOOKUP(S107:AL107,增益!$A:$A,增益!$T:$T,0))</f>
        <v>1.35</v>
      </c>
      <c r="BT107" s="23">
        <f t="shared" si="20"/>
        <v>0.8819441</v>
      </c>
      <c r="BU107" s="23">
        <f t="shared" si="21"/>
        <v>0.0215763099999999</v>
      </c>
      <c r="BV107" s="23">
        <f>IF(VLOOKUP($R107,武学奇术!$A:$ZZ,22,FALSE)=1,0,(1-$BO107))*(1-$BR107)</f>
        <v>0.00517959000000003</v>
      </c>
      <c r="BW107" s="23" cm="1">
        <f t="array" ref="BW107">SUM(_xlfn.XLOOKUP(S107:AL107,增益!$A:$A,增益!$W:$W,0))+$I$5</f>
        <v>0.11</v>
      </c>
      <c r="BX107" s="23">
        <f>VLOOKUP($R107,武学奇术!$A:$ZZ,32,FALSE)</f>
        <v>0.1</v>
      </c>
      <c r="BY107" s="23" cm="1">
        <f t="array" ref="BY107">SUM(_xlfn.XLOOKUP($S107:$AL107,增益!$A:$A,增益!$X:$X,0))</f>
        <v>0</v>
      </c>
    </row>
    <row r="108" spans="11:77">
      <c r="K108" s="35">
        <f>$L108*VLOOKUP($R108,武学奇术!$A:$ZZ,31,FALSE)</f>
        <v>65845.3604257618</v>
      </c>
      <c r="L108" s="35">
        <f t="shared" si="22"/>
        <v>58790.5003801444</v>
      </c>
      <c r="M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轻击",$B$21,0))*(1+IF(VLOOKUP($R108,武学奇术!$A:$ZZ,30,FALSE)="老鼠",$B$22,0))*(1+$BW108)*(1+$BX108)</f>
        <v>61301.3278123256</v>
      </c>
      <c r="N108" s="35">
        <f>(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轻击",$B$21,0))*(1+IF(VLOOKUP($R108,武学奇术!$A:$ZZ,30,FALSE)="老鼠",$B$22,0))*(1+$BW108))*(1+$BX108)</f>
        <v>43596.0766194874</v>
      </c>
      <c r="O108" s="35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轻击",$B$21,0))*(1+IF(VLOOKUP($R108,武学奇术!$A:$ZZ,30,FALSE)="老鼠",$B$22,0))*(1+$BW108)*(1+$BX108)</f>
        <v>28592.0372258981</v>
      </c>
      <c r="P108" s="35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轻击",$B$21,0))*(1+IF(VLOOKUP($R108,武学奇术!$A:$ZZ,30,FALSE)="老鼠",$B$22,0))*(1+$BW108)*(1+$BX108)</f>
        <v>24890.6843632871</v>
      </c>
      <c r="Q108" s="36">
        <v>1</v>
      </c>
      <c r="R108" s="37" t="s">
        <v>153</v>
      </c>
      <c r="S108" s="37" t="s">
        <v>91</v>
      </c>
      <c r="T108" s="37" t="s">
        <v>185</v>
      </c>
      <c r="U108" s="37" t="s">
        <v>112</v>
      </c>
      <c r="V108" s="37" t="s">
        <v>113</v>
      </c>
      <c r="W108" s="37" t="s">
        <v>82</v>
      </c>
      <c r="X108" s="37" t="s">
        <v>81</v>
      </c>
      <c r="Y108" s="37" t="s">
        <v>109</v>
      </c>
      <c r="Z108" s="37" t="s">
        <v>83</v>
      </c>
      <c r="AA108" s="37" t="s">
        <v>81</v>
      </c>
      <c r="AB108" s="37" t="s">
        <v>81</v>
      </c>
      <c r="AC108" s="37" t="s">
        <v>81</v>
      </c>
      <c r="AD108" s="37" t="s">
        <v>81</v>
      </c>
      <c r="AE108" s="37" t="s">
        <v>81</v>
      </c>
      <c r="AF108" s="37" t="s">
        <v>81</v>
      </c>
      <c r="AG108" s="37" t="s">
        <v>87</v>
      </c>
      <c r="AH108" s="37" t="s">
        <v>81</v>
      </c>
      <c r="AI108" s="37" t="s">
        <v>81</v>
      </c>
      <c r="AJ108" s="37" t="s">
        <v>81</v>
      </c>
      <c r="AK108" s="37" t="s">
        <v>81</v>
      </c>
      <c r="AL108" s="37" t="s">
        <v>81</v>
      </c>
      <c r="AM108" t="str">
        <f>VLOOKUP($R108,武学奇术!$A:$ZZ,25,FALSE)</f>
        <v>双刀</v>
      </c>
      <c r="AN108" s="23">
        <f>VLOOKUP($R108,武学奇术!$A:$ZZ,26,FALSE)</f>
        <v>1.7358</v>
      </c>
      <c r="AO108" s="24">
        <f>VLOOKUP($R108,武学奇术!$A:$ZZ,27,FALSE)*(1+IF(OR($AM108=$F$4,$AM108=$F$5),$B$23,0))</f>
        <v>769.6</v>
      </c>
      <c r="AP108" s="23">
        <f>VLOOKUP($R108,武学奇术!$A:$ZZ,28,FALSE)</f>
        <v>2.6037</v>
      </c>
      <c r="AQ108" s="24">
        <f>VLOOKUP($R108,武学奇术!$A:$ZZ,29,FALSE)*(1+IF(OR($AM108=$F$4,$AM108=$F$5),$B$23,0))</f>
        <v>419.2</v>
      </c>
      <c r="AR108" s="23" cm="1">
        <f t="array" ref="AR108">$G$3+IFERROR(VLOOKUP($AM108,$F$4:$G$7,2,FALSE),0)+VLOOKUP($R108,武学奇术!$A:$ZZ,2,FALSE)+SUM(_xlfn.XLOOKUP($S108:$AL108,增益!$A:$A,增益!$B:$B,0))</f>
        <v>0.5443</v>
      </c>
      <c r="AS108" s="23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4081.7</v>
      </c>
      <c r="AU108" cm="1">
        <f t="array" ref="AU108">$E$10*(1+$AS108)+VLOOKUP($R108,武学奇术!$A:$ZZ,4,FALSE)+SUM(_xlfn.XLOOKUP($S108:$AL108,增益!$A:$A,增益!$D:$D,0))-$I$2</f>
        <v>4081.7</v>
      </c>
      <c r="AV108" s="29" cm="1">
        <f t="array" ref="AV108">IF($F$10-$I$3+VLOOKUP($R108,武学奇术!$A:$ZZ,6,FALSE)+SUM(_xlfn.XLOOKUP(S108:AL108,增益!$A:$A,增益!$F:$F,0))&gt;0,($F$10-$I$3+VLOOKUP($R108,武学奇术!$A:$ZZ,6,FALSE)+SUM(_xlfn.XLOOKUP(S108:AL108,增益!$A:$A,增益!$F:$F,0)))/200,($F$10-$I$3+VLOOKUP($R108,武学奇术!$A:$ZZ,6,FALSE)+SUM(_xlfn.XLOOKUP(S108:AL108,增益!$A:$A,增益!$F:$F,0)))/100)</f>
        <v>0.2439</v>
      </c>
      <c r="AW108" s="29" cm="1">
        <f t="array" ref="AW108">$G$10+VLOOKUP($R108,武学奇术!$A:$ZZ,7,FALSE)+SUM(_xlfn.XLOOKUP(S108:AL108,增益!$A:$A,增益!$G:$G,0))</f>
        <v>0.06</v>
      </c>
      <c r="AX108" s="23" cm="1">
        <f t="array" ref="AX108">VLOOKUP($R108,武学奇术!$A:$ZZ,8,FALSE)+SUM(_xlfn.XLOOKUP(S108:AL108,增益!$A:$A,增益!$H:$H,0))</f>
        <v>0</v>
      </c>
      <c r="AY108">
        <f t="shared" si="12"/>
        <v>0</v>
      </c>
      <c r="AZ108">
        <f t="shared" si="13"/>
        <v>0</v>
      </c>
      <c r="BA108" s="29" cm="1">
        <f t="array" ref="BA108">IF($F$11-$I$4+VLOOKUP($R108,武学奇术!$A:$ZZ,9,FALSE)+SUM(_xlfn.XLOOKUP(S108:AL108,增益!$A:$A,增益!$I:$I,0))&gt;0,($F$11-$I$4+VLOOKUP($R108,武学奇术!$A:$ZZ,9,FALSE)+SUM(_xlfn.XLOOKUP(S108:AL108,增益!$A:$A,增益!$I:$I,0)))/200,($F$11-$I$4+VLOOKUP($R108,武学奇术!$A:$ZZ,9,FALSE)+SUM(_xlfn.XLOOKUP(S108:AL108,增益!$A:$A,增益!$I:$I,0)))/100)</f>
        <v>-0.3</v>
      </c>
      <c r="BB108" s="29" cm="1">
        <f t="array" ref="BB108">$G$11+VLOOKUP($R108,武学奇术!$A:$ZZ,10,FALSE)+SUM(_xlfn.XLOOKUP(S108:AL108,增益!$A:$A,增益!$J:$J,0))</f>
        <v>0</v>
      </c>
      <c r="BC108">
        <f t="shared" si="14"/>
        <v>0</v>
      </c>
      <c r="BD108">
        <f t="shared" si="15"/>
        <v>0</v>
      </c>
      <c r="BE108" s="29" cm="1">
        <f t="array" ref="BE108">IF($F$12-$I$4+VLOOKUP($R108,武学奇术!$A:$ZZ,11,FALSE)+SUM(_xlfn.XLOOKUP(S108:AL108,增益!$A:$A,增益!$K:$K,0))&gt;0,($F$12-$I$4+VLOOKUP($R108,武学奇术!$A:$ZZ,11,FALSE)+SUM(_xlfn.XLOOKUP(S108:AL108,增益!$A:$A,增益!$K:$K,0)))/200,($F$12-$I$4+VLOOKUP($R108,武学奇术!$A:$ZZ,11,FALSE)+SUM(_xlfn.XLOOKUP(S108:AL108,增益!$A:$A,增益!$K:$K,0)))/100)</f>
        <v>-0.3</v>
      </c>
      <c r="BF108" s="29" cm="1">
        <f t="array" ref="BF108">$G$12+VLOOKUP($R108,武学奇术!$A:$ZZ,12,FALSE)+SUM(_xlfn.XLOOKUP(S108:AL108,增益!$A:$A,增益!$L:$L,0))</f>
        <v>0</v>
      </c>
      <c r="BG108">
        <f t="shared" si="16"/>
        <v>0</v>
      </c>
      <c r="BH108">
        <f t="shared" si="17"/>
        <v>0</v>
      </c>
      <c r="BI108" s="29" cm="1">
        <f t="array" ref="BI108">IF($F$13-$I$4+VLOOKUP($R108,武学奇术!$A:$ZZ,13,FALSE)+SUM(_xlfn.XLOOKUP(S108:AL108,增益!$A:$A,增益!$M:$M,0))&gt;0,($F$13-$I$4+VLOOKUP($R108,武学奇术!$A:$ZZ,13,FALSE)+SUM(_xlfn.XLOOKUP(S108:AL108,增益!$A:$A,增益!$K:$K,0)))/200,($F$13-$I$4+VLOOKUP($R108,武学奇术!$A:$ZZ,13,FALSE)+SUM(_xlfn.XLOOKUP(S108:AL108,增益!$A:$A,增益!$M:$M,0)))/100)</f>
        <v>-0.3</v>
      </c>
      <c r="BJ108" s="29" cm="1">
        <f t="array" ref="BJ108">$G$13+VLOOKUP($R108,武学奇术!$A:$ZZ,14,FALSE)+SUM(_xlfn.XLOOKUP(S108:AL108,增益!$A:$A,增益!$N:$N,0))</f>
        <v>0</v>
      </c>
      <c r="BK108">
        <f t="shared" si="18"/>
        <v>618.2</v>
      </c>
      <c r="BL108">
        <f t="shared" si="19"/>
        <v>1805</v>
      </c>
      <c r="BM108" s="29" cm="1">
        <f t="array" ref="BM108">IF($F$14-$I$4+VLOOKUP($R108,武学奇术!$A:$ZZ,15,FALSE)+SUM(_xlfn.XLOOKUP(S108:AL108,增益!$A:$A,增益!$O:$O,0))&gt;0,($F$14-$I$4+VLOOKUP($R108,武学奇术!$A:$ZZ,15,FALSE)+SUM(_xlfn.XLOOKUP(S108:AL108,增益!$A:$A,增益!$O:$O,0)))/200,($F$14-$I$4+VLOOKUP($R108,武学奇术!$A:$ZZ,15,FALSE)+SUM(_xlfn.XLOOKUP(S108:AL108,增益!$A:$A,增益!$O:$O,0)))/100)</f>
        <v>0.05</v>
      </c>
      <c r="BN108" s="29" cm="1">
        <f t="array" ref="BN108">$G$14+VLOOKUP($R108,武学奇术!$A:$ZZ,16,FALSE)+SUM(_xlfn.XLOOKUP(S108:AL108,增益!$A:$A,增益!$P:$P,0))</f>
        <v>0.21</v>
      </c>
      <c r="BO108" s="23">
        <f>MIN(IF(VLOOKUP($R108,武学奇术!$A:$ZZ,23,FALSE)=1,100%,$B$8),100%)</f>
        <v>0.9943</v>
      </c>
      <c r="BP108" s="23" cm="1">
        <f t="array" ref="BP108">IF(VLOOKUP($R108,武学奇术!$A:$ZZ,23,FALSE)=1,100%,MIN(80%,$B$9+VLOOKUP($R108,武学奇术!$A:$ZZ,17,FALSE)+SUM(_xlfn.XLOOKUP(S108:AL108,增益!$A:$A,增益!$Q:$Q,0)))+$B$11+SUM(_xlfn.XLOOKUP(S108:AL108,增益!$A:$A,增益!$U:$U,0)))*IF(VLOOKUP($R108,武学奇术!$A:$ZZ,24,FALSE)=1,0,1)</f>
        <v>0.887</v>
      </c>
      <c r="BQ108" s="23" cm="1">
        <f t="array" ref="BQ108">1+$B$13+VLOOKUP($R108,武学奇术!$A:$ZZ,18,FALSE)+SUM(_xlfn.XLOOKUP(S108:AL108,增益!$A:$A,增益!$R:$R,0))</f>
        <v>2.144</v>
      </c>
      <c r="BR108" s="23" cm="1">
        <f t="array" ref="BR108">IF(VLOOKUP($R108,武学奇术!$A:$ZZ,24,FALSE)=1,100%,MIN(40%,$B$10+VLOOKUP($R108,武学奇术!$A:$ZZ,19,FALSE)+SUM(_xlfn.XLOOKUP(S108:AL108,增益!$A:$A,增益!$S:$S,0)))+$B$12+SUM(_xlfn.XLOOKUP(S108:AL108,增益!$A:$A,增益!$V:$V,0)))*IF(VLOOKUP($R108,武学奇术!$A:$ZZ,23,FALSE)=1,0,1)</f>
        <v>0.0913</v>
      </c>
      <c r="BS108" s="23" cm="1">
        <f t="array" ref="BS108">1+$B$14+VLOOKUP($R108,武学奇术!$A:$ZZ,20,FALSE)+SUM(_xlfn.XLOOKUP(S108:AL108,增益!$A:$A,增益!$T:$T,0))</f>
        <v>1.35</v>
      </c>
      <c r="BT108" s="23">
        <f t="shared" si="20"/>
        <v>0.8819441</v>
      </c>
      <c r="BU108" s="23">
        <f t="shared" si="21"/>
        <v>0.0215763099999999</v>
      </c>
      <c r="BV108" s="23">
        <f>IF(VLOOKUP($R108,武学奇术!$A:$ZZ,22,FALSE)=1,0,(1-$BO108))*(1-$BR108)</f>
        <v>0.00517959000000003</v>
      </c>
      <c r="BW108" s="23" cm="1">
        <f t="array" ref="BW108">SUM(_xlfn.XLOOKUP(S108:AL108,增益!$A:$A,增益!$W:$W,0))+$I$5</f>
        <v>0.11</v>
      </c>
      <c r="BX108" s="23">
        <f>VLOOKUP($R108,武学奇术!$A:$ZZ,32,FALSE)</f>
        <v>0.1</v>
      </c>
      <c r="BY108" s="23" cm="1">
        <f t="array" ref="BY108">SUM(_xlfn.XLOOKUP($S108:$AL108,增益!$A:$A,增益!$X:$X,0))</f>
        <v>0</v>
      </c>
    </row>
    <row r="109" spans="11:77">
      <c r="K109" s="35">
        <f>$L109*VLOOKUP($R109,武学奇术!$A:$ZZ,31,FALSE)</f>
        <v>315608.03296783</v>
      </c>
      <c r="L109" s="69">
        <f t="shared" si="22"/>
        <v>309419.64016454</v>
      </c>
      <c r="M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轻击",$B$21,0))*(1+IF(VLOOKUP($R109,武学奇术!$A:$ZZ,30,FALSE)="老鼠",$B$22,0))*(1+$BW109)*(1+$BX109)</f>
        <v>322348.086821604</v>
      </c>
      <c r="N109" s="35">
        <f>(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轻击",$B$21,0))*(1+IF(VLOOKUP($R109,武学奇术!$A:$ZZ,30,FALSE)="老鼠",$B$22,0))*(1+$BW109))*(1+$BX109)</f>
        <v>232385.333346286</v>
      </c>
      <c r="O109" s="35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轻击",$B$21,0))*(1+IF(VLOOKUP($R109,武学奇术!$A:$ZZ,30,FALSE)="老鼠",$B$22,0))*(1+$BW109)*(1+$BX109)</f>
        <v>150348.921092166</v>
      </c>
      <c r="P109" s="35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轻击",$B$21,0))*(1+IF(VLOOKUP($R109,武学奇术!$A:$ZZ,30,FALSE)="老鼠",$B$22,0))*(1+$BW109)*(1+$BX109)</f>
        <v>128560.55822412</v>
      </c>
      <c r="Q109" s="70">
        <v>13</v>
      </c>
      <c r="R109" s="37" t="s">
        <v>106</v>
      </c>
      <c r="S109" s="37" t="s">
        <v>91</v>
      </c>
      <c r="T109" s="37" t="s">
        <v>185</v>
      </c>
      <c r="U109" s="37" t="s">
        <v>112</v>
      </c>
      <c r="V109" s="37" t="s">
        <v>113</v>
      </c>
      <c r="W109" s="37" t="s">
        <v>82</v>
      </c>
      <c r="X109" s="37" t="s">
        <v>81</v>
      </c>
      <c r="Y109" s="37" t="s">
        <v>109</v>
      </c>
      <c r="Z109" s="37" t="s">
        <v>83</v>
      </c>
      <c r="AA109" s="37" t="s">
        <v>81</v>
      </c>
      <c r="AB109" s="37" t="s">
        <v>81</v>
      </c>
      <c r="AC109" s="37" t="s">
        <v>81</v>
      </c>
      <c r="AD109" s="37" t="s">
        <v>81</v>
      </c>
      <c r="AE109" s="37" t="s">
        <v>81</v>
      </c>
      <c r="AF109" s="37" t="s">
        <v>81</v>
      </c>
      <c r="AG109" s="37" t="s">
        <v>87</v>
      </c>
      <c r="AH109" s="37" t="s">
        <v>81</v>
      </c>
      <c r="AI109" s="37" t="s">
        <v>81</v>
      </c>
      <c r="AJ109" s="37" t="s">
        <v>81</v>
      </c>
      <c r="AK109" s="37" t="s">
        <v>81</v>
      </c>
      <c r="AL109" s="37" t="s">
        <v>81</v>
      </c>
      <c r="AM109" t="str">
        <f>VLOOKUP($R109,武学奇术!$A:$ZZ,25,FALSE)</f>
        <v>绳镖</v>
      </c>
      <c r="AN109" s="23">
        <f>VLOOKUP($R109,武学奇术!$A:$ZZ,26,FALSE)</f>
        <v>0.3675</v>
      </c>
      <c r="AO109" s="24">
        <f>VLOOKUP($R109,武学奇术!$A:$ZZ,27,FALSE)*(1+IF(OR($AM109=$F$4,$AM109=$F$5),$B$23,0))</f>
        <v>0</v>
      </c>
      <c r="AP109" s="23">
        <f>VLOOKUP($R109,武学奇术!$A:$ZZ,28,FALSE)</f>
        <v>0.55125</v>
      </c>
      <c r="AQ109" s="24">
        <f>VLOOKUP($R109,武学奇术!$A:$ZZ,29,FALSE)*(1+IF(OR($AM109=$F$4,$AM109=$F$5),$B$23,0))</f>
        <v>0</v>
      </c>
      <c r="AR109" s="23" cm="1">
        <f t="array" ref="AR109">$G$3+IFERROR(VLOOKUP($AM109,$F$4:$G$7,2,FALSE),0)+VLOOKUP($R109,武学奇术!$A:$ZZ,2,FALSE)+SUM(_xlfn.XLOOKUP($S109:$AL109,增益!$A:$A,增益!$B:$B,0))</f>
        <v>1.3443</v>
      </c>
      <c r="AS109" s="23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4081.7</v>
      </c>
      <c r="AU109" cm="1">
        <f t="array" ref="AU109">$E$10*(1+$AS109)+VLOOKUP($R109,武学奇术!$A:$ZZ,4,FALSE)+SUM(_xlfn.XLOOKUP($S109:$AL109,增益!$A:$A,增益!$D:$D,0))-$I$2</f>
        <v>4081.7</v>
      </c>
      <c r="AV109" s="29" cm="1">
        <f t="array" ref="AV109">IF($F$10-$I$3+VLOOKUP($R109,武学奇术!$A:$ZZ,6,FALSE)+SUM(_xlfn.XLOOKUP(S109:AL109,增益!$A:$A,增益!$F:$F,0))&gt;0,($F$10-$I$3+VLOOKUP($R109,武学奇术!$A:$ZZ,6,FALSE)+SUM(_xlfn.XLOOKUP(S109:AL109,增益!$A:$A,增益!$F:$F,0)))/200,($F$10-$I$3+VLOOKUP($R109,武学奇术!$A:$ZZ,6,FALSE)+SUM(_xlfn.XLOOKUP(S109:AL109,增益!$A:$A,增益!$F:$F,0)))/100)</f>
        <v>0.2439</v>
      </c>
      <c r="AW109" s="29" cm="1">
        <f t="array" ref="AW109">$G$10+VLOOKUP($R109,武学奇术!$A:$ZZ,7,FALSE)+SUM(_xlfn.XLOOKUP(S109:AL109,增益!$A:$A,增益!$G:$G,0))</f>
        <v>0.27</v>
      </c>
      <c r="AX109" s="23" cm="1">
        <f t="array" ref="AX109">VLOOKUP($R109,武学奇术!$A:$ZZ,8,FALSE)+SUM(_xlfn.XLOOKUP(S109:AL109,增益!$A:$A,增益!$H:$H,0))</f>
        <v>0</v>
      </c>
      <c r="AY109">
        <f t="shared" si="12"/>
        <v>0</v>
      </c>
      <c r="AZ109">
        <f t="shared" si="13"/>
        <v>0</v>
      </c>
      <c r="BA109" s="29" cm="1">
        <f t="array" ref="BA109">IF($F$11-$I$4+VLOOKUP($R109,武学奇术!$A:$ZZ,9,FALSE)+SUM(_xlfn.XLOOKUP(S109:AL109,增益!$A:$A,增益!$I:$I,0))&gt;0,($F$11-$I$4+VLOOKUP($R109,武学奇术!$A:$ZZ,9,FALSE)+SUM(_xlfn.XLOOKUP(S109:AL109,增益!$A:$A,增益!$I:$I,0)))/200,($F$11-$I$4+VLOOKUP($R109,武学奇术!$A:$ZZ,9,FALSE)+SUM(_xlfn.XLOOKUP(S109:AL109,增益!$A:$A,增益!$I:$I,0)))/100)</f>
        <v>-0.3</v>
      </c>
      <c r="BB109" s="29" cm="1">
        <f t="array" ref="BB109">$G$11+VLOOKUP($R109,武学奇术!$A:$ZZ,10,FALSE)+SUM(_xlfn.XLOOKUP(S109:AL109,增益!$A:$A,增益!$J:$J,0))</f>
        <v>0</v>
      </c>
      <c r="BC109">
        <f t="shared" si="14"/>
        <v>0</v>
      </c>
      <c r="BD109">
        <f t="shared" si="15"/>
        <v>0</v>
      </c>
      <c r="BE109" s="29" cm="1">
        <f t="array" ref="BE109">IF($F$12-$I$4+VLOOKUP($R109,武学奇术!$A:$ZZ,11,FALSE)+SUM(_xlfn.XLOOKUP(S109:AL109,增益!$A:$A,增益!$K:$K,0))&gt;0,($F$12-$I$4+VLOOKUP($R109,武学奇术!$A:$ZZ,11,FALSE)+SUM(_xlfn.XLOOKUP(S109:AL109,增益!$A:$A,增益!$K:$K,0)))/200,($F$12-$I$4+VLOOKUP($R109,武学奇术!$A:$ZZ,11,FALSE)+SUM(_xlfn.XLOOKUP(S109:AL109,增益!$A:$A,增益!$K:$K,0)))/100)</f>
        <v>-0.3</v>
      </c>
      <c r="BF109" s="29" cm="1">
        <f t="array" ref="BF109">$G$12+VLOOKUP($R109,武学奇术!$A:$ZZ,12,FALSE)+SUM(_xlfn.XLOOKUP(S109:AL109,增益!$A:$A,增益!$L:$L,0))</f>
        <v>0</v>
      </c>
      <c r="BG109">
        <f t="shared" si="16"/>
        <v>0</v>
      </c>
      <c r="BH109">
        <f t="shared" si="17"/>
        <v>0</v>
      </c>
      <c r="BI109" s="29" cm="1">
        <f t="array" ref="BI109">IF($F$13-$I$4+VLOOKUP($R109,武学奇术!$A:$ZZ,13,FALSE)+SUM(_xlfn.XLOOKUP(S109:AL109,增益!$A:$A,增益!$M:$M,0))&gt;0,($F$13-$I$4+VLOOKUP($R109,武学奇术!$A:$ZZ,13,FALSE)+SUM(_xlfn.XLOOKUP(S109:AL109,增益!$A:$A,增益!$K:$K,0)))/200,($F$13-$I$4+VLOOKUP($R109,武学奇术!$A:$ZZ,13,FALSE)+SUM(_xlfn.XLOOKUP(S109:AL109,增益!$A:$A,增益!$M:$M,0)))/100)</f>
        <v>-0.3</v>
      </c>
      <c r="BJ109" s="29" cm="1">
        <f t="array" ref="BJ109">$G$13+VLOOKUP($R109,武学奇术!$A:$ZZ,14,FALSE)+SUM(_xlfn.XLOOKUP(S109:AL109,增益!$A:$A,增益!$N:$N,0))</f>
        <v>0</v>
      </c>
      <c r="BK109">
        <f t="shared" si="18"/>
        <v>618.2</v>
      </c>
      <c r="BL109">
        <f t="shared" si="19"/>
        <v>1805</v>
      </c>
      <c r="BM109" s="29" cm="1">
        <f t="array" ref="BM109">IF($F$14-$I$4+VLOOKUP($R109,武学奇术!$A:$ZZ,15,FALSE)+SUM(_xlfn.XLOOKUP(S109:AL109,增益!$A:$A,增益!$O:$O,0))&gt;0,($F$14-$I$4+VLOOKUP($R109,武学奇术!$A:$ZZ,15,FALSE)+SUM(_xlfn.XLOOKUP(S109:AL109,增益!$A:$A,增益!$O:$O,0)))/200,($F$14-$I$4+VLOOKUP($R109,武学奇术!$A:$ZZ,15,FALSE)+SUM(_xlfn.XLOOKUP(S109:AL109,增益!$A:$A,增益!$O:$O,0)))/100)</f>
        <v>0.05</v>
      </c>
      <c r="BN109" s="29" cm="1">
        <f t="array" ref="BN109">$G$14+VLOOKUP($R109,武学奇术!$A:$ZZ,16,FALSE)+SUM(_xlfn.XLOOKUP(S109:AL109,增益!$A:$A,增益!$P:$P,0))</f>
        <v>0.42</v>
      </c>
      <c r="BO109" s="23">
        <f>MIN(IF(VLOOKUP($R109,武学奇术!$A:$ZZ,23,FALSE)=1,100%,$B$8),100%)</f>
        <v>0.9943</v>
      </c>
      <c r="BP109" s="23" cm="1">
        <f t="array" ref="BP109">IF(VLOOKUP($R109,武学奇术!$A:$ZZ,23,FALSE)=1,100%,MIN(80%,$B$9+VLOOKUP($R109,武学奇术!$A:$ZZ,17,FALSE)+SUM(_xlfn.XLOOKUP(S109:AL109,增益!$A:$A,增益!$Q:$Q,0)))+$B$11+SUM(_xlfn.XLOOKUP(S109:AL109,增益!$A:$A,增益!$U:$U,0)))*IF(VLOOKUP($R109,武学奇术!$A:$ZZ,24,FALSE)=1,0,1)</f>
        <v>0.887</v>
      </c>
      <c r="BQ109" s="23" cm="1">
        <f t="array" ref="BQ109">1+$B$13+VLOOKUP($R109,武学奇术!$A:$ZZ,18,FALSE)+SUM(_xlfn.XLOOKUP(S109:AL109,增益!$A:$A,增益!$R:$R,0))</f>
        <v>2.144</v>
      </c>
      <c r="BR109" s="23" cm="1">
        <f t="array" ref="BR109">IF(VLOOKUP($R109,武学奇术!$A:$ZZ,24,FALSE)=1,100%,MIN(40%,$B$10+VLOOKUP($R109,武学奇术!$A:$ZZ,19,FALSE)+SUM(_xlfn.XLOOKUP(S109:AL109,增益!$A:$A,增益!$S:$S,0)))+$B$12+SUM(_xlfn.XLOOKUP(S109:AL109,增益!$A:$A,增益!$V:$V,0)))*IF(VLOOKUP($R109,武学奇术!$A:$ZZ,23,FALSE)=1,0,1)</f>
        <v>0.0913</v>
      </c>
      <c r="BS109" s="23" cm="1">
        <f t="array" ref="BS109">1+$B$14+VLOOKUP($R109,武学奇术!$A:$ZZ,20,FALSE)+SUM(_xlfn.XLOOKUP(S109:AL109,增益!$A:$A,增益!$T:$T,0))</f>
        <v>1.35</v>
      </c>
      <c r="BT109" s="23">
        <f t="shared" si="20"/>
        <v>0.8819441</v>
      </c>
      <c r="BU109" s="23">
        <f t="shared" si="21"/>
        <v>0.0215763099999999</v>
      </c>
      <c r="BV109" s="23">
        <f>IF(VLOOKUP($R109,武学奇术!$A:$ZZ,22,FALSE)=1,0,(1-$BO109))*(1-$BR109)</f>
        <v>0.00517959000000003</v>
      </c>
      <c r="BW109" s="23" cm="1">
        <f t="array" ref="BW109">SUM(_xlfn.XLOOKUP(S109:AL109,增益!$A:$A,增益!$W:$W,0))+$I$5</f>
        <v>0.11</v>
      </c>
      <c r="BX109" s="23">
        <f>VLOOKUP($R109,武学奇术!$A:$ZZ,32,FALSE)</f>
        <v>0</v>
      </c>
      <c r="BY109" s="23" cm="1">
        <f t="array" ref="BY109">SUM(_xlfn.XLOOKUP($S109:$AL109,增益!$A:$A,增益!$X:$X,0))</f>
        <v>0</v>
      </c>
    </row>
    <row r="110" spans="11:77">
      <c r="K110" s="35">
        <f>$L110*VLOOKUP($R110,武学奇术!$A:$ZZ,31,FALSE)</f>
        <v>72903.3614288772</v>
      </c>
      <c r="L110" s="35">
        <f t="shared" si="22"/>
        <v>65092.2869900689</v>
      </c>
      <c r="M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轻击",$B$21,0))*(1+IF(VLOOKUP($R110,武学奇术!$A:$ZZ,30,FALSE)="老鼠",$B$22,0))*(1+$BW110)*(1+$BX110)</f>
        <v>68619.0375614936</v>
      </c>
      <c r="N110" s="35">
        <f>(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轻击",$B$21,0))*(1+IF(VLOOKUP($R110,武学奇术!$A:$ZZ,30,FALSE)="老鼠",$B$22,0))*(1+$BW110))*(1+$BX110)</f>
        <v>63642.7286513041</v>
      </c>
      <c r="O110" s="35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轻击",$B$21,0))*(1+IF(VLOOKUP($R110,武学奇术!$A:$ZZ,30,FALSE)="老鼠",$B$22,0))*(1+$BW110)*(1+$BX110)</f>
        <v>41739.0739425144</v>
      </c>
      <c r="P110" s="35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轻击",$B$21,0))*(1+IF(VLOOKUP($R110,武学奇术!$A:$ZZ,30,FALSE)="老鼠",$B$22,0))*(1+$BW110)*(1+$BX110)</f>
        <v>36335.3859210998</v>
      </c>
      <c r="Q110" s="36">
        <v>1</v>
      </c>
      <c r="R110" s="37" t="s">
        <v>158</v>
      </c>
      <c r="S110" s="37" t="s">
        <v>91</v>
      </c>
      <c r="T110" s="37" t="s">
        <v>185</v>
      </c>
      <c r="U110" s="37" t="s">
        <v>112</v>
      </c>
      <c r="V110" s="37" t="s">
        <v>113</v>
      </c>
      <c r="W110" s="37" t="s">
        <v>82</v>
      </c>
      <c r="X110" s="37" t="s">
        <v>81</v>
      </c>
      <c r="Y110" s="37" t="s">
        <v>109</v>
      </c>
      <c r="Z110" s="37" t="s">
        <v>81</v>
      </c>
      <c r="AA110" s="37" t="s">
        <v>81</v>
      </c>
      <c r="AB110" s="37" t="s">
        <v>81</v>
      </c>
      <c r="AC110" s="37" t="s">
        <v>81</v>
      </c>
      <c r="AD110" s="37" t="s">
        <v>81</v>
      </c>
      <c r="AE110" s="37" t="s">
        <v>81</v>
      </c>
      <c r="AF110" s="37" t="s">
        <v>81</v>
      </c>
      <c r="AG110" s="37" t="s">
        <v>87</v>
      </c>
      <c r="AH110" s="37" t="s">
        <v>81</v>
      </c>
      <c r="AI110" s="37" t="s">
        <v>81</v>
      </c>
      <c r="AJ110" s="37" t="s">
        <v>81</v>
      </c>
      <c r="AK110" s="37" t="s">
        <v>81</v>
      </c>
      <c r="AL110" s="37" t="s">
        <v>81</v>
      </c>
      <c r="AM110" t="str">
        <f>VLOOKUP($R110,武学奇术!$A:$ZZ,25,FALSE)</f>
        <v>双刀</v>
      </c>
      <c r="AN110" s="23">
        <f>VLOOKUP($R110,武学奇术!$A:$ZZ,26,FALSE)</f>
        <v>2.5342</v>
      </c>
      <c r="AO110" s="24">
        <f>VLOOKUP($R110,武学奇术!$A:$ZZ,27,FALSE)*(1+IF(OR($AM110=$F$4,$AM110=$F$5),$B$23,0))</f>
        <v>1123.2</v>
      </c>
      <c r="AP110" s="23">
        <f>VLOOKUP($R110,武学奇术!$A:$ZZ,28,FALSE)</f>
        <v>3.8012</v>
      </c>
      <c r="AQ110" s="24">
        <f>VLOOKUP($R110,武学奇术!$A:$ZZ,29,FALSE)*(1+IF(OR($AM110=$F$4,$AM110=$F$5),$B$23,0))</f>
        <v>611.2</v>
      </c>
      <c r="AR110" s="23" cm="1">
        <f t="array" ref="AR110">$G$3+IFERROR(VLOOKUP($AM110,$F$4:$G$7,2,FALSE),0)+VLOOKUP($R110,武学奇术!$A:$ZZ,2,FALSE)+SUM(_xlfn.XLOOKUP($S110:$AL110,增益!$A:$A,增益!$B:$B,0))</f>
        <v>0.5443</v>
      </c>
      <c r="AS110" s="23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4081.7</v>
      </c>
      <c r="AU110" cm="1">
        <f t="array" ref="AU110">$E$10*(1+$AS110)+VLOOKUP($R110,武学奇术!$A:$ZZ,4,FALSE)+SUM(_xlfn.XLOOKUP($S110:$AL110,增益!$A:$A,增益!$D:$D,0))-$I$2</f>
        <v>4081.7</v>
      </c>
      <c r="AV110" s="29" cm="1">
        <f t="array" ref="AV110">IF($F$10-$I$3+VLOOKUP($R110,武学奇术!$A:$ZZ,6,FALSE)+SUM(_xlfn.XLOOKUP(S110:AL110,增益!$A:$A,增益!$F:$F,0))&gt;0,($F$10-$I$3+VLOOKUP($R110,武学奇术!$A:$ZZ,6,FALSE)+SUM(_xlfn.XLOOKUP(S110:AL110,增益!$A:$A,增益!$F:$F,0)))/200,($F$10-$I$3+VLOOKUP($R110,武学奇术!$A:$ZZ,6,FALSE)+SUM(_xlfn.XLOOKUP(S110:AL110,增益!$A:$A,增益!$F:$F,0)))/100)</f>
        <v>0.2439</v>
      </c>
      <c r="AW110" s="29" cm="1">
        <f t="array" ref="AW110">$G$10+VLOOKUP($R110,武学奇术!$A:$ZZ,7,FALSE)+SUM(_xlfn.XLOOKUP(S110:AL110,增益!$A:$A,增益!$G:$G,0))</f>
        <v>0.06</v>
      </c>
      <c r="AX110" s="23" cm="1">
        <f t="array" ref="AX110">VLOOKUP($R110,武学奇术!$A:$ZZ,8,FALSE)+SUM(_xlfn.XLOOKUP(S110:AL110,增益!$A:$A,增益!$H:$H,0))</f>
        <v>0</v>
      </c>
      <c r="AY110">
        <f t="shared" si="12"/>
        <v>0</v>
      </c>
      <c r="AZ110">
        <f t="shared" si="13"/>
        <v>0</v>
      </c>
      <c r="BA110" s="29" cm="1">
        <f t="array" ref="BA110">IF($F$11-$I$4+VLOOKUP($R110,武学奇术!$A:$ZZ,9,FALSE)+SUM(_xlfn.XLOOKUP(S110:AL110,增益!$A:$A,增益!$I:$I,0))&gt;0,($F$11-$I$4+VLOOKUP($R110,武学奇术!$A:$ZZ,9,FALSE)+SUM(_xlfn.XLOOKUP(S110:AL110,增益!$A:$A,增益!$I:$I,0)))/200,($F$11-$I$4+VLOOKUP($R110,武学奇术!$A:$ZZ,9,FALSE)+SUM(_xlfn.XLOOKUP(S110:AL110,增益!$A:$A,增益!$I:$I,0)))/100)</f>
        <v>-0.3</v>
      </c>
      <c r="BB110" s="29" cm="1">
        <f t="array" ref="BB110">$G$11+VLOOKUP($R110,武学奇术!$A:$ZZ,10,FALSE)+SUM(_xlfn.XLOOKUP(S110:AL110,增益!$A:$A,增益!$J:$J,0))</f>
        <v>0</v>
      </c>
      <c r="BC110">
        <f t="shared" si="14"/>
        <v>0</v>
      </c>
      <c r="BD110">
        <f t="shared" si="15"/>
        <v>0</v>
      </c>
      <c r="BE110" s="29" cm="1">
        <f t="array" ref="BE110">IF($F$12-$I$4+VLOOKUP($R110,武学奇术!$A:$ZZ,11,FALSE)+SUM(_xlfn.XLOOKUP(S110:AL110,增益!$A:$A,增益!$K:$K,0))&gt;0,($F$12-$I$4+VLOOKUP($R110,武学奇术!$A:$ZZ,11,FALSE)+SUM(_xlfn.XLOOKUP(S110:AL110,增益!$A:$A,增益!$K:$K,0)))/200,($F$12-$I$4+VLOOKUP($R110,武学奇术!$A:$ZZ,11,FALSE)+SUM(_xlfn.XLOOKUP(S110:AL110,增益!$A:$A,增益!$K:$K,0)))/100)</f>
        <v>-0.3</v>
      </c>
      <c r="BF110" s="29" cm="1">
        <f t="array" ref="BF110">$G$12+VLOOKUP($R110,武学奇术!$A:$ZZ,12,FALSE)+SUM(_xlfn.XLOOKUP(S110:AL110,增益!$A:$A,增益!$L:$L,0))</f>
        <v>0</v>
      </c>
      <c r="BG110">
        <f t="shared" si="16"/>
        <v>0</v>
      </c>
      <c r="BH110">
        <f t="shared" si="17"/>
        <v>0</v>
      </c>
      <c r="BI110" s="29" cm="1">
        <f t="array" ref="BI110">IF($F$13-$I$4+VLOOKUP($R110,武学奇术!$A:$ZZ,13,FALSE)+SUM(_xlfn.XLOOKUP(S110:AL110,增益!$A:$A,增益!$M:$M,0))&gt;0,($F$13-$I$4+VLOOKUP($R110,武学奇术!$A:$ZZ,13,FALSE)+SUM(_xlfn.XLOOKUP(S110:AL110,增益!$A:$A,增益!$K:$K,0)))/200,($F$13-$I$4+VLOOKUP($R110,武学奇术!$A:$ZZ,13,FALSE)+SUM(_xlfn.XLOOKUP(S110:AL110,增益!$A:$A,增益!$M:$M,0)))/100)</f>
        <v>-0.3</v>
      </c>
      <c r="BJ110" s="29" cm="1">
        <f t="array" ref="BJ110">$G$13+VLOOKUP($R110,武学奇术!$A:$ZZ,14,FALSE)+SUM(_xlfn.XLOOKUP(S110:AL110,增益!$A:$A,增益!$N:$N,0))</f>
        <v>0</v>
      </c>
      <c r="BK110">
        <f t="shared" si="18"/>
        <v>618.2</v>
      </c>
      <c r="BL110">
        <f t="shared" si="19"/>
        <v>1805</v>
      </c>
      <c r="BM110" s="29" cm="1">
        <f t="array" ref="BM110">IF($F$14-$I$4+VLOOKUP($R110,武学奇术!$A:$ZZ,15,FALSE)+SUM(_xlfn.XLOOKUP(S110:AL110,增益!$A:$A,增益!$O:$O,0))&gt;0,($F$14-$I$4+VLOOKUP($R110,武学奇术!$A:$ZZ,15,FALSE)+SUM(_xlfn.XLOOKUP(S110:AL110,增益!$A:$A,增益!$O:$O,0)))/200,($F$14-$I$4+VLOOKUP($R110,武学奇术!$A:$ZZ,15,FALSE)+SUM(_xlfn.XLOOKUP(S110:AL110,增益!$A:$A,增益!$O:$O,0)))/100)</f>
        <v>0.05</v>
      </c>
      <c r="BN110" s="29" cm="1">
        <f t="array" ref="BN110">$G$14+VLOOKUP($R110,武学奇术!$A:$ZZ,16,FALSE)+SUM(_xlfn.XLOOKUP(S110:AL110,增益!$A:$A,增益!$P:$P,0))</f>
        <v>0.21</v>
      </c>
      <c r="BO110" s="23">
        <f>MIN(IF(VLOOKUP($R110,武学奇术!$A:$ZZ,23,FALSE)=1,100%,$B$8),100%)</f>
        <v>0.9943</v>
      </c>
      <c r="BP110" s="23" cm="1">
        <f t="array" ref="BP110">IF(VLOOKUP($R110,武学奇术!$A:$ZZ,23,FALSE)=1,100%,MIN(80%,$B$9+VLOOKUP($R110,武学奇术!$A:$ZZ,17,FALSE)+SUM(_xlfn.XLOOKUP(S110:AL110,增益!$A:$A,增益!$Q:$Q,0)))+$B$11+SUM(_xlfn.XLOOKUP(S110:AL110,增益!$A:$A,增益!$U:$U,0)))*IF(VLOOKUP($R110,武学奇术!$A:$ZZ,24,FALSE)=1,0,1)</f>
        <v>0.8</v>
      </c>
      <c r="BQ110" s="23" cm="1">
        <f t="array" ref="BQ110">1+$B$13+VLOOKUP($R110,武学奇术!$A:$ZZ,18,FALSE)+SUM(_xlfn.XLOOKUP(S110:AL110,增益!$A:$A,增益!$R:$R,0))</f>
        <v>1.644</v>
      </c>
      <c r="BR110" s="23" cm="1">
        <f t="array" ref="BR110">IF(VLOOKUP($R110,武学奇术!$A:$ZZ,24,FALSE)=1,100%,MIN(40%,$B$10+VLOOKUP($R110,武学奇术!$A:$ZZ,19,FALSE)+SUM(_xlfn.XLOOKUP(S110:AL110,增益!$A:$A,增益!$S:$S,0)))+$B$12+SUM(_xlfn.XLOOKUP(S110:AL110,增益!$A:$A,增益!$V:$V,0)))*IF(VLOOKUP($R110,武学奇术!$A:$ZZ,23,FALSE)=1,0,1)</f>
        <v>0.0913</v>
      </c>
      <c r="BS110" s="23" cm="1">
        <f t="array" ref="BS110">1+$B$14+VLOOKUP($R110,武学奇术!$A:$ZZ,20,FALSE)+SUM(_xlfn.XLOOKUP(S110:AL110,增益!$A:$A,增益!$T:$T,0))</f>
        <v>1.35</v>
      </c>
      <c r="BT110" s="23">
        <f t="shared" si="20"/>
        <v>0.79544</v>
      </c>
      <c r="BU110" s="23">
        <f t="shared" si="21"/>
        <v>0.10808041</v>
      </c>
      <c r="BV110" s="23">
        <f>IF(VLOOKUP($R110,武学奇术!$A:$ZZ,22,FALSE)=1,0,(1-$BO110))*(1-$BR110)</f>
        <v>0.00517959000000003</v>
      </c>
      <c r="BW110" s="23" cm="1">
        <f t="array" ref="BW110">SUM(_xlfn.XLOOKUP(S110:AL110,增益!$A:$A,增益!$W:$W,0))+$I$5</f>
        <v>0.11</v>
      </c>
      <c r="BX110" s="23">
        <f>VLOOKUP($R110,武学奇术!$A:$ZZ,32,FALSE)</f>
        <v>0.1</v>
      </c>
      <c r="BY110" s="23" cm="1">
        <f t="array" ref="BY110">SUM(_xlfn.XLOOKUP($S110:$AL110,增益!$A:$A,增益!$X:$X,0))</f>
        <v>0</v>
      </c>
    </row>
    <row r="111" spans="11:77">
      <c r="K111" s="35">
        <f>$L111*VLOOKUP($R111,武学奇术!$A:$ZZ,31,FALSE)</f>
        <v>73673.5750523998</v>
      </c>
      <c r="L111" s="69">
        <f t="shared" si="22"/>
        <v>72228.9951494115</v>
      </c>
      <c r="M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轻击",$B$21,0))*(1+IF(VLOOKUP($R111,武学奇术!$A:$ZZ,30,FALSE)="老鼠",$B$22,0))*(1+$BW111)*(1+$BX111)</f>
        <v>76053.4234693911</v>
      </c>
      <c r="N111" s="35">
        <f>(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轻击",$B$21,0))*(1+IF(VLOOKUP($R111,武学奇术!$A:$ZZ,30,FALSE)="老鼠",$B$22,0))*(1+$BW111))*(1+$BX111)</f>
        <v>71503.1794911649</v>
      </c>
      <c r="O111" s="35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轻击",$B$21,0))*(1+IF(VLOOKUP($R111,武学奇术!$A:$ZZ,30,FALSE)="老鼠",$B$22,0))*(1+$BW111)*(1+$BX111)</f>
        <v>46261.2064898973</v>
      </c>
      <c r="P111" s="35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轻击",$B$21,0))*(1+IF(VLOOKUP($R111,武学奇术!$A:$ZZ,30,FALSE)="老鼠",$B$22,0))*(1+$BW111)*(1+$BX111)</f>
        <v>39557.0948381909</v>
      </c>
      <c r="Q111" s="70">
        <v>4</v>
      </c>
      <c r="R111" s="37" t="s">
        <v>106</v>
      </c>
      <c r="S111" s="37" t="s">
        <v>91</v>
      </c>
      <c r="T111" s="37" t="s">
        <v>185</v>
      </c>
      <c r="U111" s="37" t="s">
        <v>112</v>
      </c>
      <c r="V111" s="37" t="s">
        <v>113</v>
      </c>
      <c r="W111" s="37" t="s">
        <v>82</v>
      </c>
      <c r="X111" s="37" t="s">
        <v>81</v>
      </c>
      <c r="Y111" s="37" t="s">
        <v>109</v>
      </c>
      <c r="Z111" s="37" t="s">
        <v>81</v>
      </c>
      <c r="AA111" s="37" t="s">
        <v>81</v>
      </c>
      <c r="AB111" s="37" t="s">
        <v>81</v>
      </c>
      <c r="AC111" s="37" t="s">
        <v>81</v>
      </c>
      <c r="AD111" s="37" t="s">
        <v>81</v>
      </c>
      <c r="AE111" s="37" t="s">
        <v>81</v>
      </c>
      <c r="AF111" s="37" t="s">
        <v>81</v>
      </c>
      <c r="AG111" s="37" t="s">
        <v>87</v>
      </c>
      <c r="AH111" s="37" t="s">
        <v>81</v>
      </c>
      <c r="AI111" s="37" t="s">
        <v>81</v>
      </c>
      <c r="AJ111" s="37" t="s">
        <v>81</v>
      </c>
      <c r="AK111" s="37" t="s">
        <v>81</v>
      </c>
      <c r="AL111" s="37" t="s">
        <v>81</v>
      </c>
      <c r="AM111" t="str">
        <f>VLOOKUP($R111,武学奇术!$A:$ZZ,25,FALSE)</f>
        <v>绳镖</v>
      </c>
      <c r="AN111" s="23">
        <f>VLOOKUP($R111,武学奇术!$A:$ZZ,26,FALSE)</f>
        <v>0.3675</v>
      </c>
      <c r="AO111" s="24">
        <f>VLOOKUP($R111,武学奇术!$A:$ZZ,27,FALSE)*(1+IF(OR($AM111=$F$4,$AM111=$F$5),$B$23,0))</f>
        <v>0</v>
      </c>
      <c r="AP111" s="23">
        <f>VLOOKUP($R111,武学奇术!$A:$ZZ,28,FALSE)</f>
        <v>0.55125</v>
      </c>
      <c r="AQ111" s="24">
        <f>VLOOKUP($R111,武学奇术!$A:$ZZ,29,FALSE)*(1+IF(OR($AM111=$F$4,$AM111=$F$5),$B$23,0))</f>
        <v>0</v>
      </c>
      <c r="AR111" s="23" cm="1">
        <f t="array" ref="AR111">$G$3+IFERROR(VLOOKUP($AM111,$F$4:$G$7,2,FALSE),0)+VLOOKUP($R111,武学奇术!$A:$ZZ,2,FALSE)+SUM(_xlfn.XLOOKUP($S111:$AL111,增益!$A:$A,增益!$B:$B,0))</f>
        <v>1.3443</v>
      </c>
      <c r="AS111" s="23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4081.7</v>
      </c>
      <c r="AU111" cm="1">
        <f t="array" ref="AU111">$E$10*(1+$AS111)+VLOOKUP($R111,武学奇术!$A:$ZZ,4,FALSE)+SUM(_xlfn.XLOOKUP($S111:$AL111,增益!$A:$A,增益!$D:$D,0))-$I$2</f>
        <v>4081.7</v>
      </c>
      <c r="AV111" s="29" cm="1">
        <f t="array" ref="AV111">IF($F$10-$I$3+VLOOKUP($R111,武学奇术!$A:$ZZ,6,FALSE)+SUM(_xlfn.XLOOKUP(S111:AL111,增益!$A:$A,增益!$F:$F,0))&gt;0,($F$10-$I$3+VLOOKUP($R111,武学奇术!$A:$ZZ,6,FALSE)+SUM(_xlfn.XLOOKUP(S111:AL111,增益!$A:$A,增益!$F:$F,0)))/200,($F$10-$I$3+VLOOKUP($R111,武学奇术!$A:$ZZ,6,FALSE)+SUM(_xlfn.XLOOKUP(S111:AL111,增益!$A:$A,增益!$F:$F,0)))/100)</f>
        <v>0.2439</v>
      </c>
      <c r="AW111" s="29" cm="1">
        <f t="array" ref="AW111">$G$10+VLOOKUP($R111,武学奇术!$A:$ZZ,7,FALSE)+SUM(_xlfn.XLOOKUP(S111:AL111,增益!$A:$A,增益!$G:$G,0))</f>
        <v>0.27</v>
      </c>
      <c r="AX111" s="23" cm="1">
        <f t="array" ref="AX111">VLOOKUP($R111,武学奇术!$A:$ZZ,8,FALSE)+SUM(_xlfn.XLOOKUP(S111:AL111,增益!$A:$A,增益!$H:$H,0))</f>
        <v>0</v>
      </c>
      <c r="AY111">
        <f t="shared" si="12"/>
        <v>0</v>
      </c>
      <c r="AZ111">
        <f t="shared" si="13"/>
        <v>0</v>
      </c>
      <c r="BA111" s="29" cm="1">
        <f t="array" ref="BA111">IF($F$11-$I$4+VLOOKUP($R111,武学奇术!$A:$ZZ,9,FALSE)+SUM(_xlfn.XLOOKUP(S111:AL111,增益!$A:$A,增益!$I:$I,0))&gt;0,($F$11-$I$4+VLOOKUP($R111,武学奇术!$A:$ZZ,9,FALSE)+SUM(_xlfn.XLOOKUP(S111:AL111,增益!$A:$A,增益!$I:$I,0)))/200,($F$11-$I$4+VLOOKUP($R111,武学奇术!$A:$ZZ,9,FALSE)+SUM(_xlfn.XLOOKUP(S111:AL111,增益!$A:$A,增益!$I:$I,0)))/100)</f>
        <v>-0.3</v>
      </c>
      <c r="BB111" s="29" cm="1">
        <f t="array" ref="BB111">$G$11+VLOOKUP($R111,武学奇术!$A:$ZZ,10,FALSE)+SUM(_xlfn.XLOOKUP(S111:AL111,增益!$A:$A,增益!$J:$J,0))</f>
        <v>0</v>
      </c>
      <c r="BC111">
        <f t="shared" si="14"/>
        <v>0</v>
      </c>
      <c r="BD111">
        <f t="shared" si="15"/>
        <v>0</v>
      </c>
      <c r="BE111" s="29" cm="1">
        <f t="array" ref="BE111">IF($F$12-$I$4+VLOOKUP($R111,武学奇术!$A:$ZZ,11,FALSE)+SUM(_xlfn.XLOOKUP(S111:AL111,增益!$A:$A,增益!$K:$K,0))&gt;0,($F$12-$I$4+VLOOKUP($R111,武学奇术!$A:$ZZ,11,FALSE)+SUM(_xlfn.XLOOKUP(S111:AL111,增益!$A:$A,增益!$K:$K,0)))/200,($F$12-$I$4+VLOOKUP($R111,武学奇术!$A:$ZZ,11,FALSE)+SUM(_xlfn.XLOOKUP(S111:AL111,增益!$A:$A,增益!$K:$K,0)))/100)</f>
        <v>-0.3</v>
      </c>
      <c r="BF111" s="29" cm="1">
        <f t="array" ref="BF111">$G$12+VLOOKUP($R111,武学奇术!$A:$ZZ,12,FALSE)+SUM(_xlfn.XLOOKUP(S111:AL111,增益!$A:$A,增益!$L:$L,0))</f>
        <v>0</v>
      </c>
      <c r="BG111">
        <f t="shared" si="16"/>
        <v>0</v>
      </c>
      <c r="BH111">
        <f t="shared" si="17"/>
        <v>0</v>
      </c>
      <c r="BI111" s="29" cm="1">
        <f t="array" ref="BI111">IF($F$13-$I$4+VLOOKUP($R111,武学奇术!$A:$ZZ,13,FALSE)+SUM(_xlfn.XLOOKUP(S111:AL111,增益!$A:$A,增益!$M:$M,0))&gt;0,($F$13-$I$4+VLOOKUP($R111,武学奇术!$A:$ZZ,13,FALSE)+SUM(_xlfn.XLOOKUP(S111:AL111,增益!$A:$A,增益!$K:$K,0)))/200,($F$13-$I$4+VLOOKUP($R111,武学奇术!$A:$ZZ,13,FALSE)+SUM(_xlfn.XLOOKUP(S111:AL111,增益!$A:$A,增益!$M:$M,0)))/100)</f>
        <v>-0.3</v>
      </c>
      <c r="BJ111" s="29" cm="1">
        <f t="array" ref="BJ111">$G$13+VLOOKUP($R111,武学奇术!$A:$ZZ,14,FALSE)+SUM(_xlfn.XLOOKUP(S111:AL111,增益!$A:$A,增益!$N:$N,0))</f>
        <v>0</v>
      </c>
      <c r="BK111">
        <f t="shared" si="18"/>
        <v>618.2</v>
      </c>
      <c r="BL111">
        <f t="shared" si="19"/>
        <v>1805</v>
      </c>
      <c r="BM111" s="29" cm="1">
        <f t="array" ref="BM111">IF($F$14-$I$4+VLOOKUP($R111,武学奇术!$A:$ZZ,15,FALSE)+SUM(_xlfn.XLOOKUP(S111:AL111,增益!$A:$A,增益!$O:$O,0))&gt;0,($F$14-$I$4+VLOOKUP($R111,武学奇术!$A:$ZZ,15,FALSE)+SUM(_xlfn.XLOOKUP(S111:AL111,增益!$A:$A,增益!$O:$O,0)))/200,($F$14-$I$4+VLOOKUP($R111,武学奇术!$A:$ZZ,15,FALSE)+SUM(_xlfn.XLOOKUP(S111:AL111,增益!$A:$A,增益!$O:$O,0)))/100)</f>
        <v>0.05</v>
      </c>
      <c r="BN111" s="29" cm="1">
        <f t="array" ref="BN111">$G$14+VLOOKUP($R111,武学奇术!$A:$ZZ,16,FALSE)+SUM(_xlfn.XLOOKUP(S111:AL111,增益!$A:$A,增益!$P:$P,0))</f>
        <v>0.42</v>
      </c>
      <c r="BO111" s="23">
        <f>MIN(IF(VLOOKUP($R111,武学奇术!$A:$ZZ,23,FALSE)=1,100%,$B$8),100%)</f>
        <v>0.9943</v>
      </c>
      <c r="BP111" s="23" cm="1">
        <f t="array" ref="BP111">IF(VLOOKUP($R111,武学奇术!$A:$ZZ,23,FALSE)=1,100%,MIN(80%,$B$9+VLOOKUP($R111,武学奇术!$A:$ZZ,17,FALSE)+SUM(_xlfn.XLOOKUP(S111:AL111,增益!$A:$A,增益!$Q:$Q,0)))+$B$11+SUM(_xlfn.XLOOKUP(S111:AL111,增益!$A:$A,增益!$U:$U,0)))*IF(VLOOKUP($R111,武学奇术!$A:$ZZ,24,FALSE)=1,0,1)</f>
        <v>0.8</v>
      </c>
      <c r="BQ111" s="23" cm="1">
        <f t="array" ref="BQ111">1+$B$13+VLOOKUP($R111,武学奇术!$A:$ZZ,18,FALSE)+SUM(_xlfn.XLOOKUP(S111:AL111,增益!$A:$A,增益!$R:$R,0))</f>
        <v>1.644</v>
      </c>
      <c r="BR111" s="23" cm="1">
        <f t="array" ref="BR111">IF(VLOOKUP($R111,武学奇术!$A:$ZZ,24,FALSE)=1,100%,MIN(40%,$B$10+VLOOKUP($R111,武学奇术!$A:$ZZ,19,FALSE)+SUM(_xlfn.XLOOKUP(S111:AL111,增益!$A:$A,增益!$S:$S,0)))+$B$12+SUM(_xlfn.XLOOKUP(S111:AL111,增益!$A:$A,增益!$V:$V,0)))*IF(VLOOKUP($R111,武学奇术!$A:$ZZ,23,FALSE)=1,0,1)</f>
        <v>0.0913</v>
      </c>
      <c r="BS111" s="23" cm="1">
        <f t="array" ref="BS111">1+$B$14+VLOOKUP($R111,武学奇术!$A:$ZZ,20,FALSE)+SUM(_xlfn.XLOOKUP(S111:AL111,增益!$A:$A,增益!$T:$T,0))</f>
        <v>1.35</v>
      </c>
      <c r="BT111" s="23">
        <f t="shared" si="20"/>
        <v>0.79544</v>
      </c>
      <c r="BU111" s="23">
        <f t="shared" si="21"/>
        <v>0.10808041</v>
      </c>
      <c r="BV111" s="23">
        <f>IF(VLOOKUP($R111,武学奇术!$A:$ZZ,22,FALSE)=1,0,(1-$BO111))*(1-$BR111)</f>
        <v>0.00517959000000003</v>
      </c>
      <c r="BW111" s="23" cm="1">
        <f t="array" ref="BW111">SUM(_xlfn.XLOOKUP(S111:AL111,增益!$A:$A,增益!$W:$W,0))+$I$5</f>
        <v>0.11</v>
      </c>
      <c r="BX111" s="23">
        <f>VLOOKUP($R111,武学奇术!$A:$ZZ,32,FALSE)</f>
        <v>0</v>
      </c>
      <c r="BY111" s="23" cm="1">
        <f t="array" ref="BY111">SUM(_xlfn.XLOOKUP($S111:$AL111,增益!$A:$A,增益!$X:$X,0))</f>
        <v>0</v>
      </c>
    </row>
    <row r="112" spans="11:77">
      <c r="K112" s="35">
        <f>$L112*VLOOKUP($R112,武学奇术!$A:$ZZ,31,FALSE)</f>
        <v>1253.52778641985</v>
      </c>
      <c r="L112" s="35">
        <f t="shared" si="22"/>
        <v>1228.94881021554</v>
      </c>
      <c r="M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轻击",$B$21,0))*(1+IF(VLOOKUP($R112,武学奇术!$A:$ZZ,30,FALSE)="老鼠",$B$22,0))*(1+$BW112)*(1+$BX112)</f>
        <v>1295.71916094628</v>
      </c>
      <c r="N112" s="35">
        <f>(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轻击",$B$21,0))*(1+IF(VLOOKUP($R112,武学奇术!$A:$ZZ,30,FALSE)="老鼠",$B$22,0))*(1+$BW112))*(1+$BX112)</f>
        <v>1199.74660861096</v>
      </c>
      <c r="O112" s="35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轻击",$B$21,0))*(1+IF(VLOOKUP($R112,武学奇术!$A:$ZZ,30,FALSE)="老鼠",$B$22,0))*(1+$BW112)*(1+$BX112)</f>
        <v>788.150341208202</v>
      </c>
      <c r="P112" s="35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轻击",$B$21,0))*(1+IF(VLOOKUP($R112,武学奇术!$A:$ZZ,30,FALSE)="老鼠",$B$22,0))*(1+$BW112)*(1+$BX112)</f>
        <v>687.599490852725</v>
      </c>
      <c r="Q112" s="36">
        <v>1</v>
      </c>
      <c r="R112" s="37" t="s">
        <v>102</v>
      </c>
      <c r="S112" s="37" t="s">
        <v>91</v>
      </c>
      <c r="T112" s="37" t="s">
        <v>185</v>
      </c>
      <c r="U112" s="37" t="s">
        <v>81</v>
      </c>
      <c r="V112" s="37" t="s">
        <v>81</v>
      </c>
      <c r="W112" s="37" t="s">
        <v>82</v>
      </c>
      <c r="X112" s="37" t="s">
        <v>81</v>
      </c>
      <c r="Y112" s="37" t="s">
        <v>81</v>
      </c>
      <c r="Z112" s="37" t="s">
        <v>81</v>
      </c>
      <c r="AA112" s="37" t="s">
        <v>81</v>
      </c>
      <c r="AB112" s="37" t="s">
        <v>81</v>
      </c>
      <c r="AC112" s="37" t="s">
        <v>81</v>
      </c>
      <c r="AD112" s="37" t="s">
        <v>81</v>
      </c>
      <c r="AE112" s="37" t="s">
        <v>81</v>
      </c>
      <c r="AF112" s="37" t="s">
        <v>81</v>
      </c>
      <c r="AG112" s="37" t="s">
        <v>87</v>
      </c>
      <c r="AH112" s="37" t="s">
        <v>81</v>
      </c>
      <c r="AI112" s="37" t="s">
        <v>81</v>
      </c>
      <c r="AJ112" s="37" t="s">
        <v>81</v>
      </c>
      <c r="AK112" s="37" t="s">
        <v>81</v>
      </c>
      <c r="AL112" s="37" t="s">
        <v>81</v>
      </c>
      <c r="AM112" t="str">
        <f>VLOOKUP($R112,武学奇术!$A:$ZZ,25,FALSE)</f>
        <v>绳镖</v>
      </c>
      <c r="AN112" s="23">
        <f>VLOOKUP($R112,武学奇术!$A:$ZZ,26,FALSE)</f>
        <v>0.0621</v>
      </c>
      <c r="AO112" s="24">
        <f>VLOOKUP($R112,武学奇术!$A:$ZZ,27,FALSE)*(1+IF(OR($AM112=$F$4,$AM112=$F$5),$B$23,0))</f>
        <v>27.2</v>
      </c>
      <c r="AP112" s="23">
        <f>VLOOKUP($R112,武学奇术!$A:$ZZ,28,FALSE)</f>
        <v>0.0932</v>
      </c>
      <c r="AQ112" s="24">
        <f>VLOOKUP($R112,武学奇术!$A:$ZZ,29,FALSE)*(1+IF(OR($AM112=$F$4,$AM112=$F$5),$B$23,0))</f>
        <v>14.4</v>
      </c>
      <c r="AR112" s="23" cm="1">
        <f t="array" ref="AR112">$G$3+IFERROR(VLOOKUP($AM112,$F$4:$G$7,2,FALSE),0)+VLOOKUP($R112,武学奇术!$A:$ZZ,2,FALSE)+SUM(_xlfn.XLOOKUP($S112:$AL112,增益!$A:$A,增益!$B:$B,0))</f>
        <v>0.4243</v>
      </c>
      <c r="AS112" s="23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4013</v>
      </c>
      <c r="AU112" cm="1">
        <f t="array" ref="AU112">$E$10*(1+$AS112)+VLOOKUP($R112,武学奇术!$A:$ZZ,4,FALSE)+SUM(_xlfn.XLOOKUP($S112:$AL112,增益!$A:$A,增益!$D:$D,0))-$I$2</f>
        <v>4013</v>
      </c>
      <c r="AV112" s="29" cm="1">
        <f t="array" ref="AV112">IF($F$10-$I$3+VLOOKUP($R112,武学奇术!$A:$ZZ,6,FALSE)+SUM(_xlfn.XLOOKUP(S112:AL112,增益!$A:$A,增益!$F:$F,0))&gt;0,($F$10-$I$3+VLOOKUP($R112,武学奇术!$A:$ZZ,6,FALSE)+SUM(_xlfn.XLOOKUP(S112:AL112,增益!$A:$A,增益!$F:$F,0)))/200,($F$10-$I$3+VLOOKUP($R112,武学奇术!$A:$ZZ,6,FALSE)+SUM(_xlfn.XLOOKUP(S112:AL112,增益!$A:$A,增益!$F:$F,0)))/100)</f>
        <v>0.2439</v>
      </c>
      <c r="AW112" s="29" cm="1">
        <f t="array" ref="AW112">$G$10+VLOOKUP($R112,武学奇术!$A:$ZZ,7,FALSE)+SUM(_xlfn.XLOOKUP(S112:AL112,增益!$A:$A,增益!$G:$G,0))</f>
        <v>0</v>
      </c>
      <c r="AX112" s="23" cm="1">
        <f t="array" ref="AX112">VLOOKUP($R112,武学奇术!$A:$ZZ,8,FALSE)+SUM(_xlfn.XLOOKUP(S112:AL112,增益!$A:$A,增益!$H:$H,0))</f>
        <v>0</v>
      </c>
      <c r="AY112">
        <f t="shared" si="12"/>
        <v>0</v>
      </c>
      <c r="AZ112">
        <f t="shared" si="13"/>
        <v>0</v>
      </c>
      <c r="BA112" s="29" cm="1">
        <f t="array" ref="BA112">IF($F$11-$I$4+VLOOKUP($R112,武学奇术!$A:$ZZ,9,FALSE)+SUM(_xlfn.XLOOKUP(S112:AL112,增益!$A:$A,增益!$I:$I,0))&gt;0,($F$11-$I$4+VLOOKUP($R112,武学奇术!$A:$ZZ,9,FALSE)+SUM(_xlfn.XLOOKUP(S112:AL112,增益!$A:$A,增益!$I:$I,0)))/200,($F$11-$I$4+VLOOKUP($R112,武学奇术!$A:$ZZ,9,FALSE)+SUM(_xlfn.XLOOKUP(S112:AL112,增益!$A:$A,增益!$I:$I,0)))/100)</f>
        <v>-0.3</v>
      </c>
      <c r="BB112" s="29" cm="1">
        <f t="array" ref="BB112">$G$11+VLOOKUP($R112,武学奇术!$A:$ZZ,10,FALSE)+SUM(_xlfn.XLOOKUP(S112:AL112,增益!$A:$A,增益!$J:$J,0))</f>
        <v>0</v>
      </c>
      <c r="BC112">
        <f t="shared" si="14"/>
        <v>0</v>
      </c>
      <c r="BD112">
        <f t="shared" si="15"/>
        <v>0</v>
      </c>
      <c r="BE112" s="29" cm="1">
        <f t="array" ref="BE112">IF($F$12-$I$4+VLOOKUP($R112,武学奇术!$A:$ZZ,11,FALSE)+SUM(_xlfn.XLOOKUP(S112:AL112,增益!$A:$A,增益!$K:$K,0))&gt;0,($F$12-$I$4+VLOOKUP($R112,武学奇术!$A:$ZZ,11,FALSE)+SUM(_xlfn.XLOOKUP(S112:AL112,增益!$A:$A,增益!$K:$K,0)))/200,($F$12-$I$4+VLOOKUP($R112,武学奇术!$A:$ZZ,11,FALSE)+SUM(_xlfn.XLOOKUP(S112:AL112,增益!$A:$A,增益!$K:$K,0)))/100)</f>
        <v>-0.3</v>
      </c>
      <c r="BF112" s="29" cm="1">
        <f t="array" ref="BF112">$G$12+VLOOKUP($R112,武学奇术!$A:$ZZ,12,FALSE)+SUM(_xlfn.XLOOKUP(S112:AL112,增益!$A:$A,增益!$L:$L,0))</f>
        <v>0</v>
      </c>
      <c r="BG112">
        <f t="shared" si="16"/>
        <v>0</v>
      </c>
      <c r="BH112">
        <f t="shared" si="17"/>
        <v>0</v>
      </c>
      <c r="BI112" s="29" cm="1">
        <f t="array" ref="BI112">IF($F$13-$I$4+VLOOKUP($R112,武学奇术!$A:$ZZ,13,FALSE)+SUM(_xlfn.XLOOKUP(S112:AL112,增益!$A:$A,增益!$M:$M,0))&gt;0,($F$13-$I$4+VLOOKUP($R112,武学奇术!$A:$ZZ,13,FALSE)+SUM(_xlfn.XLOOKUP(S112:AL112,增益!$A:$A,增益!$K:$K,0)))/200,($F$13-$I$4+VLOOKUP($R112,武学奇术!$A:$ZZ,13,FALSE)+SUM(_xlfn.XLOOKUP(S112:AL112,增益!$A:$A,增益!$M:$M,0)))/100)</f>
        <v>-0.3</v>
      </c>
      <c r="BJ112" s="29" cm="1">
        <f t="array" ref="BJ112">$G$13+VLOOKUP($R112,武学奇术!$A:$ZZ,14,FALSE)+SUM(_xlfn.XLOOKUP(S112:AL112,增益!$A:$A,增益!$N:$N,0))</f>
        <v>0</v>
      </c>
      <c r="BK112">
        <f t="shared" si="18"/>
        <v>618.2</v>
      </c>
      <c r="BL112">
        <f t="shared" si="19"/>
        <v>1805</v>
      </c>
      <c r="BM112" s="29" cm="1">
        <f t="array" ref="BM112">IF($F$14-$I$4+VLOOKUP($R112,武学奇术!$A:$ZZ,15,FALSE)+SUM(_xlfn.XLOOKUP(S112:AL112,增益!$A:$A,增益!$O:$O,0))&gt;0,($F$14-$I$4+VLOOKUP($R112,武学奇术!$A:$ZZ,15,FALSE)+SUM(_xlfn.XLOOKUP(S112:AL112,增益!$A:$A,增益!$O:$O,0)))/200,($F$14-$I$4+VLOOKUP($R112,武学奇术!$A:$ZZ,15,FALSE)+SUM(_xlfn.XLOOKUP(S112:AL112,增益!$A:$A,增益!$O:$O,0)))/100)</f>
        <v>0</v>
      </c>
      <c r="BN112" s="29" cm="1">
        <f t="array" ref="BN112">$G$14+VLOOKUP($R112,武学奇术!$A:$ZZ,16,FALSE)+SUM(_xlfn.XLOOKUP(S112:AL112,增益!$A:$A,增益!$P:$P,0))</f>
        <v>0.15</v>
      </c>
      <c r="BO112" s="23">
        <f>MIN(IF(VLOOKUP($R112,武学奇术!$A:$ZZ,23,FALSE)=1,100%,$B$8),100%)</f>
        <v>0.9943</v>
      </c>
      <c r="BP112" s="23" cm="1">
        <f t="array" ref="BP112">IF(VLOOKUP($R112,武学奇术!$A:$ZZ,23,FALSE)=1,100%,MIN(80%,$B$9+VLOOKUP($R112,武学奇术!$A:$ZZ,17,FALSE)+SUM(_xlfn.XLOOKUP(S112:AL112,增益!$A:$A,增益!$Q:$Q,0)))+$B$11+SUM(_xlfn.XLOOKUP(S112:AL112,增益!$A:$A,增益!$U:$U,0)))*IF(VLOOKUP($R112,武学奇术!$A:$ZZ,24,FALSE)=1,0,1)</f>
        <v>0.8</v>
      </c>
      <c r="BQ112" s="23" cm="1">
        <f t="array" ref="BQ112">1+$B$13+VLOOKUP($R112,武学奇术!$A:$ZZ,18,FALSE)+SUM(_xlfn.XLOOKUP(S112:AL112,增益!$A:$A,增益!$R:$R,0))</f>
        <v>1.644</v>
      </c>
      <c r="BR112" s="23" cm="1">
        <f t="array" ref="BR112">IF(VLOOKUP($R112,武学奇术!$A:$ZZ,24,FALSE)=1,100%,MIN(40%,$B$10+VLOOKUP($R112,武学奇术!$A:$ZZ,19,FALSE)+SUM(_xlfn.XLOOKUP(S112:AL112,增益!$A:$A,增益!$S:$S,0)))+$B$12+SUM(_xlfn.XLOOKUP(S112:AL112,增益!$A:$A,增益!$V:$V,0)))*IF(VLOOKUP($R112,武学奇术!$A:$ZZ,23,FALSE)=1,0,1)</f>
        <v>0.0913</v>
      </c>
      <c r="BS112" s="23" cm="1">
        <f t="array" ref="BS112">1+$B$14+VLOOKUP($R112,武学奇术!$A:$ZZ,20,FALSE)+SUM(_xlfn.XLOOKUP(S112:AL112,增益!$A:$A,增益!$T:$T,0))</f>
        <v>1.35</v>
      </c>
      <c r="BT112" s="23">
        <f t="shared" si="20"/>
        <v>0.79544</v>
      </c>
      <c r="BU112" s="23">
        <f t="shared" si="21"/>
        <v>0.10808041</v>
      </c>
      <c r="BV112" s="23">
        <f>IF(VLOOKUP($R112,武学奇术!$A:$ZZ,22,FALSE)=1,0,(1-$BO112))*(1-$BR112)</f>
        <v>0.00517959000000003</v>
      </c>
      <c r="BW112" s="23" cm="1">
        <f t="array" ref="BW112">SUM(_xlfn.XLOOKUP(S112:AL112,增益!$A:$A,增益!$W:$W,0))+$I$5</f>
        <v>0.11</v>
      </c>
      <c r="BX112" s="23">
        <f>VLOOKUP($R112,武学奇术!$A:$ZZ,32,FALSE)</f>
        <v>0</v>
      </c>
      <c r="BY112" s="23" cm="1">
        <f t="array" ref="BY112">SUM(_xlfn.XLOOKUP($S112:$AL112,增益!$A:$A,增益!$X:$X,0))</f>
        <v>0</v>
      </c>
    </row>
    <row r="113" spans="1:77">
      <c r="K113" s="35">
        <f>$L113*VLOOKUP($R113,武学奇术!$A:$ZZ,31,FALSE)</f>
        <v>92091.9688154997</v>
      </c>
      <c r="L113" s="69">
        <f t="shared" si="22"/>
        <v>90286.2439367644</v>
      </c>
      <c r="M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轻击",$B$21,0))*(1+IF(VLOOKUP($R113,武学奇术!$A:$ZZ,30,FALSE)="老鼠",$B$22,0))*(1+$BW113)*(1+$BX113)</f>
        <v>95066.7793367389</v>
      </c>
      <c r="N113" s="35">
        <f>(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轻击",$B$21,0))*(1+IF(VLOOKUP($R113,武学奇术!$A:$ZZ,30,FALSE)="老鼠",$B$22,0))*(1+$BW113))*(1+$BX113)</f>
        <v>89378.9743639562</v>
      </c>
      <c r="O113" s="35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轻击",$B$21,0))*(1+IF(VLOOKUP($R113,武学奇术!$A:$ZZ,30,FALSE)="老鼠",$B$22,0))*(1+$BW113)*(1+$BX113)</f>
        <v>57826.5081123716</v>
      </c>
      <c r="P113" s="35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轻击",$B$21,0))*(1+IF(VLOOKUP($R113,武学奇术!$A:$ZZ,30,FALSE)="老鼠",$B$22,0))*(1+$BW113)*(1+$BX113)</f>
        <v>49446.3685477386</v>
      </c>
      <c r="Q113" s="70">
        <v>5</v>
      </c>
      <c r="R113" s="37" t="s">
        <v>106</v>
      </c>
      <c r="S113" s="37" t="s">
        <v>91</v>
      </c>
      <c r="T113" s="37" t="s">
        <v>185</v>
      </c>
      <c r="U113" s="37" t="s">
        <v>112</v>
      </c>
      <c r="V113" s="37" t="s">
        <v>113</v>
      </c>
      <c r="W113" s="37" t="s">
        <v>82</v>
      </c>
      <c r="X113" s="37" t="s">
        <v>81</v>
      </c>
      <c r="Y113" s="37" t="s">
        <v>109</v>
      </c>
      <c r="Z113" s="37" t="s">
        <v>81</v>
      </c>
      <c r="AA113" s="37" t="s">
        <v>81</v>
      </c>
      <c r="AB113" s="37" t="s">
        <v>81</v>
      </c>
      <c r="AC113" s="37" t="s">
        <v>81</v>
      </c>
      <c r="AD113" s="37" t="s">
        <v>81</v>
      </c>
      <c r="AE113" s="37" t="s">
        <v>81</v>
      </c>
      <c r="AF113" s="37" t="s">
        <v>81</v>
      </c>
      <c r="AG113" s="37" t="s">
        <v>87</v>
      </c>
      <c r="AH113" s="37" t="s">
        <v>81</v>
      </c>
      <c r="AI113" s="37" t="s">
        <v>81</v>
      </c>
      <c r="AJ113" s="37" t="s">
        <v>81</v>
      </c>
      <c r="AK113" s="37" t="s">
        <v>81</v>
      </c>
      <c r="AL113" s="37" t="s">
        <v>81</v>
      </c>
      <c r="AM113" t="str">
        <f>VLOOKUP($R113,武学奇术!$A:$ZZ,25,FALSE)</f>
        <v>绳镖</v>
      </c>
      <c r="AN113" s="23">
        <f>VLOOKUP($R113,武学奇术!$A:$ZZ,26,FALSE)</f>
        <v>0.3675</v>
      </c>
      <c r="AO113" s="24">
        <f>VLOOKUP($R113,武学奇术!$A:$ZZ,27,FALSE)*(1+IF(OR($AM113=$F$4,$AM113=$F$5),$B$23,0))</f>
        <v>0</v>
      </c>
      <c r="AP113" s="23">
        <f>VLOOKUP($R113,武学奇术!$A:$ZZ,28,FALSE)</f>
        <v>0.55125</v>
      </c>
      <c r="AQ113" s="24">
        <f>VLOOKUP($R113,武学奇术!$A:$ZZ,29,FALSE)*(1+IF(OR($AM113=$F$4,$AM113=$F$5),$B$23,0))</f>
        <v>0</v>
      </c>
      <c r="AR113" s="23" cm="1">
        <f t="array" ref="AR113">$G$3+IFERROR(VLOOKUP($AM113,$F$4:$G$7,2,FALSE),0)+VLOOKUP($R113,武学奇术!$A:$ZZ,2,FALSE)+SUM(_xlfn.XLOOKUP($S113:$AL113,增益!$A:$A,增益!$B:$B,0))</f>
        <v>1.3443</v>
      </c>
      <c r="AS113" s="23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4081.7</v>
      </c>
      <c r="AU113" cm="1">
        <f t="array" ref="AU113">$E$10*(1+$AS113)+VLOOKUP($R113,武学奇术!$A:$ZZ,4,FALSE)+SUM(_xlfn.XLOOKUP($S113:$AL113,增益!$A:$A,增益!$D:$D,0))-$I$2</f>
        <v>4081.7</v>
      </c>
      <c r="AV113" s="29" cm="1">
        <f t="array" ref="AV113">IF($F$10-$I$3+VLOOKUP($R113,武学奇术!$A:$ZZ,6,FALSE)+SUM(_xlfn.XLOOKUP(S113:AL113,增益!$A:$A,增益!$F:$F,0))&gt;0,($F$10-$I$3+VLOOKUP($R113,武学奇术!$A:$ZZ,6,FALSE)+SUM(_xlfn.XLOOKUP(S113:AL113,增益!$A:$A,增益!$F:$F,0)))/200,($F$10-$I$3+VLOOKUP($R113,武学奇术!$A:$ZZ,6,FALSE)+SUM(_xlfn.XLOOKUP(S113:AL113,增益!$A:$A,增益!$F:$F,0)))/100)</f>
        <v>0.2439</v>
      </c>
      <c r="AW113" s="29" cm="1">
        <f t="array" ref="AW113">$G$10+VLOOKUP($R113,武学奇术!$A:$ZZ,7,FALSE)+SUM(_xlfn.XLOOKUP(S113:AL113,增益!$A:$A,增益!$G:$G,0))</f>
        <v>0.27</v>
      </c>
      <c r="AX113" s="23" cm="1">
        <f t="array" ref="AX113">VLOOKUP($R113,武学奇术!$A:$ZZ,8,FALSE)+SUM(_xlfn.XLOOKUP(S113:AL113,增益!$A:$A,增益!$H:$H,0))</f>
        <v>0</v>
      </c>
      <c r="AY113">
        <f t="shared" si="12"/>
        <v>0</v>
      </c>
      <c r="AZ113">
        <f t="shared" si="13"/>
        <v>0</v>
      </c>
      <c r="BA113" s="29" cm="1">
        <f t="array" ref="BA113">IF($F$11-$I$4+VLOOKUP($R113,武学奇术!$A:$ZZ,9,FALSE)+SUM(_xlfn.XLOOKUP(S113:AL113,增益!$A:$A,增益!$I:$I,0))&gt;0,($F$11-$I$4+VLOOKUP($R113,武学奇术!$A:$ZZ,9,FALSE)+SUM(_xlfn.XLOOKUP(S113:AL113,增益!$A:$A,增益!$I:$I,0)))/200,($F$11-$I$4+VLOOKUP($R113,武学奇术!$A:$ZZ,9,FALSE)+SUM(_xlfn.XLOOKUP(S113:AL113,增益!$A:$A,增益!$I:$I,0)))/100)</f>
        <v>-0.3</v>
      </c>
      <c r="BB113" s="29" cm="1">
        <f t="array" ref="BB113">$G$11+VLOOKUP($R113,武学奇术!$A:$ZZ,10,FALSE)+SUM(_xlfn.XLOOKUP(S113:AL113,增益!$A:$A,增益!$J:$J,0))</f>
        <v>0</v>
      </c>
      <c r="BC113">
        <f t="shared" si="14"/>
        <v>0</v>
      </c>
      <c r="BD113">
        <f t="shared" si="15"/>
        <v>0</v>
      </c>
      <c r="BE113" s="29" cm="1">
        <f t="array" ref="BE113">IF($F$12-$I$4+VLOOKUP($R113,武学奇术!$A:$ZZ,11,FALSE)+SUM(_xlfn.XLOOKUP(S113:AL113,增益!$A:$A,增益!$K:$K,0))&gt;0,($F$12-$I$4+VLOOKUP($R113,武学奇术!$A:$ZZ,11,FALSE)+SUM(_xlfn.XLOOKUP(S113:AL113,增益!$A:$A,增益!$K:$K,0)))/200,($F$12-$I$4+VLOOKUP($R113,武学奇术!$A:$ZZ,11,FALSE)+SUM(_xlfn.XLOOKUP(S113:AL113,增益!$A:$A,增益!$K:$K,0)))/100)</f>
        <v>-0.3</v>
      </c>
      <c r="BF113" s="29" cm="1">
        <f t="array" ref="BF113">$G$12+VLOOKUP($R113,武学奇术!$A:$ZZ,12,FALSE)+SUM(_xlfn.XLOOKUP(S113:AL113,增益!$A:$A,增益!$L:$L,0))</f>
        <v>0</v>
      </c>
      <c r="BG113">
        <f t="shared" si="16"/>
        <v>0</v>
      </c>
      <c r="BH113">
        <f t="shared" si="17"/>
        <v>0</v>
      </c>
      <c r="BI113" s="29" cm="1">
        <f t="array" ref="BI113">IF($F$13-$I$4+VLOOKUP($R113,武学奇术!$A:$ZZ,13,FALSE)+SUM(_xlfn.XLOOKUP(S113:AL113,增益!$A:$A,增益!$M:$M,0))&gt;0,($F$13-$I$4+VLOOKUP($R113,武学奇术!$A:$ZZ,13,FALSE)+SUM(_xlfn.XLOOKUP(S113:AL113,增益!$A:$A,增益!$K:$K,0)))/200,($F$13-$I$4+VLOOKUP($R113,武学奇术!$A:$ZZ,13,FALSE)+SUM(_xlfn.XLOOKUP(S113:AL113,增益!$A:$A,增益!$M:$M,0)))/100)</f>
        <v>-0.3</v>
      </c>
      <c r="BJ113" s="29" cm="1">
        <f t="array" ref="BJ113">$G$13+VLOOKUP($R113,武学奇术!$A:$ZZ,14,FALSE)+SUM(_xlfn.XLOOKUP(S113:AL113,增益!$A:$A,增益!$N:$N,0))</f>
        <v>0</v>
      </c>
      <c r="BK113">
        <f t="shared" si="18"/>
        <v>618.2</v>
      </c>
      <c r="BL113">
        <f t="shared" si="19"/>
        <v>1805</v>
      </c>
      <c r="BM113" s="29" cm="1">
        <f t="array" ref="BM113">IF($F$14-$I$4+VLOOKUP($R113,武学奇术!$A:$ZZ,15,FALSE)+SUM(_xlfn.XLOOKUP(S113:AL113,增益!$A:$A,增益!$O:$O,0))&gt;0,($F$14-$I$4+VLOOKUP($R113,武学奇术!$A:$ZZ,15,FALSE)+SUM(_xlfn.XLOOKUP(S113:AL113,增益!$A:$A,增益!$O:$O,0)))/200,($F$14-$I$4+VLOOKUP($R113,武学奇术!$A:$ZZ,15,FALSE)+SUM(_xlfn.XLOOKUP(S113:AL113,增益!$A:$A,增益!$O:$O,0)))/100)</f>
        <v>0.05</v>
      </c>
      <c r="BN113" s="29" cm="1">
        <f t="array" ref="BN113">$G$14+VLOOKUP($R113,武学奇术!$A:$ZZ,16,FALSE)+SUM(_xlfn.XLOOKUP(S113:AL113,增益!$A:$A,增益!$P:$P,0))</f>
        <v>0.42</v>
      </c>
      <c r="BO113" s="23">
        <f>MIN(IF(VLOOKUP($R113,武学奇术!$A:$ZZ,23,FALSE)=1,100%,$B$8),100%)</f>
        <v>0.9943</v>
      </c>
      <c r="BP113" s="23" cm="1">
        <f t="array" ref="BP113">IF(VLOOKUP($R113,武学奇术!$A:$ZZ,23,FALSE)=1,100%,MIN(80%,$B$9+VLOOKUP($R113,武学奇术!$A:$ZZ,17,FALSE)+SUM(_xlfn.XLOOKUP(S113:AL113,增益!$A:$A,增益!$Q:$Q,0)))+$B$11+SUM(_xlfn.XLOOKUP(S113:AL113,增益!$A:$A,增益!$U:$U,0)))*IF(VLOOKUP($R113,武学奇术!$A:$ZZ,24,FALSE)=1,0,1)</f>
        <v>0.8</v>
      </c>
      <c r="BQ113" s="23" cm="1">
        <f t="array" ref="BQ113">1+$B$13+VLOOKUP($R113,武学奇术!$A:$ZZ,18,FALSE)+SUM(_xlfn.XLOOKUP(S113:AL113,增益!$A:$A,增益!$R:$R,0))</f>
        <v>1.644</v>
      </c>
      <c r="BR113" s="23" cm="1">
        <f t="array" ref="BR113">IF(VLOOKUP($R113,武学奇术!$A:$ZZ,24,FALSE)=1,100%,MIN(40%,$B$10+VLOOKUP($R113,武学奇术!$A:$ZZ,19,FALSE)+SUM(_xlfn.XLOOKUP(S113:AL113,增益!$A:$A,增益!$S:$S,0)))+$B$12+SUM(_xlfn.XLOOKUP(S113:AL113,增益!$A:$A,增益!$V:$V,0)))*IF(VLOOKUP($R113,武学奇术!$A:$ZZ,23,FALSE)=1,0,1)</f>
        <v>0.0913</v>
      </c>
      <c r="BS113" s="23" cm="1">
        <f t="array" ref="BS113">1+$B$14+VLOOKUP($R113,武学奇术!$A:$ZZ,20,FALSE)+SUM(_xlfn.XLOOKUP(S113:AL113,增益!$A:$A,增益!$T:$T,0))</f>
        <v>1.35</v>
      </c>
      <c r="BT113" s="23">
        <f t="shared" si="20"/>
        <v>0.79544</v>
      </c>
      <c r="BU113" s="23">
        <f t="shared" si="21"/>
        <v>0.10808041</v>
      </c>
      <c r="BV113" s="23">
        <f>IF(VLOOKUP($R113,武学奇术!$A:$ZZ,22,FALSE)=1,0,(1-$BO113))*(1-$BR113)</f>
        <v>0.00517959000000003</v>
      </c>
      <c r="BW113" s="23" cm="1">
        <f t="array" ref="BW113">SUM(_xlfn.XLOOKUP(S113:AL113,增益!$A:$A,增益!$W:$W,0))+$I$5</f>
        <v>0.11</v>
      </c>
      <c r="BX113" s="23">
        <f>VLOOKUP($R113,武学奇术!$A:$ZZ,32,FALSE)</f>
        <v>0</v>
      </c>
      <c r="BY113" s="23" cm="1">
        <f t="array" ref="BY113">SUM(_xlfn.XLOOKUP($S113:$AL113,增益!$A:$A,增益!$X:$X,0))</f>
        <v>0</v>
      </c>
    </row>
    <row r="114" spans="1:77">
      <c r="B114" s="89"/>
      <c r="K114" s="35">
        <f>$L114*VLOOKUP($R114,武学奇术!$A:$ZZ,31,FALSE)</f>
        <v>187081.380580432</v>
      </c>
      <c r="L114" s="90">
        <f>SUM(L86,L88,L91,L96,L100,L104,L109,L111,L113)*30%*(1+BY114)</f>
        <v>366826.23643222</v>
      </c>
      <c r="M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轻击",$B$21,0))*(1+IF(VLOOKUP($R114,武学奇术!$A:$ZZ,30,FALSE)="老鼠",$B$22,0))*(1+$BW114)*(1+$BX114)</f>
        <v>0</v>
      </c>
      <c r="N114" s="35">
        <f>(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轻击",$B$21,0))*(1+IF(VLOOKUP($R114,武学奇术!$A:$ZZ,30,FALSE)="老鼠",$B$22,0))*(1+$BW114))*(1+$BX114)</f>
        <v>0</v>
      </c>
      <c r="O114" s="35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轻击",$B$21,0))*(1+IF(VLOOKUP($R114,武学奇术!$A:$ZZ,30,FALSE)="老鼠",$B$22,0))*(1+$BW114)*(1+$BX114)</f>
        <v>0</v>
      </c>
      <c r="P114" s="35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轻击",$B$21,0))*(1+IF(VLOOKUP($R114,武学奇术!$A:$ZZ,30,FALSE)="老鼠",$B$22,0))*(1+$BW114)*(1+$BX114)</f>
        <v>0</v>
      </c>
      <c r="Q114" s="36">
        <v>1</v>
      </c>
      <c r="R114" s="37" t="s">
        <v>177</v>
      </c>
      <c r="S114" s="37" t="s">
        <v>81</v>
      </c>
      <c r="T114" s="37" t="s">
        <v>81</v>
      </c>
      <c r="U114" s="37" t="s">
        <v>81</v>
      </c>
      <c r="V114" s="37" t="s">
        <v>81</v>
      </c>
      <c r="W114" s="37" t="s">
        <v>81</v>
      </c>
      <c r="X114" s="37" t="s">
        <v>81</v>
      </c>
      <c r="Y114" s="37" t="s">
        <v>81</v>
      </c>
      <c r="Z114" s="37" t="s">
        <v>81</v>
      </c>
      <c r="AA114" s="37" t="s">
        <v>81</v>
      </c>
      <c r="AB114" s="37" t="s">
        <v>81</v>
      </c>
      <c r="AC114" s="37" t="s">
        <v>81</v>
      </c>
      <c r="AD114" s="37" t="s">
        <v>81</v>
      </c>
      <c r="AE114" s="37" t="s">
        <v>81</v>
      </c>
      <c r="AF114" s="37" t="s">
        <v>81</v>
      </c>
      <c r="AG114" s="37" t="s">
        <v>87</v>
      </c>
      <c r="AH114" s="37" t="s">
        <v>81</v>
      </c>
      <c r="AI114" s="37" t="s">
        <v>81</v>
      </c>
      <c r="AJ114" s="37" t="s">
        <v>81</v>
      </c>
      <c r="AK114" s="37" t="s">
        <v>81</v>
      </c>
      <c r="AL114" s="37" t="s">
        <v>81</v>
      </c>
      <c r="AM114" t="str">
        <f>VLOOKUP($R114,武学奇术!$A:$ZZ,25,FALSE)</f>
        <v>心法</v>
      </c>
      <c r="AN114" s="23">
        <f>VLOOKUP($R114,武学奇术!$A:$ZZ,26,FALSE)</f>
        <v>0</v>
      </c>
      <c r="AO114" s="24">
        <f>VLOOKUP($R114,武学奇术!$A:$ZZ,27,FALSE)*(1+IF(OR($AM114=$F$4,$AM114=$F$5),$B$23,0))</f>
        <v>0</v>
      </c>
      <c r="AP114" s="23">
        <f>VLOOKUP($R114,武学奇术!$A:$ZZ,28,FALSE)</f>
        <v>0</v>
      </c>
      <c r="AQ114" s="24">
        <f>VLOOKUP($R114,武学奇术!$A:$ZZ,29,FALSE)*(1+IF(OR($AM114=$F$4,$AM114=$F$5),$B$23,0))</f>
        <v>0</v>
      </c>
      <c r="AR114" s="23" cm="1">
        <f t="array" ref="AR114">$G$3+IFERROR(VLOOKUP($AM114,$F$4:$G$7,2,FALSE),0)+VLOOKUP($R114,武学奇术!$A:$ZZ,2,FALSE)+SUM(_xlfn.XLOOKUP($S114:$AL114,增益!$A:$A,增益!$B:$B,0))</f>
        <v>0.1042</v>
      </c>
      <c r="AS114" s="23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4013</v>
      </c>
      <c r="AU114" cm="1">
        <f t="array" ref="AU114">$E$10*(1+$AS114)+VLOOKUP($R114,武学奇术!$A:$ZZ,4,FALSE)+SUM(_xlfn.XLOOKUP($S114:$AL114,增益!$A:$A,增益!$D:$D,0))-$I$2</f>
        <v>4013</v>
      </c>
      <c r="AV114" s="29" cm="1">
        <f t="array" ref="AV114">IF($F$10-$I$3+VLOOKUP($R114,武学奇术!$A:$ZZ,6,FALSE)+SUM(_xlfn.XLOOKUP(S114:AL114,增益!$A:$A,增益!$F:$F,0))&gt;0,($F$10-$I$3+VLOOKUP($R114,武学奇术!$A:$ZZ,6,FALSE)+SUM(_xlfn.XLOOKUP(S114:AL114,增益!$A:$A,增益!$F:$F,0)))/200,($F$10-$I$3+VLOOKUP($R114,武学奇术!$A:$ZZ,6,FALSE)+SUM(_xlfn.XLOOKUP(S114:AL114,增益!$A:$A,增益!$F:$F,0)))/100)</f>
        <v>0.1939</v>
      </c>
      <c r="AW114" s="29" cm="1">
        <f t="array" ref="AW114">$G$10+VLOOKUP($R114,武学奇术!$A:$ZZ,7,FALSE)+SUM(_xlfn.XLOOKUP(S114:AL114,增益!$A:$A,增益!$G:$G,0))</f>
        <v>0</v>
      </c>
      <c r="AX114" s="23" cm="1">
        <f t="array" ref="AX114">VLOOKUP($R114,武学奇术!$A:$ZZ,8,FALSE)+SUM(_xlfn.XLOOKUP(S114:AL114,增益!$A:$A,增益!$H:$H,0))</f>
        <v>0</v>
      </c>
      <c r="AY114">
        <f t="shared" si="12"/>
        <v>0</v>
      </c>
      <c r="AZ114">
        <f t="shared" si="13"/>
        <v>0</v>
      </c>
      <c r="BA114" s="29" cm="1">
        <f t="array" ref="BA114">IF($F$11-$I$4+VLOOKUP($R114,武学奇术!$A:$ZZ,9,FALSE)+SUM(_xlfn.XLOOKUP(S114:AL114,增益!$A:$A,增益!$I:$I,0))&gt;0,($F$11-$I$4+VLOOKUP($R114,武学奇术!$A:$ZZ,9,FALSE)+SUM(_xlfn.XLOOKUP(S114:AL114,增益!$A:$A,增益!$I:$I,0)))/200,($F$11-$I$4+VLOOKUP($R114,武学奇术!$A:$ZZ,9,FALSE)+SUM(_xlfn.XLOOKUP(S114:AL114,增益!$A:$A,增益!$I:$I,0)))/100)</f>
        <v>-0.3</v>
      </c>
      <c r="BB114" s="29" cm="1">
        <f t="array" ref="BB114">$G$11+VLOOKUP($R114,武学奇术!$A:$ZZ,10,FALSE)+SUM(_xlfn.XLOOKUP(S114:AL114,增益!$A:$A,增益!$J:$J,0))</f>
        <v>0</v>
      </c>
      <c r="BC114">
        <f t="shared" si="14"/>
        <v>0</v>
      </c>
      <c r="BD114">
        <f t="shared" si="15"/>
        <v>0</v>
      </c>
      <c r="BE114" s="29" cm="1">
        <f t="array" ref="BE114">IF($F$12-$I$4+VLOOKUP($R114,武学奇术!$A:$ZZ,11,FALSE)+SUM(_xlfn.XLOOKUP(S114:AL114,增益!$A:$A,增益!$K:$K,0))&gt;0,($F$12-$I$4+VLOOKUP($R114,武学奇术!$A:$ZZ,11,FALSE)+SUM(_xlfn.XLOOKUP(S114:AL114,增益!$A:$A,增益!$K:$K,0)))/200,($F$12-$I$4+VLOOKUP($R114,武学奇术!$A:$ZZ,11,FALSE)+SUM(_xlfn.XLOOKUP(S114:AL114,增益!$A:$A,增益!$K:$K,0)))/100)</f>
        <v>-0.3</v>
      </c>
      <c r="BF114" s="29" cm="1">
        <f t="array" ref="BF114">$G$12+VLOOKUP($R114,武学奇术!$A:$ZZ,12,FALSE)+SUM(_xlfn.XLOOKUP(S114:AL114,增益!$A:$A,增益!$L:$L,0))</f>
        <v>0</v>
      </c>
      <c r="BG114">
        <f t="shared" si="16"/>
        <v>0</v>
      </c>
      <c r="BH114">
        <f t="shared" si="17"/>
        <v>0</v>
      </c>
      <c r="BI114" s="29" cm="1">
        <f t="array" ref="BI114">IF($F$13-$I$4+VLOOKUP($R114,武学奇术!$A:$ZZ,13,FALSE)+SUM(_xlfn.XLOOKUP(S114:AL114,增益!$A:$A,增益!$M:$M,0))&gt;0,($F$13-$I$4+VLOOKUP($R114,武学奇术!$A:$ZZ,13,FALSE)+SUM(_xlfn.XLOOKUP(S114:AL114,增益!$A:$A,增益!$K:$K,0)))/200,($F$13-$I$4+VLOOKUP($R114,武学奇术!$A:$ZZ,13,FALSE)+SUM(_xlfn.XLOOKUP(S114:AL114,增益!$A:$A,增益!$M:$M,0)))/100)</f>
        <v>-0.3</v>
      </c>
      <c r="BJ114" s="29" cm="1">
        <f t="array" ref="BJ114">$G$13+VLOOKUP($R114,武学奇术!$A:$ZZ,14,FALSE)+SUM(_xlfn.XLOOKUP(S114:AL114,增益!$A:$A,增益!$N:$N,0))</f>
        <v>0</v>
      </c>
      <c r="BK114">
        <f t="shared" si="18"/>
        <v>618.2</v>
      </c>
      <c r="BL114">
        <f t="shared" si="19"/>
        <v>1805</v>
      </c>
      <c r="BM114" s="29" cm="1">
        <f t="array" ref="BM114">IF($F$14-$I$4+VLOOKUP($R114,武学奇术!$A:$ZZ,15,FALSE)+SUM(_xlfn.XLOOKUP(S114:AL114,增益!$A:$A,增益!$O:$O,0))&gt;0,($F$14-$I$4+VLOOKUP($R114,武学奇术!$A:$ZZ,15,FALSE)+SUM(_xlfn.XLOOKUP(S114:AL114,增益!$A:$A,增益!$O:$O,0)))/200,($F$14-$I$4+VLOOKUP($R114,武学奇术!$A:$ZZ,15,FALSE)+SUM(_xlfn.XLOOKUP(S114:AL114,增益!$A:$A,增益!$O:$O,0)))/100)</f>
        <v>0</v>
      </c>
      <c r="BN114" s="29" cm="1">
        <f t="array" ref="BN114">$G$14+VLOOKUP($R114,武学奇术!$A:$ZZ,16,FALSE)+SUM(_xlfn.XLOOKUP(S114:AL114,增益!$A:$A,增益!$P:$P,0))</f>
        <v>0.15</v>
      </c>
      <c r="BO114" s="23">
        <f>MIN(IF(VLOOKUP($R114,武学奇术!$A:$ZZ,23,FALSE)=1,100%,$B$8),100%)</f>
        <v>0.9943</v>
      </c>
      <c r="BP114" s="23" cm="1">
        <f t="array" ref="BP114">IF(VLOOKUP($R114,武学奇术!$A:$ZZ,23,FALSE)=1,100%,MIN(80%,$B$9+VLOOKUP($R114,武学奇术!$A:$ZZ,17,FALSE)+SUM(_xlfn.XLOOKUP(S114:AL114,增益!$A:$A,增益!$Q:$Q,0)))+$B$11+SUM(_xlfn.XLOOKUP(S114:AL114,增益!$A:$A,增益!$U:$U,0)))*IF(VLOOKUP($R114,武学奇术!$A:$ZZ,24,FALSE)=1,0,1)</f>
        <v>0.8</v>
      </c>
      <c r="BQ114" s="23" cm="1">
        <f t="array" ref="BQ114">1+$B$13+VLOOKUP($R114,武学奇术!$A:$ZZ,18,FALSE)+SUM(_xlfn.XLOOKUP(S114:AL114,增益!$A:$A,增益!$R:$R,0))</f>
        <v>1.544</v>
      </c>
      <c r="BR114" s="23" cm="1">
        <f t="array" ref="BR114">IF(VLOOKUP($R114,武学奇术!$A:$ZZ,24,FALSE)=1,100%,MIN(40%,$B$10+VLOOKUP($R114,武学奇术!$A:$ZZ,19,FALSE)+SUM(_xlfn.XLOOKUP(S114:AL114,增益!$A:$A,增益!$S:$S,0)))+$B$12+SUM(_xlfn.XLOOKUP(S114:AL114,增益!$A:$A,增益!$V:$V,0)))*IF(VLOOKUP($R114,武学奇术!$A:$ZZ,23,FALSE)=1,0,1)</f>
        <v>0.0913</v>
      </c>
      <c r="BS114" s="23" cm="1">
        <f t="array" ref="BS114">1+$B$14+VLOOKUP($R114,武学奇术!$A:$ZZ,20,FALSE)+SUM(_xlfn.XLOOKUP(S114:AL114,增益!$A:$A,增益!$T:$T,0))</f>
        <v>1.35</v>
      </c>
      <c r="BT114" s="23">
        <f t="shared" si="20"/>
        <v>0.79544</v>
      </c>
      <c r="BU114" s="23">
        <f t="shared" si="21"/>
        <v>0.10808041</v>
      </c>
      <c r="BV114" s="23">
        <f>IF(VLOOKUP($R114,武学奇术!$A:$ZZ,22,FALSE)=1,0,(1-$BO114))*(1-$BR114)</f>
        <v>0.00517959000000003</v>
      </c>
      <c r="BW114" s="23" cm="1">
        <f t="array" ref="BW114">SUM(_xlfn.XLOOKUP(S114:AL114,增益!$A:$A,增益!$W:$W,0))+$I$5</f>
        <v>0.11</v>
      </c>
      <c r="BX114" s="23">
        <f>VLOOKUP($R114,武学奇术!$A:$ZZ,32,FALSE)</f>
        <v>0</v>
      </c>
      <c r="BY114" s="23" cm="1">
        <f t="array" ref="BY114">SUM(_xlfn.XLOOKUP($S114:$AL114,增益!$A:$A,增益!$X:$X,0))</f>
        <v>0</v>
      </c>
    </row>
    <row r="115" spans="1:77">
      <c r="B115" s="89"/>
      <c r="K115" s="35">
        <f>$L115*VLOOKUP($R115,武学奇术!$A:$ZZ,31,FALSE)</f>
        <v>0</v>
      </c>
      <c r="L115" s="35">
        <f t="shared" ref="L115:L145" si="23">($M115*$BT115+$N115*$BR115+$O115*$BU115+$P115*$BV115)</f>
        <v>0</v>
      </c>
      <c r="M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轻击",$B$21,0))*(1+IF(VLOOKUP($R115,武学奇术!$A:$ZZ,30,FALSE)="老鼠",$B$22,0))*(1+$BW115)*(1+$BX115)</f>
        <v>0</v>
      </c>
      <c r="N115" s="35">
        <f>(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轻击",$B$21,0))*(1+IF(VLOOKUP($R115,武学奇术!$A:$ZZ,30,FALSE)="老鼠",$B$22,0))*(1+$BW115))*(1+$BX115)</f>
        <v>0</v>
      </c>
      <c r="O115" s="35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轻击",$B$21,0))*(1+IF(VLOOKUP($R115,武学奇术!$A:$ZZ,30,FALSE)="老鼠",$B$22,0))*(1+$BW115)*(1+$BX115)</f>
        <v>0</v>
      </c>
      <c r="P115" s="35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轻击",$B$21,0))*(1+IF(VLOOKUP($R115,武学奇术!$A:$ZZ,30,FALSE)="老鼠",$B$22,0))*(1+$BW115)*(1+$BX115)</f>
        <v>0</v>
      </c>
      <c r="Q115" s="36">
        <v>1</v>
      </c>
      <c r="R115" s="37" t="s">
        <v>81</v>
      </c>
      <c r="S115" s="37" t="s">
        <v>81</v>
      </c>
      <c r="T115" s="37" t="s">
        <v>81</v>
      </c>
      <c r="U115" s="37" t="s">
        <v>81</v>
      </c>
      <c r="V115" s="37" t="s">
        <v>81</v>
      </c>
      <c r="W115" s="37" t="s">
        <v>81</v>
      </c>
      <c r="X115" s="37" t="s">
        <v>81</v>
      </c>
      <c r="Y115" s="37" t="s">
        <v>81</v>
      </c>
      <c r="Z115" s="37" t="s">
        <v>81</v>
      </c>
      <c r="AA115" s="37" t="s">
        <v>81</v>
      </c>
      <c r="AB115" s="37" t="s">
        <v>81</v>
      </c>
      <c r="AC115" s="37" t="s">
        <v>81</v>
      </c>
      <c r="AD115" s="37" t="s">
        <v>81</v>
      </c>
      <c r="AE115" s="37" t="s">
        <v>81</v>
      </c>
      <c r="AF115" s="37" t="s">
        <v>81</v>
      </c>
      <c r="AG115" s="37" t="s">
        <v>87</v>
      </c>
      <c r="AH115" s="37" t="s">
        <v>81</v>
      </c>
      <c r="AI115" s="37" t="s">
        <v>81</v>
      </c>
      <c r="AJ115" s="37" t="s">
        <v>81</v>
      </c>
      <c r="AK115" s="37" t="s">
        <v>81</v>
      </c>
      <c r="AL115" s="37" t="s">
        <v>81</v>
      </c>
      <c r="AM115" t="str">
        <f>VLOOKUP($R115,武学奇术!$A:$ZZ,25,FALSE)</f>
        <v>心法</v>
      </c>
      <c r="AN115" s="23">
        <f>VLOOKUP($R115,武学奇术!$A:$ZZ,26,FALSE)</f>
        <v>0</v>
      </c>
      <c r="AO115" s="24">
        <f>VLOOKUP($R115,武学奇术!$A:$ZZ,27,FALSE)*(1+IF(OR($AM115=$F$4,$AM115=$F$5),$B$23,0))</f>
        <v>0</v>
      </c>
      <c r="AP115" s="23">
        <f>VLOOKUP($R115,武学奇术!$A:$ZZ,28,FALSE)</f>
        <v>0</v>
      </c>
      <c r="AQ115" s="24">
        <f>VLOOKUP($R115,武学奇术!$A:$ZZ,29,FALSE)*(1+IF(OR($AM115=$F$4,$AM115=$F$5),$B$23,0))</f>
        <v>0</v>
      </c>
      <c r="AR115" s="23" cm="1">
        <f t="array" ref="AR115">$G$3+IFERROR(VLOOKUP($AM115,$F$4:$G$7,2,FALSE),0)+VLOOKUP($R115,武学奇术!$A:$ZZ,2,FALSE)+SUM(_xlfn.XLOOKUP($S115:$AL115,增益!$A:$A,增益!$B:$B,0))</f>
        <v>0.1042</v>
      </c>
      <c r="AS115" s="23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4013</v>
      </c>
      <c r="AU115" cm="1">
        <f t="array" ref="AU115">$E$10*(1+$AS115)+VLOOKUP($R115,武学奇术!$A:$ZZ,4,FALSE)+SUM(_xlfn.XLOOKUP($S115:$AL115,增益!$A:$A,增益!$D:$D,0))-$I$2</f>
        <v>4013</v>
      </c>
      <c r="AV115" s="29" cm="1">
        <f t="array" ref="AV115">IF($F$10-$I$3+VLOOKUP($R115,武学奇术!$A:$ZZ,6,FALSE)+SUM(_xlfn.XLOOKUP(S115:AL115,增益!$A:$A,增益!$F:$F,0))&gt;0,($F$10-$I$3+VLOOKUP($R115,武学奇术!$A:$ZZ,6,FALSE)+SUM(_xlfn.XLOOKUP(S115:AL115,增益!$A:$A,增益!$F:$F,0)))/200,($F$10-$I$3+VLOOKUP($R115,武学奇术!$A:$ZZ,6,FALSE)+SUM(_xlfn.XLOOKUP(S115:AL115,增益!$A:$A,增益!$F:$F,0)))/100)</f>
        <v>0.1939</v>
      </c>
      <c r="AW115" s="29" cm="1">
        <f t="array" ref="AW115">$G$10+VLOOKUP($R115,武学奇术!$A:$ZZ,7,FALSE)+SUM(_xlfn.XLOOKUP(S115:AL115,增益!$A:$A,增益!$G:$G,0))</f>
        <v>0</v>
      </c>
      <c r="AX115" s="23" cm="1">
        <f t="array" ref="AX115">VLOOKUP($R115,武学奇术!$A:$ZZ,8,FALSE)+SUM(_xlfn.XLOOKUP(S115:AL115,增益!$A:$A,增益!$H:$H,0))</f>
        <v>0</v>
      </c>
      <c r="AY115">
        <f t="shared" si="12"/>
        <v>0</v>
      </c>
      <c r="AZ115">
        <f t="shared" si="13"/>
        <v>0</v>
      </c>
      <c r="BA115" s="29" cm="1">
        <f t="array" ref="BA115">IF($F$11-$I$4+VLOOKUP($R115,武学奇术!$A:$ZZ,9,FALSE)+SUM(_xlfn.XLOOKUP(S115:AL115,增益!$A:$A,增益!$I:$I,0))&gt;0,($F$11-$I$4+VLOOKUP($R115,武学奇术!$A:$ZZ,9,FALSE)+SUM(_xlfn.XLOOKUP(S115:AL115,增益!$A:$A,增益!$I:$I,0)))/200,($F$11-$I$4+VLOOKUP($R115,武学奇术!$A:$ZZ,9,FALSE)+SUM(_xlfn.XLOOKUP(S115:AL115,增益!$A:$A,增益!$I:$I,0)))/100)</f>
        <v>-0.3</v>
      </c>
      <c r="BB115" s="29" cm="1">
        <f t="array" ref="BB115">$G$11+VLOOKUP($R115,武学奇术!$A:$ZZ,10,FALSE)+SUM(_xlfn.XLOOKUP(S115:AL115,增益!$A:$A,增益!$J:$J,0))</f>
        <v>0</v>
      </c>
      <c r="BC115">
        <f t="shared" si="14"/>
        <v>0</v>
      </c>
      <c r="BD115">
        <f t="shared" si="15"/>
        <v>0</v>
      </c>
      <c r="BE115" s="29" cm="1">
        <f t="array" ref="BE115">IF($F$12-$I$4+VLOOKUP($R115,武学奇术!$A:$ZZ,11,FALSE)+SUM(_xlfn.XLOOKUP(S115:AL115,增益!$A:$A,增益!$K:$K,0))&gt;0,($F$12-$I$4+VLOOKUP($R115,武学奇术!$A:$ZZ,11,FALSE)+SUM(_xlfn.XLOOKUP(S115:AL115,增益!$A:$A,增益!$K:$K,0)))/200,($F$12-$I$4+VLOOKUP($R115,武学奇术!$A:$ZZ,11,FALSE)+SUM(_xlfn.XLOOKUP(S115:AL115,增益!$A:$A,增益!$K:$K,0)))/100)</f>
        <v>-0.3</v>
      </c>
      <c r="BF115" s="29" cm="1">
        <f t="array" ref="BF115">$G$12+VLOOKUP($R115,武学奇术!$A:$ZZ,12,FALSE)+SUM(_xlfn.XLOOKUP(S115:AL115,增益!$A:$A,增益!$L:$L,0))</f>
        <v>0</v>
      </c>
      <c r="BG115">
        <f t="shared" si="16"/>
        <v>0</v>
      </c>
      <c r="BH115">
        <f t="shared" si="17"/>
        <v>0</v>
      </c>
      <c r="BI115" s="29" cm="1">
        <f t="array" ref="BI115">IF($F$13-$I$4+VLOOKUP($R115,武学奇术!$A:$ZZ,13,FALSE)+SUM(_xlfn.XLOOKUP(S115:AL115,增益!$A:$A,增益!$M:$M,0))&gt;0,($F$13-$I$4+VLOOKUP($R115,武学奇术!$A:$ZZ,13,FALSE)+SUM(_xlfn.XLOOKUP(S115:AL115,增益!$A:$A,增益!$K:$K,0)))/200,($F$13-$I$4+VLOOKUP($R115,武学奇术!$A:$ZZ,13,FALSE)+SUM(_xlfn.XLOOKUP(S115:AL115,增益!$A:$A,增益!$M:$M,0)))/100)</f>
        <v>-0.3</v>
      </c>
      <c r="BJ115" s="29" cm="1">
        <f t="array" ref="BJ115">$G$13+VLOOKUP($R115,武学奇术!$A:$ZZ,14,FALSE)+SUM(_xlfn.XLOOKUP(S115:AL115,增益!$A:$A,增益!$N:$N,0))</f>
        <v>0</v>
      </c>
      <c r="BK115">
        <f t="shared" si="18"/>
        <v>618.2</v>
      </c>
      <c r="BL115">
        <f t="shared" si="19"/>
        <v>1805</v>
      </c>
      <c r="BM115" s="29" cm="1">
        <f t="array" ref="BM115">IF($F$14-$I$4+VLOOKUP($R115,武学奇术!$A:$ZZ,15,FALSE)+SUM(_xlfn.XLOOKUP(S115:AL115,增益!$A:$A,增益!$O:$O,0))&gt;0,($F$14-$I$4+VLOOKUP($R115,武学奇术!$A:$ZZ,15,FALSE)+SUM(_xlfn.XLOOKUP(S115:AL115,增益!$A:$A,增益!$O:$O,0)))/200,($F$14-$I$4+VLOOKUP($R115,武学奇术!$A:$ZZ,15,FALSE)+SUM(_xlfn.XLOOKUP(S115:AL115,增益!$A:$A,增益!$O:$O,0)))/100)</f>
        <v>0</v>
      </c>
      <c r="BN115" s="29" cm="1">
        <f t="array" ref="BN115">$G$14+VLOOKUP($R115,武学奇术!$A:$ZZ,16,FALSE)+SUM(_xlfn.XLOOKUP(S115:AL115,增益!$A:$A,增益!$P:$P,0))</f>
        <v>0.15</v>
      </c>
      <c r="BO115" s="23">
        <f>MIN(IF(VLOOKUP($R115,武学奇术!$A:$ZZ,23,FALSE)=1,100%,$B$8),100%)</f>
        <v>0.9943</v>
      </c>
      <c r="BP115" s="23" cm="1">
        <f t="array" ref="BP115">IF(VLOOKUP($R115,武学奇术!$A:$ZZ,23,FALSE)=1,100%,MIN(80%,$B$9+VLOOKUP($R115,武学奇术!$A:$ZZ,17,FALSE)+SUM(_xlfn.XLOOKUP(S115:AL115,增益!$A:$A,增益!$Q:$Q,0)))+$B$11+SUM(_xlfn.XLOOKUP(S115:AL115,增益!$A:$A,增益!$U:$U,0)))*IF(VLOOKUP($R115,武学奇术!$A:$ZZ,24,FALSE)=1,0,1)</f>
        <v>0.8</v>
      </c>
      <c r="BQ115" s="23" cm="1">
        <f t="array" ref="BQ115">1+$B$13+VLOOKUP($R115,武学奇术!$A:$ZZ,18,FALSE)+SUM(_xlfn.XLOOKUP(S115:AL115,增益!$A:$A,增益!$R:$R,0))</f>
        <v>1.544</v>
      </c>
      <c r="BR115" s="23" cm="1">
        <f t="array" ref="BR115">IF(VLOOKUP($R115,武学奇术!$A:$ZZ,24,FALSE)=1,100%,MIN(40%,$B$10+VLOOKUP($R115,武学奇术!$A:$ZZ,19,FALSE)+SUM(_xlfn.XLOOKUP(S115:AL115,增益!$A:$A,增益!$S:$S,0)))+$B$12+SUM(_xlfn.XLOOKUP(S115:AL115,增益!$A:$A,增益!$V:$V,0)))*IF(VLOOKUP($R115,武学奇术!$A:$ZZ,23,FALSE)=1,0,1)</f>
        <v>0.0913</v>
      </c>
      <c r="BS115" s="23" cm="1">
        <f t="array" ref="BS115">1+$B$14+VLOOKUP($R115,武学奇术!$A:$ZZ,20,FALSE)+SUM(_xlfn.XLOOKUP(S115:AL115,增益!$A:$A,增益!$T:$T,0))</f>
        <v>1.35</v>
      </c>
      <c r="BT115" s="23">
        <f t="shared" si="20"/>
        <v>0.79544</v>
      </c>
      <c r="BU115" s="23">
        <f t="shared" si="21"/>
        <v>0.10808041</v>
      </c>
      <c r="BV115" s="23">
        <f>IF(VLOOKUP($R115,武学奇术!$A:$ZZ,22,FALSE)=1,0,(1-$BO115))*(1-$BR115)</f>
        <v>0.00517959000000003</v>
      </c>
      <c r="BW115" s="23" cm="1">
        <f t="array" ref="BW115">SUM(_xlfn.XLOOKUP(S115:AL115,增益!$A:$A,增益!$W:$W,0))+$I$5</f>
        <v>0.11</v>
      </c>
      <c r="BX115" s="23">
        <f>VLOOKUP($R115,武学奇术!$A:$ZZ,32,FALSE)</f>
        <v>0</v>
      </c>
      <c r="BY115" s="23" cm="1">
        <f t="array" ref="BY115">SUM(_xlfn.XLOOKUP($S115:$AL115,增益!$A:$A,增益!$X:$X,0))</f>
        <v>0</v>
      </c>
    </row>
    <row r="116" spans="1:77">
      <c r="A116" s="4"/>
      <c r="B116" s="4"/>
      <c r="K116" s="35">
        <f>$L116*VLOOKUP($R116,武学奇术!$A:$ZZ,31,FALSE)</f>
        <v>338085.503561258</v>
      </c>
      <c r="L116" s="35">
        <f t="shared" si="23"/>
        <v>331456.376040449</v>
      </c>
      <c r="M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轻击",$B$21,0))*(1+IF(VLOOKUP($R116,武学奇术!$A:$ZZ,30,FALSE)="老鼠",$B$22,0))*(1+$BW116)*(1+$BX116)</f>
        <v>348523.3848254</v>
      </c>
      <c r="N116" s="35">
        <f>(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轻击",$B$21,0))*(1+IF(VLOOKUP($R116,武学奇术!$A:$ZZ,30,FALSE)="老鼠",$B$22,0))*(1+$BW116))*(1+$BX116)</f>
        <v>222138.965214832</v>
      </c>
      <c r="O116" s="35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轻击",$B$21,0))*(1+IF(VLOOKUP($R116,武学奇术!$A:$ZZ,30,FALSE)="老鼠",$B$22,0))*(1+$BW116)*(1+$BX116)</f>
        <v>145582.03209081</v>
      </c>
      <c r="P116" s="35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轻击",$B$21,0))*(1+IF(VLOOKUP($R116,武学奇术!$A:$ZZ,30,FALSE)="老鼠",$B$22,0))*(1+$BW116)*(1+$BX116)</f>
        <v>126616.682541004</v>
      </c>
      <c r="Q116" s="36">
        <v>5</v>
      </c>
      <c r="R116" s="37" t="s">
        <v>78</v>
      </c>
      <c r="S116" s="37" t="s">
        <v>91</v>
      </c>
      <c r="T116" s="37" t="s">
        <v>185</v>
      </c>
      <c r="U116" s="37" t="s">
        <v>81</v>
      </c>
      <c r="V116" s="37" t="s">
        <v>81</v>
      </c>
      <c r="W116" s="37" t="s">
        <v>82</v>
      </c>
      <c r="X116" s="37" t="s">
        <v>81</v>
      </c>
      <c r="Y116" s="37" t="s">
        <v>81</v>
      </c>
      <c r="Z116" s="37" t="s">
        <v>83</v>
      </c>
      <c r="AA116" s="37" t="s">
        <v>81</v>
      </c>
      <c r="AB116" s="37" t="s">
        <v>81</v>
      </c>
      <c r="AC116" s="37" t="s">
        <v>81</v>
      </c>
      <c r="AD116" s="37" t="s">
        <v>85</v>
      </c>
      <c r="AE116" s="37" t="s">
        <v>86</v>
      </c>
      <c r="AF116" s="37" t="s">
        <v>81</v>
      </c>
      <c r="AG116" s="37" t="s">
        <v>87</v>
      </c>
      <c r="AH116" s="37" t="s">
        <v>81</v>
      </c>
      <c r="AI116" s="37" t="s">
        <v>81</v>
      </c>
      <c r="AJ116" s="37" t="s">
        <v>81</v>
      </c>
      <c r="AK116" s="37" t="s">
        <v>81</v>
      </c>
      <c r="AL116" s="37" t="s">
        <v>81</v>
      </c>
      <c r="AM116" t="str">
        <f>VLOOKUP($R116,武学奇术!$A:$ZZ,25,FALSE)</f>
        <v>群体奇术</v>
      </c>
      <c r="AN116" s="23">
        <f>VLOOKUP($R116,武学奇术!$A:$ZZ,26,FALSE)</f>
        <v>2.3774</v>
      </c>
      <c r="AO116" s="24">
        <f>VLOOKUP($R116,武学奇术!$A:$ZZ,27,FALSE)*(1+IF(OR($AM116=$F$4,$AM116=$F$5),$B$23,0))</f>
        <v>476</v>
      </c>
      <c r="AP116" s="23">
        <f>VLOOKUP($R116,武学奇术!$A:$ZZ,28,FALSE)</f>
        <v>3.5661</v>
      </c>
      <c r="AQ116" s="24">
        <f>VLOOKUP($R116,武学奇术!$A:$ZZ,29,FALSE)*(1+IF(OR($AM116=$F$4,$AM116=$F$5),$B$23,0))</f>
        <v>0</v>
      </c>
      <c r="AR116" s="23" cm="1">
        <f t="array" ref="AR116">$G$3+IFERROR(VLOOKUP($AM116,$F$4:$G$7,2,FALSE),0)+VLOOKUP($R116,武学奇术!$A:$ZZ,2,FALSE)+SUM(_xlfn.XLOOKUP($S116:$AL116,增益!$A:$A,增益!$B:$B,0))</f>
        <v>0.4042</v>
      </c>
      <c r="AS116" s="23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4013</v>
      </c>
      <c r="AU116" cm="1">
        <f t="array" ref="AU116">$E$10*(1+$AS116)+VLOOKUP($R116,武学奇术!$A:$ZZ,4,FALSE)+SUM(_xlfn.XLOOKUP($S116:$AL116,增益!$A:$A,增益!$D:$D,0))-$I$2</f>
        <v>4013</v>
      </c>
      <c r="AV116" s="29" cm="1">
        <f t="array" ref="AV116">IF($F$10-$I$3+VLOOKUP($R116,武学奇术!$A:$ZZ,6,FALSE)+SUM(_xlfn.XLOOKUP(S116:AL116,增益!$A:$A,增益!$F:$F,0))&gt;0,($F$10-$I$3+VLOOKUP($R116,武学奇术!$A:$ZZ,6,FALSE)+SUM(_xlfn.XLOOKUP(S116:AL116,增益!$A:$A,增益!$F:$F,0)))/200,($F$10-$I$3+VLOOKUP($R116,武学奇术!$A:$ZZ,6,FALSE)+SUM(_xlfn.XLOOKUP(S116:AL116,增益!$A:$A,增益!$F:$F,0)))/100)</f>
        <v>0.3689</v>
      </c>
      <c r="AW116" s="29" cm="1">
        <f t="array" ref="AW116">$G$10+VLOOKUP($R116,武学奇术!$A:$ZZ,7,FALSE)+SUM(_xlfn.XLOOKUP(S116:AL116,增益!$A:$A,增益!$G:$G,0))</f>
        <v>0</v>
      </c>
      <c r="AX116" s="23" cm="1">
        <f t="array" ref="AX116">VLOOKUP($R116,武学奇术!$A:$ZZ,8,FALSE)+SUM(_xlfn.XLOOKUP(S116:AL116,增益!$A:$A,增益!$H:$H,0))</f>
        <v>0</v>
      </c>
      <c r="AY116">
        <f t="shared" si="12"/>
        <v>0</v>
      </c>
      <c r="AZ116">
        <f t="shared" si="13"/>
        <v>0</v>
      </c>
      <c r="BA116" s="29" cm="1">
        <f t="array" ref="BA116">IF($F$11-$I$4+VLOOKUP($R116,武学奇术!$A:$ZZ,9,FALSE)+SUM(_xlfn.XLOOKUP(S116:AL116,增益!$A:$A,增益!$I:$I,0))&gt;0,($F$11-$I$4+VLOOKUP($R116,武学奇术!$A:$ZZ,9,FALSE)+SUM(_xlfn.XLOOKUP(S116:AL116,增益!$A:$A,增益!$I:$I,0)))/200,($F$11-$I$4+VLOOKUP($R116,武学奇术!$A:$ZZ,9,FALSE)+SUM(_xlfn.XLOOKUP(S116:AL116,增益!$A:$A,增益!$I:$I,0)))/100)</f>
        <v>-0.3</v>
      </c>
      <c r="BB116" s="29" cm="1">
        <f t="array" ref="BB116">$G$11+VLOOKUP($R116,武学奇术!$A:$ZZ,10,FALSE)+SUM(_xlfn.XLOOKUP(S116:AL116,增益!$A:$A,增益!$J:$J,0))</f>
        <v>0</v>
      </c>
      <c r="BC116">
        <f t="shared" si="14"/>
        <v>0</v>
      </c>
      <c r="BD116">
        <f t="shared" si="15"/>
        <v>0</v>
      </c>
      <c r="BE116" s="29" cm="1">
        <f t="array" ref="BE116">IF($F$12-$I$4+VLOOKUP($R116,武学奇术!$A:$ZZ,11,FALSE)+SUM(_xlfn.XLOOKUP(S116:AL116,增益!$A:$A,增益!$K:$K,0))&gt;0,($F$12-$I$4+VLOOKUP($R116,武学奇术!$A:$ZZ,11,FALSE)+SUM(_xlfn.XLOOKUP(S116:AL116,增益!$A:$A,增益!$K:$K,0)))/200,($F$12-$I$4+VLOOKUP($R116,武学奇术!$A:$ZZ,11,FALSE)+SUM(_xlfn.XLOOKUP(S116:AL116,增益!$A:$A,增益!$K:$K,0)))/100)</f>
        <v>-0.3</v>
      </c>
      <c r="BF116" s="29" cm="1">
        <f t="array" ref="BF116">$G$12+VLOOKUP($R116,武学奇术!$A:$ZZ,12,FALSE)+SUM(_xlfn.XLOOKUP(S116:AL116,增益!$A:$A,增益!$L:$L,0))</f>
        <v>0</v>
      </c>
      <c r="BG116">
        <f t="shared" si="16"/>
        <v>0</v>
      </c>
      <c r="BH116">
        <f t="shared" si="17"/>
        <v>0</v>
      </c>
      <c r="BI116" s="29" cm="1">
        <f t="array" ref="BI116">IF($F$13-$I$4+VLOOKUP($R116,武学奇术!$A:$ZZ,13,FALSE)+SUM(_xlfn.XLOOKUP(S116:AL116,增益!$A:$A,增益!$M:$M,0))&gt;0,($F$13-$I$4+VLOOKUP($R116,武学奇术!$A:$ZZ,13,FALSE)+SUM(_xlfn.XLOOKUP(S116:AL116,增益!$A:$A,增益!$K:$K,0)))/200,($F$13-$I$4+VLOOKUP($R116,武学奇术!$A:$ZZ,13,FALSE)+SUM(_xlfn.XLOOKUP(S116:AL116,增益!$A:$A,增益!$M:$M,0)))/100)</f>
        <v>-0.3</v>
      </c>
      <c r="BJ116" s="29" cm="1">
        <f t="array" ref="BJ116">$G$13+VLOOKUP($R116,武学奇术!$A:$ZZ,14,FALSE)+SUM(_xlfn.XLOOKUP(S116:AL116,增益!$A:$A,增益!$N:$N,0))</f>
        <v>0</v>
      </c>
      <c r="BK116">
        <f t="shared" si="18"/>
        <v>618.2</v>
      </c>
      <c r="BL116">
        <f t="shared" si="19"/>
        <v>1805</v>
      </c>
      <c r="BM116" s="29" cm="1">
        <f t="array" ref="BM116">IF($F$14-$I$4+VLOOKUP($R116,武学奇术!$A:$ZZ,15,FALSE)+SUM(_xlfn.XLOOKUP(S116:AL116,增益!$A:$A,增益!$O:$O,0))&gt;0,($F$14-$I$4+VLOOKUP($R116,武学奇术!$A:$ZZ,15,FALSE)+SUM(_xlfn.XLOOKUP(S116:AL116,增益!$A:$A,增益!$O:$O,0)))/200,($F$14-$I$4+VLOOKUP($R116,武学奇术!$A:$ZZ,15,FALSE)+SUM(_xlfn.XLOOKUP(S116:AL116,增益!$A:$A,增益!$O:$O,0)))/100)</f>
        <v>0</v>
      </c>
      <c r="BN116" s="29" cm="1">
        <f t="array" ref="BN116">$G$14+VLOOKUP($R116,武学奇术!$A:$ZZ,16,FALSE)+SUM(_xlfn.XLOOKUP(S116:AL116,增益!$A:$A,增益!$P:$P,0))</f>
        <v>0.15</v>
      </c>
      <c r="BO116" s="23">
        <f>MIN(IF(VLOOKUP($R116,武学奇术!$A:$ZZ,23,FALSE)=1,100%,$B$8),100%)</f>
        <v>0.9943</v>
      </c>
      <c r="BP116" s="23" cm="1">
        <f t="array" ref="BP116">IF(VLOOKUP($R116,武学奇术!$A:$ZZ,23,FALSE)=1,100%,MIN(80%,$B$9+VLOOKUP($R116,武学奇术!$A:$ZZ,17,FALSE)+SUM(_xlfn.XLOOKUP(S116:AL116,增益!$A:$A,增益!$Q:$Q,0)))+$B$11+SUM(_xlfn.XLOOKUP(S116:AL116,增益!$A:$A,增益!$U:$U,0)))*IF(VLOOKUP($R116,武学奇术!$A:$ZZ,24,FALSE)=1,0,1)</f>
        <v>0.887</v>
      </c>
      <c r="BQ116" s="23" cm="1">
        <f t="array" ref="BQ116">1+$B$13+VLOOKUP($R116,武学奇术!$A:$ZZ,18,FALSE)+SUM(_xlfn.XLOOKUP(S116:AL116,增益!$A:$A,增益!$R:$R,0))</f>
        <v>2.394</v>
      </c>
      <c r="BR116" s="23" cm="1">
        <f t="array" ref="BR116">IF(VLOOKUP($R116,武学奇术!$A:$ZZ,24,FALSE)=1,100%,MIN(40%,$B$10+VLOOKUP($R116,武学奇术!$A:$ZZ,19,FALSE)+SUM(_xlfn.XLOOKUP(S116:AL116,增益!$A:$A,增益!$S:$S,0)))+$B$12+SUM(_xlfn.XLOOKUP(S116:AL116,增益!$A:$A,增益!$V:$V,0)))*IF(VLOOKUP($R116,武学奇术!$A:$ZZ,23,FALSE)=1,0,1)</f>
        <v>0.0913</v>
      </c>
      <c r="BS116" s="23" cm="1">
        <f t="array" ref="BS116">1+$B$14+VLOOKUP($R116,武学奇术!$A:$ZZ,20,FALSE)+SUM(_xlfn.XLOOKUP(S116:AL116,增益!$A:$A,增益!$T:$T,0))</f>
        <v>1.35</v>
      </c>
      <c r="BT116" s="23">
        <f t="shared" si="20"/>
        <v>0.8819441</v>
      </c>
      <c r="BU116" s="23">
        <f t="shared" si="21"/>
        <v>0.0215763099999999</v>
      </c>
      <c r="BV116" s="23">
        <f>IF(VLOOKUP($R116,武学奇术!$A:$ZZ,22,FALSE)=1,0,(1-$BO116))*(1-$BR116)</f>
        <v>0.00517959000000003</v>
      </c>
      <c r="BW116" s="23" cm="1">
        <f t="array" ref="BW116">SUM(_xlfn.XLOOKUP(S116:AL116,增益!$A:$A,增益!$W:$W,0))+$I$5</f>
        <v>0.11</v>
      </c>
      <c r="BX116" s="23">
        <f>VLOOKUP($R116,武学奇术!$A:$ZZ,32,FALSE)</f>
        <v>0</v>
      </c>
      <c r="BY116" s="23" cm="1">
        <f t="array" ref="BY116">SUM(_xlfn.XLOOKUP($S116:$AL116,增益!$A:$A,增益!$X:$X,0))</f>
        <v>0</v>
      </c>
    </row>
    <row r="117" spans="1:77">
      <c r="K117" s="35">
        <f>$L117*VLOOKUP($R117,武学奇术!$A:$ZZ,31,FALSE)</f>
        <v>12106.3565539881</v>
      </c>
      <c r="L117" s="35">
        <f t="shared" si="23"/>
        <v>10809.2469232036</v>
      </c>
      <c r="M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轻击",$B$21,0))*(1+IF(VLOOKUP($R117,武学奇术!$A:$ZZ,30,FALSE)="老鼠",$B$22,0))*(1+$BW117)*(1+$BX117)</f>
        <v>11394.9947511928</v>
      </c>
      <c r="N117" s="35">
        <f>(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轻击",$B$21,0))*(1+IF(VLOOKUP($R117,武学奇术!$A:$ZZ,30,FALSE)="老鼠",$B$22,0))*(1+$BW117))*(1+$BX117)</f>
        <v>10567.596002375</v>
      </c>
      <c r="O117" s="35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轻击",$B$21,0))*(1+IF(VLOOKUP($R117,武学奇术!$A:$ZZ,30,FALSE)="老鼠",$B$22,0))*(1+$BW117)*(1+$BX117)</f>
        <v>6931.26201410756</v>
      </c>
      <c r="P117" s="35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轻击",$B$21,0))*(1+IF(VLOOKUP($R117,武学奇术!$A:$ZZ,30,FALSE)="老鼠",$B$22,0))*(1+$BW117)*(1+$BX117)</f>
        <v>6034.67513756695</v>
      </c>
      <c r="Q117" s="36">
        <v>1</v>
      </c>
      <c r="R117" s="37" t="s">
        <v>111</v>
      </c>
      <c r="S117" s="37" t="s">
        <v>91</v>
      </c>
      <c r="T117" s="37" t="s">
        <v>185</v>
      </c>
      <c r="U117" s="37" t="s">
        <v>112</v>
      </c>
      <c r="V117" s="37" t="s">
        <v>113</v>
      </c>
      <c r="W117" s="37" t="s">
        <v>82</v>
      </c>
      <c r="X117" s="37" t="s">
        <v>81</v>
      </c>
      <c r="Y117" s="37" t="s">
        <v>109</v>
      </c>
      <c r="Z117" s="37" t="s">
        <v>81</v>
      </c>
      <c r="AA117" s="37" t="s">
        <v>81</v>
      </c>
      <c r="AB117" s="37" t="s">
        <v>81</v>
      </c>
      <c r="AC117" s="37" t="s">
        <v>81</v>
      </c>
      <c r="AD117" s="37" t="s">
        <v>81</v>
      </c>
      <c r="AE117" s="37" t="s">
        <v>81</v>
      </c>
      <c r="AF117" s="37" t="s">
        <v>81</v>
      </c>
      <c r="AG117" s="37" t="s">
        <v>87</v>
      </c>
      <c r="AH117" s="37" t="s">
        <v>81</v>
      </c>
      <c r="AI117" s="37" t="s">
        <v>81</v>
      </c>
      <c r="AJ117" s="37" t="s">
        <v>81</v>
      </c>
      <c r="AK117" s="37" t="s">
        <v>81</v>
      </c>
      <c r="AL117" s="37" t="s">
        <v>81</v>
      </c>
      <c r="AM117" t="str">
        <f>VLOOKUP($R117,武学奇术!$A:$ZZ,25,FALSE)</f>
        <v>双刀</v>
      </c>
      <c r="AN117" s="23">
        <f>VLOOKUP($R117,武学奇术!$A:$ZZ,26,FALSE)</f>
        <v>0.4205</v>
      </c>
      <c r="AO117" s="24">
        <f>VLOOKUP($R117,武学奇术!$A:$ZZ,27,FALSE)*(1+IF(OR($AM117=$F$4,$AM117=$F$5),$B$23,0))</f>
        <v>187.2</v>
      </c>
      <c r="AP117" s="23">
        <f>VLOOKUP($R117,武学奇术!$A:$ZZ,28,FALSE)</f>
        <v>0.6307</v>
      </c>
      <c r="AQ117" s="24">
        <f>VLOOKUP($R117,武学奇术!$A:$ZZ,29,FALSE)*(1+IF(OR($AM117=$F$4,$AM117=$F$5),$B$23,0))</f>
        <v>102.4</v>
      </c>
      <c r="AR117" s="23" cm="1">
        <f t="array" ref="AR117">$G$3+IFERROR(VLOOKUP($AM117,$F$4:$G$7,2,FALSE),0)+VLOOKUP($R117,武学奇术!$A:$ZZ,2,FALSE)+SUM(_xlfn.XLOOKUP($S117:$AL117,增益!$A:$A,增益!$B:$B,0))</f>
        <v>0.5443</v>
      </c>
      <c r="AS117" s="23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4081.7</v>
      </c>
      <c r="AU117" cm="1">
        <f t="array" ref="AU117">$E$10*(1+$AS117)+VLOOKUP($R117,武学奇术!$A:$ZZ,4,FALSE)+SUM(_xlfn.XLOOKUP($S117:$AL117,增益!$A:$A,增益!$D:$D,0))-$I$2</f>
        <v>4081.7</v>
      </c>
      <c r="AV117" s="29" cm="1">
        <f t="array" ref="AV117">IF($F$10-$I$3+VLOOKUP($R117,武学奇术!$A:$ZZ,6,FALSE)+SUM(_xlfn.XLOOKUP(S117:AL117,增益!$A:$A,增益!$F:$F,0))&gt;0,($F$10-$I$3+VLOOKUP($R117,武学奇术!$A:$ZZ,6,FALSE)+SUM(_xlfn.XLOOKUP(S117:AL117,增益!$A:$A,增益!$F:$F,0)))/200,($F$10-$I$3+VLOOKUP($R117,武学奇术!$A:$ZZ,6,FALSE)+SUM(_xlfn.XLOOKUP(S117:AL117,增益!$A:$A,增益!$F:$F,0)))/100)</f>
        <v>0.2439</v>
      </c>
      <c r="AW117" s="29" cm="1">
        <f t="array" ref="AW117">$G$10+VLOOKUP($R117,武学奇术!$A:$ZZ,7,FALSE)+SUM(_xlfn.XLOOKUP(S117:AL117,增益!$A:$A,增益!$G:$G,0))</f>
        <v>0.06</v>
      </c>
      <c r="AX117" s="23" cm="1">
        <f t="array" ref="AX117">VLOOKUP($R117,武学奇术!$A:$ZZ,8,FALSE)+SUM(_xlfn.XLOOKUP(S117:AL117,增益!$A:$A,增益!$H:$H,0))</f>
        <v>0</v>
      </c>
      <c r="AY117">
        <f t="shared" si="12"/>
        <v>0</v>
      </c>
      <c r="AZ117">
        <f t="shared" si="13"/>
        <v>0</v>
      </c>
      <c r="BA117" s="29" cm="1">
        <f t="array" ref="BA117">IF($F$11-$I$4+VLOOKUP($R117,武学奇术!$A:$ZZ,9,FALSE)+SUM(_xlfn.XLOOKUP(S117:AL117,增益!$A:$A,增益!$I:$I,0))&gt;0,($F$11-$I$4+VLOOKUP($R117,武学奇术!$A:$ZZ,9,FALSE)+SUM(_xlfn.XLOOKUP(S117:AL117,增益!$A:$A,增益!$I:$I,0)))/200,($F$11-$I$4+VLOOKUP($R117,武学奇术!$A:$ZZ,9,FALSE)+SUM(_xlfn.XLOOKUP(S117:AL117,增益!$A:$A,增益!$I:$I,0)))/100)</f>
        <v>-0.3</v>
      </c>
      <c r="BB117" s="29" cm="1">
        <f t="array" ref="BB117">$G$11+VLOOKUP($R117,武学奇术!$A:$ZZ,10,FALSE)+SUM(_xlfn.XLOOKUP(S117:AL117,增益!$A:$A,增益!$J:$J,0))</f>
        <v>0</v>
      </c>
      <c r="BC117">
        <f t="shared" si="14"/>
        <v>0</v>
      </c>
      <c r="BD117">
        <f t="shared" si="15"/>
        <v>0</v>
      </c>
      <c r="BE117" s="29" cm="1">
        <f t="array" ref="BE117">IF($F$12-$I$4+VLOOKUP($R117,武学奇术!$A:$ZZ,11,FALSE)+SUM(_xlfn.XLOOKUP(S117:AL117,增益!$A:$A,增益!$K:$K,0))&gt;0,($F$12-$I$4+VLOOKUP($R117,武学奇术!$A:$ZZ,11,FALSE)+SUM(_xlfn.XLOOKUP(S117:AL117,增益!$A:$A,增益!$K:$K,0)))/200,($F$12-$I$4+VLOOKUP($R117,武学奇术!$A:$ZZ,11,FALSE)+SUM(_xlfn.XLOOKUP(S117:AL117,增益!$A:$A,增益!$K:$K,0)))/100)</f>
        <v>-0.3</v>
      </c>
      <c r="BF117" s="29" cm="1">
        <f t="array" ref="BF117">$G$12+VLOOKUP($R117,武学奇术!$A:$ZZ,12,FALSE)+SUM(_xlfn.XLOOKUP(S117:AL117,增益!$A:$A,增益!$L:$L,0))</f>
        <v>0</v>
      </c>
      <c r="BG117">
        <f t="shared" si="16"/>
        <v>0</v>
      </c>
      <c r="BH117">
        <f t="shared" si="17"/>
        <v>0</v>
      </c>
      <c r="BI117" s="29" cm="1">
        <f t="array" ref="BI117">IF($F$13-$I$4+VLOOKUP($R117,武学奇术!$A:$ZZ,13,FALSE)+SUM(_xlfn.XLOOKUP(S117:AL117,增益!$A:$A,增益!$M:$M,0))&gt;0,($F$13-$I$4+VLOOKUP($R117,武学奇术!$A:$ZZ,13,FALSE)+SUM(_xlfn.XLOOKUP(S117:AL117,增益!$A:$A,增益!$K:$K,0)))/200,($F$13-$I$4+VLOOKUP($R117,武学奇术!$A:$ZZ,13,FALSE)+SUM(_xlfn.XLOOKUP(S117:AL117,增益!$A:$A,增益!$M:$M,0)))/100)</f>
        <v>-0.3</v>
      </c>
      <c r="BJ117" s="29" cm="1">
        <f t="array" ref="BJ117">$G$13+VLOOKUP($R117,武学奇术!$A:$ZZ,14,FALSE)+SUM(_xlfn.XLOOKUP(S117:AL117,增益!$A:$A,增益!$N:$N,0))</f>
        <v>0</v>
      </c>
      <c r="BK117">
        <f t="shared" si="18"/>
        <v>618.2</v>
      </c>
      <c r="BL117">
        <f t="shared" si="19"/>
        <v>1805</v>
      </c>
      <c r="BM117" s="29" cm="1">
        <f t="array" ref="BM117">IF($F$14-$I$4+VLOOKUP($R117,武学奇术!$A:$ZZ,15,FALSE)+SUM(_xlfn.XLOOKUP(S117:AL117,增益!$A:$A,增益!$O:$O,0))&gt;0,($F$14-$I$4+VLOOKUP($R117,武学奇术!$A:$ZZ,15,FALSE)+SUM(_xlfn.XLOOKUP(S117:AL117,增益!$A:$A,增益!$O:$O,0)))/200,($F$14-$I$4+VLOOKUP($R117,武学奇术!$A:$ZZ,15,FALSE)+SUM(_xlfn.XLOOKUP(S117:AL117,增益!$A:$A,增益!$O:$O,0)))/100)</f>
        <v>0.05</v>
      </c>
      <c r="BN117" s="29" cm="1">
        <f t="array" ref="BN117">$G$14+VLOOKUP($R117,武学奇术!$A:$ZZ,16,FALSE)+SUM(_xlfn.XLOOKUP(S117:AL117,增益!$A:$A,增益!$P:$P,0))</f>
        <v>0.21</v>
      </c>
      <c r="BO117" s="23">
        <f>MIN(IF(VLOOKUP($R117,武学奇术!$A:$ZZ,23,FALSE)=1,100%,$B$8),100%)</f>
        <v>0.9943</v>
      </c>
      <c r="BP117" s="23" cm="1">
        <f t="array" ref="BP117">IF(VLOOKUP($R117,武学奇术!$A:$ZZ,23,FALSE)=1,100%,MIN(80%,$B$9+VLOOKUP($R117,武学奇术!$A:$ZZ,17,FALSE)+SUM(_xlfn.XLOOKUP(S117:AL117,增益!$A:$A,增益!$Q:$Q,0)))+$B$11+SUM(_xlfn.XLOOKUP(S117:AL117,增益!$A:$A,增益!$U:$U,0)))*IF(VLOOKUP($R117,武学奇术!$A:$ZZ,24,FALSE)=1,0,1)</f>
        <v>0.8</v>
      </c>
      <c r="BQ117" s="23" cm="1">
        <f t="array" ref="BQ117">1+$B$13+VLOOKUP($R117,武学奇术!$A:$ZZ,18,FALSE)+SUM(_xlfn.XLOOKUP(S117:AL117,增益!$A:$A,增益!$R:$R,0))</f>
        <v>1.644</v>
      </c>
      <c r="BR117" s="23" cm="1">
        <f t="array" ref="BR117">IF(VLOOKUP($R117,武学奇术!$A:$ZZ,24,FALSE)=1,100%,MIN(40%,$B$10+VLOOKUP($R117,武学奇术!$A:$ZZ,19,FALSE)+SUM(_xlfn.XLOOKUP(S117:AL117,增益!$A:$A,增益!$S:$S,0)))+$B$12+SUM(_xlfn.XLOOKUP(S117:AL117,增益!$A:$A,增益!$V:$V,0)))*IF(VLOOKUP($R117,武学奇术!$A:$ZZ,23,FALSE)=1,0,1)</f>
        <v>0.0913</v>
      </c>
      <c r="BS117" s="23" cm="1">
        <f t="array" ref="BS117">1+$B$14+VLOOKUP($R117,武学奇术!$A:$ZZ,20,FALSE)+SUM(_xlfn.XLOOKUP(S117:AL117,增益!$A:$A,增益!$T:$T,0))</f>
        <v>1.35</v>
      </c>
      <c r="BT117" s="23">
        <f t="shared" si="20"/>
        <v>0.79544</v>
      </c>
      <c r="BU117" s="23">
        <f t="shared" si="21"/>
        <v>0.10808041</v>
      </c>
      <c r="BV117" s="23">
        <f>IF(VLOOKUP($R117,武学奇术!$A:$ZZ,22,FALSE)=1,0,(1-$BO117))*(1-$BR117)</f>
        <v>0.00517959000000003</v>
      </c>
      <c r="BW117" s="23" cm="1">
        <f t="array" ref="BW117">SUM(_xlfn.XLOOKUP(S117:AL117,增益!$A:$A,增益!$W:$W,0))+$I$5</f>
        <v>0.11</v>
      </c>
      <c r="BX117" s="23">
        <f>VLOOKUP($R117,武学奇术!$A:$ZZ,32,FALSE)</f>
        <v>0.1</v>
      </c>
      <c r="BY117" s="23" cm="1">
        <f t="array" ref="BY117">SUM(_xlfn.XLOOKUP($S117:$AL117,增益!$A:$A,增益!$X:$X,0))</f>
        <v>0</v>
      </c>
    </row>
    <row r="118" spans="1:77">
      <c r="K118" s="35">
        <f>$L118*VLOOKUP($R118,武学奇术!$A:$ZZ,31,FALSE)</f>
        <v>12977.3398156029</v>
      </c>
      <c r="L118" s="35">
        <f t="shared" si="23"/>
        <v>11586.9105496455</v>
      </c>
      <c r="M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轻击",$B$21,0))*(1+IF(VLOOKUP($R118,武学奇术!$A:$ZZ,30,FALSE)="老鼠",$B$22,0))*(1+$BW118)*(1+$BX118)</f>
        <v>12214.7594310986</v>
      </c>
      <c r="N118" s="35">
        <f>(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轻击",$B$21,0))*(1+IF(VLOOKUP($R118,武学奇术!$A:$ZZ,30,FALSE)="老鼠",$B$22,0))*(1+$BW118))*(1+$BX118)</f>
        <v>11328.2725398486</v>
      </c>
      <c r="O118" s="35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轻击",$B$21,0))*(1+IF(VLOOKUP($R118,武学奇术!$A:$ZZ,30,FALSE)="老鼠",$B$22,0))*(1+$BW118)*(1+$BX118)</f>
        <v>7429.90233035196</v>
      </c>
      <c r="P118" s="35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轻击",$B$21,0))*(1+IF(VLOOKUP($R118,武学奇术!$A:$ZZ,30,FALSE)="老鼠",$B$22,0))*(1+$BW118)*(1+$BX118)</f>
        <v>6468.49166822351</v>
      </c>
      <c r="Q118" s="36">
        <v>1</v>
      </c>
      <c r="R118" s="37" t="s">
        <v>116</v>
      </c>
      <c r="S118" s="37" t="s">
        <v>91</v>
      </c>
      <c r="T118" s="37" t="s">
        <v>185</v>
      </c>
      <c r="U118" s="37" t="s">
        <v>112</v>
      </c>
      <c r="V118" s="37" t="s">
        <v>113</v>
      </c>
      <c r="W118" s="37" t="s">
        <v>82</v>
      </c>
      <c r="X118" s="37" t="s">
        <v>81</v>
      </c>
      <c r="Y118" s="37" t="s">
        <v>109</v>
      </c>
      <c r="Z118" s="37" t="s">
        <v>81</v>
      </c>
      <c r="AA118" s="37" t="s">
        <v>81</v>
      </c>
      <c r="AB118" s="37" t="s">
        <v>81</v>
      </c>
      <c r="AC118" s="37" t="s">
        <v>81</v>
      </c>
      <c r="AD118" s="37" t="s">
        <v>81</v>
      </c>
      <c r="AE118" s="37" t="s">
        <v>81</v>
      </c>
      <c r="AF118" s="37" t="s">
        <v>81</v>
      </c>
      <c r="AG118" s="37" t="s">
        <v>87</v>
      </c>
      <c r="AH118" s="37" t="s">
        <v>81</v>
      </c>
      <c r="AI118" s="37" t="s">
        <v>81</v>
      </c>
      <c r="AJ118" s="37" t="s">
        <v>81</v>
      </c>
      <c r="AK118" s="37" t="s">
        <v>81</v>
      </c>
      <c r="AL118" s="37" t="s">
        <v>81</v>
      </c>
      <c r="AM118" t="str">
        <f>VLOOKUP($R118,武学奇术!$A:$ZZ,25,FALSE)</f>
        <v>双刀</v>
      </c>
      <c r="AN118" s="23">
        <f>VLOOKUP($R118,武学奇术!$A:$ZZ,26,FALSE)</f>
        <v>0.4508</v>
      </c>
      <c r="AO118" s="24">
        <f>VLOOKUP($R118,武学奇术!$A:$ZZ,27,FALSE)*(1+IF(OR($AM118=$F$4,$AM118=$F$5),$B$23,0))</f>
        <v>201.6</v>
      </c>
      <c r="AP118" s="23">
        <f>VLOOKUP($R118,武学奇术!$A:$ZZ,28,FALSE)</f>
        <v>0.6763</v>
      </c>
      <c r="AQ118" s="24">
        <f>VLOOKUP($R118,武学奇术!$A:$ZZ,29,FALSE)*(1+IF(OR($AM118=$F$4,$AM118=$F$5),$B$23,0))</f>
        <v>108.8</v>
      </c>
      <c r="AR118" s="23" cm="1">
        <f t="array" ref="AR118">$G$3+IFERROR(VLOOKUP($AM118,$F$4:$G$7,2,FALSE),0)+VLOOKUP($R118,武学奇术!$A:$ZZ,2,FALSE)+SUM(_xlfn.XLOOKUP($S118:$AL118,增益!$A:$A,增益!$B:$B,0))</f>
        <v>0.5443</v>
      </c>
      <c r="AS118" s="23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4081.7</v>
      </c>
      <c r="AU118" cm="1">
        <f t="array" ref="AU118">$E$10*(1+$AS118)+VLOOKUP($R118,武学奇术!$A:$ZZ,4,FALSE)+SUM(_xlfn.XLOOKUP($S118:$AL118,增益!$A:$A,增益!$D:$D,0))-$I$2</f>
        <v>4081.7</v>
      </c>
      <c r="AV118" s="29" cm="1">
        <f t="array" ref="AV118">IF($F$10-$I$3+VLOOKUP($R118,武学奇术!$A:$ZZ,6,FALSE)+SUM(_xlfn.XLOOKUP(S118:AL118,增益!$A:$A,增益!$F:$F,0))&gt;0,($F$10-$I$3+VLOOKUP($R118,武学奇术!$A:$ZZ,6,FALSE)+SUM(_xlfn.XLOOKUP(S118:AL118,增益!$A:$A,增益!$F:$F,0)))/200,($F$10-$I$3+VLOOKUP($R118,武学奇术!$A:$ZZ,6,FALSE)+SUM(_xlfn.XLOOKUP(S118:AL118,增益!$A:$A,增益!$F:$F,0)))/100)</f>
        <v>0.2439</v>
      </c>
      <c r="AW118" s="29" cm="1">
        <f t="array" ref="AW118">$G$10+VLOOKUP($R118,武学奇术!$A:$ZZ,7,FALSE)+SUM(_xlfn.XLOOKUP(S118:AL118,增益!$A:$A,增益!$G:$G,0))</f>
        <v>0.06</v>
      </c>
      <c r="AX118" s="23" cm="1">
        <f t="array" ref="AX118">VLOOKUP($R118,武学奇术!$A:$ZZ,8,FALSE)+SUM(_xlfn.XLOOKUP(S118:AL118,增益!$A:$A,增益!$H:$H,0))</f>
        <v>0</v>
      </c>
      <c r="AY118">
        <f t="shared" si="12"/>
        <v>0</v>
      </c>
      <c r="AZ118">
        <f t="shared" si="13"/>
        <v>0</v>
      </c>
      <c r="BA118" s="29" cm="1">
        <f t="array" ref="BA118">IF($F$11-$I$4+VLOOKUP($R118,武学奇术!$A:$ZZ,9,FALSE)+SUM(_xlfn.XLOOKUP(S118:AL118,增益!$A:$A,增益!$I:$I,0))&gt;0,($F$11-$I$4+VLOOKUP($R118,武学奇术!$A:$ZZ,9,FALSE)+SUM(_xlfn.XLOOKUP(S118:AL118,增益!$A:$A,增益!$I:$I,0)))/200,($F$11-$I$4+VLOOKUP($R118,武学奇术!$A:$ZZ,9,FALSE)+SUM(_xlfn.XLOOKUP(S118:AL118,增益!$A:$A,增益!$I:$I,0)))/100)</f>
        <v>-0.3</v>
      </c>
      <c r="BB118" s="29" cm="1">
        <f t="array" ref="BB118">$G$11+VLOOKUP($R118,武学奇术!$A:$ZZ,10,FALSE)+SUM(_xlfn.XLOOKUP(S118:AL118,增益!$A:$A,增益!$J:$J,0))</f>
        <v>0</v>
      </c>
      <c r="BC118">
        <f t="shared" si="14"/>
        <v>0</v>
      </c>
      <c r="BD118">
        <f t="shared" si="15"/>
        <v>0</v>
      </c>
      <c r="BE118" s="29" cm="1">
        <f t="array" ref="BE118">IF($F$12-$I$4+VLOOKUP($R118,武学奇术!$A:$ZZ,11,FALSE)+SUM(_xlfn.XLOOKUP(S118:AL118,增益!$A:$A,增益!$K:$K,0))&gt;0,($F$12-$I$4+VLOOKUP($R118,武学奇术!$A:$ZZ,11,FALSE)+SUM(_xlfn.XLOOKUP(S118:AL118,增益!$A:$A,增益!$K:$K,0)))/200,($F$12-$I$4+VLOOKUP($R118,武学奇术!$A:$ZZ,11,FALSE)+SUM(_xlfn.XLOOKUP(S118:AL118,增益!$A:$A,增益!$K:$K,0)))/100)</f>
        <v>-0.3</v>
      </c>
      <c r="BF118" s="29" cm="1">
        <f t="array" ref="BF118">$G$12+VLOOKUP($R118,武学奇术!$A:$ZZ,12,FALSE)+SUM(_xlfn.XLOOKUP(S118:AL118,增益!$A:$A,增益!$L:$L,0))</f>
        <v>0</v>
      </c>
      <c r="BG118">
        <f t="shared" si="16"/>
        <v>0</v>
      </c>
      <c r="BH118">
        <f t="shared" si="17"/>
        <v>0</v>
      </c>
      <c r="BI118" s="29" cm="1">
        <f t="array" ref="BI118">IF($F$13-$I$4+VLOOKUP($R118,武学奇术!$A:$ZZ,13,FALSE)+SUM(_xlfn.XLOOKUP(S118:AL118,增益!$A:$A,增益!$M:$M,0))&gt;0,($F$13-$I$4+VLOOKUP($R118,武学奇术!$A:$ZZ,13,FALSE)+SUM(_xlfn.XLOOKUP(S118:AL118,增益!$A:$A,增益!$K:$K,0)))/200,($F$13-$I$4+VLOOKUP($R118,武学奇术!$A:$ZZ,13,FALSE)+SUM(_xlfn.XLOOKUP(S118:AL118,增益!$A:$A,增益!$M:$M,0)))/100)</f>
        <v>-0.3</v>
      </c>
      <c r="BJ118" s="29" cm="1">
        <f t="array" ref="BJ118">$G$13+VLOOKUP($R118,武学奇术!$A:$ZZ,14,FALSE)+SUM(_xlfn.XLOOKUP(S118:AL118,增益!$A:$A,增益!$N:$N,0))</f>
        <v>0</v>
      </c>
      <c r="BK118">
        <f t="shared" si="18"/>
        <v>618.2</v>
      </c>
      <c r="BL118">
        <f t="shared" si="19"/>
        <v>1805</v>
      </c>
      <c r="BM118" s="29" cm="1">
        <f t="array" ref="BM118">IF($F$14-$I$4+VLOOKUP($R118,武学奇术!$A:$ZZ,15,FALSE)+SUM(_xlfn.XLOOKUP(S118:AL118,增益!$A:$A,增益!$O:$O,0))&gt;0,($F$14-$I$4+VLOOKUP($R118,武学奇术!$A:$ZZ,15,FALSE)+SUM(_xlfn.XLOOKUP(S118:AL118,增益!$A:$A,增益!$O:$O,0)))/200,($F$14-$I$4+VLOOKUP($R118,武学奇术!$A:$ZZ,15,FALSE)+SUM(_xlfn.XLOOKUP(S118:AL118,增益!$A:$A,增益!$O:$O,0)))/100)</f>
        <v>0.05</v>
      </c>
      <c r="BN118" s="29" cm="1">
        <f t="array" ref="BN118">$G$14+VLOOKUP($R118,武学奇术!$A:$ZZ,16,FALSE)+SUM(_xlfn.XLOOKUP(S118:AL118,增益!$A:$A,增益!$P:$P,0))</f>
        <v>0.21</v>
      </c>
      <c r="BO118" s="23">
        <f>MIN(IF(VLOOKUP($R118,武学奇术!$A:$ZZ,23,FALSE)=1,100%,$B$8),100%)</f>
        <v>0.9943</v>
      </c>
      <c r="BP118" s="23" cm="1">
        <f t="array" ref="BP118">IF(VLOOKUP($R118,武学奇术!$A:$ZZ,23,FALSE)=1,100%,MIN(80%,$B$9+VLOOKUP($R118,武学奇术!$A:$ZZ,17,FALSE)+SUM(_xlfn.XLOOKUP(S118:AL118,增益!$A:$A,增益!$Q:$Q,0)))+$B$11+SUM(_xlfn.XLOOKUP(S118:AL118,增益!$A:$A,增益!$U:$U,0)))*IF(VLOOKUP($R118,武学奇术!$A:$ZZ,24,FALSE)=1,0,1)</f>
        <v>0.8</v>
      </c>
      <c r="BQ118" s="23" cm="1">
        <f t="array" ref="BQ118">1+$B$13+VLOOKUP($R118,武学奇术!$A:$ZZ,18,FALSE)+SUM(_xlfn.XLOOKUP(S118:AL118,增益!$A:$A,增益!$R:$R,0))</f>
        <v>1.644</v>
      </c>
      <c r="BR118" s="23" cm="1">
        <f t="array" ref="BR118">IF(VLOOKUP($R118,武学奇术!$A:$ZZ,24,FALSE)=1,100%,MIN(40%,$B$10+VLOOKUP($R118,武学奇术!$A:$ZZ,19,FALSE)+SUM(_xlfn.XLOOKUP(S118:AL118,增益!$A:$A,增益!$S:$S,0)))+$B$12+SUM(_xlfn.XLOOKUP(S118:AL118,增益!$A:$A,增益!$V:$V,0)))*IF(VLOOKUP($R118,武学奇术!$A:$ZZ,23,FALSE)=1,0,1)</f>
        <v>0.0913</v>
      </c>
      <c r="BS118" s="23" cm="1">
        <f t="array" ref="BS118">1+$B$14+VLOOKUP($R118,武学奇术!$A:$ZZ,20,FALSE)+SUM(_xlfn.XLOOKUP(S118:AL118,增益!$A:$A,增益!$T:$T,0))</f>
        <v>1.35</v>
      </c>
      <c r="BT118" s="23">
        <f t="shared" si="20"/>
        <v>0.79544</v>
      </c>
      <c r="BU118" s="23">
        <f t="shared" si="21"/>
        <v>0.10808041</v>
      </c>
      <c r="BV118" s="23">
        <f>IF(VLOOKUP($R118,武学奇术!$A:$ZZ,22,FALSE)=1,0,(1-$BO118))*(1-$BR118)</f>
        <v>0.00517959000000003</v>
      </c>
      <c r="BW118" s="23" cm="1">
        <f t="array" ref="BW118">SUM(_xlfn.XLOOKUP(S118:AL118,增益!$A:$A,增益!$W:$W,0))+$I$5</f>
        <v>0.11</v>
      </c>
      <c r="BX118" s="23">
        <f>VLOOKUP($R118,武学奇术!$A:$ZZ,32,FALSE)</f>
        <v>0.1</v>
      </c>
      <c r="BY118" s="23" cm="1">
        <f t="array" ref="BY118">SUM(_xlfn.XLOOKUP($S118:$AL118,增益!$A:$A,增益!$X:$X,0))</f>
        <v>0</v>
      </c>
    </row>
    <row r="119" spans="1:77">
      <c r="K119" s="35">
        <f>$L119*VLOOKUP($R119,武学奇术!$A:$ZZ,31,FALSE)</f>
        <v>16733.8740836466</v>
      </c>
      <c r="L119" s="35">
        <f t="shared" si="23"/>
        <v>16405.7589055359</v>
      </c>
      <c r="M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轻击",$B$21,0))*(1+IF(VLOOKUP($R119,武学奇术!$A:$ZZ,30,FALSE)="老鼠",$B$22,0))*(1+$BW119)*(1+$BX119)</f>
        <v>17297.6696727851</v>
      </c>
      <c r="N119" s="35">
        <f>(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轻击",$B$21,0))*(1+IF(VLOOKUP($R119,武学奇术!$A:$ZZ,30,FALSE)="老鼠",$B$22,0))*(1+$BW119))*(1+$BX119)</f>
        <v>16010.3221576686</v>
      </c>
      <c r="O119" s="35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轻击",$B$21,0))*(1+IF(VLOOKUP($R119,武学奇术!$A:$ZZ,30,FALSE)="老鼠",$B$22,0))*(1+$BW119)*(1+$BX119)</f>
        <v>10521.6968812562</v>
      </c>
      <c r="P119" s="35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轻击",$B$21,0))*(1+IF(VLOOKUP($R119,武学奇术!$A:$ZZ,30,FALSE)="老鼠",$B$22,0))*(1+$BW119)*(1+$BX119)</f>
        <v>9183.89586794295</v>
      </c>
      <c r="Q119" s="36">
        <v>1</v>
      </c>
      <c r="R119" s="37" t="s">
        <v>123</v>
      </c>
      <c r="S119" s="37" t="s">
        <v>91</v>
      </c>
      <c r="T119" s="37" t="s">
        <v>185</v>
      </c>
      <c r="U119" s="37" t="s">
        <v>81</v>
      </c>
      <c r="V119" s="37" t="s">
        <v>81</v>
      </c>
      <c r="W119" s="37" t="s">
        <v>82</v>
      </c>
      <c r="X119" s="37" t="s">
        <v>81</v>
      </c>
      <c r="Y119" s="37" t="s">
        <v>81</v>
      </c>
      <c r="Z119" s="37" t="s">
        <v>81</v>
      </c>
      <c r="AA119" s="37" t="s">
        <v>81</v>
      </c>
      <c r="AB119" s="37" t="s">
        <v>81</v>
      </c>
      <c r="AC119" s="37" t="s">
        <v>81</v>
      </c>
      <c r="AD119" s="37" t="s">
        <v>81</v>
      </c>
      <c r="AE119" s="37" t="s">
        <v>81</v>
      </c>
      <c r="AF119" s="37" t="s">
        <v>81</v>
      </c>
      <c r="AG119" s="37" t="s">
        <v>87</v>
      </c>
      <c r="AH119" s="37" t="s">
        <v>81</v>
      </c>
      <c r="AI119" s="37" t="s">
        <v>81</v>
      </c>
      <c r="AJ119" s="37" t="s">
        <v>81</v>
      </c>
      <c r="AK119" s="37" t="s">
        <v>81</v>
      </c>
      <c r="AL119" s="37" t="s">
        <v>81</v>
      </c>
      <c r="AM119" t="str">
        <f>VLOOKUP($R119,武学奇术!$A:$ZZ,25,FALSE)</f>
        <v>双刀</v>
      </c>
      <c r="AN119" s="23">
        <f>VLOOKUP($R119,武学奇术!$A:$ZZ,26,FALSE)</f>
        <v>0.8267</v>
      </c>
      <c r="AO119" s="24">
        <f>VLOOKUP($R119,武学奇术!$A:$ZZ,27,FALSE)*(1+IF(OR($AM119=$F$4,$AM119=$F$5),$B$23,0))</f>
        <v>366.4</v>
      </c>
      <c r="AP119" s="23">
        <f>VLOOKUP($R119,武学奇术!$A:$ZZ,28,FALSE)</f>
        <v>1.24</v>
      </c>
      <c r="AQ119" s="24">
        <f>VLOOKUP($R119,武学奇术!$A:$ZZ,29,FALSE)*(1+IF(OR($AM119=$F$4,$AM119=$F$5),$B$23,0))</f>
        <v>200</v>
      </c>
      <c r="AR119" s="23" cm="1">
        <f t="array" ref="AR119">$G$3+IFERROR(VLOOKUP($AM119,$F$4:$G$7,2,FALSE),0)+VLOOKUP($R119,武学奇术!$A:$ZZ,2,FALSE)+SUM(_xlfn.XLOOKUP($S119:$AL119,增益!$A:$A,增益!$B:$B,0))</f>
        <v>0.4243</v>
      </c>
      <c r="AS119" s="23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4013</v>
      </c>
      <c r="AU119" cm="1">
        <f t="array" ref="AU119">$E$10*(1+$AS119)+VLOOKUP($R119,武学奇术!$A:$ZZ,4,FALSE)+SUM(_xlfn.XLOOKUP($S119:$AL119,增益!$A:$A,增益!$D:$D,0))-$I$2</f>
        <v>4013</v>
      </c>
      <c r="AV119" s="29" cm="1">
        <f t="array" ref="AV119">IF($F$10-$I$3+VLOOKUP($R119,武学奇术!$A:$ZZ,6,FALSE)+SUM(_xlfn.XLOOKUP(S119:AL119,增益!$A:$A,增益!$F:$F,0))&gt;0,($F$10-$I$3+VLOOKUP($R119,武学奇术!$A:$ZZ,6,FALSE)+SUM(_xlfn.XLOOKUP(S119:AL119,增益!$A:$A,增益!$F:$F,0)))/200,($F$10-$I$3+VLOOKUP($R119,武学奇术!$A:$ZZ,6,FALSE)+SUM(_xlfn.XLOOKUP(S119:AL119,增益!$A:$A,增益!$F:$F,0)))/100)</f>
        <v>0.2439</v>
      </c>
      <c r="AW119" s="29" cm="1">
        <f t="array" ref="AW119">$G$10+VLOOKUP($R119,武学奇术!$A:$ZZ,7,FALSE)+SUM(_xlfn.XLOOKUP(S119:AL119,增益!$A:$A,增益!$G:$G,0))</f>
        <v>0</v>
      </c>
      <c r="AX119" s="23" cm="1">
        <f t="array" ref="AX119">VLOOKUP($R119,武学奇术!$A:$ZZ,8,FALSE)+SUM(_xlfn.XLOOKUP(S119:AL119,增益!$A:$A,增益!$H:$H,0))</f>
        <v>0</v>
      </c>
      <c r="AY119">
        <f t="shared" si="12"/>
        <v>0</v>
      </c>
      <c r="AZ119">
        <f t="shared" si="13"/>
        <v>0</v>
      </c>
      <c r="BA119" s="29" cm="1">
        <f t="array" ref="BA119">IF($F$11-$I$4+VLOOKUP($R119,武学奇术!$A:$ZZ,9,FALSE)+SUM(_xlfn.XLOOKUP(S119:AL119,增益!$A:$A,增益!$I:$I,0))&gt;0,($F$11-$I$4+VLOOKUP($R119,武学奇术!$A:$ZZ,9,FALSE)+SUM(_xlfn.XLOOKUP(S119:AL119,增益!$A:$A,增益!$I:$I,0)))/200,($F$11-$I$4+VLOOKUP($R119,武学奇术!$A:$ZZ,9,FALSE)+SUM(_xlfn.XLOOKUP(S119:AL119,增益!$A:$A,增益!$I:$I,0)))/100)</f>
        <v>-0.3</v>
      </c>
      <c r="BB119" s="29" cm="1">
        <f t="array" ref="BB119">$G$11+VLOOKUP($R119,武学奇术!$A:$ZZ,10,FALSE)+SUM(_xlfn.XLOOKUP(S119:AL119,增益!$A:$A,增益!$J:$J,0))</f>
        <v>0</v>
      </c>
      <c r="BC119">
        <f t="shared" si="14"/>
        <v>0</v>
      </c>
      <c r="BD119">
        <f t="shared" si="15"/>
        <v>0</v>
      </c>
      <c r="BE119" s="29" cm="1">
        <f t="array" ref="BE119">IF($F$12-$I$4+VLOOKUP($R119,武学奇术!$A:$ZZ,11,FALSE)+SUM(_xlfn.XLOOKUP(S119:AL119,增益!$A:$A,增益!$K:$K,0))&gt;0,($F$12-$I$4+VLOOKUP($R119,武学奇术!$A:$ZZ,11,FALSE)+SUM(_xlfn.XLOOKUP(S119:AL119,增益!$A:$A,增益!$K:$K,0)))/200,($F$12-$I$4+VLOOKUP($R119,武学奇术!$A:$ZZ,11,FALSE)+SUM(_xlfn.XLOOKUP(S119:AL119,增益!$A:$A,增益!$K:$K,0)))/100)</f>
        <v>-0.3</v>
      </c>
      <c r="BF119" s="29" cm="1">
        <f t="array" ref="BF119">$G$12+VLOOKUP($R119,武学奇术!$A:$ZZ,12,FALSE)+SUM(_xlfn.XLOOKUP(S119:AL119,增益!$A:$A,增益!$L:$L,0))</f>
        <v>0</v>
      </c>
      <c r="BG119">
        <f t="shared" si="16"/>
        <v>0</v>
      </c>
      <c r="BH119">
        <f t="shared" si="17"/>
        <v>0</v>
      </c>
      <c r="BI119" s="29" cm="1">
        <f t="array" ref="BI119">IF($F$13-$I$4+VLOOKUP($R119,武学奇术!$A:$ZZ,13,FALSE)+SUM(_xlfn.XLOOKUP(S119:AL119,增益!$A:$A,增益!$M:$M,0))&gt;0,($F$13-$I$4+VLOOKUP($R119,武学奇术!$A:$ZZ,13,FALSE)+SUM(_xlfn.XLOOKUP(S119:AL119,增益!$A:$A,增益!$K:$K,0)))/200,($F$13-$I$4+VLOOKUP($R119,武学奇术!$A:$ZZ,13,FALSE)+SUM(_xlfn.XLOOKUP(S119:AL119,增益!$A:$A,增益!$M:$M,0)))/100)</f>
        <v>-0.3</v>
      </c>
      <c r="BJ119" s="29" cm="1">
        <f t="array" ref="BJ119">$G$13+VLOOKUP($R119,武学奇术!$A:$ZZ,14,FALSE)+SUM(_xlfn.XLOOKUP(S119:AL119,增益!$A:$A,增益!$N:$N,0))</f>
        <v>0</v>
      </c>
      <c r="BK119">
        <f t="shared" si="18"/>
        <v>618.2</v>
      </c>
      <c r="BL119">
        <f t="shared" si="19"/>
        <v>1805</v>
      </c>
      <c r="BM119" s="29" cm="1">
        <f t="array" ref="BM119">IF($F$14-$I$4+VLOOKUP($R119,武学奇术!$A:$ZZ,15,FALSE)+SUM(_xlfn.XLOOKUP(S119:AL119,增益!$A:$A,增益!$O:$O,0))&gt;0,($F$14-$I$4+VLOOKUP($R119,武学奇术!$A:$ZZ,15,FALSE)+SUM(_xlfn.XLOOKUP(S119:AL119,增益!$A:$A,增益!$O:$O,0)))/200,($F$14-$I$4+VLOOKUP($R119,武学奇术!$A:$ZZ,15,FALSE)+SUM(_xlfn.XLOOKUP(S119:AL119,增益!$A:$A,增益!$O:$O,0)))/100)</f>
        <v>0</v>
      </c>
      <c r="BN119" s="29" cm="1">
        <f t="array" ref="BN119">$G$14+VLOOKUP($R119,武学奇术!$A:$ZZ,16,FALSE)+SUM(_xlfn.XLOOKUP(S119:AL119,增益!$A:$A,增益!$P:$P,0))</f>
        <v>0.15</v>
      </c>
      <c r="BO119" s="23">
        <f>MIN(IF(VLOOKUP($R119,武学奇术!$A:$ZZ,23,FALSE)=1,100%,$B$8),100%)</f>
        <v>0.9943</v>
      </c>
      <c r="BP119" s="23" cm="1">
        <f t="array" ref="BP119">IF(VLOOKUP($R119,武学奇术!$A:$ZZ,23,FALSE)=1,100%,MIN(80%,$B$9+VLOOKUP($R119,武学奇术!$A:$ZZ,17,FALSE)+SUM(_xlfn.XLOOKUP(S119:AL119,增益!$A:$A,增益!$Q:$Q,0)))+$B$11+SUM(_xlfn.XLOOKUP(S119:AL119,增益!$A:$A,增益!$U:$U,0)))*IF(VLOOKUP($R119,武学奇术!$A:$ZZ,24,FALSE)=1,0,1)</f>
        <v>0.8</v>
      </c>
      <c r="BQ119" s="23" cm="1">
        <f t="array" ref="BQ119">1+$B$13+VLOOKUP($R119,武学奇术!$A:$ZZ,18,FALSE)+SUM(_xlfn.XLOOKUP(S119:AL119,增益!$A:$A,增益!$R:$R,0))</f>
        <v>1.644</v>
      </c>
      <c r="BR119" s="23" cm="1">
        <f t="array" ref="BR119">IF(VLOOKUP($R119,武学奇术!$A:$ZZ,24,FALSE)=1,100%,MIN(40%,$B$10+VLOOKUP($R119,武学奇术!$A:$ZZ,19,FALSE)+SUM(_xlfn.XLOOKUP(S119:AL119,增益!$A:$A,增益!$S:$S,0)))+$B$12+SUM(_xlfn.XLOOKUP(S119:AL119,增益!$A:$A,增益!$V:$V,0)))*IF(VLOOKUP($R119,武学奇术!$A:$ZZ,23,FALSE)=1,0,1)</f>
        <v>0.0913</v>
      </c>
      <c r="BS119" s="23" cm="1">
        <f t="array" ref="BS119">1+$B$14+VLOOKUP($R119,武学奇术!$A:$ZZ,20,FALSE)+SUM(_xlfn.XLOOKUP(S119:AL119,增益!$A:$A,增益!$T:$T,0))</f>
        <v>1.35</v>
      </c>
      <c r="BT119" s="23">
        <f t="shared" si="20"/>
        <v>0.79544</v>
      </c>
      <c r="BU119" s="23">
        <f t="shared" si="21"/>
        <v>0.10808041</v>
      </c>
      <c r="BV119" s="23">
        <f>IF(VLOOKUP($R119,武学奇术!$A:$ZZ,22,FALSE)=1,0,(1-$BO119))*(1-$BR119)</f>
        <v>0.00517959000000003</v>
      </c>
      <c r="BW119" s="23" cm="1">
        <f t="array" ref="BW119">SUM(_xlfn.XLOOKUP(S119:AL119,增益!$A:$A,增益!$W:$W,0))+$I$5</f>
        <v>0.11</v>
      </c>
      <c r="BX119" s="23">
        <f>VLOOKUP($R119,武学奇术!$A:$ZZ,32,FALSE)</f>
        <v>0</v>
      </c>
      <c r="BY119" s="23" cm="1">
        <f t="array" ref="BY119">SUM(_xlfn.XLOOKUP($S119:$AL119,增益!$A:$A,增益!$X:$X,0))</f>
        <v>0</v>
      </c>
    </row>
    <row r="120" spans="1:77">
      <c r="K120" s="35">
        <f>$L120*VLOOKUP($R120,武学奇术!$A:$ZZ,31,FALSE)</f>
        <v>73673.5750523998</v>
      </c>
      <c r="L120" s="69">
        <f t="shared" si="23"/>
        <v>72228.9951494115</v>
      </c>
      <c r="M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轻击",$B$21,0))*(1+IF(VLOOKUP($R120,武学奇术!$A:$ZZ,30,FALSE)="老鼠",$B$22,0))*(1+$BW120)*(1+$BX120)</f>
        <v>76053.4234693911</v>
      </c>
      <c r="N120" s="35">
        <f>(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轻击",$B$21,0))*(1+IF(VLOOKUP($R120,武学奇术!$A:$ZZ,30,FALSE)="老鼠",$B$22,0))*(1+$BW120))*(1+$BX120)</f>
        <v>71503.1794911649</v>
      </c>
      <c r="O120" s="35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轻击",$B$21,0))*(1+IF(VLOOKUP($R120,武学奇术!$A:$ZZ,30,FALSE)="老鼠",$B$22,0))*(1+$BW120)*(1+$BX120)</f>
        <v>46261.2064898973</v>
      </c>
      <c r="P120" s="35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轻击",$B$21,0))*(1+IF(VLOOKUP($R120,武学奇术!$A:$ZZ,30,FALSE)="老鼠",$B$22,0))*(1+$BW120)*(1+$BX120)</f>
        <v>39557.0948381909</v>
      </c>
      <c r="Q120" s="70">
        <v>4</v>
      </c>
      <c r="R120" s="37" t="s">
        <v>106</v>
      </c>
      <c r="S120" s="37" t="s">
        <v>91</v>
      </c>
      <c r="T120" s="37" t="s">
        <v>185</v>
      </c>
      <c r="U120" s="37" t="s">
        <v>112</v>
      </c>
      <c r="V120" s="37" t="s">
        <v>113</v>
      </c>
      <c r="W120" s="37" t="s">
        <v>82</v>
      </c>
      <c r="X120" s="37" t="s">
        <v>81</v>
      </c>
      <c r="Y120" s="37" t="s">
        <v>109</v>
      </c>
      <c r="Z120" s="37" t="s">
        <v>81</v>
      </c>
      <c r="AA120" s="37" t="s">
        <v>81</v>
      </c>
      <c r="AB120" s="37" t="s">
        <v>81</v>
      </c>
      <c r="AC120" s="37" t="s">
        <v>81</v>
      </c>
      <c r="AD120" s="37" t="s">
        <v>81</v>
      </c>
      <c r="AE120" s="37" t="s">
        <v>81</v>
      </c>
      <c r="AF120" s="37" t="s">
        <v>81</v>
      </c>
      <c r="AG120" s="37" t="s">
        <v>87</v>
      </c>
      <c r="AH120" s="37" t="s">
        <v>81</v>
      </c>
      <c r="AI120" s="37" t="s">
        <v>81</v>
      </c>
      <c r="AJ120" s="37" t="s">
        <v>81</v>
      </c>
      <c r="AK120" s="37" t="s">
        <v>81</v>
      </c>
      <c r="AL120" s="37" t="s">
        <v>81</v>
      </c>
      <c r="AM120" t="str">
        <f>VLOOKUP($R120,武学奇术!$A:$ZZ,25,FALSE)</f>
        <v>绳镖</v>
      </c>
      <c r="AN120" s="23">
        <f>VLOOKUP($R120,武学奇术!$A:$ZZ,26,FALSE)</f>
        <v>0.3675</v>
      </c>
      <c r="AO120" s="24">
        <f>VLOOKUP($R120,武学奇术!$A:$ZZ,27,FALSE)*(1+IF(OR($AM120=$F$4,$AM120=$F$5),$B$23,0))</f>
        <v>0</v>
      </c>
      <c r="AP120" s="23">
        <f>VLOOKUP($R120,武学奇术!$A:$ZZ,28,FALSE)</f>
        <v>0.55125</v>
      </c>
      <c r="AQ120" s="24">
        <f>VLOOKUP($R120,武学奇术!$A:$ZZ,29,FALSE)*(1+IF(OR($AM120=$F$4,$AM120=$F$5),$B$23,0))</f>
        <v>0</v>
      </c>
      <c r="AR120" s="23" cm="1">
        <f t="array" ref="AR120">$G$3+IFERROR(VLOOKUP($AM120,$F$4:$G$7,2,FALSE),0)+VLOOKUP($R120,武学奇术!$A:$ZZ,2,FALSE)+SUM(_xlfn.XLOOKUP($S120:$AL120,增益!$A:$A,增益!$B:$B,0))</f>
        <v>1.3443</v>
      </c>
      <c r="AS120" s="23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4081.7</v>
      </c>
      <c r="AU120" cm="1">
        <f t="array" ref="AU120">$E$10*(1+$AS120)+VLOOKUP($R120,武学奇术!$A:$ZZ,4,FALSE)+SUM(_xlfn.XLOOKUP($S120:$AL120,增益!$A:$A,增益!$D:$D,0))-$I$2</f>
        <v>4081.7</v>
      </c>
      <c r="AV120" s="29" cm="1">
        <f t="array" ref="AV120">IF($F$10-$I$3+VLOOKUP($R120,武学奇术!$A:$ZZ,6,FALSE)+SUM(_xlfn.XLOOKUP(S120:AL120,增益!$A:$A,增益!$F:$F,0))&gt;0,($F$10-$I$3+VLOOKUP($R120,武学奇术!$A:$ZZ,6,FALSE)+SUM(_xlfn.XLOOKUP(S120:AL120,增益!$A:$A,增益!$F:$F,0)))/200,($F$10-$I$3+VLOOKUP($R120,武学奇术!$A:$ZZ,6,FALSE)+SUM(_xlfn.XLOOKUP(S120:AL120,增益!$A:$A,增益!$F:$F,0)))/100)</f>
        <v>0.2439</v>
      </c>
      <c r="AW120" s="29" cm="1">
        <f t="array" ref="AW120">$G$10+VLOOKUP($R120,武学奇术!$A:$ZZ,7,FALSE)+SUM(_xlfn.XLOOKUP(S120:AL120,增益!$A:$A,增益!$G:$G,0))</f>
        <v>0.27</v>
      </c>
      <c r="AX120" s="23" cm="1">
        <f t="array" ref="AX120">VLOOKUP($R120,武学奇术!$A:$ZZ,8,FALSE)+SUM(_xlfn.XLOOKUP(S120:AL120,增益!$A:$A,增益!$H:$H,0))</f>
        <v>0</v>
      </c>
      <c r="AY120">
        <f t="shared" si="12"/>
        <v>0</v>
      </c>
      <c r="AZ120">
        <f t="shared" si="13"/>
        <v>0</v>
      </c>
      <c r="BA120" s="29" cm="1">
        <f t="array" ref="BA120">IF($F$11-$I$4+VLOOKUP($R120,武学奇术!$A:$ZZ,9,FALSE)+SUM(_xlfn.XLOOKUP(S120:AL120,增益!$A:$A,增益!$I:$I,0))&gt;0,($F$11-$I$4+VLOOKUP($R120,武学奇术!$A:$ZZ,9,FALSE)+SUM(_xlfn.XLOOKUP(S120:AL120,增益!$A:$A,增益!$I:$I,0)))/200,($F$11-$I$4+VLOOKUP($R120,武学奇术!$A:$ZZ,9,FALSE)+SUM(_xlfn.XLOOKUP(S120:AL120,增益!$A:$A,增益!$I:$I,0)))/100)</f>
        <v>-0.3</v>
      </c>
      <c r="BB120" s="29" cm="1">
        <f t="array" ref="BB120">$G$11+VLOOKUP($R120,武学奇术!$A:$ZZ,10,FALSE)+SUM(_xlfn.XLOOKUP(S120:AL120,增益!$A:$A,增益!$J:$J,0))</f>
        <v>0</v>
      </c>
      <c r="BC120">
        <f t="shared" si="14"/>
        <v>0</v>
      </c>
      <c r="BD120">
        <f t="shared" si="15"/>
        <v>0</v>
      </c>
      <c r="BE120" s="29" cm="1">
        <f t="array" ref="BE120">IF($F$12-$I$4+VLOOKUP($R120,武学奇术!$A:$ZZ,11,FALSE)+SUM(_xlfn.XLOOKUP(S120:AL120,增益!$A:$A,增益!$K:$K,0))&gt;0,($F$12-$I$4+VLOOKUP($R120,武学奇术!$A:$ZZ,11,FALSE)+SUM(_xlfn.XLOOKUP(S120:AL120,增益!$A:$A,增益!$K:$K,0)))/200,($F$12-$I$4+VLOOKUP($R120,武学奇术!$A:$ZZ,11,FALSE)+SUM(_xlfn.XLOOKUP(S120:AL120,增益!$A:$A,增益!$K:$K,0)))/100)</f>
        <v>-0.3</v>
      </c>
      <c r="BF120" s="29" cm="1">
        <f t="array" ref="BF120">$G$12+VLOOKUP($R120,武学奇术!$A:$ZZ,12,FALSE)+SUM(_xlfn.XLOOKUP(S120:AL120,增益!$A:$A,增益!$L:$L,0))</f>
        <v>0</v>
      </c>
      <c r="BG120">
        <f t="shared" si="16"/>
        <v>0</v>
      </c>
      <c r="BH120">
        <f t="shared" si="17"/>
        <v>0</v>
      </c>
      <c r="BI120" s="29" cm="1">
        <f t="array" ref="BI120">IF($F$13-$I$4+VLOOKUP($R120,武学奇术!$A:$ZZ,13,FALSE)+SUM(_xlfn.XLOOKUP(S120:AL120,增益!$A:$A,增益!$M:$M,0))&gt;0,($F$13-$I$4+VLOOKUP($R120,武学奇术!$A:$ZZ,13,FALSE)+SUM(_xlfn.XLOOKUP(S120:AL120,增益!$A:$A,增益!$K:$K,0)))/200,($F$13-$I$4+VLOOKUP($R120,武学奇术!$A:$ZZ,13,FALSE)+SUM(_xlfn.XLOOKUP(S120:AL120,增益!$A:$A,增益!$M:$M,0)))/100)</f>
        <v>-0.3</v>
      </c>
      <c r="BJ120" s="29" cm="1">
        <f t="array" ref="BJ120">$G$13+VLOOKUP($R120,武学奇术!$A:$ZZ,14,FALSE)+SUM(_xlfn.XLOOKUP(S120:AL120,增益!$A:$A,增益!$N:$N,0))</f>
        <v>0</v>
      </c>
      <c r="BK120">
        <f t="shared" si="18"/>
        <v>618.2</v>
      </c>
      <c r="BL120">
        <f t="shared" si="19"/>
        <v>1805</v>
      </c>
      <c r="BM120" s="29" cm="1">
        <f t="array" ref="BM120">IF($F$14-$I$4+VLOOKUP($R120,武学奇术!$A:$ZZ,15,FALSE)+SUM(_xlfn.XLOOKUP(S120:AL120,增益!$A:$A,增益!$O:$O,0))&gt;0,($F$14-$I$4+VLOOKUP($R120,武学奇术!$A:$ZZ,15,FALSE)+SUM(_xlfn.XLOOKUP(S120:AL120,增益!$A:$A,增益!$O:$O,0)))/200,($F$14-$I$4+VLOOKUP($R120,武学奇术!$A:$ZZ,15,FALSE)+SUM(_xlfn.XLOOKUP(S120:AL120,增益!$A:$A,增益!$O:$O,0)))/100)</f>
        <v>0.05</v>
      </c>
      <c r="BN120" s="29" cm="1">
        <f t="array" ref="BN120">$G$14+VLOOKUP($R120,武学奇术!$A:$ZZ,16,FALSE)+SUM(_xlfn.XLOOKUP(S120:AL120,增益!$A:$A,增益!$P:$P,0))</f>
        <v>0.42</v>
      </c>
      <c r="BO120" s="23">
        <f>MIN(IF(VLOOKUP($R120,武学奇术!$A:$ZZ,23,FALSE)=1,100%,$B$8),100%)</f>
        <v>0.9943</v>
      </c>
      <c r="BP120" s="23" cm="1">
        <f t="array" ref="BP120">IF(VLOOKUP($R120,武学奇术!$A:$ZZ,23,FALSE)=1,100%,MIN(80%,$B$9+VLOOKUP($R120,武学奇术!$A:$ZZ,17,FALSE)+SUM(_xlfn.XLOOKUP(S120:AL120,增益!$A:$A,增益!$Q:$Q,0)))+$B$11+SUM(_xlfn.XLOOKUP(S120:AL120,增益!$A:$A,增益!$U:$U,0)))*IF(VLOOKUP($R120,武学奇术!$A:$ZZ,24,FALSE)=1,0,1)</f>
        <v>0.8</v>
      </c>
      <c r="BQ120" s="23" cm="1">
        <f t="array" ref="BQ120">1+$B$13+VLOOKUP($R120,武学奇术!$A:$ZZ,18,FALSE)+SUM(_xlfn.XLOOKUP(S120:AL120,增益!$A:$A,增益!$R:$R,0))</f>
        <v>1.644</v>
      </c>
      <c r="BR120" s="23" cm="1">
        <f t="array" ref="BR120">IF(VLOOKUP($R120,武学奇术!$A:$ZZ,24,FALSE)=1,100%,MIN(40%,$B$10+VLOOKUP($R120,武学奇术!$A:$ZZ,19,FALSE)+SUM(_xlfn.XLOOKUP(S120:AL120,增益!$A:$A,增益!$S:$S,0)))+$B$12+SUM(_xlfn.XLOOKUP(S120:AL120,增益!$A:$A,增益!$V:$V,0)))*IF(VLOOKUP($R120,武学奇术!$A:$ZZ,23,FALSE)=1,0,1)</f>
        <v>0.0913</v>
      </c>
      <c r="BS120" s="23" cm="1">
        <f t="array" ref="BS120">1+$B$14+VLOOKUP($R120,武学奇术!$A:$ZZ,20,FALSE)+SUM(_xlfn.XLOOKUP(S120:AL120,增益!$A:$A,增益!$T:$T,0))</f>
        <v>1.35</v>
      </c>
      <c r="BT120" s="23">
        <f t="shared" si="20"/>
        <v>0.79544</v>
      </c>
      <c r="BU120" s="23">
        <f t="shared" si="21"/>
        <v>0.10808041</v>
      </c>
      <c r="BV120" s="23">
        <f>IF(VLOOKUP($R120,武学奇术!$A:$ZZ,22,FALSE)=1,0,(1-$BO120))*(1-$BR120)</f>
        <v>0.00517959000000003</v>
      </c>
      <c r="BW120" s="23" cm="1">
        <f t="array" ref="BW120">SUM(_xlfn.XLOOKUP(S120:AL120,增益!$A:$A,增益!$W:$W,0))+$I$5</f>
        <v>0.11</v>
      </c>
      <c r="BX120" s="23">
        <f>VLOOKUP($R120,武学奇术!$A:$ZZ,32,FALSE)</f>
        <v>0</v>
      </c>
      <c r="BY120" s="23" cm="1">
        <f t="array" ref="BY120">SUM(_xlfn.XLOOKUP($S120:$AL120,增益!$A:$A,增益!$X:$X,0))</f>
        <v>0</v>
      </c>
    </row>
    <row r="121" spans="1:77">
      <c r="K121" s="35">
        <f>$L121*VLOOKUP($R121,武学奇术!$A:$ZZ,31,FALSE)</f>
        <v>66732.6145936757</v>
      </c>
      <c r="L121" s="35">
        <f t="shared" si="23"/>
        <v>65424.131954584</v>
      </c>
      <c r="M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轻击",$B$21,0))*(1+IF(VLOOKUP($R121,武学奇术!$A:$ZZ,30,FALSE)="老鼠",$B$22,0))*(1+$BW121)*(1+$BX121)</f>
        <v>70520.5198067767</v>
      </c>
      <c r="N121" s="35">
        <f>(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轻击",$B$21,0))*(1+IF(VLOOKUP($R121,武学奇术!$A:$ZZ,30,FALSE)="老鼠",$B$22,0))*(1+$BW121))*(1+$BX121)</f>
        <v>56244.7809010612</v>
      </c>
      <c r="O121" s="35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轻击",$B$21,0))*(1+IF(VLOOKUP($R121,武学奇术!$A:$ZZ,30,FALSE)="老鼠",$B$22,0))*(1+$BW121)*(1+$BX121)</f>
        <v>37233.6429814027</v>
      </c>
      <c r="P121" s="35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轻击",$B$21,0))*(1+IF(VLOOKUP($R121,武学奇术!$A:$ZZ,30,FALSE)="老鼠",$B$22,0))*(1+$BW121)*(1+$BX121)</f>
        <v>32804.4852953527</v>
      </c>
      <c r="Q121" s="36">
        <v>1</v>
      </c>
      <c r="R121" s="37" t="s">
        <v>128</v>
      </c>
      <c r="S121" s="37" t="s">
        <v>91</v>
      </c>
      <c r="T121" s="37" t="s">
        <v>185</v>
      </c>
      <c r="U121" s="37" t="s">
        <v>81</v>
      </c>
      <c r="V121" s="37" t="s">
        <v>81</v>
      </c>
      <c r="W121" s="37" t="s">
        <v>82</v>
      </c>
      <c r="X121" s="37" t="s">
        <v>81</v>
      </c>
      <c r="Y121" s="37" t="s">
        <v>81</v>
      </c>
      <c r="Z121" s="37" t="s">
        <v>81</v>
      </c>
      <c r="AA121" s="37" t="s">
        <v>81</v>
      </c>
      <c r="AB121" s="37" t="s">
        <v>81</v>
      </c>
      <c r="AC121" s="37" t="s">
        <v>81</v>
      </c>
      <c r="AD121" s="37" t="s">
        <v>85</v>
      </c>
      <c r="AE121" s="37" t="s">
        <v>86</v>
      </c>
      <c r="AF121" s="37" t="s">
        <v>81</v>
      </c>
      <c r="AG121" s="37" t="s">
        <v>87</v>
      </c>
      <c r="AH121" s="37" t="s">
        <v>81</v>
      </c>
      <c r="AI121" s="37" t="s">
        <v>81</v>
      </c>
      <c r="AJ121" s="37" t="s">
        <v>81</v>
      </c>
      <c r="AK121" s="37" t="s">
        <v>81</v>
      </c>
      <c r="AL121" s="37" t="s">
        <v>81</v>
      </c>
      <c r="AM121" t="str">
        <f>VLOOKUP($R121,武学奇术!$A:$ZZ,25,FALSE)</f>
        <v>双刀</v>
      </c>
      <c r="AN121" s="23">
        <f>VLOOKUP($R121,武学奇术!$A:$ZZ,26,FALSE)</f>
        <v>2.4761</v>
      </c>
      <c r="AO121" s="24">
        <f>VLOOKUP($R121,武学奇术!$A:$ZZ,27,FALSE)*(1+IF(OR($AM121=$F$4,$AM121=$F$5),$B$23,0))</f>
        <v>1096</v>
      </c>
      <c r="AP121" s="23">
        <f>VLOOKUP($R121,武学奇术!$A:$ZZ,28,FALSE)</f>
        <v>3.7142</v>
      </c>
      <c r="AQ121" s="24">
        <f>VLOOKUP($R121,武学奇术!$A:$ZZ,29,FALSE)*(1+IF(OR($AM121=$F$4,$AM121=$F$5),$B$23,0))</f>
        <v>596.8</v>
      </c>
      <c r="AR121" s="23" cm="1">
        <f t="array" ref="AR121">$G$3+IFERROR(VLOOKUP($AM121,$F$4:$G$7,2,FALSE),0)+VLOOKUP($R121,武学奇术!$A:$ZZ,2,FALSE)+SUM(_xlfn.XLOOKUP($S121:$AL121,增益!$A:$A,增益!$B:$B,0))</f>
        <v>0.5743</v>
      </c>
      <c r="AS121" s="23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4013</v>
      </c>
      <c r="AU121" cm="1">
        <f t="array" ref="AU121">$E$10*(1+$AS121)+VLOOKUP($R121,武学奇术!$A:$ZZ,4,FALSE)+SUM(_xlfn.XLOOKUP($S121:$AL121,增益!$A:$A,增益!$D:$D,0))-$I$2</f>
        <v>4013</v>
      </c>
      <c r="AV121" s="29" cm="1">
        <f t="array" ref="AV121">IF($F$10-$I$3+VLOOKUP($R121,武学奇术!$A:$ZZ,6,FALSE)+SUM(_xlfn.XLOOKUP(S121:AL121,增益!$A:$A,增益!$F:$F,0))&gt;0,($F$10-$I$3+VLOOKUP($R121,武学奇术!$A:$ZZ,6,FALSE)+SUM(_xlfn.XLOOKUP(S121:AL121,增益!$A:$A,增益!$F:$F,0)))/200,($F$10-$I$3+VLOOKUP($R121,武学奇术!$A:$ZZ,6,FALSE)+SUM(_xlfn.XLOOKUP(S121:AL121,增益!$A:$A,增益!$F:$F,0)))/100)</f>
        <v>0.3689</v>
      </c>
      <c r="AW121" s="29" cm="1">
        <f t="array" ref="AW121">$G$10+VLOOKUP($R121,武学奇术!$A:$ZZ,7,FALSE)+SUM(_xlfn.XLOOKUP(S121:AL121,增益!$A:$A,增益!$G:$G,0))</f>
        <v>0</v>
      </c>
      <c r="AX121" s="23" cm="1">
        <f t="array" ref="AX121">VLOOKUP($R121,武学奇术!$A:$ZZ,8,FALSE)+SUM(_xlfn.XLOOKUP(S121:AL121,增益!$A:$A,增益!$H:$H,0))</f>
        <v>0</v>
      </c>
      <c r="AY121">
        <f t="shared" si="12"/>
        <v>0</v>
      </c>
      <c r="AZ121">
        <f t="shared" si="13"/>
        <v>0</v>
      </c>
      <c r="BA121" s="29" cm="1">
        <f t="array" ref="BA121">IF($F$11-$I$4+VLOOKUP($R121,武学奇术!$A:$ZZ,9,FALSE)+SUM(_xlfn.XLOOKUP(S121:AL121,增益!$A:$A,增益!$I:$I,0))&gt;0,($F$11-$I$4+VLOOKUP($R121,武学奇术!$A:$ZZ,9,FALSE)+SUM(_xlfn.XLOOKUP(S121:AL121,增益!$A:$A,增益!$I:$I,0)))/200,($F$11-$I$4+VLOOKUP($R121,武学奇术!$A:$ZZ,9,FALSE)+SUM(_xlfn.XLOOKUP(S121:AL121,增益!$A:$A,增益!$I:$I,0)))/100)</f>
        <v>-0.3</v>
      </c>
      <c r="BB121" s="29" cm="1">
        <f t="array" ref="BB121">$G$11+VLOOKUP($R121,武学奇术!$A:$ZZ,10,FALSE)+SUM(_xlfn.XLOOKUP(S121:AL121,增益!$A:$A,增益!$J:$J,0))</f>
        <v>0</v>
      </c>
      <c r="BC121">
        <f t="shared" si="14"/>
        <v>0</v>
      </c>
      <c r="BD121">
        <f t="shared" si="15"/>
        <v>0</v>
      </c>
      <c r="BE121" s="29" cm="1">
        <f t="array" ref="BE121">IF($F$12-$I$4+VLOOKUP($R121,武学奇术!$A:$ZZ,11,FALSE)+SUM(_xlfn.XLOOKUP(S121:AL121,增益!$A:$A,增益!$K:$K,0))&gt;0,($F$12-$I$4+VLOOKUP($R121,武学奇术!$A:$ZZ,11,FALSE)+SUM(_xlfn.XLOOKUP(S121:AL121,增益!$A:$A,增益!$K:$K,0)))/200,($F$12-$I$4+VLOOKUP($R121,武学奇术!$A:$ZZ,11,FALSE)+SUM(_xlfn.XLOOKUP(S121:AL121,增益!$A:$A,增益!$K:$K,0)))/100)</f>
        <v>-0.3</v>
      </c>
      <c r="BF121" s="29" cm="1">
        <f t="array" ref="BF121">$G$12+VLOOKUP($R121,武学奇术!$A:$ZZ,12,FALSE)+SUM(_xlfn.XLOOKUP(S121:AL121,增益!$A:$A,增益!$L:$L,0))</f>
        <v>0</v>
      </c>
      <c r="BG121">
        <f t="shared" si="16"/>
        <v>0</v>
      </c>
      <c r="BH121">
        <f t="shared" si="17"/>
        <v>0</v>
      </c>
      <c r="BI121" s="29" cm="1">
        <f t="array" ref="BI121">IF($F$13-$I$4+VLOOKUP($R121,武学奇术!$A:$ZZ,13,FALSE)+SUM(_xlfn.XLOOKUP(S121:AL121,增益!$A:$A,增益!$M:$M,0))&gt;0,($F$13-$I$4+VLOOKUP($R121,武学奇术!$A:$ZZ,13,FALSE)+SUM(_xlfn.XLOOKUP(S121:AL121,增益!$A:$A,增益!$K:$K,0)))/200,($F$13-$I$4+VLOOKUP($R121,武学奇术!$A:$ZZ,13,FALSE)+SUM(_xlfn.XLOOKUP(S121:AL121,增益!$A:$A,增益!$M:$M,0)))/100)</f>
        <v>-0.3</v>
      </c>
      <c r="BJ121" s="29" cm="1">
        <f t="array" ref="BJ121">$G$13+VLOOKUP($R121,武学奇术!$A:$ZZ,14,FALSE)+SUM(_xlfn.XLOOKUP(S121:AL121,增益!$A:$A,增益!$N:$N,0))</f>
        <v>0</v>
      </c>
      <c r="BK121">
        <f t="shared" si="18"/>
        <v>618.2</v>
      </c>
      <c r="BL121">
        <f t="shared" si="19"/>
        <v>1805</v>
      </c>
      <c r="BM121" s="29" cm="1">
        <f t="array" ref="BM121">IF($F$14-$I$4+VLOOKUP($R121,武学奇术!$A:$ZZ,15,FALSE)+SUM(_xlfn.XLOOKUP(S121:AL121,增益!$A:$A,增益!$O:$O,0))&gt;0,($F$14-$I$4+VLOOKUP($R121,武学奇术!$A:$ZZ,15,FALSE)+SUM(_xlfn.XLOOKUP(S121:AL121,增益!$A:$A,增益!$O:$O,0)))/200,($F$14-$I$4+VLOOKUP($R121,武学奇术!$A:$ZZ,15,FALSE)+SUM(_xlfn.XLOOKUP(S121:AL121,增益!$A:$A,增益!$O:$O,0)))/100)</f>
        <v>0</v>
      </c>
      <c r="BN121" s="29" cm="1">
        <f t="array" ref="BN121">$G$14+VLOOKUP($R121,武学奇术!$A:$ZZ,16,FALSE)+SUM(_xlfn.XLOOKUP(S121:AL121,增益!$A:$A,增益!$P:$P,0))</f>
        <v>0.15</v>
      </c>
      <c r="BO121" s="23">
        <f>MIN(IF(VLOOKUP($R121,武学奇术!$A:$ZZ,23,FALSE)=1,100%,$B$8),100%)</f>
        <v>0.9943</v>
      </c>
      <c r="BP121" s="23" cm="1">
        <f t="array" ref="BP121">IF(VLOOKUP($R121,武学奇术!$A:$ZZ,23,FALSE)=1,100%,MIN(80%,$B$9+VLOOKUP($R121,武学奇术!$A:$ZZ,17,FALSE)+SUM(_xlfn.XLOOKUP(S121:AL121,增益!$A:$A,增益!$Q:$Q,0)))+$B$11+SUM(_xlfn.XLOOKUP(S121:AL121,增益!$A:$A,增益!$U:$U,0)))*IF(VLOOKUP($R121,武学奇术!$A:$ZZ,24,FALSE)=1,0,1)</f>
        <v>0.8</v>
      </c>
      <c r="BQ121" s="23" cm="1">
        <f t="array" ref="BQ121">1+$B$13+VLOOKUP($R121,武学奇术!$A:$ZZ,18,FALSE)+SUM(_xlfn.XLOOKUP(S121:AL121,增益!$A:$A,增益!$R:$R,0))</f>
        <v>1.894</v>
      </c>
      <c r="BR121" s="23" cm="1">
        <f t="array" ref="BR121">IF(VLOOKUP($R121,武学奇术!$A:$ZZ,24,FALSE)=1,100%,MIN(40%,$B$10+VLOOKUP($R121,武学奇术!$A:$ZZ,19,FALSE)+SUM(_xlfn.XLOOKUP(S121:AL121,增益!$A:$A,增益!$S:$S,0)))+$B$12+SUM(_xlfn.XLOOKUP(S121:AL121,增益!$A:$A,增益!$V:$V,0)))*IF(VLOOKUP($R121,武学奇术!$A:$ZZ,23,FALSE)=1,0,1)</f>
        <v>0.0913</v>
      </c>
      <c r="BS121" s="23" cm="1">
        <f t="array" ref="BS121">1+$B$14+VLOOKUP($R121,武学奇术!$A:$ZZ,20,FALSE)+SUM(_xlfn.XLOOKUP(S121:AL121,增益!$A:$A,增益!$T:$T,0))</f>
        <v>1.35</v>
      </c>
      <c r="BT121" s="23">
        <f t="shared" si="20"/>
        <v>0.79544</v>
      </c>
      <c r="BU121" s="23">
        <f t="shared" si="21"/>
        <v>0.10808041</v>
      </c>
      <c r="BV121" s="23">
        <f>IF(VLOOKUP($R121,武学奇术!$A:$ZZ,22,FALSE)=1,0,(1-$BO121))*(1-$BR121)</f>
        <v>0.00517959000000003</v>
      </c>
      <c r="BW121" s="23" cm="1">
        <f t="array" ref="BW121">SUM(_xlfn.XLOOKUP(S121:AL121,增益!$A:$A,增益!$W:$W,0))+$I$5</f>
        <v>0.11</v>
      </c>
      <c r="BX121" s="23">
        <f>VLOOKUP($R121,武学奇术!$A:$ZZ,32,FALSE)</f>
        <v>0</v>
      </c>
      <c r="BY121" s="23" cm="1">
        <f t="array" ref="BY121">SUM(_xlfn.XLOOKUP($S121:$AL121,增益!$A:$A,增益!$X:$X,0))</f>
        <v>0</v>
      </c>
    </row>
    <row r="122" spans="1:77">
      <c r="K122" s="35">
        <f>$L122*VLOOKUP($R122,武学奇术!$A:$ZZ,31,FALSE)</f>
        <v>70922.6187451297</v>
      </c>
      <c r="L122" s="69">
        <f t="shared" si="23"/>
        <v>69531.9791618918</v>
      </c>
      <c r="M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轻击",$B$21,0))*(1+IF(VLOOKUP($R122,武学奇术!$A:$ZZ,30,FALSE)="老鼠",$B$22,0))*(1+$BW122)*(1+$BX122)</f>
        <v>74865.9203623501</v>
      </c>
      <c r="N122" s="35">
        <f>(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轻击",$B$21,0))*(1+IF(VLOOKUP($R122,武学奇术!$A:$ZZ,30,FALSE)="老鼠",$B$22,0))*(1+$BW122))*(1+$BX122)</f>
        <v>60584.9579881269</v>
      </c>
      <c r="O122" s="35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轻击",$B$21,0))*(1+IF(VLOOKUP($R122,武学奇术!$A:$ZZ,30,FALSE)="老鼠",$B$22,0))*(1+$BW122)*(1+$BX122)</f>
        <v>39527.941057207</v>
      </c>
      <c r="P122" s="35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轻击",$B$21,0))*(1+IF(VLOOKUP($R122,武学奇术!$A:$ZZ,30,FALSE)="老鼠",$B$22,0))*(1+$BW122)*(1+$BX122)</f>
        <v>34178.1354565422</v>
      </c>
      <c r="Q122" s="70">
        <v>3</v>
      </c>
      <c r="R122" s="37" t="s">
        <v>106</v>
      </c>
      <c r="S122" s="37" t="s">
        <v>91</v>
      </c>
      <c r="T122" s="37" t="s">
        <v>185</v>
      </c>
      <c r="U122" s="37" t="s">
        <v>112</v>
      </c>
      <c r="V122" s="37" t="s">
        <v>113</v>
      </c>
      <c r="W122" s="37" t="s">
        <v>82</v>
      </c>
      <c r="X122" s="37" t="s">
        <v>81</v>
      </c>
      <c r="Y122" s="37" t="s">
        <v>109</v>
      </c>
      <c r="Z122" s="37" t="s">
        <v>81</v>
      </c>
      <c r="AA122" s="37" t="s">
        <v>81</v>
      </c>
      <c r="AB122" s="37" t="s">
        <v>81</v>
      </c>
      <c r="AC122" s="37" t="s">
        <v>81</v>
      </c>
      <c r="AD122" s="37" t="s">
        <v>85</v>
      </c>
      <c r="AE122" s="37" t="s">
        <v>86</v>
      </c>
      <c r="AF122" s="37" t="s">
        <v>81</v>
      </c>
      <c r="AG122" s="37" t="s">
        <v>87</v>
      </c>
      <c r="AH122" s="37" t="s">
        <v>81</v>
      </c>
      <c r="AI122" s="37" t="s">
        <v>81</v>
      </c>
      <c r="AJ122" s="37" t="s">
        <v>81</v>
      </c>
      <c r="AK122" s="37" t="s">
        <v>81</v>
      </c>
      <c r="AL122" s="37" t="s">
        <v>81</v>
      </c>
      <c r="AM122" t="str">
        <f>VLOOKUP($R122,武学奇术!$A:$ZZ,25,FALSE)</f>
        <v>绳镖</v>
      </c>
      <c r="AN122" s="23">
        <f>VLOOKUP($R122,武学奇术!$A:$ZZ,26,FALSE)</f>
        <v>0.3675</v>
      </c>
      <c r="AO122" s="24">
        <f>VLOOKUP($R122,武学奇术!$A:$ZZ,27,FALSE)*(1+IF(OR($AM122=$F$4,$AM122=$F$5),$B$23,0))</f>
        <v>0</v>
      </c>
      <c r="AP122" s="23">
        <f>VLOOKUP($R122,武学奇术!$A:$ZZ,28,FALSE)</f>
        <v>0.55125</v>
      </c>
      <c r="AQ122" s="24">
        <f>VLOOKUP($R122,武学奇术!$A:$ZZ,29,FALSE)*(1+IF(OR($AM122=$F$4,$AM122=$F$5),$B$23,0))</f>
        <v>0</v>
      </c>
      <c r="AR122" s="23" cm="1">
        <f t="array" ref="AR122">$G$3+IFERROR(VLOOKUP($AM122,$F$4:$G$7,2,FALSE),0)+VLOOKUP($R122,武学奇术!$A:$ZZ,2,FALSE)+SUM(_xlfn.XLOOKUP($S122:$AL122,增益!$A:$A,增益!$B:$B,0))</f>
        <v>1.4943</v>
      </c>
      <c r="AS122" s="23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4081.7</v>
      </c>
      <c r="AU122" cm="1">
        <f t="array" ref="AU122">$E$10*(1+$AS122)+VLOOKUP($R122,武学奇术!$A:$ZZ,4,FALSE)+SUM(_xlfn.XLOOKUP($S122:$AL122,增益!$A:$A,增益!$D:$D,0))-$I$2</f>
        <v>4081.7</v>
      </c>
      <c r="AV122" s="29" cm="1">
        <f t="array" ref="AV122">IF($F$10-$I$3+VLOOKUP($R122,武学奇术!$A:$ZZ,6,FALSE)+SUM(_xlfn.XLOOKUP(S122:AL122,增益!$A:$A,增益!$F:$F,0))&gt;0,($F$10-$I$3+VLOOKUP($R122,武学奇术!$A:$ZZ,6,FALSE)+SUM(_xlfn.XLOOKUP(S122:AL122,增益!$A:$A,增益!$F:$F,0)))/200,($F$10-$I$3+VLOOKUP($R122,武学奇术!$A:$ZZ,6,FALSE)+SUM(_xlfn.XLOOKUP(S122:AL122,增益!$A:$A,增益!$F:$F,0)))/100)</f>
        <v>0.3689</v>
      </c>
      <c r="AW122" s="29" cm="1">
        <f t="array" ref="AW122">$G$10+VLOOKUP($R122,武学奇术!$A:$ZZ,7,FALSE)+SUM(_xlfn.XLOOKUP(S122:AL122,增益!$A:$A,增益!$G:$G,0))</f>
        <v>0.27</v>
      </c>
      <c r="AX122" s="23" cm="1">
        <f t="array" ref="AX122">VLOOKUP($R122,武学奇术!$A:$ZZ,8,FALSE)+SUM(_xlfn.XLOOKUP(S122:AL122,增益!$A:$A,增益!$H:$H,0))</f>
        <v>0</v>
      </c>
      <c r="AY122">
        <f t="shared" si="12"/>
        <v>0</v>
      </c>
      <c r="AZ122">
        <f t="shared" si="13"/>
        <v>0</v>
      </c>
      <c r="BA122" s="29" cm="1">
        <f t="array" ref="BA122">IF($F$11-$I$4+VLOOKUP($R122,武学奇术!$A:$ZZ,9,FALSE)+SUM(_xlfn.XLOOKUP(S122:AL122,增益!$A:$A,增益!$I:$I,0))&gt;0,($F$11-$I$4+VLOOKUP($R122,武学奇术!$A:$ZZ,9,FALSE)+SUM(_xlfn.XLOOKUP(S122:AL122,增益!$A:$A,增益!$I:$I,0)))/200,($F$11-$I$4+VLOOKUP($R122,武学奇术!$A:$ZZ,9,FALSE)+SUM(_xlfn.XLOOKUP(S122:AL122,增益!$A:$A,增益!$I:$I,0)))/100)</f>
        <v>-0.3</v>
      </c>
      <c r="BB122" s="29" cm="1">
        <f t="array" ref="BB122">$G$11+VLOOKUP($R122,武学奇术!$A:$ZZ,10,FALSE)+SUM(_xlfn.XLOOKUP(S122:AL122,增益!$A:$A,增益!$J:$J,0))</f>
        <v>0</v>
      </c>
      <c r="BC122">
        <f t="shared" si="14"/>
        <v>0</v>
      </c>
      <c r="BD122">
        <f t="shared" si="15"/>
        <v>0</v>
      </c>
      <c r="BE122" s="29" cm="1">
        <f t="array" ref="BE122">IF($F$12-$I$4+VLOOKUP($R122,武学奇术!$A:$ZZ,11,FALSE)+SUM(_xlfn.XLOOKUP(S122:AL122,增益!$A:$A,增益!$K:$K,0))&gt;0,($F$12-$I$4+VLOOKUP($R122,武学奇术!$A:$ZZ,11,FALSE)+SUM(_xlfn.XLOOKUP(S122:AL122,增益!$A:$A,增益!$K:$K,0)))/200,($F$12-$I$4+VLOOKUP($R122,武学奇术!$A:$ZZ,11,FALSE)+SUM(_xlfn.XLOOKUP(S122:AL122,增益!$A:$A,增益!$K:$K,0)))/100)</f>
        <v>-0.3</v>
      </c>
      <c r="BF122" s="29" cm="1">
        <f t="array" ref="BF122">$G$12+VLOOKUP($R122,武学奇术!$A:$ZZ,12,FALSE)+SUM(_xlfn.XLOOKUP(S122:AL122,增益!$A:$A,增益!$L:$L,0))</f>
        <v>0</v>
      </c>
      <c r="BG122">
        <f t="shared" si="16"/>
        <v>0</v>
      </c>
      <c r="BH122">
        <f t="shared" si="17"/>
        <v>0</v>
      </c>
      <c r="BI122" s="29" cm="1">
        <f t="array" ref="BI122">IF($F$13-$I$4+VLOOKUP($R122,武学奇术!$A:$ZZ,13,FALSE)+SUM(_xlfn.XLOOKUP(S122:AL122,增益!$A:$A,增益!$M:$M,0))&gt;0,($F$13-$I$4+VLOOKUP($R122,武学奇术!$A:$ZZ,13,FALSE)+SUM(_xlfn.XLOOKUP(S122:AL122,增益!$A:$A,增益!$K:$K,0)))/200,($F$13-$I$4+VLOOKUP($R122,武学奇术!$A:$ZZ,13,FALSE)+SUM(_xlfn.XLOOKUP(S122:AL122,增益!$A:$A,增益!$M:$M,0)))/100)</f>
        <v>-0.3</v>
      </c>
      <c r="BJ122" s="29" cm="1">
        <f t="array" ref="BJ122">$G$13+VLOOKUP($R122,武学奇术!$A:$ZZ,14,FALSE)+SUM(_xlfn.XLOOKUP(S122:AL122,增益!$A:$A,增益!$N:$N,0))</f>
        <v>0</v>
      </c>
      <c r="BK122">
        <f t="shared" si="18"/>
        <v>618.2</v>
      </c>
      <c r="BL122">
        <f t="shared" si="19"/>
        <v>1805</v>
      </c>
      <c r="BM122" s="29" cm="1">
        <f t="array" ref="BM122">IF($F$14-$I$4+VLOOKUP($R122,武学奇术!$A:$ZZ,15,FALSE)+SUM(_xlfn.XLOOKUP(S122:AL122,增益!$A:$A,增益!$O:$O,0))&gt;0,($F$14-$I$4+VLOOKUP($R122,武学奇术!$A:$ZZ,15,FALSE)+SUM(_xlfn.XLOOKUP(S122:AL122,增益!$A:$A,增益!$O:$O,0)))/200,($F$14-$I$4+VLOOKUP($R122,武学奇术!$A:$ZZ,15,FALSE)+SUM(_xlfn.XLOOKUP(S122:AL122,增益!$A:$A,增益!$O:$O,0)))/100)</f>
        <v>0.05</v>
      </c>
      <c r="BN122" s="29" cm="1">
        <f t="array" ref="BN122">$G$14+VLOOKUP($R122,武学奇术!$A:$ZZ,16,FALSE)+SUM(_xlfn.XLOOKUP(S122:AL122,增益!$A:$A,增益!$P:$P,0))</f>
        <v>0.42</v>
      </c>
      <c r="BO122" s="23">
        <f>MIN(IF(VLOOKUP($R122,武学奇术!$A:$ZZ,23,FALSE)=1,100%,$B$8),100%)</f>
        <v>0.9943</v>
      </c>
      <c r="BP122" s="23" cm="1">
        <f t="array" ref="BP122">IF(VLOOKUP($R122,武学奇术!$A:$ZZ,23,FALSE)=1,100%,MIN(80%,$B$9+VLOOKUP($R122,武学奇术!$A:$ZZ,17,FALSE)+SUM(_xlfn.XLOOKUP(S122:AL122,增益!$A:$A,增益!$Q:$Q,0)))+$B$11+SUM(_xlfn.XLOOKUP(S122:AL122,增益!$A:$A,增益!$U:$U,0)))*IF(VLOOKUP($R122,武学奇术!$A:$ZZ,24,FALSE)=1,0,1)</f>
        <v>0.8</v>
      </c>
      <c r="BQ122" s="23" cm="1">
        <f t="array" ref="BQ122">1+$B$13+VLOOKUP($R122,武学奇术!$A:$ZZ,18,FALSE)+SUM(_xlfn.XLOOKUP(S122:AL122,增益!$A:$A,增益!$R:$R,0))</f>
        <v>1.894</v>
      </c>
      <c r="BR122" s="23" cm="1">
        <f t="array" ref="BR122">IF(VLOOKUP($R122,武学奇术!$A:$ZZ,24,FALSE)=1,100%,MIN(40%,$B$10+VLOOKUP($R122,武学奇术!$A:$ZZ,19,FALSE)+SUM(_xlfn.XLOOKUP(S122:AL122,增益!$A:$A,增益!$S:$S,0)))+$B$12+SUM(_xlfn.XLOOKUP(S122:AL122,增益!$A:$A,增益!$V:$V,0)))*IF(VLOOKUP($R122,武学奇术!$A:$ZZ,23,FALSE)=1,0,1)</f>
        <v>0.0913</v>
      </c>
      <c r="BS122" s="23" cm="1">
        <f t="array" ref="BS122">1+$B$14+VLOOKUP($R122,武学奇术!$A:$ZZ,20,FALSE)+SUM(_xlfn.XLOOKUP(S122:AL122,增益!$A:$A,增益!$T:$T,0))</f>
        <v>1.35</v>
      </c>
      <c r="BT122" s="23">
        <f t="shared" si="20"/>
        <v>0.79544</v>
      </c>
      <c r="BU122" s="23">
        <f t="shared" si="21"/>
        <v>0.10808041</v>
      </c>
      <c r="BV122" s="23">
        <f>IF(VLOOKUP($R122,武学奇术!$A:$ZZ,22,FALSE)=1,0,(1-$BO122))*(1-$BR122)</f>
        <v>0.00517959000000003</v>
      </c>
      <c r="BW122" s="23" cm="1">
        <f t="array" ref="BW122">SUM(_xlfn.XLOOKUP(S122:AL122,增益!$A:$A,增益!$W:$W,0))+$I$5</f>
        <v>0.11</v>
      </c>
      <c r="BX122" s="23">
        <f>VLOOKUP($R122,武学奇术!$A:$ZZ,32,FALSE)</f>
        <v>0</v>
      </c>
      <c r="BY122" s="23" cm="1">
        <f t="array" ref="BY122">SUM(_xlfn.XLOOKUP($S122:$AL122,增益!$A:$A,增益!$X:$X,0))</f>
        <v>0</v>
      </c>
    </row>
    <row r="123" spans="1:77">
      <c r="K123" s="35">
        <f>$L123*VLOOKUP($R123,武学奇术!$A:$ZZ,31,FALSE)</f>
        <v>32810.3222186844</v>
      </c>
      <c r="L123" s="35">
        <f t="shared" si="23"/>
        <v>29294.9305523968</v>
      </c>
      <c r="M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轻击",$B$21,0))*(1+IF(VLOOKUP($R123,武学奇术!$A:$ZZ,30,FALSE)="老鼠",$B$22,0))*(1+$BW123)*(1+$BX123)</f>
        <v>30818.0310176729</v>
      </c>
      <c r="N123" s="35">
        <f>(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轻击",$B$21,0))*(1+IF(VLOOKUP($R123,武学奇术!$A:$ZZ,30,FALSE)="老鼠",$B$22,0))*(1+$BW123))*(1+$BX123)</f>
        <v>19482.9612960296</v>
      </c>
      <c r="O123" s="35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轻击",$B$21,0))*(1+IF(VLOOKUP($R123,武学奇术!$A:$ZZ,30,FALSE)="老鼠",$B$22,0))*(1+$BW123)*(1+$BX123)</f>
        <v>12873.0288294373</v>
      </c>
      <c r="P123" s="35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轻击",$B$21,0))*(1+IF(VLOOKUP($R123,武学奇术!$A:$ZZ,30,FALSE)="老鼠",$B$22,0))*(1+$BW123)*(1+$BX123)</f>
        <v>11314.2344766304</v>
      </c>
      <c r="Q123" s="36">
        <v>1</v>
      </c>
      <c r="R123" s="37" t="s">
        <v>139</v>
      </c>
      <c r="S123" s="37" t="s">
        <v>91</v>
      </c>
      <c r="T123" s="37" t="s">
        <v>185</v>
      </c>
      <c r="U123" s="37" t="s">
        <v>112</v>
      </c>
      <c r="V123" s="37" t="s">
        <v>113</v>
      </c>
      <c r="W123" s="37" t="s">
        <v>82</v>
      </c>
      <c r="X123" s="37" t="s">
        <v>81</v>
      </c>
      <c r="Y123" s="37" t="s">
        <v>109</v>
      </c>
      <c r="Z123" s="37" t="s">
        <v>83</v>
      </c>
      <c r="AA123" s="37" t="s">
        <v>81</v>
      </c>
      <c r="AB123" s="37" t="s">
        <v>81</v>
      </c>
      <c r="AC123" s="37" t="s">
        <v>81</v>
      </c>
      <c r="AD123" s="37" t="s">
        <v>85</v>
      </c>
      <c r="AE123" s="37" t="s">
        <v>86</v>
      </c>
      <c r="AF123" s="37" t="s">
        <v>181</v>
      </c>
      <c r="AG123" s="37" t="s">
        <v>87</v>
      </c>
      <c r="AH123" s="37" t="s">
        <v>81</v>
      </c>
      <c r="AI123" s="37" t="s">
        <v>81</v>
      </c>
      <c r="AJ123" s="37" t="s">
        <v>81</v>
      </c>
      <c r="AK123" s="37" t="s">
        <v>81</v>
      </c>
      <c r="AL123" s="37" t="s">
        <v>81</v>
      </c>
      <c r="AM123" t="str">
        <f>VLOOKUP($R123,武学奇术!$A:$ZZ,25,FALSE)</f>
        <v>双刀</v>
      </c>
      <c r="AN123" s="23">
        <f>VLOOKUP($R123,武学奇术!$A:$ZZ,26,FALSE)</f>
        <v>0.6472</v>
      </c>
      <c r="AO123" s="24">
        <f>VLOOKUP($R123,武学奇术!$A:$ZZ,27,FALSE)*(1+IF(OR($AM123=$F$4,$AM123=$F$5),$B$23,0))</f>
        <v>288</v>
      </c>
      <c r="AP123" s="23">
        <f>VLOOKUP($R123,武学奇术!$A:$ZZ,28,FALSE)</f>
        <v>0.9708</v>
      </c>
      <c r="AQ123" s="24">
        <f>VLOOKUP($R123,武学奇术!$A:$ZZ,29,FALSE)*(1+IF(OR($AM123=$F$4,$AM123=$F$5),$B$23,0))</f>
        <v>156.8</v>
      </c>
      <c r="AR123" s="23" cm="1">
        <f t="array" ref="AR123">$G$3+IFERROR(VLOOKUP($AM123,$F$4:$G$7,2,FALSE),0)+VLOOKUP($R123,武学奇术!$A:$ZZ,2,FALSE)+SUM(_xlfn.XLOOKUP($S123:$AL123,增益!$A:$A,增益!$B:$B,0))</f>
        <v>0.7443</v>
      </c>
      <c r="AS123" s="23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4081.7</v>
      </c>
      <c r="AU123" cm="1">
        <f t="array" ref="AU123">$E$10*(1+$AS123)+VLOOKUP($R123,武学奇术!$A:$ZZ,4,FALSE)+SUM(_xlfn.XLOOKUP($S123:$AL123,增益!$A:$A,增益!$D:$D,0))-$I$2</f>
        <v>4081.7</v>
      </c>
      <c r="AV123" s="29" cm="1">
        <f t="array" ref="AV123">IF($F$10-$I$3+VLOOKUP($R123,武学奇术!$A:$ZZ,6,FALSE)+SUM(_xlfn.XLOOKUP(S123:AL123,增益!$A:$A,增益!$F:$F,0))&gt;0,($F$10-$I$3+VLOOKUP($R123,武学奇术!$A:$ZZ,6,FALSE)+SUM(_xlfn.XLOOKUP(S123:AL123,增益!$A:$A,增益!$F:$F,0)))/200,($F$10-$I$3+VLOOKUP($R123,武学奇术!$A:$ZZ,6,FALSE)+SUM(_xlfn.XLOOKUP(S123:AL123,增益!$A:$A,增益!$F:$F,0)))/100)</f>
        <v>0.3689</v>
      </c>
      <c r="AW123" s="29" cm="1">
        <f t="array" ref="AW123">$G$10+VLOOKUP($R123,武学奇术!$A:$ZZ,7,FALSE)+SUM(_xlfn.XLOOKUP(S123:AL123,增益!$A:$A,增益!$G:$G,0))</f>
        <v>0.06</v>
      </c>
      <c r="AX123" s="23" cm="1">
        <f t="array" ref="AX123">VLOOKUP($R123,武学奇术!$A:$ZZ,8,FALSE)+SUM(_xlfn.XLOOKUP(S123:AL123,增益!$A:$A,增益!$H:$H,0))</f>
        <v>0</v>
      </c>
      <c r="AY123">
        <f t="shared" si="12"/>
        <v>0</v>
      </c>
      <c r="AZ123">
        <f t="shared" si="13"/>
        <v>0</v>
      </c>
      <c r="BA123" s="29" cm="1">
        <f t="array" ref="BA123">IF($F$11-$I$4+VLOOKUP($R123,武学奇术!$A:$ZZ,9,FALSE)+SUM(_xlfn.XLOOKUP(S123:AL123,增益!$A:$A,增益!$I:$I,0))&gt;0,($F$11-$I$4+VLOOKUP($R123,武学奇术!$A:$ZZ,9,FALSE)+SUM(_xlfn.XLOOKUP(S123:AL123,增益!$A:$A,增益!$I:$I,0)))/200,($F$11-$I$4+VLOOKUP($R123,武学奇术!$A:$ZZ,9,FALSE)+SUM(_xlfn.XLOOKUP(S123:AL123,增益!$A:$A,增益!$I:$I,0)))/100)</f>
        <v>-0.3</v>
      </c>
      <c r="BB123" s="29" cm="1">
        <f t="array" ref="BB123">$G$11+VLOOKUP($R123,武学奇术!$A:$ZZ,10,FALSE)+SUM(_xlfn.XLOOKUP(S123:AL123,增益!$A:$A,增益!$J:$J,0))</f>
        <v>0</v>
      </c>
      <c r="BC123">
        <f t="shared" si="14"/>
        <v>0</v>
      </c>
      <c r="BD123">
        <f t="shared" si="15"/>
        <v>0</v>
      </c>
      <c r="BE123" s="29" cm="1">
        <f t="array" ref="BE123">IF($F$12-$I$4+VLOOKUP($R123,武学奇术!$A:$ZZ,11,FALSE)+SUM(_xlfn.XLOOKUP(S123:AL123,增益!$A:$A,增益!$K:$K,0))&gt;0,($F$12-$I$4+VLOOKUP($R123,武学奇术!$A:$ZZ,11,FALSE)+SUM(_xlfn.XLOOKUP(S123:AL123,增益!$A:$A,增益!$K:$K,0)))/200,($F$12-$I$4+VLOOKUP($R123,武学奇术!$A:$ZZ,11,FALSE)+SUM(_xlfn.XLOOKUP(S123:AL123,增益!$A:$A,增益!$K:$K,0)))/100)</f>
        <v>-0.3</v>
      </c>
      <c r="BF123" s="29" cm="1">
        <f t="array" ref="BF123">$G$12+VLOOKUP($R123,武学奇术!$A:$ZZ,12,FALSE)+SUM(_xlfn.XLOOKUP(S123:AL123,增益!$A:$A,增益!$L:$L,0))</f>
        <v>0</v>
      </c>
      <c r="BG123">
        <f t="shared" si="16"/>
        <v>0</v>
      </c>
      <c r="BH123">
        <f t="shared" si="17"/>
        <v>0</v>
      </c>
      <c r="BI123" s="29" cm="1">
        <f t="array" ref="BI123">IF($F$13-$I$4+VLOOKUP($R123,武学奇术!$A:$ZZ,13,FALSE)+SUM(_xlfn.XLOOKUP(S123:AL123,增益!$A:$A,增益!$M:$M,0))&gt;0,($F$13-$I$4+VLOOKUP($R123,武学奇术!$A:$ZZ,13,FALSE)+SUM(_xlfn.XLOOKUP(S123:AL123,增益!$A:$A,增益!$K:$K,0)))/200,($F$13-$I$4+VLOOKUP($R123,武学奇术!$A:$ZZ,13,FALSE)+SUM(_xlfn.XLOOKUP(S123:AL123,增益!$A:$A,增益!$M:$M,0)))/100)</f>
        <v>-0.3</v>
      </c>
      <c r="BJ123" s="29" cm="1">
        <f t="array" ref="BJ123">$G$13+VLOOKUP($R123,武学奇术!$A:$ZZ,14,FALSE)+SUM(_xlfn.XLOOKUP(S123:AL123,增益!$A:$A,增益!$N:$N,0))</f>
        <v>0</v>
      </c>
      <c r="BK123">
        <f t="shared" si="18"/>
        <v>618.2</v>
      </c>
      <c r="BL123">
        <f t="shared" si="19"/>
        <v>1805</v>
      </c>
      <c r="BM123" s="29" cm="1">
        <f t="array" ref="BM123">IF($F$14-$I$4+VLOOKUP($R123,武学奇术!$A:$ZZ,15,FALSE)+SUM(_xlfn.XLOOKUP(S123:AL123,增益!$A:$A,增益!$O:$O,0))&gt;0,($F$14-$I$4+VLOOKUP($R123,武学奇术!$A:$ZZ,15,FALSE)+SUM(_xlfn.XLOOKUP(S123:AL123,增益!$A:$A,增益!$O:$O,0)))/200,($F$14-$I$4+VLOOKUP($R123,武学奇术!$A:$ZZ,15,FALSE)+SUM(_xlfn.XLOOKUP(S123:AL123,增益!$A:$A,增益!$O:$O,0)))/100)</f>
        <v>0.05</v>
      </c>
      <c r="BN123" s="29" cm="1">
        <f t="array" ref="BN123">$G$14+VLOOKUP($R123,武学奇术!$A:$ZZ,16,FALSE)+SUM(_xlfn.XLOOKUP(S123:AL123,增益!$A:$A,增益!$P:$P,0))</f>
        <v>0.21</v>
      </c>
      <c r="BO123" s="23">
        <f>MIN(IF(VLOOKUP($R123,武学奇术!$A:$ZZ,23,FALSE)=1,100%,$B$8),100%)</f>
        <v>0.9943</v>
      </c>
      <c r="BP123" s="23" cm="1">
        <f t="array" ref="BP123">IF(VLOOKUP($R123,武学奇术!$A:$ZZ,23,FALSE)=1,100%,MIN(80%,$B$9+VLOOKUP($R123,武学奇术!$A:$ZZ,17,FALSE)+SUM(_xlfn.XLOOKUP(S123:AL123,增益!$A:$A,增益!$Q:$Q,0)))+$B$11+SUM(_xlfn.XLOOKUP(S123:AL123,增益!$A:$A,增益!$U:$U,0)))*IF(VLOOKUP($R123,武学奇术!$A:$ZZ,24,FALSE)=1,0,1)</f>
        <v>0.887</v>
      </c>
      <c r="BQ123" s="23" cm="1">
        <f t="array" ref="BQ123">1+$B$13+VLOOKUP($R123,武学奇术!$A:$ZZ,18,FALSE)+SUM(_xlfn.XLOOKUP(S123:AL123,增益!$A:$A,增益!$R:$R,0))</f>
        <v>2.394</v>
      </c>
      <c r="BR123" s="23" cm="1">
        <f t="array" ref="BR123">IF(VLOOKUP($R123,武学奇术!$A:$ZZ,24,FALSE)=1,100%,MIN(40%,$B$10+VLOOKUP($R123,武学奇术!$A:$ZZ,19,FALSE)+SUM(_xlfn.XLOOKUP(S123:AL123,增益!$A:$A,增益!$S:$S,0)))+$B$12+SUM(_xlfn.XLOOKUP(S123:AL123,增益!$A:$A,增益!$V:$V,0)))*IF(VLOOKUP($R123,武学奇术!$A:$ZZ,23,FALSE)=1,0,1)</f>
        <v>0.0913</v>
      </c>
      <c r="BS123" s="23" cm="1">
        <f t="array" ref="BS123">1+$B$14+VLOOKUP($R123,武学奇术!$A:$ZZ,20,FALSE)+SUM(_xlfn.XLOOKUP(S123:AL123,增益!$A:$A,增益!$T:$T,0))</f>
        <v>1.35</v>
      </c>
      <c r="BT123" s="23">
        <f t="shared" si="20"/>
        <v>0.8819441</v>
      </c>
      <c r="BU123" s="23">
        <f t="shared" si="21"/>
        <v>0.0215763099999999</v>
      </c>
      <c r="BV123" s="23">
        <f>IF(VLOOKUP($R123,武学奇术!$A:$ZZ,22,FALSE)=1,0,(1-$BO123))*(1-$BR123)</f>
        <v>0.00517959000000003</v>
      </c>
      <c r="BW123" s="23" cm="1">
        <f t="array" ref="BW123">SUM(_xlfn.XLOOKUP(S123:AL123,增益!$A:$A,增益!$W:$W,0))+$I$5</f>
        <v>0.11</v>
      </c>
      <c r="BX123" s="23">
        <f>VLOOKUP($R123,武学奇术!$A:$ZZ,32,FALSE)</f>
        <v>0.1</v>
      </c>
      <c r="BY123" s="23" cm="1">
        <f t="array" ref="BY123">SUM(_xlfn.XLOOKUP($S123:$AL123,增益!$A:$A,增益!$X:$X,0))</f>
        <v>0</v>
      </c>
    </row>
    <row r="124" spans="1:77">
      <c r="K124" s="35">
        <f>$L124*VLOOKUP($R124,武学奇术!$A:$ZZ,31,FALSE)</f>
        <v>45671.422256652</v>
      </c>
      <c r="L124" s="35">
        <f t="shared" si="23"/>
        <v>40778.0555862964</v>
      </c>
      <c r="M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轻击",$B$21,0))*(1+IF(VLOOKUP($R124,武学奇术!$A:$ZZ,30,FALSE)="老鼠",$B$22,0))*(1+$BW124)*(1+$BX124)</f>
        <v>42898.0932343921</v>
      </c>
      <c r="N124" s="35">
        <f>(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轻击",$B$21,0))*(1+IF(VLOOKUP($R124,武学奇术!$A:$ZZ,30,FALSE)="老鼠",$B$22,0))*(1+$BW124))*(1+$BX124)</f>
        <v>27120.9080744639</v>
      </c>
      <c r="O124" s="35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轻击",$B$21,0))*(1+IF(VLOOKUP($R124,武学奇术!$A:$ZZ,30,FALSE)="老鼠",$B$22,0))*(1+$BW124)*(1+$BX124)</f>
        <v>17919.0030218848</v>
      </c>
      <c r="P124" s="35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轻击",$B$21,0))*(1+IF(VLOOKUP($R124,武学奇术!$A:$ZZ,30,FALSE)="老鼠",$B$22,0))*(1+$BW124)*(1+$BX124)</f>
        <v>15748.4445071296</v>
      </c>
      <c r="Q124" s="36">
        <v>1</v>
      </c>
      <c r="R124" s="37" t="s">
        <v>143</v>
      </c>
      <c r="S124" s="37" t="s">
        <v>91</v>
      </c>
      <c r="T124" s="37" t="s">
        <v>185</v>
      </c>
      <c r="U124" s="37" t="s">
        <v>112</v>
      </c>
      <c r="V124" s="37" t="s">
        <v>113</v>
      </c>
      <c r="W124" s="37" t="s">
        <v>82</v>
      </c>
      <c r="X124" s="37" t="s">
        <v>81</v>
      </c>
      <c r="Y124" s="37" t="s">
        <v>109</v>
      </c>
      <c r="Z124" s="37" t="s">
        <v>83</v>
      </c>
      <c r="AA124" s="37" t="s">
        <v>81</v>
      </c>
      <c r="AB124" s="37" t="s">
        <v>81</v>
      </c>
      <c r="AC124" s="37" t="s">
        <v>81</v>
      </c>
      <c r="AD124" s="37" t="s">
        <v>85</v>
      </c>
      <c r="AE124" s="37" t="s">
        <v>86</v>
      </c>
      <c r="AF124" s="37" t="s">
        <v>181</v>
      </c>
      <c r="AG124" s="37" t="s">
        <v>87</v>
      </c>
      <c r="AH124" s="37" t="s">
        <v>81</v>
      </c>
      <c r="AI124" s="37" t="s">
        <v>81</v>
      </c>
      <c r="AJ124" s="37" t="s">
        <v>81</v>
      </c>
      <c r="AK124" s="37" t="s">
        <v>81</v>
      </c>
      <c r="AL124" s="37" t="s">
        <v>81</v>
      </c>
      <c r="AM124" t="str">
        <f>VLOOKUP($R124,武学奇术!$A:$ZZ,25,FALSE)</f>
        <v>双刀</v>
      </c>
      <c r="AN124" s="23">
        <f>VLOOKUP($R124,武学奇术!$A:$ZZ,26,FALSE)</f>
        <v>0.9012</v>
      </c>
      <c r="AO124" s="24">
        <f>VLOOKUP($R124,武学奇术!$A:$ZZ,27,FALSE)*(1+IF(OR($AM124=$F$4,$AM124=$F$5),$B$23,0))</f>
        <v>400</v>
      </c>
      <c r="AP124" s="23">
        <f>VLOOKUP($R124,武学奇术!$A:$ZZ,28,FALSE)</f>
        <v>1.3518</v>
      </c>
      <c r="AQ124" s="24">
        <f>VLOOKUP($R124,武学奇术!$A:$ZZ,29,FALSE)*(1+IF(OR($AM124=$F$4,$AM124=$F$5),$B$23,0))</f>
        <v>217.6</v>
      </c>
      <c r="AR124" s="23" cm="1">
        <f t="array" ref="AR124">$G$3+IFERROR(VLOOKUP($AM124,$F$4:$G$7,2,FALSE),0)+VLOOKUP($R124,武学奇术!$A:$ZZ,2,FALSE)+SUM(_xlfn.XLOOKUP($S124:$AL124,增益!$A:$A,增益!$B:$B,0))</f>
        <v>0.7443</v>
      </c>
      <c r="AS124" s="23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4081.7</v>
      </c>
      <c r="AU124" cm="1">
        <f t="array" ref="AU124">$E$10*(1+$AS124)+VLOOKUP($R124,武学奇术!$A:$ZZ,4,FALSE)+SUM(_xlfn.XLOOKUP($S124:$AL124,增益!$A:$A,增益!$D:$D,0))-$I$2</f>
        <v>4081.7</v>
      </c>
      <c r="AV124" s="29" cm="1">
        <f t="array" ref="AV124">IF($F$10-$I$3+VLOOKUP($R124,武学奇术!$A:$ZZ,6,FALSE)+SUM(_xlfn.XLOOKUP(S124:AL124,增益!$A:$A,增益!$F:$F,0))&gt;0,($F$10-$I$3+VLOOKUP($R124,武学奇术!$A:$ZZ,6,FALSE)+SUM(_xlfn.XLOOKUP(S124:AL124,增益!$A:$A,增益!$F:$F,0)))/200,($F$10-$I$3+VLOOKUP($R124,武学奇术!$A:$ZZ,6,FALSE)+SUM(_xlfn.XLOOKUP(S124:AL124,增益!$A:$A,增益!$F:$F,0)))/100)</f>
        <v>0.3689</v>
      </c>
      <c r="AW124" s="29" cm="1">
        <f t="array" ref="AW124">$G$10+VLOOKUP($R124,武学奇术!$A:$ZZ,7,FALSE)+SUM(_xlfn.XLOOKUP(S124:AL124,增益!$A:$A,增益!$G:$G,0))</f>
        <v>0.06</v>
      </c>
      <c r="AX124" s="23" cm="1">
        <f t="array" ref="AX124">VLOOKUP($R124,武学奇术!$A:$ZZ,8,FALSE)+SUM(_xlfn.XLOOKUP(S124:AL124,增益!$A:$A,增益!$H:$H,0))</f>
        <v>0</v>
      </c>
      <c r="AY124">
        <f t="shared" si="12"/>
        <v>0</v>
      </c>
      <c r="AZ124">
        <f t="shared" si="13"/>
        <v>0</v>
      </c>
      <c r="BA124" s="29" cm="1">
        <f t="array" ref="BA124">IF($F$11-$I$4+VLOOKUP($R124,武学奇术!$A:$ZZ,9,FALSE)+SUM(_xlfn.XLOOKUP(S124:AL124,增益!$A:$A,增益!$I:$I,0))&gt;0,($F$11-$I$4+VLOOKUP($R124,武学奇术!$A:$ZZ,9,FALSE)+SUM(_xlfn.XLOOKUP(S124:AL124,增益!$A:$A,增益!$I:$I,0)))/200,($F$11-$I$4+VLOOKUP($R124,武学奇术!$A:$ZZ,9,FALSE)+SUM(_xlfn.XLOOKUP(S124:AL124,增益!$A:$A,增益!$I:$I,0)))/100)</f>
        <v>-0.3</v>
      </c>
      <c r="BB124" s="29" cm="1">
        <f t="array" ref="BB124">$G$11+VLOOKUP($R124,武学奇术!$A:$ZZ,10,FALSE)+SUM(_xlfn.XLOOKUP(S124:AL124,增益!$A:$A,增益!$J:$J,0))</f>
        <v>0</v>
      </c>
      <c r="BC124">
        <f t="shared" si="14"/>
        <v>0</v>
      </c>
      <c r="BD124">
        <f t="shared" si="15"/>
        <v>0</v>
      </c>
      <c r="BE124" s="29" cm="1">
        <f t="array" ref="BE124">IF($F$12-$I$4+VLOOKUP($R124,武学奇术!$A:$ZZ,11,FALSE)+SUM(_xlfn.XLOOKUP(S124:AL124,增益!$A:$A,增益!$K:$K,0))&gt;0,($F$12-$I$4+VLOOKUP($R124,武学奇术!$A:$ZZ,11,FALSE)+SUM(_xlfn.XLOOKUP(S124:AL124,增益!$A:$A,增益!$K:$K,0)))/200,($F$12-$I$4+VLOOKUP($R124,武学奇术!$A:$ZZ,11,FALSE)+SUM(_xlfn.XLOOKUP(S124:AL124,增益!$A:$A,增益!$K:$K,0)))/100)</f>
        <v>-0.3</v>
      </c>
      <c r="BF124" s="29" cm="1">
        <f t="array" ref="BF124">$G$12+VLOOKUP($R124,武学奇术!$A:$ZZ,12,FALSE)+SUM(_xlfn.XLOOKUP(S124:AL124,增益!$A:$A,增益!$L:$L,0))</f>
        <v>0</v>
      </c>
      <c r="BG124">
        <f t="shared" si="16"/>
        <v>0</v>
      </c>
      <c r="BH124">
        <f t="shared" si="17"/>
        <v>0</v>
      </c>
      <c r="BI124" s="29" cm="1">
        <f t="array" ref="BI124">IF($F$13-$I$4+VLOOKUP($R124,武学奇术!$A:$ZZ,13,FALSE)+SUM(_xlfn.XLOOKUP(S124:AL124,增益!$A:$A,增益!$M:$M,0))&gt;0,($F$13-$I$4+VLOOKUP($R124,武学奇术!$A:$ZZ,13,FALSE)+SUM(_xlfn.XLOOKUP(S124:AL124,增益!$A:$A,增益!$K:$K,0)))/200,($F$13-$I$4+VLOOKUP($R124,武学奇术!$A:$ZZ,13,FALSE)+SUM(_xlfn.XLOOKUP(S124:AL124,增益!$A:$A,增益!$M:$M,0)))/100)</f>
        <v>-0.3</v>
      </c>
      <c r="BJ124" s="29" cm="1">
        <f t="array" ref="BJ124">$G$13+VLOOKUP($R124,武学奇术!$A:$ZZ,14,FALSE)+SUM(_xlfn.XLOOKUP(S124:AL124,增益!$A:$A,增益!$N:$N,0))</f>
        <v>0</v>
      </c>
      <c r="BK124">
        <f t="shared" si="18"/>
        <v>618.2</v>
      </c>
      <c r="BL124">
        <f t="shared" si="19"/>
        <v>1805</v>
      </c>
      <c r="BM124" s="29" cm="1">
        <f t="array" ref="BM124">IF($F$14-$I$4+VLOOKUP($R124,武学奇术!$A:$ZZ,15,FALSE)+SUM(_xlfn.XLOOKUP(S124:AL124,增益!$A:$A,增益!$O:$O,0))&gt;0,($F$14-$I$4+VLOOKUP($R124,武学奇术!$A:$ZZ,15,FALSE)+SUM(_xlfn.XLOOKUP(S124:AL124,增益!$A:$A,增益!$O:$O,0)))/200,($F$14-$I$4+VLOOKUP($R124,武学奇术!$A:$ZZ,15,FALSE)+SUM(_xlfn.XLOOKUP(S124:AL124,增益!$A:$A,增益!$O:$O,0)))/100)</f>
        <v>0.05</v>
      </c>
      <c r="BN124" s="29" cm="1">
        <f t="array" ref="BN124">$G$14+VLOOKUP($R124,武学奇术!$A:$ZZ,16,FALSE)+SUM(_xlfn.XLOOKUP(S124:AL124,增益!$A:$A,增益!$P:$P,0))</f>
        <v>0.21</v>
      </c>
      <c r="BO124" s="23">
        <f>MIN(IF(VLOOKUP($R124,武学奇术!$A:$ZZ,23,FALSE)=1,100%,$B$8),100%)</f>
        <v>0.9943</v>
      </c>
      <c r="BP124" s="23" cm="1">
        <f t="array" ref="BP124">IF(VLOOKUP($R124,武学奇术!$A:$ZZ,23,FALSE)=1,100%,MIN(80%,$B$9+VLOOKUP($R124,武学奇术!$A:$ZZ,17,FALSE)+SUM(_xlfn.XLOOKUP(S124:AL124,增益!$A:$A,增益!$Q:$Q,0)))+$B$11+SUM(_xlfn.XLOOKUP(S124:AL124,增益!$A:$A,增益!$U:$U,0)))*IF(VLOOKUP($R124,武学奇术!$A:$ZZ,24,FALSE)=1,0,1)</f>
        <v>0.887</v>
      </c>
      <c r="BQ124" s="23" cm="1">
        <f t="array" ref="BQ124">1+$B$13+VLOOKUP($R124,武学奇术!$A:$ZZ,18,FALSE)+SUM(_xlfn.XLOOKUP(S124:AL124,增益!$A:$A,增益!$R:$R,0))</f>
        <v>2.394</v>
      </c>
      <c r="BR124" s="23" cm="1">
        <f t="array" ref="BR124">IF(VLOOKUP($R124,武学奇术!$A:$ZZ,24,FALSE)=1,100%,MIN(40%,$B$10+VLOOKUP($R124,武学奇术!$A:$ZZ,19,FALSE)+SUM(_xlfn.XLOOKUP(S124:AL124,增益!$A:$A,增益!$S:$S,0)))+$B$12+SUM(_xlfn.XLOOKUP(S124:AL124,增益!$A:$A,增益!$V:$V,0)))*IF(VLOOKUP($R124,武学奇术!$A:$ZZ,23,FALSE)=1,0,1)</f>
        <v>0.0913</v>
      </c>
      <c r="BS124" s="23" cm="1">
        <f t="array" ref="BS124">1+$B$14+VLOOKUP($R124,武学奇术!$A:$ZZ,20,FALSE)+SUM(_xlfn.XLOOKUP(S124:AL124,增益!$A:$A,增益!$T:$T,0))</f>
        <v>1.35</v>
      </c>
      <c r="BT124" s="23">
        <f t="shared" si="20"/>
        <v>0.8819441</v>
      </c>
      <c r="BU124" s="23">
        <f t="shared" si="21"/>
        <v>0.0215763099999999</v>
      </c>
      <c r="BV124" s="23">
        <f>IF(VLOOKUP($R124,武学奇术!$A:$ZZ,22,FALSE)=1,0,(1-$BO124))*(1-$BR124)</f>
        <v>0.00517959000000003</v>
      </c>
      <c r="BW124" s="23" cm="1">
        <f t="array" ref="BW124">SUM(_xlfn.XLOOKUP(S124:AL124,增益!$A:$A,增益!$W:$W,0))+$I$5</f>
        <v>0.11</v>
      </c>
      <c r="BX124" s="23">
        <f>VLOOKUP($R124,武学奇术!$A:$ZZ,32,FALSE)</f>
        <v>0.1</v>
      </c>
      <c r="BY124" s="23" cm="1">
        <f t="array" ref="BY124">SUM(_xlfn.XLOOKUP($S124:$AL124,增益!$A:$A,增益!$X:$X,0))</f>
        <v>0</v>
      </c>
    </row>
    <row r="125" spans="1:77">
      <c r="K125" s="35">
        <f>$L125*VLOOKUP($R125,武学奇术!$A:$ZZ,31,FALSE)</f>
        <v>73253.909460563</v>
      </c>
      <c r="L125" s="35">
        <f t="shared" si="23"/>
        <v>65405.2763040741</v>
      </c>
      <c r="M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轻击",$B$21,0))*(1+IF(VLOOKUP($R125,武学奇术!$A:$ZZ,30,FALSE)="老鼠",$B$22,0))*(1+$BW125)*(1+$BX125)</f>
        <v>68805.65432816</v>
      </c>
      <c r="N125" s="35">
        <f>(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轻击",$B$21,0))*(1+IF(VLOOKUP($R125,武学奇术!$A:$ZZ,30,FALSE)="老鼠",$B$22,0))*(1+$BW125))*(1+$BX125)</f>
        <v>43500.3361661252</v>
      </c>
      <c r="O125" s="35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轻击",$B$21,0))*(1+IF(VLOOKUP($R125,武学奇术!$A:$ZZ,30,FALSE)="老鼠",$B$22,0))*(1+$BW125)*(1+$BX125)</f>
        <v>28740.8748237928</v>
      </c>
      <c r="P125" s="35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轻击",$B$21,0))*(1+IF(VLOOKUP($R125,武学奇术!$A:$ZZ,30,FALSE)="老鼠",$B$22,0))*(1+$BW125)*(1+$BX125)</f>
        <v>25259.2784134188</v>
      </c>
      <c r="Q125" s="36">
        <v>1</v>
      </c>
      <c r="R125" s="37" t="s">
        <v>148</v>
      </c>
      <c r="S125" s="37" t="s">
        <v>91</v>
      </c>
      <c r="T125" s="37" t="s">
        <v>185</v>
      </c>
      <c r="U125" s="37" t="s">
        <v>112</v>
      </c>
      <c r="V125" s="37" t="s">
        <v>113</v>
      </c>
      <c r="W125" s="37" t="s">
        <v>82</v>
      </c>
      <c r="X125" s="37" t="s">
        <v>81</v>
      </c>
      <c r="Y125" s="37" t="s">
        <v>109</v>
      </c>
      <c r="Z125" s="37" t="s">
        <v>83</v>
      </c>
      <c r="AA125" s="37" t="s">
        <v>81</v>
      </c>
      <c r="AB125" s="37" t="s">
        <v>81</v>
      </c>
      <c r="AC125" s="37" t="s">
        <v>81</v>
      </c>
      <c r="AD125" s="37" t="s">
        <v>85</v>
      </c>
      <c r="AE125" s="37" t="s">
        <v>86</v>
      </c>
      <c r="AF125" s="37" t="s">
        <v>181</v>
      </c>
      <c r="AG125" s="37" t="s">
        <v>87</v>
      </c>
      <c r="AH125" s="37" t="s">
        <v>81</v>
      </c>
      <c r="AI125" s="37" t="s">
        <v>81</v>
      </c>
      <c r="AJ125" s="37" t="s">
        <v>81</v>
      </c>
      <c r="AK125" s="37" t="s">
        <v>81</v>
      </c>
      <c r="AL125" s="37" t="s">
        <v>81</v>
      </c>
      <c r="AM125" t="str">
        <f>VLOOKUP($R125,武学奇术!$A:$ZZ,25,FALSE)</f>
        <v>双刀</v>
      </c>
      <c r="AN125" s="23">
        <f>VLOOKUP($R125,武学奇术!$A:$ZZ,26,FALSE)</f>
        <v>1.4455</v>
      </c>
      <c r="AO125" s="24">
        <f>VLOOKUP($R125,武学奇术!$A:$ZZ,27,FALSE)*(1+IF(OR($AM125=$F$4,$AM125=$F$5),$B$23,0))</f>
        <v>641.6</v>
      </c>
      <c r="AP125" s="23">
        <f>VLOOKUP($R125,武学奇术!$A:$ZZ,28,FALSE)</f>
        <v>2.1683</v>
      </c>
      <c r="AQ125" s="24">
        <f>VLOOKUP($R125,武学奇术!$A:$ZZ,29,FALSE)*(1+IF(OR($AM125=$F$4,$AM125=$F$5),$B$23,0))</f>
        <v>348.8</v>
      </c>
      <c r="AR125" s="23" cm="1">
        <f t="array" ref="AR125">$G$3+IFERROR(VLOOKUP($AM125,$F$4:$G$7,2,FALSE),0)+VLOOKUP($R125,武学奇术!$A:$ZZ,2,FALSE)+SUM(_xlfn.XLOOKUP($S125:$AL125,增益!$A:$A,增益!$B:$B,0))</f>
        <v>0.7443</v>
      </c>
      <c r="AS125" s="23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4081.7</v>
      </c>
      <c r="AU125" cm="1">
        <f t="array" ref="AU125">$E$10*(1+$AS125)+VLOOKUP($R125,武学奇术!$A:$ZZ,4,FALSE)+SUM(_xlfn.XLOOKUP($S125:$AL125,增益!$A:$A,增益!$D:$D,0))-$I$2</f>
        <v>4081.7</v>
      </c>
      <c r="AV125" s="29" cm="1">
        <f t="array" ref="AV125">IF($F$10-$I$3+VLOOKUP($R125,武学奇术!$A:$ZZ,6,FALSE)+SUM(_xlfn.XLOOKUP(S125:AL125,增益!$A:$A,增益!$F:$F,0))&gt;0,($F$10-$I$3+VLOOKUP($R125,武学奇术!$A:$ZZ,6,FALSE)+SUM(_xlfn.XLOOKUP(S125:AL125,增益!$A:$A,增益!$F:$F,0)))/200,($F$10-$I$3+VLOOKUP($R125,武学奇术!$A:$ZZ,6,FALSE)+SUM(_xlfn.XLOOKUP(S125:AL125,增益!$A:$A,增益!$F:$F,0)))/100)</f>
        <v>0.3689</v>
      </c>
      <c r="AW125" s="29" cm="1">
        <f t="array" ref="AW125">$G$10+VLOOKUP($R125,武学奇术!$A:$ZZ,7,FALSE)+SUM(_xlfn.XLOOKUP(S125:AL125,增益!$A:$A,增益!$G:$G,0))</f>
        <v>0.06</v>
      </c>
      <c r="AX125" s="23" cm="1">
        <f t="array" ref="AX125">VLOOKUP($R125,武学奇术!$A:$ZZ,8,FALSE)+SUM(_xlfn.XLOOKUP(S125:AL125,增益!$A:$A,增益!$H:$H,0))</f>
        <v>0</v>
      </c>
      <c r="AY125">
        <f t="shared" si="12"/>
        <v>0</v>
      </c>
      <c r="AZ125">
        <f t="shared" si="13"/>
        <v>0</v>
      </c>
      <c r="BA125" s="29" cm="1">
        <f t="array" ref="BA125">IF($F$11-$I$4+VLOOKUP($R125,武学奇术!$A:$ZZ,9,FALSE)+SUM(_xlfn.XLOOKUP(S125:AL125,增益!$A:$A,增益!$I:$I,0))&gt;0,($F$11-$I$4+VLOOKUP($R125,武学奇术!$A:$ZZ,9,FALSE)+SUM(_xlfn.XLOOKUP(S125:AL125,增益!$A:$A,增益!$I:$I,0)))/200,($F$11-$I$4+VLOOKUP($R125,武学奇术!$A:$ZZ,9,FALSE)+SUM(_xlfn.XLOOKUP(S125:AL125,增益!$A:$A,增益!$I:$I,0)))/100)</f>
        <v>-0.3</v>
      </c>
      <c r="BB125" s="29" cm="1">
        <f t="array" ref="BB125">$G$11+VLOOKUP($R125,武学奇术!$A:$ZZ,10,FALSE)+SUM(_xlfn.XLOOKUP(S125:AL125,增益!$A:$A,增益!$J:$J,0))</f>
        <v>0</v>
      </c>
      <c r="BC125">
        <f t="shared" si="14"/>
        <v>0</v>
      </c>
      <c r="BD125">
        <f t="shared" si="15"/>
        <v>0</v>
      </c>
      <c r="BE125" s="29" cm="1">
        <f t="array" ref="BE125">IF($F$12-$I$4+VLOOKUP($R125,武学奇术!$A:$ZZ,11,FALSE)+SUM(_xlfn.XLOOKUP(S125:AL125,增益!$A:$A,增益!$K:$K,0))&gt;0,($F$12-$I$4+VLOOKUP($R125,武学奇术!$A:$ZZ,11,FALSE)+SUM(_xlfn.XLOOKUP(S125:AL125,增益!$A:$A,增益!$K:$K,0)))/200,($F$12-$I$4+VLOOKUP($R125,武学奇术!$A:$ZZ,11,FALSE)+SUM(_xlfn.XLOOKUP(S125:AL125,增益!$A:$A,增益!$K:$K,0)))/100)</f>
        <v>-0.3</v>
      </c>
      <c r="BF125" s="29" cm="1">
        <f t="array" ref="BF125">$G$12+VLOOKUP($R125,武学奇术!$A:$ZZ,12,FALSE)+SUM(_xlfn.XLOOKUP(S125:AL125,增益!$A:$A,增益!$L:$L,0))</f>
        <v>0</v>
      </c>
      <c r="BG125">
        <f t="shared" si="16"/>
        <v>0</v>
      </c>
      <c r="BH125">
        <f t="shared" si="17"/>
        <v>0</v>
      </c>
      <c r="BI125" s="29" cm="1">
        <f t="array" ref="BI125">IF($F$13-$I$4+VLOOKUP($R125,武学奇术!$A:$ZZ,13,FALSE)+SUM(_xlfn.XLOOKUP(S125:AL125,增益!$A:$A,增益!$M:$M,0))&gt;0,($F$13-$I$4+VLOOKUP($R125,武学奇术!$A:$ZZ,13,FALSE)+SUM(_xlfn.XLOOKUP(S125:AL125,增益!$A:$A,增益!$K:$K,0)))/200,($F$13-$I$4+VLOOKUP($R125,武学奇术!$A:$ZZ,13,FALSE)+SUM(_xlfn.XLOOKUP(S125:AL125,增益!$A:$A,增益!$M:$M,0)))/100)</f>
        <v>-0.3</v>
      </c>
      <c r="BJ125" s="29" cm="1">
        <f t="array" ref="BJ125">$G$13+VLOOKUP($R125,武学奇术!$A:$ZZ,14,FALSE)+SUM(_xlfn.XLOOKUP(S125:AL125,增益!$A:$A,增益!$N:$N,0))</f>
        <v>0</v>
      </c>
      <c r="BK125">
        <f t="shared" si="18"/>
        <v>618.2</v>
      </c>
      <c r="BL125">
        <f t="shared" si="19"/>
        <v>1805</v>
      </c>
      <c r="BM125" s="29" cm="1">
        <f t="array" ref="BM125">IF($F$14-$I$4+VLOOKUP($R125,武学奇术!$A:$ZZ,15,FALSE)+SUM(_xlfn.XLOOKUP(S125:AL125,增益!$A:$A,增益!$O:$O,0))&gt;0,($F$14-$I$4+VLOOKUP($R125,武学奇术!$A:$ZZ,15,FALSE)+SUM(_xlfn.XLOOKUP(S125:AL125,增益!$A:$A,增益!$O:$O,0)))/200,($F$14-$I$4+VLOOKUP($R125,武学奇术!$A:$ZZ,15,FALSE)+SUM(_xlfn.XLOOKUP(S125:AL125,增益!$A:$A,增益!$O:$O,0)))/100)</f>
        <v>0.05</v>
      </c>
      <c r="BN125" s="29" cm="1">
        <f t="array" ref="BN125">$G$14+VLOOKUP($R125,武学奇术!$A:$ZZ,16,FALSE)+SUM(_xlfn.XLOOKUP(S125:AL125,增益!$A:$A,增益!$P:$P,0))</f>
        <v>0.21</v>
      </c>
      <c r="BO125" s="23">
        <f>MIN(IF(VLOOKUP($R125,武学奇术!$A:$ZZ,23,FALSE)=1,100%,$B$8),100%)</f>
        <v>0.9943</v>
      </c>
      <c r="BP125" s="23" cm="1">
        <f t="array" ref="BP125">IF(VLOOKUP($R125,武学奇术!$A:$ZZ,23,FALSE)=1,100%,MIN(80%,$B$9+VLOOKUP($R125,武学奇术!$A:$ZZ,17,FALSE)+SUM(_xlfn.XLOOKUP(S125:AL125,增益!$A:$A,增益!$Q:$Q,0)))+$B$11+SUM(_xlfn.XLOOKUP(S125:AL125,增益!$A:$A,增益!$U:$U,0)))*IF(VLOOKUP($R125,武学奇术!$A:$ZZ,24,FALSE)=1,0,1)</f>
        <v>0.887</v>
      </c>
      <c r="BQ125" s="23" cm="1">
        <f t="array" ref="BQ125">1+$B$13+VLOOKUP($R125,武学奇术!$A:$ZZ,18,FALSE)+SUM(_xlfn.XLOOKUP(S125:AL125,增益!$A:$A,增益!$R:$R,0))</f>
        <v>2.394</v>
      </c>
      <c r="BR125" s="23" cm="1">
        <f t="array" ref="BR125">IF(VLOOKUP($R125,武学奇术!$A:$ZZ,24,FALSE)=1,100%,MIN(40%,$B$10+VLOOKUP($R125,武学奇术!$A:$ZZ,19,FALSE)+SUM(_xlfn.XLOOKUP(S125:AL125,增益!$A:$A,增益!$S:$S,0)))+$B$12+SUM(_xlfn.XLOOKUP(S125:AL125,增益!$A:$A,增益!$V:$V,0)))*IF(VLOOKUP($R125,武学奇术!$A:$ZZ,23,FALSE)=1,0,1)</f>
        <v>0.0913</v>
      </c>
      <c r="BS125" s="23" cm="1">
        <f t="array" ref="BS125">1+$B$14+VLOOKUP($R125,武学奇术!$A:$ZZ,20,FALSE)+SUM(_xlfn.XLOOKUP(S125:AL125,增益!$A:$A,增益!$T:$T,0))</f>
        <v>1.35</v>
      </c>
      <c r="BT125" s="23">
        <f t="shared" si="20"/>
        <v>0.8819441</v>
      </c>
      <c r="BU125" s="23">
        <f t="shared" si="21"/>
        <v>0.0215763099999999</v>
      </c>
      <c r="BV125" s="23">
        <f>IF(VLOOKUP($R125,武学奇术!$A:$ZZ,22,FALSE)=1,0,(1-$BO125))*(1-$BR125)</f>
        <v>0.00517959000000003</v>
      </c>
      <c r="BW125" s="23" cm="1">
        <f t="array" ref="BW125">SUM(_xlfn.XLOOKUP(S125:AL125,增益!$A:$A,增益!$W:$W,0))+$I$5</f>
        <v>0.11</v>
      </c>
      <c r="BX125" s="23">
        <f>VLOOKUP($R125,武学奇术!$A:$ZZ,32,FALSE)</f>
        <v>0.1</v>
      </c>
      <c r="BY125" s="23" cm="1">
        <f t="array" ref="BY125">SUM(_xlfn.XLOOKUP($S125:$AL125,增益!$A:$A,增益!$X:$X,0))</f>
        <v>0</v>
      </c>
    </row>
    <row r="126" spans="1:77">
      <c r="K126" s="35">
        <f>$L126*VLOOKUP($R126,武学奇术!$A:$ZZ,31,FALSE)</f>
        <v>87961.9215024306</v>
      </c>
      <c r="L126" s="35">
        <f t="shared" si="23"/>
        <v>78537.4299128845</v>
      </c>
      <c r="M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轻击",$B$21,0))*(1+IF(VLOOKUP($R126,武学奇术!$A:$ZZ,30,FALSE)="老鼠",$B$22,0))*(1+$BW126)*(1+$BX126)</f>
        <v>82620.5308792485</v>
      </c>
      <c r="N126" s="35">
        <f>(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轻击",$B$21,0))*(1+IF(VLOOKUP($R126,武学奇术!$A:$ZZ,30,FALSE)="老鼠",$B$22,0))*(1+$BW126))*(1+$BX126)</f>
        <v>52234.4828595382</v>
      </c>
      <c r="O126" s="35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轻击",$B$21,0))*(1+IF(VLOOKUP($R126,武学奇术!$A:$ZZ,30,FALSE)="老鼠",$B$22,0))*(1+$BW126)*(1+$BX126)</f>
        <v>34511.4999495608</v>
      </c>
      <c r="P126" s="35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轻击",$B$21,0))*(1+IF(VLOOKUP($R126,武学奇术!$A:$ZZ,30,FALSE)="老鼠",$B$22,0))*(1+$BW126)*(1+$BX126)</f>
        <v>30330.7903735377</v>
      </c>
      <c r="Q126" s="36">
        <v>1</v>
      </c>
      <c r="R126" s="37" t="s">
        <v>153</v>
      </c>
      <c r="S126" s="37" t="s">
        <v>91</v>
      </c>
      <c r="T126" s="37" t="s">
        <v>185</v>
      </c>
      <c r="U126" s="37" t="s">
        <v>112</v>
      </c>
      <c r="V126" s="37" t="s">
        <v>113</v>
      </c>
      <c r="W126" s="37" t="s">
        <v>82</v>
      </c>
      <c r="X126" s="37" t="s">
        <v>81</v>
      </c>
      <c r="Y126" s="37" t="s">
        <v>109</v>
      </c>
      <c r="Z126" s="37" t="s">
        <v>83</v>
      </c>
      <c r="AA126" s="37" t="s">
        <v>81</v>
      </c>
      <c r="AB126" s="37" t="s">
        <v>81</v>
      </c>
      <c r="AC126" s="37" t="s">
        <v>81</v>
      </c>
      <c r="AD126" s="37" t="s">
        <v>85</v>
      </c>
      <c r="AE126" s="37" t="s">
        <v>86</v>
      </c>
      <c r="AF126" s="37" t="s">
        <v>181</v>
      </c>
      <c r="AG126" s="37" t="s">
        <v>87</v>
      </c>
      <c r="AH126" s="37" t="s">
        <v>81</v>
      </c>
      <c r="AI126" s="37" t="s">
        <v>81</v>
      </c>
      <c r="AJ126" s="37" t="s">
        <v>81</v>
      </c>
      <c r="AK126" s="37" t="s">
        <v>81</v>
      </c>
      <c r="AL126" s="37" t="s">
        <v>81</v>
      </c>
      <c r="AM126" t="str">
        <f>VLOOKUP($R126,武学奇术!$A:$ZZ,25,FALSE)</f>
        <v>双刀</v>
      </c>
      <c r="AN126" s="23">
        <f>VLOOKUP($R126,武学奇术!$A:$ZZ,26,FALSE)</f>
        <v>1.7358</v>
      </c>
      <c r="AO126" s="24">
        <f>VLOOKUP($R126,武学奇术!$A:$ZZ,27,FALSE)*(1+IF(OR($AM126=$F$4,$AM126=$F$5),$B$23,0))</f>
        <v>769.6</v>
      </c>
      <c r="AP126" s="23">
        <f>VLOOKUP($R126,武学奇术!$A:$ZZ,28,FALSE)</f>
        <v>2.6037</v>
      </c>
      <c r="AQ126" s="24">
        <f>VLOOKUP($R126,武学奇术!$A:$ZZ,29,FALSE)*(1+IF(OR($AM126=$F$4,$AM126=$F$5),$B$23,0))</f>
        <v>419.2</v>
      </c>
      <c r="AR126" s="23" cm="1">
        <f t="array" ref="AR126">$G$3+IFERROR(VLOOKUP($AM126,$F$4:$G$7,2,FALSE),0)+VLOOKUP($R126,武学奇术!$A:$ZZ,2,FALSE)+SUM(_xlfn.XLOOKUP($S126:$AL126,增益!$A:$A,增益!$B:$B,0))</f>
        <v>0.7443</v>
      </c>
      <c r="AS126" s="23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4081.7</v>
      </c>
      <c r="AU126" cm="1">
        <f t="array" ref="AU126">$E$10*(1+$AS126)+VLOOKUP($R126,武学奇术!$A:$ZZ,4,FALSE)+SUM(_xlfn.XLOOKUP($S126:$AL126,增益!$A:$A,增益!$D:$D,0))-$I$2</f>
        <v>4081.7</v>
      </c>
      <c r="AV126" s="29" cm="1">
        <f t="array" ref="AV126">IF($F$10-$I$3+VLOOKUP($R126,武学奇术!$A:$ZZ,6,FALSE)+SUM(_xlfn.XLOOKUP(S126:AL126,增益!$A:$A,增益!$F:$F,0))&gt;0,($F$10-$I$3+VLOOKUP($R126,武学奇术!$A:$ZZ,6,FALSE)+SUM(_xlfn.XLOOKUP(S126:AL126,增益!$A:$A,增益!$F:$F,0)))/200,($F$10-$I$3+VLOOKUP($R126,武学奇术!$A:$ZZ,6,FALSE)+SUM(_xlfn.XLOOKUP(S126:AL126,增益!$A:$A,增益!$F:$F,0)))/100)</f>
        <v>0.3689</v>
      </c>
      <c r="AW126" s="29" cm="1">
        <f t="array" ref="AW126">$G$10+VLOOKUP($R126,武学奇术!$A:$ZZ,7,FALSE)+SUM(_xlfn.XLOOKUP(S126:AL126,增益!$A:$A,增益!$G:$G,0))</f>
        <v>0.06</v>
      </c>
      <c r="AX126" s="23" cm="1">
        <f t="array" ref="AX126">VLOOKUP($R126,武学奇术!$A:$ZZ,8,FALSE)+SUM(_xlfn.XLOOKUP(S126:AL126,增益!$A:$A,增益!$H:$H,0))</f>
        <v>0</v>
      </c>
      <c r="AY126">
        <f t="shared" si="12"/>
        <v>0</v>
      </c>
      <c r="AZ126">
        <f t="shared" si="13"/>
        <v>0</v>
      </c>
      <c r="BA126" s="29" cm="1">
        <f t="array" ref="BA126">IF($F$11-$I$4+VLOOKUP($R126,武学奇术!$A:$ZZ,9,FALSE)+SUM(_xlfn.XLOOKUP(S126:AL126,增益!$A:$A,增益!$I:$I,0))&gt;0,($F$11-$I$4+VLOOKUP($R126,武学奇术!$A:$ZZ,9,FALSE)+SUM(_xlfn.XLOOKUP(S126:AL126,增益!$A:$A,增益!$I:$I,0)))/200,($F$11-$I$4+VLOOKUP($R126,武学奇术!$A:$ZZ,9,FALSE)+SUM(_xlfn.XLOOKUP(S126:AL126,增益!$A:$A,增益!$I:$I,0)))/100)</f>
        <v>-0.3</v>
      </c>
      <c r="BB126" s="29" cm="1">
        <f t="array" ref="BB126">$G$11+VLOOKUP($R126,武学奇术!$A:$ZZ,10,FALSE)+SUM(_xlfn.XLOOKUP(S126:AL126,增益!$A:$A,增益!$J:$J,0))</f>
        <v>0</v>
      </c>
      <c r="BC126">
        <f t="shared" si="14"/>
        <v>0</v>
      </c>
      <c r="BD126">
        <f t="shared" si="15"/>
        <v>0</v>
      </c>
      <c r="BE126" s="29" cm="1">
        <f t="array" ref="BE126">IF($F$12-$I$4+VLOOKUP($R126,武学奇术!$A:$ZZ,11,FALSE)+SUM(_xlfn.XLOOKUP(S126:AL126,增益!$A:$A,增益!$K:$K,0))&gt;0,($F$12-$I$4+VLOOKUP($R126,武学奇术!$A:$ZZ,11,FALSE)+SUM(_xlfn.XLOOKUP(S126:AL126,增益!$A:$A,增益!$K:$K,0)))/200,($F$12-$I$4+VLOOKUP($R126,武学奇术!$A:$ZZ,11,FALSE)+SUM(_xlfn.XLOOKUP(S126:AL126,增益!$A:$A,增益!$K:$K,0)))/100)</f>
        <v>-0.3</v>
      </c>
      <c r="BF126" s="29" cm="1">
        <f t="array" ref="BF126">$G$12+VLOOKUP($R126,武学奇术!$A:$ZZ,12,FALSE)+SUM(_xlfn.XLOOKUP(S126:AL126,增益!$A:$A,增益!$L:$L,0))</f>
        <v>0</v>
      </c>
      <c r="BG126">
        <f t="shared" si="16"/>
        <v>0</v>
      </c>
      <c r="BH126">
        <f t="shared" si="17"/>
        <v>0</v>
      </c>
      <c r="BI126" s="29" cm="1">
        <f t="array" ref="BI126">IF($F$13-$I$4+VLOOKUP($R126,武学奇术!$A:$ZZ,13,FALSE)+SUM(_xlfn.XLOOKUP(S126:AL126,增益!$A:$A,增益!$M:$M,0))&gt;0,($F$13-$I$4+VLOOKUP($R126,武学奇术!$A:$ZZ,13,FALSE)+SUM(_xlfn.XLOOKUP(S126:AL126,增益!$A:$A,增益!$K:$K,0)))/200,($F$13-$I$4+VLOOKUP($R126,武学奇术!$A:$ZZ,13,FALSE)+SUM(_xlfn.XLOOKUP(S126:AL126,增益!$A:$A,增益!$M:$M,0)))/100)</f>
        <v>-0.3</v>
      </c>
      <c r="BJ126" s="29" cm="1">
        <f t="array" ref="BJ126">$G$13+VLOOKUP($R126,武学奇术!$A:$ZZ,14,FALSE)+SUM(_xlfn.XLOOKUP(S126:AL126,增益!$A:$A,增益!$N:$N,0))</f>
        <v>0</v>
      </c>
      <c r="BK126">
        <f t="shared" si="18"/>
        <v>618.2</v>
      </c>
      <c r="BL126">
        <f t="shared" si="19"/>
        <v>1805</v>
      </c>
      <c r="BM126" s="29" cm="1">
        <f t="array" ref="BM126">IF($F$14-$I$4+VLOOKUP($R126,武学奇术!$A:$ZZ,15,FALSE)+SUM(_xlfn.XLOOKUP(S126:AL126,增益!$A:$A,增益!$O:$O,0))&gt;0,($F$14-$I$4+VLOOKUP($R126,武学奇术!$A:$ZZ,15,FALSE)+SUM(_xlfn.XLOOKUP(S126:AL126,增益!$A:$A,增益!$O:$O,0)))/200,($F$14-$I$4+VLOOKUP($R126,武学奇术!$A:$ZZ,15,FALSE)+SUM(_xlfn.XLOOKUP(S126:AL126,增益!$A:$A,增益!$O:$O,0)))/100)</f>
        <v>0.05</v>
      </c>
      <c r="BN126" s="29" cm="1">
        <f t="array" ref="BN126">$G$14+VLOOKUP($R126,武学奇术!$A:$ZZ,16,FALSE)+SUM(_xlfn.XLOOKUP(S126:AL126,增益!$A:$A,增益!$P:$P,0))</f>
        <v>0.21</v>
      </c>
      <c r="BO126" s="23">
        <f>MIN(IF(VLOOKUP($R126,武学奇术!$A:$ZZ,23,FALSE)=1,100%,$B$8),100%)</f>
        <v>0.9943</v>
      </c>
      <c r="BP126" s="23" cm="1">
        <f t="array" ref="BP126">IF(VLOOKUP($R126,武学奇术!$A:$ZZ,23,FALSE)=1,100%,MIN(80%,$B$9+VLOOKUP($R126,武学奇术!$A:$ZZ,17,FALSE)+SUM(_xlfn.XLOOKUP(S126:AL126,增益!$A:$A,增益!$Q:$Q,0)))+$B$11+SUM(_xlfn.XLOOKUP(S126:AL126,增益!$A:$A,增益!$U:$U,0)))*IF(VLOOKUP($R126,武学奇术!$A:$ZZ,24,FALSE)=1,0,1)</f>
        <v>0.887</v>
      </c>
      <c r="BQ126" s="23" cm="1">
        <f t="array" ref="BQ126">1+$B$13+VLOOKUP($R126,武学奇术!$A:$ZZ,18,FALSE)+SUM(_xlfn.XLOOKUP(S126:AL126,增益!$A:$A,增益!$R:$R,0))</f>
        <v>2.394</v>
      </c>
      <c r="BR126" s="23" cm="1">
        <f t="array" ref="BR126">IF(VLOOKUP($R126,武学奇术!$A:$ZZ,24,FALSE)=1,100%,MIN(40%,$B$10+VLOOKUP($R126,武学奇术!$A:$ZZ,19,FALSE)+SUM(_xlfn.XLOOKUP(S126:AL126,增益!$A:$A,增益!$S:$S,0)))+$B$12+SUM(_xlfn.XLOOKUP(S126:AL126,增益!$A:$A,增益!$V:$V,0)))*IF(VLOOKUP($R126,武学奇术!$A:$ZZ,23,FALSE)=1,0,1)</f>
        <v>0.0913</v>
      </c>
      <c r="BS126" s="23" cm="1">
        <f t="array" ref="BS126">1+$B$14+VLOOKUP($R126,武学奇术!$A:$ZZ,20,FALSE)+SUM(_xlfn.XLOOKUP(S126:AL126,增益!$A:$A,增益!$T:$T,0))</f>
        <v>1.35</v>
      </c>
      <c r="BT126" s="23">
        <f t="shared" si="20"/>
        <v>0.8819441</v>
      </c>
      <c r="BU126" s="23">
        <f t="shared" si="21"/>
        <v>0.0215763099999999</v>
      </c>
      <c r="BV126" s="23">
        <f>IF(VLOOKUP($R126,武学奇术!$A:$ZZ,22,FALSE)=1,0,(1-$BO126))*(1-$BR126)</f>
        <v>0.00517959000000003</v>
      </c>
      <c r="BW126" s="23" cm="1">
        <f t="array" ref="BW126">SUM(_xlfn.XLOOKUP(S126:AL126,增益!$A:$A,增益!$W:$W,0))+$I$5</f>
        <v>0.11</v>
      </c>
      <c r="BX126" s="23">
        <f>VLOOKUP($R126,武学奇术!$A:$ZZ,32,FALSE)</f>
        <v>0.1</v>
      </c>
      <c r="BY126" s="23" cm="1">
        <f t="array" ref="BY126">SUM(_xlfn.XLOOKUP($S126:$AL126,增益!$A:$A,增益!$X:$X,0))</f>
        <v>0</v>
      </c>
    </row>
    <row r="127" spans="1:77">
      <c r="K127" s="35">
        <f>$L127*VLOOKUP($R127,武学奇术!$A:$ZZ,31,FALSE)</f>
        <v>128408.703576555</v>
      </c>
      <c r="L127" s="35">
        <f t="shared" si="23"/>
        <v>114650.628193353</v>
      </c>
      <c r="M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轻击",$B$21,0))*(1+IF(VLOOKUP($R127,武学奇术!$A:$ZZ,30,FALSE)="老鼠",$B$22,0))*(1+$BW127)*(1+$BX127)</f>
        <v>120611.174000028</v>
      </c>
      <c r="N127" s="35">
        <f>(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轻击",$B$21,0))*(1+IF(VLOOKUP($R127,武学奇术!$A:$ZZ,30,FALSE)="老鼠",$B$22,0))*(1+$BW127))*(1+$BX127)</f>
        <v>76253.5606301748</v>
      </c>
      <c r="O127" s="35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轻击",$B$21,0))*(1+IF(VLOOKUP($R127,武学奇术!$A:$ZZ,30,FALSE)="老鼠",$B$22,0))*(1+$BW127)*(1+$BX127)</f>
        <v>50380.6073517244</v>
      </c>
      <c r="P127" s="35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轻击",$B$21,0))*(1+IF(VLOOKUP($R127,武学奇术!$A:$ZZ,30,FALSE)="老鼠",$B$22,0))*(1+$BW127)*(1+$BX127)</f>
        <v>44277.0957181341</v>
      </c>
      <c r="Q127" s="36">
        <v>1</v>
      </c>
      <c r="R127" s="37" t="s">
        <v>158</v>
      </c>
      <c r="S127" s="37" t="s">
        <v>91</v>
      </c>
      <c r="T127" s="37" t="s">
        <v>185</v>
      </c>
      <c r="U127" s="37" t="s">
        <v>112</v>
      </c>
      <c r="V127" s="37" t="s">
        <v>113</v>
      </c>
      <c r="W127" s="37" t="s">
        <v>82</v>
      </c>
      <c r="X127" s="37" t="s">
        <v>81</v>
      </c>
      <c r="Y127" s="37" t="s">
        <v>109</v>
      </c>
      <c r="Z127" s="37" t="s">
        <v>83</v>
      </c>
      <c r="AA127" s="37" t="s">
        <v>81</v>
      </c>
      <c r="AB127" s="37" t="s">
        <v>81</v>
      </c>
      <c r="AC127" s="37" t="s">
        <v>81</v>
      </c>
      <c r="AD127" s="37" t="s">
        <v>85</v>
      </c>
      <c r="AE127" s="37" t="s">
        <v>86</v>
      </c>
      <c r="AF127" s="37" t="s">
        <v>181</v>
      </c>
      <c r="AG127" s="37" t="s">
        <v>87</v>
      </c>
      <c r="AH127" s="37" t="s">
        <v>81</v>
      </c>
      <c r="AI127" s="37" t="s">
        <v>81</v>
      </c>
      <c r="AJ127" s="37" t="s">
        <v>81</v>
      </c>
      <c r="AK127" s="37" t="s">
        <v>81</v>
      </c>
      <c r="AL127" s="37" t="s">
        <v>81</v>
      </c>
      <c r="AM127" t="str">
        <f>VLOOKUP($R127,武学奇术!$A:$ZZ,25,FALSE)</f>
        <v>双刀</v>
      </c>
      <c r="AN127" s="23">
        <f>VLOOKUP($R127,武学奇术!$A:$ZZ,26,FALSE)</f>
        <v>2.5342</v>
      </c>
      <c r="AO127" s="24">
        <f>VLOOKUP($R127,武学奇术!$A:$ZZ,27,FALSE)*(1+IF(OR($AM127=$F$4,$AM127=$F$5),$B$23,0))</f>
        <v>1123.2</v>
      </c>
      <c r="AP127" s="23">
        <f>VLOOKUP($R127,武学奇术!$A:$ZZ,28,FALSE)</f>
        <v>3.8012</v>
      </c>
      <c r="AQ127" s="24">
        <f>VLOOKUP($R127,武学奇术!$A:$ZZ,29,FALSE)*(1+IF(OR($AM127=$F$4,$AM127=$F$5),$B$23,0))</f>
        <v>611.2</v>
      </c>
      <c r="AR127" s="23" cm="1">
        <f t="array" ref="AR127">$G$3+IFERROR(VLOOKUP($AM127,$F$4:$G$7,2,FALSE),0)+VLOOKUP($R127,武学奇术!$A:$ZZ,2,FALSE)+SUM(_xlfn.XLOOKUP($S127:$AL127,增益!$A:$A,增益!$B:$B,0))</f>
        <v>0.7443</v>
      </c>
      <c r="AS127" s="23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4081.7</v>
      </c>
      <c r="AU127" cm="1">
        <f t="array" ref="AU127">$E$10*(1+$AS127)+VLOOKUP($R127,武学奇术!$A:$ZZ,4,FALSE)+SUM(_xlfn.XLOOKUP($S127:$AL127,增益!$A:$A,增益!$D:$D,0))-$I$2</f>
        <v>4081.7</v>
      </c>
      <c r="AV127" s="29" cm="1">
        <f t="array" ref="AV127">IF($F$10-$I$3+VLOOKUP($R127,武学奇术!$A:$ZZ,6,FALSE)+SUM(_xlfn.XLOOKUP(S127:AL127,增益!$A:$A,增益!$F:$F,0))&gt;0,($F$10-$I$3+VLOOKUP($R127,武学奇术!$A:$ZZ,6,FALSE)+SUM(_xlfn.XLOOKUP(S127:AL127,增益!$A:$A,增益!$F:$F,0)))/200,($F$10-$I$3+VLOOKUP($R127,武学奇术!$A:$ZZ,6,FALSE)+SUM(_xlfn.XLOOKUP(S127:AL127,增益!$A:$A,增益!$F:$F,0)))/100)</f>
        <v>0.3689</v>
      </c>
      <c r="AW127" s="29" cm="1">
        <f t="array" ref="AW127">$G$10+VLOOKUP($R127,武学奇术!$A:$ZZ,7,FALSE)+SUM(_xlfn.XLOOKUP(S127:AL127,增益!$A:$A,增益!$G:$G,0))</f>
        <v>0.06</v>
      </c>
      <c r="AX127" s="23" cm="1">
        <f t="array" ref="AX127">VLOOKUP($R127,武学奇术!$A:$ZZ,8,FALSE)+SUM(_xlfn.XLOOKUP(S127:AL127,增益!$A:$A,增益!$H:$H,0))</f>
        <v>0</v>
      </c>
      <c r="AY127">
        <f t="shared" si="12"/>
        <v>0</v>
      </c>
      <c r="AZ127">
        <f t="shared" si="13"/>
        <v>0</v>
      </c>
      <c r="BA127" s="29" cm="1">
        <f t="array" ref="BA127">IF($F$11-$I$4+VLOOKUP($R127,武学奇术!$A:$ZZ,9,FALSE)+SUM(_xlfn.XLOOKUP(S127:AL127,增益!$A:$A,增益!$I:$I,0))&gt;0,($F$11-$I$4+VLOOKUP($R127,武学奇术!$A:$ZZ,9,FALSE)+SUM(_xlfn.XLOOKUP(S127:AL127,增益!$A:$A,增益!$I:$I,0)))/200,($F$11-$I$4+VLOOKUP($R127,武学奇术!$A:$ZZ,9,FALSE)+SUM(_xlfn.XLOOKUP(S127:AL127,增益!$A:$A,增益!$I:$I,0)))/100)</f>
        <v>-0.3</v>
      </c>
      <c r="BB127" s="29" cm="1">
        <f t="array" ref="BB127">$G$11+VLOOKUP($R127,武学奇术!$A:$ZZ,10,FALSE)+SUM(_xlfn.XLOOKUP(S127:AL127,增益!$A:$A,增益!$J:$J,0))</f>
        <v>0</v>
      </c>
      <c r="BC127">
        <f t="shared" si="14"/>
        <v>0</v>
      </c>
      <c r="BD127">
        <f t="shared" si="15"/>
        <v>0</v>
      </c>
      <c r="BE127" s="29" cm="1">
        <f t="array" ref="BE127">IF($F$12-$I$4+VLOOKUP($R127,武学奇术!$A:$ZZ,11,FALSE)+SUM(_xlfn.XLOOKUP(S127:AL127,增益!$A:$A,增益!$K:$K,0))&gt;0,($F$12-$I$4+VLOOKUP($R127,武学奇术!$A:$ZZ,11,FALSE)+SUM(_xlfn.XLOOKUP(S127:AL127,增益!$A:$A,增益!$K:$K,0)))/200,($F$12-$I$4+VLOOKUP($R127,武学奇术!$A:$ZZ,11,FALSE)+SUM(_xlfn.XLOOKUP(S127:AL127,增益!$A:$A,增益!$K:$K,0)))/100)</f>
        <v>-0.3</v>
      </c>
      <c r="BF127" s="29" cm="1">
        <f t="array" ref="BF127">$G$12+VLOOKUP($R127,武学奇术!$A:$ZZ,12,FALSE)+SUM(_xlfn.XLOOKUP(S127:AL127,增益!$A:$A,增益!$L:$L,0))</f>
        <v>0</v>
      </c>
      <c r="BG127">
        <f t="shared" si="16"/>
        <v>0</v>
      </c>
      <c r="BH127">
        <f t="shared" si="17"/>
        <v>0</v>
      </c>
      <c r="BI127" s="29" cm="1">
        <f t="array" ref="BI127">IF($F$13-$I$4+VLOOKUP($R127,武学奇术!$A:$ZZ,13,FALSE)+SUM(_xlfn.XLOOKUP(S127:AL127,增益!$A:$A,增益!$M:$M,0))&gt;0,($F$13-$I$4+VLOOKUP($R127,武学奇术!$A:$ZZ,13,FALSE)+SUM(_xlfn.XLOOKUP(S127:AL127,增益!$A:$A,增益!$K:$K,0)))/200,($F$13-$I$4+VLOOKUP($R127,武学奇术!$A:$ZZ,13,FALSE)+SUM(_xlfn.XLOOKUP(S127:AL127,增益!$A:$A,增益!$M:$M,0)))/100)</f>
        <v>-0.3</v>
      </c>
      <c r="BJ127" s="29" cm="1">
        <f t="array" ref="BJ127">$G$13+VLOOKUP($R127,武学奇术!$A:$ZZ,14,FALSE)+SUM(_xlfn.XLOOKUP(S127:AL127,增益!$A:$A,增益!$N:$N,0))</f>
        <v>0</v>
      </c>
      <c r="BK127">
        <f t="shared" si="18"/>
        <v>618.2</v>
      </c>
      <c r="BL127">
        <f t="shared" si="19"/>
        <v>1805</v>
      </c>
      <c r="BM127" s="29" cm="1">
        <f t="array" ref="BM127">IF($F$14-$I$4+VLOOKUP($R127,武学奇术!$A:$ZZ,15,FALSE)+SUM(_xlfn.XLOOKUP(S127:AL127,增益!$A:$A,增益!$O:$O,0))&gt;0,($F$14-$I$4+VLOOKUP($R127,武学奇术!$A:$ZZ,15,FALSE)+SUM(_xlfn.XLOOKUP(S127:AL127,增益!$A:$A,增益!$O:$O,0)))/200,($F$14-$I$4+VLOOKUP($R127,武学奇术!$A:$ZZ,15,FALSE)+SUM(_xlfn.XLOOKUP(S127:AL127,增益!$A:$A,增益!$O:$O,0)))/100)</f>
        <v>0.05</v>
      </c>
      <c r="BN127" s="29" cm="1">
        <f t="array" ref="BN127">$G$14+VLOOKUP($R127,武学奇术!$A:$ZZ,16,FALSE)+SUM(_xlfn.XLOOKUP(S127:AL127,增益!$A:$A,增益!$P:$P,0))</f>
        <v>0.21</v>
      </c>
      <c r="BO127" s="23">
        <f>MIN(IF(VLOOKUP($R127,武学奇术!$A:$ZZ,23,FALSE)=1,100%,$B$8),100%)</f>
        <v>0.9943</v>
      </c>
      <c r="BP127" s="23" cm="1">
        <f t="array" ref="BP127">IF(VLOOKUP($R127,武学奇术!$A:$ZZ,23,FALSE)=1,100%,MIN(80%,$B$9+VLOOKUP($R127,武学奇术!$A:$ZZ,17,FALSE)+SUM(_xlfn.XLOOKUP(S127:AL127,增益!$A:$A,增益!$Q:$Q,0)))+$B$11+SUM(_xlfn.XLOOKUP(S127:AL127,增益!$A:$A,增益!$U:$U,0)))*IF(VLOOKUP($R127,武学奇术!$A:$ZZ,24,FALSE)=1,0,1)</f>
        <v>0.887</v>
      </c>
      <c r="BQ127" s="23" cm="1">
        <f t="array" ref="BQ127">1+$B$13+VLOOKUP($R127,武学奇术!$A:$ZZ,18,FALSE)+SUM(_xlfn.XLOOKUP(S127:AL127,增益!$A:$A,增益!$R:$R,0))</f>
        <v>2.394</v>
      </c>
      <c r="BR127" s="23" cm="1">
        <f t="array" ref="BR127">IF(VLOOKUP($R127,武学奇术!$A:$ZZ,24,FALSE)=1,100%,MIN(40%,$B$10+VLOOKUP($R127,武学奇术!$A:$ZZ,19,FALSE)+SUM(_xlfn.XLOOKUP(S127:AL127,增益!$A:$A,增益!$S:$S,0)))+$B$12+SUM(_xlfn.XLOOKUP(S127:AL127,增益!$A:$A,增益!$V:$V,0)))*IF(VLOOKUP($R127,武学奇术!$A:$ZZ,23,FALSE)=1,0,1)</f>
        <v>0.0913</v>
      </c>
      <c r="BS127" s="23" cm="1">
        <f t="array" ref="BS127">1+$B$14+VLOOKUP($R127,武学奇术!$A:$ZZ,20,FALSE)+SUM(_xlfn.XLOOKUP(S127:AL127,增益!$A:$A,增益!$T:$T,0))</f>
        <v>1.35</v>
      </c>
      <c r="BT127" s="23">
        <f t="shared" si="20"/>
        <v>0.8819441</v>
      </c>
      <c r="BU127" s="23">
        <f t="shared" si="21"/>
        <v>0.0215763099999999</v>
      </c>
      <c r="BV127" s="23">
        <f>IF(VLOOKUP($R127,武学奇术!$A:$ZZ,22,FALSE)=1,0,(1-$BO127))*(1-$BR127)</f>
        <v>0.00517959000000003</v>
      </c>
      <c r="BW127" s="23" cm="1">
        <f t="array" ref="BW127">SUM(_xlfn.XLOOKUP(S127:AL127,增益!$A:$A,增益!$W:$W,0))+$I$5</f>
        <v>0.11</v>
      </c>
      <c r="BX127" s="23">
        <f>VLOOKUP($R127,武学奇术!$A:$ZZ,32,FALSE)</f>
        <v>0.1</v>
      </c>
      <c r="BY127" s="23" cm="1">
        <f t="array" ref="BY127">SUM(_xlfn.XLOOKUP($S127:$AL127,增益!$A:$A,增益!$X:$X,0))</f>
        <v>0</v>
      </c>
    </row>
    <row r="128" spans="1:77">
      <c r="K128" s="35">
        <f>$L128*VLOOKUP($R128,武学奇术!$A:$ZZ,31,FALSE)</f>
        <v>44299.0020275147</v>
      </c>
      <c r="L128" s="35">
        <f t="shared" si="23"/>
        <v>43430.3941446223</v>
      </c>
      <c r="M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轻击",$B$21,0))*(1+IF(VLOOKUP($R128,武学奇术!$A:$ZZ,30,FALSE)="老鼠",$B$22,0))*(1+$BW128)*(1+$BX128)</f>
        <v>45693.6120471791</v>
      </c>
      <c r="N128" s="35">
        <f>(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轻击",$B$21,0))*(1+IF(VLOOKUP($R128,武学奇术!$A:$ZZ,30,FALSE)="老鼠",$B$22,0))*(1+$BW128))*(1+$BX128)</f>
        <v>28830.8323491268</v>
      </c>
      <c r="O128" s="35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轻击",$B$21,0))*(1+IF(VLOOKUP($R128,武学奇术!$A:$ZZ,30,FALSE)="老鼠",$B$22,0))*(1+$BW128)*(1+$BX128)</f>
        <v>19086.7218242185</v>
      </c>
      <c r="P128" s="35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轻击",$B$21,0))*(1+IF(VLOOKUP($R128,武学奇术!$A:$ZZ,30,FALSE)="老鼠",$B$22,0))*(1+$BW128)*(1+$BX128)</f>
        <v>16817.2715379728</v>
      </c>
      <c r="Q128" s="36">
        <v>1</v>
      </c>
      <c r="R128" s="37" t="s">
        <v>160</v>
      </c>
      <c r="S128" s="37" t="s">
        <v>91</v>
      </c>
      <c r="T128" s="37" t="s">
        <v>185</v>
      </c>
      <c r="U128" s="37" t="s">
        <v>81</v>
      </c>
      <c r="V128" s="37" t="s">
        <v>81</v>
      </c>
      <c r="W128" s="37" t="s">
        <v>81</v>
      </c>
      <c r="X128" s="37" t="s">
        <v>81</v>
      </c>
      <c r="Y128" s="37" t="s">
        <v>81</v>
      </c>
      <c r="Z128" s="37" t="s">
        <v>83</v>
      </c>
      <c r="AA128" s="37" t="s">
        <v>81</v>
      </c>
      <c r="AB128" s="37" t="s">
        <v>81</v>
      </c>
      <c r="AC128" s="37" t="s">
        <v>81</v>
      </c>
      <c r="AD128" s="37" t="s">
        <v>85</v>
      </c>
      <c r="AE128" s="37" t="s">
        <v>86</v>
      </c>
      <c r="AF128" s="37" t="s">
        <v>81</v>
      </c>
      <c r="AG128" s="37" t="s">
        <v>87</v>
      </c>
      <c r="AH128" s="37" t="s">
        <v>81</v>
      </c>
      <c r="AI128" s="37" t="s">
        <v>81</v>
      </c>
      <c r="AJ128" s="37" t="s">
        <v>81</v>
      </c>
      <c r="AK128" s="37" t="s">
        <v>81</v>
      </c>
      <c r="AL128" s="37" t="s">
        <v>81</v>
      </c>
      <c r="AM128" t="str">
        <f>VLOOKUP($R128,武学奇术!$A:$ZZ,25,FALSE)</f>
        <v>双刀</v>
      </c>
      <c r="AN128" s="23">
        <f>VLOOKUP($R128,武学奇术!$A:$ZZ,26,FALSE)</f>
        <v>1.3548</v>
      </c>
      <c r="AO128" s="24">
        <f>VLOOKUP($R128,武学奇术!$A:$ZZ,27,FALSE)*(1+IF(OR($AM128=$F$4,$AM128=$F$5),$B$23,0))</f>
        <v>601.6</v>
      </c>
      <c r="AP128" s="23">
        <f>VLOOKUP($R128,武学奇术!$A:$ZZ,28,FALSE)</f>
        <v>2.0322</v>
      </c>
      <c r="AQ128" s="24">
        <f>VLOOKUP($R128,武学奇术!$A:$ZZ,29,FALSE)*(1+IF(OR($AM128=$F$4,$AM128=$F$5),$B$23,0))</f>
        <v>328</v>
      </c>
      <c r="AR128" s="23" cm="1">
        <f t="array" ref="AR128">$G$3+IFERROR(VLOOKUP($AM128,$F$4:$G$7,2,FALSE),0)+VLOOKUP($R128,武学奇术!$A:$ZZ,2,FALSE)+SUM(_xlfn.XLOOKUP($S128:$AL128,增益!$A:$A,增益!$B:$B,0))</f>
        <v>0.4743</v>
      </c>
      <c r="AS128" s="23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4013</v>
      </c>
      <c r="AU128" cm="1">
        <f t="array" ref="AU128">$E$10*(1+$AS128)+VLOOKUP($R128,武学奇术!$A:$ZZ,4,FALSE)+SUM(_xlfn.XLOOKUP($S128:$AL128,增益!$A:$A,增益!$D:$D,0))-$I$2</f>
        <v>4013</v>
      </c>
      <c r="AV128" s="29" cm="1">
        <f t="array" ref="AV128">IF($F$10-$I$3+VLOOKUP($R128,武学奇术!$A:$ZZ,6,FALSE)+SUM(_xlfn.XLOOKUP(S128:AL128,增益!$A:$A,增益!$F:$F,0))&gt;0,($F$10-$I$3+VLOOKUP($R128,武学奇术!$A:$ZZ,6,FALSE)+SUM(_xlfn.XLOOKUP(S128:AL128,增益!$A:$A,增益!$F:$F,0)))/200,($F$10-$I$3+VLOOKUP($R128,武学奇术!$A:$ZZ,6,FALSE)+SUM(_xlfn.XLOOKUP(S128:AL128,增益!$A:$A,增益!$F:$F,0)))/100)</f>
        <v>0.3689</v>
      </c>
      <c r="AW128" s="29" cm="1">
        <f t="array" ref="AW128">$G$10+VLOOKUP($R128,武学奇术!$A:$ZZ,7,FALSE)+SUM(_xlfn.XLOOKUP(S128:AL128,增益!$A:$A,增益!$G:$G,0))</f>
        <v>0</v>
      </c>
      <c r="AX128" s="23" cm="1">
        <f t="array" ref="AX128">VLOOKUP($R128,武学奇术!$A:$ZZ,8,FALSE)+SUM(_xlfn.XLOOKUP(S128:AL128,增益!$A:$A,增益!$H:$H,0))</f>
        <v>0</v>
      </c>
      <c r="AY128">
        <f t="shared" si="12"/>
        <v>0</v>
      </c>
      <c r="AZ128">
        <f t="shared" si="13"/>
        <v>0</v>
      </c>
      <c r="BA128" s="29" cm="1">
        <f t="array" ref="BA128">IF($F$11-$I$4+VLOOKUP($R128,武学奇术!$A:$ZZ,9,FALSE)+SUM(_xlfn.XLOOKUP(S128:AL128,增益!$A:$A,增益!$I:$I,0))&gt;0,($F$11-$I$4+VLOOKUP($R128,武学奇术!$A:$ZZ,9,FALSE)+SUM(_xlfn.XLOOKUP(S128:AL128,增益!$A:$A,增益!$I:$I,0)))/200,($F$11-$I$4+VLOOKUP($R128,武学奇术!$A:$ZZ,9,FALSE)+SUM(_xlfn.XLOOKUP(S128:AL128,增益!$A:$A,增益!$I:$I,0)))/100)</f>
        <v>-0.3</v>
      </c>
      <c r="BB128" s="29" cm="1">
        <f t="array" ref="BB128">$G$11+VLOOKUP($R128,武学奇术!$A:$ZZ,10,FALSE)+SUM(_xlfn.XLOOKUP(S128:AL128,增益!$A:$A,增益!$J:$J,0))</f>
        <v>0</v>
      </c>
      <c r="BC128">
        <f t="shared" si="14"/>
        <v>0</v>
      </c>
      <c r="BD128">
        <f t="shared" si="15"/>
        <v>0</v>
      </c>
      <c r="BE128" s="29" cm="1">
        <f t="array" ref="BE128">IF($F$12-$I$4+VLOOKUP($R128,武学奇术!$A:$ZZ,11,FALSE)+SUM(_xlfn.XLOOKUP(S128:AL128,增益!$A:$A,增益!$K:$K,0))&gt;0,($F$12-$I$4+VLOOKUP($R128,武学奇术!$A:$ZZ,11,FALSE)+SUM(_xlfn.XLOOKUP(S128:AL128,增益!$A:$A,增益!$K:$K,0)))/200,($F$12-$I$4+VLOOKUP($R128,武学奇术!$A:$ZZ,11,FALSE)+SUM(_xlfn.XLOOKUP(S128:AL128,增益!$A:$A,增益!$K:$K,0)))/100)</f>
        <v>-0.3</v>
      </c>
      <c r="BF128" s="29" cm="1">
        <f t="array" ref="BF128">$G$12+VLOOKUP($R128,武学奇术!$A:$ZZ,12,FALSE)+SUM(_xlfn.XLOOKUP(S128:AL128,增益!$A:$A,增益!$L:$L,0))</f>
        <v>0</v>
      </c>
      <c r="BG128">
        <f t="shared" si="16"/>
        <v>0</v>
      </c>
      <c r="BH128">
        <f t="shared" si="17"/>
        <v>0</v>
      </c>
      <c r="BI128" s="29" cm="1">
        <f t="array" ref="BI128">IF($F$13-$I$4+VLOOKUP($R128,武学奇术!$A:$ZZ,13,FALSE)+SUM(_xlfn.XLOOKUP(S128:AL128,增益!$A:$A,增益!$M:$M,0))&gt;0,($F$13-$I$4+VLOOKUP($R128,武学奇术!$A:$ZZ,13,FALSE)+SUM(_xlfn.XLOOKUP(S128:AL128,增益!$A:$A,增益!$K:$K,0)))/200,($F$13-$I$4+VLOOKUP($R128,武学奇术!$A:$ZZ,13,FALSE)+SUM(_xlfn.XLOOKUP(S128:AL128,增益!$A:$A,增益!$M:$M,0)))/100)</f>
        <v>-0.3</v>
      </c>
      <c r="BJ128" s="29" cm="1">
        <f t="array" ref="BJ128">$G$13+VLOOKUP($R128,武学奇术!$A:$ZZ,14,FALSE)+SUM(_xlfn.XLOOKUP(S128:AL128,增益!$A:$A,增益!$N:$N,0))</f>
        <v>0</v>
      </c>
      <c r="BK128">
        <f t="shared" si="18"/>
        <v>618.2</v>
      </c>
      <c r="BL128">
        <f t="shared" si="19"/>
        <v>1805</v>
      </c>
      <c r="BM128" s="29" cm="1">
        <f t="array" ref="BM128">IF($F$14-$I$4+VLOOKUP($R128,武学奇术!$A:$ZZ,15,FALSE)+SUM(_xlfn.XLOOKUP(S128:AL128,增益!$A:$A,增益!$O:$O,0))&gt;0,($F$14-$I$4+VLOOKUP($R128,武学奇术!$A:$ZZ,15,FALSE)+SUM(_xlfn.XLOOKUP(S128:AL128,增益!$A:$A,增益!$O:$O,0)))/200,($F$14-$I$4+VLOOKUP($R128,武学奇术!$A:$ZZ,15,FALSE)+SUM(_xlfn.XLOOKUP(S128:AL128,增益!$A:$A,增益!$O:$O,0)))/100)</f>
        <v>0</v>
      </c>
      <c r="BN128" s="29" cm="1">
        <f t="array" ref="BN128">$G$14+VLOOKUP($R128,武学奇术!$A:$ZZ,16,FALSE)+SUM(_xlfn.XLOOKUP(S128:AL128,增益!$A:$A,增益!$P:$P,0))</f>
        <v>0.15</v>
      </c>
      <c r="BO128" s="23">
        <f>MIN(IF(VLOOKUP($R128,武学奇术!$A:$ZZ,23,FALSE)=1,100%,$B$8),100%)</f>
        <v>0.9943</v>
      </c>
      <c r="BP128" s="23" cm="1">
        <f t="array" ref="BP128">IF(VLOOKUP($R128,武学奇术!$A:$ZZ,23,FALSE)=1,100%,MIN(80%,$B$9+VLOOKUP($R128,武学奇术!$A:$ZZ,17,FALSE)+SUM(_xlfn.XLOOKUP(S128:AL128,增益!$A:$A,增益!$Q:$Q,0)))+$B$11+SUM(_xlfn.XLOOKUP(S128:AL128,增益!$A:$A,增益!$U:$U,0)))*IF(VLOOKUP($R128,武学奇术!$A:$ZZ,24,FALSE)=1,0,1)</f>
        <v>0.887</v>
      </c>
      <c r="BQ128" s="23" cm="1">
        <f t="array" ref="BQ128">1+$B$13+VLOOKUP($R128,武学奇术!$A:$ZZ,18,FALSE)+SUM(_xlfn.XLOOKUP(S128:AL128,增益!$A:$A,增益!$R:$R,0))</f>
        <v>2.394</v>
      </c>
      <c r="BR128" s="23" cm="1">
        <f t="array" ref="BR128">IF(VLOOKUP($R128,武学奇术!$A:$ZZ,24,FALSE)=1,100%,MIN(40%,$B$10+VLOOKUP($R128,武学奇术!$A:$ZZ,19,FALSE)+SUM(_xlfn.XLOOKUP(S128:AL128,增益!$A:$A,增益!$S:$S,0)))+$B$12+SUM(_xlfn.XLOOKUP(S128:AL128,增益!$A:$A,增益!$V:$V,0)))*IF(VLOOKUP($R128,武学奇术!$A:$ZZ,23,FALSE)=1,0,1)</f>
        <v>0.0913</v>
      </c>
      <c r="BS128" s="23" cm="1">
        <f t="array" ref="BS128">1+$B$14+VLOOKUP($R128,武学奇术!$A:$ZZ,20,FALSE)+SUM(_xlfn.XLOOKUP(S128:AL128,增益!$A:$A,增益!$T:$T,0))</f>
        <v>1.35</v>
      </c>
      <c r="BT128" s="23">
        <f t="shared" si="20"/>
        <v>0.8819441</v>
      </c>
      <c r="BU128" s="23">
        <f t="shared" si="21"/>
        <v>0.0215763099999999</v>
      </c>
      <c r="BV128" s="23">
        <f>IF(VLOOKUP($R128,武学奇术!$A:$ZZ,22,FALSE)=1,0,(1-$BO128))*(1-$BR128)</f>
        <v>0.00517959000000003</v>
      </c>
      <c r="BW128" s="23" cm="1">
        <f t="array" ref="BW128">SUM(_xlfn.XLOOKUP(S128:AL128,增益!$A:$A,增益!$W:$W,0))+$I$5</f>
        <v>0.11</v>
      </c>
      <c r="BX128" s="23">
        <f>VLOOKUP($R128,武学奇术!$A:$ZZ,32,FALSE)</f>
        <v>0</v>
      </c>
      <c r="BY128" s="23" cm="1">
        <f t="array" ref="BY128">SUM(_xlfn.XLOOKUP($S128:$AL128,增益!$A:$A,增益!$X:$X,0))</f>
        <v>0</v>
      </c>
    </row>
    <row r="129" spans="11:77">
      <c r="K129" s="35">
        <f>$L129*VLOOKUP($R129,武学奇术!$A:$ZZ,31,FALSE)</f>
        <v>336673.215952088</v>
      </c>
      <c r="L129" s="69">
        <f t="shared" si="23"/>
        <v>330071.780345185</v>
      </c>
      <c r="M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轻击",$B$21,0))*(1+IF(VLOOKUP($R129,武学奇术!$A:$ZZ,30,FALSE)="老鼠",$B$22,0))*(1+$BW129)*(1+$BX129)</f>
        <v>346976.266600163</v>
      </c>
      <c r="N129" s="35">
        <f>(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轻击",$B$21,0))*(1+IF(VLOOKUP($R129,武学奇术!$A:$ZZ,30,FALSE)="老鼠",$B$22,0))*(1+$BW129))*(1+$BX129)</f>
        <v>222144.845956465</v>
      </c>
      <c r="O129" s="35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轻击",$B$21,0))*(1+IF(VLOOKUP($R129,武学奇术!$A:$ZZ,30,FALSE)="老鼠",$B$22,0))*(1+$BW129)*(1+$BX129)</f>
        <v>144935.783876426</v>
      </c>
      <c r="P129" s="35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轻击",$B$21,0))*(1+IF(VLOOKUP($R129,武学奇术!$A:$ZZ,30,FALSE)="老鼠",$B$22,0))*(1+$BW129)*(1+$BX129)</f>
        <v>125319.830007322</v>
      </c>
      <c r="Q129" s="70">
        <v>11</v>
      </c>
      <c r="R129" s="37" t="s">
        <v>106</v>
      </c>
      <c r="S129" s="37" t="s">
        <v>91</v>
      </c>
      <c r="T129" s="37" t="s">
        <v>185</v>
      </c>
      <c r="U129" s="37" t="s">
        <v>112</v>
      </c>
      <c r="V129" s="37" t="s">
        <v>113</v>
      </c>
      <c r="W129" s="37" t="s">
        <v>82</v>
      </c>
      <c r="X129" s="37" t="s">
        <v>81</v>
      </c>
      <c r="Y129" s="37" t="s">
        <v>109</v>
      </c>
      <c r="Z129" s="37" t="s">
        <v>83</v>
      </c>
      <c r="AA129" s="37" t="s">
        <v>81</v>
      </c>
      <c r="AB129" s="37" t="s">
        <v>81</v>
      </c>
      <c r="AC129" s="37" t="s">
        <v>81</v>
      </c>
      <c r="AD129" s="37" t="s">
        <v>85</v>
      </c>
      <c r="AE129" s="37" t="s">
        <v>86</v>
      </c>
      <c r="AF129" s="37" t="s">
        <v>81</v>
      </c>
      <c r="AG129" s="37" t="s">
        <v>87</v>
      </c>
      <c r="AH129" s="37" t="s">
        <v>81</v>
      </c>
      <c r="AI129" s="37" t="s">
        <v>81</v>
      </c>
      <c r="AJ129" s="37" t="s">
        <v>81</v>
      </c>
      <c r="AK129" s="37" t="s">
        <v>81</v>
      </c>
      <c r="AL129" s="37" t="s">
        <v>81</v>
      </c>
      <c r="AM129" t="str">
        <f>VLOOKUP($R129,武学奇术!$A:$ZZ,25,FALSE)</f>
        <v>绳镖</v>
      </c>
      <c r="AN129" s="23">
        <f>VLOOKUP($R129,武学奇术!$A:$ZZ,26,FALSE)</f>
        <v>0.3675</v>
      </c>
      <c r="AO129" s="24">
        <f>VLOOKUP($R129,武学奇术!$A:$ZZ,27,FALSE)*(1+IF(OR($AM129=$F$4,$AM129=$F$5),$B$23,0))</f>
        <v>0</v>
      </c>
      <c r="AP129" s="23">
        <f>VLOOKUP($R129,武学奇术!$A:$ZZ,28,FALSE)</f>
        <v>0.55125</v>
      </c>
      <c r="AQ129" s="24">
        <f>VLOOKUP($R129,武学奇术!$A:$ZZ,29,FALSE)*(1+IF(OR($AM129=$F$4,$AM129=$F$5),$B$23,0))</f>
        <v>0</v>
      </c>
      <c r="AR129" s="23" cm="1">
        <f t="array" ref="AR129">$G$3+IFERROR(VLOOKUP($AM129,$F$4:$G$7,2,FALSE),0)+VLOOKUP($R129,武学奇术!$A:$ZZ,2,FALSE)+SUM(_xlfn.XLOOKUP($S129:$AL129,增益!$A:$A,增益!$B:$B,0))</f>
        <v>1.4943</v>
      </c>
      <c r="AS129" s="23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4081.7</v>
      </c>
      <c r="AU129" cm="1">
        <f t="array" ref="AU129">$E$10*(1+$AS129)+VLOOKUP($R129,武学奇术!$A:$ZZ,4,FALSE)+SUM(_xlfn.XLOOKUP($S129:$AL129,增益!$A:$A,增益!$D:$D,0))-$I$2</f>
        <v>4081.7</v>
      </c>
      <c r="AV129" s="29" cm="1">
        <f t="array" ref="AV129">IF($F$10-$I$3+VLOOKUP($R129,武学奇术!$A:$ZZ,6,FALSE)+SUM(_xlfn.XLOOKUP(S129:AL129,增益!$A:$A,增益!$F:$F,0))&gt;0,($F$10-$I$3+VLOOKUP($R129,武学奇术!$A:$ZZ,6,FALSE)+SUM(_xlfn.XLOOKUP(S129:AL129,增益!$A:$A,增益!$F:$F,0)))/200,($F$10-$I$3+VLOOKUP($R129,武学奇术!$A:$ZZ,6,FALSE)+SUM(_xlfn.XLOOKUP(S129:AL129,增益!$A:$A,增益!$F:$F,0)))/100)</f>
        <v>0.3689</v>
      </c>
      <c r="AW129" s="29" cm="1">
        <f t="array" ref="AW129">$G$10+VLOOKUP($R129,武学奇术!$A:$ZZ,7,FALSE)+SUM(_xlfn.XLOOKUP(S129:AL129,增益!$A:$A,增益!$G:$G,0))</f>
        <v>0.27</v>
      </c>
      <c r="AX129" s="23" cm="1">
        <f t="array" ref="AX129">VLOOKUP($R129,武学奇术!$A:$ZZ,8,FALSE)+SUM(_xlfn.XLOOKUP(S129:AL129,增益!$A:$A,增益!$H:$H,0))</f>
        <v>0</v>
      </c>
      <c r="AY129">
        <f t="shared" si="12"/>
        <v>0</v>
      </c>
      <c r="AZ129">
        <f t="shared" si="13"/>
        <v>0</v>
      </c>
      <c r="BA129" s="29" cm="1">
        <f t="array" ref="BA129">IF($F$11-$I$4+VLOOKUP($R129,武学奇术!$A:$ZZ,9,FALSE)+SUM(_xlfn.XLOOKUP(S129:AL129,增益!$A:$A,增益!$I:$I,0))&gt;0,($F$11-$I$4+VLOOKUP($R129,武学奇术!$A:$ZZ,9,FALSE)+SUM(_xlfn.XLOOKUP(S129:AL129,增益!$A:$A,增益!$I:$I,0)))/200,($F$11-$I$4+VLOOKUP($R129,武学奇术!$A:$ZZ,9,FALSE)+SUM(_xlfn.XLOOKUP(S129:AL129,增益!$A:$A,增益!$I:$I,0)))/100)</f>
        <v>-0.3</v>
      </c>
      <c r="BB129" s="29" cm="1">
        <f t="array" ref="BB129">$G$11+VLOOKUP($R129,武学奇术!$A:$ZZ,10,FALSE)+SUM(_xlfn.XLOOKUP(S129:AL129,增益!$A:$A,增益!$J:$J,0))</f>
        <v>0</v>
      </c>
      <c r="BC129">
        <f t="shared" si="14"/>
        <v>0</v>
      </c>
      <c r="BD129">
        <f t="shared" si="15"/>
        <v>0</v>
      </c>
      <c r="BE129" s="29" cm="1">
        <f t="array" ref="BE129">IF($F$12-$I$4+VLOOKUP($R129,武学奇术!$A:$ZZ,11,FALSE)+SUM(_xlfn.XLOOKUP(S129:AL129,增益!$A:$A,增益!$K:$K,0))&gt;0,($F$12-$I$4+VLOOKUP($R129,武学奇术!$A:$ZZ,11,FALSE)+SUM(_xlfn.XLOOKUP(S129:AL129,增益!$A:$A,增益!$K:$K,0)))/200,($F$12-$I$4+VLOOKUP($R129,武学奇术!$A:$ZZ,11,FALSE)+SUM(_xlfn.XLOOKUP(S129:AL129,增益!$A:$A,增益!$K:$K,0)))/100)</f>
        <v>-0.3</v>
      </c>
      <c r="BF129" s="29" cm="1">
        <f t="array" ref="BF129">$G$12+VLOOKUP($R129,武学奇术!$A:$ZZ,12,FALSE)+SUM(_xlfn.XLOOKUP(S129:AL129,增益!$A:$A,增益!$L:$L,0))</f>
        <v>0</v>
      </c>
      <c r="BG129">
        <f t="shared" si="16"/>
        <v>0</v>
      </c>
      <c r="BH129">
        <f t="shared" si="17"/>
        <v>0</v>
      </c>
      <c r="BI129" s="29" cm="1">
        <f t="array" ref="BI129">IF($F$13-$I$4+VLOOKUP($R129,武学奇术!$A:$ZZ,13,FALSE)+SUM(_xlfn.XLOOKUP(S129:AL129,增益!$A:$A,增益!$M:$M,0))&gt;0,($F$13-$I$4+VLOOKUP($R129,武学奇术!$A:$ZZ,13,FALSE)+SUM(_xlfn.XLOOKUP(S129:AL129,增益!$A:$A,增益!$K:$K,0)))/200,($F$13-$I$4+VLOOKUP($R129,武学奇术!$A:$ZZ,13,FALSE)+SUM(_xlfn.XLOOKUP(S129:AL129,增益!$A:$A,增益!$M:$M,0)))/100)</f>
        <v>-0.3</v>
      </c>
      <c r="BJ129" s="29" cm="1">
        <f t="array" ref="BJ129">$G$13+VLOOKUP($R129,武学奇术!$A:$ZZ,14,FALSE)+SUM(_xlfn.XLOOKUP(S129:AL129,增益!$A:$A,增益!$N:$N,0))</f>
        <v>0</v>
      </c>
      <c r="BK129">
        <f t="shared" si="18"/>
        <v>618.2</v>
      </c>
      <c r="BL129">
        <f t="shared" si="19"/>
        <v>1805</v>
      </c>
      <c r="BM129" s="29" cm="1">
        <f t="array" ref="BM129">IF($F$14-$I$4+VLOOKUP($R129,武学奇术!$A:$ZZ,15,FALSE)+SUM(_xlfn.XLOOKUP(S129:AL129,增益!$A:$A,增益!$O:$O,0))&gt;0,($F$14-$I$4+VLOOKUP($R129,武学奇术!$A:$ZZ,15,FALSE)+SUM(_xlfn.XLOOKUP(S129:AL129,增益!$A:$A,增益!$O:$O,0)))/200,($F$14-$I$4+VLOOKUP($R129,武学奇术!$A:$ZZ,15,FALSE)+SUM(_xlfn.XLOOKUP(S129:AL129,增益!$A:$A,增益!$O:$O,0)))/100)</f>
        <v>0.05</v>
      </c>
      <c r="BN129" s="29" cm="1">
        <f t="array" ref="BN129">$G$14+VLOOKUP($R129,武学奇术!$A:$ZZ,16,FALSE)+SUM(_xlfn.XLOOKUP(S129:AL129,增益!$A:$A,增益!$P:$P,0))</f>
        <v>0.42</v>
      </c>
      <c r="BO129" s="23">
        <f>MIN(IF(VLOOKUP($R129,武学奇术!$A:$ZZ,23,FALSE)=1,100%,$B$8),100%)</f>
        <v>0.9943</v>
      </c>
      <c r="BP129" s="23" cm="1">
        <f t="array" ref="BP129">IF(VLOOKUP($R129,武学奇术!$A:$ZZ,23,FALSE)=1,100%,MIN(80%,$B$9+VLOOKUP($R129,武学奇术!$A:$ZZ,17,FALSE)+SUM(_xlfn.XLOOKUP(S129:AL129,增益!$A:$A,增益!$Q:$Q,0)))+$B$11+SUM(_xlfn.XLOOKUP(S129:AL129,增益!$A:$A,增益!$U:$U,0)))*IF(VLOOKUP($R129,武学奇术!$A:$ZZ,24,FALSE)=1,0,1)</f>
        <v>0.887</v>
      </c>
      <c r="BQ129" s="23" cm="1">
        <f t="array" ref="BQ129">1+$B$13+VLOOKUP($R129,武学奇术!$A:$ZZ,18,FALSE)+SUM(_xlfn.XLOOKUP(S129:AL129,增益!$A:$A,增益!$R:$R,0))</f>
        <v>2.394</v>
      </c>
      <c r="BR129" s="23" cm="1">
        <f t="array" ref="BR129">IF(VLOOKUP($R129,武学奇术!$A:$ZZ,24,FALSE)=1,100%,MIN(40%,$B$10+VLOOKUP($R129,武学奇术!$A:$ZZ,19,FALSE)+SUM(_xlfn.XLOOKUP(S129:AL129,增益!$A:$A,增益!$S:$S,0)))+$B$12+SUM(_xlfn.XLOOKUP(S129:AL129,增益!$A:$A,增益!$V:$V,0)))*IF(VLOOKUP($R129,武学奇术!$A:$ZZ,23,FALSE)=1,0,1)</f>
        <v>0.0913</v>
      </c>
      <c r="BS129" s="23" cm="1">
        <f t="array" ref="BS129">1+$B$14+VLOOKUP($R129,武学奇术!$A:$ZZ,20,FALSE)+SUM(_xlfn.XLOOKUP(S129:AL129,增益!$A:$A,增益!$T:$T,0))</f>
        <v>1.35</v>
      </c>
      <c r="BT129" s="23">
        <f t="shared" si="20"/>
        <v>0.8819441</v>
      </c>
      <c r="BU129" s="23">
        <f t="shared" si="21"/>
        <v>0.0215763099999999</v>
      </c>
      <c r="BV129" s="23">
        <f>IF(VLOOKUP($R129,武学奇术!$A:$ZZ,22,FALSE)=1,0,(1-$BO129))*(1-$BR129)</f>
        <v>0.00517959000000003</v>
      </c>
      <c r="BW129" s="23" cm="1">
        <f t="array" ref="BW129">SUM(_xlfn.XLOOKUP(S129:AL129,增益!$A:$A,增益!$W:$W,0))+$I$5</f>
        <v>0.11</v>
      </c>
      <c r="BX129" s="23">
        <f>VLOOKUP($R129,武学奇术!$A:$ZZ,32,FALSE)</f>
        <v>0</v>
      </c>
      <c r="BY129" s="23" cm="1">
        <f t="array" ref="BY129">SUM(_xlfn.XLOOKUP($S129:$AL129,增益!$A:$A,增益!$X:$X,0))</f>
        <v>0</v>
      </c>
    </row>
    <row r="130" spans="11:77">
      <c r="K130" s="35">
        <f>$L130*VLOOKUP($R130,武学奇术!$A:$ZZ,31,FALSE)</f>
        <v>32810.3222186844</v>
      </c>
      <c r="L130" s="35">
        <f t="shared" si="23"/>
        <v>29294.9305523968</v>
      </c>
      <c r="M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轻击",$B$21,0))*(1+IF(VLOOKUP($R130,武学奇术!$A:$ZZ,30,FALSE)="老鼠",$B$22,0))*(1+$BW130)*(1+$BX130)</f>
        <v>30818.0310176729</v>
      </c>
      <c r="N130" s="35">
        <f>(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轻击",$B$21,0))*(1+IF(VLOOKUP($R130,武学奇术!$A:$ZZ,30,FALSE)="老鼠",$B$22,0))*(1+$BW130))*(1+$BX130)</f>
        <v>19482.9612960296</v>
      </c>
      <c r="O130" s="35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轻击",$B$21,0))*(1+IF(VLOOKUP($R130,武学奇术!$A:$ZZ,30,FALSE)="老鼠",$B$22,0))*(1+$BW130)*(1+$BX130)</f>
        <v>12873.0288294373</v>
      </c>
      <c r="P130" s="35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轻击",$B$21,0))*(1+IF(VLOOKUP($R130,武学奇术!$A:$ZZ,30,FALSE)="老鼠",$B$22,0))*(1+$BW130)*(1+$BX130)</f>
        <v>11314.2344766304</v>
      </c>
      <c r="Q130" s="36">
        <v>1</v>
      </c>
      <c r="R130" s="37" t="s">
        <v>139</v>
      </c>
      <c r="S130" s="37" t="s">
        <v>91</v>
      </c>
      <c r="T130" s="37" t="s">
        <v>185</v>
      </c>
      <c r="U130" s="37" t="s">
        <v>112</v>
      </c>
      <c r="V130" s="37" t="s">
        <v>113</v>
      </c>
      <c r="W130" s="37" t="s">
        <v>82</v>
      </c>
      <c r="X130" s="37" t="s">
        <v>81</v>
      </c>
      <c r="Y130" s="37" t="s">
        <v>109</v>
      </c>
      <c r="Z130" s="37" t="s">
        <v>83</v>
      </c>
      <c r="AA130" s="37" t="s">
        <v>81</v>
      </c>
      <c r="AB130" s="37" t="s">
        <v>81</v>
      </c>
      <c r="AC130" s="37" t="s">
        <v>81</v>
      </c>
      <c r="AD130" s="37" t="s">
        <v>85</v>
      </c>
      <c r="AE130" s="37" t="s">
        <v>86</v>
      </c>
      <c r="AF130" s="37" t="s">
        <v>181</v>
      </c>
      <c r="AG130" s="37" t="s">
        <v>87</v>
      </c>
      <c r="AH130" s="37" t="s">
        <v>81</v>
      </c>
      <c r="AI130" s="37" t="s">
        <v>81</v>
      </c>
      <c r="AJ130" s="37" t="s">
        <v>81</v>
      </c>
      <c r="AK130" s="37" t="s">
        <v>81</v>
      </c>
      <c r="AL130" s="37" t="s">
        <v>81</v>
      </c>
      <c r="AM130" t="str">
        <f>VLOOKUP($R130,武学奇术!$A:$ZZ,25,FALSE)</f>
        <v>双刀</v>
      </c>
      <c r="AN130" s="23">
        <f>VLOOKUP($R130,武学奇术!$A:$ZZ,26,FALSE)</f>
        <v>0.6472</v>
      </c>
      <c r="AO130" s="24">
        <f>VLOOKUP($R130,武学奇术!$A:$ZZ,27,FALSE)*(1+IF(OR($AM130=$F$4,$AM130=$F$5),$B$23,0))</f>
        <v>288</v>
      </c>
      <c r="AP130" s="23">
        <f>VLOOKUP($R130,武学奇术!$A:$ZZ,28,FALSE)</f>
        <v>0.9708</v>
      </c>
      <c r="AQ130" s="24">
        <f>VLOOKUP($R130,武学奇术!$A:$ZZ,29,FALSE)*(1+IF(OR($AM130=$F$4,$AM130=$F$5),$B$23,0))</f>
        <v>156.8</v>
      </c>
      <c r="AR130" s="23" cm="1">
        <f t="array" ref="AR130">$G$3+IFERROR(VLOOKUP($AM130,$F$4:$G$7,2,FALSE),0)+VLOOKUP($R130,武学奇术!$A:$ZZ,2,FALSE)+SUM(_xlfn.XLOOKUP($S130:$AL130,增益!$A:$A,增益!$B:$B,0))</f>
        <v>0.7443</v>
      </c>
      <c r="AS130" s="23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4081.7</v>
      </c>
      <c r="AU130" cm="1">
        <f t="array" ref="AU130">$E$10*(1+$AS130)+VLOOKUP($R130,武学奇术!$A:$ZZ,4,FALSE)+SUM(_xlfn.XLOOKUP($S130:$AL130,增益!$A:$A,增益!$D:$D,0))-$I$2</f>
        <v>4081.7</v>
      </c>
      <c r="AV130" s="29" cm="1">
        <f t="array" ref="AV130">IF($F$10-$I$3+VLOOKUP($R130,武学奇术!$A:$ZZ,6,FALSE)+SUM(_xlfn.XLOOKUP(S130:AL130,增益!$A:$A,增益!$F:$F,0))&gt;0,($F$10-$I$3+VLOOKUP($R130,武学奇术!$A:$ZZ,6,FALSE)+SUM(_xlfn.XLOOKUP(S130:AL130,增益!$A:$A,增益!$F:$F,0)))/200,($F$10-$I$3+VLOOKUP($R130,武学奇术!$A:$ZZ,6,FALSE)+SUM(_xlfn.XLOOKUP(S130:AL130,增益!$A:$A,增益!$F:$F,0)))/100)</f>
        <v>0.3689</v>
      </c>
      <c r="AW130" s="29" cm="1">
        <f t="array" ref="AW130">$G$10+VLOOKUP($R130,武学奇术!$A:$ZZ,7,FALSE)+SUM(_xlfn.XLOOKUP(S130:AL130,增益!$A:$A,增益!$G:$G,0))</f>
        <v>0.06</v>
      </c>
      <c r="AX130" s="23" cm="1">
        <f t="array" ref="AX130">VLOOKUP($R130,武学奇术!$A:$ZZ,8,FALSE)+SUM(_xlfn.XLOOKUP(S130:AL130,增益!$A:$A,增益!$H:$H,0))</f>
        <v>0</v>
      </c>
      <c r="AY130">
        <f t="shared" ref="AY130:AY190" si="24">$D$11*(1+$AX130)</f>
        <v>0</v>
      </c>
      <c r="AZ130">
        <f t="shared" ref="AZ130:AZ190" si="25">$E$11*(1+$AX130)</f>
        <v>0</v>
      </c>
      <c r="BA130" s="29" cm="1">
        <f t="array" ref="BA130">IF($F$11-$I$4+VLOOKUP($R130,武学奇术!$A:$ZZ,9,FALSE)+SUM(_xlfn.XLOOKUP(S130:AL130,增益!$A:$A,增益!$I:$I,0))&gt;0,($F$11-$I$4+VLOOKUP($R130,武学奇术!$A:$ZZ,9,FALSE)+SUM(_xlfn.XLOOKUP(S130:AL130,增益!$A:$A,增益!$I:$I,0)))/200,($F$11-$I$4+VLOOKUP($R130,武学奇术!$A:$ZZ,9,FALSE)+SUM(_xlfn.XLOOKUP(S130:AL130,增益!$A:$A,增益!$I:$I,0)))/100)</f>
        <v>-0.3</v>
      </c>
      <c r="BB130" s="29" cm="1">
        <f t="array" ref="BB130">$G$11+VLOOKUP($R130,武学奇术!$A:$ZZ,10,FALSE)+SUM(_xlfn.XLOOKUP(S130:AL130,增益!$A:$A,增益!$J:$J,0))</f>
        <v>0</v>
      </c>
      <c r="BC130">
        <f t="shared" ref="BC130:BC190" si="26">$D$12*(1+$AX130)</f>
        <v>0</v>
      </c>
      <c r="BD130">
        <f t="shared" ref="BD130:BD190" si="27">$E$12*(1+$AX130)</f>
        <v>0</v>
      </c>
      <c r="BE130" s="29" cm="1">
        <f t="array" ref="BE130">IF($F$12-$I$4+VLOOKUP($R130,武学奇术!$A:$ZZ,11,FALSE)+SUM(_xlfn.XLOOKUP(S130:AL130,增益!$A:$A,增益!$K:$K,0))&gt;0,($F$12-$I$4+VLOOKUP($R130,武学奇术!$A:$ZZ,11,FALSE)+SUM(_xlfn.XLOOKUP(S130:AL130,增益!$A:$A,增益!$K:$K,0)))/200,($F$12-$I$4+VLOOKUP($R130,武学奇术!$A:$ZZ,11,FALSE)+SUM(_xlfn.XLOOKUP(S130:AL130,增益!$A:$A,增益!$K:$K,0)))/100)</f>
        <v>-0.3</v>
      </c>
      <c r="BF130" s="29" cm="1">
        <f t="array" ref="BF130">$G$12+VLOOKUP($R130,武学奇术!$A:$ZZ,12,FALSE)+SUM(_xlfn.XLOOKUP(S130:AL130,增益!$A:$A,增益!$L:$L,0))</f>
        <v>0</v>
      </c>
      <c r="BG130">
        <f t="shared" ref="BG130:BG190" si="28">$D$13*(1+$AX130)</f>
        <v>0</v>
      </c>
      <c r="BH130">
        <f t="shared" ref="BH130:BH190" si="29">$E$13*(1+$AX130)</f>
        <v>0</v>
      </c>
      <c r="BI130" s="29" cm="1">
        <f t="array" ref="BI130">IF($F$13-$I$4+VLOOKUP($R130,武学奇术!$A:$ZZ,13,FALSE)+SUM(_xlfn.XLOOKUP(S130:AL130,增益!$A:$A,增益!$M:$M,0))&gt;0,($F$13-$I$4+VLOOKUP($R130,武学奇术!$A:$ZZ,13,FALSE)+SUM(_xlfn.XLOOKUP(S130:AL130,增益!$A:$A,增益!$K:$K,0)))/200,($F$13-$I$4+VLOOKUP($R130,武学奇术!$A:$ZZ,13,FALSE)+SUM(_xlfn.XLOOKUP(S130:AL130,增益!$A:$A,增益!$M:$M,0)))/100)</f>
        <v>-0.3</v>
      </c>
      <c r="BJ130" s="29" cm="1">
        <f t="array" ref="BJ130">$G$13+VLOOKUP($R130,武学奇术!$A:$ZZ,14,FALSE)+SUM(_xlfn.XLOOKUP(S130:AL130,增益!$A:$A,增益!$N:$N,0))</f>
        <v>0</v>
      </c>
      <c r="BK130">
        <f t="shared" ref="BK130:BK190" si="30">$D$14*(1+$AX130)</f>
        <v>618.2</v>
      </c>
      <c r="BL130">
        <f t="shared" ref="BL130:BL190" si="31">$E$14*(1+$AX130)</f>
        <v>1805</v>
      </c>
      <c r="BM130" s="29" cm="1">
        <f t="array" ref="BM130">IF($F$14-$I$4+VLOOKUP($R130,武学奇术!$A:$ZZ,15,FALSE)+SUM(_xlfn.XLOOKUP(S130:AL130,增益!$A:$A,增益!$O:$O,0))&gt;0,($F$14-$I$4+VLOOKUP($R130,武学奇术!$A:$ZZ,15,FALSE)+SUM(_xlfn.XLOOKUP(S130:AL130,增益!$A:$A,增益!$O:$O,0)))/200,($F$14-$I$4+VLOOKUP($R130,武学奇术!$A:$ZZ,15,FALSE)+SUM(_xlfn.XLOOKUP(S130:AL130,增益!$A:$A,增益!$O:$O,0)))/100)</f>
        <v>0.05</v>
      </c>
      <c r="BN130" s="29" cm="1">
        <f t="array" ref="BN130">$G$14+VLOOKUP($R130,武学奇术!$A:$ZZ,16,FALSE)+SUM(_xlfn.XLOOKUP(S130:AL130,增益!$A:$A,增益!$P:$P,0))</f>
        <v>0.21</v>
      </c>
      <c r="BO130" s="23">
        <f>MIN(IF(VLOOKUP($R130,武学奇术!$A:$ZZ,23,FALSE)=1,100%,$B$8),100%)</f>
        <v>0.9943</v>
      </c>
      <c r="BP130" s="23" cm="1">
        <f t="array" ref="BP130">IF(VLOOKUP($R130,武学奇术!$A:$ZZ,23,FALSE)=1,100%,MIN(80%,$B$9+VLOOKUP($R130,武学奇术!$A:$ZZ,17,FALSE)+SUM(_xlfn.XLOOKUP(S130:AL130,增益!$A:$A,增益!$Q:$Q,0)))+$B$11+SUM(_xlfn.XLOOKUP(S130:AL130,增益!$A:$A,增益!$U:$U,0)))*IF(VLOOKUP($R130,武学奇术!$A:$ZZ,24,FALSE)=1,0,1)</f>
        <v>0.887</v>
      </c>
      <c r="BQ130" s="23" cm="1">
        <f t="array" ref="BQ130">1+$B$13+VLOOKUP($R130,武学奇术!$A:$ZZ,18,FALSE)+SUM(_xlfn.XLOOKUP(S130:AL130,增益!$A:$A,增益!$R:$R,0))</f>
        <v>2.394</v>
      </c>
      <c r="BR130" s="23" cm="1">
        <f t="array" ref="BR130">IF(VLOOKUP($R130,武学奇术!$A:$ZZ,24,FALSE)=1,100%,MIN(40%,$B$10+VLOOKUP($R130,武学奇术!$A:$ZZ,19,FALSE)+SUM(_xlfn.XLOOKUP(S130:AL130,增益!$A:$A,增益!$S:$S,0)))+$B$12+SUM(_xlfn.XLOOKUP(S130:AL130,增益!$A:$A,增益!$V:$V,0)))*IF(VLOOKUP($R130,武学奇术!$A:$ZZ,23,FALSE)=1,0,1)</f>
        <v>0.0913</v>
      </c>
      <c r="BS130" s="23" cm="1">
        <f t="array" ref="BS130">1+$B$14+VLOOKUP($R130,武学奇术!$A:$ZZ,20,FALSE)+SUM(_xlfn.XLOOKUP(S130:AL130,增益!$A:$A,增益!$T:$T,0))</f>
        <v>1.35</v>
      </c>
      <c r="BT130" s="23">
        <f t="shared" ref="BT130:BT190" si="32">MIN((1-BR130)*BO130,BO130*BP130)</f>
        <v>0.8819441</v>
      </c>
      <c r="BU130" s="23">
        <f t="shared" ref="BU130:BU190" si="33">1-BR130-BT130-BV130</f>
        <v>0.0215763099999999</v>
      </c>
      <c r="BV130" s="23">
        <f>IF(VLOOKUP($R130,武学奇术!$A:$ZZ,22,FALSE)=1,0,(1-$BO130))*(1-$BR130)</f>
        <v>0.00517959000000003</v>
      </c>
      <c r="BW130" s="23" cm="1">
        <f t="array" ref="BW130">SUM(_xlfn.XLOOKUP(S130:AL130,增益!$A:$A,增益!$W:$W,0))+$I$5</f>
        <v>0.11</v>
      </c>
      <c r="BX130" s="23">
        <f>VLOOKUP($R130,武学奇术!$A:$ZZ,32,FALSE)</f>
        <v>0.1</v>
      </c>
      <c r="BY130" s="23" cm="1">
        <f t="array" ref="BY130">SUM(_xlfn.XLOOKUP($S130:$AL130,增益!$A:$A,增益!$X:$X,0))</f>
        <v>0</v>
      </c>
    </row>
    <row r="131" spans="11:77">
      <c r="K131" s="35">
        <f>$L131*VLOOKUP($R131,武学奇术!$A:$ZZ,31,FALSE)</f>
        <v>45671.422256652</v>
      </c>
      <c r="L131" s="35">
        <f t="shared" si="23"/>
        <v>40778.0555862964</v>
      </c>
      <c r="M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轻击",$B$21,0))*(1+IF(VLOOKUP($R131,武学奇术!$A:$ZZ,30,FALSE)="老鼠",$B$22,0))*(1+$BW131)*(1+$BX131)</f>
        <v>42898.0932343921</v>
      </c>
      <c r="N131" s="35">
        <f>(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轻击",$B$21,0))*(1+IF(VLOOKUP($R131,武学奇术!$A:$ZZ,30,FALSE)="老鼠",$B$22,0))*(1+$BW131))*(1+$BX131)</f>
        <v>27120.9080744639</v>
      </c>
      <c r="O131" s="35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轻击",$B$21,0))*(1+IF(VLOOKUP($R131,武学奇术!$A:$ZZ,30,FALSE)="老鼠",$B$22,0))*(1+$BW131)*(1+$BX131)</f>
        <v>17919.0030218848</v>
      </c>
      <c r="P131" s="35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轻击",$B$21,0))*(1+IF(VLOOKUP($R131,武学奇术!$A:$ZZ,30,FALSE)="老鼠",$B$22,0))*(1+$BW131)*(1+$BX131)</f>
        <v>15748.4445071296</v>
      </c>
      <c r="Q131" s="36">
        <v>1</v>
      </c>
      <c r="R131" s="37" t="s">
        <v>143</v>
      </c>
      <c r="S131" s="37" t="s">
        <v>91</v>
      </c>
      <c r="T131" s="37" t="s">
        <v>185</v>
      </c>
      <c r="U131" s="37" t="s">
        <v>112</v>
      </c>
      <c r="V131" s="37" t="s">
        <v>113</v>
      </c>
      <c r="W131" s="37" t="s">
        <v>82</v>
      </c>
      <c r="X131" s="37" t="s">
        <v>81</v>
      </c>
      <c r="Y131" s="37" t="s">
        <v>109</v>
      </c>
      <c r="Z131" s="37" t="s">
        <v>83</v>
      </c>
      <c r="AA131" s="37" t="s">
        <v>81</v>
      </c>
      <c r="AB131" s="37" t="s">
        <v>81</v>
      </c>
      <c r="AC131" s="37" t="s">
        <v>81</v>
      </c>
      <c r="AD131" s="37" t="s">
        <v>85</v>
      </c>
      <c r="AE131" s="37" t="s">
        <v>86</v>
      </c>
      <c r="AF131" s="37" t="s">
        <v>181</v>
      </c>
      <c r="AG131" s="37" t="s">
        <v>87</v>
      </c>
      <c r="AH131" s="37" t="s">
        <v>81</v>
      </c>
      <c r="AI131" s="37" t="s">
        <v>81</v>
      </c>
      <c r="AJ131" s="37" t="s">
        <v>81</v>
      </c>
      <c r="AK131" s="37" t="s">
        <v>81</v>
      </c>
      <c r="AL131" s="37" t="s">
        <v>81</v>
      </c>
      <c r="AM131" t="str">
        <f>VLOOKUP($R131,武学奇术!$A:$ZZ,25,FALSE)</f>
        <v>双刀</v>
      </c>
      <c r="AN131" s="23">
        <f>VLOOKUP($R131,武学奇术!$A:$ZZ,26,FALSE)</f>
        <v>0.9012</v>
      </c>
      <c r="AO131" s="24">
        <f>VLOOKUP($R131,武学奇术!$A:$ZZ,27,FALSE)*(1+IF(OR($AM131=$F$4,$AM131=$F$5),$B$23,0))</f>
        <v>400</v>
      </c>
      <c r="AP131" s="23">
        <f>VLOOKUP($R131,武学奇术!$A:$ZZ,28,FALSE)</f>
        <v>1.3518</v>
      </c>
      <c r="AQ131" s="24">
        <f>VLOOKUP($R131,武学奇术!$A:$ZZ,29,FALSE)*(1+IF(OR($AM131=$F$4,$AM131=$F$5),$B$23,0))</f>
        <v>217.6</v>
      </c>
      <c r="AR131" s="23" cm="1">
        <f t="array" ref="AR131">$G$3+IFERROR(VLOOKUP($AM131,$F$4:$G$7,2,FALSE),0)+VLOOKUP($R131,武学奇术!$A:$ZZ,2,FALSE)+SUM(_xlfn.XLOOKUP($S131:$AL131,增益!$A:$A,增益!$B:$B,0))</f>
        <v>0.7443</v>
      </c>
      <c r="AS131" s="23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4081.7</v>
      </c>
      <c r="AU131" cm="1">
        <f t="array" ref="AU131">$E$10*(1+$AS131)+VLOOKUP($R131,武学奇术!$A:$ZZ,4,FALSE)+SUM(_xlfn.XLOOKUP($S131:$AL131,增益!$A:$A,增益!$D:$D,0))-$I$2</f>
        <v>4081.7</v>
      </c>
      <c r="AV131" s="29" cm="1">
        <f t="array" ref="AV131">IF($F$10-$I$3+VLOOKUP($R131,武学奇术!$A:$ZZ,6,FALSE)+SUM(_xlfn.XLOOKUP(S131:AL131,增益!$A:$A,增益!$F:$F,0))&gt;0,($F$10-$I$3+VLOOKUP($R131,武学奇术!$A:$ZZ,6,FALSE)+SUM(_xlfn.XLOOKUP(S131:AL131,增益!$A:$A,增益!$F:$F,0)))/200,($F$10-$I$3+VLOOKUP($R131,武学奇术!$A:$ZZ,6,FALSE)+SUM(_xlfn.XLOOKUP(S131:AL131,增益!$A:$A,增益!$F:$F,0)))/100)</f>
        <v>0.3689</v>
      </c>
      <c r="AW131" s="29" cm="1">
        <f t="array" ref="AW131">$G$10+VLOOKUP($R131,武学奇术!$A:$ZZ,7,FALSE)+SUM(_xlfn.XLOOKUP(S131:AL131,增益!$A:$A,增益!$G:$G,0))</f>
        <v>0.06</v>
      </c>
      <c r="AX131" s="23" cm="1">
        <f t="array" ref="AX131">VLOOKUP($R131,武学奇术!$A:$ZZ,8,FALSE)+SUM(_xlfn.XLOOKUP(S131:AL131,增益!$A:$A,增益!$H:$H,0))</f>
        <v>0</v>
      </c>
      <c r="AY131">
        <f t="shared" si="24"/>
        <v>0</v>
      </c>
      <c r="AZ131">
        <f t="shared" si="25"/>
        <v>0</v>
      </c>
      <c r="BA131" s="29" cm="1">
        <f t="array" ref="BA131">IF($F$11-$I$4+VLOOKUP($R131,武学奇术!$A:$ZZ,9,FALSE)+SUM(_xlfn.XLOOKUP(S131:AL131,增益!$A:$A,增益!$I:$I,0))&gt;0,($F$11-$I$4+VLOOKUP($R131,武学奇术!$A:$ZZ,9,FALSE)+SUM(_xlfn.XLOOKUP(S131:AL131,增益!$A:$A,增益!$I:$I,0)))/200,($F$11-$I$4+VLOOKUP($R131,武学奇术!$A:$ZZ,9,FALSE)+SUM(_xlfn.XLOOKUP(S131:AL131,增益!$A:$A,增益!$I:$I,0)))/100)</f>
        <v>-0.3</v>
      </c>
      <c r="BB131" s="29" cm="1">
        <f t="array" ref="BB131">$G$11+VLOOKUP($R131,武学奇术!$A:$ZZ,10,FALSE)+SUM(_xlfn.XLOOKUP(S131:AL131,增益!$A:$A,增益!$J:$J,0))</f>
        <v>0</v>
      </c>
      <c r="BC131">
        <f t="shared" si="26"/>
        <v>0</v>
      </c>
      <c r="BD131">
        <f t="shared" si="27"/>
        <v>0</v>
      </c>
      <c r="BE131" s="29" cm="1">
        <f t="array" ref="BE131">IF($F$12-$I$4+VLOOKUP($R131,武学奇术!$A:$ZZ,11,FALSE)+SUM(_xlfn.XLOOKUP(S131:AL131,增益!$A:$A,增益!$K:$K,0))&gt;0,($F$12-$I$4+VLOOKUP($R131,武学奇术!$A:$ZZ,11,FALSE)+SUM(_xlfn.XLOOKUP(S131:AL131,增益!$A:$A,增益!$K:$K,0)))/200,($F$12-$I$4+VLOOKUP($R131,武学奇术!$A:$ZZ,11,FALSE)+SUM(_xlfn.XLOOKUP(S131:AL131,增益!$A:$A,增益!$K:$K,0)))/100)</f>
        <v>-0.3</v>
      </c>
      <c r="BF131" s="29" cm="1">
        <f t="array" ref="BF131">$G$12+VLOOKUP($R131,武学奇术!$A:$ZZ,12,FALSE)+SUM(_xlfn.XLOOKUP(S131:AL131,增益!$A:$A,增益!$L:$L,0))</f>
        <v>0</v>
      </c>
      <c r="BG131">
        <f t="shared" si="28"/>
        <v>0</v>
      </c>
      <c r="BH131">
        <f t="shared" si="29"/>
        <v>0</v>
      </c>
      <c r="BI131" s="29" cm="1">
        <f t="array" ref="BI131">IF($F$13-$I$4+VLOOKUP($R131,武学奇术!$A:$ZZ,13,FALSE)+SUM(_xlfn.XLOOKUP(S131:AL131,增益!$A:$A,增益!$M:$M,0))&gt;0,($F$13-$I$4+VLOOKUP($R131,武学奇术!$A:$ZZ,13,FALSE)+SUM(_xlfn.XLOOKUP(S131:AL131,增益!$A:$A,增益!$K:$K,0)))/200,($F$13-$I$4+VLOOKUP($R131,武学奇术!$A:$ZZ,13,FALSE)+SUM(_xlfn.XLOOKUP(S131:AL131,增益!$A:$A,增益!$M:$M,0)))/100)</f>
        <v>-0.3</v>
      </c>
      <c r="BJ131" s="29" cm="1">
        <f t="array" ref="BJ131">$G$13+VLOOKUP($R131,武学奇术!$A:$ZZ,14,FALSE)+SUM(_xlfn.XLOOKUP(S131:AL131,增益!$A:$A,增益!$N:$N,0))</f>
        <v>0</v>
      </c>
      <c r="BK131">
        <f t="shared" si="30"/>
        <v>618.2</v>
      </c>
      <c r="BL131">
        <f t="shared" si="31"/>
        <v>1805</v>
      </c>
      <c r="BM131" s="29" cm="1">
        <f t="array" ref="BM131">IF($F$14-$I$4+VLOOKUP($R131,武学奇术!$A:$ZZ,15,FALSE)+SUM(_xlfn.XLOOKUP(S131:AL131,增益!$A:$A,增益!$O:$O,0))&gt;0,($F$14-$I$4+VLOOKUP($R131,武学奇术!$A:$ZZ,15,FALSE)+SUM(_xlfn.XLOOKUP(S131:AL131,增益!$A:$A,增益!$O:$O,0)))/200,($F$14-$I$4+VLOOKUP($R131,武学奇术!$A:$ZZ,15,FALSE)+SUM(_xlfn.XLOOKUP(S131:AL131,增益!$A:$A,增益!$O:$O,0)))/100)</f>
        <v>0.05</v>
      </c>
      <c r="BN131" s="29" cm="1">
        <f t="array" ref="BN131">$G$14+VLOOKUP($R131,武学奇术!$A:$ZZ,16,FALSE)+SUM(_xlfn.XLOOKUP(S131:AL131,增益!$A:$A,增益!$P:$P,0))</f>
        <v>0.21</v>
      </c>
      <c r="BO131" s="23">
        <f>MIN(IF(VLOOKUP($R131,武学奇术!$A:$ZZ,23,FALSE)=1,100%,$B$8),100%)</f>
        <v>0.9943</v>
      </c>
      <c r="BP131" s="23" cm="1">
        <f t="array" ref="BP131">IF(VLOOKUP($R131,武学奇术!$A:$ZZ,23,FALSE)=1,100%,MIN(80%,$B$9+VLOOKUP($R131,武学奇术!$A:$ZZ,17,FALSE)+SUM(_xlfn.XLOOKUP(S131:AL131,增益!$A:$A,增益!$Q:$Q,0)))+$B$11+SUM(_xlfn.XLOOKUP(S131:AL131,增益!$A:$A,增益!$U:$U,0)))*IF(VLOOKUP($R131,武学奇术!$A:$ZZ,24,FALSE)=1,0,1)</f>
        <v>0.887</v>
      </c>
      <c r="BQ131" s="23" cm="1">
        <f t="array" ref="BQ131">1+$B$13+VLOOKUP($R131,武学奇术!$A:$ZZ,18,FALSE)+SUM(_xlfn.XLOOKUP(S131:AL131,增益!$A:$A,增益!$R:$R,0))</f>
        <v>2.394</v>
      </c>
      <c r="BR131" s="23" cm="1">
        <f t="array" ref="BR131">IF(VLOOKUP($R131,武学奇术!$A:$ZZ,24,FALSE)=1,100%,MIN(40%,$B$10+VLOOKUP($R131,武学奇术!$A:$ZZ,19,FALSE)+SUM(_xlfn.XLOOKUP(S131:AL131,增益!$A:$A,增益!$S:$S,0)))+$B$12+SUM(_xlfn.XLOOKUP(S131:AL131,增益!$A:$A,增益!$V:$V,0)))*IF(VLOOKUP($R131,武学奇术!$A:$ZZ,23,FALSE)=1,0,1)</f>
        <v>0.0913</v>
      </c>
      <c r="BS131" s="23" cm="1">
        <f t="array" ref="BS131">1+$B$14+VLOOKUP($R131,武学奇术!$A:$ZZ,20,FALSE)+SUM(_xlfn.XLOOKUP(S131:AL131,增益!$A:$A,增益!$T:$T,0))</f>
        <v>1.35</v>
      </c>
      <c r="BT131" s="23">
        <f t="shared" si="32"/>
        <v>0.8819441</v>
      </c>
      <c r="BU131" s="23">
        <f t="shared" si="33"/>
        <v>0.0215763099999999</v>
      </c>
      <c r="BV131" s="23">
        <f>IF(VLOOKUP($R131,武学奇术!$A:$ZZ,22,FALSE)=1,0,(1-$BO131))*(1-$BR131)</f>
        <v>0.00517959000000003</v>
      </c>
      <c r="BW131" s="23" cm="1">
        <f t="array" ref="BW131">SUM(_xlfn.XLOOKUP(S131:AL131,增益!$A:$A,增益!$W:$W,0))+$I$5</f>
        <v>0.11</v>
      </c>
      <c r="BX131" s="23">
        <f>VLOOKUP($R131,武学奇术!$A:$ZZ,32,FALSE)</f>
        <v>0.1</v>
      </c>
      <c r="BY131" s="23" cm="1">
        <f t="array" ref="BY131">SUM(_xlfn.XLOOKUP($S131:$AL131,增益!$A:$A,增益!$X:$X,0))</f>
        <v>0</v>
      </c>
    </row>
    <row r="132" spans="11:77">
      <c r="K132" s="35">
        <f>$L132*VLOOKUP($R132,武学奇术!$A:$ZZ,31,FALSE)</f>
        <v>73253.909460563</v>
      </c>
      <c r="L132" s="35">
        <f t="shared" si="23"/>
        <v>65405.2763040741</v>
      </c>
      <c r="M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轻击",$B$21,0))*(1+IF(VLOOKUP($R132,武学奇术!$A:$ZZ,30,FALSE)="老鼠",$B$22,0))*(1+$BW132)*(1+$BX132)</f>
        <v>68805.65432816</v>
      </c>
      <c r="N132" s="35">
        <f>(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轻击",$B$21,0))*(1+IF(VLOOKUP($R132,武学奇术!$A:$ZZ,30,FALSE)="老鼠",$B$22,0))*(1+$BW132))*(1+$BX132)</f>
        <v>43500.3361661252</v>
      </c>
      <c r="O132" s="35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轻击",$B$21,0))*(1+IF(VLOOKUP($R132,武学奇术!$A:$ZZ,30,FALSE)="老鼠",$B$22,0))*(1+$BW132)*(1+$BX132)</f>
        <v>28740.8748237928</v>
      </c>
      <c r="P132" s="35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轻击",$B$21,0))*(1+IF(VLOOKUP($R132,武学奇术!$A:$ZZ,30,FALSE)="老鼠",$B$22,0))*(1+$BW132)*(1+$BX132)</f>
        <v>25259.2784134188</v>
      </c>
      <c r="Q132" s="36">
        <v>1</v>
      </c>
      <c r="R132" s="37" t="s">
        <v>148</v>
      </c>
      <c r="S132" s="37" t="s">
        <v>91</v>
      </c>
      <c r="T132" s="37" t="s">
        <v>185</v>
      </c>
      <c r="U132" s="37" t="s">
        <v>112</v>
      </c>
      <c r="V132" s="37" t="s">
        <v>113</v>
      </c>
      <c r="W132" s="37" t="s">
        <v>82</v>
      </c>
      <c r="X132" s="37" t="s">
        <v>81</v>
      </c>
      <c r="Y132" s="37" t="s">
        <v>109</v>
      </c>
      <c r="Z132" s="37" t="s">
        <v>83</v>
      </c>
      <c r="AA132" s="37" t="s">
        <v>81</v>
      </c>
      <c r="AB132" s="37" t="s">
        <v>81</v>
      </c>
      <c r="AC132" s="37" t="s">
        <v>81</v>
      </c>
      <c r="AD132" s="37" t="s">
        <v>85</v>
      </c>
      <c r="AE132" s="37" t="s">
        <v>86</v>
      </c>
      <c r="AF132" s="37" t="s">
        <v>181</v>
      </c>
      <c r="AG132" s="37" t="s">
        <v>87</v>
      </c>
      <c r="AH132" s="37" t="s">
        <v>81</v>
      </c>
      <c r="AI132" s="37" t="s">
        <v>81</v>
      </c>
      <c r="AJ132" s="37" t="s">
        <v>81</v>
      </c>
      <c r="AK132" s="37" t="s">
        <v>81</v>
      </c>
      <c r="AL132" s="37" t="s">
        <v>81</v>
      </c>
      <c r="AM132" t="str">
        <f>VLOOKUP($R132,武学奇术!$A:$ZZ,25,FALSE)</f>
        <v>双刀</v>
      </c>
      <c r="AN132" s="23">
        <f>VLOOKUP($R132,武学奇术!$A:$ZZ,26,FALSE)</f>
        <v>1.4455</v>
      </c>
      <c r="AO132" s="24">
        <f>VLOOKUP($R132,武学奇术!$A:$ZZ,27,FALSE)*(1+IF(OR($AM132=$F$4,$AM132=$F$5),$B$23,0))</f>
        <v>641.6</v>
      </c>
      <c r="AP132" s="23">
        <f>VLOOKUP($R132,武学奇术!$A:$ZZ,28,FALSE)</f>
        <v>2.1683</v>
      </c>
      <c r="AQ132" s="24">
        <f>VLOOKUP($R132,武学奇术!$A:$ZZ,29,FALSE)*(1+IF(OR($AM132=$F$4,$AM132=$F$5),$B$23,0))</f>
        <v>348.8</v>
      </c>
      <c r="AR132" s="23" cm="1">
        <f t="array" ref="AR132">$G$3+IFERROR(VLOOKUP($AM132,$F$4:$G$7,2,FALSE),0)+VLOOKUP($R132,武学奇术!$A:$ZZ,2,FALSE)+SUM(_xlfn.XLOOKUP($S132:$AL132,增益!$A:$A,增益!$B:$B,0))</f>
        <v>0.7443</v>
      </c>
      <c r="AS132" s="23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4081.7</v>
      </c>
      <c r="AU132" cm="1">
        <f t="array" ref="AU132">$E$10*(1+$AS132)+VLOOKUP($R132,武学奇术!$A:$ZZ,4,FALSE)+SUM(_xlfn.XLOOKUP($S132:$AL132,增益!$A:$A,增益!$D:$D,0))-$I$2</f>
        <v>4081.7</v>
      </c>
      <c r="AV132" s="29" cm="1">
        <f t="array" ref="AV132">IF($F$10-$I$3+VLOOKUP($R132,武学奇术!$A:$ZZ,6,FALSE)+SUM(_xlfn.XLOOKUP(S132:AL132,增益!$A:$A,增益!$F:$F,0))&gt;0,($F$10-$I$3+VLOOKUP($R132,武学奇术!$A:$ZZ,6,FALSE)+SUM(_xlfn.XLOOKUP(S132:AL132,增益!$A:$A,增益!$F:$F,0)))/200,($F$10-$I$3+VLOOKUP($R132,武学奇术!$A:$ZZ,6,FALSE)+SUM(_xlfn.XLOOKUP(S132:AL132,增益!$A:$A,增益!$F:$F,0)))/100)</f>
        <v>0.3689</v>
      </c>
      <c r="AW132" s="29" cm="1">
        <f t="array" ref="AW132">$G$10+VLOOKUP($R132,武学奇术!$A:$ZZ,7,FALSE)+SUM(_xlfn.XLOOKUP(S132:AL132,增益!$A:$A,增益!$G:$G,0))</f>
        <v>0.06</v>
      </c>
      <c r="AX132" s="23" cm="1">
        <f t="array" ref="AX132">VLOOKUP($R132,武学奇术!$A:$ZZ,8,FALSE)+SUM(_xlfn.XLOOKUP(S132:AL132,增益!$A:$A,增益!$H:$H,0))</f>
        <v>0</v>
      </c>
      <c r="AY132">
        <f t="shared" si="24"/>
        <v>0</v>
      </c>
      <c r="AZ132">
        <f t="shared" si="25"/>
        <v>0</v>
      </c>
      <c r="BA132" s="29" cm="1">
        <f t="array" ref="BA132">IF($F$11-$I$4+VLOOKUP($R132,武学奇术!$A:$ZZ,9,FALSE)+SUM(_xlfn.XLOOKUP(S132:AL132,增益!$A:$A,增益!$I:$I,0))&gt;0,($F$11-$I$4+VLOOKUP($R132,武学奇术!$A:$ZZ,9,FALSE)+SUM(_xlfn.XLOOKUP(S132:AL132,增益!$A:$A,增益!$I:$I,0)))/200,($F$11-$I$4+VLOOKUP($R132,武学奇术!$A:$ZZ,9,FALSE)+SUM(_xlfn.XLOOKUP(S132:AL132,增益!$A:$A,增益!$I:$I,0)))/100)</f>
        <v>-0.3</v>
      </c>
      <c r="BB132" s="29" cm="1">
        <f t="array" ref="BB132">$G$11+VLOOKUP($R132,武学奇术!$A:$ZZ,10,FALSE)+SUM(_xlfn.XLOOKUP(S132:AL132,增益!$A:$A,增益!$J:$J,0))</f>
        <v>0</v>
      </c>
      <c r="BC132">
        <f t="shared" si="26"/>
        <v>0</v>
      </c>
      <c r="BD132">
        <f t="shared" si="27"/>
        <v>0</v>
      </c>
      <c r="BE132" s="29" cm="1">
        <f t="array" ref="BE132">IF($F$12-$I$4+VLOOKUP($R132,武学奇术!$A:$ZZ,11,FALSE)+SUM(_xlfn.XLOOKUP(S132:AL132,增益!$A:$A,增益!$K:$K,0))&gt;0,($F$12-$I$4+VLOOKUP($R132,武学奇术!$A:$ZZ,11,FALSE)+SUM(_xlfn.XLOOKUP(S132:AL132,增益!$A:$A,增益!$K:$K,0)))/200,($F$12-$I$4+VLOOKUP($R132,武学奇术!$A:$ZZ,11,FALSE)+SUM(_xlfn.XLOOKUP(S132:AL132,增益!$A:$A,增益!$K:$K,0)))/100)</f>
        <v>-0.3</v>
      </c>
      <c r="BF132" s="29" cm="1">
        <f t="array" ref="BF132">$G$12+VLOOKUP($R132,武学奇术!$A:$ZZ,12,FALSE)+SUM(_xlfn.XLOOKUP(S132:AL132,增益!$A:$A,增益!$L:$L,0))</f>
        <v>0</v>
      </c>
      <c r="BG132">
        <f t="shared" si="28"/>
        <v>0</v>
      </c>
      <c r="BH132">
        <f t="shared" si="29"/>
        <v>0</v>
      </c>
      <c r="BI132" s="29" cm="1">
        <f t="array" ref="BI132">IF($F$13-$I$4+VLOOKUP($R132,武学奇术!$A:$ZZ,13,FALSE)+SUM(_xlfn.XLOOKUP(S132:AL132,增益!$A:$A,增益!$M:$M,0))&gt;0,($F$13-$I$4+VLOOKUP($R132,武学奇术!$A:$ZZ,13,FALSE)+SUM(_xlfn.XLOOKUP(S132:AL132,增益!$A:$A,增益!$K:$K,0)))/200,($F$13-$I$4+VLOOKUP($R132,武学奇术!$A:$ZZ,13,FALSE)+SUM(_xlfn.XLOOKUP(S132:AL132,增益!$A:$A,增益!$M:$M,0)))/100)</f>
        <v>-0.3</v>
      </c>
      <c r="BJ132" s="29" cm="1">
        <f t="array" ref="BJ132">$G$13+VLOOKUP($R132,武学奇术!$A:$ZZ,14,FALSE)+SUM(_xlfn.XLOOKUP(S132:AL132,增益!$A:$A,增益!$N:$N,0))</f>
        <v>0</v>
      </c>
      <c r="BK132">
        <f t="shared" si="30"/>
        <v>618.2</v>
      </c>
      <c r="BL132">
        <f t="shared" si="31"/>
        <v>1805</v>
      </c>
      <c r="BM132" s="29" cm="1">
        <f t="array" ref="BM132">IF($F$14-$I$4+VLOOKUP($R132,武学奇术!$A:$ZZ,15,FALSE)+SUM(_xlfn.XLOOKUP(S132:AL132,增益!$A:$A,增益!$O:$O,0))&gt;0,($F$14-$I$4+VLOOKUP($R132,武学奇术!$A:$ZZ,15,FALSE)+SUM(_xlfn.XLOOKUP(S132:AL132,增益!$A:$A,增益!$O:$O,0)))/200,($F$14-$I$4+VLOOKUP($R132,武学奇术!$A:$ZZ,15,FALSE)+SUM(_xlfn.XLOOKUP(S132:AL132,增益!$A:$A,增益!$O:$O,0)))/100)</f>
        <v>0.05</v>
      </c>
      <c r="BN132" s="29" cm="1">
        <f t="array" ref="BN132">$G$14+VLOOKUP($R132,武学奇术!$A:$ZZ,16,FALSE)+SUM(_xlfn.XLOOKUP(S132:AL132,增益!$A:$A,增益!$P:$P,0))</f>
        <v>0.21</v>
      </c>
      <c r="BO132" s="23">
        <f>MIN(IF(VLOOKUP($R132,武学奇术!$A:$ZZ,23,FALSE)=1,100%,$B$8),100%)</f>
        <v>0.9943</v>
      </c>
      <c r="BP132" s="23" cm="1">
        <f t="array" ref="BP132">IF(VLOOKUP($R132,武学奇术!$A:$ZZ,23,FALSE)=1,100%,MIN(80%,$B$9+VLOOKUP($R132,武学奇术!$A:$ZZ,17,FALSE)+SUM(_xlfn.XLOOKUP(S132:AL132,增益!$A:$A,增益!$Q:$Q,0)))+$B$11+SUM(_xlfn.XLOOKUP(S132:AL132,增益!$A:$A,增益!$U:$U,0)))*IF(VLOOKUP($R132,武学奇术!$A:$ZZ,24,FALSE)=1,0,1)</f>
        <v>0.887</v>
      </c>
      <c r="BQ132" s="23" cm="1">
        <f t="array" ref="BQ132">1+$B$13+VLOOKUP($R132,武学奇术!$A:$ZZ,18,FALSE)+SUM(_xlfn.XLOOKUP(S132:AL132,增益!$A:$A,增益!$R:$R,0))</f>
        <v>2.394</v>
      </c>
      <c r="BR132" s="23" cm="1">
        <f t="array" ref="BR132">IF(VLOOKUP($R132,武学奇术!$A:$ZZ,24,FALSE)=1,100%,MIN(40%,$B$10+VLOOKUP($R132,武学奇术!$A:$ZZ,19,FALSE)+SUM(_xlfn.XLOOKUP(S132:AL132,增益!$A:$A,增益!$S:$S,0)))+$B$12+SUM(_xlfn.XLOOKUP(S132:AL132,增益!$A:$A,增益!$V:$V,0)))*IF(VLOOKUP($R132,武学奇术!$A:$ZZ,23,FALSE)=1,0,1)</f>
        <v>0.0913</v>
      </c>
      <c r="BS132" s="23" cm="1">
        <f t="array" ref="BS132">1+$B$14+VLOOKUP($R132,武学奇术!$A:$ZZ,20,FALSE)+SUM(_xlfn.XLOOKUP(S132:AL132,增益!$A:$A,增益!$T:$T,0))</f>
        <v>1.35</v>
      </c>
      <c r="BT132" s="23">
        <f t="shared" si="32"/>
        <v>0.8819441</v>
      </c>
      <c r="BU132" s="23">
        <f t="shared" si="33"/>
        <v>0.0215763099999999</v>
      </c>
      <c r="BV132" s="23">
        <f>IF(VLOOKUP($R132,武学奇术!$A:$ZZ,22,FALSE)=1,0,(1-$BO132))*(1-$BR132)</f>
        <v>0.00517959000000003</v>
      </c>
      <c r="BW132" s="23" cm="1">
        <f t="array" ref="BW132">SUM(_xlfn.XLOOKUP(S132:AL132,增益!$A:$A,增益!$W:$W,0))+$I$5</f>
        <v>0.11</v>
      </c>
      <c r="BX132" s="23">
        <f>VLOOKUP($R132,武学奇术!$A:$ZZ,32,FALSE)</f>
        <v>0.1</v>
      </c>
      <c r="BY132" s="23" cm="1">
        <f t="array" ref="BY132">SUM(_xlfn.XLOOKUP($S132:$AL132,增益!$A:$A,增益!$X:$X,0))</f>
        <v>0</v>
      </c>
    </row>
    <row r="133" spans="11:77">
      <c r="K133" s="35">
        <f>$L133*VLOOKUP($R133,武学奇术!$A:$ZZ,31,FALSE)</f>
        <v>153033.279978222</v>
      </c>
      <c r="L133" s="69">
        <f t="shared" si="23"/>
        <v>150032.627429629</v>
      </c>
      <c r="M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轻击",$B$21,0))*(1+IF(VLOOKUP($R133,武学奇术!$A:$ZZ,30,FALSE)="老鼠",$B$22,0))*(1+$BW133)*(1+$BX133)</f>
        <v>157716.484818256</v>
      </c>
      <c r="N133" s="35">
        <f>(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轻击",$B$21,0))*(1+IF(VLOOKUP($R133,武学奇术!$A:$ZZ,30,FALSE)="老鼠",$B$22,0))*(1+$BW133))*(1+$BX133)</f>
        <v>100974.929980211</v>
      </c>
      <c r="O133" s="35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轻击",$B$21,0))*(1+IF(VLOOKUP($R133,武学奇术!$A:$ZZ,30,FALSE)="老鼠",$B$22,0))*(1+$BW133)*(1+$BX133)</f>
        <v>65879.9017620117</v>
      </c>
      <c r="P133" s="35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轻击",$B$21,0))*(1+IF(VLOOKUP($R133,武学奇术!$A:$ZZ,30,FALSE)="老鼠",$B$22,0))*(1+$BW133)*(1+$BX133)</f>
        <v>56963.5590942371</v>
      </c>
      <c r="Q133" s="70">
        <v>5</v>
      </c>
      <c r="R133" s="37" t="s">
        <v>106</v>
      </c>
      <c r="S133" s="37" t="s">
        <v>91</v>
      </c>
      <c r="T133" s="37" t="s">
        <v>185</v>
      </c>
      <c r="U133" s="37" t="s">
        <v>112</v>
      </c>
      <c r="V133" s="37" t="s">
        <v>113</v>
      </c>
      <c r="W133" s="37" t="s">
        <v>82</v>
      </c>
      <c r="X133" s="37" t="s">
        <v>81</v>
      </c>
      <c r="Y133" s="37" t="s">
        <v>109</v>
      </c>
      <c r="Z133" s="37" t="s">
        <v>83</v>
      </c>
      <c r="AA133" s="37" t="s">
        <v>81</v>
      </c>
      <c r="AB133" s="37" t="s">
        <v>81</v>
      </c>
      <c r="AC133" s="37" t="s">
        <v>81</v>
      </c>
      <c r="AD133" s="37" t="s">
        <v>85</v>
      </c>
      <c r="AE133" s="37" t="s">
        <v>86</v>
      </c>
      <c r="AF133" s="37" t="s">
        <v>81</v>
      </c>
      <c r="AG133" s="37" t="s">
        <v>87</v>
      </c>
      <c r="AH133" s="37" t="s">
        <v>81</v>
      </c>
      <c r="AI133" s="37" t="s">
        <v>81</v>
      </c>
      <c r="AJ133" s="37" t="s">
        <v>81</v>
      </c>
      <c r="AK133" s="37" t="s">
        <v>81</v>
      </c>
      <c r="AL133" s="37" t="s">
        <v>81</v>
      </c>
      <c r="AM133" t="str">
        <f>VLOOKUP($R133,武学奇术!$A:$ZZ,25,FALSE)</f>
        <v>绳镖</v>
      </c>
      <c r="AN133" s="23">
        <f>VLOOKUP($R133,武学奇术!$A:$ZZ,26,FALSE)</f>
        <v>0.3675</v>
      </c>
      <c r="AO133" s="24">
        <f>VLOOKUP($R133,武学奇术!$A:$ZZ,27,FALSE)*(1+IF(OR($AM133=$F$4,$AM133=$F$5),$B$23,0))</f>
        <v>0</v>
      </c>
      <c r="AP133" s="23">
        <f>VLOOKUP($R133,武学奇术!$A:$ZZ,28,FALSE)</f>
        <v>0.55125</v>
      </c>
      <c r="AQ133" s="24">
        <f>VLOOKUP($R133,武学奇术!$A:$ZZ,29,FALSE)*(1+IF(OR($AM133=$F$4,$AM133=$F$5),$B$23,0))</f>
        <v>0</v>
      </c>
      <c r="AR133" s="23" cm="1">
        <f t="array" ref="AR133">$G$3+IFERROR(VLOOKUP($AM133,$F$4:$G$7,2,FALSE),0)+VLOOKUP($R133,武学奇术!$A:$ZZ,2,FALSE)+SUM(_xlfn.XLOOKUP($S133:$AL133,增益!$A:$A,增益!$B:$B,0))</f>
        <v>1.4943</v>
      </c>
      <c r="AS133" s="23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4081.7</v>
      </c>
      <c r="AU133" cm="1">
        <f t="array" ref="AU133">$E$10*(1+$AS133)+VLOOKUP($R133,武学奇术!$A:$ZZ,4,FALSE)+SUM(_xlfn.XLOOKUP($S133:$AL133,增益!$A:$A,增益!$D:$D,0))-$I$2</f>
        <v>4081.7</v>
      </c>
      <c r="AV133" s="29" cm="1">
        <f t="array" ref="AV133">IF($F$10-$I$3+VLOOKUP($R133,武学奇术!$A:$ZZ,6,FALSE)+SUM(_xlfn.XLOOKUP(S133:AL133,增益!$A:$A,增益!$F:$F,0))&gt;0,($F$10-$I$3+VLOOKUP($R133,武学奇术!$A:$ZZ,6,FALSE)+SUM(_xlfn.XLOOKUP(S133:AL133,增益!$A:$A,增益!$F:$F,0)))/200,($F$10-$I$3+VLOOKUP($R133,武学奇术!$A:$ZZ,6,FALSE)+SUM(_xlfn.XLOOKUP(S133:AL133,增益!$A:$A,增益!$F:$F,0)))/100)</f>
        <v>0.3689</v>
      </c>
      <c r="AW133" s="29" cm="1">
        <f t="array" ref="AW133">$G$10+VLOOKUP($R133,武学奇术!$A:$ZZ,7,FALSE)+SUM(_xlfn.XLOOKUP(S133:AL133,增益!$A:$A,增益!$G:$G,0))</f>
        <v>0.27</v>
      </c>
      <c r="AX133" s="23" cm="1">
        <f t="array" ref="AX133">VLOOKUP($R133,武学奇术!$A:$ZZ,8,FALSE)+SUM(_xlfn.XLOOKUP(S133:AL133,增益!$A:$A,增益!$H:$H,0))</f>
        <v>0</v>
      </c>
      <c r="AY133">
        <f t="shared" si="24"/>
        <v>0</v>
      </c>
      <c r="AZ133">
        <f t="shared" si="25"/>
        <v>0</v>
      </c>
      <c r="BA133" s="29" cm="1">
        <f t="array" ref="BA133">IF($F$11-$I$4+VLOOKUP($R133,武学奇术!$A:$ZZ,9,FALSE)+SUM(_xlfn.XLOOKUP(S133:AL133,增益!$A:$A,增益!$I:$I,0))&gt;0,($F$11-$I$4+VLOOKUP($R133,武学奇术!$A:$ZZ,9,FALSE)+SUM(_xlfn.XLOOKUP(S133:AL133,增益!$A:$A,增益!$I:$I,0)))/200,($F$11-$I$4+VLOOKUP($R133,武学奇术!$A:$ZZ,9,FALSE)+SUM(_xlfn.XLOOKUP(S133:AL133,增益!$A:$A,增益!$I:$I,0)))/100)</f>
        <v>-0.3</v>
      </c>
      <c r="BB133" s="29" cm="1">
        <f t="array" ref="BB133">$G$11+VLOOKUP($R133,武学奇术!$A:$ZZ,10,FALSE)+SUM(_xlfn.XLOOKUP(S133:AL133,增益!$A:$A,增益!$J:$J,0))</f>
        <v>0</v>
      </c>
      <c r="BC133">
        <f t="shared" si="26"/>
        <v>0</v>
      </c>
      <c r="BD133">
        <f t="shared" si="27"/>
        <v>0</v>
      </c>
      <c r="BE133" s="29" cm="1">
        <f t="array" ref="BE133">IF($F$12-$I$4+VLOOKUP($R133,武学奇术!$A:$ZZ,11,FALSE)+SUM(_xlfn.XLOOKUP(S133:AL133,增益!$A:$A,增益!$K:$K,0))&gt;0,($F$12-$I$4+VLOOKUP($R133,武学奇术!$A:$ZZ,11,FALSE)+SUM(_xlfn.XLOOKUP(S133:AL133,增益!$A:$A,增益!$K:$K,0)))/200,($F$12-$I$4+VLOOKUP($R133,武学奇术!$A:$ZZ,11,FALSE)+SUM(_xlfn.XLOOKUP(S133:AL133,增益!$A:$A,增益!$K:$K,0)))/100)</f>
        <v>-0.3</v>
      </c>
      <c r="BF133" s="29" cm="1">
        <f t="array" ref="BF133">$G$12+VLOOKUP($R133,武学奇术!$A:$ZZ,12,FALSE)+SUM(_xlfn.XLOOKUP(S133:AL133,增益!$A:$A,增益!$L:$L,0))</f>
        <v>0</v>
      </c>
      <c r="BG133">
        <f t="shared" si="28"/>
        <v>0</v>
      </c>
      <c r="BH133">
        <f t="shared" si="29"/>
        <v>0</v>
      </c>
      <c r="BI133" s="29" cm="1">
        <f t="array" ref="BI133">IF($F$13-$I$4+VLOOKUP($R133,武学奇术!$A:$ZZ,13,FALSE)+SUM(_xlfn.XLOOKUP(S133:AL133,增益!$A:$A,增益!$M:$M,0))&gt;0,($F$13-$I$4+VLOOKUP($R133,武学奇术!$A:$ZZ,13,FALSE)+SUM(_xlfn.XLOOKUP(S133:AL133,增益!$A:$A,增益!$K:$K,0)))/200,($F$13-$I$4+VLOOKUP($R133,武学奇术!$A:$ZZ,13,FALSE)+SUM(_xlfn.XLOOKUP(S133:AL133,增益!$A:$A,增益!$M:$M,0)))/100)</f>
        <v>-0.3</v>
      </c>
      <c r="BJ133" s="29" cm="1">
        <f t="array" ref="BJ133">$G$13+VLOOKUP($R133,武学奇术!$A:$ZZ,14,FALSE)+SUM(_xlfn.XLOOKUP(S133:AL133,增益!$A:$A,增益!$N:$N,0))</f>
        <v>0</v>
      </c>
      <c r="BK133">
        <f t="shared" si="30"/>
        <v>618.2</v>
      </c>
      <c r="BL133">
        <f t="shared" si="31"/>
        <v>1805</v>
      </c>
      <c r="BM133" s="29" cm="1">
        <f t="array" ref="BM133">IF($F$14-$I$4+VLOOKUP($R133,武学奇术!$A:$ZZ,15,FALSE)+SUM(_xlfn.XLOOKUP(S133:AL133,增益!$A:$A,增益!$O:$O,0))&gt;0,($F$14-$I$4+VLOOKUP($R133,武学奇术!$A:$ZZ,15,FALSE)+SUM(_xlfn.XLOOKUP(S133:AL133,增益!$A:$A,增益!$O:$O,0)))/200,($F$14-$I$4+VLOOKUP($R133,武学奇术!$A:$ZZ,15,FALSE)+SUM(_xlfn.XLOOKUP(S133:AL133,增益!$A:$A,增益!$O:$O,0)))/100)</f>
        <v>0.05</v>
      </c>
      <c r="BN133" s="29" cm="1">
        <f t="array" ref="BN133">$G$14+VLOOKUP($R133,武学奇术!$A:$ZZ,16,FALSE)+SUM(_xlfn.XLOOKUP(S133:AL133,增益!$A:$A,增益!$P:$P,0))</f>
        <v>0.42</v>
      </c>
      <c r="BO133" s="23">
        <f>MIN(IF(VLOOKUP($R133,武学奇术!$A:$ZZ,23,FALSE)=1,100%,$B$8),100%)</f>
        <v>0.9943</v>
      </c>
      <c r="BP133" s="23" cm="1">
        <f t="array" ref="BP133">IF(VLOOKUP($R133,武学奇术!$A:$ZZ,23,FALSE)=1,100%,MIN(80%,$B$9+VLOOKUP($R133,武学奇术!$A:$ZZ,17,FALSE)+SUM(_xlfn.XLOOKUP(S133:AL133,增益!$A:$A,增益!$Q:$Q,0)))+$B$11+SUM(_xlfn.XLOOKUP(S133:AL133,增益!$A:$A,增益!$U:$U,0)))*IF(VLOOKUP($R133,武学奇术!$A:$ZZ,24,FALSE)=1,0,1)</f>
        <v>0.887</v>
      </c>
      <c r="BQ133" s="23" cm="1">
        <f t="array" ref="BQ133">1+$B$13+VLOOKUP($R133,武学奇术!$A:$ZZ,18,FALSE)+SUM(_xlfn.XLOOKUP(S133:AL133,增益!$A:$A,增益!$R:$R,0))</f>
        <v>2.394</v>
      </c>
      <c r="BR133" s="23" cm="1">
        <f t="array" ref="BR133">IF(VLOOKUP($R133,武学奇术!$A:$ZZ,24,FALSE)=1,100%,MIN(40%,$B$10+VLOOKUP($R133,武学奇术!$A:$ZZ,19,FALSE)+SUM(_xlfn.XLOOKUP(S133:AL133,增益!$A:$A,增益!$S:$S,0)))+$B$12+SUM(_xlfn.XLOOKUP(S133:AL133,增益!$A:$A,增益!$V:$V,0)))*IF(VLOOKUP($R133,武学奇术!$A:$ZZ,23,FALSE)=1,0,1)</f>
        <v>0.0913</v>
      </c>
      <c r="BS133" s="23" cm="1">
        <f t="array" ref="BS133">1+$B$14+VLOOKUP($R133,武学奇术!$A:$ZZ,20,FALSE)+SUM(_xlfn.XLOOKUP(S133:AL133,增益!$A:$A,增益!$T:$T,0))</f>
        <v>1.35</v>
      </c>
      <c r="BT133" s="23">
        <f t="shared" si="32"/>
        <v>0.8819441</v>
      </c>
      <c r="BU133" s="23">
        <f t="shared" si="33"/>
        <v>0.0215763099999999</v>
      </c>
      <c r="BV133" s="23">
        <f>IF(VLOOKUP($R133,武学奇术!$A:$ZZ,22,FALSE)=1,0,(1-$BO133))*(1-$BR133)</f>
        <v>0.00517959000000003</v>
      </c>
      <c r="BW133" s="23" cm="1">
        <f t="array" ref="BW133">SUM(_xlfn.XLOOKUP(S133:AL133,增益!$A:$A,增益!$W:$W,0))+$I$5</f>
        <v>0.11</v>
      </c>
      <c r="BX133" s="23">
        <f>VLOOKUP($R133,武学奇术!$A:$ZZ,32,FALSE)</f>
        <v>0</v>
      </c>
      <c r="BY133" s="23" cm="1">
        <f t="array" ref="BY133">SUM(_xlfn.XLOOKUP($S133:$AL133,增益!$A:$A,增益!$X:$X,0))</f>
        <v>0</v>
      </c>
    </row>
    <row r="134" spans="11:77">
      <c r="K134" s="35">
        <f>$L134*VLOOKUP($R134,武学奇术!$A:$ZZ,31,FALSE)</f>
        <v>74372.895286315</v>
      </c>
      <c r="L134" s="35">
        <f t="shared" si="23"/>
        <v>66404.3707913527</v>
      </c>
      <c r="M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轻击",$B$21,0))*(1+IF(VLOOKUP($R134,武学奇术!$A:$ZZ,30,FALSE)="老鼠",$B$22,0))*(1+$BW134)*(1+$BX134)</f>
        <v>69240.3717561611</v>
      </c>
      <c r="N134" s="35">
        <f>(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轻击",$B$21,0))*(1+IF(VLOOKUP($R134,武学奇术!$A:$ZZ,30,FALSE)="老鼠",$B$22,0))*(1+$BW134))*(1+$BX134)</f>
        <v>49242.1397703632</v>
      </c>
      <c r="O134" s="35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轻击",$B$21,0))*(1+IF(VLOOKUP($R134,武学奇术!$A:$ZZ,30,FALSE)="老鼠",$B$22,0))*(1+$BW134)*(1+$BX134)</f>
        <v>32294.9495131348</v>
      </c>
      <c r="P134" s="35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轻击",$B$21,0))*(1+IF(VLOOKUP($R134,武学奇术!$A:$ZZ,30,FALSE)="老鼠",$B$22,0))*(1+$BW134)*(1+$BX134)</f>
        <v>28114.2399371117</v>
      </c>
      <c r="Q134" s="36">
        <v>1</v>
      </c>
      <c r="R134" s="37" t="s">
        <v>153</v>
      </c>
      <c r="S134" s="37" t="s">
        <v>91</v>
      </c>
      <c r="T134" s="37" t="s">
        <v>185</v>
      </c>
      <c r="U134" s="37" t="s">
        <v>112</v>
      </c>
      <c r="V134" s="37" t="s">
        <v>113</v>
      </c>
      <c r="W134" s="37" t="s">
        <v>82</v>
      </c>
      <c r="X134" s="37" t="s">
        <v>81</v>
      </c>
      <c r="Y134" s="37" t="s">
        <v>109</v>
      </c>
      <c r="Z134" s="37" t="s">
        <v>83</v>
      </c>
      <c r="AA134" s="37" t="s">
        <v>81</v>
      </c>
      <c r="AB134" s="37" t="s">
        <v>81</v>
      </c>
      <c r="AC134" s="37" t="s">
        <v>81</v>
      </c>
      <c r="AD134" s="37" t="s">
        <v>85</v>
      </c>
      <c r="AE134" s="37" t="s">
        <v>81</v>
      </c>
      <c r="AF134" s="37" t="s">
        <v>181</v>
      </c>
      <c r="AG134" s="37" t="s">
        <v>87</v>
      </c>
      <c r="AH134" s="37" t="s">
        <v>81</v>
      </c>
      <c r="AI134" s="37" t="s">
        <v>81</v>
      </c>
      <c r="AJ134" s="37" t="s">
        <v>81</v>
      </c>
      <c r="AK134" s="37" t="s">
        <v>81</v>
      </c>
      <c r="AL134" s="37" t="s">
        <v>81</v>
      </c>
      <c r="AM134" t="str">
        <f>VLOOKUP($R134,武学奇术!$A:$ZZ,25,FALSE)</f>
        <v>双刀</v>
      </c>
      <c r="AN134" s="23">
        <f>VLOOKUP($R134,武学奇术!$A:$ZZ,26,FALSE)</f>
        <v>1.7358</v>
      </c>
      <c r="AO134" s="24">
        <f>VLOOKUP($R134,武学奇术!$A:$ZZ,27,FALSE)*(1+IF(OR($AM134=$F$4,$AM134=$F$5),$B$23,0))</f>
        <v>769.6</v>
      </c>
      <c r="AP134" s="23">
        <f>VLOOKUP($R134,武学奇术!$A:$ZZ,28,FALSE)</f>
        <v>2.6037</v>
      </c>
      <c r="AQ134" s="24">
        <f>VLOOKUP($R134,武学奇术!$A:$ZZ,29,FALSE)*(1+IF(OR($AM134=$F$4,$AM134=$F$5),$B$23,0))</f>
        <v>419.2</v>
      </c>
      <c r="AR134" s="23" cm="1">
        <f t="array" ref="AR134">$G$3+IFERROR(VLOOKUP($AM134,$F$4:$G$7,2,FALSE),0)+VLOOKUP($R134,武学奇术!$A:$ZZ,2,FALSE)+SUM(_xlfn.XLOOKUP($S134:$AL134,增益!$A:$A,增益!$B:$B,0))</f>
        <v>0.7443</v>
      </c>
      <c r="AS134" s="23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4081.7</v>
      </c>
      <c r="AU134" cm="1">
        <f t="array" ref="AU134">$E$10*(1+$AS134)+VLOOKUP($R134,武学奇术!$A:$ZZ,4,FALSE)+SUM(_xlfn.XLOOKUP($S134:$AL134,增益!$A:$A,增益!$D:$D,0))-$I$2</f>
        <v>4081.7</v>
      </c>
      <c r="AV134" s="29" cm="1">
        <f t="array" ref="AV134">IF($F$10-$I$3+VLOOKUP($R134,武学奇术!$A:$ZZ,6,FALSE)+SUM(_xlfn.XLOOKUP(S134:AL134,增益!$A:$A,增益!$F:$F,0))&gt;0,($F$10-$I$3+VLOOKUP($R134,武学奇术!$A:$ZZ,6,FALSE)+SUM(_xlfn.XLOOKUP(S134:AL134,增益!$A:$A,增益!$F:$F,0)))/200,($F$10-$I$3+VLOOKUP($R134,武学奇术!$A:$ZZ,6,FALSE)+SUM(_xlfn.XLOOKUP(S134:AL134,增益!$A:$A,增益!$F:$F,0)))/100)</f>
        <v>0.2439</v>
      </c>
      <c r="AW134" s="29" cm="1">
        <f t="array" ref="AW134">$G$10+VLOOKUP($R134,武学奇术!$A:$ZZ,7,FALSE)+SUM(_xlfn.XLOOKUP(S134:AL134,增益!$A:$A,增益!$G:$G,0))</f>
        <v>0.06</v>
      </c>
      <c r="AX134" s="23" cm="1">
        <f t="array" ref="AX134">VLOOKUP($R134,武学奇术!$A:$ZZ,8,FALSE)+SUM(_xlfn.XLOOKUP(S134:AL134,增益!$A:$A,增益!$H:$H,0))</f>
        <v>0</v>
      </c>
      <c r="AY134">
        <f t="shared" si="24"/>
        <v>0</v>
      </c>
      <c r="AZ134">
        <f t="shared" si="25"/>
        <v>0</v>
      </c>
      <c r="BA134" s="29" cm="1">
        <f t="array" ref="BA134">IF($F$11-$I$4+VLOOKUP($R134,武学奇术!$A:$ZZ,9,FALSE)+SUM(_xlfn.XLOOKUP(S134:AL134,增益!$A:$A,增益!$I:$I,0))&gt;0,($F$11-$I$4+VLOOKUP($R134,武学奇术!$A:$ZZ,9,FALSE)+SUM(_xlfn.XLOOKUP(S134:AL134,增益!$A:$A,增益!$I:$I,0)))/200,($F$11-$I$4+VLOOKUP($R134,武学奇术!$A:$ZZ,9,FALSE)+SUM(_xlfn.XLOOKUP(S134:AL134,增益!$A:$A,增益!$I:$I,0)))/100)</f>
        <v>-0.3</v>
      </c>
      <c r="BB134" s="29" cm="1">
        <f t="array" ref="BB134">$G$11+VLOOKUP($R134,武学奇术!$A:$ZZ,10,FALSE)+SUM(_xlfn.XLOOKUP(S134:AL134,增益!$A:$A,增益!$J:$J,0))</f>
        <v>0</v>
      </c>
      <c r="BC134">
        <f t="shared" si="26"/>
        <v>0</v>
      </c>
      <c r="BD134">
        <f t="shared" si="27"/>
        <v>0</v>
      </c>
      <c r="BE134" s="29" cm="1">
        <f t="array" ref="BE134">IF($F$12-$I$4+VLOOKUP($R134,武学奇术!$A:$ZZ,11,FALSE)+SUM(_xlfn.XLOOKUP(S134:AL134,增益!$A:$A,增益!$K:$K,0))&gt;0,($F$12-$I$4+VLOOKUP($R134,武学奇术!$A:$ZZ,11,FALSE)+SUM(_xlfn.XLOOKUP(S134:AL134,增益!$A:$A,增益!$K:$K,0)))/200,($F$12-$I$4+VLOOKUP($R134,武学奇术!$A:$ZZ,11,FALSE)+SUM(_xlfn.XLOOKUP(S134:AL134,增益!$A:$A,增益!$K:$K,0)))/100)</f>
        <v>-0.3</v>
      </c>
      <c r="BF134" s="29" cm="1">
        <f t="array" ref="BF134">$G$12+VLOOKUP($R134,武学奇术!$A:$ZZ,12,FALSE)+SUM(_xlfn.XLOOKUP(S134:AL134,增益!$A:$A,增益!$L:$L,0))</f>
        <v>0</v>
      </c>
      <c r="BG134">
        <f t="shared" si="28"/>
        <v>0</v>
      </c>
      <c r="BH134">
        <f t="shared" si="29"/>
        <v>0</v>
      </c>
      <c r="BI134" s="29" cm="1">
        <f t="array" ref="BI134">IF($F$13-$I$4+VLOOKUP($R134,武学奇术!$A:$ZZ,13,FALSE)+SUM(_xlfn.XLOOKUP(S134:AL134,增益!$A:$A,增益!$M:$M,0))&gt;0,($F$13-$I$4+VLOOKUP($R134,武学奇术!$A:$ZZ,13,FALSE)+SUM(_xlfn.XLOOKUP(S134:AL134,增益!$A:$A,增益!$K:$K,0)))/200,($F$13-$I$4+VLOOKUP($R134,武学奇术!$A:$ZZ,13,FALSE)+SUM(_xlfn.XLOOKUP(S134:AL134,增益!$A:$A,增益!$M:$M,0)))/100)</f>
        <v>-0.3</v>
      </c>
      <c r="BJ134" s="29" cm="1">
        <f t="array" ref="BJ134">$G$13+VLOOKUP($R134,武学奇术!$A:$ZZ,14,FALSE)+SUM(_xlfn.XLOOKUP(S134:AL134,增益!$A:$A,增益!$N:$N,0))</f>
        <v>0</v>
      </c>
      <c r="BK134">
        <f t="shared" si="30"/>
        <v>618.2</v>
      </c>
      <c r="BL134">
        <f t="shared" si="31"/>
        <v>1805</v>
      </c>
      <c r="BM134" s="29" cm="1">
        <f t="array" ref="BM134">IF($F$14-$I$4+VLOOKUP($R134,武学奇术!$A:$ZZ,15,FALSE)+SUM(_xlfn.XLOOKUP(S134:AL134,增益!$A:$A,增益!$O:$O,0))&gt;0,($F$14-$I$4+VLOOKUP($R134,武学奇术!$A:$ZZ,15,FALSE)+SUM(_xlfn.XLOOKUP(S134:AL134,增益!$A:$A,增益!$O:$O,0)))/200,($F$14-$I$4+VLOOKUP($R134,武学奇术!$A:$ZZ,15,FALSE)+SUM(_xlfn.XLOOKUP(S134:AL134,增益!$A:$A,增益!$O:$O,0)))/100)</f>
        <v>0.05</v>
      </c>
      <c r="BN134" s="29" cm="1">
        <f t="array" ref="BN134">$G$14+VLOOKUP($R134,武学奇术!$A:$ZZ,16,FALSE)+SUM(_xlfn.XLOOKUP(S134:AL134,增益!$A:$A,增益!$P:$P,0))</f>
        <v>0.21</v>
      </c>
      <c r="BO134" s="23">
        <f>MIN(IF(VLOOKUP($R134,武学奇术!$A:$ZZ,23,FALSE)=1,100%,$B$8),100%)</f>
        <v>0.9943</v>
      </c>
      <c r="BP134" s="23" cm="1">
        <f t="array" ref="BP134">IF(VLOOKUP($R134,武学奇术!$A:$ZZ,23,FALSE)=1,100%,MIN(80%,$B$9+VLOOKUP($R134,武学奇术!$A:$ZZ,17,FALSE)+SUM(_xlfn.XLOOKUP(S134:AL134,增益!$A:$A,增益!$Q:$Q,0)))+$B$11+SUM(_xlfn.XLOOKUP(S134:AL134,增益!$A:$A,增益!$U:$U,0)))*IF(VLOOKUP($R134,武学奇术!$A:$ZZ,24,FALSE)=1,0,1)</f>
        <v>0.887</v>
      </c>
      <c r="BQ134" s="23" cm="1">
        <f t="array" ref="BQ134">1+$B$13+VLOOKUP($R134,武学奇术!$A:$ZZ,18,FALSE)+SUM(_xlfn.XLOOKUP(S134:AL134,增益!$A:$A,增益!$R:$R,0))</f>
        <v>2.144</v>
      </c>
      <c r="BR134" s="23" cm="1">
        <f t="array" ref="BR134">IF(VLOOKUP($R134,武学奇术!$A:$ZZ,24,FALSE)=1,100%,MIN(40%,$B$10+VLOOKUP($R134,武学奇术!$A:$ZZ,19,FALSE)+SUM(_xlfn.XLOOKUP(S134:AL134,增益!$A:$A,增益!$S:$S,0)))+$B$12+SUM(_xlfn.XLOOKUP(S134:AL134,增益!$A:$A,增益!$V:$V,0)))*IF(VLOOKUP($R134,武学奇术!$A:$ZZ,23,FALSE)=1,0,1)</f>
        <v>0.0913</v>
      </c>
      <c r="BS134" s="23" cm="1">
        <f t="array" ref="BS134">1+$B$14+VLOOKUP($R134,武学奇术!$A:$ZZ,20,FALSE)+SUM(_xlfn.XLOOKUP(S134:AL134,增益!$A:$A,增益!$T:$T,0))</f>
        <v>1.35</v>
      </c>
      <c r="BT134" s="23">
        <f t="shared" si="32"/>
        <v>0.8819441</v>
      </c>
      <c r="BU134" s="23">
        <f t="shared" si="33"/>
        <v>0.0215763099999999</v>
      </c>
      <c r="BV134" s="23">
        <f>IF(VLOOKUP($R134,武学奇术!$A:$ZZ,22,FALSE)=1,0,(1-$BO134))*(1-$BR134)</f>
        <v>0.00517959000000003</v>
      </c>
      <c r="BW134" s="23" cm="1">
        <f t="array" ref="BW134">SUM(_xlfn.XLOOKUP(S134:AL134,增益!$A:$A,增益!$W:$W,0))+$I$5</f>
        <v>0.11</v>
      </c>
      <c r="BX134" s="23">
        <f>VLOOKUP($R134,武学奇术!$A:$ZZ,32,FALSE)</f>
        <v>0.1</v>
      </c>
      <c r="BY134" s="23" cm="1">
        <f t="array" ref="BY134">SUM(_xlfn.XLOOKUP($S134:$AL134,增益!$A:$A,增益!$X:$X,0))</f>
        <v>0</v>
      </c>
    </row>
    <row r="135" spans="11:77">
      <c r="K135" s="35">
        <f>$L135*VLOOKUP($R135,武学奇术!$A:$ZZ,31,FALSE)</f>
        <v>108570.699429785</v>
      </c>
      <c r="L135" s="35">
        <f t="shared" si="23"/>
        <v>96938.1244908791</v>
      </c>
      <c r="M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轻击",$B$21,0))*(1+IF(VLOOKUP($R135,武学奇术!$A:$ZZ,30,FALSE)="老鼠",$B$22,0))*(1+$BW135)*(1+$BX135)</f>
        <v>101078.106946498</v>
      </c>
      <c r="N135" s="35">
        <f>(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轻击",$B$21,0))*(1+IF(VLOOKUP($R135,武学奇术!$A:$ZZ,30,FALSE)="老鼠",$B$22,0))*(1+$BW135))*(1+$BX135)</f>
        <v>71885.0039412483</v>
      </c>
      <c r="O135" s="35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轻击",$B$21,0))*(1+IF(VLOOKUP($R135,武学奇术!$A:$ZZ,30,FALSE)="老鼠",$B$22,0))*(1+$BW135)*(1+$BX135)</f>
        <v>47144.6394340011</v>
      </c>
      <c r="P135" s="35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轻击",$B$21,0))*(1+IF(VLOOKUP($R135,武学奇术!$A:$ZZ,30,FALSE)="老鼠",$B$22,0))*(1+$BW135)*(1+$BX135)</f>
        <v>41041.1278004108</v>
      </c>
      <c r="Q135" s="36">
        <v>1</v>
      </c>
      <c r="R135" s="37" t="s">
        <v>158</v>
      </c>
      <c r="S135" s="37" t="s">
        <v>91</v>
      </c>
      <c r="T135" s="37" t="s">
        <v>185</v>
      </c>
      <c r="U135" s="37" t="s">
        <v>112</v>
      </c>
      <c r="V135" s="37" t="s">
        <v>113</v>
      </c>
      <c r="W135" s="37" t="s">
        <v>82</v>
      </c>
      <c r="X135" s="37" t="s">
        <v>81</v>
      </c>
      <c r="Y135" s="37" t="s">
        <v>109</v>
      </c>
      <c r="Z135" s="37" t="s">
        <v>83</v>
      </c>
      <c r="AA135" s="37" t="s">
        <v>81</v>
      </c>
      <c r="AB135" s="37" t="s">
        <v>81</v>
      </c>
      <c r="AC135" s="37" t="s">
        <v>81</v>
      </c>
      <c r="AD135" s="37" t="s">
        <v>85</v>
      </c>
      <c r="AE135" s="37" t="s">
        <v>81</v>
      </c>
      <c r="AF135" s="37" t="s">
        <v>181</v>
      </c>
      <c r="AG135" s="37" t="s">
        <v>87</v>
      </c>
      <c r="AH135" s="37" t="s">
        <v>81</v>
      </c>
      <c r="AI135" s="37" t="s">
        <v>81</v>
      </c>
      <c r="AJ135" s="37" t="s">
        <v>81</v>
      </c>
      <c r="AK135" s="37" t="s">
        <v>81</v>
      </c>
      <c r="AL135" s="37" t="s">
        <v>81</v>
      </c>
      <c r="AM135" t="str">
        <f>VLOOKUP($R135,武学奇术!$A:$ZZ,25,FALSE)</f>
        <v>双刀</v>
      </c>
      <c r="AN135" s="23">
        <f>VLOOKUP($R135,武学奇术!$A:$ZZ,26,FALSE)</f>
        <v>2.5342</v>
      </c>
      <c r="AO135" s="24">
        <f>VLOOKUP($R135,武学奇术!$A:$ZZ,27,FALSE)*(1+IF(OR($AM135=$F$4,$AM135=$F$5),$B$23,0))</f>
        <v>1123.2</v>
      </c>
      <c r="AP135" s="23">
        <f>VLOOKUP($R135,武学奇术!$A:$ZZ,28,FALSE)</f>
        <v>3.8012</v>
      </c>
      <c r="AQ135" s="24">
        <f>VLOOKUP($R135,武学奇术!$A:$ZZ,29,FALSE)*(1+IF(OR($AM135=$F$4,$AM135=$F$5),$B$23,0))</f>
        <v>611.2</v>
      </c>
      <c r="AR135" s="23" cm="1">
        <f t="array" ref="AR135">$G$3+IFERROR(VLOOKUP($AM135,$F$4:$G$7,2,FALSE),0)+VLOOKUP($R135,武学奇术!$A:$ZZ,2,FALSE)+SUM(_xlfn.XLOOKUP($S135:$AL135,增益!$A:$A,增益!$B:$B,0))</f>
        <v>0.7443</v>
      </c>
      <c r="AS135" s="23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4081.7</v>
      </c>
      <c r="AU135" cm="1">
        <f t="array" ref="AU135">$E$10*(1+$AS135)+VLOOKUP($R135,武学奇术!$A:$ZZ,4,FALSE)+SUM(_xlfn.XLOOKUP($S135:$AL135,增益!$A:$A,增益!$D:$D,0))-$I$2</f>
        <v>4081.7</v>
      </c>
      <c r="AV135" s="29" cm="1">
        <f t="array" ref="AV135">IF($F$10-$I$3+VLOOKUP($R135,武学奇术!$A:$ZZ,6,FALSE)+SUM(_xlfn.XLOOKUP(S135:AL135,增益!$A:$A,增益!$F:$F,0))&gt;0,($F$10-$I$3+VLOOKUP($R135,武学奇术!$A:$ZZ,6,FALSE)+SUM(_xlfn.XLOOKUP(S135:AL135,增益!$A:$A,增益!$F:$F,0)))/200,($F$10-$I$3+VLOOKUP($R135,武学奇术!$A:$ZZ,6,FALSE)+SUM(_xlfn.XLOOKUP(S135:AL135,增益!$A:$A,增益!$F:$F,0)))/100)</f>
        <v>0.2439</v>
      </c>
      <c r="AW135" s="29" cm="1">
        <f t="array" ref="AW135">$G$10+VLOOKUP($R135,武学奇术!$A:$ZZ,7,FALSE)+SUM(_xlfn.XLOOKUP(S135:AL135,增益!$A:$A,增益!$G:$G,0))</f>
        <v>0.06</v>
      </c>
      <c r="AX135" s="23" cm="1">
        <f t="array" ref="AX135">VLOOKUP($R135,武学奇术!$A:$ZZ,8,FALSE)+SUM(_xlfn.XLOOKUP(S135:AL135,增益!$A:$A,增益!$H:$H,0))</f>
        <v>0</v>
      </c>
      <c r="AY135">
        <f t="shared" si="24"/>
        <v>0</v>
      </c>
      <c r="AZ135">
        <f t="shared" si="25"/>
        <v>0</v>
      </c>
      <c r="BA135" s="29" cm="1">
        <f t="array" ref="BA135">IF($F$11-$I$4+VLOOKUP($R135,武学奇术!$A:$ZZ,9,FALSE)+SUM(_xlfn.XLOOKUP(S135:AL135,增益!$A:$A,增益!$I:$I,0))&gt;0,($F$11-$I$4+VLOOKUP($R135,武学奇术!$A:$ZZ,9,FALSE)+SUM(_xlfn.XLOOKUP(S135:AL135,增益!$A:$A,增益!$I:$I,0)))/200,($F$11-$I$4+VLOOKUP($R135,武学奇术!$A:$ZZ,9,FALSE)+SUM(_xlfn.XLOOKUP(S135:AL135,增益!$A:$A,增益!$I:$I,0)))/100)</f>
        <v>-0.3</v>
      </c>
      <c r="BB135" s="29" cm="1">
        <f t="array" ref="BB135">$G$11+VLOOKUP($R135,武学奇术!$A:$ZZ,10,FALSE)+SUM(_xlfn.XLOOKUP(S135:AL135,增益!$A:$A,增益!$J:$J,0))</f>
        <v>0</v>
      </c>
      <c r="BC135">
        <f t="shared" si="26"/>
        <v>0</v>
      </c>
      <c r="BD135">
        <f t="shared" si="27"/>
        <v>0</v>
      </c>
      <c r="BE135" s="29" cm="1">
        <f t="array" ref="BE135">IF($F$12-$I$4+VLOOKUP($R135,武学奇术!$A:$ZZ,11,FALSE)+SUM(_xlfn.XLOOKUP(S135:AL135,增益!$A:$A,增益!$K:$K,0))&gt;0,($F$12-$I$4+VLOOKUP($R135,武学奇术!$A:$ZZ,11,FALSE)+SUM(_xlfn.XLOOKUP(S135:AL135,增益!$A:$A,增益!$K:$K,0)))/200,($F$12-$I$4+VLOOKUP($R135,武学奇术!$A:$ZZ,11,FALSE)+SUM(_xlfn.XLOOKUP(S135:AL135,增益!$A:$A,增益!$K:$K,0)))/100)</f>
        <v>-0.3</v>
      </c>
      <c r="BF135" s="29" cm="1">
        <f t="array" ref="BF135">$G$12+VLOOKUP($R135,武学奇术!$A:$ZZ,12,FALSE)+SUM(_xlfn.XLOOKUP(S135:AL135,增益!$A:$A,增益!$L:$L,0))</f>
        <v>0</v>
      </c>
      <c r="BG135">
        <f t="shared" si="28"/>
        <v>0</v>
      </c>
      <c r="BH135">
        <f t="shared" si="29"/>
        <v>0</v>
      </c>
      <c r="BI135" s="29" cm="1">
        <f t="array" ref="BI135">IF($F$13-$I$4+VLOOKUP($R135,武学奇术!$A:$ZZ,13,FALSE)+SUM(_xlfn.XLOOKUP(S135:AL135,增益!$A:$A,增益!$M:$M,0))&gt;0,($F$13-$I$4+VLOOKUP($R135,武学奇术!$A:$ZZ,13,FALSE)+SUM(_xlfn.XLOOKUP(S135:AL135,增益!$A:$A,增益!$K:$K,0)))/200,($F$13-$I$4+VLOOKUP($R135,武学奇术!$A:$ZZ,13,FALSE)+SUM(_xlfn.XLOOKUP(S135:AL135,增益!$A:$A,增益!$M:$M,0)))/100)</f>
        <v>-0.3</v>
      </c>
      <c r="BJ135" s="29" cm="1">
        <f t="array" ref="BJ135">$G$13+VLOOKUP($R135,武学奇术!$A:$ZZ,14,FALSE)+SUM(_xlfn.XLOOKUP(S135:AL135,增益!$A:$A,增益!$N:$N,0))</f>
        <v>0</v>
      </c>
      <c r="BK135">
        <f t="shared" si="30"/>
        <v>618.2</v>
      </c>
      <c r="BL135">
        <f t="shared" si="31"/>
        <v>1805</v>
      </c>
      <c r="BM135" s="29" cm="1">
        <f t="array" ref="BM135">IF($F$14-$I$4+VLOOKUP($R135,武学奇术!$A:$ZZ,15,FALSE)+SUM(_xlfn.XLOOKUP(S135:AL135,增益!$A:$A,增益!$O:$O,0))&gt;0,($F$14-$I$4+VLOOKUP($R135,武学奇术!$A:$ZZ,15,FALSE)+SUM(_xlfn.XLOOKUP(S135:AL135,增益!$A:$A,增益!$O:$O,0)))/200,($F$14-$I$4+VLOOKUP($R135,武学奇术!$A:$ZZ,15,FALSE)+SUM(_xlfn.XLOOKUP(S135:AL135,增益!$A:$A,增益!$O:$O,0)))/100)</f>
        <v>0.05</v>
      </c>
      <c r="BN135" s="29" cm="1">
        <f t="array" ref="BN135">$G$14+VLOOKUP($R135,武学奇术!$A:$ZZ,16,FALSE)+SUM(_xlfn.XLOOKUP(S135:AL135,增益!$A:$A,增益!$P:$P,0))</f>
        <v>0.21</v>
      </c>
      <c r="BO135" s="23">
        <f>MIN(IF(VLOOKUP($R135,武学奇术!$A:$ZZ,23,FALSE)=1,100%,$B$8),100%)</f>
        <v>0.9943</v>
      </c>
      <c r="BP135" s="23" cm="1">
        <f t="array" ref="BP135">IF(VLOOKUP($R135,武学奇术!$A:$ZZ,23,FALSE)=1,100%,MIN(80%,$B$9+VLOOKUP($R135,武学奇术!$A:$ZZ,17,FALSE)+SUM(_xlfn.XLOOKUP(S135:AL135,增益!$A:$A,增益!$Q:$Q,0)))+$B$11+SUM(_xlfn.XLOOKUP(S135:AL135,增益!$A:$A,增益!$U:$U,0)))*IF(VLOOKUP($R135,武学奇术!$A:$ZZ,24,FALSE)=1,0,1)</f>
        <v>0.887</v>
      </c>
      <c r="BQ135" s="23" cm="1">
        <f t="array" ref="BQ135">1+$B$13+VLOOKUP($R135,武学奇术!$A:$ZZ,18,FALSE)+SUM(_xlfn.XLOOKUP(S135:AL135,增益!$A:$A,增益!$R:$R,0))</f>
        <v>2.144</v>
      </c>
      <c r="BR135" s="23" cm="1">
        <f t="array" ref="BR135">IF(VLOOKUP($R135,武学奇术!$A:$ZZ,24,FALSE)=1,100%,MIN(40%,$B$10+VLOOKUP($R135,武学奇术!$A:$ZZ,19,FALSE)+SUM(_xlfn.XLOOKUP(S135:AL135,增益!$A:$A,增益!$S:$S,0)))+$B$12+SUM(_xlfn.XLOOKUP(S135:AL135,增益!$A:$A,增益!$V:$V,0)))*IF(VLOOKUP($R135,武学奇术!$A:$ZZ,23,FALSE)=1,0,1)</f>
        <v>0.0913</v>
      </c>
      <c r="BS135" s="23" cm="1">
        <f t="array" ref="BS135">1+$B$14+VLOOKUP($R135,武学奇术!$A:$ZZ,20,FALSE)+SUM(_xlfn.XLOOKUP(S135:AL135,增益!$A:$A,增益!$T:$T,0))</f>
        <v>1.35</v>
      </c>
      <c r="BT135" s="23">
        <f t="shared" si="32"/>
        <v>0.8819441</v>
      </c>
      <c r="BU135" s="23">
        <f t="shared" si="33"/>
        <v>0.0215763099999999</v>
      </c>
      <c r="BV135" s="23">
        <f>IF(VLOOKUP($R135,武学奇术!$A:$ZZ,22,FALSE)=1,0,(1-$BO135))*(1-$BR135)</f>
        <v>0.00517959000000003</v>
      </c>
      <c r="BW135" s="23" cm="1">
        <f t="array" ref="BW135">SUM(_xlfn.XLOOKUP(S135:AL135,增益!$A:$A,增益!$W:$W,0))+$I$5</f>
        <v>0.11</v>
      </c>
      <c r="BX135" s="23">
        <f>VLOOKUP($R135,武学奇术!$A:$ZZ,32,FALSE)</f>
        <v>0.1</v>
      </c>
      <c r="BY135" s="23" cm="1">
        <f t="array" ref="BY135">SUM(_xlfn.XLOOKUP($S135:$AL135,增益!$A:$A,增益!$X:$X,0))</f>
        <v>0</v>
      </c>
    </row>
    <row r="136" spans="11:77">
      <c r="K136" s="35">
        <f>$L136*VLOOKUP($R136,武学奇术!$A:$ZZ,31,FALSE)</f>
        <v>39974.2959536386</v>
      </c>
      <c r="L136" s="35">
        <f t="shared" si="23"/>
        <v>39190.4862290575</v>
      </c>
      <c r="M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轻击",$B$21,0))*(1+IF(VLOOKUP($R136,武学奇术!$A:$ZZ,30,FALSE)="老鼠",$B$22,0))*(1+$BW136)*(1+$BX136)</f>
        <v>40869.6911237338</v>
      </c>
      <c r="N136" s="35">
        <f>(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轻击",$B$21,0))*(1+IF(VLOOKUP($R136,武学奇术!$A:$ZZ,30,FALSE)="老鼠",$B$22,0))*(1+$BW136))*(1+$BX136)</f>
        <v>29005.7494193709</v>
      </c>
      <c r="O136" s="35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轻击",$B$21,0))*(1+IF(VLOOKUP($R136,武学奇术!$A:$ZZ,30,FALSE)="老鼠",$B$22,0))*(1+$BW136)*(1+$BX136)</f>
        <v>19062.3559345773</v>
      </c>
      <c r="P136" s="35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轻击",$B$21,0))*(1+IF(VLOOKUP($R136,武学奇术!$A:$ZZ,30,FALSE)="老鼠",$B$22,0))*(1+$BW136)*(1+$BX136)</f>
        <v>16638.9715585096</v>
      </c>
      <c r="Q136" s="36">
        <v>1</v>
      </c>
      <c r="R136" s="37" t="s">
        <v>160</v>
      </c>
      <c r="S136" s="37" t="s">
        <v>91</v>
      </c>
      <c r="T136" s="37" t="s">
        <v>185</v>
      </c>
      <c r="U136" s="37" t="s">
        <v>81</v>
      </c>
      <c r="V136" s="37" t="s">
        <v>81</v>
      </c>
      <c r="W136" s="37" t="s">
        <v>82</v>
      </c>
      <c r="X136" s="37" t="s">
        <v>81</v>
      </c>
      <c r="Y136" s="37" t="s">
        <v>81</v>
      </c>
      <c r="Z136" s="37" t="s">
        <v>83</v>
      </c>
      <c r="AA136" s="37" t="s">
        <v>81</v>
      </c>
      <c r="AB136" s="37" t="s">
        <v>81</v>
      </c>
      <c r="AC136" s="37" t="s">
        <v>81</v>
      </c>
      <c r="AD136" s="37" t="s">
        <v>85</v>
      </c>
      <c r="AE136" s="37" t="s">
        <v>81</v>
      </c>
      <c r="AF136" s="37" t="s">
        <v>81</v>
      </c>
      <c r="AG136" s="37" t="s">
        <v>87</v>
      </c>
      <c r="AH136" s="37" t="s">
        <v>81</v>
      </c>
      <c r="AI136" s="37" t="s">
        <v>81</v>
      </c>
      <c r="AJ136" s="37" t="s">
        <v>81</v>
      </c>
      <c r="AK136" s="37" t="s">
        <v>81</v>
      </c>
      <c r="AL136" s="37" t="s">
        <v>81</v>
      </c>
      <c r="AM136" t="str">
        <f>VLOOKUP($R136,武学奇术!$A:$ZZ,25,FALSE)</f>
        <v>双刀</v>
      </c>
      <c r="AN136" s="23">
        <f>VLOOKUP($R136,武学奇术!$A:$ZZ,26,FALSE)</f>
        <v>1.3548</v>
      </c>
      <c r="AO136" s="24">
        <f>VLOOKUP($R136,武学奇术!$A:$ZZ,27,FALSE)*(1+IF(OR($AM136=$F$4,$AM136=$F$5),$B$23,0))</f>
        <v>601.6</v>
      </c>
      <c r="AP136" s="23">
        <f>VLOOKUP($R136,武学奇术!$A:$ZZ,28,FALSE)</f>
        <v>2.0322</v>
      </c>
      <c r="AQ136" s="24">
        <f>VLOOKUP($R136,武学奇术!$A:$ZZ,29,FALSE)*(1+IF(OR($AM136=$F$4,$AM136=$F$5),$B$23,0))</f>
        <v>328</v>
      </c>
      <c r="AR136" s="23" cm="1">
        <f t="array" ref="AR136">$G$3+IFERROR(VLOOKUP($AM136,$F$4:$G$7,2,FALSE),0)+VLOOKUP($R136,武学奇术!$A:$ZZ,2,FALSE)+SUM(_xlfn.XLOOKUP($S136:$AL136,增益!$A:$A,增益!$B:$B,0))</f>
        <v>0.5743</v>
      </c>
      <c r="AS136" s="23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4013</v>
      </c>
      <c r="AU136" cm="1">
        <f t="array" ref="AU136">$E$10*(1+$AS136)+VLOOKUP($R136,武学奇术!$A:$ZZ,4,FALSE)+SUM(_xlfn.XLOOKUP($S136:$AL136,增益!$A:$A,增益!$D:$D,0))-$I$2</f>
        <v>4013</v>
      </c>
      <c r="AV136" s="29" cm="1">
        <f t="array" ref="AV136">IF($F$10-$I$3+VLOOKUP($R136,武学奇术!$A:$ZZ,6,FALSE)+SUM(_xlfn.XLOOKUP(S136:AL136,增益!$A:$A,增益!$F:$F,0))&gt;0,($F$10-$I$3+VLOOKUP($R136,武学奇术!$A:$ZZ,6,FALSE)+SUM(_xlfn.XLOOKUP(S136:AL136,增益!$A:$A,增益!$F:$F,0)))/200,($F$10-$I$3+VLOOKUP($R136,武学奇术!$A:$ZZ,6,FALSE)+SUM(_xlfn.XLOOKUP(S136:AL136,增益!$A:$A,增益!$F:$F,0)))/100)</f>
        <v>0.2439</v>
      </c>
      <c r="AW136" s="29" cm="1">
        <f t="array" ref="AW136">$G$10+VLOOKUP($R136,武学奇术!$A:$ZZ,7,FALSE)+SUM(_xlfn.XLOOKUP(S136:AL136,增益!$A:$A,增益!$G:$G,0))</f>
        <v>0</v>
      </c>
      <c r="AX136" s="23" cm="1">
        <f t="array" ref="AX136">VLOOKUP($R136,武学奇术!$A:$ZZ,8,FALSE)+SUM(_xlfn.XLOOKUP(S136:AL136,增益!$A:$A,增益!$H:$H,0))</f>
        <v>0</v>
      </c>
      <c r="AY136">
        <f t="shared" si="24"/>
        <v>0</v>
      </c>
      <c r="AZ136">
        <f t="shared" si="25"/>
        <v>0</v>
      </c>
      <c r="BA136" s="29" cm="1">
        <f t="array" ref="BA136">IF($F$11-$I$4+VLOOKUP($R136,武学奇术!$A:$ZZ,9,FALSE)+SUM(_xlfn.XLOOKUP(S136:AL136,增益!$A:$A,增益!$I:$I,0))&gt;0,($F$11-$I$4+VLOOKUP($R136,武学奇术!$A:$ZZ,9,FALSE)+SUM(_xlfn.XLOOKUP(S136:AL136,增益!$A:$A,增益!$I:$I,0)))/200,($F$11-$I$4+VLOOKUP($R136,武学奇术!$A:$ZZ,9,FALSE)+SUM(_xlfn.XLOOKUP(S136:AL136,增益!$A:$A,增益!$I:$I,0)))/100)</f>
        <v>-0.3</v>
      </c>
      <c r="BB136" s="29" cm="1">
        <f t="array" ref="BB136">$G$11+VLOOKUP($R136,武学奇术!$A:$ZZ,10,FALSE)+SUM(_xlfn.XLOOKUP(S136:AL136,增益!$A:$A,增益!$J:$J,0))</f>
        <v>0</v>
      </c>
      <c r="BC136">
        <f t="shared" si="26"/>
        <v>0</v>
      </c>
      <c r="BD136">
        <f t="shared" si="27"/>
        <v>0</v>
      </c>
      <c r="BE136" s="29" cm="1">
        <f t="array" ref="BE136">IF($F$12-$I$4+VLOOKUP($R136,武学奇术!$A:$ZZ,11,FALSE)+SUM(_xlfn.XLOOKUP(S136:AL136,增益!$A:$A,增益!$K:$K,0))&gt;0,($F$12-$I$4+VLOOKUP($R136,武学奇术!$A:$ZZ,11,FALSE)+SUM(_xlfn.XLOOKUP(S136:AL136,增益!$A:$A,增益!$K:$K,0)))/200,($F$12-$I$4+VLOOKUP($R136,武学奇术!$A:$ZZ,11,FALSE)+SUM(_xlfn.XLOOKUP(S136:AL136,增益!$A:$A,增益!$K:$K,0)))/100)</f>
        <v>-0.3</v>
      </c>
      <c r="BF136" s="29" cm="1">
        <f t="array" ref="BF136">$G$12+VLOOKUP($R136,武学奇术!$A:$ZZ,12,FALSE)+SUM(_xlfn.XLOOKUP(S136:AL136,增益!$A:$A,增益!$L:$L,0))</f>
        <v>0</v>
      </c>
      <c r="BG136">
        <f t="shared" si="28"/>
        <v>0</v>
      </c>
      <c r="BH136">
        <f t="shared" si="29"/>
        <v>0</v>
      </c>
      <c r="BI136" s="29" cm="1">
        <f t="array" ref="BI136">IF($F$13-$I$4+VLOOKUP($R136,武学奇术!$A:$ZZ,13,FALSE)+SUM(_xlfn.XLOOKUP(S136:AL136,增益!$A:$A,增益!$M:$M,0))&gt;0,($F$13-$I$4+VLOOKUP($R136,武学奇术!$A:$ZZ,13,FALSE)+SUM(_xlfn.XLOOKUP(S136:AL136,增益!$A:$A,增益!$K:$K,0)))/200,($F$13-$I$4+VLOOKUP($R136,武学奇术!$A:$ZZ,13,FALSE)+SUM(_xlfn.XLOOKUP(S136:AL136,增益!$A:$A,增益!$M:$M,0)))/100)</f>
        <v>-0.3</v>
      </c>
      <c r="BJ136" s="29" cm="1">
        <f t="array" ref="BJ136">$G$13+VLOOKUP($R136,武学奇术!$A:$ZZ,14,FALSE)+SUM(_xlfn.XLOOKUP(S136:AL136,增益!$A:$A,增益!$N:$N,0))</f>
        <v>0</v>
      </c>
      <c r="BK136">
        <f t="shared" si="30"/>
        <v>618.2</v>
      </c>
      <c r="BL136">
        <f t="shared" si="31"/>
        <v>1805</v>
      </c>
      <c r="BM136" s="29" cm="1">
        <f t="array" ref="BM136">IF($F$14-$I$4+VLOOKUP($R136,武学奇术!$A:$ZZ,15,FALSE)+SUM(_xlfn.XLOOKUP(S136:AL136,增益!$A:$A,增益!$O:$O,0))&gt;0,($F$14-$I$4+VLOOKUP($R136,武学奇术!$A:$ZZ,15,FALSE)+SUM(_xlfn.XLOOKUP(S136:AL136,增益!$A:$A,增益!$O:$O,0)))/200,($F$14-$I$4+VLOOKUP($R136,武学奇术!$A:$ZZ,15,FALSE)+SUM(_xlfn.XLOOKUP(S136:AL136,增益!$A:$A,增益!$O:$O,0)))/100)</f>
        <v>0</v>
      </c>
      <c r="BN136" s="29" cm="1">
        <f t="array" ref="BN136">$G$14+VLOOKUP($R136,武学奇术!$A:$ZZ,16,FALSE)+SUM(_xlfn.XLOOKUP(S136:AL136,增益!$A:$A,增益!$P:$P,0))</f>
        <v>0.15</v>
      </c>
      <c r="BO136" s="23">
        <f>MIN(IF(VLOOKUP($R136,武学奇术!$A:$ZZ,23,FALSE)=1,100%,$B$8),100%)</f>
        <v>0.9943</v>
      </c>
      <c r="BP136" s="23" cm="1">
        <f t="array" ref="BP136">IF(VLOOKUP($R136,武学奇术!$A:$ZZ,23,FALSE)=1,100%,MIN(80%,$B$9+VLOOKUP($R136,武学奇术!$A:$ZZ,17,FALSE)+SUM(_xlfn.XLOOKUP(S136:AL136,增益!$A:$A,增益!$Q:$Q,0)))+$B$11+SUM(_xlfn.XLOOKUP(S136:AL136,增益!$A:$A,增益!$U:$U,0)))*IF(VLOOKUP($R136,武学奇术!$A:$ZZ,24,FALSE)=1,0,1)</f>
        <v>0.887</v>
      </c>
      <c r="BQ136" s="23" cm="1">
        <f t="array" ref="BQ136">1+$B$13+VLOOKUP($R136,武学奇术!$A:$ZZ,18,FALSE)+SUM(_xlfn.XLOOKUP(S136:AL136,增益!$A:$A,增益!$R:$R,0))</f>
        <v>2.144</v>
      </c>
      <c r="BR136" s="23" cm="1">
        <f t="array" ref="BR136">IF(VLOOKUP($R136,武学奇术!$A:$ZZ,24,FALSE)=1,100%,MIN(40%,$B$10+VLOOKUP($R136,武学奇术!$A:$ZZ,19,FALSE)+SUM(_xlfn.XLOOKUP(S136:AL136,增益!$A:$A,增益!$S:$S,0)))+$B$12+SUM(_xlfn.XLOOKUP(S136:AL136,增益!$A:$A,增益!$V:$V,0)))*IF(VLOOKUP($R136,武学奇术!$A:$ZZ,23,FALSE)=1,0,1)</f>
        <v>0.0913</v>
      </c>
      <c r="BS136" s="23" cm="1">
        <f t="array" ref="BS136">1+$B$14+VLOOKUP($R136,武学奇术!$A:$ZZ,20,FALSE)+SUM(_xlfn.XLOOKUP(S136:AL136,增益!$A:$A,增益!$T:$T,0))</f>
        <v>1.35</v>
      </c>
      <c r="BT136" s="23">
        <f t="shared" si="32"/>
        <v>0.8819441</v>
      </c>
      <c r="BU136" s="23">
        <f t="shared" si="33"/>
        <v>0.0215763099999999</v>
      </c>
      <c r="BV136" s="23">
        <f>IF(VLOOKUP($R136,武学奇术!$A:$ZZ,22,FALSE)=1,0,(1-$BO136))*(1-$BR136)</f>
        <v>0.00517959000000003</v>
      </c>
      <c r="BW136" s="23" cm="1">
        <f t="array" ref="BW136">SUM(_xlfn.XLOOKUP(S136:AL136,增益!$A:$A,增益!$W:$W,0))+$I$5</f>
        <v>0.11</v>
      </c>
      <c r="BX136" s="23">
        <f>VLOOKUP($R136,武学奇术!$A:$ZZ,32,FALSE)</f>
        <v>0</v>
      </c>
      <c r="BY136" s="23" cm="1">
        <f t="array" ref="BY136">SUM(_xlfn.XLOOKUP($S136:$AL136,增益!$A:$A,增益!$X:$X,0))</f>
        <v>0</v>
      </c>
    </row>
    <row r="137" spans="11:77">
      <c r="K137" s="35">
        <f>$L137*VLOOKUP($R137,武学奇术!$A:$ZZ,31,FALSE)</f>
        <v>27741.6176802668</v>
      </c>
      <c r="L137" s="35">
        <f t="shared" si="23"/>
        <v>24769.3015002383</v>
      </c>
      <c r="M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轻击",$B$21,0))*(1+IF(VLOOKUP($R137,武学奇术!$A:$ZZ,30,FALSE)="老鼠",$B$22,0))*(1+$BW137)*(1+$BX137)</f>
        <v>25827.2293678122</v>
      </c>
      <c r="N137" s="35">
        <f>(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轻击",$B$21,0))*(1+IF(VLOOKUP($R137,武学奇术!$A:$ZZ,30,FALSE)="老鼠",$B$22,0))*(1+$BW137))*(1+$BX137)</f>
        <v>18366.8535547158</v>
      </c>
      <c r="O137" s="35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轻击",$B$21,0))*(1+IF(VLOOKUP($R137,武学奇术!$A:$ZZ,30,FALSE)="老鼠",$B$22,0))*(1+$BW137)*(1+$BX137)</f>
        <v>12046.28235439</v>
      </c>
      <c r="P137" s="35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轻击",$B$21,0))*(1+IF(VLOOKUP($R137,武学奇术!$A:$ZZ,30,FALSE)="老鼠",$B$22,0))*(1+$BW137)*(1+$BX137)</f>
        <v>10487.4880015832</v>
      </c>
      <c r="Q137" s="36">
        <v>1</v>
      </c>
      <c r="R137" s="37" t="s">
        <v>139</v>
      </c>
      <c r="S137" s="37" t="s">
        <v>91</v>
      </c>
      <c r="T137" s="37" t="s">
        <v>185</v>
      </c>
      <c r="U137" s="37" t="s">
        <v>112</v>
      </c>
      <c r="V137" s="37" t="s">
        <v>113</v>
      </c>
      <c r="W137" s="37" t="s">
        <v>82</v>
      </c>
      <c r="X137" s="37" t="s">
        <v>81</v>
      </c>
      <c r="Y137" s="37" t="s">
        <v>109</v>
      </c>
      <c r="Z137" s="37" t="s">
        <v>83</v>
      </c>
      <c r="AA137" s="37" t="s">
        <v>81</v>
      </c>
      <c r="AB137" s="37" t="s">
        <v>81</v>
      </c>
      <c r="AC137" s="37" t="s">
        <v>81</v>
      </c>
      <c r="AD137" s="37" t="s">
        <v>85</v>
      </c>
      <c r="AE137" s="37" t="s">
        <v>81</v>
      </c>
      <c r="AF137" s="37" t="s">
        <v>181</v>
      </c>
      <c r="AG137" s="37" t="s">
        <v>87</v>
      </c>
      <c r="AH137" s="37" t="s">
        <v>81</v>
      </c>
      <c r="AI137" s="37" t="s">
        <v>81</v>
      </c>
      <c r="AJ137" s="37" t="s">
        <v>81</v>
      </c>
      <c r="AK137" s="37" t="s">
        <v>81</v>
      </c>
      <c r="AL137" s="37" t="s">
        <v>81</v>
      </c>
      <c r="AM137" t="str">
        <f>VLOOKUP($R137,武学奇术!$A:$ZZ,25,FALSE)</f>
        <v>双刀</v>
      </c>
      <c r="AN137" s="23">
        <f>VLOOKUP($R137,武学奇术!$A:$ZZ,26,FALSE)</f>
        <v>0.6472</v>
      </c>
      <c r="AO137" s="24">
        <f>VLOOKUP($R137,武学奇术!$A:$ZZ,27,FALSE)*(1+IF(OR($AM137=$F$4,$AM137=$F$5),$B$23,0))</f>
        <v>288</v>
      </c>
      <c r="AP137" s="23">
        <f>VLOOKUP($R137,武学奇术!$A:$ZZ,28,FALSE)</f>
        <v>0.9708</v>
      </c>
      <c r="AQ137" s="24">
        <f>VLOOKUP($R137,武学奇术!$A:$ZZ,29,FALSE)*(1+IF(OR($AM137=$F$4,$AM137=$F$5),$B$23,0))</f>
        <v>156.8</v>
      </c>
      <c r="AR137" s="23" cm="1">
        <f t="array" ref="AR137">$G$3+IFERROR(VLOOKUP($AM137,$F$4:$G$7,2,FALSE),0)+VLOOKUP($R137,武学奇术!$A:$ZZ,2,FALSE)+SUM(_xlfn.XLOOKUP($S137:$AL137,增益!$A:$A,增益!$B:$B,0))</f>
        <v>0.7443</v>
      </c>
      <c r="AS137" s="23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4081.7</v>
      </c>
      <c r="AU137" cm="1">
        <f t="array" ref="AU137">$E$10*(1+$AS137)+VLOOKUP($R137,武学奇术!$A:$ZZ,4,FALSE)+SUM(_xlfn.XLOOKUP($S137:$AL137,增益!$A:$A,增益!$D:$D,0))-$I$2</f>
        <v>4081.7</v>
      </c>
      <c r="AV137" s="29" cm="1">
        <f t="array" ref="AV137">IF($F$10-$I$3+VLOOKUP($R137,武学奇术!$A:$ZZ,6,FALSE)+SUM(_xlfn.XLOOKUP(S137:AL137,增益!$A:$A,增益!$F:$F,0))&gt;0,($F$10-$I$3+VLOOKUP($R137,武学奇术!$A:$ZZ,6,FALSE)+SUM(_xlfn.XLOOKUP(S137:AL137,增益!$A:$A,增益!$F:$F,0)))/200,($F$10-$I$3+VLOOKUP($R137,武学奇术!$A:$ZZ,6,FALSE)+SUM(_xlfn.XLOOKUP(S137:AL137,增益!$A:$A,增益!$F:$F,0)))/100)</f>
        <v>0.2439</v>
      </c>
      <c r="AW137" s="29" cm="1">
        <f t="array" ref="AW137">$G$10+VLOOKUP($R137,武学奇术!$A:$ZZ,7,FALSE)+SUM(_xlfn.XLOOKUP(S137:AL137,增益!$A:$A,增益!$G:$G,0))</f>
        <v>0.06</v>
      </c>
      <c r="AX137" s="23" cm="1">
        <f t="array" ref="AX137">VLOOKUP($R137,武学奇术!$A:$ZZ,8,FALSE)+SUM(_xlfn.XLOOKUP(S137:AL137,增益!$A:$A,增益!$H:$H,0))</f>
        <v>0</v>
      </c>
      <c r="AY137">
        <f t="shared" si="24"/>
        <v>0</v>
      </c>
      <c r="AZ137">
        <f t="shared" si="25"/>
        <v>0</v>
      </c>
      <c r="BA137" s="29" cm="1">
        <f t="array" ref="BA137">IF($F$11-$I$4+VLOOKUP($R137,武学奇术!$A:$ZZ,9,FALSE)+SUM(_xlfn.XLOOKUP(S137:AL137,增益!$A:$A,增益!$I:$I,0))&gt;0,($F$11-$I$4+VLOOKUP($R137,武学奇术!$A:$ZZ,9,FALSE)+SUM(_xlfn.XLOOKUP(S137:AL137,增益!$A:$A,增益!$I:$I,0)))/200,($F$11-$I$4+VLOOKUP($R137,武学奇术!$A:$ZZ,9,FALSE)+SUM(_xlfn.XLOOKUP(S137:AL137,增益!$A:$A,增益!$I:$I,0)))/100)</f>
        <v>-0.3</v>
      </c>
      <c r="BB137" s="29" cm="1">
        <f t="array" ref="BB137">$G$11+VLOOKUP($R137,武学奇术!$A:$ZZ,10,FALSE)+SUM(_xlfn.XLOOKUP(S137:AL137,增益!$A:$A,增益!$J:$J,0))</f>
        <v>0</v>
      </c>
      <c r="BC137">
        <f t="shared" si="26"/>
        <v>0</v>
      </c>
      <c r="BD137">
        <f t="shared" si="27"/>
        <v>0</v>
      </c>
      <c r="BE137" s="29" cm="1">
        <f t="array" ref="BE137">IF($F$12-$I$4+VLOOKUP($R137,武学奇术!$A:$ZZ,11,FALSE)+SUM(_xlfn.XLOOKUP(S137:AL137,增益!$A:$A,增益!$K:$K,0))&gt;0,($F$12-$I$4+VLOOKUP($R137,武学奇术!$A:$ZZ,11,FALSE)+SUM(_xlfn.XLOOKUP(S137:AL137,增益!$A:$A,增益!$K:$K,0)))/200,($F$12-$I$4+VLOOKUP($R137,武学奇术!$A:$ZZ,11,FALSE)+SUM(_xlfn.XLOOKUP(S137:AL137,增益!$A:$A,增益!$K:$K,0)))/100)</f>
        <v>-0.3</v>
      </c>
      <c r="BF137" s="29" cm="1">
        <f t="array" ref="BF137">$G$12+VLOOKUP($R137,武学奇术!$A:$ZZ,12,FALSE)+SUM(_xlfn.XLOOKUP(S137:AL137,增益!$A:$A,增益!$L:$L,0))</f>
        <v>0</v>
      </c>
      <c r="BG137">
        <f t="shared" si="28"/>
        <v>0</v>
      </c>
      <c r="BH137">
        <f t="shared" si="29"/>
        <v>0</v>
      </c>
      <c r="BI137" s="29" cm="1">
        <f t="array" ref="BI137">IF($F$13-$I$4+VLOOKUP($R137,武学奇术!$A:$ZZ,13,FALSE)+SUM(_xlfn.XLOOKUP(S137:AL137,增益!$A:$A,增益!$M:$M,0))&gt;0,($F$13-$I$4+VLOOKUP($R137,武学奇术!$A:$ZZ,13,FALSE)+SUM(_xlfn.XLOOKUP(S137:AL137,增益!$A:$A,增益!$K:$K,0)))/200,($F$13-$I$4+VLOOKUP($R137,武学奇术!$A:$ZZ,13,FALSE)+SUM(_xlfn.XLOOKUP(S137:AL137,增益!$A:$A,增益!$M:$M,0)))/100)</f>
        <v>-0.3</v>
      </c>
      <c r="BJ137" s="29" cm="1">
        <f t="array" ref="BJ137">$G$13+VLOOKUP($R137,武学奇术!$A:$ZZ,14,FALSE)+SUM(_xlfn.XLOOKUP(S137:AL137,增益!$A:$A,增益!$N:$N,0))</f>
        <v>0</v>
      </c>
      <c r="BK137">
        <f t="shared" si="30"/>
        <v>618.2</v>
      </c>
      <c r="BL137">
        <f t="shared" si="31"/>
        <v>1805</v>
      </c>
      <c r="BM137" s="29" cm="1">
        <f t="array" ref="BM137">IF($F$14-$I$4+VLOOKUP($R137,武学奇术!$A:$ZZ,15,FALSE)+SUM(_xlfn.XLOOKUP(S137:AL137,增益!$A:$A,增益!$O:$O,0))&gt;0,($F$14-$I$4+VLOOKUP($R137,武学奇术!$A:$ZZ,15,FALSE)+SUM(_xlfn.XLOOKUP(S137:AL137,增益!$A:$A,增益!$O:$O,0)))/200,($F$14-$I$4+VLOOKUP($R137,武学奇术!$A:$ZZ,15,FALSE)+SUM(_xlfn.XLOOKUP(S137:AL137,增益!$A:$A,增益!$O:$O,0)))/100)</f>
        <v>0.05</v>
      </c>
      <c r="BN137" s="29" cm="1">
        <f t="array" ref="BN137">$G$14+VLOOKUP($R137,武学奇术!$A:$ZZ,16,FALSE)+SUM(_xlfn.XLOOKUP(S137:AL137,增益!$A:$A,增益!$P:$P,0))</f>
        <v>0.21</v>
      </c>
      <c r="BO137" s="23">
        <f>MIN(IF(VLOOKUP($R137,武学奇术!$A:$ZZ,23,FALSE)=1,100%,$B$8),100%)</f>
        <v>0.9943</v>
      </c>
      <c r="BP137" s="23" cm="1">
        <f t="array" ref="BP137">IF(VLOOKUP($R137,武学奇术!$A:$ZZ,23,FALSE)=1,100%,MIN(80%,$B$9+VLOOKUP($R137,武学奇术!$A:$ZZ,17,FALSE)+SUM(_xlfn.XLOOKUP(S137:AL137,增益!$A:$A,增益!$Q:$Q,0)))+$B$11+SUM(_xlfn.XLOOKUP(S137:AL137,增益!$A:$A,增益!$U:$U,0)))*IF(VLOOKUP($R137,武学奇术!$A:$ZZ,24,FALSE)=1,0,1)</f>
        <v>0.887</v>
      </c>
      <c r="BQ137" s="23" cm="1">
        <f t="array" ref="BQ137">1+$B$13+VLOOKUP($R137,武学奇术!$A:$ZZ,18,FALSE)+SUM(_xlfn.XLOOKUP(S137:AL137,增益!$A:$A,增益!$R:$R,0))</f>
        <v>2.144</v>
      </c>
      <c r="BR137" s="23" cm="1">
        <f t="array" ref="BR137">IF(VLOOKUP($R137,武学奇术!$A:$ZZ,24,FALSE)=1,100%,MIN(40%,$B$10+VLOOKUP($R137,武学奇术!$A:$ZZ,19,FALSE)+SUM(_xlfn.XLOOKUP(S137:AL137,增益!$A:$A,增益!$S:$S,0)))+$B$12+SUM(_xlfn.XLOOKUP(S137:AL137,增益!$A:$A,增益!$V:$V,0)))*IF(VLOOKUP($R137,武学奇术!$A:$ZZ,23,FALSE)=1,0,1)</f>
        <v>0.0913</v>
      </c>
      <c r="BS137" s="23" cm="1">
        <f t="array" ref="BS137">1+$B$14+VLOOKUP($R137,武学奇术!$A:$ZZ,20,FALSE)+SUM(_xlfn.XLOOKUP(S137:AL137,增益!$A:$A,增益!$T:$T,0))</f>
        <v>1.35</v>
      </c>
      <c r="BT137" s="23">
        <f t="shared" si="32"/>
        <v>0.8819441</v>
      </c>
      <c r="BU137" s="23">
        <f t="shared" si="33"/>
        <v>0.0215763099999999</v>
      </c>
      <c r="BV137" s="23">
        <f>IF(VLOOKUP($R137,武学奇术!$A:$ZZ,22,FALSE)=1,0,(1-$BO137))*(1-$BR137)</f>
        <v>0.00517959000000003</v>
      </c>
      <c r="BW137" s="23" cm="1">
        <f t="array" ref="BW137">SUM(_xlfn.XLOOKUP(S137:AL137,增益!$A:$A,增益!$W:$W,0))+$I$5</f>
        <v>0.11</v>
      </c>
      <c r="BX137" s="23">
        <f>VLOOKUP($R137,武学奇术!$A:$ZZ,32,FALSE)</f>
        <v>0.1</v>
      </c>
      <c r="BY137" s="23" cm="1">
        <f t="array" ref="BY137">SUM(_xlfn.XLOOKUP($S137:$AL137,增益!$A:$A,增益!$X:$X,0))</f>
        <v>0</v>
      </c>
    </row>
    <row r="138" spans="11:77">
      <c r="K138" s="35">
        <f>$L138*VLOOKUP($R138,武学奇术!$A:$ZZ,31,FALSE)</f>
        <v>38615.6424570471</v>
      </c>
      <c r="L138" s="35">
        <f t="shared" si="23"/>
        <v>34478.2521937921</v>
      </c>
      <c r="M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轻击",$B$21,0))*(1+IF(VLOOKUP($R138,武学奇术!$A:$ZZ,30,FALSE)="老鼠",$B$22,0))*(1+$BW138)*(1+$BX138)</f>
        <v>35950.7677832121</v>
      </c>
      <c r="N138" s="35">
        <f>(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轻击",$B$21,0))*(1+IF(VLOOKUP($R138,武学奇术!$A:$ZZ,30,FALSE)="老鼠",$B$22,0))*(1+$BW138))*(1+$BX138)</f>
        <v>25567.1646793114</v>
      </c>
      <c r="O138" s="35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轻击",$B$21,0))*(1+IF(VLOOKUP($R138,武学奇术!$A:$ZZ,30,FALSE)="老鼠",$B$22,0))*(1+$BW138)*(1+$BX138)</f>
        <v>16768.0819884385</v>
      </c>
      <c r="P138" s="35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轻击",$B$21,0))*(1+IF(VLOOKUP($R138,武学奇术!$A:$ZZ,30,FALSE)="老鼠",$B$22,0))*(1+$BW138)*(1+$BX138)</f>
        <v>14597.5234736833</v>
      </c>
      <c r="Q138" s="36">
        <v>1</v>
      </c>
      <c r="R138" s="37" t="s">
        <v>143</v>
      </c>
      <c r="S138" s="37" t="s">
        <v>91</v>
      </c>
      <c r="T138" s="37" t="s">
        <v>185</v>
      </c>
      <c r="U138" s="37" t="s">
        <v>112</v>
      </c>
      <c r="V138" s="37" t="s">
        <v>113</v>
      </c>
      <c r="W138" s="37" t="s">
        <v>82</v>
      </c>
      <c r="X138" s="37" t="s">
        <v>81</v>
      </c>
      <c r="Y138" s="37" t="s">
        <v>109</v>
      </c>
      <c r="Z138" s="37" t="s">
        <v>83</v>
      </c>
      <c r="AA138" s="37" t="s">
        <v>81</v>
      </c>
      <c r="AB138" s="37" t="s">
        <v>81</v>
      </c>
      <c r="AC138" s="37" t="s">
        <v>81</v>
      </c>
      <c r="AD138" s="37" t="s">
        <v>85</v>
      </c>
      <c r="AE138" s="37" t="s">
        <v>81</v>
      </c>
      <c r="AF138" s="37" t="s">
        <v>181</v>
      </c>
      <c r="AG138" s="37" t="s">
        <v>87</v>
      </c>
      <c r="AH138" s="37" t="s">
        <v>81</v>
      </c>
      <c r="AI138" s="37" t="s">
        <v>81</v>
      </c>
      <c r="AJ138" s="37" t="s">
        <v>81</v>
      </c>
      <c r="AK138" s="37" t="s">
        <v>81</v>
      </c>
      <c r="AL138" s="37" t="s">
        <v>81</v>
      </c>
      <c r="AM138" t="str">
        <f>VLOOKUP($R138,武学奇术!$A:$ZZ,25,FALSE)</f>
        <v>双刀</v>
      </c>
      <c r="AN138" s="23">
        <f>VLOOKUP($R138,武学奇术!$A:$ZZ,26,FALSE)</f>
        <v>0.9012</v>
      </c>
      <c r="AO138" s="24">
        <f>VLOOKUP($R138,武学奇术!$A:$ZZ,27,FALSE)*(1+IF(OR($AM138=$F$4,$AM138=$F$5),$B$23,0))</f>
        <v>400</v>
      </c>
      <c r="AP138" s="23">
        <f>VLOOKUP($R138,武学奇术!$A:$ZZ,28,FALSE)</f>
        <v>1.3518</v>
      </c>
      <c r="AQ138" s="24">
        <f>VLOOKUP($R138,武学奇术!$A:$ZZ,29,FALSE)*(1+IF(OR($AM138=$F$4,$AM138=$F$5),$B$23,0))</f>
        <v>217.6</v>
      </c>
      <c r="AR138" s="23" cm="1">
        <f t="array" ref="AR138">$G$3+IFERROR(VLOOKUP($AM138,$F$4:$G$7,2,FALSE),0)+VLOOKUP($R138,武学奇术!$A:$ZZ,2,FALSE)+SUM(_xlfn.XLOOKUP($S138:$AL138,增益!$A:$A,增益!$B:$B,0))</f>
        <v>0.7443</v>
      </c>
      <c r="AS138" s="23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4081.7</v>
      </c>
      <c r="AU138" cm="1">
        <f t="array" ref="AU138">$E$10*(1+$AS138)+VLOOKUP($R138,武学奇术!$A:$ZZ,4,FALSE)+SUM(_xlfn.XLOOKUP($S138:$AL138,增益!$A:$A,增益!$D:$D,0))-$I$2</f>
        <v>4081.7</v>
      </c>
      <c r="AV138" s="29" cm="1">
        <f t="array" ref="AV138">IF($F$10-$I$3+VLOOKUP($R138,武学奇术!$A:$ZZ,6,FALSE)+SUM(_xlfn.XLOOKUP(S138:AL138,增益!$A:$A,增益!$F:$F,0))&gt;0,($F$10-$I$3+VLOOKUP($R138,武学奇术!$A:$ZZ,6,FALSE)+SUM(_xlfn.XLOOKUP(S138:AL138,增益!$A:$A,增益!$F:$F,0)))/200,($F$10-$I$3+VLOOKUP($R138,武学奇术!$A:$ZZ,6,FALSE)+SUM(_xlfn.XLOOKUP(S138:AL138,增益!$A:$A,增益!$F:$F,0)))/100)</f>
        <v>0.2439</v>
      </c>
      <c r="AW138" s="29" cm="1">
        <f t="array" ref="AW138">$G$10+VLOOKUP($R138,武学奇术!$A:$ZZ,7,FALSE)+SUM(_xlfn.XLOOKUP(S138:AL138,增益!$A:$A,增益!$G:$G,0))</f>
        <v>0.06</v>
      </c>
      <c r="AX138" s="23" cm="1">
        <f t="array" ref="AX138">VLOOKUP($R138,武学奇术!$A:$ZZ,8,FALSE)+SUM(_xlfn.XLOOKUP(S138:AL138,增益!$A:$A,增益!$H:$H,0))</f>
        <v>0</v>
      </c>
      <c r="AY138">
        <f t="shared" si="24"/>
        <v>0</v>
      </c>
      <c r="AZ138">
        <f t="shared" si="25"/>
        <v>0</v>
      </c>
      <c r="BA138" s="29" cm="1">
        <f t="array" ref="BA138">IF($F$11-$I$4+VLOOKUP($R138,武学奇术!$A:$ZZ,9,FALSE)+SUM(_xlfn.XLOOKUP(S138:AL138,增益!$A:$A,增益!$I:$I,0))&gt;0,($F$11-$I$4+VLOOKUP($R138,武学奇术!$A:$ZZ,9,FALSE)+SUM(_xlfn.XLOOKUP(S138:AL138,增益!$A:$A,增益!$I:$I,0)))/200,($F$11-$I$4+VLOOKUP($R138,武学奇术!$A:$ZZ,9,FALSE)+SUM(_xlfn.XLOOKUP(S138:AL138,增益!$A:$A,增益!$I:$I,0)))/100)</f>
        <v>-0.3</v>
      </c>
      <c r="BB138" s="29" cm="1">
        <f t="array" ref="BB138">$G$11+VLOOKUP($R138,武学奇术!$A:$ZZ,10,FALSE)+SUM(_xlfn.XLOOKUP(S138:AL138,增益!$A:$A,增益!$J:$J,0))</f>
        <v>0</v>
      </c>
      <c r="BC138">
        <f t="shared" si="26"/>
        <v>0</v>
      </c>
      <c r="BD138">
        <f t="shared" si="27"/>
        <v>0</v>
      </c>
      <c r="BE138" s="29" cm="1">
        <f t="array" ref="BE138">IF($F$12-$I$4+VLOOKUP($R138,武学奇术!$A:$ZZ,11,FALSE)+SUM(_xlfn.XLOOKUP(S138:AL138,增益!$A:$A,增益!$K:$K,0))&gt;0,($F$12-$I$4+VLOOKUP($R138,武学奇术!$A:$ZZ,11,FALSE)+SUM(_xlfn.XLOOKUP(S138:AL138,增益!$A:$A,增益!$K:$K,0)))/200,($F$12-$I$4+VLOOKUP($R138,武学奇术!$A:$ZZ,11,FALSE)+SUM(_xlfn.XLOOKUP(S138:AL138,增益!$A:$A,增益!$K:$K,0)))/100)</f>
        <v>-0.3</v>
      </c>
      <c r="BF138" s="29" cm="1">
        <f t="array" ref="BF138">$G$12+VLOOKUP($R138,武学奇术!$A:$ZZ,12,FALSE)+SUM(_xlfn.XLOOKUP(S138:AL138,增益!$A:$A,增益!$L:$L,0))</f>
        <v>0</v>
      </c>
      <c r="BG138">
        <f t="shared" si="28"/>
        <v>0</v>
      </c>
      <c r="BH138">
        <f t="shared" si="29"/>
        <v>0</v>
      </c>
      <c r="BI138" s="29" cm="1">
        <f t="array" ref="BI138">IF($F$13-$I$4+VLOOKUP($R138,武学奇术!$A:$ZZ,13,FALSE)+SUM(_xlfn.XLOOKUP(S138:AL138,增益!$A:$A,增益!$M:$M,0))&gt;0,($F$13-$I$4+VLOOKUP($R138,武学奇术!$A:$ZZ,13,FALSE)+SUM(_xlfn.XLOOKUP(S138:AL138,增益!$A:$A,增益!$K:$K,0)))/200,($F$13-$I$4+VLOOKUP($R138,武学奇术!$A:$ZZ,13,FALSE)+SUM(_xlfn.XLOOKUP(S138:AL138,增益!$A:$A,增益!$M:$M,0)))/100)</f>
        <v>-0.3</v>
      </c>
      <c r="BJ138" s="29" cm="1">
        <f t="array" ref="BJ138">$G$13+VLOOKUP($R138,武学奇术!$A:$ZZ,14,FALSE)+SUM(_xlfn.XLOOKUP(S138:AL138,增益!$A:$A,增益!$N:$N,0))</f>
        <v>0</v>
      </c>
      <c r="BK138">
        <f t="shared" si="30"/>
        <v>618.2</v>
      </c>
      <c r="BL138">
        <f t="shared" si="31"/>
        <v>1805</v>
      </c>
      <c r="BM138" s="29" cm="1">
        <f t="array" ref="BM138">IF($F$14-$I$4+VLOOKUP($R138,武学奇术!$A:$ZZ,15,FALSE)+SUM(_xlfn.XLOOKUP(S138:AL138,增益!$A:$A,增益!$O:$O,0))&gt;0,($F$14-$I$4+VLOOKUP($R138,武学奇术!$A:$ZZ,15,FALSE)+SUM(_xlfn.XLOOKUP(S138:AL138,增益!$A:$A,增益!$O:$O,0)))/200,($F$14-$I$4+VLOOKUP($R138,武学奇术!$A:$ZZ,15,FALSE)+SUM(_xlfn.XLOOKUP(S138:AL138,增益!$A:$A,增益!$O:$O,0)))/100)</f>
        <v>0.05</v>
      </c>
      <c r="BN138" s="29" cm="1">
        <f t="array" ref="BN138">$G$14+VLOOKUP($R138,武学奇术!$A:$ZZ,16,FALSE)+SUM(_xlfn.XLOOKUP(S138:AL138,增益!$A:$A,增益!$P:$P,0))</f>
        <v>0.21</v>
      </c>
      <c r="BO138" s="23">
        <f>MIN(IF(VLOOKUP($R138,武学奇术!$A:$ZZ,23,FALSE)=1,100%,$B$8),100%)</f>
        <v>0.9943</v>
      </c>
      <c r="BP138" s="23" cm="1">
        <f t="array" ref="BP138">IF(VLOOKUP($R138,武学奇术!$A:$ZZ,23,FALSE)=1,100%,MIN(80%,$B$9+VLOOKUP($R138,武学奇术!$A:$ZZ,17,FALSE)+SUM(_xlfn.XLOOKUP(S138:AL138,增益!$A:$A,增益!$Q:$Q,0)))+$B$11+SUM(_xlfn.XLOOKUP(S138:AL138,增益!$A:$A,增益!$U:$U,0)))*IF(VLOOKUP($R138,武学奇术!$A:$ZZ,24,FALSE)=1,0,1)</f>
        <v>0.887</v>
      </c>
      <c r="BQ138" s="23" cm="1">
        <f t="array" ref="BQ138">1+$B$13+VLOOKUP($R138,武学奇术!$A:$ZZ,18,FALSE)+SUM(_xlfn.XLOOKUP(S138:AL138,增益!$A:$A,增益!$R:$R,0))</f>
        <v>2.144</v>
      </c>
      <c r="BR138" s="23" cm="1">
        <f t="array" ref="BR138">IF(VLOOKUP($R138,武学奇术!$A:$ZZ,24,FALSE)=1,100%,MIN(40%,$B$10+VLOOKUP($R138,武学奇术!$A:$ZZ,19,FALSE)+SUM(_xlfn.XLOOKUP(S138:AL138,增益!$A:$A,增益!$S:$S,0)))+$B$12+SUM(_xlfn.XLOOKUP(S138:AL138,增益!$A:$A,增益!$V:$V,0)))*IF(VLOOKUP($R138,武学奇术!$A:$ZZ,23,FALSE)=1,0,1)</f>
        <v>0.0913</v>
      </c>
      <c r="BS138" s="23" cm="1">
        <f t="array" ref="BS138">1+$B$14+VLOOKUP($R138,武学奇术!$A:$ZZ,20,FALSE)+SUM(_xlfn.XLOOKUP(S138:AL138,增益!$A:$A,增益!$T:$T,0))</f>
        <v>1.35</v>
      </c>
      <c r="BT138" s="23">
        <f t="shared" si="32"/>
        <v>0.8819441</v>
      </c>
      <c r="BU138" s="23">
        <f t="shared" si="33"/>
        <v>0.0215763099999999</v>
      </c>
      <c r="BV138" s="23">
        <f>IF(VLOOKUP($R138,武学奇术!$A:$ZZ,22,FALSE)=1,0,(1-$BO138))*(1-$BR138)</f>
        <v>0.00517959000000003</v>
      </c>
      <c r="BW138" s="23" cm="1">
        <f t="array" ref="BW138">SUM(_xlfn.XLOOKUP(S138:AL138,增益!$A:$A,增益!$W:$W,0))+$I$5</f>
        <v>0.11</v>
      </c>
      <c r="BX138" s="23">
        <f>VLOOKUP($R138,武学奇术!$A:$ZZ,32,FALSE)</f>
        <v>0.1</v>
      </c>
      <c r="BY138" s="23" cm="1">
        <f t="array" ref="BY138">SUM(_xlfn.XLOOKUP($S138:$AL138,增益!$A:$A,增益!$X:$X,0))</f>
        <v>0</v>
      </c>
    </row>
    <row r="139" spans="11:77">
      <c r="K139" s="35">
        <f>$L139*VLOOKUP($R139,武学奇术!$A:$ZZ,31,FALSE)</f>
        <v>61936.8017784045</v>
      </c>
      <c r="L139" s="35">
        <f t="shared" si="23"/>
        <v>55300.7158735754</v>
      </c>
      <c r="M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轻击",$B$21,0))*(1+IF(VLOOKUP($R139,武学奇术!$A:$ZZ,30,FALSE)="老鼠",$B$22,0))*(1+$BW139)*(1+$BX139)</f>
        <v>57662.5070552422</v>
      </c>
      <c r="N139" s="35">
        <f>(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轻击",$B$21,0))*(1+IF(VLOOKUP($R139,武学奇术!$A:$ZZ,30,FALSE)="老鼠",$B$22,0))*(1+$BW139))*(1+$BX139)</f>
        <v>41008.1703240502</v>
      </c>
      <c r="O139" s="35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轻击",$B$21,0))*(1+IF(VLOOKUP($R139,武学奇术!$A:$ZZ,30,FALSE)="老鼠",$B$22,0))*(1+$BW139)*(1+$BX139)</f>
        <v>26894.8260518853</v>
      </c>
      <c r="P139" s="35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轻击",$B$21,0))*(1+IF(VLOOKUP($R139,武学奇术!$A:$ZZ,30,FALSE)="老鼠",$B$22,0))*(1+$BW139)*(1+$BX139)</f>
        <v>23413.2296415113</v>
      </c>
      <c r="Q139" s="36">
        <v>1</v>
      </c>
      <c r="R139" s="37" t="s">
        <v>148</v>
      </c>
      <c r="S139" s="37" t="s">
        <v>91</v>
      </c>
      <c r="T139" s="37" t="s">
        <v>185</v>
      </c>
      <c r="U139" s="37" t="s">
        <v>112</v>
      </c>
      <c r="V139" s="37" t="s">
        <v>113</v>
      </c>
      <c r="W139" s="37" t="s">
        <v>82</v>
      </c>
      <c r="X139" s="37" t="s">
        <v>81</v>
      </c>
      <c r="Y139" s="37" t="s">
        <v>109</v>
      </c>
      <c r="Z139" s="37" t="s">
        <v>83</v>
      </c>
      <c r="AA139" s="37" t="s">
        <v>81</v>
      </c>
      <c r="AB139" s="37" t="s">
        <v>81</v>
      </c>
      <c r="AC139" s="37" t="s">
        <v>81</v>
      </c>
      <c r="AD139" s="37" t="s">
        <v>85</v>
      </c>
      <c r="AE139" s="37" t="s">
        <v>81</v>
      </c>
      <c r="AF139" s="37" t="s">
        <v>181</v>
      </c>
      <c r="AG139" s="37" t="s">
        <v>87</v>
      </c>
      <c r="AH139" s="37" t="s">
        <v>81</v>
      </c>
      <c r="AI139" s="37" t="s">
        <v>81</v>
      </c>
      <c r="AJ139" s="37" t="s">
        <v>81</v>
      </c>
      <c r="AK139" s="37" t="s">
        <v>81</v>
      </c>
      <c r="AL139" s="37" t="s">
        <v>81</v>
      </c>
      <c r="AM139" t="str">
        <f>VLOOKUP($R139,武学奇术!$A:$ZZ,25,FALSE)</f>
        <v>双刀</v>
      </c>
      <c r="AN139" s="23">
        <f>VLOOKUP($R139,武学奇术!$A:$ZZ,26,FALSE)</f>
        <v>1.4455</v>
      </c>
      <c r="AO139" s="24">
        <f>VLOOKUP($R139,武学奇术!$A:$ZZ,27,FALSE)*(1+IF(OR($AM139=$F$4,$AM139=$F$5),$B$23,0))</f>
        <v>641.6</v>
      </c>
      <c r="AP139" s="23">
        <f>VLOOKUP($R139,武学奇术!$A:$ZZ,28,FALSE)</f>
        <v>2.1683</v>
      </c>
      <c r="AQ139" s="24">
        <f>VLOOKUP($R139,武学奇术!$A:$ZZ,29,FALSE)*(1+IF(OR($AM139=$F$4,$AM139=$F$5),$B$23,0))</f>
        <v>348.8</v>
      </c>
      <c r="AR139" s="23" cm="1">
        <f t="array" ref="AR139">$G$3+IFERROR(VLOOKUP($AM139,$F$4:$G$7,2,FALSE),0)+VLOOKUP($R139,武学奇术!$A:$ZZ,2,FALSE)+SUM(_xlfn.XLOOKUP($S139:$AL139,增益!$A:$A,增益!$B:$B,0))</f>
        <v>0.7443</v>
      </c>
      <c r="AS139" s="23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4081.7</v>
      </c>
      <c r="AU139" cm="1">
        <f t="array" ref="AU139">$E$10*(1+$AS139)+VLOOKUP($R139,武学奇术!$A:$ZZ,4,FALSE)+SUM(_xlfn.XLOOKUP($S139:$AL139,增益!$A:$A,增益!$D:$D,0))-$I$2</f>
        <v>4081.7</v>
      </c>
      <c r="AV139" s="29" cm="1">
        <f t="array" ref="AV139">IF($F$10-$I$3+VLOOKUP($R139,武学奇术!$A:$ZZ,6,FALSE)+SUM(_xlfn.XLOOKUP(S139:AL139,增益!$A:$A,增益!$F:$F,0))&gt;0,($F$10-$I$3+VLOOKUP($R139,武学奇术!$A:$ZZ,6,FALSE)+SUM(_xlfn.XLOOKUP(S139:AL139,增益!$A:$A,增益!$F:$F,0)))/200,($F$10-$I$3+VLOOKUP($R139,武学奇术!$A:$ZZ,6,FALSE)+SUM(_xlfn.XLOOKUP(S139:AL139,增益!$A:$A,增益!$F:$F,0)))/100)</f>
        <v>0.2439</v>
      </c>
      <c r="AW139" s="29" cm="1">
        <f t="array" ref="AW139">$G$10+VLOOKUP($R139,武学奇术!$A:$ZZ,7,FALSE)+SUM(_xlfn.XLOOKUP(S139:AL139,增益!$A:$A,增益!$G:$G,0))</f>
        <v>0.06</v>
      </c>
      <c r="AX139" s="23" cm="1">
        <f t="array" ref="AX139">VLOOKUP($R139,武学奇术!$A:$ZZ,8,FALSE)+SUM(_xlfn.XLOOKUP(S139:AL139,增益!$A:$A,增益!$H:$H,0))</f>
        <v>0</v>
      </c>
      <c r="AY139">
        <f t="shared" si="24"/>
        <v>0</v>
      </c>
      <c r="AZ139">
        <f t="shared" si="25"/>
        <v>0</v>
      </c>
      <c r="BA139" s="29" cm="1">
        <f t="array" ref="BA139">IF($F$11-$I$4+VLOOKUP($R139,武学奇术!$A:$ZZ,9,FALSE)+SUM(_xlfn.XLOOKUP(S139:AL139,增益!$A:$A,增益!$I:$I,0))&gt;0,($F$11-$I$4+VLOOKUP($R139,武学奇术!$A:$ZZ,9,FALSE)+SUM(_xlfn.XLOOKUP(S139:AL139,增益!$A:$A,增益!$I:$I,0)))/200,($F$11-$I$4+VLOOKUP($R139,武学奇术!$A:$ZZ,9,FALSE)+SUM(_xlfn.XLOOKUP(S139:AL139,增益!$A:$A,增益!$I:$I,0)))/100)</f>
        <v>-0.3</v>
      </c>
      <c r="BB139" s="29" cm="1">
        <f t="array" ref="BB139">$G$11+VLOOKUP($R139,武学奇术!$A:$ZZ,10,FALSE)+SUM(_xlfn.XLOOKUP(S139:AL139,增益!$A:$A,增益!$J:$J,0))</f>
        <v>0</v>
      </c>
      <c r="BC139">
        <f t="shared" si="26"/>
        <v>0</v>
      </c>
      <c r="BD139">
        <f t="shared" si="27"/>
        <v>0</v>
      </c>
      <c r="BE139" s="29" cm="1">
        <f t="array" ref="BE139">IF($F$12-$I$4+VLOOKUP($R139,武学奇术!$A:$ZZ,11,FALSE)+SUM(_xlfn.XLOOKUP(S139:AL139,增益!$A:$A,增益!$K:$K,0))&gt;0,($F$12-$I$4+VLOOKUP($R139,武学奇术!$A:$ZZ,11,FALSE)+SUM(_xlfn.XLOOKUP(S139:AL139,增益!$A:$A,增益!$K:$K,0)))/200,($F$12-$I$4+VLOOKUP($R139,武学奇术!$A:$ZZ,11,FALSE)+SUM(_xlfn.XLOOKUP(S139:AL139,增益!$A:$A,增益!$K:$K,0)))/100)</f>
        <v>-0.3</v>
      </c>
      <c r="BF139" s="29" cm="1">
        <f t="array" ref="BF139">$G$12+VLOOKUP($R139,武学奇术!$A:$ZZ,12,FALSE)+SUM(_xlfn.XLOOKUP(S139:AL139,增益!$A:$A,增益!$L:$L,0))</f>
        <v>0</v>
      </c>
      <c r="BG139">
        <f t="shared" si="28"/>
        <v>0</v>
      </c>
      <c r="BH139">
        <f t="shared" si="29"/>
        <v>0</v>
      </c>
      <c r="BI139" s="29" cm="1">
        <f t="array" ref="BI139">IF($F$13-$I$4+VLOOKUP($R139,武学奇术!$A:$ZZ,13,FALSE)+SUM(_xlfn.XLOOKUP(S139:AL139,增益!$A:$A,增益!$M:$M,0))&gt;0,($F$13-$I$4+VLOOKUP($R139,武学奇术!$A:$ZZ,13,FALSE)+SUM(_xlfn.XLOOKUP(S139:AL139,增益!$A:$A,增益!$K:$K,0)))/200,($F$13-$I$4+VLOOKUP($R139,武学奇术!$A:$ZZ,13,FALSE)+SUM(_xlfn.XLOOKUP(S139:AL139,增益!$A:$A,增益!$M:$M,0)))/100)</f>
        <v>-0.3</v>
      </c>
      <c r="BJ139" s="29" cm="1">
        <f t="array" ref="BJ139">$G$13+VLOOKUP($R139,武学奇术!$A:$ZZ,14,FALSE)+SUM(_xlfn.XLOOKUP(S139:AL139,增益!$A:$A,增益!$N:$N,0))</f>
        <v>0</v>
      </c>
      <c r="BK139">
        <f t="shared" si="30"/>
        <v>618.2</v>
      </c>
      <c r="BL139">
        <f t="shared" si="31"/>
        <v>1805</v>
      </c>
      <c r="BM139" s="29" cm="1">
        <f t="array" ref="BM139">IF($F$14-$I$4+VLOOKUP($R139,武学奇术!$A:$ZZ,15,FALSE)+SUM(_xlfn.XLOOKUP(S139:AL139,增益!$A:$A,增益!$O:$O,0))&gt;0,($F$14-$I$4+VLOOKUP($R139,武学奇术!$A:$ZZ,15,FALSE)+SUM(_xlfn.XLOOKUP(S139:AL139,增益!$A:$A,增益!$O:$O,0)))/200,($F$14-$I$4+VLOOKUP($R139,武学奇术!$A:$ZZ,15,FALSE)+SUM(_xlfn.XLOOKUP(S139:AL139,增益!$A:$A,增益!$O:$O,0)))/100)</f>
        <v>0.05</v>
      </c>
      <c r="BN139" s="29" cm="1">
        <f t="array" ref="BN139">$G$14+VLOOKUP($R139,武学奇术!$A:$ZZ,16,FALSE)+SUM(_xlfn.XLOOKUP(S139:AL139,增益!$A:$A,增益!$P:$P,0))</f>
        <v>0.21</v>
      </c>
      <c r="BO139" s="23">
        <f>MIN(IF(VLOOKUP($R139,武学奇术!$A:$ZZ,23,FALSE)=1,100%,$B$8),100%)</f>
        <v>0.9943</v>
      </c>
      <c r="BP139" s="23" cm="1">
        <f t="array" ref="BP139">IF(VLOOKUP($R139,武学奇术!$A:$ZZ,23,FALSE)=1,100%,MIN(80%,$B$9+VLOOKUP($R139,武学奇术!$A:$ZZ,17,FALSE)+SUM(_xlfn.XLOOKUP(S139:AL139,增益!$A:$A,增益!$Q:$Q,0)))+$B$11+SUM(_xlfn.XLOOKUP(S139:AL139,增益!$A:$A,增益!$U:$U,0)))*IF(VLOOKUP($R139,武学奇术!$A:$ZZ,24,FALSE)=1,0,1)</f>
        <v>0.887</v>
      </c>
      <c r="BQ139" s="23" cm="1">
        <f t="array" ref="BQ139">1+$B$13+VLOOKUP($R139,武学奇术!$A:$ZZ,18,FALSE)+SUM(_xlfn.XLOOKUP(S139:AL139,增益!$A:$A,增益!$R:$R,0))</f>
        <v>2.144</v>
      </c>
      <c r="BR139" s="23" cm="1">
        <f t="array" ref="BR139">IF(VLOOKUP($R139,武学奇术!$A:$ZZ,24,FALSE)=1,100%,MIN(40%,$B$10+VLOOKUP($R139,武学奇术!$A:$ZZ,19,FALSE)+SUM(_xlfn.XLOOKUP(S139:AL139,增益!$A:$A,增益!$S:$S,0)))+$B$12+SUM(_xlfn.XLOOKUP(S139:AL139,增益!$A:$A,增益!$V:$V,0)))*IF(VLOOKUP($R139,武学奇术!$A:$ZZ,23,FALSE)=1,0,1)</f>
        <v>0.0913</v>
      </c>
      <c r="BS139" s="23" cm="1">
        <f t="array" ref="BS139">1+$B$14+VLOOKUP($R139,武学奇术!$A:$ZZ,20,FALSE)+SUM(_xlfn.XLOOKUP(S139:AL139,增益!$A:$A,增益!$T:$T,0))</f>
        <v>1.35</v>
      </c>
      <c r="BT139" s="23">
        <f t="shared" si="32"/>
        <v>0.8819441</v>
      </c>
      <c r="BU139" s="23">
        <f t="shared" si="33"/>
        <v>0.0215763099999999</v>
      </c>
      <c r="BV139" s="23">
        <f>IF(VLOOKUP($R139,武学奇术!$A:$ZZ,22,FALSE)=1,0,(1-$BO139))*(1-$BR139)</f>
        <v>0.00517959000000003</v>
      </c>
      <c r="BW139" s="23" cm="1">
        <f t="array" ref="BW139">SUM(_xlfn.XLOOKUP(S139:AL139,增益!$A:$A,增益!$W:$W,0))+$I$5</f>
        <v>0.11</v>
      </c>
      <c r="BX139" s="23">
        <f>VLOOKUP($R139,武学奇术!$A:$ZZ,32,FALSE)</f>
        <v>0.1</v>
      </c>
      <c r="BY139" s="23" cm="1">
        <f t="array" ref="BY139">SUM(_xlfn.XLOOKUP($S139:$AL139,增益!$A:$A,增益!$X:$X,0))</f>
        <v>0</v>
      </c>
    </row>
    <row r="140" spans="11:77">
      <c r="K140" s="35">
        <f>$L140*VLOOKUP($R140,武学奇术!$A:$ZZ,31,FALSE)</f>
        <v>74372.895286315</v>
      </c>
      <c r="L140" s="35">
        <f t="shared" si="23"/>
        <v>66404.3707913527</v>
      </c>
      <c r="M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轻击",$B$21,0))*(1+IF(VLOOKUP($R140,武学奇术!$A:$ZZ,30,FALSE)="老鼠",$B$22,0))*(1+$BW140)*(1+$BX140)</f>
        <v>69240.3717561611</v>
      </c>
      <c r="N140" s="35">
        <f>(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轻击",$B$21,0))*(1+IF(VLOOKUP($R140,武学奇术!$A:$ZZ,30,FALSE)="老鼠",$B$22,0))*(1+$BW140))*(1+$BX140)</f>
        <v>49242.1397703632</v>
      </c>
      <c r="O140" s="35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轻击",$B$21,0))*(1+IF(VLOOKUP($R140,武学奇术!$A:$ZZ,30,FALSE)="老鼠",$B$22,0))*(1+$BW140)*(1+$BX140)</f>
        <v>32294.9495131348</v>
      </c>
      <c r="P140" s="35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轻击",$B$21,0))*(1+IF(VLOOKUP($R140,武学奇术!$A:$ZZ,30,FALSE)="老鼠",$B$22,0))*(1+$BW140)*(1+$BX140)</f>
        <v>28114.2399371117</v>
      </c>
      <c r="Q140" s="36">
        <v>1</v>
      </c>
      <c r="R140" s="37" t="s">
        <v>153</v>
      </c>
      <c r="S140" s="37" t="s">
        <v>91</v>
      </c>
      <c r="T140" s="37" t="s">
        <v>185</v>
      </c>
      <c r="U140" s="37" t="s">
        <v>112</v>
      </c>
      <c r="V140" s="37" t="s">
        <v>113</v>
      </c>
      <c r="W140" s="37" t="s">
        <v>82</v>
      </c>
      <c r="X140" s="37" t="s">
        <v>81</v>
      </c>
      <c r="Y140" s="37" t="s">
        <v>109</v>
      </c>
      <c r="Z140" s="37" t="s">
        <v>83</v>
      </c>
      <c r="AA140" s="37" t="s">
        <v>81</v>
      </c>
      <c r="AB140" s="37" t="s">
        <v>81</v>
      </c>
      <c r="AC140" s="37" t="s">
        <v>81</v>
      </c>
      <c r="AD140" s="37" t="s">
        <v>85</v>
      </c>
      <c r="AE140" s="37" t="s">
        <v>81</v>
      </c>
      <c r="AF140" s="37" t="s">
        <v>181</v>
      </c>
      <c r="AG140" s="37" t="s">
        <v>87</v>
      </c>
      <c r="AH140" s="37" t="s">
        <v>81</v>
      </c>
      <c r="AI140" s="37" t="s">
        <v>81</v>
      </c>
      <c r="AJ140" s="37" t="s">
        <v>81</v>
      </c>
      <c r="AK140" s="37" t="s">
        <v>81</v>
      </c>
      <c r="AL140" s="37" t="s">
        <v>81</v>
      </c>
      <c r="AM140" t="str">
        <f>VLOOKUP($R140,武学奇术!$A:$ZZ,25,FALSE)</f>
        <v>双刀</v>
      </c>
      <c r="AN140" s="23">
        <f>VLOOKUP($R140,武学奇术!$A:$ZZ,26,FALSE)</f>
        <v>1.7358</v>
      </c>
      <c r="AO140" s="24">
        <f>VLOOKUP($R140,武学奇术!$A:$ZZ,27,FALSE)*(1+IF(OR($AM140=$F$4,$AM140=$F$5),$B$23,0))</f>
        <v>769.6</v>
      </c>
      <c r="AP140" s="23">
        <f>VLOOKUP($R140,武学奇术!$A:$ZZ,28,FALSE)</f>
        <v>2.6037</v>
      </c>
      <c r="AQ140" s="24">
        <f>VLOOKUP($R140,武学奇术!$A:$ZZ,29,FALSE)*(1+IF(OR($AM140=$F$4,$AM140=$F$5),$B$23,0))</f>
        <v>419.2</v>
      </c>
      <c r="AR140" s="23" cm="1">
        <f t="array" ref="AR140">$G$3+IFERROR(VLOOKUP($AM140,$F$4:$G$7,2,FALSE),0)+VLOOKUP($R140,武学奇术!$A:$ZZ,2,FALSE)+SUM(_xlfn.XLOOKUP($S140:$AL140,增益!$A:$A,增益!$B:$B,0))</f>
        <v>0.7443</v>
      </c>
      <c r="AS140" s="23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4081.7</v>
      </c>
      <c r="AU140" cm="1">
        <f t="array" ref="AU140">$E$10*(1+$AS140)+VLOOKUP($R140,武学奇术!$A:$ZZ,4,FALSE)+SUM(_xlfn.XLOOKUP($S140:$AL140,增益!$A:$A,增益!$D:$D,0))-$I$2</f>
        <v>4081.7</v>
      </c>
      <c r="AV140" s="29" cm="1">
        <f t="array" ref="AV140">IF($F$10-$I$3+VLOOKUP($R140,武学奇术!$A:$ZZ,6,FALSE)+SUM(_xlfn.XLOOKUP(S140:AL140,增益!$A:$A,增益!$F:$F,0))&gt;0,($F$10-$I$3+VLOOKUP($R140,武学奇术!$A:$ZZ,6,FALSE)+SUM(_xlfn.XLOOKUP(S140:AL140,增益!$A:$A,增益!$F:$F,0)))/200,($F$10-$I$3+VLOOKUP($R140,武学奇术!$A:$ZZ,6,FALSE)+SUM(_xlfn.XLOOKUP(S140:AL140,增益!$A:$A,增益!$F:$F,0)))/100)</f>
        <v>0.2439</v>
      </c>
      <c r="AW140" s="29" cm="1">
        <f t="array" ref="AW140">$G$10+VLOOKUP($R140,武学奇术!$A:$ZZ,7,FALSE)+SUM(_xlfn.XLOOKUP(S140:AL140,增益!$A:$A,增益!$G:$G,0))</f>
        <v>0.06</v>
      </c>
      <c r="AX140" s="23" cm="1">
        <f t="array" ref="AX140">VLOOKUP($R140,武学奇术!$A:$ZZ,8,FALSE)+SUM(_xlfn.XLOOKUP(S140:AL140,增益!$A:$A,增益!$H:$H,0))</f>
        <v>0</v>
      </c>
      <c r="AY140">
        <f t="shared" si="24"/>
        <v>0</v>
      </c>
      <c r="AZ140">
        <f t="shared" si="25"/>
        <v>0</v>
      </c>
      <c r="BA140" s="29" cm="1">
        <f t="array" ref="BA140">IF($F$11-$I$4+VLOOKUP($R140,武学奇术!$A:$ZZ,9,FALSE)+SUM(_xlfn.XLOOKUP(S140:AL140,增益!$A:$A,增益!$I:$I,0))&gt;0,($F$11-$I$4+VLOOKUP($R140,武学奇术!$A:$ZZ,9,FALSE)+SUM(_xlfn.XLOOKUP(S140:AL140,增益!$A:$A,增益!$I:$I,0)))/200,($F$11-$I$4+VLOOKUP($R140,武学奇术!$A:$ZZ,9,FALSE)+SUM(_xlfn.XLOOKUP(S140:AL140,增益!$A:$A,增益!$I:$I,0)))/100)</f>
        <v>-0.3</v>
      </c>
      <c r="BB140" s="29" cm="1">
        <f t="array" ref="BB140">$G$11+VLOOKUP($R140,武学奇术!$A:$ZZ,10,FALSE)+SUM(_xlfn.XLOOKUP(S140:AL140,增益!$A:$A,增益!$J:$J,0))</f>
        <v>0</v>
      </c>
      <c r="BC140">
        <f t="shared" si="26"/>
        <v>0</v>
      </c>
      <c r="BD140">
        <f t="shared" si="27"/>
        <v>0</v>
      </c>
      <c r="BE140" s="29" cm="1">
        <f t="array" ref="BE140">IF($F$12-$I$4+VLOOKUP($R140,武学奇术!$A:$ZZ,11,FALSE)+SUM(_xlfn.XLOOKUP(S140:AL140,增益!$A:$A,增益!$K:$K,0))&gt;0,($F$12-$I$4+VLOOKUP($R140,武学奇术!$A:$ZZ,11,FALSE)+SUM(_xlfn.XLOOKUP(S140:AL140,增益!$A:$A,增益!$K:$K,0)))/200,($F$12-$I$4+VLOOKUP($R140,武学奇术!$A:$ZZ,11,FALSE)+SUM(_xlfn.XLOOKUP(S140:AL140,增益!$A:$A,增益!$K:$K,0)))/100)</f>
        <v>-0.3</v>
      </c>
      <c r="BF140" s="29" cm="1">
        <f t="array" ref="BF140">$G$12+VLOOKUP($R140,武学奇术!$A:$ZZ,12,FALSE)+SUM(_xlfn.XLOOKUP(S140:AL140,增益!$A:$A,增益!$L:$L,0))</f>
        <v>0</v>
      </c>
      <c r="BG140">
        <f t="shared" si="28"/>
        <v>0</v>
      </c>
      <c r="BH140">
        <f t="shared" si="29"/>
        <v>0</v>
      </c>
      <c r="BI140" s="29" cm="1">
        <f t="array" ref="BI140">IF($F$13-$I$4+VLOOKUP($R140,武学奇术!$A:$ZZ,13,FALSE)+SUM(_xlfn.XLOOKUP(S140:AL140,增益!$A:$A,增益!$M:$M,0))&gt;0,($F$13-$I$4+VLOOKUP($R140,武学奇术!$A:$ZZ,13,FALSE)+SUM(_xlfn.XLOOKUP(S140:AL140,增益!$A:$A,增益!$K:$K,0)))/200,($F$13-$I$4+VLOOKUP($R140,武学奇术!$A:$ZZ,13,FALSE)+SUM(_xlfn.XLOOKUP(S140:AL140,增益!$A:$A,增益!$M:$M,0)))/100)</f>
        <v>-0.3</v>
      </c>
      <c r="BJ140" s="29" cm="1">
        <f t="array" ref="BJ140">$G$13+VLOOKUP($R140,武学奇术!$A:$ZZ,14,FALSE)+SUM(_xlfn.XLOOKUP(S140:AL140,增益!$A:$A,增益!$N:$N,0))</f>
        <v>0</v>
      </c>
      <c r="BK140">
        <f t="shared" si="30"/>
        <v>618.2</v>
      </c>
      <c r="BL140">
        <f t="shared" si="31"/>
        <v>1805</v>
      </c>
      <c r="BM140" s="29" cm="1">
        <f t="array" ref="BM140">IF($F$14-$I$4+VLOOKUP($R140,武学奇术!$A:$ZZ,15,FALSE)+SUM(_xlfn.XLOOKUP(S140:AL140,增益!$A:$A,增益!$O:$O,0))&gt;0,($F$14-$I$4+VLOOKUP($R140,武学奇术!$A:$ZZ,15,FALSE)+SUM(_xlfn.XLOOKUP(S140:AL140,增益!$A:$A,增益!$O:$O,0)))/200,($F$14-$I$4+VLOOKUP($R140,武学奇术!$A:$ZZ,15,FALSE)+SUM(_xlfn.XLOOKUP(S140:AL140,增益!$A:$A,增益!$O:$O,0)))/100)</f>
        <v>0.05</v>
      </c>
      <c r="BN140" s="29" cm="1">
        <f t="array" ref="BN140">$G$14+VLOOKUP($R140,武学奇术!$A:$ZZ,16,FALSE)+SUM(_xlfn.XLOOKUP(S140:AL140,增益!$A:$A,增益!$P:$P,0))</f>
        <v>0.21</v>
      </c>
      <c r="BO140" s="23">
        <f>MIN(IF(VLOOKUP($R140,武学奇术!$A:$ZZ,23,FALSE)=1,100%,$B$8),100%)</f>
        <v>0.9943</v>
      </c>
      <c r="BP140" s="23" cm="1">
        <f t="array" ref="BP140">IF(VLOOKUP($R140,武学奇术!$A:$ZZ,23,FALSE)=1,100%,MIN(80%,$B$9+VLOOKUP($R140,武学奇术!$A:$ZZ,17,FALSE)+SUM(_xlfn.XLOOKUP(S140:AL140,增益!$A:$A,增益!$Q:$Q,0)))+$B$11+SUM(_xlfn.XLOOKUP(S140:AL140,增益!$A:$A,增益!$U:$U,0)))*IF(VLOOKUP($R140,武学奇术!$A:$ZZ,24,FALSE)=1,0,1)</f>
        <v>0.887</v>
      </c>
      <c r="BQ140" s="23" cm="1">
        <f t="array" ref="BQ140">1+$B$13+VLOOKUP($R140,武学奇术!$A:$ZZ,18,FALSE)+SUM(_xlfn.XLOOKUP(S140:AL140,增益!$A:$A,增益!$R:$R,0))</f>
        <v>2.144</v>
      </c>
      <c r="BR140" s="23" cm="1">
        <f t="array" ref="BR140">IF(VLOOKUP($R140,武学奇术!$A:$ZZ,24,FALSE)=1,100%,MIN(40%,$B$10+VLOOKUP($R140,武学奇术!$A:$ZZ,19,FALSE)+SUM(_xlfn.XLOOKUP(S140:AL140,增益!$A:$A,增益!$S:$S,0)))+$B$12+SUM(_xlfn.XLOOKUP(S140:AL140,增益!$A:$A,增益!$V:$V,0)))*IF(VLOOKUP($R140,武学奇术!$A:$ZZ,23,FALSE)=1,0,1)</f>
        <v>0.0913</v>
      </c>
      <c r="BS140" s="23" cm="1">
        <f t="array" ref="BS140">1+$B$14+VLOOKUP($R140,武学奇术!$A:$ZZ,20,FALSE)+SUM(_xlfn.XLOOKUP(S140:AL140,增益!$A:$A,增益!$T:$T,0))</f>
        <v>1.35</v>
      </c>
      <c r="BT140" s="23">
        <f t="shared" si="32"/>
        <v>0.8819441</v>
      </c>
      <c r="BU140" s="23">
        <f t="shared" si="33"/>
        <v>0.0215763099999999</v>
      </c>
      <c r="BV140" s="23">
        <f>IF(VLOOKUP($R140,武学奇术!$A:$ZZ,22,FALSE)=1,0,(1-$BO140))*(1-$BR140)</f>
        <v>0.00517959000000003</v>
      </c>
      <c r="BW140" s="23" cm="1">
        <f t="array" ref="BW140">SUM(_xlfn.XLOOKUP(S140:AL140,增益!$A:$A,增益!$W:$W,0))+$I$5</f>
        <v>0.11</v>
      </c>
      <c r="BX140" s="23">
        <f>VLOOKUP($R140,武学奇术!$A:$ZZ,32,FALSE)</f>
        <v>0.1</v>
      </c>
      <c r="BY140" s="23" cm="1">
        <f t="array" ref="BY140">SUM(_xlfn.XLOOKUP($S140:$AL140,增益!$A:$A,增益!$X:$X,0))</f>
        <v>0</v>
      </c>
    </row>
    <row r="141" spans="11:77">
      <c r="K141" s="35">
        <f>$L141*VLOOKUP($R141,武学奇术!$A:$ZZ,31,FALSE)</f>
        <v>309971.269087374</v>
      </c>
      <c r="L141" s="69">
        <f t="shared" si="23"/>
        <v>303893.401066053</v>
      </c>
      <c r="M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轻击",$B$21,0))*(1+IF(VLOOKUP($R141,武学奇术!$A:$ZZ,30,FALSE)="老鼠",$B$22,0))*(1+$BW141)*(1+$BX141)</f>
        <v>316590.945485105</v>
      </c>
      <c r="N141" s="35">
        <f>(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轻击",$B$21,0))*(1+IF(VLOOKUP($R141,武学奇术!$A:$ZZ,30,FALSE)="老鼠",$B$22,0))*(1+$BW141))*(1+$BX141)</f>
        <v>228234.928044379</v>
      </c>
      <c r="O141" s="35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轻击",$B$21,0))*(1+IF(VLOOKUP($R141,武学奇术!$A:$ZZ,30,FALSE)="老鼠",$B$22,0))*(1+$BW141)*(1+$BX141)</f>
        <v>147663.687259844</v>
      </c>
      <c r="P141" s="35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轻击",$B$21,0))*(1+IF(VLOOKUP($R141,武学奇术!$A:$ZZ,30,FALSE)="老鼠",$B$22,0))*(1+$BW141)*(1+$BX141)</f>
        <v>126264.464857185</v>
      </c>
      <c r="Q141" s="70">
        <v>12</v>
      </c>
      <c r="R141" s="37" t="s">
        <v>106</v>
      </c>
      <c r="S141" s="37" t="s">
        <v>91</v>
      </c>
      <c r="T141" s="37" t="s">
        <v>185</v>
      </c>
      <c r="U141" s="37" t="s">
        <v>112</v>
      </c>
      <c r="V141" s="37" t="s">
        <v>113</v>
      </c>
      <c r="W141" s="37" t="s">
        <v>82</v>
      </c>
      <c r="X141" s="37" t="s">
        <v>81</v>
      </c>
      <c r="Y141" s="37" t="s">
        <v>109</v>
      </c>
      <c r="Z141" s="37" t="s">
        <v>83</v>
      </c>
      <c r="AA141" s="37" t="s">
        <v>81</v>
      </c>
      <c r="AB141" s="37" t="s">
        <v>81</v>
      </c>
      <c r="AC141" s="37" t="s">
        <v>81</v>
      </c>
      <c r="AD141" s="37" t="s">
        <v>85</v>
      </c>
      <c r="AE141" s="37" t="s">
        <v>81</v>
      </c>
      <c r="AF141" s="37" t="s">
        <v>81</v>
      </c>
      <c r="AG141" s="37" t="s">
        <v>87</v>
      </c>
      <c r="AH141" s="37" t="s">
        <v>81</v>
      </c>
      <c r="AI141" s="37" t="s">
        <v>81</v>
      </c>
      <c r="AJ141" s="37" t="s">
        <v>81</v>
      </c>
      <c r="AK141" s="37" t="s">
        <v>81</v>
      </c>
      <c r="AL141" s="37" t="s">
        <v>81</v>
      </c>
      <c r="AM141" t="str">
        <f>VLOOKUP($R141,武学奇术!$A:$ZZ,25,FALSE)</f>
        <v>绳镖</v>
      </c>
      <c r="AN141" s="23">
        <f>VLOOKUP($R141,武学奇术!$A:$ZZ,26,FALSE)</f>
        <v>0.3675</v>
      </c>
      <c r="AO141" s="24">
        <f>VLOOKUP($R141,武学奇术!$A:$ZZ,27,FALSE)*(1+IF(OR($AM141=$F$4,$AM141=$F$5),$B$23,0))</f>
        <v>0</v>
      </c>
      <c r="AP141" s="23">
        <f>VLOOKUP($R141,武学奇术!$A:$ZZ,28,FALSE)</f>
        <v>0.55125</v>
      </c>
      <c r="AQ141" s="24">
        <f>VLOOKUP($R141,武学奇术!$A:$ZZ,29,FALSE)*(1+IF(OR($AM141=$F$4,$AM141=$F$5),$B$23,0))</f>
        <v>0</v>
      </c>
      <c r="AR141" s="23" cm="1">
        <f t="array" ref="AR141">$G$3+IFERROR(VLOOKUP($AM141,$F$4:$G$7,2,FALSE),0)+VLOOKUP($R141,武学奇术!$A:$ZZ,2,FALSE)+SUM(_xlfn.XLOOKUP($S141:$AL141,增益!$A:$A,增益!$B:$B,0))</f>
        <v>1.4943</v>
      </c>
      <c r="AS141" s="23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4081.7</v>
      </c>
      <c r="AU141" cm="1">
        <f t="array" ref="AU141">$E$10*(1+$AS141)+VLOOKUP($R141,武学奇术!$A:$ZZ,4,FALSE)+SUM(_xlfn.XLOOKUP($S141:$AL141,增益!$A:$A,增益!$D:$D,0))-$I$2</f>
        <v>4081.7</v>
      </c>
      <c r="AV141" s="29" cm="1">
        <f t="array" ref="AV141">IF($F$10-$I$3+VLOOKUP($R141,武学奇术!$A:$ZZ,6,FALSE)+SUM(_xlfn.XLOOKUP(S141:AL141,增益!$A:$A,增益!$F:$F,0))&gt;0,($F$10-$I$3+VLOOKUP($R141,武学奇术!$A:$ZZ,6,FALSE)+SUM(_xlfn.XLOOKUP(S141:AL141,增益!$A:$A,增益!$F:$F,0)))/200,($F$10-$I$3+VLOOKUP($R141,武学奇术!$A:$ZZ,6,FALSE)+SUM(_xlfn.XLOOKUP(S141:AL141,增益!$A:$A,增益!$F:$F,0)))/100)</f>
        <v>0.2439</v>
      </c>
      <c r="AW141" s="29" cm="1">
        <f t="array" ref="AW141">$G$10+VLOOKUP($R141,武学奇术!$A:$ZZ,7,FALSE)+SUM(_xlfn.XLOOKUP(S141:AL141,增益!$A:$A,增益!$G:$G,0))</f>
        <v>0.27</v>
      </c>
      <c r="AX141" s="23" cm="1">
        <f t="array" ref="AX141">VLOOKUP($R141,武学奇术!$A:$ZZ,8,FALSE)+SUM(_xlfn.XLOOKUP(S141:AL141,增益!$A:$A,增益!$H:$H,0))</f>
        <v>0</v>
      </c>
      <c r="AY141">
        <f t="shared" si="24"/>
        <v>0</v>
      </c>
      <c r="AZ141">
        <f t="shared" si="25"/>
        <v>0</v>
      </c>
      <c r="BA141" s="29" cm="1">
        <f t="array" ref="BA141">IF($F$11-$I$4+VLOOKUP($R141,武学奇术!$A:$ZZ,9,FALSE)+SUM(_xlfn.XLOOKUP(S141:AL141,增益!$A:$A,增益!$I:$I,0))&gt;0,($F$11-$I$4+VLOOKUP($R141,武学奇术!$A:$ZZ,9,FALSE)+SUM(_xlfn.XLOOKUP(S141:AL141,增益!$A:$A,增益!$I:$I,0)))/200,($F$11-$I$4+VLOOKUP($R141,武学奇术!$A:$ZZ,9,FALSE)+SUM(_xlfn.XLOOKUP(S141:AL141,增益!$A:$A,增益!$I:$I,0)))/100)</f>
        <v>-0.3</v>
      </c>
      <c r="BB141" s="29" cm="1">
        <f t="array" ref="BB141">$G$11+VLOOKUP($R141,武学奇术!$A:$ZZ,10,FALSE)+SUM(_xlfn.XLOOKUP(S141:AL141,增益!$A:$A,增益!$J:$J,0))</f>
        <v>0</v>
      </c>
      <c r="BC141">
        <f t="shared" si="26"/>
        <v>0</v>
      </c>
      <c r="BD141">
        <f t="shared" si="27"/>
        <v>0</v>
      </c>
      <c r="BE141" s="29" cm="1">
        <f t="array" ref="BE141">IF($F$12-$I$4+VLOOKUP($R141,武学奇术!$A:$ZZ,11,FALSE)+SUM(_xlfn.XLOOKUP(S141:AL141,增益!$A:$A,增益!$K:$K,0))&gt;0,($F$12-$I$4+VLOOKUP($R141,武学奇术!$A:$ZZ,11,FALSE)+SUM(_xlfn.XLOOKUP(S141:AL141,增益!$A:$A,增益!$K:$K,0)))/200,($F$12-$I$4+VLOOKUP($R141,武学奇术!$A:$ZZ,11,FALSE)+SUM(_xlfn.XLOOKUP(S141:AL141,增益!$A:$A,增益!$K:$K,0)))/100)</f>
        <v>-0.3</v>
      </c>
      <c r="BF141" s="29" cm="1">
        <f t="array" ref="BF141">$G$12+VLOOKUP($R141,武学奇术!$A:$ZZ,12,FALSE)+SUM(_xlfn.XLOOKUP(S141:AL141,增益!$A:$A,增益!$L:$L,0))</f>
        <v>0</v>
      </c>
      <c r="BG141">
        <f t="shared" si="28"/>
        <v>0</v>
      </c>
      <c r="BH141">
        <f t="shared" si="29"/>
        <v>0</v>
      </c>
      <c r="BI141" s="29" cm="1">
        <f t="array" ref="BI141">IF($F$13-$I$4+VLOOKUP($R141,武学奇术!$A:$ZZ,13,FALSE)+SUM(_xlfn.XLOOKUP(S141:AL141,增益!$A:$A,增益!$M:$M,0))&gt;0,($F$13-$I$4+VLOOKUP($R141,武学奇术!$A:$ZZ,13,FALSE)+SUM(_xlfn.XLOOKUP(S141:AL141,增益!$A:$A,增益!$K:$K,0)))/200,($F$13-$I$4+VLOOKUP($R141,武学奇术!$A:$ZZ,13,FALSE)+SUM(_xlfn.XLOOKUP(S141:AL141,增益!$A:$A,增益!$M:$M,0)))/100)</f>
        <v>-0.3</v>
      </c>
      <c r="BJ141" s="29" cm="1">
        <f t="array" ref="BJ141">$G$13+VLOOKUP($R141,武学奇术!$A:$ZZ,14,FALSE)+SUM(_xlfn.XLOOKUP(S141:AL141,增益!$A:$A,增益!$N:$N,0))</f>
        <v>0</v>
      </c>
      <c r="BK141">
        <f t="shared" si="30"/>
        <v>618.2</v>
      </c>
      <c r="BL141">
        <f t="shared" si="31"/>
        <v>1805</v>
      </c>
      <c r="BM141" s="29" cm="1">
        <f t="array" ref="BM141">IF($F$14-$I$4+VLOOKUP($R141,武学奇术!$A:$ZZ,15,FALSE)+SUM(_xlfn.XLOOKUP(S141:AL141,增益!$A:$A,增益!$O:$O,0))&gt;0,($F$14-$I$4+VLOOKUP($R141,武学奇术!$A:$ZZ,15,FALSE)+SUM(_xlfn.XLOOKUP(S141:AL141,增益!$A:$A,增益!$O:$O,0)))/200,($F$14-$I$4+VLOOKUP($R141,武学奇术!$A:$ZZ,15,FALSE)+SUM(_xlfn.XLOOKUP(S141:AL141,增益!$A:$A,增益!$O:$O,0)))/100)</f>
        <v>0.05</v>
      </c>
      <c r="BN141" s="29" cm="1">
        <f t="array" ref="BN141">$G$14+VLOOKUP($R141,武学奇术!$A:$ZZ,16,FALSE)+SUM(_xlfn.XLOOKUP(S141:AL141,增益!$A:$A,增益!$P:$P,0))</f>
        <v>0.42</v>
      </c>
      <c r="BO141" s="23">
        <f>MIN(IF(VLOOKUP($R141,武学奇术!$A:$ZZ,23,FALSE)=1,100%,$B$8),100%)</f>
        <v>0.9943</v>
      </c>
      <c r="BP141" s="23" cm="1">
        <f t="array" ref="BP141">IF(VLOOKUP($R141,武学奇术!$A:$ZZ,23,FALSE)=1,100%,MIN(80%,$B$9+VLOOKUP($R141,武学奇术!$A:$ZZ,17,FALSE)+SUM(_xlfn.XLOOKUP(S141:AL141,增益!$A:$A,增益!$Q:$Q,0)))+$B$11+SUM(_xlfn.XLOOKUP(S141:AL141,增益!$A:$A,增益!$U:$U,0)))*IF(VLOOKUP($R141,武学奇术!$A:$ZZ,24,FALSE)=1,0,1)</f>
        <v>0.887</v>
      </c>
      <c r="BQ141" s="23" cm="1">
        <f t="array" ref="BQ141">1+$B$13+VLOOKUP($R141,武学奇术!$A:$ZZ,18,FALSE)+SUM(_xlfn.XLOOKUP(S141:AL141,增益!$A:$A,增益!$R:$R,0))</f>
        <v>2.144</v>
      </c>
      <c r="BR141" s="23" cm="1">
        <f t="array" ref="BR141">IF(VLOOKUP($R141,武学奇术!$A:$ZZ,24,FALSE)=1,100%,MIN(40%,$B$10+VLOOKUP($R141,武学奇术!$A:$ZZ,19,FALSE)+SUM(_xlfn.XLOOKUP(S141:AL141,增益!$A:$A,增益!$S:$S,0)))+$B$12+SUM(_xlfn.XLOOKUP(S141:AL141,增益!$A:$A,增益!$V:$V,0)))*IF(VLOOKUP($R141,武学奇术!$A:$ZZ,23,FALSE)=1,0,1)</f>
        <v>0.0913</v>
      </c>
      <c r="BS141" s="23" cm="1">
        <f t="array" ref="BS141">1+$B$14+VLOOKUP($R141,武学奇术!$A:$ZZ,20,FALSE)+SUM(_xlfn.XLOOKUP(S141:AL141,增益!$A:$A,增益!$T:$T,0))</f>
        <v>1.35</v>
      </c>
      <c r="BT141" s="23">
        <f t="shared" si="32"/>
        <v>0.8819441</v>
      </c>
      <c r="BU141" s="23">
        <f t="shared" si="33"/>
        <v>0.0215763099999999</v>
      </c>
      <c r="BV141" s="23">
        <f>IF(VLOOKUP($R141,武学奇术!$A:$ZZ,22,FALSE)=1,0,(1-$BO141))*(1-$BR141)</f>
        <v>0.00517959000000003</v>
      </c>
      <c r="BW141" s="23" cm="1">
        <f t="array" ref="BW141">SUM(_xlfn.XLOOKUP(S141:AL141,增益!$A:$A,增益!$W:$W,0))+$I$5</f>
        <v>0.11</v>
      </c>
      <c r="BX141" s="23">
        <f>VLOOKUP($R141,武学奇术!$A:$ZZ,32,FALSE)</f>
        <v>0</v>
      </c>
      <c r="BY141" s="23" cm="1">
        <f t="array" ref="BY141">SUM(_xlfn.XLOOKUP($S141:$AL141,增益!$A:$A,增益!$X:$X,0))</f>
        <v>0</v>
      </c>
    </row>
    <row r="142" spans="11:77">
      <c r="K142" s="35">
        <f>$L142*VLOOKUP($R142,武学奇术!$A:$ZZ,31,FALSE)</f>
        <v>89763.4330618161</v>
      </c>
      <c r="L142" s="35">
        <f t="shared" si="23"/>
        <v>80145.9223766215</v>
      </c>
      <c r="M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轻击",$B$21,0))*(1+IF(VLOOKUP($R142,武学奇术!$A:$ZZ,30,FALSE)="老鼠",$B$22,0))*(1+$BW142)*(1+$BX142)</f>
        <v>84488.2905835065</v>
      </c>
      <c r="N142" s="35">
        <f>(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轻击",$B$21,0))*(1+IF(VLOOKUP($R142,武学奇术!$A:$ZZ,30,FALSE)="老鼠",$B$22,0))*(1+$BW142))*(1+$BX142)</f>
        <v>78361.1304224418</v>
      </c>
      <c r="O142" s="35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轻击",$B$21,0))*(1+IF(VLOOKUP($R142,武学奇术!$A:$ZZ,30,FALSE)="老鼠",$B$22,0))*(1+$BW142)*(1+$BX142)</f>
        <v>51391.904247875</v>
      </c>
      <c r="P142" s="35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轻击",$B$21,0))*(1+IF(VLOOKUP($R142,武学奇术!$A:$ZZ,30,FALSE)="老鼠",$B$22,0))*(1+$BW142)*(1+$BX142)</f>
        <v>44738.5267013487</v>
      </c>
      <c r="Q142" s="36">
        <v>1</v>
      </c>
      <c r="R142" s="37" t="s">
        <v>158</v>
      </c>
      <c r="S142" s="37" t="s">
        <v>91</v>
      </c>
      <c r="T142" s="37" t="s">
        <v>185</v>
      </c>
      <c r="U142" s="37" t="s">
        <v>112</v>
      </c>
      <c r="V142" s="37" t="s">
        <v>113</v>
      </c>
      <c r="W142" s="37" t="s">
        <v>82</v>
      </c>
      <c r="X142" s="37" t="s">
        <v>81</v>
      </c>
      <c r="Y142" s="37" t="s">
        <v>109</v>
      </c>
      <c r="Z142" s="37" t="s">
        <v>81</v>
      </c>
      <c r="AA142" s="37" t="s">
        <v>81</v>
      </c>
      <c r="AB142" s="37" t="s">
        <v>183</v>
      </c>
      <c r="AC142" s="37" t="s">
        <v>81</v>
      </c>
      <c r="AD142" s="37" t="s">
        <v>85</v>
      </c>
      <c r="AE142" s="37" t="s">
        <v>81</v>
      </c>
      <c r="AF142" s="37" t="s">
        <v>181</v>
      </c>
      <c r="AG142" s="37" t="s">
        <v>87</v>
      </c>
      <c r="AH142" s="37" t="s">
        <v>81</v>
      </c>
      <c r="AI142" s="37" t="s">
        <v>81</v>
      </c>
      <c r="AJ142" s="37" t="s">
        <v>81</v>
      </c>
      <c r="AK142" s="37" t="s">
        <v>81</v>
      </c>
      <c r="AL142" s="37" t="s">
        <v>81</v>
      </c>
      <c r="AM142" t="str">
        <f>VLOOKUP($R142,武学奇术!$A:$ZZ,25,FALSE)</f>
        <v>双刀</v>
      </c>
      <c r="AN142" s="23">
        <f>VLOOKUP($R142,武学奇术!$A:$ZZ,26,FALSE)</f>
        <v>2.5342</v>
      </c>
      <c r="AO142" s="24">
        <f>VLOOKUP($R142,武学奇术!$A:$ZZ,27,FALSE)*(1+IF(OR($AM142=$F$4,$AM142=$F$5),$B$23,0))</f>
        <v>1123.2</v>
      </c>
      <c r="AP142" s="23">
        <f>VLOOKUP($R142,武学奇术!$A:$ZZ,28,FALSE)</f>
        <v>3.8012</v>
      </c>
      <c r="AQ142" s="24">
        <f>VLOOKUP($R142,武学奇术!$A:$ZZ,29,FALSE)*(1+IF(OR($AM142=$F$4,$AM142=$F$5),$B$23,0))</f>
        <v>611.2</v>
      </c>
      <c r="AR142" s="23" cm="1">
        <f t="array" ref="AR142">$G$3+IFERROR(VLOOKUP($AM142,$F$4:$G$7,2,FALSE),0)+VLOOKUP($R142,武学奇术!$A:$ZZ,2,FALSE)+SUM(_xlfn.XLOOKUP($S142:$AL142,增益!$A:$A,增益!$B:$B,0))</f>
        <v>0.7443</v>
      </c>
      <c r="AS142" s="23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4081.7</v>
      </c>
      <c r="AU142" cm="1">
        <f t="array" ref="AU142">$E$10*(1+$AS142)+VLOOKUP($R142,武学奇术!$A:$ZZ,4,FALSE)+SUM(_xlfn.XLOOKUP($S142:$AL142,增益!$A:$A,增益!$D:$D,0))-$I$2</f>
        <v>4081.7</v>
      </c>
      <c r="AV142" s="29" cm="1">
        <f t="array" ref="AV142">IF($F$10-$I$3+VLOOKUP($R142,武学奇术!$A:$ZZ,6,FALSE)+SUM(_xlfn.XLOOKUP(S142:AL142,增益!$A:$A,增益!$F:$F,0))&gt;0,($F$10-$I$3+VLOOKUP($R142,武学奇术!$A:$ZZ,6,FALSE)+SUM(_xlfn.XLOOKUP(S142:AL142,增益!$A:$A,增益!$F:$F,0)))/200,($F$10-$I$3+VLOOKUP($R142,武学奇术!$A:$ZZ,6,FALSE)+SUM(_xlfn.XLOOKUP(S142:AL142,增益!$A:$A,增益!$F:$F,0)))/100)</f>
        <v>0.2439</v>
      </c>
      <c r="AW142" s="29" cm="1">
        <f t="array" ref="AW142">$G$10+VLOOKUP($R142,武学奇术!$A:$ZZ,7,FALSE)+SUM(_xlfn.XLOOKUP(S142:AL142,增益!$A:$A,增益!$G:$G,0))</f>
        <v>0.06</v>
      </c>
      <c r="AX142" s="23" cm="1">
        <f t="array" ref="AX142">VLOOKUP($R142,武学奇术!$A:$ZZ,8,FALSE)+SUM(_xlfn.XLOOKUP(S142:AL142,增益!$A:$A,增益!$H:$H,0))</f>
        <v>0</v>
      </c>
      <c r="AY142">
        <f t="shared" si="24"/>
        <v>0</v>
      </c>
      <c r="AZ142">
        <f t="shared" si="25"/>
        <v>0</v>
      </c>
      <c r="BA142" s="29" cm="1">
        <f t="array" ref="BA142">IF($F$11-$I$4+VLOOKUP($R142,武学奇术!$A:$ZZ,9,FALSE)+SUM(_xlfn.XLOOKUP(S142:AL142,增益!$A:$A,增益!$I:$I,0))&gt;0,($F$11-$I$4+VLOOKUP($R142,武学奇术!$A:$ZZ,9,FALSE)+SUM(_xlfn.XLOOKUP(S142:AL142,增益!$A:$A,增益!$I:$I,0)))/200,($F$11-$I$4+VLOOKUP($R142,武学奇术!$A:$ZZ,9,FALSE)+SUM(_xlfn.XLOOKUP(S142:AL142,增益!$A:$A,增益!$I:$I,0)))/100)</f>
        <v>-0.3</v>
      </c>
      <c r="BB142" s="29" cm="1">
        <f t="array" ref="BB142">$G$11+VLOOKUP($R142,武学奇术!$A:$ZZ,10,FALSE)+SUM(_xlfn.XLOOKUP(S142:AL142,增益!$A:$A,增益!$J:$J,0))</f>
        <v>0</v>
      </c>
      <c r="BC142">
        <f t="shared" si="26"/>
        <v>0</v>
      </c>
      <c r="BD142">
        <f t="shared" si="27"/>
        <v>0</v>
      </c>
      <c r="BE142" s="29" cm="1">
        <f t="array" ref="BE142">IF($F$12-$I$4+VLOOKUP($R142,武学奇术!$A:$ZZ,11,FALSE)+SUM(_xlfn.XLOOKUP(S142:AL142,增益!$A:$A,增益!$K:$K,0))&gt;0,($F$12-$I$4+VLOOKUP($R142,武学奇术!$A:$ZZ,11,FALSE)+SUM(_xlfn.XLOOKUP(S142:AL142,增益!$A:$A,增益!$K:$K,0)))/200,($F$12-$I$4+VLOOKUP($R142,武学奇术!$A:$ZZ,11,FALSE)+SUM(_xlfn.XLOOKUP(S142:AL142,增益!$A:$A,增益!$K:$K,0)))/100)</f>
        <v>-0.3</v>
      </c>
      <c r="BF142" s="29" cm="1">
        <f t="array" ref="BF142">$G$12+VLOOKUP($R142,武学奇术!$A:$ZZ,12,FALSE)+SUM(_xlfn.XLOOKUP(S142:AL142,增益!$A:$A,增益!$L:$L,0))</f>
        <v>0</v>
      </c>
      <c r="BG142">
        <f t="shared" si="28"/>
        <v>0</v>
      </c>
      <c r="BH142">
        <f t="shared" si="29"/>
        <v>0</v>
      </c>
      <c r="BI142" s="29" cm="1">
        <f t="array" ref="BI142">IF($F$13-$I$4+VLOOKUP($R142,武学奇术!$A:$ZZ,13,FALSE)+SUM(_xlfn.XLOOKUP(S142:AL142,增益!$A:$A,增益!$M:$M,0))&gt;0,($F$13-$I$4+VLOOKUP($R142,武学奇术!$A:$ZZ,13,FALSE)+SUM(_xlfn.XLOOKUP(S142:AL142,增益!$A:$A,增益!$K:$K,0)))/200,($F$13-$I$4+VLOOKUP($R142,武学奇术!$A:$ZZ,13,FALSE)+SUM(_xlfn.XLOOKUP(S142:AL142,增益!$A:$A,增益!$M:$M,0)))/100)</f>
        <v>-0.3</v>
      </c>
      <c r="BJ142" s="29" cm="1">
        <f t="array" ref="BJ142">$G$13+VLOOKUP($R142,武学奇术!$A:$ZZ,14,FALSE)+SUM(_xlfn.XLOOKUP(S142:AL142,增益!$A:$A,增益!$N:$N,0))</f>
        <v>0</v>
      </c>
      <c r="BK142">
        <f t="shared" si="30"/>
        <v>618.2</v>
      </c>
      <c r="BL142">
        <f t="shared" si="31"/>
        <v>1805</v>
      </c>
      <c r="BM142" s="29" cm="1">
        <f t="array" ref="BM142">IF($F$14-$I$4+VLOOKUP($R142,武学奇术!$A:$ZZ,15,FALSE)+SUM(_xlfn.XLOOKUP(S142:AL142,增益!$A:$A,增益!$O:$O,0))&gt;0,($F$14-$I$4+VLOOKUP($R142,武学奇术!$A:$ZZ,15,FALSE)+SUM(_xlfn.XLOOKUP(S142:AL142,增益!$A:$A,增益!$O:$O,0)))/200,($F$14-$I$4+VLOOKUP($R142,武学奇术!$A:$ZZ,15,FALSE)+SUM(_xlfn.XLOOKUP(S142:AL142,增益!$A:$A,增益!$O:$O,0)))/100)</f>
        <v>0.05</v>
      </c>
      <c r="BN142" s="29" cm="1">
        <f t="array" ref="BN142">$G$14+VLOOKUP($R142,武学奇术!$A:$ZZ,16,FALSE)+SUM(_xlfn.XLOOKUP(S142:AL142,增益!$A:$A,增益!$P:$P,0))</f>
        <v>0.21</v>
      </c>
      <c r="BO142" s="23">
        <f>MIN(IF(VLOOKUP($R142,武学奇术!$A:$ZZ,23,FALSE)=1,100%,$B$8),100%)</f>
        <v>0.9943</v>
      </c>
      <c r="BP142" s="23" cm="1">
        <f t="array" ref="BP142">IF(VLOOKUP($R142,武学奇术!$A:$ZZ,23,FALSE)=1,100%,MIN(80%,$B$9+VLOOKUP($R142,武学奇术!$A:$ZZ,17,FALSE)+SUM(_xlfn.XLOOKUP(S142:AL142,增益!$A:$A,增益!$Q:$Q,0)))+$B$11+SUM(_xlfn.XLOOKUP(S142:AL142,增益!$A:$A,增益!$U:$U,0)))*IF(VLOOKUP($R142,武学奇术!$A:$ZZ,24,FALSE)=1,0,1)</f>
        <v>0.8</v>
      </c>
      <c r="BQ142" s="23" cm="1">
        <f t="array" ref="BQ142">1+$B$13+VLOOKUP($R142,武学奇术!$A:$ZZ,18,FALSE)+SUM(_xlfn.XLOOKUP(S142:AL142,增益!$A:$A,增益!$R:$R,0))</f>
        <v>1.644</v>
      </c>
      <c r="BR142" s="23" cm="1">
        <f t="array" ref="BR142">IF(VLOOKUP($R142,武学奇术!$A:$ZZ,24,FALSE)=1,100%,MIN(40%,$B$10+VLOOKUP($R142,武学奇术!$A:$ZZ,19,FALSE)+SUM(_xlfn.XLOOKUP(S142:AL142,增益!$A:$A,增益!$S:$S,0)))+$B$12+SUM(_xlfn.XLOOKUP(S142:AL142,增益!$A:$A,增益!$V:$V,0)))*IF(VLOOKUP($R142,武学奇术!$A:$ZZ,23,FALSE)=1,0,1)</f>
        <v>0.0913</v>
      </c>
      <c r="BS142" s="23" cm="1">
        <f t="array" ref="BS142">1+$B$14+VLOOKUP($R142,武学奇术!$A:$ZZ,20,FALSE)+SUM(_xlfn.XLOOKUP(S142:AL142,增益!$A:$A,增益!$T:$T,0))</f>
        <v>1.35</v>
      </c>
      <c r="BT142" s="23">
        <f t="shared" si="32"/>
        <v>0.79544</v>
      </c>
      <c r="BU142" s="23">
        <f t="shared" si="33"/>
        <v>0.10808041</v>
      </c>
      <c r="BV142" s="23">
        <f>IF(VLOOKUP($R142,武学奇术!$A:$ZZ,22,FALSE)=1,0,(1-$BO142))*(1-$BR142)</f>
        <v>0.00517959000000003</v>
      </c>
      <c r="BW142" s="23" cm="1">
        <f t="array" ref="BW142">SUM(_xlfn.XLOOKUP(S142:AL142,增益!$A:$A,增益!$W:$W,0))+$I$5</f>
        <v>0.21</v>
      </c>
      <c r="BX142" s="23">
        <f>VLOOKUP($R142,武学奇术!$A:$ZZ,32,FALSE)</f>
        <v>0.1</v>
      </c>
      <c r="BY142" s="23" cm="1">
        <f t="array" ref="BY142">SUM(_xlfn.XLOOKUP($S142:$AL142,增益!$A:$A,增益!$X:$X,0))</f>
        <v>0</v>
      </c>
    </row>
    <row r="143" spans="11:77">
      <c r="K143" s="35">
        <f>$L143*VLOOKUP($R143,武学奇术!$A:$ZZ,31,FALSE)</f>
        <v>85449.5215676947</v>
      </c>
      <c r="L143" s="69">
        <f t="shared" si="23"/>
        <v>83774.0407526418</v>
      </c>
      <c r="M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轻击",$B$21,0))*(1+IF(VLOOKUP($R143,武学奇术!$A:$ZZ,30,FALSE)="老鼠",$B$22,0))*(1+$BW143)*(1+$BX143)</f>
        <v>88209.7637371688</v>
      </c>
      <c r="N143" s="35">
        <f>(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轻击",$B$21,0))*(1+IF(VLOOKUP($R143,武学奇术!$A:$ZZ,30,FALSE)="老鼠",$B$22,0))*(1+$BW143))*(1+$BX143)</f>
        <v>82932.2110912008</v>
      </c>
      <c r="O143" s="35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轻击",$B$21,0))*(1+IF(VLOOKUP($R143,武学奇术!$A:$ZZ,30,FALSE)="老鼠",$B$22,0))*(1+$BW143)*(1+$BX143)</f>
        <v>53655.5740493727</v>
      </c>
      <c r="P143" s="35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轻击",$B$21,0))*(1+IF(VLOOKUP($R143,武学奇术!$A:$ZZ,30,FALSE)="老鼠",$B$22,0))*(1+$BW143)*(1+$BX143)</f>
        <v>45879.8806237819</v>
      </c>
      <c r="Q143" s="70">
        <v>4</v>
      </c>
      <c r="R143" s="37" t="s">
        <v>106</v>
      </c>
      <c r="S143" s="37" t="s">
        <v>91</v>
      </c>
      <c r="T143" s="37" t="s">
        <v>185</v>
      </c>
      <c r="U143" s="37" t="s">
        <v>112</v>
      </c>
      <c r="V143" s="37" t="s">
        <v>113</v>
      </c>
      <c r="W143" s="37" t="s">
        <v>82</v>
      </c>
      <c r="X143" s="37" t="s">
        <v>81</v>
      </c>
      <c r="Y143" s="37" t="s">
        <v>109</v>
      </c>
      <c r="Z143" s="37" t="s">
        <v>81</v>
      </c>
      <c r="AA143" s="37" t="s">
        <v>81</v>
      </c>
      <c r="AB143" s="37" t="s">
        <v>183</v>
      </c>
      <c r="AC143" s="37" t="s">
        <v>81</v>
      </c>
      <c r="AD143" s="37" t="s">
        <v>85</v>
      </c>
      <c r="AE143" s="37" t="s">
        <v>81</v>
      </c>
      <c r="AF143" s="37" t="s">
        <v>81</v>
      </c>
      <c r="AG143" s="37" t="s">
        <v>87</v>
      </c>
      <c r="AH143" s="37" t="s">
        <v>81</v>
      </c>
      <c r="AI143" s="37" t="s">
        <v>81</v>
      </c>
      <c r="AJ143" s="37" t="s">
        <v>81</v>
      </c>
      <c r="AK143" s="37" t="s">
        <v>81</v>
      </c>
      <c r="AL143" s="37" t="s">
        <v>81</v>
      </c>
      <c r="AM143" t="str">
        <f>VLOOKUP($R143,武学奇术!$A:$ZZ,25,FALSE)</f>
        <v>绳镖</v>
      </c>
      <c r="AN143" s="23">
        <f>VLOOKUP($R143,武学奇术!$A:$ZZ,26,FALSE)</f>
        <v>0.3675</v>
      </c>
      <c r="AO143" s="24">
        <f>VLOOKUP($R143,武学奇术!$A:$ZZ,27,FALSE)*(1+IF(OR($AM143=$F$4,$AM143=$F$5),$B$23,0))</f>
        <v>0</v>
      </c>
      <c r="AP143" s="23">
        <f>VLOOKUP($R143,武学奇术!$A:$ZZ,28,FALSE)</f>
        <v>0.55125</v>
      </c>
      <c r="AQ143" s="24">
        <f>VLOOKUP($R143,武学奇术!$A:$ZZ,29,FALSE)*(1+IF(OR($AM143=$F$4,$AM143=$F$5),$B$23,0))</f>
        <v>0</v>
      </c>
      <c r="AR143" s="23" cm="1">
        <f t="array" ref="AR143">$G$3+IFERROR(VLOOKUP($AM143,$F$4:$G$7,2,FALSE),0)+VLOOKUP($R143,武学奇术!$A:$ZZ,2,FALSE)+SUM(_xlfn.XLOOKUP($S143:$AL143,增益!$A:$A,增益!$B:$B,0))</f>
        <v>1.4943</v>
      </c>
      <c r="AS143" s="23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4081.7</v>
      </c>
      <c r="AU143" cm="1">
        <f t="array" ref="AU143">$E$10*(1+$AS143)+VLOOKUP($R143,武学奇术!$A:$ZZ,4,FALSE)+SUM(_xlfn.XLOOKUP($S143:$AL143,增益!$A:$A,增益!$D:$D,0))-$I$2</f>
        <v>4081.7</v>
      </c>
      <c r="AV143" s="29" cm="1">
        <f t="array" ref="AV143">IF($F$10-$I$3+VLOOKUP($R143,武学奇术!$A:$ZZ,6,FALSE)+SUM(_xlfn.XLOOKUP(S143:AL143,增益!$A:$A,增益!$F:$F,0))&gt;0,($F$10-$I$3+VLOOKUP($R143,武学奇术!$A:$ZZ,6,FALSE)+SUM(_xlfn.XLOOKUP(S143:AL143,增益!$A:$A,增益!$F:$F,0)))/200,($F$10-$I$3+VLOOKUP($R143,武学奇术!$A:$ZZ,6,FALSE)+SUM(_xlfn.XLOOKUP(S143:AL143,增益!$A:$A,增益!$F:$F,0)))/100)</f>
        <v>0.2439</v>
      </c>
      <c r="AW143" s="29" cm="1">
        <f t="array" ref="AW143">$G$10+VLOOKUP($R143,武学奇术!$A:$ZZ,7,FALSE)+SUM(_xlfn.XLOOKUP(S143:AL143,增益!$A:$A,增益!$G:$G,0))</f>
        <v>0.27</v>
      </c>
      <c r="AX143" s="23" cm="1">
        <f t="array" ref="AX143">VLOOKUP($R143,武学奇术!$A:$ZZ,8,FALSE)+SUM(_xlfn.XLOOKUP(S143:AL143,增益!$A:$A,增益!$H:$H,0))</f>
        <v>0</v>
      </c>
      <c r="AY143">
        <f t="shared" si="24"/>
        <v>0</v>
      </c>
      <c r="AZ143">
        <f t="shared" si="25"/>
        <v>0</v>
      </c>
      <c r="BA143" s="29" cm="1">
        <f t="array" ref="BA143">IF($F$11-$I$4+VLOOKUP($R143,武学奇术!$A:$ZZ,9,FALSE)+SUM(_xlfn.XLOOKUP(S143:AL143,增益!$A:$A,增益!$I:$I,0))&gt;0,($F$11-$I$4+VLOOKUP($R143,武学奇术!$A:$ZZ,9,FALSE)+SUM(_xlfn.XLOOKUP(S143:AL143,增益!$A:$A,增益!$I:$I,0)))/200,($F$11-$I$4+VLOOKUP($R143,武学奇术!$A:$ZZ,9,FALSE)+SUM(_xlfn.XLOOKUP(S143:AL143,增益!$A:$A,增益!$I:$I,0)))/100)</f>
        <v>-0.3</v>
      </c>
      <c r="BB143" s="29" cm="1">
        <f t="array" ref="BB143">$G$11+VLOOKUP($R143,武学奇术!$A:$ZZ,10,FALSE)+SUM(_xlfn.XLOOKUP(S143:AL143,增益!$A:$A,增益!$J:$J,0))</f>
        <v>0</v>
      </c>
      <c r="BC143">
        <f t="shared" si="26"/>
        <v>0</v>
      </c>
      <c r="BD143">
        <f t="shared" si="27"/>
        <v>0</v>
      </c>
      <c r="BE143" s="29" cm="1">
        <f t="array" ref="BE143">IF($F$12-$I$4+VLOOKUP($R143,武学奇术!$A:$ZZ,11,FALSE)+SUM(_xlfn.XLOOKUP(S143:AL143,增益!$A:$A,增益!$K:$K,0))&gt;0,($F$12-$I$4+VLOOKUP($R143,武学奇术!$A:$ZZ,11,FALSE)+SUM(_xlfn.XLOOKUP(S143:AL143,增益!$A:$A,增益!$K:$K,0)))/200,($F$12-$I$4+VLOOKUP($R143,武学奇术!$A:$ZZ,11,FALSE)+SUM(_xlfn.XLOOKUP(S143:AL143,增益!$A:$A,增益!$K:$K,0)))/100)</f>
        <v>-0.3</v>
      </c>
      <c r="BF143" s="29" cm="1">
        <f t="array" ref="BF143">$G$12+VLOOKUP($R143,武学奇术!$A:$ZZ,12,FALSE)+SUM(_xlfn.XLOOKUP(S143:AL143,增益!$A:$A,增益!$L:$L,0))</f>
        <v>0</v>
      </c>
      <c r="BG143">
        <f t="shared" si="28"/>
        <v>0</v>
      </c>
      <c r="BH143">
        <f t="shared" si="29"/>
        <v>0</v>
      </c>
      <c r="BI143" s="29" cm="1">
        <f t="array" ref="BI143">IF($F$13-$I$4+VLOOKUP($R143,武学奇术!$A:$ZZ,13,FALSE)+SUM(_xlfn.XLOOKUP(S143:AL143,增益!$A:$A,增益!$M:$M,0))&gt;0,($F$13-$I$4+VLOOKUP($R143,武学奇术!$A:$ZZ,13,FALSE)+SUM(_xlfn.XLOOKUP(S143:AL143,增益!$A:$A,增益!$K:$K,0)))/200,($F$13-$I$4+VLOOKUP($R143,武学奇术!$A:$ZZ,13,FALSE)+SUM(_xlfn.XLOOKUP(S143:AL143,增益!$A:$A,增益!$M:$M,0)))/100)</f>
        <v>-0.3</v>
      </c>
      <c r="BJ143" s="29" cm="1">
        <f t="array" ref="BJ143">$G$13+VLOOKUP($R143,武学奇术!$A:$ZZ,14,FALSE)+SUM(_xlfn.XLOOKUP(S143:AL143,增益!$A:$A,增益!$N:$N,0))</f>
        <v>0</v>
      </c>
      <c r="BK143">
        <f t="shared" si="30"/>
        <v>618.2</v>
      </c>
      <c r="BL143">
        <f t="shared" si="31"/>
        <v>1805</v>
      </c>
      <c r="BM143" s="29" cm="1">
        <f t="array" ref="BM143">IF($F$14-$I$4+VLOOKUP($R143,武学奇术!$A:$ZZ,15,FALSE)+SUM(_xlfn.XLOOKUP(S143:AL143,增益!$A:$A,增益!$O:$O,0))&gt;0,($F$14-$I$4+VLOOKUP($R143,武学奇术!$A:$ZZ,15,FALSE)+SUM(_xlfn.XLOOKUP(S143:AL143,增益!$A:$A,增益!$O:$O,0)))/200,($F$14-$I$4+VLOOKUP($R143,武学奇术!$A:$ZZ,15,FALSE)+SUM(_xlfn.XLOOKUP(S143:AL143,增益!$A:$A,增益!$O:$O,0)))/100)</f>
        <v>0.05</v>
      </c>
      <c r="BN143" s="29" cm="1">
        <f t="array" ref="BN143">$G$14+VLOOKUP($R143,武学奇术!$A:$ZZ,16,FALSE)+SUM(_xlfn.XLOOKUP(S143:AL143,增益!$A:$A,增益!$P:$P,0))</f>
        <v>0.42</v>
      </c>
      <c r="BO143" s="23">
        <f>MIN(IF(VLOOKUP($R143,武学奇术!$A:$ZZ,23,FALSE)=1,100%,$B$8),100%)</f>
        <v>0.9943</v>
      </c>
      <c r="BP143" s="23" cm="1">
        <f t="array" ref="BP143">IF(VLOOKUP($R143,武学奇术!$A:$ZZ,23,FALSE)=1,100%,MIN(80%,$B$9+VLOOKUP($R143,武学奇术!$A:$ZZ,17,FALSE)+SUM(_xlfn.XLOOKUP(S143:AL143,增益!$A:$A,增益!$Q:$Q,0)))+$B$11+SUM(_xlfn.XLOOKUP(S143:AL143,增益!$A:$A,增益!$U:$U,0)))*IF(VLOOKUP($R143,武学奇术!$A:$ZZ,24,FALSE)=1,0,1)</f>
        <v>0.8</v>
      </c>
      <c r="BQ143" s="23" cm="1">
        <f t="array" ref="BQ143">1+$B$13+VLOOKUP($R143,武学奇术!$A:$ZZ,18,FALSE)+SUM(_xlfn.XLOOKUP(S143:AL143,增益!$A:$A,增益!$R:$R,0))</f>
        <v>1.644</v>
      </c>
      <c r="BR143" s="23" cm="1">
        <f t="array" ref="BR143">IF(VLOOKUP($R143,武学奇术!$A:$ZZ,24,FALSE)=1,100%,MIN(40%,$B$10+VLOOKUP($R143,武学奇术!$A:$ZZ,19,FALSE)+SUM(_xlfn.XLOOKUP(S143:AL143,增益!$A:$A,增益!$S:$S,0)))+$B$12+SUM(_xlfn.XLOOKUP(S143:AL143,增益!$A:$A,增益!$V:$V,0)))*IF(VLOOKUP($R143,武学奇术!$A:$ZZ,23,FALSE)=1,0,1)</f>
        <v>0.0913</v>
      </c>
      <c r="BS143" s="23" cm="1">
        <f t="array" ref="BS143">1+$B$14+VLOOKUP($R143,武学奇术!$A:$ZZ,20,FALSE)+SUM(_xlfn.XLOOKUP(S143:AL143,增益!$A:$A,增益!$T:$T,0))</f>
        <v>1.35</v>
      </c>
      <c r="BT143" s="23">
        <f t="shared" si="32"/>
        <v>0.79544</v>
      </c>
      <c r="BU143" s="23">
        <f t="shared" si="33"/>
        <v>0.10808041</v>
      </c>
      <c r="BV143" s="23">
        <f>IF(VLOOKUP($R143,武学奇术!$A:$ZZ,22,FALSE)=1,0,(1-$BO143))*(1-$BR143)</f>
        <v>0.00517959000000003</v>
      </c>
      <c r="BW143" s="23" cm="1">
        <f t="array" ref="BW143">SUM(_xlfn.XLOOKUP(S143:AL143,增益!$A:$A,增益!$W:$W,0))+$I$5</f>
        <v>0.21</v>
      </c>
      <c r="BX143" s="23">
        <f>VLOOKUP($R143,武学奇术!$A:$ZZ,32,FALSE)</f>
        <v>0</v>
      </c>
      <c r="BY143" s="23" cm="1">
        <f t="array" ref="BY143">SUM(_xlfn.XLOOKUP($S143:$AL143,增益!$A:$A,增益!$X:$X,0))</f>
        <v>0</v>
      </c>
    </row>
    <row r="144" spans="11:77">
      <c r="K144" s="35">
        <f>$L144*VLOOKUP($R144,武学奇术!$A:$ZZ,31,FALSE)</f>
        <v>1820.00539919485</v>
      </c>
      <c r="L144" s="35">
        <f t="shared" si="23"/>
        <v>1784.31901881848</v>
      </c>
      <c r="M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轻击",$B$21,0))*(1+IF(VLOOKUP($R144,武学奇术!$A:$ZZ,30,FALSE)="老鼠",$B$22,0))*(1+$BW144)*(1+$BX144)</f>
        <v>1923.26763339694</v>
      </c>
      <c r="N144" s="35">
        <f>(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轻击",$B$21,0))*(1+IF(VLOOKUP($R144,武学奇术!$A:$ZZ,30,FALSE)="老鼠",$B$22,0))*(1+$BW144))*(1+$BX144)</f>
        <v>1534.41784693455</v>
      </c>
      <c r="O144" s="35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轻击",$B$21,0))*(1+IF(VLOOKUP($R144,武学奇术!$A:$ZZ,30,FALSE)="老鼠",$B$22,0))*(1+$BW144)*(1+$BX144)</f>
        <v>1015.45281594348</v>
      </c>
      <c r="P144" s="35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轻击",$B$21,0))*(1+IF(VLOOKUP($R144,武学奇术!$A:$ZZ,30,FALSE)="老鼠",$B$22,0))*(1+$BW144)*(1+$BX144)</f>
        <v>894.29981934284</v>
      </c>
      <c r="Q144" s="36">
        <v>1</v>
      </c>
      <c r="R144" s="37" t="s">
        <v>102</v>
      </c>
      <c r="S144" s="37" t="s">
        <v>91</v>
      </c>
      <c r="T144" s="37" t="s">
        <v>185</v>
      </c>
      <c r="U144" s="37" t="s">
        <v>81</v>
      </c>
      <c r="V144" s="37" t="s">
        <v>81</v>
      </c>
      <c r="W144" s="37" t="s">
        <v>82</v>
      </c>
      <c r="X144" s="37" t="s">
        <v>81</v>
      </c>
      <c r="Y144" s="37" t="s">
        <v>81</v>
      </c>
      <c r="Z144" s="37" t="s">
        <v>81</v>
      </c>
      <c r="AA144" s="37" t="s">
        <v>81</v>
      </c>
      <c r="AB144" s="37" t="s">
        <v>183</v>
      </c>
      <c r="AC144" s="37" t="s">
        <v>81</v>
      </c>
      <c r="AD144" s="37" t="s">
        <v>85</v>
      </c>
      <c r="AE144" s="37" t="s">
        <v>86</v>
      </c>
      <c r="AF144" s="37" t="s">
        <v>81</v>
      </c>
      <c r="AG144" s="37" t="s">
        <v>87</v>
      </c>
      <c r="AH144" s="37" t="s">
        <v>81</v>
      </c>
      <c r="AI144" s="37" t="s">
        <v>81</v>
      </c>
      <c r="AJ144" s="37" t="s">
        <v>81</v>
      </c>
      <c r="AK144" s="37" t="s">
        <v>81</v>
      </c>
      <c r="AL144" s="37" t="s">
        <v>81</v>
      </c>
      <c r="AM144" t="str">
        <f>VLOOKUP($R144,武学奇术!$A:$ZZ,25,FALSE)</f>
        <v>绳镖</v>
      </c>
      <c r="AN144" s="23">
        <f>VLOOKUP($R144,武学奇术!$A:$ZZ,26,FALSE)</f>
        <v>0.0621</v>
      </c>
      <c r="AO144" s="24">
        <f>VLOOKUP($R144,武学奇术!$A:$ZZ,27,FALSE)*(1+IF(OR($AM144=$F$4,$AM144=$F$5),$B$23,0))</f>
        <v>27.2</v>
      </c>
      <c r="AP144" s="23">
        <f>VLOOKUP($R144,武学奇术!$A:$ZZ,28,FALSE)</f>
        <v>0.0932</v>
      </c>
      <c r="AQ144" s="24">
        <f>VLOOKUP($R144,武学奇术!$A:$ZZ,29,FALSE)*(1+IF(OR($AM144=$F$4,$AM144=$F$5),$B$23,0))</f>
        <v>14.4</v>
      </c>
      <c r="AR144" s="23" cm="1">
        <f t="array" ref="AR144">$G$3+IFERROR(VLOOKUP($AM144,$F$4:$G$7,2,FALSE),0)+VLOOKUP($R144,武学奇术!$A:$ZZ,2,FALSE)+SUM(_xlfn.XLOOKUP($S144:$AL144,增益!$A:$A,增益!$B:$B,0))</f>
        <v>0.5743</v>
      </c>
      <c r="AS144" s="23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4013</v>
      </c>
      <c r="AU144" cm="1">
        <f t="array" ref="AU144">$E$10*(1+$AS144)+VLOOKUP($R144,武学奇术!$A:$ZZ,4,FALSE)+SUM(_xlfn.XLOOKUP($S144:$AL144,增益!$A:$A,增益!$D:$D,0))-$I$2</f>
        <v>4013</v>
      </c>
      <c r="AV144" s="29" cm="1">
        <f t="array" ref="AV144">IF($F$10-$I$3+VLOOKUP($R144,武学奇术!$A:$ZZ,6,FALSE)+SUM(_xlfn.XLOOKUP(S144:AL144,增益!$A:$A,增益!$F:$F,0))&gt;0,($F$10-$I$3+VLOOKUP($R144,武学奇术!$A:$ZZ,6,FALSE)+SUM(_xlfn.XLOOKUP(S144:AL144,增益!$A:$A,增益!$F:$F,0)))/200,($F$10-$I$3+VLOOKUP($R144,武学奇术!$A:$ZZ,6,FALSE)+SUM(_xlfn.XLOOKUP(S144:AL144,增益!$A:$A,增益!$F:$F,0)))/100)</f>
        <v>0.3689</v>
      </c>
      <c r="AW144" s="29" cm="1">
        <f t="array" ref="AW144">$G$10+VLOOKUP($R144,武学奇术!$A:$ZZ,7,FALSE)+SUM(_xlfn.XLOOKUP(S144:AL144,增益!$A:$A,增益!$G:$G,0))</f>
        <v>0</v>
      </c>
      <c r="AX144" s="23" cm="1">
        <f t="array" ref="AX144">VLOOKUP($R144,武学奇术!$A:$ZZ,8,FALSE)+SUM(_xlfn.XLOOKUP(S144:AL144,增益!$A:$A,增益!$H:$H,0))</f>
        <v>0</v>
      </c>
      <c r="AY144">
        <f t="shared" si="24"/>
        <v>0</v>
      </c>
      <c r="AZ144">
        <f t="shared" si="25"/>
        <v>0</v>
      </c>
      <c r="BA144" s="29" cm="1">
        <f t="array" ref="BA144">IF($F$11-$I$4+VLOOKUP($R144,武学奇术!$A:$ZZ,9,FALSE)+SUM(_xlfn.XLOOKUP(S144:AL144,增益!$A:$A,增益!$I:$I,0))&gt;0,($F$11-$I$4+VLOOKUP($R144,武学奇术!$A:$ZZ,9,FALSE)+SUM(_xlfn.XLOOKUP(S144:AL144,增益!$A:$A,增益!$I:$I,0)))/200,($F$11-$I$4+VLOOKUP($R144,武学奇术!$A:$ZZ,9,FALSE)+SUM(_xlfn.XLOOKUP(S144:AL144,增益!$A:$A,增益!$I:$I,0)))/100)</f>
        <v>-0.3</v>
      </c>
      <c r="BB144" s="29" cm="1">
        <f t="array" ref="BB144">$G$11+VLOOKUP($R144,武学奇术!$A:$ZZ,10,FALSE)+SUM(_xlfn.XLOOKUP(S144:AL144,增益!$A:$A,增益!$J:$J,0))</f>
        <v>0</v>
      </c>
      <c r="BC144">
        <f t="shared" si="26"/>
        <v>0</v>
      </c>
      <c r="BD144">
        <f t="shared" si="27"/>
        <v>0</v>
      </c>
      <c r="BE144" s="29" cm="1">
        <f t="array" ref="BE144">IF($F$12-$I$4+VLOOKUP($R144,武学奇术!$A:$ZZ,11,FALSE)+SUM(_xlfn.XLOOKUP(S144:AL144,增益!$A:$A,增益!$K:$K,0))&gt;0,($F$12-$I$4+VLOOKUP($R144,武学奇术!$A:$ZZ,11,FALSE)+SUM(_xlfn.XLOOKUP(S144:AL144,增益!$A:$A,增益!$K:$K,0)))/200,($F$12-$I$4+VLOOKUP($R144,武学奇术!$A:$ZZ,11,FALSE)+SUM(_xlfn.XLOOKUP(S144:AL144,增益!$A:$A,增益!$K:$K,0)))/100)</f>
        <v>-0.3</v>
      </c>
      <c r="BF144" s="29" cm="1">
        <f t="array" ref="BF144">$G$12+VLOOKUP($R144,武学奇术!$A:$ZZ,12,FALSE)+SUM(_xlfn.XLOOKUP(S144:AL144,增益!$A:$A,增益!$L:$L,0))</f>
        <v>0</v>
      </c>
      <c r="BG144">
        <f t="shared" si="28"/>
        <v>0</v>
      </c>
      <c r="BH144">
        <f t="shared" si="29"/>
        <v>0</v>
      </c>
      <c r="BI144" s="29" cm="1">
        <f t="array" ref="BI144">IF($F$13-$I$4+VLOOKUP($R144,武学奇术!$A:$ZZ,13,FALSE)+SUM(_xlfn.XLOOKUP(S144:AL144,增益!$A:$A,增益!$M:$M,0))&gt;0,($F$13-$I$4+VLOOKUP($R144,武学奇术!$A:$ZZ,13,FALSE)+SUM(_xlfn.XLOOKUP(S144:AL144,增益!$A:$A,增益!$K:$K,0)))/200,($F$13-$I$4+VLOOKUP($R144,武学奇术!$A:$ZZ,13,FALSE)+SUM(_xlfn.XLOOKUP(S144:AL144,增益!$A:$A,增益!$M:$M,0)))/100)</f>
        <v>-0.3</v>
      </c>
      <c r="BJ144" s="29" cm="1">
        <f t="array" ref="BJ144">$G$13+VLOOKUP($R144,武学奇术!$A:$ZZ,14,FALSE)+SUM(_xlfn.XLOOKUP(S144:AL144,增益!$A:$A,增益!$N:$N,0))</f>
        <v>0</v>
      </c>
      <c r="BK144">
        <f t="shared" si="30"/>
        <v>618.2</v>
      </c>
      <c r="BL144">
        <f t="shared" si="31"/>
        <v>1805</v>
      </c>
      <c r="BM144" s="29" cm="1">
        <f t="array" ref="BM144">IF($F$14-$I$4+VLOOKUP($R144,武学奇术!$A:$ZZ,15,FALSE)+SUM(_xlfn.XLOOKUP(S144:AL144,增益!$A:$A,增益!$O:$O,0))&gt;0,($F$14-$I$4+VLOOKUP($R144,武学奇术!$A:$ZZ,15,FALSE)+SUM(_xlfn.XLOOKUP(S144:AL144,增益!$A:$A,增益!$O:$O,0)))/200,($F$14-$I$4+VLOOKUP($R144,武学奇术!$A:$ZZ,15,FALSE)+SUM(_xlfn.XLOOKUP(S144:AL144,增益!$A:$A,增益!$O:$O,0)))/100)</f>
        <v>0</v>
      </c>
      <c r="BN144" s="29" cm="1">
        <f t="array" ref="BN144">$G$14+VLOOKUP($R144,武学奇术!$A:$ZZ,16,FALSE)+SUM(_xlfn.XLOOKUP(S144:AL144,增益!$A:$A,增益!$P:$P,0))</f>
        <v>0.15</v>
      </c>
      <c r="BO144" s="23">
        <f>MIN(IF(VLOOKUP($R144,武学奇术!$A:$ZZ,23,FALSE)=1,100%,$B$8),100%)</f>
        <v>0.9943</v>
      </c>
      <c r="BP144" s="23" cm="1">
        <f t="array" ref="BP144">IF(VLOOKUP($R144,武学奇术!$A:$ZZ,23,FALSE)=1,100%,MIN(80%,$B$9+VLOOKUP($R144,武学奇术!$A:$ZZ,17,FALSE)+SUM(_xlfn.XLOOKUP(S144:AL144,增益!$A:$A,增益!$Q:$Q,0)))+$B$11+SUM(_xlfn.XLOOKUP(S144:AL144,增益!$A:$A,增益!$U:$U,0)))*IF(VLOOKUP($R144,武学奇术!$A:$ZZ,24,FALSE)=1,0,1)</f>
        <v>0.8</v>
      </c>
      <c r="BQ144" s="23" cm="1">
        <f t="array" ref="BQ144">1+$B$13+VLOOKUP($R144,武学奇术!$A:$ZZ,18,FALSE)+SUM(_xlfn.XLOOKUP(S144:AL144,增益!$A:$A,增益!$R:$R,0))</f>
        <v>1.894</v>
      </c>
      <c r="BR144" s="23" cm="1">
        <f t="array" ref="BR144">IF(VLOOKUP($R144,武学奇术!$A:$ZZ,24,FALSE)=1,100%,MIN(40%,$B$10+VLOOKUP($R144,武学奇术!$A:$ZZ,19,FALSE)+SUM(_xlfn.XLOOKUP(S144:AL144,增益!$A:$A,增益!$S:$S,0)))+$B$12+SUM(_xlfn.XLOOKUP(S144:AL144,增益!$A:$A,增益!$V:$V,0)))*IF(VLOOKUP($R144,武学奇术!$A:$ZZ,23,FALSE)=1,0,1)</f>
        <v>0.0913</v>
      </c>
      <c r="BS144" s="23" cm="1">
        <f t="array" ref="BS144">1+$B$14+VLOOKUP($R144,武学奇术!$A:$ZZ,20,FALSE)+SUM(_xlfn.XLOOKUP(S144:AL144,增益!$A:$A,增益!$T:$T,0))</f>
        <v>1.35</v>
      </c>
      <c r="BT144" s="23">
        <f t="shared" si="32"/>
        <v>0.79544</v>
      </c>
      <c r="BU144" s="23">
        <f t="shared" si="33"/>
        <v>0.10808041</v>
      </c>
      <c r="BV144" s="23">
        <f>IF(VLOOKUP($R144,武学奇术!$A:$ZZ,22,FALSE)=1,0,(1-$BO144))*(1-$BR144)</f>
        <v>0.00517959000000003</v>
      </c>
      <c r="BW144" s="23" cm="1">
        <f t="array" ref="BW144">SUM(_xlfn.XLOOKUP(S144:AL144,增益!$A:$A,增益!$W:$W,0))+$I$5</f>
        <v>0.21</v>
      </c>
      <c r="BX144" s="23">
        <f>VLOOKUP($R144,武学奇术!$A:$ZZ,32,FALSE)</f>
        <v>0</v>
      </c>
      <c r="BY144" s="23" cm="1">
        <f t="array" ref="BY144">SUM(_xlfn.XLOOKUP($S144:$AL144,增益!$A:$A,增益!$X:$X,0))</f>
        <v>0</v>
      </c>
    </row>
    <row r="145" spans="11:77">
      <c r="K145" s="35">
        <f>$L145*VLOOKUP($R145,武学奇术!$A:$ZZ,31,FALSE)</f>
        <v>51541.3625715357</v>
      </c>
      <c r="L145" s="69">
        <f t="shared" si="23"/>
        <v>50530.7476191526</v>
      </c>
      <c r="M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轻击",$B$21,0))*(1+IF(VLOOKUP($R145,武学奇术!$A:$ZZ,30,FALSE)="老鼠",$B$22,0))*(1+$BW145)*(1+$BX145)</f>
        <v>54407.0652483144</v>
      </c>
      <c r="N145" s="35">
        <f>(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轻击",$B$21,0))*(1+IF(VLOOKUP($R145,武学奇术!$A:$ZZ,30,FALSE)="老鼠",$B$22,0))*(1+$BW145))*(1+$BX145)</f>
        <v>44028.7082075877</v>
      </c>
      <c r="O145" s="35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轻击",$B$21,0))*(1+IF(VLOOKUP($R145,武学奇术!$A:$ZZ,30,FALSE)="老鼠",$B$22,0))*(1+$BW145)*(1+$BX145)</f>
        <v>28726.011218751</v>
      </c>
      <c r="P145" s="35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轻击",$B$21,0))*(1+IF(VLOOKUP($R145,武学奇术!$A:$ZZ,30,FALSE)="老鼠",$B$22,0))*(1+$BW145)*(1+$BX145)</f>
        <v>24838.1645059556</v>
      </c>
      <c r="Q145" s="70">
        <v>2</v>
      </c>
      <c r="R145" s="37" t="s">
        <v>106</v>
      </c>
      <c r="S145" s="37" t="s">
        <v>91</v>
      </c>
      <c r="T145" s="37" t="s">
        <v>185</v>
      </c>
      <c r="U145" s="37" t="s">
        <v>112</v>
      </c>
      <c r="V145" s="37" t="s">
        <v>113</v>
      </c>
      <c r="W145" s="37" t="s">
        <v>82</v>
      </c>
      <c r="X145" s="37" t="s">
        <v>81</v>
      </c>
      <c r="Y145" s="37" t="s">
        <v>109</v>
      </c>
      <c r="Z145" s="37" t="s">
        <v>81</v>
      </c>
      <c r="AA145" s="37" t="s">
        <v>81</v>
      </c>
      <c r="AB145" s="37" t="s">
        <v>183</v>
      </c>
      <c r="AC145" s="37" t="s">
        <v>81</v>
      </c>
      <c r="AD145" s="37" t="s">
        <v>85</v>
      </c>
      <c r="AE145" s="37" t="s">
        <v>86</v>
      </c>
      <c r="AF145" s="37" t="s">
        <v>81</v>
      </c>
      <c r="AG145" s="37" t="s">
        <v>87</v>
      </c>
      <c r="AH145" s="37" t="s">
        <v>81</v>
      </c>
      <c r="AI145" s="37" t="s">
        <v>81</v>
      </c>
      <c r="AJ145" s="37" t="s">
        <v>81</v>
      </c>
      <c r="AK145" s="37" t="s">
        <v>81</v>
      </c>
      <c r="AL145" s="37" t="s">
        <v>81</v>
      </c>
      <c r="AM145" t="str">
        <f>VLOOKUP($R145,武学奇术!$A:$ZZ,25,FALSE)</f>
        <v>绳镖</v>
      </c>
      <c r="AN145" s="23">
        <f>VLOOKUP($R145,武学奇术!$A:$ZZ,26,FALSE)</f>
        <v>0.3675</v>
      </c>
      <c r="AO145" s="24">
        <f>VLOOKUP($R145,武学奇术!$A:$ZZ,27,FALSE)*(1+IF(OR($AM145=$F$4,$AM145=$F$5),$B$23,0))</f>
        <v>0</v>
      </c>
      <c r="AP145" s="23">
        <f>VLOOKUP($R145,武学奇术!$A:$ZZ,28,FALSE)</f>
        <v>0.55125</v>
      </c>
      <c r="AQ145" s="24">
        <f>VLOOKUP($R145,武学奇术!$A:$ZZ,29,FALSE)*(1+IF(OR($AM145=$F$4,$AM145=$F$5),$B$23,0))</f>
        <v>0</v>
      </c>
      <c r="AR145" s="23" cm="1">
        <f t="array" ref="AR145">$G$3+IFERROR(VLOOKUP($AM145,$F$4:$G$7,2,FALSE),0)+VLOOKUP($R145,武学奇术!$A:$ZZ,2,FALSE)+SUM(_xlfn.XLOOKUP($S145:$AL145,增益!$A:$A,增益!$B:$B,0))</f>
        <v>1.4943</v>
      </c>
      <c r="AS145" s="23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4081.7</v>
      </c>
      <c r="AU145" cm="1">
        <f t="array" ref="AU145">$E$10*(1+$AS145)+VLOOKUP($R145,武学奇术!$A:$ZZ,4,FALSE)+SUM(_xlfn.XLOOKUP($S145:$AL145,增益!$A:$A,增益!$D:$D,0))-$I$2</f>
        <v>4081.7</v>
      </c>
      <c r="AV145" s="29" cm="1">
        <f t="array" ref="AV145">IF($F$10-$I$3+VLOOKUP($R145,武学奇术!$A:$ZZ,6,FALSE)+SUM(_xlfn.XLOOKUP(S145:AL145,增益!$A:$A,增益!$F:$F,0))&gt;0,($F$10-$I$3+VLOOKUP($R145,武学奇术!$A:$ZZ,6,FALSE)+SUM(_xlfn.XLOOKUP(S145:AL145,增益!$A:$A,增益!$F:$F,0)))/200,($F$10-$I$3+VLOOKUP($R145,武学奇术!$A:$ZZ,6,FALSE)+SUM(_xlfn.XLOOKUP(S145:AL145,增益!$A:$A,增益!$F:$F,0)))/100)</f>
        <v>0.3689</v>
      </c>
      <c r="AW145" s="29" cm="1">
        <f t="array" ref="AW145">$G$10+VLOOKUP($R145,武学奇术!$A:$ZZ,7,FALSE)+SUM(_xlfn.XLOOKUP(S145:AL145,增益!$A:$A,增益!$G:$G,0))</f>
        <v>0.27</v>
      </c>
      <c r="AX145" s="23" cm="1">
        <f t="array" ref="AX145">VLOOKUP($R145,武学奇术!$A:$ZZ,8,FALSE)+SUM(_xlfn.XLOOKUP(S145:AL145,增益!$A:$A,增益!$H:$H,0))</f>
        <v>0</v>
      </c>
      <c r="AY145">
        <f t="shared" si="24"/>
        <v>0</v>
      </c>
      <c r="AZ145">
        <f t="shared" si="25"/>
        <v>0</v>
      </c>
      <c r="BA145" s="29" cm="1">
        <f t="array" ref="BA145">IF($F$11-$I$4+VLOOKUP($R145,武学奇术!$A:$ZZ,9,FALSE)+SUM(_xlfn.XLOOKUP(S145:AL145,增益!$A:$A,增益!$I:$I,0))&gt;0,($F$11-$I$4+VLOOKUP($R145,武学奇术!$A:$ZZ,9,FALSE)+SUM(_xlfn.XLOOKUP(S145:AL145,增益!$A:$A,增益!$I:$I,0)))/200,($F$11-$I$4+VLOOKUP($R145,武学奇术!$A:$ZZ,9,FALSE)+SUM(_xlfn.XLOOKUP(S145:AL145,增益!$A:$A,增益!$I:$I,0)))/100)</f>
        <v>-0.3</v>
      </c>
      <c r="BB145" s="29" cm="1">
        <f t="array" ref="BB145">$G$11+VLOOKUP($R145,武学奇术!$A:$ZZ,10,FALSE)+SUM(_xlfn.XLOOKUP(S145:AL145,增益!$A:$A,增益!$J:$J,0))</f>
        <v>0</v>
      </c>
      <c r="BC145">
        <f t="shared" si="26"/>
        <v>0</v>
      </c>
      <c r="BD145">
        <f t="shared" si="27"/>
        <v>0</v>
      </c>
      <c r="BE145" s="29" cm="1">
        <f t="array" ref="BE145">IF($F$12-$I$4+VLOOKUP($R145,武学奇术!$A:$ZZ,11,FALSE)+SUM(_xlfn.XLOOKUP(S145:AL145,增益!$A:$A,增益!$K:$K,0))&gt;0,($F$12-$I$4+VLOOKUP($R145,武学奇术!$A:$ZZ,11,FALSE)+SUM(_xlfn.XLOOKUP(S145:AL145,增益!$A:$A,增益!$K:$K,0)))/200,($F$12-$I$4+VLOOKUP($R145,武学奇术!$A:$ZZ,11,FALSE)+SUM(_xlfn.XLOOKUP(S145:AL145,增益!$A:$A,增益!$K:$K,0)))/100)</f>
        <v>-0.3</v>
      </c>
      <c r="BF145" s="29" cm="1">
        <f t="array" ref="BF145">$G$12+VLOOKUP($R145,武学奇术!$A:$ZZ,12,FALSE)+SUM(_xlfn.XLOOKUP(S145:AL145,增益!$A:$A,增益!$L:$L,0))</f>
        <v>0</v>
      </c>
      <c r="BG145">
        <f t="shared" si="28"/>
        <v>0</v>
      </c>
      <c r="BH145">
        <f t="shared" si="29"/>
        <v>0</v>
      </c>
      <c r="BI145" s="29" cm="1">
        <f t="array" ref="BI145">IF($F$13-$I$4+VLOOKUP($R145,武学奇术!$A:$ZZ,13,FALSE)+SUM(_xlfn.XLOOKUP(S145:AL145,增益!$A:$A,增益!$M:$M,0))&gt;0,($F$13-$I$4+VLOOKUP($R145,武学奇术!$A:$ZZ,13,FALSE)+SUM(_xlfn.XLOOKUP(S145:AL145,增益!$A:$A,增益!$K:$K,0)))/200,($F$13-$I$4+VLOOKUP($R145,武学奇术!$A:$ZZ,13,FALSE)+SUM(_xlfn.XLOOKUP(S145:AL145,增益!$A:$A,增益!$M:$M,0)))/100)</f>
        <v>-0.3</v>
      </c>
      <c r="BJ145" s="29" cm="1">
        <f t="array" ref="BJ145">$G$13+VLOOKUP($R145,武学奇术!$A:$ZZ,14,FALSE)+SUM(_xlfn.XLOOKUP(S145:AL145,增益!$A:$A,增益!$N:$N,0))</f>
        <v>0</v>
      </c>
      <c r="BK145">
        <f t="shared" si="30"/>
        <v>618.2</v>
      </c>
      <c r="BL145">
        <f t="shared" si="31"/>
        <v>1805</v>
      </c>
      <c r="BM145" s="29" cm="1">
        <f t="array" ref="BM145">IF($F$14-$I$4+VLOOKUP($R145,武学奇术!$A:$ZZ,15,FALSE)+SUM(_xlfn.XLOOKUP(S145:AL145,增益!$A:$A,增益!$O:$O,0))&gt;0,($F$14-$I$4+VLOOKUP($R145,武学奇术!$A:$ZZ,15,FALSE)+SUM(_xlfn.XLOOKUP(S145:AL145,增益!$A:$A,增益!$O:$O,0)))/200,($F$14-$I$4+VLOOKUP($R145,武学奇术!$A:$ZZ,15,FALSE)+SUM(_xlfn.XLOOKUP(S145:AL145,增益!$A:$A,增益!$O:$O,0)))/100)</f>
        <v>0.05</v>
      </c>
      <c r="BN145" s="29" cm="1">
        <f t="array" ref="BN145">$G$14+VLOOKUP($R145,武学奇术!$A:$ZZ,16,FALSE)+SUM(_xlfn.XLOOKUP(S145:AL145,增益!$A:$A,增益!$P:$P,0))</f>
        <v>0.42</v>
      </c>
      <c r="BO145" s="23">
        <f>MIN(IF(VLOOKUP($R145,武学奇术!$A:$ZZ,23,FALSE)=1,100%,$B$8),100%)</f>
        <v>0.9943</v>
      </c>
      <c r="BP145" s="23" cm="1">
        <f t="array" ref="BP145">IF(VLOOKUP($R145,武学奇术!$A:$ZZ,23,FALSE)=1,100%,MIN(80%,$B$9+VLOOKUP($R145,武学奇术!$A:$ZZ,17,FALSE)+SUM(_xlfn.XLOOKUP(S145:AL145,增益!$A:$A,增益!$Q:$Q,0)))+$B$11+SUM(_xlfn.XLOOKUP(S145:AL145,增益!$A:$A,增益!$U:$U,0)))*IF(VLOOKUP($R145,武学奇术!$A:$ZZ,24,FALSE)=1,0,1)</f>
        <v>0.8</v>
      </c>
      <c r="BQ145" s="23" cm="1">
        <f t="array" ref="BQ145">1+$B$13+VLOOKUP($R145,武学奇术!$A:$ZZ,18,FALSE)+SUM(_xlfn.XLOOKUP(S145:AL145,增益!$A:$A,增益!$R:$R,0))</f>
        <v>1.894</v>
      </c>
      <c r="BR145" s="23" cm="1">
        <f t="array" ref="BR145">IF(VLOOKUP($R145,武学奇术!$A:$ZZ,24,FALSE)=1,100%,MIN(40%,$B$10+VLOOKUP($R145,武学奇术!$A:$ZZ,19,FALSE)+SUM(_xlfn.XLOOKUP(S145:AL145,增益!$A:$A,增益!$S:$S,0)))+$B$12+SUM(_xlfn.XLOOKUP(S145:AL145,增益!$A:$A,增益!$V:$V,0)))*IF(VLOOKUP($R145,武学奇术!$A:$ZZ,23,FALSE)=1,0,1)</f>
        <v>0.0913</v>
      </c>
      <c r="BS145" s="23" cm="1">
        <f t="array" ref="BS145">1+$B$14+VLOOKUP($R145,武学奇术!$A:$ZZ,20,FALSE)+SUM(_xlfn.XLOOKUP(S145:AL145,增益!$A:$A,增益!$T:$T,0))</f>
        <v>1.35</v>
      </c>
      <c r="BT145" s="23">
        <f t="shared" si="32"/>
        <v>0.79544</v>
      </c>
      <c r="BU145" s="23">
        <f t="shared" si="33"/>
        <v>0.10808041</v>
      </c>
      <c r="BV145" s="23">
        <f>IF(VLOOKUP($R145,武学奇术!$A:$ZZ,22,FALSE)=1,0,(1-$BO145))*(1-$BR145)</f>
        <v>0.00517959000000003</v>
      </c>
      <c r="BW145" s="23" cm="1">
        <f t="array" ref="BW145">SUM(_xlfn.XLOOKUP(S145:AL145,增益!$A:$A,增益!$W:$W,0))+$I$5</f>
        <v>0.21</v>
      </c>
      <c r="BX145" s="23">
        <f>VLOOKUP($R145,武学奇术!$A:$ZZ,32,FALSE)</f>
        <v>0</v>
      </c>
      <c r="BY145" s="23" cm="1">
        <f t="array" ref="BY145">SUM(_xlfn.XLOOKUP($S145:$AL145,增益!$A:$A,增益!$X:$X,0))</f>
        <v>0</v>
      </c>
    </row>
    <row r="146" spans="11:77">
      <c r="K146" s="35">
        <f>$L146*VLOOKUP($R146,武学奇术!$A:$ZZ,31,FALSE)</f>
        <v>162189.726443167</v>
      </c>
      <c r="L146" s="90">
        <f>SUM(L120,L122,L129,L133,L141,L143,L145)*30%*(1+BY146)</f>
        <v>318019.07145719</v>
      </c>
      <c r="M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轻击",$B$21,0))*(1+IF(VLOOKUP($R146,武学奇术!$A:$ZZ,30,FALSE)="老鼠",$B$22,0))*(1+$BW146)*(1+$BX146)</f>
        <v>0</v>
      </c>
      <c r="N146" s="35">
        <f>(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轻击",$B$21,0))*(1+IF(VLOOKUP($R146,武学奇术!$A:$ZZ,30,FALSE)="老鼠",$B$22,0))*(1+$BW146))*(1+$BX146)</f>
        <v>0</v>
      </c>
      <c r="O146" s="35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轻击",$B$21,0))*(1+IF(VLOOKUP($R146,武学奇术!$A:$ZZ,30,FALSE)="老鼠",$B$22,0))*(1+$BW146)*(1+$BX146)</f>
        <v>0</v>
      </c>
      <c r="P146" s="35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轻击",$B$21,0))*(1+IF(VLOOKUP($R146,武学奇术!$A:$ZZ,30,FALSE)="老鼠",$B$22,0))*(1+$BW146)*(1+$BX146)</f>
        <v>0</v>
      </c>
      <c r="Q146" s="36">
        <v>1</v>
      </c>
      <c r="R146" s="37" t="s">
        <v>177</v>
      </c>
      <c r="S146" s="37" t="s">
        <v>81</v>
      </c>
      <c r="T146" s="37" t="s">
        <v>81</v>
      </c>
      <c r="U146" s="37" t="s">
        <v>81</v>
      </c>
      <c r="V146" s="37" t="s">
        <v>81</v>
      </c>
      <c r="W146" s="37" t="s">
        <v>81</v>
      </c>
      <c r="X146" s="37" t="s">
        <v>81</v>
      </c>
      <c r="Y146" s="37" t="s">
        <v>81</v>
      </c>
      <c r="Z146" s="37" t="s">
        <v>81</v>
      </c>
      <c r="AA146" s="37" t="s">
        <v>81</v>
      </c>
      <c r="AB146" s="37" t="s">
        <v>81</v>
      </c>
      <c r="AC146" s="37" t="s">
        <v>81</v>
      </c>
      <c r="AD146" s="37" t="s">
        <v>81</v>
      </c>
      <c r="AE146" s="37" t="s">
        <v>81</v>
      </c>
      <c r="AF146" s="37" t="s">
        <v>81</v>
      </c>
      <c r="AG146" s="37" t="s">
        <v>87</v>
      </c>
      <c r="AH146" s="37" t="s">
        <v>81</v>
      </c>
      <c r="AI146" s="37" t="s">
        <v>81</v>
      </c>
      <c r="AJ146" s="37" t="s">
        <v>81</v>
      </c>
      <c r="AK146" s="37" t="s">
        <v>81</v>
      </c>
      <c r="AL146" s="37" t="s">
        <v>81</v>
      </c>
      <c r="AM146" t="str">
        <f>VLOOKUP($R146,武学奇术!$A:$ZZ,25,FALSE)</f>
        <v>心法</v>
      </c>
      <c r="AN146" s="23">
        <f>VLOOKUP($R146,武学奇术!$A:$ZZ,26,FALSE)</f>
        <v>0</v>
      </c>
      <c r="AO146" s="24">
        <f>VLOOKUP($R146,武学奇术!$A:$ZZ,27,FALSE)*(1+IF(OR($AM146=$F$4,$AM146=$F$5),$B$23,0))</f>
        <v>0</v>
      </c>
      <c r="AP146" s="23">
        <f>VLOOKUP($R146,武学奇术!$A:$ZZ,28,FALSE)</f>
        <v>0</v>
      </c>
      <c r="AQ146" s="24">
        <f>VLOOKUP($R146,武学奇术!$A:$ZZ,29,FALSE)*(1+IF(OR($AM146=$F$4,$AM146=$F$5),$B$23,0))</f>
        <v>0</v>
      </c>
      <c r="AR146" s="23" cm="1">
        <f t="array" ref="AR146">$G$3+IFERROR(VLOOKUP($AM146,$F$4:$G$7,2,FALSE),0)+VLOOKUP($R146,武学奇术!$A:$ZZ,2,FALSE)+SUM(_xlfn.XLOOKUP($S146:$AL146,增益!$A:$A,增益!$B:$B,0))</f>
        <v>0.1042</v>
      </c>
      <c r="AS146" s="23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4013</v>
      </c>
      <c r="AU146" cm="1">
        <f t="array" ref="AU146">$E$10*(1+$AS146)+VLOOKUP($R146,武学奇术!$A:$ZZ,4,FALSE)+SUM(_xlfn.XLOOKUP($S146:$AL146,增益!$A:$A,增益!$D:$D,0))-$I$2</f>
        <v>4013</v>
      </c>
      <c r="AV146" s="29" cm="1">
        <f t="array" ref="AV146">IF($F$10-$I$3+VLOOKUP($R146,武学奇术!$A:$ZZ,6,FALSE)+SUM(_xlfn.XLOOKUP(S146:AL146,增益!$A:$A,增益!$F:$F,0))&gt;0,($F$10-$I$3+VLOOKUP($R146,武学奇术!$A:$ZZ,6,FALSE)+SUM(_xlfn.XLOOKUP(S146:AL146,增益!$A:$A,增益!$F:$F,0)))/200,($F$10-$I$3+VLOOKUP($R146,武学奇术!$A:$ZZ,6,FALSE)+SUM(_xlfn.XLOOKUP(S146:AL146,增益!$A:$A,增益!$F:$F,0)))/100)</f>
        <v>0.1939</v>
      </c>
      <c r="AW146" s="29" cm="1">
        <f t="array" ref="AW146">$G$10+VLOOKUP($R146,武学奇术!$A:$ZZ,7,FALSE)+SUM(_xlfn.XLOOKUP(S146:AL146,增益!$A:$A,增益!$G:$G,0))</f>
        <v>0</v>
      </c>
      <c r="AX146" s="23" cm="1">
        <f t="array" ref="AX146">VLOOKUP($R146,武学奇术!$A:$ZZ,8,FALSE)+SUM(_xlfn.XLOOKUP(S146:AL146,增益!$A:$A,增益!$H:$H,0))</f>
        <v>0</v>
      </c>
      <c r="AY146">
        <f t="shared" si="24"/>
        <v>0</v>
      </c>
      <c r="AZ146">
        <f t="shared" si="25"/>
        <v>0</v>
      </c>
      <c r="BA146" s="29" cm="1">
        <f t="array" ref="BA146">IF($F$11-$I$4+VLOOKUP($R146,武学奇术!$A:$ZZ,9,FALSE)+SUM(_xlfn.XLOOKUP(S146:AL146,增益!$A:$A,增益!$I:$I,0))&gt;0,($F$11-$I$4+VLOOKUP($R146,武学奇术!$A:$ZZ,9,FALSE)+SUM(_xlfn.XLOOKUP(S146:AL146,增益!$A:$A,增益!$I:$I,0)))/200,($F$11-$I$4+VLOOKUP($R146,武学奇术!$A:$ZZ,9,FALSE)+SUM(_xlfn.XLOOKUP(S146:AL146,增益!$A:$A,增益!$I:$I,0)))/100)</f>
        <v>-0.3</v>
      </c>
      <c r="BB146" s="29" cm="1">
        <f t="array" ref="BB146">$G$11+VLOOKUP($R146,武学奇术!$A:$ZZ,10,FALSE)+SUM(_xlfn.XLOOKUP(S146:AL146,增益!$A:$A,增益!$J:$J,0))</f>
        <v>0</v>
      </c>
      <c r="BC146">
        <f t="shared" si="26"/>
        <v>0</v>
      </c>
      <c r="BD146">
        <f t="shared" si="27"/>
        <v>0</v>
      </c>
      <c r="BE146" s="29" cm="1">
        <f t="array" ref="BE146">IF($F$12-$I$4+VLOOKUP($R146,武学奇术!$A:$ZZ,11,FALSE)+SUM(_xlfn.XLOOKUP(S146:AL146,增益!$A:$A,增益!$K:$K,0))&gt;0,($F$12-$I$4+VLOOKUP($R146,武学奇术!$A:$ZZ,11,FALSE)+SUM(_xlfn.XLOOKUP(S146:AL146,增益!$A:$A,增益!$K:$K,0)))/200,($F$12-$I$4+VLOOKUP($R146,武学奇术!$A:$ZZ,11,FALSE)+SUM(_xlfn.XLOOKUP(S146:AL146,增益!$A:$A,增益!$K:$K,0)))/100)</f>
        <v>-0.3</v>
      </c>
      <c r="BF146" s="29" cm="1">
        <f t="array" ref="BF146">$G$12+VLOOKUP($R146,武学奇术!$A:$ZZ,12,FALSE)+SUM(_xlfn.XLOOKUP(S146:AL146,增益!$A:$A,增益!$L:$L,0))</f>
        <v>0</v>
      </c>
      <c r="BG146">
        <f t="shared" si="28"/>
        <v>0</v>
      </c>
      <c r="BH146">
        <f t="shared" si="29"/>
        <v>0</v>
      </c>
      <c r="BI146" s="29" cm="1">
        <f t="array" ref="BI146">IF($F$13-$I$4+VLOOKUP($R146,武学奇术!$A:$ZZ,13,FALSE)+SUM(_xlfn.XLOOKUP(S146:AL146,增益!$A:$A,增益!$M:$M,0))&gt;0,($F$13-$I$4+VLOOKUP($R146,武学奇术!$A:$ZZ,13,FALSE)+SUM(_xlfn.XLOOKUP(S146:AL146,增益!$A:$A,增益!$K:$K,0)))/200,($F$13-$I$4+VLOOKUP($R146,武学奇术!$A:$ZZ,13,FALSE)+SUM(_xlfn.XLOOKUP(S146:AL146,增益!$A:$A,增益!$M:$M,0)))/100)</f>
        <v>-0.3</v>
      </c>
      <c r="BJ146" s="29" cm="1">
        <f t="array" ref="BJ146">$G$13+VLOOKUP($R146,武学奇术!$A:$ZZ,14,FALSE)+SUM(_xlfn.XLOOKUP(S146:AL146,增益!$A:$A,增益!$N:$N,0))</f>
        <v>0</v>
      </c>
      <c r="BK146">
        <f t="shared" si="30"/>
        <v>618.2</v>
      </c>
      <c r="BL146">
        <f t="shared" si="31"/>
        <v>1805</v>
      </c>
      <c r="BM146" s="29" cm="1">
        <f t="array" ref="BM146">IF($F$14-$I$4+VLOOKUP($R146,武学奇术!$A:$ZZ,15,FALSE)+SUM(_xlfn.XLOOKUP(S146:AL146,增益!$A:$A,增益!$O:$O,0))&gt;0,($F$14-$I$4+VLOOKUP($R146,武学奇术!$A:$ZZ,15,FALSE)+SUM(_xlfn.XLOOKUP(S146:AL146,增益!$A:$A,增益!$O:$O,0)))/200,($F$14-$I$4+VLOOKUP($R146,武学奇术!$A:$ZZ,15,FALSE)+SUM(_xlfn.XLOOKUP(S146:AL146,增益!$A:$A,增益!$O:$O,0)))/100)</f>
        <v>0</v>
      </c>
      <c r="BN146" s="29" cm="1">
        <f t="array" ref="BN146">$G$14+VLOOKUP($R146,武学奇术!$A:$ZZ,16,FALSE)+SUM(_xlfn.XLOOKUP(S146:AL146,增益!$A:$A,增益!$P:$P,0))</f>
        <v>0.15</v>
      </c>
      <c r="BO146" s="23">
        <f>MIN(IF(VLOOKUP($R146,武学奇术!$A:$ZZ,23,FALSE)=1,100%,$B$8),100%)</f>
        <v>0.9943</v>
      </c>
      <c r="BP146" s="23" cm="1">
        <f t="array" ref="BP146">IF(VLOOKUP($R146,武学奇术!$A:$ZZ,23,FALSE)=1,100%,MIN(80%,$B$9+VLOOKUP($R146,武学奇术!$A:$ZZ,17,FALSE)+SUM(_xlfn.XLOOKUP(S146:AL146,增益!$A:$A,增益!$Q:$Q,0)))+$B$11+SUM(_xlfn.XLOOKUP(S146:AL146,增益!$A:$A,增益!$U:$U,0)))*IF(VLOOKUP($R146,武学奇术!$A:$ZZ,24,FALSE)=1,0,1)</f>
        <v>0.8</v>
      </c>
      <c r="BQ146" s="23" cm="1">
        <f t="array" ref="BQ146">1+$B$13+VLOOKUP($R146,武学奇术!$A:$ZZ,18,FALSE)+SUM(_xlfn.XLOOKUP(S146:AL146,增益!$A:$A,增益!$R:$R,0))</f>
        <v>1.544</v>
      </c>
      <c r="BR146" s="23" cm="1">
        <f t="array" ref="BR146">IF(VLOOKUP($R146,武学奇术!$A:$ZZ,24,FALSE)=1,100%,MIN(40%,$B$10+VLOOKUP($R146,武学奇术!$A:$ZZ,19,FALSE)+SUM(_xlfn.XLOOKUP(S146:AL146,增益!$A:$A,增益!$S:$S,0)))+$B$12+SUM(_xlfn.XLOOKUP(S146:AL146,增益!$A:$A,增益!$V:$V,0)))*IF(VLOOKUP($R146,武学奇术!$A:$ZZ,23,FALSE)=1,0,1)</f>
        <v>0.0913</v>
      </c>
      <c r="BS146" s="23" cm="1">
        <f t="array" ref="BS146">1+$B$14+VLOOKUP($R146,武学奇术!$A:$ZZ,20,FALSE)+SUM(_xlfn.XLOOKUP(S146:AL146,增益!$A:$A,增益!$T:$T,0))</f>
        <v>1.35</v>
      </c>
      <c r="BT146" s="23">
        <f t="shared" si="32"/>
        <v>0.79544</v>
      </c>
      <c r="BU146" s="23">
        <f t="shared" si="33"/>
        <v>0.10808041</v>
      </c>
      <c r="BV146" s="23">
        <f>IF(VLOOKUP($R146,武学奇术!$A:$ZZ,22,FALSE)=1,0,(1-$BO146))*(1-$BR146)</f>
        <v>0.00517959000000003</v>
      </c>
      <c r="BW146" s="23" cm="1">
        <f t="array" ref="BW146">SUM(_xlfn.XLOOKUP(S146:AL146,增益!$A:$A,增益!$W:$W,0))+$I$5</f>
        <v>0.11</v>
      </c>
      <c r="BX146" s="23">
        <f>VLOOKUP($R146,武学奇术!$A:$ZZ,32,FALSE)</f>
        <v>0</v>
      </c>
      <c r="BY146" s="23" cm="1">
        <f t="array" ref="BY146">SUM(_xlfn.XLOOKUP($S146:$AL146,增益!$A:$A,增益!$X:$X,0))</f>
        <v>0</v>
      </c>
    </row>
    <row r="147" spans="11:77">
      <c r="K147" s="35">
        <f>$L147*VLOOKUP($R147,武学奇术!$A:$ZZ,31,FALSE)</f>
        <v>0</v>
      </c>
      <c r="L147" s="35">
        <f t="shared" ref="L147:L179" si="34">($M147*$BT147+$N147*$BR147+$O147*$BU147+$P147*$BV147)</f>
        <v>0</v>
      </c>
      <c r="M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轻击",$B$21,0))*(1+IF(VLOOKUP($R147,武学奇术!$A:$ZZ,30,FALSE)="老鼠",$B$22,0))*(1+$BW147)*(1+$BX147)</f>
        <v>0</v>
      </c>
      <c r="N147" s="35">
        <f>(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轻击",$B$21,0))*(1+IF(VLOOKUP($R147,武学奇术!$A:$ZZ,30,FALSE)="老鼠",$B$22,0))*(1+$BW147))*(1+$BX147)</f>
        <v>0</v>
      </c>
      <c r="O147" s="35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轻击",$B$21,0))*(1+IF(VLOOKUP($R147,武学奇术!$A:$ZZ,30,FALSE)="老鼠",$B$22,0))*(1+$BW147)*(1+$BX147)</f>
        <v>0</v>
      </c>
      <c r="P147" s="35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轻击",$B$21,0))*(1+IF(VLOOKUP($R147,武学奇术!$A:$ZZ,30,FALSE)="老鼠",$B$22,0))*(1+$BW147)*(1+$BX147)</f>
        <v>0</v>
      </c>
      <c r="Q147" s="36">
        <v>1</v>
      </c>
      <c r="R147" s="37" t="s">
        <v>81</v>
      </c>
      <c r="S147" s="37" t="s">
        <v>81</v>
      </c>
      <c r="T147" s="37" t="s">
        <v>81</v>
      </c>
      <c r="U147" s="37" t="s">
        <v>81</v>
      </c>
      <c r="V147" s="37" t="s">
        <v>81</v>
      </c>
      <c r="W147" s="37" t="s">
        <v>81</v>
      </c>
      <c r="X147" s="37" t="s">
        <v>81</v>
      </c>
      <c r="Y147" s="37" t="s">
        <v>81</v>
      </c>
      <c r="Z147" s="37" t="s">
        <v>81</v>
      </c>
      <c r="AA147" s="37" t="s">
        <v>81</v>
      </c>
      <c r="AB147" s="37" t="s">
        <v>81</v>
      </c>
      <c r="AC147" s="37" t="s">
        <v>81</v>
      </c>
      <c r="AD147" s="37" t="s">
        <v>81</v>
      </c>
      <c r="AE147" s="37" t="s">
        <v>81</v>
      </c>
      <c r="AF147" s="37" t="s">
        <v>81</v>
      </c>
      <c r="AG147" s="37" t="s">
        <v>87</v>
      </c>
      <c r="AH147" s="37" t="s">
        <v>81</v>
      </c>
      <c r="AI147" s="37" t="s">
        <v>81</v>
      </c>
      <c r="AJ147" s="37" t="s">
        <v>81</v>
      </c>
      <c r="AK147" s="37" t="s">
        <v>81</v>
      </c>
      <c r="AL147" s="37" t="s">
        <v>81</v>
      </c>
      <c r="AM147" t="str">
        <f>VLOOKUP($R147,武学奇术!$A:$ZZ,25,FALSE)</f>
        <v>心法</v>
      </c>
      <c r="AN147" s="23">
        <f>VLOOKUP($R147,武学奇术!$A:$ZZ,26,FALSE)</f>
        <v>0</v>
      </c>
      <c r="AO147" s="24">
        <f>VLOOKUP($R147,武学奇术!$A:$ZZ,27,FALSE)*(1+IF(OR($AM147=$F$4,$AM147=$F$5),$B$23,0))</f>
        <v>0</v>
      </c>
      <c r="AP147" s="23">
        <f>VLOOKUP($R147,武学奇术!$A:$ZZ,28,FALSE)</f>
        <v>0</v>
      </c>
      <c r="AQ147" s="24">
        <f>VLOOKUP($R147,武学奇术!$A:$ZZ,29,FALSE)*(1+IF(OR($AM147=$F$4,$AM147=$F$5),$B$23,0))</f>
        <v>0</v>
      </c>
      <c r="AR147" s="23" cm="1">
        <f t="array" ref="AR147">$G$3+IFERROR(VLOOKUP($AM147,$F$4:$G$7,2,FALSE),0)+VLOOKUP($R147,武学奇术!$A:$ZZ,2,FALSE)+SUM(_xlfn.XLOOKUP($S147:$AL147,增益!$A:$A,增益!$B:$B,0))</f>
        <v>0.1042</v>
      </c>
      <c r="AS147" s="23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4013</v>
      </c>
      <c r="AU147" cm="1">
        <f t="array" ref="AU147">$E$10*(1+$AS147)+VLOOKUP($R147,武学奇术!$A:$ZZ,4,FALSE)+SUM(_xlfn.XLOOKUP($S147:$AL147,增益!$A:$A,增益!$D:$D,0))-$I$2</f>
        <v>4013</v>
      </c>
      <c r="AV147" s="29" cm="1">
        <f t="array" ref="AV147">IF($F$10-$I$3+VLOOKUP($R147,武学奇术!$A:$ZZ,6,FALSE)+SUM(_xlfn.XLOOKUP(S147:AL147,增益!$A:$A,增益!$F:$F,0))&gt;0,($F$10-$I$3+VLOOKUP($R147,武学奇术!$A:$ZZ,6,FALSE)+SUM(_xlfn.XLOOKUP(S147:AL147,增益!$A:$A,增益!$F:$F,0)))/200,($F$10-$I$3+VLOOKUP($R147,武学奇术!$A:$ZZ,6,FALSE)+SUM(_xlfn.XLOOKUP(S147:AL147,增益!$A:$A,增益!$F:$F,0)))/100)</f>
        <v>0.1939</v>
      </c>
      <c r="AW147" s="29" cm="1">
        <f t="array" ref="AW147">$G$10+VLOOKUP($R147,武学奇术!$A:$ZZ,7,FALSE)+SUM(_xlfn.XLOOKUP(S147:AL147,增益!$A:$A,增益!$G:$G,0))</f>
        <v>0</v>
      </c>
      <c r="AX147" s="23" cm="1">
        <f t="array" ref="AX147">VLOOKUP($R147,武学奇术!$A:$ZZ,8,FALSE)+SUM(_xlfn.XLOOKUP(S147:AL147,增益!$A:$A,增益!$H:$H,0))</f>
        <v>0</v>
      </c>
      <c r="AY147">
        <f t="shared" si="24"/>
        <v>0</v>
      </c>
      <c r="AZ147">
        <f t="shared" si="25"/>
        <v>0</v>
      </c>
      <c r="BA147" s="29" cm="1">
        <f t="array" ref="BA147">IF($F$11-$I$4+VLOOKUP($R147,武学奇术!$A:$ZZ,9,FALSE)+SUM(_xlfn.XLOOKUP(S147:AL147,增益!$A:$A,增益!$I:$I,0))&gt;0,($F$11-$I$4+VLOOKUP($R147,武学奇术!$A:$ZZ,9,FALSE)+SUM(_xlfn.XLOOKUP(S147:AL147,增益!$A:$A,增益!$I:$I,0)))/200,($F$11-$I$4+VLOOKUP($R147,武学奇术!$A:$ZZ,9,FALSE)+SUM(_xlfn.XLOOKUP(S147:AL147,增益!$A:$A,增益!$I:$I,0)))/100)</f>
        <v>-0.3</v>
      </c>
      <c r="BB147" s="29" cm="1">
        <f t="array" ref="BB147">$G$11+VLOOKUP($R147,武学奇术!$A:$ZZ,10,FALSE)+SUM(_xlfn.XLOOKUP(S147:AL147,增益!$A:$A,增益!$J:$J,0))</f>
        <v>0</v>
      </c>
      <c r="BC147">
        <f t="shared" si="26"/>
        <v>0</v>
      </c>
      <c r="BD147">
        <f t="shared" si="27"/>
        <v>0</v>
      </c>
      <c r="BE147" s="29" cm="1">
        <f t="array" ref="BE147">IF($F$12-$I$4+VLOOKUP($R147,武学奇术!$A:$ZZ,11,FALSE)+SUM(_xlfn.XLOOKUP(S147:AL147,增益!$A:$A,增益!$K:$K,0))&gt;0,($F$12-$I$4+VLOOKUP($R147,武学奇术!$A:$ZZ,11,FALSE)+SUM(_xlfn.XLOOKUP(S147:AL147,增益!$A:$A,增益!$K:$K,0)))/200,($F$12-$I$4+VLOOKUP($R147,武学奇术!$A:$ZZ,11,FALSE)+SUM(_xlfn.XLOOKUP(S147:AL147,增益!$A:$A,增益!$K:$K,0)))/100)</f>
        <v>-0.3</v>
      </c>
      <c r="BF147" s="29" cm="1">
        <f t="array" ref="BF147">$G$12+VLOOKUP($R147,武学奇术!$A:$ZZ,12,FALSE)+SUM(_xlfn.XLOOKUP(S147:AL147,增益!$A:$A,增益!$L:$L,0))</f>
        <v>0</v>
      </c>
      <c r="BG147">
        <f t="shared" si="28"/>
        <v>0</v>
      </c>
      <c r="BH147">
        <f t="shared" si="29"/>
        <v>0</v>
      </c>
      <c r="BI147" s="29" cm="1">
        <f t="array" ref="BI147">IF($F$13-$I$4+VLOOKUP($R147,武学奇术!$A:$ZZ,13,FALSE)+SUM(_xlfn.XLOOKUP(S147:AL147,增益!$A:$A,增益!$M:$M,0))&gt;0,($F$13-$I$4+VLOOKUP($R147,武学奇术!$A:$ZZ,13,FALSE)+SUM(_xlfn.XLOOKUP(S147:AL147,增益!$A:$A,增益!$K:$K,0)))/200,($F$13-$I$4+VLOOKUP($R147,武学奇术!$A:$ZZ,13,FALSE)+SUM(_xlfn.XLOOKUP(S147:AL147,增益!$A:$A,增益!$M:$M,0)))/100)</f>
        <v>-0.3</v>
      </c>
      <c r="BJ147" s="29" cm="1">
        <f t="array" ref="BJ147">$G$13+VLOOKUP($R147,武学奇术!$A:$ZZ,14,FALSE)+SUM(_xlfn.XLOOKUP(S147:AL147,增益!$A:$A,增益!$N:$N,0))</f>
        <v>0</v>
      </c>
      <c r="BK147">
        <f t="shared" si="30"/>
        <v>618.2</v>
      </c>
      <c r="BL147">
        <f t="shared" si="31"/>
        <v>1805</v>
      </c>
      <c r="BM147" s="29" cm="1">
        <f t="array" ref="BM147">IF($F$14-$I$4+VLOOKUP($R147,武学奇术!$A:$ZZ,15,FALSE)+SUM(_xlfn.XLOOKUP(S147:AL147,增益!$A:$A,增益!$O:$O,0))&gt;0,($F$14-$I$4+VLOOKUP($R147,武学奇术!$A:$ZZ,15,FALSE)+SUM(_xlfn.XLOOKUP(S147:AL147,增益!$A:$A,增益!$O:$O,0)))/200,($F$14-$I$4+VLOOKUP($R147,武学奇术!$A:$ZZ,15,FALSE)+SUM(_xlfn.XLOOKUP(S147:AL147,增益!$A:$A,增益!$O:$O,0)))/100)</f>
        <v>0</v>
      </c>
      <c r="BN147" s="29" cm="1">
        <f t="array" ref="BN147">$G$14+VLOOKUP($R147,武学奇术!$A:$ZZ,16,FALSE)+SUM(_xlfn.XLOOKUP(S147:AL147,增益!$A:$A,增益!$P:$P,0))</f>
        <v>0.15</v>
      </c>
      <c r="BO147" s="23">
        <f>MIN(IF(VLOOKUP($R147,武学奇术!$A:$ZZ,23,FALSE)=1,100%,$B$8),100%)</f>
        <v>0.9943</v>
      </c>
      <c r="BP147" s="23" cm="1">
        <f t="array" ref="BP147">IF(VLOOKUP($R147,武学奇术!$A:$ZZ,23,FALSE)=1,100%,MIN(80%,$B$9+VLOOKUP($R147,武学奇术!$A:$ZZ,17,FALSE)+SUM(_xlfn.XLOOKUP(S147:AL147,增益!$A:$A,增益!$Q:$Q,0)))+$B$11+SUM(_xlfn.XLOOKUP(S147:AL147,增益!$A:$A,增益!$U:$U,0)))*IF(VLOOKUP($R147,武学奇术!$A:$ZZ,24,FALSE)=1,0,1)</f>
        <v>0.8</v>
      </c>
      <c r="BQ147" s="23" cm="1">
        <f t="array" ref="BQ147">1+$B$13+VLOOKUP($R147,武学奇术!$A:$ZZ,18,FALSE)+SUM(_xlfn.XLOOKUP(S147:AL147,增益!$A:$A,增益!$R:$R,0))</f>
        <v>1.544</v>
      </c>
      <c r="BR147" s="23" cm="1">
        <f t="array" ref="BR147">IF(VLOOKUP($R147,武学奇术!$A:$ZZ,24,FALSE)=1,100%,MIN(40%,$B$10+VLOOKUP($R147,武学奇术!$A:$ZZ,19,FALSE)+SUM(_xlfn.XLOOKUP(S147:AL147,增益!$A:$A,增益!$S:$S,0)))+$B$12+SUM(_xlfn.XLOOKUP(S147:AL147,增益!$A:$A,增益!$V:$V,0)))*IF(VLOOKUP($R147,武学奇术!$A:$ZZ,23,FALSE)=1,0,1)</f>
        <v>0.0913</v>
      </c>
      <c r="BS147" s="23" cm="1">
        <f t="array" ref="BS147">1+$B$14+VLOOKUP($R147,武学奇术!$A:$ZZ,20,FALSE)+SUM(_xlfn.XLOOKUP(S147:AL147,增益!$A:$A,增益!$T:$T,0))</f>
        <v>1.35</v>
      </c>
      <c r="BT147" s="23">
        <f t="shared" si="32"/>
        <v>0.79544</v>
      </c>
      <c r="BU147" s="23">
        <f t="shared" si="33"/>
        <v>0.10808041</v>
      </c>
      <c r="BV147" s="23">
        <f>IF(VLOOKUP($R147,武学奇术!$A:$ZZ,22,FALSE)=1,0,(1-$BO147))*(1-$BR147)</f>
        <v>0.00517959000000003</v>
      </c>
      <c r="BW147" s="23" cm="1">
        <f t="array" ref="BW147">SUM(_xlfn.XLOOKUP(S147:AL147,增益!$A:$A,增益!$W:$W,0))+$I$5</f>
        <v>0.11</v>
      </c>
      <c r="BX147" s="23">
        <f>VLOOKUP($R147,武学奇术!$A:$ZZ,32,FALSE)</f>
        <v>0</v>
      </c>
      <c r="BY147" s="23" cm="1">
        <f t="array" ref="BY147">SUM(_xlfn.XLOOKUP($S147:$AL147,增益!$A:$A,增益!$X:$X,0))</f>
        <v>0</v>
      </c>
    </row>
    <row r="148" spans="11:77">
      <c r="K148" s="35">
        <f>$L148*VLOOKUP($R148,武学奇术!$A:$ZZ,31,FALSE)</f>
        <v>17950.0983199948</v>
      </c>
      <c r="L148" s="35">
        <f t="shared" si="34"/>
        <v>16026.8734999954</v>
      </c>
      <c r="M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轻击",$B$21,0))*(1+IF(VLOOKUP($R148,武学奇术!$A:$ZZ,30,FALSE)="老鼠",$B$22,0))*(1+$BW148)*(1+$BX148)</f>
        <v>17272.9008325879</v>
      </c>
      <c r="N148" s="35">
        <f>(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轻击",$B$21,0))*(1+IF(VLOOKUP($R148,武学奇术!$A:$ZZ,30,FALSE)="老鼠",$B$22,0))*(1+$BW148))*(1+$BX148)</f>
        <v>13802.04465054</v>
      </c>
      <c r="O148" s="35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轻击",$B$21,0))*(1+IF(VLOOKUP($R148,武学奇术!$A:$ZZ,30,FALSE)="老鼠",$B$22,0))*(1+$BW148)*(1+$BX148)</f>
        <v>9119.79980601263</v>
      </c>
      <c r="P148" s="35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轻击",$B$21,0))*(1+IF(VLOOKUP($R148,武学奇术!$A:$ZZ,30,FALSE)="老鼠",$B$22,0))*(1+$BW148)*(1+$BX148)</f>
        <v>8015.86283384749</v>
      </c>
      <c r="Q148" s="36">
        <v>1</v>
      </c>
      <c r="R148" s="37" t="s">
        <v>111</v>
      </c>
      <c r="S148" s="37" t="s">
        <v>91</v>
      </c>
      <c r="T148" s="37" t="s">
        <v>185</v>
      </c>
      <c r="U148" s="37" t="s">
        <v>112</v>
      </c>
      <c r="V148" s="37" t="s">
        <v>113</v>
      </c>
      <c r="W148" s="37" t="s">
        <v>82</v>
      </c>
      <c r="X148" s="37" t="s">
        <v>81</v>
      </c>
      <c r="Y148" s="37" t="s">
        <v>109</v>
      </c>
      <c r="Z148" s="37" t="s">
        <v>81</v>
      </c>
      <c r="AA148" s="37" t="s">
        <v>81</v>
      </c>
      <c r="AB148" s="37" t="s">
        <v>183</v>
      </c>
      <c r="AC148" s="37" t="s">
        <v>81</v>
      </c>
      <c r="AD148" s="37" t="s">
        <v>85</v>
      </c>
      <c r="AE148" s="37" t="s">
        <v>86</v>
      </c>
      <c r="AF148" s="37" t="s">
        <v>181</v>
      </c>
      <c r="AG148" s="37" t="s">
        <v>87</v>
      </c>
      <c r="AH148" s="37" t="s">
        <v>81</v>
      </c>
      <c r="AI148" s="37" t="s">
        <v>81</v>
      </c>
      <c r="AJ148" s="37" t="s">
        <v>81</v>
      </c>
      <c r="AK148" s="37" t="s">
        <v>81</v>
      </c>
      <c r="AL148" s="37" t="s">
        <v>81</v>
      </c>
      <c r="AM148" t="str">
        <f>VLOOKUP($R148,武学奇术!$A:$ZZ,25,FALSE)</f>
        <v>双刀</v>
      </c>
      <c r="AN148" s="23">
        <f>VLOOKUP($R148,武学奇术!$A:$ZZ,26,FALSE)</f>
        <v>0.4205</v>
      </c>
      <c r="AO148" s="24">
        <f>VLOOKUP($R148,武学奇术!$A:$ZZ,27,FALSE)*(1+IF(OR($AM148=$F$4,$AM148=$F$5),$B$23,0))</f>
        <v>187.2</v>
      </c>
      <c r="AP148" s="23">
        <f>VLOOKUP($R148,武学奇术!$A:$ZZ,28,FALSE)</f>
        <v>0.6307</v>
      </c>
      <c r="AQ148" s="24">
        <f>VLOOKUP($R148,武学奇术!$A:$ZZ,29,FALSE)*(1+IF(OR($AM148=$F$4,$AM148=$F$5),$B$23,0))</f>
        <v>102.4</v>
      </c>
      <c r="AR148" s="23" cm="1">
        <f t="array" ref="AR148">$G$3+IFERROR(VLOOKUP($AM148,$F$4:$G$7,2,FALSE),0)+VLOOKUP($R148,武学奇术!$A:$ZZ,2,FALSE)+SUM(_xlfn.XLOOKUP($S148:$AL148,增益!$A:$A,增益!$B:$B,0))</f>
        <v>0.7443</v>
      </c>
      <c r="AS148" s="23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4081.7</v>
      </c>
      <c r="AU148" cm="1">
        <f t="array" ref="AU148">$E$10*(1+$AS148)+VLOOKUP($R148,武学奇术!$A:$ZZ,4,FALSE)+SUM(_xlfn.XLOOKUP($S148:$AL148,增益!$A:$A,增益!$D:$D,0))-$I$2</f>
        <v>4081.7</v>
      </c>
      <c r="AV148" s="29" cm="1">
        <f t="array" ref="AV148">IF($F$10-$I$3+VLOOKUP($R148,武学奇术!$A:$ZZ,6,FALSE)+SUM(_xlfn.XLOOKUP(S148:AL148,增益!$A:$A,增益!$F:$F,0))&gt;0,($F$10-$I$3+VLOOKUP($R148,武学奇术!$A:$ZZ,6,FALSE)+SUM(_xlfn.XLOOKUP(S148:AL148,增益!$A:$A,增益!$F:$F,0)))/200,($F$10-$I$3+VLOOKUP($R148,武学奇术!$A:$ZZ,6,FALSE)+SUM(_xlfn.XLOOKUP(S148:AL148,增益!$A:$A,增益!$F:$F,0)))/100)</f>
        <v>0.3689</v>
      </c>
      <c r="AW148" s="29" cm="1">
        <f t="array" ref="AW148">$G$10+VLOOKUP($R148,武学奇术!$A:$ZZ,7,FALSE)+SUM(_xlfn.XLOOKUP(S148:AL148,增益!$A:$A,增益!$G:$G,0))</f>
        <v>0.06</v>
      </c>
      <c r="AX148" s="23" cm="1">
        <f t="array" ref="AX148">VLOOKUP($R148,武学奇术!$A:$ZZ,8,FALSE)+SUM(_xlfn.XLOOKUP(S148:AL148,增益!$A:$A,增益!$H:$H,0))</f>
        <v>0</v>
      </c>
      <c r="AY148">
        <f t="shared" si="24"/>
        <v>0</v>
      </c>
      <c r="AZ148">
        <f t="shared" si="25"/>
        <v>0</v>
      </c>
      <c r="BA148" s="29" cm="1">
        <f t="array" ref="BA148">IF($F$11-$I$4+VLOOKUP($R148,武学奇术!$A:$ZZ,9,FALSE)+SUM(_xlfn.XLOOKUP(S148:AL148,增益!$A:$A,增益!$I:$I,0))&gt;0,($F$11-$I$4+VLOOKUP($R148,武学奇术!$A:$ZZ,9,FALSE)+SUM(_xlfn.XLOOKUP(S148:AL148,增益!$A:$A,增益!$I:$I,0)))/200,($F$11-$I$4+VLOOKUP($R148,武学奇术!$A:$ZZ,9,FALSE)+SUM(_xlfn.XLOOKUP(S148:AL148,增益!$A:$A,增益!$I:$I,0)))/100)</f>
        <v>-0.3</v>
      </c>
      <c r="BB148" s="29" cm="1">
        <f t="array" ref="BB148">$G$11+VLOOKUP($R148,武学奇术!$A:$ZZ,10,FALSE)+SUM(_xlfn.XLOOKUP(S148:AL148,增益!$A:$A,增益!$J:$J,0))</f>
        <v>0</v>
      </c>
      <c r="BC148">
        <f t="shared" si="26"/>
        <v>0</v>
      </c>
      <c r="BD148">
        <f t="shared" si="27"/>
        <v>0</v>
      </c>
      <c r="BE148" s="29" cm="1">
        <f t="array" ref="BE148">IF($F$12-$I$4+VLOOKUP($R148,武学奇术!$A:$ZZ,11,FALSE)+SUM(_xlfn.XLOOKUP(S148:AL148,增益!$A:$A,增益!$K:$K,0))&gt;0,($F$12-$I$4+VLOOKUP($R148,武学奇术!$A:$ZZ,11,FALSE)+SUM(_xlfn.XLOOKUP(S148:AL148,增益!$A:$A,增益!$K:$K,0)))/200,($F$12-$I$4+VLOOKUP($R148,武学奇术!$A:$ZZ,11,FALSE)+SUM(_xlfn.XLOOKUP(S148:AL148,增益!$A:$A,增益!$K:$K,0)))/100)</f>
        <v>-0.3</v>
      </c>
      <c r="BF148" s="29" cm="1">
        <f t="array" ref="BF148">$G$12+VLOOKUP($R148,武学奇术!$A:$ZZ,12,FALSE)+SUM(_xlfn.XLOOKUP(S148:AL148,增益!$A:$A,增益!$L:$L,0))</f>
        <v>0</v>
      </c>
      <c r="BG148">
        <f t="shared" si="28"/>
        <v>0</v>
      </c>
      <c r="BH148">
        <f t="shared" si="29"/>
        <v>0</v>
      </c>
      <c r="BI148" s="29" cm="1">
        <f t="array" ref="BI148">IF($F$13-$I$4+VLOOKUP($R148,武学奇术!$A:$ZZ,13,FALSE)+SUM(_xlfn.XLOOKUP(S148:AL148,增益!$A:$A,增益!$M:$M,0))&gt;0,($F$13-$I$4+VLOOKUP($R148,武学奇术!$A:$ZZ,13,FALSE)+SUM(_xlfn.XLOOKUP(S148:AL148,增益!$A:$A,增益!$K:$K,0)))/200,($F$13-$I$4+VLOOKUP($R148,武学奇术!$A:$ZZ,13,FALSE)+SUM(_xlfn.XLOOKUP(S148:AL148,增益!$A:$A,增益!$M:$M,0)))/100)</f>
        <v>-0.3</v>
      </c>
      <c r="BJ148" s="29" cm="1">
        <f t="array" ref="BJ148">$G$13+VLOOKUP($R148,武学奇术!$A:$ZZ,14,FALSE)+SUM(_xlfn.XLOOKUP(S148:AL148,增益!$A:$A,增益!$N:$N,0))</f>
        <v>0</v>
      </c>
      <c r="BK148">
        <f t="shared" si="30"/>
        <v>618.2</v>
      </c>
      <c r="BL148">
        <f t="shared" si="31"/>
        <v>1805</v>
      </c>
      <c r="BM148" s="29" cm="1">
        <f t="array" ref="BM148">IF($F$14-$I$4+VLOOKUP($R148,武学奇术!$A:$ZZ,15,FALSE)+SUM(_xlfn.XLOOKUP(S148:AL148,增益!$A:$A,增益!$O:$O,0))&gt;0,($F$14-$I$4+VLOOKUP($R148,武学奇术!$A:$ZZ,15,FALSE)+SUM(_xlfn.XLOOKUP(S148:AL148,增益!$A:$A,增益!$O:$O,0)))/200,($F$14-$I$4+VLOOKUP($R148,武学奇术!$A:$ZZ,15,FALSE)+SUM(_xlfn.XLOOKUP(S148:AL148,增益!$A:$A,增益!$O:$O,0)))/100)</f>
        <v>0.05</v>
      </c>
      <c r="BN148" s="29" cm="1">
        <f t="array" ref="BN148">$G$14+VLOOKUP($R148,武学奇术!$A:$ZZ,16,FALSE)+SUM(_xlfn.XLOOKUP(S148:AL148,增益!$A:$A,增益!$P:$P,0))</f>
        <v>0.21</v>
      </c>
      <c r="BO148" s="23">
        <f>MIN(IF(VLOOKUP($R148,武学奇术!$A:$ZZ,23,FALSE)=1,100%,$B$8),100%)</f>
        <v>0.9943</v>
      </c>
      <c r="BP148" s="23" cm="1">
        <f t="array" ref="BP148">IF(VLOOKUP($R148,武学奇术!$A:$ZZ,23,FALSE)=1,100%,MIN(80%,$B$9+VLOOKUP($R148,武学奇术!$A:$ZZ,17,FALSE)+SUM(_xlfn.XLOOKUP(S148:AL148,增益!$A:$A,增益!$Q:$Q,0)))+$B$11+SUM(_xlfn.XLOOKUP(S148:AL148,增益!$A:$A,增益!$U:$U,0)))*IF(VLOOKUP($R148,武学奇术!$A:$ZZ,24,FALSE)=1,0,1)</f>
        <v>0.8</v>
      </c>
      <c r="BQ148" s="23" cm="1">
        <f t="array" ref="BQ148">1+$B$13+VLOOKUP($R148,武学奇术!$A:$ZZ,18,FALSE)+SUM(_xlfn.XLOOKUP(S148:AL148,增益!$A:$A,增益!$R:$R,0))</f>
        <v>1.894</v>
      </c>
      <c r="BR148" s="23" cm="1">
        <f t="array" ref="BR148">IF(VLOOKUP($R148,武学奇术!$A:$ZZ,24,FALSE)=1,100%,MIN(40%,$B$10+VLOOKUP($R148,武学奇术!$A:$ZZ,19,FALSE)+SUM(_xlfn.XLOOKUP(S148:AL148,增益!$A:$A,增益!$S:$S,0)))+$B$12+SUM(_xlfn.XLOOKUP(S148:AL148,增益!$A:$A,增益!$V:$V,0)))*IF(VLOOKUP($R148,武学奇术!$A:$ZZ,23,FALSE)=1,0,1)</f>
        <v>0.0913</v>
      </c>
      <c r="BS148" s="23" cm="1">
        <f t="array" ref="BS148">1+$B$14+VLOOKUP($R148,武学奇术!$A:$ZZ,20,FALSE)+SUM(_xlfn.XLOOKUP(S148:AL148,增益!$A:$A,增益!$T:$T,0))</f>
        <v>1.35</v>
      </c>
      <c r="BT148" s="23">
        <f t="shared" si="32"/>
        <v>0.79544</v>
      </c>
      <c r="BU148" s="23">
        <f t="shared" si="33"/>
        <v>0.10808041</v>
      </c>
      <c r="BV148" s="23">
        <f>IF(VLOOKUP($R148,武学奇术!$A:$ZZ,22,FALSE)=1,0,(1-$BO148))*(1-$BR148)</f>
        <v>0.00517959000000003</v>
      </c>
      <c r="BW148" s="23" cm="1">
        <f t="array" ref="BW148">SUM(_xlfn.XLOOKUP(S148:AL148,增益!$A:$A,增益!$W:$W,0))+$I$5</f>
        <v>0.21</v>
      </c>
      <c r="BX148" s="23">
        <f>VLOOKUP($R148,武学奇术!$A:$ZZ,32,FALSE)</f>
        <v>0.1</v>
      </c>
      <c r="BY148" s="23" cm="1">
        <f t="array" ref="BY148">SUM(_xlfn.XLOOKUP($S148:$AL148,增益!$A:$A,增益!$X:$X,0))</f>
        <v>0</v>
      </c>
    </row>
    <row r="149" spans="11:77">
      <c r="K149" s="35">
        <f>$L149*VLOOKUP($R149,武学奇术!$A:$ZZ,31,FALSE)</f>
        <v>19242.1747336344</v>
      </c>
      <c r="L149" s="35">
        <f t="shared" si="34"/>
        <v>17180.5131550308</v>
      </c>
      <c r="M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轻击",$B$21,0))*(1+IF(VLOOKUP($R149,武学奇术!$A:$ZZ,30,FALSE)="老鼠",$B$22,0))*(1+$BW149)*(1+$BX149)</f>
        <v>18516.186315241</v>
      </c>
      <c r="N149" s="35">
        <f>(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轻击",$B$21,0))*(1+IF(VLOOKUP($R149,武学奇术!$A:$ZZ,30,FALSE)="老鼠",$B$22,0))*(1+$BW149))*(1+$BX149)</f>
        <v>14795.9808743581</v>
      </c>
      <c r="O149" s="35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轻击",$B$21,0))*(1+IF(VLOOKUP($R149,武学奇术!$A:$ZZ,30,FALSE)="老鼠",$B$22,0))*(1+$BW149)*(1+$BX149)</f>
        <v>9776.23353497412</v>
      </c>
      <c r="P149" s="35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轻击",$B$21,0))*(1+IF(VLOOKUP($R149,武学奇术!$A:$ZZ,30,FALSE)="老鼠",$B$22,0))*(1+$BW149)*(1+$BX149)</f>
        <v>8592.48123709035</v>
      </c>
      <c r="Q149" s="36">
        <v>1</v>
      </c>
      <c r="R149" s="37" t="s">
        <v>116</v>
      </c>
      <c r="S149" s="37" t="s">
        <v>91</v>
      </c>
      <c r="T149" s="37" t="s">
        <v>185</v>
      </c>
      <c r="U149" s="37" t="s">
        <v>112</v>
      </c>
      <c r="V149" s="37" t="s">
        <v>113</v>
      </c>
      <c r="W149" s="37" t="s">
        <v>82</v>
      </c>
      <c r="X149" s="37" t="s">
        <v>81</v>
      </c>
      <c r="Y149" s="37" t="s">
        <v>109</v>
      </c>
      <c r="Z149" s="37" t="s">
        <v>81</v>
      </c>
      <c r="AA149" s="37" t="s">
        <v>81</v>
      </c>
      <c r="AB149" s="37" t="s">
        <v>183</v>
      </c>
      <c r="AC149" s="37" t="s">
        <v>81</v>
      </c>
      <c r="AD149" s="37" t="s">
        <v>85</v>
      </c>
      <c r="AE149" s="37" t="s">
        <v>86</v>
      </c>
      <c r="AF149" s="37" t="s">
        <v>181</v>
      </c>
      <c r="AG149" s="37" t="s">
        <v>87</v>
      </c>
      <c r="AH149" s="37" t="s">
        <v>81</v>
      </c>
      <c r="AI149" s="37" t="s">
        <v>81</v>
      </c>
      <c r="AJ149" s="37" t="s">
        <v>81</v>
      </c>
      <c r="AK149" s="37" t="s">
        <v>81</v>
      </c>
      <c r="AL149" s="37" t="s">
        <v>81</v>
      </c>
      <c r="AM149" t="str">
        <f>VLOOKUP($R149,武学奇术!$A:$ZZ,25,FALSE)</f>
        <v>双刀</v>
      </c>
      <c r="AN149" s="23">
        <f>VLOOKUP($R149,武学奇术!$A:$ZZ,26,FALSE)</f>
        <v>0.4508</v>
      </c>
      <c r="AO149" s="24">
        <f>VLOOKUP($R149,武学奇术!$A:$ZZ,27,FALSE)*(1+IF(OR($AM149=$F$4,$AM149=$F$5),$B$23,0))</f>
        <v>201.6</v>
      </c>
      <c r="AP149" s="23">
        <f>VLOOKUP($R149,武学奇术!$A:$ZZ,28,FALSE)</f>
        <v>0.6763</v>
      </c>
      <c r="AQ149" s="24">
        <f>VLOOKUP($R149,武学奇术!$A:$ZZ,29,FALSE)*(1+IF(OR($AM149=$F$4,$AM149=$F$5),$B$23,0))</f>
        <v>108.8</v>
      </c>
      <c r="AR149" s="23" cm="1">
        <f t="array" ref="AR149">$G$3+IFERROR(VLOOKUP($AM149,$F$4:$G$7,2,FALSE),0)+VLOOKUP($R149,武学奇术!$A:$ZZ,2,FALSE)+SUM(_xlfn.XLOOKUP($S149:$AL149,增益!$A:$A,增益!$B:$B,0))</f>
        <v>0.7443</v>
      </c>
      <c r="AS149" s="23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4081.7</v>
      </c>
      <c r="AU149" cm="1">
        <f t="array" ref="AU149">$E$10*(1+$AS149)+VLOOKUP($R149,武学奇术!$A:$ZZ,4,FALSE)+SUM(_xlfn.XLOOKUP($S149:$AL149,增益!$A:$A,增益!$D:$D,0))-$I$2</f>
        <v>4081.7</v>
      </c>
      <c r="AV149" s="29" cm="1">
        <f t="array" ref="AV149">IF($F$10-$I$3+VLOOKUP($R149,武学奇术!$A:$ZZ,6,FALSE)+SUM(_xlfn.XLOOKUP(S149:AL149,增益!$A:$A,增益!$F:$F,0))&gt;0,($F$10-$I$3+VLOOKUP($R149,武学奇术!$A:$ZZ,6,FALSE)+SUM(_xlfn.XLOOKUP(S149:AL149,增益!$A:$A,增益!$F:$F,0)))/200,($F$10-$I$3+VLOOKUP($R149,武学奇术!$A:$ZZ,6,FALSE)+SUM(_xlfn.XLOOKUP(S149:AL149,增益!$A:$A,增益!$F:$F,0)))/100)</f>
        <v>0.3689</v>
      </c>
      <c r="AW149" s="29" cm="1">
        <f t="array" ref="AW149">$G$10+VLOOKUP($R149,武学奇术!$A:$ZZ,7,FALSE)+SUM(_xlfn.XLOOKUP(S149:AL149,增益!$A:$A,增益!$G:$G,0))</f>
        <v>0.06</v>
      </c>
      <c r="AX149" s="23" cm="1">
        <f t="array" ref="AX149">VLOOKUP($R149,武学奇术!$A:$ZZ,8,FALSE)+SUM(_xlfn.XLOOKUP(S149:AL149,增益!$A:$A,增益!$H:$H,0))</f>
        <v>0</v>
      </c>
      <c r="AY149">
        <f t="shared" si="24"/>
        <v>0</v>
      </c>
      <c r="AZ149">
        <f t="shared" si="25"/>
        <v>0</v>
      </c>
      <c r="BA149" s="29" cm="1">
        <f t="array" ref="BA149">IF($F$11-$I$4+VLOOKUP($R149,武学奇术!$A:$ZZ,9,FALSE)+SUM(_xlfn.XLOOKUP(S149:AL149,增益!$A:$A,增益!$I:$I,0))&gt;0,($F$11-$I$4+VLOOKUP($R149,武学奇术!$A:$ZZ,9,FALSE)+SUM(_xlfn.XLOOKUP(S149:AL149,增益!$A:$A,增益!$I:$I,0)))/200,($F$11-$I$4+VLOOKUP($R149,武学奇术!$A:$ZZ,9,FALSE)+SUM(_xlfn.XLOOKUP(S149:AL149,增益!$A:$A,增益!$I:$I,0)))/100)</f>
        <v>-0.3</v>
      </c>
      <c r="BB149" s="29" cm="1">
        <f t="array" ref="BB149">$G$11+VLOOKUP($R149,武学奇术!$A:$ZZ,10,FALSE)+SUM(_xlfn.XLOOKUP(S149:AL149,增益!$A:$A,增益!$J:$J,0))</f>
        <v>0</v>
      </c>
      <c r="BC149">
        <f t="shared" si="26"/>
        <v>0</v>
      </c>
      <c r="BD149">
        <f t="shared" si="27"/>
        <v>0</v>
      </c>
      <c r="BE149" s="29" cm="1">
        <f t="array" ref="BE149">IF($F$12-$I$4+VLOOKUP($R149,武学奇术!$A:$ZZ,11,FALSE)+SUM(_xlfn.XLOOKUP(S149:AL149,增益!$A:$A,增益!$K:$K,0))&gt;0,($F$12-$I$4+VLOOKUP($R149,武学奇术!$A:$ZZ,11,FALSE)+SUM(_xlfn.XLOOKUP(S149:AL149,增益!$A:$A,增益!$K:$K,0)))/200,($F$12-$I$4+VLOOKUP($R149,武学奇术!$A:$ZZ,11,FALSE)+SUM(_xlfn.XLOOKUP(S149:AL149,增益!$A:$A,增益!$K:$K,0)))/100)</f>
        <v>-0.3</v>
      </c>
      <c r="BF149" s="29" cm="1">
        <f t="array" ref="BF149">$G$12+VLOOKUP($R149,武学奇术!$A:$ZZ,12,FALSE)+SUM(_xlfn.XLOOKUP(S149:AL149,增益!$A:$A,增益!$L:$L,0))</f>
        <v>0</v>
      </c>
      <c r="BG149">
        <f t="shared" si="28"/>
        <v>0</v>
      </c>
      <c r="BH149">
        <f t="shared" si="29"/>
        <v>0</v>
      </c>
      <c r="BI149" s="29" cm="1">
        <f t="array" ref="BI149">IF($F$13-$I$4+VLOOKUP($R149,武学奇术!$A:$ZZ,13,FALSE)+SUM(_xlfn.XLOOKUP(S149:AL149,增益!$A:$A,增益!$M:$M,0))&gt;0,($F$13-$I$4+VLOOKUP($R149,武学奇术!$A:$ZZ,13,FALSE)+SUM(_xlfn.XLOOKUP(S149:AL149,增益!$A:$A,增益!$K:$K,0)))/200,($F$13-$I$4+VLOOKUP($R149,武学奇术!$A:$ZZ,13,FALSE)+SUM(_xlfn.XLOOKUP(S149:AL149,增益!$A:$A,增益!$M:$M,0)))/100)</f>
        <v>-0.3</v>
      </c>
      <c r="BJ149" s="29" cm="1">
        <f t="array" ref="BJ149">$G$13+VLOOKUP($R149,武学奇术!$A:$ZZ,14,FALSE)+SUM(_xlfn.XLOOKUP(S149:AL149,增益!$A:$A,增益!$N:$N,0))</f>
        <v>0</v>
      </c>
      <c r="BK149">
        <f t="shared" si="30"/>
        <v>618.2</v>
      </c>
      <c r="BL149">
        <f t="shared" si="31"/>
        <v>1805</v>
      </c>
      <c r="BM149" s="29" cm="1">
        <f t="array" ref="BM149">IF($F$14-$I$4+VLOOKUP($R149,武学奇术!$A:$ZZ,15,FALSE)+SUM(_xlfn.XLOOKUP(S149:AL149,增益!$A:$A,增益!$O:$O,0))&gt;0,($F$14-$I$4+VLOOKUP($R149,武学奇术!$A:$ZZ,15,FALSE)+SUM(_xlfn.XLOOKUP(S149:AL149,增益!$A:$A,增益!$O:$O,0)))/200,($F$14-$I$4+VLOOKUP($R149,武学奇术!$A:$ZZ,15,FALSE)+SUM(_xlfn.XLOOKUP(S149:AL149,增益!$A:$A,增益!$O:$O,0)))/100)</f>
        <v>0.05</v>
      </c>
      <c r="BN149" s="29" cm="1">
        <f t="array" ref="BN149">$G$14+VLOOKUP($R149,武学奇术!$A:$ZZ,16,FALSE)+SUM(_xlfn.XLOOKUP(S149:AL149,增益!$A:$A,增益!$P:$P,0))</f>
        <v>0.21</v>
      </c>
      <c r="BO149" s="23">
        <f>MIN(IF(VLOOKUP($R149,武学奇术!$A:$ZZ,23,FALSE)=1,100%,$B$8),100%)</f>
        <v>0.9943</v>
      </c>
      <c r="BP149" s="23" cm="1">
        <f t="array" ref="BP149">IF(VLOOKUP($R149,武学奇术!$A:$ZZ,23,FALSE)=1,100%,MIN(80%,$B$9+VLOOKUP($R149,武学奇术!$A:$ZZ,17,FALSE)+SUM(_xlfn.XLOOKUP(S149:AL149,增益!$A:$A,增益!$Q:$Q,0)))+$B$11+SUM(_xlfn.XLOOKUP(S149:AL149,增益!$A:$A,增益!$U:$U,0)))*IF(VLOOKUP($R149,武学奇术!$A:$ZZ,24,FALSE)=1,0,1)</f>
        <v>0.8</v>
      </c>
      <c r="BQ149" s="23" cm="1">
        <f t="array" ref="BQ149">1+$B$13+VLOOKUP($R149,武学奇术!$A:$ZZ,18,FALSE)+SUM(_xlfn.XLOOKUP(S149:AL149,增益!$A:$A,增益!$R:$R,0))</f>
        <v>1.894</v>
      </c>
      <c r="BR149" s="23" cm="1">
        <f t="array" ref="BR149">IF(VLOOKUP($R149,武学奇术!$A:$ZZ,24,FALSE)=1,100%,MIN(40%,$B$10+VLOOKUP($R149,武学奇术!$A:$ZZ,19,FALSE)+SUM(_xlfn.XLOOKUP(S149:AL149,增益!$A:$A,增益!$S:$S,0)))+$B$12+SUM(_xlfn.XLOOKUP(S149:AL149,增益!$A:$A,增益!$V:$V,0)))*IF(VLOOKUP($R149,武学奇术!$A:$ZZ,23,FALSE)=1,0,1)</f>
        <v>0.0913</v>
      </c>
      <c r="BS149" s="23" cm="1">
        <f t="array" ref="BS149">1+$B$14+VLOOKUP($R149,武学奇术!$A:$ZZ,20,FALSE)+SUM(_xlfn.XLOOKUP(S149:AL149,增益!$A:$A,增益!$T:$T,0))</f>
        <v>1.35</v>
      </c>
      <c r="BT149" s="23">
        <f t="shared" si="32"/>
        <v>0.79544</v>
      </c>
      <c r="BU149" s="23">
        <f t="shared" si="33"/>
        <v>0.10808041</v>
      </c>
      <c r="BV149" s="23">
        <f>IF(VLOOKUP($R149,武学奇术!$A:$ZZ,22,FALSE)=1,0,(1-$BO149))*(1-$BR149)</f>
        <v>0.00517959000000003</v>
      </c>
      <c r="BW149" s="23" cm="1">
        <f t="array" ref="BW149">SUM(_xlfn.XLOOKUP(S149:AL149,增益!$A:$A,增益!$W:$W,0))+$I$5</f>
        <v>0.21</v>
      </c>
      <c r="BX149" s="23">
        <f>VLOOKUP($R149,武学奇术!$A:$ZZ,32,FALSE)</f>
        <v>0.1</v>
      </c>
      <c r="BY149" s="23" cm="1">
        <f t="array" ref="BY149">SUM(_xlfn.XLOOKUP($S149:$AL149,增益!$A:$A,增益!$X:$X,0))</f>
        <v>0</v>
      </c>
    </row>
    <row r="150" spans="11:77">
      <c r="K150" s="35">
        <f>$L150*VLOOKUP($R150,武学奇术!$A:$ZZ,31,FALSE)</f>
        <v>77312.0438573035</v>
      </c>
      <c r="L150" s="69">
        <f t="shared" si="34"/>
        <v>75796.1214287289</v>
      </c>
      <c r="M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轻击",$B$21,0))*(1+IF(VLOOKUP($R150,武学奇术!$A:$ZZ,30,FALSE)="老鼠",$B$22,0))*(1+$BW150)*(1+$BX150)</f>
        <v>81610.5978724717</v>
      </c>
      <c r="N150" s="35">
        <f>(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轻击",$B$21,0))*(1+IF(VLOOKUP($R150,武学奇术!$A:$ZZ,30,FALSE)="老鼠",$B$22,0))*(1+$BW150))*(1+$BX150)</f>
        <v>66043.0623113816</v>
      </c>
      <c r="O150" s="35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轻击",$B$21,0))*(1+IF(VLOOKUP($R150,武学奇术!$A:$ZZ,30,FALSE)="老鼠",$B$22,0))*(1+$BW150)*(1+$BX150)</f>
        <v>43089.0168281266</v>
      </c>
      <c r="P150" s="35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轻击",$B$21,0))*(1+IF(VLOOKUP($R150,武学奇术!$A:$ZZ,30,FALSE)="老鼠",$B$22,0))*(1+$BW150)*(1+$BX150)</f>
        <v>37257.2467589334</v>
      </c>
      <c r="Q150" s="70">
        <v>3</v>
      </c>
      <c r="R150" s="37" t="s">
        <v>106</v>
      </c>
      <c r="S150" s="37" t="s">
        <v>91</v>
      </c>
      <c r="T150" s="37" t="s">
        <v>185</v>
      </c>
      <c r="U150" s="37" t="s">
        <v>112</v>
      </c>
      <c r="V150" s="37" t="s">
        <v>113</v>
      </c>
      <c r="W150" s="37" t="s">
        <v>82</v>
      </c>
      <c r="X150" s="37" t="s">
        <v>81</v>
      </c>
      <c r="Y150" s="37" t="s">
        <v>109</v>
      </c>
      <c r="Z150" s="37" t="s">
        <v>81</v>
      </c>
      <c r="AA150" s="37" t="s">
        <v>81</v>
      </c>
      <c r="AB150" s="37" t="s">
        <v>183</v>
      </c>
      <c r="AC150" s="37" t="s">
        <v>81</v>
      </c>
      <c r="AD150" s="37" t="s">
        <v>85</v>
      </c>
      <c r="AE150" s="37" t="s">
        <v>86</v>
      </c>
      <c r="AF150" s="37" t="s">
        <v>81</v>
      </c>
      <c r="AG150" s="37" t="s">
        <v>87</v>
      </c>
      <c r="AH150" s="37" t="s">
        <v>81</v>
      </c>
      <c r="AI150" s="37" t="s">
        <v>81</v>
      </c>
      <c r="AJ150" s="37" t="s">
        <v>81</v>
      </c>
      <c r="AK150" s="37" t="s">
        <v>81</v>
      </c>
      <c r="AL150" s="37" t="s">
        <v>81</v>
      </c>
      <c r="AM150" t="str">
        <f>VLOOKUP($R150,武学奇术!$A:$ZZ,25,FALSE)</f>
        <v>绳镖</v>
      </c>
      <c r="AN150" s="23">
        <f>VLOOKUP($R150,武学奇术!$A:$ZZ,26,FALSE)</f>
        <v>0.3675</v>
      </c>
      <c r="AO150" s="24">
        <f>VLOOKUP($R150,武学奇术!$A:$ZZ,27,FALSE)*(1+IF(OR($AM150=$F$4,$AM150=$F$5),$B$23,0))</f>
        <v>0</v>
      </c>
      <c r="AP150" s="23">
        <f>VLOOKUP($R150,武学奇术!$A:$ZZ,28,FALSE)</f>
        <v>0.55125</v>
      </c>
      <c r="AQ150" s="24">
        <f>VLOOKUP($R150,武学奇术!$A:$ZZ,29,FALSE)*(1+IF(OR($AM150=$F$4,$AM150=$F$5),$B$23,0))</f>
        <v>0</v>
      </c>
      <c r="AR150" s="23" cm="1">
        <f t="array" ref="AR150">$G$3+IFERROR(VLOOKUP($AM150,$F$4:$G$7,2,FALSE),0)+VLOOKUP($R150,武学奇术!$A:$ZZ,2,FALSE)+SUM(_xlfn.XLOOKUP($S150:$AL150,增益!$A:$A,增益!$B:$B,0))</f>
        <v>1.4943</v>
      </c>
      <c r="AS150" s="23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4081.7</v>
      </c>
      <c r="AU150" cm="1">
        <f t="array" ref="AU150">$E$10*(1+$AS150)+VLOOKUP($R150,武学奇术!$A:$ZZ,4,FALSE)+SUM(_xlfn.XLOOKUP($S150:$AL150,增益!$A:$A,增益!$D:$D,0))-$I$2</f>
        <v>4081.7</v>
      </c>
      <c r="AV150" s="29" cm="1">
        <f t="array" ref="AV150">IF($F$10-$I$3+VLOOKUP($R150,武学奇术!$A:$ZZ,6,FALSE)+SUM(_xlfn.XLOOKUP(S150:AL150,增益!$A:$A,增益!$F:$F,0))&gt;0,($F$10-$I$3+VLOOKUP($R150,武学奇术!$A:$ZZ,6,FALSE)+SUM(_xlfn.XLOOKUP(S150:AL150,增益!$A:$A,增益!$F:$F,0)))/200,($F$10-$I$3+VLOOKUP($R150,武学奇术!$A:$ZZ,6,FALSE)+SUM(_xlfn.XLOOKUP(S150:AL150,增益!$A:$A,增益!$F:$F,0)))/100)</f>
        <v>0.3689</v>
      </c>
      <c r="AW150" s="29" cm="1">
        <f t="array" ref="AW150">$G$10+VLOOKUP($R150,武学奇术!$A:$ZZ,7,FALSE)+SUM(_xlfn.XLOOKUP(S150:AL150,增益!$A:$A,增益!$G:$G,0))</f>
        <v>0.27</v>
      </c>
      <c r="AX150" s="23" cm="1">
        <f t="array" ref="AX150">VLOOKUP($R150,武学奇术!$A:$ZZ,8,FALSE)+SUM(_xlfn.XLOOKUP(S150:AL150,增益!$A:$A,增益!$H:$H,0))</f>
        <v>0</v>
      </c>
      <c r="AY150">
        <f t="shared" si="24"/>
        <v>0</v>
      </c>
      <c r="AZ150">
        <f t="shared" si="25"/>
        <v>0</v>
      </c>
      <c r="BA150" s="29" cm="1">
        <f t="array" ref="BA150">IF($F$11-$I$4+VLOOKUP($R150,武学奇术!$A:$ZZ,9,FALSE)+SUM(_xlfn.XLOOKUP(S150:AL150,增益!$A:$A,增益!$I:$I,0))&gt;0,($F$11-$I$4+VLOOKUP($R150,武学奇术!$A:$ZZ,9,FALSE)+SUM(_xlfn.XLOOKUP(S150:AL150,增益!$A:$A,增益!$I:$I,0)))/200,($F$11-$I$4+VLOOKUP($R150,武学奇术!$A:$ZZ,9,FALSE)+SUM(_xlfn.XLOOKUP(S150:AL150,增益!$A:$A,增益!$I:$I,0)))/100)</f>
        <v>-0.3</v>
      </c>
      <c r="BB150" s="29" cm="1">
        <f t="array" ref="BB150">$G$11+VLOOKUP($R150,武学奇术!$A:$ZZ,10,FALSE)+SUM(_xlfn.XLOOKUP(S150:AL150,增益!$A:$A,增益!$J:$J,0))</f>
        <v>0</v>
      </c>
      <c r="BC150">
        <f t="shared" si="26"/>
        <v>0</v>
      </c>
      <c r="BD150">
        <f t="shared" si="27"/>
        <v>0</v>
      </c>
      <c r="BE150" s="29" cm="1">
        <f t="array" ref="BE150">IF($F$12-$I$4+VLOOKUP($R150,武学奇术!$A:$ZZ,11,FALSE)+SUM(_xlfn.XLOOKUP(S150:AL150,增益!$A:$A,增益!$K:$K,0))&gt;0,($F$12-$I$4+VLOOKUP($R150,武学奇术!$A:$ZZ,11,FALSE)+SUM(_xlfn.XLOOKUP(S150:AL150,增益!$A:$A,增益!$K:$K,0)))/200,($F$12-$I$4+VLOOKUP($R150,武学奇术!$A:$ZZ,11,FALSE)+SUM(_xlfn.XLOOKUP(S150:AL150,增益!$A:$A,增益!$K:$K,0)))/100)</f>
        <v>-0.3</v>
      </c>
      <c r="BF150" s="29" cm="1">
        <f t="array" ref="BF150">$G$12+VLOOKUP($R150,武学奇术!$A:$ZZ,12,FALSE)+SUM(_xlfn.XLOOKUP(S150:AL150,增益!$A:$A,增益!$L:$L,0))</f>
        <v>0</v>
      </c>
      <c r="BG150">
        <f t="shared" si="28"/>
        <v>0</v>
      </c>
      <c r="BH150">
        <f t="shared" si="29"/>
        <v>0</v>
      </c>
      <c r="BI150" s="29" cm="1">
        <f t="array" ref="BI150">IF($F$13-$I$4+VLOOKUP($R150,武学奇术!$A:$ZZ,13,FALSE)+SUM(_xlfn.XLOOKUP(S150:AL150,增益!$A:$A,增益!$M:$M,0))&gt;0,($F$13-$I$4+VLOOKUP($R150,武学奇术!$A:$ZZ,13,FALSE)+SUM(_xlfn.XLOOKUP(S150:AL150,增益!$A:$A,增益!$K:$K,0)))/200,($F$13-$I$4+VLOOKUP($R150,武学奇术!$A:$ZZ,13,FALSE)+SUM(_xlfn.XLOOKUP(S150:AL150,增益!$A:$A,增益!$M:$M,0)))/100)</f>
        <v>-0.3</v>
      </c>
      <c r="BJ150" s="29" cm="1">
        <f t="array" ref="BJ150">$G$13+VLOOKUP($R150,武学奇术!$A:$ZZ,14,FALSE)+SUM(_xlfn.XLOOKUP(S150:AL150,增益!$A:$A,增益!$N:$N,0))</f>
        <v>0</v>
      </c>
      <c r="BK150">
        <f t="shared" si="30"/>
        <v>618.2</v>
      </c>
      <c r="BL150">
        <f t="shared" si="31"/>
        <v>1805</v>
      </c>
      <c r="BM150" s="29" cm="1">
        <f t="array" ref="BM150">IF($F$14-$I$4+VLOOKUP($R150,武学奇术!$A:$ZZ,15,FALSE)+SUM(_xlfn.XLOOKUP(S150:AL150,增益!$A:$A,增益!$O:$O,0))&gt;0,($F$14-$I$4+VLOOKUP($R150,武学奇术!$A:$ZZ,15,FALSE)+SUM(_xlfn.XLOOKUP(S150:AL150,增益!$A:$A,增益!$O:$O,0)))/200,($F$14-$I$4+VLOOKUP($R150,武学奇术!$A:$ZZ,15,FALSE)+SUM(_xlfn.XLOOKUP(S150:AL150,增益!$A:$A,增益!$O:$O,0)))/100)</f>
        <v>0.05</v>
      </c>
      <c r="BN150" s="29" cm="1">
        <f t="array" ref="BN150">$G$14+VLOOKUP($R150,武学奇术!$A:$ZZ,16,FALSE)+SUM(_xlfn.XLOOKUP(S150:AL150,增益!$A:$A,增益!$P:$P,0))</f>
        <v>0.42</v>
      </c>
      <c r="BO150" s="23">
        <f>MIN(IF(VLOOKUP($R150,武学奇术!$A:$ZZ,23,FALSE)=1,100%,$B$8),100%)</f>
        <v>0.9943</v>
      </c>
      <c r="BP150" s="23" cm="1">
        <f t="array" ref="BP150">IF(VLOOKUP($R150,武学奇术!$A:$ZZ,23,FALSE)=1,100%,MIN(80%,$B$9+VLOOKUP($R150,武学奇术!$A:$ZZ,17,FALSE)+SUM(_xlfn.XLOOKUP(S150:AL150,增益!$A:$A,增益!$Q:$Q,0)))+$B$11+SUM(_xlfn.XLOOKUP(S150:AL150,增益!$A:$A,增益!$U:$U,0)))*IF(VLOOKUP($R150,武学奇术!$A:$ZZ,24,FALSE)=1,0,1)</f>
        <v>0.8</v>
      </c>
      <c r="BQ150" s="23" cm="1">
        <f t="array" ref="BQ150">1+$B$13+VLOOKUP($R150,武学奇术!$A:$ZZ,18,FALSE)+SUM(_xlfn.XLOOKUP(S150:AL150,增益!$A:$A,增益!$R:$R,0))</f>
        <v>1.894</v>
      </c>
      <c r="BR150" s="23" cm="1">
        <f t="array" ref="BR150">IF(VLOOKUP($R150,武学奇术!$A:$ZZ,24,FALSE)=1,100%,MIN(40%,$B$10+VLOOKUP($R150,武学奇术!$A:$ZZ,19,FALSE)+SUM(_xlfn.XLOOKUP(S150:AL150,增益!$A:$A,增益!$S:$S,0)))+$B$12+SUM(_xlfn.XLOOKUP(S150:AL150,增益!$A:$A,增益!$V:$V,0)))*IF(VLOOKUP($R150,武学奇术!$A:$ZZ,23,FALSE)=1,0,1)</f>
        <v>0.0913</v>
      </c>
      <c r="BS150" s="23" cm="1">
        <f t="array" ref="BS150">1+$B$14+VLOOKUP($R150,武学奇术!$A:$ZZ,20,FALSE)+SUM(_xlfn.XLOOKUP(S150:AL150,增益!$A:$A,增益!$T:$T,0))</f>
        <v>1.35</v>
      </c>
      <c r="BT150" s="23">
        <f t="shared" si="32"/>
        <v>0.79544</v>
      </c>
      <c r="BU150" s="23">
        <f t="shared" si="33"/>
        <v>0.10808041</v>
      </c>
      <c r="BV150" s="23">
        <f>IF(VLOOKUP($R150,武学奇术!$A:$ZZ,22,FALSE)=1,0,(1-$BO150))*(1-$BR150)</f>
        <v>0.00517959000000003</v>
      </c>
      <c r="BW150" s="23" cm="1">
        <f t="array" ref="BW150">SUM(_xlfn.XLOOKUP(S150:AL150,增益!$A:$A,增益!$W:$W,0))+$I$5</f>
        <v>0.21</v>
      </c>
      <c r="BX150" s="23">
        <f>VLOOKUP($R150,武学奇术!$A:$ZZ,32,FALSE)</f>
        <v>0</v>
      </c>
      <c r="BY150" s="23" cm="1">
        <f t="array" ref="BY150">SUM(_xlfn.XLOOKUP($S150:$AL150,增益!$A:$A,增益!$X:$X,0))</f>
        <v>0</v>
      </c>
    </row>
    <row r="151" spans="11:77">
      <c r="K151" s="35">
        <f>$L151*VLOOKUP($R151,武学奇术!$A:$ZZ,31,FALSE)</f>
        <v>21978.8923637652</v>
      </c>
      <c r="L151" s="35">
        <f t="shared" si="34"/>
        <v>21547.9336899659</v>
      </c>
      <c r="M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轻击",$B$21,0))*(1+IF(VLOOKUP($R151,武学奇术!$A:$ZZ,30,FALSE)="老鼠",$B$22,0))*(1+$BW151)*(1+$BX151)</f>
        <v>23226.5257755848</v>
      </c>
      <c r="N151" s="35">
        <f>(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轻击",$B$21,0))*(1+IF(VLOOKUP($R151,武学奇术!$A:$ZZ,30,FALSE)="老鼠",$B$22,0))*(1+$BW151))*(1+$BX151)</f>
        <v>18524.0746986462</v>
      </c>
      <c r="O151" s="35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轻击",$B$21,0))*(1+IF(VLOOKUP($R151,武学奇术!$A:$ZZ,30,FALSE)="老鼠",$B$22,0))*(1+$BW151)*(1+$BX151)</f>
        <v>12263.2131866868</v>
      </c>
      <c r="P151" s="35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轻击",$B$21,0))*(1+IF(VLOOKUP($R151,武学奇术!$A:$ZZ,30,FALSE)="老鼠",$B$22,0))*(1+$BW151)*(1+$BX151)</f>
        <v>10804.8895595616</v>
      </c>
      <c r="Q151" s="36">
        <v>1</v>
      </c>
      <c r="R151" s="37" t="s">
        <v>123</v>
      </c>
      <c r="S151" s="37" t="s">
        <v>91</v>
      </c>
      <c r="T151" s="37" t="s">
        <v>185</v>
      </c>
      <c r="U151" s="37" t="s">
        <v>81</v>
      </c>
      <c r="V151" s="37" t="s">
        <v>81</v>
      </c>
      <c r="W151" s="37" t="s">
        <v>82</v>
      </c>
      <c r="X151" s="37" t="s">
        <v>81</v>
      </c>
      <c r="Y151" s="37" t="s">
        <v>81</v>
      </c>
      <c r="Z151" s="37" t="s">
        <v>81</v>
      </c>
      <c r="AA151" s="37" t="s">
        <v>81</v>
      </c>
      <c r="AB151" s="37" t="s">
        <v>183</v>
      </c>
      <c r="AC151" s="37" t="s">
        <v>81</v>
      </c>
      <c r="AD151" s="37" t="s">
        <v>81</v>
      </c>
      <c r="AE151" s="37" t="s">
        <v>86</v>
      </c>
      <c r="AF151" s="37" t="s">
        <v>81</v>
      </c>
      <c r="AG151" s="37" t="s">
        <v>87</v>
      </c>
      <c r="AH151" s="37" t="s">
        <v>81</v>
      </c>
      <c r="AI151" s="37" t="s">
        <v>81</v>
      </c>
      <c r="AJ151" s="37" t="s">
        <v>81</v>
      </c>
      <c r="AK151" s="37" t="s">
        <v>81</v>
      </c>
      <c r="AL151" s="37" t="s">
        <v>81</v>
      </c>
      <c r="AM151" t="str">
        <f>VLOOKUP($R151,武学奇术!$A:$ZZ,25,FALSE)</f>
        <v>双刀</v>
      </c>
      <c r="AN151" s="23">
        <f>VLOOKUP($R151,武学奇术!$A:$ZZ,26,FALSE)</f>
        <v>0.8267</v>
      </c>
      <c r="AO151" s="24">
        <f>VLOOKUP($R151,武学奇术!$A:$ZZ,27,FALSE)*(1+IF(OR($AM151=$F$4,$AM151=$F$5),$B$23,0))</f>
        <v>366.4</v>
      </c>
      <c r="AP151" s="23">
        <f>VLOOKUP($R151,武学奇术!$A:$ZZ,28,FALSE)</f>
        <v>1.24</v>
      </c>
      <c r="AQ151" s="24">
        <f>VLOOKUP($R151,武学奇术!$A:$ZZ,29,FALSE)*(1+IF(OR($AM151=$F$4,$AM151=$F$5),$B$23,0))</f>
        <v>200</v>
      </c>
      <c r="AR151" s="23" cm="1">
        <f t="array" ref="AR151">$G$3+IFERROR(VLOOKUP($AM151,$F$4:$G$7,2,FALSE),0)+VLOOKUP($R151,武学奇术!$A:$ZZ,2,FALSE)+SUM(_xlfn.XLOOKUP($S151:$AL151,增益!$A:$A,增益!$B:$B,0))</f>
        <v>0.4243</v>
      </c>
      <c r="AS151" s="23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4013</v>
      </c>
      <c r="AU151" cm="1">
        <f t="array" ref="AU151">$E$10*(1+$AS151)+VLOOKUP($R151,武学奇术!$A:$ZZ,4,FALSE)+SUM(_xlfn.XLOOKUP($S151:$AL151,增益!$A:$A,增益!$D:$D,0))-$I$2</f>
        <v>4013</v>
      </c>
      <c r="AV151" s="29" cm="1">
        <f t="array" ref="AV151">IF($F$10-$I$3+VLOOKUP($R151,武学奇术!$A:$ZZ,6,FALSE)+SUM(_xlfn.XLOOKUP(S151:AL151,增益!$A:$A,增益!$F:$F,0))&gt;0,($F$10-$I$3+VLOOKUP($R151,武学奇术!$A:$ZZ,6,FALSE)+SUM(_xlfn.XLOOKUP(S151:AL151,增益!$A:$A,增益!$F:$F,0)))/200,($F$10-$I$3+VLOOKUP($R151,武学奇术!$A:$ZZ,6,FALSE)+SUM(_xlfn.XLOOKUP(S151:AL151,增益!$A:$A,增益!$F:$F,0)))/100)</f>
        <v>0.3689</v>
      </c>
      <c r="AW151" s="29" cm="1">
        <f t="array" ref="AW151">$G$10+VLOOKUP($R151,武学奇术!$A:$ZZ,7,FALSE)+SUM(_xlfn.XLOOKUP(S151:AL151,增益!$A:$A,增益!$G:$G,0))</f>
        <v>0</v>
      </c>
      <c r="AX151" s="23" cm="1">
        <f t="array" ref="AX151">VLOOKUP($R151,武学奇术!$A:$ZZ,8,FALSE)+SUM(_xlfn.XLOOKUP(S151:AL151,增益!$A:$A,增益!$H:$H,0))</f>
        <v>0</v>
      </c>
      <c r="AY151">
        <f t="shared" si="24"/>
        <v>0</v>
      </c>
      <c r="AZ151">
        <f t="shared" si="25"/>
        <v>0</v>
      </c>
      <c r="BA151" s="29" cm="1">
        <f t="array" ref="BA151">IF($F$11-$I$4+VLOOKUP($R151,武学奇术!$A:$ZZ,9,FALSE)+SUM(_xlfn.XLOOKUP(S151:AL151,增益!$A:$A,增益!$I:$I,0))&gt;0,($F$11-$I$4+VLOOKUP($R151,武学奇术!$A:$ZZ,9,FALSE)+SUM(_xlfn.XLOOKUP(S151:AL151,增益!$A:$A,增益!$I:$I,0)))/200,($F$11-$I$4+VLOOKUP($R151,武学奇术!$A:$ZZ,9,FALSE)+SUM(_xlfn.XLOOKUP(S151:AL151,增益!$A:$A,增益!$I:$I,0)))/100)</f>
        <v>-0.3</v>
      </c>
      <c r="BB151" s="29" cm="1">
        <f t="array" ref="BB151">$G$11+VLOOKUP($R151,武学奇术!$A:$ZZ,10,FALSE)+SUM(_xlfn.XLOOKUP(S151:AL151,增益!$A:$A,增益!$J:$J,0))</f>
        <v>0</v>
      </c>
      <c r="BC151">
        <f t="shared" si="26"/>
        <v>0</v>
      </c>
      <c r="BD151">
        <f t="shared" si="27"/>
        <v>0</v>
      </c>
      <c r="BE151" s="29" cm="1">
        <f t="array" ref="BE151">IF($F$12-$I$4+VLOOKUP($R151,武学奇术!$A:$ZZ,11,FALSE)+SUM(_xlfn.XLOOKUP(S151:AL151,增益!$A:$A,增益!$K:$K,0))&gt;0,($F$12-$I$4+VLOOKUP($R151,武学奇术!$A:$ZZ,11,FALSE)+SUM(_xlfn.XLOOKUP(S151:AL151,增益!$A:$A,增益!$K:$K,0)))/200,($F$12-$I$4+VLOOKUP($R151,武学奇术!$A:$ZZ,11,FALSE)+SUM(_xlfn.XLOOKUP(S151:AL151,增益!$A:$A,增益!$K:$K,0)))/100)</f>
        <v>-0.3</v>
      </c>
      <c r="BF151" s="29" cm="1">
        <f t="array" ref="BF151">$G$12+VLOOKUP($R151,武学奇术!$A:$ZZ,12,FALSE)+SUM(_xlfn.XLOOKUP(S151:AL151,增益!$A:$A,增益!$L:$L,0))</f>
        <v>0</v>
      </c>
      <c r="BG151">
        <f t="shared" si="28"/>
        <v>0</v>
      </c>
      <c r="BH151">
        <f t="shared" si="29"/>
        <v>0</v>
      </c>
      <c r="BI151" s="29" cm="1">
        <f t="array" ref="BI151">IF($F$13-$I$4+VLOOKUP($R151,武学奇术!$A:$ZZ,13,FALSE)+SUM(_xlfn.XLOOKUP(S151:AL151,增益!$A:$A,增益!$M:$M,0))&gt;0,($F$13-$I$4+VLOOKUP($R151,武学奇术!$A:$ZZ,13,FALSE)+SUM(_xlfn.XLOOKUP(S151:AL151,增益!$A:$A,增益!$K:$K,0)))/200,($F$13-$I$4+VLOOKUP($R151,武学奇术!$A:$ZZ,13,FALSE)+SUM(_xlfn.XLOOKUP(S151:AL151,增益!$A:$A,增益!$M:$M,0)))/100)</f>
        <v>-0.3</v>
      </c>
      <c r="BJ151" s="29" cm="1">
        <f t="array" ref="BJ151">$G$13+VLOOKUP($R151,武学奇术!$A:$ZZ,14,FALSE)+SUM(_xlfn.XLOOKUP(S151:AL151,增益!$A:$A,增益!$N:$N,0))</f>
        <v>0</v>
      </c>
      <c r="BK151">
        <f t="shared" si="30"/>
        <v>618.2</v>
      </c>
      <c r="BL151">
        <f t="shared" si="31"/>
        <v>1805</v>
      </c>
      <c r="BM151" s="29" cm="1">
        <f t="array" ref="BM151">IF($F$14-$I$4+VLOOKUP($R151,武学奇术!$A:$ZZ,15,FALSE)+SUM(_xlfn.XLOOKUP(S151:AL151,增益!$A:$A,增益!$O:$O,0))&gt;0,($F$14-$I$4+VLOOKUP($R151,武学奇术!$A:$ZZ,15,FALSE)+SUM(_xlfn.XLOOKUP(S151:AL151,增益!$A:$A,增益!$O:$O,0)))/200,($F$14-$I$4+VLOOKUP($R151,武学奇术!$A:$ZZ,15,FALSE)+SUM(_xlfn.XLOOKUP(S151:AL151,增益!$A:$A,增益!$O:$O,0)))/100)</f>
        <v>0</v>
      </c>
      <c r="BN151" s="29" cm="1">
        <f t="array" ref="BN151">$G$14+VLOOKUP($R151,武学奇术!$A:$ZZ,16,FALSE)+SUM(_xlfn.XLOOKUP(S151:AL151,增益!$A:$A,增益!$P:$P,0))</f>
        <v>0.15</v>
      </c>
      <c r="BO151" s="23">
        <f>MIN(IF(VLOOKUP($R151,武学奇术!$A:$ZZ,23,FALSE)=1,100%,$B$8),100%)</f>
        <v>0.9943</v>
      </c>
      <c r="BP151" s="23" cm="1">
        <f t="array" ref="BP151">IF(VLOOKUP($R151,武学奇术!$A:$ZZ,23,FALSE)=1,100%,MIN(80%,$B$9+VLOOKUP($R151,武学奇术!$A:$ZZ,17,FALSE)+SUM(_xlfn.XLOOKUP(S151:AL151,增益!$A:$A,增益!$Q:$Q,0)))+$B$11+SUM(_xlfn.XLOOKUP(S151:AL151,增益!$A:$A,增益!$U:$U,0)))*IF(VLOOKUP($R151,武学奇术!$A:$ZZ,24,FALSE)=1,0,1)</f>
        <v>0.8</v>
      </c>
      <c r="BQ151" s="23" cm="1">
        <f t="array" ref="BQ151">1+$B$13+VLOOKUP($R151,武学奇术!$A:$ZZ,18,FALSE)+SUM(_xlfn.XLOOKUP(S151:AL151,增益!$A:$A,增益!$R:$R,0))</f>
        <v>1.894</v>
      </c>
      <c r="BR151" s="23" cm="1">
        <f t="array" ref="BR151">IF(VLOOKUP($R151,武学奇术!$A:$ZZ,24,FALSE)=1,100%,MIN(40%,$B$10+VLOOKUP($R151,武学奇术!$A:$ZZ,19,FALSE)+SUM(_xlfn.XLOOKUP(S151:AL151,增益!$A:$A,增益!$S:$S,0)))+$B$12+SUM(_xlfn.XLOOKUP(S151:AL151,增益!$A:$A,增益!$V:$V,0)))*IF(VLOOKUP($R151,武学奇术!$A:$ZZ,23,FALSE)=1,0,1)</f>
        <v>0.0913</v>
      </c>
      <c r="BS151" s="23" cm="1">
        <f t="array" ref="BS151">1+$B$14+VLOOKUP($R151,武学奇术!$A:$ZZ,20,FALSE)+SUM(_xlfn.XLOOKUP(S151:AL151,增益!$A:$A,增益!$T:$T,0))</f>
        <v>1.35</v>
      </c>
      <c r="BT151" s="23">
        <f t="shared" si="32"/>
        <v>0.79544</v>
      </c>
      <c r="BU151" s="23">
        <f t="shared" si="33"/>
        <v>0.10808041</v>
      </c>
      <c r="BV151" s="23">
        <f>IF(VLOOKUP($R151,武学奇术!$A:$ZZ,22,FALSE)=1,0,(1-$BO151))*(1-$BR151)</f>
        <v>0.00517959000000003</v>
      </c>
      <c r="BW151" s="23" cm="1">
        <f t="array" ref="BW151">SUM(_xlfn.XLOOKUP(S151:AL151,增益!$A:$A,增益!$W:$W,0))+$I$5</f>
        <v>0.21</v>
      </c>
      <c r="BX151" s="23">
        <f>VLOOKUP($R151,武学奇术!$A:$ZZ,32,FALSE)</f>
        <v>0</v>
      </c>
      <c r="BY151" s="23" cm="1">
        <f t="array" ref="BY151">SUM(_xlfn.XLOOKUP($S151:$AL151,增益!$A:$A,增益!$X:$X,0))</f>
        <v>0</v>
      </c>
    </row>
    <row r="152" spans="11:77">
      <c r="K152" s="35">
        <f>$L152*VLOOKUP($R152,武学奇术!$A:$ZZ,31,FALSE)</f>
        <v>24220.9069230748</v>
      </c>
      <c r="L152" s="69">
        <f t="shared" si="34"/>
        <v>23745.9871794851</v>
      </c>
      <c r="M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轻击",$B$21,0))*(1+IF(VLOOKUP($R152,武学奇术!$A:$ZZ,30,FALSE)="老鼠",$B$22,0))*(1+$BW152)*(1+$BX152)</f>
        <v>25567.5907191644</v>
      </c>
      <c r="N152" s="35">
        <f>(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轻击",$B$21,0))*(1+IF(VLOOKUP($R152,武学奇术!$A:$ZZ,30,FALSE)="老鼠",$B$22,0))*(1+$BW152))*(1+$BX152)</f>
        <v>20690.4744118686</v>
      </c>
      <c r="O152" s="35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轻击",$B$21,0))*(1+IF(VLOOKUP($R152,武学奇术!$A:$ZZ,30,FALSE)="老鼠",$B$22,0))*(1+$BW152)*(1+$BX152)</f>
        <v>13499.2559235293</v>
      </c>
      <c r="P152" s="35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轻击",$B$21,0))*(1+IF(VLOOKUP($R152,武学奇术!$A:$ZZ,30,FALSE)="老鼠",$B$22,0))*(1+$BW152)*(1+$BX152)</f>
        <v>11672.2345049336</v>
      </c>
      <c r="Q152" s="70">
        <v>1</v>
      </c>
      <c r="R152" s="37" t="s">
        <v>106</v>
      </c>
      <c r="S152" s="37" t="s">
        <v>91</v>
      </c>
      <c r="T152" s="37" t="s">
        <v>185</v>
      </c>
      <c r="U152" s="37" t="s">
        <v>112</v>
      </c>
      <c r="V152" s="37" t="s">
        <v>113</v>
      </c>
      <c r="W152" s="37" t="s">
        <v>82</v>
      </c>
      <c r="X152" s="37" t="s">
        <v>81</v>
      </c>
      <c r="Y152" s="37" t="s">
        <v>109</v>
      </c>
      <c r="Z152" s="37" t="s">
        <v>81</v>
      </c>
      <c r="AA152" s="37" t="s">
        <v>81</v>
      </c>
      <c r="AB152" s="37" t="s">
        <v>183</v>
      </c>
      <c r="AC152" s="37" t="s">
        <v>81</v>
      </c>
      <c r="AD152" s="37" t="s">
        <v>81</v>
      </c>
      <c r="AE152" s="37" t="s">
        <v>86</v>
      </c>
      <c r="AF152" s="37" t="s">
        <v>81</v>
      </c>
      <c r="AG152" s="37" t="s">
        <v>87</v>
      </c>
      <c r="AH152" s="37" t="s">
        <v>81</v>
      </c>
      <c r="AI152" s="37" t="s">
        <v>81</v>
      </c>
      <c r="AJ152" s="37" t="s">
        <v>81</v>
      </c>
      <c r="AK152" s="37" t="s">
        <v>81</v>
      </c>
      <c r="AL152" s="37" t="s">
        <v>81</v>
      </c>
      <c r="AM152" t="str">
        <f>VLOOKUP($R152,武学奇术!$A:$ZZ,25,FALSE)</f>
        <v>绳镖</v>
      </c>
      <c r="AN152" s="23">
        <f>VLOOKUP($R152,武学奇术!$A:$ZZ,26,FALSE)</f>
        <v>0.3675</v>
      </c>
      <c r="AO152" s="24">
        <f>VLOOKUP($R152,武学奇术!$A:$ZZ,27,FALSE)*(1+IF(OR($AM152=$F$4,$AM152=$F$5),$B$23,0))</f>
        <v>0</v>
      </c>
      <c r="AP152" s="23">
        <f>VLOOKUP($R152,武学奇术!$A:$ZZ,28,FALSE)</f>
        <v>0.55125</v>
      </c>
      <c r="AQ152" s="24">
        <f>VLOOKUP($R152,武学奇术!$A:$ZZ,29,FALSE)*(1+IF(OR($AM152=$F$4,$AM152=$F$5),$B$23,0))</f>
        <v>0</v>
      </c>
      <c r="AR152" s="23" cm="1">
        <f t="array" ref="AR152">$G$3+IFERROR(VLOOKUP($AM152,$F$4:$G$7,2,FALSE),0)+VLOOKUP($R152,武学奇术!$A:$ZZ,2,FALSE)+SUM(_xlfn.XLOOKUP($S152:$AL152,增益!$A:$A,增益!$B:$B,0))</f>
        <v>1.3443</v>
      </c>
      <c r="AS152" s="23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4081.7</v>
      </c>
      <c r="AU152" cm="1">
        <f t="array" ref="AU152">$E$10*(1+$AS152)+VLOOKUP($R152,武学奇术!$A:$ZZ,4,FALSE)+SUM(_xlfn.XLOOKUP($S152:$AL152,增益!$A:$A,增益!$D:$D,0))-$I$2</f>
        <v>4081.7</v>
      </c>
      <c r="AV152" s="29" cm="1">
        <f t="array" ref="AV152">IF($F$10-$I$3+VLOOKUP($R152,武学奇术!$A:$ZZ,6,FALSE)+SUM(_xlfn.XLOOKUP(S152:AL152,增益!$A:$A,增益!$F:$F,0))&gt;0,($F$10-$I$3+VLOOKUP($R152,武学奇术!$A:$ZZ,6,FALSE)+SUM(_xlfn.XLOOKUP(S152:AL152,增益!$A:$A,增益!$F:$F,0)))/200,($F$10-$I$3+VLOOKUP($R152,武学奇术!$A:$ZZ,6,FALSE)+SUM(_xlfn.XLOOKUP(S152:AL152,增益!$A:$A,增益!$F:$F,0)))/100)</f>
        <v>0.3689</v>
      </c>
      <c r="AW152" s="29" cm="1">
        <f t="array" ref="AW152">$G$10+VLOOKUP($R152,武学奇术!$A:$ZZ,7,FALSE)+SUM(_xlfn.XLOOKUP(S152:AL152,增益!$A:$A,增益!$G:$G,0))</f>
        <v>0.27</v>
      </c>
      <c r="AX152" s="23" cm="1">
        <f t="array" ref="AX152">VLOOKUP($R152,武学奇术!$A:$ZZ,8,FALSE)+SUM(_xlfn.XLOOKUP(S152:AL152,增益!$A:$A,增益!$H:$H,0))</f>
        <v>0</v>
      </c>
      <c r="AY152">
        <f t="shared" si="24"/>
        <v>0</v>
      </c>
      <c r="AZ152">
        <f t="shared" si="25"/>
        <v>0</v>
      </c>
      <c r="BA152" s="29" cm="1">
        <f t="array" ref="BA152">IF($F$11-$I$4+VLOOKUP($R152,武学奇术!$A:$ZZ,9,FALSE)+SUM(_xlfn.XLOOKUP(S152:AL152,增益!$A:$A,增益!$I:$I,0))&gt;0,($F$11-$I$4+VLOOKUP($R152,武学奇术!$A:$ZZ,9,FALSE)+SUM(_xlfn.XLOOKUP(S152:AL152,增益!$A:$A,增益!$I:$I,0)))/200,($F$11-$I$4+VLOOKUP($R152,武学奇术!$A:$ZZ,9,FALSE)+SUM(_xlfn.XLOOKUP(S152:AL152,增益!$A:$A,增益!$I:$I,0)))/100)</f>
        <v>-0.3</v>
      </c>
      <c r="BB152" s="29" cm="1">
        <f t="array" ref="BB152">$G$11+VLOOKUP($R152,武学奇术!$A:$ZZ,10,FALSE)+SUM(_xlfn.XLOOKUP(S152:AL152,增益!$A:$A,增益!$J:$J,0))</f>
        <v>0</v>
      </c>
      <c r="BC152">
        <f t="shared" si="26"/>
        <v>0</v>
      </c>
      <c r="BD152">
        <f t="shared" si="27"/>
        <v>0</v>
      </c>
      <c r="BE152" s="29" cm="1">
        <f t="array" ref="BE152">IF($F$12-$I$4+VLOOKUP($R152,武学奇术!$A:$ZZ,11,FALSE)+SUM(_xlfn.XLOOKUP(S152:AL152,增益!$A:$A,增益!$K:$K,0))&gt;0,($F$12-$I$4+VLOOKUP($R152,武学奇术!$A:$ZZ,11,FALSE)+SUM(_xlfn.XLOOKUP(S152:AL152,增益!$A:$A,增益!$K:$K,0)))/200,($F$12-$I$4+VLOOKUP($R152,武学奇术!$A:$ZZ,11,FALSE)+SUM(_xlfn.XLOOKUP(S152:AL152,增益!$A:$A,增益!$K:$K,0)))/100)</f>
        <v>-0.3</v>
      </c>
      <c r="BF152" s="29" cm="1">
        <f t="array" ref="BF152">$G$12+VLOOKUP($R152,武学奇术!$A:$ZZ,12,FALSE)+SUM(_xlfn.XLOOKUP(S152:AL152,增益!$A:$A,增益!$L:$L,0))</f>
        <v>0</v>
      </c>
      <c r="BG152">
        <f t="shared" si="28"/>
        <v>0</v>
      </c>
      <c r="BH152">
        <f t="shared" si="29"/>
        <v>0</v>
      </c>
      <c r="BI152" s="29" cm="1">
        <f t="array" ref="BI152">IF($F$13-$I$4+VLOOKUP($R152,武学奇术!$A:$ZZ,13,FALSE)+SUM(_xlfn.XLOOKUP(S152:AL152,增益!$A:$A,增益!$M:$M,0))&gt;0,($F$13-$I$4+VLOOKUP($R152,武学奇术!$A:$ZZ,13,FALSE)+SUM(_xlfn.XLOOKUP(S152:AL152,增益!$A:$A,增益!$K:$K,0)))/200,($F$13-$I$4+VLOOKUP($R152,武学奇术!$A:$ZZ,13,FALSE)+SUM(_xlfn.XLOOKUP(S152:AL152,增益!$A:$A,增益!$M:$M,0)))/100)</f>
        <v>-0.3</v>
      </c>
      <c r="BJ152" s="29" cm="1">
        <f t="array" ref="BJ152">$G$13+VLOOKUP($R152,武学奇术!$A:$ZZ,14,FALSE)+SUM(_xlfn.XLOOKUP(S152:AL152,增益!$A:$A,增益!$N:$N,0))</f>
        <v>0</v>
      </c>
      <c r="BK152">
        <f t="shared" si="30"/>
        <v>618.2</v>
      </c>
      <c r="BL152">
        <f t="shared" si="31"/>
        <v>1805</v>
      </c>
      <c r="BM152" s="29" cm="1">
        <f t="array" ref="BM152">IF($F$14-$I$4+VLOOKUP($R152,武学奇术!$A:$ZZ,15,FALSE)+SUM(_xlfn.XLOOKUP(S152:AL152,增益!$A:$A,增益!$O:$O,0))&gt;0,($F$14-$I$4+VLOOKUP($R152,武学奇术!$A:$ZZ,15,FALSE)+SUM(_xlfn.XLOOKUP(S152:AL152,增益!$A:$A,增益!$O:$O,0)))/200,($F$14-$I$4+VLOOKUP($R152,武学奇术!$A:$ZZ,15,FALSE)+SUM(_xlfn.XLOOKUP(S152:AL152,增益!$A:$A,增益!$O:$O,0)))/100)</f>
        <v>0.05</v>
      </c>
      <c r="BN152" s="29" cm="1">
        <f t="array" ref="BN152">$G$14+VLOOKUP($R152,武学奇术!$A:$ZZ,16,FALSE)+SUM(_xlfn.XLOOKUP(S152:AL152,增益!$A:$A,增益!$P:$P,0))</f>
        <v>0.42</v>
      </c>
      <c r="BO152" s="23">
        <f>MIN(IF(VLOOKUP($R152,武学奇术!$A:$ZZ,23,FALSE)=1,100%,$B$8),100%)</f>
        <v>0.9943</v>
      </c>
      <c r="BP152" s="23" cm="1">
        <f t="array" ref="BP152">IF(VLOOKUP($R152,武学奇术!$A:$ZZ,23,FALSE)=1,100%,MIN(80%,$B$9+VLOOKUP($R152,武学奇术!$A:$ZZ,17,FALSE)+SUM(_xlfn.XLOOKUP(S152:AL152,增益!$A:$A,增益!$Q:$Q,0)))+$B$11+SUM(_xlfn.XLOOKUP(S152:AL152,增益!$A:$A,增益!$U:$U,0)))*IF(VLOOKUP($R152,武学奇术!$A:$ZZ,24,FALSE)=1,0,1)</f>
        <v>0.8</v>
      </c>
      <c r="BQ152" s="23" cm="1">
        <f t="array" ref="BQ152">1+$B$13+VLOOKUP($R152,武学奇术!$A:$ZZ,18,FALSE)+SUM(_xlfn.XLOOKUP(S152:AL152,增益!$A:$A,增益!$R:$R,0))</f>
        <v>1.894</v>
      </c>
      <c r="BR152" s="23" cm="1">
        <f t="array" ref="BR152">IF(VLOOKUP($R152,武学奇术!$A:$ZZ,24,FALSE)=1,100%,MIN(40%,$B$10+VLOOKUP($R152,武学奇术!$A:$ZZ,19,FALSE)+SUM(_xlfn.XLOOKUP(S152:AL152,增益!$A:$A,增益!$S:$S,0)))+$B$12+SUM(_xlfn.XLOOKUP(S152:AL152,增益!$A:$A,增益!$V:$V,0)))*IF(VLOOKUP($R152,武学奇术!$A:$ZZ,23,FALSE)=1,0,1)</f>
        <v>0.0913</v>
      </c>
      <c r="BS152" s="23" cm="1">
        <f t="array" ref="BS152">1+$B$14+VLOOKUP($R152,武学奇术!$A:$ZZ,20,FALSE)+SUM(_xlfn.XLOOKUP(S152:AL152,增益!$A:$A,增益!$T:$T,0))</f>
        <v>1.35</v>
      </c>
      <c r="BT152" s="23">
        <f t="shared" si="32"/>
        <v>0.79544</v>
      </c>
      <c r="BU152" s="23">
        <f t="shared" si="33"/>
        <v>0.10808041</v>
      </c>
      <c r="BV152" s="23">
        <f>IF(VLOOKUP($R152,武学奇术!$A:$ZZ,22,FALSE)=1,0,(1-$BO152))*(1-$BR152)</f>
        <v>0.00517959000000003</v>
      </c>
      <c r="BW152" s="23" cm="1">
        <f t="array" ref="BW152">SUM(_xlfn.XLOOKUP(S152:AL152,增益!$A:$A,增益!$W:$W,0))+$I$5</f>
        <v>0.21</v>
      </c>
      <c r="BX152" s="23">
        <f>VLOOKUP($R152,武学奇术!$A:$ZZ,32,FALSE)</f>
        <v>0</v>
      </c>
      <c r="BY152" s="23" cm="1">
        <f t="array" ref="BY152">SUM(_xlfn.XLOOKUP($S152:$AL152,增益!$A:$A,增益!$X:$X,0))</f>
        <v>0</v>
      </c>
    </row>
    <row r="153" spans="11:77">
      <c r="K153" s="35">
        <f>$L153*VLOOKUP($R153,武学奇术!$A:$ZZ,31,FALSE)</f>
        <v>72744.5618543671</v>
      </c>
      <c r="L153" s="35">
        <f t="shared" si="34"/>
        <v>71318.1978964384</v>
      </c>
      <c r="M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轻击",$B$21,0))*(1+IF(VLOOKUP($R153,武学奇术!$A:$ZZ,30,FALSE)="老鼠",$B$22,0))*(1+$BW153)*(1+$BX153)</f>
        <v>76873.7197893692</v>
      </c>
      <c r="N153" s="35">
        <f>(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轻击",$B$21,0))*(1+IF(VLOOKUP($R153,武学奇术!$A:$ZZ,30,FALSE)="老鼠",$B$22,0))*(1+$BW153))*(1+$BX153)</f>
        <v>61311.8782795352</v>
      </c>
      <c r="O153" s="35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轻击",$B$21,0))*(1+IF(VLOOKUP($R153,武学奇术!$A:$ZZ,30,FALSE)="老鼠",$B$22,0))*(1+$BW153)*(1+$BX153)</f>
        <v>40588.0252319795</v>
      </c>
      <c r="P153" s="35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轻击",$B$21,0))*(1+IF(VLOOKUP($R153,武学奇术!$A:$ZZ,30,FALSE)="老鼠",$B$22,0))*(1+$BW153)*(1+$BX153)</f>
        <v>35759.8443309701</v>
      </c>
      <c r="Q153" s="36">
        <v>1</v>
      </c>
      <c r="R153" s="37" t="s">
        <v>128</v>
      </c>
      <c r="S153" s="37" t="s">
        <v>91</v>
      </c>
      <c r="T153" s="37" t="s">
        <v>185</v>
      </c>
      <c r="U153" s="37" t="s">
        <v>81</v>
      </c>
      <c r="V153" s="37" t="s">
        <v>81</v>
      </c>
      <c r="W153" s="37" t="s">
        <v>82</v>
      </c>
      <c r="X153" s="37" t="s">
        <v>81</v>
      </c>
      <c r="Y153" s="37" t="s">
        <v>81</v>
      </c>
      <c r="Z153" s="37" t="s">
        <v>81</v>
      </c>
      <c r="AA153" s="37" t="s">
        <v>81</v>
      </c>
      <c r="AB153" s="37" t="s">
        <v>183</v>
      </c>
      <c r="AC153" s="37" t="s">
        <v>81</v>
      </c>
      <c r="AD153" s="37" t="s">
        <v>85</v>
      </c>
      <c r="AE153" s="37" t="s">
        <v>86</v>
      </c>
      <c r="AF153" s="37" t="s">
        <v>81</v>
      </c>
      <c r="AG153" s="37" t="s">
        <v>87</v>
      </c>
      <c r="AH153" s="37" t="s">
        <v>81</v>
      </c>
      <c r="AI153" s="37" t="s">
        <v>81</v>
      </c>
      <c r="AJ153" s="37" t="s">
        <v>81</v>
      </c>
      <c r="AK153" s="37" t="s">
        <v>81</v>
      </c>
      <c r="AL153" s="37" t="s">
        <v>81</v>
      </c>
      <c r="AM153" t="str">
        <f>VLOOKUP($R153,武学奇术!$A:$ZZ,25,FALSE)</f>
        <v>双刀</v>
      </c>
      <c r="AN153" s="23">
        <f>VLOOKUP($R153,武学奇术!$A:$ZZ,26,FALSE)</f>
        <v>2.4761</v>
      </c>
      <c r="AO153" s="24">
        <f>VLOOKUP($R153,武学奇术!$A:$ZZ,27,FALSE)*(1+IF(OR($AM153=$F$4,$AM153=$F$5),$B$23,0))</f>
        <v>1096</v>
      </c>
      <c r="AP153" s="23">
        <f>VLOOKUP($R153,武学奇术!$A:$ZZ,28,FALSE)</f>
        <v>3.7142</v>
      </c>
      <c r="AQ153" s="24">
        <f>VLOOKUP($R153,武学奇术!$A:$ZZ,29,FALSE)*(1+IF(OR($AM153=$F$4,$AM153=$F$5),$B$23,0))</f>
        <v>596.8</v>
      </c>
      <c r="AR153" s="23" cm="1">
        <f t="array" ref="AR153">$G$3+IFERROR(VLOOKUP($AM153,$F$4:$G$7,2,FALSE),0)+VLOOKUP($R153,武学奇术!$A:$ZZ,2,FALSE)+SUM(_xlfn.XLOOKUP($S153:$AL153,增益!$A:$A,增益!$B:$B,0))</f>
        <v>0.5743</v>
      </c>
      <c r="AS153" s="23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4013</v>
      </c>
      <c r="AU153" cm="1">
        <f t="array" ref="AU153">$E$10*(1+$AS153)+VLOOKUP($R153,武学奇术!$A:$ZZ,4,FALSE)+SUM(_xlfn.XLOOKUP($S153:$AL153,增益!$A:$A,增益!$D:$D,0))-$I$2</f>
        <v>4013</v>
      </c>
      <c r="AV153" s="29" cm="1">
        <f t="array" ref="AV153">IF($F$10-$I$3+VLOOKUP($R153,武学奇术!$A:$ZZ,6,FALSE)+SUM(_xlfn.XLOOKUP(S153:AL153,增益!$A:$A,增益!$F:$F,0))&gt;0,($F$10-$I$3+VLOOKUP($R153,武学奇术!$A:$ZZ,6,FALSE)+SUM(_xlfn.XLOOKUP(S153:AL153,增益!$A:$A,增益!$F:$F,0)))/200,($F$10-$I$3+VLOOKUP($R153,武学奇术!$A:$ZZ,6,FALSE)+SUM(_xlfn.XLOOKUP(S153:AL153,增益!$A:$A,增益!$F:$F,0)))/100)</f>
        <v>0.3689</v>
      </c>
      <c r="AW153" s="29" cm="1">
        <f t="array" ref="AW153">$G$10+VLOOKUP($R153,武学奇术!$A:$ZZ,7,FALSE)+SUM(_xlfn.XLOOKUP(S153:AL153,增益!$A:$A,增益!$G:$G,0))</f>
        <v>0</v>
      </c>
      <c r="AX153" s="23" cm="1">
        <f t="array" ref="AX153">VLOOKUP($R153,武学奇术!$A:$ZZ,8,FALSE)+SUM(_xlfn.XLOOKUP(S153:AL153,增益!$A:$A,增益!$H:$H,0))</f>
        <v>0</v>
      </c>
      <c r="AY153">
        <f t="shared" si="24"/>
        <v>0</v>
      </c>
      <c r="AZ153">
        <f t="shared" si="25"/>
        <v>0</v>
      </c>
      <c r="BA153" s="29" cm="1">
        <f t="array" ref="BA153">IF($F$11-$I$4+VLOOKUP($R153,武学奇术!$A:$ZZ,9,FALSE)+SUM(_xlfn.XLOOKUP(S153:AL153,增益!$A:$A,增益!$I:$I,0))&gt;0,($F$11-$I$4+VLOOKUP($R153,武学奇术!$A:$ZZ,9,FALSE)+SUM(_xlfn.XLOOKUP(S153:AL153,增益!$A:$A,增益!$I:$I,0)))/200,($F$11-$I$4+VLOOKUP($R153,武学奇术!$A:$ZZ,9,FALSE)+SUM(_xlfn.XLOOKUP(S153:AL153,增益!$A:$A,增益!$I:$I,0)))/100)</f>
        <v>-0.3</v>
      </c>
      <c r="BB153" s="29" cm="1">
        <f t="array" ref="BB153">$G$11+VLOOKUP($R153,武学奇术!$A:$ZZ,10,FALSE)+SUM(_xlfn.XLOOKUP(S153:AL153,增益!$A:$A,增益!$J:$J,0))</f>
        <v>0</v>
      </c>
      <c r="BC153">
        <f t="shared" si="26"/>
        <v>0</v>
      </c>
      <c r="BD153">
        <f t="shared" si="27"/>
        <v>0</v>
      </c>
      <c r="BE153" s="29" cm="1">
        <f t="array" ref="BE153">IF($F$12-$I$4+VLOOKUP($R153,武学奇术!$A:$ZZ,11,FALSE)+SUM(_xlfn.XLOOKUP(S153:AL153,增益!$A:$A,增益!$K:$K,0))&gt;0,($F$12-$I$4+VLOOKUP($R153,武学奇术!$A:$ZZ,11,FALSE)+SUM(_xlfn.XLOOKUP(S153:AL153,增益!$A:$A,增益!$K:$K,0)))/200,($F$12-$I$4+VLOOKUP($R153,武学奇术!$A:$ZZ,11,FALSE)+SUM(_xlfn.XLOOKUP(S153:AL153,增益!$A:$A,增益!$K:$K,0)))/100)</f>
        <v>-0.3</v>
      </c>
      <c r="BF153" s="29" cm="1">
        <f t="array" ref="BF153">$G$12+VLOOKUP($R153,武学奇术!$A:$ZZ,12,FALSE)+SUM(_xlfn.XLOOKUP(S153:AL153,增益!$A:$A,增益!$L:$L,0))</f>
        <v>0</v>
      </c>
      <c r="BG153">
        <f t="shared" si="28"/>
        <v>0</v>
      </c>
      <c r="BH153">
        <f t="shared" si="29"/>
        <v>0</v>
      </c>
      <c r="BI153" s="29" cm="1">
        <f t="array" ref="BI153">IF($F$13-$I$4+VLOOKUP($R153,武学奇术!$A:$ZZ,13,FALSE)+SUM(_xlfn.XLOOKUP(S153:AL153,增益!$A:$A,增益!$M:$M,0))&gt;0,($F$13-$I$4+VLOOKUP($R153,武学奇术!$A:$ZZ,13,FALSE)+SUM(_xlfn.XLOOKUP(S153:AL153,增益!$A:$A,增益!$K:$K,0)))/200,($F$13-$I$4+VLOOKUP($R153,武学奇术!$A:$ZZ,13,FALSE)+SUM(_xlfn.XLOOKUP(S153:AL153,增益!$A:$A,增益!$M:$M,0)))/100)</f>
        <v>-0.3</v>
      </c>
      <c r="BJ153" s="29" cm="1">
        <f t="array" ref="BJ153">$G$13+VLOOKUP($R153,武学奇术!$A:$ZZ,14,FALSE)+SUM(_xlfn.XLOOKUP(S153:AL153,增益!$A:$A,增益!$N:$N,0))</f>
        <v>0</v>
      </c>
      <c r="BK153">
        <f t="shared" si="30"/>
        <v>618.2</v>
      </c>
      <c r="BL153">
        <f t="shared" si="31"/>
        <v>1805</v>
      </c>
      <c r="BM153" s="29" cm="1">
        <f t="array" ref="BM153">IF($F$14-$I$4+VLOOKUP($R153,武学奇术!$A:$ZZ,15,FALSE)+SUM(_xlfn.XLOOKUP(S153:AL153,增益!$A:$A,增益!$O:$O,0))&gt;0,($F$14-$I$4+VLOOKUP($R153,武学奇术!$A:$ZZ,15,FALSE)+SUM(_xlfn.XLOOKUP(S153:AL153,增益!$A:$A,增益!$O:$O,0)))/200,($F$14-$I$4+VLOOKUP($R153,武学奇术!$A:$ZZ,15,FALSE)+SUM(_xlfn.XLOOKUP(S153:AL153,增益!$A:$A,增益!$O:$O,0)))/100)</f>
        <v>0</v>
      </c>
      <c r="BN153" s="29" cm="1">
        <f t="array" ref="BN153">$G$14+VLOOKUP($R153,武学奇术!$A:$ZZ,16,FALSE)+SUM(_xlfn.XLOOKUP(S153:AL153,增益!$A:$A,增益!$P:$P,0))</f>
        <v>0.15</v>
      </c>
      <c r="BO153" s="23">
        <f>MIN(IF(VLOOKUP($R153,武学奇术!$A:$ZZ,23,FALSE)=1,100%,$B$8),100%)</f>
        <v>0.9943</v>
      </c>
      <c r="BP153" s="23" cm="1">
        <f t="array" ref="BP153">IF(VLOOKUP($R153,武学奇术!$A:$ZZ,23,FALSE)=1,100%,MIN(80%,$B$9+VLOOKUP($R153,武学奇术!$A:$ZZ,17,FALSE)+SUM(_xlfn.XLOOKUP(S153:AL153,增益!$A:$A,增益!$Q:$Q,0)))+$B$11+SUM(_xlfn.XLOOKUP(S153:AL153,增益!$A:$A,增益!$U:$U,0)))*IF(VLOOKUP($R153,武学奇术!$A:$ZZ,24,FALSE)=1,0,1)</f>
        <v>0.8</v>
      </c>
      <c r="BQ153" s="23" cm="1">
        <f t="array" ref="BQ153">1+$B$13+VLOOKUP($R153,武学奇术!$A:$ZZ,18,FALSE)+SUM(_xlfn.XLOOKUP(S153:AL153,增益!$A:$A,增益!$R:$R,0))</f>
        <v>1.894</v>
      </c>
      <c r="BR153" s="23" cm="1">
        <f t="array" ref="BR153">IF(VLOOKUP($R153,武学奇术!$A:$ZZ,24,FALSE)=1,100%,MIN(40%,$B$10+VLOOKUP($R153,武学奇术!$A:$ZZ,19,FALSE)+SUM(_xlfn.XLOOKUP(S153:AL153,增益!$A:$A,增益!$S:$S,0)))+$B$12+SUM(_xlfn.XLOOKUP(S153:AL153,增益!$A:$A,增益!$V:$V,0)))*IF(VLOOKUP($R153,武学奇术!$A:$ZZ,23,FALSE)=1,0,1)</f>
        <v>0.0913</v>
      </c>
      <c r="BS153" s="23" cm="1">
        <f t="array" ref="BS153">1+$B$14+VLOOKUP($R153,武学奇术!$A:$ZZ,20,FALSE)+SUM(_xlfn.XLOOKUP(S153:AL153,增益!$A:$A,增益!$T:$T,0))</f>
        <v>1.35</v>
      </c>
      <c r="BT153" s="23">
        <f t="shared" si="32"/>
        <v>0.79544</v>
      </c>
      <c r="BU153" s="23">
        <f t="shared" si="33"/>
        <v>0.10808041</v>
      </c>
      <c r="BV153" s="23">
        <f>IF(VLOOKUP($R153,武学奇术!$A:$ZZ,22,FALSE)=1,0,(1-$BO153))*(1-$BR153)</f>
        <v>0.00517959000000003</v>
      </c>
      <c r="BW153" s="23" cm="1">
        <f t="array" ref="BW153">SUM(_xlfn.XLOOKUP(S153:AL153,增益!$A:$A,增益!$W:$W,0))+$I$5</f>
        <v>0.21</v>
      </c>
      <c r="BX153" s="23">
        <f>VLOOKUP($R153,武学奇术!$A:$ZZ,32,FALSE)</f>
        <v>0</v>
      </c>
      <c r="BY153" s="23" cm="1">
        <f t="array" ref="BY153">SUM(_xlfn.XLOOKUP($S153:$AL153,增益!$A:$A,增益!$X:$X,0))</f>
        <v>0</v>
      </c>
    </row>
    <row r="154" spans="11:77">
      <c r="K154" s="35">
        <f>$L154*VLOOKUP($R154,武学奇术!$A:$ZZ,31,FALSE)</f>
        <v>77312.0438573035</v>
      </c>
      <c r="L154" s="69">
        <f t="shared" si="34"/>
        <v>75796.1214287289</v>
      </c>
      <c r="M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轻击",$B$21,0))*(1+IF(VLOOKUP($R154,武学奇术!$A:$ZZ,30,FALSE)="老鼠",$B$22,0))*(1+$BW154)*(1+$BX154)</f>
        <v>81610.5978724717</v>
      </c>
      <c r="N154" s="35">
        <f>(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轻击",$B$21,0))*(1+IF(VLOOKUP($R154,武学奇术!$A:$ZZ,30,FALSE)="老鼠",$B$22,0))*(1+$BW154))*(1+$BX154)</f>
        <v>66043.0623113816</v>
      </c>
      <c r="O154" s="35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轻击",$B$21,0))*(1+IF(VLOOKUP($R154,武学奇术!$A:$ZZ,30,FALSE)="老鼠",$B$22,0))*(1+$BW154)*(1+$BX154)</f>
        <v>43089.0168281266</v>
      </c>
      <c r="P154" s="35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轻击",$B$21,0))*(1+IF(VLOOKUP($R154,武学奇术!$A:$ZZ,30,FALSE)="老鼠",$B$22,0))*(1+$BW154)*(1+$BX154)</f>
        <v>37257.2467589334</v>
      </c>
      <c r="Q154" s="70">
        <v>3</v>
      </c>
      <c r="R154" s="37" t="s">
        <v>106</v>
      </c>
      <c r="S154" s="37" t="s">
        <v>91</v>
      </c>
      <c r="T154" s="37" t="s">
        <v>185</v>
      </c>
      <c r="U154" s="37" t="s">
        <v>112</v>
      </c>
      <c r="V154" s="37" t="s">
        <v>113</v>
      </c>
      <c r="W154" s="37" t="s">
        <v>82</v>
      </c>
      <c r="X154" s="37" t="s">
        <v>81</v>
      </c>
      <c r="Y154" s="37" t="s">
        <v>109</v>
      </c>
      <c r="Z154" s="37" t="s">
        <v>81</v>
      </c>
      <c r="AA154" s="37" t="s">
        <v>81</v>
      </c>
      <c r="AB154" s="37" t="s">
        <v>183</v>
      </c>
      <c r="AC154" s="37" t="s">
        <v>81</v>
      </c>
      <c r="AD154" s="37" t="s">
        <v>85</v>
      </c>
      <c r="AE154" s="37" t="s">
        <v>86</v>
      </c>
      <c r="AF154" s="37" t="s">
        <v>81</v>
      </c>
      <c r="AG154" s="37" t="s">
        <v>87</v>
      </c>
      <c r="AH154" s="37" t="s">
        <v>81</v>
      </c>
      <c r="AI154" s="37" t="s">
        <v>81</v>
      </c>
      <c r="AJ154" s="37" t="s">
        <v>81</v>
      </c>
      <c r="AK154" s="37" t="s">
        <v>81</v>
      </c>
      <c r="AL154" s="37" t="s">
        <v>81</v>
      </c>
      <c r="AM154" t="str">
        <f>VLOOKUP($R154,武学奇术!$A:$ZZ,25,FALSE)</f>
        <v>绳镖</v>
      </c>
      <c r="AN154" s="23">
        <f>VLOOKUP($R154,武学奇术!$A:$ZZ,26,FALSE)</f>
        <v>0.3675</v>
      </c>
      <c r="AO154" s="24">
        <f>VLOOKUP($R154,武学奇术!$A:$ZZ,27,FALSE)*(1+IF(OR($AM154=$F$4,$AM154=$F$5),$B$23,0))</f>
        <v>0</v>
      </c>
      <c r="AP154" s="23">
        <f>VLOOKUP($R154,武学奇术!$A:$ZZ,28,FALSE)</f>
        <v>0.55125</v>
      </c>
      <c r="AQ154" s="24">
        <f>VLOOKUP($R154,武学奇术!$A:$ZZ,29,FALSE)*(1+IF(OR($AM154=$F$4,$AM154=$F$5),$B$23,0))</f>
        <v>0</v>
      </c>
      <c r="AR154" s="23" cm="1">
        <f t="array" ref="AR154">$G$3+IFERROR(VLOOKUP($AM154,$F$4:$G$7,2,FALSE),0)+VLOOKUP($R154,武学奇术!$A:$ZZ,2,FALSE)+SUM(_xlfn.XLOOKUP($S154:$AL154,增益!$A:$A,增益!$B:$B,0))</f>
        <v>1.4943</v>
      </c>
      <c r="AS154" s="23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4081.7</v>
      </c>
      <c r="AU154" cm="1">
        <f t="array" ref="AU154">$E$10*(1+$AS154)+VLOOKUP($R154,武学奇术!$A:$ZZ,4,FALSE)+SUM(_xlfn.XLOOKUP($S154:$AL154,增益!$A:$A,增益!$D:$D,0))-$I$2</f>
        <v>4081.7</v>
      </c>
      <c r="AV154" s="29" cm="1">
        <f t="array" ref="AV154">IF($F$10-$I$3+VLOOKUP($R154,武学奇术!$A:$ZZ,6,FALSE)+SUM(_xlfn.XLOOKUP(S154:AL154,增益!$A:$A,增益!$F:$F,0))&gt;0,($F$10-$I$3+VLOOKUP($R154,武学奇术!$A:$ZZ,6,FALSE)+SUM(_xlfn.XLOOKUP(S154:AL154,增益!$A:$A,增益!$F:$F,0)))/200,($F$10-$I$3+VLOOKUP($R154,武学奇术!$A:$ZZ,6,FALSE)+SUM(_xlfn.XLOOKUP(S154:AL154,增益!$A:$A,增益!$F:$F,0)))/100)</f>
        <v>0.3689</v>
      </c>
      <c r="AW154" s="29" cm="1">
        <f t="array" ref="AW154">$G$10+VLOOKUP($R154,武学奇术!$A:$ZZ,7,FALSE)+SUM(_xlfn.XLOOKUP(S154:AL154,增益!$A:$A,增益!$G:$G,0))</f>
        <v>0.27</v>
      </c>
      <c r="AX154" s="23" cm="1">
        <f t="array" ref="AX154">VLOOKUP($R154,武学奇术!$A:$ZZ,8,FALSE)+SUM(_xlfn.XLOOKUP(S154:AL154,增益!$A:$A,增益!$H:$H,0))</f>
        <v>0</v>
      </c>
      <c r="AY154">
        <f t="shared" si="24"/>
        <v>0</v>
      </c>
      <c r="AZ154">
        <f t="shared" si="25"/>
        <v>0</v>
      </c>
      <c r="BA154" s="29" cm="1">
        <f t="array" ref="BA154">IF($F$11-$I$4+VLOOKUP($R154,武学奇术!$A:$ZZ,9,FALSE)+SUM(_xlfn.XLOOKUP(S154:AL154,增益!$A:$A,增益!$I:$I,0))&gt;0,($F$11-$I$4+VLOOKUP($R154,武学奇术!$A:$ZZ,9,FALSE)+SUM(_xlfn.XLOOKUP(S154:AL154,增益!$A:$A,增益!$I:$I,0)))/200,($F$11-$I$4+VLOOKUP($R154,武学奇术!$A:$ZZ,9,FALSE)+SUM(_xlfn.XLOOKUP(S154:AL154,增益!$A:$A,增益!$I:$I,0)))/100)</f>
        <v>-0.3</v>
      </c>
      <c r="BB154" s="29" cm="1">
        <f t="array" ref="BB154">$G$11+VLOOKUP($R154,武学奇术!$A:$ZZ,10,FALSE)+SUM(_xlfn.XLOOKUP(S154:AL154,增益!$A:$A,增益!$J:$J,0))</f>
        <v>0</v>
      </c>
      <c r="BC154">
        <f t="shared" si="26"/>
        <v>0</v>
      </c>
      <c r="BD154">
        <f t="shared" si="27"/>
        <v>0</v>
      </c>
      <c r="BE154" s="29" cm="1">
        <f t="array" ref="BE154">IF($F$12-$I$4+VLOOKUP($R154,武学奇术!$A:$ZZ,11,FALSE)+SUM(_xlfn.XLOOKUP(S154:AL154,增益!$A:$A,增益!$K:$K,0))&gt;0,($F$12-$I$4+VLOOKUP($R154,武学奇术!$A:$ZZ,11,FALSE)+SUM(_xlfn.XLOOKUP(S154:AL154,增益!$A:$A,增益!$K:$K,0)))/200,($F$12-$I$4+VLOOKUP($R154,武学奇术!$A:$ZZ,11,FALSE)+SUM(_xlfn.XLOOKUP(S154:AL154,增益!$A:$A,增益!$K:$K,0)))/100)</f>
        <v>-0.3</v>
      </c>
      <c r="BF154" s="29" cm="1">
        <f t="array" ref="BF154">$G$12+VLOOKUP($R154,武学奇术!$A:$ZZ,12,FALSE)+SUM(_xlfn.XLOOKUP(S154:AL154,增益!$A:$A,增益!$L:$L,0))</f>
        <v>0</v>
      </c>
      <c r="BG154">
        <f t="shared" si="28"/>
        <v>0</v>
      </c>
      <c r="BH154">
        <f t="shared" si="29"/>
        <v>0</v>
      </c>
      <c r="BI154" s="29" cm="1">
        <f t="array" ref="BI154">IF($F$13-$I$4+VLOOKUP($R154,武学奇术!$A:$ZZ,13,FALSE)+SUM(_xlfn.XLOOKUP(S154:AL154,增益!$A:$A,增益!$M:$M,0))&gt;0,($F$13-$I$4+VLOOKUP($R154,武学奇术!$A:$ZZ,13,FALSE)+SUM(_xlfn.XLOOKUP(S154:AL154,增益!$A:$A,增益!$K:$K,0)))/200,($F$13-$I$4+VLOOKUP($R154,武学奇术!$A:$ZZ,13,FALSE)+SUM(_xlfn.XLOOKUP(S154:AL154,增益!$A:$A,增益!$M:$M,0)))/100)</f>
        <v>-0.3</v>
      </c>
      <c r="BJ154" s="29" cm="1">
        <f t="array" ref="BJ154">$G$13+VLOOKUP($R154,武学奇术!$A:$ZZ,14,FALSE)+SUM(_xlfn.XLOOKUP(S154:AL154,增益!$A:$A,增益!$N:$N,0))</f>
        <v>0</v>
      </c>
      <c r="BK154">
        <f t="shared" si="30"/>
        <v>618.2</v>
      </c>
      <c r="BL154">
        <f t="shared" si="31"/>
        <v>1805</v>
      </c>
      <c r="BM154" s="29" cm="1">
        <f t="array" ref="BM154">IF($F$14-$I$4+VLOOKUP($R154,武学奇术!$A:$ZZ,15,FALSE)+SUM(_xlfn.XLOOKUP(S154:AL154,增益!$A:$A,增益!$O:$O,0))&gt;0,($F$14-$I$4+VLOOKUP($R154,武学奇术!$A:$ZZ,15,FALSE)+SUM(_xlfn.XLOOKUP(S154:AL154,增益!$A:$A,增益!$O:$O,0)))/200,($F$14-$I$4+VLOOKUP($R154,武学奇术!$A:$ZZ,15,FALSE)+SUM(_xlfn.XLOOKUP(S154:AL154,增益!$A:$A,增益!$O:$O,0)))/100)</f>
        <v>0.05</v>
      </c>
      <c r="BN154" s="29" cm="1">
        <f t="array" ref="BN154">$G$14+VLOOKUP($R154,武学奇术!$A:$ZZ,16,FALSE)+SUM(_xlfn.XLOOKUP(S154:AL154,增益!$A:$A,增益!$P:$P,0))</f>
        <v>0.42</v>
      </c>
      <c r="BO154" s="23">
        <f>MIN(IF(VLOOKUP($R154,武学奇术!$A:$ZZ,23,FALSE)=1,100%,$B$8),100%)</f>
        <v>0.9943</v>
      </c>
      <c r="BP154" s="23" cm="1">
        <f t="array" ref="BP154">IF(VLOOKUP($R154,武学奇术!$A:$ZZ,23,FALSE)=1,100%,MIN(80%,$B$9+VLOOKUP($R154,武学奇术!$A:$ZZ,17,FALSE)+SUM(_xlfn.XLOOKUP(S154:AL154,增益!$A:$A,增益!$Q:$Q,0)))+$B$11+SUM(_xlfn.XLOOKUP(S154:AL154,增益!$A:$A,增益!$U:$U,0)))*IF(VLOOKUP($R154,武学奇术!$A:$ZZ,24,FALSE)=1,0,1)</f>
        <v>0.8</v>
      </c>
      <c r="BQ154" s="23" cm="1">
        <f t="array" ref="BQ154">1+$B$13+VLOOKUP($R154,武学奇术!$A:$ZZ,18,FALSE)+SUM(_xlfn.XLOOKUP(S154:AL154,增益!$A:$A,增益!$R:$R,0))</f>
        <v>1.894</v>
      </c>
      <c r="BR154" s="23" cm="1">
        <f t="array" ref="BR154">IF(VLOOKUP($R154,武学奇术!$A:$ZZ,24,FALSE)=1,100%,MIN(40%,$B$10+VLOOKUP($R154,武学奇术!$A:$ZZ,19,FALSE)+SUM(_xlfn.XLOOKUP(S154:AL154,增益!$A:$A,增益!$S:$S,0)))+$B$12+SUM(_xlfn.XLOOKUP(S154:AL154,增益!$A:$A,增益!$V:$V,0)))*IF(VLOOKUP($R154,武学奇术!$A:$ZZ,23,FALSE)=1,0,1)</f>
        <v>0.0913</v>
      </c>
      <c r="BS154" s="23" cm="1">
        <f t="array" ref="BS154">1+$B$14+VLOOKUP($R154,武学奇术!$A:$ZZ,20,FALSE)+SUM(_xlfn.XLOOKUP(S154:AL154,增益!$A:$A,增益!$T:$T,0))</f>
        <v>1.35</v>
      </c>
      <c r="BT154" s="23">
        <f t="shared" si="32"/>
        <v>0.79544</v>
      </c>
      <c r="BU154" s="23">
        <f t="shared" si="33"/>
        <v>0.10808041</v>
      </c>
      <c r="BV154" s="23">
        <f>IF(VLOOKUP($R154,武学奇术!$A:$ZZ,22,FALSE)=1,0,(1-$BO154))*(1-$BR154)</f>
        <v>0.00517959000000003</v>
      </c>
      <c r="BW154" s="23" cm="1">
        <f t="array" ref="BW154">SUM(_xlfn.XLOOKUP(S154:AL154,增益!$A:$A,增益!$W:$W,0))+$I$5</f>
        <v>0.21</v>
      </c>
      <c r="BX154" s="23">
        <f>VLOOKUP($R154,武学奇术!$A:$ZZ,32,FALSE)</f>
        <v>0</v>
      </c>
      <c r="BY154" s="23" cm="1">
        <f t="array" ref="BY154">SUM(_xlfn.XLOOKUP($S154:$AL154,增益!$A:$A,增益!$X:$X,0))</f>
        <v>0</v>
      </c>
    </row>
    <row r="155" spans="11:77">
      <c r="K155" s="35">
        <f>$L155*VLOOKUP($R155,武学奇术!$A:$ZZ,31,FALSE)</f>
        <v>35766.2071032505</v>
      </c>
      <c r="L155" s="35">
        <f t="shared" si="34"/>
        <v>31934.1134850451</v>
      </c>
      <c r="M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轻击",$B$21,0))*(1+IF(VLOOKUP($R155,武学奇术!$A:$ZZ,30,FALSE)="老鼠",$B$22,0))*(1+$BW155)*(1+$BX155)</f>
        <v>33594.4302084542</v>
      </c>
      <c r="N155" s="35">
        <f>(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轻击",$B$21,0))*(1+IF(VLOOKUP($R155,武学奇术!$A:$ZZ,30,FALSE)="老鼠",$B$22,0))*(1+$BW155))*(1+$BX155)</f>
        <v>21238.1830344106</v>
      </c>
      <c r="O155" s="35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轻击",$B$21,0))*(1+IF(VLOOKUP($R155,武学奇术!$A:$ZZ,30,FALSE)="老鼠",$B$22,0))*(1+$BW155)*(1+$BX155)</f>
        <v>14032.7611564136</v>
      </c>
      <c r="P155" s="35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轻击",$B$21,0))*(1+IF(VLOOKUP($R155,武学奇术!$A:$ZZ,30,FALSE)="老鼠",$B$22,0))*(1+$BW155)*(1+$BX155)</f>
        <v>12333.5348799305</v>
      </c>
      <c r="Q155" s="36">
        <v>1</v>
      </c>
      <c r="R155" s="37" t="s">
        <v>139</v>
      </c>
      <c r="S155" s="37" t="s">
        <v>91</v>
      </c>
      <c r="T155" s="37" t="s">
        <v>185</v>
      </c>
      <c r="U155" s="37" t="s">
        <v>112</v>
      </c>
      <c r="V155" s="37" t="s">
        <v>113</v>
      </c>
      <c r="W155" s="37" t="s">
        <v>82</v>
      </c>
      <c r="X155" s="37" t="s">
        <v>81</v>
      </c>
      <c r="Y155" s="37" t="s">
        <v>109</v>
      </c>
      <c r="Z155" s="37" t="s">
        <v>83</v>
      </c>
      <c r="AA155" s="37" t="s">
        <v>81</v>
      </c>
      <c r="AB155" s="37" t="s">
        <v>183</v>
      </c>
      <c r="AC155" s="37" t="s">
        <v>81</v>
      </c>
      <c r="AD155" s="37" t="s">
        <v>85</v>
      </c>
      <c r="AE155" s="37" t="s">
        <v>86</v>
      </c>
      <c r="AF155" s="37" t="s">
        <v>181</v>
      </c>
      <c r="AG155" s="37" t="s">
        <v>87</v>
      </c>
      <c r="AH155" s="37" t="s">
        <v>81</v>
      </c>
      <c r="AI155" s="37" t="s">
        <v>81</v>
      </c>
      <c r="AJ155" s="37" t="s">
        <v>81</v>
      </c>
      <c r="AK155" s="37" t="s">
        <v>81</v>
      </c>
      <c r="AL155" s="37" t="s">
        <v>81</v>
      </c>
      <c r="AM155" t="str">
        <f>VLOOKUP($R155,武学奇术!$A:$ZZ,25,FALSE)</f>
        <v>双刀</v>
      </c>
      <c r="AN155" s="23">
        <f>VLOOKUP($R155,武学奇术!$A:$ZZ,26,FALSE)</f>
        <v>0.6472</v>
      </c>
      <c r="AO155" s="24">
        <f>VLOOKUP($R155,武学奇术!$A:$ZZ,27,FALSE)*(1+IF(OR($AM155=$F$4,$AM155=$F$5),$B$23,0))</f>
        <v>288</v>
      </c>
      <c r="AP155" s="23">
        <f>VLOOKUP($R155,武学奇术!$A:$ZZ,28,FALSE)</f>
        <v>0.9708</v>
      </c>
      <c r="AQ155" s="24">
        <f>VLOOKUP($R155,武学奇术!$A:$ZZ,29,FALSE)*(1+IF(OR($AM155=$F$4,$AM155=$F$5),$B$23,0))</f>
        <v>156.8</v>
      </c>
      <c r="AR155" s="23" cm="1">
        <f t="array" ref="AR155">$G$3+IFERROR(VLOOKUP($AM155,$F$4:$G$7,2,FALSE),0)+VLOOKUP($R155,武学奇术!$A:$ZZ,2,FALSE)+SUM(_xlfn.XLOOKUP($S155:$AL155,增益!$A:$A,增益!$B:$B,0))</f>
        <v>0.7443</v>
      </c>
      <c r="AS155" s="23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4081.7</v>
      </c>
      <c r="AU155" cm="1">
        <f t="array" ref="AU155">$E$10*(1+$AS155)+VLOOKUP($R155,武学奇术!$A:$ZZ,4,FALSE)+SUM(_xlfn.XLOOKUP($S155:$AL155,增益!$A:$A,增益!$D:$D,0))-$I$2</f>
        <v>4081.7</v>
      </c>
      <c r="AV155" s="29" cm="1">
        <f t="array" ref="AV155">IF($F$10-$I$3+VLOOKUP($R155,武学奇术!$A:$ZZ,6,FALSE)+SUM(_xlfn.XLOOKUP(S155:AL155,增益!$A:$A,增益!$F:$F,0))&gt;0,($F$10-$I$3+VLOOKUP($R155,武学奇术!$A:$ZZ,6,FALSE)+SUM(_xlfn.XLOOKUP(S155:AL155,增益!$A:$A,增益!$F:$F,0)))/200,($F$10-$I$3+VLOOKUP($R155,武学奇术!$A:$ZZ,6,FALSE)+SUM(_xlfn.XLOOKUP(S155:AL155,增益!$A:$A,增益!$F:$F,0)))/100)</f>
        <v>0.3689</v>
      </c>
      <c r="AW155" s="29" cm="1">
        <f t="array" ref="AW155">$G$10+VLOOKUP($R155,武学奇术!$A:$ZZ,7,FALSE)+SUM(_xlfn.XLOOKUP(S155:AL155,增益!$A:$A,增益!$G:$G,0))</f>
        <v>0.06</v>
      </c>
      <c r="AX155" s="23" cm="1">
        <f t="array" ref="AX155">VLOOKUP($R155,武学奇术!$A:$ZZ,8,FALSE)+SUM(_xlfn.XLOOKUP(S155:AL155,增益!$A:$A,增益!$H:$H,0))</f>
        <v>0</v>
      </c>
      <c r="AY155">
        <f t="shared" si="24"/>
        <v>0</v>
      </c>
      <c r="AZ155">
        <f t="shared" si="25"/>
        <v>0</v>
      </c>
      <c r="BA155" s="29" cm="1">
        <f t="array" ref="BA155">IF($F$11-$I$4+VLOOKUP($R155,武学奇术!$A:$ZZ,9,FALSE)+SUM(_xlfn.XLOOKUP(S155:AL155,增益!$A:$A,增益!$I:$I,0))&gt;0,($F$11-$I$4+VLOOKUP($R155,武学奇术!$A:$ZZ,9,FALSE)+SUM(_xlfn.XLOOKUP(S155:AL155,增益!$A:$A,增益!$I:$I,0)))/200,($F$11-$I$4+VLOOKUP($R155,武学奇术!$A:$ZZ,9,FALSE)+SUM(_xlfn.XLOOKUP(S155:AL155,增益!$A:$A,增益!$I:$I,0)))/100)</f>
        <v>-0.3</v>
      </c>
      <c r="BB155" s="29" cm="1">
        <f t="array" ref="BB155">$G$11+VLOOKUP($R155,武学奇术!$A:$ZZ,10,FALSE)+SUM(_xlfn.XLOOKUP(S155:AL155,增益!$A:$A,增益!$J:$J,0))</f>
        <v>0</v>
      </c>
      <c r="BC155">
        <f t="shared" si="26"/>
        <v>0</v>
      </c>
      <c r="BD155">
        <f t="shared" si="27"/>
        <v>0</v>
      </c>
      <c r="BE155" s="29" cm="1">
        <f t="array" ref="BE155">IF($F$12-$I$4+VLOOKUP($R155,武学奇术!$A:$ZZ,11,FALSE)+SUM(_xlfn.XLOOKUP(S155:AL155,增益!$A:$A,增益!$K:$K,0))&gt;0,($F$12-$I$4+VLOOKUP($R155,武学奇术!$A:$ZZ,11,FALSE)+SUM(_xlfn.XLOOKUP(S155:AL155,增益!$A:$A,增益!$K:$K,0)))/200,($F$12-$I$4+VLOOKUP($R155,武学奇术!$A:$ZZ,11,FALSE)+SUM(_xlfn.XLOOKUP(S155:AL155,增益!$A:$A,增益!$K:$K,0)))/100)</f>
        <v>-0.3</v>
      </c>
      <c r="BF155" s="29" cm="1">
        <f t="array" ref="BF155">$G$12+VLOOKUP($R155,武学奇术!$A:$ZZ,12,FALSE)+SUM(_xlfn.XLOOKUP(S155:AL155,增益!$A:$A,增益!$L:$L,0))</f>
        <v>0</v>
      </c>
      <c r="BG155">
        <f t="shared" si="28"/>
        <v>0</v>
      </c>
      <c r="BH155">
        <f t="shared" si="29"/>
        <v>0</v>
      </c>
      <c r="BI155" s="29" cm="1">
        <f t="array" ref="BI155">IF($F$13-$I$4+VLOOKUP($R155,武学奇术!$A:$ZZ,13,FALSE)+SUM(_xlfn.XLOOKUP(S155:AL155,增益!$A:$A,增益!$M:$M,0))&gt;0,($F$13-$I$4+VLOOKUP($R155,武学奇术!$A:$ZZ,13,FALSE)+SUM(_xlfn.XLOOKUP(S155:AL155,增益!$A:$A,增益!$K:$K,0)))/200,($F$13-$I$4+VLOOKUP($R155,武学奇术!$A:$ZZ,13,FALSE)+SUM(_xlfn.XLOOKUP(S155:AL155,增益!$A:$A,增益!$M:$M,0)))/100)</f>
        <v>-0.3</v>
      </c>
      <c r="BJ155" s="29" cm="1">
        <f t="array" ref="BJ155">$G$13+VLOOKUP($R155,武学奇术!$A:$ZZ,14,FALSE)+SUM(_xlfn.XLOOKUP(S155:AL155,增益!$A:$A,增益!$N:$N,0))</f>
        <v>0</v>
      </c>
      <c r="BK155">
        <f t="shared" si="30"/>
        <v>618.2</v>
      </c>
      <c r="BL155">
        <f t="shared" si="31"/>
        <v>1805</v>
      </c>
      <c r="BM155" s="29" cm="1">
        <f t="array" ref="BM155">IF($F$14-$I$4+VLOOKUP($R155,武学奇术!$A:$ZZ,15,FALSE)+SUM(_xlfn.XLOOKUP(S155:AL155,增益!$A:$A,增益!$O:$O,0))&gt;0,($F$14-$I$4+VLOOKUP($R155,武学奇术!$A:$ZZ,15,FALSE)+SUM(_xlfn.XLOOKUP(S155:AL155,增益!$A:$A,增益!$O:$O,0)))/200,($F$14-$I$4+VLOOKUP($R155,武学奇术!$A:$ZZ,15,FALSE)+SUM(_xlfn.XLOOKUP(S155:AL155,增益!$A:$A,增益!$O:$O,0)))/100)</f>
        <v>0.05</v>
      </c>
      <c r="BN155" s="29" cm="1">
        <f t="array" ref="BN155">$G$14+VLOOKUP($R155,武学奇术!$A:$ZZ,16,FALSE)+SUM(_xlfn.XLOOKUP(S155:AL155,增益!$A:$A,增益!$P:$P,0))</f>
        <v>0.21</v>
      </c>
      <c r="BO155" s="23">
        <f>MIN(IF(VLOOKUP($R155,武学奇术!$A:$ZZ,23,FALSE)=1,100%,$B$8),100%)</f>
        <v>0.9943</v>
      </c>
      <c r="BP155" s="23" cm="1">
        <f t="array" ref="BP155">IF(VLOOKUP($R155,武学奇术!$A:$ZZ,23,FALSE)=1,100%,MIN(80%,$B$9+VLOOKUP($R155,武学奇术!$A:$ZZ,17,FALSE)+SUM(_xlfn.XLOOKUP(S155:AL155,增益!$A:$A,增益!$Q:$Q,0)))+$B$11+SUM(_xlfn.XLOOKUP(S155:AL155,增益!$A:$A,增益!$U:$U,0)))*IF(VLOOKUP($R155,武学奇术!$A:$ZZ,24,FALSE)=1,0,1)</f>
        <v>0.887</v>
      </c>
      <c r="BQ155" s="23" cm="1">
        <f t="array" ref="BQ155">1+$B$13+VLOOKUP($R155,武学奇术!$A:$ZZ,18,FALSE)+SUM(_xlfn.XLOOKUP(S155:AL155,增益!$A:$A,增益!$R:$R,0))</f>
        <v>2.394</v>
      </c>
      <c r="BR155" s="23" cm="1">
        <f t="array" ref="BR155">IF(VLOOKUP($R155,武学奇术!$A:$ZZ,24,FALSE)=1,100%,MIN(40%,$B$10+VLOOKUP($R155,武学奇术!$A:$ZZ,19,FALSE)+SUM(_xlfn.XLOOKUP(S155:AL155,增益!$A:$A,增益!$S:$S,0)))+$B$12+SUM(_xlfn.XLOOKUP(S155:AL155,增益!$A:$A,增益!$V:$V,0)))*IF(VLOOKUP($R155,武学奇术!$A:$ZZ,23,FALSE)=1,0,1)</f>
        <v>0.0913</v>
      </c>
      <c r="BS155" s="23" cm="1">
        <f t="array" ref="BS155">1+$B$14+VLOOKUP($R155,武学奇术!$A:$ZZ,20,FALSE)+SUM(_xlfn.XLOOKUP(S155:AL155,增益!$A:$A,增益!$T:$T,0))</f>
        <v>1.35</v>
      </c>
      <c r="BT155" s="23">
        <f t="shared" si="32"/>
        <v>0.8819441</v>
      </c>
      <c r="BU155" s="23">
        <f t="shared" si="33"/>
        <v>0.0215763099999999</v>
      </c>
      <c r="BV155" s="23">
        <f>IF(VLOOKUP($R155,武学奇术!$A:$ZZ,22,FALSE)=1,0,(1-$BO155))*(1-$BR155)</f>
        <v>0.00517959000000003</v>
      </c>
      <c r="BW155" s="23" cm="1">
        <f t="array" ref="BW155">SUM(_xlfn.XLOOKUP(S155:AL155,增益!$A:$A,增益!$W:$W,0))+$I$5</f>
        <v>0.21</v>
      </c>
      <c r="BX155" s="23">
        <f>VLOOKUP($R155,武学奇术!$A:$ZZ,32,FALSE)</f>
        <v>0.1</v>
      </c>
      <c r="BY155" s="23" cm="1">
        <f t="array" ref="BY155">SUM(_xlfn.XLOOKUP($S155:$AL155,增益!$A:$A,增益!$X:$X,0))</f>
        <v>0</v>
      </c>
    </row>
    <row r="156" spans="11:77">
      <c r="K156" s="35">
        <f>$L156*VLOOKUP($R156,武学奇术!$A:$ZZ,31,FALSE)</f>
        <v>49785.9648022963</v>
      </c>
      <c r="L156" s="35">
        <f t="shared" si="34"/>
        <v>44451.7542877646</v>
      </c>
      <c r="M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轻击",$B$21,0))*(1+IF(VLOOKUP($R156,武学奇术!$A:$ZZ,30,FALSE)="老鼠",$B$22,0))*(1+$BW156)*(1+$BX156)</f>
        <v>46762.7863185716</v>
      </c>
      <c r="N156" s="35">
        <f>(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轻击",$B$21,0))*(1+IF(VLOOKUP($R156,武学奇术!$A:$ZZ,30,FALSE)="老鼠",$B$22,0))*(1+$BW156))*(1+$BX156)</f>
        <v>29564.2331262174</v>
      </c>
      <c r="O156" s="35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轻击",$B$21,0))*(1+IF(VLOOKUP($R156,武学奇术!$A:$ZZ,30,FALSE)="老鼠",$B$22,0))*(1+$BW156)*(1+$BX156)</f>
        <v>19533.327618451</v>
      </c>
      <c r="P156" s="35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轻击",$B$21,0))*(1+IF(VLOOKUP($R156,武学奇术!$A:$ZZ,30,FALSE)="老鼠",$B$22,0))*(1+$BW156)*(1+$BX156)</f>
        <v>17167.2232915557</v>
      </c>
      <c r="Q156" s="36">
        <v>1</v>
      </c>
      <c r="R156" s="37" t="s">
        <v>143</v>
      </c>
      <c r="S156" s="37" t="s">
        <v>91</v>
      </c>
      <c r="T156" s="37" t="s">
        <v>185</v>
      </c>
      <c r="U156" s="37" t="s">
        <v>112</v>
      </c>
      <c r="V156" s="37" t="s">
        <v>113</v>
      </c>
      <c r="W156" s="37" t="s">
        <v>82</v>
      </c>
      <c r="X156" s="37" t="s">
        <v>81</v>
      </c>
      <c r="Y156" s="37" t="s">
        <v>109</v>
      </c>
      <c r="Z156" s="37" t="s">
        <v>83</v>
      </c>
      <c r="AA156" s="37" t="s">
        <v>81</v>
      </c>
      <c r="AB156" s="37" t="s">
        <v>183</v>
      </c>
      <c r="AC156" s="37" t="s">
        <v>81</v>
      </c>
      <c r="AD156" s="37" t="s">
        <v>85</v>
      </c>
      <c r="AE156" s="37" t="s">
        <v>86</v>
      </c>
      <c r="AF156" s="37" t="s">
        <v>181</v>
      </c>
      <c r="AG156" s="37" t="s">
        <v>87</v>
      </c>
      <c r="AH156" s="37" t="s">
        <v>81</v>
      </c>
      <c r="AI156" s="37" t="s">
        <v>81</v>
      </c>
      <c r="AJ156" s="37" t="s">
        <v>81</v>
      </c>
      <c r="AK156" s="37" t="s">
        <v>81</v>
      </c>
      <c r="AL156" s="37" t="s">
        <v>81</v>
      </c>
      <c r="AM156" t="str">
        <f>VLOOKUP($R156,武学奇术!$A:$ZZ,25,FALSE)</f>
        <v>双刀</v>
      </c>
      <c r="AN156" s="23">
        <f>VLOOKUP($R156,武学奇术!$A:$ZZ,26,FALSE)</f>
        <v>0.9012</v>
      </c>
      <c r="AO156" s="24">
        <f>VLOOKUP($R156,武学奇术!$A:$ZZ,27,FALSE)*(1+IF(OR($AM156=$F$4,$AM156=$F$5),$B$23,0))</f>
        <v>400</v>
      </c>
      <c r="AP156" s="23">
        <f>VLOOKUP($R156,武学奇术!$A:$ZZ,28,FALSE)</f>
        <v>1.3518</v>
      </c>
      <c r="AQ156" s="24">
        <f>VLOOKUP($R156,武学奇术!$A:$ZZ,29,FALSE)*(1+IF(OR($AM156=$F$4,$AM156=$F$5),$B$23,0))</f>
        <v>217.6</v>
      </c>
      <c r="AR156" s="23" cm="1">
        <f t="array" ref="AR156">$G$3+IFERROR(VLOOKUP($AM156,$F$4:$G$7,2,FALSE),0)+VLOOKUP($R156,武学奇术!$A:$ZZ,2,FALSE)+SUM(_xlfn.XLOOKUP($S156:$AL156,增益!$A:$A,增益!$B:$B,0))</f>
        <v>0.7443</v>
      </c>
      <c r="AS156" s="23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4081.7</v>
      </c>
      <c r="AU156" cm="1">
        <f t="array" ref="AU156">$E$10*(1+$AS156)+VLOOKUP($R156,武学奇术!$A:$ZZ,4,FALSE)+SUM(_xlfn.XLOOKUP($S156:$AL156,增益!$A:$A,增益!$D:$D,0))-$I$2</f>
        <v>4081.7</v>
      </c>
      <c r="AV156" s="29" cm="1">
        <f t="array" ref="AV156">IF($F$10-$I$3+VLOOKUP($R156,武学奇术!$A:$ZZ,6,FALSE)+SUM(_xlfn.XLOOKUP(S156:AL156,增益!$A:$A,增益!$F:$F,0))&gt;0,($F$10-$I$3+VLOOKUP($R156,武学奇术!$A:$ZZ,6,FALSE)+SUM(_xlfn.XLOOKUP(S156:AL156,增益!$A:$A,增益!$F:$F,0)))/200,($F$10-$I$3+VLOOKUP($R156,武学奇术!$A:$ZZ,6,FALSE)+SUM(_xlfn.XLOOKUP(S156:AL156,增益!$A:$A,增益!$F:$F,0)))/100)</f>
        <v>0.3689</v>
      </c>
      <c r="AW156" s="29" cm="1">
        <f t="array" ref="AW156">$G$10+VLOOKUP($R156,武学奇术!$A:$ZZ,7,FALSE)+SUM(_xlfn.XLOOKUP(S156:AL156,增益!$A:$A,增益!$G:$G,0))</f>
        <v>0.06</v>
      </c>
      <c r="AX156" s="23" cm="1">
        <f t="array" ref="AX156">VLOOKUP($R156,武学奇术!$A:$ZZ,8,FALSE)+SUM(_xlfn.XLOOKUP(S156:AL156,增益!$A:$A,增益!$H:$H,0))</f>
        <v>0</v>
      </c>
      <c r="AY156">
        <f t="shared" si="24"/>
        <v>0</v>
      </c>
      <c r="AZ156">
        <f t="shared" si="25"/>
        <v>0</v>
      </c>
      <c r="BA156" s="29" cm="1">
        <f t="array" ref="BA156">IF($F$11-$I$4+VLOOKUP($R156,武学奇术!$A:$ZZ,9,FALSE)+SUM(_xlfn.XLOOKUP(S156:AL156,增益!$A:$A,增益!$I:$I,0))&gt;0,($F$11-$I$4+VLOOKUP($R156,武学奇术!$A:$ZZ,9,FALSE)+SUM(_xlfn.XLOOKUP(S156:AL156,增益!$A:$A,增益!$I:$I,0)))/200,($F$11-$I$4+VLOOKUP($R156,武学奇术!$A:$ZZ,9,FALSE)+SUM(_xlfn.XLOOKUP(S156:AL156,增益!$A:$A,增益!$I:$I,0)))/100)</f>
        <v>-0.3</v>
      </c>
      <c r="BB156" s="29" cm="1">
        <f t="array" ref="BB156">$G$11+VLOOKUP($R156,武学奇术!$A:$ZZ,10,FALSE)+SUM(_xlfn.XLOOKUP(S156:AL156,增益!$A:$A,增益!$J:$J,0))</f>
        <v>0</v>
      </c>
      <c r="BC156">
        <f t="shared" si="26"/>
        <v>0</v>
      </c>
      <c r="BD156">
        <f t="shared" si="27"/>
        <v>0</v>
      </c>
      <c r="BE156" s="29" cm="1">
        <f t="array" ref="BE156">IF($F$12-$I$4+VLOOKUP($R156,武学奇术!$A:$ZZ,11,FALSE)+SUM(_xlfn.XLOOKUP(S156:AL156,增益!$A:$A,增益!$K:$K,0))&gt;0,($F$12-$I$4+VLOOKUP($R156,武学奇术!$A:$ZZ,11,FALSE)+SUM(_xlfn.XLOOKUP(S156:AL156,增益!$A:$A,增益!$K:$K,0)))/200,($F$12-$I$4+VLOOKUP($R156,武学奇术!$A:$ZZ,11,FALSE)+SUM(_xlfn.XLOOKUP(S156:AL156,增益!$A:$A,增益!$K:$K,0)))/100)</f>
        <v>-0.3</v>
      </c>
      <c r="BF156" s="29" cm="1">
        <f t="array" ref="BF156">$G$12+VLOOKUP($R156,武学奇术!$A:$ZZ,12,FALSE)+SUM(_xlfn.XLOOKUP(S156:AL156,增益!$A:$A,增益!$L:$L,0))</f>
        <v>0</v>
      </c>
      <c r="BG156">
        <f t="shared" si="28"/>
        <v>0</v>
      </c>
      <c r="BH156">
        <f t="shared" si="29"/>
        <v>0</v>
      </c>
      <c r="BI156" s="29" cm="1">
        <f t="array" ref="BI156">IF($F$13-$I$4+VLOOKUP($R156,武学奇术!$A:$ZZ,13,FALSE)+SUM(_xlfn.XLOOKUP(S156:AL156,增益!$A:$A,增益!$M:$M,0))&gt;0,($F$13-$I$4+VLOOKUP($R156,武学奇术!$A:$ZZ,13,FALSE)+SUM(_xlfn.XLOOKUP(S156:AL156,增益!$A:$A,增益!$K:$K,0)))/200,($F$13-$I$4+VLOOKUP($R156,武学奇术!$A:$ZZ,13,FALSE)+SUM(_xlfn.XLOOKUP(S156:AL156,增益!$A:$A,增益!$M:$M,0)))/100)</f>
        <v>-0.3</v>
      </c>
      <c r="BJ156" s="29" cm="1">
        <f t="array" ref="BJ156">$G$13+VLOOKUP($R156,武学奇术!$A:$ZZ,14,FALSE)+SUM(_xlfn.XLOOKUP(S156:AL156,增益!$A:$A,增益!$N:$N,0))</f>
        <v>0</v>
      </c>
      <c r="BK156">
        <f t="shared" si="30"/>
        <v>618.2</v>
      </c>
      <c r="BL156">
        <f t="shared" si="31"/>
        <v>1805</v>
      </c>
      <c r="BM156" s="29" cm="1">
        <f t="array" ref="BM156">IF($F$14-$I$4+VLOOKUP($R156,武学奇术!$A:$ZZ,15,FALSE)+SUM(_xlfn.XLOOKUP(S156:AL156,增益!$A:$A,增益!$O:$O,0))&gt;0,($F$14-$I$4+VLOOKUP($R156,武学奇术!$A:$ZZ,15,FALSE)+SUM(_xlfn.XLOOKUP(S156:AL156,增益!$A:$A,增益!$O:$O,0)))/200,($F$14-$I$4+VLOOKUP($R156,武学奇术!$A:$ZZ,15,FALSE)+SUM(_xlfn.XLOOKUP(S156:AL156,增益!$A:$A,增益!$O:$O,0)))/100)</f>
        <v>0.05</v>
      </c>
      <c r="BN156" s="29" cm="1">
        <f t="array" ref="BN156">$G$14+VLOOKUP($R156,武学奇术!$A:$ZZ,16,FALSE)+SUM(_xlfn.XLOOKUP(S156:AL156,增益!$A:$A,增益!$P:$P,0))</f>
        <v>0.21</v>
      </c>
      <c r="BO156" s="23">
        <f>MIN(IF(VLOOKUP($R156,武学奇术!$A:$ZZ,23,FALSE)=1,100%,$B$8),100%)</f>
        <v>0.9943</v>
      </c>
      <c r="BP156" s="23" cm="1">
        <f t="array" ref="BP156">IF(VLOOKUP($R156,武学奇术!$A:$ZZ,23,FALSE)=1,100%,MIN(80%,$B$9+VLOOKUP($R156,武学奇术!$A:$ZZ,17,FALSE)+SUM(_xlfn.XLOOKUP(S156:AL156,增益!$A:$A,增益!$Q:$Q,0)))+$B$11+SUM(_xlfn.XLOOKUP(S156:AL156,增益!$A:$A,增益!$U:$U,0)))*IF(VLOOKUP($R156,武学奇术!$A:$ZZ,24,FALSE)=1,0,1)</f>
        <v>0.887</v>
      </c>
      <c r="BQ156" s="23" cm="1">
        <f t="array" ref="BQ156">1+$B$13+VLOOKUP($R156,武学奇术!$A:$ZZ,18,FALSE)+SUM(_xlfn.XLOOKUP(S156:AL156,增益!$A:$A,增益!$R:$R,0))</f>
        <v>2.394</v>
      </c>
      <c r="BR156" s="23" cm="1">
        <f t="array" ref="BR156">IF(VLOOKUP($R156,武学奇术!$A:$ZZ,24,FALSE)=1,100%,MIN(40%,$B$10+VLOOKUP($R156,武学奇术!$A:$ZZ,19,FALSE)+SUM(_xlfn.XLOOKUP(S156:AL156,增益!$A:$A,增益!$S:$S,0)))+$B$12+SUM(_xlfn.XLOOKUP(S156:AL156,增益!$A:$A,增益!$V:$V,0)))*IF(VLOOKUP($R156,武学奇术!$A:$ZZ,23,FALSE)=1,0,1)</f>
        <v>0.0913</v>
      </c>
      <c r="BS156" s="23" cm="1">
        <f t="array" ref="BS156">1+$B$14+VLOOKUP($R156,武学奇术!$A:$ZZ,20,FALSE)+SUM(_xlfn.XLOOKUP(S156:AL156,增益!$A:$A,增益!$T:$T,0))</f>
        <v>1.35</v>
      </c>
      <c r="BT156" s="23">
        <f t="shared" si="32"/>
        <v>0.8819441</v>
      </c>
      <c r="BU156" s="23">
        <f t="shared" si="33"/>
        <v>0.0215763099999999</v>
      </c>
      <c r="BV156" s="23">
        <f>IF(VLOOKUP($R156,武学奇术!$A:$ZZ,22,FALSE)=1,0,(1-$BO156))*(1-$BR156)</f>
        <v>0.00517959000000003</v>
      </c>
      <c r="BW156" s="23" cm="1">
        <f t="array" ref="BW156">SUM(_xlfn.XLOOKUP(S156:AL156,增益!$A:$A,增益!$W:$W,0))+$I$5</f>
        <v>0.21</v>
      </c>
      <c r="BX156" s="23">
        <f>VLOOKUP($R156,武学奇术!$A:$ZZ,32,FALSE)</f>
        <v>0.1</v>
      </c>
      <c r="BY156" s="23" cm="1">
        <f t="array" ref="BY156">SUM(_xlfn.XLOOKUP($S156:$AL156,增益!$A:$A,增益!$X:$X,0))</f>
        <v>0</v>
      </c>
    </row>
    <row r="157" spans="11:77">
      <c r="K157" s="35">
        <f>$L157*VLOOKUP($R157,武学奇术!$A:$ZZ,31,FALSE)</f>
        <v>79853.3607633164</v>
      </c>
      <c r="L157" s="35">
        <f t="shared" si="34"/>
        <v>71297.6435386753</v>
      </c>
      <c r="M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轻击",$B$21,0))*(1+IF(VLOOKUP($R157,武学奇术!$A:$ZZ,30,FALSE)="老鼠",$B$22,0))*(1+$BW157)*(1+$BX157)</f>
        <v>75004.3619252915</v>
      </c>
      <c r="N157" s="35">
        <f>(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轻击",$B$21,0))*(1+IF(VLOOKUP($R157,武学奇术!$A:$ZZ,30,FALSE)="老鼠",$B$22,0))*(1+$BW157))*(1+$BX157)</f>
        <v>47419.2853702806</v>
      </c>
      <c r="O157" s="35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轻击",$B$21,0))*(1+IF(VLOOKUP($R157,武学奇术!$A:$ZZ,30,FALSE)="老鼠",$B$22,0))*(1+$BW157)*(1+$BX157)</f>
        <v>31330.1428259363</v>
      </c>
      <c r="P157" s="35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轻击",$B$21,0))*(1+IF(VLOOKUP($R157,武学奇术!$A:$ZZ,30,FALSE)="老鼠",$B$22,0))*(1+$BW157)*(1+$BX157)</f>
        <v>27534.8890812943</v>
      </c>
      <c r="Q157" s="36">
        <v>1</v>
      </c>
      <c r="R157" s="37" t="s">
        <v>148</v>
      </c>
      <c r="S157" s="37" t="s">
        <v>91</v>
      </c>
      <c r="T157" s="37" t="s">
        <v>185</v>
      </c>
      <c r="U157" s="37" t="s">
        <v>112</v>
      </c>
      <c r="V157" s="37" t="s">
        <v>113</v>
      </c>
      <c r="W157" s="37" t="s">
        <v>82</v>
      </c>
      <c r="X157" s="37" t="s">
        <v>81</v>
      </c>
      <c r="Y157" s="37" t="s">
        <v>109</v>
      </c>
      <c r="Z157" s="37" t="s">
        <v>83</v>
      </c>
      <c r="AA157" s="37" t="s">
        <v>81</v>
      </c>
      <c r="AB157" s="37" t="s">
        <v>183</v>
      </c>
      <c r="AC157" s="37" t="s">
        <v>81</v>
      </c>
      <c r="AD157" s="37" t="s">
        <v>85</v>
      </c>
      <c r="AE157" s="37" t="s">
        <v>86</v>
      </c>
      <c r="AF157" s="37" t="s">
        <v>181</v>
      </c>
      <c r="AG157" s="37" t="s">
        <v>87</v>
      </c>
      <c r="AH157" s="37" t="s">
        <v>81</v>
      </c>
      <c r="AI157" s="37" t="s">
        <v>81</v>
      </c>
      <c r="AJ157" s="37" t="s">
        <v>81</v>
      </c>
      <c r="AK157" s="37" t="s">
        <v>81</v>
      </c>
      <c r="AL157" s="37" t="s">
        <v>81</v>
      </c>
      <c r="AM157" t="str">
        <f>VLOOKUP($R157,武学奇术!$A:$ZZ,25,FALSE)</f>
        <v>双刀</v>
      </c>
      <c r="AN157" s="23">
        <f>VLOOKUP($R157,武学奇术!$A:$ZZ,26,FALSE)</f>
        <v>1.4455</v>
      </c>
      <c r="AO157" s="24">
        <f>VLOOKUP($R157,武学奇术!$A:$ZZ,27,FALSE)*(1+IF(OR($AM157=$F$4,$AM157=$F$5),$B$23,0))</f>
        <v>641.6</v>
      </c>
      <c r="AP157" s="23">
        <f>VLOOKUP($R157,武学奇术!$A:$ZZ,28,FALSE)</f>
        <v>2.1683</v>
      </c>
      <c r="AQ157" s="24">
        <f>VLOOKUP($R157,武学奇术!$A:$ZZ,29,FALSE)*(1+IF(OR($AM157=$F$4,$AM157=$F$5),$B$23,0))</f>
        <v>348.8</v>
      </c>
      <c r="AR157" s="23" cm="1">
        <f t="array" ref="AR157">$G$3+IFERROR(VLOOKUP($AM157,$F$4:$G$7,2,FALSE),0)+VLOOKUP($R157,武学奇术!$A:$ZZ,2,FALSE)+SUM(_xlfn.XLOOKUP($S157:$AL157,增益!$A:$A,增益!$B:$B,0))</f>
        <v>0.7443</v>
      </c>
      <c r="AS157" s="23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4081.7</v>
      </c>
      <c r="AU157" cm="1">
        <f t="array" ref="AU157">$E$10*(1+$AS157)+VLOOKUP($R157,武学奇术!$A:$ZZ,4,FALSE)+SUM(_xlfn.XLOOKUP($S157:$AL157,增益!$A:$A,增益!$D:$D,0))-$I$2</f>
        <v>4081.7</v>
      </c>
      <c r="AV157" s="29" cm="1">
        <f t="array" ref="AV157">IF($F$10-$I$3+VLOOKUP($R157,武学奇术!$A:$ZZ,6,FALSE)+SUM(_xlfn.XLOOKUP(S157:AL157,增益!$A:$A,增益!$F:$F,0))&gt;0,($F$10-$I$3+VLOOKUP($R157,武学奇术!$A:$ZZ,6,FALSE)+SUM(_xlfn.XLOOKUP(S157:AL157,增益!$A:$A,增益!$F:$F,0)))/200,($F$10-$I$3+VLOOKUP($R157,武学奇术!$A:$ZZ,6,FALSE)+SUM(_xlfn.XLOOKUP(S157:AL157,增益!$A:$A,增益!$F:$F,0)))/100)</f>
        <v>0.3689</v>
      </c>
      <c r="AW157" s="29" cm="1">
        <f t="array" ref="AW157">$G$10+VLOOKUP($R157,武学奇术!$A:$ZZ,7,FALSE)+SUM(_xlfn.XLOOKUP(S157:AL157,增益!$A:$A,增益!$G:$G,0))</f>
        <v>0.06</v>
      </c>
      <c r="AX157" s="23" cm="1">
        <f t="array" ref="AX157">VLOOKUP($R157,武学奇术!$A:$ZZ,8,FALSE)+SUM(_xlfn.XLOOKUP(S157:AL157,增益!$A:$A,增益!$H:$H,0))</f>
        <v>0</v>
      </c>
      <c r="AY157">
        <f t="shared" si="24"/>
        <v>0</v>
      </c>
      <c r="AZ157">
        <f t="shared" si="25"/>
        <v>0</v>
      </c>
      <c r="BA157" s="29" cm="1">
        <f t="array" ref="BA157">IF($F$11-$I$4+VLOOKUP($R157,武学奇术!$A:$ZZ,9,FALSE)+SUM(_xlfn.XLOOKUP(S157:AL157,增益!$A:$A,增益!$I:$I,0))&gt;0,($F$11-$I$4+VLOOKUP($R157,武学奇术!$A:$ZZ,9,FALSE)+SUM(_xlfn.XLOOKUP(S157:AL157,增益!$A:$A,增益!$I:$I,0)))/200,($F$11-$I$4+VLOOKUP($R157,武学奇术!$A:$ZZ,9,FALSE)+SUM(_xlfn.XLOOKUP(S157:AL157,增益!$A:$A,增益!$I:$I,0)))/100)</f>
        <v>-0.3</v>
      </c>
      <c r="BB157" s="29" cm="1">
        <f t="array" ref="BB157">$G$11+VLOOKUP($R157,武学奇术!$A:$ZZ,10,FALSE)+SUM(_xlfn.XLOOKUP(S157:AL157,增益!$A:$A,增益!$J:$J,0))</f>
        <v>0</v>
      </c>
      <c r="BC157">
        <f t="shared" si="26"/>
        <v>0</v>
      </c>
      <c r="BD157">
        <f t="shared" si="27"/>
        <v>0</v>
      </c>
      <c r="BE157" s="29" cm="1">
        <f t="array" ref="BE157">IF($F$12-$I$4+VLOOKUP($R157,武学奇术!$A:$ZZ,11,FALSE)+SUM(_xlfn.XLOOKUP(S157:AL157,增益!$A:$A,增益!$K:$K,0))&gt;0,($F$12-$I$4+VLOOKUP($R157,武学奇术!$A:$ZZ,11,FALSE)+SUM(_xlfn.XLOOKUP(S157:AL157,增益!$A:$A,增益!$K:$K,0)))/200,($F$12-$I$4+VLOOKUP($R157,武学奇术!$A:$ZZ,11,FALSE)+SUM(_xlfn.XLOOKUP(S157:AL157,增益!$A:$A,增益!$K:$K,0)))/100)</f>
        <v>-0.3</v>
      </c>
      <c r="BF157" s="29" cm="1">
        <f t="array" ref="BF157">$G$12+VLOOKUP($R157,武学奇术!$A:$ZZ,12,FALSE)+SUM(_xlfn.XLOOKUP(S157:AL157,增益!$A:$A,增益!$L:$L,0))</f>
        <v>0</v>
      </c>
      <c r="BG157">
        <f t="shared" si="28"/>
        <v>0</v>
      </c>
      <c r="BH157">
        <f t="shared" si="29"/>
        <v>0</v>
      </c>
      <c r="BI157" s="29" cm="1">
        <f t="array" ref="BI157">IF($F$13-$I$4+VLOOKUP($R157,武学奇术!$A:$ZZ,13,FALSE)+SUM(_xlfn.XLOOKUP(S157:AL157,增益!$A:$A,增益!$M:$M,0))&gt;0,($F$13-$I$4+VLOOKUP($R157,武学奇术!$A:$ZZ,13,FALSE)+SUM(_xlfn.XLOOKUP(S157:AL157,增益!$A:$A,增益!$K:$K,0)))/200,($F$13-$I$4+VLOOKUP($R157,武学奇术!$A:$ZZ,13,FALSE)+SUM(_xlfn.XLOOKUP(S157:AL157,增益!$A:$A,增益!$M:$M,0)))/100)</f>
        <v>-0.3</v>
      </c>
      <c r="BJ157" s="29" cm="1">
        <f t="array" ref="BJ157">$G$13+VLOOKUP($R157,武学奇术!$A:$ZZ,14,FALSE)+SUM(_xlfn.XLOOKUP(S157:AL157,增益!$A:$A,增益!$N:$N,0))</f>
        <v>0</v>
      </c>
      <c r="BK157">
        <f t="shared" si="30"/>
        <v>618.2</v>
      </c>
      <c r="BL157">
        <f t="shared" si="31"/>
        <v>1805</v>
      </c>
      <c r="BM157" s="29" cm="1">
        <f t="array" ref="BM157">IF($F$14-$I$4+VLOOKUP($R157,武学奇术!$A:$ZZ,15,FALSE)+SUM(_xlfn.XLOOKUP(S157:AL157,增益!$A:$A,增益!$O:$O,0))&gt;0,($F$14-$I$4+VLOOKUP($R157,武学奇术!$A:$ZZ,15,FALSE)+SUM(_xlfn.XLOOKUP(S157:AL157,增益!$A:$A,增益!$O:$O,0)))/200,($F$14-$I$4+VLOOKUP($R157,武学奇术!$A:$ZZ,15,FALSE)+SUM(_xlfn.XLOOKUP(S157:AL157,增益!$A:$A,增益!$O:$O,0)))/100)</f>
        <v>0.05</v>
      </c>
      <c r="BN157" s="29" cm="1">
        <f t="array" ref="BN157">$G$14+VLOOKUP($R157,武学奇术!$A:$ZZ,16,FALSE)+SUM(_xlfn.XLOOKUP(S157:AL157,增益!$A:$A,增益!$P:$P,0))</f>
        <v>0.21</v>
      </c>
      <c r="BO157" s="23">
        <f>MIN(IF(VLOOKUP($R157,武学奇术!$A:$ZZ,23,FALSE)=1,100%,$B$8),100%)</f>
        <v>0.9943</v>
      </c>
      <c r="BP157" s="23" cm="1">
        <f t="array" ref="BP157">IF(VLOOKUP($R157,武学奇术!$A:$ZZ,23,FALSE)=1,100%,MIN(80%,$B$9+VLOOKUP($R157,武学奇术!$A:$ZZ,17,FALSE)+SUM(_xlfn.XLOOKUP(S157:AL157,增益!$A:$A,增益!$Q:$Q,0)))+$B$11+SUM(_xlfn.XLOOKUP(S157:AL157,增益!$A:$A,增益!$U:$U,0)))*IF(VLOOKUP($R157,武学奇术!$A:$ZZ,24,FALSE)=1,0,1)</f>
        <v>0.887</v>
      </c>
      <c r="BQ157" s="23" cm="1">
        <f t="array" ref="BQ157">1+$B$13+VLOOKUP($R157,武学奇术!$A:$ZZ,18,FALSE)+SUM(_xlfn.XLOOKUP(S157:AL157,增益!$A:$A,增益!$R:$R,0))</f>
        <v>2.394</v>
      </c>
      <c r="BR157" s="23" cm="1">
        <f t="array" ref="BR157">IF(VLOOKUP($R157,武学奇术!$A:$ZZ,24,FALSE)=1,100%,MIN(40%,$B$10+VLOOKUP($R157,武学奇术!$A:$ZZ,19,FALSE)+SUM(_xlfn.XLOOKUP(S157:AL157,增益!$A:$A,增益!$S:$S,0)))+$B$12+SUM(_xlfn.XLOOKUP(S157:AL157,增益!$A:$A,增益!$V:$V,0)))*IF(VLOOKUP($R157,武学奇术!$A:$ZZ,23,FALSE)=1,0,1)</f>
        <v>0.0913</v>
      </c>
      <c r="BS157" s="23" cm="1">
        <f t="array" ref="BS157">1+$B$14+VLOOKUP($R157,武学奇术!$A:$ZZ,20,FALSE)+SUM(_xlfn.XLOOKUP(S157:AL157,增益!$A:$A,增益!$T:$T,0))</f>
        <v>1.35</v>
      </c>
      <c r="BT157" s="23">
        <f t="shared" si="32"/>
        <v>0.8819441</v>
      </c>
      <c r="BU157" s="23">
        <f t="shared" si="33"/>
        <v>0.0215763099999999</v>
      </c>
      <c r="BV157" s="23">
        <f>IF(VLOOKUP($R157,武学奇术!$A:$ZZ,22,FALSE)=1,0,(1-$BO157))*(1-$BR157)</f>
        <v>0.00517959000000003</v>
      </c>
      <c r="BW157" s="23" cm="1">
        <f t="array" ref="BW157">SUM(_xlfn.XLOOKUP(S157:AL157,增益!$A:$A,增益!$W:$W,0))+$I$5</f>
        <v>0.21</v>
      </c>
      <c r="BX157" s="23">
        <f>VLOOKUP($R157,武学奇术!$A:$ZZ,32,FALSE)</f>
        <v>0.1</v>
      </c>
      <c r="BY157" s="23" cm="1">
        <f t="array" ref="BY157">SUM(_xlfn.XLOOKUP($S157:$AL157,增益!$A:$A,增益!$X:$X,0))</f>
        <v>0</v>
      </c>
    </row>
    <row r="158" spans="11:77">
      <c r="K158" s="35">
        <f>$L158*VLOOKUP($R158,武学奇术!$A:$ZZ,31,FALSE)</f>
        <v>166820.061958242</v>
      </c>
      <c r="L158" s="69">
        <f t="shared" si="34"/>
        <v>163549.080351218</v>
      </c>
      <c r="M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轻击",$B$21,0))*(1+IF(VLOOKUP($R158,武学奇术!$A:$ZZ,30,FALSE)="老鼠",$B$22,0))*(1+$BW158)*(1+$BX158)</f>
        <v>171925.177144225</v>
      </c>
      <c r="N158" s="35">
        <f>(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轻击",$B$21,0))*(1+IF(VLOOKUP($R158,武学奇术!$A:$ZZ,30,FALSE)="老鼠",$B$22,0))*(1+$BW158))*(1+$BX158)</f>
        <v>110071.770518969</v>
      </c>
      <c r="O158" s="35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轻击",$B$21,0))*(1+IF(VLOOKUP($R158,武学奇术!$A:$ZZ,30,FALSE)="老鼠",$B$22,0))*(1+$BW158)*(1+$BX158)</f>
        <v>71815.0280468776</v>
      </c>
      <c r="P158" s="35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轻击",$B$21,0))*(1+IF(VLOOKUP($R158,武学奇术!$A:$ZZ,30,FALSE)="老鼠",$B$22,0))*(1+$BW158)*(1+$BX158)</f>
        <v>62095.411264889</v>
      </c>
      <c r="Q158" s="70">
        <v>5</v>
      </c>
      <c r="R158" s="37" t="s">
        <v>106</v>
      </c>
      <c r="S158" s="37" t="s">
        <v>91</v>
      </c>
      <c r="T158" s="37" t="s">
        <v>185</v>
      </c>
      <c r="U158" s="37" t="s">
        <v>112</v>
      </c>
      <c r="V158" s="37" t="s">
        <v>113</v>
      </c>
      <c r="W158" s="37" t="s">
        <v>82</v>
      </c>
      <c r="X158" s="37" t="s">
        <v>81</v>
      </c>
      <c r="Y158" s="37" t="s">
        <v>109</v>
      </c>
      <c r="Z158" s="37" t="s">
        <v>83</v>
      </c>
      <c r="AA158" s="37" t="s">
        <v>81</v>
      </c>
      <c r="AB158" s="37" t="s">
        <v>183</v>
      </c>
      <c r="AC158" s="37" t="s">
        <v>81</v>
      </c>
      <c r="AD158" s="37" t="s">
        <v>85</v>
      </c>
      <c r="AE158" s="37" t="s">
        <v>86</v>
      </c>
      <c r="AF158" s="37" t="s">
        <v>81</v>
      </c>
      <c r="AG158" s="37" t="s">
        <v>87</v>
      </c>
      <c r="AH158" s="37" t="s">
        <v>81</v>
      </c>
      <c r="AI158" s="37" t="s">
        <v>81</v>
      </c>
      <c r="AJ158" s="37" t="s">
        <v>81</v>
      </c>
      <c r="AK158" s="37" t="s">
        <v>81</v>
      </c>
      <c r="AL158" s="37" t="s">
        <v>81</v>
      </c>
      <c r="AM158" t="str">
        <f>VLOOKUP($R158,武学奇术!$A:$ZZ,25,FALSE)</f>
        <v>绳镖</v>
      </c>
      <c r="AN158" s="23">
        <f>VLOOKUP($R158,武学奇术!$A:$ZZ,26,FALSE)</f>
        <v>0.3675</v>
      </c>
      <c r="AO158" s="24">
        <f>VLOOKUP($R158,武学奇术!$A:$ZZ,27,FALSE)*(1+IF(OR($AM158=$F$4,$AM158=$F$5),$B$23,0))</f>
        <v>0</v>
      </c>
      <c r="AP158" s="23">
        <f>VLOOKUP($R158,武学奇术!$A:$ZZ,28,FALSE)</f>
        <v>0.55125</v>
      </c>
      <c r="AQ158" s="24">
        <f>VLOOKUP($R158,武学奇术!$A:$ZZ,29,FALSE)*(1+IF(OR($AM158=$F$4,$AM158=$F$5),$B$23,0))</f>
        <v>0</v>
      </c>
      <c r="AR158" s="23" cm="1">
        <f t="array" ref="AR158">$G$3+IFERROR(VLOOKUP($AM158,$F$4:$G$7,2,FALSE),0)+VLOOKUP($R158,武学奇术!$A:$ZZ,2,FALSE)+SUM(_xlfn.XLOOKUP($S158:$AL158,增益!$A:$A,增益!$B:$B,0))</f>
        <v>1.4943</v>
      </c>
      <c r="AS158" s="23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4081.7</v>
      </c>
      <c r="AU158" cm="1">
        <f t="array" ref="AU158">$E$10*(1+$AS158)+VLOOKUP($R158,武学奇术!$A:$ZZ,4,FALSE)+SUM(_xlfn.XLOOKUP($S158:$AL158,增益!$A:$A,增益!$D:$D,0))-$I$2</f>
        <v>4081.7</v>
      </c>
      <c r="AV158" s="29" cm="1">
        <f t="array" ref="AV158">IF($F$10-$I$3+VLOOKUP($R158,武学奇术!$A:$ZZ,6,FALSE)+SUM(_xlfn.XLOOKUP(S158:AL158,增益!$A:$A,增益!$F:$F,0))&gt;0,($F$10-$I$3+VLOOKUP($R158,武学奇术!$A:$ZZ,6,FALSE)+SUM(_xlfn.XLOOKUP(S158:AL158,增益!$A:$A,增益!$F:$F,0)))/200,($F$10-$I$3+VLOOKUP($R158,武学奇术!$A:$ZZ,6,FALSE)+SUM(_xlfn.XLOOKUP(S158:AL158,增益!$A:$A,增益!$F:$F,0)))/100)</f>
        <v>0.3689</v>
      </c>
      <c r="AW158" s="29" cm="1">
        <f t="array" ref="AW158">$G$10+VLOOKUP($R158,武学奇术!$A:$ZZ,7,FALSE)+SUM(_xlfn.XLOOKUP(S158:AL158,增益!$A:$A,增益!$G:$G,0))</f>
        <v>0.27</v>
      </c>
      <c r="AX158" s="23" cm="1">
        <f t="array" ref="AX158">VLOOKUP($R158,武学奇术!$A:$ZZ,8,FALSE)+SUM(_xlfn.XLOOKUP(S158:AL158,增益!$A:$A,增益!$H:$H,0))</f>
        <v>0</v>
      </c>
      <c r="AY158">
        <f t="shared" si="24"/>
        <v>0</v>
      </c>
      <c r="AZ158">
        <f t="shared" si="25"/>
        <v>0</v>
      </c>
      <c r="BA158" s="29" cm="1">
        <f t="array" ref="BA158">IF($F$11-$I$4+VLOOKUP($R158,武学奇术!$A:$ZZ,9,FALSE)+SUM(_xlfn.XLOOKUP(S158:AL158,增益!$A:$A,增益!$I:$I,0))&gt;0,($F$11-$I$4+VLOOKUP($R158,武学奇术!$A:$ZZ,9,FALSE)+SUM(_xlfn.XLOOKUP(S158:AL158,增益!$A:$A,增益!$I:$I,0)))/200,($F$11-$I$4+VLOOKUP($R158,武学奇术!$A:$ZZ,9,FALSE)+SUM(_xlfn.XLOOKUP(S158:AL158,增益!$A:$A,增益!$I:$I,0)))/100)</f>
        <v>-0.3</v>
      </c>
      <c r="BB158" s="29" cm="1">
        <f t="array" ref="BB158">$G$11+VLOOKUP($R158,武学奇术!$A:$ZZ,10,FALSE)+SUM(_xlfn.XLOOKUP(S158:AL158,增益!$A:$A,增益!$J:$J,0))</f>
        <v>0</v>
      </c>
      <c r="BC158">
        <f t="shared" si="26"/>
        <v>0</v>
      </c>
      <c r="BD158">
        <f t="shared" si="27"/>
        <v>0</v>
      </c>
      <c r="BE158" s="29" cm="1">
        <f t="array" ref="BE158">IF($F$12-$I$4+VLOOKUP($R158,武学奇术!$A:$ZZ,11,FALSE)+SUM(_xlfn.XLOOKUP(S158:AL158,增益!$A:$A,增益!$K:$K,0))&gt;0,($F$12-$I$4+VLOOKUP($R158,武学奇术!$A:$ZZ,11,FALSE)+SUM(_xlfn.XLOOKUP(S158:AL158,增益!$A:$A,增益!$K:$K,0)))/200,($F$12-$I$4+VLOOKUP($R158,武学奇术!$A:$ZZ,11,FALSE)+SUM(_xlfn.XLOOKUP(S158:AL158,增益!$A:$A,增益!$K:$K,0)))/100)</f>
        <v>-0.3</v>
      </c>
      <c r="BF158" s="29" cm="1">
        <f t="array" ref="BF158">$G$12+VLOOKUP($R158,武学奇术!$A:$ZZ,12,FALSE)+SUM(_xlfn.XLOOKUP(S158:AL158,增益!$A:$A,增益!$L:$L,0))</f>
        <v>0</v>
      </c>
      <c r="BG158">
        <f t="shared" si="28"/>
        <v>0</v>
      </c>
      <c r="BH158">
        <f t="shared" si="29"/>
        <v>0</v>
      </c>
      <c r="BI158" s="29" cm="1">
        <f t="array" ref="BI158">IF($F$13-$I$4+VLOOKUP($R158,武学奇术!$A:$ZZ,13,FALSE)+SUM(_xlfn.XLOOKUP(S158:AL158,增益!$A:$A,增益!$M:$M,0))&gt;0,($F$13-$I$4+VLOOKUP($R158,武学奇术!$A:$ZZ,13,FALSE)+SUM(_xlfn.XLOOKUP(S158:AL158,增益!$A:$A,增益!$K:$K,0)))/200,($F$13-$I$4+VLOOKUP($R158,武学奇术!$A:$ZZ,13,FALSE)+SUM(_xlfn.XLOOKUP(S158:AL158,增益!$A:$A,增益!$M:$M,0)))/100)</f>
        <v>-0.3</v>
      </c>
      <c r="BJ158" s="29" cm="1">
        <f t="array" ref="BJ158">$G$13+VLOOKUP($R158,武学奇术!$A:$ZZ,14,FALSE)+SUM(_xlfn.XLOOKUP(S158:AL158,增益!$A:$A,增益!$N:$N,0))</f>
        <v>0</v>
      </c>
      <c r="BK158">
        <f t="shared" si="30"/>
        <v>618.2</v>
      </c>
      <c r="BL158">
        <f t="shared" si="31"/>
        <v>1805</v>
      </c>
      <c r="BM158" s="29" cm="1">
        <f t="array" ref="BM158">IF($F$14-$I$4+VLOOKUP($R158,武学奇术!$A:$ZZ,15,FALSE)+SUM(_xlfn.XLOOKUP(S158:AL158,增益!$A:$A,增益!$O:$O,0))&gt;0,($F$14-$I$4+VLOOKUP($R158,武学奇术!$A:$ZZ,15,FALSE)+SUM(_xlfn.XLOOKUP(S158:AL158,增益!$A:$A,增益!$O:$O,0)))/200,($F$14-$I$4+VLOOKUP($R158,武学奇术!$A:$ZZ,15,FALSE)+SUM(_xlfn.XLOOKUP(S158:AL158,增益!$A:$A,增益!$O:$O,0)))/100)</f>
        <v>0.05</v>
      </c>
      <c r="BN158" s="29" cm="1">
        <f t="array" ref="BN158">$G$14+VLOOKUP($R158,武学奇术!$A:$ZZ,16,FALSE)+SUM(_xlfn.XLOOKUP(S158:AL158,增益!$A:$A,增益!$P:$P,0))</f>
        <v>0.42</v>
      </c>
      <c r="BO158" s="23">
        <f>MIN(IF(VLOOKUP($R158,武学奇术!$A:$ZZ,23,FALSE)=1,100%,$B$8),100%)</f>
        <v>0.9943</v>
      </c>
      <c r="BP158" s="23" cm="1">
        <f t="array" ref="BP158">IF(VLOOKUP($R158,武学奇术!$A:$ZZ,23,FALSE)=1,100%,MIN(80%,$B$9+VLOOKUP($R158,武学奇术!$A:$ZZ,17,FALSE)+SUM(_xlfn.XLOOKUP(S158:AL158,增益!$A:$A,增益!$Q:$Q,0)))+$B$11+SUM(_xlfn.XLOOKUP(S158:AL158,增益!$A:$A,增益!$U:$U,0)))*IF(VLOOKUP($R158,武学奇术!$A:$ZZ,24,FALSE)=1,0,1)</f>
        <v>0.887</v>
      </c>
      <c r="BQ158" s="23" cm="1">
        <f t="array" ref="BQ158">1+$B$13+VLOOKUP($R158,武学奇术!$A:$ZZ,18,FALSE)+SUM(_xlfn.XLOOKUP(S158:AL158,增益!$A:$A,增益!$R:$R,0))</f>
        <v>2.394</v>
      </c>
      <c r="BR158" s="23" cm="1">
        <f t="array" ref="BR158">IF(VLOOKUP($R158,武学奇术!$A:$ZZ,24,FALSE)=1,100%,MIN(40%,$B$10+VLOOKUP($R158,武学奇术!$A:$ZZ,19,FALSE)+SUM(_xlfn.XLOOKUP(S158:AL158,增益!$A:$A,增益!$S:$S,0)))+$B$12+SUM(_xlfn.XLOOKUP(S158:AL158,增益!$A:$A,增益!$V:$V,0)))*IF(VLOOKUP($R158,武学奇术!$A:$ZZ,23,FALSE)=1,0,1)</f>
        <v>0.0913</v>
      </c>
      <c r="BS158" s="23" cm="1">
        <f t="array" ref="BS158">1+$B$14+VLOOKUP($R158,武学奇术!$A:$ZZ,20,FALSE)+SUM(_xlfn.XLOOKUP(S158:AL158,增益!$A:$A,增益!$T:$T,0))</f>
        <v>1.35</v>
      </c>
      <c r="BT158" s="23">
        <f t="shared" si="32"/>
        <v>0.8819441</v>
      </c>
      <c r="BU158" s="23">
        <f t="shared" si="33"/>
        <v>0.0215763099999999</v>
      </c>
      <c r="BV158" s="23">
        <f>IF(VLOOKUP($R158,武学奇术!$A:$ZZ,22,FALSE)=1,0,(1-$BO158))*(1-$BR158)</f>
        <v>0.00517959000000003</v>
      </c>
      <c r="BW158" s="23" cm="1">
        <f t="array" ref="BW158">SUM(_xlfn.XLOOKUP(S158:AL158,增益!$A:$A,增益!$W:$W,0))+$I$5</f>
        <v>0.21</v>
      </c>
      <c r="BX158" s="23">
        <f>VLOOKUP($R158,武学奇术!$A:$ZZ,32,FALSE)</f>
        <v>0</v>
      </c>
      <c r="BY158" s="23" cm="1">
        <f t="array" ref="BY158">SUM(_xlfn.XLOOKUP($S158:$AL158,增益!$A:$A,增益!$X:$X,0))</f>
        <v>0</v>
      </c>
    </row>
    <row r="159" spans="11:77">
      <c r="K159" s="35">
        <f>$L159*VLOOKUP($R159,武学奇术!$A:$ZZ,31,FALSE)</f>
        <v>95886.418935082</v>
      </c>
      <c r="L159" s="35">
        <f t="shared" si="34"/>
        <v>85612.8740491804</v>
      </c>
      <c r="M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轻击",$B$21,0))*(1+IF(VLOOKUP($R159,武学奇术!$A:$ZZ,30,FALSE)="老鼠",$B$22,0))*(1+$BW159)*(1+$BX159)</f>
        <v>90063.8219494511</v>
      </c>
      <c r="N159" s="35">
        <f>(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轻击",$B$21,0))*(1+IF(VLOOKUP($R159,武学奇术!$A:$ZZ,30,FALSE)="老鼠",$B$22,0))*(1+$BW159))*(1+$BX159)</f>
        <v>56940.2921261633</v>
      </c>
      <c r="O159" s="35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轻击",$B$21,0))*(1+IF(VLOOKUP($R159,武学奇术!$A:$ZZ,30,FALSE)="老鼠",$B$22,0))*(1+$BW159)*(1+$BX159)</f>
        <v>37620.6440891609</v>
      </c>
      <c r="P159" s="35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轻击",$B$21,0))*(1+IF(VLOOKUP($R159,武学奇术!$A:$ZZ,30,FALSE)="老鼠",$B$22,0))*(1+$BW159)*(1+$BX159)</f>
        <v>33063.2940107933</v>
      </c>
      <c r="Q159" s="36">
        <v>1</v>
      </c>
      <c r="R159" s="37" t="s">
        <v>153</v>
      </c>
      <c r="S159" s="37" t="s">
        <v>91</v>
      </c>
      <c r="T159" s="37" t="s">
        <v>185</v>
      </c>
      <c r="U159" s="37" t="s">
        <v>112</v>
      </c>
      <c r="V159" s="37" t="s">
        <v>113</v>
      </c>
      <c r="W159" s="37" t="s">
        <v>82</v>
      </c>
      <c r="X159" s="37" t="s">
        <v>81</v>
      </c>
      <c r="Y159" s="37" t="s">
        <v>109</v>
      </c>
      <c r="Z159" s="37" t="s">
        <v>83</v>
      </c>
      <c r="AA159" s="37" t="s">
        <v>81</v>
      </c>
      <c r="AB159" s="37" t="s">
        <v>183</v>
      </c>
      <c r="AC159" s="37" t="s">
        <v>81</v>
      </c>
      <c r="AD159" s="37" t="s">
        <v>85</v>
      </c>
      <c r="AE159" s="37" t="s">
        <v>86</v>
      </c>
      <c r="AF159" s="37" t="s">
        <v>181</v>
      </c>
      <c r="AG159" s="37" t="s">
        <v>87</v>
      </c>
      <c r="AH159" s="37" t="s">
        <v>81</v>
      </c>
      <c r="AI159" s="37" t="s">
        <v>81</v>
      </c>
      <c r="AJ159" s="37" t="s">
        <v>81</v>
      </c>
      <c r="AK159" s="37" t="s">
        <v>81</v>
      </c>
      <c r="AL159" s="37" t="s">
        <v>81</v>
      </c>
      <c r="AM159" t="str">
        <f>VLOOKUP($R159,武学奇术!$A:$ZZ,25,FALSE)</f>
        <v>双刀</v>
      </c>
      <c r="AN159" s="23">
        <f>VLOOKUP($R159,武学奇术!$A:$ZZ,26,FALSE)</f>
        <v>1.7358</v>
      </c>
      <c r="AO159" s="24">
        <f>VLOOKUP($R159,武学奇术!$A:$ZZ,27,FALSE)*(1+IF(OR($AM159=$F$4,$AM159=$F$5),$B$23,0))</f>
        <v>769.6</v>
      </c>
      <c r="AP159" s="23">
        <f>VLOOKUP($R159,武学奇术!$A:$ZZ,28,FALSE)</f>
        <v>2.6037</v>
      </c>
      <c r="AQ159" s="24">
        <f>VLOOKUP($R159,武学奇术!$A:$ZZ,29,FALSE)*(1+IF(OR($AM159=$F$4,$AM159=$F$5),$B$23,0))</f>
        <v>419.2</v>
      </c>
      <c r="AR159" s="23" cm="1">
        <f t="array" ref="AR159">$G$3+IFERROR(VLOOKUP($AM159,$F$4:$G$7,2,FALSE),0)+VLOOKUP($R159,武学奇术!$A:$ZZ,2,FALSE)+SUM(_xlfn.XLOOKUP($S159:$AL159,增益!$A:$A,增益!$B:$B,0))</f>
        <v>0.7443</v>
      </c>
      <c r="AS159" s="23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4081.7</v>
      </c>
      <c r="AU159" cm="1">
        <f t="array" ref="AU159">$E$10*(1+$AS159)+VLOOKUP($R159,武学奇术!$A:$ZZ,4,FALSE)+SUM(_xlfn.XLOOKUP($S159:$AL159,增益!$A:$A,增益!$D:$D,0))-$I$2</f>
        <v>4081.7</v>
      </c>
      <c r="AV159" s="29" cm="1">
        <f t="array" ref="AV159">IF($F$10-$I$3+VLOOKUP($R159,武学奇术!$A:$ZZ,6,FALSE)+SUM(_xlfn.XLOOKUP(S159:AL159,增益!$A:$A,增益!$F:$F,0))&gt;0,($F$10-$I$3+VLOOKUP($R159,武学奇术!$A:$ZZ,6,FALSE)+SUM(_xlfn.XLOOKUP(S159:AL159,增益!$A:$A,增益!$F:$F,0)))/200,($F$10-$I$3+VLOOKUP($R159,武学奇术!$A:$ZZ,6,FALSE)+SUM(_xlfn.XLOOKUP(S159:AL159,增益!$A:$A,增益!$F:$F,0)))/100)</f>
        <v>0.3689</v>
      </c>
      <c r="AW159" s="29" cm="1">
        <f t="array" ref="AW159">$G$10+VLOOKUP($R159,武学奇术!$A:$ZZ,7,FALSE)+SUM(_xlfn.XLOOKUP(S159:AL159,增益!$A:$A,增益!$G:$G,0))</f>
        <v>0.06</v>
      </c>
      <c r="AX159" s="23" cm="1">
        <f t="array" ref="AX159">VLOOKUP($R159,武学奇术!$A:$ZZ,8,FALSE)+SUM(_xlfn.XLOOKUP(S159:AL159,增益!$A:$A,增益!$H:$H,0))</f>
        <v>0</v>
      </c>
      <c r="AY159">
        <f t="shared" si="24"/>
        <v>0</v>
      </c>
      <c r="AZ159">
        <f t="shared" si="25"/>
        <v>0</v>
      </c>
      <c r="BA159" s="29" cm="1">
        <f t="array" ref="BA159">IF($F$11-$I$4+VLOOKUP($R159,武学奇术!$A:$ZZ,9,FALSE)+SUM(_xlfn.XLOOKUP(S159:AL159,增益!$A:$A,增益!$I:$I,0))&gt;0,($F$11-$I$4+VLOOKUP($R159,武学奇术!$A:$ZZ,9,FALSE)+SUM(_xlfn.XLOOKUP(S159:AL159,增益!$A:$A,增益!$I:$I,0)))/200,($F$11-$I$4+VLOOKUP($R159,武学奇术!$A:$ZZ,9,FALSE)+SUM(_xlfn.XLOOKUP(S159:AL159,增益!$A:$A,增益!$I:$I,0)))/100)</f>
        <v>-0.3</v>
      </c>
      <c r="BB159" s="29" cm="1">
        <f t="array" ref="BB159">$G$11+VLOOKUP($R159,武学奇术!$A:$ZZ,10,FALSE)+SUM(_xlfn.XLOOKUP(S159:AL159,增益!$A:$A,增益!$J:$J,0))</f>
        <v>0</v>
      </c>
      <c r="BC159">
        <f t="shared" si="26"/>
        <v>0</v>
      </c>
      <c r="BD159">
        <f t="shared" si="27"/>
        <v>0</v>
      </c>
      <c r="BE159" s="29" cm="1">
        <f t="array" ref="BE159">IF($F$12-$I$4+VLOOKUP($R159,武学奇术!$A:$ZZ,11,FALSE)+SUM(_xlfn.XLOOKUP(S159:AL159,增益!$A:$A,增益!$K:$K,0))&gt;0,($F$12-$I$4+VLOOKUP($R159,武学奇术!$A:$ZZ,11,FALSE)+SUM(_xlfn.XLOOKUP(S159:AL159,增益!$A:$A,增益!$K:$K,0)))/200,($F$12-$I$4+VLOOKUP($R159,武学奇术!$A:$ZZ,11,FALSE)+SUM(_xlfn.XLOOKUP(S159:AL159,增益!$A:$A,增益!$K:$K,0)))/100)</f>
        <v>-0.3</v>
      </c>
      <c r="BF159" s="29" cm="1">
        <f t="array" ref="BF159">$G$12+VLOOKUP($R159,武学奇术!$A:$ZZ,12,FALSE)+SUM(_xlfn.XLOOKUP(S159:AL159,增益!$A:$A,增益!$L:$L,0))</f>
        <v>0</v>
      </c>
      <c r="BG159">
        <f t="shared" si="28"/>
        <v>0</v>
      </c>
      <c r="BH159">
        <f t="shared" si="29"/>
        <v>0</v>
      </c>
      <c r="BI159" s="29" cm="1">
        <f t="array" ref="BI159">IF($F$13-$I$4+VLOOKUP($R159,武学奇术!$A:$ZZ,13,FALSE)+SUM(_xlfn.XLOOKUP(S159:AL159,增益!$A:$A,增益!$M:$M,0))&gt;0,($F$13-$I$4+VLOOKUP($R159,武学奇术!$A:$ZZ,13,FALSE)+SUM(_xlfn.XLOOKUP(S159:AL159,增益!$A:$A,增益!$K:$K,0)))/200,($F$13-$I$4+VLOOKUP($R159,武学奇术!$A:$ZZ,13,FALSE)+SUM(_xlfn.XLOOKUP(S159:AL159,增益!$A:$A,增益!$M:$M,0)))/100)</f>
        <v>-0.3</v>
      </c>
      <c r="BJ159" s="29" cm="1">
        <f t="array" ref="BJ159">$G$13+VLOOKUP($R159,武学奇术!$A:$ZZ,14,FALSE)+SUM(_xlfn.XLOOKUP(S159:AL159,增益!$A:$A,增益!$N:$N,0))</f>
        <v>0</v>
      </c>
      <c r="BK159">
        <f t="shared" si="30"/>
        <v>618.2</v>
      </c>
      <c r="BL159">
        <f t="shared" si="31"/>
        <v>1805</v>
      </c>
      <c r="BM159" s="29" cm="1">
        <f t="array" ref="BM159">IF($F$14-$I$4+VLOOKUP($R159,武学奇术!$A:$ZZ,15,FALSE)+SUM(_xlfn.XLOOKUP(S159:AL159,增益!$A:$A,增益!$O:$O,0))&gt;0,($F$14-$I$4+VLOOKUP($R159,武学奇术!$A:$ZZ,15,FALSE)+SUM(_xlfn.XLOOKUP(S159:AL159,增益!$A:$A,增益!$O:$O,0)))/200,($F$14-$I$4+VLOOKUP($R159,武学奇术!$A:$ZZ,15,FALSE)+SUM(_xlfn.XLOOKUP(S159:AL159,增益!$A:$A,增益!$O:$O,0)))/100)</f>
        <v>0.05</v>
      </c>
      <c r="BN159" s="29" cm="1">
        <f t="array" ref="BN159">$G$14+VLOOKUP($R159,武学奇术!$A:$ZZ,16,FALSE)+SUM(_xlfn.XLOOKUP(S159:AL159,增益!$A:$A,增益!$P:$P,0))</f>
        <v>0.21</v>
      </c>
      <c r="BO159" s="23">
        <f>MIN(IF(VLOOKUP($R159,武学奇术!$A:$ZZ,23,FALSE)=1,100%,$B$8),100%)</f>
        <v>0.9943</v>
      </c>
      <c r="BP159" s="23" cm="1">
        <f t="array" ref="BP159">IF(VLOOKUP($R159,武学奇术!$A:$ZZ,23,FALSE)=1,100%,MIN(80%,$B$9+VLOOKUP($R159,武学奇术!$A:$ZZ,17,FALSE)+SUM(_xlfn.XLOOKUP(S159:AL159,增益!$A:$A,增益!$Q:$Q,0)))+$B$11+SUM(_xlfn.XLOOKUP(S159:AL159,增益!$A:$A,增益!$U:$U,0)))*IF(VLOOKUP($R159,武学奇术!$A:$ZZ,24,FALSE)=1,0,1)</f>
        <v>0.887</v>
      </c>
      <c r="BQ159" s="23" cm="1">
        <f t="array" ref="BQ159">1+$B$13+VLOOKUP($R159,武学奇术!$A:$ZZ,18,FALSE)+SUM(_xlfn.XLOOKUP(S159:AL159,增益!$A:$A,增益!$R:$R,0))</f>
        <v>2.394</v>
      </c>
      <c r="BR159" s="23" cm="1">
        <f t="array" ref="BR159">IF(VLOOKUP($R159,武学奇术!$A:$ZZ,24,FALSE)=1,100%,MIN(40%,$B$10+VLOOKUP($R159,武学奇术!$A:$ZZ,19,FALSE)+SUM(_xlfn.XLOOKUP(S159:AL159,增益!$A:$A,增益!$S:$S,0)))+$B$12+SUM(_xlfn.XLOOKUP(S159:AL159,增益!$A:$A,增益!$V:$V,0)))*IF(VLOOKUP($R159,武学奇术!$A:$ZZ,23,FALSE)=1,0,1)</f>
        <v>0.0913</v>
      </c>
      <c r="BS159" s="23" cm="1">
        <f t="array" ref="BS159">1+$B$14+VLOOKUP($R159,武学奇术!$A:$ZZ,20,FALSE)+SUM(_xlfn.XLOOKUP(S159:AL159,增益!$A:$A,增益!$T:$T,0))</f>
        <v>1.35</v>
      </c>
      <c r="BT159" s="23">
        <f t="shared" si="32"/>
        <v>0.8819441</v>
      </c>
      <c r="BU159" s="23">
        <f t="shared" si="33"/>
        <v>0.0215763099999999</v>
      </c>
      <c r="BV159" s="23">
        <f>IF(VLOOKUP($R159,武学奇术!$A:$ZZ,22,FALSE)=1,0,(1-$BO159))*(1-$BR159)</f>
        <v>0.00517959000000003</v>
      </c>
      <c r="BW159" s="23" cm="1">
        <f t="array" ref="BW159">SUM(_xlfn.XLOOKUP(S159:AL159,增益!$A:$A,增益!$W:$W,0))+$I$5</f>
        <v>0.21</v>
      </c>
      <c r="BX159" s="23">
        <f>VLOOKUP($R159,武学奇术!$A:$ZZ,32,FALSE)</f>
        <v>0.1</v>
      </c>
      <c r="BY159" s="23" cm="1">
        <f t="array" ref="BY159">SUM(_xlfn.XLOOKUP($S159:$AL159,增益!$A:$A,增益!$X:$X,0))</f>
        <v>0</v>
      </c>
    </row>
    <row r="160" spans="11:77">
      <c r="K160" s="35">
        <f>$L160*VLOOKUP($R160,武学奇术!$A:$ZZ,31,FALSE)</f>
        <v>139977.055250119</v>
      </c>
      <c r="L160" s="35">
        <f t="shared" si="34"/>
        <v>124979.513616177</v>
      </c>
      <c r="M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轻击",$B$21,0))*(1+IF(VLOOKUP($R160,武学奇术!$A:$ZZ,30,FALSE)="老鼠",$B$22,0))*(1+$BW160)*(1+$BX160)</f>
        <v>131477.045531562</v>
      </c>
      <c r="N160" s="35">
        <f>(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轻击",$B$21,0))*(1+IF(VLOOKUP($R160,武学奇术!$A:$ZZ,30,FALSE)="老鼠",$B$22,0))*(1+$BW160))*(1+$BX160)</f>
        <v>83123.2507770373</v>
      </c>
      <c r="O160" s="35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轻击",$B$21,0))*(1+IF(VLOOKUP($R160,武学奇术!$A:$ZZ,30,FALSE)="老鼠",$B$22,0))*(1+$BW160)*(1+$BX160)</f>
        <v>54919.4008068347</v>
      </c>
      <c r="P160" s="35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轻击",$B$21,0))*(1+IF(VLOOKUP($R160,武学奇术!$A:$ZZ,30,FALSE)="老鼠",$B$22,0))*(1+$BW160)*(1+$BX160)</f>
        <v>48266.0232603083</v>
      </c>
      <c r="Q160" s="36">
        <v>1</v>
      </c>
      <c r="R160" s="37" t="s">
        <v>158</v>
      </c>
      <c r="S160" s="37" t="s">
        <v>91</v>
      </c>
      <c r="T160" s="37" t="s">
        <v>185</v>
      </c>
      <c r="U160" s="37" t="s">
        <v>112</v>
      </c>
      <c r="V160" s="37" t="s">
        <v>113</v>
      </c>
      <c r="W160" s="37" t="s">
        <v>82</v>
      </c>
      <c r="X160" s="37" t="s">
        <v>81</v>
      </c>
      <c r="Y160" s="37" t="s">
        <v>109</v>
      </c>
      <c r="Z160" s="37" t="s">
        <v>83</v>
      </c>
      <c r="AA160" s="37" t="s">
        <v>81</v>
      </c>
      <c r="AB160" s="37" t="s">
        <v>183</v>
      </c>
      <c r="AC160" s="37" t="s">
        <v>81</v>
      </c>
      <c r="AD160" s="37" t="s">
        <v>85</v>
      </c>
      <c r="AE160" s="37" t="s">
        <v>86</v>
      </c>
      <c r="AF160" s="37" t="s">
        <v>181</v>
      </c>
      <c r="AG160" s="37" t="s">
        <v>87</v>
      </c>
      <c r="AH160" s="37" t="s">
        <v>81</v>
      </c>
      <c r="AI160" s="37" t="s">
        <v>81</v>
      </c>
      <c r="AJ160" s="37" t="s">
        <v>81</v>
      </c>
      <c r="AK160" s="37" t="s">
        <v>81</v>
      </c>
      <c r="AL160" s="37" t="s">
        <v>81</v>
      </c>
      <c r="AM160" t="str">
        <f>VLOOKUP($R160,武学奇术!$A:$ZZ,25,FALSE)</f>
        <v>双刀</v>
      </c>
      <c r="AN160" s="23">
        <f>VLOOKUP($R160,武学奇术!$A:$ZZ,26,FALSE)</f>
        <v>2.5342</v>
      </c>
      <c r="AO160" s="24">
        <f>VLOOKUP($R160,武学奇术!$A:$ZZ,27,FALSE)*(1+IF(OR($AM160=$F$4,$AM160=$F$5),$B$23,0))</f>
        <v>1123.2</v>
      </c>
      <c r="AP160" s="23">
        <f>VLOOKUP($R160,武学奇术!$A:$ZZ,28,FALSE)</f>
        <v>3.8012</v>
      </c>
      <c r="AQ160" s="24">
        <f>VLOOKUP($R160,武学奇术!$A:$ZZ,29,FALSE)*(1+IF(OR($AM160=$F$4,$AM160=$F$5),$B$23,0))</f>
        <v>611.2</v>
      </c>
      <c r="AR160" s="23" cm="1">
        <f t="array" ref="AR160">$G$3+IFERROR(VLOOKUP($AM160,$F$4:$G$7,2,FALSE),0)+VLOOKUP($R160,武学奇术!$A:$ZZ,2,FALSE)+SUM(_xlfn.XLOOKUP($S160:$AL160,增益!$A:$A,增益!$B:$B,0))</f>
        <v>0.7443</v>
      </c>
      <c r="AS160" s="23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4081.7</v>
      </c>
      <c r="AU160" cm="1">
        <f t="array" ref="AU160">$E$10*(1+$AS160)+VLOOKUP($R160,武学奇术!$A:$ZZ,4,FALSE)+SUM(_xlfn.XLOOKUP($S160:$AL160,增益!$A:$A,增益!$D:$D,0))-$I$2</f>
        <v>4081.7</v>
      </c>
      <c r="AV160" s="29" cm="1">
        <f t="array" ref="AV160">IF($F$10-$I$3+VLOOKUP($R160,武学奇术!$A:$ZZ,6,FALSE)+SUM(_xlfn.XLOOKUP(S160:AL160,增益!$A:$A,增益!$F:$F,0))&gt;0,($F$10-$I$3+VLOOKUP($R160,武学奇术!$A:$ZZ,6,FALSE)+SUM(_xlfn.XLOOKUP(S160:AL160,增益!$A:$A,增益!$F:$F,0)))/200,($F$10-$I$3+VLOOKUP($R160,武学奇术!$A:$ZZ,6,FALSE)+SUM(_xlfn.XLOOKUP(S160:AL160,增益!$A:$A,增益!$F:$F,0)))/100)</f>
        <v>0.3689</v>
      </c>
      <c r="AW160" s="29" cm="1">
        <f t="array" ref="AW160">$G$10+VLOOKUP($R160,武学奇术!$A:$ZZ,7,FALSE)+SUM(_xlfn.XLOOKUP(S160:AL160,增益!$A:$A,增益!$G:$G,0))</f>
        <v>0.06</v>
      </c>
      <c r="AX160" s="23" cm="1">
        <f t="array" ref="AX160">VLOOKUP($R160,武学奇术!$A:$ZZ,8,FALSE)+SUM(_xlfn.XLOOKUP(S160:AL160,增益!$A:$A,增益!$H:$H,0))</f>
        <v>0</v>
      </c>
      <c r="AY160">
        <f t="shared" si="24"/>
        <v>0</v>
      </c>
      <c r="AZ160">
        <f t="shared" si="25"/>
        <v>0</v>
      </c>
      <c r="BA160" s="29" cm="1">
        <f t="array" ref="BA160">IF($F$11-$I$4+VLOOKUP($R160,武学奇术!$A:$ZZ,9,FALSE)+SUM(_xlfn.XLOOKUP(S160:AL160,增益!$A:$A,增益!$I:$I,0))&gt;0,($F$11-$I$4+VLOOKUP($R160,武学奇术!$A:$ZZ,9,FALSE)+SUM(_xlfn.XLOOKUP(S160:AL160,增益!$A:$A,增益!$I:$I,0)))/200,($F$11-$I$4+VLOOKUP($R160,武学奇术!$A:$ZZ,9,FALSE)+SUM(_xlfn.XLOOKUP(S160:AL160,增益!$A:$A,增益!$I:$I,0)))/100)</f>
        <v>-0.3</v>
      </c>
      <c r="BB160" s="29" cm="1">
        <f t="array" ref="BB160">$G$11+VLOOKUP($R160,武学奇术!$A:$ZZ,10,FALSE)+SUM(_xlfn.XLOOKUP(S160:AL160,增益!$A:$A,增益!$J:$J,0))</f>
        <v>0</v>
      </c>
      <c r="BC160">
        <f t="shared" si="26"/>
        <v>0</v>
      </c>
      <c r="BD160">
        <f t="shared" si="27"/>
        <v>0</v>
      </c>
      <c r="BE160" s="29" cm="1">
        <f t="array" ref="BE160">IF($F$12-$I$4+VLOOKUP($R160,武学奇术!$A:$ZZ,11,FALSE)+SUM(_xlfn.XLOOKUP(S160:AL160,增益!$A:$A,增益!$K:$K,0))&gt;0,($F$12-$I$4+VLOOKUP($R160,武学奇术!$A:$ZZ,11,FALSE)+SUM(_xlfn.XLOOKUP(S160:AL160,增益!$A:$A,增益!$K:$K,0)))/200,($F$12-$I$4+VLOOKUP($R160,武学奇术!$A:$ZZ,11,FALSE)+SUM(_xlfn.XLOOKUP(S160:AL160,增益!$A:$A,增益!$K:$K,0)))/100)</f>
        <v>-0.3</v>
      </c>
      <c r="BF160" s="29" cm="1">
        <f t="array" ref="BF160">$G$12+VLOOKUP($R160,武学奇术!$A:$ZZ,12,FALSE)+SUM(_xlfn.XLOOKUP(S160:AL160,增益!$A:$A,增益!$L:$L,0))</f>
        <v>0</v>
      </c>
      <c r="BG160">
        <f t="shared" si="28"/>
        <v>0</v>
      </c>
      <c r="BH160">
        <f t="shared" si="29"/>
        <v>0</v>
      </c>
      <c r="BI160" s="29" cm="1">
        <f t="array" ref="BI160">IF($F$13-$I$4+VLOOKUP($R160,武学奇术!$A:$ZZ,13,FALSE)+SUM(_xlfn.XLOOKUP(S160:AL160,增益!$A:$A,增益!$M:$M,0))&gt;0,($F$13-$I$4+VLOOKUP($R160,武学奇术!$A:$ZZ,13,FALSE)+SUM(_xlfn.XLOOKUP(S160:AL160,增益!$A:$A,增益!$K:$K,0)))/200,($F$13-$I$4+VLOOKUP($R160,武学奇术!$A:$ZZ,13,FALSE)+SUM(_xlfn.XLOOKUP(S160:AL160,增益!$A:$A,增益!$M:$M,0)))/100)</f>
        <v>-0.3</v>
      </c>
      <c r="BJ160" s="29" cm="1">
        <f t="array" ref="BJ160">$G$13+VLOOKUP($R160,武学奇术!$A:$ZZ,14,FALSE)+SUM(_xlfn.XLOOKUP(S160:AL160,增益!$A:$A,增益!$N:$N,0))</f>
        <v>0</v>
      </c>
      <c r="BK160">
        <f t="shared" si="30"/>
        <v>618.2</v>
      </c>
      <c r="BL160">
        <f t="shared" si="31"/>
        <v>1805</v>
      </c>
      <c r="BM160" s="29" cm="1">
        <f t="array" ref="BM160">IF($F$14-$I$4+VLOOKUP($R160,武学奇术!$A:$ZZ,15,FALSE)+SUM(_xlfn.XLOOKUP(S160:AL160,增益!$A:$A,增益!$O:$O,0))&gt;0,($F$14-$I$4+VLOOKUP($R160,武学奇术!$A:$ZZ,15,FALSE)+SUM(_xlfn.XLOOKUP(S160:AL160,增益!$A:$A,增益!$O:$O,0)))/200,($F$14-$I$4+VLOOKUP($R160,武学奇术!$A:$ZZ,15,FALSE)+SUM(_xlfn.XLOOKUP(S160:AL160,增益!$A:$A,增益!$O:$O,0)))/100)</f>
        <v>0.05</v>
      </c>
      <c r="BN160" s="29" cm="1">
        <f t="array" ref="BN160">$G$14+VLOOKUP($R160,武学奇术!$A:$ZZ,16,FALSE)+SUM(_xlfn.XLOOKUP(S160:AL160,增益!$A:$A,增益!$P:$P,0))</f>
        <v>0.21</v>
      </c>
      <c r="BO160" s="23">
        <f>MIN(IF(VLOOKUP($R160,武学奇术!$A:$ZZ,23,FALSE)=1,100%,$B$8),100%)</f>
        <v>0.9943</v>
      </c>
      <c r="BP160" s="23" cm="1">
        <f t="array" ref="BP160">IF(VLOOKUP($R160,武学奇术!$A:$ZZ,23,FALSE)=1,100%,MIN(80%,$B$9+VLOOKUP($R160,武学奇术!$A:$ZZ,17,FALSE)+SUM(_xlfn.XLOOKUP(S160:AL160,增益!$A:$A,增益!$Q:$Q,0)))+$B$11+SUM(_xlfn.XLOOKUP(S160:AL160,增益!$A:$A,增益!$U:$U,0)))*IF(VLOOKUP($R160,武学奇术!$A:$ZZ,24,FALSE)=1,0,1)</f>
        <v>0.887</v>
      </c>
      <c r="BQ160" s="23" cm="1">
        <f t="array" ref="BQ160">1+$B$13+VLOOKUP($R160,武学奇术!$A:$ZZ,18,FALSE)+SUM(_xlfn.XLOOKUP(S160:AL160,增益!$A:$A,增益!$R:$R,0))</f>
        <v>2.394</v>
      </c>
      <c r="BR160" s="23" cm="1">
        <f t="array" ref="BR160">IF(VLOOKUP($R160,武学奇术!$A:$ZZ,24,FALSE)=1,100%,MIN(40%,$B$10+VLOOKUP($R160,武学奇术!$A:$ZZ,19,FALSE)+SUM(_xlfn.XLOOKUP(S160:AL160,增益!$A:$A,增益!$S:$S,0)))+$B$12+SUM(_xlfn.XLOOKUP(S160:AL160,增益!$A:$A,增益!$V:$V,0)))*IF(VLOOKUP($R160,武学奇术!$A:$ZZ,23,FALSE)=1,0,1)</f>
        <v>0.0913</v>
      </c>
      <c r="BS160" s="23" cm="1">
        <f t="array" ref="BS160">1+$B$14+VLOOKUP($R160,武学奇术!$A:$ZZ,20,FALSE)+SUM(_xlfn.XLOOKUP(S160:AL160,增益!$A:$A,增益!$T:$T,0))</f>
        <v>1.35</v>
      </c>
      <c r="BT160" s="23">
        <f t="shared" si="32"/>
        <v>0.8819441</v>
      </c>
      <c r="BU160" s="23">
        <f t="shared" si="33"/>
        <v>0.0215763099999999</v>
      </c>
      <c r="BV160" s="23">
        <f>IF(VLOOKUP($R160,武学奇术!$A:$ZZ,22,FALSE)=1,0,(1-$BO160))*(1-$BR160)</f>
        <v>0.00517959000000003</v>
      </c>
      <c r="BW160" s="23" cm="1">
        <f t="array" ref="BW160">SUM(_xlfn.XLOOKUP(S160:AL160,增益!$A:$A,增益!$W:$W,0))+$I$5</f>
        <v>0.21</v>
      </c>
      <c r="BX160" s="23">
        <f>VLOOKUP($R160,武学奇术!$A:$ZZ,32,FALSE)</f>
        <v>0.1</v>
      </c>
      <c r="BY160" s="23" cm="1">
        <f t="array" ref="BY160">SUM(_xlfn.XLOOKUP($S160:$AL160,增益!$A:$A,增益!$X:$X,0))</f>
        <v>0</v>
      </c>
    </row>
    <row r="161" spans="11:77">
      <c r="K161" s="35">
        <f>$L161*VLOOKUP($R161,武学奇术!$A:$ZZ,31,FALSE)</f>
        <v>200184.07434989</v>
      </c>
      <c r="L161" s="69">
        <f t="shared" si="34"/>
        <v>196258.896421461</v>
      </c>
      <c r="M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轻击",$B$21,0))*(1+IF(VLOOKUP($R161,武学奇术!$A:$ZZ,30,FALSE)="老鼠",$B$22,0))*(1+$BW161)*(1+$BX161)</f>
        <v>206310.21257307</v>
      </c>
      <c r="N161" s="35">
        <f>(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轻击",$B$21,0))*(1+IF(VLOOKUP($R161,武学奇术!$A:$ZZ,30,FALSE)="老鼠",$B$22,0))*(1+$BW161))*(1+$BX161)</f>
        <v>132086.124622763</v>
      </c>
      <c r="O161" s="35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轻击",$B$21,0))*(1+IF(VLOOKUP($R161,武学奇术!$A:$ZZ,30,FALSE)="老鼠",$B$22,0))*(1+$BW161)*(1+$BX161)</f>
        <v>86178.0336562531</v>
      </c>
      <c r="P161" s="35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轻击",$B$21,0))*(1+IF(VLOOKUP($R161,武学奇术!$A:$ZZ,30,FALSE)="老鼠",$B$22,0))*(1+$BW161)*(1+$BX161)</f>
        <v>74514.4935178668</v>
      </c>
      <c r="Q161" s="70">
        <v>6</v>
      </c>
      <c r="R161" s="37" t="s">
        <v>106</v>
      </c>
      <c r="S161" s="37" t="s">
        <v>91</v>
      </c>
      <c r="T161" s="37" t="s">
        <v>185</v>
      </c>
      <c r="U161" s="37" t="s">
        <v>112</v>
      </c>
      <c r="V161" s="37" t="s">
        <v>113</v>
      </c>
      <c r="W161" s="37" t="s">
        <v>82</v>
      </c>
      <c r="X161" s="37" t="s">
        <v>81</v>
      </c>
      <c r="Y161" s="37" t="s">
        <v>109</v>
      </c>
      <c r="Z161" s="37" t="s">
        <v>83</v>
      </c>
      <c r="AA161" s="37" t="s">
        <v>81</v>
      </c>
      <c r="AB161" s="37" t="s">
        <v>183</v>
      </c>
      <c r="AC161" s="37" t="s">
        <v>81</v>
      </c>
      <c r="AD161" s="37" t="s">
        <v>85</v>
      </c>
      <c r="AE161" s="37" t="s">
        <v>86</v>
      </c>
      <c r="AF161" s="37" t="s">
        <v>81</v>
      </c>
      <c r="AG161" s="37" t="s">
        <v>87</v>
      </c>
      <c r="AH161" s="37" t="s">
        <v>81</v>
      </c>
      <c r="AI161" s="37" t="s">
        <v>81</v>
      </c>
      <c r="AJ161" s="37" t="s">
        <v>81</v>
      </c>
      <c r="AK161" s="37" t="s">
        <v>81</v>
      </c>
      <c r="AL161" s="37" t="s">
        <v>81</v>
      </c>
      <c r="AM161" t="str">
        <f>VLOOKUP($R161,武学奇术!$A:$ZZ,25,FALSE)</f>
        <v>绳镖</v>
      </c>
      <c r="AN161" s="23">
        <f>VLOOKUP($R161,武学奇术!$A:$ZZ,26,FALSE)</f>
        <v>0.3675</v>
      </c>
      <c r="AO161" s="24">
        <f>VLOOKUP($R161,武学奇术!$A:$ZZ,27,FALSE)*(1+IF(OR($AM161=$F$4,$AM161=$F$5),$B$23,0))</f>
        <v>0</v>
      </c>
      <c r="AP161" s="23">
        <f>VLOOKUP($R161,武学奇术!$A:$ZZ,28,FALSE)</f>
        <v>0.55125</v>
      </c>
      <c r="AQ161" s="24">
        <f>VLOOKUP($R161,武学奇术!$A:$ZZ,29,FALSE)*(1+IF(OR($AM161=$F$4,$AM161=$F$5),$B$23,0))</f>
        <v>0</v>
      </c>
      <c r="AR161" s="23" cm="1">
        <f t="array" ref="AR161">$G$3+IFERROR(VLOOKUP($AM161,$F$4:$G$7,2,FALSE),0)+VLOOKUP($R161,武学奇术!$A:$ZZ,2,FALSE)+SUM(_xlfn.XLOOKUP($S161:$AL161,增益!$A:$A,增益!$B:$B,0))</f>
        <v>1.4943</v>
      </c>
      <c r="AS161" s="23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4081.7</v>
      </c>
      <c r="AU161" cm="1">
        <f t="array" ref="AU161">$E$10*(1+$AS161)+VLOOKUP($R161,武学奇术!$A:$ZZ,4,FALSE)+SUM(_xlfn.XLOOKUP($S161:$AL161,增益!$A:$A,增益!$D:$D,0))-$I$2</f>
        <v>4081.7</v>
      </c>
      <c r="AV161" s="29" cm="1">
        <f t="array" ref="AV161">IF($F$10-$I$3+VLOOKUP($R161,武学奇术!$A:$ZZ,6,FALSE)+SUM(_xlfn.XLOOKUP(S161:AL161,增益!$A:$A,增益!$F:$F,0))&gt;0,($F$10-$I$3+VLOOKUP($R161,武学奇术!$A:$ZZ,6,FALSE)+SUM(_xlfn.XLOOKUP(S161:AL161,增益!$A:$A,增益!$F:$F,0)))/200,($F$10-$I$3+VLOOKUP($R161,武学奇术!$A:$ZZ,6,FALSE)+SUM(_xlfn.XLOOKUP(S161:AL161,增益!$A:$A,增益!$F:$F,0)))/100)</f>
        <v>0.3689</v>
      </c>
      <c r="AW161" s="29" cm="1">
        <f t="array" ref="AW161">$G$10+VLOOKUP($R161,武学奇术!$A:$ZZ,7,FALSE)+SUM(_xlfn.XLOOKUP(S161:AL161,增益!$A:$A,增益!$G:$G,0))</f>
        <v>0.27</v>
      </c>
      <c r="AX161" s="23" cm="1">
        <f t="array" ref="AX161">VLOOKUP($R161,武学奇术!$A:$ZZ,8,FALSE)+SUM(_xlfn.XLOOKUP(S161:AL161,增益!$A:$A,增益!$H:$H,0))</f>
        <v>0</v>
      </c>
      <c r="AY161">
        <f t="shared" si="24"/>
        <v>0</v>
      </c>
      <c r="AZ161">
        <f t="shared" si="25"/>
        <v>0</v>
      </c>
      <c r="BA161" s="29" cm="1">
        <f t="array" ref="BA161">IF($F$11-$I$4+VLOOKUP($R161,武学奇术!$A:$ZZ,9,FALSE)+SUM(_xlfn.XLOOKUP(S161:AL161,增益!$A:$A,增益!$I:$I,0))&gt;0,($F$11-$I$4+VLOOKUP($R161,武学奇术!$A:$ZZ,9,FALSE)+SUM(_xlfn.XLOOKUP(S161:AL161,增益!$A:$A,增益!$I:$I,0)))/200,($F$11-$I$4+VLOOKUP($R161,武学奇术!$A:$ZZ,9,FALSE)+SUM(_xlfn.XLOOKUP(S161:AL161,增益!$A:$A,增益!$I:$I,0)))/100)</f>
        <v>-0.3</v>
      </c>
      <c r="BB161" s="29" cm="1">
        <f t="array" ref="BB161">$G$11+VLOOKUP($R161,武学奇术!$A:$ZZ,10,FALSE)+SUM(_xlfn.XLOOKUP(S161:AL161,增益!$A:$A,增益!$J:$J,0))</f>
        <v>0</v>
      </c>
      <c r="BC161">
        <f t="shared" si="26"/>
        <v>0</v>
      </c>
      <c r="BD161">
        <f t="shared" si="27"/>
        <v>0</v>
      </c>
      <c r="BE161" s="29" cm="1">
        <f t="array" ref="BE161">IF($F$12-$I$4+VLOOKUP($R161,武学奇术!$A:$ZZ,11,FALSE)+SUM(_xlfn.XLOOKUP(S161:AL161,增益!$A:$A,增益!$K:$K,0))&gt;0,($F$12-$I$4+VLOOKUP($R161,武学奇术!$A:$ZZ,11,FALSE)+SUM(_xlfn.XLOOKUP(S161:AL161,增益!$A:$A,增益!$K:$K,0)))/200,($F$12-$I$4+VLOOKUP($R161,武学奇术!$A:$ZZ,11,FALSE)+SUM(_xlfn.XLOOKUP(S161:AL161,增益!$A:$A,增益!$K:$K,0)))/100)</f>
        <v>-0.3</v>
      </c>
      <c r="BF161" s="29" cm="1">
        <f t="array" ref="BF161">$G$12+VLOOKUP($R161,武学奇术!$A:$ZZ,12,FALSE)+SUM(_xlfn.XLOOKUP(S161:AL161,增益!$A:$A,增益!$L:$L,0))</f>
        <v>0</v>
      </c>
      <c r="BG161">
        <f t="shared" si="28"/>
        <v>0</v>
      </c>
      <c r="BH161">
        <f t="shared" si="29"/>
        <v>0</v>
      </c>
      <c r="BI161" s="29" cm="1">
        <f t="array" ref="BI161">IF($F$13-$I$4+VLOOKUP($R161,武学奇术!$A:$ZZ,13,FALSE)+SUM(_xlfn.XLOOKUP(S161:AL161,增益!$A:$A,增益!$M:$M,0))&gt;0,($F$13-$I$4+VLOOKUP($R161,武学奇术!$A:$ZZ,13,FALSE)+SUM(_xlfn.XLOOKUP(S161:AL161,增益!$A:$A,增益!$K:$K,0)))/200,($F$13-$I$4+VLOOKUP($R161,武学奇术!$A:$ZZ,13,FALSE)+SUM(_xlfn.XLOOKUP(S161:AL161,增益!$A:$A,增益!$M:$M,0)))/100)</f>
        <v>-0.3</v>
      </c>
      <c r="BJ161" s="29" cm="1">
        <f t="array" ref="BJ161">$G$13+VLOOKUP($R161,武学奇术!$A:$ZZ,14,FALSE)+SUM(_xlfn.XLOOKUP(S161:AL161,增益!$A:$A,增益!$N:$N,0))</f>
        <v>0</v>
      </c>
      <c r="BK161">
        <f t="shared" si="30"/>
        <v>618.2</v>
      </c>
      <c r="BL161">
        <f t="shared" si="31"/>
        <v>1805</v>
      </c>
      <c r="BM161" s="29" cm="1">
        <f t="array" ref="BM161">IF($F$14-$I$4+VLOOKUP($R161,武学奇术!$A:$ZZ,15,FALSE)+SUM(_xlfn.XLOOKUP(S161:AL161,增益!$A:$A,增益!$O:$O,0))&gt;0,($F$14-$I$4+VLOOKUP($R161,武学奇术!$A:$ZZ,15,FALSE)+SUM(_xlfn.XLOOKUP(S161:AL161,增益!$A:$A,增益!$O:$O,0)))/200,($F$14-$I$4+VLOOKUP($R161,武学奇术!$A:$ZZ,15,FALSE)+SUM(_xlfn.XLOOKUP(S161:AL161,增益!$A:$A,增益!$O:$O,0)))/100)</f>
        <v>0.05</v>
      </c>
      <c r="BN161" s="29" cm="1">
        <f t="array" ref="BN161">$G$14+VLOOKUP($R161,武学奇术!$A:$ZZ,16,FALSE)+SUM(_xlfn.XLOOKUP(S161:AL161,增益!$A:$A,增益!$P:$P,0))</f>
        <v>0.42</v>
      </c>
      <c r="BO161" s="23">
        <f>MIN(IF(VLOOKUP($R161,武学奇术!$A:$ZZ,23,FALSE)=1,100%,$B$8),100%)</f>
        <v>0.9943</v>
      </c>
      <c r="BP161" s="23" cm="1">
        <f t="array" ref="BP161">IF(VLOOKUP($R161,武学奇术!$A:$ZZ,23,FALSE)=1,100%,MIN(80%,$B$9+VLOOKUP($R161,武学奇术!$A:$ZZ,17,FALSE)+SUM(_xlfn.XLOOKUP(S161:AL161,增益!$A:$A,增益!$Q:$Q,0)))+$B$11+SUM(_xlfn.XLOOKUP(S161:AL161,增益!$A:$A,增益!$U:$U,0)))*IF(VLOOKUP($R161,武学奇术!$A:$ZZ,24,FALSE)=1,0,1)</f>
        <v>0.887</v>
      </c>
      <c r="BQ161" s="23" cm="1">
        <f t="array" ref="BQ161">1+$B$13+VLOOKUP($R161,武学奇术!$A:$ZZ,18,FALSE)+SUM(_xlfn.XLOOKUP(S161:AL161,增益!$A:$A,增益!$R:$R,0))</f>
        <v>2.394</v>
      </c>
      <c r="BR161" s="23" cm="1">
        <f t="array" ref="BR161">IF(VLOOKUP($R161,武学奇术!$A:$ZZ,24,FALSE)=1,100%,MIN(40%,$B$10+VLOOKUP($R161,武学奇术!$A:$ZZ,19,FALSE)+SUM(_xlfn.XLOOKUP(S161:AL161,增益!$A:$A,增益!$S:$S,0)))+$B$12+SUM(_xlfn.XLOOKUP(S161:AL161,增益!$A:$A,增益!$V:$V,0)))*IF(VLOOKUP($R161,武学奇术!$A:$ZZ,23,FALSE)=1,0,1)</f>
        <v>0.0913</v>
      </c>
      <c r="BS161" s="23" cm="1">
        <f t="array" ref="BS161">1+$B$14+VLOOKUP($R161,武学奇术!$A:$ZZ,20,FALSE)+SUM(_xlfn.XLOOKUP(S161:AL161,增益!$A:$A,增益!$T:$T,0))</f>
        <v>1.35</v>
      </c>
      <c r="BT161" s="23">
        <f t="shared" si="32"/>
        <v>0.8819441</v>
      </c>
      <c r="BU161" s="23">
        <f t="shared" si="33"/>
        <v>0.0215763099999999</v>
      </c>
      <c r="BV161" s="23">
        <f>IF(VLOOKUP($R161,武学奇术!$A:$ZZ,22,FALSE)=1,0,(1-$BO161))*(1-$BR161)</f>
        <v>0.00517959000000003</v>
      </c>
      <c r="BW161" s="23" cm="1">
        <f t="array" ref="BW161">SUM(_xlfn.XLOOKUP(S161:AL161,增益!$A:$A,增益!$W:$W,0))+$I$5</f>
        <v>0.21</v>
      </c>
      <c r="BX161" s="23">
        <f>VLOOKUP($R161,武学奇术!$A:$ZZ,32,FALSE)</f>
        <v>0</v>
      </c>
      <c r="BY161" s="23" cm="1">
        <f t="array" ref="BY161">SUM(_xlfn.XLOOKUP($S161:$AL161,增益!$A:$A,增益!$X:$X,0))</f>
        <v>0</v>
      </c>
    </row>
    <row r="162" spans="11:77">
      <c r="K162" s="35">
        <f>$L162*VLOOKUP($R162,武学奇术!$A:$ZZ,31,FALSE)</f>
        <v>47303.7501810462</v>
      </c>
      <c r="L162" s="35">
        <f t="shared" si="34"/>
        <v>46376.2256676924</v>
      </c>
      <c r="M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轻击",$B$21,0))*(1+IF(VLOOKUP($R162,武学奇术!$A:$ZZ,30,FALSE)="老鼠",$B$22,0))*(1+$BW162)*(1+$BX162)</f>
        <v>48792.9549249638</v>
      </c>
      <c r="N162" s="35">
        <f>(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轻击",$B$21,0))*(1+IF(VLOOKUP($R162,武学奇术!$A:$ZZ,30,FALSE)="老鼠",$B$22,0))*(1+$BW162))*(1+$BX162)</f>
        <v>30786.3931134981</v>
      </c>
      <c r="O162" s="35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轻击",$B$21,0))*(1+IF(VLOOKUP($R162,武学奇术!$A:$ZZ,30,FALSE)="老鼠",$B$22,0))*(1+$BW162)*(1+$BX162)</f>
        <v>20381.3512635605</v>
      </c>
      <c r="P162" s="35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轻击",$B$21,0))*(1+IF(VLOOKUP($R162,武学奇术!$A:$ZZ,30,FALSE)="老鼠",$B$22,0))*(1+$BW162)*(1+$BX162)</f>
        <v>17957.9668874927</v>
      </c>
      <c r="Q162" s="36">
        <v>1</v>
      </c>
      <c r="R162" s="37" t="s">
        <v>160</v>
      </c>
      <c r="S162" s="37" t="s">
        <v>91</v>
      </c>
      <c r="T162" s="37" t="s">
        <v>185</v>
      </c>
      <c r="U162" s="37" t="s">
        <v>81</v>
      </c>
      <c r="V162" s="37" t="s">
        <v>81</v>
      </c>
      <c r="W162" s="37" t="s">
        <v>82</v>
      </c>
      <c r="X162" s="37" t="s">
        <v>81</v>
      </c>
      <c r="Y162" s="37" t="s">
        <v>81</v>
      </c>
      <c r="Z162" s="37" t="s">
        <v>83</v>
      </c>
      <c r="AA162" s="37" t="s">
        <v>81</v>
      </c>
      <c r="AB162" s="37" t="s">
        <v>81</v>
      </c>
      <c r="AC162" s="37" t="s">
        <v>81</v>
      </c>
      <c r="AD162" s="37" t="s">
        <v>85</v>
      </c>
      <c r="AE162" s="37" t="s">
        <v>86</v>
      </c>
      <c r="AF162" s="37" t="s">
        <v>81</v>
      </c>
      <c r="AG162" s="37" t="s">
        <v>87</v>
      </c>
      <c r="AH162" s="37" t="s">
        <v>81</v>
      </c>
      <c r="AI162" s="37" t="s">
        <v>81</v>
      </c>
      <c r="AJ162" s="37" t="s">
        <v>81</v>
      </c>
      <c r="AK162" s="37" t="s">
        <v>81</v>
      </c>
      <c r="AL162" s="37" t="s">
        <v>81</v>
      </c>
      <c r="AM162" t="str">
        <f>VLOOKUP($R162,武学奇术!$A:$ZZ,25,FALSE)</f>
        <v>双刀</v>
      </c>
      <c r="AN162" s="23">
        <f>VLOOKUP($R162,武学奇术!$A:$ZZ,26,FALSE)</f>
        <v>1.3548</v>
      </c>
      <c r="AO162" s="24">
        <f>VLOOKUP($R162,武学奇术!$A:$ZZ,27,FALSE)*(1+IF(OR($AM162=$F$4,$AM162=$F$5),$B$23,0))</f>
        <v>601.6</v>
      </c>
      <c r="AP162" s="23">
        <f>VLOOKUP($R162,武学奇术!$A:$ZZ,28,FALSE)</f>
        <v>2.0322</v>
      </c>
      <c r="AQ162" s="24">
        <f>VLOOKUP($R162,武学奇术!$A:$ZZ,29,FALSE)*(1+IF(OR($AM162=$F$4,$AM162=$F$5),$B$23,0))</f>
        <v>328</v>
      </c>
      <c r="AR162" s="23" cm="1">
        <f t="array" ref="AR162">$G$3+IFERROR(VLOOKUP($AM162,$F$4:$G$7,2,FALSE),0)+VLOOKUP($R162,武学奇术!$A:$ZZ,2,FALSE)+SUM(_xlfn.XLOOKUP($S162:$AL162,增益!$A:$A,增益!$B:$B,0))</f>
        <v>0.5743</v>
      </c>
      <c r="AS162" s="23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4013</v>
      </c>
      <c r="AU162" cm="1">
        <f t="array" ref="AU162">$E$10*(1+$AS162)+VLOOKUP($R162,武学奇术!$A:$ZZ,4,FALSE)+SUM(_xlfn.XLOOKUP($S162:$AL162,增益!$A:$A,增益!$D:$D,0))-$I$2</f>
        <v>4013</v>
      </c>
      <c r="AV162" s="29" cm="1">
        <f t="array" ref="AV162">IF($F$10-$I$3+VLOOKUP($R162,武学奇术!$A:$ZZ,6,FALSE)+SUM(_xlfn.XLOOKUP(S162:AL162,增益!$A:$A,增益!$F:$F,0))&gt;0,($F$10-$I$3+VLOOKUP($R162,武学奇术!$A:$ZZ,6,FALSE)+SUM(_xlfn.XLOOKUP(S162:AL162,增益!$A:$A,增益!$F:$F,0)))/200,($F$10-$I$3+VLOOKUP($R162,武学奇术!$A:$ZZ,6,FALSE)+SUM(_xlfn.XLOOKUP(S162:AL162,增益!$A:$A,增益!$F:$F,0)))/100)</f>
        <v>0.3689</v>
      </c>
      <c r="AW162" s="29" cm="1">
        <f t="array" ref="AW162">$G$10+VLOOKUP($R162,武学奇术!$A:$ZZ,7,FALSE)+SUM(_xlfn.XLOOKUP(S162:AL162,增益!$A:$A,增益!$G:$G,0))</f>
        <v>0</v>
      </c>
      <c r="AX162" s="23" cm="1">
        <f t="array" ref="AX162">VLOOKUP($R162,武学奇术!$A:$ZZ,8,FALSE)+SUM(_xlfn.XLOOKUP(S162:AL162,增益!$A:$A,增益!$H:$H,0))</f>
        <v>0</v>
      </c>
      <c r="AY162">
        <f t="shared" si="24"/>
        <v>0</v>
      </c>
      <c r="AZ162">
        <f t="shared" si="25"/>
        <v>0</v>
      </c>
      <c r="BA162" s="29" cm="1">
        <f t="array" ref="BA162">IF($F$11-$I$4+VLOOKUP($R162,武学奇术!$A:$ZZ,9,FALSE)+SUM(_xlfn.XLOOKUP(S162:AL162,增益!$A:$A,增益!$I:$I,0))&gt;0,($F$11-$I$4+VLOOKUP($R162,武学奇术!$A:$ZZ,9,FALSE)+SUM(_xlfn.XLOOKUP(S162:AL162,增益!$A:$A,增益!$I:$I,0)))/200,($F$11-$I$4+VLOOKUP($R162,武学奇术!$A:$ZZ,9,FALSE)+SUM(_xlfn.XLOOKUP(S162:AL162,增益!$A:$A,增益!$I:$I,0)))/100)</f>
        <v>-0.3</v>
      </c>
      <c r="BB162" s="29" cm="1">
        <f t="array" ref="BB162">$G$11+VLOOKUP($R162,武学奇术!$A:$ZZ,10,FALSE)+SUM(_xlfn.XLOOKUP(S162:AL162,增益!$A:$A,增益!$J:$J,0))</f>
        <v>0</v>
      </c>
      <c r="BC162">
        <f t="shared" si="26"/>
        <v>0</v>
      </c>
      <c r="BD162">
        <f t="shared" si="27"/>
        <v>0</v>
      </c>
      <c r="BE162" s="29" cm="1">
        <f t="array" ref="BE162">IF($F$12-$I$4+VLOOKUP($R162,武学奇术!$A:$ZZ,11,FALSE)+SUM(_xlfn.XLOOKUP(S162:AL162,增益!$A:$A,增益!$K:$K,0))&gt;0,($F$12-$I$4+VLOOKUP($R162,武学奇术!$A:$ZZ,11,FALSE)+SUM(_xlfn.XLOOKUP(S162:AL162,增益!$A:$A,增益!$K:$K,0)))/200,($F$12-$I$4+VLOOKUP($R162,武学奇术!$A:$ZZ,11,FALSE)+SUM(_xlfn.XLOOKUP(S162:AL162,增益!$A:$A,增益!$K:$K,0)))/100)</f>
        <v>-0.3</v>
      </c>
      <c r="BF162" s="29" cm="1">
        <f t="array" ref="BF162">$G$12+VLOOKUP($R162,武学奇术!$A:$ZZ,12,FALSE)+SUM(_xlfn.XLOOKUP(S162:AL162,增益!$A:$A,增益!$L:$L,0))</f>
        <v>0</v>
      </c>
      <c r="BG162">
        <f t="shared" si="28"/>
        <v>0</v>
      </c>
      <c r="BH162">
        <f t="shared" si="29"/>
        <v>0</v>
      </c>
      <c r="BI162" s="29" cm="1">
        <f t="array" ref="BI162">IF($F$13-$I$4+VLOOKUP($R162,武学奇术!$A:$ZZ,13,FALSE)+SUM(_xlfn.XLOOKUP(S162:AL162,增益!$A:$A,增益!$M:$M,0))&gt;0,($F$13-$I$4+VLOOKUP($R162,武学奇术!$A:$ZZ,13,FALSE)+SUM(_xlfn.XLOOKUP(S162:AL162,增益!$A:$A,增益!$K:$K,0)))/200,($F$13-$I$4+VLOOKUP($R162,武学奇术!$A:$ZZ,13,FALSE)+SUM(_xlfn.XLOOKUP(S162:AL162,增益!$A:$A,增益!$M:$M,0)))/100)</f>
        <v>-0.3</v>
      </c>
      <c r="BJ162" s="29" cm="1">
        <f t="array" ref="BJ162">$G$13+VLOOKUP($R162,武学奇术!$A:$ZZ,14,FALSE)+SUM(_xlfn.XLOOKUP(S162:AL162,增益!$A:$A,增益!$N:$N,0))</f>
        <v>0</v>
      </c>
      <c r="BK162">
        <f t="shared" si="30"/>
        <v>618.2</v>
      </c>
      <c r="BL162">
        <f t="shared" si="31"/>
        <v>1805</v>
      </c>
      <c r="BM162" s="29" cm="1">
        <f t="array" ref="BM162">IF($F$14-$I$4+VLOOKUP($R162,武学奇术!$A:$ZZ,15,FALSE)+SUM(_xlfn.XLOOKUP(S162:AL162,增益!$A:$A,增益!$O:$O,0))&gt;0,($F$14-$I$4+VLOOKUP($R162,武学奇术!$A:$ZZ,15,FALSE)+SUM(_xlfn.XLOOKUP(S162:AL162,增益!$A:$A,增益!$O:$O,0)))/200,($F$14-$I$4+VLOOKUP($R162,武学奇术!$A:$ZZ,15,FALSE)+SUM(_xlfn.XLOOKUP(S162:AL162,增益!$A:$A,增益!$O:$O,0)))/100)</f>
        <v>0</v>
      </c>
      <c r="BN162" s="29" cm="1">
        <f t="array" ref="BN162">$G$14+VLOOKUP($R162,武学奇术!$A:$ZZ,16,FALSE)+SUM(_xlfn.XLOOKUP(S162:AL162,增益!$A:$A,增益!$P:$P,0))</f>
        <v>0.15</v>
      </c>
      <c r="BO162" s="23">
        <f>MIN(IF(VLOOKUP($R162,武学奇术!$A:$ZZ,23,FALSE)=1,100%,$B$8),100%)</f>
        <v>0.9943</v>
      </c>
      <c r="BP162" s="23" cm="1">
        <f t="array" ref="BP162">IF(VLOOKUP($R162,武学奇术!$A:$ZZ,23,FALSE)=1,100%,MIN(80%,$B$9+VLOOKUP($R162,武学奇术!$A:$ZZ,17,FALSE)+SUM(_xlfn.XLOOKUP(S162:AL162,增益!$A:$A,增益!$Q:$Q,0)))+$B$11+SUM(_xlfn.XLOOKUP(S162:AL162,增益!$A:$A,增益!$U:$U,0)))*IF(VLOOKUP($R162,武学奇术!$A:$ZZ,24,FALSE)=1,0,1)</f>
        <v>0.887</v>
      </c>
      <c r="BQ162" s="23" cm="1">
        <f t="array" ref="BQ162">1+$B$13+VLOOKUP($R162,武学奇术!$A:$ZZ,18,FALSE)+SUM(_xlfn.XLOOKUP(S162:AL162,增益!$A:$A,增益!$R:$R,0))</f>
        <v>2.394</v>
      </c>
      <c r="BR162" s="23" cm="1">
        <f t="array" ref="BR162">IF(VLOOKUP($R162,武学奇术!$A:$ZZ,24,FALSE)=1,100%,MIN(40%,$B$10+VLOOKUP($R162,武学奇术!$A:$ZZ,19,FALSE)+SUM(_xlfn.XLOOKUP(S162:AL162,增益!$A:$A,增益!$S:$S,0)))+$B$12+SUM(_xlfn.XLOOKUP(S162:AL162,增益!$A:$A,增益!$V:$V,0)))*IF(VLOOKUP($R162,武学奇术!$A:$ZZ,23,FALSE)=1,0,1)</f>
        <v>0.0913</v>
      </c>
      <c r="BS162" s="23" cm="1">
        <f t="array" ref="BS162">1+$B$14+VLOOKUP($R162,武学奇术!$A:$ZZ,20,FALSE)+SUM(_xlfn.XLOOKUP(S162:AL162,增益!$A:$A,增益!$T:$T,0))</f>
        <v>1.35</v>
      </c>
      <c r="BT162" s="23">
        <f t="shared" si="32"/>
        <v>0.8819441</v>
      </c>
      <c r="BU162" s="23">
        <f t="shared" si="33"/>
        <v>0.0215763099999999</v>
      </c>
      <c r="BV162" s="23">
        <f>IF(VLOOKUP($R162,武学奇术!$A:$ZZ,22,FALSE)=1,0,(1-$BO162))*(1-$BR162)</f>
        <v>0.00517959000000003</v>
      </c>
      <c r="BW162" s="23" cm="1">
        <f t="array" ref="BW162">SUM(_xlfn.XLOOKUP(S162:AL162,增益!$A:$A,增益!$W:$W,0))+$I$5</f>
        <v>0.11</v>
      </c>
      <c r="BX162" s="23">
        <f>VLOOKUP($R162,武学奇术!$A:$ZZ,32,FALSE)</f>
        <v>0</v>
      </c>
      <c r="BY162" s="23" cm="1">
        <f t="array" ref="BY162">SUM(_xlfn.XLOOKUP($S162:$AL162,增益!$A:$A,增益!$X:$X,0))</f>
        <v>0</v>
      </c>
    </row>
    <row r="163" spans="11:77">
      <c r="K163" s="35">
        <f>$L163*VLOOKUP($R163,武学奇术!$A:$ZZ,31,FALSE)</f>
        <v>31869.8210944889</v>
      </c>
      <c r="L163" s="35">
        <f t="shared" si="34"/>
        <v>28455.1974057936</v>
      </c>
      <c r="M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轻击",$B$21,0))*(1+IF(VLOOKUP($R163,武学奇术!$A:$ZZ,30,FALSE)="老鼠",$B$22,0))*(1+$BW163)*(1+$BX163)</f>
        <v>29934.6385101434</v>
      </c>
      <c r="N163" s="35">
        <f>(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轻击",$B$21,0))*(1+IF(VLOOKUP($R163,武学奇术!$A:$ZZ,30,FALSE)="老鼠",$B$22,0))*(1+$BW163))*(1+$BX163)</f>
        <v>18924.4862259147</v>
      </c>
      <c r="O163" s="35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轻击",$B$21,0))*(1+IF(VLOOKUP($R163,武学奇术!$A:$ZZ,30,FALSE)="老鼠",$B$22,0))*(1+$BW163)*(1+$BX163)</f>
        <v>12504.026111171</v>
      </c>
      <c r="P163" s="35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轻击",$B$21,0))*(1+IF(VLOOKUP($R163,武学奇术!$A:$ZZ,30,FALSE)="老鼠",$B$22,0))*(1+$BW163)*(1+$BX163)</f>
        <v>10989.9142772201</v>
      </c>
      <c r="Q163" s="36">
        <v>1</v>
      </c>
      <c r="R163" s="37" t="s">
        <v>139</v>
      </c>
      <c r="S163" s="37" t="s">
        <v>91</v>
      </c>
      <c r="T163" s="37" t="s">
        <v>185</v>
      </c>
      <c r="U163" s="37" t="s">
        <v>112</v>
      </c>
      <c r="V163" s="37" t="s">
        <v>113</v>
      </c>
      <c r="W163" s="37" t="s">
        <v>82</v>
      </c>
      <c r="X163" s="37" t="s">
        <v>81</v>
      </c>
      <c r="Y163" s="37" t="s">
        <v>109</v>
      </c>
      <c r="Z163" s="37" t="s">
        <v>83</v>
      </c>
      <c r="AA163" s="37" t="s">
        <v>81</v>
      </c>
      <c r="AB163" s="37" t="s">
        <v>81</v>
      </c>
      <c r="AC163" s="37" t="s">
        <v>81</v>
      </c>
      <c r="AD163" s="37" t="s">
        <v>85</v>
      </c>
      <c r="AE163" s="37" t="s">
        <v>86</v>
      </c>
      <c r="AF163" s="37" t="s">
        <v>81</v>
      </c>
      <c r="AG163" s="37" t="s">
        <v>87</v>
      </c>
      <c r="AH163" s="37" t="s">
        <v>81</v>
      </c>
      <c r="AI163" s="37" t="s">
        <v>81</v>
      </c>
      <c r="AJ163" s="37" t="s">
        <v>81</v>
      </c>
      <c r="AK163" s="37" t="s">
        <v>81</v>
      </c>
      <c r="AL163" s="37" t="s">
        <v>81</v>
      </c>
      <c r="AM163" t="str">
        <f>VLOOKUP($R163,武学奇术!$A:$ZZ,25,FALSE)</f>
        <v>双刀</v>
      </c>
      <c r="AN163" s="23">
        <f>VLOOKUP($R163,武学奇术!$A:$ZZ,26,FALSE)</f>
        <v>0.6472</v>
      </c>
      <c r="AO163" s="24">
        <f>VLOOKUP($R163,武学奇术!$A:$ZZ,27,FALSE)*(1+IF(OR($AM163=$F$4,$AM163=$F$5),$B$23,0))</f>
        <v>288</v>
      </c>
      <c r="AP163" s="23">
        <f>VLOOKUP($R163,武学奇术!$A:$ZZ,28,FALSE)</f>
        <v>0.9708</v>
      </c>
      <c r="AQ163" s="24">
        <f>VLOOKUP($R163,武学奇术!$A:$ZZ,29,FALSE)*(1+IF(OR($AM163=$F$4,$AM163=$F$5),$B$23,0))</f>
        <v>156.8</v>
      </c>
      <c r="AR163" s="23" cm="1">
        <f t="array" ref="AR163">$G$3+IFERROR(VLOOKUP($AM163,$F$4:$G$7,2,FALSE),0)+VLOOKUP($R163,武学奇术!$A:$ZZ,2,FALSE)+SUM(_xlfn.XLOOKUP($S163:$AL163,增益!$A:$A,增益!$B:$B,0))</f>
        <v>0.6943</v>
      </c>
      <c r="AS163" s="23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4081.7</v>
      </c>
      <c r="AU163" cm="1">
        <f t="array" ref="AU163">$E$10*(1+$AS163)+VLOOKUP($R163,武学奇术!$A:$ZZ,4,FALSE)+SUM(_xlfn.XLOOKUP($S163:$AL163,增益!$A:$A,增益!$D:$D,0))-$I$2</f>
        <v>4081.7</v>
      </c>
      <c r="AV163" s="29" cm="1">
        <f t="array" ref="AV163">IF($F$10-$I$3+VLOOKUP($R163,武学奇术!$A:$ZZ,6,FALSE)+SUM(_xlfn.XLOOKUP(S163:AL163,增益!$A:$A,增益!$F:$F,0))&gt;0,($F$10-$I$3+VLOOKUP($R163,武学奇术!$A:$ZZ,6,FALSE)+SUM(_xlfn.XLOOKUP(S163:AL163,增益!$A:$A,增益!$F:$F,0)))/200,($F$10-$I$3+VLOOKUP($R163,武学奇术!$A:$ZZ,6,FALSE)+SUM(_xlfn.XLOOKUP(S163:AL163,增益!$A:$A,增益!$F:$F,0)))/100)</f>
        <v>0.3689</v>
      </c>
      <c r="AW163" s="29" cm="1">
        <f t="array" ref="AW163">$G$10+VLOOKUP($R163,武学奇术!$A:$ZZ,7,FALSE)+SUM(_xlfn.XLOOKUP(S163:AL163,增益!$A:$A,增益!$G:$G,0))</f>
        <v>0.06</v>
      </c>
      <c r="AX163" s="23" cm="1">
        <f t="array" ref="AX163">VLOOKUP($R163,武学奇术!$A:$ZZ,8,FALSE)+SUM(_xlfn.XLOOKUP(S163:AL163,增益!$A:$A,增益!$H:$H,0))</f>
        <v>0</v>
      </c>
      <c r="AY163">
        <f t="shared" si="24"/>
        <v>0</v>
      </c>
      <c r="AZ163">
        <f t="shared" si="25"/>
        <v>0</v>
      </c>
      <c r="BA163" s="29" cm="1">
        <f t="array" ref="BA163">IF($F$11-$I$4+VLOOKUP($R163,武学奇术!$A:$ZZ,9,FALSE)+SUM(_xlfn.XLOOKUP(S163:AL163,增益!$A:$A,增益!$I:$I,0))&gt;0,($F$11-$I$4+VLOOKUP($R163,武学奇术!$A:$ZZ,9,FALSE)+SUM(_xlfn.XLOOKUP(S163:AL163,增益!$A:$A,增益!$I:$I,0)))/200,($F$11-$I$4+VLOOKUP($R163,武学奇术!$A:$ZZ,9,FALSE)+SUM(_xlfn.XLOOKUP(S163:AL163,增益!$A:$A,增益!$I:$I,0)))/100)</f>
        <v>-0.3</v>
      </c>
      <c r="BB163" s="29" cm="1">
        <f t="array" ref="BB163">$G$11+VLOOKUP($R163,武学奇术!$A:$ZZ,10,FALSE)+SUM(_xlfn.XLOOKUP(S163:AL163,增益!$A:$A,增益!$J:$J,0))</f>
        <v>0</v>
      </c>
      <c r="BC163">
        <f t="shared" si="26"/>
        <v>0</v>
      </c>
      <c r="BD163">
        <f t="shared" si="27"/>
        <v>0</v>
      </c>
      <c r="BE163" s="29" cm="1">
        <f t="array" ref="BE163">IF($F$12-$I$4+VLOOKUP($R163,武学奇术!$A:$ZZ,11,FALSE)+SUM(_xlfn.XLOOKUP(S163:AL163,增益!$A:$A,增益!$K:$K,0))&gt;0,($F$12-$I$4+VLOOKUP($R163,武学奇术!$A:$ZZ,11,FALSE)+SUM(_xlfn.XLOOKUP(S163:AL163,增益!$A:$A,增益!$K:$K,0)))/200,($F$12-$I$4+VLOOKUP($R163,武学奇术!$A:$ZZ,11,FALSE)+SUM(_xlfn.XLOOKUP(S163:AL163,增益!$A:$A,增益!$K:$K,0)))/100)</f>
        <v>-0.3</v>
      </c>
      <c r="BF163" s="29" cm="1">
        <f t="array" ref="BF163">$G$12+VLOOKUP($R163,武学奇术!$A:$ZZ,12,FALSE)+SUM(_xlfn.XLOOKUP(S163:AL163,增益!$A:$A,增益!$L:$L,0))</f>
        <v>0</v>
      </c>
      <c r="BG163">
        <f t="shared" si="28"/>
        <v>0</v>
      </c>
      <c r="BH163">
        <f t="shared" si="29"/>
        <v>0</v>
      </c>
      <c r="BI163" s="29" cm="1">
        <f t="array" ref="BI163">IF($F$13-$I$4+VLOOKUP($R163,武学奇术!$A:$ZZ,13,FALSE)+SUM(_xlfn.XLOOKUP(S163:AL163,增益!$A:$A,增益!$M:$M,0))&gt;0,($F$13-$I$4+VLOOKUP($R163,武学奇术!$A:$ZZ,13,FALSE)+SUM(_xlfn.XLOOKUP(S163:AL163,增益!$A:$A,增益!$K:$K,0)))/200,($F$13-$I$4+VLOOKUP($R163,武学奇术!$A:$ZZ,13,FALSE)+SUM(_xlfn.XLOOKUP(S163:AL163,增益!$A:$A,增益!$M:$M,0)))/100)</f>
        <v>-0.3</v>
      </c>
      <c r="BJ163" s="29" cm="1">
        <f t="array" ref="BJ163">$G$13+VLOOKUP($R163,武学奇术!$A:$ZZ,14,FALSE)+SUM(_xlfn.XLOOKUP(S163:AL163,增益!$A:$A,增益!$N:$N,0))</f>
        <v>0</v>
      </c>
      <c r="BK163">
        <f t="shared" si="30"/>
        <v>618.2</v>
      </c>
      <c r="BL163">
        <f t="shared" si="31"/>
        <v>1805</v>
      </c>
      <c r="BM163" s="29" cm="1">
        <f t="array" ref="BM163">IF($F$14-$I$4+VLOOKUP($R163,武学奇术!$A:$ZZ,15,FALSE)+SUM(_xlfn.XLOOKUP(S163:AL163,增益!$A:$A,增益!$O:$O,0))&gt;0,($F$14-$I$4+VLOOKUP($R163,武学奇术!$A:$ZZ,15,FALSE)+SUM(_xlfn.XLOOKUP(S163:AL163,增益!$A:$A,增益!$O:$O,0)))/200,($F$14-$I$4+VLOOKUP($R163,武学奇术!$A:$ZZ,15,FALSE)+SUM(_xlfn.XLOOKUP(S163:AL163,增益!$A:$A,增益!$O:$O,0)))/100)</f>
        <v>0.05</v>
      </c>
      <c r="BN163" s="29" cm="1">
        <f t="array" ref="BN163">$G$14+VLOOKUP($R163,武学奇术!$A:$ZZ,16,FALSE)+SUM(_xlfn.XLOOKUP(S163:AL163,增益!$A:$A,增益!$P:$P,0))</f>
        <v>0.21</v>
      </c>
      <c r="BO163" s="23">
        <f>MIN(IF(VLOOKUP($R163,武学奇术!$A:$ZZ,23,FALSE)=1,100%,$B$8),100%)</f>
        <v>0.9943</v>
      </c>
      <c r="BP163" s="23" cm="1">
        <f t="array" ref="BP163">IF(VLOOKUP($R163,武学奇术!$A:$ZZ,23,FALSE)=1,100%,MIN(80%,$B$9+VLOOKUP($R163,武学奇术!$A:$ZZ,17,FALSE)+SUM(_xlfn.XLOOKUP(S163:AL163,增益!$A:$A,增益!$Q:$Q,0)))+$B$11+SUM(_xlfn.XLOOKUP(S163:AL163,增益!$A:$A,增益!$U:$U,0)))*IF(VLOOKUP($R163,武学奇术!$A:$ZZ,24,FALSE)=1,0,1)</f>
        <v>0.887</v>
      </c>
      <c r="BQ163" s="23" cm="1">
        <f t="array" ref="BQ163">1+$B$13+VLOOKUP($R163,武学奇术!$A:$ZZ,18,FALSE)+SUM(_xlfn.XLOOKUP(S163:AL163,增益!$A:$A,增益!$R:$R,0))</f>
        <v>2.394</v>
      </c>
      <c r="BR163" s="23" cm="1">
        <f t="array" ref="BR163">IF(VLOOKUP($R163,武学奇术!$A:$ZZ,24,FALSE)=1,100%,MIN(40%,$B$10+VLOOKUP($R163,武学奇术!$A:$ZZ,19,FALSE)+SUM(_xlfn.XLOOKUP(S163:AL163,增益!$A:$A,增益!$S:$S,0)))+$B$12+SUM(_xlfn.XLOOKUP(S163:AL163,增益!$A:$A,增益!$V:$V,0)))*IF(VLOOKUP($R163,武学奇术!$A:$ZZ,23,FALSE)=1,0,1)</f>
        <v>0.0913</v>
      </c>
      <c r="BS163" s="23" cm="1">
        <f t="array" ref="BS163">1+$B$14+VLOOKUP($R163,武学奇术!$A:$ZZ,20,FALSE)+SUM(_xlfn.XLOOKUP(S163:AL163,增益!$A:$A,增益!$T:$T,0))</f>
        <v>1.35</v>
      </c>
      <c r="BT163" s="23">
        <f t="shared" si="32"/>
        <v>0.8819441</v>
      </c>
      <c r="BU163" s="23">
        <f t="shared" si="33"/>
        <v>0.0215763099999999</v>
      </c>
      <c r="BV163" s="23">
        <f>IF(VLOOKUP($R163,武学奇术!$A:$ZZ,22,FALSE)=1,0,(1-$BO163))*(1-$BR163)</f>
        <v>0.00517959000000003</v>
      </c>
      <c r="BW163" s="23" cm="1">
        <f t="array" ref="BW163">SUM(_xlfn.XLOOKUP(S163:AL163,增益!$A:$A,增益!$W:$W,0))+$I$5</f>
        <v>0.11</v>
      </c>
      <c r="BX163" s="23">
        <f>VLOOKUP($R163,武学奇术!$A:$ZZ,32,FALSE)</f>
        <v>0.1</v>
      </c>
      <c r="BY163" s="23" cm="1">
        <f t="array" ref="BY163">SUM(_xlfn.XLOOKUP($S163:$AL163,增益!$A:$A,增益!$X:$X,0))</f>
        <v>0</v>
      </c>
    </row>
    <row r="164" spans="11:77">
      <c r="K164" s="35">
        <f>$L164*VLOOKUP($R164,武学奇术!$A:$ZZ,31,FALSE)</f>
        <v>44362.2603505392</v>
      </c>
      <c r="L164" s="35">
        <f t="shared" si="34"/>
        <v>39609.1610272671</v>
      </c>
      <c r="M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轻击",$B$21,0))*(1+IF(VLOOKUP($R164,武学奇术!$A:$ZZ,30,FALSE)="老鼠",$B$22,0))*(1+$BW164)*(1+$BX164)</f>
        <v>41668.4282331196</v>
      </c>
      <c r="N164" s="35">
        <f>(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轻击",$B$21,0))*(1+IF(VLOOKUP($R164,武学奇术!$A:$ZZ,30,FALSE)="老鼠",$B$22,0))*(1+$BW164))*(1+$BX164)</f>
        <v>26343.492834125</v>
      </c>
      <c r="O164" s="35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轻击",$B$21,0))*(1+IF(VLOOKUP($R164,武学奇术!$A:$ZZ,30,FALSE)="老鼠",$B$22,0))*(1+$BW164)*(1+$BX164)</f>
        <v>17405.3584933666</v>
      </c>
      <c r="P164" s="35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轻击",$B$21,0))*(1+IF(VLOOKUP($R164,武学奇术!$A:$ZZ,30,FALSE)="老鼠",$B$22,0))*(1+$BW164)*(1+$BX164)</f>
        <v>15297.0185910851</v>
      </c>
      <c r="Q164" s="36">
        <v>1</v>
      </c>
      <c r="R164" s="37" t="s">
        <v>143</v>
      </c>
      <c r="S164" s="37" t="s">
        <v>91</v>
      </c>
      <c r="T164" s="37" t="s">
        <v>185</v>
      </c>
      <c r="U164" s="37" t="s">
        <v>112</v>
      </c>
      <c r="V164" s="37" t="s">
        <v>113</v>
      </c>
      <c r="W164" s="37" t="s">
        <v>82</v>
      </c>
      <c r="X164" s="37" t="s">
        <v>81</v>
      </c>
      <c r="Y164" s="37" t="s">
        <v>109</v>
      </c>
      <c r="Z164" s="37" t="s">
        <v>83</v>
      </c>
      <c r="AA164" s="37" t="s">
        <v>81</v>
      </c>
      <c r="AB164" s="37" t="s">
        <v>81</v>
      </c>
      <c r="AC164" s="37" t="s">
        <v>81</v>
      </c>
      <c r="AD164" s="37" t="s">
        <v>85</v>
      </c>
      <c r="AE164" s="37" t="s">
        <v>86</v>
      </c>
      <c r="AF164" s="37" t="s">
        <v>81</v>
      </c>
      <c r="AG164" s="37" t="s">
        <v>87</v>
      </c>
      <c r="AH164" s="37" t="s">
        <v>81</v>
      </c>
      <c r="AI164" s="37" t="s">
        <v>81</v>
      </c>
      <c r="AJ164" s="37" t="s">
        <v>81</v>
      </c>
      <c r="AK164" s="37" t="s">
        <v>81</v>
      </c>
      <c r="AL164" s="37" t="s">
        <v>81</v>
      </c>
      <c r="AM164" t="str">
        <f>VLOOKUP($R164,武学奇术!$A:$ZZ,25,FALSE)</f>
        <v>双刀</v>
      </c>
      <c r="AN164" s="23">
        <f>VLOOKUP($R164,武学奇术!$A:$ZZ,26,FALSE)</f>
        <v>0.9012</v>
      </c>
      <c r="AO164" s="24">
        <f>VLOOKUP($R164,武学奇术!$A:$ZZ,27,FALSE)*(1+IF(OR($AM164=$F$4,$AM164=$F$5),$B$23,0))</f>
        <v>400</v>
      </c>
      <c r="AP164" s="23">
        <f>VLOOKUP($R164,武学奇术!$A:$ZZ,28,FALSE)</f>
        <v>1.3518</v>
      </c>
      <c r="AQ164" s="24">
        <f>VLOOKUP($R164,武学奇术!$A:$ZZ,29,FALSE)*(1+IF(OR($AM164=$F$4,$AM164=$F$5),$B$23,0))</f>
        <v>217.6</v>
      </c>
      <c r="AR164" s="23" cm="1">
        <f t="array" ref="AR164">$G$3+IFERROR(VLOOKUP($AM164,$F$4:$G$7,2,FALSE),0)+VLOOKUP($R164,武学奇术!$A:$ZZ,2,FALSE)+SUM(_xlfn.XLOOKUP($S164:$AL164,增益!$A:$A,增益!$B:$B,0))</f>
        <v>0.6943</v>
      </c>
      <c r="AS164" s="23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4081.7</v>
      </c>
      <c r="AU164" cm="1">
        <f t="array" ref="AU164">$E$10*(1+$AS164)+VLOOKUP($R164,武学奇术!$A:$ZZ,4,FALSE)+SUM(_xlfn.XLOOKUP($S164:$AL164,增益!$A:$A,增益!$D:$D,0))-$I$2</f>
        <v>4081.7</v>
      </c>
      <c r="AV164" s="29" cm="1">
        <f t="array" ref="AV164">IF($F$10-$I$3+VLOOKUP($R164,武学奇术!$A:$ZZ,6,FALSE)+SUM(_xlfn.XLOOKUP(S164:AL164,增益!$A:$A,增益!$F:$F,0))&gt;0,($F$10-$I$3+VLOOKUP($R164,武学奇术!$A:$ZZ,6,FALSE)+SUM(_xlfn.XLOOKUP(S164:AL164,增益!$A:$A,增益!$F:$F,0)))/200,($F$10-$I$3+VLOOKUP($R164,武学奇术!$A:$ZZ,6,FALSE)+SUM(_xlfn.XLOOKUP(S164:AL164,增益!$A:$A,增益!$F:$F,0)))/100)</f>
        <v>0.3689</v>
      </c>
      <c r="AW164" s="29" cm="1">
        <f t="array" ref="AW164">$G$10+VLOOKUP($R164,武学奇术!$A:$ZZ,7,FALSE)+SUM(_xlfn.XLOOKUP(S164:AL164,增益!$A:$A,增益!$G:$G,0))</f>
        <v>0.06</v>
      </c>
      <c r="AX164" s="23" cm="1">
        <f t="array" ref="AX164">VLOOKUP($R164,武学奇术!$A:$ZZ,8,FALSE)+SUM(_xlfn.XLOOKUP(S164:AL164,增益!$A:$A,增益!$H:$H,0))</f>
        <v>0</v>
      </c>
      <c r="AY164">
        <f t="shared" si="24"/>
        <v>0</v>
      </c>
      <c r="AZ164">
        <f t="shared" si="25"/>
        <v>0</v>
      </c>
      <c r="BA164" s="29" cm="1">
        <f t="array" ref="BA164">IF($F$11-$I$4+VLOOKUP($R164,武学奇术!$A:$ZZ,9,FALSE)+SUM(_xlfn.XLOOKUP(S164:AL164,增益!$A:$A,增益!$I:$I,0))&gt;0,($F$11-$I$4+VLOOKUP($R164,武学奇术!$A:$ZZ,9,FALSE)+SUM(_xlfn.XLOOKUP(S164:AL164,增益!$A:$A,增益!$I:$I,0)))/200,($F$11-$I$4+VLOOKUP($R164,武学奇术!$A:$ZZ,9,FALSE)+SUM(_xlfn.XLOOKUP(S164:AL164,增益!$A:$A,增益!$I:$I,0)))/100)</f>
        <v>-0.3</v>
      </c>
      <c r="BB164" s="29" cm="1">
        <f t="array" ref="BB164">$G$11+VLOOKUP($R164,武学奇术!$A:$ZZ,10,FALSE)+SUM(_xlfn.XLOOKUP(S164:AL164,增益!$A:$A,增益!$J:$J,0))</f>
        <v>0</v>
      </c>
      <c r="BC164">
        <f t="shared" si="26"/>
        <v>0</v>
      </c>
      <c r="BD164">
        <f t="shared" si="27"/>
        <v>0</v>
      </c>
      <c r="BE164" s="29" cm="1">
        <f t="array" ref="BE164">IF($F$12-$I$4+VLOOKUP($R164,武学奇术!$A:$ZZ,11,FALSE)+SUM(_xlfn.XLOOKUP(S164:AL164,增益!$A:$A,增益!$K:$K,0))&gt;0,($F$12-$I$4+VLOOKUP($R164,武学奇术!$A:$ZZ,11,FALSE)+SUM(_xlfn.XLOOKUP(S164:AL164,增益!$A:$A,增益!$K:$K,0)))/200,($F$12-$I$4+VLOOKUP($R164,武学奇术!$A:$ZZ,11,FALSE)+SUM(_xlfn.XLOOKUP(S164:AL164,增益!$A:$A,增益!$K:$K,0)))/100)</f>
        <v>-0.3</v>
      </c>
      <c r="BF164" s="29" cm="1">
        <f t="array" ref="BF164">$G$12+VLOOKUP($R164,武学奇术!$A:$ZZ,12,FALSE)+SUM(_xlfn.XLOOKUP(S164:AL164,增益!$A:$A,增益!$L:$L,0))</f>
        <v>0</v>
      </c>
      <c r="BG164">
        <f t="shared" si="28"/>
        <v>0</v>
      </c>
      <c r="BH164">
        <f t="shared" si="29"/>
        <v>0</v>
      </c>
      <c r="BI164" s="29" cm="1">
        <f t="array" ref="BI164">IF($F$13-$I$4+VLOOKUP($R164,武学奇术!$A:$ZZ,13,FALSE)+SUM(_xlfn.XLOOKUP(S164:AL164,增益!$A:$A,增益!$M:$M,0))&gt;0,($F$13-$I$4+VLOOKUP($R164,武学奇术!$A:$ZZ,13,FALSE)+SUM(_xlfn.XLOOKUP(S164:AL164,增益!$A:$A,增益!$K:$K,0)))/200,($F$13-$I$4+VLOOKUP($R164,武学奇术!$A:$ZZ,13,FALSE)+SUM(_xlfn.XLOOKUP(S164:AL164,增益!$A:$A,增益!$M:$M,0)))/100)</f>
        <v>-0.3</v>
      </c>
      <c r="BJ164" s="29" cm="1">
        <f t="array" ref="BJ164">$G$13+VLOOKUP($R164,武学奇术!$A:$ZZ,14,FALSE)+SUM(_xlfn.XLOOKUP(S164:AL164,增益!$A:$A,增益!$N:$N,0))</f>
        <v>0</v>
      </c>
      <c r="BK164">
        <f t="shared" si="30"/>
        <v>618.2</v>
      </c>
      <c r="BL164">
        <f t="shared" si="31"/>
        <v>1805</v>
      </c>
      <c r="BM164" s="29" cm="1">
        <f t="array" ref="BM164">IF($F$14-$I$4+VLOOKUP($R164,武学奇术!$A:$ZZ,15,FALSE)+SUM(_xlfn.XLOOKUP(S164:AL164,增益!$A:$A,增益!$O:$O,0))&gt;0,($F$14-$I$4+VLOOKUP($R164,武学奇术!$A:$ZZ,15,FALSE)+SUM(_xlfn.XLOOKUP(S164:AL164,增益!$A:$A,增益!$O:$O,0)))/200,($F$14-$I$4+VLOOKUP($R164,武学奇术!$A:$ZZ,15,FALSE)+SUM(_xlfn.XLOOKUP(S164:AL164,增益!$A:$A,增益!$O:$O,0)))/100)</f>
        <v>0.05</v>
      </c>
      <c r="BN164" s="29" cm="1">
        <f t="array" ref="BN164">$G$14+VLOOKUP($R164,武学奇术!$A:$ZZ,16,FALSE)+SUM(_xlfn.XLOOKUP(S164:AL164,增益!$A:$A,增益!$P:$P,0))</f>
        <v>0.21</v>
      </c>
      <c r="BO164" s="23">
        <f>MIN(IF(VLOOKUP($R164,武学奇术!$A:$ZZ,23,FALSE)=1,100%,$B$8),100%)</f>
        <v>0.9943</v>
      </c>
      <c r="BP164" s="23" cm="1">
        <f t="array" ref="BP164">IF(VLOOKUP($R164,武学奇术!$A:$ZZ,23,FALSE)=1,100%,MIN(80%,$B$9+VLOOKUP($R164,武学奇术!$A:$ZZ,17,FALSE)+SUM(_xlfn.XLOOKUP(S164:AL164,增益!$A:$A,增益!$Q:$Q,0)))+$B$11+SUM(_xlfn.XLOOKUP(S164:AL164,增益!$A:$A,增益!$U:$U,0)))*IF(VLOOKUP($R164,武学奇术!$A:$ZZ,24,FALSE)=1,0,1)</f>
        <v>0.887</v>
      </c>
      <c r="BQ164" s="23" cm="1">
        <f t="array" ref="BQ164">1+$B$13+VLOOKUP($R164,武学奇术!$A:$ZZ,18,FALSE)+SUM(_xlfn.XLOOKUP(S164:AL164,增益!$A:$A,增益!$R:$R,0))</f>
        <v>2.394</v>
      </c>
      <c r="BR164" s="23" cm="1">
        <f t="array" ref="BR164">IF(VLOOKUP($R164,武学奇术!$A:$ZZ,24,FALSE)=1,100%,MIN(40%,$B$10+VLOOKUP($R164,武学奇术!$A:$ZZ,19,FALSE)+SUM(_xlfn.XLOOKUP(S164:AL164,增益!$A:$A,增益!$S:$S,0)))+$B$12+SUM(_xlfn.XLOOKUP(S164:AL164,增益!$A:$A,增益!$V:$V,0)))*IF(VLOOKUP($R164,武学奇术!$A:$ZZ,23,FALSE)=1,0,1)</f>
        <v>0.0913</v>
      </c>
      <c r="BS164" s="23" cm="1">
        <f t="array" ref="BS164">1+$B$14+VLOOKUP($R164,武学奇术!$A:$ZZ,20,FALSE)+SUM(_xlfn.XLOOKUP(S164:AL164,增益!$A:$A,增益!$T:$T,0))</f>
        <v>1.35</v>
      </c>
      <c r="BT164" s="23">
        <f t="shared" si="32"/>
        <v>0.8819441</v>
      </c>
      <c r="BU164" s="23">
        <f t="shared" si="33"/>
        <v>0.0215763099999999</v>
      </c>
      <c r="BV164" s="23">
        <f>IF(VLOOKUP($R164,武学奇术!$A:$ZZ,22,FALSE)=1,0,(1-$BO164))*(1-$BR164)</f>
        <v>0.00517959000000003</v>
      </c>
      <c r="BW164" s="23" cm="1">
        <f t="array" ref="BW164">SUM(_xlfn.XLOOKUP(S164:AL164,增益!$A:$A,增益!$W:$W,0))+$I$5</f>
        <v>0.11</v>
      </c>
      <c r="BX164" s="23">
        <f>VLOOKUP($R164,武学奇术!$A:$ZZ,32,FALSE)</f>
        <v>0.1</v>
      </c>
      <c r="BY164" s="23" cm="1">
        <f t="array" ref="BY164">SUM(_xlfn.XLOOKUP($S164:$AL164,增益!$A:$A,增益!$X:$X,0))</f>
        <v>0</v>
      </c>
    </row>
    <row r="165" spans="11:77">
      <c r="K165" s="35">
        <f>$L165*VLOOKUP($R165,武学奇术!$A:$ZZ,31,FALSE)</f>
        <v>71154.101243497</v>
      </c>
      <c r="L165" s="35">
        <f t="shared" si="34"/>
        <v>63530.4475388366</v>
      </c>
      <c r="M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轻击",$B$21,0))*(1+IF(VLOOKUP($R165,武学奇术!$A:$ZZ,30,FALSE)="老鼠",$B$22,0))*(1+$BW165)*(1+$BX165)</f>
        <v>66833.3544276796</v>
      </c>
      <c r="N165" s="35">
        <f>(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轻击",$B$21,0))*(1+IF(VLOOKUP($R165,武学奇术!$A:$ZZ,30,FALSE)="老鼠",$B$22,0))*(1+$BW165))*(1+$BX165)</f>
        <v>42253.4079953368</v>
      </c>
      <c r="O165" s="35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轻击",$B$21,0))*(1+IF(VLOOKUP($R165,武学奇术!$A:$ZZ,30,FALSE)="老鼠",$B$22,0))*(1+$BW165)*(1+$BX165)</f>
        <v>27917.0235704593</v>
      </c>
      <c r="P165" s="35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轻击",$B$21,0))*(1+IF(VLOOKUP($R165,武学奇术!$A:$ZZ,30,FALSE)="老鼠",$B$22,0))*(1+$BW165)*(1+$BX165)</f>
        <v>24535.2264036321</v>
      </c>
      <c r="Q165" s="36">
        <v>1</v>
      </c>
      <c r="R165" s="37" t="s">
        <v>148</v>
      </c>
      <c r="S165" s="37" t="s">
        <v>91</v>
      </c>
      <c r="T165" s="37" t="s">
        <v>185</v>
      </c>
      <c r="U165" s="37" t="s">
        <v>112</v>
      </c>
      <c r="V165" s="37" t="s">
        <v>113</v>
      </c>
      <c r="W165" s="37" t="s">
        <v>82</v>
      </c>
      <c r="X165" s="37" t="s">
        <v>81</v>
      </c>
      <c r="Y165" s="37" t="s">
        <v>109</v>
      </c>
      <c r="Z165" s="37" t="s">
        <v>83</v>
      </c>
      <c r="AA165" s="37" t="s">
        <v>81</v>
      </c>
      <c r="AB165" s="37" t="s">
        <v>81</v>
      </c>
      <c r="AC165" s="37" t="s">
        <v>81</v>
      </c>
      <c r="AD165" s="37" t="s">
        <v>85</v>
      </c>
      <c r="AE165" s="37" t="s">
        <v>86</v>
      </c>
      <c r="AF165" s="37" t="s">
        <v>81</v>
      </c>
      <c r="AG165" s="37" t="s">
        <v>87</v>
      </c>
      <c r="AH165" s="37" t="s">
        <v>81</v>
      </c>
      <c r="AI165" s="37" t="s">
        <v>81</v>
      </c>
      <c r="AJ165" s="37" t="s">
        <v>81</v>
      </c>
      <c r="AK165" s="37" t="s">
        <v>81</v>
      </c>
      <c r="AL165" s="37" t="s">
        <v>81</v>
      </c>
      <c r="AM165" t="str">
        <f>VLOOKUP($R165,武学奇术!$A:$ZZ,25,FALSE)</f>
        <v>双刀</v>
      </c>
      <c r="AN165" s="23">
        <f>VLOOKUP($R165,武学奇术!$A:$ZZ,26,FALSE)</f>
        <v>1.4455</v>
      </c>
      <c r="AO165" s="24">
        <f>VLOOKUP($R165,武学奇术!$A:$ZZ,27,FALSE)*(1+IF(OR($AM165=$F$4,$AM165=$F$5),$B$23,0))</f>
        <v>641.6</v>
      </c>
      <c r="AP165" s="23">
        <f>VLOOKUP($R165,武学奇术!$A:$ZZ,28,FALSE)</f>
        <v>2.1683</v>
      </c>
      <c r="AQ165" s="24">
        <f>VLOOKUP($R165,武学奇术!$A:$ZZ,29,FALSE)*(1+IF(OR($AM165=$F$4,$AM165=$F$5),$B$23,0))</f>
        <v>348.8</v>
      </c>
      <c r="AR165" s="23" cm="1">
        <f t="array" ref="AR165">$G$3+IFERROR(VLOOKUP($AM165,$F$4:$G$7,2,FALSE),0)+VLOOKUP($R165,武学奇术!$A:$ZZ,2,FALSE)+SUM(_xlfn.XLOOKUP($S165:$AL165,增益!$A:$A,增益!$B:$B,0))</f>
        <v>0.6943</v>
      </c>
      <c r="AS165" s="23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4081.7</v>
      </c>
      <c r="AU165" cm="1">
        <f t="array" ref="AU165">$E$10*(1+$AS165)+VLOOKUP($R165,武学奇术!$A:$ZZ,4,FALSE)+SUM(_xlfn.XLOOKUP($S165:$AL165,增益!$A:$A,增益!$D:$D,0))-$I$2</f>
        <v>4081.7</v>
      </c>
      <c r="AV165" s="29" cm="1">
        <f t="array" ref="AV165">IF($F$10-$I$3+VLOOKUP($R165,武学奇术!$A:$ZZ,6,FALSE)+SUM(_xlfn.XLOOKUP(S165:AL165,增益!$A:$A,增益!$F:$F,0))&gt;0,($F$10-$I$3+VLOOKUP($R165,武学奇术!$A:$ZZ,6,FALSE)+SUM(_xlfn.XLOOKUP(S165:AL165,增益!$A:$A,增益!$F:$F,0)))/200,($F$10-$I$3+VLOOKUP($R165,武学奇术!$A:$ZZ,6,FALSE)+SUM(_xlfn.XLOOKUP(S165:AL165,增益!$A:$A,增益!$F:$F,0)))/100)</f>
        <v>0.3689</v>
      </c>
      <c r="AW165" s="29" cm="1">
        <f t="array" ref="AW165">$G$10+VLOOKUP($R165,武学奇术!$A:$ZZ,7,FALSE)+SUM(_xlfn.XLOOKUP(S165:AL165,增益!$A:$A,增益!$G:$G,0))</f>
        <v>0.06</v>
      </c>
      <c r="AX165" s="23" cm="1">
        <f t="array" ref="AX165">VLOOKUP($R165,武学奇术!$A:$ZZ,8,FALSE)+SUM(_xlfn.XLOOKUP(S165:AL165,增益!$A:$A,增益!$H:$H,0))</f>
        <v>0</v>
      </c>
      <c r="AY165">
        <f t="shared" si="24"/>
        <v>0</v>
      </c>
      <c r="AZ165">
        <f t="shared" si="25"/>
        <v>0</v>
      </c>
      <c r="BA165" s="29" cm="1">
        <f t="array" ref="BA165">IF($F$11-$I$4+VLOOKUP($R165,武学奇术!$A:$ZZ,9,FALSE)+SUM(_xlfn.XLOOKUP(S165:AL165,增益!$A:$A,增益!$I:$I,0))&gt;0,($F$11-$I$4+VLOOKUP($R165,武学奇术!$A:$ZZ,9,FALSE)+SUM(_xlfn.XLOOKUP(S165:AL165,增益!$A:$A,增益!$I:$I,0)))/200,($F$11-$I$4+VLOOKUP($R165,武学奇术!$A:$ZZ,9,FALSE)+SUM(_xlfn.XLOOKUP(S165:AL165,增益!$A:$A,增益!$I:$I,0)))/100)</f>
        <v>-0.3</v>
      </c>
      <c r="BB165" s="29" cm="1">
        <f t="array" ref="BB165">$G$11+VLOOKUP($R165,武学奇术!$A:$ZZ,10,FALSE)+SUM(_xlfn.XLOOKUP(S165:AL165,增益!$A:$A,增益!$J:$J,0))</f>
        <v>0</v>
      </c>
      <c r="BC165">
        <f t="shared" si="26"/>
        <v>0</v>
      </c>
      <c r="BD165">
        <f t="shared" si="27"/>
        <v>0</v>
      </c>
      <c r="BE165" s="29" cm="1">
        <f t="array" ref="BE165">IF($F$12-$I$4+VLOOKUP($R165,武学奇术!$A:$ZZ,11,FALSE)+SUM(_xlfn.XLOOKUP(S165:AL165,增益!$A:$A,增益!$K:$K,0))&gt;0,($F$12-$I$4+VLOOKUP($R165,武学奇术!$A:$ZZ,11,FALSE)+SUM(_xlfn.XLOOKUP(S165:AL165,增益!$A:$A,增益!$K:$K,0)))/200,($F$12-$I$4+VLOOKUP($R165,武学奇术!$A:$ZZ,11,FALSE)+SUM(_xlfn.XLOOKUP(S165:AL165,增益!$A:$A,增益!$K:$K,0)))/100)</f>
        <v>-0.3</v>
      </c>
      <c r="BF165" s="29" cm="1">
        <f t="array" ref="BF165">$G$12+VLOOKUP($R165,武学奇术!$A:$ZZ,12,FALSE)+SUM(_xlfn.XLOOKUP(S165:AL165,增益!$A:$A,增益!$L:$L,0))</f>
        <v>0</v>
      </c>
      <c r="BG165">
        <f t="shared" si="28"/>
        <v>0</v>
      </c>
      <c r="BH165">
        <f t="shared" si="29"/>
        <v>0</v>
      </c>
      <c r="BI165" s="29" cm="1">
        <f t="array" ref="BI165">IF($F$13-$I$4+VLOOKUP($R165,武学奇术!$A:$ZZ,13,FALSE)+SUM(_xlfn.XLOOKUP(S165:AL165,增益!$A:$A,增益!$M:$M,0))&gt;0,($F$13-$I$4+VLOOKUP($R165,武学奇术!$A:$ZZ,13,FALSE)+SUM(_xlfn.XLOOKUP(S165:AL165,增益!$A:$A,增益!$K:$K,0)))/200,($F$13-$I$4+VLOOKUP($R165,武学奇术!$A:$ZZ,13,FALSE)+SUM(_xlfn.XLOOKUP(S165:AL165,增益!$A:$A,增益!$M:$M,0)))/100)</f>
        <v>-0.3</v>
      </c>
      <c r="BJ165" s="29" cm="1">
        <f t="array" ref="BJ165">$G$13+VLOOKUP($R165,武学奇术!$A:$ZZ,14,FALSE)+SUM(_xlfn.XLOOKUP(S165:AL165,增益!$A:$A,增益!$N:$N,0))</f>
        <v>0</v>
      </c>
      <c r="BK165">
        <f t="shared" si="30"/>
        <v>618.2</v>
      </c>
      <c r="BL165">
        <f t="shared" si="31"/>
        <v>1805</v>
      </c>
      <c r="BM165" s="29" cm="1">
        <f t="array" ref="BM165">IF($F$14-$I$4+VLOOKUP($R165,武学奇术!$A:$ZZ,15,FALSE)+SUM(_xlfn.XLOOKUP(S165:AL165,增益!$A:$A,增益!$O:$O,0))&gt;0,($F$14-$I$4+VLOOKUP($R165,武学奇术!$A:$ZZ,15,FALSE)+SUM(_xlfn.XLOOKUP(S165:AL165,增益!$A:$A,增益!$O:$O,0)))/200,($F$14-$I$4+VLOOKUP($R165,武学奇术!$A:$ZZ,15,FALSE)+SUM(_xlfn.XLOOKUP(S165:AL165,增益!$A:$A,增益!$O:$O,0)))/100)</f>
        <v>0.05</v>
      </c>
      <c r="BN165" s="29" cm="1">
        <f t="array" ref="BN165">$G$14+VLOOKUP($R165,武学奇术!$A:$ZZ,16,FALSE)+SUM(_xlfn.XLOOKUP(S165:AL165,增益!$A:$A,增益!$P:$P,0))</f>
        <v>0.21</v>
      </c>
      <c r="BO165" s="23">
        <f>MIN(IF(VLOOKUP($R165,武学奇术!$A:$ZZ,23,FALSE)=1,100%,$B$8),100%)</f>
        <v>0.9943</v>
      </c>
      <c r="BP165" s="23" cm="1">
        <f t="array" ref="BP165">IF(VLOOKUP($R165,武学奇术!$A:$ZZ,23,FALSE)=1,100%,MIN(80%,$B$9+VLOOKUP($R165,武学奇术!$A:$ZZ,17,FALSE)+SUM(_xlfn.XLOOKUP(S165:AL165,增益!$A:$A,增益!$Q:$Q,0)))+$B$11+SUM(_xlfn.XLOOKUP(S165:AL165,增益!$A:$A,增益!$U:$U,0)))*IF(VLOOKUP($R165,武学奇术!$A:$ZZ,24,FALSE)=1,0,1)</f>
        <v>0.887</v>
      </c>
      <c r="BQ165" s="23" cm="1">
        <f t="array" ref="BQ165">1+$B$13+VLOOKUP($R165,武学奇术!$A:$ZZ,18,FALSE)+SUM(_xlfn.XLOOKUP(S165:AL165,增益!$A:$A,增益!$R:$R,0))</f>
        <v>2.394</v>
      </c>
      <c r="BR165" s="23" cm="1">
        <f t="array" ref="BR165">IF(VLOOKUP($R165,武学奇术!$A:$ZZ,24,FALSE)=1,100%,MIN(40%,$B$10+VLOOKUP($R165,武学奇术!$A:$ZZ,19,FALSE)+SUM(_xlfn.XLOOKUP(S165:AL165,增益!$A:$A,增益!$S:$S,0)))+$B$12+SUM(_xlfn.XLOOKUP(S165:AL165,增益!$A:$A,增益!$V:$V,0)))*IF(VLOOKUP($R165,武学奇术!$A:$ZZ,23,FALSE)=1,0,1)</f>
        <v>0.0913</v>
      </c>
      <c r="BS165" s="23" cm="1">
        <f t="array" ref="BS165">1+$B$14+VLOOKUP($R165,武学奇术!$A:$ZZ,20,FALSE)+SUM(_xlfn.XLOOKUP(S165:AL165,增益!$A:$A,增益!$T:$T,0))</f>
        <v>1.35</v>
      </c>
      <c r="BT165" s="23">
        <f t="shared" si="32"/>
        <v>0.8819441</v>
      </c>
      <c r="BU165" s="23">
        <f t="shared" si="33"/>
        <v>0.0215763099999999</v>
      </c>
      <c r="BV165" s="23">
        <f>IF(VLOOKUP($R165,武学奇术!$A:$ZZ,22,FALSE)=1,0,(1-$BO165))*(1-$BR165)</f>
        <v>0.00517959000000003</v>
      </c>
      <c r="BW165" s="23" cm="1">
        <f t="array" ref="BW165">SUM(_xlfn.XLOOKUP(S165:AL165,增益!$A:$A,增益!$W:$W,0))+$I$5</f>
        <v>0.11</v>
      </c>
      <c r="BX165" s="23">
        <f>VLOOKUP($R165,武学奇术!$A:$ZZ,32,FALSE)</f>
        <v>0.1</v>
      </c>
      <c r="BY165" s="23" cm="1">
        <f t="array" ref="BY165">SUM(_xlfn.XLOOKUP($S165:$AL165,增益!$A:$A,增益!$X:$X,0))</f>
        <v>0</v>
      </c>
    </row>
    <row r="166" spans="11:77">
      <c r="K166" s="35">
        <f>$L166*VLOOKUP($R166,武学奇术!$A:$ZZ,31,FALSE)</f>
        <v>85440.5111515039</v>
      </c>
      <c r="L166" s="35">
        <f t="shared" si="34"/>
        <v>76286.1706709856</v>
      </c>
      <c r="M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轻击",$B$21,0))*(1+IF(VLOOKUP($R166,武学奇术!$A:$ZZ,30,FALSE)="老鼠",$B$22,0))*(1+$BW166)*(1+$BX166)</f>
        <v>80252.2303896754</v>
      </c>
      <c r="N166" s="35">
        <f>(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轻击",$B$21,0))*(1+IF(VLOOKUP($R166,武学奇术!$A:$ZZ,30,FALSE)="老鼠",$B$22,0))*(1+$BW166))*(1+$BX166)</f>
        <v>50737.1921738896</v>
      </c>
      <c r="O166" s="35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轻击",$B$21,0))*(1+IF(VLOOKUP($R166,武学奇术!$A:$ZZ,30,FALSE)="老鼠",$B$22,0))*(1+$BW166)*(1+$BX166)</f>
        <v>33522.2349163222</v>
      </c>
      <c r="P166" s="35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轻击",$B$21,0))*(1+IF(VLOOKUP($R166,武学奇术!$A:$ZZ,30,FALSE)="老鼠",$B$22,0))*(1+$BW166)*(1+$BX166)</f>
        <v>29461.3645186521</v>
      </c>
      <c r="Q166" s="36">
        <v>1</v>
      </c>
      <c r="R166" s="37" t="s">
        <v>153</v>
      </c>
      <c r="S166" s="37" t="s">
        <v>91</v>
      </c>
      <c r="T166" s="37" t="s">
        <v>185</v>
      </c>
      <c r="U166" s="37" t="s">
        <v>112</v>
      </c>
      <c r="V166" s="37" t="s">
        <v>113</v>
      </c>
      <c r="W166" s="37" t="s">
        <v>82</v>
      </c>
      <c r="X166" s="37" t="s">
        <v>81</v>
      </c>
      <c r="Y166" s="37" t="s">
        <v>109</v>
      </c>
      <c r="Z166" s="37" t="s">
        <v>83</v>
      </c>
      <c r="AA166" s="37" t="s">
        <v>81</v>
      </c>
      <c r="AB166" s="37" t="s">
        <v>81</v>
      </c>
      <c r="AC166" s="37" t="s">
        <v>81</v>
      </c>
      <c r="AD166" s="37" t="s">
        <v>85</v>
      </c>
      <c r="AE166" s="37" t="s">
        <v>86</v>
      </c>
      <c r="AF166" s="37" t="s">
        <v>81</v>
      </c>
      <c r="AG166" s="37" t="s">
        <v>87</v>
      </c>
      <c r="AH166" s="37" t="s">
        <v>81</v>
      </c>
      <c r="AI166" s="37" t="s">
        <v>81</v>
      </c>
      <c r="AJ166" s="37" t="s">
        <v>81</v>
      </c>
      <c r="AK166" s="37" t="s">
        <v>81</v>
      </c>
      <c r="AL166" s="37" t="s">
        <v>81</v>
      </c>
      <c r="AM166" t="str">
        <f>VLOOKUP($R166,武学奇术!$A:$ZZ,25,FALSE)</f>
        <v>双刀</v>
      </c>
      <c r="AN166" s="23">
        <f>VLOOKUP($R166,武学奇术!$A:$ZZ,26,FALSE)</f>
        <v>1.7358</v>
      </c>
      <c r="AO166" s="24">
        <f>VLOOKUP($R166,武学奇术!$A:$ZZ,27,FALSE)*(1+IF(OR($AM166=$F$4,$AM166=$F$5),$B$23,0))</f>
        <v>769.6</v>
      </c>
      <c r="AP166" s="23">
        <f>VLOOKUP($R166,武学奇术!$A:$ZZ,28,FALSE)</f>
        <v>2.6037</v>
      </c>
      <c r="AQ166" s="24">
        <f>VLOOKUP($R166,武学奇术!$A:$ZZ,29,FALSE)*(1+IF(OR($AM166=$F$4,$AM166=$F$5),$B$23,0))</f>
        <v>419.2</v>
      </c>
      <c r="AR166" s="23" cm="1">
        <f t="array" ref="AR166">$G$3+IFERROR(VLOOKUP($AM166,$F$4:$G$7,2,FALSE),0)+VLOOKUP($R166,武学奇术!$A:$ZZ,2,FALSE)+SUM(_xlfn.XLOOKUP($S166:$AL166,增益!$A:$A,增益!$B:$B,0))</f>
        <v>0.6943</v>
      </c>
      <c r="AS166" s="23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4081.7</v>
      </c>
      <c r="AU166" cm="1">
        <f t="array" ref="AU166">$E$10*(1+$AS166)+VLOOKUP($R166,武学奇术!$A:$ZZ,4,FALSE)+SUM(_xlfn.XLOOKUP($S166:$AL166,增益!$A:$A,增益!$D:$D,0))-$I$2</f>
        <v>4081.7</v>
      </c>
      <c r="AV166" s="29" cm="1">
        <f t="array" ref="AV166">IF($F$10-$I$3+VLOOKUP($R166,武学奇术!$A:$ZZ,6,FALSE)+SUM(_xlfn.XLOOKUP(S166:AL166,增益!$A:$A,增益!$F:$F,0))&gt;0,($F$10-$I$3+VLOOKUP($R166,武学奇术!$A:$ZZ,6,FALSE)+SUM(_xlfn.XLOOKUP(S166:AL166,增益!$A:$A,增益!$F:$F,0)))/200,($F$10-$I$3+VLOOKUP($R166,武学奇术!$A:$ZZ,6,FALSE)+SUM(_xlfn.XLOOKUP(S166:AL166,增益!$A:$A,增益!$F:$F,0)))/100)</f>
        <v>0.3689</v>
      </c>
      <c r="AW166" s="29" cm="1">
        <f t="array" ref="AW166">$G$10+VLOOKUP($R166,武学奇术!$A:$ZZ,7,FALSE)+SUM(_xlfn.XLOOKUP(S166:AL166,增益!$A:$A,增益!$G:$G,0))</f>
        <v>0.06</v>
      </c>
      <c r="AX166" s="23" cm="1">
        <f t="array" ref="AX166">VLOOKUP($R166,武学奇术!$A:$ZZ,8,FALSE)+SUM(_xlfn.XLOOKUP(S166:AL166,增益!$A:$A,增益!$H:$H,0))</f>
        <v>0</v>
      </c>
      <c r="AY166">
        <f t="shared" si="24"/>
        <v>0</v>
      </c>
      <c r="AZ166">
        <f t="shared" si="25"/>
        <v>0</v>
      </c>
      <c r="BA166" s="29" cm="1">
        <f t="array" ref="BA166">IF($F$11-$I$4+VLOOKUP($R166,武学奇术!$A:$ZZ,9,FALSE)+SUM(_xlfn.XLOOKUP(S166:AL166,增益!$A:$A,增益!$I:$I,0))&gt;0,($F$11-$I$4+VLOOKUP($R166,武学奇术!$A:$ZZ,9,FALSE)+SUM(_xlfn.XLOOKUP(S166:AL166,增益!$A:$A,增益!$I:$I,0)))/200,($F$11-$I$4+VLOOKUP($R166,武学奇术!$A:$ZZ,9,FALSE)+SUM(_xlfn.XLOOKUP(S166:AL166,增益!$A:$A,增益!$I:$I,0)))/100)</f>
        <v>-0.3</v>
      </c>
      <c r="BB166" s="29" cm="1">
        <f t="array" ref="BB166">$G$11+VLOOKUP($R166,武学奇术!$A:$ZZ,10,FALSE)+SUM(_xlfn.XLOOKUP(S166:AL166,增益!$A:$A,增益!$J:$J,0))</f>
        <v>0</v>
      </c>
      <c r="BC166">
        <f t="shared" si="26"/>
        <v>0</v>
      </c>
      <c r="BD166">
        <f t="shared" si="27"/>
        <v>0</v>
      </c>
      <c r="BE166" s="29" cm="1">
        <f t="array" ref="BE166">IF($F$12-$I$4+VLOOKUP($R166,武学奇术!$A:$ZZ,11,FALSE)+SUM(_xlfn.XLOOKUP(S166:AL166,增益!$A:$A,增益!$K:$K,0))&gt;0,($F$12-$I$4+VLOOKUP($R166,武学奇术!$A:$ZZ,11,FALSE)+SUM(_xlfn.XLOOKUP(S166:AL166,增益!$A:$A,增益!$K:$K,0)))/200,($F$12-$I$4+VLOOKUP($R166,武学奇术!$A:$ZZ,11,FALSE)+SUM(_xlfn.XLOOKUP(S166:AL166,增益!$A:$A,增益!$K:$K,0)))/100)</f>
        <v>-0.3</v>
      </c>
      <c r="BF166" s="29" cm="1">
        <f t="array" ref="BF166">$G$12+VLOOKUP($R166,武学奇术!$A:$ZZ,12,FALSE)+SUM(_xlfn.XLOOKUP(S166:AL166,增益!$A:$A,增益!$L:$L,0))</f>
        <v>0</v>
      </c>
      <c r="BG166">
        <f t="shared" si="28"/>
        <v>0</v>
      </c>
      <c r="BH166">
        <f t="shared" si="29"/>
        <v>0</v>
      </c>
      <c r="BI166" s="29" cm="1">
        <f t="array" ref="BI166">IF($F$13-$I$4+VLOOKUP($R166,武学奇术!$A:$ZZ,13,FALSE)+SUM(_xlfn.XLOOKUP(S166:AL166,增益!$A:$A,增益!$M:$M,0))&gt;0,($F$13-$I$4+VLOOKUP($R166,武学奇术!$A:$ZZ,13,FALSE)+SUM(_xlfn.XLOOKUP(S166:AL166,增益!$A:$A,增益!$K:$K,0)))/200,($F$13-$I$4+VLOOKUP($R166,武学奇术!$A:$ZZ,13,FALSE)+SUM(_xlfn.XLOOKUP(S166:AL166,增益!$A:$A,增益!$M:$M,0)))/100)</f>
        <v>-0.3</v>
      </c>
      <c r="BJ166" s="29" cm="1">
        <f t="array" ref="BJ166">$G$13+VLOOKUP($R166,武学奇术!$A:$ZZ,14,FALSE)+SUM(_xlfn.XLOOKUP(S166:AL166,增益!$A:$A,增益!$N:$N,0))</f>
        <v>0</v>
      </c>
      <c r="BK166">
        <f t="shared" si="30"/>
        <v>618.2</v>
      </c>
      <c r="BL166">
        <f t="shared" si="31"/>
        <v>1805</v>
      </c>
      <c r="BM166" s="29" cm="1">
        <f t="array" ref="BM166">IF($F$14-$I$4+VLOOKUP($R166,武学奇术!$A:$ZZ,15,FALSE)+SUM(_xlfn.XLOOKUP(S166:AL166,增益!$A:$A,增益!$O:$O,0))&gt;0,($F$14-$I$4+VLOOKUP($R166,武学奇术!$A:$ZZ,15,FALSE)+SUM(_xlfn.XLOOKUP(S166:AL166,增益!$A:$A,增益!$O:$O,0)))/200,($F$14-$I$4+VLOOKUP($R166,武学奇术!$A:$ZZ,15,FALSE)+SUM(_xlfn.XLOOKUP(S166:AL166,增益!$A:$A,增益!$O:$O,0)))/100)</f>
        <v>0.05</v>
      </c>
      <c r="BN166" s="29" cm="1">
        <f t="array" ref="BN166">$G$14+VLOOKUP($R166,武学奇术!$A:$ZZ,16,FALSE)+SUM(_xlfn.XLOOKUP(S166:AL166,增益!$A:$A,增益!$P:$P,0))</f>
        <v>0.21</v>
      </c>
      <c r="BO166" s="23">
        <f>MIN(IF(VLOOKUP($R166,武学奇术!$A:$ZZ,23,FALSE)=1,100%,$B$8),100%)</f>
        <v>0.9943</v>
      </c>
      <c r="BP166" s="23" cm="1">
        <f t="array" ref="BP166">IF(VLOOKUP($R166,武学奇术!$A:$ZZ,23,FALSE)=1,100%,MIN(80%,$B$9+VLOOKUP($R166,武学奇术!$A:$ZZ,17,FALSE)+SUM(_xlfn.XLOOKUP(S166:AL166,增益!$A:$A,增益!$Q:$Q,0)))+$B$11+SUM(_xlfn.XLOOKUP(S166:AL166,增益!$A:$A,增益!$U:$U,0)))*IF(VLOOKUP($R166,武学奇术!$A:$ZZ,24,FALSE)=1,0,1)</f>
        <v>0.887</v>
      </c>
      <c r="BQ166" s="23" cm="1">
        <f t="array" ref="BQ166">1+$B$13+VLOOKUP($R166,武学奇术!$A:$ZZ,18,FALSE)+SUM(_xlfn.XLOOKUP(S166:AL166,增益!$A:$A,增益!$R:$R,0))</f>
        <v>2.394</v>
      </c>
      <c r="BR166" s="23" cm="1">
        <f t="array" ref="BR166">IF(VLOOKUP($R166,武学奇术!$A:$ZZ,24,FALSE)=1,100%,MIN(40%,$B$10+VLOOKUP($R166,武学奇术!$A:$ZZ,19,FALSE)+SUM(_xlfn.XLOOKUP(S166:AL166,增益!$A:$A,增益!$S:$S,0)))+$B$12+SUM(_xlfn.XLOOKUP(S166:AL166,增益!$A:$A,增益!$V:$V,0)))*IF(VLOOKUP($R166,武学奇术!$A:$ZZ,23,FALSE)=1,0,1)</f>
        <v>0.0913</v>
      </c>
      <c r="BS166" s="23" cm="1">
        <f t="array" ref="BS166">1+$B$14+VLOOKUP($R166,武学奇术!$A:$ZZ,20,FALSE)+SUM(_xlfn.XLOOKUP(S166:AL166,增益!$A:$A,增益!$T:$T,0))</f>
        <v>1.35</v>
      </c>
      <c r="BT166" s="23">
        <f t="shared" si="32"/>
        <v>0.8819441</v>
      </c>
      <c r="BU166" s="23">
        <f t="shared" si="33"/>
        <v>0.0215763099999999</v>
      </c>
      <c r="BV166" s="23">
        <f>IF(VLOOKUP($R166,武学奇术!$A:$ZZ,22,FALSE)=1,0,(1-$BO166))*(1-$BR166)</f>
        <v>0.00517959000000003</v>
      </c>
      <c r="BW166" s="23" cm="1">
        <f t="array" ref="BW166">SUM(_xlfn.XLOOKUP(S166:AL166,增益!$A:$A,增益!$W:$W,0))+$I$5</f>
        <v>0.11</v>
      </c>
      <c r="BX166" s="23">
        <f>VLOOKUP($R166,武学奇术!$A:$ZZ,32,FALSE)</f>
        <v>0.1</v>
      </c>
      <c r="BY166" s="23" cm="1">
        <f t="array" ref="BY166">SUM(_xlfn.XLOOKUP($S166:$AL166,增益!$A:$A,增益!$X:$X,0))</f>
        <v>0</v>
      </c>
    </row>
    <row r="167" spans="11:77">
      <c r="K167" s="35">
        <f>$L167*VLOOKUP($R167,武学奇术!$A:$ZZ,31,FALSE)</f>
        <v>124727.89455355</v>
      </c>
      <c r="L167" s="35">
        <f t="shared" si="34"/>
        <v>111364.19156567</v>
      </c>
      <c r="M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轻击",$B$21,0))*(1+IF(VLOOKUP($R167,武学奇术!$A:$ZZ,30,FALSE)="老鼠",$B$22,0))*(1+$BW167)*(1+$BX167)</f>
        <v>117153.879555264</v>
      </c>
      <c r="N167" s="35">
        <f>(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轻击",$B$21,0))*(1+IF(VLOOKUP($R167,武学奇术!$A:$ZZ,30,FALSE)="老鼠",$B$22,0))*(1+$BW167))*(1+$BX167)</f>
        <v>74067.7680305596</v>
      </c>
      <c r="O167" s="35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轻击",$B$21,0))*(1+IF(VLOOKUP($R167,武学奇术!$A:$ZZ,30,FALSE)="老鼠",$B$22,0))*(1+$BW167)*(1+$BX167)</f>
        <v>48936.4576254237</v>
      </c>
      <c r="P167" s="35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轻击",$B$21,0))*(1+IF(VLOOKUP($R167,武学奇术!$A:$ZZ,30,FALSE)="老鼠",$B$22,0))*(1+$BW167)*(1+$BX167)</f>
        <v>43007.9018948774</v>
      </c>
      <c r="Q167" s="36">
        <v>1</v>
      </c>
      <c r="R167" s="37" t="s">
        <v>158</v>
      </c>
      <c r="S167" s="37" t="s">
        <v>91</v>
      </c>
      <c r="T167" s="37" t="s">
        <v>185</v>
      </c>
      <c r="U167" s="37" t="s">
        <v>112</v>
      </c>
      <c r="V167" s="37" t="s">
        <v>113</v>
      </c>
      <c r="W167" s="37" t="s">
        <v>82</v>
      </c>
      <c r="X167" s="37" t="s">
        <v>81</v>
      </c>
      <c r="Y167" s="37" t="s">
        <v>109</v>
      </c>
      <c r="Z167" s="37" t="s">
        <v>83</v>
      </c>
      <c r="AA167" s="37" t="s">
        <v>81</v>
      </c>
      <c r="AB167" s="37" t="s">
        <v>81</v>
      </c>
      <c r="AC167" s="37" t="s">
        <v>81</v>
      </c>
      <c r="AD167" s="37" t="s">
        <v>85</v>
      </c>
      <c r="AE167" s="37" t="s">
        <v>86</v>
      </c>
      <c r="AF167" s="37" t="s">
        <v>81</v>
      </c>
      <c r="AG167" s="37" t="s">
        <v>87</v>
      </c>
      <c r="AH167" s="37" t="s">
        <v>81</v>
      </c>
      <c r="AI167" s="37" t="s">
        <v>81</v>
      </c>
      <c r="AJ167" s="37" t="s">
        <v>81</v>
      </c>
      <c r="AK167" s="37" t="s">
        <v>81</v>
      </c>
      <c r="AL167" s="37" t="s">
        <v>81</v>
      </c>
      <c r="AM167" t="str">
        <f>VLOOKUP($R167,武学奇术!$A:$ZZ,25,FALSE)</f>
        <v>双刀</v>
      </c>
      <c r="AN167" s="23">
        <f>VLOOKUP($R167,武学奇术!$A:$ZZ,26,FALSE)</f>
        <v>2.5342</v>
      </c>
      <c r="AO167" s="24">
        <f>VLOOKUP($R167,武学奇术!$A:$ZZ,27,FALSE)*(1+IF(OR($AM167=$F$4,$AM167=$F$5),$B$23,0))</f>
        <v>1123.2</v>
      </c>
      <c r="AP167" s="23">
        <f>VLOOKUP($R167,武学奇术!$A:$ZZ,28,FALSE)</f>
        <v>3.8012</v>
      </c>
      <c r="AQ167" s="24">
        <f>VLOOKUP($R167,武学奇术!$A:$ZZ,29,FALSE)*(1+IF(OR($AM167=$F$4,$AM167=$F$5),$B$23,0))</f>
        <v>611.2</v>
      </c>
      <c r="AR167" s="23" cm="1">
        <f t="array" ref="AR167">$G$3+IFERROR(VLOOKUP($AM167,$F$4:$G$7,2,FALSE),0)+VLOOKUP($R167,武学奇术!$A:$ZZ,2,FALSE)+SUM(_xlfn.XLOOKUP($S167:$AL167,增益!$A:$A,增益!$B:$B,0))</f>
        <v>0.6943</v>
      </c>
      <c r="AS167" s="23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4081.7</v>
      </c>
      <c r="AU167" cm="1">
        <f t="array" ref="AU167">$E$10*(1+$AS167)+VLOOKUP($R167,武学奇术!$A:$ZZ,4,FALSE)+SUM(_xlfn.XLOOKUP($S167:$AL167,增益!$A:$A,增益!$D:$D,0))-$I$2</f>
        <v>4081.7</v>
      </c>
      <c r="AV167" s="29" cm="1">
        <f t="array" ref="AV167">IF($F$10-$I$3+VLOOKUP($R167,武学奇术!$A:$ZZ,6,FALSE)+SUM(_xlfn.XLOOKUP(S167:AL167,增益!$A:$A,增益!$F:$F,0))&gt;0,($F$10-$I$3+VLOOKUP($R167,武学奇术!$A:$ZZ,6,FALSE)+SUM(_xlfn.XLOOKUP(S167:AL167,增益!$A:$A,增益!$F:$F,0)))/200,($F$10-$I$3+VLOOKUP($R167,武学奇术!$A:$ZZ,6,FALSE)+SUM(_xlfn.XLOOKUP(S167:AL167,增益!$A:$A,增益!$F:$F,0)))/100)</f>
        <v>0.3689</v>
      </c>
      <c r="AW167" s="29" cm="1">
        <f t="array" ref="AW167">$G$10+VLOOKUP($R167,武学奇术!$A:$ZZ,7,FALSE)+SUM(_xlfn.XLOOKUP(S167:AL167,增益!$A:$A,增益!$G:$G,0))</f>
        <v>0.06</v>
      </c>
      <c r="AX167" s="23" cm="1">
        <f t="array" ref="AX167">VLOOKUP($R167,武学奇术!$A:$ZZ,8,FALSE)+SUM(_xlfn.XLOOKUP(S167:AL167,增益!$A:$A,增益!$H:$H,0))</f>
        <v>0</v>
      </c>
      <c r="AY167">
        <f t="shared" si="24"/>
        <v>0</v>
      </c>
      <c r="AZ167">
        <f t="shared" si="25"/>
        <v>0</v>
      </c>
      <c r="BA167" s="29" cm="1">
        <f t="array" ref="BA167">IF($F$11-$I$4+VLOOKUP($R167,武学奇术!$A:$ZZ,9,FALSE)+SUM(_xlfn.XLOOKUP(S167:AL167,增益!$A:$A,增益!$I:$I,0))&gt;0,($F$11-$I$4+VLOOKUP($R167,武学奇术!$A:$ZZ,9,FALSE)+SUM(_xlfn.XLOOKUP(S167:AL167,增益!$A:$A,增益!$I:$I,0)))/200,($F$11-$I$4+VLOOKUP($R167,武学奇术!$A:$ZZ,9,FALSE)+SUM(_xlfn.XLOOKUP(S167:AL167,增益!$A:$A,增益!$I:$I,0)))/100)</f>
        <v>-0.3</v>
      </c>
      <c r="BB167" s="29" cm="1">
        <f t="array" ref="BB167">$G$11+VLOOKUP($R167,武学奇术!$A:$ZZ,10,FALSE)+SUM(_xlfn.XLOOKUP(S167:AL167,增益!$A:$A,增益!$J:$J,0))</f>
        <v>0</v>
      </c>
      <c r="BC167">
        <f t="shared" si="26"/>
        <v>0</v>
      </c>
      <c r="BD167">
        <f t="shared" si="27"/>
        <v>0</v>
      </c>
      <c r="BE167" s="29" cm="1">
        <f t="array" ref="BE167">IF($F$12-$I$4+VLOOKUP($R167,武学奇术!$A:$ZZ,11,FALSE)+SUM(_xlfn.XLOOKUP(S167:AL167,增益!$A:$A,增益!$K:$K,0))&gt;0,($F$12-$I$4+VLOOKUP($R167,武学奇术!$A:$ZZ,11,FALSE)+SUM(_xlfn.XLOOKUP(S167:AL167,增益!$A:$A,增益!$K:$K,0)))/200,($F$12-$I$4+VLOOKUP($R167,武学奇术!$A:$ZZ,11,FALSE)+SUM(_xlfn.XLOOKUP(S167:AL167,增益!$A:$A,增益!$K:$K,0)))/100)</f>
        <v>-0.3</v>
      </c>
      <c r="BF167" s="29" cm="1">
        <f t="array" ref="BF167">$G$12+VLOOKUP($R167,武学奇术!$A:$ZZ,12,FALSE)+SUM(_xlfn.XLOOKUP(S167:AL167,增益!$A:$A,增益!$L:$L,0))</f>
        <v>0</v>
      </c>
      <c r="BG167">
        <f t="shared" si="28"/>
        <v>0</v>
      </c>
      <c r="BH167">
        <f t="shared" si="29"/>
        <v>0</v>
      </c>
      <c r="BI167" s="29" cm="1">
        <f t="array" ref="BI167">IF($F$13-$I$4+VLOOKUP($R167,武学奇术!$A:$ZZ,13,FALSE)+SUM(_xlfn.XLOOKUP(S167:AL167,增益!$A:$A,增益!$M:$M,0))&gt;0,($F$13-$I$4+VLOOKUP($R167,武学奇术!$A:$ZZ,13,FALSE)+SUM(_xlfn.XLOOKUP(S167:AL167,增益!$A:$A,增益!$K:$K,0)))/200,($F$13-$I$4+VLOOKUP($R167,武学奇术!$A:$ZZ,13,FALSE)+SUM(_xlfn.XLOOKUP(S167:AL167,增益!$A:$A,增益!$M:$M,0)))/100)</f>
        <v>-0.3</v>
      </c>
      <c r="BJ167" s="29" cm="1">
        <f t="array" ref="BJ167">$G$13+VLOOKUP($R167,武学奇术!$A:$ZZ,14,FALSE)+SUM(_xlfn.XLOOKUP(S167:AL167,增益!$A:$A,增益!$N:$N,0))</f>
        <v>0</v>
      </c>
      <c r="BK167">
        <f t="shared" si="30"/>
        <v>618.2</v>
      </c>
      <c r="BL167">
        <f t="shared" si="31"/>
        <v>1805</v>
      </c>
      <c r="BM167" s="29" cm="1">
        <f t="array" ref="BM167">IF($F$14-$I$4+VLOOKUP($R167,武学奇术!$A:$ZZ,15,FALSE)+SUM(_xlfn.XLOOKUP(S167:AL167,增益!$A:$A,增益!$O:$O,0))&gt;0,($F$14-$I$4+VLOOKUP($R167,武学奇术!$A:$ZZ,15,FALSE)+SUM(_xlfn.XLOOKUP(S167:AL167,增益!$A:$A,增益!$O:$O,0)))/200,($F$14-$I$4+VLOOKUP($R167,武学奇术!$A:$ZZ,15,FALSE)+SUM(_xlfn.XLOOKUP(S167:AL167,增益!$A:$A,增益!$O:$O,0)))/100)</f>
        <v>0.05</v>
      </c>
      <c r="BN167" s="29" cm="1">
        <f t="array" ref="BN167">$G$14+VLOOKUP($R167,武学奇术!$A:$ZZ,16,FALSE)+SUM(_xlfn.XLOOKUP(S167:AL167,增益!$A:$A,增益!$P:$P,0))</f>
        <v>0.21</v>
      </c>
      <c r="BO167" s="23">
        <f>MIN(IF(VLOOKUP($R167,武学奇术!$A:$ZZ,23,FALSE)=1,100%,$B$8),100%)</f>
        <v>0.9943</v>
      </c>
      <c r="BP167" s="23" cm="1">
        <f t="array" ref="BP167">IF(VLOOKUP($R167,武学奇术!$A:$ZZ,23,FALSE)=1,100%,MIN(80%,$B$9+VLOOKUP($R167,武学奇术!$A:$ZZ,17,FALSE)+SUM(_xlfn.XLOOKUP(S167:AL167,增益!$A:$A,增益!$Q:$Q,0)))+$B$11+SUM(_xlfn.XLOOKUP(S167:AL167,增益!$A:$A,增益!$U:$U,0)))*IF(VLOOKUP($R167,武学奇术!$A:$ZZ,24,FALSE)=1,0,1)</f>
        <v>0.887</v>
      </c>
      <c r="BQ167" s="23" cm="1">
        <f t="array" ref="BQ167">1+$B$13+VLOOKUP($R167,武学奇术!$A:$ZZ,18,FALSE)+SUM(_xlfn.XLOOKUP(S167:AL167,增益!$A:$A,增益!$R:$R,0))</f>
        <v>2.394</v>
      </c>
      <c r="BR167" s="23" cm="1">
        <f t="array" ref="BR167">IF(VLOOKUP($R167,武学奇术!$A:$ZZ,24,FALSE)=1,100%,MIN(40%,$B$10+VLOOKUP($R167,武学奇术!$A:$ZZ,19,FALSE)+SUM(_xlfn.XLOOKUP(S167:AL167,增益!$A:$A,增益!$S:$S,0)))+$B$12+SUM(_xlfn.XLOOKUP(S167:AL167,增益!$A:$A,增益!$V:$V,0)))*IF(VLOOKUP($R167,武学奇术!$A:$ZZ,23,FALSE)=1,0,1)</f>
        <v>0.0913</v>
      </c>
      <c r="BS167" s="23" cm="1">
        <f t="array" ref="BS167">1+$B$14+VLOOKUP($R167,武学奇术!$A:$ZZ,20,FALSE)+SUM(_xlfn.XLOOKUP(S167:AL167,增益!$A:$A,增益!$T:$T,0))</f>
        <v>1.35</v>
      </c>
      <c r="BT167" s="23">
        <f t="shared" si="32"/>
        <v>0.8819441</v>
      </c>
      <c r="BU167" s="23">
        <f t="shared" si="33"/>
        <v>0.0215763099999999</v>
      </c>
      <c r="BV167" s="23">
        <f>IF(VLOOKUP($R167,武学奇术!$A:$ZZ,22,FALSE)=1,0,(1-$BO167))*(1-$BR167)</f>
        <v>0.00517959000000003</v>
      </c>
      <c r="BW167" s="23" cm="1">
        <f t="array" ref="BW167">SUM(_xlfn.XLOOKUP(S167:AL167,增益!$A:$A,增益!$W:$W,0))+$I$5</f>
        <v>0.11</v>
      </c>
      <c r="BX167" s="23">
        <f>VLOOKUP($R167,武学奇术!$A:$ZZ,32,FALSE)</f>
        <v>0.1</v>
      </c>
      <c r="BY167" s="23" cm="1">
        <f t="array" ref="BY167">SUM(_xlfn.XLOOKUP($S167:$AL167,增益!$A:$A,增益!$X:$X,0))</f>
        <v>0</v>
      </c>
    </row>
    <row r="168" spans="11:77">
      <c r="K168" s="35">
        <f>$L168*VLOOKUP($R168,武学奇术!$A:$ZZ,31,FALSE)</f>
        <v>336673.215952088</v>
      </c>
      <c r="L168" s="69">
        <f t="shared" si="34"/>
        <v>330071.780345185</v>
      </c>
      <c r="M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轻击",$B$21,0))*(1+IF(VLOOKUP($R168,武学奇术!$A:$ZZ,30,FALSE)="老鼠",$B$22,0))*(1+$BW168)*(1+$BX168)</f>
        <v>346976.266600163</v>
      </c>
      <c r="N168" s="35">
        <f>(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轻击",$B$21,0))*(1+IF(VLOOKUP($R168,武学奇术!$A:$ZZ,30,FALSE)="老鼠",$B$22,0))*(1+$BW168))*(1+$BX168)</f>
        <v>222144.845956465</v>
      </c>
      <c r="O168" s="35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轻击",$B$21,0))*(1+IF(VLOOKUP($R168,武学奇术!$A:$ZZ,30,FALSE)="老鼠",$B$22,0))*(1+$BW168)*(1+$BX168)</f>
        <v>144935.783876426</v>
      </c>
      <c r="P168" s="35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轻击",$B$21,0))*(1+IF(VLOOKUP($R168,武学奇术!$A:$ZZ,30,FALSE)="老鼠",$B$22,0))*(1+$BW168)*(1+$BX168)</f>
        <v>125319.830007322</v>
      </c>
      <c r="Q168" s="70">
        <v>11</v>
      </c>
      <c r="R168" s="37" t="s">
        <v>106</v>
      </c>
      <c r="S168" s="37" t="s">
        <v>91</v>
      </c>
      <c r="T168" s="37" t="s">
        <v>185</v>
      </c>
      <c r="U168" s="37" t="s">
        <v>112</v>
      </c>
      <c r="V168" s="37" t="s">
        <v>113</v>
      </c>
      <c r="W168" s="37" t="s">
        <v>82</v>
      </c>
      <c r="X168" s="37" t="s">
        <v>81</v>
      </c>
      <c r="Y168" s="37" t="s">
        <v>109</v>
      </c>
      <c r="Z168" s="37" t="s">
        <v>83</v>
      </c>
      <c r="AA168" s="37" t="s">
        <v>81</v>
      </c>
      <c r="AB168" s="37" t="s">
        <v>81</v>
      </c>
      <c r="AC168" s="37" t="s">
        <v>81</v>
      </c>
      <c r="AD168" s="37" t="s">
        <v>85</v>
      </c>
      <c r="AE168" s="37" t="s">
        <v>86</v>
      </c>
      <c r="AF168" s="37" t="s">
        <v>81</v>
      </c>
      <c r="AG168" s="37" t="s">
        <v>87</v>
      </c>
      <c r="AH168" s="37" t="s">
        <v>81</v>
      </c>
      <c r="AI168" s="37" t="s">
        <v>81</v>
      </c>
      <c r="AJ168" s="37" t="s">
        <v>81</v>
      </c>
      <c r="AK168" s="37" t="s">
        <v>81</v>
      </c>
      <c r="AL168" s="37" t="s">
        <v>81</v>
      </c>
      <c r="AM168" t="str">
        <f>VLOOKUP($R168,武学奇术!$A:$ZZ,25,FALSE)</f>
        <v>绳镖</v>
      </c>
      <c r="AN168" s="23">
        <f>VLOOKUP($R168,武学奇术!$A:$ZZ,26,FALSE)</f>
        <v>0.3675</v>
      </c>
      <c r="AO168" s="24">
        <f>VLOOKUP($R168,武学奇术!$A:$ZZ,27,FALSE)*(1+IF(OR($AM168=$F$4,$AM168=$F$5),$B$23,0))</f>
        <v>0</v>
      </c>
      <c r="AP168" s="23">
        <f>VLOOKUP($R168,武学奇术!$A:$ZZ,28,FALSE)</f>
        <v>0.55125</v>
      </c>
      <c r="AQ168" s="24">
        <f>VLOOKUP($R168,武学奇术!$A:$ZZ,29,FALSE)*(1+IF(OR($AM168=$F$4,$AM168=$F$5),$B$23,0))</f>
        <v>0</v>
      </c>
      <c r="AR168" s="23" cm="1">
        <f t="array" ref="AR168">$G$3+IFERROR(VLOOKUP($AM168,$F$4:$G$7,2,FALSE),0)+VLOOKUP($R168,武学奇术!$A:$ZZ,2,FALSE)+SUM(_xlfn.XLOOKUP($S168:$AL168,增益!$A:$A,增益!$B:$B,0))</f>
        <v>1.4943</v>
      </c>
      <c r="AS168" s="23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4081.7</v>
      </c>
      <c r="AU168" cm="1">
        <f t="array" ref="AU168">$E$10*(1+$AS168)+VLOOKUP($R168,武学奇术!$A:$ZZ,4,FALSE)+SUM(_xlfn.XLOOKUP($S168:$AL168,增益!$A:$A,增益!$D:$D,0))-$I$2</f>
        <v>4081.7</v>
      </c>
      <c r="AV168" s="29" cm="1">
        <f t="array" ref="AV168">IF($F$10-$I$3+VLOOKUP($R168,武学奇术!$A:$ZZ,6,FALSE)+SUM(_xlfn.XLOOKUP(S168:AL168,增益!$A:$A,增益!$F:$F,0))&gt;0,($F$10-$I$3+VLOOKUP($R168,武学奇术!$A:$ZZ,6,FALSE)+SUM(_xlfn.XLOOKUP(S168:AL168,增益!$A:$A,增益!$F:$F,0)))/200,($F$10-$I$3+VLOOKUP($R168,武学奇术!$A:$ZZ,6,FALSE)+SUM(_xlfn.XLOOKUP(S168:AL168,增益!$A:$A,增益!$F:$F,0)))/100)</f>
        <v>0.3689</v>
      </c>
      <c r="AW168" s="29" cm="1">
        <f t="array" ref="AW168">$G$10+VLOOKUP($R168,武学奇术!$A:$ZZ,7,FALSE)+SUM(_xlfn.XLOOKUP(S168:AL168,增益!$A:$A,增益!$G:$G,0))</f>
        <v>0.27</v>
      </c>
      <c r="AX168" s="23" cm="1">
        <f t="array" ref="AX168">VLOOKUP($R168,武学奇术!$A:$ZZ,8,FALSE)+SUM(_xlfn.XLOOKUP(S168:AL168,增益!$A:$A,增益!$H:$H,0))</f>
        <v>0</v>
      </c>
      <c r="AY168">
        <f t="shared" si="24"/>
        <v>0</v>
      </c>
      <c r="AZ168">
        <f t="shared" si="25"/>
        <v>0</v>
      </c>
      <c r="BA168" s="29" cm="1">
        <f t="array" ref="BA168">IF($F$11-$I$4+VLOOKUP($R168,武学奇术!$A:$ZZ,9,FALSE)+SUM(_xlfn.XLOOKUP(S168:AL168,增益!$A:$A,增益!$I:$I,0))&gt;0,($F$11-$I$4+VLOOKUP($R168,武学奇术!$A:$ZZ,9,FALSE)+SUM(_xlfn.XLOOKUP(S168:AL168,增益!$A:$A,增益!$I:$I,0)))/200,($F$11-$I$4+VLOOKUP($R168,武学奇术!$A:$ZZ,9,FALSE)+SUM(_xlfn.XLOOKUP(S168:AL168,增益!$A:$A,增益!$I:$I,0)))/100)</f>
        <v>-0.3</v>
      </c>
      <c r="BB168" s="29" cm="1">
        <f t="array" ref="BB168">$G$11+VLOOKUP($R168,武学奇术!$A:$ZZ,10,FALSE)+SUM(_xlfn.XLOOKUP(S168:AL168,增益!$A:$A,增益!$J:$J,0))</f>
        <v>0</v>
      </c>
      <c r="BC168">
        <f t="shared" si="26"/>
        <v>0</v>
      </c>
      <c r="BD168">
        <f t="shared" si="27"/>
        <v>0</v>
      </c>
      <c r="BE168" s="29" cm="1">
        <f t="array" ref="BE168">IF($F$12-$I$4+VLOOKUP($R168,武学奇术!$A:$ZZ,11,FALSE)+SUM(_xlfn.XLOOKUP(S168:AL168,增益!$A:$A,增益!$K:$K,0))&gt;0,($F$12-$I$4+VLOOKUP($R168,武学奇术!$A:$ZZ,11,FALSE)+SUM(_xlfn.XLOOKUP(S168:AL168,增益!$A:$A,增益!$K:$K,0)))/200,($F$12-$I$4+VLOOKUP($R168,武学奇术!$A:$ZZ,11,FALSE)+SUM(_xlfn.XLOOKUP(S168:AL168,增益!$A:$A,增益!$K:$K,0)))/100)</f>
        <v>-0.3</v>
      </c>
      <c r="BF168" s="29" cm="1">
        <f t="array" ref="BF168">$G$12+VLOOKUP($R168,武学奇术!$A:$ZZ,12,FALSE)+SUM(_xlfn.XLOOKUP(S168:AL168,增益!$A:$A,增益!$L:$L,0))</f>
        <v>0</v>
      </c>
      <c r="BG168">
        <f t="shared" si="28"/>
        <v>0</v>
      </c>
      <c r="BH168">
        <f t="shared" si="29"/>
        <v>0</v>
      </c>
      <c r="BI168" s="29" cm="1">
        <f t="array" ref="BI168">IF($F$13-$I$4+VLOOKUP($R168,武学奇术!$A:$ZZ,13,FALSE)+SUM(_xlfn.XLOOKUP(S168:AL168,增益!$A:$A,增益!$M:$M,0))&gt;0,($F$13-$I$4+VLOOKUP($R168,武学奇术!$A:$ZZ,13,FALSE)+SUM(_xlfn.XLOOKUP(S168:AL168,增益!$A:$A,增益!$K:$K,0)))/200,($F$13-$I$4+VLOOKUP($R168,武学奇术!$A:$ZZ,13,FALSE)+SUM(_xlfn.XLOOKUP(S168:AL168,增益!$A:$A,增益!$M:$M,0)))/100)</f>
        <v>-0.3</v>
      </c>
      <c r="BJ168" s="29" cm="1">
        <f t="array" ref="BJ168">$G$13+VLOOKUP($R168,武学奇术!$A:$ZZ,14,FALSE)+SUM(_xlfn.XLOOKUP(S168:AL168,增益!$A:$A,增益!$N:$N,0))</f>
        <v>0</v>
      </c>
      <c r="BK168">
        <f t="shared" si="30"/>
        <v>618.2</v>
      </c>
      <c r="BL168">
        <f t="shared" si="31"/>
        <v>1805</v>
      </c>
      <c r="BM168" s="29" cm="1">
        <f t="array" ref="BM168">IF($F$14-$I$4+VLOOKUP($R168,武学奇术!$A:$ZZ,15,FALSE)+SUM(_xlfn.XLOOKUP(S168:AL168,增益!$A:$A,增益!$O:$O,0))&gt;0,($F$14-$I$4+VLOOKUP($R168,武学奇术!$A:$ZZ,15,FALSE)+SUM(_xlfn.XLOOKUP(S168:AL168,增益!$A:$A,增益!$O:$O,0)))/200,($F$14-$I$4+VLOOKUP($R168,武学奇术!$A:$ZZ,15,FALSE)+SUM(_xlfn.XLOOKUP(S168:AL168,增益!$A:$A,增益!$O:$O,0)))/100)</f>
        <v>0.05</v>
      </c>
      <c r="BN168" s="29" cm="1">
        <f t="array" ref="BN168">$G$14+VLOOKUP($R168,武学奇术!$A:$ZZ,16,FALSE)+SUM(_xlfn.XLOOKUP(S168:AL168,增益!$A:$A,增益!$P:$P,0))</f>
        <v>0.42</v>
      </c>
      <c r="BO168" s="23">
        <f>MIN(IF(VLOOKUP($R168,武学奇术!$A:$ZZ,23,FALSE)=1,100%,$B$8),100%)</f>
        <v>0.9943</v>
      </c>
      <c r="BP168" s="23" cm="1">
        <f t="array" ref="BP168">IF(VLOOKUP($R168,武学奇术!$A:$ZZ,23,FALSE)=1,100%,MIN(80%,$B$9+VLOOKUP($R168,武学奇术!$A:$ZZ,17,FALSE)+SUM(_xlfn.XLOOKUP(S168:AL168,增益!$A:$A,增益!$Q:$Q,0)))+$B$11+SUM(_xlfn.XLOOKUP(S168:AL168,增益!$A:$A,增益!$U:$U,0)))*IF(VLOOKUP($R168,武学奇术!$A:$ZZ,24,FALSE)=1,0,1)</f>
        <v>0.887</v>
      </c>
      <c r="BQ168" s="23" cm="1">
        <f t="array" ref="BQ168">1+$B$13+VLOOKUP($R168,武学奇术!$A:$ZZ,18,FALSE)+SUM(_xlfn.XLOOKUP(S168:AL168,增益!$A:$A,增益!$R:$R,0))</f>
        <v>2.394</v>
      </c>
      <c r="BR168" s="23" cm="1">
        <f t="array" ref="BR168">IF(VLOOKUP($R168,武学奇术!$A:$ZZ,24,FALSE)=1,100%,MIN(40%,$B$10+VLOOKUP($R168,武学奇术!$A:$ZZ,19,FALSE)+SUM(_xlfn.XLOOKUP(S168:AL168,增益!$A:$A,增益!$S:$S,0)))+$B$12+SUM(_xlfn.XLOOKUP(S168:AL168,增益!$A:$A,增益!$V:$V,0)))*IF(VLOOKUP($R168,武学奇术!$A:$ZZ,23,FALSE)=1,0,1)</f>
        <v>0.0913</v>
      </c>
      <c r="BS168" s="23" cm="1">
        <f t="array" ref="BS168">1+$B$14+VLOOKUP($R168,武学奇术!$A:$ZZ,20,FALSE)+SUM(_xlfn.XLOOKUP(S168:AL168,增益!$A:$A,增益!$T:$T,0))</f>
        <v>1.35</v>
      </c>
      <c r="BT168" s="23">
        <f t="shared" si="32"/>
        <v>0.8819441</v>
      </c>
      <c r="BU168" s="23">
        <f t="shared" si="33"/>
        <v>0.0215763099999999</v>
      </c>
      <c r="BV168" s="23">
        <f>IF(VLOOKUP($R168,武学奇术!$A:$ZZ,22,FALSE)=1,0,(1-$BO168))*(1-$BR168)</f>
        <v>0.00517959000000003</v>
      </c>
      <c r="BW168" s="23" cm="1">
        <f t="array" ref="BW168">SUM(_xlfn.XLOOKUP(S168:AL168,增益!$A:$A,增益!$W:$W,0))+$I$5</f>
        <v>0.11</v>
      </c>
      <c r="BX168" s="23">
        <f>VLOOKUP($R168,武学奇术!$A:$ZZ,32,FALSE)</f>
        <v>0</v>
      </c>
      <c r="BY168" s="23" cm="1">
        <f t="array" ref="BY168">SUM(_xlfn.XLOOKUP($S168:$AL168,增益!$A:$A,增益!$X:$X,0))</f>
        <v>0</v>
      </c>
    </row>
    <row r="169" spans="11:77">
      <c r="K169" s="35">
        <f>$L169*VLOOKUP($R169,武学奇术!$A:$ZZ,31,FALSE)</f>
        <v>47303.7501810462</v>
      </c>
      <c r="L169" s="35">
        <f t="shared" si="34"/>
        <v>46376.2256676924</v>
      </c>
      <c r="M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轻击",$B$21,0))*(1+IF(VLOOKUP($R169,武学奇术!$A:$ZZ,30,FALSE)="老鼠",$B$22,0))*(1+$BW169)*(1+$BX169)</f>
        <v>48792.9549249638</v>
      </c>
      <c r="N169" s="35">
        <f>(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轻击",$B$21,0))*(1+IF(VLOOKUP($R169,武学奇术!$A:$ZZ,30,FALSE)="老鼠",$B$22,0))*(1+$BW169))*(1+$BX169)</f>
        <v>30786.3931134981</v>
      </c>
      <c r="O169" s="35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轻击",$B$21,0))*(1+IF(VLOOKUP($R169,武学奇术!$A:$ZZ,30,FALSE)="老鼠",$B$22,0))*(1+$BW169)*(1+$BX169)</f>
        <v>20381.3512635605</v>
      </c>
      <c r="P169" s="35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轻击",$B$21,0))*(1+IF(VLOOKUP($R169,武学奇术!$A:$ZZ,30,FALSE)="老鼠",$B$22,0))*(1+$BW169)*(1+$BX169)</f>
        <v>17957.9668874927</v>
      </c>
      <c r="Q169" s="36">
        <v>1</v>
      </c>
      <c r="R169" s="37" t="s">
        <v>160</v>
      </c>
      <c r="S169" s="37" t="s">
        <v>91</v>
      </c>
      <c r="T169" s="37" t="s">
        <v>185</v>
      </c>
      <c r="U169" s="37" t="s">
        <v>81</v>
      </c>
      <c r="V169" s="37" t="s">
        <v>81</v>
      </c>
      <c r="W169" s="37" t="s">
        <v>82</v>
      </c>
      <c r="X169" s="37" t="s">
        <v>81</v>
      </c>
      <c r="Y169" s="37" t="s">
        <v>81</v>
      </c>
      <c r="Z169" s="37" t="s">
        <v>83</v>
      </c>
      <c r="AA169" s="37" t="s">
        <v>81</v>
      </c>
      <c r="AB169" s="37" t="s">
        <v>81</v>
      </c>
      <c r="AC169" s="37" t="s">
        <v>81</v>
      </c>
      <c r="AD169" s="37" t="s">
        <v>85</v>
      </c>
      <c r="AE169" s="37" t="s">
        <v>86</v>
      </c>
      <c r="AF169" s="37" t="s">
        <v>81</v>
      </c>
      <c r="AG169" s="37" t="s">
        <v>87</v>
      </c>
      <c r="AH169" s="37" t="s">
        <v>81</v>
      </c>
      <c r="AI169" s="37" t="s">
        <v>81</v>
      </c>
      <c r="AJ169" s="37" t="s">
        <v>81</v>
      </c>
      <c r="AK169" s="37" t="s">
        <v>81</v>
      </c>
      <c r="AL169" s="37" t="s">
        <v>81</v>
      </c>
      <c r="AM169" t="str">
        <f>VLOOKUP($R169,武学奇术!$A:$ZZ,25,FALSE)</f>
        <v>双刀</v>
      </c>
      <c r="AN169" s="23">
        <f>VLOOKUP($R169,武学奇术!$A:$ZZ,26,FALSE)</f>
        <v>1.3548</v>
      </c>
      <c r="AO169" s="24">
        <f>VLOOKUP($R169,武学奇术!$A:$ZZ,27,FALSE)*(1+IF(OR($AM169=$F$4,$AM169=$F$5),$B$23,0))</f>
        <v>601.6</v>
      </c>
      <c r="AP169" s="23">
        <f>VLOOKUP($R169,武学奇术!$A:$ZZ,28,FALSE)</f>
        <v>2.0322</v>
      </c>
      <c r="AQ169" s="24">
        <f>VLOOKUP($R169,武学奇术!$A:$ZZ,29,FALSE)*(1+IF(OR($AM169=$F$4,$AM169=$F$5),$B$23,0))</f>
        <v>328</v>
      </c>
      <c r="AR169" s="23" cm="1">
        <f t="array" ref="AR169">$G$3+IFERROR(VLOOKUP($AM169,$F$4:$G$7,2,FALSE),0)+VLOOKUP($R169,武学奇术!$A:$ZZ,2,FALSE)+SUM(_xlfn.XLOOKUP($S169:$AL169,增益!$A:$A,增益!$B:$B,0))</f>
        <v>0.5743</v>
      </c>
      <c r="AS169" s="23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4013</v>
      </c>
      <c r="AU169" cm="1">
        <f t="array" ref="AU169">$E$10*(1+$AS169)+VLOOKUP($R169,武学奇术!$A:$ZZ,4,FALSE)+SUM(_xlfn.XLOOKUP($S169:$AL169,增益!$A:$A,增益!$D:$D,0))-$I$2</f>
        <v>4013</v>
      </c>
      <c r="AV169" s="29" cm="1">
        <f t="array" ref="AV169">IF($F$10-$I$3+VLOOKUP($R169,武学奇术!$A:$ZZ,6,FALSE)+SUM(_xlfn.XLOOKUP(S169:AL169,增益!$A:$A,增益!$F:$F,0))&gt;0,($F$10-$I$3+VLOOKUP($R169,武学奇术!$A:$ZZ,6,FALSE)+SUM(_xlfn.XLOOKUP(S169:AL169,增益!$A:$A,增益!$F:$F,0)))/200,($F$10-$I$3+VLOOKUP($R169,武学奇术!$A:$ZZ,6,FALSE)+SUM(_xlfn.XLOOKUP(S169:AL169,增益!$A:$A,增益!$F:$F,0)))/100)</f>
        <v>0.3689</v>
      </c>
      <c r="AW169" s="29" cm="1">
        <f t="array" ref="AW169">$G$10+VLOOKUP($R169,武学奇术!$A:$ZZ,7,FALSE)+SUM(_xlfn.XLOOKUP(S169:AL169,增益!$A:$A,增益!$G:$G,0))</f>
        <v>0</v>
      </c>
      <c r="AX169" s="23" cm="1">
        <f t="array" ref="AX169">VLOOKUP($R169,武学奇术!$A:$ZZ,8,FALSE)+SUM(_xlfn.XLOOKUP(S169:AL169,增益!$A:$A,增益!$H:$H,0))</f>
        <v>0</v>
      </c>
      <c r="AY169">
        <f t="shared" si="24"/>
        <v>0</v>
      </c>
      <c r="AZ169">
        <f t="shared" si="25"/>
        <v>0</v>
      </c>
      <c r="BA169" s="29" cm="1">
        <f t="array" ref="BA169">IF($F$11-$I$4+VLOOKUP($R169,武学奇术!$A:$ZZ,9,FALSE)+SUM(_xlfn.XLOOKUP(S169:AL169,增益!$A:$A,增益!$I:$I,0))&gt;0,($F$11-$I$4+VLOOKUP($R169,武学奇术!$A:$ZZ,9,FALSE)+SUM(_xlfn.XLOOKUP(S169:AL169,增益!$A:$A,增益!$I:$I,0)))/200,($F$11-$I$4+VLOOKUP($R169,武学奇术!$A:$ZZ,9,FALSE)+SUM(_xlfn.XLOOKUP(S169:AL169,增益!$A:$A,增益!$I:$I,0)))/100)</f>
        <v>-0.3</v>
      </c>
      <c r="BB169" s="29" cm="1">
        <f t="array" ref="BB169">$G$11+VLOOKUP($R169,武学奇术!$A:$ZZ,10,FALSE)+SUM(_xlfn.XLOOKUP(S169:AL169,增益!$A:$A,增益!$J:$J,0))</f>
        <v>0</v>
      </c>
      <c r="BC169">
        <f t="shared" si="26"/>
        <v>0</v>
      </c>
      <c r="BD169">
        <f t="shared" si="27"/>
        <v>0</v>
      </c>
      <c r="BE169" s="29" cm="1">
        <f t="array" ref="BE169">IF($F$12-$I$4+VLOOKUP($R169,武学奇术!$A:$ZZ,11,FALSE)+SUM(_xlfn.XLOOKUP(S169:AL169,增益!$A:$A,增益!$K:$K,0))&gt;0,($F$12-$I$4+VLOOKUP($R169,武学奇术!$A:$ZZ,11,FALSE)+SUM(_xlfn.XLOOKUP(S169:AL169,增益!$A:$A,增益!$K:$K,0)))/200,($F$12-$I$4+VLOOKUP($R169,武学奇术!$A:$ZZ,11,FALSE)+SUM(_xlfn.XLOOKUP(S169:AL169,增益!$A:$A,增益!$K:$K,0)))/100)</f>
        <v>-0.3</v>
      </c>
      <c r="BF169" s="29" cm="1">
        <f t="array" ref="BF169">$G$12+VLOOKUP($R169,武学奇术!$A:$ZZ,12,FALSE)+SUM(_xlfn.XLOOKUP(S169:AL169,增益!$A:$A,增益!$L:$L,0))</f>
        <v>0</v>
      </c>
      <c r="BG169">
        <f t="shared" si="28"/>
        <v>0</v>
      </c>
      <c r="BH169">
        <f t="shared" si="29"/>
        <v>0</v>
      </c>
      <c r="BI169" s="29" cm="1">
        <f t="array" ref="BI169">IF($F$13-$I$4+VLOOKUP($R169,武学奇术!$A:$ZZ,13,FALSE)+SUM(_xlfn.XLOOKUP(S169:AL169,增益!$A:$A,增益!$M:$M,0))&gt;0,($F$13-$I$4+VLOOKUP($R169,武学奇术!$A:$ZZ,13,FALSE)+SUM(_xlfn.XLOOKUP(S169:AL169,增益!$A:$A,增益!$K:$K,0)))/200,($F$13-$I$4+VLOOKUP($R169,武学奇术!$A:$ZZ,13,FALSE)+SUM(_xlfn.XLOOKUP(S169:AL169,增益!$A:$A,增益!$M:$M,0)))/100)</f>
        <v>-0.3</v>
      </c>
      <c r="BJ169" s="29" cm="1">
        <f t="array" ref="BJ169">$G$13+VLOOKUP($R169,武学奇术!$A:$ZZ,14,FALSE)+SUM(_xlfn.XLOOKUP(S169:AL169,增益!$A:$A,增益!$N:$N,0))</f>
        <v>0</v>
      </c>
      <c r="BK169">
        <f t="shared" si="30"/>
        <v>618.2</v>
      </c>
      <c r="BL169">
        <f t="shared" si="31"/>
        <v>1805</v>
      </c>
      <c r="BM169" s="29" cm="1">
        <f t="array" ref="BM169">IF($F$14-$I$4+VLOOKUP($R169,武学奇术!$A:$ZZ,15,FALSE)+SUM(_xlfn.XLOOKUP(S169:AL169,增益!$A:$A,增益!$O:$O,0))&gt;0,($F$14-$I$4+VLOOKUP($R169,武学奇术!$A:$ZZ,15,FALSE)+SUM(_xlfn.XLOOKUP(S169:AL169,增益!$A:$A,增益!$O:$O,0)))/200,($F$14-$I$4+VLOOKUP($R169,武学奇术!$A:$ZZ,15,FALSE)+SUM(_xlfn.XLOOKUP(S169:AL169,增益!$A:$A,增益!$O:$O,0)))/100)</f>
        <v>0</v>
      </c>
      <c r="BN169" s="29" cm="1">
        <f t="array" ref="BN169">$G$14+VLOOKUP($R169,武学奇术!$A:$ZZ,16,FALSE)+SUM(_xlfn.XLOOKUP(S169:AL169,增益!$A:$A,增益!$P:$P,0))</f>
        <v>0.15</v>
      </c>
      <c r="BO169" s="23">
        <f>MIN(IF(VLOOKUP($R169,武学奇术!$A:$ZZ,23,FALSE)=1,100%,$B$8),100%)</f>
        <v>0.9943</v>
      </c>
      <c r="BP169" s="23" cm="1">
        <f t="array" ref="BP169">IF(VLOOKUP($R169,武学奇术!$A:$ZZ,23,FALSE)=1,100%,MIN(80%,$B$9+VLOOKUP($R169,武学奇术!$A:$ZZ,17,FALSE)+SUM(_xlfn.XLOOKUP(S169:AL169,增益!$A:$A,增益!$Q:$Q,0)))+$B$11+SUM(_xlfn.XLOOKUP(S169:AL169,增益!$A:$A,增益!$U:$U,0)))*IF(VLOOKUP($R169,武学奇术!$A:$ZZ,24,FALSE)=1,0,1)</f>
        <v>0.887</v>
      </c>
      <c r="BQ169" s="23" cm="1">
        <f t="array" ref="BQ169">1+$B$13+VLOOKUP($R169,武学奇术!$A:$ZZ,18,FALSE)+SUM(_xlfn.XLOOKUP(S169:AL169,增益!$A:$A,增益!$R:$R,0))</f>
        <v>2.394</v>
      </c>
      <c r="BR169" s="23" cm="1">
        <f t="array" ref="BR169">IF(VLOOKUP($R169,武学奇术!$A:$ZZ,24,FALSE)=1,100%,MIN(40%,$B$10+VLOOKUP($R169,武学奇术!$A:$ZZ,19,FALSE)+SUM(_xlfn.XLOOKUP(S169:AL169,增益!$A:$A,增益!$S:$S,0)))+$B$12+SUM(_xlfn.XLOOKUP(S169:AL169,增益!$A:$A,增益!$V:$V,0)))*IF(VLOOKUP($R169,武学奇术!$A:$ZZ,23,FALSE)=1,0,1)</f>
        <v>0.0913</v>
      </c>
      <c r="BS169" s="23" cm="1">
        <f t="array" ref="BS169">1+$B$14+VLOOKUP($R169,武学奇术!$A:$ZZ,20,FALSE)+SUM(_xlfn.XLOOKUP(S169:AL169,增益!$A:$A,增益!$T:$T,0))</f>
        <v>1.35</v>
      </c>
      <c r="BT169" s="23">
        <f t="shared" si="32"/>
        <v>0.8819441</v>
      </c>
      <c r="BU169" s="23">
        <f t="shared" si="33"/>
        <v>0.0215763099999999</v>
      </c>
      <c r="BV169" s="23">
        <f>IF(VLOOKUP($R169,武学奇术!$A:$ZZ,22,FALSE)=1,0,(1-$BO169))*(1-$BR169)</f>
        <v>0.00517959000000003</v>
      </c>
      <c r="BW169" s="23" cm="1">
        <f t="array" ref="BW169">SUM(_xlfn.XLOOKUP(S169:AL169,增益!$A:$A,增益!$W:$W,0))+$I$5</f>
        <v>0.11</v>
      </c>
      <c r="BX169" s="23">
        <f>VLOOKUP($R169,武学奇术!$A:$ZZ,32,FALSE)</f>
        <v>0</v>
      </c>
      <c r="BY169" s="23" cm="1">
        <f t="array" ref="BY169">SUM(_xlfn.XLOOKUP($S169:$AL169,增益!$A:$A,增益!$X:$X,0))</f>
        <v>0</v>
      </c>
    </row>
    <row r="170" spans="11:77">
      <c r="K170" s="35">
        <f>$L170*VLOOKUP($R170,武学奇术!$A:$ZZ,31,FALSE)</f>
        <v>31869.8210944889</v>
      </c>
      <c r="L170" s="35">
        <f t="shared" si="34"/>
        <v>28455.1974057936</v>
      </c>
      <c r="M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轻击",$B$21,0))*(1+IF(VLOOKUP($R170,武学奇术!$A:$ZZ,30,FALSE)="老鼠",$B$22,0))*(1+$BW170)*(1+$BX170)</f>
        <v>29934.6385101434</v>
      </c>
      <c r="N170" s="35">
        <f>(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轻击",$B$21,0))*(1+IF(VLOOKUP($R170,武学奇术!$A:$ZZ,30,FALSE)="老鼠",$B$22,0))*(1+$BW170))*(1+$BX170)</f>
        <v>18924.4862259147</v>
      </c>
      <c r="O170" s="35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轻击",$B$21,0))*(1+IF(VLOOKUP($R170,武学奇术!$A:$ZZ,30,FALSE)="老鼠",$B$22,0))*(1+$BW170)*(1+$BX170)</f>
        <v>12504.026111171</v>
      </c>
      <c r="P170" s="35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轻击",$B$21,0))*(1+IF(VLOOKUP($R170,武学奇术!$A:$ZZ,30,FALSE)="老鼠",$B$22,0))*(1+$BW170)*(1+$BX170)</f>
        <v>10989.9142772201</v>
      </c>
      <c r="Q170" s="36">
        <v>1</v>
      </c>
      <c r="R170" s="37" t="s">
        <v>139</v>
      </c>
      <c r="S170" s="37" t="s">
        <v>91</v>
      </c>
      <c r="T170" s="37" t="s">
        <v>185</v>
      </c>
      <c r="U170" s="37" t="s">
        <v>112</v>
      </c>
      <c r="V170" s="37" t="s">
        <v>113</v>
      </c>
      <c r="W170" s="37" t="s">
        <v>82</v>
      </c>
      <c r="X170" s="37" t="s">
        <v>81</v>
      </c>
      <c r="Y170" s="37" t="s">
        <v>109</v>
      </c>
      <c r="Z170" s="37" t="s">
        <v>83</v>
      </c>
      <c r="AA170" s="37" t="s">
        <v>81</v>
      </c>
      <c r="AB170" s="37" t="s">
        <v>81</v>
      </c>
      <c r="AC170" s="37" t="s">
        <v>81</v>
      </c>
      <c r="AD170" s="37" t="s">
        <v>85</v>
      </c>
      <c r="AE170" s="37" t="s">
        <v>86</v>
      </c>
      <c r="AF170" s="37" t="s">
        <v>81</v>
      </c>
      <c r="AG170" s="37" t="s">
        <v>87</v>
      </c>
      <c r="AH170" s="37" t="s">
        <v>81</v>
      </c>
      <c r="AI170" s="37" t="s">
        <v>81</v>
      </c>
      <c r="AJ170" s="37" t="s">
        <v>81</v>
      </c>
      <c r="AK170" s="37" t="s">
        <v>81</v>
      </c>
      <c r="AL170" s="37" t="s">
        <v>81</v>
      </c>
      <c r="AM170" t="str">
        <f>VLOOKUP($R170,武学奇术!$A:$ZZ,25,FALSE)</f>
        <v>双刀</v>
      </c>
      <c r="AN170" s="23">
        <f>VLOOKUP($R170,武学奇术!$A:$ZZ,26,FALSE)</f>
        <v>0.6472</v>
      </c>
      <c r="AO170" s="24">
        <f>VLOOKUP($R170,武学奇术!$A:$ZZ,27,FALSE)*(1+IF(OR($AM170=$F$4,$AM170=$F$5),$B$23,0))</f>
        <v>288</v>
      </c>
      <c r="AP170" s="23">
        <f>VLOOKUP($R170,武学奇术!$A:$ZZ,28,FALSE)</f>
        <v>0.9708</v>
      </c>
      <c r="AQ170" s="24">
        <f>VLOOKUP($R170,武学奇术!$A:$ZZ,29,FALSE)*(1+IF(OR($AM170=$F$4,$AM170=$F$5),$B$23,0))</f>
        <v>156.8</v>
      </c>
      <c r="AR170" s="23" cm="1">
        <f t="array" ref="AR170">$G$3+IFERROR(VLOOKUP($AM170,$F$4:$G$7,2,FALSE),0)+VLOOKUP($R170,武学奇术!$A:$ZZ,2,FALSE)+SUM(_xlfn.XLOOKUP($S170:$AL170,增益!$A:$A,增益!$B:$B,0))</f>
        <v>0.6943</v>
      </c>
      <c r="AS170" s="23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4081.7</v>
      </c>
      <c r="AU170" cm="1">
        <f t="array" ref="AU170">$E$10*(1+$AS170)+VLOOKUP($R170,武学奇术!$A:$ZZ,4,FALSE)+SUM(_xlfn.XLOOKUP($S170:$AL170,增益!$A:$A,增益!$D:$D,0))-$I$2</f>
        <v>4081.7</v>
      </c>
      <c r="AV170" s="29" cm="1">
        <f t="array" ref="AV170">IF($F$10-$I$3+VLOOKUP($R170,武学奇术!$A:$ZZ,6,FALSE)+SUM(_xlfn.XLOOKUP(S170:AL170,增益!$A:$A,增益!$F:$F,0))&gt;0,($F$10-$I$3+VLOOKUP($R170,武学奇术!$A:$ZZ,6,FALSE)+SUM(_xlfn.XLOOKUP(S170:AL170,增益!$A:$A,增益!$F:$F,0)))/200,($F$10-$I$3+VLOOKUP($R170,武学奇术!$A:$ZZ,6,FALSE)+SUM(_xlfn.XLOOKUP(S170:AL170,增益!$A:$A,增益!$F:$F,0)))/100)</f>
        <v>0.3689</v>
      </c>
      <c r="AW170" s="29" cm="1">
        <f t="array" ref="AW170">$G$10+VLOOKUP($R170,武学奇术!$A:$ZZ,7,FALSE)+SUM(_xlfn.XLOOKUP(S170:AL170,增益!$A:$A,增益!$G:$G,0))</f>
        <v>0.06</v>
      </c>
      <c r="AX170" s="23" cm="1">
        <f t="array" ref="AX170">VLOOKUP($R170,武学奇术!$A:$ZZ,8,FALSE)+SUM(_xlfn.XLOOKUP(S170:AL170,增益!$A:$A,增益!$H:$H,0))</f>
        <v>0</v>
      </c>
      <c r="AY170">
        <f t="shared" si="24"/>
        <v>0</v>
      </c>
      <c r="AZ170">
        <f t="shared" si="25"/>
        <v>0</v>
      </c>
      <c r="BA170" s="29" cm="1">
        <f t="array" ref="BA170">IF($F$11-$I$4+VLOOKUP($R170,武学奇术!$A:$ZZ,9,FALSE)+SUM(_xlfn.XLOOKUP(S170:AL170,增益!$A:$A,增益!$I:$I,0))&gt;0,($F$11-$I$4+VLOOKUP($R170,武学奇术!$A:$ZZ,9,FALSE)+SUM(_xlfn.XLOOKUP(S170:AL170,增益!$A:$A,增益!$I:$I,0)))/200,($F$11-$I$4+VLOOKUP($R170,武学奇术!$A:$ZZ,9,FALSE)+SUM(_xlfn.XLOOKUP(S170:AL170,增益!$A:$A,增益!$I:$I,0)))/100)</f>
        <v>-0.3</v>
      </c>
      <c r="BB170" s="29" cm="1">
        <f t="array" ref="BB170">$G$11+VLOOKUP($R170,武学奇术!$A:$ZZ,10,FALSE)+SUM(_xlfn.XLOOKUP(S170:AL170,增益!$A:$A,增益!$J:$J,0))</f>
        <v>0</v>
      </c>
      <c r="BC170">
        <f t="shared" si="26"/>
        <v>0</v>
      </c>
      <c r="BD170">
        <f t="shared" si="27"/>
        <v>0</v>
      </c>
      <c r="BE170" s="29" cm="1">
        <f t="array" ref="BE170">IF($F$12-$I$4+VLOOKUP($R170,武学奇术!$A:$ZZ,11,FALSE)+SUM(_xlfn.XLOOKUP(S170:AL170,增益!$A:$A,增益!$K:$K,0))&gt;0,($F$12-$I$4+VLOOKUP($R170,武学奇术!$A:$ZZ,11,FALSE)+SUM(_xlfn.XLOOKUP(S170:AL170,增益!$A:$A,增益!$K:$K,0)))/200,($F$12-$I$4+VLOOKUP($R170,武学奇术!$A:$ZZ,11,FALSE)+SUM(_xlfn.XLOOKUP(S170:AL170,增益!$A:$A,增益!$K:$K,0)))/100)</f>
        <v>-0.3</v>
      </c>
      <c r="BF170" s="29" cm="1">
        <f t="array" ref="BF170">$G$12+VLOOKUP($R170,武学奇术!$A:$ZZ,12,FALSE)+SUM(_xlfn.XLOOKUP(S170:AL170,增益!$A:$A,增益!$L:$L,0))</f>
        <v>0</v>
      </c>
      <c r="BG170">
        <f t="shared" si="28"/>
        <v>0</v>
      </c>
      <c r="BH170">
        <f t="shared" si="29"/>
        <v>0</v>
      </c>
      <c r="BI170" s="29" cm="1">
        <f t="array" ref="BI170">IF($F$13-$I$4+VLOOKUP($R170,武学奇术!$A:$ZZ,13,FALSE)+SUM(_xlfn.XLOOKUP(S170:AL170,增益!$A:$A,增益!$M:$M,0))&gt;0,($F$13-$I$4+VLOOKUP($R170,武学奇术!$A:$ZZ,13,FALSE)+SUM(_xlfn.XLOOKUP(S170:AL170,增益!$A:$A,增益!$K:$K,0)))/200,($F$13-$I$4+VLOOKUP($R170,武学奇术!$A:$ZZ,13,FALSE)+SUM(_xlfn.XLOOKUP(S170:AL170,增益!$A:$A,增益!$M:$M,0)))/100)</f>
        <v>-0.3</v>
      </c>
      <c r="BJ170" s="29" cm="1">
        <f t="array" ref="BJ170">$G$13+VLOOKUP($R170,武学奇术!$A:$ZZ,14,FALSE)+SUM(_xlfn.XLOOKUP(S170:AL170,增益!$A:$A,增益!$N:$N,0))</f>
        <v>0</v>
      </c>
      <c r="BK170">
        <f t="shared" si="30"/>
        <v>618.2</v>
      </c>
      <c r="BL170">
        <f t="shared" si="31"/>
        <v>1805</v>
      </c>
      <c r="BM170" s="29" cm="1">
        <f t="array" ref="BM170">IF($F$14-$I$4+VLOOKUP($R170,武学奇术!$A:$ZZ,15,FALSE)+SUM(_xlfn.XLOOKUP(S170:AL170,增益!$A:$A,增益!$O:$O,0))&gt;0,($F$14-$I$4+VLOOKUP($R170,武学奇术!$A:$ZZ,15,FALSE)+SUM(_xlfn.XLOOKUP(S170:AL170,增益!$A:$A,增益!$O:$O,0)))/200,($F$14-$I$4+VLOOKUP($R170,武学奇术!$A:$ZZ,15,FALSE)+SUM(_xlfn.XLOOKUP(S170:AL170,增益!$A:$A,增益!$O:$O,0)))/100)</f>
        <v>0.05</v>
      </c>
      <c r="BN170" s="29" cm="1">
        <f t="array" ref="BN170">$G$14+VLOOKUP($R170,武学奇术!$A:$ZZ,16,FALSE)+SUM(_xlfn.XLOOKUP(S170:AL170,增益!$A:$A,增益!$P:$P,0))</f>
        <v>0.21</v>
      </c>
      <c r="BO170" s="23">
        <f>MIN(IF(VLOOKUP($R170,武学奇术!$A:$ZZ,23,FALSE)=1,100%,$B$8),100%)</f>
        <v>0.9943</v>
      </c>
      <c r="BP170" s="23" cm="1">
        <f t="array" ref="BP170">IF(VLOOKUP($R170,武学奇术!$A:$ZZ,23,FALSE)=1,100%,MIN(80%,$B$9+VLOOKUP($R170,武学奇术!$A:$ZZ,17,FALSE)+SUM(_xlfn.XLOOKUP(S170:AL170,增益!$A:$A,增益!$Q:$Q,0)))+$B$11+SUM(_xlfn.XLOOKUP(S170:AL170,增益!$A:$A,增益!$U:$U,0)))*IF(VLOOKUP($R170,武学奇术!$A:$ZZ,24,FALSE)=1,0,1)</f>
        <v>0.887</v>
      </c>
      <c r="BQ170" s="23" cm="1">
        <f t="array" ref="BQ170">1+$B$13+VLOOKUP($R170,武学奇术!$A:$ZZ,18,FALSE)+SUM(_xlfn.XLOOKUP(S170:AL170,增益!$A:$A,增益!$R:$R,0))</f>
        <v>2.394</v>
      </c>
      <c r="BR170" s="23" cm="1">
        <f t="array" ref="BR170">IF(VLOOKUP($R170,武学奇术!$A:$ZZ,24,FALSE)=1,100%,MIN(40%,$B$10+VLOOKUP($R170,武学奇术!$A:$ZZ,19,FALSE)+SUM(_xlfn.XLOOKUP(S170:AL170,增益!$A:$A,增益!$S:$S,0)))+$B$12+SUM(_xlfn.XLOOKUP(S170:AL170,增益!$A:$A,增益!$V:$V,0)))*IF(VLOOKUP($R170,武学奇术!$A:$ZZ,23,FALSE)=1,0,1)</f>
        <v>0.0913</v>
      </c>
      <c r="BS170" s="23" cm="1">
        <f t="array" ref="BS170">1+$B$14+VLOOKUP($R170,武学奇术!$A:$ZZ,20,FALSE)+SUM(_xlfn.XLOOKUP(S170:AL170,增益!$A:$A,增益!$T:$T,0))</f>
        <v>1.35</v>
      </c>
      <c r="BT170" s="23">
        <f t="shared" si="32"/>
        <v>0.8819441</v>
      </c>
      <c r="BU170" s="23">
        <f t="shared" si="33"/>
        <v>0.0215763099999999</v>
      </c>
      <c r="BV170" s="23">
        <f>IF(VLOOKUP($R170,武学奇术!$A:$ZZ,22,FALSE)=1,0,(1-$BO170))*(1-$BR170)</f>
        <v>0.00517959000000003</v>
      </c>
      <c r="BW170" s="23" cm="1">
        <f t="array" ref="BW170">SUM(_xlfn.XLOOKUP(S170:AL170,增益!$A:$A,增益!$W:$W,0))+$I$5</f>
        <v>0.11</v>
      </c>
      <c r="BX170" s="23">
        <f>VLOOKUP($R170,武学奇术!$A:$ZZ,32,FALSE)</f>
        <v>0.1</v>
      </c>
      <c r="BY170" s="23" cm="1">
        <f t="array" ref="BY170">SUM(_xlfn.XLOOKUP($S170:$AL170,增益!$A:$A,增益!$X:$X,0))</f>
        <v>0</v>
      </c>
    </row>
    <row r="171" spans="11:77">
      <c r="K171" s="35">
        <f>$L171*VLOOKUP($R171,武学奇术!$A:$ZZ,31,FALSE)</f>
        <v>44362.2603505392</v>
      </c>
      <c r="L171" s="35">
        <f t="shared" si="34"/>
        <v>39609.1610272671</v>
      </c>
      <c r="M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轻击",$B$21,0))*(1+IF(VLOOKUP($R171,武学奇术!$A:$ZZ,30,FALSE)="老鼠",$B$22,0))*(1+$BW171)*(1+$BX171)</f>
        <v>41668.4282331196</v>
      </c>
      <c r="N171" s="35">
        <f>(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轻击",$B$21,0))*(1+IF(VLOOKUP($R171,武学奇术!$A:$ZZ,30,FALSE)="老鼠",$B$22,0))*(1+$BW171))*(1+$BX171)</f>
        <v>26343.492834125</v>
      </c>
      <c r="O171" s="35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轻击",$B$21,0))*(1+IF(VLOOKUP($R171,武学奇术!$A:$ZZ,30,FALSE)="老鼠",$B$22,0))*(1+$BW171)*(1+$BX171)</f>
        <v>17405.3584933666</v>
      </c>
      <c r="P171" s="35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轻击",$B$21,0))*(1+IF(VLOOKUP($R171,武学奇术!$A:$ZZ,30,FALSE)="老鼠",$B$22,0))*(1+$BW171)*(1+$BX171)</f>
        <v>15297.0185910851</v>
      </c>
      <c r="Q171" s="36">
        <v>1</v>
      </c>
      <c r="R171" s="37" t="s">
        <v>143</v>
      </c>
      <c r="S171" s="37" t="s">
        <v>91</v>
      </c>
      <c r="T171" s="37" t="s">
        <v>185</v>
      </c>
      <c r="U171" s="37" t="s">
        <v>112</v>
      </c>
      <c r="V171" s="37" t="s">
        <v>113</v>
      </c>
      <c r="W171" s="37" t="s">
        <v>82</v>
      </c>
      <c r="X171" s="37" t="s">
        <v>81</v>
      </c>
      <c r="Y171" s="37" t="s">
        <v>109</v>
      </c>
      <c r="Z171" s="37" t="s">
        <v>83</v>
      </c>
      <c r="AA171" s="37" t="s">
        <v>81</v>
      </c>
      <c r="AB171" s="37" t="s">
        <v>81</v>
      </c>
      <c r="AC171" s="37" t="s">
        <v>81</v>
      </c>
      <c r="AD171" s="37" t="s">
        <v>85</v>
      </c>
      <c r="AE171" s="37" t="s">
        <v>86</v>
      </c>
      <c r="AF171" s="37" t="s">
        <v>81</v>
      </c>
      <c r="AG171" s="37" t="s">
        <v>87</v>
      </c>
      <c r="AH171" s="37" t="s">
        <v>81</v>
      </c>
      <c r="AI171" s="37" t="s">
        <v>81</v>
      </c>
      <c r="AJ171" s="37" t="s">
        <v>81</v>
      </c>
      <c r="AK171" s="37" t="s">
        <v>81</v>
      </c>
      <c r="AL171" s="37" t="s">
        <v>81</v>
      </c>
      <c r="AM171" t="str">
        <f>VLOOKUP($R171,武学奇术!$A:$ZZ,25,FALSE)</f>
        <v>双刀</v>
      </c>
      <c r="AN171" s="23">
        <f>VLOOKUP($R171,武学奇术!$A:$ZZ,26,FALSE)</f>
        <v>0.9012</v>
      </c>
      <c r="AO171" s="24">
        <f>VLOOKUP($R171,武学奇术!$A:$ZZ,27,FALSE)*(1+IF(OR($AM171=$F$4,$AM171=$F$5),$B$23,0))</f>
        <v>400</v>
      </c>
      <c r="AP171" s="23">
        <f>VLOOKUP($R171,武学奇术!$A:$ZZ,28,FALSE)</f>
        <v>1.3518</v>
      </c>
      <c r="AQ171" s="24">
        <f>VLOOKUP($R171,武学奇术!$A:$ZZ,29,FALSE)*(1+IF(OR($AM171=$F$4,$AM171=$F$5),$B$23,0))</f>
        <v>217.6</v>
      </c>
      <c r="AR171" s="23" cm="1">
        <f t="array" ref="AR171">$G$3+IFERROR(VLOOKUP($AM171,$F$4:$G$7,2,FALSE),0)+VLOOKUP($R171,武学奇术!$A:$ZZ,2,FALSE)+SUM(_xlfn.XLOOKUP($S171:$AL171,增益!$A:$A,增益!$B:$B,0))</f>
        <v>0.6943</v>
      </c>
      <c r="AS171" s="23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4081.7</v>
      </c>
      <c r="AU171" cm="1">
        <f t="array" ref="AU171">$E$10*(1+$AS171)+VLOOKUP($R171,武学奇术!$A:$ZZ,4,FALSE)+SUM(_xlfn.XLOOKUP($S171:$AL171,增益!$A:$A,增益!$D:$D,0))-$I$2</f>
        <v>4081.7</v>
      </c>
      <c r="AV171" s="29" cm="1">
        <f t="array" ref="AV171">IF($F$10-$I$3+VLOOKUP($R171,武学奇术!$A:$ZZ,6,FALSE)+SUM(_xlfn.XLOOKUP(S171:AL171,增益!$A:$A,增益!$F:$F,0))&gt;0,($F$10-$I$3+VLOOKUP($R171,武学奇术!$A:$ZZ,6,FALSE)+SUM(_xlfn.XLOOKUP(S171:AL171,增益!$A:$A,增益!$F:$F,0)))/200,($F$10-$I$3+VLOOKUP($R171,武学奇术!$A:$ZZ,6,FALSE)+SUM(_xlfn.XLOOKUP(S171:AL171,增益!$A:$A,增益!$F:$F,0)))/100)</f>
        <v>0.3689</v>
      </c>
      <c r="AW171" s="29" cm="1">
        <f t="array" ref="AW171">$G$10+VLOOKUP($R171,武学奇术!$A:$ZZ,7,FALSE)+SUM(_xlfn.XLOOKUP(S171:AL171,增益!$A:$A,增益!$G:$G,0))</f>
        <v>0.06</v>
      </c>
      <c r="AX171" s="23" cm="1">
        <f t="array" ref="AX171">VLOOKUP($R171,武学奇术!$A:$ZZ,8,FALSE)+SUM(_xlfn.XLOOKUP(S171:AL171,增益!$A:$A,增益!$H:$H,0))</f>
        <v>0</v>
      </c>
      <c r="AY171">
        <f t="shared" si="24"/>
        <v>0</v>
      </c>
      <c r="AZ171">
        <f t="shared" si="25"/>
        <v>0</v>
      </c>
      <c r="BA171" s="29" cm="1">
        <f t="array" ref="BA171">IF($F$11-$I$4+VLOOKUP($R171,武学奇术!$A:$ZZ,9,FALSE)+SUM(_xlfn.XLOOKUP(S171:AL171,增益!$A:$A,增益!$I:$I,0))&gt;0,($F$11-$I$4+VLOOKUP($R171,武学奇术!$A:$ZZ,9,FALSE)+SUM(_xlfn.XLOOKUP(S171:AL171,增益!$A:$A,增益!$I:$I,0)))/200,($F$11-$I$4+VLOOKUP($R171,武学奇术!$A:$ZZ,9,FALSE)+SUM(_xlfn.XLOOKUP(S171:AL171,增益!$A:$A,增益!$I:$I,0)))/100)</f>
        <v>-0.3</v>
      </c>
      <c r="BB171" s="29" cm="1">
        <f t="array" ref="BB171">$G$11+VLOOKUP($R171,武学奇术!$A:$ZZ,10,FALSE)+SUM(_xlfn.XLOOKUP(S171:AL171,增益!$A:$A,增益!$J:$J,0))</f>
        <v>0</v>
      </c>
      <c r="BC171">
        <f t="shared" si="26"/>
        <v>0</v>
      </c>
      <c r="BD171">
        <f t="shared" si="27"/>
        <v>0</v>
      </c>
      <c r="BE171" s="29" cm="1">
        <f t="array" ref="BE171">IF($F$12-$I$4+VLOOKUP($R171,武学奇术!$A:$ZZ,11,FALSE)+SUM(_xlfn.XLOOKUP(S171:AL171,增益!$A:$A,增益!$K:$K,0))&gt;0,($F$12-$I$4+VLOOKUP($R171,武学奇术!$A:$ZZ,11,FALSE)+SUM(_xlfn.XLOOKUP(S171:AL171,增益!$A:$A,增益!$K:$K,0)))/200,($F$12-$I$4+VLOOKUP($R171,武学奇术!$A:$ZZ,11,FALSE)+SUM(_xlfn.XLOOKUP(S171:AL171,增益!$A:$A,增益!$K:$K,0)))/100)</f>
        <v>-0.3</v>
      </c>
      <c r="BF171" s="29" cm="1">
        <f t="array" ref="BF171">$G$12+VLOOKUP($R171,武学奇术!$A:$ZZ,12,FALSE)+SUM(_xlfn.XLOOKUP(S171:AL171,增益!$A:$A,增益!$L:$L,0))</f>
        <v>0</v>
      </c>
      <c r="BG171">
        <f t="shared" si="28"/>
        <v>0</v>
      </c>
      <c r="BH171">
        <f t="shared" si="29"/>
        <v>0</v>
      </c>
      <c r="BI171" s="29" cm="1">
        <f t="array" ref="BI171">IF($F$13-$I$4+VLOOKUP($R171,武学奇术!$A:$ZZ,13,FALSE)+SUM(_xlfn.XLOOKUP(S171:AL171,增益!$A:$A,增益!$M:$M,0))&gt;0,($F$13-$I$4+VLOOKUP($R171,武学奇术!$A:$ZZ,13,FALSE)+SUM(_xlfn.XLOOKUP(S171:AL171,增益!$A:$A,增益!$K:$K,0)))/200,($F$13-$I$4+VLOOKUP($R171,武学奇术!$A:$ZZ,13,FALSE)+SUM(_xlfn.XLOOKUP(S171:AL171,增益!$A:$A,增益!$M:$M,0)))/100)</f>
        <v>-0.3</v>
      </c>
      <c r="BJ171" s="29" cm="1">
        <f t="array" ref="BJ171">$G$13+VLOOKUP($R171,武学奇术!$A:$ZZ,14,FALSE)+SUM(_xlfn.XLOOKUP(S171:AL171,增益!$A:$A,增益!$N:$N,0))</f>
        <v>0</v>
      </c>
      <c r="BK171">
        <f t="shared" si="30"/>
        <v>618.2</v>
      </c>
      <c r="BL171">
        <f t="shared" si="31"/>
        <v>1805</v>
      </c>
      <c r="BM171" s="29" cm="1">
        <f t="array" ref="BM171">IF($F$14-$I$4+VLOOKUP($R171,武学奇术!$A:$ZZ,15,FALSE)+SUM(_xlfn.XLOOKUP(S171:AL171,增益!$A:$A,增益!$O:$O,0))&gt;0,($F$14-$I$4+VLOOKUP($R171,武学奇术!$A:$ZZ,15,FALSE)+SUM(_xlfn.XLOOKUP(S171:AL171,增益!$A:$A,增益!$O:$O,0)))/200,($F$14-$I$4+VLOOKUP($R171,武学奇术!$A:$ZZ,15,FALSE)+SUM(_xlfn.XLOOKUP(S171:AL171,增益!$A:$A,增益!$O:$O,0)))/100)</f>
        <v>0.05</v>
      </c>
      <c r="BN171" s="29" cm="1">
        <f t="array" ref="BN171">$G$14+VLOOKUP($R171,武学奇术!$A:$ZZ,16,FALSE)+SUM(_xlfn.XLOOKUP(S171:AL171,增益!$A:$A,增益!$P:$P,0))</f>
        <v>0.21</v>
      </c>
      <c r="BO171" s="23">
        <f>MIN(IF(VLOOKUP($R171,武学奇术!$A:$ZZ,23,FALSE)=1,100%,$B$8),100%)</f>
        <v>0.9943</v>
      </c>
      <c r="BP171" s="23" cm="1">
        <f t="array" ref="BP171">IF(VLOOKUP($R171,武学奇术!$A:$ZZ,23,FALSE)=1,100%,MIN(80%,$B$9+VLOOKUP($R171,武学奇术!$A:$ZZ,17,FALSE)+SUM(_xlfn.XLOOKUP(S171:AL171,增益!$A:$A,增益!$Q:$Q,0)))+$B$11+SUM(_xlfn.XLOOKUP(S171:AL171,增益!$A:$A,增益!$U:$U,0)))*IF(VLOOKUP($R171,武学奇术!$A:$ZZ,24,FALSE)=1,0,1)</f>
        <v>0.887</v>
      </c>
      <c r="BQ171" s="23" cm="1">
        <f t="array" ref="BQ171">1+$B$13+VLOOKUP($R171,武学奇术!$A:$ZZ,18,FALSE)+SUM(_xlfn.XLOOKUP(S171:AL171,增益!$A:$A,增益!$R:$R,0))</f>
        <v>2.394</v>
      </c>
      <c r="BR171" s="23" cm="1">
        <f t="array" ref="BR171">IF(VLOOKUP($R171,武学奇术!$A:$ZZ,24,FALSE)=1,100%,MIN(40%,$B$10+VLOOKUP($R171,武学奇术!$A:$ZZ,19,FALSE)+SUM(_xlfn.XLOOKUP(S171:AL171,增益!$A:$A,增益!$S:$S,0)))+$B$12+SUM(_xlfn.XLOOKUP(S171:AL171,增益!$A:$A,增益!$V:$V,0)))*IF(VLOOKUP($R171,武学奇术!$A:$ZZ,23,FALSE)=1,0,1)</f>
        <v>0.0913</v>
      </c>
      <c r="BS171" s="23" cm="1">
        <f t="array" ref="BS171">1+$B$14+VLOOKUP($R171,武学奇术!$A:$ZZ,20,FALSE)+SUM(_xlfn.XLOOKUP(S171:AL171,增益!$A:$A,增益!$T:$T,0))</f>
        <v>1.35</v>
      </c>
      <c r="BT171" s="23">
        <f t="shared" si="32"/>
        <v>0.8819441</v>
      </c>
      <c r="BU171" s="23">
        <f t="shared" si="33"/>
        <v>0.0215763099999999</v>
      </c>
      <c r="BV171" s="23">
        <f>IF(VLOOKUP($R171,武学奇术!$A:$ZZ,22,FALSE)=1,0,(1-$BO171))*(1-$BR171)</f>
        <v>0.00517959000000003</v>
      </c>
      <c r="BW171" s="23" cm="1">
        <f t="array" ref="BW171">SUM(_xlfn.XLOOKUP(S171:AL171,增益!$A:$A,增益!$W:$W,0))+$I$5</f>
        <v>0.11</v>
      </c>
      <c r="BX171" s="23">
        <f>VLOOKUP($R171,武学奇术!$A:$ZZ,32,FALSE)</f>
        <v>0.1</v>
      </c>
      <c r="BY171" s="23" cm="1">
        <f t="array" ref="BY171">SUM(_xlfn.XLOOKUP($S171:$AL171,增益!$A:$A,增益!$X:$X,0))</f>
        <v>0</v>
      </c>
    </row>
    <row r="172" spans="11:77">
      <c r="K172" s="35">
        <f>$L172*VLOOKUP($R172,武学奇术!$A:$ZZ,31,FALSE)</f>
        <v>71154.101243497</v>
      </c>
      <c r="L172" s="35">
        <f t="shared" si="34"/>
        <v>63530.4475388366</v>
      </c>
      <c r="M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轻击",$B$21,0))*(1+IF(VLOOKUP($R172,武学奇术!$A:$ZZ,30,FALSE)="老鼠",$B$22,0))*(1+$BW172)*(1+$BX172)</f>
        <v>66833.3544276796</v>
      </c>
      <c r="N172" s="35">
        <f>(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轻击",$B$21,0))*(1+IF(VLOOKUP($R172,武学奇术!$A:$ZZ,30,FALSE)="老鼠",$B$22,0))*(1+$BW172))*(1+$BX172)</f>
        <v>42253.4079953368</v>
      </c>
      <c r="O172" s="35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轻击",$B$21,0))*(1+IF(VLOOKUP($R172,武学奇术!$A:$ZZ,30,FALSE)="老鼠",$B$22,0))*(1+$BW172)*(1+$BX172)</f>
        <v>27917.0235704593</v>
      </c>
      <c r="P172" s="35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轻击",$B$21,0))*(1+IF(VLOOKUP($R172,武学奇术!$A:$ZZ,30,FALSE)="老鼠",$B$22,0))*(1+$BW172)*(1+$BX172)</f>
        <v>24535.2264036321</v>
      </c>
      <c r="Q172" s="36">
        <v>1</v>
      </c>
      <c r="R172" s="37" t="s">
        <v>148</v>
      </c>
      <c r="S172" s="37" t="s">
        <v>91</v>
      </c>
      <c r="T172" s="37" t="s">
        <v>185</v>
      </c>
      <c r="U172" s="37" t="s">
        <v>112</v>
      </c>
      <c r="V172" s="37" t="s">
        <v>113</v>
      </c>
      <c r="W172" s="37" t="s">
        <v>82</v>
      </c>
      <c r="X172" s="37" t="s">
        <v>81</v>
      </c>
      <c r="Y172" s="37" t="s">
        <v>109</v>
      </c>
      <c r="Z172" s="37" t="s">
        <v>83</v>
      </c>
      <c r="AA172" s="37" t="s">
        <v>81</v>
      </c>
      <c r="AB172" s="37" t="s">
        <v>81</v>
      </c>
      <c r="AC172" s="37" t="s">
        <v>81</v>
      </c>
      <c r="AD172" s="37" t="s">
        <v>85</v>
      </c>
      <c r="AE172" s="37" t="s">
        <v>86</v>
      </c>
      <c r="AF172" s="37" t="s">
        <v>81</v>
      </c>
      <c r="AG172" s="37" t="s">
        <v>87</v>
      </c>
      <c r="AH172" s="37" t="s">
        <v>81</v>
      </c>
      <c r="AI172" s="37" t="s">
        <v>81</v>
      </c>
      <c r="AJ172" s="37" t="s">
        <v>81</v>
      </c>
      <c r="AK172" s="37" t="s">
        <v>81</v>
      </c>
      <c r="AL172" s="37" t="s">
        <v>81</v>
      </c>
      <c r="AM172" t="str">
        <f>VLOOKUP($R172,武学奇术!$A:$ZZ,25,FALSE)</f>
        <v>双刀</v>
      </c>
      <c r="AN172" s="23">
        <f>VLOOKUP($R172,武学奇术!$A:$ZZ,26,FALSE)</f>
        <v>1.4455</v>
      </c>
      <c r="AO172" s="24">
        <f>VLOOKUP($R172,武学奇术!$A:$ZZ,27,FALSE)*(1+IF(OR($AM172=$F$4,$AM172=$F$5),$B$23,0))</f>
        <v>641.6</v>
      </c>
      <c r="AP172" s="23">
        <f>VLOOKUP($R172,武学奇术!$A:$ZZ,28,FALSE)</f>
        <v>2.1683</v>
      </c>
      <c r="AQ172" s="24">
        <f>VLOOKUP($R172,武学奇术!$A:$ZZ,29,FALSE)*(1+IF(OR($AM172=$F$4,$AM172=$F$5),$B$23,0))</f>
        <v>348.8</v>
      </c>
      <c r="AR172" s="23" cm="1">
        <f t="array" ref="AR172">$G$3+IFERROR(VLOOKUP($AM172,$F$4:$G$7,2,FALSE),0)+VLOOKUP($R172,武学奇术!$A:$ZZ,2,FALSE)+SUM(_xlfn.XLOOKUP($S172:$AL172,增益!$A:$A,增益!$B:$B,0))</f>
        <v>0.6943</v>
      </c>
      <c r="AS172" s="23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4081.7</v>
      </c>
      <c r="AU172" cm="1">
        <f t="array" ref="AU172">$E$10*(1+$AS172)+VLOOKUP($R172,武学奇术!$A:$ZZ,4,FALSE)+SUM(_xlfn.XLOOKUP($S172:$AL172,增益!$A:$A,增益!$D:$D,0))-$I$2</f>
        <v>4081.7</v>
      </c>
      <c r="AV172" s="29" cm="1">
        <f t="array" ref="AV172">IF($F$10-$I$3+VLOOKUP($R172,武学奇术!$A:$ZZ,6,FALSE)+SUM(_xlfn.XLOOKUP(S172:AL172,增益!$A:$A,增益!$F:$F,0))&gt;0,($F$10-$I$3+VLOOKUP($R172,武学奇术!$A:$ZZ,6,FALSE)+SUM(_xlfn.XLOOKUP(S172:AL172,增益!$A:$A,增益!$F:$F,0)))/200,($F$10-$I$3+VLOOKUP($R172,武学奇术!$A:$ZZ,6,FALSE)+SUM(_xlfn.XLOOKUP(S172:AL172,增益!$A:$A,增益!$F:$F,0)))/100)</f>
        <v>0.3689</v>
      </c>
      <c r="AW172" s="29" cm="1">
        <f t="array" ref="AW172">$G$10+VLOOKUP($R172,武学奇术!$A:$ZZ,7,FALSE)+SUM(_xlfn.XLOOKUP(S172:AL172,增益!$A:$A,增益!$G:$G,0))</f>
        <v>0.06</v>
      </c>
      <c r="AX172" s="23" cm="1">
        <f t="array" ref="AX172">VLOOKUP($R172,武学奇术!$A:$ZZ,8,FALSE)+SUM(_xlfn.XLOOKUP(S172:AL172,增益!$A:$A,增益!$H:$H,0))</f>
        <v>0</v>
      </c>
      <c r="AY172">
        <f t="shared" si="24"/>
        <v>0</v>
      </c>
      <c r="AZ172">
        <f t="shared" si="25"/>
        <v>0</v>
      </c>
      <c r="BA172" s="29" cm="1">
        <f t="array" ref="BA172">IF($F$11-$I$4+VLOOKUP($R172,武学奇术!$A:$ZZ,9,FALSE)+SUM(_xlfn.XLOOKUP(S172:AL172,增益!$A:$A,增益!$I:$I,0))&gt;0,($F$11-$I$4+VLOOKUP($R172,武学奇术!$A:$ZZ,9,FALSE)+SUM(_xlfn.XLOOKUP(S172:AL172,增益!$A:$A,增益!$I:$I,0)))/200,($F$11-$I$4+VLOOKUP($R172,武学奇术!$A:$ZZ,9,FALSE)+SUM(_xlfn.XLOOKUP(S172:AL172,增益!$A:$A,增益!$I:$I,0)))/100)</f>
        <v>-0.3</v>
      </c>
      <c r="BB172" s="29" cm="1">
        <f t="array" ref="BB172">$G$11+VLOOKUP($R172,武学奇术!$A:$ZZ,10,FALSE)+SUM(_xlfn.XLOOKUP(S172:AL172,增益!$A:$A,增益!$J:$J,0))</f>
        <v>0</v>
      </c>
      <c r="BC172">
        <f t="shared" si="26"/>
        <v>0</v>
      </c>
      <c r="BD172">
        <f t="shared" si="27"/>
        <v>0</v>
      </c>
      <c r="BE172" s="29" cm="1">
        <f t="array" ref="BE172">IF($F$12-$I$4+VLOOKUP($R172,武学奇术!$A:$ZZ,11,FALSE)+SUM(_xlfn.XLOOKUP(S172:AL172,增益!$A:$A,增益!$K:$K,0))&gt;0,($F$12-$I$4+VLOOKUP($R172,武学奇术!$A:$ZZ,11,FALSE)+SUM(_xlfn.XLOOKUP(S172:AL172,增益!$A:$A,增益!$K:$K,0)))/200,($F$12-$I$4+VLOOKUP($R172,武学奇术!$A:$ZZ,11,FALSE)+SUM(_xlfn.XLOOKUP(S172:AL172,增益!$A:$A,增益!$K:$K,0)))/100)</f>
        <v>-0.3</v>
      </c>
      <c r="BF172" s="29" cm="1">
        <f t="array" ref="BF172">$G$12+VLOOKUP($R172,武学奇术!$A:$ZZ,12,FALSE)+SUM(_xlfn.XLOOKUP(S172:AL172,增益!$A:$A,增益!$L:$L,0))</f>
        <v>0</v>
      </c>
      <c r="BG172">
        <f t="shared" si="28"/>
        <v>0</v>
      </c>
      <c r="BH172">
        <f t="shared" si="29"/>
        <v>0</v>
      </c>
      <c r="BI172" s="29" cm="1">
        <f t="array" ref="BI172">IF($F$13-$I$4+VLOOKUP($R172,武学奇术!$A:$ZZ,13,FALSE)+SUM(_xlfn.XLOOKUP(S172:AL172,增益!$A:$A,增益!$M:$M,0))&gt;0,($F$13-$I$4+VLOOKUP($R172,武学奇术!$A:$ZZ,13,FALSE)+SUM(_xlfn.XLOOKUP(S172:AL172,增益!$A:$A,增益!$K:$K,0)))/200,($F$13-$I$4+VLOOKUP($R172,武学奇术!$A:$ZZ,13,FALSE)+SUM(_xlfn.XLOOKUP(S172:AL172,增益!$A:$A,增益!$M:$M,0)))/100)</f>
        <v>-0.3</v>
      </c>
      <c r="BJ172" s="29" cm="1">
        <f t="array" ref="BJ172">$G$13+VLOOKUP($R172,武学奇术!$A:$ZZ,14,FALSE)+SUM(_xlfn.XLOOKUP(S172:AL172,增益!$A:$A,增益!$N:$N,0))</f>
        <v>0</v>
      </c>
      <c r="BK172">
        <f t="shared" si="30"/>
        <v>618.2</v>
      </c>
      <c r="BL172">
        <f t="shared" si="31"/>
        <v>1805</v>
      </c>
      <c r="BM172" s="29" cm="1">
        <f t="array" ref="BM172">IF($F$14-$I$4+VLOOKUP($R172,武学奇术!$A:$ZZ,15,FALSE)+SUM(_xlfn.XLOOKUP(S172:AL172,增益!$A:$A,增益!$O:$O,0))&gt;0,($F$14-$I$4+VLOOKUP($R172,武学奇术!$A:$ZZ,15,FALSE)+SUM(_xlfn.XLOOKUP(S172:AL172,增益!$A:$A,增益!$O:$O,0)))/200,($F$14-$I$4+VLOOKUP($R172,武学奇术!$A:$ZZ,15,FALSE)+SUM(_xlfn.XLOOKUP(S172:AL172,增益!$A:$A,增益!$O:$O,0)))/100)</f>
        <v>0.05</v>
      </c>
      <c r="BN172" s="29" cm="1">
        <f t="array" ref="BN172">$G$14+VLOOKUP($R172,武学奇术!$A:$ZZ,16,FALSE)+SUM(_xlfn.XLOOKUP(S172:AL172,增益!$A:$A,增益!$P:$P,0))</f>
        <v>0.21</v>
      </c>
      <c r="BO172" s="23">
        <f>MIN(IF(VLOOKUP($R172,武学奇术!$A:$ZZ,23,FALSE)=1,100%,$B$8),100%)</f>
        <v>0.9943</v>
      </c>
      <c r="BP172" s="23" cm="1">
        <f t="array" ref="BP172">IF(VLOOKUP($R172,武学奇术!$A:$ZZ,23,FALSE)=1,100%,MIN(80%,$B$9+VLOOKUP($R172,武学奇术!$A:$ZZ,17,FALSE)+SUM(_xlfn.XLOOKUP(S172:AL172,增益!$A:$A,增益!$Q:$Q,0)))+$B$11+SUM(_xlfn.XLOOKUP(S172:AL172,增益!$A:$A,增益!$U:$U,0)))*IF(VLOOKUP($R172,武学奇术!$A:$ZZ,24,FALSE)=1,0,1)</f>
        <v>0.887</v>
      </c>
      <c r="BQ172" s="23" cm="1">
        <f t="array" ref="BQ172">1+$B$13+VLOOKUP($R172,武学奇术!$A:$ZZ,18,FALSE)+SUM(_xlfn.XLOOKUP(S172:AL172,增益!$A:$A,增益!$R:$R,0))</f>
        <v>2.394</v>
      </c>
      <c r="BR172" s="23" cm="1">
        <f t="array" ref="BR172">IF(VLOOKUP($R172,武学奇术!$A:$ZZ,24,FALSE)=1,100%,MIN(40%,$B$10+VLOOKUP($R172,武学奇术!$A:$ZZ,19,FALSE)+SUM(_xlfn.XLOOKUP(S172:AL172,增益!$A:$A,增益!$S:$S,0)))+$B$12+SUM(_xlfn.XLOOKUP(S172:AL172,增益!$A:$A,增益!$V:$V,0)))*IF(VLOOKUP($R172,武学奇术!$A:$ZZ,23,FALSE)=1,0,1)</f>
        <v>0.0913</v>
      </c>
      <c r="BS172" s="23" cm="1">
        <f t="array" ref="BS172">1+$B$14+VLOOKUP($R172,武学奇术!$A:$ZZ,20,FALSE)+SUM(_xlfn.XLOOKUP(S172:AL172,增益!$A:$A,增益!$T:$T,0))</f>
        <v>1.35</v>
      </c>
      <c r="BT172" s="23">
        <f t="shared" si="32"/>
        <v>0.8819441</v>
      </c>
      <c r="BU172" s="23">
        <f t="shared" si="33"/>
        <v>0.0215763099999999</v>
      </c>
      <c r="BV172" s="23">
        <f>IF(VLOOKUP($R172,武学奇术!$A:$ZZ,22,FALSE)=1,0,(1-$BO172))*(1-$BR172)</f>
        <v>0.00517959000000003</v>
      </c>
      <c r="BW172" s="23" cm="1">
        <f t="array" ref="BW172">SUM(_xlfn.XLOOKUP(S172:AL172,增益!$A:$A,增益!$W:$W,0))+$I$5</f>
        <v>0.11</v>
      </c>
      <c r="BX172" s="23">
        <f>VLOOKUP($R172,武学奇术!$A:$ZZ,32,FALSE)</f>
        <v>0.1</v>
      </c>
      <c r="BY172" s="23" cm="1">
        <f t="array" ref="BY172">SUM(_xlfn.XLOOKUP($S172:$AL172,增益!$A:$A,增益!$X:$X,0))</f>
        <v>0</v>
      </c>
    </row>
    <row r="173" spans="11:77">
      <c r="K173" s="35">
        <f>$L173*VLOOKUP($R173,武学奇术!$A:$ZZ,31,FALSE)</f>
        <v>183639.935973866</v>
      </c>
      <c r="L173" s="69">
        <f t="shared" si="34"/>
        <v>180039.152915555</v>
      </c>
      <c r="M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轻击",$B$21,0))*(1+IF(VLOOKUP($R173,武学奇术!$A:$ZZ,30,FALSE)="老鼠",$B$22,0))*(1+$BW173)*(1+$BX173)</f>
        <v>189259.781781907</v>
      </c>
      <c r="N173" s="35">
        <f>(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轻击",$B$21,0))*(1+IF(VLOOKUP($R173,武学奇术!$A:$ZZ,30,FALSE)="老鼠",$B$22,0))*(1+$BW173))*(1+$BX173)</f>
        <v>121169.915976254</v>
      </c>
      <c r="O173" s="35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轻击",$B$21,0))*(1+IF(VLOOKUP($R173,武学奇术!$A:$ZZ,30,FALSE)="老鼠",$B$22,0))*(1+$BW173)*(1+$BX173)</f>
        <v>79055.882114414</v>
      </c>
      <c r="P173" s="35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轻击",$B$21,0))*(1+IF(VLOOKUP($R173,武学奇术!$A:$ZZ,30,FALSE)="老鼠",$B$22,0))*(1+$BW173)*(1+$BX173)</f>
        <v>68356.2709130845</v>
      </c>
      <c r="Q173" s="70">
        <v>6</v>
      </c>
      <c r="R173" s="37" t="s">
        <v>106</v>
      </c>
      <c r="S173" s="37" t="s">
        <v>91</v>
      </c>
      <c r="T173" s="37" t="s">
        <v>185</v>
      </c>
      <c r="U173" s="37" t="s">
        <v>112</v>
      </c>
      <c r="V173" s="37" t="s">
        <v>113</v>
      </c>
      <c r="W173" s="37" t="s">
        <v>82</v>
      </c>
      <c r="X173" s="37" t="s">
        <v>81</v>
      </c>
      <c r="Y173" s="37" t="s">
        <v>109</v>
      </c>
      <c r="Z173" s="37" t="s">
        <v>83</v>
      </c>
      <c r="AA173" s="37" t="s">
        <v>81</v>
      </c>
      <c r="AB173" s="37" t="s">
        <v>81</v>
      </c>
      <c r="AC173" s="37" t="s">
        <v>81</v>
      </c>
      <c r="AD173" s="37" t="s">
        <v>85</v>
      </c>
      <c r="AE173" s="37" t="s">
        <v>86</v>
      </c>
      <c r="AF173" s="37" t="s">
        <v>81</v>
      </c>
      <c r="AG173" s="37" t="s">
        <v>87</v>
      </c>
      <c r="AH173" s="37" t="s">
        <v>81</v>
      </c>
      <c r="AI173" s="37" t="s">
        <v>81</v>
      </c>
      <c r="AJ173" s="37" t="s">
        <v>81</v>
      </c>
      <c r="AK173" s="37" t="s">
        <v>81</v>
      </c>
      <c r="AL173" s="37" t="s">
        <v>81</v>
      </c>
      <c r="AM173" t="str">
        <f>VLOOKUP($R173,武学奇术!$A:$ZZ,25,FALSE)</f>
        <v>绳镖</v>
      </c>
      <c r="AN173" s="23">
        <f>VLOOKUP($R173,武学奇术!$A:$ZZ,26,FALSE)</f>
        <v>0.3675</v>
      </c>
      <c r="AO173" s="24">
        <f>VLOOKUP($R173,武学奇术!$A:$ZZ,27,FALSE)*(1+IF(OR($AM173=$F$4,$AM173=$F$5),$B$23,0))</f>
        <v>0</v>
      </c>
      <c r="AP173" s="23">
        <f>VLOOKUP($R173,武学奇术!$A:$ZZ,28,FALSE)</f>
        <v>0.55125</v>
      </c>
      <c r="AQ173" s="24">
        <f>VLOOKUP($R173,武学奇术!$A:$ZZ,29,FALSE)*(1+IF(OR($AM173=$F$4,$AM173=$F$5),$B$23,0))</f>
        <v>0</v>
      </c>
      <c r="AR173" s="23" cm="1">
        <f t="array" ref="AR173">$G$3+IFERROR(VLOOKUP($AM173,$F$4:$G$7,2,FALSE),0)+VLOOKUP($R173,武学奇术!$A:$ZZ,2,FALSE)+SUM(_xlfn.XLOOKUP($S173:$AL173,增益!$A:$A,增益!$B:$B,0))</f>
        <v>1.4943</v>
      </c>
      <c r="AS173" s="23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4081.7</v>
      </c>
      <c r="AU173" cm="1">
        <f t="array" ref="AU173">$E$10*(1+$AS173)+VLOOKUP($R173,武学奇术!$A:$ZZ,4,FALSE)+SUM(_xlfn.XLOOKUP($S173:$AL173,增益!$A:$A,增益!$D:$D,0))-$I$2</f>
        <v>4081.7</v>
      </c>
      <c r="AV173" s="29" cm="1">
        <f t="array" ref="AV173">IF($F$10-$I$3+VLOOKUP($R173,武学奇术!$A:$ZZ,6,FALSE)+SUM(_xlfn.XLOOKUP(S173:AL173,增益!$A:$A,增益!$F:$F,0))&gt;0,($F$10-$I$3+VLOOKUP($R173,武学奇术!$A:$ZZ,6,FALSE)+SUM(_xlfn.XLOOKUP(S173:AL173,增益!$A:$A,增益!$F:$F,0)))/200,($F$10-$I$3+VLOOKUP($R173,武学奇术!$A:$ZZ,6,FALSE)+SUM(_xlfn.XLOOKUP(S173:AL173,增益!$A:$A,增益!$F:$F,0)))/100)</f>
        <v>0.3689</v>
      </c>
      <c r="AW173" s="29" cm="1">
        <f t="array" ref="AW173">$G$10+VLOOKUP($R173,武学奇术!$A:$ZZ,7,FALSE)+SUM(_xlfn.XLOOKUP(S173:AL173,增益!$A:$A,增益!$G:$G,0))</f>
        <v>0.27</v>
      </c>
      <c r="AX173" s="23" cm="1">
        <f t="array" ref="AX173">VLOOKUP($R173,武学奇术!$A:$ZZ,8,FALSE)+SUM(_xlfn.XLOOKUP(S173:AL173,增益!$A:$A,增益!$H:$H,0))</f>
        <v>0</v>
      </c>
      <c r="AY173">
        <f t="shared" si="24"/>
        <v>0</v>
      </c>
      <c r="AZ173">
        <f t="shared" si="25"/>
        <v>0</v>
      </c>
      <c r="BA173" s="29" cm="1">
        <f t="array" ref="BA173">IF($F$11-$I$4+VLOOKUP($R173,武学奇术!$A:$ZZ,9,FALSE)+SUM(_xlfn.XLOOKUP(S173:AL173,增益!$A:$A,增益!$I:$I,0))&gt;0,($F$11-$I$4+VLOOKUP($R173,武学奇术!$A:$ZZ,9,FALSE)+SUM(_xlfn.XLOOKUP(S173:AL173,增益!$A:$A,增益!$I:$I,0)))/200,($F$11-$I$4+VLOOKUP($R173,武学奇术!$A:$ZZ,9,FALSE)+SUM(_xlfn.XLOOKUP(S173:AL173,增益!$A:$A,增益!$I:$I,0)))/100)</f>
        <v>-0.3</v>
      </c>
      <c r="BB173" s="29" cm="1">
        <f t="array" ref="BB173">$G$11+VLOOKUP($R173,武学奇术!$A:$ZZ,10,FALSE)+SUM(_xlfn.XLOOKUP(S173:AL173,增益!$A:$A,增益!$J:$J,0))</f>
        <v>0</v>
      </c>
      <c r="BC173">
        <f t="shared" si="26"/>
        <v>0</v>
      </c>
      <c r="BD173">
        <f t="shared" si="27"/>
        <v>0</v>
      </c>
      <c r="BE173" s="29" cm="1">
        <f t="array" ref="BE173">IF($F$12-$I$4+VLOOKUP($R173,武学奇术!$A:$ZZ,11,FALSE)+SUM(_xlfn.XLOOKUP(S173:AL173,增益!$A:$A,增益!$K:$K,0))&gt;0,($F$12-$I$4+VLOOKUP($R173,武学奇术!$A:$ZZ,11,FALSE)+SUM(_xlfn.XLOOKUP(S173:AL173,增益!$A:$A,增益!$K:$K,0)))/200,($F$12-$I$4+VLOOKUP($R173,武学奇术!$A:$ZZ,11,FALSE)+SUM(_xlfn.XLOOKUP(S173:AL173,增益!$A:$A,增益!$K:$K,0)))/100)</f>
        <v>-0.3</v>
      </c>
      <c r="BF173" s="29" cm="1">
        <f t="array" ref="BF173">$G$12+VLOOKUP($R173,武学奇术!$A:$ZZ,12,FALSE)+SUM(_xlfn.XLOOKUP(S173:AL173,增益!$A:$A,增益!$L:$L,0))</f>
        <v>0</v>
      </c>
      <c r="BG173">
        <f t="shared" si="28"/>
        <v>0</v>
      </c>
      <c r="BH173">
        <f t="shared" si="29"/>
        <v>0</v>
      </c>
      <c r="BI173" s="29" cm="1">
        <f t="array" ref="BI173">IF($F$13-$I$4+VLOOKUP($R173,武学奇术!$A:$ZZ,13,FALSE)+SUM(_xlfn.XLOOKUP(S173:AL173,增益!$A:$A,增益!$M:$M,0))&gt;0,($F$13-$I$4+VLOOKUP($R173,武学奇术!$A:$ZZ,13,FALSE)+SUM(_xlfn.XLOOKUP(S173:AL173,增益!$A:$A,增益!$K:$K,0)))/200,($F$13-$I$4+VLOOKUP($R173,武学奇术!$A:$ZZ,13,FALSE)+SUM(_xlfn.XLOOKUP(S173:AL173,增益!$A:$A,增益!$M:$M,0)))/100)</f>
        <v>-0.3</v>
      </c>
      <c r="BJ173" s="29" cm="1">
        <f t="array" ref="BJ173">$G$13+VLOOKUP($R173,武学奇术!$A:$ZZ,14,FALSE)+SUM(_xlfn.XLOOKUP(S173:AL173,增益!$A:$A,增益!$N:$N,0))</f>
        <v>0</v>
      </c>
      <c r="BK173">
        <f t="shared" si="30"/>
        <v>618.2</v>
      </c>
      <c r="BL173">
        <f t="shared" si="31"/>
        <v>1805</v>
      </c>
      <c r="BM173" s="29" cm="1">
        <f t="array" ref="BM173">IF($F$14-$I$4+VLOOKUP($R173,武学奇术!$A:$ZZ,15,FALSE)+SUM(_xlfn.XLOOKUP(S173:AL173,增益!$A:$A,增益!$O:$O,0))&gt;0,($F$14-$I$4+VLOOKUP($R173,武学奇术!$A:$ZZ,15,FALSE)+SUM(_xlfn.XLOOKUP(S173:AL173,增益!$A:$A,增益!$O:$O,0)))/200,($F$14-$I$4+VLOOKUP($R173,武学奇术!$A:$ZZ,15,FALSE)+SUM(_xlfn.XLOOKUP(S173:AL173,增益!$A:$A,增益!$O:$O,0)))/100)</f>
        <v>0.05</v>
      </c>
      <c r="BN173" s="29" cm="1">
        <f t="array" ref="BN173">$G$14+VLOOKUP($R173,武学奇术!$A:$ZZ,16,FALSE)+SUM(_xlfn.XLOOKUP(S173:AL173,增益!$A:$A,增益!$P:$P,0))</f>
        <v>0.42</v>
      </c>
      <c r="BO173" s="23">
        <f>MIN(IF(VLOOKUP($R173,武学奇术!$A:$ZZ,23,FALSE)=1,100%,$B$8),100%)</f>
        <v>0.9943</v>
      </c>
      <c r="BP173" s="23" cm="1">
        <f t="array" ref="BP173">IF(VLOOKUP($R173,武学奇术!$A:$ZZ,23,FALSE)=1,100%,MIN(80%,$B$9+VLOOKUP($R173,武学奇术!$A:$ZZ,17,FALSE)+SUM(_xlfn.XLOOKUP(S173:AL173,增益!$A:$A,增益!$Q:$Q,0)))+$B$11+SUM(_xlfn.XLOOKUP(S173:AL173,增益!$A:$A,增益!$U:$U,0)))*IF(VLOOKUP($R173,武学奇术!$A:$ZZ,24,FALSE)=1,0,1)</f>
        <v>0.887</v>
      </c>
      <c r="BQ173" s="23" cm="1">
        <f t="array" ref="BQ173">1+$B$13+VLOOKUP($R173,武学奇术!$A:$ZZ,18,FALSE)+SUM(_xlfn.XLOOKUP(S173:AL173,增益!$A:$A,增益!$R:$R,0))</f>
        <v>2.394</v>
      </c>
      <c r="BR173" s="23" cm="1">
        <f t="array" ref="BR173">IF(VLOOKUP($R173,武学奇术!$A:$ZZ,24,FALSE)=1,100%,MIN(40%,$B$10+VLOOKUP($R173,武学奇术!$A:$ZZ,19,FALSE)+SUM(_xlfn.XLOOKUP(S173:AL173,增益!$A:$A,增益!$S:$S,0)))+$B$12+SUM(_xlfn.XLOOKUP(S173:AL173,增益!$A:$A,增益!$V:$V,0)))*IF(VLOOKUP($R173,武学奇术!$A:$ZZ,23,FALSE)=1,0,1)</f>
        <v>0.0913</v>
      </c>
      <c r="BS173" s="23" cm="1">
        <f t="array" ref="BS173">1+$B$14+VLOOKUP($R173,武学奇术!$A:$ZZ,20,FALSE)+SUM(_xlfn.XLOOKUP(S173:AL173,增益!$A:$A,增益!$T:$T,0))</f>
        <v>1.35</v>
      </c>
      <c r="BT173" s="23">
        <f t="shared" si="32"/>
        <v>0.8819441</v>
      </c>
      <c r="BU173" s="23">
        <f t="shared" si="33"/>
        <v>0.0215763099999999</v>
      </c>
      <c r="BV173" s="23">
        <f>IF(VLOOKUP($R173,武学奇术!$A:$ZZ,22,FALSE)=1,0,(1-$BO173))*(1-$BR173)</f>
        <v>0.00517959000000003</v>
      </c>
      <c r="BW173" s="23" cm="1">
        <f t="array" ref="BW173">SUM(_xlfn.XLOOKUP(S173:AL173,增益!$A:$A,增益!$W:$W,0))+$I$5</f>
        <v>0.11</v>
      </c>
      <c r="BX173" s="23">
        <f>VLOOKUP($R173,武学奇术!$A:$ZZ,32,FALSE)</f>
        <v>0</v>
      </c>
      <c r="BY173" s="23" cm="1">
        <f t="array" ref="BY173">SUM(_xlfn.XLOOKUP($S173:$AL173,增益!$A:$A,增益!$X:$X,0))</f>
        <v>0</v>
      </c>
    </row>
    <row r="174" spans="11:77">
      <c r="K174" s="35">
        <f>$L174*VLOOKUP($R174,武学奇术!$A:$ZZ,31,FALSE)</f>
        <v>77876.2800987236</v>
      </c>
      <c r="L174" s="35">
        <f t="shared" si="34"/>
        <v>69532.3929452889</v>
      </c>
      <c r="M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轻击",$B$21,0))*(1+IF(VLOOKUP($R174,武学奇术!$A:$ZZ,30,FALSE)="老鼠",$B$22,0))*(1+$BW174)*(1+$BX174)</f>
        <v>73147.328920956</v>
      </c>
      <c r="N174" s="35">
        <f>(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轻击",$B$21,0))*(1+IF(VLOOKUP($R174,武学奇术!$A:$ZZ,30,FALSE)="老鼠",$B$22,0))*(1+$BW174))*(1+$BX174)</f>
        <v>46245.3201169437</v>
      </c>
      <c r="O174" s="35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轻击",$B$21,0))*(1+IF(VLOOKUP($R174,武学奇术!$A:$ZZ,30,FALSE)="老鼠",$B$22,0))*(1+$BW174)*(1+$BX174)</f>
        <v>30554.4398166065</v>
      </c>
      <c r="P174" s="35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轻击",$B$21,0))*(1+IF(VLOOKUP($R174,武学奇术!$A:$ZZ,30,FALSE)="老鼠",$B$22,0))*(1+$BW174)*(1+$BX174)</f>
        <v>26853.0869539955</v>
      </c>
      <c r="Q174" s="36">
        <v>1</v>
      </c>
      <c r="R174" s="37" t="s">
        <v>153</v>
      </c>
      <c r="S174" s="37" t="s">
        <v>91</v>
      </c>
      <c r="T174" s="37" t="s">
        <v>185</v>
      </c>
      <c r="U174" s="37" t="s">
        <v>112</v>
      </c>
      <c r="V174" s="37" t="s">
        <v>113</v>
      </c>
      <c r="W174" s="37" t="s">
        <v>82</v>
      </c>
      <c r="X174" s="37" t="s">
        <v>81</v>
      </c>
      <c r="Y174" s="37" t="s">
        <v>109</v>
      </c>
      <c r="Z174" s="37" t="s">
        <v>83</v>
      </c>
      <c r="AA174" s="37" t="s">
        <v>81</v>
      </c>
      <c r="AB174" s="37" t="s">
        <v>81</v>
      </c>
      <c r="AC174" s="37" t="s">
        <v>81</v>
      </c>
      <c r="AD174" s="37" t="s">
        <v>81</v>
      </c>
      <c r="AE174" s="37" t="s">
        <v>86</v>
      </c>
      <c r="AF174" s="37" t="s">
        <v>81</v>
      </c>
      <c r="AG174" s="37" t="s">
        <v>87</v>
      </c>
      <c r="AH174" s="37" t="s">
        <v>81</v>
      </c>
      <c r="AI174" s="37" t="s">
        <v>81</v>
      </c>
      <c r="AJ174" s="37" t="s">
        <v>81</v>
      </c>
      <c r="AK174" s="37" t="s">
        <v>81</v>
      </c>
      <c r="AL174" s="37" t="s">
        <v>81</v>
      </c>
      <c r="AM174" t="str">
        <f>VLOOKUP($R174,武学奇术!$A:$ZZ,25,FALSE)</f>
        <v>双刀</v>
      </c>
      <c r="AN174" s="23">
        <f>VLOOKUP($R174,武学奇术!$A:$ZZ,26,FALSE)</f>
        <v>1.7358</v>
      </c>
      <c r="AO174" s="24">
        <f>VLOOKUP($R174,武学奇术!$A:$ZZ,27,FALSE)*(1+IF(OR($AM174=$F$4,$AM174=$F$5),$B$23,0))</f>
        <v>769.6</v>
      </c>
      <c r="AP174" s="23">
        <f>VLOOKUP($R174,武学奇术!$A:$ZZ,28,FALSE)</f>
        <v>2.6037</v>
      </c>
      <c r="AQ174" s="24">
        <f>VLOOKUP($R174,武学奇术!$A:$ZZ,29,FALSE)*(1+IF(OR($AM174=$F$4,$AM174=$F$5),$B$23,0))</f>
        <v>419.2</v>
      </c>
      <c r="AR174" s="23" cm="1">
        <f t="array" ref="AR174">$G$3+IFERROR(VLOOKUP($AM174,$F$4:$G$7,2,FALSE),0)+VLOOKUP($R174,武学奇术!$A:$ZZ,2,FALSE)+SUM(_xlfn.XLOOKUP($S174:$AL174,增益!$A:$A,增益!$B:$B,0))</f>
        <v>0.5443</v>
      </c>
      <c r="AS174" s="23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4081.7</v>
      </c>
      <c r="AU174" cm="1">
        <f t="array" ref="AU174">$E$10*(1+$AS174)+VLOOKUP($R174,武学奇术!$A:$ZZ,4,FALSE)+SUM(_xlfn.XLOOKUP($S174:$AL174,增益!$A:$A,增益!$D:$D,0))-$I$2</f>
        <v>4081.7</v>
      </c>
      <c r="AV174" s="29" cm="1">
        <f t="array" ref="AV174">IF($F$10-$I$3+VLOOKUP($R174,武学奇术!$A:$ZZ,6,FALSE)+SUM(_xlfn.XLOOKUP(S174:AL174,增益!$A:$A,增益!$F:$F,0))&gt;0,($F$10-$I$3+VLOOKUP($R174,武学奇术!$A:$ZZ,6,FALSE)+SUM(_xlfn.XLOOKUP(S174:AL174,增益!$A:$A,增益!$F:$F,0)))/200,($F$10-$I$3+VLOOKUP($R174,武学奇术!$A:$ZZ,6,FALSE)+SUM(_xlfn.XLOOKUP(S174:AL174,增益!$A:$A,增益!$F:$F,0)))/100)</f>
        <v>0.3689</v>
      </c>
      <c r="AW174" s="29" cm="1">
        <f t="array" ref="AW174">$G$10+VLOOKUP($R174,武学奇术!$A:$ZZ,7,FALSE)+SUM(_xlfn.XLOOKUP(S174:AL174,增益!$A:$A,增益!$G:$G,0))</f>
        <v>0.06</v>
      </c>
      <c r="AX174" s="23" cm="1">
        <f t="array" ref="AX174">VLOOKUP($R174,武学奇术!$A:$ZZ,8,FALSE)+SUM(_xlfn.XLOOKUP(S174:AL174,增益!$A:$A,增益!$H:$H,0))</f>
        <v>0</v>
      </c>
      <c r="AY174">
        <f t="shared" si="24"/>
        <v>0</v>
      </c>
      <c r="AZ174">
        <f t="shared" si="25"/>
        <v>0</v>
      </c>
      <c r="BA174" s="29" cm="1">
        <f t="array" ref="BA174">IF($F$11-$I$4+VLOOKUP($R174,武学奇术!$A:$ZZ,9,FALSE)+SUM(_xlfn.XLOOKUP(S174:AL174,增益!$A:$A,增益!$I:$I,0))&gt;0,($F$11-$I$4+VLOOKUP($R174,武学奇术!$A:$ZZ,9,FALSE)+SUM(_xlfn.XLOOKUP(S174:AL174,增益!$A:$A,增益!$I:$I,0)))/200,($F$11-$I$4+VLOOKUP($R174,武学奇术!$A:$ZZ,9,FALSE)+SUM(_xlfn.XLOOKUP(S174:AL174,增益!$A:$A,增益!$I:$I,0)))/100)</f>
        <v>-0.3</v>
      </c>
      <c r="BB174" s="29" cm="1">
        <f t="array" ref="BB174">$G$11+VLOOKUP($R174,武学奇术!$A:$ZZ,10,FALSE)+SUM(_xlfn.XLOOKUP(S174:AL174,增益!$A:$A,增益!$J:$J,0))</f>
        <v>0</v>
      </c>
      <c r="BC174">
        <f t="shared" si="26"/>
        <v>0</v>
      </c>
      <c r="BD174">
        <f t="shared" si="27"/>
        <v>0</v>
      </c>
      <c r="BE174" s="29" cm="1">
        <f t="array" ref="BE174">IF($F$12-$I$4+VLOOKUP($R174,武学奇术!$A:$ZZ,11,FALSE)+SUM(_xlfn.XLOOKUP(S174:AL174,增益!$A:$A,增益!$K:$K,0))&gt;0,($F$12-$I$4+VLOOKUP($R174,武学奇术!$A:$ZZ,11,FALSE)+SUM(_xlfn.XLOOKUP(S174:AL174,增益!$A:$A,增益!$K:$K,0)))/200,($F$12-$I$4+VLOOKUP($R174,武学奇术!$A:$ZZ,11,FALSE)+SUM(_xlfn.XLOOKUP(S174:AL174,增益!$A:$A,增益!$K:$K,0)))/100)</f>
        <v>-0.3</v>
      </c>
      <c r="BF174" s="29" cm="1">
        <f t="array" ref="BF174">$G$12+VLOOKUP($R174,武学奇术!$A:$ZZ,12,FALSE)+SUM(_xlfn.XLOOKUP(S174:AL174,增益!$A:$A,增益!$L:$L,0))</f>
        <v>0</v>
      </c>
      <c r="BG174">
        <f t="shared" si="28"/>
        <v>0</v>
      </c>
      <c r="BH174">
        <f t="shared" si="29"/>
        <v>0</v>
      </c>
      <c r="BI174" s="29" cm="1">
        <f t="array" ref="BI174">IF($F$13-$I$4+VLOOKUP($R174,武学奇术!$A:$ZZ,13,FALSE)+SUM(_xlfn.XLOOKUP(S174:AL174,增益!$A:$A,增益!$M:$M,0))&gt;0,($F$13-$I$4+VLOOKUP($R174,武学奇术!$A:$ZZ,13,FALSE)+SUM(_xlfn.XLOOKUP(S174:AL174,增益!$A:$A,增益!$K:$K,0)))/200,($F$13-$I$4+VLOOKUP($R174,武学奇术!$A:$ZZ,13,FALSE)+SUM(_xlfn.XLOOKUP(S174:AL174,增益!$A:$A,增益!$M:$M,0)))/100)</f>
        <v>-0.3</v>
      </c>
      <c r="BJ174" s="29" cm="1">
        <f t="array" ref="BJ174">$G$13+VLOOKUP($R174,武学奇术!$A:$ZZ,14,FALSE)+SUM(_xlfn.XLOOKUP(S174:AL174,增益!$A:$A,增益!$N:$N,0))</f>
        <v>0</v>
      </c>
      <c r="BK174">
        <f t="shared" si="30"/>
        <v>618.2</v>
      </c>
      <c r="BL174">
        <f t="shared" si="31"/>
        <v>1805</v>
      </c>
      <c r="BM174" s="29" cm="1">
        <f t="array" ref="BM174">IF($F$14-$I$4+VLOOKUP($R174,武学奇术!$A:$ZZ,15,FALSE)+SUM(_xlfn.XLOOKUP(S174:AL174,增益!$A:$A,增益!$O:$O,0))&gt;0,($F$14-$I$4+VLOOKUP($R174,武学奇术!$A:$ZZ,15,FALSE)+SUM(_xlfn.XLOOKUP(S174:AL174,增益!$A:$A,增益!$O:$O,0)))/200,($F$14-$I$4+VLOOKUP($R174,武学奇术!$A:$ZZ,15,FALSE)+SUM(_xlfn.XLOOKUP(S174:AL174,增益!$A:$A,增益!$O:$O,0)))/100)</f>
        <v>0.05</v>
      </c>
      <c r="BN174" s="29" cm="1">
        <f t="array" ref="BN174">$G$14+VLOOKUP($R174,武学奇术!$A:$ZZ,16,FALSE)+SUM(_xlfn.XLOOKUP(S174:AL174,增益!$A:$A,增益!$P:$P,0))</f>
        <v>0.21</v>
      </c>
      <c r="BO174" s="23">
        <f>MIN(IF(VLOOKUP($R174,武学奇术!$A:$ZZ,23,FALSE)=1,100%,$B$8),100%)</f>
        <v>0.9943</v>
      </c>
      <c r="BP174" s="23" cm="1">
        <f t="array" ref="BP174">IF(VLOOKUP($R174,武学奇术!$A:$ZZ,23,FALSE)=1,100%,MIN(80%,$B$9+VLOOKUP($R174,武学奇术!$A:$ZZ,17,FALSE)+SUM(_xlfn.XLOOKUP(S174:AL174,增益!$A:$A,增益!$Q:$Q,0)))+$B$11+SUM(_xlfn.XLOOKUP(S174:AL174,增益!$A:$A,增益!$U:$U,0)))*IF(VLOOKUP($R174,武学奇术!$A:$ZZ,24,FALSE)=1,0,1)</f>
        <v>0.887</v>
      </c>
      <c r="BQ174" s="23" cm="1">
        <f t="array" ref="BQ174">1+$B$13+VLOOKUP($R174,武学奇术!$A:$ZZ,18,FALSE)+SUM(_xlfn.XLOOKUP(S174:AL174,增益!$A:$A,增益!$R:$R,0))</f>
        <v>2.394</v>
      </c>
      <c r="BR174" s="23" cm="1">
        <f t="array" ref="BR174">IF(VLOOKUP($R174,武学奇术!$A:$ZZ,24,FALSE)=1,100%,MIN(40%,$B$10+VLOOKUP($R174,武学奇术!$A:$ZZ,19,FALSE)+SUM(_xlfn.XLOOKUP(S174:AL174,增益!$A:$A,增益!$S:$S,0)))+$B$12+SUM(_xlfn.XLOOKUP(S174:AL174,增益!$A:$A,增益!$V:$V,0)))*IF(VLOOKUP($R174,武学奇术!$A:$ZZ,23,FALSE)=1,0,1)</f>
        <v>0.0913</v>
      </c>
      <c r="BS174" s="23" cm="1">
        <f t="array" ref="BS174">1+$B$14+VLOOKUP($R174,武学奇术!$A:$ZZ,20,FALSE)+SUM(_xlfn.XLOOKUP(S174:AL174,增益!$A:$A,增益!$T:$T,0))</f>
        <v>1.35</v>
      </c>
      <c r="BT174" s="23">
        <f t="shared" si="32"/>
        <v>0.8819441</v>
      </c>
      <c r="BU174" s="23">
        <f t="shared" si="33"/>
        <v>0.0215763099999999</v>
      </c>
      <c r="BV174" s="23">
        <f>IF(VLOOKUP($R174,武学奇术!$A:$ZZ,22,FALSE)=1,0,(1-$BO174))*(1-$BR174)</f>
        <v>0.00517959000000003</v>
      </c>
      <c r="BW174" s="23" cm="1">
        <f t="array" ref="BW174">SUM(_xlfn.XLOOKUP(S174:AL174,增益!$A:$A,增益!$W:$W,0))+$I$5</f>
        <v>0.11</v>
      </c>
      <c r="BX174" s="23">
        <f>VLOOKUP($R174,武学奇术!$A:$ZZ,32,FALSE)</f>
        <v>0.1</v>
      </c>
      <c r="BY174" s="23" cm="1">
        <f t="array" ref="BY174">SUM(_xlfn.XLOOKUP($S174:$AL174,增益!$A:$A,增益!$X:$X,0))</f>
        <v>0</v>
      </c>
    </row>
    <row r="175" spans="11:77">
      <c r="K175" s="35">
        <f>$L175*VLOOKUP($R175,武学奇术!$A:$ZZ,31,FALSE)</f>
        <v>57532.1201544234</v>
      </c>
      <c r="L175" s="69">
        <f t="shared" si="34"/>
        <v>56404.0393670818</v>
      </c>
      <c r="M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轻击",$B$21,0))*(1+IF(VLOOKUP($R175,武学奇术!$A:$ZZ,30,FALSE)="老鼠",$B$22,0))*(1+$BW175)*(1+$BX175)</f>
        <v>59292.748323688</v>
      </c>
      <c r="N175" s="35">
        <f>(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轻击",$B$21,0))*(1+IF(VLOOKUP($R175,武学奇术!$A:$ZZ,30,FALSE)="老鼠",$B$22,0))*(1+$BW175))*(1+$BX175)</f>
        <v>37961.0356978086</v>
      </c>
      <c r="O175" s="35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轻击",$B$21,0))*(1+IF(VLOOKUP($R175,武学奇术!$A:$ZZ,30,FALSE)="老鼠",$B$22,0))*(1+$BW175)*(1+$BX175)</f>
        <v>24767.2298762272</v>
      </c>
      <c r="P175" s="35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轻击",$B$21,0))*(1+IF(VLOOKUP($R175,武学奇术!$A:$ZZ,30,FALSE)="老鼠",$B$22,0))*(1+$BW175)*(1+$BX175)</f>
        <v>21415.174050374</v>
      </c>
      <c r="Q175" s="70">
        <v>2</v>
      </c>
      <c r="R175" s="37" t="s">
        <v>106</v>
      </c>
      <c r="S175" s="37" t="s">
        <v>91</v>
      </c>
      <c r="T175" s="37" t="s">
        <v>185</v>
      </c>
      <c r="U175" s="37" t="s">
        <v>112</v>
      </c>
      <c r="V175" s="37" t="s">
        <v>113</v>
      </c>
      <c r="W175" s="37" t="s">
        <v>82</v>
      </c>
      <c r="X175" s="37" t="s">
        <v>81</v>
      </c>
      <c r="Y175" s="37" t="s">
        <v>109</v>
      </c>
      <c r="Z175" s="37" t="s">
        <v>83</v>
      </c>
      <c r="AA175" s="37" t="s">
        <v>81</v>
      </c>
      <c r="AB175" s="37" t="s">
        <v>81</v>
      </c>
      <c r="AC175" s="37" t="s">
        <v>81</v>
      </c>
      <c r="AD175" s="37" t="s">
        <v>81</v>
      </c>
      <c r="AE175" s="37" t="s">
        <v>86</v>
      </c>
      <c r="AF175" s="37" t="s">
        <v>81</v>
      </c>
      <c r="AG175" s="37" t="s">
        <v>87</v>
      </c>
      <c r="AH175" s="37" t="s">
        <v>81</v>
      </c>
      <c r="AI175" s="37" t="s">
        <v>81</v>
      </c>
      <c r="AJ175" s="37" t="s">
        <v>81</v>
      </c>
      <c r="AK175" s="37" t="s">
        <v>81</v>
      </c>
      <c r="AL175" s="37" t="s">
        <v>81</v>
      </c>
      <c r="AM175" t="str">
        <f>VLOOKUP($R175,武学奇术!$A:$ZZ,25,FALSE)</f>
        <v>绳镖</v>
      </c>
      <c r="AN175" s="23">
        <f>VLOOKUP($R175,武学奇术!$A:$ZZ,26,FALSE)</f>
        <v>0.3675</v>
      </c>
      <c r="AO175" s="24">
        <f>VLOOKUP($R175,武学奇术!$A:$ZZ,27,FALSE)*(1+IF(OR($AM175=$F$4,$AM175=$F$5),$B$23,0))</f>
        <v>0</v>
      </c>
      <c r="AP175" s="23">
        <f>VLOOKUP($R175,武学奇术!$A:$ZZ,28,FALSE)</f>
        <v>0.55125</v>
      </c>
      <c r="AQ175" s="24">
        <f>VLOOKUP($R175,武学奇术!$A:$ZZ,29,FALSE)*(1+IF(OR($AM175=$F$4,$AM175=$F$5),$B$23,0))</f>
        <v>0</v>
      </c>
      <c r="AR175" s="23" cm="1">
        <f t="array" ref="AR175">$G$3+IFERROR(VLOOKUP($AM175,$F$4:$G$7,2,FALSE),0)+VLOOKUP($R175,武学奇术!$A:$ZZ,2,FALSE)+SUM(_xlfn.XLOOKUP($S175:$AL175,增益!$A:$A,增益!$B:$B,0))</f>
        <v>1.3443</v>
      </c>
      <c r="AS175" s="23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4081.7</v>
      </c>
      <c r="AU175" cm="1">
        <f t="array" ref="AU175">$E$10*(1+$AS175)+VLOOKUP($R175,武学奇术!$A:$ZZ,4,FALSE)+SUM(_xlfn.XLOOKUP($S175:$AL175,增益!$A:$A,增益!$D:$D,0))-$I$2</f>
        <v>4081.7</v>
      </c>
      <c r="AV175" s="29" cm="1">
        <f t="array" ref="AV175">IF($F$10-$I$3+VLOOKUP($R175,武学奇术!$A:$ZZ,6,FALSE)+SUM(_xlfn.XLOOKUP(S175:AL175,增益!$A:$A,增益!$F:$F,0))&gt;0,($F$10-$I$3+VLOOKUP($R175,武学奇术!$A:$ZZ,6,FALSE)+SUM(_xlfn.XLOOKUP(S175:AL175,增益!$A:$A,增益!$F:$F,0)))/200,($F$10-$I$3+VLOOKUP($R175,武学奇术!$A:$ZZ,6,FALSE)+SUM(_xlfn.XLOOKUP(S175:AL175,增益!$A:$A,增益!$F:$F,0)))/100)</f>
        <v>0.3689</v>
      </c>
      <c r="AW175" s="29" cm="1">
        <f t="array" ref="AW175">$G$10+VLOOKUP($R175,武学奇术!$A:$ZZ,7,FALSE)+SUM(_xlfn.XLOOKUP(S175:AL175,增益!$A:$A,增益!$G:$G,0))</f>
        <v>0.27</v>
      </c>
      <c r="AX175" s="23" cm="1">
        <f t="array" ref="AX175">VLOOKUP($R175,武学奇术!$A:$ZZ,8,FALSE)+SUM(_xlfn.XLOOKUP(S175:AL175,增益!$A:$A,增益!$H:$H,0))</f>
        <v>0</v>
      </c>
      <c r="AY175">
        <f t="shared" si="24"/>
        <v>0</v>
      </c>
      <c r="AZ175">
        <f t="shared" si="25"/>
        <v>0</v>
      </c>
      <c r="BA175" s="29" cm="1">
        <f t="array" ref="BA175">IF($F$11-$I$4+VLOOKUP($R175,武学奇术!$A:$ZZ,9,FALSE)+SUM(_xlfn.XLOOKUP(S175:AL175,增益!$A:$A,增益!$I:$I,0))&gt;0,($F$11-$I$4+VLOOKUP($R175,武学奇术!$A:$ZZ,9,FALSE)+SUM(_xlfn.XLOOKUP(S175:AL175,增益!$A:$A,增益!$I:$I,0)))/200,($F$11-$I$4+VLOOKUP($R175,武学奇术!$A:$ZZ,9,FALSE)+SUM(_xlfn.XLOOKUP(S175:AL175,增益!$A:$A,增益!$I:$I,0)))/100)</f>
        <v>-0.3</v>
      </c>
      <c r="BB175" s="29" cm="1">
        <f t="array" ref="BB175">$G$11+VLOOKUP($R175,武学奇术!$A:$ZZ,10,FALSE)+SUM(_xlfn.XLOOKUP(S175:AL175,增益!$A:$A,增益!$J:$J,0))</f>
        <v>0</v>
      </c>
      <c r="BC175">
        <f t="shared" si="26"/>
        <v>0</v>
      </c>
      <c r="BD175">
        <f t="shared" si="27"/>
        <v>0</v>
      </c>
      <c r="BE175" s="29" cm="1">
        <f t="array" ref="BE175">IF($F$12-$I$4+VLOOKUP($R175,武学奇术!$A:$ZZ,11,FALSE)+SUM(_xlfn.XLOOKUP(S175:AL175,增益!$A:$A,增益!$K:$K,0))&gt;0,($F$12-$I$4+VLOOKUP($R175,武学奇术!$A:$ZZ,11,FALSE)+SUM(_xlfn.XLOOKUP(S175:AL175,增益!$A:$A,增益!$K:$K,0)))/200,($F$12-$I$4+VLOOKUP($R175,武学奇术!$A:$ZZ,11,FALSE)+SUM(_xlfn.XLOOKUP(S175:AL175,增益!$A:$A,增益!$K:$K,0)))/100)</f>
        <v>-0.3</v>
      </c>
      <c r="BF175" s="29" cm="1">
        <f t="array" ref="BF175">$G$12+VLOOKUP($R175,武学奇术!$A:$ZZ,12,FALSE)+SUM(_xlfn.XLOOKUP(S175:AL175,增益!$A:$A,增益!$L:$L,0))</f>
        <v>0</v>
      </c>
      <c r="BG175">
        <f t="shared" si="28"/>
        <v>0</v>
      </c>
      <c r="BH175">
        <f t="shared" si="29"/>
        <v>0</v>
      </c>
      <c r="BI175" s="29" cm="1">
        <f t="array" ref="BI175">IF($F$13-$I$4+VLOOKUP($R175,武学奇术!$A:$ZZ,13,FALSE)+SUM(_xlfn.XLOOKUP(S175:AL175,增益!$A:$A,增益!$M:$M,0))&gt;0,($F$13-$I$4+VLOOKUP($R175,武学奇术!$A:$ZZ,13,FALSE)+SUM(_xlfn.XLOOKUP(S175:AL175,增益!$A:$A,增益!$K:$K,0)))/200,($F$13-$I$4+VLOOKUP($R175,武学奇术!$A:$ZZ,13,FALSE)+SUM(_xlfn.XLOOKUP(S175:AL175,增益!$A:$A,增益!$M:$M,0)))/100)</f>
        <v>-0.3</v>
      </c>
      <c r="BJ175" s="29" cm="1">
        <f t="array" ref="BJ175">$G$13+VLOOKUP($R175,武学奇术!$A:$ZZ,14,FALSE)+SUM(_xlfn.XLOOKUP(S175:AL175,增益!$A:$A,增益!$N:$N,0))</f>
        <v>0</v>
      </c>
      <c r="BK175">
        <f t="shared" si="30"/>
        <v>618.2</v>
      </c>
      <c r="BL175">
        <f t="shared" si="31"/>
        <v>1805</v>
      </c>
      <c r="BM175" s="29" cm="1">
        <f t="array" ref="BM175">IF($F$14-$I$4+VLOOKUP($R175,武学奇术!$A:$ZZ,15,FALSE)+SUM(_xlfn.XLOOKUP(S175:AL175,增益!$A:$A,增益!$O:$O,0))&gt;0,($F$14-$I$4+VLOOKUP($R175,武学奇术!$A:$ZZ,15,FALSE)+SUM(_xlfn.XLOOKUP(S175:AL175,增益!$A:$A,增益!$O:$O,0)))/200,($F$14-$I$4+VLOOKUP($R175,武学奇术!$A:$ZZ,15,FALSE)+SUM(_xlfn.XLOOKUP(S175:AL175,增益!$A:$A,增益!$O:$O,0)))/100)</f>
        <v>0.05</v>
      </c>
      <c r="BN175" s="29" cm="1">
        <f t="array" ref="BN175">$G$14+VLOOKUP($R175,武学奇术!$A:$ZZ,16,FALSE)+SUM(_xlfn.XLOOKUP(S175:AL175,增益!$A:$A,增益!$P:$P,0))</f>
        <v>0.42</v>
      </c>
      <c r="BO175" s="23">
        <f>MIN(IF(VLOOKUP($R175,武学奇术!$A:$ZZ,23,FALSE)=1,100%,$B$8),100%)</f>
        <v>0.9943</v>
      </c>
      <c r="BP175" s="23" cm="1">
        <f t="array" ref="BP175">IF(VLOOKUP($R175,武学奇术!$A:$ZZ,23,FALSE)=1,100%,MIN(80%,$B$9+VLOOKUP($R175,武学奇术!$A:$ZZ,17,FALSE)+SUM(_xlfn.XLOOKUP(S175:AL175,增益!$A:$A,增益!$Q:$Q,0)))+$B$11+SUM(_xlfn.XLOOKUP(S175:AL175,增益!$A:$A,增益!$U:$U,0)))*IF(VLOOKUP($R175,武学奇术!$A:$ZZ,24,FALSE)=1,0,1)</f>
        <v>0.887</v>
      </c>
      <c r="BQ175" s="23" cm="1">
        <f t="array" ref="BQ175">1+$B$13+VLOOKUP($R175,武学奇术!$A:$ZZ,18,FALSE)+SUM(_xlfn.XLOOKUP(S175:AL175,增益!$A:$A,增益!$R:$R,0))</f>
        <v>2.394</v>
      </c>
      <c r="BR175" s="23" cm="1">
        <f t="array" ref="BR175">IF(VLOOKUP($R175,武学奇术!$A:$ZZ,24,FALSE)=1,100%,MIN(40%,$B$10+VLOOKUP($R175,武学奇术!$A:$ZZ,19,FALSE)+SUM(_xlfn.XLOOKUP(S175:AL175,增益!$A:$A,增益!$S:$S,0)))+$B$12+SUM(_xlfn.XLOOKUP(S175:AL175,增益!$A:$A,增益!$V:$V,0)))*IF(VLOOKUP($R175,武学奇术!$A:$ZZ,23,FALSE)=1,0,1)</f>
        <v>0.0913</v>
      </c>
      <c r="BS175" s="23" cm="1">
        <f t="array" ref="BS175">1+$B$14+VLOOKUP($R175,武学奇术!$A:$ZZ,20,FALSE)+SUM(_xlfn.XLOOKUP(S175:AL175,增益!$A:$A,增益!$T:$T,0))</f>
        <v>1.35</v>
      </c>
      <c r="BT175" s="23">
        <f t="shared" si="32"/>
        <v>0.8819441</v>
      </c>
      <c r="BU175" s="23">
        <f t="shared" si="33"/>
        <v>0.0215763099999999</v>
      </c>
      <c r="BV175" s="23">
        <f>IF(VLOOKUP($R175,武学奇术!$A:$ZZ,22,FALSE)=1,0,(1-$BO175))*(1-$BR175)</f>
        <v>0.00517959000000003</v>
      </c>
      <c r="BW175" s="23" cm="1">
        <f t="array" ref="BW175">SUM(_xlfn.XLOOKUP(S175:AL175,增益!$A:$A,增益!$W:$W,0))+$I$5</f>
        <v>0.11</v>
      </c>
      <c r="BX175" s="23">
        <f>VLOOKUP($R175,武学奇术!$A:$ZZ,32,FALSE)</f>
        <v>0</v>
      </c>
      <c r="BY175" s="23" cm="1">
        <f t="array" ref="BY175">SUM(_xlfn.XLOOKUP($S175:$AL175,增益!$A:$A,增益!$X:$X,0))</f>
        <v>0</v>
      </c>
    </row>
    <row r="176" spans="11:77">
      <c r="K176" s="35">
        <f>$L176*VLOOKUP($R176,武学奇术!$A:$ZZ,31,FALSE)</f>
        <v>72903.3614288772</v>
      </c>
      <c r="L176" s="35">
        <f t="shared" si="34"/>
        <v>65092.2869900689</v>
      </c>
      <c r="M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轻击",$B$21,0))*(1+IF(VLOOKUP($R176,武学奇术!$A:$ZZ,30,FALSE)="老鼠",$B$22,0))*(1+$BW176)*(1+$BX176)</f>
        <v>68619.0375614936</v>
      </c>
      <c r="N176" s="35">
        <f>(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轻击",$B$21,0))*(1+IF(VLOOKUP($R176,武学奇术!$A:$ZZ,30,FALSE)="老鼠",$B$22,0))*(1+$BW176))*(1+$BX176)</f>
        <v>63642.7286513041</v>
      </c>
      <c r="O176" s="35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轻击",$B$21,0))*(1+IF(VLOOKUP($R176,武学奇术!$A:$ZZ,30,FALSE)="老鼠",$B$22,0))*(1+$BW176)*(1+$BX176)</f>
        <v>41739.0739425144</v>
      </c>
      <c r="P176" s="35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轻击",$B$21,0))*(1+IF(VLOOKUP($R176,武学奇术!$A:$ZZ,30,FALSE)="老鼠",$B$22,0))*(1+$BW176)*(1+$BX176)</f>
        <v>36335.3859210998</v>
      </c>
      <c r="Q176" s="36">
        <v>1</v>
      </c>
      <c r="R176" s="37" t="s">
        <v>158</v>
      </c>
      <c r="S176" s="37" t="s">
        <v>91</v>
      </c>
      <c r="T176" s="37" t="s">
        <v>185</v>
      </c>
      <c r="U176" s="37" t="s">
        <v>112</v>
      </c>
      <c r="V176" s="37" t="s">
        <v>113</v>
      </c>
      <c r="W176" s="37" t="s">
        <v>82</v>
      </c>
      <c r="X176" s="37" t="s">
        <v>81</v>
      </c>
      <c r="Y176" s="37" t="s">
        <v>109</v>
      </c>
      <c r="Z176" s="37" t="s">
        <v>81</v>
      </c>
      <c r="AA176" s="37" t="s">
        <v>81</v>
      </c>
      <c r="AB176" s="37" t="s">
        <v>81</v>
      </c>
      <c r="AC176" s="37" t="s">
        <v>81</v>
      </c>
      <c r="AD176" s="37" t="s">
        <v>81</v>
      </c>
      <c r="AE176" s="37" t="s">
        <v>81</v>
      </c>
      <c r="AF176" s="37" t="s">
        <v>81</v>
      </c>
      <c r="AG176" s="37" t="s">
        <v>87</v>
      </c>
      <c r="AH176" s="37" t="s">
        <v>81</v>
      </c>
      <c r="AI176" s="37" t="s">
        <v>81</v>
      </c>
      <c r="AJ176" s="37" t="s">
        <v>81</v>
      </c>
      <c r="AK176" s="37" t="s">
        <v>81</v>
      </c>
      <c r="AL176" s="37" t="s">
        <v>81</v>
      </c>
      <c r="AM176" t="str">
        <f>VLOOKUP($R176,武学奇术!$A:$ZZ,25,FALSE)</f>
        <v>双刀</v>
      </c>
      <c r="AN176" s="23">
        <f>VLOOKUP($R176,武学奇术!$A:$ZZ,26,FALSE)</f>
        <v>2.5342</v>
      </c>
      <c r="AO176" s="24">
        <f>VLOOKUP($R176,武学奇术!$A:$ZZ,27,FALSE)*(1+IF(OR($AM176=$F$4,$AM176=$F$5),$B$23,0))</f>
        <v>1123.2</v>
      </c>
      <c r="AP176" s="23">
        <f>VLOOKUP($R176,武学奇术!$A:$ZZ,28,FALSE)</f>
        <v>3.8012</v>
      </c>
      <c r="AQ176" s="24">
        <f>VLOOKUP($R176,武学奇术!$A:$ZZ,29,FALSE)*(1+IF(OR($AM176=$F$4,$AM176=$F$5),$B$23,0))</f>
        <v>611.2</v>
      </c>
      <c r="AR176" s="23" cm="1">
        <f t="array" ref="AR176">$G$3+IFERROR(VLOOKUP($AM176,$F$4:$G$7,2,FALSE),0)+VLOOKUP($R176,武学奇术!$A:$ZZ,2,FALSE)+SUM(_xlfn.XLOOKUP($S176:$AL176,增益!$A:$A,增益!$B:$B,0))</f>
        <v>0.5443</v>
      </c>
      <c r="AS176" s="23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4081.7</v>
      </c>
      <c r="AU176" cm="1">
        <f t="array" ref="AU176">$E$10*(1+$AS176)+VLOOKUP($R176,武学奇术!$A:$ZZ,4,FALSE)+SUM(_xlfn.XLOOKUP($S176:$AL176,增益!$A:$A,增益!$D:$D,0))-$I$2</f>
        <v>4081.7</v>
      </c>
      <c r="AV176" s="29" cm="1">
        <f t="array" ref="AV176">IF($F$10-$I$3+VLOOKUP($R176,武学奇术!$A:$ZZ,6,FALSE)+SUM(_xlfn.XLOOKUP(S176:AL176,增益!$A:$A,增益!$F:$F,0))&gt;0,($F$10-$I$3+VLOOKUP($R176,武学奇术!$A:$ZZ,6,FALSE)+SUM(_xlfn.XLOOKUP(S176:AL176,增益!$A:$A,增益!$F:$F,0)))/200,($F$10-$I$3+VLOOKUP($R176,武学奇术!$A:$ZZ,6,FALSE)+SUM(_xlfn.XLOOKUP(S176:AL176,增益!$A:$A,增益!$F:$F,0)))/100)</f>
        <v>0.2439</v>
      </c>
      <c r="AW176" s="29" cm="1">
        <f t="array" ref="AW176">$G$10+VLOOKUP($R176,武学奇术!$A:$ZZ,7,FALSE)+SUM(_xlfn.XLOOKUP(S176:AL176,增益!$A:$A,增益!$G:$G,0))</f>
        <v>0.06</v>
      </c>
      <c r="AX176" s="23" cm="1">
        <f t="array" ref="AX176">VLOOKUP($R176,武学奇术!$A:$ZZ,8,FALSE)+SUM(_xlfn.XLOOKUP(S176:AL176,增益!$A:$A,增益!$H:$H,0))</f>
        <v>0</v>
      </c>
      <c r="AY176">
        <f t="shared" si="24"/>
        <v>0</v>
      </c>
      <c r="AZ176">
        <f t="shared" si="25"/>
        <v>0</v>
      </c>
      <c r="BA176" s="29" cm="1">
        <f t="array" ref="BA176">IF($F$11-$I$4+VLOOKUP($R176,武学奇术!$A:$ZZ,9,FALSE)+SUM(_xlfn.XLOOKUP(S176:AL176,增益!$A:$A,增益!$I:$I,0))&gt;0,($F$11-$I$4+VLOOKUP($R176,武学奇术!$A:$ZZ,9,FALSE)+SUM(_xlfn.XLOOKUP(S176:AL176,增益!$A:$A,增益!$I:$I,0)))/200,($F$11-$I$4+VLOOKUP($R176,武学奇术!$A:$ZZ,9,FALSE)+SUM(_xlfn.XLOOKUP(S176:AL176,增益!$A:$A,增益!$I:$I,0)))/100)</f>
        <v>-0.3</v>
      </c>
      <c r="BB176" s="29" cm="1">
        <f t="array" ref="BB176">$G$11+VLOOKUP($R176,武学奇术!$A:$ZZ,10,FALSE)+SUM(_xlfn.XLOOKUP(S176:AL176,增益!$A:$A,增益!$J:$J,0))</f>
        <v>0</v>
      </c>
      <c r="BC176">
        <f t="shared" si="26"/>
        <v>0</v>
      </c>
      <c r="BD176">
        <f t="shared" si="27"/>
        <v>0</v>
      </c>
      <c r="BE176" s="29" cm="1">
        <f t="array" ref="BE176">IF($F$12-$I$4+VLOOKUP($R176,武学奇术!$A:$ZZ,11,FALSE)+SUM(_xlfn.XLOOKUP(S176:AL176,增益!$A:$A,增益!$K:$K,0))&gt;0,($F$12-$I$4+VLOOKUP($R176,武学奇术!$A:$ZZ,11,FALSE)+SUM(_xlfn.XLOOKUP(S176:AL176,增益!$A:$A,增益!$K:$K,0)))/200,($F$12-$I$4+VLOOKUP($R176,武学奇术!$A:$ZZ,11,FALSE)+SUM(_xlfn.XLOOKUP(S176:AL176,增益!$A:$A,增益!$K:$K,0)))/100)</f>
        <v>-0.3</v>
      </c>
      <c r="BF176" s="29" cm="1">
        <f t="array" ref="BF176">$G$12+VLOOKUP($R176,武学奇术!$A:$ZZ,12,FALSE)+SUM(_xlfn.XLOOKUP(S176:AL176,增益!$A:$A,增益!$L:$L,0))</f>
        <v>0</v>
      </c>
      <c r="BG176">
        <f t="shared" si="28"/>
        <v>0</v>
      </c>
      <c r="BH176">
        <f t="shared" si="29"/>
        <v>0</v>
      </c>
      <c r="BI176" s="29" cm="1">
        <f t="array" ref="BI176">IF($F$13-$I$4+VLOOKUP($R176,武学奇术!$A:$ZZ,13,FALSE)+SUM(_xlfn.XLOOKUP(S176:AL176,增益!$A:$A,增益!$M:$M,0))&gt;0,($F$13-$I$4+VLOOKUP($R176,武学奇术!$A:$ZZ,13,FALSE)+SUM(_xlfn.XLOOKUP(S176:AL176,增益!$A:$A,增益!$K:$K,0)))/200,($F$13-$I$4+VLOOKUP($R176,武学奇术!$A:$ZZ,13,FALSE)+SUM(_xlfn.XLOOKUP(S176:AL176,增益!$A:$A,增益!$M:$M,0)))/100)</f>
        <v>-0.3</v>
      </c>
      <c r="BJ176" s="29" cm="1">
        <f t="array" ref="BJ176">$G$13+VLOOKUP($R176,武学奇术!$A:$ZZ,14,FALSE)+SUM(_xlfn.XLOOKUP(S176:AL176,增益!$A:$A,增益!$N:$N,0))</f>
        <v>0</v>
      </c>
      <c r="BK176">
        <f t="shared" si="30"/>
        <v>618.2</v>
      </c>
      <c r="BL176">
        <f t="shared" si="31"/>
        <v>1805</v>
      </c>
      <c r="BM176" s="29" cm="1">
        <f t="array" ref="BM176">IF($F$14-$I$4+VLOOKUP($R176,武学奇术!$A:$ZZ,15,FALSE)+SUM(_xlfn.XLOOKUP(S176:AL176,增益!$A:$A,增益!$O:$O,0))&gt;0,($F$14-$I$4+VLOOKUP($R176,武学奇术!$A:$ZZ,15,FALSE)+SUM(_xlfn.XLOOKUP(S176:AL176,增益!$A:$A,增益!$O:$O,0)))/200,($F$14-$I$4+VLOOKUP($R176,武学奇术!$A:$ZZ,15,FALSE)+SUM(_xlfn.XLOOKUP(S176:AL176,增益!$A:$A,增益!$O:$O,0)))/100)</f>
        <v>0.05</v>
      </c>
      <c r="BN176" s="29" cm="1">
        <f t="array" ref="BN176">$G$14+VLOOKUP($R176,武学奇术!$A:$ZZ,16,FALSE)+SUM(_xlfn.XLOOKUP(S176:AL176,增益!$A:$A,增益!$P:$P,0))</f>
        <v>0.21</v>
      </c>
      <c r="BO176" s="23">
        <f>MIN(IF(VLOOKUP($R176,武学奇术!$A:$ZZ,23,FALSE)=1,100%,$B$8),100%)</f>
        <v>0.9943</v>
      </c>
      <c r="BP176" s="23" cm="1">
        <f t="array" ref="BP176">IF(VLOOKUP($R176,武学奇术!$A:$ZZ,23,FALSE)=1,100%,MIN(80%,$B$9+VLOOKUP($R176,武学奇术!$A:$ZZ,17,FALSE)+SUM(_xlfn.XLOOKUP(S176:AL176,增益!$A:$A,增益!$Q:$Q,0)))+$B$11+SUM(_xlfn.XLOOKUP(S176:AL176,增益!$A:$A,增益!$U:$U,0)))*IF(VLOOKUP($R176,武学奇术!$A:$ZZ,24,FALSE)=1,0,1)</f>
        <v>0.8</v>
      </c>
      <c r="BQ176" s="23" cm="1">
        <f t="array" ref="BQ176">1+$B$13+VLOOKUP($R176,武学奇术!$A:$ZZ,18,FALSE)+SUM(_xlfn.XLOOKUP(S176:AL176,增益!$A:$A,增益!$R:$R,0))</f>
        <v>1.644</v>
      </c>
      <c r="BR176" s="23" cm="1">
        <f t="array" ref="BR176">IF(VLOOKUP($R176,武学奇术!$A:$ZZ,24,FALSE)=1,100%,MIN(40%,$B$10+VLOOKUP($R176,武学奇术!$A:$ZZ,19,FALSE)+SUM(_xlfn.XLOOKUP(S176:AL176,增益!$A:$A,增益!$S:$S,0)))+$B$12+SUM(_xlfn.XLOOKUP(S176:AL176,增益!$A:$A,增益!$V:$V,0)))*IF(VLOOKUP($R176,武学奇术!$A:$ZZ,23,FALSE)=1,0,1)</f>
        <v>0.0913</v>
      </c>
      <c r="BS176" s="23" cm="1">
        <f t="array" ref="BS176">1+$B$14+VLOOKUP($R176,武学奇术!$A:$ZZ,20,FALSE)+SUM(_xlfn.XLOOKUP(S176:AL176,增益!$A:$A,增益!$T:$T,0))</f>
        <v>1.35</v>
      </c>
      <c r="BT176" s="23">
        <f t="shared" si="32"/>
        <v>0.79544</v>
      </c>
      <c r="BU176" s="23">
        <f t="shared" si="33"/>
        <v>0.10808041</v>
      </c>
      <c r="BV176" s="23">
        <f>IF(VLOOKUP($R176,武学奇术!$A:$ZZ,22,FALSE)=1,0,(1-$BO176))*(1-$BR176)</f>
        <v>0.00517959000000003</v>
      </c>
      <c r="BW176" s="23" cm="1">
        <f t="array" ref="BW176">SUM(_xlfn.XLOOKUP(S176:AL176,增益!$A:$A,增益!$W:$W,0))+$I$5</f>
        <v>0.11</v>
      </c>
      <c r="BX176" s="23">
        <f>VLOOKUP($R176,武学奇术!$A:$ZZ,32,FALSE)</f>
        <v>0.1</v>
      </c>
      <c r="BY176" s="23" cm="1">
        <f t="array" ref="BY176">SUM(_xlfn.XLOOKUP($S176:$AL176,增益!$A:$A,增益!$X:$X,0))</f>
        <v>0</v>
      </c>
    </row>
    <row r="177" spans="11:77">
      <c r="K177" s="35">
        <f>$L177*VLOOKUP($R177,武学奇术!$A:$ZZ,31,FALSE)</f>
        <v>73673.5750523998</v>
      </c>
      <c r="L177" s="69">
        <f t="shared" si="34"/>
        <v>72228.9951494115</v>
      </c>
      <c r="M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轻击",$B$21,0))*(1+IF(VLOOKUP($R177,武学奇术!$A:$ZZ,30,FALSE)="老鼠",$B$22,0))*(1+$BW177)*(1+$BX177)</f>
        <v>76053.4234693911</v>
      </c>
      <c r="N177" s="35">
        <f>(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轻击",$B$21,0))*(1+IF(VLOOKUP($R177,武学奇术!$A:$ZZ,30,FALSE)="老鼠",$B$22,0))*(1+$BW177))*(1+$BX177)</f>
        <v>71503.1794911649</v>
      </c>
      <c r="O177" s="35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轻击",$B$21,0))*(1+IF(VLOOKUP($R177,武学奇术!$A:$ZZ,30,FALSE)="老鼠",$B$22,0))*(1+$BW177)*(1+$BX177)</f>
        <v>46261.2064898973</v>
      </c>
      <c r="P177" s="35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轻击",$B$21,0))*(1+IF(VLOOKUP($R177,武学奇术!$A:$ZZ,30,FALSE)="老鼠",$B$22,0))*(1+$BW177)*(1+$BX177)</f>
        <v>39557.0948381909</v>
      </c>
      <c r="Q177" s="70">
        <v>4</v>
      </c>
      <c r="R177" s="37" t="s">
        <v>106</v>
      </c>
      <c r="S177" s="37" t="s">
        <v>91</v>
      </c>
      <c r="T177" s="37" t="s">
        <v>185</v>
      </c>
      <c r="U177" s="37" t="s">
        <v>112</v>
      </c>
      <c r="V177" s="37" t="s">
        <v>113</v>
      </c>
      <c r="W177" s="37" t="s">
        <v>82</v>
      </c>
      <c r="X177" s="37" t="s">
        <v>81</v>
      </c>
      <c r="Y177" s="37" t="s">
        <v>109</v>
      </c>
      <c r="Z177" s="37" t="s">
        <v>81</v>
      </c>
      <c r="AA177" s="37" t="s">
        <v>81</v>
      </c>
      <c r="AB177" s="37" t="s">
        <v>81</v>
      </c>
      <c r="AC177" s="37" t="s">
        <v>81</v>
      </c>
      <c r="AD177" s="37" t="s">
        <v>81</v>
      </c>
      <c r="AE177" s="37" t="s">
        <v>81</v>
      </c>
      <c r="AF177" s="37" t="s">
        <v>81</v>
      </c>
      <c r="AG177" s="37" t="s">
        <v>87</v>
      </c>
      <c r="AH177" s="37" t="s">
        <v>81</v>
      </c>
      <c r="AI177" s="37" t="s">
        <v>81</v>
      </c>
      <c r="AJ177" s="37" t="s">
        <v>81</v>
      </c>
      <c r="AK177" s="37" t="s">
        <v>81</v>
      </c>
      <c r="AL177" s="37" t="s">
        <v>81</v>
      </c>
      <c r="AM177" t="str">
        <f>VLOOKUP($R177,武学奇术!$A:$ZZ,25,FALSE)</f>
        <v>绳镖</v>
      </c>
      <c r="AN177" s="23">
        <f>VLOOKUP($R177,武学奇术!$A:$ZZ,26,FALSE)</f>
        <v>0.3675</v>
      </c>
      <c r="AO177" s="24">
        <f>VLOOKUP($R177,武学奇术!$A:$ZZ,27,FALSE)*(1+IF(OR($AM177=$F$4,$AM177=$F$5),$B$23,0))</f>
        <v>0</v>
      </c>
      <c r="AP177" s="23">
        <f>VLOOKUP($R177,武学奇术!$A:$ZZ,28,FALSE)</f>
        <v>0.55125</v>
      </c>
      <c r="AQ177" s="24">
        <f>VLOOKUP($R177,武学奇术!$A:$ZZ,29,FALSE)*(1+IF(OR($AM177=$F$4,$AM177=$F$5),$B$23,0))</f>
        <v>0</v>
      </c>
      <c r="AR177" s="23" cm="1">
        <f t="array" ref="AR177">$G$3+IFERROR(VLOOKUP($AM177,$F$4:$G$7,2,FALSE),0)+VLOOKUP($R177,武学奇术!$A:$ZZ,2,FALSE)+SUM(_xlfn.XLOOKUP($S177:$AL177,增益!$A:$A,增益!$B:$B,0))</f>
        <v>1.3443</v>
      </c>
      <c r="AS177" s="23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4081.7</v>
      </c>
      <c r="AU177" cm="1">
        <f t="array" ref="AU177">$E$10*(1+$AS177)+VLOOKUP($R177,武学奇术!$A:$ZZ,4,FALSE)+SUM(_xlfn.XLOOKUP($S177:$AL177,增益!$A:$A,增益!$D:$D,0))-$I$2</f>
        <v>4081.7</v>
      </c>
      <c r="AV177" s="29" cm="1">
        <f t="array" ref="AV177">IF($F$10-$I$3+VLOOKUP($R177,武学奇术!$A:$ZZ,6,FALSE)+SUM(_xlfn.XLOOKUP(S177:AL177,增益!$A:$A,增益!$F:$F,0))&gt;0,($F$10-$I$3+VLOOKUP($R177,武学奇术!$A:$ZZ,6,FALSE)+SUM(_xlfn.XLOOKUP(S177:AL177,增益!$A:$A,增益!$F:$F,0)))/200,($F$10-$I$3+VLOOKUP($R177,武学奇术!$A:$ZZ,6,FALSE)+SUM(_xlfn.XLOOKUP(S177:AL177,增益!$A:$A,增益!$F:$F,0)))/100)</f>
        <v>0.2439</v>
      </c>
      <c r="AW177" s="29" cm="1">
        <f t="array" ref="AW177">$G$10+VLOOKUP($R177,武学奇术!$A:$ZZ,7,FALSE)+SUM(_xlfn.XLOOKUP(S177:AL177,增益!$A:$A,增益!$G:$G,0))</f>
        <v>0.27</v>
      </c>
      <c r="AX177" s="23" cm="1">
        <f t="array" ref="AX177">VLOOKUP($R177,武学奇术!$A:$ZZ,8,FALSE)+SUM(_xlfn.XLOOKUP(S177:AL177,增益!$A:$A,增益!$H:$H,0))</f>
        <v>0</v>
      </c>
      <c r="AY177">
        <f t="shared" si="24"/>
        <v>0</v>
      </c>
      <c r="AZ177">
        <f t="shared" si="25"/>
        <v>0</v>
      </c>
      <c r="BA177" s="29" cm="1">
        <f t="array" ref="BA177">IF($F$11-$I$4+VLOOKUP($R177,武学奇术!$A:$ZZ,9,FALSE)+SUM(_xlfn.XLOOKUP(S177:AL177,增益!$A:$A,增益!$I:$I,0))&gt;0,($F$11-$I$4+VLOOKUP($R177,武学奇术!$A:$ZZ,9,FALSE)+SUM(_xlfn.XLOOKUP(S177:AL177,增益!$A:$A,增益!$I:$I,0)))/200,($F$11-$I$4+VLOOKUP($R177,武学奇术!$A:$ZZ,9,FALSE)+SUM(_xlfn.XLOOKUP(S177:AL177,增益!$A:$A,增益!$I:$I,0)))/100)</f>
        <v>-0.3</v>
      </c>
      <c r="BB177" s="29" cm="1">
        <f t="array" ref="BB177">$G$11+VLOOKUP($R177,武学奇术!$A:$ZZ,10,FALSE)+SUM(_xlfn.XLOOKUP(S177:AL177,增益!$A:$A,增益!$J:$J,0))</f>
        <v>0</v>
      </c>
      <c r="BC177">
        <f t="shared" si="26"/>
        <v>0</v>
      </c>
      <c r="BD177">
        <f t="shared" si="27"/>
        <v>0</v>
      </c>
      <c r="BE177" s="29" cm="1">
        <f t="array" ref="BE177">IF($F$12-$I$4+VLOOKUP($R177,武学奇术!$A:$ZZ,11,FALSE)+SUM(_xlfn.XLOOKUP(S177:AL177,增益!$A:$A,增益!$K:$K,0))&gt;0,($F$12-$I$4+VLOOKUP($R177,武学奇术!$A:$ZZ,11,FALSE)+SUM(_xlfn.XLOOKUP(S177:AL177,增益!$A:$A,增益!$K:$K,0)))/200,($F$12-$I$4+VLOOKUP($R177,武学奇术!$A:$ZZ,11,FALSE)+SUM(_xlfn.XLOOKUP(S177:AL177,增益!$A:$A,增益!$K:$K,0)))/100)</f>
        <v>-0.3</v>
      </c>
      <c r="BF177" s="29" cm="1">
        <f t="array" ref="BF177">$G$12+VLOOKUP($R177,武学奇术!$A:$ZZ,12,FALSE)+SUM(_xlfn.XLOOKUP(S177:AL177,增益!$A:$A,增益!$L:$L,0))</f>
        <v>0</v>
      </c>
      <c r="BG177">
        <f t="shared" si="28"/>
        <v>0</v>
      </c>
      <c r="BH177">
        <f t="shared" si="29"/>
        <v>0</v>
      </c>
      <c r="BI177" s="29" cm="1">
        <f t="array" ref="BI177">IF($F$13-$I$4+VLOOKUP($R177,武学奇术!$A:$ZZ,13,FALSE)+SUM(_xlfn.XLOOKUP(S177:AL177,增益!$A:$A,增益!$M:$M,0))&gt;0,($F$13-$I$4+VLOOKUP($R177,武学奇术!$A:$ZZ,13,FALSE)+SUM(_xlfn.XLOOKUP(S177:AL177,增益!$A:$A,增益!$K:$K,0)))/200,($F$13-$I$4+VLOOKUP($R177,武学奇术!$A:$ZZ,13,FALSE)+SUM(_xlfn.XLOOKUP(S177:AL177,增益!$A:$A,增益!$M:$M,0)))/100)</f>
        <v>-0.3</v>
      </c>
      <c r="BJ177" s="29" cm="1">
        <f t="array" ref="BJ177">$G$13+VLOOKUP($R177,武学奇术!$A:$ZZ,14,FALSE)+SUM(_xlfn.XLOOKUP(S177:AL177,增益!$A:$A,增益!$N:$N,0))</f>
        <v>0</v>
      </c>
      <c r="BK177">
        <f t="shared" si="30"/>
        <v>618.2</v>
      </c>
      <c r="BL177">
        <f t="shared" si="31"/>
        <v>1805</v>
      </c>
      <c r="BM177" s="29" cm="1">
        <f t="array" ref="BM177">IF($F$14-$I$4+VLOOKUP($R177,武学奇术!$A:$ZZ,15,FALSE)+SUM(_xlfn.XLOOKUP(S177:AL177,增益!$A:$A,增益!$O:$O,0))&gt;0,($F$14-$I$4+VLOOKUP($R177,武学奇术!$A:$ZZ,15,FALSE)+SUM(_xlfn.XLOOKUP(S177:AL177,增益!$A:$A,增益!$O:$O,0)))/200,($F$14-$I$4+VLOOKUP($R177,武学奇术!$A:$ZZ,15,FALSE)+SUM(_xlfn.XLOOKUP(S177:AL177,增益!$A:$A,增益!$O:$O,0)))/100)</f>
        <v>0.05</v>
      </c>
      <c r="BN177" s="29" cm="1">
        <f t="array" ref="BN177">$G$14+VLOOKUP($R177,武学奇术!$A:$ZZ,16,FALSE)+SUM(_xlfn.XLOOKUP(S177:AL177,增益!$A:$A,增益!$P:$P,0))</f>
        <v>0.42</v>
      </c>
      <c r="BO177" s="23">
        <f>MIN(IF(VLOOKUP($R177,武学奇术!$A:$ZZ,23,FALSE)=1,100%,$B$8),100%)</f>
        <v>0.9943</v>
      </c>
      <c r="BP177" s="23" cm="1">
        <f t="array" ref="BP177">IF(VLOOKUP($R177,武学奇术!$A:$ZZ,23,FALSE)=1,100%,MIN(80%,$B$9+VLOOKUP($R177,武学奇术!$A:$ZZ,17,FALSE)+SUM(_xlfn.XLOOKUP(S177:AL177,增益!$A:$A,增益!$Q:$Q,0)))+$B$11+SUM(_xlfn.XLOOKUP(S177:AL177,增益!$A:$A,增益!$U:$U,0)))*IF(VLOOKUP($R177,武学奇术!$A:$ZZ,24,FALSE)=1,0,1)</f>
        <v>0.8</v>
      </c>
      <c r="BQ177" s="23" cm="1">
        <f t="array" ref="BQ177">1+$B$13+VLOOKUP($R177,武学奇术!$A:$ZZ,18,FALSE)+SUM(_xlfn.XLOOKUP(S177:AL177,增益!$A:$A,增益!$R:$R,0))</f>
        <v>1.644</v>
      </c>
      <c r="BR177" s="23" cm="1">
        <f t="array" ref="BR177">IF(VLOOKUP($R177,武学奇术!$A:$ZZ,24,FALSE)=1,100%,MIN(40%,$B$10+VLOOKUP($R177,武学奇术!$A:$ZZ,19,FALSE)+SUM(_xlfn.XLOOKUP(S177:AL177,增益!$A:$A,增益!$S:$S,0)))+$B$12+SUM(_xlfn.XLOOKUP(S177:AL177,增益!$A:$A,增益!$V:$V,0)))*IF(VLOOKUP($R177,武学奇术!$A:$ZZ,23,FALSE)=1,0,1)</f>
        <v>0.0913</v>
      </c>
      <c r="BS177" s="23" cm="1">
        <f t="array" ref="BS177">1+$B$14+VLOOKUP($R177,武学奇术!$A:$ZZ,20,FALSE)+SUM(_xlfn.XLOOKUP(S177:AL177,增益!$A:$A,增益!$T:$T,0))</f>
        <v>1.35</v>
      </c>
      <c r="BT177" s="23">
        <f t="shared" si="32"/>
        <v>0.79544</v>
      </c>
      <c r="BU177" s="23">
        <f t="shared" si="33"/>
        <v>0.10808041</v>
      </c>
      <c r="BV177" s="23">
        <f>IF(VLOOKUP($R177,武学奇术!$A:$ZZ,22,FALSE)=1,0,(1-$BO177))*(1-$BR177)</f>
        <v>0.00517959000000003</v>
      </c>
      <c r="BW177" s="23" cm="1">
        <f t="array" ref="BW177">SUM(_xlfn.XLOOKUP(S177:AL177,增益!$A:$A,增益!$W:$W,0))+$I$5</f>
        <v>0.11</v>
      </c>
      <c r="BX177" s="23">
        <f>VLOOKUP($R177,武学奇术!$A:$ZZ,32,FALSE)</f>
        <v>0</v>
      </c>
      <c r="BY177" s="23" cm="1">
        <f t="array" ref="BY177">SUM(_xlfn.XLOOKUP($S177:$AL177,增益!$A:$A,增益!$X:$X,0))</f>
        <v>0</v>
      </c>
    </row>
    <row r="178" spans="11:77">
      <c r="K178" s="35">
        <f>$L178*VLOOKUP($R178,武学奇术!$A:$ZZ,31,FALSE)</f>
        <v>1253.52778641985</v>
      </c>
      <c r="L178" s="35">
        <f t="shared" si="34"/>
        <v>1228.94881021554</v>
      </c>
      <c r="M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轻击",$B$21,0))*(1+IF(VLOOKUP($R178,武学奇术!$A:$ZZ,30,FALSE)="老鼠",$B$22,0))*(1+$BW178)*(1+$BX178)</f>
        <v>1295.71916094628</v>
      </c>
      <c r="N178" s="35">
        <f>(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轻击",$B$21,0))*(1+IF(VLOOKUP($R178,武学奇术!$A:$ZZ,30,FALSE)="老鼠",$B$22,0))*(1+$BW178))*(1+$BX178)</f>
        <v>1199.74660861096</v>
      </c>
      <c r="O178" s="35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轻击",$B$21,0))*(1+IF(VLOOKUP($R178,武学奇术!$A:$ZZ,30,FALSE)="老鼠",$B$22,0))*(1+$BW178)*(1+$BX178)</f>
        <v>788.150341208202</v>
      </c>
      <c r="P178" s="35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轻击",$B$21,0))*(1+IF(VLOOKUP($R178,武学奇术!$A:$ZZ,30,FALSE)="老鼠",$B$22,0))*(1+$BW178)*(1+$BX178)</f>
        <v>687.599490852725</v>
      </c>
      <c r="Q178" s="36">
        <v>1</v>
      </c>
      <c r="R178" s="37" t="s">
        <v>102</v>
      </c>
      <c r="S178" s="37" t="s">
        <v>91</v>
      </c>
      <c r="T178" s="37" t="s">
        <v>185</v>
      </c>
      <c r="U178" s="37" t="s">
        <v>81</v>
      </c>
      <c r="V178" s="37" t="s">
        <v>81</v>
      </c>
      <c r="W178" s="37" t="s">
        <v>82</v>
      </c>
      <c r="X178" s="37" t="s">
        <v>81</v>
      </c>
      <c r="Y178" s="37" t="s">
        <v>81</v>
      </c>
      <c r="Z178" s="37" t="s">
        <v>81</v>
      </c>
      <c r="AA178" s="37" t="s">
        <v>81</v>
      </c>
      <c r="AB178" s="37" t="s">
        <v>81</v>
      </c>
      <c r="AC178" s="37" t="s">
        <v>81</v>
      </c>
      <c r="AD178" s="37" t="s">
        <v>81</v>
      </c>
      <c r="AE178" s="37" t="s">
        <v>81</v>
      </c>
      <c r="AF178" s="37" t="s">
        <v>81</v>
      </c>
      <c r="AG178" s="37" t="s">
        <v>87</v>
      </c>
      <c r="AH178" s="37" t="s">
        <v>81</v>
      </c>
      <c r="AI178" s="37" t="s">
        <v>81</v>
      </c>
      <c r="AJ178" s="37" t="s">
        <v>81</v>
      </c>
      <c r="AK178" s="37" t="s">
        <v>81</v>
      </c>
      <c r="AL178" s="37" t="s">
        <v>81</v>
      </c>
      <c r="AM178" t="str">
        <f>VLOOKUP($R178,武学奇术!$A:$ZZ,25,FALSE)</f>
        <v>绳镖</v>
      </c>
      <c r="AN178" s="23">
        <f>VLOOKUP($R178,武学奇术!$A:$ZZ,26,FALSE)</f>
        <v>0.0621</v>
      </c>
      <c r="AO178" s="24">
        <f>VLOOKUP($R178,武学奇术!$A:$ZZ,27,FALSE)*(1+IF(OR($AM178=$F$4,$AM178=$F$5),$B$23,0))</f>
        <v>27.2</v>
      </c>
      <c r="AP178" s="23">
        <f>VLOOKUP($R178,武学奇术!$A:$ZZ,28,FALSE)</f>
        <v>0.0932</v>
      </c>
      <c r="AQ178" s="24">
        <f>VLOOKUP($R178,武学奇术!$A:$ZZ,29,FALSE)*(1+IF(OR($AM178=$F$4,$AM178=$F$5),$B$23,0))</f>
        <v>14.4</v>
      </c>
      <c r="AR178" s="23" cm="1">
        <f t="array" ref="AR178">$G$3+IFERROR(VLOOKUP($AM178,$F$4:$G$7,2,FALSE),0)+VLOOKUP($R178,武学奇术!$A:$ZZ,2,FALSE)+SUM(_xlfn.XLOOKUP($S178:$AL178,增益!$A:$A,增益!$B:$B,0))</f>
        <v>0.4243</v>
      </c>
      <c r="AS178" s="23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4013</v>
      </c>
      <c r="AU178" cm="1">
        <f t="array" ref="AU178">$E$10*(1+$AS178)+VLOOKUP($R178,武学奇术!$A:$ZZ,4,FALSE)+SUM(_xlfn.XLOOKUP($S178:$AL178,增益!$A:$A,增益!$D:$D,0))-$I$2</f>
        <v>4013</v>
      </c>
      <c r="AV178" s="29" cm="1">
        <f t="array" ref="AV178">IF($F$10-$I$3+VLOOKUP($R178,武学奇术!$A:$ZZ,6,FALSE)+SUM(_xlfn.XLOOKUP(S178:AL178,增益!$A:$A,增益!$F:$F,0))&gt;0,($F$10-$I$3+VLOOKUP($R178,武学奇术!$A:$ZZ,6,FALSE)+SUM(_xlfn.XLOOKUP(S178:AL178,增益!$A:$A,增益!$F:$F,0)))/200,($F$10-$I$3+VLOOKUP($R178,武学奇术!$A:$ZZ,6,FALSE)+SUM(_xlfn.XLOOKUP(S178:AL178,增益!$A:$A,增益!$F:$F,0)))/100)</f>
        <v>0.2439</v>
      </c>
      <c r="AW178" s="29" cm="1">
        <f t="array" ref="AW178">$G$10+VLOOKUP($R178,武学奇术!$A:$ZZ,7,FALSE)+SUM(_xlfn.XLOOKUP(S178:AL178,增益!$A:$A,增益!$G:$G,0))</f>
        <v>0</v>
      </c>
      <c r="AX178" s="23" cm="1">
        <f t="array" ref="AX178">VLOOKUP($R178,武学奇术!$A:$ZZ,8,FALSE)+SUM(_xlfn.XLOOKUP(S178:AL178,增益!$A:$A,增益!$H:$H,0))</f>
        <v>0</v>
      </c>
      <c r="AY178">
        <f t="shared" si="24"/>
        <v>0</v>
      </c>
      <c r="AZ178">
        <f t="shared" si="25"/>
        <v>0</v>
      </c>
      <c r="BA178" s="29" cm="1">
        <f t="array" ref="BA178">IF($F$11-$I$4+VLOOKUP($R178,武学奇术!$A:$ZZ,9,FALSE)+SUM(_xlfn.XLOOKUP(S178:AL178,增益!$A:$A,增益!$I:$I,0))&gt;0,($F$11-$I$4+VLOOKUP($R178,武学奇术!$A:$ZZ,9,FALSE)+SUM(_xlfn.XLOOKUP(S178:AL178,增益!$A:$A,增益!$I:$I,0)))/200,($F$11-$I$4+VLOOKUP($R178,武学奇术!$A:$ZZ,9,FALSE)+SUM(_xlfn.XLOOKUP(S178:AL178,增益!$A:$A,增益!$I:$I,0)))/100)</f>
        <v>-0.3</v>
      </c>
      <c r="BB178" s="29" cm="1">
        <f t="array" ref="BB178">$G$11+VLOOKUP($R178,武学奇术!$A:$ZZ,10,FALSE)+SUM(_xlfn.XLOOKUP(S178:AL178,增益!$A:$A,增益!$J:$J,0))</f>
        <v>0</v>
      </c>
      <c r="BC178">
        <f t="shared" si="26"/>
        <v>0</v>
      </c>
      <c r="BD178">
        <f t="shared" si="27"/>
        <v>0</v>
      </c>
      <c r="BE178" s="29" cm="1">
        <f t="array" ref="BE178">IF($F$12-$I$4+VLOOKUP($R178,武学奇术!$A:$ZZ,11,FALSE)+SUM(_xlfn.XLOOKUP(S178:AL178,增益!$A:$A,增益!$K:$K,0))&gt;0,($F$12-$I$4+VLOOKUP($R178,武学奇术!$A:$ZZ,11,FALSE)+SUM(_xlfn.XLOOKUP(S178:AL178,增益!$A:$A,增益!$K:$K,0)))/200,($F$12-$I$4+VLOOKUP($R178,武学奇术!$A:$ZZ,11,FALSE)+SUM(_xlfn.XLOOKUP(S178:AL178,增益!$A:$A,增益!$K:$K,0)))/100)</f>
        <v>-0.3</v>
      </c>
      <c r="BF178" s="29" cm="1">
        <f t="array" ref="BF178">$G$12+VLOOKUP($R178,武学奇术!$A:$ZZ,12,FALSE)+SUM(_xlfn.XLOOKUP(S178:AL178,增益!$A:$A,增益!$L:$L,0))</f>
        <v>0</v>
      </c>
      <c r="BG178">
        <f t="shared" si="28"/>
        <v>0</v>
      </c>
      <c r="BH178">
        <f t="shared" si="29"/>
        <v>0</v>
      </c>
      <c r="BI178" s="29" cm="1">
        <f t="array" ref="BI178">IF($F$13-$I$4+VLOOKUP($R178,武学奇术!$A:$ZZ,13,FALSE)+SUM(_xlfn.XLOOKUP(S178:AL178,增益!$A:$A,增益!$M:$M,0))&gt;0,($F$13-$I$4+VLOOKUP($R178,武学奇术!$A:$ZZ,13,FALSE)+SUM(_xlfn.XLOOKUP(S178:AL178,增益!$A:$A,增益!$K:$K,0)))/200,($F$13-$I$4+VLOOKUP($R178,武学奇术!$A:$ZZ,13,FALSE)+SUM(_xlfn.XLOOKUP(S178:AL178,增益!$A:$A,增益!$M:$M,0)))/100)</f>
        <v>-0.3</v>
      </c>
      <c r="BJ178" s="29" cm="1">
        <f t="array" ref="BJ178">$G$13+VLOOKUP($R178,武学奇术!$A:$ZZ,14,FALSE)+SUM(_xlfn.XLOOKUP(S178:AL178,增益!$A:$A,增益!$N:$N,0))</f>
        <v>0</v>
      </c>
      <c r="BK178">
        <f t="shared" si="30"/>
        <v>618.2</v>
      </c>
      <c r="BL178">
        <f t="shared" si="31"/>
        <v>1805</v>
      </c>
      <c r="BM178" s="29" cm="1">
        <f t="array" ref="BM178">IF($F$14-$I$4+VLOOKUP($R178,武学奇术!$A:$ZZ,15,FALSE)+SUM(_xlfn.XLOOKUP(S178:AL178,增益!$A:$A,增益!$O:$O,0))&gt;0,($F$14-$I$4+VLOOKUP($R178,武学奇术!$A:$ZZ,15,FALSE)+SUM(_xlfn.XLOOKUP(S178:AL178,增益!$A:$A,增益!$O:$O,0)))/200,($F$14-$I$4+VLOOKUP($R178,武学奇术!$A:$ZZ,15,FALSE)+SUM(_xlfn.XLOOKUP(S178:AL178,增益!$A:$A,增益!$O:$O,0)))/100)</f>
        <v>0</v>
      </c>
      <c r="BN178" s="29" cm="1">
        <f t="array" ref="BN178">$G$14+VLOOKUP($R178,武学奇术!$A:$ZZ,16,FALSE)+SUM(_xlfn.XLOOKUP(S178:AL178,增益!$A:$A,增益!$P:$P,0))</f>
        <v>0.15</v>
      </c>
      <c r="BO178" s="23">
        <f>MIN(IF(VLOOKUP($R178,武学奇术!$A:$ZZ,23,FALSE)=1,100%,$B$8),100%)</f>
        <v>0.9943</v>
      </c>
      <c r="BP178" s="23" cm="1">
        <f t="array" ref="BP178">IF(VLOOKUP($R178,武学奇术!$A:$ZZ,23,FALSE)=1,100%,MIN(80%,$B$9+VLOOKUP($R178,武学奇术!$A:$ZZ,17,FALSE)+SUM(_xlfn.XLOOKUP(S178:AL178,增益!$A:$A,增益!$Q:$Q,0)))+$B$11+SUM(_xlfn.XLOOKUP(S178:AL178,增益!$A:$A,增益!$U:$U,0)))*IF(VLOOKUP($R178,武学奇术!$A:$ZZ,24,FALSE)=1,0,1)</f>
        <v>0.8</v>
      </c>
      <c r="BQ178" s="23" cm="1">
        <f t="array" ref="BQ178">1+$B$13+VLOOKUP($R178,武学奇术!$A:$ZZ,18,FALSE)+SUM(_xlfn.XLOOKUP(S178:AL178,增益!$A:$A,增益!$R:$R,0))</f>
        <v>1.644</v>
      </c>
      <c r="BR178" s="23" cm="1">
        <f t="array" ref="BR178">IF(VLOOKUP($R178,武学奇术!$A:$ZZ,24,FALSE)=1,100%,MIN(40%,$B$10+VLOOKUP($R178,武学奇术!$A:$ZZ,19,FALSE)+SUM(_xlfn.XLOOKUP(S178:AL178,增益!$A:$A,增益!$S:$S,0)))+$B$12+SUM(_xlfn.XLOOKUP(S178:AL178,增益!$A:$A,增益!$V:$V,0)))*IF(VLOOKUP($R178,武学奇术!$A:$ZZ,23,FALSE)=1,0,1)</f>
        <v>0.0913</v>
      </c>
      <c r="BS178" s="23" cm="1">
        <f t="array" ref="BS178">1+$B$14+VLOOKUP($R178,武学奇术!$A:$ZZ,20,FALSE)+SUM(_xlfn.XLOOKUP(S178:AL178,增益!$A:$A,增益!$T:$T,0))</f>
        <v>1.35</v>
      </c>
      <c r="BT178" s="23">
        <f t="shared" si="32"/>
        <v>0.79544</v>
      </c>
      <c r="BU178" s="23">
        <f t="shared" si="33"/>
        <v>0.10808041</v>
      </c>
      <c r="BV178" s="23">
        <f>IF(VLOOKUP($R178,武学奇术!$A:$ZZ,22,FALSE)=1,0,(1-$BO178))*(1-$BR178)</f>
        <v>0.00517959000000003</v>
      </c>
      <c r="BW178" s="23" cm="1">
        <f t="array" ref="BW178">SUM(_xlfn.XLOOKUP(S178:AL178,增益!$A:$A,增益!$W:$W,0))+$I$5</f>
        <v>0.11</v>
      </c>
      <c r="BX178" s="23">
        <f>VLOOKUP($R178,武学奇术!$A:$ZZ,32,FALSE)</f>
        <v>0</v>
      </c>
      <c r="BY178" s="23" cm="1">
        <f t="array" ref="BY178">SUM(_xlfn.XLOOKUP($S178:$AL178,增益!$A:$A,增益!$X:$X,0))</f>
        <v>0</v>
      </c>
    </row>
    <row r="179" spans="11:77">
      <c r="K179" s="35">
        <f>$L179*VLOOKUP($R179,武学奇术!$A:$ZZ,31,FALSE)</f>
        <v>18418.3937630999</v>
      </c>
      <c r="L179" s="69">
        <f t="shared" si="34"/>
        <v>18057.2487873529</v>
      </c>
      <c r="M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轻击",$B$21,0))*(1+IF(VLOOKUP($R179,武学奇术!$A:$ZZ,30,FALSE)="老鼠",$B$22,0))*(1+$BW179)*(1+$BX179)</f>
        <v>19013.3558673478</v>
      </c>
      <c r="N179" s="35">
        <f>(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轻击",$B$21,0))*(1+IF(VLOOKUP($R179,武学奇术!$A:$ZZ,30,FALSE)="老鼠",$B$22,0))*(1+$BW179))*(1+$BX179)</f>
        <v>17875.7948727912</v>
      </c>
      <c r="O179" s="35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轻击",$B$21,0))*(1+IF(VLOOKUP($R179,武学奇术!$A:$ZZ,30,FALSE)="老鼠",$B$22,0))*(1+$BW179)*(1+$BX179)</f>
        <v>11565.3016224743</v>
      </c>
      <c r="P179" s="35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轻击",$B$21,0))*(1+IF(VLOOKUP($R179,武学奇术!$A:$ZZ,30,FALSE)="老鼠",$B$22,0))*(1+$BW179)*(1+$BX179)</f>
        <v>9889.27370954772</v>
      </c>
      <c r="Q179" s="70">
        <v>1</v>
      </c>
      <c r="R179" s="37" t="s">
        <v>106</v>
      </c>
      <c r="S179" s="37" t="s">
        <v>91</v>
      </c>
      <c r="T179" s="37" t="s">
        <v>185</v>
      </c>
      <c r="U179" s="37" t="s">
        <v>112</v>
      </c>
      <c r="V179" s="37" t="s">
        <v>113</v>
      </c>
      <c r="W179" s="37" t="s">
        <v>82</v>
      </c>
      <c r="X179" s="37" t="s">
        <v>81</v>
      </c>
      <c r="Y179" s="37" t="s">
        <v>109</v>
      </c>
      <c r="Z179" s="37" t="s">
        <v>81</v>
      </c>
      <c r="AA179" s="37" t="s">
        <v>81</v>
      </c>
      <c r="AB179" s="37" t="s">
        <v>81</v>
      </c>
      <c r="AC179" s="37" t="s">
        <v>81</v>
      </c>
      <c r="AD179" s="37" t="s">
        <v>81</v>
      </c>
      <c r="AE179" s="37" t="s">
        <v>81</v>
      </c>
      <c r="AF179" s="37" t="s">
        <v>81</v>
      </c>
      <c r="AG179" s="37" t="s">
        <v>87</v>
      </c>
      <c r="AH179" s="37" t="s">
        <v>81</v>
      </c>
      <c r="AI179" s="37" t="s">
        <v>81</v>
      </c>
      <c r="AJ179" s="37" t="s">
        <v>81</v>
      </c>
      <c r="AK179" s="37" t="s">
        <v>81</v>
      </c>
      <c r="AL179" s="37" t="s">
        <v>81</v>
      </c>
      <c r="AM179" t="str">
        <f>VLOOKUP($R179,武学奇术!$A:$ZZ,25,FALSE)</f>
        <v>绳镖</v>
      </c>
      <c r="AN179" s="23">
        <f>VLOOKUP($R179,武学奇术!$A:$ZZ,26,FALSE)</f>
        <v>0.3675</v>
      </c>
      <c r="AO179" s="24">
        <f>VLOOKUP($R179,武学奇术!$A:$ZZ,27,FALSE)*(1+IF(OR($AM179=$F$4,$AM179=$F$5),$B$23,0))</f>
        <v>0</v>
      </c>
      <c r="AP179" s="23">
        <f>VLOOKUP($R179,武学奇术!$A:$ZZ,28,FALSE)</f>
        <v>0.55125</v>
      </c>
      <c r="AQ179" s="24">
        <f>VLOOKUP($R179,武学奇术!$A:$ZZ,29,FALSE)*(1+IF(OR($AM179=$F$4,$AM179=$F$5),$B$23,0))</f>
        <v>0</v>
      </c>
      <c r="AR179" s="23" cm="1">
        <f t="array" ref="AR179">$G$3+IFERROR(VLOOKUP($AM179,$F$4:$G$7,2,FALSE),0)+VLOOKUP($R179,武学奇术!$A:$ZZ,2,FALSE)+SUM(_xlfn.XLOOKUP($S179:$AL179,增益!$A:$A,增益!$B:$B,0))</f>
        <v>1.3443</v>
      </c>
      <c r="AS179" s="23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4081.7</v>
      </c>
      <c r="AU179" cm="1">
        <f t="array" ref="AU179">$E$10*(1+$AS179)+VLOOKUP($R179,武学奇术!$A:$ZZ,4,FALSE)+SUM(_xlfn.XLOOKUP($S179:$AL179,增益!$A:$A,增益!$D:$D,0))-$I$2</f>
        <v>4081.7</v>
      </c>
      <c r="AV179" s="29" cm="1">
        <f t="array" ref="AV179">IF($F$10-$I$3+VLOOKUP($R179,武学奇术!$A:$ZZ,6,FALSE)+SUM(_xlfn.XLOOKUP(S179:AL179,增益!$A:$A,增益!$F:$F,0))&gt;0,($F$10-$I$3+VLOOKUP($R179,武学奇术!$A:$ZZ,6,FALSE)+SUM(_xlfn.XLOOKUP(S179:AL179,增益!$A:$A,增益!$F:$F,0)))/200,($F$10-$I$3+VLOOKUP($R179,武学奇术!$A:$ZZ,6,FALSE)+SUM(_xlfn.XLOOKUP(S179:AL179,增益!$A:$A,增益!$F:$F,0)))/100)</f>
        <v>0.2439</v>
      </c>
      <c r="AW179" s="29" cm="1">
        <f t="array" ref="AW179">$G$10+VLOOKUP($R179,武学奇术!$A:$ZZ,7,FALSE)+SUM(_xlfn.XLOOKUP(S179:AL179,增益!$A:$A,增益!$G:$G,0))</f>
        <v>0.27</v>
      </c>
      <c r="AX179" s="23" cm="1">
        <f t="array" ref="AX179">VLOOKUP($R179,武学奇术!$A:$ZZ,8,FALSE)+SUM(_xlfn.XLOOKUP(S179:AL179,增益!$A:$A,增益!$H:$H,0))</f>
        <v>0</v>
      </c>
      <c r="AY179">
        <f t="shared" si="24"/>
        <v>0</v>
      </c>
      <c r="AZ179">
        <f t="shared" si="25"/>
        <v>0</v>
      </c>
      <c r="BA179" s="29" cm="1">
        <f t="array" ref="BA179">IF($F$11-$I$4+VLOOKUP($R179,武学奇术!$A:$ZZ,9,FALSE)+SUM(_xlfn.XLOOKUP(S179:AL179,增益!$A:$A,增益!$I:$I,0))&gt;0,($F$11-$I$4+VLOOKUP($R179,武学奇术!$A:$ZZ,9,FALSE)+SUM(_xlfn.XLOOKUP(S179:AL179,增益!$A:$A,增益!$I:$I,0)))/200,($F$11-$I$4+VLOOKUP($R179,武学奇术!$A:$ZZ,9,FALSE)+SUM(_xlfn.XLOOKUP(S179:AL179,增益!$A:$A,增益!$I:$I,0)))/100)</f>
        <v>-0.3</v>
      </c>
      <c r="BB179" s="29" cm="1">
        <f t="array" ref="BB179">$G$11+VLOOKUP($R179,武学奇术!$A:$ZZ,10,FALSE)+SUM(_xlfn.XLOOKUP(S179:AL179,增益!$A:$A,增益!$J:$J,0))</f>
        <v>0</v>
      </c>
      <c r="BC179">
        <f t="shared" si="26"/>
        <v>0</v>
      </c>
      <c r="BD179">
        <f t="shared" si="27"/>
        <v>0</v>
      </c>
      <c r="BE179" s="29" cm="1">
        <f t="array" ref="BE179">IF($F$12-$I$4+VLOOKUP($R179,武学奇术!$A:$ZZ,11,FALSE)+SUM(_xlfn.XLOOKUP(S179:AL179,增益!$A:$A,增益!$K:$K,0))&gt;0,($F$12-$I$4+VLOOKUP($R179,武学奇术!$A:$ZZ,11,FALSE)+SUM(_xlfn.XLOOKUP(S179:AL179,增益!$A:$A,增益!$K:$K,0)))/200,($F$12-$I$4+VLOOKUP($R179,武学奇术!$A:$ZZ,11,FALSE)+SUM(_xlfn.XLOOKUP(S179:AL179,增益!$A:$A,增益!$K:$K,0)))/100)</f>
        <v>-0.3</v>
      </c>
      <c r="BF179" s="29" cm="1">
        <f t="array" ref="BF179">$G$12+VLOOKUP($R179,武学奇术!$A:$ZZ,12,FALSE)+SUM(_xlfn.XLOOKUP(S179:AL179,增益!$A:$A,增益!$L:$L,0))</f>
        <v>0</v>
      </c>
      <c r="BG179">
        <f t="shared" si="28"/>
        <v>0</v>
      </c>
      <c r="BH179">
        <f t="shared" si="29"/>
        <v>0</v>
      </c>
      <c r="BI179" s="29" cm="1">
        <f t="array" ref="BI179">IF($F$13-$I$4+VLOOKUP($R179,武学奇术!$A:$ZZ,13,FALSE)+SUM(_xlfn.XLOOKUP(S179:AL179,增益!$A:$A,增益!$M:$M,0))&gt;0,($F$13-$I$4+VLOOKUP($R179,武学奇术!$A:$ZZ,13,FALSE)+SUM(_xlfn.XLOOKUP(S179:AL179,增益!$A:$A,增益!$K:$K,0)))/200,($F$13-$I$4+VLOOKUP($R179,武学奇术!$A:$ZZ,13,FALSE)+SUM(_xlfn.XLOOKUP(S179:AL179,增益!$A:$A,增益!$M:$M,0)))/100)</f>
        <v>-0.3</v>
      </c>
      <c r="BJ179" s="29" cm="1">
        <f t="array" ref="BJ179">$G$13+VLOOKUP($R179,武学奇术!$A:$ZZ,14,FALSE)+SUM(_xlfn.XLOOKUP(S179:AL179,增益!$A:$A,增益!$N:$N,0))</f>
        <v>0</v>
      </c>
      <c r="BK179">
        <f t="shared" si="30"/>
        <v>618.2</v>
      </c>
      <c r="BL179">
        <f t="shared" si="31"/>
        <v>1805</v>
      </c>
      <c r="BM179" s="29" cm="1">
        <f t="array" ref="BM179">IF($F$14-$I$4+VLOOKUP($R179,武学奇术!$A:$ZZ,15,FALSE)+SUM(_xlfn.XLOOKUP(S179:AL179,增益!$A:$A,增益!$O:$O,0))&gt;0,($F$14-$I$4+VLOOKUP($R179,武学奇术!$A:$ZZ,15,FALSE)+SUM(_xlfn.XLOOKUP(S179:AL179,增益!$A:$A,增益!$O:$O,0)))/200,($F$14-$I$4+VLOOKUP($R179,武学奇术!$A:$ZZ,15,FALSE)+SUM(_xlfn.XLOOKUP(S179:AL179,增益!$A:$A,增益!$O:$O,0)))/100)</f>
        <v>0.05</v>
      </c>
      <c r="BN179" s="29" cm="1">
        <f t="array" ref="BN179">$G$14+VLOOKUP($R179,武学奇术!$A:$ZZ,16,FALSE)+SUM(_xlfn.XLOOKUP(S179:AL179,增益!$A:$A,增益!$P:$P,0))</f>
        <v>0.42</v>
      </c>
      <c r="BO179" s="23">
        <f>MIN(IF(VLOOKUP($R179,武学奇术!$A:$ZZ,23,FALSE)=1,100%,$B$8),100%)</f>
        <v>0.9943</v>
      </c>
      <c r="BP179" s="23" cm="1">
        <f t="array" ref="BP179">IF(VLOOKUP($R179,武学奇术!$A:$ZZ,23,FALSE)=1,100%,MIN(80%,$B$9+VLOOKUP($R179,武学奇术!$A:$ZZ,17,FALSE)+SUM(_xlfn.XLOOKUP(S179:AL179,增益!$A:$A,增益!$Q:$Q,0)))+$B$11+SUM(_xlfn.XLOOKUP(S179:AL179,增益!$A:$A,增益!$U:$U,0)))*IF(VLOOKUP($R179,武学奇术!$A:$ZZ,24,FALSE)=1,0,1)</f>
        <v>0.8</v>
      </c>
      <c r="BQ179" s="23" cm="1">
        <f t="array" ref="BQ179">1+$B$13+VLOOKUP($R179,武学奇术!$A:$ZZ,18,FALSE)+SUM(_xlfn.XLOOKUP(S179:AL179,增益!$A:$A,增益!$R:$R,0))</f>
        <v>1.644</v>
      </c>
      <c r="BR179" s="23" cm="1">
        <f t="array" ref="BR179">IF(VLOOKUP($R179,武学奇术!$A:$ZZ,24,FALSE)=1,100%,MIN(40%,$B$10+VLOOKUP($R179,武学奇术!$A:$ZZ,19,FALSE)+SUM(_xlfn.XLOOKUP(S179:AL179,增益!$A:$A,增益!$S:$S,0)))+$B$12+SUM(_xlfn.XLOOKUP(S179:AL179,增益!$A:$A,增益!$V:$V,0)))*IF(VLOOKUP($R179,武学奇术!$A:$ZZ,23,FALSE)=1,0,1)</f>
        <v>0.0913</v>
      </c>
      <c r="BS179" s="23" cm="1">
        <f t="array" ref="BS179">1+$B$14+VLOOKUP($R179,武学奇术!$A:$ZZ,20,FALSE)+SUM(_xlfn.XLOOKUP(S179:AL179,增益!$A:$A,增益!$T:$T,0))</f>
        <v>1.35</v>
      </c>
      <c r="BT179" s="23">
        <f t="shared" si="32"/>
        <v>0.79544</v>
      </c>
      <c r="BU179" s="23">
        <f t="shared" si="33"/>
        <v>0.10808041</v>
      </c>
      <c r="BV179" s="23">
        <f>IF(VLOOKUP($R179,武学奇术!$A:$ZZ,22,FALSE)=1,0,(1-$BO179))*(1-$BR179)</f>
        <v>0.00517959000000003</v>
      </c>
      <c r="BW179" s="23" cm="1">
        <f t="array" ref="BW179">SUM(_xlfn.XLOOKUP(S179:AL179,增益!$A:$A,增益!$W:$W,0))+$I$5</f>
        <v>0.11</v>
      </c>
      <c r="BX179" s="23">
        <f>VLOOKUP($R179,武学奇术!$A:$ZZ,32,FALSE)</f>
        <v>0</v>
      </c>
      <c r="BY179" s="23" cm="1">
        <f t="array" ref="BY179">SUM(_xlfn.XLOOKUP($S179:$AL179,增益!$A:$A,增益!$X:$X,0))</f>
        <v>0</v>
      </c>
    </row>
    <row r="180" spans="11:77">
      <c r="K180" s="35">
        <f>$L180*VLOOKUP($R180,武学奇术!$A:$ZZ,31,FALSE)</f>
        <v>182367.955776254</v>
      </c>
      <c r="L180" s="90">
        <f>SUM(L150,L152,L154,L158,L161,L168,L173,L175,L177,L179)*30%*(1+BY180)</f>
        <v>357584.227012262</v>
      </c>
      <c r="M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轻击",$B$21,0))*(1+IF(VLOOKUP($R180,武学奇术!$A:$ZZ,30,FALSE)="老鼠",$B$22,0))*(1+$BW180)*(1+$BX180)</f>
        <v>0</v>
      </c>
      <c r="N180" s="35">
        <f>(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轻击",$B$21,0))*(1+IF(VLOOKUP($R180,武学奇术!$A:$ZZ,30,FALSE)="老鼠",$B$22,0))*(1+$BW180))*(1+$BX180)</f>
        <v>0</v>
      </c>
      <c r="O180" s="35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轻击",$B$21,0))*(1+IF(VLOOKUP($R180,武学奇术!$A:$ZZ,30,FALSE)="老鼠",$B$22,0))*(1+$BW180)*(1+$BX180)</f>
        <v>0</v>
      </c>
      <c r="P180" s="35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轻击",$B$21,0))*(1+IF(VLOOKUP($R180,武学奇术!$A:$ZZ,30,FALSE)="老鼠",$B$22,0))*(1+$BW180)*(1+$BX180)</f>
        <v>0</v>
      </c>
      <c r="Q180" s="36">
        <v>1</v>
      </c>
      <c r="R180" s="37" t="s">
        <v>177</v>
      </c>
      <c r="S180" s="37" t="s">
        <v>81</v>
      </c>
      <c r="T180" s="37" t="s">
        <v>81</v>
      </c>
      <c r="U180" s="37" t="s">
        <v>81</v>
      </c>
      <c r="V180" s="37" t="s">
        <v>81</v>
      </c>
      <c r="W180" s="37" t="s">
        <v>81</v>
      </c>
      <c r="X180" s="37" t="s">
        <v>81</v>
      </c>
      <c r="Y180" s="37" t="s">
        <v>81</v>
      </c>
      <c r="Z180" s="37" t="s">
        <v>81</v>
      </c>
      <c r="AA180" s="37" t="s">
        <v>81</v>
      </c>
      <c r="AB180" s="37" t="s">
        <v>81</v>
      </c>
      <c r="AC180" s="37" t="s">
        <v>81</v>
      </c>
      <c r="AD180" s="37" t="s">
        <v>81</v>
      </c>
      <c r="AE180" s="37" t="s">
        <v>81</v>
      </c>
      <c r="AF180" s="37" t="s">
        <v>81</v>
      </c>
      <c r="AG180" s="37" t="s">
        <v>87</v>
      </c>
      <c r="AH180" s="37" t="s">
        <v>81</v>
      </c>
      <c r="AI180" s="37" t="s">
        <v>81</v>
      </c>
      <c r="AJ180" s="37" t="s">
        <v>81</v>
      </c>
      <c r="AK180" s="37" t="s">
        <v>81</v>
      </c>
      <c r="AL180" s="37" t="s">
        <v>81</v>
      </c>
      <c r="AM180" t="str">
        <f>VLOOKUP($R180,武学奇术!$A:$ZZ,25,FALSE)</f>
        <v>心法</v>
      </c>
      <c r="AN180" s="23">
        <f>VLOOKUP($R180,武学奇术!$A:$ZZ,26,FALSE)</f>
        <v>0</v>
      </c>
      <c r="AO180" s="24">
        <f>VLOOKUP($R180,武学奇术!$A:$ZZ,27,FALSE)*(1+IF(OR($AM180=$F$4,$AM180=$F$5),$B$23,0))</f>
        <v>0</v>
      </c>
      <c r="AP180" s="23">
        <f>VLOOKUP($R180,武学奇术!$A:$ZZ,28,FALSE)</f>
        <v>0</v>
      </c>
      <c r="AQ180" s="24">
        <f>VLOOKUP($R180,武学奇术!$A:$ZZ,29,FALSE)*(1+IF(OR($AM180=$F$4,$AM180=$F$5),$B$23,0))</f>
        <v>0</v>
      </c>
      <c r="AR180" s="23" cm="1">
        <f t="array" ref="AR180">$G$3+IFERROR(VLOOKUP($AM180,$F$4:$G$7,2,FALSE),0)+VLOOKUP($R180,武学奇术!$A:$ZZ,2,FALSE)+SUM(_xlfn.XLOOKUP($S180:$AL180,增益!$A:$A,增益!$B:$B,0))</f>
        <v>0.1042</v>
      </c>
      <c r="AS180" s="23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4013</v>
      </c>
      <c r="AU180" cm="1">
        <f t="array" ref="AU180">$E$10*(1+$AS180)+VLOOKUP($R180,武学奇术!$A:$ZZ,4,FALSE)+SUM(_xlfn.XLOOKUP($S180:$AL180,增益!$A:$A,增益!$D:$D,0))-$I$2</f>
        <v>4013</v>
      </c>
      <c r="AV180" s="29" cm="1">
        <f t="array" ref="AV180">IF($F$10-$I$3+VLOOKUP($R180,武学奇术!$A:$ZZ,6,FALSE)+SUM(_xlfn.XLOOKUP(S180:AL180,增益!$A:$A,增益!$F:$F,0))&gt;0,($F$10-$I$3+VLOOKUP($R180,武学奇术!$A:$ZZ,6,FALSE)+SUM(_xlfn.XLOOKUP(S180:AL180,增益!$A:$A,增益!$F:$F,0)))/200,($F$10-$I$3+VLOOKUP($R180,武学奇术!$A:$ZZ,6,FALSE)+SUM(_xlfn.XLOOKUP(S180:AL180,增益!$A:$A,增益!$F:$F,0)))/100)</f>
        <v>0.1939</v>
      </c>
      <c r="AW180" s="29" cm="1">
        <f t="array" ref="AW180">$G$10+VLOOKUP($R180,武学奇术!$A:$ZZ,7,FALSE)+SUM(_xlfn.XLOOKUP(S180:AL180,增益!$A:$A,增益!$G:$G,0))</f>
        <v>0</v>
      </c>
      <c r="AX180" s="23" cm="1">
        <f t="array" ref="AX180">VLOOKUP($R180,武学奇术!$A:$ZZ,8,FALSE)+SUM(_xlfn.XLOOKUP(S180:AL180,增益!$A:$A,增益!$H:$H,0))</f>
        <v>0</v>
      </c>
      <c r="AY180">
        <f t="shared" si="24"/>
        <v>0</v>
      </c>
      <c r="AZ180">
        <f t="shared" si="25"/>
        <v>0</v>
      </c>
      <c r="BA180" s="29" cm="1">
        <f t="array" ref="BA180">IF($F$11-$I$4+VLOOKUP($R180,武学奇术!$A:$ZZ,9,FALSE)+SUM(_xlfn.XLOOKUP(S180:AL180,增益!$A:$A,增益!$I:$I,0))&gt;0,($F$11-$I$4+VLOOKUP($R180,武学奇术!$A:$ZZ,9,FALSE)+SUM(_xlfn.XLOOKUP(S180:AL180,增益!$A:$A,增益!$I:$I,0)))/200,($F$11-$I$4+VLOOKUP($R180,武学奇术!$A:$ZZ,9,FALSE)+SUM(_xlfn.XLOOKUP(S180:AL180,增益!$A:$A,增益!$I:$I,0)))/100)</f>
        <v>-0.3</v>
      </c>
      <c r="BB180" s="29" cm="1">
        <f t="array" ref="BB180">$G$11+VLOOKUP($R180,武学奇术!$A:$ZZ,10,FALSE)+SUM(_xlfn.XLOOKUP(S180:AL180,增益!$A:$A,增益!$J:$J,0))</f>
        <v>0</v>
      </c>
      <c r="BC180">
        <f t="shared" si="26"/>
        <v>0</v>
      </c>
      <c r="BD180">
        <f t="shared" si="27"/>
        <v>0</v>
      </c>
      <c r="BE180" s="29" cm="1">
        <f t="array" ref="BE180">IF($F$12-$I$4+VLOOKUP($R180,武学奇术!$A:$ZZ,11,FALSE)+SUM(_xlfn.XLOOKUP(S180:AL180,增益!$A:$A,增益!$K:$K,0))&gt;0,($F$12-$I$4+VLOOKUP($R180,武学奇术!$A:$ZZ,11,FALSE)+SUM(_xlfn.XLOOKUP(S180:AL180,增益!$A:$A,增益!$K:$K,0)))/200,($F$12-$I$4+VLOOKUP($R180,武学奇术!$A:$ZZ,11,FALSE)+SUM(_xlfn.XLOOKUP(S180:AL180,增益!$A:$A,增益!$K:$K,0)))/100)</f>
        <v>-0.3</v>
      </c>
      <c r="BF180" s="29" cm="1">
        <f t="array" ref="BF180">$G$12+VLOOKUP($R180,武学奇术!$A:$ZZ,12,FALSE)+SUM(_xlfn.XLOOKUP(S180:AL180,增益!$A:$A,增益!$L:$L,0))</f>
        <v>0</v>
      </c>
      <c r="BG180">
        <f t="shared" si="28"/>
        <v>0</v>
      </c>
      <c r="BH180">
        <f t="shared" si="29"/>
        <v>0</v>
      </c>
      <c r="BI180" s="29" cm="1">
        <f t="array" ref="BI180">IF($F$13-$I$4+VLOOKUP($R180,武学奇术!$A:$ZZ,13,FALSE)+SUM(_xlfn.XLOOKUP(S180:AL180,增益!$A:$A,增益!$M:$M,0))&gt;0,($F$13-$I$4+VLOOKUP($R180,武学奇术!$A:$ZZ,13,FALSE)+SUM(_xlfn.XLOOKUP(S180:AL180,增益!$A:$A,增益!$K:$K,0)))/200,($F$13-$I$4+VLOOKUP($R180,武学奇术!$A:$ZZ,13,FALSE)+SUM(_xlfn.XLOOKUP(S180:AL180,增益!$A:$A,增益!$M:$M,0)))/100)</f>
        <v>-0.3</v>
      </c>
      <c r="BJ180" s="29" cm="1">
        <f t="array" ref="BJ180">$G$13+VLOOKUP($R180,武学奇术!$A:$ZZ,14,FALSE)+SUM(_xlfn.XLOOKUP(S180:AL180,增益!$A:$A,增益!$N:$N,0))</f>
        <v>0</v>
      </c>
      <c r="BK180">
        <f t="shared" si="30"/>
        <v>618.2</v>
      </c>
      <c r="BL180">
        <f t="shared" si="31"/>
        <v>1805</v>
      </c>
      <c r="BM180" s="29" cm="1">
        <f t="array" ref="BM180">IF($F$14-$I$4+VLOOKUP($R180,武学奇术!$A:$ZZ,15,FALSE)+SUM(_xlfn.XLOOKUP(S180:AL180,增益!$A:$A,增益!$O:$O,0))&gt;0,($F$14-$I$4+VLOOKUP($R180,武学奇术!$A:$ZZ,15,FALSE)+SUM(_xlfn.XLOOKUP(S180:AL180,增益!$A:$A,增益!$O:$O,0)))/200,($F$14-$I$4+VLOOKUP($R180,武学奇术!$A:$ZZ,15,FALSE)+SUM(_xlfn.XLOOKUP(S180:AL180,增益!$A:$A,增益!$O:$O,0)))/100)</f>
        <v>0</v>
      </c>
      <c r="BN180" s="29" cm="1">
        <f t="array" ref="BN180">$G$14+VLOOKUP($R180,武学奇术!$A:$ZZ,16,FALSE)+SUM(_xlfn.XLOOKUP(S180:AL180,增益!$A:$A,增益!$P:$P,0))</f>
        <v>0.15</v>
      </c>
      <c r="BO180" s="23">
        <f>MIN(IF(VLOOKUP($R180,武学奇术!$A:$ZZ,23,FALSE)=1,100%,$B$8),100%)</f>
        <v>0.9943</v>
      </c>
      <c r="BP180" s="23" cm="1">
        <f t="array" ref="BP180">IF(VLOOKUP($R180,武学奇术!$A:$ZZ,23,FALSE)=1,100%,MIN(80%,$B$9+VLOOKUP($R180,武学奇术!$A:$ZZ,17,FALSE)+SUM(_xlfn.XLOOKUP(S180:AL180,增益!$A:$A,增益!$Q:$Q,0)))+$B$11+SUM(_xlfn.XLOOKUP(S180:AL180,增益!$A:$A,增益!$U:$U,0)))*IF(VLOOKUP($R180,武学奇术!$A:$ZZ,24,FALSE)=1,0,1)</f>
        <v>0.8</v>
      </c>
      <c r="BQ180" s="23" cm="1">
        <f t="array" ref="BQ180">1+$B$13+VLOOKUP($R180,武学奇术!$A:$ZZ,18,FALSE)+SUM(_xlfn.XLOOKUP(S180:AL180,增益!$A:$A,增益!$R:$R,0))</f>
        <v>1.544</v>
      </c>
      <c r="BR180" s="23" cm="1">
        <f t="array" ref="BR180">IF(VLOOKUP($R180,武学奇术!$A:$ZZ,24,FALSE)=1,100%,MIN(40%,$B$10+VLOOKUP($R180,武学奇术!$A:$ZZ,19,FALSE)+SUM(_xlfn.XLOOKUP(S180:AL180,增益!$A:$A,增益!$S:$S,0)))+$B$12+SUM(_xlfn.XLOOKUP(S180:AL180,增益!$A:$A,增益!$V:$V,0)))*IF(VLOOKUP($R180,武学奇术!$A:$ZZ,23,FALSE)=1,0,1)</f>
        <v>0.0913</v>
      </c>
      <c r="BS180" s="23" cm="1">
        <f t="array" ref="BS180">1+$B$14+VLOOKUP($R180,武学奇术!$A:$ZZ,20,FALSE)+SUM(_xlfn.XLOOKUP(S180:AL180,增益!$A:$A,增益!$T:$T,0))</f>
        <v>1.35</v>
      </c>
      <c r="BT180" s="23">
        <f t="shared" si="32"/>
        <v>0.79544</v>
      </c>
      <c r="BU180" s="23">
        <f t="shared" si="33"/>
        <v>0.10808041</v>
      </c>
      <c r="BV180" s="23">
        <f>IF(VLOOKUP($R180,武学奇术!$A:$ZZ,22,FALSE)=1,0,(1-$BO180))*(1-$BR180)</f>
        <v>0.00517959000000003</v>
      </c>
      <c r="BW180" s="23" cm="1">
        <f t="array" ref="BW180">SUM(_xlfn.XLOOKUP(S180:AL180,增益!$A:$A,增益!$W:$W,0))+$I$5</f>
        <v>0.11</v>
      </c>
      <c r="BX180" s="23">
        <f>VLOOKUP($R180,武学奇术!$A:$ZZ,32,FALSE)</f>
        <v>0</v>
      </c>
      <c r="BY180" s="23" cm="1">
        <f t="array" ref="BY180">SUM(_xlfn.XLOOKUP($S180:$AL180,增益!$A:$A,增益!$X:$X,0))</f>
        <v>0</v>
      </c>
    </row>
    <row r="181" spans="11:77">
      <c r="K181" s="35">
        <f>$L181*VLOOKUP($R181,武学奇术!$A:$ZZ,31,FALSE)</f>
        <v>0</v>
      </c>
      <c r="L181" s="35">
        <f t="shared" ref="L181:L190" si="35">($M181*$BT181+$N181*$BR181+$O181*$BU181+$P181*$BV181)</f>
        <v>0</v>
      </c>
      <c r="M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轻击",$B$21,0))*(1+IF(VLOOKUP($R181,武学奇术!$A:$ZZ,30,FALSE)="老鼠",$B$22,0))*(1+$BW181)*(1+$BX181)</f>
        <v>0</v>
      </c>
      <c r="N181" s="35">
        <f>(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轻击",$B$21,0))*(1+IF(VLOOKUP($R181,武学奇术!$A:$ZZ,30,FALSE)="老鼠",$B$22,0))*(1+$BW181))*(1+$BX181)</f>
        <v>0</v>
      </c>
      <c r="O181" s="35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轻击",$B$21,0))*(1+IF(VLOOKUP($R181,武学奇术!$A:$ZZ,30,FALSE)="老鼠",$B$22,0))*(1+$BW181)*(1+$BX181)</f>
        <v>0</v>
      </c>
      <c r="P181" s="35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轻击",$B$21,0))*(1+IF(VLOOKUP($R181,武学奇术!$A:$ZZ,30,FALSE)="老鼠",$B$22,0))*(1+$BW181)*(1+$BX181)</f>
        <v>0</v>
      </c>
      <c r="Q181" s="36">
        <v>1</v>
      </c>
      <c r="R181" s="37" t="s">
        <v>81</v>
      </c>
      <c r="S181" s="37" t="s">
        <v>81</v>
      </c>
      <c r="T181" s="37" t="s">
        <v>81</v>
      </c>
      <c r="U181" s="37" t="s">
        <v>81</v>
      </c>
      <c r="V181" s="37" t="s">
        <v>81</v>
      </c>
      <c r="W181" s="37" t="s">
        <v>81</v>
      </c>
      <c r="X181" s="37" t="s">
        <v>81</v>
      </c>
      <c r="Y181" s="37" t="s">
        <v>81</v>
      </c>
      <c r="Z181" s="37" t="s">
        <v>81</v>
      </c>
      <c r="AA181" s="37" t="s">
        <v>81</v>
      </c>
      <c r="AB181" s="37" t="s">
        <v>81</v>
      </c>
      <c r="AC181" s="37" t="s">
        <v>81</v>
      </c>
      <c r="AD181" s="37" t="s">
        <v>81</v>
      </c>
      <c r="AE181" s="37" t="s">
        <v>81</v>
      </c>
      <c r="AF181" s="37" t="s">
        <v>81</v>
      </c>
      <c r="AG181" s="37" t="s">
        <v>87</v>
      </c>
      <c r="AH181" s="37" t="s">
        <v>81</v>
      </c>
      <c r="AI181" s="37" t="s">
        <v>81</v>
      </c>
      <c r="AJ181" s="37" t="s">
        <v>81</v>
      </c>
      <c r="AK181" s="37" t="s">
        <v>81</v>
      </c>
      <c r="AL181" s="37" t="s">
        <v>81</v>
      </c>
      <c r="AM181" t="str">
        <f>VLOOKUP($R181,武学奇术!$A:$ZZ,25,FALSE)</f>
        <v>心法</v>
      </c>
      <c r="AN181" s="23">
        <f>VLOOKUP($R181,武学奇术!$A:$ZZ,26,FALSE)</f>
        <v>0</v>
      </c>
      <c r="AO181" s="24">
        <f>VLOOKUP($R181,武学奇术!$A:$ZZ,27,FALSE)*(1+IF(OR($AM181=$F$4,$AM181=$F$5),$B$23,0))</f>
        <v>0</v>
      </c>
      <c r="AP181" s="23">
        <f>VLOOKUP($R181,武学奇术!$A:$ZZ,28,FALSE)</f>
        <v>0</v>
      </c>
      <c r="AQ181" s="24">
        <f>VLOOKUP($R181,武学奇术!$A:$ZZ,29,FALSE)*(1+IF(OR($AM181=$F$4,$AM181=$F$5),$B$23,0))</f>
        <v>0</v>
      </c>
      <c r="AR181" s="23" cm="1">
        <f t="array" ref="AR181">$G$3+IFERROR(VLOOKUP($AM181,$F$4:$G$7,2,FALSE),0)+VLOOKUP($R181,武学奇术!$A:$ZZ,2,FALSE)+SUM(_xlfn.XLOOKUP($S181:$AL181,增益!$A:$A,增益!$B:$B,0))</f>
        <v>0.1042</v>
      </c>
      <c r="AS181" s="23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4013</v>
      </c>
      <c r="AU181" cm="1">
        <f t="array" ref="AU181">$E$10*(1+$AS181)+VLOOKUP($R181,武学奇术!$A:$ZZ,4,FALSE)+SUM(_xlfn.XLOOKUP($S181:$AL181,增益!$A:$A,增益!$D:$D,0))-$I$2</f>
        <v>4013</v>
      </c>
      <c r="AV181" s="29" cm="1">
        <f t="array" ref="AV181">IF($F$10-$I$3+VLOOKUP($R181,武学奇术!$A:$ZZ,6,FALSE)+SUM(_xlfn.XLOOKUP(S181:AL181,增益!$A:$A,增益!$F:$F,0))&gt;0,($F$10-$I$3+VLOOKUP($R181,武学奇术!$A:$ZZ,6,FALSE)+SUM(_xlfn.XLOOKUP(S181:AL181,增益!$A:$A,增益!$F:$F,0)))/200,($F$10-$I$3+VLOOKUP($R181,武学奇术!$A:$ZZ,6,FALSE)+SUM(_xlfn.XLOOKUP(S181:AL181,增益!$A:$A,增益!$F:$F,0)))/100)</f>
        <v>0.1939</v>
      </c>
      <c r="AW181" s="29" cm="1">
        <f t="array" ref="AW181">$G$10+VLOOKUP($R181,武学奇术!$A:$ZZ,7,FALSE)+SUM(_xlfn.XLOOKUP(S181:AL181,增益!$A:$A,增益!$G:$G,0))</f>
        <v>0</v>
      </c>
      <c r="AX181" s="23" cm="1">
        <f t="array" ref="AX181">VLOOKUP($R181,武学奇术!$A:$ZZ,8,FALSE)+SUM(_xlfn.XLOOKUP(S181:AL181,增益!$A:$A,增益!$H:$H,0))</f>
        <v>0</v>
      </c>
      <c r="AY181">
        <f t="shared" si="24"/>
        <v>0</v>
      </c>
      <c r="AZ181">
        <f t="shared" si="25"/>
        <v>0</v>
      </c>
      <c r="BA181" s="29" cm="1">
        <f t="array" ref="BA181">IF($F$11-$I$4+VLOOKUP($R181,武学奇术!$A:$ZZ,9,FALSE)+SUM(_xlfn.XLOOKUP(S181:AL181,增益!$A:$A,增益!$I:$I,0))&gt;0,($F$11-$I$4+VLOOKUP($R181,武学奇术!$A:$ZZ,9,FALSE)+SUM(_xlfn.XLOOKUP(S181:AL181,增益!$A:$A,增益!$I:$I,0)))/200,($F$11-$I$4+VLOOKUP($R181,武学奇术!$A:$ZZ,9,FALSE)+SUM(_xlfn.XLOOKUP(S181:AL181,增益!$A:$A,增益!$I:$I,0)))/100)</f>
        <v>-0.3</v>
      </c>
      <c r="BB181" s="29" cm="1">
        <f t="array" ref="BB181">$G$11+VLOOKUP($R181,武学奇术!$A:$ZZ,10,FALSE)+SUM(_xlfn.XLOOKUP(S181:AL181,增益!$A:$A,增益!$J:$J,0))</f>
        <v>0</v>
      </c>
      <c r="BC181">
        <f t="shared" si="26"/>
        <v>0</v>
      </c>
      <c r="BD181">
        <f t="shared" si="27"/>
        <v>0</v>
      </c>
      <c r="BE181" s="29" cm="1">
        <f t="array" ref="BE181">IF($F$12-$I$4+VLOOKUP($R181,武学奇术!$A:$ZZ,11,FALSE)+SUM(_xlfn.XLOOKUP(S181:AL181,增益!$A:$A,增益!$K:$K,0))&gt;0,($F$12-$I$4+VLOOKUP($R181,武学奇术!$A:$ZZ,11,FALSE)+SUM(_xlfn.XLOOKUP(S181:AL181,增益!$A:$A,增益!$K:$K,0)))/200,($F$12-$I$4+VLOOKUP($R181,武学奇术!$A:$ZZ,11,FALSE)+SUM(_xlfn.XLOOKUP(S181:AL181,增益!$A:$A,增益!$K:$K,0)))/100)</f>
        <v>-0.3</v>
      </c>
      <c r="BF181" s="29" cm="1">
        <f t="array" ref="BF181">$G$12+VLOOKUP($R181,武学奇术!$A:$ZZ,12,FALSE)+SUM(_xlfn.XLOOKUP(S181:AL181,增益!$A:$A,增益!$L:$L,0))</f>
        <v>0</v>
      </c>
      <c r="BG181">
        <f t="shared" si="28"/>
        <v>0</v>
      </c>
      <c r="BH181">
        <f t="shared" si="29"/>
        <v>0</v>
      </c>
      <c r="BI181" s="29" cm="1">
        <f t="array" ref="BI181">IF($F$13-$I$4+VLOOKUP($R181,武学奇术!$A:$ZZ,13,FALSE)+SUM(_xlfn.XLOOKUP(S181:AL181,增益!$A:$A,增益!$M:$M,0))&gt;0,($F$13-$I$4+VLOOKUP($R181,武学奇术!$A:$ZZ,13,FALSE)+SUM(_xlfn.XLOOKUP(S181:AL181,增益!$A:$A,增益!$K:$K,0)))/200,($F$13-$I$4+VLOOKUP($R181,武学奇术!$A:$ZZ,13,FALSE)+SUM(_xlfn.XLOOKUP(S181:AL181,增益!$A:$A,增益!$M:$M,0)))/100)</f>
        <v>-0.3</v>
      </c>
      <c r="BJ181" s="29" cm="1">
        <f t="array" ref="BJ181">$G$13+VLOOKUP($R181,武学奇术!$A:$ZZ,14,FALSE)+SUM(_xlfn.XLOOKUP(S181:AL181,增益!$A:$A,增益!$N:$N,0))</f>
        <v>0</v>
      </c>
      <c r="BK181">
        <f t="shared" si="30"/>
        <v>618.2</v>
      </c>
      <c r="BL181">
        <f t="shared" si="31"/>
        <v>1805</v>
      </c>
      <c r="BM181" s="29" cm="1">
        <f t="array" ref="BM181">IF($F$14-$I$4+VLOOKUP($R181,武学奇术!$A:$ZZ,15,FALSE)+SUM(_xlfn.XLOOKUP(S181:AL181,增益!$A:$A,增益!$O:$O,0))&gt;0,($F$14-$I$4+VLOOKUP($R181,武学奇术!$A:$ZZ,15,FALSE)+SUM(_xlfn.XLOOKUP(S181:AL181,增益!$A:$A,增益!$O:$O,0)))/200,($F$14-$I$4+VLOOKUP($R181,武学奇术!$A:$ZZ,15,FALSE)+SUM(_xlfn.XLOOKUP(S181:AL181,增益!$A:$A,增益!$O:$O,0)))/100)</f>
        <v>0</v>
      </c>
      <c r="BN181" s="29" cm="1">
        <f t="array" ref="BN181">$G$14+VLOOKUP($R181,武学奇术!$A:$ZZ,16,FALSE)+SUM(_xlfn.XLOOKUP(S181:AL181,增益!$A:$A,增益!$P:$P,0))</f>
        <v>0.15</v>
      </c>
      <c r="BO181" s="23">
        <f>MIN(IF(VLOOKUP($R181,武学奇术!$A:$ZZ,23,FALSE)=1,100%,$B$8),100%)</f>
        <v>0.9943</v>
      </c>
      <c r="BP181" s="23" cm="1">
        <f t="array" ref="BP181">IF(VLOOKUP($R181,武学奇术!$A:$ZZ,23,FALSE)=1,100%,MIN(80%,$B$9+VLOOKUP($R181,武学奇术!$A:$ZZ,17,FALSE)+SUM(_xlfn.XLOOKUP(S181:AL181,增益!$A:$A,增益!$Q:$Q,0)))+$B$11+SUM(_xlfn.XLOOKUP(S181:AL181,增益!$A:$A,增益!$U:$U,0)))*IF(VLOOKUP($R181,武学奇术!$A:$ZZ,24,FALSE)=1,0,1)</f>
        <v>0.8</v>
      </c>
      <c r="BQ181" s="23" cm="1">
        <f t="array" ref="BQ181">1+$B$13+VLOOKUP($R181,武学奇术!$A:$ZZ,18,FALSE)+SUM(_xlfn.XLOOKUP(S181:AL181,增益!$A:$A,增益!$R:$R,0))</f>
        <v>1.544</v>
      </c>
      <c r="BR181" s="23" cm="1">
        <f t="array" ref="BR181">IF(VLOOKUP($R181,武学奇术!$A:$ZZ,24,FALSE)=1,100%,MIN(40%,$B$10+VLOOKUP($R181,武学奇术!$A:$ZZ,19,FALSE)+SUM(_xlfn.XLOOKUP(S181:AL181,增益!$A:$A,增益!$S:$S,0)))+$B$12+SUM(_xlfn.XLOOKUP(S181:AL181,增益!$A:$A,增益!$V:$V,0)))*IF(VLOOKUP($R181,武学奇术!$A:$ZZ,23,FALSE)=1,0,1)</f>
        <v>0.0913</v>
      </c>
      <c r="BS181" s="23" cm="1">
        <f t="array" ref="BS181">1+$B$14+VLOOKUP($R181,武学奇术!$A:$ZZ,20,FALSE)+SUM(_xlfn.XLOOKUP(S181:AL181,增益!$A:$A,增益!$T:$T,0))</f>
        <v>1.35</v>
      </c>
      <c r="BT181" s="23">
        <f t="shared" si="32"/>
        <v>0.79544</v>
      </c>
      <c r="BU181" s="23">
        <f t="shared" si="33"/>
        <v>0.10808041</v>
      </c>
      <c r="BV181" s="23">
        <f>IF(VLOOKUP($R181,武学奇术!$A:$ZZ,22,FALSE)=1,0,(1-$BO181))*(1-$BR181)</f>
        <v>0.00517959000000003</v>
      </c>
      <c r="BW181" s="23" cm="1">
        <f t="array" ref="BW181">SUM(_xlfn.XLOOKUP(S181:AL181,增益!$A:$A,增益!$W:$W,0))+$I$5</f>
        <v>0.11</v>
      </c>
      <c r="BX181" s="23">
        <f>VLOOKUP($R181,武学奇术!$A:$ZZ,32,FALSE)</f>
        <v>0</v>
      </c>
      <c r="BY181" s="23" cm="1">
        <f t="array" ref="BY181">SUM(_xlfn.XLOOKUP($S181:$AL181,增益!$A:$A,增益!$X:$X,0))</f>
        <v>0</v>
      </c>
    </row>
    <row r="182" spans="11:77">
      <c r="K182" s="35">
        <f>$L182*VLOOKUP($R182,武学奇术!$A:$ZZ,31,FALSE)</f>
        <v>24211.56439345</v>
      </c>
      <c r="L182" s="35">
        <f t="shared" si="35"/>
        <v>23736.8278367157</v>
      </c>
      <c r="M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轻击",$B$21,0))*(1+IF(VLOOKUP($R182,武学奇术!$A:$ZZ,30,FALSE)="老鼠",$B$22,0))*(1+$BW182)*(1+$BX182)</f>
        <v>24946.032688908</v>
      </c>
      <c r="N182" s="35">
        <f>(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轻击",$B$21,0))*(1+IF(VLOOKUP($R182,武学奇术!$A:$ZZ,30,FALSE)="老鼠",$B$22,0))*(1+$BW182))*(1+$BX182)</f>
        <v>15926.9486963221</v>
      </c>
      <c r="O182" s="35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轻击",$B$21,0))*(1+IF(VLOOKUP($R182,武学奇术!$A:$ZZ,30,FALSE)="老鼠",$B$22,0))*(1+$BW182)*(1+$BX182)</f>
        <v>10734.0932396334</v>
      </c>
      <c r="P182" s="35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轻击",$B$21,0))*(1+IF(VLOOKUP($R182,武学奇术!$A:$ZZ,30,FALSE)="老鼠",$B$22,0))*(1+$BW182)*(1+$BX182)</f>
        <v>9670.4467042134</v>
      </c>
      <c r="Q182" s="36">
        <f t="shared" ref="Q182:Q190" si="36">IF($E$22="易水歌",1,0)</f>
        <v>1</v>
      </c>
      <c r="R182" s="37" t="s">
        <v>187</v>
      </c>
      <c r="S182" s="37" t="s">
        <v>91</v>
      </c>
      <c r="T182" s="37" t="s">
        <v>80</v>
      </c>
      <c r="U182" s="37" t="s">
        <v>81</v>
      </c>
      <c r="V182" s="37" t="s">
        <v>81</v>
      </c>
      <c r="W182" s="37" t="s">
        <v>82</v>
      </c>
      <c r="X182" s="37" t="s">
        <v>81</v>
      </c>
      <c r="Y182" s="37" t="s">
        <v>81</v>
      </c>
      <c r="Z182" s="37" t="s">
        <v>83</v>
      </c>
      <c r="AA182" s="37" t="s">
        <v>81</v>
      </c>
      <c r="AB182" s="37" t="s">
        <v>81</v>
      </c>
      <c r="AC182" s="37" t="s">
        <v>81</v>
      </c>
      <c r="AD182" s="37" t="s">
        <v>85</v>
      </c>
      <c r="AE182" s="37" t="s">
        <v>86</v>
      </c>
      <c r="AF182" s="37" t="s">
        <v>81</v>
      </c>
      <c r="AG182" s="37" t="s">
        <v>87</v>
      </c>
      <c r="AH182" s="37" t="s">
        <v>81</v>
      </c>
      <c r="AI182" s="37" t="s">
        <v>81</v>
      </c>
      <c r="AJ182" s="37" t="s">
        <v>81</v>
      </c>
      <c r="AK182" s="37" t="s">
        <v>81</v>
      </c>
      <c r="AL182" s="37" t="s">
        <v>81</v>
      </c>
      <c r="AM182" t="str">
        <f>VLOOKUP($R182,武学奇术!$A:$ZZ,25,FALSE)</f>
        <v>心法</v>
      </c>
      <c r="AN182" s="23">
        <f>VLOOKUP($R182,武学奇术!$A:$ZZ,26,FALSE)</f>
        <v>1</v>
      </c>
      <c r="AO182" s="24">
        <f>VLOOKUP($R182,武学奇术!$A:$ZZ,27,FALSE)*(1+IF(OR($AM182=$F$4,$AM182=$F$5),$B$23,0))</f>
        <v>0</v>
      </c>
      <c r="AP182" s="23">
        <f>VLOOKUP($R182,武学奇术!$A:$ZZ,28,FALSE)</f>
        <v>1</v>
      </c>
      <c r="AQ182" s="24">
        <f>VLOOKUP($R182,武学奇术!$A:$ZZ,29,FALSE)*(1+IF(OR($AM182=$F$4,$AM182=$F$5),$B$23,0))</f>
        <v>0</v>
      </c>
      <c r="AR182" s="23" cm="1">
        <f t="array" ref="AR182">$G$3+IFERROR(VLOOKUP($AM182,$F$4:$G$7,2,FALSE),0)+VLOOKUP($R182,武学奇术!$A:$ZZ,2,FALSE)+SUM(_xlfn.XLOOKUP($S182:$AL182,增益!$A:$A,增益!$B:$B,0))</f>
        <v>0.4042</v>
      </c>
      <c r="AS182" s="23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4013</v>
      </c>
      <c r="AU182" cm="1">
        <f t="array" ref="AU182">$E$10*(1+$AS182)+VLOOKUP($R182,武学奇术!$A:$ZZ,4,FALSE)+SUM(_xlfn.XLOOKUP($S182:$AL182,增益!$A:$A,增益!$D:$D,0))-$I$2</f>
        <v>4013</v>
      </c>
      <c r="AV182" s="29" cm="1">
        <f t="array" ref="AV182">IF($F$10-$I$3+VLOOKUP($R182,武学奇术!$A:$ZZ,6,FALSE)+SUM(_xlfn.XLOOKUP(S182:AL182,增益!$A:$A,增益!$F:$F,0))&gt;0,($F$10-$I$3+VLOOKUP($R182,武学奇术!$A:$ZZ,6,FALSE)+SUM(_xlfn.XLOOKUP(S182:AL182,增益!$A:$A,增益!$F:$F,0)))/200,($F$10-$I$3+VLOOKUP($R182,武学奇术!$A:$ZZ,6,FALSE)+SUM(_xlfn.XLOOKUP(S182:AL182,增益!$A:$A,增益!$F:$F,0)))/100)</f>
        <v>0.3689</v>
      </c>
      <c r="AW182" s="29" cm="1">
        <f t="array" ref="AW182">$G$10+VLOOKUP($R182,武学奇术!$A:$ZZ,7,FALSE)+SUM(_xlfn.XLOOKUP(S182:AL182,增益!$A:$A,增益!$G:$G,0))</f>
        <v>0</v>
      </c>
      <c r="AX182" s="23" cm="1">
        <f t="array" ref="AX182">VLOOKUP($R182,武学奇术!$A:$ZZ,8,FALSE)+SUM(_xlfn.XLOOKUP(S182:AL182,增益!$A:$A,增益!$H:$H,0))</f>
        <v>0</v>
      </c>
      <c r="AY182">
        <f t="shared" si="24"/>
        <v>0</v>
      </c>
      <c r="AZ182">
        <f t="shared" si="25"/>
        <v>0</v>
      </c>
      <c r="BA182" s="29" cm="1">
        <f t="array" ref="BA182">IF($F$11-$I$4+VLOOKUP($R182,武学奇术!$A:$ZZ,9,FALSE)+SUM(_xlfn.XLOOKUP(S182:AL182,增益!$A:$A,增益!$I:$I,0))&gt;0,($F$11-$I$4+VLOOKUP($R182,武学奇术!$A:$ZZ,9,FALSE)+SUM(_xlfn.XLOOKUP(S182:AL182,增益!$A:$A,增益!$I:$I,0)))/200,($F$11-$I$4+VLOOKUP($R182,武学奇术!$A:$ZZ,9,FALSE)+SUM(_xlfn.XLOOKUP(S182:AL182,增益!$A:$A,增益!$I:$I,0)))/100)</f>
        <v>-0.3</v>
      </c>
      <c r="BB182" s="29" cm="1">
        <f t="array" ref="BB182">$G$11+VLOOKUP($R182,武学奇术!$A:$ZZ,10,FALSE)+SUM(_xlfn.XLOOKUP(S182:AL182,增益!$A:$A,增益!$J:$J,0))</f>
        <v>0</v>
      </c>
      <c r="BC182">
        <f t="shared" si="26"/>
        <v>0</v>
      </c>
      <c r="BD182">
        <f t="shared" si="27"/>
        <v>0</v>
      </c>
      <c r="BE182" s="29" cm="1">
        <f t="array" ref="BE182">IF($F$12-$I$4+VLOOKUP($R182,武学奇术!$A:$ZZ,11,FALSE)+SUM(_xlfn.XLOOKUP(S182:AL182,增益!$A:$A,增益!$K:$K,0))&gt;0,($F$12-$I$4+VLOOKUP($R182,武学奇术!$A:$ZZ,11,FALSE)+SUM(_xlfn.XLOOKUP(S182:AL182,增益!$A:$A,增益!$K:$K,0)))/200,($F$12-$I$4+VLOOKUP($R182,武学奇术!$A:$ZZ,11,FALSE)+SUM(_xlfn.XLOOKUP(S182:AL182,增益!$A:$A,增益!$K:$K,0)))/100)</f>
        <v>-0.3</v>
      </c>
      <c r="BF182" s="29" cm="1">
        <f t="array" ref="BF182">$G$12+VLOOKUP($R182,武学奇术!$A:$ZZ,12,FALSE)+SUM(_xlfn.XLOOKUP(S182:AL182,增益!$A:$A,增益!$L:$L,0))</f>
        <v>0</v>
      </c>
      <c r="BG182">
        <f t="shared" si="28"/>
        <v>0</v>
      </c>
      <c r="BH182">
        <f t="shared" si="29"/>
        <v>0</v>
      </c>
      <c r="BI182" s="29" cm="1">
        <f t="array" ref="BI182">IF($F$13-$I$4+VLOOKUP($R182,武学奇术!$A:$ZZ,13,FALSE)+SUM(_xlfn.XLOOKUP(S182:AL182,增益!$A:$A,增益!$M:$M,0))&gt;0,($F$13-$I$4+VLOOKUP($R182,武学奇术!$A:$ZZ,13,FALSE)+SUM(_xlfn.XLOOKUP(S182:AL182,增益!$A:$A,增益!$K:$K,0)))/200,($F$13-$I$4+VLOOKUP($R182,武学奇术!$A:$ZZ,13,FALSE)+SUM(_xlfn.XLOOKUP(S182:AL182,增益!$A:$A,增益!$M:$M,0)))/100)</f>
        <v>-0.3</v>
      </c>
      <c r="BJ182" s="29" cm="1">
        <f t="array" ref="BJ182">$G$13+VLOOKUP($R182,武学奇术!$A:$ZZ,14,FALSE)+SUM(_xlfn.XLOOKUP(S182:AL182,增益!$A:$A,增益!$N:$N,0))</f>
        <v>0</v>
      </c>
      <c r="BK182">
        <f t="shared" si="30"/>
        <v>618.2</v>
      </c>
      <c r="BL182">
        <f t="shared" si="31"/>
        <v>1805</v>
      </c>
      <c r="BM182" s="29" cm="1">
        <f t="array" ref="BM182">IF($F$14-$I$4+VLOOKUP($R182,武学奇术!$A:$ZZ,15,FALSE)+SUM(_xlfn.XLOOKUP(S182:AL182,增益!$A:$A,增益!$O:$O,0))&gt;0,($F$14-$I$4+VLOOKUP($R182,武学奇术!$A:$ZZ,15,FALSE)+SUM(_xlfn.XLOOKUP(S182:AL182,增益!$A:$A,增益!$O:$O,0)))/200,($F$14-$I$4+VLOOKUP($R182,武学奇术!$A:$ZZ,15,FALSE)+SUM(_xlfn.XLOOKUP(S182:AL182,增益!$A:$A,增益!$O:$O,0)))/100)</f>
        <v>0</v>
      </c>
      <c r="BN182" s="29" cm="1">
        <f t="array" ref="BN182">$G$14+VLOOKUP($R182,武学奇术!$A:$ZZ,16,FALSE)+SUM(_xlfn.XLOOKUP(S182:AL182,增益!$A:$A,增益!$P:$P,0))</f>
        <v>0.15</v>
      </c>
      <c r="BO182" s="23">
        <f>MIN(IF(VLOOKUP($R182,武学奇术!$A:$ZZ,23,FALSE)=1,100%,$B$8),100%)</f>
        <v>0.9943</v>
      </c>
      <c r="BP182" s="23" cm="1">
        <f t="array" ref="BP182">IF(VLOOKUP($R182,武学奇术!$A:$ZZ,23,FALSE)=1,100%,MIN(80%,$B$9+VLOOKUP($R182,武学奇术!$A:$ZZ,17,FALSE)+SUM(_xlfn.XLOOKUP(S182:AL182,增益!$A:$A,增益!$Q:$Q,0)))+$B$11+SUM(_xlfn.XLOOKUP(S182:AL182,增益!$A:$A,增益!$U:$U,0)))*IF(VLOOKUP($R182,武学奇术!$A:$ZZ,24,FALSE)=1,0,1)</f>
        <v>0.887</v>
      </c>
      <c r="BQ182" s="23" cm="1">
        <f t="array" ref="BQ182">1+$B$13+VLOOKUP($R182,武学奇术!$A:$ZZ,18,FALSE)+SUM(_xlfn.XLOOKUP(S182:AL182,增益!$A:$A,增益!$R:$R,0))</f>
        <v>2.324</v>
      </c>
      <c r="BR182" s="23" cm="1">
        <f t="array" ref="BR182">IF(VLOOKUP($R182,武学奇术!$A:$ZZ,24,FALSE)=1,100%,MIN(40%,$B$10+VLOOKUP($R182,武学奇术!$A:$ZZ,19,FALSE)+SUM(_xlfn.XLOOKUP(S182:AL182,增益!$A:$A,增益!$S:$S,0)))+$B$12+SUM(_xlfn.XLOOKUP(S182:AL182,增益!$A:$A,增益!$V:$V,0)))*IF(VLOOKUP($R182,武学奇术!$A:$ZZ,23,FALSE)=1,0,1)</f>
        <v>0.0913</v>
      </c>
      <c r="BS182" s="23" cm="1">
        <f t="array" ref="BS182">1+$B$14+VLOOKUP($R182,武学奇术!$A:$ZZ,20,FALSE)+SUM(_xlfn.XLOOKUP(S182:AL182,增益!$A:$A,增益!$T:$T,0))</f>
        <v>1.35</v>
      </c>
      <c r="BT182" s="23">
        <f t="shared" si="32"/>
        <v>0.8819441</v>
      </c>
      <c r="BU182" s="23">
        <f t="shared" si="33"/>
        <v>0.0215763099999999</v>
      </c>
      <c r="BV182" s="23">
        <f>IF(VLOOKUP($R182,武学奇术!$A:$ZZ,22,FALSE)=1,0,(1-$BO182))*(1-$BR182)</f>
        <v>0.00517959000000003</v>
      </c>
      <c r="BW182" s="23" cm="1">
        <f t="array" ref="BW182">SUM(_xlfn.XLOOKUP(S182:AL182,增益!$A:$A,增益!$W:$W,0))+$I$5</f>
        <v>0.11</v>
      </c>
      <c r="BX182" s="23">
        <f>VLOOKUP($R182,武学奇术!$A:$ZZ,32,FALSE)</f>
        <v>0</v>
      </c>
      <c r="BY182" s="23" cm="1">
        <f t="array" ref="BY182">SUM(_xlfn.XLOOKUP($S182:$AL182,增益!$A:$A,增益!$X:$X,0))</f>
        <v>0</v>
      </c>
    </row>
    <row r="183" spans="11:77">
      <c r="K183" s="35">
        <f>$L183*VLOOKUP($R183,武学奇术!$A:$ZZ,31,FALSE)</f>
        <v>15561.6441205395</v>
      </c>
      <c r="L183" s="35">
        <f t="shared" si="35"/>
        <v>15256.5138436662</v>
      </c>
      <c r="M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轻击",$B$21,0))*(1+IF(VLOOKUP($R183,武学奇术!$A:$ZZ,30,FALSE)="老鼠",$B$22,0))*(1+$BW183)*(1+$BX183)</f>
        <v>16062.8982740078</v>
      </c>
      <c r="N183" s="35">
        <f>(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轻击",$B$21,0))*(1+IF(VLOOKUP($R183,武学奇术!$A:$ZZ,30,FALSE)="老鼠",$B$22,0))*(1+$BW183))*(1+$BX183)</f>
        <v>14871.4325315596</v>
      </c>
      <c r="O183" s="35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轻击",$B$21,0))*(1+IF(VLOOKUP($R183,武学奇术!$A:$ZZ,30,FALSE)="老鼠",$B$22,0))*(1+$BW183)*(1+$BX183)</f>
        <v>9952.2294138834</v>
      </c>
      <c r="P183" s="35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轻击",$B$21,0))*(1+IF(VLOOKUP($R183,武学奇术!$A:$ZZ,30,FALSE)="老鼠",$B$22,0))*(1+$BW183)*(1+$BX183)</f>
        <v>8888.5828784634</v>
      </c>
      <c r="Q183" s="36">
        <f t="shared" si="36"/>
        <v>1</v>
      </c>
      <c r="R183" s="37" t="s">
        <v>187</v>
      </c>
      <c r="S183" s="37" t="s">
        <v>91</v>
      </c>
      <c r="T183" s="37" t="s">
        <v>180</v>
      </c>
      <c r="U183" s="37" t="s">
        <v>81</v>
      </c>
      <c r="V183" s="37" t="s">
        <v>81</v>
      </c>
      <c r="W183" s="37" t="s">
        <v>82</v>
      </c>
      <c r="X183" s="37" t="s">
        <v>81</v>
      </c>
      <c r="Y183" s="37" t="s">
        <v>81</v>
      </c>
      <c r="Z183" s="37" t="s">
        <v>81</v>
      </c>
      <c r="AA183" s="37" t="s">
        <v>81</v>
      </c>
      <c r="AB183" s="37" t="s">
        <v>81</v>
      </c>
      <c r="AC183" s="37" t="s">
        <v>81</v>
      </c>
      <c r="AD183" s="37" t="s">
        <v>85</v>
      </c>
      <c r="AE183" s="37" t="s">
        <v>81</v>
      </c>
      <c r="AF183" s="37" t="s">
        <v>81</v>
      </c>
      <c r="AG183" s="37" t="s">
        <v>87</v>
      </c>
      <c r="AH183" s="37" t="s">
        <v>81</v>
      </c>
      <c r="AI183" s="37" t="s">
        <v>81</v>
      </c>
      <c r="AJ183" s="37" t="s">
        <v>81</v>
      </c>
      <c r="AK183" s="37" t="s">
        <v>81</v>
      </c>
      <c r="AL183" s="37" t="s">
        <v>81</v>
      </c>
      <c r="AM183" t="str">
        <f>VLOOKUP($R183,武学奇术!$A:$ZZ,25,FALSE)</f>
        <v>心法</v>
      </c>
      <c r="AN183" s="23">
        <f>VLOOKUP($R183,武学奇术!$A:$ZZ,26,FALSE)</f>
        <v>1</v>
      </c>
      <c r="AO183" s="24">
        <f>VLOOKUP($R183,武学奇术!$A:$ZZ,27,FALSE)*(1+IF(OR($AM183=$F$4,$AM183=$F$5),$B$23,0))</f>
        <v>0</v>
      </c>
      <c r="AP183" s="23">
        <f>VLOOKUP($R183,武学奇术!$A:$ZZ,28,FALSE)</f>
        <v>1</v>
      </c>
      <c r="AQ183" s="24">
        <f>VLOOKUP($R183,武学奇术!$A:$ZZ,29,FALSE)*(1+IF(OR($AM183=$F$4,$AM183=$F$5),$B$23,0))</f>
        <v>0</v>
      </c>
      <c r="AR183" s="23" cm="1">
        <f t="array" ref="AR183">$G$3+IFERROR(VLOOKUP($AM183,$F$4:$G$7,2,FALSE),0)+VLOOKUP($R183,武学奇术!$A:$ZZ,2,FALSE)+SUM(_xlfn.XLOOKUP($S183:$AL183,增益!$A:$A,增益!$B:$B,0))</f>
        <v>0.4042</v>
      </c>
      <c r="AS183" s="23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4013</v>
      </c>
      <c r="AU183" cm="1">
        <f t="array" ref="AU183">$E$10*(1+$AS183)+VLOOKUP($R183,武学奇术!$A:$ZZ,4,FALSE)+SUM(_xlfn.XLOOKUP($S183:$AL183,增益!$A:$A,增益!$D:$D,0))-$I$2</f>
        <v>4013</v>
      </c>
      <c r="AV183" s="29" cm="1">
        <f t="array" ref="AV183">IF($F$10-$I$3+VLOOKUP($R183,武学奇术!$A:$ZZ,6,FALSE)+SUM(_xlfn.XLOOKUP(S183:AL183,增益!$A:$A,增益!$F:$F,0))&gt;0,($F$10-$I$3+VLOOKUP($R183,武学奇术!$A:$ZZ,6,FALSE)+SUM(_xlfn.XLOOKUP(S183:AL183,增益!$A:$A,增益!$F:$F,0)))/200,($F$10-$I$3+VLOOKUP($R183,武学奇术!$A:$ZZ,6,FALSE)+SUM(_xlfn.XLOOKUP(S183:AL183,增益!$A:$A,增益!$F:$F,0)))/100)</f>
        <v>0.2439</v>
      </c>
      <c r="AW183" s="29" cm="1">
        <f t="array" ref="AW183">$G$10+VLOOKUP($R183,武学奇术!$A:$ZZ,7,FALSE)+SUM(_xlfn.XLOOKUP(S183:AL183,增益!$A:$A,增益!$G:$G,0))</f>
        <v>0</v>
      </c>
      <c r="AX183" s="23" cm="1">
        <f t="array" ref="AX183">VLOOKUP($R183,武学奇术!$A:$ZZ,8,FALSE)+SUM(_xlfn.XLOOKUP(S183:AL183,增益!$A:$A,增益!$H:$H,0))</f>
        <v>0</v>
      </c>
      <c r="AY183">
        <f t="shared" si="24"/>
        <v>0</v>
      </c>
      <c r="AZ183">
        <f t="shared" si="25"/>
        <v>0</v>
      </c>
      <c r="BA183" s="29" cm="1">
        <f t="array" ref="BA183">IF($F$11-$I$4+VLOOKUP($R183,武学奇术!$A:$ZZ,9,FALSE)+SUM(_xlfn.XLOOKUP(S183:AL183,增益!$A:$A,增益!$I:$I,0))&gt;0,($F$11-$I$4+VLOOKUP($R183,武学奇术!$A:$ZZ,9,FALSE)+SUM(_xlfn.XLOOKUP(S183:AL183,增益!$A:$A,增益!$I:$I,0)))/200,($F$11-$I$4+VLOOKUP($R183,武学奇术!$A:$ZZ,9,FALSE)+SUM(_xlfn.XLOOKUP(S183:AL183,增益!$A:$A,增益!$I:$I,0)))/100)</f>
        <v>-0.3</v>
      </c>
      <c r="BB183" s="29" cm="1">
        <f t="array" ref="BB183">$G$11+VLOOKUP($R183,武学奇术!$A:$ZZ,10,FALSE)+SUM(_xlfn.XLOOKUP(S183:AL183,增益!$A:$A,增益!$J:$J,0))</f>
        <v>0</v>
      </c>
      <c r="BC183">
        <f t="shared" si="26"/>
        <v>0</v>
      </c>
      <c r="BD183">
        <f t="shared" si="27"/>
        <v>0</v>
      </c>
      <c r="BE183" s="29" cm="1">
        <f t="array" ref="BE183">IF($F$12-$I$4+VLOOKUP($R183,武学奇术!$A:$ZZ,11,FALSE)+SUM(_xlfn.XLOOKUP(S183:AL183,增益!$A:$A,增益!$K:$K,0))&gt;0,($F$12-$I$4+VLOOKUP($R183,武学奇术!$A:$ZZ,11,FALSE)+SUM(_xlfn.XLOOKUP(S183:AL183,增益!$A:$A,增益!$K:$K,0)))/200,($F$12-$I$4+VLOOKUP($R183,武学奇术!$A:$ZZ,11,FALSE)+SUM(_xlfn.XLOOKUP(S183:AL183,增益!$A:$A,增益!$K:$K,0)))/100)</f>
        <v>-0.3</v>
      </c>
      <c r="BF183" s="29" cm="1">
        <f t="array" ref="BF183">$G$12+VLOOKUP($R183,武学奇术!$A:$ZZ,12,FALSE)+SUM(_xlfn.XLOOKUP(S183:AL183,增益!$A:$A,增益!$L:$L,0))</f>
        <v>0</v>
      </c>
      <c r="BG183">
        <f t="shared" si="28"/>
        <v>0</v>
      </c>
      <c r="BH183">
        <f t="shared" si="29"/>
        <v>0</v>
      </c>
      <c r="BI183" s="29" cm="1">
        <f t="array" ref="BI183">IF($F$13-$I$4+VLOOKUP($R183,武学奇术!$A:$ZZ,13,FALSE)+SUM(_xlfn.XLOOKUP(S183:AL183,增益!$A:$A,增益!$M:$M,0))&gt;0,($F$13-$I$4+VLOOKUP($R183,武学奇术!$A:$ZZ,13,FALSE)+SUM(_xlfn.XLOOKUP(S183:AL183,增益!$A:$A,增益!$K:$K,0)))/200,($F$13-$I$4+VLOOKUP($R183,武学奇术!$A:$ZZ,13,FALSE)+SUM(_xlfn.XLOOKUP(S183:AL183,增益!$A:$A,增益!$M:$M,0)))/100)</f>
        <v>-0.3</v>
      </c>
      <c r="BJ183" s="29" cm="1">
        <f t="array" ref="BJ183">$G$13+VLOOKUP($R183,武学奇术!$A:$ZZ,14,FALSE)+SUM(_xlfn.XLOOKUP(S183:AL183,增益!$A:$A,增益!$N:$N,0))</f>
        <v>0</v>
      </c>
      <c r="BK183">
        <f t="shared" si="30"/>
        <v>618.2</v>
      </c>
      <c r="BL183">
        <f t="shared" si="31"/>
        <v>1805</v>
      </c>
      <c r="BM183" s="29" cm="1">
        <f t="array" ref="BM183">IF($F$14-$I$4+VLOOKUP($R183,武学奇术!$A:$ZZ,15,FALSE)+SUM(_xlfn.XLOOKUP(S183:AL183,增益!$A:$A,增益!$O:$O,0))&gt;0,($F$14-$I$4+VLOOKUP($R183,武学奇术!$A:$ZZ,15,FALSE)+SUM(_xlfn.XLOOKUP(S183:AL183,增益!$A:$A,增益!$O:$O,0)))/200,($F$14-$I$4+VLOOKUP($R183,武学奇术!$A:$ZZ,15,FALSE)+SUM(_xlfn.XLOOKUP(S183:AL183,增益!$A:$A,增益!$O:$O,0)))/100)</f>
        <v>0</v>
      </c>
      <c r="BN183" s="29" cm="1">
        <f t="array" ref="BN183">$G$14+VLOOKUP($R183,武学奇术!$A:$ZZ,16,FALSE)+SUM(_xlfn.XLOOKUP(S183:AL183,增益!$A:$A,增益!$P:$P,0))</f>
        <v>0.15</v>
      </c>
      <c r="BO183" s="23">
        <f>MIN(IF(VLOOKUP($R183,武学奇术!$A:$ZZ,23,FALSE)=1,100%,$B$8),100%)</f>
        <v>0.9943</v>
      </c>
      <c r="BP183" s="23" cm="1">
        <f t="array" ref="BP183">IF(VLOOKUP($R183,武学奇术!$A:$ZZ,23,FALSE)=1,100%,MIN(80%,$B$9+VLOOKUP($R183,武学奇术!$A:$ZZ,17,FALSE)+SUM(_xlfn.XLOOKUP(S183:AL183,增益!$A:$A,增益!$Q:$Q,0)))+$B$11+SUM(_xlfn.XLOOKUP(S183:AL183,增益!$A:$A,增益!$U:$U,0)))*IF(VLOOKUP($R183,武学奇术!$A:$ZZ,24,FALSE)=1,0,1)</f>
        <v>0.8</v>
      </c>
      <c r="BQ183" s="23" cm="1">
        <f t="array" ref="BQ183">1+$B$13+VLOOKUP($R183,武学奇术!$A:$ZZ,18,FALSE)+SUM(_xlfn.XLOOKUP(S183:AL183,增益!$A:$A,增益!$R:$R,0))</f>
        <v>1.614</v>
      </c>
      <c r="BR183" s="23" cm="1">
        <f t="array" ref="BR183">IF(VLOOKUP($R183,武学奇术!$A:$ZZ,24,FALSE)=1,100%,MIN(40%,$B$10+VLOOKUP($R183,武学奇术!$A:$ZZ,19,FALSE)+SUM(_xlfn.XLOOKUP(S183:AL183,增益!$A:$A,增益!$S:$S,0)))+$B$12+SUM(_xlfn.XLOOKUP(S183:AL183,增益!$A:$A,增益!$V:$V,0)))*IF(VLOOKUP($R183,武学奇术!$A:$ZZ,23,FALSE)=1,0,1)</f>
        <v>0.0913</v>
      </c>
      <c r="BS183" s="23" cm="1">
        <f t="array" ref="BS183">1+$B$14+VLOOKUP($R183,武学奇术!$A:$ZZ,20,FALSE)+SUM(_xlfn.XLOOKUP(S183:AL183,增益!$A:$A,增益!$T:$T,0))</f>
        <v>1.35</v>
      </c>
      <c r="BT183" s="23">
        <f t="shared" si="32"/>
        <v>0.79544</v>
      </c>
      <c r="BU183" s="23">
        <f t="shared" si="33"/>
        <v>0.10808041</v>
      </c>
      <c r="BV183" s="23">
        <f>IF(VLOOKUP($R183,武学奇术!$A:$ZZ,22,FALSE)=1,0,(1-$BO183))*(1-$BR183)</f>
        <v>0.00517959000000003</v>
      </c>
      <c r="BW183" s="23" cm="1">
        <f t="array" ref="BW183">SUM(_xlfn.XLOOKUP(S183:AL183,增益!$A:$A,增益!$W:$W,0))+$I$5</f>
        <v>0.11</v>
      </c>
      <c r="BX183" s="23">
        <f>VLOOKUP($R183,武学奇术!$A:$ZZ,32,FALSE)</f>
        <v>0</v>
      </c>
      <c r="BY183" s="23" cm="1">
        <f t="array" ref="BY183">SUM(_xlfn.XLOOKUP($S183:$AL183,增益!$A:$A,增益!$X:$X,0))</f>
        <v>0</v>
      </c>
    </row>
    <row r="184" spans="11:77">
      <c r="K184" s="35">
        <f>$L184*VLOOKUP($R184,武学奇术!$A:$ZZ,31,FALSE)</f>
        <v>20845.8277821408</v>
      </c>
      <c r="L184" s="35">
        <f t="shared" si="35"/>
        <v>20437.0860609224</v>
      </c>
      <c r="M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轻击",$B$21,0))*(1+IF(VLOOKUP($R184,武学奇术!$A:$ZZ,30,FALSE)="老鼠",$B$22,0))*(1+$BW184)*(1+$BX184)</f>
        <v>21337.579863366</v>
      </c>
      <c r="N184" s="35">
        <f>(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轻击",$B$21,0))*(1+IF(VLOOKUP($R184,武学奇术!$A:$ZZ,30,FALSE)="老鼠",$B$22,0))*(1+$BW184))*(1+$BX184)</f>
        <v>14871.4325315596</v>
      </c>
      <c r="O184" s="35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轻击",$B$21,0))*(1+IF(VLOOKUP($R184,武学奇术!$A:$ZZ,30,FALSE)="老鼠",$B$22,0))*(1+$BW184)*(1+$BX184)</f>
        <v>9952.2294138834</v>
      </c>
      <c r="P184" s="35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轻击",$B$21,0))*(1+IF(VLOOKUP($R184,武学奇术!$A:$ZZ,30,FALSE)="老鼠",$B$22,0))*(1+$BW184)*(1+$BX184)</f>
        <v>8888.5828784634</v>
      </c>
      <c r="Q184" s="36">
        <f t="shared" si="36"/>
        <v>1</v>
      </c>
      <c r="R184" s="37" t="s">
        <v>187</v>
      </c>
      <c r="S184" s="37" t="s">
        <v>91</v>
      </c>
      <c r="T184" s="37" t="s">
        <v>185</v>
      </c>
      <c r="U184" s="37" t="s">
        <v>81</v>
      </c>
      <c r="V184" s="37" t="s">
        <v>81</v>
      </c>
      <c r="W184" s="37" t="s">
        <v>82</v>
      </c>
      <c r="X184" s="37" t="s">
        <v>81</v>
      </c>
      <c r="Y184" s="37" t="s">
        <v>81</v>
      </c>
      <c r="Z184" s="37" t="s">
        <v>83</v>
      </c>
      <c r="AA184" s="37" t="s">
        <v>81</v>
      </c>
      <c r="AB184" s="37" t="s">
        <v>81</v>
      </c>
      <c r="AC184" s="37" t="s">
        <v>81</v>
      </c>
      <c r="AD184" s="37" t="s">
        <v>85</v>
      </c>
      <c r="AE184" s="37" t="s">
        <v>81</v>
      </c>
      <c r="AF184" s="37" t="s">
        <v>81</v>
      </c>
      <c r="AG184" s="37" t="s">
        <v>87</v>
      </c>
      <c r="AH184" s="37" t="s">
        <v>81</v>
      </c>
      <c r="AI184" s="37" t="s">
        <v>81</v>
      </c>
      <c r="AJ184" s="37" t="s">
        <v>81</v>
      </c>
      <c r="AK184" s="37" t="s">
        <v>81</v>
      </c>
      <c r="AL184" s="37" t="s">
        <v>81</v>
      </c>
      <c r="AM184" t="str">
        <f>VLOOKUP($R184,武学奇术!$A:$ZZ,25,FALSE)</f>
        <v>心法</v>
      </c>
      <c r="AN184" s="23">
        <f>VLOOKUP($R184,武学奇术!$A:$ZZ,26,FALSE)</f>
        <v>1</v>
      </c>
      <c r="AO184" s="24">
        <f>VLOOKUP($R184,武学奇术!$A:$ZZ,27,FALSE)*(1+IF(OR($AM184=$F$4,$AM184=$F$5),$B$23,0))</f>
        <v>0</v>
      </c>
      <c r="AP184" s="23">
        <f>VLOOKUP($R184,武学奇术!$A:$ZZ,28,FALSE)</f>
        <v>1</v>
      </c>
      <c r="AQ184" s="24">
        <f>VLOOKUP($R184,武学奇术!$A:$ZZ,29,FALSE)*(1+IF(OR($AM184=$F$4,$AM184=$F$5),$B$23,0))</f>
        <v>0</v>
      </c>
      <c r="AR184" s="23" cm="1">
        <f t="array" ref="AR184">$G$3+IFERROR(VLOOKUP($AM184,$F$4:$G$7,2,FALSE),0)+VLOOKUP($R184,武学奇术!$A:$ZZ,2,FALSE)+SUM(_xlfn.XLOOKUP($S184:$AL184,增益!$A:$A,增益!$B:$B,0))</f>
        <v>0.4042</v>
      </c>
      <c r="AS184" s="23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4013</v>
      </c>
      <c r="AU184" cm="1">
        <f t="array" ref="AU184">$E$10*(1+$AS184)+VLOOKUP($R184,武学奇术!$A:$ZZ,4,FALSE)+SUM(_xlfn.XLOOKUP($S184:$AL184,增益!$A:$A,增益!$D:$D,0))-$I$2</f>
        <v>4013</v>
      </c>
      <c r="AV184" s="29" cm="1">
        <f t="array" ref="AV184">IF($F$10-$I$3+VLOOKUP($R184,武学奇术!$A:$ZZ,6,FALSE)+SUM(_xlfn.XLOOKUP(S184:AL184,增益!$A:$A,增益!$F:$F,0))&gt;0,($F$10-$I$3+VLOOKUP($R184,武学奇术!$A:$ZZ,6,FALSE)+SUM(_xlfn.XLOOKUP(S184:AL184,增益!$A:$A,增益!$F:$F,0)))/200,($F$10-$I$3+VLOOKUP($R184,武学奇术!$A:$ZZ,6,FALSE)+SUM(_xlfn.XLOOKUP(S184:AL184,增益!$A:$A,增益!$F:$F,0)))/100)</f>
        <v>0.2439</v>
      </c>
      <c r="AW184" s="29" cm="1">
        <f t="array" ref="AW184">$G$10+VLOOKUP($R184,武学奇术!$A:$ZZ,7,FALSE)+SUM(_xlfn.XLOOKUP(S184:AL184,增益!$A:$A,增益!$G:$G,0))</f>
        <v>0</v>
      </c>
      <c r="AX184" s="23" cm="1">
        <f t="array" ref="AX184">VLOOKUP($R184,武学奇术!$A:$ZZ,8,FALSE)+SUM(_xlfn.XLOOKUP(S184:AL184,增益!$A:$A,增益!$H:$H,0))</f>
        <v>0</v>
      </c>
      <c r="AY184">
        <f t="shared" si="24"/>
        <v>0</v>
      </c>
      <c r="AZ184">
        <f t="shared" si="25"/>
        <v>0</v>
      </c>
      <c r="BA184" s="29" cm="1">
        <f t="array" ref="BA184">IF($F$11-$I$4+VLOOKUP($R184,武学奇术!$A:$ZZ,9,FALSE)+SUM(_xlfn.XLOOKUP(S184:AL184,增益!$A:$A,增益!$I:$I,0))&gt;0,($F$11-$I$4+VLOOKUP($R184,武学奇术!$A:$ZZ,9,FALSE)+SUM(_xlfn.XLOOKUP(S184:AL184,增益!$A:$A,增益!$I:$I,0)))/200,($F$11-$I$4+VLOOKUP($R184,武学奇术!$A:$ZZ,9,FALSE)+SUM(_xlfn.XLOOKUP(S184:AL184,增益!$A:$A,增益!$I:$I,0)))/100)</f>
        <v>-0.3</v>
      </c>
      <c r="BB184" s="29" cm="1">
        <f t="array" ref="BB184">$G$11+VLOOKUP($R184,武学奇术!$A:$ZZ,10,FALSE)+SUM(_xlfn.XLOOKUP(S184:AL184,增益!$A:$A,增益!$J:$J,0))</f>
        <v>0</v>
      </c>
      <c r="BC184">
        <f t="shared" si="26"/>
        <v>0</v>
      </c>
      <c r="BD184">
        <f t="shared" si="27"/>
        <v>0</v>
      </c>
      <c r="BE184" s="29" cm="1">
        <f t="array" ref="BE184">IF($F$12-$I$4+VLOOKUP($R184,武学奇术!$A:$ZZ,11,FALSE)+SUM(_xlfn.XLOOKUP(S184:AL184,增益!$A:$A,增益!$K:$K,0))&gt;0,($F$12-$I$4+VLOOKUP($R184,武学奇术!$A:$ZZ,11,FALSE)+SUM(_xlfn.XLOOKUP(S184:AL184,增益!$A:$A,增益!$K:$K,0)))/200,($F$12-$I$4+VLOOKUP($R184,武学奇术!$A:$ZZ,11,FALSE)+SUM(_xlfn.XLOOKUP(S184:AL184,增益!$A:$A,增益!$K:$K,0)))/100)</f>
        <v>-0.3</v>
      </c>
      <c r="BF184" s="29" cm="1">
        <f t="array" ref="BF184">$G$12+VLOOKUP($R184,武学奇术!$A:$ZZ,12,FALSE)+SUM(_xlfn.XLOOKUP(S184:AL184,增益!$A:$A,增益!$L:$L,0))</f>
        <v>0</v>
      </c>
      <c r="BG184">
        <f t="shared" si="28"/>
        <v>0</v>
      </c>
      <c r="BH184">
        <f t="shared" si="29"/>
        <v>0</v>
      </c>
      <c r="BI184" s="29" cm="1">
        <f t="array" ref="BI184">IF($F$13-$I$4+VLOOKUP($R184,武学奇术!$A:$ZZ,13,FALSE)+SUM(_xlfn.XLOOKUP(S184:AL184,增益!$A:$A,增益!$M:$M,0))&gt;0,($F$13-$I$4+VLOOKUP($R184,武学奇术!$A:$ZZ,13,FALSE)+SUM(_xlfn.XLOOKUP(S184:AL184,增益!$A:$A,增益!$K:$K,0)))/200,($F$13-$I$4+VLOOKUP($R184,武学奇术!$A:$ZZ,13,FALSE)+SUM(_xlfn.XLOOKUP(S184:AL184,增益!$A:$A,增益!$M:$M,0)))/100)</f>
        <v>-0.3</v>
      </c>
      <c r="BJ184" s="29" cm="1">
        <f t="array" ref="BJ184">$G$13+VLOOKUP($R184,武学奇术!$A:$ZZ,14,FALSE)+SUM(_xlfn.XLOOKUP(S184:AL184,增益!$A:$A,增益!$N:$N,0))</f>
        <v>0</v>
      </c>
      <c r="BK184">
        <f t="shared" si="30"/>
        <v>618.2</v>
      </c>
      <c r="BL184">
        <f t="shared" si="31"/>
        <v>1805</v>
      </c>
      <c r="BM184" s="29" cm="1">
        <f t="array" ref="BM184">IF($F$14-$I$4+VLOOKUP($R184,武学奇术!$A:$ZZ,15,FALSE)+SUM(_xlfn.XLOOKUP(S184:AL184,增益!$A:$A,增益!$O:$O,0))&gt;0,($F$14-$I$4+VLOOKUP($R184,武学奇术!$A:$ZZ,15,FALSE)+SUM(_xlfn.XLOOKUP(S184:AL184,增益!$A:$A,增益!$O:$O,0)))/200,($F$14-$I$4+VLOOKUP($R184,武学奇术!$A:$ZZ,15,FALSE)+SUM(_xlfn.XLOOKUP(S184:AL184,增益!$A:$A,增益!$O:$O,0)))/100)</f>
        <v>0</v>
      </c>
      <c r="BN184" s="29" cm="1">
        <f t="array" ref="BN184">$G$14+VLOOKUP($R184,武学奇术!$A:$ZZ,16,FALSE)+SUM(_xlfn.XLOOKUP(S184:AL184,增益!$A:$A,增益!$P:$P,0))</f>
        <v>0.15</v>
      </c>
      <c r="BO184" s="23">
        <f>MIN(IF(VLOOKUP($R184,武学奇术!$A:$ZZ,23,FALSE)=1,100%,$B$8),100%)</f>
        <v>0.9943</v>
      </c>
      <c r="BP184" s="23" cm="1">
        <f t="array" ref="BP184">IF(VLOOKUP($R184,武学奇术!$A:$ZZ,23,FALSE)=1,100%,MIN(80%,$B$9+VLOOKUP($R184,武学奇术!$A:$ZZ,17,FALSE)+SUM(_xlfn.XLOOKUP(S184:AL184,增益!$A:$A,增益!$Q:$Q,0)))+$B$11+SUM(_xlfn.XLOOKUP(S184:AL184,增益!$A:$A,增益!$U:$U,0)))*IF(VLOOKUP($R184,武学奇术!$A:$ZZ,24,FALSE)=1,0,1)</f>
        <v>0.887</v>
      </c>
      <c r="BQ184" s="23" cm="1">
        <f t="array" ref="BQ184">1+$B$13+VLOOKUP($R184,武学奇术!$A:$ZZ,18,FALSE)+SUM(_xlfn.XLOOKUP(S184:AL184,增益!$A:$A,增益!$R:$R,0))</f>
        <v>2.144</v>
      </c>
      <c r="BR184" s="23" cm="1">
        <f t="array" ref="BR184">IF(VLOOKUP($R184,武学奇术!$A:$ZZ,24,FALSE)=1,100%,MIN(40%,$B$10+VLOOKUP($R184,武学奇术!$A:$ZZ,19,FALSE)+SUM(_xlfn.XLOOKUP(S184:AL184,增益!$A:$A,增益!$S:$S,0)))+$B$12+SUM(_xlfn.XLOOKUP(S184:AL184,增益!$A:$A,增益!$V:$V,0)))*IF(VLOOKUP($R184,武学奇术!$A:$ZZ,23,FALSE)=1,0,1)</f>
        <v>0.0913</v>
      </c>
      <c r="BS184" s="23" cm="1">
        <f t="array" ref="BS184">1+$B$14+VLOOKUP($R184,武学奇术!$A:$ZZ,20,FALSE)+SUM(_xlfn.XLOOKUP(S184:AL184,增益!$A:$A,增益!$T:$T,0))</f>
        <v>1.35</v>
      </c>
      <c r="BT184" s="23">
        <f t="shared" si="32"/>
        <v>0.8819441</v>
      </c>
      <c r="BU184" s="23">
        <f t="shared" si="33"/>
        <v>0.0215763099999999</v>
      </c>
      <c r="BV184" s="23">
        <f>IF(VLOOKUP($R184,武学奇术!$A:$ZZ,22,FALSE)=1,0,(1-$BO184))*(1-$BR184)</f>
        <v>0.00517959000000003</v>
      </c>
      <c r="BW184" s="23" cm="1">
        <f t="array" ref="BW184">SUM(_xlfn.XLOOKUP(S184:AL184,增益!$A:$A,增益!$W:$W,0))+$I$5</f>
        <v>0.11</v>
      </c>
      <c r="BX184" s="23">
        <f>VLOOKUP($R184,武学奇术!$A:$ZZ,32,FALSE)</f>
        <v>0</v>
      </c>
      <c r="BY184" s="23" cm="1">
        <f t="array" ref="BY184">SUM(_xlfn.XLOOKUP($S184:$AL184,增益!$A:$A,增益!$X:$X,0))</f>
        <v>0</v>
      </c>
    </row>
    <row r="185" spans="11:77">
      <c r="K185" s="35">
        <f>$L185*VLOOKUP($R185,武学奇术!$A:$ZZ,31,FALSE)</f>
        <v>18706.3071738492</v>
      </c>
      <c r="L185" s="35">
        <f t="shared" si="35"/>
        <v>18339.5168371071</v>
      </c>
      <c r="M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轻击",$B$21,0))*(1+IF(VLOOKUP($R185,武学奇术!$A:$ZZ,30,FALSE)="老鼠",$B$22,0))*(1+$BW185)*(1+$BX185)</f>
        <v>19794.5465436246</v>
      </c>
      <c r="N185" s="35">
        <f>(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轻击",$B$21,0))*(1+IF(VLOOKUP($R185,武学奇术!$A:$ZZ,30,FALSE)="老鼠",$B$22,0))*(1+$BW185))*(1+$BX185)</f>
        <v>15507.1790140915</v>
      </c>
      <c r="O185" s="35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轻击",$B$21,0))*(1+IF(VLOOKUP($R185,武学奇术!$A:$ZZ,30,FALSE)="老鼠",$B$22,0))*(1+$BW185)*(1+$BX185)</f>
        <v>10451.1861370774</v>
      </c>
      <c r="P185" s="35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轻击",$B$21,0))*(1+IF(VLOOKUP($R185,武学奇术!$A:$ZZ,30,FALSE)="老鼠",$B$22,0))*(1+$BW185)*(1+$BX185)</f>
        <v>9415.5730044574</v>
      </c>
      <c r="Q185" s="36">
        <f t="shared" si="36"/>
        <v>1</v>
      </c>
      <c r="R185" s="37" t="s">
        <v>187</v>
      </c>
      <c r="S185" s="37" t="s">
        <v>91</v>
      </c>
      <c r="T185" s="37" t="s">
        <v>185</v>
      </c>
      <c r="U185" s="37" t="s">
        <v>81</v>
      </c>
      <c r="V185" s="37" t="s">
        <v>81</v>
      </c>
      <c r="W185" s="37" t="s">
        <v>82</v>
      </c>
      <c r="X185" s="37" t="s">
        <v>81</v>
      </c>
      <c r="Y185" s="37" t="s">
        <v>81</v>
      </c>
      <c r="Z185" s="37" t="s">
        <v>81</v>
      </c>
      <c r="AA185" s="37" t="s">
        <v>81</v>
      </c>
      <c r="AB185" s="37" t="s">
        <v>183</v>
      </c>
      <c r="AC185" s="37" t="s">
        <v>81</v>
      </c>
      <c r="AD185" s="37" t="s">
        <v>81</v>
      </c>
      <c r="AE185" s="37" t="s">
        <v>86</v>
      </c>
      <c r="AF185" s="37" t="s">
        <v>81</v>
      </c>
      <c r="AG185" s="37" t="s">
        <v>87</v>
      </c>
      <c r="AH185" s="37" t="s">
        <v>81</v>
      </c>
      <c r="AI185" s="37" t="s">
        <v>81</v>
      </c>
      <c r="AJ185" s="37" t="s">
        <v>81</v>
      </c>
      <c r="AK185" s="37" t="s">
        <v>81</v>
      </c>
      <c r="AL185" s="37" t="s">
        <v>81</v>
      </c>
      <c r="AM185" t="str">
        <f>VLOOKUP($R185,武学奇术!$A:$ZZ,25,FALSE)</f>
        <v>心法</v>
      </c>
      <c r="AN185" s="23">
        <f>VLOOKUP($R185,武学奇术!$A:$ZZ,26,FALSE)</f>
        <v>1</v>
      </c>
      <c r="AO185" s="24">
        <f>VLOOKUP($R185,武学奇术!$A:$ZZ,27,FALSE)*(1+IF(OR($AM185=$F$4,$AM185=$F$5),$B$23,0))</f>
        <v>0</v>
      </c>
      <c r="AP185" s="23">
        <f>VLOOKUP($R185,武学奇术!$A:$ZZ,28,FALSE)</f>
        <v>1</v>
      </c>
      <c r="AQ185" s="24">
        <f>VLOOKUP($R185,武学奇术!$A:$ZZ,29,FALSE)*(1+IF(OR($AM185=$F$4,$AM185=$F$5),$B$23,0))</f>
        <v>0</v>
      </c>
      <c r="AR185" s="23" cm="1">
        <f t="array" ref="AR185">$G$3+IFERROR(VLOOKUP($AM185,$F$4:$G$7,2,FALSE),0)+VLOOKUP($R185,武学奇术!$A:$ZZ,2,FALSE)+SUM(_xlfn.XLOOKUP($S185:$AL185,增益!$A:$A,增益!$B:$B,0))</f>
        <v>0.2542</v>
      </c>
      <c r="AS185" s="23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4013</v>
      </c>
      <c r="AU185" cm="1">
        <f t="array" ref="AU185">$E$10*(1+$AS185)+VLOOKUP($R185,武学奇术!$A:$ZZ,4,FALSE)+SUM(_xlfn.XLOOKUP($S185:$AL185,增益!$A:$A,增益!$D:$D,0))-$I$2</f>
        <v>4013</v>
      </c>
      <c r="AV185" s="29" cm="1">
        <f t="array" ref="AV185">IF($F$10-$I$3+VLOOKUP($R185,武学奇术!$A:$ZZ,6,FALSE)+SUM(_xlfn.XLOOKUP(S185:AL185,增益!$A:$A,增益!$F:$F,0))&gt;0,($F$10-$I$3+VLOOKUP($R185,武学奇术!$A:$ZZ,6,FALSE)+SUM(_xlfn.XLOOKUP(S185:AL185,增益!$A:$A,增益!$F:$F,0)))/200,($F$10-$I$3+VLOOKUP($R185,武学奇术!$A:$ZZ,6,FALSE)+SUM(_xlfn.XLOOKUP(S185:AL185,增益!$A:$A,增益!$F:$F,0)))/100)</f>
        <v>0.3689</v>
      </c>
      <c r="AW185" s="29" cm="1">
        <f t="array" ref="AW185">$G$10+VLOOKUP($R185,武学奇术!$A:$ZZ,7,FALSE)+SUM(_xlfn.XLOOKUP(S185:AL185,增益!$A:$A,增益!$G:$G,0))</f>
        <v>0</v>
      </c>
      <c r="AX185" s="23" cm="1">
        <f t="array" ref="AX185">VLOOKUP($R185,武学奇术!$A:$ZZ,8,FALSE)+SUM(_xlfn.XLOOKUP(S185:AL185,增益!$A:$A,增益!$H:$H,0))</f>
        <v>0</v>
      </c>
      <c r="AY185">
        <f t="shared" si="24"/>
        <v>0</v>
      </c>
      <c r="AZ185">
        <f t="shared" si="25"/>
        <v>0</v>
      </c>
      <c r="BA185" s="29" cm="1">
        <f t="array" ref="BA185">IF($F$11-$I$4+VLOOKUP($R185,武学奇术!$A:$ZZ,9,FALSE)+SUM(_xlfn.XLOOKUP(S185:AL185,增益!$A:$A,增益!$I:$I,0))&gt;0,($F$11-$I$4+VLOOKUP($R185,武学奇术!$A:$ZZ,9,FALSE)+SUM(_xlfn.XLOOKUP(S185:AL185,增益!$A:$A,增益!$I:$I,0)))/200,($F$11-$I$4+VLOOKUP($R185,武学奇术!$A:$ZZ,9,FALSE)+SUM(_xlfn.XLOOKUP(S185:AL185,增益!$A:$A,增益!$I:$I,0)))/100)</f>
        <v>-0.3</v>
      </c>
      <c r="BB185" s="29" cm="1">
        <f t="array" ref="BB185">$G$11+VLOOKUP($R185,武学奇术!$A:$ZZ,10,FALSE)+SUM(_xlfn.XLOOKUP(S185:AL185,增益!$A:$A,增益!$J:$J,0))</f>
        <v>0</v>
      </c>
      <c r="BC185">
        <f t="shared" si="26"/>
        <v>0</v>
      </c>
      <c r="BD185">
        <f t="shared" si="27"/>
        <v>0</v>
      </c>
      <c r="BE185" s="29" cm="1">
        <f t="array" ref="BE185">IF($F$12-$I$4+VLOOKUP($R185,武学奇术!$A:$ZZ,11,FALSE)+SUM(_xlfn.XLOOKUP(S185:AL185,增益!$A:$A,增益!$K:$K,0))&gt;0,($F$12-$I$4+VLOOKUP($R185,武学奇术!$A:$ZZ,11,FALSE)+SUM(_xlfn.XLOOKUP(S185:AL185,增益!$A:$A,增益!$K:$K,0)))/200,($F$12-$I$4+VLOOKUP($R185,武学奇术!$A:$ZZ,11,FALSE)+SUM(_xlfn.XLOOKUP(S185:AL185,增益!$A:$A,增益!$K:$K,0)))/100)</f>
        <v>-0.3</v>
      </c>
      <c r="BF185" s="29" cm="1">
        <f t="array" ref="BF185">$G$12+VLOOKUP($R185,武学奇术!$A:$ZZ,12,FALSE)+SUM(_xlfn.XLOOKUP(S185:AL185,增益!$A:$A,增益!$L:$L,0))</f>
        <v>0</v>
      </c>
      <c r="BG185">
        <f t="shared" si="28"/>
        <v>0</v>
      </c>
      <c r="BH185">
        <f t="shared" si="29"/>
        <v>0</v>
      </c>
      <c r="BI185" s="29" cm="1">
        <f t="array" ref="BI185">IF($F$13-$I$4+VLOOKUP($R185,武学奇术!$A:$ZZ,13,FALSE)+SUM(_xlfn.XLOOKUP(S185:AL185,增益!$A:$A,增益!$M:$M,0))&gt;0,($F$13-$I$4+VLOOKUP($R185,武学奇术!$A:$ZZ,13,FALSE)+SUM(_xlfn.XLOOKUP(S185:AL185,增益!$A:$A,增益!$K:$K,0)))/200,($F$13-$I$4+VLOOKUP($R185,武学奇术!$A:$ZZ,13,FALSE)+SUM(_xlfn.XLOOKUP(S185:AL185,增益!$A:$A,增益!$M:$M,0)))/100)</f>
        <v>-0.3</v>
      </c>
      <c r="BJ185" s="29" cm="1">
        <f t="array" ref="BJ185">$G$13+VLOOKUP($R185,武学奇术!$A:$ZZ,14,FALSE)+SUM(_xlfn.XLOOKUP(S185:AL185,增益!$A:$A,增益!$N:$N,0))</f>
        <v>0</v>
      </c>
      <c r="BK185">
        <f t="shared" si="30"/>
        <v>618.2</v>
      </c>
      <c r="BL185">
        <f t="shared" si="31"/>
        <v>1805</v>
      </c>
      <c r="BM185" s="29" cm="1">
        <f t="array" ref="BM185">IF($F$14-$I$4+VLOOKUP($R185,武学奇术!$A:$ZZ,15,FALSE)+SUM(_xlfn.XLOOKUP(S185:AL185,增益!$A:$A,增益!$O:$O,0))&gt;0,($F$14-$I$4+VLOOKUP($R185,武学奇术!$A:$ZZ,15,FALSE)+SUM(_xlfn.XLOOKUP(S185:AL185,增益!$A:$A,增益!$O:$O,0)))/200,($F$14-$I$4+VLOOKUP($R185,武学奇术!$A:$ZZ,15,FALSE)+SUM(_xlfn.XLOOKUP(S185:AL185,增益!$A:$A,增益!$O:$O,0)))/100)</f>
        <v>0</v>
      </c>
      <c r="BN185" s="29" cm="1">
        <f t="array" ref="BN185">$G$14+VLOOKUP($R185,武学奇术!$A:$ZZ,16,FALSE)+SUM(_xlfn.XLOOKUP(S185:AL185,增益!$A:$A,增益!$P:$P,0))</f>
        <v>0.15</v>
      </c>
      <c r="BO185" s="23">
        <f>MIN(IF(VLOOKUP($R185,武学奇术!$A:$ZZ,23,FALSE)=1,100%,$B$8),100%)</f>
        <v>0.9943</v>
      </c>
      <c r="BP185" s="23" cm="1">
        <f t="array" ref="BP185">IF(VLOOKUP($R185,武学奇术!$A:$ZZ,23,FALSE)=1,100%,MIN(80%,$B$9+VLOOKUP($R185,武学奇术!$A:$ZZ,17,FALSE)+SUM(_xlfn.XLOOKUP(S185:AL185,增益!$A:$A,增益!$Q:$Q,0)))+$B$11+SUM(_xlfn.XLOOKUP(S185:AL185,增益!$A:$A,增益!$U:$U,0)))*IF(VLOOKUP($R185,武学奇术!$A:$ZZ,24,FALSE)=1,0,1)</f>
        <v>0.8</v>
      </c>
      <c r="BQ185" s="23" cm="1">
        <f t="array" ref="BQ185">1+$B$13+VLOOKUP($R185,武学奇术!$A:$ZZ,18,FALSE)+SUM(_xlfn.XLOOKUP(S185:AL185,增益!$A:$A,增益!$R:$R,0))</f>
        <v>1.894</v>
      </c>
      <c r="BR185" s="23" cm="1">
        <f t="array" ref="BR185">IF(VLOOKUP($R185,武学奇术!$A:$ZZ,24,FALSE)=1,100%,MIN(40%,$B$10+VLOOKUP($R185,武学奇术!$A:$ZZ,19,FALSE)+SUM(_xlfn.XLOOKUP(S185:AL185,增益!$A:$A,增益!$S:$S,0)))+$B$12+SUM(_xlfn.XLOOKUP(S185:AL185,增益!$A:$A,增益!$V:$V,0)))*IF(VLOOKUP($R185,武学奇术!$A:$ZZ,23,FALSE)=1,0,1)</f>
        <v>0.0913</v>
      </c>
      <c r="BS185" s="23" cm="1">
        <f t="array" ref="BS185">1+$B$14+VLOOKUP($R185,武学奇术!$A:$ZZ,20,FALSE)+SUM(_xlfn.XLOOKUP(S185:AL185,增益!$A:$A,增益!$T:$T,0))</f>
        <v>1.35</v>
      </c>
      <c r="BT185" s="23">
        <f t="shared" si="32"/>
        <v>0.79544</v>
      </c>
      <c r="BU185" s="23">
        <f t="shared" si="33"/>
        <v>0.10808041</v>
      </c>
      <c r="BV185" s="23">
        <f>IF(VLOOKUP($R185,武学奇术!$A:$ZZ,22,FALSE)=1,0,(1-$BO185))*(1-$BR185)</f>
        <v>0.00517959000000003</v>
      </c>
      <c r="BW185" s="23" cm="1">
        <f t="array" ref="BW185">SUM(_xlfn.XLOOKUP(S185:AL185,增益!$A:$A,增益!$W:$W,0))+$I$5</f>
        <v>0.21</v>
      </c>
      <c r="BX185" s="23">
        <f>VLOOKUP($R185,武学奇术!$A:$ZZ,32,FALSE)</f>
        <v>0</v>
      </c>
      <c r="BY185" s="23" cm="1">
        <f t="array" ref="BY185">SUM(_xlfn.XLOOKUP($S185:$AL185,增益!$A:$A,增益!$X:$X,0))</f>
        <v>0</v>
      </c>
    </row>
    <row r="186" spans="11:77">
      <c r="K186" s="35">
        <f>$L186*VLOOKUP($R186,武学奇术!$A:$ZZ,31,FALSE)</f>
        <v>18619.0266374883</v>
      </c>
      <c r="L186" s="35">
        <f t="shared" si="35"/>
        <v>18253.947683812</v>
      </c>
      <c r="M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BQ186*$Q186*(1+IF(VLOOKUP($R186,武学奇术!$A:$ZZ,30,FALSE)="轻击",$B$21,0))*(1+IF(VLOOKUP($R186,武学奇术!$A:$ZZ,30,FALSE)="老鼠",$B$22,0))*(1+$BW186)*(1+$BX186)</f>
        <v>19058.2485861228</v>
      </c>
      <c r="N186" s="35">
        <f>((($AU186*$AN186+$AO186)*(1+$AV186)*(1+$AW186)+($AZ186*IF($G$1="鸣金",$AP186,$AN186)+IF($G$1="鸣金",$AQ186*1.5,0))*(1+$BA186)*(1+$BB186)+($BD186*IF($G$1="裂石",$AP186,$AN186)+IF($G$1="裂石",$AQ186*1.5,0))*(1+$BE186)*(1+$BF186)+($BH186*IF($G$1="牵丝",$AP186,$AN186)+IF($G$1="牵丝",$AQ186*1.5,0))*(1+$BI186)*(1+$BJ186)+($BL186*IF($G$1="破竹",$AP186,$AN186)+IF($G$1="破竹",$AQ186*1.5,0))*(1+$BM186)*(1+$BN186))*(1+$AR186)*$BS186*$Q186*(1+IF(VLOOKUP($R186,武学奇术!$A:$ZZ,30,FALSE)="轻击",$B$21,0))*(1+IF(VLOOKUP($R186,武学奇术!$A:$ZZ,30,FALSE)="老鼠",$B$22,0))*(1+$BW186))*(1+$BX186)</f>
        <v>13282.8305662171</v>
      </c>
      <c r="O186" s="35">
        <f>((($AT186+$AU186)/2*$AN186+$AO186)*(1+$AV186)*(1+$AW186)+(($AY186+$AZ186)/2*IF($G$1="鸣金",$AP186,$AN186)+IF($G$1="鸣金",$AQ186*1.5,0))*(1+$BA186)*(1+$BB186)+(($BC186+$BD186)/2*IF($G$1="裂石",$AP186,$AN186)+IF($G$1="裂石",$AQ186*1.5,0))*(1+$BE186)*(1+$BF186)+(($BG186+$BH186)/2*IF($G$1="牵丝",$AP186,$AN186)+IF($G$1="牵丝",$AQ186*1.5,0))*(1+$BI186)*(1+$BJ186)+(($BK186+$BL186)/2*IF($G$1="破竹",$AP186,$AN186)+IF($G$1="破竹",$AQ186*1.5,0))*(1+$BM186)*(1+$BN186))*(1+$AR186)*$Q186*(1+IF(VLOOKUP($R186,武学奇术!$A:$ZZ,30,FALSE)="轻击",$B$21,0))*(1+IF(VLOOKUP($R186,武学奇术!$A:$ZZ,30,FALSE)="老鼠",$B$22,0))*(1+$BW186)*(1+$BX186)</f>
        <v>8889.1084823334</v>
      </c>
      <c r="P186" s="35">
        <f>((($AT186*$AN186+$AO186)*(1+$AV186)*(1+$AW186)+($AY186*IF($G$1="鸣金",$AP186,$AN186)+IF($G$1="鸣金",$AQ186*1.5,0))*(1+$BA186)*(1+$BB186)+($BC186*IF($G$1="裂石",$AP186,$AN186)+IF($G$1="裂石",$AQ186*1.5,0))*(1+$BE186)*(1+$BF186)+($BG186*IF($G$1="牵丝",$AP186,$AN186)+IF($G$1="牵丝",$AQ186*1.5,0))*(1+$BI186)*(1+$BJ186)+($BK186*IF($G$1="破竹",$AP186,$AN186)+IF($G$1="破竹",$AQ186*1.5,0))*(1+$BM186)*(1+$BN186))*(1+$AR186))*$Q186*(1+IF(VLOOKUP($R186,武学奇术!$A:$ZZ,30,FALSE)="轻击",$B$21,0))*(1+IF(VLOOKUP($R186,武学奇术!$A:$ZZ,30,FALSE)="老鼠",$B$22,0))*(1+$BW186)*(1+$BX186)</f>
        <v>7939.0832119134</v>
      </c>
      <c r="Q186" s="36">
        <f t="shared" si="36"/>
        <v>1</v>
      </c>
      <c r="R186" s="37" t="s">
        <v>187</v>
      </c>
      <c r="S186" s="37" t="s">
        <v>91</v>
      </c>
      <c r="T186" s="37" t="s">
        <v>185</v>
      </c>
      <c r="U186" s="37" t="s">
        <v>81</v>
      </c>
      <c r="V186" s="37" t="s">
        <v>81</v>
      </c>
      <c r="W186" s="37" t="s">
        <v>82</v>
      </c>
      <c r="X186" s="37" t="s">
        <v>81</v>
      </c>
      <c r="Y186" s="37" t="s">
        <v>81</v>
      </c>
      <c r="Z186" s="37" t="s">
        <v>83</v>
      </c>
      <c r="AA186" s="37" t="s">
        <v>81</v>
      </c>
      <c r="AB186" s="37" t="s">
        <v>81</v>
      </c>
      <c r="AC186" s="37" t="s">
        <v>81</v>
      </c>
      <c r="AD186" s="37" t="s">
        <v>81</v>
      </c>
      <c r="AE186" s="37" t="s">
        <v>81</v>
      </c>
      <c r="AF186" s="37" t="s">
        <v>81</v>
      </c>
      <c r="AG186" s="37" t="s">
        <v>87</v>
      </c>
      <c r="AH186" s="37" t="s">
        <v>81</v>
      </c>
      <c r="AI186" s="37" t="s">
        <v>81</v>
      </c>
      <c r="AJ186" s="37" t="s">
        <v>81</v>
      </c>
      <c r="AK186" s="37" t="s">
        <v>81</v>
      </c>
      <c r="AL186" s="37" t="s">
        <v>81</v>
      </c>
      <c r="AM186" t="str">
        <f>VLOOKUP($R186,武学奇术!$A:$ZZ,25,FALSE)</f>
        <v>心法</v>
      </c>
      <c r="AN186" s="23">
        <f>VLOOKUP($R186,武学奇术!$A:$ZZ,26,FALSE)</f>
        <v>1</v>
      </c>
      <c r="AO186" s="24">
        <f>VLOOKUP($R186,武学奇术!$A:$ZZ,27,FALSE)*(1+IF(OR($AM186=$F$4,$AM186=$F$5),$B$23,0))</f>
        <v>0</v>
      </c>
      <c r="AP186" s="23">
        <f>VLOOKUP($R186,武学奇术!$A:$ZZ,28,FALSE)</f>
        <v>1</v>
      </c>
      <c r="AQ186" s="24">
        <f>VLOOKUP($R186,武学奇术!$A:$ZZ,29,FALSE)*(1+IF(OR($AM186=$F$4,$AM186=$F$5),$B$23,0))</f>
        <v>0</v>
      </c>
      <c r="AR186" s="23" cm="1">
        <f t="array" ref="AR186">$G$3+IFERROR(VLOOKUP($AM186,$F$4:$G$7,2,FALSE),0)+VLOOKUP($R186,武学奇术!$A:$ZZ,2,FALSE)+SUM(_xlfn.XLOOKUP($S186:$AL186,增益!$A:$A,增益!$B:$B,0))</f>
        <v>0.2542</v>
      </c>
      <c r="AS186" s="23" cm="1">
        <f t="array" ref="AS186">VLOOKUP($R186,武学奇术!$A:$ZZ,5,FALSE)+SUM(_xlfn.XLOOKUP($S186:$AL186,增益!$A:$A,增益!$E:$E,0))</f>
        <v>0</v>
      </c>
      <c r="AT186" cm="1">
        <f t="array" ref="AT186">$D$10*(1+$AS186)+VLOOKUP($R186,武学奇术!$A:$ZZ,3,FALSE)+SUM(_xlfn.XLOOKUP($S186:$AL186,增益!$A:$A,增益!$C:$C,0))-$I$2</f>
        <v>4013</v>
      </c>
      <c r="AU186" cm="1">
        <f t="array" ref="AU186">$E$10*(1+$AS186)+VLOOKUP($R186,武学奇术!$A:$ZZ,4,FALSE)+SUM(_xlfn.XLOOKUP($S186:$AL186,增益!$A:$A,增益!$D:$D,0))-$I$2</f>
        <v>4013</v>
      </c>
      <c r="AV186" s="29" cm="1">
        <f t="array" ref="AV186">IF($F$10-$I$3+VLOOKUP($R186,武学奇术!$A:$ZZ,6,FALSE)+SUM(_xlfn.XLOOKUP(S186:AL186,增益!$A:$A,增益!$F:$F,0))&gt;0,($F$10-$I$3+VLOOKUP($R186,武学奇术!$A:$ZZ,6,FALSE)+SUM(_xlfn.XLOOKUP(S186:AL186,增益!$A:$A,增益!$F:$F,0)))/200,($F$10-$I$3+VLOOKUP($R186,武学奇术!$A:$ZZ,6,FALSE)+SUM(_xlfn.XLOOKUP(S186:AL186,增益!$A:$A,增益!$F:$F,0)))/100)</f>
        <v>0.2439</v>
      </c>
      <c r="AW186" s="29" cm="1">
        <f t="array" ref="AW186">$G$10+VLOOKUP($R186,武学奇术!$A:$ZZ,7,FALSE)+SUM(_xlfn.XLOOKUP(S186:AL186,增益!$A:$A,增益!$G:$G,0))</f>
        <v>0</v>
      </c>
      <c r="AX186" s="23" cm="1">
        <f t="array" ref="AX186">VLOOKUP($R186,武学奇术!$A:$ZZ,8,FALSE)+SUM(_xlfn.XLOOKUP(S186:AL186,增益!$A:$A,增益!$H:$H,0))</f>
        <v>0</v>
      </c>
      <c r="AY186">
        <f t="shared" si="24"/>
        <v>0</v>
      </c>
      <c r="AZ186">
        <f t="shared" si="25"/>
        <v>0</v>
      </c>
      <c r="BA186" s="29" cm="1">
        <f t="array" ref="BA186">IF($F$11-$I$4+VLOOKUP($R186,武学奇术!$A:$ZZ,9,FALSE)+SUM(_xlfn.XLOOKUP(S186:AL186,增益!$A:$A,增益!$I:$I,0))&gt;0,($F$11-$I$4+VLOOKUP($R186,武学奇术!$A:$ZZ,9,FALSE)+SUM(_xlfn.XLOOKUP(S186:AL186,增益!$A:$A,增益!$I:$I,0)))/200,($F$11-$I$4+VLOOKUP($R186,武学奇术!$A:$ZZ,9,FALSE)+SUM(_xlfn.XLOOKUP(S186:AL186,增益!$A:$A,增益!$I:$I,0)))/100)</f>
        <v>-0.3</v>
      </c>
      <c r="BB186" s="29" cm="1">
        <f t="array" ref="BB186">$G$11+VLOOKUP($R186,武学奇术!$A:$ZZ,10,FALSE)+SUM(_xlfn.XLOOKUP(S186:AL186,增益!$A:$A,增益!$J:$J,0))</f>
        <v>0</v>
      </c>
      <c r="BC186">
        <f t="shared" si="26"/>
        <v>0</v>
      </c>
      <c r="BD186">
        <f t="shared" si="27"/>
        <v>0</v>
      </c>
      <c r="BE186" s="29" cm="1">
        <f t="array" ref="BE186">IF($F$12-$I$4+VLOOKUP($R186,武学奇术!$A:$ZZ,11,FALSE)+SUM(_xlfn.XLOOKUP(S186:AL186,增益!$A:$A,增益!$K:$K,0))&gt;0,($F$12-$I$4+VLOOKUP($R186,武学奇术!$A:$ZZ,11,FALSE)+SUM(_xlfn.XLOOKUP(S186:AL186,增益!$A:$A,增益!$K:$K,0)))/200,($F$12-$I$4+VLOOKUP($R186,武学奇术!$A:$ZZ,11,FALSE)+SUM(_xlfn.XLOOKUP(S186:AL186,增益!$A:$A,增益!$K:$K,0)))/100)</f>
        <v>-0.3</v>
      </c>
      <c r="BF186" s="29" cm="1">
        <f t="array" ref="BF186">$G$12+VLOOKUP($R186,武学奇术!$A:$ZZ,12,FALSE)+SUM(_xlfn.XLOOKUP(S186:AL186,增益!$A:$A,增益!$L:$L,0))</f>
        <v>0</v>
      </c>
      <c r="BG186">
        <f t="shared" si="28"/>
        <v>0</v>
      </c>
      <c r="BH186">
        <f t="shared" si="29"/>
        <v>0</v>
      </c>
      <c r="BI186" s="29" cm="1">
        <f t="array" ref="BI186">IF($F$13-$I$4+VLOOKUP($R186,武学奇术!$A:$ZZ,13,FALSE)+SUM(_xlfn.XLOOKUP(S186:AL186,增益!$A:$A,增益!$M:$M,0))&gt;0,($F$13-$I$4+VLOOKUP($R186,武学奇术!$A:$ZZ,13,FALSE)+SUM(_xlfn.XLOOKUP(S186:AL186,增益!$A:$A,增益!$K:$K,0)))/200,($F$13-$I$4+VLOOKUP($R186,武学奇术!$A:$ZZ,13,FALSE)+SUM(_xlfn.XLOOKUP(S186:AL186,增益!$A:$A,增益!$M:$M,0)))/100)</f>
        <v>-0.3</v>
      </c>
      <c r="BJ186" s="29" cm="1">
        <f t="array" ref="BJ186">$G$13+VLOOKUP($R186,武学奇术!$A:$ZZ,14,FALSE)+SUM(_xlfn.XLOOKUP(S186:AL186,增益!$A:$A,增益!$N:$N,0))</f>
        <v>0</v>
      </c>
      <c r="BK186">
        <f t="shared" si="30"/>
        <v>618.2</v>
      </c>
      <c r="BL186">
        <f t="shared" si="31"/>
        <v>1805</v>
      </c>
      <c r="BM186" s="29" cm="1">
        <f t="array" ref="BM186">IF($F$14-$I$4+VLOOKUP($R186,武学奇术!$A:$ZZ,15,FALSE)+SUM(_xlfn.XLOOKUP(S186:AL186,增益!$A:$A,增益!$O:$O,0))&gt;0,($F$14-$I$4+VLOOKUP($R186,武学奇术!$A:$ZZ,15,FALSE)+SUM(_xlfn.XLOOKUP(S186:AL186,增益!$A:$A,增益!$O:$O,0)))/200,($F$14-$I$4+VLOOKUP($R186,武学奇术!$A:$ZZ,15,FALSE)+SUM(_xlfn.XLOOKUP(S186:AL186,增益!$A:$A,增益!$O:$O,0)))/100)</f>
        <v>0</v>
      </c>
      <c r="BN186" s="29" cm="1">
        <f t="array" ref="BN186">$G$14+VLOOKUP($R186,武学奇术!$A:$ZZ,16,FALSE)+SUM(_xlfn.XLOOKUP(S186:AL186,增益!$A:$A,增益!$P:$P,0))</f>
        <v>0.15</v>
      </c>
      <c r="BO186" s="23">
        <f>MIN(IF(VLOOKUP($R186,武学奇术!$A:$ZZ,23,FALSE)=1,100%,$B$8),100%)</f>
        <v>0.9943</v>
      </c>
      <c r="BP186" s="23" cm="1">
        <f t="array" ref="BP186">IF(VLOOKUP($R186,武学奇术!$A:$ZZ,23,FALSE)=1,100%,MIN(80%,$B$9+VLOOKUP($R186,武学奇术!$A:$ZZ,17,FALSE)+SUM(_xlfn.XLOOKUP(S186:AL186,增益!$A:$A,增益!$Q:$Q,0)))+$B$11+SUM(_xlfn.XLOOKUP(S186:AL186,增益!$A:$A,增益!$U:$U,0)))*IF(VLOOKUP($R186,武学奇术!$A:$ZZ,24,FALSE)=1,0,1)</f>
        <v>0.887</v>
      </c>
      <c r="BQ186" s="23" cm="1">
        <f t="array" ref="BQ186">1+$B$13+VLOOKUP($R186,武学奇术!$A:$ZZ,18,FALSE)+SUM(_xlfn.XLOOKUP(S186:AL186,增益!$A:$A,增益!$R:$R,0))</f>
        <v>2.144</v>
      </c>
      <c r="BR186" s="23" cm="1">
        <f t="array" ref="BR186">IF(VLOOKUP($R186,武学奇术!$A:$ZZ,24,FALSE)=1,100%,MIN(40%,$B$10+VLOOKUP($R186,武学奇术!$A:$ZZ,19,FALSE)+SUM(_xlfn.XLOOKUP(S186:AL186,增益!$A:$A,增益!$S:$S,0)))+$B$12+SUM(_xlfn.XLOOKUP(S186:AL186,增益!$A:$A,增益!$V:$V,0)))*IF(VLOOKUP($R186,武学奇术!$A:$ZZ,23,FALSE)=1,0,1)</f>
        <v>0.0913</v>
      </c>
      <c r="BS186" s="23" cm="1">
        <f t="array" ref="BS186">1+$B$14+VLOOKUP($R186,武学奇术!$A:$ZZ,20,FALSE)+SUM(_xlfn.XLOOKUP(S186:AL186,增益!$A:$A,增益!$T:$T,0))</f>
        <v>1.35</v>
      </c>
      <c r="BT186" s="23">
        <f t="shared" si="32"/>
        <v>0.8819441</v>
      </c>
      <c r="BU186" s="23">
        <f t="shared" si="33"/>
        <v>0.0215763099999999</v>
      </c>
      <c r="BV186" s="23">
        <f>IF(VLOOKUP($R186,武学奇术!$A:$ZZ,22,FALSE)=1,0,(1-$BO186))*(1-$BR186)</f>
        <v>0.00517959000000003</v>
      </c>
      <c r="BW186" s="23" cm="1">
        <f t="array" ref="BW186">SUM(_xlfn.XLOOKUP(S186:AL186,增益!$A:$A,增益!$W:$W,0))+$I$5</f>
        <v>0.11</v>
      </c>
      <c r="BX186" s="23">
        <f>VLOOKUP($R186,武学奇术!$A:$ZZ,32,FALSE)</f>
        <v>0</v>
      </c>
      <c r="BY186" s="23" cm="1">
        <f t="array" ref="BY186">SUM(_xlfn.XLOOKUP($S186:$AL186,增益!$A:$A,增益!$X:$X,0))</f>
        <v>0</v>
      </c>
    </row>
    <row r="187" spans="11:77">
      <c r="K187" s="35">
        <f>$L187*VLOOKUP($R187,武学奇术!$A:$ZZ,31,FALSE)</f>
        <v>12990.2045462639</v>
      </c>
      <c r="L187" s="35">
        <f t="shared" si="35"/>
        <v>12735.4946531999</v>
      </c>
      <c r="M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BQ187*$Q187*(1+IF(VLOOKUP($R187,武学奇术!$A:$ZZ,30,FALSE)="轻击",$B$21,0))*(1+IF(VLOOKUP($R187,武学奇术!$A:$ZZ,30,FALSE)="老鼠",$B$22,0))*(1+$BW187)*(1+$BX187)</f>
        <v>13448.5138039773</v>
      </c>
      <c r="N187" s="35">
        <f>((($AU187*$AN187+$AO187)*(1+$AV187)*(1+$AW187)+($AZ187*IF($G$1="鸣金",$AP187,$AN187)+IF($G$1="鸣金",$AQ187*1.5,0))*(1+$BA187)*(1+$BB187)+($BD187*IF($G$1="裂石",$AP187,$AN187)+IF($G$1="裂石",$AQ187*1.5,0))*(1+$BE187)*(1+$BF187)+($BH187*IF($G$1="牵丝",$AP187,$AN187)+IF($G$1="牵丝",$AQ187*1.5,0))*(1+$BI187)*(1+$BJ187)+($BL187*IF($G$1="破竹",$AP187,$AN187)+IF($G$1="破竹",$AQ187*1.5,0))*(1+$BM187)*(1+$BN187))*(1+$AR187)*$BS187*$Q187*(1+IF(VLOOKUP($R187,武学奇术!$A:$ZZ,30,FALSE)="轻击",$B$21,0))*(1+IF(VLOOKUP($R187,武学奇术!$A:$ZZ,30,FALSE)="老鼠",$B$22,0))*(1+$BW187))*(1+$BX187)</f>
        <v>12223.7625893221</v>
      </c>
      <c r="O187" s="35">
        <f>((($AT187+$AU187)/2*$AN187+$AO187)*(1+$AV187)*(1+$AW187)+(($AY187+$AZ187)/2*IF($G$1="鸣金",$AP187,$AN187)+IF($G$1="鸣金",$AQ187*1.5,0))*(1+$BA187)*(1+$BB187)+(($BC187+$BD187)/2*IF($G$1="裂石",$AP187,$AN187)+IF($G$1="裂石",$AQ187*1.5,0))*(1+$BE187)*(1+$BF187)+(($BG187+$BH187)/2*IF($G$1="牵丝",$AP187,$AN187)+IF($G$1="牵丝",$AQ187*1.5,0))*(1+$BI187)*(1+$BJ187)+(($BK187+$BL187)/2*IF($G$1="破竹",$AP187,$AN187)+IF($G$1="破竹",$AQ187*1.5,0))*(1+$BM187)*(1+$BN187))*(1+$AR187)*$Q187*(1+IF(VLOOKUP($R187,武学奇术!$A:$ZZ,30,FALSE)="轻击",$B$21,0))*(1+IF(VLOOKUP($R187,武学奇术!$A:$ZZ,30,FALSE)="老鼠",$B$22,0))*(1+$BW187)*(1+$BX187)</f>
        <v>8180.3611946334</v>
      </c>
      <c r="P187" s="35">
        <f>((($AT187*$AN187+$AO187)*(1+$AV187)*(1+$AW187)+($AY187*IF($G$1="鸣金",$AP187,$AN187)+IF($G$1="鸣金",$AQ187*1.5,0))*(1+$BA187)*(1+$BB187)+($BC187*IF($G$1="裂石",$AP187,$AN187)+IF($G$1="裂石",$AQ187*1.5,0))*(1+$BE187)*(1+$BF187)+($BG187*IF($G$1="牵丝",$AP187,$AN187)+IF($G$1="牵丝",$AQ187*1.5,0))*(1+$BI187)*(1+$BJ187)+($BK187*IF($G$1="破竹",$AP187,$AN187)+IF($G$1="破竹",$AQ187*1.5,0))*(1+$BM187)*(1+$BN187))*(1+$AR187))*$Q187*(1+IF(VLOOKUP($R187,武学奇术!$A:$ZZ,30,FALSE)="轻击",$B$21,0))*(1+IF(VLOOKUP($R187,武学奇术!$A:$ZZ,30,FALSE)="老鼠",$B$22,0))*(1+$BW187)*(1+$BX187)</f>
        <v>7306.0834342134</v>
      </c>
      <c r="Q187" s="36">
        <f t="shared" si="36"/>
        <v>1</v>
      </c>
      <c r="R187" s="37" t="s">
        <v>187</v>
      </c>
      <c r="S187" s="37" t="s">
        <v>91</v>
      </c>
      <c r="T187" s="37" t="s">
        <v>185</v>
      </c>
      <c r="U187" s="37" t="s">
        <v>81</v>
      </c>
      <c r="V187" s="37" t="s">
        <v>81</v>
      </c>
      <c r="W187" s="37" t="s">
        <v>81</v>
      </c>
      <c r="X187" s="37" t="s">
        <v>81</v>
      </c>
      <c r="Y187" s="37" t="s">
        <v>81</v>
      </c>
      <c r="Z187" s="37" t="s">
        <v>81</v>
      </c>
      <c r="AA187" s="37" t="s">
        <v>81</v>
      </c>
      <c r="AB187" s="37" t="s">
        <v>81</v>
      </c>
      <c r="AC187" s="37" t="s">
        <v>81</v>
      </c>
      <c r="AD187" s="37" t="s">
        <v>81</v>
      </c>
      <c r="AE187" s="37" t="s">
        <v>81</v>
      </c>
      <c r="AF187" s="37" t="s">
        <v>81</v>
      </c>
      <c r="AG187" s="37" t="s">
        <v>87</v>
      </c>
      <c r="AH187" s="37" t="s">
        <v>81</v>
      </c>
      <c r="AI187" s="37" t="s">
        <v>81</v>
      </c>
      <c r="AJ187" s="37" t="s">
        <v>81</v>
      </c>
      <c r="AK187" s="37" t="s">
        <v>81</v>
      </c>
      <c r="AL187" s="37" t="s">
        <v>81</v>
      </c>
      <c r="AM187" t="str">
        <f>VLOOKUP($R187,武学奇术!$A:$ZZ,25,FALSE)</f>
        <v>心法</v>
      </c>
      <c r="AN187" s="23">
        <f>VLOOKUP($R187,武学奇术!$A:$ZZ,26,FALSE)</f>
        <v>1</v>
      </c>
      <c r="AO187" s="24">
        <f>VLOOKUP($R187,武学奇术!$A:$ZZ,27,FALSE)*(1+IF(OR($AM187=$F$4,$AM187=$F$5),$B$23,0))</f>
        <v>0</v>
      </c>
      <c r="AP187" s="23">
        <f>VLOOKUP($R187,武学奇术!$A:$ZZ,28,FALSE)</f>
        <v>1</v>
      </c>
      <c r="AQ187" s="24">
        <f>VLOOKUP($R187,武学奇术!$A:$ZZ,29,FALSE)*(1+IF(OR($AM187=$F$4,$AM187=$F$5),$B$23,0))</f>
        <v>0</v>
      </c>
      <c r="AR187" s="23" cm="1">
        <f t="array" ref="AR187">$G$3+IFERROR(VLOOKUP($AM187,$F$4:$G$7,2,FALSE),0)+VLOOKUP($R187,武学奇术!$A:$ZZ,2,FALSE)+SUM(_xlfn.XLOOKUP($S187:$AL187,增益!$A:$A,增益!$B:$B,0))</f>
        <v>0.1542</v>
      </c>
      <c r="AS187" s="23" cm="1">
        <f t="array" ref="AS187">VLOOKUP($R187,武学奇术!$A:$ZZ,5,FALSE)+SUM(_xlfn.XLOOKUP($S187:$AL187,增益!$A:$A,增益!$E:$E,0))</f>
        <v>0</v>
      </c>
      <c r="AT187" cm="1">
        <f t="array" ref="AT187">$D$10*(1+$AS187)+VLOOKUP($R187,武学奇术!$A:$ZZ,3,FALSE)+SUM(_xlfn.XLOOKUP($S187:$AL187,增益!$A:$A,增益!$C:$C,0))-$I$2</f>
        <v>4013</v>
      </c>
      <c r="AU187" cm="1">
        <f t="array" ref="AU187">$E$10*(1+$AS187)+VLOOKUP($R187,武学奇术!$A:$ZZ,4,FALSE)+SUM(_xlfn.XLOOKUP($S187:$AL187,增益!$A:$A,增益!$D:$D,0))-$I$2</f>
        <v>4013</v>
      </c>
      <c r="AV187" s="29" cm="1">
        <f t="array" ref="AV187">IF($F$10-$I$3+VLOOKUP($R187,武学奇术!$A:$ZZ,6,FALSE)+SUM(_xlfn.XLOOKUP(S187:AL187,增益!$A:$A,增益!$F:$F,0))&gt;0,($F$10-$I$3+VLOOKUP($R187,武学奇术!$A:$ZZ,6,FALSE)+SUM(_xlfn.XLOOKUP(S187:AL187,增益!$A:$A,增益!$F:$F,0)))/200,($F$10-$I$3+VLOOKUP($R187,武学奇术!$A:$ZZ,6,FALSE)+SUM(_xlfn.XLOOKUP(S187:AL187,增益!$A:$A,增益!$F:$F,0)))/100)</f>
        <v>0.2439</v>
      </c>
      <c r="AW187" s="29" cm="1">
        <f t="array" ref="AW187">$G$10+VLOOKUP($R187,武学奇术!$A:$ZZ,7,FALSE)+SUM(_xlfn.XLOOKUP(S187:AL187,增益!$A:$A,增益!$G:$G,0))</f>
        <v>0</v>
      </c>
      <c r="AX187" s="23" cm="1">
        <f t="array" ref="AX187">VLOOKUP($R187,武学奇术!$A:$ZZ,8,FALSE)+SUM(_xlfn.XLOOKUP(S187:AL187,增益!$A:$A,增益!$H:$H,0))</f>
        <v>0</v>
      </c>
      <c r="AY187">
        <f t="shared" si="24"/>
        <v>0</v>
      </c>
      <c r="AZ187">
        <f t="shared" si="25"/>
        <v>0</v>
      </c>
      <c r="BA187" s="29" cm="1">
        <f t="array" ref="BA187">IF($F$11-$I$4+VLOOKUP($R187,武学奇术!$A:$ZZ,9,FALSE)+SUM(_xlfn.XLOOKUP(S187:AL187,增益!$A:$A,增益!$I:$I,0))&gt;0,($F$11-$I$4+VLOOKUP($R187,武学奇术!$A:$ZZ,9,FALSE)+SUM(_xlfn.XLOOKUP(S187:AL187,增益!$A:$A,增益!$I:$I,0)))/200,($F$11-$I$4+VLOOKUP($R187,武学奇术!$A:$ZZ,9,FALSE)+SUM(_xlfn.XLOOKUP(S187:AL187,增益!$A:$A,增益!$I:$I,0)))/100)</f>
        <v>-0.3</v>
      </c>
      <c r="BB187" s="29" cm="1">
        <f t="array" ref="BB187">$G$11+VLOOKUP($R187,武学奇术!$A:$ZZ,10,FALSE)+SUM(_xlfn.XLOOKUP(S187:AL187,增益!$A:$A,增益!$J:$J,0))</f>
        <v>0</v>
      </c>
      <c r="BC187">
        <f t="shared" si="26"/>
        <v>0</v>
      </c>
      <c r="BD187">
        <f t="shared" si="27"/>
        <v>0</v>
      </c>
      <c r="BE187" s="29" cm="1">
        <f t="array" ref="BE187">IF($F$12-$I$4+VLOOKUP($R187,武学奇术!$A:$ZZ,11,FALSE)+SUM(_xlfn.XLOOKUP(S187:AL187,增益!$A:$A,增益!$K:$K,0))&gt;0,($F$12-$I$4+VLOOKUP($R187,武学奇术!$A:$ZZ,11,FALSE)+SUM(_xlfn.XLOOKUP(S187:AL187,增益!$A:$A,增益!$K:$K,0)))/200,($F$12-$I$4+VLOOKUP($R187,武学奇术!$A:$ZZ,11,FALSE)+SUM(_xlfn.XLOOKUP(S187:AL187,增益!$A:$A,增益!$K:$K,0)))/100)</f>
        <v>-0.3</v>
      </c>
      <c r="BF187" s="29" cm="1">
        <f t="array" ref="BF187">$G$12+VLOOKUP($R187,武学奇术!$A:$ZZ,12,FALSE)+SUM(_xlfn.XLOOKUP(S187:AL187,增益!$A:$A,增益!$L:$L,0))</f>
        <v>0</v>
      </c>
      <c r="BG187">
        <f t="shared" si="28"/>
        <v>0</v>
      </c>
      <c r="BH187">
        <f t="shared" si="29"/>
        <v>0</v>
      </c>
      <c r="BI187" s="29" cm="1">
        <f t="array" ref="BI187">IF($F$13-$I$4+VLOOKUP($R187,武学奇术!$A:$ZZ,13,FALSE)+SUM(_xlfn.XLOOKUP(S187:AL187,增益!$A:$A,增益!$M:$M,0))&gt;0,($F$13-$I$4+VLOOKUP($R187,武学奇术!$A:$ZZ,13,FALSE)+SUM(_xlfn.XLOOKUP(S187:AL187,增益!$A:$A,增益!$K:$K,0)))/200,($F$13-$I$4+VLOOKUP($R187,武学奇术!$A:$ZZ,13,FALSE)+SUM(_xlfn.XLOOKUP(S187:AL187,增益!$A:$A,增益!$M:$M,0)))/100)</f>
        <v>-0.3</v>
      </c>
      <c r="BJ187" s="29" cm="1">
        <f t="array" ref="BJ187">$G$13+VLOOKUP($R187,武学奇术!$A:$ZZ,14,FALSE)+SUM(_xlfn.XLOOKUP(S187:AL187,增益!$A:$A,增益!$N:$N,0))</f>
        <v>0</v>
      </c>
      <c r="BK187">
        <f t="shared" si="30"/>
        <v>618.2</v>
      </c>
      <c r="BL187">
        <f t="shared" si="31"/>
        <v>1805</v>
      </c>
      <c r="BM187" s="29" cm="1">
        <f t="array" ref="BM187">IF($F$14-$I$4+VLOOKUP($R187,武学奇术!$A:$ZZ,15,FALSE)+SUM(_xlfn.XLOOKUP(S187:AL187,增益!$A:$A,增益!$O:$O,0))&gt;0,($F$14-$I$4+VLOOKUP($R187,武学奇术!$A:$ZZ,15,FALSE)+SUM(_xlfn.XLOOKUP(S187:AL187,增益!$A:$A,增益!$O:$O,0)))/200,($F$14-$I$4+VLOOKUP($R187,武学奇术!$A:$ZZ,15,FALSE)+SUM(_xlfn.XLOOKUP(S187:AL187,增益!$A:$A,增益!$O:$O,0)))/100)</f>
        <v>0</v>
      </c>
      <c r="BN187" s="29" cm="1">
        <f t="array" ref="BN187">$G$14+VLOOKUP($R187,武学奇术!$A:$ZZ,16,FALSE)+SUM(_xlfn.XLOOKUP(S187:AL187,增益!$A:$A,增益!$P:$P,0))</f>
        <v>0.15</v>
      </c>
      <c r="BO187" s="23">
        <f>MIN(IF(VLOOKUP($R187,武学奇术!$A:$ZZ,23,FALSE)=1,100%,$B$8),100%)</f>
        <v>0.9943</v>
      </c>
      <c r="BP187" s="23" cm="1">
        <f t="array" ref="BP187">IF(VLOOKUP($R187,武学奇术!$A:$ZZ,23,FALSE)=1,100%,MIN(80%,$B$9+VLOOKUP($R187,武学奇术!$A:$ZZ,17,FALSE)+SUM(_xlfn.XLOOKUP(S187:AL187,增益!$A:$A,增益!$Q:$Q,0)))+$B$11+SUM(_xlfn.XLOOKUP(S187:AL187,增益!$A:$A,增益!$U:$U,0)))*IF(VLOOKUP($R187,武学奇术!$A:$ZZ,24,FALSE)=1,0,1)</f>
        <v>0.8</v>
      </c>
      <c r="BQ187" s="23" cm="1">
        <f t="array" ref="BQ187">1+$B$13+VLOOKUP($R187,武学奇术!$A:$ZZ,18,FALSE)+SUM(_xlfn.XLOOKUP(S187:AL187,增益!$A:$A,增益!$R:$R,0))</f>
        <v>1.644</v>
      </c>
      <c r="BR187" s="23" cm="1">
        <f t="array" ref="BR187">IF(VLOOKUP($R187,武学奇术!$A:$ZZ,24,FALSE)=1,100%,MIN(40%,$B$10+VLOOKUP($R187,武学奇术!$A:$ZZ,19,FALSE)+SUM(_xlfn.XLOOKUP(S187:AL187,增益!$A:$A,增益!$S:$S,0)))+$B$12+SUM(_xlfn.XLOOKUP(S187:AL187,增益!$A:$A,增益!$V:$V,0)))*IF(VLOOKUP($R187,武学奇术!$A:$ZZ,23,FALSE)=1,0,1)</f>
        <v>0.0913</v>
      </c>
      <c r="BS187" s="23" cm="1">
        <f t="array" ref="BS187">1+$B$14+VLOOKUP($R187,武学奇术!$A:$ZZ,20,FALSE)+SUM(_xlfn.XLOOKUP(S187:AL187,增益!$A:$A,增益!$T:$T,0))</f>
        <v>1.35</v>
      </c>
      <c r="BT187" s="23">
        <f t="shared" si="32"/>
        <v>0.79544</v>
      </c>
      <c r="BU187" s="23">
        <f t="shared" si="33"/>
        <v>0.10808041</v>
      </c>
      <c r="BV187" s="23">
        <f>IF(VLOOKUP($R187,武学奇术!$A:$ZZ,22,FALSE)=1,0,(1-$BO187))*(1-$BR187)</f>
        <v>0.00517959000000003</v>
      </c>
      <c r="BW187" s="23" cm="1">
        <f t="array" ref="BW187">SUM(_xlfn.XLOOKUP(S187:AL187,增益!$A:$A,增益!$W:$W,0))+$I$5</f>
        <v>0.11</v>
      </c>
      <c r="BX187" s="23">
        <f>VLOOKUP($R187,武学奇术!$A:$ZZ,32,FALSE)</f>
        <v>0</v>
      </c>
      <c r="BY187" s="23" cm="1">
        <f t="array" ref="BY187">SUM(_xlfn.XLOOKUP($S187:$AL187,增益!$A:$A,增益!$X:$X,0))</f>
        <v>0</v>
      </c>
    </row>
    <row r="188" spans="11:77">
      <c r="K188" s="35">
        <f>$L188*VLOOKUP($R188,武学奇术!$A:$ZZ,31,FALSE)</f>
        <v>20845.8277821408</v>
      </c>
      <c r="L188" s="35">
        <f t="shared" si="35"/>
        <v>20437.0860609224</v>
      </c>
      <c r="M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BQ188*$Q188*(1+IF(VLOOKUP($R188,武学奇术!$A:$ZZ,30,FALSE)="轻击",$B$21,0))*(1+IF(VLOOKUP($R188,武学奇术!$A:$ZZ,30,FALSE)="老鼠",$B$22,0))*(1+$BW188)*(1+$BX188)</f>
        <v>21337.579863366</v>
      </c>
      <c r="N188" s="35">
        <f>((($AU188*$AN188+$AO188)*(1+$AV188)*(1+$AW188)+($AZ188*IF($G$1="鸣金",$AP188,$AN188)+IF($G$1="鸣金",$AQ188*1.5,0))*(1+$BA188)*(1+$BB188)+($BD188*IF($G$1="裂石",$AP188,$AN188)+IF($G$1="裂石",$AQ188*1.5,0))*(1+$BE188)*(1+$BF188)+($BH188*IF($G$1="牵丝",$AP188,$AN188)+IF($G$1="牵丝",$AQ188*1.5,0))*(1+$BI188)*(1+$BJ188)+($BL188*IF($G$1="破竹",$AP188,$AN188)+IF($G$1="破竹",$AQ188*1.5,0))*(1+$BM188)*(1+$BN188))*(1+$AR188)*$BS188*$Q188*(1+IF(VLOOKUP($R188,武学奇术!$A:$ZZ,30,FALSE)="轻击",$B$21,0))*(1+IF(VLOOKUP($R188,武学奇术!$A:$ZZ,30,FALSE)="老鼠",$B$22,0))*(1+$BW188))*(1+$BX188)</f>
        <v>14871.4325315596</v>
      </c>
      <c r="O188" s="35">
        <f>((($AT188+$AU188)/2*$AN188+$AO188)*(1+$AV188)*(1+$AW188)+(($AY188+$AZ188)/2*IF($G$1="鸣金",$AP188,$AN188)+IF($G$1="鸣金",$AQ188*1.5,0))*(1+$BA188)*(1+$BB188)+(($BC188+$BD188)/2*IF($G$1="裂石",$AP188,$AN188)+IF($G$1="裂石",$AQ188*1.5,0))*(1+$BE188)*(1+$BF188)+(($BG188+$BH188)/2*IF($G$1="牵丝",$AP188,$AN188)+IF($G$1="牵丝",$AQ188*1.5,0))*(1+$BI188)*(1+$BJ188)+(($BK188+$BL188)/2*IF($G$1="破竹",$AP188,$AN188)+IF($G$1="破竹",$AQ188*1.5,0))*(1+$BM188)*(1+$BN188))*(1+$AR188)*$Q188*(1+IF(VLOOKUP($R188,武学奇术!$A:$ZZ,30,FALSE)="轻击",$B$21,0))*(1+IF(VLOOKUP($R188,武学奇术!$A:$ZZ,30,FALSE)="老鼠",$B$22,0))*(1+$BW188)*(1+$BX188)</f>
        <v>9952.2294138834</v>
      </c>
      <c r="P188" s="35">
        <f>((($AT188*$AN188+$AO188)*(1+$AV188)*(1+$AW188)+($AY188*IF($G$1="鸣金",$AP188,$AN188)+IF($G$1="鸣金",$AQ188*1.5,0))*(1+$BA188)*(1+$BB188)+($BC188*IF($G$1="裂石",$AP188,$AN188)+IF($G$1="裂石",$AQ188*1.5,0))*(1+$BE188)*(1+$BF188)+($BG188*IF($G$1="牵丝",$AP188,$AN188)+IF($G$1="牵丝",$AQ188*1.5,0))*(1+$BI188)*(1+$BJ188)+($BK188*IF($G$1="破竹",$AP188,$AN188)+IF($G$1="破竹",$AQ188*1.5,0))*(1+$BM188)*(1+$BN188))*(1+$AR188))*$Q188*(1+IF(VLOOKUP($R188,武学奇术!$A:$ZZ,30,FALSE)="轻击",$B$21,0))*(1+IF(VLOOKUP($R188,武学奇术!$A:$ZZ,30,FALSE)="老鼠",$B$22,0))*(1+$BW188)*(1+$BX188)</f>
        <v>8888.5828784634</v>
      </c>
      <c r="Q188" s="36">
        <f t="shared" si="36"/>
        <v>1</v>
      </c>
      <c r="R188" s="37" t="s">
        <v>187</v>
      </c>
      <c r="S188" s="37" t="s">
        <v>91</v>
      </c>
      <c r="T188" s="37" t="s">
        <v>185</v>
      </c>
      <c r="U188" s="37" t="s">
        <v>81</v>
      </c>
      <c r="V188" s="37" t="s">
        <v>81</v>
      </c>
      <c r="W188" s="37" t="s">
        <v>82</v>
      </c>
      <c r="X188" s="37" t="s">
        <v>81</v>
      </c>
      <c r="Y188" s="37" t="s">
        <v>81</v>
      </c>
      <c r="Z188" s="37" t="s">
        <v>83</v>
      </c>
      <c r="AA188" s="37" t="s">
        <v>81</v>
      </c>
      <c r="AB188" s="37" t="s">
        <v>81</v>
      </c>
      <c r="AC188" s="37" t="s">
        <v>81</v>
      </c>
      <c r="AD188" s="37" t="s">
        <v>85</v>
      </c>
      <c r="AE188" s="37" t="s">
        <v>81</v>
      </c>
      <c r="AF188" s="37" t="s">
        <v>81</v>
      </c>
      <c r="AG188" s="37" t="s">
        <v>87</v>
      </c>
      <c r="AH188" s="37" t="s">
        <v>81</v>
      </c>
      <c r="AI188" s="37" t="s">
        <v>81</v>
      </c>
      <c r="AJ188" s="37" t="s">
        <v>81</v>
      </c>
      <c r="AK188" s="37" t="s">
        <v>81</v>
      </c>
      <c r="AL188" s="37" t="s">
        <v>81</v>
      </c>
      <c r="AM188" t="str">
        <f>VLOOKUP($R188,武学奇术!$A:$ZZ,25,FALSE)</f>
        <v>心法</v>
      </c>
      <c r="AN188" s="23">
        <f>VLOOKUP($R188,武学奇术!$A:$ZZ,26,FALSE)</f>
        <v>1</v>
      </c>
      <c r="AO188" s="24">
        <f>VLOOKUP($R188,武学奇术!$A:$ZZ,27,FALSE)*(1+IF(OR($AM188=$F$4,$AM188=$F$5),$B$23,0))</f>
        <v>0</v>
      </c>
      <c r="AP188" s="23">
        <f>VLOOKUP($R188,武学奇术!$A:$ZZ,28,FALSE)</f>
        <v>1</v>
      </c>
      <c r="AQ188" s="24">
        <f>VLOOKUP($R188,武学奇术!$A:$ZZ,29,FALSE)*(1+IF(OR($AM188=$F$4,$AM188=$F$5),$B$23,0))</f>
        <v>0</v>
      </c>
      <c r="AR188" s="23" cm="1">
        <f t="array" ref="AR188">$G$3+IFERROR(VLOOKUP($AM188,$F$4:$G$7,2,FALSE),0)+VLOOKUP($R188,武学奇术!$A:$ZZ,2,FALSE)+SUM(_xlfn.XLOOKUP($S188:$AL188,增益!$A:$A,增益!$B:$B,0))</f>
        <v>0.4042</v>
      </c>
      <c r="AS188" s="23" cm="1">
        <f t="array" ref="AS188">VLOOKUP($R188,武学奇术!$A:$ZZ,5,FALSE)+SUM(_xlfn.XLOOKUP($S188:$AL188,增益!$A:$A,增益!$E:$E,0))</f>
        <v>0</v>
      </c>
      <c r="AT188" cm="1">
        <f t="array" ref="AT188">$D$10*(1+$AS188)+VLOOKUP($R188,武学奇术!$A:$ZZ,3,FALSE)+SUM(_xlfn.XLOOKUP($S188:$AL188,增益!$A:$A,增益!$C:$C,0))-$I$2</f>
        <v>4013</v>
      </c>
      <c r="AU188" cm="1">
        <f t="array" ref="AU188">$E$10*(1+$AS188)+VLOOKUP($R188,武学奇术!$A:$ZZ,4,FALSE)+SUM(_xlfn.XLOOKUP($S188:$AL188,增益!$A:$A,增益!$D:$D,0))-$I$2</f>
        <v>4013</v>
      </c>
      <c r="AV188" s="29" cm="1">
        <f t="array" ref="AV188">IF($F$10-$I$3+VLOOKUP($R188,武学奇术!$A:$ZZ,6,FALSE)+SUM(_xlfn.XLOOKUP(S188:AL188,增益!$A:$A,增益!$F:$F,0))&gt;0,($F$10-$I$3+VLOOKUP($R188,武学奇术!$A:$ZZ,6,FALSE)+SUM(_xlfn.XLOOKUP(S188:AL188,增益!$A:$A,增益!$F:$F,0)))/200,($F$10-$I$3+VLOOKUP($R188,武学奇术!$A:$ZZ,6,FALSE)+SUM(_xlfn.XLOOKUP(S188:AL188,增益!$A:$A,增益!$F:$F,0)))/100)</f>
        <v>0.2439</v>
      </c>
      <c r="AW188" s="29" cm="1">
        <f t="array" ref="AW188">$G$10+VLOOKUP($R188,武学奇术!$A:$ZZ,7,FALSE)+SUM(_xlfn.XLOOKUP(S188:AL188,增益!$A:$A,增益!$G:$G,0))</f>
        <v>0</v>
      </c>
      <c r="AX188" s="23" cm="1">
        <f t="array" ref="AX188">VLOOKUP($R188,武学奇术!$A:$ZZ,8,FALSE)+SUM(_xlfn.XLOOKUP(S188:AL188,增益!$A:$A,增益!$H:$H,0))</f>
        <v>0</v>
      </c>
      <c r="AY188">
        <f t="shared" si="24"/>
        <v>0</v>
      </c>
      <c r="AZ188">
        <f t="shared" si="25"/>
        <v>0</v>
      </c>
      <c r="BA188" s="29" cm="1">
        <f t="array" ref="BA188">IF($F$11-$I$4+VLOOKUP($R188,武学奇术!$A:$ZZ,9,FALSE)+SUM(_xlfn.XLOOKUP(S188:AL188,增益!$A:$A,增益!$I:$I,0))&gt;0,($F$11-$I$4+VLOOKUP($R188,武学奇术!$A:$ZZ,9,FALSE)+SUM(_xlfn.XLOOKUP(S188:AL188,增益!$A:$A,增益!$I:$I,0)))/200,($F$11-$I$4+VLOOKUP($R188,武学奇术!$A:$ZZ,9,FALSE)+SUM(_xlfn.XLOOKUP(S188:AL188,增益!$A:$A,增益!$I:$I,0)))/100)</f>
        <v>-0.3</v>
      </c>
      <c r="BB188" s="29" cm="1">
        <f t="array" ref="BB188">$G$11+VLOOKUP($R188,武学奇术!$A:$ZZ,10,FALSE)+SUM(_xlfn.XLOOKUP(S188:AL188,增益!$A:$A,增益!$J:$J,0))</f>
        <v>0</v>
      </c>
      <c r="BC188">
        <f t="shared" si="26"/>
        <v>0</v>
      </c>
      <c r="BD188">
        <f t="shared" si="27"/>
        <v>0</v>
      </c>
      <c r="BE188" s="29" cm="1">
        <f t="array" ref="BE188">IF($F$12-$I$4+VLOOKUP($R188,武学奇术!$A:$ZZ,11,FALSE)+SUM(_xlfn.XLOOKUP(S188:AL188,增益!$A:$A,增益!$K:$K,0))&gt;0,($F$12-$I$4+VLOOKUP($R188,武学奇术!$A:$ZZ,11,FALSE)+SUM(_xlfn.XLOOKUP(S188:AL188,增益!$A:$A,增益!$K:$K,0)))/200,($F$12-$I$4+VLOOKUP($R188,武学奇术!$A:$ZZ,11,FALSE)+SUM(_xlfn.XLOOKUP(S188:AL188,增益!$A:$A,增益!$K:$K,0)))/100)</f>
        <v>-0.3</v>
      </c>
      <c r="BF188" s="29" cm="1">
        <f t="array" ref="BF188">$G$12+VLOOKUP($R188,武学奇术!$A:$ZZ,12,FALSE)+SUM(_xlfn.XLOOKUP(S188:AL188,增益!$A:$A,增益!$L:$L,0))</f>
        <v>0</v>
      </c>
      <c r="BG188">
        <f t="shared" si="28"/>
        <v>0</v>
      </c>
      <c r="BH188">
        <f t="shared" si="29"/>
        <v>0</v>
      </c>
      <c r="BI188" s="29" cm="1">
        <f t="array" ref="BI188">IF($F$13-$I$4+VLOOKUP($R188,武学奇术!$A:$ZZ,13,FALSE)+SUM(_xlfn.XLOOKUP(S188:AL188,增益!$A:$A,增益!$M:$M,0))&gt;0,($F$13-$I$4+VLOOKUP($R188,武学奇术!$A:$ZZ,13,FALSE)+SUM(_xlfn.XLOOKUP(S188:AL188,增益!$A:$A,增益!$K:$K,0)))/200,($F$13-$I$4+VLOOKUP($R188,武学奇术!$A:$ZZ,13,FALSE)+SUM(_xlfn.XLOOKUP(S188:AL188,增益!$A:$A,增益!$M:$M,0)))/100)</f>
        <v>-0.3</v>
      </c>
      <c r="BJ188" s="29" cm="1">
        <f t="array" ref="BJ188">$G$13+VLOOKUP($R188,武学奇术!$A:$ZZ,14,FALSE)+SUM(_xlfn.XLOOKUP(S188:AL188,增益!$A:$A,增益!$N:$N,0))</f>
        <v>0</v>
      </c>
      <c r="BK188">
        <f t="shared" si="30"/>
        <v>618.2</v>
      </c>
      <c r="BL188">
        <f t="shared" si="31"/>
        <v>1805</v>
      </c>
      <c r="BM188" s="29" cm="1">
        <f t="array" ref="BM188">IF($F$14-$I$4+VLOOKUP($R188,武学奇术!$A:$ZZ,15,FALSE)+SUM(_xlfn.XLOOKUP(S188:AL188,增益!$A:$A,增益!$O:$O,0))&gt;0,($F$14-$I$4+VLOOKUP($R188,武学奇术!$A:$ZZ,15,FALSE)+SUM(_xlfn.XLOOKUP(S188:AL188,增益!$A:$A,增益!$O:$O,0)))/200,($F$14-$I$4+VLOOKUP($R188,武学奇术!$A:$ZZ,15,FALSE)+SUM(_xlfn.XLOOKUP(S188:AL188,增益!$A:$A,增益!$O:$O,0)))/100)</f>
        <v>0</v>
      </c>
      <c r="BN188" s="29" cm="1">
        <f t="array" ref="BN188">$G$14+VLOOKUP($R188,武学奇术!$A:$ZZ,16,FALSE)+SUM(_xlfn.XLOOKUP(S188:AL188,增益!$A:$A,增益!$P:$P,0))</f>
        <v>0.15</v>
      </c>
      <c r="BO188" s="23">
        <f>MIN(IF(VLOOKUP($R188,武学奇术!$A:$ZZ,23,FALSE)=1,100%,$B$8),100%)</f>
        <v>0.9943</v>
      </c>
      <c r="BP188" s="23" cm="1">
        <f t="array" ref="BP188">IF(VLOOKUP($R188,武学奇术!$A:$ZZ,23,FALSE)=1,100%,MIN(80%,$B$9+VLOOKUP($R188,武学奇术!$A:$ZZ,17,FALSE)+SUM(_xlfn.XLOOKUP(S188:AL188,增益!$A:$A,增益!$Q:$Q,0)))+$B$11+SUM(_xlfn.XLOOKUP(S188:AL188,增益!$A:$A,增益!$U:$U,0)))*IF(VLOOKUP($R188,武学奇术!$A:$ZZ,24,FALSE)=1,0,1)</f>
        <v>0.887</v>
      </c>
      <c r="BQ188" s="23" cm="1">
        <f t="array" ref="BQ188">1+$B$13+VLOOKUP($R188,武学奇术!$A:$ZZ,18,FALSE)+SUM(_xlfn.XLOOKUP(S188:AL188,增益!$A:$A,增益!$R:$R,0))</f>
        <v>2.144</v>
      </c>
      <c r="BR188" s="23" cm="1">
        <f t="array" ref="BR188">IF(VLOOKUP($R188,武学奇术!$A:$ZZ,24,FALSE)=1,100%,MIN(40%,$B$10+VLOOKUP($R188,武学奇术!$A:$ZZ,19,FALSE)+SUM(_xlfn.XLOOKUP(S188:AL188,增益!$A:$A,增益!$S:$S,0)))+$B$12+SUM(_xlfn.XLOOKUP(S188:AL188,增益!$A:$A,增益!$V:$V,0)))*IF(VLOOKUP($R188,武学奇术!$A:$ZZ,23,FALSE)=1,0,1)</f>
        <v>0.0913</v>
      </c>
      <c r="BS188" s="23" cm="1">
        <f t="array" ref="BS188">1+$B$14+VLOOKUP($R188,武学奇术!$A:$ZZ,20,FALSE)+SUM(_xlfn.XLOOKUP(S188:AL188,增益!$A:$A,增益!$T:$T,0))</f>
        <v>1.35</v>
      </c>
      <c r="BT188" s="23">
        <f t="shared" si="32"/>
        <v>0.8819441</v>
      </c>
      <c r="BU188" s="23">
        <f t="shared" si="33"/>
        <v>0.0215763099999999</v>
      </c>
      <c r="BV188" s="23">
        <f>IF(VLOOKUP($R188,武学奇术!$A:$ZZ,22,FALSE)=1,0,(1-$BO188))*(1-$BR188)</f>
        <v>0.00517959000000003</v>
      </c>
      <c r="BW188" s="23" cm="1">
        <f t="array" ref="BW188">SUM(_xlfn.XLOOKUP(S188:AL188,增益!$A:$A,增益!$W:$W,0))+$I$5</f>
        <v>0.11</v>
      </c>
      <c r="BX188" s="23">
        <f>VLOOKUP($R188,武学奇术!$A:$ZZ,32,FALSE)</f>
        <v>0</v>
      </c>
      <c r="BY188" s="23" cm="1">
        <f t="array" ref="BY188">SUM(_xlfn.XLOOKUP($S188:$AL188,增益!$A:$A,增益!$X:$X,0))</f>
        <v>0</v>
      </c>
    </row>
    <row r="189" spans="11:77">
      <c r="K189" s="35">
        <f>$L189*VLOOKUP($R189,武学奇术!$A:$ZZ,31,FALSE)</f>
        <v>27129.6159461863</v>
      </c>
      <c r="L189" s="35">
        <f t="shared" si="35"/>
        <v>26597.6626923395</v>
      </c>
      <c r="M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BQ189*$Q189*(1+IF(VLOOKUP($R189,武学奇术!$A:$ZZ,30,FALSE)="轻击",$B$21,0))*(1+IF(VLOOKUP($R189,武学奇术!$A:$ZZ,30,FALSE)="老鼠",$B$22,0))*(1+$BW189)*(1+$BX189)</f>
        <v>28012.502027906</v>
      </c>
      <c r="N189" s="35">
        <f>((($AU189*$AN189+$AO189)*(1+$AV189)*(1+$AW189)+($AZ189*IF($G$1="鸣金",$AP189,$AN189)+IF($G$1="鸣金",$AQ189*1.5,0))*(1+$BA189)*(1+$BB189)+($BD189*IF($G$1="裂石",$AP189,$AN189)+IF($G$1="裂石",$AQ189*1.5,0))*(1+$BE189)*(1+$BF189)+($BH189*IF($G$1="牵丝",$AP189,$AN189)+IF($G$1="牵丝",$AQ189*1.5,0))*(1+$BI189)*(1+$BJ189)+($BL189*IF($G$1="破竹",$AP189,$AN189)+IF($G$1="破竹",$AQ189*1.5,0))*(1+$BM189)*(1+$BN189))*(1+$AR189)*$BS189*$Q189*(1+IF(VLOOKUP($R189,武学奇术!$A:$ZZ,30,FALSE)="轻击",$B$21,0))*(1+IF(VLOOKUP($R189,武学奇术!$A:$ZZ,30,FALSE)="老鼠",$B$22,0))*(1+$BW189))*(1+$BX189)</f>
        <v>17361.808939234</v>
      </c>
      <c r="O189" s="35">
        <f>((($AT189+$AU189)/2*$AN189+$AO189)*(1+$AV189)*(1+$AW189)+(($AY189+$AZ189)/2*IF($G$1="鸣金",$AP189,$AN189)+IF($G$1="鸣金",$AQ189*1.5,0))*(1+$BA189)*(1+$BB189)+(($BC189+$BD189)/2*IF($G$1="裂石",$AP189,$AN189)+IF($G$1="裂石",$AQ189*1.5,0))*(1+$BE189)*(1+$BF189)+(($BG189+$BH189)/2*IF($G$1="牵丝",$AP189,$AN189)+IF($G$1="牵丝",$AQ189*1.5,0))*(1+$BI189)*(1+$BJ189)+(($BK189+$BL189)/2*IF($G$1="破竹",$AP189,$AN189)+IF($G$1="破竹",$AQ189*1.5,0))*(1+$BM189)*(1+$BN189))*(1+$AR189)*$Q189*(1+IF(VLOOKUP($R189,武学奇术!$A:$ZZ,30,FALSE)="轻击",$B$21,0))*(1+IF(VLOOKUP($R189,武学奇术!$A:$ZZ,30,FALSE)="老鼠",$B$22,0))*(1+$BW189)*(1+$BX189)</f>
        <v>11701.1286666274</v>
      </c>
      <c r="P189" s="35">
        <f>((($AT189*$AN189+$AO189)*(1+$AV189)*(1+$AW189)+($AY189*IF($G$1="鸣金",$AP189,$AN189)+IF($G$1="鸣金",$AQ189*1.5,0))*(1+$BA189)*(1+$BB189)+($BC189*IF($G$1="裂石",$AP189,$AN189)+IF($G$1="裂石",$AQ189*1.5,0))*(1+$BE189)*(1+$BF189)+($BG189*IF($G$1="牵丝",$AP189,$AN189)+IF($G$1="牵丝",$AQ189*1.5,0))*(1+$BI189)*(1+$BJ189)+($BK189*IF($G$1="破竹",$AP189,$AN189)+IF($G$1="破竹",$AQ189*1.5,0))*(1+$BM189)*(1+$BN189))*(1+$AR189))*$Q189*(1+IF(VLOOKUP($R189,武学奇术!$A:$ZZ,30,FALSE)="轻击",$B$21,0))*(1+IF(VLOOKUP($R189,武学奇术!$A:$ZZ,30,FALSE)="老鼠",$B$22,0))*(1+$BW189)*(1+$BX189)</f>
        <v>10541.6581190074</v>
      </c>
      <c r="Q189" s="36">
        <f t="shared" si="36"/>
        <v>1</v>
      </c>
      <c r="R189" s="37" t="s">
        <v>187</v>
      </c>
      <c r="S189" s="37" t="s">
        <v>91</v>
      </c>
      <c r="T189" s="37" t="s">
        <v>185</v>
      </c>
      <c r="U189" s="37" t="s">
        <v>81</v>
      </c>
      <c r="V189" s="37" t="s">
        <v>81</v>
      </c>
      <c r="W189" s="37" t="s">
        <v>82</v>
      </c>
      <c r="X189" s="37" t="s">
        <v>81</v>
      </c>
      <c r="Y189" s="37" t="s">
        <v>81</v>
      </c>
      <c r="Z189" s="37" t="s">
        <v>83</v>
      </c>
      <c r="AA189" s="37" t="s">
        <v>81</v>
      </c>
      <c r="AB189" s="37" t="s">
        <v>183</v>
      </c>
      <c r="AC189" s="37" t="s">
        <v>81</v>
      </c>
      <c r="AD189" s="37" t="s">
        <v>85</v>
      </c>
      <c r="AE189" s="37" t="s">
        <v>86</v>
      </c>
      <c r="AF189" s="37" t="s">
        <v>81</v>
      </c>
      <c r="AG189" s="37" t="s">
        <v>87</v>
      </c>
      <c r="AH189" s="37" t="s">
        <v>81</v>
      </c>
      <c r="AI189" s="37" t="s">
        <v>81</v>
      </c>
      <c r="AJ189" s="37" t="s">
        <v>81</v>
      </c>
      <c r="AK189" s="37" t="s">
        <v>81</v>
      </c>
      <c r="AL189" s="37" t="s">
        <v>81</v>
      </c>
      <c r="AM189" t="str">
        <f>VLOOKUP($R189,武学奇术!$A:$ZZ,25,FALSE)</f>
        <v>心法</v>
      </c>
      <c r="AN189" s="23">
        <f>VLOOKUP($R189,武学奇术!$A:$ZZ,26,FALSE)</f>
        <v>1</v>
      </c>
      <c r="AO189" s="24">
        <f>VLOOKUP($R189,武学奇术!$A:$ZZ,27,FALSE)*(1+IF(OR($AM189=$F$4,$AM189=$F$5),$B$23,0))</f>
        <v>0</v>
      </c>
      <c r="AP189" s="23">
        <f>VLOOKUP($R189,武学奇术!$A:$ZZ,28,FALSE)</f>
        <v>1</v>
      </c>
      <c r="AQ189" s="24">
        <f>VLOOKUP($R189,武学奇术!$A:$ZZ,29,FALSE)*(1+IF(OR($AM189=$F$4,$AM189=$F$5),$B$23,0))</f>
        <v>0</v>
      </c>
      <c r="AR189" s="23" cm="1">
        <f t="array" ref="AR189">$G$3+IFERROR(VLOOKUP($AM189,$F$4:$G$7,2,FALSE),0)+VLOOKUP($R189,武学奇术!$A:$ZZ,2,FALSE)+SUM(_xlfn.XLOOKUP($S189:$AL189,增益!$A:$A,增益!$B:$B,0))</f>
        <v>0.4042</v>
      </c>
      <c r="AS189" s="23" cm="1">
        <f t="array" ref="AS189">VLOOKUP($R189,武学奇术!$A:$ZZ,5,FALSE)+SUM(_xlfn.XLOOKUP($S189:$AL189,增益!$A:$A,增益!$E:$E,0))</f>
        <v>0</v>
      </c>
      <c r="AT189" cm="1">
        <f t="array" ref="AT189">$D$10*(1+$AS189)+VLOOKUP($R189,武学奇术!$A:$ZZ,3,FALSE)+SUM(_xlfn.XLOOKUP($S189:$AL189,增益!$A:$A,增益!$C:$C,0))-$I$2</f>
        <v>4013</v>
      </c>
      <c r="AU189" cm="1">
        <f t="array" ref="AU189">$E$10*(1+$AS189)+VLOOKUP($R189,武学奇术!$A:$ZZ,4,FALSE)+SUM(_xlfn.XLOOKUP($S189:$AL189,增益!$A:$A,增益!$D:$D,0))-$I$2</f>
        <v>4013</v>
      </c>
      <c r="AV189" s="29" cm="1">
        <f t="array" ref="AV189">IF($F$10-$I$3+VLOOKUP($R189,武学奇术!$A:$ZZ,6,FALSE)+SUM(_xlfn.XLOOKUP(S189:AL189,增益!$A:$A,增益!$F:$F,0))&gt;0,($F$10-$I$3+VLOOKUP($R189,武学奇术!$A:$ZZ,6,FALSE)+SUM(_xlfn.XLOOKUP(S189:AL189,增益!$A:$A,增益!$F:$F,0)))/200,($F$10-$I$3+VLOOKUP($R189,武学奇术!$A:$ZZ,6,FALSE)+SUM(_xlfn.XLOOKUP(S189:AL189,增益!$A:$A,增益!$F:$F,0)))/100)</f>
        <v>0.3689</v>
      </c>
      <c r="AW189" s="29" cm="1">
        <f t="array" ref="AW189">$G$10+VLOOKUP($R189,武学奇术!$A:$ZZ,7,FALSE)+SUM(_xlfn.XLOOKUP(S189:AL189,增益!$A:$A,增益!$G:$G,0))</f>
        <v>0</v>
      </c>
      <c r="AX189" s="23" cm="1">
        <f t="array" ref="AX189">VLOOKUP($R189,武学奇术!$A:$ZZ,8,FALSE)+SUM(_xlfn.XLOOKUP(S189:AL189,增益!$A:$A,增益!$H:$H,0))</f>
        <v>0</v>
      </c>
      <c r="AY189">
        <f t="shared" si="24"/>
        <v>0</v>
      </c>
      <c r="AZ189">
        <f t="shared" si="25"/>
        <v>0</v>
      </c>
      <c r="BA189" s="29" cm="1">
        <f t="array" ref="BA189">IF($F$11-$I$4+VLOOKUP($R189,武学奇术!$A:$ZZ,9,FALSE)+SUM(_xlfn.XLOOKUP(S189:AL189,增益!$A:$A,增益!$I:$I,0))&gt;0,($F$11-$I$4+VLOOKUP($R189,武学奇术!$A:$ZZ,9,FALSE)+SUM(_xlfn.XLOOKUP(S189:AL189,增益!$A:$A,增益!$I:$I,0)))/200,($F$11-$I$4+VLOOKUP($R189,武学奇术!$A:$ZZ,9,FALSE)+SUM(_xlfn.XLOOKUP(S189:AL189,增益!$A:$A,增益!$I:$I,0)))/100)</f>
        <v>-0.3</v>
      </c>
      <c r="BB189" s="29" cm="1">
        <f t="array" ref="BB189">$G$11+VLOOKUP($R189,武学奇术!$A:$ZZ,10,FALSE)+SUM(_xlfn.XLOOKUP(S189:AL189,增益!$A:$A,增益!$J:$J,0))</f>
        <v>0</v>
      </c>
      <c r="BC189">
        <f t="shared" si="26"/>
        <v>0</v>
      </c>
      <c r="BD189">
        <f t="shared" si="27"/>
        <v>0</v>
      </c>
      <c r="BE189" s="29" cm="1">
        <f t="array" ref="BE189">IF($F$12-$I$4+VLOOKUP($R189,武学奇术!$A:$ZZ,11,FALSE)+SUM(_xlfn.XLOOKUP(S189:AL189,增益!$A:$A,增益!$K:$K,0))&gt;0,($F$12-$I$4+VLOOKUP($R189,武学奇术!$A:$ZZ,11,FALSE)+SUM(_xlfn.XLOOKUP(S189:AL189,增益!$A:$A,增益!$K:$K,0)))/200,($F$12-$I$4+VLOOKUP($R189,武学奇术!$A:$ZZ,11,FALSE)+SUM(_xlfn.XLOOKUP(S189:AL189,增益!$A:$A,增益!$K:$K,0)))/100)</f>
        <v>-0.3</v>
      </c>
      <c r="BF189" s="29" cm="1">
        <f t="array" ref="BF189">$G$12+VLOOKUP($R189,武学奇术!$A:$ZZ,12,FALSE)+SUM(_xlfn.XLOOKUP(S189:AL189,增益!$A:$A,增益!$L:$L,0))</f>
        <v>0</v>
      </c>
      <c r="BG189">
        <f t="shared" si="28"/>
        <v>0</v>
      </c>
      <c r="BH189">
        <f t="shared" si="29"/>
        <v>0</v>
      </c>
      <c r="BI189" s="29" cm="1">
        <f t="array" ref="BI189">IF($F$13-$I$4+VLOOKUP($R189,武学奇术!$A:$ZZ,13,FALSE)+SUM(_xlfn.XLOOKUP(S189:AL189,增益!$A:$A,增益!$M:$M,0))&gt;0,($F$13-$I$4+VLOOKUP($R189,武学奇术!$A:$ZZ,13,FALSE)+SUM(_xlfn.XLOOKUP(S189:AL189,增益!$A:$A,增益!$K:$K,0)))/200,($F$13-$I$4+VLOOKUP($R189,武学奇术!$A:$ZZ,13,FALSE)+SUM(_xlfn.XLOOKUP(S189:AL189,增益!$A:$A,增益!$M:$M,0)))/100)</f>
        <v>-0.3</v>
      </c>
      <c r="BJ189" s="29" cm="1">
        <f t="array" ref="BJ189">$G$13+VLOOKUP($R189,武学奇术!$A:$ZZ,14,FALSE)+SUM(_xlfn.XLOOKUP(S189:AL189,增益!$A:$A,增益!$N:$N,0))</f>
        <v>0</v>
      </c>
      <c r="BK189">
        <f t="shared" si="30"/>
        <v>618.2</v>
      </c>
      <c r="BL189">
        <f t="shared" si="31"/>
        <v>1805</v>
      </c>
      <c r="BM189" s="29" cm="1">
        <f t="array" ref="BM189">IF($F$14-$I$4+VLOOKUP($R189,武学奇术!$A:$ZZ,15,FALSE)+SUM(_xlfn.XLOOKUP(S189:AL189,增益!$A:$A,增益!$O:$O,0))&gt;0,($F$14-$I$4+VLOOKUP($R189,武学奇术!$A:$ZZ,15,FALSE)+SUM(_xlfn.XLOOKUP(S189:AL189,增益!$A:$A,增益!$O:$O,0)))/200,($F$14-$I$4+VLOOKUP($R189,武学奇术!$A:$ZZ,15,FALSE)+SUM(_xlfn.XLOOKUP(S189:AL189,增益!$A:$A,增益!$O:$O,0)))/100)</f>
        <v>0</v>
      </c>
      <c r="BN189" s="29" cm="1">
        <f t="array" ref="BN189">$G$14+VLOOKUP($R189,武学奇术!$A:$ZZ,16,FALSE)+SUM(_xlfn.XLOOKUP(S189:AL189,增益!$A:$A,增益!$P:$P,0))</f>
        <v>0.15</v>
      </c>
      <c r="BO189" s="23">
        <f>MIN(IF(VLOOKUP($R189,武学奇术!$A:$ZZ,23,FALSE)=1,100%,$B$8),100%)</f>
        <v>0.9943</v>
      </c>
      <c r="BP189" s="23" cm="1">
        <f t="array" ref="BP189">IF(VLOOKUP($R189,武学奇术!$A:$ZZ,23,FALSE)=1,100%,MIN(80%,$B$9+VLOOKUP($R189,武学奇术!$A:$ZZ,17,FALSE)+SUM(_xlfn.XLOOKUP(S189:AL189,增益!$A:$A,增益!$Q:$Q,0)))+$B$11+SUM(_xlfn.XLOOKUP(S189:AL189,增益!$A:$A,增益!$U:$U,0)))*IF(VLOOKUP($R189,武学奇术!$A:$ZZ,24,FALSE)=1,0,1)</f>
        <v>0.887</v>
      </c>
      <c r="BQ189" s="23" cm="1">
        <f t="array" ref="BQ189">1+$B$13+VLOOKUP($R189,武学奇术!$A:$ZZ,18,FALSE)+SUM(_xlfn.XLOOKUP(S189:AL189,增益!$A:$A,增益!$R:$R,0))</f>
        <v>2.394</v>
      </c>
      <c r="BR189" s="23" cm="1">
        <f t="array" ref="BR189">IF(VLOOKUP($R189,武学奇术!$A:$ZZ,24,FALSE)=1,100%,MIN(40%,$B$10+VLOOKUP($R189,武学奇术!$A:$ZZ,19,FALSE)+SUM(_xlfn.XLOOKUP(S189:AL189,增益!$A:$A,增益!$S:$S,0)))+$B$12+SUM(_xlfn.XLOOKUP(S189:AL189,增益!$A:$A,增益!$V:$V,0)))*IF(VLOOKUP($R189,武学奇术!$A:$ZZ,23,FALSE)=1,0,1)</f>
        <v>0.0913</v>
      </c>
      <c r="BS189" s="23" cm="1">
        <f t="array" ref="BS189">1+$B$14+VLOOKUP($R189,武学奇术!$A:$ZZ,20,FALSE)+SUM(_xlfn.XLOOKUP(S189:AL189,增益!$A:$A,增益!$T:$T,0))</f>
        <v>1.35</v>
      </c>
      <c r="BT189" s="23">
        <f t="shared" si="32"/>
        <v>0.8819441</v>
      </c>
      <c r="BU189" s="23">
        <f t="shared" si="33"/>
        <v>0.0215763099999999</v>
      </c>
      <c r="BV189" s="23">
        <f>IF(VLOOKUP($R189,武学奇术!$A:$ZZ,22,FALSE)=1,0,(1-$BO189))*(1-$BR189)</f>
        <v>0.00517959000000003</v>
      </c>
      <c r="BW189" s="23" cm="1">
        <f t="array" ref="BW189">SUM(_xlfn.XLOOKUP(S189:AL189,增益!$A:$A,增益!$W:$W,0))+$I$5</f>
        <v>0.21</v>
      </c>
      <c r="BX189" s="23">
        <f>VLOOKUP($R189,武学奇术!$A:$ZZ,32,FALSE)</f>
        <v>0</v>
      </c>
      <c r="BY189" s="23" cm="1">
        <f t="array" ref="BY189">SUM(_xlfn.XLOOKUP($S189:$AL189,增益!$A:$A,增益!$X:$X,0))</f>
        <v>0</v>
      </c>
    </row>
    <row r="190" spans="11:77">
      <c r="K190" s="35">
        <f>$L190*VLOOKUP($R190,武学奇术!$A:$ZZ,31,FALSE)</f>
        <v>14115.6771286815</v>
      </c>
      <c r="L190" s="35">
        <f t="shared" si="35"/>
        <v>13838.8991457662</v>
      </c>
      <c r="M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BQ190*$Q190*(1+IF(VLOOKUP($R190,武学奇术!$A:$ZZ,30,FALSE)="轻击",$B$21,0))*(1+IF(VLOOKUP($R190,武学奇术!$A:$ZZ,30,FALSE)="老鼠",$B$22,0))*(1+$BW190)*(1+$BX190)</f>
        <v>14613.6943449561</v>
      </c>
      <c r="N190" s="35">
        <f>((($AU190*$AN190+$AO190)*(1+$AV190)*(1+$AW190)+($AZ190*IF($G$1="鸣金",$AP190,$AN190)+IF($G$1="鸣金",$AQ190*1.5,0))*(1+$BA190)*(1+$BB190)+($BD190*IF($G$1="裂石",$AP190,$AN190)+IF($G$1="裂石",$AQ190*1.5,0))*(1+$BE190)*(1+$BF190)+($BH190*IF($G$1="牵丝",$AP190,$AN190)+IF($G$1="牵丝",$AQ190*1.5,0))*(1+$BI190)*(1+$BJ190)+($BL190*IF($G$1="破竹",$AP190,$AN190)+IF($G$1="破竹",$AQ190*1.5,0))*(1+$BM190)*(1+$BN190))*(1+$AR190)*$BS190*$Q190*(1+IF(VLOOKUP($R190,武学奇术!$A:$ZZ,30,FALSE)="轻击",$B$21,0))*(1+IF(VLOOKUP($R190,武学奇术!$A:$ZZ,30,FALSE)="老鼠",$B$22,0))*(1+$BW190))*(1+$BX190)</f>
        <v>13282.8305662171</v>
      </c>
      <c r="O190" s="35">
        <f>((($AT190+$AU190)/2*$AN190+$AO190)*(1+$AV190)*(1+$AW190)+(($AY190+$AZ190)/2*IF($G$1="鸣金",$AP190,$AN190)+IF($G$1="鸣金",$AQ190*1.5,0))*(1+$BA190)*(1+$BB190)+(($BC190+$BD190)/2*IF($G$1="裂石",$AP190,$AN190)+IF($G$1="裂石",$AQ190*1.5,0))*(1+$BE190)*(1+$BF190)+(($BG190+$BH190)/2*IF($G$1="牵丝",$AP190,$AN190)+IF($G$1="牵丝",$AQ190*1.5,0))*(1+$BI190)*(1+$BJ190)+(($BK190+$BL190)/2*IF($G$1="破竹",$AP190,$AN190)+IF($G$1="破竹",$AQ190*1.5,0))*(1+$BM190)*(1+$BN190))*(1+$AR190)*$Q190*(1+IF(VLOOKUP($R190,武学奇术!$A:$ZZ,30,FALSE)="轻击",$B$21,0))*(1+IF(VLOOKUP($R190,武学奇术!$A:$ZZ,30,FALSE)="老鼠",$B$22,0))*(1+$BW190)*(1+$BX190)</f>
        <v>8889.1084823334</v>
      </c>
      <c r="P190" s="35">
        <f>((($AT190*$AN190+$AO190)*(1+$AV190)*(1+$AW190)+($AY190*IF($G$1="鸣金",$AP190,$AN190)+IF($G$1="鸣金",$AQ190*1.5,0))*(1+$BA190)*(1+$BB190)+($BC190*IF($G$1="裂石",$AP190,$AN190)+IF($G$1="裂石",$AQ190*1.5,0))*(1+$BE190)*(1+$BF190)+($BG190*IF($G$1="牵丝",$AP190,$AN190)+IF($G$1="牵丝",$AQ190*1.5,0))*(1+$BI190)*(1+$BJ190)+($BK190*IF($G$1="破竹",$AP190,$AN190)+IF($G$1="破竹",$AQ190*1.5,0))*(1+$BM190)*(1+$BN190))*(1+$AR190))*$Q190*(1+IF(VLOOKUP($R190,武学奇术!$A:$ZZ,30,FALSE)="轻击",$B$21,0))*(1+IF(VLOOKUP($R190,武学奇术!$A:$ZZ,30,FALSE)="老鼠",$B$22,0))*(1+$BW190)*(1+$BX190)</f>
        <v>7939.0832119134</v>
      </c>
      <c r="Q190" s="36">
        <f t="shared" si="36"/>
        <v>1</v>
      </c>
      <c r="R190" s="37" t="s">
        <v>187</v>
      </c>
      <c r="S190" s="37" t="s">
        <v>91</v>
      </c>
      <c r="T190" s="37" t="s">
        <v>185</v>
      </c>
      <c r="U190" s="37" t="s">
        <v>81</v>
      </c>
      <c r="V190" s="37" t="s">
        <v>81</v>
      </c>
      <c r="W190" s="37" t="s">
        <v>82</v>
      </c>
      <c r="X190" s="37" t="s">
        <v>81</v>
      </c>
      <c r="Y190" s="37" t="s">
        <v>81</v>
      </c>
      <c r="Z190" s="37" t="s">
        <v>81</v>
      </c>
      <c r="AA190" s="37" t="s">
        <v>81</v>
      </c>
      <c r="AB190" s="37" t="s">
        <v>81</v>
      </c>
      <c r="AC190" s="37" t="s">
        <v>81</v>
      </c>
      <c r="AD190" s="37" t="s">
        <v>81</v>
      </c>
      <c r="AE190" s="37" t="s">
        <v>81</v>
      </c>
      <c r="AF190" s="37" t="s">
        <v>81</v>
      </c>
      <c r="AG190" s="37" t="s">
        <v>87</v>
      </c>
      <c r="AH190" s="37" t="s">
        <v>81</v>
      </c>
      <c r="AI190" s="37" t="s">
        <v>81</v>
      </c>
      <c r="AJ190" s="37" t="s">
        <v>81</v>
      </c>
      <c r="AK190" s="37" t="s">
        <v>81</v>
      </c>
      <c r="AL190" s="37" t="s">
        <v>81</v>
      </c>
      <c r="AM190" t="str">
        <f>VLOOKUP($R190,武学奇术!$A:$ZZ,25,FALSE)</f>
        <v>心法</v>
      </c>
      <c r="AN190" s="23">
        <f>VLOOKUP($R190,武学奇术!$A:$ZZ,26,FALSE)</f>
        <v>1</v>
      </c>
      <c r="AO190" s="24">
        <f>VLOOKUP($R190,武学奇术!$A:$ZZ,27,FALSE)*(1+IF(OR($AM190=$F$4,$AM190=$F$5),$B$23,0))</f>
        <v>0</v>
      </c>
      <c r="AP190" s="23">
        <f>VLOOKUP($R190,武学奇术!$A:$ZZ,28,FALSE)</f>
        <v>1</v>
      </c>
      <c r="AQ190" s="24">
        <f>VLOOKUP($R190,武学奇术!$A:$ZZ,29,FALSE)*(1+IF(OR($AM190=$F$4,$AM190=$F$5),$B$23,0))</f>
        <v>0</v>
      </c>
      <c r="AR190" s="23" cm="1">
        <f t="array" ref="AR190">$G$3+IFERROR(VLOOKUP($AM190,$F$4:$G$7,2,FALSE),0)+VLOOKUP($R190,武学奇术!$A:$ZZ,2,FALSE)+SUM(_xlfn.XLOOKUP($S190:$AL190,增益!$A:$A,增益!$B:$B,0))</f>
        <v>0.2542</v>
      </c>
      <c r="AS190" s="23" cm="1">
        <f t="array" ref="AS190">VLOOKUP($R190,武学奇术!$A:$ZZ,5,FALSE)+SUM(_xlfn.XLOOKUP($S190:$AL190,增益!$A:$A,增益!$E:$E,0))</f>
        <v>0</v>
      </c>
      <c r="AT190" cm="1">
        <f t="array" ref="AT190">$D$10*(1+$AS190)+VLOOKUP($R190,武学奇术!$A:$ZZ,3,FALSE)+SUM(_xlfn.XLOOKUP($S190:$AL190,增益!$A:$A,增益!$C:$C,0))-$I$2</f>
        <v>4013</v>
      </c>
      <c r="AU190" cm="1">
        <f t="array" ref="AU190">$E$10*(1+$AS190)+VLOOKUP($R190,武学奇术!$A:$ZZ,4,FALSE)+SUM(_xlfn.XLOOKUP($S190:$AL190,增益!$A:$A,增益!$D:$D,0))-$I$2</f>
        <v>4013</v>
      </c>
      <c r="AV190" s="29" cm="1">
        <f t="array" ref="AV190">IF($F$10-$I$3+VLOOKUP($R190,武学奇术!$A:$ZZ,6,FALSE)+SUM(_xlfn.XLOOKUP(S190:AL190,增益!$A:$A,增益!$F:$F,0))&gt;0,($F$10-$I$3+VLOOKUP($R190,武学奇术!$A:$ZZ,6,FALSE)+SUM(_xlfn.XLOOKUP(S190:AL190,增益!$A:$A,增益!$F:$F,0)))/200,($F$10-$I$3+VLOOKUP($R190,武学奇术!$A:$ZZ,6,FALSE)+SUM(_xlfn.XLOOKUP(S190:AL190,增益!$A:$A,增益!$F:$F,0)))/100)</f>
        <v>0.2439</v>
      </c>
      <c r="AW190" s="29" cm="1">
        <f t="array" ref="AW190">$G$10+VLOOKUP($R190,武学奇术!$A:$ZZ,7,FALSE)+SUM(_xlfn.XLOOKUP(S190:AL190,增益!$A:$A,增益!$G:$G,0))</f>
        <v>0</v>
      </c>
      <c r="AX190" s="23" cm="1">
        <f t="array" ref="AX190">VLOOKUP($R190,武学奇术!$A:$ZZ,8,FALSE)+SUM(_xlfn.XLOOKUP(S190:AL190,增益!$A:$A,增益!$H:$H,0))</f>
        <v>0</v>
      </c>
      <c r="AY190">
        <f t="shared" si="24"/>
        <v>0</v>
      </c>
      <c r="AZ190">
        <f t="shared" si="25"/>
        <v>0</v>
      </c>
      <c r="BA190" s="29" cm="1">
        <f t="array" ref="BA190">IF($F$11-$I$4+VLOOKUP($R190,武学奇术!$A:$ZZ,9,FALSE)+SUM(_xlfn.XLOOKUP(S190:AL190,增益!$A:$A,增益!$I:$I,0))&gt;0,($F$11-$I$4+VLOOKUP($R190,武学奇术!$A:$ZZ,9,FALSE)+SUM(_xlfn.XLOOKUP(S190:AL190,增益!$A:$A,增益!$I:$I,0)))/200,($F$11-$I$4+VLOOKUP($R190,武学奇术!$A:$ZZ,9,FALSE)+SUM(_xlfn.XLOOKUP(S190:AL190,增益!$A:$A,增益!$I:$I,0)))/100)</f>
        <v>-0.3</v>
      </c>
      <c r="BB190" s="29" cm="1">
        <f t="array" ref="BB190">$G$11+VLOOKUP($R190,武学奇术!$A:$ZZ,10,FALSE)+SUM(_xlfn.XLOOKUP(S190:AL190,增益!$A:$A,增益!$J:$J,0))</f>
        <v>0</v>
      </c>
      <c r="BC190">
        <f t="shared" si="26"/>
        <v>0</v>
      </c>
      <c r="BD190">
        <f t="shared" si="27"/>
        <v>0</v>
      </c>
      <c r="BE190" s="29" cm="1">
        <f t="array" ref="BE190">IF($F$12-$I$4+VLOOKUP($R190,武学奇术!$A:$ZZ,11,FALSE)+SUM(_xlfn.XLOOKUP(S190:AL190,增益!$A:$A,增益!$K:$K,0))&gt;0,($F$12-$I$4+VLOOKUP($R190,武学奇术!$A:$ZZ,11,FALSE)+SUM(_xlfn.XLOOKUP(S190:AL190,增益!$A:$A,增益!$K:$K,0)))/200,($F$12-$I$4+VLOOKUP($R190,武学奇术!$A:$ZZ,11,FALSE)+SUM(_xlfn.XLOOKUP(S190:AL190,增益!$A:$A,增益!$K:$K,0)))/100)</f>
        <v>-0.3</v>
      </c>
      <c r="BF190" s="29" cm="1">
        <f t="array" ref="BF190">$G$12+VLOOKUP($R190,武学奇术!$A:$ZZ,12,FALSE)+SUM(_xlfn.XLOOKUP(S190:AL190,增益!$A:$A,增益!$L:$L,0))</f>
        <v>0</v>
      </c>
      <c r="BG190">
        <f t="shared" si="28"/>
        <v>0</v>
      </c>
      <c r="BH190">
        <f t="shared" si="29"/>
        <v>0</v>
      </c>
      <c r="BI190" s="29" cm="1">
        <f t="array" ref="BI190">IF($F$13-$I$4+VLOOKUP($R190,武学奇术!$A:$ZZ,13,FALSE)+SUM(_xlfn.XLOOKUP(S190:AL190,增益!$A:$A,增益!$M:$M,0))&gt;0,($F$13-$I$4+VLOOKUP($R190,武学奇术!$A:$ZZ,13,FALSE)+SUM(_xlfn.XLOOKUP(S190:AL190,增益!$A:$A,增益!$K:$K,0)))/200,($F$13-$I$4+VLOOKUP($R190,武学奇术!$A:$ZZ,13,FALSE)+SUM(_xlfn.XLOOKUP(S190:AL190,增益!$A:$A,增益!$M:$M,0)))/100)</f>
        <v>-0.3</v>
      </c>
      <c r="BJ190" s="29" cm="1">
        <f t="array" ref="BJ190">$G$13+VLOOKUP($R190,武学奇术!$A:$ZZ,14,FALSE)+SUM(_xlfn.XLOOKUP(S190:AL190,增益!$A:$A,增益!$N:$N,0))</f>
        <v>0</v>
      </c>
      <c r="BK190">
        <f t="shared" si="30"/>
        <v>618.2</v>
      </c>
      <c r="BL190">
        <f t="shared" si="31"/>
        <v>1805</v>
      </c>
      <c r="BM190" s="29" cm="1">
        <f t="array" ref="BM190">IF($F$14-$I$4+VLOOKUP($R190,武学奇术!$A:$ZZ,15,FALSE)+SUM(_xlfn.XLOOKUP(S190:AL190,增益!$A:$A,增益!$O:$O,0))&gt;0,($F$14-$I$4+VLOOKUP($R190,武学奇术!$A:$ZZ,15,FALSE)+SUM(_xlfn.XLOOKUP(S190:AL190,增益!$A:$A,增益!$O:$O,0)))/200,($F$14-$I$4+VLOOKUP($R190,武学奇术!$A:$ZZ,15,FALSE)+SUM(_xlfn.XLOOKUP(S190:AL190,增益!$A:$A,增益!$O:$O,0)))/100)</f>
        <v>0</v>
      </c>
      <c r="BN190" s="29" cm="1">
        <f t="array" ref="BN190">$G$14+VLOOKUP($R190,武学奇术!$A:$ZZ,16,FALSE)+SUM(_xlfn.XLOOKUP(S190:AL190,增益!$A:$A,增益!$P:$P,0))</f>
        <v>0.15</v>
      </c>
      <c r="BO190" s="23">
        <f>MIN(IF(VLOOKUP($R190,武学奇术!$A:$ZZ,23,FALSE)=1,100%,$B$8),100%)</f>
        <v>0.9943</v>
      </c>
      <c r="BP190" s="23" cm="1">
        <f t="array" ref="BP190">IF(VLOOKUP($R190,武学奇术!$A:$ZZ,23,FALSE)=1,100%,MIN(80%,$B$9+VLOOKUP($R190,武学奇术!$A:$ZZ,17,FALSE)+SUM(_xlfn.XLOOKUP(S190:AL190,增益!$A:$A,增益!$Q:$Q,0)))+$B$11+SUM(_xlfn.XLOOKUP(S190:AL190,增益!$A:$A,增益!$U:$U,0)))*IF(VLOOKUP($R190,武学奇术!$A:$ZZ,24,FALSE)=1,0,1)</f>
        <v>0.8</v>
      </c>
      <c r="BQ190" s="23" cm="1">
        <f t="array" ref="BQ190">1+$B$13+VLOOKUP($R190,武学奇术!$A:$ZZ,18,FALSE)+SUM(_xlfn.XLOOKUP(S190:AL190,增益!$A:$A,增益!$R:$R,0))</f>
        <v>1.644</v>
      </c>
      <c r="BR190" s="23" cm="1">
        <f t="array" ref="BR190">IF(VLOOKUP($R190,武学奇术!$A:$ZZ,24,FALSE)=1,100%,MIN(40%,$B$10+VLOOKUP($R190,武学奇术!$A:$ZZ,19,FALSE)+SUM(_xlfn.XLOOKUP(S190:AL190,增益!$A:$A,增益!$S:$S,0)))+$B$12+SUM(_xlfn.XLOOKUP(S190:AL190,增益!$A:$A,增益!$V:$V,0)))*IF(VLOOKUP($R190,武学奇术!$A:$ZZ,23,FALSE)=1,0,1)</f>
        <v>0.0913</v>
      </c>
      <c r="BS190" s="23" cm="1">
        <f t="array" ref="BS190">1+$B$14+VLOOKUP($R190,武学奇术!$A:$ZZ,20,FALSE)+SUM(_xlfn.XLOOKUP(S190:AL190,增益!$A:$A,增益!$T:$T,0))</f>
        <v>1.35</v>
      </c>
      <c r="BT190" s="23">
        <f t="shared" si="32"/>
        <v>0.79544</v>
      </c>
      <c r="BU190" s="23">
        <f t="shared" si="33"/>
        <v>0.10808041</v>
      </c>
      <c r="BV190" s="23">
        <f>IF(VLOOKUP($R190,武学奇术!$A:$ZZ,22,FALSE)=1,0,(1-$BO190))*(1-$BR190)</f>
        <v>0.00517959000000003</v>
      </c>
      <c r="BW190" s="23" cm="1">
        <f t="array" ref="BW190">SUM(_xlfn.XLOOKUP(S190:AL190,增益!$A:$A,增益!$W:$W,0))+$I$5</f>
        <v>0.11</v>
      </c>
      <c r="BX190" s="23">
        <f>VLOOKUP($R190,武学奇术!$A:$ZZ,32,FALSE)</f>
        <v>0</v>
      </c>
      <c r="BY190" s="23" cm="1">
        <f t="array" ref="BY190">SUM(_xlfn.XLOOKUP($S190:$AL190,增益!$A:$A,增益!$X:$X,0))</f>
        <v>0</v>
      </c>
    </row>
  </sheetData>
  <mergeCells count="16">
    <mergeCell ref="H1:I1"/>
    <mergeCell ref="C8:G8"/>
    <mergeCell ref="C15:D15"/>
    <mergeCell ref="E21:F21"/>
    <mergeCell ref="E22:F22"/>
    <mergeCell ref="A24:A25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"燕归"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90">
      <formula1>武学奇术!$A:$A</formula1>
    </dataValidation>
    <dataValidation type="list" allowBlank="1" showInputMessage="1" showErrorMessage="1" sqref="S2:AL190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C37" sqref="C37"/>
    </sheetView>
  </sheetViews>
  <sheetFormatPr defaultColWidth="9" defaultRowHeight="13.5"/>
  <cols>
    <col min="1" max="1" width="21.5" customWidth="1"/>
    <col min="2" max="2" width="9.00833333333333" customWidth="1"/>
    <col min="17" max="17" width="9" style="23"/>
    <col min="26" max="26" width="9.375" style="23"/>
    <col min="27" max="27" width="9" style="24"/>
    <col min="28" max="28" width="9.375" style="23"/>
    <col min="29" max="29" width="9" style="24"/>
  </cols>
  <sheetData>
    <row r="1" spans="1:32">
      <c r="B1" t="s">
        <v>40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3" t="s">
        <v>110</v>
      </c>
      <c r="R1" t="s">
        <v>194</v>
      </c>
      <c r="S1" t="s">
        <v>114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35</v>
      </c>
      <c r="Z1" s="23" t="s">
        <v>36</v>
      </c>
      <c r="AA1" s="24" t="s">
        <v>37</v>
      </c>
      <c r="AB1" s="23" t="s">
        <v>38</v>
      </c>
      <c r="AC1" s="24" t="s">
        <v>39</v>
      </c>
      <c r="AD1" t="s">
        <v>200</v>
      </c>
      <c r="AF1" t="s">
        <v>72</v>
      </c>
    </row>
    <row r="2" spans="1:32">
      <c r="A2" t="s">
        <v>111</v>
      </c>
      <c r="B2" s="25">
        <v>0.12</v>
      </c>
      <c r="G2" s="25"/>
      <c r="P2" s="25"/>
      <c r="Y2" t="s">
        <v>93</v>
      </c>
      <c r="Z2" s="26">
        <v>0.4205</v>
      </c>
      <c r="AA2" s="27">
        <v>117</v>
      </c>
      <c r="AB2" s="26">
        <v>0.6307</v>
      </c>
      <c r="AC2" s="27">
        <v>64</v>
      </c>
      <c r="AD2" t="s">
        <v>201</v>
      </c>
      <c r="AE2">
        <v>1.12</v>
      </c>
      <c r="AF2" s="25">
        <v>0.1</v>
      </c>
    </row>
    <row r="3" spans="1:32">
      <c r="A3" t="s">
        <v>116</v>
      </c>
      <c r="B3" s="25">
        <v>0.12</v>
      </c>
      <c r="G3" s="25"/>
      <c r="P3" s="25"/>
      <c r="R3" s="25"/>
      <c r="Y3" t="s">
        <v>93</v>
      </c>
      <c r="Z3" s="26">
        <v>0.4508</v>
      </c>
      <c r="AA3" s="27">
        <v>126</v>
      </c>
      <c r="AB3" s="26">
        <v>0.6763</v>
      </c>
      <c r="AC3" s="27">
        <v>68</v>
      </c>
      <c r="AD3" t="s">
        <v>201</v>
      </c>
      <c r="AE3">
        <v>1.12</v>
      </c>
      <c r="AF3" s="25">
        <v>0.1</v>
      </c>
    </row>
    <row r="4" customFormat="1" spans="1:32">
      <c r="A4" t="s">
        <v>120</v>
      </c>
      <c r="B4" s="25">
        <v>0.12</v>
      </c>
      <c r="G4" s="25"/>
      <c r="P4" s="25"/>
      <c r="Q4" s="23"/>
      <c r="R4"/>
      <c r="Y4" t="s">
        <v>93</v>
      </c>
      <c r="Z4" s="26">
        <v>0.5772</v>
      </c>
      <c r="AA4" s="27">
        <v>161</v>
      </c>
      <c r="AB4" s="26">
        <v>0.8658</v>
      </c>
      <c r="AC4" s="27">
        <v>87</v>
      </c>
      <c r="AD4" t="s">
        <v>201</v>
      </c>
      <c r="AE4">
        <v>1.12</v>
      </c>
      <c r="AF4" s="25">
        <v>0.1</v>
      </c>
    </row>
    <row r="5" customFormat="1" spans="1:32">
      <c r="A5" t="s">
        <v>202</v>
      </c>
      <c r="B5" s="25">
        <v>0.12</v>
      </c>
      <c r="G5" s="25"/>
      <c r="P5" s="25"/>
      <c r="Q5" s="23"/>
      <c r="R5" s="25"/>
      <c r="Y5" t="s">
        <v>93</v>
      </c>
      <c r="Z5" s="26">
        <v>0.5082</v>
      </c>
      <c r="AA5" s="27">
        <v>142</v>
      </c>
      <c r="AB5" s="26">
        <v>0.7623</v>
      </c>
      <c r="AC5" s="27">
        <v>77</v>
      </c>
      <c r="AD5" t="s">
        <v>201</v>
      </c>
      <c r="AE5">
        <v>1.12</v>
      </c>
      <c r="AF5" s="25">
        <v>0.1</v>
      </c>
    </row>
    <row r="6" customFormat="1" spans="1:32">
      <c r="A6" t="s">
        <v>139</v>
      </c>
      <c r="B6" s="25">
        <v>0.12</v>
      </c>
      <c r="Q6" s="23"/>
      <c r="R6" s="25"/>
      <c r="Y6" t="s">
        <v>93</v>
      </c>
      <c r="Z6" s="26">
        <v>0.6472</v>
      </c>
      <c r="AA6" s="27">
        <v>180</v>
      </c>
      <c r="AB6" s="26">
        <v>0.9708</v>
      </c>
      <c r="AC6" s="27">
        <v>98</v>
      </c>
      <c r="AD6" t="s">
        <v>201</v>
      </c>
      <c r="AE6">
        <v>1.12</v>
      </c>
      <c r="AF6" s="25">
        <v>0.1</v>
      </c>
    </row>
    <row r="7" customFormat="1" spans="1:32">
      <c r="A7" t="s">
        <v>143</v>
      </c>
      <c r="B7" s="25">
        <v>0.12</v>
      </c>
      <c r="Q7" s="23"/>
      <c r="R7" s="25"/>
      <c r="Y7" t="s">
        <v>93</v>
      </c>
      <c r="Z7" s="26">
        <v>0.9012</v>
      </c>
      <c r="AA7" s="27">
        <v>250</v>
      </c>
      <c r="AB7" s="26">
        <v>1.3518</v>
      </c>
      <c r="AC7" s="27">
        <v>136</v>
      </c>
      <c r="AD7" t="s">
        <v>201</v>
      </c>
      <c r="AE7">
        <v>1.12</v>
      </c>
      <c r="AF7" s="25">
        <v>0.1</v>
      </c>
    </row>
    <row r="8" customFormat="1" spans="1:32">
      <c r="A8" t="s">
        <v>148</v>
      </c>
      <c r="B8" s="25">
        <v>0.12</v>
      </c>
      <c r="Q8" s="23"/>
      <c r="R8" s="25"/>
      <c r="Y8" t="s">
        <v>93</v>
      </c>
      <c r="Z8" s="26">
        <v>1.4455</v>
      </c>
      <c r="AA8" s="27">
        <v>401</v>
      </c>
      <c r="AB8" s="26">
        <v>2.1683</v>
      </c>
      <c r="AC8" s="27">
        <v>218</v>
      </c>
      <c r="AD8" t="s">
        <v>201</v>
      </c>
      <c r="AE8">
        <v>1.12</v>
      </c>
      <c r="AF8" s="25">
        <v>0.1</v>
      </c>
    </row>
    <row r="9" customFormat="1" spans="1:32">
      <c r="A9" t="s">
        <v>153</v>
      </c>
      <c r="B9" s="25">
        <v>0.12</v>
      </c>
      <c r="Q9" s="23"/>
      <c r="R9" s="25"/>
      <c r="Y9" t="s">
        <v>93</v>
      </c>
      <c r="Z9" s="26">
        <v>1.7358</v>
      </c>
      <c r="AA9" s="27">
        <v>481</v>
      </c>
      <c r="AB9" s="26">
        <v>2.6037</v>
      </c>
      <c r="AC9" s="27">
        <v>262</v>
      </c>
      <c r="AD9" t="s">
        <v>201</v>
      </c>
      <c r="AE9">
        <v>1.12</v>
      </c>
      <c r="AF9" s="25">
        <v>0.1</v>
      </c>
    </row>
    <row r="10" customFormat="1" spans="1:32">
      <c r="A10" t="s">
        <v>158</v>
      </c>
      <c r="B10" s="25">
        <v>0.12</v>
      </c>
      <c r="Q10" s="23"/>
      <c r="R10" s="25"/>
      <c r="Y10" t="s">
        <v>93</v>
      </c>
      <c r="Z10" s="26">
        <v>2.5342</v>
      </c>
      <c r="AA10" s="27">
        <v>702</v>
      </c>
      <c r="AB10" s="26">
        <v>3.8012</v>
      </c>
      <c r="AC10" s="27">
        <v>382</v>
      </c>
      <c r="AD10" t="s">
        <v>201</v>
      </c>
      <c r="AE10">
        <v>1.12</v>
      </c>
      <c r="AF10" s="25">
        <v>0.1</v>
      </c>
    </row>
    <row r="11" customFormat="1" spans="1:32">
      <c r="A11" t="s">
        <v>160</v>
      </c>
      <c r="B11" s="25"/>
      <c r="Q11" s="23"/>
      <c r="R11" s="25"/>
      <c r="Y11" t="s">
        <v>93</v>
      </c>
      <c r="Z11" s="23">
        <v>1.3548</v>
      </c>
      <c r="AA11" s="24">
        <v>376</v>
      </c>
      <c r="AB11" s="23">
        <v>2.0322</v>
      </c>
      <c r="AC11" s="24">
        <v>205</v>
      </c>
      <c r="AE11">
        <v>1.02</v>
      </c>
    </row>
    <row r="12" customFormat="1" spans="1:32">
      <c r="A12" t="s">
        <v>123</v>
      </c>
      <c r="B12" s="25"/>
      <c r="Q12" s="23"/>
      <c r="R12" s="25"/>
      <c r="Y12" t="s">
        <v>93</v>
      </c>
      <c r="Z12" s="23">
        <v>0.8267</v>
      </c>
      <c r="AA12" s="24">
        <v>229</v>
      </c>
      <c r="AB12" s="23">
        <v>1.24</v>
      </c>
      <c r="AC12" s="24">
        <v>125</v>
      </c>
      <c r="AE12">
        <v>1.02</v>
      </c>
    </row>
    <row r="13" customFormat="1" spans="1:32">
      <c r="A13" t="s">
        <v>128</v>
      </c>
      <c r="B13" s="25"/>
      <c r="G13" s="25"/>
      <c r="P13" s="25"/>
      <c r="Q13" s="23"/>
      <c r="R13" s="25"/>
      <c r="Y13" t="s">
        <v>93</v>
      </c>
      <c r="Z13" s="23">
        <v>2.4761</v>
      </c>
      <c r="AA13" s="24">
        <v>685</v>
      </c>
      <c r="AB13" s="23">
        <v>3.7142</v>
      </c>
      <c r="AC13" s="24">
        <v>373</v>
      </c>
      <c r="AE13">
        <v>1.02</v>
      </c>
    </row>
    <row r="14" customFormat="1" spans="1:32">
      <c r="A14" t="s">
        <v>106</v>
      </c>
      <c r="B14" s="25">
        <v>0.92</v>
      </c>
      <c r="G14" s="25">
        <v>0.21</v>
      </c>
      <c r="P14" s="25">
        <v>0.21</v>
      </c>
      <c r="Q14" s="23"/>
      <c r="R14" s="25"/>
      <c r="Y14" t="s">
        <v>97</v>
      </c>
      <c r="Z14" s="23">
        <f>35%*1.05</f>
        <v>0.3675</v>
      </c>
      <c r="AA14" s="24"/>
      <c r="AB14" s="23">
        <f t="shared" ref="AB14:AB32" si="0">Z14*1.5</f>
        <v>0.55125</v>
      </c>
      <c r="AC14" s="24"/>
      <c r="AD14" t="s">
        <v>106</v>
      </c>
      <c r="AE14">
        <v>1.02</v>
      </c>
    </row>
    <row r="15" customFormat="1" spans="1:32">
      <c r="A15" t="s">
        <v>102</v>
      </c>
      <c r="B15" s="25"/>
      <c r="Q15" s="23"/>
      <c r="R15" s="25"/>
      <c r="Y15" t="s">
        <v>97</v>
      </c>
      <c r="Z15" s="26">
        <v>0.0621</v>
      </c>
      <c r="AA15" s="27">
        <v>17</v>
      </c>
      <c r="AB15" s="26">
        <v>0.0932</v>
      </c>
      <c r="AC15" s="24">
        <v>9</v>
      </c>
      <c r="AE15">
        <v>1.02</v>
      </c>
    </row>
    <row r="16" customFormat="1" spans="1:32">
      <c r="A16" t="s">
        <v>177</v>
      </c>
      <c r="B16" s="25"/>
      <c r="Q16" s="23"/>
      <c r="R16" s="25"/>
      <c r="Y16" t="s">
        <v>203</v>
      </c>
      <c r="Z16" s="23">
        <v>0</v>
      </c>
      <c r="AA16" s="24">
        <v>0</v>
      </c>
      <c r="AB16" s="23">
        <v>0</v>
      </c>
      <c r="AC16" s="24">
        <v>0</v>
      </c>
      <c r="AE16">
        <v>0.51</v>
      </c>
    </row>
    <row r="17" customFormat="1" spans="1:31">
      <c r="A17" t="s">
        <v>204</v>
      </c>
      <c r="B17"/>
      <c r="Q17" s="23"/>
      <c r="R17" s="25"/>
      <c r="Y17" t="s">
        <v>101</v>
      </c>
      <c r="Z17" s="23">
        <f>198.74%*2</f>
        <v>3.9748</v>
      </c>
      <c r="AA17" s="24">
        <f>516*2</f>
        <v>1032</v>
      </c>
      <c r="AB17" s="23">
        <f t="shared" si="0"/>
        <v>5.9622</v>
      </c>
      <c r="AC17" s="24"/>
      <c r="AE17">
        <v>1.02</v>
      </c>
    </row>
    <row r="18" customFormat="1" spans="1:31">
      <c r="A18" t="s">
        <v>205</v>
      </c>
      <c r="B18"/>
      <c r="Q18" s="23"/>
      <c r="R18" s="25"/>
      <c r="Y18" t="s">
        <v>101</v>
      </c>
      <c r="Z18" s="23">
        <f>74.53%*2</f>
        <v>1.4906</v>
      </c>
      <c r="AA18" s="24">
        <f>193*2</f>
        <v>386</v>
      </c>
      <c r="AB18" s="23">
        <f t="shared" si="0"/>
        <v>2.2359</v>
      </c>
      <c r="AC18" s="24"/>
      <c r="AE18">
        <v>1.02</v>
      </c>
    </row>
    <row r="19" customFormat="1" spans="1:31">
      <c r="A19" t="s">
        <v>206</v>
      </c>
      <c r="B19" s="25"/>
      <c r="E19" s="25"/>
      <c r="G19" s="25"/>
      <c r="N19" s="25"/>
      <c r="R19" s="25"/>
      <c r="Y19" t="s">
        <v>101</v>
      </c>
      <c r="Z19" s="23">
        <f>254.72%*2.7*1.5</f>
        <v>10.31616</v>
      </c>
      <c r="AA19" s="24">
        <f>511*2.7*1.5</f>
        <v>2069.55</v>
      </c>
      <c r="AB19" s="23">
        <f t="shared" si="0"/>
        <v>15.47424</v>
      </c>
      <c r="AC19" s="24"/>
      <c r="AE19">
        <v>1.02</v>
      </c>
    </row>
    <row r="20" customFormat="1" spans="1:31">
      <c r="A20" t="s">
        <v>207</v>
      </c>
      <c r="B20" s="25"/>
      <c r="Q20" s="23"/>
      <c r="R20" s="25"/>
      <c r="Y20" t="s">
        <v>99</v>
      </c>
      <c r="Z20" s="23">
        <f>319.92%+391.02%</f>
        <v>7.1094</v>
      </c>
      <c r="AA20" s="24">
        <f>639+781</f>
        <v>1420</v>
      </c>
      <c r="AB20" s="23">
        <f t="shared" si="0"/>
        <v>10.6641</v>
      </c>
      <c r="AC20" s="24"/>
      <c r="AE20">
        <v>1.02</v>
      </c>
    </row>
    <row r="21" customFormat="1" spans="1:31">
      <c r="A21" t="s">
        <v>208</v>
      </c>
      <c r="B21" s="25">
        <v>0.47</v>
      </c>
      <c r="Q21" s="23"/>
      <c r="R21" s="25"/>
      <c r="V21">
        <v>1</v>
      </c>
      <c r="Y21" t="s">
        <v>99</v>
      </c>
      <c r="Z21" s="23">
        <f>1636.57%*2.2*0.7</f>
        <v>25.203178</v>
      </c>
      <c r="AA21" s="24">
        <f>3275*2.2*0.7</f>
        <v>5043.5</v>
      </c>
      <c r="AB21" s="23">
        <f t="shared" si="0"/>
        <v>37.804767</v>
      </c>
      <c r="AC21" s="24"/>
      <c r="AE21">
        <v>1.02</v>
      </c>
    </row>
    <row r="22" customFormat="1" spans="1:31">
      <c r="A22" t="s">
        <v>209</v>
      </c>
      <c r="B22"/>
      <c r="Q22" s="23"/>
      <c r="R22" s="25"/>
      <c r="Y22" t="s">
        <v>101</v>
      </c>
      <c r="Z22" s="23">
        <f>(416.02%+772.61%)*2</f>
        <v>23.7726</v>
      </c>
      <c r="AA22" s="24">
        <f>(803+1493)*2</f>
        <v>4592</v>
      </c>
      <c r="AB22" s="23">
        <f t="shared" si="0"/>
        <v>35.6589</v>
      </c>
      <c r="AC22" s="24"/>
      <c r="AE22">
        <v>1.02</v>
      </c>
    </row>
    <row r="23" customFormat="1" spans="1:31">
      <c r="A23" t="s">
        <v>210</v>
      </c>
      <c r="B23" s="25"/>
      <c r="Q23" s="23"/>
      <c r="R23" s="25"/>
      <c r="Y23" t="s">
        <v>99</v>
      </c>
      <c r="Z23" s="23">
        <f>257.06%/2</f>
        <v>1.2853</v>
      </c>
      <c r="AA23" s="24">
        <f>520/2</f>
        <v>260</v>
      </c>
      <c r="AB23" s="23">
        <f t="shared" si="0"/>
        <v>1.92795</v>
      </c>
      <c r="AC23" s="24"/>
      <c r="AE23">
        <v>1.02</v>
      </c>
    </row>
    <row r="24" customFormat="1" spans="1:31">
      <c r="A24" t="s">
        <v>211</v>
      </c>
      <c r="B24"/>
      <c r="Q24" s="23"/>
      <c r="R24" s="25"/>
      <c r="Y24" t="s">
        <v>99</v>
      </c>
      <c r="Z24" s="23">
        <f>257.06%+141.64%</f>
        <v>3.987</v>
      </c>
      <c r="AA24" s="24">
        <f>520+287</f>
        <v>807</v>
      </c>
      <c r="AB24" s="23">
        <f t="shared" si="0"/>
        <v>5.9805</v>
      </c>
      <c r="AC24" s="24"/>
      <c r="AE24">
        <v>1.02</v>
      </c>
    </row>
    <row r="25" customFormat="1" spans="1:31">
      <c r="A25" t="s">
        <v>212</v>
      </c>
      <c r="B25" s="25"/>
      <c r="Q25" s="23"/>
      <c r="R25" s="25"/>
      <c r="T25" s="25"/>
      <c r="Y25" t="s">
        <v>99</v>
      </c>
      <c r="Z25" s="23">
        <v>0.2361</v>
      </c>
      <c r="AA25" s="24">
        <v>47</v>
      </c>
      <c r="AB25" s="23">
        <f t="shared" si="0"/>
        <v>0.35415</v>
      </c>
      <c r="AC25" s="24"/>
      <c r="AE25">
        <v>0.612</v>
      </c>
    </row>
    <row r="26" customFormat="1" spans="1:31">
      <c r="A26" t="s">
        <v>213</v>
      </c>
      <c r="B26" s="25"/>
      <c r="Q26" s="23"/>
      <c r="R26" s="25"/>
      <c r="Y26" t="s">
        <v>99</v>
      </c>
      <c r="Z26" s="23">
        <f>272.47%/2</f>
        <v>1.36235</v>
      </c>
      <c r="AA26" s="24">
        <f>548/2</f>
        <v>274</v>
      </c>
      <c r="AB26" s="23">
        <f t="shared" si="0"/>
        <v>2.043525</v>
      </c>
      <c r="AC26" s="24"/>
      <c r="AE26">
        <v>1.02</v>
      </c>
    </row>
    <row r="27" customFormat="1" spans="1:31">
      <c r="A27" t="s">
        <v>214</v>
      </c>
      <c r="B27"/>
      <c r="Q27" s="23"/>
      <c r="R27" s="25"/>
      <c r="Y27" t="s">
        <v>99</v>
      </c>
      <c r="Z27" s="23">
        <f>272.47%+150.14%</f>
        <v>4.2261</v>
      </c>
      <c r="AA27" s="24">
        <f>548+302</f>
        <v>850</v>
      </c>
      <c r="AB27" s="23">
        <f t="shared" si="0"/>
        <v>6.33915</v>
      </c>
      <c r="AC27" s="24"/>
      <c r="AE27">
        <v>1.02</v>
      </c>
    </row>
    <row r="28" customFormat="1" spans="1:31">
      <c r="A28" t="s">
        <v>215</v>
      </c>
      <c r="B28" s="25"/>
      <c r="Q28" s="23"/>
      <c r="R28" s="25"/>
      <c r="T28" s="25"/>
      <c r="Y28" t="s">
        <v>99</v>
      </c>
      <c r="Z28" s="23">
        <v>0.2958</v>
      </c>
      <c r="AA28" s="24">
        <v>59</v>
      </c>
      <c r="AB28" s="23">
        <f t="shared" si="0"/>
        <v>0.4437</v>
      </c>
      <c r="AC28" s="24"/>
      <c r="AE28">
        <v>0.612</v>
      </c>
    </row>
    <row r="29" customFormat="1" spans="1:31">
      <c r="A29" t="s">
        <v>216</v>
      </c>
      <c r="B29"/>
      <c r="Q29" s="23"/>
      <c r="R29" s="25"/>
      <c r="Y29" t="s">
        <v>99</v>
      </c>
      <c r="Z29" s="23">
        <v>1.024</v>
      </c>
      <c r="AA29" s="24">
        <v>203</v>
      </c>
      <c r="AB29" s="23">
        <f t="shared" si="0"/>
        <v>1.536</v>
      </c>
      <c r="AC29" s="24"/>
      <c r="AE29">
        <v>1.02</v>
      </c>
    </row>
    <row r="30" customFormat="1" spans="1:31">
      <c r="A30" t="s">
        <v>217</v>
      </c>
      <c r="B30" s="25">
        <v>0.8</v>
      </c>
      <c r="Q30" s="23"/>
      <c r="R30" s="25"/>
      <c r="Y30" t="s">
        <v>99</v>
      </c>
      <c r="Z30" s="23">
        <v>1.7066</v>
      </c>
      <c r="AA30" s="24">
        <v>339</v>
      </c>
      <c r="AB30" s="23">
        <f t="shared" si="0"/>
        <v>2.5599</v>
      </c>
      <c r="AC30" s="24"/>
      <c r="AE30">
        <v>1.02</v>
      </c>
    </row>
    <row r="31" customFormat="1" spans="1:31">
      <c r="A31" t="s">
        <v>218</v>
      </c>
      <c r="B31"/>
      <c r="Q31" s="23"/>
      <c r="R31" s="25"/>
      <c r="Y31" t="s">
        <v>99</v>
      </c>
      <c r="Z31" s="23">
        <v>0.7022</v>
      </c>
      <c r="AA31" s="24">
        <v>139</v>
      </c>
      <c r="AB31" s="23">
        <f t="shared" si="0"/>
        <v>1.0533</v>
      </c>
      <c r="AC31" s="24"/>
      <c r="AE31">
        <v>1.02</v>
      </c>
    </row>
    <row r="32" customFormat="1" spans="1:31">
      <c r="A32" t="s">
        <v>219</v>
      </c>
      <c r="B32"/>
      <c r="Q32" s="23"/>
      <c r="R32" s="25"/>
      <c r="Y32" t="s">
        <v>99</v>
      </c>
      <c r="Z32" s="23">
        <v>1.6091</v>
      </c>
      <c r="AA32" s="24">
        <v>319</v>
      </c>
      <c r="AB32" s="23">
        <f t="shared" si="0"/>
        <v>2.41365</v>
      </c>
      <c r="AC32" s="24"/>
      <c r="AE32">
        <v>1.02</v>
      </c>
    </row>
    <row r="33" customFormat="1" spans="1:31">
      <c r="A33" t="s">
        <v>187</v>
      </c>
      <c r="Q33" s="23"/>
      <c r="R33" s="25"/>
      <c r="Y33" t="s">
        <v>203</v>
      </c>
      <c r="Z33" s="23">
        <v>1</v>
      </c>
      <c r="AA33" s="24"/>
      <c r="AB33" s="23">
        <v>1</v>
      </c>
      <c r="AC33" s="24"/>
      <c r="AE33">
        <v>1.02</v>
      </c>
    </row>
    <row r="34" customFormat="1" spans="1:31">
      <c r="A34" t="s">
        <v>220</v>
      </c>
      <c r="B34" s="25"/>
      <c r="E34" s="25"/>
      <c r="G34" s="25"/>
      <c r="N34" s="25"/>
      <c r="R34" s="25"/>
      <c r="Y34" t="s">
        <v>101</v>
      </c>
      <c r="Z34" s="23">
        <f>254.72%*2.7</f>
        <v>6.87744</v>
      </c>
      <c r="AA34" s="24">
        <f>511*2.7</f>
        <v>1379.7</v>
      </c>
      <c r="AB34" s="23">
        <f>Z34*1.5</f>
        <v>10.31616</v>
      </c>
      <c r="AC34" s="24"/>
      <c r="AE34">
        <v>1.02</v>
      </c>
    </row>
    <row r="35" customFormat="1" spans="1:31">
      <c r="A35" t="s">
        <v>78</v>
      </c>
      <c r="Q35" s="23"/>
      <c r="Y35" t="s">
        <v>101</v>
      </c>
      <c r="Z35" s="23">
        <f>118.87%*2</f>
        <v>2.3774</v>
      </c>
      <c r="AA35" s="24">
        <f>238*2</f>
        <v>476</v>
      </c>
      <c r="AB35" s="23">
        <f>Z35*1.5</f>
        <v>3.5661</v>
      </c>
      <c r="AC35" s="24"/>
      <c r="AE35">
        <v>1.02</v>
      </c>
    </row>
    <row r="36" customFormat="1" spans="1:31">
      <c r="A36" t="s">
        <v>81</v>
      </c>
      <c r="Q36" s="23"/>
      <c r="Y36" t="s">
        <v>203</v>
      </c>
      <c r="Z36" s="23">
        <v>0</v>
      </c>
      <c r="AA36" s="24"/>
      <c r="AB36" s="23">
        <v>0</v>
      </c>
      <c r="AC36" s="24"/>
      <c r="AE36">
        <v>1.02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workbookViewId="0">
      <selection activeCell="G5" sqref="G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3"/>
    <col min="24" max="24" width="9.375" style="23"/>
    <col min="25" max="25" width="9" style="24"/>
  </cols>
  <sheetData>
    <row r="1" spans="1:25">
      <c r="B1" t="s">
        <v>40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110</v>
      </c>
      <c r="R1" t="s">
        <v>194</v>
      </c>
      <c r="S1" t="s">
        <v>114</v>
      </c>
      <c r="T1" t="s">
        <v>195</v>
      </c>
      <c r="U1" s="23" t="s">
        <v>117</v>
      </c>
      <c r="V1" s="24" t="s">
        <v>118</v>
      </c>
      <c r="W1" s="23" t="s">
        <v>71</v>
      </c>
      <c r="X1" s="23" t="s">
        <v>73</v>
      </c>
    </row>
    <row r="2" customFormat="1" spans="1:25">
      <c r="A2" t="s">
        <v>84</v>
      </c>
      <c r="B2" s="2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6"/>
      <c r="X2" s="26"/>
      <c r="Y2" s="24"/>
    </row>
    <row r="3" customFormat="1" spans="1:25">
      <c r="A3" t="s">
        <v>221</v>
      </c>
      <c r="B3" s="25">
        <f>IF(期望!$D$20="√",25%,0)</f>
        <v>0.25</v>
      </c>
      <c r="R3" s="25"/>
      <c r="W3" s="26"/>
      <c r="X3" s="23"/>
      <c r="Y3" s="24"/>
    </row>
    <row r="4" customFormat="1" spans="1:25">
      <c r="A4" t="s">
        <v>178</v>
      </c>
      <c r="B4" s="25"/>
      <c r="R4" s="25"/>
      <c r="W4" s="26"/>
      <c r="X4" s="25">
        <f>IF(期望!$D$22="√",20%,0)</f>
        <v>0.2</v>
      </c>
      <c r="Y4" s="24"/>
    </row>
    <row r="5" customFormat="1" spans="1:25">
      <c r="A5" t="s">
        <v>88</v>
      </c>
      <c r="B5" s="25"/>
      <c r="G5" s="25">
        <f>IF(期望!$D$22="√",2%,0)</f>
        <v>0.02</v>
      </c>
      <c r="J5" s="25">
        <f>IF(期望!$D$22="√",2%,0)</f>
        <v>0.02</v>
      </c>
      <c r="L5" s="25">
        <f>IF(期望!$D$22="√",2%,0)</f>
        <v>0.02</v>
      </c>
      <c r="N5" s="25">
        <f>IF(期望!$D$22="√",2%,0)</f>
        <v>0.02</v>
      </c>
      <c r="P5" s="25">
        <f>IF(期望!$D$22="√",2%,0)</f>
        <v>0.02</v>
      </c>
      <c r="R5" s="25"/>
      <c r="W5" s="26"/>
      <c r="X5" s="23"/>
      <c r="Y5" s="24"/>
    </row>
    <row r="6" spans="1:25">
      <c r="A6" t="s">
        <v>222</v>
      </c>
      <c r="B6" s="25">
        <v>0.02</v>
      </c>
      <c r="R6" s="25"/>
      <c r="W6" s="26"/>
    </row>
    <row r="7" spans="1:25">
      <c r="A7" t="s">
        <v>87</v>
      </c>
      <c r="B7" s="25"/>
      <c r="R7" s="25"/>
      <c r="W7" s="26">
        <v>0.05</v>
      </c>
    </row>
    <row r="8" spans="1:25">
      <c r="A8" t="s">
        <v>183</v>
      </c>
      <c r="B8" s="25"/>
      <c r="W8" s="23">
        <v>0.1</v>
      </c>
    </row>
    <row r="9" spans="1:25">
      <c r="A9" t="s">
        <v>186</v>
      </c>
      <c r="B9" s="25"/>
      <c r="J9" s="25">
        <f>IF(期望!$D$18="√",10%,0)</f>
        <v>0.1</v>
      </c>
      <c r="W9" s="23">
        <f>IF(期望!$D$18="√",10%,0)</f>
        <v>0.1</v>
      </c>
      <c r="X9" s="26"/>
    </row>
    <row r="10" spans="1:25">
      <c r="A10" t="s">
        <v>112</v>
      </c>
      <c r="B10" s="25"/>
      <c r="C10">
        <v>68.7</v>
      </c>
      <c r="D10">
        <v>68.7</v>
      </c>
      <c r="X10" s="26"/>
    </row>
    <row r="11" spans="1:25">
      <c r="A11" t="s">
        <v>113</v>
      </c>
      <c r="O11">
        <v>10</v>
      </c>
      <c r="R11" s="25"/>
      <c r="X11" s="26"/>
    </row>
    <row r="12" customFormat="1" spans="1:25">
      <c r="A12" t="s">
        <v>82</v>
      </c>
      <c r="B12" s="25">
        <v>0.1</v>
      </c>
      <c r="R12" s="25"/>
      <c r="S12" s="25"/>
      <c r="T12" s="25"/>
      <c r="W12" s="23"/>
      <c r="X12" s="26"/>
      <c r="Y12" s="24"/>
    </row>
    <row r="13" customFormat="1" spans="1:25">
      <c r="A13" t="s">
        <v>83</v>
      </c>
      <c r="B13" s="25"/>
      <c r="Q13" s="25">
        <v>0.1</v>
      </c>
      <c r="R13" s="25">
        <v>0.5</v>
      </c>
      <c r="S13" s="25"/>
      <c r="T13" s="25"/>
      <c r="W13" s="23"/>
      <c r="X13" s="26"/>
      <c r="Y13" s="24"/>
    </row>
    <row r="14" customFormat="1" spans="1:25">
      <c r="A14" t="s">
        <v>109</v>
      </c>
      <c r="B14" s="25"/>
      <c r="G14" s="25">
        <v>0.06</v>
      </c>
      <c r="O14" s="25"/>
      <c r="P14" s="25">
        <v>0.06</v>
      </c>
      <c r="R14" s="25"/>
      <c r="S14" s="25"/>
      <c r="T14" s="25"/>
      <c r="W14" s="23"/>
      <c r="X14" s="26"/>
      <c r="Y14" s="24"/>
    </row>
    <row r="15" customFormat="1" spans="1:25">
      <c r="A15" t="s">
        <v>181</v>
      </c>
      <c r="B15" s="25">
        <v>0.05</v>
      </c>
      <c r="G15" s="25"/>
      <c r="O15" s="25"/>
      <c r="P15" s="25"/>
      <c r="R15" s="25"/>
      <c r="S15" s="25"/>
      <c r="T15" s="25"/>
      <c r="W15" s="23"/>
      <c r="X15" s="26"/>
      <c r="Y15" s="24"/>
    </row>
    <row r="16" customFormat="1" spans="1:25">
      <c r="A16" t="s">
        <v>85</v>
      </c>
      <c r="B16" s="25">
        <v>0.15</v>
      </c>
      <c r="R16" s="25"/>
      <c r="S16" s="25"/>
      <c r="T16" s="25"/>
      <c r="W16" s="23"/>
      <c r="X16" s="26"/>
      <c r="Y16" s="24"/>
    </row>
    <row r="17" customFormat="1" spans="1:25">
      <c r="A17" t="s">
        <v>86</v>
      </c>
      <c r="F17">
        <v>25</v>
      </c>
      <c r="R17" s="25">
        <v>0.25</v>
      </c>
      <c r="S17" s="25"/>
      <c r="T17" s="25"/>
      <c r="W17" s="23"/>
      <c r="X17" s="26"/>
      <c r="Y17" s="24"/>
    </row>
    <row r="18" customFormat="1" spans="1:25">
      <c r="A18" t="s">
        <v>223</v>
      </c>
      <c r="F18" t="e">
        <f>IF(期望!#REF!="逆反",0,25)</f>
        <v>#REF!</v>
      </c>
      <c r="R18" s="25" t="e">
        <f>IF(期望!#REF!="逆反",0,25%)</f>
        <v>#REF!</v>
      </c>
      <c r="S18" s="25"/>
      <c r="T18" s="25"/>
      <c r="W18" s="23"/>
      <c r="X18" s="26"/>
      <c r="Y18" s="24"/>
    </row>
    <row r="19" spans="1:25">
      <c r="A19" t="s">
        <v>108</v>
      </c>
      <c r="R19" s="25">
        <f>IF(期望!$F$16="√",1%,0)</f>
        <v>0.01</v>
      </c>
      <c r="S19" s="25"/>
      <c r="T19" s="25"/>
      <c r="X19" s="26"/>
    </row>
    <row r="20" spans="1:25">
      <c r="A20" t="s">
        <v>130</v>
      </c>
      <c r="R20" s="25">
        <f>IF(期望!$F$16="√",2%,0)</f>
        <v>0.02</v>
      </c>
      <c r="S20" s="25"/>
      <c r="T20" s="25"/>
      <c r="X20" s="26"/>
    </row>
    <row r="21" spans="1:25">
      <c r="A21" t="s">
        <v>80</v>
      </c>
      <c r="R21" s="25">
        <f>IF(期望!$F$16="√",3%,0)</f>
        <v>0.03</v>
      </c>
      <c r="S21" s="25"/>
      <c r="T21" s="25"/>
      <c r="X21" s="26"/>
    </row>
    <row r="22" spans="1:25">
      <c r="A22" t="s">
        <v>95</v>
      </c>
      <c r="R22" s="25">
        <f>IF(期望!$F$16="√",4%,0)</f>
        <v>0.04</v>
      </c>
      <c r="S22" s="25"/>
      <c r="T22" s="25"/>
      <c r="X22" s="26"/>
    </row>
    <row r="23" spans="1:25">
      <c r="A23" t="s">
        <v>168</v>
      </c>
      <c r="R23" s="25">
        <f>IF(期望!$F$16="√",5%,0)</f>
        <v>0.05</v>
      </c>
      <c r="S23" s="25"/>
      <c r="T23" s="25"/>
      <c r="X23" s="26"/>
    </row>
    <row r="24" spans="1:25">
      <c r="A24" t="s">
        <v>175</v>
      </c>
      <c r="R24" s="25">
        <f>IF(期望!$F$16="√",6%,0)</f>
        <v>0.06</v>
      </c>
      <c r="S24" s="25"/>
      <c r="T24" s="25"/>
      <c r="X24" s="26"/>
    </row>
    <row r="25" spans="1:25">
      <c r="A25" t="s">
        <v>180</v>
      </c>
      <c r="R25" s="25">
        <f>IF(期望!$F$16="√",7%,0)</f>
        <v>0.07</v>
      </c>
      <c r="S25" s="25"/>
      <c r="T25" s="25"/>
      <c r="X25" s="26"/>
    </row>
    <row r="26" spans="1:25">
      <c r="A26" t="s">
        <v>182</v>
      </c>
      <c r="R26" s="25">
        <f>IF(期望!$F$16="√",8%,0)</f>
        <v>0.08</v>
      </c>
      <c r="S26" s="25"/>
      <c r="T26" s="25"/>
      <c r="X26" s="26"/>
    </row>
    <row r="27" spans="1:25">
      <c r="A27" t="s">
        <v>184</v>
      </c>
      <c r="R27" s="25">
        <f>IF(期望!$F$16="√",9%,0)</f>
        <v>0.09</v>
      </c>
      <c r="S27" s="25"/>
      <c r="T27" s="25"/>
      <c r="X27" s="26"/>
    </row>
    <row r="28" spans="1:25">
      <c r="A28" t="s">
        <v>185</v>
      </c>
      <c r="R28" s="25">
        <f>IF(期望!$F$16="√",10%,0)</f>
        <v>0.1</v>
      </c>
      <c r="S28" s="25"/>
      <c r="T28" s="25"/>
      <c r="X28" s="26"/>
    </row>
    <row r="29" spans="1:25">
      <c r="A29" t="s">
        <v>107</v>
      </c>
      <c r="B29" s="25">
        <f>1%*IF(期望!$E$22="易水歌",1,0)</f>
        <v>0.01</v>
      </c>
      <c r="F29">
        <f>2*IF(期望!$E$22="易水歌",1,0)</f>
        <v>2</v>
      </c>
      <c r="X29" s="26"/>
    </row>
    <row r="30" spans="1:25">
      <c r="A30" t="s">
        <v>121</v>
      </c>
      <c r="B30" s="25">
        <f>2%*IF(期望!$E$22="易水歌",1,0)</f>
        <v>0.02</v>
      </c>
      <c r="F30">
        <f>4*IF(期望!$E$22="易水歌",1,0)</f>
        <v>4</v>
      </c>
      <c r="X30" s="26"/>
    </row>
    <row r="31" spans="1:25">
      <c r="A31" t="s">
        <v>129</v>
      </c>
      <c r="B31" s="25">
        <f>3%*IF(期望!$E$22="易水歌",1,0)</f>
        <v>0.03</v>
      </c>
      <c r="F31">
        <f>6*IF(期望!$E$22="易水歌",1,0)</f>
        <v>6</v>
      </c>
      <c r="X31" s="26"/>
    </row>
    <row r="32" spans="1:25">
      <c r="A32" t="s">
        <v>79</v>
      </c>
      <c r="B32" s="25">
        <f>4%*IF(期望!$E$22="易水歌",1,0)</f>
        <v>0.04</v>
      </c>
      <c r="F32">
        <f>8*IF(期望!$E$22="易水歌",1,0)</f>
        <v>8</v>
      </c>
      <c r="X32" s="26"/>
    </row>
    <row r="33" spans="1:24">
      <c r="A33" t="s">
        <v>91</v>
      </c>
      <c r="B33" s="25">
        <f>5%*IF(期望!$E$22="易水歌",1,0)</f>
        <v>0.05</v>
      </c>
      <c r="F33">
        <f>10*IF(期望!$E$22="易水歌",1,0)</f>
        <v>10</v>
      </c>
      <c r="X33" s="26"/>
    </row>
    <row r="34" spans="1:24">
      <c r="A34" t="s">
        <v>81</v>
      </c>
      <c r="X34" s="26"/>
    </row>
    <row r="35" spans="1:24">
      <c r="X35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E29" sqref="E29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224</v>
      </c>
      <c r="B1" s="3" t="s">
        <v>225</v>
      </c>
      <c r="C1" s="4" t="s">
        <v>226</v>
      </c>
      <c r="D1" s="5" t="s">
        <v>227</v>
      </c>
    </row>
    <row r="2" spans="1:4">
      <c r="A2" s="6">
        <v>0.1</v>
      </c>
      <c r="B2" s="7">
        <v>1</v>
      </c>
      <c r="C2" s="8" t="s">
        <v>228</v>
      </c>
      <c r="D2" s="4" t="s">
        <v>229</v>
      </c>
    </row>
    <row r="3" spans="1:4">
      <c r="A3" s="9"/>
      <c r="B3" s="10">
        <v>2</v>
      </c>
      <c r="C3" s="11" t="s">
        <v>230</v>
      </c>
    </row>
    <row r="4" spans="1:4">
      <c r="A4" s="9"/>
      <c r="B4" s="10"/>
      <c r="C4" s="11" t="s">
        <v>231</v>
      </c>
    </row>
    <row r="5" spans="1:4">
      <c r="A5" s="9"/>
      <c r="B5" s="10">
        <v>3</v>
      </c>
      <c r="C5" s="11" t="s">
        <v>232</v>
      </c>
    </row>
    <row r="6" spans="1:4">
      <c r="A6" s="9"/>
      <c r="B6" s="12">
        <v>4</v>
      </c>
      <c r="C6" s="11" t="s">
        <v>233</v>
      </c>
    </row>
    <row r="7" ht="14.25" spans="1:4">
      <c r="A7" s="13"/>
      <c r="B7" s="14">
        <v>5</v>
      </c>
      <c r="C7" s="15" t="s">
        <v>234</v>
      </c>
    </row>
    <row r="8" ht="14.25" spans="1:4">
      <c r="A8" s="16">
        <v>0.2</v>
      </c>
      <c r="B8" s="17">
        <v>1</v>
      </c>
      <c r="C8" s="18" t="s">
        <v>235</v>
      </c>
    </row>
    <row r="9" ht="14.25" spans="1:4">
      <c r="A9" s="16">
        <v>0.3</v>
      </c>
      <c r="B9" s="17">
        <v>1</v>
      </c>
      <c r="C9" s="18" t="s">
        <v>236</v>
      </c>
    </row>
    <row r="10" ht="14.25" spans="1:4">
      <c r="A10" s="16">
        <v>0.4</v>
      </c>
      <c r="B10" s="17">
        <v>1</v>
      </c>
      <c r="C10" s="18" t="s">
        <v>235</v>
      </c>
    </row>
    <row r="11" ht="14.25" spans="1:4">
      <c r="A11" s="16">
        <v>0.5</v>
      </c>
      <c r="B11" s="17">
        <v>1</v>
      </c>
      <c r="C11" s="18" t="s">
        <v>235</v>
      </c>
    </row>
    <row r="12" ht="14.25" spans="1:4">
      <c r="A12" s="19">
        <v>0.6</v>
      </c>
      <c r="B12" s="20">
        <v>1</v>
      </c>
      <c r="C12" s="8" t="s">
        <v>235</v>
      </c>
    </row>
    <row r="13" spans="1:4">
      <c r="A13" s="19">
        <v>0.7</v>
      </c>
      <c r="B13" s="20">
        <v>1</v>
      </c>
      <c r="C13" s="8" t="s">
        <v>237</v>
      </c>
    </row>
    <row r="14" ht="14.25" spans="1:4">
      <c r="A14" s="21"/>
      <c r="B14" s="14">
        <v>2</v>
      </c>
      <c r="C14" s="15" t="s">
        <v>238</v>
      </c>
    </row>
    <row r="15" ht="14.25" spans="1:4">
      <c r="A15" s="19">
        <v>0.8</v>
      </c>
      <c r="B15" s="20">
        <v>1</v>
      </c>
      <c r="C15" s="8" t="s">
        <v>239</v>
      </c>
    </row>
    <row r="16" spans="1:4">
      <c r="A16" s="19">
        <v>1</v>
      </c>
      <c r="B16" s="20">
        <v>1</v>
      </c>
      <c r="C16" s="8" t="s">
        <v>240</v>
      </c>
    </row>
    <row r="17" ht="14.25" spans="1:3">
      <c r="A17" s="21"/>
      <c r="B17" s="14">
        <v>2</v>
      </c>
      <c r="C17" s="15" t="s">
        <v>241</v>
      </c>
    </row>
    <row r="18" spans="1:3">
      <c r="A18" s="19">
        <v>1.1</v>
      </c>
      <c r="B18" s="20">
        <v>1</v>
      </c>
      <c r="C18" s="8" t="s">
        <v>242</v>
      </c>
    </row>
    <row r="19" ht="14.25" spans="1:3">
      <c r="A19" s="21"/>
      <c r="B19" s="14">
        <v>2</v>
      </c>
      <c r="C19" s="15" t="s">
        <v>243</v>
      </c>
    </row>
    <row r="20" spans="1:3">
      <c r="A20" s="19">
        <v>3</v>
      </c>
      <c r="B20" s="20">
        <v>1</v>
      </c>
      <c r="C20" s="8" t="s">
        <v>244</v>
      </c>
    </row>
    <row r="21" spans="1:3">
      <c r="A21" s="22"/>
      <c r="B21" s="12">
        <v>2</v>
      </c>
      <c r="C21" s="11" t="s">
        <v>245</v>
      </c>
    </row>
    <row r="22" spans="1:3">
      <c r="A22" s="22"/>
      <c r="B22" s="12"/>
      <c r="C22" s="11" t="s">
        <v>246</v>
      </c>
    </row>
    <row r="23" ht="14.25" spans="1:3">
      <c r="A23" s="21"/>
      <c r="B23" s="14">
        <v>3</v>
      </c>
      <c r="C23" s="15" t="s">
        <v>247</v>
      </c>
    </row>
    <row r="24" ht="14.25" spans="1:3">
      <c r="A24" s="16">
        <v>3.1</v>
      </c>
      <c r="B24" s="17">
        <v>1</v>
      </c>
      <c r="C24" s="18" t="s">
        <v>248</v>
      </c>
    </row>
    <row r="25" ht="14.25" spans="1:3">
      <c r="A25" s="16">
        <v>3.2</v>
      </c>
      <c r="B25" s="17">
        <v>1</v>
      </c>
      <c r="C25" s="18" t="s">
        <v>249</v>
      </c>
    </row>
  </sheetData>
  <mergeCells count="5">
    <mergeCell ref="A2:A7"/>
    <mergeCell ref="A13:A14"/>
    <mergeCell ref="A16:A17"/>
    <mergeCell ref="A18:A19"/>
    <mergeCell ref="A20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2026-10-09T03:47:30Z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