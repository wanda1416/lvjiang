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<sst xmlns="http://schemas.openxmlformats.org/spreadsheetml/2006/main" count="2966" uniqueCount="216">
  <si>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</si>
  <si>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</si>
  <si>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</si>
  <si>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</si>
  <si>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</si>
  <si>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</si>
  <si>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</si>
  <si>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</si>
  <si>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</si>
  <si>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</si>
  <si>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</si>
  <si>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</si>
  <si>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</si>
  <si>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</si>
  <si>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</si>
  <si>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</si>
  <si>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</si>
  <si>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</si>
  <si>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</si>
  <si>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</si>
  <si>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</si>
  <si>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</si>
  <si>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</si>
  <si>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</si>
  <si>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</si>
  <si>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</si>
  <si>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</si>
  <si>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</si>
  <si>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</si>
  <si>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</si>
  <si>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</si>
  <si>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</si>
  <si>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</si>
  <si>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</si>
  <si>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</si>
  <si>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</si>
  <si>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</si>
  <si>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</si>
  <si>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</si>
  <si>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</si>
  <si>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</si>
  <si>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</si>
  <si>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</si>
  <si>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</si>
  <si>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</si>
  <si>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</si>
  <si>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</si>
  <si>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</si>
  <si>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</si>
  <si>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</si>
  <si>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</si>
  <si>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</si>
  <si>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</si>
  <si>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</si>
  <si>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</si>
  <si>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</si>
  <si>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</si>
  <si>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</si>
  <si>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</si>
  <si>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</si>
  <si>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</si>
  <si>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</si>
  <si>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</si>
  <si>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</si>
  <si>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</si>
  <si>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</si>
  <si>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</si>
  <si>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</si>
  <si>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</si>
  <si>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</si>
  <si>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</si>
  <si>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</si>
  <si>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</si>
  <si>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</si>
  <si>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</si>
  <si>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</si>
  <si>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</si>
  <si>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</si>
  <si>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第一道剑气</t>
  </si>
  <si>
    <t>威猛2%</t>
  </si>
  <si>
    <t>额外20耐</t>
  </si>
  <si>
    <t>裂石</t>
  </si>
  <si>
    <t>剑</t>
  </si>
  <si>
    <t>属抗</t>
  </si>
  <si>
    <t>第二道剑气</t>
  </si>
  <si>
    <t>剑气增伤1层</t>
  </si>
  <si>
    <t>牵丝</t>
  </si>
  <si>
    <t>枪</t>
  </si>
  <si>
    <t>副本天赋</t>
  </si>
  <si>
    <t>第三道剑气</t>
  </si>
  <si>
    <t>剑气增伤2层</t>
  </si>
  <si>
    <t>破竹</t>
  </si>
  <si>
    <t>单体奇术</t>
  </si>
  <si>
    <t>飞剑</t>
  </si>
  <si>
    <t>无相</t>
  </si>
  <si>
    <t>群体奇术</t>
  </si>
  <si>
    <t>三剑气</t>
  </si>
  <si>
    <t>剑气增伤3层</t>
  </si>
  <si>
    <t>剑气强化</t>
  </si>
  <si>
    <t>精准率</t>
  </si>
  <si>
    <t>实际属性</t>
  </si>
  <si>
    <t>战斗时间</t>
  </si>
  <si>
    <t>秋瞑帖2层</t>
  </si>
  <si>
    <t>看破</t>
  </si>
  <si>
    <t>惧刃(拐)</t>
  </si>
  <si>
    <t>会心率</t>
  </si>
  <si>
    <t>威猛5%</t>
  </si>
  <si>
    <t>会意率</t>
  </si>
  <si>
    <t>总伤</t>
  </si>
  <si>
    <t>威猛10%</t>
  </si>
  <si>
    <t>直接会心率</t>
  </si>
  <si>
    <t>直接会意率</t>
  </si>
  <si>
    <t>ADPS</t>
  </si>
  <si>
    <t>秋瞑帖3层</t>
  </si>
  <si>
    <t>低于60%耐力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</si>
  <si>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</si>
  <si>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</si>
  <si>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</si>
  <si>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</si>
  <si>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</si>
  <si>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</si>
  <si>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</si>
  <si>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</si>
  <si>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秋瞑帖</t>
  </si>
  <si>
    <t>毕业率</t>
  </si>
  <si>
    <t>秋瞑帖4层</t>
  </si>
  <si>
    <t>剑增</t>
  </si>
  <si>
    <t>尘</t>
  </si>
  <si>
    <t>所恨年年</t>
  </si>
  <si>
    <t>枪增</t>
  </si>
  <si>
    <t>真气比例</t>
  </si>
  <si>
    <t>秋瞑帖5层</t>
  </si>
  <si>
    <t>单体奇术增</t>
  </si>
  <si>
    <t>钧</t>
  </si>
  <si>
    <t>秋瞑帖6层</t>
  </si>
  <si>
    <t>群体奇术增</t>
  </si>
  <si>
    <t>影</t>
  </si>
  <si>
    <t>蓄力技定音</t>
  </si>
  <si>
    <t>秋瞑帖7层</t>
  </si>
  <si>
    <t>固伤加成</t>
  </si>
  <si>
    <t>秋瞑帖8层</t>
  </si>
  <si>
    <t>食物加成</t>
  </si>
  <si>
    <t>秋瞑帖9层</t>
  </si>
  <si>
    <t>秋瞑帖10层</t>
  </si>
  <si>
    <t>萧呤千浪AOE</t>
  </si>
  <si>
    <t>枪Q</t>
  </si>
  <si>
    <t>笛</t>
  </si>
  <si>
    <t>气竭</t>
  </si>
  <si>
    <t>真气失衡</t>
  </si>
  <si>
    <t>蓄力</t>
  </si>
  <si>
    <t>剑R</t>
  </si>
  <si>
    <t>第一道剑气(气竭)</t>
  </si>
  <si>
    <t>气涌</t>
  </si>
  <si>
    <t>第二道剑气(气竭)</t>
  </si>
  <si>
    <t>惧刃</t>
  </si>
  <si>
    <t>第三道剑气(气竭)</t>
  </si>
  <si>
    <t>飞剑气涌</t>
  </si>
  <si>
    <t>移动</t>
  </si>
  <si>
    <t>飞剑卸</t>
  </si>
  <si>
    <t>笛子</t>
  </si>
  <si>
    <t>×</t>
  </si>
  <si>
    <t>气</t>
  </si>
  <si>
    <t>填充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</si>
  <si>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</si>
  <si>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</si>
  <si>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</si>
  <si>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</si>
  <si>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</si>
  <si>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</si>
  <si>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</si>
  <si>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</si>
  <si>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</si>
  <si>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</si>
  <si>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</si>
  <si>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</si>
  <si>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</si>
  <si>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</si>
  <si>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骑龙回马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</si>
  <si>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</si>
  <si>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</si>
  <si>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</si>
  <si>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</si>
  <si>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</si>
  <si>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</si>
  <si>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</si>
  <si>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</si>
  <si>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</si>
  <si>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</si>
  <si>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</si>
  <si>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</si>
  <si>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</si>
  <si>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</si>
  <si>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近战笛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</si>
  <si>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</si>
  <si>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</si>
  <si>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</si>
  <si>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</si>
  <si>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</si>
  <si>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</si>
  <si>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</si>
  <si>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</si>
  <si>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</si>
  <si>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</si>
  <si>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</si>
  <si>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</si>
  <si>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</si>
  <si>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</si>
  <si>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</si>
  <si>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</si>
  <si>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</si>
  <si>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</si>
  <si>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</si>
  <si>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</si>
  <si>
    <t>轴变更为拏云蛇慢气轴,几乎没有走机制时间,可以理解为上限.</t>
  </si>
  <si>
    <t>增加了鸣金影提供的rd,约0.33%</t>
  </si>
  <si>
    <t>修正了diy数值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</si>
</sst>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30" customWidth="1"/>
    <col min="12" max="16" width="12.625" style="25" customWidth="1"/>
    <col min="18" max="18" width="24.625" style="31" customWidth="1"/>
    <col min="19" max="33" width="9" style="31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2"/>
    <col min="48" max="49" width="9" style="32"/>
    <col min="62" max="66" width="9" style="24"/>
    <col min="67" max="68" width="9.00833333333333" style="24" customWidth="1"/>
    <col min="69" max="70" width="9" style="24"/>
  </cols>
  <sheetData>
    <row r="1" spans="1:70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t="s">
        <v>30</v>
      </c>
      <c r="AI1" s="24" t="s">
        <v>31</v>
      </c>
      <c r="AJ1" s="25" t="s">
        <v>32</v>
      </c>
      <c r="AK1" s="24" t="s">
        <v>33</v>
      </c>
      <c r="AL1" s="25" t="s">
        <v>34</v>
      </c>
      <c r="AM1" s="24" t="s">
        <v>35</v>
      </c>
      <c r="AN1" s="24" t="s">
        <v>36</v>
      </c>
      <c r="AO1" t="s">
        <v>37</v>
      </c>
      <c r="AP1" t="s">
        <v>38</v>
      </c>
      <c r="AQ1" s="32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</row>
    <row r="2" spans="1:70">
      <c r="A2" s="40" t="s">
        <v>67</v>
      </c>
      <c r="B2" s="31">
        <v>1722.4</v>
      </c>
      <c r="C2" s="31">
        <v>6332.4</v>
      </c>
      <c r="D2" s="31">
        <v>63.5</v>
      </c>
      <c r="E2" s="41"/>
      <c r="F2" s="42" t="s">
        <v>68</v>
      </c>
      <c r="G2" s="43" t="s">
        <v>69</v>
      </c>
      <c r="H2" s="44" t="s">
        <v>70</v>
      </c>
      <c r="I2" s="11">
        <f>620*(1-IF(F17="√",0.06,0)-IF(D20="√",0.04,0))</f>
        <v>558</v>
      </c>
      <c r="K2" s="30">
        <f>$L2*VLOOKUP($R2,武学奇术!$A:$ZZ,31,FALSE)</f>
        <v>31034.5725606813</v>
      </c>
      <c r="L2" s="30">
        <f>($M2*$BO2+$N2*$BM2+$O2*$BP2+$P2*$BQ2)</f>
        <v>28213.2477824375</v>
      </c>
      <c r="M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22725.2017294186</v>
      </c>
      <c r="N2" s="30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39367.0285936895</v>
      </c>
      <c r="O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15150.1344862791</v>
      </c>
      <c r="P2" s="30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7033.70360985744</v>
      </c>
      <c r="Q2" s="38">
        <v>1</v>
      </c>
      <c r="R2" s="39" t="s">
        <v>71</v>
      </c>
      <c r="S2" s="39" t="s">
        <v>72</v>
      </c>
      <c r="T2" s="39" t="s">
        <v>69</v>
      </c>
      <c r="U2" s="39" t="s">
        <v>73</v>
      </c>
      <c r="V2" s="39" t="s">
        <v>74</v>
      </c>
      <c r="W2" s="39" t="s">
        <v>75</v>
      </c>
      <c r="X2" s="39" t="s">
        <v>75</v>
      </c>
      <c r="Y2" s="39" t="s">
        <v>75</v>
      </c>
      <c r="Z2" s="39" t="s">
        <v>75</v>
      </c>
      <c r="AA2" s="39" t="s">
        <v>75</v>
      </c>
      <c r="AB2" s="39" t="s">
        <v>75</v>
      </c>
      <c r="AC2" s="39" t="s">
        <v>75</v>
      </c>
      <c r="AD2" s="39" t="s">
        <v>75</v>
      </c>
      <c r="AE2" s="39" t="s">
        <v>75</v>
      </c>
      <c r="AF2" s="39" t="s">
        <v>75</v>
      </c>
      <c r="AG2" s="39" t="s">
        <v>76</v>
      </c>
      <c r="AH2" t="str">
        <f>VLOOKUP($R2,武学奇术!$A:$ZZ,25,FALSE)</f>
        <v>群体奇术</v>
      </c>
      <c r="AI2" s="24">
        <f>VLOOKUP($R2,武学奇术!$A:$ZZ,26,FALSE)</f>
        <v>1.4904</v>
      </c>
      <c r="AJ2" s="25">
        <f>VLOOKUP($R2,武学奇术!$A:$ZZ,27,FALSE)*(1+IF(OR($AH2=$F$4,$AH2=$F$5),$B$22,0))</f>
        <v>368</v>
      </c>
      <c r="AK2" s="24">
        <f>VLOOKUP($R2,武学奇术!$A:$ZZ,28,FALSE)</f>
        <v>2.2353</v>
      </c>
      <c r="AL2" s="25">
        <f>VLOOKUP($R2,武学奇术!$A:$ZZ,29,FALSE)*(1+IF(OR($AH2=$F$4,$AH2=$F$5),$B$22,0))</f>
        <v>0</v>
      </c>
      <c r="AM2" s="24" cm="1">
        <f t="array" ref="AM2">$G$3+IFERROR(VLOOKUP($AH2,$F$4:$G$7,2,FALSE),0)+VLOOKUP($R2,武学奇术!$A:$ZZ,2,FALSE)+SUM(_xlfn.XLOOKUP($S2:$AG2,增益!$A:$A,增益!$B:$B,0))</f>
        <v>0.3837</v>
      </c>
      <c r="AN2" s="24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1364.4</v>
      </c>
      <c r="AP2" cm="1">
        <f t="array" ref="AP2">$E$10*(1+$AN2)+VLOOKUP($R2,武学奇术!$A:$ZZ,4,FALSE)+SUM(_xlfn.XLOOKUP($S2:$AG2,增益!$A:$A,增益!$D:$D,0))-$I$2</f>
        <v>6174.4</v>
      </c>
      <c r="AQ2" s="32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0.2925</v>
      </c>
      <c r="AR2" s="32" cm="1">
        <f t="array" ref="AR2">$G$10+VLOOKUP($R2,武学奇术!$A:$ZZ,7,FALSE)+SUM(_xlfn.XLOOKUP(S2:AG2,增益!$A:$A,增益!$G:$G,0))</f>
        <v>0</v>
      </c>
      <c r="AS2" s="24" cm="1">
        <f t="array" ref="AS2">VLOOKUP($R2,武学奇术!$A:$ZZ,8,FALSE)+SUM(_xlfn.XLOOKUP(S2:AG2,增益!$A:$A,增益!$H:$H,0))</f>
        <v>0</v>
      </c>
      <c r="AT2">
        <f>$D$11*(1+$AS2)</f>
        <v>557.3</v>
      </c>
      <c r="AU2">
        <f>$E$11*(1+$AS2)</f>
        <v>1049.5</v>
      </c>
      <c r="AV2" s="32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2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2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2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2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2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2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2" cm="1">
        <f t="array" ref="BI2">$G$14+VLOOKUP($R2,武学奇术!$A:$ZZ,16,FALSE)+SUM(_xlfn.XLOOKUP(S2:AG2,增益!$A:$A,增益!$P:$P,0))</f>
        <v>0</v>
      </c>
      <c r="BJ2" s="24">
        <f>MIN(IF(VLOOKUP($R2,武学奇术!$A:$ZZ,23,FALSE)=1,100%,$B$8),100%)</f>
        <v>0.8271</v>
      </c>
      <c r="BK2" s="24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0.1789</v>
      </c>
      <c r="BL2" s="24" cm="1">
        <f t="array" ref="BL2">1+$B$13+VLOOKUP($R2,武学奇术!$A:$ZZ,18,FALSE)+SUM(_xlfn.XLOOKUP(S2:AG2,增益!$A:$A,增益!$R:$R,0))</f>
        <v>1.5</v>
      </c>
      <c r="BM2" s="24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0.5209</v>
      </c>
      <c r="BN2" s="24" cm="1">
        <f t="array" ref="BN2">1+$B$14+VLOOKUP($R2,武学奇术!$A:$ZZ,20,FALSE)+SUM(_xlfn.XLOOKUP(S2:AG2,增益!$A:$A,增益!$T:$T,0))</f>
        <v>1.692</v>
      </c>
      <c r="BO2" s="24">
        <f>MIN((1-BM2)*BJ2,BJ2*BK2)</f>
        <v>0.14796819</v>
      </c>
      <c r="BP2" s="24">
        <f>1-BM2-BO2-BQ2</f>
        <v>0.24829542</v>
      </c>
      <c r="BQ2" s="24">
        <f>IF(VLOOKUP($R2,武学奇术!$A:$ZZ,22,FALSE)=1,0,(1-$BJ2))*(1-$BM2)</f>
        <v>0.08283639</v>
      </c>
      <c r="BR2" s="24" cm="1">
        <f t="array" ref="BR2">SUM(_xlfn.XLOOKUP(S2:AG2,增益!$A:$A,增益!$W:$W,0))+$I$5</f>
        <v>0.11</v>
      </c>
    </row>
    <row r="3" spans="1:70">
      <c r="A3" s="45" t="s">
        <v>5</v>
      </c>
      <c r="B3" s="46">
        <v>491.3</v>
      </c>
      <c r="C3" s="46">
        <v>983.5</v>
      </c>
      <c r="D3" s="46">
        <v>36</v>
      </c>
      <c r="E3" s="47">
        <v>0.15</v>
      </c>
      <c r="F3" s="44" t="s">
        <v>35</v>
      </c>
      <c r="G3" s="48">
        <f>B16+1.5%+IF($D$16="√",8%,0)</f>
        <v>0.1837</v>
      </c>
      <c r="H3" s="44" t="s">
        <v>77</v>
      </c>
      <c r="I3" s="11">
        <f>25-IF(D17="√",10,0)-IF(F17="√",10,0)</f>
        <v>5</v>
      </c>
      <c r="K3" s="30">
        <f>$L3*VLOOKUP($R3,武学奇术!$A:$ZZ,31,FALSE)</f>
        <v>55696.5784418622</v>
      </c>
      <c r="L3" s="30">
        <f t="shared" ref="L3:L34" si="0">($M3*$BO3+$N3*$BM3+$O3*$BP3+$P3*$BQ3)</f>
        <v>50633.2531289656</v>
      </c>
      <c r="M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41700.624642667</v>
      </c>
      <c r="N3" s="30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69870.2664713327</v>
      </c>
      <c r="O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27800.4164284447</v>
      </c>
      <c r="P3" s="30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14060.8409000923</v>
      </c>
      <c r="Q3" s="38">
        <v>1</v>
      </c>
      <c r="R3" s="39" t="s">
        <v>78</v>
      </c>
      <c r="S3" s="39" t="s">
        <v>75</v>
      </c>
      <c r="T3" s="39" t="s">
        <v>69</v>
      </c>
      <c r="U3" s="39" t="s">
        <v>73</v>
      </c>
      <c r="V3" s="39" t="s">
        <v>75</v>
      </c>
      <c r="W3" s="39" t="s">
        <v>79</v>
      </c>
      <c r="X3" s="39" t="s">
        <v>75</v>
      </c>
      <c r="Y3" s="39" t="s">
        <v>80</v>
      </c>
      <c r="Z3" s="39" t="s">
        <v>75</v>
      </c>
      <c r="AA3" s="39" t="s">
        <v>75</v>
      </c>
      <c r="AB3" s="39" t="s">
        <v>75</v>
      </c>
      <c r="AC3" s="39" t="s">
        <v>75</v>
      </c>
      <c r="AD3" s="39" t="s">
        <v>75</v>
      </c>
      <c r="AE3" s="39" t="s">
        <v>75</v>
      </c>
      <c r="AF3" s="39" t="s">
        <v>75</v>
      </c>
      <c r="AG3" s="39" t="s">
        <v>76</v>
      </c>
      <c r="AH3" t="str">
        <f>VLOOKUP($R3,武学奇术!$A:$ZZ,25,FALSE)</f>
        <v>剑</v>
      </c>
      <c r="AI3" s="24">
        <f>VLOOKUP($R3,武学奇术!$A:$ZZ,26,FALSE)</f>
        <v>1.3066</v>
      </c>
      <c r="AJ3" s="25">
        <f>VLOOKUP($R3,武学奇术!$A:$ZZ,27,FALSE)*(1+IF(OR($AH3=$F$4,$AH3=$F$5),$B$22,0))</f>
        <v>505.4</v>
      </c>
      <c r="AK3" s="24">
        <f>VLOOKUP($R3,武学奇术!$A:$ZZ,28,FALSE)</f>
        <v>1.9598</v>
      </c>
      <c r="AL3" s="25">
        <f>VLOOKUP($R3,武学奇术!$A:$ZZ,29,FALSE)*(1+IF(OR($AH3=$F$4,$AH3=$F$5),$B$22,0))</f>
        <v>275.8</v>
      </c>
      <c r="AM3" s="24" cm="1">
        <f t="array" ref="AM3">$G$3+IFERROR(VLOOKUP($AH3,$F$4:$G$7,2,FALSE),0)+VLOOKUP($R3,武学奇术!$A:$ZZ,2,FALSE)+SUM(_xlfn.XLOOKUP($S3:$AG3,增益!$A:$A,增益!$B:$B,0))</f>
        <v>1.0241</v>
      </c>
      <c r="AN3" s="24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1364.4</v>
      </c>
      <c r="AP3" cm="1">
        <f t="array" ref="AP3">$E$10*(1+$AN3)+VLOOKUP($R3,武学奇术!$A:$ZZ,4,FALSE)+SUM(_xlfn.XLOOKUP($S3:$AG3,增益!$A:$A,增益!$D:$D,0))-$I$2</f>
        <v>6174.4</v>
      </c>
      <c r="AQ3" s="32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0.2925</v>
      </c>
      <c r="AR3" s="32" cm="1">
        <f t="array" ref="AR3">$G$10+VLOOKUP($R3,武学奇术!$A:$ZZ,7,FALSE)+SUM(_xlfn.XLOOKUP(S3:AG3,增益!$A:$A,增益!$G:$G,0))</f>
        <v>0</v>
      </c>
      <c r="AS3" s="24" cm="1">
        <f t="array" ref="AS3">VLOOKUP($R3,武学奇术!$A:$ZZ,8,FALSE)+SUM(_xlfn.XLOOKUP(S3:AG3,增益!$A:$A,增益!$H:$H,0))</f>
        <v>0</v>
      </c>
      <c r="AT3">
        <f t="shared" ref="AT3:AT43" si="1">$D$11*(1+$AS3)</f>
        <v>557.3</v>
      </c>
      <c r="AU3">
        <f t="shared" ref="AU3:AU43" si="2">$E$11*(1+$AS3)</f>
        <v>1049.5</v>
      </c>
      <c r="AV3" s="32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2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2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2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2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2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2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2" cm="1">
        <f t="array" ref="BI3">$G$14+VLOOKUP($R3,武学奇术!$A:$ZZ,16,FALSE)+SUM(_xlfn.XLOOKUP(S3:AG3,增益!$A:$A,增益!$P:$P,0))</f>
        <v>0</v>
      </c>
      <c r="BJ3" s="24">
        <f>MIN(IF(VLOOKUP($R3,武学奇术!$A:$ZZ,23,FALSE)=1,100%,$B$8),100%)</f>
        <v>0.8271</v>
      </c>
      <c r="BK3" s="24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0.1789</v>
      </c>
      <c r="BL3" s="24" cm="1">
        <f t="array" ref="BL3">1+$B$13+VLOOKUP($R3,武学奇术!$A:$ZZ,18,FALSE)+SUM(_xlfn.XLOOKUP(S3:AG3,增益!$A:$A,增益!$R:$R,0))</f>
        <v>1.5</v>
      </c>
      <c r="BM3" s="24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0.5209</v>
      </c>
      <c r="BN3" s="24" cm="1">
        <f t="array" ref="BN3">1+$B$14+VLOOKUP($R3,武学奇术!$A:$ZZ,20,FALSE)+SUM(_xlfn.XLOOKUP(S3:AG3,增益!$A:$A,增益!$T:$T,0))</f>
        <v>1.682</v>
      </c>
      <c r="BO3" s="24">
        <f t="shared" ref="BO3:BO27" si="9">MIN((1-BM3)*BJ3,BJ3*BK3)</f>
        <v>0.14796819</v>
      </c>
      <c r="BP3" s="24">
        <f t="shared" ref="BP3:BP34" si="10">1-BM3-BO3-BQ3</f>
        <v>0.24829542</v>
      </c>
      <c r="BQ3" s="24">
        <f>IF(VLOOKUP($R3,武学奇术!$A:$ZZ,22,FALSE)=1,0,(1-$BJ3))*(1-$BM3)</f>
        <v>0.08283639</v>
      </c>
      <c r="BR3" s="24" cm="1">
        <f t="array" ref="BR3">SUM(_xlfn.XLOOKUP(S3:AG3,增益!$A:$A,增益!$W:$W,0))+$I$5</f>
        <v>0.11</v>
      </c>
    </row>
    <row r="4" ht="14.25" spans="1:70">
      <c r="A4" s="49" t="s">
        <v>81</v>
      </c>
      <c r="B4" s="50"/>
      <c r="C4" s="50"/>
      <c r="D4" s="50"/>
      <c r="E4" s="51"/>
      <c r="F4" s="44" t="s">
        <v>82</v>
      </c>
      <c r="G4" s="48">
        <f>B15+B17</f>
        <v>0.1704</v>
      </c>
      <c r="H4" s="52" t="s">
        <v>83</v>
      </c>
      <c r="I4" s="14">
        <f>30</f>
        <v>30</v>
      </c>
      <c r="K4" s="30">
        <f>$L4*VLOOKUP($R4,武学奇术!$A:$ZZ,31,FALSE)</f>
        <v>70430.5418648056</v>
      </c>
      <c r="L4" s="30">
        <f t="shared" si="0"/>
        <v>64027.7653316415</v>
      </c>
      <c r="M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52506.3849099672</v>
      </c>
      <c r="N4" s="30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88502.0043440127</v>
      </c>
      <c r="O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35004.2566066448</v>
      </c>
      <c r="P4" s="30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17702.3640738022</v>
      </c>
      <c r="Q4" s="38">
        <v>1</v>
      </c>
      <c r="R4" s="39" t="s">
        <v>84</v>
      </c>
      <c r="S4" s="39" t="s">
        <v>72</v>
      </c>
      <c r="T4" s="39" t="s">
        <v>69</v>
      </c>
      <c r="U4" s="39" t="s">
        <v>73</v>
      </c>
      <c r="V4" s="39" t="s">
        <v>75</v>
      </c>
      <c r="W4" s="39" t="s">
        <v>79</v>
      </c>
      <c r="X4" s="39" t="s">
        <v>85</v>
      </c>
      <c r="Y4" s="39" t="s">
        <v>80</v>
      </c>
      <c r="Z4" s="39" t="s">
        <v>75</v>
      </c>
      <c r="AA4" s="39" t="s">
        <v>75</v>
      </c>
      <c r="AB4" s="39" t="s">
        <v>75</v>
      </c>
      <c r="AC4" s="39" t="s">
        <v>75</v>
      </c>
      <c r="AD4" s="39" t="s">
        <v>75</v>
      </c>
      <c r="AE4" s="39" t="s">
        <v>75</v>
      </c>
      <c r="AF4" s="39" t="s">
        <v>75</v>
      </c>
      <c r="AG4" s="39" t="s">
        <v>76</v>
      </c>
      <c r="AH4" t="str">
        <f>VLOOKUP($R4,武学奇术!$A:$ZZ,25,FALSE)</f>
        <v>剑</v>
      </c>
      <c r="AI4" s="24">
        <f>VLOOKUP($R4,武学奇术!$A:$ZZ,26,FALSE)</f>
        <v>1.5679</v>
      </c>
      <c r="AJ4" s="25">
        <f>VLOOKUP($R4,武学奇术!$A:$ZZ,27,FALSE)*(1+IF(OR($AH4=$F$4,$AH4=$F$5),$B$22,0))</f>
        <v>606.2</v>
      </c>
      <c r="AK4" s="24">
        <f>VLOOKUP($R4,武学奇术!$A:$ZZ,28,FALSE)</f>
        <v>2.3518</v>
      </c>
      <c r="AL4" s="25">
        <f>VLOOKUP($R4,武学奇术!$A:$ZZ,29,FALSE)*(1+IF(OR($AH4=$F$4,$AH4=$F$5),$B$22,0))</f>
        <v>330.4</v>
      </c>
      <c r="AM4" s="24" cm="1">
        <f t="array" ref="AM4">$G$3+IFERROR(VLOOKUP($AH4,$F$4:$G$7,2,FALSE),0)+VLOOKUP($R4,武学奇术!$A:$ZZ,2,FALSE)+SUM(_xlfn.XLOOKUP($S4:$AG4,增益!$A:$A,增益!$B:$B,0))</f>
        <v>1.1241</v>
      </c>
      <c r="AN4" s="24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1364.4</v>
      </c>
      <c r="AP4" cm="1">
        <f t="array" ref="AP4">$E$10*(1+$AN4)+VLOOKUP($R4,武学奇术!$A:$ZZ,4,FALSE)+SUM(_xlfn.XLOOKUP($S4:$AG4,增益!$A:$A,增益!$D:$D,0))-$I$2</f>
        <v>6174.4</v>
      </c>
      <c r="AQ4" s="32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0.2925</v>
      </c>
      <c r="AR4" s="32" cm="1">
        <f t="array" ref="AR4">$G$10+VLOOKUP($R4,武学奇术!$A:$ZZ,7,FALSE)+SUM(_xlfn.XLOOKUP(S4:AG4,增益!$A:$A,增益!$G:$G,0))</f>
        <v>0</v>
      </c>
      <c r="AS4" s="24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32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2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2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2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2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2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2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2" cm="1">
        <f t="array" ref="BI4">$G$14+VLOOKUP($R4,武学奇术!$A:$ZZ,16,FALSE)+SUM(_xlfn.XLOOKUP(S4:AG4,增益!$A:$A,增益!$P:$P,0))</f>
        <v>0</v>
      </c>
      <c r="BJ4" s="24">
        <f>MIN(IF(VLOOKUP($R4,武学奇术!$A:$ZZ,23,FALSE)=1,100%,$B$8),100%)</f>
        <v>0.8271</v>
      </c>
      <c r="BK4" s="24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0.1789</v>
      </c>
      <c r="BL4" s="24" cm="1">
        <f t="array" ref="BL4">1+$B$13+VLOOKUP($R4,武学奇术!$A:$ZZ,18,FALSE)+SUM(_xlfn.XLOOKUP(S4:AG4,增益!$A:$A,增益!$R:$R,0))</f>
        <v>1.5</v>
      </c>
      <c r="BM4" s="24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0.5209</v>
      </c>
      <c r="BN4" s="24" cm="1">
        <f t="array" ref="BN4">1+$B$14+VLOOKUP($R4,武学奇术!$A:$ZZ,20,FALSE)+SUM(_xlfn.XLOOKUP(S4:AG4,增益!$A:$A,增益!$T:$T,0))</f>
        <v>1.692</v>
      </c>
      <c r="BO4" s="24">
        <f t="shared" si="9"/>
        <v>0.14796819</v>
      </c>
      <c r="BP4" s="24">
        <f t="shared" si="10"/>
        <v>0.24829542</v>
      </c>
      <c r="BQ4" s="24">
        <f>IF(VLOOKUP($R4,武学奇术!$A:$ZZ,22,FALSE)=1,0,(1-$BJ4))*(1-$BM4)</f>
        <v>0.08283639</v>
      </c>
      <c r="BR4" s="24" cm="1">
        <f t="array" ref="BR4">SUM(_xlfn.XLOOKUP(S4:AG4,增益!$A:$A,增益!$W:$W,0))+$I$5</f>
        <v>0.11</v>
      </c>
    </row>
    <row r="5" spans="1:70">
      <c r="A5" s="53" t="s">
        <v>86</v>
      </c>
      <c r="B5" s="54"/>
      <c r="C5" s="54"/>
      <c r="D5" s="54"/>
      <c r="E5" s="55"/>
      <c r="F5" s="44" t="s">
        <v>87</v>
      </c>
      <c r="G5" s="48">
        <f>B15+B18</f>
        <v>0.0852</v>
      </c>
      <c r="H5" t="s">
        <v>88</v>
      </c>
      <c r="I5" s="26">
        <v>0.06</v>
      </c>
      <c r="K5" s="30">
        <f>$L5*VLOOKUP($R5,武学奇术!$A:$ZZ,31,FALSE)</f>
        <v>93791.541162734</v>
      </c>
      <c r="L5" s="30">
        <f t="shared" si="0"/>
        <v>85265.0374206672</v>
      </c>
      <c r="M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69925.8288051441</v>
      </c>
      <c r="N5" s="30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117853.792933533</v>
      </c>
      <c r="O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46617.2192034294</v>
      </c>
      <c r="P5" s="30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23580.8964839672</v>
      </c>
      <c r="Q5" s="38">
        <v>1</v>
      </c>
      <c r="R5" s="39" t="s">
        <v>89</v>
      </c>
      <c r="S5" s="39" t="s">
        <v>72</v>
      </c>
      <c r="T5" s="39" t="s">
        <v>69</v>
      </c>
      <c r="U5" s="39" t="s">
        <v>73</v>
      </c>
      <c r="V5" s="39" t="s">
        <v>74</v>
      </c>
      <c r="W5" s="39" t="s">
        <v>79</v>
      </c>
      <c r="X5" s="39" t="s">
        <v>90</v>
      </c>
      <c r="Y5" s="39" t="s">
        <v>80</v>
      </c>
      <c r="Z5" s="39" t="s">
        <v>75</v>
      </c>
      <c r="AA5" s="39" t="s">
        <v>75</v>
      </c>
      <c r="AB5" s="39" t="s">
        <v>75</v>
      </c>
      <c r="AC5" s="39" t="s">
        <v>75</v>
      </c>
      <c r="AD5" s="39" t="s">
        <v>75</v>
      </c>
      <c r="AE5" s="39" t="s">
        <v>75</v>
      </c>
      <c r="AF5" s="39" t="s">
        <v>75</v>
      </c>
      <c r="AG5" s="39" t="s">
        <v>76</v>
      </c>
      <c r="AH5" t="str">
        <f>VLOOKUP($R5,武学奇术!$A:$ZZ,25,FALSE)</f>
        <v>剑</v>
      </c>
      <c r="AI5" s="24">
        <f>VLOOKUP($R5,武学奇术!$A:$ZZ,26,FALSE)</f>
        <v>1.8292</v>
      </c>
      <c r="AJ5" s="25">
        <f>VLOOKUP($R5,武学奇术!$A:$ZZ,27,FALSE)*(1+IF(OR($AH5=$F$4,$AH5=$F$5),$B$22,0))</f>
        <v>708.4</v>
      </c>
      <c r="AK5" s="24">
        <f>VLOOKUP($R5,武学奇术!$A:$ZZ,28,FALSE)</f>
        <v>2.7438</v>
      </c>
      <c r="AL5" s="25">
        <f>VLOOKUP($R5,武学奇术!$A:$ZZ,29,FALSE)*(1+IF(OR($AH5=$F$4,$AH5=$F$5),$B$22,0))</f>
        <v>386.4</v>
      </c>
      <c r="AM5" s="24" cm="1">
        <f t="array" ref="AM5">$G$3+IFERROR(VLOOKUP($AH5,$F$4:$G$7,2,FALSE),0)+VLOOKUP($R5,武学奇术!$A:$ZZ,2,FALSE)+SUM(_xlfn.XLOOKUP($S5:$AG5,增益!$A:$A,增益!$B:$B,0))</f>
        <v>1.4241</v>
      </c>
      <c r="AN5" s="24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1364.4</v>
      </c>
      <c r="AP5" cm="1">
        <f t="array" ref="AP5">$E$10*(1+$AN5)+VLOOKUP($R5,武学奇术!$A:$ZZ,4,FALSE)+SUM(_xlfn.XLOOKUP($S5:$AG5,增益!$A:$A,增益!$D:$D,0))-$I$2</f>
        <v>6174.4</v>
      </c>
      <c r="AQ5" s="32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0.2925</v>
      </c>
      <c r="AR5" s="32" cm="1">
        <f t="array" ref="AR5">$G$10+VLOOKUP($R5,武学奇术!$A:$ZZ,7,FALSE)+SUM(_xlfn.XLOOKUP(S5:AG5,增益!$A:$A,增益!$G:$G,0))</f>
        <v>0</v>
      </c>
      <c r="AS5" s="24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32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2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2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2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2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2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2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2" cm="1">
        <f t="array" ref="BI5">$G$14+VLOOKUP($R5,武学奇术!$A:$ZZ,16,FALSE)+SUM(_xlfn.XLOOKUP(S5:AG5,增益!$A:$A,增益!$P:$P,0))</f>
        <v>0</v>
      </c>
      <c r="BJ5" s="24">
        <f>MIN(IF(VLOOKUP($R5,武学奇术!$A:$ZZ,23,FALSE)=1,100%,$B$8),100%)</f>
        <v>0.8271</v>
      </c>
      <c r="BK5" s="24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0.1789</v>
      </c>
      <c r="BL5" s="24" cm="1">
        <f t="array" ref="BL5">1+$B$13+VLOOKUP($R5,武学奇术!$A:$ZZ,18,FALSE)+SUM(_xlfn.XLOOKUP(S5:AG5,增益!$A:$A,增益!$R:$R,0))</f>
        <v>1.5</v>
      </c>
      <c r="BM5" s="24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0.5209</v>
      </c>
      <c r="BN5" s="24" cm="1">
        <f t="array" ref="BN5">1+$B$14+VLOOKUP($R5,武学奇术!$A:$ZZ,20,FALSE)+SUM(_xlfn.XLOOKUP(S5:AG5,增益!$A:$A,增益!$T:$T,0))</f>
        <v>1.692</v>
      </c>
      <c r="BO5" s="24">
        <f t="shared" si="9"/>
        <v>0.14796819</v>
      </c>
      <c r="BP5" s="24">
        <f t="shared" si="10"/>
        <v>0.24829542</v>
      </c>
      <c r="BQ5" s="24">
        <f>IF(VLOOKUP($R5,武学奇术!$A:$ZZ,22,FALSE)=1,0,(1-$BJ5))*(1-$BM5)</f>
        <v>0.08283639</v>
      </c>
      <c r="BR5" s="24" cm="1">
        <f t="array" ref="BR5">SUM(_xlfn.XLOOKUP(S5:AG5,增益!$A:$A,增益!$W:$W,0))+$I$5</f>
        <v>0.11</v>
      </c>
    </row>
    <row r="6" spans="1:70">
      <c r="A6" s="56" t="s">
        <v>91</v>
      </c>
      <c r="B6" s="57"/>
      <c r="C6" s="57"/>
      <c r="D6" s="57"/>
      <c r="E6" s="58"/>
      <c r="F6" s="44" t="s">
        <v>92</v>
      </c>
      <c r="G6" s="48">
        <f>B19</f>
        <v>0</v>
      </c>
      <c r="K6" s="30">
        <f>$L6*VLOOKUP($R6,武学奇术!$A:$ZZ,31,FALSE)</f>
        <v>25525.684781482</v>
      </c>
      <c r="L6" s="30">
        <f t="shared" si="0"/>
        <v>23205.1679831654</v>
      </c>
      <c r="M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19028.9558388115</v>
      </c>
      <c r="N6" s="30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32075.7404125426</v>
      </c>
      <c r="O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12685.9705592076</v>
      </c>
      <c r="P6" s="30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6414.64773038775</v>
      </c>
      <c r="Q6" s="38">
        <v>1</v>
      </c>
      <c r="R6" s="39" t="s">
        <v>93</v>
      </c>
      <c r="S6" s="39" t="s">
        <v>72</v>
      </c>
      <c r="T6" s="39" t="s">
        <v>69</v>
      </c>
      <c r="U6" s="39" t="s">
        <v>73</v>
      </c>
      <c r="V6" s="39" t="s">
        <v>74</v>
      </c>
      <c r="W6" s="39" t="s">
        <v>75</v>
      </c>
      <c r="X6" s="39" t="s">
        <v>75</v>
      </c>
      <c r="Y6" s="39" t="s">
        <v>75</v>
      </c>
      <c r="Z6" s="39" t="s">
        <v>75</v>
      </c>
      <c r="AA6" s="39" t="s">
        <v>75</v>
      </c>
      <c r="AB6" s="39" t="s">
        <v>75</v>
      </c>
      <c r="AC6" s="39" t="s">
        <v>75</v>
      </c>
      <c r="AD6" s="39" t="s">
        <v>75</v>
      </c>
      <c r="AE6" s="39" t="s">
        <v>75</v>
      </c>
      <c r="AF6" s="39" t="s">
        <v>75</v>
      </c>
      <c r="AG6" s="39" t="s">
        <v>76</v>
      </c>
      <c r="AH6" t="str">
        <f>VLOOKUP($R6,武学奇术!$A:$ZZ,25,FALSE)</f>
        <v>剑</v>
      </c>
      <c r="AI6" s="24">
        <f>VLOOKUP($R6,武学奇术!$A:$ZZ,26,FALSE)</f>
        <v>1.0253</v>
      </c>
      <c r="AJ6" s="25">
        <f>VLOOKUP($R6,武学奇术!$A:$ZZ,27,FALSE)*(1+IF(OR($AH6=$F$4,$AH6=$F$5),$B$22,0))</f>
        <v>396.2</v>
      </c>
      <c r="AK6" s="24">
        <f>VLOOKUP($R6,武学奇术!$A:$ZZ,28,FALSE)</f>
        <v>1.538</v>
      </c>
      <c r="AL6" s="25">
        <f>VLOOKUP($R6,武学奇术!$A:$ZZ,29,FALSE)*(1+IF(OR($AH6=$F$4,$AH6=$F$5),$B$22,0))</f>
        <v>215.6</v>
      </c>
      <c r="AM6" s="24" cm="1">
        <f t="array" ref="AM6">$G$3+IFERROR(VLOOKUP($AH6,$F$4:$G$7,2,FALSE),0)+VLOOKUP($R6,武学奇术!$A:$ZZ,2,FALSE)+SUM(_xlfn.XLOOKUP($S6:$AG6,增益!$A:$A,增益!$B:$B,0))</f>
        <v>0.5541</v>
      </c>
      <c r="AN6" s="24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1364.4</v>
      </c>
      <c r="AP6" cm="1">
        <f t="array" ref="AP6">$E$10*(1+$AN6)+VLOOKUP($R6,武学奇术!$A:$ZZ,4,FALSE)+SUM(_xlfn.XLOOKUP($S6:$AG6,增益!$A:$A,增益!$D:$D,0))-$I$2</f>
        <v>6174.4</v>
      </c>
      <c r="AQ6" s="32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0.2925</v>
      </c>
      <c r="AR6" s="32" cm="1">
        <f t="array" ref="AR6">$G$10+VLOOKUP($R6,武学奇术!$A:$ZZ,7,FALSE)+SUM(_xlfn.XLOOKUP(S6:AG6,增益!$A:$A,增益!$G:$G,0))</f>
        <v>0</v>
      </c>
      <c r="AS6" s="24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32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2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2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2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2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2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2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2" cm="1">
        <f t="array" ref="BI6">$G$14+VLOOKUP($R6,武学奇术!$A:$ZZ,16,FALSE)+SUM(_xlfn.XLOOKUP(S6:AG6,增益!$A:$A,增益!$P:$P,0))</f>
        <v>0</v>
      </c>
      <c r="BJ6" s="24">
        <f>MIN(IF(VLOOKUP($R6,武学奇术!$A:$ZZ,23,FALSE)=1,100%,$B$8),100%)</f>
        <v>0.8271</v>
      </c>
      <c r="BK6" s="24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0.1789</v>
      </c>
      <c r="BL6" s="24" cm="1">
        <f t="array" ref="BL6">1+$B$13+VLOOKUP($R6,武学奇术!$A:$ZZ,18,FALSE)+SUM(_xlfn.XLOOKUP(S6:AG6,增益!$A:$A,增益!$R:$R,0))</f>
        <v>1.5</v>
      </c>
      <c r="BM6" s="24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0.5209</v>
      </c>
      <c r="BN6" s="24" cm="1">
        <f t="array" ref="BN6">1+$B$14+VLOOKUP($R6,武学奇术!$A:$ZZ,20,FALSE)+SUM(_xlfn.XLOOKUP(S6:AG6,增益!$A:$A,增益!$T:$T,0))</f>
        <v>1.692</v>
      </c>
      <c r="BO6" s="24">
        <f t="shared" si="9"/>
        <v>0.14796819</v>
      </c>
      <c r="BP6" s="24">
        <f t="shared" si="10"/>
        <v>0.24829542</v>
      </c>
      <c r="BQ6" s="24">
        <f>IF(VLOOKUP($R6,武学奇术!$A:$ZZ,22,FALSE)=1,0,(1-$BJ6))*(1-$BM6)</f>
        <v>0.08283639</v>
      </c>
      <c r="BR6" s="24" cm="1">
        <f t="array" ref="BR6">SUM(_xlfn.XLOOKUP(S6:AG6,增益!$A:$A,增益!$W:$W,0))+$I$5</f>
        <v>0.11</v>
      </c>
    </row>
    <row r="7" ht="14.25" spans="1:70">
      <c r="A7" s="83" t="s">
        <v>94</v>
      </c>
      <c r="B7" s="94">
        <v>66</v>
      </c>
      <c r="C7" s="59">
        <v>66</v>
      </c>
      <c r="D7" s="60"/>
      <c r="E7" s="61"/>
      <c r="F7" s="52" t="s">
        <v>95</v>
      </c>
      <c r="G7" s="62">
        <f>B20</f>
        <v>0</v>
      </c>
      <c r="K7" s="30">
        <f>$L7*VLOOKUP($R7,武学奇术!$A:$ZZ,31,FALSE)</f>
        <v>270339.763775246</v>
      </c>
      <c r="L7" s="30">
        <f t="shared" si="0"/>
        <v>245763.42161386</v>
      </c>
      <c r="M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187206.219587253</v>
      </c>
      <c r="N7" s="30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349098.879763975</v>
      </c>
      <c r="O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124804.146391502</v>
      </c>
      <c r="P7" s="30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63123.8484646417</v>
      </c>
      <c r="Q7" s="38">
        <v>1</v>
      </c>
      <c r="R7" s="39" t="s">
        <v>96</v>
      </c>
      <c r="S7" s="39" t="s">
        <v>72</v>
      </c>
      <c r="T7" s="39" t="s">
        <v>69</v>
      </c>
      <c r="U7" s="39" t="s">
        <v>73</v>
      </c>
      <c r="V7" s="39" t="s">
        <v>74</v>
      </c>
      <c r="W7" s="39" t="s">
        <v>79</v>
      </c>
      <c r="X7" s="39" t="s">
        <v>97</v>
      </c>
      <c r="Y7" s="39" t="s">
        <v>80</v>
      </c>
      <c r="Z7" s="39" t="s">
        <v>98</v>
      </c>
      <c r="AA7" s="39" t="s">
        <v>75</v>
      </c>
      <c r="AB7" s="39" t="s">
        <v>75</v>
      </c>
      <c r="AC7" s="39" t="s">
        <v>75</v>
      </c>
      <c r="AD7" s="39" t="s">
        <v>75</v>
      </c>
      <c r="AE7" s="39" t="s">
        <v>75</v>
      </c>
      <c r="AF7" s="39" t="s">
        <v>75</v>
      </c>
      <c r="AG7" s="39" t="s">
        <v>76</v>
      </c>
      <c r="AH7" t="str">
        <f>VLOOKUP($R7,武学奇术!$A:$ZZ,25,FALSE)</f>
        <v>剑</v>
      </c>
      <c r="AI7" s="24">
        <f>VLOOKUP($R7,武学奇术!$A:$ZZ,26,FALSE)</f>
        <v>4.7037</v>
      </c>
      <c r="AJ7" s="25">
        <f>VLOOKUP($R7,武学奇术!$A:$ZZ,27,FALSE)*(1+IF(OR($AH7=$F$4,$AH7=$F$5),$B$22,0))</f>
        <v>1820</v>
      </c>
      <c r="AK7" s="24">
        <f>VLOOKUP($R7,武学奇术!$A:$ZZ,28,FALSE)</f>
        <v>7.0554</v>
      </c>
      <c r="AL7" s="25">
        <f>VLOOKUP($R7,武学奇术!$A:$ZZ,29,FALSE)*(1+IF(OR($AH7=$F$4,$AH7=$F$5),$B$22,0))</f>
        <v>992.6</v>
      </c>
      <c r="AM7" s="24" cm="1">
        <f t="array" ref="AM7">$G$3+IFERROR(VLOOKUP($AH7,$F$4:$G$7,2,FALSE),0)+VLOOKUP($R7,武学奇术!$A:$ZZ,2,FALSE)+SUM(_xlfn.XLOOKUP($S7:$AG7,增益!$A:$A,增益!$B:$B,0))</f>
        <v>1.5241</v>
      </c>
      <c r="AN7" s="24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1364.4</v>
      </c>
      <c r="AP7" cm="1">
        <f t="array" ref="AP7">$E$10*(1+$AN7)+VLOOKUP($R7,武学奇术!$A:$ZZ,4,FALSE)+SUM(_xlfn.XLOOKUP($S7:$AG7,增益!$A:$A,增益!$D:$D,0))-$I$2</f>
        <v>6174.4</v>
      </c>
      <c r="AQ7" s="32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0.2925</v>
      </c>
      <c r="AR7" s="32" cm="1">
        <f t="array" ref="AR7">$G$10+VLOOKUP($R7,武学奇术!$A:$ZZ,7,FALSE)+SUM(_xlfn.XLOOKUP(S7:AG7,增益!$A:$A,增益!$G:$G,0))</f>
        <v>0</v>
      </c>
      <c r="AS7" s="24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32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2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2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2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2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2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2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2" cm="1">
        <f t="array" ref="BI7">$G$14+VLOOKUP($R7,武学奇术!$A:$ZZ,16,FALSE)+SUM(_xlfn.XLOOKUP(S7:AG7,增益!$A:$A,增益!$P:$P,0))</f>
        <v>0</v>
      </c>
      <c r="BJ7" s="24">
        <f>MIN(IF(VLOOKUP($R7,武学奇术!$A:$ZZ,23,FALSE)=1,100%,$B$8),100%)</f>
        <v>0.8271</v>
      </c>
      <c r="BK7" s="24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0.1789</v>
      </c>
      <c r="BL7" s="24" cm="1">
        <f t="array" ref="BL7">1+$B$13+VLOOKUP($R7,武学奇术!$A:$ZZ,18,FALSE)+SUM(_xlfn.XLOOKUP(S7:AG7,增益!$A:$A,增益!$R:$R,0))</f>
        <v>1.5</v>
      </c>
      <c r="BM7" s="24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0.5209</v>
      </c>
      <c r="BN7" s="24" cm="1">
        <f t="array" ref="BN7">1+$B$14+VLOOKUP($R7,武学奇术!$A:$ZZ,20,FALSE)+SUM(_xlfn.XLOOKUP(S7:AG7,增益!$A:$A,增益!$T:$T,0))</f>
        <v>1.872</v>
      </c>
      <c r="BO7" s="24">
        <f t="shared" si="9"/>
        <v>0.14796819</v>
      </c>
      <c r="BP7" s="24">
        <f t="shared" si="10"/>
        <v>0.24829542</v>
      </c>
      <c r="BQ7" s="24">
        <f>IF(VLOOKUP($R7,武学奇术!$A:$ZZ,22,FALSE)=1,0,(1-$BJ7))*(1-$BM7)</f>
        <v>0.08283639</v>
      </c>
      <c r="BR7" s="24" cm="1">
        <f t="array" ref="BR7">SUM(_xlfn.XLOOKUP(S7:AG7,增益!$A:$A,增益!$W:$W,0))+$I$5</f>
        <v>0.11</v>
      </c>
    </row>
    <row r="8" spans="1:70">
      <c r="A8" s="63" t="s">
        <v>99</v>
      </c>
      <c r="B8" s="64">
        <v>0.8271</v>
      </c>
      <c r="C8" s="36" t="s">
        <v>100</v>
      </c>
      <c r="D8" s="65"/>
      <c r="E8" s="65"/>
      <c r="F8" s="65"/>
      <c r="G8" s="37"/>
      <c r="H8" s="66" t="s">
        <v>101</v>
      </c>
      <c r="I8" s="19">
        <v>109.1</v>
      </c>
      <c r="J8" s="67"/>
      <c r="K8" s="30">
        <f>$L8*VLOOKUP($R8,武学奇术!$A:$ZZ,31,FALSE)</f>
        <v>34300.1637659342</v>
      </c>
      <c r="L8" s="30">
        <f t="shared" si="0"/>
        <v>31181.9670599402</v>
      </c>
      <c r="M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23356.3181523924</v>
      </c>
      <c r="N8" s="30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42984.6746935925</v>
      </c>
      <c r="O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15570.8787682616</v>
      </c>
      <c r="P8" s="30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7287.88700733752</v>
      </c>
      <c r="Q8" s="38">
        <v>1</v>
      </c>
      <c r="R8" s="39" t="s">
        <v>71</v>
      </c>
      <c r="S8" s="39" t="s">
        <v>102</v>
      </c>
      <c r="T8" s="39" t="s">
        <v>69</v>
      </c>
      <c r="U8" s="39" t="s">
        <v>73</v>
      </c>
      <c r="V8" s="39" t="s">
        <v>74</v>
      </c>
      <c r="W8" s="39" t="s">
        <v>75</v>
      </c>
      <c r="X8" s="39" t="s">
        <v>75</v>
      </c>
      <c r="Y8" s="39" t="s">
        <v>75</v>
      </c>
      <c r="Z8" s="39" t="s">
        <v>75</v>
      </c>
      <c r="AA8" s="39" t="s">
        <v>103</v>
      </c>
      <c r="AB8" s="39" t="s">
        <v>75</v>
      </c>
      <c r="AC8" s="39" t="s">
        <v>75</v>
      </c>
      <c r="AD8" s="39" t="s">
        <v>104</v>
      </c>
      <c r="AE8" s="39" t="s">
        <v>75</v>
      </c>
      <c r="AF8" s="39" t="s">
        <v>75</v>
      </c>
      <c r="AG8" s="39" t="s">
        <v>76</v>
      </c>
      <c r="AH8" t="str">
        <f>VLOOKUP($R8,武学奇术!$A:$ZZ,25,FALSE)</f>
        <v>群体奇术</v>
      </c>
      <c r="AI8" s="24">
        <f>VLOOKUP($R8,武学奇术!$A:$ZZ,26,FALSE)</f>
        <v>1.4904</v>
      </c>
      <c r="AJ8" s="25">
        <f>VLOOKUP($R8,武学奇术!$A:$ZZ,27,FALSE)*(1+IF(OR($AH8=$F$4,$AH8=$F$5),$B$22,0))</f>
        <v>368</v>
      </c>
      <c r="AK8" s="24">
        <f>VLOOKUP($R8,武学奇术!$A:$ZZ,28,FALSE)</f>
        <v>2.2353</v>
      </c>
      <c r="AL8" s="25">
        <f>VLOOKUP($R8,武学奇术!$A:$ZZ,29,FALSE)*(1+IF(OR($AH8=$F$4,$AH8=$F$5),$B$22,0))</f>
        <v>0</v>
      </c>
      <c r="AM8" s="24" cm="1">
        <f t="array" ref="AM8">$G$3+IFERROR(VLOOKUP($AH8,$F$4:$G$7,2,FALSE),0)+VLOOKUP($R8,武学奇术!$A:$ZZ,2,FALSE)+SUM(_xlfn.XLOOKUP($S8:$AG8,增益!$A:$A,增益!$B:$B,0))</f>
        <v>0.3987</v>
      </c>
      <c r="AN8" s="24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1364.4</v>
      </c>
      <c r="AP8" cm="1">
        <f t="array" ref="AP8">$E$10*(1+$AN8)+VLOOKUP($R8,武学奇术!$A:$ZZ,4,FALSE)+SUM(_xlfn.XLOOKUP($S8:$AG8,增益!$A:$A,增益!$D:$D,0))-$I$2</f>
        <v>6174.4</v>
      </c>
      <c r="AQ8" s="32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0.2925</v>
      </c>
      <c r="AR8" s="32" cm="1">
        <f t="array" ref="AR8">$G$10+VLOOKUP($R8,武学奇术!$A:$ZZ,7,FALSE)+SUM(_xlfn.XLOOKUP(S8:AG8,增益!$A:$A,增益!$G:$G,0))</f>
        <v>0</v>
      </c>
      <c r="AS8" s="24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32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0.11</v>
      </c>
      <c r="AW8" s="32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2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-0.14</v>
      </c>
      <c r="BA8" s="32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2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-0.14</v>
      </c>
      <c r="BE8" s="32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2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-0.14</v>
      </c>
      <c r="BI8" s="32" cm="1">
        <f t="array" ref="BI8">$G$14+VLOOKUP($R8,武学奇术!$A:$ZZ,16,FALSE)+SUM(_xlfn.XLOOKUP(S8:AG8,增益!$A:$A,增益!$P:$P,0))</f>
        <v>0</v>
      </c>
      <c r="BJ8" s="24">
        <f>MIN(IF(VLOOKUP($R8,武学奇术!$A:$ZZ,23,FALSE)=1,100%,$B$8),100%)</f>
        <v>0.8271</v>
      </c>
      <c r="BK8" s="24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0.1789</v>
      </c>
      <c r="BL8" s="24" cm="1">
        <f t="array" ref="BL8">1+$B$13+VLOOKUP($R8,武学奇术!$A:$ZZ,18,FALSE)+SUM(_xlfn.XLOOKUP(S8:AG8,增益!$A:$A,增益!$R:$R,0))</f>
        <v>1.5</v>
      </c>
      <c r="BM8" s="24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0.5509</v>
      </c>
      <c r="BN8" s="24" cm="1">
        <f t="array" ref="BN8">1+$B$14+VLOOKUP($R8,武学奇术!$A:$ZZ,20,FALSE)+SUM(_xlfn.XLOOKUP(S8:AG8,增益!$A:$A,增益!$T:$T,0))</f>
        <v>1.802</v>
      </c>
      <c r="BO8" s="24">
        <f t="shared" si="9"/>
        <v>0.14796819</v>
      </c>
      <c r="BP8" s="24">
        <f t="shared" si="10"/>
        <v>0.22348242</v>
      </c>
      <c r="BQ8" s="24">
        <f>IF(VLOOKUP($R8,武学奇术!$A:$ZZ,22,FALSE)=1,0,(1-$BJ8))*(1-$BM8)</f>
        <v>0.07764939</v>
      </c>
      <c r="BR8" s="24" cm="1">
        <f t="array" ref="BR8">SUM(_xlfn.XLOOKUP(S8:AG8,增益!$A:$A,增益!$W:$W,0))+$I$5</f>
        <v>0.11</v>
      </c>
    </row>
    <row r="9" spans="1:70">
      <c r="A9" s="40" t="s">
        <v>105</v>
      </c>
      <c r="B9" s="68">
        <v>0.1789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1"/>
      <c r="J9" s="70"/>
      <c r="K9" s="30">
        <f>$L9*VLOOKUP($R9,武学奇术!$A:$ZZ,31,FALSE)</f>
        <v>300777.806049641</v>
      </c>
      <c r="L9" s="30">
        <f t="shared" si="0"/>
        <v>273434.369136037</v>
      </c>
      <c r="M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194261.683026809</v>
      </c>
      <c r="N9" s="30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382306.081628184</v>
      </c>
      <c r="O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129507.788684539</v>
      </c>
      <c r="P9" s="30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66126.5351752419</v>
      </c>
      <c r="Q9" s="38">
        <v>1</v>
      </c>
      <c r="R9" s="39" t="s">
        <v>96</v>
      </c>
      <c r="S9" s="39" t="s">
        <v>102</v>
      </c>
      <c r="T9" s="39" t="s">
        <v>69</v>
      </c>
      <c r="U9" s="39" t="s">
        <v>73</v>
      </c>
      <c r="V9" s="39" t="s">
        <v>74</v>
      </c>
      <c r="W9" s="39" t="s">
        <v>106</v>
      </c>
      <c r="X9" s="39" t="s">
        <v>97</v>
      </c>
      <c r="Y9" s="39" t="s">
        <v>80</v>
      </c>
      <c r="Z9" s="39" t="s">
        <v>98</v>
      </c>
      <c r="AA9" s="39" t="s">
        <v>103</v>
      </c>
      <c r="AB9" s="39" t="s">
        <v>75</v>
      </c>
      <c r="AC9" s="39" t="s">
        <v>75</v>
      </c>
      <c r="AD9" s="39" t="s">
        <v>104</v>
      </c>
      <c r="AE9" s="39" t="s">
        <v>75</v>
      </c>
      <c r="AF9" s="39" t="s">
        <v>75</v>
      </c>
      <c r="AG9" s="39" t="s">
        <v>76</v>
      </c>
      <c r="AH9" t="str">
        <f>VLOOKUP($R9,武学奇术!$A:$ZZ,25,FALSE)</f>
        <v>剑</v>
      </c>
      <c r="AI9" s="24">
        <f>VLOOKUP($R9,武学奇术!$A:$ZZ,26,FALSE)</f>
        <v>4.7037</v>
      </c>
      <c r="AJ9" s="25">
        <f>VLOOKUP($R9,武学奇术!$A:$ZZ,27,FALSE)*(1+IF(OR($AH9=$F$4,$AH9=$F$5),$B$22,0))</f>
        <v>1820</v>
      </c>
      <c r="AK9" s="24">
        <f>VLOOKUP($R9,武学奇术!$A:$ZZ,28,FALSE)</f>
        <v>7.0554</v>
      </c>
      <c r="AL9" s="25">
        <f>VLOOKUP($R9,武学奇术!$A:$ZZ,29,FALSE)*(1+IF(OR($AH9=$F$4,$AH9=$F$5),$B$22,0))</f>
        <v>992.6</v>
      </c>
      <c r="AM9" s="24" cm="1">
        <f t="array" ref="AM9">$G$3+IFERROR(VLOOKUP($AH9,$F$4:$G$7,2,FALSE),0)+VLOOKUP($R9,武学奇术!$A:$ZZ,2,FALSE)+SUM(_xlfn.XLOOKUP($S9:$AG9,增益!$A:$A,增益!$B:$B,0))</f>
        <v>1.5691</v>
      </c>
      <c r="AN9" s="24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1364.4</v>
      </c>
      <c r="AP9" cm="1">
        <f t="array" ref="AP9">$E$10*(1+$AN9)+VLOOKUP($R9,武学奇术!$A:$ZZ,4,FALSE)+SUM(_xlfn.XLOOKUP($S9:$AG9,增益!$A:$A,增益!$D:$D,0))-$I$2</f>
        <v>6174.4</v>
      </c>
      <c r="AQ9" s="32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0.2925</v>
      </c>
      <c r="AR9" s="32" cm="1">
        <f t="array" ref="AR9">$G$10+VLOOKUP($R9,武学奇术!$A:$ZZ,7,FALSE)+SUM(_xlfn.XLOOKUP(S9:AG9,增益!$A:$A,增益!$G:$G,0))</f>
        <v>0</v>
      </c>
      <c r="AS9" s="24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32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0.11</v>
      </c>
      <c r="AW9" s="32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2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32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2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32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2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-0.14</v>
      </c>
      <c r="BI9" s="32" cm="1">
        <f t="array" ref="BI9">$G$14+VLOOKUP($R9,武学奇术!$A:$ZZ,16,FALSE)+SUM(_xlfn.XLOOKUP(S9:AG9,增益!$A:$A,增益!$P:$P,0))</f>
        <v>0</v>
      </c>
      <c r="BJ9" s="24">
        <f>MIN(IF(VLOOKUP($R9,武学奇术!$A:$ZZ,23,FALSE)=1,100%,$B$8),100%)</f>
        <v>0.8271</v>
      </c>
      <c r="BK9" s="24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0.1789</v>
      </c>
      <c r="BL9" s="24" cm="1">
        <f t="array" ref="BL9">1+$B$13+VLOOKUP($R9,武学奇术!$A:$ZZ,18,FALSE)+SUM(_xlfn.XLOOKUP(S9:AG9,增益!$A:$A,增益!$R:$R,0))</f>
        <v>1.5</v>
      </c>
      <c r="BM9" s="24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0.5509</v>
      </c>
      <c r="BN9" s="24" cm="1">
        <f t="array" ref="BN9">1+$B$14+VLOOKUP($R9,武学奇术!$A:$ZZ,20,FALSE)+SUM(_xlfn.XLOOKUP(S9:AG9,增益!$A:$A,增益!$T:$T,0))</f>
        <v>1.982</v>
      </c>
      <c r="BO9" s="24">
        <f t="shared" si="9"/>
        <v>0.14796819</v>
      </c>
      <c r="BP9" s="24">
        <f t="shared" si="10"/>
        <v>0.22348242</v>
      </c>
      <c r="BQ9" s="24">
        <f>IF(VLOOKUP($R9,武学奇术!$A:$ZZ,22,FALSE)=1,0,(1-$BJ9))*(1-$BM9)</f>
        <v>0.07764939</v>
      </c>
      <c r="BR9" s="24" cm="1">
        <f t="array" ref="BR9">SUM(_xlfn.XLOOKUP(S9:AG9,增益!$A:$A,增益!$W:$W,0))+$I$5</f>
        <v>0.11</v>
      </c>
    </row>
    <row r="10" spans="1:70">
      <c r="A10" s="40" t="s">
        <v>107</v>
      </c>
      <c r="B10" s="68">
        <v>0.3929</v>
      </c>
      <c r="C10" s="44" t="s">
        <v>67</v>
      </c>
      <c r="D10">
        <f>(B2+B23)*IF($G$2="飞隼",1.1,1)</f>
        <v>1922.4</v>
      </c>
      <c r="E10">
        <f>MAX(B2+B23,C2+B24)*IF($G$2="飞隼",1.1,1)</f>
        <v>6732.4</v>
      </c>
      <c r="F10">
        <f>D2</f>
        <v>63.5</v>
      </c>
      <c r="G10" s="95">
        <f>E2</f>
        <v>0</v>
      </c>
      <c r="H10" s="66" t="s">
        <v>108</v>
      </c>
      <c r="I10" s="71">
        <f>SUM(L:L)</f>
        <v>13154257.2754926</v>
      </c>
      <c r="J10" s="72"/>
      <c r="K10" s="30">
        <f>$L10*VLOOKUP($R10,武学奇术!$A:$ZZ,31,FALSE)</f>
        <v>85175.5766228081</v>
      </c>
      <c r="L10" s="30">
        <f t="shared" si="0"/>
        <v>77432.342384371</v>
      </c>
      <c r="M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55011.7531047466</v>
      </c>
      <c r="N10" s="30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108263.205695839</v>
      </c>
      <c r="O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36674.5020698311</v>
      </c>
      <c r="P10" s="30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18725.7923859595</v>
      </c>
      <c r="Q10" s="38">
        <v>1</v>
      </c>
      <c r="R10" s="39" t="s">
        <v>78</v>
      </c>
      <c r="S10" s="39" t="s">
        <v>102</v>
      </c>
      <c r="T10" s="39" t="s">
        <v>69</v>
      </c>
      <c r="U10" s="39" t="s">
        <v>73</v>
      </c>
      <c r="V10" s="39" t="s">
        <v>74</v>
      </c>
      <c r="W10" s="39" t="s">
        <v>109</v>
      </c>
      <c r="X10" s="39" t="s">
        <v>97</v>
      </c>
      <c r="Y10" s="39" t="s">
        <v>80</v>
      </c>
      <c r="Z10" s="39" t="s">
        <v>98</v>
      </c>
      <c r="AA10" s="39" t="s">
        <v>103</v>
      </c>
      <c r="AB10" s="39" t="s">
        <v>75</v>
      </c>
      <c r="AC10" s="39" t="s">
        <v>75</v>
      </c>
      <c r="AD10" s="39" t="s">
        <v>104</v>
      </c>
      <c r="AE10" s="39" t="s">
        <v>75</v>
      </c>
      <c r="AF10" s="39" t="s">
        <v>75</v>
      </c>
      <c r="AG10" s="39" t="s">
        <v>76</v>
      </c>
      <c r="AH10" t="str">
        <f>VLOOKUP($R10,武学奇术!$A:$ZZ,25,FALSE)</f>
        <v>剑</v>
      </c>
      <c r="AI10" s="24">
        <f>VLOOKUP($R10,武学奇术!$A:$ZZ,26,FALSE)</f>
        <v>1.3066</v>
      </c>
      <c r="AJ10" s="25">
        <f>VLOOKUP($R10,武学奇术!$A:$ZZ,27,FALSE)*(1+IF(OR($AH10=$F$4,$AH10=$F$5),$B$22,0))</f>
        <v>505.4</v>
      </c>
      <c r="AK10" s="24">
        <f>VLOOKUP($R10,武学奇术!$A:$ZZ,28,FALSE)</f>
        <v>1.9598</v>
      </c>
      <c r="AL10" s="25">
        <f>VLOOKUP($R10,武学奇术!$A:$ZZ,29,FALSE)*(1+IF(OR($AH10=$F$4,$AH10=$F$5),$B$22,0))</f>
        <v>275.8</v>
      </c>
      <c r="AM10" s="24" cm="1">
        <f t="array" ref="AM10">$G$3+IFERROR(VLOOKUP($AH10,$F$4:$G$7,2,FALSE),0)+VLOOKUP($R10,武学奇术!$A:$ZZ,2,FALSE)+SUM(_xlfn.XLOOKUP($S10:$AG10,增益!$A:$A,增益!$B:$B,0))</f>
        <v>1.6191</v>
      </c>
      <c r="AN10" s="24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1364.4</v>
      </c>
      <c r="AP10" cm="1">
        <f t="array" ref="AP10">$E$10*(1+$AN10)+VLOOKUP($R10,武学奇术!$A:$ZZ,4,FALSE)+SUM(_xlfn.XLOOKUP($S10:$AG10,增益!$A:$A,增益!$D:$D,0))-$I$2</f>
        <v>6174.4</v>
      </c>
      <c r="AQ10" s="32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0.2925</v>
      </c>
      <c r="AR10" s="32" cm="1">
        <f t="array" ref="AR10">$G$10+VLOOKUP($R10,武学奇术!$A:$ZZ,7,FALSE)+SUM(_xlfn.XLOOKUP(S10:AG10,增益!$A:$A,增益!$G:$G,0))</f>
        <v>0</v>
      </c>
      <c r="AS10" s="24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32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0.11</v>
      </c>
      <c r="AW10" s="32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2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-0.14</v>
      </c>
      <c r="BA10" s="32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2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-0.14</v>
      </c>
      <c r="BE10" s="32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2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-0.14</v>
      </c>
      <c r="BI10" s="32" cm="1">
        <f t="array" ref="BI10">$G$14+VLOOKUP($R10,武学奇术!$A:$ZZ,16,FALSE)+SUM(_xlfn.XLOOKUP(S10:AG10,增益!$A:$A,增益!$P:$P,0))</f>
        <v>0</v>
      </c>
      <c r="BJ10" s="24">
        <f>MIN(IF(VLOOKUP($R10,武学奇术!$A:$ZZ,23,FALSE)=1,100%,$B$8),100%)</f>
        <v>0.8271</v>
      </c>
      <c r="BK10" s="24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0.1789</v>
      </c>
      <c r="BL10" s="24" cm="1">
        <f t="array" ref="BL10">1+$B$13+VLOOKUP($R10,武学奇术!$A:$ZZ,18,FALSE)+SUM(_xlfn.XLOOKUP(S10:AG10,增益!$A:$A,增益!$R:$R,0))</f>
        <v>1.5</v>
      </c>
      <c r="BM10" s="24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0.5509</v>
      </c>
      <c r="BN10" s="24" cm="1">
        <f t="array" ref="BN10">1+$B$14+VLOOKUP($R10,武学奇术!$A:$ZZ,20,FALSE)+SUM(_xlfn.XLOOKUP(S10:AG10,增益!$A:$A,增益!$T:$T,0))</f>
        <v>1.982</v>
      </c>
      <c r="BO10" s="24">
        <f t="shared" si="9"/>
        <v>0.14796819</v>
      </c>
      <c r="BP10" s="24">
        <f t="shared" si="10"/>
        <v>0.22348242</v>
      </c>
      <c r="BQ10" s="24">
        <f>IF(VLOOKUP($R10,武学奇术!$A:$ZZ,22,FALSE)=1,0,(1-$BJ10))*(1-$BM10)</f>
        <v>0.07764939</v>
      </c>
      <c r="BR10" s="24" cm="1">
        <f t="array" ref="BR10">SUM(_xlfn.XLOOKUP(S10:AG10,增益!$A:$A,增益!$W:$W,0))+$I$5</f>
        <v>0.11</v>
      </c>
    </row>
    <row r="11" spans="1:70">
      <c r="A11" s="40" t="s">
        <v>110</v>
      </c>
      <c r="B11" s="68">
        <v>0</v>
      </c>
      <c r="C11" s="44" t="s">
        <v>5</v>
      </c>
      <c r="D11">
        <f>B3+IF($G$1=$C11,$B$7,0)</f>
        <v>557.3</v>
      </c>
      <c r="E11">
        <f>MAX(B3,C3)+IF($G$1=$C11,$C$7,0)</f>
        <v>1049.5</v>
      </c>
      <c r="F11">
        <f>D3</f>
        <v>36</v>
      </c>
      <c r="G11" s="95">
        <f>E3</f>
        <v>0.15</v>
      </c>
      <c r="H11" s="69"/>
      <c r="I11" s="73"/>
      <c r="J11" s="74"/>
      <c r="K11" s="30">
        <f>$L11*VLOOKUP($R11,武学奇术!$A:$ZZ,31,FALSE)</f>
        <v>102200.318025031</v>
      </c>
      <c r="L11" s="30">
        <f t="shared" si="0"/>
        <v>92909.3800227552</v>
      </c>
      <c r="M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66005.5235777229</v>
      </c>
      <c r="N11" s="30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129904.132319343</v>
      </c>
      <c r="O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44003.6823851486</v>
      </c>
      <c r="P11" s="30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22465.4211177527</v>
      </c>
      <c r="Q11" s="38">
        <v>1</v>
      </c>
      <c r="R11" s="39" t="s">
        <v>84</v>
      </c>
      <c r="S11" s="39" t="s">
        <v>102</v>
      </c>
      <c r="T11" s="39" t="s">
        <v>69</v>
      </c>
      <c r="U11" s="39" t="s">
        <v>73</v>
      </c>
      <c r="V11" s="39" t="s">
        <v>74</v>
      </c>
      <c r="W11" s="39" t="s">
        <v>109</v>
      </c>
      <c r="X11" s="39" t="s">
        <v>97</v>
      </c>
      <c r="Y11" s="39" t="s">
        <v>80</v>
      </c>
      <c r="Z11" s="39" t="s">
        <v>98</v>
      </c>
      <c r="AA11" s="39" t="s">
        <v>103</v>
      </c>
      <c r="AB11" s="39" t="s">
        <v>75</v>
      </c>
      <c r="AC11" s="39" t="s">
        <v>75</v>
      </c>
      <c r="AD11" s="39" t="s">
        <v>104</v>
      </c>
      <c r="AE11" s="39" t="s">
        <v>75</v>
      </c>
      <c r="AF11" s="39" t="s">
        <v>75</v>
      </c>
      <c r="AG11" s="39" t="s">
        <v>76</v>
      </c>
      <c r="AH11" t="str">
        <f>VLOOKUP($R11,武学奇术!$A:$ZZ,25,FALSE)</f>
        <v>剑</v>
      </c>
      <c r="AI11" s="24">
        <f>VLOOKUP($R11,武学奇术!$A:$ZZ,26,FALSE)</f>
        <v>1.5679</v>
      </c>
      <c r="AJ11" s="25">
        <f>VLOOKUP($R11,武学奇术!$A:$ZZ,27,FALSE)*(1+IF(OR($AH11=$F$4,$AH11=$F$5),$B$22,0))</f>
        <v>606.2</v>
      </c>
      <c r="AK11" s="24">
        <f>VLOOKUP($R11,武学奇术!$A:$ZZ,28,FALSE)</f>
        <v>2.3518</v>
      </c>
      <c r="AL11" s="25">
        <f>VLOOKUP($R11,武学奇术!$A:$ZZ,29,FALSE)*(1+IF(OR($AH11=$F$4,$AH11=$F$5),$B$22,0))</f>
        <v>330.4</v>
      </c>
      <c r="AM11" s="24" cm="1">
        <f t="array" ref="AM11">$G$3+IFERROR(VLOOKUP($AH11,$F$4:$G$7,2,FALSE),0)+VLOOKUP($R11,武学奇术!$A:$ZZ,2,FALSE)+SUM(_xlfn.XLOOKUP($S11:$AG11,增益!$A:$A,增益!$B:$B,0))</f>
        <v>1.6191</v>
      </c>
      <c r="AN11" s="24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1364.4</v>
      </c>
      <c r="AP11" cm="1">
        <f t="array" ref="AP11">$E$10*(1+$AN11)+VLOOKUP($R11,武学奇术!$A:$ZZ,4,FALSE)+SUM(_xlfn.XLOOKUP($S11:$AG11,增益!$A:$A,增益!$D:$D,0))-$I$2</f>
        <v>6174.4</v>
      </c>
      <c r="AQ11" s="32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0.2925</v>
      </c>
      <c r="AR11" s="32" cm="1">
        <f t="array" ref="AR11">$G$10+VLOOKUP($R11,武学奇术!$A:$ZZ,7,FALSE)+SUM(_xlfn.XLOOKUP(S11:AG11,增益!$A:$A,增益!$G:$G,0))</f>
        <v>0</v>
      </c>
      <c r="AS11" s="24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32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0.11</v>
      </c>
      <c r="AW11" s="32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2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-0.14</v>
      </c>
      <c r="BA11" s="32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2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-0.14</v>
      </c>
      <c r="BE11" s="32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2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-0.14</v>
      </c>
      <c r="BI11" s="32" cm="1">
        <f t="array" ref="BI11">$G$14+VLOOKUP($R11,武学奇术!$A:$ZZ,16,FALSE)+SUM(_xlfn.XLOOKUP(S11:AG11,增益!$A:$A,增益!$P:$P,0))</f>
        <v>0</v>
      </c>
      <c r="BJ11" s="24">
        <f>MIN(IF(VLOOKUP($R11,武学奇术!$A:$ZZ,23,FALSE)=1,100%,$B$8),100%)</f>
        <v>0.8271</v>
      </c>
      <c r="BK11" s="24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0.1789</v>
      </c>
      <c r="BL11" s="24" cm="1">
        <f t="array" ref="BL11">1+$B$13+VLOOKUP($R11,武学奇术!$A:$ZZ,18,FALSE)+SUM(_xlfn.XLOOKUP(S11:AG11,增益!$A:$A,增益!$R:$R,0))</f>
        <v>1.5</v>
      </c>
      <c r="BM11" s="24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0.5509</v>
      </c>
      <c r="BN11" s="24" cm="1">
        <f t="array" ref="BN11">1+$B$14+VLOOKUP($R11,武学奇术!$A:$ZZ,20,FALSE)+SUM(_xlfn.XLOOKUP(S11:AG11,增益!$A:$A,增益!$T:$T,0))</f>
        <v>1.982</v>
      </c>
      <c r="BO11" s="24">
        <f t="shared" si="9"/>
        <v>0.14796819</v>
      </c>
      <c r="BP11" s="24">
        <f t="shared" si="10"/>
        <v>0.22348242</v>
      </c>
      <c r="BQ11" s="24">
        <f>IF(VLOOKUP($R11,武学奇术!$A:$ZZ,22,FALSE)=1,0,(1-$BJ11))*(1-$BM11)</f>
        <v>0.07764939</v>
      </c>
      <c r="BR11" s="24" cm="1">
        <f t="array" ref="BR11">SUM(_xlfn.XLOOKUP(S11:AG11,增益!$A:$A,增益!$W:$W,0))+$I$5</f>
        <v>0.11</v>
      </c>
    </row>
    <row r="12" spans="1:70">
      <c r="A12" s="40" t="s">
        <v>111</v>
      </c>
      <c r="B12" s="68">
        <v>0.023</v>
      </c>
      <c r="C12" s="44" t="s">
        <v>81</v>
      </c>
      <c r="D12">
        <f>B4+IF($G$1=$C12,$B$7,0)</f>
        <v>0</v>
      </c>
      <c r="E12">
        <f>MAX(B4,C4)+IF($G$1=$C12,$C$7,0)</f>
        <v>0</v>
      </c>
      <c r="F12">
        <f>D4</f>
        <v>0</v>
      </c>
      <c r="G12" s="95">
        <f>E4</f>
        <v>0</v>
      </c>
      <c r="H12" s="66" t="s">
        <v>112</v>
      </c>
      <c r="I12" s="30">
        <f>I10/I8</f>
        <v>120570.644138337</v>
      </c>
      <c r="J12" s="75"/>
      <c r="K12" s="30">
        <f>$L12*VLOOKUP($R12,武学奇术!$A:$ZZ,31,FALSE)</f>
        <v>103801.357104887</v>
      </c>
      <c r="L12" s="30">
        <f t="shared" si="0"/>
        <v>94364.8700953518</v>
      </c>
      <c r="M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77025.1405124682</v>
      </c>
      <c r="N12" s="30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144696.199147001</v>
      </c>
      <c r="O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51350.0936749788</v>
      </c>
      <c r="P12" s="30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26222.2808240586</v>
      </c>
      <c r="Q12" s="38">
        <v>1</v>
      </c>
      <c r="R12" s="39" t="s">
        <v>89</v>
      </c>
      <c r="S12" s="39" t="s">
        <v>113</v>
      </c>
      <c r="T12" s="39" t="s">
        <v>75</v>
      </c>
      <c r="U12" s="39" t="s">
        <v>114</v>
      </c>
      <c r="V12" s="39" t="s">
        <v>74</v>
      </c>
      <c r="W12" s="39" t="s">
        <v>109</v>
      </c>
      <c r="X12" s="39" t="s">
        <v>97</v>
      </c>
      <c r="Y12" s="39" t="s">
        <v>80</v>
      </c>
      <c r="Z12" s="39" t="s">
        <v>98</v>
      </c>
      <c r="AA12" s="39" t="s">
        <v>103</v>
      </c>
      <c r="AB12" s="39" t="s">
        <v>75</v>
      </c>
      <c r="AC12" s="39" t="s">
        <v>75</v>
      </c>
      <c r="AD12" s="39" t="s">
        <v>104</v>
      </c>
      <c r="AE12" s="39" t="s">
        <v>75</v>
      </c>
      <c r="AF12" s="39" t="s">
        <v>75</v>
      </c>
      <c r="AG12" s="39" t="s">
        <v>76</v>
      </c>
      <c r="AH12" t="str">
        <f>VLOOKUP($R12,武学奇术!$A:$ZZ,25,FALSE)</f>
        <v>剑</v>
      </c>
      <c r="AI12" s="24">
        <f>VLOOKUP($R12,武学奇术!$A:$ZZ,26,FALSE)</f>
        <v>1.8292</v>
      </c>
      <c r="AJ12" s="25">
        <f>VLOOKUP($R12,武学奇术!$A:$ZZ,27,FALSE)*(1+IF(OR($AH12=$F$4,$AH12=$F$5),$B$22,0))</f>
        <v>708.4</v>
      </c>
      <c r="AK12" s="24">
        <f>VLOOKUP($R12,武学奇术!$A:$ZZ,28,FALSE)</f>
        <v>2.7438</v>
      </c>
      <c r="AL12" s="25">
        <f>VLOOKUP($R12,武学奇术!$A:$ZZ,29,FALSE)*(1+IF(OR($AH12=$F$4,$AH12=$F$5),$B$22,0))</f>
        <v>386.4</v>
      </c>
      <c r="AM12" s="24" cm="1">
        <f t="array" ref="AM12">$G$3+IFERROR(VLOOKUP($AH12,$F$4:$G$7,2,FALSE),0)+VLOOKUP($R12,武学奇术!$A:$ZZ,2,FALSE)+SUM(_xlfn.XLOOKUP($S12:$AG12,增益!$A:$A,增益!$B:$B,0))</f>
        <v>1.6191</v>
      </c>
      <c r="AN12" s="24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1364.4</v>
      </c>
      <c r="AP12" cm="1">
        <f t="array" ref="AP12">$E$10*(1+$AN12)+VLOOKUP($R12,武学奇术!$A:$ZZ,4,FALSE)+SUM(_xlfn.XLOOKUP($S12:$AG12,增益!$A:$A,增益!$D:$D,0))-$I$2</f>
        <v>6174.4</v>
      </c>
      <c r="AQ12" s="32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0.2925</v>
      </c>
      <c r="AR12" s="32" cm="1">
        <f t="array" ref="AR12">$G$10+VLOOKUP($R12,武学奇术!$A:$ZZ,7,FALSE)+SUM(_xlfn.XLOOKUP(S12:AG12,增益!$A:$A,增益!$G:$G,0))</f>
        <v>0</v>
      </c>
      <c r="AS12" s="24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32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0.11</v>
      </c>
      <c r="AW12" s="32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2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32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2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32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2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-0.14</v>
      </c>
      <c r="BI12" s="32" cm="1">
        <f t="array" ref="BI12">$G$14+VLOOKUP($R12,武学奇术!$A:$ZZ,16,FALSE)+SUM(_xlfn.XLOOKUP(S12:AG12,增益!$A:$A,增益!$P:$P,0))</f>
        <v>0</v>
      </c>
      <c r="BJ12" s="24">
        <f>MIN(IF(VLOOKUP($R12,武学奇术!$A:$ZZ,23,FALSE)=1,100%,$B$8),100%)</f>
        <v>0.8271</v>
      </c>
      <c r="BK12" s="24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0.1789</v>
      </c>
      <c r="BL12" s="24" cm="1">
        <f t="array" ref="BL12">1+$B$13+VLOOKUP($R12,武学奇术!$A:$ZZ,18,FALSE)+SUM(_xlfn.XLOOKUP(S12:AG12,增益!$A:$A,增益!$R:$R,0))</f>
        <v>1.5</v>
      </c>
      <c r="BM12" s="24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4" cm="1">
        <f t="array" ref="BN12">1+$B$14+VLOOKUP($R12,武学奇术!$A:$ZZ,20,FALSE)+SUM(_xlfn.XLOOKUP(S12:AG12,增益!$A:$A,增益!$T:$T,0))</f>
        <v>1.892</v>
      </c>
      <c r="BO12" s="24">
        <f t="shared" si="9"/>
        <v>0.14796819</v>
      </c>
      <c r="BP12" s="24">
        <f t="shared" si="10"/>
        <v>0.31032792</v>
      </c>
      <c r="BQ12" s="24">
        <f>IF(VLOOKUP($R12,武学奇术!$A:$ZZ,22,FALSE)=1,0,(1-$BJ12))*(1-$BM12)</f>
        <v>0.09580389</v>
      </c>
      <c r="BR12" s="24" cm="1">
        <f t="array" ref="BR12">SUM(_xlfn.XLOOKUP(S12:AG12,增益!$A:$A,增益!$W:$W,0))+$I$5</f>
        <v>0.11</v>
      </c>
    </row>
    <row r="13" spans="1:70">
      <c r="A13" s="40" t="s">
        <v>115</v>
      </c>
      <c r="B13" s="68">
        <v>0.5</v>
      </c>
      <c r="C13" s="44" t="s">
        <v>86</v>
      </c>
      <c r="D13">
        <f>B5+IF($G$1=$C13,$B$7,0)</f>
        <v>0</v>
      </c>
      <c r="E13">
        <f>MAX(B5,C5)+IF($G$1=$C13,$C$7,0)</f>
        <v>0</v>
      </c>
      <c r="F13">
        <f>D5</f>
        <v>0</v>
      </c>
      <c r="G13" s="95">
        <f>E5</f>
        <v>0</v>
      </c>
      <c r="H13" s="69"/>
      <c r="I13" s="76"/>
      <c r="J13" s="74"/>
      <c r="K13" s="30">
        <f>$L13*VLOOKUP($R13,武学奇术!$A:$ZZ,31,FALSE)</f>
        <v>29798.4509096564</v>
      </c>
      <c r="L13" s="30">
        <f t="shared" si="0"/>
        <v>27089.5008269604</v>
      </c>
      <c r="M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23356.3181523924</v>
      </c>
      <c r="N13" s="30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40599.287640674</v>
      </c>
      <c r="O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15570.8787682616</v>
      </c>
      <c r="P13" s="30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7287.88700733752</v>
      </c>
      <c r="Q13" s="38">
        <v>1</v>
      </c>
      <c r="R13" s="39" t="s">
        <v>71</v>
      </c>
      <c r="S13" s="39" t="s">
        <v>102</v>
      </c>
      <c r="T13" s="39" t="s">
        <v>75</v>
      </c>
      <c r="U13" s="39" t="s">
        <v>114</v>
      </c>
      <c r="V13" s="39" t="s">
        <v>74</v>
      </c>
      <c r="W13" s="39" t="s">
        <v>75</v>
      </c>
      <c r="X13" s="39" t="s">
        <v>75</v>
      </c>
      <c r="Y13" s="39" t="s">
        <v>75</v>
      </c>
      <c r="Z13" s="39" t="s">
        <v>75</v>
      </c>
      <c r="AA13" s="39" t="s">
        <v>103</v>
      </c>
      <c r="AB13" s="39" t="s">
        <v>75</v>
      </c>
      <c r="AC13" s="39" t="s">
        <v>75</v>
      </c>
      <c r="AD13" s="39" t="s">
        <v>104</v>
      </c>
      <c r="AE13" s="39" t="s">
        <v>75</v>
      </c>
      <c r="AF13" s="39" t="s">
        <v>75</v>
      </c>
      <c r="AG13" s="39" t="s">
        <v>76</v>
      </c>
      <c r="AH13" t="str">
        <f>VLOOKUP($R13,武学奇术!$A:$ZZ,25,FALSE)</f>
        <v>群体奇术</v>
      </c>
      <c r="AI13" s="24">
        <f>VLOOKUP($R13,武学奇术!$A:$ZZ,26,FALSE)</f>
        <v>1.4904</v>
      </c>
      <c r="AJ13" s="25">
        <f>VLOOKUP($R13,武学奇术!$A:$ZZ,27,FALSE)*(1+IF(OR($AH13=$F$4,$AH13=$F$5),$B$22,0))</f>
        <v>368</v>
      </c>
      <c r="AK13" s="24">
        <f>VLOOKUP($R13,武学奇术!$A:$ZZ,28,FALSE)</f>
        <v>2.2353</v>
      </c>
      <c r="AL13" s="25">
        <f>VLOOKUP($R13,武学奇术!$A:$ZZ,29,FALSE)*(1+IF(OR($AH13=$F$4,$AH13=$F$5),$B$22,0))</f>
        <v>0</v>
      </c>
      <c r="AM13" s="24" cm="1">
        <f t="array" ref="AM13">$G$3+IFERROR(VLOOKUP($AH13,$F$4:$G$7,2,FALSE),0)+VLOOKUP($R13,武学奇术!$A:$ZZ,2,FALSE)+SUM(_xlfn.XLOOKUP($S13:$AG13,增益!$A:$A,增益!$B:$B,0))</f>
        <v>0.3987</v>
      </c>
      <c r="AN13" s="24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1364.4</v>
      </c>
      <c r="AP13" cm="1">
        <f t="array" ref="AP13">$E$10*(1+$AN13)+VLOOKUP($R13,武学奇术!$A:$ZZ,4,FALSE)+SUM(_xlfn.XLOOKUP($S13:$AG13,增益!$A:$A,增益!$D:$D,0))-$I$2</f>
        <v>6174.4</v>
      </c>
      <c r="AQ13" s="32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0.2925</v>
      </c>
      <c r="AR13" s="32" cm="1">
        <f t="array" ref="AR13">$G$10+VLOOKUP($R13,武学奇术!$A:$ZZ,7,FALSE)+SUM(_xlfn.XLOOKUP(S13:AG13,增益!$A:$A,增益!$G:$G,0))</f>
        <v>0</v>
      </c>
      <c r="AS13" s="24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32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0.11</v>
      </c>
      <c r="AW13" s="32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2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-0.14</v>
      </c>
      <c r="BA13" s="32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2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-0.14</v>
      </c>
      <c r="BE13" s="32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2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-0.14</v>
      </c>
      <c r="BI13" s="32" cm="1">
        <f t="array" ref="BI13">$G$14+VLOOKUP($R13,武学奇术!$A:$ZZ,16,FALSE)+SUM(_xlfn.XLOOKUP(S13:AG13,增益!$A:$A,增益!$P:$P,0))</f>
        <v>0</v>
      </c>
      <c r="BJ13" s="24">
        <f>MIN(IF(VLOOKUP($R13,武学奇术!$A:$ZZ,23,FALSE)=1,100%,$B$8),100%)</f>
        <v>0.8271</v>
      </c>
      <c r="BK13" s="24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0.1789</v>
      </c>
      <c r="BL13" s="24" cm="1">
        <f t="array" ref="BL13">1+$B$13+VLOOKUP($R13,武学奇术!$A:$ZZ,18,FALSE)+SUM(_xlfn.XLOOKUP(S13:AG13,增益!$A:$A,增益!$R:$R,0))</f>
        <v>1.5</v>
      </c>
      <c r="BM13" s="24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0.4459</v>
      </c>
      <c r="BN13" s="24" cm="1">
        <f t="array" ref="BN13">1+$B$14+VLOOKUP($R13,武学奇术!$A:$ZZ,20,FALSE)+SUM(_xlfn.XLOOKUP(S13:AG13,增益!$A:$A,增益!$T:$T,0))</f>
        <v>1.702</v>
      </c>
      <c r="BO13" s="24">
        <f t="shared" si="9"/>
        <v>0.14796819</v>
      </c>
      <c r="BP13" s="24">
        <f t="shared" si="10"/>
        <v>0.31032792</v>
      </c>
      <c r="BQ13" s="24">
        <f>IF(VLOOKUP($R13,武学奇术!$A:$ZZ,22,FALSE)=1,0,(1-$BJ13))*(1-$BM13)</f>
        <v>0.09580389</v>
      </c>
      <c r="BR13" s="24" cm="1">
        <f t="array" ref="BR13">SUM(_xlfn.XLOOKUP(S13:AG13,增益!$A:$A,增益!$W:$W,0))+$I$5</f>
        <v>0.11</v>
      </c>
    </row>
    <row r="14" spans="1:70">
      <c r="A14" s="40" t="s">
        <v>116</v>
      </c>
      <c r="B14" s="68">
        <v>0.402</v>
      </c>
      <c r="C14" s="52" t="s">
        <v>91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6">
        <f>E6</f>
        <v>0</v>
      </c>
      <c r="H14" s="36" t="s">
        <v>117</v>
      </c>
      <c r="I14" s="71">
        <f>RD!I14</f>
        <v>118358.183669836</v>
      </c>
      <c r="J14" s="72"/>
      <c r="K14" s="30">
        <f>$L14*VLOOKUP($R14,武学奇术!$A:$ZZ,31,FALSE)</f>
        <v>266894.119044205</v>
      </c>
      <c r="L14" s="30">
        <f t="shared" si="0"/>
        <v>242631.017312914</v>
      </c>
      <c r="M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198042.417194938</v>
      </c>
      <c r="N14" s="30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372048.673175621</v>
      </c>
      <c r="O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132028.278129958</v>
      </c>
      <c r="P14" s="30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67413.4943277708</v>
      </c>
      <c r="Q14" s="38">
        <v>1</v>
      </c>
      <c r="R14" s="39" t="s">
        <v>96</v>
      </c>
      <c r="S14" s="39" t="s">
        <v>113</v>
      </c>
      <c r="T14" s="39" t="s">
        <v>75</v>
      </c>
      <c r="U14" s="39" t="s">
        <v>114</v>
      </c>
      <c r="V14" s="39" t="s">
        <v>74</v>
      </c>
      <c r="W14" s="39" t="s">
        <v>109</v>
      </c>
      <c r="X14" s="39" t="s">
        <v>97</v>
      </c>
      <c r="Y14" s="39" t="s">
        <v>80</v>
      </c>
      <c r="Z14" s="39" t="s">
        <v>98</v>
      </c>
      <c r="AA14" s="39" t="s">
        <v>103</v>
      </c>
      <c r="AB14" s="39" t="s">
        <v>75</v>
      </c>
      <c r="AC14" s="39" t="s">
        <v>75</v>
      </c>
      <c r="AD14" s="39" t="s">
        <v>104</v>
      </c>
      <c r="AE14" s="39" t="s">
        <v>75</v>
      </c>
      <c r="AF14" s="39" t="s">
        <v>75</v>
      </c>
      <c r="AG14" s="39" t="s">
        <v>76</v>
      </c>
      <c r="AH14" t="str">
        <f>VLOOKUP($R14,武学奇术!$A:$ZZ,25,FALSE)</f>
        <v>剑</v>
      </c>
      <c r="AI14" s="24">
        <f>VLOOKUP($R14,武学奇术!$A:$ZZ,26,FALSE)</f>
        <v>4.7037</v>
      </c>
      <c r="AJ14" s="25">
        <f>VLOOKUP($R14,武学奇术!$A:$ZZ,27,FALSE)*(1+IF(OR($AH14=$F$4,$AH14=$F$5),$B$22,0))</f>
        <v>1820</v>
      </c>
      <c r="AK14" s="24">
        <f>VLOOKUP($R14,武学奇术!$A:$ZZ,28,FALSE)</f>
        <v>7.0554</v>
      </c>
      <c r="AL14" s="25">
        <f>VLOOKUP($R14,武学奇术!$A:$ZZ,29,FALSE)*(1+IF(OR($AH14=$F$4,$AH14=$F$5),$B$22,0))</f>
        <v>992.6</v>
      </c>
      <c r="AM14" s="24" cm="1">
        <f t="array" ref="AM14">$G$3+IFERROR(VLOOKUP($AH14,$F$4:$G$7,2,FALSE),0)+VLOOKUP($R14,武学奇术!$A:$ZZ,2,FALSE)+SUM(_xlfn.XLOOKUP($S14:$AG14,增益!$A:$A,增益!$B:$B,0))</f>
        <v>1.6191</v>
      </c>
      <c r="AN14" s="24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1364.4</v>
      </c>
      <c r="AP14" cm="1">
        <f t="array" ref="AP14">$E$10*(1+$AN14)+VLOOKUP($R14,武学奇术!$A:$ZZ,4,FALSE)+SUM(_xlfn.XLOOKUP($S14:$AG14,增益!$A:$A,增益!$D:$D,0))-$I$2</f>
        <v>6174.4</v>
      </c>
      <c r="AQ14" s="32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0.2925</v>
      </c>
      <c r="AR14" s="32" cm="1">
        <f t="array" ref="AR14">$G$10+VLOOKUP($R14,武学奇术!$A:$ZZ,7,FALSE)+SUM(_xlfn.XLOOKUP(S14:AG14,增益!$A:$A,增益!$G:$G,0))</f>
        <v>0</v>
      </c>
      <c r="AS14" s="24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32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0.11</v>
      </c>
      <c r="AW14" s="32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2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32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2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32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2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-0.14</v>
      </c>
      <c r="BI14" s="32" cm="1">
        <f t="array" ref="BI14">$G$14+VLOOKUP($R14,武学奇术!$A:$ZZ,16,FALSE)+SUM(_xlfn.XLOOKUP(S14:AG14,增益!$A:$A,增益!$P:$P,0))</f>
        <v>0</v>
      </c>
      <c r="BJ14" s="24">
        <f>MIN(IF(VLOOKUP($R14,武学奇术!$A:$ZZ,23,FALSE)=1,100%,$B$8),100%)</f>
        <v>0.8271</v>
      </c>
      <c r="BK14" s="24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0.1789</v>
      </c>
      <c r="BL14" s="24" cm="1">
        <f t="array" ref="BL14">1+$B$13+VLOOKUP($R14,武学奇术!$A:$ZZ,18,FALSE)+SUM(_xlfn.XLOOKUP(S14:AG14,增益!$A:$A,增益!$R:$R,0))</f>
        <v>1.5</v>
      </c>
      <c r="BM14" s="24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0.4459</v>
      </c>
      <c r="BN14" s="24" cm="1">
        <f t="array" ref="BN14">1+$B$14+VLOOKUP($R14,武学奇术!$A:$ZZ,20,FALSE)+SUM(_xlfn.XLOOKUP(S14:AG14,增益!$A:$A,增益!$T:$T,0))</f>
        <v>1.892</v>
      </c>
      <c r="BO14" s="24">
        <f t="shared" si="9"/>
        <v>0.14796819</v>
      </c>
      <c r="BP14" s="24">
        <f t="shared" si="10"/>
        <v>0.31032792</v>
      </c>
      <c r="BQ14" s="24">
        <f>IF(VLOOKUP($R14,武学奇术!$A:$ZZ,22,FALSE)=1,0,(1-$BJ14))*(1-$BM14)</f>
        <v>0.09580389</v>
      </c>
      <c r="BR14" s="24" cm="1">
        <f t="array" ref="BR14">SUM(_xlfn.XLOOKUP(S14:AG14,增益!$A:$A,增益!$W:$W,0))+$I$5</f>
        <v>0.11</v>
      </c>
    </row>
    <row r="15" spans="1:70">
      <c r="A15" s="40" t="s">
        <v>118</v>
      </c>
      <c r="B15" s="68">
        <v>0.0852</v>
      </c>
      <c r="C15" s="38" t="s">
        <v>119</v>
      </c>
      <c r="D15" s="38"/>
      <c r="F15" s="77"/>
      <c r="H15" s="78"/>
      <c r="I15" s="73"/>
      <c r="J15" s="74"/>
      <c r="K15" s="30">
        <f>$L15*VLOOKUP($R15,武学奇术!$A:$ZZ,31,FALSE)</f>
        <v>29915.451759215</v>
      </c>
      <c r="L15" s="30">
        <f t="shared" si="0"/>
        <v>27195.86523565</v>
      </c>
      <c r="M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23356.3181523924</v>
      </c>
      <c r="N15" s="30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40837.8263459658</v>
      </c>
      <c r="O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15570.8787682616</v>
      </c>
      <c r="P15" s="30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7287.88700733752</v>
      </c>
      <c r="Q15" s="38">
        <v>1</v>
      </c>
      <c r="R15" s="39" t="s">
        <v>71</v>
      </c>
      <c r="S15" s="39" t="s">
        <v>113</v>
      </c>
      <c r="T15" s="39" t="s">
        <v>75</v>
      </c>
      <c r="U15" s="39" t="s">
        <v>114</v>
      </c>
      <c r="V15" s="39" t="s">
        <v>74</v>
      </c>
      <c r="W15" s="39" t="s">
        <v>75</v>
      </c>
      <c r="X15" s="39" t="s">
        <v>75</v>
      </c>
      <c r="Y15" s="39" t="s">
        <v>75</v>
      </c>
      <c r="Z15" s="39" t="s">
        <v>75</v>
      </c>
      <c r="AA15" s="39" t="s">
        <v>103</v>
      </c>
      <c r="AB15" s="39" t="s">
        <v>75</v>
      </c>
      <c r="AC15" s="39" t="s">
        <v>75</v>
      </c>
      <c r="AD15" s="39" t="s">
        <v>104</v>
      </c>
      <c r="AE15" s="39" t="s">
        <v>75</v>
      </c>
      <c r="AF15" s="39" t="s">
        <v>75</v>
      </c>
      <c r="AG15" s="39" t="s">
        <v>76</v>
      </c>
      <c r="AH15" t="str">
        <f>VLOOKUP($R15,武学奇术!$A:$ZZ,25,FALSE)</f>
        <v>群体奇术</v>
      </c>
      <c r="AI15" s="24">
        <f>VLOOKUP($R15,武学奇术!$A:$ZZ,26,FALSE)</f>
        <v>1.4904</v>
      </c>
      <c r="AJ15" s="25">
        <f>VLOOKUP($R15,武学奇术!$A:$ZZ,27,FALSE)*(1+IF(OR($AH15=$F$4,$AH15=$F$5),$B$22,0))</f>
        <v>368</v>
      </c>
      <c r="AK15" s="24">
        <f>VLOOKUP($R15,武学奇术!$A:$ZZ,28,FALSE)</f>
        <v>2.2353</v>
      </c>
      <c r="AL15" s="25">
        <f>VLOOKUP($R15,武学奇术!$A:$ZZ,29,FALSE)*(1+IF(OR($AH15=$F$4,$AH15=$F$5),$B$22,0))</f>
        <v>0</v>
      </c>
      <c r="AM15" s="24" cm="1">
        <f t="array" ref="AM15">$G$3+IFERROR(VLOOKUP($AH15,$F$4:$G$7,2,FALSE),0)+VLOOKUP($R15,武学奇术!$A:$ZZ,2,FALSE)+SUM(_xlfn.XLOOKUP($S15:$AG15,增益!$A:$A,增益!$B:$B,0))</f>
        <v>0.3987</v>
      </c>
      <c r="AN15" s="24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1364.4</v>
      </c>
      <c r="AP15" cm="1">
        <f t="array" ref="AP15">$E$10*(1+$AN15)+VLOOKUP($R15,武学奇术!$A:$ZZ,4,FALSE)+SUM(_xlfn.XLOOKUP($S15:$AG15,增益!$A:$A,增益!$D:$D,0))-$I$2</f>
        <v>6174.4</v>
      </c>
      <c r="AQ15" s="32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0.2925</v>
      </c>
      <c r="AR15" s="32" cm="1">
        <f t="array" ref="AR15">$G$10+VLOOKUP($R15,武学奇术!$A:$ZZ,7,FALSE)+SUM(_xlfn.XLOOKUP(S15:AG15,增益!$A:$A,增益!$G:$G,0))</f>
        <v>0</v>
      </c>
      <c r="AS15" s="24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32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0.11</v>
      </c>
      <c r="AW15" s="32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2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32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2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32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2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-0.14</v>
      </c>
      <c r="BI15" s="32" cm="1">
        <f t="array" ref="BI15">$G$14+VLOOKUP($R15,武学奇术!$A:$ZZ,16,FALSE)+SUM(_xlfn.XLOOKUP(S15:AG15,增益!$A:$A,增益!$P:$P,0))</f>
        <v>0</v>
      </c>
      <c r="BJ15" s="24">
        <f>MIN(IF(VLOOKUP($R15,武学奇术!$A:$ZZ,23,FALSE)=1,100%,$B$8),100%)</f>
        <v>0.8271</v>
      </c>
      <c r="BK15" s="24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0.1789</v>
      </c>
      <c r="BL15" s="24" cm="1">
        <f t="array" ref="BL15">1+$B$13+VLOOKUP($R15,武学奇术!$A:$ZZ,18,FALSE)+SUM(_xlfn.XLOOKUP(S15:AG15,增益!$A:$A,增益!$R:$R,0))</f>
        <v>1.5</v>
      </c>
      <c r="BM15" s="24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4" cm="1">
        <f t="array" ref="BN15">1+$B$14+VLOOKUP($R15,武学奇术!$A:$ZZ,20,FALSE)+SUM(_xlfn.XLOOKUP(S15:AG15,增益!$A:$A,增益!$T:$T,0))</f>
        <v>1.712</v>
      </c>
      <c r="BO15" s="24">
        <f t="shared" si="9"/>
        <v>0.14796819</v>
      </c>
      <c r="BP15" s="24">
        <f t="shared" si="10"/>
        <v>0.31032792</v>
      </c>
      <c r="BQ15" s="24">
        <f>IF(VLOOKUP($R15,武学奇术!$A:$ZZ,22,FALSE)=1,0,(1-$BJ15))*(1-$BM15)</f>
        <v>0.09580389</v>
      </c>
      <c r="BR15" s="24" cm="1">
        <f t="array" ref="BR15">SUM(_xlfn.XLOOKUP(S15:AG15,增益!$A:$A,增益!$W:$W,0))+$I$5</f>
        <v>0.11</v>
      </c>
    </row>
    <row r="16" spans="1:70">
      <c r="A16" s="40" t="s">
        <v>120</v>
      </c>
      <c r="B16" s="68">
        <v>0.0887</v>
      </c>
      <c r="C16" s="38" t="s">
        <v>121</v>
      </c>
      <c r="D16" s="77" t="s">
        <v>122</v>
      </c>
      <c r="E16" s="38" t="s">
        <v>123</v>
      </c>
      <c r="F16" s="77" t="s">
        <v>122</v>
      </c>
      <c r="H16" s="66" t="s">
        <v>124</v>
      </c>
      <c r="I16" s="79">
        <f>I12/120570.64</f>
        <v>1.00000003432293</v>
      </c>
      <c r="J16" s="80"/>
      <c r="K16" s="30">
        <f>$L16*VLOOKUP($R16,武学奇术!$A:$ZZ,31,FALSE)</f>
        <v>34589.2679059738</v>
      </c>
      <c r="L16" s="30">
        <f t="shared" si="0"/>
        <v>31444.7890054308</v>
      </c>
      <c r="M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23356.3181523924</v>
      </c>
      <c r="N16" s="30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43461.7521041763</v>
      </c>
      <c r="O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15570.8787682616</v>
      </c>
      <c r="P16" s="30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7287.88700733752</v>
      </c>
      <c r="Q16" s="38">
        <v>1</v>
      </c>
      <c r="R16" s="39" t="s">
        <v>71</v>
      </c>
      <c r="S16" s="39" t="s">
        <v>125</v>
      </c>
      <c r="T16" s="39" t="s">
        <v>69</v>
      </c>
      <c r="U16" s="39" t="s">
        <v>73</v>
      </c>
      <c r="V16" s="39" t="s">
        <v>74</v>
      </c>
      <c r="W16" s="39" t="s">
        <v>75</v>
      </c>
      <c r="X16" s="39" t="s">
        <v>75</v>
      </c>
      <c r="Y16" s="39" t="s">
        <v>75</v>
      </c>
      <c r="Z16" s="39" t="s">
        <v>75</v>
      </c>
      <c r="AA16" s="39" t="s">
        <v>103</v>
      </c>
      <c r="AB16" s="39" t="s">
        <v>75</v>
      </c>
      <c r="AC16" s="39" t="s">
        <v>75</v>
      </c>
      <c r="AD16" s="39" t="s">
        <v>104</v>
      </c>
      <c r="AE16" s="39" t="s">
        <v>75</v>
      </c>
      <c r="AF16" s="39" t="s">
        <v>75</v>
      </c>
      <c r="AG16" s="39" t="s">
        <v>76</v>
      </c>
      <c r="AH16" t="str">
        <f>VLOOKUP($R16,武学奇术!$A:$ZZ,25,FALSE)</f>
        <v>群体奇术</v>
      </c>
      <c r="AI16" s="24">
        <f>VLOOKUP($R16,武学奇术!$A:$ZZ,26,FALSE)</f>
        <v>1.4904</v>
      </c>
      <c r="AJ16" s="25">
        <f>VLOOKUP($R16,武学奇术!$A:$ZZ,27,FALSE)*(1+IF(OR($AH16=$F$4,$AH16=$F$5),$B$22,0))</f>
        <v>368</v>
      </c>
      <c r="AK16" s="24">
        <f>VLOOKUP($R16,武学奇术!$A:$ZZ,28,FALSE)</f>
        <v>2.2353</v>
      </c>
      <c r="AL16" s="25">
        <f>VLOOKUP($R16,武学奇术!$A:$ZZ,29,FALSE)*(1+IF(OR($AH16=$F$4,$AH16=$F$5),$B$22,0))</f>
        <v>0</v>
      </c>
      <c r="AM16" s="24" cm="1">
        <f t="array" ref="AM16">$G$3+IFERROR(VLOOKUP($AH16,$F$4:$G$7,2,FALSE),0)+VLOOKUP($R16,武学奇术!$A:$ZZ,2,FALSE)+SUM(_xlfn.XLOOKUP($S16:$AG16,增益!$A:$A,增益!$B:$B,0))</f>
        <v>0.3987</v>
      </c>
      <c r="AN16" s="24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1364.4</v>
      </c>
      <c r="AP16" cm="1">
        <f t="array" ref="AP16">$E$10*(1+$AN16)+VLOOKUP($R16,武学奇术!$A:$ZZ,4,FALSE)+SUM(_xlfn.XLOOKUP($S16:$AG16,增益!$A:$A,增益!$D:$D,0))-$I$2</f>
        <v>6174.4</v>
      </c>
      <c r="AQ16" s="32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0.2925</v>
      </c>
      <c r="AR16" s="32" cm="1">
        <f t="array" ref="AR16">$G$10+VLOOKUP($R16,武学奇术!$A:$ZZ,7,FALSE)+SUM(_xlfn.XLOOKUP(S16:AG16,增益!$A:$A,增益!$G:$G,0))</f>
        <v>0</v>
      </c>
      <c r="AS16" s="24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32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0.11</v>
      </c>
      <c r="AW16" s="32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2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-0.14</v>
      </c>
      <c r="BA16" s="32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2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-0.14</v>
      </c>
      <c r="BE16" s="32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2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-0.14</v>
      </c>
      <c r="BI16" s="32" cm="1">
        <f t="array" ref="BI16">$G$14+VLOOKUP($R16,武学奇术!$A:$ZZ,16,FALSE)+SUM(_xlfn.XLOOKUP(S16:AG16,增益!$A:$A,增益!$P:$P,0))</f>
        <v>0</v>
      </c>
      <c r="BJ16" s="24">
        <f>MIN(IF(VLOOKUP($R16,武学奇术!$A:$ZZ,23,FALSE)=1,100%,$B$8),100%)</f>
        <v>0.8271</v>
      </c>
      <c r="BK16" s="24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0.1789</v>
      </c>
      <c r="BL16" s="24" cm="1">
        <f t="array" ref="BL16">1+$B$13+VLOOKUP($R16,武学奇术!$A:$ZZ,18,FALSE)+SUM(_xlfn.XLOOKUP(S16:AG16,增益!$A:$A,增益!$R:$R,0))</f>
        <v>1.5</v>
      </c>
      <c r="BM16" s="24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0.5509</v>
      </c>
      <c r="BN16" s="24" cm="1">
        <f t="array" ref="BN16">1+$B$14+VLOOKUP($R16,武学奇术!$A:$ZZ,20,FALSE)+SUM(_xlfn.XLOOKUP(S16:AG16,增益!$A:$A,增益!$T:$T,0))</f>
        <v>1.822</v>
      </c>
      <c r="BO16" s="24">
        <f t="shared" si="9"/>
        <v>0.14796819</v>
      </c>
      <c r="BP16" s="24">
        <f t="shared" si="10"/>
        <v>0.22348242</v>
      </c>
      <c r="BQ16" s="24">
        <f>IF(VLOOKUP($R16,武学奇术!$A:$ZZ,22,FALSE)=1,0,(1-$BJ16))*(1-$BM16)</f>
        <v>0.07764939</v>
      </c>
      <c r="BR16" s="24" cm="1">
        <f t="array" ref="BR16">SUM(_xlfn.XLOOKUP(S16:AG16,增益!$A:$A,增益!$W:$W,0))+$I$5</f>
        <v>0.11</v>
      </c>
    </row>
    <row r="17" spans="1:70">
      <c r="A17" s="40" t="s">
        <v>126</v>
      </c>
      <c r="B17" s="68">
        <v>0.0852</v>
      </c>
      <c r="C17" s="38" t="s">
        <v>127</v>
      </c>
      <c r="D17" s="77" t="s">
        <v>122</v>
      </c>
      <c r="E17" s="38" t="s">
        <v>128</v>
      </c>
      <c r="F17" s="77" t="s">
        <v>122</v>
      </c>
      <c r="H17" s="69"/>
      <c r="I17" s="81"/>
      <c r="J17" s="82"/>
      <c r="K17" s="30">
        <f>$L17*VLOOKUP($R17,武学奇术!$A:$ZZ,31,FALSE)</f>
        <v>309014.838874798</v>
      </c>
      <c r="L17" s="30">
        <f t="shared" si="0"/>
        <v>280922.580795271</v>
      </c>
      <c r="M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198042.417194938</v>
      </c>
      <c r="N17" s="30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393679.409988157</v>
      </c>
      <c r="O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132028.278129958</v>
      </c>
      <c r="P17" s="30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67413.4943277708</v>
      </c>
      <c r="Q17" s="38">
        <v>1</v>
      </c>
      <c r="R17" s="39" t="s">
        <v>96</v>
      </c>
      <c r="S17" s="39" t="s">
        <v>125</v>
      </c>
      <c r="T17" s="39" t="s">
        <v>69</v>
      </c>
      <c r="U17" s="39" t="s">
        <v>73</v>
      </c>
      <c r="V17" s="39" t="s">
        <v>74</v>
      </c>
      <c r="W17" s="39" t="s">
        <v>109</v>
      </c>
      <c r="X17" s="39" t="s">
        <v>97</v>
      </c>
      <c r="Y17" s="39" t="s">
        <v>80</v>
      </c>
      <c r="Z17" s="39" t="s">
        <v>98</v>
      </c>
      <c r="AA17" s="39" t="s">
        <v>103</v>
      </c>
      <c r="AB17" s="39" t="s">
        <v>75</v>
      </c>
      <c r="AC17" s="39" t="s">
        <v>75</v>
      </c>
      <c r="AD17" s="39" t="s">
        <v>104</v>
      </c>
      <c r="AE17" s="39" t="s">
        <v>75</v>
      </c>
      <c r="AF17" s="39" t="s">
        <v>75</v>
      </c>
      <c r="AG17" s="39" t="s">
        <v>76</v>
      </c>
      <c r="AH17" t="str">
        <f>VLOOKUP($R17,武学奇术!$A:$ZZ,25,FALSE)</f>
        <v>剑</v>
      </c>
      <c r="AI17" s="24">
        <f>VLOOKUP($R17,武学奇术!$A:$ZZ,26,FALSE)</f>
        <v>4.7037</v>
      </c>
      <c r="AJ17" s="25">
        <f>VLOOKUP($R17,武学奇术!$A:$ZZ,27,FALSE)*(1+IF(OR($AH17=$F$4,$AH17=$F$5),$B$22,0))</f>
        <v>1820</v>
      </c>
      <c r="AK17" s="24">
        <f>VLOOKUP($R17,武学奇术!$A:$ZZ,28,FALSE)</f>
        <v>7.0554</v>
      </c>
      <c r="AL17" s="25">
        <f>VLOOKUP($R17,武学奇术!$A:$ZZ,29,FALSE)*(1+IF(OR($AH17=$F$4,$AH17=$F$5),$B$22,0))</f>
        <v>992.6</v>
      </c>
      <c r="AM17" s="24" cm="1">
        <f t="array" ref="AM17">$G$3+IFERROR(VLOOKUP($AH17,$F$4:$G$7,2,FALSE),0)+VLOOKUP($R17,武学奇术!$A:$ZZ,2,FALSE)+SUM(_xlfn.XLOOKUP($S17:$AG17,增益!$A:$A,增益!$B:$B,0))</f>
        <v>1.6191</v>
      </c>
      <c r="AN17" s="24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1364.4</v>
      </c>
      <c r="AP17" cm="1">
        <f t="array" ref="AP17">$E$10*(1+$AN17)+VLOOKUP($R17,武学奇术!$A:$ZZ,4,FALSE)+SUM(_xlfn.XLOOKUP($S17:$AG17,增益!$A:$A,增益!$D:$D,0))-$I$2</f>
        <v>6174.4</v>
      </c>
      <c r="AQ17" s="32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0.2925</v>
      </c>
      <c r="AR17" s="32" cm="1">
        <f t="array" ref="AR17">$G$10+VLOOKUP($R17,武学奇术!$A:$ZZ,7,FALSE)+SUM(_xlfn.XLOOKUP(S17:AG17,增益!$A:$A,增益!$G:$G,0))</f>
        <v>0</v>
      </c>
      <c r="AS17" s="24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32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0.11</v>
      </c>
      <c r="AW17" s="32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2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-0.14</v>
      </c>
      <c r="BA17" s="32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2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-0.14</v>
      </c>
      <c r="BE17" s="32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2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-0.14</v>
      </c>
      <c r="BI17" s="32" cm="1">
        <f t="array" ref="BI17">$G$14+VLOOKUP($R17,武学奇术!$A:$ZZ,16,FALSE)+SUM(_xlfn.XLOOKUP(S17:AG17,增益!$A:$A,增益!$P:$P,0))</f>
        <v>0</v>
      </c>
      <c r="BJ17" s="24">
        <f>MIN(IF(VLOOKUP($R17,武学奇术!$A:$ZZ,23,FALSE)=1,100%,$B$8),100%)</f>
        <v>0.8271</v>
      </c>
      <c r="BK17" s="24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0.1789</v>
      </c>
      <c r="BL17" s="24" cm="1">
        <f t="array" ref="BL17">1+$B$13+VLOOKUP($R17,武学奇术!$A:$ZZ,18,FALSE)+SUM(_xlfn.XLOOKUP(S17:AG17,增益!$A:$A,增益!$R:$R,0))</f>
        <v>1.5</v>
      </c>
      <c r="BM17" s="24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0.5509</v>
      </c>
      <c r="BN17" s="24" cm="1">
        <f t="array" ref="BN17">1+$B$14+VLOOKUP($R17,武学奇术!$A:$ZZ,20,FALSE)+SUM(_xlfn.XLOOKUP(S17:AG17,增益!$A:$A,增益!$T:$T,0))</f>
        <v>2.002</v>
      </c>
      <c r="BO17" s="24">
        <f t="shared" si="9"/>
        <v>0.14796819</v>
      </c>
      <c r="BP17" s="24">
        <f t="shared" si="10"/>
        <v>0.22348242</v>
      </c>
      <c r="BQ17" s="24">
        <f>IF(VLOOKUP($R17,武学奇术!$A:$ZZ,22,FALSE)=1,0,(1-$BJ17))*(1-$BM17)</f>
        <v>0.07764939</v>
      </c>
      <c r="BR17" s="24" cm="1">
        <f t="array" ref="BR17">SUM(_xlfn.XLOOKUP(S17:AG17,增益!$A:$A,增益!$W:$W,0))+$I$5</f>
        <v>0.11</v>
      </c>
    </row>
    <row r="18" spans="1:70">
      <c r="A18" s="40" t="s">
        <v>129</v>
      </c>
      <c r="B18" s="68">
        <v>0</v>
      </c>
      <c r="C18" s="38"/>
      <c r="D18" s="77"/>
      <c r="H18" s="36" t="s">
        <v>130</v>
      </c>
      <c r="I18" s="79">
        <f>SUM(K:K)/SUM(L:L)</f>
        <v>1.1</v>
      </c>
      <c r="J18" s="80"/>
      <c r="K18" s="30">
        <f>$L18*VLOOKUP($R18,武学奇术!$A:$ZZ,31,FALSE)</f>
        <v>286518.455382647</v>
      </c>
      <c r="L18" s="30">
        <f t="shared" si="0"/>
        <v>260471.323075133</v>
      </c>
      <c r="M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182919.480522421</v>
      </c>
      <c r="N18" s="30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365433.489753561</v>
      </c>
      <c r="O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121946.320348281</v>
      </c>
      <c r="P18" s="30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62265.6577176551</v>
      </c>
      <c r="Q18" s="38">
        <v>1</v>
      </c>
      <c r="R18" s="39" t="s">
        <v>96</v>
      </c>
      <c r="S18" s="39" t="s">
        <v>131</v>
      </c>
      <c r="T18" s="39" t="s">
        <v>69</v>
      </c>
      <c r="U18" s="39" t="s">
        <v>73</v>
      </c>
      <c r="V18" s="39" t="s">
        <v>75</v>
      </c>
      <c r="W18" s="39" t="s">
        <v>109</v>
      </c>
      <c r="X18" s="39" t="s">
        <v>97</v>
      </c>
      <c r="Y18" s="39" t="s">
        <v>80</v>
      </c>
      <c r="Z18" s="39" t="s">
        <v>98</v>
      </c>
      <c r="AA18" s="39" t="s">
        <v>103</v>
      </c>
      <c r="AB18" s="39" t="s">
        <v>75</v>
      </c>
      <c r="AC18" s="39" t="s">
        <v>75</v>
      </c>
      <c r="AD18" s="39" t="s">
        <v>104</v>
      </c>
      <c r="AE18" s="39" t="s">
        <v>75</v>
      </c>
      <c r="AF18" s="39" t="s">
        <v>75</v>
      </c>
      <c r="AG18" s="39" t="s">
        <v>76</v>
      </c>
      <c r="AH18" t="str">
        <f>VLOOKUP($R18,武学奇术!$A:$ZZ,25,FALSE)</f>
        <v>剑</v>
      </c>
      <c r="AI18" s="24">
        <f>VLOOKUP($R18,武学奇术!$A:$ZZ,26,FALSE)</f>
        <v>4.7037</v>
      </c>
      <c r="AJ18" s="25">
        <f>VLOOKUP($R18,武学奇术!$A:$ZZ,27,FALSE)*(1+IF(OR($AH18=$F$4,$AH18=$F$5),$B$22,0))</f>
        <v>1820</v>
      </c>
      <c r="AK18" s="24">
        <f>VLOOKUP($R18,武学奇术!$A:$ZZ,28,FALSE)</f>
        <v>7.0554</v>
      </c>
      <c r="AL18" s="25">
        <f>VLOOKUP($R18,武学奇术!$A:$ZZ,29,FALSE)*(1+IF(OR($AH18=$F$4,$AH18=$F$5),$B$22,0))</f>
        <v>992.6</v>
      </c>
      <c r="AM18" s="24" cm="1">
        <f t="array" ref="AM18">$G$3+IFERROR(VLOOKUP($AH18,$F$4:$G$7,2,FALSE),0)+VLOOKUP($R18,武学奇术!$A:$ZZ,2,FALSE)+SUM(_xlfn.XLOOKUP($S18:$AG18,增益!$A:$A,增益!$B:$B,0))</f>
        <v>1.4191</v>
      </c>
      <c r="AN18" s="24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1364.4</v>
      </c>
      <c r="AP18" cm="1">
        <f t="array" ref="AP18">$E$10*(1+$AN18)+VLOOKUP($R18,武学奇术!$A:$ZZ,4,FALSE)+SUM(_xlfn.XLOOKUP($S18:$AG18,增益!$A:$A,增益!$D:$D,0))-$I$2</f>
        <v>6174.4</v>
      </c>
      <c r="AQ18" s="32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0.2925</v>
      </c>
      <c r="AR18" s="32" cm="1">
        <f t="array" ref="AR18">$G$10+VLOOKUP($R18,武学奇术!$A:$ZZ,7,FALSE)+SUM(_xlfn.XLOOKUP(S18:AG18,增益!$A:$A,增益!$G:$G,0))</f>
        <v>0</v>
      </c>
      <c r="AS18" s="24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32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0.11</v>
      </c>
      <c r="AW18" s="32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2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-0.14</v>
      </c>
      <c r="BA18" s="32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2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-0.14</v>
      </c>
      <c r="BE18" s="32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2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-0.14</v>
      </c>
      <c r="BI18" s="32" cm="1">
        <f t="array" ref="BI18">$G$14+VLOOKUP($R18,武学奇术!$A:$ZZ,16,FALSE)+SUM(_xlfn.XLOOKUP(S18:AG18,增益!$A:$A,增益!$P:$P,0))</f>
        <v>0</v>
      </c>
      <c r="BJ18" s="24">
        <f>MIN(IF(VLOOKUP($R18,武学奇术!$A:$ZZ,23,FALSE)=1,100%,$B$8),100%)</f>
        <v>0.8271</v>
      </c>
      <c r="BK18" s="24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0.1789</v>
      </c>
      <c r="BL18" s="24" cm="1">
        <f t="array" ref="BL18">1+$B$13+VLOOKUP($R18,武学奇术!$A:$ZZ,18,FALSE)+SUM(_xlfn.XLOOKUP(S18:AG18,增益!$A:$A,增益!$R:$R,0))</f>
        <v>1.5</v>
      </c>
      <c r="BM18" s="24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0.5509</v>
      </c>
      <c r="BN18" s="24" cm="1">
        <f t="array" ref="BN18">1+$B$14+VLOOKUP($R18,武学奇术!$A:$ZZ,20,FALSE)+SUM(_xlfn.XLOOKUP(S18:AG18,增益!$A:$A,增益!$T:$T,0))</f>
        <v>2.012</v>
      </c>
      <c r="BO18" s="24">
        <f t="shared" si="9"/>
        <v>0.14796819</v>
      </c>
      <c r="BP18" s="24">
        <f t="shared" si="10"/>
        <v>0.22348242</v>
      </c>
      <c r="BQ18" s="24">
        <f>IF(VLOOKUP($R18,武学奇术!$A:$ZZ,22,FALSE)=1,0,(1-$BJ18))*(1-$BM18)</f>
        <v>0.07764939</v>
      </c>
      <c r="BR18" s="24" cm="1">
        <f t="array" ref="BR18">SUM(_xlfn.XLOOKUP(S18:AG18,增益!$A:$A,增益!$W:$W,0))+$I$5</f>
        <v>0.11</v>
      </c>
    </row>
    <row r="19" ht="14.25" spans="1:70">
      <c r="A19" s="40" t="s">
        <v>132</v>
      </c>
      <c r="B19" s="68">
        <v>0</v>
      </c>
      <c r="C19" s="38" t="s">
        <v>133</v>
      </c>
      <c r="D19" s="77" t="s">
        <v>122</v>
      </c>
      <c r="H19" s="78"/>
      <c r="I19" s="81"/>
      <c r="J19" s="82"/>
      <c r="K19" s="30">
        <f>$L19*VLOOKUP($R19,武学奇术!$A:$ZZ,31,FALSE)</f>
        <v>25023.6623370087</v>
      </c>
      <c r="L19" s="30">
        <f t="shared" si="0"/>
        <v>22748.7839427352</v>
      </c>
      <c r="M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17090.7073557274</v>
      </c>
      <c r="N19" s="30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31261.5195802872</v>
      </c>
      <c r="O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11393.8049038183</v>
      </c>
      <c r="P19" s="30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5816.10080639479</v>
      </c>
      <c r="Q19" s="38">
        <v>1</v>
      </c>
      <c r="R19" s="39" t="s">
        <v>93</v>
      </c>
      <c r="S19" s="39" t="s">
        <v>134</v>
      </c>
      <c r="T19" s="39" t="s">
        <v>69</v>
      </c>
      <c r="U19" s="39" t="s">
        <v>73</v>
      </c>
      <c r="V19" s="39" t="s">
        <v>75</v>
      </c>
      <c r="W19" s="39" t="s">
        <v>75</v>
      </c>
      <c r="X19" s="39" t="s">
        <v>75</v>
      </c>
      <c r="Y19" s="39" t="s">
        <v>75</v>
      </c>
      <c r="Z19" s="39" t="s">
        <v>75</v>
      </c>
      <c r="AA19" s="39" t="s">
        <v>103</v>
      </c>
      <c r="AB19" s="39" t="s">
        <v>75</v>
      </c>
      <c r="AC19" s="39" t="s">
        <v>75</v>
      </c>
      <c r="AD19" s="39" t="s">
        <v>104</v>
      </c>
      <c r="AE19" s="39" t="s">
        <v>75</v>
      </c>
      <c r="AF19" s="39" t="s">
        <v>75</v>
      </c>
      <c r="AG19" s="39" t="s">
        <v>76</v>
      </c>
      <c r="AH19" t="str">
        <f>VLOOKUP($R19,武学奇术!$A:$ZZ,25,FALSE)</f>
        <v>剑</v>
      </c>
      <c r="AI19" s="24">
        <f>VLOOKUP($R19,武学奇术!$A:$ZZ,26,FALSE)</f>
        <v>1.0253</v>
      </c>
      <c r="AJ19" s="25">
        <f>VLOOKUP($R19,武学奇术!$A:$ZZ,27,FALSE)*(1+IF(OR($AH19=$F$4,$AH19=$F$5),$B$22,0))</f>
        <v>396.2</v>
      </c>
      <c r="AK19" s="24">
        <f>VLOOKUP($R19,武学奇术!$A:$ZZ,28,FALSE)</f>
        <v>1.538</v>
      </c>
      <c r="AL19" s="25">
        <f>VLOOKUP($R19,武学奇术!$A:$ZZ,29,FALSE)*(1+IF(OR($AH19=$F$4,$AH19=$F$5),$B$22,0))</f>
        <v>215.6</v>
      </c>
      <c r="AM19" s="24" cm="1">
        <f t="array" ref="AM19">$G$3+IFERROR(VLOOKUP($AH19,$F$4:$G$7,2,FALSE),0)+VLOOKUP($R19,武学奇术!$A:$ZZ,2,FALSE)+SUM(_xlfn.XLOOKUP($S19:$AG19,增益!$A:$A,增益!$B:$B,0))</f>
        <v>0.3691</v>
      </c>
      <c r="AN19" s="24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1364.4</v>
      </c>
      <c r="AP19" cm="1">
        <f t="array" ref="AP19">$E$10*(1+$AN19)+VLOOKUP($R19,武学奇术!$A:$ZZ,4,FALSE)+SUM(_xlfn.XLOOKUP($S19:$AG19,增益!$A:$A,增益!$D:$D,0))-$I$2</f>
        <v>6174.4</v>
      </c>
      <c r="AQ19" s="32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0.2925</v>
      </c>
      <c r="AR19" s="32" cm="1">
        <f t="array" ref="AR19">$G$10+VLOOKUP($R19,武学奇术!$A:$ZZ,7,FALSE)+SUM(_xlfn.XLOOKUP(S19:AG19,增益!$A:$A,增益!$G:$G,0))</f>
        <v>0</v>
      </c>
      <c r="AS19" s="24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32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0.11</v>
      </c>
      <c r="AW19" s="32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2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32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2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32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2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-0.14</v>
      </c>
      <c r="BI19" s="32" cm="1">
        <f t="array" ref="BI19">$G$14+VLOOKUP($R19,武学奇术!$A:$ZZ,16,FALSE)+SUM(_xlfn.XLOOKUP(S19:AG19,增益!$A:$A,增益!$P:$P,0))</f>
        <v>0</v>
      </c>
      <c r="BJ19" s="24">
        <f>MIN(IF(VLOOKUP($R19,武学奇术!$A:$ZZ,23,FALSE)=1,100%,$B$8),100%)</f>
        <v>0.8271</v>
      </c>
      <c r="BK19" s="24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0.1789</v>
      </c>
      <c r="BL19" s="24" cm="1">
        <f t="array" ref="BL19">1+$B$13+VLOOKUP($R19,武学奇术!$A:$ZZ,18,FALSE)+SUM(_xlfn.XLOOKUP(S19:AG19,增益!$A:$A,增益!$R:$R,0))</f>
        <v>1.5</v>
      </c>
      <c r="BM19" s="24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0.5509</v>
      </c>
      <c r="BN19" s="24" cm="1">
        <f t="array" ref="BN19">1+$B$14+VLOOKUP($R19,武学奇术!$A:$ZZ,20,FALSE)+SUM(_xlfn.XLOOKUP(S19:AG19,增益!$A:$A,增益!$T:$T,0))</f>
        <v>1.842</v>
      </c>
      <c r="BO19" s="24">
        <f t="shared" si="9"/>
        <v>0.14796819</v>
      </c>
      <c r="BP19" s="24">
        <f t="shared" si="10"/>
        <v>0.22348242</v>
      </c>
      <c r="BQ19" s="24">
        <f>IF(VLOOKUP($R19,武学奇术!$A:$ZZ,22,FALSE)=1,0,(1-$BJ19))*(1-$BM19)</f>
        <v>0.07764939</v>
      </c>
      <c r="BR19" s="24" cm="1">
        <f t="array" ref="BR19">SUM(_xlfn.XLOOKUP(S19:AG19,增益!$A:$A,增益!$W:$W,0))+$I$5</f>
        <v>0.11</v>
      </c>
    </row>
    <row r="20" spans="1:70">
      <c r="A20" s="40" t="s">
        <v>135</v>
      </c>
      <c r="B20" s="68">
        <v>0</v>
      </c>
      <c r="C20" s="38" t="s">
        <v>136</v>
      </c>
      <c r="D20" s="77" t="s">
        <v>122</v>
      </c>
      <c r="K20" s="30">
        <f>$L20*VLOOKUP($R20,武学奇术!$A:$ZZ,31,FALSE)</f>
        <v>575238.193473601</v>
      </c>
      <c r="L20" s="30">
        <f t="shared" si="0"/>
        <v>522943.812248728</v>
      </c>
      <c r="M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365838.961044843</v>
      </c>
      <c r="N20" s="30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734499.519166699</v>
      </c>
      <c r="O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243892.640696562</v>
      </c>
      <c r="P20" s="30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124531.31543531</v>
      </c>
      <c r="Q20" s="38">
        <v>2</v>
      </c>
      <c r="R20" s="39" t="s">
        <v>96</v>
      </c>
      <c r="S20" s="39" t="s">
        <v>134</v>
      </c>
      <c r="T20" s="39" t="s">
        <v>69</v>
      </c>
      <c r="U20" s="39" t="s">
        <v>73</v>
      </c>
      <c r="V20" s="39" t="s">
        <v>75</v>
      </c>
      <c r="W20" s="39" t="s">
        <v>109</v>
      </c>
      <c r="X20" s="39" t="s">
        <v>97</v>
      </c>
      <c r="Y20" s="39" t="s">
        <v>80</v>
      </c>
      <c r="Z20" s="39" t="s">
        <v>98</v>
      </c>
      <c r="AA20" s="39" t="s">
        <v>103</v>
      </c>
      <c r="AB20" s="39" t="s">
        <v>75</v>
      </c>
      <c r="AC20" s="39" t="s">
        <v>75</v>
      </c>
      <c r="AD20" s="39" t="s">
        <v>104</v>
      </c>
      <c r="AE20" s="39" t="s">
        <v>75</v>
      </c>
      <c r="AF20" s="39" t="s">
        <v>75</v>
      </c>
      <c r="AG20" s="39" t="s">
        <v>76</v>
      </c>
      <c r="AH20" t="str">
        <f>VLOOKUP($R20,武学奇术!$A:$ZZ,25,FALSE)</f>
        <v>剑</v>
      </c>
      <c r="AI20" s="24">
        <f>VLOOKUP($R20,武学奇术!$A:$ZZ,26,FALSE)</f>
        <v>4.7037</v>
      </c>
      <c r="AJ20" s="25">
        <f>VLOOKUP($R20,武学奇术!$A:$ZZ,27,FALSE)*(1+IF(OR($AH20=$F$4,$AH20=$F$5),$B$22,0))</f>
        <v>1820</v>
      </c>
      <c r="AK20" s="24">
        <f>VLOOKUP($R20,武学奇术!$A:$ZZ,28,FALSE)</f>
        <v>7.0554</v>
      </c>
      <c r="AL20" s="25">
        <f>VLOOKUP($R20,武学奇术!$A:$ZZ,29,FALSE)*(1+IF(OR($AH20=$F$4,$AH20=$F$5),$B$22,0))</f>
        <v>992.6</v>
      </c>
      <c r="AM20" s="24" cm="1">
        <f t="array" ref="AM20">$G$3+IFERROR(VLOOKUP($AH20,$F$4:$G$7,2,FALSE),0)+VLOOKUP($R20,武学奇术!$A:$ZZ,2,FALSE)+SUM(_xlfn.XLOOKUP($S20:$AG20,增益!$A:$A,增益!$B:$B,0))</f>
        <v>1.4191</v>
      </c>
      <c r="AN20" s="24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1364.4</v>
      </c>
      <c r="AP20" cm="1">
        <f t="array" ref="AP20">$E$10*(1+$AN20)+VLOOKUP($R20,武学奇术!$A:$ZZ,4,FALSE)+SUM(_xlfn.XLOOKUP($S20:$AG20,增益!$A:$A,增益!$D:$D,0))-$I$2</f>
        <v>6174.4</v>
      </c>
      <c r="AQ20" s="32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0.2925</v>
      </c>
      <c r="AR20" s="32" cm="1">
        <f t="array" ref="AR20">$G$10+VLOOKUP($R20,武学奇术!$A:$ZZ,7,FALSE)+SUM(_xlfn.XLOOKUP(S20:AG20,增益!$A:$A,增益!$G:$G,0))</f>
        <v>0</v>
      </c>
      <c r="AS20" s="24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32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0.11</v>
      </c>
      <c r="AW20" s="32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2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-0.14</v>
      </c>
      <c r="BA20" s="32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2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-0.14</v>
      </c>
      <c r="BE20" s="32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2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-0.14</v>
      </c>
      <c r="BI20" s="32" cm="1">
        <f t="array" ref="BI20">$G$14+VLOOKUP($R20,武学奇术!$A:$ZZ,16,FALSE)+SUM(_xlfn.XLOOKUP(S20:AG20,增益!$A:$A,增益!$P:$P,0))</f>
        <v>0</v>
      </c>
      <c r="BJ20" s="24">
        <f>MIN(IF(VLOOKUP($R20,武学奇术!$A:$ZZ,23,FALSE)=1,100%,$B$8),100%)</f>
        <v>0.8271</v>
      </c>
      <c r="BK20" s="24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0.1789</v>
      </c>
      <c r="BL20" s="24" cm="1">
        <f t="array" ref="BL20">1+$B$13+VLOOKUP($R20,武学奇术!$A:$ZZ,18,FALSE)+SUM(_xlfn.XLOOKUP(S20:AG20,增益!$A:$A,增益!$R:$R,0))</f>
        <v>1.5</v>
      </c>
      <c r="BM20" s="24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0.5509</v>
      </c>
      <c r="BN20" s="24" cm="1">
        <f t="array" ref="BN20">1+$B$14+VLOOKUP($R20,武学奇术!$A:$ZZ,20,FALSE)+SUM(_xlfn.XLOOKUP(S20:AG20,增益!$A:$A,增益!$T:$T,0))</f>
        <v>2.022</v>
      </c>
      <c r="BO20" s="24">
        <f t="shared" si="9"/>
        <v>0.14796819</v>
      </c>
      <c r="BP20" s="24">
        <f t="shared" si="10"/>
        <v>0.22348242</v>
      </c>
      <c r="BQ20" s="24">
        <f>IF(VLOOKUP($R20,武学奇术!$A:$ZZ,22,FALSE)=1,0,(1-$BJ20))*(1-$BM20)</f>
        <v>0.07764939</v>
      </c>
      <c r="BR20" s="24" cm="1">
        <f t="array" ref="BR20">SUM(_xlfn.XLOOKUP(S20:AG20,增益!$A:$A,增益!$W:$W,0))+$I$5</f>
        <v>0.11</v>
      </c>
    </row>
    <row r="21" ht="14.25" spans="1:70">
      <c r="A21" s="83" t="s">
        <v>137</v>
      </c>
      <c r="B21" s="97">
        <v>0.32</v>
      </c>
      <c r="F21" s="38"/>
      <c r="K21" s="30">
        <f>$L21*VLOOKUP($R21,武学奇术!$A:$ZZ,31,FALSE)</f>
        <v>245775.950462921</v>
      </c>
      <c r="L21" s="30">
        <f t="shared" si="0"/>
        <v>223432.682239019</v>
      </c>
      <c r="M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179418.630721257</v>
      </c>
      <c r="N21" s="30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345300.333264159</v>
      </c>
      <c r="O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119612.420480838</v>
      </c>
      <c r="P21" s="30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60497.9603901647</v>
      </c>
      <c r="Q21" s="38">
        <v>1</v>
      </c>
      <c r="R21" s="39" t="s">
        <v>96</v>
      </c>
      <c r="S21" s="39" t="s">
        <v>138</v>
      </c>
      <c r="T21" s="39" t="s">
        <v>75</v>
      </c>
      <c r="U21" s="39" t="s">
        <v>114</v>
      </c>
      <c r="V21" s="39" t="s">
        <v>75</v>
      </c>
      <c r="W21" s="39" t="s">
        <v>109</v>
      </c>
      <c r="X21" s="39" t="s">
        <v>97</v>
      </c>
      <c r="Y21" s="39" t="s">
        <v>80</v>
      </c>
      <c r="Z21" s="39" t="s">
        <v>98</v>
      </c>
      <c r="AA21" s="39" t="s">
        <v>103</v>
      </c>
      <c r="AB21" s="39" t="s">
        <v>75</v>
      </c>
      <c r="AC21" s="39" t="s">
        <v>75</v>
      </c>
      <c r="AD21" s="39" t="s">
        <v>75</v>
      </c>
      <c r="AE21" s="39" t="s">
        <v>75</v>
      </c>
      <c r="AF21" s="39" t="s">
        <v>75</v>
      </c>
      <c r="AG21" s="39" t="s">
        <v>76</v>
      </c>
      <c r="AH21" t="str">
        <f>VLOOKUP($R21,武学奇术!$A:$ZZ,25,FALSE)</f>
        <v>剑</v>
      </c>
      <c r="AI21" s="24">
        <f>VLOOKUP($R21,武学奇术!$A:$ZZ,26,FALSE)</f>
        <v>4.7037</v>
      </c>
      <c r="AJ21" s="25">
        <f>VLOOKUP($R21,武学奇术!$A:$ZZ,27,FALSE)*(1+IF(OR($AH21=$F$4,$AH21=$F$5),$B$22,0))</f>
        <v>1820</v>
      </c>
      <c r="AK21" s="24">
        <f>VLOOKUP($R21,武学奇术!$A:$ZZ,28,FALSE)</f>
        <v>7.0554</v>
      </c>
      <c r="AL21" s="25">
        <f>VLOOKUP($R21,武学奇术!$A:$ZZ,29,FALSE)*(1+IF(OR($AH21=$F$4,$AH21=$F$5),$B$22,0))</f>
        <v>992.6</v>
      </c>
      <c r="AM21" s="24" cm="1">
        <f t="array" ref="AM21">$G$3+IFERROR(VLOOKUP($AH21,$F$4:$G$7,2,FALSE),0)+VLOOKUP($R21,武学奇术!$A:$ZZ,2,FALSE)+SUM(_xlfn.XLOOKUP($S21:$AG21,增益!$A:$A,增益!$B:$B,0))</f>
        <v>1.4191</v>
      </c>
      <c r="AN21" s="24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1364.4</v>
      </c>
      <c r="AP21" cm="1">
        <f t="array" ref="AP21">$E$10*(1+$AN21)+VLOOKUP($R21,武学奇术!$A:$ZZ,4,FALSE)+SUM(_xlfn.XLOOKUP($S21:$AG21,增益!$A:$A,增益!$D:$D,0))-$I$2</f>
        <v>6174.4</v>
      </c>
      <c r="AQ21" s="32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0.2925</v>
      </c>
      <c r="AR21" s="32" cm="1">
        <f t="array" ref="AR21">$G$10+VLOOKUP($R21,武学奇术!$A:$ZZ,7,FALSE)+SUM(_xlfn.XLOOKUP(S21:AG21,增益!$A:$A,增益!$G:$G,0))</f>
        <v>0</v>
      </c>
      <c r="AS21" s="24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32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2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2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2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2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2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2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2" cm="1">
        <f t="array" ref="BI21">$G$14+VLOOKUP($R21,武学奇术!$A:$ZZ,16,FALSE)+SUM(_xlfn.XLOOKUP(S21:AG21,增益!$A:$A,增益!$P:$P,0))</f>
        <v>0</v>
      </c>
      <c r="BJ21" s="24">
        <f>MIN(IF(VLOOKUP($R21,武学奇术!$A:$ZZ,23,FALSE)=1,100%,$B$8),100%)</f>
        <v>0.8271</v>
      </c>
      <c r="BK21" s="24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0.1789</v>
      </c>
      <c r="BL21" s="24" cm="1">
        <f t="array" ref="BL21">1+$B$13+VLOOKUP($R21,武学奇术!$A:$ZZ,18,FALSE)+SUM(_xlfn.XLOOKUP(S21:AG21,增益!$A:$A,增益!$R:$R,0))</f>
        <v>1.5</v>
      </c>
      <c r="BM21" s="24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4" cm="1">
        <f t="array" ref="BN21">1+$B$14+VLOOKUP($R21,武学奇术!$A:$ZZ,20,FALSE)+SUM(_xlfn.XLOOKUP(S21:AG21,增益!$A:$A,增益!$T:$T,0))</f>
        <v>1.932</v>
      </c>
      <c r="BO21" s="24">
        <f t="shared" si="9"/>
        <v>0.14796819</v>
      </c>
      <c r="BP21" s="24">
        <f t="shared" si="10"/>
        <v>0.31032792</v>
      </c>
      <c r="BQ21" s="24">
        <f>IF(VLOOKUP($R21,武学奇术!$A:$ZZ,22,FALSE)=1,0,(1-$BJ21))*(1-$BM21)</f>
        <v>0.09580389</v>
      </c>
      <c r="BR21" s="24" cm="1">
        <f t="array" ref="BR21">SUM(_xlfn.XLOOKUP(S21:AG21,增益!$A:$A,增益!$W:$W,0))+$I$5</f>
        <v>0.11</v>
      </c>
    </row>
    <row r="22" spans="1:70">
      <c r="A22" t="s">
        <v>139</v>
      </c>
      <c r="B22" s="26">
        <v>0.4</v>
      </c>
      <c r="K22" s="30">
        <f>$L22*VLOOKUP($R22,武学奇术!$A:$ZZ,31,FALSE)</f>
        <v>250967.832145944</v>
      </c>
      <c r="L22" s="30">
        <f t="shared" si="0"/>
        <v>228152.574678131</v>
      </c>
      <c r="M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182919.480522421</v>
      </c>
      <c r="N22" s="30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352719.600945037</v>
      </c>
      <c r="O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121946.320348281</v>
      </c>
      <c r="P22" s="30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62265.6577176551</v>
      </c>
      <c r="Q22" s="38">
        <v>1</v>
      </c>
      <c r="R22" s="39" t="s">
        <v>96</v>
      </c>
      <c r="S22" s="39" t="s">
        <v>140</v>
      </c>
      <c r="T22" s="39" t="s">
        <v>75</v>
      </c>
      <c r="U22" s="39" t="s">
        <v>114</v>
      </c>
      <c r="V22" s="39" t="s">
        <v>75</v>
      </c>
      <c r="W22" s="39" t="s">
        <v>109</v>
      </c>
      <c r="X22" s="39" t="s">
        <v>97</v>
      </c>
      <c r="Y22" s="39" t="s">
        <v>80</v>
      </c>
      <c r="Z22" s="39" t="s">
        <v>98</v>
      </c>
      <c r="AA22" s="39" t="s">
        <v>103</v>
      </c>
      <c r="AB22" s="39" t="s">
        <v>75</v>
      </c>
      <c r="AC22" s="39" t="s">
        <v>75</v>
      </c>
      <c r="AD22" s="39" t="s">
        <v>104</v>
      </c>
      <c r="AE22" s="39" t="s">
        <v>75</v>
      </c>
      <c r="AF22" s="39" t="s">
        <v>75</v>
      </c>
      <c r="AG22" s="39" t="s">
        <v>76</v>
      </c>
      <c r="AH22" t="str">
        <f>VLOOKUP($R22,武学奇术!$A:$ZZ,25,FALSE)</f>
        <v>剑</v>
      </c>
      <c r="AI22" s="24">
        <f>VLOOKUP($R22,武学奇术!$A:$ZZ,26,FALSE)</f>
        <v>4.7037</v>
      </c>
      <c r="AJ22" s="25">
        <f>VLOOKUP($R22,武学奇术!$A:$ZZ,27,FALSE)*(1+IF(OR($AH22=$F$4,$AH22=$F$5),$B$22,0))</f>
        <v>1820</v>
      </c>
      <c r="AK22" s="24">
        <f>VLOOKUP($R22,武学奇术!$A:$ZZ,28,FALSE)</f>
        <v>7.0554</v>
      </c>
      <c r="AL22" s="25">
        <f>VLOOKUP($R22,武学奇术!$A:$ZZ,29,FALSE)*(1+IF(OR($AH22=$F$4,$AH22=$F$5),$B$22,0))</f>
        <v>992.6</v>
      </c>
      <c r="AM22" s="24" cm="1">
        <f t="array" ref="AM22">$G$3+IFERROR(VLOOKUP($AH22,$F$4:$G$7,2,FALSE),0)+VLOOKUP($R22,武学奇术!$A:$ZZ,2,FALSE)+SUM(_xlfn.XLOOKUP($S22:$AG22,增益!$A:$A,增益!$B:$B,0))</f>
        <v>1.4191</v>
      </c>
      <c r="AN22" s="24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1364.4</v>
      </c>
      <c r="AP22" cm="1">
        <f t="array" ref="AP22">$E$10*(1+$AN22)+VLOOKUP($R22,武学奇术!$A:$ZZ,4,FALSE)+SUM(_xlfn.XLOOKUP($S22:$AG22,增益!$A:$A,增益!$D:$D,0))-$I$2</f>
        <v>6174.4</v>
      </c>
      <c r="AQ22" s="32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0.2925</v>
      </c>
      <c r="AR22" s="32" cm="1">
        <f t="array" ref="AR22">$G$10+VLOOKUP($R22,武学奇术!$A:$ZZ,7,FALSE)+SUM(_xlfn.XLOOKUP(S22:AG22,增益!$A:$A,增益!$G:$G,0))</f>
        <v>0</v>
      </c>
      <c r="AS22" s="24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32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0.11</v>
      </c>
      <c r="AW22" s="32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2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32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2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32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2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-0.14</v>
      </c>
      <c r="BI22" s="32" cm="1">
        <f t="array" ref="BI22">$G$14+VLOOKUP($R22,武学奇术!$A:$ZZ,16,FALSE)+SUM(_xlfn.XLOOKUP(S22:AG22,增益!$A:$A,增益!$P:$P,0))</f>
        <v>0</v>
      </c>
      <c r="BJ22" s="24">
        <f>MIN(IF(VLOOKUP($R22,武学奇术!$A:$ZZ,23,FALSE)=1,100%,$B$8),100%)</f>
        <v>0.8271</v>
      </c>
      <c r="BK22" s="24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0.1789</v>
      </c>
      <c r="BL22" s="24" cm="1">
        <f t="array" ref="BL22">1+$B$13+VLOOKUP($R22,武学奇术!$A:$ZZ,18,FALSE)+SUM(_xlfn.XLOOKUP(S22:AG22,增益!$A:$A,增益!$R:$R,0))</f>
        <v>1.5</v>
      </c>
      <c r="BM22" s="24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4" cm="1">
        <f t="array" ref="BN22">1+$B$14+VLOOKUP($R22,武学奇术!$A:$ZZ,20,FALSE)+SUM(_xlfn.XLOOKUP(S22:AG22,增益!$A:$A,增益!$T:$T,0))</f>
        <v>1.942</v>
      </c>
      <c r="BO22" s="24">
        <f t="shared" si="9"/>
        <v>0.14796819</v>
      </c>
      <c r="BP22" s="24">
        <f t="shared" si="10"/>
        <v>0.31032792</v>
      </c>
      <c r="BQ22" s="24">
        <f>IF(VLOOKUP($R22,武学奇术!$A:$ZZ,22,FALSE)=1,0,(1-$BJ22))*(1-$BM22)</f>
        <v>0.09580389</v>
      </c>
      <c r="BR22" s="24" cm="1">
        <f t="array" ref="BR22">SUM(_xlfn.XLOOKUP(S22:AG22,增益!$A:$A,增益!$W:$W,0))+$I$5</f>
        <v>0.11</v>
      </c>
    </row>
    <row r="23" spans="1:70">
      <c r="A23" s="38" t="s">
        <v>141</v>
      </c>
      <c r="B23">
        <v>200</v>
      </c>
      <c r="K23" s="30">
        <f>$L23*VLOOKUP($R23,武学奇术!$A:$ZZ,31,FALSE)</f>
        <v>286020.221484586</v>
      </c>
      <c r="L23" s="30">
        <f t="shared" si="0"/>
        <v>260018.383167805</v>
      </c>
      <c r="M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179418.630721257</v>
      </c>
      <c r="N23" s="30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366747.55893274</v>
      </c>
      <c r="O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119612.420480838</v>
      </c>
      <c r="P23" s="30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60497.9603901647</v>
      </c>
      <c r="Q23" s="38">
        <v>1</v>
      </c>
      <c r="R23" s="39" t="s">
        <v>96</v>
      </c>
      <c r="S23" s="39" t="s">
        <v>142</v>
      </c>
      <c r="T23" s="39" t="s">
        <v>69</v>
      </c>
      <c r="U23" s="39" t="s">
        <v>73</v>
      </c>
      <c r="V23" s="39" t="s">
        <v>75</v>
      </c>
      <c r="W23" s="39" t="s">
        <v>109</v>
      </c>
      <c r="X23" s="39" t="s">
        <v>97</v>
      </c>
      <c r="Y23" s="39" t="s">
        <v>80</v>
      </c>
      <c r="Z23" s="39" t="s">
        <v>98</v>
      </c>
      <c r="AA23" s="39" t="s">
        <v>103</v>
      </c>
      <c r="AB23" s="39" t="s">
        <v>75</v>
      </c>
      <c r="AC23" s="39" t="s">
        <v>75</v>
      </c>
      <c r="AD23" s="39" t="s">
        <v>75</v>
      </c>
      <c r="AE23" s="39" t="s">
        <v>75</v>
      </c>
      <c r="AF23" s="39" t="s">
        <v>75</v>
      </c>
      <c r="AG23" s="39" t="s">
        <v>76</v>
      </c>
      <c r="AH23" t="str">
        <f>VLOOKUP($R23,武学奇术!$A:$ZZ,25,FALSE)</f>
        <v>剑</v>
      </c>
      <c r="AI23" s="24">
        <f>VLOOKUP($R23,武学奇术!$A:$ZZ,26,FALSE)</f>
        <v>4.7037</v>
      </c>
      <c r="AJ23" s="25">
        <f>VLOOKUP($R23,武学奇术!$A:$ZZ,27,FALSE)*(1+IF(OR($AH23=$F$4,$AH23=$F$5),$B$22,0))</f>
        <v>1820</v>
      </c>
      <c r="AK23" s="24">
        <f>VLOOKUP($R23,武学奇术!$A:$ZZ,28,FALSE)</f>
        <v>7.0554</v>
      </c>
      <c r="AL23" s="25">
        <f>VLOOKUP($R23,武学奇术!$A:$ZZ,29,FALSE)*(1+IF(OR($AH23=$F$4,$AH23=$F$5),$B$22,0))</f>
        <v>992.6</v>
      </c>
      <c r="AM23" s="24" cm="1">
        <f t="array" ref="AM23">$G$3+IFERROR(VLOOKUP($AH23,$F$4:$G$7,2,FALSE),0)+VLOOKUP($R23,武学奇术!$A:$ZZ,2,FALSE)+SUM(_xlfn.XLOOKUP($S23:$AG23,增益!$A:$A,增益!$B:$B,0))</f>
        <v>1.4191</v>
      </c>
      <c r="AN23" s="24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1364.4</v>
      </c>
      <c r="AP23" cm="1">
        <f t="array" ref="AP23">$E$10*(1+$AN23)+VLOOKUP($R23,武学奇术!$A:$ZZ,4,FALSE)+SUM(_xlfn.XLOOKUP($S23:$AG23,增益!$A:$A,增益!$D:$D,0))-$I$2</f>
        <v>6174.4</v>
      </c>
      <c r="AQ23" s="32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0.2925</v>
      </c>
      <c r="AR23" s="32" cm="1">
        <f t="array" ref="AR23">$G$10+VLOOKUP($R23,武学奇术!$A:$ZZ,7,FALSE)+SUM(_xlfn.XLOOKUP(S23:AG23,增益!$A:$A,增益!$G:$G,0))</f>
        <v>0</v>
      </c>
      <c r="AS23" s="24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32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2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2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2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2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2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2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2" cm="1">
        <f t="array" ref="BI23">$G$14+VLOOKUP($R23,武学奇术!$A:$ZZ,16,FALSE)+SUM(_xlfn.XLOOKUP(S23:AG23,增益!$A:$A,增益!$P:$P,0))</f>
        <v>0</v>
      </c>
      <c r="BJ23" s="24">
        <f>MIN(IF(VLOOKUP($R23,武学奇术!$A:$ZZ,23,FALSE)=1,100%,$B$8),100%)</f>
        <v>0.8271</v>
      </c>
      <c r="BK23" s="24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0.1789</v>
      </c>
      <c r="BL23" s="24" cm="1">
        <f t="array" ref="BL23">1+$B$13+VLOOKUP($R23,武学奇术!$A:$ZZ,18,FALSE)+SUM(_xlfn.XLOOKUP(S23:AG23,增益!$A:$A,增益!$R:$R,0))</f>
        <v>1.5</v>
      </c>
      <c r="BM23" s="24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0.5509</v>
      </c>
      <c r="BN23" s="24" cm="1">
        <f t="array" ref="BN23">1+$B$14+VLOOKUP($R23,武学奇术!$A:$ZZ,20,FALSE)+SUM(_xlfn.XLOOKUP(S23:AG23,增益!$A:$A,增益!$T:$T,0))</f>
        <v>2.052</v>
      </c>
      <c r="BO23" s="24">
        <f t="shared" si="9"/>
        <v>0.14796819</v>
      </c>
      <c r="BP23" s="24">
        <f t="shared" si="10"/>
        <v>0.22348242</v>
      </c>
      <c r="BQ23" s="24">
        <f>IF(VLOOKUP($R23,武学奇术!$A:$ZZ,22,FALSE)=1,0,(1-$BJ23))*(1-$BM23)</f>
        <v>0.07764939</v>
      </c>
      <c r="BR23" s="24" cm="1">
        <f t="array" ref="BR23">SUM(_xlfn.XLOOKUP(S23:AG23,增益!$A:$A,增益!$W:$W,0))+$I$5</f>
        <v>0.11</v>
      </c>
    </row>
    <row r="24" spans="1:70">
      <c r="A24" s="38"/>
      <c r="B24">
        <v>400</v>
      </c>
      <c r="K24" s="30">
        <f>$L24*VLOOKUP($R24,武学奇术!$A:$ZZ,31,FALSE)</f>
        <v>292021.662153416</v>
      </c>
      <c r="L24" s="30">
        <f t="shared" si="0"/>
        <v>265474.238321287</v>
      </c>
      <c r="M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182919.480522421</v>
      </c>
      <c r="N24" s="30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374514.838902506</v>
      </c>
      <c r="O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121946.320348281</v>
      </c>
      <c r="P24" s="30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62265.6577176551</v>
      </c>
      <c r="Q24" s="38">
        <v>1</v>
      </c>
      <c r="R24" s="39" t="s">
        <v>96</v>
      </c>
      <c r="S24" s="39" t="s">
        <v>143</v>
      </c>
      <c r="T24" s="39" t="s">
        <v>69</v>
      </c>
      <c r="U24" s="39" t="s">
        <v>73</v>
      </c>
      <c r="V24" s="39" t="s">
        <v>75</v>
      </c>
      <c r="W24" s="39" t="s">
        <v>109</v>
      </c>
      <c r="X24" s="39" t="s">
        <v>97</v>
      </c>
      <c r="Y24" s="39" t="s">
        <v>80</v>
      </c>
      <c r="Z24" s="39" t="s">
        <v>98</v>
      </c>
      <c r="AA24" s="39" t="s">
        <v>103</v>
      </c>
      <c r="AB24" s="39" t="s">
        <v>75</v>
      </c>
      <c r="AC24" s="39" t="s">
        <v>75</v>
      </c>
      <c r="AD24" s="39" t="s">
        <v>104</v>
      </c>
      <c r="AE24" s="39" t="s">
        <v>75</v>
      </c>
      <c r="AF24" s="39" t="s">
        <v>75</v>
      </c>
      <c r="AG24" s="39" t="s">
        <v>76</v>
      </c>
      <c r="AH24" t="str">
        <f>VLOOKUP($R24,武学奇术!$A:$ZZ,25,FALSE)</f>
        <v>剑</v>
      </c>
      <c r="AI24" s="24">
        <f>VLOOKUP($R24,武学奇术!$A:$ZZ,26,FALSE)</f>
        <v>4.7037</v>
      </c>
      <c r="AJ24" s="25">
        <f>VLOOKUP($R24,武学奇术!$A:$ZZ,27,FALSE)*(1+IF(OR($AH24=$F$4,$AH24=$F$5),$B$22,0))</f>
        <v>1820</v>
      </c>
      <c r="AK24" s="24">
        <f>VLOOKUP($R24,武学奇术!$A:$ZZ,28,FALSE)</f>
        <v>7.0554</v>
      </c>
      <c r="AL24" s="25">
        <f>VLOOKUP($R24,武学奇术!$A:$ZZ,29,FALSE)*(1+IF(OR($AH24=$F$4,$AH24=$F$5),$B$22,0))</f>
        <v>992.6</v>
      </c>
      <c r="AM24" s="24" cm="1">
        <f t="array" ref="AM24">$G$3+IFERROR(VLOOKUP($AH24,$F$4:$G$7,2,FALSE),0)+VLOOKUP($R24,武学奇术!$A:$ZZ,2,FALSE)+SUM(_xlfn.XLOOKUP($S24:$AG24,增益!$A:$A,增益!$B:$B,0))</f>
        <v>1.4191</v>
      </c>
      <c r="AN24" s="24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1364.4</v>
      </c>
      <c r="AP24" cm="1">
        <f t="array" ref="AP24">$E$10*(1+$AN24)+VLOOKUP($R24,武学奇术!$A:$ZZ,4,FALSE)+SUM(_xlfn.XLOOKUP($S24:$AG24,增益!$A:$A,增益!$D:$D,0))-$I$2</f>
        <v>6174.4</v>
      </c>
      <c r="AQ24" s="32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0.2925</v>
      </c>
      <c r="AR24" s="32" cm="1">
        <f t="array" ref="AR24">$G$10+VLOOKUP($R24,武学奇术!$A:$ZZ,7,FALSE)+SUM(_xlfn.XLOOKUP(S24:AG24,增益!$A:$A,增益!$G:$G,0))</f>
        <v>0</v>
      </c>
      <c r="AS24" s="24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32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0.11</v>
      </c>
      <c r="AW24" s="32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2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-0.14</v>
      </c>
      <c r="BA24" s="32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2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-0.14</v>
      </c>
      <c r="BE24" s="32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2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-0.14</v>
      </c>
      <c r="BI24" s="32" cm="1">
        <f t="array" ref="BI24">$G$14+VLOOKUP($R24,武学奇术!$A:$ZZ,16,FALSE)+SUM(_xlfn.XLOOKUP(S24:AG24,增益!$A:$A,增益!$P:$P,0))</f>
        <v>0</v>
      </c>
      <c r="BJ24" s="24">
        <f>MIN(IF(VLOOKUP($R24,武学奇术!$A:$ZZ,23,FALSE)=1,100%,$B$8),100%)</f>
        <v>0.8271</v>
      </c>
      <c r="BK24" s="24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0.1789</v>
      </c>
      <c r="BL24" s="24" cm="1">
        <f t="array" ref="BL24">1+$B$13+VLOOKUP($R24,武学奇术!$A:$ZZ,18,FALSE)+SUM(_xlfn.XLOOKUP(S24:AG24,增益!$A:$A,增益!$R:$R,0))</f>
        <v>1.5</v>
      </c>
      <c r="BM24" s="24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0.5509</v>
      </c>
      <c r="BN24" s="24" cm="1">
        <f t="array" ref="BN24">1+$B$14+VLOOKUP($R24,武学奇术!$A:$ZZ,20,FALSE)+SUM(_xlfn.XLOOKUP(S24:AG24,增益!$A:$A,增益!$T:$T,0))</f>
        <v>2.062</v>
      </c>
      <c r="BO24" s="24">
        <f t="shared" si="9"/>
        <v>0.14796819</v>
      </c>
      <c r="BP24" s="24">
        <f t="shared" si="10"/>
        <v>0.22348242</v>
      </c>
      <c r="BQ24" s="24">
        <f>IF(VLOOKUP($R24,武学奇术!$A:$ZZ,22,FALSE)=1,0,(1-$BJ24))*(1-$BM24)</f>
        <v>0.07764939</v>
      </c>
      <c r="BR24" s="24" cm="1">
        <f t="array" ref="BR24">SUM(_xlfn.XLOOKUP(S24:AG24,增益!$A:$A,增益!$W:$W,0))+$I$5</f>
        <v>0.11</v>
      </c>
    </row>
    <row r="25" spans="1:70">
      <c r="K25" s="30">
        <f>$L25*VLOOKUP($R25,武学奇术!$A:$ZZ,31,FALSE)</f>
        <v>94554.7996327476</v>
      </c>
      <c r="L25" s="30">
        <f t="shared" si="0"/>
        <v>85958.9087570433</v>
      </c>
      <c r="M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62286.7159100646</v>
      </c>
      <c r="N25" s="30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119719.099833795</v>
      </c>
      <c r="O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41524.4772733764</v>
      </c>
      <c r="P25" s="30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19436.2553789553</v>
      </c>
      <c r="Q25" s="38">
        <v>1</v>
      </c>
      <c r="R25" s="39" t="s">
        <v>144</v>
      </c>
      <c r="S25" s="39" t="s">
        <v>143</v>
      </c>
      <c r="T25" s="39" t="s">
        <v>69</v>
      </c>
      <c r="U25" s="39" t="s">
        <v>73</v>
      </c>
      <c r="V25" s="39" t="s">
        <v>74</v>
      </c>
      <c r="W25" s="39" t="s">
        <v>75</v>
      </c>
      <c r="X25" s="39" t="s">
        <v>75</v>
      </c>
      <c r="Y25" s="39" t="s">
        <v>75</v>
      </c>
      <c r="Z25" s="39" t="s">
        <v>75</v>
      </c>
      <c r="AA25" s="39" t="s">
        <v>103</v>
      </c>
      <c r="AB25" s="39" t="s">
        <v>75</v>
      </c>
      <c r="AC25" s="39" t="s">
        <v>75</v>
      </c>
      <c r="AD25" s="39" t="s">
        <v>104</v>
      </c>
      <c r="AE25" s="39" t="s">
        <v>75</v>
      </c>
      <c r="AF25" s="39" t="s">
        <v>75</v>
      </c>
      <c r="AG25" s="39" t="s">
        <v>76</v>
      </c>
      <c r="AH25" t="str">
        <f>VLOOKUP($R25,武学奇术!$A:$ZZ,25,FALSE)</f>
        <v>群体奇术</v>
      </c>
      <c r="AI25" s="24">
        <f>VLOOKUP($R25,武学奇术!$A:$ZZ,26,FALSE)</f>
        <v>3.9744</v>
      </c>
      <c r="AJ25" s="25">
        <f>VLOOKUP($R25,武学奇术!$A:$ZZ,27,FALSE)*(1+IF(OR($AH25=$F$4,$AH25=$F$5),$B$22,0))</f>
        <v>982</v>
      </c>
      <c r="AK25" s="24">
        <f>VLOOKUP($R25,武学奇术!$A:$ZZ,28,FALSE)</f>
        <v>5.9613</v>
      </c>
      <c r="AL25" s="25">
        <f>VLOOKUP($R25,武学奇术!$A:$ZZ,29,FALSE)*(1+IF(OR($AH25=$F$4,$AH25=$F$5),$B$22,0))</f>
        <v>0</v>
      </c>
      <c r="AM25" s="24" cm="1">
        <f t="array" ref="AM25">$G$3+IFERROR(VLOOKUP($AH25,$F$4:$G$7,2,FALSE),0)+VLOOKUP($R25,武学奇术!$A:$ZZ,2,FALSE)+SUM(_xlfn.XLOOKUP($S25:$AG25,增益!$A:$A,增益!$B:$B,0))</f>
        <v>0.3987</v>
      </c>
      <c r="AN25" s="24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1364.4</v>
      </c>
      <c r="AP25" cm="1">
        <f t="array" ref="AP25">$E$10*(1+$AN25)+VLOOKUP($R25,武学奇术!$A:$ZZ,4,FALSE)+SUM(_xlfn.XLOOKUP($S25:$AG25,增益!$A:$A,增益!$D:$D,0))-$I$2</f>
        <v>6174.4</v>
      </c>
      <c r="AQ25" s="32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0.2925</v>
      </c>
      <c r="AR25" s="32" cm="1">
        <f t="array" ref="AR25">$G$10+VLOOKUP($R25,武学奇术!$A:$ZZ,7,FALSE)+SUM(_xlfn.XLOOKUP(S25:AG25,增益!$A:$A,增益!$G:$G,0))</f>
        <v>0</v>
      </c>
      <c r="AS25" s="24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32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0.11</v>
      </c>
      <c r="AW25" s="32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2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-0.14</v>
      </c>
      <c r="BA25" s="32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2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-0.14</v>
      </c>
      <c r="BE25" s="32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2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-0.14</v>
      </c>
      <c r="BI25" s="32" cm="1">
        <f t="array" ref="BI25">$G$14+VLOOKUP($R25,武学奇术!$A:$ZZ,16,FALSE)+SUM(_xlfn.XLOOKUP(S25:AG25,增益!$A:$A,增益!$P:$P,0))</f>
        <v>0</v>
      </c>
      <c r="BJ25" s="24">
        <f>MIN(IF(VLOOKUP($R25,武学奇术!$A:$ZZ,23,FALSE)=1,100%,$B$8),100%)</f>
        <v>0.8271</v>
      </c>
      <c r="BK25" s="24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0.1789</v>
      </c>
      <c r="BL25" s="24" cm="1">
        <f t="array" ref="BL25">1+$B$13+VLOOKUP($R25,武学奇术!$A:$ZZ,18,FALSE)+SUM(_xlfn.XLOOKUP(S25:AG25,增益!$A:$A,增益!$R:$R,0))</f>
        <v>1.5</v>
      </c>
      <c r="BM25" s="24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0.5509</v>
      </c>
      <c r="BN25" s="24" cm="1">
        <f t="array" ref="BN25">1+$B$14+VLOOKUP($R25,武学奇术!$A:$ZZ,20,FALSE)+SUM(_xlfn.XLOOKUP(S25:AG25,增益!$A:$A,增益!$T:$T,0))</f>
        <v>1.882</v>
      </c>
      <c r="BO25" s="24">
        <f t="shared" si="9"/>
        <v>0.14796819</v>
      </c>
      <c r="BP25" s="24">
        <f t="shared" si="10"/>
        <v>0.22348242</v>
      </c>
      <c r="BQ25" s="24">
        <f>IF(VLOOKUP($R25,武学奇术!$A:$ZZ,22,FALSE)=1,0,(1-$BJ25))*(1-$BM25)</f>
        <v>0.07764939</v>
      </c>
      <c r="BR25" s="24" cm="1">
        <f t="array" ref="BR25">SUM(_xlfn.XLOOKUP(S25:AG25,增益!$A:$A,增益!$W:$W,0))+$I$5</f>
        <v>0.11</v>
      </c>
    </row>
    <row r="26" spans="1:70">
      <c r="K26" s="30">
        <f>$L26*VLOOKUP($R26,武学奇术!$A:$ZZ,31,FALSE)</f>
        <v>30386.6467697772</v>
      </c>
      <c r="L26" s="30">
        <f t="shared" si="0"/>
        <v>27624.224336161</v>
      </c>
      <c r="M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20016.6001067225</v>
      </c>
      <c r="N26" s="30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38473.7401326061</v>
      </c>
      <c r="O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13344.4000711483</v>
      </c>
      <c r="P26" s="30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6245.79263294165</v>
      </c>
      <c r="Q26" s="38">
        <v>1</v>
      </c>
      <c r="R26" s="39" t="s">
        <v>71</v>
      </c>
      <c r="S26" s="39" t="s">
        <v>143</v>
      </c>
      <c r="T26" s="39" t="s">
        <v>69</v>
      </c>
      <c r="U26" s="39" t="s">
        <v>73</v>
      </c>
      <c r="V26" s="39" t="s">
        <v>75</v>
      </c>
      <c r="W26" s="39" t="s">
        <v>75</v>
      </c>
      <c r="X26" s="39" t="s">
        <v>75</v>
      </c>
      <c r="Y26" s="39" t="s">
        <v>75</v>
      </c>
      <c r="Z26" s="39" t="s">
        <v>75</v>
      </c>
      <c r="AA26" s="39" t="s">
        <v>103</v>
      </c>
      <c r="AB26" s="39" t="s">
        <v>75</v>
      </c>
      <c r="AC26" s="39" t="s">
        <v>75</v>
      </c>
      <c r="AD26" s="39" t="s">
        <v>104</v>
      </c>
      <c r="AE26" s="39" t="s">
        <v>75</v>
      </c>
      <c r="AF26" s="39" t="s">
        <v>75</v>
      </c>
      <c r="AG26" s="39" t="s">
        <v>76</v>
      </c>
      <c r="AH26" t="str">
        <f>VLOOKUP($R26,武学奇术!$A:$ZZ,25,FALSE)</f>
        <v>群体奇术</v>
      </c>
      <c r="AI26" s="24">
        <f>VLOOKUP($R26,武学奇术!$A:$ZZ,26,FALSE)</f>
        <v>1.4904</v>
      </c>
      <c r="AJ26" s="25">
        <f>VLOOKUP($R26,武学奇术!$A:$ZZ,27,FALSE)*(1+IF(OR($AH26=$F$4,$AH26=$F$5),$B$22,0))</f>
        <v>368</v>
      </c>
      <c r="AK26" s="24">
        <f>VLOOKUP($R26,武学奇术!$A:$ZZ,28,FALSE)</f>
        <v>2.2353</v>
      </c>
      <c r="AL26" s="25">
        <f>VLOOKUP($R26,武学奇术!$A:$ZZ,29,FALSE)*(1+IF(OR($AH26=$F$4,$AH26=$F$5),$B$22,0))</f>
        <v>0</v>
      </c>
      <c r="AM26" s="24" cm="1">
        <f t="array" ref="AM26">$G$3+IFERROR(VLOOKUP($AH26,$F$4:$G$7,2,FALSE),0)+VLOOKUP($R26,武学奇术!$A:$ZZ,2,FALSE)+SUM(_xlfn.XLOOKUP($S26:$AG26,增益!$A:$A,增益!$B:$B,0))</f>
        <v>0.1987</v>
      </c>
      <c r="AN26" s="24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1364.4</v>
      </c>
      <c r="AP26" cm="1">
        <f t="array" ref="AP26">$E$10*(1+$AN26)+VLOOKUP($R26,武学奇术!$A:$ZZ,4,FALSE)+SUM(_xlfn.XLOOKUP($S26:$AG26,增益!$A:$A,增益!$D:$D,0))-$I$2</f>
        <v>6174.4</v>
      </c>
      <c r="AQ26" s="32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0.2925</v>
      </c>
      <c r="AR26" s="32" cm="1">
        <f t="array" ref="AR26">$G$10+VLOOKUP($R26,武学奇术!$A:$ZZ,7,FALSE)+SUM(_xlfn.XLOOKUP(S26:AG26,增益!$A:$A,增益!$G:$G,0))</f>
        <v>0</v>
      </c>
      <c r="AS26" s="24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32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0.11</v>
      </c>
      <c r="AW26" s="32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2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-0.14</v>
      </c>
      <c r="BA26" s="32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2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-0.14</v>
      </c>
      <c r="BE26" s="32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2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-0.14</v>
      </c>
      <c r="BI26" s="32" cm="1">
        <f t="array" ref="BI26">$G$14+VLOOKUP($R26,武学奇术!$A:$ZZ,16,FALSE)+SUM(_xlfn.XLOOKUP(S26:AG26,增益!$A:$A,增益!$P:$P,0))</f>
        <v>0</v>
      </c>
      <c r="BJ26" s="24">
        <f>MIN(IF(VLOOKUP($R26,武学奇术!$A:$ZZ,23,FALSE)=1,100%,$B$8),100%)</f>
        <v>0.8271</v>
      </c>
      <c r="BK26" s="24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0.1789</v>
      </c>
      <c r="BL26" s="24" cm="1">
        <f t="array" ref="BL26">1+$B$13+VLOOKUP($R26,武学奇术!$A:$ZZ,18,FALSE)+SUM(_xlfn.XLOOKUP(S26:AG26,增益!$A:$A,增益!$R:$R,0))</f>
        <v>1.5</v>
      </c>
      <c r="BM26" s="24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0.5509</v>
      </c>
      <c r="BN26" s="24" cm="1">
        <f t="array" ref="BN26">1+$B$14+VLOOKUP($R26,武学奇术!$A:$ZZ,20,FALSE)+SUM(_xlfn.XLOOKUP(S26:AG26,增益!$A:$A,增益!$T:$T,0))</f>
        <v>1.882</v>
      </c>
      <c r="BO26" s="24">
        <f t="shared" si="9"/>
        <v>0.14796819</v>
      </c>
      <c r="BP26" s="24">
        <f t="shared" si="10"/>
        <v>0.22348242</v>
      </c>
      <c r="BQ26" s="24">
        <f>IF(VLOOKUP($R26,武学奇术!$A:$ZZ,22,FALSE)=1,0,(1-$BJ26))*(1-$BM26)</f>
        <v>0.07764939</v>
      </c>
      <c r="BR26" s="24" cm="1">
        <f t="array" ref="BR26">SUM(_xlfn.XLOOKUP(S26:AG26,增益!$A:$A,增益!$W:$W,0))+$I$5</f>
        <v>0.11</v>
      </c>
    </row>
    <row r="27" spans="1:70">
      <c r="G27">
        <v>100</v>
      </c>
      <c r="K27" s="30">
        <f>$L27*VLOOKUP($R27,武学奇术!$A:$ZZ,31,FALSE)</f>
        <v>35456.5803260927</v>
      </c>
      <c r="L27" s="30">
        <f t="shared" si="0"/>
        <v>32233.2548419025</v>
      </c>
      <c r="M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23356.3181523924</v>
      </c>
      <c r="N27" s="30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44892.9843359274</v>
      </c>
      <c r="O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15570.8787682616</v>
      </c>
      <c r="P27" s="30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7287.88700733752</v>
      </c>
      <c r="Q27" s="38">
        <v>1</v>
      </c>
      <c r="R27" s="39" t="s">
        <v>71</v>
      </c>
      <c r="S27" s="39" t="s">
        <v>143</v>
      </c>
      <c r="T27" s="39" t="s">
        <v>69</v>
      </c>
      <c r="U27" s="39" t="s">
        <v>73</v>
      </c>
      <c r="V27" s="39" t="s">
        <v>74</v>
      </c>
      <c r="W27" s="39" t="s">
        <v>75</v>
      </c>
      <c r="X27" s="39" t="s">
        <v>75</v>
      </c>
      <c r="Y27" s="39" t="s">
        <v>75</v>
      </c>
      <c r="Z27" s="39" t="s">
        <v>75</v>
      </c>
      <c r="AA27" s="39" t="s">
        <v>103</v>
      </c>
      <c r="AB27" s="39" t="s">
        <v>75</v>
      </c>
      <c r="AC27" s="39" t="s">
        <v>75</v>
      </c>
      <c r="AD27" s="39" t="s">
        <v>104</v>
      </c>
      <c r="AE27" s="39" t="s">
        <v>75</v>
      </c>
      <c r="AF27" s="39" t="s">
        <v>75</v>
      </c>
      <c r="AG27" s="39" t="s">
        <v>76</v>
      </c>
      <c r="AH27" t="str">
        <f>VLOOKUP($R27,武学奇术!$A:$ZZ,25,FALSE)</f>
        <v>群体奇术</v>
      </c>
      <c r="AI27" s="24">
        <f>VLOOKUP($R27,武学奇术!$A:$ZZ,26,FALSE)</f>
        <v>1.4904</v>
      </c>
      <c r="AJ27" s="25">
        <f>VLOOKUP($R27,武学奇术!$A:$ZZ,27,FALSE)*(1+IF(OR($AH27=$F$4,$AH27=$F$5),$B$22,0))</f>
        <v>368</v>
      </c>
      <c r="AK27" s="24">
        <f>VLOOKUP($R27,武学奇术!$A:$ZZ,28,FALSE)</f>
        <v>2.2353</v>
      </c>
      <c r="AL27" s="25">
        <f>VLOOKUP($R27,武学奇术!$A:$ZZ,29,FALSE)*(1+IF(OR($AH27=$F$4,$AH27=$F$5),$B$22,0))</f>
        <v>0</v>
      </c>
      <c r="AM27" s="24" cm="1">
        <f t="array" ref="AM27">$G$3+IFERROR(VLOOKUP($AH27,$F$4:$G$7,2,FALSE),0)+VLOOKUP($R27,武学奇术!$A:$ZZ,2,FALSE)+SUM(_xlfn.XLOOKUP($S27:$AG27,增益!$A:$A,增益!$B:$B,0))</f>
        <v>0.3987</v>
      </c>
      <c r="AN27" s="24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1364.4</v>
      </c>
      <c r="AP27" cm="1">
        <f t="array" ref="AP27">$E$10*(1+$AN27)+VLOOKUP($R27,武学奇术!$A:$ZZ,4,FALSE)+SUM(_xlfn.XLOOKUP($S27:$AG27,增益!$A:$A,增益!$D:$D,0))-$I$2</f>
        <v>6174.4</v>
      </c>
      <c r="AQ27" s="32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0.2925</v>
      </c>
      <c r="AR27" s="32" cm="1">
        <f t="array" ref="AR27">$G$10+VLOOKUP($R27,武学奇术!$A:$ZZ,7,FALSE)+SUM(_xlfn.XLOOKUP(S27:AG27,增益!$A:$A,增益!$G:$G,0))</f>
        <v>0</v>
      </c>
      <c r="AS27" s="24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32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0.11</v>
      </c>
      <c r="AW27" s="32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2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-0.14</v>
      </c>
      <c r="BA27" s="32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2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-0.14</v>
      </c>
      <c r="BE27" s="32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2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-0.14</v>
      </c>
      <c r="BI27" s="32" cm="1">
        <f t="array" ref="BI27">$G$14+VLOOKUP($R27,武学奇术!$A:$ZZ,16,FALSE)+SUM(_xlfn.XLOOKUP(S27:AG27,增益!$A:$A,增益!$P:$P,0))</f>
        <v>0</v>
      </c>
      <c r="BJ27" s="24">
        <f>MIN(IF(VLOOKUP($R27,武学奇术!$A:$ZZ,23,FALSE)=1,100%,$B$8),100%)</f>
        <v>0.8271</v>
      </c>
      <c r="BK27" s="24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0.1789</v>
      </c>
      <c r="BL27" s="24" cm="1">
        <f t="array" ref="BL27">1+$B$13+VLOOKUP($R27,武学奇术!$A:$ZZ,18,FALSE)+SUM(_xlfn.XLOOKUP(S27:AG27,增益!$A:$A,增益!$R:$R,0))</f>
        <v>1.5</v>
      </c>
      <c r="BM27" s="24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0.5509</v>
      </c>
      <c r="BN27" s="24" cm="1">
        <f t="array" ref="BN27">1+$B$14+VLOOKUP($R27,武学奇术!$A:$ZZ,20,FALSE)+SUM(_xlfn.XLOOKUP(S27:AG27,增益!$A:$A,增益!$T:$T,0))</f>
        <v>1.882</v>
      </c>
      <c r="BO27" s="24">
        <f t="shared" si="9"/>
        <v>0.14796819</v>
      </c>
      <c r="BP27" s="24">
        <f t="shared" si="10"/>
        <v>0.22348242</v>
      </c>
      <c r="BQ27" s="24">
        <f>IF(VLOOKUP($R27,武学奇术!$A:$ZZ,22,FALSE)=1,0,(1-$BJ27))*(1-$BM27)</f>
        <v>0.07764939</v>
      </c>
      <c r="BR27" s="24" cm="1">
        <f t="array" ref="BR27">SUM(_xlfn.XLOOKUP(S27:AG27,增益!$A:$A,增益!$W:$W,0))+$I$5</f>
        <v>0.11</v>
      </c>
    </row>
    <row r="28" spans="1:70">
      <c r="A28" s="86" t="s">
        <v>145</v>
      </c>
      <c r="B28" s="86">
        <v>0.7</v>
      </c>
      <c r="C28" s="4"/>
      <c r="G28">
        <v>-50</v>
      </c>
      <c r="H28">
        <v>2.5</v>
      </c>
      <c r="K28" s="30">
        <f>$L28*VLOOKUP($R28,武学奇术!$A:$ZZ,31,FALSE)</f>
        <v>70913.1606521854</v>
      </c>
      <c r="L28" s="30">
        <f t="shared" si="0"/>
        <v>64466.5096838049</v>
      </c>
      <c r="M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46712.6363047848</v>
      </c>
      <c r="N28" s="30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89785.9686718548</v>
      </c>
      <c r="O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31141.7575365232</v>
      </c>
      <c r="P28" s="30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14575.774014675</v>
      </c>
      <c r="Q28" s="38">
        <v>2</v>
      </c>
      <c r="R28" s="39" t="s">
        <v>71</v>
      </c>
      <c r="S28" s="39" t="s">
        <v>143</v>
      </c>
      <c r="T28" s="39" t="s">
        <v>69</v>
      </c>
      <c r="U28" s="39" t="s">
        <v>73</v>
      </c>
      <c r="V28" s="39" t="s">
        <v>74</v>
      </c>
      <c r="W28" s="39" t="s">
        <v>75</v>
      </c>
      <c r="X28" s="39" t="s">
        <v>75</v>
      </c>
      <c r="Y28" s="39" t="s">
        <v>75</v>
      </c>
      <c r="Z28" s="39" t="s">
        <v>75</v>
      </c>
      <c r="AA28" s="39" t="s">
        <v>103</v>
      </c>
      <c r="AB28" s="39" t="s">
        <v>75</v>
      </c>
      <c r="AC28" s="39" t="s">
        <v>75</v>
      </c>
      <c r="AD28" s="39" t="s">
        <v>104</v>
      </c>
      <c r="AE28" s="39" t="s">
        <v>75</v>
      </c>
      <c r="AF28" s="39" t="s">
        <v>75</v>
      </c>
      <c r="AG28" s="39" t="s">
        <v>76</v>
      </c>
      <c r="AH28" t="str">
        <f>VLOOKUP($R28,武学奇术!$A:$ZZ,25,FALSE)</f>
        <v>群体奇术</v>
      </c>
      <c r="AI28" s="24">
        <f>VLOOKUP($R28,武学奇术!$A:$ZZ,26,FALSE)</f>
        <v>1.4904</v>
      </c>
      <c r="AJ28" s="25">
        <f>VLOOKUP($R28,武学奇术!$A:$ZZ,27,FALSE)*(1+IF(OR($AH28=$F$4,$AH28=$F$5),$B$22,0))</f>
        <v>368</v>
      </c>
      <c r="AK28" s="24">
        <f>VLOOKUP($R28,武学奇术!$A:$ZZ,28,FALSE)</f>
        <v>2.2353</v>
      </c>
      <c r="AL28" s="25">
        <f>VLOOKUP($R28,武学奇术!$A:$ZZ,29,FALSE)*(1+IF(OR($AH28=$F$4,$AH28=$F$5),$B$22,0))</f>
        <v>0</v>
      </c>
      <c r="AM28" s="24" cm="1">
        <f t="array" ref="AM28">$G$3+IFERROR(VLOOKUP($AH28,$F$4:$G$7,2,FALSE),0)+VLOOKUP($R28,武学奇术!$A:$ZZ,2,FALSE)+SUM(_xlfn.XLOOKUP($S28:$AG28,增益!$A:$A,增益!$B:$B,0))</f>
        <v>0.3987</v>
      </c>
      <c r="AN28" s="24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1364.4</v>
      </c>
      <c r="AP28" cm="1">
        <f t="array" ref="AP28">$E$10*(1+$AN28)+VLOOKUP($R28,武学奇术!$A:$ZZ,4,FALSE)+SUM(_xlfn.XLOOKUP($S28:$AG28,增益!$A:$A,增益!$D:$D,0))-$I$2</f>
        <v>6174.4</v>
      </c>
      <c r="AQ28" s="32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0.2925</v>
      </c>
      <c r="AR28" s="32" cm="1">
        <f t="array" ref="AR28">$G$10+VLOOKUP($R28,武学奇术!$A:$ZZ,7,FALSE)+SUM(_xlfn.XLOOKUP(S28:AG28,增益!$A:$A,增益!$G:$G,0))</f>
        <v>0</v>
      </c>
      <c r="AS28" s="24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32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0.11</v>
      </c>
      <c r="AW28" s="32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2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-0.14</v>
      </c>
      <c r="BA28" s="32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2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-0.14</v>
      </c>
      <c r="BE28" s="32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2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-0.14</v>
      </c>
      <c r="BI28" s="32" cm="1">
        <f t="array" ref="BI28">$G$14+VLOOKUP($R28,武学奇术!$A:$ZZ,16,FALSE)+SUM(_xlfn.XLOOKUP(S28:AG28,增益!$A:$A,增益!$P:$P,0))</f>
        <v>0</v>
      </c>
      <c r="BJ28" s="24">
        <f>MIN(IF(VLOOKUP($R28,武学奇术!$A:$ZZ,23,FALSE)=1,100%,$B$8),100%)</f>
        <v>0.8271</v>
      </c>
      <c r="BK28" s="24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0.1789</v>
      </c>
      <c r="BL28" s="24" cm="1">
        <f t="array" ref="BL28">1+$B$13+VLOOKUP($R28,武学奇术!$A:$ZZ,18,FALSE)+SUM(_xlfn.XLOOKUP(S28:AG28,增益!$A:$A,增益!$R:$R,0))</f>
        <v>1.5</v>
      </c>
      <c r="BM28" s="24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0.5509</v>
      </c>
      <c r="BN28" s="24" cm="1">
        <f t="array" ref="BN28">1+$B$14+VLOOKUP($R28,武学奇术!$A:$ZZ,20,FALSE)+SUM(_xlfn.XLOOKUP(S28:AG28,增益!$A:$A,增益!$T:$T,0))</f>
        <v>1.882</v>
      </c>
      <c r="BO28" s="24">
        <f t="shared" ref="BO28:BO76" si="11">MIN((1-BM28)*BJ28,BJ28*BK28)</f>
        <v>0.14796819</v>
      </c>
      <c r="BP28" s="24">
        <f t="shared" si="10"/>
        <v>0.22348242</v>
      </c>
      <c r="BQ28" s="24">
        <f>IF(VLOOKUP($R28,武学奇术!$A:$ZZ,22,FALSE)=1,0,(1-$BJ28))*(1-$BM28)</f>
        <v>0.07764939</v>
      </c>
      <c r="BR28" s="24" cm="1">
        <f t="array" ref="BR28">SUM(_xlfn.XLOOKUP(S28:AG28,增益!$A:$A,增益!$W:$W,0))+$I$5</f>
        <v>0.11</v>
      </c>
    </row>
    <row r="29" spans="1:70">
      <c r="A29" s="86" t="s">
        <v>146</v>
      </c>
      <c r="B29" s="86">
        <v>1.5</v>
      </c>
      <c r="C29" s="4"/>
      <c r="H29">
        <v>22.5</v>
      </c>
      <c r="K29" s="30">
        <f>$L29*VLOOKUP($R29,武学奇术!$A:$ZZ,31,FALSE)</f>
        <v>83837.9164688799</v>
      </c>
      <c r="L29" s="30">
        <f t="shared" si="0"/>
        <v>76216.2876989817</v>
      </c>
      <c r="M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55237.9144361493</v>
      </c>
      <c r="N29" s="30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106141.594631561</v>
      </c>
      <c r="O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36825.2762907662</v>
      </c>
      <c r="P29" s="30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17252.2557528599</v>
      </c>
      <c r="Q29" s="38">
        <v>2</v>
      </c>
      <c r="R29" s="39" t="s">
        <v>71</v>
      </c>
      <c r="S29" s="39" t="s">
        <v>143</v>
      </c>
      <c r="T29" s="39" t="s">
        <v>69</v>
      </c>
      <c r="U29" s="39" t="s">
        <v>73</v>
      </c>
      <c r="V29" s="39" t="s">
        <v>74</v>
      </c>
      <c r="W29" s="39" t="s">
        <v>75</v>
      </c>
      <c r="X29" s="39" t="s">
        <v>75</v>
      </c>
      <c r="Y29" s="39" t="s">
        <v>75</v>
      </c>
      <c r="Z29" s="39" t="s">
        <v>75</v>
      </c>
      <c r="AA29" s="39" t="s">
        <v>103</v>
      </c>
      <c r="AB29" s="39" t="s">
        <v>147</v>
      </c>
      <c r="AC29" s="39" t="s">
        <v>148</v>
      </c>
      <c r="AD29" s="39" t="s">
        <v>75</v>
      </c>
      <c r="AE29" s="39" t="s">
        <v>75</v>
      </c>
      <c r="AF29" s="39" t="s">
        <v>75</v>
      </c>
      <c r="AG29" s="39" t="s">
        <v>76</v>
      </c>
      <c r="AH29" t="str">
        <f>VLOOKUP($R29,武学奇术!$A:$ZZ,25,FALSE)</f>
        <v>群体奇术</v>
      </c>
      <c r="AI29" s="24">
        <f>VLOOKUP($R29,武学奇术!$A:$ZZ,26,FALSE)</f>
        <v>1.4904</v>
      </c>
      <c r="AJ29" s="25">
        <f>VLOOKUP($R29,武学奇术!$A:$ZZ,27,FALSE)*(1+IF(OR($AH29=$F$4,$AH29=$F$5),$B$22,0))</f>
        <v>368</v>
      </c>
      <c r="AK29" s="24">
        <f>VLOOKUP($R29,武学奇术!$A:$ZZ,28,FALSE)</f>
        <v>2.2353</v>
      </c>
      <c r="AL29" s="25">
        <f>VLOOKUP($R29,武学奇术!$A:$ZZ,29,FALSE)*(1+IF(OR($AH29=$F$4,$AH29=$F$5),$B$22,0))</f>
        <v>0</v>
      </c>
      <c r="AM29" s="24" cm="1">
        <f t="array" ref="AM29">$G$3+IFERROR(VLOOKUP($AH29,$F$4:$G$7,2,FALSE),0)+VLOOKUP($R29,武学奇术!$A:$ZZ,2,FALSE)+SUM(_xlfn.XLOOKUP($S29:$AG29,增益!$A:$A,增益!$B:$B,0))</f>
        <v>0.3987</v>
      </c>
      <c r="AN29" s="24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1364.4</v>
      </c>
      <c r="AP29" cm="1">
        <f t="array" ref="AP29">$E$10*(1+$AN29)+VLOOKUP($R29,武学奇术!$A:$ZZ,4,FALSE)+SUM(_xlfn.XLOOKUP($S29:$AG29,增益!$A:$A,增益!$D:$D,0))-$I$2</f>
        <v>6174.4</v>
      </c>
      <c r="AQ29" s="32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0.2925</v>
      </c>
      <c r="AR29" s="32" cm="1">
        <f t="array" ref="AR29">$G$10+VLOOKUP($R29,武学奇术!$A:$ZZ,7,FALSE)+SUM(_xlfn.XLOOKUP(S29:AG29,增益!$A:$A,增益!$G:$G,0))</f>
        <v>0</v>
      </c>
      <c r="AS29" s="24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32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2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2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2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2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2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2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2" cm="1">
        <f t="array" ref="BI29">$G$14+VLOOKUP($R29,武学奇术!$A:$ZZ,16,FALSE)+SUM(_xlfn.XLOOKUP(S29:AG29,增益!$A:$A,增益!$P:$P,0))</f>
        <v>0</v>
      </c>
      <c r="BJ29" s="24">
        <f>MIN(IF(VLOOKUP($R29,武学奇术!$A:$ZZ,23,FALSE)=1,100%,$B$8),100%)</f>
        <v>0.8271</v>
      </c>
      <c r="BK29" s="24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0.1789</v>
      </c>
      <c r="BL29" s="24" cm="1">
        <f t="array" ref="BL29">1+$B$13+VLOOKUP($R29,武学奇术!$A:$ZZ,18,FALSE)+SUM(_xlfn.XLOOKUP(S29:AG29,增益!$A:$A,增益!$R:$R,0))</f>
        <v>1.5</v>
      </c>
      <c r="BM29" s="24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0.5509</v>
      </c>
      <c r="BN29" s="24" cm="1">
        <f t="array" ref="BN29">1+$B$14+VLOOKUP($R29,武学奇术!$A:$ZZ,20,FALSE)+SUM(_xlfn.XLOOKUP(S29:AG29,增益!$A:$A,增益!$T:$T,0))</f>
        <v>1.882</v>
      </c>
      <c r="BO29" s="24">
        <f t="shared" si="11"/>
        <v>0.14796819</v>
      </c>
      <c r="BP29" s="24">
        <f t="shared" si="10"/>
        <v>0.22348242</v>
      </c>
      <c r="BQ29" s="24">
        <f>IF(VLOOKUP($R29,武学奇术!$A:$ZZ,22,FALSE)=1,0,(1-$BJ29))*(1-$BM29)</f>
        <v>0.07764939</v>
      </c>
      <c r="BR29" s="24" cm="1">
        <f t="array" ref="BR29">SUM(_xlfn.XLOOKUP(S29:AG29,增益!$A:$A,增益!$W:$W,0))+$I$5</f>
        <v>0.31</v>
      </c>
    </row>
    <row r="30" spans="1:70">
      <c r="A30" s="86" t="s">
        <v>149</v>
      </c>
      <c r="B30" s="86">
        <v>1.33</v>
      </c>
      <c r="C30" s="38" t="s">
        <v>73</v>
      </c>
      <c r="H30">
        <v>43.3</v>
      </c>
      <c r="K30" s="30">
        <f>$L30*VLOOKUP($R30,武学奇术!$A:$ZZ,31,FALSE)</f>
        <v>316164.662620814</v>
      </c>
      <c r="L30" s="30">
        <f t="shared" si="0"/>
        <v>287422.420564376</v>
      </c>
      <c r="M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198042.417194938</v>
      </c>
      <c r="N30" s="30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405477.993704085</v>
      </c>
      <c r="O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132028.278129958</v>
      </c>
      <c r="P30" s="30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67413.4943277708</v>
      </c>
      <c r="Q30" s="38">
        <v>1</v>
      </c>
      <c r="R30" s="39" t="s">
        <v>96</v>
      </c>
      <c r="S30" s="39" t="s">
        <v>143</v>
      </c>
      <c r="T30" s="39" t="s">
        <v>69</v>
      </c>
      <c r="U30" s="39" t="s">
        <v>73</v>
      </c>
      <c r="V30" s="39" t="s">
        <v>74</v>
      </c>
      <c r="W30" s="39" t="s">
        <v>109</v>
      </c>
      <c r="X30" s="39" t="s">
        <v>97</v>
      </c>
      <c r="Y30" s="39" t="s">
        <v>80</v>
      </c>
      <c r="Z30" s="39" t="s">
        <v>98</v>
      </c>
      <c r="AA30" s="39" t="s">
        <v>103</v>
      </c>
      <c r="AB30" s="39" t="s">
        <v>75</v>
      </c>
      <c r="AC30" s="39" t="s">
        <v>75</v>
      </c>
      <c r="AD30" s="39" t="s">
        <v>104</v>
      </c>
      <c r="AE30" s="39" t="s">
        <v>75</v>
      </c>
      <c r="AF30" s="39" t="s">
        <v>75</v>
      </c>
      <c r="AG30" s="39" t="s">
        <v>76</v>
      </c>
      <c r="AH30" t="str">
        <f>VLOOKUP($R30,武学奇术!$A:$ZZ,25,FALSE)</f>
        <v>剑</v>
      </c>
      <c r="AI30" s="24">
        <f>VLOOKUP($R30,武学奇术!$A:$ZZ,26,FALSE)</f>
        <v>4.7037</v>
      </c>
      <c r="AJ30" s="25">
        <f>VLOOKUP($R30,武学奇术!$A:$ZZ,27,FALSE)*(1+IF(OR($AH30=$F$4,$AH30=$F$5),$B$22,0))</f>
        <v>1820</v>
      </c>
      <c r="AK30" s="24">
        <f>VLOOKUP($R30,武学奇术!$A:$ZZ,28,FALSE)</f>
        <v>7.0554</v>
      </c>
      <c r="AL30" s="25">
        <f>VLOOKUP($R30,武学奇术!$A:$ZZ,29,FALSE)*(1+IF(OR($AH30=$F$4,$AH30=$F$5),$B$22,0))</f>
        <v>992.6</v>
      </c>
      <c r="AM30" s="24" cm="1">
        <f t="array" ref="AM30">$G$3+IFERROR(VLOOKUP($AH30,$F$4:$G$7,2,FALSE),0)+VLOOKUP($R30,武学奇术!$A:$ZZ,2,FALSE)+SUM(_xlfn.XLOOKUP($S30:$AG30,增益!$A:$A,增益!$B:$B,0))</f>
        <v>1.6191</v>
      </c>
      <c r="AN30" s="24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1364.4</v>
      </c>
      <c r="AP30" cm="1">
        <f t="array" ref="AP30">$E$10*(1+$AN30)+VLOOKUP($R30,武学奇术!$A:$ZZ,4,FALSE)+SUM(_xlfn.XLOOKUP($S30:$AG30,增益!$A:$A,增益!$D:$D,0))-$I$2</f>
        <v>6174.4</v>
      </c>
      <c r="AQ30" s="32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0.2925</v>
      </c>
      <c r="AR30" s="32" cm="1">
        <f t="array" ref="AR30">$G$10+VLOOKUP($R30,武学奇术!$A:$ZZ,7,FALSE)+SUM(_xlfn.XLOOKUP(S30:AG30,增益!$A:$A,增益!$G:$G,0))</f>
        <v>0</v>
      </c>
      <c r="AS30" s="24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32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0.11</v>
      </c>
      <c r="AW30" s="32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2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-0.14</v>
      </c>
      <c r="BA30" s="32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2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-0.14</v>
      </c>
      <c r="BE30" s="32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2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-0.14</v>
      </c>
      <c r="BI30" s="32" cm="1">
        <f t="array" ref="BI30">$G$14+VLOOKUP($R30,武学奇术!$A:$ZZ,16,FALSE)+SUM(_xlfn.XLOOKUP(S30:AG30,增益!$A:$A,增益!$P:$P,0))</f>
        <v>0</v>
      </c>
      <c r="BJ30" s="24">
        <f>MIN(IF(VLOOKUP($R30,武学奇术!$A:$ZZ,23,FALSE)=1,100%,$B$8),100%)</f>
        <v>0.8271</v>
      </c>
      <c r="BK30" s="24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0.1789</v>
      </c>
      <c r="BL30" s="24" cm="1">
        <f t="array" ref="BL30">1+$B$13+VLOOKUP($R30,武学奇术!$A:$ZZ,18,FALSE)+SUM(_xlfn.XLOOKUP(S30:AG30,增益!$A:$A,增益!$R:$R,0))</f>
        <v>1.5</v>
      </c>
      <c r="BM30" s="24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0.5509</v>
      </c>
      <c r="BN30" s="24" cm="1">
        <f t="array" ref="BN30">1+$B$14+VLOOKUP($R30,武学奇术!$A:$ZZ,20,FALSE)+SUM(_xlfn.XLOOKUP(S30:AG30,增益!$A:$A,增益!$T:$T,0))</f>
        <v>2.062</v>
      </c>
      <c r="BO30" s="24">
        <f t="shared" si="11"/>
        <v>0.14796819</v>
      </c>
      <c r="BP30" s="24">
        <f t="shared" si="10"/>
        <v>0.22348242</v>
      </c>
      <c r="BQ30" s="24">
        <f>IF(VLOOKUP($R30,武学奇术!$A:$ZZ,22,FALSE)=1,0,(1-$BJ30))*(1-$BM30)</f>
        <v>0.07764939</v>
      </c>
      <c r="BR30" s="24" cm="1">
        <f t="array" ref="BR30">SUM(_xlfn.XLOOKUP(S30:AG30,增益!$A:$A,增益!$W:$W,0))+$I$5</f>
        <v>0.11</v>
      </c>
    </row>
    <row r="31" spans="1:70">
      <c r="A31" s="86" t="s">
        <v>150</v>
      </c>
      <c r="B31" s="87">
        <v>1</v>
      </c>
      <c r="C31" s="38"/>
      <c r="H31">
        <v>75.5</v>
      </c>
      <c r="K31" s="30">
        <f>$L31*VLOOKUP($R31,武学奇术!$A:$ZZ,31,FALSE)</f>
        <v>273645.720925502</v>
      </c>
      <c r="L31" s="30">
        <f t="shared" si="0"/>
        <v>248768.837205002</v>
      </c>
      <c r="M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198042.417194938</v>
      </c>
      <c r="N31" s="30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385813.687510871</v>
      </c>
      <c r="O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132028.278129958</v>
      </c>
      <c r="P31" s="30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67413.4943277708</v>
      </c>
      <c r="Q31" s="38">
        <v>1</v>
      </c>
      <c r="R31" s="39" t="s">
        <v>96</v>
      </c>
      <c r="S31" s="39" t="s">
        <v>143</v>
      </c>
      <c r="T31" s="39" t="s">
        <v>75</v>
      </c>
      <c r="U31" s="39" t="s">
        <v>114</v>
      </c>
      <c r="V31" s="39" t="s">
        <v>74</v>
      </c>
      <c r="W31" s="39" t="s">
        <v>109</v>
      </c>
      <c r="X31" s="39" t="s">
        <v>97</v>
      </c>
      <c r="Y31" s="39" t="s">
        <v>80</v>
      </c>
      <c r="Z31" s="39" t="s">
        <v>98</v>
      </c>
      <c r="AA31" s="39" t="s">
        <v>103</v>
      </c>
      <c r="AB31" s="39" t="s">
        <v>75</v>
      </c>
      <c r="AC31" s="39" t="s">
        <v>75</v>
      </c>
      <c r="AD31" s="39" t="s">
        <v>104</v>
      </c>
      <c r="AE31" s="39" t="s">
        <v>75</v>
      </c>
      <c r="AF31" s="39" t="s">
        <v>75</v>
      </c>
      <c r="AG31" s="39" t="s">
        <v>76</v>
      </c>
      <c r="AH31" t="str">
        <f>VLOOKUP($R31,武学奇术!$A:$ZZ,25,FALSE)</f>
        <v>剑</v>
      </c>
      <c r="AI31" s="24">
        <f>VLOOKUP($R31,武学奇术!$A:$ZZ,26,FALSE)</f>
        <v>4.7037</v>
      </c>
      <c r="AJ31" s="25">
        <f>VLOOKUP($R31,武学奇术!$A:$ZZ,27,FALSE)*(1+IF(OR($AH31=$F$4,$AH31=$F$5),$B$22,0))</f>
        <v>1820</v>
      </c>
      <c r="AK31" s="24">
        <f>VLOOKUP($R31,武学奇术!$A:$ZZ,28,FALSE)</f>
        <v>7.0554</v>
      </c>
      <c r="AL31" s="25">
        <f>VLOOKUP($R31,武学奇术!$A:$ZZ,29,FALSE)*(1+IF(OR($AH31=$F$4,$AH31=$F$5),$B$22,0))</f>
        <v>992.6</v>
      </c>
      <c r="AM31" s="24" cm="1">
        <f t="array" ref="AM31">$G$3+IFERROR(VLOOKUP($AH31,$F$4:$G$7,2,FALSE),0)+VLOOKUP($R31,武学奇术!$A:$ZZ,2,FALSE)+SUM(_xlfn.XLOOKUP($S31:$AG31,增益!$A:$A,增益!$B:$B,0))</f>
        <v>1.6191</v>
      </c>
      <c r="AN31" s="24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1364.4</v>
      </c>
      <c r="AP31" cm="1">
        <f t="array" ref="AP31">$E$10*(1+$AN31)+VLOOKUP($R31,武学奇术!$A:$ZZ,4,FALSE)+SUM(_xlfn.XLOOKUP($S31:$AG31,增益!$A:$A,增益!$D:$D,0))-$I$2</f>
        <v>6174.4</v>
      </c>
      <c r="AQ31" s="32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0.2925</v>
      </c>
      <c r="AR31" s="32" cm="1">
        <f t="array" ref="AR31">$G$10+VLOOKUP($R31,武学奇术!$A:$ZZ,7,FALSE)+SUM(_xlfn.XLOOKUP(S31:AG31,增益!$A:$A,增益!$G:$G,0))</f>
        <v>0</v>
      </c>
      <c r="AS31" s="24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32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0.11</v>
      </c>
      <c r="AW31" s="32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2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32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2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32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2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-0.14</v>
      </c>
      <c r="BI31" s="32" cm="1">
        <f t="array" ref="BI31">$G$14+VLOOKUP($R31,武学奇术!$A:$ZZ,16,FALSE)+SUM(_xlfn.XLOOKUP(S31:AG31,增益!$A:$A,增益!$P:$P,0))</f>
        <v>0</v>
      </c>
      <c r="BJ31" s="24">
        <f>MIN(IF(VLOOKUP($R31,武学奇术!$A:$ZZ,23,FALSE)=1,100%,$B$8),100%)</f>
        <v>0.8271</v>
      </c>
      <c r="BK31" s="24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0.1789</v>
      </c>
      <c r="BL31" s="24" cm="1">
        <f t="array" ref="BL31">1+$B$13+VLOOKUP($R31,武学奇术!$A:$ZZ,18,FALSE)+SUM(_xlfn.XLOOKUP(S31:AG31,增益!$A:$A,增益!$R:$R,0))</f>
        <v>1.5</v>
      </c>
      <c r="BM31" s="24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4" cm="1">
        <f t="array" ref="BN31">1+$B$14+VLOOKUP($R31,武学奇术!$A:$ZZ,20,FALSE)+SUM(_xlfn.XLOOKUP(S31:AG31,增益!$A:$A,增益!$T:$T,0))</f>
        <v>1.962</v>
      </c>
      <c r="BO31" s="24">
        <f t="shared" si="11"/>
        <v>0.14796819</v>
      </c>
      <c r="BP31" s="24">
        <f t="shared" si="10"/>
        <v>0.31032792</v>
      </c>
      <c r="BQ31" s="24">
        <f>IF(VLOOKUP($R31,武学奇术!$A:$ZZ,22,FALSE)=1,0,(1-$BJ31))*(1-$BM31)</f>
        <v>0.09580389</v>
      </c>
      <c r="BR31" s="24" cm="1">
        <f t="array" ref="BR31">SUM(_xlfn.XLOOKUP(S31:AG31,增益!$A:$A,增益!$W:$W,0))+$I$5</f>
        <v>0.11</v>
      </c>
    </row>
    <row r="32" spans="1:70">
      <c r="A32" s="86" t="s">
        <v>93</v>
      </c>
      <c r="B32" s="86">
        <v>0.3</v>
      </c>
      <c r="C32" s="38"/>
      <c r="H32">
        <v>95.5</v>
      </c>
      <c r="K32" s="30">
        <f>$L32*VLOOKUP($R32,武学奇术!$A:$ZZ,31,FALSE)</f>
        <v>317003.521197575</v>
      </c>
      <c r="L32" s="30">
        <f t="shared" si="0"/>
        <v>288185.019270523</v>
      </c>
      <c r="M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195217.063283766</v>
      </c>
      <c r="N32" s="30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399543.278307542</v>
      </c>
      <c r="O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130144.708855844</v>
      </c>
      <c r="P32" s="30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66524.4912773808</v>
      </c>
      <c r="Q32" s="38">
        <v>3</v>
      </c>
      <c r="R32" s="39" t="s">
        <v>151</v>
      </c>
      <c r="S32" s="39" t="s">
        <v>143</v>
      </c>
      <c r="T32" s="39" t="s">
        <v>69</v>
      </c>
      <c r="U32" s="39" t="s">
        <v>73</v>
      </c>
      <c r="V32" s="39" t="s">
        <v>74</v>
      </c>
      <c r="W32" s="39" t="s">
        <v>109</v>
      </c>
      <c r="X32" s="39" t="s">
        <v>97</v>
      </c>
      <c r="Y32" s="39" t="s">
        <v>80</v>
      </c>
      <c r="Z32" s="39" t="s">
        <v>98</v>
      </c>
      <c r="AA32" s="39" t="s">
        <v>103</v>
      </c>
      <c r="AB32" s="39" t="s">
        <v>147</v>
      </c>
      <c r="AC32" s="39" t="s">
        <v>148</v>
      </c>
      <c r="AD32" s="39" t="s">
        <v>75</v>
      </c>
      <c r="AE32" s="39" t="s">
        <v>75</v>
      </c>
      <c r="AF32" s="39" t="s">
        <v>75</v>
      </c>
      <c r="AG32" s="39" t="s">
        <v>76</v>
      </c>
      <c r="AH32" t="str">
        <f>VLOOKUP($R32,武学奇术!$A:$ZZ,25,FALSE)</f>
        <v>剑</v>
      </c>
      <c r="AI32" s="24">
        <f>VLOOKUP($R32,武学奇术!$A:$ZZ,26,FALSE)</f>
        <v>1.3066</v>
      </c>
      <c r="AJ32" s="25">
        <f>VLOOKUP($R32,武学奇术!$A:$ZZ,27,FALSE)*(1+IF(OR($AH32=$F$4,$AH32=$F$5),$B$22,0))</f>
        <v>505.4</v>
      </c>
      <c r="AK32" s="24">
        <f>VLOOKUP($R32,武学奇术!$A:$ZZ,28,FALSE)</f>
        <v>1.9598</v>
      </c>
      <c r="AL32" s="25">
        <f>VLOOKUP($R32,武学奇术!$A:$ZZ,29,FALSE)*(1+IF(OR($AH32=$F$4,$AH32=$F$5),$B$22,0))</f>
        <v>275.8</v>
      </c>
      <c r="AM32" s="24" cm="1">
        <f t="array" ref="AM32">$G$3+IFERROR(VLOOKUP($AH32,$F$4:$G$7,2,FALSE),0)+VLOOKUP($R32,武学奇术!$A:$ZZ,2,FALSE)+SUM(_xlfn.XLOOKUP($S32:$AG32,增益!$A:$A,增益!$B:$B,0))</f>
        <v>1.6191</v>
      </c>
      <c r="AN32" s="24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1364.4</v>
      </c>
      <c r="AP32" cm="1">
        <f t="array" ref="AP32">$E$10*(1+$AN32)+VLOOKUP($R32,武学奇术!$A:$ZZ,4,FALSE)+SUM(_xlfn.XLOOKUP($S32:$AG32,增益!$A:$A,增益!$D:$D,0))-$I$2</f>
        <v>6174.4</v>
      </c>
      <c r="AQ32" s="32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0.2925</v>
      </c>
      <c r="AR32" s="32" cm="1">
        <f t="array" ref="AR32">$G$10+VLOOKUP($R32,武学奇术!$A:$ZZ,7,FALSE)+SUM(_xlfn.XLOOKUP(S32:AG32,增益!$A:$A,增益!$G:$G,0))</f>
        <v>0</v>
      </c>
      <c r="AS32" s="24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32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2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2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2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2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2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2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2" cm="1">
        <f t="array" ref="BI32">$G$14+VLOOKUP($R32,武学奇术!$A:$ZZ,16,FALSE)+SUM(_xlfn.XLOOKUP(S32:AG32,增益!$A:$A,增益!$P:$P,0))</f>
        <v>0</v>
      </c>
      <c r="BJ32" s="24">
        <f>MIN(IF(VLOOKUP($R32,武学奇术!$A:$ZZ,23,FALSE)=1,100%,$B$8),100%)</f>
        <v>0.8271</v>
      </c>
      <c r="BK32" s="24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0.1789</v>
      </c>
      <c r="BL32" s="24" cm="1">
        <f t="array" ref="BL32">1+$B$13+VLOOKUP($R32,武学奇术!$A:$ZZ,18,FALSE)+SUM(_xlfn.XLOOKUP(S32:AG32,增益!$A:$A,增益!$R:$R,0))</f>
        <v>1.5</v>
      </c>
      <c r="BM32" s="24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0.5509</v>
      </c>
      <c r="BN32" s="24" cm="1">
        <f t="array" ref="BN32">1+$B$14+VLOOKUP($R32,武学奇术!$A:$ZZ,20,FALSE)+SUM(_xlfn.XLOOKUP(S32:AG32,增益!$A:$A,增益!$T:$T,0))</f>
        <v>2.062</v>
      </c>
      <c r="BO32" s="24">
        <f t="shared" si="11"/>
        <v>0.14796819</v>
      </c>
      <c r="BP32" s="24">
        <f t="shared" si="10"/>
        <v>0.30113181</v>
      </c>
      <c r="BQ32" s="24">
        <f>IF(VLOOKUP($R32,武学奇术!$A:$ZZ,22,FALSE)=1,0,(1-$BJ32))*(1-$BM32)</f>
        <v>0</v>
      </c>
      <c r="BR32" s="24" cm="1">
        <f t="array" ref="BR32">SUM(_xlfn.XLOOKUP(S32:AG32,增益!$A:$A,增益!$W:$W,0))+$I$5</f>
        <v>0.31</v>
      </c>
    </row>
    <row r="33" spans="1:70">
      <c r="A33" s="86" t="s">
        <v>152</v>
      </c>
      <c r="B33" s="86">
        <v>0.8</v>
      </c>
      <c r="C33" s="38"/>
      <c r="K33" s="30">
        <f>$L33*VLOOKUP($R33,武学奇术!$A:$ZZ,31,FALSE)</f>
        <v>380366.205589545</v>
      </c>
      <c r="L33" s="30">
        <f t="shared" si="0"/>
        <v>345787.459626859</v>
      </c>
      <c r="M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234229.916469473</v>
      </c>
      <c r="N33" s="30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479408.538224637</v>
      </c>
      <c r="O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156153.277646315</v>
      </c>
      <c r="P33" s="30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79809.6890343203</v>
      </c>
      <c r="Q33" s="38">
        <v>3</v>
      </c>
      <c r="R33" s="39" t="s">
        <v>153</v>
      </c>
      <c r="S33" s="39" t="s">
        <v>143</v>
      </c>
      <c r="T33" s="39" t="s">
        <v>69</v>
      </c>
      <c r="U33" s="39" t="s">
        <v>73</v>
      </c>
      <c r="V33" s="39" t="s">
        <v>74</v>
      </c>
      <c r="W33" s="39" t="s">
        <v>109</v>
      </c>
      <c r="X33" s="39" t="s">
        <v>97</v>
      </c>
      <c r="Y33" s="39" t="s">
        <v>80</v>
      </c>
      <c r="Z33" s="39" t="s">
        <v>98</v>
      </c>
      <c r="AA33" s="39" t="s">
        <v>103</v>
      </c>
      <c r="AB33" s="39" t="s">
        <v>147</v>
      </c>
      <c r="AC33" s="39" t="s">
        <v>148</v>
      </c>
      <c r="AD33" s="39" t="s">
        <v>75</v>
      </c>
      <c r="AE33" s="39" t="s">
        <v>75</v>
      </c>
      <c r="AF33" s="39" t="s">
        <v>75</v>
      </c>
      <c r="AG33" s="39" t="s">
        <v>76</v>
      </c>
      <c r="AH33" t="str">
        <f>VLOOKUP($R33,武学奇术!$A:$ZZ,25,FALSE)</f>
        <v>剑</v>
      </c>
      <c r="AI33" s="24">
        <f>VLOOKUP($R33,武学奇术!$A:$ZZ,26,FALSE)</f>
        <v>1.5679</v>
      </c>
      <c r="AJ33" s="25">
        <f>VLOOKUP($R33,武学奇术!$A:$ZZ,27,FALSE)*(1+IF(OR($AH33=$F$4,$AH33=$F$5),$B$22,0))</f>
        <v>606.2</v>
      </c>
      <c r="AK33" s="24">
        <f>VLOOKUP($R33,武学奇术!$A:$ZZ,28,FALSE)</f>
        <v>2.3518</v>
      </c>
      <c r="AL33" s="25">
        <f>VLOOKUP($R33,武学奇术!$A:$ZZ,29,FALSE)*(1+IF(OR($AH33=$F$4,$AH33=$F$5),$B$22,0))</f>
        <v>330.4</v>
      </c>
      <c r="AM33" s="24" cm="1">
        <f t="array" ref="AM33">$G$3+IFERROR(VLOOKUP($AH33,$F$4:$G$7,2,FALSE),0)+VLOOKUP($R33,武学奇术!$A:$ZZ,2,FALSE)+SUM(_xlfn.XLOOKUP($S33:$AG33,增益!$A:$A,增益!$B:$B,0))</f>
        <v>1.6191</v>
      </c>
      <c r="AN33" s="24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1364.4</v>
      </c>
      <c r="AP33" cm="1">
        <f t="array" ref="AP33">$E$10*(1+$AN33)+VLOOKUP($R33,武学奇术!$A:$ZZ,4,FALSE)+SUM(_xlfn.XLOOKUP($S33:$AG33,增益!$A:$A,增益!$D:$D,0))-$I$2</f>
        <v>6174.4</v>
      </c>
      <c r="AQ33" s="32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0.2925</v>
      </c>
      <c r="AR33" s="32" cm="1">
        <f t="array" ref="AR33">$G$10+VLOOKUP($R33,武学奇术!$A:$ZZ,7,FALSE)+SUM(_xlfn.XLOOKUP(S33:AG33,增益!$A:$A,增益!$G:$G,0))</f>
        <v>0</v>
      </c>
      <c r="AS33" s="24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32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2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2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2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2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2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2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2" cm="1">
        <f t="array" ref="BI33">$G$14+VLOOKUP($R33,武学奇术!$A:$ZZ,16,FALSE)+SUM(_xlfn.XLOOKUP(S33:AG33,增益!$A:$A,增益!$P:$P,0))</f>
        <v>0</v>
      </c>
      <c r="BJ33" s="24">
        <f>MIN(IF(VLOOKUP($R33,武学奇术!$A:$ZZ,23,FALSE)=1,100%,$B$8),100%)</f>
        <v>0.8271</v>
      </c>
      <c r="BK33" s="24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0.1789</v>
      </c>
      <c r="BL33" s="24" cm="1">
        <f t="array" ref="BL33">1+$B$13+VLOOKUP($R33,武学奇术!$A:$ZZ,18,FALSE)+SUM(_xlfn.XLOOKUP(S33:AG33,增益!$A:$A,增益!$R:$R,0))</f>
        <v>1.5</v>
      </c>
      <c r="BM33" s="24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0.5509</v>
      </c>
      <c r="BN33" s="24" cm="1">
        <f t="array" ref="BN33">1+$B$14+VLOOKUP($R33,武学奇术!$A:$ZZ,20,FALSE)+SUM(_xlfn.XLOOKUP(S33:AG33,增益!$A:$A,增益!$T:$T,0))</f>
        <v>2.062</v>
      </c>
      <c r="BO33" s="24">
        <f t="shared" si="11"/>
        <v>0.14796819</v>
      </c>
      <c r="BP33" s="24">
        <f t="shared" si="10"/>
        <v>0.30113181</v>
      </c>
      <c r="BQ33" s="24">
        <f>IF(VLOOKUP($R33,武学奇术!$A:$ZZ,22,FALSE)=1,0,(1-$BJ33))*(1-$BM33)</f>
        <v>0</v>
      </c>
      <c r="BR33" s="24" cm="1">
        <f t="array" ref="BR33">SUM(_xlfn.XLOOKUP(S33:AG33,增益!$A:$A,增益!$W:$W,0))+$I$5</f>
        <v>0.31</v>
      </c>
    </row>
    <row r="34" spans="1:70">
      <c r="A34" s="86" t="s">
        <v>150</v>
      </c>
      <c r="B34" s="86">
        <v>2.33</v>
      </c>
      <c r="C34" s="38"/>
      <c r="F34" s="38" t="s">
        <v>154</v>
      </c>
      <c r="K34" s="30">
        <f>$L34*VLOOKUP($R34,武学奇术!$A:$ZZ,31,FALSE)</f>
        <v>615340.265839583</v>
      </c>
      <c r="L34" s="30">
        <f t="shared" si="0"/>
        <v>559400.241672348</v>
      </c>
      <c r="M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273334.750885018</v>
      </c>
      <c r="N34" s="30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559400.241672348</v>
      </c>
      <c r="O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182223.167256679</v>
      </c>
      <c r="P34" s="30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93156.2076111518</v>
      </c>
      <c r="Q34" s="38">
        <v>3</v>
      </c>
      <c r="R34" s="39" t="s">
        <v>155</v>
      </c>
      <c r="S34" s="39" t="s">
        <v>143</v>
      </c>
      <c r="T34" s="39" t="s">
        <v>69</v>
      </c>
      <c r="U34" s="39" t="s">
        <v>73</v>
      </c>
      <c r="V34" s="39" t="s">
        <v>74</v>
      </c>
      <c r="W34" s="39" t="s">
        <v>109</v>
      </c>
      <c r="X34" s="39" t="s">
        <v>97</v>
      </c>
      <c r="Y34" s="39" t="s">
        <v>80</v>
      </c>
      <c r="Z34" s="39" t="s">
        <v>98</v>
      </c>
      <c r="AA34" s="39" t="s">
        <v>103</v>
      </c>
      <c r="AB34" s="39" t="s">
        <v>147</v>
      </c>
      <c r="AC34" s="39" t="s">
        <v>148</v>
      </c>
      <c r="AD34" s="39" t="s">
        <v>75</v>
      </c>
      <c r="AE34" s="39" t="s">
        <v>75</v>
      </c>
      <c r="AF34" s="39" t="s">
        <v>75</v>
      </c>
      <c r="AG34" s="39" t="s">
        <v>76</v>
      </c>
      <c r="AH34" t="str">
        <f>VLOOKUP($R34,武学奇术!$A:$ZZ,25,FALSE)</f>
        <v>剑</v>
      </c>
      <c r="AI34" s="24">
        <f>VLOOKUP($R34,武学奇术!$A:$ZZ,26,FALSE)</f>
        <v>1.8292</v>
      </c>
      <c r="AJ34" s="25">
        <f>VLOOKUP($R34,武学奇术!$A:$ZZ,27,FALSE)*(1+IF(OR($AH34=$F$4,$AH34=$F$5),$B$22,0))</f>
        <v>708.4</v>
      </c>
      <c r="AK34" s="24">
        <f>VLOOKUP($R34,武学奇术!$A:$ZZ,28,FALSE)</f>
        <v>2.7438</v>
      </c>
      <c r="AL34" s="25">
        <f>VLOOKUP($R34,武学奇术!$A:$ZZ,29,FALSE)*(1+IF(OR($AH34=$F$4,$AH34=$F$5),$B$22,0))</f>
        <v>386.4</v>
      </c>
      <c r="AM34" s="24" cm="1">
        <f t="array" ref="AM34">$G$3+IFERROR(VLOOKUP($AH34,$F$4:$G$7,2,FALSE),0)+VLOOKUP($R34,武学奇术!$A:$ZZ,2,FALSE)+SUM(_xlfn.XLOOKUP($S34:$AG34,增益!$A:$A,增益!$B:$B,0))</f>
        <v>1.6191</v>
      </c>
      <c r="AN34" s="24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1364.4</v>
      </c>
      <c r="AP34" cm="1">
        <f t="array" ref="AP34">$E$10*(1+$AN34)+VLOOKUP($R34,武学奇术!$A:$ZZ,4,FALSE)+SUM(_xlfn.XLOOKUP($S34:$AG34,增益!$A:$A,增益!$D:$D,0))-$I$2</f>
        <v>6174.4</v>
      </c>
      <c r="AQ34" s="32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0.2925</v>
      </c>
      <c r="AR34" s="32" cm="1">
        <f t="array" ref="AR34">$G$10+VLOOKUP($R34,武学奇术!$A:$ZZ,7,FALSE)+SUM(_xlfn.XLOOKUP(S34:AG34,增益!$A:$A,增益!$G:$G,0))</f>
        <v>0</v>
      </c>
      <c r="AS34" s="24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32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2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2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2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2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2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2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2" cm="1">
        <f t="array" ref="BI34">$G$14+VLOOKUP($R34,武学奇术!$A:$ZZ,16,FALSE)+SUM(_xlfn.XLOOKUP(S34:AG34,增益!$A:$A,增益!$P:$P,0))</f>
        <v>0</v>
      </c>
      <c r="BJ34" s="24">
        <f>MIN(IF(VLOOKUP($R34,武学奇术!$A:$ZZ,23,FALSE)=1,100%,$B$8),100%)</f>
        <v>0.8271</v>
      </c>
      <c r="BK34" s="24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4" cm="1">
        <f t="array" ref="BL34">1+$B$13+VLOOKUP($R34,武学奇术!$A:$ZZ,18,FALSE)+SUM(_xlfn.XLOOKUP(S34:AG34,增益!$A:$A,增益!$R:$R,0))</f>
        <v>1.5</v>
      </c>
      <c r="BM34" s="24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4" cm="1">
        <f t="array" ref="BN34">1+$B$14+VLOOKUP($R34,武学奇术!$A:$ZZ,20,FALSE)+SUM(_xlfn.XLOOKUP(S34:AG34,增益!$A:$A,增益!$T:$T,0))</f>
        <v>2.062</v>
      </c>
      <c r="BO34" s="24">
        <f t="shared" si="11"/>
        <v>0</v>
      </c>
      <c r="BP34" s="24">
        <f t="shared" si="10"/>
        <v>0</v>
      </c>
      <c r="BQ34" s="24">
        <f>IF(VLOOKUP($R34,武学奇术!$A:$ZZ,22,FALSE)=1,0,(1-$BJ34))*(1-$BM34)</f>
        <v>0</v>
      </c>
      <c r="BR34" s="24" cm="1">
        <f t="array" ref="BR34">SUM(_xlfn.XLOOKUP(S34:AG34,增益!$A:$A,增益!$W:$W,0))+$I$5</f>
        <v>0.31</v>
      </c>
    </row>
    <row r="35" spans="1:70">
      <c r="A35" s="86" t="s">
        <v>150</v>
      </c>
      <c r="B35" s="86">
        <v>2.33</v>
      </c>
      <c r="C35" s="38"/>
      <c r="F35" s="38"/>
      <c r="K35" s="30">
        <f>$L35*VLOOKUP($R35,武学奇术!$A:$ZZ,31,FALSE)</f>
        <v>107584.050223132</v>
      </c>
      <c r="L35" s="30">
        <f t="shared" ref="L35:L60" si="12">($M35*$BO35+$N35*$BM35+$O35*$BP35+$P35*$BQ35)</f>
        <v>97803.682021029</v>
      </c>
      <c r="M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66423.0247618736</v>
      </c>
      <c r="N35" s="30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135488.225614832</v>
      </c>
      <c r="O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44282.0165079158</v>
      </c>
      <c r="P35" s="30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22856.8430959325</v>
      </c>
      <c r="Q35" s="38">
        <v>1</v>
      </c>
      <c r="R35" s="39" t="s">
        <v>151</v>
      </c>
      <c r="S35" s="39" t="s">
        <v>143</v>
      </c>
      <c r="T35" s="39" t="s">
        <v>69</v>
      </c>
      <c r="U35" s="39" t="s">
        <v>73</v>
      </c>
      <c r="V35" s="39" t="s">
        <v>74</v>
      </c>
      <c r="W35" s="39" t="s">
        <v>109</v>
      </c>
      <c r="X35" s="39" t="s">
        <v>97</v>
      </c>
      <c r="Y35" s="39" t="s">
        <v>80</v>
      </c>
      <c r="Z35" s="39" t="s">
        <v>98</v>
      </c>
      <c r="AA35" s="39" t="s">
        <v>103</v>
      </c>
      <c r="AB35" s="39" t="s">
        <v>147</v>
      </c>
      <c r="AC35" s="39" t="s">
        <v>148</v>
      </c>
      <c r="AD35" s="39" t="s">
        <v>104</v>
      </c>
      <c r="AE35" s="39" t="s">
        <v>75</v>
      </c>
      <c r="AF35" s="39" t="s">
        <v>75</v>
      </c>
      <c r="AG35" s="39" t="s">
        <v>76</v>
      </c>
      <c r="AH35" t="str">
        <f>VLOOKUP($R35,武学奇术!$A:$ZZ,25,FALSE)</f>
        <v>剑</v>
      </c>
      <c r="AI35" s="24">
        <f>VLOOKUP($R35,武学奇术!$A:$ZZ,26,FALSE)</f>
        <v>1.3066</v>
      </c>
      <c r="AJ35" s="25">
        <f>VLOOKUP($R35,武学奇术!$A:$ZZ,27,FALSE)*(1+IF(OR($AH35=$F$4,$AH35=$F$5),$B$22,0))</f>
        <v>505.4</v>
      </c>
      <c r="AK35" s="24">
        <f>VLOOKUP($R35,武学奇术!$A:$ZZ,28,FALSE)</f>
        <v>1.9598</v>
      </c>
      <c r="AL35" s="25">
        <f>VLOOKUP($R35,武学奇术!$A:$ZZ,29,FALSE)*(1+IF(OR($AH35=$F$4,$AH35=$F$5),$B$22,0))</f>
        <v>275.8</v>
      </c>
      <c r="AM35" s="24" cm="1">
        <f t="array" ref="AM35">$G$3+IFERROR(VLOOKUP($AH35,$F$4:$G$7,2,FALSE),0)+VLOOKUP($R35,武学奇术!$A:$ZZ,2,FALSE)+SUM(_xlfn.XLOOKUP($S35:$AG35,增益!$A:$A,增益!$B:$B,0))</f>
        <v>1.6191</v>
      </c>
      <c r="AN35" s="24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1364.4</v>
      </c>
      <c r="AP35" cm="1">
        <f t="array" ref="AP35">$E$10*(1+$AN35)+VLOOKUP($R35,武学奇术!$A:$ZZ,4,FALSE)+SUM(_xlfn.XLOOKUP($S35:$AG35,增益!$A:$A,增益!$D:$D,0))-$I$2</f>
        <v>6174.4</v>
      </c>
      <c r="AQ35" s="32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0.2925</v>
      </c>
      <c r="AR35" s="32" cm="1">
        <f t="array" ref="AR35">$G$10+VLOOKUP($R35,武学奇术!$A:$ZZ,7,FALSE)+SUM(_xlfn.XLOOKUP(S35:AG35,增益!$A:$A,增益!$G:$G,0))</f>
        <v>0</v>
      </c>
      <c r="AS35" s="24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32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0.11</v>
      </c>
      <c r="AW35" s="32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2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32" cm="1">
        <f t="array" ref="BA35">$G$12+VLOOKUP($R35,武学奇术!$A:$ZZ,12,FALSE)+SUM(_xlfn.XLOOKUP(S35:AG35,增益!$A:$A,增益!$L:$L,0))</f>
        <v>0</v>
      </c>
      <c r="BB35">
        <f t="shared" ref="BB35:BB60" si="13">$D$13*(1+$AS35)</f>
        <v>0</v>
      </c>
      <c r="BC35">
        <f t="shared" ref="BC35:BC60" si="14">$E$13*(1+$AS35)</f>
        <v>0</v>
      </c>
      <c r="BD35" s="32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32" cm="1">
        <f t="array" ref="BE35">$G$13+VLOOKUP($R35,武学奇术!$A:$ZZ,14,FALSE)+SUM(_xlfn.XLOOKUP(S35:AG35,增益!$A:$A,增益!$N:$N,0))</f>
        <v>0</v>
      </c>
      <c r="BF35">
        <f t="shared" ref="BF35:BF60" si="15">$D$14*(1+$AS35)</f>
        <v>0</v>
      </c>
      <c r="BG35">
        <f t="shared" ref="BG35:BG60" si="16">$E$14*(1+$AS35)</f>
        <v>0</v>
      </c>
      <c r="BH35" s="32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-0.14</v>
      </c>
      <c r="BI35" s="32" cm="1">
        <f t="array" ref="BI35">$G$14+VLOOKUP($R35,武学奇术!$A:$ZZ,16,FALSE)+SUM(_xlfn.XLOOKUP(S35:AG35,增益!$A:$A,增益!$P:$P,0))</f>
        <v>0</v>
      </c>
      <c r="BJ35" s="24">
        <f>MIN(IF(VLOOKUP($R35,武学奇术!$A:$ZZ,23,FALSE)=1,100%,$B$8),100%)</f>
        <v>0.8271</v>
      </c>
      <c r="BK35" s="24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0.1789</v>
      </c>
      <c r="BL35" s="24" cm="1">
        <f t="array" ref="BL35">1+$B$13+VLOOKUP($R35,武学奇术!$A:$ZZ,18,FALSE)+SUM(_xlfn.XLOOKUP(S35:AG35,增益!$A:$A,增益!$R:$R,0))</f>
        <v>1.5</v>
      </c>
      <c r="BM35" s="24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0.5509</v>
      </c>
      <c r="BN35" s="24" cm="1">
        <f t="array" ref="BN35">1+$B$14+VLOOKUP($R35,武学奇术!$A:$ZZ,20,FALSE)+SUM(_xlfn.XLOOKUP(S35:AG35,增益!$A:$A,增益!$T:$T,0))</f>
        <v>2.062</v>
      </c>
      <c r="BO35" s="24">
        <f t="shared" si="11"/>
        <v>0.14796819</v>
      </c>
      <c r="BP35" s="24">
        <f t="shared" ref="BP35:BP76" si="17">1-BM35-BO35-BQ35</f>
        <v>0.30113181</v>
      </c>
      <c r="BQ35" s="24">
        <f>IF(VLOOKUP($R35,武学奇术!$A:$ZZ,22,FALSE)=1,0,(1-$BJ35))*(1-$BM35)</f>
        <v>0</v>
      </c>
      <c r="BR35" s="24" cm="1">
        <f t="array" ref="BR35">SUM(_xlfn.XLOOKUP(S35:AG35,增益!$A:$A,增益!$W:$W,0))+$I$5</f>
        <v>0.31</v>
      </c>
    </row>
    <row r="36" spans="1:70">
      <c r="A36" s="86" t="s">
        <v>150</v>
      </c>
      <c r="B36" s="86">
        <v>2.33</v>
      </c>
      <c r="F36" s="38"/>
      <c r="K36" s="30">
        <f>$L36*VLOOKUP($R36,武学奇术!$A:$ZZ,31,FALSE)</f>
        <v>129087.524850422</v>
      </c>
      <c r="L36" s="30">
        <f t="shared" si="12"/>
        <v>117352.295318566</v>
      </c>
      <c r="M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79696.8944078265</v>
      </c>
      <c r="N36" s="30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162570.660243505</v>
      </c>
      <c r="O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53131.262938551</v>
      </c>
      <c r="P36" s="30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27421.2745465952</v>
      </c>
      <c r="Q36" s="38">
        <v>1</v>
      </c>
      <c r="R36" s="39" t="s">
        <v>153</v>
      </c>
      <c r="S36" s="39" t="s">
        <v>143</v>
      </c>
      <c r="T36" s="39" t="s">
        <v>69</v>
      </c>
      <c r="U36" s="39" t="s">
        <v>73</v>
      </c>
      <c r="V36" s="39" t="s">
        <v>74</v>
      </c>
      <c r="W36" s="39" t="s">
        <v>109</v>
      </c>
      <c r="X36" s="39" t="s">
        <v>97</v>
      </c>
      <c r="Y36" s="39" t="s">
        <v>80</v>
      </c>
      <c r="Z36" s="39" t="s">
        <v>98</v>
      </c>
      <c r="AA36" s="39" t="s">
        <v>103</v>
      </c>
      <c r="AB36" s="39" t="s">
        <v>147</v>
      </c>
      <c r="AC36" s="39" t="s">
        <v>148</v>
      </c>
      <c r="AD36" s="39" t="s">
        <v>104</v>
      </c>
      <c r="AE36" s="39" t="s">
        <v>75</v>
      </c>
      <c r="AF36" s="39" t="s">
        <v>75</v>
      </c>
      <c r="AG36" s="39" t="s">
        <v>76</v>
      </c>
      <c r="AH36" t="str">
        <f>VLOOKUP($R36,武学奇术!$A:$ZZ,25,FALSE)</f>
        <v>剑</v>
      </c>
      <c r="AI36" s="24">
        <f>VLOOKUP($R36,武学奇术!$A:$ZZ,26,FALSE)</f>
        <v>1.5679</v>
      </c>
      <c r="AJ36" s="25">
        <f>VLOOKUP($R36,武学奇术!$A:$ZZ,27,FALSE)*(1+IF(OR($AH36=$F$4,$AH36=$F$5),$B$22,0))</f>
        <v>606.2</v>
      </c>
      <c r="AK36" s="24">
        <f>VLOOKUP($R36,武学奇术!$A:$ZZ,28,FALSE)</f>
        <v>2.3518</v>
      </c>
      <c r="AL36" s="25">
        <f>VLOOKUP($R36,武学奇术!$A:$ZZ,29,FALSE)*(1+IF(OR($AH36=$F$4,$AH36=$F$5),$B$22,0))</f>
        <v>330.4</v>
      </c>
      <c r="AM36" s="24" cm="1">
        <f t="array" ref="AM36">$G$3+IFERROR(VLOOKUP($AH36,$F$4:$G$7,2,FALSE),0)+VLOOKUP($R36,武学奇术!$A:$ZZ,2,FALSE)+SUM(_xlfn.XLOOKUP($S36:$AG36,增益!$A:$A,增益!$B:$B,0))</f>
        <v>1.6191</v>
      </c>
      <c r="AN36" s="24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1364.4</v>
      </c>
      <c r="AP36" cm="1">
        <f t="array" ref="AP36">$E$10*(1+$AN36)+VLOOKUP($R36,武学奇术!$A:$ZZ,4,FALSE)+SUM(_xlfn.XLOOKUP($S36:$AG36,增益!$A:$A,增益!$D:$D,0))-$I$2</f>
        <v>6174.4</v>
      </c>
      <c r="AQ36" s="32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0.2925</v>
      </c>
      <c r="AR36" s="32" cm="1">
        <f t="array" ref="AR36">$G$10+VLOOKUP($R36,武学奇术!$A:$ZZ,7,FALSE)+SUM(_xlfn.XLOOKUP(S36:AG36,增益!$A:$A,增益!$G:$G,0))</f>
        <v>0</v>
      </c>
      <c r="AS36" s="24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32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0.11</v>
      </c>
      <c r="AW36" s="32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2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-0.14</v>
      </c>
      <c r="BA36" s="32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32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-0.14</v>
      </c>
      <c r="BE36" s="32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32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-0.14</v>
      </c>
      <c r="BI36" s="32" cm="1">
        <f t="array" ref="BI36">$G$14+VLOOKUP($R36,武学奇术!$A:$ZZ,16,FALSE)+SUM(_xlfn.XLOOKUP(S36:AG36,增益!$A:$A,增益!$P:$P,0))</f>
        <v>0</v>
      </c>
      <c r="BJ36" s="24">
        <f>MIN(IF(VLOOKUP($R36,武学奇术!$A:$ZZ,23,FALSE)=1,100%,$B$8),100%)</f>
        <v>0.8271</v>
      </c>
      <c r="BK36" s="24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0.1789</v>
      </c>
      <c r="BL36" s="24" cm="1">
        <f t="array" ref="BL36">1+$B$13+VLOOKUP($R36,武学奇术!$A:$ZZ,18,FALSE)+SUM(_xlfn.XLOOKUP(S36:AG36,增益!$A:$A,增益!$R:$R,0))</f>
        <v>1.5</v>
      </c>
      <c r="BM36" s="24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0.5509</v>
      </c>
      <c r="BN36" s="24" cm="1">
        <f t="array" ref="BN36">1+$B$14+VLOOKUP($R36,武学奇术!$A:$ZZ,20,FALSE)+SUM(_xlfn.XLOOKUP(S36:AG36,增益!$A:$A,增益!$T:$T,0))</f>
        <v>2.062</v>
      </c>
      <c r="BO36" s="24">
        <f t="shared" si="11"/>
        <v>0.14796819</v>
      </c>
      <c r="BP36" s="24">
        <f t="shared" si="17"/>
        <v>0.30113181</v>
      </c>
      <c r="BQ36" s="24">
        <f>IF(VLOOKUP($R36,武学奇术!$A:$ZZ,22,FALSE)=1,0,(1-$BJ36))*(1-$BM36)</f>
        <v>0</v>
      </c>
      <c r="BR36" s="24" cm="1">
        <f t="array" ref="BR36">SUM(_xlfn.XLOOKUP(S36:AG36,增益!$A:$A,增益!$W:$W,0))+$I$5</f>
        <v>0.31</v>
      </c>
    </row>
    <row r="37" spans="1:70">
      <c r="A37" s="86" t="s">
        <v>145</v>
      </c>
      <c r="B37" s="86">
        <v>1.1</v>
      </c>
      <c r="C37" s="4"/>
      <c r="F37" s="38"/>
      <c r="K37" s="30">
        <f>$L37*VLOOKUP($R37,武学奇术!$A:$ZZ,31,FALSE)</f>
        <v>208666.924224725</v>
      </c>
      <c r="L37" s="30">
        <f t="shared" si="12"/>
        <v>189697.203840659</v>
      </c>
      <c r="M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93002.8510822571</v>
      </c>
      <c r="N37" s="30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189697.203840659</v>
      </c>
      <c r="O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62001.9007215047</v>
      </c>
      <c r="P37" s="30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32007.0973495765</v>
      </c>
      <c r="Q37" s="38">
        <v>1</v>
      </c>
      <c r="R37" s="39" t="s">
        <v>155</v>
      </c>
      <c r="S37" s="39" t="s">
        <v>143</v>
      </c>
      <c r="T37" s="39" t="s">
        <v>69</v>
      </c>
      <c r="U37" s="39" t="s">
        <v>73</v>
      </c>
      <c r="V37" s="39" t="s">
        <v>74</v>
      </c>
      <c r="W37" s="39" t="s">
        <v>109</v>
      </c>
      <c r="X37" s="39" t="s">
        <v>97</v>
      </c>
      <c r="Y37" s="39" t="s">
        <v>80</v>
      </c>
      <c r="Z37" s="39" t="s">
        <v>98</v>
      </c>
      <c r="AA37" s="39" t="s">
        <v>103</v>
      </c>
      <c r="AB37" s="39" t="s">
        <v>147</v>
      </c>
      <c r="AC37" s="39" t="s">
        <v>148</v>
      </c>
      <c r="AD37" s="39" t="s">
        <v>104</v>
      </c>
      <c r="AE37" s="39" t="s">
        <v>75</v>
      </c>
      <c r="AF37" s="39" t="s">
        <v>75</v>
      </c>
      <c r="AG37" s="39" t="s">
        <v>76</v>
      </c>
      <c r="AH37" t="str">
        <f>VLOOKUP($R37,武学奇术!$A:$ZZ,25,FALSE)</f>
        <v>剑</v>
      </c>
      <c r="AI37" s="24">
        <f>VLOOKUP($R37,武学奇术!$A:$ZZ,26,FALSE)</f>
        <v>1.8292</v>
      </c>
      <c r="AJ37" s="25">
        <f>VLOOKUP($R37,武学奇术!$A:$ZZ,27,FALSE)*(1+IF(OR($AH37=$F$4,$AH37=$F$5),$B$22,0))</f>
        <v>708.4</v>
      </c>
      <c r="AK37" s="24">
        <f>VLOOKUP($R37,武学奇术!$A:$ZZ,28,FALSE)</f>
        <v>2.7438</v>
      </c>
      <c r="AL37" s="25">
        <f>VLOOKUP($R37,武学奇术!$A:$ZZ,29,FALSE)*(1+IF(OR($AH37=$F$4,$AH37=$F$5),$B$22,0))</f>
        <v>386.4</v>
      </c>
      <c r="AM37" s="24" cm="1">
        <f t="array" ref="AM37">$G$3+IFERROR(VLOOKUP($AH37,$F$4:$G$7,2,FALSE),0)+VLOOKUP($R37,武学奇术!$A:$ZZ,2,FALSE)+SUM(_xlfn.XLOOKUP($S37:$AG37,增益!$A:$A,增益!$B:$B,0))</f>
        <v>1.6191</v>
      </c>
      <c r="AN37" s="24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1364.4</v>
      </c>
      <c r="AP37" cm="1">
        <f t="array" ref="AP37">$E$10*(1+$AN37)+VLOOKUP($R37,武学奇术!$A:$ZZ,4,FALSE)+SUM(_xlfn.XLOOKUP($S37:$AG37,增益!$A:$A,增益!$D:$D,0))-$I$2</f>
        <v>6174.4</v>
      </c>
      <c r="AQ37" s="32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0.2925</v>
      </c>
      <c r="AR37" s="32" cm="1">
        <f t="array" ref="AR37">$G$10+VLOOKUP($R37,武学奇术!$A:$ZZ,7,FALSE)+SUM(_xlfn.XLOOKUP(S37:AG37,增益!$A:$A,增益!$G:$G,0))</f>
        <v>0</v>
      </c>
      <c r="AS37" s="24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32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0.11</v>
      </c>
      <c r="AW37" s="32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2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-0.14</v>
      </c>
      <c r="BA37" s="32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32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-0.14</v>
      </c>
      <c r="BE37" s="32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32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-0.14</v>
      </c>
      <c r="BI37" s="32" cm="1">
        <f t="array" ref="BI37">$G$14+VLOOKUP($R37,武学奇术!$A:$ZZ,16,FALSE)+SUM(_xlfn.XLOOKUP(S37:AG37,增益!$A:$A,增益!$P:$P,0))</f>
        <v>0</v>
      </c>
      <c r="BJ37" s="24">
        <f>MIN(IF(VLOOKUP($R37,武学奇术!$A:$ZZ,23,FALSE)=1,100%,$B$8),100%)</f>
        <v>0.8271</v>
      </c>
      <c r="BK37" s="24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4" cm="1">
        <f t="array" ref="BL37">1+$B$13+VLOOKUP($R37,武学奇术!$A:$ZZ,18,FALSE)+SUM(_xlfn.XLOOKUP(S37:AG37,增益!$A:$A,增益!$R:$R,0))</f>
        <v>1.5</v>
      </c>
      <c r="BM37" s="24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4" cm="1">
        <f t="array" ref="BN37">1+$B$14+VLOOKUP($R37,武学奇术!$A:$ZZ,20,FALSE)+SUM(_xlfn.XLOOKUP(S37:AG37,增益!$A:$A,增益!$T:$T,0))</f>
        <v>2.062</v>
      </c>
      <c r="BO37" s="24">
        <f t="shared" si="11"/>
        <v>0</v>
      </c>
      <c r="BP37" s="24">
        <f t="shared" si="17"/>
        <v>0</v>
      </c>
      <c r="BQ37" s="24">
        <f>IF(VLOOKUP($R37,武学奇术!$A:$ZZ,22,FALSE)=1,0,(1-$BJ37))*(1-$BM37)</f>
        <v>0</v>
      </c>
      <c r="BR37" s="24" cm="1">
        <f t="array" ref="BR37">SUM(_xlfn.XLOOKUP(S37:AG37,增益!$A:$A,增益!$W:$W,0))+$I$5</f>
        <v>0.31</v>
      </c>
    </row>
    <row r="38" spans="1:70">
      <c r="A38" s="86" t="s">
        <v>150</v>
      </c>
      <c r="B38" s="86">
        <v>2.33</v>
      </c>
      <c r="C38" s="38" t="s">
        <v>73</v>
      </c>
      <c r="F38" s="38"/>
      <c r="K38" s="30">
        <f>$L38*VLOOKUP($R38,武学奇术!$A:$ZZ,31,FALSE)</f>
        <v>99368.7052402652</v>
      </c>
      <c r="L38" s="30">
        <f t="shared" si="12"/>
        <v>90335.1865820593</v>
      </c>
      <c r="M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61350.8224968304</v>
      </c>
      <c r="N38" s="30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125142.05894576</v>
      </c>
      <c r="O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40900.5483312203</v>
      </c>
      <c r="P38" s="30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21111.4463492689</v>
      </c>
      <c r="Q38" s="38">
        <v>1</v>
      </c>
      <c r="R38" s="39" t="s">
        <v>151</v>
      </c>
      <c r="S38" s="39" t="s">
        <v>143</v>
      </c>
      <c r="T38" s="39" t="s">
        <v>69</v>
      </c>
      <c r="U38" s="39" t="s">
        <v>73</v>
      </c>
      <c r="V38" s="39" t="s">
        <v>75</v>
      </c>
      <c r="W38" s="39" t="s">
        <v>109</v>
      </c>
      <c r="X38" s="39" t="s">
        <v>97</v>
      </c>
      <c r="Y38" s="39" t="s">
        <v>80</v>
      </c>
      <c r="Z38" s="39" t="s">
        <v>98</v>
      </c>
      <c r="AA38" s="39" t="s">
        <v>103</v>
      </c>
      <c r="AB38" s="39" t="s">
        <v>147</v>
      </c>
      <c r="AC38" s="39" t="s">
        <v>148</v>
      </c>
      <c r="AD38" s="39" t="s">
        <v>104</v>
      </c>
      <c r="AE38" s="39" t="s">
        <v>75</v>
      </c>
      <c r="AF38" s="39" t="s">
        <v>75</v>
      </c>
      <c r="AG38" s="39" t="s">
        <v>76</v>
      </c>
      <c r="AH38" t="str">
        <f>VLOOKUP($R38,武学奇术!$A:$ZZ,25,FALSE)</f>
        <v>剑</v>
      </c>
      <c r="AI38" s="24">
        <f>VLOOKUP($R38,武学奇术!$A:$ZZ,26,FALSE)</f>
        <v>1.3066</v>
      </c>
      <c r="AJ38" s="25">
        <f>VLOOKUP($R38,武学奇术!$A:$ZZ,27,FALSE)*(1+IF(OR($AH38=$F$4,$AH38=$F$5),$B$22,0))</f>
        <v>505.4</v>
      </c>
      <c r="AK38" s="24">
        <f>VLOOKUP($R38,武学奇术!$A:$ZZ,28,FALSE)</f>
        <v>1.9598</v>
      </c>
      <c r="AL38" s="25">
        <f>VLOOKUP($R38,武学奇术!$A:$ZZ,29,FALSE)*(1+IF(OR($AH38=$F$4,$AH38=$F$5),$B$22,0))</f>
        <v>275.8</v>
      </c>
      <c r="AM38" s="24" cm="1">
        <f t="array" ref="AM38">$G$3+IFERROR(VLOOKUP($AH38,$F$4:$G$7,2,FALSE),0)+VLOOKUP($R38,武学奇术!$A:$ZZ,2,FALSE)+SUM(_xlfn.XLOOKUP($S38:$AG38,增益!$A:$A,增益!$B:$B,0))</f>
        <v>1.4191</v>
      </c>
      <c r="AN38" s="24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1364.4</v>
      </c>
      <c r="AP38" cm="1">
        <f t="array" ref="AP38">$E$10*(1+$AN38)+VLOOKUP($R38,武学奇术!$A:$ZZ,4,FALSE)+SUM(_xlfn.XLOOKUP($S38:$AG38,增益!$A:$A,增益!$D:$D,0))-$I$2</f>
        <v>6174.4</v>
      </c>
      <c r="AQ38" s="32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0.2925</v>
      </c>
      <c r="AR38" s="32" cm="1">
        <f t="array" ref="AR38">$G$10+VLOOKUP($R38,武学奇术!$A:$ZZ,7,FALSE)+SUM(_xlfn.XLOOKUP(S38:AG38,增益!$A:$A,增益!$G:$G,0))</f>
        <v>0</v>
      </c>
      <c r="AS38" s="24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32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0.11</v>
      </c>
      <c r="AW38" s="32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2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32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32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32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32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-0.14</v>
      </c>
      <c r="BI38" s="32" cm="1">
        <f t="array" ref="BI38">$G$14+VLOOKUP($R38,武学奇术!$A:$ZZ,16,FALSE)+SUM(_xlfn.XLOOKUP(S38:AG38,增益!$A:$A,增益!$P:$P,0))</f>
        <v>0</v>
      </c>
      <c r="BJ38" s="24">
        <f>MIN(IF(VLOOKUP($R38,武学奇术!$A:$ZZ,23,FALSE)=1,100%,$B$8),100%)</f>
        <v>0.8271</v>
      </c>
      <c r="BK38" s="24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0.1789</v>
      </c>
      <c r="BL38" s="24" cm="1">
        <f t="array" ref="BL38">1+$B$13+VLOOKUP($R38,武学奇术!$A:$ZZ,18,FALSE)+SUM(_xlfn.XLOOKUP(S38:AG38,增益!$A:$A,增益!$R:$R,0))</f>
        <v>1.5</v>
      </c>
      <c r="BM38" s="24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0.5509</v>
      </c>
      <c r="BN38" s="24" cm="1">
        <f t="array" ref="BN38">1+$B$14+VLOOKUP($R38,武学奇术!$A:$ZZ,20,FALSE)+SUM(_xlfn.XLOOKUP(S38:AG38,增益!$A:$A,增益!$T:$T,0))</f>
        <v>2.062</v>
      </c>
      <c r="BO38" s="24">
        <f t="shared" si="11"/>
        <v>0.14796819</v>
      </c>
      <c r="BP38" s="24">
        <f t="shared" si="17"/>
        <v>0.30113181</v>
      </c>
      <c r="BQ38" s="24">
        <f>IF(VLOOKUP($R38,武学奇术!$A:$ZZ,22,FALSE)=1,0,(1-$BJ38))*(1-$BM38)</f>
        <v>0</v>
      </c>
      <c r="BR38" s="24" cm="1">
        <f t="array" ref="BR38">SUM(_xlfn.XLOOKUP(S38:AG38,增益!$A:$A,增益!$W:$W,0))+$I$5</f>
        <v>0.31</v>
      </c>
    </row>
    <row r="39" spans="1:70">
      <c r="A39" s="86" t="s">
        <v>150</v>
      </c>
      <c r="B39" s="86">
        <v>2.33</v>
      </c>
      <c r="C39" s="38"/>
      <c r="E39" s="4"/>
      <c r="F39" s="38"/>
      <c r="K39" s="30">
        <f>$L39*VLOOKUP($R39,武学奇术!$A:$ZZ,31,FALSE)</f>
        <v>119230.129191576</v>
      </c>
      <c r="L39" s="30">
        <f t="shared" si="12"/>
        <v>108391.026537796</v>
      </c>
      <c r="M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73611.0714604151</v>
      </c>
      <c r="N39" s="30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150156.421746044</v>
      </c>
      <c r="O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49074.0476402767</v>
      </c>
      <c r="P39" s="30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25327.3281874188</v>
      </c>
      <c r="Q39" s="38">
        <v>1</v>
      </c>
      <c r="R39" s="39" t="s">
        <v>153</v>
      </c>
      <c r="S39" s="39" t="s">
        <v>143</v>
      </c>
      <c r="T39" s="39" t="s">
        <v>69</v>
      </c>
      <c r="U39" s="39" t="s">
        <v>73</v>
      </c>
      <c r="V39" s="39" t="s">
        <v>75</v>
      </c>
      <c r="W39" s="39" t="s">
        <v>109</v>
      </c>
      <c r="X39" s="39" t="s">
        <v>97</v>
      </c>
      <c r="Y39" s="39" t="s">
        <v>80</v>
      </c>
      <c r="Z39" s="39" t="s">
        <v>98</v>
      </c>
      <c r="AA39" s="39" t="s">
        <v>103</v>
      </c>
      <c r="AB39" s="39" t="s">
        <v>147</v>
      </c>
      <c r="AC39" s="39" t="s">
        <v>148</v>
      </c>
      <c r="AD39" s="39" t="s">
        <v>104</v>
      </c>
      <c r="AE39" s="39" t="s">
        <v>75</v>
      </c>
      <c r="AF39" s="39" t="s">
        <v>75</v>
      </c>
      <c r="AG39" s="39" t="s">
        <v>76</v>
      </c>
      <c r="AH39" t="str">
        <f>VLOOKUP($R39,武学奇术!$A:$ZZ,25,FALSE)</f>
        <v>剑</v>
      </c>
      <c r="AI39" s="24">
        <f>VLOOKUP($R39,武学奇术!$A:$ZZ,26,FALSE)</f>
        <v>1.5679</v>
      </c>
      <c r="AJ39" s="25">
        <f>VLOOKUP($R39,武学奇术!$A:$ZZ,27,FALSE)*(1+IF(OR($AH39=$F$4,$AH39=$F$5),$B$22,0))</f>
        <v>606.2</v>
      </c>
      <c r="AK39" s="24">
        <f>VLOOKUP($R39,武学奇术!$A:$ZZ,28,FALSE)</f>
        <v>2.3518</v>
      </c>
      <c r="AL39" s="25">
        <f>VLOOKUP($R39,武学奇术!$A:$ZZ,29,FALSE)*(1+IF(OR($AH39=$F$4,$AH39=$F$5),$B$22,0))</f>
        <v>330.4</v>
      </c>
      <c r="AM39" s="24" cm="1">
        <f t="array" ref="AM39">$G$3+IFERROR(VLOOKUP($AH39,$F$4:$G$7,2,FALSE),0)+VLOOKUP($R39,武学奇术!$A:$ZZ,2,FALSE)+SUM(_xlfn.XLOOKUP($S39:$AG39,增益!$A:$A,增益!$B:$B,0))</f>
        <v>1.4191</v>
      </c>
      <c r="AN39" s="24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1364.4</v>
      </c>
      <c r="AP39" cm="1">
        <f t="array" ref="AP39">$E$10*(1+$AN39)+VLOOKUP($R39,武学奇术!$A:$ZZ,4,FALSE)+SUM(_xlfn.XLOOKUP($S39:$AG39,增益!$A:$A,增益!$D:$D,0))-$I$2</f>
        <v>6174.4</v>
      </c>
      <c r="AQ39" s="32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0.2925</v>
      </c>
      <c r="AR39" s="32" cm="1">
        <f t="array" ref="AR39">$G$10+VLOOKUP($R39,武学奇术!$A:$ZZ,7,FALSE)+SUM(_xlfn.XLOOKUP(S39:AG39,增益!$A:$A,增益!$G:$G,0))</f>
        <v>0</v>
      </c>
      <c r="AS39" s="24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32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0.11</v>
      </c>
      <c r="AW39" s="32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2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-0.14</v>
      </c>
      <c r="BA39" s="32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32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-0.14</v>
      </c>
      <c r="BE39" s="32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32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-0.14</v>
      </c>
      <c r="BI39" s="32" cm="1">
        <f t="array" ref="BI39">$G$14+VLOOKUP($R39,武学奇术!$A:$ZZ,16,FALSE)+SUM(_xlfn.XLOOKUP(S39:AG39,增益!$A:$A,增益!$P:$P,0))</f>
        <v>0</v>
      </c>
      <c r="BJ39" s="24">
        <f>MIN(IF(VLOOKUP($R39,武学奇术!$A:$ZZ,23,FALSE)=1,100%,$B$8),100%)</f>
        <v>0.8271</v>
      </c>
      <c r="BK39" s="24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0.1789</v>
      </c>
      <c r="BL39" s="24" cm="1">
        <f t="array" ref="BL39">1+$B$13+VLOOKUP($R39,武学奇术!$A:$ZZ,18,FALSE)+SUM(_xlfn.XLOOKUP(S39:AG39,增益!$A:$A,增益!$R:$R,0))</f>
        <v>1.5</v>
      </c>
      <c r="BM39" s="24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0.5509</v>
      </c>
      <c r="BN39" s="24" cm="1">
        <f t="array" ref="BN39">1+$B$14+VLOOKUP($R39,武学奇术!$A:$ZZ,20,FALSE)+SUM(_xlfn.XLOOKUP(S39:AG39,增益!$A:$A,增益!$T:$T,0))</f>
        <v>2.062</v>
      </c>
      <c r="BO39" s="24">
        <f t="shared" si="11"/>
        <v>0.14796819</v>
      </c>
      <c r="BP39" s="24">
        <f t="shared" si="17"/>
        <v>0.30113181</v>
      </c>
      <c r="BQ39" s="24">
        <f>IF(VLOOKUP($R39,武学奇术!$A:$ZZ,22,FALSE)=1,0,(1-$BJ39))*(1-$BM39)</f>
        <v>0</v>
      </c>
      <c r="BR39" s="24" cm="1">
        <f t="array" ref="BR39">SUM(_xlfn.XLOOKUP(S39:AG39,增益!$A:$A,增益!$W:$W,0))+$I$5</f>
        <v>0.31</v>
      </c>
    </row>
    <row r="40" spans="1:70">
      <c r="A40" s="86" t="s">
        <v>156</v>
      </c>
      <c r="B40" s="86">
        <v>1.1</v>
      </c>
      <c r="C40" s="38"/>
      <c r="F40" s="38"/>
      <c r="K40" s="30">
        <f>$L40*VLOOKUP($R40,武学奇术!$A:$ZZ,31,FALSE)</f>
        <v>192732.677787038</v>
      </c>
      <c r="L40" s="30">
        <f t="shared" si="12"/>
        <v>175211.525260944</v>
      </c>
      <c r="M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85900.9572193074</v>
      </c>
      <c r="N40" s="30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175211.525260944</v>
      </c>
      <c r="O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57267.3048128716</v>
      </c>
      <c r="P40" s="30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29562.9678891071</v>
      </c>
      <c r="Q40" s="38">
        <v>1</v>
      </c>
      <c r="R40" s="39" t="s">
        <v>155</v>
      </c>
      <c r="S40" s="39" t="s">
        <v>143</v>
      </c>
      <c r="T40" s="39" t="s">
        <v>69</v>
      </c>
      <c r="U40" s="39" t="s">
        <v>73</v>
      </c>
      <c r="V40" s="39" t="s">
        <v>75</v>
      </c>
      <c r="W40" s="39" t="s">
        <v>109</v>
      </c>
      <c r="X40" s="39" t="s">
        <v>97</v>
      </c>
      <c r="Y40" s="39" t="s">
        <v>80</v>
      </c>
      <c r="Z40" s="39" t="s">
        <v>98</v>
      </c>
      <c r="AA40" s="39" t="s">
        <v>103</v>
      </c>
      <c r="AB40" s="39" t="s">
        <v>147</v>
      </c>
      <c r="AC40" s="39" t="s">
        <v>148</v>
      </c>
      <c r="AD40" s="39" t="s">
        <v>104</v>
      </c>
      <c r="AE40" s="39" t="s">
        <v>75</v>
      </c>
      <c r="AF40" s="39" t="s">
        <v>75</v>
      </c>
      <c r="AG40" s="39" t="s">
        <v>76</v>
      </c>
      <c r="AH40" t="str">
        <f>VLOOKUP($R40,武学奇术!$A:$ZZ,25,FALSE)</f>
        <v>剑</v>
      </c>
      <c r="AI40" s="24">
        <f>VLOOKUP($R40,武学奇术!$A:$ZZ,26,FALSE)</f>
        <v>1.8292</v>
      </c>
      <c r="AJ40" s="25">
        <f>VLOOKUP($R40,武学奇术!$A:$ZZ,27,FALSE)*(1+IF(OR($AH40=$F$4,$AH40=$F$5),$B$22,0))</f>
        <v>708.4</v>
      </c>
      <c r="AK40" s="24">
        <f>VLOOKUP($R40,武学奇术!$A:$ZZ,28,FALSE)</f>
        <v>2.7438</v>
      </c>
      <c r="AL40" s="25">
        <f>VLOOKUP($R40,武学奇术!$A:$ZZ,29,FALSE)*(1+IF(OR($AH40=$F$4,$AH40=$F$5),$B$22,0))</f>
        <v>386.4</v>
      </c>
      <c r="AM40" s="24" cm="1">
        <f t="array" ref="AM40">$G$3+IFERROR(VLOOKUP($AH40,$F$4:$G$7,2,FALSE),0)+VLOOKUP($R40,武学奇术!$A:$ZZ,2,FALSE)+SUM(_xlfn.XLOOKUP($S40:$AG40,增益!$A:$A,增益!$B:$B,0))</f>
        <v>1.4191</v>
      </c>
      <c r="AN40" s="24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1364.4</v>
      </c>
      <c r="AP40" cm="1">
        <f t="array" ref="AP40">$E$10*(1+$AN40)+VLOOKUP($R40,武学奇术!$A:$ZZ,4,FALSE)+SUM(_xlfn.XLOOKUP($S40:$AG40,增益!$A:$A,增益!$D:$D,0))-$I$2</f>
        <v>6174.4</v>
      </c>
      <c r="AQ40" s="32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0.2925</v>
      </c>
      <c r="AR40" s="32" cm="1">
        <f t="array" ref="AR40">$G$10+VLOOKUP($R40,武学奇术!$A:$ZZ,7,FALSE)+SUM(_xlfn.XLOOKUP(S40:AG40,增益!$A:$A,增益!$G:$G,0))</f>
        <v>0</v>
      </c>
      <c r="AS40" s="24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32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0.11</v>
      </c>
      <c r="AW40" s="32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2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32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32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32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32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-0.14</v>
      </c>
      <c r="BI40" s="32" cm="1">
        <f t="array" ref="BI40">$G$14+VLOOKUP($R40,武学奇术!$A:$ZZ,16,FALSE)+SUM(_xlfn.XLOOKUP(S40:AG40,增益!$A:$A,增益!$P:$P,0))</f>
        <v>0</v>
      </c>
      <c r="BJ40" s="24">
        <f>MIN(IF(VLOOKUP($R40,武学奇术!$A:$ZZ,23,FALSE)=1,100%,$B$8),100%)</f>
        <v>0.8271</v>
      </c>
      <c r="BK40" s="24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4" cm="1">
        <f t="array" ref="BL40">1+$B$13+VLOOKUP($R40,武学奇术!$A:$ZZ,18,FALSE)+SUM(_xlfn.XLOOKUP(S40:AG40,增益!$A:$A,增益!$R:$R,0))</f>
        <v>1.5</v>
      </c>
      <c r="BM40" s="24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4" cm="1">
        <f t="array" ref="BN40">1+$B$14+VLOOKUP($R40,武学奇术!$A:$ZZ,20,FALSE)+SUM(_xlfn.XLOOKUP(S40:AG40,增益!$A:$A,增益!$T:$T,0))</f>
        <v>2.062</v>
      </c>
      <c r="BO40" s="24">
        <f t="shared" si="11"/>
        <v>0</v>
      </c>
      <c r="BP40" s="24">
        <f t="shared" si="17"/>
        <v>0</v>
      </c>
      <c r="BQ40" s="24">
        <f>IF(VLOOKUP($R40,武学奇术!$A:$ZZ,22,FALSE)=1,0,(1-$BJ40))*(1-$BM40)</f>
        <v>0</v>
      </c>
      <c r="BR40" s="24" cm="1">
        <f t="array" ref="BR40">SUM(_xlfn.XLOOKUP(S40:AG40,增益!$A:$A,增益!$W:$W,0))+$I$5</f>
        <v>0.31</v>
      </c>
    </row>
    <row r="41" spans="1:70">
      <c r="A41" s="86" t="s">
        <v>150</v>
      </c>
      <c r="B41" s="86">
        <v>2.33</v>
      </c>
      <c r="C41" s="38"/>
      <c r="F41" s="38"/>
      <c r="K41" s="30">
        <f>$L41*VLOOKUP($R41,武学奇术!$A:$ZZ,31,FALSE)</f>
        <v>252749.55652357</v>
      </c>
      <c r="L41" s="30">
        <f t="shared" si="12"/>
        <v>229772.324112336</v>
      </c>
      <c r="M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182919.480522421</v>
      </c>
      <c r="N41" s="30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356352.140604615</v>
      </c>
      <c r="O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121946.320348281</v>
      </c>
      <c r="P41" s="30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62265.6577176551</v>
      </c>
      <c r="Q41" s="38">
        <v>1</v>
      </c>
      <c r="R41" s="39" t="s">
        <v>96</v>
      </c>
      <c r="S41" s="39" t="s">
        <v>143</v>
      </c>
      <c r="T41" s="39" t="s">
        <v>75</v>
      </c>
      <c r="U41" s="39" t="s">
        <v>114</v>
      </c>
      <c r="V41" s="39" t="s">
        <v>75</v>
      </c>
      <c r="W41" s="39" t="s">
        <v>109</v>
      </c>
      <c r="X41" s="39" t="s">
        <v>97</v>
      </c>
      <c r="Y41" s="39" t="s">
        <v>80</v>
      </c>
      <c r="Z41" s="39" t="s">
        <v>98</v>
      </c>
      <c r="AA41" s="39" t="s">
        <v>103</v>
      </c>
      <c r="AB41" s="39" t="s">
        <v>75</v>
      </c>
      <c r="AC41" s="39" t="s">
        <v>75</v>
      </c>
      <c r="AD41" s="39" t="s">
        <v>104</v>
      </c>
      <c r="AE41" s="39" t="s">
        <v>75</v>
      </c>
      <c r="AF41" s="39" t="s">
        <v>75</v>
      </c>
      <c r="AG41" s="39" t="s">
        <v>76</v>
      </c>
      <c r="AH41" t="str">
        <f>VLOOKUP($R41,武学奇术!$A:$ZZ,25,FALSE)</f>
        <v>剑</v>
      </c>
      <c r="AI41" s="24">
        <f>VLOOKUP($R41,武学奇术!$A:$ZZ,26,FALSE)</f>
        <v>4.7037</v>
      </c>
      <c r="AJ41" s="25">
        <f>VLOOKUP($R41,武学奇术!$A:$ZZ,27,FALSE)*(1+IF(OR($AH41=$F$4,$AH41=$F$5),$B$22,0))</f>
        <v>1820</v>
      </c>
      <c r="AK41" s="24">
        <f>VLOOKUP($R41,武学奇术!$A:$ZZ,28,FALSE)</f>
        <v>7.0554</v>
      </c>
      <c r="AL41" s="25">
        <f>VLOOKUP($R41,武学奇术!$A:$ZZ,29,FALSE)*(1+IF(OR($AH41=$F$4,$AH41=$F$5),$B$22,0))</f>
        <v>992.6</v>
      </c>
      <c r="AM41" s="24" cm="1">
        <f t="array" ref="AM41">$G$3+IFERROR(VLOOKUP($AH41,$F$4:$G$7,2,FALSE),0)+VLOOKUP($R41,武学奇术!$A:$ZZ,2,FALSE)+SUM(_xlfn.XLOOKUP($S41:$AG41,增益!$A:$A,增益!$B:$B,0))</f>
        <v>1.4191</v>
      </c>
      <c r="AN41" s="24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1364.4</v>
      </c>
      <c r="AP41" cm="1">
        <f t="array" ref="AP41">$E$10*(1+$AN41)+VLOOKUP($R41,武学奇术!$A:$ZZ,4,FALSE)+SUM(_xlfn.XLOOKUP($S41:$AG41,增益!$A:$A,增益!$D:$D,0))-$I$2</f>
        <v>6174.4</v>
      </c>
      <c r="AQ41" s="32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0.2925</v>
      </c>
      <c r="AR41" s="32" cm="1">
        <f t="array" ref="AR41">$G$10+VLOOKUP($R41,武学奇术!$A:$ZZ,7,FALSE)+SUM(_xlfn.XLOOKUP(S41:AG41,增益!$A:$A,增益!$G:$G,0))</f>
        <v>0</v>
      </c>
      <c r="AS41" s="24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32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0.11</v>
      </c>
      <c r="AW41" s="32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2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-0.14</v>
      </c>
      <c r="BA41" s="32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32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-0.14</v>
      </c>
      <c r="BE41" s="32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32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-0.14</v>
      </c>
      <c r="BI41" s="32" cm="1">
        <f t="array" ref="BI41">$G$14+VLOOKUP($R41,武学奇术!$A:$ZZ,16,FALSE)+SUM(_xlfn.XLOOKUP(S41:AG41,增益!$A:$A,增益!$P:$P,0))</f>
        <v>0</v>
      </c>
      <c r="BJ41" s="24">
        <f>MIN(IF(VLOOKUP($R41,武学奇术!$A:$ZZ,23,FALSE)=1,100%,$B$8),100%)</f>
        <v>0.8271</v>
      </c>
      <c r="BK41" s="24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0.1789</v>
      </c>
      <c r="BL41" s="24" cm="1">
        <f t="array" ref="BL41">1+$B$13+VLOOKUP($R41,武学奇术!$A:$ZZ,18,FALSE)+SUM(_xlfn.XLOOKUP(S41:AG41,增益!$A:$A,增益!$R:$R,0))</f>
        <v>1.5</v>
      </c>
      <c r="BM41" s="24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0.4459</v>
      </c>
      <c r="BN41" s="24" cm="1">
        <f t="array" ref="BN41">1+$B$14+VLOOKUP($R41,武学奇术!$A:$ZZ,20,FALSE)+SUM(_xlfn.XLOOKUP(S41:AG41,增益!$A:$A,增益!$T:$T,0))</f>
        <v>1.962</v>
      </c>
      <c r="BO41" s="24">
        <f t="shared" si="11"/>
        <v>0.14796819</v>
      </c>
      <c r="BP41" s="24">
        <f t="shared" si="17"/>
        <v>0.31032792</v>
      </c>
      <c r="BQ41" s="24">
        <f>IF(VLOOKUP($R41,武学奇术!$A:$ZZ,22,FALSE)=1,0,(1-$BJ41))*(1-$BM41)</f>
        <v>0.09580389</v>
      </c>
      <c r="BR41" s="24" cm="1">
        <f t="array" ref="BR41">SUM(_xlfn.XLOOKUP(S41:AG41,增益!$A:$A,增益!$W:$W,0))+$I$5</f>
        <v>0.11</v>
      </c>
    </row>
    <row r="42" spans="1:70">
      <c r="A42" s="86" t="s">
        <v>150</v>
      </c>
      <c r="B42" s="86">
        <v>2.33</v>
      </c>
      <c r="K42" s="30">
        <f>$L42*VLOOKUP($R42,武学奇术!$A:$ZZ,31,FALSE)</f>
        <v>584043.324306832</v>
      </c>
      <c r="L42" s="30">
        <f t="shared" si="12"/>
        <v>530948.476642575</v>
      </c>
      <c r="M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365838.961044843</v>
      </c>
      <c r="N42" s="30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749029.677805012</v>
      </c>
      <c r="O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243892.640696562</v>
      </c>
      <c r="P42" s="30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124531.31543531</v>
      </c>
      <c r="Q42" s="38">
        <v>2</v>
      </c>
      <c r="R42" s="39" t="s">
        <v>96</v>
      </c>
      <c r="S42" s="39" t="s">
        <v>143</v>
      </c>
      <c r="T42" s="39" t="s">
        <v>69</v>
      </c>
      <c r="U42" s="39" t="s">
        <v>73</v>
      </c>
      <c r="V42" s="39" t="s">
        <v>75</v>
      </c>
      <c r="W42" s="39" t="s">
        <v>109</v>
      </c>
      <c r="X42" s="39" t="s">
        <v>97</v>
      </c>
      <c r="Y42" s="39" t="s">
        <v>80</v>
      </c>
      <c r="Z42" s="39" t="s">
        <v>98</v>
      </c>
      <c r="AA42" s="39" t="s">
        <v>103</v>
      </c>
      <c r="AB42" s="39" t="s">
        <v>75</v>
      </c>
      <c r="AC42" s="39" t="s">
        <v>75</v>
      </c>
      <c r="AD42" s="39" t="s">
        <v>104</v>
      </c>
      <c r="AE42" s="39" t="s">
        <v>75</v>
      </c>
      <c r="AF42" s="39" t="s">
        <v>75</v>
      </c>
      <c r="AG42" s="39" t="s">
        <v>76</v>
      </c>
      <c r="AH42" t="str">
        <f>VLOOKUP($R42,武学奇术!$A:$ZZ,25,FALSE)</f>
        <v>剑</v>
      </c>
      <c r="AI42" s="24">
        <f>VLOOKUP($R42,武学奇术!$A:$ZZ,26,FALSE)</f>
        <v>4.7037</v>
      </c>
      <c r="AJ42" s="25">
        <f>VLOOKUP($R42,武学奇术!$A:$ZZ,27,FALSE)*(1+IF(OR($AH42=$F$4,$AH42=$F$5),$B$22,0))</f>
        <v>1820</v>
      </c>
      <c r="AK42" s="24">
        <f>VLOOKUP($R42,武学奇术!$A:$ZZ,28,FALSE)</f>
        <v>7.0554</v>
      </c>
      <c r="AL42" s="25">
        <f>VLOOKUP($R42,武学奇术!$A:$ZZ,29,FALSE)*(1+IF(OR($AH42=$F$4,$AH42=$F$5),$B$22,0))</f>
        <v>992.6</v>
      </c>
      <c r="AM42" s="24" cm="1">
        <f t="array" ref="AM42">$G$3+IFERROR(VLOOKUP($AH42,$F$4:$G$7,2,FALSE),0)+VLOOKUP($R42,武学奇术!$A:$ZZ,2,FALSE)+SUM(_xlfn.XLOOKUP($S42:$AG42,增益!$A:$A,增益!$B:$B,0))</f>
        <v>1.4191</v>
      </c>
      <c r="AN42" s="24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1364.4</v>
      </c>
      <c r="AP42" cm="1">
        <f t="array" ref="AP42">$E$10*(1+$AN42)+VLOOKUP($R42,武学奇术!$A:$ZZ,4,FALSE)+SUM(_xlfn.XLOOKUP($S42:$AG42,增益!$A:$A,增益!$D:$D,0))-$I$2</f>
        <v>6174.4</v>
      </c>
      <c r="AQ42" s="32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0.2925</v>
      </c>
      <c r="AR42" s="32" cm="1">
        <f t="array" ref="AR42">$G$10+VLOOKUP($R42,武学奇术!$A:$ZZ,7,FALSE)+SUM(_xlfn.XLOOKUP(S42:AG42,增益!$A:$A,增益!$G:$G,0))</f>
        <v>0</v>
      </c>
      <c r="AS42" s="24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32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0.11</v>
      </c>
      <c r="AW42" s="32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2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-0.14</v>
      </c>
      <c r="BA42" s="32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32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-0.14</v>
      </c>
      <c r="BE42" s="32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32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-0.14</v>
      </c>
      <c r="BI42" s="32" cm="1">
        <f t="array" ref="BI42">$G$14+VLOOKUP($R42,武学奇术!$A:$ZZ,16,FALSE)+SUM(_xlfn.XLOOKUP(S42:AG42,增益!$A:$A,增益!$P:$P,0))</f>
        <v>0</v>
      </c>
      <c r="BJ42" s="24">
        <f>MIN(IF(VLOOKUP($R42,武学奇术!$A:$ZZ,23,FALSE)=1,100%,$B$8),100%)</f>
        <v>0.8271</v>
      </c>
      <c r="BK42" s="24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0.1789</v>
      </c>
      <c r="BL42" s="24" cm="1">
        <f t="array" ref="BL42">1+$B$13+VLOOKUP($R42,武学奇术!$A:$ZZ,18,FALSE)+SUM(_xlfn.XLOOKUP(S42:AG42,增益!$A:$A,增益!$R:$R,0))</f>
        <v>1.5</v>
      </c>
      <c r="BM42" s="24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0.5509</v>
      </c>
      <c r="BN42" s="24" cm="1">
        <f t="array" ref="BN42">1+$B$14+VLOOKUP($R42,武学奇术!$A:$ZZ,20,FALSE)+SUM(_xlfn.XLOOKUP(S42:AG42,增益!$A:$A,增益!$T:$T,0))</f>
        <v>2.062</v>
      </c>
      <c r="BO42" s="24">
        <f t="shared" si="11"/>
        <v>0.14796819</v>
      </c>
      <c r="BP42" s="24">
        <f t="shared" si="17"/>
        <v>0.22348242</v>
      </c>
      <c r="BQ42" s="24">
        <f>IF(VLOOKUP($R42,武学奇术!$A:$ZZ,22,FALSE)=1,0,(1-$BJ42))*(1-$BM42)</f>
        <v>0.07764939</v>
      </c>
      <c r="BR42" s="24" cm="1">
        <f t="array" ref="BR42">SUM(_xlfn.XLOOKUP(S42:AG42,增益!$A:$A,增益!$W:$W,0))+$I$5</f>
        <v>0.11</v>
      </c>
    </row>
    <row r="43" spans="1:70">
      <c r="A43" s="86" t="s">
        <v>150</v>
      </c>
      <c r="B43" s="86">
        <v>2.33</v>
      </c>
      <c r="K43" s="30">
        <f>$L43*VLOOKUP($R43,武学奇术!$A:$ZZ,31,FALSE)</f>
        <v>94554.7996327476</v>
      </c>
      <c r="L43" s="30">
        <f t="shared" si="12"/>
        <v>85958.9087570433</v>
      </c>
      <c r="M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62286.7159100646</v>
      </c>
      <c r="N43" s="30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119719.099833795</v>
      </c>
      <c r="O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41524.4772733764</v>
      </c>
      <c r="P43" s="30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19436.2553789553</v>
      </c>
      <c r="Q43" s="38">
        <v>1</v>
      </c>
      <c r="R43" s="39" t="s">
        <v>144</v>
      </c>
      <c r="S43" s="39" t="s">
        <v>143</v>
      </c>
      <c r="T43" s="39" t="s">
        <v>69</v>
      </c>
      <c r="U43" s="39" t="s">
        <v>73</v>
      </c>
      <c r="V43" s="39" t="s">
        <v>74</v>
      </c>
      <c r="W43" s="39" t="s">
        <v>75</v>
      </c>
      <c r="X43" s="39" t="s">
        <v>75</v>
      </c>
      <c r="Y43" s="39" t="s">
        <v>75</v>
      </c>
      <c r="Z43" s="39" t="s">
        <v>75</v>
      </c>
      <c r="AA43" s="39" t="s">
        <v>103</v>
      </c>
      <c r="AB43" s="39" t="s">
        <v>75</v>
      </c>
      <c r="AC43" s="39" t="s">
        <v>75</v>
      </c>
      <c r="AD43" s="39" t="s">
        <v>104</v>
      </c>
      <c r="AE43" s="39" t="s">
        <v>75</v>
      </c>
      <c r="AF43" s="39" t="s">
        <v>75</v>
      </c>
      <c r="AG43" s="39" t="s">
        <v>76</v>
      </c>
      <c r="AH43" t="str">
        <f>VLOOKUP($R43,武学奇术!$A:$ZZ,25,FALSE)</f>
        <v>群体奇术</v>
      </c>
      <c r="AI43" s="24">
        <f>VLOOKUP($R43,武学奇术!$A:$ZZ,26,FALSE)</f>
        <v>3.9744</v>
      </c>
      <c r="AJ43" s="25">
        <f>VLOOKUP($R43,武学奇术!$A:$ZZ,27,FALSE)*(1+IF(OR($AH43=$F$4,$AH43=$F$5),$B$22,0))</f>
        <v>982</v>
      </c>
      <c r="AK43" s="24">
        <f>VLOOKUP($R43,武学奇术!$A:$ZZ,28,FALSE)</f>
        <v>5.9613</v>
      </c>
      <c r="AL43" s="25">
        <f>VLOOKUP($R43,武学奇术!$A:$ZZ,29,FALSE)*(1+IF(OR($AH43=$F$4,$AH43=$F$5),$B$22,0))</f>
        <v>0</v>
      </c>
      <c r="AM43" s="24" cm="1">
        <f t="array" ref="AM43">$G$3+IFERROR(VLOOKUP($AH43,$F$4:$G$7,2,FALSE),0)+VLOOKUP($R43,武学奇术!$A:$ZZ,2,FALSE)+SUM(_xlfn.XLOOKUP($S43:$AG43,增益!$A:$A,增益!$B:$B,0))</f>
        <v>0.3987</v>
      </c>
      <c r="AN43" s="24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1364.4</v>
      </c>
      <c r="AP43" cm="1">
        <f t="array" ref="AP43">$E$10*(1+$AN43)+VLOOKUP($R43,武学奇术!$A:$ZZ,4,FALSE)+SUM(_xlfn.XLOOKUP($S43:$AG43,增益!$A:$A,增益!$D:$D,0))-$I$2</f>
        <v>6174.4</v>
      </c>
      <c r="AQ43" s="32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0.2925</v>
      </c>
      <c r="AR43" s="32" cm="1">
        <f t="array" ref="AR43">$G$10+VLOOKUP($R43,武学奇术!$A:$ZZ,7,FALSE)+SUM(_xlfn.XLOOKUP(S43:AG43,增益!$A:$A,增益!$G:$G,0))</f>
        <v>0</v>
      </c>
      <c r="AS43" s="24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32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0.11</v>
      </c>
      <c r="AW43" s="32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2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-0.14</v>
      </c>
      <c r="BA43" s="32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32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-0.14</v>
      </c>
      <c r="BE43" s="32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32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-0.14</v>
      </c>
      <c r="BI43" s="32" cm="1">
        <f t="array" ref="BI43">$G$14+VLOOKUP($R43,武学奇术!$A:$ZZ,16,FALSE)+SUM(_xlfn.XLOOKUP(S43:AG43,增益!$A:$A,增益!$P:$P,0))</f>
        <v>0</v>
      </c>
      <c r="BJ43" s="24">
        <f>MIN(IF(VLOOKUP($R43,武学奇术!$A:$ZZ,23,FALSE)=1,100%,$B$8),100%)</f>
        <v>0.8271</v>
      </c>
      <c r="BK43" s="24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0.1789</v>
      </c>
      <c r="BL43" s="24" cm="1">
        <f t="array" ref="BL43">1+$B$13+VLOOKUP($R43,武学奇术!$A:$ZZ,18,FALSE)+SUM(_xlfn.XLOOKUP(S43:AG43,增益!$A:$A,增益!$R:$R,0))</f>
        <v>1.5</v>
      </c>
      <c r="BM43" s="24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0.5509</v>
      </c>
      <c r="BN43" s="24" cm="1">
        <f t="array" ref="BN43">1+$B$14+VLOOKUP($R43,武学奇术!$A:$ZZ,20,FALSE)+SUM(_xlfn.XLOOKUP(S43:AG43,增益!$A:$A,增益!$T:$T,0))</f>
        <v>1.882</v>
      </c>
      <c r="BO43" s="24">
        <f t="shared" si="11"/>
        <v>0.14796819</v>
      </c>
      <c r="BP43" s="24">
        <f t="shared" si="17"/>
        <v>0.22348242</v>
      </c>
      <c r="BQ43" s="24">
        <f>IF(VLOOKUP($R43,武学奇术!$A:$ZZ,22,FALSE)=1,0,(1-$BJ43))*(1-$BM43)</f>
        <v>0.07764939</v>
      </c>
      <c r="BR43" s="24" cm="1">
        <f t="array" ref="BR43">SUM(_xlfn.XLOOKUP(S43:AG43,增益!$A:$A,增益!$W:$W,0))+$I$5</f>
        <v>0.11</v>
      </c>
    </row>
    <row r="44" spans="1:70">
      <c r="A44" s="86" t="s">
        <v>145</v>
      </c>
      <c r="B44" s="86">
        <v>1.1</v>
      </c>
      <c r="F44" s="38" t="s">
        <v>154</v>
      </c>
      <c r="K44" s="30">
        <f>$L44*VLOOKUP($R44,武学奇术!$A:$ZZ,31,FALSE)</f>
        <v>30386.6467697772</v>
      </c>
      <c r="L44" s="30">
        <f t="shared" si="12"/>
        <v>27624.224336161</v>
      </c>
      <c r="M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20016.6001067225</v>
      </c>
      <c r="N44" s="30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38473.7401326061</v>
      </c>
      <c r="O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13344.4000711483</v>
      </c>
      <c r="P44" s="30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6245.79263294165</v>
      </c>
      <c r="Q44" s="38">
        <v>1</v>
      </c>
      <c r="R44" s="39" t="s">
        <v>71</v>
      </c>
      <c r="S44" s="39" t="s">
        <v>143</v>
      </c>
      <c r="T44" s="39" t="s">
        <v>69</v>
      </c>
      <c r="U44" s="39" t="s">
        <v>73</v>
      </c>
      <c r="V44" s="39" t="s">
        <v>75</v>
      </c>
      <c r="W44" s="39" t="s">
        <v>75</v>
      </c>
      <c r="X44" s="39" t="s">
        <v>75</v>
      </c>
      <c r="Y44" s="39" t="s">
        <v>75</v>
      </c>
      <c r="Z44" s="39" t="s">
        <v>75</v>
      </c>
      <c r="AA44" s="39" t="s">
        <v>103</v>
      </c>
      <c r="AB44" s="39" t="s">
        <v>75</v>
      </c>
      <c r="AC44" s="39" t="s">
        <v>75</v>
      </c>
      <c r="AD44" s="39" t="s">
        <v>104</v>
      </c>
      <c r="AE44" s="39" t="s">
        <v>75</v>
      </c>
      <c r="AF44" s="39" t="s">
        <v>75</v>
      </c>
      <c r="AG44" s="39" t="s">
        <v>76</v>
      </c>
      <c r="AH44" t="str">
        <f>VLOOKUP($R44,武学奇术!$A:$ZZ,25,FALSE)</f>
        <v>群体奇术</v>
      </c>
      <c r="AI44" s="24">
        <f>VLOOKUP($R44,武学奇术!$A:$ZZ,26,FALSE)</f>
        <v>1.4904</v>
      </c>
      <c r="AJ44" s="25">
        <f>VLOOKUP($R44,武学奇术!$A:$ZZ,27,FALSE)*(1+IF(OR($AH44=$F$4,$AH44=$F$5),$B$22,0))</f>
        <v>368</v>
      </c>
      <c r="AK44" s="24">
        <f>VLOOKUP($R44,武学奇术!$A:$ZZ,28,FALSE)</f>
        <v>2.2353</v>
      </c>
      <c r="AL44" s="25">
        <f>VLOOKUP($R44,武学奇术!$A:$ZZ,29,FALSE)*(1+IF(OR($AH44=$F$4,$AH44=$F$5),$B$22,0))</f>
        <v>0</v>
      </c>
      <c r="AM44" s="24" cm="1">
        <f t="array" ref="AM44">$G$3+IFERROR(VLOOKUP($AH44,$F$4:$G$7,2,FALSE),0)+VLOOKUP($R44,武学奇术!$A:$ZZ,2,FALSE)+SUM(_xlfn.XLOOKUP($S44:$AG44,增益!$A:$A,增益!$B:$B,0))</f>
        <v>0.1987</v>
      </c>
      <c r="AN44" s="24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1364.4</v>
      </c>
      <c r="AP44" cm="1">
        <f t="array" ref="AP44">$E$10*(1+$AN44)+VLOOKUP($R44,武学奇术!$A:$ZZ,4,FALSE)+SUM(_xlfn.XLOOKUP($S44:$AG44,增益!$A:$A,增益!$D:$D,0))-$I$2</f>
        <v>6174.4</v>
      </c>
      <c r="AQ44" s="32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0.2925</v>
      </c>
      <c r="AR44" s="32" cm="1">
        <f t="array" ref="AR44">$G$10+VLOOKUP($R44,武学奇术!$A:$ZZ,7,FALSE)+SUM(_xlfn.XLOOKUP(S44:AG44,增益!$A:$A,增益!$G:$G,0))</f>
        <v>0</v>
      </c>
      <c r="AS44" s="24" cm="1">
        <f t="array" ref="AS44">VLOOKUP($R44,武学奇术!$A:$ZZ,8,FALSE)+SUM(_xlfn.XLOOKUP(S44:AG44,增益!$A:$A,增益!$H:$H,0))</f>
        <v>0</v>
      </c>
      <c r="AT44">
        <f t="shared" ref="AT44:AT60" si="18">$D$11*(1+$AS44)</f>
        <v>557.3</v>
      </c>
      <c r="AU44">
        <f t="shared" ref="AU44:AU60" si="19">$E$11*(1+$AS44)</f>
        <v>1049.5</v>
      </c>
      <c r="AV44" s="32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0.11</v>
      </c>
      <c r="AW44" s="32" cm="1">
        <f t="array" ref="AW44">$G$11+VLOOKUP($R44,武学奇术!$A:$ZZ,10,FALSE)+SUM(_xlfn.XLOOKUP(S44:AG44,增益!$A:$A,增益!$J:$J,0))</f>
        <v>0.15</v>
      </c>
      <c r="AX44">
        <f t="shared" ref="AX44:AX60" si="20">$D$12*(1+$AS44)</f>
        <v>0</v>
      </c>
      <c r="AY44">
        <f t="shared" ref="AY44:AY60" si="21">$E$12*(1+$AS44)</f>
        <v>0</v>
      </c>
      <c r="AZ44" s="32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-0.14</v>
      </c>
      <c r="BA44" s="32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32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-0.14</v>
      </c>
      <c r="BE44" s="32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32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-0.14</v>
      </c>
      <c r="BI44" s="32" cm="1">
        <f t="array" ref="BI44">$G$14+VLOOKUP($R44,武学奇术!$A:$ZZ,16,FALSE)+SUM(_xlfn.XLOOKUP(S44:AG44,增益!$A:$A,增益!$P:$P,0))</f>
        <v>0</v>
      </c>
      <c r="BJ44" s="24">
        <f>MIN(IF(VLOOKUP($R44,武学奇术!$A:$ZZ,23,FALSE)=1,100%,$B$8),100%)</f>
        <v>0.8271</v>
      </c>
      <c r="BK44" s="24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0.1789</v>
      </c>
      <c r="BL44" s="24" cm="1">
        <f t="array" ref="BL44">1+$B$13+VLOOKUP($R44,武学奇术!$A:$ZZ,18,FALSE)+SUM(_xlfn.XLOOKUP(S44:AG44,增益!$A:$A,增益!$R:$R,0))</f>
        <v>1.5</v>
      </c>
      <c r="BM44" s="24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0.5509</v>
      </c>
      <c r="BN44" s="24" cm="1">
        <f t="array" ref="BN44">1+$B$14+VLOOKUP($R44,武学奇术!$A:$ZZ,20,FALSE)+SUM(_xlfn.XLOOKUP(S44:AG44,增益!$A:$A,增益!$T:$T,0))</f>
        <v>1.882</v>
      </c>
      <c r="BO44" s="24">
        <f t="shared" si="11"/>
        <v>0.14796819</v>
      </c>
      <c r="BP44" s="24">
        <f t="shared" si="17"/>
        <v>0.22348242</v>
      </c>
      <c r="BQ44" s="24">
        <f>IF(VLOOKUP($R44,武学奇术!$A:$ZZ,22,FALSE)=1,0,(1-$BJ44))*(1-$BM44)</f>
        <v>0.07764939</v>
      </c>
      <c r="BR44" s="24" cm="1">
        <f t="array" ref="BR44">SUM(_xlfn.XLOOKUP(S44:AG44,增益!$A:$A,增益!$W:$W,0))+$I$5</f>
        <v>0.11</v>
      </c>
    </row>
    <row r="45" spans="1:70">
      <c r="A45" s="86" t="s">
        <v>150</v>
      </c>
      <c r="B45" s="86">
        <v>2.33</v>
      </c>
      <c r="C45" s="38" t="s">
        <v>73</v>
      </c>
      <c r="F45" s="38"/>
      <c r="G45">
        <v>20</v>
      </c>
      <c r="K45" s="30">
        <f>$L45*VLOOKUP($R45,武学奇术!$A:$ZZ,31,FALSE)</f>
        <v>35456.5803260927</v>
      </c>
      <c r="L45" s="30">
        <f t="shared" si="12"/>
        <v>32233.2548419025</v>
      </c>
      <c r="M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23356.3181523924</v>
      </c>
      <c r="N45" s="30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44892.9843359274</v>
      </c>
      <c r="O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15570.8787682616</v>
      </c>
      <c r="P45" s="30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7287.88700733752</v>
      </c>
      <c r="Q45" s="38">
        <v>1</v>
      </c>
      <c r="R45" s="39" t="s">
        <v>71</v>
      </c>
      <c r="S45" s="39" t="s">
        <v>143</v>
      </c>
      <c r="T45" s="39" t="s">
        <v>69</v>
      </c>
      <c r="U45" s="39" t="s">
        <v>73</v>
      </c>
      <c r="V45" s="39" t="s">
        <v>74</v>
      </c>
      <c r="W45" s="39" t="s">
        <v>75</v>
      </c>
      <c r="X45" s="39" t="s">
        <v>75</v>
      </c>
      <c r="Y45" s="39" t="s">
        <v>75</v>
      </c>
      <c r="Z45" s="39" t="s">
        <v>75</v>
      </c>
      <c r="AA45" s="39" t="s">
        <v>103</v>
      </c>
      <c r="AB45" s="39" t="s">
        <v>75</v>
      </c>
      <c r="AC45" s="39" t="s">
        <v>75</v>
      </c>
      <c r="AD45" s="39" t="s">
        <v>104</v>
      </c>
      <c r="AE45" s="39" t="s">
        <v>75</v>
      </c>
      <c r="AF45" s="39" t="s">
        <v>75</v>
      </c>
      <c r="AG45" s="39" t="s">
        <v>76</v>
      </c>
      <c r="AH45" t="str">
        <f>VLOOKUP($R45,武学奇术!$A:$ZZ,25,FALSE)</f>
        <v>群体奇术</v>
      </c>
      <c r="AI45" s="24">
        <f>VLOOKUP($R45,武学奇术!$A:$ZZ,26,FALSE)</f>
        <v>1.4904</v>
      </c>
      <c r="AJ45" s="25">
        <f>VLOOKUP($R45,武学奇术!$A:$ZZ,27,FALSE)*(1+IF(OR($AH45=$F$4,$AH45=$F$5),$B$22,0))</f>
        <v>368</v>
      </c>
      <c r="AK45" s="24">
        <f>VLOOKUP($R45,武学奇术!$A:$ZZ,28,FALSE)</f>
        <v>2.2353</v>
      </c>
      <c r="AL45" s="25">
        <f>VLOOKUP($R45,武学奇术!$A:$ZZ,29,FALSE)*(1+IF(OR($AH45=$F$4,$AH45=$F$5),$B$22,0))</f>
        <v>0</v>
      </c>
      <c r="AM45" s="24" cm="1">
        <f t="array" ref="AM45">$G$3+IFERROR(VLOOKUP($AH45,$F$4:$G$7,2,FALSE),0)+VLOOKUP($R45,武学奇术!$A:$ZZ,2,FALSE)+SUM(_xlfn.XLOOKUP($S45:$AG45,增益!$A:$A,增益!$B:$B,0))</f>
        <v>0.3987</v>
      </c>
      <c r="AN45" s="24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1364.4</v>
      </c>
      <c r="AP45" cm="1">
        <f t="array" ref="AP45">$E$10*(1+$AN45)+VLOOKUP($R45,武学奇术!$A:$ZZ,4,FALSE)+SUM(_xlfn.XLOOKUP($S45:$AG45,增益!$A:$A,增益!$D:$D,0))-$I$2</f>
        <v>6174.4</v>
      </c>
      <c r="AQ45" s="32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0.2925</v>
      </c>
      <c r="AR45" s="32" cm="1">
        <f t="array" ref="AR45">$G$10+VLOOKUP($R45,武学奇术!$A:$ZZ,7,FALSE)+SUM(_xlfn.XLOOKUP(S45:AG45,增益!$A:$A,增益!$G:$G,0))</f>
        <v>0</v>
      </c>
      <c r="AS45" s="24" cm="1">
        <f t="array" ref="AS45">VLOOKUP($R45,武学奇术!$A:$ZZ,8,FALSE)+SUM(_xlfn.XLOOKUP(S45:AG45,增益!$A:$A,增益!$H:$H,0))</f>
        <v>0</v>
      </c>
      <c r="AT45">
        <f t="shared" si="18"/>
        <v>557.3</v>
      </c>
      <c r="AU45">
        <f t="shared" si="19"/>
        <v>1049.5</v>
      </c>
      <c r="AV45" s="32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0.11</v>
      </c>
      <c r="AW45" s="32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32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-0.14</v>
      </c>
      <c r="BA45" s="32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32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-0.14</v>
      </c>
      <c r="BE45" s="32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32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-0.14</v>
      </c>
      <c r="BI45" s="32" cm="1">
        <f t="array" ref="BI45">$G$14+VLOOKUP($R45,武学奇术!$A:$ZZ,16,FALSE)+SUM(_xlfn.XLOOKUP(S45:AG45,增益!$A:$A,增益!$P:$P,0))</f>
        <v>0</v>
      </c>
      <c r="BJ45" s="24">
        <f>MIN(IF(VLOOKUP($R45,武学奇术!$A:$ZZ,23,FALSE)=1,100%,$B$8),100%)</f>
        <v>0.8271</v>
      </c>
      <c r="BK45" s="24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0.1789</v>
      </c>
      <c r="BL45" s="24" cm="1">
        <f t="array" ref="BL45">1+$B$13+VLOOKUP($R45,武学奇术!$A:$ZZ,18,FALSE)+SUM(_xlfn.XLOOKUP(S45:AG45,增益!$A:$A,增益!$R:$R,0))</f>
        <v>1.5</v>
      </c>
      <c r="BM45" s="24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0.5509</v>
      </c>
      <c r="BN45" s="24" cm="1">
        <f t="array" ref="BN45">1+$B$14+VLOOKUP($R45,武学奇术!$A:$ZZ,20,FALSE)+SUM(_xlfn.XLOOKUP(S45:AG45,增益!$A:$A,增益!$T:$T,0))</f>
        <v>1.882</v>
      </c>
      <c r="BO45" s="24">
        <f t="shared" si="11"/>
        <v>0.14796819</v>
      </c>
      <c r="BP45" s="24">
        <f t="shared" si="17"/>
        <v>0.22348242</v>
      </c>
      <c r="BQ45" s="24">
        <f>IF(VLOOKUP($R45,武学奇术!$A:$ZZ,22,FALSE)=1,0,(1-$BJ45))*(1-$BM45)</f>
        <v>0.07764939</v>
      </c>
      <c r="BR45" s="24" cm="1">
        <f t="array" ref="BR45">SUM(_xlfn.XLOOKUP(S45:AG45,增益!$A:$A,增益!$W:$W,0))+$I$5</f>
        <v>0.11</v>
      </c>
    </row>
    <row r="46" spans="1:70">
      <c r="A46" s="86" t="s">
        <v>150</v>
      </c>
      <c r="B46" s="86">
        <v>2.33</v>
      </c>
      <c r="C46" s="38"/>
      <c r="F46" s="38"/>
      <c r="G46">
        <v>28</v>
      </c>
      <c r="K46" s="30">
        <f>$L46*VLOOKUP($R46,武学奇术!$A:$ZZ,31,FALSE)</f>
        <v>104800.631887303</v>
      </c>
      <c r="L46" s="30">
        <f t="shared" si="12"/>
        <v>95273.3017157304</v>
      </c>
      <c r="M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68914.6628436896</v>
      </c>
      <c r="N46" s="30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132787.068957492</v>
      </c>
      <c r="O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45943.1085624598</v>
      </c>
      <c r="P46" s="30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21329.8574238078</v>
      </c>
      <c r="Q46" s="38">
        <v>3</v>
      </c>
      <c r="R46" s="39" t="s">
        <v>71</v>
      </c>
      <c r="S46" s="39" t="s">
        <v>143</v>
      </c>
      <c r="T46" s="39" t="s">
        <v>69</v>
      </c>
      <c r="U46" s="39" t="s">
        <v>73</v>
      </c>
      <c r="V46" s="39" t="s">
        <v>74</v>
      </c>
      <c r="W46" s="39" t="s">
        <v>75</v>
      </c>
      <c r="X46" s="39" t="s">
        <v>75</v>
      </c>
      <c r="Y46" s="39" t="s">
        <v>75</v>
      </c>
      <c r="Z46" s="39" t="s">
        <v>75</v>
      </c>
      <c r="AA46" s="39" t="s">
        <v>103</v>
      </c>
      <c r="AB46" s="39" t="s">
        <v>75</v>
      </c>
      <c r="AC46" s="39" t="s">
        <v>75</v>
      </c>
      <c r="AD46" s="39" t="s">
        <v>75</v>
      </c>
      <c r="AE46" s="39" t="s">
        <v>75</v>
      </c>
      <c r="AF46" s="39" t="s">
        <v>75</v>
      </c>
      <c r="AG46" s="39" t="s">
        <v>76</v>
      </c>
      <c r="AH46" t="str">
        <f>VLOOKUP($R46,武学奇术!$A:$ZZ,25,FALSE)</f>
        <v>群体奇术</v>
      </c>
      <c r="AI46" s="24">
        <f>VLOOKUP($R46,武学奇术!$A:$ZZ,26,FALSE)</f>
        <v>1.4904</v>
      </c>
      <c r="AJ46" s="25">
        <f>VLOOKUP($R46,武学奇术!$A:$ZZ,27,FALSE)*(1+IF(OR($AH46=$F$4,$AH46=$F$5),$B$22,0))</f>
        <v>368</v>
      </c>
      <c r="AK46" s="24">
        <f>VLOOKUP($R46,武学奇术!$A:$ZZ,28,FALSE)</f>
        <v>2.2353</v>
      </c>
      <c r="AL46" s="25">
        <f>VLOOKUP($R46,武学奇术!$A:$ZZ,29,FALSE)*(1+IF(OR($AH46=$F$4,$AH46=$F$5),$B$22,0))</f>
        <v>0</v>
      </c>
      <c r="AM46" s="24" cm="1">
        <f t="array" ref="AM46">$G$3+IFERROR(VLOOKUP($AH46,$F$4:$G$7,2,FALSE),0)+VLOOKUP($R46,武学奇术!$A:$ZZ,2,FALSE)+SUM(_xlfn.XLOOKUP($S46:$AG46,增益!$A:$A,增益!$B:$B,0))</f>
        <v>0.3987</v>
      </c>
      <c r="AN46" s="24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1364.4</v>
      </c>
      <c r="AP46" cm="1">
        <f t="array" ref="AP46">$E$10*(1+$AN46)+VLOOKUP($R46,武学奇术!$A:$ZZ,4,FALSE)+SUM(_xlfn.XLOOKUP($S46:$AG46,增益!$A:$A,增益!$D:$D,0))-$I$2</f>
        <v>6174.4</v>
      </c>
      <c r="AQ46" s="32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0.2925</v>
      </c>
      <c r="AR46" s="32" cm="1">
        <f t="array" ref="AR46">$G$10+VLOOKUP($R46,武学奇术!$A:$ZZ,7,FALSE)+SUM(_xlfn.XLOOKUP(S46:AG46,增益!$A:$A,增益!$G:$G,0))</f>
        <v>0</v>
      </c>
      <c r="AS46" s="24" cm="1">
        <f t="array" ref="AS46">VLOOKUP($R46,武学奇术!$A:$ZZ,8,FALSE)+SUM(_xlfn.XLOOKUP(S46:AG46,增益!$A:$A,增益!$H:$H,0))</f>
        <v>0</v>
      </c>
      <c r="AT46">
        <f t="shared" si="18"/>
        <v>557.3</v>
      </c>
      <c r="AU46">
        <f t="shared" si="19"/>
        <v>1049.5</v>
      </c>
      <c r="AV46" s="32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2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32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2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32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2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32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2" cm="1">
        <f t="array" ref="BI46">$G$14+VLOOKUP($R46,武学奇术!$A:$ZZ,16,FALSE)+SUM(_xlfn.XLOOKUP(S46:AG46,增益!$A:$A,增益!$P:$P,0))</f>
        <v>0</v>
      </c>
      <c r="BJ46" s="24">
        <f>MIN(IF(VLOOKUP($R46,武学奇术!$A:$ZZ,23,FALSE)=1,100%,$B$8),100%)</f>
        <v>0.8271</v>
      </c>
      <c r="BK46" s="24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0.1789</v>
      </c>
      <c r="BL46" s="24" cm="1">
        <f t="array" ref="BL46">1+$B$13+VLOOKUP($R46,武学奇术!$A:$ZZ,18,FALSE)+SUM(_xlfn.XLOOKUP(S46:AG46,增益!$A:$A,增益!$R:$R,0))</f>
        <v>1.5</v>
      </c>
      <c r="BM46" s="24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0.5509</v>
      </c>
      <c r="BN46" s="24" cm="1">
        <f t="array" ref="BN46">1+$B$14+VLOOKUP($R46,武学奇术!$A:$ZZ,20,FALSE)+SUM(_xlfn.XLOOKUP(S46:AG46,增益!$A:$A,增益!$T:$T,0))</f>
        <v>1.882</v>
      </c>
      <c r="BO46" s="24">
        <f t="shared" si="11"/>
        <v>0.14796819</v>
      </c>
      <c r="BP46" s="24">
        <f t="shared" si="17"/>
        <v>0.22348242</v>
      </c>
      <c r="BQ46" s="24">
        <f>IF(VLOOKUP($R46,武学奇术!$A:$ZZ,22,FALSE)=1,0,(1-$BJ46))*(1-$BM46)</f>
        <v>0.07764939</v>
      </c>
      <c r="BR46" s="24" cm="1">
        <f t="array" ref="BR46">SUM(_xlfn.XLOOKUP(S46:AG46,增益!$A:$A,增益!$W:$W,0))+$I$5</f>
        <v>0.11</v>
      </c>
    </row>
    <row r="47" spans="1:70">
      <c r="A47" s="86" t="s">
        <v>146</v>
      </c>
      <c r="B47" s="86">
        <v>3.5</v>
      </c>
      <c r="C47" s="38"/>
      <c r="F47" s="38"/>
      <c r="G47">
        <v>-50</v>
      </c>
      <c r="K47" s="30">
        <f>$L47*VLOOKUP($R47,武学奇术!$A:$ZZ,31,FALSE)</f>
        <v>30272.636726707</v>
      </c>
      <c r="L47" s="30">
        <f t="shared" si="12"/>
        <v>27520.5788424609</v>
      </c>
      <c r="M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22971.5542812299</v>
      </c>
      <c r="N47" s="30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41910.4776624604</v>
      </c>
      <c r="O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15314.3695208199</v>
      </c>
      <c r="P47" s="30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7109.95247460259</v>
      </c>
      <c r="Q47" s="38">
        <v>1</v>
      </c>
      <c r="R47" s="39" t="s">
        <v>71</v>
      </c>
      <c r="S47" s="39" t="s">
        <v>143</v>
      </c>
      <c r="T47" s="39" t="s">
        <v>75</v>
      </c>
      <c r="U47" s="39" t="s">
        <v>114</v>
      </c>
      <c r="V47" s="39" t="s">
        <v>74</v>
      </c>
      <c r="W47" s="39" t="s">
        <v>75</v>
      </c>
      <c r="X47" s="39" t="s">
        <v>75</v>
      </c>
      <c r="Y47" s="39" t="s">
        <v>75</v>
      </c>
      <c r="Z47" s="39" t="s">
        <v>75</v>
      </c>
      <c r="AA47" s="39" t="s">
        <v>103</v>
      </c>
      <c r="AB47" s="39" t="s">
        <v>75</v>
      </c>
      <c r="AC47" s="39" t="s">
        <v>75</v>
      </c>
      <c r="AD47" s="39" t="s">
        <v>75</v>
      </c>
      <c r="AE47" s="39" t="s">
        <v>75</v>
      </c>
      <c r="AF47" s="39" t="s">
        <v>75</v>
      </c>
      <c r="AG47" s="39" t="s">
        <v>76</v>
      </c>
      <c r="AH47" t="str">
        <f>VLOOKUP($R47,武学奇术!$A:$ZZ,25,FALSE)</f>
        <v>群体奇术</v>
      </c>
      <c r="AI47" s="24">
        <f>VLOOKUP($R47,武学奇术!$A:$ZZ,26,FALSE)</f>
        <v>1.4904</v>
      </c>
      <c r="AJ47" s="25">
        <f>VLOOKUP($R47,武学奇术!$A:$ZZ,27,FALSE)*(1+IF(OR($AH47=$F$4,$AH47=$F$5),$B$22,0))</f>
        <v>368</v>
      </c>
      <c r="AK47" s="24">
        <f>VLOOKUP($R47,武学奇术!$A:$ZZ,28,FALSE)</f>
        <v>2.2353</v>
      </c>
      <c r="AL47" s="25">
        <f>VLOOKUP($R47,武学奇术!$A:$ZZ,29,FALSE)*(1+IF(OR($AH47=$F$4,$AH47=$F$5),$B$22,0))</f>
        <v>0</v>
      </c>
      <c r="AM47" s="24" cm="1">
        <f t="array" ref="AM47">$G$3+IFERROR(VLOOKUP($AH47,$F$4:$G$7,2,FALSE),0)+VLOOKUP($R47,武学奇术!$A:$ZZ,2,FALSE)+SUM(_xlfn.XLOOKUP($S47:$AG47,增益!$A:$A,增益!$B:$B,0))</f>
        <v>0.3987</v>
      </c>
      <c r="AN47" s="24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1364.4</v>
      </c>
      <c r="AP47" cm="1">
        <f t="array" ref="AP47">$E$10*(1+$AN47)+VLOOKUP($R47,武学奇术!$A:$ZZ,4,FALSE)+SUM(_xlfn.XLOOKUP($S47:$AG47,增益!$A:$A,增益!$D:$D,0))-$I$2</f>
        <v>6174.4</v>
      </c>
      <c r="AQ47" s="32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0.2925</v>
      </c>
      <c r="AR47" s="32" cm="1">
        <f t="array" ref="AR47">$G$10+VLOOKUP($R47,武学奇术!$A:$ZZ,7,FALSE)+SUM(_xlfn.XLOOKUP(S47:AG47,增益!$A:$A,增益!$G:$G,0))</f>
        <v>0</v>
      </c>
      <c r="AS47" s="24" cm="1">
        <f t="array" ref="AS47">VLOOKUP($R47,武学奇术!$A:$ZZ,8,FALSE)+SUM(_xlfn.XLOOKUP(S47:AG47,增益!$A:$A,增益!$H:$H,0))</f>
        <v>0</v>
      </c>
      <c r="AT47">
        <f t="shared" si="18"/>
        <v>557.3</v>
      </c>
      <c r="AU47">
        <f t="shared" si="19"/>
        <v>1049.5</v>
      </c>
      <c r="AV47" s="32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2" cm="1">
        <f t="array" ref="AW47">$G$11+VLOOKUP($R47,武学奇术!$A:$ZZ,10,FALSE)+SUM(_xlfn.XLOOKUP(S47:AG47,增益!$A:$A,增益!$J:$J,0))</f>
        <v>0.15</v>
      </c>
      <c r="AX47">
        <f t="shared" si="20"/>
        <v>0</v>
      </c>
      <c r="AY47">
        <f t="shared" si="21"/>
        <v>0</v>
      </c>
      <c r="AZ47" s="32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2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32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2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32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2" cm="1">
        <f t="array" ref="BI47">$G$14+VLOOKUP($R47,武学奇术!$A:$ZZ,16,FALSE)+SUM(_xlfn.XLOOKUP(S47:AG47,增益!$A:$A,增益!$P:$P,0))</f>
        <v>0</v>
      </c>
      <c r="BJ47" s="24">
        <f>MIN(IF(VLOOKUP($R47,武学奇术!$A:$ZZ,23,FALSE)=1,100%,$B$8),100%)</f>
        <v>0.8271</v>
      </c>
      <c r="BK47" s="24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0.1789</v>
      </c>
      <c r="BL47" s="24" cm="1">
        <f t="array" ref="BL47">1+$B$13+VLOOKUP($R47,武学奇术!$A:$ZZ,18,FALSE)+SUM(_xlfn.XLOOKUP(S47:AG47,增益!$A:$A,增益!$R:$R,0))</f>
        <v>1.5</v>
      </c>
      <c r="BM47" s="24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4" cm="1">
        <f t="array" ref="BN47">1+$B$14+VLOOKUP($R47,武学奇术!$A:$ZZ,20,FALSE)+SUM(_xlfn.XLOOKUP(S47:AG47,增益!$A:$A,增益!$T:$T,0))</f>
        <v>1.782</v>
      </c>
      <c r="BO47" s="24">
        <f t="shared" si="11"/>
        <v>0.14796819</v>
      </c>
      <c r="BP47" s="24">
        <f t="shared" si="17"/>
        <v>0.31032792</v>
      </c>
      <c r="BQ47" s="24">
        <f>IF(VLOOKUP($R47,武学奇术!$A:$ZZ,22,FALSE)=1,0,(1-$BJ47))*(1-$BM47)</f>
        <v>0.09580389</v>
      </c>
      <c r="BR47" s="24" cm="1">
        <f t="array" ref="BR47">SUM(_xlfn.XLOOKUP(S47:AG47,增益!$A:$A,增益!$W:$W,0))+$I$5</f>
        <v>0.11</v>
      </c>
    </row>
    <row r="48" spans="1:70">
      <c r="A48" s="86" t="s">
        <v>156</v>
      </c>
      <c r="B48" s="86">
        <v>1.1</v>
      </c>
      <c r="C48" s="38"/>
      <c r="E48" s="38" t="s">
        <v>146</v>
      </c>
      <c r="F48" s="38"/>
      <c r="K48" s="30">
        <f>$L48*VLOOKUP($R48,武学奇术!$A:$ZZ,31,FALSE)</f>
        <v>28657.9957693754</v>
      </c>
      <c r="L48" s="30">
        <f t="shared" si="12"/>
        <v>26052.7234267049</v>
      </c>
      <c r="M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19212.621199845</v>
      </c>
      <c r="N48" s="30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36021.9826277588</v>
      </c>
      <c r="O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12808.41413323</v>
      </c>
      <c r="P48" s="30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6476.56119538731</v>
      </c>
      <c r="Q48" s="38">
        <v>1</v>
      </c>
      <c r="R48" s="39" t="s">
        <v>93</v>
      </c>
      <c r="S48" s="39" t="s">
        <v>143</v>
      </c>
      <c r="T48" s="39" t="s">
        <v>69</v>
      </c>
      <c r="U48" s="39" t="s">
        <v>73</v>
      </c>
      <c r="V48" s="39" t="s">
        <v>74</v>
      </c>
      <c r="W48" s="39" t="s">
        <v>75</v>
      </c>
      <c r="X48" s="39" t="s">
        <v>75</v>
      </c>
      <c r="Y48" s="39" t="s">
        <v>75</v>
      </c>
      <c r="Z48" s="39" t="s">
        <v>75</v>
      </c>
      <c r="AA48" s="39" t="s">
        <v>103</v>
      </c>
      <c r="AB48" s="39" t="s">
        <v>75</v>
      </c>
      <c r="AC48" s="39" t="s">
        <v>75</v>
      </c>
      <c r="AD48" s="39" t="s">
        <v>75</v>
      </c>
      <c r="AE48" s="39" t="s">
        <v>75</v>
      </c>
      <c r="AF48" s="39" t="s">
        <v>75</v>
      </c>
      <c r="AG48" s="39" t="s">
        <v>76</v>
      </c>
      <c r="AH48" t="str">
        <f>VLOOKUP($R48,武学奇术!$A:$ZZ,25,FALSE)</f>
        <v>剑</v>
      </c>
      <c r="AI48" s="24">
        <f>VLOOKUP($R48,武学奇术!$A:$ZZ,26,FALSE)</f>
        <v>1.0253</v>
      </c>
      <c r="AJ48" s="25">
        <f>VLOOKUP($R48,武学奇术!$A:$ZZ,27,FALSE)*(1+IF(OR($AH48=$F$4,$AH48=$F$5),$B$22,0))</f>
        <v>396.2</v>
      </c>
      <c r="AK48" s="24">
        <f>VLOOKUP($R48,武学奇术!$A:$ZZ,28,FALSE)</f>
        <v>1.538</v>
      </c>
      <c r="AL48" s="25">
        <f>VLOOKUP($R48,武学奇术!$A:$ZZ,29,FALSE)*(1+IF(OR($AH48=$F$4,$AH48=$F$5),$B$22,0))</f>
        <v>215.6</v>
      </c>
      <c r="AM48" s="24" cm="1">
        <f t="array" ref="AM48">$G$3+IFERROR(VLOOKUP($AH48,$F$4:$G$7,2,FALSE),0)+VLOOKUP($R48,武学奇术!$A:$ZZ,2,FALSE)+SUM(_xlfn.XLOOKUP($S48:$AG48,增益!$A:$A,增益!$B:$B,0))</f>
        <v>0.5691</v>
      </c>
      <c r="AN48" s="24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1364.4</v>
      </c>
      <c r="AP48" cm="1">
        <f t="array" ref="AP48">$E$10*(1+$AN48)+VLOOKUP($R48,武学奇术!$A:$ZZ,4,FALSE)+SUM(_xlfn.XLOOKUP($S48:$AG48,增益!$A:$A,增益!$D:$D,0))-$I$2</f>
        <v>6174.4</v>
      </c>
      <c r="AQ48" s="32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0.2925</v>
      </c>
      <c r="AR48" s="32" cm="1">
        <f t="array" ref="AR48">$G$10+VLOOKUP($R48,武学奇术!$A:$ZZ,7,FALSE)+SUM(_xlfn.XLOOKUP(S48:AG48,增益!$A:$A,增益!$G:$G,0))</f>
        <v>0</v>
      </c>
      <c r="AS48" s="24" cm="1">
        <f t="array" ref="AS48">VLOOKUP($R48,武学奇术!$A:$ZZ,8,FALSE)+SUM(_xlfn.XLOOKUP(S48:AG48,增益!$A:$A,增益!$H:$H,0))</f>
        <v>0</v>
      </c>
      <c r="AT48">
        <f t="shared" si="18"/>
        <v>557.3</v>
      </c>
      <c r="AU48">
        <f t="shared" si="19"/>
        <v>1049.5</v>
      </c>
      <c r="AV48" s="32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2" cm="1">
        <f t="array" ref="AW48">$G$11+VLOOKUP($R48,武学奇术!$A:$ZZ,10,FALSE)+SUM(_xlfn.XLOOKUP(S48:AG48,增益!$A:$A,增益!$J:$J,0))</f>
        <v>0.15</v>
      </c>
      <c r="AX48">
        <f t="shared" si="20"/>
        <v>0</v>
      </c>
      <c r="AY48">
        <f t="shared" si="21"/>
        <v>0</v>
      </c>
      <c r="AZ48" s="32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2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32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2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32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2" cm="1">
        <f t="array" ref="BI48">$G$14+VLOOKUP($R48,武学奇术!$A:$ZZ,16,FALSE)+SUM(_xlfn.XLOOKUP(S48:AG48,增益!$A:$A,增益!$P:$P,0))</f>
        <v>0</v>
      </c>
      <c r="BJ48" s="24">
        <f>MIN(IF(VLOOKUP($R48,武学奇术!$A:$ZZ,23,FALSE)=1,100%,$B$8),100%)</f>
        <v>0.8271</v>
      </c>
      <c r="BK48" s="24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0.1789</v>
      </c>
      <c r="BL48" s="24" cm="1">
        <f t="array" ref="BL48">1+$B$13+VLOOKUP($R48,武学奇术!$A:$ZZ,18,FALSE)+SUM(_xlfn.XLOOKUP(S48:AG48,增益!$A:$A,增益!$R:$R,0))</f>
        <v>1.5</v>
      </c>
      <c r="BM48" s="24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0.5509</v>
      </c>
      <c r="BN48" s="24" cm="1">
        <f t="array" ref="BN48">1+$B$14+VLOOKUP($R48,武学奇术!$A:$ZZ,20,FALSE)+SUM(_xlfn.XLOOKUP(S48:AG48,增益!$A:$A,增益!$T:$T,0))</f>
        <v>1.882</v>
      </c>
      <c r="BO48" s="24">
        <f t="shared" si="11"/>
        <v>0.14796819</v>
      </c>
      <c r="BP48" s="24">
        <f t="shared" si="17"/>
        <v>0.22348242</v>
      </c>
      <c r="BQ48" s="24">
        <f>IF(VLOOKUP($R48,武学奇术!$A:$ZZ,22,FALSE)=1,0,(1-$BJ48))*(1-$BM48)</f>
        <v>0.07764939</v>
      </c>
      <c r="BR48" s="24" cm="1">
        <f t="array" ref="BR48">SUM(_xlfn.XLOOKUP(S48:AG48,增益!$A:$A,增益!$W:$W,0))+$I$5</f>
        <v>0.11</v>
      </c>
    </row>
    <row r="49" spans="1:70">
      <c r="A49" s="86" t="s">
        <v>150</v>
      </c>
      <c r="B49" s="86">
        <v>2.33</v>
      </c>
      <c r="E49" s="38"/>
      <c r="F49" s="38"/>
      <c r="K49" s="30">
        <f>$L49*VLOOKUP($R49,武学奇术!$A:$ZZ,31,FALSE)</f>
        <v>310839.660589361</v>
      </c>
      <c r="L49" s="30">
        <f t="shared" si="12"/>
        <v>282581.509626692</v>
      </c>
      <c r="M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194252.133323155</v>
      </c>
      <c r="N49" s="30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399003.582873709</v>
      </c>
      <c r="O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129501.422215436</v>
      </c>
      <c r="P49" s="30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65499.6519605971</v>
      </c>
      <c r="Q49" s="38">
        <v>1</v>
      </c>
      <c r="R49" s="39" t="s">
        <v>96</v>
      </c>
      <c r="S49" s="39" t="s">
        <v>143</v>
      </c>
      <c r="T49" s="39" t="s">
        <v>69</v>
      </c>
      <c r="U49" s="39" t="s">
        <v>73</v>
      </c>
      <c r="V49" s="39" t="s">
        <v>74</v>
      </c>
      <c r="W49" s="39" t="s">
        <v>109</v>
      </c>
      <c r="X49" s="39" t="s">
        <v>97</v>
      </c>
      <c r="Y49" s="39" t="s">
        <v>80</v>
      </c>
      <c r="Z49" s="39" t="s">
        <v>98</v>
      </c>
      <c r="AA49" s="39" t="s">
        <v>103</v>
      </c>
      <c r="AB49" s="39" t="s">
        <v>75</v>
      </c>
      <c r="AC49" s="39" t="s">
        <v>75</v>
      </c>
      <c r="AD49" s="39" t="s">
        <v>75</v>
      </c>
      <c r="AE49" s="39" t="s">
        <v>75</v>
      </c>
      <c r="AF49" s="39" t="s">
        <v>75</v>
      </c>
      <c r="AG49" s="39" t="s">
        <v>76</v>
      </c>
      <c r="AH49" t="str">
        <f>VLOOKUP($R49,武学奇术!$A:$ZZ,25,FALSE)</f>
        <v>剑</v>
      </c>
      <c r="AI49" s="24">
        <f>VLOOKUP($R49,武学奇术!$A:$ZZ,26,FALSE)</f>
        <v>4.7037</v>
      </c>
      <c r="AJ49" s="25">
        <f>VLOOKUP($R49,武学奇术!$A:$ZZ,27,FALSE)*(1+IF(OR($AH49=$F$4,$AH49=$F$5),$B$22,0))</f>
        <v>1820</v>
      </c>
      <c r="AK49" s="24">
        <f>VLOOKUP($R49,武学奇术!$A:$ZZ,28,FALSE)</f>
        <v>7.0554</v>
      </c>
      <c r="AL49" s="25">
        <f>VLOOKUP($R49,武学奇术!$A:$ZZ,29,FALSE)*(1+IF(OR($AH49=$F$4,$AH49=$F$5),$B$22,0))</f>
        <v>992.6</v>
      </c>
      <c r="AM49" s="24" cm="1">
        <f t="array" ref="AM49">$G$3+IFERROR(VLOOKUP($AH49,$F$4:$G$7,2,FALSE),0)+VLOOKUP($R49,武学奇术!$A:$ZZ,2,FALSE)+SUM(_xlfn.XLOOKUP($S49:$AG49,增益!$A:$A,增益!$B:$B,0))</f>
        <v>1.6191</v>
      </c>
      <c r="AN49" s="24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1364.4</v>
      </c>
      <c r="AP49" cm="1">
        <f t="array" ref="AP49">$E$10*(1+$AN49)+VLOOKUP($R49,武学奇术!$A:$ZZ,4,FALSE)+SUM(_xlfn.XLOOKUP($S49:$AG49,增益!$A:$A,增益!$D:$D,0))-$I$2</f>
        <v>6174.4</v>
      </c>
      <c r="AQ49" s="32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0.2925</v>
      </c>
      <c r="AR49" s="32" cm="1">
        <f t="array" ref="AR49">$G$10+VLOOKUP($R49,武学奇术!$A:$ZZ,7,FALSE)+SUM(_xlfn.XLOOKUP(S49:AG49,增益!$A:$A,增益!$G:$G,0))</f>
        <v>0</v>
      </c>
      <c r="AS49" s="24" cm="1">
        <f t="array" ref="AS49">VLOOKUP($R49,武学奇术!$A:$ZZ,8,FALSE)+SUM(_xlfn.XLOOKUP(S49:AG49,增益!$A:$A,增益!$H:$H,0))</f>
        <v>0</v>
      </c>
      <c r="AT49">
        <f t="shared" si="18"/>
        <v>557.3</v>
      </c>
      <c r="AU49">
        <f t="shared" si="19"/>
        <v>1049.5</v>
      </c>
      <c r="AV49" s="32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2" cm="1">
        <f t="array" ref="AW49">$G$11+VLOOKUP($R49,武学奇术!$A:$ZZ,10,FALSE)+SUM(_xlfn.XLOOKUP(S49:AG49,增益!$A:$A,增益!$J:$J,0))</f>
        <v>0.15</v>
      </c>
      <c r="AX49">
        <f t="shared" si="20"/>
        <v>0</v>
      </c>
      <c r="AY49">
        <f t="shared" si="21"/>
        <v>0</v>
      </c>
      <c r="AZ49" s="32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2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32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2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32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2" cm="1">
        <f t="array" ref="BI49">$G$14+VLOOKUP($R49,武学奇术!$A:$ZZ,16,FALSE)+SUM(_xlfn.XLOOKUP(S49:AG49,增益!$A:$A,增益!$P:$P,0))</f>
        <v>0</v>
      </c>
      <c r="BJ49" s="24">
        <f>MIN(IF(VLOOKUP($R49,武学奇术!$A:$ZZ,23,FALSE)=1,100%,$B$8),100%)</f>
        <v>0.8271</v>
      </c>
      <c r="BK49" s="24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0.1789</v>
      </c>
      <c r="BL49" s="24" cm="1">
        <f t="array" ref="BL49">1+$B$13+VLOOKUP($R49,武学奇术!$A:$ZZ,18,FALSE)+SUM(_xlfn.XLOOKUP(S49:AG49,增益!$A:$A,增益!$R:$R,0))</f>
        <v>1.5</v>
      </c>
      <c r="BM49" s="24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0.5509</v>
      </c>
      <c r="BN49" s="24" cm="1">
        <f t="array" ref="BN49">1+$B$14+VLOOKUP($R49,武学奇术!$A:$ZZ,20,FALSE)+SUM(_xlfn.XLOOKUP(S49:AG49,增益!$A:$A,增益!$T:$T,0))</f>
        <v>2.062</v>
      </c>
      <c r="BO49" s="24">
        <f t="shared" si="11"/>
        <v>0.14796819</v>
      </c>
      <c r="BP49" s="24">
        <f t="shared" si="17"/>
        <v>0.22348242</v>
      </c>
      <c r="BQ49" s="24">
        <f>IF(VLOOKUP($R49,武学奇术!$A:$ZZ,22,FALSE)=1,0,(1-$BJ49))*(1-$BM49)</f>
        <v>0.07764939</v>
      </c>
      <c r="BR49" s="24" cm="1">
        <f t="array" ref="BR49">SUM(_xlfn.XLOOKUP(S49:AG49,增益!$A:$A,增益!$W:$W,0))+$I$5</f>
        <v>0.11</v>
      </c>
    </row>
    <row r="50" spans="1:70">
      <c r="A50" s="86" t="s">
        <v>145</v>
      </c>
      <c r="B50" s="86">
        <v>1</v>
      </c>
      <c r="E50" s="38"/>
      <c r="F50" s="38"/>
      <c r="K50" s="30">
        <f>$L50*VLOOKUP($R50,武学奇术!$A:$ZZ,31,FALSE)</f>
        <v>268942.910793956</v>
      </c>
      <c r="L50" s="30">
        <f t="shared" si="12"/>
        <v>244493.555267232</v>
      </c>
      <c r="M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194252.133323155</v>
      </c>
      <c r="N50" s="30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379653.263626681</v>
      </c>
      <c r="O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129501.422215436</v>
      </c>
      <c r="P50" s="30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65499.6519605971</v>
      </c>
      <c r="Q50" s="38">
        <v>1</v>
      </c>
      <c r="R50" s="39" t="s">
        <v>96</v>
      </c>
      <c r="S50" s="39" t="s">
        <v>143</v>
      </c>
      <c r="T50" s="39" t="s">
        <v>75</v>
      </c>
      <c r="U50" s="39" t="s">
        <v>114</v>
      </c>
      <c r="V50" s="39" t="s">
        <v>74</v>
      </c>
      <c r="W50" s="39" t="s">
        <v>109</v>
      </c>
      <c r="X50" s="39" t="s">
        <v>97</v>
      </c>
      <c r="Y50" s="39" t="s">
        <v>80</v>
      </c>
      <c r="Z50" s="39" t="s">
        <v>98</v>
      </c>
      <c r="AA50" s="39" t="s">
        <v>103</v>
      </c>
      <c r="AB50" s="39" t="s">
        <v>75</v>
      </c>
      <c r="AC50" s="39" t="s">
        <v>75</v>
      </c>
      <c r="AD50" s="39" t="s">
        <v>75</v>
      </c>
      <c r="AE50" s="39" t="s">
        <v>75</v>
      </c>
      <c r="AF50" s="39" t="s">
        <v>75</v>
      </c>
      <c r="AG50" s="39" t="s">
        <v>76</v>
      </c>
      <c r="AH50" t="str">
        <f>VLOOKUP($R50,武学奇术!$A:$ZZ,25,FALSE)</f>
        <v>剑</v>
      </c>
      <c r="AI50" s="24">
        <f>VLOOKUP($R50,武学奇术!$A:$ZZ,26,FALSE)</f>
        <v>4.7037</v>
      </c>
      <c r="AJ50" s="25">
        <f>VLOOKUP($R50,武学奇术!$A:$ZZ,27,FALSE)*(1+IF(OR($AH50=$F$4,$AH50=$F$5),$B$22,0))</f>
        <v>1820</v>
      </c>
      <c r="AK50" s="24">
        <f>VLOOKUP($R50,武学奇术!$A:$ZZ,28,FALSE)</f>
        <v>7.0554</v>
      </c>
      <c r="AL50" s="25">
        <f>VLOOKUP($R50,武学奇术!$A:$ZZ,29,FALSE)*(1+IF(OR($AH50=$F$4,$AH50=$F$5),$B$22,0))</f>
        <v>992.6</v>
      </c>
      <c r="AM50" s="24" cm="1">
        <f t="array" ref="AM50">$G$3+IFERROR(VLOOKUP($AH50,$F$4:$G$7,2,FALSE),0)+VLOOKUP($R50,武学奇术!$A:$ZZ,2,FALSE)+SUM(_xlfn.XLOOKUP($S50:$AG50,增益!$A:$A,增益!$B:$B,0))</f>
        <v>1.6191</v>
      </c>
      <c r="AN50" s="24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1364.4</v>
      </c>
      <c r="AP50" cm="1">
        <f t="array" ref="AP50">$E$10*(1+$AN50)+VLOOKUP($R50,武学奇术!$A:$ZZ,4,FALSE)+SUM(_xlfn.XLOOKUP($S50:$AG50,增益!$A:$A,增益!$D:$D,0))-$I$2</f>
        <v>6174.4</v>
      </c>
      <c r="AQ50" s="32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0.2925</v>
      </c>
      <c r="AR50" s="32" cm="1">
        <f t="array" ref="AR50">$G$10+VLOOKUP($R50,武学奇术!$A:$ZZ,7,FALSE)+SUM(_xlfn.XLOOKUP(S50:AG50,增益!$A:$A,增益!$G:$G,0))</f>
        <v>0</v>
      </c>
      <c r="AS50" s="24" cm="1">
        <f t="array" ref="AS50">VLOOKUP($R50,武学奇术!$A:$ZZ,8,FALSE)+SUM(_xlfn.XLOOKUP(S50:AG50,增益!$A:$A,增益!$H:$H,0))</f>
        <v>0</v>
      </c>
      <c r="AT50">
        <f t="shared" si="18"/>
        <v>557.3</v>
      </c>
      <c r="AU50">
        <f t="shared" si="19"/>
        <v>1049.5</v>
      </c>
      <c r="AV50" s="32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2" cm="1">
        <f t="array" ref="AW50">$G$11+VLOOKUP($R50,武学奇术!$A:$ZZ,10,FALSE)+SUM(_xlfn.XLOOKUP(S50:AG50,增益!$A:$A,增益!$J:$J,0))</f>
        <v>0.15</v>
      </c>
      <c r="AX50">
        <f t="shared" si="20"/>
        <v>0</v>
      </c>
      <c r="AY50">
        <f t="shared" si="21"/>
        <v>0</v>
      </c>
      <c r="AZ50" s="32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2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32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2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32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2" cm="1">
        <f t="array" ref="BI50">$G$14+VLOOKUP($R50,武学奇术!$A:$ZZ,16,FALSE)+SUM(_xlfn.XLOOKUP(S50:AG50,增益!$A:$A,增益!$P:$P,0))</f>
        <v>0</v>
      </c>
      <c r="BJ50" s="24">
        <f>MIN(IF(VLOOKUP($R50,武学奇术!$A:$ZZ,23,FALSE)=1,100%,$B$8),100%)</f>
        <v>0.8271</v>
      </c>
      <c r="BK50" s="24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0.1789</v>
      </c>
      <c r="BL50" s="24" cm="1">
        <f t="array" ref="BL50">1+$B$13+VLOOKUP($R50,武学奇术!$A:$ZZ,18,FALSE)+SUM(_xlfn.XLOOKUP(S50:AG50,增益!$A:$A,增益!$R:$R,0))</f>
        <v>1.5</v>
      </c>
      <c r="BM50" s="24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4" cm="1">
        <f t="array" ref="BN50">1+$B$14+VLOOKUP($R50,武学奇术!$A:$ZZ,20,FALSE)+SUM(_xlfn.XLOOKUP(S50:AG50,增益!$A:$A,增益!$T:$T,0))</f>
        <v>1.962</v>
      </c>
      <c r="BO50" s="24">
        <f t="shared" si="11"/>
        <v>0.14796819</v>
      </c>
      <c r="BP50" s="24">
        <f t="shared" si="17"/>
        <v>0.31032792</v>
      </c>
      <c r="BQ50" s="24">
        <f>IF(VLOOKUP($R50,武学奇术!$A:$ZZ,22,FALSE)=1,0,(1-$BJ50))*(1-$BM50)</f>
        <v>0.09580389</v>
      </c>
      <c r="BR50" s="24" cm="1">
        <f t="array" ref="BR50">SUM(_xlfn.XLOOKUP(S50:AG50,增益!$A:$A,增益!$W:$W,0))+$I$5</f>
        <v>0.11</v>
      </c>
    </row>
    <row r="51" spans="1:70">
      <c r="A51" s="86" t="s">
        <v>150</v>
      </c>
      <c r="B51" s="86">
        <v>2.33</v>
      </c>
      <c r="C51" s="38" t="s">
        <v>73</v>
      </c>
      <c r="D51" s="38" t="s">
        <v>147</v>
      </c>
      <c r="E51" s="38"/>
      <c r="K51" s="30">
        <f>$L51*VLOOKUP($R51,武学奇术!$A:$ZZ,31,FALSE)</f>
        <v>932518.981768084</v>
      </c>
      <c r="L51" s="30">
        <f t="shared" si="12"/>
        <v>847744.528880076</v>
      </c>
      <c r="M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582756.399969464</v>
      </c>
      <c r="N51" s="30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1197010.74862113</v>
      </c>
      <c r="O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388504.266646309</v>
      </c>
      <c r="P51" s="30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196498.955881791</v>
      </c>
      <c r="Q51" s="38">
        <v>3</v>
      </c>
      <c r="R51" s="39" t="s">
        <v>96</v>
      </c>
      <c r="S51" s="39" t="s">
        <v>143</v>
      </c>
      <c r="T51" s="39" t="s">
        <v>69</v>
      </c>
      <c r="U51" s="39" t="s">
        <v>73</v>
      </c>
      <c r="V51" s="39" t="s">
        <v>74</v>
      </c>
      <c r="W51" s="39" t="s">
        <v>109</v>
      </c>
      <c r="X51" s="39" t="s">
        <v>97</v>
      </c>
      <c r="Y51" s="39" t="s">
        <v>80</v>
      </c>
      <c r="Z51" s="39" t="s">
        <v>98</v>
      </c>
      <c r="AA51" s="39" t="s">
        <v>103</v>
      </c>
      <c r="AB51" s="39" t="s">
        <v>75</v>
      </c>
      <c r="AC51" s="39" t="s">
        <v>75</v>
      </c>
      <c r="AD51" s="39" t="s">
        <v>75</v>
      </c>
      <c r="AE51" s="39" t="s">
        <v>75</v>
      </c>
      <c r="AF51" s="39" t="s">
        <v>75</v>
      </c>
      <c r="AG51" s="39" t="s">
        <v>76</v>
      </c>
      <c r="AH51" t="str">
        <f>VLOOKUP($R51,武学奇术!$A:$ZZ,25,FALSE)</f>
        <v>剑</v>
      </c>
      <c r="AI51" s="24">
        <f>VLOOKUP($R51,武学奇术!$A:$ZZ,26,FALSE)</f>
        <v>4.7037</v>
      </c>
      <c r="AJ51" s="25">
        <f>VLOOKUP($R51,武学奇术!$A:$ZZ,27,FALSE)*(1+IF(OR($AH51=$F$4,$AH51=$F$5),$B$22,0))</f>
        <v>1820</v>
      </c>
      <c r="AK51" s="24">
        <f>VLOOKUP($R51,武学奇术!$A:$ZZ,28,FALSE)</f>
        <v>7.0554</v>
      </c>
      <c r="AL51" s="25">
        <f>VLOOKUP($R51,武学奇术!$A:$ZZ,29,FALSE)*(1+IF(OR($AH51=$F$4,$AH51=$F$5),$B$22,0))</f>
        <v>992.6</v>
      </c>
      <c r="AM51" s="24" cm="1">
        <f t="array" ref="AM51">$G$3+IFERROR(VLOOKUP($AH51,$F$4:$G$7,2,FALSE),0)+VLOOKUP($R51,武学奇术!$A:$ZZ,2,FALSE)+SUM(_xlfn.XLOOKUP($S51:$AG51,增益!$A:$A,增益!$B:$B,0))</f>
        <v>1.6191</v>
      </c>
      <c r="AN51" s="24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1364.4</v>
      </c>
      <c r="AP51" cm="1">
        <f t="array" ref="AP51">$E$10*(1+$AN51)+VLOOKUP($R51,武学奇术!$A:$ZZ,4,FALSE)+SUM(_xlfn.XLOOKUP($S51:$AG51,增益!$A:$A,增益!$D:$D,0))-$I$2</f>
        <v>6174.4</v>
      </c>
      <c r="AQ51" s="32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0.2925</v>
      </c>
      <c r="AR51" s="32" cm="1">
        <f t="array" ref="AR51">$G$10+VLOOKUP($R51,武学奇术!$A:$ZZ,7,FALSE)+SUM(_xlfn.XLOOKUP(S51:AG51,增益!$A:$A,增益!$G:$G,0))</f>
        <v>0</v>
      </c>
      <c r="AS51" s="24" cm="1">
        <f t="array" ref="AS51">VLOOKUP($R51,武学奇术!$A:$ZZ,8,FALSE)+SUM(_xlfn.XLOOKUP(S51:AG51,增益!$A:$A,增益!$H:$H,0))</f>
        <v>0</v>
      </c>
      <c r="AT51">
        <f t="shared" si="18"/>
        <v>557.3</v>
      </c>
      <c r="AU51">
        <f t="shared" si="19"/>
        <v>1049.5</v>
      </c>
      <c r="AV51" s="32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2" cm="1">
        <f t="array" ref="AW51">$G$11+VLOOKUP($R51,武学奇术!$A:$ZZ,10,FALSE)+SUM(_xlfn.XLOOKUP(S51:AG51,增益!$A:$A,增益!$J:$J,0))</f>
        <v>0.15</v>
      </c>
      <c r="AX51">
        <f t="shared" si="20"/>
        <v>0</v>
      </c>
      <c r="AY51">
        <f t="shared" si="21"/>
        <v>0</v>
      </c>
      <c r="AZ51" s="32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2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32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2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32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2" cm="1">
        <f t="array" ref="BI51">$G$14+VLOOKUP($R51,武学奇术!$A:$ZZ,16,FALSE)+SUM(_xlfn.XLOOKUP(S51:AG51,增益!$A:$A,增益!$P:$P,0))</f>
        <v>0</v>
      </c>
      <c r="BJ51" s="24">
        <f>MIN(IF(VLOOKUP($R51,武学奇术!$A:$ZZ,23,FALSE)=1,100%,$B$8),100%)</f>
        <v>0.8271</v>
      </c>
      <c r="BK51" s="24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0.1789</v>
      </c>
      <c r="BL51" s="24" cm="1">
        <f t="array" ref="BL51">1+$B$13+VLOOKUP($R51,武学奇术!$A:$ZZ,18,FALSE)+SUM(_xlfn.XLOOKUP(S51:AG51,增益!$A:$A,增益!$R:$R,0))</f>
        <v>1.5</v>
      </c>
      <c r="BM51" s="24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0.5509</v>
      </c>
      <c r="BN51" s="24" cm="1">
        <f t="array" ref="BN51">1+$B$14+VLOOKUP($R51,武学奇术!$A:$ZZ,20,FALSE)+SUM(_xlfn.XLOOKUP(S51:AG51,增益!$A:$A,增益!$T:$T,0))</f>
        <v>2.062</v>
      </c>
      <c r="BO51" s="24">
        <f t="shared" si="11"/>
        <v>0.14796819</v>
      </c>
      <c r="BP51" s="24">
        <f t="shared" si="17"/>
        <v>0.22348242</v>
      </c>
      <c r="BQ51" s="24">
        <f>IF(VLOOKUP($R51,武学奇术!$A:$ZZ,22,FALSE)=1,0,(1-$BJ51))*(1-$BM51)</f>
        <v>0.07764939</v>
      </c>
      <c r="BR51" s="24" cm="1">
        <f t="array" ref="BR51">SUM(_xlfn.XLOOKUP(S51:AG51,增益!$A:$A,增益!$W:$W,0))+$I$5</f>
        <v>0.11</v>
      </c>
    </row>
    <row r="52" spans="1:70">
      <c r="A52" s="86" t="s">
        <v>150</v>
      </c>
      <c r="B52" s="86">
        <v>2.33</v>
      </c>
      <c r="C52" s="38"/>
      <c r="D52" s="38"/>
      <c r="E52" s="38"/>
      <c r="K52" s="30">
        <f>$L52*VLOOKUP($R52,武学奇术!$A:$ZZ,31,FALSE)</f>
        <v>287103.288508161</v>
      </c>
      <c r="L52" s="30">
        <f t="shared" si="12"/>
        <v>261002.989552874</v>
      </c>
      <c r="M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179418.630721257</v>
      </c>
      <c r="N52" s="30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368534.827738455</v>
      </c>
      <c r="O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119612.420480838</v>
      </c>
      <c r="P52" s="30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60497.9603901647</v>
      </c>
      <c r="Q52" s="38">
        <v>1</v>
      </c>
      <c r="R52" s="39" t="s">
        <v>96</v>
      </c>
      <c r="S52" s="39" t="s">
        <v>143</v>
      </c>
      <c r="T52" s="39" t="s">
        <v>69</v>
      </c>
      <c r="U52" s="39" t="s">
        <v>73</v>
      </c>
      <c r="V52" s="39" t="s">
        <v>75</v>
      </c>
      <c r="W52" s="39" t="s">
        <v>109</v>
      </c>
      <c r="X52" s="39" t="s">
        <v>97</v>
      </c>
      <c r="Y52" s="39" t="s">
        <v>80</v>
      </c>
      <c r="Z52" s="39" t="s">
        <v>98</v>
      </c>
      <c r="AA52" s="39" t="s">
        <v>103</v>
      </c>
      <c r="AB52" s="39" t="s">
        <v>75</v>
      </c>
      <c r="AC52" s="39" t="s">
        <v>75</v>
      </c>
      <c r="AD52" s="39" t="s">
        <v>75</v>
      </c>
      <c r="AE52" s="39" t="s">
        <v>75</v>
      </c>
      <c r="AF52" s="39" t="s">
        <v>75</v>
      </c>
      <c r="AG52" s="39" t="s">
        <v>76</v>
      </c>
      <c r="AH52" t="str">
        <f>VLOOKUP($R52,武学奇术!$A:$ZZ,25,FALSE)</f>
        <v>剑</v>
      </c>
      <c r="AI52" s="24">
        <f>VLOOKUP($R52,武学奇术!$A:$ZZ,26,FALSE)</f>
        <v>4.7037</v>
      </c>
      <c r="AJ52" s="25">
        <f>VLOOKUP($R52,武学奇术!$A:$ZZ,27,FALSE)*(1+IF(OR($AH52=$F$4,$AH52=$F$5),$B$22,0))</f>
        <v>1820</v>
      </c>
      <c r="AK52" s="24">
        <f>VLOOKUP($R52,武学奇术!$A:$ZZ,28,FALSE)</f>
        <v>7.0554</v>
      </c>
      <c r="AL52" s="25">
        <f>VLOOKUP($R52,武学奇术!$A:$ZZ,29,FALSE)*(1+IF(OR($AH52=$F$4,$AH52=$F$5),$B$22,0))</f>
        <v>992.6</v>
      </c>
      <c r="AM52" s="24" cm="1">
        <f t="array" ref="AM52">$G$3+IFERROR(VLOOKUP($AH52,$F$4:$G$7,2,FALSE),0)+VLOOKUP($R52,武学奇术!$A:$ZZ,2,FALSE)+SUM(_xlfn.XLOOKUP($S52:$AG52,增益!$A:$A,增益!$B:$B,0))</f>
        <v>1.4191</v>
      </c>
      <c r="AN52" s="24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1364.4</v>
      </c>
      <c r="AP52" cm="1">
        <f t="array" ref="AP52">$E$10*(1+$AN52)+VLOOKUP($R52,武学奇术!$A:$ZZ,4,FALSE)+SUM(_xlfn.XLOOKUP($S52:$AG52,增益!$A:$A,增益!$D:$D,0))-$I$2</f>
        <v>6174.4</v>
      </c>
      <c r="AQ52" s="32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0.2925</v>
      </c>
      <c r="AR52" s="32" cm="1">
        <f t="array" ref="AR52">$G$10+VLOOKUP($R52,武学奇术!$A:$ZZ,7,FALSE)+SUM(_xlfn.XLOOKUP(S52:AG52,增益!$A:$A,增益!$G:$G,0))</f>
        <v>0</v>
      </c>
      <c r="AS52" s="24" cm="1">
        <f t="array" ref="AS52">VLOOKUP($R52,武学奇术!$A:$ZZ,8,FALSE)+SUM(_xlfn.XLOOKUP(S52:AG52,增益!$A:$A,增益!$H:$H,0))</f>
        <v>0</v>
      </c>
      <c r="AT52">
        <f t="shared" si="18"/>
        <v>557.3</v>
      </c>
      <c r="AU52">
        <f t="shared" si="19"/>
        <v>1049.5</v>
      </c>
      <c r="AV52" s="32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2" cm="1">
        <f t="array" ref="AW52">$G$11+VLOOKUP($R52,武学奇术!$A:$ZZ,10,FALSE)+SUM(_xlfn.XLOOKUP(S52:AG52,增益!$A:$A,增益!$J:$J,0))</f>
        <v>0.15</v>
      </c>
      <c r="AX52">
        <f t="shared" si="20"/>
        <v>0</v>
      </c>
      <c r="AY52">
        <f t="shared" si="21"/>
        <v>0</v>
      </c>
      <c r="AZ52" s="32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2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32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2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32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2" cm="1">
        <f t="array" ref="BI52">$G$14+VLOOKUP($R52,武学奇术!$A:$ZZ,16,FALSE)+SUM(_xlfn.XLOOKUP(S52:AG52,增益!$A:$A,增益!$P:$P,0))</f>
        <v>0</v>
      </c>
      <c r="BJ52" s="24">
        <f>MIN(IF(VLOOKUP($R52,武学奇术!$A:$ZZ,23,FALSE)=1,100%,$B$8),100%)</f>
        <v>0.8271</v>
      </c>
      <c r="BK52" s="24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0.1789</v>
      </c>
      <c r="BL52" s="24" cm="1">
        <f t="array" ref="BL52">1+$B$13+VLOOKUP($R52,武学奇术!$A:$ZZ,18,FALSE)+SUM(_xlfn.XLOOKUP(S52:AG52,增益!$A:$A,增益!$R:$R,0))</f>
        <v>1.5</v>
      </c>
      <c r="BM52" s="24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0.5509</v>
      </c>
      <c r="BN52" s="24" cm="1">
        <f t="array" ref="BN52">1+$B$14+VLOOKUP($R52,武学奇术!$A:$ZZ,20,FALSE)+SUM(_xlfn.XLOOKUP(S52:AG52,增益!$A:$A,增益!$T:$T,0))</f>
        <v>2.062</v>
      </c>
      <c r="BO52" s="24">
        <f t="shared" si="11"/>
        <v>0.14796819</v>
      </c>
      <c r="BP52" s="24">
        <f t="shared" si="17"/>
        <v>0.22348242</v>
      </c>
      <c r="BQ52" s="24">
        <f>IF(VLOOKUP($R52,武学奇术!$A:$ZZ,22,FALSE)=1,0,(1-$BJ52))*(1-$BM52)</f>
        <v>0.07764939</v>
      </c>
      <c r="BR52" s="24" cm="1">
        <f t="array" ref="BR52">SUM(_xlfn.XLOOKUP(S52:AG52,增益!$A:$A,增益!$W:$W,0))+$I$5</f>
        <v>0.11</v>
      </c>
    </row>
    <row r="53" spans="1:70">
      <c r="A53" s="86" t="s">
        <v>152</v>
      </c>
      <c r="B53" s="86">
        <v>0.8</v>
      </c>
      <c r="C53" s="38"/>
      <c r="D53" s="38"/>
      <c r="E53" s="38"/>
      <c r="K53" s="30">
        <f>$L53*VLOOKUP($R53,武学奇术!$A:$ZZ,31,FALSE)</f>
        <v>21736.3021268994</v>
      </c>
      <c r="L53" s="30">
        <f t="shared" si="12"/>
        <v>19760.2746608176</v>
      </c>
      <c r="M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16763.7497193982</v>
      </c>
      <c r="N53" s="30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29760.5012114996</v>
      </c>
      <c r="O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11175.8331462655</v>
      </c>
      <c r="P53" s="30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5651.04832872651</v>
      </c>
      <c r="Q53" s="38">
        <v>1</v>
      </c>
      <c r="R53" s="39" t="s">
        <v>93</v>
      </c>
      <c r="S53" s="39" t="s">
        <v>143</v>
      </c>
      <c r="T53" s="39" t="s">
        <v>75</v>
      </c>
      <c r="U53" s="39" t="s">
        <v>114</v>
      </c>
      <c r="V53" s="39" t="s">
        <v>75</v>
      </c>
      <c r="W53" s="39" t="s">
        <v>75</v>
      </c>
      <c r="X53" s="39" t="s">
        <v>75</v>
      </c>
      <c r="Y53" s="39" t="s">
        <v>75</v>
      </c>
      <c r="Z53" s="39" t="s">
        <v>75</v>
      </c>
      <c r="AA53" s="39" t="s">
        <v>103</v>
      </c>
      <c r="AB53" s="39" t="s">
        <v>75</v>
      </c>
      <c r="AC53" s="39" t="s">
        <v>75</v>
      </c>
      <c r="AD53" s="39" t="s">
        <v>75</v>
      </c>
      <c r="AE53" s="39" t="s">
        <v>75</v>
      </c>
      <c r="AF53" s="39" t="s">
        <v>75</v>
      </c>
      <c r="AG53" s="39" t="s">
        <v>76</v>
      </c>
      <c r="AH53" t="str">
        <f>VLOOKUP($R53,武学奇术!$A:$ZZ,25,FALSE)</f>
        <v>剑</v>
      </c>
      <c r="AI53" s="24">
        <f>VLOOKUP($R53,武学奇术!$A:$ZZ,26,FALSE)</f>
        <v>1.0253</v>
      </c>
      <c r="AJ53" s="25">
        <f>VLOOKUP($R53,武学奇术!$A:$ZZ,27,FALSE)*(1+IF(OR($AH53=$F$4,$AH53=$F$5),$B$22,0))</f>
        <v>396.2</v>
      </c>
      <c r="AK53" s="24">
        <f>VLOOKUP($R53,武学奇术!$A:$ZZ,28,FALSE)</f>
        <v>1.538</v>
      </c>
      <c r="AL53" s="25">
        <f>VLOOKUP($R53,武学奇术!$A:$ZZ,29,FALSE)*(1+IF(OR($AH53=$F$4,$AH53=$F$5),$B$22,0))</f>
        <v>215.6</v>
      </c>
      <c r="AM53" s="24" cm="1">
        <f t="array" ref="AM53">$G$3+IFERROR(VLOOKUP($AH53,$F$4:$G$7,2,FALSE),0)+VLOOKUP($R53,武学奇术!$A:$ZZ,2,FALSE)+SUM(_xlfn.XLOOKUP($S53:$AG53,增益!$A:$A,增益!$B:$B,0))</f>
        <v>0.3691</v>
      </c>
      <c r="AN53" s="24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1364.4</v>
      </c>
      <c r="AP53" cm="1">
        <f t="array" ref="AP53">$E$10*(1+$AN53)+VLOOKUP($R53,武学奇术!$A:$ZZ,4,FALSE)+SUM(_xlfn.XLOOKUP($S53:$AG53,增益!$A:$A,增益!$D:$D,0))-$I$2</f>
        <v>6174.4</v>
      </c>
      <c r="AQ53" s="32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0.2925</v>
      </c>
      <c r="AR53" s="32" cm="1">
        <f t="array" ref="AR53">$G$10+VLOOKUP($R53,武学奇术!$A:$ZZ,7,FALSE)+SUM(_xlfn.XLOOKUP(S53:AG53,增益!$A:$A,增益!$G:$G,0))</f>
        <v>0</v>
      </c>
      <c r="AS53" s="24" cm="1">
        <f t="array" ref="AS53">VLOOKUP($R53,武学奇术!$A:$ZZ,8,FALSE)+SUM(_xlfn.XLOOKUP(S53:AG53,增益!$A:$A,增益!$H:$H,0))</f>
        <v>0</v>
      </c>
      <c r="AT53">
        <f t="shared" si="18"/>
        <v>557.3</v>
      </c>
      <c r="AU53">
        <f t="shared" si="19"/>
        <v>1049.5</v>
      </c>
      <c r="AV53" s="32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2" cm="1">
        <f t="array" ref="AW53">$G$11+VLOOKUP($R53,武学奇术!$A:$ZZ,10,FALSE)+SUM(_xlfn.XLOOKUP(S53:AG53,增益!$A:$A,增益!$J:$J,0))</f>
        <v>0.15</v>
      </c>
      <c r="AX53">
        <f t="shared" si="20"/>
        <v>0</v>
      </c>
      <c r="AY53">
        <f t="shared" si="21"/>
        <v>0</v>
      </c>
      <c r="AZ53" s="32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2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32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2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32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2" cm="1">
        <f t="array" ref="BI53">$G$14+VLOOKUP($R53,武学奇术!$A:$ZZ,16,FALSE)+SUM(_xlfn.XLOOKUP(S53:AG53,增益!$A:$A,增益!$P:$P,0))</f>
        <v>0</v>
      </c>
      <c r="BJ53" s="24">
        <f>MIN(IF(VLOOKUP($R53,武学奇术!$A:$ZZ,23,FALSE)=1,100%,$B$8),100%)</f>
        <v>0.8271</v>
      </c>
      <c r="BK53" s="24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0.1789</v>
      </c>
      <c r="BL53" s="24" cm="1">
        <f t="array" ref="BL53">1+$B$13+VLOOKUP($R53,武学奇术!$A:$ZZ,18,FALSE)+SUM(_xlfn.XLOOKUP(S53:AG53,增益!$A:$A,增益!$R:$R,0))</f>
        <v>1.5</v>
      </c>
      <c r="BM53" s="24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4" cm="1">
        <f t="array" ref="BN53">1+$B$14+VLOOKUP($R53,武学奇术!$A:$ZZ,20,FALSE)+SUM(_xlfn.XLOOKUP(S53:AG53,增益!$A:$A,增益!$T:$T,0))</f>
        <v>1.782</v>
      </c>
      <c r="BO53" s="24">
        <f t="shared" si="11"/>
        <v>0.14796819</v>
      </c>
      <c r="BP53" s="24">
        <f t="shared" si="17"/>
        <v>0.31032792</v>
      </c>
      <c r="BQ53" s="24">
        <f>IF(VLOOKUP($R53,武学奇术!$A:$ZZ,22,FALSE)=1,0,(1-$BJ53))*(1-$BM53)</f>
        <v>0.09580389</v>
      </c>
      <c r="BR53" s="24" cm="1">
        <f t="array" ref="BR53">SUM(_xlfn.XLOOKUP(S53:AG53,增益!$A:$A,增益!$W:$W,0))+$I$5</f>
        <v>0.11</v>
      </c>
    </row>
    <row r="54" spans="1:70">
      <c r="A54" s="86" t="s">
        <v>150</v>
      </c>
      <c r="B54" s="86">
        <v>2.33</v>
      </c>
      <c r="C54" s="38"/>
      <c r="D54" s="38"/>
      <c r="E54" s="38"/>
      <c r="F54" s="38" t="s">
        <v>154</v>
      </c>
      <c r="K54" s="30">
        <f>$L54*VLOOKUP($R54,武学奇术!$A:$ZZ,31,FALSE)</f>
        <v>1168086.64861366</v>
      </c>
      <c r="L54" s="30">
        <f t="shared" si="12"/>
        <v>1061896.95328515</v>
      </c>
      <c r="M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731677.922089686</v>
      </c>
      <c r="N54" s="30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1498059.35561002</v>
      </c>
      <c r="O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487785.281393124</v>
      </c>
      <c r="P54" s="30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249062.63087062</v>
      </c>
      <c r="Q54" s="38">
        <v>4</v>
      </c>
      <c r="R54" s="39" t="s">
        <v>96</v>
      </c>
      <c r="S54" s="39" t="s">
        <v>143</v>
      </c>
      <c r="T54" s="39" t="s">
        <v>69</v>
      </c>
      <c r="U54" s="39" t="s">
        <v>73</v>
      </c>
      <c r="V54" s="39" t="s">
        <v>75</v>
      </c>
      <c r="W54" s="39" t="s">
        <v>109</v>
      </c>
      <c r="X54" s="39" t="s">
        <v>97</v>
      </c>
      <c r="Y54" s="39" t="s">
        <v>80</v>
      </c>
      <c r="Z54" s="39" t="s">
        <v>98</v>
      </c>
      <c r="AA54" s="39" t="s">
        <v>103</v>
      </c>
      <c r="AB54" s="39" t="s">
        <v>75</v>
      </c>
      <c r="AC54" s="39" t="s">
        <v>75</v>
      </c>
      <c r="AD54" s="39" t="s">
        <v>104</v>
      </c>
      <c r="AE54" s="39" t="s">
        <v>75</v>
      </c>
      <c r="AF54" s="39" t="s">
        <v>75</v>
      </c>
      <c r="AG54" s="39" t="s">
        <v>76</v>
      </c>
      <c r="AH54" t="str">
        <f>VLOOKUP($R54,武学奇术!$A:$ZZ,25,FALSE)</f>
        <v>剑</v>
      </c>
      <c r="AI54" s="24">
        <f>VLOOKUP($R54,武学奇术!$A:$ZZ,26,FALSE)</f>
        <v>4.7037</v>
      </c>
      <c r="AJ54" s="25">
        <f>VLOOKUP($R54,武学奇术!$A:$ZZ,27,FALSE)*(1+IF(OR($AH54=$F$4,$AH54=$F$5),$B$22,0))</f>
        <v>1820</v>
      </c>
      <c r="AK54" s="24">
        <f>VLOOKUP($R54,武学奇术!$A:$ZZ,28,FALSE)</f>
        <v>7.0554</v>
      </c>
      <c r="AL54" s="25">
        <f>VLOOKUP($R54,武学奇术!$A:$ZZ,29,FALSE)*(1+IF(OR($AH54=$F$4,$AH54=$F$5),$B$22,0))</f>
        <v>992.6</v>
      </c>
      <c r="AM54" s="24" cm="1">
        <f t="array" ref="AM54">$G$3+IFERROR(VLOOKUP($AH54,$F$4:$G$7,2,FALSE),0)+VLOOKUP($R54,武学奇术!$A:$ZZ,2,FALSE)+SUM(_xlfn.XLOOKUP($S54:$AG54,增益!$A:$A,增益!$B:$B,0))</f>
        <v>1.4191</v>
      </c>
      <c r="AN54" s="24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1364.4</v>
      </c>
      <c r="AP54" cm="1">
        <f t="array" ref="AP54">$E$10*(1+$AN54)+VLOOKUP($R54,武学奇术!$A:$ZZ,4,FALSE)+SUM(_xlfn.XLOOKUP($S54:$AG54,增益!$A:$A,增益!$D:$D,0))-$I$2</f>
        <v>6174.4</v>
      </c>
      <c r="AQ54" s="32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0.2925</v>
      </c>
      <c r="AR54" s="32" cm="1">
        <f t="array" ref="AR54">$G$10+VLOOKUP($R54,武学奇术!$A:$ZZ,7,FALSE)+SUM(_xlfn.XLOOKUP(S54:AG54,增益!$A:$A,增益!$G:$G,0))</f>
        <v>0</v>
      </c>
      <c r="AS54" s="24" cm="1">
        <f t="array" ref="AS54">VLOOKUP($R54,武学奇术!$A:$ZZ,8,FALSE)+SUM(_xlfn.XLOOKUP(S54:AG54,增益!$A:$A,增益!$H:$H,0))</f>
        <v>0</v>
      </c>
      <c r="AT54">
        <f t="shared" si="18"/>
        <v>557.3</v>
      </c>
      <c r="AU54">
        <f t="shared" si="19"/>
        <v>1049.5</v>
      </c>
      <c r="AV54" s="32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0.11</v>
      </c>
      <c r="AW54" s="32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32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-0.14</v>
      </c>
      <c r="BA54" s="32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32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-0.14</v>
      </c>
      <c r="BE54" s="32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32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-0.14</v>
      </c>
      <c r="BI54" s="32" cm="1">
        <f t="array" ref="BI54">$G$14+VLOOKUP($R54,武学奇术!$A:$ZZ,16,FALSE)+SUM(_xlfn.XLOOKUP(S54:AG54,增益!$A:$A,增益!$P:$P,0))</f>
        <v>0</v>
      </c>
      <c r="BJ54" s="24">
        <f>MIN(IF(VLOOKUP($R54,武学奇术!$A:$ZZ,23,FALSE)=1,100%,$B$8),100%)</f>
        <v>0.8271</v>
      </c>
      <c r="BK54" s="24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0.1789</v>
      </c>
      <c r="BL54" s="24" cm="1">
        <f t="array" ref="BL54">1+$B$13+VLOOKUP($R54,武学奇术!$A:$ZZ,18,FALSE)+SUM(_xlfn.XLOOKUP(S54:AG54,增益!$A:$A,增益!$R:$R,0))</f>
        <v>1.5</v>
      </c>
      <c r="BM54" s="24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0.5509</v>
      </c>
      <c r="BN54" s="24" cm="1">
        <f t="array" ref="BN54">1+$B$14+VLOOKUP($R54,武学奇术!$A:$ZZ,20,FALSE)+SUM(_xlfn.XLOOKUP(S54:AG54,增益!$A:$A,增益!$T:$T,0))</f>
        <v>2.062</v>
      </c>
      <c r="BO54" s="24">
        <f t="shared" si="11"/>
        <v>0.14796819</v>
      </c>
      <c r="BP54" s="24">
        <f t="shared" si="17"/>
        <v>0.22348242</v>
      </c>
      <c r="BQ54" s="24">
        <f>IF(VLOOKUP($R54,武学奇术!$A:$ZZ,22,FALSE)=1,0,(1-$BJ54))*(1-$BM54)</f>
        <v>0.07764939</v>
      </c>
      <c r="BR54" s="24" cm="1">
        <f t="array" ref="BR54">SUM(_xlfn.XLOOKUP(S54:AG54,增益!$A:$A,增益!$W:$W,0))+$I$5</f>
        <v>0.11</v>
      </c>
    </row>
    <row r="55" spans="1:70">
      <c r="A55" s="86" t="s">
        <v>150</v>
      </c>
      <c r="B55" s="86">
        <v>2.33</v>
      </c>
      <c r="C55" s="38"/>
      <c r="D55" s="38"/>
      <c r="F55" s="38"/>
      <c r="K55" s="30">
        <f>$L55*VLOOKUP($R55,武学奇术!$A:$ZZ,31,FALSE)</f>
        <v>252749.55652357</v>
      </c>
      <c r="L55" s="30">
        <f t="shared" si="12"/>
        <v>229772.324112336</v>
      </c>
      <c r="M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182919.480522421</v>
      </c>
      <c r="N55" s="30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356352.140604615</v>
      </c>
      <c r="O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121946.320348281</v>
      </c>
      <c r="P55" s="30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62265.6577176551</v>
      </c>
      <c r="Q55" s="38">
        <v>1</v>
      </c>
      <c r="R55" s="39" t="s">
        <v>96</v>
      </c>
      <c r="S55" s="39" t="s">
        <v>143</v>
      </c>
      <c r="T55" s="39" t="s">
        <v>75</v>
      </c>
      <c r="U55" s="39" t="s">
        <v>114</v>
      </c>
      <c r="V55" s="39" t="s">
        <v>75</v>
      </c>
      <c r="W55" s="39" t="s">
        <v>109</v>
      </c>
      <c r="X55" s="39" t="s">
        <v>97</v>
      </c>
      <c r="Y55" s="39" t="s">
        <v>80</v>
      </c>
      <c r="Z55" s="39" t="s">
        <v>98</v>
      </c>
      <c r="AA55" s="39" t="s">
        <v>103</v>
      </c>
      <c r="AB55" s="39" t="s">
        <v>75</v>
      </c>
      <c r="AC55" s="39" t="s">
        <v>75</v>
      </c>
      <c r="AD55" s="39" t="s">
        <v>104</v>
      </c>
      <c r="AE55" s="39" t="s">
        <v>75</v>
      </c>
      <c r="AF55" s="39" t="s">
        <v>75</v>
      </c>
      <c r="AG55" s="39" t="s">
        <v>76</v>
      </c>
      <c r="AH55" t="str">
        <f>VLOOKUP($R55,武学奇术!$A:$ZZ,25,FALSE)</f>
        <v>剑</v>
      </c>
      <c r="AI55" s="24">
        <f>VLOOKUP($R55,武学奇术!$A:$ZZ,26,FALSE)</f>
        <v>4.7037</v>
      </c>
      <c r="AJ55" s="25">
        <f>VLOOKUP($R55,武学奇术!$A:$ZZ,27,FALSE)*(1+IF(OR($AH55=$F$4,$AH55=$F$5),$B$22,0))</f>
        <v>1820</v>
      </c>
      <c r="AK55" s="24">
        <f>VLOOKUP($R55,武学奇术!$A:$ZZ,28,FALSE)</f>
        <v>7.0554</v>
      </c>
      <c r="AL55" s="25">
        <f>VLOOKUP($R55,武学奇术!$A:$ZZ,29,FALSE)*(1+IF(OR($AH55=$F$4,$AH55=$F$5),$B$22,0))</f>
        <v>992.6</v>
      </c>
      <c r="AM55" s="24" cm="1">
        <f t="array" ref="AM55">$G$3+IFERROR(VLOOKUP($AH55,$F$4:$G$7,2,FALSE),0)+VLOOKUP($R55,武学奇术!$A:$ZZ,2,FALSE)+SUM(_xlfn.XLOOKUP($S55:$AG55,增益!$A:$A,增益!$B:$B,0))</f>
        <v>1.4191</v>
      </c>
      <c r="AN55" s="24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1364.4</v>
      </c>
      <c r="AP55" cm="1">
        <f t="array" ref="AP55">$E$10*(1+$AN55)+VLOOKUP($R55,武学奇术!$A:$ZZ,4,FALSE)+SUM(_xlfn.XLOOKUP($S55:$AG55,增益!$A:$A,增益!$D:$D,0))-$I$2</f>
        <v>6174.4</v>
      </c>
      <c r="AQ55" s="32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0.2925</v>
      </c>
      <c r="AR55" s="32" cm="1">
        <f t="array" ref="AR55">$G$10+VLOOKUP($R55,武学奇术!$A:$ZZ,7,FALSE)+SUM(_xlfn.XLOOKUP(S55:AG55,增益!$A:$A,增益!$G:$G,0))</f>
        <v>0</v>
      </c>
      <c r="AS55" s="24" cm="1">
        <f t="array" ref="AS55">VLOOKUP($R55,武学奇术!$A:$ZZ,8,FALSE)+SUM(_xlfn.XLOOKUP(S55:AG55,增益!$A:$A,增益!$H:$H,0))</f>
        <v>0</v>
      </c>
      <c r="AT55">
        <f t="shared" si="18"/>
        <v>557.3</v>
      </c>
      <c r="AU55">
        <f t="shared" si="19"/>
        <v>1049.5</v>
      </c>
      <c r="AV55" s="32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0.11</v>
      </c>
      <c r="AW55" s="32" cm="1">
        <f t="array" ref="AW55">$G$11+VLOOKUP($R55,武学奇术!$A:$ZZ,10,FALSE)+SUM(_xlfn.XLOOKUP(S55:AG55,增益!$A:$A,增益!$J:$J,0))</f>
        <v>0.15</v>
      </c>
      <c r="AX55">
        <f t="shared" si="20"/>
        <v>0</v>
      </c>
      <c r="AY55">
        <f t="shared" si="21"/>
        <v>0</v>
      </c>
      <c r="AZ55" s="32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-0.14</v>
      </c>
      <c r="BA55" s="32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32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-0.14</v>
      </c>
      <c r="BE55" s="32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32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-0.14</v>
      </c>
      <c r="BI55" s="32" cm="1">
        <f t="array" ref="BI55">$G$14+VLOOKUP($R55,武学奇术!$A:$ZZ,16,FALSE)+SUM(_xlfn.XLOOKUP(S55:AG55,增益!$A:$A,增益!$P:$P,0))</f>
        <v>0</v>
      </c>
      <c r="BJ55" s="24">
        <f>MIN(IF(VLOOKUP($R55,武学奇术!$A:$ZZ,23,FALSE)=1,100%,$B$8),100%)</f>
        <v>0.8271</v>
      </c>
      <c r="BK55" s="24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0.1789</v>
      </c>
      <c r="BL55" s="24" cm="1">
        <f t="array" ref="BL55">1+$B$13+VLOOKUP($R55,武学奇术!$A:$ZZ,18,FALSE)+SUM(_xlfn.XLOOKUP(S55:AG55,增益!$A:$A,增益!$R:$R,0))</f>
        <v>1.5</v>
      </c>
      <c r="BM55" s="24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0.4459</v>
      </c>
      <c r="BN55" s="24" cm="1">
        <f t="array" ref="BN55">1+$B$14+VLOOKUP($R55,武学奇术!$A:$ZZ,20,FALSE)+SUM(_xlfn.XLOOKUP(S55:AG55,增益!$A:$A,增益!$T:$T,0))</f>
        <v>1.962</v>
      </c>
      <c r="BO55" s="24">
        <f t="shared" si="11"/>
        <v>0.14796819</v>
      </c>
      <c r="BP55" s="24">
        <f t="shared" si="17"/>
        <v>0.31032792</v>
      </c>
      <c r="BQ55" s="24">
        <f>IF(VLOOKUP($R55,武学奇术!$A:$ZZ,22,FALSE)=1,0,(1-$BJ55))*(1-$BM55)</f>
        <v>0.09580389</v>
      </c>
      <c r="BR55" s="24" cm="1">
        <f t="array" ref="BR55">SUM(_xlfn.XLOOKUP(S55:AG55,增益!$A:$A,增益!$W:$W,0))+$I$5</f>
        <v>0.11</v>
      </c>
    </row>
    <row r="56" spans="1:70">
      <c r="A56" s="86" t="s">
        <v>150</v>
      </c>
      <c r="B56" s="86">
        <v>2.33</v>
      </c>
      <c r="C56" s="4"/>
      <c r="F56" s="38"/>
      <c r="K56" s="30">
        <f>$L56*VLOOKUP($R56,武学奇术!$A:$ZZ,31,FALSE)</f>
        <v>22118.093492935</v>
      </c>
      <c r="L56" s="30">
        <f t="shared" si="12"/>
        <v>20107.35772085</v>
      </c>
      <c r="M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17090.7073557274</v>
      </c>
      <c r="N56" s="30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30243.2290402127</v>
      </c>
      <c r="O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11393.8049038183</v>
      </c>
      <c r="P56" s="30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5816.10080639479</v>
      </c>
      <c r="Q56" s="38">
        <v>1</v>
      </c>
      <c r="R56" s="39" t="s">
        <v>93</v>
      </c>
      <c r="S56" s="39" t="s">
        <v>143</v>
      </c>
      <c r="T56" s="39" t="s">
        <v>75</v>
      </c>
      <c r="U56" s="39" t="s">
        <v>114</v>
      </c>
      <c r="V56" s="39" t="s">
        <v>75</v>
      </c>
      <c r="W56" s="39" t="s">
        <v>75</v>
      </c>
      <c r="X56" s="39" t="s">
        <v>75</v>
      </c>
      <c r="Y56" s="39" t="s">
        <v>75</v>
      </c>
      <c r="Z56" s="39" t="s">
        <v>75</v>
      </c>
      <c r="AA56" s="39" t="s">
        <v>103</v>
      </c>
      <c r="AB56" s="39" t="s">
        <v>75</v>
      </c>
      <c r="AC56" s="39" t="s">
        <v>75</v>
      </c>
      <c r="AD56" s="39" t="s">
        <v>104</v>
      </c>
      <c r="AE56" s="39" t="s">
        <v>75</v>
      </c>
      <c r="AF56" s="39" t="s">
        <v>75</v>
      </c>
      <c r="AG56" s="39" t="s">
        <v>76</v>
      </c>
      <c r="AH56" t="str">
        <f>VLOOKUP($R56,武学奇术!$A:$ZZ,25,FALSE)</f>
        <v>剑</v>
      </c>
      <c r="AI56" s="24">
        <f>VLOOKUP($R56,武学奇术!$A:$ZZ,26,FALSE)</f>
        <v>1.0253</v>
      </c>
      <c r="AJ56" s="25">
        <f>VLOOKUP($R56,武学奇术!$A:$ZZ,27,FALSE)*(1+IF(OR($AH56=$F$4,$AH56=$F$5),$B$22,0))</f>
        <v>396.2</v>
      </c>
      <c r="AK56" s="24">
        <f>VLOOKUP($R56,武学奇术!$A:$ZZ,28,FALSE)</f>
        <v>1.538</v>
      </c>
      <c r="AL56" s="25">
        <f>VLOOKUP($R56,武学奇术!$A:$ZZ,29,FALSE)*(1+IF(OR($AH56=$F$4,$AH56=$F$5),$B$22,0))</f>
        <v>215.6</v>
      </c>
      <c r="AM56" s="24" cm="1">
        <f t="array" ref="AM56">$G$3+IFERROR(VLOOKUP($AH56,$F$4:$G$7,2,FALSE),0)+VLOOKUP($R56,武学奇术!$A:$ZZ,2,FALSE)+SUM(_xlfn.XLOOKUP($S56:$AG56,增益!$A:$A,增益!$B:$B,0))</f>
        <v>0.3691</v>
      </c>
      <c r="AN56" s="24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1364.4</v>
      </c>
      <c r="AP56" cm="1">
        <f t="array" ref="AP56">$E$10*(1+$AN56)+VLOOKUP($R56,武学奇术!$A:$ZZ,4,FALSE)+SUM(_xlfn.XLOOKUP($S56:$AG56,增益!$A:$A,增益!$D:$D,0))-$I$2</f>
        <v>6174.4</v>
      </c>
      <c r="AQ56" s="32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0.2925</v>
      </c>
      <c r="AR56" s="32" cm="1">
        <f t="array" ref="AR56">$G$10+VLOOKUP($R56,武学奇术!$A:$ZZ,7,FALSE)+SUM(_xlfn.XLOOKUP(S56:AG56,增益!$A:$A,增益!$G:$G,0))</f>
        <v>0</v>
      </c>
      <c r="AS56" s="24" cm="1">
        <f t="array" ref="AS56">VLOOKUP($R56,武学奇术!$A:$ZZ,8,FALSE)+SUM(_xlfn.XLOOKUP(S56:AG56,增益!$A:$A,增益!$H:$H,0))</f>
        <v>0</v>
      </c>
      <c r="AT56">
        <f t="shared" si="18"/>
        <v>557.3</v>
      </c>
      <c r="AU56">
        <f t="shared" si="19"/>
        <v>1049.5</v>
      </c>
      <c r="AV56" s="32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0.11</v>
      </c>
      <c r="AW56" s="32" cm="1">
        <f t="array" ref="AW56">$G$11+VLOOKUP($R56,武学奇术!$A:$ZZ,10,FALSE)+SUM(_xlfn.XLOOKUP(S56:AG56,增益!$A:$A,增益!$J:$J,0))</f>
        <v>0.15</v>
      </c>
      <c r="AX56">
        <f t="shared" si="20"/>
        <v>0</v>
      </c>
      <c r="AY56">
        <f t="shared" si="21"/>
        <v>0</v>
      </c>
      <c r="AZ56" s="32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-0.14</v>
      </c>
      <c r="BA56" s="32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32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-0.14</v>
      </c>
      <c r="BE56" s="32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32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-0.14</v>
      </c>
      <c r="BI56" s="32" cm="1">
        <f t="array" ref="BI56">$G$14+VLOOKUP($R56,武学奇术!$A:$ZZ,16,FALSE)+SUM(_xlfn.XLOOKUP(S56:AG56,增益!$A:$A,增益!$P:$P,0))</f>
        <v>0</v>
      </c>
      <c r="BJ56" s="24">
        <f>MIN(IF(VLOOKUP($R56,武学奇术!$A:$ZZ,23,FALSE)=1,100%,$B$8),100%)</f>
        <v>0.8271</v>
      </c>
      <c r="BK56" s="24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0.1789</v>
      </c>
      <c r="BL56" s="24" cm="1">
        <f t="array" ref="BL56">1+$B$13+VLOOKUP($R56,武学奇术!$A:$ZZ,18,FALSE)+SUM(_xlfn.XLOOKUP(S56:AG56,增益!$A:$A,增益!$R:$R,0))</f>
        <v>1.5</v>
      </c>
      <c r="BM56" s="24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4" cm="1">
        <f t="array" ref="BN56">1+$B$14+VLOOKUP($R56,武学奇术!$A:$ZZ,20,FALSE)+SUM(_xlfn.XLOOKUP(S56:AG56,增益!$A:$A,增益!$T:$T,0))</f>
        <v>1.782</v>
      </c>
      <c r="BO56" s="24">
        <f t="shared" si="11"/>
        <v>0.14796819</v>
      </c>
      <c r="BP56" s="24">
        <f t="shared" si="17"/>
        <v>0.31032792</v>
      </c>
      <c r="BQ56" s="24">
        <f>IF(VLOOKUP($R56,武学奇术!$A:$ZZ,22,FALSE)=1,0,(1-$BJ56))*(1-$BM56)</f>
        <v>0.09580389</v>
      </c>
      <c r="BR56" s="24" cm="1">
        <f t="array" ref="BR56">SUM(_xlfn.XLOOKUP(S56:AG56,增益!$A:$A,增益!$W:$W,0))+$I$5</f>
        <v>0.11</v>
      </c>
    </row>
    <row r="57" spans="1:70">
      <c r="A57" s="86" t="s">
        <v>145</v>
      </c>
      <c r="B57" s="86">
        <v>1.1</v>
      </c>
      <c r="D57" s="4"/>
      <c r="E57" s="4"/>
      <c r="F57" s="38"/>
      <c r="K57" s="30">
        <f>$L57*VLOOKUP($R57,武学奇术!$A:$ZZ,31,FALSE)</f>
        <v>292021.662153416</v>
      </c>
      <c r="L57" s="30">
        <f t="shared" si="12"/>
        <v>265474.238321287</v>
      </c>
      <c r="M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182919.480522421</v>
      </c>
      <c r="N57" s="30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374514.838902506</v>
      </c>
      <c r="O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121946.320348281</v>
      </c>
      <c r="P57" s="30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62265.6577176551</v>
      </c>
      <c r="Q57" s="38">
        <v>1</v>
      </c>
      <c r="R57" s="39" t="s">
        <v>96</v>
      </c>
      <c r="S57" s="39" t="s">
        <v>143</v>
      </c>
      <c r="T57" s="39" t="s">
        <v>69</v>
      </c>
      <c r="U57" s="39" t="s">
        <v>73</v>
      </c>
      <c r="V57" s="39" t="s">
        <v>75</v>
      </c>
      <c r="W57" s="39" t="s">
        <v>109</v>
      </c>
      <c r="X57" s="39" t="s">
        <v>97</v>
      </c>
      <c r="Y57" s="39" t="s">
        <v>80</v>
      </c>
      <c r="Z57" s="39" t="s">
        <v>98</v>
      </c>
      <c r="AA57" s="39" t="s">
        <v>103</v>
      </c>
      <c r="AB57" s="39" t="s">
        <v>75</v>
      </c>
      <c r="AC57" s="39" t="s">
        <v>75</v>
      </c>
      <c r="AD57" s="39" t="s">
        <v>104</v>
      </c>
      <c r="AE57" s="39" t="s">
        <v>75</v>
      </c>
      <c r="AF57" s="39" t="s">
        <v>75</v>
      </c>
      <c r="AG57" s="39" t="s">
        <v>76</v>
      </c>
      <c r="AH57" t="str">
        <f>VLOOKUP($R57,武学奇术!$A:$ZZ,25,FALSE)</f>
        <v>剑</v>
      </c>
      <c r="AI57" s="24">
        <f>VLOOKUP($R57,武学奇术!$A:$ZZ,26,FALSE)</f>
        <v>4.7037</v>
      </c>
      <c r="AJ57" s="25">
        <f>VLOOKUP($R57,武学奇术!$A:$ZZ,27,FALSE)*(1+IF(OR($AH57=$F$4,$AH57=$F$5),$B$22,0))</f>
        <v>1820</v>
      </c>
      <c r="AK57" s="24">
        <f>VLOOKUP($R57,武学奇术!$A:$ZZ,28,FALSE)</f>
        <v>7.0554</v>
      </c>
      <c r="AL57" s="25">
        <f>VLOOKUP($R57,武学奇术!$A:$ZZ,29,FALSE)*(1+IF(OR($AH57=$F$4,$AH57=$F$5),$B$22,0))</f>
        <v>992.6</v>
      </c>
      <c r="AM57" s="24" cm="1">
        <f t="array" ref="AM57">$G$3+IFERROR(VLOOKUP($AH57,$F$4:$G$7,2,FALSE),0)+VLOOKUP($R57,武学奇术!$A:$ZZ,2,FALSE)+SUM(_xlfn.XLOOKUP($S57:$AG57,增益!$A:$A,增益!$B:$B,0))</f>
        <v>1.4191</v>
      </c>
      <c r="AN57" s="24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1364.4</v>
      </c>
      <c r="AP57" cm="1">
        <f t="array" ref="AP57">$E$10*(1+$AN57)+VLOOKUP($R57,武学奇术!$A:$ZZ,4,FALSE)+SUM(_xlfn.XLOOKUP($S57:$AG57,增益!$A:$A,增益!$D:$D,0))-$I$2</f>
        <v>6174.4</v>
      </c>
      <c r="AQ57" s="32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0.2925</v>
      </c>
      <c r="AR57" s="32" cm="1">
        <f t="array" ref="AR57">$G$10+VLOOKUP($R57,武学奇术!$A:$ZZ,7,FALSE)+SUM(_xlfn.XLOOKUP(S57:AG57,增益!$A:$A,增益!$G:$G,0))</f>
        <v>0</v>
      </c>
      <c r="AS57" s="24" cm="1">
        <f t="array" ref="AS57">VLOOKUP($R57,武学奇术!$A:$ZZ,8,FALSE)+SUM(_xlfn.XLOOKUP(S57:AG57,增益!$A:$A,增益!$H:$H,0))</f>
        <v>0</v>
      </c>
      <c r="AT57">
        <f t="shared" si="18"/>
        <v>557.3</v>
      </c>
      <c r="AU57">
        <f t="shared" si="19"/>
        <v>1049.5</v>
      </c>
      <c r="AV57" s="32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0.11</v>
      </c>
      <c r="AW57" s="32" cm="1">
        <f t="array" ref="AW57">$G$11+VLOOKUP($R57,武学奇术!$A:$ZZ,10,FALSE)+SUM(_xlfn.XLOOKUP(S57:AG57,增益!$A:$A,增益!$J:$J,0))</f>
        <v>0.15</v>
      </c>
      <c r="AX57">
        <f t="shared" si="20"/>
        <v>0</v>
      </c>
      <c r="AY57">
        <f t="shared" si="21"/>
        <v>0</v>
      </c>
      <c r="AZ57" s="32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-0.14</v>
      </c>
      <c r="BA57" s="32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32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-0.14</v>
      </c>
      <c r="BE57" s="32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32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-0.14</v>
      </c>
      <c r="BI57" s="32" cm="1">
        <f t="array" ref="BI57">$G$14+VLOOKUP($R57,武学奇术!$A:$ZZ,16,FALSE)+SUM(_xlfn.XLOOKUP(S57:AG57,增益!$A:$A,增益!$P:$P,0))</f>
        <v>0</v>
      </c>
      <c r="BJ57" s="24">
        <f>MIN(IF(VLOOKUP($R57,武学奇术!$A:$ZZ,23,FALSE)=1,100%,$B$8),100%)</f>
        <v>0.8271</v>
      </c>
      <c r="BK57" s="24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0.1789</v>
      </c>
      <c r="BL57" s="24" cm="1">
        <f t="array" ref="BL57">1+$B$13+VLOOKUP($R57,武学奇术!$A:$ZZ,18,FALSE)+SUM(_xlfn.XLOOKUP(S57:AG57,增益!$A:$A,增益!$R:$R,0))</f>
        <v>1.5</v>
      </c>
      <c r="BM57" s="24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0.5509</v>
      </c>
      <c r="BN57" s="24" cm="1">
        <f t="array" ref="BN57">1+$B$14+VLOOKUP($R57,武学奇术!$A:$ZZ,20,FALSE)+SUM(_xlfn.XLOOKUP(S57:AG57,增益!$A:$A,增益!$T:$T,0))</f>
        <v>2.062</v>
      </c>
      <c r="BO57" s="24">
        <f t="shared" si="11"/>
        <v>0.14796819</v>
      </c>
      <c r="BP57" s="24">
        <f t="shared" si="17"/>
        <v>0.22348242</v>
      </c>
      <c r="BQ57" s="24">
        <f>IF(VLOOKUP($R57,武学奇术!$A:$ZZ,22,FALSE)=1,0,(1-$BJ57))*(1-$BM57)</f>
        <v>0.07764939</v>
      </c>
      <c r="BR57" s="24" cm="1">
        <f t="array" ref="BR57">SUM(_xlfn.XLOOKUP(S57:AG57,增益!$A:$A,增益!$W:$W,0))+$I$5</f>
        <v>0.11</v>
      </c>
    </row>
    <row r="58" spans="1:70">
      <c r="A58" s="86" t="s">
        <v>150</v>
      </c>
      <c r="B58" s="86">
        <v>2.33</v>
      </c>
      <c r="C58" s="38" t="s">
        <v>73</v>
      </c>
      <c r="F58" s="38"/>
      <c r="K58" s="30">
        <f>$L58*VLOOKUP($R58,武学奇术!$A:$ZZ,31,FALSE)</f>
        <v>287103.288508161</v>
      </c>
      <c r="L58" s="30">
        <f t="shared" si="12"/>
        <v>261002.989552874</v>
      </c>
      <c r="M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179418.630721257</v>
      </c>
      <c r="N58" s="30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368534.827738455</v>
      </c>
      <c r="O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119612.420480838</v>
      </c>
      <c r="P58" s="30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60497.9603901647</v>
      </c>
      <c r="Q58" s="38">
        <v>1</v>
      </c>
      <c r="R58" s="39" t="s">
        <v>96</v>
      </c>
      <c r="S58" s="39" t="s">
        <v>143</v>
      </c>
      <c r="T58" s="39" t="s">
        <v>69</v>
      </c>
      <c r="U58" s="39" t="s">
        <v>73</v>
      </c>
      <c r="V58" s="39" t="s">
        <v>75</v>
      </c>
      <c r="W58" s="39" t="s">
        <v>109</v>
      </c>
      <c r="X58" s="39" t="s">
        <v>97</v>
      </c>
      <c r="Y58" s="39" t="s">
        <v>80</v>
      </c>
      <c r="Z58" s="39" t="s">
        <v>98</v>
      </c>
      <c r="AA58" s="39" t="s">
        <v>103</v>
      </c>
      <c r="AB58" s="39" t="s">
        <v>75</v>
      </c>
      <c r="AC58" s="39" t="s">
        <v>75</v>
      </c>
      <c r="AD58" s="39" t="s">
        <v>75</v>
      </c>
      <c r="AE58" s="39" t="s">
        <v>75</v>
      </c>
      <c r="AF58" s="39" t="s">
        <v>75</v>
      </c>
      <c r="AG58" s="39" t="s">
        <v>76</v>
      </c>
      <c r="AH58" t="str">
        <f>VLOOKUP($R58,武学奇术!$A:$ZZ,25,FALSE)</f>
        <v>剑</v>
      </c>
      <c r="AI58" s="24">
        <f>VLOOKUP($R58,武学奇术!$A:$ZZ,26,FALSE)</f>
        <v>4.7037</v>
      </c>
      <c r="AJ58" s="25">
        <f>VLOOKUP($R58,武学奇术!$A:$ZZ,27,FALSE)*(1+IF(OR($AH58=$F$4,$AH58=$F$5),$B$22,0))</f>
        <v>1820</v>
      </c>
      <c r="AK58" s="24">
        <f>VLOOKUP($R58,武学奇术!$A:$ZZ,28,FALSE)</f>
        <v>7.0554</v>
      </c>
      <c r="AL58" s="25">
        <f>VLOOKUP($R58,武学奇术!$A:$ZZ,29,FALSE)*(1+IF(OR($AH58=$F$4,$AH58=$F$5),$B$22,0))</f>
        <v>992.6</v>
      </c>
      <c r="AM58" s="24" cm="1">
        <f t="array" ref="AM58">$G$3+IFERROR(VLOOKUP($AH58,$F$4:$G$7,2,FALSE),0)+VLOOKUP($R58,武学奇术!$A:$ZZ,2,FALSE)+SUM(_xlfn.XLOOKUP($S58:$AG58,增益!$A:$A,增益!$B:$B,0))</f>
        <v>1.4191</v>
      </c>
      <c r="AN58" s="24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1364.4</v>
      </c>
      <c r="AP58" cm="1">
        <f t="array" ref="AP58">$E$10*(1+$AN58)+VLOOKUP($R58,武学奇术!$A:$ZZ,4,FALSE)+SUM(_xlfn.XLOOKUP($S58:$AG58,增益!$A:$A,增益!$D:$D,0))-$I$2</f>
        <v>6174.4</v>
      </c>
      <c r="AQ58" s="32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0.2925</v>
      </c>
      <c r="AR58" s="32" cm="1">
        <f t="array" ref="AR58">$G$10+VLOOKUP($R58,武学奇术!$A:$ZZ,7,FALSE)+SUM(_xlfn.XLOOKUP(S58:AG58,增益!$A:$A,增益!$G:$G,0))</f>
        <v>0</v>
      </c>
      <c r="AS58" s="24" cm="1">
        <f t="array" ref="AS58">VLOOKUP($R58,武学奇术!$A:$ZZ,8,FALSE)+SUM(_xlfn.XLOOKUP(S58:AG58,增益!$A:$A,增益!$H:$H,0))</f>
        <v>0</v>
      </c>
      <c r="AT58">
        <f t="shared" si="18"/>
        <v>557.3</v>
      </c>
      <c r="AU58">
        <f t="shared" si="19"/>
        <v>1049.5</v>
      </c>
      <c r="AV58" s="32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2" cm="1">
        <f t="array" ref="AW58">$G$11+VLOOKUP($R58,武学奇术!$A:$ZZ,10,FALSE)+SUM(_xlfn.XLOOKUP(S58:AG58,增益!$A:$A,增益!$J:$J,0))</f>
        <v>0.15</v>
      </c>
      <c r="AX58">
        <f t="shared" si="20"/>
        <v>0</v>
      </c>
      <c r="AY58">
        <f t="shared" si="21"/>
        <v>0</v>
      </c>
      <c r="AZ58" s="32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2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32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2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32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2" cm="1">
        <f t="array" ref="BI58">$G$14+VLOOKUP($R58,武学奇术!$A:$ZZ,16,FALSE)+SUM(_xlfn.XLOOKUP(S58:AG58,增益!$A:$A,增益!$P:$P,0))</f>
        <v>0</v>
      </c>
      <c r="BJ58" s="24">
        <f>MIN(IF(VLOOKUP($R58,武学奇术!$A:$ZZ,23,FALSE)=1,100%,$B$8),100%)</f>
        <v>0.8271</v>
      </c>
      <c r="BK58" s="24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0.1789</v>
      </c>
      <c r="BL58" s="24" cm="1">
        <f t="array" ref="BL58">1+$B$13+VLOOKUP($R58,武学奇术!$A:$ZZ,18,FALSE)+SUM(_xlfn.XLOOKUP(S58:AG58,增益!$A:$A,增益!$R:$R,0))</f>
        <v>1.5</v>
      </c>
      <c r="BM58" s="24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0.5509</v>
      </c>
      <c r="BN58" s="24" cm="1">
        <f t="array" ref="BN58">1+$B$14+VLOOKUP($R58,武学奇术!$A:$ZZ,20,FALSE)+SUM(_xlfn.XLOOKUP(S58:AG58,增益!$A:$A,增益!$T:$T,0))</f>
        <v>2.062</v>
      </c>
      <c r="BO58" s="24">
        <f t="shared" si="11"/>
        <v>0.14796819</v>
      </c>
      <c r="BP58" s="24">
        <f t="shared" si="17"/>
        <v>0.22348242</v>
      </c>
      <c r="BQ58" s="24">
        <f>IF(VLOOKUP($R58,武学奇术!$A:$ZZ,22,FALSE)=1,0,(1-$BJ58))*(1-$BM58)</f>
        <v>0.07764939</v>
      </c>
      <c r="BR58" s="24" cm="1">
        <f t="array" ref="BR58">SUM(_xlfn.XLOOKUP(S58:AG58,增益!$A:$A,增益!$W:$W,0))+$I$5</f>
        <v>0.11</v>
      </c>
    </row>
    <row r="59" spans="1:70">
      <c r="A59" s="86" t="s">
        <v>150</v>
      </c>
      <c r="B59" s="86">
        <v>2.33</v>
      </c>
      <c r="C59" s="38"/>
      <c r="F59" s="38"/>
      <c r="G59">
        <v>26</v>
      </c>
      <c r="K59" s="30">
        <f>$L59*VLOOKUP($R59,武学奇术!$A:$ZZ,31,FALSE)</f>
        <v>93159.9190016576</v>
      </c>
      <c r="L59" s="30">
        <f t="shared" si="12"/>
        <v>84690.8354560523</v>
      </c>
      <c r="M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61260.5928549217</v>
      </c>
      <c r="N59" s="30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118037.284061267</v>
      </c>
      <c r="O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40840.3952366145</v>
      </c>
      <c r="P59" s="30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18961.7234906214</v>
      </c>
      <c r="Q59" s="38">
        <v>1</v>
      </c>
      <c r="R59" s="39" t="s">
        <v>144</v>
      </c>
      <c r="S59" s="39" t="s">
        <v>143</v>
      </c>
      <c r="T59" s="39" t="s">
        <v>69</v>
      </c>
      <c r="U59" s="39" t="s">
        <v>73</v>
      </c>
      <c r="V59" s="39" t="s">
        <v>74</v>
      </c>
      <c r="W59" s="39" t="s">
        <v>75</v>
      </c>
      <c r="X59" s="39" t="s">
        <v>75</v>
      </c>
      <c r="Y59" s="39" t="s">
        <v>75</v>
      </c>
      <c r="Z59" s="39" t="s">
        <v>75</v>
      </c>
      <c r="AA59" s="39" t="s">
        <v>103</v>
      </c>
      <c r="AB59" s="39" t="s">
        <v>75</v>
      </c>
      <c r="AC59" s="39" t="s">
        <v>75</v>
      </c>
      <c r="AD59" s="39" t="s">
        <v>75</v>
      </c>
      <c r="AE59" s="39" t="s">
        <v>75</v>
      </c>
      <c r="AF59" s="39" t="s">
        <v>75</v>
      </c>
      <c r="AG59" s="39" t="s">
        <v>76</v>
      </c>
      <c r="AH59" t="str">
        <f>VLOOKUP($R59,武学奇术!$A:$ZZ,25,FALSE)</f>
        <v>群体奇术</v>
      </c>
      <c r="AI59" s="24">
        <f>VLOOKUP($R59,武学奇术!$A:$ZZ,26,FALSE)</f>
        <v>3.9744</v>
      </c>
      <c r="AJ59" s="25">
        <f>VLOOKUP($R59,武学奇术!$A:$ZZ,27,FALSE)*(1+IF(OR($AH59=$F$4,$AH59=$F$5),$B$22,0))</f>
        <v>982</v>
      </c>
      <c r="AK59" s="24">
        <f>VLOOKUP($R59,武学奇术!$A:$ZZ,28,FALSE)</f>
        <v>5.9613</v>
      </c>
      <c r="AL59" s="25">
        <f>VLOOKUP($R59,武学奇术!$A:$ZZ,29,FALSE)*(1+IF(OR($AH59=$F$4,$AH59=$F$5),$B$22,0))</f>
        <v>0</v>
      </c>
      <c r="AM59" s="24" cm="1">
        <f t="array" ref="AM59">$G$3+IFERROR(VLOOKUP($AH59,$F$4:$G$7,2,FALSE),0)+VLOOKUP($R59,武学奇术!$A:$ZZ,2,FALSE)+SUM(_xlfn.XLOOKUP($S59:$AG59,增益!$A:$A,增益!$B:$B,0))</f>
        <v>0.3987</v>
      </c>
      <c r="AN59" s="24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1364.4</v>
      </c>
      <c r="AP59" cm="1">
        <f t="array" ref="AP59">$E$10*(1+$AN59)+VLOOKUP($R59,武学奇术!$A:$ZZ,4,FALSE)+SUM(_xlfn.XLOOKUP($S59:$AG59,增益!$A:$A,增益!$D:$D,0))-$I$2</f>
        <v>6174.4</v>
      </c>
      <c r="AQ59" s="32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0.2925</v>
      </c>
      <c r="AR59" s="32" cm="1">
        <f t="array" ref="AR59">$G$10+VLOOKUP($R59,武学奇术!$A:$ZZ,7,FALSE)+SUM(_xlfn.XLOOKUP(S59:AG59,增益!$A:$A,增益!$G:$G,0))</f>
        <v>0</v>
      </c>
      <c r="AS59" s="24" cm="1">
        <f t="array" ref="AS59">VLOOKUP($R59,武学奇术!$A:$ZZ,8,FALSE)+SUM(_xlfn.XLOOKUP(S59:AG59,增益!$A:$A,增益!$H:$H,0))</f>
        <v>0</v>
      </c>
      <c r="AT59">
        <f t="shared" si="18"/>
        <v>557.3</v>
      </c>
      <c r="AU59">
        <f t="shared" si="19"/>
        <v>1049.5</v>
      </c>
      <c r="AV59" s="32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2" cm="1">
        <f t="array" ref="AW59">$G$11+VLOOKUP($R59,武学奇术!$A:$ZZ,10,FALSE)+SUM(_xlfn.XLOOKUP(S59:AG59,增益!$A:$A,增益!$J:$J,0))</f>
        <v>0.15</v>
      </c>
      <c r="AX59">
        <f t="shared" si="20"/>
        <v>0</v>
      </c>
      <c r="AY59">
        <f t="shared" si="21"/>
        <v>0</v>
      </c>
      <c r="AZ59" s="32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2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32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2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32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2" cm="1">
        <f t="array" ref="BI59">$G$14+VLOOKUP($R59,武学奇术!$A:$ZZ,16,FALSE)+SUM(_xlfn.XLOOKUP(S59:AG59,增益!$A:$A,增益!$P:$P,0))</f>
        <v>0</v>
      </c>
      <c r="BJ59" s="24">
        <f>MIN(IF(VLOOKUP($R59,武学奇术!$A:$ZZ,23,FALSE)=1,100%,$B$8),100%)</f>
        <v>0.8271</v>
      </c>
      <c r="BK59" s="24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0.1789</v>
      </c>
      <c r="BL59" s="24" cm="1">
        <f t="array" ref="BL59">1+$B$13+VLOOKUP($R59,武学奇术!$A:$ZZ,18,FALSE)+SUM(_xlfn.XLOOKUP(S59:AG59,增益!$A:$A,增益!$R:$R,0))</f>
        <v>1.5</v>
      </c>
      <c r="BM59" s="24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0.5509</v>
      </c>
      <c r="BN59" s="24" cm="1">
        <f t="array" ref="BN59">1+$B$14+VLOOKUP($R59,武学奇术!$A:$ZZ,20,FALSE)+SUM(_xlfn.XLOOKUP(S59:AG59,增益!$A:$A,增益!$T:$T,0))</f>
        <v>1.882</v>
      </c>
      <c r="BO59" s="24">
        <f t="shared" si="11"/>
        <v>0.14796819</v>
      </c>
      <c r="BP59" s="24">
        <f t="shared" si="17"/>
        <v>0.22348242</v>
      </c>
      <c r="BQ59" s="24">
        <f>IF(VLOOKUP($R59,武学奇术!$A:$ZZ,22,FALSE)=1,0,(1-$BJ59))*(1-$BM59)</f>
        <v>0.07764939</v>
      </c>
      <c r="BR59" s="24" cm="1">
        <f t="array" ref="BR59">SUM(_xlfn.XLOOKUP(S59:AG59,增益!$A:$A,增益!$W:$W,0))+$I$5</f>
        <v>0.11</v>
      </c>
    </row>
    <row r="60" spans="1:70">
      <c r="A60" s="86" t="s">
        <v>146</v>
      </c>
      <c r="B60" s="86">
        <v>3.5</v>
      </c>
      <c r="C60" s="38"/>
      <c r="F60" s="38"/>
      <c r="G60">
        <v>-50</v>
      </c>
      <c r="K60" s="30">
        <f>$L60*VLOOKUP($R60,武学奇术!$A:$ZZ,31,FALSE)</f>
        <v>29938.3993335027</v>
      </c>
      <c r="L60" s="30">
        <f t="shared" si="12"/>
        <v>27216.7266668206</v>
      </c>
      <c r="M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19686.8535904127</v>
      </c>
      <c r="N60" s="30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37933.2855650118</v>
      </c>
      <c r="O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13124.5690602751</v>
      </c>
      <c r="P60" s="30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6093.30094466728</v>
      </c>
      <c r="Q60" s="38">
        <v>1</v>
      </c>
      <c r="R60" s="39" t="s">
        <v>71</v>
      </c>
      <c r="S60" s="39" t="s">
        <v>143</v>
      </c>
      <c r="T60" s="39" t="s">
        <v>69</v>
      </c>
      <c r="U60" s="39" t="s">
        <v>73</v>
      </c>
      <c r="V60" s="39" t="s">
        <v>75</v>
      </c>
      <c r="W60" s="39" t="s">
        <v>75</v>
      </c>
      <c r="X60" s="39" t="s">
        <v>75</v>
      </c>
      <c r="Y60" s="39" t="s">
        <v>75</v>
      </c>
      <c r="Z60" s="39" t="s">
        <v>75</v>
      </c>
      <c r="AA60" s="39" t="s">
        <v>103</v>
      </c>
      <c r="AB60" s="39" t="s">
        <v>75</v>
      </c>
      <c r="AC60" s="39" t="s">
        <v>75</v>
      </c>
      <c r="AD60" s="39" t="s">
        <v>75</v>
      </c>
      <c r="AE60" s="39" t="s">
        <v>75</v>
      </c>
      <c r="AF60" s="39" t="s">
        <v>75</v>
      </c>
      <c r="AG60" s="39" t="s">
        <v>76</v>
      </c>
      <c r="AH60" t="str">
        <f>VLOOKUP($R60,武学奇术!$A:$ZZ,25,FALSE)</f>
        <v>群体奇术</v>
      </c>
      <c r="AI60" s="24">
        <f>VLOOKUP($R60,武学奇术!$A:$ZZ,26,FALSE)</f>
        <v>1.4904</v>
      </c>
      <c r="AJ60" s="25">
        <f>VLOOKUP($R60,武学奇术!$A:$ZZ,27,FALSE)*(1+IF(OR($AH60=$F$4,$AH60=$F$5),$B$22,0))</f>
        <v>368</v>
      </c>
      <c r="AK60" s="24">
        <f>VLOOKUP($R60,武学奇术!$A:$ZZ,28,FALSE)</f>
        <v>2.2353</v>
      </c>
      <c r="AL60" s="25">
        <f>VLOOKUP($R60,武学奇术!$A:$ZZ,29,FALSE)*(1+IF(OR($AH60=$F$4,$AH60=$F$5),$B$22,0))</f>
        <v>0</v>
      </c>
      <c r="AM60" s="24" cm="1">
        <f t="array" ref="AM60">$G$3+IFERROR(VLOOKUP($AH60,$F$4:$G$7,2,FALSE),0)+VLOOKUP($R60,武学奇术!$A:$ZZ,2,FALSE)+SUM(_xlfn.XLOOKUP($S60:$AG60,增益!$A:$A,增益!$B:$B,0))</f>
        <v>0.1987</v>
      </c>
      <c r="AN60" s="24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1364.4</v>
      </c>
      <c r="AP60" cm="1">
        <f t="array" ref="AP60">$E$10*(1+$AN60)+VLOOKUP($R60,武学奇术!$A:$ZZ,4,FALSE)+SUM(_xlfn.XLOOKUP($S60:$AG60,增益!$A:$A,增益!$D:$D,0))-$I$2</f>
        <v>6174.4</v>
      </c>
      <c r="AQ60" s="32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0.2925</v>
      </c>
      <c r="AR60" s="32" cm="1">
        <f t="array" ref="AR60">$G$10+VLOOKUP($R60,武学奇术!$A:$ZZ,7,FALSE)+SUM(_xlfn.XLOOKUP(S60:AG60,增益!$A:$A,增益!$G:$G,0))</f>
        <v>0</v>
      </c>
      <c r="AS60" s="24" cm="1">
        <f t="array" ref="AS60">VLOOKUP($R60,武学奇术!$A:$ZZ,8,FALSE)+SUM(_xlfn.XLOOKUP(S60:AG60,增益!$A:$A,增益!$H:$H,0))</f>
        <v>0</v>
      </c>
      <c r="AT60">
        <f t="shared" si="18"/>
        <v>557.3</v>
      </c>
      <c r="AU60">
        <f t="shared" si="19"/>
        <v>1049.5</v>
      </c>
      <c r="AV60" s="32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2" cm="1">
        <f t="array" ref="AW60">$G$11+VLOOKUP($R60,武学奇术!$A:$ZZ,10,FALSE)+SUM(_xlfn.XLOOKUP(S60:AG60,增益!$A:$A,增益!$J:$J,0))</f>
        <v>0.15</v>
      </c>
      <c r="AX60">
        <f t="shared" si="20"/>
        <v>0</v>
      </c>
      <c r="AY60">
        <f t="shared" si="21"/>
        <v>0</v>
      </c>
      <c r="AZ60" s="32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2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32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2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32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2" cm="1">
        <f t="array" ref="BI60">$G$14+VLOOKUP($R60,武学奇术!$A:$ZZ,16,FALSE)+SUM(_xlfn.XLOOKUP(S60:AG60,增益!$A:$A,增益!$P:$P,0))</f>
        <v>0</v>
      </c>
      <c r="BJ60" s="24">
        <f>MIN(IF(VLOOKUP($R60,武学奇术!$A:$ZZ,23,FALSE)=1,100%,$B$8),100%)</f>
        <v>0.8271</v>
      </c>
      <c r="BK60" s="24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0.1789</v>
      </c>
      <c r="BL60" s="24" cm="1">
        <f t="array" ref="BL60">1+$B$13+VLOOKUP($R60,武学奇术!$A:$ZZ,18,FALSE)+SUM(_xlfn.XLOOKUP(S60:AG60,增益!$A:$A,增益!$R:$R,0))</f>
        <v>1.5</v>
      </c>
      <c r="BM60" s="24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0.5509</v>
      </c>
      <c r="BN60" s="24" cm="1">
        <f t="array" ref="BN60">1+$B$14+VLOOKUP($R60,武学奇术!$A:$ZZ,20,FALSE)+SUM(_xlfn.XLOOKUP(S60:AG60,增益!$A:$A,增益!$T:$T,0))</f>
        <v>1.882</v>
      </c>
      <c r="BO60" s="24">
        <f t="shared" si="11"/>
        <v>0.14796819</v>
      </c>
      <c r="BP60" s="24">
        <f t="shared" si="17"/>
        <v>0.22348242</v>
      </c>
      <c r="BQ60" s="24">
        <f>IF(VLOOKUP($R60,武学奇术!$A:$ZZ,22,FALSE)=1,0,(1-$BJ60))*(1-$BM60)</f>
        <v>0.07764939</v>
      </c>
      <c r="BR60" s="24" cm="1">
        <f t="array" ref="BR60">SUM(_xlfn.XLOOKUP(S60:AG60,增益!$A:$A,增益!$W:$W,0))+$I$5</f>
        <v>0.11</v>
      </c>
    </row>
    <row r="61" spans="1:70">
      <c r="A61" s="86" t="s">
        <v>156</v>
      </c>
      <c r="B61" s="86">
        <v>1.1</v>
      </c>
      <c r="C61" s="38"/>
      <c r="E61" s="38" t="s">
        <v>146</v>
      </c>
      <c r="K61" s="30">
        <f>$L61*VLOOKUP($R61,武学奇术!$A:$ZZ,31,FALSE)</f>
        <v>34933.5439624345</v>
      </c>
      <c r="L61" s="30">
        <f t="shared" ref="L61:L76" si="22">($M61*$BO61+$N61*$BM61+$O61*$BP61+$P61*$BQ61)</f>
        <v>31757.7672385768</v>
      </c>
      <c r="M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22971.5542812299</v>
      </c>
      <c r="N61" s="30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44262.3563191641</v>
      </c>
      <c r="O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15314.3695208199</v>
      </c>
      <c r="P61" s="30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7109.95247460259</v>
      </c>
      <c r="Q61" s="38">
        <v>1</v>
      </c>
      <c r="R61" s="39" t="s">
        <v>71</v>
      </c>
      <c r="S61" s="39" t="s">
        <v>143</v>
      </c>
      <c r="T61" s="39" t="s">
        <v>69</v>
      </c>
      <c r="U61" s="39" t="s">
        <v>73</v>
      </c>
      <c r="V61" s="39" t="s">
        <v>74</v>
      </c>
      <c r="W61" s="39" t="s">
        <v>75</v>
      </c>
      <c r="X61" s="39" t="s">
        <v>75</v>
      </c>
      <c r="Y61" s="39" t="s">
        <v>75</v>
      </c>
      <c r="Z61" s="39" t="s">
        <v>75</v>
      </c>
      <c r="AA61" s="39" t="s">
        <v>103</v>
      </c>
      <c r="AB61" s="39" t="s">
        <v>75</v>
      </c>
      <c r="AC61" s="39" t="s">
        <v>75</v>
      </c>
      <c r="AD61" s="39" t="s">
        <v>75</v>
      </c>
      <c r="AE61" s="39" t="s">
        <v>75</v>
      </c>
      <c r="AF61" s="39" t="s">
        <v>75</v>
      </c>
      <c r="AG61" s="39" t="s">
        <v>76</v>
      </c>
      <c r="AH61" t="str">
        <f>VLOOKUP($R61,武学奇术!$A:$ZZ,25,FALSE)</f>
        <v>群体奇术</v>
      </c>
      <c r="AI61" s="24">
        <f>VLOOKUP($R61,武学奇术!$A:$ZZ,26,FALSE)</f>
        <v>1.4904</v>
      </c>
      <c r="AJ61" s="25">
        <f>VLOOKUP($R61,武学奇术!$A:$ZZ,27,FALSE)*(1+IF(OR($AH61=$F$4,$AH61=$F$5),$B$22,0))</f>
        <v>368</v>
      </c>
      <c r="AK61" s="24">
        <f>VLOOKUP($R61,武学奇术!$A:$ZZ,28,FALSE)</f>
        <v>2.2353</v>
      </c>
      <c r="AL61" s="25">
        <f>VLOOKUP($R61,武学奇术!$A:$ZZ,29,FALSE)*(1+IF(OR($AH61=$F$4,$AH61=$F$5),$B$22,0))</f>
        <v>0</v>
      </c>
      <c r="AM61" s="24" cm="1">
        <f t="array" ref="AM61">$G$3+IFERROR(VLOOKUP($AH61,$F$4:$G$7,2,FALSE),0)+VLOOKUP($R61,武学奇术!$A:$ZZ,2,FALSE)+SUM(_xlfn.XLOOKUP($S61:$AG61,增益!$A:$A,增益!$B:$B,0))</f>
        <v>0.3987</v>
      </c>
      <c r="AN61" s="24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1364.4</v>
      </c>
      <c r="AP61" cm="1">
        <f t="array" ref="AP61">$E$10*(1+$AN61)+VLOOKUP($R61,武学奇术!$A:$ZZ,4,FALSE)+SUM(_xlfn.XLOOKUP($S61:$AG61,增益!$A:$A,增益!$D:$D,0))-$I$2</f>
        <v>6174.4</v>
      </c>
      <c r="AQ61" s="32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0.2925</v>
      </c>
      <c r="AR61" s="32" cm="1">
        <f t="array" ref="AR61">$G$10+VLOOKUP($R61,武学奇术!$A:$ZZ,7,FALSE)+SUM(_xlfn.XLOOKUP(S61:AG61,增益!$A:$A,增益!$G:$G,0))</f>
        <v>0</v>
      </c>
      <c r="AS61" s="24" cm="1">
        <f t="array" ref="AS61">VLOOKUP($R61,武学奇术!$A:$ZZ,8,FALSE)+SUM(_xlfn.XLOOKUP(S61:AG61,增益!$A:$A,增益!$H:$H,0))</f>
        <v>0</v>
      </c>
      <c r="AT61">
        <f t="shared" ref="AT61:AT76" si="23">$D$11*(1+$AS61)</f>
        <v>557.3</v>
      </c>
      <c r="AU61">
        <f t="shared" ref="AU61:AU76" si="24">$E$11*(1+$AS61)</f>
        <v>1049.5</v>
      </c>
      <c r="AV61" s="32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2" cm="1">
        <f t="array" ref="AW61">$G$11+VLOOKUP($R61,武学奇术!$A:$ZZ,10,FALSE)+SUM(_xlfn.XLOOKUP(S61:AG61,增益!$A:$A,增益!$J:$J,0))</f>
        <v>0.15</v>
      </c>
      <c r="AX61">
        <f t="shared" ref="AX61:AX76" si="25">$D$12*(1+$AS61)</f>
        <v>0</v>
      </c>
      <c r="AY61">
        <f t="shared" ref="AY61:AY76" si="26">$E$12*(1+$AS61)</f>
        <v>0</v>
      </c>
      <c r="AZ61" s="32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2" cm="1">
        <f t="array" ref="BA61">$G$12+VLOOKUP($R61,武学奇术!$A:$ZZ,12,FALSE)+SUM(_xlfn.XLOOKUP(S61:AG61,增益!$A:$A,增益!$L:$L,0))</f>
        <v>0</v>
      </c>
      <c r="BB61">
        <f t="shared" ref="BB61:BB76" si="27">$D$13*(1+$AS61)</f>
        <v>0</v>
      </c>
      <c r="BC61">
        <f t="shared" ref="BC61:BC76" si="28">$E$13*(1+$AS61)</f>
        <v>0</v>
      </c>
      <c r="BD61" s="32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2" cm="1">
        <f t="array" ref="BE61">$G$13+VLOOKUP($R61,武学奇术!$A:$ZZ,14,FALSE)+SUM(_xlfn.XLOOKUP(S61:AG61,增益!$A:$A,增益!$N:$N,0))</f>
        <v>0</v>
      </c>
      <c r="BF61">
        <f t="shared" ref="BF61:BF76" si="29">$D$14*(1+$AS61)</f>
        <v>0</v>
      </c>
      <c r="BG61">
        <f t="shared" ref="BG61:BG76" si="30">$E$14*(1+$AS61)</f>
        <v>0</v>
      </c>
      <c r="BH61" s="32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2" cm="1">
        <f t="array" ref="BI61">$G$14+VLOOKUP($R61,武学奇术!$A:$ZZ,16,FALSE)+SUM(_xlfn.XLOOKUP(S61:AG61,增益!$A:$A,增益!$P:$P,0))</f>
        <v>0</v>
      </c>
      <c r="BJ61" s="24">
        <f>MIN(IF(VLOOKUP($R61,武学奇术!$A:$ZZ,23,FALSE)=1,100%,$B$8),100%)</f>
        <v>0.8271</v>
      </c>
      <c r="BK61" s="24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0.1789</v>
      </c>
      <c r="BL61" s="24" cm="1">
        <f t="array" ref="BL61">1+$B$13+VLOOKUP($R61,武学奇术!$A:$ZZ,18,FALSE)+SUM(_xlfn.XLOOKUP(S61:AG61,增益!$A:$A,增益!$R:$R,0))</f>
        <v>1.5</v>
      </c>
      <c r="BM61" s="24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0.5509</v>
      </c>
      <c r="BN61" s="24" cm="1">
        <f t="array" ref="BN61">1+$B$14+VLOOKUP($R61,武学奇术!$A:$ZZ,20,FALSE)+SUM(_xlfn.XLOOKUP(S61:AG61,增益!$A:$A,增益!$T:$T,0))</f>
        <v>1.882</v>
      </c>
      <c r="BO61" s="24">
        <f t="shared" si="11"/>
        <v>0.14796819</v>
      </c>
      <c r="BP61" s="24">
        <f t="shared" si="17"/>
        <v>0.22348242</v>
      </c>
      <c r="BQ61" s="24">
        <f>IF(VLOOKUP($R61,武学奇术!$A:$ZZ,22,FALSE)=1,0,(1-$BJ61))*(1-$BM61)</f>
        <v>0.07764939</v>
      </c>
      <c r="BR61" s="24" cm="1">
        <f t="array" ref="BR61">SUM(_xlfn.XLOOKUP(S61:AG61,增益!$A:$A,增益!$W:$W,0))+$I$5</f>
        <v>0.11</v>
      </c>
    </row>
    <row r="62" spans="1:70">
      <c r="A62" s="86" t="s">
        <v>150</v>
      </c>
      <c r="B62" s="86">
        <v>2.33</v>
      </c>
      <c r="E62" s="38"/>
      <c r="K62" s="30">
        <f>$L62*VLOOKUP($R62,武学奇术!$A:$ZZ,31,FALSE)</f>
        <v>60545.273453414</v>
      </c>
      <c r="L62" s="30">
        <f t="shared" si="22"/>
        <v>55041.1576849218</v>
      </c>
      <c r="M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45943.1085624598</v>
      </c>
      <c r="N62" s="30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83820.9553249207</v>
      </c>
      <c r="O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30628.7390416398</v>
      </c>
      <c r="P62" s="30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14219.9049492052</v>
      </c>
      <c r="Q62" s="38">
        <v>2</v>
      </c>
      <c r="R62" s="39" t="s">
        <v>71</v>
      </c>
      <c r="S62" s="39" t="s">
        <v>143</v>
      </c>
      <c r="T62" s="39" t="s">
        <v>75</v>
      </c>
      <c r="U62" s="39" t="s">
        <v>114</v>
      </c>
      <c r="V62" s="39" t="s">
        <v>74</v>
      </c>
      <c r="W62" s="39" t="s">
        <v>75</v>
      </c>
      <c r="X62" s="39" t="s">
        <v>75</v>
      </c>
      <c r="Y62" s="39" t="s">
        <v>75</v>
      </c>
      <c r="Z62" s="39" t="s">
        <v>75</v>
      </c>
      <c r="AA62" s="39" t="s">
        <v>103</v>
      </c>
      <c r="AB62" s="39" t="s">
        <v>75</v>
      </c>
      <c r="AC62" s="39" t="s">
        <v>75</v>
      </c>
      <c r="AD62" s="39" t="s">
        <v>75</v>
      </c>
      <c r="AE62" s="39" t="s">
        <v>75</v>
      </c>
      <c r="AF62" s="39" t="s">
        <v>75</v>
      </c>
      <c r="AG62" s="39" t="s">
        <v>76</v>
      </c>
      <c r="AH62" t="str">
        <f>VLOOKUP($R62,武学奇术!$A:$ZZ,25,FALSE)</f>
        <v>群体奇术</v>
      </c>
      <c r="AI62" s="24">
        <f>VLOOKUP($R62,武学奇术!$A:$ZZ,26,FALSE)</f>
        <v>1.4904</v>
      </c>
      <c r="AJ62" s="25">
        <f>VLOOKUP($R62,武学奇术!$A:$ZZ,27,FALSE)*(1+IF(OR($AH62=$F$4,$AH62=$F$5),$B$22,0))</f>
        <v>368</v>
      </c>
      <c r="AK62" s="24">
        <f>VLOOKUP($R62,武学奇术!$A:$ZZ,28,FALSE)</f>
        <v>2.2353</v>
      </c>
      <c r="AL62" s="25">
        <f>VLOOKUP($R62,武学奇术!$A:$ZZ,29,FALSE)*(1+IF(OR($AH62=$F$4,$AH62=$F$5),$B$22,0))</f>
        <v>0</v>
      </c>
      <c r="AM62" s="24" cm="1">
        <f t="array" ref="AM62">$G$3+IFERROR(VLOOKUP($AH62,$F$4:$G$7,2,FALSE),0)+VLOOKUP($R62,武学奇术!$A:$ZZ,2,FALSE)+SUM(_xlfn.XLOOKUP($S62:$AG62,增益!$A:$A,增益!$B:$B,0))</f>
        <v>0.3987</v>
      </c>
      <c r="AN62" s="24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1364.4</v>
      </c>
      <c r="AP62" cm="1">
        <f t="array" ref="AP62">$E$10*(1+$AN62)+VLOOKUP($R62,武学奇术!$A:$ZZ,4,FALSE)+SUM(_xlfn.XLOOKUP($S62:$AG62,增益!$A:$A,增益!$D:$D,0))-$I$2</f>
        <v>6174.4</v>
      </c>
      <c r="AQ62" s="32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0.2925</v>
      </c>
      <c r="AR62" s="32" cm="1">
        <f t="array" ref="AR62">$G$10+VLOOKUP($R62,武学奇术!$A:$ZZ,7,FALSE)+SUM(_xlfn.XLOOKUP(S62:AG62,增益!$A:$A,增益!$G:$G,0))</f>
        <v>0</v>
      </c>
      <c r="AS62" s="24" cm="1">
        <f t="array" ref="AS62">VLOOKUP($R62,武学奇术!$A:$ZZ,8,FALSE)+SUM(_xlfn.XLOOKUP(S62:AG62,增益!$A:$A,增益!$H:$H,0))</f>
        <v>0</v>
      </c>
      <c r="AT62">
        <f t="shared" si="23"/>
        <v>557.3</v>
      </c>
      <c r="AU62">
        <f t="shared" si="24"/>
        <v>1049.5</v>
      </c>
      <c r="AV62" s="32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2" cm="1">
        <f t="array" ref="AW62">$G$11+VLOOKUP($R62,武学奇术!$A:$ZZ,10,FALSE)+SUM(_xlfn.XLOOKUP(S62:AG62,增益!$A:$A,增益!$J:$J,0))</f>
        <v>0.15</v>
      </c>
      <c r="AX62">
        <f t="shared" si="25"/>
        <v>0</v>
      </c>
      <c r="AY62">
        <f t="shared" si="26"/>
        <v>0</v>
      </c>
      <c r="AZ62" s="32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2" cm="1">
        <f t="array" ref="BA62">$G$12+VLOOKUP($R62,武学奇术!$A:$ZZ,12,FALSE)+SUM(_xlfn.XLOOKUP(S62:AG62,增益!$A:$A,增益!$L:$L,0))</f>
        <v>0</v>
      </c>
      <c r="BB62">
        <f t="shared" si="27"/>
        <v>0</v>
      </c>
      <c r="BC62">
        <f t="shared" si="28"/>
        <v>0</v>
      </c>
      <c r="BD62" s="32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2" cm="1">
        <f t="array" ref="BE62">$G$13+VLOOKUP($R62,武学奇术!$A:$ZZ,14,FALSE)+SUM(_xlfn.XLOOKUP(S62:AG62,增益!$A:$A,增益!$N:$N,0))</f>
        <v>0</v>
      </c>
      <c r="BF62">
        <f t="shared" si="29"/>
        <v>0</v>
      </c>
      <c r="BG62">
        <f t="shared" si="30"/>
        <v>0</v>
      </c>
      <c r="BH62" s="32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2" cm="1">
        <f t="array" ref="BI62">$G$14+VLOOKUP($R62,武学奇术!$A:$ZZ,16,FALSE)+SUM(_xlfn.XLOOKUP(S62:AG62,增益!$A:$A,增益!$P:$P,0))</f>
        <v>0</v>
      </c>
      <c r="BJ62" s="24">
        <f>MIN(IF(VLOOKUP($R62,武学奇术!$A:$ZZ,23,FALSE)=1,100%,$B$8),100%)</f>
        <v>0.8271</v>
      </c>
      <c r="BK62" s="24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0.1789</v>
      </c>
      <c r="BL62" s="24" cm="1">
        <f t="array" ref="BL62">1+$B$13+VLOOKUP($R62,武学奇术!$A:$ZZ,18,FALSE)+SUM(_xlfn.XLOOKUP(S62:AG62,增益!$A:$A,增益!$R:$R,0))</f>
        <v>1.5</v>
      </c>
      <c r="BM62" s="24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0.4459</v>
      </c>
      <c r="BN62" s="24" cm="1">
        <f t="array" ref="BN62">1+$B$14+VLOOKUP($R62,武学奇术!$A:$ZZ,20,FALSE)+SUM(_xlfn.XLOOKUP(S62:AG62,增益!$A:$A,增益!$T:$T,0))</f>
        <v>1.782</v>
      </c>
      <c r="BO62" s="24">
        <f t="shared" si="11"/>
        <v>0.14796819</v>
      </c>
      <c r="BP62" s="24">
        <f t="shared" si="17"/>
        <v>0.31032792</v>
      </c>
      <c r="BQ62" s="24">
        <f>IF(VLOOKUP($R62,武学奇术!$A:$ZZ,22,FALSE)=1,0,(1-$BJ62))*(1-$BM62)</f>
        <v>0.09580389</v>
      </c>
      <c r="BR62" s="24" cm="1">
        <f t="array" ref="BR62">SUM(_xlfn.XLOOKUP(S62:AG62,增益!$A:$A,增益!$W:$W,0))+$I$5</f>
        <v>0.11</v>
      </c>
    </row>
    <row r="63" spans="1:70">
      <c r="A63" s="86" t="s">
        <v>145</v>
      </c>
      <c r="B63" s="86">
        <v>1.1</v>
      </c>
      <c r="C63" s="4"/>
      <c r="E63" s="38"/>
      <c r="K63" s="30">
        <f>$L63*VLOOKUP($R63,武学奇术!$A:$ZZ,31,FALSE)</f>
        <v>69867.087924869</v>
      </c>
      <c r="L63" s="30">
        <f t="shared" si="22"/>
        <v>63515.5344771536</v>
      </c>
      <c r="M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45943.1085624598</v>
      </c>
      <c r="N63" s="30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88524.7126383282</v>
      </c>
      <c r="O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30628.7390416398</v>
      </c>
      <c r="P63" s="30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14219.9049492052</v>
      </c>
      <c r="Q63" s="38">
        <v>2</v>
      </c>
      <c r="R63" s="39" t="s">
        <v>71</v>
      </c>
      <c r="S63" s="39" t="s">
        <v>143</v>
      </c>
      <c r="T63" s="39" t="s">
        <v>69</v>
      </c>
      <c r="U63" s="39" t="s">
        <v>73</v>
      </c>
      <c r="V63" s="39" t="s">
        <v>74</v>
      </c>
      <c r="W63" s="39" t="s">
        <v>75</v>
      </c>
      <c r="X63" s="39" t="s">
        <v>75</v>
      </c>
      <c r="Y63" s="39" t="s">
        <v>75</v>
      </c>
      <c r="Z63" s="39" t="s">
        <v>75</v>
      </c>
      <c r="AA63" s="39" t="s">
        <v>103</v>
      </c>
      <c r="AB63" s="39" t="s">
        <v>75</v>
      </c>
      <c r="AC63" s="39" t="s">
        <v>75</v>
      </c>
      <c r="AD63" s="39" t="s">
        <v>75</v>
      </c>
      <c r="AE63" s="39" t="s">
        <v>75</v>
      </c>
      <c r="AF63" s="39" t="s">
        <v>75</v>
      </c>
      <c r="AG63" s="39" t="s">
        <v>76</v>
      </c>
      <c r="AH63" t="str">
        <f>VLOOKUP($R63,武学奇术!$A:$ZZ,25,FALSE)</f>
        <v>群体奇术</v>
      </c>
      <c r="AI63" s="24">
        <f>VLOOKUP($R63,武学奇术!$A:$ZZ,26,FALSE)</f>
        <v>1.4904</v>
      </c>
      <c r="AJ63" s="25">
        <f>VLOOKUP($R63,武学奇术!$A:$ZZ,27,FALSE)*(1+IF(OR($AH63=$F$4,$AH63=$F$5),$B$22,0))</f>
        <v>368</v>
      </c>
      <c r="AK63" s="24">
        <f>VLOOKUP($R63,武学奇术!$A:$ZZ,28,FALSE)</f>
        <v>2.2353</v>
      </c>
      <c r="AL63" s="25">
        <f>VLOOKUP($R63,武学奇术!$A:$ZZ,29,FALSE)*(1+IF(OR($AH63=$F$4,$AH63=$F$5),$B$22,0))</f>
        <v>0</v>
      </c>
      <c r="AM63" s="24" cm="1">
        <f t="array" ref="AM63">$G$3+IFERROR(VLOOKUP($AH63,$F$4:$G$7,2,FALSE),0)+VLOOKUP($R63,武学奇术!$A:$ZZ,2,FALSE)+SUM(_xlfn.XLOOKUP($S63:$AG63,增益!$A:$A,增益!$B:$B,0))</f>
        <v>0.3987</v>
      </c>
      <c r="AN63" s="24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1364.4</v>
      </c>
      <c r="AP63" cm="1">
        <f t="array" ref="AP63">$E$10*(1+$AN63)+VLOOKUP($R63,武学奇术!$A:$ZZ,4,FALSE)+SUM(_xlfn.XLOOKUP($S63:$AG63,增益!$A:$A,增益!$D:$D,0))-$I$2</f>
        <v>6174.4</v>
      </c>
      <c r="AQ63" s="32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0.2925</v>
      </c>
      <c r="AR63" s="32" cm="1">
        <f t="array" ref="AR63">$G$10+VLOOKUP($R63,武学奇术!$A:$ZZ,7,FALSE)+SUM(_xlfn.XLOOKUP(S63:AG63,增益!$A:$A,增益!$G:$G,0))</f>
        <v>0</v>
      </c>
      <c r="AS63" s="24" cm="1">
        <f t="array" ref="AS63">VLOOKUP($R63,武学奇术!$A:$ZZ,8,FALSE)+SUM(_xlfn.XLOOKUP(S63:AG63,增益!$A:$A,增益!$H:$H,0))</f>
        <v>0</v>
      </c>
      <c r="AT63">
        <f t="shared" si="23"/>
        <v>557.3</v>
      </c>
      <c r="AU63">
        <f t="shared" si="24"/>
        <v>1049.5</v>
      </c>
      <c r="AV63" s="32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2" cm="1">
        <f t="array" ref="AW63">$G$11+VLOOKUP($R63,武学奇术!$A:$ZZ,10,FALSE)+SUM(_xlfn.XLOOKUP(S63:AG63,增益!$A:$A,增益!$J:$J,0))</f>
        <v>0.15</v>
      </c>
      <c r="AX63">
        <f t="shared" si="25"/>
        <v>0</v>
      </c>
      <c r="AY63">
        <f t="shared" si="26"/>
        <v>0</v>
      </c>
      <c r="AZ63" s="32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2" cm="1">
        <f t="array" ref="BA63">$G$12+VLOOKUP($R63,武学奇术!$A:$ZZ,12,FALSE)+SUM(_xlfn.XLOOKUP(S63:AG63,增益!$A:$A,增益!$L:$L,0))</f>
        <v>0</v>
      </c>
      <c r="BB63">
        <f t="shared" si="27"/>
        <v>0</v>
      </c>
      <c r="BC63">
        <f t="shared" si="28"/>
        <v>0</v>
      </c>
      <c r="BD63" s="32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2" cm="1">
        <f t="array" ref="BE63">$G$13+VLOOKUP($R63,武学奇术!$A:$ZZ,14,FALSE)+SUM(_xlfn.XLOOKUP(S63:AG63,增益!$A:$A,增益!$N:$N,0))</f>
        <v>0</v>
      </c>
      <c r="BF63">
        <f t="shared" si="29"/>
        <v>0</v>
      </c>
      <c r="BG63">
        <f t="shared" si="30"/>
        <v>0</v>
      </c>
      <c r="BH63" s="32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2" cm="1">
        <f t="array" ref="BI63">$G$14+VLOOKUP($R63,武学奇术!$A:$ZZ,16,FALSE)+SUM(_xlfn.XLOOKUP(S63:AG63,增益!$A:$A,增益!$P:$P,0))</f>
        <v>0</v>
      </c>
      <c r="BJ63" s="24">
        <f>MIN(IF(VLOOKUP($R63,武学奇术!$A:$ZZ,23,FALSE)=1,100%,$B$8),100%)</f>
        <v>0.8271</v>
      </c>
      <c r="BK63" s="24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0.1789</v>
      </c>
      <c r="BL63" s="24" cm="1">
        <f t="array" ref="BL63">1+$B$13+VLOOKUP($R63,武学奇术!$A:$ZZ,18,FALSE)+SUM(_xlfn.XLOOKUP(S63:AG63,增益!$A:$A,增益!$R:$R,0))</f>
        <v>1.5</v>
      </c>
      <c r="BM63" s="24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0.5509</v>
      </c>
      <c r="BN63" s="24" cm="1">
        <f t="array" ref="BN63">1+$B$14+VLOOKUP($R63,武学奇术!$A:$ZZ,20,FALSE)+SUM(_xlfn.XLOOKUP(S63:AG63,增益!$A:$A,增益!$T:$T,0))</f>
        <v>1.882</v>
      </c>
      <c r="BO63" s="24">
        <f t="shared" si="11"/>
        <v>0.14796819</v>
      </c>
      <c r="BP63" s="24">
        <f t="shared" si="17"/>
        <v>0.22348242</v>
      </c>
      <c r="BQ63" s="24">
        <f>IF(VLOOKUP($R63,武学奇术!$A:$ZZ,22,FALSE)=1,0,(1-$BJ63))*(1-$BM63)</f>
        <v>0.07764939</v>
      </c>
      <c r="BR63" s="24" cm="1">
        <f t="array" ref="BR63">SUM(_xlfn.XLOOKUP(S63:AG63,增益!$A:$A,增益!$W:$W,0))+$I$5</f>
        <v>0.11</v>
      </c>
    </row>
    <row r="64" spans="1:70">
      <c r="A64" s="86" t="s">
        <v>150</v>
      </c>
      <c r="B64" s="86">
        <v>2.33</v>
      </c>
      <c r="C64" s="38" t="s">
        <v>73</v>
      </c>
      <c r="E64" s="38"/>
      <c r="K64" s="30">
        <f>$L64*VLOOKUP($R64,武学奇术!$A:$ZZ,31,FALSE)</f>
        <v>322752.150669396</v>
      </c>
      <c r="L64" s="30">
        <f t="shared" si="22"/>
        <v>293411.046063087</v>
      </c>
      <c r="M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199269.074285621</v>
      </c>
      <c r="N64" s="30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406464.676844496</v>
      </c>
      <c r="O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132846.049523747</v>
      </c>
      <c r="P64" s="30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68570.5292877975</v>
      </c>
      <c r="Q64" s="38">
        <v>3</v>
      </c>
      <c r="R64" s="39" t="s">
        <v>151</v>
      </c>
      <c r="S64" s="39" t="s">
        <v>143</v>
      </c>
      <c r="T64" s="39" t="s">
        <v>69</v>
      </c>
      <c r="U64" s="39" t="s">
        <v>73</v>
      </c>
      <c r="V64" s="39" t="s">
        <v>74</v>
      </c>
      <c r="W64" s="39" t="s">
        <v>109</v>
      </c>
      <c r="X64" s="39" t="s">
        <v>97</v>
      </c>
      <c r="Y64" s="39" t="s">
        <v>80</v>
      </c>
      <c r="Z64" s="39" t="s">
        <v>98</v>
      </c>
      <c r="AA64" s="39" t="s">
        <v>103</v>
      </c>
      <c r="AB64" s="39" t="s">
        <v>147</v>
      </c>
      <c r="AC64" s="39" t="s">
        <v>148</v>
      </c>
      <c r="AD64" s="39" t="s">
        <v>104</v>
      </c>
      <c r="AE64" s="39" t="s">
        <v>75</v>
      </c>
      <c r="AF64" s="39" t="s">
        <v>75</v>
      </c>
      <c r="AG64" s="39" t="s">
        <v>76</v>
      </c>
      <c r="AH64" t="str">
        <f>VLOOKUP($R64,武学奇术!$A:$ZZ,25,FALSE)</f>
        <v>剑</v>
      </c>
      <c r="AI64" s="24">
        <f>VLOOKUP($R64,武学奇术!$A:$ZZ,26,FALSE)</f>
        <v>1.3066</v>
      </c>
      <c r="AJ64" s="25">
        <f>VLOOKUP($R64,武学奇术!$A:$ZZ,27,FALSE)*(1+IF(OR($AH64=$F$4,$AH64=$F$5),$B$22,0))</f>
        <v>505.4</v>
      </c>
      <c r="AK64" s="24">
        <f>VLOOKUP($R64,武学奇术!$A:$ZZ,28,FALSE)</f>
        <v>1.9598</v>
      </c>
      <c r="AL64" s="25">
        <f>VLOOKUP($R64,武学奇术!$A:$ZZ,29,FALSE)*(1+IF(OR($AH64=$F$4,$AH64=$F$5),$B$22,0))</f>
        <v>275.8</v>
      </c>
      <c r="AM64" s="24" cm="1">
        <f t="array" ref="AM64">$G$3+IFERROR(VLOOKUP($AH64,$F$4:$G$7,2,FALSE),0)+VLOOKUP($R64,武学奇术!$A:$ZZ,2,FALSE)+SUM(_xlfn.XLOOKUP($S64:$AG64,增益!$A:$A,增益!$B:$B,0))</f>
        <v>1.6191</v>
      </c>
      <c r="AN64" s="24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1364.4</v>
      </c>
      <c r="AP64" cm="1">
        <f t="array" ref="AP64">$E$10*(1+$AN64)+VLOOKUP($R64,武学奇术!$A:$ZZ,4,FALSE)+SUM(_xlfn.XLOOKUP($S64:$AG64,增益!$A:$A,增益!$D:$D,0))-$I$2</f>
        <v>6174.4</v>
      </c>
      <c r="AQ64" s="32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0.2925</v>
      </c>
      <c r="AR64" s="32" cm="1">
        <f t="array" ref="AR64">$G$10+VLOOKUP($R64,武学奇术!$A:$ZZ,7,FALSE)+SUM(_xlfn.XLOOKUP(S64:AG64,增益!$A:$A,增益!$G:$G,0))</f>
        <v>0</v>
      </c>
      <c r="AS64" s="24" cm="1">
        <f t="array" ref="AS64">VLOOKUP($R64,武学奇术!$A:$ZZ,8,FALSE)+SUM(_xlfn.XLOOKUP(S64:AG64,增益!$A:$A,增益!$H:$H,0))</f>
        <v>0</v>
      </c>
      <c r="AT64">
        <f t="shared" si="23"/>
        <v>557.3</v>
      </c>
      <c r="AU64">
        <f t="shared" si="24"/>
        <v>1049.5</v>
      </c>
      <c r="AV64" s="32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0.11</v>
      </c>
      <c r="AW64" s="32" cm="1">
        <f t="array" ref="AW64">$G$11+VLOOKUP($R64,武学奇术!$A:$ZZ,10,FALSE)+SUM(_xlfn.XLOOKUP(S64:AG64,增益!$A:$A,增益!$J:$J,0))</f>
        <v>0.25</v>
      </c>
      <c r="AX64">
        <f t="shared" si="25"/>
        <v>0</v>
      </c>
      <c r="AY64">
        <f t="shared" si="26"/>
        <v>0</v>
      </c>
      <c r="AZ64" s="32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-0.14</v>
      </c>
      <c r="BA64" s="32" cm="1">
        <f t="array" ref="BA64">$G$12+VLOOKUP($R64,武学奇术!$A:$ZZ,12,FALSE)+SUM(_xlfn.XLOOKUP(S64:AG64,增益!$A:$A,增益!$L:$L,0))</f>
        <v>0</v>
      </c>
      <c r="BB64">
        <f t="shared" si="27"/>
        <v>0</v>
      </c>
      <c r="BC64">
        <f t="shared" si="28"/>
        <v>0</v>
      </c>
      <c r="BD64" s="32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-0.14</v>
      </c>
      <c r="BE64" s="32" cm="1">
        <f t="array" ref="BE64">$G$13+VLOOKUP($R64,武学奇术!$A:$ZZ,14,FALSE)+SUM(_xlfn.XLOOKUP(S64:AG64,增益!$A:$A,增益!$N:$N,0))</f>
        <v>0</v>
      </c>
      <c r="BF64">
        <f t="shared" si="29"/>
        <v>0</v>
      </c>
      <c r="BG64">
        <f t="shared" si="30"/>
        <v>0</v>
      </c>
      <c r="BH64" s="32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-0.14</v>
      </c>
      <c r="BI64" s="32" cm="1">
        <f t="array" ref="BI64">$G$14+VLOOKUP($R64,武学奇术!$A:$ZZ,16,FALSE)+SUM(_xlfn.XLOOKUP(S64:AG64,增益!$A:$A,增益!$P:$P,0))</f>
        <v>0</v>
      </c>
      <c r="BJ64" s="24">
        <f>MIN(IF(VLOOKUP($R64,武学奇术!$A:$ZZ,23,FALSE)=1,100%,$B$8),100%)</f>
        <v>0.8271</v>
      </c>
      <c r="BK64" s="24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0.1789</v>
      </c>
      <c r="BL64" s="24" cm="1">
        <f t="array" ref="BL64">1+$B$13+VLOOKUP($R64,武学奇术!$A:$ZZ,18,FALSE)+SUM(_xlfn.XLOOKUP(S64:AG64,增益!$A:$A,增益!$R:$R,0))</f>
        <v>1.5</v>
      </c>
      <c r="BM64" s="24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0.5509</v>
      </c>
      <c r="BN64" s="24" cm="1">
        <f t="array" ref="BN64">1+$B$14+VLOOKUP($R64,武学奇术!$A:$ZZ,20,FALSE)+SUM(_xlfn.XLOOKUP(S64:AG64,增益!$A:$A,增益!$T:$T,0))</f>
        <v>2.062</v>
      </c>
      <c r="BO64" s="24">
        <f t="shared" si="11"/>
        <v>0.14796819</v>
      </c>
      <c r="BP64" s="24">
        <f t="shared" si="17"/>
        <v>0.30113181</v>
      </c>
      <c r="BQ64" s="24">
        <f>IF(VLOOKUP($R64,武学奇术!$A:$ZZ,22,FALSE)=1,0,(1-$BJ64))*(1-$BM64)</f>
        <v>0</v>
      </c>
      <c r="BR64" s="24" cm="1">
        <f t="array" ref="BR64">SUM(_xlfn.XLOOKUP(S64:AG64,增益!$A:$A,增益!$W:$W,0))+$I$5</f>
        <v>0.31</v>
      </c>
    </row>
    <row r="65" spans="1:70">
      <c r="A65" s="86" t="s">
        <v>150</v>
      </c>
      <c r="B65" s="86">
        <v>2.33</v>
      </c>
      <c r="C65" s="38"/>
      <c r="E65" s="38"/>
      <c r="K65" s="30">
        <f>$L65*VLOOKUP($R65,武学奇术!$A:$ZZ,31,FALSE)</f>
        <v>387262.574551267</v>
      </c>
      <c r="L65" s="30">
        <f t="shared" si="22"/>
        <v>352056.885955698</v>
      </c>
      <c r="M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239090.683223479</v>
      </c>
      <c r="N65" s="30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487711.980730515</v>
      </c>
      <c r="O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159393.788815653</v>
      </c>
      <c r="P65" s="30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82263.8236397857</v>
      </c>
      <c r="Q65" s="38">
        <v>3</v>
      </c>
      <c r="R65" s="39" t="s">
        <v>153</v>
      </c>
      <c r="S65" s="39" t="s">
        <v>143</v>
      </c>
      <c r="T65" s="39" t="s">
        <v>69</v>
      </c>
      <c r="U65" s="39" t="s">
        <v>73</v>
      </c>
      <c r="V65" s="39" t="s">
        <v>74</v>
      </c>
      <c r="W65" s="39" t="s">
        <v>109</v>
      </c>
      <c r="X65" s="39" t="s">
        <v>97</v>
      </c>
      <c r="Y65" s="39" t="s">
        <v>80</v>
      </c>
      <c r="Z65" s="39" t="s">
        <v>98</v>
      </c>
      <c r="AA65" s="39" t="s">
        <v>103</v>
      </c>
      <c r="AB65" s="39" t="s">
        <v>147</v>
      </c>
      <c r="AC65" s="39" t="s">
        <v>148</v>
      </c>
      <c r="AD65" s="39" t="s">
        <v>104</v>
      </c>
      <c r="AE65" s="39" t="s">
        <v>75</v>
      </c>
      <c r="AF65" s="39" t="s">
        <v>75</v>
      </c>
      <c r="AG65" s="39" t="s">
        <v>76</v>
      </c>
      <c r="AH65" t="str">
        <f>VLOOKUP($R65,武学奇术!$A:$ZZ,25,FALSE)</f>
        <v>剑</v>
      </c>
      <c r="AI65" s="24">
        <f>VLOOKUP($R65,武学奇术!$A:$ZZ,26,FALSE)</f>
        <v>1.5679</v>
      </c>
      <c r="AJ65" s="25">
        <f>VLOOKUP($R65,武学奇术!$A:$ZZ,27,FALSE)*(1+IF(OR($AH65=$F$4,$AH65=$F$5),$B$22,0))</f>
        <v>606.2</v>
      </c>
      <c r="AK65" s="24">
        <f>VLOOKUP($R65,武学奇术!$A:$ZZ,28,FALSE)</f>
        <v>2.3518</v>
      </c>
      <c r="AL65" s="25">
        <f>VLOOKUP($R65,武学奇术!$A:$ZZ,29,FALSE)*(1+IF(OR($AH65=$F$4,$AH65=$F$5),$B$22,0))</f>
        <v>330.4</v>
      </c>
      <c r="AM65" s="24" cm="1">
        <f t="array" ref="AM65">$G$3+IFERROR(VLOOKUP($AH65,$F$4:$G$7,2,FALSE),0)+VLOOKUP($R65,武学奇术!$A:$ZZ,2,FALSE)+SUM(_xlfn.XLOOKUP($S65:$AG65,增益!$A:$A,增益!$B:$B,0))</f>
        <v>1.6191</v>
      </c>
      <c r="AN65" s="24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1364.4</v>
      </c>
      <c r="AP65" cm="1">
        <f t="array" ref="AP65">$E$10*(1+$AN65)+VLOOKUP($R65,武学奇术!$A:$ZZ,4,FALSE)+SUM(_xlfn.XLOOKUP($S65:$AG65,增益!$A:$A,增益!$D:$D,0))-$I$2</f>
        <v>6174.4</v>
      </c>
      <c r="AQ65" s="32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0.2925</v>
      </c>
      <c r="AR65" s="32" cm="1">
        <f t="array" ref="AR65">$G$10+VLOOKUP($R65,武学奇术!$A:$ZZ,7,FALSE)+SUM(_xlfn.XLOOKUP(S65:AG65,增益!$A:$A,增益!$G:$G,0))</f>
        <v>0</v>
      </c>
      <c r="AS65" s="24" cm="1">
        <f t="array" ref="AS65">VLOOKUP($R65,武学奇术!$A:$ZZ,8,FALSE)+SUM(_xlfn.XLOOKUP(S65:AG65,增益!$A:$A,增益!$H:$H,0))</f>
        <v>0</v>
      </c>
      <c r="AT65">
        <f t="shared" si="23"/>
        <v>557.3</v>
      </c>
      <c r="AU65">
        <f t="shared" si="24"/>
        <v>1049.5</v>
      </c>
      <c r="AV65" s="32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0.11</v>
      </c>
      <c r="AW65" s="32" cm="1">
        <f t="array" ref="AW65">$G$11+VLOOKUP($R65,武学奇术!$A:$ZZ,10,FALSE)+SUM(_xlfn.XLOOKUP(S65:AG65,增益!$A:$A,增益!$J:$J,0))</f>
        <v>0.25</v>
      </c>
      <c r="AX65">
        <f t="shared" si="25"/>
        <v>0</v>
      </c>
      <c r="AY65">
        <f t="shared" si="26"/>
        <v>0</v>
      </c>
      <c r="AZ65" s="32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-0.14</v>
      </c>
      <c r="BA65" s="32" cm="1">
        <f t="array" ref="BA65">$G$12+VLOOKUP($R65,武学奇术!$A:$ZZ,12,FALSE)+SUM(_xlfn.XLOOKUP(S65:AG65,增益!$A:$A,增益!$L:$L,0))</f>
        <v>0</v>
      </c>
      <c r="BB65">
        <f t="shared" si="27"/>
        <v>0</v>
      </c>
      <c r="BC65">
        <f t="shared" si="28"/>
        <v>0</v>
      </c>
      <c r="BD65" s="32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-0.14</v>
      </c>
      <c r="BE65" s="32" cm="1">
        <f t="array" ref="BE65">$G$13+VLOOKUP($R65,武学奇术!$A:$ZZ,14,FALSE)+SUM(_xlfn.XLOOKUP(S65:AG65,增益!$A:$A,增益!$N:$N,0))</f>
        <v>0</v>
      </c>
      <c r="BF65">
        <f t="shared" si="29"/>
        <v>0</v>
      </c>
      <c r="BG65">
        <f t="shared" si="30"/>
        <v>0</v>
      </c>
      <c r="BH65" s="32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-0.14</v>
      </c>
      <c r="BI65" s="32" cm="1">
        <f t="array" ref="BI65">$G$14+VLOOKUP($R65,武学奇术!$A:$ZZ,16,FALSE)+SUM(_xlfn.XLOOKUP(S65:AG65,增益!$A:$A,增益!$P:$P,0))</f>
        <v>0</v>
      </c>
      <c r="BJ65" s="24">
        <f>MIN(IF(VLOOKUP($R65,武学奇术!$A:$ZZ,23,FALSE)=1,100%,$B$8),100%)</f>
        <v>0.8271</v>
      </c>
      <c r="BK65" s="24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0.1789</v>
      </c>
      <c r="BL65" s="24" cm="1">
        <f t="array" ref="BL65">1+$B$13+VLOOKUP($R65,武学奇术!$A:$ZZ,18,FALSE)+SUM(_xlfn.XLOOKUP(S65:AG65,增益!$A:$A,增益!$R:$R,0))</f>
        <v>1.5</v>
      </c>
      <c r="BM65" s="24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0.5509</v>
      </c>
      <c r="BN65" s="24" cm="1">
        <f t="array" ref="BN65">1+$B$14+VLOOKUP($R65,武学奇术!$A:$ZZ,20,FALSE)+SUM(_xlfn.XLOOKUP(S65:AG65,增益!$A:$A,增益!$T:$T,0))</f>
        <v>2.062</v>
      </c>
      <c r="BO65" s="24">
        <f t="shared" si="11"/>
        <v>0.14796819</v>
      </c>
      <c r="BP65" s="24">
        <f t="shared" si="17"/>
        <v>0.30113181</v>
      </c>
      <c r="BQ65" s="24">
        <f>IF(VLOOKUP($R65,武学奇术!$A:$ZZ,22,FALSE)=1,0,(1-$BJ65))*(1-$BM65)</f>
        <v>0</v>
      </c>
      <c r="BR65" s="24" cm="1">
        <f t="array" ref="BR65">SUM(_xlfn.XLOOKUP(S65:AG65,增益!$A:$A,增益!$W:$W,0))+$I$5</f>
        <v>0.31</v>
      </c>
    </row>
    <row r="66" spans="1:70">
      <c r="A66" s="86" t="s">
        <v>152</v>
      </c>
      <c r="B66" s="86">
        <v>0.8</v>
      </c>
      <c r="C66" s="38"/>
      <c r="E66" s="38"/>
      <c r="K66" s="30">
        <f>$L66*VLOOKUP($R66,武学奇术!$A:$ZZ,31,FALSE)</f>
        <v>626000.772674174</v>
      </c>
      <c r="L66" s="30">
        <f t="shared" si="22"/>
        <v>569091.611521976</v>
      </c>
      <c r="M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279008.553246771</v>
      </c>
      <c r="N66" s="30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569091.611521976</v>
      </c>
      <c r="O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186005.702164514</v>
      </c>
      <c r="P66" s="30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96021.2920487294</v>
      </c>
      <c r="Q66" s="38">
        <v>3</v>
      </c>
      <c r="R66" s="39" t="s">
        <v>155</v>
      </c>
      <c r="S66" s="39" t="s">
        <v>143</v>
      </c>
      <c r="T66" s="39" t="s">
        <v>69</v>
      </c>
      <c r="U66" s="39" t="s">
        <v>73</v>
      </c>
      <c r="V66" s="39" t="s">
        <v>74</v>
      </c>
      <c r="W66" s="39" t="s">
        <v>109</v>
      </c>
      <c r="X66" s="39" t="s">
        <v>97</v>
      </c>
      <c r="Y66" s="39" t="s">
        <v>80</v>
      </c>
      <c r="Z66" s="39" t="s">
        <v>98</v>
      </c>
      <c r="AA66" s="39" t="s">
        <v>103</v>
      </c>
      <c r="AB66" s="39" t="s">
        <v>147</v>
      </c>
      <c r="AC66" s="39" t="s">
        <v>148</v>
      </c>
      <c r="AD66" s="39" t="s">
        <v>104</v>
      </c>
      <c r="AE66" s="39" t="s">
        <v>75</v>
      </c>
      <c r="AF66" s="39" t="s">
        <v>75</v>
      </c>
      <c r="AG66" s="39" t="s">
        <v>76</v>
      </c>
      <c r="AH66" t="str">
        <f>VLOOKUP($R66,武学奇术!$A:$ZZ,25,FALSE)</f>
        <v>剑</v>
      </c>
      <c r="AI66" s="24">
        <f>VLOOKUP($R66,武学奇术!$A:$ZZ,26,FALSE)</f>
        <v>1.8292</v>
      </c>
      <c r="AJ66" s="25">
        <f>VLOOKUP($R66,武学奇术!$A:$ZZ,27,FALSE)*(1+IF(OR($AH66=$F$4,$AH66=$F$5),$B$22,0))</f>
        <v>708.4</v>
      </c>
      <c r="AK66" s="24">
        <f>VLOOKUP($R66,武学奇术!$A:$ZZ,28,FALSE)</f>
        <v>2.7438</v>
      </c>
      <c r="AL66" s="25">
        <f>VLOOKUP($R66,武学奇术!$A:$ZZ,29,FALSE)*(1+IF(OR($AH66=$F$4,$AH66=$F$5),$B$22,0))</f>
        <v>386.4</v>
      </c>
      <c r="AM66" s="24" cm="1">
        <f t="array" ref="AM66">$G$3+IFERROR(VLOOKUP($AH66,$F$4:$G$7,2,FALSE),0)+VLOOKUP($R66,武学奇术!$A:$ZZ,2,FALSE)+SUM(_xlfn.XLOOKUP($S66:$AG66,增益!$A:$A,增益!$B:$B,0))</f>
        <v>1.6191</v>
      </c>
      <c r="AN66" s="24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1364.4</v>
      </c>
      <c r="AP66" cm="1">
        <f t="array" ref="AP66">$E$10*(1+$AN66)+VLOOKUP($R66,武学奇术!$A:$ZZ,4,FALSE)+SUM(_xlfn.XLOOKUP($S66:$AG66,增益!$A:$A,增益!$D:$D,0))-$I$2</f>
        <v>6174.4</v>
      </c>
      <c r="AQ66" s="32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0.2925</v>
      </c>
      <c r="AR66" s="32" cm="1">
        <f t="array" ref="AR66">$G$10+VLOOKUP($R66,武学奇术!$A:$ZZ,7,FALSE)+SUM(_xlfn.XLOOKUP(S66:AG66,增益!$A:$A,增益!$G:$G,0))</f>
        <v>0</v>
      </c>
      <c r="AS66" s="24" cm="1">
        <f t="array" ref="AS66">VLOOKUP($R66,武学奇术!$A:$ZZ,8,FALSE)+SUM(_xlfn.XLOOKUP(S66:AG66,增益!$A:$A,增益!$H:$H,0))</f>
        <v>0</v>
      </c>
      <c r="AT66">
        <f t="shared" si="23"/>
        <v>557.3</v>
      </c>
      <c r="AU66">
        <f t="shared" si="24"/>
        <v>1049.5</v>
      </c>
      <c r="AV66" s="32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0.11</v>
      </c>
      <c r="AW66" s="32" cm="1">
        <f t="array" ref="AW66">$G$11+VLOOKUP($R66,武学奇术!$A:$ZZ,10,FALSE)+SUM(_xlfn.XLOOKUP(S66:AG66,增益!$A:$A,增益!$J:$J,0))</f>
        <v>0.25</v>
      </c>
      <c r="AX66">
        <f t="shared" si="25"/>
        <v>0</v>
      </c>
      <c r="AY66">
        <f t="shared" si="26"/>
        <v>0</v>
      </c>
      <c r="AZ66" s="32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-0.14</v>
      </c>
      <c r="BA66" s="32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32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-0.14</v>
      </c>
      <c r="BE66" s="32" cm="1">
        <f t="array" ref="BE66">$G$13+VLOOKUP($R66,武学奇术!$A:$ZZ,14,FALSE)+SUM(_xlfn.XLOOKUP(S66:AG66,增益!$A:$A,增益!$N:$N,0))</f>
        <v>0</v>
      </c>
      <c r="BF66">
        <f t="shared" si="29"/>
        <v>0</v>
      </c>
      <c r="BG66">
        <f t="shared" si="30"/>
        <v>0</v>
      </c>
      <c r="BH66" s="32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-0.14</v>
      </c>
      <c r="BI66" s="32" cm="1">
        <f t="array" ref="BI66">$G$14+VLOOKUP($R66,武学奇术!$A:$ZZ,16,FALSE)+SUM(_xlfn.XLOOKUP(S66:AG66,增益!$A:$A,增益!$P:$P,0))</f>
        <v>0</v>
      </c>
      <c r="BJ66" s="24">
        <f>MIN(IF(VLOOKUP($R66,武学奇术!$A:$ZZ,23,FALSE)=1,100%,$B$8),100%)</f>
        <v>0.8271</v>
      </c>
      <c r="BK66" s="24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4" cm="1">
        <f t="array" ref="BL66">1+$B$13+VLOOKUP($R66,武学奇术!$A:$ZZ,18,FALSE)+SUM(_xlfn.XLOOKUP(S66:AG66,增益!$A:$A,增益!$R:$R,0))</f>
        <v>1.5</v>
      </c>
      <c r="BM66" s="24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4" cm="1">
        <f t="array" ref="BN66">1+$B$14+VLOOKUP($R66,武学奇术!$A:$ZZ,20,FALSE)+SUM(_xlfn.XLOOKUP(S66:AG66,增益!$A:$A,增益!$T:$T,0))</f>
        <v>2.062</v>
      </c>
      <c r="BO66" s="24">
        <f t="shared" si="11"/>
        <v>0</v>
      </c>
      <c r="BP66" s="24">
        <f t="shared" si="17"/>
        <v>0</v>
      </c>
      <c r="BQ66" s="24">
        <f>IF(VLOOKUP($R66,武学奇术!$A:$ZZ,22,FALSE)=1,0,(1-$BJ66))*(1-$BM66)</f>
        <v>0</v>
      </c>
      <c r="BR66" s="24" cm="1">
        <f t="array" ref="BR66">SUM(_xlfn.XLOOKUP(S66:AG66,增益!$A:$A,增益!$W:$W,0))+$I$5</f>
        <v>0.31</v>
      </c>
    </row>
    <row r="67" spans="1:70">
      <c r="A67" s="86" t="s">
        <v>157</v>
      </c>
      <c r="B67" s="86">
        <v>2.33</v>
      </c>
      <c r="C67" s="38"/>
      <c r="E67" s="38"/>
      <c r="K67" s="30">
        <f>$L67*VLOOKUP($R67,武学奇术!$A:$ZZ,31,FALSE)</f>
        <v>93826.861112902</v>
      </c>
      <c r="L67" s="30">
        <f t="shared" si="22"/>
        <v>85297.1464662746</v>
      </c>
      <c r="M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66423.0247618736</v>
      </c>
      <c r="N67" s="30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128917.506622842</v>
      </c>
      <c r="O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44282.0165079158</v>
      </c>
      <c r="P67" s="30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22856.8430959325</v>
      </c>
      <c r="Q67" s="38">
        <v>1</v>
      </c>
      <c r="R67" s="39" t="s">
        <v>151</v>
      </c>
      <c r="S67" s="39" t="s">
        <v>143</v>
      </c>
      <c r="T67" s="39" t="s">
        <v>75</v>
      </c>
      <c r="U67" s="39" t="s">
        <v>114</v>
      </c>
      <c r="V67" s="39" t="s">
        <v>74</v>
      </c>
      <c r="W67" s="39" t="s">
        <v>109</v>
      </c>
      <c r="X67" s="39" t="s">
        <v>97</v>
      </c>
      <c r="Y67" s="39" t="s">
        <v>80</v>
      </c>
      <c r="Z67" s="39" t="s">
        <v>98</v>
      </c>
      <c r="AA67" s="39" t="s">
        <v>103</v>
      </c>
      <c r="AB67" s="39" t="s">
        <v>147</v>
      </c>
      <c r="AC67" s="39" t="s">
        <v>148</v>
      </c>
      <c r="AD67" s="39" t="s">
        <v>104</v>
      </c>
      <c r="AE67" s="39" t="s">
        <v>75</v>
      </c>
      <c r="AF67" s="39" t="s">
        <v>75</v>
      </c>
      <c r="AG67" s="39" t="s">
        <v>76</v>
      </c>
      <c r="AH67" t="str">
        <f>VLOOKUP($R67,武学奇术!$A:$ZZ,25,FALSE)</f>
        <v>剑</v>
      </c>
      <c r="AI67" s="24">
        <f>VLOOKUP($R67,武学奇术!$A:$ZZ,26,FALSE)</f>
        <v>1.3066</v>
      </c>
      <c r="AJ67" s="25">
        <f>VLOOKUP($R67,武学奇术!$A:$ZZ,27,FALSE)*(1+IF(OR($AH67=$F$4,$AH67=$F$5),$B$22,0))</f>
        <v>505.4</v>
      </c>
      <c r="AK67" s="24">
        <f>VLOOKUP($R67,武学奇术!$A:$ZZ,28,FALSE)</f>
        <v>1.9598</v>
      </c>
      <c r="AL67" s="25">
        <f>VLOOKUP($R67,武学奇术!$A:$ZZ,29,FALSE)*(1+IF(OR($AH67=$F$4,$AH67=$F$5),$B$22,0))</f>
        <v>275.8</v>
      </c>
      <c r="AM67" s="24" cm="1">
        <f t="array" ref="AM67">$G$3+IFERROR(VLOOKUP($AH67,$F$4:$G$7,2,FALSE),0)+VLOOKUP($R67,武学奇术!$A:$ZZ,2,FALSE)+SUM(_xlfn.XLOOKUP($S67:$AG67,增益!$A:$A,增益!$B:$B,0))</f>
        <v>1.6191</v>
      </c>
      <c r="AN67" s="24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1364.4</v>
      </c>
      <c r="AP67" cm="1">
        <f t="array" ref="AP67">$E$10*(1+$AN67)+VLOOKUP($R67,武学奇术!$A:$ZZ,4,FALSE)+SUM(_xlfn.XLOOKUP($S67:$AG67,增益!$A:$A,增益!$D:$D,0))-$I$2</f>
        <v>6174.4</v>
      </c>
      <c r="AQ67" s="32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0.2925</v>
      </c>
      <c r="AR67" s="32" cm="1">
        <f t="array" ref="AR67">$G$10+VLOOKUP($R67,武学奇术!$A:$ZZ,7,FALSE)+SUM(_xlfn.XLOOKUP(S67:AG67,增益!$A:$A,增益!$G:$G,0))</f>
        <v>0</v>
      </c>
      <c r="AS67" s="24" cm="1">
        <f t="array" ref="AS67">VLOOKUP($R67,武学奇术!$A:$ZZ,8,FALSE)+SUM(_xlfn.XLOOKUP(S67:AG67,增益!$A:$A,增益!$H:$H,0))</f>
        <v>0</v>
      </c>
      <c r="AT67">
        <f t="shared" si="23"/>
        <v>557.3</v>
      </c>
      <c r="AU67">
        <f t="shared" si="24"/>
        <v>1049.5</v>
      </c>
      <c r="AV67" s="32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0.11</v>
      </c>
      <c r="AW67" s="32" cm="1">
        <f t="array" ref="AW67">$G$11+VLOOKUP($R67,武学奇术!$A:$ZZ,10,FALSE)+SUM(_xlfn.XLOOKUP(S67:AG67,增益!$A:$A,增益!$J:$J,0))</f>
        <v>0.25</v>
      </c>
      <c r="AX67">
        <f t="shared" si="25"/>
        <v>0</v>
      </c>
      <c r="AY67">
        <f t="shared" si="26"/>
        <v>0</v>
      </c>
      <c r="AZ67" s="32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-0.14</v>
      </c>
      <c r="BA67" s="32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32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-0.14</v>
      </c>
      <c r="BE67" s="32" cm="1">
        <f t="array" ref="BE67">$G$13+VLOOKUP($R67,武学奇术!$A:$ZZ,14,FALSE)+SUM(_xlfn.XLOOKUP(S67:AG67,增益!$A:$A,增益!$N:$N,0))</f>
        <v>0</v>
      </c>
      <c r="BF67">
        <f t="shared" si="29"/>
        <v>0</v>
      </c>
      <c r="BG67">
        <f t="shared" si="30"/>
        <v>0</v>
      </c>
      <c r="BH67" s="32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-0.14</v>
      </c>
      <c r="BI67" s="32" cm="1">
        <f t="array" ref="BI67">$G$14+VLOOKUP($R67,武学奇术!$A:$ZZ,16,FALSE)+SUM(_xlfn.XLOOKUP(S67:AG67,增益!$A:$A,增益!$P:$P,0))</f>
        <v>0</v>
      </c>
      <c r="BJ67" s="24">
        <f>MIN(IF(VLOOKUP($R67,武学奇术!$A:$ZZ,23,FALSE)=1,100%,$B$8),100%)</f>
        <v>0.8271</v>
      </c>
      <c r="BK67" s="24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0.1789</v>
      </c>
      <c r="BL67" s="24" cm="1">
        <f t="array" ref="BL67">1+$B$13+VLOOKUP($R67,武学奇术!$A:$ZZ,18,FALSE)+SUM(_xlfn.XLOOKUP(S67:AG67,增益!$A:$A,增益!$R:$R,0))</f>
        <v>1.5</v>
      </c>
      <c r="BM67" s="24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4" cm="1">
        <f t="array" ref="BN67">1+$B$14+VLOOKUP($R67,武学奇术!$A:$ZZ,20,FALSE)+SUM(_xlfn.XLOOKUP(S67:AG67,增益!$A:$A,增益!$T:$T,0))</f>
        <v>1.962</v>
      </c>
      <c r="BO67" s="24">
        <f t="shared" si="11"/>
        <v>0.14796819</v>
      </c>
      <c r="BP67" s="24">
        <f t="shared" si="17"/>
        <v>0.40613181</v>
      </c>
      <c r="BQ67" s="24">
        <f>IF(VLOOKUP($R67,武学奇术!$A:$ZZ,22,FALSE)=1,0,(1-$BJ67))*(1-$BM67)</f>
        <v>0</v>
      </c>
      <c r="BR67" s="24" cm="1">
        <f t="array" ref="BR67">SUM(_xlfn.XLOOKUP(S67:AG67,增益!$A:$A,增益!$W:$W,0))+$I$5</f>
        <v>0.31</v>
      </c>
    </row>
    <row r="68" spans="1:70">
      <c r="A68" s="86" t="s">
        <v>150</v>
      </c>
      <c r="B68" s="86">
        <v>2.33</v>
      </c>
      <c r="C68" s="38"/>
      <c r="K68" s="30">
        <f>$L68*VLOOKUP($R68,武学奇术!$A:$ZZ,31,FALSE)</f>
        <v>112580.18992519</v>
      </c>
      <c r="L68" s="30">
        <f t="shared" si="22"/>
        <v>102345.627204718</v>
      </c>
      <c r="M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79696.8944078265</v>
      </c>
      <c r="N68" s="30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154686.535110454</v>
      </c>
      <c r="O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53131.262938551</v>
      </c>
      <c r="P68" s="30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27421.2745465952</v>
      </c>
      <c r="Q68" s="38">
        <v>1</v>
      </c>
      <c r="R68" s="39" t="s">
        <v>153</v>
      </c>
      <c r="S68" s="39" t="s">
        <v>143</v>
      </c>
      <c r="T68" s="39" t="s">
        <v>75</v>
      </c>
      <c r="U68" s="39" t="s">
        <v>114</v>
      </c>
      <c r="V68" s="39" t="s">
        <v>74</v>
      </c>
      <c r="W68" s="39" t="s">
        <v>109</v>
      </c>
      <c r="X68" s="39" t="s">
        <v>97</v>
      </c>
      <c r="Y68" s="39" t="s">
        <v>80</v>
      </c>
      <c r="Z68" s="39" t="s">
        <v>98</v>
      </c>
      <c r="AA68" s="39" t="s">
        <v>103</v>
      </c>
      <c r="AB68" s="39" t="s">
        <v>147</v>
      </c>
      <c r="AC68" s="39" t="s">
        <v>148</v>
      </c>
      <c r="AD68" s="39" t="s">
        <v>104</v>
      </c>
      <c r="AE68" s="39" t="s">
        <v>75</v>
      </c>
      <c r="AF68" s="39" t="s">
        <v>75</v>
      </c>
      <c r="AG68" s="39" t="s">
        <v>76</v>
      </c>
      <c r="AH68" t="str">
        <f>VLOOKUP($R68,武学奇术!$A:$ZZ,25,FALSE)</f>
        <v>剑</v>
      </c>
      <c r="AI68" s="24">
        <f>VLOOKUP($R68,武学奇术!$A:$ZZ,26,FALSE)</f>
        <v>1.5679</v>
      </c>
      <c r="AJ68" s="25">
        <f>VLOOKUP($R68,武学奇术!$A:$ZZ,27,FALSE)*(1+IF(OR($AH68=$F$4,$AH68=$F$5),$B$22,0))</f>
        <v>606.2</v>
      </c>
      <c r="AK68" s="24">
        <f>VLOOKUP($R68,武学奇术!$A:$ZZ,28,FALSE)</f>
        <v>2.3518</v>
      </c>
      <c r="AL68" s="25">
        <f>VLOOKUP($R68,武学奇术!$A:$ZZ,29,FALSE)*(1+IF(OR($AH68=$F$4,$AH68=$F$5),$B$22,0))</f>
        <v>330.4</v>
      </c>
      <c r="AM68" s="24" cm="1">
        <f t="array" ref="AM68">$G$3+IFERROR(VLOOKUP($AH68,$F$4:$G$7,2,FALSE),0)+VLOOKUP($R68,武学奇术!$A:$ZZ,2,FALSE)+SUM(_xlfn.XLOOKUP($S68:$AG68,增益!$A:$A,增益!$B:$B,0))</f>
        <v>1.6191</v>
      </c>
      <c r="AN68" s="24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1364.4</v>
      </c>
      <c r="AP68" cm="1">
        <f t="array" ref="AP68">$E$10*(1+$AN68)+VLOOKUP($R68,武学奇术!$A:$ZZ,4,FALSE)+SUM(_xlfn.XLOOKUP($S68:$AG68,增益!$A:$A,增益!$D:$D,0))-$I$2</f>
        <v>6174.4</v>
      </c>
      <c r="AQ68" s="32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0.2925</v>
      </c>
      <c r="AR68" s="32" cm="1">
        <f t="array" ref="AR68">$G$10+VLOOKUP($R68,武学奇术!$A:$ZZ,7,FALSE)+SUM(_xlfn.XLOOKUP(S68:AG68,增益!$A:$A,增益!$G:$G,0))</f>
        <v>0</v>
      </c>
      <c r="AS68" s="24" cm="1">
        <f t="array" ref="AS68">VLOOKUP($R68,武学奇术!$A:$ZZ,8,FALSE)+SUM(_xlfn.XLOOKUP(S68:AG68,增益!$A:$A,增益!$H:$H,0))</f>
        <v>0</v>
      </c>
      <c r="AT68">
        <f t="shared" si="23"/>
        <v>557.3</v>
      </c>
      <c r="AU68">
        <f t="shared" si="24"/>
        <v>1049.5</v>
      </c>
      <c r="AV68" s="32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0.11</v>
      </c>
      <c r="AW68" s="32" cm="1">
        <f t="array" ref="AW68">$G$11+VLOOKUP($R68,武学奇术!$A:$ZZ,10,FALSE)+SUM(_xlfn.XLOOKUP(S68:AG68,增益!$A:$A,增益!$J:$J,0))</f>
        <v>0.25</v>
      </c>
      <c r="AX68">
        <f t="shared" si="25"/>
        <v>0</v>
      </c>
      <c r="AY68">
        <f t="shared" si="26"/>
        <v>0</v>
      </c>
      <c r="AZ68" s="32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-0.14</v>
      </c>
      <c r="BA68" s="32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32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-0.14</v>
      </c>
      <c r="BE68" s="32" cm="1">
        <f t="array" ref="BE68">$G$13+VLOOKUP($R68,武学奇术!$A:$ZZ,14,FALSE)+SUM(_xlfn.XLOOKUP(S68:AG68,增益!$A:$A,增益!$N:$N,0))</f>
        <v>0</v>
      </c>
      <c r="BF68">
        <f t="shared" si="29"/>
        <v>0</v>
      </c>
      <c r="BG68">
        <f t="shared" si="30"/>
        <v>0</v>
      </c>
      <c r="BH68" s="32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-0.14</v>
      </c>
      <c r="BI68" s="32" cm="1">
        <f t="array" ref="BI68">$G$14+VLOOKUP($R68,武学奇术!$A:$ZZ,16,FALSE)+SUM(_xlfn.XLOOKUP(S68:AG68,增益!$A:$A,增益!$P:$P,0))</f>
        <v>0</v>
      </c>
      <c r="BJ68" s="24">
        <f>MIN(IF(VLOOKUP($R68,武学奇术!$A:$ZZ,23,FALSE)=1,100%,$B$8),100%)</f>
        <v>0.8271</v>
      </c>
      <c r="BK68" s="24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0.1789</v>
      </c>
      <c r="BL68" s="24" cm="1">
        <f t="array" ref="BL68">1+$B$13+VLOOKUP($R68,武学奇术!$A:$ZZ,18,FALSE)+SUM(_xlfn.XLOOKUP(S68:AG68,增益!$A:$A,增益!$R:$R,0))</f>
        <v>1.5</v>
      </c>
      <c r="BM68" s="24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4" cm="1">
        <f t="array" ref="BN68">1+$B$14+VLOOKUP($R68,武学奇术!$A:$ZZ,20,FALSE)+SUM(_xlfn.XLOOKUP(S68:AG68,增益!$A:$A,增益!$T:$T,0))</f>
        <v>1.962</v>
      </c>
      <c r="BO68" s="24">
        <f t="shared" si="11"/>
        <v>0.14796819</v>
      </c>
      <c r="BP68" s="24">
        <f t="shared" si="17"/>
        <v>0.40613181</v>
      </c>
      <c r="BQ68" s="24">
        <f>IF(VLOOKUP($R68,武学奇术!$A:$ZZ,22,FALSE)=1,0,(1-$BJ68))*(1-$BM68)</f>
        <v>0</v>
      </c>
      <c r="BR68" s="24" cm="1">
        <f t="array" ref="BR68">SUM(_xlfn.XLOOKUP(S68:AG68,增益!$A:$A,增益!$W:$W,0))+$I$5</f>
        <v>0.31</v>
      </c>
    </row>
    <row r="69" spans="1:70">
      <c r="A69" s="86" t="s">
        <v>158</v>
      </c>
      <c r="B69" s="86">
        <v>1.2</v>
      </c>
      <c r="K69" s="30">
        <f>$L69*VLOOKUP($R69,武学奇术!$A:$ZZ,31,FALSE)</f>
        <v>198547.286774447</v>
      </c>
      <c r="L69" s="30">
        <f t="shared" si="22"/>
        <v>180497.533431315</v>
      </c>
      <c r="M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93002.8510822571</v>
      </c>
      <c r="N69" s="30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180497.533431315</v>
      </c>
      <c r="O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62001.9007215047</v>
      </c>
      <c r="P69" s="30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32007.0973495765</v>
      </c>
      <c r="Q69" s="38">
        <v>1</v>
      </c>
      <c r="R69" s="39" t="s">
        <v>155</v>
      </c>
      <c r="S69" s="39" t="s">
        <v>143</v>
      </c>
      <c r="T69" s="39" t="s">
        <v>75</v>
      </c>
      <c r="U69" s="39" t="s">
        <v>114</v>
      </c>
      <c r="V69" s="39" t="s">
        <v>74</v>
      </c>
      <c r="W69" s="39" t="s">
        <v>109</v>
      </c>
      <c r="X69" s="39" t="s">
        <v>97</v>
      </c>
      <c r="Y69" s="39" t="s">
        <v>80</v>
      </c>
      <c r="Z69" s="39" t="s">
        <v>98</v>
      </c>
      <c r="AA69" s="39" t="s">
        <v>103</v>
      </c>
      <c r="AB69" s="39" t="s">
        <v>147</v>
      </c>
      <c r="AC69" s="39" t="s">
        <v>148</v>
      </c>
      <c r="AD69" s="39" t="s">
        <v>104</v>
      </c>
      <c r="AE69" s="39" t="s">
        <v>75</v>
      </c>
      <c r="AF69" s="39" t="s">
        <v>75</v>
      </c>
      <c r="AG69" s="39" t="s">
        <v>76</v>
      </c>
      <c r="AH69" t="str">
        <f>VLOOKUP($R69,武学奇术!$A:$ZZ,25,FALSE)</f>
        <v>剑</v>
      </c>
      <c r="AI69" s="24">
        <f>VLOOKUP($R69,武学奇术!$A:$ZZ,26,FALSE)</f>
        <v>1.8292</v>
      </c>
      <c r="AJ69" s="25">
        <f>VLOOKUP($R69,武学奇术!$A:$ZZ,27,FALSE)*(1+IF(OR($AH69=$F$4,$AH69=$F$5),$B$22,0))</f>
        <v>708.4</v>
      </c>
      <c r="AK69" s="24">
        <f>VLOOKUP($R69,武学奇术!$A:$ZZ,28,FALSE)</f>
        <v>2.7438</v>
      </c>
      <c r="AL69" s="25">
        <f>VLOOKUP($R69,武学奇术!$A:$ZZ,29,FALSE)*(1+IF(OR($AH69=$F$4,$AH69=$F$5),$B$22,0))</f>
        <v>386.4</v>
      </c>
      <c r="AM69" s="24" cm="1">
        <f t="array" ref="AM69">$G$3+IFERROR(VLOOKUP($AH69,$F$4:$G$7,2,FALSE),0)+VLOOKUP($R69,武学奇术!$A:$ZZ,2,FALSE)+SUM(_xlfn.XLOOKUP($S69:$AG69,增益!$A:$A,增益!$B:$B,0))</f>
        <v>1.6191</v>
      </c>
      <c r="AN69" s="24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1364.4</v>
      </c>
      <c r="AP69" cm="1">
        <f t="array" ref="AP69">$E$10*(1+$AN69)+VLOOKUP($R69,武学奇术!$A:$ZZ,4,FALSE)+SUM(_xlfn.XLOOKUP($S69:$AG69,增益!$A:$A,增益!$D:$D,0))-$I$2</f>
        <v>6174.4</v>
      </c>
      <c r="AQ69" s="32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0.2925</v>
      </c>
      <c r="AR69" s="32" cm="1">
        <f t="array" ref="AR69">$G$10+VLOOKUP($R69,武学奇术!$A:$ZZ,7,FALSE)+SUM(_xlfn.XLOOKUP(S69:AG69,增益!$A:$A,增益!$G:$G,0))</f>
        <v>0</v>
      </c>
      <c r="AS69" s="24" cm="1">
        <f t="array" ref="AS69">VLOOKUP($R69,武学奇术!$A:$ZZ,8,FALSE)+SUM(_xlfn.XLOOKUP(S69:AG69,增益!$A:$A,增益!$H:$H,0))</f>
        <v>0</v>
      </c>
      <c r="AT69">
        <f t="shared" si="23"/>
        <v>557.3</v>
      </c>
      <c r="AU69">
        <f t="shared" si="24"/>
        <v>1049.5</v>
      </c>
      <c r="AV69" s="32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0.11</v>
      </c>
      <c r="AW69" s="32" cm="1">
        <f t="array" ref="AW69">$G$11+VLOOKUP($R69,武学奇术!$A:$ZZ,10,FALSE)+SUM(_xlfn.XLOOKUP(S69:AG69,增益!$A:$A,增益!$J:$J,0))</f>
        <v>0.25</v>
      </c>
      <c r="AX69">
        <f t="shared" si="25"/>
        <v>0</v>
      </c>
      <c r="AY69">
        <f t="shared" si="26"/>
        <v>0</v>
      </c>
      <c r="AZ69" s="32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-0.14</v>
      </c>
      <c r="BA69" s="32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32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-0.14</v>
      </c>
      <c r="BE69" s="32" cm="1">
        <f t="array" ref="BE69">$G$13+VLOOKUP($R69,武学奇术!$A:$ZZ,14,FALSE)+SUM(_xlfn.XLOOKUP(S69:AG69,增益!$A:$A,增益!$N:$N,0))</f>
        <v>0</v>
      </c>
      <c r="BF69">
        <f t="shared" si="29"/>
        <v>0</v>
      </c>
      <c r="BG69">
        <f t="shared" si="30"/>
        <v>0</v>
      </c>
      <c r="BH69" s="32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-0.14</v>
      </c>
      <c r="BI69" s="32" cm="1">
        <f t="array" ref="BI69">$G$14+VLOOKUP($R69,武学奇术!$A:$ZZ,16,FALSE)+SUM(_xlfn.XLOOKUP(S69:AG69,增益!$A:$A,增益!$P:$P,0))</f>
        <v>0</v>
      </c>
      <c r="BJ69" s="24">
        <f>MIN(IF(VLOOKUP($R69,武学奇术!$A:$ZZ,23,FALSE)=1,100%,$B$8),100%)</f>
        <v>0.8271</v>
      </c>
      <c r="BK69" s="24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4" cm="1">
        <f t="array" ref="BL69">1+$B$13+VLOOKUP($R69,武学奇术!$A:$ZZ,18,FALSE)+SUM(_xlfn.XLOOKUP(S69:AG69,增益!$A:$A,增益!$R:$R,0))</f>
        <v>1.5</v>
      </c>
      <c r="BM69" s="24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4" cm="1">
        <f t="array" ref="BN69">1+$B$14+VLOOKUP($R69,武学奇术!$A:$ZZ,20,FALSE)+SUM(_xlfn.XLOOKUP(S69:AG69,增益!$A:$A,增益!$T:$T,0))</f>
        <v>1.962</v>
      </c>
      <c r="BO69" s="24">
        <f t="shared" si="11"/>
        <v>0</v>
      </c>
      <c r="BP69" s="24">
        <f t="shared" si="17"/>
        <v>0</v>
      </c>
      <c r="BQ69" s="24">
        <f>IF(VLOOKUP($R69,武学奇术!$A:$ZZ,22,FALSE)=1,0,(1-$BJ69))*(1-$BM69)</f>
        <v>0</v>
      </c>
      <c r="BR69" s="24" cm="1">
        <f t="array" ref="BR69">SUM(_xlfn.XLOOKUP(S69:AG69,增益!$A:$A,增益!$W:$W,0))+$I$5</f>
        <v>0.31</v>
      </c>
    </row>
    <row r="70" spans="1:70">
      <c r="A70" s="86" t="s">
        <v>145</v>
      </c>
      <c r="B70" s="86">
        <v>1.1</v>
      </c>
      <c r="K70" s="30">
        <f>$L70*VLOOKUP($R70,武学奇术!$A:$ZZ,31,FALSE)</f>
        <v>30539.5995599423</v>
      </c>
      <c r="L70" s="30">
        <f t="shared" si="22"/>
        <v>27763.2723272203</v>
      </c>
      <c r="M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23650.1607051015</v>
      </c>
      <c r="N70" s="30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41694.2360829865</v>
      </c>
      <c r="O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15766.773803401</v>
      </c>
      <c r="P70" s="30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8136.10872746056</v>
      </c>
      <c r="Q70" s="38">
        <v>1</v>
      </c>
      <c r="R70" s="39" t="s">
        <v>93</v>
      </c>
      <c r="S70" s="39" t="s">
        <v>143</v>
      </c>
      <c r="T70" s="39" t="s">
        <v>75</v>
      </c>
      <c r="U70" s="39" t="s">
        <v>114</v>
      </c>
      <c r="V70" s="39" t="s">
        <v>74</v>
      </c>
      <c r="W70" s="39" t="s">
        <v>75</v>
      </c>
      <c r="X70" s="39" t="s">
        <v>75</v>
      </c>
      <c r="Y70" s="39" t="s">
        <v>75</v>
      </c>
      <c r="Z70" s="39" t="s">
        <v>75</v>
      </c>
      <c r="AA70" s="39" t="s">
        <v>103</v>
      </c>
      <c r="AB70" s="39" t="s">
        <v>147</v>
      </c>
      <c r="AC70" s="39" t="s">
        <v>148</v>
      </c>
      <c r="AD70" s="39" t="s">
        <v>104</v>
      </c>
      <c r="AE70" s="39" t="s">
        <v>75</v>
      </c>
      <c r="AF70" s="39" t="s">
        <v>75</v>
      </c>
      <c r="AG70" s="39" t="s">
        <v>76</v>
      </c>
      <c r="AH70" t="str">
        <f>VLOOKUP($R70,武学奇术!$A:$ZZ,25,FALSE)</f>
        <v>剑</v>
      </c>
      <c r="AI70" s="24">
        <f>VLOOKUP($R70,武学奇术!$A:$ZZ,26,FALSE)</f>
        <v>1.0253</v>
      </c>
      <c r="AJ70" s="25">
        <f>VLOOKUP($R70,武学奇术!$A:$ZZ,27,FALSE)*(1+IF(OR($AH70=$F$4,$AH70=$F$5),$B$22,0))</f>
        <v>396.2</v>
      </c>
      <c r="AK70" s="24">
        <f>VLOOKUP($R70,武学奇术!$A:$ZZ,28,FALSE)</f>
        <v>1.538</v>
      </c>
      <c r="AL70" s="25">
        <f>VLOOKUP($R70,武学奇术!$A:$ZZ,29,FALSE)*(1+IF(OR($AH70=$F$4,$AH70=$F$5),$B$22,0))</f>
        <v>215.6</v>
      </c>
      <c r="AM70" s="24" cm="1">
        <f t="array" ref="AM70">$G$3+IFERROR(VLOOKUP($AH70,$F$4:$G$7,2,FALSE),0)+VLOOKUP($R70,武学奇术!$A:$ZZ,2,FALSE)+SUM(_xlfn.XLOOKUP($S70:$AG70,增益!$A:$A,增益!$B:$B,0))</f>
        <v>0.5691</v>
      </c>
      <c r="AN70" s="24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1364.4</v>
      </c>
      <c r="AP70" cm="1">
        <f t="array" ref="AP70">$E$10*(1+$AN70)+VLOOKUP($R70,武学奇术!$A:$ZZ,4,FALSE)+SUM(_xlfn.XLOOKUP($S70:$AG70,增益!$A:$A,增益!$D:$D,0))-$I$2</f>
        <v>6174.4</v>
      </c>
      <c r="AQ70" s="32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0.2925</v>
      </c>
      <c r="AR70" s="32" cm="1">
        <f t="array" ref="AR70">$G$10+VLOOKUP($R70,武学奇术!$A:$ZZ,7,FALSE)+SUM(_xlfn.XLOOKUP(S70:AG70,增益!$A:$A,增益!$G:$G,0))</f>
        <v>0</v>
      </c>
      <c r="AS70" s="24" cm="1">
        <f t="array" ref="AS70">VLOOKUP($R70,武学奇术!$A:$ZZ,8,FALSE)+SUM(_xlfn.XLOOKUP(S70:AG70,增益!$A:$A,增益!$H:$H,0))</f>
        <v>0</v>
      </c>
      <c r="AT70">
        <f t="shared" si="23"/>
        <v>557.3</v>
      </c>
      <c r="AU70">
        <f t="shared" si="24"/>
        <v>1049.5</v>
      </c>
      <c r="AV70" s="32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0.11</v>
      </c>
      <c r="AW70" s="32" cm="1">
        <f t="array" ref="AW70">$G$11+VLOOKUP($R70,武学奇术!$A:$ZZ,10,FALSE)+SUM(_xlfn.XLOOKUP(S70:AG70,增益!$A:$A,增益!$J:$J,0))</f>
        <v>0.25</v>
      </c>
      <c r="AX70">
        <f t="shared" si="25"/>
        <v>0</v>
      </c>
      <c r="AY70">
        <f t="shared" si="26"/>
        <v>0</v>
      </c>
      <c r="AZ70" s="32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-0.14</v>
      </c>
      <c r="BA70" s="32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32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-0.14</v>
      </c>
      <c r="BE70" s="32" cm="1">
        <f t="array" ref="BE70">$G$13+VLOOKUP($R70,武学奇术!$A:$ZZ,14,FALSE)+SUM(_xlfn.XLOOKUP(S70:AG70,增益!$A:$A,增益!$N:$N,0))</f>
        <v>0</v>
      </c>
      <c r="BF70">
        <f t="shared" si="29"/>
        <v>0</v>
      </c>
      <c r="BG70">
        <f t="shared" si="30"/>
        <v>0</v>
      </c>
      <c r="BH70" s="32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-0.14</v>
      </c>
      <c r="BI70" s="32" cm="1">
        <f t="array" ref="BI70">$G$14+VLOOKUP($R70,武学奇术!$A:$ZZ,16,FALSE)+SUM(_xlfn.XLOOKUP(S70:AG70,增益!$A:$A,增益!$P:$P,0))</f>
        <v>0</v>
      </c>
      <c r="BJ70" s="24">
        <f>MIN(IF(VLOOKUP($R70,武学奇术!$A:$ZZ,23,FALSE)=1,100%,$B$8),100%)</f>
        <v>0.8271</v>
      </c>
      <c r="BK70" s="24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0.1789</v>
      </c>
      <c r="BL70" s="24" cm="1">
        <f t="array" ref="BL70">1+$B$13+VLOOKUP($R70,武学奇术!$A:$ZZ,18,FALSE)+SUM(_xlfn.XLOOKUP(S70:AG70,增益!$A:$A,增益!$R:$R,0))</f>
        <v>1.5</v>
      </c>
      <c r="BM70" s="24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0.4459</v>
      </c>
      <c r="BN70" s="24" cm="1">
        <f t="array" ref="BN70">1+$B$14+VLOOKUP($R70,武学奇术!$A:$ZZ,20,FALSE)+SUM(_xlfn.XLOOKUP(S70:AG70,增益!$A:$A,增益!$T:$T,0))</f>
        <v>1.782</v>
      </c>
      <c r="BO70" s="24">
        <f t="shared" si="11"/>
        <v>0.14796819</v>
      </c>
      <c r="BP70" s="24">
        <f t="shared" si="17"/>
        <v>0.31032792</v>
      </c>
      <c r="BQ70" s="24">
        <f>IF(VLOOKUP($R70,武学奇术!$A:$ZZ,22,FALSE)=1,0,(1-$BJ70))*(1-$BM70)</f>
        <v>0.09580389</v>
      </c>
      <c r="BR70" s="24" cm="1">
        <f t="array" ref="BR70">SUM(_xlfn.XLOOKUP(S70:AG70,增益!$A:$A,增益!$W:$W,0))+$I$5</f>
        <v>0.31</v>
      </c>
    </row>
    <row r="71" spans="1:70">
      <c r="A71" s="86" t="s">
        <v>150</v>
      </c>
      <c r="B71" s="86">
        <v>2.33</v>
      </c>
      <c r="C71" s="38" t="s">
        <v>73</v>
      </c>
      <c r="F71" s="38" t="s">
        <v>154</v>
      </c>
      <c r="K71" s="30">
        <f>$L71*VLOOKUP($R71,武学奇术!$A:$ZZ,31,FALSE)</f>
        <v>273645.720925502</v>
      </c>
      <c r="L71" s="30">
        <f t="shared" si="22"/>
        <v>248768.837205002</v>
      </c>
      <c r="M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198042.417194938</v>
      </c>
      <c r="N71" s="30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385813.687510871</v>
      </c>
      <c r="O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132028.278129958</v>
      </c>
      <c r="P71" s="30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67413.4943277708</v>
      </c>
      <c r="Q71" s="38">
        <v>1</v>
      </c>
      <c r="R71" s="39" t="s">
        <v>96</v>
      </c>
      <c r="S71" s="39" t="s">
        <v>143</v>
      </c>
      <c r="T71" s="39" t="s">
        <v>75</v>
      </c>
      <c r="U71" s="39" t="s">
        <v>114</v>
      </c>
      <c r="V71" s="39" t="s">
        <v>74</v>
      </c>
      <c r="W71" s="39" t="s">
        <v>109</v>
      </c>
      <c r="X71" s="39" t="s">
        <v>97</v>
      </c>
      <c r="Y71" s="39" t="s">
        <v>80</v>
      </c>
      <c r="Z71" s="39" t="s">
        <v>98</v>
      </c>
      <c r="AA71" s="39" t="s">
        <v>103</v>
      </c>
      <c r="AB71" s="39" t="s">
        <v>75</v>
      </c>
      <c r="AC71" s="39" t="s">
        <v>75</v>
      </c>
      <c r="AD71" s="39" t="s">
        <v>104</v>
      </c>
      <c r="AE71" s="39" t="s">
        <v>75</v>
      </c>
      <c r="AF71" s="39" t="s">
        <v>75</v>
      </c>
      <c r="AG71" s="39" t="s">
        <v>76</v>
      </c>
      <c r="AH71" t="str">
        <f>VLOOKUP($R71,武学奇术!$A:$ZZ,25,FALSE)</f>
        <v>剑</v>
      </c>
      <c r="AI71" s="24">
        <f>VLOOKUP($R71,武学奇术!$A:$ZZ,26,FALSE)</f>
        <v>4.7037</v>
      </c>
      <c r="AJ71" s="25">
        <f>VLOOKUP($R71,武学奇术!$A:$ZZ,27,FALSE)*(1+IF(OR($AH71=$F$4,$AH71=$F$5),$B$22,0))</f>
        <v>1820</v>
      </c>
      <c r="AK71" s="24">
        <f>VLOOKUP($R71,武学奇术!$A:$ZZ,28,FALSE)</f>
        <v>7.0554</v>
      </c>
      <c r="AL71" s="25">
        <f>VLOOKUP($R71,武学奇术!$A:$ZZ,29,FALSE)*(1+IF(OR($AH71=$F$4,$AH71=$F$5),$B$22,0))</f>
        <v>992.6</v>
      </c>
      <c r="AM71" s="24" cm="1">
        <f t="array" ref="AM71">$G$3+IFERROR(VLOOKUP($AH71,$F$4:$G$7,2,FALSE),0)+VLOOKUP($R71,武学奇术!$A:$ZZ,2,FALSE)+SUM(_xlfn.XLOOKUP($S71:$AG71,增益!$A:$A,增益!$B:$B,0))</f>
        <v>1.6191</v>
      </c>
      <c r="AN71" s="24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1364.4</v>
      </c>
      <c r="AP71" cm="1">
        <f t="array" ref="AP71">$E$10*(1+$AN71)+VLOOKUP($R71,武学奇术!$A:$ZZ,4,FALSE)+SUM(_xlfn.XLOOKUP($S71:$AG71,增益!$A:$A,增益!$D:$D,0))-$I$2</f>
        <v>6174.4</v>
      </c>
      <c r="AQ71" s="32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0.2925</v>
      </c>
      <c r="AR71" s="32" cm="1">
        <f t="array" ref="AR71">$G$10+VLOOKUP($R71,武学奇术!$A:$ZZ,7,FALSE)+SUM(_xlfn.XLOOKUP(S71:AG71,增益!$A:$A,增益!$G:$G,0))</f>
        <v>0</v>
      </c>
      <c r="AS71" s="24" cm="1">
        <f t="array" ref="AS71">VLOOKUP($R71,武学奇术!$A:$ZZ,8,FALSE)+SUM(_xlfn.XLOOKUP(S71:AG71,增益!$A:$A,增益!$H:$H,0))</f>
        <v>0</v>
      </c>
      <c r="AT71">
        <f t="shared" si="23"/>
        <v>557.3</v>
      </c>
      <c r="AU71">
        <f t="shared" si="24"/>
        <v>1049.5</v>
      </c>
      <c r="AV71" s="32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0.11</v>
      </c>
      <c r="AW71" s="32" cm="1">
        <f t="array" ref="AW71">$G$11+VLOOKUP($R71,武学奇术!$A:$ZZ,10,FALSE)+SUM(_xlfn.XLOOKUP(S71:AG71,增益!$A:$A,增益!$J:$J,0))</f>
        <v>0.15</v>
      </c>
      <c r="AX71">
        <f t="shared" si="25"/>
        <v>0</v>
      </c>
      <c r="AY71">
        <f t="shared" si="26"/>
        <v>0</v>
      </c>
      <c r="AZ71" s="32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-0.14</v>
      </c>
      <c r="BA71" s="32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32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-0.14</v>
      </c>
      <c r="BE71" s="32" cm="1">
        <f t="array" ref="BE71">$G$13+VLOOKUP($R71,武学奇术!$A:$ZZ,14,FALSE)+SUM(_xlfn.XLOOKUP(S71:AG71,增益!$A:$A,增益!$N:$N,0))</f>
        <v>0</v>
      </c>
      <c r="BF71">
        <f t="shared" si="29"/>
        <v>0</v>
      </c>
      <c r="BG71">
        <f t="shared" si="30"/>
        <v>0</v>
      </c>
      <c r="BH71" s="32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-0.14</v>
      </c>
      <c r="BI71" s="32" cm="1">
        <f t="array" ref="BI71">$G$14+VLOOKUP($R71,武学奇术!$A:$ZZ,16,FALSE)+SUM(_xlfn.XLOOKUP(S71:AG71,增益!$A:$A,增益!$P:$P,0))</f>
        <v>0</v>
      </c>
      <c r="BJ71" s="24">
        <f>MIN(IF(VLOOKUP($R71,武学奇术!$A:$ZZ,23,FALSE)=1,100%,$B$8),100%)</f>
        <v>0.8271</v>
      </c>
      <c r="BK71" s="24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0.1789</v>
      </c>
      <c r="BL71" s="24" cm="1">
        <f t="array" ref="BL71">1+$B$13+VLOOKUP($R71,武学奇术!$A:$ZZ,18,FALSE)+SUM(_xlfn.XLOOKUP(S71:AG71,增益!$A:$A,增益!$R:$R,0))</f>
        <v>1.5</v>
      </c>
      <c r="BM71" s="24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4" cm="1">
        <f t="array" ref="BN71">1+$B$14+VLOOKUP($R71,武学奇术!$A:$ZZ,20,FALSE)+SUM(_xlfn.XLOOKUP(S71:AG71,增益!$A:$A,增益!$T:$T,0))</f>
        <v>1.962</v>
      </c>
      <c r="BO71" s="24">
        <f t="shared" si="11"/>
        <v>0.14796819</v>
      </c>
      <c r="BP71" s="24">
        <f t="shared" si="17"/>
        <v>0.31032792</v>
      </c>
      <c r="BQ71" s="24">
        <f>IF(VLOOKUP($R71,武学奇术!$A:$ZZ,22,FALSE)=1,0,(1-$BJ71))*(1-$BM71)</f>
        <v>0.09580389</v>
      </c>
      <c r="BR71" s="24" cm="1">
        <f t="array" ref="BR71">SUM(_xlfn.XLOOKUP(S71:AG71,增益!$A:$A,增益!$W:$W,0))+$I$5</f>
        <v>0.11</v>
      </c>
    </row>
    <row r="72" spans="1:70">
      <c r="A72" s="86" t="s">
        <v>150</v>
      </c>
      <c r="B72" s="86">
        <v>2.33</v>
      </c>
      <c r="C72" s="38"/>
      <c r="F72" s="38"/>
      <c r="K72" s="30">
        <f>$L72*VLOOKUP($R72,武学奇术!$A:$ZZ,31,FALSE)</f>
        <v>252749.55652357</v>
      </c>
      <c r="L72" s="30">
        <f t="shared" si="22"/>
        <v>229772.324112336</v>
      </c>
      <c r="M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182919.480522421</v>
      </c>
      <c r="N72" s="30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356352.140604615</v>
      </c>
      <c r="O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121946.320348281</v>
      </c>
      <c r="P72" s="30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62265.6577176551</v>
      </c>
      <c r="Q72" s="38">
        <v>1</v>
      </c>
      <c r="R72" s="39" t="s">
        <v>96</v>
      </c>
      <c r="S72" s="39" t="s">
        <v>143</v>
      </c>
      <c r="T72" s="39" t="s">
        <v>75</v>
      </c>
      <c r="U72" s="39" t="s">
        <v>114</v>
      </c>
      <c r="V72" s="39" t="s">
        <v>75</v>
      </c>
      <c r="W72" s="39" t="s">
        <v>109</v>
      </c>
      <c r="X72" s="39" t="s">
        <v>97</v>
      </c>
      <c r="Y72" s="39" t="s">
        <v>80</v>
      </c>
      <c r="Z72" s="39" t="s">
        <v>98</v>
      </c>
      <c r="AA72" s="39" t="s">
        <v>103</v>
      </c>
      <c r="AB72" s="39" t="s">
        <v>75</v>
      </c>
      <c r="AC72" s="39" t="s">
        <v>75</v>
      </c>
      <c r="AD72" s="39" t="s">
        <v>104</v>
      </c>
      <c r="AE72" s="39" t="s">
        <v>75</v>
      </c>
      <c r="AF72" s="39" t="s">
        <v>75</v>
      </c>
      <c r="AG72" s="39" t="s">
        <v>76</v>
      </c>
      <c r="AH72" t="str">
        <f>VLOOKUP($R72,武学奇术!$A:$ZZ,25,FALSE)</f>
        <v>剑</v>
      </c>
      <c r="AI72" s="24">
        <f>VLOOKUP($R72,武学奇术!$A:$ZZ,26,FALSE)</f>
        <v>4.7037</v>
      </c>
      <c r="AJ72" s="25">
        <f>VLOOKUP($R72,武学奇术!$A:$ZZ,27,FALSE)*(1+IF(OR($AH72=$F$4,$AH72=$F$5),$B$22,0))</f>
        <v>1820</v>
      </c>
      <c r="AK72" s="24">
        <f>VLOOKUP($R72,武学奇术!$A:$ZZ,28,FALSE)</f>
        <v>7.0554</v>
      </c>
      <c r="AL72" s="25">
        <f>VLOOKUP($R72,武学奇术!$A:$ZZ,29,FALSE)*(1+IF(OR($AH72=$F$4,$AH72=$F$5),$B$22,0))</f>
        <v>992.6</v>
      </c>
      <c r="AM72" s="24" cm="1">
        <f t="array" ref="AM72">$G$3+IFERROR(VLOOKUP($AH72,$F$4:$G$7,2,FALSE),0)+VLOOKUP($R72,武学奇术!$A:$ZZ,2,FALSE)+SUM(_xlfn.XLOOKUP($S72:$AG72,增益!$A:$A,增益!$B:$B,0))</f>
        <v>1.4191</v>
      </c>
      <c r="AN72" s="24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1364.4</v>
      </c>
      <c r="AP72" cm="1">
        <f t="array" ref="AP72">$E$10*(1+$AN72)+VLOOKUP($R72,武学奇术!$A:$ZZ,4,FALSE)+SUM(_xlfn.XLOOKUP($S72:$AG72,增益!$A:$A,增益!$D:$D,0))-$I$2</f>
        <v>6174.4</v>
      </c>
      <c r="AQ72" s="32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0.2925</v>
      </c>
      <c r="AR72" s="32" cm="1">
        <f t="array" ref="AR72">$G$10+VLOOKUP($R72,武学奇术!$A:$ZZ,7,FALSE)+SUM(_xlfn.XLOOKUP(S72:AG72,增益!$A:$A,增益!$G:$G,0))</f>
        <v>0</v>
      </c>
      <c r="AS72" s="24" cm="1">
        <f t="array" ref="AS72">VLOOKUP($R72,武学奇术!$A:$ZZ,8,FALSE)+SUM(_xlfn.XLOOKUP(S72:AG72,增益!$A:$A,增益!$H:$H,0))</f>
        <v>0</v>
      </c>
      <c r="AT72">
        <f t="shared" si="23"/>
        <v>557.3</v>
      </c>
      <c r="AU72">
        <f t="shared" si="24"/>
        <v>1049.5</v>
      </c>
      <c r="AV72" s="32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0.11</v>
      </c>
      <c r="AW72" s="32" cm="1">
        <f t="array" ref="AW72">$G$11+VLOOKUP($R72,武学奇术!$A:$ZZ,10,FALSE)+SUM(_xlfn.XLOOKUP(S72:AG72,增益!$A:$A,增益!$J:$J,0))</f>
        <v>0.15</v>
      </c>
      <c r="AX72">
        <f t="shared" si="25"/>
        <v>0</v>
      </c>
      <c r="AY72">
        <f t="shared" si="26"/>
        <v>0</v>
      </c>
      <c r="AZ72" s="32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-0.14</v>
      </c>
      <c r="BA72" s="32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32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-0.14</v>
      </c>
      <c r="BE72" s="32" cm="1">
        <f t="array" ref="BE72">$G$13+VLOOKUP($R72,武学奇术!$A:$ZZ,14,FALSE)+SUM(_xlfn.XLOOKUP(S72:AG72,增益!$A:$A,增益!$N:$N,0))</f>
        <v>0</v>
      </c>
      <c r="BF72">
        <f t="shared" si="29"/>
        <v>0</v>
      </c>
      <c r="BG72">
        <f t="shared" si="30"/>
        <v>0</v>
      </c>
      <c r="BH72" s="32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-0.14</v>
      </c>
      <c r="BI72" s="32" cm="1">
        <f t="array" ref="BI72">$G$14+VLOOKUP($R72,武学奇术!$A:$ZZ,16,FALSE)+SUM(_xlfn.XLOOKUP(S72:AG72,增益!$A:$A,增益!$P:$P,0))</f>
        <v>0</v>
      </c>
      <c r="BJ72" s="24">
        <f>MIN(IF(VLOOKUP($R72,武学奇术!$A:$ZZ,23,FALSE)=1,100%,$B$8),100%)</f>
        <v>0.8271</v>
      </c>
      <c r="BK72" s="24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0.1789</v>
      </c>
      <c r="BL72" s="24" cm="1">
        <f t="array" ref="BL72">1+$B$13+VLOOKUP($R72,武学奇术!$A:$ZZ,18,FALSE)+SUM(_xlfn.XLOOKUP(S72:AG72,增益!$A:$A,增益!$R:$R,0))</f>
        <v>1.5</v>
      </c>
      <c r="BM72" s="24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4" cm="1">
        <f t="array" ref="BN72">1+$B$14+VLOOKUP($R72,武学奇术!$A:$ZZ,20,FALSE)+SUM(_xlfn.XLOOKUP(S72:AG72,增益!$A:$A,增益!$T:$T,0))</f>
        <v>1.962</v>
      </c>
      <c r="BO72" s="24">
        <f t="shared" si="11"/>
        <v>0.14796819</v>
      </c>
      <c r="BP72" s="24">
        <f t="shared" si="17"/>
        <v>0.31032792</v>
      </c>
      <c r="BQ72" s="24">
        <f>IF(VLOOKUP($R72,武学奇术!$A:$ZZ,22,FALSE)=1,0,(1-$BJ72))*(1-$BM72)</f>
        <v>0.09580389</v>
      </c>
      <c r="BR72" s="24" cm="1">
        <f t="array" ref="BR72">SUM(_xlfn.XLOOKUP(S72:AG72,增益!$A:$A,增益!$W:$W,0))+$I$5</f>
        <v>0.11</v>
      </c>
    </row>
    <row r="73" spans="1:70">
      <c r="A73" s="86" t="s">
        <v>152</v>
      </c>
      <c r="B73" s="86">
        <v>0.8</v>
      </c>
      <c r="C73" s="38"/>
      <c r="F73" s="38"/>
      <c r="K73" s="30">
        <f>$L73*VLOOKUP($R73,武学奇术!$A:$ZZ,31,FALSE)</f>
        <v>0</v>
      </c>
      <c r="L73" s="30">
        <f t="shared" si="22"/>
        <v>0</v>
      </c>
      <c r="M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0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0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8">
        <v>1</v>
      </c>
      <c r="R73" s="39" t="s">
        <v>75</v>
      </c>
      <c r="S73" s="39" t="s">
        <v>75</v>
      </c>
      <c r="T73" s="39" t="s">
        <v>75</v>
      </c>
      <c r="U73" s="39" t="s">
        <v>75</v>
      </c>
      <c r="V73" s="39" t="s">
        <v>75</v>
      </c>
      <c r="W73" s="39" t="s">
        <v>75</v>
      </c>
      <c r="X73" s="39" t="s">
        <v>75</v>
      </c>
      <c r="Y73" s="39" t="s">
        <v>75</v>
      </c>
      <c r="Z73" s="39" t="s">
        <v>75</v>
      </c>
      <c r="AA73" s="39" t="s">
        <v>75</v>
      </c>
      <c r="AB73" s="39" t="s">
        <v>75</v>
      </c>
      <c r="AC73" s="39" t="s">
        <v>75</v>
      </c>
      <c r="AD73" s="39" t="s">
        <v>75</v>
      </c>
      <c r="AE73" s="39" t="s">
        <v>75</v>
      </c>
      <c r="AF73" s="39" t="s">
        <v>75</v>
      </c>
      <c r="AG73" s="39" t="s">
        <v>76</v>
      </c>
      <c r="AH73" t="str">
        <f>VLOOKUP($R73,武学奇术!$A:$ZZ,25,FALSE)</f>
        <v>心法</v>
      </c>
      <c r="AI73" s="24">
        <f>VLOOKUP($R73,武学奇术!$A:$ZZ,26,FALSE)</f>
        <v>0</v>
      </c>
      <c r="AJ73" s="25">
        <f>VLOOKUP($R73,武学奇术!$A:$ZZ,27,FALSE)*(1+IF(OR($AH73=$F$4,$AH73=$F$5),$B$22,0))</f>
        <v>0</v>
      </c>
      <c r="AK73" s="24">
        <f>VLOOKUP($R73,武学奇术!$A:$ZZ,28,FALSE)</f>
        <v>0</v>
      </c>
      <c r="AL73" s="25">
        <f>VLOOKUP($R73,武学奇术!$A:$ZZ,29,FALSE)*(1+IF(OR($AH73=$F$4,$AH73=$F$5),$B$22,0))</f>
        <v>0</v>
      </c>
      <c r="AM73" s="24" cm="1">
        <f t="array" ref="AM73">$G$3+IFERROR(VLOOKUP($AH73,$F$4:$G$7,2,FALSE),0)+VLOOKUP($R73,武学奇术!$A:$ZZ,2,FALSE)+SUM(_xlfn.XLOOKUP($S73:$AG73,增益!$A:$A,增益!$B:$B,0))</f>
        <v>0.1837</v>
      </c>
      <c r="AN73" s="24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1364.4</v>
      </c>
      <c r="AP73" cm="1">
        <f t="array" ref="AP73">$E$10*(1+$AN73)+VLOOKUP($R73,武学奇术!$A:$ZZ,4,FALSE)+SUM(_xlfn.XLOOKUP($S73:$AG73,增益!$A:$A,增益!$D:$D,0))-$I$2</f>
        <v>6174.4</v>
      </c>
      <c r="AQ73" s="32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0.2925</v>
      </c>
      <c r="AR73" s="32" cm="1">
        <f t="array" ref="AR73">$G$10+VLOOKUP($R73,武学奇术!$A:$ZZ,7,FALSE)+SUM(_xlfn.XLOOKUP(S73:AG73,增益!$A:$A,增益!$G:$G,0))</f>
        <v>0</v>
      </c>
      <c r="AS73" s="24" cm="1">
        <f t="array" ref="AS73">VLOOKUP($R73,武学奇术!$A:$ZZ,8,FALSE)+SUM(_xlfn.XLOOKUP(S73:AG73,增益!$A:$A,增益!$H:$H,0))</f>
        <v>0</v>
      </c>
      <c r="AT73">
        <f t="shared" si="23"/>
        <v>557.3</v>
      </c>
      <c r="AU73">
        <f t="shared" si="24"/>
        <v>1049.5</v>
      </c>
      <c r="AV73" s="32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2" cm="1">
        <f t="array" ref="AW73">$G$11+VLOOKUP($R73,武学奇术!$A:$ZZ,10,FALSE)+SUM(_xlfn.XLOOKUP(S73:AG73,增益!$A:$A,增益!$J:$J,0))</f>
        <v>0.15</v>
      </c>
      <c r="AX73">
        <f t="shared" si="25"/>
        <v>0</v>
      </c>
      <c r="AY73">
        <f t="shared" si="26"/>
        <v>0</v>
      </c>
      <c r="AZ73" s="32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2" cm="1">
        <f t="array" ref="BA73">$G$12+VLOOKUP($R73,武学奇术!$A:$ZZ,12,FALSE)+SUM(_xlfn.XLOOKUP(S73:AG73,增益!$A:$A,增益!$L:$L,0))</f>
        <v>0</v>
      </c>
      <c r="BB73">
        <f t="shared" si="27"/>
        <v>0</v>
      </c>
      <c r="BC73">
        <f t="shared" si="28"/>
        <v>0</v>
      </c>
      <c r="BD73" s="32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2" cm="1">
        <f t="array" ref="BE73">$G$13+VLOOKUP($R73,武学奇术!$A:$ZZ,14,FALSE)+SUM(_xlfn.XLOOKUP(S73:AG73,增益!$A:$A,增益!$N:$N,0))</f>
        <v>0</v>
      </c>
      <c r="BF73">
        <f t="shared" si="29"/>
        <v>0</v>
      </c>
      <c r="BG73">
        <f t="shared" si="30"/>
        <v>0</v>
      </c>
      <c r="BH73" s="32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2" cm="1">
        <f t="array" ref="BI73">$G$14+VLOOKUP($R73,武学奇术!$A:$ZZ,16,FALSE)+SUM(_xlfn.XLOOKUP(S73:AG73,增益!$A:$A,增益!$P:$P,0))</f>
        <v>0</v>
      </c>
      <c r="BJ73" s="24">
        <f>MIN(IF(VLOOKUP($R73,武学奇术!$A:$ZZ,23,FALSE)=1,100%,$B$8),100%)</f>
        <v>0.8271</v>
      </c>
      <c r="BK73" s="24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0.1789</v>
      </c>
      <c r="BL73" s="24" cm="1">
        <f t="array" ref="BL73">1+$B$13+VLOOKUP($R73,武学奇术!$A:$ZZ,18,FALSE)+SUM(_xlfn.XLOOKUP(S73:AG73,增益!$A:$A,增益!$R:$R,0))</f>
        <v>1.5</v>
      </c>
      <c r="BM73" s="24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0.4159</v>
      </c>
      <c r="BN73" s="24" cm="1">
        <f t="array" ref="BN73">1+$B$14+VLOOKUP($R73,武学奇术!$A:$ZZ,20,FALSE)+SUM(_xlfn.XLOOKUP(S73:AG73,增益!$A:$A,增益!$T:$T,0))</f>
        <v>1.402</v>
      </c>
      <c r="BO73" s="24">
        <f t="shared" si="11"/>
        <v>0.14796819</v>
      </c>
      <c r="BP73" s="24">
        <f t="shared" si="17"/>
        <v>0.33514092</v>
      </c>
      <c r="BQ73" s="24">
        <f>IF(VLOOKUP($R73,武学奇术!$A:$ZZ,22,FALSE)=1,0,(1-$BJ73))*(1-$BM73)</f>
        <v>0.10099089</v>
      </c>
      <c r="BR73" s="24" cm="1">
        <f t="array" ref="BR73">SUM(_xlfn.XLOOKUP(S73:AG73,增益!$A:$A,增益!$W:$W,0))+$I$5</f>
        <v>0.11</v>
      </c>
    </row>
    <row r="74" spans="1:70">
      <c r="A74" s="86" t="s">
        <v>150</v>
      </c>
      <c r="B74" s="86">
        <v>2.33</v>
      </c>
      <c r="C74" s="38"/>
      <c r="F74" s="38"/>
      <c r="K74" s="30">
        <f>$L74*VLOOKUP($R74,武学奇术!$A:$ZZ,31,FALSE)</f>
        <v>0</v>
      </c>
      <c r="L74" s="30">
        <f t="shared" si="22"/>
        <v>0</v>
      </c>
      <c r="M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0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0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8">
        <v>1</v>
      </c>
      <c r="R74" s="39" t="s">
        <v>75</v>
      </c>
      <c r="S74" s="39" t="s">
        <v>75</v>
      </c>
      <c r="T74" s="39" t="s">
        <v>75</v>
      </c>
      <c r="U74" s="39" t="s">
        <v>75</v>
      </c>
      <c r="V74" s="39" t="s">
        <v>75</v>
      </c>
      <c r="W74" s="39" t="s">
        <v>75</v>
      </c>
      <c r="X74" s="39" t="s">
        <v>75</v>
      </c>
      <c r="Y74" s="39" t="s">
        <v>75</v>
      </c>
      <c r="Z74" s="39" t="s">
        <v>75</v>
      </c>
      <c r="AA74" s="39" t="s">
        <v>75</v>
      </c>
      <c r="AB74" s="39" t="s">
        <v>75</v>
      </c>
      <c r="AC74" s="39" t="s">
        <v>75</v>
      </c>
      <c r="AD74" s="39" t="s">
        <v>75</v>
      </c>
      <c r="AE74" s="39" t="s">
        <v>75</v>
      </c>
      <c r="AF74" s="39" t="s">
        <v>75</v>
      </c>
      <c r="AG74" s="39" t="s">
        <v>76</v>
      </c>
      <c r="AH74" t="str">
        <f>VLOOKUP($R74,武学奇术!$A:$ZZ,25,FALSE)</f>
        <v>心法</v>
      </c>
      <c r="AI74" s="24">
        <f>VLOOKUP($R74,武学奇术!$A:$ZZ,26,FALSE)</f>
        <v>0</v>
      </c>
      <c r="AJ74" s="25">
        <f>VLOOKUP($R74,武学奇术!$A:$ZZ,27,FALSE)*(1+IF(OR($AH74=$F$4,$AH74=$F$5),$B$22,0))</f>
        <v>0</v>
      </c>
      <c r="AK74" s="24">
        <f>VLOOKUP($R74,武学奇术!$A:$ZZ,28,FALSE)</f>
        <v>0</v>
      </c>
      <c r="AL74" s="25">
        <f>VLOOKUP($R74,武学奇术!$A:$ZZ,29,FALSE)*(1+IF(OR($AH74=$F$4,$AH74=$F$5),$B$22,0))</f>
        <v>0</v>
      </c>
      <c r="AM74" s="24" cm="1">
        <f t="array" ref="AM74">$G$3+IFERROR(VLOOKUP($AH74,$F$4:$G$7,2,FALSE),0)+VLOOKUP($R74,武学奇术!$A:$ZZ,2,FALSE)+SUM(_xlfn.XLOOKUP($S74:$AG74,增益!$A:$A,增益!$B:$B,0))</f>
        <v>0.1837</v>
      </c>
      <c r="AN74" s="24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1364.4</v>
      </c>
      <c r="AP74" cm="1">
        <f t="array" ref="AP74">$E$10*(1+$AN74)+VLOOKUP($R74,武学奇术!$A:$ZZ,4,FALSE)+SUM(_xlfn.XLOOKUP($S74:$AG74,增益!$A:$A,增益!$D:$D,0))-$I$2</f>
        <v>6174.4</v>
      </c>
      <c r="AQ74" s="32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0.2925</v>
      </c>
      <c r="AR74" s="32" cm="1">
        <f t="array" ref="AR74">$G$10+VLOOKUP($R74,武学奇术!$A:$ZZ,7,FALSE)+SUM(_xlfn.XLOOKUP(S74:AG74,增益!$A:$A,增益!$G:$G,0))</f>
        <v>0</v>
      </c>
      <c r="AS74" s="24" cm="1">
        <f t="array" ref="AS74">VLOOKUP($R74,武学奇术!$A:$ZZ,8,FALSE)+SUM(_xlfn.XLOOKUP(S74:AG74,增益!$A:$A,增益!$H:$H,0))</f>
        <v>0</v>
      </c>
      <c r="AT74">
        <f t="shared" si="23"/>
        <v>557.3</v>
      </c>
      <c r="AU74">
        <f t="shared" si="24"/>
        <v>1049.5</v>
      </c>
      <c r="AV74" s="32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2" cm="1">
        <f t="array" ref="AW74">$G$11+VLOOKUP($R74,武学奇术!$A:$ZZ,10,FALSE)+SUM(_xlfn.XLOOKUP(S74:AG74,增益!$A:$A,增益!$J:$J,0))</f>
        <v>0.15</v>
      </c>
      <c r="AX74">
        <f t="shared" si="25"/>
        <v>0</v>
      </c>
      <c r="AY74">
        <f t="shared" si="26"/>
        <v>0</v>
      </c>
      <c r="AZ74" s="32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2" cm="1">
        <f t="array" ref="BA74">$G$12+VLOOKUP($R74,武学奇术!$A:$ZZ,12,FALSE)+SUM(_xlfn.XLOOKUP(S74:AG74,增益!$A:$A,增益!$L:$L,0))</f>
        <v>0</v>
      </c>
      <c r="BB74">
        <f t="shared" si="27"/>
        <v>0</v>
      </c>
      <c r="BC74">
        <f t="shared" si="28"/>
        <v>0</v>
      </c>
      <c r="BD74" s="32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2" cm="1">
        <f t="array" ref="BE74">$G$13+VLOOKUP($R74,武学奇术!$A:$ZZ,14,FALSE)+SUM(_xlfn.XLOOKUP(S74:AG74,增益!$A:$A,增益!$N:$N,0))</f>
        <v>0</v>
      </c>
      <c r="BF74">
        <f t="shared" si="29"/>
        <v>0</v>
      </c>
      <c r="BG74">
        <f t="shared" si="30"/>
        <v>0</v>
      </c>
      <c r="BH74" s="32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2" cm="1">
        <f t="array" ref="BI74">$G$14+VLOOKUP($R74,武学奇术!$A:$ZZ,16,FALSE)+SUM(_xlfn.XLOOKUP(S74:AG74,增益!$A:$A,增益!$P:$P,0))</f>
        <v>0</v>
      </c>
      <c r="BJ74" s="24">
        <f>MIN(IF(VLOOKUP($R74,武学奇术!$A:$ZZ,23,FALSE)=1,100%,$B$8),100%)</f>
        <v>0.8271</v>
      </c>
      <c r="BK74" s="24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0.1789</v>
      </c>
      <c r="BL74" s="24" cm="1">
        <f t="array" ref="BL74">1+$B$13+VLOOKUP($R74,武学奇术!$A:$ZZ,18,FALSE)+SUM(_xlfn.XLOOKUP(S74:AG74,增益!$A:$A,增益!$R:$R,0))</f>
        <v>1.5</v>
      </c>
      <c r="BM74" s="24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0.4159</v>
      </c>
      <c r="BN74" s="24" cm="1">
        <f t="array" ref="BN74">1+$B$14+VLOOKUP($R74,武学奇术!$A:$ZZ,20,FALSE)+SUM(_xlfn.XLOOKUP(S74:AG74,增益!$A:$A,增益!$T:$T,0))</f>
        <v>1.402</v>
      </c>
      <c r="BO74" s="24">
        <f t="shared" si="11"/>
        <v>0.14796819</v>
      </c>
      <c r="BP74" s="24">
        <f t="shared" si="17"/>
        <v>0.33514092</v>
      </c>
      <c r="BQ74" s="24">
        <f>IF(VLOOKUP($R74,武学奇术!$A:$ZZ,22,FALSE)=1,0,(1-$BJ74))*(1-$BM74)</f>
        <v>0.10099089</v>
      </c>
      <c r="BR74" s="24" cm="1">
        <f t="array" ref="BR74">SUM(_xlfn.XLOOKUP(S74:AG74,增益!$A:$A,增益!$W:$W,0))+$I$5</f>
        <v>0.11</v>
      </c>
    </row>
    <row r="75" spans="1:70">
      <c r="A75" s="86" t="s">
        <v>150</v>
      </c>
      <c r="B75" s="86">
        <v>2.33</v>
      </c>
      <c r="C75" s="4"/>
      <c r="F75" s="38"/>
      <c r="K75" s="30">
        <f>$L75*VLOOKUP($R75,武学奇术!$A:$ZZ,31,FALSE)</f>
        <v>0</v>
      </c>
      <c r="L75" s="30">
        <f t="shared" si="22"/>
        <v>0</v>
      </c>
      <c r="M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0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0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8">
        <v>1</v>
      </c>
      <c r="R75" s="39" t="s">
        <v>75</v>
      </c>
      <c r="S75" s="39" t="s">
        <v>75</v>
      </c>
      <c r="T75" s="39" t="s">
        <v>75</v>
      </c>
      <c r="U75" s="39" t="s">
        <v>75</v>
      </c>
      <c r="V75" s="39" t="s">
        <v>75</v>
      </c>
      <c r="W75" s="39" t="s">
        <v>75</v>
      </c>
      <c r="X75" s="39" t="s">
        <v>75</v>
      </c>
      <c r="Y75" s="39" t="s">
        <v>75</v>
      </c>
      <c r="Z75" s="39" t="s">
        <v>75</v>
      </c>
      <c r="AA75" s="39" t="s">
        <v>75</v>
      </c>
      <c r="AB75" s="39" t="s">
        <v>75</v>
      </c>
      <c r="AC75" s="39" t="s">
        <v>75</v>
      </c>
      <c r="AD75" s="39" t="s">
        <v>75</v>
      </c>
      <c r="AE75" s="39" t="s">
        <v>75</v>
      </c>
      <c r="AF75" s="39" t="s">
        <v>75</v>
      </c>
      <c r="AG75" s="39" t="s">
        <v>76</v>
      </c>
      <c r="AH75" t="str">
        <f>VLOOKUP($R75,武学奇术!$A:$ZZ,25,FALSE)</f>
        <v>心法</v>
      </c>
      <c r="AI75" s="24">
        <f>VLOOKUP($R75,武学奇术!$A:$ZZ,26,FALSE)</f>
        <v>0</v>
      </c>
      <c r="AJ75" s="25">
        <f>VLOOKUP($R75,武学奇术!$A:$ZZ,27,FALSE)*(1+IF(OR($AH75=$F$4,$AH75=$F$5),$B$22,0))</f>
        <v>0</v>
      </c>
      <c r="AK75" s="24">
        <f>VLOOKUP($R75,武学奇术!$A:$ZZ,28,FALSE)</f>
        <v>0</v>
      </c>
      <c r="AL75" s="25">
        <f>VLOOKUP($R75,武学奇术!$A:$ZZ,29,FALSE)*(1+IF(OR($AH75=$F$4,$AH75=$F$5),$B$22,0))</f>
        <v>0</v>
      </c>
      <c r="AM75" s="24" cm="1">
        <f t="array" ref="AM75">$G$3+IFERROR(VLOOKUP($AH75,$F$4:$G$7,2,FALSE),0)+VLOOKUP($R75,武学奇术!$A:$ZZ,2,FALSE)+SUM(_xlfn.XLOOKUP($S75:$AG75,增益!$A:$A,增益!$B:$B,0))</f>
        <v>0.1837</v>
      </c>
      <c r="AN75" s="24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1364.4</v>
      </c>
      <c r="AP75" cm="1">
        <f t="array" ref="AP75">$E$10*(1+$AN75)+VLOOKUP($R75,武学奇术!$A:$ZZ,4,FALSE)+SUM(_xlfn.XLOOKUP($S75:$AG75,增益!$A:$A,增益!$D:$D,0))-$I$2</f>
        <v>6174.4</v>
      </c>
      <c r="AQ75" s="32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0.2925</v>
      </c>
      <c r="AR75" s="32" cm="1">
        <f t="array" ref="AR75">$G$10+VLOOKUP($R75,武学奇术!$A:$ZZ,7,FALSE)+SUM(_xlfn.XLOOKUP(S75:AG75,增益!$A:$A,增益!$G:$G,0))</f>
        <v>0</v>
      </c>
      <c r="AS75" s="24" cm="1">
        <f t="array" ref="AS75">VLOOKUP($R75,武学奇术!$A:$ZZ,8,FALSE)+SUM(_xlfn.XLOOKUP(S75:AG75,增益!$A:$A,增益!$H:$H,0))</f>
        <v>0</v>
      </c>
      <c r="AT75">
        <f t="shared" si="23"/>
        <v>557.3</v>
      </c>
      <c r="AU75">
        <f t="shared" si="24"/>
        <v>1049.5</v>
      </c>
      <c r="AV75" s="32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2" cm="1">
        <f t="array" ref="AW75">$G$11+VLOOKUP($R75,武学奇术!$A:$ZZ,10,FALSE)+SUM(_xlfn.XLOOKUP(S75:AG75,增益!$A:$A,增益!$J:$J,0))</f>
        <v>0.15</v>
      </c>
      <c r="AX75">
        <f t="shared" si="25"/>
        <v>0</v>
      </c>
      <c r="AY75">
        <f t="shared" si="26"/>
        <v>0</v>
      </c>
      <c r="AZ75" s="32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2" cm="1">
        <f t="array" ref="BA75">$G$12+VLOOKUP($R75,武学奇术!$A:$ZZ,12,FALSE)+SUM(_xlfn.XLOOKUP(S75:AG75,增益!$A:$A,增益!$L:$L,0))</f>
        <v>0</v>
      </c>
      <c r="BB75">
        <f t="shared" si="27"/>
        <v>0</v>
      </c>
      <c r="BC75">
        <f t="shared" si="28"/>
        <v>0</v>
      </c>
      <c r="BD75" s="32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2" cm="1">
        <f t="array" ref="BE75">$G$13+VLOOKUP($R75,武学奇术!$A:$ZZ,14,FALSE)+SUM(_xlfn.XLOOKUP(S75:AG75,增益!$A:$A,增益!$N:$N,0))</f>
        <v>0</v>
      </c>
      <c r="BF75">
        <f t="shared" si="29"/>
        <v>0</v>
      </c>
      <c r="BG75">
        <f t="shared" si="30"/>
        <v>0</v>
      </c>
      <c r="BH75" s="32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2" cm="1">
        <f t="array" ref="BI75">$G$14+VLOOKUP($R75,武学奇术!$A:$ZZ,16,FALSE)+SUM(_xlfn.XLOOKUP(S75:AG75,增益!$A:$A,增益!$P:$P,0))</f>
        <v>0</v>
      </c>
      <c r="BJ75" s="24">
        <f>MIN(IF(VLOOKUP($R75,武学奇术!$A:$ZZ,23,FALSE)=1,100%,$B$8),100%)</f>
        <v>0.8271</v>
      </c>
      <c r="BK75" s="24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0.1789</v>
      </c>
      <c r="BL75" s="24" cm="1">
        <f t="array" ref="BL75">1+$B$13+VLOOKUP($R75,武学奇术!$A:$ZZ,18,FALSE)+SUM(_xlfn.XLOOKUP(S75:AG75,增益!$A:$A,增益!$R:$R,0))</f>
        <v>1.5</v>
      </c>
      <c r="BM75" s="24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0.4159</v>
      </c>
      <c r="BN75" s="24" cm="1">
        <f t="array" ref="BN75">1+$B$14+VLOOKUP($R75,武学奇术!$A:$ZZ,20,FALSE)+SUM(_xlfn.XLOOKUP(S75:AG75,增益!$A:$A,增益!$T:$T,0))</f>
        <v>1.402</v>
      </c>
      <c r="BO75" s="24">
        <f t="shared" si="11"/>
        <v>0.14796819</v>
      </c>
      <c r="BP75" s="24">
        <f t="shared" si="17"/>
        <v>0.33514092</v>
      </c>
      <c r="BQ75" s="24">
        <f>IF(VLOOKUP($R75,武学奇术!$A:$ZZ,22,FALSE)=1,0,(1-$BJ75))*(1-$BM75)</f>
        <v>0.10099089</v>
      </c>
      <c r="BR75" s="24" cm="1">
        <f t="array" ref="BR75">SUM(_xlfn.XLOOKUP(S75:AG75,增益!$A:$A,增益!$W:$W,0))+$I$5</f>
        <v>0.11</v>
      </c>
    </row>
    <row r="76" spans="1:70">
      <c r="A76" s="86" t="s">
        <v>158</v>
      </c>
      <c r="B76" s="86">
        <v>1.2</v>
      </c>
      <c r="C76" s="4"/>
      <c r="F76" s="38"/>
      <c r="K76" s="30">
        <f>$L76*VLOOKUP($R76,武学奇术!$A:$ZZ,31,FALSE)</f>
        <v>0</v>
      </c>
      <c r="L76" s="30">
        <f t="shared" si="22"/>
        <v>0</v>
      </c>
      <c r="M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0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0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8">
        <v>1</v>
      </c>
      <c r="R76" s="39" t="s">
        <v>75</v>
      </c>
      <c r="S76" s="39" t="s">
        <v>75</v>
      </c>
      <c r="T76" s="39" t="s">
        <v>75</v>
      </c>
      <c r="U76" s="39" t="s">
        <v>75</v>
      </c>
      <c r="V76" s="39" t="s">
        <v>75</v>
      </c>
      <c r="W76" s="39" t="s">
        <v>75</v>
      </c>
      <c r="X76" s="39" t="s">
        <v>75</v>
      </c>
      <c r="Y76" s="39" t="s">
        <v>75</v>
      </c>
      <c r="Z76" s="39" t="s">
        <v>75</v>
      </c>
      <c r="AA76" s="39" t="s">
        <v>75</v>
      </c>
      <c r="AB76" s="39" t="s">
        <v>75</v>
      </c>
      <c r="AC76" s="39" t="s">
        <v>75</v>
      </c>
      <c r="AD76" s="39" t="s">
        <v>75</v>
      </c>
      <c r="AE76" s="39" t="s">
        <v>75</v>
      </c>
      <c r="AF76" s="39" t="s">
        <v>75</v>
      </c>
      <c r="AG76" s="39" t="s">
        <v>76</v>
      </c>
      <c r="AH76" t="str">
        <f>VLOOKUP($R76,武学奇术!$A:$ZZ,25,FALSE)</f>
        <v>心法</v>
      </c>
      <c r="AI76" s="24">
        <f>VLOOKUP($R76,武学奇术!$A:$ZZ,26,FALSE)</f>
        <v>0</v>
      </c>
      <c r="AJ76" s="25">
        <f>VLOOKUP($R76,武学奇术!$A:$ZZ,27,FALSE)*(1+IF(OR($AH76=$F$4,$AH76=$F$5),$B$22,0))</f>
        <v>0</v>
      </c>
      <c r="AK76" s="24">
        <f>VLOOKUP($R76,武学奇术!$A:$ZZ,28,FALSE)</f>
        <v>0</v>
      </c>
      <c r="AL76" s="25">
        <f>VLOOKUP($R76,武学奇术!$A:$ZZ,29,FALSE)*(1+IF(OR($AH76=$F$4,$AH76=$F$5),$B$22,0))</f>
        <v>0</v>
      </c>
      <c r="AM76" s="24" cm="1">
        <f t="array" ref="AM76">$G$3+IFERROR(VLOOKUP($AH76,$F$4:$G$7,2,FALSE),0)+VLOOKUP($R76,武学奇术!$A:$ZZ,2,FALSE)+SUM(_xlfn.XLOOKUP($S76:$AG76,增益!$A:$A,增益!$B:$B,0))</f>
        <v>0.1837</v>
      </c>
      <c r="AN76" s="24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1364.4</v>
      </c>
      <c r="AP76" cm="1">
        <f t="array" ref="AP76">$E$10*(1+$AN76)+VLOOKUP($R76,武学奇术!$A:$ZZ,4,FALSE)+SUM(_xlfn.XLOOKUP($S76:$AG76,增益!$A:$A,增益!$D:$D,0))-$I$2</f>
        <v>6174.4</v>
      </c>
      <c r="AQ76" s="32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0.2925</v>
      </c>
      <c r="AR76" s="32" cm="1">
        <f t="array" ref="AR76">$G$10+VLOOKUP($R76,武学奇术!$A:$ZZ,7,FALSE)+SUM(_xlfn.XLOOKUP(S76:AG76,增益!$A:$A,增益!$G:$G,0))</f>
        <v>0</v>
      </c>
      <c r="AS76" s="24" cm="1">
        <f t="array" ref="AS76">VLOOKUP($R76,武学奇术!$A:$ZZ,8,FALSE)+SUM(_xlfn.XLOOKUP(S76:AG76,增益!$A:$A,增益!$H:$H,0))</f>
        <v>0</v>
      </c>
      <c r="AT76">
        <f t="shared" si="23"/>
        <v>557.3</v>
      </c>
      <c r="AU76">
        <f t="shared" si="24"/>
        <v>1049.5</v>
      </c>
      <c r="AV76" s="32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2" cm="1">
        <f t="array" ref="AW76">$G$11+VLOOKUP($R76,武学奇术!$A:$ZZ,10,FALSE)+SUM(_xlfn.XLOOKUP(S76:AG76,增益!$A:$A,增益!$J:$J,0))</f>
        <v>0.15</v>
      </c>
      <c r="AX76">
        <f t="shared" si="25"/>
        <v>0</v>
      </c>
      <c r="AY76">
        <f t="shared" si="26"/>
        <v>0</v>
      </c>
      <c r="AZ76" s="32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2" cm="1">
        <f t="array" ref="BA76">$G$12+VLOOKUP($R76,武学奇术!$A:$ZZ,12,FALSE)+SUM(_xlfn.XLOOKUP(S76:AG76,增益!$A:$A,增益!$L:$L,0))</f>
        <v>0</v>
      </c>
      <c r="BB76">
        <f t="shared" si="27"/>
        <v>0</v>
      </c>
      <c r="BC76">
        <f t="shared" si="28"/>
        <v>0</v>
      </c>
      <c r="BD76" s="32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2" cm="1">
        <f t="array" ref="BE76">$G$13+VLOOKUP($R76,武学奇术!$A:$ZZ,14,FALSE)+SUM(_xlfn.XLOOKUP(S76:AG76,增益!$A:$A,增益!$N:$N,0))</f>
        <v>0</v>
      </c>
      <c r="BF76">
        <f t="shared" si="29"/>
        <v>0</v>
      </c>
      <c r="BG76">
        <f t="shared" si="30"/>
        <v>0</v>
      </c>
      <c r="BH76" s="32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2" cm="1">
        <f t="array" ref="BI76">$G$14+VLOOKUP($R76,武学奇术!$A:$ZZ,16,FALSE)+SUM(_xlfn.XLOOKUP(S76:AG76,增益!$A:$A,增益!$P:$P,0))</f>
        <v>0</v>
      </c>
      <c r="BJ76" s="24">
        <f>MIN(IF(VLOOKUP($R76,武学奇术!$A:$ZZ,23,FALSE)=1,100%,$B$8),100%)</f>
        <v>0.8271</v>
      </c>
      <c r="BK76" s="24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0.1789</v>
      </c>
      <c r="BL76" s="24" cm="1">
        <f t="array" ref="BL76">1+$B$13+VLOOKUP($R76,武学奇术!$A:$ZZ,18,FALSE)+SUM(_xlfn.XLOOKUP(S76:AG76,增益!$A:$A,增益!$R:$R,0))</f>
        <v>1.5</v>
      </c>
      <c r="BM76" s="24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0.4159</v>
      </c>
      <c r="BN76" s="24" cm="1">
        <f t="array" ref="BN76">1+$B$14+VLOOKUP($R76,武学奇术!$A:$ZZ,20,FALSE)+SUM(_xlfn.XLOOKUP(S76:AG76,增益!$A:$A,增益!$T:$T,0))</f>
        <v>1.402</v>
      </c>
      <c r="BO76" s="24">
        <f t="shared" si="11"/>
        <v>0.14796819</v>
      </c>
      <c r="BP76" s="24">
        <f t="shared" si="17"/>
        <v>0.33514092</v>
      </c>
      <c r="BQ76" s="24">
        <f>IF(VLOOKUP($R76,武学奇术!$A:$ZZ,22,FALSE)=1,0,(1-$BJ76))*(1-$BM76)</f>
        <v>0.10099089</v>
      </c>
      <c r="BR76" s="24" cm="1">
        <f t="array" ref="BR76">SUM(_xlfn.XLOOKUP(S76:AG76,增益!$A:$A,增益!$W:$W,0))+$I$5</f>
        <v>0.11</v>
      </c>
    </row>
    <row r="77" spans="1:70">
      <c r="A77" s="86" t="s">
        <v>145</v>
      </c>
      <c r="B77" s="86">
        <v>1.1</v>
      </c>
      <c r="C77" s="4"/>
      <c r="F77" s="38"/>
      <c r="K77" s="88"/>
      <c r="L77" s="88"/>
      <c r="M77" s="88"/>
      <c r="N77" s="88"/>
      <c r="O77" s="88"/>
      <c r="P77" s="88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90"/>
      <c r="AI77" s="91"/>
      <c r="AJ77" s="92"/>
      <c r="AK77" s="91"/>
      <c r="AL77" s="92"/>
      <c r="AM77" s="91"/>
      <c r="AN77" s="91"/>
      <c r="AO77" s="90"/>
      <c r="AP77" s="90"/>
      <c r="AQ77" s="93"/>
      <c r="AR77" s="93"/>
      <c r="AS77" s="91"/>
      <c r="AT77" s="90"/>
      <c r="AU77" s="90"/>
      <c r="AV77" s="93"/>
      <c r="AW77" s="93"/>
      <c r="AX77" s="90"/>
      <c r="AY77" s="90"/>
      <c r="AZ77" s="93"/>
      <c r="BA77" s="93"/>
      <c r="BB77" s="90"/>
      <c r="BC77" s="90"/>
      <c r="BD77" s="93"/>
      <c r="BE77" s="93"/>
      <c r="BF77" s="90"/>
      <c r="BG77" s="90"/>
      <c r="BH77" s="93"/>
      <c r="BI77" s="93"/>
      <c r="BJ77" s="91"/>
      <c r="BK77" s="91"/>
      <c r="BL77" s="91"/>
      <c r="BM77" s="91"/>
      <c r="BN77" s="91"/>
      <c r="BO77" s="91"/>
      <c r="BP77" s="91"/>
      <c r="BQ77" s="91"/>
      <c r="BR77" s="91"/>
    </row>
    <row r="78" spans="1:70">
      <c r="A78" s="86" t="s">
        <v>150</v>
      </c>
      <c r="B78" s="86">
        <v>2.33</v>
      </c>
      <c r="C78" s="38" t="s">
        <v>73</v>
      </c>
      <c r="F78" s="38"/>
      <c r="K78" s="88"/>
      <c r="L78" s="88"/>
      <c r="M78" s="88"/>
      <c r="N78" s="88"/>
      <c r="O78" s="88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90"/>
      <c r="AI78" s="91"/>
      <c r="AJ78" s="92"/>
      <c r="AK78" s="91"/>
      <c r="AL78" s="92"/>
      <c r="AM78" s="91"/>
      <c r="AN78" s="91"/>
      <c r="AO78" s="90"/>
      <c r="AP78" s="90"/>
      <c r="AQ78" s="93"/>
      <c r="AR78" s="93"/>
      <c r="AS78" s="91"/>
      <c r="AT78" s="90"/>
      <c r="AU78" s="90"/>
      <c r="AV78" s="93"/>
      <c r="AW78" s="93"/>
      <c r="AX78" s="90"/>
      <c r="AY78" s="90"/>
      <c r="AZ78" s="93"/>
      <c r="BA78" s="93"/>
      <c r="BB78" s="90"/>
      <c r="BC78" s="90"/>
      <c r="BD78" s="93"/>
      <c r="BE78" s="93"/>
      <c r="BF78" s="90"/>
      <c r="BG78" s="90"/>
      <c r="BH78" s="93"/>
      <c r="BI78" s="93"/>
      <c r="BJ78" s="91"/>
      <c r="BK78" s="91"/>
      <c r="BL78" s="91"/>
      <c r="BM78" s="91"/>
      <c r="BN78" s="91"/>
      <c r="BO78" s="91"/>
      <c r="BP78" s="91"/>
      <c r="BQ78" s="91"/>
      <c r="BR78" s="91"/>
    </row>
    <row r="79" spans="1:70">
      <c r="A79" s="86" t="s">
        <v>150</v>
      </c>
      <c r="B79" s="86">
        <v>2.33</v>
      </c>
      <c r="C79" s="38"/>
      <c r="G79">
        <v>37</v>
      </c>
      <c r="K79" s="88"/>
      <c r="L79" s="88"/>
      <c r="M79" s="88"/>
      <c r="N79" s="88"/>
      <c r="O79" s="88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90"/>
      <c r="AI79" s="91"/>
      <c r="AJ79" s="92"/>
      <c r="AK79" s="91"/>
      <c r="AL79" s="92"/>
      <c r="AM79" s="91"/>
      <c r="AN79" s="91"/>
      <c r="AO79" s="90"/>
      <c r="AP79" s="90"/>
      <c r="AQ79" s="93"/>
      <c r="AR79" s="93"/>
      <c r="AS79" s="91"/>
      <c r="AT79" s="90"/>
      <c r="AU79" s="90"/>
      <c r="AV79" s="93"/>
      <c r="AW79" s="93"/>
      <c r="AX79" s="90"/>
      <c r="AY79" s="90"/>
      <c r="AZ79" s="93"/>
      <c r="BA79" s="93"/>
      <c r="BB79" s="90"/>
      <c r="BC79" s="90"/>
      <c r="BD79" s="93"/>
      <c r="BE79" s="93"/>
      <c r="BF79" s="90"/>
      <c r="BG79" s="90"/>
      <c r="BH79" s="93"/>
      <c r="BI79" s="93"/>
      <c r="BJ79" s="91"/>
      <c r="BK79" s="91"/>
      <c r="BL79" s="91"/>
      <c r="BM79" s="91"/>
      <c r="BN79" s="91"/>
      <c r="BO79" s="91"/>
      <c r="BP79" s="91"/>
      <c r="BQ79" s="91"/>
      <c r="BR79" s="91"/>
    </row>
    <row r="80" spans="1:70">
      <c r="A80" s="86" t="s">
        <v>159</v>
      </c>
      <c r="B80" s="86">
        <v>3.5</v>
      </c>
      <c r="C80" s="38"/>
      <c r="E80" s="38" t="s">
        <v>146</v>
      </c>
      <c r="G80">
        <v>-50</v>
      </c>
      <c r="K80" s="88"/>
      <c r="L80" s="88"/>
      <c r="M80" s="88"/>
      <c r="N80" s="88"/>
      <c r="O80" s="88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90"/>
      <c r="AI80" s="91"/>
      <c r="AJ80" s="92"/>
      <c r="AK80" s="91"/>
      <c r="AL80" s="92"/>
      <c r="AM80" s="91"/>
      <c r="AN80" s="91"/>
      <c r="AO80" s="90"/>
      <c r="AP80" s="90"/>
      <c r="AQ80" s="93"/>
      <c r="AR80" s="93"/>
      <c r="AS80" s="91"/>
      <c r="AT80" s="90"/>
      <c r="AU80" s="90"/>
      <c r="AV80" s="93"/>
      <c r="AW80" s="93"/>
      <c r="AX80" s="90"/>
      <c r="AY80" s="90"/>
      <c r="AZ80" s="93"/>
      <c r="BA80" s="93"/>
      <c r="BB80" s="90"/>
      <c r="BC80" s="90"/>
      <c r="BD80" s="93"/>
      <c r="BE80" s="93"/>
      <c r="BF80" s="90"/>
      <c r="BG80" s="90"/>
      <c r="BH80" s="93"/>
      <c r="BI80" s="93"/>
      <c r="BJ80" s="91"/>
      <c r="BK80" s="91"/>
      <c r="BL80" s="91"/>
      <c r="BM80" s="91"/>
      <c r="BN80" s="91"/>
      <c r="BO80" s="91"/>
      <c r="BP80" s="91"/>
      <c r="BQ80" s="91"/>
      <c r="BR80" s="91"/>
    </row>
    <row r="81" spans="1:70">
      <c r="A81" s="86" t="s">
        <v>152</v>
      </c>
      <c r="B81" s="86">
        <v>0.8</v>
      </c>
      <c r="C81" s="38"/>
      <c r="D81" s="38" t="s">
        <v>147</v>
      </c>
      <c r="E81" s="38"/>
      <c r="F81" s="38" t="s">
        <v>154</v>
      </c>
      <c r="K81" s="88"/>
      <c r="L81" s="88"/>
      <c r="M81" s="88"/>
      <c r="N81" s="88"/>
      <c r="O81" s="88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90"/>
      <c r="AI81" s="91"/>
      <c r="AJ81" s="92"/>
      <c r="AK81" s="91"/>
      <c r="AL81" s="92"/>
      <c r="AM81" s="91"/>
      <c r="AN81" s="91"/>
      <c r="AO81" s="90"/>
      <c r="AP81" s="90"/>
      <c r="AQ81" s="93"/>
      <c r="AR81" s="93"/>
      <c r="AS81" s="91"/>
      <c r="AT81" s="90"/>
      <c r="AU81" s="90"/>
      <c r="AV81" s="93"/>
      <c r="AW81" s="93"/>
      <c r="AX81" s="90"/>
      <c r="AY81" s="90"/>
      <c r="AZ81" s="93"/>
      <c r="BA81" s="93"/>
      <c r="BB81" s="90"/>
      <c r="BC81" s="90"/>
      <c r="BD81" s="93"/>
      <c r="BE81" s="93"/>
      <c r="BF81" s="90"/>
      <c r="BG81" s="90"/>
      <c r="BH81" s="93"/>
      <c r="BI81" s="93"/>
      <c r="BJ81" s="91"/>
      <c r="BK81" s="91"/>
      <c r="BL81" s="91"/>
      <c r="BM81" s="91"/>
      <c r="BN81" s="91"/>
      <c r="BO81" s="91"/>
      <c r="BP81" s="91"/>
      <c r="BQ81" s="91"/>
      <c r="BR81" s="91"/>
    </row>
    <row r="82" spans="1:70">
      <c r="A82" s="86" t="s">
        <v>150</v>
      </c>
      <c r="B82" s="86">
        <v>2.33</v>
      </c>
      <c r="C82" s="4"/>
      <c r="D82" s="38"/>
      <c r="E82" s="38"/>
      <c r="F82" s="38"/>
      <c r="K82" s="88"/>
      <c r="L82" s="88"/>
      <c r="M82" s="88"/>
      <c r="N82" s="88"/>
      <c r="O82" s="88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90"/>
      <c r="AI82" s="91"/>
      <c r="AJ82" s="92"/>
      <c r="AK82" s="91"/>
      <c r="AL82" s="92"/>
      <c r="AM82" s="91"/>
      <c r="AN82" s="91"/>
      <c r="AO82" s="90"/>
      <c r="AP82" s="90"/>
      <c r="AQ82" s="93"/>
      <c r="AR82" s="93"/>
      <c r="AS82" s="91"/>
      <c r="AT82" s="90"/>
      <c r="AU82" s="90"/>
      <c r="AV82" s="93"/>
      <c r="AW82" s="93"/>
      <c r="AX82" s="90"/>
      <c r="AY82" s="90"/>
      <c r="AZ82" s="93"/>
      <c r="BA82" s="93"/>
      <c r="BB82" s="90"/>
      <c r="BC82" s="90"/>
      <c r="BD82" s="93"/>
      <c r="BE82" s="93"/>
      <c r="BF82" s="90"/>
      <c r="BG82" s="90"/>
      <c r="BH82" s="93"/>
      <c r="BI82" s="93"/>
      <c r="BJ82" s="91"/>
      <c r="BK82" s="91"/>
      <c r="BL82" s="91"/>
      <c r="BM82" s="91"/>
      <c r="BN82" s="91"/>
      <c r="BO82" s="91"/>
      <c r="BP82" s="91"/>
      <c r="BQ82" s="91"/>
      <c r="BR82" s="91"/>
    </row>
    <row r="83" spans="1:70">
      <c r="A83" s="86" t="s">
        <v>158</v>
      </c>
      <c r="B83" s="86">
        <v>1.2</v>
      </c>
      <c r="C83" s="4"/>
      <c r="D83" s="38"/>
      <c r="E83" s="38"/>
      <c r="F83" s="38"/>
      <c r="K83" s="88"/>
      <c r="L83" s="88"/>
      <c r="M83" s="88"/>
      <c r="N83" s="88"/>
      <c r="O83" s="88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90"/>
      <c r="AI83" s="91"/>
      <c r="AJ83" s="92"/>
      <c r="AK83" s="91"/>
      <c r="AL83" s="92"/>
      <c r="AM83" s="91"/>
      <c r="AN83" s="91"/>
      <c r="AO83" s="90"/>
      <c r="AP83" s="90"/>
      <c r="AQ83" s="93"/>
      <c r="AR83" s="93"/>
      <c r="AS83" s="91"/>
      <c r="AT83" s="90"/>
      <c r="AU83" s="90"/>
      <c r="AV83" s="93"/>
      <c r="AW83" s="93"/>
      <c r="AX83" s="90"/>
      <c r="AY83" s="90"/>
      <c r="AZ83" s="93"/>
      <c r="BA83" s="93"/>
      <c r="BB83" s="90"/>
      <c r="BC83" s="90"/>
      <c r="BD83" s="93"/>
      <c r="BE83" s="93"/>
      <c r="BF83" s="90"/>
      <c r="BG83" s="90"/>
      <c r="BH83" s="93"/>
      <c r="BI83" s="93"/>
      <c r="BJ83" s="91"/>
      <c r="BK83" s="91"/>
      <c r="BL83" s="91"/>
      <c r="BM83" s="91"/>
      <c r="BN83" s="91"/>
      <c r="BO83" s="91"/>
      <c r="BP83" s="91"/>
      <c r="BQ83" s="91"/>
      <c r="BR83" s="91"/>
    </row>
    <row r="84" spans="1:70">
      <c r="A84" s="86" t="s">
        <v>145</v>
      </c>
      <c r="B84" s="86">
        <v>1.1</v>
      </c>
      <c r="C84" s="4"/>
      <c r="D84" s="38"/>
      <c r="E84" s="38"/>
      <c r="F84" s="38"/>
      <c r="K84" s="88"/>
      <c r="L84" s="88"/>
      <c r="M84" s="88"/>
      <c r="N84" s="88"/>
      <c r="O84" s="88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90"/>
      <c r="AI84" s="91"/>
      <c r="AJ84" s="92"/>
      <c r="AK84" s="91"/>
      <c r="AL84" s="92"/>
      <c r="AM84" s="91"/>
      <c r="AN84" s="91"/>
      <c r="AO84" s="90"/>
      <c r="AP84" s="90"/>
      <c r="AQ84" s="93"/>
      <c r="AR84" s="93"/>
      <c r="AS84" s="91"/>
      <c r="AT84" s="90"/>
      <c r="AU84" s="90"/>
      <c r="AV84" s="93"/>
      <c r="AW84" s="93"/>
      <c r="AX84" s="90"/>
      <c r="AY84" s="90"/>
      <c r="AZ84" s="93"/>
      <c r="BA84" s="93"/>
      <c r="BB84" s="90"/>
      <c r="BC84" s="90"/>
      <c r="BD84" s="93"/>
      <c r="BE84" s="93"/>
      <c r="BF84" s="90"/>
      <c r="BG84" s="90"/>
      <c r="BH84" s="93"/>
      <c r="BI84" s="93"/>
      <c r="BJ84" s="91"/>
      <c r="BK84" s="91"/>
      <c r="BL84" s="91"/>
      <c r="BM84" s="91"/>
      <c r="BN84" s="91"/>
      <c r="BO84" s="91"/>
      <c r="BP84" s="91"/>
      <c r="BQ84" s="91"/>
      <c r="BR84" s="91"/>
    </row>
    <row r="85" spans="1:70">
      <c r="A85" s="86" t="s">
        <v>150</v>
      </c>
      <c r="B85" s="86">
        <v>2.33</v>
      </c>
      <c r="C85" s="38" t="s">
        <v>73</v>
      </c>
      <c r="D85" s="38"/>
      <c r="E85" s="38"/>
      <c r="F85" s="38"/>
      <c r="K85" s="88"/>
      <c r="L85" s="88"/>
      <c r="M85" s="88"/>
      <c r="N85" s="88"/>
      <c r="O85" s="88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90"/>
      <c r="AI85" s="91"/>
      <c r="AJ85" s="92"/>
      <c r="AK85" s="91"/>
      <c r="AL85" s="92"/>
      <c r="AM85" s="91"/>
      <c r="AN85" s="91"/>
      <c r="AO85" s="90"/>
      <c r="AP85" s="90"/>
      <c r="AQ85" s="93"/>
      <c r="AR85" s="93"/>
      <c r="AS85" s="91"/>
      <c r="AT85" s="90"/>
      <c r="AU85" s="90"/>
      <c r="AV85" s="93"/>
      <c r="AW85" s="93"/>
      <c r="AX85" s="90"/>
      <c r="AY85" s="90"/>
      <c r="AZ85" s="93"/>
      <c r="BA85" s="93"/>
      <c r="BB85" s="90"/>
      <c r="BC85" s="90"/>
      <c r="BD85" s="93"/>
      <c r="BE85" s="93"/>
      <c r="BF85" s="90"/>
      <c r="BG85" s="90"/>
      <c r="BH85" s="93"/>
      <c r="BI85" s="93"/>
      <c r="BJ85" s="91"/>
      <c r="BK85" s="91"/>
      <c r="BL85" s="91"/>
      <c r="BM85" s="91"/>
      <c r="BN85" s="91"/>
      <c r="BO85" s="91"/>
      <c r="BP85" s="91"/>
      <c r="BQ85" s="91"/>
      <c r="BR85" s="91"/>
    </row>
    <row r="86" spans="1:70">
      <c r="A86" s="86" t="s">
        <v>150</v>
      </c>
      <c r="B86" s="86">
        <v>2.33</v>
      </c>
      <c r="C86" s="38"/>
      <c r="D86" s="38"/>
      <c r="E86" s="38"/>
      <c r="F86" s="38"/>
      <c r="K86" s="88"/>
      <c r="L86" s="88"/>
      <c r="M86" s="88"/>
      <c r="N86" s="88"/>
      <c r="O86" s="8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90"/>
      <c r="AI86" s="91"/>
      <c r="AJ86" s="92"/>
      <c r="AK86" s="91"/>
      <c r="AL86" s="92"/>
      <c r="AM86" s="91"/>
      <c r="AN86" s="91"/>
      <c r="AO86" s="90"/>
      <c r="AP86" s="90"/>
      <c r="AQ86" s="93"/>
      <c r="AR86" s="93"/>
      <c r="AS86" s="91"/>
      <c r="AT86" s="90"/>
      <c r="AU86" s="90"/>
      <c r="AV86" s="93"/>
      <c r="AW86" s="93"/>
      <c r="AX86" s="90"/>
      <c r="AY86" s="90"/>
      <c r="AZ86" s="93"/>
      <c r="BA86" s="93"/>
      <c r="BB86" s="90"/>
      <c r="BC86" s="90"/>
      <c r="BD86" s="93"/>
      <c r="BE86" s="93"/>
      <c r="BF86" s="90"/>
      <c r="BG86" s="90"/>
      <c r="BH86" s="93"/>
      <c r="BI86" s="93"/>
      <c r="BJ86" s="91"/>
      <c r="BK86" s="91"/>
      <c r="BL86" s="91"/>
      <c r="BM86" s="91"/>
      <c r="BN86" s="91"/>
      <c r="BO86" s="91"/>
      <c r="BP86" s="91"/>
      <c r="BQ86" s="91"/>
      <c r="BR86" s="91"/>
    </row>
    <row r="87" spans="1:70">
      <c r="A87" s="86" t="s">
        <v>150</v>
      </c>
      <c r="B87" s="86">
        <v>2.33</v>
      </c>
      <c r="C87" s="38"/>
      <c r="E87" s="38"/>
      <c r="F87" s="38"/>
      <c r="K87" s="88"/>
      <c r="L87" s="88"/>
      <c r="M87" s="88"/>
      <c r="N87" s="88"/>
      <c r="O87" s="88"/>
      <c r="P87" s="88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90"/>
      <c r="AI87" s="91"/>
      <c r="AJ87" s="92"/>
      <c r="AK87" s="91"/>
      <c r="AL87" s="92"/>
      <c r="AM87" s="91"/>
      <c r="AN87" s="91"/>
      <c r="AO87" s="90"/>
      <c r="AP87" s="90"/>
      <c r="AQ87" s="93"/>
      <c r="AR87" s="93"/>
      <c r="AS87" s="91"/>
      <c r="AT87" s="90"/>
      <c r="AU87" s="90"/>
      <c r="AV87" s="93"/>
      <c r="AW87" s="93"/>
      <c r="AX87" s="90"/>
      <c r="AY87" s="90"/>
      <c r="AZ87" s="93"/>
      <c r="BA87" s="93"/>
      <c r="BB87" s="90"/>
      <c r="BC87" s="90"/>
      <c r="BD87" s="93"/>
      <c r="BE87" s="93"/>
      <c r="BF87" s="90"/>
      <c r="BG87" s="90"/>
      <c r="BH87" s="93"/>
      <c r="BI87" s="93"/>
      <c r="BJ87" s="91"/>
      <c r="BK87" s="91"/>
      <c r="BL87" s="91"/>
      <c r="BM87" s="91"/>
      <c r="BN87" s="91"/>
      <c r="BO87" s="91"/>
      <c r="BP87" s="91"/>
      <c r="BQ87" s="91"/>
      <c r="BR87" s="91"/>
    </row>
    <row r="88" spans="1:70">
      <c r="A88" s="86" t="s">
        <v>152</v>
      </c>
      <c r="B88" s="86">
        <v>0.8</v>
      </c>
      <c r="C88" s="38"/>
      <c r="F88" s="38"/>
      <c r="K88" s="88"/>
      <c r="L88" s="88"/>
      <c r="M88" s="88"/>
      <c r="N88" s="88"/>
      <c r="O88" s="88"/>
      <c r="P88" s="88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90"/>
      <c r="AI88" s="91"/>
      <c r="AJ88" s="92"/>
      <c r="AK88" s="91"/>
      <c r="AL88" s="92"/>
      <c r="AM88" s="91"/>
      <c r="AN88" s="91"/>
      <c r="AO88" s="90"/>
      <c r="AP88" s="90"/>
      <c r="AQ88" s="93"/>
      <c r="AR88" s="93"/>
      <c r="AS88" s="91"/>
      <c r="AT88" s="90"/>
      <c r="AU88" s="90"/>
      <c r="AV88" s="93"/>
      <c r="AW88" s="93"/>
      <c r="AX88" s="90"/>
      <c r="AY88" s="90"/>
      <c r="AZ88" s="93"/>
      <c r="BA88" s="93"/>
      <c r="BB88" s="90"/>
      <c r="BC88" s="90"/>
      <c r="BD88" s="93"/>
      <c r="BE88" s="93"/>
      <c r="BF88" s="90"/>
      <c r="BG88" s="90"/>
      <c r="BH88" s="93"/>
      <c r="BI88" s="93"/>
      <c r="BJ88" s="91"/>
      <c r="BK88" s="91"/>
      <c r="BL88" s="91"/>
      <c r="BM88" s="91"/>
      <c r="BN88" s="91"/>
      <c r="BO88" s="91"/>
      <c r="BP88" s="91"/>
      <c r="BQ88" s="91"/>
      <c r="BR88" s="91"/>
    </row>
    <row r="89" spans="1:70">
      <c r="K89" s="88"/>
      <c r="L89" s="88"/>
      <c r="M89" s="88"/>
      <c r="N89" s="88"/>
      <c r="O89" s="88"/>
      <c r="P89" s="88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90"/>
      <c r="AI89" s="91"/>
      <c r="AJ89" s="92"/>
      <c r="AK89" s="91"/>
      <c r="AL89" s="92"/>
      <c r="AM89" s="91"/>
      <c r="AN89" s="91"/>
      <c r="AO89" s="90"/>
      <c r="AP89" s="90"/>
      <c r="AQ89" s="93"/>
      <c r="AR89" s="93"/>
      <c r="AS89" s="91"/>
      <c r="AT89" s="90"/>
      <c r="AU89" s="90"/>
      <c r="AV89" s="93"/>
      <c r="AW89" s="93"/>
      <c r="AX89" s="90"/>
      <c r="AY89" s="90"/>
      <c r="AZ89" s="93"/>
      <c r="BA89" s="93"/>
      <c r="BB89" s="90"/>
      <c r="BC89" s="90"/>
      <c r="BD89" s="93"/>
      <c r="BE89" s="93"/>
      <c r="BF89" s="90"/>
      <c r="BG89" s="90"/>
      <c r="BH89" s="93"/>
      <c r="BI89" s="93"/>
      <c r="BJ89" s="91"/>
      <c r="BK89" s="91"/>
      <c r="BL89" s="91"/>
      <c r="BM89" s="91"/>
      <c r="BN89" s="91"/>
      <c r="BO89" s="91"/>
      <c r="BP89" s="91"/>
      <c r="BQ89" s="91"/>
      <c r="BR89" s="91"/>
    </row>
    <row r="90" spans="1:70">
      <c r="K90" s="88"/>
      <c r="L90" s="88"/>
      <c r="M90" s="88"/>
      <c r="N90" s="88"/>
      <c r="O90" s="88"/>
      <c r="P90" s="88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90"/>
      <c r="AI90" s="91"/>
      <c r="AJ90" s="92"/>
      <c r="AK90" s="91"/>
      <c r="AL90" s="92"/>
      <c r="AM90" s="91"/>
      <c r="AN90" s="91"/>
      <c r="AO90" s="90"/>
      <c r="AP90" s="90"/>
      <c r="AQ90" s="93"/>
      <c r="AR90" s="93"/>
      <c r="AS90" s="91"/>
      <c r="AT90" s="90"/>
      <c r="AU90" s="90"/>
      <c r="AV90" s="93"/>
      <c r="AW90" s="93"/>
      <c r="AX90" s="90"/>
      <c r="AY90" s="90"/>
      <c r="AZ90" s="93"/>
      <c r="BA90" s="93"/>
      <c r="BB90" s="90"/>
      <c r="BC90" s="90"/>
      <c r="BD90" s="93"/>
      <c r="BE90" s="93"/>
      <c r="BF90" s="90"/>
      <c r="BG90" s="90"/>
      <c r="BH90" s="93"/>
      <c r="BI90" s="93"/>
      <c r="BJ90" s="91"/>
      <c r="BK90" s="91"/>
      <c r="BL90" s="91"/>
      <c r="BM90" s="91"/>
      <c r="BN90" s="91"/>
      <c r="BO90" s="91"/>
      <c r="BP90" s="91"/>
      <c r="BQ90" s="91"/>
      <c r="BR90" s="91"/>
    </row>
    <row r="91" spans="1:70">
      <c r="K91" s="88"/>
      <c r="L91" s="88"/>
      <c r="M91" s="88"/>
      <c r="N91" s="88"/>
      <c r="O91" s="88"/>
      <c r="P91" s="88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90"/>
      <c r="AI91" s="91"/>
      <c r="AJ91" s="92"/>
      <c r="AK91" s="91"/>
      <c r="AL91" s="92"/>
      <c r="AM91" s="91"/>
      <c r="AN91" s="91"/>
      <c r="AO91" s="90"/>
      <c r="AP91" s="90"/>
      <c r="AQ91" s="93"/>
      <c r="AR91" s="93"/>
      <c r="AS91" s="91"/>
      <c r="AT91" s="90"/>
      <c r="AU91" s="90"/>
      <c r="AV91" s="93"/>
      <c r="AW91" s="93"/>
      <c r="AX91" s="90"/>
      <c r="AY91" s="90"/>
      <c r="AZ91" s="93"/>
      <c r="BA91" s="93"/>
      <c r="BB91" s="90"/>
      <c r="BC91" s="90"/>
      <c r="BD91" s="93"/>
      <c r="BE91" s="93"/>
      <c r="BF91" s="90"/>
      <c r="BG91" s="90"/>
      <c r="BH91" s="93"/>
      <c r="BI91" s="93"/>
      <c r="BJ91" s="91"/>
      <c r="BK91" s="91"/>
      <c r="BL91" s="91"/>
      <c r="BM91" s="91"/>
      <c r="BN91" s="91"/>
      <c r="BO91" s="91"/>
      <c r="BP91" s="91"/>
      <c r="BQ91" s="91"/>
      <c r="BR91" s="91"/>
    </row>
    <row r="92" spans="1:70">
      <c r="K92" s="88"/>
      <c r="L92" s="88"/>
      <c r="M92" s="88"/>
      <c r="N92" s="88"/>
      <c r="O92" s="88"/>
      <c r="P92" s="88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90"/>
      <c r="AI92" s="91"/>
      <c r="AJ92" s="92"/>
      <c r="AK92" s="91"/>
      <c r="AL92" s="92"/>
      <c r="AM92" s="91"/>
      <c r="AN92" s="91"/>
      <c r="AO92" s="90"/>
      <c r="AP92" s="90"/>
      <c r="AQ92" s="93"/>
      <c r="AR92" s="93"/>
      <c r="AS92" s="91"/>
      <c r="AT92" s="90"/>
      <c r="AU92" s="90"/>
      <c r="AV92" s="93"/>
      <c r="AW92" s="93"/>
      <c r="AX92" s="90"/>
      <c r="AY92" s="90"/>
      <c r="AZ92" s="93"/>
      <c r="BA92" s="93"/>
      <c r="BB92" s="90"/>
      <c r="BC92" s="90"/>
      <c r="BD92" s="93"/>
      <c r="BE92" s="93"/>
      <c r="BF92" s="90"/>
      <c r="BG92" s="90"/>
      <c r="BH92" s="93"/>
      <c r="BI92" s="93"/>
      <c r="BJ92" s="91"/>
      <c r="BK92" s="91"/>
      <c r="BL92" s="91"/>
      <c r="BM92" s="91"/>
      <c r="BN92" s="91"/>
      <c r="BO92" s="91"/>
      <c r="BP92" s="91"/>
      <c r="BQ92" s="91"/>
      <c r="BR92" s="91"/>
    </row>
    <row r="93" spans="1:70">
      <c r="K93" s="88"/>
      <c r="L93" s="88"/>
      <c r="M93" s="88"/>
      <c r="N93" s="88"/>
      <c r="O93" s="88"/>
      <c r="P93" s="88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90"/>
      <c r="AI93" s="91"/>
      <c r="AJ93" s="92"/>
      <c r="AK93" s="91"/>
      <c r="AL93" s="92"/>
      <c r="AM93" s="91"/>
      <c r="AN93" s="91"/>
      <c r="AO93" s="90"/>
      <c r="AP93" s="90"/>
      <c r="AQ93" s="93"/>
      <c r="AR93" s="93"/>
      <c r="AS93" s="91"/>
      <c r="AT93" s="90"/>
      <c r="AU93" s="90"/>
      <c r="AV93" s="93"/>
      <c r="AW93" s="93"/>
      <c r="AX93" s="90"/>
      <c r="AY93" s="90"/>
      <c r="AZ93" s="93"/>
      <c r="BA93" s="93"/>
      <c r="BB93" s="90"/>
      <c r="BC93" s="90"/>
      <c r="BD93" s="93"/>
      <c r="BE93" s="93"/>
      <c r="BF93" s="90"/>
      <c r="BG93" s="90"/>
      <c r="BH93" s="93"/>
      <c r="BI93" s="93"/>
      <c r="BJ93" s="91"/>
      <c r="BK93" s="91"/>
      <c r="BL93" s="91"/>
      <c r="BM93" s="91"/>
      <c r="BN93" s="91"/>
      <c r="BO93" s="91"/>
      <c r="BP93" s="91"/>
      <c r="BQ93" s="91"/>
      <c r="BR93" s="91"/>
    </row>
    <row r="94" spans="1:70">
      <c r="K94" s="88"/>
      <c r="L94" s="88"/>
      <c r="M94" s="88"/>
      <c r="N94" s="88"/>
      <c r="O94" s="88"/>
      <c r="P94" s="88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90"/>
      <c r="AI94" s="91"/>
      <c r="AJ94" s="92"/>
      <c r="AK94" s="91"/>
      <c r="AL94" s="92"/>
      <c r="AM94" s="91"/>
      <c r="AN94" s="91"/>
      <c r="AO94" s="90"/>
      <c r="AP94" s="90"/>
      <c r="AQ94" s="93"/>
      <c r="AR94" s="93"/>
      <c r="AS94" s="91"/>
      <c r="AT94" s="90"/>
      <c r="AU94" s="90"/>
      <c r="AV94" s="93"/>
      <c r="AW94" s="93"/>
      <c r="AX94" s="90"/>
      <c r="AY94" s="90"/>
      <c r="AZ94" s="93"/>
      <c r="BA94" s="93"/>
      <c r="BB94" s="90"/>
      <c r="BC94" s="90"/>
      <c r="BD94" s="93"/>
      <c r="BE94" s="93"/>
      <c r="BF94" s="90"/>
      <c r="BG94" s="90"/>
      <c r="BH94" s="93"/>
      <c r="BI94" s="93"/>
      <c r="BJ94" s="91"/>
      <c r="BK94" s="91"/>
      <c r="BL94" s="91"/>
      <c r="BM94" s="91"/>
      <c r="BN94" s="91"/>
      <c r="BO94" s="91"/>
      <c r="BP94" s="91"/>
      <c r="BQ94" s="91"/>
      <c r="BR94" s="91"/>
    </row>
    <row r="95" spans="1:70">
      <c r="K95" s="88"/>
      <c r="L95" s="88"/>
      <c r="M95" s="88"/>
      <c r="N95" s="88"/>
      <c r="O95" s="88"/>
      <c r="P95" s="88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90"/>
      <c r="AI95" s="91"/>
      <c r="AJ95" s="92"/>
      <c r="AK95" s="91"/>
      <c r="AL95" s="92"/>
      <c r="AM95" s="91"/>
      <c r="AN95" s="91"/>
      <c r="AO95" s="90"/>
      <c r="AP95" s="90"/>
      <c r="AQ95" s="93"/>
      <c r="AR95" s="93"/>
      <c r="AS95" s="91"/>
      <c r="AT95" s="90"/>
      <c r="AU95" s="90"/>
      <c r="AV95" s="93"/>
      <c r="AW95" s="93"/>
      <c r="AX95" s="90"/>
      <c r="AY95" s="90"/>
      <c r="AZ95" s="93"/>
      <c r="BA95" s="93"/>
      <c r="BB95" s="90"/>
      <c r="BC95" s="90"/>
      <c r="BD95" s="93"/>
      <c r="BE95" s="93"/>
      <c r="BF95" s="90"/>
      <c r="BG95" s="90"/>
      <c r="BH95" s="93"/>
      <c r="BI95" s="93"/>
      <c r="BJ95" s="91"/>
      <c r="BK95" s="91"/>
      <c r="BL95" s="91"/>
      <c r="BM95" s="91"/>
      <c r="BN95" s="91"/>
      <c r="BO95" s="91"/>
      <c r="BP95" s="91"/>
      <c r="BQ95" s="91"/>
      <c r="BR95" s="91"/>
    </row>
    <row r="96" spans="1:70">
      <c r="K96" s="88"/>
      <c r="L96" s="88"/>
      <c r="M96" s="88"/>
      <c r="N96" s="88"/>
      <c r="O96" s="88"/>
      <c r="P96" s="88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90"/>
      <c r="AI96" s="91"/>
      <c r="AJ96" s="92"/>
      <c r="AK96" s="91"/>
      <c r="AL96" s="92"/>
      <c r="AM96" s="91"/>
      <c r="AN96" s="91"/>
      <c r="AO96" s="90"/>
      <c r="AP96" s="90"/>
      <c r="AQ96" s="93"/>
      <c r="AR96" s="93"/>
      <c r="AS96" s="91"/>
      <c r="AT96" s="90"/>
      <c r="AU96" s="90"/>
      <c r="AV96" s="93"/>
      <c r="AW96" s="93"/>
      <c r="AX96" s="90"/>
      <c r="AY96" s="90"/>
      <c r="AZ96" s="93"/>
      <c r="BA96" s="93"/>
      <c r="BB96" s="90"/>
      <c r="BC96" s="90"/>
      <c r="BD96" s="93"/>
      <c r="BE96" s="93"/>
      <c r="BF96" s="90"/>
      <c r="BG96" s="90"/>
      <c r="BH96" s="93"/>
      <c r="BI96" s="93"/>
      <c r="BJ96" s="91"/>
      <c r="BK96" s="91"/>
      <c r="BL96" s="91"/>
      <c r="BM96" s="91"/>
      <c r="BN96" s="91"/>
      <c r="BO96" s="91"/>
      <c r="BP96" s="91"/>
      <c r="BQ96" s="91"/>
      <c r="BR96" s="91"/>
    </row>
    <row r="97" spans="11:70">
      <c r="K97" s="88"/>
      <c r="L97" s="88"/>
      <c r="M97" s="88"/>
      <c r="N97" s="88"/>
      <c r="O97" s="88"/>
      <c r="P97" s="88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90"/>
      <c r="AI97" s="91"/>
      <c r="AJ97" s="92"/>
      <c r="AK97" s="91"/>
      <c r="AL97" s="92"/>
      <c r="AM97" s="91"/>
      <c r="AN97" s="91"/>
      <c r="AO97" s="90"/>
      <c r="AP97" s="90"/>
      <c r="AQ97" s="93"/>
      <c r="AR97" s="93"/>
      <c r="AS97" s="91"/>
      <c r="AT97" s="90"/>
      <c r="AU97" s="90"/>
      <c r="AV97" s="93"/>
      <c r="AW97" s="93"/>
      <c r="AX97" s="90"/>
      <c r="AY97" s="90"/>
      <c r="AZ97" s="93"/>
      <c r="BA97" s="93"/>
      <c r="BB97" s="90"/>
      <c r="BC97" s="90"/>
      <c r="BD97" s="93"/>
      <c r="BE97" s="93"/>
      <c r="BF97" s="90"/>
      <c r="BG97" s="90"/>
      <c r="BH97" s="93"/>
      <c r="BI97" s="93"/>
      <c r="BJ97" s="91"/>
      <c r="BK97" s="91"/>
      <c r="BL97" s="91"/>
      <c r="BM97" s="91"/>
      <c r="BN97" s="91"/>
      <c r="BO97" s="91"/>
      <c r="BP97" s="91"/>
      <c r="BQ97" s="91"/>
      <c r="BR97" s="91"/>
    </row>
    <row r="98" spans="11:70">
      <c r="K98" s="88"/>
      <c r="L98" s="88"/>
      <c r="M98" s="88"/>
      <c r="N98" s="88"/>
      <c r="O98" s="88"/>
      <c r="P98" s="88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90"/>
      <c r="AI98" s="91"/>
      <c r="AJ98" s="92"/>
      <c r="AK98" s="91"/>
      <c r="AL98" s="92"/>
      <c r="AM98" s="91"/>
      <c r="AN98" s="91"/>
      <c r="AO98" s="90"/>
      <c r="AP98" s="90"/>
      <c r="AQ98" s="93"/>
      <c r="AR98" s="93"/>
      <c r="AS98" s="91"/>
      <c r="AT98" s="90"/>
      <c r="AU98" s="90"/>
      <c r="AV98" s="93"/>
      <c r="AW98" s="93"/>
      <c r="AX98" s="90"/>
      <c r="AY98" s="90"/>
      <c r="AZ98" s="93"/>
      <c r="BA98" s="93"/>
      <c r="BB98" s="90"/>
      <c r="BC98" s="90"/>
      <c r="BD98" s="93"/>
      <c r="BE98" s="93"/>
      <c r="BF98" s="90"/>
      <c r="BG98" s="90"/>
      <c r="BH98" s="93"/>
      <c r="BI98" s="93"/>
      <c r="BJ98" s="91"/>
      <c r="BK98" s="91"/>
      <c r="BL98" s="91"/>
      <c r="BM98" s="91"/>
      <c r="BN98" s="91"/>
      <c r="BO98" s="91"/>
      <c r="BP98" s="91"/>
      <c r="BQ98" s="91"/>
      <c r="BR98" s="91"/>
    </row>
    <row r="99" spans="11:70">
      <c r="K99" s="88"/>
      <c r="L99" s="88"/>
      <c r="M99" s="88"/>
      <c r="N99" s="88"/>
      <c r="O99" s="88"/>
      <c r="P99" s="88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90"/>
      <c r="AI99" s="91"/>
      <c r="AJ99" s="92"/>
      <c r="AK99" s="91"/>
      <c r="AL99" s="92"/>
      <c r="AM99" s="91"/>
      <c r="AN99" s="91"/>
      <c r="AO99" s="90"/>
      <c r="AP99" s="90"/>
      <c r="AQ99" s="93"/>
      <c r="AR99" s="93"/>
      <c r="AS99" s="91"/>
      <c r="AT99" s="90"/>
      <c r="AU99" s="90"/>
      <c r="AV99" s="93"/>
      <c r="AW99" s="93"/>
      <c r="AX99" s="90"/>
      <c r="AY99" s="90"/>
      <c r="AZ99" s="93"/>
      <c r="BA99" s="93"/>
      <c r="BB99" s="90"/>
      <c r="BC99" s="90"/>
      <c r="BD99" s="93"/>
      <c r="BE99" s="93"/>
      <c r="BF99" s="90"/>
      <c r="BG99" s="90"/>
      <c r="BH99" s="93"/>
      <c r="BI99" s="93"/>
      <c r="BJ99" s="91"/>
      <c r="BK99" s="91"/>
      <c r="BL99" s="91"/>
      <c r="BM99" s="91"/>
      <c r="BN99" s="91"/>
      <c r="BO99" s="91"/>
      <c r="BP99" s="91"/>
      <c r="BQ99" s="91"/>
      <c r="BR99" s="91"/>
    </row>
    <row r="100" spans="11:70">
      <c r="K100" s="88"/>
      <c r="L100" s="88"/>
      <c r="M100" s="88"/>
      <c r="N100" s="88"/>
      <c r="O100" s="88"/>
      <c r="P100" s="88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90"/>
      <c r="AI100" s="91"/>
      <c r="AJ100" s="92"/>
      <c r="AK100" s="91"/>
      <c r="AL100" s="92"/>
      <c r="AM100" s="91"/>
      <c r="AN100" s="91"/>
      <c r="AO100" s="90"/>
      <c r="AP100" s="90"/>
      <c r="AQ100" s="93"/>
      <c r="AR100" s="93"/>
      <c r="AS100" s="91"/>
      <c r="AT100" s="90"/>
      <c r="AU100" s="90"/>
      <c r="AV100" s="93"/>
      <c r="AW100" s="93"/>
      <c r="AX100" s="90"/>
      <c r="AY100" s="90"/>
      <c r="AZ100" s="93"/>
      <c r="BA100" s="93"/>
      <c r="BB100" s="90"/>
      <c r="BC100" s="90"/>
      <c r="BD100" s="93"/>
      <c r="BE100" s="93"/>
      <c r="BF100" s="90"/>
      <c r="BG100" s="90"/>
      <c r="BH100" s="93"/>
      <c r="BI100" s="93"/>
      <c r="BJ100" s="91"/>
      <c r="BK100" s="91"/>
      <c r="BL100" s="91"/>
      <c r="BM100" s="91"/>
      <c r="BN100" s="91"/>
      <c r="BO100" s="91"/>
      <c r="BP100" s="91"/>
      <c r="BQ100" s="91"/>
      <c r="BR100" s="91"/>
    </row>
    <row r="101" spans="11:70">
      <c r="K101" s="88"/>
      <c r="L101" s="88"/>
      <c r="M101" s="88"/>
      <c r="N101" s="88"/>
      <c r="O101" s="88"/>
      <c r="P101" s="88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91"/>
      <c r="AJ101" s="92"/>
      <c r="AK101" s="91"/>
      <c r="AL101" s="92"/>
      <c r="AM101" s="91"/>
      <c r="AN101" s="91"/>
      <c r="AO101" s="90"/>
      <c r="AP101" s="90"/>
      <c r="AQ101" s="93"/>
      <c r="AR101" s="93"/>
      <c r="AS101" s="91"/>
      <c r="AT101" s="90"/>
      <c r="AU101" s="90"/>
      <c r="AV101" s="93"/>
      <c r="AW101" s="93"/>
      <c r="AX101" s="90"/>
      <c r="AY101" s="90"/>
      <c r="AZ101" s="93"/>
      <c r="BA101" s="93"/>
      <c r="BB101" s="90"/>
      <c r="BC101" s="90"/>
      <c r="BD101" s="93"/>
      <c r="BE101" s="93"/>
      <c r="BF101" s="90"/>
      <c r="BG101" s="90"/>
      <c r="BH101" s="93"/>
      <c r="BI101" s="93"/>
      <c r="BJ101" s="91"/>
      <c r="BK101" s="91"/>
      <c r="BL101" s="91"/>
      <c r="BM101" s="91"/>
      <c r="BN101" s="91"/>
      <c r="BO101" s="91"/>
      <c r="BP101" s="91"/>
      <c r="BQ101" s="91"/>
      <c r="BR101" s="91"/>
    </row>
    <row r="102" spans="11:70">
      <c r="K102" s="88"/>
      <c r="L102" s="88"/>
      <c r="M102" s="88"/>
      <c r="N102" s="88"/>
      <c r="O102" s="88"/>
      <c r="P102" s="88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90"/>
      <c r="AI102" s="91"/>
      <c r="AJ102" s="92"/>
      <c r="AK102" s="91"/>
      <c r="AL102" s="92"/>
      <c r="AM102" s="91"/>
      <c r="AN102" s="91"/>
      <c r="AO102" s="90"/>
      <c r="AP102" s="90"/>
      <c r="AQ102" s="93"/>
      <c r="AR102" s="93"/>
      <c r="AS102" s="91"/>
      <c r="AT102" s="90"/>
      <c r="AU102" s="90"/>
      <c r="AV102" s="93"/>
      <c r="AW102" s="93"/>
      <c r="AX102" s="90"/>
      <c r="AY102" s="90"/>
      <c r="AZ102" s="93"/>
      <c r="BA102" s="93"/>
      <c r="BB102" s="90"/>
      <c r="BC102" s="90"/>
      <c r="BD102" s="93"/>
      <c r="BE102" s="93"/>
      <c r="BF102" s="90"/>
      <c r="BG102" s="90"/>
      <c r="BH102" s="93"/>
      <c r="BI102" s="93"/>
      <c r="BJ102" s="91"/>
      <c r="BK102" s="91"/>
      <c r="BL102" s="91"/>
      <c r="BM102" s="91"/>
      <c r="BN102" s="91"/>
      <c r="BO102" s="91"/>
      <c r="BP102" s="91"/>
      <c r="BQ102" s="91"/>
      <c r="BR102" s="91"/>
    </row>
    <row r="103" spans="11:70">
      <c r="K103" s="88"/>
      <c r="L103" s="88"/>
      <c r="M103" s="88"/>
      <c r="N103" s="88"/>
      <c r="O103" s="88"/>
      <c r="P103" s="88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90"/>
      <c r="AI103" s="91"/>
      <c r="AJ103" s="92"/>
      <c r="AK103" s="91"/>
      <c r="AL103" s="92"/>
      <c r="AM103" s="91"/>
      <c r="AN103" s="91"/>
      <c r="AO103" s="90"/>
      <c r="AP103" s="90"/>
      <c r="AQ103" s="93"/>
      <c r="AR103" s="93"/>
      <c r="AS103" s="91"/>
      <c r="AT103" s="90"/>
      <c r="AU103" s="90"/>
      <c r="AV103" s="93"/>
      <c r="AW103" s="93"/>
      <c r="AX103" s="90"/>
      <c r="AY103" s="90"/>
      <c r="AZ103" s="93"/>
      <c r="BA103" s="93"/>
      <c r="BB103" s="90"/>
      <c r="BC103" s="90"/>
      <c r="BD103" s="93"/>
      <c r="BE103" s="93"/>
      <c r="BF103" s="90"/>
      <c r="BG103" s="90"/>
      <c r="BH103" s="93"/>
      <c r="BI103" s="93"/>
      <c r="BJ103" s="91"/>
      <c r="BK103" s="91"/>
      <c r="BL103" s="91"/>
      <c r="BM103" s="91"/>
      <c r="BN103" s="91"/>
      <c r="BO103" s="91"/>
      <c r="BP103" s="91"/>
      <c r="BQ103" s="91"/>
      <c r="BR103" s="91"/>
    </row>
    <row r="104" spans="11:70">
      <c r="K104" s="88"/>
      <c r="L104" s="88"/>
      <c r="M104" s="88"/>
      <c r="N104" s="88"/>
      <c r="O104" s="88"/>
      <c r="P104" s="88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90"/>
      <c r="AI104" s="91"/>
      <c r="AJ104" s="92"/>
      <c r="AK104" s="91"/>
      <c r="AL104" s="92"/>
      <c r="AM104" s="91"/>
      <c r="AN104" s="91"/>
      <c r="AO104" s="90"/>
      <c r="AP104" s="90"/>
      <c r="AQ104" s="93"/>
      <c r="AR104" s="93"/>
      <c r="AS104" s="91"/>
      <c r="AT104" s="90"/>
      <c r="AU104" s="90"/>
      <c r="AV104" s="93"/>
      <c r="AW104" s="93"/>
      <c r="AX104" s="90"/>
      <c r="AY104" s="90"/>
      <c r="AZ104" s="93"/>
      <c r="BA104" s="93"/>
      <c r="BB104" s="90"/>
      <c r="BC104" s="90"/>
      <c r="BD104" s="93"/>
      <c r="BE104" s="93"/>
      <c r="BF104" s="90"/>
      <c r="BG104" s="90"/>
      <c r="BH104" s="93"/>
      <c r="BI104" s="93"/>
      <c r="BJ104" s="91"/>
      <c r="BK104" s="91"/>
      <c r="BL104" s="91"/>
      <c r="BM104" s="91"/>
      <c r="BN104" s="91"/>
      <c r="BO104" s="91"/>
      <c r="BP104" s="91"/>
      <c r="BQ104" s="91"/>
      <c r="BR104" s="91"/>
    </row>
    <row r="105" spans="11:70">
      <c r="K105" s="88"/>
      <c r="L105" s="88"/>
      <c r="M105" s="88"/>
      <c r="N105" s="88"/>
      <c r="O105" s="88"/>
      <c r="P105" s="88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90"/>
      <c r="AI105" s="91"/>
      <c r="AJ105" s="92"/>
      <c r="AK105" s="91"/>
      <c r="AL105" s="92"/>
      <c r="AM105" s="91"/>
      <c r="AN105" s="91"/>
      <c r="AO105" s="90"/>
      <c r="AP105" s="90"/>
      <c r="AQ105" s="93"/>
      <c r="AR105" s="93"/>
      <c r="AS105" s="91"/>
      <c r="AT105" s="90"/>
      <c r="AU105" s="90"/>
      <c r="AV105" s="93"/>
      <c r="AW105" s="93"/>
      <c r="AX105" s="90"/>
      <c r="AY105" s="90"/>
      <c r="AZ105" s="93"/>
      <c r="BA105" s="93"/>
      <c r="BB105" s="90"/>
      <c r="BC105" s="90"/>
      <c r="BD105" s="93"/>
      <c r="BE105" s="93"/>
      <c r="BF105" s="90"/>
      <c r="BG105" s="90"/>
      <c r="BH105" s="93"/>
      <c r="BI105" s="93"/>
      <c r="BJ105" s="91"/>
      <c r="BK105" s="91"/>
      <c r="BL105" s="91"/>
      <c r="BM105" s="91"/>
      <c r="BN105" s="91"/>
      <c r="BO105" s="91"/>
      <c r="BP105" s="91"/>
      <c r="BQ105" s="91"/>
      <c r="BR105" s="91"/>
    </row>
    <row r="106" spans="11:70">
      <c r="K106" s="88"/>
      <c r="L106" s="88"/>
      <c r="M106" s="88"/>
      <c r="N106" s="88"/>
      <c r="O106" s="88"/>
      <c r="P106" s="88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90"/>
      <c r="AI106" s="91"/>
      <c r="AJ106" s="92"/>
      <c r="AK106" s="91"/>
      <c r="AL106" s="92"/>
      <c r="AM106" s="91"/>
      <c r="AN106" s="91"/>
      <c r="AO106" s="90"/>
      <c r="AP106" s="90"/>
      <c r="AQ106" s="93"/>
      <c r="AR106" s="93"/>
      <c r="AS106" s="91"/>
      <c r="AT106" s="90"/>
      <c r="AU106" s="90"/>
      <c r="AV106" s="93"/>
      <c r="AW106" s="93"/>
      <c r="AX106" s="90"/>
      <c r="AY106" s="90"/>
      <c r="AZ106" s="93"/>
      <c r="BA106" s="93"/>
      <c r="BB106" s="90"/>
      <c r="BC106" s="90"/>
      <c r="BD106" s="93"/>
      <c r="BE106" s="93"/>
      <c r="BF106" s="90"/>
      <c r="BG106" s="90"/>
      <c r="BH106" s="93"/>
      <c r="BI106" s="93"/>
      <c r="BJ106" s="91"/>
      <c r="BK106" s="91"/>
      <c r="BL106" s="91"/>
      <c r="BM106" s="91"/>
      <c r="BN106" s="91"/>
      <c r="BO106" s="91"/>
      <c r="BP106" s="91"/>
      <c r="BQ106" s="91"/>
      <c r="BR106" s="91"/>
    </row>
    <row r="107" spans="11:70">
      <c r="K107" s="88"/>
      <c r="L107" s="88"/>
      <c r="M107" s="88"/>
      <c r="N107" s="88"/>
      <c r="O107" s="88"/>
      <c r="P107" s="88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90"/>
      <c r="AI107" s="91"/>
      <c r="AJ107" s="92"/>
      <c r="AK107" s="91"/>
      <c r="AL107" s="92"/>
      <c r="AM107" s="91"/>
      <c r="AN107" s="91"/>
      <c r="AO107" s="90"/>
      <c r="AP107" s="90"/>
      <c r="AQ107" s="93"/>
      <c r="AR107" s="93"/>
      <c r="AS107" s="91"/>
      <c r="AT107" s="90"/>
      <c r="AU107" s="90"/>
      <c r="AV107" s="93"/>
      <c r="AW107" s="93"/>
      <c r="AX107" s="90"/>
      <c r="AY107" s="90"/>
      <c r="AZ107" s="93"/>
      <c r="BA107" s="93"/>
      <c r="BB107" s="90"/>
      <c r="BC107" s="90"/>
      <c r="BD107" s="93"/>
      <c r="BE107" s="93"/>
      <c r="BF107" s="90"/>
      <c r="BG107" s="90"/>
      <c r="BH107" s="93"/>
      <c r="BI107" s="93"/>
      <c r="BJ107" s="91"/>
      <c r="BK107" s="91"/>
      <c r="BL107" s="91"/>
      <c r="BM107" s="91"/>
      <c r="BN107" s="91"/>
      <c r="BO107" s="91"/>
      <c r="BP107" s="91"/>
      <c r="BQ107" s="91"/>
      <c r="BR107" s="91"/>
    </row>
    <row r="108" spans="11:70">
      <c r="K108" s="88"/>
      <c r="L108" s="88"/>
      <c r="M108" s="88"/>
      <c r="N108" s="88"/>
      <c r="O108" s="88"/>
      <c r="P108" s="88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90"/>
      <c r="AI108" s="91"/>
      <c r="AJ108" s="92"/>
      <c r="AK108" s="91"/>
      <c r="AL108" s="92"/>
      <c r="AM108" s="91"/>
      <c r="AN108" s="91"/>
      <c r="AO108" s="90"/>
      <c r="AP108" s="90"/>
      <c r="AQ108" s="93"/>
      <c r="AR108" s="93"/>
      <c r="AS108" s="91"/>
      <c r="AT108" s="90"/>
      <c r="AU108" s="90"/>
      <c r="AV108" s="93"/>
      <c r="AW108" s="93"/>
      <c r="AX108" s="90"/>
      <c r="AY108" s="90"/>
      <c r="AZ108" s="93"/>
      <c r="BA108" s="93"/>
      <c r="BB108" s="90"/>
      <c r="BC108" s="90"/>
      <c r="BD108" s="93"/>
      <c r="BE108" s="93"/>
      <c r="BF108" s="90"/>
      <c r="BG108" s="90"/>
      <c r="BH108" s="93"/>
      <c r="BI108" s="93"/>
      <c r="BJ108" s="91"/>
      <c r="BK108" s="91"/>
      <c r="BL108" s="91"/>
      <c r="BM108" s="91"/>
      <c r="BN108" s="91"/>
      <c r="BO108" s="91"/>
      <c r="BP108" s="91"/>
      <c r="BQ108" s="91"/>
      <c r="BR108" s="91"/>
    </row>
    <row r="109" spans="11:70">
      <c r="K109" s="88"/>
      <c r="L109" s="88"/>
      <c r="M109" s="88"/>
      <c r="N109" s="88"/>
      <c r="O109" s="88"/>
      <c r="P109" s="88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90"/>
      <c r="AI109" s="91"/>
      <c r="AJ109" s="92"/>
      <c r="AK109" s="91"/>
      <c r="AL109" s="92"/>
      <c r="AM109" s="91"/>
      <c r="AN109" s="91"/>
      <c r="AO109" s="90"/>
      <c r="AP109" s="90"/>
      <c r="AQ109" s="93"/>
      <c r="AR109" s="93"/>
      <c r="AS109" s="91"/>
      <c r="AT109" s="90"/>
      <c r="AU109" s="90"/>
      <c r="AV109" s="93"/>
      <c r="AW109" s="93"/>
      <c r="AX109" s="90"/>
      <c r="AY109" s="90"/>
      <c r="AZ109" s="93"/>
      <c r="BA109" s="93"/>
      <c r="BB109" s="90"/>
      <c r="BC109" s="90"/>
      <c r="BD109" s="93"/>
      <c r="BE109" s="93"/>
      <c r="BF109" s="90"/>
      <c r="BG109" s="90"/>
      <c r="BH109" s="93"/>
      <c r="BI109" s="93"/>
      <c r="BJ109" s="91"/>
      <c r="BK109" s="91"/>
      <c r="BL109" s="91"/>
      <c r="BM109" s="91"/>
      <c r="BN109" s="91"/>
      <c r="BO109" s="91"/>
      <c r="BP109" s="91"/>
      <c r="BQ109" s="91"/>
      <c r="BR109" s="91"/>
    </row>
    <row r="110" spans="11:70">
      <c r="K110" s="88"/>
      <c r="L110" s="88"/>
      <c r="M110" s="88"/>
      <c r="N110" s="88"/>
      <c r="O110" s="88"/>
      <c r="P110" s="88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90"/>
      <c r="AI110" s="91"/>
      <c r="AJ110" s="92"/>
      <c r="AK110" s="91"/>
      <c r="AL110" s="92"/>
      <c r="AM110" s="91"/>
      <c r="AN110" s="91"/>
      <c r="AO110" s="90"/>
      <c r="AP110" s="90"/>
      <c r="AQ110" s="93"/>
      <c r="AR110" s="93"/>
      <c r="AS110" s="91"/>
      <c r="AT110" s="90"/>
      <c r="AU110" s="90"/>
      <c r="AV110" s="93"/>
      <c r="AW110" s="93"/>
      <c r="AX110" s="90"/>
      <c r="AY110" s="90"/>
      <c r="AZ110" s="93"/>
      <c r="BA110" s="93"/>
      <c r="BB110" s="90"/>
      <c r="BC110" s="90"/>
      <c r="BD110" s="93"/>
      <c r="BE110" s="93"/>
      <c r="BF110" s="90"/>
      <c r="BG110" s="90"/>
      <c r="BH110" s="93"/>
      <c r="BI110" s="93"/>
      <c r="BJ110" s="91"/>
      <c r="BK110" s="91"/>
      <c r="BL110" s="91"/>
      <c r="BM110" s="91"/>
      <c r="BN110" s="91"/>
      <c r="BO110" s="91"/>
      <c r="BP110" s="91"/>
      <c r="BQ110" s="91"/>
      <c r="BR110" s="91"/>
    </row>
    <row r="111" spans="11:70">
      <c r="K111" s="88"/>
      <c r="L111" s="88"/>
      <c r="M111" s="88"/>
      <c r="N111" s="88"/>
      <c r="O111" s="88"/>
      <c r="P111" s="88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90"/>
      <c r="AI111" s="91"/>
      <c r="AJ111" s="92"/>
      <c r="AK111" s="91"/>
      <c r="AL111" s="92"/>
      <c r="AM111" s="91"/>
      <c r="AN111" s="91"/>
      <c r="AO111" s="90"/>
      <c r="AP111" s="90"/>
      <c r="AQ111" s="93"/>
      <c r="AR111" s="93"/>
      <c r="AS111" s="91"/>
      <c r="AT111" s="90"/>
      <c r="AU111" s="90"/>
      <c r="AV111" s="93"/>
      <c r="AW111" s="93"/>
      <c r="AX111" s="90"/>
      <c r="AY111" s="90"/>
      <c r="AZ111" s="93"/>
      <c r="BA111" s="93"/>
      <c r="BB111" s="90"/>
      <c r="BC111" s="90"/>
      <c r="BD111" s="93"/>
      <c r="BE111" s="93"/>
      <c r="BF111" s="90"/>
      <c r="BG111" s="90"/>
      <c r="BH111" s="93"/>
      <c r="BI111" s="93"/>
      <c r="BJ111" s="91"/>
      <c r="BK111" s="91"/>
      <c r="BL111" s="91"/>
      <c r="BM111" s="91"/>
      <c r="BN111" s="91"/>
      <c r="BO111" s="91"/>
      <c r="BP111" s="91"/>
      <c r="BQ111" s="91"/>
      <c r="BR111" s="91"/>
    </row>
    <row r="112" spans="11:70">
      <c r="K112" s="88"/>
      <c r="L112" s="88"/>
      <c r="M112" s="88"/>
      <c r="N112" s="88"/>
      <c r="O112" s="88"/>
      <c r="P112" s="88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90"/>
      <c r="AI112" s="91"/>
      <c r="AJ112" s="92"/>
      <c r="AK112" s="91"/>
      <c r="AL112" s="92"/>
      <c r="AM112" s="91"/>
      <c r="AN112" s="91"/>
      <c r="AO112" s="90"/>
      <c r="AP112" s="90"/>
      <c r="AQ112" s="93"/>
      <c r="AR112" s="93"/>
      <c r="AS112" s="91"/>
      <c r="AT112" s="90"/>
      <c r="AU112" s="90"/>
      <c r="AV112" s="93"/>
      <c r="AW112" s="93"/>
      <c r="AX112" s="90"/>
      <c r="AY112" s="90"/>
      <c r="AZ112" s="93"/>
      <c r="BA112" s="93"/>
      <c r="BB112" s="90"/>
      <c r="BC112" s="90"/>
      <c r="BD112" s="93"/>
      <c r="BE112" s="93"/>
      <c r="BF112" s="90"/>
      <c r="BG112" s="90"/>
      <c r="BH112" s="93"/>
      <c r="BI112" s="93"/>
      <c r="BJ112" s="91"/>
      <c r="BK112" s="91"/>
      <c r="BL112" s="91"/>
      <c r="BM112" s="91"/>
      <c r="BN112" s="91"/>
      <c r="BO112" s="91"/>
      <c r="BP112" s="91"/>
      <c r="BQ112" s="91"/>
      <c r="BR112" s="91"/>
    </row>
    <row r="113" spans="11:70">
      <c r="K113" s="88"/>
      <c r="L113" s="88"/>
      <c r="M113" s="88"/>
      <c r="N113" s="88"/>
      <c r="O113" s="88"/>
      <c r="P113" s="88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90"/>
      <c r="AI113" s="91"/>
      <c r="AJ113" s="92"/>
      <c r="AK113" s="91"/>
      <c r="AL113" s="92"/>
      <c r="AM113" s="91"/>
      <c r="AN113" s="91"/>
      <c r="AO113" s="90"/>
      <c r="AP113" s="90"/>
      <c r="AQ113" s="93"/>
      <c r="AR113" s="93"/>
      <c r="AS113" s="91"/>
      <c r="AT113" s="90"/>
      <c r="AU113" s="90"/>
      <c r="AV113" s="93"/>
      <c r="AW113" s="93"/>
      <c r="AX113" s="90"/>
      <c r="AY113" s="90"/>
      <c r="AZ113" s="93"/>
      <c r="BA113" s="93"/>
      <c r="BB113" s="90"/>
      <c r="BC113" s="90"/>
      <c r="BD113" s="93"/>
      <c r="BE113" s="93"/>
      <c r="BF113" s="90"/>
      <c r="BG113" s="90"/>
      <c r="BH113" s="93"/>
      <c r="BI113" s="93"/>
      <c r="BJ113" s="91"/>
      <c r="BK113" s="91"/>
      <c r="BL113" s="91"/>
      <c r="BM113" s="91"/>
      <c r="BN113" s="91"/>
      <c r="BO113" s="91"/>
      <c r="BP113" s="91"/>
      <c r="BQ113" s="91"/>
      <c r="BR113" s="91"/>
    </row>
    <row r="114" spans="11:70">
      <c r="K114" s="88"/>
      <c r="L114" s="88"/>
      <c r="M114" s="88"/>
      <c r="N114" s="88"/>
      <c r="O114" s="88"/>
      <c r="P114" s="88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90"/>
      <c r="AI114" s="91"/>
      <c r="AJ114" s="92"/>
      <c r="AK114" s="91"/>
      <c r="AL114" s="92"/>
      <c r="AM114" s="91"/>
      <c r="AN114" s="91"/>
      <c r="AO114" s="90"/>
      <c r="AP114" s="90"/>
      <c r="AQ114" s="93"/>
      <c r="AR114" s="93"/>
      <c r="AS114" s="91"/>
      <c r="AT114" s="90"/>
      <c r="AU114" s="90"/>
      <c r="AV114" s="93"/>
      <c r="AW114" s="93"/>
      <c r="AX114" s="90"/>
      <c r="AY114" s="90"/>
      <c r="AZ114" s="93"/>
      <c r="BA114" s="93"/>
      <c r="BB114" s="90"/>
      <c r="BC114" s="90"/>
      <c r="BD114" s="93"/>
      <c r="BE114" s="93"/>
      <c r="BF114" s="90"/>
      <c r="BG114" s="90"/>
      <c r="BH114" s="93"/>
      <c r="BI114" s="93"/>
      <c r="BJ114" s="91"/>
      <c r="BK114" s="91"/>
      <c r="BL114" s="91"/>
      <c r="BM114" s="91"/>
      <c r="BN114" s="91"/>
      <c r="BO114" s="91"/>
      <c r="BP114" s="91"/>
      <c r="BQ114" s="91"/>
      <c r="BR114" s="91"/>
    </row>
    <row r="115" spans="11:70">
      <c r="K115" s="88"/>
      <c r="L115" s="88"/>
      <c r="M115" s="88"/>
      <c r="N115" s="88"/>
      <c r="O115" s="88"/>
      <c r="P115" s="88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90"/>
      <c r="AI115" s="91"/>
      <c r="AJ115" s="92"/>
      <c r="AK115" s="91"/>
      <c r="AL115" s="92"/>
      <c r="AM115" s="91"/>
      <c r="AN115" s="91"/>
      <c r="AO115" s="90"/>
      <c r="AP115" s="90"/>
      <c r="AQ115" s="93"/>
      <c r="AR115" s="93"/>
      <c r="AS115" s="91"/>
      <c r="AT115" s="90"/>
      <c r="AU115" s="90"/>
      <c r="AV115" s="93"/>
      <c r="AW115" s="93"/>
      <c r="AX115" s="90"/>
      <c r="AY115" s="90"/>
      <c r="AZ115" s="93"/>
      <c r="BA115" s="93"/>
      <c r="BB115" s="90"/>
      <c r="BC115" s="90"/>
      <c r="BD115" s="93"/>
      <c r="BE115" s="93"/>
      <c r="BF115" s="90"/>
      <c r="BG115" s="90"/>
      <c r="BH115" s="93"/>
      <c r="BI115" s="93"/>
      <c r="BJ115" s="91"/>
      <c r="BK115" s="91"/>
      <c r="BL115" s="91"/>
      <c r="BM115" s="91"/>
      <c r="BN115" s="91"/>
      <c r="BO115" s="91"/>
      <c r="BP115" s="91"/>
      <c r="BQ115" s="91"/>
      <c r="BR115" s="91"/>
    </row>
    <row r="116" spans="11:70">
      <c r="K116" s="88"/>
      <c r="L116" s="88"/>
      <c r="M116" s="88"/>
      <c r="N116" s="88"/>
      <c r="O116" s="88"/>
      <c r="P116" s="88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90"/>
      <c r="AI116" s="91"/>
      <c r="AJ116" s="92"/>
      <c r="AK116" s="91"/>
      <c r="AL116" s="92"/>
      <c r="AM116" s="91"/>
      <c r="AN116" s="91"/>
      <c r="AO116" s="90"/>
      <c r="AP116" s="90"/>
      <c r="AQ116" s="93"/>
      <c r="AR116" s="93"/>
      <c r="AS116" s="91"/>
      <c r="AT116" s="90"/>
      <c r="AU116" s="90"/>
      <c r="AV116" s="93"/>
      <c r="AW116" s="93"/>
      <c r="AX116" s="90"/>
      <c r="AY116" s="90"/>
      <c r="AZ116" s="93"/>
      <c r="BA116" s="93"/>
      <c r="BB116" s="90"/>
      <c r="BC116" s="90"/>
      <c r="BD116" s="93"/>
      <c r="BE116" s="93"/>
      <c r="BF116" s="90"/>
      <c r="BG116" s="90"/>
      <c r="BH116" s="93"/>
      <c r="BI116" s="93"/>
      <c r="BJ116" s="91"/>
      <c r="BK116" s="91"/>
      <c r="BL116" s="91"/>
      <c r="BM116" s="91"/>
      <c r="BN116" s="91"/>
      <c r="BO116" s="91"/>
      <c r="BP116" s="91"/>
      <c r="BQ116" s="91"/>
      <c r="BR116" s="91"/>
    </row>
    <row r="117" spans="11:70">
      <c r="K117" s="88"/>
      <c r="L117" s="88"/>
      <c r="M117" s="88"/>
      <c r="N117" s="88"/>
      <c r="O117" s="88"/>
      <c r="P117" s="88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90"/>
      <c r="AI117" s="91"/>
      <c r="AJ117" s="92"/>
      <c r="AK117" s="91"/>
      <c r="AL117" s="92"/>
      <c r="AM117" s="91"/>
      <c r="AN117" s="91"/>
      <c r="AO117" s="90"/>
      <c r="AP117" s="90"/>
      <c r="AQ117" s="93"/>
      <c r="AR117" s="93"/>
      <c r="AS117" s="91"/>
      <c r="AT117" s="90"/>
      <c r="AU117" s="90"/>
      <c r="AV117" s="93"/>
      <c r="AW117" s="93"/>
      <c r="AX117" s="90"/>
      <c r="AY117" s="90"/>
      <c r="AZ117" s="93"/>
      <c r="BA117" s="93"/>
      <c r="BB117" s="90"/>
      <c r="BC117" s="90"/>
      <c r="BD117" s="93"/>
      <c r="BE117" s="93"/>
      <c r="BF117" s="90"/>
      <c r="BG117" s="90"/>
      <c r="BH117" s="93"/>
      <c r="BI117" s="93"/>
      <c r="BJ117" s="91"/>
      <c r="BK117" s="91"/>
      <c r="BL117" s="91"/>
      <c r="BM117" s="91"/>
      <c r="BN117" s="91"/>
      <c r="BO117" s="91"/>
      <c r="BP117" s="91"/>
      <c r="BQ117" s="91"/>
      <c r="BR117" s="91"/>
    </row>
    <row r="118" spans="11:70">
      <c r="K118" s="88"/>
      <c r="L118" s="88"/>
      <c r="M118" s="88"/>
      <c r="N118" s="88"/>
      <c r="O118" s="88"/>
      <c r="P118" s="88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90"/>
      <c r="AI118" s="91"/>
      <c r="AJ118" s="92"/>
      <c r="AK118" s="91"/>
      <c r="AL118" s="92"/>
      <c r="AM118" s="91"/>
      <c r="AN118" s="91"/>
      <c r="AO118" s="90"/>
      <c r="AP118" s="90"/>
      <c r="AQ118" s="93"/>
      <c r="AR118" s="93"/>
      <c r="AS118" s="91"/>
      <c r="AT118" s="90"/>
      <c r="AU118" s="90"/>
      <c r="AV118" s="93"/>
      <c r="AW118" s="93"/>
      <c r="AX118" s="90"/>
      <c r="AY118" s="90"/>
      <c r="AZ118" s="93"/>
      <c r="BA118" s="93"/>
      <c r="BB118" s="90"/>
      <c r="BC118" s="90"/>
      <c r="BD118" s="93"/>
      <c r="BE118" s="93"/>
      <c r="BF118" s="90"/>
      <c r="BG118" s="90"/>
      <c r="BH118" s="93"/>
      <c r="BI118" s="93"/>
      <c r="BJ118" s="91"/>
      <c r="BK118" s="91"/>
      <c r="BL118" s="91"/>
      <c r="BM118" s="91"/>
      <c r="BN118" s="91"/>
      <c r="BO118" s="91"/>
      <c r="BP118" s="91"/>
      <c r="BQ118" s="91"/>
      <c r="BR118" s="91"/>
    </row>
    <row r="119" spans="11:70">
      <c r="K119" s="88"/>
      <c r="L119" s="88"/>
      <c r="M119" s="88"/>
      <c r="N119" s="88"/>
      <c r="O119" s="88"/>
      <c r="P119" s="88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90"/>
      <c r="AI119" s="91"/>
      <c r="AJ119" s="92"/>
      <c r="AK119" s="91"/>
      <c r="AL119" s="92"/>
      <c r="AM119" s="91"/>
      <c r="AN119" s="91"/>
      <c r="AO119" s="90"/>
      <c r="AP119" s="90"/>
      <c r="AQ119" s="93"/>
      <c r="AR119" s="93"/>
      <c r="AS119" s="91"/>
      <c r="AT119" s="90"/>
      <c r="AU119" s="90"/>
      <c r="AV119" s="93"/>
      <c r="AW119" s="93"/>
      <c r="AX119" s="90"/>
      <c r="AY119" s="90"/>
      <c r="AZ119" s="93"/>
      <c r="BA119" s="93"/>
      <c r="BB119" s="90"/>
      <c r="BC119" s="90"/>
      <c r="BD119" s="93"/>
      <c r="BE119" s="93"/>
      <c r="BF119" s="90"/>
      <c r="BG119" s="90"/>
      <c r="BH119" s="93"/>
      <c r="BI119" s="93"/>
      <c r="BJ119" s="91"/>
      <c r="BK119" s="91"/>
      <c r="BL119" s="91"/>
      <c r="BM119" s="91"/>
      <c r="BN119" s="91"/>
      <c r="BO119" s="91"/>
      <c r="BP119" s="91"/>
      <c r="BQ119" s="91"/>
      <c r="BR119" s="91"/>
    </row>
    <row r="120" spans="11:70">
      <c r="K120" s="88"/>
      <c r="L120" s="88"/>
      <c r="M120" s="88"/>
      <c r="N120" s="88"/>
      <c r="O120" s="88"/>
      <c r="P120" s="88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90"/>
      <c r="AI120" s="91"/>
      <c r="AJ120" s="92"/>
      <c r="AK120" s="91"/>
      <c r="AL120" s="92"/>
      <c r="AM120" s="91"/>
      <c r="AN120" s="91"/>
      <c r="AO120" s="90"/>
      <c r="AP120" s="90"/>
      <c r="AQ120" s="93"/>
      <c r="AR120" s="93"/>
      <c r="AS120" s="91"/>
      <c r="AT120" s="90"/>
      <c r="AU120" s="90"/>
      <c r="AV120" s="93"/>
      <c r="AW120" s="93"/>
      <c r="AX120" s="90"/>
      <c r="AY120" s="90"/>
      <c r="AZ120" s="93"/>
      <c r="BA120" s="93"/>
      <c r="BB120" s="90"/>
      <c r="BC120" s="90"/>
      <c r="BD120" s="93"/>
      <c r="BE120" s="93"/>
      <c r="BF120" s="90"/>
      <c r="BG120" s="90"/>
      <c r="BH120" s="93"/>
      <c r="BI120" s="93"/>
      <c r="BJ120" s="91"/>
      <c r="BK120" s="91"/>
      <c r="BL120" s="91"/>
      <c r="BM120" s="91"/>
      <c r="BN120" s="91"/>
      <c r="BO120" s="91"/>
      <c r="BP120" s="91"/>
      <c r="BQ120" s="91"/>
      <c r="BR120" s="91"/>
    </row>
    <row r="121" spans="11:70">
      <c r="K121" s="88"/>
      <c r="L121" s="88"/>
      <c r="M121" s="88"/>
      <c r="N121" s="88"/>
      <c r="O121" s="88"/>
      <c r="P121" s="88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90"/>
      <c r="AI121" s="91"/>
      <c r="AJ121" s="92"/>
      <c r="AK121" s="91"/>
      <c r="AL121" s="92"/>
      <c r="AM121" s="91"/>
      <c r="AN121" s="91"/>
      <c r="AO121" s="90"/>
      <c r="AP121" s="90"/>
      <c r="AQ121" s="93"/>
      <c r="AR121" s="93"/>
      <c r="AS121" s="91"/>
      <c r="AT121" s="90"/>
      <c r="AU121" s="90"/>
      <c r="AV121" s="93"/>
      <c r="AW121" s="93"/>
      <c r="AX121" s="90"/>
      <c r="AY121" s="90"/>
      <c r="AZ121" s="93"/>
      <c r="BA121" s="93"/>
      <c r="BB121" s="90"/>
      <c r="BC121" s="90"/>
      <c r="BD121" s="93"/>
      <c r="BE121" s="93"/>
      <c r="BF121" s="90"/>
      <c r="BG121" s="90"/>
      <c r="BH121" s="93"/>
      <c r="BI121" s="93"/>
      <c r="BJ121" s="91"/>
      <c r="BK121" s="91"/>
      <c r="BL121" s="91"/>
      <c r="BM121" s="91"/>
      <c r="BN121" s="91"/>
      <c r="BO121" s="91"/>
      <c r="BP121" s="91"/>
      <c r="BQ121" s="91"/>
      <c r="BR121" s="91"/>
    </row>
    <row r="122" spans="11:70">
      <c r="K122" s="88"/>
      <c r="L122" s="88"/>
      <c r="M122" s="88"/>
      <c r="N122" s="88"/>
      <c r="O122" s="88"/>
      <c r="P122" s="88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90"/>
      <c r="AI122" s="91"/>
      <c r="AJ122" s="92"/>
      <c r="AK122" s="91"/>
      <c r="AL122" s="92"/>
      <c r="AM122" s="91"/>
      <c r="AN122" s="91"/>
      <c r="AO122" s="90"/>
      <c r="AP122" s="90"/>
      <c r="AQ122" s="93"/>
      <c r="AR122" s="93"/>
      <c r="AS122" s="91"/>
      <c r="AT122" s="90"/>
      <c r="AU122" s="90"/>
      <c r="AV122" s="93"/>
      <c r="AW122" s="93"/>
      <c r="AX122" s="90"/>
      <c r="AY122" s="90"/>
      <c r="AZ122" s="93"/>
      <c r="BA122" s="93"/>
      <c r="BB122" s="90"/>
      <c r="BC122" s="90"/>
      <c r="BD122" s="93"/>
      <c r="BE122" s="93"/>
      <c r="BF122" s="90"/>
      <c r="BG122" s="90"/>
      <c r="BH122" s="93"/>
      <c r="BI122" s="93"/>
      <c r="BJ122" s="91"/>
      <c r="BK122" s="91"/>
      <c r="BL122" s="91"/>
      <c r="BM122" s="91"/>
      <c r="BN122" s="91"/>
      <c r="BO122" s="91"/>
      <c r="BP122" s="91"/>
      <c r="BQ122" s="91"/>
      <c r="BR122" s="91"/>
    </row>
    <row r="123" spans="11:70">
      <c r="K123" s="88"/>
      <c r="L123" s="88"/>
      <c r="M123" s="88"/>
      <c r="N123" s="88"/>
      <c r="O123" s="88"/>
      <c r="P123" s="88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90"/>
      <c r="AI123" s="91"/>
      <c r="AJ123" s="92"/>
      <c r="AK123" s="91"/>
      <c r="AL123" s="92"/>
      <c r="AM123" s="91"/>
      <c r="AN123" s="91"/>
      <c r="AO123" s="90"/>
      <c r="AP123" s="90"/>
      <c r="AQ123" s="93"/>
      <c r="AR123" s="93"/>
      <c r="AS123" s="91"/>
      <c r="AT123" s="90"/>
      <c r="AU123" s="90"/>
      <c r="AV123" s="93"/>
      <c r="AW123" s="93"/>
      <c r="AX123" s="90"/>
      <c r="AY123" s="90"/>
      <c r="AZ123" s="93"/>
      <c r="BA123" s="93"/>
      <c r="BB123" s="90"/>
      <c r="BC123" s="90"/>
      <c r="BD123" s="93"/>
      <c r="BE123" s="93"/>
      <c r="BF123" s="90"/>
      <c r="BG123" s="90"/>
      <c r="BH123" s="93"/>
      <c r="BI123" s="93"/>
      <c r="BJ123" s="91"/>
      <c r="BK123" s="91"/>
      <c r="BL123" s="91"/>
      <c r="BM123" s="91"/>
      <c r="BN123" s="91"/>
      <c r="BO123" s="91"/>
      <c r="BP123" s="91"/>
      <c r="BQ123" s="91"/>
      <c r="BR123" s="91"/>
    </row>
    <row r="124" spans="11:70">
      <c r="K124" s="88"/>
      <c r="L124" s="88"/>
      <c r="M124" s="88"/>
      <c r="N124" s="88"/>
      <c r="O124" s="88"/>
      <c r="P124" s="88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90"/>
      <c r="AI124" s="91"/>
      <c r="AJ124" s="92"/>
      <c r="AK124" s="91"/>
      <c r="AL124" s="92"/>
      <c r="AM124" s="91"/>
      <c r="AN124" s="91"/>
      <c r="AO124" s="90"/>
      <c r="AP124" s="90"/>
      <c r="AQ124" s="93"/>
      <c r="AR124" s="93"/>
      <c r="AS124" s="91"/>
      <c r="AT124" s="90"/>
      <c r="AU124" s="90"/>
      <c r="AV124" s="93"/>
      <c r="AW124" s="93"/>
      <c r="AX124" s="90"/>
      <c r="AY124" s="90"/>
      <c r="AZ124" s="93"/>
      <c r="BA124" s="93"/>
      <c r="BB124" s="90"/>
      <c r="BC124" s="90"/>
      <c r="BD124" s="93"/>
      <c r="BE124" s="93"/>
      <c r="BF124" s="90"/>
      <c r="BG124" s="90"/>
      <c r="BH124" s="93"/>
      <c r="BI124" s="93"/>
      <c r="BJ124" s="91"/>
      <c r="BK124" s="91"/>
      <c r="BL124" s="91"/>
      <c r="BM124" s="91"/>
      <c r="BN124" s="91"/>
      <c r="BO124" s="91"/>
      <c r="BP124" s="91"/>
      <c r="BQ124" s="91"/>
      <c r="BR124" s="91"/>
    </row>
    <row r="125" spans="11:70">
      <c r="K125" s="88"/>
      <c r="L125" s="88"/>
      <c r="M125" s="88"/>
      <c r="N125" s="88"/>
      <c r="O125" s="88"/>
      <c r="P125" s="88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90"/>
      <c r="AI125" s="91"/>
      <c r="AJ125" s="92"/>
      <c r="AK125" s="91"/>
      <c r="AL125" s="92"/>
      <c r="AM125" s="91"/>
      <c r="AN125" s="91"/>
      <c r="AO125" s="90"/>
      <c r="AP125" s="90"/>
      <c r="AQ125" s="93"/>
      <c r="AR125" s="93"/>
      <c r="AS125" s="91"/>
      <c r="AT125" s="90"/>
      <c r="AU125" s="90"/>
      <c r="AV125" s="93"/>
      <c r="AW125" s="93"/>
      <c r="AX125" s="90"/>
      <c r="AY125" s="90"/>
      <c r="AZ125" s="93"/>
      <c r="BA125" s="93"/>
      <c r="BB125" s="90"/>
      <c r="BC125" s="90"/>
      <c r="BD125" s="93"/>
      <c r="BE125" s="93"/>
      <c r="BF125" s="90"/>
      <c r="BG125" s="90"/>
      <c r="BH125" s="93"/>
      <c r="BI125" s="93"/>
      <c r="BJ125" s="91"/>
      <c r="BK125" s="91"/>
      <c r="BL125" s="91"/>
      <c r="BM125" s="91"/>
      <c r="BN125" s="91"/>
      <c r="BO125" s="91"/>
      <c r="BP125" s="91"/>
      <c r="BQ125" s="91"/>
      <c r="BR125" s="91"/>
    </row>
    <row r="126" spans="11:70">
      <c r="K126" s="88"/>
      <c r="L126" s="88"/>
      <c r="M126" s="88"/>
      <c r="N126" s="88"/>
      <c r="O126" s="88"/>
      <c r="P126" s="88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90"/>
      <c r="AI126" s="91"/>
      <c r="AJ126" s="92"/>
      <c r="AK126" s="91"/>
      <c r="AL126" s="92"/>
      <c r="AM126" s="91"/>
      <c r="AN126" s="91"/>
      <c r="AO126" s="90"/>
      <c r="AP126" s="90"/>
      <c r="AQ126" s="93"/>
      <c r="AR126" s="93"/>
      <c r="AS126" s="91"/>
      <c r="AT126" s="90"/>
      <c r="AU126" s="90"/>
      <c r="AV126" s="93"/>
      <c r="AW126" s="93"/>
      <c r="AX126" s="90"/>
      <c r="AY126" s="90"/>
      <c r="AZ126" s="93"/>
      <c r="BA126" s="93"/>
      <c r="BB126" s="90"/>
      <c r="BC126" s="90"/>
      <c r="BD126" s="93"/>
      <c r="BE126" s="93"/>
      <c r="BF126" s="90"/>
      <c r="BG126" s="90"/>
      <c r="BH126" s="93"/>
      <c r="BI126" s="93"/>
      <c r="BJ126" s="91"/>
      <c r="BK126" s="91"/>
      <c r="BL126" s="91"/>
      <c r="BM126" s="91"/>
      <c r="BN126" s="91"/>
      <c r="BO126" s="91"/>
      <c r="BP126" s="91"/>
      <c r="BQ126" s="91"/>
      <c r="BR126" s="91"/>
    </row>
    <row r="127" spans="11:70">
      <c r="K127" s="88"/>
      <c r="L127" s="88"/>
      <c r="M127" s="88"/>
      <c r="N127" s="88"/>
      <c r="O127" s="88"/>
      <c r="P127" s="88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90"/>
      <c r="AI127" s="91"/>
      <c r="AJ127" s="92"/>
      <c r="AK127" s="91"/>
      <c r="AL127" s="92"/>
      <c r="AM127" s="91"/>
      <c r="AN127" s="91"/>
      <c r="AO127" s="90"/>
      <c r="AP127" s="90"/>
      <c r="AQ127" s="93"/>
      <c r="AR127" s="93"/>
      <c r="AS127" s="91"/>
      <c r="AT127" s="90"/>
      <c r="AU127" s="90"/>
      <c r="AV127" s="93"/>
      <c r="AW127" s="93"/>
      <c r="AX127" s="90"/>
      <c r="AY127" s="90"/>
      <c r="AZ127" s="93"/>
      <c r="BA127" s="93"/>
      <c r="BB127" s="90"/>
      <c r="BC127" s="90"/>
      <c r="BD127" s="93"/>
      <c r="BE127" s="93"/>
      <c r="BF127" s="90"/>
      <c r="BG127" s="90"/>
      <c r="BH127" s="93"/>
      <c r="BI127" s="93"/>
      <c r="BJ127" s="91"/>
      <c r="BK127" s="91"/>
      <c r="BL127" s="91"/>
      <c r="BM127" s="91"/>
      <c r="BN127" s="91"/>
      <c r="BO127" s="91"/>
      <c r="BP127" s="91"/>
      <c r="BQ127" s="91"/>
      <c r="BR127" s="91"/>
    </row>
    <row r="128" spans="11:70">
      <c r="K128" s="88"/>
      <c r="L128" s="88"/>
      <c r="M128" s="88"/>
      <c r="N128" s="88"/>
      <c r="O128" s="88"/>
      <c r="P128" s="88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90"/>
      <c r="AI128" s="91"/>
      <c r="AJ128" s="92"/>
      <c r="AK128" s="91"/>
      <c r="AL128" s="92"/>
      <c r="AM128" s="91"/>
      <c r="AN128" s="91"/>
      <c r="AO128" s="90"/>
      <c r="AP128" s="90"/>
      <c r="AQ128" s="93"/>
      <c r="AR128" s="93"/>
      <c r="AS128" s="91"/>
      <c r="AT128" s="90"/>
      <c r="AU128" s="90"/>
      <c r="AV128" s="93"/>
      <c r="AW128" s="93"/>
      <c r="AX128" s="90"/>
      <c r="AY128" s="90"/>
      <c r="AZ128" s="93"/>
      <c r="BA128" s="93"/>
      <c r="BB128" s="90"/>
      <c r="BC128" s="90"/>
      <c r="BD128" s="93"/>
      <c r="BE128" s="93"/>
      <c r="BF128" s="90"/>
      <c r="BG128" s="90"/>
      <c r="BH128" s="93"/>
      <c r="BI128" s="93"/>
      <c r="BJ128" s="91"/>
      <c r="BK128" s="91"/>
      <c r="BL128" s="91"/>
      <c r="BM128" s="91"/>
      <c r="BN128" s="91"/>
      <c r="BO128" s="91"/>
      <c r="BP128" s="91"/>
      <c r="BQ128" s="91"/>
      <c r="BR128" s="91"/>
    </row>
    <row r="129" spans="11:70">
      <c r="K129" s="88"/>
      <c r="L129" s="88"/>
      <c r="M129" s="88"/>
      <c r="N129" s="88"/>
      <c r="O129" s="88"/>
      <c r="P129" s="88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90"/>
      <c r="AI129" s="91"/>
      <c r="AJ129" s="92"/>
      <c r="AK129" s="91"/>
      <c r="AL129" s="92"/>
      <c r="AM129" s="91"/>
      <c r="AN129" s="91"/>
      <c r="AO129" s="90"/>
      <c r="AP129" s="90"/>
      <c r="AQ129" s="93"/>
      <c r="AR129" s="93"/>
      <c r="AS129" s="91"/>
      <c r="AT129" s="90"/>
      <c r="AU129" s="90"/>
      <c r="AV129" s="93"/>
      <c r="AW129" s="93"/>
      <c r="AX129" s="90"/>
      <c r="AY129" s="90"/>
      <c r="AZ129" s="93"/>
      <c r="BA129" s="93"/>
      <c r="BB129" s="90"/>
      <c r="BC129" s="90"/>
      <c r="BD129" s="93"/>
      <c r="BE129" s="93"/>
      <c r="BF129" s="90"/>
      <c r="BG129" s="90"/>
      <c r="BH129" s="93"/>
      <c r="BI129" s="93"/>
      <c r="BJ129" s="91"/>
      <c r="BK129" s="91"/>
      <c r="BL129" s="91"/>
      <c r="BM129" s="91"/>
      <c r="BN129" s="91"/>
      <c r="BO129" s="91"/>
      <c r="BP129" s="91"/>
      <c r="BQ129" s="91"/>
      <c r="BR129" s="91"/>
    </row>
    <row r="130" spans="11:70">
      <c r="K130" s="88"/>
      <c r="L130" s="88"/>
      <c r="M130" s="88"/>
      <c r="N130" s="88"/>
      <c r="O130" s="88"/>
      <c r="P130" s="88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90"/>
      <c r="AI130" s="91"/>
      <c r="AJ130" s="92"/>
      <c r="AK130" s="91"/>
      <c r="AL130" s="92"/>
      <c r="AM130" s="91"/>
      <c r="AN130" s="91"/>
      <c r="AO130" s="90"/>
      <c r="AP130" s="90"/>
      <c r="AQ130" s="93"/>
      <c r="AR130" s="93"/>
      <c r="AS130" s="91"/>
      <c r="AT130" s="90"/>
      <c r="AU130" s="90"/>
      <c r="AV130" s="93"/>
      <c r="AW130" s="93"/>
      <c r="AX130" s="90"/>
      <c r="AY130" s="90"/>
      <c r="AZ130" s="93"/>
      <c r="BA130" s="93"/>
      <c r="BB130" s="90"/>
      <c r="BC130" s="90"/>
      <c r="BD130" s="93"/>
      <c r="BE130" s="93"/>
      <c r="BF130" s="90"/>
      <c r="BG130" s="90"/>
      <c r="BH130" s="93"/>
      <c r="BI130" s="93"/>
      <c r="BJ130" s="91"/>
      <c r="BK130" s="91"/>
      <c r="BL130" s="91"/>
      <c r="BM130" s="91"/>
      <c r="BN130" s="91"/>
      <c r="BO130" s="91"/>
      <c r="BP130" s="91"/>
      <c r="BQ130" s="91"/>
      <c r="BR130" s="91"/>
    </row>
    <row r="131" spans="11:70">
      <c r="K131" s="88"/>
      <c r="L131" s="88"/>
      <c r="M131" s="88"/>
      <c r="N131" s="88"/>
      <c r="O131" s="88"/>
      <c r="P131" s="88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90"/>
      <c r="AI131" s="91"/>
      <c r="AJ131" s="92"/>
      <c r="AK131" s="91"/>
      <c r="AL131" s="92"/>
      <c r="AM131" s="91"/>
      <c r="AN131" s="91"/>
      <c r="AO131" s="90"/>
      <c r="AP131" s="90"/>
      <c r="AQ131" s="93"/>
      <c r="AR131" s="93"/>
      <c r="AS131" s="91"/>
      <c r="AT131" s="90"/>
      <c r="AU131" s="90"/>
      <c r="AV131" s="93"/>
      <c r="AW131" s="93"/>
      <c r="AX131" s="90"/>
      <c r="AY131" s="90"/>
      <c r="AZ131" s="93"/>
      <c r="BA131" s="93"/>
      <c r="BB131" s="90"/>
      <c r="BC131" s="90"/>
      <c r="BD131" s="93"/>
      <c r="BE131" s="93"/>
      <c r="BF131" s="90"/>
      <c r="BG131" s="90"/>
      <c r="BH131" s="93"/>
      <c r="BI131" s="93"/>
      <c r="BJ131" s="91"/>
      <c r="BK131" s="91"/>
      <c r="BL131" s="91"/>
      <c r="BM131" s="91"/>
      <c r="BN131" s="91"/>
      <c r="BO131" s="91"/>
      <c r="BP131" s="91"/>
      <c r="BQ131" s="91"/>
      <c r="BR131" s="91"/>
    </row>
    <row r="132" spans="11:70">
      <c r="K132" s="88"/>
      <c r="L132" s="88"/>
      <c r="M132" s="88"/>
      <c r="N132" s="88"/>
      <c r="O132" s="88"/>
      <c r="P132" s="88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90"/>
      <c r="AI132" s="91"/>
      <c r="AJ132" s="92"/>
      <c r="AK132" s="91"/>
      <c r="AL132" s="92"/>
      <c r="AM132" s="91"/>
      <c r="AN132" s="91"/>
      <c r="AO132" s="90"/>
      <c r="AP132" s="90"/>
      <c r="AQ132" s="93"/>
      <c r="AR132" s="93"/>
      <c r="AS132" s="91"/>
      <c r="AT132" s="90"/>
      <c r="AU132" s="90"/>
      <c r="AV132" s="93"/>
      <c r="AW132" s="93"/>
      <c r="AX132" s="90"/>
      <c r="AY132" s="90"/>
      <c r="AZ132" s="93"/>
      <c r="BA132" s="93"/>
      <c r="BB132" s="90"/>
      <c r="BC132" s="90"/>
      <c r="BD132" s="93"/>
      <c r="BE132" s="93"/>
      <c r="BF132" s="90"/>
      <c r="BG132" s="90"/>
      <c r="BH132" s="93"/>
      <c r="BI132" s="93"/>
      <c r="BJ132" s="91"/>
      <c r="BK132" s="91"/>
      <c r="BL132" s="91"/>
      <c r="BM132" s="91"/>
      <c r="BN132" s="91"/>
      <c r="BO132" s="91"/>
      <c r="BP132" s="91"/>
      <c r="BQ132" s="91"/>
      <c r="BR132" s="91"/>
    </row>
    <row r="133" spans="11:70">
      <c r="K133" s="88"/>
      <c r="L133" s="88"/>
      <c r="M133" s="88"/>
      <c r="N133" s="88"/>
      <c r="O133" s="88"/>
      <c r="P133" s="88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90"/>
      <c r="AI133" s="91"/>
      <c r="AJ133" s="92"/>
      <c r="AK133" s="91"/>
      <c r="AL133" s="92"/>
      <c r="AM133" s="91"/>
      <c r="AN133" s="91"/>
      <c r="AO133" s="90"/>
      <c r="AP133" s="90"/>
      <c r="AQ133" s="93"/>
      <c r="AR133" s="93"/>
      <c r="AS133" s="91"/>
      <c r="AT133" s="90"/>
      <c r="AU133" s="90"/>
      <c r="AV133" s="93"/>
      <c r="AW133" s="93"/>
      <c r="AX133" s="90"/>
      <c r="AY133" s="90"/>
      <c r="AZ133" s="93"/>
      <c r="BA133" s="93"/>
      <c r="BB133" s="90"/>
      <c r="BC133" s="90"/>
      <c r="BD133" s="93"/>
      <c r="BE133" s="93"/>
      <c r="BF133" s="90"/>
      <c r="BG133" s="90"/>
      <c r="BH133" s="93"/>
      <c r="BI133" s="93"/>
      <c r="BJ133" s="91"/>
      <c r="BK133" s="91"/>
      <c r="BL133" s="91"/>
      <c r="BM133" s="91"/>
      <c r="BN133" s="91"/>
      <c r="BO133" s="91"/>
      <c r="BP133" s="91"/>
      <c r="BQ133" s="91"/>
      <c r="BR133" s="91"/>
    </row>
    <row r="134" spans="11:70">
      <c r="K134" s="88"/>
      <c r="L134" s="88"/>
      <c r="M134" s="88"/>
      <c r="N134" s="88"/>
      <c r="O134" s="88"/>
      <c r="P134" s="88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90"/>
      <c r="AI134" s="91"/>
      <c r="AJ134" s="92"/>
      <c r="AK134" s="91"/>
      <c r="AL134" s="92"/>
      <c r="AM134" s="91"/>
      <c r="AN134" s="91"/>
      <c r="AO134" s="90"/>
      <c r="AP134" s="90"/>
      <c r="AQ134" s="93"/>
      <c r="AR134" s="93"/>
      <c r="AS134" s="91"/>
      <c r="AT134" s="90"/>
      <c r="AU134" s="90"/>
      <c r="AV134" s="93"/>
      <c r="AW134" s="93"/>
      <c r="AX134" s="90"/>
      <c r="AY134" s="90"/>
      <c r="AZ134" s="93"/>
      <c r="BA134" s="93"/>
      <c r="BB134" s="90"/>
      <c r="BC134" s="90"/>
      <c r="BD134" s="93"/>
      <c r="BE134" s="93"/>
      <c r="BF134" s="90"/>
      <c r="BG134" s="90"/>
      <c r="BH134" s="93"/>
      <c r="BI134" s="93"/>
      <c r="BJ134" s="91"/>
      <c r="BK134" s="91"/>
      <c r="BL134" s="91"/>
      <c r="BM134" s="91"/>
      <c r="BN134" s="91"/>
      <c r="BO134" s="91"/>
      <c r="BP134" s="91"/>
      <c r="BQ134" s="91"/>
      <c r="BR134" s="91"/>
    </row>
    <row r="135" spans="11:70">
      <c r="K135" s="88"/>
      <c r="L135" s="88"/>
      <c r="M135" s="88"/>
      <c r="N135" s="88"/>
      <c r="O135" s="88"/>
      <c r="P135" s="88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90"/>
      <c r="AI135" s="91"/>
      <c r="AJ135" s="92"/>
      <c r="AK135" s="91"/>
      <c r="AL135" s="92"/>
      <c r="AM135" s="91"/>
      <c r="AN135" s="91"/>
      <c r="AO135" s="90"/>
      <c r="AP135" s="90"/>
      <c r="AQ135" s="93"/>
      <c r="AR135" s="93"/>
      <c r="AS135" s="91"/>
      <c r="AT135" s="90"/>
      <c r="AU135" s="90"/>
      <c r="AV135" s="93"/>
      <c r="AW135" s="93"/>
      <c r="AX135" s="90"/>
      <c r="AY135" s="90"/>
      <c r="AZ135" s="93"/>
      <c r="BA135" s="93"/>
      <c r="BB135" s="90"/>
      <c r="BC135" s="90"/>
      <c r="BD135" s="93"/>
      <c r="BE135" s="93"/>
      <c r="BF135" s="90"/>
      <c r="BG135" s="90"/>
      <c r="BH135" s="93"/>
      <c r="BI135" s="93"/>
      <c r="BJ135" s="91"/>
      <c r="BK135" s="91"/>
      <c r="BL135" s="91"/>
      <c r="BM135" s="91"/>
      <c r="BN135" s="91"/>
      <c r="BO135" s="91"/>
      <c r="BP135" s="91"/>
      <c r="BQ135" s="91"/>
      <c r="BR135" s="91"/>
    </row>
    <row r="136" spans="11:70">
      <c r="K136" s="88"/>
      <c r="L136" s="88"/>
      <c r="M136" s="88"/>
      <c r="N136" s="88"/>
      <c r="O136" s="88"/>
      <c r="P136" s="88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90"/>
      <c r="AI136" s="91"/>
      <c r="AJ136" s="92"/>
      <c r="AK136" s="91"/>
      <c r="AL136" s="92"/>
      <c r="AM136" s="91"/>
      <c r="AN136" s="91"/>
      <c r="AO136" s="90"/>
      <c r="AP136" s="90"/>
      <c r="AQ136" s="93"/>
      <c r="AR136" s="93"/>
      <c r="AS136" s="91"/>
      <c r="AT136" s="90"/>
      <c r="AU136" s="90"/>
      <c r="AV136" s="93"/>
      <c r="AW136" s="93"/>
      <c r="AX136" s="90"/>
      <c r="AY136" s="90"/>
      <c r="AZ136" s="93"/>
      <c r="BA136" s="93"/>
      <c r="BB136" s="90"/>
      <c r="BC136" s="90"/>
      <c r="BD136" s="93"/>
      <c r="BE136" s="93"/>
      <c r="BF136" s="90"/>
      <c r="BG136" s="90"/>
      <c r="BH136" s="93"/>
      <c r="BI136" s="93"/>
      <c r="BJ136" s="91"/>
      <c r="BK136" s="91"/>
      <c r="BL136" s="91"/>
      <c r="BM136" s="91"/>
      <c r="BN136" s="91"/>
      <c r="BO136" s="91"/>
      <c r="BP136" s="91"/>
      <c r="BQ136" s="91"/>
      <c r="BR136" s="91"/>
    </row>
    <row r="137" spans="11:70">
      <c r="K137" s="88"/>
      <c r="L137" s="88"/>
      <c r="M137" s="88"/>
      <c r="N137" s="88"/>
      <c r="O137" s="88"/>
      <c r="P137" s="88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90"/>
      <c r="AI137" s="91"/>
      <c r="AJ137" s="92"/>
      <c r="AK137" s="91"/>
      <c r="AL137" s="92"/>
      <c r="AM137" s="91"/>
      <c r="AN137" s="91"/>
      <c r="AO137" s="90"/>
      <c r="AP137" s="90"/>
      <c r="AQ137" s="93"/>
      <c r="AR137" s="93"/>
      <c r="AS137" s="91"/>
      <c r="AT137" s="90"/>
      <c r="AU137" s="90"/>
      <c r="AV137" s="93"/>
      <c r="AW137" s="93"/>
      <c r="AX137" s="90"/>
      <c r="AY137" s="90"/>
      <c r="AZ137" s="93"/>
      <c r="BA137" s="93"/>
      <c r="BB137" s="90"/>
      <c r="BC137" s="90"/>
      <c r="BD137" s="93"/>
      <c r="BE137" s="93"/>
      <c r="BF137" s="90"/>
      <c r="BG137" s="90"/>
      <c r="BH137" s="93"/>
      <c r="BI137" s="93"/>
      <c r="BJ137" s="91"/>
      <c r="BK137" s="91"/>
      <c r="BL137" s="91"/>
      <c r="BM137" s="91"/>
      <c r="BN137" s="91"/>
      <c r="BO137" s="91"/>
      <c r="BP137" s="91"/>
      <c r="BQ137" s="91"/>
      <c r="BR137" s="91"/>
    </row>
    <row r="138" spans="11:70">
      <c r="K138" s="88"/>
      <c r="L138" s="88"/>
      <c r="M138" s="88"/>
      <c r="N138" s="88"/>
      <c r="O138" s="88"/>
      <c r="P138" s="88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90"/>
      <c r="AI138" s="91"/>
      <c r="AJ138" s="92"/>
      <c r="AK138" s="91"/>
      <c r="AL138" s="92"/>
      <c r="AM138" s="91"/>
      <c r="AN138" s="91"/>
      <c r="AO138" s="90"/>
      <c r="AP138" s="90"/>
      <c r="AQ138" s="93"/>
      <c r="AR138" s="93"/>
      <c r="AS138" s="91"/>
      <c r="AT138" s="90"/>
      <c r="AU138" s="90"/>
      <c r="AV138" s="93"/>
      <c r="AW138" s="93"/>
      <c r="AX138" s="90"/>
      <c r="AY138" s="90"/>
      <c r="AZ138" s="93"/>
      <c r="BA138" s="93"/>
      <c r="BB138" s="90"/>
      <c r="BC138" s="90"/>
      <c r="BD138" s="93"/>
      <c r="BE138" s="93"/>
      <c r="BF138" s="90"/>
      <c r="BG138" s="90"/>
      <c r="BH138" s="93"/>
      <c r="BI138" s="93"/>
      <c r="BJ138" s="91"/>
      <c r="BK138" s="91"/>
      <c r="BL138" s="91"/>
      <c r="BM138" s="91"/>
      <c r="BN138" s="91"/>
      <c r="BO138" s="91"/>
      <c r="BP138" s="91"/>
      <c r="BQ138" s="91"/>
      <c r="BR138" s="91"/>
    </row>
    <row r="139" spans="11:70">
      <c r="K139" s="88"/>
      <c r="L139" s="88"/>
      <c r="M139" s="88"/>
      <c r="N139" s="88"/>
      <c r="O139" s="88"/>
      <c r="P139" s="88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90"/>
      <c r="AI139" s="91"/>
      <c r="AJ139" s="92"/>
      <c r="AK139" s="91"/>
      <c r="AL139" s="92"/>
      <c r="AM139" s="91"/>
      <c r="AN139" s="91"/>
      <c r="AO139" s="90"/>
      <c r="AP139" s="90"/>
      <c r="AQ139" s="93"/>
      <c r="AR139" s="93"/>
      <c r="AS139" s="91"/>
      <c r="AT139" s="90"/>
      <c r="AU139" s="90"/>
      <c r="AV139" s="93"/>
      <c r="AW139" s="93"/>
      <c r="AX139" s="90"/>
      <c r="AY139" s="90"/>
      <c r="AZ139" s="93"/>
      <c r="BA139" s="93"/>
      <c r="BB139" s="90"/>
      <c r="BC139" s="90"/>
      <c r="BD139" s="93"/>
      <c r="BE139" s="93"/>
      <c r="BF139" s="90"/>
      <c r="BG139" s="90"/>
      <c r="BH139" s="93"/>
      <c r="BI139" s="93"/>
      <c r="BJ139" s="91"/>
      <c r="BK139" s="91"/>
      <c r="BL139" s="91"/>
      <c r="BM139" s="91"/>
      <c r="BN139" s="91"/>
      <c r="BO139" s="91"/>
      <c r="BP139" s="91"/>
      <c r="BQ139" s="91"/>
      <c r="BR139" s="91"/>
    </row>
    <row r="140" spans="11:70">
      <c r="K140" s="88"/>
      <c r="L140" s="88"/>
      <c r="M140" s="88"/>
      <c r="N140" s="88"/>
      <c r="O140" s="88"/>
      <c r="P140" s="88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90"/>
      <c r="AI140" s="91"/>
      <c r="AJ140" s="92"/>
      <c r="AK140" s="91"/>
      <c r="AL140" s="92"/>
      <c r="AM140" s="91"/>
      <c r="AN140" s="91"/>
      <c r="AO140" s="90"/>
      <c r="AP140" s="90"/>
      <c r="AQ140" s="93"/>
      <c r="AR140" s="93"/>
      <c r="AS140" s="91"/>
      <c r="AT140" s="90"/>
      <c r="AU140" s="90"/>
      <c r="AV140" s="93"/>
      <c r="AW140" s="93"/>
      <c r="AX140" s="90"/>
      <c r="AY140" s="90"/>
      <c r="AZ140" s="93"/>
      <c r="BA140" s="93"/>
      <c r="BB140" s="90"/>
      <c r="BC140" s="90"/>
      <c r="BD140" s="93"/>
      <c r="BE140" s="93"/>
      <c r="BF140" s="90"/>
      <c r="BG140" s="90"/>
      <c r="BH140" s="93"/>
      <c r="BI140" s="93"/>
      <c r="BJ140" s="91"/>
      <c r="BK140" s="91"/>
      <c r="BL140" s="91"/>
      <c r="BM140" s="91"/>
      <c r="BN140" s="91"/>
      <c r="BO140" s="91"/>
      <c r="BP140" s="91"/>
      <c r="BQ140" s="91"/>
      <c r="BR140" s="91"/>
    </row>
    <row r="141" spans="11:70">
      <c r="K141" s="88"/>
      <c r="L141" s="88"/>
      <c r="M141" s="88"/>
      <c r="N141" s="88"/>
      <c r="O141" s="88"/>
      <c r="P141" s="88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90"/>
      <c r="AI141" s="91"/>
      <c r="AJ141" s="92"/>
      <c r="AK141" s="91"/>
      <c r="AL141" s="92"/>
      <c r="AM141" s="91"/>
      <c r="AN141" s="91"/>
      <c r="AO141" s="90"/>
      <c r="AP141" s="90"/>
      <c r="AQ141" s="93"/>
      <c r="AR141" s="93"/>
      <c r="AS141" s="91"/>
      <c r="AT141" s="90"/>
      <c r="AU141" s="90"/>
      <c r="AV141" s="93"/>
      <c r="AW141" s="93"/>
      <c r="AX141" s="90"/>
      <c r="AY141" s="90"/>
      <c r="AZ141" s="93"/>
      <c r="BA141" s="93"/>
      <c r="BB141" s="90"/>
      <c r="BC141" s="90"/>
      <c r="BD141" s="93"/>
      <c r="BE141" s="93"/>
      <c r="BF141" s="90"/>
      <c r="BG141" s="90"/>
      <c r="BH141" s="93"/>
      <c r="BI141" s="93"/>
      <c r="BJ141" s="91"/>
      <c r="BK141" s="91"/>
      <c r="BL141" s="91"/>
      <c r="BM141" s="91"/>
      <c r="BN141" s="91"/>
      <c r="BO141" s="91"/>
      <c r="BP141" s="91"/>
      <c r="BQ141" s="91"/>
      <c r="BR141" s="91"/>
    </row>
    <row r="142" spans="11:70">
      <c r="K142" s="88"/>
      <c r="L142" s="88"/>
      <c r="M142" s="88"/>
      <c r="N142" s="88"/>
      <c r="O142" s="88"/>
      <c r="P142" s="88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90"/>
      <c r="AI142" s="91"/>
      <c r="AJ142" s="92"/>
      <c r="AK142" s="91"/>
      <c r="AL142" s="92"/>
      <c r="AM142" s="91"/>
      <c r="AN142" s="91"/>
      <c r="AO142" s="90"/>
      <c r="AP142" s="90"/>
      <c r="AQ142" s="93"/>
      <c r="AR142" s="93"/>
      <c r="AS142" s="91"/>
      <c r="AT142" s="90"/>
      <c r="AU142" s="90"/>
      <c r="AV142" s="93"/>
      <c r="AW142" s="93"/>
      <c r="AX142" s="90"/>
      <c r="AY142" s="90"/>
      <c r="AZ142" s="93"/>
      <c r="BA142" s="93"/>
      <c r="BB142" s="90"/>
      <c r="BC142" s="90"/>
      <c r="BD142" s="93"/>
      <c r="BE142" s="93"/>
      <c r="BF142" s="90"/>
      <c r="BG142" s="90"/>
      <c r="BH142" s="93"/>
      <c r="BI142" s="93"/>
      <c r="BJ142" s="91"/>
      <c r="BK142" s="91"/>
      <c r="BL142" s="91"/>
      <c r="BM142" s="91"/>
      <c r="BN142" s="91"/>
      <c r="BO142" s="91"/>
      <c r="BP142" s="91"/>
      <c r="BQ142" s="91"/>
      <c r="BR142" s="91"/>
    </row>
    <row r="143" spans="11:70">
      <c r="K143" s="88"/>
      <c r="L143" s="88"/>
      <c r="M143" s="88"/>
      <c r="N143" s="88"/>
      <c r="O143" s="88"/>
      <c r="P143" s="88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90"/>
      <c r="AI143" s="91"/>
      <c r="AJ143" s="92"/>
      <c r="AK143" s="91"/>
      <c r="AL143" s="92"/>
      <c r="AM143" s="91"/>
      <c r="AN143" s="91"/>
      <c r="AO143" s="90"/>
      <c r="AP143" s="90"/>
      <c r="AQ143" s="93"/>
      <c r="AR143" s="93"/>
      <c r="AS143" s="91"/>
      <c r="AT143" s="90"/>
      <c r="AU143" s="90"/>
      <c r="AV143" s="93"/>
      <c r="AW143" s="93"/>
      <c r="AX143" s="90"/>
      <c r="AY143" s="90"/>
      <c r="AZ143" s="93"/>
      <c r="BA143" s="93"/>
      <c r="BB143" s="90"/>
      <c r="BC143" s="90"/>
      <c r="BD143" s="93"/>
      <c r="BE143" s="93"/>
      <c r="BF143" s="90"/>
      <c r="BG143" s="90"/>
      <c r="BH143" s="93"/>
      <c r="BI143" s="93"/>
      <c r="BJ143" s="91"/>
      <c r="BK143" s="91"/>
      <c r="BL143" s="91"/>
      <c r="BM143" s="91"/>
      <c r="BN143" s="91"/>
      <c r="BO143" s="91"/>
      <c r="BP143" s="91"/>
      <c r="BQ143" s="91"/>
      <c r="BR143" s="91"/>
    </row>
    <row r="144" spans="11:70">
      <c r="K144" s="88"/>
      <c r="L144" s="88"/>
      <c r="M144" s="88"/>
      <c r="N144" s="88"/>
      <c r="O144" s="88"/>
      <c r="P144" s="88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90"/>
      <c r="AI144" s="91"/>
      <c r="AJ144" s="92"/>
      <c r="AK144" s="91"/>
      <c r="AL144" s="92"/>
      <c r="AM144" s="91"/>
      <c r="AN144" s="91"/>
      <c r="AO144" s="90"/>
      <c r="AP144" s="90"/>
      <c r="AQ144" s="93"/>
      <c r="AR144" s="93"/>
      <c r="AS144" s="91"/>
      <c r="AT144" s="90"/>
      <c r="AU144" s="90"/>
      <c r="AV144" s="93"/>
      <c r="AW144" s="93"/>
      <c r="AX144" s="90"/>
      <c r="AY144" s="90"/>
      <c r="AZ144" s="93"/>
      <c r="BA144" s="93"/>
      <c r="BB144" s="90"/>
      <c r="BC144" s="90"/>
      <c r="BD144" s="93"/>
      <c r="BE144" s="93"/>
      <c r="BF144" s="90"/>
      <c r="BG144" s="90"/>
      <c r="BH144" s="93"/>
      <c r="BI144" s="93"/>
      <c r="BJ144" s="91"/>
      <c r="BK144" s="91"/>
      <c r="BL144" s="91"/>
      <c r="BM144" s="91"/>
      <c r="BN144" s="91"/>
      <c r="BO144" s="91"/>
      <c r="BP144" s="91"/>
      <c r="BQ144" s="91"/>
      <c r="BR144" s="91"/>
    </row>
    <row r="145" spans="11:70">
      <c r="K145" s="88"/>
      <c r="L145" s="88"/>
      <c r="M145" s="88"/>
      <c r="N145" s="88"/>
      <c r="O145" s="88"/>
      <c r="P145" s="88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90"/>
      <c r="AI145" s="91"/>
      <c r="AJ145" s="92"/>
      <c r="AK145" s="91"/>
      <c r="AL145" s="92"/>
      <c r="AM145" s="91"/>
      <c r="AN145" s="91"/>
      <c r="AO145" s="90"/>
      <c r="AP145" s="90"/>
      <c r="AQ145" s="93"/>
      <c r="AR145" s="93"/>
      <c r="AS145" s="91"/>
      <c r="AT145" s="90"/>
      <c r="AU145" s="90"/>
      <c r="AV145" s="93"/>
      <c r="AW145" s="93"/>
      <c r="AX145" s="90"/>
      <c r="AY145" s="90"/>
      <c r="AZ145" s="93"/>
      <c r="BA145" s="93"/>
      <c r="BB145" s="90"/>
      <c r="BC145" s="90"/>
      <c r="BD145" s="93"/>
      <c r="BE145" s="93"/>
      <c r="BF145" s="90"/>
      <c r="BG145" s="90"/>
      <c r="BH145" s="93"/>
      <c r="BI145" s="93"/>
      <c r="BJ145" s="91"/>
      <c r="BK145" s="91"/>
      <c r="BL145" s="91"/>
      <c r="BM145" s="91"/>
      <c r="BN145" s="91"/>
      <c r="BO145" s="91"/>
      <c r="BP145" s="91"/>
      <c r="BQ145" s="91"/>
      <c r="BR145" s="91"/>
    </row>
    <row r="146" spans="11:70">
      <c r="K146" s="88"/>
      <c r="L146" s="88"/>
      <c r="M146" s="88"/>
      <c r="N146" s="88"/>
      <c r="O146" s="88"/>
      <c r="P146" s="88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90"/>
      <c r="AI146" s="91"/>
      <c r="AJ146" s="92"/>
      <c r="AK146" s="91"/>
      <c r="AL146" s="92"/>
      <c r="AM146" s="91"/>
      <c r="AN146" s="91"/>
      <c r="AO146" s="90"/>
      <c r="AP146" s="90"/>
      <c r="AQ146" s="93"/>
      <c r="AR146" s="93"/>
      <c r="AS146" s="91"/>
      <c r="AT146" s="90"/>
      <c r="AU146" s="90"/>
      <c r="AV146" s="93"/>
      <c r="AW146" s="93"/>
      <c r="AX146" s="90"/>
      <c r="AY146" s="90"/>
      <c r="AZ146" s="93"/>
      <c r="BA146" s="93"/>
      <c r="BB146" s="90"/>
      <c r="BC146" s="90"/>
      <c r="BD146" s="93"/>
      <c r="BE146" s="93"/>
      <c r="BF146" s="90"/>
      <c r="BG146" s="90"/>
      <c r="BH146" s="93"/>
      <c r="BI146" s="93"/>
      <c r="BJ146" s="91"/>
      <c r="BK146" s="91"/>
      <c r="BL146" s="91"/>
      <c r="BM146" s="91"/>
      <c r="BN146" s="91"/>
      <c r="BO146" s="91"/>
      <c r="BP146" s="91"/>
      <c r="BQ146" s="91"/>
      <c r="BR146" s="91"/>
    </row>
    <row r="147" spans="11:70">
      <c r="K147" s="88"/>
      <c r="L147" s="88"/>
      <c r="M147" s="88"/>
      <c r="N147" s="88"/>
      <c r="O147" s="88"/>
      <c r="P147" s="88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90"/>
      <c r="AI147" s="91"/>
      <c r="AJ147" s="92"/>
      <c r="AK147" s="91"/>
      <c r="AL147" s="92"/>
      <c r="AM147" s="91"/>
      <c r="AN147" s="91"/>
      <c r="AO147" s="90"/>
      <c r="AP147" s="90"/>
      <c r="AQ147" s="93"/>
      <c r="AR147" s="93"/>
      <c r="AS147" s="91"/>
      <c r="AT147" s="90"/>
      <c r="AU147" s="90"/>
      <c r="AV147" s="93"/>
      <c r="AW147" s="93"/>
      <c r="AX147" s="90"/>
      <c r="AY147" s="90"/>
      <c r="AZ147" s="93"/>
      <c r="BA147" s="93"/>
      <c r="BB147" s="90"/>
      <c r="BC147" s="90"/>
      <c r="BD147" s="93"/>
      <c r="BE147" s="93"/>
      <c r="BF147" s="90"/>
      <c r="BG147" s="90"/>
      <c r="BH147" s="93"/>
      <c r="BI147" s="93"/>
      <c r="BJ147" s="91"/>
      <c r="BK147" s="91"/>
      <c r="BL147" s="91"/>
      <c r="BM147" s="91"/>
      <c r="BN147" s="91"/>
      <c r="BO147" s="91"/>
      <c r="BP147" s="91"/>
      <c r="BQ147" s="91"/>
      <c r="BR147" s="91"/>
    </row>
    <row r="148" spans="11:70">
      <c r="K148" s="88"/>
      <c r="L148" s="88"/>
      <c r="M148" s="88"/>
      <c r="N148" s="88"/>
      <c r="O148" s="88"/>
      <c r="P148" s="88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90"/>
      <c r="AI148" s="91"/>
      <c r="AJ148" s="92"/>
      <c r="AK148" s="91"/>
      <c r="AL148" s="92"/>
      <c r="AM148" s="91"/>
      <c r="AN148" s="91"/>
      <c r="AO148" s="90"/>
      <c r="AP148" s="90"/>
      <c r="AQ148" s="93"/>
      <c r="AR148" s="93"/>
      <c r="AS148" s="91"/>
      <c r="AT148" s="90"/>
      <c r="AU148" s="90"/>
      <c r="AV148" s="93"/>
      <c r="AW148" s="93"/>
      <c r="AX148" s="90"/>
      <c r="AY148" s="90"/>
      <c r="AZ148" s="93"/>
      <c r="BA148" s="93"/>
      <c r="BB148" s="90"/>
      <c r="BC148" s="90"/>
      <c r="BD148" s="93"/>
      <c r="BE148" s="93"/>
      <c r="BF148" s="90"/>
      <c r="BG148" s="90"/>
      <c r="BH148" s="93"/>
      <c r="BI148" s="93"/>
      <c r="BJ148" s="91"/>
      <c r="BK148" s="91"/>
      <c r="BL148" s="91"/>
      <c r="BM148" s="91"/>
      <c r="BN148" s="91"/>
      <c r="BO148" s="91"/>
      <c r="BP148" s="91"/>
      <c r="BQ148" s="91"/>
      <c r="BR148" s="91"/>
    </row>
    <row r="149" spans="11:70">
      <c r="K149" s="88"/>
      <c r="L149" s="88"/>
      <c r="M149" s="88"/>
      <c r="N149" s="88"/>
      <c r="O149" s="88"/>
      <c r="P149" s="88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90"/>
      <c r="AI149" s="91"/>
      <c r="AJ149" s="92"/>
      <c r="AK149" s="91"/>
      <c r="AL149" s="92"/>
      <c r="AM149" s="91"/>
      <c r="AN149" s="91"/>
      <c r="AO149" s="90"/>
      <c r="AP149" s="90"/>
      <c r="AQ149" s="93"/>
      <c r="AR149" s="93"/>
      <c r="AS149" s="91"/>
      <c r="AT149" s="90"/>
      <c r="AU149" s="90"/>
      <c r="AV149" s="93"/>
      <c r="AW149" s="93"/>
      <c r="AX149" s="90"/>
      <c r="AY149" s="90"/>
      <c r="AZ149" s="93"/>
      <c r="BA149" s="93"/>
      <c r="BB149" s="90"/>
      <c r="BC149" s="90"/>
      <c r="BD149" s="93"/>
      <c r="BE149" s="93"/>
      <c r="BF149" s="90"/>
      <c r="BG149" s="90"/>
      <c r="BH149" s="93"/>
      <c r="BI149" s="93"/>
      <c r="BJ149" s="91"/>
      <c r="BK149" s="91"/>
      <c r="BL149" s="91"/>
      <c r="BM149" s="91"/>
      <c r="BN149" s="91"/>
      <c r="BO149" s="91"/>
      <c r="BP149" s="91"/>
      <c r="BQ149" s="91"/>
      <c r="BR149" s="91"/>
    </row>
    <row r="150" spans="11:70">
      <c r="K150" s="88"/>
      <c r="L150" s="88"/>
      <c r="M150" s="88"/>
      <c r="N150" s="88"/>
      <c r="O150" s="88"/>
      <c r="P150" s="88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90"/>
      <c r="AI150" s="91"/>
      <c r="AJ150" s="92"/>
      <c r="AK150" s="91"/>
      <c r="AL150" s="92"/>
      <c r="AM150" s="91"/>
      <c r="AN150" s="91"/>
      <c r="AO150" s="90"/>
      <c r="AP150" s="90"/>
      <c r="AQ150" s="93"/>
      <c r="AR150" s="93"/>
      <c r="AS150" s="91"/>
      <c r="AT150" s="90"/>
      <c r="AU150" s="90"/>
      <c r="AV150" s="93"/>
      <c r="AW150" s="93"/>
      <c r="AX150" s="90"/>
      <c r="AY150" s="90"/>
      <c r="AZ150" s="93"/>
      <c r="BA150" s="93"/>
      <c r="BB150" s="90"/>
      <c r="BC150" s="90"/>
      <c r="BD150" s="93"/>
      <c r="BE150" s="93"/>
      <c r="BF150" s="90"/>
      <c r="BG150" s="90"/>
      <c r="BH150" s="93"/>
      <c r="BI150" s="93"/>
      <c r="BJ150" s="91"/>
      <c r="BK150" s="91"/>
      <c r="BL150" s="91"/>
      <c r="BM150" s="91"/>
      <c r="BN150" s="91"/>
      <c r="BO150" s="91"/>
      <c r="BP150" s="91"/>
      <c r="BQ150" s="91"/>
      <c r="BR150" s="91"/>
    </row>
    <row r="151" spans="11:70">
      <c r="K151" s="88"/>
      <c r="L151" s="88"/>
      <c r="M151" s="88"/>
      <c r="N151" s="88"/>
      <c r="O151" s="88"/>
      <c r="P151" s="88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90"/>
      <c r="AI151" s="91"/>
      <c r="AJ151" s="92"/>
      <c r="AK151" s="91"/>
      <c r="AL151" s="92"/>
      <c r="AM151" s="91"/>
      <c r="AN151" s="91"/>
      <c r="AO151" s="90"/>
      <c r="AP151" s="90"/>
      <c r="AQ151" s="93"/>
      <c r="AR151" s="93"/>
      <c r="AS151" s="91"/>
      <c r="AT151" s="90"/>
      <c r="AU151" s="90"/>
      <c r="AV151" s="93"/>
      <c r="AW151" s="93"/>
      <c r="AX151" s="90"/>
      <c r="AY151" s="90"/>
      <c r="AZ151" s="93"/>
      <c r="BA151" s="93"/>
      <c r="BB151" s="90"/>
      <c r="BC151" s="90"/>
      <c r="BD151" s="93"/>
      <c r="BE151" s="93"/>
      <c r="BF151" s="90"/>
      <c r="BG151" s="90"/>
      <c r="BH151" s="93"/>
      <c r="BI151" s="93"/>
      <c r="BJ151" s="91"/>
      <c r="BK151" s="91"/>
      <c r="BL151" s="91"/>
      <c r="BM151" s="91"/>
      <c r="BN151" s="91"/>
      <c r="BO151" s="91"/>
      <c r="BP151" s="91"/>
      <c r="BQ151" s="91"/>
      <c r="BR151" s="91"/>
    </row>
    <row r="152" spans="11:70">
      <c r="K152" s="88"/>
      <c r="L152" s="88"/>
      <c r="M152" s="88"/>
      <c r="N152" s="88"/>
      <c r="O152" s="88"/>
      <c r="P152" s="88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90"/>
      <c r="AI152" s="91"/>
      <c r="AJ152" s="92"/>
      <c r="AK152" s="91"/>
      <c r="AL152" s="92"/>
      <c r="AM152" s="91"/>
      <c r="AN152" s="91"/>
      <c r="AO152" s="90"/>
      <c r="AP152" s="90"/>
      <c r="AQ152" s="93"/>
      <c r="AR152" s="93"/>
      <c r="AS152" s="91"/>
      <c r="AT152" s="90"/>
      <c r="AU152" s="90"/>
      <c r="AV152" s="93"/>
      <c r="AW152" s="93"/>
      <c r="AX152" s="90"/>
      <c r="AY152" s="90"/>
      <c r="AZ152" s="93"/>
      <c r="BA152" s="93"/>
      <c r="BB152" s="90"/>
      <c r="BC152" s="90"/>
      <c r="BD152" s="93"/>
      <c r="BE152" s="93"/>
      <c r="BF152" s="90"/>
      <c r="BG152" s="90"/>
      <c r="BH152" s="93"/>
      <c r="BI152" s="93"/>
      <c r="BJ152" s="91"/>
      <c r="BK152" s="91"/>
      <c r="BL152" s="91"/>
      <c r="BM152" s="91"/>
      <c r="BN152" s="91"/>
      <c r="BO152" s="91"/>
      <c r="BP152" s="91"/>
      <c r="BQ152" s="91"/>
      <c r="BR152" s="91"/>
    </row>
    <row r="153" spans="11:70">
      <c r="K153" s="88"/>
      <c r="L153" s="88"/>
      <c r="M153" s="88"/>
      <c r="N153" s="88"/>
      <c r="O153" s="88"/>
      <c r="P153" s="88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90"/>
      <c r="AI153" s="91"/>
      <c r="AJ153" s="92"/>
      <c r="AK153" s="91"/>
      <c r="AL153" s="92"/>
      <c r="AM153" s="91"/>
      <c r="AN153" s="91"/>
      <c r="AO153" s="90"/>
      <c r="AP153" s="90"/>
      <c r="AQ153" s="93"/>
      <c r="AR153" s="93"/>
      <c r="AS153" s="91"/>
      <c r="AT153" s="90"/>
      <c r="AU153" s="90"/>
      <c r="AV153" s="93"/>
      <c r="AW153" s="93"/>
      <c r="AX153" s="90"/>
      <c r="AY153" s="90"/>
      <c r="AZ153" s="93"/>
      <c r="BA153" s="93"/>
      <c r="BB153" s="90"/>
      <c r="BC153" s="90"/>
      <c r="BD153" s="93"/>
      <c r="BE153" s="93"/>
      <c r="BF153" s="90"/>
      <c r="BG153" s="90"/>
      <c r="BH153" s="93"/>
      <c r="BI153" s="93"/>
      <c r="BJ153" s="91"/>
      <c r="BK153" s="91"/>
      <c r="BL153" s="91"/>
      <c r="BM153" s="91"/>
      <c r="BN153" s="91"/>
      <c r="BO153" s="91"/>
      <c r="BP153" s="91"/>
      <c r="BQ153" s="91"/>
      <c r="BR153" s="91"/>
    </row>
    <row r="154" spans="11:70">
      <c r="K154" s="88"/>
      <c r="L154" s="88"/>
      <c r="M154" s="88"/>
      <c r="N154" s="88"/>
      <c r="O154" s="88"/>
      <c r="P154" s="88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90"/>
      <c r="AI154" s="91"/>
      <c r="AJ154" s="92"/>
      <c r="AK154" s="91"/>
      <c r="AL154" s="92"/>
      <c r="AM154" s="91"/>
      <c r="AN154" s="91"/>
      <c r="AO154" s="90"/>
      <c r="AP154" s="90"/>
      <c r="AQ154" s="93"/>
      <c r="AR154" s="93"/>
      <c r="AS154" s="91"/>
      <c r="AT154" s="90"/>
      <c r="AU154" s="90"/>
      <c r="AV154" s="93"/>
      <c r="AW154" s="93"/>
      <c r="AX154" s="90"/>
      <c r="AY154" s="90"/>
      <c r="AZ154" s="93"/>
      <c r="BA154" s="93"/>
      <c r="BB154" s="90"/>
      <c r="BC154" s="90"/>
      <c r="BD154" s="93"/>
      <c r="BE154" s="93"/>
      <c r="BF154" s="90"/>
      <c r="BG154" s="90"/>
      <c r="BH154" s="93"/>
      <c r="BI154" s="93"/>
      <c r="BJ154" s="91"/>
      <c r="BK154" s="91"/>
      <c r="BL154" s="91"/>
      <c r="BM154" s="91"/>
      <c r="BN154" s="91"/>
      <c r="BO154" s="91"/>
      <c r="BP154" s="91"/>
      <c r="BQ154" s="91"/>
      <c r="BR154" s="91"/>
    </row>
    <row r="155" spans="11:70">
      <c r="K155" s="88"/>
      <c r="L155" s="88"/>
      <c r="M155" s="88"/>
      <c r="N155" s="88"/>
      <c r="O155" s="88"/>
      <c r="P155" s="88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90"/>
      <c r="AI155" s="91"/>
      <c r="AJ155" s="92"/>
      <c r="AK155" s="91"/>
      <c r="AL155" s="92"/>
      <c r="AM155" s="91"/>
      <c r="AN155" s="91"/>
      <c r="AO155" s="90"/>
      <c r="AP155" s="90"/>
      <c r="AQ155" s="93"/>
      <c r="AR155" s="93"/>
      <c r="AS155" s="91"/>
      <c r="AT155" s="90"/>
      <c r="AU155" s="90"/>
      <c r="AV155" s="93"/>
      <c r="AW155" s="93"/>
      <c r="AX155" s="90"/>
      <c r="AY155" s="90"/>
      <c r="AZ155" s="93"/>
      <c r="BA155" s="93"/>
      <c r="BB155" s="90"/>
      <c r="BC155" s="90"/>
      <c r="BD155" s="93"/>
      <c r="BE155" s="93"/>
      <c r="BF155" s="90"/>
      <c r="BG155" s="90"/>
      <c r="BH155" s="93"/>
      <c r="BI155" s="93"/>
      <c r="BJ155" s="91"/>
      <c r="BK155" s="91"/>
      <c r="BL155" s="91"/>
      <c r="BM155" s="91"/>
      <c r="BN155" s="91"/>
      <c r="BO155" s="91"/>
      <c r="BP155" s="91"/>
      <c r="BQ155" s="91"/>
      <c r="BR155" s="91"/>
    </row>
    <row r="156" spans="11:70">
      <c r="K156" s="88"/>
      <c r="L156" s="88"/>
      <c r="M156" s="88"/>
      <c r="N156" s="88"/>
      <c r="O156" s="88"/>
      <c r="P156" s="88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90"/>
      <c r="AI156" s="91"/>
      <c r="AJ156" s="92"/>
      <c r="AK156" s="91"/>
      <c r="AL156" s="92"/>
      <c r="AM156" s="91"/>
      <c r="AN156" s="91"/>
      <c r="AO156" s="90"/>
      <c r="AP156" s="90"/>
      <c r="AQ156" s="93"/>
      <c r="AR156" s="93"/>
      <c r="AS156" s="91"/>
      <c r="AT156" s="90"/>
      <c r="AU156" s="90"/>
      <c r="AV156" s="93"/>
      <c r="AW156" s="93"/>
      <c r="AX156" s="90"/>
      <c r="AY156" s="90"/>
      <c r="AZ156" s="93"/>
      <c r="BA156" s="93"/>
      <c r="BB156" s="90"/>
      <c r="BC156" s="90"/>
      <c r="BD156" s="93"/>
      <c r="BE156" s="93"/>
      <c r="BF156" s="90"/>
      <c r="BG156" s="90"/>
      <c r="BH156" s="93"/>
      <c r="BI156" s="93"/>
      <c r="BJ156" s="91"/>
      <c r="BK156" s="91"/>
      <c r="BL156" s="91"/>
      <c r="BM156" s="91"/>
      <c r="BN156" s="91"/>
      <c r="BO156" s="91"/>
      <c r="BP156" s="91"/>
      <c r="BQ156" s="91"/>
      <c r="BR156" s="91"/>
    </row>
    <row r="157" spans="11:70">
      <c r="K157" s="88"/>
      <c r="L157" s="88"/>
      <c r="M157" s="88"/>
      <c r="N157" s="88"/>
      <c r="O157" s="88"/>
      <c r="P157" s="88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90"/>
      <c r="AI157" s="91"/>
      <c r="AJ157" s="92"/>
      <c r="AK157" s="91"/>
      <c r="AL157" s="92"/>
      <c r="AM157" s="91"/>
      <c r="AN157" s="91"/>
      <c r="AO157" s="90"/>
      <c r="AP157" s="90"/>
      <c r="AQ157" s="93"/>
      <c r="AR157" s="93"/>
      <c r="AS157" s="91"/>
      <c r="AT157" s="90"/>
      <c r="AU157" s="90"/>
      <c r="AV157" s="93"/>
      <c r="AW157" s="93"/>
      <c r="AX157" s="90"/>
      <c r="AY157" s="90"/>
      <c r="AZ157" s="93"/>
      <c r="BA157" s="93"/>
      <c r="BB157" s="90"/>
      <c r="BC157" s="90"/>
      <c r="BD157" s="93"/>
      <c r="BE157" s="93"/>
      <c r="BF157" s="90"/>
      <c r="BG157" s="90"/>
      <c r="BH157" s="93"/>
      <c r="BI157" s="93"/>
      <c r="BJ157" s="91"/>
      <c r="BK157" s="91"/>
      <c r="BL157" s="91"/>
      <c r="BM157" s="91"/>
      <c r="BN157" s="91"/>
      <c r="BO157" s="91"/>
      <c r="BP157" s="91"/>
      <c r="BQ157" s="91"/>
      <c r="BR157" s="91"/>
    </row>
    <row r="158" spans="11:70">
      <c r="K158" s="88"/>
      <c r="L158" s="88"/>
      <c r="M158" s="88"/>
      <c r="N158" s="88"/>
      <c r="O158" s="88"/>
      <c r="P158" s="88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90"/>
      <c r="AI158" s="91"/>
      <c r="AJ158" s="92"/>
      <c r="AK158" s="91"/>
      <c r="AL158" s="92"/>
      <c r="AM158" s="91"/>
      <c r="AN158" s="91"/>
      <c r="AO158" s="90"/>
      <c r="AP158" s="90"/>
      <c r="AQ158" s="93"/>
      <c r="AR158" s="93"/>
      <c r="AS158" s="91"/>
      <c r="AT158" s="90"/>
      <c r="AU158" s="90"/>
      <c r="AV158" s="93"/>
      <c r="AW158" s="93"/>
      <c r="AX158" s="90"/>
      <c r="AY158" s="90"/>
      <c r="AZ158" s="93"/>
      <c r="BA158" s="93"/>
      <c r="BB158" s="90"/>
      <c r="BC158" s="90"/>
      <c r="BD158" s="93"/>
      <c r="BE158" s="93"/>
      <c r="BF158" s="90"/>
      <c r="BG158" s="90"/>
      <c r="BH158" s="93"/>
      <c r="BI158" s="93"/>
      <c r="BJ158" s="91"/>
      <c r="BK158" s="91"/>
      <c r="BL158" s="91"/>
      <c r="BM158" s="91"/>
      <c r="BN158" s="91"/>
      <c r="BO158" s="91"/>
      <c r="BP158" s="91"/>
      <c r="BQ158" s="91"/>
      <c r="BR158" s="91"/>
    </row>
    <row r="159" spans="11:70">
      <c r="K159" s="88"/>
      <c r="L159" s="88"/>
      <c r="M159" s="88"/>
      <c r="N159" s="88"/>
      <c r="O159" s="88"/>
      <c r="P159" s="88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90"/>
      <c r="AI159" s="91"/>
      <c r="AJ159" s="92"/>
      <c r="AK159" s="91"/>
      <c r="AL159" s="92"/>
      <c r="AM159" s="91"/>
      <c r="AN159" s="91"/>
      <c r="AO159" s="90"/>
      <c r="AP159" s="90"/>
      <c r="AQ159" s="93"/>
      <c r="AR159" s="93"/>
      <c r="AS159" s="91"/>
      <c r="AT159" s="90"/>
      <c r="AU159" s="90"/>
      <c r="AV159" s="93"/>
      <c r="AW159" s="93"/>
      <c r="AX159" s="90"/>
      <c r="AY159" s="90"/>
      <c r="AZ159" s="93"/>
      <c r="BA159" s="93"/>
      <c r="BB159" s="90"/>
      <c r="BC159" s="90"/>
      <c r="BD159" s="93"/>
      <c r="BE159" s="93"/>
      <c r="BF159" s="90"/>
      <c r="BG159" s="90"/>
      <c r="BH159" s="93"/>
      <c r="BI159" s="93"/>
      <c r="BJ159" s="91"/>
      <c r="BK159" s="91"/>
      <c r="BL159" s="91"/>
      <c r="BM159" s="91"/>
      <c r="BN159" s="91"/>
      <c r="BO159" s="91"/>
      <c r="BP159" s="91"/>
      <c r="BQ159" s="91"/>
      <c r="BR159" s="91"/>
    </row>
    <row r="160" spans="11:70">
      <c r="K160" s="88"/>
      <c r="L160" s="88"/>
      <c r="M160" s="88"/>
      <c r="N160" s="88"/>
      <c r="O160" s="88"/>
      <c r="P160" s="88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90"/>
      <c r="AI160" s="91"/>
      <c r="AJ160" s="92"/>
      <c r="AK160" s="91"/>
      <c r="AL160" s="92"/>
      <c r="AM160" s="91"/>
      <c r="AN160" s="91"/>
      <c r="AO160" s="90"/>
      <c r="AP160" s="90"/>
      <c r="AQ160" s="93"/>
      <c r="AR160" s="93"/>
      <c r="AS160" s="91"/>
      <c r="AT160" s="90"/>
      <c r="AU160" s="90"/>
      <c r="AV160" s="93"/>
      <c r="AW160" s="93"/>
      <c r="AX160" s="90"/>
      <c r="AY160" s="90"/>
      <c r="AZ160" s="93"/>
      <c r="BA160" s="93"/>
      <c r="BB160" s="90"/>
      <c r="BC160" s="90"/>
      <c r="BD160" s="93"/>
      <c r="BE160" s="93"/>
      <c r="BF160" s="90"/>
      <c r="BG160" s="90"/>
      <c r="BH160" s="93"/>
      <c r="BI160" s="93"/>
      <c r="BJ160" s="91"/>
      <c r="BK160" s="91"/>
      <c r="BL160" s="91"/>
      <c r="BM160" s="91"/>
      <c r="BN160" s="91"/>
      <c r="BO160" s="91"/>
      <c r="BP160" s="91"/>
      <c r="BQ160" s="91"/>
      <c r="BR160" s="91"/>
    </row>
    <row r="161" spans="11:70">
      <c r="K161" s="88"/>
      <c r="L161" s="88"/>
      <c r="M161" s="88"/>
      <c r="N161" s="88"/>
      <c r="O161" s="88"/>
      <c r="P161" s="88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90"/>
      <c r="AI161" s="91"/>
      <c r="AJ161" s="92"/>
      <c r="AK161" s="91"/>
      <c r="AL161" s="92"/>
      <c r="AM161" s="91"/>
      <c r="AN161" s="91"/>
      <c r="AO161" s="90"/>
      <c r="AP161" s="90"/>
      <c r="AQ161" s="93"/>
      <c r="AR161" s="93"/>
      <c r="AS161" s="91"/>
      <c r="AT161" s="90"/>
      <c r="AU161" s="90"/>
      <c r="AV161" s="93"/>
      <c r="AW161" s="93"/>
      <c r="AX161" s="90"/>
      <c r="AY161" s="90"/>
      <c r="AZ161" s="93"/>
      <c r="BA161" s="93"/>
      <c r="BB161" s="90"/>
      <c r="BC161" s="90"/>
      <c r="BD161" s="93"/>
      <c r="BE161" s="93"/>
      <c r="BF161" s="90"/>
      <c r="BG161" s="90"/>
      <c r="BH161" s="93"/>
      <c r="BI161" s="93"/>
      <c r="BJ161" s="91"/>
      <c r="BK161" s="91"/>
      <c r="BL161" s="91"/>
      <c r="BM161" s="91"/>
      <c r="BN161" s="91"/>
      <c r="BO161" s="91"/>
      <c r="BP161" s="91"/>
      <c r="BQ161" s="91"/>
      <c r="BR161" s="91"/>
    </row>
    <row r="162" spans="11:70">
      <c r="K162" s="88"/>
      <c r="L162" s="88"/>
      <c r="M162" s="88"/>
      <c r="N162" s="88"/>
      <c r="O162" s="88"/>
      <c r="P162" s="88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90"/>
      <c r="AI162" s="91"/>
      <c r="AJ162" s="92"/>
      <c r="AK162" s="91"/>
      <c r="AL162" s="92"/>
      <c r="AM162" s="91"/>
      <c r="AN162" s="91"/>
      <c r="AO162" s="90"/>
      <c r="AP162" s="90"/>
      <c r="AQ162" s="93"/>
      <c r="AR162" s="93"/>
      <c r="AS162" s="91"/>
      <c r="AT162" s="90"/>
      <c r="AU162" s="90"/>
      <c r="AV162" s="93"/>
      <c r="AW162" s="93"/>
      <c r="AX162" s="90"/>
      <c r="AY162" s="90"/>
      <c r="AZ162" s="93"/>
      <c r="BA162" s="93"/>
      <c r="BB162" s="90"/>
      <c r="BC162" s="90"/>
      <c r="BD162" s="93"/>
      <c r="BE162" s="93"/>
      <c r="BF162" s="90"/>
      <c r="BG162" s="90"/>
      <c r="BH162" s="93"/>
      <c r="BI162" s="93"/>
      <c r="BJ162" s="91"/>
      <c r="BK162" s="91"/>
      <c r="BL162" s="91"/>
      <c r="BM162" s="91"/>
      <c r="BN162" s="91"/>
      <c r="BO162" s="91"/>
      <c r="BP162" s="91"/>
      <c r="BQ162" s="91"/>
      <c r="BR162" s="91"/>
    </row>
    <row r="163" spans="11:70">
      <c r="K163" s="88"/>
      <c r="L163" s="88"/>
      <c r="M163" s="88"/>
      <c r="N163" s="88"/>
      <c r="O163" s="88"/>
      <c r="P163" s="88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90"/>
      <c r="AI163" s="91"/>
      <c r="AJ163" s="92"/>
      <c r="AK163" s="91"/>
      <c r="AL163" s="92"/>
      <c r="AM163" s="91"/>
      <c r="AN163" s="91"/>
      <c r="AO163" s="90"/>
      <c r="AP163" s="90"/>
      <c r="AQ163" s="93"/>
      <c r="AR163" s="93"/>
      <c r="AS163" s="91"/>
      <c r="AT163" s="90"/>
      <c r="AU163" s="90"/>
      <c r="AV163" s="93"/>
      <c r="AW163" s="93"/>
      <c r="AX163" s="90"/>
      <c r="AY163" s="90"/>
      <c r="AZ163" s="93"/>
      <c r="BA163" s="93"/>
      <c r="BB163" s="90"/>
      <c r="BC163" s="90"/>
      <c r="BD163" s="93"/>
      <c r="BE163" s="93"/>
      <c r="BF163" s="90"/>
      <c r="BG163" s="90"/>
      <c r="BH163" s="93"/>
      <c r="BI163" s="93"/>
      <c r="BJ163" s="91"/>
      <c r="BK163" s="91"/>
      <c r="BL163" s="91"/>
      <c r="BM163" s="91"/>
      <c r="BN163" s="91"/>
      <c r="BO163" s="91"/>
      <c r="BP163" s="91"/>
      <c r="BQ163" s="91"/>
      <c r="BR163" s="91"/>
    </row>
    <row r="164" spans="11:70">
      <c r="K164" s="88"/>
      <c r="L164" s="88"/>
      <c r="M164" s="88"/>
      <c r="N164" s="88"/>
      <c r="O164" s="88"/>
      <c r="P164" s="88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90"/>
      <c r="AI164" s="91"/>
      <c r="AJ164" s="92"/>
      <c r="AK164" s="91"/>
      <c r="AL164" s="92"/>
      <c r="AM164" s="91"/>
      <c r="AN164" s="91"/>
      <c r="AO164" s="90"/>
      <c r="AP164" s="90"/>
      <c r="AQ164" s="93"/>
      <c r="AR164" s="93"/>
      <c r="AS164" s="91"/>
      <c r="AT164" s="90"/>
      <c r="AU164" s="90"/>
      <c r="AV164" s="93"/>
      <c r="AW164" s="93"/>
      <c r="AX164" s="90"/>
      <c r="AY164" s="90"/>
      <c r="AZ164" s="93"/>
      <c r="BA164" s="93"/>
      <c r="BB164" s="90"/>
      <c r="BC164" s="90"/>
      <c r="BD164" s="93"/>
      <c r="BE164" s="93"/>
      <c r="BF164" s="90"/>
      <c r="BG164" s="90"/>
      <c r="BH164" s="93"/>
      <c r="BI164" s="93"/>
      <c r="BJ164" s="91"/>
      <c r="BK164" s="91"/>
      <c r="BL164" s="91"/>
      <c r="BM164" s="91"/>
      <c r="BN164" s="91"/>
      <c r="BO164" s="91"/>
      <c r="BP164" s="91"/>
      <c r="BQ164" s="91"/>
      <c r="BR164" s="91"/>
    </row>
    <row r="165" spans="11:70">
      <c r="K165" s="88"/>
      <c r="L165" s="88"/>
      <c r="M165" s="88"/>
      <c r="N165" s="88"/>
      <c r="O165" s="88"/>
      <c r="P165" s="88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90"/>
      <c r="AI165" s="91"/>
      <c r="AJ165" s="92"/>
      <c r="AK165" s="91"/>
      <c r="AL165" s="92"/>
      <c r="AM165" s="91"/>
      <c r="AN165" s="91"/>
      <c r="AO165" s="90"/>
      <c r="AP165" s="90"/>
      <c r="AQ165" s="93"/>
      <c r="AR165" s="93"/>
      <c r="AS165" s="91"/>
      <c r="AT165" s="90"/>
      <c r="AU165" s="90"/>
      <c r="AV165" s="93"/>
      <c r="AW165" s="93"/>
      <c r="AX165" s="90"/>
      <c r="AY165" s="90"/>
      <c r="AZ165" s="93"/>
      <c r="BA165" s="93"/>
      <c r="BB165" s="90"/>
      <c r="BC165" s="90"/>
      <c r="BD165" s="93"/>
      <c r="BE165" s="93"/>
      <c r="BF165" s="90"/>
      <c r="BG165" s="90"/>
      <c r="BH165" s="93"/>
      <c r="BI165" s="93"/>
      <c r="BJ165" s="91"/>
      <c r="BK165" s="91"/>
      <c r="BL165" s="91"/>
      <c r="BM165" s="91"/>
      <c r="BN165" s="91"/>
      <c r="BO165" s="91"/>
      <c r="BP165" s="91"/>
      <c r="BQ165" s="91"/>
      <c r="BR165" s="91"/>
    </row>
    <row r="166" spans="11:70">
      <c r="K166" s="88"/>
      <c r="L166" s="88"/>
      <c r="M166" s="88"/>
      <c r="N166" s="88"/>
      <c r="O166" s="88"/>
      <c r="P166" s="88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90"/>
      <c r="AI166" s="91"/>
      <c r="AJ166" s="92"/>
      <c r="AK166" s="91"/>
      <c r="AL166" s="92"/>
      <c r="AM166" s="91"/>
      <c r="AN166" s="91"/>
      <c r="AO166" s="90"/>
      <c r="AP166" s="90"/>
      <c r="AQ166" s="93"/>
      <c r="AR166" s="93"/>
      <c r="AS166" s="91"/>
      <c r="AT166" s="90"/>
      <c r="AU166" s="90"/>
      <c r="AV166" s="93"/>
      <c r="AW166" s="93"/>
      <c r="AX166" s="90"/>
      <c r="AY166" s="90"/>
      <c r="AZ166" s="93"/>
      <c r="BA166" s="93"/>
      <c r="BB166" s="90"/>
      <c r="BC166" s="90"/>
      <c r="BD166" s="93"/>
      <c r="BE166" s="93"/>
      <c r="BF166" s="90"/>
      <c r="BG166" s="90"/>
      <c r="BH166" s="93"/>
      <c r="BI166" s="93"/>
      <c r="BJ166" s="91"/>
      <c r="BK166" s="91"/>
      <c r="BL166" s="91"/>
      <c r="BM166" s="91"/>
      <c r="BN166" s="91"/>
      <c r="BO166" s="91"/>
      <c r="BP166" s="91"/>
      <c r="BQ166" s="91"/>
      <c r="BR166" s="91"/>
    </row>
    <row r="167" spans="11:70">
      <c r="K167" s="88"/>
      <c r="L167" s="88"/>
      <c r="M167" s="88"/>
      <c r="N167" s="88"/>
      <c r="O167" s="88"/>
      <c r="P167" s="88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90"/>
      <c r="AI167" s="91"/>
      <c r="AJ167" s="92"/>
      <c r="AK167" s="91"/>
      <c r="AL167" s="92"/>
      <c r="AM167" s="91"/>
      <c r="AN167" s="91"/>
      <c r="AO167" s="90"/>
      <c r="AP167" s="90"/>
      <c r="AQ167" s="93"/>
      <c r="AR167" s="93"/>
      <c r="AS167" s="91"/>
      <c r="AT167" s="90"/>
      <c r="AU167" s="90"/>
      <c r="AV167" s="93"/>
      <c r="AW167" s="93"/>
      <c r="AX167" s="90"/>
      <c r="AY167" s="90"/>
      <c r="AZ167" s="93"/>
      <c r="BA167" s="93"/>
      <c r="BB167" s="90"/>
      <c r="BC167" s="90"/>
      <c r="BD167" s="93"/>
      <c r="BE167" s="93"/>
      <c r="BF167" s="90"/>
      <c r="BG167" s="90"/>
      <c r="BH167" s="93"/>
      <c r="BI167" s="93"/>
      <c r="BJ167" s="91"/>
      <c r="BK167" s="91"/>
      <c r="BL167" s="91"/>
      <c r="BM167" s="91"/>
      <c r="BN167" s="91"/>
      <c r="BO167" s="91"/>
      <c r="BP167" s="91"/>
      <c r="BQ167" s="91"/>
      <c r="BR167" s="91"/>
    </row>
    <row r="168" spans="11:70">
      <c r="K168" s="88"/>
      <c r="L168" s="88"/>
      <c r="M168" s="88"/>
      <c r="N168" s="88"/>
      <c r="O168" s="88"/>
      <c r="P168" s="88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90"/>
      <c r="AI168" s="91"/>
      <c r="AJ168" s="92"/>
      <c r="AK168" s="91"/>
      <c r="AL168" s="92"/>
      <c r="AM168" s="91"/>
      <c r="AN168" s="91"/>
      <c r="AO168" s="90"/>
      <c r="AP168" s="90"/>
      <c r="AQ168" s="93"/>
      <c r="AR168" s="93"/>
      <c r="AS168" s="91"/>
      <c r="AT168" s="90"/>
      <c r="AU168" s="90"/>
      <c r="AV168" s="93"/>
      <c r="AW168" s="93"/>
      <c r="AX168" s="90"/>
      <c r="AY168" s="90"/>
      <c r="AZ168" s="93"/>
      <c r="BA168" s="93"/>
      <c r="BB168" s="90"/>
      <c r="BC168" s="90"/>
      <c r="BD168" s="93"/>
      <c r="BE168" s="93"/>
      <c r="BF168" s="90"/>
      <c r="BG168" s="90"/>
      <c r="BH168" s="93"/>
      <c r="BI168" s="93"/>
      <c r="BJ168" s="91"/>
      <c r="BK168" s="91"/>
      <c r="BL168" s="91"/>
      <c r="BM168" s="91"/>
      <c r="BN168" s="91"/>
      <c r="BO168" s="91"/>
      <c r="BP168" s="91"/>
      <c r="BQ168" s="91"/>
      <c r="BR168" s="91"/>
    </row>
    <row r="169" spans="11:70">
      <c r="K169" s="88"/>
      <c r="L169" s="88"/>
      <c r="M169" s="88"/>
      <c r="N169" s="88"/>
      <c r="O169" s="88"/>
      <c r="P169" s="88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90"/>
      <c r="AI169" s="91"/>
      <c r="AJ169" s="92"/>
      <c r="AK169" s="91"/>
      <c r="AL169" s="92"/>
      <c r="AM169" s="91"/>
      <c r="AN169" s="91"/>
      <c r="AO169" s="90"/>
      <c r="AP169" s="90"/>
      <c r="AQ169" s="93"/>
      <c r="AR169" s="93"/>
      <c r="AS169" s="91"/>
      <c r="AT169" s="90"/>
      <c r="AU169" s="90"/>
      <c r="AV169" s="93"/>
      <c r="AW169" s="93"/>
      <c r="AX169" s="90"/>
      <c r="AY169" s="90"/>
      <c r="AZ169" s="93"/>
      <c r="BA169" s="93"/>
      <c r="BB169" s="90"/>
      <c r="BC169" s="90"/>
      <c r="BD169" s="93"/>
      <c r="BE169" s="93"/>
      <c r="BF169" s="90"/>
      <c r="BG169" s="90"/>
      <c r="BH169" s="93"/>
      <c r="BI169" s="93"/>
      <c r="BJ169" s="91"/>
      <c r="BK169" s="91"/>
      <c r="BL169" s="91"/>
      <c r="BM169" s="91"/>
      <c r="BN169" s="91"/>
      <c r="BO169" s="91"/>
      <c r="BP169" s="91"/>
      <c r="BQ169" s="91"/>
      <c r="BR169" s="91"/>
    </row>
    <row r="170" spans="11:70">
      <c r="K170" s="88"/>
      <c r="L170" s="88"/>
      <c r="M170" s="88"/>
      <c r="N170" s="88"/>
      <c r="O170" s="88"/>
      <c r="P170" s="88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90"/>
      <c r="AI170" s="91"/>
      <c r="AJ170" s="92"/>
      <c r="AK170" s="91"/>
      <c r="AL170" s="92"/>
      <c r="AM170" s="91"/>
      <c r="AN170" s="91"/>
      <c r="AO170" s="90"/>
      <c r="AP170" s="90"/>
      <c r="AQ170" s="93"/>
      <c r="AR170" s="93"/>
      <c r="AS170" s="91"/>
      <c r="AT170" s="90"/>
      <c r="AU170" s="90"/>
      <c r="AV170" s="93"/>
      <c r="AW170" s="93"/>
      <c r="AX170" s="90"/>
      <c r="AY170" s="90"/>
      <c r="AZ170" s="93"/>
      <c r="BA170" s="93"/>
      <c r="BB170" s="90"/>
      <c r="BC170" s="90"/>
      <c r="BD170" s="93"/>
      <c r="BE170" s="93"/>
      <c r="BF170" s="90"/>
      <c r="BG170" s="90"/>
      <c r="BH170" s="93"/>
      <c r="BI170" s="93"/>
      <c r="BJ170" s="91"/>
      <c r="BK170" s="91"/>
      <c r="BL170" s="91"/>
      <c r="BM170" s="91"/>
      <c r="BN170" s="91"/>
      <c r="BO170" s="91"/>
      <c r="BP170" s="91"/>
      <c r="BQ170" s="91"/>
      <c r="BR170" s="91"/>
    </row>
    <row r="171" spans="11:70">
      <c r="K171" s="88"/>
      <c r="L171" s="88"/>
      <c r="M171" s="88"/>
      <c r="N171" s="88"/>
      <c r="O171" s="88"/>
      <c r="P171" s="88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90"/>
      <c r="AI171" s="91"/>
      <c r="AJ171" s="92"/>
      <c r="AK171" s="91"/>
      <c r="AL171" s="92"/>
      <c r="AM171" s="91"/>
      <c r="AN171" s="91"/>
      <c r="AO171" s="90"/>
      <c r="AP171" s="90"/>
      <c r="AQ171" s="93"/>
      <c r="AR171" s="93"/>
      <c r="AS171" s="91"/>
      <c r="AT171" s="90"/>
      <c r="AU171" s="90"/>
      <c r="AV171" s="93"/>
      <c r="AW171" s="93"/>
      <c r="AX171" s="90"/>
      <c r="AY171" s="90"/>
      <c r="AZ171" s="93"/>
      <c r="BA171" s="93"/>
      <c r="BB171" s="90"/>
      <c r="BC171" s="90"/>
      <c r="BD171" s="93"/>
      <c r="BE171" s="93"/>
      <c r="BF171" s="90"/>
      <c r="BG171" s="90"/>
      <c r="BH171" s="93"/>
      <c r="BI171" s="93"/>
      <c r="BJ171" s="91"/>
      <c r="BK171" s="91"/>
      <c r="BL171" s="91"/>
      <c r="BM171" s="91"/>
      <c r="BN171" s="91"/>
      <c r="BO171" s="91"/>
      <c r="BP171" s="91"/>
      <c r="BQ171" s="91"/>
      <c r="BR171" s="91"/>
    </row>
    <row r="172" spans="11:70">
      <c r="K172" s="88"/>
      <c r="L172" s="88"/>
      <c r="M172" s="88"/>
      <c r="N172" s="88"/>
      <c r="O172" s="88"/>
      <c r="P172" s="88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90"/>
      <c r="AI172" s="91"/>
      <c r="AJ172" s="92"/>
      <c r="AK172" s="91"/>
      <c r="AL172" s="92"/>
      <c r="AM172" s="91"/>
      <c r="AN172" s="91"/>
      <c r="AO172" s="90"/>
      <c r="AP172" s="90"/>
      <c r="AQ172" s="93"/>
      <c r="AR172" s="93"/>
      <c r="AS172" s="91"/>
      <c r="AT172" s="90"/>
      <c r="AU172" s="90"/>
      <c r="AV172" s="93"/>
      <c r="AW172" s="93"/>
      <c r="AX172" s="90"/>
      <c r="AY172" s="90"/>
      <c r="AZ172" s="93"/>
      <c r="BA172" s="93"/>
      <c r="BB172" s="90"/>
      <c r="BC172" s="90"/>
      <c r="BD172" s="93"/>
      <c r="BE172" s="93"/>
      <c r="BF172" s="90"/>
      <c r="BG172" s="90"/>
      <c r="BH172" s="93"/>
      <c r="BI172" s="93"/>
      <c r="BJ172" s="91"/>
      <c r="BK172" s="91"/>
      <c r="BL172" s="91"/>
      <c r="BM172" s="91"/>
      <c r="BN172" s="91"/>
      <c r="BO172" s="91"/>
      <c r="BP172" s="91"/>
      <c r="BQ172" s="91"/>
      <c r="BR172" s="91"/>
    </row>
    <row r="173" spans="11:70">
      <c r="K173" s="88"/>
      <c r="L173" s="88"/>
      <c r="M173" s="88"/>
      <c r="N173" s="88"/>
      <c r="O173" s="88"/>
      <c r="P173" s="88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90"/>
      <c r="AI173" s="91"/>
      <c r="AJ173" s="92"/>
      <c r="AK173" s="91"/>
      <c r="AL173" s="92"/>
      <c r="AM173" s="91"/>
      <c r="AN173" s="91"/>
      <c r="AO173" s="90"/>
      <c r="AP173" s="90"/>
      <c r="AQ173" s="93"/>
      <c r="AR173" s="93"/>
      <c r="AS173" s="91"/>
      <c r="AT173" s="90"/>
      <c r="AU173" s="90"/>
      <c r="AV173" s="93"/>
      <c r="AW173" s="93"/>
      <c r="AX173" s="90"/>
      <c r="AY173" s="90"/>
      <c r="AZ173" s="93"/>
      <c r="BA173" s="93"/>
      <c r="BB173" s="90"/>
      <c r="BC173" s="90"/>
      <c r="BD173" s="93"/>
      <c r="BE173" s="93"/>
      <c r="BF173" s="90"/>
      <c r="BG173" s="90"/>
      <c r="BH173" s="93"/>
      <c r="BI173" s="93"/>
      <c r="BJ173" s="91"/>
      <c r="BK173" s="91"/>
      <c r="BL173" s="91"/>
      <c r="BM173" s="91"/>
      <c r="BN173" s="91"/>
      <c r="BO173" s="91"/>
      <c r="BP173" s="91"/>
      <c r="BQ173" s="91"/>
      <c r="BR173" s="91"/>
    </row>
    <row r="174" spans="11:70">
      <c r="K174" s="88"/>
      <c r="L174" s="88"/>
      <c r="M174" s="88"/>
      <c r="N174" s="88"/>
      <c r="O174" s="88"/>
      <c r="P174" s="88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90"/>
      <c r="AI174" s="91"/>
      <c r="AJ174" s="92"/>
      <c r="AK174" s="91"/>
      <c r="AL174" s="92"/>
      <c r="AM174" s="91"/>
      <c r="AN174" s="91"/>
      <c r="AO174" s="90"/>
      <c r="AP174" s="90"/>
      <c r="AQ174" s="93"/>
      <c r="AR174" s="93"/>
      <c r="AS174" s="91"/>
      <c r="AT174" s="90"/>
      <c r="AU174" s="90"/>
      <c r="AV174" s="93"/>
      <c r="AW174" s="93"/>
      <c r="AX174" s="90"/>
      <c r="AY174" s="90"/>
      <c r="AZ174" s="93"/>
      <c r="BA174" s="93"/>
      <c r="BB174" s="90"/>
      <c r="BC174" s="90"/>
      <c r="BD174" s="93"/>
      <c r="BE174" s="93"/>
      <c r="BF174" s="90"/>
      <c r="BG174" s="90"/>
      <c r="BH174" s="93"/>
      <c r="BI174" s="93"/>
      <c r="BJ174" s="91"/>
      <c r="BK174" s="91"/>
      <c r="BL174" s="91"/>
      <c r="BM174" s="91"/>
      <c r="BN174" s="91"/>
      <c r="BO174" s="91"/>
      <c r="BP174" s="91"/>
      <c r="BQ174" s="91"/>
      <c r="BR174" s="91"/>
    </row>
    <row r="175" spans="11:70">
      <c r="K175" s="88"/>
      <c r="L175" s="88"/>
      <c r="M175" s="88"/>
      <c r="N175" s="88"/>
      <c r="O175" s="88"/>
      <c r="P175" s="88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90"/>
      <c r="AI175" s="91"/>
      <c r="AJ175" s="92"/>
      <c r="AK175" s="91"/>
      <c r="AL175" s="92"/>
      <c r="AM175" s="91"/>
      <c r="AN175" s="91"/>
      <c r="AO175" s="90"/>
      <c r="AP175" s="90"/>
      <c r="AQ175" s="93"/>
      <c r="AR175" s="93"/>
      <c r="AS175" s="91"/>
      <c r="AT175" s="90"/>
      <c r="AU175" s="90"/>
      <c r="AV175" s="93"/>
      <c r="AW175" s="93"/>
      <c r="AX175" s="90"/>
      <c r="AY175" s="90"/>
      <c r="AZ175" s="93"/>
      <c r="BA175" s="93"/>
      <c r="BB175" s="90"/>
      <c r="BC175" s="90"/>
      <c r="BD175" s="93"/>
      <c r="BE175" s="93"/>
      <c r="BF175" s="90"/>
      <c r="BG175" s="90"/>
      <c r="BH175" s="93"/>
      <c r="BI175" s="93"/>
      <c r="BJ175" s="91"/>
      <c r="BK175" s="91"/>
      <c r="BL175" s="91"/>
      <c r="BM175" s="91"/>
      <c r="BN175" s="91"/>
      <c r="BO175" s="91"/>
      <c r="BP175" s="91"/>
      <c r="BQ175" s="91"/>
      <c r="BR175" s="91"/>
    </row>
    <row r="176" spans="11:70">
      <c r="K176" s="88"/>
      <c r="L176" s="88"/>
      <c r="M176" s="88"/>
      <c r="N176" s="88"/>
      <c r="O176" s="88"/>
      <c r="P176" s="88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90"/>
      <c r="AI176" s="91"/>
      <c r="AJ176" s="92"/>
      <c r="AK176" s="91"/>
      <c r="AL176" s="92"/>
      <c r="AM176" s="91"/>
      <c r="AN176" s="91"/>
      <c r="AO176" s="90"/>
      <c r="AP176" s="90"/>
      <c r="AQ176" s="93"/>
      <c r="AR176" s="93"/>
      <c r="AS176" s="91"/>
      <c r="AT176" s="90"/>
      <c r="AU176" s="90"/>
      <c r="AV176" s="93"/>
      <c r="AW176" s="93"/>
      <c r="AX176" s="90"/>
      <c r="AY176" s="90"/>
      <c r="AZ176" s="93"/>
      <c r="BA176" s="93"/>
      <c r="BB176" s="90"/>
      <c r="BC176" s="90"/>
      <c r="BD176" s="93"/>
      <c r="BE176" s="93"/>
      <c r="BF176" s="90"/>
      <c r="BG176" s="90"/>
      <c r="BH176" s="93"/>
      <c r="BI176" s="93"/>
      <c r="BJ176" s="91"/>
      <c r="BK176" s="91"/>
      <c r="BL176" s="91"/>
      <c r="BM176" s="91"/>
      <c r="BN176" s="91"/>
      <c r="BO176" s="91"/>
      <c r="BP176" s="91"/>
      <c r="BQ176" s="91"/>
      <c r="BR176" s="91"/>
    </row>
    <row r="177" spans="11:70">
      <c r="K177" s="88"/>
      <c r="L177" s="88"/>
      <c r="M177" s="88"/>
      <c r="N177" s="88"/>
      <c r="O177" s="88"/>
      <c r="P177" s="88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90"/>
      <c r="AI177" s="91"/>
      <c r="AJ177" s="92"/>
      <c r="AK177" s="91"/>
      <c r="AL177" s="92"/>
      <c r="AM177" s="91"/>
      <c r="AN177" s="91"/>
      <c r="AO177" s="90"/>
      <c r="AP177" s="90"/>
      <c r="AQ177" s="93"/>
      <c r="AR177" s="93"/>
      <c r="AS177" s="91"/>
      <c r="AT177" s="90"/>
      <c r="AU177" s="90"/>
      <c r="AV177" s="93"/>
      <c r="AW177" s="93"/>
      <c r="AX177" s="90"/>
      <c r="AY177" s="90"/>
      <c r="AZ177" s="93"/>
      <c r="BA177" s="93"/>
      <c r="BB177" s="90"/>
      <c r="BC177" s="90"/>
      <c r="BD177" s="93"/>
      <c r="BE177" s="93"/>
      <c r="BF177" s="90"/>
      <c r="BG177" s="90"/>
      <c r="BH177" s="93"/>
      <c r="BI177" s="93"/>
      <c r="BJ177" s="91"/>
      <c r="BK177" s="91"/>
      <c r="BL177" s="91"/>
      <c r="BM177" s="91"/>
      <c r="BN177" s="91"/>
      <c r="BO177" s="91"/>
      <c r="BP177" s="91"/>
      <c r="BQ177" s="91"/>
      <c r="BR177" s="91"/>
    </row>
    <row r="178" spans="11:70">
      <c r="K178" s="88"/>
      <c r="L178" s="88"/>
      <c r="M178" s="88"/>
      <c r="N178" s="88"/>
      <c r="O178" s="88"/>
      <c r="P178" s="88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90"/>
      <c r="AI178" s="91"/>
      <c r="AJ178" s="92"/>
      <c r="AK178" s="91"/>
      <c r="AL178" s="92"/>
      <c r="AM178" s="91"/>
      <c r="AN178" s="91"/>
      <c r="AO178" s="90"/>
      <c r="AP178" s="90"/>
      <c r="AQ178" s="93"/>
      <c r="AR178" s="93"/>
      <c r="AS178" s="91"/>
      <c r="AT178" s="90"/>
      <c r="AU178" s="90"/>
      <c r="AV178" s="93"/>
      <c r="AW178" s="93"/>
      <c r="AX178" s="90"/>
      <c r="AY178" s="90"/>
      <c r="AZ178" s="93"/>
      <c r="BA178" s="93"/>
      <c r="BB178" s="90"/>
      <c r="BC178" s="90"/>
      <c r="BD178" s="93"/>
      <c r="BE178" s="93"/>
      <c r="BF178" s="90"/>
      <c r="BG178" s="90"/>
      <c r="BH178" s="93"/>
      <c r="BI178" s="93"/>
      <c r="BJ178" s="91"/>
      <c r="BK178" s="91"/>
      <c r="BL178" s="91"/>
      <c r="BM178" s="91"/>
      <c r="BN178" s="91"/>
      <c r="BO178" s="91"/>
      <c r="BP178" s="91"/>
      <c r="BQ178" s="91"/>
      <c r="BR178" s="91"/>
    </row>
    <row r="179" spans="11:70">
      <c r="K179" s="88"/>
      <c r="L179" s="88"/>
      <c r="M179" s="88"/>
      <c r="N179" s="88"/>
      <c r="O179" s="88"/>
      <c r="P179" s="88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90"/>
      <c r="AI179" s="91"/>
      <c r="AJ179" s="92"/>
      <c r="AK179" s="91"/>
      <c r="AL179" s="92"/>
      <c r="AM179" s="91"/>
      <c r="AN179" s="91"/>
      <c r="AO179" s="90"/>
      <c r="AP179" s="90"/>
      <c r="AQ179" s="93"/>
      <c r="AR179" s="93"/>
      <c r="AS179" s="91"/>
      <c r="AT179" s="90"/>
      <c r="AU179" s="90"/>
      <c r="AV179" s="93"/>
      <c r="AW179" s="93"/>
      <c r="AX179" s="90"/>
      <c r="AY179" s="90"/>
      <c r="AZ179" s="93"/>
      <c r="BA179" s="93"/>
      <c r="BB179" s="90"/>
      <c r="BC179" s="90"/>
      <c r="BD179" s="93"/>
      <c r="BE179" s="93"/>
      <c r="BF179" s="90"/>
      <c r="BG179" s="90"/>
      <c r="BH179" s="93"/>
      <c r="BI179" s="93"/>
      <c r="BJ179" s="91"/>
      <c r="BK179" s="91"/>
      <c r="BL179" s="91"/>
      <c r="BM179" s="91"/>
      <c r="BN179" s="91"/>
      <c r="BO179" s="91"/>
      <c r="BP179" s="91"/>
      <c r="BQ179" s="91"/>
      <c r="BR179" s="91"/>
    </row>
    <row r="180" spans="11:70">
      <c r="K180" s="88"/>
      <c r="L180" s="88"/>
      <c r="M180" s="88"/>
      <c r="N180" s="88"/>
      <c r="O180" s="88"/>
      <c r="P180" s="88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90"/>
      <c r="AI180" s="91"/>
      <c r="AJ180" s="92"/>
      <c r="AK180" s="91"/>
      <c r="AL180" s="92"/>
      <c r="AM180" s="91"/>
      <c r="AN180" s="91"/>
      <c r="AO180" s="90"/>
      <c r="AP180" s="90"/>
      <c r="AQ180" s="93"/>
      <c r="AR180" s="93"/>
      <c r="AS180" s="91"/>
      <c r="AT180" s="90"/>
      <c r="AU180" s="90"/>
      <c r="AV180" s="93"/>
      <c r="AW180" s="93"/>
      <c r="AX180" s="90"/>
      <c r="AY180" s="90"/>
      <c r="AZ180" s="93"/>
      <c r="BA180" s="93"/>
      <c r="BB180" s="90"/>
      <c r="BC180" s="90"/>
      <c r="BD180" s="93"/>
      <c r="BE180" s="93"/>
      <c r="BF180" s="90"/>
      <c r="BG180" s="90"/>
      <c r="BH180" s="93"/>
      <c r="BI180" s="93"/>
      <c r="BJ180" s="91"/>
      <c r="BK180" s="91"/>
      <c r="BL180" s="91"/>
      <c r="BM180" s="91"/>
      <c r="BN180" s="91"/>
      <c r="BO180" s="91"/>
      <c r="BP180" s="91"/>
      <c r="BQ180" s="91"/>
      <c r="BR180" s="91"/>
    </row>
    <row r="181" spans="11:70">
      <c r="K181" s="88"/>
      <c r="L181" s="88"/>
      <c r="M181" s="88"/>
      <c r="N181" s="88"/>
      <c r="O181" s="88"/>
      <c r="P181" s="88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90"/>
      <c r="AI181" s="91"/>
      <c r="AJ181" s="92"/>
      <c r="AK181" s="91"/>
      <c r="AL181" s="92"/>
      <c r="AM181" s="91"/>
      <c r="AN181" s="91"/>
      <c r="AO181" s="90"/>
      <c r="AP181" s="90"/>
      <c r="AQ181" s="93"/>
      <c r="AR181" s="93"/>
      <c r="AS181" s="91"/>
      <c r="AT181" s="90"/>
      <c r="AU181" s="90"/>
      <c r="AV181" s="93"/>
      <c r="AW181" s="93"/>
      <c r="AX181" s="90"/>
      <c r="AY181" s="90"/>
      <c r="AZ181" s="93"/>
      <c r="BA181" s="93"/>
      <c r="BB181" s="90"/>
      <c r="BC181" s="90"/>
      <c r="BD181" s="93"/>
      <c r="BE181" s="93"/>
      <c r="BF181" s="90"/>
      <c r="BG181" s="90"/>
      <c r="BH181" s="93"/>
      <c r="BI181" s="93"/>
      <c r="BJ181" s="91"/>
      <c r="BK181" s="91"/>
      <c r="BL181" s="91"/>
      <c r="BM181" s="91"/>
      <c r="BN181" s="91"/>
      <c r="BO181" s="91"/>
      <c r="BP181" s="91"/>
      <c r="BQ181" s="91"/>
      <c r="BR181" s="91"/>
    </row>
    <row r="182" spans="11:70">
      <c r="K182" s="88"/>
      <c r="L182" s="88"/>
      <c r="M182" s="88"/>
      <c r="N182" s="88"/>
      <c r="O182" s="88"/>
      <c r="P182" s="88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90"/>
      <c r="AI182" s="91"/>
      <c r="AJ182" s="92"/>
      <c r="AK182" s="91"/>
      <c r="AL182" s="92"/>
      <c r="AM182" s="91"/>
      <c r="AN182" s="91"/>
      <c r="AO182" s="90"/>
      <c r="AP182" s="90"/>
      <c r="AQ182" s="93"/>
      <c r="AR182" s="93"/>
      <c r="AS182" s="91"/>
      <c r="AT182" s="90"/>
      <c r="AU182" s="90"/>
      <c r="AV182" s="93"/>
      <c r="AW182" s="93"/>
      <c r="AX182" s="90"/>
      <c r="AY182" s="90"/>
      <c r="AZ182" s="93"/>
      <c r="BA182" s="93"/>
      <c r="BB182" s="90"/>
      <c r="BC182" s="90"/>
      <c r="BD182" s="93"/>
      <c r="BE182" s="93"/>
      <c r="BF182" s="90"/>
      <c r="BG182" s="90"/>
      <c r="BH182" s="93"/>
      <c r="BI182" s="93"/>
      <c r="BJ182" s="91"/>
      <c r="BK182" s="91"/>
      <c r="BL182" s="91"/>
      <c r="BM182" s="91"/>
      <c r="BN182" s="91"/>
      <c r="BO182" s="91"/>
      <c r="BP182" s="91"/>
      <c r="BQ182" s="91"/>
      <c r="BR182" s="91"/>
    </row>
    <row r="183" spans="11:70">
      <c r="K183" s="88"/>
      <c r="L183" s="88"/>
      <c r="M183" s="88"/>
      <c r="N183" s="88"/>
      <c r="O183" s="88"/>
      <c r="P183" s="88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90"/>
      <c r="AI183" s="91"/>
      <c r="AJ183" s="92"/>
      <c r="AK183" s="91"/>
      <c r="AL183" s="92"/>
      <c r="AM183" s="91"/>
      <c r="AN183" s="91"/>
      <c r="AO183" s="90"/>
      <c r="AP183" s="90"/>
      <c r="AQ183" s="93"/>
      <c r="AR183" s="93"/>
      <c r="AS183" s="91"/>
      <c r="AT183" s="90"/>
      <c r="AU183" s="90"/>
      <c r="AV183" s="93"/>
      <c r="AW183" s="93"/>
      <c r="AX183" s="90"/>
      <c r="AY183" s="90"/>
      <c r="AZ183" s="93"/>
      <c r="BA183" s="93"/>
      <c r="BB183" s="90"/>
      <c r="BC183" s="90"/>
      <c r="BD183" s="93"/>
      <c r="BE183" s="93"/>
      <c r="BF183" s="90"/>
      <c r="BG183" s="90"/>
      <c r="BH183" s="93"/>
      <c r="BI183" s="93"/>
      <c r="BJ183" s="91"/>
      <c r="BK183" s="91"/>
      <c r="BL183" s="91"/>
      <c r="BM183" s="91"/>
      <c r="BN183" s="91"/>
      <c r="BO183" s="91"/>
      <c r="BP183" s="91"/>
      <c r="BQ183" s="91"/>
      <c r="BR183" s="91"/>
    </row>
    <row r="184" spans="11:70">
      <c r="K184" s="88"/>
      <c r="L184" s="88"/>
      <c r="M184" s="88"/>
      <c r="N184" s="88"/>
      <c r="O184" s="88"/>
      <c r="P184" s="88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90"/>
      <c r="AI184" s="91"/>
      <c r="AJ184" s="92"/>
      <c r="AK184" s="91"/>
      <c r="AL184" s="92"/>
      <c r="AM184" s="91"/>
      <c r="AN184" s="91"/>
      <c r="AO184" s="90"/>
      <c r="AP184" s="90"/>
      <c r="AQ184" s="93"/>
      <c r="AR184" s="93"/>
      <c r="AS184" s="91"/>
      <c r="AT184" s="90"/>
      <c r="AU184" s="90"/>
      <c r="AV184" s="93"/>
      <c r="AW184" s="93"/>
      <c r="AX184" s="90"/>
      <c r="AY184" s="90"/>
      <c r="AZ184" s="93"/>
      <c r="BA184" s="93"/>
      <c r="BB184" s="90"/>
      <c r="BC184" s="90"/>
      <c r="BD184" s="93"/>
      <c r="BE184" s="93"/>
      <c r="BF184" s="90"/>
      <c r="BG184" s="90"/>
      <c r="BH184" s="93"/>
      <c r="BI184" s="93"/>
      <c r="BJ184" s="91"/>
      <c r="BK184" s="91"/>
      <c r="BL184" s="91"/>
      <c r="BM184" s="91"/>
      <c r="BN184" s="91"/>
      <c r="BO184" s="91"/>
      <c r="BP184" s="91"/>
      <c r="BQ184" s="91"/>
      <c r="BR184" s="91"/>
    </row>
    <row r="185" spans="11:70">
      <c r="K185" s="88"/>
      <c r="L185" s="88"/>
      <c r="M185" s="88"/>
      <c r="N185" s="88"/>
      <c r="O185" s="88"/>
      <c r="P185" s="88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90"/>
      <c r="AI185" s="91"/>
      <c r="AJ185" s="92"/>
      <c r="AK185" s="91"/>
      <c r="AL185" s="92"/>
      <c r="AM185" s="91"/>
      <c r="AN185" s="91"/>
      <c r="AO185" s="90"/>
      <c r="AP185" s="90"/>
      <c r="AQ185" s="93"/>
      <c r="AR185" s="93"/>
      <c r="AS185" s="91"/>
      <c r="AT185" s="90"/>
      <c r="AU185" s="90"/>
      <c r="AV185" s="93"/>
      <c r="AW185" s="93"/>
      <c r="AX185" s="90"/>
      <c r="AY185" s="90"/>
      <c r="AZ185" s="93"/>
      <c r="BA185" s="93"/>
      <c r="BB185" s="90"/>
      <c r="BC185" s="90"/>
      <c r="BD185" s="93"/>
      <c r="BE185" s="93"/>
      <c r="BF185" s="90"/>
      <c r="BG185" s="90"/>
      <c r="BH185" s="93"/>
      <c r="BI185" s="93"/>
      <c r="BJ185" s="91"/>
      <c r="BK185" s="91"/>
      <c r="BL185" s="91"/>
      <c r="BM185" s="91"/>
      <c r="BN185" s="91"/>
      <c r="BO185" s="91"/>
      <c r="BP185" s="91"/>
      <c r="BQ185" s="91"/>
      <c r="BR185" s="91"/>
    </row>
    <row r="186" spans="11:70">
      <c r="K186" s="88"/>
      <c r="L186" s="88"/>
      <c r="M186" s="88"/>
      <c r="N186" s="88"/>
      <c r="O186" s="88"/>
      <c r="P186" s="88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90"/>
      <c r="AI186" s="91"/>
      <c r="AJ186" s="92"/>
      <c r="AK186" s="91"/>
      <c r="AL186" s="92"/>
      <c r="AM186" s="91"/>
      <c r="AN186" s="91"/>
      <c r="AO186" s="90"/>
      <c r="AP186" s="90"/>
      <c r="AQ186" s="93"/>
      <c r="AR186" s="93"/>
      <c r="AS186" s="91"/>
      <c r="AT186" s="90"/>
      <c r="AU186" s="90"/>
      <c r="AV186" s="93"/>
      <c r="AW186" s="93"/>
      <c r="AX186" s="90"/>
      <c r="AY186" s="90"/>
      <c r="AZ186" s="93"/>
      <c r="BA186" s="93"/>
      <c r="BB186" s="90"/>
      <c r="BC186" s="90"/>
      <c r="BD186" s="93"/>
      <c r="BE186" s="93"/>
      <c r="BF186" s="90"/>
      <c r="BG186" s="90"/>
      <c r="BH186" s="93"/>
      <c r="BI186" s="93"/>
      <c r="BJ186" s="91"/>
      <c r="BK186" s="91"/>
      <c r="BL186" s="91"/>
      <c r="BM186" s="91"/>
      <c r="BN186" s="91"/>
      <c r="BO186" s="91"/>
      <c r="BP186" s="91"/>
      <c r="BQ186" s="91"/>
      <c r="BR186" s="91"/>
    </row>
    <row r="187" spans="11:70">
      <c r="K187" s="88"/>
      <c r="L187" s="88"/>
      <c r="M187" s="88"/>
      <c r="N187" s="88"/>
      <c r="O187" s="88"/>
      <c r="P187" s="88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90"/>
      <c r="AI187" s="91"/>
      <c r="AJ187" s="92"/>
      <c r="AK187" s="91"/>
      <c r="AL187" s="92"/>
      <c r="AM187" s="91"/>
      <c r="AN187" s="91"/>
      <c r="AO187" s="90"/>
      <c r="AP187" s="90"/>
      <c r="AQ187" s="93"/>
      <c r="AR187" s="93"/>
      <c r="AS187" s="91"/>
      <c r="AT187" s="90"/>
      <c r="AU187" s="90"/>
      <c r="AV187" s="93"/>
      <c r="AW187" s="93"/>
      <c r="AX187" s="90"/>
      <c r="AY187" s="90"/>
      <c r="AZ187" s="93"/>
      <c r="BA187" s="93"/>
      <c r="BB187" s="90"/>
      <c r="BC187" s="90"/>
      <c r="BD187" s="93"/>
      <c r="BE187" s="93"/>
      <c r="BF187" s="90"/>
      <c r="BG187" s="90"/>
      <c r="BH187" s="93"/>
      <c r="BI187" s="93"/>
      <c r="BJ187" s="91"/>
      <c r="BK187" s="91"/>
      <c r="BL187" s="91"/>
      <c r="BM187" s="91"/>
      <c r="BN187" s="91"/>
      <c r="BO187" s="91"/>
      <c r="BP187" s="91"/>
      <c r="BQ187" s="91"/>
      <c r="BR187" s="91"/>
    </row>
    <row r="188" spans="11:70">
      <c r="K188" s="88"/>
      <c r="L188" s="88"/>
      <c r="M188" s="88"/>
      <c r="N188" s="88"/>
      <c r="O188" s="88"/>
      <c r="P188" s="88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90"/>
      <c r="AI188" s="91"/>
      <c r="AJ188" s="92"/>
      <c r="AK188" s="91"/>
      <c r="AL188" s="92"/>
      <c r="AM188" s="91"/>
      <c r="AN188" s="91"/>
      <c r="AO188" s="90"/>
      <c r="AP188" s="90"/>
      <c r="AQ188" s="93"/>
      <c r="AR188" s="93"/>
      <c r="AS188" s="91"/>
      <c r="AT188" s="90"/>
      <c r="AU188" s="90"/>
      <c r="AV188" s="93"/>
      <c r="AW188" s="93"/>
      <c r="AX188" s="90"/>
      <c r="AY188" s="90"/>
      <c r="AZ188" s="93"/>
      <c r="BA188" s="93"/>
      <c r="BB188" s="90"/>
      <c r="BC188" s="90"/>
      <c r="BD188" s="93"/>
      <c r="BE188" s="93"/>
      <c r="BF188" s="90"/>
      <c r="BG188" s="90"/>
      <c r="BH188" s="93"/>
      <c r="BI188" s="93"/>
      <c r="BJ188" s="91"/>
      <c r="BK188" s="91"/>
      <c r="BL188" s="91"/>
      <c r="BM188" s="91"/>
      <c r="BN188" s="91"/>
      <c r="BO188" s="91"/>
      <c r="BP188" s="91"/>
      <c r="BQ188" s="91"/>
      <c r="BR188" s="91"/>
    </row>
    <row r="189" spans="11:70">
      <c r="K189" s="88"/>
      <c r="L189" s="88"/>
      <c r="M189" s="88"/>
      <c r="N189" s="88"/>
      <c r="O189" s="88"/>
      <c r="P189" s="88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90"/>
      <c r="AI189" s="91"/>
      <c r="AJ189" s="92"/>
      <c r="AK189" s="91"/>
      <c r="AL189" s="92"/>
      <c r="AM189" s="91"/>
      <c r="AN189" s="91"/>
      <c r="AO189" s="90"/>
      <c r="AP189" s="90"/>
      <c r="AQ189" s="93"/>
      <c r="AR189" s="93"/>
      <c r="AS189" s="91"/>
      <c r="AT189" s="90"/>
      <c r="AU189" s="90"/>
      <c r="AV189" s="93"/>
      <c r="AW189" s="93"/>
      <c r="AX189" s="90"/>
      <c r="AY189" s="90"/>
      <c r="AZ189" s="93"/>
      <c r="BA189" s="93"/>
      <c r="BB189" s="90"/>
      <c r="BC189" s="90"/>
      <c r="BD189" s="93"/>
      <c r="BE189" s="93"/>
      <c r="BF189" s="90"/>
      <c r="BG189" s="90"/>
      <c r="BH189" s="93"/>
      <c r="BI189" s="93"/>
      <c r="BJ189" s="91"/>
      <c r="BK189" s="91"/>
      <c r="BL189" s="91"/>
      <c r="BM189" s="91"/>
      <c r="BN189" s="91"/>
      <c r="BO189" s="91"/>
      <c r="BP189" s="91"/>
      <c r="BQ189" s="91"/>
      <c r="BR189" s="91"/>
    </row>
    <row r="190" spans="11:70">
      <c r="K190" s="88"/>
      <c r="L190" s="88"/>
      <c r="M190" s="88"/>
      <c r="N190" s="88"/>
      <c r="O190" s="88"/>
      <c r="P190" s="88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90"/>
      <c r="AI190" s="91"/>
      <c r="AJ190" s="92"/>
      <c r="AK190" s="91"/>
      <c r="AL190" s="92"/>
      <c r="AM190" s="91"/>
      <c r="AN190" s="91"/>
      <c r="AO190" s="90"/>
      <c r="AP190" s="90"/>
      <c r="AQ190" s="93"/>
      <c r="AR190" s="93"/>
      <c r="AS190" s="91"/>
      <c r="AT190" s="90"/>
      <c r="AU190" s="90"/>
      <c r="AV190" s="93"/>
      <c r="AW190" s="93"/>
      <c r="AX190" s="90"/>
      <c r="AY190" s="90"/>
      <c r="AZ190" s="93"/>
      <c r="BA190" s="93"/>
      <c r="BB190" s="90"/>
      <c r="BC190" s="90"/>
      <c r="BD190" s="93"/>
      <c r="BE190" s="93"/>
      <c r="BF190" s="90"/>
      <c r="BG190" s="90"/>
      <c r="BH190" s="93"/>
      <c r="BI190" s="93"/>
      <c r="BJ190" s="91"/>
      <c r="BK190" s="91"/>
      <c r="BL190" s="91"/>
      <c r="BM190" s="91"/>
      <c r="BN190" s="91"/>
      <c r="BO190" s="91"/>
      <c r="BP190" s="91"/>
      <c r="BQ190" s="91"/>
      <c r="BR190" s="91"/>
    </row>
    <row r="191" spans="11:70">
      <c r="K191" s="88"/>
      <c r="L191" s="88"/>
      <c r="M191" s="88"/>
      <c r="N191" s="88"/>
      <c r="O191" s="88"/>
      <c r="P191" s="88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90"/>
      <c r="AI191" s="91"/>
      <c r="AJ191" s="92"/>
      <c r="AK191" s="91"/>
      <c r="AL191" s="92"/>
      <c r="AM191" s="91"/>
      <c r="AN191" s="91"/>
      <c r="AO191" s="90"/>
      <c r="AP191" s="90"/>
      <c r="AQ191" s="93"/>
      <c r="AR191" s="93"/>
      <c r="AS191" s="91"/>
      <c r="AT191" s="90"/>
      <c r="AU191" s="90"/>
      <c r="AV191" s="93"/>
      <c r="AW191" s="93"/>
      <c r="AX191" s="90"/>
      <c r="AY191" s="90"/>
      <c r="AZ191" s="93"/>
      <c r="BA191" s="93"/>
      <c r="BB191" s="90"/>
      <c r="BC191" s="90"/>
      <c r="BD191" s="93"/>
      <c r="BE191" s="93"/>
      <c r="BF191" s="90"/>
      <c r="BG191" s="90"/>
      <c r="BH191" s="93"/>
      <c r="BI191" s="93"/>
      <c r="BJ191" s="91"/>
      <c r="BK191" s="91"/>
      <c r="BL191" s="91"/>
      <c r="BM191" s="91"/>
      <c r="BN191" s="91"/>
      <c r="BO191" s="91"/>
      <c r="BP191" s="91"/>
      <c r="BQ191" s="91"/>
      <c r="BR191" s="91"/>
    </row>
    <row r="192" spans="11:70">
      <c r="K192" s="88"/>
      <c r="L192" s="88"/>
      <c r="M192" s="88"/>
      <c r="N192" s="88"/>
      <c r="O192" s="88"/>
      <c r="P192" s="88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90"/>
      <c r="AI192" s="91"/>
      <c r="AJ192" s="92"/>
      <c r="AK192" s="91"/>
      <c r="AL192" s="92"/>
      <c r="AM192" s="91"/>
      <c r="AN192" s="91"/>
      <c r="AO192" s="90"/>
      <c r="AP192" s="90"/>
      <c r="AQ192" s="93"/>
      <c r="AR192" s="93"/>
      <c r="AS192" s="91"/>
      <c r="AT192" s="90"/>
      <c r="AU192" s="90"/>
      <c r="AV192" s="93"/>
      <c r="AW192" s="93"/>
      <c r="AX192" s="90"/>
      <c r="AY192" s="90"/>
      <c r="AZ192" s="93"/>
      <c r="BA192" s="93"/>
      <c r="BB192" s="90"/>
      <c r="BC192" s="90"/>
      <c r="BD192" s="93"/>
      <c r="BE192" s="93"/>
      <c r="BF192" s="90"/>
      <c r="BG192" s="90"/>
      <c r="BH192" s="93"/>
      <c r="BI192" s="93"/>
      <c r="BJ192" s="91"/>
      <c r="BK192" s="91"/>
      <c r="BL192" s="91"/>
      <c r="BM192" s="91"/>
      <c r="BN192" s="91"/>
      <c r="BO192" s="91"/>
      <c r="BP192" s="91"/>
      <c r="BQ192" s="91"/>
      <c r="BR192" s="91"/>
    </row>
    <row r="193" spans="11:70">
      <c r="K193" s="88"/>
      <c r="L193" s="88"/>
      <c r="M193" s="88"/>
      <c r="N193" s="88"/>
      <c r="O193" s="88"/>
      <c r="P193" s="88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90"/>
      <c r="AI193" s="91"/>
      <c r="AJ193" s="92"/>
      <c r="AK193" s="91"/>
      <c r="AL193" s="92"/>
      <c r="AM193" s="91"/>
      <c r="AN193" s="91"/>
      <c r="AO193" s="90"/>
      <c r="AP193" s="90"/>
      <c r="AQ193" s="93"/>
      <c r="AR193" s="93"/>
      <c r="AS193" s="91"/>
      <c r="AT193" s="90"/>
      <c r="AU193" s="90"/>
      <c r="AV193" s="93"/>
      <c r="AW193" s="93"/>
      <c r="AX193" s="90"/>
      <c r="AY193" s="90"/>
      <c r="AZ193" s="93"/>
      <c r="BA193" s="93"/>
      <c r="BB193" s="90"/>
      <c r="BC193" s="90"/>
      <c r="BD193" s="93"/>
      <c r="BE193" s="93"/>
      <c r="BF193" s="90"/>
      <c r="BG193" s="90"/>
      <c r="BH193" s="93"/>
      <c r="BI193" s="93"/>
      <c r="BJ193" s="91"/>
      <c r="BK193" s="91"/>
      <c r="BL193" s="91"/>
      <c r="BM193" s="91"/>
      <c r="BN193" s="91"/>
      <c r="BO193" s="91"/>
      <c r="BP193" s="91"/>
      <c r="BQ193" s="91"/>
      <c r="BR193" s="91"/>
    </row>
    <row r="194" spans="11:70">
      <c r="K194" s="88"/>
      <c r="L194" s="88"/>
      <c r="M194" s="88"/>
      <c r="N194" s="88"/>
      <c r="O194" s="88"/>
      <c r="P194" s="88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90"/>
      <c r="AI194" s="91"/>
      <c r="AJ194" s="92"/>
      <c r="AK194" s="91"/>
      <c r="AL194" s="92"/>
      <c r="AM194" s="91"/>
      <c r="AN194" s="91"/>
      <c r="AO194" s="90"/>
      <c r="AP194" s="90"/>
      <c r="AQ194" s="93"/>
      <c r="AR194" s="93"/>
      <c r="AS194" s="91"/>
      <c r="AT194" s="90"/>
      <c r="AU194" s="90"/>
      <c r="AV194" s="93"/>
      <c r="AW194" s="93"/>
      <c r="AX194" s="90"/>
      <c r="AY194" s="90"/>
      <c r="AZ194" s="93"/>
      <c r="BA194" s="93"/>
      <c r="BB194" s="90"/>
      <c r="BC194" s="90"/>
      <c r="BD194" s="93"/>
      <c r="BE194" s="93"/>
      <c r="BF194" s="90"/>
      <c r="BG194" s="90"/>
      <c r="BH194" s="93"/>
      <c r="BI194" s="93"/>
      <c r="BJ194" s="91"/>
      <c r="BK194" s="91"/>
      <c r="BL194" s="91"/>
      <c r="BM194" s="91"/>
      <c r="BN194" s="91"/>
      <c r="BO194" s="91"/>
      <c r="BP194" s="91"/>
      <c r="BQ194" s="91"/>
      <c r="BR194" s="91"/>
    </row>
    <row r="195" spans="11:70">
      <c r="K195" s="88"/>
      <c r="L195" s="88"/>
      <c r="M195" s="88"/>
      <c r="N195" s="88"/>
      <c r="O195" s="88"/>
      <c r="P195" s="88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90"/>
      <c r="AI195" s="91"/>
      <c r="AJ195" s="92"/>
      <c r="AK195" s="91"/>
      <c r="AL195" s="92"/>
      <c r="AM195" s="91"/>
      <c r="AN195" s="91"/>
      <c r="AO195" s="90"/>
      <c r="AP195" s="90"/>
      <c r="AQ195" s="93"/>
      <c r="AR195" s="93"/>
      <c r="AS195" s="91"/>
      <c r="AT195" s="90"/>
      <c r="AU195" s="90"/>
      <c r="AV195" s="93"/>
      <c r="AW195" s="93"/>
      <c r="AX195" s="90"/>
      <c r="AY195" s="90"/>
      <c r="AZ195" s="93"/>
      <c r="BA195" s="93"/>
      <c r="BB195" s="90"/>
      <c r="BC195" s="90"/>
      <c r="BD195" s="93"/>
      <c r="BE195" s="93"/>
      <c r="BF195" s="90"/>
      <c r="BG195" s="90"/>
      <c r="BH195" s="93"/>
      <c r="BI195" s="93"/>
      <c r="BJ195" s="91"/>
      <c r="BK195" s="91"/>
      <c r="BL195" s="91"/>
      <c r="BM195" s="91"/>
      <c r="BN195" s="91"/>
      <c r="BO195" s="91"/>
      <c r="BP195" s="91"/>
      <c r="BQ195" s="91"/>
      <c r="BR195" s="91"/>
    </row>
    <row r="196" spans="11:70">
      <c r="K196" s="88"/>
      <c r="L196" s="88"/>
      <c r="M196" s="88"/>
      <c r="N196" s="88"/>
      <c r="O196" s="88"/>
      <c r="P196" s="88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90"/>
      <c r="AI196" s="91"/>
      <c r="AJ196" s="92"/>
      <c r="AK196" s="91"/>
      <c r="AL196" s="92"/>
      <c r="AM196" s="91"/>
      <c r="AN196" s="91"/>
      <c r="AO196" s="90"/>
      <c r="AP196" s="90"/>
      <c r="AQ196" s="93"/>
      <c r="AR196" s="93"/>
      <c r="AS196" s="91"/>
      <c r="AT196" s="90"/>
      <c r="AU196" s="90"/>
      <c r="AV196" s="93"/>
      <c r="AW196" s="93"/>
      <c r="AX196" s="90"/>
      <c r="AY196" s="90"/>
      <c r="AZ196" s="93"/>
      <c r="BA196" s="93"/>
      <c r="BB196" s="90"/>
      <c r="BC196" s="90"/>
      <c r="BD196" s="93"/>
      <c r="BE196" s="93"/>
      <c r="BF196" s="90"/>
      <c r="BG196" s="90"/>
      <c r="BH196" s="93"/>
      <c r="BI196" s="93"/>
      <c r="BJ196" s="91"/>
      <c r="BK196" s="91"/>
      <c r="BL196" s="91"/>
      <c r="BM196" s="91"/>
      <c r="BN196" s="91"/>
      <c r="BO196" s="91"/>
      <c r="BP196" s="91"/>
      <c r="BQ196" s="91"/>
      <c r="BR196" s="91"/>
    </row>
    <row r="197" spans="11:70">
      <c r="K197" s="88"/>
      <c r="L197" s="88"/>
      <c r="M197" s="88"/>
      <c r="N197" s="88"/>
      <c r="O197" s="88"/>
      <c r="P197" s="88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90"/>
      <c r="AI197" s="91"/>
      <c r="AJ197" s="92"/>
      <c r="AK197" s="91"/>
      <c r="AL197" s="92"/>
      <c r="AM197" s="91"/>
      <c r="AN197" s="91"/>
      <c r="AO197" s="90"/>
      <c r="AP197" s="90"/>
      <c r="AQ197" s="93"/>
      <c r="AR197" s="93"/>
      <c r="AS197" s="91"/>
      <c r="AT197" s="90"/>
      <c r="AU197" s="90"/>
      <c r="AV197" s="93"/>
      <c r="AW197" s="93"/>
      <c r="AX197" s="90"/>
      <c r="AY197" s="90"/>
      <c r="AZ197" s="93"/>
      <c r="BA197" s="93"/>
      <c r="BB197" s="90"/>
      <c r="BC197" s="90"/>
      <c r="BD197" s="93"/>
      <c r="BE197" s="93"/>
      <c r="BF197" s="90"/>
      <c r="BG197" s="90"/>
      <c r="BH197" s="93"/>
      <c r="BI197" s="93"/>
      <c r="BJ197" s="91"/>
      <c r="BK197" s="91"/>
      <c r="BL197" s="91"/>
      <c r="BM197" s="91"/>
      <c r="BN197" s="91"/>
      <c r="BO197" s="91"/>
      <c r="BP197" s="91"/>
      <c r="BQ197" s="91"/>
      <c r="BR197" s="91"/>
    </row>
    <row r="198" spans="11:70">
      <c r="K198" s="88"/>
      <c r="L198" s="88"/>
      <c r="M198" s="88"/>
      <c r="N198" s="88"/>
      <c r="O198" s="88"/>
      <c r="P198" s="88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90"/>
      <c r="AI198" s="91"/>
      <c r="AJ198" s="92"/>
      <c r="AK198" s="91"/>
      <c r="AL198" s="92"/>
      <c r="AM198" s="91"/>
      <c r="AN198" s="91"/>
      <c r="AO198" s="90"/>
      <c r="AP198" s="90"/>
      <c r="AQ198" s="93"/>
      <c r="AR198" s="93"/>
      <c r="AS198" s="91"/>
      <c r="AT198" s="90"/>
      <c r="AU198" s="90"/>
      <c r="AV198" s="93"/>
      <c r="AW198" s="93"/>
      <c r="AX198" s="90"/>
      <c r="AY198" s="90"/>
      <c r="AZ198" s="93"/>
      <c r="BA198" s="93"/>
      <c r="BB198" s="90"/>
      <c r="BC198" s="90"/>
      <c r="BD198" s="93"/>
      <c r="BE198" s="93"/>
      <c r="BF198" s="90"/>
      <c r="BG198" s="90"/>
      <c r="BH198" s="93"/>
      <c r="BI198" s="93"/>
      <c r="BJ198" s="91"/>
      <c r="BK198" s="91"/>
      <c r="BL198" s="91"/>
      <c r="BM198" s="91"/>
      <c r="BN198" s="91"/>
      <c r="BO198" s="91"/>
      <c r="BP198" s="91"/>
      <c r="BQ198" s="91"/>
      <c r="BR198" s="91"/>
    </row>
    <row r="199" spans="11:70">
      <c r="K199" s="88"/>
      <c r="L199" s="88"/>
      <c r="M199" s="88"/>
      <c r="N199" s="88"/>
      <c r="O199" s="88"/>
      <c r="P199" s="88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90"/>
      <c r="AI199" s="91"/>
      <c r="AJ199" s="92"/>
      <c r="AK199" s="91"/>
      <c r="AL199" s="92"/>
      <c r="AM199" s="91"/>
      <c r="AN199" s="91"/>
      <c r="AO199" s="90"/>
      <c r="AP199" s="90"/>
      <c r="AQ199" s="93"/>
      <c r="AR199" s="93"/>
      <c r="AS199" s="91"/>
      <c r="AT199" s="90"/>
      <c r="AU199" s="90"/>
      <c r="AV199" s="93"/>
      <c r="AW199" s="93"/>
      <c r="AX199" s="90"/>
      <c r="AY199" s="90"/>
      <c r="AZ199" s="93"/>
      <c r="BA199" s="93"/>
      <c r="BB199" s="90"/>
      <c r="BC199" s="90"/>
      <c r="BD199" s="93"/>
      <c r="BE199" s="93"/>
      <c r="BF199" s="90"/>
      <c r="BG199" s="90"/>
      <c r="BH199" s="93"/>
      <c r="BI199" s="93"/>
      <c r="BJ199" s="91"/>
      <c r="BK199" s="91"/>
      <c r="BL199" s="91"/>
      <c r="BM199" s="91"/>
      <c r="BN199" s="91"/>
      <c r="BO199" s="91"/>
      <c r="BP199" s="91"/>
      <c r="BQ199" s="91"/>
      <c r="BR199" s="91"/>
    </row>
    <row r="200" spans="11:70">
      <c r="K200" s="88"/>
      <c r="L200" s="88"/>
      <c r="M200" s="88"/>
      <c r="N200" s="88"/>
      <c r="O200" s="88"/>
      <c r="P200" s="88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90"/>
      <c r="AI200" s="91"/>
      <c r="AJ200" s="92"/>
      <c r="AK200" s="91"/>
      <c r="AL200" s="92"/>
      <c r="AM200" s="91"/>
      <c r="AN200" s="91"/>
      <c r="AO200" s="90"/>
      <c r="AP200" s="90"/>
      <c r="AQ200" s="93"/>
      <c r="AR200" s="93"/>
      <c r="AS200" s="91"/>
      <c r="AT200" s="90"/>
      <c r="AU200" s="90"/>
      <c r="AV200" s="93"/>
      <c r="AW200" s="93"/>
      <c r="AX200" s="90"/>
      <c r="AY200" s="90"/>
      <c r="AZ200" s="93"/>
      <c r="BA200" s="93"/>
      <c r="BB200" s="90"/>
      <c r="BC200" s="90"/>
      <c r="BD200" s="93"/>
      <c r="BE200" s="93"/>
      <c r="BF200" s="90"/>
      <c r="BG200" s="90"/>
      <c r="BH200" s="93"/>
      <c r="BI200" s="93"/>
      <c r="BJ200" s="91"/>
      <c r="BK200" s="91"/>
      <c r="BL200" s="91"/>
      <c r="BM200" s="91"/>
      <c r="BN200" s="91"/>
      <c r="BO200" s="91"/>
      <c r="BP200" s="91"/>
      <c r="BQ200" s="91"/>
      <c r="BR200" s="91"/>
    </row>
    <row r="201" spans="11:70">
      <c r="K201" s="88"/>
      <c r="L201" s="88"/>
      <c r="M201" s="88"/>
      <c r="N201" s="88"/>
      <c r="O201" s="88"/>
      <c r="P201" s="88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90"/>
      <c r="AI201" s="91"/>
      <c r="AJ201" s="92"/>
      <c r="AK201" s="91"/>
      <c r="AL201" s="92"/>
      <c r="AM201" s="91"/>
      <c r="AN201" s="91"/>
      <c r="AO201" s="90"/>
      <c r="AP201" s="90"/>
      <c r="AQ201" s="93"/>
      <c r="AR201" s="93"/>
      <c r="AS201" s="91"/>
      <c r="AT201" s="90"/>
      <c r="AU201" s="90"/>
      <c r="AV201" s="93"/>
      <c r="AW201" s="93"/>
      <c r="AX201" s="90"/>
      <c r="AY201" s="90"/>
      <c r="AZ201" s="93"/>
      <c r="BA201" s="93"/>
      <c r="BB201" s="90"/>
      <c r="BC201" s="90"/>
      <c r="BD201" s="93"/>
      <c r="BE201" s="93"/>
      <c r="BF201" s="90"/>
      <c r="BG201" s="90"/>
      <c r="BH201" s="93"/>
      <c r="BI201" s="93"/>
      <c r="BJ201" s="91"/>
      <c r="BK201" s="91"/>
      <c r="BL201" s="91"/>
      <c r="BM201" s="91"/>
      <c r="BN201" s="91"/>
      <c r="BO201" s="91"/>
      <c r="BP201" s="91"/>
      <c r="BQ201" s="91"/>
      <c r="BR201" s="91"/>
    </row>
    <row r="202" spans="11:70">
      <c r="K202" s="88"/>
      <c r="L202" s="88"/>
      <c r="M202" s="88"/>
      <c r="N202" s="88"/>
      <c r="O202" s="88"/>
      <c r="P202" s="88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90"/>
      <c r="AI202" s="91"/>
      <c r="AJ202" s="92"/>
      <c r="AK202" s="91"/>
      <c r="AL202" s="92"/>
      <c r="AM202" s="91"/>
      <c r="AN202" s="91"/>
      <c r="AO202" s="90"/>
      <c r="AP202" s="90"/>
      <c r="AQ202" s="93"/>
      <c r="AR202" s="93"/>
      <c r="AS202" s="91"/>
      <c r="AT202" s="90"/>
      <c r="AU202" s="90"/>
      <c r="AV202" s="93"/>
      <c r="AW202" s="93"/>
      <c r="AX202" s="90"/>
      <c r="AY202" s="90"/>
      <c r="AZ202" s="93"/>
      <c r="BA202" s="93"/>
      <c r="BB202" s="90"/>
      <c r="BC202" s="90"/>
      <c r="BD202" s="93"/>
      <c r="BE202" s="93"/>
      <c r="BF202" s="90"/>
      <c r="BG202" s="90"/>
      <c r="BH202" s="93"/>
      <c r="BI202" s="93"/>
      <c r="BJ202" s="91"/>
      <c r="BK202" s="91"/>
      <c r="BL202" s="91"/>
      <c r="BM202" s="91"/>
      <c r="BN202" s="91"/>
      <c r="BO202" s="91"/>
      <c r="BP202" s="91"/>
      <c r="BQ202" s="91"/>
      <c r="BR202" s="91"/>
    </row>
    <row r="203" spans="11:70">
      <c r="K203" s="88"/>
      <c r="L203" s="88"/>
      <c r="M203" s="88"/>
      <c r="N203" s="88"/>
      <c r="O203" s="88"/>
      <c r="P203" s="88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90"/>
      <c r="AI203" s="91"/>
      <c r="AJ203" s="92"/>
      <c r="AK203" s="91"/>
      <c r="AL203" s="92"/>
      <c r="AM203" s="91"/>
      <c r="AN203" s="91"/>
      <c r="AO203" s="90"/>
      <c r="AP203" s="90"/>
      <c r="AQ203" s="93"/>
      <c r="AR203" s="93"/>
      <c r="AS203" s="91"/>
      <c r="AT203" s="90"/>
      <c r="AU203" s="90"/>
      <c r="AV203" s="93"/>
      <c r="AW203" s="93"/>
      <c r="AX203" s="90"/>
      <c r="AY203" s="90"/>
      <c r="AZ203" s="93"/>
      <c r="BA203" s="93"/>
      <c r="BB203" s="90"/>
      <c r="BC203" s="90"/>
      <c r="BD203" s="93"/>
      <c r="BE203" s="93"/>
      <c r="BF203" s="90"/>
      <c r="BG203" s="90"/>
      <c r="BH203" s="93"/>
      <c r="BI203" s="93"/>
      <c r="BJ203" s="91"/>
      <c r="BK203" s="91"/>
      <c r="BL203" s="91"/>
      <c r="BM203" s="91"/>
      <c r="BN203" s="91"/>
      <c r="BO203" s="91"/>
      <c r="BP203" s="91"/>
      <c r="BQ203" s="91"/>
      <c r="BR203" s="91"/>
    </row>
    <row r="204" spans="11:70">
      <c r="K204" s="88"/>
      <c r="L204" s="88"/>
      <c r="M204" s="88"/>
      <c r="N204" s="88"/>
      <c r="O204" s="88"/>
      <c r="P204" s="88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90"/>
      <c r="AI204" s="91"/>
      <c r="AJ204" s="92"/>
      <c r="AK204" s="91"/>
      <c r="AL204" s="92"/>
      <c r="AM204" s="91"/>
      <c r="AN204" s="91"/>
      <c r="AO204" s="90"/>
      <c r="AP204" s="90"/>
      <c r="AQ204" s="93"/>
      <c r="AR204" s="93"/>
      <c r="AS204" s="91"/>
      <c r="AT204" s="90"/>
      <c r="AU204" s="90"/>
      <c r="AV204" s="93"/>
      <c r="AW204" s="93"/>
      <c r="AX204" s="90"/>
      <c r="AY204" s="90"/>
      <c r="AZ204" s="93"/>
      <c r="BA204" s="93"/>
      <c r="BB204" s="90"/>
      <c r="BC204" s="90"/>
      <c r="BD204" s="93"/>
      <c r="BE204" s="93"/>
      <c r="BF204" s="90"/>
      <c r="BG204" s="90"/>
      <c r="BH204" s="93"/>
      <c r="BI204" s="93"/>
      <c r="BJ204" s="91"/>
      <c r="BK204" s="91"/>
      <c r="BL204" s="91"/>
      <c r="BM204" s="91"/>
      <c r="BN204" s="91"/>
      <c r="BO204" s="91"/>
      <c r="BP204" s="91"/>
      <c r="BQ204" s="91"/>
      <c r="BR204" s="91"/>
    </row>
    <row r="205" spans="11:70">
      <c r="K205" s="88"/>
      <c r="L205" s="88"/>
      <c r="M205" s="88"/>
      <c r="N205" s="88"/>
      <c r="O205" s="88"/>
      <c r="P205" s="88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90"/>
      <c r="AI205" s="91"/>
      <c r="AJ205" s="92"/>
      <c r="AK205" s="91"/>
      <c r="AL205" s="92"/>
      <c r="AM205" s="91"/>
      <c r="AN205" s="91"/>
      <c r="AO205" s="90"/>
      <c r="AP205" s="90"/>
      <c r="AQ205" s="93"/>
      <c r="AR205" s="93"/>
      <c r="AS205" s="91"/>
      <c r="AT205" s="90"/>
      <c r="AU205" s="90"/>
      <c r="AV205" s="93"/>
      <c r="AW205" s="93"/>
      <c r="AX205" s="90"/>
      <c r="AY205" s="90"/>
      <c r="AZ205" s="93"/>
      <c r="BA205" s="93"/>
      <c r="BB205" s="90"/>
      <c r="BC205" s="90"/>
      <c r="BD205" s="93"/>
      <c r="BE205" s="93"/>
      <c r="BF205" s="90"/>
      <c r="BG205" s="90"/>
      <c r="BH205" s="93"/>
      <c r="BI205" s="93"/>
      <c r="BJ205" s="91"/>
      <c r="BK205" s="91"/>
      <c r="BL205" s="91"/>
      <c r="BM205" s="91"/>
      <c r="BN205" s="91"/>
      <c r="BO205" s="91"/>
      <c r="BP205" s="91"/>
      <c r="BQ205" s="91"/>
      <c r="BR205" s="91"/>
    </row>
    <row r="206" spans="11:70">
      <c r="K206" s="88"/>
      <c r="L206" s="88"/>
      <c r="M206" s="88"/>
      <c r="N206" s="88"/>
      <c r="O206" s="88"/>
      <c r="P206" s="88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90"/>
      <c r="AI206" s="91"/>
      <c r="AJ206" s="92"/>
      <c r="AK206" s="91"/>
      <c r="AL206" s="92"/>
      <c r="AM206" s="91"/>
      <c r="AN206" s="91"/>
      <c r="AO206" s="90"/>
      <c r="AP206" s="90"/>
      <c r="AQ206" s="93"/>
      <c r="AR206" s="93"/>
      <c r="AS206" s="91"/>
      <c r="AT206" s="90"/>
      <c r="AU206" s="90"/>
      <c r="AV206" s="93"/>
      <c r="AW206" s="93"/>
      <c r="AX206" s="90"/>
      <c r="AY206" s="90"/>
      <c r="AZ206" s="93"/>
      <c r="BA206" s="93"/>
      <c r="BB206" s="90"/>
      <c r="BC206" s="90"/>
      <c r="BD206" s="93"/>
      <c r="BE206" s="93"/>
      <c r="BF206" s="90"/>
      <c r="BG206" s="90"/>
      <c r="BH206" s="93"/>
      <c r="BI206" s="93"/>
      <c r="BJ206" s="91"/>
      <c r="BK206" s="91"/>
      <c r="BL206" s="91"/>
      <c r="BM206" s="91"/>
      <c r="BN206" s="91"/>
      <c r="BO206" s="91"/>
      <c r="BP206" s="91"/>
      <c r="BQ206" s="91"/>
      <c r="BR206" s="91"/>
    </row>
    <row r="207" spans="11:70">
      <c r="K207" s="88"/>
      <c r="L207" s="88"/>
      <c r="M207" s="88"/>
      <c r="N207" s="88"/>
      <c r="O207" s="88"/>
      <c r="P207" s="88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90"/>
      <c r="AI207" s="91"/>
      <c r="AJ207" s="92"/>
      <c r="AK207" s="91"/>
      <c r="AL207" s="92"/>
      <c r="AM207" s="91"/>
      <c r="AN207" s="91"/>
      <c r="AO207" s="90"/>
      <c r="AP207" s="90"/>
      <c r="AQ207" s="93"/>
      <c r="AR207" s="93"/>
      <c r="AS207" s="91"/>
      <c r="AT207" s="90"/>
      <c r="AU207" s="90"/>
      <c r="AV207" s="93"/>
      <c r="AW207" s="93"/>
      <c r="AX207" s="90"/>
      <c r="AY207" s="90"/>
      <c r="AZ207" s="93"/>
      <c r="BA207" s="93"/>
      <c r="BB207" s="90"/>
      <c r="BC207" s="90"/>
      <c r="BD207" s="93"/>
      <c r="BE207" s="93"/>
      <c r="BF207" s="90"/>
      <c r="BG207" s="90"/>
      <c r="BH207" s="93"/>
      <c r="BI207" s="93"/>
      <c r="BJ207" s="91"/>
      <c r="BK207" s="91"/>
      <c r="BL207" s="91"/>
      <c r="BM207" s="91"/>
      <c r="BN207" s="91"/>
      <c r="BO207" s="91"/>
      <c r="BP207" s="91"/>
      <c r="BQ207" s="91"/>
      <c r="BR207" s="91"/>
    </row>
    <row r="208" spans="11:70">
      <c r="K208" s="88"/>
      <c r="L208" s="88"/>
      <c r="M208" s="88"/>
      <c r="N208" s="88"/>
      <c r="O208" s="88"/>
      <c r="P208" s="88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90"/>
      <c r="AI208" s="91"/>
      <c r="AJ208" s="92"/>
      <c r="AK208" s="91"/>
      <c r="AL208" s="92"/>
      <c r="AM208" s="91"/>
      <c r="AN208" s="91"/>
      <c r="AO208" s="90"/>
      <c r="AP208" s="90"/>
      <c r="AQ208" s="93"/>
      <c r="AR208" s="93"/>
      <c r="AS208" s="91"/>
      <c r="AT208" s="90"/>
      <c r="AU208" s="90"/>
      <c r="AV208" s="93"/>
      <c r="AW208" s="93"/>
      <c r="AX208" s="90"/>
      <c r="AY208" s="90"/>
      <c r="AZ208" s="93"/>
      <c r="BA208" s="93"/>
      <c r="BB208" s="90"/>
      <c r="BC208" s="90"/>
      <c r="BD208" s="93"/>
      <c r="BE208" s="93"/>
      <c r="BF208" s="90"/>
      <c r="BG208" s="90"/>
      <c r="BH208" s="93"/>
      <c r="BI208" s="93"/>
      <c r="BJ208" s="91"/>
      <c r="BK208" s="91"/>
      <c r="BL208" s="91"/>
      <c r="BM208" s="91"/>
      <c r="BN208" s="91"/>
      <c r="BO208" s="91"/>
      <c r="BP208" s="91"/>
      <c r="BQ208" s="91"/>
      <c r="BR208" s="91"/>
    </row>
    <row r="209" spans="11:70">
      <c r="K209" s="88"/>
      <c r="L209" s="88"/>
      <c r="M209" s="88"/>
      <c r="N209" s="88"/>
      <c r="O209" s="88"/>
      <c r="P209" s="88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90"/>
      <c r="AI209" s="91"/>
      <c r="AJ209" s="92"/>
      <c r="AK209" s="91"/>
      <c r="AL209" s="92"/>
      <c r="AM209" s="91"/>
      <c r="AN209" s="91"/>
      <c r="AO209" s="90"/>
      <c r="AP209" s="90"/>
      <c r="AQ209" s="93"/>
      <c r="AR209" s="93"/>
      <c r="AS209" s="91"/>
      <c r="AT209" s="90"/>
      <c r="AU209" s="90"/>
      <c r="AV209" s="93"/>
      <c r="AW209" s="93"/>
      <c r="AX209" s="90"/>
      <c r="AY209" s="90"/>
      <c r="AZ209" s="93"/>
      <c r="BA209" s="93"/>
      <c r="BB209" s="90"/>
      <c r="BC209" s="90"/>
      <c r="BD209" s="93"/>
      <c r="BE209" s="93"/>
      <c r="BF209" s="90"/>
      <c r="BG209" s="90"/>
      <c r="BH209" s="93"/>
      <c r="BI209" s="93"/>
      <c r="BJ209" s="91"/>
      <c r="BK209" s="91"/>
      <c r="BL209" s="91"/>
      <c r="BM209" s="91"/>
      <c r="BN209" s="91"/>
      <c r="BO209" s="91"/>
      <c r="BP209" s="91"/>
      <c r="BQ209" s="91"/>
      <c r="BR209" s="91"/>
    </row>
    <row r="210" spans="11:70">
      <c r="K210" s="88"/>
      <c r="L210" s="88"/>
      <c r="M210" s="88"/>
      <c r="N210" s="88"/>
      <c r="O210" s="88"/>
      <c r="P210" s="88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90"/>
      <c r="AI210" s="91"/>
      <c r="AJ210" s="92"/>
      <c r="AK210" s="91"/>
      <c r="AL210" s="92"/>
      <c r="AM210" s="91"/>
      <c r="AN210" s="91"/>
      <c r="AO210" s="90"/>
      <c r="AP210" s="90"/>
      <c r="AQ210" s="93"/>
      <c r="AR210" s="93"/>
      <c r="AS210" s="91"/>
      <c r="AT210" s="90"/>
      <c r="AU210" s="90"/>
      <c r="AV210" s="93"/>
      <c r="AW210" s="93"/>
      <c r="AX210" s="90"/>
      <c r="AY210" s="90"/>
      <c r="AZ210" s="93"/>
      <c r="BA210" s="93"/>
      <c r="BB210" s="90"/>
      <c r="BC210" s="90"/>
      <c r="BD210" s="93"/>
      <c r="BE210" s="93"/>
      <c r="BF210" s="90"/>
      <c r="BG210" s="90"/>
      <c r="BH210" s="93"/>
      <c r="BI210" s="93"/>
      <c r="BJ210" s="91"/>
      <c r="BK210" s="91"/>
      <c r="BL210" s="91"/>
      <c r="BM210" s="91"/>
      <c r="BN210" s="91"/>
      <c r="BO210" s="91"/>
      <c r="BP210" s="91"/>
      <c r="BQ210" s="91"/>
      <c r="BR210" s="91"/>
    </row>
    <row r="211" spans="11:70">
      <c r="K211" s="88"/>
      <c r="L211" s="88"/>
      <c r="M211" s="88"/>
      <c r="N211" s="88"/>
      <c r="O211" s="88"/>
      <c r="P211" s="88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90"/>
      <c r="AI211" s="91"/>
      <c r="AJ211" s="92"/>
      <c r="AK211" s="91"/>
      <c r="AL211" s="92"/>
      <c r="AM211" s="91"/>
      <c r="AN211" s="91"/>
      <c r="AO211" s="90"/>
      <c r="AP211" s="90"/>
      <c r="AQ211" s="93"/>
      <c r="AR211" s="93"/>
      <c r="AS211" s="91"/>
      <c r="AT211" s="90"/>
      <c r="AU211" s="90"/>
      <c r="AV211" s="93"/>
      <c r="AW211" s="93"/>
      <c r="AX211" s="90"/>
      <c r="AY211" s="90"/>
      <c r="AZ211" s="93"/>
      <c r="BA211" s="93"/>
      <c r="BB211" s="90"/>
      <c r="BC211" s="90"/>
      <c r="BD211" s="93"/>
      <c r="BE211" s="93"/>
      <c r="BF211" s="90"/>
      <c r="BG211" s="90"/>
      <c r="BH211" s="93"/>
      <c r="BI211" s="93"/>
      <c r="BJ211" s="91"/>
      <c r="BK211" s="91"/>
      <c r="BL211" s="91"/>
      <c r="BM211" s="91"/>
      <c r="BN211" s="91"/>
      <c r="BO211" s="91"/>
      <c r="BP211" s="91"/>
      <c r="BQ211" s="91"/>
      <c r="BR211" s="91"/>
    </row>
    <row r="212" spans="11:70">
      <c r="K212" s="88"/>
      <c r="L212" s="88"/>
      <c r="M212" s="88"/>
      <c r="N212" s="88"/>
      <c r="O212" s="88"/>
      <c r="P212" s="88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90"/>
      <c r="AI212" s="91"/>
      <c r="AJ212" s="92"/>
      <c r="AK212" s="91"/>
      <c r="AL212" s="92"/>
      <c r="AM212" s="91"/>
      <c r="AN212" s="91"/>
      <c r="AO212" s="90"/>
      <c r="AP212" s="90"/>
      <c r="AQ212" s="93"/>
      <c r="AR212" s="93"/>
      <c r="AS212" s="91"/>
      <c r="AT212" s="90"/>
      <c r="AU212" s="90"/>
      <c r="AV212" s="93"/>
      <c r="AW212" s="93"/>
      <c r="AX212" s="90"/>
      <c r="AY212" s="90"/>
      <c r="AZ212" s="93"/>
      <c r="BA212" s="93"/>
      <c r="BB212" s="90"/>
      <c r="BC212" s="90"/>
      <c r="BD212" s="93"/>
      <c r="BE212" s="93"/>
      <c r="BF212" s="90"/>
      <c r="BG212" s="90"/>
      <c r="BH212" s="93"/>
      <c r="BI212" s="93"/>
      <c r="BJ212" s="91"/>
      <c r="BK212" s="91"/>
      <c r="BL212" s="91"/>
      <c r="BM212" s="91"/>
      <c r="BN212" s="91"/>
      <c r="BO212" s="91"/>
      <c r="BP212" s="91"/>
      <c r="BQ212" s="91"/>
      <c r="BR212" s="91"/>
    </row>
    <row r="213" spans="11:70">
      <c r="K213" s="88"/>
      <c r="L213" s="88"/>
      <c r="M213" s="88"/>
      <c r="N213" s="88"/>
      <c r="O213" s="88"/>
      <c r="P213" s="88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90"/>
      <c r="AI213" s="91"/>
      <c r="AJ213" s="92"/>
      <c r="AK213" s="91"/>
      <c r="AL213" s="92"/>
      <c r="AM213" s="91"/>
      <c r="AN213" s="91"/>
      <c r="AO213" s="90"/>
      <c r="AP213" s="90"/>
      <c r="AQ213" s="93"/>
      <c r="AR213" s="93"/>
      <c r="AS213" s="91"/>
      <c r="AT213" s="90"/>
      <c r="AU213" s="90"/>
      <c r="AV213" s="93"/>
      <c r="AW213" s="93"/>
      <c r="AX213" s="90"/>
      <c r="AY213" s="90"/>
      <c r="AZ213" s="93"/>
      <c r="BA213" s="93"/>
      <c r="BB213" s="90"/>
      <c r="BC213" s="90"/>
      <c r="BD213" s="93"/>
      <c r="BE213" s="93"/>
      <c r="BF213" s="90"/>
      <c r="BG213" s="90"/>
      <c r="BH213" s="93"/>
      <c r="BI213" s="93"/>
      <c r="BJ213" s="91"/>
      <c r="BK213" s="91"/>
      <c r="BL213" s="91"/>
      <c r="BM213" s="91"/>
      <c r="BN213" s="91"/>
      <c r="BO213" s="91"/>
      <c r="BP213" s="91"/>
      <c r="BQ213" s="91"/>
      <c r="BR213" s="91"/>
    </row>
    <row r="214" spans="11:70">
      <c r="K214" s="88"/>
      <c r="L214" s="88"/>
      <c r="M214" s="88"/>
      <c r="N214" s="88"/>
      <c r="O214" s="88"/>
      <c r="P214" s="88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90"/>
      <c r="AI214" s="91"/>
      <c r="AJ214" s="92"/>
      <c r="AK214" s="91"/>
      <c r="AL214" s="92"/>
      <c r="AM214" s="91"/>
      <c r="AN214" s="91"/>
      <c r="AO214" s="90"/>
      <c r="AP214" s="90"/>
      <c r="AQ214" s="93"/>
      <c r="AR214" s="93"/>
      <c r="AS214" s="91"/>
      <c r="AT214" s="90"/>
      <c r="AU214" s="90"/>
      <c r="AV214" s="93"/>
      <c r="AW214" s="93"/>
      <c r="AX214" s="90"/>
      <c r="AY214" s="90"/>
      <c r="AZ214" s="93"/>
      <c r="BA214" s="93"/>
      <c r="BB214" s="90"/>
      <c r="BC214" s="90"/>
      <c r="BD214" s="93"/>
      <c r="BE214" s="93"/>
      <c r="BF214" s="90"/>
      <c r="BG214" s="90"/>
      <c r="BH214" s="93"/>
      <c r="BI214" s="93"/>
      <c r="BJ214" s="91"/>
      <c r="BK214" s="91"/>
      <c r="BL214" s="91"/>
      <c r="BM214" s="91"/>
      <c r="BN214" s="91"/>
      <c r="BO214" s="91"/>
      <c r="BP214" s="91"/>
      <c r="BQ214" s="91"/>
      <c r="BR214" s="91"/>
    </row>
    <row r="215" spans="11:70">
      <c r="K215" s="88"/>
      <c r="L215" s="88"/>
      <c r="M215" s="88"/>
      <c r="N215" s="88"/>
      <c r="O215" s="88"/>
      <c r="P215" s="88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90"/>
      <c r="AI215" s="91"/>
      <c r="AJ215" s="92"/>
      <c r="AK215" s="91"/>
      <c r="AL215" s="92"/>
      <c r="AM215" s="91"/>
      <c r="AN215" s="91"/>
      <c r="AO215" s="90"/>
      <c r="AP215" s="90"/>
      <c r="AQ215" s="93"/>
      <c r="AR215" s="93"/>
      <c r="AS215" s="91"/>
      <c r="AT215" s="90"/>
      <c r="AU215" s="90"/>
      <c r="AV215" s="93"/>
      <c r="AW215" s="93"/>
      <c r="AX215" s="90"/>
      <c r="AY215" s="90"/>
      <c r="AZ215" s="93"/>
      <c r="BA215" s="93"/>
      <c r="BB215" s="90"/>
      <c r="BC215" s="90"/>
      <c r="BD215" s="93"/>
      <c r="BE215" s="93"/>
      <c r="BF215" s="90"/>
      <c r="BG215" s="90"/>
      <c r="BH215" s="93"/>
      <c r="BI215" s="93"/>
      <c r="BJ215" s="91"/>
      <c r="BK215" s="91"/>
      <c r="BL215" s="91"/>
      <c r="BM215" s="91"/>
      <c r="BN215" s="91"/>
      <c r="BO215" s="91"/>
      <c r="BP215" s="91"/>
      <c r="BQ215" s="91"/>
      <c r="BR215" s="91"/>
    </row>
    <row r="216" spans="11:70">
      <c r="K216" s="88"/>
      <c r="L216" s="88"/>
      <c r="M216" s="88"/>
      <c r="N216" s="88"/>
      <c r="O216" s="88"/>
      <c r="P216" s="88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90"/>
      <c r="AI216" s="91"/>
      <c r="AJ216" s="92"/>
      <c r="AK216" s="91"/>
      <c r="AL216" s="92"/>
      <c r="AM216" s="91"/>
      <c r="AN216" s="91"/>
      <c r="AO216" s="90"/>
      <c r="AP216" s="90"/>
      <c r="AQ216" s="93"/>
      <c r="AR216" s="93"/>
      <c r="AS216" s="91"/>
      <c r="AT216" s="90"/>
      <c r="AU216" s="90"/>
      <c r="AV216" s="93"/>
      <c r="AW216" s="93"/>
      <c r="AX216" s="90"/>
      <c r="AY216" s="90"/>
      <c r="AZ216" s="93"/>
      <c r="BA216" s="93"/>
      <c r="BB216" s="90"/>
      <c r="BC216" s="90"/>
      <c r="BD216" s="93"/>
      <c r="BE216" s="93"/>
      <c r="BF216" s="90"/>
      <c r="BG216" s="90"/>
      <c r="BH216" s="93"/>
      <c r="BI216" s="93"/>
      <c r="BJ216" s="91"/>
      <c r="BK216" s="91"/>
      <c r="BL216" s="91"/>
      <c r="BM216" s="91"/>
      <c r="BN216" s="91"/>
      <c r="BO216" s="91"/>
      <c r="BP216" s="91"/>
      <c r="BQ216" s="91"/>
      <c r="BR216" s="91"/>
    </row>
    <row r="217" spans="11:70">
      <c r="K217" s="88"/>
      <c r="L217" s="88"/>
      <c r="M217" s="88"/>
      <c r="N217" s="88"/>
      <c r="O217" s="88"/>
      <c r="P217" s="88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90"/>
      <c r="AI217" s="91"/>
      <c r="AJ217" s="92"/>
      <c r="AK217" s="91"/>
      <c r="AL217" s="92"/>
      <c r="AM217" s="91"/>
      <c r="AN217" s="91"/>
      <c r="AO217" s="90"/>
      <c r="AP217" s="90"/>
      <c r="AQ217" s="93"/>
      <c r="AR217" s="93"/>
      <c r="AS217" s="91"/>
      <c r="AT217" s="90"/>
      <c r="AU217" s="90"/>
      <c r="AV217" s="93"/>
      <c r="AW217" s="93"/>
      <c r="AX217" s="90"/>
      <c r="AY217" s="90"/>
      <c r="AZ217" s="93"/>
      <c r="BA217" s="93"/>
      <c r="BB217" s="90"/>
      <c r="BC217" s="90"/>
      <c r="BD217" s="93"/>
      <c r="BE217" s="93"/>
      <c r="BF217" s="90"/>
      <c r="BG217" s="90"/>
      <c r="BH217" s="93"/>
      <c r="BI217" s="93"/>
      <c r="BJ217" s="91"/>
      <c r="BK217" s="91"/>
      <c r="BL217" s="91"/>
      <c r="BM217" s="91"/>
      <c r="BN217" s="91"/>
      <c r="BO217" s="91"/>
      <c r="BP217" s="91"/>
      <c r="BQ217" s="91"/>
      <c r="BR217" s="91"/>
    </row>
    <row r="218" spans="11:70">
      <c r="K218" s="88"/>
      <c r="L218" s="88"/>
      <c r="M218" s="88"/>
      <c r="N218" s="88"/>
      <c r="O218" s="88"/>
      <c r="P218" s="88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90"/>
      <c r="AI218" s="91"/>
      <c r="AJ218" s="92"/>
      <c r="AK218" s="91"/>
      <c r="AL218" s="92"/>
      <c r="AM218" s="91"/>
      <c r="AN218" s="91"/>
      <c r="AO218" s="90"/>
      <c r="AP218" s="90"/>
      <c r="AQ218" s="93"/>
      <c r="AR218" s="93"/>
      <c r="AS218" s="91"/>
      <c r="AT218" s="90"/>
      <c r="AU218" s="90"/>
      <c r="AV218" s="93"/>
      <c r="AW218" s="93"/>
      <c r="AX218" s="90"/>
      <c r="AY218" s="90"/>
      <c r="AZ218" s="93"/>
      <c r="BA218" s="93"/>
      <c r="BB218" s="90"/>
      <c r="BC218" s="90"/>
      <c r="BD218" s="93"/>
      <c r="BE218" s="93"/>
      <c r="BF218" s="90"/>
      <c r="BG218" s="90"/>
      <c r="BH218" s="93"/>
      <c r="BI218" s="93"/>
      <c r="BJ218" s="91"/>
      <c r="BK218" s="91"/>
      <c r="BL218" s="91"/>
      <c r="BM218" s="91"/>
      <c r="BN218" s="91"/>
      <c r="BO218" s="91"/>
      <c r="BP218" s="91"/>
      <c r="BQ218" s="91"/>
      <c r="BR218" s="91"/>
    </row>
    <row r="219" spans="11:70">
      <c r="K219" s="88"/>
      <c r="L219" s="88"/>
      <c r="M219" s="88"/>
      <c r="N219" s="88"/>
      <c r="O219" s="88"/>
      <c r="P219" s="88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90"/>
      <c r="AI219" s="91"/>
      <c r="AJ219" s="92"/>
      <c r="AK219" s="91"/>
      <c r="AL219" s="92"/>
      <c r="AM219" s="91"/>
      <c r="AN219" s="91"/>
      <c r="AO219" s="90"/>
      <c r="AP219" s="90"/>
      <c r="AQ219" s="93"/>
      <c r="AR219" s="93"/>
      <c r="AS219" s="91"/>
      <c r="AT219" s="90"/>
      <c r="AU219" s="90"/>
      <c r="AV219" s="93"/>
      <c r="AW219" s="93"/>
      <c r="AX219" s="90"/>
      <c r="AY219" s="90"/>
      <c r="AZ219" s="93"/>
      <c r="BA219" s="93"/>
      <c r="BB219" s="90"/>
      <c r="BC219" s="90"/>
      <c r="BD219" s="93"/>
      <c r="BE219" s="93"/>
      <c r="BF219" s="90"/>
      <c r="BG219" s="90"/>
      <c r="BH219" s="93"/>
      <c r="BI219" s="93"/>
      <c r="BJ219" s="91"/>
      <c r="BK219" s="91"/>
      <c r="BL219" s="91"/>
      <c r="BM219" s="91"/>
      <c r="BN219" s="91"/>
      <c r="BO219" s="91"/>
      <c r="BP219" s="91"/>
      <c r="BQ219" s="91"/>
      <c r="BR219" s="91"/>
    </row>
    <row r="220" spans="11:70">
      <c r="K220" s="88"/>
      <c r="L220" s="88"/>
      <c r="M220" s="88"/>
      <c r="N220" s="88"/>
      <c r="O220" s="88"/>
      <c r="P220" s="88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90"/>
      <c r="AI220" s="91"/>
      <c r="AJ220" s="92"/>
      <c r="AK220" s="91"/>
      <c r="AL220" s="92"/>
      <c r="AM220" s="91"/>
      <c r="AN220" s="91"/>
      <c r="AO220" s="90"/>
      <c r="AP220" s="90"/>
      <c r="AQ220" s="93"/>
      <c r="AR220" s="93"/>
      <c r="AS220" s="91"/>
      <c r="AT220" s="90"/>
      <c r="AU220" s="90"/>
      <c r="AV220" s="93"/>
      <c r="AW220" s="93"/>
      <c r="AX220" s="90"/>
      <c r="AY220" s="90"/>
      <c r="AZ220" s="93"/>
      <c r="BA220" s="93"/>
      <c r="BB220" s="90"/>
      <c r="BC220" s="90"/>
      <c r="BD220" s="93"/>
      <c r="BE220" s="93"/>
      <c r="BF220" s="90"/>
      <c r="BG220" s="90"/>
      <c r="BH220" s="93"/>
      <c r="BI220" s="93"/>
      <c r="BJ220" s="91"/>
      <c r="BK220" s="91"/>
      <c r="BL220" s="91"/>
      <c r="BM220" s="91"/>
      <c r="BN220" s="91"/>
      <c r="BO220" s="91"/>
      <c r="BP220" s="91"/>
      <c r="BQ220" s="91"/>
      <c r="BR220" s="91"/>
    </row>
    <row r="221" spans="11:70">
      <c r="K221" s="88"/>
      <c r="L221" s="88"/>
      <c r="M221" s="88"/>
      <c r="N221" s="88"/>
      <c r="O221" s="88"/>
      <c r="P221" s="88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90"/>
      <c r="AI221" s="91"/>
      <c r="AJ221" s="92"/>
      <c r="AK221" s="91"/>
      <c r="AL221" s="92"/>
      <c r="AM221" s="91"/>
      <c r="AN221" s="91"/>
      <c r="AO221" s="90"/>
      <c r="AP221" s="90"/>
      <c r="AQ221" s="93"/>
      <c r="AR221" s="93"/>
      <c r="AS221" s="91"/>
      <c r="AT221" s="90"/>
      <c r="AU221" s="90"/>
      <c r="AV221" s="93"/>
      <c r="AW221" s="93"/>
      <c r="AX221" s="90"/>
      <c r="AY221" s="90"/>
      <c r="AZ221" s="93"/>
      <c r="BA221" s="93"/>
      <c r="BB221" s="90"/>
      <c r="BC221" s="90"/>
      <c r="BD221" s="93"/>
      <c r="BE221" s="93"/>
      <c r="BF221" s="90"/>
      <c r="BG221" s="90"/>
      <c r="BH221" s="93"/>
      <c r="BI221" s="93"/>
      <c r="BJ221" s="91"/>
      <c r="BK221" s="91"/>
      <c r="BL221" s="91"/>
      <c r="BM221" s="91"/>
      <c r="BN221" s="91"/>
      <c r="BO221" s="91"/>
      <c r="BP221" s="91"/>
      <c r="BQ221" s="91"/>
      <c r="BR221" s="91"/>
    </row>
    <row r="222" spans="11:70">
      <c r="K222" s="88"/>
      <c r="L222" s="88"/>
      <c r="M222" s="88"/>
      <c r="N222" s="88"/>
      <c r="O222" s="88"/>
      <c r="P222" s="88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90"/>
      <c r="AI222" s="91"/>
      <c r="AJ222" s="92"/>
      <c r="AK222" s="91"/>
      <c r="AL222" s="92"/>
      <c r="AM222" s="91"/>
      <c r="AN222" s="91"/>
      <c r="AO222" s="90"/>
      <c r="AP222" s="90"/>
      <c r="AQ222" s="93"/>
      <c r="AR222" s="93"/>
      <c r="AS222" s="91"/>
      <c r="AT222" s="90"/>
      <c r="AU222" s="90"/>
      <c r="AV222" s="93"/>
      <c r="AW222" s="93"/>
      <c r="AX222" s="90"/>
      <c r="AY222" s="90"/>
      <c r="AZ222" s="93"/>
      <c r="BA222" s="93"/>
      <c r="BB222" s="90"/>
      <c r="BC222" s="90"/>
      <c r="BD222" s="93"/>
      <c r="BE222" s="93"/>
      <c r="BF222" s="90"/>
      <c r="BG222" s="90"/>
      <c r="BH222" s="93"/>
      <c r="BI222" s="93"/>
      <c r="BJ222" s="91"/>
      <c r="BK222" s="91"/>
      <c r="BL222" s="91"/>
      <c r="BM222" s="91"/>
      <c r="BN222" s="91"/>
      <c r="BO222" s="91"/>
      <c r="BP222" s="91"/>
      <c r="BQ222" s="91"/>
      <c r="BR222" s="91"/>
    </row>
    <row r="223" spans="11:70">
      <c r="K223" s="88"/>
      <c r="L223" s="88"/>
      <c r="M223" s="88"/>
      <c r="N223" s="88"/>
      <c r="O223" s="88"/>
      <c r="P223" s="88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90"/>
      <c r="AI223" s="91"/>
      <c r="AJ223" s="92"/>
      <c r="AK223" s="91"/>
      <c r="AL223" s="92"/>
      <c r="AM223" s="91"/>
      <c r="AN223" s="91"/>
      <c r="AO223" s="90"/>
      <c r="AP223" s="90"/>
      <c r="AQ223" s="93"/>
      <c r="AR223" s="93"/>
      <c r="AS223" s="91"/>
      <c r="AT223" s="90"/>
      <c r="AU223" s="90"/>
      <c r="AV223" s="93"/>
      <c r="AW223" s="93"/>
      <c r="AX223" s="90"/>
      <c r="AY223" s="90"/>
      <c r="AZ223" s="93"/>
      <c r="BA223" s="93"/>
      <c r="BB223" s="90"/>
      <c r="BC223" s="90"/>
      <c r="BD223" s="93"/>
      <c r="BE223" s="93"/>
      <c r="BF223" s="90"/>
      <c r="BG223" s="90"/>
      <c r="BH223" s="93"/>
      <c r="BI223" s="93"/>
      <c r="BJ223" s="91"/>
      <c r="BK223" s="91"/>
      <c r="BL223" s="91"/>
      <c r="BM223" s="91"/>
      <c r="BN223" s="91"/>
      <c r="BO223" s="91"/>
      <c r="BP223" s="91"/>
      <c r="BQ223" s="91"/>
      <c r="BR223" s="91"/>
    </row>
    <row r="224" spans="11:70">
      <c r="K224" s="88"/>
      <c r="L224" s="88"/>
      <c r="M224" s="88"/>
      <c r="N224" s="88"/>
      <c r="O224" s="88"/>
      <c r="P224" s="88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90"/>
      <c r="AI224" s="91"/>
      <c r="AJ224" s="92"/>
      <c r="AK224" s="91"/>
      <c r="AL224" s="92"/>
      <c r="AM224" s="91"/>
      <c r="AN224" s="91"/>
      <c r="AO224" s="90"/>
      <c r="AP224" s="90"/>
      <c r="AQ224" s="93"/>
      <c r="AR224" s="93"/>
      <c r="AS224" s="91"/>
      <c r="AT224" s="90"/>
      <c r="AU224" s="90"/>
      <c r="AV224" s="93"/>
      <c r="AW224" s="93"/>
      <c r="AX224" s="90"/>
      <c r="AY224" s="90"/>
      <c r="AZ224" s="93"/>
      <c r="BA224" s="93"/>
      <c r="BB224" s="90"/>
      <c r="BC224" s="90"/>
      <c r="BD224" s="93"/>
      <c r="BE224" s="93"/>
      <c r="BF224" s="90"/>
      <c r="BG224" s="90"/>
      <c r="BH224" s="93"/>
      <c r="BI224" s="93"/>
      <c r="BJ224" s="91"/>
      <c r="BK224" s="91"/>
      <c r="BL224" s="91"/>
      <c r="BM224" s="91"/>
      <c r="BN224" s="91"/>
      <c r="BO224" s="91"/>
      <c r="BP224" s="91"/>
      <c r="BQ224" s="91"/>
      <c r="BR224" s="91"/>
    </row>
    <row r="225" spans="11:70">
      <c r="K225" s="88"/>
      <c r="L225" s="88"/>
      <c r="M225" s="88"/>
      <c r="N225" s="88"/>
      <c r="O225" s="88"/>
      <c r="P225" s="88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90"/>
      <c r="AI225" s="91"/>
      <c r="AJ225" s="92"/>
      <c r="AK225" s="91"/>
      <c r="AL225" s="92"/>
      <c r="AM225" s="91"/>
      <c r="AN225" s="91"/>
      <c r="AO225" s="90"/>
      <c r="AP225" s="90"/>
      <c r="AQ225" s="93"/>
      <c r="AR225" s="93"/>
      <c r="AS225" s="91"/>
      <c r="AT225" s="90"/>
      <c r="AU225" s="90"/>
      <c r="AV225" s="93"/>
      <c r="AW225" s="93"/>
      <c r="AX225" s="90"/>
      <c r="AY225" s="90"/>
      <c r="AZ225" s="93"/>
      <c r="BA225" s="93"/>
      <c r="BB225" s="90"/>
      <c r="BC225" s="90"/>
      <c r="BD225" s="93"/>
      <c r="BE225" s="93"/>
      <c r="BF225" s="90"/>
      <c r="BG225" s="90"/>
      <c r="BH225" s="93"/>
      <c r="BI225" s="93"/>
      <c r="BJ225" s="91"/>
      <c r="BK225" s="91"/>
      <c r="BL225" s="91"/>
      <c r="BM225" s="91"/>
      <c r="BN225" s="91"/>
      <c r="BO225" s="91"/>
      <c r="BP225" s="91"/>
      <c r="BQ225" s="91"/>
      <c r="BR225" s="91"/>
    </row>
    <row r="226" spans="11:70">
      <c r="K226" s="88"/>
      <c r="L226" s="88"/>
      <c r="M226" s="88"/>
      <c r="N226" s="88"/>
      <c r="O226" s="88"/>
      <c r="P226" s="88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90"/>
      <c r="AI226" s="91"/>
      <c r="AJ226" s="92"/>
      <c r="AK226" s="91"/>
      <c r="AL226" s="92"/>
      <c r="AM226" s="91"/>
      <c r="AN226" s="91"/>
      <c r="AO226" s="90"/>
      <c r="AP226" s="90"/>
      <c r="AQ226" s="93"/>
      <c r="AR226" s="93"/>
      <c r="AS226" s="91"/>
      <c r="AT226" s="90"/>
      <c r="AU226" s="90"/>
      <c r="AV226" s="93"/>
      <c r="AW226" s="93"/>
      <c r="AX226" s="90"/>
      <c r="AY226" s="90"/>
      <c r="AZ226" s="93"/>
      <c r="BA226" s="93"/>
      <c r="BB226" s="90"/>
      <c r="BC226" s="90"/>
      <c r="BD226" s="93"/>
      <c r="BE226" s="93"/>
      <c r="BF226" s="90"/>
      <c r="BG226" s="90"/>
      <c r="BH226" s="93"/>
      <c r="BI226" s="93"/>
      <c r="BJ226" s="91"/>
      <c r="BK226" s="91"/>
      <c r="BL226" s="91"/>
      <c r="BM226" s="91"/>
      <c r="BN226" s="91"/>
      <c r="BO226" s="91"/>
      <c r="BP226" s="91"/>
      <c r="BQ226" s="91"/>
      <c r="BR226" s="91"/>
    </row>
    <row r="227" spans="11:70">
      <c r="K227" s="88"/>
      <c r="L227" s="88"/>
      <c r="M227" s="88"/>
      <c r="N227" s="88"/>
      <c r="O227" s="88"/>
      <c r="P227" s="88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90"/>
      <c r="AI227" s="91"/>
      <c r="AJ227" s="92"/>
      <c r="AK227" s="91"/>
      <c r="AL227" s="92"/>
      <c r="AM227" s="91"/>
      <c r="AN227" s="91"/>
      <c r="AO227" s="90"/>
      <c r="AP227" s="90"/>
      <c r="AQ227" s="93"/>
      <c r="AR227" s="93"/>
      <c r="AS227" s="91"/>
      <c r="AT227" s="90"/>
      <c r="AU227" s="90"/>
      <c r="AV227" s="93"/>
      <c r="AW227" s="93"/>
      <c r="AX227" s="90"/>
      <c r="AY227" s="90"/>
      <c r="AZ227" s="93"/>
      <c r="BA227" s="93"/>
      <c r="BB227" s="90"/>
      <c r="BC227" s="90"/>
      <c r="BD227" s="93"/>
      <c r="BE227" s="93"/>
      <c r="BF227" s="90"/>
      <c r="BG227" s="90"/>
      <c r="BH227" s="93"/>
      <c r="BI227" s="93"/>
      <c r="BJ227" s="91"/>
      <c r="BK227" s="91"/>
      <c r="BL227" s="91"/>
      <c r="BM227" s="91"/>
      <c r="BN227" s="91"/>
      <c r="BO227" s="91"/>
      <c r="BP227" s="91"/>
      <c r="BQ227" s="91"/>
      <c r="BR227" s="91"/>
    </row>
    <row r="228" spans="11:70">
      <c r="K228" s="88"/>
      <c r="L228" s="88"/>
      <c r="M228" s="88"/>
      <c r="N228" s="88"/>
      <c r="O228" s="88"/>
      <c r="P228" s="88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90"/>
      <c r="AI228" s="91"/>
      <c r="AJ228" s="92"/>
      <c r="AK228" s="91"/>
      <c r="AL228" s="92"/>
      <c r="AM228" s="91"/>
      <c r="AN228" s="91"/>
      <c r="AO228" s="90"/>
      <c r="AP228" s="90"/>
      <c r="AQ228" s="93"/>
      <c r="AR228" s="93"/>
      <c r="AS228" s="91"/>
      <c r="AT228" s="90"/>
      <c r="AU228" s="90"/>
      <c r="AV228" s="93"/>
      <c r="AW228" s="93"/>
      <c r="AX228" s="90"/>
      <c r="AY228" s="90"/>
      <c r="AZ228" s="93"/>
      <c r="BA228" s="93"/>
      <c r="BB228" s="90"/>
      <c r="BC228" s="90"/>
      <c r="BD228" s="93"/>
      <c r="BE228" s="93"/>
      <c r="BF228" s="90"/>
      <c r="BG228" s="90"/>
      <c r="BH228" s="93"/>
      <c r="BI228" s="93"/>
      <c r="BJ228" s="91"/>
      <c r="BK228" s="91"/>
      <c r="BL228" s="91"/>
      <c r="BM228" s="91"/>
      <c r="BN228" s="91"/>
      <c r="BO228" s="91"/>
      <c r="BP228" s="91"/>
      <c r="BQ228" s="91"/>
      <c r="BR228" s="91"/>
    </row>
    <row r="229" spans="11:70">
      <c r="K229" s="88"/>
      <c r="L229" s="88"/>
      <c r="M229" s="88"/>
      <c r="N229" s="88"/>
      <c r="O229" s="88"/>
      <c r="P229" s="88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90"/>
      <c r="AI229" s="91"/>
      <c r="AJ229" s="92"/>
      <c r="AK229" s="91"/>
      <c r="AL229" s="92"/>
      <c r="AM229" s="91"/>
      <c r="AN229" s="91"/>
      <c r="AO229" s="90"/>
      <c r="AP229" s="90"/>
      <c r="AQ229" s="93"/>
      <c r="AR229" s="93"/>
      <c r="AS229" s="91"/>
      <c r="AT229" s="90"/>
      <c r="AU229" s="90"/>
      <c r="AV229" s="93"/>
      <c r="AW229" s="93"/>
      <c r="AX229" s="90"/>
      <c r="AY229" s="90"/>
      <c r="AZ229" s="93"/>
      <c r="BA229" s="93"/>
      <c r="BB229" s="90"/>
      <c r="BC229" s="90"/>
      <c r="BD229" s="93"/>
      <c r="BE229" s="93"/>
      <c r="BF229" s="90"/>
      <c r="BG229" s="90"/>
      <c r="BH229" s="93"/>
      <c r="BI229" s="93"/>
      <c r="BJ229" s="91"/>
      <c r="BK229" s="91"/>
      <c r="BL229" s="91"/>
      <c r="BM229" s="91"/>
      <c r="BN229" s="91"/>
      <c r="BO229" s="91"/>
      <c r="BP229" s="91"/>
      <c r="BQ229" s="91"/>
      <c r="BR229" s="91"/>
    </row>
    <row r="230" spans="11:70">
      <c r="K230" s="88"/>
      <c r="L230" s="88"/>
      <c r="M230" s="88"/>
      <c r="N230" s="88"/>
      <c r="O230" s="88"/>
      <c r="P230" s="88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1"/>
      <c r="AJ230" s="92"/>
      <c r="AK230" s="91"/>
      <c r="AL230" s="92"/>
      <c r="AM230" s="91"/>
      <c r="AN230" s="91"/>
      <c r="AO230" s="90"/>
      <c r="AP230" s="90"/>
      <c r="AQ230" s="93"/>
      <c r="AR230" s="93"/>
      <c r="AS230" s="91"/>
      <c r="AT230" s="90"/>
      <c r="AU230" s="90"/>
      <c r="AV230" s="93"/>
      <c r="AW230" s="93"/>
      <c r="AX230" s="90"/>
      <c r="AY230" s="90"/>
      <c r="AZ230" s="93"/>
      <c r="BA230" s="93"/>
      <c r="BB230" s="90"/>
      <c r="BC230" s="90"/>
      <c r="BD230" s="93"/>
      <c r="BE230" s="93"/>
      <c r="BF230" s="90"/>
      <c r="BG230" s="90"/>
      <c r="BH230" s="93"/>
      <c r="BI230" s="93"/>
      <c r="BJ230" s="91"/>
      <c r="BK230" s="91"/>
      <c r="BL230" s="91"/>
      <c r="BM230" s="91"/>
      <c r="BN230" s="91"/>
      <c r="BO230" s="91"/>
      <c r="BP230" s="91"/>
      <c r="BQ230" s="91"/>
      <c r="BR230" s="91"/>
    </row>
    <row r="231" spans="11:70">
      <c r="K231" s="88"/>
      <c r="L231" s="88"/>
      <c r="M231" s="88"/>
      <c r="N231" s="88"/>
      <c r="O231" s="88"/>
      <c r="P231" s="88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1"/>
      <c r="AJ231" s="92"/>
      <c r="AK231" s="91"/>
      <c r="AL231" s="92"/>
      <c r="AM231" s="91"/>
      <c r="AN231" s="91"/>
      <c r="AO231" s="90"/>
      <c r="AP231" s="90"/>
      <c r="AQ231" s="93"/>
      <c r="AR231" s="93"/>
      <c r="AS231" s="91"/>
      <c r="AT231" s="90"/>
      <c r="AU231" s="90"/>
      <c r="AV231" s="93"/>
      <c r="AW231" s="93"/>
      <c r="AX231" s="90"/>
      <c r="AY231" s="90"/>
      <c r="AZ231" s="93"/>
      <c r="BA231" s="93"/>
      <c r="BB231" s="90"/>
      <c r="BC231" s="90"/>
      <c r="BD231" s="93"/>
      <c r="BE231" s="93"/>
      <c r="BF231" s="90"/>
      <c r="BG231" s="90"/>
      <c r="BH231" s="93"/>
      <c r="BI231" s="93"/>
      <c r="BJ231" s="91"/>
      <c r="BK231" s="91"/>
      <c r="BL231" s="91"/>
      <c r="BM231" s="91"/>
      <c r="BN231" s="91"/>
      <c r="BO231" s="91"/>
      <c r="BP231" s="91"/>
      <c r="BQ231" s="91"/>
      <c r="BR231" s="91"/>
    </row>
    <row r="232" spans="11:70">
      <c r="K232" s="88"/>
      <c r="L232" s="88"/>
      <c r="M232" s="88"/>
      <c r="N232" s="88"/>
      <c r="O232" s="88"/>
      <c r="P232" s="88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90"/>
      <c r="AI232" s="91"/>
      <c r="AJ232" s="92"/>
      <c r="AK232" s="91"/>
      <c r="AL232" s="92"/>
      <c r="AM232" s="91"/>
      <c r="AN232" s="91"/>
      <c r="AO232" s="90"/>
      <c r="AP232" s="90"/>
      <c r="AQ232" s="93"/>
      <c r="AR232" s="93"/>
      <c r="AS232" s="91"/>
      <c r="AT232" s="90"/>
      <c r="AU232" s="90"/>
      <c r="AV232" s="93"/>
      <c r="AW232" s="93"/>
      <c r="AX232" s="90"/>
      <c r="AY232" s="90"/>
      <c r="AZ232" s="93"/>
      <c r="BA232" s="93"/>
      <c r="BB232" s="90"/>
      <c r="BC232" s="90"/>
      <c r="BD232" s="93"/>
      <c r="BE232" s="93"/>
      <c r="BF232" s="90"/>
      <c r="BG232" s="90"/>
      <c r="BH232" s="93"/>
      <c r="BI232" s="93"/>
      <c r="BJ232" s="91"/>
      <c r="BK232" s="91"/>
      <c r="BL232" s="91"/>
      <c r="BM232" s="91"/>
      <c r="BN232" s="91"/>
      <c r="BO232" s="91"/>
      <c r="BP232" s="91"/>
      <c r="BQ232" s="91"/>
      <c r="BR232" s="91"/>
    </row>
    <row r="233" spans="11:70">
      <c r="K233" s="88"/>
      <c r="L233" s="88"/>
      <c r="M233" s="88"/>
      <c r="N233" s="88"/>
      <c r="O233" s="88"/>
      <c r="P233" s="88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90"/>
      <c r="AI233" s="91"/>
      <c r="AJ233" s="92"/>
      <c r="AK233" s="91"/>
      <c r="AL233" s="92"/>
      <c r="AM233" s="91"/>
      <c r="AN233" s="91"/>
      <c r="AO233" s="90"/>
      <c r="AP233" s="90"/>
      <c r="AQ233" s="93"/>
      <c r="AR233" s="93"/>
      <c r="AS233" s="91"/>
      <c r="AT233" s="90"/>
      <c r="AU233" s="90"/>
      <c r="AV233" s="93"/>
      <c r="AW233" s="93"/>
      <c r="AX233" s="90"/>
      <c r="AY233" s="90"/>
      <c r="AZ233" s="93"/>
      <c r="BA233" s="93"/>
      <c r="BB233" s="90"/>
      <c r="BC233" s="90"/>
      <c r="BD233" s="93"/>
      <c r="BE233" s="93"/>
      <c r="BF233" s="90"/>
      <c r="BG233" s="90"/>
      <c r="BH233" s="93"/>
      <c r="BI233" s="93"/>
      <c r="BJ233" s="91"/>
      <c r="BK233" s="91"/>
      <c r="BL233" s="91"/>
      <c r="BM233" s="91"/>
      <c r="BN233" s="91"/>
      <c r="BO233" s="91"/>
      <c r="BP233" s="91"/>
      <c r="BQ233" s="91"/>
      <c r="BR233" s="91"/>
    </row>
    <row r="234" spans="11:70">
      <c r="K234" s="88"/>
      <c r="L234" s="88"/>
      <c r="M234" s="88"/>
      <c r="N234" s="88"/>
      <c r="O234" s="88"/>
      <c r="P234" s="88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90"/>
      <c r="AI234" s="91"/>
      <c r="AJ234" s="92"/>
      <c r="AK234" s="91"/>
      <c r="AL234" s="92"/>
      <c r="AM234" s="91"/>
      <c r="AN234" s="91"/>
      <c r="AO234" s="90"/>
      <c r="AP234" s="90"/>
      <c r="AQ234" s="93"/>
      <c r="AR234" s="93"/>
      <c r="AS234" s="91"/>
      <c r="AT234" s="90"/>
      <c r="AU234" s="90"/>
      <c r="AV234" s="93"/>
      <c r="AW234" s="93"/>
      <c r="AX234" s="90"/>
      <c r="AY234" s="90"/>
      <c r="AZ234" s="93"/>
      <c r="BA234" s="93"/>
      <c r="BB234" s="90"/>
      <c r="BC234" s="90"/>
      <c r="BD234" s="93"/>
      <c r="BE234" s="93"/>
      <c r="BF234" s="90"/>
      <c r="BG234" s="90"/>
      <c r="BH234" s="93"/>
      <c r="BI234" s="93"/>
      <c r="BJ234" s="91"/>
      <c r="BK234" s="91"/>
      <c r="BL234" s="91"/>
      <c r="BM234" s="91"/>
      <c r="BN234" s="91"/>
      <c r="BO234" s="91"/>
      <c r="BP234" s="91"/>
      <c r="BQ234" s="91"/>
      <c r="BR234" s="91"/>
    </row>
    <row r="235" spans="11:70">
      <c r="K235" s="88"/>
      <c r="L235" s="88"/>
      <c r="M235" s="88"/>
      <c r="N235" s="88"/>
      <c r="O235" s="88"/>
      <c r="P235" s="88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90"/>
      <c r="AI235" s="91"/>
      <c r="AJ235" s="92"/>
      <c r="AK235" s="91"/>
      <c r="AL235" s="92"/>
      <c r="AM235" s="91"/>
      <c r="AN235" s="91"/>
      <c r="AO235" s="90"/>
      <c r="AP235" s="90"/>
      <c r="AQ235" s="93"/>
      <c r="AR235" s="93"/>
      <c r="AS235" s="91"/>
      <c r="AT235" s="90"/>
      <c r="AU235" s="90"/>
      <c r="AV235" s="93"/>
      <c r="AW235" s="93"/>
      <c r="AX235" s="90"/>
      <c r="AY235" s="90"/>
      <c r="AZ235" s="93"/>
      <c r="BA235" s="93"/>
      <c r="BB235" s="90"/>
      <c r="BC235" s="90"/>
      <c r="BD235" s="93"/>
      <c r="BE235" s="93"/>
      <c r="BF235" s="90"/>
      <c r="BG235" s="90"/>
      <c r="BH235" s="93"/>
      <c r="BI235" s="93"/>
      <c r="BJ235" s="91"/>
      <c r="BK235" s="91"/>
      <c r="BL235" s="91"/>
      <c r="BM235" s="91"/>
      <c r="BN235" s="91"/>
      <c r="BO235" s="91"/>
      <c r="BP235" s="91"/>
      <c r="BQ235" s="91"/>
      <c r="BR235" s="91"/>
    </row>
    <row r="236" spans="11:70">
      <c r="K236" s="88"/>
      <c r="L236" s="88"/>
      <c r="M236" s="88"/>
      <c r="N236" s="88"/>
      <c r="O236" s="88"/>
      <c r="P236" s="88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90"/>
      <c r="AI236" s="91"/>
      <c r="AJ236" s="92"/>
      <c r="AK236" s="91"/>
      <c r="AL236" s="92"/>
      <c r="AM236" s="91"/>
      <c r="AN236" s="91"/>
      <c r="AO236" s="90"/>
      <c r="AP236" s="90"/>
      <c r="AQ236" s="93"/>
      <c r="AR236" s="93"/>
      <c r="AS236" s="91"/>
      <c r="AT236" s="90"/>
      <c r="AU236" s="90"/>
      <c r="AV236" s="93"/>
      <c r="AW236" s="93"/>
      <c r="AX236" s="90"/>
      <c r="AY236" s="90"/>
      <c r="AZ236" s="93"/>
      <c r="BA236" s="93"/>
      <c r="BB236" s="90"/>
      <c r="BC236" s="90"/>
      <c r="BD236" s="93"/>
      <c r="BE236" s="93"/>
      <c r="BF236" s="90"/>
      <c r="BG236" s="90"/>
      <c r="BH236" s="93"/>
      <c r="BI236" s="93"/>
      <c r="BJ236" s="91"/>
      <c r="BK236" s="91"/>
      <c r="BL236" s="91"/>
      <c r="BM236" s="91"/>
      <c r="BN236" s="91"/>
      <c r="BO236" s="91"/>
      <c r="BP236" s="91"/>
      <c r="BQ236" s="91"/>
      <c r="BR236" s="91"/>
    </row>
    <row r="237" spans="11:70">
      <c r="K237" s="88"/>
      <c r="L237" s="88"/>
      <c r="M237" s="88"/>
      <c r="N237" s="88"/>
      <c r="O237" s="88"/>
      <c r="P237" s="88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90"/>
      <c r="AI237" s="91"/>
      <c r="AJ237" s="92"/>
      <c r="AK237" s="91"/>
      <c r="AL237" s="92"/>
      <c r="AM237" s="91"/>
      <c r="AN237" s="91"/>
      <c r="AO237" s="90"/>
      <c r="AP237" s="90"/>
      <c r="AQ237" s="93"/>
      <c r="AR237" s="93"/>
      <c r="AS237" s="91"/>
      <c r="AT237" s="90"/>
      <c r="AU237" s="90"/>
      <c r="AV237" s="93"/>
      <c r="AW237" s="93"/>
      <c r="AX237" s="90"/>
      <c r="AY237" s="90"/>
      <c r="AZ237" s="93"/>
      <c r="BA237" s="93"/>
      <c r="BB237" s="90"/>
      <c r="BC237" s="90"/>
      <c r="BD237" s="93"/>
      <c r="BE237" s="93"/>
      <c r="BF237" s="90"/>
      <c r="BG237" s="90"/>
      <c r="BH237" s="93"/>
      <c r="BI237" s="93"/>
      <c r="BJ237" s="91"/>
      <c r="BK237" s="91"/>
      <c r="BL237" s="91"/>
      <c r="BM237" s="91"/>
      <c r="BN237" s="91"/>
      <c r="BO237" s="91"/>
      <c r="BP237" s="91"/>
      <c r="BQ237" s="91"/>
      <c r="BR237" s="91"/>
    </row>
    <row r="238" spans="11:70">
      <c r="K238" s="88"/>
      <c r="L238" s="88"/>
      <c r="M238" s="88"/>
      <c r="N238" s="88"/>
      <c r="O238" s="88"/>
      <c r="P238" s="88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90"/>
      <c r="AI238" s="91"/>
      <c r="AJ238" s="92"/>
      <c r="AK238" s="91"/>
      <c r="AL238" s="92"/>
      <c r="AM238" s="91"/>
      <c r="AN238" s="91"/>
      <c r="AO238" s="90"/>
      <c r="AP238" s="90"/>
      <c r="AQ238" s="93"/>
      <c r="AR238" s="93"/>
      <c r="AS238" s="91"/>
      <c r="AT238" s="90"/>
      <c r="AU238" s="90"/>
      <c r="AV238" s="93"/>
      <c r="AW238" s="93"/>
      <c r="AX238" s="90"/>
      <c r="AY238" s="90"/>
      <c r="AZ238" s="93"/>
      <c r="BA238" s="93"/>
      <c r="BB238" s="90"/>
      <c r="BC238" s="90"/>
      <c r="BD238" s="93"/>
      <c r="BE238" s="93"/>
      <c r="BF238" s="90"/>
      <c r="BG238" s="90"/>
      <c r="BH238" s="93"/>
      <c r="BI238" s="93"/>
      <c r="BJ238" s="91"/>
      <c r="BK238" s="91"/>
      <c r="BL238" s="91"/>
      <c r="BM238" s="91"/>
      <c r="BN238" s="91"/>
      <c r="BO238" s="91"/>
      <c r="BP238" s="91"/>
      <c r="BQ238" s="91"/>
      <c r="BR238" s="91"/>
    </row>
    <row r="239" spans="11:70">
      <c r="K239" s="88"/>
      <c r="L239" s="88"/>
      <c r="M239" s="88"/>
      <c r="N239" s="88"/>
      <c r="O239" s="88"/>
      <c r="P239" s="88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90"/>
      <c r="AI239" s="91"/>
      <c r="AJ239" s="92"/>
      <c r="AK239" s="91"/>
      <c r="AL239" s="92"/>
      <c r="AM239" s="91"/>
      <c r="AN239" s="91"/>
      <c r="AO239" s="90"/>
      <c r="AP239" s="90"/>
      <c r="AQ239" s="93"/>
      <c r="AR239" s="93"/>
      <c r="AS239" s="91"/>
      <c r="AT239" s="90"/>
      <c r="AU239" s="90"/>
      <c r="AV239" s="93"/>
      <c r="AW239" s="93"/>
      <c r="AX239" s="90"/>
      <c r="AY239" s="90"/>
      <c r="AZ239" s="93"/>
      <c r="BA239" s="93"/>
      <c r="BB239" s="90"/>
      <c r="BC239" s="90"/>
      <c r="BD239" s="93"/>
      <c r="BE239" s="93"/>
      <c r="BF239" s="90"/>
      <c r="BG239" s="90"/>
      <c r="BH239" s="93"/>
      <c r="BI239" s="93"/>
      <c r="BJ239" s="91"/>
      <c r="BK239" s="91"/>
      <c r="BL239" s="91"/>
      <c r="BM239" s="91"/>
      <c r="BN239" s="91"/>
      <c r="BO239" s="91"/>
      <c r="BP239" s="91"/>
      <c r="BQ239" s="91"/>
      <c r="BR239" s="91"/>
    </row>
    <row r="240" spans="11:70">
      <c r="K240" s="88"/>
      <c r="L240" s="88"/>
      <c r="M240" s="88"/>
      <c r="N240" s="88"/>
      <c r="O240" s="88"/>
      <c r="P240" s="88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90"/>
      <c r="AI240" s="91"/>
      <c r="AJ240" s="92"/>
      <c r="AK240" s="91"/>
      <c r="AL240" s="92"/>
      <c r="AM240" s="91"/>
      <c r="AN240" s="91"/>
      <c r="AO240" s="90"/>
      <c r="AP240" s="90"/>
      <c r="AQ240" s="93"/>
      <c r="AR240" s="93"/>
      <c r="AS240" s="91"/>
      <c r="AT240" s="90"/>
      <c r="AU240" s="90"/>
      <c r="AV240" s="93"/>
      <c r="AW240" s="93"/>
      <c r="AX240" s="90"/>
      <c r="AY240" s="90"/>
      <c r="AZ240" s="93"/>
      <c r="BA240" s="93"/>
      <c r="BB240" s="90"/>
      <c r="BC240" s="90"/>
      <c r="BD240" s="93"/>
      <c r="BE240" s="93"/>
      <c r="BF240" s="90"/>
      <c r="BG240" s="90"/>
      <c r="BH240" s="93"/>
      <c r="BI240" s="93"/>
      <c r="BJ240" s="91"/>
      <c r="BK240" s="91"/>
      <c r="BL240" s="91"/>
      <c r="BM240" s="91"/>
      <c r="BN240" s="91"/>
      <c r="BO240" s="91"/>
      <c r="BP240" s="91"/>
      <c r="BQ240" s="91"/>
      <c r="BR240" s="91"/>
    </row>
    <row r="241" spans="11:70">
      <c r="K241" s="88"/>
      <c r="L241" s="88"/>
      <c r="M241" s="88"/>
      <c r="N241" s="88"/>
      <c r="O241" s="88"/>
      <c r="P241" s="88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90"/>
      <c r="AI241" s="91"/>
      <c r="AJ241" s="92"/>
      <c r="AK241" s="91"/>
      <c r="AL241" s="92"/>
      <c r="AM241" s="91"/>
      <c r="AN241" s="91"/>
      <c r="AO241" s="90"/>
      <c r="AP241" s="90"/>
      <c r="AQ241" s="93"/>
      <c r="AR241" s="93"/>
      <c r="AS241" s="91"/>
      <c r="AT241" s="90"/>
      <c r="AU241" s="90"/>
      <c r="AV241" s="93"/>
      <c r="AW241" s="93"/>
      <c r="AX241" s="90"/>
      <c r="AY241" s="90"/>
      <c r="AZ241" s="93"/>
      <c r="BA241" s="93"/>
      <c r="BB241" s="90"/>
      <c r="BC241" s="90"/>
      <c r="BD241" s="93"/>
      <c r="BE241" s="93"/>
      <c r="BF241" s="90"/>
      <c r="BG241" s="90"/>
      <c r="BH241" s="93"/>
      <c r="BI241" s="93"/>
      <c r="BJ241" s="91"/>
      <c r="BK241" s="91"/>
      <c r="BL241" s="91"/>
      <c r="BM241" s="91"/>
      <c r="BN241" s="91"/>
      <c r="BO241" s="91"/>
      <c r="BP241" s="91"/>
      <c r="BQ241" s="91"/>
      <c r="BR241" s="91"/>
    </row>
    <row r="242" spans="11:70">
      <c r="K242" s="88"/>
      <c r="L242" s="88"/>
      <c r="M242" s="88"/>
      <c r="N242" s="88"/>
      <c r="O242" s="88"/>
      <c r="P242" s="88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90"/>
      <c r="AI242" s="91"/>
      <c r="AJ242" s="92"/>
      <c r="AK242" s="91"/>
      <c r="AL242" s="92"/>
      <c r="AM242" s="91"/>
      <c r="AN242" s="91"/>
      <c r="AO242" s="90"/>
      <c r="AP242" s="90"/>
      <c r="AQ242" s="93"/>
      <c r="AR242" s="93"/>
      <c r="AS242" s="91"/>
      <c r="AT242" s="90"/>
      <c r="AU242" s="90"/>
      <c r="AV242" s="93"/>
      <c r="AW242" s="93"/>
      <c r="AX242" s="90"/>
      <c r="AY242" s="90"/>
      <c r="AZ242" s="93"/>
      <c r="BA242" s="93"/>
      <c r="BB242" s="90"/>
      <c r="BC242" s="90"/>
      <c r="BD242" s="93"/>
      <c r="BE242" s="93"/>
      <c r="BF242" s="90"/>
      <c r="BG242" s="90"/>
      <c r="BH242" s="93"/>
      <c r="BI242" s="93"/>
      <c r="BJ242" s="91"/>
      <c r="BK242" s="91"/>
      <c r="BL242" s="91"/>
      <c r="BM242" s="91"/>
      <c r="BN242" s="91"/>
      <c r="BO242" s="91"/>
      <c r="BP242" s="91"/>
      <c r="BQ242" s="91"/>
      <c r="BR242" s="91"/>
    </row>
    <row r="243" spans="11:70">
      <c r="K243" s="88"/>
      <c r="L243" s="88"/>
      <c r="M243" s="88"/>
      <c r="N243" s="88"/>
      <c r="O243" s="88"/>
      <c r="P243" s="88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90"/>
      <c r="AI243" s="91"/>
      <c r="AJ243" s="92"/>
      <c r="AK243" s="91"/>
      <c r="AL243" s="92"/>
      <c r="AM243" s="91"/>
      <c r="AN243" s="91"/>
      <c r="AO243" s="90"/>
      <c r="AP243" s="90"/>
      <c r="AQ243" s="93"/>
      <c r="AR243" s="93"/>
      <c r="AS243" s="91"/>
      <c r="AT243" s="90"/>
      <c r="AU243" s="90"/>
      <c r="AV243" s="93"/>
      <c r="AW243" s="93"/>
      <c r="AX243" s="90"/>
      <c r="AY243" s="90"/>
      <c r="AZ243" s="93"/>
      <c r="BA243" s="93"/>
      <c r="BB243" s="90"/>
      <c r="BC243" s="90"/>
      <c r="BD243" s="93"/>
      <c r="BE243" s="93"/>
      <c r="BF243" s="90"/>
      <c r="BG243" s="90"/>
      <c r="BH243" s="93"/>
      <c r="BI243" s="93"/>
      <c r="BJ243" s="91"/>
      <c r="BK243" s="91"/>
      <c r="BL243" s="91"/>
      <c r="BM243" s="91"/>
      <c r="BN243" s="91"/>
      <c r="BO243" s="91"/>
      <c r="BP243" s="91"/>
      <c r="BQ243" s="91"/>
      <c r="BR243" s="91"/>
    </row>
    <row r="244" spans="11:70">
      <c r="K244" s="88"/>
      <c r="L244" s="88"/>
      <c r="M244" s="88"/>
      <c r="N244" s="88"/>
      <c r="O244" s="88"/>
      <c r="P244" s="88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90"/>
      <c r="AI244" s="91"/>
      <c r="AJ244" s="92"/>
      <c r="AK244" s="91"/>
      <c r="AL244" s="92"/>
      <c r="AM244" s="91"/>
      <c r="AN244" s="91"/>
      <c r="AO244" s="90"/>
      <c r="AP244" s="90"/>
      <c r="AQ244" s="93"/>
      <c r="AR244" s="93"/>
      <c r="AS244" s="91"/>
      <c r="AT244" s="90"/>
      <c r="AU244" s="90"/>
      <c r="AV244" s="93"/>
      <c r="AW244" s="93"/>
      <c r="AX244" s="90"/>
      <c r="AY244" s="90"/>
      <c r="AZ244" s="93"/>
      <c r="BA244" s="93"/>
      <c r="BB244" s="90"/>
      <c r="BC244" s="90"/>
      <c r="BD244" s="93"/>
      <c r="BE244" s="93"/>
      <c r="BF244" s="90"/>
      <c r="BG244" s="90"/>
      <c r="BH244" s="93"/>
      <c r="BI244" s="93"/>
      <c r="BJ244" s="91"/>
      <c r="BK244" s="91"/>
      <c r="BL244" s="91"/>
      <c r="BM244" s="91"/>
      <c r="BN244" s="91"/>
      <c r="BO244" s="91"/>
      <c r="BP244" s="91"/>
      <c r="BQ244" s="91"/>
      <c r="BR244" s="91"/>
    </row>
    <row r="245" spans="11:70">
      <c r="K245" s="88"/>
      <c r="L245" s="88"/>
      <c r="M245" s="88"/>
      <c r="N245" s="88"/>
      <c r="O245" s="88"/>
      <c r="P245" s="88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90"/>
      <c r="AI245" s="91"/>
      <c r="AJ245" s="92"/>
      <c r="AK245" s="91"/>
      <c r="AL245" s="92"/>
      <c r="AM245" s="91"/>
      <c r="AN245" s="91"/>
      <c r="AO245" s="90"/>
      <c r="AP245" s="90"/>
      <c r="AQ245" s="93"/>
      <c r="AR245" s="93"/>
      <c r="AS245" s="91"/>
      <c r="AT245" s="90"/>
      <c r="AU245" s="90"/>
      <c r="AV245" s="93"/>
      <c r="AW245" s="93"/>
      <c r="AX245" s="90"/>
      <c r="AY245" s="90"/>
      <c r="AZ245" s="93"/>
      <c r="BA245" s="93"/>
      <c r="BB245" s="90"/>
      <c r="BC245" s="90"/>
      <c r="BD245" s="93"/>
      <c r="BE245" s="93"/>
      <c r="BF245" s="90"/>
      <c r="BG245" s="90"/>
      <c r="BH245" s="93"/>
      <c r="BI245" s="93"/>
      <c r="BJ245" s="91"/>
      <c r="BK245" s="91"/>
      <c r="BL245" s="91"/>
      <c r="BM245" s="91"/>
      <c r="BN245" s="91"/>
      <c r="BO245" s="91"/>
      <c r="BP245" s="91"/>
      <c r="BQ245" s="91"/>
      <c r="BR245" s="91"/>
    </row>
    <row r="246" spans="11:70">
      <c r="K246" s="88"/>
      <c r="L246" s="88"/>
      <c r="M246" s="88"/>
      <c r="N246" s="88"/>
      <c r="O246" s="88"/>
      <c r="P246" s="88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90"/>
      <c r="AI246" s="91"/>
      <c r="AJ246" s="92"/>
      <c r="AK246" s="91"/>
      <c r="AL246" s="92"/>
      <c r="AM246" s="91"/>
      <c r="AN246" s="91"/>
      <c r="AO246" s="90"/>
      <c r="AP246" s="90"/>
      <c r="AQ246" s="93"/>
      <c r="AR246" s="93"/>
      <c r="AS246" s="91"/>
      <c r="AT246" s="90"/>
      <c r="AU246" s="90"/>
      <c r="AV246" s="93"/>
      <c r="AW246" s="93"/>
      <c r="AX246" s="90"/>
      <c r="AY246" s="90"/>
      <c r="AZ246" s="93"/>
      <c r="BA246" s="93"/>
      <c r="BB246" s="90"/>
      <c r="BC246" s="90"/>
      <c r="BD246" s="93"/>
      <c r="BE246" s="93"/>
      <c r="BF246" s="90"/>
      <c r="BG246" s="90"/>
      <c r="BH246" s="93"/>
      <c r="BI246" s="93"/>
      <c r="BJ246" s="91"/>
      <c r="BK246" s="91"/>
      <c r="BL246" s="91"/>
      <c r="BM246" s="91"/>
      <c r="BN246" s="91"/>
      <c r="BO246" s="91"/>
      <c r="BP246" s="91"/>
      <c r="BQ246" s="91"/>
      <c r="BR246" s="91"/>
    </row>
    <row r="247" spans="11:70">
      <c r="K247" s="88"/>
      <c r="L247" s="88"/>
      <c r="M247" s="88"/>
      <c r="N247" s="88"/>
      <c r="O247" s="88"/>
      <c r="P247" s="88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90"/>
      <c r="AI247" s="91"/>
      <c r="AJ247" s="92"/>
      <c r="AK247" s="91"/>
      <c r="AL247" s="92"/>
      <c r="AM247" s="91"/>
      <c r="AN247" s="91"/>
      <c r="AO247" s="90"/>
      <c r="AP247" s="90"/>
      <c r="AQ247" s="93"/>
      <c r="AR247" s="93"/>
      <c r="AS247" s="91"/>
      <c r="AT247" s="90"/>
      <c r="AU247" s="90"/>
      <c r="AV247" s="93"/>
      <c r="AW247" s="93"/>
      <c r="AX247" s="90"/>
      <c r="AY247" s="90"/>
      <c r="AZ247" s="93"/>
      <c r="BA247" s="93"/>
      <c r="BB247" s="90"/>
      <c r="BC247" s="90"/>
      <c r="BD247" s="93"/>
      <c r="BE247" s="93"/>
      <c r="BF247" s="90"/>
      <c r="BG247" s="90"/>
      <c r="BH247" s="93"/>
      <c r="BI247" s="93"/>
      <c r="BJ247" s="91"/>
      <c r="BK247" s="91"/>
      <c r="BL247" s="91"/>
      <c r="BM247" s="91"/>
      <c r="BN247" s="91"/>
      <c r="BO247" s="91"/>
      <c r="BP247" s="91"/>
      <c r="BQ247" s="91"/>
      <c r="BR247" s="91"/>
    </row>
    <row r="248" spans="11:70">
      <c r="K248" s="88"/>
      <c r="L248" s="88"/>
      <c r="M248" s="88"/>
      <c r="N248" s="88"/>
      <c r="O248" s="88"/>
      <c r="P248" s="88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90"/>
      <c r="AI248" s="91"/>
      <c r="AJ248" s="92"/>
      <c r="AK248" s="91"/>
      <c r="AL248" s="92"/>
      <c r="AM248" s="91"/>
      <c r="AN248" s="91"/>
      <c r="AO248" s="90"/>
      <c r="AP248" s="90"/>
      <c r="AQ248" s="93"/>
      <c r="AR248" s="93"/>
      <c r="AS248" s="91"/>
      <c r="AT248" s="90"/>
      <c r="AU248" s="90"/>
      <c r="AV248" s="93"/>
      <c r="AW248" s="93"/>
      <c r="AX248" s="90"/>
      <c r="AY248" s="90"/>
      <c r="AZ248" s="93"/>
      <c r="BA248" s="93"/>
      <c r="BB248" s="90"/>
      <c r="BC248" s="90"/>
      <c r="BD248" s="93"/>
      <c r="BE248" s="93"/>
      <c r="BF248" s="90"/>
      <c r="BG248" s="90"/>
      <c r="BH248" s="93"/>
      <c r="BI248" s="93"/>
      <c r="BJ248" s="91"/>
      <c r="BK248" s="91"/>
      <c r="BL248" s="91"/>
      <c r="BM248" s="91"/>
      <c r="BN248" s="91"/>
      <c r="BO248" s="91"/>
      <c r="BP248" s="91"/>
      <c r="BQ248" s="91"/>
      <c r="BR248" s="91"/>
    </row>
    <row r="249" spans="11:70">
      <c r="K249" s="88"/>
      <c r="L249" s="88"/>
      <c r="M249" s="88"/>
      <c r="N249" s="88"/>
      <c r="O249" s="88"/>
      <c r="P249" s="88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90"/>
      <c r="AI249" s="91"/>
      <c r="AJ249" s="92"/>
      <c r="AK249" s="91"/>
      <c r="AL249" s="92"/>
      <c r="AM249" s="91"/>
      <c r="AN249" s="91"/>
      <c r="AO249" s="90"/>
      <c r="AP249" s="90"/>
      <c r="AQ249" s="93"/>
      <c r="AR249" s="93"/>
      <c r="AS249" s="91"/>
      <c r="AT249" s="90"/>
      <c r="AU249" s="90"/>
      <c r="AV249" s="93"/>
      <c r="AW249" s="93"/>
      <c r="AX249" s="90"/>
      <c r="AY249" s="90"/>
      <c r="AZ249" s="93"/>
      <c r="BA249" s="93"/>
      <c r="BB249" s="90"/>
      <c r="BC249" s="90"/>
      <c r="BD249" s="93"/>
      <c r="BE249" s="93"/>
      <c r="BF249" s="90"/>
      <c r="BG249" s="90"/>
      <c r="BH249" s="93"/>
      <c r="BI249" s="93"/>
      <c r="BJ249" s="91"/>
      <c r="BK249" s="91"/>
      <c r="BL249" s="91"/>
      <c r="BM249" s="91"/>
      <c r="BN249" s="91"/>
      <c r="BO249" s="91"/>
      <c r="BP249" s="91"/>
      <c r="BQ249" s="91"/>
      <c r="BR249" s="91"/>
    </row>
    <row r="250" spans="11:70">
      <c r="K250" s="88"/>
      <c r="L250" s="88"/>
      <c r="M250" s="88"/>
      <c r="N250" s="88"/>
      <c r="O250" s="88"/>
      <c r="P250" s="88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90"/>
      <c r="AI250" s="91"/>
      <c r="AJ250" s="92"/>
      <c r="AK250" s="91"/>
      <c r="AL250" s="92"/>
      <c r="AM250" s="91"/>
      <c r="AN250" s="91"/>
      <c r="AO250" s="90"/>
      <c r="AP250" s="90"/>
      <c r="AQ250" s="93"/>
      <c r="AR250" s="93"/>
      <c r="AS250" s="91"/>
      <c r="AT250" s="90"/>
      <c r="AU250" s="90"/>
      <c r="AV250" s="93"/>
      <c r="AW250" s="93"/>
      <c r="AX250" s="90"/>
      <c r="AY250" s="90"/>
      <c r="AZ250" s="93"/>
      <c r="BA250" s="93"/>
      <c r="BB250" s="90"/>
      <c r="BC250" s="90"/>
      <c r="BD250" s="93"/>
      <c r="BE250" s="93"/>
      <c r="BF250" s="90"/>
      <c r="BG250" s="90"/>
      <c r="BH250" s="93"/>
      <c r="BI250" s="93"/>
      <c r="BJ250" s="91"/>
      <c r="BK250" s="91"/>
      <c r="BL250" s="91"/>
      <c r="BM250" s="91"/>
      <c r="BN250" s="91"/>
      <c r="BO250" s="91"/>
      <c r="BP250" s="91"/>
      <c r="BQ250" s="91"/>
      <c r="BR250" s="91"/>
    </row>
    <row r="251" spans="11:70">
      <c r="K251" s="88"/>
      <c r="L251" s="88"/>
      <c r="M251" s="88"/>
      <c r="N251" s="88"/>
      <c r="O251" s="88"/>
      <c r="P251" s="88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90"/>
      <c r="AI251" s="91"/>
      <c r="AJ251" s="92"/>
      <c r="AK251" s="91"/>
      <c r="AL251" s="92"/>
      <c r="AM251" s="91"/>
      <c r="AN251" s="91"/>
      <c r="AO251" s="90"/>
      <c r="AP251" s="90"/>
      <c r="AQ251" s="93"/>
      <c r="AR251" s="93"/>
      <c r="AS251" s="91"/>
      <c r="AT251" s="90"/>
      <c r="AU251" s="90"/>
      <c r="AV251" s="93"/>
      <c r="AW251" s="93"/>
      <c r="AX251" s="90"/>
      <c r="AY251" s="90"/>
      <c r="AZ251" s="93"/>
      <c r="BA251" s="93"/>
      <c r="BB251" s="90"/>
      <c r="BC251" s="90"/>
      <c r="BD251" s="93"/>
      <c r="BE251" s="93"/>
      <c r="BF251" s="90"/>
      <c r="BG251" s="90"/>
      <c r="BH251" s="93"/>
      <c r="BI251" s="93"/>
      <c r="BJ251" s="91"/>
      <c r="BK251" s="91"/>
      <c r="BL251" s="91"/>
      <c r="BM251" s="91"/>
      <c r="BN251" s="91"/>
      <c r="BO251" s="91"/>
      <c r="BP251" s="91"/>
      <c r="BQ251" s="91"/>
      <c r="BR251" s="91"/>
    </row>
    <row r="252" spans="11:70">
      <c r="K252" s="88"/>
      <c r="L252" s="88"/>
      <c r="M252" s="88"/>
      <c r="N252" s="88"/>
      <c r="O252" s="88"/>
      <c r="P252" s="88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90"/>
      <c r="AI252" s="91"/>
      <c r="AJ252" s="92"/>
      <c r="AK252" s="91"/>
      <c r="AL252" s="92"/>
      <c r="AM252" s="91"/>
      <c r="AN252" s="91"/>
      <c r="AO252" s="90"/>
      <c r="AP252" s="90"/>
      <c r="AQ252" s="93"/>
      <c r="AR252" s="93"/>
      <c r="AS252" s="91"/>
      <c r="AT252" s="90"/>
      <c r="AU252" s="90"/>
      <c r="AV252" s="93"/>
      <c r="AW252" s="93"/>
      <c r="AX252" s="90"/>
      <c r="AY252" s="90"/>
      <c r="AZ252" s="93"/>
      <c r="BA252" s="93"/>
      <c r="BB252" s="90"/>
      <c r="BC252" s="90"/>
      <c r="BD252" s="93"/>
      <c r="BE252" s="93"/>
      <c r="BF252" s="90"/>
      <c r="BG252" s="90"/>
      <c r="BH252" s="93"/>
      <c r="BI252" s="93"/>
      <c r="BJ252" s="91"/>
      <c r="BK252" s="91"/>
      <c r="BL252" s="91"/>
      <c r="BM252" s="91"/>
      <c r="BN252" s="91"/>
      <c r="BO252" s="91"/>
      <c r="BP252" s="91"/>
      <c r="BQ252" s="91"/>
      <c r="BR252" s="91"/>
    </row>
    <row r="253" spans="11:70">
      <c r="K253" s="88"/>
      <c r="L253" s="88"/>
      <c r="M253" s="88"/>
      <c r="N253" s="88"/>
      <c r="O253" s="88"/>
      <c r="P253" s="88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90"/>
      <c r="AI253" s="91"/>
      <c r="AJ253" s="92"/>
      <c r="AK253" s="91"/>
      <c r="AL253" s="92"/>
      <c r="AM253" s="91"/>
      <c r="AN253" s="91"/>
      <c r="AO253" s="90"/>
      <c r="AP253" s="90"/>
      <c r="AQ253" s="93"/>
      <c r="AR253" s="93"/>
      <c r="AS253" s="91"/>
      <c r="AT253" s="90"/>
      <c r="AU253" s="90"/>
      <c r="AV253" s="93"/>
      <c r="AW253" s="93"/>
      <c r="AX253" s="90"/>
      <c r="AY253" s="90"/>
      <c r="AZ253" s="93"/>
      <c r="BA253" s="93"/>
      <c r="BB253" s="90"/>
      <c r="BC253" s="90"/>
      <c r="BD253" s="93"/>
      <c r="BE253" s="93"/>
      <c r="BF253" s="90"/>
      <c r="BG253" s="90"/>
      <c r="BH253" s="93"/>
      <c r="BI253" s="93"/>
      <c r="BJ253" s="91"/>
      <c r="BK253" s="91"/>
      <c r="BL253" s="91"/>
      <c r="BM253" s="91"/>
      <c r="BN253" s="91"/>
      <c r="BO253" s="91"/>
      <c r="BP253" s="91"/>
      <c r="BQ253" s="91"/>
      <c r="BR253" s="91"/>
    </row>
    <row r="254" spans="11:70">
      <c r="K254" s="88"/>
      <c r="L254" s="88"/>
      <c r="M254" s="88"/>
      <c r="N254" s="88"/>
      <c r="O254" s="88"/>
      <c r="P254" s="88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90"/>
      <c r="AI254" s="91"/>
      <c r="AJ254" s="92"/>
      <c r="AK254" s="91"/>
      <c r="AL254" s="92"/>
      <c r="AM254" s="91"/>
      <c r="AN254" s="91"/>
      <c r="AO254" s="90"/>
      <c r="AP254" s="90"/>
      <c r="AQ254" s="93"/>
      <c r="AR254" s="93"/>
      <c r="AS254" s="91"/>
      <c r="AT254" s="90"/>
      <c r="AU254" s="90"/>
      <c r="AV254" s="93"/>
      <c r="AW254" s="93"/>
      <c r="AX254" s="90"/>
      <c r="AY254" s="90"/>
      <c r="AZ254" s="93"/>
      <c r="BA254" s="93"/>
      <c r="BB254" s="90"/>
      <c r="BC254" s="90"/>
      <c r="BD254" s="93"/>
      <c r="BE254" s="93"/>
      <c r="BF254" s="90"/>
      <c r="BG254" s="90"/>
      <c r="BH254" s="93"/>
      <c r="BI254" s="93"/>
      <c r="BJ254" s="91"/>
      <c r="BK254" s="91"/>
      <c r="BL254" s="91"/>
      <c r="BM254" s="91"/>
      <c r="BN254" s="91"/>
      <c r="BO254" s="91"/>
      <c r="BP254" s="91"/>
      <c r="BQ254" s="91"/>
      <c r="BR254" s="91"/>
    </row>
    <row r="255" spans="11:70">
      <c r="K255" s="88"/>
      <c r="L255" s="88"/>
      <c r="M255" s="88"/>
      <c r="N255" s="88"/>
      <c r="O255" s="88"/>
      <c r="P255" s="88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90"/>
      <c r="AI255" s="91"/>
      <c r="AJ255" s="92"/>
      <c r="AK255" s="91"/>
      <c r="AL255" s="92"/>
      <c r="AM255" s="91"/>
      <c r="AN255" s="91"/>
      <c r="AO255" s="90"/>
      <c r="AP255" s="90"/>
      <c r="AQ255" s="93"/>
      <c r="AR255" s="93"/>
      <c r="AS255" s="91"/>
      <c r="AT255" s="90"/>
      <c r="AU255" s="90"/>
      <c r="AV255" s="93"/>
      <c r="AW255" s="93"/>
      <c r="AX255" s="90"/>
      <c r="AY255" s="90"/>
      <c r="AZ255" s="93"/>
      <c r="BA255" s="93"/>
      <c r="BB255" s="90"/>
      <c r="BC255" s="90"/>
      <c r="BD255" s="93"/>
      <c r="BE255" s="93"/>
      <c r="BF255" s="90"/>
      <c r="BG255" s="90"/>
      <c r="BH255" s="93"/>
      <c r="BI255" s="93"/>
      <c r="BJ255" s="91"/>
      <c r="BK255" s="91"/>
      <c r="BL255" s="91"/>
      <c r="BM255" s="91"/>
      <c r="BN255" s="91"/>
      <c r="BO255" s="91"/>
      <c r="BP255" s="91"/>
      <c r="BQ255" s="91"/>
      <c r="BR255" s="91"/>
    </row>
    <row r="256" spans="11:70">
      <c r="K256" s="88"/>
      <c r="L256" s="88"/>
      <c r="M256" s="88"/>
      <c r="N256" s="88"/>
      <c r="O256" s="88"/>
      <c r="P256" s="88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90"/>
      <c r="AI256" s="91"/>
      <c r="AJ256" s="92"/>
      <c r="AK256" s="91"/>
      <c r="AL256" s="92"/>
      <c r="AM256" s="91"/>
      <c r="AN256" s="91"/>
      <c r="AO256" s="90"/>
      <c r="AP256" s="90"/>
      <c r="AQ256" s="93"/>
      <c r="AR256" s="93"/>
      <c r="AS256" s="91"/>
      <c r="AT256" s="90"/>
      <c r="AU256" s="90"/>
      <c r="AV256" s="93"/>
      <c r="AW256" s="93"/>
      <c r="AX256" s="90"/>
      <c r="AY256" s="90"/>
      <c r="AZ256" s="93"/>
      <c r="BA256" s="93"/>
      <c r="BB256" s="90"/>
      <c r="BC256" s="90"/>
      <c r="BD256" s="93"/>
      <c r="BE256" s="93"/>
      <c r="BF256" s="90"/>
      <c r="BG256" s="90"/>
      <c r="BH256" s="93"/>
      <c r="BI256" s="93"/>
      <c r="BJ256" s="91"/>
      <c r="BK256" s="91"/>
      <c r="BL256" s="91"/>
      <c r="BM256" s="91"/>
      <c r="BN256" s="91"/>
      <c r="BO256" s="91"/>
      <c r="BP256" s="91"/>
      <c r="BQ256" s="91"/>
      <c r="BR256" s="91"/>
    </row>
    <row r="257" spans="11:70">
      <c r="K257" s="88"/>
      <c r="L257" s="88"/>
      <c r="M257" s="88"/>
      <c r="N257" s="88"/>
      <c r="O257" s="88"/>
      <c r="P257" s="88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90"/>
      <c r="AI257" s="91"/>
      <c r="AJ257" s="92"/>
      <c r="AK257" s="91"/>
      <c r="AL257" s="92"/>
      <c r="AM257" s="91"/>
      <c r="AN257" s="91"/>
      <c r="AO257" s="90"/>
      <c r="AP257" s="90"/>
      <c r="AQ257" s="93"/>
      <c r="AR257" s="93"/>
      <c r="AS257" s="91"/>
      <c r="AT257" s="90"/>
      <c r="AU257" s="90"/>
      <c r="AV257" s="93"/>
      <c r="AW257" s="93"/>
      <c r="AX257" s="90"/>
      <c r="AY257" s="90"/>
      <c r="AZ257" s="93"/>
      <c r="BA257" s="93"/>
      <c r="BB257" s="90"/>
      <c r="BC257" s="90"/>
      <c r="BD257" s="93"/>
      <c r="BE257" s="93"/>
      <c r="BF257" s="90"/>
      <c r="BG257" s="90"/>
      <c r="BH257" s="93"/>
      <c r="BI257" s="93"/>
      <c r="BJ257" s="91"/>
      <c r="BK257" s="91"/>
      <c r="BL257" s="91"/>
      <c r="BM257" s="91"/>
      <c r="BN257" s="91"/>
      <c r="BO257" s="91"/>
      <c r="BP257" s="91"/>
      <c r="BQ257" s="91"/>
      <c r="BR257" s="91"/>
    </row>
    <row r="258" spans="11:70">
      <c r="K258" s="88"/>
      <c r="L258" s="88"/>
      <c r="M258" s="88"/>
      <c r="N258" s="88"/>
      <c r="O258" s="88"/>
      <c r="P258" s="88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90"/>
      <c r="AI258" s="91"/>
      <c r="AJ258" s="92"/>
      <c r="AK258" s="91"/>
      <c r="AL258" s="92"/>
      <c r="AM258" s="91"/>
      <c r="AN258" s="91"/>
      <c r="AO258" s="90"/>
      <c r="AP258" s="90"/>
      <c r="AQ258" s="93"/>
      <c r="AR258" s="93"/>
      <c r="AS258" s="91"/>
      <c r="AT258" s="90"/>
      <c r="AU258" s="90"/>
      <c r="AV258" s="93"/>
      <c r="AW258" s="93"/>
      <c r="AX258" s="90"/>
      <c r="AY258" s="90"/>
      <c r="AZ258" s="93"/>
      <c r="BA258" s="93"/>
      <c r="BB258" s="90"/>
      <c r="BC258" s="90"/>
      <c r="BD258" s="93"/>
      <c r="BE258" s="93"/>
      <c r="BF258" s="90"/>
      <c r="BG258" s="90"/>
      <c r="BH258" s="93"/>
      <c r="BI258" s="93"/>
      <c r="BJ258" s="91"/>
      <c r="BK258" s="91"/>
      <c r="BL258" s="91"/>
      <c r="BM258" s="91"/>
      <c r="BN258" s="91"/>
      <c r="BO258" s="91"/>
      <c r="BP258" s="91"/>
      <c r="BQ258" s="91"/>
      <c r="BR258" s="91"/>
    </row>
    <row r="259" spans="11:70">
      <c r="K259" s="88"/>
      <c r="L259" s="88"/>
      <c r="M259" s="88"/>
      <c r="N259" s="88"/>
      <c r="O259" s="88"/>
      <c r="P259" s="88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90"/>
      <c r="AI259" s="91"/>
      <c r="AJ259" s="92"/>
      <c r="AK259" s="91"/>
      <c r="AL259" s="92"/>
      <c r="AM259" s="91"/>
      <c r="AN259" s="91"/>
      <c r="AO259" s="90"/>
      <c r="AP259" s="90"/>
      <c r="AQ259" s="93"/>
      <c r="AR259" s="93"/>
      <c r="AS259" s="91"/>
      <c r="AT259" s="90"/>
      <c r="AU259" s="90"/>
      <c r="AV259" s="93"/>
      <c r="AW259" s="93"/>
      <c r="AX259" s="90"/>
      <c r="AY259" s="90"/>
      <c r="AZ259" s="93"/>
      <c r="BA259" s="93"/>
      <c r="BB259" s="90"/>
      <c r="BC259" s="90"/>
      <c r="BD259" s="93"/>
      <c r="BE259" s="93"/>
      <c r="BF259" s="90"/>
      <c r="BG259" s="90"/>
      <c r="BH259" s="93"/>
      <c r="BI259" s="93"/>
      <c r="BJ259" s="91"/>
      <c r="BK259" s="91"/>
      <c r="BL259" s="91"/>
      <c r="BM259" s="91"/>
      <c r="BN259" s="91"/>
      <c r="BO259" s="91"/>
      <c r="BP259" s="91"/>
      <c r="BQ259" s="91"/>
      <c r="BR259" s="91"/>
    </row>
    <row r="260" spans="11:70">
      <c r="K260" s="88"/>
      <c r="L260" s="88"/>
      <c r="M260" s="88"/>
      <c r="N260" s="88"/>
      <c r="O260" s="88"/>
      <c r="P260" s="88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90"/>
      <c r="AI260" s="91"/>
      <c r="AJ260" s="92"/>
      <c r="AK260" s="91"/>
      <c r="AL260" s="92"/>
      <c r="AM260" s="91"/>
      <c r="AN260" s="91"/>
      <c r="AO260" s="90"/>
      <c r="AP260" s="90"/>
      <c r="AQ260" s="93"/>
      <c r="AR260" s="93"/>
      <c r="AS260" s="91"/>
      <c r="AT260" s="90"/>
      <c r="AU260" s="90"/>
      <c r="AV260" s="93"/>
      <c r="AW260" s="93"/>
      <c r="AX260" s="90"/>
      <c r="AY260" s="90"/>
      <c r="AZ260" s="93"/>
      <c r="BA260" s="93"/>
      <c r="BB260" s="90"/>
      <c r="BC260" s="90"/>
      <c r="BD260" s="93"/>
      <c r="BE260" s="93"/>
      <c r="BF260" s="90"/>
      <c r="BG260" s="90"/>
      <c r="BH260" s="93"/>
      <c r="BI260" s="93"/>
      <c r="BJ260" s="91"/>
      <c r="BK260" s="91"/>
      <c r="BL260" s="91"/>
      <c r="BM260" s="91"/>
      <c r="BN260" s="91"/>
      <c r="BO260" s="91"/>
      <c r="BP260" s="91"/>
      <c r="BQ260" s="91"/>
      <c r="BR260" s="91"/>
    </row>
    <row r="261" spans="11:70">
      <c r="K261" s="88"/>
      <c r="L261" s="88"/>
      <c r="M261" s="88"/>
      <c r="N261" s="88"/>
      <c r="O261" s="88"/>
      <c r="P261" s="88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90"/>
      <c r="AI261" s="91"/>
      <c r="AJ261" s="92"/>
      <c r="AK261" s="91"/>
      <c r="AL261" s="92"/>
      <c r="AM261" s="91"/>
      <c r="AN261" s="91"/>
      <c r="AO261" s="90"/>
      <c r="AP261" s="90"/>
      <c r="AQ261" s="93"/>
      <c r="AR261" s="93"/>
      <c r="AS261" s="91"/>
      <c r="AT261" s="90"/>
      <c r="AU261" s="90"/>
      <c r="AV261" s="93"/>
      <c r="AW261" s="93"/>
      <c r="AX261" s="90"/>
      <c r="AY261" s="90"/>
      <c r="AZ261" s="93"/>
      <c r="BA261" s="93"/>
      <c r="BB261" s="90"/>
      <c r="BC261" s="90"/>
      <c r="BD261" s="93"/>
      <c r="BE261" s="93"/>
      <c r="BF261" s="90"/>
      <c r="BG261" s="90"/>
      <c r="BH261" s="93"/>
      <c r="BI261" s="93"/>
      <c r="BJ261" s="91"/>
      <c r="BK261" s="91"/>
      <c r="BL261" s="91"/>
      <c r="BM261" s="91"/>
      <c r="BN261" s="91"/>
      <c r="BO261" s="91"/>
      <c r="BP261" s="91"/>
      <c r="BQ261" s="91"/>
      <c r="BR261" s="91"/>
    </row>
    <row r="262" spans="11:70">
      <c r="K262" s="88"/>
      <c r="L262" s="88"/>
      <c r="M262" s="88"/>
      <c r="N262" s="88"/>
      <c r="O262" s="88"/>
      <c r="P262" s="88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90"/>
      <c r="AI262" s="91"/>
      <c r="AJ262" s="92"/>
      <c r="AK262" s="91"/>
      <c r="AL262" s="92"/>
      <c r="AM262" s="91"/>
      <c r="AN262" s="91"/>
      <c r="AO262" s="90"/>
      <c r="AP262" s="90"/>
      <c r="AQ262" s="93"/>
      <c r="AR262" s="93"/>
      <c r="AS262" s="91"/>
      <c r="AT262" s="90"/>
      <c r="AU262" s="90"/>
      <c r="AV262" s="93"/>
      <c r="AW262" s="93"/>
      <c r="AX262" s="90"/>
      <c r="AY262" s="90"/>
      <c r="AZ262" s="93"/>
      <c r="BA262" s="93"/>
      <c r="BB262" s="90"/>
      <c r="BC262" s="90"/>
      <c r="BD262" s="93"/>
      <c r="BE262" s="93"/>
      <c r="BF262" s="90"/>
      <c r="BG262" s="90"/>
      <c r="BH262" s="93"/>
      <c r="BI262" s="93"/>
      <c r="BJ262" s="91"/>
      <c r="BK262" s="91"/>
      <c r="BL262" s="91"/>
      <c r="BM262" s="91"/>
      <c r="BN262" s="91"/>
      <c r="BO262" s="91"/>
      <c r="BP262" s="91"/>
      <c r="BQ262" s="91"/>
      <c r="BR262" s="91"/>
    </row>
    <row r="263" spans="11:70">
      <c r="K263" s="88"/>
      <c r="L263" s="88"/>
      <c r="M263" s="88"/>
      <c r="N263" s="88"/>
      <c r="O263" s="88"/>
      <c r="P263" s="88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90"/>
      <c r="AI263" s="91"/>
      <c r="AJ263" s="92"/>
      <c r="AK263" s="91"/>
      <c r="AL263" s="92"/>
      <c r="AM263" s="91"/>
      <c r="AN263" s="91"/>
      <c r="AO263" s="90"/>
      <c r="AP263" s="90"/>
      <c r="AQ263" s="93"/>
      <c r="AR263" s="93"/>
      <c r="AS263" s="91"/>
      <c r="AT263" s="90"/>
      <c r="AU263" s="90"/>
      <c r="AV263" s="93"/>
      <c r="AW263" s="93"/>
      <c r="AX263" s="90"/>
      <c r="AY263" s="90"/>
      <c r="AZ263" s="93"/>
      <c r="BA263" s="93"/>
      <c r="BB263" s="90"/>
      <c r="BC263" s="90"/>
      <c r="BD263" s="93"/>
      <c r="BE263" s="93"/>
      <c r="BF263" s="90"/>
      <c r="BG263" s="90"/>
      <c r="BH263" s="93"/>
      <c r="BI263" s="93"/>
      <c r="BJ263" s="91"/>
      <c r="BK263" s="91"/>
      <c r="BL263" s="91"/>
      <c r="BM263" s="91"/>
      <c r="BN263" s="91"/>
      <c r="BO263" s="91"/>
      <c r="BP263" s="91"/>
      <c r="BQ263" s="91"/>
      <c r="BR263" s="91"/>
    </row>
    <row r="264" spans="11:70">
      <c r="K264" s="88"/>
      <c r="L264" s="88"/>
      <c r="M264" s="88"/>
      <c r="N264" s="88"/>
      <c r="O264" s="88"/>
      <c r="P264" s="88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90"/>
      <c r="AI264" s="91"/>
      <c r="AJ264" s="92"/>
      <c r="AK264" s="91"/>
      <c r="AL264" s="92"/>
      <c r="AM264" s="91"/>
      <c r="AN264" s="91"/>
      <c r="AO264" s="90"/>
      <c r="AP264" s="90"/>
      <c r="AQ264" s="93"/>
      <c r="AR264" s="93"/>
      <c r="AS264" s="91"/>
      <c r="AT264" s="90"/>
      <c r="AU264" s="90"/>
      <c r="AV264" s="93"/>
      <c r="AW264" s="93"/>
      <c r="AX264" s="90"/>
      <c r="AY264" s="90"/>
      <c r="AZ264" s="93"/>
      <c r="BA264" s="93"/>
      <c r="BB264" s="90"/>
      <c r="BC264" s="90"/>
      <c r="BD264" s="93"/>
      <c r="BE264" s="93"/>
      <c r="BF264" s="90"/>
      <c r="BG264" s="90"/>
      <c r="BH264" s="93"/>
      <c r="BI264" s="93"/>
      <c r="BJ264" s="91"/>
      <c r="BK264" s="91"/>
      <c r="BL264" s="91"/>
      <c r="BM264" s="91"/>
      <c r="BN264" s="91"/>
      <c r="BO264" s="91"/>
      <c r="BP264" s="91"/>
      <c r="BQ264" s="91"/>
      <c r="BR264" s="91"/>
    </row>
    <row r="265" spans="11:70">
      <c r="K265" s="88"/>
      <c r="L265" s="88"/>
      <c r="M265" s="88"/>
      <c r="N265" s="88"/>
      <c r="O265" s="88"/>
      <c r="P265" s="88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90"/>
      <c r="AI265" s="91"/>
      <c r="AJ265" s="92"/>
      <c r="AK265" s="91"/>
      <c r="AL265" s="92"/>
      <c r="AM265" s="91"/>
      <c r="AN265" s="91"/>
      <c r="AO265" s="90"/>
      <c r="AP265" s="90"/>
      <c r="AQ265" s="93"/>
      <c r="AR265" s="93"/>
      <c r="AS265" s="91"/>
      <c r="AT265" s="90"/>
      <c r="AU265" s="90"/>
      <c r="AV265" s="93"/>
      <c r="AW265" s="93"/>
      <c r="AX265" s="90"/>
      <c r="AY265" s="90"/>
      <c r="AZ265" s="93"/>
      <c r="BA265" s="93"/>
      <c r="BB265" s="90"/>
      <c r="BC265" s="90"/>
      <c r="BD265" s="93"/>
      <c r="BE265" s="93"/>
      <c r="BF265" s="90"/>
      <c r="BG265" s="90"/>
      <c r="BH265" s="93"/>
      <c r="BI265" s="93"/>
      <c r="BJ265" s="91"/>
      <c r="BK265" s="91"/>
      <c r="BL265" s="91"/>
      <c r="BM265" s="91"/>
      <c r="BN265" s="91"/>
      <c r="BO265" s="91"/>
      <c r="BP265" s="91"/>
      <c r="BQ265" s="91"/>
      <c r="BR265" s="91"/>
    </row>
    <row r="266" spans="11:70">
      <c r="K266" s="88"/>
      <c r="L266" s="88"/>
      <c r="M266" s="88"/>
      <c r="N266" s="88"/>
      <c r="O266" s="88"/>
      <c r="P266" s="88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90"/>
      <c r="AI266" s="91"/>
      <c r="AJ266" s="92"/>
      <c r="AK266" s="91"/>
      <c r="AL266" s="92"/>
      <c r="AM266" s="91"/>
      <c r="AN266" s="91"/>
      <c r="AO266" s="90"/>
      <c r="AP266" s="90"/>
      <c r="AQ266" s="93"/>
      <c r="AR266" s="93"/>
      <c r="AS266" s="91"/>
      <c r="AT266" s="90"/>
      <c r="AU266" s="90"/>
      <c r="AV266" s="93"/>
      <c r="AW266" s="93"/>
      <c r="AX266" s="90"/>
      <c r="AY266" s="90"/>
      <c r="AZ266" s="93"/>
      <c r="BA266" s="93"/>
      <c r="BB266" s="90"/>
      <c r="BC266" s="90"/>
      <c r="BD266" s="93"/>
      <c r="BE266" s="93"/>
      <c r="BF266" s="90"/>
      <c r="BG266" s="90"/>
      <c r="BH266" s="93"/>
      <c r="BI266" s="93"/>
      <c r="BJ266" s="91"/>
      <c r="BK266" s="91"/>
      <c r="BL266" s="91"/>
      <c r="BM266" s="91"/>
      <c r="BN266" s="91"/>
      <c r="BO266" s="91"/>
      <c r="BP266" s="91"/>
      <c r="BQ266" s="91"/>
      <c r="BR266" s="91"/>
    </row>
    <row r="267" spans="11:70">
      <c r="K267" s="88"/>
      <c r="L267" s="88"/>
      <c r="M267" s="88"/>
      <c r="N267" s="88"/>
      <c r="O267" s="88"/>
      <c r="P267" s="88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90"/>
      <c r="AI267" s="91"/>
      <c r="AJ267" s="92"/>
      <c r="AK267" s="91"/>
      <c r="AL267" s="92"/>
      <c r="AM267" s="91"/>
      <c r="AN267" s="91"/>
      <c r="AO267" s="90"/>
      <c r="AP267" s="90"/>
      <c r="AQ267" s="93"/>
      <c r="AR267" s="93"/>
      <c r="AS267" s="91"/>
      <c r="AT267" s="90"/>
      <c r="AU267" s="90"/>
      <c r="AV267" s="93"/>
      <c r="AW267" s="93"/>
      <c r="AX267" s="90"/>
      <c r="AY267" s="90"/>
      <c r="AZ267" s="93"/>
      <c r="BA267" s="93"/>
      <c r="BB267" s="90"/>
      <c r="BC267" s="90"/>
      <c r="BD267" s="93"/>
      <c r="BE267" s="93"/>
      <c r="BF267" s="90"/>
      <c r="BG267" s="90"/>
      <c r="BH267" s="93"/>
      <c r="BI267" s="93"/>
      <c r="BJ267" s="91"/>
      <c r="BK267" s="91"/>
      <c r="BL267" s="91"/>
      <c r="BM267" s="91"/>
      <c r="BN267" s="91"/>
      <c r="BO267" s="91"/>
      <c r="BP267" s="91"/>
      <c r="BQ267" s="91"/>
      <c r="BR267" s="91"/>
    </row>
  </sheetData>
  <mergeCells count="35">
    <mergeCell ref="H1:I1"/>
    <mergeCell ref="C8:G8"/>
    <mergeCell ref="C15:D15"/>
    <mergeCell ref="A23:A24"/>
    <mergeCell ref="C30:C35"/>
    <mergeCell ref="C38:C41"/>
    <mergeCell ref="C45:C48"/>
    <mergeCell ref="C51:C55"/>
    <mergeCell ref="C58:C61"/>
    <mergeCell ref="C64:C68"/>
    <mergeCell ref="C71:C74"/>
    <mergeCell ref="C78:C81"/>
    <mergeCell ref="C85:C88"/>
    <mergeCell ref="D51:D55"/>
    <mergeCell ref="D81:D86"/>
    <mergeCell ref="E48:E54"/>
    <mergeCell ref="E61:E67"/>
    <mergeCell ref="E80:E87"/>
    <mergeCell ref="F34:F41"/>
    <mergeCell ref="F44:F50"/>
    <mergeCell ref="F54:F60"/>
    <mergeCell ref="F71:F78"/>
    <mergeCell ref="F81:F88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AC80" sqref="AC80"/>
    </sheetView>
  </sheetViews>
  <sheetFormatPr defaultColWidth="9" defaultRowHeight="13.5"/>
  <cols>
    <col min="1" max="1" width="12.875" customWidth="1"/>
    <col min="11" max="11" width="12.625" style="30" customWidth="1"/>
    <col min="12" max="16" width="12.625" style="25" customWidth="1"/>
    <col min="18" max="18" width="24.625" style="31" customWidth="1"/>
    <col min="19" max="33" width="9" style="31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2"/>
    <col min="48" max="49" width="9" style="32"/>
    <col min="62" max="66" width="9" style="24"/>
    <col min="67" max="68" width="9.00833333333333" style="24" customWidth="1"/>
    <col min="69" max="70" width="9" style="24"/>
  </cols>
  <sheetData>
    <row r="1" spans="1:70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t="s">
        <v>30</v>
      </c>
      <c r="AI1" s="24" t="s">
        <v>31</v>
      </c>
      <c r="AJ1" s="25" t="s">
        <v>32</v>
      </c>
      <c r="AK1" s="24" t="s">
        <v>33</v>
      </c>
      <c r="AL1" s="25" t="s">
        <v>34</v>
      </c>
      <c r="AM1" s="24" t="s">
        <v>35</v>
      </c>
      <c r="AN1" s="24" t="s">
        <v>36</v>
      </c>
      <c r="AO1" t="s">
        <v>37</v>
      </c>
      <c r="AP1" t="s">
        <v>38</v>
      </c>
      <c r="AQ1" s="32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</row>
    <row r="2" spans="1:70">
      <c r="A2" s="40" t="s">
        <v>67</v>
      </c>
      <c r="B2" s="31"/>
      <c r="C2" s="31"/>
      <c r="D2" s="31"/>
      <c r="E2" s="41"/>
      <c r="F2" s="42" t="s">
        <v>68</v>
      </c>
      <c r="G2" s="43" t="s">
        <v>69</v>
      </c>
      <c r="H2" s="44" t="s">
        <v>70</v>
      </c>
      <c r="I2" s="11">
        <f>620*(1-IF(F17="√",0.06,0)-IF(D20="√",0.04,0))</f>
        <v>620</v>
      </c>
      <c r="K2" s="30">
        <f>$L2*VLOOKUP($R2,武学奇术!$A:$ZZ,31,FALSE)</f>
        <v>27166.238058717</v>
      </c>
      <c r="L2" s="30">
        <f t="shared" ref="L2:L65" si="0">($M2*$BO2+$N2*$BM2+$O2*$BP2+$P2*$BQ2)</f>
        <v>24696.5800533791</v>
      </c>
      <c r="M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19872.7918041937</v>
      </c>
      <c r="N2" s="30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34477.8779156219</v>
      </c>
      <c r="O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13248.5278694624</v>
      </c>
      <c r="P2" s="30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6120.05933489302</v>
      </c>
      <c r="Q2" s="38">
        <v>1</v>
      </c>
      <c r="R2" s="39" t="s">
        <v>71</v>
      </c>
      <c r="S2" s="39" t="s">
        <v>72</v>
      </c>
      <c r="T2" s="39" t="s">
        <v>69</v>
      </c>
      <c r="U2" s="39" t="s">
        <v>73</v>
      </c>
      <c r="V2" s="39" t="s">
        <v>74</v>
      </c>
      <c r="W2" s="39" t="s">
        <v>75</v>
      </c>
      <c r="X2" s="39" t="s">
        <v>75</v>
      </c>
      <c r="Y2" s="39" t="s">
        <v>75</v>
      </c>
      <c r="Z2" s="39" t="s">
        <v>75</v>
      </c>
      <c r="AA2" s="39" t="s">
        <v>75</v>
      </c>
      <c r="AB2" s="39" t="s">
        <v>75</v>
      </c>
      <c r="AC2" s="39" t="s">
        <v>75</v>
      </c>
      <c r="AD2" s="39" t="s">
        <v>75</v>
      </c>
      <c r="AE2" s="39" t="s">
        <v>75</v>
      </c>
      <c r="AF2" s="39" t="s">
        <v>75</v>
      </c>
      <c r="AG2" s="39" t="s">
        <v>76</v>
      </c>
      <c r="AH2" t="str">
        <f>VLOOKUP($R2,武学奇术!$A:$ZZ,25,FALSE)</f>
        <v>群体奇术</v>
      </c>
      <c r="AI2" s="24">
        <f>VLOOKUP($R2,武学奇术!$A:$ZZ,26,FALSE)</f>
        <v>1.4904</v>
      </c>
      <c r="AJ2" s="25">
        <f>VLOOKUP($R2,武学奇术!$A:$ZZ,27,FALSE)*(1+IF(OR($AH2=$F$4,$AH2=$F$5),$B$22,0))</f>
        <v>368</v>
      </c>
      <c r="AK2" s="24">
        <f>VLOOKUP($R2,武学奇术!$A:$ZZ,28,FALSE)</f>
        <v>2.2353</v>
      </c>
      <c r="AL2" s="25">
        <f>VLOOKUP($R2,武学奇术!$A:$ZZ,29,FALSE)*(1+IF(OR($AH2=$F$4,$AH2=$F$5),$B$22,0))</f>
        <v>0</v>
      </c>
      <c r="AM2" s="24" cm="1">
        <f t="array" ref="AM2">$G$3+IFERROR(VLOOKUP($AH2,$F$4:$G$7,2,FALSE),0)+VLOOKUP($R2,武学奇术!$A:$ZZ,2,FALSE)+SUM(_xlfn.XLOOKUP($S2:$AG2,增益!$A:$A,增益!$B:$B,0))</f>
        <v>0.3037</v>
      </c>
      <c r="AN2" s="24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1302.4</v>
      </c>
      <c r="AP2" cm="1">
        <f t="array" ref="AP2">$E$10*(1+$AN2)+VLOOKUP($R2,武学奇术!$A:$ZZ,4,FALSE)+SUM(_xlfn.XLOOKUP($S2:$AG2,增益!$A:$A,增益!$D:$D,0))-$I$2</f>
        <v>6112.4</v>
      </c>
      <c r="AQ2" s="32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0.1925</v>
      </c>
      <c r="AR2" s="32" cm="1">
        <f t="array" ref="AR2">$G$10+VLOOKUP($R2,武学奇术!$A:$ZZ,7,FALSE)+SUM(_xlfn.XLOOKUP(S2:AG2,增益!$A:$A,增益!$G:$G,0))</f>
        <v>0</v>
      </c>
      <c r="AS2" s="24" cm="1">
        <f t="array" ref="AS2">VLOOKUP($R2,武学奇术!$A:$ZZ,8,FALSE)+SUM(_xlfn.XLOOKUP(S2:AG2,增益!$A:$A,增益!$H:$H,0))</f>
        <v>0</v>
      </c>
      <c r="AT2">
        <f t="shared" ref="AT2:AT65" si="1">$D$11*(1+$AS2)</f>
        <v>557.3</v>
      </c>
      <c r="AU2">
        <f t="shared" ref="AU2:AU65" si="2">$E$11*(1+$AS2)</f>
        <v>1049.5</v>
      </c>
      <c r="AV2" s="32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2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2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2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2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2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2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2" cm="1">
        <f t="array" ref="BI2">$G$14+VLOOKUP($R2,武学奇术!$A:$ZZ,16,FALSE)+SUM(_xlfn.XLOOKUP(S2:AG2,增益!$A:$A,增益!$P:$P,0))</f>
        <v>0</v>
      </c>
      <c r="BJ2" s="24">
        <f>MIN(IF(VLOOKUP($R2,武学奇术!$A:$ZZ,23,FALSE)=1,100%,$B$8),100%)</f>
        <v>0.8271</v>
      </c>
      <c r="BK2" s="24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0.1789</v>
      </c>
      <c r="BL2" s="24" cm="1">
        <f t="array" ref="BL2">1+$B$13+VLOOKUP($R2,武学奇术!$A:$ZZ,18,FALSE)+SUM(_xlfn.XLOOKUP(S2:AG2,增益!$A:$A,增益!$R:$R,0))</f>
        <v>1.5</v>
      </c>
      <c r="BM2" s="24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0.5209</v>
      </c>
      <c r="BN2" s="24" cm="1">
        <f t="array" ref="BN2">1+$B$14+VLOOKUP($R2,武学奇术!$A:$ZZ,20,FALSE)+SUM(_xlfn.XLOOKUP(S2:AG2,增益!$A:$A,增益!$T:$T,0))</f>
        <v>1.692</v>
      </c>
      <c r="BO2" s="24">
        <f t="shared" ref="BO2:BO65" si="9">MIN((1-BM2)*BJ2,BJ2*BK2)</f>
        <v>0.14796819</v>
      </c>
      <c r="BP2" s="24">
        <f t="shared" ref="BP2:BP65" si="10">1-BM2-BO2-BQ2</f>
        <v>0.24829542</v>
      </c>
      <c r="BQ2" s="24">
        <f>IF(VLOOKUP($R2,武学奇术!$A:$ZZ,22,FALSE)=1,0,(1-$BJ2))*(1-$BM2)</f>
        <v>0.08283639</v>
      </c>
      <c r="BR2" s="24" cm="1">
        <f t="array" ref="BR2">SUM(_xlfn.XLOOKUP(S2:AG2,增益!$A:$A,增益!$W:$W,0))+$I$5</f>
        <v>0.11</v>
      </c>
    </row>
    <row r="3" spans="1:70">
      <c r="A3" s="45" t="s">
        <v>5</v>
      </c>
      <c r="B3" s="46"/>
      <c r="C3" s="46"/>
      <c r="D3" s="46"/>
      <c r="E3" s="47"/>
      <c r="F3" s="44" t="s">
        <v>35</v>
      </c>
      <c r="G3" s="48">
        <f>B16+1.5%+IF($D$16="√",8%,0)</f>
        <v>0.1037</v>
      </c>
      <c r="H3" s="44" t="s">
        <v>77</v>
      </c>
      <c r="I3" s="11">
        <f>25-IF(D17="√",10,0)-IF(F17="√",10,0)</f>
        <v>25</v>
      </c>
      <c r="K3" s="30">
        <f>$L3*VLOOKUP($R3,武学奇术!$A:$ZZ,31,FALSE)</f>
        <v>49849.5739333884</v>
      </c>
      <c r="L3" s="30">
        <f t="shared" si="0"/>
        <v>45317.7944848986</v>
      </c>
      <c r="M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37319.3860000272</v>
      </c>
      <c r="N3" s="30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62538.4812245938</v>
      </c>
      <c r="O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24879.5906666848</v>
      </c>
      <c r="P3" s="30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12578.1580131592</v>
      </c>
      <c r="Q3" s="38">
        <v>1</v>
      </c>
      <c r="R3" s="39" t="s">
        <v>78</v>
      </c>
      <c r="S3" s="39" t="s">
        <v>75</v>
      </c>
      <c r="T3" s="39" t="s">
        <v>69</v>
      </c>
      <c r="U3" s="39" t="s">
        <v>73</v>
      </c>
      <c r="V3" s="39" t="s">
        <v>75</v>
      </c>
      <c r="W3" s="39" t="s">
        <v>79</v>
      </c>
      <c r="X3" s="39" t="s">
        <v>75</v>
      </c>
      <c r="Y3" s="39" t="s">
        <v>80</v>
      </c>
      <c r="Z3" s="39" t="s">
        <v>75</v>
      </c>
      <c r="AA3" s="39" t="s">
        <v>75</v>
      </c>
      <c r="AB3" s="39" t="s">
        <v>75</v>
      </c>
      <c r="AC3" s="39" t="s">
        <v>75</v>
      </c>
      <c r="AD3" s="39" t="s">
        <v>75</v>
      </c>
      <c r="AE3" s="39" t="s">
        <v>75</v>
      </c>
      <c r="AF3" s="39" t="s">
        <v>75</v>
      </c>
      <c r="AG3" s="39" t="s">
        <v>76</v>
      </c>
      <c r="AH3" t="str">
        <f>VLOOKUP($R3,武学奇术!$A:$ZZ,25,FALSE)</f>
        <v>剑</v>
      </c>
      <c r="AI3" s="24">
        <f>VLOOKUP($R3,武学奇术!$A:$ZZ,26,FALSE)</f>
        <v>1.3066</v>
      </c>
      <c r="AJ3" s="25">
        <f>VLOOKUP($R3,武学奇术!$A:$ZZ,27,FALSE)*(1+IF(OR($AH3=$F$4,$AH3=$F$5),$B$22,0))</f>
        <v>505.4</v>
      </c>
      <c r="AK3" s="24">
        <f>VLOOKUP($R3,武学奇术!$A:$ZZ,28,FALSE)</f>
        <v>1.9598</v>
      </c>
      <c r="AL3" s="25">
        <f>VLOOKUP($R3,武学奇术!$A:$ZZ,29,FALSE)*(1+IF(OR($AH3=$F$4,$AH3=$F$5),$B$22,0))</f>
        <v>275.8</v>
      </c>
      <c r="AM3" s="24" cm="1">
        <f t="array" ref="AM3">$G$3+IFERROR(VLOOKUP($AH3,$F$4:$G$7,2,FALSE),0)+VLOOKUP($R3,武学奇术!$A:$ZZ,2,FALSE)+SUM(_xlfn.XLOOKUP($S3:$AG3,增益!$A:$A,增益!$B:$B,0))</f>
        <v>0.9441</v>
      </c>
      <c r="AN3" s="24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1302.4</v>
      </c>
      <c r="AP3" cm="1">
        <f t="array" ref="AP3">$E$10*(1+$AN3)+VLOOKUP($R3,武学奇术!$A:$ZZ,4,FALSE)+SUM(_xlfn.XLOOKUP($S3:$AG3,增益!$A:$A,增益!$D:$D,0))-$I$2</f>
        <v>6112.4</v>
      </c>
      <c r="AQ3" s="32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0.1925</v>
      </c>
      <c r="AR3" s="32" cm="1">
        <f t="array" ref="AR3">$G$10+VLOOKUP($R3,武学奇术!$A:$ZZ,7,FALSE)+SUM(_xlfn.XLOOKUP(S3:AG3,增益!$A:$A,增益!$G:$G,0))</f>
        <v>0</v>
      </c>
      <c r="AS3" s="24" cm="1">
        <f t="array" ref="AS3">VLOOKUP($R3,武学奇术!$A:$ZZ,8,FALSE)+SUM(_xlfn.XLOOKUP(S3:AG3,增益!$A:$A,增益!$H:$H,0))</f>
        <v>0</v>
      </c>
      <c r="AT3">
        <f t="shared" si="1"/>
        <v>557.3</v>
      </c>
      <c r="AU3">
        <f t="shared" si="2"/>
        <v>1049.5</v>
      </c>
      <c r="AV3" s="32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2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2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2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2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2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2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2" cm="1">
        <f t="array" ref="BI3">$G$14+VLOOKUP($R3,武学奇术!$A:$ZZ,16,FALSE)+SUM(_xlfn.XLOOKUP(S3:AG3,增益!$A:$A,增益!$P:$P,0))</f>
        <v>0</v>
      </c>
      <c r="BJ3" s="24">
        <f>MIN(IF(VLOOKUP($R3,武学奇术!$A:$ZZ,23,FALSE)=1,100%,$B$8),100%)</f>
        <v>0.8271</v>
      </c>
      <c r="BK3" s="24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0.1789</v>
      </c>
      <c r="BL3" s="24" cm="1">
        <f t="array" ref="BL3">1+$B$13+VLOOKUP($R3,武学奇术!$A:$ZZ,18,FALSE)+SUM(_xlfn.XLOOKUP(S3:AG3,增益!$A:$A,增益!$R:$R,0))</f>
        <v>1.5</v>
      </c>
      <c r="BM3" s="24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0.5209</v>
      </c>
      <c r="BN3" s="24" cm="1">
        <f t="array" ref="BN3">1+$B$14+VLOOKUP($R3,武学奇术!$A:$ZZ,20,FALSE)+SUM(_xlfn.XLOOKUP(S3:AG3,增益!$A:$A,增益!$T:$T,0))</f>
        <v>1.682</v>
      </c>
      <c r="BO3" s="24">
        <f t="shared" si="9"/>
        <v>0.14796819</v>
      </c>
      <c r="BP3" s="24">
        <f t="shared" si="10"/>
        <v>0.24829542</v>
      </c>
      <c r="BQ3" s="24">
        <f>IF(VLOOKUP($R3,武学奇术!$A:$ZZ,22,FALSE)=1,0,(1-$BJ3))*(1-$BM3)</f>
        <v>0.08283639</v>
      </c>
      <c r="BR3" s="24" cm="1">
        <f t="array" ref="BR3">SUM(_xlfn.XLOOKUP(S3:AG3,增益!$A:$A,增益!$W:$W,0))+$I$5</f>
        <v>0.11</v>
      </c>
    </row>
    <row r="4" ht="14.25" spans="1:70">
      <c r="A4" s="49" t="s">
        <v>81</v>
      </c>
      <c r="B4" s="50"/>
      <c r="C4" s="50"/>
      <c r="D4" s="50"/>
      <c r="E4" s="51"/>
      <c r="F4" s="44" t="s">
        <v>82</v>
      </c>
      <c r="G4" s="48">
        <f>B15+B17</f>
        <v>0.1704</v>
      </c>
      <c r="H4" s="52" t="s">
        <v>83</v>
      </c>
      <c r="I4" s="14">
        <f>30</f>
        <v>30</v>
      </c>
      <c r="K4" s="30">
        <f>$L4*VLOOKUP($R4,武学奇术!$A:$ZZ,31,FALSE)</f>
        <v>63158.6288155968</v>
      </c>
      <c r="L4" s="30">
        <f t="shared" si="0"/>
        <v>57416.9352869062</v>
      </c>
      <c r="M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47080.6142560587</v>
      </c>
      <c r="N4" s="30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79368.2803690898</v>
      </c>
      <c r="O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31387.0761707058</v>
      </c>
      <c r="P4" s="30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15866.1852202002</v>
      </c>
      <c r="Q4" s="38">
        <v>1</v>
      </c>
      <c r="R4" s="39" t="s">
        <v>84</v>
      </c>
      <c r="S4" s="39" t="s">
        <v>72</v>
      </c>
      <c r="T4" s="39" t="s">
        <v>69</v>
      </c>
      <c r="U4" s="39" t="s">
        <v>73</v>
      </c>
      <c r="V4" s="39" t="s">
        <v>75</v>
      </c>
      <c r="W4" s="39" t="s">
        <v>79</v>
      </c>
      <c r="X4" s="39" t="s">
        <v>85</v>
      </c>
      <c r="Y4" s="39" t="s">
        <v>80</v>
      </c>
      <c r="Z4" s="39" t="s">
        <v>75</v>
      </c>
      <c r="AA4" s="39" t="s">
        <v>75</v>
      </c>
      <c r="AB4" s="39" t="s">
        <v>75</v>
      </c>
      <c r="AC4" s="39" t="s">
        <v>75</v>
      </c>
      <c r="AD4" s="39" t="s">
        <v>75</v>
      </c>
      <c r="AE4" s="39" t="s">
        <v>75</v>
      </c>
      <c r="AF4" s="39" t="s">
        <v>75</v>
      </c>
      <c r="AG4" s="39" t="s">
        <v>76</v>
      </c>
      <c r="AH4" t="str">
        <f>VLOOKUP($R4,武学奇术!$A:$ZZ,25,FALSE)</f>
        <v>剑</v>
      </c>
      <c r="AI4" s="24">
        <f>VLOOKUP($R4,武学奇术!$A:$ZZ,26,FALSE)</f>
        <v>1.5679</v>
      </c>
      <c r="AJ4" s="25">
        <f>VLOOKUP($R4,武学奇术!$A:$ZZ,27,FALSE)*(1+IF(OR($AH4=$F$4,$AH4=$F$5),$B$22,0))</f>
        <v>606.2</v>
      </c>
      <c r="AK4" s="24">
        <f>VLOOKUP($R4,武学奇术!$A:$ZZ,28,FALSE)</f>
        <v>2.3518</v>
      </c>
      <c r="AL4" s="25">
        <f>VLOOKUP($R4,武学奇术!$A:$ZZ,29,FALSE)*(1+IF(OR($AH4=$F$4,$AH4=$F$5),$B$22,0))</f>
        <v>330.4</v>
      </c>
      <c r="AM4" s="24" cm="1">
        <f t="array" ref="AM4">$G$3+IFERROR(VLOOKUP($AH4,$F$4:$G$7,2,FALSE),0)+VLOOKUP($R4,武学奇术!$A:$ZZ,2,FALSE)+SUM(_xlfn.XLOOKUP($S4:$AG4,增益!$A:$A,增益!$B:$B,0))</f>
        <v>1.0441</v>
      </c>
      <c r="AN4" s="24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1302.4</v>
      </c>
      <c r="AP4" cm="1">
        <f t="array" ref="AP4">$E$10*(1+$AN4)+VLOOKUP($R4,武学奇术!$A:$ZZ,4,FALSE)+SUM(_xlfn.XLOOKUP($S4:$AG4,增益!$A:$A,增益!$D:$D,0))-$I$2</f>
        <v>6112.4</v>
      </c>
      <c r="AQ4" s="32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0.1925</v>
      </c>
      <c r="AR4" s="32" cm="1">
        <f t="array" ref="AR4">$G$10+VLOOKUP($R4,武学奇术!$A:$ZZ,7,FALSE)+SUM(_xlfn.XLOOKUP(S4:AG4,增益!$A:$A,增益!$G:$G,0))</f>
        <v>0</v>
      </c>
      <c r="AS4" s="24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32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2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2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2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2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2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2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2" cm="1">
        <f t="array" ref="BI4">$G$14+VLOOKUP($R4,武学奇术!$A:$ZZ,16,FALSE)+SUM(_xlfn.XLOOKUP(S4:AG4,增益!$A:$A,增益!$P:$P,0))</f>
        <v>0</v>
      </c>
      <c r="BJ4" s="24">
        <f>MIN(IF(VLOOKUP($R4,武学奇术!$A:$ZZ,23,FALSE)=1,100%,$B$8),100%)</f>
        <v>0.8271</v>
      </c>
      <c r="BK4" s="24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0.1789</v>
      </c>
      <c r="BL4" s="24" cm="1">
        <f t="array" ref="BL4">1+$B$13+VLOOKUP($R4,武学奇术!$A:$ZZ,18,FALSE)+SUM(_xlfn.XLOOKUP(S4:AG4,增益!$A:$A,增益!$R:$R,0))</f>
        <v>1.5</v>
      </c>
      <c r="BM4" s="24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0.5209</v>
      </c>
      <c r="BN4" s="24" cm="1">
        <f t="array" ref="BN4">1+$B$14+VLOOKUP($R4,武学奇术!$A:$ZZ,20,FALSE)+SUM(_xlfn.XLOOKUP(S4:AG4,增益!$A:$A,增益!$T:$T,0))</f>
        <v>1.692</v>
      </c>
      <c r="BO4" s="24">
        <f t="shared" si="9"/>
        <v>0.14796819</v>
      </c>
      <c r="BP4" s="24">
        <f t="shared" si="10"/>
        <v>0.24829542</v>
      </c>
      <c r="BQ4" s="24">
        <f>IF(VLOOKUP($R4,武学奇术!$A:$ZZ,22,FALSE)=1,0,(1-$BJ4))*(1-$BM4)</f>
        <v>0.08283639</v>
      </c>
      <c r="BR4" s="24" cm="1">
        <f t="array" ref="BR4">SUM(_xlfn.XLOOKUP(S4:AG4,增益!$A:$A,增益!$W:$W,0))+$I$5</f>
        <v>0.11</v>
      </c>
    </row>
    <row r="5" spans="1:70">
      <c r="A5" s="53" t="s">
        <v>86</v>
      </c>
      <c r="B5" s="54"/>
      <c r="C5" s="54"/>
      <c r="D5" s="54"/>
      <c r="E5" s="55"/>
      <c r="F5" s="44" t="s">
        <v>87</v>
      </c>
      <c r="G5" s="48">
        <f>B15+B18</f>
        <v>0.0852</v>
      </c>
      <c r="H5" t="s">
        <v>88</v>
      </c>
      <c r="I5" s="26">
        <v>0.06</v>
      </c>
      <c r="K5" s="30">
        <f>$L5*VLOOKUP($R5,武学奇术!$A:$ZZ,31,FALSE)</f>
        <v>84515.5559634183</v>
      </c>
      <c r="L5" s="30">
        <f t="shared" si="0"/>
        <v>76832.3236031075</v>
      </c>
      <c r="M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63004.2325967555</v>
      </c>
      <c r="N5" s="30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106203.377883618</v>
      </c>
      <c r="O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42002.8217311704</v>
      </c>
      <c r="P5" s="30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21237.6896304154</v>
      </c>
      <c r="Q5" s="38">
        <v>1</v>
      </c>
      <c r="R5" s="39" t="s">
        <v>89</v>
      </c>
      <c r="S5" s="39" t="s">
        <v>72</v>
      </c>
      <c r="T5" s="39" t="s">
        <v>69</v>
      </c>
      <c r="U5" s="39" t="s">
        <v>73</v>
      </c>
      <c r="V5" s="39" t="s">
        <v>74</v>
      </c>
      <c r="W5" s="39" t="s">
        <v>79</v>
      </c>
      <c r="X5" s="39" t="s">
        <v>90</v>
      </c>
      <c r="Y5" s="39" t="s">
        <v>80</v>
      </c>
      <c r="Z5" s="39" t="s">
        <v>75</v>
      </c>
      <c r="AA5" s="39" t="s">
        <v>75</v>
      </c>
      <c r="AB5" s="39" t="s">
        <v>75</v>
      </c>
      <c r="AC5" s="39" t="s">
        <v>75</v>
      </c>
      <c r="AD5" s="39" t="s">
        <v>75</v>
      </c>
      <c r="AE5" s="39" t="s">
        <v>75</v>
      </c>
      <c r="AF5" s="39" t="s">
        <v>75</v>
      </c>
      <c r="AG5" s="39" t="s">
        <v>76</v>
      </c>
      <c r="AH5" t="str">
        <f>VLOOKUP($R5,武学奇术!$A:$ZZ,25,FALSE)</f>
        <v>剑</v>
      </c>
      <c r="AI5" s="24">
        <f>VLOOKUP($R5,武学奇术!$A:$ZZ,26,FALSE)</f>
        <v>1.8292</v>
      </c>
      <c r="AJ5" s="25">
        <f>VLOOKUP($R5,武学奇术!$A:$ZZ,27,FALSE)*(1+IF(OR($AH5=$F$4,$AH5=$F$5),$B$22,0))</f>
        <v>708.4</v>
      </c>
      <c r="AK5" s="24">
        <f>VLOOKUP($R5,武学奇术!$A:$ZZ,28,FALSE)</f>
        <v>2.7438</v>
      </c>
      <c r="AL5" s="25">
        <f>VLOOKUP($R5,武学奇术!$A:$ZZ,29,FALSE)*(1+IF(OR($AH5=$F$4,$AH5=$F$5),$B$22,0))</f>
        <v>386.4</v>
      </c>
      <c r="AM5" s="24" cm="1">
        <f t="array" ref="AM5">$G$3+IFERROR(VLOOKUP($AH5,$F$4:$G$7,2,FALSE),0)+VLOOKUP($R5,武学奇术!$A:$ZZ,2,FALSE)+SUM(_xlfn.XLOOKUP($S5:$AG5,增益!$A:$A,增益!$B:$B,0))</f>
        <v>1.3441</v>
      </c>
      <c r="AN5" s="24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1302.4</v>
      </c>
      <c r="AP5" cm="1">
        <f t="array" ref="AP5">$E$10*(1+$AN5)+VLOOKUP($R5,武学奇术!$A:$ZZ,4,FALSE)+SUM(_xlfn.XLOOKUP($S5:$AG5,增益!$A:$A,增益!$D:$D,0))-$I$2</f>
        <v>6112.4</v>
      </c>
      <c r="AQ5" s="32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0.1925</v>
      </c>
      <c r="AR5" s="32" cm="1">
        <f t="array" ref="AR5">$G$10+VLOOKUP($R5,武学奇术!$A:$ZZ,7,FALSE)+SUM(_xlfn.XLOOKUP(S5:AG5,增益!$A:$A,增益!$G:$G,0))</f>
        <v>0</v>
      </c>
      <c r="AS5" s="24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32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2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2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2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2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2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2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2" cm="1">
        <f t="array" ref="BI5">$G$14+VLOOKUP($R5,武学奇术!$A:$ZZ,16,FALSE)+SUM(_xlfn.XLOOKUP(S5:AG5,增益!$A:$A,增益!$P:$P,0))</f>
        <v>0</v>
      </c>
      <c r="BJ5" s="24">
        <f>MIN(IF(VLOOKUP($R5,武学奇术!$A:$ZZ,23,FALSE)=1,100%,$B$8),100%)</f>
        <v>0.8271</v>
      </c>
      <c r="BK5" s="24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0.1789</v>
      </c>
      <c r="BL5" s="24" cm="1">
        <f t="array" ref="BL5">1+$B$13+VLOOKUP($R5,武学奇术!$A:$ZZ,18,FALSE)+SUM(_xlfn.XLOOKUP(S5:AG5,增益!$A:$A,增益!$R:$R,0))</f>
        <v>1.5</v>
      </c>
      <c r="BM5" s="24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0.5209</v>
      </c>
      <c r="BN5" s="24" cm="1">
        <f t="array" ref="BN5">1+$B$14+VLOOKUP($R5,武学奇术!$A:$ZZ,20,FALSE)+SUM(_xlfn.XLOOKUP(S5:AG5,增益!$A:$A,增益!$T:$T,0))</f>
        <v>1.692</v>
      </c>
      <c r="BO5" s="24">
        <f t="shared" si="9"/>
        <v>0.14796819</v>
      </c>
      <c r="BP5" s="24">
        <f t="shared" si="10"/>
        <v>0.24829542</v>
      </c>
      <c r="BQ5" s="24">
        <f>IF(VLOOKUP($R5,武学奇术!$A:$ZZ,22,FALSE)=1,0,(1-$BJ5))*(1-$BM5)</f>
        <v>0.08283639</v>
      </c>
      <c r="BR5" s="24" cm="1">
        <f t="array" ref="BR5">SUM(_xlfn.XLOOKUP(S5:AG5,增益!$A:$A,增益!$W:$W,0))+$I$5</f>
        <v>0.11</v>
      </c>
    </row>
    <row r="6" spans="1:70">
      <c r="A6" s="56" t="s">
        <v>91</v>
      </c>
      <c r="B6" s="57"/>
      <c r="C6" s="57"/>
      <c r="D6" s="57"/>
      <c r="E6" s="58"/>
      <c r="F6" s="44" t="s">
        <v>92</v>
      </c>
      <c r="G6" s="48">
        <f>B19</f>
        <v>0</v>
      </c>
      <c r="K6" s="30">
        <f>$L6*VLOOKUP($R6,武学奇术!$A:$ZZ,31,FALSE)</f>
        <v>22561.4779954981</v>
      </c>
      <c r="L6" s="30">
        <f t="shared" si="0"/>
        <v>20510.4345413619</v>
      </c>
      <c r="M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16817.550435053</v>
      </c>
      <c r="N6" s="30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28352.3727620725</v>
      </c>
      <c r="O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11211.7002900353</v>
      </c>
      <c r="P6" s="30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5666.67908948406</v>
      </c>
      <c r="Q6" s="38">
        <v>1</v>
      </c>
      <c r="R6" s="39" t="s">
        <v>93</v>
      </c>
      <c r="S6" s="39" t="s">
        <v>72</v>
      </c>
      <c r="T6" s="39" t="s">
        <v>69</v>
      </c>
      <c r="U6" s="39" t="s">
        <v>73</v>
      </c>
      <c r="V6" s="39" t="s">
        <v>74</v>
      </c>
      <c r="W6" s="39" t="s">
        <v>75</v>
      </c>
      <c r="X6" s="39" t="s">
        <v>75</v>
      </c>
      <c r="Y6" s="39" t="s">
        <v>75</v>
      </c>
      <c r="Z6" s="39" t="s">
        <v>75</v>
      </c>
      <c r="AA6" s="39" t="s">
        <v>75</v>
      </c>
      <c r="AB6" s="39" t="s">
        <v>75</v>
      </c>
      <c r="AC6" s="39" t="s">
        <v>75</v>
      </c>
      <c r="AD6" s="39" t="s">
        <v>75</v>
      </c>
      <c r="AE6" s="39" t="s">
        <v>75</v>
      </c>
      <c r="AF6" s="39" t="s">
        <v>75</v>
      </c>
      <c r="AG6" s="39" t="s">
        <v>76</v>
      </c>
      <c r="AH6" t="str">
        <f>VLOOKUP($R6,武学奇术!$A:$ZZ,25,FALSE)</f>
        <v>剑</v>
      </c>
      <c r="AI6" s="24">
        <f>VLOOKUP($R6,武学奇术!$A:$ZZ,26,FALSE)</f>
        <v>1.0253</v>
      </c>
      <c r="AJ6" s="25">
        <f>VLOOKUP($R6,武学奇术!$A:$ZZ,27,FALSE)*(1+IF(OR($AH6=$F$4,$AH6=$F$5),$B$22,0))</f>
        <v>396.2</v>
      </c>
      <c r="AK6" s="24">
        <f>VLOOKUP($R6,武学奇术!$A:$ZZ,28,FALSE)</f>
        <v>1.538</v>
      </c>
      <c r="AL6" s="25">
        <f>VLOOKUP($R6,武学奇术!$A:$ZZ,29,FALSE)*(1+IF(OR($AH6=$F$4,$AH6=$F$5),$B$22,0))</f>
        <v>215.6</v>
      </c>
      <c r="AM6" s="24" cm="1">
        <f t="array" ref="AM6">$G$3+IFERROR(VLOOKUP($AH6,$F$4:$G$7,2,FALSE),0)+VLOOKUP($R6,武学奇术!$A:$ZZ,2,FALSE)+SUM(_xlfn.XLOOKUP($S6:$AG6,增益!$A:$A,增益!$B:$B,0))</f>
        <v>0.4741</v>
      </c>
      <c r="AN6" s="24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1302.4</v>
      </c>
      <c r="AP6" cm="1">
        <f t="array" ref="AP6">$E$10*(1+$AN6)+VLOOKUP($R6,武学奇术!$A:$ZZ,4,FALSE)+SUM(_xlfn.XLOOKUP($S6:$AG6,增益!$A:$A,增益!$D:$D,0))-$I$2</f>
        <v>6112.4</v>
      </c>
      <c r="AQ6" s="32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0.1925</v>
      </c>
      <c r="AR6" s="32" cm="1">
        <f t="array" ref="AR6">$G$10+VLOOKUP($R6,武学奇术!$A:$ZZ,7,FALSE)+SUM(_xlfn.XLOOKUP(S6:AG6,增益!$A:$A,增益!$G:$G,0))</f>
        <v>0</v>
      </c>
      <c r="AS6" s="24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32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2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2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2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2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2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2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2" cm="1">
        <f t="array" ref="BI6">$G$14+VLOOKUP($R6,武学奇术!$A:$ZZ,16,FALSE)+SUM(_xlfn.XLOOKUP(S6:AG6,增益!$A:$A,增益!$P:$P,0))</f>
        <v>0</v>
      </c>
      <c r="BJ6" s="24">
        <f>MIN(IF(VLOOKUP($R6,武学奇术!$A:$ZZ,23,FALSE)=1,100%,$B$8),100%)</f>
        <v>0.8271</v>
      </c>
      <c r="BK6" s="24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0.1789</v>
      </c>
      <c r="BL6" s="24" cm="1">
        <f t="array" ref="BL6">1+$B$13+VLOOKUP($R6,武学奇术!$A:$ZZ,18,FALSE)+SUM(_xlfn.XLOOKUP(S6:AG6,增益!$A:$A,增益!$R:$R,0))</f>
        <v>1.5</v>
      </c>
      <c r="BM6" s="24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0.5209</v>
      </c>
      <c r="BN6" s="24" cm="1">
        <f t="array" ref="BN6">1+$B$14+VLOOKUP($R6,武学奇术!$A:$ZZ,20,FALSE)+SUM(_xlfn.XLOOKUP(S6:AG6,增益!$A:$A,增益!$T:$T,0))</f>
        <v>1.692</v>
      </c>
      <c r="BO6" s="24">
        <f t="shared" si="9"/>
        <v>0.14796819</v>
      </c>
      <c r="BP6" s="24">
        <f t="shared" si="10"/>
        <v>0.24829542</v>
      </c>
      <c r="BQ6" s="24">
        <f>IF(VLOOKUP($R6,武学奇术!$A:$ZZ,22,FALSE)=1,0,(1-$BJ6))*(1-$BM6)</f>
        <v>0.08283639</v>
      </c>
      <c r="BR6" s="24" cm="1">
        <f t="array" ref="BR6">SUM(_xlfn.XLOOKUP(S6:AG6,增益!$A:$A,增益!$W:$W,0))+$I$5</f>
        <v>0.11</v>
      </c>
    </row>
    <row r="7" ht="14.25" spans="1:70">
      <c r="A7" s="40" t="s">
        <v>94</v>
      </c>
      <c r="B7" s="59"/>
      <c r="C7" s="59"/>
      <c r="D7" s="60"/>
      <c r="E7" s="61"/>
      <c r="F7" s="52" t="s">
        <v>95</v>
      </c>
      <c r="G7" s="62">
        <f>B20</f>
        <v>0</v>
      </c>
      <c r="K7" s="30">
        <f>$L7*VLOOKUP($R7,武学奇术!$A:$ZZ,31,FALSE)</f>
        <v>243932.71282318</v>
      </c>
      <c r="L7" s="30">
        <f t="shared" si="0"/>
        <v>221757.011657437</v>
      </c>
      <c r="M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168903.102563423</v>
      </c>
      <c r="N7" s="30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315013.354351819</v>
      </c>
      <c r="O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112602.068375615</v>
      </c>
      <c r="P7" s="30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56927.7722470538</v>
      </c>
      <c r="Q7" s="38">
        <v>1</v>
      </c>
      <c r="R7" s="39" t="s">
        <v>96</v>
      </c>
      <c r="S7" s="39" t="s">
        <v>72</v>
      </c>
      <c r="T7" s="39" t="s">
        <v>69</v>
      </c>
      <c r="U7" s="39" t="s">
        <v>73</v>
      </c>
      <c r="V7" s="39" t="s">
        <v>74</v>
      </c>
      <c r="W7" s="39" t="s">
        <v>79</v>
      </c>
      <c r="X7" s="39" t="s">
        <v>97</v>
      </c>
      <c r="Y7" s="39" t="s">
        <v>80</v>
      </c>
      <c r="Z7" s="39" t="s">
        <v>98</v>
      </c>
      <c r="AA7" s="39" t="s">
        <v>75</v>
      </c>
      <c r="AB7" s="39" t="s">
        <v>75</v>
      </c>
      <c r="AC7" s="39" t="s">
        <v>75</v>
      </c>
      <c r="AD7" s="39" t="s">
        <v>75</v>
      </c>
      <c r="AE7" s="39" t="s">
        <v>75</v>
      </c>
      <c r="AF7" s="39" t="s">
        <v>75</v>
      </c>
      <c r="AG7" s="39" t="s">
        <v>76</v>
      </c>
      <c r="AH7" t="str">
        <f>VLOOKUP($R7,武学奇术!$A:$ZZ,25,FALSE)</f>
        <v>剑</v>
      </c>
      <c r="AI7" s="24">
        <f>VLOOKUP($R7,武学奇术!$A:$ZZ,26,FALSE)</f>
        <v>4.7037</v>
      </c>
      <c r="AJ7" s="25">
        <f>VLOOKUP($R7,武学奇术!$A:$ZZ,27,FALSE)*(1+IF(OR($AH7=$F$4,$AH7=$F$5),$B$22,0))</f>
        <v>1820</v>
      </c>
      <c r="AK7" s="24">
        <f>VLOOKUP($R7,武学奇术!$A:$ZZ,28,FALSE)</f>
        <v>7.0554</v>
      </c>
      <c r="AL7" s="25">
        <f>VLOOKUP($R7,武学奇术!$A:$ZZ,29,FALSE)*(1+IF(OR($AH7=$F$4,$AH7=$F$5),$B$22,0))</f>
        <v>992.6</v>
      </c>
      <c r="AM7" s="24" cm="1">
        <f t="array" ref="AM7">$G$3+IFERROR(VLOOKUP($AH7,$F$4:$G$7,2,FALSE),0)+VLOOKUP($R7,武学奇术!$A:$ZZ,2,FALSE)+SUM(_xlfn.XLOOKUP($S7:$AG7,增益!$A:$A,增益!$B:$B,0))</f>
        <v>1.4441</v>
      </c>
      <c r="AN7" s="24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1302.4</v>
      </c>
      <c r="AP7" cm="1">
        <f t="array" ref="AP7">$E$10*(1+$AN7)+VLOOKUP($R7,武学奇术!$A:$ZZ,4,FALSE)+SUM(_xlfn.XLOOKUP($S7:$AG7,增益!$A:$A,增益!$D:$D,0))-$I$2</f>
        <v>6112.4</v>
      </c>
      <c r="AQ7" s="32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0.1925</v>
      </c>
      <c r="AR7" s="32" cm="1">
        <f t="array" ref="AR7">$G$10+VLOOKUP($R7,武学奇术!$A:$ZZ,7,FALSE)+SUM(_xlfn.XLOOKUP(S7:AG7,增益!$A:$A,增益!$G:$G,0))</f>
        <v>0</v>
      </c>
      <c r="AS7" s="24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32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2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2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2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2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2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2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2" cm="1">
        <f t="array" ref="BI7">$G$14+VLOOKUP($R7,武学奇术!$A:$ZZ,16,FALSE)+SUM(_xlfn.XLOOKUP(S7:AG7,增益!$A:$A,增益!$P:$P,0))</f>
        <v>0</v>
      </c>
      <c r="BJ7" s="24">
        <f>MIN(IF(VLOOKUP($R7,武学奇术!$A:$ZZ,23,FALSE)=1,100%,$B$8),100%)</f>
        <v>0.8271</v>
      </c>
      <c r="BK7" s="24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0.1789</v>
      </c>
      <c r="BL7" s="24" cm="1">
        <f t="array" ref="BL7">1+$B$13+VLOOKUP($R7,武学奇术!$A:$ZZ,18,FALSE)+SUM(_xlfn.XLOOKUP(S7:AG7,增益!$A:$A,增益!$R:$R,0))</f>
        <v>1.5</v>
      </c>
      <c r="BM7" s="24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0.5209</v>
      </c>
      <c r="BN7" s="24" cm="1">
        <f t="array" ref="BN7">1+$B$14+VLOOKUP($R7,武学奇术!$A:$ZZ,20,FALSE)+SUM(_xlfn.XLOOKUP(S7:AG7,增益!$A:$A,增益!$T:$T,0))</f>
        <v>1.872</v>
      </c>
      <c r="BO7" s="24">
        <f t="shared" si="9"/>
        <v>0.14796819</v>
      </c>
      <c r="BP7" s="24">
        <f t="shared" si="10"/>
        <v>0.24829542</v>
      </c>
      <c r="BQ7" s="24">
        <f>IF(VLOOKUP($R7,武学奇术!$A:$ZZ,22,FALSE)=1,0,(1-$BJ7))*(1-$BM7)</f>
        <v>0.08283639</v>
      </c>
      <c r="BR7" s="24" cm="1">
        <f t="array" ref="BR7">SUM(_xlfn.XLOOKUP(S7:AG7,增益!$A:$A,增益!$W:$W,0))+$I$5</f>
        <v>0.11</v>
      </c>
    </row>
    <row r="8" spans="1:70">
      <c r="A8" s="63" t="s">
        <v>99</v>
      </c>
      <c r="B8" s="64">
        <f>期望!B8</f>
        <v>0.8271</v>
      </c>
      <c r="C8" s="65" t="s">
        <v>100</v>
      </c>
      <c r="D8" s="65"/>
      <c r="E8" s="65"/>
      <c r="F8" s="65"/>
      <c r="G8" s="37"/>
      <c r="H8" s="66" t="s">
        <v>101</v>
      </c>
      <c r="I8" s="19">
        <f>期望!I8</f>
        <v>109.1</v>
      </c>
      <c r="J8" s="67"/>
      <c r="K8" s="30">
        <f>$L8*VLOOKUP($R8,武学奇术!$A:$ZZ,31,FALSE)</f>
        <v>29602.5114765466</v>
      </c>
      <c r="L8" s="30">
        <f t="shared" si="0"/>
        <v>26911.3740695878</v>
      </c>
      <c r="M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20101.4424731075</v>
      </c>
      <c r="N8" s="30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37141.8298494364</v>
      </c>
      <c r="O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13400.9616487383</v>
      </c>
      <c r="P8" s="30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6190.47499035317</v>
      </c>
      <c r="Q8" s="38">
        <v>1</v>
      </c>
      <c r="R8" s="39" t="s">
        <v>71</v>
      </c>
      <c r="S8" s="39" t="s">
        <v>102</v>
      </c>
      <c r="T8" s="39" t="s">
        <v>69</v>
      </c>
      <c r="U8" s="39" t="s">
        <v>73</v>
      </c>
      <c r="V8" s="39" t="s">
        <v>74</v>
      </c>
      <c r="W8" s="39" t="s">
        <v>75</v>
      </c>
      <c r="X8" s="39" t="s">
        <v>75</v>
      </c>
      <c r="Y8" s="39" t="s">
        <v>75</v>
      </c>
      <c r="Z8" s="39" t="s">
        <v>75</v>
      </c>
      <c r="AA8" s="39" t="s">
        <v>103</v>
      </c>
      <c r="AB8" s="39" t="s">
        <v>75</v>
      </c>
      <c r="AC8" s="39" t="s">
        <v>75</v>
      </c>
      <c r="AD8" s="39" t="s">
        <v>75</v>
      </c>
      <c r="AE8" s="39" t="s">
        <v>75</v>
      </c>
      <c r="AF8" s="39" t="s">
        <v>75</v>
      </c>
      <c r="AG8" s="39" t="s">
        <v>76</v>
      </c>
      <c r="AH8" t="str">
        <f>VLOOKUP($R8,武学奇术!$A:$ZZ,25,FALSE)</f>
        <v>群体奇术</v>
      </c>
      <c r="AI8" s="24">
        <f>VLOOKUP($R8,武学奇术!$A:$ZZ,26,FALSE)</f>
        <v>1.4904</v>
      </c>
      <c r="AJ8" s="25">
        <f>VLOOKUP($R8,武学奇术!$A:$ZZ,27,FALSE)*(1+IF(OR($AH8=$F$4,$AH8=$F$5),$B$22,0))</f>
        <v>368</v>
      </c>
      <c r="AK8" s="24">
        <f>VLOOKUP($R8,武学奇术!$A:$ZZ,28,FALSE)</f>
        <v>2.2353</v>
      </c>
      <c r="AL8" s="25">
        <f>VLOOKUP($R8,武学奇术!$A:$ZZ,29,FALSE)*(1+IF(OR($AH8=$F$4,$AH8=$F$5),$B$22,0))</f>
        <v>0</v>
      </c>
      <c r="AM8" s="24" cm="1">
        <f t="array" ref="AM8">$G$3+IFERROR(VLOOKUP($AH8,$F$4:$G$7,2,FALSE),0)+VLOOKUP($R8,武学奇术!$A:$ZZ,2,FALSE)+SUM(_xlfn.XLOOKUP($S8:$AG8,增益!$A:$A,增益!$B:$B,0))</f>
        <v>0.3187</v>
      </c>
      <c r="AN8" s="24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1302.4</v>
      </c>
      <c r="AP8" cm="1">
        <f t="array" ref="AP8">$E$10*(1+$AN8)+VLOOKUP($R8,武学奇术!$A:$ZZ,4,FALSE)+SUM(_xlfn.XLOOKUP($S8:$AG8,增益!$A:$A,增益!$D:$D,0))-$I$2</f>
        <v>6112.4</v>
      </c>
      <c r="AQ8" s="32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0.1925</v>
      </c>
      <c r="AR8" s="32" cm="1">
        <f t="array" ref="AR8">$G$10+VLOOKUP($R8,武学奇术!$A:$ZZ,7,FALSE)+SUM(_xlfn.XLOOKUP(S8:AG8,增益!$A:$A,增益!$G:$G,0))</f>
        <v>0</v>
      </c>
      <c r="AS8" s="24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32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2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2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2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2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2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2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2" cm="1">
        <f t="array" ref="BI8">$G$14+VLOOKUP($R8,武学奇术!$A:$ZZ,16,FALSE)+SUM(_xlfn.XLOOKUP(S8:AG8,增益!$A:$A,增益!$P:$P,0))</f>
        <v>0</v>
      </c>
      <c r="BJ8" s="24">
        <f>MIN(IF(VLOOKUP($R8,武学奇术!$A:$ZZ,23,FALSE)=1,100%,$B$8),100%)</f>
        <v>0.8271</v>
      </c>
      <c r="BK8" s="24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0.1789</v>
      </c>
      <c r="BL8" s="24" cm="1">
        <f t="array" ref="BL8">1+$B$13+VLOOKUP($R8,武学奇术!$A:$ZZ,18,FALSE)+SUM(_xlfn.XLOOKUP(S8:AG8,增益!$A:$A,增益!$R:$R,0))</f>
        <v>1.5</v>
      </c>
      <c r="BM8" s="24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0.5509</v>
      </c>
      <c r="BN8" s="24" cm="1">
        <f t="array" ref="BN8">1+$B$14+VLOOKUP($R8,武学奇术!$A:$ZZ,20,FALSE)+SUM(_xlfn.XLOOKUP(S8:AG8,增益!$A:$A,增益!$T:$T,0))</f>
        <v>1.802</v>
      </c>
      <c r="BO8" s="24">
        <f t="shared" si="9"/>
        <v>0.14796819</v>
      </c>
      <c r="BP8" s="24">
        <f t="shared" si="10"/>
        <v>0.22348242</v>
      </c>
      <c r="BQ8" s="24">
        <f>IF(VLOOKUP($R8,武学奇术!$A:$ZZ,22,FALSE)=1,0,(1-$BJ8))*(1-$BM8)</f>
        <v>0.07764939</v>
      </c>
      <c r="BR8" s="24" cm="1">
        <f t="array" ref="BR8">SUM(_xlfn.XLOOKUP(S8:AG8,增益!$A:$A,增益!$W:$W,0))+$I$5</f>
        <v>0.11</v>
      </c>
    </row>
    <row r="9" ht="14.25" spans="1:70">
      <c r="A9" s="40" t="s">
        <v>105</v>
      </c>
      <c r="B9" s="68">
        <f>期望!B9</f>
        <v>0.1789</v>
      </c>
      <c r="C9" s="23"/>
      <c r="D9" t="s">
        <v>0</v>
      </c>
      <c r="E9" t="s">
        <v>1</v>
      </c>
      <c r="F9" s="38" t="s">
        <v>2</v>
      </c>
      <c r="G9" s="43" t="s">
        <v>3</v>
      </c>
      <c r="H9" s="69"/>
      <c r="I9" s="21"/>
      <c r="J9" s="70"/>
      <c r="K9" s="30">
        <f>$L9*VLOOKUP($R9,武学奇术!$A:$ZZ,31,FALSE)</f>
        <v>266973.632675668</v>
      </c>
      <c r="L9" s="30">
        <f t="shared" si="0"/>
        <v>242703.302432425</v>
      </c>
      <c r="M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172012.89333113</v>
      </c>
      <c r="N9" s="30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339664.488848541</v>
      </c>
      <c r="O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114675.262220754</v>
      </c>
      <c r="P9" s="30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57975.9084735247</v>
      </c>
      <c r="Q9" s="38">
        <v>1</v>
      </c>
      <c r="R9" s="39" t="s">
        <v>96</v>
      </c>
      <c r="S9" s="39" t="s">
        <v>102</v>
      </c>
      <c r="T9" s="39" t="s">
        <v>69</v>
      </c>
      <c r="U9" s="39" t="s">
        <v>73</v>
      </c>
      <c r="V9" s="39" t="s">
        <v>74</v>
      </c>
      <c r="W9" s="39" t="s">
        <v>106</v>
      </c>
      <c r="X9" s="39" t="s">
        <v>97</v>
      </c>
      <c r="Y9" s="39" t="s">
        <v>80</v>
      </c>
      <c r="Z9" s="39" t="s">
        <v>98</v>
      </c>
      <c r="AA9" s="39" t="s">
        <v>103</v>
      </c>
      <c r="AB9" s="39" t="s">
        <v>75</v>
      </c>
      <c r="AC9" s="39" t="s">
        <v>75</v>
      </c>
      <c r="AD9" s="39" t="s">
        <v>75</v>
      </c>
      <c r="AE9" s="39" t="s">
        <v>75</v>
      </c>
      <c r="AF9" s="39" t="s">
        <v>75</v>
      </c>
      <c r="AG9" s="39" t="s">
        <v>76</v>
      </c>
      <c r="AH9" t="str">
        <f>VLOOKUP($R9,武学奇术!$A:$ZZ,25,FALSE)</f>
        <v>剑</v>
      </c>
      <c r="AI9" s="24">
        <f>VLOOKUP($R9,武学奇术!$A:$ZZ,26,FALSE)</f>
        <v>4.7037</v>
      </c>
      <c r="AJ9" s="25">
        <f>VLOOKUP($R9,武学奇术!$A:$ZZ,27,FALSE)*(1+IF(OR($AH9=$F$4,$AH9=$F$5),$B$22,0))</f>
        <v>1820</v>
      </c>
      <c r="AK9" s="24">
        <f>VLOOKUP($R9,武学奇术!$A:$ZZ,28,FALSE)</f>
        <v>7.0554</v>
      </c>
      <c r="AL9" s="25">
        <f>VLOOKUP($R9,武学奇术!$A:$ZZ,29,FALSE)*(1+IF(OR($AH9=$F$4,$AH9=$F$5),$B$22,0))</f>
        <v>992.6</v>
      </c>
      <c r="AM9" s="24" cm="1">
        <f t="array" ref="AM9">$G$3+IFERROR(VLOOKUP($AH9,$F$4:$G$7,2,FALSE),0)+VLOOKUP($R9,武学奇术!$A:$ZZ,2,FALSE)+SUM(_xlfn.XLOOKUP($S9:$AG9,增益!$A:$A,增益!$B:$B,0))</f>
        <v>1.4891</v>
      </c>
      <c r="AN9" s="24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1302.4</v>
      </c>
      <c r="AP9" cm="1">
        <f t="array" ref="AP9">$E$10*(1+$AN9)+VLOOKUP($R9,武学奇术!$A:$ZZ,4,FALSE)+SUM(_xlfn.XLOOKUP($S9:$AG9,增益!$A:$A,增益!$D:$D,0))-$I$2</f>
        <v>6112.4</v>
      </c>
      <c r="AQ9" s="32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0.1925</v>
      </c>
      <c r="AR9" s="32" cm="1">
        <f t="array" ref="AR9">$G$10+VLOOKUP($R9,武学奇术!$A:$ZZ,7,FALSE)+SUM(_xlfn.XLOOKUP(S9:AG9,增益!$A:$A,增益!$G:$G,0))</f>
        <v>0</v>
      </c>
      <c r="AS9" s="24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32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2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2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2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2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2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2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2" cm="1">
        <f t="array" ref="BI9">$G$14+VLOOKUP($R9,武学奇术!$A:$ZZ,16,FALSE)+SUM(_xlfn.XLOOKUP(S9:AG9,增益!$A:$A,增益!$P:$P,0))</f>
        <v>0</v>
      </c>
      <c r="BJ9" s="24">
        <f>MIN(IF(VLOOKUP($R9,武学奇术!$A:$ZZ,23,FALSE)=1,100%,$B$8),100%)</f>
        <v>0.8271</v>
      </c>
      <c r="BK9" s="24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0.1789</v>
      </c>
      <c r="BL9" s="24" cm="1">
        <f t="array" ref="BL9">1+$B$13+VLOOKUP($R9,武学奇术!$A:$ZZ,18,FALSE)+SUM(_xlfn.XLOOKUP(S9:AG9,增益!$A:$A,增益!$R:$R,0))</f>
        <v>1.5</v>
      </c>
      <c r="BM9" s="24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0.5509</v>
      </c>
      <c r="BN9" s="24" cm="1">
        <f t="array" ref="BN9">1+$B$14+VLOOKUP($R9,武学奇术!$A:$ZZ,20,FALSE)+SUM(_xlfn.XLOOKUP(S9:AG9,增益!$A:$A,增益!$T:$T,0))</f>
        <v>1.982</v>
      </c>
      <c r="BO9" s="24">
        <f t="shared" si="9"/>
        <v>0.14796819</v>
      </c>
      <c r="BP9" s="24">
        <f t="shared" si="10"/>
        <v>0.22348242</v>
      </c>
      <c r="BQ9" s="24">
        <f>IF(VLOOKUP($R9,武学奇术!$A:$ZZ,22,FALSE)=1,0,(1-$BJ9))*(1-$BM9)</f>
        <v>0.07764939</v>
      </c>
      <c r="BR9" s="24" cm="1">
        <f t="array" ref="BR9">SUM(_xlfn.XLOOKUP(S9:AG9,增益!$A:$A,增益!$W:$W,0))+$I$5</f>
        <v>0.11</v>
      </c>
    </row>
    <row r="10" spans="1:70">
      <c r="A10" s="40" t="s">
        <v>107</v>
      </c>
      <c r="B10" s="68">
        <f>期望!B10</f>
        <v>0.3929</v>
      </c>
      <c r="C10" s="23" t="s">
        <v>67</v>
      </c>
      <c r="D10">
        <f>期望!D10</f>
        <v>1922.4</v>
      </c>
      <c r="E10">
        <f>期望!E10</f>
        <v>6732.4</v>
      </c>
      <c r="F10">
        <f>期望!F10</f>
        <v>63.5</v>
      </c>
      <c r="G10" s="48">
        <f>期望!G10</f>
        <v>0</v>
      </c>
      <c r="H10" s="66" t="s">
        <v>108</v>
      </c>
      <c r="I10" s="71">
        <f>SUM(L:L)</f>
        <v>11712777.8383791</v>
      </c>
      <c r="J10" s="72"/>
      <c r="K10" s="30">
        <f>$L10*VLOOKUP($R10,武学奇术!$A:$ZZ,31,FALSE)</f>
        <v>75649.1470124995</v>
      </c>
      <c r="L10" s="30">
        <f t="shared" si="0"/>
        <v>68771.951829545</v>
      </c>
      <c r="M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48741.1413984204</v>
      </c>
      <c r="N10" s="30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96246.7766941361</v>
      </c>
      <c r="O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32494.0942656136</v>
      </c>
      <c r="P10" s="30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16427.7562940243</v>
      </c>
      <c r="Q10" s="38">
        <v>1</v>
      </c>
      <c r="R10" s="39" t="s">
        <v>78</v>
      </c>
      <c r="S10" s="39" t="s">
        <v>102</v>
      </c>
      <c r="T10" s="39" t="s">
        <v>69</v>
      </c>
      <c r="U10" s="39" t="s">
        <v>73</v>
      </c>
      <c r="V10" s="39" t="s">
        <v>74</v>
      </c>
      <c r="W10" s="39" t="s">
        <v>109</v>
      </c>
      <c r="X10" s="39" t="s">
        <v>97</v>
      </c>
      <c r="Y10" s="39" t="s">
        <v>80</v>
      </c>
      <c r="Z10" s="39" t="s">
        <v>98</v>
      </c>
      <c r="AA10" s="39" t="s">
        <v>103</v>
      </c>
      <c r="AB10" s="39" t="s">
        <v>75</v>
      </c>
      <c r="AC10" s="39" t="s">
        <v>75</v>
      </c>
      <c r="AD10" s="39" t="s">
        <v>75</v>
      </c>
      <c r="AE10" s="39" t="s">
        <v>75</v>
      </c>
      <c r="AF10" s="39" t="s">
        <v>75</v>
      </c>
      <c r="AG10" s="39" t="s">
        <v>76</v>
      </c>
      <c r="AH10" t="str">
        <f>VLOOKUP($R10,武学奇术!$A:$ZZ,25,FALSE)</f>
        <v>剑</v>
      </c>
      <c r="AI10" s="24">
        <f>VLOOKUP($R10,武学奇术!$A:$ZZ,26,FALSE)</f>
        <v>1.3066</v>
      </c>
      <c r="AJ10" s="25">
        <f>VLOOKUP($R10,武学奇术!$A:$ZZ,27,FALSE)*(1+IF(OR($AH10=$F$4,$AH10=$F$5),$B$22,0))</f>
        <v>505.4</v>
      </c>
      <c r="AK10" s="24">
        <f>VLOOKUP($R10,武学奇术!$A:$ZZ,28,FALSE)</f>
        <v>1.9598</v>
      </c>
      <c r="AL10" s="25">
        <f>VLOOKUP($R10,武学奇术!$A:$ZZ,29,FALSE)*(1+IF(OR($AH10=$F$4,$AH10=$F$5),$B$22,0))</f>
        <v>275.8</v>
      </c>
      <c r="AM10" s="24" cm="1">
        <f t="array" ref="AM10">$G$3+IFERROR(VLOOKUP($AH10,$F$4:$G$7,2,FALSE),0)+VLOOKUP($R10,武学奇术!$A:$ZZ,2,FALSE)+SUM(_xlfn.XLOOKUP($S10:$AG10,增益!$A:$A,增益!$B:$B,0))</f>
        <v>1.5391</v>
      </c>
      <c r="AN10" s="24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1302.4</v>
      </c>
      <c r="AP10" cm="1">
        <f t="array" ref="AP10">$E$10*(1+$AN10)+VLOOKUP($R10,武学奇术!$A:$ZZ,4,FALSE)+SUM(_xlfn.XLOOKUP($S10:$AG10,增益!$A:$A,增益!$D:$D,0))-$I$2</f>
        <v>6112.4</v>
      </c>
      <c r="AQ10" s="32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0.1925</v>
      </c>
      <c r="AR10" s="32" cm="1">
        <f t="array" ref="AR10">$G$10+VLOOKUP($R10,武学奇术!$A:$ZZ,7,FALSE)+SUM(_xlfn.XLOOKUP(S10:AG10,增益!$A:$A,增益!$G:$G,0))</f>
        <v>0</v>
      </c>
      <c r="AS10" s="24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32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2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2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2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2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2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2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2" cm="1">
        <f t="array" ref="BI10">$G$14+VLOOKUP($R10,武学奇术!$A:$ZZ,16,FALSE)+SUM(_xlfn.XLOOKUP(S10:AG10,增益!$A:$A,增益!$P:$P,0))</f>
        <v>0</v>
      </c>
      <c r="BJ10" s="24">
        <f>MIN(IF(VLOOKUP($R10,武学奇术!$A:$ZZ,23,FALSE)=1,100%,$B$8),100%)</f>
        <v>0.8271</v>
      </c>
      <c r="BK10" s="24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0.1789</v>
      </c>
      <c r="BL10" s="24" cm="1">
        <f t="array" ref="BL10">1+$B$13+VLOOKUP($R10,武学奇术!$A:$ZZ,18,FALSE)+SUM(_xlfn.XLOOKUP(S10:AG10,增益!$A:$A,增益!$R:$R,0))</f>
        <v>1.5</v>
      </c>
      <c r="BM10" s="24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0.5509</v>
      </c>
      <c r="BN10" s="24" cm="1">
        <f t="array" ref="BN10">1+$B$14+VLOOKUP($R10,武学奇术!$A:$ZZ,20,FALSE)+SUM(_xlfn.XLOOKUP(S10:AG10,增益!$A:$A,增益!$T:$T,0))</f>
        <v>1.982</v>
      </c>
      <c r="BO10" s="24">
        <f t="shared" si="9"/>
        <v>0.14796819</v>
      </c>
      <c r="BP10" s="24">
        <f t="shared" si="10"/>
        <v>0.22348242</v>
      </c>
      <c r="BQ10" s="24">
        <f>IF(VLOOKUP($R10,武学奇术!$A:$ZZ,22,FALSE)=1,0,(1-$BJ10))*(1-$BM10)</f>
        <v>0.07764939</v>
      </c>
      <c r="BR10" s="24" cm="1">
        <f t="array" ref="BR10">SUM(_xlfn.XLOOKUP(S10:AG10,增益!$A:$A,增益!$W:$W,0))+$I$5</f>
        <v>0.11</v>
      </c>
    </row>
    <row r="11" ht="14.25" spans="1:70">
      <c r="A11" s="40" t="s">
        <v>110</v>
      </c>
      <c r="B11" s="68">
        <f>期望!B11</f>
        <v>0</v>
      </c>
      <c r="C11" s="23" t="s">
        <v>5</v>
      </c>
      <c r="D11">
        <f>期望!D11</f>
        <v>557.3</v>
      </c>
      <c r="E11">
        <f>期望!E11</f>
        <v>1049.5</v>
      </c>
      <c r="F11">
        <f>期望!F11</f>
        <v>36</v>
      </c>
      <c r="G11" s="48">
        <f>期望!G11</f>
        <v>0.15</v>
      </c>
      <c r="H11" s="69"/>
      <c r="I11" s="73"/>
      <c r="J11" s="74"/>
      <c r="K11" s="30">
        <f>$L11*VLOOKUP($R11,武学奇术!$A:$ZZ,31,FALSE)</f>
        <v>90769.6714162073</v>
      </c>
      <c r="L11" s="30">
        <f t="shared" si="0"/>
        <v>82517.883105643</v>
      </c>
      <c r="M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58481.6729404426</v>
      </c>
      <c r="N11" s="30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115485.625109937</v>
      </c>
      <c r="O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38987.7819602951</v>
      </c>
      <c r="P11" s="30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19708.3464080086</v>
      </c>
      <c r="Q11" s="38">
        <v>1</v>
      </c>
      <c r="R11" s="39" t="s">
        <v>84</v>
      </c>
      <c r="S11" s="39" t="s">
        <v>102</v>
      </c>
      <c r="T11" s="39" t="s">
        <v>69</v>
      </c>
      <c r="U11" s="39" t="s">
        <v>73</v>
      </c>
      <c r="V11" s="39" t="s">
        <v>74</v>
      </c>
      <c r="W11" s="39" t="s">
        <v>109</v>
      </c>
      <c r="X11" s="39" t="s">
        <v>97</v>
      </c>
      <c r="Y11" s="39" t="s">
        <v>80</v>
      </c>
      <c r="Z11" s="39" t="s">
        <v>98</v>
      </c>
      <c r="AA11" s="39" t="s">
        <v>103</v>
      </c>
      <c r="AB11" s="39" t="s">
        <v>75</v>
      </c>
      <c r="AC11" s="39" t="s">
        <v>75</v>
      </c>
      <c r="AD11" s="39" t="s">
        <v>75</v>
      </c>
      <c r="AE11" s="39" t="s">
        <v>75</v>
      </c>
      <c r="AF11" s="39" t="s">
        <v>75</v>
      </c>
      <c r="AG11" s="39" t="s">
        <v>76</v>
      </c>
      <c r="AH11" t="str">
        <f>VLOOKUP($R11,武学奇术!$A:$ZZ,25,FALSE)</f>
        <v>剑</v>
      </c>
      <c r="AI11" s="24">
        <f>VLOOKUP($R11,武学奇术!$A:$ZZ,26,FALSE)</f>
        <v>1.5679</v>
      </c>
      <c r="AJ11" s="25">
        <f>VLOOKUP($R11,武学奇术!$A:$ZZ,27,FALSE)*(1+IF(OR($AH11=$F$4,$AH11=$F$5),$B$22,0))</f>
        <v>606.2</v>
      </c>
      <c r="AK11" s="24">
        <f>VLOOKUP($R11,武学奇术!$A:$ZZ,28,FALSE)</f>
        <v>2.3518</v>
      </c>
      <c r="AL11" s="25">
        <f>VLOOKUP($R11,武学奇术!$A:$ZZ,29,FALSE)*(1+IF(OR($AH11=$F$4,$AH11=$F$5),$B$22,0))</f>
        <v>330.4</v>
      </c>
      <c r="AM11" s="24" cm="1">
        <f t="array" ref="AM11">$G$3+IFERROR(VLOOKUP($AH11,$F$4:$G$7,2,FALSE),0)+VLOOKUP($R11,武学奇术!$A:$ZZ,2,FALSE)+SUM(_xlfn.XLOOKUP($S11:$AG11,增益!$A:$A,增益!$B:$B,0))</f>
        <v>1.5391</v>
      </c>
      <c r="AN11" s="24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1302.4</v>
      </c>
      <c r="AP11" cm="1">
        <f t="array" ref="AP11">$E$10*(1+$AN11)+VLOOKUP($R11,武学奇术!$A:$ZZ,4,FALSE)+SUM(_xlfn.XLOOKUP($S11:$AG11,增益!$A:$A,增益!$D:$D,0))-$I$2</f>
        <v>6112.4</v>
      </c>
      <c r="AQ11" s="32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0.1925</v>
      </c>
      <c r="AR11" s="32" cm="1">
        <f t="array" ref="AR11">$G$10+VLOOKUP($R11,武学奇术!$A:$ZZ,7,FALSE)+SUM(_xlfn.XLOOKUP(S11:AG11,增益!$A:$A,增益!$G:$G,0))</f>
        <v>0</v>
      </c>
      <c r="AS11" s="24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32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2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2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2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2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2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2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2" cm="1">
        <f t="array" ref="BI11">$G$14+VLOOKUP($R11,武学奇术!$A:$ZZ,16,FALSE)+SUM(_xlfn.XLOOKUP(S11:AG11,增益!$A:$A,增益!$P:$P,0))</f>
        <v>0</v>
      </c>
      <c r="BJ11" s="24">
        <f>MIN(IF(VLOOKUP($R11,武学奇术!$A:$ZZ,23,FALSE)=1,100%,$B$8),100%)</f>
        <v>0.8271</v>
      </c>
      <c r="BK11" s="24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0.1789</v>
      </c>
      <c r="BL11" s="24" cm="1">
        <f t="array" ref="BL11">1+$B$13+VLOOKUP($R11,武学奇术!$A:$ZZ,18,FALSE)+SUM(_xlfn.XLOOKUP(S11:AG11,增益!$A:$A,增益!$R:$R,0))</f>
        <v>1.5</v>
      </c>
      <c r="BM11" s="24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0.5509</v>
      </c>
      <c r="BN11" s="24" cm="1">
        <f t="array" ref="BN11">1+$B$14+VLOOKUP($R11,武学奇术!$A:$ZZ,20,FALSE)+SUM(_xlfn.XLOOKUP(S11:AG11,增益!$A:$A,增益!$T:$T,0))</f>
        <v>1.982</v>
      </c>
      <c r="BO11" s="24">
        <f t="shared" si="9"/>
        <v>0.14796819</v>
      </c>
      <c r="BP11" s="24">
        <f t="shared" si="10"/>
        <v>0.22348242</v>
      </c>
      <c r="BQ11" s="24">
        <f>IF(VLOOKUP($R11,武学奇术!$A:$ZZ,22,FALSE)=1,0,(1-$BJ11))*(1-$BM11)</f>
        <v>0.07764939</v>
      </c>
      <c r="BR11" s="24" cm="1">
        <f t="array" ref="BR11">SUM(_xlfn.XLOOKUP(S11:AG11,增益!$A:$A,增益!$W:$W,0))+$I$5</f>
        <v>0.11</v>
      </c>
    </row>
    <row r="12" spans="1:70">
      <c r="A12" s="40" t="s">
        <v>111</v>
      </c>
      <c r="B12" s="68">
        <f>期望!B12</f>
        <v>0.023</v>
      </c>
      <c r="C12" s="23" t="s">
        <v>81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6" t="s">
        <v>112</v>
      </c>
      <c r="I12" s="30">
        <f>I10/I8</f>
        <v>107358.183669836</v>
      </c>
      <c r="J12" s="75"/>
      <c r="K12" s="30">
        <f>$L12*VLOOKUP($R12,武学奇术!$A:$ZZ,31,FALSE)</f>
        <v>92157.8393081789</v>
      </c>
      <c r="L12" s="30">
        <f t="shared" si="0"/>
        <v>83779.8539165263</v>
      </c>
      <c r="M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68245.402067498</v>
      </c>
      <c r="N12" s="30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128636.073162076</v>
      </c>
      <c r="O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45496.9347116653</v>
      </c>
      <c r="P12" s="30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23004.4015786817</v>
      </c>
      <c r="Q12" s="38">
        <v>1</v>
      </c>
      <c r="R12" s="39" t="s">
        <v>89</v>
      </c>
      <c r="S12" s="39" t="s">
        <v>113</v>
      </c>
      <c r="T12" s="39" t="s">
        <v>75</v>
      </c>
      <c r="U12" s="39" t="s">
        <v>114</v>
      </c>
      <c r="V12" s="39" t="s">
        <v>74</v>
      </c>
      <c r="W12" s="39" t="s">
        <v>109</v>
      </c>
      <c r="X12" s="39" t="s">
        <v>97</v>
      </c>
      <c r="Y12" s="39" t="s">
        <v>80</v>
      </c>
      <c r="Z12" s="39" t="s">
        <v>98</v>
      </c>
      <c r="AA12" s="39" t="s">
        <v>103</v>
      </c>
      <c r="AB12" s="39" t="s">
        <v>75</v>
      </c>
      <c r="AC12" s="39" t="s">
        <v>75</v>
      </c>
      <c r="AD12" s="39" t="s">
        <v>75</v>
      </c>
      <c r="AE12" s="39" t="s">
        <v>75</v>
      </c>
      <c r="AF12" s="39" t="s">
        <v>75</v>
      </c>
      <c r="AG12" s="39" t="s">
        <v>76</v>
      </c>
      <c r="AH12" t="str">
        <f>VLOOKUP($R12,武学奇术!$A:$ZZ,25,FALSE)</f>
        <v>剑</v>
      </c>
      <c r="AI12" s="24">
        <f>VLOOKUP($R12,武学奇术!$A:$ZZ,26,FALSE)</f>
        <v>1.8292</v>
      </c>
      <c r="AJ12" s="25">
        <f>VLOOKUP($R12,武学奇术!$A:$ZZ,27,FALSE)*(1+IF(OR($AH12=$F$4,$AH12=$F$5),$B$22,0))</f>
        <v>708.4</v>
      </c>
      <c r="AK12" s="24">
        <f>VLOOKUP($R12,武学奇术!$A:$ZZ,28,FALSE)</f>
        <v>2.7438</v>
      </c>
      <c r="AL12" s="25">
        <f>VLOOKUP($R12,武学奇术!$A:$ZZ,29,FALSE)*(1+IF(OR($AH12=$F$4,$AH12=$F$5),$B$22,0))</f>
        <v>386.4</v>
      </c>
      <c r="AM12" s="24" cm="1">
        <f t="array" ref="AM12">$G$3+IFERROR(VLOOKUP($AH12,$F$4:$G$7,2,FALSE),0)+VLOOKUP($R12,武学奇术!$A:$ZZ,2,FALSE)+SUM(_xlfn.XLOOKUP($S12:$AG12,增益!$A:$A,增益!$B:$B,0))</f>
        <v>1.5391</v>
      </c>
      <c r="AN12" s="24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1302.4</v>
      </c>
      <c r="AP12" cm="1">
        <f t="array" ref="AP12">$E$10*(1+$AN12)+VLOOKUP($R12,武学奇术!$A:$ZZ,4,FALSE)+SUM(_xlfn.XLOOKUP($S12:$AG12,增益!$A:$A,增益!$D:$D,0))-$I$2</f>
        <v>6112.4</v>
      </c>
      <c r="AQ12" s="32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0.1925</v>
      </c>
      <c r="AR12" s="32" cm="1">
        <f t="array" ref="AR12">$G$10+VLOOKUP($R12,武学奇术!$A:$ZZ,7,FALSE)+SUM(_xlfn.XLOOKUP(S12:AG12,增益!$A:$A,增益!$G:$G,0))</f>
        <v>0</v>
      </c>
      <c r="AS12" s="24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32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2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2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2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2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2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2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2" cm="1">
        <f t="array" ref="BI12">$G$14+VLOOKUP($R12,武学奇术!$A:$ZZ,16,FALSE)+SUM(_xlfn.XLOOKUP(S12:AG12,增益!$A:$A,增益!$P:$P,0))</f>
        <v>0</v>
      </c>
      <c r="BJ12" s="24">
        <f>MIN(IF(VLOOKUP($R12,武学奇术!$A:$ZZ,23,FALSE)=1,100%,$B$8),100%)</f>
        <v>0.8271</v>
      </c>
      <c r="BK12" s="24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0.1789</v>
      </c>
      <c r="BL12" s="24" cm="1">
        <f t="array" ref="BL12">1+$B$13+VLOOKUP($R12,武学奇术!$A:$ZZ,18,FALSE)+SUM(_xlfn.XLOOKUP(S12:AG12,增益!$A:$A,增益!$R:$R,0))</f>
        <v>1.5</v>
      </c>
      <c r="BM12" s="24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4" cm="1">
        <f t="array" ref="BN12">1+$B$14+VLOOKUP($R12,武学奇术!$A:$ZZ,20,FALSE)+SUM(_xlfn.XLOOKUP(S12:AG12,增益!$A:$A,增益!$T:$T,0))</f>
        <v>1.892</v>
      </c>
      <c r="BO12" s="24">
        <f t="shared" si="9"/>
        <v>0.14796819</v>
      </c>
      <c r="BP12" s="24">
        <f t="shared" si="10"/>
        <v>0.31032792</v>
      </c>
      <c r="BQ12" s="24">
        <f>IF(VLOOKUP($R12,武学奇术!$A:$ZZ,22,FALSE)=1,0,(1-$BJ12))*(1-$BM12)</f>
        <v>0.09580389</v>
      </c>
      <c r="BR12" s="24" cm="1">
        <f t="array" ref="BR12">SUM(_xlfn.XLOOKUP(S12:AG12,增益!$A:$A,增益!$W:$W,0))+$I$5</f>
        <v>0.11</v>
      </c>
    </row>
    <row r="13" ht="14.25" spans="1:70">
      <c r="A13" s="40" t="s">
        <v>115</v>
      </c>
      <c r="B13" s="68">
        <f>期望!B13</f>
        <v>0.5</v>
      </c>
      <c r="C13" s="23" t="s">
        <v>86</v>
      </c>
      <c r="D13">
        <f>期望!D13</f>
        <v>0</v>
      </c>
      <c r="E13">
        <f>期望!E13</f>
        <v>0</v>
      </c>
      <c r="F13">
        <f>期望!F13</f>
        <v>0</v>
      </c>
      <c r="G13" s="48">
        <f>期望!G13</f>
        <v>0</v>
      </c>
      <c r="H13" s="69"/>
      <c r="I13" s="76"/>
      <c r="J13" s="74"/>
      <c r="K13" s="30">
        <f>$L13*VLOOKUP($R13,武学奇术!$A:$ZZ,31,FALSE)</f>
        <v>25705.4772133062</v>
      </c>
      <c r="L13" s="30">
        <f t="shared" si="0"/>
        <v>23368.6156484602</v>
      </c>
      <c r="M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20101.4424731075</v>
      </c>
      <c r="N13" s="30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35080.6850187241</v>
      </c>
      <c r="O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13400.9616487383</v>
      </c>
      <c r="P13" s="30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6190.47499035317</v>
      </c>
      <c r="Q13" s="38">
        <v>1</v>
      </c>
      <c r="R13" s="39" t="s">
        <v>71</v>
      </c>
      <c r="S13" s="39" t="s">
        <v>102</v>
      </c>
      <c r="T13" s="39" t="s">
        <v>75</v>
      </c>
      <c r="U13" s="39" t="s">
        <v>114</v>
      </c>
      <c r="V13" s="39" t="s">
        <v>74</v>
      </c>
      <c r="W13" s="39" t="s">
        <v>75</v>
      </c>
      <c r="X13" s="39" t="s">
        <v>75</v>
      </c>
      <c r="Y13" s="39" t="s">
        <v>75</v>
      </c>
      <c r="Z13" s="39" t="s">
        <v>75</v>
      </c>
      <c r="AA13" s="39" t="s">
        <v>103</v>
      </c>
      <c r="AB13" s="39" t="s">
        <v>75</v>
      </c>
      <c r="AC13" s="39" t="s">
        <v>75</v>
      </c>
      <c r="AD13" s="39" t="s">
        <v>75</v>
      </c>
      <c r="AE13" s="39" t="s">
        <v>75</v>
      </c>
      <c r="AF13" s="39" t="s">
        <v>75</v>
      </c>
      <c r="AG13" s="39" t="s">
        <v>76</v>
      </c>
      <c r="AH13" t="str">
        <f>VLOOKUP($R13,武学奇术!$A:$ZZ,25,FALSE)</f>
        <v>群体奇术</v>
      </c>
      <c r="AI13" s="24">
        <f>VLOOKUP($R13,武学奇术!$A:$ZZ,26,FALSE)</f>
        <v>1.4904</v>
      </c>
      <c r="AJ13" s="25">
        <f>VLOOKUP($R13,武学奇术!$A:$ZZ,27,FALSE)*(1+IF(OR($AH13=$F$4,$AH13=$F$5),$B$22,0))</f>
        <v>368</v>
      </c>
      <c r="AK13" s="24">
        <f>VLOOKUP($R13,武学奇术!$A:$ZZ,28,FALSE)</f>
        <v>2.2353</v>
      </c>
      <c r="AL13" s="25">
        <f>VLOOKUP($R13,武学奇术!$A:$ZZ,29,FALSE)*(1+IF(OR($AH13=$F$4,$AH13=$F$5),$B$22,0))</f>
        <v>0</v>
      </c>
      <c r="AM13" s="24" cm="1">
        <f t="array" ref="AM13">$G$3+IFERROR(VLOOKUP($AH13,$F$4:$G$7,2,FALSE),0)+VLOOKUP($R13,武学奇术!$A:$ZZ,2,FALSE)+SUM(_xlfn.XLOOKUP($S13:$AG13,增益!$A:$A,增益!$B:$B,0))</f>
        <v>0.3187</v>
      </c>
      <c r="AN13" s="24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1302.4</v>
      </c>
      <c r="AP13" cm="1">
        <f t="array" ref="AP13">$E$10*(1+$AN13)+VLOOKUP($R13,武学奇术!$A:$ZZ,4,FALSE)+SUM(_xlfn.XLOOKUP($S13:$AG13,增益!$A:$A,增益!$D:$D,0))-$I$2</f>
        <v>6112.4</v>
      </c>
      <c r="AQ13" s="32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0.1925</v>
      </c>
      <c r="AR13" s="32" cm="1">
        <f t="array" ref="AR13">$G$10+VLOOKUP($R13,武学奇术!$A:$ZZ,7,FALSE)+SUM(_xlfn.XLOOKUP(S13:AG13,增益!$A:$A,增益!$G:$G,0))</f>
        <v>0</v>
      </c>
      <c r="AS13" s="24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32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2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2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2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2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2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2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2" cm="1">
        <f t="array" ref="BI13">$G$14+VLOOKUP($R13,武学奇术!$A:$ZZ,16,FALSE)+SUM(_xlfn.XLOOKUP(S13:AG13,增益!$A:$A,增益!$P:$P,0))</f>
        <v>0</v>
      </c>
      <c r="BJ13" s="24">
        <f>MIN(IF(VLOOKUP($R13,武学奇术!$A:$ZZ,23,FALSE)=1,100%,$B$8),100%)</f>
        <v>0.8271</v>
      </c>
      <c r="BK13" s="24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0.1789</v>
      </c>
      <c r="BL13" s="24" cm="1">
        <f t="array" ref="BL13">1+$B$13+VLOOKUP($R13,武学奇术!$A:$ZZ,18,FALSE)+SUM(_xlfn.XLOOKUP(S13:AG13,增益!$A:$A,增益!$R:$R,0))</f>
        <v>1.5</v>
      </c>
      <c r="BM13" s="24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0.4459</v>
      </c>
      <c r="BN13" s="24" cm="1">
        <f t="array" ref="BN13">1+$B$14+VLOOKUP($R13,武学奇术!$A:$ZZ,20,FALSE)+SUM(_xlfn.XLOOKUP(S13:AG13,增益!$A:$A,增益!$T:$T,0))</f>
        <v>1.702</v>
      </c>
      <c r="BO13" s="24">
        <f t="shared" si="9"/>
        <v>0.14796819</v>
      </c>
      <c r="BP13" s="24">
        <f t="shared" si="10"/>
        <v>0.31032792</v>
      </c>
      <c r="BQ13" s="24">
        <f>IF(VLOOKUP($R13,武学奇术!$A:$ZZ,22,FALSE)=1,0,(1-$BJ13))*(1-$BM13)</f>
        <v>0.09580389</v>
      </c>
      <c r="BR13" s="24" cm="1">
        <f t="array" ref="BR13">SUM(_xlfn.XLOOKUP(S13:AG13,增益!$A:$A,增益!$W:$W,0))+$I$5</f>
        <v>0.11</v>
      </c>
    </row>
    <row r="14" ht="14.25" spans="1:70">
      <c r="A14" s="40" t="s">
        <v>116</v>
      </c>
      <c r="B14" s="68">
        <f>期望!B14</f>
        <v>0.402</v>
      </c>
      <c r="C14" s="13" t="s">
        <v>91</v>
      </c>
      <c r="D14" s="13">
        <f>期望!D14</f>
        <v>0</v>
      </c>
      <c r="E14" s="13">
        <f>期望!E14</f>
        <v>0</v>
      </c>
      <c r="F14" s="13">
        <f>期望!F14</f>
        <v>0</v>
      </c>
      <c r="G14" s="62">
        <f>期望!G14</f>
        <v>0</v>
      </c>
      <c r="H14" s="36" t="s">
        <v>117</v>
      </c>
      <c r="I14" s="71">
        <f>I12+110000*10%</f>
        <v>118358.183669836</v>
      </c>
      <c r="J14" s="72"/>
      <c r="K14" s="30">
        <f>$L14*VLOOKUP($R14,武学奇术!$A:$ZZ,31,FALSE)</f>
        <v>236956.058249305</v>
      </c>
      <c r="L14" s="30">
        <f t="shared" si="0"/>
        <v>215414.598408459</v>
      </c>
      <c r="M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175468.216406361</v>
      </c>
      <c r="N14" s="30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330753.986488668</v>
      </c>
      <c r="O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116978.810937574</v>
      </c>
      <c r="P14" s="30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59140.5042807145</v>
      </c>
      <c r="Q14" s="38">
        <v>1</v>
      </c>
      <c r="R14" s="39" t="s">
        <v>96</v>
      </c>
      <c r="S14" s="39" t="s">
        <v>113</v>
      </c>
      <c r="T14" s="39" t="s">
        <v>75</v>
      </c>
      <c r="U14" s="39" t="s">
        <v>114</v>
      </c>
      <c r="V14" s="39" t="s">
        <v>74</v>
      </c>
      <c r="W14" s="39" t="s">
        <v>109</v>
      </c>
      <c r="X14" s="39" t="s">
        <v>97</v>
      </c>
      <c r="Y14" s="39" t="s">
        <v>80</v>
      </c>
      <c r="Z14" s="39" t="s">
        <v>98</v>
      </c>
      <c r="AA14" s="39" t="s">
        <v>103</v>
      </c>
      <c r="AB14" s="39" t="s">
        <v>75</v>
      </c>
      <c r="AC14" s="39" t="s">
        <v>75</v>
      </c>
      <c r="AD14" s="39" t="s">
        <v>75</v>
      </c>
      <c r="AE14" s="39" t="s">
        <v>75</v>
      </c>
      <c r="AF14" s="39" t="s">
        <v>75</v>
      </c>
      <c r="AG14" s="39" t="s">
        <v>76</v>
      </c>
      <c r="AH14" t="str">
        <f>VLOOKUP($R14,武学奇术!$A:$ZZ,25,FALSE)</f>
        <v>剑</v>
      </c>
      <c r="AI14" s="24">
        <f>VLOOKUP($R14,武学奇术!$A:$ZZ,26,FALSE)</f>
        <v>4.7037</v>
      </c>
      <c r="AJ14" s="25">
        <f>VLOOKUP($R14,武学奇术!$A:$ZZ,27,FALSE)*(1+IF(OR($AH14=$F$4,$AH14=$F$5),$B$22,0))</f>
        <v>1820</v>
      </c>
      <c r="AK14" s="24">
        <f>VLOOKUP($R14,武学奇术!$A:$ZZ,28,FALSE)</f>
        <v>7.0554</v>
      </c>
      <c r="AL14" s="25">
        <f>VLOOKUP($R14,武学奇术!$A:$ZZ,29,FALSE)*(1+IF(OR($AH14=$F$4,$AH14=$F$5),$B$22,0))</f>
        <v>992.6</v>
      </c>
      <c r="AM14" s="24" cm="1">
        <f t="array" ref="AM14">$G$3+IFERROR(VLOOKUP($AH14,$F$4:$G$7,2,FALSE),0)+VLOOKUP($R14,武学奇术!$A:$ZZ,2,FALSE)+SUM(_xlfn.XLOOKUP($S14:$AG14,增益!$A:$A,增益!$B:$B,0))</f>
        <v>1.5391</v>
      </c>
      <c r="AN14" s="24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1302.4</v>
      </c>
      <c r="AP14" cm="1">
        <f t="array" ref="AP14">$E$10*(1+$AN14)+VLOOKUP($R14,武学奇术!$A:$ZZ,4,FALSE)+SUM(_xlfn.XLOOKUP($S14:$AG14,增益!$A:$A,增益!$D:$D,0))-$I$2</f>
        <v>6112.4</v>
      </c>
      <c r="AQ14" s="32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0.1925</v>
      </c>
      <c r="AR14" s="32" cm="1">
        <f t="array" ref="AR14">$G$10+VLOOKUP($R14,武学奇术!$A:$ZZ,7,FALSE)+SUM(_xlfn.XLOOKUP(S14:AG14,增益!$A:$A,增益!$G:$G,0))</f>
        <v>0</v>
      </c>
      <c r="AS14" s="24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32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2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2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2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2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2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2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2" cm="1">
        <f t="array" ref="BI14">$G$14+VLOOKUP($R14,武学奇术!$A:$ZZ,16,FALSE)+SUM(_xlfn.XLOOKUP(S14:AG14,增益!$A:$A,增益!$P:$P,0))</f>
        <v>0</v>
      </c>
      <c r="BJ14" s="24">
        <f>MIN(IF(VLOOKUP($R14,武学奇术!$A:$ZZ,23,FALSE)=1,100%,$B$8),100%)</f>
        <v>0.8271</v>
      </c>
      <c r="BK14" s="24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0.1789</v>
      </c>
      <c r="BL14" s="24" cm="1">
        <f t="array" ref="BL14">1+$B$13+VLOOKUP($R14,武学奇术!$A:$ZZ,18,FALSE)+SUM(_xlfn.XLOOKUP(S14:AG14,增益!$A:$A,增益!$R:$R,0))</f>
        <v>1.5</v>
      </c>
      <c r="BM14" s="24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0.4459</v>
      </c>
      <c r="BN14" s="24" cm="1">
        <f t="array" ref="BN14">1+$B$14+VLOOKUP($R14,武学奇术!$A:$ZZ,20,FALSE)+SUM(_xlfn.XLOOKUP(S14:AG14,增益!$A:$A,增益!$T:$T,0))</f>
        <v>1.892</v>
      </c>
      <c r="BO14" s="24">
        <f t="shared" si="9"/>
        <v>0.14796819</v>
      </c>
      <c r="BP14" s="24">
        <f t="shared" si="10"/>
        <v>0.31032792</v>
      </c>
      <c r="BQ14" s="24">
        <f>IF(VLOOKUP($R14,武学奇术!$A:$ZZ,22,FALSE)=1,0,(1-$BJ14))*(1-$BM14)</f>
        <v>0.09580389</v>
      </c>
      <c r="BR14" s="24" cm="1">
        <f t="array" ref="BR14">SUM(_xlfn.XLOOKUP(S14:AG14,增益!$A:$A,增益!$W:$W,0))+$I$5</f>
        <v>0.11</v>
      </c>
    </row>
    <row r="15" ht="14.25" spans="1:70">
      <c r="A15" s="40" t="s">
        <v>118</v>
      </c>
      <c r="B15" s="68">
        <f>期望!B15</f>
        <v>0.0852</v>
      </c>
      <c r="C15" s="38" t="s">
        <v>119</v>
      </c>
      <c r="D15" s="38"/>
      <c r="F15" s="77"/>
      <c r="H15" s="78"/>
      <c r="I15" s="73"/>
      <c r="J15" s="74"/>
      <c r="K15" s="30">
        <f>$L15*VLOOKUP($R15,武学奇术!$A:$ZZ,31,FALSE)</f>
        <v>25806.5743061078</v>
      </c>
      <c r="L15" s="30">
        <f t="shared" si="0"/>
        <v>23460.5220964617</v>
      </c>
      <c r="M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20101.4424731075</v>
      </c>
      <c r="N15" s="30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35286.7995017953</v>
      </c>
      <c r="O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13400.9616487383</v>
      </c>
      <c r="P15" s="30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6190.47499035317</v>
      </c>
      <c r="Q15" s="38">
        <v>1</v>
      </c>
      <c r="R15" s="39" t="s">
        <v>71</v>
      </c>
      <c r="S15" s="39" t="s">
        <v>113</v>
      </c>
      <c r="T15" s="39" t="s">
        <v>75</v>
      </c>
      <c r="U15" s="39" t="s">
        <v>114</v>
      </c>
      <c r="V15" s="39" t="s">
        <v>74</v>
      </c>
      <c r="W15" s="39" t="s">
        <v>75</v>
      </c>
      <c r="X15" s="39" t="s">
        <v>75</v>
      </c>
      <c r="Y15" s="39" t="s">
        <v>75</v>
      </c>
      <c r="Z15" s="39" t="s">
        <v>75</v>
      </c>
      <c r="AA15" s="39" t="s">
        <v>103</v>
      </c>
      <c r="AB15" s="39" t="s">
        <v>75</v>
      </c>
      <c r="AC15" s="39" t="s">
        <v>75</v>
      </c>
      <c r="AD15" s="39" t="s">
        <v>75</v>
      </c>
      <c r="AE15" s="39" t="s">
        <v>75</v>
      </c>
      <c r="AF15" s="39" t="s">
        <v>75</v>
      </c>
      <c r="AG15" s="39" t="s">
        <v>76</v>
      </c>
      <c r="AH15" t="str">
        <f>VLOOKUP($R15,武学奇术!$A:$ZZ,25,FALSE)</f>
        <v>群体奇术</v>
      </c>
      <c r="AI15" s="24">
        <f>VLOOKUP($R15,武学奇术!$A:$ZZ,26,FALSE)</f>
        <v>1.4904</v>
      </c>
      <c r="AJ15" s="25">
        <f>VLOOKUP($R15,武学奇术!$A:$ZZ,27,FALSE)*(1+IF(OR($AH15=$F$4,$AH15=$F$5),$B$22,0))</f>
        <v>368</v>
      </c>
      <c r="AK15" s="24">
        <f>VLOOKUP($R15,武学奇术!$A:$ZZ,28,FALSE)</f>
        <v>2.2353</v>
      </c>
      <c r="AL15" s="25">
        <f>VLOOKUP($R15,武学奇术!$A:$ZZ,29,FALSE)*(1+IF(OR($AH15=$F$4,$AH15=$F$5),$B$22,0))</f>
        <v>0</v>
      </c>
      <c r="AM15" s="24" cm="1">
        <f t="array" ref="AM15">$G$3+IFERROR(VLOOKUP($AH15,$F$4:$G$7,2,FALSE),0)+VLOOKUP($R15,武学奇术!$A:$ZZ,2,FALSE)+SUM(_xlfn.XLOOKUP($S15:$AG15,增益!$A:$A,增益!$B:$B,0))</f>
        <v>0.3187</v>
      </c>
      <c r="AN15" s="24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1302.4</v>
      </c>
      <c r="AP15" cm="1">
        <f t="array" ref="AP15">$E$10*(1+$AN15)+VLOOKUP($R15,武学奇术!$A:$ZZ,4,FALSE)+SUM(_xlfn.XLOOKUP($S15:$AG15,增益!$A:$A,增益!$D:$D,0))-$I$2</f>
        <v>6112.4</v>
      </c>
      <c r="AQ15" s="32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0.1925</v>
      </c>
      <c r="AR15" s="32" cm="1">
        <f t="array" ref="AR15">$G$10+VLOOKUP($R15,武学奇术!$A:$ZZ,7,FALSE)+SUM(_xlfn.XLOOKUP(S15:AG15,增益!$A:$A,增益!$G:$G,0))</f>
        <v>0</v>
      </c>
      <c r="AS15" s="24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32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2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2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2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2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2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2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2" cm="1">
        <f t="array" ref="BI15">$G$14+VLOOKUP($R15,武学奇术!$A:$ZZ,16,FALSE)+SUM(_xlfn.XLOOKUP(S15:AG15,增益!$A:$A,增益!$P:$P,0))</f>
        <v>0</v>
      </c>
      <c r="BJ15" s="24">
        <f>MIN(IF(VLOOKUP($R15,武学奇术!$A:$ZZ,23,FALSE)=1,100%,$B$8),100%)</f>
        <v>0.8271</v>
      </c>
      <c r="BK15" s="24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0.1789</v>
      </c>
      <c r="BL15" s="24" cm="1">
        <f t="array" ref="BL15">1+$B$13+VLOOKUP($R15,武学奇术!$A:$ZZ,18,FALSE)+SUM(_xlfn.XLOOKUP(S15:AG15,增益!$A:$A,增益!$R:$R,0))</f>
        <v>1.5</v>
      </c>
      <c r="BM15" s="24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4" cm="1">
        <f t="array" ref="BN15">1+$B$14+VLOOKUP($R15,武学奇术!$A:$ZZ,20,FALSE)+SUM(_xlfn.XLOOKUP(S15:AG15,增益!$A:$A,增益!$T:$T,0))</f>
        <v>1.712</v>
      </c>
      <c r="BO15" s="24">
        <f t="shared" si="9"/>
        <v>0.14796819</v>
      </c>
      <c r="BP15" s="24">
        <f t="shared" si="10"/>
        <v>0.31032792</v>
      </c>
      <c r="BQ15" s="24">
        <f>IF(VLOOKUP($R15,武学奇术!$A:$ZZ,22,FALSE)=1,0,(1-$BJ15))*(1-$BM15)</f>
        <v>0.09580389</v>
      </c>
      <c r="BR15" s="24" cm="1">
        <f t="array" ref="BR15">SUM(_xlfn.XLOOKUP(S15:AG15,增益!$A:$A,增益!$W:$W,0))+$I$5</f>
        <v>0.11</v>
      </c>
    </row>
    <row r="16" spans="1:70">
      <c r="A16" s="40" t="s">
        <v>120</v>
      </c>
      <c r="B16" s="68">
        <f>期望!B16</f>
        <v>0.0887</v>
      </c>
      <c r="C16" s="38" t="s">
        <v>121</v>
      </c>
      <c r="D16" s="77" t="s">
        <v>160</v>
      </c>
      <c r="E16" s="38" t="s">
        <v>123</v>
      </c>
      <c r="F16" s="77" t="s">
        <v>122</v>
      </c>
      <c r="H16" s="66" t="s">
        <v>124</v>
      </c>
      <c r="I16" s="79"/>
      <c r="J16" s="80"/>
      <c r="K16" s="30">
        <f>$L16*VLOOKUP($R16,武学奇术!$A:$ZZ,31,FALSE)</f>
        <v>29852.3181077392</v>
      </c>
      <c r="L16" s="30">
        <f t="shared" si="0"/>
        <v>27138.4710070357</v>
      </c>
      <c r="M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20101.4424731075</v>
      </c>
      <c r="N16" s="30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37554.0588155789</v>
      </c>
      <c r="O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13400.9616487383</v>
      </c>
      <c r="P16" s="30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6190.47499035317</v>
      </c>
      <c r="Q16" s="38">
        <v>1</v>
      </c>
      <c r="R16" s="39" t="s">
        <v>71</v>
      </c>
      <c r="S16" s="39" t="s">
        <v>125</v>
      </c>
      <c r="T16" s="39" t="s">
        <v>69</v>
      </c>
      <c r="U16" s="39" t="s">
        <v>73</v>
      </c>
      <c r="V16" s="39" t="s">
        <v>74</v>
      </c>
      <c r="W16" s="39" t="s">
        <v>75</v>
      </c>
      <c r="X16" s="39" t="s">
        <v>75</v>
      </c>
      <c r="Y16" s="39" t="s">
        <v>75</v>
      </c>
      <c r="Z16" s="39" t="s">
        <v>75</v>
      </c>
      <c r="AA16" s="39" t="s">
        <v>103</v>
      </c>
      <c r="AB16" s="39" t="s">
        <v>75</v>
      </c>
      <c r="AC16" s="39" t="s">
        <v>75</v>
      </c>
      <c r="AD16" s="39" t="s">
        <v>75</v>
      </c>
      <c r="AE16" s="39" t="s">
        <v>75</v>
      </c>
      <c r="AF16" s="39" t="s">
        <v>75</v>
      </c>
      <c r="AG16" s="39" t="s">
        <v>76</v>
      </c>
      <c r="AH16" t="str">
        <f>VLOOKUP($R16,武学奇术!$A:$ZZ,25,FALSE)</f>
        <v>群体奇术</v>
      </c>
      <c r="AI16" s="24">
        <f>VLOOKUP($R16,武学奇术!$A:$ZZ,26,FALSE)</f>
        <v>1.4904</v>
      </c>
      <c r="AJ16" s="25">
        <f>VLOOKUP($R16,武学奇术!$A:$ZZ,27,FALSE)*(1+IF(OR($AH16=$F$4,$AH16=$F$5),$B$22,0))</f>
        <v>368</v>
      </c>
      <c r="AK16" s="24">
        <f>VLOOKUP($R16,武学奇术!$A:$ZZ,28,FALSE)</f>
        <v>2.2353</v>
      </c>
      <c r="AL16" s="25">
        <f>VLOOKUP($R16,武学奇术!$A:$ZZ,29,FALSE)*(1+IF(OR($AH16=$F$4,$AH16=$F$5),$B$22,0))</f>
        <v>0</v>
      </c>
      <c r="AM16" s="24" cm="1">
        <f t="array" ref="AM16">$G$3+IFERROR(VLOOKUP($AH16,$F$4:$G$7,2,FALSE),0)+VLOOKUP($R16,武学奇术!$A:$ZZ,2,FALSE)+SUM(_xlfn.XLOOKUP($S16:$AG16,增益!$A:$A,增益!$B:$B,0))</f>
        <v>0.3187</v>
      </c>
      <c r="AN16" s="24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1302.4</v>
      </c>
      <c r="AP16" cm="1">
        <f t="array" ref="AP16">$E$10*(1+$AN16)+VLOOKUP($R16,武学奇术!$A:$ZZ,4,FALSE)+SUM(_xlfn.XLOOKUP($S16:$AG16,增益!$A:$A,增益!$D:$D,0))-$I$2</f>
        <v>6112.4</v>
      </c>
      <c r="AQ16" s="32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0.1925</v>
      </c>
      <c r="AR16" s="32" cm="1">
        <f t="array" ref="AR16">$G$10+VLOOKUP($R16,武学奇术!$A:$ZZ,7,FALSE)+SUM(_xlfn.XLOOKUP(S16:AG16,增益!$A:$A,增益!$G:$G,0))</f>
        <v>0</v>
      </c>
      <c r="AS16" s="24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32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2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2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2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2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2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2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2" cm="1">
        <f t="array" ref="BI16">$G$14+VLOOKUP($R16,武学奇术!$A:$ZZ,16,FALSE)+SUM(_xlfn.XLOOKUP(S16:AG16,增益!$A:$A,增益!$P:$P,0))</f>
        <v>0</v>
      </c>
      <c r="BJ16" s="24">
        <f>MIN(IF(VLOOKUP($R16,武学奇术!$A:$ZZ,23,FALSE)=1,100%,$B$8),100%)</f>
        <v>0.8271</v>
      </c>
      <c r="BK16" s="24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0.1789</v>
      </c>
      <c r="BL16" s="24" cm="1">
        <f t="array" ref="BL16">1+$B$13+VLOOKUP($R16,武学奇术!$A:$ZZ,18,FALSE)+SUM(_xlfn.XLOOKUP(S16:AG16,增益!$A:$A,增益!$R:$R,0))</f>
        <v>1.5</v>
      </c>
      <c r="BM16" s="24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0.5509</v>
      </c>
      <c r="BN16" s="24" cm="1">
        <f t="array" ref="BN16">1+$B$14+VLOOKUP($R16,武学奇术!$A:$ZZ,20,FALSE)+SUM(_xlfn.XLOOKUP(S16:AG16,增益!$A:$A,增益!$T:$T,0))</f>
        <v>1.822</v>
      </c>
      <c r="BO16" s="24">
        <f t="shared" si="9"/>
        <v>0.14796819</v>
      </c>
      <c r="BP16" s="24">
        <f t="shared" si="10"/>
        <v>0.22348242</v>
      </c>
      <c r="BQ16" s="24">
        <f>IF(VLOOKUP($R16,武学奇术!$A:$ZZ,22,FALSE)=1,0,(1-$BJ16))*(1-$BM16)</f>
        <v>0.07764939</v>
      </c>
      <c r="BR16" s="24" cm="1">
        <f t="array" ref="BR16">SUM(_xlfn.XLOOKUP(S16:AG16,增益!$A:$A,增益!$W:$W,0))+$I$5</f>
        <v>0.11</v>
      </c>
    </row>
    <row r="17" ht="14.25" spans="1:70">
      <c r="A17" s="40" t="s">
        <v>126</v>
      </c>
      <c r="B17" s="68">
        <f>期望!B17</f>
        <v>0.0852</v>
      </c>
      <c r="C17" s="38" t="s">
        <v>127</v>
      </c>
      <c r="D17" s="77" t="s">
        <v>160</v>
      </c>
      <c r="E17" s="38" t="s">
        <v>128</v>
      </c>
      <c r="F17" s="77" t="s">
        <v>160</v>
      </c>
      <c r="H17" s="69"/>
      <c r="I17" s="81"/>
      <c r="J17" s="82"/>
      <c r="K17" s="30">
        <f>$L17*VLOOKUP($R17,武学奇术!$A:$ZZ,31,FALSE)</f>
        <v>274455.235877494</v>
      </c>
      <c r="L17" s="30">
        <f t="shared" si="0"/>
        <v>249504.759888631</v>
      </c>
      <c r="M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175468.216406361</v>
      </c>
      <c r="N17" s="30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349983.869424056</v>
      </c>
      <c r="O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116978.810937574</v>
      </c>
      <c r="P17" s="30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59140.5042807145</v>
      </c>
      <c r="Q17" s="38">
        <v>1</v>
      </c>
      <c r="R17" s="39" t="s">
        <v>96</v>
      </c>
      <c r="S17" s="39" t="s">
        <v>125</v>
      </c>
      <c r="T17" s="39" t="s">
        <v>69</v>
      </c>
      <c r="U17" s="39" t="s">
        <v>73</v>
      </c>
      <c r="V17" s="39" t="s">
        <v>74</v>
      </c>
      <c r="W17" s="39" t="s">
        <v>109</v>
      </c>
      <c r="X17" s="39" t="s">
        <v>97</v>
      </c>
      <c r="Y17" s="39" t="s">
        <v>80</v>
      </c>
      <c r="Z17" s="39" t="s">
        <v>98</v>
      </c>
      <c r="AA17" s="39" t="s">
        <v>103</v>
      </c>
      <c r="AB17" s="39" t="s">
        <v>75</v>
      </c>
      <c r="AC17" s="39" t="s">
        <v>75</v>
      </c>
      <c r="AD17" s="39" t="s">
        <v>75</v>
      </c>
      <c r="AE17" s="39" t="s">
        <v>75</v>
      </c>
      <c r="AF17" s="39" t="s">
        <v>75</v>
      </c>
      <c r="AG17" s="39" t="s">
        <v>76</v>
      </c>
      <c r="AH17" t="str">
        <f>VLOOKUP($R17,武学奇术!$A:$ZZ,25,FALSE)</f>
        <v>剑</v>
      </c>
      <c r="AI17" s="24">
        <f>VLOOKUP($R17,武学奇术!$A:$ZZ,26,FALSE)</f>
        <v>4.7037</v>
      </c>
      <c r="AJ17" s="25">
        <f>VLOOKUP($R17,武学奇术!$A:$ZZ,27,FALSE)*(1+IF(OR($AH17=$F$4,$AH17=$F$5),$B$22,0))</f>
        <v>1820</v>
      </c>
      <c r="AK17" s="24">
        <f>VLOOKUP($R17,武学奇术!$A:$ZZ,28,FALSE)</f>
        <v>7.0554</v>
      </c>
      <c r="AL17" s="25">
        <f>VLOOKUP($R17,武学奇术!$A:$ZZ,29,FALSE)*(1+IF(OR($AH17=$F$4,$AH17=$F$5),$B$22,0))</f>
        <v>992.6</v>
      </c>
      <c r="AM17" s="24" cm="1">
        <f t="array" ref="AM17">$G$3+IFERROR(VLOOKUP($AH17,$F$4:$G$7,2,FALSE),0)+VLOOKUP($R17,武学奇术!$A:$ZZ,2,FALSE)+SUM(_xlfn.XLOOKUP($S17:$AG17,增益!$A:$A,增益!$B:$B,0))</f>
        <v>1.5391</v>
      </c>
      <c r="AN17" s="24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1302.4</v>
      </c>
      <c r="AP17" cm="1">
        <f t="array" ref="AP17">$E$10*(1+$AN17)+VLOOKUP($R17,武学奇术!$A:$ZZ,4,FALSE)+SUM(_xlfn.XLOOKUP($S17:$AG17,增益!$A:$A,增益!$D:$D,0))-$I$2</f>
        <v>6112.4</v>
      </c>
      <c r="AQ17" s="32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0.1925</v>
      </c>
      <c r="AR17" s="32" cm="1">
        <f t="array" ref="AR17">$G$10+VLOOKUP($R17,武学奇术!$A:$ZZ,7,FALSE)+SUM(_xlfn.XLOOKUP(S17:AG17,增益!$A:$A,增益!$G:$G,0))</f>
        <v>0</v>
      </c>
      <c r="AS17" s="24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32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2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2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2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2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2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2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2" cm="1">
        <f t="array" ref="BI17">$G$14+VLOOKUP($R17,武学奇术!$A:$ZZ,16,FALSE)+SUM(_xlfn.XLOOKUP(S17:AG17,增益!$A:$A,增益!$P:$P,0))</f>
        <v>0</v>
      </c>
      <c r="BJ17" s="24">
        <f>MIN(IF(VLOOKUP($R17,武学奇术!$A:$ZZ,23,FALSE)=1,100%,$B$8),100%)</f>
        <v>0.8271</v>
      </c>
      <c r="BK17" s="24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0.1789</v>
      </c>
      <c r="BL17" s="24" cm="1">
        <f t="array" ref="BL17">1+$B$13+VLOOKUP($R17,武学奇术!$A:$ZZ,18,FALSE)+SUM(_xlfn.XLOOKUP(S17:AG17,增益!$A:$A,增益!$R:$R,0))</f>
        <v>1.5</v>
      </c>
      <c r="BM17" s="24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0.5509</v>
      </c>
      <c r="BN17" s="24" cm="1">
        <f t="array" ref="BN17">1+$B$14+VLOOKUP($R17,武学奇术!$A:$ZZ,20,FALSE)+SUM(_xlfn.XLOOKUP(S17:AG17,增益!$A:$A,增益!$T:$T,0))</f>
        <v>2.002</v>
      </c>
      <c r="BO17" s="24">
        <f t="shared" si="9"/>
        <v>0.14796819</v>
      </c>
      <c r="BP17" s="24">
        <f t="shared" si="10"/>
        <v>0.22348242</v>
      </c>
      <c r="BQ17" s="24">
        <f>IF(VLOOKUP($R17,武学奇术!$A:$ZZ,22,FALSE)=1,0,(1-$BJ17))*(1-$BM17)</f>
        <v>0.07764939</v>
      </c>
      <c r="BR17" s="24" cm="1">
        <f t="array" ref="BR17">SUM(_xlfn.XLOOKUP(S17:AG17,增益!$A:$A,增益!$W:$W,0))+$I$5</f>
        <v>0.11</v>
      </c>
    </row>
    <row r="18" spans="1:70">
      <c r="A18" s="40" t="s">
        <v>129</v>
      </c>
      <c r="B18" s="68">
        <f>期望!B18</f>
        <v>0</v>
      </c>
      <c r="C18" s="38"/>
      <c r="D18" s="77"/>
      <c r="H18" s="36" t="s">
        <v>130</v>
      </c>
      <c r="I18" s="79">
        <f>SUM(K:K)/SUM(L:L)</f>
        <v>1.1</v>
      </c>
      <c r="J18" s="80"/>
      <c r="K18" s="30">
        <f>$L18*VLOOKUP($R18,武学奇术!$A:$ZZ,31,FALSE)</f>
        <v>253812.85674111</v>
      </c>
      <c r="L18" s="30">
        <f t="shared" si="0"/>
        <v>230738.960673736</v>
      </c>
      <c r="M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161646.924105439</v>
      </c>
      <c r="N18" s="30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324026.787510323</v>
      </c>
      <c r="O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107764.616070292</v>
      </c>
      <c r="P18" s="30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54482.1210519552</v>
      </c>
      <c r="Q18" s="38">
        <v>1</v>
      </c>
      <c r="R18" s="39" t="s">
        <v>96</v>
      </c>
      <c r="S18" s="39" t="s">
        <v>131</v>
      </c>
      <c r="T18" s="39" t="s">
        <v>69</v>
      </c>
      <c r="U18" s="39" t="s">
        <v>73</v>
      </c>
      <c r="V18" s="39" t="s">
        <v>75</v>
      </c>
      <c r="W18" s="39" t="s">
        <v>109</v>
      </c>
      <c r="X18" s="39" t="s">
        <v>97</v>
      </c>
      <c r="Y18" s="39" t="s">
        <v>80</v>
      </c>
      <c r="Z18" s="39" t="s">
        <v>98</v>
      </c>
      <c r="AA18" s="39" t="s">
        <v>103</v>
      </c>
      <c r="AB18" s="39" t="s">
        <v>75</v>
      </c>
      <c r="AC18" s="39" t="s">
        <v>75</v>
      </c>
      <c r="AD18" s="39" t="s">
        <v>75</v>
      </c>
      <c r="AE18" s="39" t="s">
        <v>75</v>
      </c>
      <c r="AF18" s="39" t="s">
        <v>75</v>
      </c>
      <c r="AG18" s="39" t="s">
        <v>76</v>
      </c>
      <c r="AH18" t="str">
        <f>VLOOKUP($R18,武学奇术!$A:$ZZ,25,FALSE)</f>
        <v>剑</v>
      </c>
      <c r="AI18" s="24">
        <f>VLOOKUP($R18,武学奇术!$A:$ZZ,26,FALSE)</f>
        <v>4.7037</v>
      </c>
      <c r="AJ18" s="25">
        <f>VLOOKUP($R18,武学奇术!$A:$ZZ,27,FALSE)*(1+IF(OR($AH18=$F$4,$AH18=$F$5),$B$22,0))</f>
        <v>1820</v>
      </c>
      <c r="AK18" s="24">
        <f>VLOOKUP($R18,武学奇术!$A:$ZZ,28,FALSE)</f>
        <v>7.0554</v>
      </c>
      <c r="AL18" s="25">
        <f>VLOOKUP($R18,武学奇术!$A:$ZZ,29,FALSE)*(1+IF(OR($AH18=$F$4,$AH18=$F$5),$B$22,0))</f>
        <v>992.6</v>
      </c>
      <c r="AM18" s="24" cm="1">
        <f t="array" ref="AM18">$G$3+IFERROR(VLOOKUP($AH18,$F$4:$G$7,2,FALSE),0)+VLOOKUP($R18,武学奇术!$A:$ZZ,2,FALSE)+SUM(_xlfn.XLOOKUP($S18:$AG18,增益!$A:$A,增益!$B:$B,0))</f>
        <v>1.3391</v>
      </c>
      <c r="AN18" s="24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1302.4</v>
      </c>
      <c r="AP18" cm="1">
        <f t="array" ref="AP18">$E$10*(1+$AN18)+VLOOKUP($R18,武学奇术!$A:$ZZ,4,FALSE)+SUM(_xlfn.XLOOKUP($S18:$AG18,增益!$A:$A,增益!$D:$D,0))-$I$2</f>
        <v>6112.4</v>
      </c>
      <c r="AQ18" s="32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0.1925</v>
      </c>
      <c r="AR18" s="32" cm="1">
        <f t="array" ref="AR18">$G$10+VLOOKUP($R18,武学奇术!$A:$ZZ,7,FALSE)+SUM(_xlfn.XLOOKUP(S18:AG18,增益!$A:$A,增益!$G:$G,0))</f>
        <v>0</v>
      </c>
      <c r="AS18" s="24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32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2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2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2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2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2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2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2" cm="1">
        <f t="array" ref="BI18">$G$14+VLOOKUP($R18,武学奇术!$A:$ZZ,16,FALSE)+SUM(_xlfn.XLOOKUP(S18:AG18,增益!$A:$A,增益!$P:$P,0))</f>
        <v>0</v>
      </c>
      <c r="BJ18" s="24">
        <f>MIN(IF(VLOOKUP($R18,武学奇术!$A:$ZZ,23,FALSE)=1,100%,$B$8),100%)</f>
        <v>0.8271</v>
      </c>
      <c r="BK18" s="24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0.1789</v>
      </c>
      <c r="BL18" s="24" cm="1">
        <f t="array" ref="BL18">1+$B$13+VLOOKUP($R18,武学奇术!$A:$ZZ,18,FALSE)+SUM(_xlfn.XLOOKUP(S18:AG18,增益!$A:$A,增益!$R:$R,0))</f>
        <v>1.5</v>
      </c>
      <c r="BM18" s="24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0.5509</v>
      </c>
      <c r="BN18" s="24" cm="1">
        <f t="array" ref="BN18">1+$B$14+VLOOKUP($R18,武学奇术!$A:$ZZ,20,FALSE)+SUM(_xlfn.XLOOKUP(S18:AG18,增益!$A:$A,增益!$T:$T,0))</f>
        <v>2.012</v>
      </c>
      <c r="BO18" s="24">
        <f t="shared" si="9"/>
        <v>0.14796819</v>
      </c>
      <c r="BP18" s="24">
        <f t="shared" si="10"/>
        <v>0.22348242</v>
      </c>
      <c r="BQ18" s="24">
        <f>IF(VLOOKUP($R18,武学奇术!$A:$ZZ,22,FALSE)=1,0,(1-$BJ18))*(1-$BM18)</f>
        <v>0.07764939</v>
      </c>
      <c r="BR18" s="24" cm="1">
        <f t="array" ref="BR18">SUM(_xlfn.XLOOKUP(S18:AG18,增益!$A:$A,增益!$W:$W,0))+$I$5</f>
        <v>0.11</v>
      </c>
    </row>
    <row r="19" ht="14.25" spans="1:70">
      <c r="A19" s="40" t="s">
        <v>132</v>
      </c>
      <c r="B19" s="68">
        <f>期望!B19</f>
        <v>0</v>
      </c>
      <c r="C19" s="38" t="s">
        <v>133</v>
      </c>
      <c r="D19" s="77" t="s">
        <v>160</v>
      </c>
      <c r="H19" s="78"/>
      <c r="I19" s="81"/>
      <c r="J19" s="82"/>
      <c r="K19" s="30">
        <f>$L19*VLOOKUP($R19,武学奇术!$A:$ZZ,31,FALSE)</f>
        <v>21584.3308607765</v>
      </c>
      <c r="L19" s="30">
        <f t="shared" si="0"/>
        <v>19622.1189643423</v>
      </c>
      <c r="M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14706.9427215432</v>
      </c>
      <c r="N19" s="30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26992.2034995014</v>
      </c>
      <c r="O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9804.6284810288</v>
      </c>
      <c r="P19" s="30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4955.50913388095</v>
      </c>
      <c r="Q19" s="38">
        <v>1</v>
      </c>
      <c r="R19" s="39" t="s">
        <v>93</v>
      </c>
      <c r="S19" s="39" t="s">
        <v>134</v>
      </c>
      <c r="T19" s="39" t="s">
        <v>69</v>
      </c>
      <c r="U19" s="39" t="s">
        <v>73</v>
      </c>
      <c r="V19" s="39" t="s">
        <v>75</v>
      </c>
      <c r="W19" s="39" t="s">
        <v>75</v>
      </c>
      <c r="X19" s="39" t="s">
        <v>75</v>
      </c>
      <c r="Y19" s="39" t="s">
        <v>75</v>
      </c>
      <c r="Z19" s="39" t="s">
        <v>75</v>
      </c>
      <c r="AA19" s="39" t="s">
        <v>103</v>
      </c>
      <c r="AB19" s="39" t="s">
        <v>75</v>
      </c>
      <c r="AC19" s="39" t="s">
        <v>75</v>
      </c>
      <c r="AD19" s="39" t="s">
        <v>75</v>
      </c>
      <c r="AE19" s="39" t="s">
        <v>75</v>
      </c>
      <c r="AF19" s="39" t="s">
        <v>75</v>
      </c>
      <c r="AG19" s="39" t="s">
        <v>76</v>
      </c>
      <c r="AH19" t="str">
        <f>VLOOKUP($R19,武学奇术!$A:$ZZ,25,FALSE)</f>
        <v>剑</v>
      </c>
      <c r="AI19" s="24">
        <f>VLOOKUP($R19,武学奇术!$A:$ZZ,26,FALSE)</f>
        <v>1.0253</v>
      </c>
      <c r="AJ19" s="25">
        <f>VLOOKUP($R19,武学奇术!$A:$ZZ,27,FALSE)*(1+IF(OR($AH19=$F$4,$AH19=$F$5),$B$22,0))</f>
        <v>396.2</v>
      </c>
      <c r="AK19" s="24">
        <f>VLOOKUP($R19,武学奇术!$A:$ZZ,28,FALSE)</f>
        <v>1.538</v>
      </c>
      <c r="AL19" s="25">
        <f>VLOOKUP($R19,武学奇术!$A:$ZZ,29,FALSE)*(1+IF(OR($AH19=$F$4,$AH19=$F$5),$B$22,0))</f>
        <v>215.6</v>
      </c>
      <c r="AM19" s="24" cm="1">
        <f t="array" ref="AM19">$G$3+IFERROR(VLOOKUP($AH19,$F$4:$G$7,2,FALSE),0)+VLOOKUP($R19,武学奇术!$A:$ZZ,2,FALSE)+SUM(_xlfn.XLOOKUP($S19:$AG19,增益!$A:$A,增益!$B:$B,0))</f>
        <v>0.2891</v>
      </c>
      <c r="AN19" s="24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1302.4</v>
      </c>
      <c r="AP19" cm="1">
        <f t="array" ref="AP19">$E$10*(1+$AN19)+VLOOKUP($R19,武学奇术!$A:$ZZ,4,FALSE)+SUM(_xlfn.XLOOKUP($S19:$AG19,增益!$A:$A,增益!$D:$D,0))-$I$2</f>
        <v>6112.4</v>
      </c>
      <c r="AQ19" s="32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0.1925</v>
      </c>
      <c r="AR19" s="32" cm="1">
        <f t="array" ref="AR19">$G$10+VLOOKUP($R19,武学奇术!$A:$ZZ,7,FALSE)+SUM(_xlfn.XLOOKUP(S19:AG19,增益!$A:$A,增益!$G:$G,0))</f>
        <v>0</v>
      </c>
      <c r="AS19" s="24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32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2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2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2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2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2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2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2" cm="1">
        <f t="array" ref="BI19">$G$14+VLOOKUP($R19,武学奇术!$A:$ZZ,16,FALSE)+SUM(_xlfn.XLOOKUP(S19:AG19,增益!$A:$A,增益!$P:$P,0))</f>
        <v>0</v>
      </c>
      <c r="BJ19" s="24">
        <f>MIN(IF(VLOOKUP($R19,武学奇术!$A:$ZZ,23,FALSE)=1,100%,$B$8),100%)</f>
        <v>0.8271</v>
      </c>
      <c r="BK19" s="24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0.1789</v>
      </c>
      <c r="BL19" s="24" cm="1">
        <f t="array" ref="BL19">1+$B$13+VLOOKUP($R19,武学奇术!$A:$ZZ,18,FALSE)+SUM(_xlfn.XLOOKUP(S19:AG19,增益!$A:$A,增益!$R:$R,0))</f>
        <v>1.5</v>
      </c>
      <c r="BM19" s="24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0.5509</v>
      </c>
      <c r="BN19" s="24" cm="1">
        <f t="array" ref="BN19">1+$B$14+VLOOKUP($R19,武学奇术!$A:$ZZ,20,FALSE)+SUM(_xlfn.XLOOKUP(S19:AG19,增益!$A:$A,增益!$T:$T,0))</f>
        <v>1.842</v>
      </c>
      <c r="BO19" s="24">
        <f t="shared" si="9"/>
        <v>0.14796819</v>
      </c>
      <c r="BP19" s="24">
        <f t="shared" si="10"/>
        <v>0.22348242</v>
      </c>
      <c r="BQ19" s="24">
        <f>IF(VLOOKUP($R19,武学奇术!$A:$ZZ,22,FALSE)=1,0,(1-$BJ19))*(1-$BM19)</f>
        <v>0.07764939</v>
      </c>
      <c r="BR19" s="24" cm="1">
        <f t="array" ref="BR19">SUM(_xlfn.XLOOKUP(S19:AG19,增益!$A:$A,增益!$W:$W,0))+$I$5</f>
        <v>0.11</v>
      </c>
    </row>
    <row r="20" spans="1:70">
      <c r="A20" s="40" t="s">
        <v>135</v>
      </c>
      <c r="B20" s="68">
        <f>期望!B20</f>
        <v>0</v>
      </c>
      <c r="K20" s="30">
        <f>$L20*VLOOKUP($R20,武学奇术!$A:$ZZ,31,FALSE)</f>
        <v>509577.572259191</v>
      </c>
      <c r="L20" s="30">
        <f t="shared" si="0"/>
        <v>463252.338417447</v>
      </c>
      <c r="M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323293.848210877</v>
      </c>
      <c r="N20" s="30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651274.517242418</v>
      </c>
      <c r="O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215529.232140585</v>
      </c>
      <c r="P20" s="30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108964.24210391</v>
      </c>
      <c r="Q20" s="38">
        <v>2</v>
      </c>
      <c r="R20" s="39" t="s">
        <v>96</v>
      </c>
      <c r="S20" s="39" t="s">
        <v>134</v>
      </c>
      <c r="T20" s="39" t="s">
        <v>69</v>
      </c>
      <c r="U20" s="39" t="s">
        <v>73</v>
      </c>
      <c r="V20" s="39" t="s">
        <v>75</v>
      </c>
      <c r="W20" s="39" t="s">
        <v>109</v>
      </c>
      <c r="X20" s="39" t="s">
        <v>97</v>
      </c>
      <c r="Y20" s="39" t="s">
        <v>80</v>
      </c>
      <c r="Z20" s="39" t="s">
        <v>98</v>
      </c>
      <c r="AA20" s="39" t="s">
        <v>103</v>
      </c>
      <c r="AB20" s="39" t="s">
        <v>75</v>
      </c>
      <c r="AC20" s="39" t="s">
        <v>75</v>
      </c>
      <c r="AD20" s="39" t="s">
        <v>75</v>
      </c>
      <c r="AE20" s="39" t="s">
        <v>75</v>
      </c>
      <c r="AF20" s="39" t="s">
        <v>75</v>
      </c>
      <c r="AG20" s="39" t="s">
        <v>76</v>
      </c>
      <c r="AH20" t="str">
        <f>VLOOKUP($R20,武学奇术!$A:$ZZ,25,FALSE)</f>
        <v>剑</v>
      </c>
      <c r="AI20" s="24">
        <f>VLOOKUP($R20,武学奇术!$A:$ZZ,26,FALSE)</f>
        <v>4.7037</v>
      </c>
      <c r="AJ20" s="25">
        <f>VLOOKUP($R20,武学奇术!$A:$ZZ,27,FALSE)*(1+IF(OR($AH20=$F$4,$AH20=$F$5),$B$22,0))</f>
        <v>1820</v>
      </c>
      <c r="AK20" s="24">
        <f>VLOOKUP($R20,武学奇术!$A:$ZZ,28,FALSE)</f>
        <v>7.0554</v>
      </c>
      <c r="AL20" s="25">
        <f>VLOOKUP($R20,武学奇术!$A:$ZZ,29,FALSE)*(1+IF(OR($AH20=$F$4,$AH20=$F$5),$B$22,0))</f>
        <v>992.6</v>
      </c>
      <c r="AM20" s="24" cm="1">
        <f t="array" ref="AM20">$G$3+IFERROR(VLOOKUP($AH20,$F$4:$G$7,2,FALSE),0)+VLOOKUP($R20,武学奇术!$A:$ZZ,2,FALSE)+SUM(_xlfn.XLOOKUP($S20:$AG20,增益!$A:$A,增益!$B:$B,0))</f>
        <v>1.3391</v>
      </c>
      <c r="AN20" s="24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1302.4</v>
      </c>
      <c r="AP20" cm="1">
        <f t="array" ref="AP20">$E$10*(1+$AN20)+VLOOKUP($R20,武学奇术!$A:$ZZ,4,FALSE)+SUM(_xlfn.XLOOKUP($S20:$AG20,增益!$A:$A,增益!$D:$D,0))-$I$2</f>
        <v>6112.4</v>
      </c>
      <c r="AQ20" s="32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0.1925</v>
      </c>
      <c r="AR20" s="32" cm="1">
        <f t="array" ref="AR20">$G$10+VLOOKUP($R20,武学奇术!$A:$ZZ,7,FALSE)+SUM(_xlfn.XLOOKUP(S20:AG20,增益!$A:$A,增益!$G:$G,0))</f>
        <v>0</v>
      </c>
      <c r="AS20" s="24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32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2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2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2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2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2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2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2" cm="1">
        <f t="array" ref="BI20">$G$14+VLOOKUP($R20,武学奇术!$A:$ZZ,16,FALSE)+SUM(_xlfn.XLOOKUP(S20:AG20,增益!$A:$A,增益!$P:$P,0))</f>
        <v>0</v>
      </c>
      <c r="BJ20" s="24">
        <f>MIN(IF(VLOOKUP($R20,武学奇术!$A:$ZZ,23,FALSE)=1,100%,$B$8),100%)</f>
        <v>0.8271</v>
      </c>
      <c r="BK20" s="24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0.1789</v>
      </c>
      <c r="BL20" s="24" cm="1">
        <f t="array" ref="BL20">1+$B$13+VLOOKUP($R20,武学奇术!$A:$ZZ,18,FALSE)+SUM(_xlfn.XLOOKUP(S20:AG20,增益!$A:$A,增益!$R:$R,0))</f>
        <v>1.5</v>
      </c>
      <c r="BM20" s="24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0.5509</v>
      </c>
      <c r="BN20" s="24" cm="1">
        <f t="array" ref="BN20">1+$B$14+VLOOKUP($R20,武学奇术!$A:$ZZ,20,FALSE)+SUM(_xlfn.XLOOKUP(S20:AG20,增益!$A:$A,增益!$T:$T,0))</f>
        <v>2.022</v>
      </c>
      <c r="BO20" s="24">
        <f t="shared" si="9"/>
        <v>0.14796819</v>
      </c>
      <c r="BP20" s="24">
        <f t="shared" si="10"/>
        <v>0.22348242</v>
      </c>
      <c r="BQ20" s="24">
        <f>IF(VLOOKUP($R20,武学奇术!$A:$ZZ,22,FALSE)=1,0,(1-$BJ20))*(1-$BM20)</f>
        <v>0.07764939</v>
      </c>
      <c r="BR20" s="24" cm="1">
        <f t="array" ref="BR20">SUM(_xlfn.XLOOKUP(S20:AG20,增益!$A:$A,增益!$W:$W,0))+$I$5</f>
        <v>0.11</v>
      </c>
    </row>
    <row r="21" ht="14.25" spans="1:70">
      <c r="A21" s="83" t="s">
        <v>137</v>
      </c>
      <c r="B21" s="84">
        <f>期望!B21</f>
        <v>0.32</v>
      </c>
      <c r="F21" s="38"/>
      <c r="K21" s="30">
        <f>$L21*VLOOKUP($R21,武学奇术!$A:$ZZ,31,FALSE)</f>
        <v>221451.167376966</v>
      </c>
      <c r="L21" s="30">
        <f t="shared" si="0"/>
        <v>201319.243069969</v>
      </c>
      <c r="M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161646.924105439</v>
      </c>
      <c r="N21" s="30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311143.018623232</v>
      </c>
      <c r="O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107764.616070292</v>
      </c>
      <c r="P21" s="30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54482.1210519552</v>
      </c>
      <c r="Q21" s="38">
        <v>1</v>
      </c>
      <c r="R21" s="39" t="s">
        <v>96</v>
      </c>
      <c r="S21" s="39" t="s">
        <v>138</v>
      </c>
      <c r="T21" s="39" t="s">
        <v>75</v>
      </c>
      <c r="U21" s="39" t="s">
        <v>114</v>
      </c>
      <c r="V21" s="39" t="s">
        <v>75</v>
      </c>
      <c r="W21" s="39" t="s">
        <v>109</v>
      </c>
      <c r="X21" s="39" t="s">
        <v>97</v>
      </c>
      <c r="Y21" s="39" t="s">
        <v>80</v>
      </c>
      <c r="Z21" s="39" t="s">
        <v>98</v>
      </c>
      <c r="AA21" s="39" t="s">
        <v>103</v>
      </c>
      <c r="AB21" s="39" t="s">
        <v>75</v>
      </c>
      <c r="AC21" s="39" t="s">
        <v>75</v>
      </c>
      <c r="AD21" s="39" t="s">
        <v>75</v>
      </c>
      <c r="AE21" s="39" t="s">
        <v>75</v>
      </c>
      <c r="AF21" s="39" t="s">
        <v>75</v>
      </c>
      <c r="AG21" s="39" t="s">
        <v>76</v>
      </c>
      <c r="AH21" t="str">
        <f>VLOOKUP($R21,武学奇术!$A:$ZZ,25,FALSE)</f>
        <v>剑</v>
      </c>
      <c r="AI21" s="24">
        <f>VLOOKUP($R21,武学奇术!$A:$ZZ,26,FALSE)</f>
        <v>4.7037</v>
      </c>
      <c r="AJ21" s="25">
        <f>VLOOKUP($R21,武学奇术!$A:$ZZ,27,FALSE)*(1+IF(OR($AH21=$F$4,$AH21=$F$5),$B$22,0))</f>
        <v>1820</v>
      </c>
      <c r="AK21" s="24">
        <f>VLOOKUP($R21,武学奇术!$A:$ZZ,28,FALSE)</f>
        <v>7.0554</v>
      </c>
      <c r="AL21" s="25">
        <f>VLOOKUP($R21,武学奇术!$A:$ZZ,29,FALSE)*(1+IF(OR($AH21=$F$4,$AH21=$F$5),$B$22,0))</f>
        <v>992.6</v>
      </c>
      <c r="AM21" s="24" cm="1">
        <f t="array" ref="AM21">$G$3+IFERROR(VLOOKUP($AH21,$F$4:$G$7,2,FALSE),0)+VLOOKUP($R21,武学奇术!$A:$ZZ,2,FALSE)+SUM(_xlfn.XLOOKUP($S21:$AG21,增益!$A:$A,增益!$B:$B,0))</f>
        <v>1.3391</v>
      </c>
      <c r="AN21" s="24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1302.4</v>
      </c>
      <c r="AP21" cm="1">
        <f t="array" ref="AP21">$E$10*(1+$AN21)+VLOOKUP($R21,武学奇术!$A:$ZZ,4,FALSE)+SUM(_xlfn.XLOOKUP($S21:$AG21,增益!$A:$A,增益!$D:$D,0))-$I$2</f>
        <v>6112.4</v>
      </c>
      <c r="AQ21" s="32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0.1925</v>
      </c>
      <c r="AR21" s="32" cm="1">
        <f t="array" ref="AR21">$G$10+VLOOKUP($R21,武学奇术!$A:$ZZ,7,FALSE)+SUM(_xlfn.XLOOKUP(S21:AG21,增益!$A:$A,增益!$G:$G,0))</f>
        <v>0</v>
      </c>
      <c r="AS21" s="24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32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2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2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2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2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2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2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2" cm="1">
        <f t="array" ref="BI21">$G$14+VLOOKUP($R21,武学奇术!$A:$ZZ,16,FALSE)+SUM(_xlfn.XLOOKUP(S21:AG21,增益!$A:$A,增益!$P:$P,0))</f>
        <v>0</v>
      </c>
      <c r="BJ21" s="24">
        <f>MIN(IF(VLOOKUP($R21,武学奇术!$A:$ZZ,23,FALSE)=1,100%,$B$8),100%)</f>
        <v>0.8271</v>
      </c>
      <c r="BK21" s="24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0.1789</v>
      </c>
      <c r="BL21" s="24" cm="1">
        <f t="array" ref="BL21">1+$B$13+VLOOKUP($R21,武学奇术!$A:$ZZ,18,FALSE)+SUM(_xlfn.XLOOKUP(S21:AG21,增益!$A:$A,增益!$R:$R,0))</f>
        <v>1.5</v>
      </c>
      <c r="BM21" s="24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4" cm="1">
        <f t="array" ref="BN21">1+$B$14+VLOOKUP($R21,武学奇术!$A:$ZZ,20,FALSE)+SUM(_xlfn.XLOOKUP(S21:AG21,增益!$A:$A,增益!$T:$T,0))</f>
        <v>1.932</v>
      </c>
      <c r="BO21" s="24">
        <f t="shared" si="9"/>
        <v>0.14796819</v>
      </c>
      <c r="BP21" s="24">
        <f t="shared" si="10"/>
        <v>0.31032792</v>
      </c>
      <c r="BQ21" s="24">
        <f>IF(VLOOKUP($R21,武学奇术!$A:$ZZ,22,FALSE)=1,0,(1-$BJ21))*(1-$BM21)</f>
        <v>0.09580389</v>
      </c>
      <c r="BR21" s="24" cm="1">
        <f t="array" ref="BR21">SUM(_xlfn.XLOOKUP(S21:AG21,增益!$A:$A,增益!$W:$W,0))+$I$5</f>
        <v>0.11</v>
      </c>
    </row>
    <row r="22" spans="1:70">
      <c r="A22" t="s">
        <v>139</v>
      </c>
      <c r="B22" s="26">
        <f>期望!B22</f>
        <v>0.4</v>
      </c>
      <c r="K22" s="30">
        <f>$L22*VLOOKUP($R22,武学奇术!$A:$ZZ,31,FALSE)</f>
        <v>222241.087352145</v>
      </c>
      <c r="L22" s="30">
        <f t="shared" si="0"/>
        <v>202037.352138313</v>
      </c>
      <c r="M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161646.924105439</v>
      </c>
      <c r="N22" s="30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312753.489734119</v>
      </c>
      <c r="O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107764.616070292</v>
      </c>
      <c r="P22" s="30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54482.1210519552</v>
      </c>
      <c r="Q22" s="38">
        <v>1</v>
      </c>
      <c r="R22" s="39" t="s">
        <v>96</v>
      </c>
      <c r="S22" s="39" t="s">
        <v>140</v>
      </c>
      <c r="T22" s="39" t="s">
        <v>75</v>
      </c>
      <c r="U22" s="39" t="s">
        <v>114</v>
      </c>
      <c r="V22" s="39" t="s">
        <v>75</v>
      </c>
      <c r="W22" s="39" t="s">
        <v>109</v>
      </c>
      <c r="X22" s="39" t="s">
        <v>97</v>
      </c>
      <c r="Y22" s="39" t="s">
        <v>80</v>
      </c>
      <c r="Z22" s="39" t="s">
        <v>98</v>
      </c>
      <c r="AA22" s="39" t="s">
        <v>103</v>
      </c>
      <c r="AB22" s="39" t="s">
        <v>75</v>
      </c>
      <c r="AC22" s="39" t="s">
        <v>75</v>
      </c>
      <c r="AD22" s="39" t="s">
        <v>75</v>
      </c>
      <c r="AE22" s="39" t="s">
        <v>75</v>
      </c>
      <c r="AF22" s="39" t="s">
        <v>75</v>
      </c>
      <c r="AG22" s="39" t="s">
        <v>76</v>
      </c>
      <c r="AH22" t="str">
        <f>VLOOKUP($R22,武学奇术!$A:$ZZ,25,FALSE)</f>
        <v>剑</v>
      </c>
      <c r="AI22" s="24">
        <f>VLOOKUP($R22,武学奇术!$A:$ZZ,26,FALSE)</f>
        <v>4.7037</v>
      </c>
      <c r="AJ22" s="25">
        <f>VLOOKUP($R22,武学奇术!$A:$ZZ,27,FALSE)*(1+IF(OR($AH22=$F$4,$AH22=$F$5),$B$22,0))</f>
        <v>1820</v>
      </c>
      <c r="AK22" s="24">
        <f>VLOOKUP($R22,武学奇术!$A:$ZZ,28,FALSE)</f>
        <v>7.0554</v>
      </c>
      <c r="AL22" s="25">
        <f>VLOOKUP($R22,武学奇术!$A:$ZZ,29,FALSE)*(1+IF(OR($AH22=$F$4,$AH22=$F$5),$B$22,0))</f>
        <v>992.6</v>
      </c>
      <c r="AM22" s="24" cm="1">
        <f t="array" ref="AM22">$G$3+IFERROR(VLOOKUP($AH22,$F$4:$G$7,2,FALSE),0)+VLOOKUP($R22,武学奇术!$A:$ZZ,2,FALSE)+SUM(_xlfn.XLOOKUP($S22:$AG22,增益!$A:$A,增益!$B:$B,0))</f>
        <v>1.3391</v>
      </c>
      <c r="AN22" s="24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1302.4</v>
      </c>
      <c r="AP22" cm="1">
        <f t="array" ref="AP22">$E$10*(1+$AN22)+VLOOKUP($R22,武学奇术!$A:$ZZ,4,FALSE)+SUM(_xlfn.XLOOKUP($S22:$AG22,增益!$A:$A,增益!$D:$D,0))-$I$2</f>
        <v>6112.4</v>
      </c>
      <c r="AQ22" s="32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0.1925</v>
      </c>
      <c r="AR22" s="32" cm="1">
        <f t="array" ref="AR22">$G$10+VLOOKUP($R22,武学奇术!$A:$ZZ,7,FALSE)+SUM(_xlfn.XLOOKUP(S22:AG22,增益!$A:$A,增益!$G:$G,0))</f>
        <v>0</v>
      </c>
      <c r="AS22" s="24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32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2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2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2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2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2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2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2" cm="1">
        <f t="array" ref="BI22">$G$14+VLOOKUP($R22,武学奇术!$A:$ZZ,16,FALSE)+SUM(_xlfn.XLOOKUP(S22:AG22,增益!$A:$A,增益!$P:$P,0))</f>
        <v>0</v>
      </c>
      <c r="BJ22" s="24">
        <f>MIN(IF(VLOOKUP($R22,武学奇术!$A:$ZZ,23,FALSE)=1,100%,$B$8),100%)</f>
        <v>0.8271</v>
      </c>
      <c r="BK22" s="24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0.1789</v>
      </c>
      <c r="BL22" s="24" cm="1">
        <f t="array" ref="BL22">1+$B$13+VLOOKUP($R22,武学奇术!$A:$ZZ,18,FALSE)+SUM(_xlfn.XLOOKUP(S22:AG22,增益!$A:$A,增益!$R:$R,0))</f>
        <v>1.5</v>
      </c>
      <c r="BM22" s="24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4" cm="1">
        <f t="array" ref="BN22">1+$B$14+VLOOKUP($R22,武学奇术!$A:$ZZ,20,FALSE)+SUM(_xlfn.XLOOKUP(S22:AG22,增益!$A:$A,增益!$T:$T,0))</f>
        <v>1.942</v>
      </c>
      <c r="BO22" s="24">
        <f t="shared" si="9"/>
        <v>0.14796819</v>
      </c>
      <c r="BP22" s="24">
        <f t="shared" si="10"/>
        <v>0.31032792</v>
      </c>
      <c r="BQ22" s="24">
        <f>IF(VLOOKUP($R22,武学奇术!$A:$ZZ,22,FALSE)=1,0,(1-$BJ22))*(1-$BM22)</f>
        <v>0.09580389</v>
      </c>
      <c r="BR22" s="24" cm="1">
        <f t="array" ref="BR22">SUM(_xlfn.XLOOKUP(S22:AG22,增益!$A:$A,增益!$W:$W,0))+$I$5</f>
        <v>0.11</v>
      </c>
    </row>
    <row r="23" spans="1:70">
      <c r="A23" s="38" t="s">
        <v>141</v>
      </c>
      <c r="B23" s="85">
        <f>期望!B23</f>
        <v>200</v>
      </c>
      <c r="K23" s="30">
        <f>$L23*VLOOKUP($R23,武学奇术!$A:$ZZ,31,FALSE)</f>
        <v>257716.574295054</v>
      </c>
      <c r="L23" s="30">
        <f t="shared" si="0"/>
        <v>234287.794813685</v>
      </c>
      <c r="M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161646.924105439</v>
      </c>
      <c r="N23" s="30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330468.671953868</v>
      </c>
      <c r="O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107764.616070292</v>
      </c>
      <c r="P23" s="30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54482.1210519552</v>
      </c>
      <c r="Q23" s="38">
        <v>1</v>
      </c>
      <c r="R23" s="39" t="s">
        <v>96</v>
      </c>
      <c r="S23" s="39" t="s">
        <v>142</v>
      </c>
      <c r="T23" s="39" t="s">
        <v>69</v>
      </c>
      <c r="U23" s="39" t="s">
        <v>73</v>
      </c>
      <c r="V23" s="39" t="s">
        <v>75</v>
      </c>
      <c r="W23" s="39" t="s">
        <v>109</v>
      </c>
      <c r="X23" s="39" t="s">
        <v>97</v>
      </c>
      <c r="Y23" s="39" t="s">
        <v>80</v>
      </c>
      <c r="Z23" s="39" t="s">
        <v>98</v>
      </c>
      <c r="AA23" s="39" t="s">
        <v>103</v>
      </c>
      <c r="AB23" s="39" t="s">
        <v>75</v>
      </c>
      <c r="AC23" s="39" t="s">
        <v>75</v>
      </c>
      <c r="AD23" s="39" t="s">
        <v>75</v>
      </c>
      <c r="AE23" s="39" t="s">
        <v>75</v>
      </c>
      <c r="AF23" s="39" t="s">
        <v>75</v>
      </c>
      <c r="AG23" s="39" t="s">
        <v>76</v>
      </c>
      <c r="AH23" t="str">
        <f>VLOOKUP($R23,武学奇术!$A:$ZZ,25,FALSE)</f>
        <v>剑</v>
      </c>
      <c r="AI23" s="24">
        <f>VLOOKUP($R23,武学奇术!$A:$ZZ,26,FALSE)</f>
        <v>4.7037</v>
      </c>
      <c r="AJ23" s="25">
        <f>VLOOKUP($R23,武学奇术!$A:$ZZ,27,FALSE)*(1+IF(OR($AH23=$F$4,$AH23=$F$5),$B$22,0))</f>
        <v>1820</v>
      </c>
      <c r="AK23" s="24">
        <f>VLOOKUP($R23,武学奇术!$A:$ZZ,28,FALSE)</f>
        <v>7.0554</v>
      </c>
      <c r="AL23" s="25">
        <f>VLOOKUP($R23,武学奇术!$A:$ZZ,29,FALSE)*(1+IF(OR($AH23=$F$4,$AH23=$F$5),$B$22,0))</f>
        <v>992.6</v>
      </c>
      <c r="AM23" s="24" cm="1">
        <f t="array" ref="AM23">$G$3+IFERROR(VLOOKUP($AH23,$F$4:$G$7,2,FALSE),0)+VLOOKUP($R23,武学奇术!$A:$ZZ,2,FALSE)+SUM(_xlfn.XLOOKUP($S23:$AG23,增益!$A:$A,增益!$B:$B,0))</f>
        <v>1.3391</v>
      </c>
      <c r="AN23" s="24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1302.4</v>
      </c>
      <c r="AP23" cm="1">
        <f t="array" ref="AP23">$E$10*(1+$AN23)+VLOOKUP($R23,武学奇术!$A:$ZZ,4,FALSE)+SUM(_xlfn.XLOOKUP($S23:$AG23,增益!$A:$A,增益!$D:$D,0))-$I$2</f>
        <v>6112.4</v>
      </c>
      <c r="AQ23" s="32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0.1925</v>
      </c>
      <c r="AR23" s="32" cm="1">
        <f t="array" ref="AR23">$G$10+VLOOKUP($R23,武学奇术!$A:$ZZ,7,FALSE)+SUM(_xlfn.XLOOKUP(S23:AG23,增益!$A:$A,增益!$G:$G,0))</f>
        <v>0</v>
      </c>
      <c r="AS23" s="24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32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2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2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2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2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2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2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2" cm="1">
        <f t="array" ref="BI23">$G$14+VLOOKUP($R23,武学奇术!$A:$ZZ,16,FALSE)+SUM(_xlfn.XLOOKUP(S23:AG23,增益!$A:$A,增益!$P:$P,0))</f>
        <v>0</v>
      </c>
      <c r="BJ23" s="24">
        <f>MIN(IF(VLOOKUP($R23,武学奇术!$A:$ZZ,23,FALSE)=1,100%,$B$8),100%)</f>
        <v>0.8271</v>
      </c>
      <c r="BK23" s="24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0.1789</v>
      </c>
      <c r="BL23" s="24" cm="1">
        <f t="array" ref="BL23">1+$B$13+VLOOKUP($R23,武学奇术!$A:$ZZ,18,FALSE)+SUM(_xlfn.XLOOKUP(S23:AG23,增益!$A:$A,增益!$R:$R,0))</f>
        <v>1.5</v>
      </c>
      <c r="BM23" s="24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0.5509</v>
      </c>
      <c r="BN23" s="24" cm="1">
        <f t="array" ref="BN23">1+$B$14+VLOOKUP($R23,武学奇术!$A:$ZZ,20,FALSE)+SUM(_xlfn.XLOOKUP(S23:AG23,增益!$A:$A,增益!$T:$T,0))</f>
        <v>2.052</v>
      </c>
      <c r="BO23" s="24">
        <f t="shared" si="9"/>
        <v>0.14796819</v>
      </c>
      <c r="BP23" s="24">
        <f t="shared" si="10"/>
        <v>0.22348242</v>
      </c>
      <c r="BQ23" s="24">
        <f>IF(VLOOKUP($R23,武学奇术!$A:$ZZ,22,FALSE)=1,0,(1-$BJ23))*(1-$BM23)</f>
        <v>0.07764939</v>
      </c>
      <c r="BR23" s="24" cm="1">
        <f t="array" ref="BR23">SUM(_xlfn.XLOOKUP(S23:AG23,增益!$A:$A,增益!$W:$W,0))+$I$5</f>
        <v>0.11</v>
      </c>
    </row>
    <row r="24" spans="1:70">
      <c r="A24" s="38"/>
      <c r="B24" s="85">
        <f>期望!B24</f>
        <v>400</v>
      </c>
      <c r="K24" s="30">
        <f>$L24*VLOOKUP($R24,武学奇术!$A:$ZZ,31,FALSE)</f>
        <v>258692.50368354</v>
      </c>
      <c r="L24" s="30">
        <f t="shared" si="0"/>
        <v>235175.003348672</v>
      </c>
      <c r="M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161646.924105439</v>
      </c>
      <c r="N24" s="30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332079.143064754</v>
      </c>
      <c r="O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107764.616070292</v>
      </c>
      <c r="P24" s="30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54482.1210519552</v>
      </c>
      <c r="Q24" s="38">
        <v>1</v>
      </c>
      <c r="R24" s="39" t="s">
        <v>96</v>
      </c>
      <c r="S24" s="39" t="s">
        <v>143</v>
      </c>
      <c r="T24" s="39" t="s">
        <v>69</v>
      </c>
      <c r="U24" s="39" t="s">
        <v>73</v>
      </c>
      <c r="V24" s="39" t="s">
        <v>75</v>
      </c>
      <c r="W24" s="39" t="s">
        <v>109</v>
      </c>
      <c r="X24" s="39" t="s">
        <v>97</v>
      </c>
      <c r="Y24" s="39" t="s">
        <v>80</v>
      </c>
      <c r="Z24" s="39" t="s">
        <v>98</v>
      </c>
      <c r="AA24" s="39" t="s">
        <v>103</v>
      </c>
      <c r="AB24" s="39" t="s">
        <v>75</v>
      </c>
      <c r="AC24" s="39" t="s">
        <v>75</v>
      </c>
      <c r="AD24" s="39" t="s">
        <v>75</v>
      </c>
      <c r="AE24" s="39" t="s">
        <v>75</v>
      </c>
      <c r="AF24" s="39" t="s">
        <v>75</v>
      </c>
      <c r="AG24" s="39" t="s">
        <v>76</v>
      </c>
      <c r="AH24" t="str">
        <f>VLOOKUP($R24,武学奇术!$A:$ZZ,25,FALSE)</f>
        <v>剑</v>
      </c>
      <c r="AI24" s="24">
        <f>VLOOKUP($R24,武学奇术!$A:$ZZ,26,FALSE)</f>
        <v>4.7037</v>
      </c>
      <c r="AJ24" s="25">
        <f>VLOOKUP($R24,武学奇术!$A:$ZZ,27,FALSE)*(1+IF(OR($AH24=$F$4,$AH24=$F$5),$B$22,0))</f>
        <v>1820</v>
      </c>
      <c r="AK24" s="24">
        <f>VLOOKUP($R24,武学奇术!$A:$ZZ,28,FALSE)</f>
        <v>7.0554</v>
      </c>
      <c r="AL24" s="25">
        <f>VLOOKUP($R24,武学奇术!$A:$ZZ,29,FALSE)*(1+IF(OR($AH24=$F$4,$AH24=$F$5),$B$22,0))</f>
        <v>992.6</v>
      </c>
      <c r="AM24" s="24" cm="1">
        <f t="array" ref="AM24">$G$3+IFERROR(VLOOKUP($AH24,$F$4:$G$7,2,FALSE),0)+VLOOKUP($R24,武学奇术!$A:$ZZ,2,FALSE)+SUM(_xlfn.XLOOKUP($S24:$AG24,增益!$A:$A,增益!$B:$B,0))</f>
        <v>1.3391</v>
      </c>
      <c r="AN24" s="24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1302.4</v>
      </c>
      <c r="AP24" cm="1">
        <f t="array" ref="AP24">$E$10*(1+$AN24)+VLOOKUP($R24,武学奇术!$A:$ZZ,4,FALSE)+SUM(_xlfn.XLOOKUP($S24:$AG24,增益!$A:$A,增益!$D:$D,0))-$I$2</f>
        <v>6112.4</v>
      </c>
      <c r="AQ24" s="32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0.1925</v>
      </c>
      <c r="AR24" s="32" cm="1">
        <f t="array" ref="AR24">$G$10+VLOOKUP($R24,武学奇术!$A:$ZZ,7,FALSE)+SUM(_xlfn.XLOOKUP(S24:AG24,增益!$A:$A,增益!$G:$G,0))</f>
        <v>0</v>
      </c>
      <c r="AS24" s="24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32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2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2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2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2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2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2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2" cm="1">
        <f t="array" ref="BI24">$G$14+VLOOKUP($R24,武学奇术!$A:$ZZ,16,FALSE)+SUM(_xlfn.XLOOKUP(S24:AG24,增益!$A:$A,增益!$P:$P,0))</f>
        <v>0</v>
      </c>
      <c r="BJ24" s="24">
        <f>MIN(IF(VLOOKUP($R24,武学奇术!$A:$ZZ,23,FALSE)=1,100%,$B$8),100%)</f>
        <v>0.8271</v>
      </c>
      <c r="BK24" s="24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0.1789</v>
      </c>
      <c r="BL24" s="24" cm="1">
        <f t="array" ref="BL24">1+$B$13+VLOOKUP($R24,武学奇术!$A:$ZZ,18,FALSE)+SUM(_xlfn.XLOOKUP(S24:AG24,增益!$A:$A,增益!$R:$R,0))</f>
        <v>1.5</v>
      </c>
      <c r="BM24" s="24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0.5509</v>
      </c>
      <c r="BN24" s="24" cm="1">
        <f t="array" ref="BN24">1+$B$14+VLOOKUP($R24,武学奇术!$A:$ZZ,20,FALSE)+SUM(_xlfn.XLOOKUP(S24:AG24,增益!$A:$A,增益!$T:$T,0))</f>
        <v>2.062</v>
      </c>
      <c r="BO24" s="24">
        <f t="shared" si="9"/>
        <v>0.14796819</v>
      </c>
      <c r="BP24" s="24">
        <f t="shared" si="10"/>
        <v>0.22348242</v>
      </c>
      <c r="BQ24" s="24">
        <f>IF(VLOOKUP($R24,武学奇术!$A:$ZZ,22,FALSE)=1,0,(1-$BJ24))*(1-$BM24)</f>
        <v>0.07764939</v>
      </c>
      <c r="BR24" s="24" cm="1">
        <f t="array" ref="BR24">SUM(_xlfn.XLOOKUP(S24:AG24,增益!$A:$A,增益!$W:$W,0))+$I$5</f>
        <v>0.11</v>
      </c>
    </row>
    <row r="25" spans="1:70">
      <c r="K25" s="30">
        <f>$L25*VLOOKUP($R25,武学奇术!$A:$ZZ,31,FALSE)</f>
        <v>81608.0515521563</v>
      </c>
      <c r="L25" s="30">
        <f t="shared" si="0"/>
        <v>74189.1377746876</v>
      </c>
      <c r="M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53606.636838517</v>
      </c>
      <c r="N25" s="30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103445.890914523</v>
      </c>
      <c r="O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35737.7578923447</v>
      </c>
      <c r="P25" s="30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16509.5801234128</v>
      </c>
      <c r="Q25" s="38">
        <v>1</v>
      </c>
      <c r="R25" s="39" t="s">
        <v>144</v>
      </c>
      <c r="S25" s="39" t="s">
        <v>143</v>
      </c>
      <c r="T25" s="39" t="s">
        <v>69</v>
      </c>
      <c r="U25" s="39" t="s">
        <v>73</v>
      </c>
      <c r="V25" s="39" t="s">
        <v>74</v>
      </c>
      <c r="W25" s="39" t="s">
        <v>75</v>
      </c>
      <c r="X25" s="39" t="s">
        <v>75</v>
      </c>
      <c r="Y25" s="39" t="s">
        <v>75</v>
      </c>
      <c r="Z25" s="39" t="s">
        <v>75</v>
      </c>
      <c r="AA25" s="39" t="s">
        <v>103</v>
      </c>
      <c r="AB25" s="39" t="s">
        <v>75</v>
      </c>
      <c r="AC25" s="39" t="s">
        <v>75</v>
      </c>
      <c r="AD25" s="39" t="s">
        <v>75</v>
      </c>
      <c r="AE25" s="39" t="s">
        <v>75</v>
      </c>
      <c r="AF25" s="39" t="s">
        <v>75</v>
      </c>
      <c r="AG25" s="39" t="s">
        <v>76</v>
      </c>
      <c r="AH25" t="str">
        <f>VLOOKUP($R25,武学奇术!$A:$ZZ,25,FALSE)</f>
        <v>群体奇术</v>
      </c>
      <c r="AI25" s="24">
        <f>VLOOKUP($R25,武学奇术!$A:$ZZ,26,FALSE)</f>
        <v>3.9744</v>
      </c>
      <c r="AJ25" s="25">
        <f>VLOOKUP($R25,武学奇术!$A:$ZZ,27,FALSE)*(1+IF(OR($AH25=$F$4,$AH25=$F$5),$B$22,0))</f>
        <v>982</v>
      </c>
      <c r="AK25" s="24">
        <f>VLOOKUP($R25,武学奇术!$A:$ZZ,28,FALSE)</f>
        <v>5.9613</v>
      </c>
      <c r="AL25" s="25">
        <f>VLOOKUP($R25,武学奇术!$A:$ZZ,29,FALSE)*(1+IF(OR($AH25=$F$4,$AH25=$F$5),$B$22,0))</f>
        <v>0</v>
      </c>
      <c r="AM25" s="24" cm="1">
        <f t="array" ref="AM25">$G$3+IFERROR(VLOOKUP($AH25,$F$4:$G$7,2,FALSE),0)+VLOOKUP($R25,武学奇术!$A:$ZZ,2,FALSE)+SUM(_xlfn.XLOOKUP($S25:$AG25,增益!$A:$A,增益!$B:$B,0))</f>
        <v>0.3187</v>
      </c>
      <c r="AN25" s="24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1302.4</v>
      </c>
      <c r="AP25" cm="1">
        <f t="array" ref="AP25">$E$10*(1+$AN25)+VLOOKUP($R25,武学奇术!$A:$ZZ,4,FALSE)+SUM(_xlfn.XLOOKUP($S25:$AG25,增益!$A:$A,增益!$D:$D,0))-$I$2</f>
        <v>6112.4</v>
      </c>
      <c r="AQ25" s="32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0.1925</v>
      </c>
      <c r="AR25" s="32" cm="1">
        <f t="array" ref="AR25">$G$10+VLOOKUP($R25,武学奇术!$A:$ZZ,7,FALSE)+SUM(_xlfn.XLOOKUP(S25:AG25,增益!$A:$A,增益!$G:$G,0))</f>
        <v>0</v>
      </c>
      <c r="AS25" s="24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32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2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2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2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2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2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2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2" cm="1">
        <f t="array" ref="BI25">$G$14+VLOOKUP($R25,武学奇术!$A:$ZZ,16,FALSE)+SUM(_xlfn.XLOOKUP(S25:AG25,增益!$A:$A,增益!$P:$P,0))</f>
        <v>0</v>
      </c>
      <c r="BJ25" s="24">
        <f>MIN(IF(VLOOKUP($R25,武学奇术!$A:$ZZ,23,FALSE)=1,100%,$B$8),100%)</f>
        <v>0.8271</v>
      </c>
      <c r="BK25" s="24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0.1789</v>
      </c>
      <c r="BL25" s="24" cm="1">
        <f t="array" ref="BL25">1+$B$13+VLOOKUP($R25,武学奇术!$A:$ZZ,18,FALSE)+SUM(_xlfn.XLOOKUP(S25:AG25,增益!$A:$A,增益!$R:$R,0))</f>
        <v>1.5</v>
      </c>
      <c r="BM25" s="24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0.5509</v>
      </c>
      <c r="BN25" s="24" cm="1">
        <f t="array" ref="BN25">1+$B$14+VLOOKUP($R25,武学奇术!$A:$ZZ,20,FALSE)+SUM(_xlfn.XLOOKUP(S25:AG25,增益!$A:$A,增益!$T:$T,0))</f>
        <v>1.882</v>
      </c>
      <c r="BO25" s="24">
        <f t="shared" si="9"/>
        <v>0.14796819</v>
      </c>
      <c r="BP25" s="24">
        <f t="shared" si="10"/>
        <v>0.22348242</v>
      </c>
      <c r="BQ25" s="24">
        <f>IF(VLOOKUP($R25,武学奇术!$A:$ZZ,22,FALSE)=1,0,(1-$BJ25))*(1-$BM25)</f>
        <v>0.07764939</v>
      </c>
      <c r="BR25" s="24" cm="1">
        <f t="array" ref="BR25">SUM(_xlfn.XLOOKUP(S25:AG25,增益!$A:$A,增益!$W:$W,0))+$I$5</f>
        <v>0.11</v>
      </c>
    </row>
    <row r="26" spans="1:70">
      <c r="K26" s="30">
        <f>$L26*VLOOKUP($R26,武学奇术!$A:$ZZ,31,FALSE)</f>
        <v>25960.5401547536</v>
      </c>
      <c r="L26" s="30">
        <f t="shared" si="0"/>
        <v>23600.491049776</v>
      </c>
      <c r="M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17052.7668875903</v>
      </c>
      <c r="N26" s="30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32907.5659590952</v>
      </c>
      <c r="O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11368.5112583935</v>
      </c>
      <c r="P26" s="30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5251.59958421786</v>
      </c>
      <c r="Q26" s="38">
        <v>1</v>
      </c>
      <c r="R26" s="39" t="s">
        <v>71</v>
      </c>
      <c r="S26" s="39" t="s">
        <v>143</v>
      </c>
      <c r="T26" s="39" t="s">
        <v>69</v>
      </c>
      <c r="U26" s="39" t="s">
        <v>73</v>
      </c>
      <c r="V26" s="39" t="s">
        <v>75</v>
      </c>
      <c r="W26" s="39" t="s">
        <v>75</v>
      </c>
      <c r="X26" s="39" t="s">
        <v>75</v>
      </c>
      <c r="Y26" s="39" t="s">
        <v>75</v>
      </c>
      <c r="Z26" s="39" t="s">
        <v>75</v>
      </c>
      <c r="AA26" s="39" t="s">
        <v>103</v>
      </c>
      <c r="AB26" s="39" t="s">
        <v>75</v>
      </c>
      <c r="AC26" s="39" t="s">
        <v>75</v>
      </c>
      <c r="AD26" s="39" t="s">
        <v>75</v>
      </c>
      <c r="AE26" s="39" t="s">
        <v>75</v>
      </c>
      <c r="AF26" s="39" t="s">
        <v>75</v>
      </c>
      <c r="AG26" s="39" t="s">
        <v>76</v>
      </c>
      <c r="AH26" t="str">
        <f>VLOOKUP($R26,武学奇术!$A:$ZZ,25,FALSE)</f>
        <v>群体奇术</v>
      </c>
      <c r="AI26" s="24">
        <f>VLOOKUP($R26,武学奇术!$A:$ZZ,26,FALSE)</f>
        <v>1.4904</v>
      </c>
      <c r="AJ26" s="25">
        <f>VLOOKUP($R26,武学奇术!$A:$ZZ,27,FALSE)*(1+IF(OR($AH26=$F$4,$AH26=$F$5),$B$22,0))</f>
        <v>368</v>
      </c>
      <c r="AK26" s="24">
        <f>VLOOKUP($R26,武学奇术!$A:$ZZ,28,FALSE)</f>
        <v>2.2353</v>
      </c>
      <c r="AL26" s="25">
        <f>VLOOKUP($R26,武学奇术!$A:$ZZ,29,FALSE)*(1+IF(OR($AH26=$F$4,$AH26=$F$5),$B$22,0))</f>
        <v>0</v>
      </c>
      <c r="AM26" s="24" cm="1">
        <f t="array" ref="AM26">$G$3+IFERROR(VLOOKUP($AH26,$F$4:$G$7,2,FALSE),0)+VLOOKUP($R26,武学奇术!$A:$ZZ,2,FALSE)+SUM(_xlfn.XLOOKUP($S26:$AG26,增益!$A:$A,增益!$B:$B,0))</f>
        <v>0.1187</v>
      </c>
      <c r="AN26" s="24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1302.4</v>
      </c>
      <c r="AP26" cm="1">
        <f t="array" ref="AP26">$E$10*(1+$AN26)+VLOOKUP($R26,武学奇术!$A:$ZZ,4,FALSE)+SUM(_xlfn.XLOOKUP($S26:$AG26,增益!$A:$A,增益!$D:$D,0))-$I$2</f>
        <v>6112.4</v>
      </c>
      <c r="AQ26" s="32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0.1925</v>
      </c>
      <c r="AR26" s="32" cm="1">
        <f t="array" ref="AR26">$G$10+VLOOKUP($R26,武学奇术!$A:$ZZ,7,FALSE)+SUM(_xlfn.XLOOKUP(S26:AG26,增益!$A:$A,增益!$G:$G,0))</f>
        <v>0</v>
      </c>
      <c r="AS26" s="24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32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2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2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2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2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2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2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2" cm="1">
        <f t="array" ref="BI26">$G$14+VLOOKUP($R26,武学奇术!$A:$ZZ,16,FALSE)+SUM(_xlfn.XLOOKUP(S26:AG26,增益!$A:$A,增益!$P:$P,0))</f>
        <v>0</v>
      </c>
      <c r="BJ26" s="24">
        <f>MIN(IF(VLOOKUP($R26,武学奇术!$A:$ZZ,23,FALSE)=1,100%,$B$8),100%)</f>
        <v>0.8271</v>
      </c>
      <c r="BK26" s="24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0.1789</v>
      </c>
      <c r="BL26" s="24" cm="1">
        <f t="array" ref="BL26">1+$B$13+VLOOKUP($R26,武学奇术!$A:$ZZ,18,FALSE)+SUM(_xlfn.XLOOKUP(S26:AG26,增益!$A:$A,增益!$R:$R,0))</f>
        <v>1.5</v>
      </c>
      <c r="BM26" s="24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0.5509</v>
      </c>
      <c r="BN26" s="24" cm="1">
        <f t="array" ref="BN26">1+$B$14+VLOOKUP($R26,武学奇术!$A:$ZZ,20,FALSE)+SUM(_xlfn.XLOOKUP(S26:AG26,增益!$A:$A,增益!$T:$T,0))</f>
        <v>1.882</v>
      </c>
      <c r="BO26" s="24">
        <f t="shared" si="9"/>
        <v>0.14796819</v>
      </c>
      <c r="BP26" s="24">
        <f t="shared" si="10"/>
        <v>0.22348242</v>
      </c>
      <c r="BQ26" s="24">
        <f>IF(VLOOKUP($R26,武学奇术!$A:$ZZ,22,FALSE)=1,0,(1-$BJ26))*(1-$BM26)</f>
        <v>0.07764939</v>
      </c>
      <c r="BR26" s="24" cm="1">
        <f t="array" ref="BR26">SUM(_xlfn.XLOOKUP(S26:AG26,增益!$A:$A,增益!$W:$W,0))+$I$5</f>
        <v>0.11</v>
      </c>
    </row>
    <row r="27" spans="1:70">
      <c r="K27" s="30">
        <f>$L27*VLOOKUP($R27,武学奇术!$A:$ZZ,31,FALSE)</f>
        <v>30601.7380013173</v>
      </c>
      <c r="L27" s="30">
        <f t="shared" si="0"/>
        <v>27819.7618193793</v>
      </c>
      <c r="M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20101.4424731075</v>
      </c>
      <c r="N27" s="30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38790.7457140063</v>
      </c>
      <c r="O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13400.9616487383</v>
      </c>
      <c r="P27" s="30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6190.47499035317</v>
      </c>
      <c r="Q27" s="38">
        <v>1</v>
      </c>
      <c r="R27" s="39" t="s">
        <v>71</v>
      </c>
      <c r="S27" s="39" t="s">
        <v>143</v>
      </c>
      <c r="T27" s="39" t="s">
        <v>69</v>
      </c>
      <c r="U27" s="39" t="s">
        <v>73</v>
      </c>
      <c r="V27" s="39" t="s">
        <v>74</v>
      </c>
      <c r="W27" s="39" t="s">
        <v>75</v>
      </c>
      <c r="X27" s="39" t="s">
        <v>75</v>
      </c>
      <c r="Y27" s="39" t="s">
        <v>75</v>
      </c>
      <c r="Z27" s="39" t="s">
        <v>75</v>
      </c>
      <c r="AA27" s="39" t="s">
        <v>103</v>
      </c>
      <c r="AB27" s="39" t="s">
        <v>75</v>
      </c>
      <c r="AC27" s="39" t="s">
        <v>75</v>
      </c>
      <c r="AD27" s="39" t="s">
        <v>75</v>
      </c>
      <c r="AE27" s="39" t="s">
        <v>75</v>
      </c>
      <c r="AF27" s="39" t="s">
        <v>75</v>
      </c>
      <c r="AG27" s="39" t="s">
        <v>76</v>
      </c>
      <c r="AH27" t="str">
        <f>VLOOKUP($R27,武学奇术!$A:$ZZ,25,FALSE)</f>
        <v>群体奇术</v>
      </c>
      <c r="AI27" s="24">
        <f>VLOOKUP($R27,武学奇术!$A:$ZZ,26,FALSE)</f>
        <v>1.4904</v>
      </c>
      <c r="AJ27" s="25">
        <f>VLOOKUP($R27,武学奇术!$A:$ZZ,27,FALSE)*(1+IF(OR($AH27=$F$4,$AH27=$F$5),$B$22,0))</f>
        <v>368</v>
      </c>
      <c r="AK27" s="24">
        <f>VLOOKUP($R27,武学奇术!$A:$ZZ,28,FALSE)</f>
        <v>2.2353</v>
      </c>
      <c r="AL27" s="25">
        <f>VLOOKUP($R27,武学奇术!$A:$ZZ,29,FALSE)*(1+IF(OR($AH27=$F$4,$AH27=$F$5),$B$22,0))</f>
        <v>0</v>
      </c>
      <c r="AM27" s="24" cm="1">
        <f t="array" ref="AM27">$G$3+IFERROR(VLOOKUP($AH27,$F$4:$G$7,2,FALSE),0)+VLOOKUP($R27,武学奇术!$A:$ZZ,2,FALSE)+SUM(_xlfn.XLOOKUP($S27:$AG27,增益!$A:$A,增益!$B:$B,0))</f>
        <v>0.3187</v>
      </c>
      <c r="AN27" s="24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1302.4</v>
      </c>
      <c r="AP27" cm="1">
        <f t="array" ref="AP27">$E$10*(1+$AN27)+VLOOKUP($R27,武学奇术!$A:$ZZ,4,FALSE)+SUM(_xlfn.XLOOKUP($S27:$AG27,增益!$A:$A,增益!$D:$D,0))-$I$2</f>
        <v>6112.4</v>
      </c>
      <c r="AQ27" s="32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0.1925</v>
      </c>
      <c r="AR27" s="32" cm="1">
        <f t="array" ref="AR27">$G$10+VLOOKUP($R27,武学奇术!$A:$ZZ,7,FALSE)+SUM(_xlfn.XLOOKUP(S27:AG27,增益!$A:$A,增益!$G:$G,0))</f>
        <v>0</v>
      </c>
      <c r="AS27" s="24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32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2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2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2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2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2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2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2" cm="1">
        <f t="array" ref="BI27">$G$14+VLOOKUP($R27,武学奇术!$A:$ZZ,16,FALSE)+SUM(_xlfn.XLOOKUP(S27:AG27,增益!$A:$A,增益!$P:$P,0))</f>
        <v>0</v>
      </c>
      <c r="BJ27" s="24">
        <f>MIN(IF(VLOOKUP($R27,武学奇术!$A:$ZZ,23,FALSE)=1,100%,$B$8),100%)</f>
        <v>0.8271</v>
      </c>
      <c r="BK27" s="24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0.1789</v>
      </c>
      <c r="BL27" s="24" cm="1">
        <f t="array" ref="BL27">1+$B$13+VLOOKUP($R27,武学奇术!$A:$ZZ,18,FALSE)+SUM(_xlfn.XLOOKUP(S27:AG27,增益!$A:$A,增益!$R:$R,0))</f>
        <v>1.5</v>
      </c>
      <c r="BM27" s="24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0.5509</v>
      </c>
      <c r="BN27" s="24" cm="1">
        <f t="array" ref="BN27">1+$B$14+VLOOKUP($R27,武学奇术!$A:$ZZ,20,FALSE)+SUM(_xlfn.XLOOKUP(S27:AG27,增益!$A:$A,增益!$T:$T,0))</f>
        <v>1.882</v>
      </c>
      <c r="BO27" s="24">
        <f t="shared" si="9"/>
        <v>0.14796819</v>
      </c>
      <c r="BP27" s="24">
        <f t="shared" si="10"/>
        <v>0.22348242</v>
      </c>
      <c r="BQ27" s="24">
        <f>IF(VLOOKUP($R27,武学奇术!$A:$ZZ,22,FALSE)=1,0,(1-$BJ27))*(1-$BM27)</f>
        <v>0.07764939</v>
      </c>
      <c r="BR27" s="24" cm="1">
        <f t="array" ref="BR27">SUM(_xlfn.XLOOKUP(S27:AG27,增益!$A:$A,增益!$W:$W,0))+$I$5</f>
        <v>0.11</v>
      </c>
    </row>
    <row r="28" spans="1:70">
      <c r="A28" s="86" t="s">
        <v>145</v>
      </c>
      <c r="B28" s="86">
        <v>0.7</v>
      </c>
      <c r="C28" s="4"/>
      <c r="K28" s="30">
        <f>$L28*VLOOKUP($R28,武学奇术!$A:$ZZ,31,FALSE)</f>
        <v>61203.4760026345</v>
      </c>
      <c r="L28" s="30">
        <f t="shared" si="0"/>
        <v>55639.5236387587</v>
      </c>
      <c r="M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40202.8849462149</v>
      </c>
      <c r="N28" s="30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77581.4914280127</v>
      </c>
      <c r="O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26801.9232974766</v>
      </c>
      <c r="P28" s="30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12380.9499807063</v>
      </c>
      <c r="Q28" s="38">
        <v>2</v>
      </c>
      <c r="R28" s="39" t="s">
        <v>71</v>
      </c>
      <c r="S28" s="39" t="s">
        <v>143</v>
      </c>
      <c r="T28" s="39" t="s">
        <v>69</v>
      </c>
      <c r="U28" s="39" t="s">
        <v>73</v>
      </c>
      <c r="V28" s="39" t="s">
        <v>74</v>
      </c>
      <c r="W28" s="39" t="s">
        <v>75</v>
      </c>
      <c r="X28" s="39" t="s">
        <v>75</v>
      </c>
      <c r="Y28" s="39" t="s">
        <v>75</v>
      </c>
      <c r="Z28" s="39" t="s">
        <v>75</v>
      </c>
      <c r="AA28" s="39" t="s">
        <v>103</v>
      </c>
      <c r="AB28" s="39" t="s">
        <v>75</v>
      </c>
      <c r="AC28" s="39" t="s">
        <v>75</v>
      </c>
      <c r="AD28" s="39" t="s">
        <v>75</v>
      </c>
      <c r="AE28" s="39" t="s">
        <v>75</v>
      </c>
      <c r="AF28" s="39" t="s">
        <v>75</v>
      </c>
      <c r="AG28" s="39" t="s">
        <v>76</v>
      </c>
      <c r="AH28" t="str">
        <f>VLOOKUP($R28,武学奇术!$A:$ZZ,25,FALSE)</f>
        <v>群体奇术</v>
      </c>
      <c r="AI28" s="24">
        <f>VLOOKUP($R28,武学奇术!$A:$ZZ,26,FALSE)</f>
        <v>1.4904</v>
      </c>
      <c r="AJ28" s="25">
        <f>VLOOKUP($R28,武学奇术!$A:$ZZ,27,FALSE)*(1+IF(OR($AH28=$F$4,$AH28=$F$5),$B$22,0))</f>
        <v>368</v>
      </c>
      <c r="AK28" s="24">
        <f>VLOOKUP($R28,武学奇术!$A:$ZZ,28,FALSE)</f>
        <v>2.2353</v>
      </c>
      <c r="AL28" s="25">
        <f>VLOOKUP($R28,武学奇术!$A:$ZZ,29,FALSE)*(1+IF(OR($AH28=$F$4,$AH28=$F$5),$B$22,0))</f>
        <v>0</v>
      </c>
      <c r="AM28" s="24" cm="1">
        <f t="array" ref="AM28">$G$3+IFERROR(VLOOKUP($AH28,$F$4:$G$7,2,FALSE),0)+VLOOKUP($R28,武学奇术!$A:$ZZ,2,FALSE)+SUM(_xlfn.XLOOKUP($S28:$AG28,增益!$A:$A,增益!$B:$B,0))</f>
        <v>0.3187</v>
      </c>
      <c r="AN28" s="24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1302.4</v>
      </c>
      <c r="AP28" cm="1">
        <f t="array" ref="AP28">$E$10*(1+$AN28)+VLOOKUP($R28,武学奇术!$A:$ZZ,4,FALSE)+SUM(_xlfn.XLOOKUP($S28:$AG28,增益!$A:$A,增益!$D:$D,0))-$I$2</f>
        <v>6112.4</v>
      </c>
      <c r="AQ28" s="32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0.1925</v>
      </c>
      <c r="AR28" s="32" cm="1">
        <f t="array" ref="AR28">$G$10+VLOOKUP($R28,武学奇术!$A:$ZZ,7,FALSE)+SUM(_xlfn.XLOOKUP(S28:AG28,增益!$A:$A,增益!$G:$G,0))</f>
        <v>0</v>
      </c>
      <c r="AS28" s="24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32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2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2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2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2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2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2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2" cm="1">
        <f t="array" ref="BI28">$G$14+VLOOKUP($R28,武学奇术!$A:$ZZ,16,FALSE)+SUM(_xlfn.XLOOKUP(S28:AG28,增益!$A:$A,增益!$P:$P,0))</f>
        <v>0</v>
      </c>
      <c r="BJ28" s="24">
        <f>MIN(IF(VLOOKUP($R28,武学奇术!$A:$ZZ,23,FALSE)=1,100%,$B$8),100%)</f>
        <v>0.8271</v>
      </c>
      <c r="BK28" s="24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0.1789</v>
      </c>
      <c r="BL28" s="24" cm="1">
        <f t="array" ref="BL28">1+$B$13+VLOOKUP($R28,武学奇术!$A:$ZZ,18,FALSE)+SUM(_xlfn.XLOOKUP(S28:AG28,增益!$A:$A,增益!$R:$R,0))</f>
        <v>1.5</v>
      </c>
      <c r="BM28" s="24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0.5509</v>
      </c>
      <c r="BN28" s="24" cm="1">
        <f t="array" ref="BN28">1+$B$14+VLOOKUP($R28,武学奇术!$A:$ZZ,20,FALSE)+SUM(_xlfn.XLOOKUP(S28:AG28,增益!$A:$A,增益!$T:$T,0))</f>
        <v>1.882</v>
      </c>
      <c r="BO28" s="24">
        <f t="shared" si="9"/>
        <v>0.14796819</v>
      </c>
      <c r="BP28" s="24">
        <f t="shared" si="10"/>
        <v>0.22348242</v>
      </c>
      <c r="BQ28" s="24">
        <f>IF(VLOOKUP($R28,武学奇术!$A:$ZZ,22,FALSE)=1,0,(1-$BJ28))*(1-$BM28)</f>
        <v>0.07764939</v>
      </c>
      <c r="BR28" s="24" cm="1">
        <f t="array" ref="BR28">SUM(_xlfn.XLOOKUP(S28:AG28,增益!$A:$A,增益!$W:$W,0))+$I$5</f>
        <v>0.11</v>
      </c>
    </row>
    <row r="29" spans="1:70">
      <c r="A29" s="86" t="s">
        <v>146</v>
      </c>
      <c r="B29" s="86">
        <v>1.5</v>
      </c>
      <c r="C29" s="4"/>
      <c r="K29" s="30">
        <f>$L29*VLOOKUP($R29,武学奇术!$A:$ZZ,31,FALSE)</f>
        <v>73534.2391789738</v>
      </c>
      <c r="L29" s="30">
        <f t="shared" si="0"/>
        <v>66849.3083445216</v>
      </c>
      <c r="M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48405.2612479192</v>
      </c>
      <c r="N29" s="30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93131.305725722</v>
      </c>
      <c r="O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32270.1741652795</v>
      </c>
      <c r="P29" s="30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15055.0636728958</v>
      </c>
      <c r="Q29" s="38">
        <v>2</v>
      </c>
      <c r="R29" s="39" t="s">
        <v>71</v>
      </c>
      <c r="S29" s="39" t="s">
        <v>143</v>
      </c>
      <c r="T29" s="39" t="s">
        <v>69</v>
      </c>
      <c r="U29" s="39" t="s">
        <v>73</v>
      </c>
      <c r="V29" s="39" t="s">
        <v>74</v>
      </c>
      <c r="W29" s="39" t="s">
        <v>75</v>
      </c>
      <c r="X29" s="39" t="s">
        <v>75</v>
      </c>
      <c r="Y29" s="39" t="s">
        <v>75</v>
      </c>
      <c r="Z29" s="39" t="s">
        <v>75</v>
      </c>
      <c r="AA29" s="39" t="s">
        <v>103</v>
      </c>
      <c r="AB29" s="39" t="s">
        <v>147</v>
      </c>
      <c r="AC29" s="39" t="s">
        <v>148</v>
      </c>
      <c r="AD29" s="39" t="s">
        <v>75</v>
      </c>
      <c r="AE29" s="39" t="s">
        <v>75</v>
      </c>
      <c r="AF29" s="39" t="s">
        <v>75</v>
      </c>
      <c r="AG29" s="39" t="s">
        <v>76</v>
      </c>
      <c r="AH29" t="str">
        <f>VLOOKUP($R29,武学奇术!$A:$ZZ,25,FALSE)</f>
        <v>群体奇术</v>
      </c>
      <c r="AI29" s="24">
        <f>VLOOKUP($R29,武学奇术!$A:$ZZ,26,FALSE)</f>
        <v>1.4904</v>
      </c>
      <c r="AJ29" s="25">
        <f>VLOOKUP($R29,武学奇术!$A:$ZZ,27,FALSE)*(1+IF(OR($AH29=$F$4,$AH29=$F$5),$B$22,0))</f>
        <v>368</v>
      </c>
      <c r="AK29" s="24">
        <f>VLOOKUP($R29,武学奇术!$A:$ZZ,28,FALSE)</f>
        <v>2.2353</v>
      </c>
      <c r="AL29" s="25">
        <f>VLOOKUP($R29,武学奇术!$A:$ZZ,29,FALSE)*(1+IF(OR($AH29=$F$4,$AH29=$F$5),$B$22,0))</f>
        <v>0</v>
      </c>
      <c r="AM29" s="24" cm="1">
        <f t="array" ref="AM29">$G$3+IFERROR(VLOOKUP($AH29,$F$4:$G$7,2,FALSE),0)+VLOOKUP($R29,武学奇术!$A:$ZZ,2,FALSE)+SUM(_xlfn.XLOOKUP($S29:$AG29,增益!$A:$A,增益!$B:$B,0))</f>
        <v>0.3187</v>
      </c>
      <c r="AN29" s="24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1302.4</v>
      </c>
      <c r="AP29" cm="1">
        <f t="array" ref="AP29">$E$10*(1+$AN29)+VLOOKUP($R29,武学奇术!$A:$ZZ,4,FALSE)+SUM(_xlfn.XLOOKUP($S29:$AG29,增益!$A:$A,增益!$D:$D,0))-$I$2</f>
        <v>6112.4</v>
      </c>
      <c r="AQ29" s="32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0.1925</v>
      </c>
      <c r="AR29" s="32" cm="1">
        <f t="array" ref="AR29">$G$10+VLOOKUP($R29,武学奇术!$A:$ZZ,7,FALSE)+SUM(_xlfn.XLOOKUP(S29:AG29,增益!$A:$A,增益!$G:$G,0))</f>
        <v>0</v>
      </c>
      <c r="AS29" s="24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32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2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2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2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2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2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2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2" cm="1">
        <f t="array" ref="BI29">$G$14+VLOOKUP($R29,武学奇术!$A:$ZZ,16,FALSE)+SUM(_xlfn.XLOOKUP(S29:AG29,增益!$A:$A,增益!$P:$P,0))</f>
        <v>0</v>
      </c>
      <c r="BJ29" s="24">
        <f>MIN(IF(VLOOKUP($R29,武学奇术!$A:$ZZ,23,FALSE)=1,100%,$B$8),100%)</f>
        <v>0.8271</v>
      </c>
      <c r="BK29" s="24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0.1789</v>
      </c>
      <c r="BL29" s="24" cm="1">
        <f t="array" ref="BL29">1+$B$13+VLOOKUP($R29,武学奇术!$A:$ZZ,18,FALSE)+SUM(_xlfn.XLOOKUP(S29:AG29,增益!$A:$A,增益!$R:$R,0))</f>
        <v>1.5</v>
      </c>
      <c r="BM29" s="24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0.5509</v>
      </c>
      <c r="BN29" s="24" cm="1">
        <f t="array" ref="BN29">1+$B$14+VLOOKUP($R29,武学奇术!$A:$ZZ,20,FALSE)+SUM(_xlfn.XLOOKUP(S29:AG29,增益!$A:$A,增益!$T:$T,0))</f>
        <v>1.882</v>
      </c>
      <c r="BO29" s="24">
        <f t="shared" si="9"/>
        <v>0.14796819</v>
      </c>
      <c r="BP29" s="24">
        <f t="shared" si="10"/>
        <v>0.22348242</v>
      </c>
      <c r="BQ29" s="24">
        <f>IF(VLOOKUP($R29,武学奇术!$A:$ZZ,22,FALSE)=1,0,(1-$BJ29))*(1-$BM29)</f>
        <v>0.07764939</v>
      </c>
      <c r="BR29" s="24" cm="1">
        <f t="array" ref="BR29">SUM(_xlfn.XLOOKUP(S29:AG29,增益!$A:$A,增益!$W:$W,0))+$I$5</f>
        <v>0.31</v>
      </c>
    </row>
    <row r="30" spans="1:70">
      <c r="A30" s="86" t="s">
        <v>149</v>
      </c>
      <c r="B30" s="86">
        <v>1.33</v>
      </c>
      <c r="C30" s="38" t="s">
        <v>73</v>
      </c>
      <c r="K30" s="30">
        <f>$L30*VLOOKUP($R30,武学奇术!$A:$ZZ,31,FALSE)</f>
        <v>280811.481382957</v>
      </c>
      <c r="L30" s="30">
        <f t="shared" si="0"/>
        <v>255283.164893598</v>
      </c>
      <c r="M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175468.216406361</v>
      </c>
      <c r="N30" s="30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360472.896479722</v>
      </c>
      <c r="O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116978.810937574</v>
      </c>
      <c r="P30" s="30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59140.5042807145</v>
      </c>
      <c r="Q30" s="38">
        <v>1</v>
      </c>
      <c r="R30" s="39" t="s">
        <v>96</v>
      </c>
      <c r="S30" s="39" t="s">
        <v>143</v>
      </c>
      <c r="T30" s="39" t="s">
        <v>69</v>
      </c>
      <c r="U30" s="39" t="s">
        <v>73</v>
      </c>
      <c r="V30" s="39" t="s">
        <v>74</v>
      </c>
      <c r="W30" s="39" t="s">
        <v>109</v>
      </c>
      <c r="X30" s="39" t="s">
        <v>97</v>
      </c>
      <c r="Y30" s="39" t="s">
        <v>80</v>
      </c>
      <c r="Z30" s="39" t="s">
        <v>98</v>
      </c>
      <c r="AA30" s="39" t="s">
        <v>103</v>
      </c>
      <c r="AB30" s="39" t="s">
        <v>75</v>
      </c>
      <c r="AC30" s="39" t="s">
        <v>75</v>
      </c>
      <c r="AD30" s="39" t="s">
        <v>75</v>
      </c>
      <c r="AE30" s="39" t="s">
        <v>75</v>
      </c>
      <c r="AF30" s="39" t="s">
        <v>75</v>
      </c>
      <c r="AG30" s="39" t="s">
        <v>76</v>
      </c>
      <c r="AH30" t="str">
        <f>VLOOKUP($R30,武学奇术!$A:$ZZ,25,FALSE)</f>
        <v>剑</v>
      </c>
      <c r="AI30" s="24">
        <f>VLOOKUP($R30,武学奇术!$A:$ZZ,26,FALSE)</f>
        <v>4.7037</v>
      </c>
      <c r="AJ30" s="25">
        <f>VLOOKUP($R30,武学奇术!$A:$ZZ,27,FALSE)*(1+IF(OR($AH30=$F$4,$AH30=$F$5),$B$22,0))</f>
        <v>1820</v>
      </c>
      <c r="AK30" s="24">
        <f>VLOOKUP($R30,武学奇术!$A:$ZZ,28,FALSE)</f>
        <v>7.0554</v>
      </c>
      <c r="AL30" s="25">
        <f>VLOOKUP($R30,武学奇术!$A:$ZZ,29,FALSE)*(1+IF(OR($AH30=$F$4,$AH30=$F$5),$B$22,0))</f>
        <v>992.6</v>
      </c>
      <c r="AM30" s="24" cm="1">
        <f t="array" ref="AM30">$G$3+IFERROR(VLOOKUP($AH30,$F$4:$G$7,2,FALSE),0)+VLOOKUP($R30,武学奇术!$A:$ZZ,2,FALSE)+SUM(_xlfn.XLOOKUP($S30:$AG30,增益!$A:$A,增益!$B:$B,0))</f>
        <v>1.5391</v>
      </c>
      <c r="AN30" s="24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1302.4</v>
      </c>
      <c r="AP30" cm="1">
        <f t="array" ref="AP30">$E$10*(1+$AN30)+VLOOKUP($R30,武学奇术!$A:$ZZ,4,FALSE)+SUM(_xlfn.XLOOKUP($S30:$AG30,增益!$A:$A,增益!$D:$D,0))-$I$2</f>
        <v>6112.4</v>
      </c>
      <c r="AQ30" s="32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0.1925</v>
      </c>
      <c r="AR30" s="32" cm="1">
        <f t="array" ref="AR30">$G$10+VLOOKUP($R30,武学奇术!$A:$ZZ,7,FALSE)+SUM(_xlfn.XLOOKUP(S30:AG30,增益!$A:$A,增益!$G:$G,0))</f>
        <v>0</v>
      </c>
      <c r="AS30" s="24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32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2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2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2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2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2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2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2" cm="1">
        <f t="array" ref="BI30">$G$14+VLOOKUP($R30,武学奇术!$A:$ZZ,16,FALSE)+SUM(_xlfn.XLOOKUP(S30:AG30,增益!$A:$A,增益!$P:$P,0))</f>
        <v>0</v>
      </c>
      <c r="BJ30" s="24">
        <f>MIN(IF(VLOOKUP($R30,武学奇术!$A:$ZZ,23,FALSE)=1,100%,$B$8),100%)</f>
        <v>0.8271</v>
      </c>
      <c r="BK30" s="24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0.1789</v>
      </c>
      <c r="BL30" s="24" cm="1">
        <f t="array" ref="BL30">1+$B$13+VLOOKUP($R30,武学奇术!$A:$ZZ,18,FALSE)+SUM(_xlfn.XLOOKUP(S30:AG30,增益!$A:$A,增益!$R:$R,0))</f>
        <v>1.5</v>
      </c>
      <c r="BM30" s="24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0.5509</v>
      </c>
      <c r="BN30" s="24" cm="1">
        <f t="array" ref="BN30">1+$B$14+VLOOKUP($R30,武学奇术!$A:$ZZ,20,FALSE)+SUM(_xlfn.XLOOKUP(S30:AG30,增益!$A:$A,增益!$T:$T,0))</f>
        <v>2.062</v>
      </c>
      <c r="BO30" s="24">
        <f t="shared" si="9"/>
        <v>0.14796819</v>
      </c>
      <c r="BP30" s="24">
        <f t="shared" si="10"/>
        <v>0.22348242</v>
      </c>
      <c r="BQ30" s="24">
        <f>IF(VLOOKUP($R30,武学奇术!$A:$ZZ,22,FALSE)=1,0,(1-$BJ30))*(1-$BM30)</f>
        <v>0.07764939</v>
      </c>
      <c r="BR30" s="24" cm="1">
        <f t="array" ref="BR30">SUM(_xlfn.XLOOKUP(S30:AG30,增益!$A:$A,增益!$W:$W,0))+$I$5</f>
        <v>0.11</v>
      </c>
    </row>
    <row r="31" spans="1:70">
      <c r="A31" s="86" t="s">
        <v>150</v>
      </c>
      <c r="B31" s="87">
        <v>1</v>
      </c>
      <c r="C31" s="38"/>
      <c r="K31" s="30">
        <f>$L31*VLOOKUP($R31,武学奇术!$A:$ZZ,31,FALSE)</f>
        <v>242958.281609928</v>
      </c>
      <c r="L31" s="30">
        <f t="shared" si="0"/>
        <v>220871.165099934</v>
      </c>
      <c r="M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175468.216406361</v>
      </c>
      <c r="N31" s="30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342991.184720278</v>
      </c>
      <c r="O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116978.810937574</v>
      </c>
      <c r="P31" s="30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59140.5042807145</v>
      </c>
      <c r="Q31" s="38">
        <v>1</v>
      </c>
      <c r="R31" s="39" t="s">
        <v>96</v>
      </c>
      <c r="S31" s="39" t="s">
        <v>143</v>
      </c>
      <c r="T31" s="39" t="s">
        <v>75</v>
      </c>
      <c r="U31" s="39" t="s">
        <v>114</v>
      </c>
      <c r="V31" s="39" t="s">
        <v>74</v>
      </c>
      <c r="W31" s="39" t="s">
        <v>109</v>
      </c>
      <c r="X31" s="39" t="s">
        <v>97</v>
      </c>
      <c r="Y31" s="39" t="s">
        <v>80</v>
      </c>
      <c r="Z31" s="39" t="s">
        <v>98</v>
      </c>
      <c r="AA31" s="39" t="s">
        <v>103</v>
      </c>
      <c r="AB31" s="39" t="s">
        <v>75</v>
      </c>
      <c r="AC31" s="39" t="s">
        <v>75</v>
      </c>
      <c r="AD31" s="39" t="s">
        <v>75</v>
      </c>
      <c r="AE31" s="39" t="s">
        <v>75</v>
      </c>
      <c r="AF31" s="39" t="s">
        <v>75</v>
      </c>
      <c r="AG31" s="39" t="s">
        <v>76</v>
      </c>
      <c r="AH31" t="str">
        <f>VLOOKUP($R31,武学奇术!$A:$ZZ,25,FALSE)</f>
        <v>剑</v>
      </c>
      <c r="AI31" s="24">
        <f>VLOOKUP($R31,武学奇术!$A:$ZZ,26,FALSE)</f>
        <v>4.7037</v>
      </c>
      <c r="AJ31" s="25">
        <f>VLOOKUP($R31,武学奇术!$A:$ZZ,27,FALSE)*(1+IF(OR($AH31=$F$4,$AH31=$F$5),$B$22,0))</f>
        <v>1820</v>
      </c>
      <c r="AK31" s="24">
        <f>VLOOKUP($R31,武学奇术!$A:$ZZ,28,FALSE)</f>
        <v>7.0554</v>
      </c>
      <c r="AL31" s="25">
        <f>VLOOKUP($R31,武学奇术!$A:$ZZ,29,FALSE)*(1+IF(OR($AH31=$F$4,$AH31=$F$5),$B$22,0))</f>
        <v>992.6</v>
      </c>
      <c r="AM31" s="24" cm="1">
        <f t="array" ref="AM31">$G$3+IFERROR(VLOOKUP($AH31,$F$4:$G$7,2,FALSE),0)+VLOOKUP($R31,武学奇术!$A:$ZZ,2,FALSE)+SUM(_xlfn.XLOOKUP($S31:$AG31,增益!$A:$A,增益!$B:$B,0))</f>
        <v>1.5391</v>
      </c>
      <c r="AN31" s="24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1302.4</v>
      </c>
      <c r="AP31" cm="1">
        <f t="array" ref="AP31">$E$10*(1+$AN31)+VLOOKUP($R31,武学奇术!$A:$ZZ,4,FALSE)+SUM(_xlfn.XLOOKUP($S31:$AG31,增益!$A:$A,增益!$D:$D,0))-$I$2</f>
        <v>6112.4</v>
      </c>
      <c r="AQ31" s="32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0.1925</v>
      </c>
      <c r="AR31" s="32" cm="1">
        <f t="array" ref="AR31">$G$10+VLOOKUP($R31,武学奇术!$A:$ZZ,7,FALSE)+SUM(_xlfn.XLOOKUP(S31:AG31,增益!$A:$A,增益!$G:$G,0))</f>
        <v>0</v>
      </c>
      <c r="AS31" s="24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32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2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2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2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2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2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2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2" cm="1">
        <f t="array" ref="BI31">$G$14+VLOOKUP($R31,武学奇术!$A:$ZZ,16,FALSE)+SUM(_xlfn.XLOOKUP(S31:AG31,增益!$A:$A,增益!$P:$P,0))</f>
        <v>0</v>
      </c>
      <c r="BJ31" s="24">
        <f>MIN(IF(VLOOKUP($R31,武学奇术!$A:$ZZ,23,FALSE)=1,100%,$B$8),100%)</f>
        <v>0.8271</v>
      </c>
      <c r="BK31" s="24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0.1789</v>
      </c>
      <c r="BL31" s="24" cm="1">
        <f t="array" ref="BL31">1+$B$13+VLOOKUP($R31,武学奇术!$A:$ZZ,18,FALSE)+SUM(_xlfn.XLOOKUP(S31:AG31,增益!$A:$A,增益!$R:$R,0))</f>
        <v>1.5</v>
      </c>
      <c r="BM31" s="24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4" cm="1">
        <f t="array" ref="BN31">1+$B$14+VLOOKUP($R31,武学奇术!$A:$ZZ,20,FALSE)+SUM(_xlfn.XLOOKUP(S31:AG31,增益!$A:$A,增益!$T:$T,0))</f>
        <v>1.962</v>
      </c>
      <c r="BO31" s="24">
        <f t="shared" si="9"/>
        <v>0.14796819</v>
      </c>
      <c r="BP31" s="24">
        <f t="shared" si="10"/>
        <v>0.31032792</v>
      </c>
      <c r="BQ31" s="24">
        <f>IF(VLOOKUP($R31,武学奇术!$A:$ZZ,22,FALSE)=1,0,(1-$BJ31))*(1-$BM31)</f>
        <v>0.09580389</v>
      </c>
      <c r="BR31" s="24" cm="1">
        <f t="array" ref="BR31">SUM(_xlfn.XLOOKUP(S31:AG31,增益!$A:$A,增益!$W:$W,0))+$I$5</f>
        <v>0.11</v>
      </c>
    </row>
    <row r="32" spans="1:70">
      <c r="A32" s="86" t="s">
        <v>93</v>
      </c>
      <c r="B32" s="86">
        <v>0.3</v>
      </c>
      <c r="C32" s="38"/>
      <c r="K32" s="30">
        <f>$L32*VLOOKUP($R32,武学奇术!$A:$ZZ,31,FALSE)</f>
        <v>286772.806797941</v>
      </c>
      <c r="L32" s="30">
        <f t="shared" si="0"/>
        <v>260702.551634492</v>
      </c>
      <c r="M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176616.077361447</v>
      </c>
      <c r="N32" s="30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361431.314167937</v>
      </c>
      <c r="O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117744.051574298</v>
      </c>
      <c r="P32" s="30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60206.1855113811</v>
      </c>
      <c r="Q32" s="38">
        <v>3</v>
      </c>
      <c r="R32" s="39" t="s">
        <v>151</v>
      </c>
      <c r="S32" s="39" t="s">
        <v>143</v>
      </c>
      <c r="T32" s="39" t="s">
        <v>69</v>
      </c>
      <c r="U32" s="39" t="s">
        <v>73</v>
      </c>
      <c r="V32" s="39" t="s">
        <v>74</v>
      </c>
      <c r="W32" s="39" t="s">
        <v>109</v>
      </c>
      <c r="X32" s="39" t="s">
        <v>97</v>
      </c>
      <c r="Y32" s="39" t="s">
        <v>80</v>
      </c>
      <c r="Z32" s="39" t="s">
        <v>98</v>
      </c>
      <c r="AA32" s="39" t="s">
        <v>103</v>
      </c>
      <c r="AB32" s="39" t="s">
        <v>147</v>
      </c>
      <c r="AC32" s="39" t="s">
        <v>148</v>
      </c>
      <c r="AD32" s="39" t="s">
        <v>75</v>
      </c>
      <c r="AE32" s="39" t="s">
        <v>75</v>
      </c>
      <c r="AF32" s="39" t="s">
        <v>75</v>
      </c>
      <c r="AG32" s="39" t="s">
        <v>76</v>
      </c>
      <c r="AH32" t="str">
        <f>VLOOKUP($R32,武学奇术!$A:$ZZ,25,FALSE)</f>
        <v>剑</v>
      </c>
      <c r="AI32" s="24">
        <f>VLOOKUP($R32,武学奇术!$A:$ZZ,26,FALSE)</f>
        <v>1.3066</v>
      </c>
      <c r="AJ32" s="25">
        <f>VLOOKUP($R32,武学奇术!$A:$ZZ,27,FALSE)*(1+IF(OR($AH32=$F$4,$AH32=$F$5),$B$22,0))</f>
        <v>505.4</v>
      </c>
      <c r="AK32" s="24">
        <f>VLOOKUP($R32,武学奇术!$A:$ZZ,28,FALSE)</f>
        <v>1.9598</v>
      </c>
      <c r="AL32" s="25">
        <f>VLOOKUP($R32,武学奇术!$A:$ZZ,29,FALSE)*(1+IF(OR($AH32=$F$4,$AH32=$F$5),$B$22,0))</f>
        <v>275.8</v>
      </c>
      <c r="AM32" s="24" cm="1">
        <f t="array" ref="AM32">$G$3+IFERROR(VLOOKUP($AH32,$F$4:$G$7,2,FALSE),0)+VLOOKUP($R32,武学奇术!$A:$ZZ,2,FALSE)+SUM(_xlfn.XLOOKUP($S32:$AG32,增益!$A:$A,增益!$B:$B,0))</f>
        <v>1.5391</v>
      </c>
      <c r="AN32" s="24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1302.4</v>
      </c>
      <c r="AP32" cm="1">
        <f t="array" ref="AP32">$E$10*(1+$AN32)+VLOOKUP($R32,武学奇术!$A:$ZZ,4,FALSE)+SUM(_xlfn.XLOOKUP($S32:$AG32,增益!$A:$A,增益!$D:$D,0))-$I$2</f>
        <v>6112.4</v>
      </c>
      <c r="AQ32" s="32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0.1925</v>
      </c>
      <c r="AR32" s="32" cm="1">
        <f t="array" ref="AR32">$G$10+VLOOKUP($R32,武学奇术!$A:$ZZ,7,FALSE)+SUM(_xlfn.XLOOKUP(S32:AG32,增益!$A:$A,增益!$G:$G,0))</f>
        <v>0</v>
      </c>
      <c r="AS32" s="24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32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2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2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2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2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2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2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2" cm="1">
        <f t="array" ref="BI32">$G$14+VLOOKUP($R32,武学奇术!$A:$ZZ,16,FALSE)+SUM(_xlfn.XLOOKUP(S32:AG32,增益!$A:$A,增益!$P:$P,0))</f>
        <v>0</v>
      </c>
      <c r="BJ32" s="24">
        <f>MIN(IF(VLOOKUP($R32,武学奇术!$A:$ZZ,23,FALSE)=1,100%,$B$8),100%)</f>
        <v>0.8271</v>
      </c>
      <c r="BK32" s="24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0.1789</v>
      </c>
      <c r="BL32" s="24" cm="1">
        <f t="array" ref="BL32">1+$B$13+VLOOKUP($R32,武学奇术!$A:$ZZ,18,FALSE)+SUM(_xlfn.XLOOKUP(S32:AG32,增益!$A:$A,增益!$R:$R,0))</f>
        <v>1.5</v>
      </c>
      <c r="BM32" s="24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0.5509</v>
      </c>
      <c r="BN32" s="24" cm="1">
        <f t="array" ref="BN32">1+$B$14+VLOOKUP($R32,武学奇术!$A:$ZZ,20,FALSE)+SUM(_xlfn.XLOOKUP(S32:AG32,增益!$A:$A,增益!$T:$T,0))</f>
        <v>2.062</v>
      </c>
      <c r="BO32" s="24">
        <f t="shared" si="9"/>
        <v>0.14796819</v>
      </c>
      <c r="BP32" s="24">
        <f t="shared" si="10"/>
        <v>0.30113181</v>
      </c>
      <c r="BQ32" s="24">
        <f>IF(VLOOKUP($R32,武学奇术!$A:$ZZ,22,FALSE)=1,0,(1-$BJ32))*(1-$BM32)</f>
        <v>0</v>
      </c>
      <c r="BR32" s="24" cm="1">
        <f t="array" ref="BR32">SUM(_xlfn.XLOOKUP(S32:AG32,增益!$A:$A,增益!$W:$W,0))+$I$5</f>
        <v>0.31</v>
      </c>
    </row>
    <row r="33" spans="1:70">
      <c r="A33" s="86" t="s">
        <v>152</v>
      </c>
      <c r="B33" s="86">
        <v>0.8</v>
      </c>
      <c r="C33" s="38"/>
      <c r="K33" s="30">
        <f>$L33*VLOOKUP($R33,武学奇术!$A:$ZZ,31,FALSE)</f>
        <v>344091.478609002</v>
      </c>
      <c r="L33" s="30">
        <f t="shared" si="0"/>
        <v>312810.435099093</v>
      </c>
      <c r="M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211910.398179567</v>
      </c>
      <c r="N33" s="30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433676.642821795</v>
      </c>
      <c r="O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141273.598786378</v>
      </c>
      <c r="P33" s="30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72228.7480956492</v>
      </c>
      <c r="Q33" s="38">
        <v>3</v>
      </c>
      <c r="R33" s="39" t="s">
        <v>153</v>
      </c>
      <c r="S33" s="39" t="s">
        <v>143</v>
      </c>
      <c r="T33" s="39" t="s">
        <v>69</v>
      </c>
      <c r="U33" s="39" t="s">
        <v>73</v>
      </c>
      <c r="V33" s="39" t="s">
        <v>74</v>
      </c>
      <c r="W33" s="39" t="s">
        <v>109</v>
      </c>
      <c r="X33" s="39" t="s">
        <v>97</v>
      </c>
      <c r="Y33" s="39" t="s">
        <v>80</v>
      </c>
      <c r="Z33" s="39" t="s">
        <v>98</v>
      </c>
      <c r="AA33" s="39" t="s">
        <v>103</v>
      </c>
      <c r="AB33" s="39" t="s">
        <v>147</v>
      </c>
      <c r="AC33" s="39" t="s">
        <v>148</v>
      </c>
      <c r="AD33" s="39" t="s">
        <v>75</v>
      </c>
      <c r="AE33" s="39" t="s">
        <v>75</v>
      </c>
      <c r="AF33" s="39" t="s">
        <v>75</v>
      </c>
      <c r="AG33" s="39" t="s">
        <v>76</v>
      </c>
      <c r="AH33" t="str">
        <f>VLOOKUP($R33,武学奇术!$A:$ZZ,25,FALSE)</f>
        <v>剑</v>
      </c>
      <c r="AI33" s="24">
        <f>VLOOKUP($R33,武学奇术!$A:$ZZ,26,FALSE)</f>
        <v>1.5679</v>
      </c>
      <c r="AJ33" s="25">
        <f>VLOOKUP($R33,武学奇术!$A:$ZZ,27,FALSE)*(1+IF(OR($AH33=$F$4,$AH33=$F$5),$B$22,0))</f>
        <v>606.2</v>
      </c>
      <c r="AK33" s="24">
        <f>VLOOKUP($R33,武学奇术!$A:$ZZ,28,FALSE)</f>
        <v>2.3518</v>
      </c>
      <c r="AL33" s="25">
        <f>VLOOKUP($R33,武学奇术!$A:$ZZ,29,FALSE)*(1+IF(OR($AH33=$F$4,$AH33=$F$5),$B$22,0))</f>
        <v>330.4</v>
      </c>
      <c r="AM33" s="24" cm="1">
        <f t="array" ref="AM33">$G$3+IFERROR(VLOOKUP($AH33,$F$4:$G$7,2,FALSE),0)+VLOOKUP($R33,武学奇术!$A:$ZZ,2,FALSE)+SUM(_xlfn.XLOOKUP($S33:$AG33,增益!$A:$A,增益!$B:$B,0))</f>
        <v>1.5391</v>
      </c>
      <c r="AN33" s="24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1302.4</v>
      </c>
      <c r="AP33" cm="1">
        <f t="array" ref="AP33">$E$10*(1+$AN33)+VLOOKUP($R33,武学奇术!$A:$ZZ,4,FALSE)+SUM(_xlfn.XLOOKUP($S33:$AG33,增益!$A:$A,增益!$D:$D,0))-$I$2</f>
        <v>6112.4</v>
      </c>
      <c r="AQ33" s="32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0.1925</v>
      </c>
      <c r="AR33" s="32" cm="1">
        <f t="array" ref="AR33">$G$10+VLOOKUP($R33,武学奇术!$A:$ZZ,7,FALSE)+SUM(_xlfn.XLOOKUP(S33:AG33,增益!$A:$A,增益!$G:$G,0))</f>
        <v>0</v>
      </c>
      <c r="AS33" s="24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32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2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2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2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2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2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2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2" cm="1">
        <f t="array" ref="BI33">$G$14+VLOOKUP($R33,武学奇术!$A:$ZZ,16,FALSE)+SUM(_xlfn.XLOOKUP(S33:AG33,增益!$A:$A,增益!$P:$P,0))</f>
        <v>0</v>
      </c>
      <c r="BJ33" s="24">
        <f>MIN(IF(VLOOKUP($R33,武学奇术!$A:$ZZ,23,FALSE)=1,100%,$B$8),100%)</f>
        <v>0.8271</v>
      </c>
      <c r="BK33" s="24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0.1789</v>
      </c>
      <c r="BL33" s="24" cm="1">
        <f t="array" ref="BL33">1+$B$13+VLOOKUP($R33,武学奇术!$A:$ZZ,18,FALSE)+SUM(_xlfn.XLOOKUP(S33:AG33,增益!$A:$A,增益!$R:$R,0))</f>
        <v>1.5</v>
      </c>
      <c r="BM33" s="24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0.5509</v>
      </c>
      <c r="BN33" s="24" cm="1">
        <f t="array" ref="BN33">1+$B$14+VLOOKUP($R33,武学奇术!$A:$ZZ,20,FALSE)+SUM(_xlfn.XLOOKUP(S33:AG33,增益!$A:$A,增益!$T:$T,0))</f>
        <v>2.062</v>
      </c>
      <c r="BO33" s="24">
        <f t="shared" si="9"/>
        <v>0.14796819</v>
      </c>
      <c r="BP33" s="24">
        <f t="shared" si="10"/>
        <v>0.30113181</v>
      </c>
      <c r="BQ33" s="24">
        <f>IF(VLOOKUP($R33,武学奇术!$A:$ZZ,22,FALSE)=1,0,(1-$BJ33))*(1-$BM33)</f>
        <v>0</v>
      </c>
      <c r="BR33" s="24" cm="1">
        <f t="array" ref="BR33">SUM(_xlfn.XLOOKUP(S33:AG33,增益!$A:$A,增益!$W:$W,0))+$I$5</f>
        <v>0.31</v>
      </c>
    </row>
    <row r="34" spans="1:70">
      <c r="A34" s="86" t="s">
        <v>150</v>
      </c>
      <c r="B34" s="86">
        <v>2.33</v>
      </c>
      <c r="C34" s="38"/>
      <c r="K34" s="30">
        <f>$L34*VLOOKUP($R34,武学奇术!$A:$ZZ,31,FALSE)</f>
        <v>556644.825399326</v>
      </c>
      <c r="L34" s="30">
        <f t="shared" si="0"/>
        <v>506040.750363023</v>
      </c>
      <c r="M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247291.124589858</v>
      </c>
      <c r="N34" s="30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506040.750363023</v>
      </c>
      <c r="O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164860.749726572</v>
      </c>
      <c r="P34" s="30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84308.9144080308</v>
      </c>
      <c r="Q34" s="38">
        <v>3</v>
      </c>
      <c r="R34" s="39" t="s">
        <v>155</v>
      </c>
      <c r="S34" s="39" t="s">
        <v>143</v>
      </c>
      <c r="T34" s="39" t="s">
        <v>69</v>
      </c>
      <c r="U34" s="39" t="s">
        <v>73</v>
      </c>
      <c r="V34" s="39" t="s">
        <v>74</v>
      </c>
      <c r="W34" s="39" t="s">
        <v>109</v>
      </c>
      <c r="X34" s="39" t="s">
        <v>97</v>
      </c>
      <c r="Y34" s="39" t="s">
        <v>80</v>
      </c>
      <c r="Z34" s="39" t="s">
        <v>98</v>
      </c>
      <c r="AA34" s="39" t="s">
        <v>103</v>
      </c>
      <c r="AB34" s="39" t="s">
        <v>147</v>
      </c>
      <c r="AC34" s="39" t="s">
        <v>148</v>
      </c>
      <c r="AD34" s="39" t="s">
        <v>75</v>
      </c>
      <c r="AE34" s="39" t="s">
        <v>75</v>
      </c>
      <c r="AF34" s="39" t="s">
        <v>75</v>
      </c>
      <c r="AG34" s="39" t="s">
        <v>76</v>
      </c>
      <c r="AH34" t="str">
        <f>VLOOKUP($R34,武学奇术!$A:$ZZ,25,FALSE)</f>
        <v>剑</v>
      </c>
      <c r="AI34" s="24">
        <f>VLOOKUP($R34,武学奇术!$A:$ZZ,26,FALSE)</f>
        <v>1.8292</v>
      </c>
      <c r="AJ34" s="25">
        <f>VLOOKUP($R34,武学奇术!$A:$ZZ,27,FALSE)*(1+IF(OR($AH34=$F$4,$AH34=$F$5),$B$22,0))</f>
        <v>708.4</v>
      </c>
      <c r="AK34" s="24">
        <f>VLOOKUP($R34,武学奇术!$A:$ZZ,28,FALSE)</f>
        <v>2.7438</v>
      </c>
      <c r="AL34" s="25">
        <f>VLOOKUP($R34,武学奇术!$A:$ZZ,29,FALSE)*(1+IF(OR($AH34=$F$4,$AH34=$F$5),$B$22,0))</f>
        <v>386.4</v>
      </c>
      <c r="AM34" s="24" cm="1">
        <f t="array" ref="AM34">$G$3+IFERROR(VLOOKUP($AH34,$F$4:$G$7,2,FALSE),0)+VLOOKUP($R34,武学奇术!$A:$ZZ,2,FALSE)+SUM(_xlfn.XLOOKUP($S34:$AG34,增益!$A:$A,增益!$B:$B,0))</f>
        <v>1.5391</v>
      </c>
      <c r="AN34" s="24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1302.4</v>
      </c>
      <c r="AP34" cm="1">
        <f t="array" ref="AP34">$E$10*(1+$AN34)+VLOOKUP($R34,武学奇术!$A:$ZZ,4,FALSE)+SUM(_xlfn.XLOOKUP($S34:$AG34,增益!$A:$A,增益!$D:$D,0))-$I$2</f>
        <v>6112.4</v>
      </c>
      <c r="AQ34" s="32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0.1925</v>
      </c>
      <c r="AR34" s="32" cm="1">
        <f t="array" ref="AR34">$G$10+VLOOKUP($R34,武学奇术!$A:$ZZ,7,FALSE)+SUM(_xlfn.XLOOKUP(S34:AG34,增益!$A:$A,增益!$G:$G,0))</f>
        <v>0</v>
      </c>
      <c r="AS34" s="24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32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2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2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2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2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2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2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2" cm="1">
        <f t="array" ref="BI34">$G$14+VLOOKUP($R34,武学奇术!$A:$ZZ,16,FALSE)+SUM(_xlfn.XLOOKUP(S34:AG34,增益!$A:$A,增益!$P:$P,0))</f>
        <v>0</v>
      </c>
      <c r="BJ34" s="24">
        <f>MIN(IF(VLOOKUP($R34,武学奇术!$A:$ZZ,23,FALSE)=1,100%,$B$8),100%)</f>
        <v>0.8271</v>
      </c>
      <c r="BK34" s="24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4" cm="1">
        <f t="array" ref="BL34">1+$B$13+VLOOKUP($R34,武学奇术!$A:$ZZ,18,FALSE)+SUM(_xlfn.XLOOKUP(S34:AG34,增益!$A:$A,增益!$R:$R,0))</f>
        <v>1.5</v>
      </c>
      <c r="BM34" s="24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4" cm="1">
        <f t="array" ref="BN34">1+$B$14+VLOOKUP($R34,武学奇术!$A:$ZZ,20,FALSE)+SUM(_xlfn.XLOOKUP(S34:AG34,增益!$A:$A,增益!$T:$T,0))</f>
        <v>2.062</v>
      </c>
      <c r="BO34" s="24">
        <f t="shared" si="9"/>
        <v>0</v>
      </c>
      <c r="BP34" s="24">
        <f t="shared" si="10"/>
        <v>0</v>
      </c>
      <c r="BQ34" s="24">
        <f>IF(VLOOKUP($R34,武学奇术!$A:$ZZ,22,FALSE)=1,0,(1-$BJ34))*(1-$BM34)</f>
        <v>0</v>
      </c>
      <c r="BR34" s="24" cm="1">
        <f t="array" ref="BR34">SUM(_xlfn.XLOOKUP(S34:AG34,增益!$A:$A,增益!$W:$W,0))+$I$5</f>
        <v>0.31</v>
      </c>
    </row>
    <row r="35" spans="1:70">
      <c r="A35" s="86" t="s">
        <v>150</v>
      </c>
      <c r="B35" s="86">
        <v>2.33</v>
      </c>
      <c r="C35" s="38"/>
      <c r="K35" s="30">
        <f>$L35*VLOOKUP($R35,武学奇术!$A:$ZZ,31,FALSE)</f>
        <v>95590.9355993136</v>
      </c>
      <c r="L35" s="30">
        <f t="shared" si="0"/>
        <v>86900.8505448306</v>
      </c>
      <c r="M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58872.025787149</v>
      </c>
      <c r="N35" s="30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120477.104722646</v>
      </c>
      <c r="O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39248.0171914327</v>
      </c>
      <c r="P35" s="30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20068.7285037937</v>
      </c>
      <c r="Q35" s="38">
        <v>1</v>
      </c>
      <c r="R35" s="39" t="s">
        <v>151</v>
      </c>
      <c r="S35" s="39" t="s">
        <v>143</v>
      </c>
      <c r="T35" s="39" t="s">
        <v>69</v>
      </c>
      <c r="U35" s="39" t="s">
        <v>73</v>
      </c>
      <c r="V35" s="39" t="s">
        <v>74</v>
      </c>
      <c r="W35" s="39" t="s">
        <v>109</v>
      </c>
      <c r="X35" s="39" t="s">
        <v>97</v>
      </c>
      <c r="Y35" s="39" t="s">
        <v>80</v>
      </c>
      <c r="Z35" s="39" t="s">
        <v>98</v>
      </c>
      <c r="AA35" s="39" t="s">
        <v>103</v>
      </c>
      <c r="AB35" s="39" t="s">
        <v>147</v>
      </c>
      <c r="AC35" s="39" t="s">
        <v>148</v>
      </c>
      <c r="AD35" s="39" t="s">
        <v>75</v>
      </c>
      <c r="AE35" s="39" t="s">
        <v>75</v>
      </c>
      <c r="AF35" s="39" t="s">
        <v>75</v>
      </c>
      <c r="AG35" s="39" t="s">
        <v>76</v>
      </c>
      <c r="AH35" t="str">
        <f>VLOOKUP($R35,武学奇术!$A:$ZZ,25,FALSE)</f>
        <v>剑</v>
      </c>
      <c r="AI35" s="24">
        <f>VLOOKUP($R35,武学奇术!$A:$ZZ,26,FALSE)</f>
        <v>1.3066</v>
      </c>
      <c r="AJ35" s="25">
        <f>VLOOKUP($R35,武学奇术!$A:$ZZ,27,FALSE)*(1+IF(OR($AH35=$F$4,$AH35=$F$5),$B$22,0))</f>
        <v>505.4</v>
      </c>
      <c r="AK35" s="24">
        <f>VLOOKUP($R35,武学奇术!$A:$ZZ,28,FALSE)</f>
        <v>1.9598</v>
      </c>
      <c r="AL35" s="25">
        <f>VLOOKUP($R35,武学奇术!$A:$ZZ,29,FALSE)*(1+IF(OR($AH35=$F$4,$AH35=$F$5),$B$22,0))</f>
        <v>275.8</v>
      </c>
      <c r="AM35" s="24" cm="1">
        <f t="array" ref="AM35">$G$3+IFERROR(VLOOKUP($AH35,$F$4:$G$7,2,FALSE),0)+VLOOKUP($R35,武学奇术!$A:$ZZ,2,FALSE)+SUM(_xlfn.XLOOKUP($S35:$AG35,增益!$A:$A,增益!$B:$B,0))</f>
        <v>1.5391</v>
      </c>
      <c r="AN35" s="24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1302.4</v>
      </c>
      <c r="AP35" cm="1">
        <f t="array" ref="AP35">$E$10*(1+$AN35)+VLOOKUP($R35,武学奇术!$A:$ZZ,4,FALSE)+SUM(_xlfn.XLOOKUP($S35:$AG35,增益!$A:$A,增益!$D:$D,0))-$I$2</f>
        <v>6112.4</v>
      </c>
      <c r="AQ35" s="32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0.1925</v>
      </c>
      <c r="AR35" s="32" cm="1">
        <f t="array" ref="AR35">$G$10+VLOOKUP($R35,武学奇术!$A:$ZZ,7,FALSE)+SUM(_xlfn.XLOOKUP(S35:AG35,增益!$A:$A,增益!$G:$G,0))</f>
        <v>0</v>
      </c>
      <c r="AS35" s="24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32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2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2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2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2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2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2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2" cm="1">
        <f t="array" ref="BI35">$G$14+VLOOKUP($R35,武学奇术!$A:$ZZ,16,FALSE)+SUM(_xlfn.XLOOKUP(S35:AG35,增益!$A:$A,增益!$P:$P,0))</f>
        <v>0</v>
      </c>
      <c r="BJ35" s="24">
        <f>MIN(IF(VLOOKUP($R35,武学奇术!$A:$ZZ,23,FALSE)=1,100%,$B$8),100%)</f>
        <v>0.8271</v>
      </c>
      <c r="BK35" s="24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0.1789</v>
      </c>
      <c r="BL35" s="24" cm="1">
        <f t="array" ref="BL35">1+$B$13+VLOOKUP($R35,武学奇术!$A:$ZZ,18,FALSE)+SUM(_xlfn.XLOOKUP(S35:AG35,增益!$A:$A,增益!$R:$R,0))</f>
        <v>1.5</v>
      </c>
      <c r="BM35" s="24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0.5509</v>
      </c>
      <c r="BN35" s="24" cm="1">
        <f t="array" ref="BN35">1+$B$14+VLOOKUP($R35,武学奇术!$A:$ZZ,20,FALSE)+SUM(_xlfn.XLOOKUP(S35:AG35,增益!$A:$A,增益!$T:$T,0))</f>
        <v>2.062</v>
      </c>
      <c r="BO35" s="24">
        <f t="shared" si="9"/>
        <v>0.14796819</v>
      </c>
      <c r="BP35" s="24">
        <f t="shared" si="10"/>
        <v>0.30113181</v>
      </c>
      <c r="BQ35" s="24">
        <f>IF(VLOOKUP($R35,武学奇术!$A:$ZZ,22,FALSE)=1,0,(1-$BJ35))*(1-$BM35)</f>
        <v>0</v>
      </c>
      <c r="BR35" s="24" cm="1">
        <f t="array" ref="BR35">SUM(_xlfn.XLOOKUP(S35:AG35,增益!$A:$A,增益!$W:$W,0))+$I$5</f>
        <v>0.31</v>
      </c>
    </row>
    <row r="36" spans="1:70">
      <c r="A36" s="86" t="s">
        <v>150</v>
      </c>
      <c r="B36" s="86">
        <v>2.33</v>
      </c>
      <c r="K36" s="30">
        <f>$L36*VLOOKUP($R36,武学奇术!$A:$ZZ,31,FALSE)</f>
        <v>114697.159536334</v>
      </c>
      <c r="L36" s="30">
        <f t="shared" si="0"/>
        <v>104270.145033031</v>
      </c>
      <c r="M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70636.7993931891</v>
      </c>
      <c r="N36" s="30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144558.880940598</v>
      </c>
      <c r="O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47091.1995954594</v>
      </c>
      <c r="P36" s="30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24076.2493652164</v>
      </c>
      <c r="Q36" s="38">
        <v>1</v>
      </c>
      <c r="R36" s="39" t="s">
        <v>153</v>
      </c>
      <c r="S36" s="39" t="s">
        <v>143</v>
      </c>
      <c r="T36" s="39" t="s">
        <v>69</v>
      </c>
      <c r="U36" s="39" t="s">
        <v>73</v>
      </c>
      <c r="V36" s="39" t="s">
        <v>74</v>
      </c>
      <c r="W36" s="39" t="s">
        <v>109</v>
      </c>
      <c r="X36" s="39" t="s">
        <v>97</v>
      </c>
      <c r="Y36" s="39" t="s">
        <v>80</v>
      </c>
      <c r="Z36" s="39" t="s">
        <v>98</v>
      </c>
      <c r="AA36" s="39" t="s">
        <v>103</v>
      </c>
      <c r="AB36" s="39" t="s">
        <v>147</v>
      </c>
      <c r="AC36" s="39" t="s">
        <v>148</v>
      </c>
      <c r="AD36" s="39" t="s">
        <v>75</v>
      </c>
      <c r="AE36" s="39" t="s">
        <v>75</v>
      </c>
      <c r="AF36" s="39" t="s">
        <v>75</v>
      </c>
      <c r="AG36" s="39" t="s">
        <v>76</v>
      </c>
      <c r="AH36" t="str">
        <f>VLOOKUP($R36,武学奇术!$A:$ZZ,25,FALSE)</f>
        <v>剑</v>
      </c>
      <c r="AI36" s="24">
        <f>VLOOKUP($R36,武学奇术!$A:$ZZ,26,FALSE)</f>
        <v>1.5679</v>
      </c>
      <c r="AJ36" s="25">
        <f>VLOOKUP($R36,武学奇术!$A:$ZZ,27,FALSE)*(1+IF(OR($AH36=$F$4,$AH36=$F$5),$B$22,0))</f>
        <v>606.2</v>
      </c>
      <c r="AK36" s="24">
        <f>VLOOKUP($R36,武学奇术!$A:$ZZ,28,FALSE)</f>
        <v>2.3518</v>
      </c>
      <c r="AL36" s="25">
        <f>VLOOKUP($R36,武学奇术!$A:$ZZ,29,FALSE)*(1+IF(OR($AH36=$F$4,$AH36=$F$5),$B$22,0))</f>
        <v>330.4</v>
      </c>
      <c r="AM36" s="24" cm="1">
        <f t="array" ref="AM36">$G$3+IFERROR(VLOOKUP($AH36,$F$4:$G$7,2,FALSE),0)+VLOOKUP($R36,武学奇术!$A:$ZZ,2,FALSE)+SUM(_xlfn.XLOOKUP($S36:$AG36,增益!$A:$A,增益!$B:$B,0))</f>
        <v>1.5391</v>
      </c>
      <c r="AN36" s="24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1302.4</v>
      </c>
      <c r="AP36" cm="1">
        <f t="array" ref="AP36">$E$10*(1+$AN36)+VLOOKUP($R36,武学奇术!$A:$ZZ,4,FALSE)+SUM(_xlfn.XLOOKUP($S36:$AG36,增益!$A:$A,增益!$D:$D,0))-$I$2</f>
        <v>6112.4</v>
      </c>
      <c r="AQ36" s="32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0.1925</v>
      </c>
      <c r="AR36" s="32" cm="1">
        <f t="array" ref="AR36">$G$10+VLOOKUP($R36,武学奇术!$A:$ZZ,7,FALSE)+SUM(_xlfn.XLOOKUP(S36:AG36,增益!$A:$A,增益!$G:$G,0))</f>
        <v>0</v>
      </c>
      <c r="AS36" s="24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32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2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2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2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2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2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2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2" cm="1">
        <f t="array" ref="BI36">$G$14+VLOOKUP($R36,武学奇术!$A:$ZZ,16,FALSE)+SUM(_xlfn.XLOOKUP(S36:AG36,增益!$A:$A,增益!$P:$P,0))</f>
        <v>0</v>
      </c>
      <c r="BJ36" s="24">
        <f>MIN(IF(VLOOKUP($R36,武学奇术!$A:$ZZ,23,FALSE)=1,100%,$B$8),100%)</f>
        <v>0.8271</v>
      </c>
      <c r="BK36" s="24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0.1789</v>
      </c>
      <c r="BL36" s="24" cm="1">
        <f t="array" ref="BL36">1+$B$13+VLOOKUP($R36,武学奇术!$A:$ZZ,18,FALSE)+SUM(_xlfn.XLOOKUP(S36:AG36,增益!$A:$A,增益!$R:$R,0))</f>
        <v>1.5</v>
      </c>
      <c r="BM36" s="24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0.5509</v>
      </c>
      <c r="BN36" s="24" cm="1">
        <f t="array" ref="BN36">1+$B$14+VLOOKUP($R36,武学奇术!$A:$ZZ,20,FALSE)+SUM(_xlfn.XLOOKUP(S36:AG36,增益!$A:$A,增益!$T:$T,0))</f>
        <v>2.062</v>
      </c>
      <c r="BO36" s="24">
        <f t="shared" si="9"/>
        <v>0.14796819</v>
      </c>
      <c r="BP36" s="24">
        <f t="shared" si="10"/>
        <v>0.30113181</v>
      </c>
      <c r="BQ36" s="24">
        <f>IF(VLOOKUP($R36,武学奇术!$A:$ZZ,22,FALSE)=1,0,(1-$BJ36))*(1-$BM36)</f>
        <v>0</v>
      </c>
      <c r="BR36" s="24" cm="1">
        <f t="array" ref="BR36">SUM(_xlfn.XLOOKUP(S36:AG36,增益!$A:$A,增益!$W:$W,0))+$I$5</f>
        <v>0.31</v>
      </c>
    </row>
    <row r="37" spans="1:70">
      <c r="A37" s="86" t="s">
        <v>145</v>
      </c>
      <c r="B37" s="86">
        <v>1.1</v>
      </c>
      <c r="C37" s="4"/>
      <c r="K37" s="30">
        <f>$L37*VLOOKUP($R37,武学奇术!$A:$ZZ,31,FALSE)</f>
        <v>185548.275133109</v>
      </c>
      <c r="L37" s="30">
        <f t="shared" si="0"/>
        <v>168680.250121008</v>
      </c>
      <c r="M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82430.374863286</v>
      </c>
      <c r="N37" s="30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168680.250121008</v>
      </c>
      <c r="O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54953.5832421906</v>
      </c>
      <c r="P37" s="30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28102.9714693436</v>
      </c>
      <c r="Q37" s="38">
        <v>1</v>
      </c>
      <c r="R37" s="39" t="s">
        <v>155</v>
      </c>
      <c r="S37" s="39" t="s">
        <v>143</v>
      </c>
      <c r="T37" s="39" t="s">
        <v>69</v>
      </c>
      <c r="U37" s="39" t="s">
        <v>73</v>
      </c>
      <c r="V37" s="39" t="s">
        <v>74</v>
      </c>
      <c r="W37" s="39" t="s">
        <v>109</v>
      </c>
      <c r="X37" s="39" t="s">
        <v>97</v>
      </c>
      <c r="Y37" s="39" t="s">
        <v>80</v>
      </c>
      <c r="Z37" s="39" t="s">
        <v>98</v>
      </c>
      <c r="AA37" s="39" t="s">
        <v>103</v>
      </c>
      <c r="AB37" s="39" t="s">
        <v>147</v>
      </c>
      <c r="AC37" s="39" t="s">
        <v>148</v>
      </c>
      <c r="AD37" s="39" t="s">
        <v>75</v>
      </c>
      <c r="AE37" s="39" t="s">
        <v>75</v>
      </c>
      <c r="AF37" s="39" t="s">
        <v>75</v>
      </c>
      <c r="AG37" s="39" t="s">
        <v>76</v>
      </c>
      <c r="AH37" t="str">
        <f>VLOOKUP($R37,武学奇术!$A:$ZZ,25,FALSE)</f>
        <v>剑</v>
      </c>
      <c r="AI37" s="24">
        <f>VLOOKUP($R37,武学奇术!$A:$ZZ,26,FALSE)</f>
        <v>1.8292</v>
      </c>
      <c r="AJ37" s="25">
        <f>VLOOKUP($R37,武学奇术!$A:$ZZ,27,FALSE)*(1+IF(OR($AH37=$F$4,$AH37=$F$5),$B$22,0))</f>
        <v>708.4</v>
      </c>
      <c r="AK37" s="24">
        <f>VLOOKUP($R37,武学奇术!$A:$ZZ,28,FALSE)</f>
        <v>2.7438</v>
      </c>
      <c r="AL37" s="25">
        <f>VLOOKUP($R37,武学奇术!$A:$ZZ,29,FALSE)*(1+IF(OR($AH37=$F$4,$AH37=$F$5),$B$22,0))</f>
        <v>386.4</v>
      </c>
      <c r="AM37" s="24" cm="1">
        <f t="array" ref="AM37">$G$3+IFERROR(VLOOKUP($AH37,$F$4:$G$7,2,FALSE),0)+VLOOKUP($R37,武学奇术!$A:$ZZ,2,FALSE)+SUM(_xlfn.XLOOKUP($S37:$AG37,增益!$A:$A,增益!$B:$B,0))</f>
        <v>1.5391</v>
      </c>
      <c r="AN37" s="24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1302.4</v>
      </c>
      <c r="AP37" cm="1">
        <f t="array" ref="AP37">$E$10*(1+$AN37)+VLOOKUP($R37,武学奇术!$A:$ZZ,4,FALSE)+SUM(_xlfn.XLOOKUP($S37:$AG37,增益!$A:$A,增益!$D:$D,0))-$I$2</f>
        <v>6112.4</v>
      </c>
      <c r="AQ37" s="32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0.1925</v>
      </c>
      <c r="AR37" s="32" cm="1">
        <f t="array" ref="AR37">$G$10+VLOOKUP($R37,武学奇术!$A:$ZZ,7,FALSE)+SUM(_xlfn.XLOOKUP(S37:AG37,增益!$A:$A,增益!$G:$G,0))</f>
        <v>0</v>
      </c>
      <c r="AS37" s="24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32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2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2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2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2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2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2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2" cm="1">
        <f t="array" ref="BI37">$G$14+VLOOKUP($R37,武学奇术!$A:$ZZ,16,FALSE)+SUM(_xlfn.XLOOKUP(S37:AG37,增益!$A:$A,增益!$P:$P,0))</f>
        <v>0</v>
      </c>
      <c r="BJ37" s="24">
        <f>MIN(IF(VLOOKUP($R37,武学奇术!$A:$ZZ,23,FALSE)=1,100%,$B$8),100%)</f>
        <v>0.8271</v>
      </c>
      <c r="BK37" s="24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4" cm="1">
        <f t="array" ref="BL37">1+$B$13+VLOOKUP($R37,武学奇术!$A:$ZZ,18,FALSE)+SUM(_xlfn.XLOOKUP(S37:AG37,增益!$A:$A,增益!$R:$R,0))</f>
        <v>1.5</v>
      </c>
      <c r="BM37" s="24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4" cm="1">
        <f t="array" ref="BN37">1+$B$14+VLOOKUP($R37,武学奇术!$A:$ZZ,20,FALSE)+SUM(_xlfn.XLOOKUP(S37:AG37,增益!$A:$A,增益!$T:$T,0))</f>
        <v>2.062</v>
      </c>
      <c r="BO37" s="24">
        <f t="shared" si="9"/>
        <v>0</v>
      </c>
      <c r="BP37" s="24">
        <f t="shared" si="10"/>
        <v>0</v>
      </c>
      <c r="BQ37" s="24">
        <f>IF(VLOOKUP($R37,武学奇术!$A:$ZZ,22,FALSE)=1,0,(1-$BJ37))*(1-$BM37)</f>
        <v>0</v>
      </c>
      <c r="BR37" s="24" cm="1">
        <f t="array" ref="BR37">SUM(_xlfn.XLOOKUP(S37:AG37,增益!$A:$A,增益!$W:$W,0))+$I$5</f>
        <v>0.31</v>
      </c>
    </row>
    <row r="38" spans="1:70">
      <c r="A38" s="86" t="s">
        <v>150</v>
      </c>
      <c r="B38" s="86">
        <v>2.33</v>
      </c>
      <c r="C38" s="38" t="s">
        <v>73</v>
      </c>
      <c r="K38" s="30">
        <f>$L38*VLOOKUP($R38,武学奇术!$A:$ZZ,31,FALSE)</f>
        <v>88061.4223387636</v>
      </c>
      <c r="L38" s="30">
        <f t="shared" si="0"/>
        <v>80055.8384897851</v>
      </c>
      <c r="M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54234.7900904731</v>
      </c>
      <c r="N38" s="30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110987.356014628</v>
      </c>
      <c r="O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36156.5267269821</v>
      </c>
      <c r="P38" s="30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18487.9535438635</v>
      </c>
      <c r="Q38" s="38">
        <v>1</v>
      </c>
      <c r="R38" s="39" t="s">
        <v>151</v>
      </c>
      <c r="S38" s="39" t="s">
        <v>143</v>
      </c>
      <c r="T38" s="39" t="s">
        <v>69</v>
      </c>
      <c r="U38" s="39" t="s">
        <v>73</v>
      </c>
      <c r="V38" s="39" t="s">
        <v>75</v>
      </c>
      <c r="W38" s="39" t="s">
        <v>109</v>
      </c>
      <c r="X38" s="39" t="s">
        <v>97</v>
      </c>
      <c r="Y38" s="39" t="s">
        <v>80</v>
      </c>
      <c r="Z38" s="39" t="s">
        <v>98</v>
      </c>
      <c r="AA38" s="39" t="s">
        <v>103</v>
      </c>
      <c r="AB38" s="39" t="s">
        <v>147</v>
      </c>
      <c r="AC38" s="39" t="s">
        <v>148</v>
      </c>
      <c r="AD38" s="39" t="s">
        <v>75</v>
      </c>
      <c r="AE38" s="39" t="s">
        <v>75</v>
      </c>
      <c r="AF38" s="39" t="s">
        <v>75</v>
      </c>
      <c r="AG38" s="39" t="s">
        <v>76</v>
      </c>
      <c r="AH38" t="str">
        <f>VLOOKUP($R38,武学奇术!$A:$ZZ,25,FALSE)</f>
        <v>剑</v>
      </c>
      <c r="AI38" s="24">
        <f>VLOOKUP($R38,武学奇术!$A:$ZZ,26,FALSE)</f>
        <v>1.3066</v>
      </c>
      <c r="AJ38" s="25">
        <f>VLOOKUP($R38,武学奇术!$A:$ZZ,27,FALSE)*(1+IF(OR($AH38=$F$4,$AH38=$F$5),$B$22,0))</f>
        <v>505.4</v>
      </c>
      <c r="AK38" s="24">
        <f>VLOOKUP($R38,武学奇术!$A:$ZZ,28,FALSE)</f>
        <v>1.9598</v>
      </c>
      <c r="AL38" s="25">
        <f>VLOOKUP($R38,武学奇术!$A:$ZZ,29,FALSE)*(1+IF(OR($AH38=$F$4,$AH38=$F$5),$B$22,0))</f>
        <v>275.8</v>
      </c>
      <c r="AM38" s="24" cm="1">
        <f t="array" ref="AM38">$G$3+IFERROR(VLOOKUP($AH38,$F$4:$G$7,2,FALSE),0)+VLOOKUP($R38,武学奇术!$A:$ZZ,2,FALSE)+SUM(_xlfn.XLOOKUP($S38:$AG38,增益!$A:$A,增益!$B:$B,0))</f>
        <v>1.3391</v>
      </c>
      <c r="AN38" s="24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1302.4</v>
      </c>
      <c r="AP38" cm="1">
        <f t="array" ref="AP38">$E$10*(1+$AN38)+VLOOKUP($R38,武学奇术!$A:$ZZ,4,FALSE)+SUM(_xlfn.XLOOKUP($S38:$AG38,增益!$A:$A,增益!$D:$D,0))-$I$2</f>
        <v>6112.4</v>
      </c>
      <c r="AQ38" s="32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0.1925</v>
      </c>
      <c r="AR38" s="32" cm="1">
        <f t="array" ref="AR38">$G$10+VLOOKUP($R38,武学奇术!$A:$ZZ,7,FALSE)+SUM(_xlfn.XLOOKUP(S38:AG38,增益!$A:$A,增益!$G:$G,0))</f>
        <v>0</v>
      </c>
      <c r="AS38" s="24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32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2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2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2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2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2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2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2" cm="1">
        <f t="array" ref="BI38">$G$14+VLOOKUP($R38,武学奇术!$A:$ZZ,16,FALSE)+SUM(_xlfn.XLOOKUP(S38:AG38,增益!$A:$A,增益!$P:$P,0))</f>
        <v>0</v>
      </c>
      <c r="BJ38" s="24">
        <f>MIN(IF(VLOOKUP($R38,武学奇术!$A:$ZZ,23,FALSE)=1,100%,$B$8),100%)</f>
        <v>0.8271</v>
      </c>
      <c r="BK38" s="24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0.1789</v>
      </c>
      <c r="BL38" s="24" cm="1">
        <f t="array" ref="BL38">1+$B$13+VLOOKUP($R38,武学奇术!$A:$ZZ,18,FALSE)+SUM(_xlfn.XLOOKUP(S38:AG38,增益!$A:$A,增益!$R:$R,0))</f>
        <v>1.5</v>
      </c>
      <c r="BM38" s="24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0.5509</v>
      </c>
      <c r="BN38" s="24" cm="1">
        <f t="array" ref="BN38">1+$B$14+VLOOKUP($R38,武学奇术!$A:$ZZ,20,FALSE)+SUM(_xlfn.XLOOKUP(S38:AG38,增益!$A:$A,增益!$T:$T,0))</f>
        <v>2.062</v>
      </c>
      <c r="BO38" s="24">
        <f t="shared" si="9"/>
        <v>0.14796819</v>
      </c>
      <c r="BP38" s="24">
        <f t="shared" si="10"/>
        <v>0.30113181</v>
      </c>
      <c r="BQ38" s="24">
        <f>IF(VLOOKUP($R38,武学奇术!$A:$ZZ,22,FALSE)=1,0,(1-$BJ38))*(1-$BM38)</f>
        <v>0</v>
      </c>
      <c r="BR38" s="24" cm="1">
        <f t="array" ref="BR38">SUM(_xlfn.XLOOKUP(S38:AG38,增益!$A:$A,增益!$W:$W,0))+$I$5</f>
        <v>0.31</v>
      </c>
    </row>
    <row r="39" spans="1:70">
      <c r="A39" s="86" t="s">
        <v>150</v>
      </c>
      <c r="B39" s="86">
        <v>2.33</v>
      </c>
      <c r="C39" s="38"/>
      <c r="D39" t="s">
        <v>161</v>
      </c>
      <c r="E39" s="4"/>
      <c r="F39" s="4"/>
      <c r="K39" s="30">
        <f>$L39*VLOOKUP($R39,武学奇术!$A:$ZZ,31,FALSE)</f>
        <v>105662.685940467</v>
      </c>
      <c r="L39" s="30">
        <f t="shared" si="0"/>
        <v>96056.9872186061</v>
      </c>
      <c r="M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65072.8752158673</v>
      </c>
      <c r="N39" s="30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133172.25725972</v>
      </c>
      <c r="O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43381.9168105782</v>
      </c>
      <c r="P39" s="30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22179.8097318647</v>
      </c>
      <c r="Q39" s="38">
        <v>1</v>
      </c>
      <c r="R39" s="39" t="s">
        <v>153</v>
      </c>
      <c r="S39" s="39" t="s">
        <v>143</v>
      </c>
      <c r="T39" s="39" t="s">
        <v>69</v>
      </c>
      <c r="U39" s="39" t="s">
        <v>73</v>
      </c>
      <c r="V39" s="39" t="s">
        <v>75</v>
      </c>
      <c r="W39" s="39" t="s">
        <v>109</v>
      </c>
      <c r="X39" s="39" t="s">
        <v>97</v>
      </c>
      <c r="Y39" s="39" t="s">
        <v>80</v>
      </c>
      <c r="Z39" s="39" t="s">
        <v>98</v>
      </c>
      <c r="AA39" s="39" t="s">
        <v>103</v>
      </c>
      <c r="AB39" s="39" t="s">
        <v>147</v>
      </c>
      <c r="AC39" s="39" t="s">
        <v>148</v>
      </c>
      <c r="AD39" s="39" t="s">
        <v>75</v>
      </c>
      <c r="AE39" s="39" t="s">
        <v>75</v>
      </c>
      <c r="AF39" s="39" t="s">
        <v>75</v>
      </c>
      <c r="AG39" s="39" t="s">
        <v>76</v>
      </c>
      <c r="AH39" t="str">
        <f>VLOOKUP($R39,武学奇术!$A:$ZZ,25,FALSE)</f>
        <v>剑</v>
      </c>
      <c r="AI39" s="24">
        <f>VLOOKUP($R39,武学奇术!$A:$ZZ,26,FALSE)</f>
        <v>1.5679</v>
      </c>
      <c r="AJ39" s="25">
        <f>VLOOKUP($R39,武学奇术!$A:$ZZ,27,FALSE)*(1+IF(OR($AH39=$F$4,$AH39=$F$5),$B$22,0))</f>
        <v>606.2</v>
      </c>
      <c r="AK39" s="24">
        <f>VLOOKUP($R39,武学奇术!$A:$ZZ,28,FALSE)</f>
        <v>2.3518</v>
      </c>
      <c r="AL39" s="25">
        <f>VLOOKUP($R39,武学奇术!$A:$ZZ,29,FALSE)*(1+IF(OR($AH39=$F$4,$AH39=$F$5),$B$22,0))</f>
        <v>330.4</v>
      </c>
      <c r="AM39" s="24" cm="1">
        <f t="array" ref="AM39">$G$3+IFERROR(VLOOKUP($AH39,$F$4:$G$7,2,FALSE),0)+VLOOKUP($R39,武学奇术!$A:$ZZ,2,FALSE)+SUM(_xlfn.XLOOKUP($S39:$AG39,增益!$A:$A,增益!$B:$B,0))</f>
        <v>1.3391</v>
      </c>
      <c r="AN39" s="24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1302.4</v>
      </c>
      <c r="AP39" cm="1">
        <f t="array" ref="AP39">$E$10*(1+$AN39)+VLOOKUP($R39,武学奇术!$A:$ZZ,4,FALSE)+SUM(_xlfn.XLOOKUP($S39:$AG39,增益!$A:$A,增益!$D:$D,0))-$I$2</f>
        <v>6112.4</v>
      </c>
      <c r="AQ39" s="32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0.1925</v>
      </c>
      <c r="AR39" s="32" cm="1">
        <f t="array" ref="AR39">$G$10+VLOOKUP($R39,武学奇术!$A:$ZZ,7,FALSE)+SUM(_xlfn.XLOOKUP(S39:AG39,增益!$A:$A,增益!$G:$G,0))</f>
        <v>0</v>
      </c>
      <c r="AS39" s="24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32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2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2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2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2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2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2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2" cm="1">
        <f t="array" ref="BI39">$G$14+VLOOKUP($R39,武学奇术!$A:$ZZ,16,FALSE)+SUM(_xlfn.XLOOKUP(S39:AG39,增益!$A:$A,增益!$P:$P,0))</f>
        <v>0</v>
      </c>
      <c r="BJ39" s="24">
        <f>MIN(IF(VLOOKUP($R39,武学奇术!$A:$ZZ,23,FALSE)=1,100%,$B$8),100%)</f>
        <v>0.8271</v>
      </c>
      <c r="BK39" s="24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0.1789</v>
      </c>
      <c r="BL39" s="24" cm="1">
        <f t="array" ref="BL39">1+$B$13+VLOOKUP($R39,武学奇术!$A:$ZZ,18,FALSE)+SUM(_xlfn.XLOOKUP(S39:AG39,增益!$A:$A,增益!$R:$R,0))</f>
        <v>1.5</v>
      </c>
      <c r="BM39" s="24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0.5509</v>
      </c>
      <c r="BN39" s="24" cm="1">
        <f t="array" ref="BN39">1+$B$14+VLOOKUP($R39,武学奇术!$A:$ZZ,20,FALSE)+SUM(_xlfn.XLOOKUP(S39:AG39,增益!$A:$A,增益!$T:$T,0))</f>
        <v>2.062</v>
      </c>
      <c r="BO39" s="24">
        <f t="shared" si="9"/>
        <v>0.14796819</v>
      </c>
      <c r="BP39" s="24">
        <f t="shared" si="10"/>
        <v>0.30113181</v>
      </c>
      <c r="BQ39" s="24">
        <f>IF(VLOOKUP($R39,武学奇术!$A:$ZZ,22,FALSE)=1,0,(1-$BJ39))*(1-$BM39)</f>
        <v>0</v>
      </c>
      <c r="BR39" s="24" cm="1">
        <f t="array" ref="BR39">SUM(_xlfn.XLOOKUP(S39:AG39,增益!$A:$A,增益!$W:$W,0))+$I$5</f>
        <v>0.31</v>
      </c>
    </row>
    <row r="40" spans="1:70">
      <c r="A40" s="86" t="s">
        <v>156</v>
      </c>
      <c r="B40" s="86">
        <v>1.1</v>
      </c>
      <c r="C40" s="38"/>
      <c r="K40" s="30">
        <f>$L40*VLOOKUP($R40,武学奇术!$A:$ZZ,31,FALSE)</f>
        <v>170932.996086745</v>
      </c>
      <c r="L40" s="30">
        <f t="shared" si="0"/>
        <v>155393.632806132</v>
      </c>
      <c r="M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75937.4935381483</v>
      </c>
      <c r="N40" s="30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155393.632806132</v>
      </c>
      <c r="O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50624.9956920988</v>
      </c>
      <c r="P40" s="30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25889.3547177904</v>
      </c>
      <c r="Q40" s="38">
        <v>1</v>
      </c>
      <c r="R40" s="39" t="s">
        <v>155</v>
      </c>
      <c r="S40" s="39" t="s">
        <v>143</v>
      </c>
      <c r="T40" s="39" t="s">
        <v>69</v>
      </c>
      <c r="U40" s="39" t="s">
        <v>73</v>
      </c>
      <c r="V40" s="39" t="s">
        <v>75</v>
      </c>
      <c r="W40" s="39" t="s">
        <v>109</v>
      </c>
      <c r="X40" s="39" t="s">
        <v>97</v>
      </c>
      <c r="Y40" s="39" t="s">
        <v>80</v>
      </c>
      <c r="Z40" s="39" t="s">
        <v>98</v>
      </c>
      <c r="AA40" s="39" t="s">
        <v>103</v>
      </c>
      <c r="AB40" s="39" t="s">
        <v>147</v>
      </c>
      <c r="AC40" s="39" t="s">
        <v>148</v>
      </c>
      <c r="AD40" s="39" t="s">
        <v>75</v>
      </c>
      <c r="AE40" s="39" t="s">
        <v>75</v>
      </c>
      <c r="AF40" s="39" t="s">
        <v>75</v>
      </c>
      <c r="AG40" s="39" t="s">
        <v>76</v>
      </c>
      <c r="AH40" t="str">
        <f>VLOOKUP($R40,武学奇术!$A:$ZZ,25,FALSE)</f>
        <v>剑</v>
      </c>
      <c r="AI40" s="24">
        <f>VLOOKUP($R40,武学奇术!$A:$ZZ,26,FALSE)</f>
        <v>1.8292</v>
      </c>
      <c r="AJ40" s="25">
        <f>VLOOKUP($R40,武学奇术!$A:$ZZ,27,FALSE)*(1+IF(OR($AH40=$F$4,$AH40=$F$5),$B$22,0))</f>
        <v>708.4</v>
      </c>
      <c r="AK40" s="24">
        <f>VLOOKUP($R40,武学奇术!$A:$ZZ,28,FALSE)</f>
        <v>2.7438</v>
      </c>
      <c r="AL40" s="25">
        <f>VLOOKUP($R40,武学奇术!$A:$ZZ,29,FALSE)*(1+IF(OR($AH40=$F$4,$AH40=$F$5),$B$22,0))</f>
        <v>386.4</v>
      </c>
      <c r="AM40" s="24" cm="1">
        <f t="array" ref="AM40">$G$3+IFERROR(VLOOKUP($AH40,$F$4:$G$7,2,FALSE),0)+VLOOKUP($R40,武学奇术!$A:$ZZ,2,FALSE)+SUM(_xlfn.XLOOKUP($S40:$AG40,增益!$A:$A,增益!$B:$B,0))</f>
        <v>1.3391</v>
      </c>
      <c r="AN40" s="24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1302.4</v>
      </c>
      <c r="AP40" cm="1">
        <f t="array" ref="AP40">$E$10*(1+$AN40)+VLOOKUP($R40,武学奇术!$A:$ZZ,4,FALSE)+SUM(_xlfn.XLOOKUP($S40:$AG40,增益!$A:$A,增益!$D:$D,0))-$I$2</f>
        <v>6112.4</v>
      </c>
      <c r="AQ40" s="32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0.1925</v>
      </c>
      <c r="AR40" s="32" cm="1">
        <f t="array" ref="AR40">$G$10+VLOOKUP($R40,武学奇术!$A:$ZZ,7,FALSE)+SUM(_xlfn.XLOOKUP(S40:AG40,增益!$A:$A,增益!$G:$G,0))</f>
        <v>0</v>
      </c>
      <c r="AS40" s="24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32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2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2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2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2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2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2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2" cm="1">
        <f t="array" ref="BI40">$G$14+VLOOKUP($R40,武学奇术!$A:$ZZ,16,FALSE)+SUM(_xlfn.XLOOKUP(S40:AG40,增益!$A:$A,增益!$P:$P,0))</f>
        <v>0</v>
      </c>
      <c r="BJ40" s="24">
        <f>MIN(IF(VLOOKUP($R40,武学奇术!$A:$ZZ,23,FALSE)=1,100%,$B$8),100%)</f>
        <v>0.8271</v>
      </c>
      <c r="BK40" s="24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4" cm="1">
        <f t="array" ref="BL40">1+$B$13+VLOOKUP($R40,武学奇术!$A:$ZZ,18,FALSE)+SUM(_xlfn.XLOOKUP(S40:AG40,增益!$A:$A,增益!$R:$R,0))</f>
        <v>1.5</v>
      </c>
      <c r="BM40" s="24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4" cm="1">
        <f t="array" ref="BN40">1+$B$14+VLOOKUP($R40,武学奇术!$A:$ZZ,20,FALSE)+SUM(_xlfn.XLOOKUP(S40:AG40,增益!$A:$A,增益!$T:$T,0))</f>
        <v>2.062</v>
      </c>
      <c r="BO40" s="24">
        <f t="shared" si="9"/>
        <v>0</v>
      </c>
      <c r="BP40" s="24">
        <f t="shared" si="10"/>
        <v>0</v>
      </c>
      <c r="BQ40" s="24">
        <f>IF(VLOOKUP($R40,武学奇术!$A:$ZZ,22,FALSE)=1,0,(1-$BJ40))*(1-$BM40)</f>
        <v>0</v>
      </c>
      <c r="BR40" s="24" cm="1">
        <f t="array" ref="BR40">SUM(_xlfn.XLOOKUP(S40:AG40,增益!$A:$A,增益!$W:$W,0))+$I$5</f>
        <v>0.31</v>
      </c>
    </row>
    <row r="41" spans="1:70">
      <c r="A41" s="86" t="s">
        <v>150</v>
      </c>
      <c r="B41" s="86">
        <v>2.33</v>
      </c>
      <c r="C41" s="38"/>
      <c r="K41" s="30">
        <f>$L41*VLOOKUP($R41,武学奇术!$A:$ZZ,31,FALSE)</f>
        <v>223820.927302502</v>
      </c>
      <c r="L41" s="30">
        <f t="shared" si="0"/>
        <v>203473.570275002</v>
      </c>
      <c r="M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161646.924105439</v>
      </c>
      <c r="N41" s="30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315974.431955891</v>
      </c>
      <c r="O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107764.616070292</v>
      </c>
      <c r="P41" s="30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54482.1210519552</v>
      </c>
      <c r="Q41" s="38">
        <v>1</v>
      </c>
      <c r="R41" s="39" t="s">
        <v>96</v>
      </c>
      <c r="S41" s="39" t="s">
        <v>143</v>
      </c>
      <c r="T41" s="39" t="s">
        <v>75</v>
      </c>
      <c r="U41" s="39" t="s">
        <v>114</v>
      </c>
      <c r="V41" s="39" t="s">
        <v>75</v>
      </c>
      <c r="W41" s="39" t="s">
        <v>109</v>
      </c>
      <c r="X41" s="39" t="s">
        <v>97</v>
      </c>
      <c r="Y41" s="39" t="s">
        <v>80</v>
      </c>
      <c r="Z41" s="39" t="s">
        <v>98</v>
      </c>
      <c r="AA41" s="39" t="s">
        <v>103</v>
      </c>
      <c r="AB41" s="39" t="s">
        <v>75</v>
      </c>
      <c r="AC41" s="39" t="s">
        <v>75</v>
      </c>
      <c r="AD41" s="39" t="s">
        <v>75</v>
      </c>
      <c r="AE41" s="39" t="s">
        <v>75</v>
      </c>
      <c r="AF41" s="39" t="s">
        <v>75</v>
      </c>
      <c r="AG41" s="39" t="s">
        <v>76</v>
      </c>
      <c r="AH41" t="str">
        <f>VLOOKUP($R41,武学奇术!$A:$ZZ,25,FALSE)</f>
        <v>剑</v>
      </c>
      <c r="AI41" s="24">
        <f>VLOOKUP($R41,武学奇术!$A:$ZZ,26,FALSE)</f>
        <v>4.7037</v>
      </c>
      <c r="AJ41" s="25">
        <f>VLOOKUP($R41,武学奇术!$A:$ZZ,27,FALSE)*(1+IF(OR($AH41=$F$4,$AH41=$F$5),$B$22,0))</f>
        <v>1820</v>
      </c>
      <c r="AK41" s="24">
        <f>VLOOKUP($R41,武学奇术!$A:$ZZ,28,FALSE)</f>
        <v>7.0554</v>
      </c>
      <c r="AL41" s="25">
        <f>VLOOKUP($R41,武学奇术!$A:$ZZ,29,FALSE)*(1+IF(OR($AH41=$F$4,$AH41=$F$5),$B$22,0))</f>
        <v>992.6</v>
      </c>
      <c r="AM41" s="24" cm="1">
        <f t="array" ref="AM41">$G$3+IFERROR(VLOOKUP($AH41,$F$4:$G$7,2,FALSE),0)+VLOOKUP($R41,武学奇术!$A:$ZZ,2,FALSE)+SUM(_xlfn.XLOOKUP($S41:$AG41,增益!$A:$A,增益!$B:$B,0))</f>
        <v>1.3391</v>
      </c>
      <c r="AN41" s="24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1302.4</v>
      </c>
      <c r="AP41" cm="1">
        <f t="array" ref="AP41">$E$10*(1+$AN41)+VLOOKUP($R41,武学奇术!$A:$ZZ,4,FALSE)+SUM(_xlfn.XLOOKUP($S41:$AG41,增益!$A:$A,增益!$D:$D,0))-$I$2</f>
        <v>6112.4</v>
      </c>
      <c r="AQ41" s="32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0.1925</v>
      </c>
      <c r="AR41" s="32" cm="1">
        <f t="array" ref="AR41">$G$10+VLOOKUP($R41,武学奇术!$A:$ZZ,7,FALSE)+SUM(_xlfn.XLOOKUP(S41:AG41,增益!$A:$A,增益!$G:$G,0))</f>
        <v>0</v>
      </c>
      <c r="AS41" s="24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32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2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2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2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2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2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2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2" cm="1">
        <f t="array" ref="BI41">$G$14+VLOOKUP($R41,武学奇术!$A:$ZZ,16,FALSE)+SUM(_xlfn.XLOOKUP(S41:AG41,增益!$A:$A,增益!$P:$P,0))</f>
        <v>0</v>
      </c>
      <c r="BJ41" s="24">
        <f>MIN(IF(VLOOKUP($R41,武学奇术!$A:$ZZ,23,FALSE)=1,100%,$B$8),100%)</f>
        <v>0.8271</v>
      </c>
      <c r="BK41" s="24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0.1789</v>
      </c>
      <c r="BL41" s="24" cm="1">
        <f t="array" ref="BL41">1+$B$13+VLOOKUP($R41,武学奇术!$A:$ZZ,18,FALSE)+SUM(_xlfn.XLOOKUP(S41:AG41,增益!$A:$A,增益!$R:$R,0))</f>
        <v>1.5</v>
      </c>
      <c r="BM41" s="24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0.4459</v>
      </c>
      <c r="BN41" s="24" cm="1">
        <f t="array" ref="BN41">1+$B$14+VLOOKUP($R41,武学奇术!$A:$ZZ,20,FALSE)+SUM(_xlfn.XLOOKUP(S41:AG41,增益!$A:$A,增益!$T:$T,0))</f>
        <v>1.962</v>
      </c>
      <c r="BO41" s="24">
        <f t="shared" si="9"/>
        <v>0.14796819</v>
      </c>
      <c r="BP41" s="24">
        <f t="shared" si="10"/>
        <v>0.31032792</v>
      </c>
      <c r="BQ41" s="24">
        <f>IF(VLOOKUP($R41,武学奇术!$A:$ZZ,22,FALSE)=1,0,(1-$BJ41))*(1-$BM41)</f>
        <v>0.09580389</v>
      </c>
      <c r="BR41" s="24" cm="1">
        <f t="array" ref="BR41">SUM(_xlfn.XLOOKUP(S41:AG41,增益!$A:$A,增益!$W:$W,0))+$I$5</f>
        <v>0.11</v>
      </c>
    </row>
    <row r="42" spans="1:70">
      <c r="A42" s="86" t="s">
        <v>150</v>
      </c>
      <c r="B42" s="86">
        <v>2.33</v>
      </c>
      <c r="K42" s="30">
        <f>$L42*VLOOKUP($R42,武学奇术!$A:$ZZ,31,FALSE)</f>
        <v>517385.007367079</v>
      </c>
      <c r="L42" s="30">
        <f t="shared" si="0"/>
        <v>470350.006697345</v>
      </c>
      <c r="M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323293.848210877</v>
      </c>
      <c r="N42" s="30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664158.286129508</v>
      </c>
      <c r="O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215529.232140585</v>
      </c>
      <c r="P42" s="30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108964.24210391</v>
      </c>
      <c r="Q42" s="38">
        <v>2</v>
      </c>
      <c r="R42" s="39" t="s">
        <v>96</v>
      </c>
      <c r="S42" s="39" t="s">
        <v>143</v>
      </c>
      <c r="T42" s="39" t="s">
        <v>69</v>
      </c>
      <c r="U42" s="39" t="s">
        <v>73</v>
      </c>
      <c r="V42" s="39" t="s">
        <v>75</v>
      </c>
      <c r="W42" s="39" t="s">
        <v>109</v>
      </c>
      <c r="X42" s="39" t="s">
        <v>97</v>
      </c>
      <c r="Y42" s="39" t="s">
        <v>80</v>
      </c>
      <c r="Z42" s="39" t="s">
        <v>98</v>
      </c>
      <c r="AA42" s="39" t="s">
        <v>103</v>
      </c>
      <c r="AB42" s="39" t="s">
        <v>75</v>
      </c>
      <c r="AC42" s="39" t="s">
        <v>75</v>
      </c>
      <c r="AD42" s="39" t="s">
        <v>75</v>
      </c>
      <c r="AE42" s="39" t="s">
        <v>75</v>
      </c>
      <c r="AF42" s="39" t="s">
        <v>75</v>
      </c>
      <c r="AG42" s="39" t="s">
        <v>76</v>
      </c>
      <c r="AH42" t="str">
        <f>VLOOKUP($R42,武学奇术!$A:$ZZ,25,FALSE)</f>
        <v>剑</v>
      </c>
      <c r="AI42" s="24">
        <f>VLOOKUP($R42,武学奇术!$A:$ZZ,26,FALSE)</f>
        <v>4.7037</v>
      </c>
      <c r="AJ42" s="25">
        <f>VLOOKUP($R42,武学奇术!$A:$ZZ,27,FALSE)*(1+IF(OR($AH42=$F$4,$AH42=$F$5),$B$22,0))</f>
        <v>1820</v>
      </c>
      <c r="AK42" s="24">
        <f>VLOOKUP($R42,武学奇术!$A:$ZZ,28,FALSE)</f>
        <v>7.0554</v>
      </c>
      <c r="AL42" s="25">
        <f>VLOOKUP($R42,武学奇术!$A:$ZZ,29,FALSE)*(1+IF(OR($AH42=$F$4,$AH42=$F$5),$B$22,0))</f>
        <v>992.6</v>
      </c>
      <c r="AM42" s="24" cm="1">
        <f t="array" ref="AM42">$G$3+IFERROR(VLOOKUP($AH42,$F$4:$G$7,2,FALSE),0)+VLOOKUP($R42,武学奇术!$A:$ZZ,2,FALSE)+SUM(_xlfn.XLOOKUP($S42:$AG42,增益!$A:$A,增益!$B:$B,0))</f>
        <v>1.3391</v>
      </c>
      <c r="AN42" s="24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1302.4</v>
      </c>
      <c r="AP42" cm="1">
        <f t="array" ref="AP42">$E$10*(1+$AN42)+VLOOKUP($R42,武学奇术!$A:$ZZ,4,FALSE)+SUM(_xlfn.XLOOKUP($S42:$AG42,增益!$A:$A,增益!$D:$D,0))-$I$2</f>
        <v>6112.4</v>
      </c>
      <c r="AQ42" s="32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0.1925</v>
      </c>
      <c r="AR42" s="32" cm="1">
        <f t="array" ref="AR42">$G$10+VLOOKUP($R42,武学奇术!$A:$ZZ,7,FALSE)+SUM(_xlfn.XLOOKUP(S42:AG42,增益!$A:$A,增益!$G:$G,0))</f>
        <v>0</v>
      </c>
      <c r="AS42" s="24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32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2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2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2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2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2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2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2" cm="1">
        <f t="array" ref="BI42">$G$14+VLOOKUP($R42,武学奇术!$A:$ZZ,16,FALSE)+SUM(_xlfn.XLOOKUP(S42:AG42,增益!$A:$A,增益!$P:$P,0))</f>
        <v>0</v>
      </c>
      <c r="BJ42" s="24">
        <f>MIN(IF(VLOOKUP($R42,武学奇术!$A:$ZZ,23,FALSE)=1,100%,$B$8),100%)</f>
        <v>0.8271</v>
      </c>
      <c r="BK42" s="24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0.1789</v>
      </c>
      <c r="BL42" s="24" cm="1">
        <f t="array" ref="BL42">1+$B$13+VLOOKUP($R42,武学奇术!$A:$ZZ,18,FALSE)+SUM(_xlfn.XLOOKUP(S42:AG42,增益!$A:$A,增益!$R:$R,0))</f>
        <v>1.5</v>
      </c>
      <c r="BM42" s="24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0.5509</v>
      </c>
      <c r="BN42" s="24" cm="1">
        <f t="array" ref="BN42">1+$B$14+VLOOKUP($R42,武学奇术!$A:$ZZ,20,FALSE)+SUM(_xlfn.XLOOKUP(S42:AG42,增益!$A:$A,增益!$T:$T,0))</f>
        <v>2.062</v>
      </c>
      <c r="BO42" s="24">
        <f t="shared" si="9"/>
        <v>0.14796819</v>
      </c>
      <c r="BP42" s="24">
        <f t="shared" si="10"/>
        <v>0.22348242</v>
      </c>
      <c r="BQ42" s="24">
        <f>IF(VLOOKUP($R42,武学奇术!$A:$ZZ,22,FALSE)=1,0,(1-$BJ42))*(1-$BM42)</f>
        <v>0.07764939</v>
      </c>
      <c r="BR42" s="24" cm="1">
        <f t="array" ref="BR42">SUM(_xlfn.XLOOKUP(S42:AG42,增益!$A:$A,增益!$W:$W,0))+$I$5</f>
        <v>0.11</v>
      </c>
    </row>
    <row r="43" spans="1:70">
      <c r="A43" s="86" t="s">
        <v>150</v>
      </c>
      <c r="B43" s="86">
        <v>2.33</v>
      </c>
      <c r="K43" s="30">
        <f>$L43*VLOOKUP($R43,武学奇术!$A:$ZZ,31,FALSE)</f>
        <v>81608.0515521563</v>
      </c>
      <c r="L43" s="30">
        <f t="shared" si="0"/>
        <v>74189.1377746876</v>
      </c>
      <c r="M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53606.636838517</v>
      </c>
      <c r="N43" s="30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103445.890914523</v>
      </c>
      <c r="O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35737.7578923447</v>
      </c>
      <c r="P43" s="30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16509.5801234128</v>
      </c>
      <c r="Q43" s="38">
        <v>1</v>
      </c>
      <c r="R43" s="39" t="s">
        <v>144</v>
      </c>
      <c r="S43" s="39" t="s">
        <v>143</v>
      </c>
      <c r="T43" s="39" t="s">
        <v>69</v>
      </c>
      <c r="U43" s="39" t="s">
        <v>73</v>
      </c>
      <c r="V43" s="39" t="s">
        <v>74</v>
      </c>
      <c r="W43" s="39" t="s">
        <v>75</v>
      </c>
      <c r="X43" s="39" t="s">
        <v>75</v>
      </c>
      <c r="Y43" s="39" t="s">
        <v>75</v>
      </c>
      <c r="Z43" s="39" t="s">
        <v>75</v>
      </c>
      <c r="AA43" s="39" t="s">
        <v>103</v>
      </c>
      <c r="AB43" s="39" t="s">
        <v>75</v>
      </c>
      <c r="AC43" s="39" t="s">
        <v>75</v>
      </c>
      <c r="AD43" s="39" t="s">
        <v>75</v>
      </c>
      <c r="AE43" s="39" t="s">
        <v>75</v>
      </c>
      <c r="AF43" s="39" t="s">
        <v>75</v>
      </c>
      <c r="AG43" s="39" t="s">
        <v>76</v>
      </c>
      <c r="AH43" t="str">
        <f>VLOOKUP($R43,武学奇术!$A:$ZZ,25,FALSE)</f>
        <v>群体奇术</v>
      </c>
      <c r="AI43" s="24">
        <f>VLOOKUP($R43,武学奇术!$A:$ZZ,26,FALSE)</f>
        <v>3.9744</v>
      </c>
      <c r="AJ43" s="25">
        <f>VLOOKUP($R43,武学奇术!$A:$ZZ,27,FALSE)*(1+IF(OR($AH43=$F$4,$AH43=$F$5),$B$22,0))</f>
        <v>982</v>
      </c>
      <c r="AK43" s="24">
        <f>VLOOKUP($R43,武学奇术!$A:$ZZ,28,FALSE)</f>
        <v>5.9613</v>
      </c>
      <c r="AL43" s="25">
        <f>VLOOKUP($R43,武学奇术!$A:$ZZ,29,FALSE)*(1+IF(OR($AH43=$F$4,$AH43=$F$5),$B$22,0))</f>
        <v>0</v>
      </c>
      <c r="AM43" s="24" cm="1">
        <f t="array" ref="AM43">$G$3+IFERROR(VLOOKUP($AH43,$F$4:$G$7,2,FALSE),0)+VLOOKUP($R43,武学奇术!$A:$ZZ,2,FALSE)+SUM(_xlfn.XLOOKUP($S43:$AG43,增益!$A:$A,增益!$B:$B,0))</f>
        <v>0.3187</v>
      </c>
      <c r="AN43" s="24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1302.4</v>
      </c>
      <c r="AP43" cm="1">
        <f t="array" ref="AP43">$E$10*(1+$AN43)+VLOOKUP($R43,武学奇术!$A:$ZZ,4,FALSE)+SUM(_xlfn.XLOOKUP($S43:$AG43,增益!$A:$A,增益!$D:$D,0))-$I$2</f>
        <v>6112.4</v>
      </c>
      <c r="AQ43" s="32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0.1925</v>
      </c>
      <c r="AR43" s="32" cm="1">
        <f t="array" ref="AR43">$G$10+VLOOKUP($R43,武学奇术!$A:$ZZ,7,FALSE)+SUM(_xlfn.XLOOKUP(S43:AG43,增益!$A:$A,增益!$G:$G,0))</f>
        <v>0</v>
      </c>
      <c r="AS43" s="24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32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2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2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2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2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2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2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2" cm="1">
        <f t="array" ref="BI43">$G$14+VLOOKUP($R43,武学奇术!$A:$ZZ,16,FALSE)+SUM(_xlfn.XLOOKUP(S43:AG43,增益!$A:$A,增益!$P:$P,0))</f>
        <v>0</v>
      </c>
      <c r="BJ43" s="24">
        <f>MIN(IF(VLOOKUP($R43,武学奇术!$A:$ZZ,23,FALSE)=1,100%,$B$8),100%)</f>
        <v>0.8271</v>
      </c>
      <c r="BK43" s="24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0.1789</v>
      </c>
      <c r="BL43" s="24" cm="1">
        <f t="array" ref="BL43">1+$B$13+VLOOKUP($R43,武学奇术!$A:$ZZ,18,FALSE)+SUM(_xlfn.XLOOKUP(S43:AG43,增益!$A:$A,增益!$R:$R,0))</f>
        <v>1.5</v>
      </c>
      <c r="BM43" s="24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0.5509</v>
      </c>
      <c r="BN43" s="24" cm="1">
        <f t="array" ref="BN43">1+$B$14+VLOOKUP($R43,武学奇术!$A:$ZZ,20,FALSE)+SUM(_xlfn.XLOOKUP(S43:AG43,增益!$A:$A,增益!$T:$T,0))</f>
        <v>1.882</v>
      </c>
      <c r="BO43" s="24">
        <f t="shared" si="9"/>
        <v>0.14796819</v>
      </c>
      <c r="BP43" s="24">
        <f t="shared" si="10"/>
        <v>0.22348242</v>
      </c>
      <c r="BQ43" s="24">
        <f>IF(VLOOKUP($R43,武学奇术!$A:$ZZ,22,FALSE)=1,0,(1-$BJ43))*(1-$BM43)</f>
        <v>0.07764939</v>
      </c>
      <c r="BR43" s="24" cm="1">
        <f t="array" ref="BR43">SUM(_xlfn.XLOOKUP(S43:AG43,增益!$A:$A,增益!$W:$W,0))+$I$5</f>
        <v>0.11</v>
      </c>
    </row>
    <row r="44" spans="1:70">
      <c r="A44" s="86" t="s">
        <v>145</v>
      </c>
      <c r="B44" s="86">
        <v>1.1</v>
      </c>
      <c r="K44" s="30">
        <f>$L44*VLOOKUP($R44,武学奇术!$A:$ZZ,31,FALSE)</f>
        <v>25960.5401547536</v>
      </c>
      <c r="L44" s="30">
        <f t="shared" si="0"/>
        <v>23600.491049776</v>
      </c>
      <c r="M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17052.7668875903</v>
      </c>
      <c r="N44" s="30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32907.5659590952</v>
      </c>
      <c r="O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11368.5112583935</v>
      </c>
      <c r="P44" s="30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5251.59958421786</v>
      </c>
      <c r="Q44" s="38">
        <v>1</v>
      </c>
      <c r="R44" s="39" t="s">
        <v>71</v>
      </c>
      <c r="S44" s="39" t="s">
        <v>143</v>
      </c>
      <c r="T44" s="39" t="s">
        <v>69</v>
      </c>
      <c r="U44" s="39" t="s">
        <v>73</v>
      </c>
      <c r="V44" s="39" t="s">
        <v>75</v>
      </c>
      <c r="W44" s="39" t="s">
        <v>75</v>
      </c>
      <c r="X44" s="39" t="s">
        <v>75</v>
      </c>
      <c r="Y44" s="39" t="s">
        <v>75</v>
      </c>
      <c r="Z44" s="39" t="s">
        <v>75</v>
      </c>
      <c r="AA44" s="39" t="s">
        <v>103</v>
      </c>
      <c r="AB44" s="39" t="s">
        <v>75</v>
      </c>
      <c r="AC44" s="39" t="s">
        <v>75</v>
      </c>
      <c r="AD44" s="39" t="s">
        <v>75</v>
      </c>
      <c r="AE44" s="39" t="s">
        <v>75</v>
      </c>
      <c r="AF44" s="39" t="s">
        <v>75</v>
      </c>
      <c r="AG44" s="39" t="s">
        <v>76</v>
      </c>
      <c r="AH44" t="str">
        <f>VLOOKUP($R44,武学奇术!$A:$ZZ,25,FALSE)</f>
        <v>群体奇术</v>
      </c>
      <c r="AI44" s="24">
        <f>VLOOKUP($R44,武学奇术!$A:$ZZ,26,FALSE)</f>
        <v>1.4904</v>
      </c>
      <c r="AJ44" s="25">
        <f>VLOOKUP($R44,武学奇术!$A:$ZZ,27,FALSE)*(1+IF(OR($AH44=$F$4,$AH44=$F$5),$B$22,0))</f>
        <v>368</v>
      </c>
      <c r="AK44" s="24">
        <f>VLOOKUP($R44,武学奇术!$A:$ZZ,28,FALSE)</f>
        <v>2.2353</v>
      </c>
      <c r="AL44" s="25">
        <f>VLOOKUP($R44,武学奇术!$A:$ZZ,29,FALSE)*(1+IF(OR($AH44=$F$4,$AH44=$F$5),$B$22,0))</f>
        <v>0</v>
      </c>
      <c r="AM44" s="24" cm="1">
        <f t="array" ref="AM44">$G$3+IFERROR(VLOOKUP($AH44,$F$4:$G$7,2,FALSE),0)+VLOOKUP($R44,武学奇术!$A:$ZZ,2,FALSE)+SUM(_xlfn.XLOOKUP($S44:$AG44,增益!$A:$A,增益!$B:$B,0))</f>
        <v>0.1187</v>
      </c>
      <c r="AN44" s="24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1302.4</v>
      </c>
      <c r="AP44" cm="1">
        <f t="array" ref="AP44">$E$10*(1+$AN44)+VLOOKUP($R44,武学奇术!$A:$ZZ,4,FALSE)+SUM(_xlfn.XLOOKUP($S44:$AG44,增益!$A:$A,增益!$D:$D,0))-$I$2</f>
        <v>6112.4</v>
      </c>
      <c r="AQ44" s="32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0.1925</v>
      </c>
      <c r="AR44" s="32" cm="1">
        <f t="array" ref="AR44">$G$10+VLOOKUP($R44,武学奇术!$A:$ZZ,7,FALSE)+SUM(_xlfn.XLOOKUP(S44:AG44,增益!$A:$A,增益!$G:$G,0))</f>
        <v>0</v>
      </c>
      <c r="AS44" s="24" cm="1">
        <f t="array" ref="AS44">VLOOKUP($R44,武学奇术!$A:$ZZ,8,FALSE)+SUM(_xlfn.XLOOKUP(S44:AG44,增益!$A:$A,增益!$H:$H,0))</f>
        <v>0</v>
      </c>
      <c r="AT44">
        <f t="shared" si="1"/>
        <v>557.3</v>
      </c>
      <c r="AU44">
        <f t="shared" si="2"/>
        <v>1049.5</v>
      </c>
      <c r="AV44" s="32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2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2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2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2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2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2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2" cm="1">
        <f t="array" ref="BI44">$G$14+VLOOKUP($R44,武学奇术!$A:$ZZ,16,FALSE)+SUM(_xlfn.XLOOKUP(S44:AG44,增益!$A:$A,增益!$P:$P,0))</f>
        <v>0</v>
      </c>
      <c r="BJ44" s="24">
        <f>MIN(IF(VLOOKUP($R44,武学奇术!$A:$ZZ,23,FALSE)=1,100%,$B$8),100%)</f>
        <v>0.8271</v>
      </c>
      <c r="BK44" s="24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0.1789</v>
      </c>
      <c r="BL44" s="24" cm="1">
        <f t="array" ref="BL44">1+$B$13+VLOOKUP($R44,武学奇术!$A:$ZZ,18,FALSE)+SUM(_xlfn.XLOOKUP(S44:AG44,增益!$A:$A,增益!$R:$R,0))</f>
        <v>1.5</v>
      </c>
      <c r="BM44" s="24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0.5509</v>
      </c>
      <c r="BN44" s="24" cm="1">
        <f t="array" ref="BN44">1+$B$14+VLOOKUP($R44,武学奇术!$A:$ZZ,20,FALSE)+SUM(_xlfn.XLOOKUP(S44:AG44,增益!$A:$A,增益!$T:$T,0))</f>
        <v>1.882</v>
      </c>
      <c r="BO44" s="24">
        <f t="shared" si="9"/>
        <v>0.14796819</v>
      </c>
      <c r="BP44" s="24">
        <f t="shared" si="10"/>
        <v>0.22348242</v>
      </c>
      <c r="BQ44" s="24">
        <f>IF(VLOOKUP($R44,武学奇术!$A:$ZZ,22,FALSE)=1,0,(1-$BJ44))*(1-$BM44)</f>
        <v>0.07764939</v>
      </c>
      <c r="BR44" s="24" cm="1">
        <f t="array" ref="BR44">SUM(_xlfn.XLOOKUP(S44:AG44,增益!$A:$A,增益!$W:$W,0))+$I$5</f>
        <v>0.11</v>
      </c>
    </row>
    <row r="45" spans="1:70">
      <c r="A45" s="86" t="s">
        <v>150</v>
      </c>
      <c r="B45" s="86">
        <v>2.33</v>
      </c>
      <c r="C45" s="38" t="s">
        <v>73</v>
      </c>
      <c r="K45" s="30">
        <f>$L45*VLOOKUP($R45,武学奇术!$A:$ZZ,31,FALSE)</f>
        <v>30601.7380013173</v>
      </c>
      <c r="L45" s="30">
        <f t="shared" si="0"/>
        <v>27819.7618193793</v>
      </c>
      <c r="M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20101.4424731075</v>
      </c>
      <c r="N45" s="30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38790.7457140063</v>
      </c>
      <c r="O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13400.9616487383</v>
      </c>
      <c r="P45" s="30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6190.47499035317</v>
      </c>
      <c r="Q45" s="38">
        <v>1</v>
      </c>
      <c r="R45" s="39" t="s">
        <v>71</v>
      </c>
      <c r="S45" s="39" t="s">
        <v>143</v>
      </c>
      <c r="T45" s="39" t="s">
        <v>69</v>
      </c>
      <c r="U45" s="39" t="s">
        <v>73</v>
      </c>
      <c r="V45" s="39" t="s">
        <v>74</v>
      </c>
      <c r="W45" s="39" t="s">
        <v>75</v>
      </c>
      <c r="X45" s="39" t="s">
        <v>75</v>
      </c>
      <c r="Y45" s="39" t="s">
        <v>75</v>
      </c>
      <c r="Z45" s="39" t="s">
        <v>75</v>
      </c>
      <c r="AA45" s="39" t="s">
        <v>103</v>
      </c>
      <c r="AB45" s="39" t="s">
        <v>75</v>
      </c>
      <c r="AC45" s="39" t="s">
        <v>75</v>
      </c>
      <c r="AD45" s="39" t="s">
        <v>75</v>
      </c>
      <c r="AE45" s="39" t="s">
        <v>75</v>
      </c>
      <c r="AF45" s="39" t="s">
        <v>75</v>
      </c>
      <c r="AG45" s="39" t="s">
        <v>76</v>
      </c>
      <c r="AH45" t="str">
        <f>VLOOKUP($R45,武学奇术!$A:$ZZ,25,FALSE)</f>
        <v>群体奇术</v>
      </c>
      <c r="AI45" s="24">
        <f>VLOOKUP($R45,武学奇术!$A:$ZZ,26,FALSE)</f>
        <v>1.4904</v>
      </c>
      <c r="AJ45" s="25">
        <f>VLOOKUP($R45,武学奇术!$A:$ZZ,27,FALSE)*(1+IF(OR($AH45=$F$4,$AH45=$F$5),$B$22,0))</f>
        <v>368</v>
      </c>
      <c r="AK45" s="24">
        <f>VLOOKUP($R45,武学奇术!$A:$ZZ,28,FALSE)</f>
        <v>2.2353</v>
      </c>
      <c r="AL45" s="25">
        <f>VLOOKUP($R45,武学奇术!$A:$ZZ,29,FALSE)*(1+IF(OR($AH45=$F$4,$AH45=$F$5),$B$22,0))</f>
        <v>0</v>
      </c>
      <c r="AM45" s="24" cm="1">
        <f t="array" ref="AM45">$G$3+IFERROR(VLOOKUP($AH45,$F$4:$G$7,2,FALSE),0)+VLOOKUP($R45,武学奇术!$A:$ZZ,2,FALSE)+SUM(_xlfn.XLOOKUP($S45:$AG45,增益!$A:$A,增益!$B:$B,0))</f>
        <v>0.3187</v>
      </c>
      <c r="AN45" s="24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1302.4</v>
      </c>
      <c r="AP45" cm="1">
        <f t="array" ref="AP45">$E$10*(1+$AN45)+VLOOKUP($R45,武学奇术!$A:$ZZ,4,FALSE)+SUM(_xlfn.XLOOKUP($S45:$AG45,增益!$A:$A,增益!$D:$D,0))-$I$2</f>
        <v>6112.4</v>
      </c>
      <c r="AQ45" s="32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0.1925</v>
      </c>
      <c r="AR45" s="32" cm="1">
        <f t="array" ref="AR45">$G$10+VLOOKUP($R45,武学奇术!$A:$ZZ,7,FALSE)+SUM(_xlfn.XLOOKUP(S45:AG45,增益!$A:$A,增益!$G:$G,0))</f>
        <v>0</v>
      </c>
      <c r="AS45" s="24" cm="1">
        <f t="array" ref="AS45">VLOOKUP($R45,武学奇术!$A:$ZZ,8,FALSE)+SUM(_xlfn.XLOOKUP(S45:AG45,增益!$A:$A,增益!$H:$H,0))</f>
        <v>0</v>
      </c>
      <c r="AT45">
        <f t="shared" si="1"/>
        <v>557.3</v>
      </c>
      <c r="AU45">
        <f t="shared" si="2"/>
        <v>1049.5</v>
      </c>
      <c r="AV45" s="32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2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2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2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2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2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2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2" cm="1">
        <f t="array" ref="BI45">$G$14+VLOOKUP($R45,武学奇术!$A:$ZZ,16,FALSE)+SUM(_xlfn.XLOOKUP(S45:AG45,增益!$A:$A,增益!$P:$P,0))</f>
        <v>0</v>
      </c>
      <c r="BJ45" s="24">
        <f>MIN(IF(VLOOKUP($R45,武学奇术!$A:$ZZ,23,FALSE)=1,100%,$B$8),100%)</f>
        <v>0.8271</v>
      </c>
      <c r="BK45" s="24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0.1789</v>
      </c>
      <c r="BL45" s="24" cm="1">
        <f t="array" ref="BL45">1+$B$13+VLOOKUP($R45,武学奇术!$A:$ZZ,18,FALSE)+SUM(_xlfn.XLOOKUP(S45:AG45,增益!$A:$A,增益!$R:$R,0))</f>
        <v>1.5</v>
      </c>
      <c r="BM45" s="24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0.5509</v>
      </c>
      <c r="BN45" s="24" cm="1">
        <f t="array" ref="BN45">1+$B$14+VLOOKUP($R45,武学奇术!$A:$ZZ,20,FALSE)+SUM(_xlfn.XLOOKUP(S45:AG45,增益!$A:$A,增益!$T:$T,0))</f>
        <v>1.882</v>
      </c>
      <c r="BO45" s="24">
        <f t="shared" si="9"/>
        <v>0.14796819</v>
      </c>
      <c r="BP45" s="24">
        <f t="shared" si="10"/>
        <v>0.22348242</v>
      </c>
      <c r="BQ45" s="24">
        <f>IF(VLOOKUP($R45,武学奇术!$A:$ZZ,22,FALSE)=1,0,(1-$BJ45))*(1-$BM45)</f>
        <v>0.07764939</v>
      </c>
      <c r="BR45" s="24" cm="1">
        <f t="array" ref="BR45">SUM(_xlfn.XLOOKUP(S45:AG45,增益!$A:$A,增益!$W:$W,0))+$I$5</f>
        <v>0.11</v>
      </c>
    </row>
    <row r="46" spans="1:70">
      <c r="A46" s="86" t="s">
        <v>150</v>
      </c>
      <c r="B46" s="86">
        <v>2.33</v>
      </c>
      <c r="C46" s="38"/>
      <c r="K46" s="30">
        <f>$L46*VLOOKUP($R46,武学奇术!$A:$ZZ,31,FALSE)</f>
        <v>91805.2140039518</v>
      </c>
      <c r="L46" s="30">
        <f t="shared" si="0"/>
        <v>83459.285458138</v>
      </c>
      <c r="M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60304.3274193224</v>
      </c>
      <c r="N46" s="30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116372.237142019</v>
      </c>
      <c r="O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40202.8849462149</v>
      </c>
      <c r="P46" s="30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18571.4249710595</v>
      </c>
      <c r="Q46" s="38">
        <v>3</v>
      </c>
      <c r="R46" s="39" t="s">
        <v>71</v>
      </c>
      <c r="S46" s="39" t="s">
        <v>143</v>
      </c>
      <c r="T46" s="39" t="s">
        <v>69</v>
      </c>
      <c r="U46" s="39" t="s">
        <v>73</v>
      </c>
      <c r="V46" s="39" t="s">
        <v>74</v>
      </c>
      <c r="W46" s="39" t="s">
        <v>75</v>
      </c>
      <c r="X46" s="39" t="s">
        <v>75</v>
      </c>
      <c r="Y46" s="39" t="s">
        <v>75</v>
      </c>
      <c r="Z46" s="39" t="s">
        <v>75</v>
      </c>
      <c r="AA46" s="39" t="s">
        <v>103</v>
      </c>
      <c r="AB46" s="39" t="s">
        <v>75</v>
      </c>
      <c r="AC46" s="39" t="s">
        <v>75</v>
      </c>
      <c r="AD46" s="39" t="s">
        <v>75</v>
      </c>
      <c r="AE46" s="39" t="s">
        <v>75</v>
      </c>
      <c r="AF46" s="39" t="s">
        <v>75</v>
      </c>
      <c r="AG46" s="39" t="s">
        <v>76</v>
      </c>
      <c r="AH46" t="str">
        <f>VLOOKUP($R46,武学奇术!$A:$ZZ,25,FALSE)</f>
        <v>群体奇术</v>
      </c>
      <c r="AI46" s="24">
        <f>VLOOKUP($R46,武学奇术!$A:$ZZ,26,FALSE)</f>
        <v>1.4904</v>
      </c>
      <c r="AJ46" s="25">
        <f>VLOOKUP($R46,武学奇术!$A:$ZZ,27,FALSE)*(1+IF(OR($AH46=$F$4,$AH46=$F$5),$B$22,0))</f>
        <v>368</v>
      </c>
      <c r="AK46" s="24">
        <f>VLOOKUP($R46,武学奇术!$A:$ZZ,28,FALSE)</f>
        <v>2.2353</v>
      </c>
      <c r="AL46" s="25">
        <f>VLOOKUP($R46,武学奇术!$A:$ZZ,29,FALSE)*(1+IF(OR($AH46=$F$4,$AH46=$F$5),$B$22,0))</f>
        <v>0</v>
      </c>
      <c r="AM46" s="24" cm="1">
        <f t="array" ref="AM46">$G$3+IFERROR(VLOOKUP($AH46,$F$4:$G$7,2,FALSE),0)+VLOOKUP($R46,武学奇术!$A:$ZZ,2,FALSE)+SUM(_xlfn.XLOOKUP($S46:$AG46,增益!$A:$A,增益!$B:$B,0))</f>
        <v>0.3187</v>
      </c>
      <c r="AN46" s="24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1302.4</v>
      </c>
      <c r="AP46" cm="1">
        <f t="array" ref="AP46">$E$10*(1+$AN46)+VLOOKUP($R46,武学奇术!$A:$ZZ,4,FALSE)+SUM(_xlfn.XLOOKUP($S46:$AG46,增益!$A:$A,增益!$D:$D,0))-$I$2</f>
        <v>6112.4</v>
      </c>
      <c r="AQ46" s="32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0.1925</v>
      </c>
      <c r="AR46" s="32" cm="1">
        <f t="array" ref="AR46">$G$10+VLOOKUP($R46,武学奇术!$A:$ZZ,7,FALSE)+SUM(_xlfn.XLOOKUP(S46:AG46,增益!$A:$A,增益!$G:$G,0))</f>
        <v>0</v>
      </c>
      <c r="AS46" s="24" cm="1">
        <f t="array" ref="AS46">VLOOKUP($R46,武学奇术!$A:$ZZ,8,FALSE)+SUM(_xlfn.XLOOKUP(S46:AG46,增益!$A:$A,增益!$H:$H,0))</f>
        <v>0</v>
      </c>
      <c r="AT46">
        <f t="shared" si="1"/>
        <v>557.3</v>
      </c>
      <c r="AU46">
        <f t="shared" si="2"/>
        <v>1049.5</v>
      </c>
      <c r="AV46" s="32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2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2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2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2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2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2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2" cm="1">
        <f t="array" ref="BI46">$G$14+VLOOKUP($R46,武学奇术!$A:$ZZ,16,FALSE)+SUM(_xlfn.XLOOKUP(S46:AG46,增益!$A:$A,增益!$P:$P,0))</f>
        <v>0</v>
      </c>
      <c r="BJ46" s="24">
        <f>MIN(IF(VLOOKUP($R46,武学奇术!$A:$ZZ,23,FALSE)=1,100%,$B$8),100%)</f>
        <v>0.8271</v>
      </c>
      <c r="BK46" s="24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0.1789</v>
      </c>
      <c r="BL46" s="24" cm="1">
        <f t="array" ref="BL46">1+$B$13+VLOOKUP($R46,武学奇术!$A:$ZZ,18,FALSE)+SUM(_xlfn.XLOOKUP(S46:AG46,增益!$A:$A,增益!$R:$R,0))</f>
        <v>1.5</v>
      </c>
      <c r="BM46" s="24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0.5509</v>
      </c>
      <c r="BN46" s="24" cm="1">
        <f t="array" ref="BN46">1+$B$14+VLOOKUP($R46,武学奇术!$A:$ZZ,20,FALSE)+SUM(_xlfn.XLOOKUP(S46:AG46,增益!$A:$A,增益!$T:$T,0))</f>
        <v>1.882</v>
      </c>
      <c r="BO46" s="24">
        <f t="shared" si="9"/>
        <v>0.14796819</v>
      </c>
      <c r="BP46" s="24">
        <f t="shared" si="10"/>
        <v>0.22348242</v>
      </c>
      <c r="BQ46" s="24">
        <f>IF(VLOOKUP($R46,武学奇术!$A:$ZZ,22,FALSE)=1,0,(1-$BJ46))*(1-$BM46)</f>
        <v>0.07764939</v>
      </c>
      <c r="BR46" s="24" cm="1">
        <f t="array" ref="BR46">SUM(_xlfn.XLOOKUP(S46:AG46,增益!$A:$A,增益!$W:$W,0))+$I$5</f>
        <v>0.11</v>
      </c>
    </row>
    <row r="47" spans="1:70">
      <c r="A47" s="86" t="s">
        <v>146</v>
      </c>
      <c r="B47" s="86">
        <v>3.5</v>
      </c>
      <c r="C47" s="38"/>
      <c r="K47" s="30">
        <f>$L47*VLOOKUP($R47,武学奇术!$A:$ZZ,31,FALSE)</f>
        <v>26514.2539557191</v>
      </c>
      <c r="L47" s="30">
        <f t="shared" si="0"/>
        <v>24103.8672324719</v>
      </c>
      <c r="M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20101.4424731075</v>
      </c>
      <c r="N47" s="30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36729.600883294</v>
      </c>
      <c r="O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13400.9616487383</v>
      </c>
      <c r="P47" s="30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6190.47499035317</v>
      </c>
      <c r="Q47" s="38">
        <v>1</v>
      </c>
      <c r="R47" s="39" t="s">
        <v>71</v>
      </c>
      <c r="S47" s="39" t="s">
        <v>143</v>
      </c>
      <c r="T47" s="39" t="s">
        <v>75</v>
      </c>
      <c r="U47" s="39" t="s">
        <v>114</v>
      </c>
      <c r="V47" s="39" t="s">
        <v>74</v>
      </c>
      <c r="W47" s="39" t="s">
        <v>75</v>
      </c>
      <c r="X47" s="39" t="s">
        <v>75</v>
      </c>
      <c r="Y47" s="39" t="s">
        <v>75</v>
      </c>
      <c r="Z47" s="39" t="s">
        <v>75</v>
      </c>
      <c r="AA47" s="39" t="s">
        <v>103</v>
      </c>
      <c r="AB47" s="39" t="s">
        <v>75</v>
      </c>
      <c r="AC47" s="39" t="s">
        <v>75</v>
      </c>
      <c r="AD47" s="39" t="s">
        <v>75</v>
      </c>
      <c r="AE47" s="39" t="s">
        <v>75</v>
      </c>
      <c r="AF47" s="39" t="s">
        <v>75</v>
      </c>
      <c r="AG47" s="39" t="s">
        <v>76</v>
      </c>
      <c r="AH47" t="str">
        <f>VLOOKUP($R47,武学奇术!$A:$ZZ,25,FALSE)</f>
        <v>群体奇术</v>
      </c>
      <c r="AI47" s="24">
        <f>VLOOKUP($R47,武学奇术!$A:$ZZ,26,FALSE)</f>
        <v>1.4904</v>
      </c>
      <c r="AJ47" s="25">
        <f>VLOOKUP($R47,武学奇术!$A:$ZZ,27,FALSE)*(1+IF(OR($AH47=$F$4,$AH47=$F$5),$B$22,0))</f>
        <v>368</v>
      </c>
      <c r="AK47" s="24">
        <f>VLOOKUP($R47,武学奇术!$A:$ZZ,28,FALSE)</f>
        <v>2.2353</v>
      </c>
      <c r="AL47" s="25">
        <f>VLOOKUP($R47,武学奇术!$A:$ZZ,29,FALSE)*(1+IF(OR($AH47=$F$4,$AH47=$F$5),$B$22,0))</f>
        <v>0</v>
      </c>
      <c r="AM47" s="24" cm="1">
        <f t="array" ref="AM47">$G$3+IFERROR(VLOOKUP($AH47,$F$4:$G$7,2,FALSE),0)+VLOOKUP($R47,武学奇术!$A:$ZZ,2,FALSE)+SUM(_xlfn.XLOOKUP($S47:$AG47,增益!$A:$A,增益!$B:$B,0))</f>
        <v>0.3187</v>
      </c>
      <c r="AN47" s="24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1302.4</v>
      </c>
      <c r="AP47" cm="1">
        <f t="array" ref="AP47">$E$10*(1+$AN47)+VLOOKUP($R47,武学奇术!$A:$ZZ,4,FALSE)+SUM(_xlfn.XLOOKUP($S47:$AG47,增益!$A:$A,增益!$D:$D,0))-$I$2</f>
        <v>6112.4</v>
      </c>
      <c r="AQ47" s="32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0.1925</v>
      </c>
      <c r="AR47" s="32" cm="1">
        <f t="array" ref="AR47">$G$10+VLOOKUP($R47,武学奇术!$A:$ZZ,7,FALSE)+SUM(_xlfn.XLOOKUP(S47:AG47,增益!$A:$A,增益!$G:$G,0))</f>
        <v>0</v>
      </c>
      <c r="AS47" s="24" cm="1">
        <f t="array" ref="AS47">VLOOKUP($R47,武学奇术!$A:$ZZ,8,FALSE)+SUM(_xlfn.XLOOKUP(S47:AG47,增益!$A:$A,增益!$H:$H,0))</f>
        <v>0</v>
      </c>
      <c r="AT47">
        <f t="shared" si="1"/>
        <v>557.3</v>
      </c>
      <c r="AU47">
        <f t="shared" si="2"/>
        <v>1049.5</v>
      </c>
      <c r="AV47" s="32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2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2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2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2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2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2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2" cm="1">
        <f t="array" ref="BI47">$G$14+VLOOKUP($R47,武学奇术!$A:$ZZ,16,FALSE)+SUM(_xlfn.XLOOKUP(S47:AG47,增益!$A:$A,增益!$P:$P,0))</f>
        <v>0</v>
      </c>
      <c r="BJ47" s="24">
        <f>MIN(IF(VLOOKUP($R47,武学奇术!$A:$ZZ,23,FALSE)=1,100%,$B$8),100%)</f>
        <v>0.8271</v>
      </c>
      <c r="BK47" s="24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0.1789</v>
      </c>
      <c r="BL47" s="24" cm="1">
        <f t="array" ref="BL47">1+$B$13+VLOOKUP($R47,武学奇术!$A:$ZZ,18,FALSE)+SUM(_xlfn.XLOOKUP(S47:AG47,增益!$A:$A,增益!$R:$R,0))</f>
        <v>1.5</v>
      </c>
      <c r="BM47" s="24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4" cm="1">
        <f t="array" ref="BN47">1+$B$14+VLOOKUP($R47,武学奇术!$A:$ZZ,20,FALSE)+SUM(_xlfn.XLOOKUP(S47:AG47,增益!$A:$A,增益!$T:$T,0))</f>
        <v>1.782</v>
      </c>
      <c r="BO47" s="24">
        <f t="shared" si="9"/>
        <v>0.14796819</v>
      </c>
      <c r="BP47" s="24">
        <f t="shared" si="10"/>
        <v>0.31032792</v>
      </c>
      <c r="BQ47" s="24">
        <f>IF(VLOOKUP($R47,武学奇术!$A:$ZZ,22,FALSE)=1,0,(1-$BJ47))*(1-$BM47)</f>
        <v>0.09580389</v>
      </c>
      <c r="BR47" s="24" cm="1">
        <f t="array" ref="BR47">SUM(_xlfn.XLOOKUP(S47:AG47,增益!$A:$A,增益!$W:$W,0))+$I$5</f>
        <v>0.11</v>
      </c>
    </row>
    <row r="48" spans="1:70">
      <c r="A48" s="86" t="s">
        <v>156</v>
      </c>
      <c r="B48" s="86">
        <v>1.1</v>
      </c>
      <c r="C48" s="38"/>
      <c r="K48" s="30">
        <f>$L48*VLOOKUP($R48,武学奇术!$A:$ZZ,31,FALSE)</f>
        <v>25343.3844331861</v>
      </c>
      <c r="L48" s="30">
        <f t="shared" si="0"/>
        <v>23039.4403938056</v>
      </c>
      <c r="M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16988.6807902024</v>
      </c>
      <c r="N48" s="30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31857.0522587426</v>
      </c>
      <c r="O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11325.7871934683</v>
      </c>
      <c r="P48" s="30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5724.34151831675</v>
      </c>
      <c r="Q48" s="38">
        <v>1</v>
      </c>
      <c r="R48" s="39" t="s">
        <v>93</v>
      </c>
      <c r="S48" s="39" t="s">
        <v>143</v>
      </c>
      <c r="T48" s="39" t="s">
        <v>69</v>
      </c>
      <c r="U48" s="39" t="s">
        <v>73</v>
      </c>
      <c r="V48" s="39" t="s">
        <v>74</v>
      </c>
      <c r="W48" s="39" t="s">
        <v>75</v>
      </c>
      <c r="X48" s="39" t="s">
        <v>75</v>
      </c>
      <c r="Y48" s="39" t="s">
        <v>75</v>
      </c>
      <c r="Z48" s="39" t="s">
        <v>75</v>
      </c>
      <c r="AA48" s="39" t="s">
        <v>103</v>
      </c>
      <c r="AB48" s="39" t="s">
        <v>75</v>
      </c>
      <c r="AC48" s="39" t="s">
        <v>75</v>
      </c>
      <c r="AD48" s="39" t="s">
        <v>75</v>
      </c>
      <c r="AE48" s="39" t="s">
        <v>75</v>
      </c>
      <c r="AF48" s="39" t="s">
        <v>75</v>
      </c>
      <c r="AG48" s="39" t="s">
        <v>76</v>
      </c>
      <c r="AH48" t="str">
        <f>VLOOKUP($R48,武学奇术!$A:$ZZ,25,FALSE)</f>
        <v>剑</v>
      </c>
      <c r="AI48" s="24">
        <f>VLOOKUP($R48,武学奇术!$A:$ZZ,26,FALSE)</f>
        <v>1.0253</v>
      </c>
      <c r="AJ48" s="25">
        <f>VLOOKUP($R48,武学奇术!$A:$ZZ,27,FALSE)*(1+IF(OR($AH48=$F$4,$AH48=$F$5),$B$22,0))</f>
        <v>396.2</v>
      </c>
      <c r="AK48" s="24">
        <f>VLOOKUP($R48,武学奇术!$A:$ZZ,28,FALSE)</f>
        <v>1.538</v>
      </c>
      <c r="AL48" s="25">
        <f>VLOOKUP($R48,武学奇术!$A:$ZZ,29,FALSE)*(1+IF(OR($AH48=$F$4,$AH48=$F$5),$B$22,0))</f>
        <v>215.6</v>
      </c>
      <c r="AM48" s="24" cm="1">
        <f t="array" ref="AM48">$G$3+IFERROR(VLOOKUP($AH48,$F$4:$G$7,2,FALSE),0)+VLOOKUP($R48,武学奇术!$A:$ZZ,2,FALSE)+SUM(_xlfn.XLOOKUP($S48:$AG48,增益!$A:$A,增益!$B:$B,0))</f>
        <v>0.4891</v>
      </c>
      <c r="AN48" s="24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1302.4</v>
      </c>
      <c r="AP48" cm="1">
        <f t="array" ref="AP48">$E$10*(1+$AN48)+VLOOKUP($R48,武学奇术!$A:$ZZ,4,FALSE)+SUM(_xlfn.XLOOKUP($S48:$AG48,增益!$A:$A,增益!$D:$D,0))-$I$2</f>
        <v>6112.4</v>
      </c>
      <c r="AQ48" s="32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0.1925</v>
      </c>
      <c r="AR48" s="32" cm="1">
        <f t="array" ref="AR48">$G$10+VLOOKUP($R48,武学奇术!$A:$ZZ,7,FALSE)+SUM(_xlfn.XLOOKUP(S48:AG48,增益!$A:$A,增益!$G:$G,0))</f>
        <v>0</v>
      </c>
      <c r="AS48" s="24" cm="1">
        <f t="array" ref="AS48">VLOOKUP($R48,武学奇术!$A:$ZZ,8,FALSE)+SUM(_xlfn.XLOOKUP(S48:AG48,增益!$A:$A,增益!$H:$H,0))</f>
        <v>0</v>
      </c>
      <c r="AT48">
        <f t="shared" si="1"/>
        <v>557.3</v>
      </c>
      <c r="AU48">
        <f t="shared" si="2"/>
        <v>1049.5</v>
      </c>
      <c r="AV48" s="32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2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2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2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2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2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2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2" cm="1">
        <f t="array" ref="BI48">$G$14+VLOOKUP($R48,武学奇术!$A:$ZZ,16,FALSE)+SUM(_xlfn.XLOOKUP(S48:AG48,增益!$A:$A,增益!$P:$P,0))</f>
        <v>0</v>
      </c>
      <c r="BJ48" s="24">
        <f>MIN(IF(VLOOKUP($R48,武学奇术!$A:$ZZ,23,FALSE)=1,100%,$B$8),100%)</f>
        <v>0.8271</v>
      </c>
      <c r="BK48" s="24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0.1789</v>
      </c>
      <c r="BL48" s="24" cm="1">
        <f t="array" ref="BL48">1+$B$13+VLOOKUP($R48,武学奇术!$A:$ZZ,18,FALSE)+SUM(_xlfn.XLOOKUP(S48:AG48,增益!$A:$A,增益!$R:$R,0))</f>
        <v>1.5</v>
      </c>
      <c r="BM48" s="24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0.5509</v>
      </c>
      <c r="BN48" s="24" cm="1">
        <f t="array" ref="BN48">1+$B$14+VLOOKUP($R48,武学奇术!$A:$ZZ,20,FALSE)+SUM(_xlfn.XLOOKUP(S48:AG48,增益!$A:$A,增益!$T:$T,0))</f>
        <v>1.882</v>
      </c>
      <c r="BO48" s="24">
        <f t="shared" si="9"/>
        <v>0.14796819</v>
      </c>
      <c r="BP48" s="24">
        <f t="shared" si="10"/>
        <v>0.22348242</v>
      </c>
      <c r="BQ48" s="24">
        <f>IF(VLOOKUP($R48,武学奇术!$A:$ZZ,22,FALSE)=1,0,(1-$BJ48))*(1-$BM48)</f>
        <v>0.07764939</v>
      </c>
      <c r="BR48" s="24" cm="1">
        <f t="array" ref="BR48">SUM(_xlfn.XLOOKUP(S48:AG48,增益!$A:$A,增益!$W:$W,0))+$I$5</f>
        <v>0.11</v>
      </c>
    </row>
    <row r="49" spans="1:70">
      <c r="A49" s="86" t="s">
        <v>150</v>
      </c>
      <c r="B49" s="86">
        <v>2.33</v>
      </c>
      <c r="K49" s="30">
        <f>$L49*VLOOKUP($R49,武学奇术!$A:$ZZ,31,FALSE)</f>
        <v>280811.481382957</v>
      </c>
      <c r="L49" s="30">
        <f t="shared" si="0"/>
        <v>255283.164893598</v>
      </c>
      <c r="M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175468.216406361</v>
      </c>
      <c r="N49" s="30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360472.896479722</v>
      </c>
      <c r="O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116978.810937574</v>
      </c>
      <c r="P49" s="30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59140.5042807145</v>
      </c>
      <c r="Q49" s="38">
        <v>1</v>
      </c>
      <c r="R49" s="39" t="s">
        <v>96</v>
      </c>
      <c r="S49" s="39" t="s">
        <v>143</v>
      </c>
      <c r="T49" s="39" t="s">
        <v>69</v>
      </c>
      <c r="U49" s="39" t="s">
        <v>73</v>
      </c>
      <c r="V49" s="39" t="s">
        <v>74</v>
      </c>
      <c r="W49" s="39" t="s">
        <v>109</v>
      </c>
      <c r="X49" s="39" t="s">
        <v>97</v>
      </c>
      <c r="Y49" s="39" t="s">
        <v>80</v>
      </c>
      <c r="Z49" s="39" t="s">
        <v>98</v>
      </c>
      <c r="AA49" s="39" t="s">
        <v>103</v>
      </c>
      <c r="AB49" s="39" t="s">
        <v>75</v>
      </c>
      <c r="AC49" s="39" t="s">
        <v>75</v>
      </c>
      <c r="AD49" s="39" t="s">
        <v>75</v>
      </c>
      <c r="AE49" s="39" t="s">
        <v>75</v>
      </c>
      <c r="AF49" s="39" t="s">
        <v>75</v>
      </c>
      <c r="AG49" s="39" t="s">
        <v>76</v>
      </c>
      <c r="AH49" t="str">
        <f>VLOOKUP($R49,武学奇术!$A:$ZZ,25,FALSE)</f>
        <v>剑</v>
      </c>
      <c r="AI49" s="24">
        <f>VLOOKUP($R49,武学奇术!$A:$ZZ,26,FALSE)</f>
        <v>4.7037</v>
      </c>
      <c r="AJ49" s="25">
        <f>VLOOKUP($R49,武学奇术!$A:$ZZ,27,FALSE)*(1+IF(OR($AH49=$F$4,$AH49=$F$5),$B$22,0))</f>
        <v>1820</v>
      </c>
      <c r="AK49" s="24">
        <f>VLOOKUP($R49,武学奇术!$A:$ZZ,28,FALSE)</f>
        <v>7.0554</v>
      </c>
      <c r="AL49" s="25">
        <f>VLOOKUP($R49,武学奇术!$A:$ZZ,29,FALSE)*(1+IF(OR($AH49=$F$4,$AH49=$F$5),$B$22,0))</f>
        <v>992.6</v>
      </c>
      <c r="AM49" s="24" cm="1">
        <f t="array" ref="AM49">$G$3+IFERROR(VLOOKUP($AH49,$F$4:$G$7,2,FALSE),0)+VLOOKUP($R49,武学奇术!$A:$ZZ,2,FALSE)+SUM(_xlfn.XLOOKUP($S49:$AG49,增益!$A:$A,增益!$B:$B,0))</f>
        <v>1.5391</v>
      </c>
      <c r="AN49" s="24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1302.4</v>
      </c>
      <c r="AP49" cm="1">
        <f t="array" ref="AP49">$E$10*(1+$AN49)+VLOOKUP($R49,武学奇术!$A:$ZZ,4,FALSE)+SUM(_xlfn.XLOOKUP($S49:$AG49,增益!$A:$A,增益!$D:$D,0))-$I$2</f>
        <v>6112.4</v>
      </c>
      <c r="AQ49" s="32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0.1925</v>
      </c>
      <c r="AR49" s="32" cm="1">
        <f t="array" ref="AR49">$G$10+VLOOKUP($R49,武学奇术!$A:$ZZ,7,FALSE)+SUM(_xlfn.XLOOKUP(S49:AG49,增益!$A:$A,增益!$G:$G,0))</f>
        <v>0</v>
      </c>
      <c r="AS49" s="24" cm="1">
        <f t="array" ref="AS49">VLOOKUP($R49,武学奇术!$A:$ZZ,8,FALSE)+SUM(_xlfn.XLOOKUP(S49:AG49,增益!$A:$A,增益!$H:$H,0))</f>
        <v>0</v>
      </c>
      <c r="AT49">
        <f t="shared" si="1"/>
        <v>557.3</v>
      </c>
      <c r="AU49">
        <f t="shared" si="2"/>
        <v>1049.5</v>
      </c>
      <c r="AV49" s="32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2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2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2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2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2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2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2" cm="1">
        <f t="array" ref="BI49">$G$14+VLOOKUP($R49,武学奇术!$A:$ZZ,16,FALSE)+SUM(_xlfn.XLOOKUP(S49:AG49,增益!$A:$A,增益!$P:$P,0))</f>
        <v>0</v>
      </c>
      <c r="BJ49" s="24">
        <f>MIN(IF(VLOOKUP($R49,武学奇术!$A:$ZZ,23,FALSE)=1,100%,$B$8),100%)</f>
        <v>0.8271</v>
      </c>
      <c r="BK49" s="24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0.1789</v>
      </c>
      <c r="BL49" s="24" cm="1">
        <f t="array" ref="BL49">1+$B$13+VLOOKUP($R49,武学奇术!$A:$ZZ,18,FALSE)+SUM(_xlfn.XLOOKUP(S49:AG49,增益!$A:$A,增益!$R:$R,0))</f>
        <v>1.5</v>
      </c>
      <c r="BM49" s="24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0.5509</v>
      </c>
      <c r="BN49" s="24" cm="1">
        <f t="array" ref="BN49">1+$B$14+VLOOKUP($R49,武学奇术!$A:$ZZ,20,FALSE)+SUM(_xlfn.XLOOKUP(S49:AG49,增益!$A:$A,增益!$T:$T,0))</f>
        <v>2.062</v>
      </c>
      <c r="BO49" s="24">
        <f t="shared" si="9"/>
        <v>0.14796819</v>
      </c>
      <c r="BP49" s="24">
        <f t="shared" si="10"/>
        <v>0.22348242</v>
      </c>
      <c r="BQ49" s="24">
        <f>IF(VLOOKUP($R49,武学奇术!$A:$ZZ,22,FALSE)=1,0,(1-$BJ49))*(1-$BM49)</f>
        <v>0.07764939</v>
      </c>
      <c r="BR49" s="24" cm="1">
        <f t="array" ref="BR49">SUM(_xlfn.XLOOKUP(S49:AG49,增益!$A:$A,增益!$W:$W,0))+$I$5</f>
        <v>0.11</v>
      </c>
    </row>
    <row r="50" spans="1:70">
      <c r="A50" s="86" t="s">
        <v>145</v>
      </c>
      <c r="B50" s="86">
        <v>1</v>
      </c>
      <c r="K50" s="30">
        <f>$L50*VLOOKUP($R50,武学奇术!$A:$ZZ,31,FALSE)</f>
        <v>242958.281609928</v>
      </c>
      <c r="L50" s="30">
        <f t="shared" si="0"/>
        <v>220871.165099934</v>
      </c>
      <c r="M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175468.216406361</v>
      </c>
      <c r="N50" s="30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342991.184720278</v>
      </c>
      <c r="O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116978.810937574</v>
      </c>
      <c r="P50" s="30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59140.5042807145</v>
      </c>
      <c r="Q50" s="38">
        <v>1</v>
      </c>
      <c r="R50" s="39" t="s">
        <v>96</v>
      </c>
      <c r="S50" s="39" t="s">
        <v>143</v>
      </c>
      <c r="T50" s="39" t="s">
        <v>75</v>
      </c>
      <c r="U50" s="39" t="s">
        <v>114</v>
      </c>
      <c r="V50" s="39" t="s">
        <v>74</v>
      </c>
      <c r="W50" s="39" t="s">
        <v>109</v>
      </c>
      <c r="X50" s="39" t="s">
        <v>97</v>
      </c>
      <c r="Y50" s="39" t="s">
        <v>80</v>
      </c>
      <c r="Z50" s="39" t="s">
        <v>98</v>
      </c>
      <c r="AA50" s="39" t="s">
        <v>103</v>
      </c>
      <c r="AB50" s="39" t="s">
        <v>75</v>
      </c>
      <c r="AC50" s="39" t="s">
        <v>75</v>
      </c>
      <c r="AD50" s="39" t="s">
        <v>75</v>
      </c>
      <c r="AE50" s="39" t="s">
        <v>75</v>
      </c>
      <c r="AF50" s="39" t="s">
        <v>75</v>
      </c>
      <c r="AG50" s="39" t="s">
        <v>76</v>
      </c>
      <c r="AH50" t="str">
        <f>VLOOKUP($R50,武学奇术!$A:$ZZ,25,FALSE)</f>
        <v>剑</v>
      </c>
      <c r="AI50" s="24">
        <f>VLOOKUP($R50,武学奇术!$A:$ZZ,26,FALSE)</f>
        <v>4.7037</v>
      </c>
      <c r="AJ50" s="25">
        <f>VLOOKUP($R50,武学奇术!$A:$ZZ,27,FALSE)*(1+IF(OR($AH50=$F$4,$AH50=$F$5),$B$22,0))</f>
        <v>1820</v>
      </c>
      <c r="AK50" s="24">
        <f>VLOOKUP($R50,武学奇术!$A:$ZZ,28,FALSE)</f>
        <v>7.0554</v>
      </c>
      <c r="AL50" s="25">
        <f>VLOOKUP($R50,武学奇术!$A:$ZZ,29,FALSE)*(1+IF(OR($AH50=$F$4,$AH50=$F$5),$B$22,0))</f>
        <v>992.6</v>
      </c>
      <c r="AM50" s="24" cm="1">
        <f t="array" ref="AM50">$G$3+IFERROR(VLOOKUP($AH50,$F$4:$G$7,2,FALSE),0)+VLOOKUP($R50,武学奇术!$A:$ZZ,2,FALSE)+SUM(_xlfn.XLOOKUP($S50:$AG50,增益!$A:$A,增益!$B:$B,0))</f>
        <v>1.5391</v>
      </c>
      <c r="AN50" s="24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1302.4</v>
      </c>
      <c r="AP50" cm="1">
        <f t="array" ref="AP50">$E$10*(1+$AN50)+VLOOKUP($R50,武学奇术!$A:$ZZ,4,FALSE)+SUM(_xlfn.XLOOKUP($S50:$AG50,增益!$A:$A,增益!$D:$D,0))-$I$2</f>
        <v>6112.4</v>
      </c>
      <c r="AQ50" s="32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0.1925</v>
      </c>
      <c r="AR50" s="32" cm="1">
        <f t="array" ref="AR50">$G$10+VLOOKUP($R50,武学奇术!$A:$ZZ,7,FALSE)+SUM(_xlfn.XLOOKUP(S50:AG50,增益!$A:$A,增益!$G:$G,0))</f>
        <v>0</v>
      </c>
      <c r="AS50" s="24" cm="1">
        <f t="array" ref="AS50">VLOOKUP($R50,武学奇术!$A:$ZZ,8,FALSE)+SUM(_xlfn.XLOOKUP(S50:AG50,增益!$A:$A,增益!$H:$H,0))</f>
        <v>0</v>
      </c>
      <c r="AT50">
        <f t="shared" si="1"/>
        <v>557.3</v>
      </c>
      <c r="AU50">
        <f t="shared" si="2"/>
        <v>1049.5</v>
      </c>
      <c r="AV50" s="32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2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2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2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2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2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2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2" cm="1">
        <f t="array" ref="BI50">$G$14+VLOOKUP($R50,武学奇术!$A:$ZZ,16,FALSE)+SUM(_xlfn.XLOOKUP(S50:AG50,增益!$A:$A,增益!$P:$P,0))</f>
        <v>0</v>
      </c>
      <c r="BJ50" s="24">
        <f>MIN(IF(VLOOKUP($R50,武学奇术!$A:$ZZ,23,FALSE)=1,100%,$B$8),100%)</f>
        <v>0.8271</v>
      </c>
      <c r="BK50" s="24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0.1789</v>
      </c>
      <c r="BL50" s="24" cm="1">
        <f t="array" ref="BL50">1+$B$13+VLOOKUP($R50,武学奇术!$A:$ZZ,18,FALSE)+SUM(_xlfn.XLOOKUP(S50:AG50,增益!$A:$A,增益!$R:$R,0))</f>
        <v>1.5</v>
      </c>
      <c r="BM50" s="24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4" cm="1">
        <f t="array" ref="BN50">1+$B$14+VLOOKUP($R50,武学奇术!$A:$ZZ,20,FALSE)+SUM(_xlfn.XLOOKUP(S50:AG50,增益!$A:$A,增益!$T:$T,0))</f>
        <v>1.962</v>
      </c>
      <c r="BO50" s="24">
        <f t="shared" si="9"/>
        <v>0.14796819</v>
      </c>
      <c r="BP50" s="24">
        <f t="shared" si="10"/>
        <v>0.31032792</v>
      </c>
      <c r="BQ50" s="24">
        <f>IF(VLOOKUP($R50,武学奇术!$A:$ZZ,22,FALSE)=1,0,(1-$BJ50))*(1-$BM50)</f>
        <v>0.09580389</v>
      </c>
      <c r="BR50" s="24" cm="1">
        <f t="array" ref="BR50">SUM(_xlfn.XLOOKUP(S50:AG50,增益!$A:$A,增益!$W:$W,0))+$I$5</f>
        <v>0.11</v>
      </c>
    </row>
    <row r="51" spans="1:70">
      <c r="A51" s="86" t="s">
        <v>150</v>
      </c>
      <c r="B51" s="86">
        <v>2.33</v>
      </c>
      <c r="C51" s="38" t="s">
        <v>73</v>
      </c>
      <c r="K51" s="30">
        <f>$L51*VLOOKUP($R51,武学奇术!$A:$ZZ,31,FALSE)</f>
        <v>842434.444148872</v>
      </c>
      <c r="L51" s="30">
        <f t="shared" si="0"/>
        <v>765849.494680793</v>
      </c>
      <c r="M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526404.649219083</v>
      </c>
      <c r="N51" s="30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1081418.68943917</v>
      </c>
      <c r="O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350936.432812722</v>
      </c>
      <c r="P51" s="30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177421.512842144</v>
      </c>
      <c r="Q51" s="38">
        <v>3</v>
      </c>
      <c r="R51" s="39" t="s">
        <v>96</v>
      </c>
      <c r="S51" s="39" t="s">
        <v>143</v>
      </c>
      <c r="T51" s="39" t="s">
        <v>69</v>
      </c>
      <c r="U51" s="39" t="s">
        <v>73</v>
      </c>
      <c r="V51" s="39" t="s">
        <v>74</v>
      </c>
      <c r="W51" s="39" t="s">
        <v>109</v>
      </c>
      <c r="X51" s="39" t="s">
        <v>97</v>
      </c>
      <c r="Y51" s="39" t="s">
        <v>80</v>
      </c>
      <c r="Z51" s="39" t="s">
        <v>98</v>
      </c>
      <c r="AA51" s="39" t="s">
        <v>103</v>
      </c>
      <c r="AB51" s="39" t="s">
        <v>75</v>
      </c>
      <c r="AC51" s="39" t="s">
        <v>75</v>
      </c>
      <c r="AD51" s="39" t="s">
        <v>75</v>
      </c>
      <c r="AE51" s="39" t="s">
        <v>75</v>
      </c>
      <c r="AF51" s="39" t="s">
        <v>75</v>
      </c>
      <c r="AG51" s="39" t="s">
        <v>76</v>
      </c>
      <c r="AH51" t="str">
        <f>VLOOKUP($R51,武学奇术!$A:$ZZ,25,FALSE)</f>
        <v>剑</v>
      </c>
      <c r="AI51" s="24">
        <f>VLOOKUP($R51,武学奇术!$A:$ZZ,26,FALSE)</f>
        <v>4.7037</v>
      </c>
      <c r="AJ51" s="25">
        <f>VLOOKUP($R51,武学奇术!$A:$ZZ,27,FALSE)*(1+IF(OR($AH51=$F$4,$AH51=$F$5),$B$22,0))</f>
        <v>1820</v>
      </c>
      <c r="AK51" s="24">
        <f>VLOOKUP($R51,武学奇术!$A:$ZZ,28,FALSE)</f>
        <v>7.0554</v>
      </c>
      <c r="AL51" s="25">
        <f>VLOOKUP($R51,武学奇术!$A:$ZZ,29,FALSE)*(1+IF(OR($AH51=$F$4,$AH51=$F$5),$B$22,0))</f>
        <v>992.6</v>
      </c>
      <c r="AM51" s="24" cm="1">
        <f t="array" ref="AM51">$G$3+IFERROR(VLOOKUP($AH51,$F$4:$G$7,2,FALSE),0)+VLOOKUP($R51,武学奇术!$A:$ZZ,2,FALSE)+SUM(_xlfn.XLOOKUP($S51:$AG51,增益!$A:$A,增益!$B:$B,0))</f>
        <v>1.5391</v>
      </c>
      <c r="AN51" s="24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1302.4</v>
      </c>
      <c r="AP51" cm="1">
        <f t="array" ref="AP51">$E$10*(1+$AN51)+VLOOKUP($R51,武学奇术!$A:$ZZ,4,FALSE)+SUM(_xlfn.XLOOKUP($S51:$AG51,增益!$A:$A,增益!$D:$D,0))-$I$2</f>
        <v>6112.4</v>
      </c>
      <c r="AQ51" s="32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0.1925</v>
      </c>
      <c r="AR51" s="32" cm="1">
        <f t="array" ref="AR51">$G$10+VLOOKUP($R51,武学奇术!$A:$ZZ,7,FALSE)+SUM(_xlfn.XLOOKUP(S51:AG51,增益!$A:$A,增益!$G:$G,0))</f>
        <v>0</v>
      </c>
      <c r="AS51" s="24" cm="1">
        <f t="array" ref="AS51">VLOOKUP($R51,武学奇术!$A:$ZZ,8,FALSE)+SUM(_xlfn.XLOOKUP(S51:AG51,增益!$A:$A,增益!$H:$H,0))</f>
        <v>0</v>
      </c>
      <c r="AT51">
        <f t="shared" si="1"/>
        <v>557.3</v>
      </c>
      <c r="AU51">
        <f t="shared" si="2"/>
        <v>1049.5</v>
      </c>
      <c r="AV51" s="32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2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2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2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2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2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2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2" cm="1">
        <f t="array" ref="BI51">$G$14+VLOOKUP($R51,武学奇术!$A:$ZZ,16,FALSE)+SUM(_xlfn.XLOOKUP(S51:AG51,增益!$A:$A,增益!$P:$P,0))</f>
        <v>0</v>
      </c>
      <c r="BJ51" s="24">
        <f>MIN(IF(VLOOKUP($R51,武学奇术!$A:$ZZ,23,FALSE)=1,100%,$B$8),100%)</f>
        <v>0.8271</v>
      </c>
      <c r="BK51" s="24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0.1789</v>
      </c>
      <c r="BL51" s="24" cm="1">
        <f t="array" ref="BL51">1+$B$13+VLOOKUP($R51,武学奇术!$A:$ZZ,18,FALSE)+SUM(_xlfn.XLOOKUP(S51:AG51,增益!$A:$A,增益!$R:$R,0))</f>
        <v>1.5</v>
      </c>
      <c r="BM51" s="24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0.5509</v>
      </c>
      <c r="BN51" s="24" cm="1">
        <f t="array" ref="BN51">1+$B$14+VLOOKUP($R51,武学奇术!$A:$ZZ,20,FALSE)+SUM(_xlfn.XLOOKUP(S51:AG51,增益!$A:$A,增益!$T:$T,0))</f>
        <v>2.062</v>
      </c>
      <c r="BO51" s="24">
        <f t="shared" si="9"/>
        <v>0.14796819</v>
      </c>
      <c r="BP51" s="24">
        <f t="shared" si="10"/>
        <v>0.22348242</v>
      </c>
      <c r="BQ51" s="24">
        <f>IF(VLOOKUP($R51,武学奇术!$A:$ZZ,22,FALSE)=1,0,(1-$BJ51))*(1-$BM51)</f>
        <v>0.07764939</v>
      </c>
      <c r="BR51" s="24" cm="1">
        <f t="array" ref="BR51">SUM(_xlfn.XLOOKUP(S51:AG51,增益!$A:$A,增益!$W:$W,0))+$I$5</f>
        <v>0.11</v>
      </c>
    </row>
    <row r="52" spans="1:70">
      <c r="A52" s="86" t="s">
        <v>150</v>
      </c>
      <c r="B52" s="86">
        <v>2.33</v>
      </c>
      <c r="C52" s="38"/>
      <c r="K52" s="30">
        <f>$L52*VLOOKUP($R52,武学奇术!$A:$ZZ,31,FALSE)</f>
        <v>258692.50368354</v>
      </c>
      <c r="L52" s="30">
        <f t="shared" si="0"/>
        <v>235175.003348672</v>
      </c>
      <c r="M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161646.924105439</v>
      </c>
      <c r="N52" s="30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332079.143064754</v>
      </c>
      <c r="O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107764.616070292</v>
      </c>
      <c r="P52" s="30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54482.1210519552</v>
      </c>
      <c r="Q52" s="38">
        <v>1</v>
      </c>
      <c r="R52" s="39" t="s">
        <v>96</v>
      </c>
      <c r="S52" s="39" t="s">
        <v>143</v>
      </c>
      <c r="T52" s="39" t="s">
        <v>69</v>
      </c>
      <c r="U52" s="39" t="s">
        <v>73</v>
      </c>
      <c r="V52" s="39" t="s">
        <v>75</v>
      </c>
      <c r="W52" s="39" t="s">
        <v>109</v>
      </c>
      <c r="X52" s="39" t="s">
        <v>97</v>
      </c>
      <c r="Y52" s="39" t="s">
        <v>80</v>
      </c>
      <c r="Z52" s="39" t="s">
        <v>98</v>
      </c>
      <c r="AA52" s="39" t="s">
        <v>103</v>
      </c>
      <c r="AB52" s="39" t="s">
        <v>75</v>
      </c>
      <c r="AC52" s="39" t="s">
        <v>75</v>
      </c>
      <c r="AD52" s="39" t="s">
        <v>75</v>
      </c>
      <c r="AE52" s="39" t="s">
        <v>75</v>
      </c>
      <c r="AF52" s="39" t="s">
        <v>75</v>
      </c>
      <c r="AG52" s="39" t="s">
        <v>76</v>
      </c>
      <c r="AH52" t="str">
        <f>VLOOKUP($R52,武学奇术!$A:$ZZ,25,FALSE)</f>
        <v>剑</v>
      </c>
      <c r="AI52" s="24">
        <f>VLOOKUP($R52,武学奇术!$A:$ZZ,26,FALSE)</f>
        <v>4.7037</v>
      </c>
      <c r="AJ52" s="25">
        <f>VLOOKUP($R52,武学奇术!$A:$ZZ,27,FALSE)*(1+IF(OR($AH52=$F$4,$AH52=$F$5),$B$22,0))</f>
        <v>1820</v>
      </c>
      <c r="AK52" s="24">
        <f>VLOOKUP($R52,武学奇术!$A:$ZZ,28,FALSE)</f>
        <v>7.0554</v>
      </c>
      <c r="AL52" s="25">
        <f>VLOOKUP($R52,武学奇术!$A:$ZZ,29,FALSE)*(1+IF(OR($AH52=$F$4,$AH52=$F$5),$B$22,0))</f>
        <v>992.6</v>
      </c>
      <c r="AM52" s="24" cm="1">
        <f t="array" ref="AM52">$G$3+IFERROR(VLOOKUP($AH52,$F$4:$G$7,2,FALSE),0)+VLOOKUP($R52,武学奇术!$A:$ZZ,2,FALSE)+SUM(_xlfn.XLOOKUP($S52:$AG52,增益!$A:$A,增益!$B:$B,0))</f>
        <v>1.3391</v>
      </c>
      <c r="AN52" s="24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1302.4</v>
      </c>
      <c r="AP52" cm="1">
        <f t="array" ref="AP52">$E$10*(1+$AN52)+VLOOKUP($R52,武学奇术!$A:$ZZ,4,FALSE)+SUM(_xlfn.XLOOKUP($S52:$AG52,增益!$A:$A,增益!$D:$D,0))-$I$2</f>
        <v>6112.4</v>
      </c>
      <c r="AQ52" s="32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0.1925</v>
      </c>
      <c r="AR52" s="32" cm="1">
        <f t="array" ref="AR52">$G$10+VLOOKUP($R52,武学奇术!$A:$ZZ,7,FALSE)+SUM(_xlfn.XLOOKUP(S52:AG52,增益!$A:$A,增益!$G:$G,0))</f>
        <v>0</v>
      </c>
      <c r="AS52" s="24" cm="1">
        <f t="array" ref="AS52">VLOOKUP($R52,武学奇术!$A:$ZZ,8,FALSE)+SUM(_xlfn.XLOOKUP(S52:AG52,增益!$A:$A,增益!$H:$H,0))</f>
        <v>0</v>
      </c>
      <c r="AT52">
        <f t="shared" si="1"/>
        <v>557.3</v>
      </c>
      <c r="AU52">
        <f t="shared" si="2"/>
        <v>1049.5</v>
      </c>
      <c r="AV52" s="32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2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2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2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2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2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2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2" cm="1">
        <f t="array" ref="BI52">$G$14+VLOOKUP($R52,武学奇术!$A:$ZZ,16,FALSE)+SUM(_xlfn.XLOOKUP(S52:AG52,增益!$A:$A,增益!$P:$P,0))</f>
        <v>0</v>
      </c>
      <c r="BJ52" s="24">
        <f>MIN(IF(VLOOKUP($R52,武学奇术!$A:$ZZ,23,FALSE)=1,100%,$B$8),100%)</f>
        <v>0.8271</v>
      </c>
      <c r="BK52" s="24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0.1789</v>
      </c>
      <c r="BL52" s="24" cm="1">
        <f t="array" ref="BL52">1+$B$13+VLOOKUP($R52,武学奇术!$A:$ZZ,18,FALSE)+SUM(_xlfn.XLOOKUP(S52:AG52,增益!$A:$A,增益!$R:$R,0))</f>
        <v>1.5</v>
      </c>
      <c r="BM52" s="24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0.5509</v>
      </c>
      <c r="BN52" s="24" cm="1">
        <f t="array" ref="BN52">1+$B$14+VLOOKUP($R52,武学奇术!$A:$ZZ,20,FALSE)+SUM(_xlfn.XLOOKUP(S52:AG52,增益!$A:$A,增益!$T:$T,0))</f>
        <v>2.062</v>
      </c>
      <c r="BO52" s="24">
        <f t="shared" si="9"/>
        <v>0.14796819</v>
      </c>
      <c r="BP52" s="24">
        <f t="shared" si="10"/>
        <v>0.22348242</v>
      </c>
      <c r="BQ52" s="24">
        <f>IF(VLOOKUP($R52,武学奇术!$A:$ZZ,22,FALSE)=1,0,(1-$BJ52))*(1-$BM52)</f>
        <v>0.07764939</v>
      </c>
      <c r="BR52" s="24" cm="1">
        <f t="array" ref="BR52">SUM(_xlfn.XLOOKUP(S52:AG52,增益!$A:$A,增益!$W:$W,0))+$I$5</f>
        <v>0.11</v>
      </c>
    </row>
    <row r="53" spans="1:70">
      <c r="A53" s="86" t="s">
        <v>152</v>
      </c>
      <c r="B53" s="86">
        <v>0.8</v>
      </c>
      <c r="C53" s="38"/>
      <c r="K53" s="30">
        <f>$L53*VLOOKUP($R53,武学奇术!$A:$ZZ,31,FALSE)</f>
        <v>19071.0782689018</v>
      </c>
      <c r="L53" s="30">
        <f t="shared" si="0"/>
        <v>17337.3438808198</v>
      </c>
      <c r="M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14706.9427215432</v>
      </c>
      <c r="N53" s="30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26112.9786298108</v>
      </c>
      <c r="O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9804.6284810288</v>
      </c>
      <c r="P53" s="30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4955.50913388095</v>
      </c>
      <c r="Q53" s="38">
        <v>1</v>
      </c>
      <c r="R53" s="39" t="s">
        <v>93</v>
      </c>
      <c r="S53" s="39" t="s">
        <v>143</v>
      </c>
      <c r="T53" s="39" t="s">
        <v>75</v>
      </c>
      <c r="U53" s="39" t="s">
        <v>114</v>
      </c>
      <c r="V53" s="39" t="s">
        <v>75</v>
      </c>
      <c r="W53" s="39" t="s">
        <v>75</v>
      </c>
      <c r="X53" s="39" t="s">
        <v>75</v>
      </c>
      <c r="Y53" s="39" t="s">
        <v>75</v>
      </c>
      <c r="Z53" s="39" t="s">
        <v>75</v>
      </c>
      <c r="AA53" s="39" t="s">
        <v>103</v>
      </c>
      <c r="AB53" s="39" t="s">
        <v>75</v>
      </c>
      <c r="AC53" s="39" t="s">
        <v>75</v>
      </c>
      <c r="AD53" s="39" t="s">
        <v>75</v>
      </c>
      <c r="AE53" s="39" t="s">
        <v>75</v>
      </c>
      <c r="AF53" s="39" t="s">
        <v>75</v>
      </c>
      <c r="AG53" s="39" t="s">
        <v>76</v>
      </c>
      <c r="AH53" t="str">
        <f>VLOOKUP($R53,武学奇术!$A:$ZZ,25,FALSE)</f>
        <v>剑</v>
      </c>
      <c r="AI53" s="24">
        <f>VLOOKUP($R53,武学奇术!$A:$ZZ,26,FALSE)</f>
        <v>1.0253</v>
      </c>
      <c r="AJ53" s="25">
        <f>VLOOKUP($R53,武学奇术!$A:$ZZ,27,FALSE)*(1+IF(OR($AH53=$F$4,$AH53=$F$5),$B$22,0))</f>
        <v>396.2</v>
      </c>
      <c r="AK53" s="24">
        <f>VLOOKUP($R53,武学奇术!$A:$ZZ,28,FALSE)</f>
        <v>1.538</v>
      </c>
      <c r="AL53" s="25">
        <f>VLOOKUP($R53,武学奇术!$A:$ZZ,29,FALSE)*(1+IF(OR($AH53=$F$4,$AH53=$F$5),$B$22,0))</f>
        <v>215.6</v>
      </c>
      <c r="AM53" s="24" cm="1">
        <f t="array" ref="AM53">$G$3+IFERROR(VLOOKUP($AH53,$F$4:$G$7,2,FALSE),0)+VLOOKUP($R53,武学奇术!$A:$ZZ,2,FALSE)+SUM(_xlfn.XLOOKUP($S53:$AG53,增益!$A:$A,增益!$B:$B,0))</f>
        <v>0.2891</v>
      </c>
      <c r="AN53" s="24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1302.4</v>
      </c>
      <c r="AP53" cm="1">
        <f t="array" ref="AP53">$E$10*(1+$AN53)+VLOOKUP($R53,武学奇术!$A:$ZZ,4,FALSE)+SUM(_xlfn.XLOOKUP($S53:$AG53,增益!$A:$A,增益!$D:$D,0))-$I$2</f>
        <v>6112.4</v>
      </c>
      <c r="AQ53" s="32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0.1925</v>
      </c>
      <c r="AR53" s="32" cm="1">
        <f t="array" ref="AR53">$G$10+VLOOKUP($R53,武学奇术!$A:$ZZ,7,FALSE)+SUM(_xlfn.XLOOKUP(S53:AG53,增益!$A:$A,增益!$G:$G,0))</f>
        <v>0</v>
      </c>
      <c r="AS53" s="24" cm="1">
        <f t="array" ref="AS53">VLOOKUP($R53,武学奇术!$A:$ZZ,8,FALSE)+SUM(_xlfn.XLOOKUP(S53:AG53,增益!$A:$A,增益!$H:$H,0))</f>
        <v>0</v>
      </c>
      <c r="AT53">
        <f t="shared" si="1"/>
        <v>557.3</v>
      </c>
      <c r="AU53">
        <f t="shared" si="2"/>
        <v>1049.5</v>
      </c>
      <c r="AV53" s="32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2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2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2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2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2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2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2" cm="1">
        <f t="array" ref="BI53">$G$14+VLOOKUP($R53,武学奇术!$A:$ZZ,16,FALSE)+SUM(_xlfn.XLOOKUP(S53:AG53,增益!$A:$A,增益!$P:$P,0))</f>
        <v>0</v>
      </c>
      <c r="BJ53" s="24">
        <f>MIN(IF(VLOOKUP($R53,武学奇术!$A:$ZZ,23,FALSE)=1,100%,$B$8),100%)</f>
        <v>0.8271</v>
      </c>
      <c r="BK53" s="24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0.1789</v>
      </c>
      <c r="BL53" s="24" cm="1">
        <f t="array" ref="BL53">1+$B$13+VLOOKUP($R53,武学奇术!$A:$ZZ,18,FALSE)+SUM(_xlfn.XLOOKUP(S53:AG53,增益!$A:$A,增益!$R:$R,0))</f>
        <v>1.5</v>
      </c>
      <c r="BM53" s="24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4" cm="1">
        <f t="array" ref="BN53">1+$B$14+VLOOKUP($R53,武学奇术!$A:$ZZ,20,FALSE)+SUM(_xlfn.XLOOKUP(S53:AG53,增益!$A:$A,增益!$T:$T,0))</f>
        <v>1.782</v>
      </c>
      <c r="BO53" s="24">
        <f t="shared" si="9"/>
        <v>0.14796819</v>
      </c>
      <c r="BP53" s="24">
        <f t="shared" si="10"/>
        <v>0.31032792</v>
      </c>
      <c r="BQ53" s="24">
        <f>IF(VLOOKUP($R53,武学奇术!$A:$ZZ,22,FALSE)=1,0,(1-$BJ53))*(1-$BM53)</f>
        <v>0.09580389</v>
      </c>
      <c r="BR53" s="24" cm="1">
        <f t="array" ref="BR53">SUM(_xlfn.XLOOKUP(S53:AG53,增益!$A:$A,增益!$W:$W,0))+$I$5</f>
        <v>0.11</v>
      </c>
    </row>
    <row r="54" spans="1:70">
      <c r="A54" s="86" t="s">
        <v>150</v>
      </c>
      <c r="B54" s="86">
        <v>2.33</v>
      </c>
      <c r="C54" s="38"/>
      <c r="K54" s="30">
        <f>$L54*VLOOKUP($R54,武学奇术!$A:$ZZ,31,FALSE)</f>
        <v>1034770.01473416</v>
      </c>
      <c r="L54" s="30">
        <f t="shared" si="0"/>
        <v>940700.01339469</v>
      </c>
      <c r="M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646587.696421754</v>
      </c>
      <c r="N54" s="30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1328316.57225902</v>
      </c>
      <c r="O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431058.464281169</v>
      </c>
      <c r="P54" s="30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217928.484207821</v>
      </c>
      <c r="Q54" s="38">
        <v>4</v>
      </c>
      <c r="R54" s="39" t="s">
        <v>96</v>
      </c>
      <c r="S54" s="39" t="s">
        <v>143</v>
      </c>
      <c r="T54" s="39" t="s">
        <v>69</v>
      </c>
      <c r="U54" s="39" t="s">
        <v>73</v>
      </c>
      <c r="V54" s="39" t="s">
        <v>75</v>
      </c>
      <c r="W54" s="39" t="s">
        <v>109</v>
      </c>
      <c r="X54" s="39" t="s">
        <v>97</v>
      </c>
      <c r="Y54" s="39" t="s">
        <v>80</v>
      </c>
      <c r="Z54" s="39" t="s">
        <v>98</v>
      </c>
      <c r="AA54" s="39" t="s">
        <v>103</v>
      </c>
      <c r="AB54" s="39" t="s">
        <v>75</v>
      </c>
      <c r="AC54" s="39" t="s">
        <v>75</v>
      </c>
      <c r="AD54" s="39" t="s">
        <v>75</v>
      </c>
      <c r="AE54" s="39" t="s">
        <v>75</v>
      </c>
      <c r="AF54" s="39" t="s">
        <v>75</v>
      </c>
      <c r="AG54" s="39" t="s">
        <v>76</v>
      </c>
      <c r="AH54" t="str">
        <f>VLOOKUP($R54,武学奇术!$A:$ZZ,25,FALSE)</f>
        <v>剑</v>
      </c>
      <c r="AI54" s="24">
        <f>VLOOKUP($R54,武学奇术!$A:$ZZ,26,FALSE)</f>
        <v>4.7037</v>
      </c>
      <c r="AJ54" s="25">
        <f>VLOOKUP($R54,武学奇术!$A:$ZZ,27,FALSE)*(1+IF(OR($AH54=$F$4,$AH54=$F$5),$B$22,0))</f>
        <v>1820</v>
      </c>
      <c r="AK54" s="24">
        <f>VLOOKUP($R54,武学奇术!$A:$ZZ,28,FALSE)</f>
        <v>7.0554</v>
      </c>
      <c r="AL54" s="25">
        <f>VLOOKUP($R54,武学奇术!$A:$ZZ,29,FALSE)*(1+IF(OR($AH54=$F$4,$AH54=$F$5),$B$22,0))</f>
        <v>992.6</v>
      </c>
      <c r="AM54" s="24" cm="1">
        <f t="array" ref="AM54">$G$3+IFERROR(VLOOKUP($AH54,$F$4:$G$7,2,FALSE),0)+VLOOKUP($R54,武学奇术!$A:$ZZ,2,FALSE)+SUM(_xlfn.XLOOKUP($S54:$AG54,增益!$A:$A,增益!$B:$B,0))</f>
        <v>1.3391</v>
      </c>
      <c r="AN54" s="24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1302.4</v>
      </c>
      <c r="AP54" cm="1">
        <f t="array" ref="AP54">$E$10*(1+$AN54)+VLOOKUP($R54,武学奇术!$A:$ZZ,4,FALSE)+SUM(_xlfn.XLOOKUP($S54:$AG54,增益!$A:$A,增益!$D:$D,0))-$I$2</f>
        <v>6112.4</v>
      </c>
      <c r="AQ54" s="32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0.1925</v>
      </c>
      <c r="AR54" s="32" cm="1">
        <f t="array" ref="AR54">$G$10+VLOOKUP($R54,武学奇术!$A:$ZZ,7,FALSE)+SUM(_xlfn.XLOOKUP(S54:AG54,增益!$A:$A,增益!$G:$G,0))</f>
        <v>0</v>
      </c>
      <c r="AS54" s="24" cm="1">
        <f t="array" ref="AS54">VLOOKUP($R54,武学奇术!$A:$ZZ,8,FALSE)+SUM(_xlfn.XLOOKUP(S54:AG54,增益!$A:$A,增益!$H:$H,0))</f>
        <v>0</v>
      </c>
      <c r="AT54">
        <f t="shared" si="1"/>
        <v>557.3</v>
      </c>
      <c r="AU54">
        <f t="shared" si="2"/>
        <v>1049.5</v>
      </c>
      <c r="AV54" s="32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2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2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2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2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2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2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2" cm="1">
        <f t="array" ref="BI54">$G$14+VLOOKUP($R54,武学奇术!$A:$ZZ,16,FALSE)+SUM(_xlfn.XLOOKUP(S54:AG54,增益!$A:$A,增益!$P:$P,0))</f>
        <v>0</v>
      </c>
      <c r="BJ54" s="24">
        <f>MIN(IF(VLOOKUP($R54,武学奇术!$A:$ZZ,23,FALSE)=1,100%,$B$8),100%)</f>
        <v>0.8271</v>
      </c>
      <c r="BK54" s="24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0.1789</v>
      </c>
      <c r="BL54" s="24" cm="1">
        <f t="array" ref="BL54">1+$B$13+VLOOKUP($R54,武学奇术!$A:$ZZ,18,FALSE)+SUM(_xlfn.XLOOKUP(S54:AG54,增益!$A:$A,增益!$R:$R,0))</f>
        <v>1.5</v>
      </c>
      <c r="BM54" s="24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0.5509</v>
      </c>
      <c r="BN54" s="24" cm="1">
        <f t="array" ref="BN54">1+$B$14+VLOOKUP($R54,武学奇术!$A:$ZZ,20,FALSE)+SUM(_xlfn.XLOOKUP(S54:AG54,增益!$A:$A,增益!$T:$T,0))</f>
        <v>2.062</v>
      </c>
      <c r="BO54" s="24">
        <f t="shared" si="9"/>
        <v>0.14796819</v>
      </c>
      <c r="BP54" s="24">
        <f t="shared" si="10"/>
        <v>0.22348242</v>
      </c>
      <c r="BQ54" s="24">
        <f>IF(VLOOKUP($R54,武学奇术!$A:$ZZ,22,FALSE)=1,0,(1-$BJ54))*(1-$BM54)</f>
        <v>0.07764939</v>
      </c>
      <c r="BR54" s="24" cm="1">
        <f t="array" ref="BR54">SUM(_xlfn.XLOOKUP(S54:AG54,增益!$A:$A,增益!$W:$W,0))+$I$5</f>
        <v>0.11</v>
      </c>
    </row>
    <row r="55" spans="1:70">
      <c r="A55" s="86" t="s">
        <v>150</v>
      </c>
      <c r="B55" s="86">
        <v>2.33</v>
      </c>
      <c r="K55" s="30">
        <f>$L55*VLOOKUP($R55,武学奇术!$A:$ZZ,31,FALSE)</f>
        <v>223820.927302502</v>
      </c>
      <c r="L55" s="30">
        <f t="shared" si="0"/>
        <v>203473.570275002</v>
      </c>
      <c r="M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161646.924105439</v>
      </c>
      <c r="N55" s="30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315974.431955891</v>
      </c>
      <c r="O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107764.616070292</v>
      </c>
      <c r="P55" s="30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54482.1210519552</v>
      </c>
      <c r="Q55" s="38">
        <v>1</v>
      </c>
      <c r="R55" s="39" t="s">
        <v>96</v>
      </c>
      <c r="S55" s="39" t="s">
        <v>143</v>
      </c>
      <c r="T55" s="39" t="s">
        <v>75</v>
      </c>
      <c r="U55" s="39" t="s">
        <v>114</v>
      </c>
      <c r="V55" s="39" t="s">
        <v>75</v>
      </c>
      <c r="W55" s="39" t="s">
        <v>109</v>
      </c>
      <c r="X55" s="39" t="s">
        <v>97</v>
      </c>
      <c r="Y55" s="39" t="s">
        <v>80</v>
      </c>
      <c r="Z55" s="39" t="s">
        <v>98</v>
      </c>
      <c r="AA55" s="39" t="s">
        <v>103</v>
      </c>
      <c r="AB55" s="39" t="s">
        <v>75</v>
      </c>
      <c r="AC55" s="39" t="s">
        <v>75</v>
      </c>
      <c r="AD55" s="39" t="s">
        <v>75</v>
      </c>
      <c r="AE55" s="39" t="s">
        <v>75</v>
      </c>
      <c r="AF55" s="39" t="s">
        <v>75</v>
      </c>
      <c r="AG55" s="39" t="s">
        <v>76</v>
      </c>
      <c r="AH55" t="str">
        <f>VLOOKUP($R55,武学奇术!$A:$ZZ,25,FALSE)</f>
        <v>剑</v>
      </c>
      <c r="AI55" s="24">
        <f>VLOOKUP($R55,武学奇术!$A:$ZZ,26,FALSE)</f>
        <v>4.7037</v>
      </c>
      <c r="AJ55" s="25">
        <f>VLOOKUP($R55,武学奇术!$A:$ZZ,27,FALSE)*(1+IF(OR($AH55=$F$4,$AH55=$F$5),$B$22,0))</f>
        <v>1820</v>
      </c>
      <c r="AK55" s="24">
        <f>VLOOKUP($R55,武学奇术!$A:$ZZ,28,FALSE)</f>
        <v>7.0554</v>
      </c>
      <c r="AL55" s="25">
        <f>VLOOKUP($R55,武学奇术!$A:$ZZ,29,FALSE)*(1+IF(OR($AH55=$F$4,$AH55=$F$5),$B$22,0))</f>
        <v>992.6</v>
      </c>
      <c r="AM55" s="24" cm="1">
        <f t="array" ref="AM55">$G$3+IFERROR(VLOOKUP($AH55,$F$4:$G$7,2,FALSE),0)+VLOOKUP($R55,武学奇术!$A:$ZZ,2,FALSE)+SUM(_xlfn.XLOOKUP($S55:$AG55,增益!$A:$A,增益!$B:$B,0))</f>
        <v>1.3391</v>
      </c>
      <c r="AN55" s="24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1302.4</v>
      </c>
      <c r="AP55" cm="1">
        <f t="array" ref="AP55">$E$10*(1+$AN55)+VLOOKUP($R55,武学奇术!$A:$ZZ,4,FALSE)+SUM(_xlfn.XLOOKUP($S55:$AG55,增益!$A:$A,增益!$D:$D,0))-$I$2</f>
        <v>6112.4</v>
      </c>
      <c r="AQ55" s="32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0.1925</v>
      </c>
      <c r="AR55" s="32" cm="1">
        <f t="array" ref="AR55">$G$10+VLOOKUP($R55,武学奇术!$A:$ZZ,7,FALSE)+SUM(_xlfn.XLOOKUP(S55:AG55,增益!$A:$A,增益!$G:$G,0))</f>
        <v>0</v>
      </c>
      <c r="AS55" s="24" cm="1">
        <f t="array" ref="AS55">VLOOKUP($R55,武学奇术!$A:$ZZ,8,FALSE)+SUM(_xlfn.XLOOKUP(S55:AG55,增益!$A:$A,增益!$H:$H,0))</f>
        <v>0</v>
      </c>
      <c r="AT55">
        <f t="shared" si="1"/>
        <v>557.3</v>
      </c>
      <c r="AU55">
        <f t="shared" si="2"/>
        <v>1049.5</v>
      </c>
      <c r="AV55" s="32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2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2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2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2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2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2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2" cm="1">
        <f t="array" ref="BI55">$G$14+VLOOKUP($R55,武学奇术!$A:$ZZ,16,FALSE)+SUM(_xlfn.XLOOKUP(S55:AG55,增益!$A:$A,增益!$P:$P,0))</f>
        <v>0</v>
      </c>
      <c r="BJ55" s="24">
        <f>MIN(IF(VLOOKUP($R55,武学奇术!$A:$ZZ,23,FALSE)=1,100%,$B$8),100%)</f>
        <v>0.8271</v>
      </c>
      <c r="BK55" s="24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0.1789</v>
      </c>
      <c r="BL55" s="24" cm="1">
        <f t="array" ref="BL55">1+$B$13+VLOOKUP($R55,武学奇术!$A:$ZZ,18,FALSE)+SUM(_xlfn.XLOOKUP(S55:AG55,增益!$A:$A,增益!$R:$R,0))</f>
        <v>1.5</v>
      </c>
      <c r="BM55" s="24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0.4459</v>
      </c>
      <c r="BN55" s="24" cm="1">
        <f t="array" ref="BN55">1+$B$14+VLOOKUP($R55,武学奇术!$A:$ZZ,20,FALSE)+SUM(_xlfn.XLOOKUP(S55:AG55,增益!$A:$A,增益!$T:$T,0))</f>
        <v>1.962</v>
      </c>
      <c r="BO55" s="24">
        <f t="shared" si="9"/>
        <v>0.14796819</v>
      </c>
      <c r="BP55" s="24">
        <f t="shared" si="10"/>
        <v>0.31032792</v>
      </c>
      <c r="BQ55" s="24">
        <f>IF(VLOOKUP($R55,武学奇术!$A:$ZZ,22,FALSE)=1,0,(1-$BJ55))*(1-$BM55)</f>
        <v>0.09580389</v>
      </c>
      <c r="BR55" s="24" cm="1">
        <f t="array" ref="BR55">SUM(_xlfn.XLOOKUP(S55:AG55,增益!$A:$A,增益!$W:$W,0))+$I$5</f>
        <v>0.11</v>
      </c>
    </row>
    <row r="56" spans="1:70">
      <c r="A56" s="86" t="s">
        <v>150</v>
      </c>
      <c r="B56" s="86">
        <v>2.33</v>
      </c>
      <c r="C56" s="4"/>
      <c r="K56" s="30">
        <f>$L56*VLOOKUP($R56,武学奇术!$A:$ZZ,31,FALSE)</f>
        <v>19071.0782689018</v>
      </c>
      <c r="L56" s="30">
        <f t="shared" si="0"/>
        <v>17337.3438808198</v>
      </c>
      <c r="M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14706.9427215432</v>
      </c>
      <c r="N56" s="30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26112.9786298108</v>
      </c>
      <c r="O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9804.6284810288</v>
      </c>
      <c r="P56" s="30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4955.50913388095</v>
      </c>
      <c r="Q56" s="38">
        <v>1</v>
      </c>
      <c r="R56" s="39" t="s">
        <v>93</v>
      </c>
      <c r="S56" s="39" t="s">
        <v>143</v>
      </c>
      <c r="T56" s="39" t="s">
        <v>75</v>
      </c>
      <c r="U56" s="39" t="s">
        <v>114</v>
      </c>
      <c r="V56" s="39" t="s">
        <v>75</v>
      </c>
      <c r="W56" s="39" t="s">
        <v>75</v>
      </c>
      <c r="X56" s="39" t="s">
        <v>75</v>
      </c>
      <c r="Y56" s="39" t="s">
        <v>75</v>
      </c>
      <c r="Z56" s="39" t="s">
        <v>75</v>
      </c>
      <c r="AA56" s="39" t="s">
        <v>103</v>
      </c>
      <c r="AB56" s="39" t="s">
        <v>75</v>
      </c>
      <c r="AC56" s="39" t="s">
        <v>75</v>
      </c>
      <c r="AD56" s="39" t="s">
        <v>75</v>
      </c>
      <c r="AE56" s="39" t="s">
        <v>75</v>
      </c>
      <c r="AF56" s="39" t="s">
        <v>75</v>
      </c>
      <c r="AG56" s="39" t="s">
        <v>76</v>
      </c>
      <c r="AH56" t="str">
        <f>VLOOKUP($R56,武学奇术!$A:$ZZ,25,FALSE)</f>
        <v>剑</v>
      </c>
      <c r="AI56" s="24">
        <f>VLOOKUP($R56,武学奇术!$A:$ZZ,26,FALSE)</f>
        <v>1.0253</v>
      </c>
      <c r="AJ56" s="25">
        <f>VLOOKUP($R56,武学奇术!$A:$ZZ,27,FALSE)*(1+IF(OR($AH56=$F$4,$AH56=$F$5),$B$22,0))</f>
        <v>396.2</v>
      </c>
      <c r="AK56" s="24">
        <f>VLOOKUP($R56,武学奇术!$A:$ZZ,28,FALSE)</f>
        <v>1.538</v>
      </c>
      <c r="AL56" s="25">
        <f>VLOOKUP($R56,武学奇术!$A:$ZZ,29,FALSE)*(1+IF(OR($AH56=$F$4,$AH56=$F$5),$B$22,0))</f>
        <v>215.6</v>
      </c>
      <c r="AM56" s="24" cm="1">
        <f t="array" ref="AM56">$G$3+IFERROR(VLOOKUP($AH56,$F$4:$G$7,2,FALSE),0)+VLOOKUP($R56,武学奇术!$A:$ZZ,2,FALSE)+SUM(_xlfn.XLOOKUP($S56:$AG56,增益!$A:$A,增益!$B:$B,0))</f>
        <v>0.2891</v>
      </c>
      <c r="AN56" s="24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1302.4</v>
      </c>
      <c r="AP56" cm="1">
        <f t="array" ref="AP56">$E$10*(1+$AN56)+VLOOKUP($R56,武学奇术!$A:$ZZ,4,FALSE)+SUM(_xlfn.XLOOKUP($S56:$AG56,增益!$A:$A,增益!$D:$D,0))-$I$2</f>
        <v>6112.4</v>
      </c>
      <c r="AQ56" s="32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0.1925</v>
      </c>
      <c r="AR56" s="32" cm="1">
        <f t="array" ref="AR56">$G$10+VLOOKUP($R56,武学奇术!$A:$ZZ,7,FALSE)+SUM(_xlfn.XLOOKUP(S56:AG56,增益!$A:$A,增益!$G:$G,0))</f>
        <v>0</v>
      </c>
      <c r="AS56" s="24" cm="1">
        <f t="array" ref="AS56">VLOOKUP($R56,武学奇术!$A:$ZZ,8,FALSE)+SUM(_xlfn.XLOOKUP(S56:AG56,增益!$A:$A,增益!$H:$H,0))</f>
        <v>0</v>
      </c>
      <c r="AT56">
        <f t="shared" si="1"/>
        <v>557.3</v>
      </c>
      <c r="AU56">
        <f t="shared" si="2"/>
        <v>1049.5</v>
      </c>
      <c r="AV56" s="32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2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2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2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2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2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2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2" cm="1">
        <f t="array" ref="BI56">$G$14+VLOOKUP($R56,武学奇术!$A:$ZZ,16,FALSE)+SUM(_xlfn.XLOOKUP(S56:AG56,增益!$A:$A,增益!$P:$P,0))</f>
        <v>0</v>
      </c>
      <c r="BJ56" s="24">
        <f>MIN(IF(VLOOKUP($R56,武学奇术!$A:$ZZ,23,FALSE)=1,100%,$B$8),100%)</f>
        <v>0.8271</v>
      </c>
      <c r="BK56" s="24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0.1789</v>
      </c>
      <c r="BL56" s="24" cm="1">
        <f t="array" ref="BL56">1+$B$13+VLOOKUP($R56,武学奇术!$A:$ZZ,18,FALSE)+SUM(_xlfn.XLOOKUP(S56:AG56,增益!$A:$A,增益!$R:$R,0))</f>
        <v>1.5</v>
      </c>
      <c r="BM56" s="24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4" cm="1">
        <f t="array" ref="BN56">1+$B$14+VLOOKUP($R56,武学奇术!$A:$ZZ,20,FALSE)+SUM(_xlfn.XLOOKUP(S56:AG56,增益!$A:$A,增益!$T:$T,0))</f>
        <v>1.782</v>
      </c>
      <c r="BO56" s="24">
        <f t="shared" si="9"/>
        <v>0.14796819</v>
      </c>
      <c r="BP56" s="24">
        <f t="shared" si="10"/>
        <v>0.31032792</v>
      </c>
      <c r="BQ56" s="24">
        <f>IF(VLOOKUP($R56,武学奇术!$A:$ZZ,22,FALSE)=1,0,(1-$BJ56))*(1-$BM56)</f>
        <v>0.09580389</v>
      </c>
      <c r="BR56" s="24" cm="1">
        <f t="array" ref="BR56">SUM(_xlfn.XLOOKUP(S56:AG56,增益!$A:$A,增益!$W:$W,0))+$I$5</f>
        <v>0.11</v>
      </c>
    </row>
    <row r="57" spans="1:70">
      <c r="A57" s="86" t="s">
        <v>145</v>
      </c>
      <c r="B57" s="86">
        <v>1.1</v>
      </c>
      <c r="D57" s="4"/>
      <c r="E57" s="4"/>
      <c r="K57" s="30">
        <f>$L57*VLOOKUP($R57,武学奇术!$A:$ZZ,31,FALSE)</f>
        <v>258692.50368354</v>
      </c>
      <c r="L57" s="30">
        <f t="shared" si="0"/>
        <v>235175.003348672</v>
      </c>
      <c r="M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161646.924105439</v>
      </c>
      <c r="N57" s="30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332079.143064754</v>
      </c>
      <c r="O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107764.616070292</v>
      </c>
      <c r="P57" s="30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54482.1210519552</v>
      </c>
      <c r="Q57" s="38">
        <v>1</v>
      </c>
      <c r="R57" s="39" t="s">
        <v>96</v>
      </c>
      <c r="S57" s="39" t="s">
        <v>143</v>
      </c>
      <c r="T57" s="39" t="s">
        <v>69</v>
      </c>
      <c r="U57" s="39" t="s">
        <v>73</v>
      </c>
      <c r="V57" s="39" t="s">
        <v>75</v>
      </c>
      <c r="W57" s="39" t="s">
        <v>109</v>
      </c>
      <c r="X57" s="39" t="s">
        <v>97</v>
      </c>
      <c r="Y57" s="39" t="s">
        <v>80</v>
      </c>
      <c r="Z57" s="39" t="s">
        <v>98</v>
      </c>
      <c r="AA57" s="39" t="s">
        <v>103</v>
      </c>
      <c r="AB57" s="39" t="s">
        <v>75</v>
      </c>
      <c r="AC57" s="39" t="s">
        <v>75</v>
      </c>
      <c r="AD57" s="39" t="s">
        <v>75</v>
      </c>
      <c r="AE57" s="39" t="s">
        <v>75</v>
      </c>
      <c r="AF57" s="39" t="s">
        <v>75</v>
      </c>
      <c r="AG57" s="39" t="s">
        <v>76</v>
      </c>
      <c r="AH57" t="str">
        <f>VLOOKUP($R57,武学奇术!$A:$ZZ,25,FALSE)</f>
        <v>剑</v>
      </c>
      <c r="AI57" s="24">
        <f>VLOOKUP($R57,武学奇术!$A:$ZZ,26,FALSE)</f>
        <v>4.7037</v>
      </c>
      <c r="AJ57" s="25">
        <f>VLOOKUP($R57,武学奇术!$A:$ZZ,27,FALSE)*(1+IF(OR($AH57=$F$4,$AH57=$F$5),$B$22,0))</f>
        <v>1820</v>
      </c>
      <c r="AK57" s="24">
        <f>VLOOKUP($R57,武学奇术!$A:$ZZ,28,FALSE)</f>
        <v>7.0554</v>
      </c>
      <c r="AL57" s="25">
        <f>VLOOKUP($R57,武学奇术!$A:$ZZ,29,FALSE)*(1+IF(OR($AH57=$F$4,$AH57=$F$5),$B$22,0))</f>
        <v>992.6</v>
      </c>
      <c r="AM57" s="24" cm="1">
        <f t="array" ref="AM57">$G$3+IFERROR(VLOOKUP($AH57,$F$4:$G$7,2,FALSE),0)+VLOOKUP($R57,武学奇术!$A:$ZZ,2,FALSE)+SUM(_xlfn.XLOOKUP($S57:$AG57,增益!$A:$A,增益!$B:$B,0))</f>
        <v>1.3391</v>
      </c>
      <c r="AN57" s="24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1302.4</v>
      </c>
      <c r="AP57" cm="1">
        <f t="array" ref="AP57">$E$10*(1+$AN57)+VLOOKUP($R57,武学奇术!$A:$ZZ,4,FALSE)+SUM(_xlfn.XLOOKUP($S57:$AG57,增益!$A:$A,增益!$D:$D,0))-$I$2</f>
        <v>6112.4</v>
      </c>
      <c r="AQ57" s="32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0.1925</v>
      </c>
      <c r="AR57" s="32" cm="1">
        <f t="array" ref="AR57">$G$10+VLOOKUP($R57,武学奇术!$A:$ZZ,7,FALSE)+SUM(_xlfn.XLOOKUP(S57:AG57,增益!$A:$A,增益!$G:$G,0))</f>
        <v>0</v>
      </c>
      <c r="AS57" s="24" cm="1">
        <f t="array" ref="AS57">VLOOKUP($R57,武学奇术!$A:$ZZ,8,FALSE)+SUM(_xlfn.XLOOKUP(S57:AG57,增益!$A:$A,增益!$H:$H,0))</f>
        <v>0</v>
      </c>
      <c r="AT57">
        <f t="shared" si="1"/>
        <v>557.3</v>
      </c>
      <c r="AU57">
        <f t="shared" si="2"/>
        <v>1049.5</v>
      </c>
      <c r="AV57" s="32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2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2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2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2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2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2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2" cm="1">
        <f t="array" ref="BI57">$G$14+VLOOKUP($R57,武学奇术!$A:$ZZ,16,FALSE)+SUM(_xlfn.XLOOKUP(S57:AG57,增益!$A:$A,增益!$P:$P,0))</f>
        <v>0</v>
      </c>
      <c r="BJ57" s="24">
        <f>MIN(IF(VLOOKUP($R57,武学奇术!$A:$ZZ,23,FALSE)=1,100%,$B$8),100%)</f>
        <v>0.8271</v>
      </c>
      <c r="BK57" s="24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0.1789</v>
      </c>
      <c r="BL57" s="24" cm="1">
        <f t="array" ref="BL57">1+$B$13+VLOOKUP($R57,武学奇术!$A:$ZZ,18,FALSE)+SUM(_xlfn.XLOOKUP(S57:AG57,增益!$A:$A,增益!$R:$R,0))</f>
        <v>1.5</v>
      </c>
      <c r="BM57" s="24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0.5509</v>
      </c>
      <c r="BN57" s="24" cm="1">
        <f t="array" ref="BN57">1+$B$14+VLOOKUP($R57,武学奇术!$A:$ZZ,20,FALSE)+SUM(_xlfn.XLOOKUP(S57:AG57,增益!$A:$A,增益!$T:$T,0))</f>
        <v>2.062</v>
      </c>
      <c r="BO57" s="24">
        <f t="shared" si="9"/>
        <v>0.14796819</v>
      </c>
      <c r="BP57" s="24">
        <f t="shared" si="10"/>
        <v>0.22348242</v>
      </c>
      <c r="BQ57" s="24">
        <f>IF(VLOOKUP($R57,武学奇术!$A:$ZZ,22,FALSE)=1,0,(1-$BJ57))*(1-$BM57)</f>
        <v>0.07764939</v>
      </c>
      <c r="BR57" s="24" cm="1">
        <f t="array" ref="BR57">SUM(_xlfn.XLOOKUP(S57:AG57,增益!$A:$A,增益!$W:$W,0))+$I$5</f>
        <v>0.11</v>
      </c>
    </row>
    <row r="58" spans="1:70">
      <c r="A58" s="86" t="s">
        <v>150</v>
      </c>
      <c r="B58" s="86">
        <v>2.33</v>
      </c>
      <c r="C58" s="38" t="s">
        <v>73</v>
      </c>
      <c r="K58" s="30">
        <f>$L58*VLOOKUP($R58,武学奇术!$A:$ZZ,31,FALSE)</f>
        <v>258692.50368354</v>
      </c>
      <c r="L58" s="30">
        <f t="shared" si="0"/>
        <v>235175.003348672</v>
      </c>
      <c r="M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161646.924105439</v>
      </c>
      <c r="N58" s="30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332079.143064754</v>
      </c>
      <c r="O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107764.616070292</v>
      </c>
      <c r="P58" s="30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54482.1210519552</v>
      </c>
      <c r="Q58" s="38">
        <v>1</v>
      </c>
      <c r="R58" s="39" t="s">
        <v>96</v>
      </c>
      <c r="S58" s="39" t="s">
        <v>143</v>
      </c>
      <c r="T58" s="39" t="s">
        <v>69</v>
      </c>
      <c r="U58" s="39" t="s">
        <v>73</v>
      </c>
      <c r="V58" s="39" t="s">
        <v>75</v>
      </c>
      <c r="W58" s="39" t="s">
        <v>109</v>
      </c>
      <c r="X58" s="39" t="s">
        <v>97</v>
      </c>
      <c r="Y58" s="39" t="s">
        <v>80</v>
      </c>
      <c r="Z58" s="39" t="s">
        <v>98</v>
      </c>
      <c r="AA58" s="39" t="s">
        <v>103</v>
      </c>
      <c r="AB58" s="39" t="s">
        <v>75</v>
      </c>
      <c r="AC58" s="39" t="s">
        <v>75</v>
      </c>
      <c r="AD58" s="39" t="s">
        <v>75</v>
      </c>
      <c r="AE58" s="39" t="s">
        <v>75</v>
      </c>
      <c r="AF58" s="39" t="s">
        <v>75</v>
      </c>
      <c r="AG58" s="39" t="s">
        <v>76</v>
      </c>
      <c r="AH58" t="str">
        <f>VLOOKUP($R58,武学奇术!$A:$ZZ,25,FALSE)</f>
        <v>剑</v>
      </c>
      <c r="AI58" s="24">
        <f>VLOOKUP($R58,武学奇术!$A:$ZZ,26,FALSE)</f>
        <v>4.7037</v>
      </c>
      <c r="AJ58" s="25">
        <f>VLOOKUP($R58,武学奇术!$A:$ZZ,27,FALSE)*(1+IF(OR($AH58=$F$4,$AH58=$F$5),$B$22,0))</f>
        <v>1820</v>
      </c>
      <c r="AK58" s="24">
        <f>VLOOKUP($R58,武学奇术!$A:$ZZ,28,FALSE)</f>
        <v>7.0554</v>
      </c>
      <c r="AL58" s="25">
        <f>VLOOKUP($R58,武学奇术!$A:$ZZ,29,FALSE)*(1+IF(OR($AH58=$F$4,$AH58=$F$5),$B$22,0))</f>
        <v>992.6</v>
      </c>
      <c r="AM58" s="24" cm="1">
        <f t="array" ref="AM58">$G$3+IFERROR(VLOOKUP($AH58,$F$4:$G$7,2,FALSE),0)+VLOOKUP($R58,武学奇术!$A:$ZZ,2,FALSE)+SUM(_xlfn.XLOOKUP($S58:$AG58,增益!$A:$A,增益!$B:$B,0))</f>
        <v>1.3391</v>
      </c>
      <c r="AN58" s="24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1302.4</v>
      </c>
      <c r="AP58" cm="1">
        <f t="array" ref="AP58">$E$10*(1+$AN58)+VLOOKUP($R58,武学奇术!$A:$ZZ,4,FALSE)+SUM(_xlfn.XLOOKUP($S58:$AG58,增益!$A:$A,增益!$D:$D,0))-$I$2</f>
        <v>6112.4</v>
      </c>
      <c r="AQ58" s="32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0.1925</v>
      </c>
      <c r="AR58" s="32" cm="1">
        <f t="array" ref="AR58">$G$10+VLOOKUP($R58,武学奇术!$A:$ZZ,7,FALSE)+SUM(_xlfn.XLOOKUP(S58:AG58,增益!$A:$A,增益!$G:$G,0))</f>
        <v>0</v>
      </c>
      <c r="AS58" s="24" cm="1">
        <f t="array" ref="AS58">VLOOKUP($R58,武学奇术!$A:$ZZ,8,FALSE)+SUM(_xlfn.XLOOKUP(S58:AG58,增益!$A:$A,增益!$H:$H,0))</f>
        <v>0</v>
      </c>
      <c r="AT58">
        <f t="shared" si="1"/>
        <v>557.3</v>
      </c>
      <c r="AU58">
        <f t="shared" si="2"/>
        <v>1049.5</v>
      </c>
      <c r="AV58" s="32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2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2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2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2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2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2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2" cm="1">
        <f t="array" ref="BI58">$G$14+VLOOKUP($R58,武学奇术!$A:$ZZ,16,FALSE)+SUM(_xlfn.XLOOKUP(S58:AG58,增益!$A:$A,增益!$P:$P,0))</f>
        <v>0</v>
      </c>
      <c r="BJ58" s="24">
        <f>MIN(IF(VLOOKUP($R58,武学奇术!$A:$ZZ,23,FALSE)=1,100%,$B$8),100%)</f>
        <v>0.8271</v>
      </c>
      <c r="BK58" s="24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0.1789</v>
      </c>
      <c r="BL58" s="24" cm="1">
        <f t="array" ref="BL58">1+$B$13+VLOOKUP($R58,武学奇术!$A:$ZZ,18,FALSE)+SUM(_xlfn.XLOOKUP(S58:AG58,增益!$A:$A,增益!$R:$R,0))</f>
        <v>1.5</v>
      </c>
      <c r="BM58" s="24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0.5509</v>
      </c>
      <c r="BN58" s="24" cm="1">
        <f t="array" ref="BN58">1+$B$14+VLOOKUP($R58,武学奇术!$A:$ZZ,20,FALSE)+SUM(_xlfn.XLOOKUP(S58:AG58,增益!$A:$A,增益!$T:$T,0))</f>
        <v>2.062</v>
      </c>
      <c r="BO58" s="24">
        <f t="shared" si="9"/>
        <v>0.14796819</v>
      </c>
      <c r="BP58" s="24">
        <f t="shared" si="10"/>
        <v>0.22348242</v>
      </c>
      <c r="BQ58" s="24">
        <f>IF(VLOOKUP($R58,武学奇术!$A:$ZZ,22,FALSE)=1,0,(1-$BJ58))*(1-$BM58)</f>
        <v>0.07764939</v>
      </c>
      <c r="BR58" s="24" cm="1">
        <f t="array" ref="BR58">SUM(_xlfn.XLOOKUP(S58:AG58,增益!$A:$A,增益!$W:$W,0))+$I$5</f>
        <v>0.11</v>
      </c>
    </row>
    <row r="59" spans="1:70">
      <c r="A59" s="86" t="s">
        <v>150</v>
      </c>
      <c r="B59" s="86">
        <v>2.33</v>
      </c>
      <c r="C59" s="38"/>
      <c r="K59" s="30">
        <f>$L59*VLOOKUP($R59,武学奇术!$A:$ZZ,31,FALSE)</f>
        <v>81608.0515521563</v>
      </c>
      <c r="L59" s="30">
        <f t="shared" si="0"/>
        <v>74189.1377746876</v>
      </c>
      <c r="M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53606.636838517</v>
      </c>
      <c r="N59" s="30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103445.890914523</v>
      </c>
      <c r="O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35737.7578923447</v>
      </c>
      <c r="P59" s="30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16509.5801234128</v>
      </c>
      <c r="Q59" s="38">
        <v>1</v>
      </c>
      <c r="R59" s="39" t="s">
        <v>144</v>
      </c>
      <c r="S59" s="39" t="s">
        <v>143</v>
      </c>
      <c r="T59" s="39" t="s">
        <v>69</v>
      </c>
      <c r="U59" s="39" t="s">
        <v>73</v>
      </c>
      <c r="V59" s="39" t="s">
        <v>74</v>
      </c>
      <c r="W59" s="39" t="s">
        <v>75</v>
      </c>
      <c r="X59" s="39" t="s">
        <v>75</v>
      </c>
      <c r="Y59" s="39" t="s">
        <v>75</v>
      </c>
      <c r="Z59" s="39" t="s">
        <v>75</v>
      </c>
      <c r="AA59" s="39" t="s">
        <v>103</v>
      </c>
      <c r="AB59" s="39" t="s">
        <v>75</v>
      </c>
      <c r="AC59" s="39" t="s">
        <v>75</v>
      </c>
      <c r="AD59" s="39" t="s">
        <v>75</v>
      </c>
      <c r="AE59" s="39" t="s">
        <v>75</v>
      </c>
      <c r="AF59" s="39" t="s">
        <v>75</v>
      </c>
      <c r="AG59" s="39" t="s">
        <v>76</v>
      </c>
      <c r="AH59" t="str">
        <f>VLOOKUP($R59,武学奇术!$A:$ZZ,25,FALSE)</f>
        <v>群体奇术</v>
      </c>
      <c r="AI59" s="24">
        <f>VLOOKUP($R59,武学奇术!$A:$ZZ,26,FALSE)</f>
        <v>3.9744</v>
      </c>
      <c r="AJ59" s="25">
        <f>VLOOKUP($R59,武学奇术!$A:$ZZ,27,FALSE)*(1+IF(OR($AH59=$F$4,$AH59=$F$5),$B$22,0))</f>
        <v>982</v>
      </c>
      <c r="AK59" s="24">
        <f>VLOOKUP($R59,武学奇术!$A:$ZZ,28,FALSE)</f>
        <v>5.9613</v>
      </c>
      <c r="AL59" s="25">
        <f>VLOOKUP($R59,武学奇术!$A:$ZZ,29,FALSE)*(1+IF(OR($AH59=$F$4,$AH59=$F$5),$B$22,0))</f>
        <v>0</v>
      </c>
      <c r="AM59" s="24" cm="1">
        <f t="array" ref="AM59">$G$3+IFERROR(VLOOKUP($AH59,$F$4:$G$7,2,FALSE),0)+VLOOKUP($R59,武学奇术!$A:$ZZ,2,FALSE)+SUM(_xlfn.XLOOKUP($S59:$AG59,增益!$A:$A,增益!$B:$B,0))</f>
        <v>0.3187</v>
      </c>
      <c r="AN59" s="24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1302.4</v>
      </c>
      <c r="AP59" cm="1">
        <f t="array" ref="AP59">$E$10*(1+$AN59)+VLOOKUP($R59,武学奇术!$A:$ZZ,4,FALSE)+SUM(_xlfn.XLOOKUP($S59:$AG59,增益!$A:$A,增益!$D:$D,0))-$I$2</f>
        <v>6112.4</v>
      </c>
      <c r="AQ59" s="32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0.1925</v>
      </c>
      <c r="AR59" s="32" cm="1">
        <f t="array" ref="AR59">$G$10+VLOOKUP($R59,武学奇术!$A:$ZZ,7,FALSE)+SUM(_xlfn.XLOOKUP(S59:AG59,增益!$A:$A,增益!$G:$G,0))</f>
        <v>0</v>
      </c>
      <c r="AS59" s="24" cm="1">
        <f t="array" ref="AS59">VLOOKUP($R59,武学奇术!$A:$ZZ,8,FALSE)+SUM(_xlfn.XLOOKUP(S59:AG59,增益!$A:$A,增益!$H:$H,0))</f>
        <v>0</v>
      </c>
      <c r="AT59">
        <f t="shared" si="1"/>
        <v>557.3</v>
      </c>
      <c r="AU59">
        <f t="shared" si="2"/>
        <v>1049.5</v>
      </c>
      <c r="AV59" s="32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2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2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2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2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2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2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2" cm="1">
        <f t="array" ref="BI59">$G$14+VLOOKUP($R59,武学奇术!$A:$ZZ,16,FALSE)+SUM(_xlfn.XLOOKUP(S59:AG59,增益!$A:$A,增益!$P:$P,0))</f>
        <v>0</v>
      </c>
      <c r="BJ59" s="24">
        <f>MIN(IF(VLOOKUP($R59,武学奇术!$A:$ZZ,23,FALSE)=1,100%,$B$8),100%)</f>
        <v>0.8271</v>
      </c>
      <c r="BK59" s="24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0.1789</v>
      </c>
      <c r="BL59" s="24" cm="1">
        <f t="array" ref="BL59">1+$B$13+VLOOKUP($R59,武学奇术!$A:$ZZ,18,FALSE)+SUM(_xlfn.XLOOKUP(S59:AG59,增益!$A:$A,增益!$R:$R,0))</f>
        <v>1.5</v>
      </c>
      <c r="BM59" s="24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0.5509</v>
      </c>
      <c r="BN59" s="24" cm="1">
        <f t="array" ref="BN59">1+$B$14+VLOOKUP($R59,武学奇术!$A:$ZZ,20,FALSE)+SUM(_xlfn.XLOOKUP(S59:AG59,增益!$A:$A,增益!$T:$T,0))</f>
        <v>1.882</v>
      </c>
      <c r="BO59" s="24">
        <f t="shared" si="9"/>
        <v>0.14796819</v>
      </c>
      <c r="BP59" s="24">
        <f t="shared" si="10"/>
        <v>0.22348242</v>
      </c>
      <c r="BQ59" s="24">
        <f>IF(VLOOKUP($R59,武学奇术!$A:$ZZ,22,FALSE)=1,0,(1-$BJ59))*(1-$BM59)</f>
        <v>0.07764939</v>
      </c>
      <c r="BR59" s="24" cm="1">
        <f t="array" ref="BR59">SUM(_xlfn.XLOOKUP(S59:AG59,增益!$A:$A,增益!$W:$W,0))+$I$5</f>
        <v>0.11</v>
      </c>
    </row>
    <row r="60" spans="1:70">
      <c r="A60" s="86" t="s">
        <v>146</v>
      </c>
      <c r="B60" s="86">
        <v>3.5</v>
      </c>
      <c r="C60" s="38"/>
      <c r="K60" s="30">
        <f>$L60*VLOOKUP($R60,武学奇术!$A:$ZZ,31,FALSE)</f>
        <v>25960.5401547536</v>
      </c>
      <c r="L60" s="30">
        <f t="shared" si="0"/>
        <v>23600.491049776</v>
      </c>
      <c r="M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17052.7668875903</v>
      </c>
      <c r="N60" s="30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32907.5659590952</v>
      </c>
      <c r="O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11368.5112583935</v>
      </c>
      <c r="P60" s="30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5251.59958421786</v>
      </c>
      <c r="Q60" s="38">
        <v>1</v>
      </c>
      <c r="R60" s="39" t="s">
        <v>71</v>
      </c>
      <c r="S60" s="39" t="s">
        <v>143</v>
      </c>
      <c r="T60" s="39" t="s">
        <v>69</v>
      </c>
      <c r="U60" s="39" t="s">
        <v>73</v>
      </c>
      <c r="V60" s="39" t="s">
        <v>75</v>
      </c>
      <c r="W60" s="39" t="s">
        <v>75</v>
      </c>
      <c r="X60" s="39" t="s">
        <v>75</v>
      </c>
      <c r="Y60" s="39" t="s">
        <v>75</v>
      </c>
      <c r="Z60" s="39" t="s">
        <v>75</v>
      </c>
      <c r="AA60" s="39" t="s">
        <v>103</v>
      </c>
      <c r="AB60" s="39" t="s">
        <v>75</v>
      </c>
      <c r="AC60" s="39" t="s">
        <v>75</v>
      </c>
      <c r="AD60" s="39" t="s">
        <v>75</v>
      </c>
      <c r="AE60" s="39" t="s">
        <v>75</v>
      </c>
      <c r="AF60" s="39" t="s">
        <v>75</v>
      </c>
      <c r="AG60" s="39" t="s">
        <v>76</v>
      </c>
      <c r="AH60" t="str">
        <f>VLOOKUP($R60,武学奇术!$A:$ZZ,25,FALSE)</f>
        <v>群体奇术</v>
      </c>
      <c r="AI60" s="24">
        <f>VLOOKUP($R60,武学奇术!$A:$ZZ,26,FALSE)</f>
        <v>1.4904</v>
      </c>
      <c r="AJ60" s="25">
        <f>VLOOKUP($R60,武学奇术!$A:$ZZ,27,FALSE)*(1+IF(OR($AH60=$F$4,$AH60=$F$5),$B$22,0))</f>
        <v>368</v>
      </c>
      <c r="AK60" s="24">
        <f>VLOOKUP($R60,武学奇术!$A:$ZZ,28,FALSE)</f>
        <v>2.2353</v>
      </c>
      <c r="AL60" s="25">
        <f>VLOOKUP($R60,武学奇术!$A:$ZZ,29,FALSE)*(1+IF(OR($AH60=$F$4,$AH60=$F$5),$B$22,0))</f>
        <v>0</v>
      </c>
      <c r="AM60" s="24" cm="1">
        <f t="array" ref="AM60">$G$3+IFERROR(VLOOKUP($AH60,$F$4:$G$7,2,FALSE),0)+VLOOKUP($R60,武学奇术!$A:$ZZ,2,FALSE)+SUM(_xlfn.XLOOKUP($S60:$AG60,增益!$A:$A,增益!$B:$B,0))</f>
        <v>0.1187</v>
      </c>
      <c r="AN60" s="24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1302.4</v>
      </c>
      <c r="AP60" cm="1">
        <f t="array" ref="AP60">$E$10*(1+$AN60)+VLOOKUP($R60,武学奇术!$A:$ZZ,4,FALSE)+SUM(_xlfn.XLOOKUP($S60:$AG60,增益!$A:$A,增益!$D:$D,0))-$I$2</f>
        <v>6112.4</v>
      </c>
      <c r="AQ60" s="32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0.1925</v>
      </c>
      <c r="AR60" s="32" cm="1">
        <f t="array" ref="AR60">$G$10+VLOOKUP($R60,武学奇术!$A:$ZZ,7,FALSE)+SUM(_xlfn.XLOOKUP(S60:AG60,增益!$A:$A,增益!$G:$G,0))</f>
        <v>0</v>
      </c>
      <c r="AS60" s="24" cm="1">
        <f t="array" ref="AS60">VLOOKUP($R60,武学奇术!$A:$ZZ,8,FALSE)+SUM(_xlfn.XLOOKUP(S60:AG60,增益!$A:$A,增益!$H:$H,0))</f>
        <v>0</v>
      </c>
      <c r="AT60">
        <f t="shared" si="1"/>
        <v>557.3</v>
      </c>
      <c r="AU60">
        <f t="shared" si="2"/>
        <v>1049.5</v>
      </c>
      <c r="AV60" s="32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2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2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2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2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2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2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2" cm="1">
        <f t="array" ref="BI60">$G$14+VLOOKUP($R60,武学奇术!$A:$ZZ,16,FALSE)+SUM(_xlfn.XLOOKUP(S60:AG60,增益!$A:$A,增益!$P:$P,0))</f>
        <v>0</v>
      </c>
      <c r="BJ60" s="24">
        <f>MIN(IF(VLOOKUP($R60,武学奇术!$A:$ZZ,23,FALSE)=1,100%,$B$8),100%)</f>
        <v>0.8271</v>
      </c>
      <c r="BK60" s="24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0.1789</v>
      </c>
      <c r="BL60" s="24" cm="1">
        <f t="array" ref="BL60">1+$B$13+VLOOKUP($R60,武学奇术!$A:$ZZ,18,FALSE)+SUM(_xlfn.XLOOKUP(S60:AG60,增益!$A:$A,增益!$R:$R,0))</f>
        <v>1.5</v>
      </c>
      <c r="BM60" s="24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0.5509</v>
      </c>
      <c r="BN60" s="24" cm="1">
        <f t="array" ref="BN60">1+$B$14+VLOOKUP($R60,武学奇术!$A:$ZZ,20,FALSE)+SUM(_xlfn.XLOOKUP(S60:AG60,增益!$A:$A,增益!$T:$T,0))</f>
        <v>1.882</v>
      </c>
      <c r="BO60" s="24">
        <f t="shared" si="9"/>
        <v>0.14796819</v>
      </c>
      <c r="BP60" s="24">
        <f t="shared" si="10"/>
        <v>0.22348242</v>
      </c>
      <c r="BQ60" s="24">
        <f>IF(VLOOKUP($R60,武学奇术!$A:$ZZ,22,FALSE)=1,0,(1-$BJ60))*(1-$BM60)</f>
        <v>0.07764939</v>
      </c>
      <c r="BR60" s="24" cm="1">
        <f t="array" ref="BR60">SUM(_xlfn.XLOOKUP(S60:AG60,增益!$A:$A,增益!$W:$W,0))+$I$5</f>
        <v>0.11</v>
      </c>
    </row>
    <row r="61" spans="1:70">
      <c r="A61" s="86" t="s">
        <v>156</v>
      </c>
      <c r="B61" s="86">
        <v>1.1</v>
      </c>
      <c r="C61" s="38"/>
      <c r="K61" s="30">
        <f>$L61*VLOOKUP($R61,武学奇术!$A:$ZZ,31,FALSE)</f>
        <v>30601.7380013173</v>
      </c>
      <c r="L61" s="30">
        <f t="shared" si="0"/>
        <v>27819.7618193793</v>
      </c>
      <c r="M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20101.4424731075</v>
      </c>
      <c r="N61" s="30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38790.7457140063</v>
      </c>
      <c r="O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13400.9616487383</v>
      </c>
      <c r="P61" s="30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6190.47499035317</v>
      </c>
      <c r="Q61" s="38">
        <v>1</v>
      </c>
      <c r="R61" s="39" t="s">
        <v>71</v>
      </c>
      <c r="S61" s="39" t="s">
        <v>143</v>
      </c>
      <c r="T61" s="39" t="s">
        <v>69</v>
      </c>
      <c r="U61" s="39" t="s">
        <v>73</v>
      </c>
      <c r="V61" s="39" t="s">
        <v>74</v>
      </c>
      <c r="W61" s="39" t="s">
        <v>75</v>
      </c>
      <c r="X61" s="39" t="s">
        <v>75</v>
      </c>
      <c r="Y61" s="39" t="s">
        <v>75</v>
      </c>
      <c r="Z61" s="39" t="s">
        <v>75</v>
      </c>
      <c r="AA61" s="39" t="s">
        <v>103</v>
      </c>
      <c r="AB61" s="39" t="s">
        <v>75</v>
      </c>
      <c r="AC61" s="39" t="s">
        <v>75</v>
      </c>
      <c r="AD61" s="39" t="s">
        <v>75</v>
      </c>
      <c r="AE61" s="39" t="s">
        <v>75</v>
      </c>
      <c r="AF61" s="39" t="s">
        <v>75</v>
      </c>
      <c r="AG61" s="39" t="s">
        <v>76</v>
      </c>
      <c r="AH61" t="str">
        <f>VLOOKUP($R61,武学奇术!$A:$ZZ,25,FALSE)</f>
        <v>群体奇术</v>
      </c>
      <c r="AI61" s="24">
        <f>VLOOKUP($R61,武学奇术!$A:$ZZ,26,FALSE)</f>
        <v>1.4904</v>
      </c>
      <c r="AJ61" s="25">
        <f>VLOOKUP($R61,武学奇术!$A:$ZZ,27,FALSE)*(1+IF(OR($AH61=$F$4,$AH61=$F$5),$B$22,0))</f>
        <v>368</v>
      </c>
      <c r="AK61" s="24">
        <f>VLOOKUP($R61,武学奇术!$A:$ZZ,28,FALSE)</f>
        <v>2.2353</v>
      </c>
      <c r="AL61" s="25">
        <f>VLOOKUP($R61,武学奇术!$A:$ZZ,29,FALSE)*(1+IF(OR($AH61=$F$4,$AH61=$F$5),$B$22,0))</f>
        <v>0</v>
      </c>
      <c r="AM61" s="24" cm="1">
        <f t="array" ref="AM61">$G$3+IFERROR(VLOOKUP($AH61,$F$4:$G$7,2,FALSE),0)+VLOOKUP($R61,武学奇术!$A:$ZZ,2,FALSE)+SUM(_xlfn.XLOOKUP($S61:$AG61,增益!$A:$A,增益!$B:$B,0))</f>
        <v>0.3187</v>
      </c>
      <c r="AN61" s="24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1302.4</v>
      </c>
      <c r="AP61" cm="1">
        <f t="array" ref="AP61">$E$10*(1+$AN61)+VLOOKUP($R61,武学奇术!$A:$ZZ,4,FALSE)+SUM(_xlfn.XLOOKUP($S61:$AG61,增益!$A:$A,增益!$D:$D,0))-$I$2</f>
        <v>6112.4</v>
      </c>
      <c r="AQ61" s="32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0.1925</v>
      </c>
      <c r="AR61" s="32" cm="1">
        <f t="array" ref="AR61">$G$10+VLOOKUP($R61,武学奇术!$A:$ZZ,7,FALSE)+SUM(_xlfn.XLOOKUP(S61:AG61,增益!$A:$A,增益!$G:$G,0))</f>
        <v>0</v>
      </c>
      <c r="AS61" s="24" cm="1">
        <f t="array" ref="AS61">VLOOKUP($R61,武学奇术!$A:$ZZ,8,FALSE)+SUM(_xlfn.XLOOKUP(S61:AG61,增益!$A:$A,增益!$H:$H,0))</f>
        <v>0</v>
      </c>
      <c r="AT61">
        <f t="shared" si="1"/>
        <v>557.3</v>
      </c>
      <c r="AU61">
        <f t="shared" si="2"/>
        <v>1049.5</v>
      </c>
      <c r="AV61" s="32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2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2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2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2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2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2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2" cm="1">
        <f t="array" ref="BI61">$G$14+VLOOKUP($R61,武学奇术!$A:$ZZ,16,FALSE)+SUM(_xlfn.XLOOKUP(S61:AG61,增益!$A:$A,增益!$P:$P,0))</f>
        <v>0</v>
      </c>
      <c r="BJ61" s="24">
        <f>MIN(IF(VLOOKUP($R61,武学奇术!$A:$ZZ,23,FALSE)=1,100%,$B$8),100%)</f>
        <v>0.8271</v>
      </c>
      <c r="BK61" s="24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0.1789</v>
      </c>
      <c r="BL61" s="24" cm="1">
        <f t="array" ref="BL61">1+$B$13+VLOOKUP($R61,武学奇术!$A:$ZZ,18,FALSE)+SUM(_xlfn.XLOOKUP(S61:AG61,增益!$A:$A,增益!$R:$R,0))</f>
        <v>1.5</v>
      </c>
      <c r="BM61" s="24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0.5509</v>
      </c>
      <c r="BN61" s="24" cm="1">
        <f t="array" ref="BN61">1+$B$14+VLOOKUP($R61,武学奇术!$A:$ZZ,20,FALSE)+SUM(_xlfn.XLOOKUP(S61:AG61,增益!$A:$A,增益!$T:$T,0))</f>
        <v>1.882</v>
      </c>
      <c r="BO61" s="24">
        <f t="shared" si="9"/>
        <v>0.14796819</v>
      </c>
      <c r="BP61" s="24">
        <f t="shared" si="10"/>
        <v>0.22348242</v>
      </c>
      <c r="BQ61" s="24">
        <f>IF(VLOOKUP($R61,武学奇术!$A:$ZZ,22,FALSE)=1,0,(1-$BJ61))*(1-$BM61)</f>
        <v>0.07764939</v>
      </c>
      <c r="BR61" s="24" cm="1">
        <f t="array" ref="BR61">SUM(_xlfn.XLOOKUP(S61:AG61,增益!$A:$A,增益!$W:$W,0))+$I$5</f>
        <v>0.11</v>
      </c>
    </row>
    <row r="62" spans="1:70">
      <c r="A62" s="86" t="s">
        <v>150</v>
      </c>
      <c r="B62" s="86">
        <v>2.33</v>
      </c>
      <c r="K62" s="30">
        <f>$L62*VLOOKUP($R62,武学奇术!$A:$ZZ,31,FALSE)</f>
        <v>53028.5079114382</v>
      </c>
      <c r="L62" s="30">
        <f t="shared" si="0"/>
        <v>48207.7344649438</v>
      </c>
      <c r="M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40202.8849462149</v>
      </c>
      <c r="N62" s="30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73459.201766588</v>
      </c>
      <c r="O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26801.9232974766</v>
      </c>
      <c r="P62" s="30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12380.9499807063</v>
      </c>
      <c r="Q62" s="38">
        <v>2</v>
      </c>
      <c r="R62" s="39" t="s">
        <v>71</v>
      </c>
      <c r="S62" s="39" t="s">
        <v>143</v>
      </c>
      <c r="T62" s="39" t="s">
        <v>75</v>
      </c>
      <c r="U62" s="39" t="s">
        <v>114</v>
      </c>
      <c r="V62" s="39" t="s">
        <v>74</v>
      </c>
      <c r="W62" s="39" t="s">
        <v>75</v>
      </c>
      <c r="X62" s="39" t="s">
        <v>75</v>
      </c>
      <c r="Y62" s="39" t="s">
        <v>75</v>
      </c>
      <c r="Z62" s="39" t="s">
        <v>75</v>
      </c>
      <c r="AA62" s="39" t="s">
        <v>103</v>
      </c>
      <c r="AB62" s="39" t="s">
        <v>75</v>
      </c>
      <c r="AC62" s="39" t="s">
        <v>75</v>
      </c>
      <c r="AD62" s="39" t="s">
        <v>75</v>
      </c>
      <c r="AE62" s="39" t="s">
        <v>75</v>
      </c>
      <c r="AF62" s="39" t="s">
        <v>75</v>
      </c>
      <c r="AG62" s="39" t="s">
        <v>76</v>
      </c>
      <c r="AH62" t="str">
        <f>VLOOKUP($R62,武学奇术!$A:$ZZ,25,FALSE)</f>
        <v>群体奇术</v>
      </c>
      <c r="AI62" s="24">
        <f>VLOOKUP($R62,武学奇术!$A:$ZZ,26,FALSE)</f>
        <v>1.4904</v>
      </c>
      <c r="AJ62" s="25">
        <f>VLOOKUP($R62,武学奇术!$A:$ZZ,27,FALSE)*(1+IF(OR($AH62=$F$4,$AH62=$F$5),$B$22,0))</f>
        <v>368</v>
      </c>
      <c r="AK62" s="24">
        <f>VLOOKUP($R62,武学奇术!$A:$ZZ,28,FALSE)</f>
        <v>2.2353</v>
      </c>
      <c r="AL62" s="25">
        <f>VLOOKUP($R62,武学奇术!$A:$ZZ,29,FALSE)*(1+IF(OR($AH62=$F$4,$AH62=$F$5),$B$22,0))</f>
        <v>0</v>
      </c>
      <c r="AM62" s="24" cm="1">
        <f t="array" ref="AM62">$G$3+IFERROR(VLOOKUP($AH62,$F$4:$G$7,2,FALSE),0)+VLOOKUP($R62,武学奇术!$A:$ZZ,2,FALSE)+SUM(_xlfn.XLOOKUP($S62:$AG62,增益!$A:$A,增益!$B:$B,0))</f>
        <v>0.3187</v>
      </c>
      <c r="AN62" s="24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1302.4</v>
      </c>
      <c r="AP62" cm="1">
        <f t="array" ref="AP62">$E$10*(1+$AN62)+VLOOKUP($R62,武学奇术!$A:$ZZ,4,FALSE)+SUM(_xlfn.XLOOKUP($S62:$AG62,增益!$A:$A,增益!$D:$D,0))-$I$2</f>
        <v>6112.4</v>
      </c>
      <c r="AQ62" s="32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0.1925</v>
      </c>
      <c r="AR62" s="32" cm="1">
        <f t="array" ref="AR62">$G$10+VLOOKUP($R62,武学奇术!$A:$ZZ,7,FALSE)+SUM(_xlfn.XLOOKUP(S62:AG62,增益!$A:$A,增益!$G:$G,0))</f>
        <v>0</v>
      </c>
      <c r="AS62" s="24" cm="1">
        <f t="array" ref="AS62">VLOOKUP($R62,武学奇术!$A:$ZZ,8,FALSE)+SUM(_xlfn.XLOOKUP(S62:AG62,增益!$A:$A,增益!$H:$H,0))</f>
        <v>0</v>
      </c>
      <c r="AT62">
        <f t="shared" si="1"/>
        <v>557.3</v>
      </c>
      <c r="AU62">
        <f t="shared" si="2"/>
        <v>1049.5</v>
      </c>
      <c r="AV62" s="32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2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2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2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2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2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2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2" cm="1">
        <f t="array" ref="BI62">$G$14+VLOOKUP($R62,武学奇术!$A:$ZZ,16,FALSE)+SUM(_xlfn.XLOOKUP(S62:AG62,增益!$A:$A,增益!$P:$P,0))</f>
        <v>0</v>
      </c>
      <c r="BJ62" s="24">
        <f>MIN(IF(VLOOKUP($R62,武学奇术!$A:$ZZ,23,FALSE)=1,100%,$B$8),100%)</f>
        <v>0.8271</v>
      </c>
      <c r="BK62" s="24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0.1789</v>
      </c>
      <c r="BL62" s="24" cm="1">
        <f t="array" ref="BL62">1+$B$13+VLOOKUP($R62,武学奇术!$A:$ZZ,18,FALSE)+SUM(_xlfn.XLOOKUP(S62:AG62,增益!$A:$A,增益!$R:$R,0))</f>
        <v>1.5</v>
      </c>
      <c r="BM62" s="24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0.4459</v>
      </c>
      <c r="BN62" s="24" cm="1">
        <f t="array" ref="BN62">1+$B$14+VLOOKUP($R62,武学奇术!$A:$ZZ,20,FALSE)+SUM(_xlfn.XLOOKUP(S62:AG62,增益!$A:$A,增益!$T:$T,0))</f>
        <v>1.782</v>
      </c>
      <c r="BO62" s="24">
        <f t="shared" si="9"/>
        <v>0.14796819</v>
      </c>
      <c r="BP62" s="24">
        <f t="shared" si="10"/>
        <v>0.31032792</v>
      </c>
      <c r="BQ62" s="24">
        <f>IF(VLOOKUP($R62,武学奇术!$A:$ZZ,22,FALSE)=1,0,(1-$BJ62))*(1-$BM62)</f>
        <v>0.09580389</v>
      </c>
      <c r="BR62" s="24" cm="1">
        <f t="array" ref="BR62">SUM(_xlfn.XLOOKUP(S62:AG62,增益!$A:$A,增益!$W:$W,0))+$I$5</f>
        <v>0.11</v>
      </c>
    </row>
    <row r="63" spans="1:70">
      <c r="A63" s="86" t="s">
        <v>145</v>
      </c>
      <c r="B63" s="86">
        <v>1.1</v>
      </c>
      <c r="C63" s="4"/>
      <c r="K63" s="30">
        <f>$L63*VLOOKUP($R63,武学奇术!$A:$ZZ,31,FALSE)</f>
        <v>61203.4760026345</v>
      </c>
      <c r="L63" s="30">
        <f t="shared" si="0"/>
        <v>55639.5236387587</v>
      </c>
      <c r="M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40202.8849462149</v>
      </c>
      <c r="N63" s="30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77581.4914280127</v>
      </c>
      <c r="O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26801.9232974766</v>
      </c>
      <c r="P63" s="30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12380.9499807063</v>
      </c>
      <c r="Q63" s="38">
        <v>2</v>
      </c>
      <c r="R63" s="39" t="s">
        <v>71</v>
      </c>
      <c r="S63" s="39" t="s">
        <v>143</v>
      </c>
      <c r="T63" s="39" t="s">
        <v>69</v>
      </c>
      <c r="U63" s="39" t="s">
        <v>73</v>
      </c>
      <c r="V63" s="39" t="s">
        <v>74</v>
      </c>
      <c r="W63" s="39" t="s">
        <v>75</v>
      </c>
      <c r="X63" s="39" t="s">
        <v>75</v>
      </c>
      <c r="Y63" s="39" t="s">
        <v>75</v>
      </c>
      <c r="Z63" s="39" t="s">
        <v>75</v>
      </c>
      <c r="AA63" s="39" t="s">
        <v>103</v>
      </c>
      <c r="AB63" s="39" t="s">
        <v>75</v>
      </c>
      <c r="AC63" s="39" t="s">
        <v>75</v>
      </c>
      <c r="AD63" s="39" t="s">
        <v>75</v>
      </c>
      <c r="AE63" s="39" t="s">
        <v>75</v>
      </c>
      <c r="AF63" s="39" t="s">
        <v>75</v>
      </c>
      <c r="AG63" s="39" t="s">
        <v>76</v>
      </c>
      <c r="AH63" t="str">
        <f>VLOOKUP($R63,武学奇术!$A:$ZZ,25,FALSE)</f>
        <v>群体奇术</v>
      </c>
      <c r="AI63" s="24">
        <f>VLOOKUP($R63,武学奇术!$A:$ZZ,26,FALSE)</f>
        <v>1.4904</v>
      </c>
      <c r="AJ63" s="25">
        <f>VLOOKUP($R63,武学奇术!$A:$ZZ,27,FALSE)*(1+IF(OR($AH63=$F$4,$AH63=$F$5),$B$22,0))</f>
        <v>368</v>
      </c>
      <c r="AK63" s="24">
        <f>VLOOKUP($R63,武学奇术!$A:$ZZ,28,FALSE)</f>
        <v>2.2353</v>
      </c>
      <c r="AL63" s="25">
        <f>VLOOKUP($R63,武学奇术!$A:$ZZ,29,FALSE)*(1+IF(OR($AH63=$F$4,$AH63=$F$5),$B$22,0))</f>
        <v>0</v>
      </c>
      <c r="AM63" s="24" cm="1">
        <f t="array" ref="AM63">$G$3+IFERROR(VLOOKUP($AH63,$F$4:$G$7,2,FALSE),0)+VLOOKUP($R63,武学奇术!$A:$ZZ,2,FALSE)+SUM(_xlfn.XLOOKUP($S63:$AG63,增益!$A:$A,增益!$B:$B,0))</f>
        <v>0.3187</v>
      </c>
      <c r="AN63" s="24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1302.4</v>
      </c>
      <c r="AP63" cm="1">
        <f t="array" ref="AP63">$E$10*(1+$AN63)+VLOOKUP($R63,武学奇术!$A:$ZZ,4,FALSE)+SUM(_xlfn.XLOOKUP($S63:$AG63,增益!$A:$A,增益!$D:$D,0))-$I$2</f>
        <v>6112.4</v>
      </c>
      <c r="AQ63" s="32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0.1925</v>
      </c>
      <c r="AR63" s="32" cm="1">
        <f t="array" ref="AR63">$G$10+VLOOKUP($R63,武学奇术!$A:$ZZ,7,FALSE)+SUM(_xlfn.XLOOKUP(S63:AG63,增益!$A:$A,增益!$G:$G,0))</f>
        <v>0</v>
      </c>
      <c r="AS63" s="24" cm="1">
        <f t="array" ref="AS63">VLOOKUP($R63,武学奇术!$A:$ZZ,8,FALSE)+SUM(_xlfn.XLOOKUP(S63:AG63,增益!$A:$A,增益!$H:$H,0))</f>
        <v>0</v>
      </c>
      <c r="AT63">
        <f t="shared" si="1"/>
        <v>557.3</v>
      </c>
      <c r="AU63">
        <f t="shared" si="2"/>
        <v>1049.5</v>
      </c>
      <c r="AV63" s="32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2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2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2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2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2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2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2" cm="1">
        <f t="array" ref="BI63">$G$14+VLOOKUP($R63,武学奇术!$A:$ZZ,16,FALSE)+SUM(_xlfn.XLOOKUP(S63:AG63,增益!$A:$A,增益!$P:$P,0))</f>
        <v>0</v>
      </c>
      <c r="BJ63" s="24">
        <f>MIN(IF(VLOOKUP($R63,武学奇术!$A:$ZZ,23,FALSE)=1,100%,$B$8),100%)</f>
        <v>0.8271</v>
      </c>
      <c r="BK63" s="24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0.1789</v>
      </c>
      <c r="BL63" s="24" cm="1">
        <f t="array" ref="BL63">1+$B$13+VLOOKUP($R63,武学奇术!$A:$ZZ,18,FALSE)+SUM(_xlfn.XLOOKUP(S63:AG63,增益!$A:$A,增益!$R:$R,0))</f>
        <v>1.5</v>
      </c>
      <c r="BM63" s="24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0.5509</v>
      </c>
      <c r="BN63" s="24" cm="1">
        <f t="array" ref="BN63">1+$B$14+VLOOKUP($R63,武学奇术!$A:$ZZ,20,FALSE)+SUM(_xlfn.XLOOKUP(S63:AG63,增益!$A:$A,增益!$T:$T,0))</f>
        <v>1.882</v>
      </c>
      <c r="BO63" s="24">
        <f t="shared" si="9"/>
        <v>0.14796819</v>
      </c>
      <c r="BP63" s="24">
        <f t="shared" si="10"/>
        <v>0.22348242</v>
      </c>
      <c r="BQ63" s="24">
        <f>IF(VLOOKUP($R63,武学奇术!$A:$ZZ,22,FALSE)=1,0,(1-$BJ63))*(1-$BM63)</f>
        <v>0.07764939</v>
      </c>
      <c r="BR63" s="24" cm="1">
        <f t="array" ref="BR63">SUM(_xlfn.XLOOKUP(S63:AG63,增益!$A:$A,增益!$W:$W,0))+$I$5</f>
        <v>0.11</v>
      </c>
    </row>
    <row r="64" spans="1:70">
      <c r="A64" s="86" t="s">
        <v>150</v>
      </c>
      <c r="B64" s="86">
        <v>2.33</v>
      </c>
      <c r="C64" s="38" t="s">
        <v>73</v>
      </c>
      <c r="K64" s="30">
        <f>$L64*VLOOKUP($R64,武学奇术!$A:$ZZ,31,FALSE)</f>
        <v>286772.806797941</v>
      </c>
      <c r="L64" s="30">
        <f t="shared" si="0"/>
        <v>260702.551634492</v>
      </c>
      <c r="M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176616.077361447</v>
      </c>
      <c r="N64" s="30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361431.314167937</v>
      </c>
      <c r="O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117744.051574298</v>
      </c>
      <c r="P64" s="30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60206.1855113811</v>
      </c>
      <c r="Q64" s="38">
        <v>3</v>
      </c>
      <c r="R64" s="39" t="s">
        <v>151</v>
      </c>
      <c r="S64" s="39" t="s">
        <v>143</v>
      </c>
      <c r="T64" s="39" t="s">
        <v>69</v>
      </c>
      <c r="U64" s="39" t="s">
        <v>73</v>
      </c>
      <c r="V64" s="39" t="s">
        <v>74</v>
      </c>
      <c r="W64" s="39" t="s">
        <v>109</v>
      </c>
      <c r="X64" s="39" t="s">
        <v>97</v>
      </c>
      <c r="Y64" s="39" t="s">
        <v>80</v>
      </c>
      <c r="Z64" s="39" t="s">
        <v>98</v>
      </c>
      <c r="AA64" s="39" t="s">
        <v>103</v>
      </c>
      <c r="AB64" s="39" t="s">
        <v>147</v>
      </c>
      <c r="AC64" s="39" t="s">
        <v>148</v>
      </c>
      <c r="AD64" s="39" t="s">
        <v>75</v>
      </c>
      <c r="AE64" s="39" t="s">
        <v>75</v>
      </c>
      <c r="AF64" s="39" t="s">
        <v>75</v>
      </c>
      <c r="AG64" s="39" t="s">
        <v>76</v>
      </c>
      <c r="AH64" t="str">
        <f>VLOOKUP($R64,武学奇术!$A:$ZZ,25,FALSE)</f>
        <v>剑</v>
      </c>
      <c r="AI64" s="24">
        <f>VLOOKUP($R64,武学奇术!$A:$ZZ,26,FALSE)</f>
        <v>1.3066</v>
      </c>
      <c r="AJ64" s="25">
        <f>VLOOKUP($R64,武学奇术!$A:$ZZ,27,FALSE)*(1+IF(OR($AH64=$F$4,$AH64=$F$5),$B$22,0))</f>
        <v>505.4</v>
      </c>
      <c r="AK64" s="24">
        <f>VLOOKUP($R64,武学奇术!$A:$ZZ,28,FALSE)</f>
        <v>1.9598</v>
      </c>
      <c r="AL64" s="25">
        <f>VLOOKUP($R64,武学奇术!$A:$ZZ,29,FALSE)*(1+IF(OR($AH64=$F$4,$AH64=$F$5),$B$22,0))</f>
        <v>275.8</v>
      </c>
      <c r="AM64" s="24" cm="1">
        <f t="array" ref="AM64">$G$3+IFERROR(VLOOKUP($AH64,$F$4:$G$7,2,FALSE),0)+VLOOKUP($R64,武学奇术!$A:$ZZ,2,FALSE)+SUM(_xlfn.XLOOKUP($S64:$AG64,增益!$A:$A,增益!$B:$B,0))</f>
        <v>1.5391</v>
      </c>
      <c r="AN64" s="24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1302.4</v>
      </c>
      <c r="AP64" cm="1">
        <f t="array" ref="AP64">$E$10*(1+$AN64)+VLOOKUP($R64,武学奇术!$A:$ZZ,4,FALSE)+SUM(_xlfn.XLOOKUP($S64:$AG64,增益!$A:$A,增益!$D:$D,0))-$I$2</f>
        <v>6112.4</v>
      </c>
      <c r="AQ64" s="32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0.1925</v>
      </c>
      <c r="AR64" s="32" cm="1">
        <f t="array" ref="AR64">$G$10+VLOOKUP($R64,武学奇术!$A:$ZZ,7,FALSE)+SUM(_xlfn.XLOOKUP(S64:AG64,增益!$A:$A,增益!$G:$G,0))</f>
        <v>0</v>
      </c>
      <c r="AS64" s="24" cm="1">
        <f t="array" ref="AS64">VLOOKUP($R64,武学奇术!$A:$ZZ,8,FALSE)+SUM(_xlfn.XLOOKUP(S64:AG64,增益!$A:$A,增益!$H:$H,0))</f>
        <v>0</v>
      </c>
      <c r="AT64">
        <f t="shared" si="1"/>
        <v>557.3</v>
      </c>
      <c r="AU64">
        <f t="shared" si="2"/>
        <v>1049.5</v>
      </c>
      <c r="AV64" s="32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2" cm="1">
        <f t="array" ref="AW64">$G$11+VLOOKUP($R64,武学奇术!$A:$ZZ,10,FALSE)+SUM(_xlfn.XLOOKUP(S64:AG64,增益!$A:$A,增益!$J:$J,0))</f>
        <v>0.25</v>
      </c>
      <c r="AX64">
        <f t="shared" si="3"/>
        <v>0</v>
      </c>
      <c r="AY64">
        <f t="shared" si="4"/>
        <v>0</v>
      </c>
      <c r="AZ64" s="32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2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2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2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2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2" cm="1">
        <f t="array" ref="BI64">$G$14+VLOOKUP($R64,武学奇术!$A:$ZZ,16,FALSE)+SUM(_xlfn.XLOOKUP(S64:AG64,增益!$A:$A,增益!$P:$P,0))</f>
        <v>0</v>
      </c>
      <c r="BJ64" s="24">
        <f>MIN(IF(VLOOKUP($R64,武学奇术!$A:$ZZ,23,FALSE)=1,100%,$B$8),100%)</f>
        <v>0.8271</v>
      </c>
      <c r="BK64" s="24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0.1789</v>
      </c>
      <c r="BL64" s="24" cm="1">
        <f t="array" ref="BL64">1+$B$13+VLOOKUP($R64,武学奇术!$A:$ZZ,18,FALSE)+SUM(_xlfn.XLOOKUP(S64:AG64,增益!$A:$A,增益!$R:$R,0))</f>
        <v>1.5</v>
      </c>
      <c r="BM64" s="24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0.5509</v>
      </c>
      <c r="BN64" s="24" cm="1">
        <f t="array" ref="BN64">1+$B$14+VLOOKUP($R64,武学奇术!$A:$ZZ,20,FALSE)+SUM(_xlfn.XLOOKUP(S64:AG64,增益!$A:$A,增益!$T:$T,0))</f>
        <v>2.062</v>
      </c>
      <c r="BO64" s="24">
        <f t="shared" si="9"/>
        <v>0.14796819</v>
      </c>
      <c r="BP64" s="24">
        <f t="shared" si="10"/>
        <v>0.30113181</v>
      </c>
      <c r="BQ64" s="24">
        <f>IF(VLOOKUP($R64,武学奇术!$A:$ZZ,22,FALSE)=1,0,(1-$BJ64))*(1-$BM64)</f>
        <v>0</v>
      </c>
      <c r="BR64" s="24" cm="1">
        <f t="array" ref="BR64">SUM(_xlfn.XLOOKUP(S64:AG64,增益!$A:$A,增益!$W:$W,0))+$I$5</f>
        <v>0.31</v>
      </c>
    </row>
    <row r="65" spans="1:70">
      <c r="A65" s="86" t="s">
        <v>150</v>
      </c>
      <c r="B65" s="86">
        <v>2.33</v>
      </c>
      <c r="C65" s="38"/>
      <c r="K65" s="30">
        <f>$L65*VLOOKUP($R65,武学奇术!$A:$ZZ,31,FALSE)</f>
        <v>344091.478609002</v>
      </c>
      <c r="L65" s="30">
        <f t="shared" si="0"/>
        <v>312810.435099093</v>
      </c>
      <c r="M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211910.398179567</v>
      </c>
      <c r="N65" s="30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433676.642821795</v>
      </c>
      <c r="O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141273.598786378</v>
      </c>
      <c r="P65" s="30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72228.7480956492</v>
      </c>
      <c r="Q65" s="38">
        <v>3</v>
      </c>
      <c r="R65" s="39" t="s">
        <v>153</v>
      </c>
      <c r="S65" s="39" t="s">
        <v>143</v>
      </c>
      <c r="T65" s="39" t="s">
        <v>69</v>
      </c>
      <c r="U65" s="39" t="s">
        <v>73</v>
      </c>
      <c r="V65" s="39" t="s">
        <v>74</v>
      </c>
      <c r="W65" s="39" t="s">
        <v>109</v>
      </c>
      <c r="X65" s="39" t="s">
        <v>97</v>
      </c>
      <c r="Y65" s="39" t="s">
        <v>80</v>
      </c>
      <c r="Z65" s="39" t="s">
        <v>98</v>
      </c>
      <c r="AA65" s="39" t="s">
        <v>103</v>
      </c>
      <c r="AB65" s="39" t="s">
        <v>147</v>
      </c>
      <c r="AC65" s="39" t="s">
        <v>148</v>
      </c>
      <c r="AD65" s="39" t="s">
        <v>75</v>
      </c>
      <c r="AE65" s="39" t="s">
        <v>75</v>
      </c>
      <c r="AF65" s="39" t="s">
        <v>75</v>
      </c>
      <c r="AG65" s="39" t="s">
        <v>76</v>
      </c>
      <c r="AH65" t="str">
        <f>VLOOKUP($R65,武学奇术!$A:$ZZ,25,FALSE)</f>
        <v>剑</v>
      </c>
      <c r="AI65" s="24">
        <f>VLOOKUP($R65,武学奇术!$A:$ZZ,26,FALSE)</f>
        <v>1.5679</v>
      </c>
      <c r="AJ65" s="25">
        <f>VLOOKUP($R65,武学奇术!$A:$ZZ,27,FALSE)*(1+IF(OR($AH65=$F$4,$AH65=$F$5),$B$22,0))</f>
        <v>606.2</v>
      </c>
      <c r="AK65" s="24">
        <f>VLOOKUP($R65,武学奇术!$A:$ZZ,28,FALSE)</f>
        <v>2.3518</v>
      </c>
      <c r="AL65" s="25">
        <f>VLOOKUP($R65,武学奇术!$A:$ZZ,29,FALSE)*(1+IF(OR($AH65=$F$4,$AH65=$F$5),$B$22,0))</f>
        <v>330.4</v>
      </c>
      <c r="AM65" s="24" cm="1">
        <f t="array" ref="AM65">$G$3+IFERROR(VLOOKUP($AH65,$F$4:$G$7,2,FALSE),0)+VLOOKUP($R65,武学奇术!$A:$ZZ,2,FALSE)+SUM(_xlfn.XLOOKUP($S65:$AG65,增益!$A:$A,增益!$B:$B,0))</f>
        <v>1.5391</v>
      </c>
      <c r="AN65" s="24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1302.4</v>
      </c>
      <c r="AP65" cm="1">
        <f t="array" ref="AP65">$E$10*(1+$AN65)+VLOOKUP($R65,武学奇术!$A:$ZZ,4,FALSE)+SUM(_xlfn.XLOOKUP($S65:$AG65,增益!$A:$A,增益!$D:$D,0))-$I$2</f>
        <v>6112.4</v>
      </c>
      <c r="AQ65" s="32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0.1925</v>
      </c>
      <c r="AR65" s="32" cm="1">
        <f t="array" ref="AR65">$G$10+VLOOKUP($R65,武学奇术!$A:$ZZ,7,FALSE)+SUM(_xlfn.XLOOKUP(S65:AG65,增益!$A:$A,增益!$G:$G,0))</f>
        <v>0</v>
      </c>
      <c r="AS65" s="24" cm="1">
        <f t="array" ref="AS65">VLOOKUP($R65,武学奇术!$A:$ZZ,8,FALSE)+SUM(_xlfn.XLOOKUP(S65:AG65,增益!$A:$A,增益!$H:$H,0))</f>
        <v>0</v>
      </c>
      <c r="AT65">
        <f t="shared" si="1"/>
        <v>557.3</v>
      </c>
      <c r="AU65">
        <f t="shared" si="2"/>
        <v>1049.5</v>
      </c>
      <c r="AV65" s="32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2" cm="1">
        <f t="array" ref="AW65">$G$11+VLOOKUP($R65,武学奇术!$A:$ZZ,10,FALSE)+SUM(_xlfn.XLOOKUP(S65:AG65,增益!$A:$A,增益!$J:$J,0))</f>
        <v>0.25</v>
      </c>
      <c r="AX65">
        <f t="shared" si="3"/>
        <v>0</v>
      </c>
      <c r="AY65">
        <f t="shared" si="4"/>
        <v>0</v>
      </c>
      <c r="AZ65" s="32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2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2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2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2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2" cm="1">
        <f t="array" ref="BI65">$G$14+VLOOKUP($R65,武学奇术!$A:$ZZ,16,FALSE)+SUM(_xlfn.XLOOKUP(S65:AG65,增益!$A:$A,增益!$P:$P,0))</f>
        <v>0</v>
      </c>
      <c r="BJ65" s="24">
        <f>MIN(IF(VLOOKUP($R65,武学奇术!$A:$ZZ,23,FALSE)=1,100%,$B$8),100%)</f>
        <v>0.8271</v>
      </c>
      <c r="BK65" s="24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0.1789</v>
      </c>
      <c r="BL65" s="24" cm="1">
        <f t="array" ref="BL65">1+$B$13+VLOOKUP($R65,武学奇术!$A:$ZZ,18,FALSE)+SUM(_xlfn.XLOOKUP(S65:AG65,增益!$A:$A,增益!$R:$R,0))</f>
        <v>1.5</v>
      </c>
      <c r="BM65" s="24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0.5509</v>
      </c>
      <c r="BN65" s="24" cm="1">
        <f t="array" ref="BN65">1+$B$14+VLOOKUP($R65,武学奇术!$A:$ZZ,20,FALSE)+SUM(_xlfn.XLOOKUP(S65:AG65,增益!$A:$A,增益!$T:$T,0))</f>
        <v>2.062</v>
      </c>
      <c r="BO65" s="24">
        <f t="shared" si="9"/>
        <v>0.14796819</v>
      </c>
      <c r="BP65" s="24">
        <f t="shared" si="10"/>
        <v>0.30113181</v>
      </c>
      <c r="BQ65" s="24">
        <f>IF(VLOOKUP($R65,武学奇术!$A:$ZZ,22,FALSE)=1,0,(1-$BJ65))*(1-$BM65)</f>
        <v>0</v>
      </c>
      <c r="BR65" s="24" cm="1">
        <f t="array" ref="BR65">SUM(_xlfn.XLOOKUP(S65:AG65,增益!$A:$A,增益!$W:$W,0))+$I$5</f>
        <v>0.31</v>
      </c>
    </row>
    <row r="66" spans="1:70">
      <c r="A66" s="86" t="s">
        <v>152</v>
      </c>
      <c r="B66" s="86">
        <v>0.8</v>
      </c>
      <c r="C66" s="38"/>
      <c r="K66" s="30">
        <f>$L66*VLOOKUP($R66,武学奇术!$A:$ZZ,31,FALSE)</f>
        <v>556644.825399326</v>
      </c>
      <c r="L66" s="30">
        <f t="shared" ref="L66:L76" si="11">($M66*$BO66+$N66*$BM66+$O66*$BP66+$P66*$BQ66)</f>
        <v>506040.750363023</v>
      </c>
      <c r="M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247291.124589858</v>
      </c>
      <c r="N66" s="30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506040.750363023</v>
      </c>
      <c r="O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164860.749726572</v>
      </c>
      <c r="P66" s="30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84308.9144080308</v>
      </c>
      <c r="Q66" s="38">
        <v>3</v>
      </c>
      <c r="R66" s="39" t="s">
        <v>155</v>
      </c>
      <c r="S66" s="39" t="s">
        <v>143</v>
      </c>
      <c r="T66" s="39" t="s">
        <v>69</v>
      </c>
      <c r="U66" s="39" t="s">
        <v>73</v>
      </c>
      <c r="V66" s="39" t="s">
        <v>74</v>
      </c>
      <c r="W66" s="39" t="s">
        <v>109</v>
      </c>
      <c r="X66" s="39" t="s">
        <v>97</v>
      </c>
      <c r="Y66" s="39" t="s">
        <v>80</v>
      </c>
      <c r="Z66" s="39" t="s">
        <v>98</v>
      </c>
      <c r="AA66" s="39" t="s">
        <v>103</v>
      </c>
      <c r="AB66" s="39" t="s">
        <v>147</v>
      </c>
      <c r="AC66" s="39" t="s">
        <v>148</v>
      </c>
      <c r="AD66" s="39" t="s">
        <v>75</v>
      </c>
      <c r="AE66" s="39" t="s">
        <v>75</v>
      </c>
      <c r="AF66" s="39" t="s">
        <v>75</v>
      </c>
      <c r="AG66" s="39" t="s">
        <v>76</v>
      </c>
      <c r="AH66" t="str">
        <f>VLOOKUP($R66,武学奇术!$A:$ZZ,25,FALSE)</f>
        <v>剑</v>
      </c>
      <c r="AI66" s="24">
        <f>VLOOKUP($R66,武学奇术!$A:$ZZ,26,FALSE)</f>
        <v>1.8292</v>
      </c>
      <c r="AJ66" s="25">
        <f>VLOOKUP($R66,武学奇术!$A:$ZZ,27,FALSE)*(1+IF(OR($AH66=$F$4,$AH66=$F$5),$B$22,0))</f>
        <v>708.4</v>
      </c>
      <c r="AK66" s="24">
        <f>VLOOKUP($R66,武学奇术!$A:$ZZ,28,FALSE)</f>
        <v>2.7438</v>
      </c>
      <c r="AL66" s="25">
        <f>VLOOKUP($R66,武学奇术!$A:$ZZ,29,FALSE)*(1+IF(OR($AH66=$F$4,$AH66=$F$5),$B$22,0))</f>
        <v>386.4</v>
      </c>
      <c r="AM66" s="24" cm="1">
        <f t="array" ref="AM66">$G$3+IFERROR(VLOOKUP($AH66,$F$4:$G$7,2,FALSE),0)+VLOOKUP($R66,武学奇术!$A:$ZZ,2,FALSE)+SUM(_xlfn.XLOOKUP($S66:$AG66,增益!$A:$A,增益!$B:$B,0))</f>
        <v>1.5391</v>
      </c>
      <c r="AN66" s="24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1302.4</v>
      </c>
      <c r="AP66" cm="1">
        <f t="array" ref="AP66">$E$10*(1+$AN66)+VLOOKUP($R66,武学奇术!$A:$ZZ,4,FALSE)+SUM(_xlfn.XLOOKUP($S66:$AG66,增益!$A:$A,增益!$D:$D,0))-$I$2</f>
        <v>6112.4</v>
      </c>
      <c r="AQ66" s="32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0.1925</v>
      </c>
      <c r="AR66" s="32" cm="1">
        <f t="array" ref="AR66">$G$10+VLOOKUP($R66,武学奇术!$A:$ZZ,7,FALSE)+SUM(_xlfn.XLOOKUP(S66:AG66,增益!$A:$A,增益!$G:$G,0))</f>
        <v>0</v>
      </c>
      <c r="AS66" s="24" cm="1">
        <f t="array" ref="AS66">VLOOKUP($R66,武学奇术!$A:$ZZ,8,FALSE)+SUM(_xlfn.XLOOKUP(S66:AG66,增益!$A:$A,增益!$H:$H,0))</f>
        <v>0</v>
      </c>
      <c r="AT66">
        <f t="shared" ref="AT66:AT76" si="12">$D$11*(1+$AS66)</f>
        <v>557.3</v>
      </c>
      <c r="AU66">
        <f t="shared" ref="AU66:AU76" si="13">$E$11*(1+$AS66)</f>
        <v>1049.5</v>
      </c>
      <c r="AV66" s="32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2" cm="1">
        <f t="array" ref="AW66">$G$11+VLOOKUP($R66,武学奇术!$A:$ZZ,10,FALSE)+SUM(_xlfn.XLOOKUP(S66:AG66,增益!$A:$A,增益!$J:$J,0))</f>
        <v>0.25</v>
      </c>
      <c r="AX66">
        <f t="shared" ref="AX66:AX76" si="14">$D$12*(1+$AS66)</f>
        <v>0</v>
      </c>
      <c r="AY66">
        <f t="shared" ref="AY66:AY76" si="15">$E$12*(1+$AS66)</f>
        <v>0</v>
      </c>
      <c r="AZ66" s="32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2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32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2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32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2" cm="1">
        <f t="array" ref="BI66">$G$14+VLOOKUP($R66,武学奇术!$A:$ZZ,16,FALSE)+SUM(_xlfn.XLOOKUP(S66:AG66,增益!$A:$A,增益!$P:$P,0))</f>
        <v>0</v>
      </c>
      <c r="BJ66" s="24">
        <f>MIN(IF(VLOOKUP($R66,武学奇术!$A:$ZZ,23,FALSE)=1,100%,$B$8),100%)</f>
        <v>0.8271</v>
      </c>
      <c r="BK66" s="24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4" cm="1">
        <f t="array" ref="BL66">1+$B$13+VLOOKUP($R66,武学奇术!$A:$ZZ,18,FALSE)+SUM(_xlfn.XLOOKUP(S66:AG66,增益!$A:$A,增益!$R:$R,0))</f>
        <v>1.5</v>
      </c>
      <c r="BM66" s="24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4" cm="1">
        <f t="array" ref="BN66">1+$B$14+VLOOKUP($R66,武学奇术!$A:$ZZ,20,FALSE)+SUM(_xlfn.XLOOKUP(S66:AG66,增益!$A:$A,增益!$T:$T,0))</f>
        <v>2.062</v>
      </c>
      <c r="BO66" s="24">
        <f t="shared" ref="BO66:BO76" si="20">MIN((1-BM66)*BJ66,BJ66*BK66)</f>
        <v>0</v>
      </c>
      <c r="BP66" s="24">
        <f t="shared" ref="BP66:BP76" si="21">1-BM66-BO66-BQ66</f>
        <v>0</v>
      </c>
      <c r="BQ66" s="24">
        <f>IF(VLOOKUP($R66,武学奇术!$A:$ZZ,22,FALSE)=1,0,(1-$BJ66))*(1-$BM66)</f>
        <v>0</v>
      </c>
      <c r="BR66" s="24" cm="1">
        <f t="array" ref="BR66">SUM(_xlfn.XLOOKUP(S66:AG66,增益!$A:$A,增益!$W:$W,0))+$I$5</f>
        <v>0.31</v>
      </c>
    </row>
    <row r="67" spans="1:70">
      <c r="A67" s="86" t="s">
        <v>150</v>
      </c>
      <c r="B67" s="86">
        <v>2.33</v>
      </c>
      <c r="C67" s="38"/>
      <c r="K67" s="30">
        <f>$L67*VLOOKUP($R67,武学奇术!$A:$ZZ,31,FALSE)</f>
        <v>83343.175063396</v>
      </c>
      <c r="L67" s="30">
        <f t="shared" si="11"/>
        <v>75766.5227849054</v>
      </c>
      <c r="M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58872.025787149</v>
      </c>
      <c r="N67" s="30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114634.374134739</v>
      </c>
      <c r="O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39248.0171914327</v>
      </c>
      <c r="P67" s="30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20068.7285037937</v>
      </c>
      <c r="Q67" s="38">
        <v>1</v>
      </c>
      <c r="R67" s="39" t="s">
        <v>151</v>
      </c>
      <c r="S67" s="39" t="s">
        <v>143</v>
      </c>
      <c r="T67" s="39" t="s">
        <v>75</v>
      </c>
      <c r="U67" s="39" t="s">
        <v>114</v>
      </c>
      <c r="V67" s="39" t="s">
        <v>74</v>
      </c>
      <c r="W67" s="39" t="s">
        <v>109</v>
      </c>
      <c r="X67" s="39" t="s">
        <v>97</v>
      </c>
      <c r="Y67" s="39" t="s">
        <v>80</v>
      </c>
      <c r="Z67" s="39" t="s">
        <v>98</v>
      </c>
      <c r="AA67" s="39" t="s">
        <v>103</v>
      </c>
      <c r="AB67" s="39" t="s">
        <v>147</v>
      </c>
      <c r="AC67" s="39" t="s">
        <v>148</v>
      </c>
      <c r="AD67" s="39" t="s">
        <v>75</v>
      </c>
      <c r="AE67" s="39" t="s">
        <v>75</v>
      </c>
      <c r="AF67" s="39" t="s">
        <v>75</v>
      </c>
      <c r="AG67" s="39" t="s">
        <v>76</v>
      </c>
      <c r="AH67" t="str">
        <f>VLOOKUP($R67,武学奇术!$A:$ZZ,25,FALSE)</f>
        <v>剑</v>
      </c>
      <c r="AI67" s="24">
        <f>VLOOKUP($R67,武学奇术!$A:$ZZ,26,FALSE)</f>
        <v>1.3066</v>
      </c>
      <c r="AJ67" s="25">
        <f>VLOOKUP($R67,武学奇术!$A:$ZZ,27,FALSE)*(1+IF(OR($AH67=$F$4,$AH67=$F$5),$B$22,0))</f>
        <v>505.4</v>
      </c>
      <c r="AK67" s="24">
        <f>VLOOKUP($R67,武学奇术!$A:$ZZ,28,FALSE)</f>
        <v>1.9598</v>
      </c>
      <c r="AL67" s="25">
        <f>VLOOKUP($R67,武学奇术!$A:$ZZ,29,FALSE)*(1+IF(OR($AH67=$F$4,$AH67=$F$5),$B$22,0))</f>
        <v>275.8</v>
      </c>
      <c r="AM67" s="24" cm="1">
        <f t="array" ref="AM67">$G$3+IFERROR(VLOOKUP($AH67,$F$4:$G$7,2,FALSE),0)+VLOOKUP($R67,武学奇术!$A:$ZZ,2,FALSE)+SUM(_xlfn.XLOOKUP($S67:$AG67,增益!$A:$A,增益!$B:$B,0))</f>
        <v>1.5391</v>
      </c>
      <c r="AN67" s="24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1302.4</v>
      </c>
      <c r="AP67" cm="1">
        <f t="array" ref="AP67">$E$10*(1+$AN67)+VLOOKUP($R67,武学奇术!$A:$ZZ,4,FALSE)+SUM(_xlfn.XLOOKUP($S67:$AG67,增益!$A:$A,增益!$D:$D,0))-$I$2</f>
        <v>6112.4</v>
      </c>
      <c r="AQ67" s="32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0.1925</v>
      </c>
      <c r="AR67" s="32" cm="1">
        <f t="array" ref="AR67">$G$10+VLOOKUP($R67,武学奇术!$A:$ZZ,7,FALSE)+SUM(_xlfn.XLOOKUP(S67:AG67,增益!$A:$A,增益!$G:$G,0))</f>
        <v>0</v>
      </c>
      <c r="AS67" s="24" cm="1">
        <f t="array" ref="AS67">VLOOKUP($R67,武学奇术!$A:$ZZ,8,FALSE)+SUM(_xlfn.XLOOKUP(S67:AG67,增益!$A:$A,增益!$H:$H,0))</f>
        <v>0</v>
      </c>
      <c r="AT67">
        <f t="shared" si="12"/>
        <v>557.3</v>
      </c>
      <c r="AU67">
        <f t="shared" si="13"/>
        <v>1049.5</v>
      </c>
      <c r="AV67" s="32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2" cm="1">
        <f t="array" ref="AW67">$G$11+VLOOKUP($R67,武学奇术!$A:$ZZ,10,FALSE)+SUM(_xlfn.XLOOKUP(S67:AG67,增益!$A:$A,增益!$J:$J,0))</f>
        <v>0.25</v>
      </c>
      <c r="AX67">
        <f t="shared" si="14"/>
        <v>0</v>
      </c>
      <c r="AY67">
        <f t="shared" si="15"/>
        <v>0</v>
      </c>
      <c r="AZ67" s="32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2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2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2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2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2" cm="1">
        <f t="array" ref="BI67">$G$14+VLOOKUP($R67,武学奇术!$A:$ZZ,16,FALSE)+SUM(_xlfn.XLOOKUP(S67:AG67,增益!$A:$A,增益!$P:$P,0))</f>
        <v>0</v>
      </c>
      <c r="BJ67" s="24">
        <f>MIN(IF(VLOOKUP($R67,武学奇术!$A:$ZZ,23,FALSE)=1,100%,$B$8),100%)</f>
        <v>0.8271</v>
      </c>
      <c r="BK67" s="24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0.1789</v>
      </c>
      <c r="BL67" s="24" cm="1">
        <f t="array" ref="BL67">1+$B$13+VLOOKUP($R67,武学奇术!$A:$ZZ,18,FALSE)+SUM(_xlfn.XLOOKUP(S67:AG67,增益!$A:$A,增益!$R:$R,0))</f>
        <v>1.5</v>
      </c>
      <c r="BM67" s="24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4" cm="1">
        <f t="array" ref="BN67">1+$B$14+VLOOKUP($R67,武学奇术!$A:$ZZ,20,FALSE)+SUM(_xlfn.XLOOKUP(S67:AG67,增益!$A:$A,增益!$T:$T,0))</f>
        <v>1.962</v>
      </c>
      <c r="BO67" s="24">
        <f t="shared" si="20"/>
        <v>0.14796819</v>
      </c>
      <c r="BP67" s="24">
        <f t="shared" si="21"/>
        <v>0.40613181</v>
      </c>
      <c r="BQ67" s="24">
        <f>IF(VLOOKUP($R67,武学奇术!$A:$ZZ,22,FALSE)=1,0,(1-$BJ67))*(1-$BM67)</f>
        <v>0</v>
      </c>
      <c r="BR67" s="24" cm="1">
        <f t="array" ref="BR67">SUM(_xlfn.XLOOKUP(S67:AG67,增益!$A:$A,增益!$W:$W,0))+$I$5</f>
        <v>0.31</v>
      </c>
    </row>
    <row r="68" spans="1:70">
      <c r="A68" s="86" t="s">
        <v>150</v>
      </c>
      <c r="B68" s="86">
        <v>2.33</v>
      </c>
      <c r="K68" s="30">
        <f>$L68*VLOOKUP($R68,武学奇术!$A:$ZZ,31,FALSE)</f>
        <v>100001.00579817</v>
      </c>
      <c r="L68" s="30">
        <f t="shared" si="11"/>
        <v>90910.0052710633</v>
      </c>
      <c r="M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70636.7993931891</v>
      </c>
      <c r="N68" s="30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137548.265958028</v>
      </c>
      <c r="O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47091.1995954594</v>
      </c>
      <c r="P68" s="30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24076.2493652164</v>
      </c>
      <c r="Q68" s="38">
        <v>1</v>
      </c>
      <c r="R68" s="39" t="s">
        <v>153</v>
      </c>
      <c r="S68" s="39" t="s">
        <v>143</v>
      </c>
      <c r="T68" s="39" t="s">
        <v>75</v>
      </c>
      <c r="U68" s="39" t="s">
        <v>114</v>
      </c>
      <c r="V68" s="39" t="s">
        <v>74</v>
      </c>
      <c r="W68" s="39" t="s">
        <v>109</v>
      </c>
      <c r="X68" s="39" t="s">
        <v>97</v>
      </c>
      <c r="Y68" s="39" t="s">
        <v>80</v>
      </c>
      <c r="Z68" s="39" t="s">
        <v>98</v>
      </c>
      <c r="AA68" s="39" t="s">
        <v>103</v>
      </c>
      <c r="AB68" s="39" t="s">
        <v>147</v>
      </c>
      <c r="AC68" s="39" t="s">
        <v>148</v>
      </c>
      <c r="AD68" s="39" t="s">
        <v>75</v>
      </c>
      <c r="AE68" s="39" t="s">
        <v>75</v>
      </c>
      <c r="AF68" s="39" t="s">
        <v>75</v>
      </c>
      <c r="AG68" s="39" t="s">
        <v>76</v>
      </c>
      <c r="AH68" t="str">
        <f>VLOOKUP($R68,武学奇术!$A:$ZZ,25,FALSE)</f>
        <v>剑</v>
      </c>
      <c r="AI68" s="24">
        <f>VLOOKUP($R68,武学奇术!$A:$ZZ,26,FALSE)</f>
        <v>1.5679</v>
      </c>
      <c r="AJ68" s="25">
        <f>VLOOKUP($R68,武学奇术!$A:$ZZ,27,FALSE)*(1+IF(OR($AH68=$F$4,$AH68=$F$5),$B$22,0))</f>
        <v>606.2</v>
      </c>
      <c r="AK68" s="24">
        <f>VLOOKUP($R68,武学奇术!$A:$ZZ,28,FALSE)</f>
        <v>2.3518</v>
      </c>
      <c r="AL68" s="25">
        <f>VLOOKUP($R68,武学奇术!$A:$ZZ,29,FALSE)*(1+IF(OR($AH68=$F$4,$AH68=$F$5),$B$22,0))</f>
        <v>330.4</v>
      </c>
      <c r="AM68" s="24" cm="1">
        <f t="array" ref="AM68">$G$3+IFERROR(VLOOKUP($AH68,$F$4:$G$7,2,FALSE),0)+VLOOKUP($R68,武学奇术!$A:$ZZ,2,FALSE)+SUM(_xlfn.XLOOKUP($S68:$AG68,增益!$A:$A,增益!$B:$B,0))</f>
        <v>1.5391</v>
      </c>
      <c r="AN68" s="24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1302.4</v>
      </c>
      <c r="AP68" cm="1">
        <f t="array" ref="AP68">$E$10*(1+$AN68)+VLOOKUP($R68,武学奇术!$A:$ZZ,4,FALSE)+SUM(_xlfn.XLOOKUP($S68:$AG68,增益!$A:$A,增益!$D:$D,0))-$I$2</f>
        <v>6112.4</v>
      </c>
      <c r="AQ68" s="32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0.1925</v>
      </c>
      <c r="AR68" s="32" cm="1">
        <f t="array" ref="AR68">$G$10+VLOOKUP($R68,武学奇术!$A:$ZZ,7,FALSE)+SUM(_xlfn.XLOOKUP(S68:AG68,增益!$A:$A,增益!$G:$G,0))</f>
        <v>0</v>
      </c>
      <c r="AS68" s="24" cm="1">
        <f t="array" ref="AS68">VLOOKUP($R68,武学奇术!$A:$ZZ,8,FALSE)+SUM(_xlfn.XLOOKUP(S68:AG68,增益!$A:$A,增益!$H:$H,0))</f>
        <v>0</v>
      </c>
      <c r="AT68">
        <f t="shared" si="12"/>
        <v>557.3</v>
      </c>
      <c r="AU68">
        <f t="shared" si="13"/>
        <v>1049.5</v>
      </c>
      <c r="AV68" s="32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2" cm="1">
        <f t="array" ref="AW68">$G$11+VLOOKUP($R68,武学奇术!$A:$ZZ,10,FALSE)+SUM(_xlfn.XLOOKUP(S68:AG68,增益!$A:$A,增益!$J:$J,0))</f>
        <v>0.25</v>
      </c>
      <c r="AX68">
        <f t="shared" si="14"/>
        <v>0</v>
      </c>
      <c r="AY68">
        <f t="shared" si="15"/>
        <v>0</v>
      </c>
      <c r="AZ68" s="32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2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2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2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2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2" cm="1">
        <f t="array" ref="BI68">$G$14+VLOOKUP($R68,武学奇术!$A:$ZZ,16,FALSE)+SUM(_xlfn.XLOOKUP(S68:AG68,增益!$A:$A,增益!$P:$P,0))</f>
        <v>0</v>
      </c>
      <c r="BJ68" s="24">
        <f>MIN(IF(VLOOKUP($R68,武学奇术!$A:$ZZ,23,FALSE)=1,100%,$B$8),100%)</f>
        <v>0.8271</v>
      </c>
      <c r="BK68" s="24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0.1789</v>
      </c>
      <c r="BL68" s="24" cm="1">
        <f t="array" ref="BL68">1+$B$13+VLOOKUP($R68,武学奇术!$A:$ZZ,18,FALSE)+SUM(_xlfn.XLOOKUP(S68:AG68,增益!$A:$A,增益!$R:$R,0))</f>
        <v>1.5</v>
      </c>
      <c r="BM68" s="24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4" cm="1">
        <f t="array" ref="BN68">1+$B$14+VLOOKUP($R68,武学奇术!$A:$ZZ,20,FALSE)+SUM(_xlfn.XLOOKUP(S68:AG68,增益!$A:$A,增益!$T:$T,0))</f>
        <v>1.962</v>
      </c>
      <c r="BO68" s="24">
        <f t="shared" si="20"/>
        <v>0.14796819</v>
      </c>
      <c r="BP68" s="24">
        <f t="shared" si="21"/>
        <v>0.40613181</v>
      </c>
      <c r="BQ68" s="24">
        <f>IF(VLOOKUP($R68,武学奇术!$A:$ZZ,22,FALSE)=1,0,(1-$BJ68))*(1-$BM68)</f>
        <v>0</v>
      </c>
      <c r="BR68" s="24" cm="1">
        <f t="array" ref="BR68">SUM(_xlfn.XLOOKUP(S68:AG68,增益!$A:$A,增益!$W:$W,0))+$I$5</f>
        <v>0.31</v>
      </c>
    </row>
    <row r="69" spans="1:70">
      <c r="A69" s="86" t="s">
        <v>158</v>
      </c>
      <c r="B69" s="86">
        <v>1.2</v>
      </c>
      <c r="K69" s="30">
        <f>$L69*VLOOKUP($R69,武学奇术!$A:$ZZ,31,FALSE)</f>
        <v>176549.813681454</v>
      </c>
      <c r="L69" s="30">
        <f t="shared" si="11"/>
        <v>160499.830619504</v>
      </c>
      <c r="M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82430.374863286</v>
      </c>
      <c r="N69" s="30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160499.830619504</v>
      </c>
      <c r="O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54953.5832421906</v>
      </c>
      <c r="P69" s="30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28102.9714693436</v>
      </c>
      <c r="Q69" s="38">
        <v>1</v>
      </c>
      <c r="R69" s="39" t="s">
        <v>155</v>
      </c>
      <c r="S69" s="39" t="s">
        <v>143</v>
      </c>
      <c r="T69" s="39" t="s">
        <v>75</v>
      </c>
      <c r="U69" s="39" t="s">
        <v>114</v>
      </c>
      <c r="V69" s="39" t="s">
        <v>74</v>
      </c>
      <c r="W69" s="39" t="s">
        <v>109</v>
      </c>
      <c r="X69" s="39" t="s">
        <v>97</v>
      </c>
      <c r="Y69" s="39" t="s">
        <v>80</v>
      </c>
      <c r="Z69" s="39" t="s">
        <v>98</v>
      </c>
      <c r="AA69" s="39" t="s">
        <v>103</v>
      </c>
      <c r="AB69" s="39" t="s">
        <v>147</v>
      </c>
      <c r="AC69" s="39" t="s">
        <v>148</v>
      </c>
      <c r="AD69" s="39" t="s">
        <v>75</v>
      </c>
      <c r="AE69" s="39" t="s">
        <v>75</v>
      </c>
      <c r="AF69" s="39" t="s">
        <v>75</v>
      </c>
      <c r="AG69" s="39" t="s">
        <v>76</v>
      </c>
      <c r="AH69" t="str">
        <f>VLOOKUP($R69,武学奇术!$A:$ZZ,25,FALSE)</f>
        <v>剑</v>
      </c>
      <c r="AI69" s="24">
        <f>VLOOKUP($R69,武学奇术!$A:$ZZ,26,FALSE)</f>
        <v>1.8292</v>
      </c>
      <c r="AJ69" s="25">
        <f>VLOOKUP($R69,武学奇术!$A:$ZZ,27,FALSE)*(1+IF(OR($AH69=$F$4,$AH69=$F$5),$B$22,0))</f>
        <v>708.4</v>
      </c>
      <c r="AK69" s="24">
        <f>VLOOKUP($R69,武学奇术!$A:$ZZ,28,FALSE)</f>
        <v>2.7438</v>
      </c>
      <c r="AL69" s="25">
        <f>VLOOKUP($R69,武学奇术!$A:$ZZ,29,FALSE)*(1+IF(OR($AH69=$F$4,$AH69=$F$5),$B$22,0))</f>
        <v>386.4</v>
      </c>
      <c r="AM69" s="24" cm="1">
        <f t="array" ref="AM69">$G$3+IFERROR(VLOOKUP($AH69,$F$4:$G$7,2,FALSE),0)+VLOOKUP($R69,武学奇术!$A:$ZZ,2,FALSE)+SUM(_xlfn.XLOOKUP($S69:$AG69,增益!$A:$A,增益!$B:$B,0))</f>
        <v>1.5391</v>
      </c>
      <c r="AN69" s="24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1302.4</v>
      </c>
      <c r="AP69" cm="1">
        <f t="array" ref="AP69">$E$10*(1+$AN69)+VLOOKUP($R69,武学奇术!$A:$ZZ,4,FALSE)+SUM(_xlfn.XLOOKUP($S69:$AG69,增益!$A:$A,增益!$D:$D,0))-$I$2</f>
        <v>6112.4</v>
      </c>
      <c r="AQ69" s="32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0.1925</v>
      </c>
      <c r="AR69" s="32" cm="1">
        <f t="array" ref="AR69">$G$10+VLOOKUP($R69,武学奇术!$A:$ZZ,7,FALSE)+SUM(_xlfn.XLOOKUP(S69:AG69,增益!$A:$A,增益!$G:$G,0))</f>
        <v>0</v>
      </c>
      <c r="AS69" s="24" cm="1">
        <f t="array" ref="AS69">VLOOKUP($R69,武学奇术!$A:$ZZ,8,FALSE)+SUM(_xlfn.XLOOKUP(S69:AG69,增益!$A:$A,增益!$H:$H,0))</f>
        <v>0</v>
      </c>
      <c r="AT69">
        <f t="shared" si="12"/>
        <v>557.3</v>
      </c>
      <c r="AU69">
        <f t="shared" si="13"/>
        <v>1049.5</v>
      </c>
      <c r="AV69" s="32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2" cm="1">
        <f t="array" ref="AW69">$G$11+VLOOKUP($R69,武学奇术!$A:$ZZ,10,FALSE)+SUM(_xlfn.XLOOKUP(S69:AG69,增益!$A:$A,增益!$J:$J,0))</f>
        <v>0.25</v>
      </c>
      <c r="AX69">
        <f t="shared" si="14"/>
        <v>0</v>
      </c>
      <c r="AY69">
        <f t="shared" si="15"/>
        <v>0</v>
      </c>
      <c r="AZ69" s="32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2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2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2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2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2" cm="1">
        <f t="array" ref="BI69">$G$14+VLOOKUP($R69,武学奇术!$A:$ZZ,16,FALSE)+SUM(_xlfn.XLOOKUP(S69:AG69,增益!$A:$A,增益!$P:$P,0))</f>
        <v>0</v>
      </c>
      <c r="BJ69" s="24">
        <f>MIN(IF(VLOOKUP($R69,武学奇术!$A:$ZZ,23,FALSE)=1,100%,$B$8),100%)</f>
        <v>0.8271</v>
      </c>
      <c r="BK69" s="24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4" cm="1">
        <f t="array" ref="BL69">1+$B$13+VLOOKUP($R69,武学奇术!$A:$ZZ,18,FALSE)+SUM(_xlfn.XLOOKUP(S69:AG69,增益!$A:$A,增益!$R:$R,0))</f>
        <v>1.5</v>
      </c>
      <c r="BM69" s="24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4" cm="1">
        <f t="array" ref="BN69">1+$B$14+VLOOKUP($R69,武学奇术!$A:$ZZ,20,FALSE)+SUM(_xlfn.XLOOKUP(S69:AG69,增益!$A:$A,增益!$T:$T,0))</f>
        <v>1.962</v>
      </c>
      <c r="BO69" s="24">
        <f t="shared" si="20"/>
        <v>0</v>
      </c>
      <c r="BP69" s="24">
        <f t="shared" si="21"/>
        <v>0</v>
      </c>
      <c r="BQ69" s="24">
        <f>IF(VLOOKUP($R69,武学奇术!$A:$ZZ,22,FALSE)=1,0,(1-$BJ69))*(1-$BM69)</f>
        <v>0</v>
      </c>
      <c r="BR69" s="24" cm="1">
        <f t="array" ref="BR69">SUM(_xlfn.XLOOKUP(S69:AG69,增益!$A:$A,增益!$W:$W,0))+$I$5</f>
        <v>0.31</v>
      </c>
    </row>
    <row r="70" spans="1:70">
      <c r="A70" s="86" t="s">
        <v>145</v>
      </c>
      <c r="B70" s="86">
        <v>1.1</v>
      </c>
      <c r="K70" s="30">
        <f>$L70*VLOOKUP($R70,武学奇术!$A:$ZZ,31,FALSE)</f>
        <v>26547.9216700937</v>
      </c>
      <c r="L70" s="30">
        <f t="shared" si="11"/>
        <v>24134.4742455398</v>
      </c>
      <c r="M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20519.5745455129</v>
      </c>
      <c r="N70" s="30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36293.0704340468</v>
      </c>
      <c r="O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13679.7163636753</v>
      </c>
      <c r="P70" s="30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6992.95100229625</v>
      </c>
      <c r="Q70" s="38">
        <v>1</v>
      </c>
      <c r="R70" s="39" t="s">
        <v>93</v>
      </c>
      <c r="S70" s="39" t="s">
        <v>143</v>
      </c>
      <c r="T70" s="39" t="s">
        <v>75</v>
      </c>
      <c r="U70" s="39" t="s">
        <v>114</v>
      </c>
      <c r="V70" s="39" t="s">
        <v>74</v>
      </c>
      <c r="W70" s="39" t="s">
        <v>75</v>
      </c>
      <c r="X70" s="39" t="s">
        <v>75</v>
      </c>
      <c r="Y70" s="39" t="s">
        <v>75</v>
      </c>
      <c r="Z70" s="39" t="s">
        <v>75</v>
      </c>
      <c r="AA70" s="39" t="s">
        <v>103</v>
      </c>
      <c r="AB70" s="39" t="s">
        <v>147</v>
      </c>
      <c r="AC70" s="39" t="s">
        <v>148</v>
      </c>
      <c r="AD70" s="39" t="s">
        <v>75</v>
      </c>
      <c r="AE70" s="39" t="s">
        <v>75</v>
      </c>
      <c r="AF70" s="39" t="s">
        <v>75</v>
      </c>
      <c r="AG70" s="39" t="s">
        <v>76</v>
      </c>
      <c r="AH70" t="str">
        <f>VLOOKUP($R70,武学奇术!$A:$ZZ,25,FALSE)</f>
        <v>剑</v>
      </c>
      <c r="AI70" s="24">
        <f>VLOOKUP($R70,武学奇术!$A:$ZZ,26,FALSE)</f>
        <v>1.0253</v>
      </c>
      <c r="AJ70" s="25">
        <f>VLOOKUP($R70,武学奇术!$A:$ZZ,27,FALSE)*(1+IF(OR($AH70=$F$4,$AH70=$F$5),$B$22,0))</f>
        <v>396.2</v>
      </c>
      <c r="AK70" s="24">
        <f>VLOOKUP($R70,武学奇术!$A:$ZZ,28,FALSE)</f>
        <v>1.538</v>
      </c>
      <c r="AL70" s="25">
        <f>VLOOKUP($R70,武学奇术!$A:$ZZ,29,FALSE)*(1+IF(OR($AH70=$F$4,$AH70=$F$5),$B$22,0))</f>
        <v>215.6</v>
      </c>
      <c r="AM70" s="24" cm="1">
        <f t="array" ref="AM70">$G$3+IFERROR(VLOOKUP($AH70,$F$4:$G$7,2,FALSE),0)+VLOOKUP($R70,武学奇术!$A:$ZZ,2,FALSE)+SUM(_xlfn.XLOOKUP($S70:$AG70,增益!$A:$A,增益!$B:$B,0))</f>
        <v>0.4891</v>
      </c>
      <c r="AN70" s="24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1302.4</v>
      </c>
      <c r="AP70" cm="1">
        <f t="array" ref="AP70">$E$10*(1+$AN70)+VLOOKUP($R70,武学奇术!$A:$ZZ,4,FALSE)+SUM(_xlfn.XLOOKUP($S70:$AG70,增益!$A:$A,增益!$D:$D,0))-$I$2</f>
        <v>6112.4</v>
      </c>
      <c r="AQ70" s="32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0.1925</v>
      </c>
      <c r="AR70" s="32" cm="1">
        <f t="array" ref="AR70">$G$10+VLOOKUP($R70,武学奇术!$A:$ZZ,7,FALSE)+SUM(_xlfn.XLOOKUP(S70:AG70,增益!$A:$A,增益!$G:$G,0))</f>
        <v>0</v>
      </c>
      <c r="AS70" s="24" cm="1">
        <f t="array" ref="AS70">VLOOKUP($R70,武学奇术!$A:$ZZ,8,FALSE)+SUM(_xlfn.XLOOKUP(S70:AG70,增益!$A:$A,增益!$H:$H,0))</f>
        <v>0</v>
      </c>
      <c r="AT70">
        <f t="shared" si="12"/>
        <v>557.3</v>
      </c>
      <c r="AU70">
        <f t="shared" si="13"/>
        <v>1049.5</v>
      </c>
      <c r="AV70" s="32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2" cm="1">
        <f t="array" ref="AW70">$G$11+VLOOKUP($R70,武学奇术!$A:$ZZ,10,FALSE)+SUM(_xlfn.XLOOKUP(S70:AG70,增益!$A:$A,增益!$J:$J,0))</f>
        <v>0.25</v>
      </c>
      <c r="AX70">
        <f t="shared" si="14"/>
        <v>0</v>
      </c>
      <c r="AY70">
        <f t="shared" si="15"/>
        <v>0</v>
      </c>
      <c r="AZ70" s="32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2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2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2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2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2" cm="1">
        <f t="array" ref="BI70">$G$14+VLOOKUP($R70,武学奇术!$A:$ZZ,16,FALSE)+SUM(_xlfn.XLOOKUP(S70:AG70,增益!$A:$A,增益!$P:$P,0))</f>
        <v>0</v>
      </c>
      <c r="BJ70" s="24">
        <f>MIN(IF(VLOOKUP($R70,武学奇术!$A:$ZZ,23,FALSE)=1,100%,$B$8),100%)</f>
        <v>0.8271</v>
      </c>
      <c r="BK70" s="24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0.1789</v>
      </c>
      <c r="BL70" s="24" cm="1">
        <f t="array" ref="BL70">1+$B$13+VLOOKUP($R70,武学奇术!$A:$ZZ,18,FALSE)+SUM(_xlfn.XLOOKUP(S70:AG70,增益!$A:$A,增益!$R:$R,0))</f>
        <v>1.5</v>
      </c>
      <c r="BM70" s="24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0.4459</v>
      </c>
      <c r="BN70" s="24" cm="1">
        <f t="array" ref="BN70">1+$B$14+VLOOKUP($R70,武学奇术!$A:$ZZ,20,FALSE)+SUM(_xlfn.XLOOKUP(S70:AG70,增益!$A:$A,增益!$T:$T,0))</f>
        <v>1.782</v>
      </c>
      <c r="BO70" s="24">
        <f t="shared" si="20"/>
        <v>0.14796819</v>
      </c>
      <c r="BP70" s="24">
        <f t="shared" si="21"/>
        <v>0.31032792</v>
      </c>
      <c r="BQ70" s="24">
        <f>IF(VLOOKUP($R70,武学奇术!$A:$ZZ,22,FALSE)=1,0,(1-$BJ70))*(1-$BM70)</f>
        <v>0.09580389</v>
      </c>
      <c r="BR70" s="24" cm="1">
        <f t="array" ref="BR70">SUM(_xlfn.XLOOKUP(S70:AG70,增益!$A:$A,增益!$W:$W,0))+$I$5</f>
        <v>0.31</v>
      </c>
    </row>
    <row r="71" spans="1:70">
      <c r="A71" s="86" t="s">
        <v>150</v>
      </c>
      <c r="B71" s="86">
        <v>2.33</v>
      </c>
      <c r="C71" s="38" t="s">
        <v>73</v>
      </c>
      <c r="K71" s="30">
        <f>$L71*VLOOKUP($R71,武学奇术!$A:$ZZ,31,FALSE)</f>
        <v>242958.281609928</v>
      </c>
      <c r="L71" s="30">
        <f t="shared" si="11"/>
        <v>220871.165099934</v>
      </c>
      <c r="M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175468.216406361</v>
      </c>
      <c r="N71" s="30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342991.184720278</v>
      </c>
      <c r="O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116978.810937574</v>
      </c>
      <c r="P71" s="30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59140.5042807145</v>
      </c>
      <c r="Q71" s="38">
        <v>1</v>
      </c>
      <c r="R71" s="39" t="s">
        <v>96</v>
      </c>
      <c r="S71" s="39" t="s">
        <v>143</v>
      </c>
      <c r="T71" s="39" t="s">
        <v>75</v>
      </c>
      <c r="U71" s="39" t="s">
        <v>114</v>
      </c>
      <c r="V71" s="39" t="s">
        <v>74</v>
      </c>
      <c r="W71" s="39" t="s">
        <v>109</v>
      </c>
      <c r="X71" s="39" t="s">
        <v>97</v>
      </c>
      <c r="Y71" s="39" t="s">
        <v>80</v>
      </c>
      <c r="Z71" s="39" t="s">
        <v>98</v>
      </c>
      <c r="AA71" s="39" t="s">
        <v>103</v>
      </c>
      <c r="AB71" s="39" t="s">
        <v>75</v>
      </c>
      <c r="AC71" s="39" t="s">
        <v>75</v>
      </c>
      <c r="AD71" s="39" t="s">
        <v>75</v>
      </c>
      <c r="AE71" s="39" t="s">
        <v>75</v>
      </c>
      <c r="AF71" s="39" t="s">
        <v>75</v>
      </c>
      <c r="AG71" s="39" t="s">
        <v>76</v>
      </c>
      <c r="AH71" t="str">
        <f>VLOOKUP($R71,武学奇术!$A:$ZZ,25,FALSE)</f>
        <v>剑</v>
      </c>
      <c r="AI71" s="24">
        <f>VLOOKUP($R71,武学奇术!$A:$ZZ,26,FALSE)</f>
        <v>4.7037</v>
      </c>
      <c r="AJ71" s="25">
        <f>VLOOKUP($R71,武学奇术!$A:$ZZ,27,FALSE)*(1+IF(OR($AH71=$F$4,$AH71=$F$5),$B$22,0))</f>
        <v>1820</v>
      </c>
      <c r="AK71" s="24">
        <f>VLOOKUP($R71,武学奇术!$A:$ZZ,28,FALSE)</f>
        <v>7.0554</v>
      </c>
      <c r="AL71" s="25">
        <f>VLOOKUP($R71,武学奇术!$A:$ZZ,29,FALSE)*(1+IF(OR($AH71=$F$4,$AH71=$F$5),$B$22,0))</f>
        <v>992.6</v>
      </c>
      <c r="AM71" s="24" cm="1">
        <f t="array" ref="AM71">$G$3+IFERROR(VLOOKUP($AH71,$F$4:$G$7,2,FALSE),0)+VLOOKUP($R71,武学奇术!$A:$ZZ,2,FALSE)+SUM(_xlfn.XLOOKUP($S71:$AG71,增益!$A:$A,增益!$B:$B,0))</f>
        <v>1.5391</v>
      </c>
      <c r="AN71" s="24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1302.4</v>
      </c>
      <c r="AP71" cm="1">
        <f t="array" ref="AP71">$E$10*(1+$AN71)+VLOOKUP($R71,武学奇术!$A:$ZZ,4,FALSE)+SUM(_xlfn.XLOOKUP($S71:$AG71,增益!$A:$A,增益!$D:$D,0))-$I$2</f>
        <v>6112.4</v>
      </c>
      <c r="AQ71" s="32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0.1925</v>
      </c>
      <c r="AR71" s="32" cm="1">
        <f t="array" ref="AR71">$G$10+VLOOKUP($R71,武学奇术!$A:$ZZ,7,FALSE)+SUM(_xlfn.XLOOKUP(S71:AG71,增益!$A:$A,增益!$G:$G,0))</f>
        <v>0</v>
      </c>
      <c r="AS71" s="24" cm="1">
        <f t="array" ref="AS71">VLOOKUP($R71,武学奇术!$A:$ZZ,8,FALSE)+SUM(_xlfn.XLOOKUP(S71:AG71,增益!$A:$A,增益!$H:$H,0))</f>
        <v>0</v>
      </c>
      <c r="AT71">
        <f t="shared" si="12"/>
        <v>557.3</v>
      </c>
      <c r="AU71">
        <f t="shared" si="13"/>
        <v>1049.5</v>
      </c>
      <c r="AV71" s="32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2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2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2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2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2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2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2" cm="1">
        <f t="array" ref="BI71">$G$14+VLOOKUP($R71,武学奇术!$A:$ZZ,16,FALSE)+SUM(_xlfn.XLOOKUP(S71:AG71,增益!$A:$A,增益!$P:$P,0))</f>
        <v>0</v>
      </c>
      <c r="BJ71" s="24">
        <f>MIN(IF(VLOOKUP($R71,武学奇术!$A:$ZZ,23,FALSE)=1,100%,$B$8),100%)</f>
        <v>0.8271</v>
      </c>
      <c r="BK71" s="24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0.1789</v>
      </c>
      <c r="BL71" s="24" cm="1">
        <f t="array" ref="BL71">1+$B$13+VLOOKUP($R71,武学奇术!$A:$ZZ,18,FALSE)+SUM(_xlfn.XLOOKUP(S71:AG71,增益!$A:$A,增益!$R:$R,0))</f>
        <v>1.5</v>
      </c>
      <c r="BM71" s="24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4" cm="1">
        <f t="array" ref="BN71">1+$B$14+VLOOKUP($R71,武学奇术!$A:$ZZ,20,FALSE)+SUM(_xlfn.XLOOKUP(S71:AG71,增益!$A:$A,增益!$T:$T,0))</f>
        <v>1.962</v>
      </c>
      <c r="BO71" s="24">
        <f t="shared" si="20"/>
        <v>0.14796819</v>
      </c>
      <c r="BP71" s="24">
        <f t="shared" si="21"/>
        <v>0.31032792</v>
      </c>
      <c r="BQ71" s="24">
        <f>IF(VLOOKUP($R71,武学奇术!$A:$ZZ,22,FALSE)=1,0,(1-$BJ71))*(1-$BM71)</f>
        <v>0.09580389</v>
      </c>
      <c r="BR71" s="24" cm="1">
        <f t="array" ref="BR71">SUM(_xlfn.XLOOKUP(S71:AG71,增益!$A:$A,增益!$W:$W,0))+$I$5</f>
        <v>0.11</v>
      </c>
    </row>
    <row r="72" spans="1:70">
      <c r="A72" s="86" t="s">
        <v>150</v>
      </c>
      <c r="B72" s="86">
        <v>2.33</v>
      </c>
      <c r="C72" s="38"/>
      <c r="K72" s="30">
        <f>$L72*VLOOKUP($R72,武学奇术!$A:$ZZ,31,FALSE)</f>
        <v>223820.927302502</v>
      </c>
      <c r="L72" s="30">
        <f t="shared" si="11"/>
        <v>203473.570275002</v>
      </c>
      <c r="M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161646.924105439</v>
      </c>
      <c r="N72" s="30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315974.431955891</v>
      </c>
      <c r="O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107764.616070292</v>
      </c>
      <c r="P72" s="30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54482.1210519552</v>
      </c>
      <c r="Q72" s="38">
        <v>1</v>
      </c>
      <c r="R72" s="39" t="s">
        <v>96</v>
      </c>
      <c r="S72" s="39" t="s">
        <v>143</v>
      </c>
      <c r="T72" s="39" t="s">
        <v>75</v>
      </c>
      <c r="U72" s="39" t="s">
        <v>114</v>
      </c>
      <c r="V72" s="39" t="s">
        <v>75</v>
      </c>
      <c r="W72" s="39" t="s">
        <v>109</v>
      </c>
      <c r="X72" s="39" t="s">
        <v>97</v>
      </c>
      <c r="Y72" s="39" t="s">
        <v>80</v>
      </c>
      <c r="Z72" s="39" t="s">
        <v>98</v>
      </c>
      <c r="AA72" s="39" t="s">
        <v>103</v>
      </c>
      <c r="AB72" s="39" t="s">
        <v>75</v>
      </c>
      <c r="AC72" s="39" t="s">
        <v>75</v>
      </c>
      <c r="AD72" s="39" t="s">
        <v>75</v>
      </c>
      <c r="AE72" s="39" t="s">
        <v>75</v>
      </c>
      <c r="AF72" s="39" t="s">
        <v>75</v>
      </c>
      <c r="AG72" s="39" t="s">
        <v>76</v>
      </c>
      <c r="AH72" t="str">
        <f>VLOOKUP($R72,武学奇术!$A:$ZZ,25,FALSE)</f>
        <v>剑</v>
      </c>
      <c r="AI72" s="24">
        <f>VLOOKUP($R72,武学奇术!$A:$ZZ,26,FALSE)</f>
        <v>4.7037</v>
      </c>
      <c r="AJ72" s="25">
        <f>VLOOKUP($R72,武学奇术!$A:$ZZ,27,FALSE)*(1+IF(OR($AH72=$F$4,$AH72=$F$5),$B$22,0))</f>
        <v>1820</v>
      </c>
      <c r="AK72" s="24">
        <f>VLOOKUP($R72,武学奇术!$A:$ZZ,28,FALSE)</f>
        <v>7.0554</v>
      </c>
      <c r="AL72" s="25">
        <f>VLOOKUP($R72,武学奇术!$A:$ZZ,29,FALSE)*(1+IF(OR($AH72=$F$4,$AH72=$F$5),$B$22,0))</f>
        <v>992.6</v>
      </c>
      <c r="AM72" s="24" cm="1">
        <f t="array" ref="AM72">$G$3+IFERROR(VLOOKUP($AH72,$F$4:$G$7,2,FALSE),0)+VLOOKUP($R72,武学奇术!$A:$ZZ,2,FALSE)+SUM(_xlfn.XLOOKUP($S72:$AG72,增益!$A:$A,增益!$B:$B,0))</f>
        <v>1.3391</v>
      </c>
      <c r="AN72" s="24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1302.4</v>
      </c>
      <c r="AP72" cm="1">
        <f t="array" ref="AP72">$E$10*(1+$AN72)+VLOOKUP($R72,武学奇术!$A:$ZZ,4,FALSE)+SUM(_xlfn.XLOOKUP($S72:$AG72,增益!$A:$A,增益!$D:$D,0))-$I$2</f>
        <v>6112.4</v>
      </c>
      <c r="AQ72" s="32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0.1925</v>
      </c>
      <c r="AR72" s="32" cm="1">
        <f t="array" ref="AR72">$G$10+VLOOKUP($R72,武学奇术!$A:$ZZ,7,FALSE)+SUM(_xlfn.XLOOKUP(S72:AG72,增益!$A:$A,增益!$G:$G,0))</f>
        <v>0</v>
      </c>
      <c r="AS72" s="24" cm="1">
        <f t="array" ref="AS72">VLOOKUP($R72,武学奇术!$A:$ZZ,8,FALSE)+SUM(_xlfn.XLOOKUP(S72:AG72,增益!$A:$A,增益!$H:$H,0))</f>
        <v>0</v>
      </c>
      <c r="AT72">
        <f t="shared" si="12"/>
        <v>557.3</v>
      </c>
      <c r="AU72">
        <f t="shared" si="13"/>
        <v>1049.5</v>
      </c>
      <c r="AV72" s="32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2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2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2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2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2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2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2" cm="1">
        <f t="array" ref="BI72">$G$14+VLOOKUP($R72,武学奇术!$A:$ZZ,16,FALSE)+SUM(_xlfn.XLOOKUP(S72:AG72,增益!$A:$A,增益!$P:$P,0))</f>
        <v>0</v>
      </c>
      <c r="BJ72" s="24">
        <f>MIN(IF(VLOOKUP($R72,武学奇术!$A:$ZZ,23,FALSE)=1,100%,$B$8),100%)</f>
        <v>0.8271</v>
      </c>
      <c r="BK72" s="24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0.1789</v>
      </c>
      <c r="BL72" s="24" cm="1">
        <f t="array" ref="BL72">1+$B$13+VLOOKUP($R72,武学奇术!$A:$ZZ,18,FALSE)+SUM(_xlfn.XLOOKUP(S72:AG72,增益!$A:$A,增益!$R:$R,0))</f>
        <v>1.5</v>
      </c>
      <c r="BM72" s="24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4" cm="1">
        <f t="array" ref="BN72">1+$B$14+VLOOKUP($R72,武学奇术!$A:$ZZ,20,FALSE)+SUM(_xlfn.XLOOKUP(S72:AG72,增益!$A:$A,增益!$T:$T,0))</f>
        <v>1.962</v>
      </c>
      <c r="BO72" s="24">
        <f t="shared" si="20"/>
        <v>0.14796819</v>
      </c>
      <c r="BP72" s="24">
        <f t="shared" si="21"/>
        <v>0.31032792</v>
      </c>
      <c r="BQ72" s="24">
        <f>IF(VLOOKUP($R72,武学奇术!$A:$ZZ,22,FALSE)=1,0,(1-$BJ72))*(1-$BM72)</f>
        <v>0.09580389</v>
      </c>
      <c r="BR72" s="24" cm="1">
        <f t="array" ref="BR72">SUM(_xlfn.XLOOKUP(S72:AG72,增益!$A:$A,增益!$W:$W,0))+$I$5</f>
        <v>0.11</v>
      </c>
    </row>
    <row r="73" spans="1:70">
      <c r="A73" s="86" t="s">
        <v>152</v>
      </c>
      <c r="B73" s="86">
        <v>0.8</v>
      </c>
      <c r="C73" s="38"/>
      <c r="K73" s="30">
        <f>$L73*VLOOKUP($R73,武学奇术!$A:$ZZ,31,FALSE)</f>
        <v>0</v>
      </c>
      <c r="L73" s="30">
        <f t="shared" si="11"/>
        <v>0</v>
      </c>
      <c r="M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0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0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8">
        <v>1</v>
      </c>
      <c r="R73" s="39" t="s">
        <v>75</v>
      </c>
      <c r="S73" s="39" t="s">
        <v>75</v>
      </c>
      <c r="T73" s="39" t="s">
        <v>75</v>
      </c>
      <c r="U73" s="39" t="s">
        <v>75</v>
      </c>
      <c r="V73" s="39" t="s">
        <v>75</v>
      </c>
      <c r="W73" s="39" t="s">
        <v>75</v>
      </c>
      <c r="X73" s="39" t="s">
        <v>75</v>
      </c>
      <c r="Y73" s="39" t="s">
        <v>75</v>
      </c>
      <c r="Z73" s="39" t="s">
        <v>75</v>
      </c>
      <c r="AA73" s="39" t="s">
        <v>75</v>
      </c>
      <c r="AB73" s="39" t="s">
        <v>75</v>
      </c>
      <c r="AC73" s="39" t="s">
        <v>75</v>
      </c>
      <c r="AD73" s="39" t="s">
        <v>75</v>
      </c>
      <c r="AE73" s="39" t="s">
        <v>75</v>
      </c>
      <c r="AF73" s="39" t="s">
        <v>75</v>
      </c>
      <c r="AG73" s="39" t="s">
        <v>76</v>
      </c>
      <c r="AH73" t="str">
        <f>VLOOKUP($R73,武学奇术!$A:$ZZ,25,FALSE)</f>
        <v>心法</v>
      </c>
      <c r="AI73" s="24">
        <f>VLOOKUP($R73,武学奇术!$A:$ZZ,26,FALSE)</f>
        <v>0</v>
      </c>
      <c r="AJ73" s="25">
        <f>VLOOKUP($R73,武学奇术!$A:$ZZ,27,FALSE)*(1+IF(OR($AH73=$F$4,$AH73=$F$5),$B$22,0))</f>
        <v>0</v>
      </c>
      <c r="AK73" s="24">
        <f>VLOOKUP($R73,武学奇术!$A:$ZZ,28,FALSE)</f>
        <v>0</v>
      </c>
      <c r="AL73" s="25">
        <f>VLOOKUP($R73,武学奇术!$A:$ZZ,29,FALSE)*(1+IF(OR($AH73=$F$4,$AH73=$F$5),$B$22,0))</f>
        <v>0</v>
      </c>
      <c r="AM73" s="24" cm="1">
        <f t="array" ref="AM73">$G$3+IFERROR(VLOOKUP($AH73,$F$4:$G$7,2,FALSE),0)+VLOOKUP($R73,武学奇术!$A:$ZZ,2,FALSE)+SUM(_xlfn.XLOOKUP($S73:$AG73,增益!$A:$A,增益!$B:$B,0))</f>
        <v>0.1037</v>
      </c>
      <c r="AN73" s="24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1302.4</v>
      </c>
      <c r="AP73" cm="1">
        <f t="array" ref="AP73">$E$10*(1+$AN73)+VLOOKUP($R73,武学奇术!$A:$ZZ,4,FALSE)+SUM(_xlfn.XLOOKUP($S73:$AG73,增益!$A:$A,增益!$D:$D,0))-$I$2</f>
        <v>6112.4</v>
      </c>
      <c r="AQ73" s="32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0.1925</v>
      </c>
      <c r="AR73" s="32" cm="1">
        <f t="array" ref="AR73">$G$10+VLOOKUP($R73,武学奇术!$A:$ZZ,7,FALSE)+SUM(_xlfn.XLOOKUP(S73:AG73,增益!$A:$A,增益!$G:$G,0))</f>
        <v>0</v>
      </c>
      <c r="AS73" s="24" cm="1">
        <f t="array" ref="AS73">VLOOKUP($R73,武学奇术!$A:$ZZ,8,FALSE)+SUM(_xlfn.XLOOKUP(S73:AG73,增益!$A:$A,增益!$H:$H,0))</f>
        <v>0</v>
      </c>
      <c r="AT73">
        <f t="shared" si="12"/>
        <v>557.3</v>
      </c>
      <c r="AU73">
        <f t="shared" si="13"/>
        <v>1049.5</v>
      </c>
      <c r="AV73" s="32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2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2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2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2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2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2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2" cm="1">
        <f t="array" ref="BI73">$G$14+VLOOKUP($R73,武学奇术!$A:$ZZ,16,FALSE)+SUM(_xlfn.XLOOKUP(S73:AG73,增益!$A:$A,增益!$P:$P,0))</f>
        <v>0</v>
      </c>
      <c r="BJ73" s="24">
        <f>MIN(IF(VLOOKUP($R73,武学奇术!$A:$ZZ,23,FALSE)=1,100%,$B$8),100%)</f>
        <v>0.8271</v>
      </c>
      <c r="BK73" s="24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0.1789</v>
      </c>
      <c r="BL73" s="24" cm="1">
        <f t="array" ref="BL73">1+$B$13+VLOOKUP($R73,武学奇术!$A:$ZZ,18,FALSE)+SUM(_xlfn.XLOOKUP(S73:AG73,增益!$A:$A,增益!$R:$R,0))</f>
        <v>1.5</v>
      </c>
      <c r="BM73" s="24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0.4159</v>
      </c>
      <c r="BN73" s="24" cm="1">
        <f t="array" ref="BN73">1+$B$14+VLOOKUP($R73,武学奇术!$A:$ZZ,20,FALSE)+SUM(_xlfn.XLOOKUP(S73:AG73,增益!$A:$A,增益!$T:$T,0))</f>
        <v>1.402</v>
      </c>
      <c r="BO73" s="24">
        <f t="shared" si="20"/>
        <v>0.14796819</v>
      </c>
      <c r="BP73" s="24">
        <f t="shared" si="21"/>
        <v>0.33514092</v>
      </c>
      <c r="BQ73" s="24">
        <f>IF(VLOOKUP($R73,武学奇术!$A:$ZZ,22,FALSE)=1,0,(1-$BJ73))*(1-$BM73)</f>
        <v>0.10099089</v>
      </c>
      <c r="BR73" s="24" cm="1">
        <f t="array" ref="BR73">SUM(_xlfn.XLOOKUP(S73:AG73,增益!$A:$A,增益!$W:$W,0))+$I$5</f>
        <v>0.11</v>
      </c>
    </row>
    <row r="74" spans="1:70">
      <c r="A74" s="86" t="s">
        <v>150</v>
      </c>
      <c r="B74" s="86">
        <v>2.33</v>
      </c>
      <c r="C74" s="38"/>
      <c r="K74" s="30">
        <f>$L74*VLOOKUP($R74,武学奇术!$A:$ZZ,31,FALSE)</f>
        <v>0</v>
      </c>
      <c r="L74" s="30">
        <f t="shared" si="11"/>
        <v>0</v>
      </c>
      <c r="M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0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0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8">
        <v>1</v>
      </c>
      <c r="R74" s="39" t="s">
        <v>75</v>
      </c>
      <c r="S74" s="39" t="s">
        <v>75</v>
      </c>
      <c r="T74" s="39" t="s">
        <v>75</v>
      </c>
      <c r="U74" s="39" t="s">
        <v>75</v>
      </c>
      <c r="V74" s="39" t="s">
        <v>75</v>
      </c>
      <c r="W74" s="39" t="s">
        <v>75</v>
      </c>
      <c r="X74" s="39" t="s">
        <v>75</v>
      </c>
      <c r="Y74" s="39" t="s">
        <v>75</v>
      </c>
      <c r="Z74" s="39" t="s">
        <v>75</v>
      </c>
      <c r="AA74" s="39" t="s">
        <v>75</v>
      </c>
      <c r="AB74" s="39" t="s">
        <v>75</v>
      </c>
      <c r="AC74" s="39" t="s">
        <v>75</v>
      </c>
      <c r="AD74" s="39" t="s">
        <v>75</v>
      </c>
      <c r="AE74" s="39" t="s">
        <v>75</v>
      </c>
      <c r="AF74" s="39" t="s">
        <v>75</v>
      </c>
      <c r="AG74" s="39" t="s">
        <v>76</v>
      </c>
      <c r="AH74" t="str">
        <f>VLOOKUP($R74,武学奇术!$A:$ZZ,25,FALSE)</f>
        <v>心法</v>
      </c>
      <c r="AI74" s="24">
        <f>VLOOKUP($R74,武学奇术!$A:$ZZ,26,FALSE)</f>
        <v>0</v>
      </c>
      <c r="AJ74" s="25">
        <f>VLOOKUP($R74,武学奇术!$A:$ZZ,27,FALSE)*(1+IF(OR($AH74=$F$4,$AH74=$F$5),$B$22,0))</f>
        <v>0</v>
      </c>
      <c r="AK74" s="24">
        <f>VLOOKUP($R74,武学奇术!$A:$ZZ,28,FALSE)</f>
        <v>0</v>
      </c>
      <c r="AL74" s="25">
        <f>VLOOKUP($R74,武学奇术!$A:$ZZ,29,FALSE)*(1+IF(OR($AH74=$F$4,$AH74=$F$5),$B$22,0))</f>
        <v>0</v>
      </c>
      <c r="AM74" s="24" cm="1">
        <f t="array" ref="AM74">$G$3+IFERROR(VLOOKUP($AH74,$F$4:$G$7,2,FALSE),0)+VLOOKUP($R74,武学奇术!$A:$ZZ,2,FALSE)+SUM(_xlfn.XLOOKUP($S74:$AG74,增益!$A:$A,增益!$B:$B,0))</f>
        <v>0.1037</v>
      </c>
      <c r="AN74" s="24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1302.4</v>
      </c>
      <c r="AP74" cm="1">
        <f t="array" ref="AP74">$E$10*(1+$AN74)+VLOOKUP($R74,武学奇术!$A:$ZZ,4,FALSE)+SUM(_xlfn.XLOOKUP($S74:$AG74,增益!$A:$A,增益!$D:$D,0))-$I$2</f>
        <v>6112.4</v>
      </c>
      <c r="AQ74" s="32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0.1925</v>
      </c>
      <c r="AR74" s="32" cm="1">
        <f t="array" ref="AR74">$G$10+VLOOKUP($R74,武学奇术!$A:$ZZ,7,FALSE)+SUM(_xlfn.XLOOKUP(S74:AG74,增益!$A:$A,增益!$G:$G,0))</f>
        <v>0</v>
      </c>
      <c r="AS74" s="24" cm="1">
        <f t="array" ref="AS74">VLOOKUP($R74,武学奇术!$A:$ZZ,8,FALSE)+SUM(_xlfn.XLOOKUP(S74:AG74,增益!$A:$A,增益!$H:$H,0))</f>
        <v>0</v>
      </c>
      <c r="AT74">
        <f t="shared" si="12"/>
        <v>557.3</v>
      </c>
      <c r="AU74">
        <f t="shared" si="13"/>
        <v>1049.5</v>
      </c>
      <c r="AV74" s="32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2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2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2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2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2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2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2" cm="1">
        <f t="array" ref="BI74">$G$14+VLOOKUP($R74,武学奇术!$A:$ZZ,16,FALSE)+SUM(_xlfn.XLOOKUP(S74:AG74,增益!$A:$A,增益!$P:$P,0))</f>
        <v>0</v>
      </c>
      <c r="BJ74" s="24">
        <f>MIN(IF(VLOOKUP($R74,武学奇术!$A:$ZZ,23,FALSE)=1,100%,$B$8),100%)</f>
        <v>0.8271</v>
      </c>
      <c r="BK74" s="24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0.1789</v>
      </c>
      <c r="BL74" s="24" cm="1">
        <f t="array" ref="BL74">1+$B$13+VLOOKUP($R74,武学奇术!$A:$ZZ,18,FALSE)+SUM(_xlfn.XLOOKUP(S74:AG74,增益!$A:$A,增益!$R:$R,0))</f>
        <v>1.5</v>
      </c>
      <c r="BM74" s="24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0.4159</v>
      </c>
      <c r="BN74" s="24" cm="1">
        <f t="array" ref="BN74">1+$B$14+VLOOKUP($R74,武学奇术!$A:$ZZ,20,FALSE)+SUM(_xlfn.XLOOKUP(S74:AG74,增益!$A:$A,增益!$T:$T,0))</f>
        <v>1.402</v>
      </c>
      <c r="BO74" s="24">
        <f t="shared" si="20"/>
        <v>0.14796819</v>
      </c>
      <c r="BP74" s="24">
        <f t="shared" si="21"/>
        <v>0.33514092</v>
      </c>
      <c r="BQ74" s="24">
        <f>IF(VLOOKUP($R74,武学奇术!$A:$ZZ,22,FALSE)=1,0,(1-$BJ74))*(1-$BM74)</f>
        <v>0.10099089</v>
      </c>
      <c r="BR74" s="24" cm="1">
        <f t="array" ref="BR74">SUM(_xlfn.XLOOKUP(S74:AG74,增益!$A:$A,增益!$W:$W,0))+$I$5</f>
        <v>0.11</v>
      </c>
    </row>
    <row r="75" spans="1:70">
      <c r="A75" s="86" t="s">
        <v>150</v>
      </c>
      <c r="B75" s="86">
        <v>2.33</v>
      </c>
      <c r="C75" s="4"/>
      <c r="K75" s="30">
        <f>$L75*VLOOKUP($R75,武学奇术!$A:$ZZ,31,FALSE)</f>
        <v>0</v>
      </c>
      <c r="L75" s="30">
        <f t="shared" si="11"/>
        <v>0</v>
      </c>
      <c r="M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0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0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8">
        <v>1</v>
      </c>
      <c r="R75" s="39" t="s">
        <v>75</v>
      </c>
      <c r="S75" s="39" t="s">
        <v>75</v>
      </c>
      <c r="T75" s="39" t="s">
        <v>75</v>
      </c>
      <c r="U75" s="39" t="s">
        <v>75</v>
      </c>
      <c r="V75" s="39" t="s">
        <v>75</v>
      </c>
      <c r="W75" s="39" t="s">
        <v>75</v>
      </c>
      <c r="X75" s="39" t="s">
        <v>75</v>
      </c>
      <c r="Y75" s="39" t="s">
        <v>75</v>
      </c>
      <c r="Z75" s="39" t="s">
        <v>75</v>
      </c>
      <c r="AA75" s="39" t="s">
        <v>75</v>
      </c>
      <c r="AB75" s="39" t="s">
        <v>75</v>
      </c>
      <c r="AC75" s="39" t="s">
        <v>75</v>
      </c>
      <c r="AD75" s="39" t="s">
        <v>75</v>
      </c>
      <c r="AE75" s="39" t="s">
        <v>75</v>
      </c>
      <c r="AF75" s="39" t="s">
        <v>75</v>
      </c>
      <c r="AG75" s="39" t="s">
        <v>76</v>
      </c>
      <c r="AH75" t="str">
        <f>VLOOKUP($R75,武学奇术!$A:$ZZ,25,FALSE)</f>
        <v>心法</v>
      </c>
      <c r="AI75" s="24">
        <f>VLOOKUP($R75,武学奇术!$A:$ZZ,26,FALSE)</f>
        <v>0</v>
      </c>
      <c r="AJ75" s="25">
        <f>VLOOKUP($R75,武学奇术!$A:$ZZ,27,FALSE)*(1+IF(OR($AH75=$F$4,$AH75=$F$5),$B$22,0))</f>
        <v>0</v>
      </c>
      <c r="AK75" s="24">
        <f>VLOOKUP($R75,武学奇术!$A:$ZZ,28,FALSE)</f>
        <v>0</v>
      </c>
      <c r="AL75" s="25">
        <f>VLOOKUP($R75,武学奇术!$A:$ZZ,29,FALSE)*(1+IF(OR($AH75=$F$4,$AH75=$F$5),$B$22,0))</f>
        <v>0</v>
      </c>
      <c r="AM75" s="24" cm="1">
        <f t="array" ref="AM75">$G$3+IFERROR(VLOOKUP($AH75,$F$4:$G$7,2,FALSE),0)+VLOOKUP($R75,武学奇术!$A:$ZZ,2,FALSE)+SUM(_xlfn.XLOOKUP($S75:$AG75,增益!$A:$A,增益!$B:$B,0))</f>
        <v>0.1037</v>
      </c>
      <c r="AN75" s="24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1302.4</v>
      </c>
      <c r="AP75" cm="1">
        <f t="array" ref="AP75">$E$10*(1+$AN75)+VLOOKUP($R75,武学奇术!$A:$ZZ,4,FALSE)+SUM(_xlfn.XLOOKUP($S75:$AG75,增益!$A:$A,增益!$D:$D,0))-$I$2</f>
        <v>6112.4</v>
      </c>
      <c r="AQ75" s="32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0.1925</v>
      </c>
      <c r="AR75" s="32" cm="1">
        <f t="array" ref="AR75">$G$10+VLOOKUP($R75,武学奇术!$A:$ZZ,7,FALSE)+SUM(_xlfn.XLOOKUP(S75:AG75,增益!$A:$A,增益!$G:$G,0))</f>
        <v>0</v>
      </c>
      <c r="AS75" s="24" cm="1">
        <f t="array" ref="AS75">VLOOKUP($R75,武学奇术!$A:$ZZ,8,FALSE)+SUM(_xlfn.XLOOKUP(S75:AG75,增益!$A:$A,增益!$H:$H,0))</f>
        <v>0</v>
      </c>
      <c r="AT75">
        <f t="shared" si="12"/>
        <v>557.3</v>
      </c>
      <c r="AU75">
        <f t="shared" si="13"/>
        <v>1049.5</v>
      </c>
      <c r="AV75" s="32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2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2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2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2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2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2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2" cm="1">
        <f t="array" ref="BI75">$G$14+VLOOKUP($R75,武学奇术!$A:$ZZ,16,FALSE)+SUM(_xlfn.XLOOKUP(S75:AG75,增益!$A:$A,增益!$P:$P,0))</f>
        <v>0</v>
      </c>
      <c r="BJ75" s="24">
        <f>MIN(IF(VLOOKUP($R75,武学奇术!$A:$ZZ,23,FALSE)=1,100%,$B$8),100%)</f>
        <v>0.8271</v>
      </c>
      <c r="BK75" s="24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0.1789</v>
      </c>
      <c r="BL75" s="24" cm="1">
        <f t="array" ref="BL75">1+$B$13+VLOOKUP($R75,武学奇术!$A:$ZZ,18,FALSE)+SUM(_xlfn.XLOOKUP(S75:AG75,增益!$A:$A,增益!$R:$R,0))</f>
        <v>1.5</v>
      </c>
      <c r="BM75" s="24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0.4159</v>
      </c>
      <c r="BN75" s="24" cm="1">
        <f t="array" ref="BN75">1+$B$14+VLOOKUP($R75,武学奇术!$A:$ZZ,20,FALSE)+SUM(_xlfn.XLOOKUP(S75:AG75,增益!$A:$A,增益!$T:$T,0))</f>
        <v>1.402</v>
      </c>
      <c r="BO75" s="24">
        <f t="shared" si="20"/>
        <v>0.14796819</v>
      </c>
      <c r="BP75" s="24">
        <f t="shared" si="21"/>
        <v>0.33514092</v>
      </c>
      <c r="BQ75" s="24">
        <f>IF(VLOOKUP($R75,武学奇术!$A:$ZZ,22,FALSE)=1,0,(1-$BJ75))*(1-$BM75)</f>
        <v>0.10099089</v>
      </c>
      <c r="BR75" s="24" cm="1">
        <f t="array" ref="BR75">SUM(_xlfn.XLOOKUP(S75:AG75,增益!$A:$A,增益!$W:$W,0))+$I$5</f>
        <v>0.11</v>
      </c>
    </row>
    <row r="76" spans="1:70">
      <c r="A76" s="4" t="s">
        <v>162</v>
      </c>
      <c r="B76" s="4">
        <v>0.7</v>
      </c>
      <c r="C76" s="4"/>
      <c r="K76" s="30">
        <f>$L76*VLOOKUP($R76,武学奇术!$A:$ZZ,31,FALSE)</f>
        <v>0</v>
      </c>
      <c r="L76" s="30">
        <f t="shared" si="11"/>
        <v>0</v>
      </c>
      <c r="M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0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0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8">
        <v>1</v>
      </c>
      <c r="R76" s="39" t="s">
        <v>75</v>
      </c>
      <c r="S76" s="39" t="s">
        <v>75</v>
      </c>
      <c r="T76" s="39" t="s">
        <v>75</v>
      </c>
      <c r="U76" s="39" t="s">
        <v>75</v>
      </c>
      <c r="V76" s="39" t="s">
        <v>75</v>
      </c>
      <c r="W76" s="39" t="s">
        <v>75</v>
      </c>
      <c r="X76" s="39" t="s">
        <v>75</v>
      </c>
      <c r="Y76" s="39" t="s">
        <v>75</v>
      </c>
      <c r="Z76" s="39" t="s">
        <v>75</v>
      </c>
      <c r="AA76" s="39" t="s">
        <v>75</v>
      </c>
      <c r="AB76" s="39" t="s">
        <v>75</v>
      </c>
      <c r="AC76" s="39" t="s">
        <v>75</v>
      </c>
      <c r="AD76" s="39" t="s">
        <v>75</v>
      </c>
      <c r="AE76" s="39" t="s">
        <v>75</v>
      </c>
      <c r="AF76" s="39" t="s">
        <v>75</v>
      </c>
      <c r="AG76" s="39" t="s">
        <v>76</v>
      </c>
      <c r="AH76" t="str">
        <f>VLOOKUP($R76,武学奇术!$A:$ZZ,25,FALSE)</f>
        <v>心法</v>
      </c>
      <c r="AI76" s="24">
        <f>VLOOKUP($R76,武学奇术!$A:$ZZ,26,FALSE)</f>
        <v>0</v>
      </c>
      <c r="AJ76" s="25">
        <f>VLOOKUP($R76,武学奇术!$A:$ZZ,27,FALSE)*(1+IF(OR($AH76=$F$4,$AH76=$F$5),$B$22,0))</f>
        <v>0</v>
      </c>
      <c r="AK76" s="24">
        <f>VLOOKUP($R76,武学奇术!$A:$ZZ,28,FALSE)</f>
        <v>0</v>
      </c>
      <c r="AL76" s="25">
        <f>VLOOKUP($R76,武学奇术!$A:$ZZ,29,FALSE)*(1+IF(OR($AH76=$F$4,$AH76=$F$5),$B$22,0))</f>
        <v>0</v>
      </c>
      <c r="AM76" s="24" cm="1">
        <f t="array" ref="AM76">$G$3+IFERROR(VLOOKUP($AH76,$F$4:$G$7,2,FALSE),0)+VLOOKUP($R76,武学奇术!$A:$ZZ,2,FALSE)+SUM(_xlfn.XLOOKUP($S76:$AG76,增益!$A:$A,增益!$B:$B,0))</f>
        <v>0.1037</v>
      </c>
      <c r="AN76" s="24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1302.4</v>
      </c>
      <c r="AP76" cm="1">
        <f t="array" ref="AP76">$E$10*(1+$AN76)+VLOOKUP($R76,武学奇术!$A:$ZZ,4,FALSE)+SUM(_xlfn.XLOOKUP($S76:$AG76,增益!$A:$A,增益!$D:$D,0))-$I$2</f>
        <v>6112.4</v>
      </c>
      <c r="AQ76" s="32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0.1925</v>
      </c>
      <c r="AR76" s="32" cm="1">
        <f t="array" ref="AR76">$G$10+VLOOKUP($R76,武学奇术!$A:$ZZ,7,FALSE)+SUM(_xlfn.XLOOKUP(S76:AG76,增益!$A:$A,增益!$G:$G,0))</f>
        <v>0</v>
      </c>
      <c r="AS76" s="24" cm="1">
        <f t="array" ref="AS76">VLOOKUP($R76,武学奇术!$A:$ZZ,8,FALSE)+SUM(_xlfn.XLOOKUP(S76:AG76,增益!$A:$A,增益!$H:$H,0))</f>
        <v>0</v>
      </c>
      <c r="AT76">
        <f t="shared" si="12"/>
        <v>557.3</v>
      </c>
      <c r="AU76">
        <f t="shared" si="13"/>
        <v>1049.5</v>
      </c>
      <c r="AV76" s="32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2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2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2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2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2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2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2" cm="1">
        <f t="array" ref="BI76">$G$14+VLOOKUP($R76,武学奇术!$A:$ZZ,16,FALSE)+SUM(_xlfn.XLOOKUP(S76:AG76,增益!$A:$A,增益!$P:$P,0))</f>
        <v>0</v>
      </c>
      <c r="BJ76" s="24">
        <f>MIN(IF(VLOOKUP($R76,武学奇术!$A:$ZZ,23,FALSE)=1,100%,$B$8),100%)</f>
        <v>0.8271</v>
      </c>
      <c r="BK76" s="24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0.1789</v>
      </c>
      <c r="BL76" s="24" cm="1">
        <f t="array" ref="BL76">1+$B$13+VLOOKUP($R76,武学奇术!$A:$ZZ,18,FALSE)+SUM(_xlfn.XLOOKUP(S76:AG76,增益!$A:$A,增益!$R:$R,0))</f>
        <v>1.5</v>
      </c>
      <c r="BM76" s="24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0.4159</v>
      </c>
      <c r="BN76" s="24" cm="1">
        <f t="array" ref="BN76">1+$B$14+VLOOKUP($R76,武学奇术!$A:$ZZ,20,FALSE)+SUM(_xlfn.XLOOKUP(S76:AG76,增益!$A:$A,增益!$T:$T,0))</f>
        <v>1.402</v>
      </c>
      <c r="BO76" s="24">
        <f t="shared" si="20"/>
        <v>0.14796819</v>
      </c>
      <c r="BP76" s="24">
        <f t="shared" si="21"/>
        <v>0.33514092</v>
      </c>
      <c r="BQ76" s="24">
        <f>IF(VLOOKUP($R76,武学奇术!$A:$ZZ,22,FALSE)=1,0,(1-$BJ76))*(1-$BM76)</f>
        <v>0.10099089</v>
      </c>
      <c r="BR76" s="24" cm="1">
        <f t="array" ref="BR76">SUM(_xlfn.XLOOKUP(S76:AG76,增益!$A:$A,增益!$W:$W,0))+$I$5</f>
        <v>0.11</v>
      </c>
    </row>
    <row r="77" spans="1:70">
      <c r="A77" s="86" t="s">
        <v>145</v>
      </c>
      <c r="B77" s="86">
        <v>1.1</v>
      </c>
      <c r="C77" s="4"/>
      <c r="K77" s="88"/>
      <c r="L77" s="88"/>
      <c r="M77" s="88"/>
      <c r="N77" s="88"/>
      <c r="O77" s="88"/>
      <c r="P77" s="88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90"/>
      <c r="AI77" s="91"/>
      <c r="AJ77" s="92"/>
      <c r="AK77" s="91"/>
      <c r="AL77" s="92"/>
      <c r="AM77" s="91"/>
      <c r="AN77" s="91"/>
      <c r="AO77" s="90"/>
      <c r="AP77" s="90"/>
      <c r="AQ77" s="93"/>
      <c r="AR77" s="93"/>
      <c r="AS77" s="91"/>
      <c r="AT77" s="90"/>
      <c r="AU77" s="90"/>
      <c r="AV77" s="93"/>
      <c r="AW77" s="93"/>
      <c r="AX77" s="90"/>
      <c r="AY77" s="90"/>
      <c r="AZ77" s="93"/>
      <c r="BA77" s="93"/>
      <c r="BB77" s="90"/>
      <c r="BC77" s="90"/>
      <c r="BD77" s="93"/>
      <c r="BE77" s="93"/>
      <c r="BF77" s="90"/>
      <c r="BG77" s="90"/>
      <c r="BH77" s="93"/>
      <c r="BI77" s="93"/>
      <c r="BJ77" s="91"/>
      <c r="BK77" s="91"/>
      <c r="BL77" s="91"/>
      <c r="BM77" s="91"/>
      <c r="BN77" s="91"/>
      <c r="BO77" s="91"/>
      <c r="BP77" s="91"/>
      <c r="BQ77" s="91"/>
      <c r="BR77" s="91"/>
    </row>
    <row r="78" spans="1:70">
      <c r="A78" s="86" t="s">
        <v>150</v>
      </c>
      <c r="B78" s="86">
        <v>2.33</v>
      </c>
      <c r="C78" s="38" t="s">
        <v>73</v>
      </c>
      <c r="D78" t="s">
        <v>147</v>
      </c>
      <c r="K78" s="88"/>
      <c r="L78" s="88"/>
      <c r="M78" s="88"/>
      <c r="N78" s="88"/>
      <c r="O78" s="88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90"/>
      <c r="AI78" s="91"/>
      <c r="AJ78" s="92"/>
      <c r="AK78" s="91"/>
      <c r="AL78" s="92"/>
      <c r="AM78" s="91"/>
      <c r="AN78" s="91"/>
      <c r="AO78" s="90"/>
      <c r="AP78" s="90"/>
      <c r="AQ78" s="93"/>
      <c r="AR78" s="93"/>
      <c r="AS78" s="91"/>
      <c r="AT78" s="90"/>
      <c r="AU78" s="90"/>
      <c r="AV78" s="93"/>
      <c r="AW78" s="93"/>
      <c r="AX78" s="90"/>
      <c r="AY78" s="90"/>
      <c r="AZ78" s="93"/>
      <c r="BA78" s="93"/>
      <c r="BB78" s="90"/>
      <c r="BC78" s="90"/>
      <c r="BD78" s="93"/>
      <c r="BE78" s="93"/>
      <c r="BF78" s="90"/>
      <c r="BG78" s="90"/>
      <c r="BH78" s="93"/>
      <c r="BI78" s="93"/>
      <c r="BJ78" s="91"/>
      <c r="BK78" s="91"/>
      <c r="BL78" s="91"/>
      <c r="BM78" s="91"/>
      <c r="BN78" s="91"/>
      <c r="BO78" s="91"/>
      <c r="BP78" s="91"/>
      <c r="BQ78" s="91"/>
      <c r="BR78" s="91"/>
    </row>
    <row r="79" spans="1:70">
      <c r="A79" s="86" t="s">
        <v>150</v>
      </c>
      <c r="B79" s="86">
        <v>2.33</v>
      </c>
      <c r="C79" s="38"/>
      <c r="K79" s="88"/>
      <c r="L79" s="88"/>
      <c r="M79" s="88"/>
      <c r="N79" s="88"/>
      <c r="O79" s="88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90"/>
      <c r="AI79" s="91"/>
      <c r="AJ79" s="92"/>
      <c r="AK79" s="91"/>
      <c r="AL79" s="92"/>
      <c r="AM79" s="91"/>
      <c r="AN79" s="91"/>
      <c r="AO79" s="90"/>
      <c r="AP79" s="90"/>
      <c r="AQ79" s="93"/>
      <c r="AR79" s="93"/>
      <c r="AS79" s="91"/>
      <c r="AT79" s="90"/>
      <c r="AU79" s="90"/>
      <c r="AV79" s="93"/>
      <c r="AW79" s="93"/>
      <c r="AX79" s="90"/>
      <c r="AY79" s="90"/>
      <c r="AZ79" s="93"/>
      <c r="BA79" s="93"/>
      <c r="BB79" s="90"/>
      <c r="BC79" s="90"/>
      <c r="BD79" s="93"/>
      <c r="BE79" s="93"/>
      <c r="BF79" s="90"/>
      <c r="BG79" s="90"/>
      <c r="BH79" s="93"/>
      <c r="BI79" s="93"/>
      <c r="BJ79" s="91"/>
      <c r="BK79" s="91"/>
      <c r="BL79" s="91"/>
      <c r="BM79" s="91"/>
      <c r="BN79" s="91"/>
      <c r="BO79" s="91"/>
      <c r="BP79" s="91"/>
      <c r="BQ79" s="91"/>
      <c r="BR79" s="91"/>
    </row>
    <row r="80" spans="1:70">
      <c r="A80" s="86" t="s">
        <v>156</v>
      </c>
      <c r="B80" s="86">
        <v>1.1</v>
      </c>
      <c r="C80" s="38"/>
      <c r="K80" s="88"/>
      <c r="L80" s="88"/>
      <c r="M80" s="88"/>
      <c r="N80" s="88"/>
      <c r="O80" s="88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90"/>
      <c r="AI80" s="91"/>
      <c r="AJ80" s="92"/>
      <c r="AK80" s="91"/>
      <c r="AL80" s="92"/>
      <c r="AM80" s="91"/>
      <c r="AN80" s="91"/>
      <c r="AO80" s="90"/>
      <c r="AP80" s="90"/>
      <c r="AQ80" s="93"/>
      <c r="AR80" s="93"/>
      <c r="AS80" s="91"/>
      <c r="AT80" s="90"/>
      <c r="AU80" s="90"/>
      <c r="AV80" s="93"/>
      <c r="AW80" s="93"/>
      <c r="AX80" s="90"/>
      <c r="AY80" s="90"/>
      <c r="AZ80" s="93"/>
      <c r="BA80" s="93"/>
      <c r="BB80" s="90"/>
      <c r="BC80" s="90"/>
      <c r="BD80" s="93"/>
      <c r="BE80" s="93"/>
      <c r="BF80" s="90"/>
      <c r="BG80" s="90"/>
      <c r="BH80" s="93"/>
      <c r="BI80" s="93"/>
      <c r="BJ80" s="91"/>
      <c r="BK80" s="91"/>
      <c r="BL80" s="91"/>
      <c r="BM80" s="91"/>
      <c r="BN80" s="91"/>
      <c r="BO80" s="91"/>
      <c r="BP80" s="91"/>
      <c r="BQ80" s="91"/>
      <c r="BR80" s="91"/>
    </row>
    <row r="81" spans="1:70">
      <c r="A81" s="86" t="s">
        <v>150</v>
      </c>
      <c r="B81" s="86">
        <v>2.33</v>
      </c>
      <c r="C81" s="38"/>
      <c r="K81" s="88"/>
      <c r="L81" s="88"/>
      <c r="M81" s="88"/>
      <c r="N81" s="88"/>
      <c r="O81" s="88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90"/>
      <c r="AI81" s="91"/>
      <c r="AJ81" s="92"/>
      <c r="AK81" s="91"/>
      <c r="AL81" s="92"/>
      <c r="AM81" s="91"/>
      <c r="AN81" s="91"/>
      <c r="AO81" s="90"/>
      <c r="AP81" s="90"/>
      <c r="AQ81" s="93"/>
      <c r="AR81" s="93"/>
      <c r="AS81" s="91"/>
      <c r="AT81" s="90"/>
      <c r="AU81" s="90"/>
      <c r="AV81" s="93"/>
      <c r="AW81" s="93"/>
      <c r="AX81" s="90"/>
      <c r="AY81" s="90"/>
      <c r="AZ81" s="93"/>
      <c r="BA81" s="93"/>
      <c r="BB81" s="90"/>
      <c r="BC81" s="90"/>
      <c r="BD81" s="93"/>
      <c r="BE81" s="93"/>
      <c r="BF81" s="90"/>
      <c r="BG81" s="90"/>
      <c r="BH81" s="93"/>
      <c r="BI81" s="93"/>
      <c r="BJ81" s="91"/>
      <c r="BK81" s="91"/>
      <c r="BL81" s="91"/>
      <c r="BM81" s="91"/>
      <c r="BN81" s="91"/>
      <c r="BO81" s="91"/>
      <c r="BP81" s="91"/>
      <c r="BQ81" s="91"/>
      <c r="BR81" s="91"/>
    </row>
    <row r="82" spans="1:70">
      <c r="A82" s="86"/>
      <c r="B82" s="86"/>
      <c r="C82" s="4"/>
      <c r="K82" s="88"/>
      <c r="L82" s="88"/>
      <c r="M82" s="88"/>
      <c r="N82" s="88"/>
      <c r="O82" s="88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90"/>
      <c r="AI82" s="91"/>
      <c r="AJ82" s="92"/>
      <c r="AK82" s="91"/>
      <c r="AL82" s="92"/>
      <c r="AM82" s="91"/>
      <c r="AN82" s="91"/>
      <c r="AO82" s="90"/>
      <c r="AP82" s="90"/>
      <c r="AQ82" s="93"/>
      <c r="AR82" s="93"/>
      <c r="AS82" s="91"/>
      <c r="AT82" s="90"/>
      <c r="AU82" s="90"/>
      <c r="AV82" s="93"/>
      <c r="AW82" s="93"/>
      <c r="AX82" s="90"/>
      <c r="AY82" s="90"/>
      <c r="AZ82" s="93"/>
      <c r="BA82" s="93"/>
      <c r="BB82" s="90"/>
      <c r="BC82" s="90"/>
      <c r="BD82" s="93"/>
      <c r="BE82" s="93"/>
      <c r="BF82" s="90"/>
      <c r="BG82" s="90"/>
      <c r="BH82" s="93"/>
      <c r="BI82" s="93"/>
      <c r="BJ82" s="91"/>
      <c r="BK82" s="91"/>
      <c r="BL82" s="91"/>
      <c r="BM82" s="91"/>
      <c r="BN82" s="91"/>
      <c r="BO82" s="91"/>
      <c r="BP82" s="91"/>
      <c r="BQ82" s="91"/>
      <c r="BR82" s="91"/>
    </row>
    <row r="83" spans="1:70">
      <c r="A83" s="86"/>
      <c r="B83" s="86"/>
      <c r="C83" s="4"/>
      <c r="K83" s="88"/>
      <c r="L83" s="88"/>
      <c r="M83" s="88"/>
      <c r="N83" s="88"/>
      <c r="O83" s="88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90"/>
      <c r="AI83" s="91"/>
      <c r="AJ83" s="92"/>
      <c r="AK83" s="91"/>
      <c r="AL83" s="92"/>
      <c r="AM83" s="91"/>
      <c r="AN83" s="91"/>
      <c r="AO83" s="90"/>
      <c r="AP83" s="90"/>
      <c r="AQ83" s="93"/>
      <c r="AR83" s="93"/>
      <c r="AS83" s="91"/>
      <c r="AT83" s="90"/>
      <c r="AU83" s="90"/>
      <c r="AV83" s="93"/>
      <c r="AW83" s="93"/>
      <c r="AX83" s="90"/>
      <c r="AY83" s="90"/>
      <c r="AZ83" s="93"/>
      <c r="BA83" s="93"/>
      <c r="BB83" s="90"/>
      <c r="BC83" s="90"/>
      <c r="BD83" s="93"/>
      <c r="BE83" s="93"/>
      <c r="BF83" s="90"/>
      <c r="BG83" s="90"/>
      <c r="BH83" s="93"/>
      <c r="BI83" s="93"/>
      <c r="BJ83" s="91"/>
      <c r="BK83" s="91"/>
      <c r="BL83" s="91"/>
      <c r="BM83" s="91"/>
      <c r="BN83" s="91"/>
      <c r="BO83" s="91"/>
      <c r="BP83" s="91"/>
      <c r="BQ83" s="91"/>
      <c r="BR83" s="91"/>
    </row>
    <row r="84" spans="1:70">
      <c r="A84" s="86"/>
      <c r="B84" s="86"/>
      <c r="C84" s="4"/>
      <c r="K84" s="88"/>
      <c r="L84" s="88"/>
      <c r="M84" s="88"/>
      <c r="N84" s="88"/>
      <c r="O84" s="88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90"/>
      <c r="AI84" s="91"/>
      <c r="AJ84" s="92"/>
      <c r="AK84" s="91"/>
      <c r="AL84" s="92"/>
      <c r="AM84" s="91"/>
      <c r="AN84" s="91"/>
      <c r="AO84" s="90"/>
      <c r="AP84" s="90"/>
      <c r="AQ84" s="93"/>
      <c r="AR84" s="93"/>
      <c r="AS84" s="91"/>
      <c r="AT84" s="90"/>
      <c r="AU84" s="90"/>
      <c r="AV84" s="93"/>
      <c r="AW84" s="93"/>
      <c r="AX84" s="90"/>
      <c r="AY84" s="90"/>
      <c r="AZ84" s="93"/>
      <c r="BA84" s="93"/>
      <c r="BB84" s="90"/>
      <c r="BC84" s="90"/>
      <c r="BD84" s="93"/>
      <c r="BE84" s="93"/>
      <c r="BF84" s="90"/>
      <c r="BG84" s="90"/>
      <c r="BH84" s="93"/>
      <c r="BI84" s="93"/>
      <c r="BJ84" s="91"/>
      <c r="BK84" s="91"/>
      <c r="BL84" s="91"/>
      <c r="BM84" s="91"/>
      <c r="BN84" s="91"/>
      <c r="BO84" s="91"/>
      <c r="BP84" s="91"/>
      <c r="BQ84" s="91"/>
      <c r="BR84" s="91"/>
    </row>
    <row r="85" spans="1:70">
      <c r="A85" s="86"/>
      <c r="B85" s="86"/>
      <c r="C85" s="4"/>
      <c r="K85" s="88"/>
      <c r="L85" s="88"/>
      <c r="M85" s="88"/>
      <c r="N85" s="88"/>
      <c r="O85" s="88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90"/>
      <c r="AI85" s="91"/>
      <c r="AJ85" s="92"/>
      <c r="AK85" s="91"/>
      <c r="AL85" s="92"/>
      <c r="AM85" s="91"/>
      <c r="AN85" s="91"/>
      <c r="AO85" s="90"/>
      <c r="AP85" s="90"/>
      <c r="AQ85" s="93"/>
      <c r="AR85" s="93"/>
      <c r="AS85" s="91"/>
      <c r="AT85" s="90"/>
      <c r="AU85" s="90"/>
      <c r="AV85" s="93"/>
      <c r="AW85" s="93"/>
      <c r="AX85" s="90"/>
      <c r="AY85" s="90"/>
      <c r="AZ85" s="93"/>
      <c r="BA85" s="93"/>
      <c r="BB85" s="90"/>
      <c r="BC85" s="90"/>
      <c r="BD85" s="93"/>
      <c r="BE85" s="93"/>
      <c r="BF85" s="90"/>
      <c r="BG85" s="90"/>
      <c r="BH85" s="93"/>
      <c r="BI85" s="93"/>
      <c r="BJ85" s="91"/>
      <c r="BK85" s="91"/>
      <c r="BL85" s="91"/>
      <c r="BM85" s="91"/>
      <c r="BN85" s="91"/>
      <c r="BO85" s="91"/>
      <c r="BP85" s="91"/>
      <c r="BQ85" s="91"/>
      <c r="BR85" s="91"/>
    </row>
    <row r="86" spans="1:70">
      <c r="A86" s="86"/>
      <c r="B86" s="86"/>
      <c r="C86" s="4"/>
      <c r="K86" s="88"/>
      <c r="L86" s="88"/>
      <c r="M86" s="88"/>
      <c r="N86" s="88"/>
      <c r="O86" s="8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90"/>
      <c r="AI86" s="91"/>
      <c r="AJ86" s="92"/>
      <c r="AK86" s="91"/>
      <c r="AL86" s="92"/>
      <c r="AM86" s="91"/>
      <c r="AN86" s="91"/>
      <c r="AO86" s="90"/>
      <c r="AP86" s="90"/>
      <c r="AQ86" s="93"/>
      <c r="AR86" s="93"/>
      <c r="AS86" s="91"/>
      <c r="AT86" s="90"/>
      <c r="AU86" s="90"/>
      <c r="AV86" s="93"/>
      <c r="AW86" s="93"/>
      <c r="AX86" s="90"/>
      <c r="AY86" s="90"/>
      <c r="AZ86" s="93"/>
      <c r="BA86" s="93"/>
      <c r="BB86" s="90"/>
      <c r="BC86" s="90"/>
      <c r="BD86" s="93"/>
      <c r="BE86" s="93"/>
      <c r="BF86" s="90"/>
      <c r="BG86" s="90"/>
      <c r="BH86" s="93"/>
      <c r="BI86" s="93"/>
      <c r="BJ86" s="91"/>
      <c r="BK86" s="91"/>
      <c r="BL86" s="91"/>
      <c r="BM86" s="91"/>
      <c r="BN86" s="91"/>
      <c r="BO86" s="91"/>
      <c r="BP86" s="91"/>
      <c r="BQ86" s="91"/>
      <c r="BR86" s="91"/>
    </row>
    <row r="87" spans="1:70">
      <c r="A87" s="86"/>
      <c r="B87" s="86"/>
      <c r="C87" s="4"/>
      <c r="K87" s="88"/>
      <c r="L87" s="88"/>
      <c r="M87" s="88"/>
      <c r="N87" s="88"/>
      <c r="O87" s="88"/>
      <c r="P87" s="88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90"/>
      <c r="AI87" s="91"/>
      <c r="AJ87" s="92"/>
      <c r="AK87" s="91"/>
      <c r="AL87" s="92"/>
      <c r="AM87" s="91"/>
      <c r="AN87" s="91"/>
      <c r="AO87" s="90"/>
      <c r="AP87" s="90"/>
      <c r="AQ87" s="93"/>
      <c r="AR87" s="93"/>
      <c r="AS87" s="91"/>
      <c r="AT87" s="90"/>
      <c r="AU87" s="90"/>
      <c r="AV87" s="93"/>
      <c r="AW87" s="93"/>
      <c r="AX87" s="90"/>
      <c r="AY87" s="90"/>
      <c r="AZ87" s="93"/>
      <c r="BA87" s="93"/>
      <c r="BB87" s="90"/>
      <c r="BC87" s="90"/>
      <c r="BD87" s="93"/>
      <c r="BE87" s="93"/>
      <c r="BF87" s="90"/>
      <c r="BG87" s="90"/>
      <c r="BH87" s="93"/>
      <c r="BI87" s="93"/>
      <c r="BJ87" s="91"/>
      <c r="BK87" s="91"/>
      <c r="BL87" s="91"/>
      <c r="BM87" s="91"/>
      <c r="BN87" s="91"/>
      <c r="BO87" s="91"/>
      <c r="BP87" s="91"/>
      <c r="BQ87" s="91"/>
      <c r="BR87" s="91"/>
    </row>
    <row r="88" spans="1:70">
      <c r="K88" s="88"/>
      <c r="L88" s="88"/>
      <c r="M88" s="88"/>
      <c r="N88" s="88"/>
      <c r="O88" s="88"/>
      <c r="P88" s="88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90"/>
      <c r="AI88" s="91"/>
      <c r="AJ88" s="92"/>
      <c r="AK88" s="91"/>
      <c r="AL88" s="92"/>
      <c r="AM88" s="91"/>
      <c r="AN88" s="91"/>
      <c r="AO88" s="90"/>
      <c r="AP88" s="90"/>
      <c r="AQ88" s="93"/>
      <c r="AR88" s="93"/>
      <c r="AS88" s="91"/>
      <c r="AT88" s="90"/>
      <c r="AU88" s="90"/>
      <c r="AV88" s="93"/>
      <c r="AW88" s="93"/>
      <c r="AX88" s="90"/>
      <c r="AY88" s="90"/>
      <c r="AZ88" s="93"/>
      <c r="BA88" s="93"/>
      <c r="BB88" s="90"/>
      <c r="BC88" s="90"/>
      <c r="BD88" s="93"/>
      <c r="BE88" s="93"/>
      <c r="BF88" s="90"/>
      <c r="BG88" s="90"/>
      <c r="BH88" s="93"/>
      <c r="BI88" s="93"/>
      <c r="BJ88" s="91"/>
      <c r="BK88" s="91"/>
      <c r="BL88" s="91"/>
      <c r="BM88" s="91"/>
      <c r="BN88" s="91"/>
      <c r="BO88" s="91"/>
      <c r="BP88" s="91"/>
      <c r="BQ88" s="91"/>
      <c r="BR88" s="91"/>
    </row>
    <row r="89" spans="1:70">
      <c r="K89" s="88"/>
      <c r="L89" s="88"/>
      <c r="M89" s="88"/>
      <c r="N89" s="88"/>
      <c r="O89" s="88"/>
      <c r="P89" s="88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90"/>
      <c r="AI89" s="91"/>
      <c r="AJ89" s="92"/>
      <c r="AK89" s="91"/>
      <c r="AL89" s="92"/>
      <c r="AM89" s="91"/>
      <c r="AN89" s="91"/>
      <c r="AO89" s="90"/>
      <c r="AP89" s="90"/>
      <c r="AQ89" s="93"/>
      <c r="AR89" s="93"/>
      <c r="AS89" s="91"/>
      <c r="AT89" s="90"/>
      <c r="AU89" s="90"/>
      <c r="AV89" s="93"/>
      <c r="AW89" s="93"/>
      <c r="AX89" s="90"/>
      <c r="AY89" s="90"/>
      <c r="AZ89" s="93"/>
      <c r="BA89" s="93"/>
      <c r="BB89" s="90"/>
      <c r="BC89" s="90"/>
      <c r="BD89" s="93"/>
      <c r="BE89" s="93"/>
      <c r="BF89" s="90"/>
      <c r="BG89" s="90"/>
      <c r="BH89" s="93"/>
      <c r="BI89" s="93"/>
      <c r="BJ89" s="91"/>
      <c r="BK89" s="91"/>
      <c r="BL89" s="91"/>
      <c r="BM89" s="91"/>
      <c r="BN89" s="91"/>
      <c r="BO89" s="91"/>
      <c r="BP89" s="91"/>
      <c r="BQ89" s="91"/>
      <c r="BR89" s="91"/>
    </row>
    <row r="90" spans="1:70">
      <c r="K90" s="88"/>
      <c r="L90" s="88"/>
      <c r="M90" s="88"/>
      <c r="N90" s="88"/>
      <c r="O90" s="88"/>
      <c r="P90" s="88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90"/>
      <c r="AI90" s="91"/>
      <c r="AJ90" s="92"/>
      <c r="AK90" s="91"/>
      <c r="AL90" s="92"/>
      <c r="AM90" s="91"/>
      <c r="AN90" s="91"/>
      <c r="AO90" s="90"/>
      <c r="AP90" s="90"/>
      <c r="AQ90" s="93"/>
      <c r="AR90" s="93"/>
      <c r="AS90" s="91"/>
      <c r="AT90" s="90"/>
      <c r="AU90" s="90"/>
      <c r="AV90" s="93"/>
      <c r="AW90" s="93"/>
      <c r="AX90" s="90"/>
      <c r="AY90" s="90"/>
      <c r="AZ90" s="93"/>
      <c r="BA90" s="93"/>
      <c r="BB90" s="90"/>
      <c r="BC90" s="90"/>
      <c r="BD90" s="93"/>
      <c r="BE90" s="93"/>
      <c r="BF90" s="90"/>
      <c r="BG90" s="90"/>
      <c r="BH90" s="93"/>
      <c r="BI90" s="93"/>
      <c r="BJ90" s="91"/>
      <c r="BK90" s="91"/>
      <c r="BL90" s="91"/>
      <c r="BM90" s="91"/>
      <c r="BN90" s="91"/>
      <c r="BO90" s="91"/>
      <c r="BP90" s="91"/>
      <c r="BQ90" s="91"/>
      <c r="BR90" s="91"/>
    </row>
    <row r="91" spans="1:70">
      <c r="K91" s="88"/>
      <c r="L91" s="88"/>
      <c r="M91" s="88"/>
      <c r="N91" s="88"/>
      <c r="O91" s="88"/>
      <c r="P91" s="88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90"/>
      <c r="AI91" s="91"/>
      <c r="AJ91" s="92"/>
      <c r="AK91" s="91"/>
      <c r="AL91" s="92"/>
      <c r="AM91" s="91"/>
      <c r="AN91" s="91"/>
      <c r="AO91" s="90"/>
      <c r="AP91" s="90"/>
      <c r="AQ91" s="93"/>
      <c r="AR91" s="93"/>
      <c r="AS91" s="91"/>
      <c r="AT91" s="90"/>
      <c r="AU91" s="90"/>
      <c r="AV91" s="93"/>
      <c r="AW91" s="93"/>
      <c r="AX91" s="90"/>
      <c r="AY91" s="90"/>
      <c r="AZ91" s="93"/>
      <c r="BA91" s="93"/>
      <c r="BB91" s="90"/>
      <c r="BC91" s="90"/>
      <c r="BD91" s="93"/>
      <c r="BE91" s="93"/>
      <c r="BF91" s="90"/>
      <c r="BG91" s="90"/>
      <c r="BH91" s="93"/>
      <c r="BI91" s="93"/>
      <c r="BJ91" s="91"/>
      <c r="BK91" s="91"/>
      <c r="BL91" s="91"/>
      <c r="BM91" s="91"/>
      <c r="BN91" s="91"/>
      <c r="BO91" s="91"/>
      <c r="BP91" s="91"/>
      <c r="BQ91" s="91"/>
      <c r="BR91" s="91"/>
    </row>
    <row r="92" spans="1:70">
      <c r="K92" s="88"/>
      <c r="L92" s="88"/>
      <c r="M92" s="88"/>
      <c r="N92" s="88"/>
      <c r="O92" s="88"/>
      <c r="P92" s="88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90"/>
      <c r="AI92" s="91"/>
      <c r="AJ92" s="92"/>
      <c r="AK92" s="91"/>
      <c r="AL92" s="92"/>
      <c r="AM92" s="91"/>
      <c r="AN92" s="91"/>
      <c r="AO92" s="90"/>
      <c r="AP92" s="90"/>
      <c r="AQ92" s="93"/>
      <c r="AR92" s="93"/>
      <c r="AS92" s="91"/>
      <c r="AT92" s="90"/>
      <c r="AU92" s="90"/>
      <c r="AV92" s="93"/>
      <c r="AW92" s="93"/>
      <c r="AX92" s="90"/>
      <c r="AY92" s="90"/>
      <c r="AZ92" s="93"/>
      <c r="BA92" s="93"/>
      <c r="BB92" s="90"/>
      <c r="BC92" s="90"/>
      <c r="BD92" s="93"/>
      <c r="BE92" s="93"/>
      <c r="BF92" s="90"/>
      <c r="BG92" s="90"/>
      <c r="BH92" s="93"/>
      <c r="BI92" s="93"/>
      <c r="BJ92" s="91"/>
      <c r="BK92" s="91"/>
      <c r="BL92" s="91"/>
      <c r="BM92" s="91"/>
      <c r="BN92" s="91"/>
      <c r="BO92" s="91"/>
      <c r="BP92" s="91"/>
      <c r="BQ92" s="91"/>
      <c r="BR92" s="91"/>
    </row>
    <row r="93" spans="1:70">
      <c r="K93" s="88"/>
      <c r="L93" s="88"/>
      <c r="M93" s="88"/>
      <c r="N93" s="88"/>
      <c r="O93" s="88"/>
      <c r="P93" s="88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90"/>
      <c r="AI93" s="91"/>
      <c r="AJ93" s="92"/>
      <c r="AK93" s="91"/>
      <c r="AL93" s="92"/>
      <c r="AM93" s="91"/>
      <c r="AN93" s="91"/>
      <c r="AO93" s="90"/>
      <c r="AP93" s="90"/>
      <c r="AQ93" s="93"/>
      <c r="AR93" s="93"/>
      <c r="AS93" s="91"/>
      <c r="AT93" s="90"/>
      <c r="AU93" s="90"/>
      <c r="AV93" s="93"/>
      <c r="AW93" s="93"/>
      <c r="AX93" s="90"/>
      <c r="AY93" s="90"/>
      <c r="AZ93" s="93"/>
      <c r="BA93" s="93"/>
      <c r="BB93" s="90"/>
      <c r="BC93" s="90"/>
      <c r="BD93" s="93"/>
      <c r="BE93" s="93"/>
      <c r="BF93" s="90"/>
      <c r="BG93" s="90"/>
      <c r="BH93" s="93"/>
      <c r="BI93" s="93"/>
      <c r="BJ93" s="91"/>
      <c r="BK93" s="91"/>
      <c r="BL93" s="91"/>
      <c r="BM93" s="91"/>
      <c r="BN93" s="91"/>
      <c r="BO93" s="91"/>
      <c r="BP93" s="91"/>
      <c r="BQ93" s="91"/>
      <c r="BR93" s="91"/>
    </row>
    <row r="94" spans="1:70">
      <c r="K94" s="88"/>
      <c r="L94" s="88"/>
      <c r="M94" s="88"/>
      <c r="N94" s="88"/>
      <c r="O94" s="88"/>
      <c r="P94" s="88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90"/>
      <c r="AI94" s="91"/>
      <c r="AJ94" s="92"/>
      <c r="AK94" s="91"/>
      <c r="AL94" s="92"/>
      <c r="AM94" s="91"/>
      <c r="AN94" s="91"/>
      <c r="AO94" s="90"/>
      <c r="AP94" s="90"/>
      <c r="AQ94" s="93"/>
      <c r="AR94" s="93"/>
      <c r="AS94" s="91"/>
      <c r="AT94" s="90"/>
      <c r="AU94" s="90"/>
      <c r="AV94" s="93"/>
      <c r="AW94" s="93"/>
      <c r="AX94" s="90"/>
      <c r="AY94" s="90"/>
      <c r="AZ94" s="93"/>
      <c r="BA94" s="93"/>
      <c r="BB94" s="90"/>
      <c r="BC94" s="90"/>
      <c r="BD94" s="93"/>
      <c r="BE94" s="93"/>
      <c r="BF94" s="90"/>
      <c r="BG94" s="90"/>
      <c r="BH94" s="93"/>
      <c r="BI94" s="93"/>
      <c r="BJ94" s="91"/>
      <c r="BK94" s="91"/>
      <c r="BL94" s="91"/>
      <c r="BM94" s="91"/>
      <c r="BN94" s="91"/>
      <c r="BO94" s="91"/>
      <c r="BP94" s="91"/>
      <c r="BQ94" s="91"/>
      <c r="BR94" s="91"/>
    </row>
    <row r="95" spans="1:70">
      <c r="K95" s="88"/>
      <c r="L95" s="88"/>
      <c r="M95" s="88"/>
      <c r="N95" s="88"/>
      <c r="O95" s="88"/>
      <c r="P95" s="88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90"/>
      <c r="AI95" s="91"/>
      <c r="AJ95" s="92"/>
      <c r="AK95" s="91"/>
      <c r="AL95" s="92"/>
      <c r="AM95" s="91"/>
      <c r="AN95" s="91"/>
      <c r="AO95" s="90"/>
      <c r="AP95" s="90"/>
      <c r="AQ95" s="93"/>
      <c r="AR95" s="93"/>
      <c r="AS95" s="91"/>
      <c r="AT95" s="90"/>
      <c r="AU95" s="90"/>
      <c r="AV95" s="93"/>
      <c r="AW95" s="93"/>
      <c r="AX95" s="90"/>
      <c r="AY95" s="90"/>
      <c r="AZ95" s="93"/>
      <c r="BA95" s="93"/>
      <c r="BB95" s="90"/>
      <c r="BC95" s="90"/>
      <c r="BD95" s="93"/>
      <c r="BE95" s="93"/>
      <c r="BF95" s="90"/>
      <c r="BG95" s="90"/>
      <c r="BH95" s="93"/>
      <c r="BI95" s="93"/>
      <c r="BJ95" s="91"/>
      <c r="BK95" s="91"/>
      <c r="BL95" s="91"/>
      <c r="BM95" s="91"/>
      <c r="BN95" s="91"/>
      <c r="BO95" s="91"/>
      <c r="BP95" s="91"/>
      <c r="BQ95" s="91"/>
      <c r="BR95" s="91"/>
    </row>
    <row r="96" spans="1:70">
      <c r="K96" s="88"/>
      <c r="L96" s="88"/>
      <c r="M96" s="88"/>
      <c r="N96" s="88"/>
      <c r="O96" s="88"/>
      <c r="P96" s="88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90"/>
      <c r="AI96" s="91"/>
      <c r="AJ96" s="92"/>
      <c r="AK96" s="91"/>
      <c r="AL96" s="92"/>
      <c r="AM96" s="91"/>
      <c r="AN96" s="91"/>
      <c r="AO96" s="90"/>
      <c r="AP96" s="90"/>
      <c r="AQ96" s="93"/>
      <c r="AR96" s="93"/>
      <c r="AS96" s="91"/>
      <c r="AT96" s="90"/>
      <c r="AU96" s="90"/>
      <c r="AV96" s="93"/>
      <c r="AW96" s="93"/>
      <c r="AX96" s="90"/>
      <c r="AY96" s="90"/>
      <c r="AZ96" s="93"/>
      <c r="BA96" s="93"/>
      <c r="BB96" s="90"/>
      <c r="BC96" s="90"/>
      <c r="BD96" s="93"/>
      <c r="BE96" s="93"/>
      <c r="BF96" s="90"/>
      <c r="BG96" s="90"/>
      <c r="BH96" s="93"/>
      <c r="BI96" s="93"/>
      <c r="BJ96" s="91"/>
      <c r="BK96" s="91"/>
      <c r="BL96" s="91"/>
      <c r="BM96" s="91"/>
      <c r="BN96" s="91"/>
      <c r="BO96" s="91"/>
      <c r="BP96" s="91"/>
      <c r="BQ96" s="91"/>
      <c r="BR96" s="91"/>
    </row>
    <row r="97" spans="11:70">
      <c r="K97" s="88"/>
      <c r="L97" s="88"/>
      <c r="M97" s="88"/>
      <c r="N97" s="88"/>
      <c r="O97" s="88"/>
      <c r="P97" s="88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90"/>
      <c r="AI97" s="91"/>
      <c r="AJ97" s="92"/>
      <c r="AK97" s="91"/>
      <c r="AL97" s="92"/>
      <c r="AM97" s="91"/>
      <c r="AN97" s="91"/>
      <c r="AO97" s="90"/>
      <c r="AP97" s="90"/>
      <c r="AQ97" s="93"/>
      <c r="AR97" s="93"/>
      <c r="AS97" s="91"/>
      <c r="AT97" s="90"/>
      <c r="AU97" s="90"/>
      <c r="AV97" s="93"/>
      <c r="AW97" s="93"/>
      <c r="AX97" s="90"/>
      <c r="AY97" s="90"/>
      <c r="AZ97" s="93"/>
      <c r="BA97" s="93"/>
      <c r="BB97" s="90"/>
      <c r="BC97" s="90"/>
      <c r="BD97" s="93"/>
      <c r="BE97" s="93"/>
      <c r="BF97" s="90"/>
      <c r="BG97" s="90"/>
      <c r="BH97" s="93"/>
      <c r="BI97" s="93"/>
      <c r="BJ97" s="91"/>
      <c r="BK97" s="91"/>
      <c r="BL97" s="91"/>
      <c r="BM97" s="91"/>
      <c r="BN97" s="91"/>
      <c r="BO97" s="91"/>
      <c r="BP97" s="91"/>
      <c r="BQ97" s="91"/>
      <c r="BR97" s="91"/>
    </row>
    <row r="98" spans="11:70">
      <c r="K98" s="88"/>
      <c r="L98" s="88"/>
      <c r="M98" s="88"/>
      <c r="N98" s="88"/>
      <c r="O98" s="88"/>
      <c r="P98" s="88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90"/>
      <c r="AI98" s="91"/>
      <c r="AJ98" s="92"/>
      <c r="AK98" s="91"/>
      <c r="AL98" s="92"/>
      <c r="AM98" s="91"/>
      <c r="AN98" s="91"/>
      <c r="AO98" s="90"/>
      <c r="AP98" s="90"/>
      <c r="AQ98" s="93"/>
      <c r="AR98" s="93"/>
      <c r="AS98" s="91"/>
      <c r="AT98" s="90"/>
      <c r="AU98" s="90"/>
      <c r="AV98" s="93"/>
      <c r="AW98" s="93"/>
      <c r="AX98" s="90"/>
      <c r="AY98" s="90"/>
      <c r="AZ98" s="93"/>
      <c r="BA98" s="93"/>
      <c r="BB98" s="90"/>
      <c r="BC98" s="90"/>
      <c r="BD98" s="93"/>
      <c r="BE98" s="93"/>
      <c r="BF98" s="90"/>
      <c r="BG98" s="90"/>
      <c r="BH98" s="93"/>
      <c r="BI98" s="93"/>
      <c r="BJ98" s="91"/>
      <c r="BK98" s="91"/>
      <c r="BL98" s="91"/>
      <c r="BM98" s="91"/>
      <c r="BN98" s="91"/>
      <c r="BO98" s="91"/>
      <c r="BP98" s="91"/>
      <c r="BQ98" s="91"/>
      <c r="BR98" s="91"/>
    </row>
    <row r="99" spans="11:70">
      <c r="K99" s="88"/>
      <c r="L99" s="88"/>
      <c r="M99" s="88"/>
      <c r="N99" s="88"/>
      <c r="O99" s="88"/>
      <c r="P99" s="88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90"/>
      <c r="AI99" s="91"/>
      <c r="AJ99" s="92"/>
      <c r="AK99" s="91"/>
      <c r="AL99" s="92"/>
      <c r="AM99" s="91"/>
      <c r="AN99" s="91"/>
      <c r="AO99" s="90"/>
      <c r="AP99" s="90"/>
      <c r="AQ99" s="93"/>
      <c r="AR99" s="93"/>
      <c r="AS99" s="91"/>
      <c r="AT99" s="90"/>
      <c r="AU99" s="90"/>
      <c r="AV99" s="93"/>
      <c r="AW99" s="93"/>
      <c r="AX99" s="90"/>
      <c r="AY99" s="90"/>
      <c r="AZ99" s="93"/>
      <c r="BA99" s="93"/>
      <c r="BB99" s="90"/>
      <c r="BC99" s="90"/>
      <c r="BD99" s="93"/>
      <c r="BE99" s="93"/>
      <c r="BF99" s="90"/>
      <c r="BG99" s="90"/>
      <c r="BH99" s="93"/>
      <c r="BI99" s="93"/>
      <c r="BJ99" s="91"/>
      <c r="BK99" s="91"/>
      <c r="BL99" s="91"/>
      <c r="BM99" s="91"/>
      <c r="BN99" s="91"/>
      <c r="BO99" s="91"/>
      <c r="BP99" s="91"/>
      <c r="BQ99" s="91"/>
      <c r="BR99" s="91"/>
    </row>
    <row r="100" spans="11:70">
      <c r="K100" s="88"/>
      <c r="L100" s="88"/>
      <c r="M100" s="88"/>
      <c r="N100" s="88"/>
      <c r="O100" s="88"/>
      <c r="P100" s="88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90"/>
      <c r="AI100" s="91"/>
      <c r="AJ100" s="92"/>
      <c r="AK100" s="91"/>
      <c r="AL100" s="92"/>
      <c r="AM100" s="91"/>
      <c r="AN100" s="91"/>
      <c r="AO100" s="90"/>
      <c r="AP100" s="90"/>
      <c r="AQ100" s="93"/>
      <c r="AR100" s="93"/>
      <c r="AS100" s="91"/>
      <c r="AT100" s="90"/>
      <c r="AU100" s="90"/>
      <c r="AV100" s="93"/>
      <c r="AW100" s="93"/>
      <c r="AX100" s="90"/>
      <c r="AY100" s="90"/>
      <c r="AZ100" s="93"/>
      <c r="BA100" s="93"/>
      <c r="BB100" s="90"/>
      <c r="BC100" s="90"/>
      <c r="BD100" s="93"/>
      <c r="BE100" s="93"/>
      <c r="BF100" s="90"/>
      <c r="BG100" s="90"/>
      <c r="BH100" s="93"/>
      <c r="BI100" s="93"/>
      <c r="BJ100" s="91"/>
      <c r="BK100" s="91"/>
      <c r="BL100" s="91"/>
      <c r="BM100" s="91"/>
      <c r="BN100" s="91"/>
      <c r="BO100" s="91"/>
      <c r="BP100" s="91"/>
      <c r="BQ100" s="91"/>
      <c r="BR100" s="91"/>
    </row>
    <row r="101" spans="11:70">
      <c r="K101" s="88"/>
      <c r="L101" s="88"/>
      <c r="M101" s="88"/>
      <c r="N101" s="88"/>
      <c r="O101" s="88"/>
      <c r="P101" s="88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91"/>
      <c r="AJ101" s="92"/>
      <c r="AK101" s="91"/>
      <c r="AL101" s="92"/>
      <c r="AM101" s="91"/>
      <c r="AN101" s="91"/>
      <c r="AO101" s="90"/>
      <c r="AP101" s="90"/>
      <c r="AQ101" s="93"/>
      <c r="AR101" s="93"/>
      <c r="AS101" s="91"/>
      <c r="AT101" s="90"/>
      <c r="AU101" s="90"/>
      <c r="AV101" s="93"/>
      <c r="AW101" s="93"/>
      <c r="AX101" s="90"/>
      <c r="AY101" s="90"/>
      <c r="AZ101" s="93"/>
      <c r="BA101" s="93"/>
      <c r="BB101" s="90"/>
      <c r="BC101" s="90"/>
      <c r="BD101" s="93"/>
      <c r="BE101" s="93"/>
      <c r="BF101" s="90"/>
      <c r="BG101" s="90"/>
      <c r="BH101" s="93"/>
      <c r="BI101" s="93"/>
      <c r="BJ101" s="91"/>
      <c r="BK101" s="91"/>
      <c r="BL101" s="91"/>
      <c r="BM101" s="91"/>
      <c r="BN101" s="91"/>
      <c r="BO101" s="91"/>
      <c r="BP101" s="91"/>
      <c r="BQ101" s="91"/>
      <c r="BR101" s="91"/>
    </row>
    <row r="102" spans="11:70">
      <c r="K102" s="88"/>
      <c r="L102" s="88"/>
      <c r="M102" s="88"/>
      <c r="N102" s="88"/>
      <c r="O102" s="88"/>
      <c r="P102" s="88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90"/>
      <c r="AI102" s="91"/>
      <c r="AJ102" s="92"/>
      <c r="AK102" s="91"/>
      <c r="AL102" s="92"/>
      <c r="AM102" s="91"/>
      <c r="AN102" s="91"/>
      <c r="AO102" s="90"/>
      <c r="AP102" s="90"/>
      <c r="AQ102" s="93"/>
      <c r="AR102" s="93"/>
      <c r="AS102" s="91"/>
      <c r="AT102" s="90"/>
      <c r="AU102" s="90"/>
      <c r="AV102" s="93"/>
      <c r="AW102" s="93"/>
      <c r="AX102" s="90"/>
      <c r="AY102" s="90"/>
      <c r="AZ102" s="93"/>
      <c r="BA102" s="93"/>
      <c r="BB102" s="90"/>
      <c r="BC102" s="90"/>
      <c r="BD102" s="93"/>
      <c r="BE102" s="93"/>
      <c r="BF102" s="90"/>
      <c r="BG102" s="90"/>
      <c r="BH102" s="93"/>
      <c r="BI102" s="93"/>
      <c r="BJ102" s="91"/>
      <c r="BK102" s="91"/>
      <c r="BL102" s="91"/>
      <c r="BM102" s="91"/>
      <c r="BN102" s="91"/>
      <c r="BO102" s="91"/>
      <c r="BP102" s="91"/>
      <c r="BQ102" s="91"/>
      <c r="BR102" s="91"/>
    </row>
    <row r="103" spans="11:70">
      <c r="K103" s="88"/>
      <c r="L103" s="88"/>
      <c r="M103" s="88"/>
      <c r="N103" s="88"/>
      <c r="O103" s="88"/>
      <c r="P103" s="88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90"/>
      <c r="AI103" s="91"/>
      <c r="AJ103" s="92"/>
      <c r="AK103" s="91"/>
      <c r="AL103" s="92"/>
      <c r="AM103" s="91"/>
      <c r="AN103" s="91"/>
      <c r="AO103" s="90"/>
      <c r="AP103" s="90"/>
      <c r="AQ103" s="93"/>
      <c r="AR103" s="93"/>
      <c r="AS103" s="91"/>
      <c r="AT103" s="90"/>
      <c r="AU103" s="90"/>
      <c r="AV103" s="93"/>
      <c r="AW103" s="93"/>
      <c r="AX103" s="90"/>
      <c r="AY103" s="90"/>
      <c r="AZ103" s="93"/>
      <c r="BA103" s="93"/>
      <c r="BB103" s="90"/>
      <c r="BC103" s="90"/>
      <c r="BD103" s="93"/>
      <c r="BE103" s="93"/>
      <c r="BF103" s="90"/>
      <c r="BG103" s="90"/>
      <c r="BH103" s="93"/>
      <c r="BI103" s="93"/>
      <c r="BJ103" s="91"/>
      <c r="BK103" s="91"/>
      <c r="BL103" s="91"/>
      <c r="BM103" s="91"/>
      <c r="BN103" s="91"/>
      <c r="BO103" s="91"/>
      <c r="BP103" s="91"/>
      <c r="BQ103" s="91"/>
      <c r="BR103" s="91"/>
    </row>
    <row r="104" spans="11:70">
      <c r="K104" s="88"/>
      <c r="L104" s="88"/>
      <c r="M104" s="88"/>
      <c r="N104" s="88"/>
      <c r="O104" s="88"/>
      <c r="P104" s="88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90"/>
      <c r="AI104" s="91"/>
      <c r="AJ104" s="92"/>
      <c r="AK104" s="91"/>
      <c r="AL104" s="92"/>
      <c r="AM104" s="91"/>
      <c r="AN104" s="91"/>
      <c r="AO104" s="90"/>
      <c r="AP104" s="90"/>
      <c r="AQ104" s="93"/>
      <c r="AR104" s="93"/>
      <c r="AS104" s="91"/>
      <c r="AT104" s="90"/>
      <c r="AU104" s="90"/>
      <c r="AV104" s="93"/>
      <c r="AW104" s="93"/>
      <c r="AX104" s="90"/>
      <c r="AY104" s="90"/>
      <c r="AZ104" s="93"/>
      <c r="BA104" s="93"/>
      <c r="BB104" s="90"/>
      <c r="BC104" s="90"/>
      <c r="BD104" s="93"/>
      <c r="BE104" s="93"/>
      <c r="BF104" s="90"/>
      <c r="BG104" s="90"/>
      <c r="BH104" s="93"/>
      <c r="BI104" s="93"/>
      <c r="BJ104" s="91"/>
      <c r="BK104" s="91"/>
      <c r="BL104" s="91"/>
      <c r="BM104" s="91"/>
      <c r="BN104" s="91"/>
      <c r="BO104" s="91"/>
      <c r="BP104" s="91"/>
      <c r="BQ104" s="91"/>
      <c r="BR104" s="91"/>
    </row>
    <row r="105" spans="11:70">
      <c r="K105" s="88"/>
      <c r="L105" s="88"/>
      <c r="M105" s="88"/>
      <c r="N105" s="88"/>
      <c r="O105" s="88"/>
      <c r="P105" s="88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90"/>
      <c r="AI105" s="91"/>
      <c r="AJ105" s="92"/>
      <c r="AK105" s="91"/>
      <c r="AL105" s="92"/>
      <c r="AM105" s="91"/>
      <c r="AN105" s="91"/>
      <c r="AO105" s="90"/>
      <c r="AP105" s="90"/>
      <c r="AQ105" s="93"/>
      <c r="AR105" s="93"/>
      <c r="AS105" s="91"/>
      <c r="AT105" s="90"/>
      <c r="AU105" s="90"/>
      <c r="AV105" s="93"/>
      <c r="AW105" s="93"/>
      <c r="AX105" s="90"/>
      <c r="AY105" s="90"/>
      <c r="AZ105" s="93"/>
      <c r="BA105" s="93"/>
      <c r="BB105" s="90"/>
      <c r="BC105" s="90"/>
      <c r="BD105" s="93"/>
      <c r="BE105" s="93"/>
      <c r="BF105" s="90"/>
      <c r="BG105" s="90"/>
      <c r="BH105" s="93"/>
      <c r="BI105" s="93"/>
      <c r="BJ105" s="91"/>
      <c r="BK105" s="91"/>
      <c r="BL105" s="91"/>
      <c r="BM105" s="91"/>
      <c r="BN105" s="91"/>
      <c r="BO105" s="91"/>
      <c r="BP105" s="91"/>
      <c r="BQ105" s="91"/>
      <c r="BR105" s="91"/>
    </row>
    <row r="106" spans="11:70">
      <c r="K106" s="88"/>
      <c r="L106" s="88"/>
      <c r="M106" s="88"/>
      <c r="N106" s="88"/>
      <c r="O106" s="88"/>
      <c r="P106" s="88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90"/>
      <c r="AI106" s="91"/>
      <c r="AJ106" s="92"/>
      <c r="AK106" s="91"/>
      <c r="AL106" s="92"/>
      <c r="AM106" s="91"/>
      <c r="AN106" s="91"/>
      <c r="AO106" s="90"/>
      <c r="AP106" s="90"/>
      <c r="AQ106" s="93"/>
      <c r="AR106" s="93"/>
      <c r="AS106" s="91"/>
      <c r="AT106" s="90"/>
      <c r="AU106" s="90"/>
      <c r="AV106" s="93"/>
      <c r="AW106" s="93"/>
      <c r="AX106" s="90"/>
      <c r="AY106" s="90"/>
      <c r="AZ106" s="93"/>
      <c r="BA106" s="93"/>
      <c r="BB106" s="90"/>
      <c r="BC106" s="90"/>
      <c r="BD106" s="93"/>
      <c r="BE106" s="93"/>
      <c r="BF106" s="90"/>
      <c r="BG106" s="90"/>
      <c r="BH106" s="93"/>
      <c r="BI106" s="93"/>
      <c r="BJ106" s="91"/>
      <c r="BK106" s="91"/>
      <c r="BL106" s="91"/>
      <c r="BM106" s="91"/>
      <c r="BN106" s="91"/>
      <c r="BO106" s="91"/>
      <c r="BP106" s="91"/>
      <c r="BQ106" s="91"/>
      <c r="BR106" s="91"/>
    </row>
    <row r="107" spans="11:70">
      <c r="K107" s="88"/>
      <c r="L107" s="88"/>
      <c r="M107" s="88"/>
      <c r="N107" s="88"/>
      <c r="O107" s="88"/>
      <c r="P107" s="88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90"/>
      <c r="AI107" s="91"/>
      <c r="AJ107" s="92"/>
      <c r="AK107" s="91"/>
      <c r="AL107" s="92"/>
      <c r="AM107" s="91"/>
      <c r="AN107" s="91"/>
      <c r="AO107" s="90"/>
      <c r="AP107" s="90"/>
      <c r="AQ107" s="93"/>
      <c r="AR107" s="93"/>
      <c r="AS107" s="91"/>
      <c r="AT107" s="90"/>
      <c r="AU107" s="90"/>
      <c r="AV107" s="93"/>
      <c r="AW107" s="93"/>
      <c r="AX107" s="90"/>
      <c r="AY107" s="90"/>
      <c r="AZ107" s="93"/>
      <c r="BA107" s="93"/>
      <c r="BB107" s="90"/>
      <c r="BC107" s="90"/>
      <c r="BD107" s="93"/>
      <c r="BE107" s="93"/>
      <c r="BF107" s="90"/>
      <c r="BG107" s="90"/>
      <c r="BH107" s="93"/>
      <c r="BI107" s="93"/>
      <c r="BJ107" s="91"/>
      <c r="BK107" s="91"/>
      <c r="BL107" s="91"/>
      <c r="BM107" s="91"/>
      <c r="BN107" s="91"/>
      <c r="BO107" s="91"/>
      <c r="BP107" s="91"/>
      <c r="BQ107" s="91"/>
      <c r="BR107" s="91"/>
    </row>
    <row r="108" spans="11:70">
      <c r="K108" s="88"/>
      <c r="L108" s="88"/>
      <c r="M108" s="88"/>
      <c r="N108" s="88"/>
      <c r="O108" s="88"/>
      <c r="P108" s="88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90"/>
      <c r="AI108" s="91"/>
      <c r="AJ108" s="92"/>
      <c r="AK108" s="91"/>
      <c r="AL108" s="92"/>
      <c r="AM108" s="91"/>
      <c r="AN108" s="91"/>
      <c r="AO108" s="90"/>
      <c r="AP108" s="90"/>
      <c r="AQ108" s="93"/>
      <c r="AR108" s="93"/>
      <c r="AS108" s="91"/>
      <c r="AT108" s="90"/>
      <c r="AU108" s="90"/>
      <c r="AV108" s="93"/>
      <c r="AW108" s="93"/>
      <c r="AX108" s="90"/>
      <c r="AY108" s="90"/>
      <c r="AZ108" s="93"/>
      <c r="BA108" s="93"/>
      <c r="BB108" s="90"/>
      <c r="BC108" s="90"/>
      <c r="BD108" s="93"/>
      <c r="BE108" s="93"/>
      <c r="BF108" s="90"/>
      <c r="BG108" s="90"/>
      <c r="BH108" s="93"/>
      <c r="BI108" s="93"/>
      <c r="BJ108" s="91"/>
      <c r="BK108" s="91"/>
      <c r="BL108" s="91"/>
      <c r="BM108" s="91"/>
      <c r="BN108" s="91"/>
      <c r="BO108" s="91"/>
      <c r="BP108" s="91"/>
      <c r="BQ108" s="91"/>
      <c r="BR108" s="91"/>
    </row>
    <row r="109" spans="11:70">
      <c r="K109" s="88"/>
      <c r="L109" s="88"/>
      <c r="M109" s="88"/>
      <c r="N109" s="88"/>
      <c r="O109" s="88"/>
      <c r="P109" s="88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90"/>
      <c r="AI109" s="91"/>
      <c r="AJ109" s="92"/>
      <c r="AK109" s="91"/>
      <c r="AL109" s="92"/>
      <c r="AM109" s="91"/>
      <c r="AN109" s="91"/>
      <c r="AO109" s="90"/>
      <c r="AP109" s="90"/>
      <c r="AQ109" s="93"/>
      <c r="AR109" s="93"/>
      <c r="AS109" s="91"/>
      <c r="AT109" s="90"/>
      <c r="AU109" s="90"/>
      <c r="AV109" s="93"/>
      <c r="AW109" s="93"/>
      <c r="AX109" s="90"/>
      <c r="AY109" s="90"/>
      <c r="AZ109" s="93"/>
      <c r="BA109" s="93"/>
      <c r="BB109" s="90"/>
      <c r="BC109" s="90"/>
      <c r="BD109" s="93"/>
      <c r="BE109" s="93"/>
      <c r="BF109" s="90"/>
      <c r="BG109" s="90"/>
      <c r="BH109" s="93"/>
      <c r="BI109" s="93"/>
      <c r="BJ109" s="91"/>
      <c r="BK109" s="91"/>
      <c r="BL109" s="91"/>
      <c r="BM109" s="91"/>
      <c r="BN109" s="91"/>
      <c r="BO109" s="91"/>
      <c r="BP109" s="91"/>
      <c r="BQ109" s="91"/>
      <c r="BR109" s="91"/>
    </row>
    <row r="110" spans="11:70">
      <c r="K110" s="88"/>
      <c r="L110" s="88"/>
      <c r="M110" s="88"/>
      <c r="N110" s="88"/>
      <c r="O110" s="88"/>
      <c r="P110" s="88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90"/>
      <c r="AI110" s="91"/>
      <c r="AJ110" s="92"/>
      <c r="AK110" s="91"/>
      <c r="AL110" s="92"/>
      <c r="AM110" s="91"/>
      <c r="AN110" s="91"/>
      <c r="AO110" s="90"/>
      <c r="AP110" s="90"/>
      <c r="AQ110" s="93"/>
      <c r="AR110" s="93"/>
      <c r="AS110" s="91"/>
      <c r="AT110" s="90"/>
      <c r="AU110" s="90"/>
      <c r="AV110" s="93"/>
      <c r="AW110" s="93"/>
      <c r="AX110" s="90"/>
      <c r="AY110" s="90"/>
      <c r="AZ110" s="93"/>
      <c r="BA110" s="93"/>
      <c r="BB110" s="90"/>
      <c r="BC110" s="90"/>
      <c r="BD110" s="93"/>
      <c r="BE110" s="93"/>
      <c r="BF110" s="90"/>
      <c r="BG110" s="90"/>
      <c r="BH110" s="93"/>
      <c r="BI110" s="93"/>
      <c r="BJ110" s="91"/>
      <c r="BK110" s="91"/>
      <c r="BL110" s="91"/>
      <c r="BM110" s="91"/>
      <c r="BN110" s="91"/>
      <c r="BO110" s="91"/>
      <c r="BP110" s="91"/>
      <c r="BQ110" s="91"/>
      <c r="BR110" s="91"/>
    </row>
    <row r="111" spans="11:70">
      <c r="K111" s="88"/>
      <c r="L111" s="88"/>
      <c r="M111" s="88"/>
      <c r="N111" s="88"/>
      <c r="O111" s="88"/>
      <c r="P111" s="88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90"/>
      <c r="AI111" s="91"/>
      <c r="AJ111" s="92"/>
      <c r="AK111" s="91"/>
      <c r="AL111" s="92"/>
      <c r="AM111" s="91"/>
      <c r="AN111" s="91"/>
      <c r="AO111" s="90"/>
      <c r="AP111" s="90"/>
      <c r="AQ111" s="93"/>
      <c r="AR111" s="93"/>
      <c r="AS111" s="91"/>
      <c r="AT111" s="90"/>
      <c r="AU111" s="90"/>
      <c r="AV111" s="93"/>
      <c r="AW111" s="93"/>
      <c r="AX111" s="90"/>
      <c r="AY111" s="90"/>
      <c r="AZ111" s="93"/>
      <c r="BA111" s="93"/>
      <c r="BB111" s="90"/>
      <c r="BC111" s="90"/>
      <c r="BD111" s="93"/>
      <c r="BE111" s="93"/>
      <c r="BF111" s="90"/>
      <c r="BG111" s="90"/>
      <c r="BH111" s="93"/>
      <c r="BI111" s="93"/>
      <c r="BJ111" s="91"/>
      <c r="BK111" s="91"/>
      <c r="BL111" s="91"/>
      <c r="BM111" s="91"/>
      <c r="BN111" s="91"/>
      <c r="BO111" s="91"/>
      <c r="BP111" s="91"/>
      <c r="BQ111" s="91"/>
      <c r="BR111" s="91"/>
    </row>
    <row r="112" spans="11:70">
      <c r="K112" s="88"/>
      <c r="L112" s="88"/>
      <c r="M112" s="88"/>
      <c r="N112" s="88"/>
      <c r="O112" s="88"/>
      <c r="P112" s="88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90"/>
      <c r="AI112" s="91"/>
      <c r="AJ112" s="92"/>
      <c r="AK112" s="91"/>
      <c r="AL112" s="92"/>
      <c r="AM112" s="91"/>
      <c r="AN112" s="91"/>
      <c r="AO112" s="90"/>
      <c r="AP112" s="90"/>
      <c r="AQ112" s="93"/>
      <c r="AR112" s="93"/>
      <c r="AS112" s="91"/>
      <c r="AT112" s="90"/>
      <c r="AU112" s="90"/>
      <c r="AV112" s="93"/>
      <c r="AW112" s="93"/>
      <c r="AX112" s="90"/>
      <c r="AY112" s="90"/>
      <c r="AZ112" s="93"/>
      <c r="BA112" s="93"/>
      <c r="BB112" s="90"/>
      <c r="BC112" s="90"/>
      <c r="BD112" s="93"/>
      <c r="BE112" s="93"/>
      <c r="BF112" s="90"/>
      <c r="BG112" s="90"/>
      <c r="BH112" s="93"/>
      <c r="BI112" s="93"/>
      <c r="BJ112" s="91"/>
      <c r="BK112" s="91"/>
      <c r="BL112" s="91"/>
      <c r="BM112" s="91"/>
      <c r="BN112" s="91"/>
      <c r="BO112" s="91"/>
      <c r="BP112" s="91"/>
      <c r="BQ112" s="91"/>
      <c r="BR112" s="91"/>
    </row>
    <row r="113" spans="11:70">
      <c r="K113" s="88"/>
      <c r="L113" s="88"/>
      <c r="M113" s="88"/>
      <c r="N113" s="88"/>
      <c r="O113" s="88"/>
      <c r="P113" s="88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90"/>
      <c r="AI113" s="91"/>
      <c r="AJ113" s="92"/>
      <c r="AK113" s="91"/>
      <c r="AL113" s="92"/>
      <c r="AM113" s="91"/>
      <c r="AN113" s="91"/>
      <c r="AO113" s="90"/>
      <c r="AP113" s="90"/>
      <c r="AQ113" s="93"/>
      <c r="AR113" s="93"/>
      <c r="AS113" s="91"/>
      <c r="AT113" s="90"/>
      <c r="AU113" s="90"/>
      <c r="AV113" s="93"/>
      <c r="AW113" s="93"/>
      <c r="AX113" s="90"/>
      <c r="AY113" s="90"/>
      <c r="AZ113" s="93"/>
      <c r="BA113" s="93"/>
      <c r="BB113" s="90"/>
      <c r="BC113" s="90"/>
      <c r="BD113" s="93"/>
      <c r="BE113" s="93"/>
      <c r="BF113" s="90"/>
      <c r="BG113" s="90"/>
      <c r="BH113" s="93"/>
      <c r="BI113" s="93"/>
      <c r="BJ113" s="91"/>
      <c r="BK113" s="91"/>
      <c r="BL113" s="91"/>
      <c r="BM113" s="91"/>
      <c r="BN113" s="91"/>
      <c r="BO113" s="91"/>
      <c r="BP113" s="91"/>
      <c r="BQ113" s="91"/>
      <c r="BR113" s="91"/>
    </row>
    <row r="114" spans="11:70">
      <c r="K114" s="88"/>
      <c r="L114" s="88"/>
      <c r="M114" s="88"/>
      <c r="N114" s="88"/>
      <c r="O114" s="88"/>
      <c r="P114" s="88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90"/>
      <c r="AI114" s="91"/>
      <c r="AJ114" s="92"/>
      <c r="AK114" s="91"/>
      <c r="AL114" s="92"/>
      <c r="AM114" s="91"/>
      <c r="AN114" s="91"/>
      <c r="AO114" s="90"/>
      <c r="AP114" s="90"/>
      <c r="AQ114" s="93"/>
      <c r="AR114" s="93"/>
      <c r="AS114" s="91"/>
      <c r="AT114" s="90"/>
      <c r="AU114" s="90"/>
      <c r="AV114" s="93"/>
      <c r="AW114" s="93"/>
      <c r="AX114" s="90"/>
      <c r="AY114" s="90"/>
      <c r="AZ114" s="93"/>
      <c r="BA114" s="93"/>
      <c r="BB114" s="90"/>
      <c r="BC114" s="90"/>
      <c r="BD114" s="93"/>
      <c r="BE114" s="93"/>
      <c r="BF114" s="90"/>
      <c r="BG114" s="90"/>
      <c r="BH114" s="93"/>
      <c r="BI114" s="93"/>
      <c r="BJ114" s="91"/>
      <c r="BK114" s="91"/>
      <c r="BL114" s="91"/>
      <c r="BM114" s="91"/>
      <c r="BN114" s="91"/>
      <c r="BO114" s="91"/>
      <c r="BP114" s="91"/>
      <c r="BQ114" s="91"/>
      <c r="BR114" s="91"/>
    </row>
    <row r="115" spans="11:70">
      <c r="K115" s="88"/>
      <c r="L115" s="88"/>
      <c r="M115" s="88"/>
      <c r="N115" s="88"/>
      <c r="O115" s="88"/>
      <c r="P115" s="88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90"/>
      <c r="AI115" s="91"/>
      <c r="AJ115" s="92"/>
      <c r="AK115" s="91"/>
      <c r="AL115" s="92"/>
      <c r="AM115" s="91"/>
      <c r="AN115" s="91"/>
      <c r="AO115" s="90"/>
      <c r="AP115" s="90"/>
      <c r="AQ115" s="93"/>
      <c r="AR115" s="93"/>
      <c r="AS115" s="91"/>
      <c r="AT115" s="90"/>
      <c r="AU115" s="90"/>
      <c r="AV115" s="93"/>
      <c r="AW115" s="93"/>
      <c r="AX115" s="90"/>
      <c r="AY115" s="90"/>
      <c r="AZ115" s="93"/>
      <c r="BA115" s="93"/>
      <c r="BB115" s="90"/>
      <c r="BC115" s="90"/>
      <c r="BD115" s="93"/>
      <c r="BE115" s="93"/>
      <c r="BF115" s="90"/>
      <c r="BG115" s="90"/>
      <c r="BH115" s="93"/>
      <c r="BI115" s="93"/>
      <c r="BJ115" s="91"/>
      <c r="BK115" s="91"/>
      <c r="BL115" s="91"/>
      <c r="BM115" s="91"/>
      <c r="BN115" s="91"/>
      <c r="BO115" s="91"/>
      <c r="BP115" s="91"/>
      <c r="BQ115" s="91"/>
      <c r="BR115" s="91"/>
    </row>
    <row r="116" spans="11:70">
      <c r="K116" s="88"/>
      <c r="L116" s="88"/>
      <c r="M116" s="88"/>
      <c r="N116" s="88"/>
      <c r="O116" s="88"/>
      <c r="P116" s="88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90"/>
      <c r="AI116" s="91"/>
      <c r="AJ116" s="92"/>
      <c r="AK116" s="91"/>
      <c r="AL116" s="92"/>
      <c r="AM116" s="91"/>
      <c r="AN116" s="91"/>
      <c r="AO116" s="90"/>
      <c r="AP116" s="90"/>
      <c r="AQ116" s="93"/>
      <c r="AR116" s="93"/>
      <c r="AS116" s="91"/>
      <c r="AT116" s="90"/>
      <c r="AU116" s="90"/>
      <c r="AV116" s="93"/>
      <c r="AW116" s="93"/>
      <c r="AX116" s="90"/>
      <c r="AY116" s="90"/>
      <c r="AZ116" s="93"/>
      <c r="BA116" s="93"/>
      <c r="BB116" s="90"/>
      <c r="BC116" s="90"/>
      <c r="BD116" s="93"/>
      <c r="BE116" s="93"/>
      <c r="BF116" s="90"/>
      <c r="BG116" s="90"/>
      <c r="BH116" s="93"/>
      <c r="BI116" s="93"/>
      <c r="BJ116" s="91"/>
      <c r="BK116" s="91"/>
      <c r="BL116" s="91"/>
      <c r="BM116" s="91"/>
      <c r="BN116" s="91"/>
      <c r="BO116" s="91"/>
      <c r="BP116" s="91"/>
      <c r="BQ116" s="91"/>
      <c r="BR116" s="91"/>
    </row>
    <row r="117" spans="11:70">
      <c r="K117" s="88"/>
      <c r="L117" s="88"/>
      <c r="M117" s="88"/>
      <c r="N117" s="88"/>
      <c r="O117" s="88"/>
      <c r="P117" s="88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90"/>
      <c r="AI117" s="91"/>
      <c r="AJ117" s="92"/>
      <c r="AK117" s="91"/>
      <c r="AL117" s="92"/>
      <c r="AM117" s="91"/>
      <c r="AN117" s="91"/>
      <c r="AO117" s="90"/>
      <c r="AP117" s="90"/>
      <c r="AQ117" s="93"/>
      <c r="AR117" s="93"/>
      <c r="AS117" s="91"/>
      <c r="AT117" s="90"/>
      <c r="AU117" s="90"/>
      <c r="AV117" s="93"/>
      <c r="AW117" s="93"/>
      <c r="AX117" s="90"/>
      <c r="AY117" s="90"/>
      <c r="AZ117" s="93"/>
      <c r="BA117" s="93"/>
      <c r="BB117" s="90"/>
      <c r="BC117" s="90"/>
      <c r="BD117" s="93"/>
      <c r="BE117" s="93"/>
      <c r="BF117" s="90"/>
      <c r="BG117" s="90"/>
      <c r="BH117" s="93"/>
      <c r="BI117" s="93"/>
      <c r="BJ117" s="91"/>
      <c r="BK117" s="91"/>
      <c r="BL117" s="91"/>
      <c r="BM117" s="91"/>
      <c r="BN117" s="91"/>
      <c r="BO117" s="91"/>
      <c r="BP117" s="91"/>
      <c r="BQ117" s="91"/>
      <c r="BR117" s="91"/>
    </row>
    <row r="118" spans="11:70">
      <c r="K118" s="88"/>
      <c r="L118" s="88"/>
      <c r="M118" s="88"/>
      <c r="N118" s="88"/>
      <c r="O118" s="88"/>
      <c r="P118" s="88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90"/>
      <c r="AI118" s="91"/>
      <c r="AJ118" s="92"/>
      <c r="AK118" s="91"/>
      <c r="AL118" s="92"/>
      <c r="AM118" s="91"/>
      <c r="AN118" s="91"/>
      <c r="AO118" s="90"/>
      <c r="AP118" s="90"/>
      <c r="AQ118" s="93"/>
      <c r="AR118" s="93"/>
      <c r="AS118" s="91"/>
      <c r="AT118" s="90"/>
      <c r="AU118" s="90"/>
      <c r="AV118" s="93"/>
      <c r="AW118" s="93"/>
      <c r="AX118" s="90"/>
      <c r="AY118" s="90"/>
      <c r="AZ118" s="93"/>
      <c r="BA118" s="93"/>
      <c r="BB118" s="90"/>
      <c r="BC118" s="90"/>
      <c r="BD118" s="93"/>
      <c r="BE118" s="93"/>
      <c r="BF118" s="90"/>
      <c r="BG118" s="90"/>
      <c r="BH118" s="93"/>
      <c r="BI118" s="93"/>
      <c r="BJ118" s="91"/>
      <c r="BK118" s="91"/>
      <c r="BL118" s="91"/>
      <c r="BM118" s="91"/>
      <c r="BN118" s="91"/>
      <c r="BO118" s="91"/>
      <c r="BP118" s="91"/>
      <c r="BQ118" s="91"/>
      <c r="BR118" s="91"/>
    </row>
    <row r="119" spans="11:70">
      <c r="K119" s="88"/>
      <c r="L119" s="88"/>
      <c r="M119" s="88"/>
      <c r="N119" s="88"/>
      <c r="O119" s="88"/>
      <c r="P119" s="88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90"/>
      <c r="AI119" s="91"/>
      <c r="AJ119" s="92"/>
      <c r="AK119" s="91"/>
      <c r="AL119" s="92"/>
      <c r="AM119" s="91"/>
      <c r="AN119" s="91"/>
      <c r="AO119" s="90"/>
      <c r="AP119" s="90"/>
      <c r="AQ119" s="93"/>
      <c r="AR119" s="93"/>
      <c r="AS119" s="91"/>
      <c r="AT119" s="90"/>
      <c r="AU119" s="90"/>
      <c r="AV119" s="93"/>
      <c r="AW119" s="93"/>
      <c r="AX119" s="90"/>
      <c r="AY119" s="90"/>
      <c r="AZ119" s="93"/>
      <c r="BA119" s="93"/>
      <c r="BB119" s="90"/>
      <c r="BC119" s="90"/>
      <c r="BD119" s="93"/>
      <c r="BE119" s="93"/>
      <c r="BF119" s="90"/>
      <c r="BG119" s="90"/>
      <c r="BH119" s="93"/>
      <c r="BI119" s="93"/>
      <c r="BJ119" s="91"/>
      <c r="BK119" s="91"/>
      <c r="BL119" s="91"/>
      <c r="BM119" s="91"/>
      <c r="BN119" s="91"/>
      <c r="BO119" s="91"/>
      <c r="BP119" s="91"/>
      <c r="BQ119" s="91"/>
      <c r="BR119" s="91"/>
    </row>
    <row r="120" spans="11:70">
      <c r="K120" s="88"/>
      <c r="L120" s="88"/>
      <c r="M120" s="88"/>
      <c r="N120" s="88"/>
      <c r="O120" s="88"/>
      <c r="P120" s="88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90"/>
      <c r="AI120" s="91"/>
      <c r="AJ120" s="92"/>
      <c r="AK120" s="91"/>
      <c r="AL120" s="92"/>
      <c r="AM120" s="91"/>
      <c r="AN120" s="91"/>
      <c r="AO120" s="90"/>
      <c r="AP120" s="90"/>
      <c r="AQ120" s="93"/>
      <c r="AR120" s="93"/>
      <c r="AS120" s="91"/>
      <c r="AT120" s="90"/>
      <c r="AU120" s="90"/>
      <c r="AV120" s="93"/>
      <c r="AW120" s="93"/>
      <c r="AX120" s="90"/>
      <c r="AY120" s="90"/>
      <c r="AZ120" s="93"/>
      <c r="BA120" s="93"/>
      <c r="BB120" s="90"/>
      <c r="BC120" s="90"/>
      <c r="BD120" s="93"/>
      <c r="BE120" s="93"/>
      <c r="BF120" s="90"/>
      <c r="BG120" s="90"/>
      <c r="BH120" s="93"/>
      <c r="BI120" s="93"/>
      <c r="BJ120" s="91"/>
      <c r="BK120" s="91"/>
      <c r="BL120" s="91"/>
      <c r="BM120" s="91"/>
      <c r="BN120" s="91"/>
      <c r="BO120" s="91"/>
      <c r="BP120" s="91"/>
      <c r="BQ120" s="91"/>
      <c r="BR120" s="91"/>
    </row>
    <row r="121" spans="11:70">
      <c r="K121" s="88"/>
      <c r="L121" s="88"/>
      <c r="M121" s="88"/>
      <c r="N121" s="88"/>
      <c r="O121" s="88"/>
      <c r="P121" s="88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90"/>
      <c r="AI121" s="91"/>
      <c r="AJ121" s="92"/>
      <c r="AK121" s="91"/>
      <c r="AL121" s="92"/>
      <c r="AM121" s="91"/>
      <c r="AN121" s="91"/>
      <c r="AO121" s="90"/>
      <c r="AP121" s="90"/>
      <c r="AQ121" s="93"/>
      <c r="AR121" s="93"/>
      <c r="AS121" s="91"/>
      <c r="AT121" s="90"/>
      <c r="AU121" s="90"/>
      <c r="AV121" s="93"/>
      <c r="AW121" s="93"/>
      <c r="AX121" s="90"/>
      <c r="AY121" s="90"/>
      <c r="AZ121" s="93"/>
      <c r="BA121" s="93"/>
      <c r="BB121" s="90"/>
      <c r="BC121" s="90"/>
      <c r="BD121" s="93"/>
      <c r="BE121" s="93"/>
      <c r="BF121" s="90"/>
      <c r="BG121" s="90"/>
      <c r="BH121" s="93"/>
      <c r="BI121" s="93"/>
      <c r="BJ121" s="91"/>
      <c r="BK121" s="91"/>
      <c r="BL121" s="91"/>
      <c r="BM121" s="91"/>
      <c r="BN121" s="91"/>
      <c r="BO121" s="91"/>
      <c r="BP121" s="91"/>
      <c r="BQ121" s="91"/>
      <c r="BR121" s="91"/>
    </row>
    <row r="122" spans="11:70">
      <c r="K122" s="88"/>
      <c r="L122" s="88"/>
      <c r="M122" s="88"/>
      <c r="N122" s="88"/>
      <c r="O122" s="88"/>
      <c r="P122" s="88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90"/>
      <c r="AI122" s="91"/>
      <c r="AJ122" s="92"/>
      <c r="AK122" s="91"/>
      <c r="AL122" s="92"/>
      <c r="AM122" s="91"/>
      <c r="AN122" s="91"/>
      <c r="AO122" s="90"/>
      <c r="AP122" s="90"/>
      <c r="AQ122" s="93"/>
      <c r="AR122" s="93"/>
      <c r="AS122" s="91"/>
      <c r="AT122" s="90"/>
      <c r="AU122" s="90"/>
      <c r="AV122" s="93"/>
      <c r="AW122" s="93"/>
      <c r="AX122" s="90"/>
      <c r="AY122" s="90"/>
      <c r="AZ122" s="93"/>
      <c r="BA122" s="93"/>
      <c r="BB122" s="90"/>
      <c r="BC122" s="90"/>
      <c r="BD122" s="93"/>
      <c r="BE122" s="93"/>
      <c r="BF122" s="90"/>
      <c r="BG122" s="90"/>
      <c r="BH122" s="93"/>
      <c r="BI122" s="93"/>
      <c r="BJ122" s="91"/>
      <c r="BK122" s="91"/>
      <c r="BL122" s="91"/>
      <c r="BM122" s="91"/>
      <c r="BN122" s="91"/>
      <c r="BO122" s="91"/>
      <c r="BP122" s="91"/>
      <c r="BQ122" s="91"/>
      <c r="BR122" s="91"/>
    </row>
    <row r="123" spans="11:70">
      <c r="K123" s="88"/>
      <c r="L123" s="88"/>
      <c r="M123" s="88"/>
      <c r="N123" s="88"/>
      <c r="O123" s="88"/>
      <c r="P123" s="88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90"/>
      <c r="AI123" s="91"/>
      <c r="AJ123" s="92"/>
      <c r="AK123" s="91"/>
      <c r="AL123" s="92"/>
      <c r="AM123" s="91"/>
      <c r="AN123" s="91"/>
      <c r="AO123" s="90"/>
      <c r="AP123" s="90"/>
      <c r="AQ123" s="93"/>
      <c r="AR123" s="93"/>
      <c r="AS123" s="91"/>
      <c r="AT123" s="90"/>
      <c r="AU123" s="90"/>
      <c r="AV123" s="93"/>
      <c r="AW123" s="93"/>
      <c r="AX123" s="90"/>
      <c r="AY123" s="90"/>
      <c r="AZ123" s="93"/>
      <c r="BA123" s="93"/>
      <c r="BB123" s="90"/>
      <c r="BC123" s="90"/>
      <c r="BD123" s="93"/>
      <c r="BE123" s="93"/>
      <c r="BF123" s="90"/>
      <c r="BG123" s="90"/>
      <c r="BH123" s="93"/>
      <c r="BI123" s="93"/>
      <c r="BJ123" s="91"/>
      <c r="BK123" s="91"/>
      <c r="BL123" s="91"/>
      <c r="BM123" s="91"/>
      <c r="BN123" s="91"/>
      <c r="BO123" s="91"/>
      <c r="BP123" s="91"/>
      <c r="BQ123" s="91"/>
      <c r="BR123" s="91"/>
    </row>
    <row r="124" spans="11:70">
      <c r="K124" s="88"/>
      <c r="L124" s="88"/>
      <c r="M124" s="88"/>
      <c r="N124" s="88"/>
      <c r="O124" s="88"/>
      <c r="P124" s="88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90"/>
      <c r="AI124" s="91"/>
      <c r="AJ124" s="92"/>
      <c r="AK124" s="91"/>
      <c r="AL124" s="92"/>
      <c r="AM124" s="91"/>
      <c r="AN124" s="91"/>
      <c r="AO124" s="90"/>
      <c r="AP124" s="90"/>
      <c r="AQ124" s="93"/>
      <c r="AR124" s="93"/>
      <c r="AS124" s="91"/>
      <c r="AT124" s="90"/>
      <c r="AU124" s="90"/>
      <c r="AV124" s="93"/>
      <c r="AW124" s="93"/>
      <c r="AX124" s="90"/>
      <c r="AY124" s="90"/>
      <c r="AZ124" s="93"/>
      <c r="BA124" s="93"/>
      <c r="BB124" s="90"/>
      <c r="BC124" s="90"/>
      <c r="BD124" s="93"/>
      <c r="BE124" s="93"/>
      <c r="BF124" s="90"/>
      <c r="BG124" s="90"/>
      <c r="BH124" s="93"/>
      <c r="BI124" s="93"/>
      <c r="BJ124" s="91"/>
      <c r="BK124" s="91"/>
      <c r="BL124" s="91"/>
      <c r="BM124" s="91"/>
      <c r="BN124" s="91"/>
      <c r="BO124" s="91"/>
      <c r="BP124" s="91"/>
      <c r="BQ124" s="91"/>
      <c r="BR124" s="91"/>
    </row>
    <row r="125" spans="11:70">
      <c r="K125" s="88"/>
      <c r="L125" s="88"/>
      <c r="M125" s="88"/>
      <c r="N125" s="88"/>
      <c r="O125" s="88"/>
      <c r="P125" s="88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90"/>
      <c r="AI125" s="91"/>
      <c r="AJ125" s="92"/>
      <c r="AK125" s="91"/>
      <c r="AL125" s="92"/>
      <c r="AM125" s="91"/>
      <c r="AN125" s="91"/>
      <c r="AO125" s="90"/>
      <c r="AP125" s="90"/>
      <c r="AQ125" s="93"/>
      <c r="AR125" s="93"/>
      <c r="AS125" s="91"/>
      <c r="AT125" s="90"/>
      <c r="AU125" s="90"/>
      <c r="AV125" s="93"/>
      <c r="AW125" s="93"/>
      <c r="AX125" s="90"/>
      <c r="AY125" s="90"/>
      <c r="AZ125" s="93"/>
      <c r="BA125" s="93"/>
      <c r="BB125" s="90"/>
      <c r="BC125" s="90"/>
      <c r="BD125" s="93"/>
      <c r="BE125" s="93"/>
      <c r="BF125" s="90"/>
      <c r="BG125" s="90"/>
      <c r="BH125" s="93"/>
      <c r="BI125" s="93"/>
      <c r="BJ125" s="91"/>
      <c r="BK125" s="91"/>
      <c r="BL125" s="91"/>
      <c r="BM125" s="91"/>
      <c r="BN125" s="91"/>
      <c r="BO125" s="91"/>
      <c r="BP125" s="91"/>
      <c r="BQ125" s="91"/>
      <c r="BR125" s="91"/>
    </row>
    <row r="126" spans="11:70">
      <c r="K126" s="88"/>
      <c r="L126" s="88"/>
      <c r="M126" s="88"/>
      <c r="N126" s="88"/>
      <c r="O126" s="88"/>
      <c r="P126" s="88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90"/>
      <c r="AI126" s="91"/>
      <c r="AJ126" s="92"/>
      <c r="AK126" s="91"/>
      <c r="AL126" s="92"/>
      <c r="AM126" s="91"/>
      <c r="AN126" s="91"/>
      <c r="AO126" s="90"/>
      <c r="AP126" s="90"/>
      <c r="AQ126" s="93"/>
      <c r="AR126" s="93"/>
      <c r="AS126" s="91"/>
      <c r="AT126" s="90"/>
      <c r="AU126" s="90"/>
      <c r="AV126" s="93"/>
      <c r="AW126" s="93"/>
      <c r="AX126" s="90"/>
      <c r="AY126" s="90"/>
      <c r="AZ126" s="93"/>
      <c r="BA126" s="93"/>
      <c r="BB126" s="90"/>
      <c r="BC126" s="90"/>
      <c r="BD126" s="93"/>
      <c r="BE126" s="93"/>
      <c r="BF126" s="90"/>
      <c r="BG126" s="90"/>
      <c r="BH126" s="93"/>
      <c r="BI126" s="93"/>
      <c r="BJ126" s="91"/>
      <c r="BK126" s="91"/>
      <c r="BL126" s="91"/>
      <c r="BM126" s="91"/>
      <c r="BN126" s="91"/>
      <c r="BO126" s="91"/>
      <c r="BP126" s="91"/>
      <c r="BQ126" s="91"/>
      <c r="BR126" s="91"/>
    </row>
    <row r="127" spans="11:70">
      <c r="K127" s="88"/>
      <c r="L127" s="88"/>
      <c r="M127" s="88"/>
      <c r="N127" s="88"/>
      <c r="O127" s="88"/>
      <c r="P127" s="88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90"/>
      <c r="AI127" s="91"/>
      <c r="AJ127" s="92"/>
      <c r="AK127" s="91"/>
      <c r="AL127" s="92"/>
      <c r="AM127" s="91"/>
      <c r="AN127" s="91"/>
      <c r="AO127" s="90"/>
      <c r="AP127" s="90"/>
      <c r="AQ127" s="93"/>
      <c r="AR127" s="93"/>
      <c r="AS127" s="91"/>
      <c r="AT127" s="90"/>
      <c r="AU127" s="90"/>
      <c r="AV127" s="93"/>
      <c r="AW127" s="93"/>
      <c r="AX127" s="90"/>
      <c r="AY127" s="90"/>
      <c r="AZ127" s="93"/>
      <c r="BA127" s="93"/>
      <c r="BB127" s="90"/>
      <c r="BC127" s="90"/>
      <c r="BD127" s="93"/>
      <c r="BE127" s="93"/>
      <c r="BF127" s="90"/>
      <c r="BG127" s="90"/>
      <c r="BH127" s="93"/>
      <c r="BI127" s="93"/>
      <c r="BJ127" s="91"/>
      <c r="BK127" s="91"/>
      <c r="BL127" s="91"/>
      <c r="BM127" s="91"/>
      <c r="BN127" s="91"/>
      <c r="BO127" s="91"/>
      <c r="BP127" s="91"/>
      <c r="BQ127" s="91"/>
      <c r="BR127" s="91"/>
    </row>
    <row r="128" spans="11:70">
      <c r="K128" s="88"/>
      <c r="L128" s="88"/>
      <c r="M128" s="88"/>
      <c r="N128" s="88"/>
      <c r="O128" s="88"/>
      <c r="P128" s="88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90"/>
      <c r="AI128" s="91"/>
      <c r="AJ128" s="92"/>
      <c r="AK128" s="91"/>
      <c r="AL128" s="92"/>
      <c r="AM128" s="91"/>
      <c r="AN128" s="91"/>
      <c r="AO128" s="90"/>
      <c r="AP128" s="90"/>
      <c r="AQ128" s="93"/>
      <c r="AR128" s="93"/>
      <c r="AS128" s="91"/>
      <c r="AT128" s="90"/>
      <c r="AU128" s="90"/>
      <c r="AV128" s="93"/>
      <c r="AW128" s="93"/>
      <c r="AX128" s="90"/>
      <c r="AY128" s="90"/>
      <c r="AZ128" s="93"/>
      <c r="BA128" s="93"/>
      <c r="BB128" s="90"/>
      <c r="BC128" s="90"/>
      <c r="BD128" s="93"/>
      <c r="BE128" s="93"/>
      <c r="BF128" s="90"/>
      <c r="BG128" s="90"/>
      <c r="BH128" s="93"/>
      <c r="BI128" s="93"/>
      <c r="BJ128" s="91"/>
      <c r="BK128" s="91"/>
      <c r="BL128" s="91"/>
      <c r="BM128" s="91"/>
      <c r="BN128" s="91"/>
      <c r="BO128" s="91"/>
      <c r="BP128" s="91"/>
      <c r="BQ128" s="91"/>
      <c r="BR128" s="91"/>
    </row>
    <row r="129" spans="11:70">
      <c r="K129" s="88"/>
      <c r="L129" s="88"/>
      <c r="M129" s="88"/>
      <c r="N129" s="88"/>
      <c r="O129" s="88"/>
      <c r="P129" s="88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90"/>
      <c r="AI129" s="91"/>
      <c r="AJ129" s="92"/>
      <c r="AK129" s="91"/>
      <c r="AL129" s="92"/>
      <c r="AM129" s="91"/>
      <c r="AN129" s="91"/>
      <c r="AO129" s="90"/>
      <c r="AP129" s="90"/>
      <c r="AQ129" s="93"/>
      <c r="AR129" s="93"/>
      <c r="AS129" s="91"/>
      <c r="AT129" s="90"/>
      <c r="AU129" s="90"/>
      <c r="AV129" s="93"/>
      <c r="AW129" s="93"/>
      <c r="AX129" s="90"/>
      <c r="AY129" s="90"/>
      <c r="AZ129" s="93"/>
      <c r="BA129" s="93"/>
      <c r="BB129" s="90"/>
      <c r="BC129" s="90"/>
      <c r="BD129" s="93"/>
      <c r="BE129" s="93"/>
      <c r="BF129" s="90"/>
      <c r="BG129" s="90"/>
      <c r="BH129" s="93"/>
      <c r="BI129" s="93"/>
      <c r="BJ129" s="91"/>
      <c r="BK129" s="91"/>
      <c r="BL129" s="91"/>
      <c r="BM129" s="91"/>
      <c r="BN129" s="91"/>
      <c r="BO129" s="91"/>
      <c r="BP129" s="91"/>
      <c r="BQ129" s="91"/>
      <c r="BR129" s="91"/>
    </row>
    <row r="130" spans="11:70">
      <c r="K130" s="88"/>
      <c r="L130" s="88"/>
      <c r="M130" s="88"/>
      <c r="N130" s="88"/>
      <c r="O130" s="88"/>
      <c r="P130" s="88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90"/>
      <c r="AI130" s="91"/>
      <c r="AJ130" s="92"/>
      <c r="AK130" s="91"/>
      <c r="AL130" s="92"/>
      <c r="AM130" s="91"/>
      <c r="AN130" s="91"/>
      <c r="AO130" s="90"/>
      <c r="AP130" s="90"/>
      <c r="AQ130" s="93"/>
      <c r="AR130" s="93"/>
      <c r="AS130" s="91"/>
      <c r="AT130" s="90"/>
      <c r="AU130" s="90"/>
      <c r="AV130" s="93"/>
      <c r="AW130" s="93"/>
      <c r="AX130" s="90"/>
      <c r="AY130" s="90"/>
      <c r="AZ130" s="93"/>
      <c r="BA130" s="93"/>
      <c r="BB130" s="90"/>
      <c r="BC130" s="90"/>
      <c r="BD130" s="93"/>
      <c r="BE130" s="93"/>
      <c r="BF130" s="90"/>
      <c r="BG130" s="90"/>
      <c r="BH130" s="93"/>
      <c r="BI130" s="93"/>
      <c r="BJ130" s="91"/>
      <c r="BK130" s="91"/>
      <c r="BL130" s="91"/>
      <c r="BM130" s="91"/>
      <c r="BN130" s="91"/>
      <c r="BO130" s="91"/>
      <c r="BP130" s="91"/>
      <c r="BQ130" s="91"/>
      <c r="BR130" s="91"/>
    </row>
    <row r="131" spans="11:70">
      <c r="K131" s="88"/>
      <c r="L131" s="88"/>
      <c r="M131" s="88"/>
      <c r="N131" s="88"/>
      <c r="O131" s="88"/>
      <c r="P131" s="88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90"/>
      <c r="AI131" s="91"/>
      <c r="AJ131" s="92"/>
      <c r="AK131" s="91"/>
      <c r="AL131" s="92"/>
      <c r="AM131" s="91"/>
      <c r="AN131" s="91"/>
      <c r="AO131" s="90"/>
      <c r="AP131" s="90"/>
      <c r="AQ131" s="93"/>
      <c r="AR131" s="93"/>
      <c r="AS131" s="91"/>
      <c r="AT131" s="90"/>
      <c r="AU131" s="90"/>
      <c r="AV131" s="93"/>
      <c r="AW131" s="93"/>
      <c r="AX131" s="90"/>
      <c r="AY131" s="90"/>
      <c r="AZ131" s="93"/>
      <c r="BA131" s="93"/>
      <c r="BB131" s="90"/>
      <c r="BC131" s="90"/>
      <c r="BD131" s="93"/>
      <c r="BE131" s="93"/>
      <c r="BF131" s="90"/>
      <c r="BG131" s="90"/>
      <c r="BH131" s="93"/>
      <c r="BI131" s="93"/>
      <c r="BJ131" s="91"/>
      <c r="BK131" s="91"/>
      <c r="BL131" s="91"/>
      <c r="BM131" s="91"/>
      <c r="BN131" s="91"/>
      <c r="BO131" s="91"/>
      <c r="BP131" s="91"/>
      <c r="BQ131" s="91"/>
      <c r="BR131" s="91"/>
    </row>
    <row r="132" spans="11:70">
      <c r="K132" s="88"/>
      <c r="L132" s="88"/>
      <c r="M132" s="88"/>
      <c r="N132" s="88"/>
      <c r="O132" s="88"/>
      <c r="P132" s="88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90"/>
      <c r="AI132" s="91"/>
      <c r="AJ132" s="92"/>
      <c r="AK132" s="91"/>
      <c r="AL132" s="92"/>
      <c r="AM132" s="91"/>
      <c r="AN132" s="91"/>
      <c r="AO132" s="90"/>
      <c r="AP132" s="90"/>
      <c r="AQ132" s="93"/>
      <c r="AR132" s="93"/>
      <c r="AS132" s="91"/>
      <c r="AT132" s="90"/>
      <c r="AU132" s="90"/>
      <c r="AV132" s="93"/>
      <c r="AW132" s="93"/>
      <c r="AX132" s="90"/>
      <c r="AY132" s="90"/>
      <c r="AZ132" s="93"/>
      <c r="BA132" s="93"/>
      <c r="BB132" s="90"/>
      <c r="BC132" s="90"/>
      <c r="BD132" s="93"/>
      <c r="BE132" s="93"/>
      <c r="BF132" s="90"/>
      <c r="BG132" s="90"/>
      <c r="BH132" s="93"/>
      <c r="BI132" s="93"/>
      <c r="BJ132" s="91"/>
      <c r="BK132" s="91"/>
      <c r="BL132" s="91"/>
      <c r="BM132" s="91"/>
      <c r="BN132" s="91"/>
      <c r="BO132" s="91"/>
      <c r="BP132" s="91"/>
      <c r="BQ132" s="91"/>
      <c r="BR132" s="91"/>
    </row>
    <row r="133" spans="11:70">
      <c r="K133" s="88"/>
      <c r="L133" s="88"/>
      <c r="M133" s="88"/>
      <c r="N133" s="88"/>
      <c r="O133" s="88"/>
      <c r="P133" s="88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90"/>
      <c r="AI133" s="91"/>
      <c r="AJ133" s="92"/>
      <c r="AK133" s="91"/>
      <c r="AL133" s="92"/>
      <c r="AM133" s="91"/>
      <c r="AN133" s="91"/>
      <c r="AO133" s="90"/>
      <c r="AP133" s="90"/>
      <c r="AQ133" s="93"/>
      <c r="AR133" s="93"/>
      <c r="AS133" s="91"/>
      <c r="AT133" s="90"/>
      <c r="AU133" s="90"/>
      <c r="AV133" s="93"/>
      <c r="AW133" s="93"/>
      <c r="AX133" s="90"/>
      <c r="AY133" s="90"/>
      <c r="AZ133" s="93"/>
      <c r="BA133" s="93"/>
      <c r="BB133" s="90"/>
      <c r="BC133" s="90"/>
      <c r="BD133" s="93"/>
      <c r="BE133" s="93"/>
      <c r="BF133" s="90"/>
      <c r="BG133" s="90"/>
      <c r="BH133" s="93"/>
      <c r="BI133" s="93"/>
      <c r="BJ133" s="91"/>
      <c r="BK133" s="91"/>
      <c r="BL133" s="91"/>
      <c r="BM133" s="91"/>
      <c r="BN133" s="91"/>
      <c r="BO133" s="91"/>
      <c r="BP133" s="91"/>
      <c r="BQ133" s="91"/>
      <c r="BR133" s="91"/>
    </row>
    <row r="134" spans="11:70">
      <c r="K134" s="88"/>
      <c r="L134" s="88"/>
      <c r="M134" s="88"/>
      <c r="N134" s="88"/>
      <c r="O134" s="88"/>
      <c r="P134" s="88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90"/>
      <c r="AI134" s="91"/>
      <c r="AJ134" s="92"/>
      <c r="AK134" s="91"/>
      <c r="AL134" s="92"/>
      <c r="AM134" s="91"/>
      <c r="AN134" s="91"/>
      <c r="AO134" s="90"/>
      <c r="AP134" s="90"/>
      <c r="AQ134" s="93"/>
      <c r="AR134" s="93"/>
      <c r="AS134" s="91"/>
      <c r="AT134" s="90"/>
      <c r="AU134" s="90"/>
      <c r="AV134" s="93"/>
      <c r="AW134" s="93"/>
      <c r="AX134" s="90"/>
      <c r="AY134" s="90"/>
      <c r="AZ134" s="93"/>
      <c r="BA134" s="93"/>
      <c r="BB134" s="90"/>
      <c r="BC134" s="90"/>
      <c r="BD134" s="93"/>
      <c r="BE134" s="93"/>
      <c r="BF134" s="90"/>
      <c r="BG134" s="90"/>
      <c r="BH134" s="93"/>
      <c r="BI134" s="93"/>
      <c r="BJ134" s="91"/>
      <c r="BK134" s="91"/>
      <c r="BL134" s="91"/>
      <c r="BM134" s="91"/>
      <c r="BN134" s="91"/>
      <c r="BO134" s="91"/>
      <c r="BP134" s="91"/>
      <c r="BQ134" s="91"/>
      <c r="BR134" s="91"/>
    </row>
    <row r="135" spans="11:70">
      <c r="K135" s="88"/>
      <c r="L135" s="88"/>
      <c r="M135" s="88"/>
      <c r="N135" s="88"/>
      <c r="O135" s="88"/>
      <c r="P135" s="88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90"/>
      <c r="AI135" s="91"/>
      <c r="AJ135" s="92"/>
      <c r="AK135" s="91"/>
      <c r="AL135" s="92"/>
      <c r="AM135" s="91"/>
      <c r="AN135" s="91"/>
      <c r="AO135" s="90"/>
      <c r="AP135" s="90"/>
      <c r="AQ135" s="93"/>
      <c r="AR135" s="93"/>
      <c r="AS135" s="91"/>
      <c r="AT135" s="90"/>
      <c r="AU135" s="90"/>
      <c r="AV135" s="93"/>
      <c r="AW135" s="93"/>
      <c r="AX135" s="90"/>
      <c r="AY135" s="90"/>
      <c r="AZ135" s="93"/>
      <c r="BA135" s="93"/>
      <c r="BB135" s="90"/>
      <c r="BC135" s="90"/>
      <c r="BD135" s="93"/>
      <c r="BE135" s="93"/>
      <c r="BF135" s="90"/>
      <c r="BG135" s="90"/>
      <c r="BH135" s="93"/>
      <c r="BI135" s="93"/>
      <c r="BJ135" s="91"/>
      <c r="BK135" s="91"/>
      <c r="BL135" s="91"/>
      <c r="BM135" s="91"/>
      <c r="BN135" s="91"/>
      <c r="BO135" s="91"/>
      <c r="BP135" s="91"/>
      <c r="BQ135" s="91"/>
      <c r="BR135" s="91"/>
    </row>
    <row r="136" spans="11:70">
      <c r="K136" s="88"/>
      <c r="L136" s="88"/>
      <c r="M136" s="88"/>
      <c r="N136" s="88"/>
      <c r="O136" s="88"/>
      <c r="P136" s="88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90"/>
      <c r="AI136" s="91"/>
      <c r="AJ136" s="92"/>
      <c r="AK136" s="91"/>
      <c r="AL136" s="92"/>
      <c r="AM136" s="91"/>
      <c r="AN136" s="91"/>
      <c r="AO136" s="90"/>
      <c r="AP136" s="90"/>
      <c r="AQ136" s="93"/>
      <c r="AR136" s="93"/>
      <c r="AS136" s="91"/>
      <c r="AT136" s="90"/>
      <c r="AU136" s="90"/>
      <c r="AV136" s="93"/>
      <c r="AW136" s="93"/>
      <c r="AX136" s="90"/>
      <c r="AY136" s="90"/>
      <c r="AZ136" s="93"/>
      <c r="BA136" s="93"/>
      <c r="BB136" s="90"/>
      <c r="BC136" s="90"/>
      <c r="BD136" s="93"/>
      <c r="BE136" s="93"/>
      <c r="BF136" s="90"/>
      <c r="BG136" s="90"/>
      <c r="BH136" s="93"/>
      <c r="BI136" s="93"/>
      <c r="BJ136" s="91"/>
      <c r="BK136" s="91"/>
      <c r="BL136" s="91"/>
      <c r="BM136" s="91"/>
      <c r="BN136" s="91"/>
      <c r="BO136" s="91"/>
      <c r="BP136" s="91"/>
      <c r="BQ136" s="91"/>
      <c r="BR136" s="91"/>
    </row>
    <row r="137" spans="11:70">
      <c r="K137" s="88"/>
      <c r="L137" s="88"/>
      <c r="M137" s="88"/>
      <c r="N137" s="88"/>
      <c r="O137" s="88"/>
      <c r="P137" s="88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90"/>
      <c r="AI137" s="91"/>
      <c r="AJ137" s="92"/>
      <c r="AK137" s="91"/>
      <c r="AL137" s="92"/>
      <c r="AM137" s="91"/>
      <c r="AN137" s="91"/>
      <c r="AO137" s="90"/>
      <c r="AP137" s="90"/>
      <c r="AQ137" s="93"/>
      <c r="AR137" s="93"/>
      <c r="AS137" s="91"/>
      <c r="AT137" s="90"/>
      <c r="AU137" s="90"/>
      <c r="AV137" s="93"/>
      <c r="AW137" s="93"/>
      <c r="AX137" s="90"/>
      <c r="AY137" s="90"/>
      <c r="AZ137" s="93"/>
      <c r="BA137" s="93"/>
      <c r="BB137" s="90"/>
      <c r="BC137" s="90"/>
      <c r="BD137" s="93"/>
      <c r="BE137" s="93"/>
      <c r="BF137" s="90"/>
      <c r="BG137" s="90"/>
      <c r="BH137" s="93"/>
      <c r="BI137" s="93"/>
      <c r="BJ137" s="91"/>
      <c r="BK137" s="91"/>
      <c r="BL137" s="91"/>
      <c r="BM137" s="91"/>
      <c r="BN137" s="91"/>
      <c r="BO137" s="91"/>
      <c r="BP137" s="91"/>
      <c r="BQ137" s="91"/>
      <c r="BR137" s="91"/>
    </row>
    <row r="138" spans="11:70">
      <c r="K138" s="88"/>
      <c r="L138" s="88"/>
      <c r="M138" s="88"/>
      <c r="N138" s="88"/>
      <c r="O138" s="88"/>
      <c r="P138" s="88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90"/>
      <c r="AI138" s="91"/>
      <c r="AJ138" s="92"/>
      <c r="AK138" s="91"/>
      <c r="AL138" s="92"/>
      <c r="AM138" s="91"/>
      <c r="AN138" s="91"/>
      <c r="AO138" s="90"/>
      <c r="AP138" s="90"/>
      <c r="AQ138" s="93"/>
      <c r="AR138" s="93"/>
      <c r="AS138" s="91"/>
      <c r="AT138" s="90"/>
      <c r="AU138" s="90"/>
      <c r="AV138" s="93"/>
      <c r="AW138" s="93"/>
      <c r="AX138" s="90"/>
      <c r="AY138" s="90"/>
      <c r="AZ138" s="93"/>
      <c r="BA138" s="93"/>
      <c r="BB138" s="90"/>
      <c r="BC138" s="90"/>
      <c r="BD138" s="93"/>
      <c r="BE138" s="93"/>
      <c r="BF138" s="90"/>
      <c r="BG138" s="90"/>
      <c r="BH138" s="93"/>
      <c r="BI138" s="93"/>
      <c r="BJ138" s="91"/>
      <c r="BK138" s="91"/>
      <c r="BL138" s="91"/>
      <c r="BM138" s="91"/>
      <c r="BN138" s="91"/>
      <c r="BO138" s="91"/>
      <c r="BP138" s="91"/>
      <c r="BQ138" s="91"/>
      <c r="BR138" s="91"/>
    </row>
    <row r="139" spans="11:70">
      <c r="K139" s="88"/>
      <c r="L139" s="88"/>
      <c r="M139" s="88"/>
      <c r="N139" s="88"/>
      <c r="O139" s="88"/>
      <c r="P139" s="88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90"/>
      <c r="AI139" s="91"/>
      <c r="AJ139" s="92"/>
      <c r="AK139" s="91"/>
      <c r="AL139" s="92"/>
      <c r="AM139" s="91"/>
      <c r="AN139" s="91"/>
      <c r="AO139" s="90"/>
      <c r="AP139" s="90"/>
      <c r="AQ139" s="93"/>
      <c r="AR139" s="93"/>
      <c r="AS139" s="91"/>
      <c r="AT139" s="90"/>
      <c r="AU139" s="90"/>
      <c r="AV139" s="93"/>
      <c r="AW139" s="93"/>
      <c r="AX139" s="90"/>
      <c r="AY139" s="90"/>
      <c r="AZ139" s="93"/>
      <c r="BA139" s="93"/>
      <c r="BB139" s="90"/>
      <c r="BC139" s="90"/>
      <c r="BD139" s="93"/>
      <c r="BE139" s="93"/>
      <c r="BF139" s="90"/>
      <c r="BG139" s="90"/>
      <c r="BH139" s="93"/>
      <c r="BI139" s="93"/>
      <c r="BJ139" s="91"/>
      <c r="BK139" s="91"/>
      <c r="BL139" s="91"/>
      <c r="BM139" s="91"/>
      <c r="BN139" s="91"/>
      <c r="BO139" s="91"/>
      <c r="BP139" s="91"/>
      <c r="BQ139" s="91"/>
      <c r="BR139" s="91"/>
    </row>
    <row r="140" spans="11:70">
      <c r="K140" s="88"/>
      <c r="L140" s="88"/>
      <c r="M140" s="88"/>
      <c r="N140" s="88"/>
      <c r="O140" s="88"/>
      <c r="P140" s="88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90"/>
      <c r="AI140" s="91"/>
      <c r="AJ140" s="92"/>
      <c r="AK140" s="91"/>
      <c r="AL140" s="92"/>
      <c r="AM140" s="91"/>
      <c r="AN140" s="91"/>
      <c r="AO140" s="90"/>
      <c r="AP140" s="90"/>
      <c r="AQ140" s="93"/>
      <c r="AR140" s="93"/>
      <c r="AS140" s="91"/>
      <c r="AT140" s="90"/>
      <c r="AU140" s="90"/>
      <c r="AV140" s="93"/>
      <c r="AW140" s="93"/>
      <c r="AX140" s="90"/>
      <c r="AY140" s="90"/>
      <c r="AZ140" s="93"/>
      <c r="BA140" s="93"/>
      <c r="BB140" s="90"/>
      <c r="BC140" s="90"/>
      <c r="BD140" s="93"/>
      <c r="BE140" s="93"/>
      <c r="BF140" s="90"/>
      <c r="BG140" s="90"/>
      <c r="BH140" s="93"/>
      <c r="BI140" s="93"/>
      <c r="BJ140" s="91"/>
      <c r="BK140" s="91"/>
      <c r="BL140" s="91"/>
      <c r="BM140" s="91"/>
      <c r="BN140" s="91"/>
      <c r="BO140" s="91"/>
      <c r="BP140" s="91"/>
      <c r="BQ140" s="91"/>
      <c r="BR140" s="91"/>
    </row>
    <row r="141" spans="11:70">
      <c r="K141" s="88"/>
      <c r="L141" s="88"/>
      <c r="M141" s="88"/>
      <c r="N141" s="88"/>
      <c r="O141" s="88"/>
      <c r="P141" s="88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90"/>
      <c r="AI141" s="91"/>
      <c r="AJ141" s="92"/>
      <c r="AK141" s="91"/>
      <c r="AL141" s="92"/>
      <c r="AM141" s="91"/>
      <c r="AN141" s="91"/>
      <c r="AO141" s="90"/>
      <c r="AP141" s="90"/>
      <c r="AQ141" s="93"/>
      <c r="AR141" s="93"/>
      <c r="AS141" s="91"/>
      <c r="AT141" s="90"/>
      <c r="AU141" s="90"/>
      <c r="AV141" s="93"/>
      <c r="AW141" s="93"/>
      <c r="AX141" s="90"/>
      <c r="AY141" s="90"/>
      <c r="AZ141" s="93"/>
      <c r="BA141" s="93"/>
      <c r="BB141" s="90"/>
      <c r="BC141" s="90"/>
      <c r="BD141" s="93"/>
      <c r="BE141" s="93"/>
      <c r="BF141" s="90"/>
      <c r="BG141" s="90"/>
      <c r="BH141" s="93"/>
      <c r="BI141" s="93"/>
      <c r="BJ141" s="91"/>
      <c r="BK141" s="91"/>
      <c r="BL141" s="91"/>
      <c r="BM141" s="91"/>
      <c r="BN141" s="91"/>
      <c r="BO141" s="91"/>
      <c r="BP141" s="91"/>
      <c r="BQ141" s="91"/>
      <c r="BR141" s="91"/>
    </row>
    <row r="142" spans="11:70">
      <c r="K142" s="88"/>
      <c r="L142" s="88"/>
      <c r="M142" s="88"/>
      <c r="N142" s="88"/>
      <c r="O142" s="88"/>
      <c r="P142" s="88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90"/>
      <c r="AI142" s="91"/>
      <c r="AJ142" s="92"/>
      <c r="AK142" s="91"/>
      <c r="AL142" s="92"/>
      <c r="AM142" s="91"/>
      <c r="AN142" s="91"/>
      <c r="AO142" s="90"/>
      <c r="AP142" s="90"/>
      <c r="AQ142" s="93"/>
      <c r="AR142" s="93"/>
      <c r="AS142" s="91"/>
      <c r="AT142" s="90"/>
      <c r="AU142" s="90"/>
      <c r="AV142" s="93"/>
      <c r="AW142" s="93"/>
      <c r="AX142" s="90"/>
      <c r="AY142" s="90"/>
      <c r="AZ142" s="93"/>
      <c r="BA142" s="93"/>
      <c r="BB142" s="90"/>
      <c r="BC142" s="90"/>
      <c r="BD142" s="93"/>
      <c r="BE142" s="93"/>
      <c r="BF142" s="90"/>
      <c r="BG142" s="90"/>
      <c r="BH142" s="93"/>
      <c r="BI142" s="93"/>
      <c r="BJ142" s="91"/>
      <c r="BK142" s="91"/>
      <c r="BL142" s="91"/>
      <c r="BM142" s="91"/>
      <c r="BN142" s="91"/>
      <c r="BO142" s="91"/>
      <c r="BP142" s="91"/>
      <c r="BQ142" s="91"/>
      <c r="BR142" s="91"/>
    </row>
    <row r="143" spans="11:70">
      <c r="K143" s="88"/>
      <c r="L143" s="88"/>
      <c r="M143" s="88"/>
      <c r="N143" s="88"/>
      <c r="O143" s="88"/>
      <c r="P143" s="88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90"/>
      <c r="AI143" s="91"/>
      <c r="AJ143" s="92"/>
      <c r="AK143" s="91"/>
      <c r="AL143" s="92"/>
      <c r="AM143" s="91"/>
      <c r="AN143" s="91"/>
      <c r="AO143" s="90"/>
      <c r="AP143" s="90"/>
      <c r="AQ143" s="93"/>
      <c r="AR143" s="93"/>
      <c r="AS143" s="91"/>
      <c r="AT143" s="90"/>
      <c r="AU143" s="90"/>
      <c r="AV143" s="93"/>
      <c r="AW143" s="93"/>
      <c r="AX143" s="90"/>
      <c r="AY143" s="90"/>
      <c r="AZ143" s="93"/>
      <c r="BA143" s="93"/>
      <c r="BB143" s="90"/>
      <c r="BC143" s="90"/>
      <c r="BD143" s="93"/>
      <c r="BE143" s="93"/>
      <c r="BF143" s="90"/>
      <c r="BG143" s="90"/>
      <c r="BH143" s="93"/>
      <c r="BI143" s="93"/>
      <c r="BJ143" s="91"/>
      <c r="BK143" s="91"/>
      <c r="BL143" s="91"/>
      <c r="BM143" s="91"/>
      <c r="BN143" s="91"/>
      <c r="BO143" s="91"/>
      <c r="BP143" s="91"/>
      <c r="BQ143" s="91"/>
      <c r="BR143" s="91"/>
    </row>
    <row r="144" spans="11:70">
      <c r="K144" s="88"/>
      <c r="L144" s="88"/>
      <c r="M144" s="88"/>
      <c r="N144" s="88"/>
      <c r="O144" s="88"/>
      <c r="P144" s="88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90"/>
      <c r="AI144" s="91"/>
      <c r="AJ144" s="92"/>
      <c r="AK144" s="91"/>
      <c r="AL144" s="92"/>
      <c r="AM144" s="91"/>
      <c r="AN144" s="91"/>
      <c r="AO144" s="90"/>
      <c r="AP144" s="90"/>
      <c r="AQ144" s="93"/>
      <c r="AR144" s="93"/>
      <c r="AS144" s="91"/>
      <c r="AT144" s="90"/>
      <c r="AU144" s="90"/>
      <c r="AV144" s="93"/>
      <c r="AW144" s="93"/>
      <c r="AX144" s="90"/>
      <c r="AY144" s="90"/>
      <c r="AZ144" s="93"/>
      <c r="BA144" s="93"/>
      <c r="BB144" s="90"/>
      <c r="BC144" s="90"/>
      <c r="BD144" s="93"/>
      <c r="BE144" s="93"/>
      <c r="BF144" s="90"/>
      <c r="BG144" s="90"/>
      <c r="BH144" s="93"/>
      <c r="BI144" s="93"/>
      <c r="BJ144" s="91"/>
      <c r="BK144" s="91"/>
      <c r="BL144" s="91"/>
      <c r="BM144" s="91"/>
      <c r="BN144" s="91"/>
      <c r="BO144" s="91"/>
      <c r="BP144" s="91"/>
      <c r="BQ144" s="91"/>
      <c r="BR144" s="91"/>
    </row>
    <row r="145" spans="11:70">
      <c r="K145" s="88"/>
      <c r="L145" s="88"/>
      <c r="M145" s="88"/>
      <c r="N145" s="88"/>
      <c r="O145" s="88"/>
      <c r="P145" s="88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90"/>
      <c r="AI145" s="91"/>
      <c r="AJ145" s="92"/>
      <c r="AK145" s="91"/>
      <c r="AL145" s="92"/>
      <c r="AM145" s="91"/>
      <c r="AN145" s="91"/>
      <c r="AO145" s="90"/>
      <c r="AP145" s="90"/>
      <c r="AQ145" s="93"/>
      <c r="AR145" s="93"/>
      <c r="AS145" s="91"/>
      <c r="AT145" s="90"/>
      <c r="AU145" s="90"/>
      <c r="AV145" s="93"/>
      <c r="AW145" s="93"/>
      <c r="AX145" s="90"/>
      <c r="AY145" s="90"/>
      <c r="AZ145" s="93"/>
      <c r="BA145" s="93"/>
      <c r="BB145" s="90"/>
      <c r="BC145" s="90"/>
      <c r="BD145" s="93"/>
      <c r="BE145" s="93"/>
      <c r="BF145" s="90"/>
      <c r="BG145" s="90"/>
      <c r="BH145" s="93"/>
      <c r="BI145" s="93"/>
      <c r="BJ145" s="91"/>
      <c r="BK145" s="91"/>
      <c r="BL145" s="91"/>
      <c r="BM145" s="91"/>
      <c r="BN145" s="91"/>
      <c r="BO145" s="91"/>
      <c r="BP145" s="91"/>
      <c r="BQ145" s="91"/>
      <c r="BR145" s="91"/>
    </row>
    <row r="146" spans="11:70">
      <c r="K146" s="88"/>
      <c r="L146" s="88"/>
      <c r="M146" s="88"/>
      <c r="N146" s="88"/>
      <c r="O146" s="88"/>
      <c r="P146" s="88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90"/>
      <c r="AI146" s="91"/>
      <c r="AJ146" s="92"/>
      <c r="AK146" s="91"/>
      <c r="AL146" s="92"/>
      <c r="AM146" s="91"/>
      <c r="AN146" s="91"/>
      <c r="AO146" s="90"/>
      <c r="AP146" s="90"/>
      <c r="AQ146" s="93"/>
      <c r="AR146" s="93"/>
      <c r="AS146" s="91"/>
      <c r="AT146" s="90"/>
      <c r="AU146" s="90"/>
      <c r="AV146" s="93"/>
      <c r="AW146" s="93"/>
      <c r="AX146" s="90"/>
      <c r="AY146" s="90"/>
      <c r="AZ146" s="93"/>
      <c r="BA146" s="93"/>
      <c r="BB146" s="90"/>
      <c r="BC146" s="90"/>
      <c r="BD146" s="93"/>
      <c r="BE146" s="93"/>
      <c r="BF146" s="90"/>
      <c r="BG146" s="90"/>
      <c r="BH146" s="93"/>
      <c r="BI146" s="93"/>
      <c r="BJ146" s="91"/>
      <c r="BK146" s="91"/>
      <c r="BL146" s="91"/>
      <c r="BM146" s="91"/>
      <c r="BN146" s="91"/>
      <c r="BO146" s="91"/>
      <c r="BP146" s="91"/>
      <c r="BQ146" s="91"/>
      <c r="BR146" s="91"/>
    </row>
    <row r="147" spans="11:70">
      <c r="K147" s="88"/>
      <c r="L147" s="88"/>
      <c r="M147" s="88"/>
      <c r="N147" s="88"/>
      <c r="O147" s="88"/>
      <c r="P147" s="88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90"/>
      <c r="AI147" s="91"/>
      <c r="AJ147" s="92"/>
      <c r="AK147" s="91"/>
      <c r="AL147" s="92"/>
      <c r="AM147" s="91"/>
      <c r="AN147" s="91"/>
      <c r="AO147" s="90"/>
      <c r="AP147" s="90"/>
      <c r="AQ147" s="93"/>
      <c r="AR147" s="93"/>
      <c r="AS147" s="91"/>
      <c r="AT147" s="90"/>
      <c r="AU147" s="90"/>
      <c r="AV147" s="93"/>
      <c r="AW147" s="93"/>
      <c r="AX147" s="90"/>
      <c r="AY147" s="90"/>
      <c r="AZ147" s="93"/>
      <c r="BA147" s="93"/>
      <c r="BB147" s="90"/>
      <c r="BC147" s="90"/>
      <c r="BD147" s="93"/>
      <c r="BE147" s="93"/>
      <c r="BF147" s="90"/>
      <c r="BG147" s="90"/>
      <c r="BH147" s="93"/>
      <c r="BI147" s="93"/>
      <c r="BJ147" s="91"/>
      <c r="BK147" s="91"/>
      <c r="BL147" s="91"/>
      <c r="BM147" s="91"/>
      <c r="BN147" s="91"/>
      <c r="BO147" s="91"/>
      <c r="BP147" s="91"/>
      <c r="BQ147" s="91"/>
      <c r="BR147" s="91"/>
    </row>
    <row r="148" spans="11:70">
      <c r="K148" s="88"/>
      <c r="L148" s="88"/>
      <c r="M148" s="88"/>
      <c r="N148" s="88"/>
      <c r="O148" s="88"/>
      <c r="P148" s="88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90"/>
      <c r="AI148" s="91"/>
      <c r="AJ148" s="92"/>
      <c r="AK148" s="91"/>
      <c r="AL148" s="92"/>
      <c r="AM148" s="91"/>
      <c r="AN148" s="91"/>
      <c r="AO148" s="90"/>
      <c r="AP148" s="90"/>
      <c r="AQ148" s="93"/>
      <c r="AR148" s="93"/>
      <c r="AS148" s="91"/>
      <c r="AT148" s="90"/>
      <c r="AU148" s="90"/>
      <c r="AV148" s="93"/>
      <c r="AW148" s="93"/>
      <c r="AX148" s="90"/>
      <c r="AY148" s="90"/>
      <c r="AZ148" s="93"/>
      <c r="BA148" s="93"/>
      <c r="BB148" s="90"/>
      <c r="BC148" s="90"/>
      <c r="BD148" s="93"/>
      <c r="BE148" s="93"/>
      <c r="BF148" s="90"/>
      <c r="BG148" s="90"/>
      <c r="BH148" s="93"/>
      <c r="BI148" s="93"/>
      <c r="BJ148" s="91"/>
      <c r="BK148" s="91"/>
      <c r="BL148" s="91"/>
      <c r="BM148" s="91"/>
      <c r="BN148" s="91"/>
      <c r="BO148" s="91"/>
      <c r="BP148" s="91"/>
      <c r="BQ148" s="91"/>
      <c r="BR148" s="91"/>
    </row>
    <row r="149" spans="11:70">
      <c r="K149" s="88"/>
      <c r="L149" s="88"/>
      <c r="M149" s="88"/>
      <c r="N149" s="88"/>
      <c r="O149" s="88"/>
      <c r="P149" s="88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90"/>
      <c r="AI149" s="91"/>
      <c r="AJ149" s="92"/>
      <c r="AK149" s="91"/>
      <c r="AL149" s="92"/>
      <c r="AM149" s="91"/>
      <c r="AN149" s="91"/>
      <c r="AO149" s="90"/>
      <c r="AP149" s="90"/>
      <c r="AQ149" s="93"/>
      <c r="AR149" s="93"/>
      <c r="AS149" s="91"/>
      <c r="AT149" s="90"/>
      <c r="AU149" s="90"/>
      <c r="AV149" s="93"/>
      <c r="AW149" s="93"/>
      <c r="AX149" s="90"/>
      <c r="AY149" s="90"/>
      <c r="AZ149" s="93"/>
      <c r="BA149" s="93"/>
      <c r="BB149" s="90"/>
      <c r="BC149" s="90"/>
      <c r="BD149" s="93"/>
      <c r="BE149" s="93"/>
      <c r="BF149" s="90"/>
      <c r="BG149" s="90"/>
      <c r="BH149" s="93"/>
      <c r="BI149" s="93"/>
      <c r="BJ149" s="91"/>
      <c r="BK149" s="91"/>
      <c r="BL149" s="91"/>
      <c r="BM149" s="91"/>
      <c r="BN149" s="91"/>
      <c r="BO149" s="91"/>
      <c r="BP149" s="91"/>
      <c r="BQ149" s="91"/>
      <c r="BR149" s="91"/>
    </row>
    <row r="150" spans="11:70">
      <c r="K150" s="88"/>
      <c r="L150" s="88"/>
      <c r="M150" s="88"/>
      <c r="N150" s="88"/>
      <c r="O150" s="88"/>
      <c r="P150" s="88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90"/>
      <c r="AI150" s="91"/>
      <c r="AJ150" s="92"/>
      <c r="AK150" s="91"/>
      <c r="AL150" s="92"/>
      <c r="AM150" s="91"/>
      <c r="AN150" s="91"/>
      <c r="AO150" s="90"/>
      <c r="AP150" s="90"/>
      <c r="AQ150" s="93"/>
      <c r="AR150" s="93"/>
      <c r="AS150" s="91"/>
      <c r="AT150" s="90"/>
      <c r="AU150" s="90"/>
      <c r="AV150" s="93"/>
      <c r="AW150" s="93"/>
      <c r="AX150" s="90"/>
      <c r="AY150" s="90"/>
      <c r="AZ150" s="93"/>
      <c r="BA150" s="93"/>
      <c r="BB150" s="90"/>
      <c r="BC150" s="90"/>
      <c r="BD150" s="93"/>
      <c r="BE150" s="93"/>
      <c r="BF150" s="90"/>
      <c r="BG150" s="90"/>
      <c r="BH150" s="93"/>
      <c r="BI150" s="93"/>
      <c r="BJ150" s="91"/>
      <c r="BK150" s="91"/>
      <c r="BL150" s="91"/>
      <c r="BM150" s="91"/>
      <c r="BN150" s="91"/>
      <c r="BO150" s="91"/>
      <c r="BP150" s="91"/>
      <c r="BQ150" s="91"/>
      <c r="BR150" s="91"/>
    </row>
    <row r="151" spans="11:70">
      <c r="K151" s="88"/>
      <c r="L151" s="88"/>
      <c r="M151" s="88"/>
      <c r="N151" s="88"/>
      <c r="O151" s="88"/>
      <c r="P151" s="88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90"/>
      <c r="AI151" s="91"/>
      <c r="AJ151" s="92"/>
      <c r="AK151" s="91"/>
      <c r="AL151" s="92"/>
      <c r="AM151" s="91"/>
      <c r="AN151" s="91"/>
      <c r="AO151" s="90"/>
      <c r="AP151" s="90"/>
      <c r="AQ151" s="93"/>
      <c r="AR151" s="93"/>
      <c r="AS151" s="91"/>
      <c r="AT151" s="90"/>
      <c r="AU151" s="90"/>
      <c r="AV151" s="93"/>
      <c r="AW151" s="93"/>
      <c r="AX151" s="90"/>
      <c r="AY151" s="90"/>
      <c r="AZ151" s="93"/>
      <c r="BA151" s="93"/>
      <c r="BB151" s="90"/>
      <c r="BC151" s="90"/>
      <c r="BD151" s="93"/>
      <c r="BE151" s="93"/>
      <c r="BF151" s="90"/>
      <c r="BG151" s="90"/>
      <c r="BH151" s="93"/>
      <c r="BI151" s="93"/>
      <c r="BJ151" s="91"/>
      <c r="BK151" s="91"/>
      <c r="BL151" s="91"/>
      <c r="BM151" s="91"/>
      <c r="BN151" s="91"/>
      <c r="BO151" s="91"/>
      <c r="BP151" s="91"/>
      <c r="BQ151" s="91"/>
      <c r="BR151" s="91"/>
    </row>
    <row r="152" spans="11:70">
      <c r="K152" s="88"/>
      <c r="L152" s="88"/>
      <c r="M152" s="88"/>
      <c r="N152" s="88"/>
      <c r="O152" s="88"/>
      <c r="P152" s="88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90"/>
      <c r="AI152" s="91"/>
      <c r="AJ152" s="92"/>
      <c r="AK152" s="91"/>
      <c r="AL152" s="92"/>
      <c r="AM152" s="91"/>
      <c r="AN152" s="91"/>
      <c r="AO152" s="90"/>
      <c r="AP152" s="90"/>
      <c r="AQ152" s="93"/>
      <c r="AR152" s="93"/>
      <c r="AS152" s="91"/>
      <c r="AT152" s="90"/>
      <c r="AU152" s="90"/>
      <c r="AV152" s="93"/>
      <c r="AW152" s="93"/>
      <c r="AX152" s="90"/>
      <c r="AY152" s="90"/>
      <c r="AZ152" s="93"/>
      <c r="BA152" s="93"/>
      <c r="BB152" s="90"/>
      <c r="BC152" s="90"/>
      <c r="BD152" s="93"/>
      <c r="BE152" s="93"/>
      <c r="BF152" s="90"/>
      <c r="BG152" s="90"/>
      <c r="BH152" s="93"/>
      <c r="BI152" s="93"/>
      <c r="BJ152" s="91"/>
      <c r="BK152" s="91"/>
      <c r="BL152" s="91"/>
      <c r="BM152" s="91"/>
      <c r="BN152" s="91"/>
      <c r="BO152" s="91"/>
      <c r="BP152" s="91"/>
      <c r="BQ152" s="91"/>
      <c r="BR152" s="91"/>
    </row>
    <row r="153" spans="11:70">
      <c r="K153" s="88"/>
      <c r="L153" s="88"/>
      <c r="M153" s="88"/>
      <c r="N153" s="88"/>
      <c r="O153" s="88"/>
      <c r="P153" s="88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90"/>
      <c r="AI153" s="91"/>
      <c r="AJ153" s="92"/>
      <c r="AK153" s="91"/>
      <c r="AL153" s="92"/>
      <c r="AM153" s="91"/>
      <c r="AN153" s="91"/>
      <c r="AO153" s="90"/>
      <c r="AP153" s="90"/>
      <c r="AQ153" s="93"/>
      <c r="AR153" s="93"/>
      <c r="AS153" s="91"/>
      <c r="AT153" s="90"/>
      <c r="AU153" s="90"/>
      <c r="AV153" s="93"/>
      <c r="AW153" s="93"/>
      <c r="AX153" s="90"/>
      <c r="AY153" s="90"/>
      <c r="AZ153" s="93"/>
      <c r="BA153" s="93"/>
      <c r="BB153" s="90"/>
      <c r="BC153" s="90"/>
      <c r="BD153" s="93"/>
      <c r="BE153" s="93"/>
      <c r="BF153" s="90"/>
      <c r="BG153" s="90"/>
      <c r="BH153" s="93"/>
      <c r="BI153" s="93"/>
      <c r="BJ153" s="91"/>
      <c r="BK153" s="91"/>
      <c r="BL153" s="91"/>
      <c r="BM153" s="91"/>
      <c r="BN153" s="91"/>
      <c r="BO153" s="91"/>
      <c r="BP153" s="91"/>
      <c r="BQ153" s="91"/>
      <c r="BR153" s="91"/>
    </row>
    <row r="154" spans="11:70">
      <c r="K154" s="88"/>
      <c r="L154" s="88"/>
      <c r="M154" s="88"/>
      <c r="N154" s="88"/>
      <c r="O154" s="88"/>
      <c r="P154" s="88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90"/>
      <c r="AI154" s="91"/>
      <c r="AJ154" s="92"/>
      <c r="AK154" s="91"/>
      <c r="AL154" s="92"/>
      <c r="AM154" s="91"/>
      <c r="AN154" s="91"/>
      <c r="AO154" s="90"/>
      <c r="AP154" s="90"/>
      <c r="AQ154" s="93"/>
      <c r="AR154" s="93"/>
      <c r="AS154" s="91"/>
      <c r="AT154" s="90"/>
      <c r="AU154" s="90"/>
      <c r="AV154" s="93"/>
      <c r="AW154" s="93"/>
      <c r="AX154" s="90"/>
      <c r="AY154" s="90"/>
      <c r="AZ154" s="93"/>
      <c r="BA154" s="93"/>
      <c r="BB154" s="90"/>
      <c r="BC154" s="90"/>
      <c r="BD154" s="93"/>
      <c r="BE154" s="93"/>
      <c r="BF154" s="90"/>
      <c r="BG154" s="90"/>
      <c r="BH154" s="93"/>
      <c r="BI154" s="93"/>
      <c r="BJ154" s="91"/>
      <c r="BK154" s="91"/>
      <c r="BL154" s="91"/>
      <c r="BM154" s="91"/>
      <c r="BN154" s="91"/>
      <c r="BO154" s="91"/>
      <c r="BP154" s="91"/>
      <c r="BQ154" s="91"/>
      <c r="BR154" s="91"/>
    </row>
    <row r="155" spans="11:70">
      <c r="K155" s="88"/>
      <c r="L155" s="88"/>
      <c r="M155" s="88"/>
      <c r="N155" s="88"/>
      <c r="O155" s="88"/>
      <c r="P155" s="88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90"/>
      <c r="AI155" s="91"/>
      <c r="AJ155" s="92"/>
      <c r="AK155" s="91"/>
      <c r="AL155" s="92"/>
      <c r="AM155" s="91"/>
      <c r="AN155" s="91"/>
      <c r="AO155" s="90"/>
      <c r="AP155" s="90"/>
      <c r="AQ155" s="93"/>
      <c r="AR155" s="93"/>
      <c r="AS155" s="91"/>
      <c r="AT155" s="90"/>
      <c r="AU155" s="90"/>
      <c r="AV155" s="93"/>
      <c r="AW155" s="93"/>
      <c r="AX155" s="90"/>
      <c r="AY155" s="90"/>
      <c r="AZ155" s="93"/>
      <c r="BA155" s="93"/>
      <c r="BB155" s="90"/>
      <c r="BC155" s="90"/>
      <c r="BD155" s="93"/>
      <c r="BE155" s="93"/>
      <c r="BF155" s="90"/>
      <c r="BG155" s="90"/>
      <c r="BH155" s="93"/>
      <c r="BI155" s="93"/>
      <c r="BJ155" s="91"/>
      <c r="BK155" s="91"/>
      <c r="BL155" s="91"/>
      <c r="BM155" s="91"/>
      <c r="BN155" s="91"/>
      <c r="BO155" s="91"/>
      <c r="BP155" s="91"/>
      <c r="BQ155" s="91"/>
      <c r="BR155" s="91"/>
    </row>
    <row r="156" spans="11:70">
      <c r="K156" s="88"/>
      <c r="L156" s="88"/>
      <c r="M156" s="88"/>
      <c r="N156" s="88"/>
      <c r="O156" s="88"/>
      <c r="P156" s="88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90"/>
      <c r="AI156" s="91"/>
      <c r="AJ156" s="92"/>
      <c r="AK156" s="91"/>
      <c r="AL156" s="92"/>
      <c r="AM156" s="91"/>
      <c r="AN156" s="91"/>
      <c r="AO156" s="90"/>
      <c r="AP156" s="90"/>
      <c r="AQ156" s="93"/>
      <c r="AR156" s="93"/>
      <c r="AS156" s="91"/>
      <c r="AT156" s="90"/>
      <c r="AU156" s="90"/>
      <c r="AV156" s="93"/>
      <c r="AW156" s="93"/>
      <c r="AX156" s="90"/>
      <c r="AY156" s="90"/>
      <c r="AZ156" s="93"/>
      <c r="BA156" s="93"/>
      <c r="BB156" s="90"/>
      <c r="BC156" s="90"/>
      <c r="BD156" s="93"/>
      <c r="BE156" s="93"/>
      <c r="BF156" s="90"/>
      <c r="BG156" s="90"/>
      <c r="BH156" s="93"/>
      <c r="BI156" s="93"/>
      <c r="BJ156" s="91"/>
      <c r="BK156" s="91"/>
      <c r="BL156" s="91"/>
      <c r="BM156" s="91"/>
      <c r="BN156" s="91"/>
      <c r="BO156" s="91"/>
      <c r="BP156" s="91"/>
      <c r="BQ156" s="91"/>
      <c r="BR156" s="91"/>
    </row>
    <row r="157" spans="11:70">
      <c r="K157" s="88"/>
      <c r="L157" s="88"/>
      <c r="M157" s="88"/>
      <c r="N157" s="88"/>
      <c r="O157" s="88"/>
      <c r="P157" s="88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90"/>
      <c r="AI157" s="91"/>
      <c r="AJ157" s="92"/>
      <c r="AK157" s="91"/>
      <c r="AL157" s="92"/>
      <c r="AM157" s="91"/>
      <c r="AN157" s="91"/>
      <c r="AO157" s="90"/>
      <c r="AP157" s="90"/>
      <c r="AQ157" s="93"/>
      <c r="AR157" s="93"/>
      <c r="AS157" s="91"/>
      <c r="AT157" s="90"/>
      <c r="AU157" s="90"/>
      <c r="AV157" s="93"/>
      <c r="AW157" s="93"/>
      <c r="AX157" s="90"/>
      <c r="AY157" s="90"/>
      <c r="AZ157" s="93"/>
      <c r="BA157" s="93"/>
      <c r="BB157" s="90"/>
      <c r="BC157" s="90"/>
      <c r="BD157" s="93"/>
      <c r="BE157" s="93"/>
      <c r="BF157" s="90"/>
      <c r="BG157" s="90"/>
      <c r="BH157" s="93"/>
      <c r="BI157" s="93"/>
      <c r="BJ157" s="91"/>
      <c r="BK157" s="91"/>
      <c r="BL157" s="91"/>
      <c r="BM157" s="91"/>
      <c r="BN157" s="91"/>
      <c r="BO157" s="91"/>
      <c r="BP157" s="91"/>
      <c r="BQ157" s="91"/>
      <c r="BR157" s="91"/>
    </row>
    <row r="158" spans="11:70">
      <c r="K158" s="88"/>
      <c r="L158" s="88"/>
      <c r="M158" s="88"/>
      <c r="N158" s="88"/>
      <c r="O158" s="88"/>
      <c r="P158" s="88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90"/>
      <c r="AI158" s="91"/>
      <c r="AJ158" s="92"/>
      <c r="AK158" s="91"/>
      <c r="AL158" s="92"/>
      <c r="AM158" s="91"/>
      <c r="AN158" s="91"/>
      <c r="AO158" s="90"/>
      <c r="AP158" s="90"/>
      <c r="AQ158" s="93"/>
      <c r="AR158" s="93"/>
      <c r="AS158" s="91"/>
      <c r="AT158" s="90"/>
      <c r="AU158" s="90"/>
      <c r="AV158" s="93"/>
      <c r="AW158" s="93"/>
      <c r="AX158" s="90"/>
      <c r="AY158" s="90"/>
      <c r="AZ158" s="93"/>
      <c r="BA158" s="93"/>
      <c r="BB158" s="90"/>
      <c r="BC158" s="90"/>
      <c r="BD158" s="93"/>
      <c r="BE158" s="93"/>
      <c r="BF158" s="90"/>
      <c r="BG158" s="90"/>
      <c r="BH158" s="93"/>
      <c r="BI158" s="93"/>
      <c r="BJ158" s="91"/>
      <c r="BK158" s="91"/>
      <c r="BL158" s="91"/>
      <c r="BM158" s="91"/>
      <c r="BN158" s="91"/>
      <c r="BO158" s="91"/>
      <c r="BP158" s="91"/>
      <c r="BQ158" s="91"/>
      <c r="BR158" s="91"/>
    </row>
    <row r="159" spans="11:70">
      <c r="K159" s="88"/>
      <c r="L159" s="88"/>
      <c r="M159" s="88"/>
      <c r="N159" s="88"/>
      <c r="O159" s="88"/>
      <c r="P159" s="88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90"/>
      <c r="AI159" s="91"/>
      <c r="AJ159" s="92"/>
      <c r="AK159" s="91"/>
      <c r="AL159" s="92"/>
      <c r="AM159" s="91"/>
      <c r="AN159" s="91"/>
      <c r="AO159" s="90"/>
      <c r="AP159" s="90"/>
      <c r="AQ159" s="93"/>
      <c r="AR159" s="93"/>
      <c r="AS159" s="91"/>
      <c r="AT159" s="90"/>
      <c r="AU159" s="90"/>
      <c r="AV159" s="93"/>
      <c r="AW159" s="93"/>
      <c r="AX159" s="90"/>
      <c r="AY159" s="90"/>
      <c r="AZ159" s="93"/>
      <c r="BA159" s="93"/>
      <c r="BB159" s="90"/>
      <c r="BC159" s="90"/>
      <c r="BD159" s="93"/>
      <c r="BE159" s="93"/>
      <c r="BF159" s="90"/>
      <c r="BG159" s="90"/>
      <c r="BH159" s="93"/>
      <c r="BI159" s="93"/>
      <c r="BJ159" s="91"/>
      <c r="BK159" s="91"/>
      <c r="BL159" s="91"/>
      <c r="BM159" s="91"/>
      <c r="BN159" s="91"/>
      <c r="BO159" s="91"/>
      <c r="BP159" s="91"/>
      <c r="BQ159" s="91"/>
      <c r="BR159" s="91"/>
    </row>
    <row r="160" spans="11:70">
      <c r="K160" s="88"/>
      <c r="L160" s="88"/>
      <c r="M160" s="88"/>
      <c r="N160" s="88"/>
      <c r="O160" s="88"/>
      <c r="P160" s="88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90"/>
      <c r="AI160" s="91"/>
      <c r="AJ160" s="92"/>
      <c r="AK160" s="91"/>
      <c r="AL160" s="92"/>
      <c r="AM160" s="91"/>
      <c r="AN160" s="91"/>
      <c r="AO160" s="90"/>
      <c r="AP160" s="90"/>
      <c r="AQ160" s="93"/>
      <c r="AR160" s="93"/>
      <c r="AS160" s="91"/>
      <c r="AT160" s="90"/>
      <c r="AU160" s="90"/>
      <c r="AV160" s="93"/>
      <c r="AW160" s="93"/>
      <c r="AX160" s="90"/>
      <c r="AY160" s="90"/>
      <c r="AZ160" s="93"/>
      <c r="BA160" s="93"/>
      <c r="BB160" s="90"/>
      <c r="BC160" s="90"/>
      <c r="BD160" s="93"/>
      <c r="BE160" s="93"/>
      <c r="BF160" s="90"/>
      <c r="BG160" s="90"/>
      <c r="BH160" s="93"/>
      <c r="BI160" s="93"/>
      <c r="BJ160" s="91"/>
      <c r="BK160" s="91"/>
      <c r="BL160" s="91"/>
      <c r="BM160" s="91"/>
      <c r="BN160" s="91"/>
      <c r="BO160" s="91"/>
      <c r="BP160" s="91"/>
      <c r="BQ160" s="91"/>
      <c r="BR160" s="91"/>
    </row>
    <row r="161" spans="11:70">
      <c r="K161" s="88"/>
      <c r="L161" s="88"/>
      <c r="M161" s="88"/>
      <c r="N161" s="88"/>
      <c r="O161" s="88"/>
      <c r="P161" s="88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90"/>
      <c r="AI161" s="91"/>
      <c r="AJ161" s="92"/>
      <c r="AK161" s="91"/>
      <c r="AL161" s="92"/>
      <c r="AM161" s="91"/>
      <c r="AN161" s="91"/>
      <c r="AO161" s="90"/>
      <c r="AP161" s="90"/>
      <c r="AQ161" s="93"/>
      <c r="AR161" s="93"/>
      <c r="AS161" s="91"/>
      <c r="AT161" s="90"/>
      <c r="AU161" s="90"/>
      <c r="AV161" s="93"/>
      <c r="AW161" s="93"/>
      <c r="AX161" s="90"/>
      <c r="AY161" s="90"/>
      <c r="AZ161" s="93"/>
      <c r="BA161" s="93"/>
      <c r="BB161" s="90"/>
      <c r="BC161" s="90"/>
      <c r="BD161" s="93"/>
      <c r="BE161" s="93"/>
      <c r="BF161" s="90"/>
      <c r="BG161" s="90"/>
      <c r="BH161" s="93"/>
      <c r="BI161" s="93"/>
      <c r="BJ161" s="91"/>
      <c r="BK161" s="91"/>
      <c r="BL161" s="91"/>
      <c r="BM161" s="91"/>
      <c r="BN161" s="91"/>
      <c r="BO161" s="91"/>
      <c r="BP161" s="91"/>
      <c r="BQ161" s="91"/>
      <c r="BR161" s="91"/>
    </row>
    <row r="162" spans="11:70">
      <c r="K162" s="88"/>
      <c r="L162" s="88"/>
      <c r="M162" s="88"/>
      <c r="N162" s="88"/>
      <c r="O162" s="88"/>
      <c r="P162" s="88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90"/>
      <c r="AI162" s="91"/>
      <c r="AJ162" s="92"/>
      <c r="AK162" s="91"/>
      <c r="AL162" s="92"/>
      <c r="AM162" s="91"/>
      <c r="AN162" s="91"/>
      <c r="AO162" s="90"/>
      <c r="AP162" s="90"/>
      <c r="AQ162" s="93"/>
      <c r="AR162" s="93"/>
      <c r="AS162" s="91"/>
      <c r="AT162" s="90"/>
      <c r="AU162" s="90"/>
      <c r="AV162" s="93"/>
      <c r="AW162" s="93"/>
      <c r="AX162" s="90"/>
      <c r="AY162" s="90"/>
      <c r="AZ162" s="93"/>
      <c r="BA162" s="93"/>
      <c r="BB162" s="90"/>
      <c r="BC162" s="90"/>
      <c r="BD162" s="93"/>
      <c r="BE162" s="93"/>
      <c r="BF162" s="90"/>
      <c r="BG162" s="90"/>
      <c r="BH162" s="93"/>
      <c r="BI162" s="93"/>
      <c r="BJ162" s="91"/>
      <c r="BK162" s="91"/>
      <c r="BL162" s="91"/>
      <c r="BM162" s="91"/>
      <c r="BN162" s="91"/>
      <c r="BO162" s="91"/>
      <c r="BP162" s="91"/>
      <c r="BQ162" s="91"/>
      <c r="BR162" s="91"/>
    </row>
    <row r="163" spans="11:70">
      <c r="K163" s="88"/>
      <c r="L163" s="88"/>
      <c r="M163" s="88"/>
      <c r="N163" s="88"/>
      <c r="O163" s="88"/>
      <c r="P163" s="88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90"/>
      <c r="AI163" s="91"/>
      <c r="AJ163" s="92"/>
      <c r="AK163" s="91"/>
      <c r="AL163" s="92"/>
      <c r="AM163" s="91"/>
      <c r="AN163" s="91"/>
      <c r="AO163" s="90"/>
      <c r="AP163" s="90"/>
      <c r="AQ163" s="93"/>
      <c r="AR163" s="93"/>
      <c r="AS163" s="91"/>
      <c r="AT163" s="90"/>
      <c r="AU163" s="90"/>
      <c r="AV163" s="93"/>
      <c r="AW163" s="93"/>
      <c r="AX163" s="90"/>
      <c r="AY163" s="90"/>
      <c r="AZ163" s="93"/>
      <c r="BA163" s="93"/>
      <c r="BB163" s="90"/>
      <c r="BC163" s="90"/>
      <c r="BD163" s="93"/>
      <c r="BE163" s="93"/>
      <c r="BF163" s="90"/>
      <c r="BG163" s="90"/>
      <c r="BH163" s="93"/>
      <c r="BI163" s="93"/>
      <c r="BJ163" s="91"/>
      <c r="BK163" s="91"/>
      <c r="BL163" s="91"/>
      <c r="BM163" s="91"/>
      <c r="BN163" s="91"/>
      <c r="BO163" s="91"/>
      <c r="BP163" s="91"/>
      <c r="BQ163" s="91"/>
      <c r="BR163" s="91"/>
    </row>
    <row r="164" spans="11:70">
      <c r="K164" s="88"/>
      <c r="L164" s="88"/>
      <c r="M164" s="88"/>
      <c r="N164" s="88"/>
      <c r="O164" s="88"/>
      <c r="P164" s="88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90"/>
      <c r="AI164" s="91"/>
      <c r="AJ164" s="92"/>
      <c r="AK164" s="91"/>
      <c r="AL164" s="92"/>
      <c r="AM164" s="91"/>
      <c r="AN164" s="91"/>
      <c r="AO164" s="90"/>
      <c r="AP164" s="90"/>
      <c r="AQ164" s="93"/>
      <c r="AR164" s="93"/>
      <c r="AS164" s="91"/>
      <c r="AT164" s="90"/>
      <c r="AU164" s="90"/>
      <c r="AV164" s="93"/>
      <c r="AW164" s="93"/>
      <c r="AX164" s="90"/>
      <c r="AY164" s="90"/>
      <c r="AZ164" s="93"/>
      <c r="BA164" s="93"/>
      <c r="BB164" s="90"/>
      <c r="BC164" s="90"/>
      <c r="BD164" s="93"/>
      <c r="BE164" s="93"/>
      <c r="BF164" s="90"/>
      <c r="BG164" s="90"/>
      <c r="BH164" s="93"/>
      <c r="BI164" s="93"/>
      <c r="BJ164" s="91"/>
      <c r="BK164" s="91"/>
      <c r="BL164" s="91"/>
      <c r="BM164" s="91"/>
      <c r="BN164" s="91"/>
      <c r="BO164" s="91"/>
      <c r="BP164" s="91"/>
      <c r="BQ164" s="91"/>
      <c r="BR164" s="91"/>
    </row>
    <row r="165" spans="11:70">
      <c r="K165" s="88"/>
      <c r="L165" s="88"/>
      <c r="M165" s="88"/>
      <c r="N165" s="88"/>
      <c r="O165" s="88"/>
      <c r="P165" s="88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90"/>
      <c r="AI165" s="91"/>
      <c r="AJ165" s="92"/>
      <c r="AK165" s="91"/>
      <c r="AL165" s="92"/>
      <c r="AM165" s="91"/>
      <c r="AN165" s="91"/>
      <c r="AO165" s="90"/>
      <c r="AP165" s="90"/>
      <c r="AQ165" s="93"/>
      <c r="AR165" s="93"/>
      <c r="AS165" s="91"/>
      <c r="AT165" s="90"/>
      <c r="AU165" s="90"/>
      <c r="AV165" s="93"/>
      <c r="AW165" s="93"/>
      <c r="AX165" s="90"/>
      <c r="AY165" s="90"/>
      <c r="AZ165" s="93"/>
      <c r="BA165" s="93"/>
      <c r="BB165" s="90"/>
      <c r="BC165" s="90"/>
      <c r="BD165" s="93"/>
      <c r="BE165" s="93"/>
      <c r="BF165" s="90"/>
      <c r="BG165" s="90"/>
      <c r="BH165" s="93"/>
      <c r="BI165" s="93"/>
      <c r="BJ165" s="91"/>
      <c r="BK165" s="91"/>
      <c r="BL165" s="91"/>
      <c r="BM165" s="91"/>
      <c r="BN165" s="91"/>
      <c r="BO165" s="91"/>
      <c r="BP165" s="91"/>
      <c r="BQ165" s="91"/>
      <c r="BR165" s="91"/>
    </row>
    <row r="166" spans="11:70">
      <c r="K166" s="88"/>
      <c r="L166" s="88"/>
      <c r="M166" s="88"/>
      <c r="N166" s="88"/>
      <c r="O166" s="88"/>
      <c r="P166" s="88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90"/>
      <c r="AI166" s="91"/>
      <c r="AJ166" s="92"/>
      <c r="AK166" s="91"/>
      <c r="AL166" s="92"/>
      <c r="AM166" s="91"/>
      <c r="AN166" s="91"/>
      <c r="AO166" s="90"/>
      <c r="AP166" s="90"/>
      <c r="AQ166" s="93"/>
      <c r="AR166" s="93"/>
      <c r="AS166" s="91"/>
      <c r="AT166" s="90"/>
      <c r="AU166" s="90"/>
      <c r="AV166" s="93"/>
      <c r="AW166" s="93"/>
      <c r="AX166" s="90"/>
      <c r="AY166" s="90"/>
      <c r="AZ166" s="93"/>
      <c r="BA166" s="93"/>
      <c r="BB166" s="90"/>
      <c r="BC166" s="90"/>
      <c r="BD166" s="93"/>
      <c r="BE166" s="93"/>
      <c r="BF166" s="90"/>
      <c r="BG166" s="90"/>
      <c r="BH166" s="93"/>
      <c r="BI166" s="93"/>
      <c r="BJ166" s="91"/>
      <c r="BK166" s="91"/>
      <c r="BL166" s="91"/>
      <c r="BM166" s="91"/>
      <c r="BN166" s="91"/>
      <c r="BO166" s="91"/>
      <c r="BP166" s="91"/>
      <c r="BQ166" s="91"/>
      <c r="BR166" s="91"/>
    </row>
    <row r="167" spans="11:70">
      <c r="K167" s="88"/>
      <c r="L167" s="88"/>
      <c r="M167" s="88"/>
      <c r="N167" s="88"/>
      <c r="O167" s="88"/>
      <c r="P167" s="88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90"/>
      <c r="AI167" s="91"/>
      <c r="AJ167" s="92"/>
      <c r="AK167" s="91"/>
      <c r="AL167" s="92"/>
      <c r="AM167" s="91"/>
      <c r="AN167" s="91"/>
      <c r="AO167" s="90"/>
      <c r="AP167" s="90"/>
      <c r="AQ167" s="93"/>
      <c r="AR167" s="93"/>
      <c r="AS167" s="91"/>
      <c r="AT167" s="90"/>
      <c r="AU167" s="90"/>
      <c r="AV167" s="93"/>
      <c r="AW167" s="93"/>
      <c r="AX167" s="90"/>
      <c r="AY167" s="90"/>
      <c r="AZ167" s="93"/>
      <c r="BA167" s="93"/>
      <c r="BB167" s="90"/>
      <c r="BC167" s="90"/>
      <c r="BD167" s="93"/>
      <c r="BE167" s="93"/>
      <c r="BF167" s="90"/>
      <c r="BG167" s="90"/>
      <c r="BH167" s="93"/>
      <c r="BI167" s="93"/>
      <c r="BJ167" s="91"/>
      <c r="BK167" s="91"/>
      <c r="BL167" s="91"/>
      <c r="BM167" s="91"/>
      <c r="BN167" s="91"/>
      <c r="BO167" s="91"/>
      <c r="BP167" s="91"/>
      <c r="BQ167" s="91"/>
      <c r="BR167" s="91"/>
    </row>
    <row r="168" spans="11:70">
      <c r="K168" s="88"/>
      <c r="L168" s="88"/>
      <c r="M168" s="88"/>
      <c r="N168" s="88"/>
      <c r="O168" s="88"/>
      <c r="P168" s="88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90"/>
      <c r="AI168" s="91"/>
      <c r="AJ168" s="92"/>
      <c r="AK168" s="91"/>
      <c r="AL168" s="92"/>
      <c r="AM168" s="91"/>
      <c r="AN168" s="91"/>
      <c r="AO168" s="90"/>
      <c r="AP168" s="90"/>
      <c r="AQ168" s="93"/>
      <c r="AR168" s="93"/>
      <c r="AS168" s="91"/>
      <c r="AT168" s="90"/>
      <c r="AU168" s="90"/>
      <c r="AV168" s="93"/>
      <c r="AW168" s="93"/>
      <c r="AX168" s="90"/>
      <c r="AY168" s="90"/>
      <c r="AZ168" s="93"/>
      <c r="BA168" s="93"/>
      <c r="BB168" s="90"/>
      <c r="BC168" s="90"/>
      <c r="BD168" s="93"/>
      <c r="BE168" s="93"/>
      <c r="BF168" s="90"/>
      <c r="BG168" s="90"/>
      <c r="BH168" s="93"/>
      <c r="BI168" s="93"/>
      <c r="BJ168" s="91"/>
      <c r="BK168" s="91"/>
      <c r="BL168" s="91"/>
      <c r="BM168" s="91"/>
      <c r="BN168" s="91"/>
      <c r="BO168" s="91"/>
      <c r="BP168" s="91"/>
      <c r="BQ168" s="91"/>
      <c r="BR168" s="91"/>
    </row>
    <row r="169" spans="11:70">
      <c r="K169" s="88"/>
      <c r="L169" s="88"/>
      <c r="M169" s="88"/>
      <c r="N169" s="88"/>
      <c r="O169" s="88"/>
      <c r="P169" s="88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90"/>
      <c r="AI169" s="91"/>
      <c r="AJ169" s="92"/>
      <c r="AK169" s="91"/>
      <c r="AL169" s="92"/>
      <c r="AM169" s="91"/>
      <c r="AN169" s="91"/>
      <c r="AO169" s="90"/>
      <c r="AP169" s="90"/>
      <c r="AQ169" s="93"/>
      <c r="AR169" s="93"/>
      <c r="AS169" s="91"/>
      <c r="AT169" s="90"/>
      <c r="AU169" s="90"/>
      <c r="AV169" s="93"/>
      <c r="AW169" s="93"/>
      <c r="AX169" s="90"/>
      <c r="AY169" s="90"/>
      <c r="AZ169" s="93"/>
      <c r="BA169" s="93"/>
      <c r="BB169" s="90"/>
      <c r="BC169" s="90"/>
      <c r="BD169" s="93"/>
      <c r="BE169" s="93"/>
      <c r="BF169" s="90"/>
      <c r="BG169" s="90"/>
      <c r="BH169" s="93"/>
      <c r="BI169" s="93"/>
      <c r="BJ169" s="91"/>
      <c r="BK169" s="91"/>
      <c r="BL169" s="91"/>
      <c r="BM169" s="91"/>
      <c r="BN169" s="91"/>
      <c r="BO169" s="91"/>
      <c r="BP169" s="91"/>
      <c r="BQ169" s="91"/>
      <c r="BR169" s="91"/>
    </row>
    <row r="170" spans="11:70">
      <c r="K170" s="88"/>
      <c r="L170" s="88"/>
      <c r="M170" s="88"/>
      <c r="N170" s="88"/>
      <c r="O170" s="88"/>
      <c r="P170" s="88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90"/>
      <c r="AI170" s="91"/>
      <c r="AJ170" s="92"/>
      <c r="AK170" s="91"/>
      <c r="AL170" s="92"/>
      <c r="AM170" s="91"/>
      <c r="AN170" s="91"/>
      <c r="AO170" s="90"/>
      <c r="AP170" s="90"/>
      <c r="AQ170" s="93"/>
      <c r="AR170" s="93"/>
      <c r="AS170" s="91"/>
      <c r="AT170" s="90"/>
      <c r="AU170" s="90"/>
      <c r="AV170" s="93"/>
      <c r="AW170" s="93"/>
      <c r="AX170" s="90"/>
      <c r="AY170" s="90"/>
      <c r="AZ170" s="93"/>
      <c r="BA170" s="93"/>
      <c r="BB170" s="90"/>
      <c r="BC170" s="90"/>
      <c r="BD170" s="93"/>
      <c r="BE170" s="93"/>
      <c r="BF170" s="90"/>
      <c r="BG170" s="90"/>
      <c r="BH170" s="93"/>
      <c r="BI170" s="93"/>
      <c r="BJ170" s="91"/>
      <c r="BK170" s="91"/>
      <c r="BL170" s="91"/>
      <c r="BM170" s="91"/>
      <c r="BN170" s="91"/>
      <c r="BO170" s="91"/>
      <c r="BP170" s="91"/>
      <c r="BQ170" s="91"/>
      <c r="BR170" s="91"/>
    </row>
    <row r="171" spans="11:70">
      <c r="K171" s="88"/>
      <c r="L171" s="88"/>
      <c r="M171" s="88"/>
      <c r="N171" s="88"/>
      <c r="O171" s="88"/>
      <c r="P171" s="88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90"/>
      <c r="AI171" s="91"/>
      <c r="AJ171" s="92"/>
      <c r="AK171" s="91"/>
      <c r="AL171" s="92"/>
      <c r="AM171" s="91"/>
      <c r="AN171" s="91"/>
      <c r="AO171" s="90"/>
      <c r="AP171" s="90"/>
      <c r="AQ171" s="93"/>
      <c r="AR171" s="93"/>
      <c r="AS171" s="91"/>
      <c r="AT171" s="90"/>
      <c r="AU171" s="90"/>
      <c r="AV171" s="93"/>
      <c r="AW171" s="93"/>
      <c r="AX171" s="90"/>
      <c r="AY171" s="90"/>
      <c r="AZ171" s="93"/>
      <c r="BA171" s="93"/>
      <c r="BB171" s="90"/>
      <c r="BC171" s="90"/>
      <c r="BD171" s="93"/>
      <c r="BE171" s="93"/>
      <c r="BF171" s="90"/>
      <c r="BG171" s="90"/>
      <c r="BH171" s="93"/>
      <c r="BI171" s="93"/>
      <c r="BJ171" s="91"/>
      <c r="BK171" s="91"/>
      <c r="BL171" s="91"/>
      <c r="BM171" s="91"/>
      <c r="BN171" s="91"/>
      <c r="BO171" s="91"/>
      <c r="BP171" s="91"/>
      <c r="BQ171" s="91"/>
      <c r="BR171" s="91"/>
    </row>
    <row r="172" spans="11:70">
      <c r="K172" s="88"/>
      <c r="L172" s="88"/>
      <c r="M172" s="88"/>
      <c r="N172" s="88"/>
      <c r="O172" s="88"/>
      <c r="P172" s="88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90"/>
      <c r="AI172" s="91"/>
      <c r="AJ172" s="92"/>
      <c r="AK172" s="91"/>
      <c r="AL172" s="92"/>
      <c r="AM172" s="91"/>
      <c r="AN172" s="91"/>
      <c r="AO172" s="90"/>
      <c r="AP172" s="90"/>
      <c r="AQ172" s="93"/>
      <c r="AR172" s="93"/>
      <c r="AS172" s="91"/>
      <c r="AT172" s="90"/>
      <c r="AU172" s="90"/>
      <c r="AV172" s="93"/>
      <c r="AW172" s="93"/>
      <c r="AX172" s="90"/>
      <c r="AY172" s="90"/>
      <c r="AZ172" s="93"/>
      <c r="BA172" s="93"/>
      <c r="BB172" s="90"/>
      <c r="BC172" s="90"/>
      <c r="BD172" s="93"/>
      <c r="BE172" s="93"/>
      <c r="BF172" s="90"/>
      <c r="BG172" s="90"/>
      <c r="BH172" s="93"/>
      <c r="BI172" s="93"/>
      <c r="BJ172" s="91"/>
      <c r="BK172" s="91"/>
      <c r="BL172" s="91"/>
      <c r="BM172" s="91"/>
      <c r="BN172" s="91"/>
      <c r="BO172" s="91"/>
      <c r="BP172" s="91"/>
      <c r="BQ172" s="91"/>
      <c r="BR172" s="91"/>
    </row>
    <row r="173" spans="11:70">
      <c r="K173" s="88"/>
      <c r="L173" s="88"/>
      <c r="M173" s="88"/>
      <c r="N173" s="88"/>
      <c r="O173" s="88"/>
      <c r="P173" s="88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90"/>
      <c r="AI173" s="91"/>
      <c r="AJ173" s="92"/>
      <c r="AK173" s="91"/>
      <c r="AL173" s="92"/>
      <c r="AM173" s="91"/>
      <c r="AN173" s="91"/>
      <c r="AO173" s="90"/>
      <c r="AP173" s="90"/>
      <c r="AQ173" s="93"/>
      <c r="AR173" s="93"/>
      <c r="AS173" s="91"/>
      <c r="AT173" s="90"/>
      <c r="AU173" s="90"/>
      <c r="AV173" s="93"/>
      <c r="AW173" s="93"/>
      <c r="AX173" s="90"/>
      <c r="AY173" s="90"/>
      <c r="AZ173" s="93"/>
      <c r="BA173" s="93"/>
      <c r="BB173" s="90"/>
      <c r="BC173" s="90"/>
      <c r="BD173" s="93"/>
      <c r="BE173" s="93"/>
      <c r="BF173" s="90"/>
      <c r="BG173" s="90"/>
      <c r="BH173" s="93"/>
      <c r="BI173" s="93"/>
      <c r="BJ173" s="91"/>
      <c r="BK173" s="91"/>
      <c r="BL173" s="91"/>
      <c r="BM173" s="91"/>
      <c r="BN173" s="91"/>
      <c r="BO173" s="91"/>
      <c r="BP173" s="91"/>
      <c r="BQ173" s="91"/>
      <c r="BR173" s="91"/>
    </row>
    <row r="174" spans="11:70">
      <c r="K174" s="88"/>
      <c r="L174" s="88"/>
      <c r="M174" s="88"/>
      <c r="N174" s="88"/>
      <c r="O174" s="88"/>
      <c r="P174" s="88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90"/>
      <c r="AI174" s="91"/>
      <c r="AJ174" s="92"/>
      <c r="AK174" s="91"/>
      <c r="AL174" s="92"/>
      <c r="AM174" s="91"/>
      <c r="AN174" s="91"/>
      <c r="AO174" s="90"/>
      <c r="AP174" s="90"/>
      <c r="AQ174" s="93"/>
      <c r="AR174" s="93"/>
      <c r="AS174" s="91"/>
      <c r="AT174" s="90"/>
      <c r="AU174" s="90"/>
      <c r="AV174" s="93"/>
      <c r="AW174" s="93"/>
      <c r="AX174" s="90"/>
      <c r="AY174" s="90"/>
      <c r="AZ174" s="93"/>
      <c r="BA174" s="93"/>
      <c r="BB174" s="90"/>
      <c r="BC174" s="90"/>
      <c r="BD174" s="93"/>
      <c r="BE174" s="93"/>
      <c r="BF174" s="90"/>
      <c r="BG174" s="90"/>
      <c r="BH174" s="93"/>
      <c r="BI174" s="93"/>
      <c r="BJ174" s="91"/>
      <c r="BK174" s="91"/>
      <c r="BL174" s="91"/>
      <c r="BM174" s="91"/>
      <c r="BN174" s="91"/>
      <c r="BO174" s="91"/>
      <c r="BP174" s="91"/>
      <c r="BQ174" s="91"/>
      <c r="BR174" s="91"/>
    </row>
    <row r="175" spans="11:70">
      <c r="K175" s="88"/>
      <c r="L175" s="88"/>
      <c r="M175" s="88"/>
      <c r="N175" s="88"/>
      <c r="O175" s="88"/>
      <c r="P175" s="88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90"/>
      <c r="AI175" s="91"/>
      <c r="AJ175" s="92"/>
      <c r="AK175" s="91"/>
      <c r="AL175" s="92"/>
      <c r="AM175" s="91"/>
      <c r="AN175" s="91"/>
      <c r="AO175" s="90"/>
      <c r="AP175" s="90"/>
      <c r="AQ175" s="93"/>
      <c r="AR175" s="93"/>
      <c r="AS175" s="91"/>
      <c r="AT175" s="90"/>
      <c r="AU175" s="90"/>
      <c r="AV175" s="93"/>
      <c r="AW175" s="93"/>
      <c r="AX175" s="90"/>
      <c r="AY175" s="90"/>
      <c r="AZ175" s="93"/>
      <c r="BA175" s="93"/>
      <c r="BB175" s="90"/>
      <c r="BC175" s="90"/>
      <c r="BD175" s="93"/>
      <c r="BE175" s="93"/>
      <c r="BF175" s="90"/>
      <c r="BG175" s="90"/>
      <c r="BH175" s="93"/>
      <c r="BI175" s="93"/>
      <c r="BJ175" s="91"/>
      <c r="BK175" s="91"/>
      <c r="BL175" s="91"/>
      <c r="BM175" s="91"/>
      <c r="BN175" s="91"/>
      <c r="BO175" s="91"/>
      <c r="BP175" s="91"/>
      <c r="BQ175" s="91"/>
      <c r="BR175" s="91"/>
    </row>
    <row r="176" spans="11:70">
      <c r="K176" s="88"/>
      <c r="L176" s="88"/>
      <c r="M176" s="88"/>
      <c r="N176" s="88"/>
      <c r="O176" s="88"/>
      <c r="P176" s="88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90"/>
      <c r="AI176" s="91"/>
      <c r="AJ176" s="92"/>
      <c r="AK176" s="91"/>
      <c r="AL176" s="92"/>
      <c r="AM176" s="91"/>
      <c r="AN176" s="91"/>
      <c r="AO176" s="90"/>
      <c r="AP176" s="90"/>
      <c r="AQ176" s="93"/>
      <c r="AR176" s="93"/>
      <c r="AS176" s="91"/>
      <c r="AT176" s="90"/>
      <c r="AU176" s="90"/>
      <c r="AV176" s="93"/>
      <c r="AW176" s="93"/>
      <c r="AX176" s="90"/>
      <c r="AY176" s="90"/>
      <c r="AZ176" s="93"/>
      <c r="BA176" s="93"/>
      <c r="BB176" s="90"/>
      <c r="BC176" s="90"/>
      <c r="BD176" s="93"/>
      <c r="BE176" s="93"/>
      <c r="BF176" s="90"/>
      <c r="BG176" s="90"/>
      <c r="BH176" s="93"/>
      <c r="BI176" s="93"/>
      <c r="BJ176" s="91"/>
      <c r="BK176" s="91"/>
      <c r="BL176" s="91"/>
      <c r="BM176" s="91"/>
      <c r="BN176" s="91"/>
      <c r="BO176" s="91"/>
      <c r="BP176" s="91"/>
      <c r="BQ176" s="91"/>
      <c r="BR176" s="91"/>
    </row>
    <row r="177" spans="11:70">
      <c r="K177" s="88"/>
      <c r="L177" s="88"/>
      <c r="M177" s="88"/>
      <c r="N177" s="88"/>
      <c r="O177" s="88"/>
      <c r="P177" s="88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90"/>
      <c r="AI177" s="91"/>
      <c r="AJ177" s="92"/>
      <c r="AK177" s="91"/>
      <c r="AL177" s="92"/>
      <c r="AM177" s="91"/>
      <c r="AN177" s="91"/>
      <c r="AO177" s="90"/>
      <c r="AP177" s="90"/>
      <c r="AQ177" s="93"/>
      <c r="AR177" s="93"/>
      <c r="AS177" s="91"/>
      <c r="AT177" s="90"/>
      <c r="AU177" s="90"/>
      <c r="AV177" s="93"/>
      <c r="AW177" s="93"/>
      <c r="AX177" s="90"/>
      <c r="AY177" s="90"/>
      <c r="AZ177" s="93"/>
      <c r="BA177" s="93"/>
      <c r="BB177" s="90"/>
      <c r="BC177" s="90"/>
      <c r="BD177" s="93"/>
      <c r="BE177" s="93"/>
      <c r="BF177" s="90"/>
      <c r="BG177" s="90"/>
      <c r="BH177" s="93"/>
      <c r="BI177" s="93"/>
      <c r="BJ177" s="91"/>
      <c r="BK177" s="91"/>
      <c r="BL177" s="91"/>
      <c r="BM177" s="91"/>
      <c r="BN177" s="91"/>
      <c r="BO177" s="91"/>
      <c r="BP177" s="91"/>
      <c r="BQ177" s="91"/>
      <c r="BR177" s="91"/>
    </row>
    <row r="178" spans="11:70">
      <c r="K178" s="88"/>
      <c r="L178" s="88"/>
      <c r="M178" s="88"/>
      <c r="N178" s="88"/>
      <c r="O178" s="88"/>
      <c r="P178" s="88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90"/>
      <c r="AI178" s="91"/>
      <c r="AJ178" s="92"/>
      <c r="AK178" s="91"/>
      <c r="AL178" s="92"/>
      <c r="AM178" s="91"/>
      <c r="AN178" s="91"/>
      <c r="AO178" s="90"/>
      <c r="AP178" s="90"/>
      <c r="AQ178" s="93"/>
      <c r="AR178" s="93"/>
      <c r="AS178" s="91"/>
      <c r="AT178" s="90"/>
      <c r="AU178" s="90"/>
      <c r="AV178" s="93"/>
      <c r="AW178" s="93"/>
      <c r="AX178" s="90"/>
      <c r="AY178" s="90"/>
      <c r="AZ178" s="93"/>
      <c r="BA178" s="93"/>
      <c r="BB178" s="90"/>
      <c r="BC178" s="90"/>
      <c r="BD178" s="93"/>
      <c r="BE178" s="93"/>
      <c r="BF178" s="90"/>
      <c r="BG178" s="90"/>
      <c r="BH178" s="93"/>
      <c r="BI178" s="93"/>
      <c r="BJ178" s="91"/>
      <c r="BK178" s="91"/>
      <c r="BL178" s="91"/>
      <c r="BM178" s="91"/>
      <c r="BN178" s="91"/>
      <c r="BO178" s="91"/>
      <c r="BP178" s="91"/>
      <c r="BQ178" s="91"/>
      <c r="BR178" s="91"/>
    </row>
    <row r="179" spans="11:70">
      <c r="K179" s="88"/>
      <c r="L179" s="88"/>
      <c r="M179" s="88"/>
      <c r="N179" s="88"/>
      <c r="O179" s="88"/>
      <c r="P179" s="88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90"/>
      <c r="AI179" s="91"/>
      <c r="AJ179" s="92"/>
      <c r="AK179" s="91"/>
      <c r="AL179" s="92"/>
      <c r="AM179" s="91"/>
      <c r="AN179" s="91"/>
      <c r="AO179" s="90"/>
      <c r="AP179" s="90"/>
      <c r="AQ179" s="93"/>
      <c r="AR179" s="93"/>
      <c r="AS179" s="91"/>
      <c r="AT179" s="90"/>
      <c r="AU179" s="90"/>
      <c r="AV179" s="93"/>
      <c r="AW179" s="93"/>
      <c r="AX179" s="90"/>
      <c r="AY179" s="90"/>
      <c r="AZ179" s="93"/>
      <c r="BA179" s="93"/>
      <c r="BB179" s="90"/>
      <c r="BC179" s="90"/>
      <c r="BD179" s="93"/>
      <c r="BE179" s="93"/>
      <c r="BF179" s="90"/>
      <c r="BG179" s="90"/>
      <c r="BH179" s="93"/>
      <c r="BI179" s="93"/>
      <c r="BJ179" s="91"/>
      <c r="BK179" s="91"/>
      <c r="BL179" s="91"/>
      <c r="BM179" s="91"/>
      <c r="BN179" s="91"/>
      <c r="BO179" s="91"/>
      <c r="BP179" s="91"/>
      <c r="BQ179" s="91"/>
      <c r="BR179" s="91"/>
    </row>
    <row r="180" spans="11:70">
      <c r="K180" s="88"/>
      <c r="L180" s="88"/>
      <c r="M180" s="88"/>
      <c r="N180" s="88"/>
      <c r="O180" s="88"/>
      <c r="P180" s="88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90"/>
      <c r="AI180" s="91"/>
      <c r="AJ180" s="92"/>
      <c r="AK180" s="91"/>
      <c r="AL180" s="92"/>
      <c r="AM180" s="91"/>
      <c r="AN180" s="91"/>
      <c r="AO180" s="90"/>
      <c r="AP180" s="90"/>
      <c r="AQ180" s="93"/>
      <c r="AR180" s="93"/>
      <c r="AS180" s="91"/>
      <c r="AT180" s="90"/>
      <c r="AU180" s="90"/>
      <c r="AV180" s="93"/>
      <c r="AW180" s="93"/>
      <c r="AX180" s="90"/>
      <c r="AY180" s="90"/>
      <c r="AZ180" s="93"/>
      <c r="BA180" s="93"/>
      <c r="BB180" s="90"/>
      <c r="BC180" s="90"/>
      <c r="BD180" s="93"/>
      <c r="BE180" s="93"/>
      <c r="BF180" s="90"/>
      <c r="BG180" s="90"/>
      <c r="BH180" s="93"/>
      <c r="BI180" s="93"/>
      <c r="BJ180" s="91"/>
      <c r="BK180" s="91"/>
      <c r="BL180" s="91"/>
      <c r="BM180" s="91"/>
      <c r="BN180" s="91"/>
      <c r="BO180" s="91"/>
      <c r="BP180" s="91"/>
      <c r="BQ180" s="91"/>
      <c r="BR180" s="91"/>
    </row>
    <row r="181" spans="11:70">
      <c r="K181" s="88"/>
      <c r="L181" s="88"/>
      <c r="M181" s="88"/>
      <c r="N181" s="88"/>
      <c r="O181" s="88"/>
      <c r="P181" s="88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90"/>
      <c r="AI181" s="91"/>
      <c r="AJ181" s="92"/>
      <c r="AK181" s="91"/>
      <c r="AL181" s="92"/>
      <c r="AM181" s="91"/>
      <c r="AN181" s="91"/>
      <c r="AO181" s="90"/>
      <c r="AP181" s="90"/>
      <c r="AQ181" s="93"/>
      <c r="AR181" s="93"/>
      <c r="AS181" s="91"/>
      <c r="AT181" s="90"/>
      <c r="AU181" s="90"/>
      <c r="AV181" s="93"/>
      <c r="AW181" s="93"/>
      <c r="AX181" s="90"/>
      <c r="AY181" s="90"/>
      <c r="AZ181" s="93"/>
      <c r="BA181" s="93"/>
      <c r="BB181" s="90"/>
      <c r="BC181" s="90"/>
      <c r="BD181" s="93"/>
      <c r="BE181" s="93"/>
      <c r="BF181" s="90"/>
      <c r="BG181" s="90"/>
      <c r="BH181" s="93"/>
      <c r="BI181" s="93"/>
      <c r="BJ181" s="91"/>
      <c r="BK181" s="91"/>
      <c r="BL181" s="91"/>
      <c r="BM181" s="91"/>
      <c r="BN181" s="91"/>
      <c r="BO181" s="91"/>
      <c r="BP181" s="91"/>
      <c r="BQ181" s="91"/>
      <c r="BR181" s="91"/>
    </row>
    <row r="182" spans="11:70">
      <c r="K182" s="88"/>
      <c r="L182" s="88"/>
      <c r="M182" s="88"/>
      <c r="N182" s="88"/>
      <c r="O182" s="88"/>
      <c r="P182" s="88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90"/>
      <c r="AI182" s="91"/>
      <c r="AJ182" s="92"/>
      <c r="AK182" s="91"/>
      <c r="AL182" s="92"/>
      <c r="AM182" s="91"/>
      <c r="AN182" s="91"/>
      <c r="AO182" s="90"/>
      <c r="AP182" s="90"/>
      <c r="AQ182" s="93"/>
      <c r="AR182" s="93"/>
      <c r="AS182" s="91"/>
      <c r="AT182" s="90"/>
      <c r="AU182" s="90"/>
      <c r="AV182" s="93"/>
      <c r="AW182" s="93"/>
      <c r="AX182" s="90"/>
      <c r="AY182" s="90"/>
      <c r="AZ182" s="93"/>
      <c r="BA182" s="93"/>
      <c r="BB182" s="90"/>
      <c r="BC182" s="90"/>
      <c r="BD182" s="93"/>
      <c r="BE182" s="93"/>
      <c r="BF182" s="90"/>
      <c r="BG182" s="90"/>
      <c r="BH182" s="93"/>
      <c r="BI182" s="93"/>
      <c r="BJ182" s="91"/>
      <c r="BK182" s="91"/>
      <c r="BL182" s="91"/>
      <c r="BM182" s="91"/>
      <c r="BN182" s="91"/>
      <c r="BO182" s="91"/>
      <c r="BP182" s="91"/>
      <c r="BQ182" s="91"/>
      <c r="BR182" s="91"/>
    </row>
    <row r="183" spans="11:70">
      <c r="K183" s="88"/>
      <c r="L183" s="88"/>
      <c r="M183" s="88"/>
      <c r="N183" s="88"/>
      <c r="O183" s="88"/>
      <c r="P183" s="88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90"/>
      <c r="AI183" s="91"/>
      <c r="AJ183" s="92"/>
      <c r="AK183" s="91"/>
      <c r="AL183" s="92"/>
      <c r="AM183" s="91"/>
      <c r="AN183" s="91"/>
      <c r="AO183" s="90"/>
      <c r="AP183" s="90"/>
      <c r="AQ183" s="93"/>
      <c r="AR183" s="93"/>
      <c r="AS183" s="91"/>
      <c r="AT183" s="90"/>
      <c r="AU183" s="90"/>
      <c r="AV183" s="93"/>
      <c r="AW183" s="93"/>
      <c r="AX183" s="90"/>
      <c r="AY183" s="90"/>
      <c r="AZ183" s="93"/>
      <c r="BA183" s="93"/>
      <c r="BB183" s="90"/>
      <c r="BC183" s="90"/>
      <c r="BD183" s="93"/>
      <c r="BE183" s="93"/>
      <c r="BF183" s="90"/>
      <c r="BG183" s="90"/>
      <c r="BH183" s="93"/>
      <c r="BI183" s="93"/>
      <c r="BJ183" s="91"/>
      <c r="BK183" s="91"/>
      <c r="BL183" s="91"/>
      <c r="BM183" s="91"/>
      <c r="BN183" s="91"/>
      <c r="BO183" s="91"/>
      <c r="BP183" s="91"/>
      <c r="BQ183" s="91"/>
      <c r="BR183" s="91"/>
    </row>
    <row r="184" spans="11:70">
      <c r="K184" s="88"/>
      <c r="L184" s="88"/>
      <c r="M184" s="88"/>
      <c r="N184" s="88"/>
      <c r="O184" s="88"/>
      <c r="P184" s="88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90"/>
      <c r="AI184" s="91"/>
      <c r="AJ184" s="92"/>
      <c r="AK184" s="91"/>
      <c r="AL184" s="92"/>
      <c r="AM184" s="91"/>
      <c r="AN184" s="91"/>
      <c r="AO184" s="90"/>
      <c r="AP184" s="90"/>
      <c r="AQ184" s="93"/>
      <c r="AR184" s="93"/>
      <c r="AS184" s="91"/>
      <c r="AT184" s="90"/>
      <c r="AU184" s="90"/>
      <c r="AV184" s="93"/>
      <c r="AW184" s="93"/>
      <c r="AX184" s="90"/>
      <c r="AY184" s="90"/>
      <c r="AZ184" s="93"/>
      <c r="BA184" s="93"/>
      <c r="BB184" s="90"/>
      <c r="BC184" s="90"/>
      <c r="BD184" s="93"/>
      <c r="BE184" s="93"/>
      <c r="BF184" s="90"/>
      <c r="BG184" s="90"/>
      <c r="BH184" s="93"/>
      <c r="BI184" s="93"/>
      <c r="BJ184" s="91"/>
      <c r="BK184" s="91"/>
      <c r="BL184" s="91"/>
      <c r="BM184" s="91"/>
      <c r="BN184" s="91"/>
      <c r="BO184" s="91"/>
      <c r="BP184" s="91"/>
      <c r="BQ184" s="91"/>
      <c r="BR184" s="91"/>
    </row>
    <row r="185" spans="11:70">
      <c r="K185" s="88"/>
      <c r="L185" s="88"/>
      <c r="M185" s="88"/>
      <c r="N185" s="88"/>
      <c r="O185" s="88"/>
      <c r="P185" s="88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90"/>
      <c r="AI185" s="91"/>
      <c r="AJ185" s="92"/>
      <c r="AK185" s="91"/>
      <c r="AL185" s="92"/>
      <c r="AM185" s="91"/>
      <c r="AN185" s="91"/>
      <c r="AO185" s="90"/>
      <c r="AP185" s="90"/>
      <c r="AQ185" s="93"/>
      <c r="AR185" s="93"/>
      <c r="AS185" s="91"/>
      <c r="AT185" s="90"/>
      <c r="AU185" s="90"/>
      <c r="AV185" s="93"/>
      <c r="AW185" s="93"/>
      <c r="AX185" s="90"/>
      <c r="AY185" s="90"/>
      <c r="AZ185" s="93"/>
      <c r="BA185" s="93"/>
      <c r="BB185" s="90"/>
      <c r="BC185" s="90"/>
      <c r="BD185" s="93"/>
      <c r="BE185" s="93"/>
      <c r="BF185" s="90"/>
      <c r="BG185" s="90"/>
      <c r="BH185" s="93"/>
      <c r="BI185" s="93"/>
      <c r="BJ185" s="91"/>
      <c r="BK185" s="91"/>
      <c r="BL185" s="91"/>
      <c r="BM185" s="91"/>
      <c r="BN185" s="91"/>
      <c r="BO185" s="91"/>
      <c r="BP185" s="91"/>
      <c r="BQ185" s="91"/>
      <c r="BR185" s="91"/>
    </row>
    <row r="186" spans="11:70">
      <c r="K186" s="88"/>
      <c r="L186" s="88"/>
      <c r="M186" s="88"/>
      <c r="N186" s="88"/>
      <c r="O186" s="88"/>
      <c r="P186" s="88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90"/>
      <c r="AI186" s="91"/>
      <c r="AJ186" s="92"/>
      <c r="AK186" s="91"/>
      <c r="AL186" s="92"/>
      <c r="AM186" s="91"/>
      <c r="AN186" s="91"/>
      <c r="AO186" s="90"/>
      <c r="AP186" s="90"/>
      <c r="AQ186" s="93"/>
      <c r="AR186" s="93"/>
      <c r="AS186" s="91"/>
      <c r="AT186" s="90"/>
      <c r="AU186" s="90"/>
      <c r="AV186" s="93"/>
      <c r="AW186" s="93"/>
      <c r="AX186" s="90"/>
      <c r="AY186" s="90"/>
      <c r="AZ186" s="93"/>
      <c r="BA186" s="93"/>
      <c r="BB186" s="90"/>
      <c r="BC186" s="90"/>
      <c r="BD186" s="93"/>
      <c r="BE186" s="93"/>
      <c r="BF186" s="90"/>
      <c r="BG186" s="90"/>
      <c r="BH186" s="93"/>
      <c r="BI186" s="93"/>
      <c r="BJ186" s="91"/>
      <c r="BK186" s="91"/>
      <c r="BL186" s="91"/>
      <c r="BM186" s="91"/>
      <c r="BN186" s="91"/>
      <c r="BO186" s="91"/>
      <c r="BP186" s="91"/>
      <c r="BQ186" s="91"/>
      <c r="BR186" s="91"/>
    </row>
    <row r="187" spans="11:70">
      <c r="K187" s="88"/>
      <c r="L187" s="88"/>
      <c r="M187" s="88"/>
      <c r="N187" s="88"/>
      <c r="O187" s="88"/>
      <c r="P187" s="88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90"/>
      <c r="AI187" s="91"/>
      <c r="AJ187" s="92"/>
      <c r="AK187" s="91"/>
      <c r="AL187" s="92"/>
      <c r="AM187" s="91"/>
      <c r="AN187" s="91"/>
      <c r="AO187" s="90"/>
      <c r="AP187" s="90"/>
      <c r="AQ187" s="93"/>
      <c r="AR187" s="93"/>
      <c r="AS187" s="91"/>
      <c r="AT187" s="90"/>
      <c r="AU187" s="90"/>
      <c r="AV187" s="93"/>
      <c r="AW187" s="93"/>
      <c r="AX187" s="90"/>
      <c r="AY187" s="90"/>
      <c r="AZ187" s="93"/>
      <c r="BA187" s="93"/>
      <c r="BB187" s="90"/>
      <c r="BC187" s="90"/>
      <c r="BD187" s="93"/>
      <c r="BE187" s="93"/>
      <c r="BF187" s="90"/>
      <c r="BG187" s="90"/>
      <c r="BH187" s="93"/>
      <c r="BI187" s="93"/>
      <c r="BJ187" s="91"/>
      <c r="BK187" s="91"/>
      <c r="BL187" s="91"/>
      <c r="BM187" s="91"/>
      <c r="BN187" s="91"/>
      <c r="BO187" s="91"/>
      <c r="BP187" s="91"/>
      <c r="BQ187" s="91"/>
      <c r="BR187" s="91"/>
    </row>
    <row r="188" spans="11:70">
      <c r="K188" s="88"/>
      <c r="L188" s="88"/>
      <c r="M188" s="88"/>
      <c r="N188" s="88"/>
      <c r="O188" s="88"/>
      <c r="P188" s="88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90"/>
      <c r="AI188" s="91"/>
      <c r="AJ188" s="92"/>
      <c r="AK188" s="91"/>
      <c r="AL188" s="92"/>
      <c r="AM188" s="91"/>
      <c r="AN188" s="91"/>
      <c r="AO188" s="90"/>
      <c r="AP188" s="90"/>
      <c r="AQ188" s="93"/>
      <c r="AR188" s="93"/>
      <c r="AS188" s="91"/>
      <c r="AT188" s="90"/>
      <c r="AU188" s="90"/>
      <c r="AV188" s="93"/>
      <c r="AW188" s="93"/>
      <c r="AX188" s="90"/>
      <c r="AY188" s="90"/>
      <c r="AZ188" s="93"/>
      <c r="BA188" s="93"/>
      <c r="BB188" s="90"/>
      <c r="BC188" s="90"/>
      <c r="BD188" s="93"/>
      <c r="BE188" s="93"/>
      <c r="BF188" s="90"/>
      <c r="BG188" s="90"/>
      <c r="BH188" s="93"/>
      <c r="BI188" s="93"/>
      <c r="BJ188" s="91"/>
      <c r="BK188" s="91"/>
      <c r="BL188" s="91"/>
      <c r="BM188" s="91"/>
      <c r="BN188" s="91"/>
      <c r="BO188" s="91"/>
      <c r="BP188" s="91"/>
      <c r="BQ188" s="91"/>
      <c r="BR188" s="91"/>
    </row>
    <row r="189" spans="11:70">
      <c r="K189" s="88"/>
      <c r="L189" s="88"/>
      <c r="M189" s="88"/>
      <c r="N189" s="88"/>
      <c r="O189" s="88"/>
      <c r="P189" s="88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90"/>
      <c r="AI189" s="91"/>
      <c r="AJ189" s="92"/>
      <c r="AK189" s="91"/>
      <c r="AL189" s="92"/>
      <c r="AM189" s="91"/>
      <c r="AN189" s="91"/>
      <c r="AO189" s="90"/>
      <c r="AP189" s="90"/>
      <c r="AQ189" s="93"/>
      <c r="AR189" s="93"/>
      <c r="AS189" s="91"/>
      <c r="AT189" s="90"/>
      <c r="AU189" s="90"/>
      <c r="AV189" s="93"/>
      <c r="AW189" s="93"/>
      <c r="AX189" s="90"/>
      <c r="AY189" s="90"/>
      <c r="AZ189" s="93"/>
      <c r="BA189" s="93"/>
      <c r="BB189" s="90"/>
      <c r="BC189" s="90"/>
      <c r="BD189" s="93"/>
      <c r="BE189" s="93"/>
      <c r="BF189" s="90"/>
      <c r="BG189" s="90"/>
      <c r="BH189" s="93"/>
      <c r="BI189" s="93"/>
      <c r="BJ189" s="91"/>
      <c r="BK189" s="91"/>
      <c r="BL189" s="91"/>
      <c r="BM189" s="91"/>
      <c r="BN189" s="91"/>
      <c r="BO189" s="91"/>
      <c r="BP189" s="91"/>
      <c r="BQ189" s="91"/>
      <c r="BR189" s="91"/>
    </row>
    <row r="190" spans="11:70">
      <c r="K190" s="88"/>
      <c r="L190" s="88"/>
      <c r="M190" s="88"/>
      <c r="N190" s="88"/>
      <c r="O190" s="88"/>
      <c r="P190" s="88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90"/>
      <c r="AI190" s="91"/>
      <c r="AJ190" s="92"/>
      <c r="AK190" s="91"/>
      <c r="AL190" s="92"/>
      <c r="AM190" s="91"/>
      <c r="AN190" s="91"/>
      <c r="AO190" s="90"/>
      <c r="AP190" s="90"/>
      <c r="AQ190" s="93"/>
      <c r="AR190" s="93"/>
      <c r="AS190" s="91"/>
      <c r="AT190" s="90"/>
      <c r="AU190" s="90"/>
      <c r="AV190" s="93"/>
      <c r="AW190" s="93"/>
      <c r="AX190" s="90"/>
      <c r="AY190" s="90"/>
      <c r="AZ190" s="93"/>
      <c r="BA190" s="93"/>
      <c r="BB190" s="90"/>
      <c r="BC190" s="90"/>
      <c r="BD190" s="93"/>
      <c r="BE190" s="93"/>
      <c r="BF190" s="90"/>
      <c r="BG190" s="90"/>
      <c r="BH190" s="93"/>
      <c r="BI190" s="93"/>
      <c r="BJ190" s="91"/>
      <c r="BK190" s="91"/>
      <c r="BL190" s="91"/>
      <c r="BM190" s="91"/>
      <c r="BN190" s="91"/>
      <c r="BO190" s="91"/>
      <c r="BP190" s="91"/>
      <c r="BQ190" s="91"/>
      <c r="BR190" s="91"/>
    </row>
    <row r="191" spans="11:70">
      <c r="K191" s="88"/>
      <c r="L191" s="88"/>
      <c r="M191" s="88"/>
      <c r="N191" s="88"/>
      <c r="O191" s="88"/>
      <c r="P191" s="88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90"/>
      <c r="AI191" s="91"/>
      <c r="AJ191" s="92"/>
      <c r="AK191" s="91"/>
      <c r="AL191" s="92"/>
      <c r="AM191" s="91"/>
      <c r="AN191" s="91"/>
      <c r="AO191" s="90"/>
      <c r="AP191" s="90"/>
      <c r="AQ191" s="93"/>
      <c r="AR191" s="93"/>
      <c r="AS191" s="91"/>
      <c r="AT191" s="90"/>
      <c r="AU191" s="90"/>
      <c r="AV191" s="93"/>
      <c r="AW191" s="93"/>
      <c r="AX191" s="90"/>
      <c r="AY191" s="90"/>
      <c r="AZ191" s="93"/>
      <c r="BA191" s="93"/>
      <c r="BB191" s="90"/>
      <c r="BC191" s="90"/>
      <c r="BD191" s="93"/>
      <c r="BE191" s="93"/>
      <c r="BF191" s="90"/>
      <c r="BG191" s="90"/>
      <c r="BH191" s="93"/>
      <c r="BI191" s="93"/>
      <c r="BJ191" s="91"/>
      <c r="BK191" s="91"/>
      <c r="BL191" s="91"/>
      <c r="BM191" s="91"/>
      <c r="BN191" s="91"/>
      <c r="BO191" s="91"/>
      <c r="BP191" s="91"/>
      <c r="BQ191" s="91"/>
      <c r="BR191" s="91"/>
    </row>
    <row r="192" spans="11:70">
      <c r="K192" s="88"/>
      <c r="L192" s="88"/>
      <c r="M192" s="88"/>
      <c r="N192" s="88"/>
      <c r="O192" s="88"/>
      <c r="P192" s="88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90"/>
      <c r="AI192" s="91"/>
      <c r="AJ192" s="92"/>
      <c r="AK192" s="91"/>
      <c r="AL192" s="92"/>
      <c r="AM192" s="91"/>
      <c r="AN192" s="91"/>
      <c r="AO192" s="90"/>
      <c r="AP192" s="90"/>
      <c r="AQ192" s="93"/>
      <c r="AR192" s="93"/>
      <c r="AS192" s="91"/>
      <c r="AT192" s="90"/>
      <c r="AU192" s="90"/>
      <c r="AV192" s="93"/>
      <c r="AW192" s="93"/>
      <c r="AX192" s="90"/>
      <c r="AY192" s="90"/>
      <c r="AZ192" s="93"/>
      <c r="BA192" s="93"/>
      <c r="BB192" s="90"/>
      <c r="BC192" s="90"/>
      <c r="BD192" s="93"/>
      <c r="BE192" s="93"/>
      <c r="BF192" s="90"/>
      <c r="BG192" s="90"/>
      <c r="BH192" s="93"/>
      <c r="BI192" s="93"/>
      <c r="BJ192" s="91"/>
      <c r="BK192" s="91"/>
      <c r="BL192" s="91"/>
      <c r="BM192" s="91"/>
      <c r="BN192" s="91"/>
      <c r="BO192" s="91"/>
      <c r="BP192" s="91"/>
      <c r="BQ192" s="91"/>
      <c r="BR192" s="91"/>
    </row>
    <row r="193" spans="11:70">
      <c r="K193" s="88"/>
      <c r="L193" s="88"/>
      <c r="M193" s="88"/>
      <c r="N193" s="88"/>
      <c r="O193" s="88"/>
      <c r="P193" s="88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90"/>
      <c r="AI193" s="91"/>
      <c r="AJ193" s="92"/>
      <c r="AK193" s="91"/>
      <c r="AL193" s="92"/>
      <c r="AM193" s="91"/>
      <c r="AN193" s="91"/>
      <c r="AO193" s="90"/>
      <c r="AP193" s="90"/>
      <c r="AQ193" s="93"/>
      <c r="AR193" s="93"/>
      <c r="AS193" s="91"/>
      <c r="AT193" s="90"/>
      <c r="AU193" s="90"/>
      <c r="AV193" s="93"/>
      <c r="AW193" s="93"/>
      <c r="AX193" s="90"/>
      <c r="AY193" s="90"/>
      <c r="AZ193" s="93"/>
      <c r="BA193" s="93"/>
      <c r="BB193" s="90"/>
      <c r="BC193" s="90"/>
      <c r="BD193" s="93"/>
      <c r="BE193" s="93"/>
      <c r="BF193" s="90"/>
      <c r="BG193" s="90"/>
      <c r="BH193" s="93"/>
      <c r="BI193" s="93"/>
      <c r="BJ193" s="91"/>
      <c r="BK193" s="91"/>
      <c r="BL193" s="91"/>
      <c r="BM193" s="91"/>
      <c r="BN193" s="91"/>
      <c r="BO193" s="91"/>
      <c r="BP193" s="91"/>
      <c r="BQ193" s="91"/>
      <c r="BR193" s="91"/>
    </row>
    <row r="194" spans="11:70">
      <c r="K194" s="88"/>
      <c r="L194" s="88"/>
      <c r="M194" s="88"/>
      <c r="N194" s="88"/>
      <c r="O194" s="88"/>
      <c r="P194" s="88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90"/>
      <c r="AI194" s="91"/>
      <c r="AJ194" s="92"/>
      <c r="AK194" s="91"/>
      <c r="AL194" s="92"/>
      <c r="AM194" s="91"/>
      <c r="AN194" s="91"/>
      <c r="AO194" s="90"/>
      <c r="AP194" s="90"/>
      <c r="AQ194" s="93"/>
      <c r="AR194" s="93"/>
      <c r="AS194" s="91"/>
      <c r="AT194" s="90"/>
      <c r="AU194" s="90"/>
      <c r="AV194" s="93"/>
      <c r="AW194" s="93"/>
      <c r="AX194" s="90"/>
      <c r="AY194" s="90"/>
      <c r="AZ194" s="93"/>
      <c r="BA194" s="93"/>
      <c r="BB194" s="90"/>
      <c r="BC194" s="90"/>
      <c r="BD194" s="93"/>
      <c r="BE194" s="93"/>
      <c r="BF194" s="90"/>
      <c r="BG194" s="90"/>
      <c r="BH194" s="93"/>
      <c r="BI194" s="93"/>
      <c r="BJ194" s="91"/>
      <c r="BK194" s="91"/>
      <c r="BL194" s="91"/>
      <c r="BM194" s="91"/>
      <c r="BN194" s="91"/>
      <c r="BO194" s="91"/>
      <c r="BP194" s="91"/>
      <c r="BQ194" s="91"/>
      <c r="BR194" s="91"/>
    </row>
    <row r="195" spans="11:70">
      <c r="K195" s="88"/>
      <c r="L195" s="88"/>
      <c r="M195" s="88"/>
      <c r="N195" s="88"/>
      <c r="O195" s="88"/>
      <c r="P195" s="88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90"/>
      <c r="AI195" s="91"/>
      <c r="AJ195" s="92"/>
      <c r="AK195" s="91"/>
      <c r="AL195" s="92"/>
      <c r="AM195" s="91"/>
      <c r="AN195" s="91"/>
      <c r="AO195" s="90"/>
      <c r="AP195" s="90"/>
      <c r="AQ195" s="93"/>
      <c r="AR195" s="93"/>
      <c r="AS195" s="91"/>
      <c r="AT195" s="90"/>
      <c r="AU195" s="90"/>
      <c r="AV195" s="93"/>
      <c r="AW195" s="93"/>
      <c r="AX195" s="90"/>
      <c r="AY195" s="90"/>
      <c r="AZ195" s="93"/>
      <c r="BA195" s="93"/>
      <c r="BB195" s="90"/>
      <c r="BC195" s="90"/>
      <c r="BD195" s="93"/>
      <c r="BE195" s="93"/>
      <c r="BF195" s="90"/>
      <c r="BG195" s="90"/>
      <c r="BH195" s="93"/>
      <c r="BI195" s="93"/>
      <c r="BJ195" s="91"/>
      <c r="BK195" s="91"/>
      <c r="BL195" s="91"/>
      <c r="BM195" s="91"/>
      <c r="BN195" s="91"/>
      <c r="BO195" s="91"/>
      <c r="BP195" s="91"/>
      <c r="BQ195" s="91"/>
      <c r="BR195" s="91"/>
    </row>
    <row r="196" spans="11:70">
      <c r="K196" s="88"/>
      <c r="L196" s="88"/>
      <c r="M196" s="88"/>
      <c r="N196" s="88"/>
      <c r="O196" s="88"/>
      <c r="P196" s="88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90"/>
      <c r="AI196" s="91"/>
      <c r="AJ196" s="92"/>
      <c r="AK196" s="91"/>
      <c r="AL196" s="92"/>
      <c r="AM196" s="91"/>
      <c r="AN196" s="91"/>
      <c r="AO196" s="90"/>
      <c r="AP196" s="90"/>
      <c r="AQ196" s="93"/>
      <c r="AR196" s="93"/>
      <c r="AS196" s="91"/>
      <c r="AT196" s="90"/>
      <c r="AU196" s="90"/>
      <c r="AV196" s="93"/>
      <c r="AW196" s="93"/>
      <c r="AX196" s="90"/>
      <c r="AY196" s="90"/>
      <c r="AZ196" s="93"/>
      <c r="BA196" s="93"/>
      <c r="BB196" s="90"/>
      <c r="BC196" s="90"/>
      <c r="BD196" s="93"/>
      <c r="BE196" s="93"/>
      <c r="BF196" s="90"/>
      <c r="BG196" s="90"/>
      <c r="BH196" s="93"/>
      <c r="BI196" s="93"/>
      <c r="BJ196" s="91"/>
      <c r="BK196" s="91"/>
      <c r="BL196" s="91"/>
      <c r="BM196" s="91"/>
      <c r="BN196" s="91"/>
      <c r="BO196" s="91"/>
      <c r="BP196" s="91"/>
      <c r="BQ196" s="91"/>
      <c r="BR196" s="91"/>
    </row>
    <row r="197" spans="11:70">
      <c r="K197" s="88"/>
      <c r="L197" s="88"/>
      <c r="M197" s="88"/>
      <c r="N197" s="88"/>
      <c r="O197" s="88"/>
      <c r="P197" s="88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90"/>
      <c r="AI197" s="91"/>
      <c r="AJ197" s="92"/>
      <c r="AK197" s="91"/>
      <c r="AL197" s="92"/>
      <c r="AM197" s="91"/>
      <c r="AN197" s="91"/>
      <c r="AO197" s="90"/>
      <c r="AP197" s="90"/>
      <c r="AQ197" s="93"/>
      <c r="AR197" s="93"/>
      <c r="AS197" s="91"/>
      <c r="AT197" s="90"/>
      <c r="AU197" s="90"/>
      <c r="AV197" s="93"/>
      <c r="AW197" s="93"/>
      <c r="AX197" s="90"/>
      <c r="AY197" s="90"/>
      <c r="AZ197" s="93"/>
      <c r="BA197" s="93"/>
      <c r="BB197" s="90"/>
      <c r="BC197" s="90"/>
      <c r="BD197" s="93"/>
      <c r="BE197" s="93"/>
      <c r="BF197" s="90"/>
      <c r="BG197" s="90"/>
      <c r="BH197" s="93"/>
      <c r="BI197" s="93"/>
      <c r="BJ197" s="91"/>
      <c r="BK197" s="91"/>
      <c r="BL197" s="91"/>
      <c r="BM197" s="91"/>
      <c r="BN197" s="91"/>
      <c r="BO197" s="91"/>
      <c r="BP197" s="91"/>
      <c r="BQ197" s="91"/>
      <c r="BR197" s="91"/>
    </row>
    <row r="198" spans="11:70">
      <c r="K198" s="88"/>
      <c r="L198" s="88"/>
      <c r="M198" s="88"/>
      <c r="N198" s="88"/>
      <c r="O198" s="88"/>
      <c r="P198" s="88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90"/>
      <c r="AI198" s="91"/>
      <c r="AJ198" s="92"/>
      <c r="AK198" s="91"/>
      <c r="AL198" s="92"/>
      <c r="AM198" s="91"/>
      <c r="AN198" s="91"/>
      <c r="AO198" s="90"/>
      <c r="AP198" s="90"/>
      <c r="AQ198" s="93"/>
      <c r="AR198" s="93"/>
      <c r="AS198" s="91"/>
      <c r="AT198" s="90"/>
      <c r="AU198" s="90"/>
      <c r="AV198" s="93"/>
      <c r="AW198" s="93"/>
      <c r="AX198" s="90"/>
      <c r="AY198" s="90"/>
      <c r="AZ198" s="93"/>
      <c r="BA198" s="93"/>
      <c r="BB198" s="90"/>
      <c r="BC198" s="90"/>
      <c r="BD198" s="93"/>
      <c r="BE198" s="93"/>
      <c r="BF198" s="90"/>
      <c r="BG198" s="90"/>
      <c r="BH198" s="93"/>
      <c r="BI198" s="93"/>
      <c r="BJ198" s="91"/>
      <c r="BK198" s="91"/>
      <c r="BL198" s="91"/>
      <c r="BM198" s="91"/>
      <c r="BN198" s="91"/>
      <c r="BO198" s="91"/>
      <c r="BP198" s="91"/>
      <c r="BQ198" s="91"/>
      <c r="BR198" s="91"/>
    </row>
    <row r="199" spans="11:70">
      <c r="K199" s="88"/>
      <c r="L199" s="88"/>
      <c r="M199" s="88"/>
      <c r="N199" s="88"/>
      <c r="O199" s="88"/>
      <c r="P199" s="88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90"/>
      <c r="AI199" s="91"/>
      <c r="AJ199" s="92"/>
      <c r="AK199" s="91"/>
      <c r="AL199" s="92"/>
      <c r="AM199" s="91"/>
      <c r="AN199" s="91"/>
      <c r="AO199" s="90"/>
      <c r="AP199" s="90"/>
      <c r="AQ199" s="93"/>
      <c r="AR199" s="93"/>
      <c r="AS199" s="91"/>
      <c r="AT199" s="90"/>
      <c r="AU199" s="90"/>
      <c r="AV199" s="93"/>
      <c r="AW199" s="93"/>
      <c r="AX199" s="90"/>
      <c r="AY199" s="90"/>
      <c r="AZ199" s="93"/>
      <c r="BA199" s="93"/>
      <c r="BB199" s="90"/>
      <c r="BC199" s="90"/>
      <c r="BD199" s="93"/>
      <c r="BE199" s="93"/>
      <c r="BF199" s="90"/>
      <c r="BG199" s="90"/>
      <c r="BH199" s="93"/>
      <c r="BI199" s="93"/>
      <c r="BJ199" s="91"/>
      <c r="BK199" s="91"/>
      <c r="BL199" s="91"/>
      <c r="BM199" s="91"/>
      <c r="BN199" s="91"/>
      <c r="BO199" s="91"/>
      <c r="BP199" s="91"/>
      <c r="BQ199" s="91"/>
      <c r="BR199" s="91"/>
    </row>
    <row r="200" spans="11:70">
      <c r="K200" s="88"/>
      <c r="L200" s="88"/>
      <c r="M200" s="88"/>
      <c r="N200" s="88"/>
      <c r="O200" s="88"/>
      <c r="P200" s="88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90"/>
      <c r="AI200" s="91"/>
      <c r="AJ200" s="92"/>
      <c r="AK200" s="91"/>
      <c r="AL200" s="92"/>
      <c r="AM200" s="91"/>
      <c r="AN200" s="91"/>
      <c r="AO200" s="90"/>
      <c r="AP200" s="90"/>
      <c r="AQ200" s="93"/>
      <c r="AR200" s="93"/>
      <c r="AS200" s="91"/>
      <c r="AT200" s="90"/>
      <c r="AU200" s="90"/>
      <c r="AV200" s="93"/>
      <c r="AW200" s="93"/>
      <c r="AX200" s="90"/>
      <c r="AY200" s="90"/>
      <c r="AZ200" s="93"/>
      <c r="BA200" s="93"/>
      <c r="BB200" s="90"/>
      <c r="BC200" s="90"/>
      <c r="BD200" s="93"/>
      <c r="BE200" s="93"/>
      <c r="BF200" s="90"/>
      <c r="BG200" s="90"/>
      <c r="BH200" s="93"/>
      <c r="BI200" s="93"/>
      <c r="BJ200" s="91"/>
      <c r="BK200" s="91"/>
      <c r="BL200" s="91"/>
      <c r="BM200" s="91"/>
      <c r="BN200" s="91"/>
      <c r="BO200" s="91"/>
      <c r="BP200" s="91"/>
      <c r="BQ200" s="91"/>
      <c r="BR200" s="91"/>
    </row>
    <row r="201" spans="11:70">
      <c r="K201" s="88"/>
      <c r="L201" s="88"/>
      <c r="M201" s="88"/>
      <c r="N201" s="88"/>
      <c r="O201" s="88"/>
      <c r="P201" s="88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90"/>
      <c r="AI201" s="91"/>
      <c r="AJ201" s="92"/>
      <c r="AK201" s="91"/>
      <c r="AL201" s="92"/>
      <c r="AM201" s="91"/>
      <c r="AN201" s="91"/>
      <c r="AO201" s="90"/>
      <c r="AP201" s="90"/>
      <c r="AQ201" s="93"/>
      <c r="AR201" s="93"/>
      <c r="AS201" s="91"/>
      <c r="AT201" s="90"/>
      <c r="AU201" s="90"/>
      <c r="AV201" s="93"/>
      <c r="AW201" s="93"/>
      <c r="AX201" s="90"/>
      <c r="AY201" s="90"/>
      <c r="AZ201" s="93"/>
      <c r="BA201" s="93"/>
      <c r="BB201" s="90"/>
      <c r="BC201" s="90"/>
      <c r="BD201" s="93"/>
      <c r="BE201" s="93"/>
      <c r="BF201" s="90"/>
      <c r="BG201" s="90"/>
      <c r="BH201" s="93"/>
      <c r="BI201" s="93"/>
      <c r="BJ201" s="91"/>
      <c r="BK201" s="91"/>
      <c r="BL201" s="91"/>
      <c r="BM201" s="91"/>
      <c r="BN201" s="91"/>
      <c r="BO201" s="91"/>
      <c r="BP201" s="91"/>
      <c r="BQ201" s="91"/>
      <c r="BR201" s="91"/>
    </row>
    <row r="202" spans="11:70">
      <c r="K202" s="88"/>
      <c r="L202" s="88"/>
      <c r="M202" s="88"/>
      <c r="N202" s="88"/>
      <c r="O202" s="88"/>
      <c r="P202" s="88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90"/>
      <c r="AI202" s="91"/>
      <c r="AJ202" s="92"/>
      <c r="AK202" s="91"/>
      <c r="AL202" s="92"/>
      <c r="AM202" s="91"/>
      <c r="AN202" s="91"/>
      <c r="AO202" s="90"/>
      <c r="AP202" s="90"/>
      <c r="AQ202" s="93"/>
      <c r="AR202" s="93"/>
      <c r="AS202" s="91"/>
      <c r="AT202" s="90"/>
      <c r="AU202" s="90"/>
      <c r="AV202" s="93"/>
      <c r="AW202" s="93"/>
      <c r="AX202" s="90"/>
      <c r="AY202" s="90"/>
      <c r="AZ202" s="93"/>
      <c r="BA202" s="93"/>
      <c r="BB202" s="90"/>
      <c r="BC202" s="90"/>
      <c r="BD202" s="93"/>
      <c r="BE202" s="93"/>
      <c r="BF202" s="90"/>
      <c r="BG202" s="90"/>
      <c r="BH202" s="93"/>
      <c r="BI202" s="93"/>
      <c r="BJ202" s="91"/>
      <c r="BK202" s="91"/>
      <c r="BL202" s="91"/>
      <c r="BM202" s="91"/>
      <c r="BN202" s="91"/>
      <c r="BO202" s="91"/>
      <c r="BP202" s="91"/>
      <c r="BQ202" s="91"/>
      <c r="BR202" s="91"/>
    </row>
    <row r="203" spans="11:70">
      <c r="K203" s="88"/>
      <c r="L203" s="88"/>
      <c r="M203" s="88"/>
      <c r="N203" s="88"/>
      <c r="O203" s="88"/>
      <c r="P203" s="88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90"/>
      <c r="AI203" s="91"/>
      <c r="AJ203" s="92"/>
      <c r="AK203" s="91"/>
      <c r="AL203" s="92"/>
      <c r="AM203" s="91"/>
      <c r="AN203" s="91"/>
      <c r="AO203" s="90"/>
      <c r="AP203" s="90"/>
      <c r="AQ203" s="93"/>
      <c r="AR203" s="93"/>
      <c r="AS203" s="91"/>
      <c r="AT203" s="90"/>
      <c r="AU203" s="90"/>
      <c r="AV203" s="93"/>
      <c r="AW203" s="93"/>
      <c r="AX203" s="90"/>
      <c r="AY203" s="90"/>
      <c r="AZ203" s="93"/>
      <c r="BA203" s="93"/>
      <c r="BB203" s="90"/>
      <c r="BC203" s="90"/>
      <c r="BD203" s="93"/>
      <c r="BE203" s="93"/>
      <c r="BF203" s="90"/>
      <c r="BG203" s="90"/>
      <c r="BH203" s="93"/>
      <c r="BI203" s="93"/>
      <c r="BJ203" s="91"/>
      <c r="BK203" s="91"/>
      <c r="BL203" s="91"/>
      <c r="BM203" s="91"/>
      <c r="BN203" s="91"/>
      <c r="BO203" s="91"/>
      <c r="BP203" s="91"/>
      <c r="BQ203" s="91"/>
      <c r="BR203" s="91"/>
    </row>
    <row r="204" spans="11:70">
      <c r="K204" s="88"/>
      <c r="L204" s="88"/>
      <c r="M204" s="88"/>
      <c r="N204" s="88"/>
      <c r="O204" s="88"/>
      <c r="P204" s="88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90"/>
      <c r="AI204" s="91"/>
      <c r="AJ204" s="92"/>
      <c r="AK204" s="91"/>
      <c r="AL204" s="92"/>
      <c r="AM204" s="91"/>
      <c r="AN204" s="91"/>
      <c r="AO204" s="90"/>
      <c r="AP204" s="90"/>
      <c r="AQ204" s="93"/>
      <c r="AR204" s="93"/>
      <c r="AS204" s="91"/>
      <c r="AT204" s="90"/>
      <c r="AU204" s="90"/>
      <c r="AV204" s="93"/>
      <c r="AW204" s="93"/>
      <c r="AX204" s="90"/>
      <c r="AY204" s="90"/>
      <c r="AZ204" s="93"/>
      <c r="BA204" s="93"/>
      <c r="BB204" s="90"/>
      <c r="BC204" s="90"/>
      <c r="BD204" s="93"/>
      <c r="BE204" s="93"/>
      <c r="BF204" s="90"/>
      <c r="BG204" s="90"/>
      <c r="BH204" s="93"/>
      <c r="BI204" s="93"/>
      <c r="BJ204" s="91"/>
      <c r="BK204" s="91"/>
      <c r="BL204" s="91"/>
      <c r="BM204" s="91"/>
      <c r="BN204" s="91"/>
      <c r="BO204" s="91"/>
      <c r="BP204" s="91"/>
      <c r="BQ204" s="91"/>
      <c r="BR204" s="91"/>
    </row>
    <row r="205" spans="11:70">
      <c r="K205" s="88"/>
      <c r="L205" s="88"/>
      <c r="M205" s="88"/>
      <c r="N205" s="88"/>
      <c r="O205" s="88"/>
      <c r="P205" s="88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90"/>
      <c r="AI205" s="91"/>
      <c r="AJ205" s="92"/>
      <c r="AK205" s="91"/>
      <c r="AL205" s="92"/>
      <c r="AM205" s="91"/>
      <c r="AN205" s="91"/>
      <c r="AO205" s="90"/>
      <c r="AP205" s="90"/>
      <c r="AQ205" s="93"/>
      <c r="AR205" s="93"/>
      <c r="AS205" s="91"/>
      <c r="AT205" s="90"/>
      <c r="AU205" s="90"/>
      <c r="AV205" s="93"/>
      <c r="AW205" s="93"/>
      <c r="AX205" s="90"/>
      <c r="AY205" s="90"/>
      <c r="AZ205" s="93"/>
      <c r="BA205" s="93"/>
      <c r="BB205" s="90"/>
      <c r="BC205" s="90"/>
      <c r="BD205" s="93"/>
      <c r="BE205" s="93"/>
      <c r="BF205" s="90"/>
      <c r="BG205" s="90"/>
      <c r="BH205" s="93"/>
      <c r="BI205" s="93"/>
      <c r="BJ205" s="91"/>
      <c r="BK205" s="91"/>
      <c r="BL205" s="91"/>
      <c r="BM205" s="91"/>
      <c r="BN205" s="91"/>
      <c r="BO205" s="91"/>
      <c r="BP205" s="91"/>
      <c r="BQ205" s="91"/>
      <c r="BR205" s="91"/>
    </row>
    <row r="206" spans="11:70">
      <c r="K206" s="88"/>
      <c r="L206" s="88"/>
      <c r="M206" s="88"/>
      <c r="N206" s="88"/>
      <c r="O206" s="88"/>
      <c r="P206" s="88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90"/>
      <c r="AI206" s="91"/>
      <c r="AJ206" s="92"/>
      <c r="AK206" s="91"/>
      <c r="AL206" s="92"/>
      <c r="AM206" s="91"/>
      <c r="AN206" s="91"/>
      <c r="AO206" s="90"/>
      <c r="AP206" s="90"/>
      <c r="AQ206" s="93"/>
      <c r="AR206" s="93"/>
      <c r="AS206" s="91"/>
      <c r="AT206" s="90"/>
      <c r="AU206" s="90"/>
      <c r="AV206" s="93"/>
      <c r="AW206" s="93"/>
      <c r="AX206" s="90"/>
      <c r="AY206" s="90"/>
      <c r="AZ206" s="93"/>
      <c r="BA206" s="93"/>
      <c r="BB206" s="90"/>
      <c r="BC206" s="90"/>
      <c r="BD206" s="93"/>
      <c r="BE206" s="93"/>
      <c r="BF206" s="90"/>
      <c r="BG206" s="90"/>
      <c r="BH206" s="93"/>
      <c r="BI206" s="93"/>
      <c r="BJ206" s="91"/>
      <c r="BK206" s="91"/>
      <c r="BL206" s="91"/>
      <c r="BM206" s="91"/>
      <c r="BN206" s="91"/>
      <c r="BO206" s="91"/>
      <c r="BP206" s="91"/>
      <c r="BQ206" s="91"/>
      <c r="BR206" s="91"/>
    </row>
    <row r="207" spans="11:70">
      <c r="K207" s="88"/>
      <c r="L207" s="88"/>
      <c r="M207" s="88"/>
      <c r="N207" s="88"/>
      <c r="O207" s="88"/>
      <c r="P207" s="88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90"/>
      <c r="AI207" s="91"/>
      <c r="AJ207" s="92"/>
      <c r="AK207" s="91"/>
      <c r="AL207" s="92"/>
      <c r="AM207" s="91"/>
      <c r="AN207" s="91"/>
      <c r="AO207" s="90"/>
      <c r="AP207" s="90"/>
      <c r="AQ207" s="93"/>
      <c r="AR207" s="93"/>
      <c r="AS207" s="91"/>
      <c r="AT207" s="90"/>
      <c r="AU207" s="90"/>
      <c r="AV207" s="93"/>
      <c r="AW207" s="93"/>
      <c r="AX207" s="90"/>
      <c r="AY207" s="90"/>
      <c r="AZ207" s="93"/>
      <c r="BA207" s="93"/>
      <c r="BB207" s="90"/>
      <c r="BC207" s="90"/>
      <c r="BD207" s="93"/>
      <c r="BE207" s="93"/>
      <c r="BF207" s="90"/>
      <c r="BG207" s="90"/>
      <c r="BH207" s="93"/>
      <c r="BI207" s="93"/>
      <c r="BJ207" s="91"/>
      <c r="BK207" s="91"/>
      <c r="BL207" s="91"/>
      <c r="BM207" s="91"/>
      <c r="BN207" s="91"/>
      <c r="BO207" s="91"/>
      <c r="BP207" s="91"/>
      <c r="BQ207" s="91"/>
      <c r="BR207" s="91"/>
    </row>
    <row r="208" spans="11:70">
      <c r="K208" s="88"/>
      <c r="L208" s="88"/>
      <c r="M208" s="88"/>
      <c r="N208" s="88"/>
      <c r="O208" s="88"/>
      <c r="P208" s="88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90"/>
      <c r="AI208" s="91"/>
      <c r="AJ208" s="92"/>
      <c r="AK208" s="91"/>
      <c r="AL208" s="92"/>
      <c r="AM208" s="91"/>
      <c r="AN208" s="91"/>
      <c r="AO208" s="90"/>
      <c r="AP208" s="90"/>
      <c r="AQ208" s="93"/>
      <c r="AR208" s="93"/>
      <c r="AS208" s="91"/>
      <c r="AT208" s="90"/>
      <c r="AU208" s="90"/>
      <c r="AV208" s="93"/>
      <c r="AW208" s="93"/>
      <c r="AX208" s="90"/>
      <c r="AY208" s="90"/>
      <c r="AZ208" s="93"/>
      <c r="BA208" s="93"/>
      <c r="BB208" s="90"/>
      <c r="BC208" s="90"/>
      <c r="BD208" s="93"/>
      <c r="BE208" s="93"/>
      <c r="BF208" s="90"/>
      <c r="BG208" s="90"/>
      <c r="BH208" s="93"/>
      <c r="BI208" s="93"/>
      <c r="BJ208" s="91"/>
      <c r="BK208" s="91"/>
      <c r="BL208" s="91"/>
      <c r="BM208" s="91"/>
      <c r="BN208" s="91"/>
      <c r="BO208" s="91"/>
      <c r="BP208" s="91"/>
      <c r="BQ208" s="91"/>
      <c r="BR208" s="91"/>
    </row>
    <row r="209" spans="11:70">
      <c r="K209" s="88"/>
      <c r="L209" s="88"/>
      <c r="M209" s="88"/>
      <c r="N209" s="88"/>
      <c r="O209" s="88"/>
      <c r="P209" s="88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90"/>
      <c r="AI209" s="91"/>
      <c r="AJ209" s="92"/>
      <c r="AK209" s="91"/>
      <c r="AL209" s="92"/>
      <c r="AM209" s="91"/>
      <c r="AN209" s="91"/>
      <c r="AO209" s="90"/>
      <c r="AP209" s="90"/>
      <c r="AQ209" s="93"/>
      <c r="AR209" s="93"/>
      <c r="AS209" s="91"/>
      <c r="AT209" s="90"/>
      <c r="AU209" s="90"/>
      <c r="AV209" s="93"/>
      <c r="AW209" s="93"/>
      <c r="AX209" s="90"/>
      <c r="AY209" s="90"/>
      <c r="AZ209" s="93"/>
      <c r="BA209" s="93"/>
      <c r="BB209" s="90"/>
      <c r="BC209" s="90"/>
      <c r="BD209" s="93"/>
      <c r="BE209" s="93"/>
      <c r="BF209" s="90"/>
      <c r="BG209" s="90"/>
      <c r="BH209" s="93"/>
      <c r="BI209" s="93"/>
      <c r="BJ209" s="91"/>
      <c r="BK209" s="91"/>
      <c r="BL209" s="91"/>
      <c r="BM209" s="91"/>
      <c r="BN209" s="91"/>
      <c r="BO209" s="91"/>
      <c r="BP209" s="91"/>
      <c r="BQ209" s="91"/>
      <c r="BR209" s="91"/>
    </row>
    <row r="210" spans="11:70">
      <c r="K210" s="88"/>
      <c r="L210" s="88"/>
      <c r="M210" s="88"/>
      <c r="N210" s="88"/>
      <c r="O210" s="88"/>
      <c r="P210" s="88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90"/>
      <c r="AI210" s="91"/>
      <c r="AJ210" s="92"/>
      <c r="AK210" s="91"/>
      <c r="AL210" s="92"/>
      <c r="AM210" s="91"/>
      <c r="AN210" s="91"/>
      <c r="AO210" s="90"/>
      <c r="AP210" s="90"/>
      <c r="AQ210" s="93"/>
      <c r="AR210" s="93"/>
      <c r="AS210" s="91"/>
      <c r="AT210" s="90"/>
      <c r="AU210" s="90"/>
      <c r="AV210" s="93"/>
      <c r="AW210" s="93"/>
      <c r="AX210" s="90"/>
      <c r="AY210" s="90"/>
      <c r="AZ210" s="93"/>
      <c r="BA210" s="93"/>
      <c r="BB210" s="90"/>
      <c r="BC210" s="90"/>
      <c r="BD210" s="93"/>
      <c r="BE210" s="93"/>
      <c r="BF210" s="90"/>
      <c r="BG210" s="90"/>
      <c r="BH210" s="93"/>
      <c r="BI210" s="93"/>
      <c r="BJ210" s="91"/>
      <c r="BK210" s="91"/>
      <c r="BL210" s="91"/>
      <c r="BM210" s="91"/>
      <c r="BN210" s="91"/>
      <c r="BO210" s="91"/>
      <c r="BP210" s="91"/>
      <c r="BQ210" s="91"/>
      <c r="BR210" s="91"/>
    </row>
    <row r="211" spans="11:70">
      <c r="K211" s="88"/>
      <c r="L211" s="88"/>
      <c r="M211" s="88"/>
      <c r="N211" s="88"/>
      <c r="O211" s="88"/>
      <c r="P211" s="88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90"/>
      <c r="AI211" s="91"/>
      <c r="AJ211" s="92"/>
      <c r="AK211" s="91"/>
      <c r="AL211" s="92"/>
      <c r="AM211" s="91"/>
      <c r="AN211" s="91"/>
      <c r="AO211" s="90"/>
      <c r="AP211" s="90"/>
      <c r="AQ211" s="93"/>
      <c r="AR211" s="93"/>
      <c r="AS211" s="91"/>
      <c r="AT211" s="90"/>
      <c r="AU211" s="90"/>
      <c r="AV211" s="93"/>
      <c r="AW211" s="93"/>
      <c r="AX211" s="90"/>
      <c r="AY211" s="90"/>
      <c r="AZ211" s="93"/>
      <c r="BA211" s="93"/>
      <c r="BB211" s="90"/>
      <c r="BC211" s="90"/>
      <c r="BD211" s="93"/>
      <c r="BE211" s="93"/>
      <c r="BF211" s="90"/>
      <c r="BG211" s="90"/>
      <c r="BH211" s="93"/>
      <c r="BI211" s="93"/>
      <c r="BJ211" s="91"/>
      <c r="BK211" s="91"/>
      <c r="BL211" s="91"/>
      <c r="BM211" s="91"/>
      <c r="BN211" s="91"/>
      <c r="BO211" s="91"/>
      <c r="BP211" s="91"/>
      <c r="BQ211" s="91"/>
      <c r="BR211" s="91"/>
    </row>
    <row r="212" spans="11:70">
      <c r="K212" s="88"/>
      <c r="L212" s="88"/>
      <c r="M212" s="88"/>
      <c r="N212" s="88"/>
      <c r="O212" s="88"/>
      <c r="P212" s="88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90"/>
      <c r="AI212" s="91"/>
      <c r="AJ212" s="92"/>
      <c r="AK212" s="91"/>
      <c r="AL212" s="92"/>
      <c r="AM212" s="91"/>
      <c r="AN212" s="91"/>
      <c r="AO212" s="90"/>
      <c r="AP212" s="90"/>
      <c r="AQ212" s="93"/>
      <c r="AR212" s="93"/>
      <c r="AS212" s="91"/>
      <c r="AT212" s="90"/>
      <c r="AU212" s="90"/>
      <c r="AV212" s="93"/>
      <c r="AW212" s="93"/>
      <c r="AX212" s="90"/>
      <c r="AY212" s="90"/>
      <c r="AZ212" s="93"/>
      <c r="BA212" s="93"/>
      <c r="BB212" s="90"/>
      <c r="BC212" s="90"/>
      <c r="BD212" s="93"/>
      <c r="BE212" s="93"/>
      <c r="BF212" s="90"/>
      <c r="BG212" s="90"/>
      <c r="BH212" s="93"/>
      <c r="BI212" s="93"/>
      <c r="BJ212" s="91"/>
      <c r="BK212" s="91"/>
      <c r="BL212" s="91"/>
      <c r="BM212" s="91"/>
      <c r="BN212" s="91"/>
      <c r="BO212" s="91"/>
      <c r="BP212" s="91"/>
      <c r="BQ212" s="91"/>
      <c r="BR212" s="91"/>
    </row>
    <row r="213" spans="11:70">
      <c r="K213" s="88"/>
      <c r="L213" s="88"/>
      <c r="M213" s="88"/>
      <c r="N213" s="88"/>
      <c r="O213" s="88"/>
      <c r="P213" s="88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90"/>
      <c r="AI213" s="91"/>
      <c r="AJ213" s="92"/>
      <c r="AK213" s="91"/>
      <c r="AL213" s="92"/>
      <c r="AM213" s="91"/>
      <c r="AN213" s="91"/>
      <c r="AO213" s="90"/>
      <c r="AP213" s="90"/>
      <c r="AQ213" s="93"/>
      <c r="AR213" s="93"/>
      <c r="AS213" s="91"/>
      <c r="AT213" s="90"/>
      <c r="AU213" s="90"/>
      <c r="AV213" s="93"/>
      <c r="AW213" s="93"/>
      <c r="AX213" s="90"/>
      <c r="AY213" s="90"/>
      <c r="AZ213" s="93"/>
      <c r="BA213" s="93"/>
      <c r="BB213" s="90"/>
      <c r="BC213" s="90"/>
      <c r="BD213" s="93"/>
      <c r="BE213" s="93"/>
      <c r="BF213" s="90"/>
      <c r="BG213" s="90"/>
      <c r="BH213" s="93"/>
      <c r="BI213" s="93"/>
      <c r="BJ213" s="91"/>
      <c r="BK213" s="91"/>
      <c r="BL213" s="91"/>
      <c r="BM213" s="91"/>
      <c r="BN213" s="91"/>
      <c r="BO213" s="91"/>
      <c r="BP213" s="91"/>
      <c r="BQ213" s="91"/>
      <c r="BR213" s="91"/>
    </row>
    <row r="214" spans="11:70">
      <c r="K214" s="88"/>
      <c r="L214" s="88"/>
      <c r="M214" s="88"/>
      <c r="N214" s="88"/>
      <c r="O214" s="88"/>
      <c r="P214" s="88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90"/>
      <c r="AI214" s="91"/>
      <c r="AJ214" s="92"/>
      <c r="AK214" s="91"/>
      <c r="AL214" s="92"/>
      <c r="AM214" s="91"/>
      <c r="AN214" s="91"/>
      <c r="AO214" s="90"/>
      <c r="AP214" s="90"/>
      <c r="AQ214" s="93"/>
      <c r="AR214" s="93"/>
      <c r="AS214" s="91"/>
      <c r="AT214" s="90"/>
      <c r="AU214" s="90"/>
      <c r="AV214" s="93"/>
      <c r="AW214" s="93"/>
      <c r="AX214" s="90"/>
      <c r="AY214" s="90"/>
      <c r="AZ214" s="93"/>
      <c r="BA214" s="93"/>
      <c r="BB214" s="90"/>
      <c r="BC214" s="90"/>
      <c r="BD214" s="93"/>
      <c r="BE214" s="93"/>
      <c r="BF214" s="90"/>
      <c r="BG214" s="90"/>
      <c r="BH214" s="93"/>
      <c r="BI214" s="93"/>
      <c r="BJ214" s="91"/>
      <c r="BK214" s="91"/>
      <c r="BL214" s="91"/>
      <c r="BM214" s="91"/>
      <c r="BN214" s="91"/>
      <c r="BO214" s="91"/>
      <c r="BP214" s="91"/>
      <c r="BQ214" s="91"/>
      <c r="BR214" s="91"/>
    </row>
    <row r="215" spans="11:70">
      <c r="K215" s="88"/>
      <c r="L215" s="88"/>
      <c r="M215" s="88"/>
      <c r="N215" s="88"/>
      <c r="O215" s="88"/>
      <c r="P215" s="88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90"/>
      <c r="AI215" s="91"/>
      <c r="AJ215" s="92"/>
      <c r="AK215" s="91"/>
      <c r="AL215" s="92"/>
      <c r="AM215" s="91"/>
      <c r="AN215" s="91"/>
      <c r="AO215" s="90"/>
      <c r="AP215" s="90"/>
      <c r="AQ215" s="93"/>
      <c r="AR215" s="93"/>
      <c r="AS215" s="91"/>
      <c r="AT215" s="90"/>
      <c r="AU215" s="90"/>
      <c r="AV215" s="93"/>
      <c r="AW215" s="93"/>
      <c r="AX215" s="90"/>
      <c r="AY215" s="90"/>
      <c r="AZ215" s="93"/>
      <c r="BA215" s="93"/>
      <c r="BB215" s="90"/>
      <c r="BC215" s="90"/>
      <c r="BD215" s="93"/>
      <c r="BE215" s="93"/>
      <c r="BF215" s="90"/>
      <c r="BG215" s="90"/>
      <c r="BH215" s="93"/>
      <c r="BI215" s="93"/>
      <c r="BJ215" s="91"/>
      <c r="BK215" s="91"/>
      <c r="BL215" s="91"/>
      <c r="BM215" s="91"/>
      <c r="BN215" s="91"/>
      <c r="BO215" s="91"/>
      <c r="BP215" s="91"/>
      <c r="BQ215" s="91"/>
      <c r="BR215" s="91"/>
    </row>
    <row r="216" spans="11:70">
      <c r="K216" s="88"/>
      <c r="L216" s="88"/>
      <c r="M216" s="88"/>
      <c r="N216" s="88"/>
      <c r="O216" s="88"/>
      <c r="P216" s="88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90"/>
      <c r="AI216" s="91"/>
      <c r="AJ216" s="92"/>
      <c r="AK216" s="91"/>
      <c r="AL216" s="92"/>
      <c r="AM216" s="91"/>
      <c r="AN216" s="91"/>
      <c r="AO216" s="90"/>
      <c r="AP216" s="90"/>
      <c r="AQ216" s="93"/>
      <c r="AR216" s="93"/>
      <c r="AS216" s="91"/>
      <c r="AT216" s="90"/>
      <c r="AU216" s="90"/>
      <c r="AV216" s="93"/>
      <c r="AW216" s="93"/>
      <c r="AX216" s="90"/>
      <c r="AY216" s="90"/>
      <c r="AZ216" s="93"/>
      <c r="BA216" s="93"/>
      <c r="BB216" s="90"/>
      <c r="BC216" s="90"/>
      <c r="BD216" s="93"/>
      <c r="BE216" s="93"/>
      <c r="BF216" s="90"/>
      <c r="BG216" s="90"/>
      <c r="BH216" s="93"/>
      <c r="BI216" s="93"/>
      <c r="BJ216" s="91"/>
      <c r="BK216" s="91"/>
      <c r="BL216" s="91"/>
      <c r="BM216" s="91"/>
      <c r="BN216" s="91"/>
      <c r="BO216" s="91"/>
      <c r="BP216" s="91"/>
      <c r="BQ216" s="91"/>
      <c r="BR216" s="91"/>
    </row>
    <row r="217" spans="11:70">
      <c r="K217" s="88"/>
      <c r="L217" s="88"/>
      <c r="M217" s="88"/>
      <c r="N217" s="88"/>
      <c r="O217" s="88"/>
      <c r="P217" s="88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90"/>
      <c r="AI217" s="91"/>
      <c r="AJ217" s="92"/>
      <c r="AK217" s="91"/>
      <c r="AL217" s="92"/>
      <c r="AM217" s="91"/>
      <c r="AN217" s="91"/>
      <c r="AO217" s="90"/>
      <c r="AP217" s="90"/>
      <c r="AQ217" s="93"/>
      <c r="AR217" s="93"/>
      <c r="AS217" s="91"/>
      <c r="AT217" s="90"/>
      <c r="AU217" s="90"/>
      <c r="AV217" s="93"/>
      <c r="AW217" s="93"/>
      <c r="AX217" s="90"/>
      <c r="AY217" s="90"/>
      <c r="AZ217" s="93"/>
      <c r="BA217" s="93"/>
      <c r="BB217" s="90"/>
      <c r="BC217" s="90"/>
      <c r="BD217" s="93"/>
      <c r="BE217" s="93"/>
      <c r="BF217" s="90"/>
      <c r="BG217" s="90"/>
      <c r="BH217" s="93"/>
      <c r="BI217" s="93"/>
      <c r="BJ217" s="91"/>
      <c r="BK217" s="91"/>
      <c r="BL217" s="91"/>
      <c r="BM217" s="91"/>
      <c r="BN217" s="91"/>
      <c r="BO217" s="91"/>
      <c r="BP217" s="91"/>
      <c r="BQ217" s="91"/>
      <c r="BR217" s="91"/>
    </row>
    <row r="218" spans="11:70">
      <c r="K218" s="88"/>
      <c r="L218" s="88"/>
      <c r="M218" s="88"/>
      <c r="N218" s="88"/>
      <c r="O218" s="88"/>
      <c r="P218" s="88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90"/>
      <c r="AI218" s="91"/>
      <c r="AJ218" s="92"/>
      <c r="AK218" s="91"/>
      <c r="AL218" s="92"/>
      <c r="AM218" s="91"/>
      <c r="AN218" s="91"/>
      <c r="AO218" s="90"/>
      <c r="AP218" s="90"/>
      <c r="AQ218" s="93"/>
      <c r="AR218" s="93"/>
      <c r="AS218" s="91"/>
      <c r="AT218" s="90"/>
      <c r="AU218" s="90"/>
      <c r="AV218" s="93"/>
      <c r="AW218" s="93"/>
      <c r="AX218" s="90"/>
      <c r="AY218" s="90"/>
      <c r="AZ218" s="93"/>
      <c r="BA218" s="93"/>
      <c r="BB218" s="90"/>
      <c r="BC218" s="90"/>
      <c r="BD218" s="93"/>
      <c r="BE218" s="93"/>
      <c r="BF218" s="90"/>
      <c r="BG218" s="90"/>
      <c r="BH218" s="93"/>
      <c r="BI218" s="93"/>
      <c r="BJ218" s="91"/>
      <c r="BK218" s="91"/>
      <c r="BL218" s="91"/>
      <c r="BM218" s="91"/>
      <c r="BN218" s="91"/>
      <c r="BO218" s="91"/>
      <c r="BP218" s="91"/>
      <c r="BQ218" s="91"/>
      <c r="BR218" s="91"/>
    </row>
    <row r="219" spans="11:70">
      <c r="K219" s="88"/>
      <c r="L219" s="88"/>
      <c r="M219" s="88"/>
      <c r="N219" s="88"/>
      <c r="O219" s="88"/>
      <c r="P219" s="88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90"/>
      <c r="AI219" s="91"/>
      <c r="AJ219" s="92"/>
      <c r="AK219" s="91"/>
      <c r="AL219" s="92"/>
      <c r="AM219" s="91"/>
      <c r="AN219" s="91"/>
      <c r="AO219" s="90"/>
      <c r="AP219" s="90"/>
      <c r="AQ219" s="93"/>
      <c r="AR219" s="93"/>
      <c r="AS219" s="91"/>
      <c r="AT219" s="90"/>
      <c r="AU219" s="90"/>
      <c r="AV219" s="93"/>
      <c r="AW219" s="93"/>
      <c r="AX219" s="90"/>
      <c r="AY219" s="90"/>
      <c r="AZ219" s="93"/>
      <c r="BA219" s="93"/>
      <c r="BB219" s="90"/>
      <c r="BC219" s="90"/>
      <c r="BD219" s="93"/>
      <c r="BE219" s="93"/>
      <c r="BF219" s="90"/>
      <c r="BG219" s="90"/>
      <c r="BH219" s="93"/>
      <c r="BI219" s="93"/>
      <c r="BJ219" s="91"/>
      <c r="BK219" s="91"/>
      <c r="BL219" s="91"/>
      <c r="BM219" s="91"/>
      <c r="BN219" s="91"/>
      <c r="BO219" s="91"/>
      <c r="BP219" s="91"/>
      <c r="BQ219" s="91"/>
      <c r="BR219" s="91"/>
    </row>
    <row r="220" spans="11:70">
      <c r="K220" s="88"/>
      <c r="L220" s="88"/>
      <c r="M220" s="88"/>
      <c r="N220" s="88"/>
      <c r="O220" s="88"/>
      <c r="P220" s="88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90"/>
      <c r="AI220" s="91"/>
      <c r="AJ220" s="92"/>
      <c r="AK220" s="91"/>
      <c r="AL220" s="92"/>
      <c r="AM220" s="91"/>
      <c r="AN220" s="91"/>
      <c r="AO220" s="90"/>
      <c r="AP220" s="90"/>
      <c r="AQ220" s="93"/>
      <c r="AR220" s="93"/>
      <c r="AS220" s="91"/>
      <c r="AT220" s="90"/>
      <c r="AU220" s="90"/>
      <c r="AV220" s="93"/>
      <c r="AW220" s="93"/>
      <c r="AX220" s="90"/>
      <c r="AY220" s="90"/>
      <c r="AZ220" s="93"/>
      <c r="BA220" s="93"/>
      <c r="BB220" s="90"/>
      <c r="BC220" s="90"/>
      <c r="BD220" s="93"/>
      <c r="BE220" s="93"/>
      <c r="BF220" s="90"/>
      <c r="BG220" s="90"/>
      <c r="BH220" s="93"/>
      <c r="BI220" s="93"/>
      <c r="BJ220" s="91"/>
      <c r="BK220" s="91"/>
      <c r="BL220" s="91"/>
      <c r="BM220" s="91"/>
      <c r="BN220" s="91"/>
      <c r="BO220" s="91"/>
      <c r="BP220" s="91"/>
      <c r="BQ220" s="91"/>
      <c r="BR220" s="91"/>
    </row>
    <row r="221" spans="11:70">
      <c r="K221" s="88"/>
      <c r="L221" s="88"/>
      <c r="M221" s="88"/>
      <c r="N221" s="88"/>
      <c r="O221" s="88"/>
      <c r="P221" s="88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90"/>
      <c r="AI221" s="91"/>
      <c r="AJ221" s="92"/>
      <c r="AK221" s="91"/>
      <c r="AL221" s="92"/>
      <c r="AM221" s="91"/>
      <c r="AN221" s="91"/>
      <c r="AO221" s="90"/>
      <c r="AP221" s="90"/>
      <c r="AQ221" s="93"/>
      <c r="AR221" s="93"/>
      <c r="AS221" s="91"/>
      <c r="AT221" s="90"/>
      <c r="AU221" s="90"/>
      <c r="AV221" s="93"/>
      <c r="AW221" s="93"/>
      <c r="AX221" s="90"/>
      <c r="AY221" s="90"/>
      <c r="AZ221" s="93"/>
      <c r="BA221" s="93"/>
      <c r="BB221" s="90"/>
      <c r="BC221" s="90"/>
      <c r="BD221" s="93"/>
      <c r="BE221" s="93"/>
      <c r="BF221" s="90"/>
      <c r="BG221" s="90"/>
      <c r="BH221" s="93"/>
      <c r="BI221" s="93"/>
      <c r="BJ221" s="91"/>
      <c r="BK221" s="91"/>
      <c r="BL221" s="91"/>
      <c r="BM221" s="91"/>
      <c r="BN221" s="91"/>
      <c r="BO221" s="91"/>
      <c r="BP221" s="91"/>
      <c r="BQ221" s="91"/>
      <c r="BR221" s="91"/>
    </row>
    <row r="222" spans="11:70">
      <c r="K222" s="88"/>
      <c r="L222" s="88"/>
      <c r="M222" s="88"/>
      <c r="N222" s="88"/>
      <c r="O222" s="88"/>
      <c r="P222" s="88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90"/>
      <c r="AI222" s="91"/>
      <c r="AJ222" s="92"/>
      <c r="AK222" s="91"/>
      <c r="AL222" s="92"/>
      <c r="AM222" s="91"/>
      <c r="AN222" s="91"/>
      <c r="AO222" s="90"/>
      <c r="AP222" s="90"/>
      <c r="AQ222" s="93"/>
      <c r="AR222" s="93"/>
      <c r="AS222" s="91"/>
      <c r="AT222" s="90"/>
      <c r="AU222" s="90"/>
      <c r="AV222" s="93"/>
      <c r="AW222" s="93"/>
      <c r="AX222" s="90"/>
      <c r="AY222" s="90"/>
      <c r="AZ222" s="93"/>
      <c r="BA222" s="93"/>
      <c r="BB222" s="90"/>
      <c r="BC222" s="90"/>
      <c r="BD222" s="93"/>
      <c r="BE222" s="93"/>
      <c r="BF222" s="90"/>
      <c r="BG222" s="90"/>
      <c r="BH222" s="93"/>
      <c r="BI222" s="93"/>
      <c r="BJ222" s="91"/>
      <c r="BK222" s="91"/>
      <c r="BL222" s="91"/>
      <c r="BM222" s="91"/>
      <c r="BN222" s="91"/>
      <c r="BO222" s="91"/>
      <c r="BP222" s="91"/>
      <c r="BQ222" s="91"/>
      <c r="BR222" s="91"/>
    </row>
    <row r="223" spans="11:70">
      <c r="K223" s="88"/>
      <c r="L223" s="88"/>
      <c r="M223" s="88"/>
      <c r="N223" s="88"/>
      <c r="O223" s="88"/>
      <c r="P223" s="88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90"/>
      <c r="AI223" s="91"/>
      <c r="AJ223" s="92"/>
      <c r="AK223" s="91"/>
      <c r="AL223" s="92"/>
      <c r="AM223" s="91"/>
      <c r="AN223" s="91"/>
      <c r="AO223" s="90"/>
      <c r="AP223" s="90"/>
      <c r="AQ223" s="93"/>
      <c r="AR223" s="93"/>
      <c r="AS223" s="91"/>
      <c r="AT223" s="90"/>
      <c r="AU223" s="90"/>
      <c r="AV223" s="93"/>
      <c r="AW223" s="93"/>
      <c r="AX223" s="90"/>
      <c r="AY223" s="90"/>
      <c r="AZ223" s="93"/>
      <c r="BA223" s="93"/>
      <c r="BB223" s="90"/>
      <c r="BC223" s="90"/>
      <c r="BD223" s="93"/>
      <c r="BE223" s="93"/>
      <c r="BF223" s="90"/>
      <c r="BG223" s="90"/>
      <c r="BH223" s="93"/>
      <c r="BI223" s="93"/>
      <c r="BJ223" s="91"/>
      <c r="BK223" s="91"/>
      <c r="BL223" s="91"/>
      <c r="BM223" s="91"/>
      <c r="BN223" s="91"/>
      <c r="BO223" s="91"/>
      <c r="BP223" s="91"/>
      <c r="BQ223" s="91"/>
      <c r="BR223" s="91"/>
    </row>
    <row r="224" spans="11:70">
      <c r="K224" s="88"/>
      <c r="L224" s="88"/>
      <c r="M224" s="88"/>
      <c r="N224" s="88"/>
      <c r="O224" s="88"/>
      <c r="P224" s="88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90"/>
      <c r="AI224" s="91"/>
      <c r="AJ224" s="92"/>
      <c r="AK224" s="91"/>
      <c r="AL224" s="92"/>
      <c r="AM224" s="91"/>
      <c r="AN224" s="91"/>
      <c r="AO224" s="90"/>
      <c r="AP224" s="90"/>
      <c r="AQ224" s="93"/>
      <c r="AR224" s="93"/>
      <c r="AS224" s="91"/>
      <c r="AT224" s="90"/>
      <c r="AU224" s="90"/>
      <c r="AV224" s="93"/>
      <c r="AW224" s="93"/>
      <c r="AX224" s="90"/>
      <c r="AY224" s="90"/>
      <c r="AZ224" s="93"/>
      <c r="BA224" s="93"/>
      <c r="BB224" s="90"/>
      <c r="BC224" s="90"/>
      <c r="BD224" s="93"/>
      <c r="BE224" s="93"/>
      <c r="BF224" s="90"/>
      <c r="BG224" s="90"/>
      <c r="BH224" s="93"/>
      <c r="BI224" s="93"/>
      <c r="BJ224" s="91"/>
      <c r="BK224" s="91"/>
      <c r="BL224" s="91"/>
      <c r="BM224" s="91"/>
      <c r="BN224" s="91"/>
      <c r="BO224" s="91"/>
      <c r="BP224" s="91"/>
      <c r="BQ224" s="91"/>
      <c r="BR224" s="91"/>
    </row>
    <row r="225" spans="11:70">
      <c r="K225" s="88"/>
      <c r="L225" s="88"/>
      <c r="M225" s="88"/>
      <c r="N225" s="88"/>
      <c r="O225" s="88"/>
      <c r="P225" s="88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90"/>
      <c r="AI225" s="91"/>
      <c r="AJ225" s="92"/>
      <c r="AK225" s="91"/>
      <c r="AL225" s="92"/>
      <c r="AM225" s="91"/>
      <c r="AN225" s="91"/>
      <c r="AO225" s="90"/>
      <c r="AP225" s="90"/>
      <c r="AQ225" s="93"/>
      <c r="AR225" s="93"/>
      <c r="AS225" s="91"/>
      <c r="AT225" s="90"/>
      <c r="AU225" s="90"/>
      <c r="AV225" s="93"/>
      <c r="AW225" s="93"/>
      <c r="AX225" s="90"/>
      <c r="AY225" s="90"/>
      <c r="AZ225" s="93"/>
      <c r="BA225" s="93"/>
      <c r="BB225" s="90"/>
      <c r="BC225" s="90"/>
      <c r="BD225" s="93"/>
      <c r="BE225" s="93"/>
      <c r="BF225" s="90"/>
      <c r="BG225" s="90"/>
      <c r="BH225" s="93"/>
      <c r="BI225" s="93"/>
      <c r="BJ225" s="91"/>
      <c r="BK225" s="91"/>
      <c r="BL225" s="91"/>
      <c r="BM225" s="91"/>
      <c r="BN225" s="91"/>
      <c r="BO225" s="91"/>
      <c r="BP225" s="91"/>
      <c r="BQ225" s="91"/>
      <c r="BR225" s="91"/>
    </row>
    <row r="226" spans="11:70">
      <c r="K226" s="88"/>
      <c r="L226" s="88"/>
      <c r="M226" s="88"/>
      <c r="N226" s="88"/>
      <c r="O226" s="88"/>
      <c r="P226" s="88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90"/>
      <c r="AI226" s="91"/>
      <c r="AJ226" s="92"/>
      <c r="AK226" s="91"/>
      <c r="AL226" s="92"/>
      <c r="AM226" s="91"/>
      <c r="AN226" s="91"/>
      <c r="AO226" s="90"/>
      <c r="AP226" s="90"/>
      <c r="AQ226" s="93"/>
      <c r="AR226" s="93"/>
      <c r="AS226" s="91"/>
      <c r="AT226" s="90"/>
      <c r="AU226" s="90"/>
      <c r="AV226" s="93"/>
      <c r="AW226" s="93"/>
      <c r="AX226" s="90"/>
      <c r="AY226" s="90"/>
      <c r="AZ226" s="93"/>
      <c r="BA226" s="93"/>
      <c r="BB226" s="90"/>
      <c r="BC226" s="90"/>
      <c r="BD226" s="93"/>
      <c r="BE226" s="93"/>
      <c r="BF226" s="90"/>
      <c r="BG226" s="90"/>
      <c r="BH226" s="93"/>
      <c r="BI226" s="93"/>
      <c r="BJ226" s="91"/>
      <c r="BK226" s="91"/>
      <c r="BL226" s="91"/>
      <c r="BM226" s="91"/>
      <c r="BN226" s="91"/>
      <c r="BO226" s="91"/>
      <c r="BP226" s="91"/>
      <c r="BQ226" s="91"/>
      <c r="BR226" s="91"/>
    </row>
    <row r="227" spans="11:70">
      <c r="K227" s="88"/>
      <c r="L227" s="88"/>
      <c r="M227" s="88"/>
      <c r="N227" s="88"/>
      <c r="O227" s="88"/>
      <c r="P227" s="88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90"/>
      <c r="AI227" s="91"/>
      <c r="AJ227" s="92"/>
      <c r="AK227" s="91"/>
      <c r="AL227" s="92"/>
      <c r="AM227" s="91"/>
      <c r="AN227" s="91"/>
      <c r="AO227" s="90"/>
      <c r="AP227" s="90"/>
      <c r="AQ227" s="93"/>
      <c r="AR227" s="93"/>
      <c r="AS227" s="91"/>
      <c r="AT227" s="90"/>
      <c r="AU227" s="90"/>
      <c r="AV227" s="93"/>
      <c r="AW227" s="93"/>
      <c r="AX227" s="90"/>
      <c r="AY227" s="90"/>
      <c r="AZ227" s="93"/>
      <c r="BA227" s="93"/>
      <c r="BB227" s="90"/>
      <c r="BC227" s="90"/>
      <c r="BD227" s="93"/>
      <c r="BE227" s="93"/>
      <c r="BF227" s="90"/>
      <c r="BG227" s="90"/>
      <c r="BH227" s="93"/>
      <c r="BI227" s="93"/>
      <c r="BJ227" s="91"/>
      <c r="BK227" s="91"/>
      <c r="BL227" s="91"/>
      <c r="BM227" s="91"/>
      <c r="BN227" s="91"/>
      <c r="BO227" s="91"/>
      <c r="BP227" s="91"/>
      <c r="BQ227" s="91"/>
      <c r="BR227" s="91"/>
    </row>
    <row r="228" spans="11:70">
      <c r="K228" s="88"/>
      <c r="L228" s="88"/>
      <c r="M228" s="88"/>
      <c r="N228" s="88"/>
      <c r="O228" s="88"/>
      <c r="P228" s="88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90"/>
      <c r="AI228" s="91"/>
      <c r="AJ228" s="92"/>
      <c r="AK228" s="91"/>
      <c r="AL228" s="92"/>
      <c r="AM228" s="91"/>
      <c r="AN228" s="91"/>
      <c r="AO228" s="90"/>
      <c r="AP228" s="90"/>
      <c r="AQ228" s="93"/>
      <c r="AR228" s="93"/>
      <c r="AS228" s="91"/>
      <c r="AT228" s="90"/>
      <c r="AU228" s="90"/>
      <c r="AV228" s="93"/>
      <c r="AW228" s="93"/>
      <c r="AX228" s="90"/>
      <c r="AY228" s="90"/>
      <c r="AZ228" s="93"/>
      <c r="BA228" s="93"/>
      <c r="BB228" s="90"/>
      <c r="BC228" s="90"/>
      <c r="BD228" s="93"/>
      <c r="BE228" s="93"/>
      <c r="BF228" s="90"/>
      <c r="BG228" s="90"/>
      <c r="BH228" s="93"/>
      <c r="BI228" s="93"/>
      <c r="BJ228" s="91"/>
      <c r="BK228" s="91"/>
      <c r="BL228" s="91"/>
      <c r="BM228" s="91"/>
      <c r="BN228" s="91"/>
      <c r="BO228" s="91"/>
      <c r="BP228" s="91"/>
      <c r="BQ228" s="91"/>
      <c r="BR228" s="91"/>
    </row>
    <row r="229" spans="11:70">
      <c r="K229" s="88"/>
      <c r="L229" s="88"/>
      <c r="M229" s="88"/>
      <c r="N229" s="88"/>
      <c r="O229" s="88"/>
      <c r="P229" s="88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90"/>
      <c r="AI229" s="91"/>
      <c r="AJ229" s="92"/>
      <c r="AK229" s="91"/>
      <c r="AL229" s="92"/>
      <c r="AM229" s="91"/>
      <c r="AN229" s="91"/>
      <c r="AO229" s="90"/>
      <c r="AP229" s="90"/>
      <c r="AQ229" s="93"/>
      <c r="AR229" s="93"/>
      <c r="AS229" s="91"/>
      <c r="AT229" s="90"/>
      <c r="AU229" s="90"/>
      <c r="AV229" s="93"/>
      <c r="AW229" s="93"/>
      <c r="AX229" s="90"/>
      <c r="AY229" s="90"/>
      <c r="AZ229" s="93"/>
      <c r="BA229" s="93"/>
      <c r="BB229" s="90"/>
      <c r="BC229" s="90"/>
      <c r="BD229" s="93"/>
      <c r="BE229" s="93"/>
      <c r="BF229" s="90"/>
      <c r="BG229" s="90"/>
      <c r="BH229" s="93"/>
      <c r="BI229" s="93"/>
      <c r="BJ229" s="91"/>
      <c r="BK229" s="91"/>
      <c r="BL229" s="91"/>
      <c r="BM229" s="91"/>
      <c r="BN229" s="91"/>
      <c r="BO229" s="91"/>
      <c r="BP229" s="91"/>
      <c r="BQ229" s="91"/>
      <c r="BR229" s="91"/>
    </row>
    <row r="230" spans="11:70">
      <c r="K230" s="88"/>
      <c r="L230" s="88"/>
      <c r="M230" s="88"/>
      <c r="N230" s="88"/>
      <c r="O230" s="88"/>
      <c r="P230" s="88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1"/>
      <c r="AJ230" s="92"/>
      <c r="AK230" s="91"/>
      <c r="AL230" s="92"/>
      <c r="AM230" s="91"/>
      <c r="AN230" s="91"/>
      <c r="AO230" s="90"/>
      <c r="AP230" s="90"/>
      <c r="AQ230" s="93"/>
      <c r="AR230" s="93"/>
      <c r="AS230" s="91"/>
      <c r="AT230" s="90"/>
      <c r="AU230" s="90"/>
      <c r="AV230" s="93"/>
      <c r="AW230" s="93"/>
      <c r="AX230" s="90"/>
      <c r="AY230" s="90"/>
      <c r="AZ230" s="93"/>
      <c r="BA230" s="93"/>
      <c r="BB230" s="90"/>
      <c r="BC230" s="90"/>
      <c r="BD230" s="93"/>
      <c r="BE230" s="93"/>
      <c r="BF230" s="90"/>
      <c r="BG230" s="90"/>
      <c r="BH230" s="93"/>
      <c r="BI230" s="93"/>
      <c r="BJ230" s="91"/>
      <c r="BK230" s="91"/>
      <c r="BL230" s="91"/>
      <c r="BM230" s="91"/>
      <c r="BN230" s="91"/>
      <c r="BO230" s="91"/>
      <c r="BP230" s="91"/>
      <c r="BQ230" s="91"/>
      <c r="BR230" s="91"/>
    </row>
    <row r="231" spans="11:70">
      <c r="K231" s="88"/>
      <c r="L231" s="88"/>
      <c r="M231" s="88"/>
      <c r="N231" s="88"/>
      <c r="O231" s="88"/>
      <c r="P231" s="88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1"/>
      <c r="AJ231" s="92"/>
      <c r="AK231" s="91"/>
      <c r="AL231" s="92"/>
      <c r="AM231" s="91"/>
      <c r="AN231" s="91"/>
      <c r="AO231" s="90"/>
      <c r="AP231" s="90"/>
      <c r="AQ231" s="93"/>
      <c r="AR231" s="93"/>
      <c r="AS231" s="91"/>
      <c r="AT231" s="90"/>
      <c r="AU231" s="90"/>
      <c r="AV231" s="93"/>
      <c r="AW231" s="93"/>
      <c r="AX231" s="90"/>
      <c r="AY231" s="90"/>
      <c r="AZ231" s="93"/>
      <c r="BA231" s="93"/>
      <c r="BB231" s="90"/>
      <c r="BC231" s="90"/>
      <c r="BD231" s="93"/>
      <c r="BE231" s="93"/>
      <c r="BF231" s="90"/>
      <c r="BG231" s="90"/>
      <c r="BH231" s="93"/>
      <c r="BI231" s="93"/>
      <c r="BJ231" s="91"/>
      <c r="BK231" s="91"/>
      <c r="BL231" s="91"/>
      <c r="BM231" s="91"/>
      <c r="BN231" s="91"/>
      <c r="BO231" s="91"/>
      <c r="BP231" s="91"/>
      <c r="BQ231" s="91"/>
      <c r="BR231" s="91"/>
    </row>
    <row r="232" spans="11:70">
      <c r="K232" s="88"/>
      <c r="L232" s="88"/>
      <c r="M232" s="88"/>
      <c r="N232" s="88"/>
      <c r="O232" s="88"/>
      <c r="P232" s="88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90"/>
      <c r="AI232" s="91"/>
      <c r="AJ232" s="92"/>
      <c r="AK232" s="91"/>
      <c r="AL232" s="92"/>
      <c r="AM232" s="91"/>
      <c r="AN232" s="91"/>
      <c r="AO232" s="90"/>
      <c r="AP232" s="90"/>
      <c r="AQ232" s="93"/>
      <c r="AR232" s="93"/>
      <c r="AS232" s="91"/>
      <c r="AT232" s="90"/>
      <c r="AU232" s="90"/>
      <c r="AV232" s="93"/>
      <c r="AW232" s="93"/>
      <c r="AX232" s="90"/>
      <c r="AY232" s="90"/>
      <c r="AZ232" s="93"/>
      <c r="BA232" s="93"/>
      <c r="BB232" s="90"/>
      <c r="BC232" s="90"/>
      <c r="BD232" s="93"/>
      <c r="BE232" s="93"/>
      <c r="BF232" s="90"/>
      <c r="BG232" s="90"/>
      <c r="BH232" s="93"/>
      <c r="BI232" s="93"/>
      <c r="BJ232" s="91"/>
      <c r="BK232" s="91"/>
      <c r="BL232" s="91"/>
      <c r="BM232" s="91"/>
      <c r="BN232" s="91"/>
      <c r="BO232" s="91"/>
      <c r="BP232" s="91"/>
      <c r="BQ232" s="91"/>
      <c r="BR232" s="91"/>
    </row>
    <row r="233" spans="11:70">
      <c r="K233" s="88"/>
      <c r="L233" s="88"/>
      <c r="M233" s="88"/>
      <c r="N233" s="88"/>
      <c r="O233" s="88"/>
      <c r="P233" s="88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90"/>
      <c r="AI233" s="91"/>
      <c r="AJ233" s="92"/>
      <c r="AK233" s="91"/>
      <c r="AL233" s="92"/>
      <c r="AM233" s="91"/>
      <c r="AN233" s="91"/>
      <c r="AO233" s="90"/>
      <c r="AP233" s="90"/>
      <c r="AQ233" s="93"/>
      <c r="AR233" s="93"/>
      <c r="AS233" s="91"/>
      <c r="AT233" s="90"/>
      <c r="AU233" s="90"/>
      <c r="AV233" s="93"/>
      <c r="AW233" s="93"/>
      <c r="AX233" s="90"/>
      <c r="AY233" s="90"/>
      <c r="AZ233" s="93"/>
      <c r="BA233" s="93"/>
      <c r="BB233" s="90"/>
      <c r="BC233" s="90"/>
      <c r="BD233" s="93"/>
      <c r="BE233" s="93"/>
      <c r="BF233" s="90"/>
      <c r="BG233" s="90"/>
      <c r="BH233" s="93"/>
      <c r="BI233" s="93"/>
      <c r="BJ233" s="91"/>
      <c r="BK233" s="91"/>
      <c r="BL233" s="91"/>
      <c r="BM233" s="91"/>
      <c r="BN233" s="91"/>
      <c r="BO233" s="91"/>
      <c r="BP233" s="91"/>
      <c r="BQ233" s="91"/>
      <c r="BR233" s="91"/>
    </row>
    <row r="234" spans="11:70">
      <c r="K234" s="88"/>
      <c r="L234" s="88"/>
      <c r="M234" s="88"/>
      <c r="N234" s="88"/>
      <c r="O234" s="88"/>
      <c r="P234" s="88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90"/>
      <c r="AI234" s="91"/>
      <c r="AJ234" s="92"/>
      <c r="AK234" s="91"/>
      <c r="AL234" s="92"/>
      <c r="AM234" s="91"/>
      <c r="AN234" s="91"/>
      <c r="AO234" s="90"/>
      <c r="AP234" s="90"/>
      <c r="AQ234" s="93"/>
      <c r="AR234" s="93"/>
      <c r="AS234" s="91"/>
      <c r="AT234" s="90"/>
      <c r="AU234" s="90"/>
      <c r="AV234" s="93"/>
      <c r="AW234" s="93"/>
      <c r="AX234" s="90"/>
      <c r="AY234" s="90"/>
      <c r="AZ234" s="93"/>
      <c r="BA234" s="93"/>
      <c r="BB234" s="90"/>
      <c r="BC234" s="90"/>
      <c r="BD234" s="93"/>
      <c r="BE234" s="93"/>
      <c r="BF234" s="90"/>
      <c r="BG234" s="90"/>
      <c r="BH234" s="93"/>
      <c r="BI234" s="93"/>
      <c r="BJ234" s="91"/>
      <c r="BK234" s="91"/>
      <c r="BL234" s="91"/>
      <c r="BM234" s="91"/>
      <c r="BN234" s="91"/>
      <c r="BO234" s="91"/>
      <c r="BP234" s="91"/>
      <c r="BQ234" s="91"/>
      <c r="BR234" s="91"/>
    </row>
    <row r="235" spans="11:70">
      <c r="K235" s="88"/>
      <c r="L235" s="88"/>
      <c r="M235" s="88"/>
      <c r="N235" s="88"/>
      <c r="O235" s="88"/>
      <c r="P235" s="88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90"/>
      <c r="AI235" s="91"/>
      <c r="AJ235" s="92"/>
      <c r="AK235" s="91"/>
      <c r="AL235" s="92"/>
      <c r="AM235" s="91"/>
      <c r="AN235" s="91"/>
      <c r="AO235" s="90"/>
      <c r="AP235" s="90"/>
      <c r="AQ235" s="93"/>
      <c r="AR235" s="93"/>
      <c r="AS235" s="91"/>
      <c r="AT235" s="90"/>
      <c r="AU235" s="90"/>
      <c r="AV235" s="93"/>
      <c r="AW235" s="93"/>
      <c r="AX235" s="90"/>
      <c r="AY235" s="90"/>
      <c r="AZ235" s="93"/>
      <c r="BA235" s="93"/>
      <c r="BB235" s="90"/>
      <c r="BC235" s="90"/>
      <c r="BD235" s="93"/>
      <c r="BE235" s="93"/>
      <c r="BF235" s="90"/>
      <c r="BG235" s="90"/>
      <c r="BH235" s="93"/>
      <c r="BI235" s="93"/>
      <c r="BJ235" s="91"/>
      <c r="BK235" s="91"/>
      <c r="BL235" s="91"/>
      <c r="BM235" s="91"/>
      <c r="BN235" s="91"/>
      <c r="BO235" s="91"/>
      <c r="BP235" s="91"/>
      <c r="BQ235" s="91"/>
      <c r="BR235" s="91"/>
    </row>
    <row r="236" spans="11:70">
      <c r="K236" s="88"/>
      <c r="L236" s="88"/>
      <c r="M236" s="88"/>
      <c r="N236" s="88"/>
      <c r="O236" s="88"/>
      <c r="P236" s="88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90"/>
      <c r="AI236" s="91"/>
      <c r="AJ236" s="92"/>
      <c r="AK236" s="91"/>
      <c r="AL236" s="92"/>
      <c r="AM236" s="91"/>
      <c r="AN236" s="91"/>
      <c r="AO236" s="90"/>
      <c r="AP236" s="90"/>
      <c r="AQ236" s="93"/>
      <c r="AR236" s="93"/>
      <c r="AS236" s="91"/>
      <c r="AT236" s="90"/>
      <c r="AU236" s="90"/>
      <c r="AV236" s="93"/>
      <c r="AW236" s="93"/>
      <c r="AX236" s="90"/>
      <c r="AY236" s="90"/>
      <c r="AZ236" s="93"/>
      <c r="BA236" s="93"/>
      <c r="BB236" s="90"/>
      <c r="BC236" s="90"/>
      <c r="BD236" s="93"/>
      <c r="BE236" s="93"/>
      <c r="BF236" s="90"/>
      <c r="BG236" s="90"/>
      <c r="BH236" s="93"/>
      <c r="BI236" s="93"/>
      <c r="BJ236" s="91"/>
      <c r="BK236" s="91"/>
      <c r="BL236" s="91"/>
      <c r="BM236" s="91"/>
      <c r="BN236" s="91"/>
      <c r="BO236" s="91"/>
      <c r="BP236" s="91"/>
      <c r="BQ236" s="91"/>
      <c r="BR236" s="91"/>
    </row>
    <row r="237" spans="11:70">
      <c r="K237" s="88"/>
      <c r="L237" s="88"/>
      <c r="M237" s="88"/>
      <c r="N237" s="88"/>
      <c r="O237" s="88"/>
      <c r="P237" s="88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90"/>
      <c r="AI237" s="91"/>
      <c r="AJ237" s="92"/>
      <c r="AK237" s="91"/>
      <c r="AL237" s="92"/>
      <c r="AM237" s="91"/>
      <c r="AN237" s="91"/>
      <c r="AO237" s="90"/>
      <c r="AP237" s="90"/>
      <c r="AQ237" s="93"/>
      <c r="AR237" s="93"/>
      <c r="AS237" s="91"/>
      <c r="AT237" s="90"/>
      <c r="AU237" s="90"/>
      <c r="AV237" s="93"/>
      <c r="AW237" s="93"/>
      <c r="AX237" s="90"/>
      <c r="AY237" s="90"/>
      <c r="AZ237" s="93"/>
      <c r="BA237" s="93"/>
      <c r="BB237" s="90"/>
      <c r="BC237" s="90"/>
      <c r="BD237" s="93"/>
      <c r="BE237" s="93"/>
      <c r="BF237" s="90"/>
      <c r="BG237" s="90"/>
      <c r="BH237" s="93"/>
      <c r="BI237" s="93"/>
      <c r="BJ237" s="91"/>
      <c r="BK237" s="91"/>
      <c r="BL237" s="91"/>
      <c r="BM237" s="91"/>
      <c r="BN237" s="91"/>
      <c r="BO237" s="91"/>
      <c r="BP237" s="91"/>
      <c r="BQ237" s="91"/>
      <c r="BR237" s="91"/>
    </row>
    <row r="238" spans="11:70">
      <c r="K238" s="88"/>
      <c r="L238" s="88"/>
      <c r="M238" s="88"/>
      <c r="N238" s="88"/>
      <c r="O238" s="88"/>
      <c r="P238" s="88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90"/>
      <c r="AI238" s="91"/>
      <c r="AJ238" s="92"/>
      <c r="AK238" s="91"/>
      <c r="AL238" s="92"/>
      <c r="AM238" s="91"/>
      <c r="AN238" s="91"/>
      <c r="AO238" s="90"/>
      <c r="AP238" s="90"/>
      <c r="AQ238" s="93"/>
      <c r="AR238" s="93"/>
      <c r="AS238" s="91"/>
      <c r="AT238" s="90"/>
      <c r="AU238" s="90"/>
      <c r="AV238" s="93"/>
      <c r="AW238" s="93"/>
      <c r="AX238" s="90"/>
      <c r="AY238" s="90"/>
      <c r="AZ238" s="93"/>
      <c r="BA238" s="93"/>
      <c r="BB238" s="90"/>
      <c r="BC238" s="90"/>
      <c r="BD238" s="93"/>
      <c r="BE238" s="93"/>
      <c r="BF238" s="90"/>
      <c r="BG238" s="90"/>
      <c r="BH238" s="93"/>
      <c r="BI238" s="93"/>
      <c r="BJ238" s="91"/>
      <c r="BK238" s="91"/>
      <c r="BL238" s="91"/>
      <c r="BM238" s="91"/>
      <c r="BN238" s="91"/>
      <c r="BO238" s="91"/>
      <c r="BP238" s="91"/>
      <c r="BQ238" s="91"/>
      <c r="BR238" s="91"/>
    </row>
    <row r="239" spans="11:70">
      <c r="K239" s="88"/>
      <c r="L239" s="88"/>
      <c r="M239" s="88"/>
      <c r="N239" s="88"/>
      <c r="O239" s="88"/>
      <c r="P239" s="88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90"/>
      <c r="AI239" s="91"/>
      <c r="AJ239" s="92"/>
      <c r="AK239" s="91"/>
      <c r="AL239" s="92"/>
      <c r="AM239" s="91"/>
      <c r="AN239" s="91"/>
      <c r="AO239" s="90"/>
      <c r="AP239" s="90"/>
      <c r="AQ239" s="93"/>
      <c r="AR239" s="93"/>
      <c r="AS239" s="91"/>
      <c r="AT239" s="90"/>
      <c r="AU239" s="90"/>
      <c r="AV239" s="93"/>
      <c r="AW239" s="93"/>
      <c r="AX239" s="90"/>
      <c r="AY239" s="90"/>
      <c r="AZ239" s="93"/>
      <c r="BA239" s="93"/>
      <c r="BB239" s="90"/>
      <c r="BC239" s="90"/>
      <c r="BD239" s="93"/>
      <c r="BE239" s="93"/>
      <c r="BF239" s="90"/>
      <c r="BG239" s="90"/>
      <c r="BH239" s="93"/>
      <c r="BI239" s="93"/>
      <c r="BJ239" s="91"/>
      <c r="BK239" s="91"/>
      <c r="BL239" s="91"/>
      <c r="BM239" s="91"/>
      <c r="BN239" s="91"/>
      <c r="BO239" s="91"/>
      <c r="BP239" s="91"/>
      <c r="BQ239" s="91"/>
      <c r="BR239" s="91"/>
    </row>
    <row r="240" spans="11:70">
      <c r="K240" s="88"/>
      <c r="L240" s="88"/>
      <c r="M240" s="88"/>
      <c r="N240" s="88"/>
      <c r="O240" s="88"/>
      <c r="P240" s="88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90"/>
      <c r="AI240" s="91"/>
      <c r="AJ240" s="92"/>
      <c r="AK240" s="91"/>
      <c r="AL240" s="92"/>
      <c r="AM240" s="91"/>
      <c r="AN240" s="91"/>
      <c r="AO240" s="90"/>
      <c r="AP240" s="90"/>
      <c r="AQ240" s="93"/>
      <c r="AR240" s="93"/>
      <c r="AS240" s="91"/>
      <c r="AT240" s="90"/>
      <c r="AU240" s="90"/>
      <c r="AV240" s="93"/>
      <c r="AW240" s="93"/>
      <c r="AX240" s="90"/>
      <c r="AY240" s="90"/>
      <c r="AZ240" s="93"/>
      <c r="BA240" s="93"/>
      <c r="BB240" s="90"/>
      <c r="BC240" s="90"/>
      <c r="BD240" s="93"/>
      <c r="BE240" s="93"/>
      <c r="BF240" s="90"/>
      <c r="BG240" s="90"/>
      <c r="BH240" s="93"/>
      <c r="BI240" s="93"/>
      <c r="BJ240" s="91"/>
      <c r="BK240" s="91"/>
      <c r="BL240" s="91"/>
      <c r="BM240" s="91"/>
      <c r="BN240" s="91"/>
      <c r="BO240" s="91"/>
      <c r="BP240" s="91"/>
      <c r="BQ240" s="91"/>
      <c r="BR240" s="91"/>
    </row>
    <row r="241" spans="11:70">
      <c r="K241" s="88"/>
      <c r="L241" s="88"/>
      <c r="M241" s="88"/>
      <c r="N241" s="88"/>
      <c r="O241" s="88"/>
      <c r="P241" s="88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90"/>
      <c r="AI241" s="91"/>
      <c r="AJ241" s="92"/>
      <c r="AK241" s="91"/>
      <c r="AL241" s="92"/>
      <c r="AM241" s="91"/>
      <c r="AN241" s="91"/>
      <c r="AO241" s="90"/>
      <c r="AP241" s="90"/>
      <c r="AQ241" s="93"/>
      <c r="AR241" s="93"/>
      <c r="AS241" s="91"/>
      <c r="AT241" s="90"/>
      <c r="AU241" s="90"/>
      <c r="AV241" s="93"/>
      <c r="AW241" s="93"/>
      <c r="AX241" s="90"/>
      <c r="AY241" s="90"/>
      <c r="AZ241" s="93"/>
      <c r="BA241" s="93"/>
      <c r="BB241" s="90"/>
      <c r="BC241" s="90"/>
      <c r="BD241" s="93"/>
      <c r="BE241" s="93"/>
      <c r="BF241" s="90"/>
      <c r="BG241" s="90"/>
      <c r="BH241" s="93"/>
      <c r="BI241" s="93"/>
      <c r="BJ241" s="91"/>
      <c r="BK241" s="91"/>
      <c r="BL241" s="91"/>
      <c r="BM241" s="91"/>
      <c r="BN241" s="91"/>
      <c r="BO241" s="91"/>
      <c r="BP241" s="91"/>
      <c r="BQ241" s="91"/>
      <c r="BR241" s="91"/>
    </row>
    <row r="242" spans="11:70">
      <c r="K242" s="88"/>
      <c r="L242" s="88"/>
      <c r="M242" s="88"/>
      <c r="N242" s="88"/>
      <c r="O242" s="88"/>
      <c r="P242" s="88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90"/>
      <c r="AI242" s="91"/>
      <c r="AJ242" s="92"/>
      <c r="AK242" s="91"/>
      <c r="AL242" s="92"/>
      <c r="AM242" s="91"/>
      <c r="AN242" s="91"/>
      <c r="AO242" s="90"/>
      <c r="AP242" s="90"/>
      <c r="AQ242" s="93"/>
      <c r="AR242" s="93"/>
      <c r="AS242" s="91"/>
      <c r="AT242" s="90"/>
      <c r="AU242" s="90"/>
      <c r="AV242" s="93"/>
      <c r="AW242" s="93"/>
      <c r="AX242" s="90"/>
      <c r="AY242" s="90"/>
      <c r="AZ242" s="93"/>
      <c r="BA242" s="93"/>
      <c r="BB242" s="90"/>
      <c r="BC242" s="90"/>
      <c r="BD242" s="93"/>
      <c r="BE242" s="93"/>
      <c r="BF242" s="90"/>
      <c r="BG242" s="90"/>
      <c r="BH242" s="93"/>
      <c r="BI242" s="93"/>
      <c r="BJ242" s="91"/>
      <c r="BK242" s="91"/>
      <c r="BL242" s="91"/>
      <c r="BM242" s="91"/>
      <c r="BN242" s="91"/>
      <c r="BO242" s="91"/>
      <c r="BP242" s="91"/>
      <c r="BQ242" s="91"/>
      <c r="BR242" s="91"/>
    </row>
    <row r="243" spans="11:70">
      <c r="K243" s="88"/>
      <c r="L243" s="88"/>
      <c r="M243" s="88"/>
      <c r="N243" s="88"/>
      <c r="O243" s="88"/>
      <c r="P243" s="88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90"/>
      <c r="AI243" s="91"/>
      <c r="AJ243" s="92"/>
      <c r="AK243" s="91"/>
      <c r="AL243" s="92"/>
      <c r="AM243" s="91"/>
      <c r="AN243" s="91"/>
      <c r="AO243" s="90"/>
      <c r="AP243" s="90"/>
      <c r="AQ243" s="93"/>
      <c r="AR243" s="93"/>
      <c r="AS243" s="91"/>
      <c r="AT243" s="90"/>
      <c r="AU243" s="90"/>
      <c r="AV243" s="93"/>
      <c r="AW243" s="93"/>
      <c r="AX243" s="90"/>
      <c r="AY243" s="90"/>
      <c r="AZ243" s="93"/>
      <c r="BA243" s="93"/>
      <c r="BB243" s="90"/>
      <c r="BC243" s="90"/>
      <c r="BD243" s="93"/>
      <c r="BE243" s="93"/>
      <c r="BF243" s="90"/>
      <c r="BG243" s="90"/>
      <c r="BH243" s="93"/>
      <c r="BI243" s="93"/>
      <c r="BJ243" s="91"/>
      <c r="BK243" s="91"/>
      <c r="BL243" s="91"/>
      <c r="BM243" s="91"/>
      <c r="BN243" s="91"/>
      <c r="BO243" s="91"/>
      <c r="BP243" s="91"/>
      <c r="BQ243" s="91"/>
      <c r="BR243" s="91"/>
    </row>
    <row r="244" spans="11:70">
      <c r="K244" s="88"/>
      <c r="L244" s="88"/>
      <c r="M244" s="88"/>
      <c r="N244" s="88"/>
      <c r="O244" s="88"/>
      <c r="P244" s="88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90"/>
      <c r="AI244" s="91"/>
      <c r="AJ244" s="92"/>
      <c r="AK244" s="91"/>
      <c r="AL244" s="92"/>
      <c r="AM244" s="91"/>
      <c r="AN244" s="91"/>
      <c r="AO244" s="90"/>
      <c r="AP244" s="90"/>
      <c r="AQ244" s="93"/>
      <c r="AR244" s="93"/>
      <c r="AS244" s="91"/>
      <c r="AT244" s="90"/>
      <c r="AU244" s="90"/>
      <c r="AV244" s="93"/>
      <c r="AW244" s="93"/>
      <c r="AX244" s="90"/>
      <c r="AY244" s="90"/>
      <c r="AZ244" s="93"/>
      <c r="BA244" s="93"/>
      <c r="BB244" s="90"/>
      <c r="BC244" s="90"/>
      <c r="BD244" s="93"/>
      <c r="BE244" s="93"/>
      <c r="BF244" s="90"/>
      <c r="BG244" s="90"/>
      <c r="BH244" s="93"/>
      <c r="BI244" s="93"/>
      <c r="BJ244" s="91"/>
      <c r="BK244" s="91"/>
      <c r="BL244" s="91"/>
      <c r="BM244" s="91"/>
      <c r="BN244" s="91"/>
      <c r="BO244" s="91"/>
      <c r="BP244" s="91"/>
      <c r="BQ244" s="91"/>
      <c r="BR244" s="91"/>
    </row>
    <row r="245" spans="11:70">
      <c r="K245" s="88"/>
      <c r="L245" s="88"/>
      <c r="M245" s="88"/>
      <c r="N245" s="88"/>
      <c r="O245" s="88"/>
      <c r="P245" s="88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90"/>
      <c r="AI245" s="91"/>
      <c r="AJ245" s="92"/>
      <c r="AK245" s="91"/>
      <c r="AL245" s="92"/>
      <c r="AM245" s="91"/>
      <c r="AN245" s="91"/>
      <c r="AO245" s="90"/>
      <c r="AP245" s="90"/>
      <c r="AQ245" s="93"/>
      <c r="AR245" s="93"/>
      <c r="AS245" s="91"/>
      <c r="AT245" s="90"/>
      <c r="AU245" s="90"/>
      <c r="AV245" s="93"/>
      <c r="AW245" s="93"/>
      <c r="AX245" s="90"/>
      <c r="AY245" s="90"/>
      <c r="AZ245" s="93"/>
      <c r="BA245" s="93"/>
      <c r="BB245" s="90"/>
      <c r="BC245" s="90"/>
      <c r="BD245" s="93"/>
      <c r="BE245" s="93"/>
      <c r="BF245" s="90"/>
      <c r="BG245" s="90"/>
      <c r="BH245" s="93"/>
      <c r="BI245" s="93"/>
      <c r="BJ245" s="91"/>
      <c r="BK245" s="91"/>
      <c r="BL245" s="91"/>
      <c r="BM245" s="91"/>
      <c r="BN245" s="91"/>
      <c r="BO245" s="91"/>
      <c r="BP245" s="91"/>
      <c r="BQ245" s="91"/>
      <c r="BR245" s="91"/>
    </row>
    <row r="246" spans="11:70">
      <c r="K246" s="88"/>
      <c r="L246" s="88"/>
      <c r="M246" s="88"/>
      <c r="N246" s="88"/>
      <c r="O246" s="88"/>
      <c r="P246" s="88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90"/>
      <c r="AI246" s="91"/>
      <c r="AJ246" s="92"/>
      <c r="AK246" s="91"/>
      <c r="AL246" s="92"/>
      <c r="AM246" s="91"/>
      <c r="AN246" s="91"/>
      <c r="AO246" s="90"/>
      <c r="AP246" s="90"/>
      <c r="AQ246" s="93"/>
      <c r="AR246" s="93"/>
      <c r="AS246" s="91"/>
      <c r="AT246" s="90"/>
      <c r="AU246" s="90"/>
      <c r="AV246" s="93"/>
      <c r="AW246" s="93"/>
      <c r="AX246" s="90"/>
      <c r="AY246" s="90"/>
      <c r="AZ246" s="93"/>
      <c r="BA246" s="93"/>
      <c r="BB246" s="90"/>
      <c r="BC246" s="90"/>
      <c r="BD246" s="93"/>
      <c r="BE246" s="93"/>
      <c r="BF246" s="90"/>
      <c r="BG246" s="90"/>
      <c r="BH246" s="93"/>
      <c r="BI246" s="93"/>
      <c r="BJ246" s="91"/>
      <c r="BK246" s="91"/>
      <c r="BL246" s="91"/>
      <c r="BM246" s="91"/>
      <c r="BN246" s="91"/>
      <c r="BO246" s="91"/>
      <c r="BP246" s="91"/>
      <c r="BQ246" s="91"/>
      <c r="BR246" s="91"/>
    </row>
    <row r="247" spans="11:70">
      <c r="K247" s="88"/>
      <c r="L247" s="88"/>
      <c r="M247" s="88"/>
      <c r="N247" s="88"/>
      <c r="O247" s="88"/>
      <c r="P247" s="88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90"/>
      <c r="AI247" s="91"/>
      <c r="AJ247" s="92"/>
      <c r="AK247" s="91"/>
      <c r="AL247" s="92"/>
      <c r="AM247" s="91"/>
      <c r="AN247" s="91"/>
      <c r="AO247" s="90"/>
      <c r="AP247" s="90"/>
      <c r="AQ247" s="93"/>
      <c r="AR247" s="93"/>
      <c r="AS247" s="91"/>
      <c r="AT247" s="90"/>
      <c r="AU247" s="90"/>
      <c r="AV247" s="93"/>
      <c r="AW247" s="93"/>
      <c r="AX247" s="90"/>
      <c r="AY247" s="90"/>
      <c r="AZ247" s="93"/>
      <c r="BA247" s="93"/>
      <c r="BB247" s="90"/>
      <c r="BC247" s="90"/>
      <c r="BD247" s="93"/>
      <c r="BE247" s="93"/>
      <c r="BF247" s="90"/>
      <c r="BG247" s="90"/>
      <c r="BH247" s="93"/>
      <c r="BI247" s="93"/>
      <c r="BJ247" s="91"/>
      <c r="BK247" s="91"/>
      <c r="BL247" s="91"/>
      <c r="BM247" s="91"/>
      <c r="BN247" s="91"/>
      <c r="BO247" s="91"/>
      <c r="BP247" s="91"/>
      <c r="BQ247" s="91"/>
      <c r="BR247" s="91"/>
    </row>
    <row r="248" spans="11:70">
      <c r="K248" s="88"/>
      <c r="L248" s="88"/>
      <c r="M248" s="88"/>
      <c r="N248" s="88"/>
      <c r="O248" s="88"/>
      <c r="P248" s="88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90"/>
      <c r="AI248" s="91"/>
      <c r="AJ248" s="92"/>
      <c r="AK248" s="91"/>
      <c r="AL248" s="92"/>
      <c r="AM248" s="91"/>
      <c r="AN248" s="91"/>
      <c r="AO248" s="90"/>
      <c r="AP248" s="90"/>
      <c r="AQ248" s="93"/>
      <c r="AR248" s="93"/>
      <c r="AS248" s="91"/>
      <c r="AT248" s="90"/>
      <c r="AU248" s="90"/>
      <c r="AV248" s="93"/>
      <c r="AW248" s="93"/>
      <c r="AX248" s="90"/>
      <c r="AY248" s="90"/>
      <c r="AZ248" s="93"/>
      <c r="BA248" s="93"/>
      <c r="BB248" s="90"/>
      <c r="BC248" s="90"/>
      <c r="BD248" s="93"/>
      <c r="BE248" s="93"/>
      <c r="BF248" s="90"/>
      <c r="BG248" s="90"/>
      <c r="BH248" s="93"/>
      <c r="BI248" s="93"/>
      <c r="BJ248" s="91"/>
      <c r="BK248" s="91"/>
      <c r="BL248" s="91"/>
      <c r="BM248" s="91"/>
      <c r="BN248" s="91"/>
      <c r="BO248" s="91"/>
      <c r="BP248" s="91"/>
      <c r="BQ248" s="91"/>
      <c r="BR248" s="91"/>
    </row>
    <row r="249" spans="11:70">
      <c r="K249" s="88"/>
      <c r="L249" s="88"/>
      <c r="M249" s="88"/>
      <c r="N249" s="88"/>
      <c r="O249" s="88"/>
      <c r="P249" s="88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90"/>
      <c r="AI249" s="91"/>
      <c r="AJ249" s="92"/>
      <c r="AK249" s="91"/>
      <c r="AL249" s="92"/>
      <c r="AM249" s="91"/>
      <c r="AN249" s="91"/>
      <c r="AO249" s="90"/>
      <c r="AP249" s="90"/>
      <c r="AQ249" s="93"/>
      <c r="AR249" s="93"/>
      <c r="AS249" s="91"/>
      <c r="AT249" s="90"/>
      <c r="AU249" s="90"/>
      <c r="AV249" s="93"/>
      <c r="AW249" s="93"/>
      <c r="AX249" s="90"/>
      <c r="AY249" s="90"/>
      <c r="AZ249" s="93"/>
      <c r="BA249" s="93"/>
      <c r="BB249" s="90"/>
      <c r="BC249" s="90"/>
      <c r="BD249" s="93"/>
      <c r="BE249" s="93"/>
      <c r="BF249" s="90"/>
      <c r="BG249" s="90"/>
      <c r="BH249" s="93"/>
      <c r="BI249" s="93"/>
      <c r="BJ249" s="91"/>
      <c r="BK249" s="91"/>
      <c r="BL249" s="91"/>
      <c r="BM249" s="91"/>
      <c r="BN249" s="91"/>
      <c r="BO249" s="91"/>
      <c r="BP249" s="91"/>
      <c r="BQ249" s="91"/>
      <c r="BR249" s="91"/>
    </row>
    <row r="250" spans="11:70">
      <c r="K250" s="88"/>
      <c r="L250" s="88"/>
      <c r="M250" s="88"/>
      <c r="N250" s="88"/>
      <c r="O250" s="88"/>
      <c r="P250" s="88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90"/>
      <c r="AI250" s="91"/>
      <c r="AJ250" s="92"/>
      <c r="AK250" s="91"/>
      <c r="AL250" s="92"/>
      <c r="AM250" s="91"/>
      <c r="AN250" s="91"/>
      <c r="AO250" s="90"/>
      <c r="AP250" s="90"/>
      <c r="AQ250" s="93"/>
      <c r="AR250" s="93"/>
      <c r="AS250" s="91"/>
      <c r="AT250" s="90"/>
      <c r="AU250" s="90"/>
      <c r="AV250" s="93"/>
      <c r="AW250" s="93"/>
      <c r="AX250" s="90"/>
      <c r="AY250" s="90"/>
      <c r="AZ250" s="93"/>
      <c r="BA250" s="93"/>
      <c r="BB250" s="90"/>
      <c r="BC250" s="90"/>
      <c r="BD250" s="93"/>
      <c r="BE250" s="93"/>
      <c r="BF250" s="90"/>
      <c r="BG250" s="90"/>
      <c r="BH250" s="93"/>
      <c r="BI250" s="93"/>
      <c r="BJ250" s="91"/>
      <c r="BK250" s="91"/>
      <c r="BL250" s="91"/>
      <c r="BM250" s="91"/>
      <c r="BN250" s="91"/>
      <c r="BO250" s="91"/>
      <c r="BP250" s="91"/>
      <c r="BQ250" s="91"/>
      <c r="BR250" s="91"/>
    </row>
    <row r="251" spans="11:70">
      <c r="K251" s="88"/>
      <c r="L251" s="88"/>
      <c r="M251" s="88"/>
      <c r="N251" s="88"/>
      <c r="O251" s="88"/>
      <c r="P251" s="88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90"/>
      <c r="AI251" s="91"/>
      <c r="AJ251" s="92"/>
      <c r="AK251" s="91"/>
      <c r="AL251" s="92"/>
      <c r="AM251" s="91"/>
      <c r="AN251" s="91"/>
      <c r="AO251" s="90"/>
      <c r="AP251" s="90"/>
      <c r="AQ251" s="93"/>
      <c r="AR251" s="93"/>
      <c r="AS251" s="91"/>
      <c r="AT251" s="90"/>
      <c r="AU251" s="90"/>
      <c r="AV251" s="93"/>
      <c r="AW251" s="93"/>
      <c r="AX251" s="90"/>
      <c r="AY251" s="90"/>
      <c r="AZ251" s="93"/>
      <c r="BA251" s="93"/>
      <c r="BB251" s="90"/>
      <c r="BC251" s="90"/>
      <c r="BD251" s="93"/>
      <c r="BE251" s="93"/>
      <c r="BF251" s="90"/>
      <c r="BG251" s="90"/>
      <c r="BH251" s="93"/>
      <c r="BI251" s="93"/>
      <c r="BJ251" s="91"/>
      <c r="BK251" s="91"/>
      <c r="BL251" s="91"/>
      <c r="BM251" s="91"/>
      <c r="BN251" s="91"/>
      <c r="BO251" s="91"/>
      <c r="BP251" s="91"/>
      <c r="BQ251" s="91"/>
      <c r="BR251" s="91"/>
    </row>
    <row r="252" spans="11:70">
      <c r="K252" s="88"/>
      <c r="L252" s="88"/>
      <c r="M252" s="88"/>
      <c r="N252" s="88"/>
      <c r="O252" s="88"/>
      <c r="P252" s="88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90"/>
      <c r="AI252" s="91"/>
      <c r="AJ252" s="92"/>
      <c r="AK252" s="91"/>
      <c r="AL252" s="92"/>
      <c r="AM252" s="91"/>
      <c r="AN252" s="91"/>
      <c r="AO252" s="90"/>
      <c r="AP252" s="90"/>
      <c r="AQ252" s="93"/>
      <c r="AR252" s="93"/>
      <c r="AS252" s="91"/>
      <c r="AT252" s="90"/>
      <c r="AU252" s="90"/>
      <c r="AV252" s="93"/>
      <c r="AW252" s="93"/>
      <c r="AX252" s="90"/>
      <c r="AY252" s="90"/>
      <c r="AZ252" s="93"/>
      <c r="BA252" s="93"/>
      <c r="BB252" s="90"/>
      <c r="BC252" s="90"/>
      <c r="BD252" s="93"/>
      <c r="BE252" s="93"/>
      <c r="BF252" s="90"/>
      <c r="BG252" s="90"/>
      <c r="BH252" s="93"/>
      <c r="BI252" s="93"/>
      <c r="BJ252" s="91"/>
      <c r="BK252" s="91"/>
      <c r="BL252" s="91"/>
      <c r="BM252" s="91"/>
      <c r="BN252" s="91"/>
      <c r="BO252" s="91"/>
      <c r="BP252" s="91"/>
      <c r="BQ252" s="91"/>
      <c r="BR252" s="91"/>
    </row>
    <row r="253" spans="11:70">
      <c r="K253" s="88"/>
      <c r="L253" s="88"/>
      <c r="M253" s="88"/>
      <c r="N253" s="88"/>
      <c r="O253" s="88"/>
      <c r="P253" s="88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90"/>
      <c r="AI253" s="91"/>
      <c r="AJ253" s="92"/>
      <c r="AK253" s="91"/>
      <c r="AL253" s="92"/>
      <c r="AM253" s="91"/>
      <c r="AN253" s="91"/>
      <c r="AO253" s="90"/>
      <c r="AP253" s="90"/>
      <c r="AQ253" s="93"/>
      <c r="AR253" s="93"/>
      <c r="AS253" s="91"/>
      <c r="AT253" s="90"/>
      <c r="AU253" s="90"/>
      <c r="AV253" s="93"/>
      <c r="AW253" s="93"/>
      <c r="AX253" s="90"/>
      <c r="AY253" s="90"/>
      <c r="AZ253" s="93"/>
      <c r="BA253" s="93"/>
      <c r="BB253" s="90"/>
      <c r="BC253" s="90"/>
      <c r="BD253" s="93"/>
      <c r="BE253" s="93"/>
      <c r="BF253" s="90"/>
      <c r="BG253" s="90"/>
      <c r="BH253" s="93"/>
      <c r="BI253" s="93"/>
      <c r="BJ253" s="91"/>
      <c r="BK253" s="91"/>
      <c r="BL253" s="91"/>
      <c r="BM253" s="91"/>
      <c r="BN253" s="91"/>
      <c r="BO253" s="91"/>
      <c r="BP253" s="91"/>
      <c r="BQ253" s="91"/>
      <c r="BR253" s="91"/>
    </row>
    <row r="254" spans="11:70">
      <c r="K254" s="88"/>
      <c r="L254" s="88"/>
      <c r="M254" s="88"/>
      <c r="N254" s="88"/>
      <c r="O254" s="88"/>
      <c r="P254" s="88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90"/>
      <c r="AI254" s="91"/>
      <c r="AJ254" s="92"/>
      <c r="AK254" s="91"/>
      <c r="AL254" s="92"/>
      <c r="AM254" s="91"/>
      <c r="AN254" s="91"/>
      <c r="AO254" s="90"/>
      <c r="AP254" s="90"/>
      <c r="AQ254" s="93"/>
      <c r="AR254" s="93"/>
      <c r="AS254" s="91"/>
      <c r="AT254" s="90"/>
      <c r="AU254" s="90"/>
      <c r="AV254" s="93"/>
      <c r="AW254" s="93"/>
      <c r="AX254" s="90"/>
      <c r="AY254" s="90"/>
      <c r="AZ254" s="93"/>
      <c r="BA254" s="93"/>
      <c r="BB254" s="90"/>
      <c r="BC254" s="90"/>
      <c r="BD254" s="93"/>
      <c r="BE254" s="93"/>
      <c r="BF254" s="90"/>
      <c r="BG254" s="90"/>
      <c r="BH254" s="93"/>
      <c r="BI254" s="93"/>
      <c r="BJ254" s="91"/>
      <c r="BK254" s="91"/>
      <c r="BL254" s="91"/>
      <c r="BM254" s="91"/>
      <c r="BN254" s="91"/>
      <c r="BO254" s="91"/>
      <c r="BP254" s="91"/>
      <c r="BQ254" s="91"/>
      <c r="BR254" s="91"/>
    </row>
    <row r="255" spans="11:70">
      <c r="K255" s="88"/>
      <c r="L255" s="88"/>
      <c r="M255" s="88"/>
      <c r="N255" s="88"/>
      <c r="O255" s="88"/>
      <c r="P255" s="88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90"/>
      <c r="AI255" s="91"/>
      <c r="AJ255" s="92"/>
      <c r="AK255" s="91"/>
      <c r="AL255" s="92"/>
      <c r="AM255" s="91"/>
      <c r="AN255" s="91"/>
      <c r="AO255" s="90"/>
      <c r="AP255" s="90"/>
      <c r="AQ255" s="93"/>
      <c r="AR255" s="93"/>
      <c r="AS255" s="91"/>
      <c r="AT255" s="90"/>
      <c r="AU255" s="90"/>
      <c r="AV255" s="93"/>
      <c r="AW255" s="93"/>
      <c r="AX255" s="90"/>
      <c r="AY255" s="90"/>
      <c r="AZ255" s="93"/>
      <c r="BA255" s="93"/>
      <c r="BB255" s="90"/>
      <c r="BC255" s="90"/>
      <c r="BD255" s="93"/>
      <c r="BE255" s="93"/>
      <c r="BF255" s="90"/>
      <c r="BG255" s="90"/>
      <c r="BH255" s="93"/>
      <c r="BI255" s="93"/>
      <c r="BJ255" s="91"/>
      <c r="BK255" s="91"/>
      <c r="BL255" s="91"/>
      <c r="BM255" s="91"/>
      <c r="BN255" s="91"/>
      <c r="BO255" s="91"/>
      <c r="BP255" s="91"/>
      <c r="BQ255" s="91"/>
      <c r="BR255" s="91"/>
    </row>
    <row r="256" spans="11:70">
      <c r="K256" s="88"/>
      <c r="L256" s="88"/>
      <c r="M256" s="88"/>
      <c r="N256" s="88"/>
      <c r="O256" s="88"/>
      <c r="P256" s="88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90"/>
      <c r="AI256" s="91"/>
      <c r="AJ256" s="92"/>
      <c r="AK256" s="91"/>
      <c r="AL256" s="92"/>
      <c r="AM256" s="91"/>
      <c r="AN256" s="91"/>
      <c r="AO256" s="90"/>
      <c r="AP256" s="90"/>
      <c r="AQ256" s="93"/>
      <c r="AR256" s="93"/>
      <c r="AS256" s="91"/>
      <c r="AT256" s="90"/>
      <c r="AU256" s="90"/>
      <c r="AV256" s="93"/>
      <c r="AW256" s="93"/>
      <c r="AX256" s="90"/>
      <c r="AY256" s="90"/>
      <c r="AZ256" s="93"/>
      <c r="BA256" s="93"/>
      <c r="BB256" s="90"/>
      <c r="BC256" s="90"/>
      <c r="BD256" s="93"/>
      <c r="BE256" s="93"/>
      <c r="BF256" s="90"/>
      <c r="BG256" s="90"/>
      <c r="BH256" s="93"/>
      <c r="BI256" s="93"/>
      <c r="BJ256" s="91"/>
      <c r="BK256" s="91"/>
      <c r="BL256" s="91"/>
      <c r="BM256" s="91"/>
      <c r="BN256" s="91"/>
      <c r="BO256" s="91"/>
      <c r="BP256" s="91"/>
      <c r="BQ256" s="91"/>
      <c r="BR256" s="91"/>
    </row>
    <row r="257" spans="11:70">
      <c r="K257" s="88"/>
      <c r="L257" s="88"/>
      <c r="M257" s="88"/>
      <c r="N257" s="88"/>
      <c r="O257" s="88"/>
      <c r="P257" s="88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90"/>
      <c r="AI257" s="91"/>
      <c r="AJ257" s="92"/>
      <c r="AK257" s="91"/>
      <c r="AL257" s="92"/>
      <c r="AM257" s="91"/>
      <c r="AN257" s="91"/>
      <c r="AO257" s="90"/>
      <c r="AP257" s="90"/>
      <c r="AQ257" s="93"/>
      <c r="AR257" s="93"/>
      <c r="AS257" s="91"/>
      <c r="AT257" s="90"/>
      <c r="AU257" s="90"/>
      <c r="AV257" s="93"/>
      <c r="AW257" s="93"/>
      <c r="AX257" s="90"/>
      <c r="AY257" s="90"/>
      <c r="AZ257" s="93"/>
      <c r="BA257" s="93"/>
      <c r="BB257" s="90"/>
      <c r="BC257" s="90"/>
      <c r="BD257" s="93"/>
      <c r="BE257" s="93"/>
      <c r="BF257" s="90"/>
      <c r="BG257" s="90"/>
      <c r="BH257" s="93"/>
      <c r="BI257" s="93"/>
      <c r="BJ257" s="91"/>
      <c r="BK257" s="91"/>
      <c r="BL257" s="91"/>
      <c r="BM257" s="91"/>
      <c r="BN257" s="91"/>
      <c r="BO257" s="91"/>
      <c r="BP257" s="91"/>
      <c r="BQ257" s="91"/>
      <c r="BR257" s="91"/>
    </row>
    <row r="258" spans="11:70">
      <c r="K258" s="88"/>
      <c r="L258" s="88"/>
      <c r="M258" s="88"/>
      <c r="N258" s="88"/>
      <c r="O258" s="88"/>
      <c r="P258" s="88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90"/>
      <c r="AI258" s="91"/>
      <c r="AJ258" s="92"/>
      <c r="AK258" s="91"/>
      <c r="AL258" s="92"/>
      <c r="AM258" s="91"/>
      <c r="AN258" s="91"/>
      <c r="AO258" s="90"/>
      <c r="AP258" s="90"/>
      <c r="AQ258" s="93"/>
      <c r="AR258" s="93"/>
      <c r="AS258" s="91"/>
      <c r="AT258" s="90"/>
      <c r="AU258" s="90"/>
      <c r="AV258" s="93"/>
      <c r="AW258" s="93"/>
      <c r="AX258" s="90"/>
      <c r="AY258" s="90"/>
      <c r="AZ258" s="93"/>
      <c r="BA258" s="93"/>
      <c r="BB258" s="90"/>
      <c r="BC258" s="90"/>
      <c r="BD258" s="93"/>
      <c r="BE258" s="93"/>
      <c r="BF258" s="90"/>
      <c r="BG258" s="90"/>
      <c r="BH258" s="93"/>
      <c r="BI258" s="93"/>
      <c r="BJ258" s="91"/>
      <c r="BK258" s="91"/>
      <c r="BL258" s="91"/>
      <c r="BM258" s="91"/>
      <c r="BN258" s="91"/>
      <c r="BO258" s="91"/>
      <c r="BP258" s="91"/>
      <c r="BQ258" s="91"/>
      <c r="BR258" s="91"/>
    </row>
    <row r="259" spans="11:70">
      <c r="K259" s="88"/>
      <c r="L259" s="88"/>
      <c r="M259" s="88"/>
      <c r="N259" s="88"/>
      <c r="O259" s="88"/>
      <c r="P259" s="88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90"/>
      <c r="AI259" s="91"/>
      <c r="AJ259" s="92"/>
      <c r="AK259" s="91"/>
      <c r="AL259" s="92"/>
      <c r="AM259" s="91"/>
      <c r="AN259" s="91"/>
      <c r="AO259" s="90"/>
      <c r="AP259" s="90"/>
      <c r="AQ259" s="93"/>
      <c r="AR259" s="93"/>
      <c r="AS259" s="91"/>
      <c r="AT259" s="90"/>
      <c r="AU259" s="90"/>
      <c r="AV259" s="93"/>
      <c r="AW259" s="93"/>
      <c r="AX259" s="90"/>
      <c r="AY259" s="90"/>
      <c r="AZ259" s="93"/>
      <c r="BA259" s="93"/>
      <c r="BB259" s="90"/>
      <c r="BC259" s="90"/>
      <c r="BD259" s="93"/>
      <c r="BE259" s="93"/>
      <c r="BF259" s="90"/>
      <c r="BG259" s="90"/>
      <c r="BH259" s="93"/>
      <c r="BI259" s="93"/>
      <c r="BJ259" s="91"/>
      <c r="BK259" s="91"/>
      <c r="BL259" s="91"/>
      <c r="BM259" s="91"/>
      <c r="BN259" s="91"/>
      <c r="BO259" s="91"/>
      <c r="BP259" s="91"/>
      <c r="BQ259" s="91"/>
      <c r="BR259" s="91"/>
    </row>
    <row r="260" spans="11:70">
      <c r="K260" s="88"/>
      <c r="L260" s="88"/>
      <c r="M260" s="88"/>
      <c r="N260" s="88"/>
      <c r="O260" s="88"/>
      <c r="P260" s="88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90"/>
      <c r="AI260" s="91"/>
      <c r="AJ260" s="92"/>
      <c r="AK260" s="91"/>
      <c r="AL260" s="92"/>
      <c r="AM260" s="91"/>
      <c r="AN260" s="91"/>
      <c r="AO260" s="90"/>
      <c r="AP260" s="90"/>
      <c r="AQ260" s="93"/>
      <c r="AR260" s="93"/>
      <c r="AS260" s="91"/>
      <c r="AT260" s="90"/>
      <c r="AU260" s="90"/>
      <c r="AV260" s="93"/>
      <c r="AW260" s="93"/>
      <c r="AX260" s="90"/>
      <c r="AY260" s="90"/>
      <c r="AZ260" s="93"/>
      <c r="BA260" s="93"/>
      <c r="BB260" s="90"/>
      <c r="BC260" s="90"/>
      <c r="BD260" s="93"/>
      <c r="BE260" s="93"/>
      <c r="BF260" s="90"/>
      <c r="BG260" s="90"/>
      <c r="BH260" s="93"/>
      <c r="BI260" s="93"/>
      <c r="BJ260" s="91"/>
      <c r="BK260" s="91"/>
      <c r="BL260" s="91"/>
      <c r="BM260" s="91"/>
      <c r="BN260" s="91"/>
      <c r="BO260" s="91"/>
      <c r="BP260" s="91"/>
      <c r="BQ260" s="91"/>
      <c r="BR260" s="91"/>
    </row>
    <row r="261" spans="11:70">
      <c r="K261" s="88"/>
      <c r="L261" s="88"/>
      <c r="M261" s="88"/>
      <c r="N261" s="88"/>
      <c r="O261" s="88"/>
      <c r="P261" s="88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90"/>
      <c r="AI261" s="91"/>
      <c r="AJ261" s="92"/>
      <c r="AK261" s="91"/>
      <c r="AL261" s="92"/>
      <c r="AM261" s="91"/>
      <c r="AN261" s="91"/>
      <c r="AO261" s="90"/>
      <c r="AP261" s="90"/>
      <c r="AQ261" s="93"/>
      <c r="AR261" s="93"/>
      <c r="AS261" s="91"/>
      <c r="AT261" s="90"/>
      <c r="AU261" s="90"/>
      <c r="AV261" s="93"/>
      <c r="AW261" s="93"/>
      <c r="AX261" s="90"/>
      <c r="AY261" s="90"/>
      <c r="AZ261" s="93"/>
      <c r="BA261" s="93"/>
      <c r="BB261" s="90"/>
      <c r="BC261" s="90"/>
      <c r="BD261" s="93"/>
      <c r="BE261" s="93"/>
      <c r="BF261" s="90"/>
      <c r="BG261" s="90"/>
      <c r="BH261" s="93"/>
      <c r="BI261" s="93"/>
      <c r="BJ261" s="91"/>
      <c r="BK261" s="91"/>
      <c r="BL261" s="91"/>
      <c r="BM261" s="91"/>
      <c r="BN261" s="91"/>
      <c r="BO261" s="91"/>
      <c r="BP261" s="91"/>
      <c r="BQ261" s="91"/>
      <c r="BR261" s="91"/>
    </row>
    <row r="262" spans="11:70">
      <c r="K262" s="88"/>
      <c r="L262" s="88"/>
      <c r="M262" s="88"/>
      <c r="N262" s="88"/>
      <c r="O262" s="88"/>
      <c r="P262" s="88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90"/>
      <c r="AI262" s="91"/>
      <c r="AJ262" s="92"/>
      <c r="AK262" s="91"/>
      <c r="AL262" s="92"/>
      <c r="AM262" s="91"/>
      <c r="AN262" s="91"/>
      <c r="AO262" s="90"/>
      <c r="AP262" s="90"/>
      <c r="AQ262" s="93"/>
      <c r="AR262" s="93"/>
      <c r="AS262" s="91"/>
      <c r="AT262" s="90"/>
      <c r="AU262" s="90"/>
      <c r="AV262" s="93"/>
      <c r="AW262" s="93"/>
      <c r="AX262" s="90"/>
      <c r="AY262" s="90"/>
      <c r="AZ262" s="93"/>
      <c r="BA262" s="93"/>
      <c r="BB262" s="90"/>
      <c r="BC262" s="90"/>
      <c r="BD262" s="93"/>
      <c r="BE262" s="93"/>
      <c r="BF262" s="90"/>
      <c r="BG262" s="90"/>
      <c r="BH262" s="93"/>
      <c r="BI262" s="93"/>
      <c r="BJ262" s="91"/>
      <c r="BK262" s="91"/>
      <c r="BL262" s="91"/>
      <c r="BM262" s="91"/>
      <c r="BN262" s="91"/>
      <c r="BO262" s="91"/>
      <c r="BP262" s="91"/>
      <c r="BQ262" s="91"/>
      <c r="BR262" s="91"/>
    </row>
    <row r="263" spans="11:70">
      <c r="K263" s="88"/>
      <c r="L263" s="88"/>
      <c r="M263" s="88"/>
      <c r="N263" s="88"/>
      <c r="O263" s="88"/>
      <c r="P263" s="88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90"/>
      <c r="AI263" s="91"/>
      <c r="AJ263" s="92"/>
      <c r="AK263" s="91"/>
      <c r="AL263" s="92"/>
      <c r="AM263" s="91"/>
      <c r="AN263" s="91"/>
      <c r="AO263" s="90"/>
      <c r="AP263" s="90"/>
      <c r="AQ263" s="93"/>
      <c r="AR263" s="93"/>
      <c r="AS263" s="91"/>
      <c r="AT263" s="90"/>
      <c r="AU263" s="90"/>
      <c r="AV263" s="93"/>
      <c r="AW263" s="93"/>
      <c r="AX263" s="90"/>
      <c r="AY263" s="90"/>
      <c r="AZ263" s="93"/>
      <c r="BA263" s="93"/>
      <c r="BB263" s="90"/>
      <c r="BC263" s="90"/>
      <c r="BD263" s="93"/>
      <c r="BE263" s="93"/>
      <c r="BF263" s="90"/>
      <c r="BG263" s="90"/>
      <c r="BH263" s="93"/>
      <c r="BI263" s="93"/>
      <c r="BJ263" s="91"/>
      <c r="BK263" s="91"/>
      <c r="BL263" s="91"/>
      <c r="BM263" s="91"/>
      <c r="BN263" s="91"/>
      <c r="BO263" s="91"/>
      <c r="BP263" s="91"/>
      <c r="BQ263" s="91"/>
      <c r="BR263" s="91"/>
    </row>
    <row r="264" spans="11:70">
      <c r="K264" s="88"/>
      <c r="L264" s="88"/>
      <c r="M264" s="88"/>
      <c r="N264" s="88"/>
      <c r="O264" s="88"/>
      <c r="P264" s="88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90"/>
      <c r="AI264" s="91"/>
      <c r="AJ264" s="92"/>
      <c r="AK264" s="91"/>
      <c r="AL264" s="92"/>
      <c r="AM264" s="91"/>
      <c r="AN264" s="91"/>
      <c r="AO264" s="90"/>
      <c r="AP264" s="90"/>
      <c r="AQ264" s="93"/>
      <c r="AR264" s="93"/>
      <c r="AS264" s="91"/>
      <c r="AT264" s="90"/>
      <c r="AU264" s="90"/>
      <c r="AV264" s="93"/>
      <c r="AW264" s="93"/>
      <c r="AX264" s="90"/>
      <c r="AY264" s="90"/>
      <c r="AZ264" s="93"/>
      <c r="BA264" s="93"/>
      <c r="BB264" s="90"/>
      <c r="BC264" s="90"/>
      <c r="BD264" s="93"/>
      <c r="BE264" s="93"/>
      <c r="BF264" s="90"/>
      <c r="BG264" s="90"/>
      <c r="BH264" s="93"/>
      <c r="BI264" s="93"/>
      <c r="BJ264" s="91"/>
      <c r="BK264" s="91"/>
      <c r="BL264" s="91"/>
      <c r="BM264" s="91"/>
      <c r="BN264" s="91"/>
      <c r="BO264" s="91"/>
      <c r="BP264" s="91"/>
      <c r="BQ264" s="91"/>
      <c r="BR264" s="91"/>
    </row>
    <row r="265" spans="11:70">
      <c r="K265" s="88"/>
      <c r="L265" s="88"/>
      <c r="M265" s="88"/>
      <c r="N265" s="88"/>
      <c r="O265" s="88"/>
      <c r="P265" s="88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90"/>
      <c r="AI265" s="91"/>
      <c r="AJ265" s="92"/>
      <c r="AK265" s="91"/>
      <c r="AL265" s="92"/>
      <c r="AM265" s="91"/>
      <c r="AN265" s="91"/>
      <c r="AO265" s="90"/>
      <c r="AP265" s="90"/>
      <c r="AQ265" s="93"/>
      <c r="AR265" s="93"/>
      <c r="AS265" s="91"/>
      <c r="AT265" s="90"/>
      <c r="AU265" s="90"/>
      <c r="AV265" s="93"/>
      <c r="AW265" s="93"/>
      <c r="AX265" s="90"/>
      <c r="AY265" s="90"/>
      <c r="AZ265" s="93"/>
      <c r="BA265" s="93"/>
      <c r="BB265" s="90"/>
      <c r="BC265" s="90"/>
      <c r="BD265" s="93"/>
      <c r="BE265" s="93"/>
      <c r="BF265" s="90"/>
      <c r="BG265" s="90"/>
      <c r="BH265" s="93"/>
      <c r="BI265" s="93"/>
      <c r="BJ265" s="91"/>
      <c r="BK265" s="91"/>
      <c r="BL265" s="91"/>
      <c r="BM265" s="91"/>
      <c r="BN265" s="91"/>
      <c r="BO265" s="91"/>
      <c r="BP265" s="91"/>
      <c r="BQ265" s="91"/>
      <c r="BR265" s="91"/>
    </row>
    <row r="266" spans="11:70">
      <c r="K266" s="88"/>
      <c r="L266" s="88"/>
      <c r="M266" s="88"/>
      <c r="N266" s="88"/>
      <c r="O266" s="88"/>
      <c r="P266" s="88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90"/>
      <c r="AI266" s="91"/>
      <c r="AJ266" s="92"/>
      <c r="AK266" s="91"/>
      <c r="AL266" s="92"/>
      <c r="AM266" s="91"/>
      <c r="AN266" s="91"/>
      <c r="AO266" s="90"/>
      <c r="AP266" s="90"/>
      <c r="AQ266" s="93"/>
      <c r="AR266" s="93"/>
      <c r="AS266" s="91"/>
      <c r="AT266" s="90"/>
      <c r="AU266" s="90"/>
      <c r="AV266" s="93"/>
      <c r="AW266" s="93"/>
      <c r="AX266" s="90"/>
      <c r="AY266" s="90"/>
      <c r="AZ266" s="93"/>
      <c r="BA266" s="93"/>
      <c r="BB266" s="90"/>
      <c r="BC266" s="90"/>
      <c r="BD266" s="93"/>
      <c r="BE266" s="93"/>
      <c r="BF266" s="90"/>
      <c r="BG266" s="90"/>
      <c r="BH266" s="93"/>
      <c r="BI266" s="93"/>
      <c r="BJ266" s="91"/>
      <c r="BK266" s="91"/>
      <c r="BL266" s="91"/>
      <c r="BM266" s="91"/>
      <c r="BN266" s="91"/>
      <c r="BO266" s="91"/>
      <c r="BP266" s="91"/>
      <c r="BQ266" s="91"/>
      <c r="BR266" s="91"/>
    </row>
    <row r="267" spans="11:70">
      <c r="K267" s="88"/>
      <c r="L267" s="88"/>
      <c r="M267" s="88"/>
      <c r="N267" s="88"/>
      <c r="O267" s="88"/>
      <c r="P267" s="88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90"/>
      <c r="AI267" s="91"/>
      <c r="AJ267" s="92"/>
      <c r="AK267" s="91"/>
      <c r="AL267" s="92"/>
      <c r="AM267" s="91"/>
      <c r="AN267" s="91"/>
      <c r="AO267" s="90"/>
      <c r="AP267" s="90"/>
      <c r="AQ267" s="93"/>
      <c r="AR267" s="93"/>
      <c r="AS267" s="91"/>
      <c r="AT267" s="90"/>
      <c r="AU267" s="90"/>
      <c r="AV267" s="93"/>
      <c r="AW267" s="93"/>
      <c r="AX267" s="90"/>
      <c r="AY267" s="90"/>
      <c r="AZ267" s="93"/>
      <c r="BA267" s="93"/>
      <c r="BB267" s="90"/>
      <c r="BC267" s="90"/>
      <c r="BD267" s="93"/>
      <c r="BE267" s="93"/>
      <c r="BF267" s="90"/>
      <c r="BG267" s="90"/>
      <c r="BH267" s="93"/>
      <c r="BI267" s="93"/>
      <c r="BJ267" s="91"/>
      <c r="BK267" s="91"/>
      <c r="BL267" s="91"/>
      <c r="BM267" s="91"/>
      <c r="BN267" s="91"/>
      <c r="BO267" s="91"/>
      <c r="BP267" s="91"/>
      <c r="BQ267" s="91"/>
      <c r="BR267" s="91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workbookViewId="0">
      <selection activeCell="A6" sqref="$A6:$XFD6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35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4" t="s">
        <v>105</v>
      </c>
      <c r="R1" t="s">
        <v>169</v>
      </c>
      <c r="S1" t="s">
        <v>107</v>
      </c>
      <c r="T1" t="s">
        <v>170</v>
      </c>
      <c r="U1" t="s">
        <v>149</v>
      </c>
      <c r="V1" t="s">
        <v>171</v>
      </c>
      <c r="W1" t="s">
        <v>172</v>
      </c>
      <c r="X1" t="s">
        <v>173</v>
      </c>
      <c r="Y1" t="s">
        <v>30</v>
      </c>
      <c r="Z1" s="24" t="s">
        <v>31</v>
      </c>
      <c r="AA1" s="25" t="s">
        <v>32</v>
      </c>
      <c r="AB1" s="24" t="s">
        <v>33</v>
      </c>
      <c r="AC1" s="25" t="s">
        <v>34</v>
      </c>
      <c r="AD1" t="s">
        <v>174</v>
      </c>
      <c r="AE1" t="s">
        <v>130</v>
      </c>
    </row>
    <row r="2" customFormat="1" spans="1:31">
      <c r="A2" t="s">
        <v>78</v>
      </c>
      <c r="B2" s="26">
        <v>0.2</v>
      </c>
      <c r="Q2" s="24"/>
      <c r="R2" s="26"/>
      <c r="T2" s="26"/>
      <c r="Y2" s="27" t="s">
        <v>82</v>
      </c>
      <c r="Z2" s="28">
        <v>1.3066</v>
      </c>
      <c r="AA2" s="29">
        <v>361</v>
      </c>
      <c r="AB2" s="28">
        <v>1.9598</v>
      </c>
      <c r="AC2" s="25">
        <v>197</v>
      </c>
      <c r="AD2" t="s">
        <v>175</v>
      </c>
      <c r="AE2">
        <v>1.1</v>
      </c>
    </row>
    <row r="3" spans="1:31">
      <c r="A3" t="s">
        <v>84</v>
      </c>
      <c r="B3" s="26">
        <v>0.2</v>
      </c>
      <c r="R3" s="26"/>
      <c r="T3" s="26"/>
      <c r="Y3" s="27" t="s">
        <v>82</v>
      </c>
      <c r="Z3" s="28">
        <v>1.5679</v>
      </c>
      <c r="AA3" s="29">
        <v>433</v>
      </c>
      <c r="AB3" s="28">
        <v>2.3518</v>
      </c>
      <c r="AC3" s="25">
        <v>236</v>
      </c>
      <c r="AD3" t="s">
        <v>175</v>
      </c>
      <c r="AE3">
        <v>1.1</v>
      </c>
    </row>
    <row r="4" customFormat="1" spans="1:31">
      <c r="A4" t="s">
        <v>89</v>
      </c>
      <c r="B4" s="26">
        <v>0.2</v>
      </c>
      <c r="Q4" s="24"/>
      <c r="R4" s="26"/>
      <c r="T4" s="26"/>
      <c r="Y4" s="27" t="s">
        <v>82</v>
      </c>
      <c r="Z4" s="28">
        <v>1.8292</v>
      </c>
      <c r="AA4" s="29">
        <v>506</v>
      </c>
      <c r="AB4" s="28">
        <v>2.7438</v>
      </c>
      <c r="AC4" s="25">
        <v>276</v>
      </c>
      <c r="AD4" t="s">
        <v>175</v>
      </c>
      <c r="AE4">
        <v>1.1</v>
      </c>
    </row>
    <row r="5" spans="1:31">
      <c r="A5" t="s">
        <v>96</v>
      </c>
      <c r="B5" s="26">
        <v>0.2</v>
      </c>
      <c r="R5" s="26"/>
      <c r="T5" s="26"/>
      <c r="Y5" s="27" t="s">
        <v>82</v>
      </c>
      <c r="Z5" s="28">
        <f>SUM(Z2:Z4)</f>
        <v>4.7037</v>
      </c>
      <c r="AA5" s="29">
        <f t="shared" ref="Z5:AC5" si="0">SUM(AA2:AA4)</f>
        <v>1300</v>
      </c>
      <c r="AB5" s="28">
        <f t="shared" si="0"/>
        <v>7.0554</v>
      </c>
      <c r="AC5" s="29">
        <f t="shared" si="0"/>
        <v>709</v>
      </c>
      <c r="AD5" t="s">
        <v>175</v>
      </c>
      <c r="AE5">
        <v>1.1</v>
      </c>
    </row>
    <row r="6" customFormat="1" spans="1:31">
      <c r="A6" t="s">
        <v>151</v>
      </c>
      <c r="B6" s="26">
        <v>0.2</v>
      </c>
      <c r="Q6" s="24"/>
      <c r="R6" s="26"/>
      <c r="T6" s="26"/>
      <c r="V6">
        <v>1</v>
      </c>
      <c r="Y6" s="27" t="s">
        <v>82</v>
      </c>
      <c r="Z6" s="28">
        <v>1.3066</v>
      </c>
      <c r="AA6" s="29">
        <v>361</v>
      </c>
      <c r="AB6" s="28">
        <v>1.9598</v>
      </c>
      <c r="AC6" s="25">
        <v>197</v>
      </c>
      <c r="AD6" t="s">
        <v>175</v>
      </c>
      <c r="AE6">
        <v>1.1</v>
      </c>
    </row>
    <row r="7" customFormat="1" spans="1:31">
      <c r="A7" t="s">
        <v>153</v>
      </c>
      <c r="B7" s="26">
        <v>0.2</v>
      </c>
      <c r="Q7" s="24"/>
      <c r="R7" s="26"/>
      <c r="T7" s="26"/>
      <c r="V7">
        <v>1</v>
      </c>
      <c r="Y7" s="27" t="s">
        <v>82</v>
      </c>
      <c r="Z7" s="28">
        <v>1.5679</v>
      </c>
      <c r="AA7" s="29">
        <v>433</v>
      </c>
      <c r="AB7" s="28">
        <v>2.3518</v>
      </c>
      <c r="AC7" s="25">
        <v>236</v>
      </c>
      <c r="AD7" t="s">
        <v>175</v>
      </c>
      <c r="AE7">
        <v>1.1</v>
      </c>
    </row>
    <row r="8" customFormat="1" spans="1:31">
      <c r="A8" t="s">
        <v>155</v>
      </c>
      <c r="B8" s="26">
        <v>0.2</v>
      </c>
      <c r="Q8" s="24"/>
      <c r="R8" s="26"/>
      <c r="T8" s="26"/>
      <c r="X8">
        <v>1</v>
      </c>
      <c r="Y8" s="27" t="s">
        <v>82</v>
      </c>
      <c r="Z8" s="28">
        <v>1.8292</v>
      </c>
      <c r="AA8" s="29">
        <v>506</v>
      </c>
      <c r="AB8" s="28">
        <v>2.7438</v>
      </c>
      <c r="AC8" s="25">
        <v>276</v>
      </c>
      <c r="AD8" t="s">
        <v>175</v>
      </c>
      <c r="AE8">
        <v>1.1</v>
      </c>
    </row>
    <row r="9" spans="1:31">
      <c r="A9" t="s">
        <v>93</v>
      </c>
      <c r="B9" s="26"/>
      <c r="R9" s="26"/>
      <c r="T9" s="26"/>
      <c r="Y9" s="27" t="s">
        <v>82</v>
      </c>
      <c r="Z9" s="28">
        <v>1.0253</v>
      </c>
      <c r="AA9" s="29">
        <v>283</v>
      </c>
      <c r="AB9" s="28">
        <v>1.538</v>
      </c>
      <c r="AC9" s="25">
        <v>154</v>
      </c>
      <c r="AE9">
        <v>1.1</v>
      </c>
    </row>
    <row r="10" spans="1:31">
      <c r="A10" t="s">
        <v>145</v>
      </c>
      <c r="R10" s="26"/>
      <c r="T10" s="26"/>
      <c r="Y10" s="27" t="s">
        <v>87</v>
      </c>
      <c r="Z10" s="28">
        <v>0.5732</v>
      </c>
      <c r="AA10" s="29">
        <v>160</v>
      </c>
      <c r="AB10" s="28">
        <v>0.8598</v>
      </c>
      <c r="AC10" s="25">
        <v>87</v>
      </c>
      <c r="AE10">
        <v>1.1</v>
      </c>
    </row>
    <row r="11" customFormat="1" spans="1:31">
      <c r="A11" t="s">
        <v>144</v>
      </c>
      <c r="Q11" s="24"/>
      <c r="R11" s="26"/>
      <c r="Y11" t="s">
        <v>95</v>
      </c>
      <c r="Z11" s="24">
        <f>198.72%*2</f>
        <v>3.9744</v>
      </c>
      <c r="AA11" s="25">
        <f>491*2</f>
        <v>982</v>
      </c>
      <c r="AB11" s="24">
        <v>5.9613</v>
      </c>
      <c r="AC11" s="25"/>
      <c r="AE11">
        <v>1.1</v>
      </c>
    </row>
    <row r="12" customFormat="1" spans="1:31">
      <c r="A12" t="s">
        <v>71</v>
      </c>
      <c r="Q12" s="24"/>
      <c r="R12" s="26"/>
      <c r="Y12" t="s">
        <v>95</v>
      </c>
      <c r="Z12" s="24">
        <f>74.52%*2</f>
        <v>1.4904</v>
      </c>
      <c r="AA12" s="25">
        <f>184*2</f>
        <v>368</v>
      </c>
      <c r="AB12" s="24">
        <v>2.2353</v>
      </c>
      <c r="AC12" s="25"/>
      <c r="AE12">
        <v>1.1</v>
      </c>
    </row>
    <row r="13" customFormat="1" spans="1:31">
      <c r="A13" t="s">
        <v>176</v>
      </c>
      <c r="B13" s="26"/>
      <c r="R13" s="26"/>
      <c r="Y13" t="s">
        <v>95</v>
      </c>
      <c r="Z13" s="24">
        <f>254.69%*2.5*1.3</f>
        <v>8.277425</v>
      </c>
      <c r="AA13" s="25">
        <f>473*1.5*2.3</f>
        <v>1631.85</v>
      </c>
      <c r="AB13" s="24">
        <v>12.4161375</v>
      </c>
      <c r="AC13" s="25"/>
      <c r="AE13">
        <v>1.1</v>
      </c>
    </row>
    <row r="14" customFormat="1" spans="1:31">
      <c r="A14" t="s">
        <v>177</v>
      </c>
      <c r="B14" s="26"/>
      <c r="Q14" s="24"/>
      <c r="R14" s="26"/>
      <c r="Y14" t="s">
        <v>92</v>
      </c>
      <c r="Z14" s="24">
        <f>319.83%+390.91%</f>
        <v>7.1074</v>
      </c>
      <c r="AA14" s="25">
        <f>594+726</f>
        <v>1320</v>
      </c>
      <c r="AB14" s="24">
        <v>10.6596</v>
      </c>
      <c r="AC14" s="25"/>
      <c r="AE14">
        <v>1.1</v>
      </c>
    </row>
    <row r="15" customFormat="1" spans="1:31">
      <c r="A15" t="s">
        <v>178</v>
      </c>
      <c r="B15" s="26">
        <v>0.57</v>
      </c>
      <c r="Q15" s="24"/>
      <c r="R15" s="26"/>
      <c r="V15">
        <v>1</v>
      </c>
      <c r="Y15" t="s">
        <v>92</v>
      </c>
      <c r="Z15" s="24">
        <f>1636.39%*2.2*0.7</f>
        <v>25.200406</v>
      </c>
      <c r="AA15" s="25">
        <f>3049*2.2*0.7</f>
        <v>4695.46</v>
      </c>
      <c r="AB15" s="24">
        <f t="shared" ref="AB15:AB26" si="1">Z15*1.5</f>
        <v>37.800609</v>
      </c>
      <c r="AC15" s="25"/>
      <c r="AE15">
        <v>1.1</v>
      </c>
    </row>
    <row r="16" customFormat="1" spans="1:31">
      <c r="A16" t="s">
        <v>179</v>
      </c>
      <c r="Q16" s="24"/>
      <c r="R16" s="26"/>
      <c r="Y16" t="s">
        <v>95</v>
      </c>
      <c r="Z16" s="24">
        <f>(416%+772.56%)*2</f>
        <v>23.7712</v>
      </c>
      <c r="AA16" s="25">
        <f>(773+1436)*2</f>
        <v>4418</v>
      </c>
      <c r="AB16" s="24">
        <f t="shared" si="1"/>
        <v>35.6568</v>
      </c>
      <c r="AC16" s="25"/>
      <c r="AE16">
        <v>1.1</v>
      </c>
    </row>
    <row r="17" customFormat="1" spans="1:31">
      <c r="A17" t="s">
        <v>180</v>
      </c>
      <c r="B17" s="26"/>
      <c r="Q17" s="24"/>
      <c r="R17" s="26"/>
      <c r="Y17" t="s">
        <v>92</v>
      </c>
      <c r="Z17" s="24">
        <f>256.96%/2</f>
        <v>1.2848</v>
      </c>
      <c r="AA17" s="25">
        <f>483/2</f>
        <v>241.5</v>
      </c>
      <c r="AB17" s="24">
        <f t="shared" si="1"/>
        <v>1.9272</v>
      </c>
      <c r="AC17" s="25"/>
      <c r="AE17">
        <v>1.1</v>
      </c>
    </row>
    <row r="18" customFormat="1" spans="1:31">
      <c r="A18" t="s">
        <v>181</v>
      </c>
      <c r="Q18" s="24"/>
      <c r="R18" s="26"/>
      <c r="Y18" t="s">
        <v>92</v>
      </c>
      <c r="Z18" s="24">
        <f>256.96%+141.59%</f>
        <v>3.9855</v>
      </c>
      <c r="AA18" s="25">
        <f>483+266</f>
        <v>749</v>
      </c>
      <c r="AB18" s="24">
        <f t="shared" si="1"/>
        <v>5.97825</v>
      </c>
      <c r="AC18" s="25"/>
      <c r="AE18">
        <v>1.1</v>
      </c>
    </row>
    <row r="19" customFormat="1" spans="1:31">
      <c r="A19" t="s">
        <v>182</v>
      </c>
      <c r="Q19" s="24"/>
      <c r="R19" s="26"/>
      <c r="T19" s="26"/>
      <c r="Y19" t="s">
        <v>92</v>
      </c>
      <c r="Z19" s="24">
        <v>0.236</v>
      </c>
      <c r="AA19" s="25">
        <v>44</v>
      </c>
      <c r="AB19" s="24">
        <f t="shared" si="1"/>
        <v>0.354</v>
      </c>
      <c r="AC19" s="25"/>
      <c r="AE19">
        <v>0.66</v>
      </c>
    </row>
    <row r="20" customFormat="1" spans="1:31">
      <c r="A20" t="s">
        <v>183</v>
      </c>
      <c r="B20" s="26"/>
      <c r="Q20" s="24"/>
      <c r="R20" s="26"/>
      <c r="Y20" t="s">
        <v>92</v>
      </c>
      <c r="Z20" s="24">
        <f>272.37%/2</f>
        <v>1.36185</v>
      </c>
      <c r="AA20" s="25">
        <f>508/2</f>
        <v>254</v>
      </c>
      <c r="AB20" s="24">
        <f t="shared" si="1"/>
        <v>2.042775</v>
      </c>
      <c r="AC20" s="25"/>
      <c r="AE20">
        <v>1.1</v>
      </c>
    </row>
    <row r="21" customFormat="1" spans="1:31">
      <c r="A21" t="s">
        <v>184</v>
      </c>
      <c r="Q21" s="24"/>
      <c r="R21" s="26"/>
      <c r="Y21" t="s">
        <v>92</v>
      </c>
      <c r="Z21" s="24">
        <f>272.37%+150.08%</f>
        <v>4.2245</v>
      </c>
      <c r="AA21" s="25">
        <f>508+280</f>
        <v>788</v>
      </c>
      <c r="AB21" s="24">
        <f t="shared" si="1"/>
        <v>6.33675</v>
      </c>
      <c r="AC21" s="25"/>
      <c r="AE21">
        <v>1.1</v>
      </c>
    </row>
    <row r="22" customFormat="1" spans="1:31">
      <c r="A22" t="s">
        <v>185</v>
      </c>
      <c r="Q22" s="24"/>
      <c r="R22" s="26"/>
      <c r="T22" s="26"/>
      <c r="Y22" t="s">
        <v>92</v>
      </c>
      <c r="Z22" s="24">
        <v>0.2957</v>
      </c>
      <c r="AA22" s="25">
        <v>55</v>
      </c>
      <c r="AB22" s="24">
        <f t="shared" si="1"/>
        <v>0.44355</v>
      </c>
      <c r="AC22" s="25"/>
      <c r="AE22">
        <v>0.66</v>
      </c>
    </row>
    <row r="23" customFormat="1" spans="1:31">
      <c r="A23" t="s">
        <v>186</v>
      </c>
      <c r="Q23" s="24"/>
      <c r="R23" s="26"/>
      <c r="Y23" t="s">
        <v>92</v>
      </c>
      <c r="Z23" s="24">
        <v>1.0238</v>
      </c>
      <c r="AA23" s="25">
        <v>189</v>
      </c>
      <c r="AB23" s="24">
        <f t="shared" si="1"/>
        <v>1.5357</v>
      </c>
      <c r="AC23" s="25"/>
      <c r="AE23">
        <v>1.1</v>
      </c>
    </row>
    <row r="24" customFormat="1" spans="1:31">
      <c r="A24" t="s">
        <v>187</v>
      </c>
      <c r="B24" s="26">
        <v>0.8</v>
      </c>
      <c r="Q24" s="24"/>
      <c r="R24" s="26"/>
      <c r="Y24" t="s">
        <v>92</v>
      </c>
      <c r="Z24" s="24">
        <v>1.7063</v>
      </c>
      <c r="AA24" s="25">
        <v>315</v>
      </c>
      <c r="AB24" s="24">
        <f t="shared" si="1"/>
        <v>2.55945</v>
      </c>
      <c r="AC24" s="25"/>
      <c r="AE24">
        <v>1.1</v>
      </c>
    </row>
    <row r="25" customFormat="1" spans="1:31">
      <c r="A25" t="s">
        <v>188</v>
      </c>
      <c r="Q25" s="24"/>
      <c r="R25" s="26"/>
      <c r="Y25" t="s">
        <v>92</v>
      </c>
      <c r="Z25" s="24">
        <v>0.702</v>
      </c>
      <c r="AA25" s="25">
        <v>129</v>
      </c>
      <c r="AB25" s="24">
        <f t="shared" si="1"/>
        <v>1.053</v>
      </c>
      <c r="AC25" s="25"/>
      <c r="AE25">
        <v>1.1</v>
      </c>
    </row>
    <row r="26" customFormat="1" spans="1:31">
      <c r="A26" t="s">
        <v>189</v>
      </c>
      <c r="Q26" s="24"/>
      <c r="R26" s="26"/>
      <c r="Y26" t="s">
        <v>92</v>
      </c>
      <c r="Z26" s="24">
        <v>1.6088</v>
      </c>
      <c r="AA26" s="25">
        <v>297</v>
      </c>
      <c r="AB26" s="24">
        <f t="shared" si="1"/>
        <v>2.4132</v>
      </c>
      <c r="AC26" s="25"/>
      <c r="AE26">
        <v>1.1</v>
      </c>
    </row>
    <row r="27" customFormat="1" spans="1:31">
      <c r="A27" t="s">
        <v>190</v>
      </c>
      <c r="Q27" s="24"/>
      <c r="R27" s="26"/>
      <c r="Y27" t="s">
        <v>191</v>
      </c>
      <c r="Z27" s="24">
        <v>1</v>
      </c>
      <c r="AA27" s="25"/>
      <c r="AB27" s="24">
        <v>1</v>
      </c>
      <c r="AC27" s="25"/>
      <c r="AE27">
        <v>1.1</v>
      </c>
    </row>
    <row r="28" customFormat="1" spans="1:31">
      <c r="A28" t="s">
        <v>75</v>
      </c>
      <c r="Q28" s="24"/>
      <c r="Y28" t="s">
        <v>191</v>
      </c>
      <c r="Z28" s="24">
        <v>0</v>
      </c>
      <c r="AA28" s="25"/>
      <c r="AB28" s="24">
        <v>0</v>
      </c>
      <c r="AC28" s="25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workbookViewId="0">
      <selection activeCell="T18" sqref="T1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</cols>
  <sheetData>
    <row r="1" spans="1:25">
      <c r="B1" t="s">
        <v>35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105</v>
      </c>
      <c r="R1" t="s">
        <v>169</v>
      </c>
      <c r="S1" t="s">
        <v>107</v>
      </c>
      <c r="T1" t="s">
        <v>170</v>
      </c>
      <c r="U1" s="24" t="s">
        <v>110</v>
      </c>
      <c r="V1" s="25" t="s">
        <v>111</v>
      </c>
      <c r="W1" s="24" t="s">
        <v>66</v>
      </c>
    </row>
    <row r="2" customFormat="1" spans="1:25">
      <c r="A2" t="s">
        <v>104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5"/>
    </row>
    <row r="3" spans="1:25">
      <c r="A3" t="s">
        <v>192</v>
      </c>
      <c r="B3" s="26">
        <v>0.02</v>
      </c>
      <c r="R3" s="26"/>
      <c r="W3" s="27"/>
    </row>
    <row r="4" customFormat="1" spans="1:25">
      <c r="A4" t="s">
        <v>74</v>
      </c>
      <c r="B4" s="26">
        <v>0.2</v>
      </c>
      <c r="R4" s="26"/>
      <c r="W4" s="27"/>
      <c r="X4" s="24"/>
      <c r="Y4" s="25"/>
    </row>
    <row r="5" spans="1:25">
      <c r="A5" t="s">
        <v>76</v>
      </c>
      <c r="B5" s="26"/>
      <c r="R5" s="26"/>
      <c r="W5" s="27">
        <v>0.05</v>
      </c>
    </row>
    <row r="6" spans="1:25">
      <c r="A6" t="s">
        <v>147</v>
      </c>
      <c r="B6" s="26"/>
      <c r="W6" s="24">
        <v>0.1</v>
      </c>
    </row>
    <row r="7" spans="1:25">
      <c r="A7" t="s">
        <v>148</v>
      </c>
      <c r="B7" s="26"/>
      <c r="J7" s="26">
        <v>0.1</v>
      </c>
      <c r="W7" s="24">
        <v>0.1</v>
      </c>
      <c r="X7" s="27"/>
    </row>
    <row r="8" spans="1:25">
      <c r="A8" t="s">
        <v>79</v>
      </c>
      <c r="B8" s="24">
        <v>0.17</v>
      </c>
      <c r="R8" s="26"/>
      <c r="S8" s="26"/>
      <c r="T8" s="26"/>
      <c r="V8" s="26"/>
      <c r="X8" s="27"/>
    </row>
    <row r="9" spans="1:25">
      <c r="A9" t="s">
        <v>106</v>
      </c>
      <c r="B9" s="24">
        <v>0.2</v>
      </c>
      <c r="R9" s="26"/>
      <c r="S9" s="26"/>
      <c r="T9" s="26"/>
      <c r="V9" s="26"/>
      <c r="X9" s="27"/>
    </row>
    <row r="10" spans="1:25">
      <c r="A10" t="s">
        <v>109</v>
      </c>
      <c r="B10" s="24">
        <v>0.25</v>
      </c>
      <c r="R10" s="26"/>
      <c r="S10" s="26"/>
      <c r="T10" s="26"/>
      <c r="V10" s="26"/>
      <c r="X10" s="27"/>
    </row>
    <row r="11" spans="1:25">
      <c r="A11" t="s">
        <v>80</v>
      </c>
      <c r="B11" s="24">
        <v>0.3</v>
      </c>
      <c r="R11" s="26"/>
      <c r="S11" s="26"/>
      <c r="T11" s="26"/>
      <c r="V11" s="26"/>
      <c r="X11" s="27"/>
    </row>
    <row r="12" spans="1:25">
      <c r="A12" t="s">
        <v>85</v>
      </c>
      <c r="B12" s="24">
        <v>0.1</v>
      </c>
      <c r="R12" s="26"/>
      <c r="S12" s="26"/>
      <c r="T12" s="26"/>
      <c r="V12" s="26"/>
      <c r="X12" s="27"/>
    </row>
    <row r="13" spans="1:25">
      <c r="A13" t="s">
        <v>90</v>
      </c>
      <c r="B13" s="24">
        <v>0.2</v>
      </c>
      <c r="R13" s="26"/>
      <c r="S13" s="26"/>
      <c r="T13" s="26"/>
      <c r="V13" s="26"/>
      <c r="X13" s="27"/>
    </row>
    <row r="14" spans="1:25">
      <c r="A14" t="s">
        <v>97</v>
      </c>
      <c r="B14" s="24">
        <v>0.3</v>
      </c>
      <c r="R14" s="26"/>
      <c r="S14" s="26"/>
      <c r="T14" s="26"/>
      <c r="V14" s="26"/>
      <c r="X14" s="27"/>
    </row>
    <row r="15" spans="1:25">
      <c r="A15" t="s">
        <v>103</v>
      </c>
      <c r="B15" s="24">
        <v>0.015</v>
      </c>
      <c r="R15" s="26"/>
      <c r="S15" s="26"/>
      <c r="T15" s="26">
        <v>0.1</v>
      </c>
      <c r="V15" s="26">
        <v>0.03</v>
      </c>
      <c r="X15" s="27"/>
    </row>
    <row r="16" customFormat="1" spans="1:25">
      <c r="A16" t="s">
        <v>193</v>
      </c>
      <c r="B16" s="24">
        <v>0.115</v>
      </c>
      <c r="R16" s="26"/>
      <c r="S16" s="26"/>
      <c r="T16" s="26">
        <v>0.1</v>
      </c>
      <c r="V16" s="26">
        <v>0.03</v>
      </c>
      <c r="W16" s="24"/>
      <c r="X16" s="27"/>
      <c r="Y16" s="25"/>
    </row>
    <row r="17" customFormat="1" spans="1:25">
      <c r="A17" t="s">
        <v>69</v>
      </c>
      <c r="B17" s="26"/>
      <c r="R17" s="26"/>
      <c r="S17" s="26"/>
      <c r="T17" s="26">
        <v>0.1</v>
      </c>
      <c r="V17" s="24">
        <v>0.075</v>
      </c>
      <c r="W17" s="24"/>
      <c r="X17" s="27"/>
      <c r="Y17" s="25"/>
    </row>
    <row r="18" customFormat="1" spans="1:25">
      <c r="A18" t="s">
        <v>73</v>
      </c>
      <c r="R18" s="26"/>
      <c r="S18" s="26"/>
      <c r="T18" s="26">
        <v>0.18</v>
      </c>
      <c r="V18" s="26">
        <v>0.03</v>
      </c>
      <c r="W18" s="24"/>
      <c r="X18" s="27"/>
      <c r="Y18" s="25"/>
    </row>
    <row r="19" customFormat="1" spans="1:25">
      <c r="A19" t="s">
        <v>98</v>
      </c>
      <c r="R19" s="26"/>
      <c r="S19" s="26"/>
      <c r="T19" s="26">
        <v>0.18</v>
      </c>
      <c r="W19" s="24"/>
      <c r="X19" s="27"/>
      <c r="Y19" s="25"/>
    </row>
    <row r="20" customFormat="1" spans="1:25">
      <c r="A20" t="s">
        <v>114</v>
      </c>
      <c r="R20" s="26"/>
      <c r="S20" s="26"/>
      <c r="T20" s="26">
        <v>0.18</v>
      </c>
      <c r="W20" s="24"/>
      <c r="X20" s="27"/>
      <c r="Y20" s="25"/>
    </row>
    <row r="21" spans="1:25">
      <c r="A21" t="s">
        <v>72</v>
      </c>
      <c r="R21" s="26"/>
      <c r="S21" s="26"/>
      <c r="T21" s="26">
        <f>IF(期望!$F$16="√",1%,0)</f>
        <v>0.01</v>
      </c>
      <c r="X21" s="27"/>
    </row>
    <row r="22" spans="1:25">
      <c r="A22" t="s">
        <v>102</v>
      </c>
      <c r="R22" s="26"/>
      <c r="S22" s="26"/>
      <c r="T22" s="26">
        <f>IF(期望!$F$16="√",2%,0)</f>
        <v>0.02</v>
      </c>
      <c r="X22" s="27"/>
    </row>
    <row r="23" spans="1:25">
      <c r="A23" t="s">
        <v>113</v>
      </c>
      <c r="R23" s="26"/>
      <c r="S23" s="26"/>
      <c r="T23" s="26">
        <f>IF(期望!$F$16="√",3%,0)</f>
        <v>0.03</v>
      </c>
      <c r="X23" s="27"/>
    </row>
    <row r="24" spans="1:25">
      <c r="A24" t="s">
        <v>125</v>
      </c>
      <c r="R24" s="26"/>
      <c r="S24" s="26"/>
      <c r="T24" s="26">
        <f>IF(期望!$F$16="√",4%,0)</f>
        <v>0.04</v>
      </c>
      <c r="X24" s="27"/>
    </row>
    <row r="25" spans="1:25">
      <c r="A25" t="s">
        <v>131</v>
      </c>
      <c r="R25" s="26"/>
      <c r="S25" s="26"/>
      <c r="T25" s="26">
        <f>IF(期望!$F$16="√",5%,0)</f>
        <v>0.05</v>
      </c>
      <c r="X25" s="27"/>
    </row>
    <row r="26" spans="1:25">
      <c r="A26" t="s">
        <v>134</v>
      </c>
      <c r="R26" s="26"/>
      <c r="S26" s="26"/>
      <c r="T26" s="26">
        <f>IF(期望!$F$16="√",6%,0)</f>
        <v>0.06</v>
      </c>
      <c r="X26" s="27"/>
    </row>
    <row r="27" spans="1:25">
      <c r="A27" t="s">
        <v>138</v>
      </c>
      <c r="R27" s="26"/>
      <c r="S27" s="26"/>
      <c r="T27" s="26">
        <f>IF(期望!$F$16="√",7%,0)</f>
        <v>0.07</v>
      </c>
      <c r="X27" s="27"/>
    </row>
    <row r="28" spans="1:25">
      <c r="A28" t="s">
        <v>140</v>
      </c>
      <c r="R28" s="26"/>
      <c r="S28" s="26"/>
      <c r="T28" s="26">
        <f>IF(期望!$F$16="√",8%,0)</f>
        <v>0.08</v>
      </c>
      <c r="X28" s="27"/>
    </row>
    <row r="29" spans="1:25">
      <c r="A29" t="s">
        <v>142</v>
      </c>
      <c r="R29" s="26"/>
      <c r="S29" s="26"/>
      <c r="T29" s="26">
        <f>IF(期望!$F$16="√",9%,0)</f>
        <v>0.09</v>
      </c>
      <c r="X29" s="27"/>
    </row>
    <row r="30" spans="1:25">
      <c r="A30" t="s">
        <v>143</v>
      </c>
      <c r="R30" s="26"/>
      <c r="S30" s="26"/>
      <c r="T30" s="26">
        <f>IF(期望!$F$16="√",10%,0)</f>
        <v>0.1</v>
      </c>
      <c r="X30" s="27"/>
    </row>
    <row r="31" spans="1:25">
      <c r="A31" t="s">
        <v>194</v>
      </c>
      <c r="B31" s="26">
        <f>1%*IF(期望!$C$21="易水歌",1,0)</f>
        <v>0</v>
      </c>
      <c r="F31">
        <f>2*IF(期望!$C$21="易水歌",1,0)</f>
        <v>0</v>
      </c>
      <c r="X31" s="27"/>
    </row>
    <row r="32" spans="1:25">
      <c r="A32" t="s">
        <v>195</v>
      </c>
      <c r="B32" s="26">
        <f>2%*IF(期望!$C$21="易水歌",1,0)</f>
        <v>0</v>
      </c>
      <c r="F32">
        <f>4*IF(期望!$C$21="易水歌",1,0)</f>
        <v>0</v>
      </c>
      <c r="X32" s="27"/>
    </row>
    <row r="33" spans="1:24">
      <c r="A33" t="s">
        <v>196</v>
      </c>
      <c r="B33" s="26">
        <f>3%*IF(期望!$C$21="易水歌",1,0)</f>
        <v>0</v>
      </c>
      <c r="F33">
        <f>6*IF(期望!$C$21="易水歌",1,0)</f>
        <v>0</v>
      </c>
      <c r="X33" s="27"/>
    </row>
    <row r="34" spans="1:24">
      <c r="A34" t="s">
        <v>197</v>
      </c>
      <c r="B34" s="26">
        <f>4%*IF(期望!$C$21="易水歌",1,0)</f>
        <v>0</v>
      </c>
      <c r="F34">
        <f>8*IF(期望!$C$21="易水歌",1,0)</f>
        <v>0</v>
      </c>
      <c r="X34" s="27"/>
    </row>
    <row r="35" spans="1:24">
      <c r="A35" t="s">
        <v>198</v>
      </c>
      <c r="B35" s="26">
        <f>5%*IF(期望!$C$21="易水歌",1,0)</f>
        <v>0</v>
      </c>
      <c r="F35">
        <f>10*IF(期望!$C$21="易水歌",1,0)</f>
        <v>0</v>
      </c>
      <c r="X35" s="27"/>
    </row>
    <row r="36" spans="1:24">
      <c r="A36" t="s">
        <v>75</v>
      </c>
      <c r="X36" s="27"/>
    </row>
    <row r="37" spans="1:24">
      <c r="X37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4" sqref="C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199</v>
      </c>
      <c r="B1" s="3" t="s">
        <v>200</v>
      </c>
      <c r="C1" s="4" t="s">
        <v>201</v>
      </c>
      <c r="D1" s="5" t="s">
        <v>202</v>
      </c>
    </row>
    <row r="2" spans="1:4">
      <c r="A2" s="6">
        <v>0.1</v>
      </c>
      <c r="B2" s="7">
        <v>1</v>
      </c>
      <c r="C2" s="8" t="s">
        <v>203</v>
      </c>
      <c r="D2" s="4" t="s">
        <v>204</v>
      </c>
    </row>
    <row r="3" spans="1:4">
      <c r="A3" s="9"/>
      <c r="B3" s="10">
        <v>2</v>
      </c>
      <c r="C3" s="11" t="s">
        <v>205</v>
      </c>
    </row>
    <row r="4" ht="14.25" spans="1:4">
      <c r="A4" s="12"/>
      <c r="B4" s="13">
        <v>3</v>
      </c>
      <c r="C4" s="14" t="s">
        <v>206</v>
      </c>
    </row>
    <row r="5" ht="14.25" spans="1:4">
      <c r="A5" s="15">
        <v>0.2</v>
      </c>
      <c r="B5" s="16">
        <v>1</v>
      </c>
      <c r="C5" s="17" t="s">
        <v>207</v>
      </c>
    </row>
    <row r="6" ht="14.25" spans="1:4">
      <c r="A6" s="15">
        <v>0.3</v>
      </c>
      <c r="B6" s="16">
        <v>1</v>
      </c>
      <c r="C6" s="17" t="s">
        <v>207</v>
      </c>
    </row>
    <row r="7" ht="14.25" spans="1:4">
      <c r="A7" s="15">
        <v>0.4</v>
      </c>
      <c r="B7" s="16">
        <v>1</v>
      </c>
      <c r="C7" s="17" t="s">
        <v>208</v>
      </c>
    </row>
    <row r="8" ht="14.25" spans="1:4">
      <c r="A8" s="18">
        <v>0.5</v>
      </c>
      <c r="B8" s="16">
        <v>1</v>
      </c>
      <c r="C8" s="17" t="s">
        <v>209</v>
      </c>
    </row>
    <row r="9" ht="14.25" spans="1:4">
      <c r="A9" s="18">
        <v>0.6</v>
      </c>
      <c r="B9" s="16">
        <v>1</v>
      </c>
      <c r="C9" s="17" t="s">
        <v>210</v>
      </c>
    </row>
    <row r="10" ht="14.25" spans="1:4">
      <c r="A10" s="18">
        <v>1</v>
      </c>
      <c r="B10" s="16">
        <v>1</v>
      </c>
      <c r="C10" s="17" t="s">
        <v>211</v>
      </c>
    </row>
    <row r="11" ht="14.25" spans="1:4">
      <c r="A11" s="18">
        <v>1.1</v>
      </c>
      <c r="B11" s="16">
        <v>1</v>
      </c>
      <c r="C11" s="17" t="s">
        <v>212</v>
      </c>
    </row>
    <row r="12" spans="1:4">
      <c r="A12" s="19">
        <v>1.2</v>
      </c>
      <c r="B12" s="20">
        <v>1</v>
      </c>
      <c r="C12" s="8" t="s">
        <v>213</v>
      </c>
    </row>
    <row r="13" ht="14.25" spans="1:4">
      <c r="A13" s="21"/>
      <c r="B13" s="13">
        <v>2</v>
      </c>
      <c r="C13" s="14" t="s">
        <v>214</v>
      </c>
    </row>
    <row r="14" ht="14.25" spans="1:4">
      <c r="A14" s="18">
        <v>1.3</v>
      </c>
      <c r="B14" s="16">
        <v>1</v>
      </c>
      <c r="C14" s="17" t="s">
        <v>215</v>
      </c>
    </row>
    <row r="15" spans="1:4">
      <c r="A15" s="22"/>
      <c r="B15" s="23"/>
      <c r="C15" s="23"/>
    </row>
    <row r="16" spans="1:4">
      <c r="A16" s="22"/>
      <c r="B16" s="23"/>
      <c r="C16" s="23"/>
    </row>
    <row r="17" spans="1:3">
      <c r="A17" s="22"/>
      <c r="B17" s="23"/>
      <c r="C17" s="23"/>
    </row>
    <row r="18" spans="1:3">
      <c r="A18" s="22"/>
      <c r="B18" s="23"/>
      <c r="C18" s="23"/>
    </row>
    <row r="19" spans="1:3">
      <c r="A19" s="22"/>
      <c r="B19" s="23"/>
      <c r="C19" s="23"/>
    </row>
    <row r="20" spans="1:3">
      <c r="A20" s="22"/>
      <c r="B20" s="23"/>
      <c r="C20" s="23"/>
    </row>
    <row r="21" spans="1:3">
      <c r="A21" s="22"/>
      <c r="B21" s="23"/>
      <c r="C21" s="23"/>
    </row>
    <row r="22" spans="1:3">
      <c r="A22" s="22"/>
      <c r="B22" s="23"/>
      <c r="C22" s="23"/>
    </row>
    <row r="23" spans="1:3">
      <c r="A23" s="22"/>
      <c r="B23" s="23"/>
      <c r="C23" s="23"/>
    </row>
  </sheetData>
  <mergeCells count="2">
    <mergeCell ref="A2:A4"/>
    <mergeCell ref="A12:A1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2026-07-14T06:26:51Z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