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\xwechat_files\wxid_5ozakwshjmlc12_4541\msg\file\2026-09\"/>
    </mc:Choice>
  </mc:AlternateContent>
  <bookViews>
    <workbookView windowHeight="17325"/>
  </bookViews>
  <sheets>
    <sheet name="期望" sheetId="1" r:id="rId1"/>
    <sheet name="RD" sheetId="6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<sst xmlns="http://schemas.openxmlformats.org/spreadsheetml/2006/main" count="10071" uniqueCount="270">
  <si>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</si>
  <si>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</si>
  <si>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</si>
  <si>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</si>
  <si>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</si>
  <si>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</si>
  <si>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</si>
  <si>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</si>
  <si>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</si>
  <si>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</si>
  <si>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</si>
  <si>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</si>
  <si>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</si>
  <si>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</si>
  <si>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</si>
  <si>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</si>
  <si>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</si>
  <si>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</si>
  <si>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</si>
  <si>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</si>
  <si>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</si>
  <si>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</si>
  <si>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</si>
  <si>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</si>
  <si>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</si>
  <si>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</si>
  <si>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</si>
  <si>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</si>
  <si>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</si>
  <si>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</si>
  <si>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</si>
  <si>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</si>
  <si>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</si>
  <si>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</si>
  <si>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</si>
  <si>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</si>
  <si>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</si>
  <si>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</si>
  <si>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</si>
  <si>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</si>
  <si>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</si>
  <si>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</si>
  <si>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</si>
  <si>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</si>
  <si>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</si>
  <si>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</si>
  <si>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</si>
  <si>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</si>
  <si>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</si>
  <si>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</si>
  <si>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</si>
  <si>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</si>
  <si>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</si>
  <si>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</si>
  <si>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</si>
  <si>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</si>
  <si>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</si>
  <si>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</si>
  <si>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</si>
  <si>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</si>
  <si>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</si>
  <si>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</si>
  <si>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</si>
  <si>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</si>
  <si>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</si>
  <si>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</si>
  <si>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</si>
  <si>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</si>
  <si>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</si>
  <si>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飞隼</t>
  </si>
  <si>
    <t>防御</t>
  </si>
  <si>
    <t>剑R一段前4hit</t>
  </si>
  <si>
    <t>滴水</t>
  </si>
  <si>
    <t>N/a</t>
  </si>
  <si>
    <t>易水歌1层</t>
  </si>
  <si>
    <t>裁云(拐)</t>
  </si>
  <si>
    <t>扶风(拐)</t>
  </si>
  <si>
    <t>近战笛</t>
  </si>
  <si>
    <t>秋瞑帖1层</t>
  </si>
  <si>
    <t>外抗</t>
  </si>
  <si>
    <t>枪Q</t>
  </si>
  <si>
    <t>惧刃(拐)</t>
  </si>
  <si>
    <t>离猎(拐)</t>
  </si>
  <si>
    <t>裂石</t>
  </si>
  <si>
    <t>剑</t>
  </si>
  <si>
    <t>属抗</t>
  </si>
  <si>
    <t>剑～</t>
  </si>
  <si>
    <t>强效江流</t>
  </si>
  <si>
    <t>易水歌2层</t>
  </si>
  <si>
    <t>烁鼓(拐)</t>
  </si>
  <si>
    <t>伞增(拐)</t>
  </si>
  <si>
    <t>秋瞑帖2层</t>
  </si>
  <si>
    <t>牵丝</t>
  </si>
  <si>
    <t>枪</t>
  </si>
  <si>
    <t>副本天赋</t>
  </si>
  <si>
    <t>爆血(剑)</t>
  </si>
  <si>
    <t>看破(持续)</t>
  </si>
  <si>
    <t>惊神5</t>
  </si>
  <si>
    <t>纵横剑意</t>
  </si>
  <si>
    <t>破竹</t>
  </si>
  <si>
    <t>单体奇术</t>
  </si>
  <si>
    <t>无相</t>
  </si>
  <si>
    <t>群体奇术</t>
  </si>
  <si>
    <t>纵横剑(剑～)</t>
  </si>
  <si>
    <t>看破</t>
  </si>
  <si>
    <t>精准率</t>
  </si>
  <si>
    <t>实际属性</t>
  </si>
  <si>
    <t>战斗时间</t>
  </si>
  <si>
    <t>枪～一段(江流)</t>
  </si>
  <si>
    <t>易水歌3层</t>
  </si>
  <si>
    <t>会心率</t>
  </si>
  <si>
    <t>特殊技减防</t>
  </si>
  <si>
    <t>会意率</t>
  </si>
  <si>
    <t>总伤</t>
  </si>
  <si>
    <t>神龙吐火暗灼1hit</t>
  </si>
  <si>
    <t>直接会心率</t>
  </si>
  <si>
    <t>易水歌4层</t>
  </si>
  <si>
    <t>秋瞑帖3层</t>
  </si>
  <si>
    <t>直接会意率</t>
  </si>
  <si>
    <t>ADPS</t>
  </si>
  <si>
    <t>爆血(剑)必定会意</t>
  </si>
  <si>
    <t>会心伤害加成</t>
  </si>
  <si>
    <t>会意伤害加成</t>
  </si>
  <si>
    <t>RDPS</t>
  </si>
  <si>
    <t>剑R一段前3hit</t>
  </si>
  <si>
    <t>全武增</t>
  </si>
  <si>
    <t>团队增益</t>
  </si>
  <si>
    <t>易水歌5层</t>
  </si>
  <si>
    <t>秋瞑帖4层</t>
  </si>
  <si>
    <t>首领增</t>
  </si>
  <si>
    <t>威</t>
  </si>
  <si>
    <t>√</t>
  </si>
  <si>
    <t>秋瞑帖</t>
  </si>
  <si>
    <t>毕业率</t>
  </si>
  <si>
    <t>剑增</t>
  </si>
  <si>
    <t>尘</t>
  </si>
  <si>
    <t>×</t>
  </si>
  <si>
    <t>所恨年年</t>
  </si>
  <si>
    <t>枪增</t>
  </si>
  <si>
    <t>虹</t>
  </si>
  <si>
    <t>真气比例</t>
  </si>
  <si>
    <t>单体奇术增</t>
  </si>
  <si>
    <t>钧</t>
  </si>
  <si>
    <t>太白醉月1-4</t>
  </si>
  <si>
    <t>秋瞑帖5层</t>
  </si>
  <si>
    <t>群体奇术增</t>
  </si>
  <si>
    <t>太白醉月暗灼</t>
  </si>
  <si>
    <t>流血定音</t>
  </si>
  <si>
    <t>翊</t>
  </si>
  <si>
    <t>第四心法</t>
  </si>
  <si>
    <t>固伤加成</t>
  </si>
  <si>
    <t>樽</t>
  </si>
  <si>
    <t>易水歌</t>
  </si>
  <si>
    <t>食物加成</t>
  </si>
  <si>
    <t>霖</t>
  </si>
  <si>
    <t>轴</t>
  </si>
  <si>
    <t>单位用时</t>
  </si>
  <si>
    <t>太白醉月5</t>
  </si>
  <si>
    <t>秋瞑帖6层</t>
  </si>
  <si>
    <t>短蓄力</t>
  </si>
  <si>
    <t>愁无酒+切武器</t>
  </si>
  <si>
    <t>惧刃</t>
  </si>
  <si>
    <t>次三纵横</t>
  </si>
  <si>
    <t>鼓</t>
  </si>
  <si>
    <t>伞增</t>
  </si>
  <si>
    <t>枪特一段</t>
  </si>
  <si>
    <t>枪特</t>
  </si>
  <si>
    <t>吐火一段</t>
  </si>
  <si>
    <t>次三蓄力</t>
  </si>
  <si>
    <t>秋瞑帖7层</t>
  </si>
  <si>
    <t>5拳</t>
  </si>
  <si>
    <t>卸势</t>
  </si>
  <si>
    <t>秋瞑帖8层</t>
  </si>
  <si>
    <t>移动药叉</t>
  </si>
  <si>
    <t>剑Q</t>
  </si>
  <si>
    <t>秋瞑帖9层</t>
  </si>
  <si>
    <t>剑Q扎地</t>
  </si>
  <si>
    <t>纵横剑(剑Q)</t>
  </si>
  <si>
    <t>秋瞑帖10层</t>
  </si>
  <si>
    <t>气竭</t>
  </si>
  <si>
    <t>N/A</t>
  </si>
  <si>
    <t>机制1（提前挂流血愁无酒）</t>
  </si>
  <si>
    <t>真气失衡</t>
  </si>
  <si>
    <t>伞增气竭额外(拐)</t>
  </si>
  <si>
    <t>吐火两段卸</t>
  </si>
  <si>
    <t>剑Q卸</t>
  </si>
  <si>
    <t>机制2</t>
  </si>
  <si>
    <t>神龙吐火暗灼2hit</t>
  </si>
  <si>
    <t>叶龙</t>
  </si>
  <si>
    <t>次三蓄力纵横</t>
  </si>
  <si>
    <t>次三不纵横</t>
  </si>
  <si>
    <t>剑Q二段</t>
  </si>
  <si>
    <t>纵横剑(剑R)</t>
  </si>
  <si>
    <t>叶龙骧首(32层+70%HP)</t>
  </si>
  <si>
    <t>神龙吐火暗灼dot</t>
  </si>
  <si>
    <t>惊神1</t>
  </si>
  <si>
    <t>惊神3</t>
  </si>
  <si>
    <t>4层流血</t>
  </si>
  <si>
    <t>2层流血</t>
  </si>
  <si>
    <t>5层流血</t>
  </si>
  <si>
    <t>3层流血</t>
  </si>
  <si>
    <t>易水歌6重</t>
  </si>
  <si>
    <t>萧呤千浪流星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</si>
  <si>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</si>
  <si>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</si>
  <si>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</si>
  <si>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</si>
  <si>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</si>
  <si>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</si>
  <si>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</si>
  <si>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</si>
  <si>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</si>
  <si>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</si>
  <si>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</si>
  <si>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</si>
  <si>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</si>
  <si>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</si>
  <si>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1层流血</t>
  </si>
  <si>
    <t>流血</t>
  </si>
  <si>
    <t>剑Q一段</t>
  </si>
  <si>
    <t>剑R一段打满</t>
  </si>
  <si>
    <t>枪～(滴水)</t>
  </si>
  <si>
    <t>枪～(涌泉)</t>
  </si>
  <si>
    <t>枪～(江流)</t>
  </si>
  <si>
    <t>枪R零蓄</t>
  </si>
  <si>
    <t>枪R一蓄单hit</t>
  </si>
  <si>
    <t>萧呤千浪AOE</t>
  </si>
  <si>
    <t>衍九矢9hit</t>
  </si>
  <si>
    <t>骑龙回马</t>
  </si>
  <si>
    <t>墨洗翰华(打盾)</t>
  </si>
  <si>
    <t>神龙吐火1hit</t>
  </si>
  <si>
    <t>神龙吐火2hit</t>
  </si>
  <si>
    <t>神龙吐火dot</t>
  </si>
  <si>
    <t>太白醉月爆燃</t>
  </si>
  <si>
    <t>心法</t>
  </si>
  <si>
    <t>衍九矢9hit一段</t>
  </si>
  <si>
    <t>无惧</t>
  </si>
  <si>
    <t>气竭强化</t>
  </si>
  <si>
    <t>崩解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</si>
  <si>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</si>
  <si>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</si>
  <si>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</si>
  <si>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</si>
  <si>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</si>
  <si>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</si>
  <si>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看上去好像很对,但又感觉哪里不对</t>
  </si>
  <si>
    <t>暗灼改动+9%,等效十人火9,流血改动+1.4%</t>
  </si>
  <si>
    <t>单增等效一个劲,下个版本更多,当前diy属性9劲8势12大剑增2全武2首领2单增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</si>
  <si>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</si>
  <si>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</si>
  <si>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</si>
  <si>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更新6月18日先琢改动,缩轴,+1%</t>
  </si>
  <si>
    <t>修正尘加成</t>
  </si>
  <si>
    <t>修正了火dot没有计算天赋的问题</t>
  </si>
  <si>
    <t>更新蕤宾叠奏上半数值,将铁花替换成了无惧</t>
  </si>
  <si>
    <t>修正心法数值错误</t>
  </si>
  <si>
    <t>修正了rd计算</t>
  </si>
  <si>
    <t>轴变更为拏云蛇慢气轴</t>
  </si>
  <si>
    <t>修正队友基础dps至11万</t>
  </si>
  <si>
    <t>2.0
(豆沙包)</t>
  </si>
  <si>
    <t>更新蕤宾叠奏下半数值,更新虎孟极34秒气竭轴</t>
  </si>
  <si>
    <t>扩充了增益区，增加了翊和樽的rd</t>
  </si>
  <si>
    <t>默认只开启威霖增益以匹配二期词条</t>
  </si>
  <si>
    <t>更新diy属性</t>
  </si>
  <si>
    <t>2.1
(豆沙包)</t>
  </si>
  <si>
    <t>修正笛子加成</t>
  </si>
  <si>
    <t>2.2
(豆沙包)</t>
  </si>
  <si>
    <t>更新二期diy词条：12大外10劲8势4会意1剑增2全武2首领1单增</t>
  </si>
  <si>
    <t>3.0
（流枫）</t>
  </si>
  <si>
    <t>更新南吕相和上半数值，diy词条为12大外10劲8势4会意1剑增2全武2首领1单增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</si>
</sst>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7" applyNumberFormat="0" applyAlignment="0" applyProtection="0">
      <alignment vertical="center"/>
    </xf>
    <xf numFmtId="0" fontId="11" fillId="9" borderId="18" applyNumberFormat="0" applyAlignment="0" applyProtection="0">
      <alignment vertical="center"/>
    </xf>
    <xf numFmtId="0" fontId="12" fillId="9" borderId="17" applyNumberFormat="0" applyAlignment="0" applyProtection="0">
      <alignment vertical="center"/>
    </xf>
    <xf numFmtId="0" fontId="13" fillId="10" borderId="19" applyNumberFormat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6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8" xfId="0" applyFont="1" applyBorder="1">
      <alignment vertical="center"/>
    </xf>
    <xf numFmtId="176" fontId="2" fillId="0" borderId="9" xfId="0" applyNumberFormat="1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176" fontId="0" fillId="0" borderId="0" xfId="0" applyNumberFormat="1" applyAlignment="1">
      <alignment horizontal="center" vertical="center" wrapText="1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>
      <alignment vertical="center"/>
    </xf>
    <xf numFmtId="177" fontId="0" fillId="2" borderId="5" xfId="0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3" borderId="4" xfId="0" applyFill="1" applyBorder="1">
      <alignment vertical="center"/>
    </xf>
    <xf numFmtId="0" fontId="0" fillId="3" borderId="0" xfId="0" applyFill="1">
      <alignment vertical="center"/>
    </xf>
    <xf numFmtId="177" fontId="0" fillId="3" borderId="5" xfId="0" applyNumberFormat="1" applyFill="1" applyBorder="1">
      <alignment vertical="center"/>
    </xf>
    <xf numFmtId="10" fontId="0" fillId="0" borderId="5" xfId="0" applyNumberFormat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177" fontId="0" fillId="4" borderId="5" xfId="0" applyNumberFormat="1" applyFill="1" applyBorder="1">
      <alignment vertical="center"/>
    </xf>
    <xf numFmtId="0" fontId="0" fillId="0" borderId="6" xfId="0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177" fontId="0" fillId="5" borderId="5" xfId="0" applyNumberFormat="1" applyFill="1" applyBorder="1">
      <alignment vertical="center"/>
    </xf>
    <xf numFmtId="0" fontId="0" fillId="6" borderId="4" xfId="0" applyFill="1" applyBorder="1">
      <alignment vertical="center"/>
    </xf>
    <xf numFmtId="0" fontId="0" fillId="6" borderId="0" xfId="0" applyFill="1">
      <alignment vertical="center"/>
    </xf>
    <xf numFmtId="177" fontId="0" fillId="6" borderId="5" xfId="0" applyNumberFormat="1" applyFill="1" applyBorder="1">
      <alignment vertical="center"/>
    </xf>
    <xf numFmtId="177" fontId="0" fillId="0" borderId="5" xfId="0" applyNumberFormat="1" applyBorder="1">
      <alignment vertical="center"/>
    </xf>
    <xf numFmtId="10" fontId="0" fillId="0" borderId="8" xfId="0" applyNumberFormat="1" applyBorder="1">
      <alignment vertical="center"/>
    </xf>
    <xf numFmtId="0" fontId="0" fillId="2" borderId="1" xfId="0" applyFill="1" applyBorder="1">
      <alignment vertical="center"/>
    </xf>
    <xf numFmtId="10" fontId="0" fillId="2" borderId="3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>
      <alignment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>
      <alignment vertical="center"/>
    </xf>
    <xf numFmtId="10" fontId="0" fillId="2" borderId="8" xfId="0" applyNumberFormat="1" applyFill="1" applyBorder="1">
      <alignment vertical="center"/>
    </xf>
    <xf numFmtId="1" fontId="0" fillId="0" borderId="0" xfId="0" applyNumberFormat="1">
      <alignment vertical="center"/>
    </xf>
    <xf numFmtId="0" fontId="0" fillId="2" borderId="7" xfId="0" applyFill="1" applyBorder="1">
      <alignment vertical="center"/>
    </xf>
    <xf numFmtId="177" fontId="0" fillId="0" borderId="7" xfId="0" applyNumberFormat="1" applyBorder="1">
      <alignment vertical="center"/>
    </xf>
    <xf numFmtId="177" fontId="0" fillId="2" borderId="8" xfId="0" applyNumberForma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8"/>
  <sheetViews>
    <sheetView tabSelected="1" workbookViewId="0">
      <selection activeCell="I18" sqref="I18:J19"/>
    </sheetView>
  </sheetViews>
  <sheetFormatPr defaultColWidth="9" defaultRowHeight="13.5"/>
  <cols>
    <col min="1" max="1" width="12.9083333333333" customWidth="1"/>
    <col min="11" max="11" width="12.6333333333333" style="24" customWidth="1"/>
    <col min="12" max="16" width="12.6333333333333" style="22" customWidth="1"/>
    <col min="18" max="18" width="24.6333333333333" style="25" customWidth="1"/>
    <col min="19" max="32" width="9" style="25" customWidth="1"/>
    <col min="33" max="33" width="9" style="25"/>
    <col min="35" max="35" width="9" style="21"/>
    <col min="36" max="36" width="9" style="22"/>
    <col min="37" max="37" width="9" style="21"/>
    <col min="38" max="38" width="9" style="22"/>
    <col min="39" max="40" width="9" style="21"/>
    <col min="43" max="45" width="9" style="26"/>
    <col min="48" max="49" width="9" style="26"/>
    <col min="62" max="66" width="9" style="21"/>
    <col min="67" max="68" width="9" style="21" customWidth="1"/>
    <col min="69" max="70" width="9" style="21"/>
  </cols>
  <sheetData>
    <row r="1" spans="1:70">
      <c r="A1" s="27"/>
      <c r="B1" s="28" t="s">
        <v>0</v>
      </c>
      <c r="C1" s="28" t="s">
        <v>1</v>
      </c>
      <c r="D1" s="28" t="s">
        <v>2</v>
      </c>
      <c r="E1" s="29" t="s">
        <v>3</v>
      </c>
      <c r="F1" s="30" t="s">
        <v>4</v>
      </c>
      <c r="G1" s="29" t="s">
        <v>5</v>
      </c>
      <c r="H1" s="30" t="s">
        <v>6</v>
      </c>
      <c r="I1" s="29"/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31" t="s">
        <v>13</v>
      </c>
      <c r="R1" s="32" t="s">
        <v>14</v>
      </c>
      <c r="S1" s="32" t="s">
        <v>15</v>
      </c>
      <c r="T1" s="32" t="s">
        <v>16</v>
      </c>
      <c r="U1" s="32" t="s">
        <v>17</v>
      </c>
      <c r="V1" s="32" t="s">
        <v>18</v>
      </c>
      <c r="W1" s="32" t="s">
        <v>19</v>
      </c>
      <c r="X1" s="32" t="s">
        <v>20</v>
      </c>
      <c r="Y1" s="32" t="s">
        <v>21</v>
      </c>
      <c r="Z1" s="32" t="s">
        <v>22</v>
      </c>
      <c r="AA1" s="32" t="s">
        <v>23</v>
      </c>
      <c r="AB1" s="32" t="s">
        <v>24</v>
      </c>
      <c r="AC1" s="32" t="s">
        <v>25</v>
      </c>
      <c r="AD1" s="32" t="s">
        <v>26</v>
      </c>
      <c r="AE1" s="32" t="s">
        <v>27</v>
      </c>
      <c r="AF1" s="32" t="s">
        <v>28</v>
      </c>
      <c r="AG1" s="32" t="s">
        <v>29</v>
      </c>
      <c r="AH1" t="s">
        <v>30</v>
      </c>
      <c r="AI1" s="21" t="s">
        <v>31</v>
      </c>
      <c r="AJ1" s="22" t="s">
        <v>32</v>
      </c>
      <c r="AK1" s="21" t="s">
        <v>33</v>
      </c>
      <c r="AL1" s="22" t="s">
        <v>34</v>
      </c>
      <c r="AM1" s="21" t="s">
        <v>35</v>
      </c>
      <c r="AN1" s="21" t="s">
        <v>36</v>
      </c>
      <c r="AO1" t="s">
        <v>37</v>
      </c>
      <c r="AP1" t="s">
        <v>38</v>
      </c>
      <c r="AQ1" s="26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26" t="s">
        <v>44</v>
      </c>
      <c r="AW1" s="26" t="s">
        <v>45</v>
      </c>
      <c r="AX1" t="s">
        <v>46</v>
      </c>
      <c r="AY1" t="s">
        <v>47</v>
      </c>
      <c r="AZ1" s="26" t="s">
        <v>48</v>
      </c>
      <c r="BA1" s="26" t="s">
        <v>49</v>
      </c>
      <c r="BB1" t="s">
        <v>50</v>
      </c>
      <c r="BC1" t="s">
        <v>51</v>
      </c>
      <c r="BD1" s="26" t="s">
        <v>52</v>
      </c>
      <c r="BE1" s="26" t="s">
        <v>53</v>
      </c>
      <c r="BF1" t="s">
        <v>54</v>
      </c>
      <c r="BG1" t="s">
        <v>55</v>
      </c>
      <c r="BH1" s="26" t="s">
        <v>56</v>
      </c>
      <c r="BI1" s="26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</row>
    <row r="2" spans="1:70">
      <c r="A2" s="33" t="s">
        <v>67</v>
      </c>
      <c r="B2" s="25">
        <v>1994.8</v>
      </c>
      <c r="C2" s="25">
        <v>7187.6</v>
      </c>
      <c r="D2" s="25">
        <v>63.8</v>
      </c>
      <c r="E2" s="34"/>
      <c r="F2" s="35" t="s">
        <v>68</v>
      </c>
      <c r="G2" s="36" t="s">
        <v>69</v>
      </c>
      <c r="H2" s="37" t="s">
        <v>70</v>
      </c>
      <c r="I2" s="7">
        <f>620*IF(F17="√",0.94,1)</f>
        <v>582.8</v>
      </c>
      <c r="K2" s="24">
        <f>$L2*VLOOKUP($R2,武学奇术!$A:$ZZ,31,FALSE)</f>
        <v>24725.1520019538</v>
      </c>
      <c r="L2" s="24">
        <f>($M2*$BO2+$N2*$BM2+$O2*$BP2+$P2*$BQ2)</f>
        <v>24725.1520019538</v>
      </c>
      <c r="M2" s="2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24597.5767069552</v>
      </c>
      <c r="N2" s="24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34550.4168290934</v>
      </c>
      <c r="O2" s="2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16398.3844713035</v>
      </c>
      <c r="P2" s="24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8327.63521095437</v>
      </c>
      <c r="Q2" s="31">
        <v>1</v>
      </c>
      <c r="R2" s="32" t="s">
        <v>71</v>
      </c>
      <c r="S2" s="32" t="s">
        <v>72</v>
      </c>
      <c r="T2" s="32" t="s">
        <v>73</v>
      </c>
      <c r="U2" s="32" t="s">
        <v>73</v>
      </c>
      <c r="V2" s="32" t="s">
        <v>73</v>
      </c>
      <c r="W2" s="32" t="s">
        <v>73</v>
      </c>
      <c r="X2" s="32" t="s">
        <v>74</v>
      </c>
      <c r="Y2" s="32" t="s">
        <v>73</v>
      </c>
      <c r="Z2" s="32" t="s">
        <v>73</v>
      </c>
      <c r="AA2" s="32" t="s">
        <v>73</v>
      </c>
      <c r="AB2" s="32" t="s">
        <v>75</v>
      </c>
      <c r="AC2" s="32" t="s">
        <v>76</v>
      </c>
      <c r="AD2" s="32" t="s">
        <v>73</v>
      </c>
      <c r="AE2" s="32" t="s">
        <v>73</v>
      </c>
      <c r="AF2" s="32" t="s">
        <v>77</v>
      </c>
      <c r="AG2" s="32" t="s">
        <v>78</v>
      </c>
      <c r="AH2" t="str">
        <f>VLOOKUP($R2,武学奇术!$A:$ZZ,25,FALSE)</f>
        <v>剑</v>
      </c>
      <c r="AI2" s="21">
        <f>VLOOKUP($R2,武学奇术!$A:$ZZ,26,FALSE)</f>
        <v>1.20876428571429</v>
      </c>
      <c r="AJ2" s="22">
        <f>VLOOKUP($R2,武学奇术!$A:$ZZ,27,FALSE)*(1+IF(OR($AH2=$F$4,$AH2=$F$5),$B$22,0))</f>
        <v>501.428571428571</v>
      </c>
      <c r="AK2" s="21">
        <f>VLOOKUP($R2,武学奇术!$A:$ZZ,28,FALSE)</f>
        <v>1.81317857142857</v>
      </c>
      <c r="AL2" s="22">
        <f>VLOOKUP($R2,武学奇术!$A:$ZZ,29,FALSE)*(1+IF(OR($AH2=$F$4,$AH2=$F$5),$B$22,0))</f>
        <v>272.892857142856</v>
      </c>
      <c r="AM2" s="21" cm="1">
        <f t="array" ref="AM2">$G$3+IFERROR(VLOOKUP($AH2,$F$4:$G$7,2,FALSE),0)+VLOOKUP($R2,武学奇术!$A:$ZZ,2,FALSE)+SUM(_xlfn.XLOOKUP($S2:$AG2,增益!$A:$A,增益!$B:$B,0))</f>
        <v>0.4841</v>
      </c>
      <c r="AN2" s="21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1831.48</v>
      </c>
      <c r="AP2" cm="1">
        <f t="array" ref="AP2">$E$10*(1+$AN2)+VLOOKUP($R2,武学奇术!$A:$ZZ,4,FALSE)+SUM(_xlfn.XLOOKUP($S2:$AG2,增益!$A:$A,增益!$D:$D,0))-$I$2</f>
        <v>7763.56</v>
      </c>
      <c r="AQ2" s="26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0.254</v>
      </c>
      <c r="AR2" s="26" cm="1">
        <f t="array" ref="AR2">$G$10+VLOOKUP($R2,武学奇术!$A:$ZZ,7,FALSE)+SUM(_xlfn.XLOOKUP(S2:AG2,增益!$A:$A,增益!$G:$G,0))</f>
        <v>0</v>
      </c>
      <c r="AS2" s="21" cm="1">
        <f t="array" ref="AS2">VLOOKUP($R2,武学奇术!$A:$ZZ,8,FALSE)+SUM(_xlfn.XLOOKUP(S2:AG2,增益!$A:$A,增益!$H:$H,0))</f>
        <v>0</v>
      </c>
      <c r="AT2">
        <f>$D$11*(1+$AS2)</f>
        <v>680.02</v>
      </c>
      <c r="AU2">
        <f>$E$11*(1+$AS2)</f>
        <v>1288.54</v>
      </c>
      <c r="AV2" s="26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26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26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26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26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26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26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26" cm="1">
        <f t="array" ref="BI2">$G$14+VLOOKUP($R2,武学奇术!$A:$ZZ,16,FALSE)+SUM(_xlfn.XLOOKUP(S2:AG2,增益!$A:$A,增益!$P:$P,0))</f>
        <v>0</v>
      </c>
      <c r="BJ2" s="21">
        <f>MIN(IF(VLOOKUP($R2,武学奇术!$A:$ZZ,23,FALSE)=1,100%,$B$8),100%)</f>
        <v>0.8229</v>
      </c>
      <c r="BK2" s="21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0.2285</v>
      </c>
      <c r="BL2" s="21" cm="1">
        <f t="array" ref="BL2">1+$B$13+VLOOKUP($R2,武学奇术!$A:$ZZ,18,FALSE)+SUM(_xlfn.XLOOKUP(S2:AG2,增益!$A:$A,增益!$R:$R,0))</f>
        <v>1.5</v>
      </c>
      <c r="BM2" s="21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0.4195</v>
      </c>
      <c r="BN2" s="21" cm="1">
        <f t="array" ref="BN2">1+$B$14+VLOOKUP($R2,武学奇术!$A:$ZZ,20,FALSE)+SUM(_xlfn.XLOOKUP(S2:AG2,增益!$A:$A,增益!$T:$T,0))</f>
        <v>1.412</v>
      </c>
      <c r="BO2" s="21">
        <f>MIN((1-BM2)*BJ2,BJ2*BK2)</f>
        <v>0.18803265</v>
      </c>
      <c r="BP2" s="21">
        <f>1-BM2-BO2-BQ2</f>
        <v>0.2896608</v>
      </c>
      <c r="BQ2" s="21">
        <f>IF(VLOOKUP($R2,武学奇术!$A:$ZZ,22,FALSE)=1,0,(1-$BJ2))*(1-$BM2)</f>
        <v>0.10280655</v>
      </c>
      <c r="BR2" s="21" cm="1">
        <f t="array" ref="BR2">SUM(_xlfn.XLOOKUP(S2:AG2,增益!$A:$A,增益!$W:$W,0))+$I$5</f>
        <v>0.06</v>
      </c>
    </row>
    <row r="3" spans="1:70">
      <c r="A3" s="38" t="s">
        <v>5</v>
      </c>
      <c r="B3" s="39">
        <v>539</v>
      </c>
      <c r="C3" s="39">
        <v>1079</v>
      </c>
      <c r="D3" s="39">
        <v>30</v>
      </c>
      <c r="E3" s="40">
        <v>0.15</v>
      </c>
      <c r="F3" s="37" t="s">
        <v>35</v>
      </c>
      <c r="G3" s="41">
        <f>B16+1.5%+IF($D$16="√",8%,0)</f>
        <v>0.1842</v>
      </c>
      <c r="H3" s="37" t="s">
        <v>79</v>
      </c>
      <c r="I3" s="7">
        <f>25-IF(D17="√",10,0)-IF(F17="√",10,0)</f>
        <v>15</v>
      </c>
      <c r="K3" s="24">
        <f>$L3*VLOOKUP($R3,武学奇术!$A:$ZZ,31,FALSE)</f>
        <v>41238.3728175316</v>
      </c>
      <c r="L3" s="24">
        <f t="shared" ref="L3:L34" si="0">($M3*$BO3+$N3*$BM3+$O3*$BP3+$P3*$BQ3)</f>
        <v>41238.3728175316</v>
      </c>
      <c r="M3" s="2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41021.0720118587</v>
      </c>
      <c r="N3" s="24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57632.4092841967</v>
      </c>
      <c r="O3" s="2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27347.3813412391</v>
      </c>
      <c r="P3" s="24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13878.6087984862</v>
      </c>
      <c r="Q3" s="31">
        <v>1</v>
      </c>
      <c r="R3" s="32" t="s">
        <v>80</v>
      </c>
      <c r="S3" s="32" t="s">
        <v>72</v>
      </c>
      <c r="T3" s="32" t="s">
        <v>73</v>
      </c>
      <c r="U3" s="32" t="s">
        <v>73</v>
      </c>
      <c r="V3" s="32" t="s">
        <v>73</v>
      </c>
      <c r="W3" s="32" t="s">
        <v>73</v>
      </c>
      <c r="X3" s="32" t="s">
        <v>74</v>
      </c>
      <c r="Y3" s="32" t="s">
        <v>73</v>
      </c>
      <c r="Z3" s="32" t="s">
        <v>73</v>
      </c>
      <c r="AA3" s="32" t="s">
        <v>81</v>
      </c>
      <c r="AB3" s="32" t="s">
        <v>75</v>
      </c>
      <c r="AC3" s="32" t="s">
        <v>76</v>
      </c>
      <c r="AD3" s="32" t="s">
        <v>82</v>
      </c>
      <c r="AE3" s="32" t="s">
        <v>73</v>
      </c>
      <c r="AF3" s="32" t="s">
        <v>77</v>
      </c>
      <c r="AG3" s="32" t="s">
        <v>78</v>
      </c>
      <c r="AH3" t="str">
        <f>VLOOKUP($R3,武学奇术!$A:$ZZ,25,FALSE)</f>
        <v>枪</v>
      </c>
      <c r="AI3" s="21">
        <f>VLOOKUP($R3,武学奇术!$A:$ZZ,26,FALSE)</f>
        <v>2.1401</v>
      </c>
      <c r="AJ3" s="22">
        <f>VLOOKUP($R3,武学奇术!$A:$ZZ,27,FALSE)*(1+IF(OR($AH3=$F$4,$AH3=$F$5),$B$22,0))</f>
        <v>882</v>
      </c>
      <c r="AK3" s="21">
        <f>VLOOKUP($R3,武学奇术!$A:$ZZ,28,FALSE)</f>
        <v>3.2101</v>
      </c>
      <c r="AL3" s="22">
        <f>VLOOKUP($R3,武学奇术!$A:$ZZ,29,FALSE)*(1+IF(OR($AH3=$F$4,$AH3=$F$5),$B$22,0))</f>
        <v>480</v>
      </c>
      <c r="AM3" s="21" cm="1">
        <f t="array" ref="AM3">$G$3+IFERROR(VLOOKUP($AH3,$F$4:$G$7,2,FALSE),0)+VLOOKUP($R3,武学奇术!$A:$ZZ,2,FALSE)+SUM(_xlfn.XLOOKUP($S3:$AG3,增益!$A:$A,增益!$B:$B,0))</f>
        <v>0.3989</v>
      </c>
      <c r="AN3" s="21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1831.48</v>
      </c>
      <c r="AP3" cm="1">
        <f t="array" ref="AP3">$E$10*(1+$AN3)+VLOOKUP($R3,武学奇术!$A:$ZZ,4,FALSE)+SUM(_xlfn.XLOOKUP($S3:$AG3,增益!$A:$A,增益!$D:$D,0))-$I$2</f>
        <v>7763.56</v>
      </c>
      <c r="AQ3" s="26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0.254</v>
      </c>
      <c r="AR3" s="26" cm="1">
        <f t="array" ref="AR3">$G$10+VLOOKUP($R3,武学奇术!$A:$ZZ,7,FALSE)+SUM(_xlfn.XLOOKUP(S3:AG3,增益!$A:$A,增益!$G:$G,0))</f>
        <v>0</v>
      </c>
      <c r="AS3" s="21" cm="1">
        <f t="array" ref="AS3">VLOOKUP($R3,武学奇术!$A:$ZZ,8,FALSE)+SUM(_xlfn.XLOOKUP(S3:AG3,增益!$A:$A,增益!$H:$H,0))</f>
        <v>0</v>
      </c>
      <c r="AT3">
        <f t="shared" ref="AT3:AT43" si="1">$D$11*(1+$AS3)</f>
        <v>680.02</v>
      </c>
      <c r="AU3">
        <f t="shared" ref="AU3:AU43" si="2">$E$11*(1+$AS3)</f>
        <v>1288.54</v>
      </c>
      <c r="AV3" s="26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26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26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26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26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26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26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26" cm="1">
        <f t="array" ref="BI3">$G$14+VLOOKUP($R3,武学奇术!$A:$ZZ,16,FALSE)+SUM(_xlfn.XLOOKUP(S3:AG3,增益!$A:$A,增益!$P:$P,0))</f>
        <v>0</v>
      </c>
      <c r="BJ3" s="21">
        <f>MIN(IF(VLOOKUP($R3,武学奇术!$A:$ZZ,23,FALSE)=1,100%,$B$8),100%)</f>
        <v>0.8229</v>
      </c>
      <c r="BK3" s="21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0.2285</v>
      </c>
      <c r="BL3" s="21" cm="1">
        <f t="array" ref="BL3">1+$B$13+VLOOKUP($R3,武学奇术!$A:$ZZ,18,FALSE)+SUM(_xlfn.XLOOKUP(S3:AG3,增益!$A:$A,增益!$R:$R,0))</f>
        <v>1.5</v>
      </c>
      <c r="BM3" s="21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0.4195</v>
      </c>
      <c r="BN3" s="21" cm="1">
        <f t="array" ref="BN3">1+$B$14+VLOOKUP($R3,武学奇术!$A:$ZZ,20,FALSE)+SUM(_xlfn.XLOOKUP(S3:AG3,增益!$A:$A,增益!$T:$T,0))</f>
        <v>1.412</v>
      </c>
      <c r="BO3" s="21">
        <f t="shared" ref="BO3:BO27" si="9">MIN((1-BM3)*BJ3,BJ3*BK3)</f>
        <v>0.18803265</v>
      </c>
      <c r="BP3" s="21">
        <f t="shared" ref="BP3:BP34" si="10">1-BM3-BO3-BQ3</f>
        <v>0.2896608</v>
      </c>
      <c r="BQ3" s="21">
        <f>IF(VLOOKUP($R3,武学奇术!$A:$ZZ,22,FALSE)=1,0,(1-$BJ3))*(1-$BM3)</f>
        <v>0.10280655</v>
      </c>
      <c r="BR3" s="21" cm="1">
        <f t="array" ref="BR3">SUM(_xlfn.XLOOKUP(S3:AG3,增益!$A:$A,增益!$W:$W,0))+$I$5</f>
        <v>0.06</v>
      </c>
    </row>
    <row r="4" ht="14.25" spans="1:70">
      <c r="A4" s="42" t="s">
        <v>83</v>
      </c>
      <c r="B4" s="43"/>
      <c r="C4" s="43"/>
      <c r="D4" s="43"/>
      <c r="E4" s="44"/>
      <c r="F4" s="37" t="s">
        <v>84</v>
      </c>
      <c r="G4" s="41">
        <f>B15+B17</f>
        <v>0.1699</v>
      </c>
      <c r="H4" s="45" t="s">
        <v>85</v>
      </c>
      <c r="I4" s="10">
        <f>30</f>
        <v>30</v>
      </c>
      <c r="K4" s="24">
        <f>$L4*VLOOKUP($R4,武学奇术!$A:$ZZ,31,FALSE)</f>
        <v>31729.4179997357</v>
      </c>
      <c r="L4" s="24">
        <f t="shared" si="0"/>
        <v>31729.4179997357</v>
      </c>
      <c r="M4" s="2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31430.2492342705</v>
      </c>
      <c r="N4" s="24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44474.8181637385</v>
      </c>
      <c r="O4" s="2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20953.4994895137</v>
      </c>
      <c r="P4" s="24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10630.7555446121</v>
      </c>
      <c r="Q4" s="31">
        <v>1</v>
      </c>
      <c r="R4" s="32" t="s">
        <v>86</v>
      </c>
      <c r="S4" s="32" t="s">
        <v>87</v>
      </c>
      <c r="T4" s="32" t="s">
        <v>73</v>
      </c>
      <c r="U4" s="32" t="s">
        <v>73</v>
      </c>
      <c r="V4" s="32" t="s">
        <v>73</v>
      </c>
      <c r="W4" s="32" t="s">
        <v>73</v>
      </c>
      <c r="X4" s="32" t="s">
        <v>88</v>
      </c>
      <c r="Y4" s="32" t="s">
        <v>73</v>
      </c>
      <c r="Z4" s="32" t="s">
        <v>73</v>
      </c>
      <c r="AA4" s="32" t="s">
        <v>81</v>
      </c>
      <c r="AB4" s="32" t="s">
        <v>75</v>
      </c>
      <c r="AC4" s="32" t="s">
        <v>89</v>
      </c>
      <c r="AD4" s="32" t="s">
        <v>82</v>
      </c>
      <c r="AE4" s="32" t="s">
        <v>90</v>
      </c>
      <c r="AF4" s="32" t="s">
        <v>77</v>
      </c>
      <c r="AG4" s="32" t="s">
        <v>91</v>
      </c>
      <c r="AH4" t="str">
        <f>VLOOKUP($R4,武学奇术!$A:$ZZ,25,FALSE)</f>
        <v>剑</v>
      </c>
      <c r="AI4" s="21">
        <f>VLOOKUP($R4,武学奇术!$A:$ZZ,26,FALSE)</f>
        <v>1.1781</v>
      </c>
      <c r="AJ4" s="22">
        <f>VLOOKUP($R4,武学奇术!$A:$ZZ,27,FALSE)*(1+IF(OR($AH4=$F$4,$AH4=$F$5),$B$22,0))</f>
        <v>489</v>
      </c>
      <c r="AK4" s="21">
        <f>VLOOKUP($R4,武学奇术!$A:$ZZ,28,FALSE)</f>
        <v>1.7672</v>
      </c>
      <c r="AL4" s="22">
        <f>VLOOKUP($R4,武学奇术!$A:$ZZ,29,FALSE)*(1+IF(OR($AH4=$F$4,$AH4=$F$5),$B$22,0))</f>
        <v>265.5</v>
      </c>
      <c r="AM4" s="21" cm="1">
        <f t="array" ref="AM4">$G$3+IFERROR(VLOOKUP($AH4,$F$4:$G$7,2,FALSE),0)+VLOOKUP($R4,武学奇术!$A:$ZZ,2,FALSE)+SUM(_xlfn.XLOOKUP($S4:$AG4,增益!$A:$A,增益!$B:$B,0))</f>
        <v>0.9341</v>
      </c>
      <c r="AN4" s="21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1831.48</v>
      </c>
      <c r="AP4" cm="1">
        <f t="array" ref="AP4">$E$10*(1+$AN4)+VLOOKUP($R4,武学奇术!$A:$ZZ,4,FALSE)+SUM(_xlfn.XLOOKUP($S4:$AG4,增益!$A:$A,增益!$D:$D,0))-$I$2</f>
        <v>7763.56</v>
      </c>
      <c r="AQ4" s="26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0.264</v>
      </c>
      <c r="AR4" s="26" cm="1">
        <f t="array" ref="AR4">$G$10+VLOOKUP($R4,武学奇术!$A:$ZZ,7,FALSE)+SUM(_xlfn.XLOOKUP(S4:AG4,增益!$A:$A,增益!$G:$G,0))</f>
        <v>0</v>
      </c>
      <c r="AS4" s="21" cm="1">
        <f t="array" ref="AS4">VLOOKUP($R4,武学奇术!$A:$ZZ,8,FALSE)+SUM(_xlfn.XLOOKUP(S4:AG4,增益!$A:$A,增益!$H:$H,0))</f>
        <v>0</v>
      </c>
      <c r="AT4">
        <f t="shared" si="1"/>
        <v>680.02</v>
      </c>
      <c r="AU4">
        <f t="shared" si="2"/>
        <v>1288.54</v>
      </c>
      <c r="AV4" s="26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26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26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26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26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26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26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26" cm="1">
        <f t="array" ref="BI4">$G$14+VLOOKUP($R4,武学奇术!$A:$ZZ,16,FALSE)+SUM(_xlfn.XLOOKUP(S4:AG4,增益!$A:$A,增益!$P:$P,0))</f>
        <v>0</v>
      </c>
      <c r="BJ4" s="21">
        <f>MIN(IF(VLOOKUP($R4,武学奇术!$A:$ZZ,23,FALSE)=1,100%,$B$8),100%)</f>
        <v>0.8229</v>
      </c>
      <c r="BK4" s="21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0.2285</v>
      </c>
      <c r="BL4" s="21" cm="1">
        <f t="array" ref="BL4">1+$B$13+VLOOKUP($R4,武学奇术!$A:$ZZ,18,FALSE)+SUM(_xlfn.XLOOKUP(S4:AG4,增益!$A:$A,增益!$R:$R,0))</f>
        <v>1.5</v>
      </c>
      <c r="BM4" s="21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0.4195</v>
      </c>
      <c r="BN4" s="21" cm="1">
        <f t="array" ref="BN4">1+$B$14+VLOOKUP($R4,武学奇术!$A:$ZZ,20,FALSE)+SUM(_xlfn.XLOOKUP(S4:AG4,增益!$A:$A,增益!$T:$T,0))</f>
        <v>1.422</v>
      </c>
      <c r="BO4" s="21">
        <f t="shared" si="9"/>
        <v>0.18803265</v>
      </c>
      <c r="BP4" s="21">
        <f t="shared" si="10"/>
        <v>0.2896608</v>
      </c>
      <c r="BQ4" s="21">
        <f>IF(VLOOKUP($R4,武学奇术!$A:$ZZ,22,FALSE)=1,0,(1-$BJ4))*(1-$BM4)</f>
        <v>0.10280655</v>
      </c>
      <c r="BR4" s="21" cm="1">
        <f t="array" ref="BR4">SUM(_xlfn.XLOOKUP(S4:AG4,增益!$A:$A,增益!$W:$W,0))+$I$5</f>
        <v>0.06</v>
      </c>
    </row>
    <row r="5" spans="1:70">
      <c r="A5" s="46" t="s">
        <v>92</v>
      </c>
      <c r="B5" s="47"/>
      <c r="C5" s="47"/>
      <c r="D5" s="47"/>
      <c r="E5" s="48"/>
      <c r="F5" s="37" t="s">
        <v>93</v>
      </c>
      <c r="G5" s="41">
        <f>B15+B18</f>
        <v>0.0847</v>
      </c>
      <c r="H5" t="s">
        <v>94</v>
      </c>
      <c r="I5" s="23">
        <v>0.06</v>
      </c>
      <c r="K5" s="24">
        <f>$L5*VLOOKUP($R5,武学奇术!$A:$ZZ,31,FALSE)</f>
        <v>83685.7360411848</v>
      </c>
      <c r="L5" s="24">
        <f t="shared" si="0"/>
        <v>139476.226735308</v>
      </c>
      <c r="M5" s="2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117759.871861131</v>
      </c>
      <c r="N5" s="24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207087.685495053</v>
      </c>
      <c r="O5" s="2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78506.5812407539</v>
      </c>
      <c r="P5" s="24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35340.0217676107</v>
      </c>
      <c r="Q5" s="31">
        <v>1</v>
      </c>
      <c r="R5" s="32" t="s">
        <v>95</v>
      </c>
      <c r="S5" s="32" t="s">
        <v>87</v>
      </c>
      <c r="T5" s="32" t="s">
        <v>96</v>
      </c>
      <c r="U5" s="32" t="s">
        <v>97</v>
      </c>
      <c r="V5" s="32" t="s">
        <v>98</v>
      </c>
      <c r="W5" s="32" t="s">
        <v>73</v>
      </c>
      <c r="X5" s="32" t="s">
        <v>88</v>
      </c>
      <c r="Y5" s="32" t="s">
        <v>73</v>
      </c>
      <c r="Z5" s="32" t="s">
        <v>73</v>
      </c>
      <c r="AA5" s="32" t="s">
        <v>81</v>
      </c>
      <c r="AB5" s="32" t="s">
        <v>75</v>
      </c>
      <c r="AC5" s="32" t="s">
        <v>89</v>
      </c>
      <c r="AD5" s="32" t="s">
        <v>82</v>
      </c>
      <c r="AE5" s="32" t="s">
        <v>90</v>
      </c>
      <c r="AF5" s="32" t="s">
        <v>77</v>
      </c>
      <c r="AG5" s="32" t="s">
        <v>91</v>
      </c>
      <c r="AH5" t="str">
        <f>VLOOKUP($R5,武学奇术!$A:$ZZ,25,FALSE)</f>
        <v>剑</v>
      </c>
      <c r="AI5" s="21">
        <f>VLOOKUP($R5,武学奇术!$A:$ZZ,26,FALSE)</f>
        <v>2.52</v>
      </c>
      <c r="AJ5" s="22">
        <f>VLOOKUP($R5,武学奇术!$A:$ZZ,27,FALSE)*(1+IF(OR($AH5=$F$4,$AH5=$F$5),$B$22,0))</f>
        <v>0</v>
      </c>
      <c r="AK5" s="21">
        <f>VLOOKUP($R5,武学奇术!$A:$ZZ,28,FALSE)</f>
        <v>3.78</v>
      </c>
      <c r="AL5" s="22">
        <f>VLOOKUP($R5,武学奇术!$A:$ZZ,29,FALSE)*(1+IF(OR($AH5=$F$4,$AH5=$F$5),$B$22,0))</f>
        <v>0</v>
      </c>
      <c r="AM5" s="21" cm="1">
        <f t="array" ref="AM5">$G$3+IFERROR(VLOOKUP($AH5,$F$4:$G$7,2,FALSE),0)+VLOOKUP($R5,武学奇术!$A:$ZZ,2,FALSE)+SUM(_xlfn.XLOOKUP($S5:$AG5,增益!$A:$A,增益!$B:$B,0))</f>
        <v>1.6991</v>
      </c>
      <c r="AN5" s="21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1831.48</v>
      </c>
      <c r="AP5" cm="1">
        <f t="array" ref="AP5">$E$10*(1+$AN5)+VLOOKUP($R5,武学奇术!$A:$ZZ,4,FALSE)+SUM(_xlfn.XLOOKUP($S5:$AG5,增益!$A:$A,增益!$D:$D,0))-$I$2</f>
        <v>7763.56</v>
      </c>
      <c r="AQ5" s="26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0.339</v>
      </c>
      <c r="AR5" s="26" cm="1">
        <f t="array" ref="AR5">$G$10+VLOOKUP($R5,武学奇术!$A:$ZZ,7,FALSE)+SUM(_xlfn.XLOOKUP(S5:AG5,增益!$A:$A,增益!$G:$G,0))</f>
        <v>0</v>
      </c>
      <c r="AS5" s="21" cm="1">
        <f t="array" ref="AS5">VLOOKUP($R5,武学奇术!$A:$ZZ,8,FALSE)+SUM(_xlfn.XLOOKUP(S5:AG5,增益!$A:$A,增益!$H:$H,0))</f>
        <v>0</v>
      </c>
      <c r="AT5">
        <f t="shared" si="1"/>
        <v>680.02</v>
      </c>
      <c r="AU5">
        <f t="shared" si="2"/>
        <v>1288.54</v>
      </c>
      <c r="AV5" s="26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0.075</v>
      </c>
      <c r="AW5" s="26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26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26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26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26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26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26" cm="1">
        <f t="array" ref="BI5">$G$14+VLOOKUP($R5,武学奇术!$A:$ZZ,16,FALSE)+SUM(_xlfn.XLOOKUP(S5:AG5,增益!$A:$A,增益!$P:$P,0))</f>
        <v>0</v>
      </c>
      <c r="BJ5" s="21">
        <f>MIN(IF(VLOOKUP($R5,武学奇术!$A:$ZZ,23,FALSE)=1,100%,$B$8),100%)</f>
        <v>0.8229</v>
      </c>
      <c r="BK5" s="21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0.2285</v>
      </c>
      <c r="BL5" s="21" cm="1">
        <f t="array" ref="BL5">1+$B$13+VLOOKUP($R5,武学奇术!$A:$ZZ,18,FALSE)+SUM(_xlfn.XLOOKUP(S5:AG5,增益!$A:$A,增益!$R:$R,0))</f>
        <v>1.5</v>
      </c>
      <c r="BM5" s="21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0.4495</v>
      </c>
      <c r="BN5" s="21" cm="1">
        <f t="array" ref="BN5">1+$B$14+VLOOKUP($R5,武学奇术!$A:$ZZ,20,FALSE)+SUM(_xlfn.XLOOKUP(S5:AG5,增益!$A:$A,增益!$T:$T,0))</f>
        <v>1.702</v>
      </c>
      <c r="BO5" s="21">
        <f t="shared" si="9"/>
        <v>0.18803265</v>
      </c>
      <c r="BP5" s="21">
        <f t="shared" si="10"/>
        <v>0.2649738</v>
      </c>
      <c r="BQ5" s="21">
        <f>IF(VLOOKUP($R5,武学奇术!$A:$ZZ,22,FALSE)=1,0,(1-$BJ5))*(1-$BM5)</f>
        <v>0.09749355</v>
      </c>
      <c r="BR5" s="21" cm="1">
        <f t="array" ref="BR5">SUM(_xlfn.XLOOKUP(S5:AG5,增益!$A:$A,增益!$W:$W,0))+$I$5</f>
        <v>0.06</v>
      </c>
    </row>
    <row r="6" spans="1:70">
      <c r="A6" s="49" t="s">
        <v>99</v>
      </c>
      <c r="B6" s="50"/>
      <c r="C6" s="50"/>
      <c r="D6" s="50"/>
      <c r="E6" s="51"/>
      <c r="F6" s="37" t="s">
        <v>100</v>
      </c>
      <c r="G6" s="41">
        <f>B19</f>
        <v>0.1338</v>
      </c>
      <c r="K6" s="24">
        <f>$L6*VLOOKUP($R6,武学奇术!$A:$ZZ,31,FALSE)</f>
        <v>83685.7360411848</v>
      </c>
      <c r="L6" s="24">
        <f t="shared" si="0"/>
        <v>139476.226735308</v>
      </c>
      <c r="M6" s="2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117759.871861131</v>
      </c>
      <c r="N6" s="24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207087.685495053</v>
      </c>
      <c r="O6" s="2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78506.5812407539</v>
      </c>
      <c r="P6" s="24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35340.0217676107</v>
      </c>
      <c r="Q6" s="31">
        <v>1</v>
      </c>
      <c r="R6" s="32" t="s">
        <v>95</v>
      </c>
      <c r="S6" s="32" t="s">
        <v>87</v>
      </c>
      <c r="T6" s="32" t="s">
        <v>96</v>
      </c>
      <c r="U6" s="32" t="s">
        <v>97</v>
      </c>
      <c r="V6" s="32" t="s">
        <v>98</v>
      </c>
      <c r="W6" s="32" t="s">
        <v>73</v>
      </c>
      <c r="X6" s="32" t="s">
        <v>88</v>
      </c>
      <c r="Y6" s="32" t="s">
        <v>73</v>
      </c>
      <c r="Z6" s="32" t="s">
        <v>73</v>
      </c>
      <c r="AA6" s="32" t="s">
        <v>81</v>
      </c>
      <c r="AB6" s="32" t="s">
        <v>75</v>
      </c>
      <c r="AC6" s="32" t="s">
        <v>89</v>
      </c>
      <c r="AD6" s="32" t="s">
        <v>82</v>
      </c>
      <c r="AE6" s="32" t="s">
        <v>90</v>
      </c>
      <c r="AF6" s="32" t="s">
        <v>77</v>
      </c>
      <c r="AG6" s="32" t="s">
        <v>91</v>
      </c>
      <c r="AH6" t="str">
        <f>VLOOKUP($R6,武学奇术!$A:$ZZ,25,FALSE)</f>
        <v>剑</v>
      </c>
      <c r="AI6" s="21">
        <f>VLOOKUP($R6,武学奇术!$A:$ZZ,26,FALSE)</f>
        <v>2.52</v>
      </c>
      <c r="AJ6" s="22">
        <f>VLOOKUP($R6,武学奇术!$A:$ZZ,27,FALSE)*(1+IF(OR($AH6=$F$4,$AH6=$F$5),$B$22,0))</f>
        <v>0</v>
      </c>
      <c r="AK6" s="21">
        <f>VLOOKUP($R6,武学奇术!$A:$ZZ,28,FALSE)</f>
        <v>3.78</v>
      </c>
      <c r="AL6" s="22">
        <f>VLOOKUP($R6,武学奇术!$A:$ZZ,29,FALSE)*(1+IF(OR($AH6=$F$4,$AH6=$F$5),$B$22,0))</f>
        <v>0</v>
      </c>
      <c r="AM6" s="21" cm="1">
        <f t="array" ref="AM6">$G$3+IFERROR(VLOOKUP($AH6,$F$4:$G$7,2,FALSE),0)+VLOOKUP($R6,武学奇术!$A:$ZZ,2,FALSE)+SUM(_xlfn.XLOOKUP($S6:$AG6,增益!$A:$A,增益!$B:$B,0))</f>
        <v>1.6991</v>
      </c>
      <c r="AN6" s="21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1831.48</v>
      </c>
      <c r="AP6" cm="1">
        <f t="array" ref="AP6">$E$10*(1+$AN6)+VLOOKUP($R6,武学奇术!$A:$ZZ,4,FALSE)+SUM(_xlfn.XLOOKUP($S6:$AG6,增益!$A:$A,增益!$D:$D,0))-$I$2</f>
        <v>7763.56</v>
      </c>
      <c r="AQ6" s="26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0.339</v>
      </c>
      <c r="AR6" s="26" cm="1">
        <f t="array" ref="AR6">$G$10+VLOOKUP($R6,武学奇术!$A:$ZZ,7,FALSE)+SUM(_xlfn.XLOOKUP(S6:AG6,增益!$A:$A,增益!$G:$G,0))</f>
        <v>0</v>
      </c>
      <c r="AS6" s="21" cm="1">
        <f t="array" ref="AS6">VLOOKUP($R6,武学奇术!$A:$ZZ,8,FALSE)+SUM(_xlfn.XLOOKUP(S6:AG6,增益!$A:$A,增益!$H:$H,0))</f>
        <v>0</v>
      </c>
      <c r="AT6">
        <f t="shared" si="1"/>
        <v>680.02</v>
      </c>
      <c r="AU6">
        <f t="shared" si="2"/>
        <v>1288.54</v>
      </c>
      <c r="AV6" s="26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0.075</v>
      </c>
      <c r="AW6" s="26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26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26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26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26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26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26" cm="1">
        <f t="array" ref="BI6">$G$14+VLOOKUP($R6,武学奇术!$A:$ZZ,16,FALSE)+SUM(_xlfn.XLOOKUP(S6:AG6,增益!$A:$A,增益!$P:$P,0))</f>
        <v>0</v>
      </c>
      <c r="BJ6" s="21">
        <f>MIN(IF(VLOOKUP($R6,武学奇术!$A:$ZZ,23,FALSE)=1,100%,$B$8),100%)</f>
        <v>0.8229</v>
      </c>
      <c r="BK6" s="21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0.2285</v>
      </c>
      <c r="BL6" s="21" cm="1">
        <f t="array" ref="BL6">1+$B$13+VLOOKUP($R6,武学奇术!$A:$ZZ,18,FALSE)+SUM(_xlfn.XLOOKUP(S6:AG6,增益!$A:$A,增益!$R:$R,0))</f>
        <v>1.5</v>
      </c>
      <c r="BM6" s="21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0.4495</v>
      </c>
      <c r="BN6" s="21" cm="1">
        <f t="array" ref="BN6">1+$B$14+VLOOKUP($R6,武学奇术!$A:$ZZ,20,FALSE)+SUM(_xlfn.XLOOKUP(S6:AG6,增益!$A:$A,增益!$T:$T,0))</f>
        <v>1.702</v>
      </c>
      <c r="BO6" s="21">
        <f t="shared" si="9"/>
        <v>0.18803265</v>
      </c>
      <c r="BP6" s="21">
        <f t="shared" si="10"/>
        <v>0.2649738</v>
      </c>
      <c r="BQ6" s="21">
        <f>IF(VLOOKUP($R6,武学奇术!$A:$ZZ,22,FALSE)=1,0,(1-$BJ6))*(1-$BM6)</f>
        <v>0.09749355</v>
      </c>
      <c r="BR6" s="21" cm="1">
        <f t="array" ref="BR6">SUM(_xlfn.XLOOKUP(S6:AG6,增益!$A:$A,增益!$W:$W,0))+$I$5</f>
        <v>0.06</v>
      </c>
    </row>
    <row r="7" spans="1:70">
      <c r="A7" s="74" t="s">
        <v>101</v>
      </c>
      <c r="B7" s="77">
        <v>79.2</v>
      </c>
      <c r="C7" s="25">
        <v>92.4</v>
      </c>
      <c r="E7" s="52"/>
      <c r="F7" s="45" t="s">
        <v>102</v>
      </c>
      <c r="G7" s="53">
        <f>B20</f>
        <v>0</v>
      </c>
      <c r="K7" s="24">
        <f>$L7*VLOOKUP($R7,武学奇术!$A:$ZZ,31,FALSE)</f>
        <v>16554.4924174433</v>
      </c>
      <c r="L7" s="24">
        <f t="shared" si="0"/>
        <v>16554.4924174433</v>
      </c>
      <c r="M7" s="2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15034.2583088446</v>
      </c>
      <c r="N7" s="24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23654.4139763937</v>
      </c>
      <c r="O7" s="2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10022.8388725631</v>
      </c>
      <c r="P7" s="24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4504.01284605008</v>
      </c>
      <c r="Q7" s="31">
        <v>1</v>
      </c>
      <c r="R7" s="32" t="s">
        <v>103</v>
      </c>
      <c r="S7" s="32" t="s">
        <v>87</v>
      </c>
      <c r="T7" s="32" t="s">
        <v>104</v>
      </c>
      <c r="U7" s="32" t="s">
        <v>73</v>
      </c>
      <c r="V7" s="32" t="s">
        <v>73</v>
      </c>
      <c r="W7" s="32" t="s">
        <v>73</v>
      </c>
      <c r="X7" s="32" t="s">
        <v>88</v>
      </c>
      <c r="Y7" s="32" t="s">
        <v>73</v>
      </c>
      <c r="Z7" s="32" t="s">
        <v>73</v>
      </c>
      <c r="AA7" s="32" t="s">
        <v>81</v>
      </c>
      <c r="AB7" s="32" t="s">
        <v>75</v>
      </c>
      <c r="AC7" s="32" t="s">
        <v>89</v>
      </c>
      <c r="AD7" s="32" t="s">
        <v>82</v>
      </c>
      <c r="AE7" s="32" t="s">
        <v>90</v>
      </c>
      <c r="AF7" s="32" t="s">
        <v>77</v>
      </c>
      <c r="AG7" s="32" t="s">
        <v>91</v>
      </c>
      <c r="AH7" t="str">
        <f>VLOOKUP($R7,武学奇术!$A:$ZZ,25,FALSE)</f>
        <v>剑</v>
      </c>
      <c r="AI7" s="21">
        <f>VLOOKUP($R7,武学奇术!$A:$ZZ,26,FALSE)</f>
        <v>0.625</v>
      </c>
      <c r="AJ7" s="22">
        <f>VLOOKUP($R7,武学奇术!$A:$ZZ,27,FALSE)*(1+IF(OR($AH7=$F$4,$AH7=$F$5),$B$22,0))</f>
        <v>0</v>
      </c>
      <c r="AK7" s="21">
        <f>VLOOKUP($R7,武学奇术!$A:$ZZ,28,FALSE)</f>
        <v>0.9375</v>
      </c>
      <c r="AL7" s="22">
        <f>VLOOKUP($R7,武学奇术!$A:$ZZ,29,FALSE)*(1+IF(OR($AH7=$F$4,$AH7=$F$5),$B$22,0))</f>
        <v>0</v>
      </c>
      <c r="AM7" s="21" cm="1">
        <f t="array" ref="AM7">$G$3+IFERROR(VLOOKUP($AH7,$F$4:$G$7,2,FALSE),0)+VLOOKUP($R7,武学奇术!$A:$ZZ,2,FALSE)+SUM(_xlfn.XLOOKUP($S7:$AG7,增益!$A:$A,增益!$B:$B,0))</f>
        <v>0.9491</v>
      </c>
      <c r="AN7" s="21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1831.48</v>
      </c>
      <c r="AP7" cm="1">
        <f t="array" ref="AP7">$E$10*(1+$AN7)+VLOOKUP($R7,武学奇术!$A:$ZZ,4,FALSE)+SUM(_xlfn.XLOOKUP($S7:$AG7,增益!$A:$A,增益!$D:$D,0))-$I$2</f>
        <v>7763.56</v>
      </c>
      <c r="AQ7" s="26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0.264</v>
      </c>
      <c r="AR7" s="26" cm="1">
        <f t="array" ref="AR7">$G$10+VLOOKUP($R7,武学奇术!$A:$ZZ,7,FALSE)+SUM(_xlfn.XLOOKUP(S7:AG7,增益!$A:$A,增益!$G:$G,0))</f>
        <v>0</v>
      </c>
      <c r="AS7" s="21" cm="1">
        <f t="array" ref="AS7">VLOOKUP($R7,武学奇术!$A:$ZZ,8,FALSE)+SUM(_xlfn.XLOOKUP(S7:AG7,增益!$A:$A,增益!$H:$H,0))</f>
        <v>0</v>
      </c>
      <c r="AT7">
        <f t="shared" si="1"/>
        <v>680.02</v>
      </c>
      <c r="AU7">
        <f t="shared" si="2"/>
        <v>1288.54</v>
      </c>
      <c r="AV7" s="26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</v>
      </c>
      <c r="AW7" s="26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26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26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26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26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26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26" cm="1">
        <f t="array" ref="BI7">$G$14+VLOOKUP($R7,武学奇术!$A:$ZZ,16,FALSE)+SUM(_xlfn.XLOOKUP(S7:AG7,增益!$A:$A,增益!$P:$P,0))</f>
        <v>0</v>
      </c>
      <c r="BJ7" s="21">
        <f>MIN(IF(VLOOKUP($R7,武学奇术!$A:$ZZ,23,FALSE)=1,100%,$B$8),100%)</f>
        <v>0.8229</v>
      </c>
      <c r="BK7" s="21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0.2285</v>
      </c>
      <c r="BL7" s="21" cm="1">
        <f t="array" ref="BL7">1+$B$13+VLOOKUP($R7,武学奇术!$A:$ZZ,18,FALSE)+SUM(_xlfn.XLOOKUP(S7:AG7,增益!$A:$A,增益!$R:$R,0))</f>
        <v>1.5</v>
      </c>
      <c r="BM7" s="21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0.4495</v>
      </c>
      <c r="BN7" s="21" cm="1">
        <f t="array" ref="BN7">1+$B$14+VLOOKUP($R7,武学奇术!$A:$ZZ,20,FALSE)+SUM(_xlfn.XLOOKUP(S7:AG7,增益!$A:$A,增益!$T:$T,0))</f>
        <v>1.522</v>
      </c>
      <c r="BO7" s="21">
        <f t="shared" si="9"/>
        <v>0.18803265</v>
      </c>
      <c r="BP7" s="21">
        <f t="shared" si="10"/>
        <v>0.2649738</v>
      </c>
      <c r="BQ7" s="21">
        <f>IF(VLOOKUP($R7,武学奇术!$A:$ZZ,22,FALSE)=1,0,(1-$BJ7))*(1-$BM7)</f>
        <v>0.09749355</v>
      </c>
      <c r="BR7" s="21" cm="1">
        <f t="array" ref="BR7">SUM(_xlfn.XLOOKUP(S7:AG7,增益!$A:$A,增益!$W:$W,0))+$I$5</f>
        <v>0.06</v>
      </c>
    </row>
    <row r="8" spans="1:70">
      <c r="A8" s="54" t="s">
        <v>105</v>
      </c>
      <c r="B8" s="55">
        <v>0.8229</v>
      </c>
      <c r="C8" s="30" t="s">
        <v>106</v>
      </c>
      <c r="D8" s="28"/>
      <c r="E8" s="28"/>
      <c r="F8" s="28"/>
      <c r="G8" s="29"/>
      <c r="H8" s="56" t="s">
        <v>107</v>
      </c>
      <c r="I8" s="3">
        <v>91.5</v>
      </c>
      <c r="J8" s="57"/>
      <c r="K8" s="24">
        <f>$L8*VLOOKUP($R8,武学奇术!$A:$ZZ,31,FALSE)</f>
        <v>28817.9331687601</v>
      </c>
      <c r="L8" s="24">
        <f t="shared" si="0"/>
        <v>28817.9331687601</v>
      </c>
      <c r="M8" s="2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26718.083342706</v>
      </c>
      <c r="N8" s="24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40475.9718784694</v>
      </c>
      <c r="O8" s="2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17812.055561804</v>
      </c>
      <c r="P8" s="24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9030.17427835868</v>
      </c>
      <c r="Q8" s="31">
        <v>1</v>
      </c>
      <c r="R8" s="32" t="s">
        <v>108</v>
      </c>
      <c r="S8" s="32" t="s">
        <v>87</v>
      </c>
      <c r="T8" s="32" t="s">
        <v>104</v>
      </c>
      <c r="U8" s="32" t="s">
        <v>73</v>
      </c>
      <c r="V8" s="32" t="s">
        <v>73</v>
      </c>
      <c r="W8" s="32" t="s">
        <v>73</v>
      </c>
      <c r="X8" s="32" t="s">
        <v>109</v>
      </c>
      <c r="Y8" s="32" t="s">
        <v>73</v>
      </c>
      <c r="Z8" s="32" t="s">
        <v>73</v>
      </c>
      <c r="AA8" s="32" t="s">
        <v>81</v>
      </c>
      <c r="AB8" s="32" t="s">
        <v>75</v>
      </c>
      <c r="AC8" s="32" t="s">
        <v>89</v>
      </c>
      <c r="AD8" s="32" t="s">
        <v>82</v>
      </c>
      <c r="AE8" s="32" t="s">
        <v>90</v>
      </c>
      <c r="AF8" s="32" t="s">
        <v>77</v>
      </c>
      <c r="AG8" s="32" t="s">
        <v>91</v>
      </c>
      <c r="AH8" t="str">
        <f>VLOOKUP($R8,武学奇术!$A:$ZZ,25,FALSE)</f>
        <v>枪</v>
      </c>
      <c r="AI8" s="21">
        <f>VLOOKUP($R8,武学奇术!$A:$ZZ,26,FALSE)</f>
        <v>1.02732</v>
      </c>
      <c r="AJ8" s="22">
        <f>VLOOKUP($R8,武学奇术!$A:$ZZ,27,FALSE)*(1+IF(OR($AH8=$F$4,$AH8=$F$5),$B$22,0))</f>
        <v>426.6</v>
      </c>
      <c r="AK8" s="21">
        <f>VLOOKUP($R8,武学奇术!$A:$ZZ,28,FALSE)</f>
        <v>1.54096</v>
      </c>
      <c r="AL8" s="22">
        <f>VLOOKUP($R8,武学奇术!$A:$ZZ,29,FALSE)*(1+IF(OR($AH8=$F$4,$AH8=$F$5),$B$22,0))</f>
        <v>232.2</v>
      </c>
      <c r="AM8" s="21" cm="1">
        <f t="array" ref="AM8">$G$3+IFERROR(VLOOKUP($AH8,$F$4:$G$7,2,FALSE),0)+VLOOKUP($R8,武学奇术!$A:$ZZ,2,FALSE)+SUM(_xlfn.XLOOKUP($S8:$AG8,增益!$A:$A,增益!$B:$B,0))</f>
        <v>0.8739</v>
      </c>
      <c r="AN8" s="21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1831.48</v>
      </c>
      <c r="AP8" cm="1">
        <f t="array" ref="AP8">$E$10*(1+$AN8)+VLOOKUP($R8,武学奇术!$A:$ZZ,4,FALSE)+SUM(_xlfn.XLOOKUP($S8:$AG8,增益!$A:$A,增益!$D:$D,0))-$I$2</f>
        <v>7763.56</v>
      </c>
      <c r="AQ8" s="26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0.274</v>
      </c>
      <c r="AR8" s="26" cm="1">
        <f t="array" ref="AR8">$G$10+VLOOKUP($R8,武学奇术!$A:$ZZ,7,FALSE)+SUM(_xlfn.XLOOKUP(S8:AG8,增益!$A:$A,增益!$G:$G,0))</f>
        <v>0</v>
      </c>
      <c r="AS8" s="21" cm="1">
        <f t="array" ref="AS8">VLOOKUP($R8,武学奇术!$A:$ZZ,8,FALSE)+SUM(_xlfn.XLOOKUP(S8:AG8,增益!$A:$A,增益!$H:$H,0))</f>
        <v>0</v>
      </c>
      <c r="AT8">
        <f t="shared" si="1"/>
        <v>680.02</v>
      </c>
      <c r="AU8">
        <f t="shared" si="2"/>
        <v>1288.54</v>
      </c>
      <c r="AV8" s="26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26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26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26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26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26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26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26" cm="1">
        <f t="array" ref="BI8">$G$14+VLOOKUP($R8,武学奇术!$A:$ZZ,16,FALSE)+SUM(_xlfn.XLOOKUP(S8:AG8,增益!$A:$A,增益!$P:$P,0))</f>
        <v>0</v>
      </c>
      <c r="BJ8" s="21">
        <f>MIN(IF(VLOOKUP($R8,武学奇术!$A:$ZZ,23,FALSE)=1,100%,$B$8),100%)</f>
        <v>0.8229</v>
      </c>
      <c r="BK8" s="21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0.2285</v>
      </c>
      <c r="BL8" s="21" cm="1">
        <f t="array" ref="BL8">1+$B$13+VLOOKUP($R8,武学奇术!$A:$ZZ,18,FALSE)+SUM(_xlfn.XLOOKUP(S8:AG8,增益!$A:$A,增益!$R:$R,0))</f>
        <v>1.5</v>
      </c>
      <c r="BM8" s="21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0.4495</v>
      </c>
      <c r="BN8" s="21" cm="1">
        <f t="array" ref="BN8">1+$B$14+VLOOKUP($R8,武学奇术!$A:$ZZ,20,FALSE)+SUM(_xlfn.XLOOKUP(S8:AG8,增益!$A:$A,增益!$T:$T,0))</f>
        <v>1.522</v>
      </c>
      <c r="BO8" s="21">
        <f t="shared" si="9"/>
        <v>0.18803265</v>
      </c>
      <c r="BP8" s="21">
        <f t="shared" si="10"/>
        <v>0.2649738</v>
      </c>
      <c r="BQ8" s="21">
        <f>IF(VLOOKUP($R8,武学奇术!$A:$ZZ,22,FALSE)=1,0,(1-$BJ8))*(1-$BM8)</f>
        <v>0.09749355</v>
      </c>
      <c r="BR8" s="21" cm="1">
        <f t="array" ref="BR8">SUM(_xlfn.XLOOKUP(S8:AG8,增益!$A:$A,增益!$W:$W,0))+$I$5</f>
        <v>0.06</v>
      </c>
    </row>
    <row r="9" ht="14.25" spans="1:70">
      <c r="A9" s="33" t="s">
        <v>110</v>
      </c>
      <c r="B9" s="58">
        <v>0.1825</v>
      </c>
      <c r="C9" s="37"/>
      <c r="D9" t="s">
        <v>0</v>
      </c>
      <c r="E9" t="s">
        <v>1</v>
      </c>
      <c r="F9" s="31" t="s">
        <v>2</v>
      </c>
      <c r="G9" s="36" t="s">
        <v>3</v>
      </c>
      <c r="H9" s="59"/>
      <c r="I9" s="8"/>
      <c r="J9" s="60"/>
      <c r="K9" s="24">
        <f>$L9*VLOOKUP($R9,武学奇术!$A:$ZZ,31,FALSE)</f>
        <v>84834.6879810923</v>
      </c>
      <c r="L9" s="24">
        <f t="shared" si="0"/>
        <v>141391.146635154</v>
      </c>
      <c r="M9" s="2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119482.769027577</v>
      </c>
      <c r="N9" s="24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209797.015765662</v>
      </c>
      <c r="O9" s="2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79655.1793517179</v>
      </c>
      <c r="P9" s="24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36045.3670667364</v>
      </c>
      <c r="Q9" s="31">
        <v>1</v>
      </c>
      <c r="R9" s="32" t="s">
        <v>95</v>
      </c>
      <c r="S9" s="32" t="s">
        <v>87</v>
      </c>
      <c r="T9" s="32" t="s">
        <v>96</v>
      </c>
      <c r="U9" s="32" t="s">
        <v>97</v>
      </c>
      <c r="V9" s="32" t="s">
        <v>98</v>
      </c>
      <c r="W9" s="32" t="s">
        <v>111</v>
      </c>
      <c r="X9" s="32" t="s">
        <v>109</v>
      </c>
      <c r="Y9" s="32" t="s">
        <v>73</v>
      </c>
      <c r="Z9" s="32" t="s">
        <v>73</v>
      </c>
      <c r="AA9" s="32" t="s">
        <v>81</v>
      </c>
      <c r="AB9" s="32" t="s">
        <v>75</v>
      </c>
      <c r="AC9" s="32" t="s">
        <v>89</v>
      </c>
      <c r="AD9" s="32" t="s">
        <v>82</v>
      </c>
      <c r="AE9" s="32" t="s">
        <v>90</v>
      </c>
      <c r="AF9" s="32" t="s">
        <v>77</v>
      </c>
      <c r="AG9" s="32" t="s">
        <v>91</v>
      </c>
      <c r="AH9" t="str">
        <f>VLOOKUP($R9,武学奇术!$A:$ZZ,25,FALSE)</f>
        <v>剑</v>
      </c>
      <c r="AI9" s="21">
        <f>VLOOKUP($R9,武学奇术!$A:$ZZ,26,FALSE)</f>
        <v>2.52</v>
      </c>
      <c r="AJ9" s="22">
        <f>VLOOKUP($R9,武学奇术!$A:$ZZ,27,FALSE)*(1+IF(OR($AH9=$F$4,$AH9=$F$5),$B$22,0))</f>
        <v>0</v>
      </c>
      <c r="AK9" s="21">
        <f>VLOOKUP($R9,武学奇术!$A:$ZZ,28,FALSE)</f>
        <v>3.78</v>
      </c>
      <c r="AL9" s="22">
        <f>VLOOKUP($R9,武学奇术!$A:$ZZ,29,FALSE)*(1+IF(OR($AH9=$F$4,$AH9=$F$5),$B$22,0))</f>
        <v>0</v>
      </c>
      <c r="AM9" s="21" cm="1">
        <f t="array" ref="AM9">$G$3+IFERROR(VLOOKUP($AH9,$F$4:$G$7,2,FALSE),0)+VLOOKUP($R9,武学奇术!$A:$ZZ,2,FALSE)+SUM(_xlfn.XLOOKUP($S9:$AG9,增益!$A:$A,增益!$B:$B,0))</f>
        <v>1.7091</v>
      </c>
      <c r="AN9" s="21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1862.48</v>
      </c>
      <c r="AP9" cm="1">
        <f t="array" ref="AP9">$E$10*(1+$AN9)+VLOOKUP($R9,武学奇术!$A:$ZZ,4,FALSE)+SUM(_xlfn.XLOOKUP($S9:$AG9,增益!$A:$A,增益!$D:$D,0))-$I$2</f>
        <v>7794.56</v>
      </c>
      <c r="AQ9" s="26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0.349</v>
      </c>
      <c r="AR9" s="26" cm="1">
        <f t="array" ref="AR9">$G$10+VLOOKUP($R9,武学奇术!$A:$ZZ,7,FALSE)+SUM(_xlfn.XLOOKUP(S9:AG9,增益!$A:$A,增益!$G:$G,0))</f>
        <v>0</v>
      </c>
      <c r="AS9" s="21" cm="1">
        <f t="array" ref="AS9">VLOOKUP($R9,武学奇术!$A:$ZZ,8,FALSE)+SUM(_xlfn.XLOOKUP(S9:AG9,增益!$A:$A,增益!$H:$H,0))</f>
        <v>0</v>
      </c>
      <c r="AT9">
        <f t="shared" si="1"/>
        <v>680.02</v>
      </c>
      <c r="AU9">
        <f t="shared" si="2"/>
        <v>1288.54</v>
      </c>
      <c r="AV9" s="26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0.075</v>
      </c>
      <c r="AW9" s="26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26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26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26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26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26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26" cm="1">
        <f t="array" ref="BI9">$G$14+VLOOKUP($R9,武学奇术!$A:$ZZ,16,FALSE)+SUM(_xlfn.XLOOKUP(S9:AG9,增益!$A:$A,增益!$P:$P,0))</f>
        <v>0</v>
      </c>
      <c r="BJ9" s="21">
        <f>MIN(IF(VLOOKUP($R9,武学奇术!$A:$ZZ,23,FALSE)=1,100%,$B$8),100%)</f>
        <v>0.8229</v>
      </c>
      <c r="BK9" s="21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0.2285</v>
      </c>
      <c r="BL9" s="21" cm="1">
        <f t="array" ref="BL9">1+$B$13+VLOOKUP($R9,武学奇术!$A:$ZZ,18,FALSE)+SUM(_xlfn.XLOOKUP(S9:AG9,增益!$A:$A,增益!$R:$R,0))</f>
        <v>1.5</v>
      </c>
      <c r="BM9" s="21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0.4495</v>
      </c>
      <c r="BN9" s="21" cm="1">
        <f t="array" ref="BN9">1+$B$14+VLOOKUP($R9,武学奇术!$A:$ZZ,20,FALSE)+SUM(_xlfn.XLOOKUP(S9:AG9,增益!$A:$A,增益!$T:$T,0))</f>
        <v>1.702</v>
      </c>
      <c r="BO9" s="21">
        <f t="shared" si="9"/>
        <v>0.18803265</v>
      </c>
      <c r="BP9" s="21">
        <f t="shared" si="10"/>
        <v>0.2649738</v>
      </c>
      <c r="BQ9" s="21">
        <f>IF(VLOOKUP($R9,武学奇术!$A:$ZZ,22,FALSE)=1,0,(1-$BJ9))*(1-$BM9)</f>
        <v>0.09749355</v>
      </c>
      <c r="BR9" s="21" cm="1">
        <f t="array" ref="BR9">SUM(_xlfn.XLOOKUP(S9:AG9,增益!$A:$A,增益!$W:$W,0))+$I$5</f>
        <v>0.06</v>
      </c>
    </row>
    <row r="10" spans="1:70">
      <c r="A10" s="33" t="s">
        <v>112</v>
      </c>
      <c r="B10" s="58">
        <v>0.3965</v>
      </c>
      <c r="C10" s="37" t="s">
        <v>67</v>
      </c>
      <c r="D10">
        <f>(B2+B23)*IF($G$2="飞隼",1.1,1)</f>
        <v>2414.28</v>
      </c>
      <c r="E10">
        <f>MAX(B2+B23,C2+B24)*IF($G$2="飞隼",1.1,1)</f>
        <v>8346.36</v>
      </c>
      <c r="F10">
        <f t="shared" ref="F10:G14" si="11">D2</f>
        <v>63.8</v>
      </c>
      <c r="G10" s="52">
        <f t="shared" si="11"/>
        <v>0</v>
      </c>
      <c r="H10" s="56" t="s">
        <v>113</v>
      </c>
      <c r="I10" s="61">
        <f>SUM(L:L)</f>
        <v>15884396.7455101</v>
      </c>
      <c r="J10" s="62"/>
      <c r="K10" s="24">
        <f>$L10*VLOOKUP($R10,武学奇术!$A:$ZZ,31,FALSE)</f>
        <v>34797.6166792456</v>
      </c>
      <c r="L10" s="24">
        <f t="shared" si="0"/>
        <v>34797.6166792456</v>
      </c>
      <c r="M10" s="2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31819.1156709061</v>
      </c>
      <c r="N10" s="24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49443.1399856404</v>
      </c>
      <c r="O10" s="2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21212.743780604</v>
      </c>
      <c r="P10" s="24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9939.85025132605</v>
      </c>
      <c r="Q10" s="31">
        <v>1</v>
      </c>
      <c r="R10" s="32" t="s">
        <v>114</v>
      </c>
      <c r="S10" s="32" t="s">
        <v>87</v>
      </c>
      <c r="T10" s="32" t="s">
        <v>104</v>
      </c>
      <c r="U10" s="32" t="s">
        <v>73</v>
      </c>
      <c r="V10" s="32" t="s">
        <v>73</v>
      </c>
      <c r="W10" s="32" t="s">
        <v>111</v>
      </c>
      <c r="X10" s="32" t="s">
        <v>109</v>
      </c>
      <c r="Y10" s="32" t="s">
        <v>73</v>
      </c>
      <c r="Z10" s="32" t="s">
        <v>73</v>
      </c>
      <c r="AA10" s="32" t="s">
        <v>81</v>
      </c>
      <c r="AB10" s="32" t="s">
        <v>75</v>
      </c>
      <c r="AC10" s="32" t="s">
        <v>89</v>
      </c>
      <c r="AD10" s="32" t="s">
        <v>82</v>
      </c>
      <c r="AE10" s="32" t="s">
        <v>90</v>
      </c>
      <c r="AF10" s="32" t="s">
        <v>77</v>
      </c>
      <c r="AG10" s="32" t="s">
        <v>91</v>
      </c>
      <c r="AH10" t="str">
        <f>VLOOKUP($R10,武学奇术!$A:$ZZ,25,FALSE)</f>
        <v>单体奇术</v>
      </c>
      <c r="AI10" s="21">
        <f>VLOOKUP($R10,武学奇术!$A:$ZZ,26,FALSE)</f>
        <v>1.28505</v>
      </c>
      <c r="AJ10" s="22">
        <f>VLOOKUP($R10,武学奇术!$A:$ZZ,27,FALSE)*(1+IF(OR($AH10=$F$4,$AH10=$F$5),$B$22,0))</f>
        <v>251</v>
      </c>
      <c r="AK10" s="21">
        <f>VLOOKUP($R10,武学奇术!$A:$ZZ,28,FALSE)</f>
        <v>1.927575</v>
      </c>
      <c r="AL10" s="22">
        <f>VLOOKUP($R10,武学奇术!$A:$ZZ,29,FALSE)*(1+IF(OR($AH10=$F$4,$AH10=$F$5),$B$22,0))</f>
        <v>0</v>
      </c>
      <c r="AM10" s="21" cm="1">
        <f t="array" ref="AM10">$G$3+IFERROR(VLOOKUP($AH10,$F$4:$G$7,2,FALSE),0)+VLOOKUP($R10,武学奇术!$A:$ZZ,2,FALSE)+SUM(_xlfn.XLOOKUP($S10:$AG10,增益!$A:$A,增益!$B:$B,0))</f>
        <v>0.923</v>
      </c>
      <c r="AN10" s="21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1862.48</v>
      </c>
      <c r="AP10" cm="1">
        <f t="array" ref="AP10">$E$10*(1+$AN10)+VLOOKUP($R10,武学奇术!$A:$ZZ,4,FALSE)+SUM(_xlfn.XLOOKUP($S10:$AG10,增益!$A:$A,增益!$D:$D,0))-$I$2</f>
        <v>7794.56</v>
      </c>
      <c r="AQ10" s="26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0.274</v>
      </c>
      <c r="AR10" s="26" cm="1">
        <f t="array" ref="AR10">$G$10+VLOOKUP($R10,武学奇术!$A:$ZZ,7,FALSE)+SUM(_xlfn.XLOOKUP(S10:AG10,增益!$A:$A,增益!$G:$G,0))</f>
        <v>0</v>
      </c>
      <c r="AS10" s="21" cm="1">
        <f t="array" ref="AS10">VLOOKUP($R10,武学奇术!$A:$ZZ,8,FALSE)+SUM(_xlfn.XLOOKUP(S10:AG10,增益!$A:$A,增益!$H:$H,0))</f>
        <v>0</v>
      </c>
      <c r="AT10">
        <f t="shared" si="1"/>
        <v>680.02</v>
      </c>
      <c r="AU10">
        <f t="shared" si="2"/>
        <v>1288.54</v>
      </c>
      <c r="AV10" s="26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26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26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26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26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26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26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26" cm="1">
        <f t="array" ref="BI10">$G$14+VLOOKUP($R10,武学奇术!$A:$ZZ,16,FALSE)+SUM(_xlfn.XLOOKUP(S10:AG10,增益!$A:$A,增益!$P:$P,0))</f>
        <v>0</v>
      </c>
      <c r="BJ10" s="21">
        <f>MIN(IF(VLOOKUP($R10,武学奇术!$A:$ZZ,23,FALSE)=1,100%,$B$8),100%)</f>
        <v>0.8229</v>
      </c>
      <c r="BK10" s="21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0.2285</v>
      </c>
      <c r="BL10" s="21" cm="1">
        <f t="array" ref="BL10">1+$B$13+VLOOKUP($R10,武学奇术!$A:$ZZ,18,FALSE)+SUM(_xlfn.XLOOKUP(S10:AG10,增益!$A:$A,增益!$R:$R,0))</f>
        <v>1.5</v>
      </c>
      <c r="BM10" s="21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0.4495</v>
      </c>
      <c r="BN10" s="21" cm="1">
        <f t="array" ref="BN10">1+$B$14+VLOOKUP($R10,武学奇术!$A:$ZZ,20,FALSE)+SUM(_xlfn.XLOOKUP(S10:AG10,增益!$A:$A,增益!$T:$T,0))</f>
        <v>1.522</v>
      </c>
      <c r="BO10" s="21">
        <f t="shared" si="9"/>
        <v>0.18803265</v>
      </c>
      <c r="BP10" s="21">
        <f t="shared" si="10"/>
        <v>0.2649738</v>
      </c>
      <c r="BQ10" s="21">
        <f>IF(VLOOKUP($R10,武学奇术!$A:$ZZ,22,FALSE)=1,0,(1-$BJ10))*(1-$BM10)</f>
        <v>0.09749355</v>
      </c>
      <c r="BR10" s="21" cm="1">
        <f t="array" ref="BR10">SUM(_xlfn.XLOOKUP(S10:AG10,增益!$A:$A,增益!$W:$W,0))+$I$5</f>
        <v>0.06</v>
      </c>
    </row>
    <row r="11" ht="14.25" spans="1:70">
      <c r="A11" s="33" t="s">
        <v>115</v>
      </c>
      <c r="B11" s="58">
        <v>0.046</v>
      </c>
      <c r="C11" s="37" t="s">
        <v>5</v>
      </c>
      <c r="D11">
        <f>(B3+IF($G$1=$C11,$B$7,0))*IF($G$2="飞隼",1.1,1)</f>
        <v>680.02</v>
      </c>
      <c r="E11">
        <f>(MAX(B3,C3)+IF($G$1=$C11,$C$7,0))*IF($G$2="飞隼",1.1,1)</f>
        <v>1288.54</v>
      </c>
      <c r="F11">
        <f t="shared" si="11"/>
        <v>30</v>
      </c>
      <c r="G11" s="52">
        <f t="shared" si="11"/>
        <v>0.15</v>
      </c>
      <c r="H11" s="59"/>
      <c r="I11" s="64"/>
      <c r="J11" s="65"/>
      <c r="K11" s="24">
        <f>$L11*VLOOKUP($R11,武学奇术!$A:$ZZ,31,FALSE)</f>
        <v>35210.7598271601</v>
      </c>
      <c r="L11" s="24">
        <f t="shared" si="0"/>
        <v>35210.7598271601</v>
      </c>
      <c r="M11" s="2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32530.3664282158</v>
      </c>
      <c r="N11" s="24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49548.4449785039</v>
      </c>
      <c r="O11" s="2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21686.9109521439</v>
      </c>
      <c r="P11" s="24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11031.4948948204</v>
      </c>
      <c r="Q11" s="31">
        <v>1</v>
      </c>
      <c r="R11" s="32" t="s">
        <v>86</v>
      </c>
      <c r="S11" s="32" t="s">
        <v>87</v>
      </c>
      <c r="T11" s="32" t="s">
        <v>104</v>
      </c>
      <c r="U11" s="32" t="s">
        <v>73</v>
      </c>
      <c r="V11" s="32" t="s">
        <v>73</v>
      </c>
      <c r="W11" s="32" t="s">
        <v>111</v>
      </c>
      <c r="X11" s="32" t="s">
        <v>116</v>
      </c>
      <c r="Y11" s="32" t="s">
        <v>73</v>
      </c>
      <c r="Z11" s="32" t="s">
        <v>73</v>
      </c>
      <c r="AA11" s="32" t="s">
        <v>81</v>
      </c>
      <c r="AB11" s="32" t="s">
        <v>75</v>
      </c>
      <c r="AC11" s="32" t="s">
        <v>89</v>
      </c>
      <c r="AD11" s="32" t="s">
        <v>82</v>
      </c>
      <c r="AE11" s="32" t="s">
        <v>90</v>
      </c>
      <c r="AF11" s="32" t="s">
        <v>77</v>
      </c>
      <c r="AG11" s="32" t="s">
        <v>117</v>
      </c>
      <c r="AH11" t="str">
        <f>VLOOKUP($R11,武学奇术!$A:$ZZ,25,FALSE)</f>
        <v>剑</v>
      </c>
      <c r="AI11" s="21">
        <f>VLOOKUP($R11,武学奇术!$A:$ZZ,26,FALSE)</f>
        <v>1.1781</v>
      </c>
      <c r="AJ11" s="22">
        <f>VLOOKUP($R11,武学奇术!$A:$ZZ,27,FALSE)*(1+IF(OR($AH11=$F$4,$AH11=$F$5),$B$22,0))</f>
        <v>489</v>
      </c>
      <c r="AK11" s="21">
        <f>VLOOKUP($R11,武学奇术!$A:$ZZ,28,FALSE)</f>
        <v>1.7672</v>
      </c>
      <c r="AL11" s="22">
        <f>VLOOKUP($R11,武学奇术!$A:$ZZ,29,FALSE)*(1+IF(OR($AH11=$F$4,$AH11=$F$5),$B$22,0))</f>
        <v>265.5</v>
      </c>
      <c r="AM11" s="21" cm="1">
        <f t="array" ref="AM11">$G$3+IFERROR(VLOOKUP($AH11,$F$4:$G$7,2,FALSE),0)+VLOOKUP($R11,武学奇术!$A:$ZZ,2,FALSE)+SUM(_xlfn.XLOOKUP($S11:$AG11,增益!$A:$A,增益!$B:$B,0))</f>
        <v>0.9691</v>
      </c>
      <c r="AN11" s="21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1862.48</v>
      </c>
      <c r="AP11" cm="1">
        <f t="array" ref="AP11">$E$10*(1+$AN11)+VLOOKUP($R11,武学奇术!$A:$ZZ,4,FALSE)+SUM(_xlfn.XLOOKUP($S11:$AG11,增益!$A:$A,增益!$D:$D,0))-$I$2</f>
        <v>7794.56</v>
      </c>
      <c r="AQ11" s="26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0.284</v>
      </c>
      <c r="AR11" s="26" cm="1">
        <f t="array" ref="AR11">$G$10+VLOOKUP($R11,武学奇术!$A:$ZZ,7,FALSE)+SUM(_xlfn.XLOOKUP(S11:AG11,增益!$A:$A,增益!$G:$G,0))</f>
        <v>0</v>
      </c>
      <c r="AS11" s="21" cm="1">
        <f t="array" ref="AS11">VLOOKUP($R11,武学奇术!$A:$ZZ,8,FALSE)+SUM(_xlfn.XLOOKUP(S11:AG11,增益!$A:$A,增益!$H:$H,0))</f>
        <v>0</v>
      </c>
      <c r="AT11">
        <f t="shared" si="1"/>
        <v>680.02</v>
      </c>
      <c r="AU11">
        <f t="shared" si="2"/>
        <v>1288.54</v>
      </c>
      <c r="AV11" s="26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26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26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26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26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26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26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26" cm="1">
        <f t="array" ref="BI11">$G$14+VLOOKUP($R11,武学奇术!$A:$ZZ,16,FALSE)+SUM(_xlfn.XLOOKUP(S11:AG11,增益!$A:$A,增益!$P:$P,0))</f>
        <v>0</v>
      </c>
      <c r="BJ11" s="21">
        <f>MIN(IF(VLOOKUP($R11,武学奇术!$A:$ZZ,23,FALSE)=1,100%,$B$8),100%)</f>
        <v>0.8229</v>
      </c>
      <c r="BK11" s="21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0.2285</v>
      </c>
      <c r="BL11" s="21" cm="1">
        <f t="array" ref="BL11">1+$B$13+VLOOKUP($R11,武学奇术!$A:$ZZ,18,FALSE)+SUM(_xlfn.XLOOKUP(S11:AG11,增益!$A:$A,增益!$R:$R,0))</f>
        <v>1.5</v>
      </c>
      <c r="BM11" s="21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0.4495</v>
      </c>
      <c r="BN11" s="21" cm="1">
        <f t="array" ref="BN11">1+$B$14+VLOOKUP($R11,武学奇术!$A:$ZZ,20,FALSE)+SUM(_xlfn.XLOOKUP(S11:AG11,增益!$A:$A,增益!$T:$T,0))</f>
        <v>1.532</v>
      </c>
      <c r="BO11" s="21">
        <f t="shared" si="9"/>
        <v>0.18803265</v>
      </c>
      <c r="BP11" s="21">
        <f t="shared" si="10"/>
        <v>0.2649738</v>
      </c>
      <c r="BQ11" s="21">
        <f>IF(VLOOKUP($R11,武学奇术!$A:$ZZ,22,FALSE)=1,0,(1-$BJ11))*(1-$BM11)</f>
        <v>0.09749355</v>
      </c>
      <c r="BR11" s="21" cm="1">
        <f t="array" ref="BR11">SUM(_xlfn.XLOOKUP(S11:AG11,增益!$A:$A,增益!$W:$W,0))+$I$5</f>
        <v>0.06</v>
      </c>
    </row>
    <row r="12" spans="1:70">
      <c r="A12" s="33" t="s">
        <v>118</v>
      </c>
      <c r="B12" s="58">
        <v>0.023</v>
      </c>
      <c r="C12" s="37" t="s">
        <v>83</v>
      </c>
      <c r="D12">
        <f>B4+IF($G$1=$C12,$B$7,0)</f>
        <v>0</v>
      </c>
      <c r="E12">
        <f>MAX(B4,C4)+IF($G$1=$C12,$C$7,0)</f>
        <v>0</v>
      </c>
      <c r="F12">
        <f t="shared" si="11"/>
        <v>0</v>
      </c>
      <c r="G12" s="52">
        <f t="shared" si="11"/>
        <v>0</v>
      </c>
      <c r="H12" s="56" t="s">
        <v>119</v>
      </c>
      <c r="I12" s="24">
        <f>I10/I8</f>
        <v>173599.964431804</v>
      </c>
      <c r="J12" s="66"/>
      <c r="K12" s="24">
        <f>$L12*VLOOKUP($R12,武学奇术!$A:$ZZ,31,FALSE)</f>
        <v>127852.809320912</v>
      </c>
      <c r="L12" s="24">
        <f t="shared" si="0"/>
        <v>213088.015534853</v>
      </c>
      <c r="M12" s="2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120618.213082479</v>
      </c>
      <c r="N12" s="24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213088.015534853</v>
      </c>
      <c r="O12" s="2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80412.1420549863</v>
      </c>
      <c r="P12" s="24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36356.9853162498</v>
      </c>
      <c r="Q12" s="31">
        <v>1</v>
      </c>
      <c r="R12" s="32" t="s">
        <v>120</v>
      </c>
      <c r="S12" s="32" t="s">
        <v>87</v>
      </c>
      <c r="T12" s="32" t="s">
        <v>96</v>
      </c>
      <c r="U12" s="32" t="s">
        <v>97</v>
      </c>
      <c r="V12" s="32" t="s">
        <v>98</v>
      </c>
      <c r="W12" s="32" t="s">
        <v>111</v>
      </c>
      <c r="X12" s="32" t="s">
        <v>116</v>
      </c>
      <c r="Y12" s="32" t="s">
        <v>73</v>
      </c>
      <c r="Z12" s="32" t="s">
        <v>73</v>
      </c>
      <c r="AA12" s="32" t="s">
        <v>81</v>
      </c>
      <c r="AB12" s="32" t="s">
        <v>75</v>
      </c>
      <c r="AC12" s="32" t="s">
        <v>89</v>
      </c>
      <c r="AD12" s="32" t="s">
        <v>82</v>
      </c>
      <c r="AE12" s="32" t="s">
        <v>90</v>
      </c>
      <c r="AF12" s="32" t="s">
        <v>77</v>
      </c>
      <c r="AG12" s="32" t="s">
        <v>117</v>
      </c>
      <c r="AH12" t="str">
        <f>VLOOKUP($R12,武学奇术!$A:$ZZ,25,FALSE)</f>
        <v>剑</v>
      </c>
      <c r="AI12" s="21">
        <f>VLOOKUP($R12,武学奇术!$A:$ZZ,26,FALSE)</f>
        <v>2.52</v>
      </c>
      <c r="AJ12" s="22">
        <f>VLOOKUP($R12,武学奇术!$A:$ZZ,27,FALSE)*(1+IF(OR($AH12=$F$4,$AH12=$F$5),$B$22,0))</f>
        <v>0</v>
      </c>
      <c r="AK12" s="21">
        <f>VLOOKUP($R12,武学奇术!$A:$ZZ,28,FALSE)</f>
        <v>3.78</v>
      </c>
      <c r="AL12" s="22">
        <f>VLOOKUP($R12,武学奇术!$A:$ZZ,29,FALSE)*(1+IF(OR($AH12=$F$4,$AH12=$F$5),$B$22,0))</f>
        <v>0</v>
      </c>
      <c r="AM12" s="21" cm="1">
        <f t="array" ref="AM12">$G$3+IFERROR(VLOOKUP($AH12,$F$4:$G$7,2,FALSE),0)+VLOOKUP($R12,武学奇术!$A:$ZZ,2,FALSE)+SUM(_xlfn.XLOOKUP($S12:$AG12,增益!$A:$A,增益!$B:$B,0))</f>
        <v>1.7191</v>
      </c>
      <c r="AN12" s="21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1862.48</v>
      </c>
      <c r="AP12" cm="1">
        <f t="array" ref="AP12">$E$10*(1+$AN12)+VLOOKUP($R12,武学奇术!$A:$ZZ,4,FALSE)+SUM(_xlfn.XLOOKUP($S12:$AG12,增益!$A:$A,增益!$D:$D,0))-$I$2</f>
        <v>7794.56</v>
      </c>
      <c r="AQ12" s="26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0.359</v>
      </c>
      <c r="AR12" s="26" cm="1">
        <f t="array" ref="AR12">$G$10+VLOOKUP($R12,武学奇术!$A:$ZZ,7,FALSE)+SUM(_xlfn.XLOOKUP(S12:AG12,增益!$A:$A,增益!$G:$G,0))</f>
        <v>0</v>
      </c>
      <c r="AS12" s="21" cm="1">
        <f t="array" ref="AS12">VLOOKUP($R12,武学奇术!$A:$ZZ,8,FALSE)+SUM(_xlfn.XLOOKUP(S12:AG12,增益!$A:$A,增益!$H:$H,0))</f>
        <v>0</v>
      </c>
      <c r="AT12">
        <f t="shared" si="1"/>
        <v>680.02</v>
      </c>
      <c r="AU12">
        <f t="shared" si="2"/>
        <v>1288.54</v>
      </c>
      <c r="AV12" s="26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0.075</v>
      </c>
      <c r="AW12" s="26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26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26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26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26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26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26" cm="1">
        <f t="array" ref="BI12">$G$14+VLOOKUP($R12,武学奇术!$A:$ZZ,16,FALSE)+SUM(_xlfn.XLOOKUP(S12:AG12,增益!$A:$A,增益!$P:$P,0))</f>
        <v>0</v>
      </c>
      <c r="BJ12" s="21">
        <f>MIN(IF(VLOOKUP($R12,武学奇术!$A:$ZZ,23,FALSE)=1,100%,$B$8),100%)</f>
        <v>0.8229</v>
      </c>
      <c r="BK12" s="21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</v>
      </c>
      <c r="BL12" s="21" cm="1">
        <f t="array" ref="BL12">1+$B$13+VLOOKUP($R12,武学奇术!$A:$ZZ,18,FALSE)+SUM(_xlfn.XLOOKUP(S12:AG12,增益!$A:$A,增益!$R:$R,0))</f>
        <v>1.5</v>
      </c>
      <c r="BM12" s="21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1</v>
      </c>
      <c r="BN12" s="21" cm="1">
        <f t="array" ref="BN12">1+$B$14+VLOOKUP($R12,武学奇术!$A:$ZZ,20,FALSE)+SUM(_xlfn.XLOOKUP(S12:AG12,增益!$A:$A,增益!$T:$T,0))</f>
        <v>1.712</v>
      </c>
      <c r="BO12" s="21">
        <f t="shared" si="9"/>
        <v>0</v>
      </c>
      <c r="BP12" s="21">
        <f t="shared" si="10"/>
        <v>0</v>
      </c>
      <c r="BQ12" s="21">
        <f>IF(VLOOKUP($R12,武学奇术!$A:$ZZ,22,FALSE)=1,0,(1-$BJ12))*(1-$BM12)</f>
        <v>0</v>
      </c>
      <c r="BR12" s="21" cm="1">
        <f t="array" ref="BR12">SUM(_xlfn.XLOOKUP(S12:AG12,增益!$A:$A,增益!$W:$W,0))+$I$5</f>
        <v>0.06</v>
      </c>
    </row>
    <row r="13" ht="14.25" spans="1:70">
      <c r="A13" s="33" t="s">
        <v>121</v>
      </c>
      <c r="B13" s="58">
        <v>0.5</v>
      </c>
      <c r="C13" s="37" t="s">
        <v>92</v>
      </c>
      <c r="D13">
        <f>B5+IF($G$1=$C13,$B$7,0)</f>
        <v>0</v>
      </c>
      <c r="E13">
        <f>MAX(B5,C5)+IF($G$1=$C13,$C$7,0)</f>
        <v>0</v>
      </c>
      <c r="F13">
        <f t="shared" si="11"/>
        <v>0</v>
      </c>
      <c r="G13" s="52">
        <f t="shared" si="11"/>
        <v>0</v>
      </c>
      <c r="H13" s="59"/>
      <c r="I13" s="67"/>
      <c r="J13" s="65"/>
      <c r="K13" s="24">
        <f>$L13*VLOOKUP($R13,武学奇术!$A:$ZZ,31,FALSE)</f>
        <v>85988.9445835851</v>
      </c>
      <c r="L13" s="24">
        <f t="shared" si="0"/>
        <v>143314.907639308</v>
      </c>
      <c r="M13" s="2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120618.213082479</v>
      </c>
      <c r="N13" s="24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213088.015534853</v>
      </c>
      <c r="O13" s="2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80412.1420549863</v>
      </c>
      <c r="P13" s="24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36356.9853162498</v>
      </c>
      <c r="Q13" s="31">
        <v>1</v>
      </c>
      <c r="R13" s="32" t="s">
        <v>95</v>
      </c>
      <c r="S13" s="32" t="s">
        <v>87</v>
      </c>
      <c r="T13" s="32" t="s">
        <v>96</v>
      </c>
      <c r="U13" s="32" t="s">
        <v>97</v>
      </c>
      <c r="V13" s="32" t="s">
        <v>98</v>
      </c>
      <c r="W13" s="32" t="s">
        <v>111</v>
      </c>
      <c r="X13" s="32" t="s">
        <v>116</v>
      </c>
      <c r="Y13" s="32" t="s">
        <v>73</v>
      </c>
      <c r="Z13" s="32" t="s">
        <v>73</v>
      </c>
      <c r="AA13" s="32" t="s">
        <v>81</v>
      </c>
      <c r="AB13" s="32" t="s">
        <v>75</v>
      </c>
      <c r="AC13" s="32" t="s">
        <v>89</v>
      </c>
      <c r="AD13" s="32" t="s">
        <v>82</v>
      </c>
      <c r="AE13" s="32" t="s">
        <v>90</v>
      </c>
      <c r="AF13" s="32" t="s">
        <v>77</v>
      </c>
      <c r="AG13" s="32" t="s">
        <v>117</v>
      </c>
      <c r="AH13" t="str">
        <f>VLOOKUP($R13,武学奇术!$A:$ZZ,25,FALSE)</f>
        <v>剑</v>
      </c>
      <c r="AI13" s="21">
        <f>VLOOKUP($R13,武学奇术!$A:$ZZ,26,FALSE)</f>
        <v>2.52</v>
      </c>
      <c r="AJ13" s="22">
        <f>VLOOKUP($R13,武学奇术!$A:$ZZ,27,FALSE)*(1+IF(OR($AH13=$F$4,$AH13=$F$5),$B$22,0))</f>
        <v>0</v>
      </c>
      <c r="AK13" s="21">
        <f>VLOOKUP($R13,武学奇术!$A:$ZZ,28,FALSE)</f>
        <v>3.78</v>
      </c>
      <c r="AL13" s="22">
        <f>VLOOKUP($R13,武学奇术!$A:$ZZ,29,FALSE)*(1+IF(OR($AH13=$F$4,$AH13=$F$5),$B$22,0))</f>
        <v>0</v>
      </c>
      <c r="AM13" s="21" cm="1">
        <f t="array" ref="AM13">$G$3+IFERROR(VLOOKUP($AH13,$F$4:$G$7,2,FALSE),0)+VLOOKUP($R13,武学奇术!$A:$ZZ,2,FALSE)+SUM(_xlfn.XLOOKUP($S13:$AG13,增益!$A:$A,增益!$B:$B,0))</f>
        <v>1.7191</v>
      </c>
      <c r="AN13" s="21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1862.48</v>
      </c>
      <c r="AP13" cm="1">
        <f t="array" ref="AP13">$E$10*(1+$AN13)+VLOOKUP($R13,武学奇术!$A:$ZZ,4,FALSE)+SUM(_xlfn.XLOOKUP($S13:$AG13,增益!$A:$A,增益!$D:$D,0))-$I$2</f>
        <v>7794.56</v>
      </c>
      <c r="AQ13" s="26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0.359</v>
      </c>
      <c r="AR13" s="26" cm="1">
        <f t="array" ref="AR13">$G$10+VLOOKUP($R13,武学奇术!$A:$ZZ,7,FALSE)+SUM(_xlfn.XLOOKUP(S13:AG13,增益!$A:$A,增益!$G:$G,0))</f>
        <v>0</v>
      </c>
      <c r="AS13" s="21" cm="1">
        <f t="array" ref="AS13">VLOOKUP($R13,武学奇术!$A:$ZZ,8,FALSE)+SUM(_xlfn.XLOOKUP(S13:AG13,增益!$A:$A,增益!$H:$H,0))</f>
        <v>0</v>
      </c>
      <c r="AT13">
        <f t="shared" si="1"/>
        <v>680.02</v>
      </c>
      <c r="AU13">
        <f t="shared" si="2"/>
        <v>1288.54</v>
      </c>
      <c r="AV13" s="26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0.075</v>
      </c>
      <c r="AW13" s="26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26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26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26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26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26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26" cm="1">
        <f t="array" ref="BI13">$G$14+VLOOKUP($R13,武学奇术!$A:$ZZ,16,FALSE)+SUM(_xlfn.XLOOKUP(S13:AG13,增益!$A:$A,增益!$P:$P,0))</f>
        <v>0</v>
      </c>
      <c r="BJ13" s="21">
        <f>MIN(IF(VLOOKUP($R13,武学奇术!$A:$ZZ,23,FALSE)=1,100%,$B$8),100%)</f>
        <v>0.8229</v>
      </c>
      <c r="BK13" s="21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0.2285</v>
      </c>
      <c r="BL13" s="21" cm="1">
        <f t="array" ref="BL13">1+$B$13+VLOOKUP($R13,武学奇术!$A:$ZZ,18,FALSE)+SUM(_xlfn.XLOOKUP(S13:AG13,增益!$A:$A,增益!$R:$R,0))</f>
        <v>1.5</v>
      </c>
      <c r="BM13" s="21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0.4495</v>
      </c>
      <c r="BN13" s="21" cm="1">
        <f t="array" ref="BN13">1+$B$14+VLOOKUP($R13,武学奇术!$A:$ZZ,20,FALSE)+SUM(_xlfn.XLOOKUP(S13:AG13,增益!$A:$A,增益!$T:$T,0))</f>
        <v>1.712</v>
      </c>
      <c r="BO13" s="21">
        <f t="shared" si="9"/>
        <v>0.18803265</v>
      </c>
      <c r="BP13" s="21">
        <f t="shared" si="10"/>
        <v>0.2649738</v>
      </c>
      <c r="BQ13" s="21">
        <f>IF(VLOOKUP($R13,武学奇术!$A:$ZZ,22,FALSE)=1,0,(1-$BJ13))*(1-$BM13)</f>
        <v>0.09749355</v>
      </c>
      <c r="BR13" s="21" cm="1">
        <f t="array" ref="BR13">SUM(_xlfn.XLOOKUP(S13:AG13,增益!$A:$A,增益!$W:$W,0))+$I$5</f>
        <v>0.06</v>
      </c>
    </row>
    <row r="14" spans="1:70">
      <c r="A14" s="33" t="s">
        <v>122</v>
      </c>
      <c r="B14" s="58">
        <v>0.402</v>
      </c>
      <c r="C14" s="45" t="s">
        <v>99</v>
      </c>
      <c r="D14" s="9">
        <f>B6+IF($G$1=$C14,B7,0)</f>
        <v>0</v>
      </c>
      <c r="E14" s="9">
        <f>MAX(B6,C6)+IF($G$1=$C14,$C$7,0)</f>
        <v>0</v>
      </c>
      <c r="F14" s="9">
        <f t="shared" si="11"/>
        <v>0</v>
      </c>
      <c r="G14" s="78">
        <f t="shared" si="11"/>
        <v>0</v>
      </c>
      <c r="H14" s="30" t="s">
        <v>123</v>
      </c>
      <c r="I14" s="61">
        <f>RD!I14</f>
        <v>165010.702584696</v>
      </c>
      <c r="J14" s="62"/>
      <c r="K14" s="24">
        <f>$L14*VLOOKUP($R14,武学奇术!$A:$ZZ,31,FALSE)</f>
        <v>28099.8844618051</v>
      </c>
      <c r="L14" s="24">
        <f t="shared" si="0"/>
        <v>28099.8844618051</v>
      </c>
      <c r="M14" s="2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25960.9926818647</v>
      </c>
      <c r="N14" s="24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39541.8032800796</v>
      </c>
      <c r="O14" s="2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17307.3284545765</v>
      </c>
      <c r="P14" s="24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8804.08035557624</v>
      </c>
      <c r="Q14" s="31">
        <v>1</v>
      </c>
      <c r="R14" s="32" t="s">
        <v>124</v>
      </c>
      <c r="S14" s="32" t="s">
        <v>87</v>
      </c>
      <c r="T14" s="32" t="s">
        <v>104</v>
      </c>
      <c r="U14" s="32" t="s">
        <v>73</v>
      </c>
      <c r="V14" s="32" t="s">
        <v>73</v>
      </c>
      <c r="W14" s="32" t="s">
        <v>111</v>
      </c>
      <c r="X14" s="32" t="s">
        <v>116</v>
      </c>
      <c r="Y14" s="32" t="s">
        <v>73</v>
      </c>
      <c r="Z14" s="32" t="s">
        <v>73</v>
      </c>
      <c r="AA14" s="32" t="s">
        <v>81</v>
      </c>
      <c r="AB14" s="32" t="s">
        <v>75</v>
      </c>
      <c r="AC14" s="32" t="s">
        <v>89</v>
      </c>
      <c r="AD14" s="32" t="s">
        <v>82</v>
      </c>
      <c r="AE14" s="32" t="s">
        <v>90</v>
      </c>
      <c r="AF14" s="32" t="s">
        <v>77</v>
      </c>
      <c r="AG14" s="32" t="s">
        <v>117</v>
      </c>
      <c r="AH14" t="str">
        <f>VLOOKUP($R14,武学奇术!$A:$ZZ,25,FALSE)</f>
        <v>剑</v>
      </c>
      <c r="AI14" s="21">
        <f>VLOOKUP($R14,武学奇术!$A:$ZZ,26,FALSE)</f>
        <v>0.94015</v>
      </c>
      <c r="AJ14" s="22">
        <f>VLOOKUP($R14,武学奇术!$A:$ZZ,27,FALSE)*(1+IF(OR($AH14=$F$4,$AH14=$F$5),$B$22,0))</f>
        <v>390</v>
      </c>
      <c r="AK14" s="21">
        <f>VLOOKUP($R14,武学奇术!$A:$ZZ,28,FALSE)</f>
        <v>1.41025</v>
      </c>
      <c r="AL14" s="22">
        <f>VLOOKUP($R14,武学奇术!$A:$ZZ,29,FALSE)*(1+IF(OR($AH14=$F$4,$AH14=$F$5),$B$22,0))</f>
        <v>212.25</v>
      </c>
      <c r="AM14" s="21" cm="1">
        <f t="array" ref="AM14">$G$3+IFERROR(VLOOKUP($AH14,$F$4:$G$7,2,FALSE),0)+VLOOKUP($R14,武学奇术!$A:$ZZ,2,FALSE)+SUM(_xlfn.XLOOKUP($S14:$AG14,增益!$A:$A,增益!$B:$B,0))</f>
        <v>0.9691</v>
      </c>
      <c r="AN14" s="21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1862.48</v>
      </c>
      <c r="AP14" cm="1">
        <f t="array" ref="AP14">$E$10*(1+$AN14)+VLOOKUP($R14,武学奇术!$A:$ZZ,4,FALSE)+SUM(_xlfn.XLOOKUP($S14:$AG14,增益!$A:$A,增益!$D:$D,0))-$I$2</f>
        <v>7794.56</v>
      </c>
      <c r="AQ14" s="26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0.284</v>
      </c>
      <c r="AR14" s="26" cm="1">
        <f t="array" ref="AR14">$G$10+VLOOKUP($R14,武学奇术!$A:$ZZ,7,FALSE)+SUM(_xlfn.XLOOKUP(S14:AG14,增益!$A:$A,增益!$G:$G,0))</f>
        <v>0</v>
      </c>
      <c r="AS14" s="21" cm="1">
        <f t="array" ref="AS14">VLOOKUP($R14,武学奇术!$A:$ZZ,8,FALSE)+SUM(_xlfn.XLOOKUP(S14:AG14,增益!$A:$A,增益!$H:$H,0))</f>
        <v>0</v>
      </c>
      <c r="AT14">
        <f t="shared" si="1"/>
        <v>680.02</v>
      </c>
      <c r="AU14">
        <f t="shared" si="2"/>
        <v>1288.54</v>
      </c>
      <c r="AV14" s="26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26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26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26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26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26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26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26" cm="1">
        <f t="array" ref="BI14">$G$14+VLOOKUP($R14,武学奇术!$A:$ZZ,16,FALSE)+SUM(_xlfn.XLOOKUP(S14:AG14,增益!$A:$A,增益!$P:$P,0))</f>
        <v>0</v>
      </c>
      <c r="BJ14" s="21">
        <f>MIN(IF(VLOOKUP($R14,武学奇术!$A:$ZZ,23,FALSE)=1,100%,$B$8),100%)</f>
        <v>0.8229</v>
      </c>
      <c r="BK14" s="21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0.2285</v>
      </c>
      <c r="BL14" s="21" cm="1">
        <f t="array" ref="BL14">1+$B$13+VLOOKUP($R14,武学奇术!$A:$ZZ,18,FALSE)+SUM(_xlfn.XLOOKUP(S14:AG14,增益!$A:$A,增益!$R:$R,0))</f>
        <v>1.5</v>
      </c>
      <c r="BM14" s="21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0.4495</v>
      </c>
      <c r="BN14" s="21" cm="1">
        <f t="array" ref="BN14">1+$B$14+VLOOKUP($R14,武学奇术!$A:$ZZ,20,FALSE)+SUM(_xlfn.XLOOKUP(S14:AG14,增益!$A:$A,增益!$T:$T,0))</f>
        <v>1.532</v>
      </c>
      <c r="BO14" s="21">
        <f t="shared" si="9"/>
        <v>0.18803265</v>
      </c>
      <c r="BP14" s="21">
        <f t="shared" si="10"/>
        <v>0.2649738</v>
      </c>
      <c r="BQ14" s="21">
        <f>IF(VLOOKUP($R14,武学奇术!$A:$ZZ,22,FALSE)=1,0,(1-$BJ14))*(1-$BM14)</f>
        <v>0.09749355</v>
      </c>
      <c r="BR14" s="21" cm="1">
        <f t="array" ref="BR14">SUM(_xlfn.XLOOKUP(S14:AG14,增益!$A:$A,增益!$W:$W,0))+$I$5</f>
        <v>0.06</v>
      </c>
    </row>
    <row r="15" ht="14.25" spans="1:70">
      <c r="A15" s="33" t="s">
        <v>125</v>
      </c>
      <c r="B15" s="58">
        <v>0.0847</v>
      </c>
      <c r="C15" s="31" t="s">
        <v>126</v>
      </c>
      <c r="D15" s="31"/>
      <c r="F15" s="68"/>
      <c r="H15" s="69"/>
      <c r="I15" s="64"/>
      <c r="J15" s="65"/>
      <c r="K15" s="24">
        <f>$L15*VLOOKUP($R15,武学奇术!$A:$ZZ,31,FALSE)</f>
        <v>35752.7071892609</v>
      </c>
      <c r="L15" s="24">
        <f t="shared" si="0"/>
        <v>35752.7071892609</v>
      </c>
      <c r="M15" s="2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32889.9616729462</v>
      </c>
      <c r="N15" s="24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50438.0106965614</v>
      </c>
      <c r="O15" s="2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21926.6411152975</v>
      </c>
      <c r="P15" s="24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11143.8070706977</v>
      </c>
      <c r="Q15" s="31">
        <v>1</v>
      </c>
      <c r="R15" s="32" t="s">
        <v>86</v>
      </c>
      <c r="S15" s="32" t="s">
        <v>87</v>
      </c>
      <c r="T15" s="32" t="s">
        <v>104</v>
      </c>
      <c r="U15" s="32" t="s">
        <v>73</v>
      </c>
      <c r="V15" s="32" t="s">
        <v>73</v>
      </c>
      <c r="W15" s="32" t="s">
        <v>111</v>
      </c>
      <c r="X15" s="32" t="s">
        <v>127</v>
      </c>
      <c r="Y15" s="32" t="s">
        <v>73</v>
      </c>
      <c r="Z15" s="32" t="s">
        <v>73</v>
      </c>
      <c r="AA15" s="32" t="s">
        <v>81</v>
      </c>
      <c r="AB15" s="32" t="s">
        <v>75</v>
      </c>
      <c r="AC15" s="32" t="s">
        <v>76</v>
      </c>
      <c r="AD15" s="32" t="s">
        <v>82</v>
      </c>
      <c r="AE15" s="32" t="s">
        <v>90</v>
      </c>
      <c r="AF15" s="32" t="s">
        <v>77</v>
      </c>
      <c r="AG15" s="32" t="s">
        <v>128</v>
      </c>
      <c r="AH15" t="str">
        <f>VLOOKUP($R15,武学奇术!$A:$ZZ,25,FALSE)</f>
        <v>剑</v>
      </c>
      <c r="AI15" s="21">
        <f>VLOOKUP($R15,武学奇术!$A:$ZZ,26,FALSE)</f>
        <v>1.1781</v>
      </c>
      <c r="AJ15" s="22">
        <f>VLOOKUP($R15,武学奇术!$A:$ZZ,27,FALSE)*(1+IF(OR($AH15=$F$4,$AH15=$F$5),$B$22,0))</f>
        <v>489</v>
      </c>
      <c r="AK15" s="21">
        <f>VLOOKUP($R15,武学奇术!$A:$ZZ,28,FALSE)</f>
        <v>1.7672</v>
      </c>
      <c r="AL15" s="22">
        <f>VLOOKUP($R15,武学奇术!$A:$ZZ,29,FALSE)*(1+IF(OR($AH15=$F$4,$AH15=$F$5),$B$22,0))</f>
        <v>265.5</v>
      </c>
      <c r="AM15" s="21" cm="1">
        <f t="array" ref="AM15">$G$3+IFERROR(VLOOKUP($AH15,$F$4:$G$7,2,FALSE),0)+VLOOKUP($R15,武学奇术!$A:$ZZ,2,FALSE)+SUM(_xlfn.XLOOKUP($S15:$AG15,增益!$A:$A,增益!$B:$B,0))</f>
        <v>0.9791</v>
      </c>
      <c r="AN15" s="21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1862.48</v>
      </c>
      <c r="AP15" cm="1">
        <f t="array" ref="AP15">$E$10*(1+$AN15)+VLOOKUP($R15,武学奇术!$A:$ZZ,4,FALSE)+SUM(_xlfn.XLOOKUP($S15:$AG15,增益!$A:$A,增益!$D:$D,0))-$I$2</f>
        <v>7794.56</v>
      </c>
      <c r="AQ15" s="26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0.294</v>
      </c>
      <c r="AR15" s="26" cm="1">
        <f t="array" ref="AR15">$G$10+VLOOKUP($R15,武学奇术!$A:$ZZ,7,FALSE)+SUM(_xlfn.XLOOKUP(S15:AG15,增益!$A:$A,增益!$G:$G,0))</f>
        <v>0</v>
      </c>
      <c r="AS15" s="21" cm="1">
        <f t="array" ref="AS15">VLOOKUP($R15,武学奇术!$A:$ZZ,8,FALSE)+SUM(_xlfn.XLOOKUP(S15:AG15,增益!$A:$A,增益!$H:$H,0))</f>
        <v>0</v>
      </c>
      <c r="AT15">
        <f t="shared" si="1"/>
        <v>680.02</v>
      </c>
      <c r="AU15">
        <f t="shared" si="2"/>
        <v>1288.54</v>
      </c>
      <c r="AV15" s="26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26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26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26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26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26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26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26" cm="1">
        <f t="array" ref="BI15">$G$14+VLOOKUP($R15,武学奇术!$A:$ZZ,16,FALSE)+SUM(_xlfn.XLOOKUP(S15:AG15,增益!$A:$A,增益!$P:$P,0))</f>
        <v>0</v>
      </c>
      <c r="BJ15" s="21">
        <f>MIN(IF(VLOOKUP($R15,武学奇术!$A:$ZZ,23,FALSE)=1,100%,$B$8),100%)</f>
        <v>0.8229</v>
      </c>
      <c r="BK15" s="21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0.2285</v>
      </c>
      <c r="BL15" s="21" cm="1">
        <f t="array" ref="BL15">1+$B$13+VLOOKUP($R15,武学奇术!$A:$ZZ,18,FALSE)+SUM(_xlfn.XLOOKUP(S15:AG15,增益!$A:$A,增益!$R:$R,0))</f>
        <v>1.5</v>
      </c>
      <c r="BM15" s="21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0.4495</v>
      </c>
      <c r="BN15" s="21" cm="1">
        <f t="array" ref="BN15">1+$B$14+VLOOKUP($R15,武学奇术!$A:$ZZ,20,FALSE)+SUM(_xlfn.XLOOKUP(S15:AG15,增益!$A:$A,增益!$T:$T,0))</f>
        <v>1.542</v>
      </c>
      <c r="BO15" s="21">
        <f t="shared" si="9"/>
        <v>0.18803265</v>
      </c>
      <c r="BP15" s="21">
        <f t="shared" si="10"/>
        <v>0.2649738</v>
      </c>
      <c r="BQ15" s="21">
        <f>IF(VLOOKUP($R15,武学奇术!$A:$ZZ,22,FALSE)=1,0,(1-$BJ15))*(1-$BM15)</f>
        <v>0.09749355</v>
      </c>
      <c r="BR15" s="21" cm="1">
        <f t="array" ref="BR15">SUM(_xlfn.XLOOKUP(S15:AG15,增益!$A:$A,增益!$W:$W,0))+$I$5</f>
        <v>0.06</v>
      </c>
    </row>
    <row r="16" spans="1:70">
      <c r="A16" s="33" t="s">
        <v>129</v>
      </c>
      <c r="B16" s="58">
        <v>0.0892</v>
      </c>
      <c r="C16" s="31" t="s">
        <v>130</v>
      </c>
      <c r="D16" s="68" t="s">
        <v>131</v>
      </c>
      <c r="E16" s="31" t="s">
        <v>132</v>
      </c>
      <c r="F16" s="68" t="s">
        <v>131</v>
      </c>
      <c r="H16" s="56" t="s">
        <v>133</v>
      </c>
      <c r="I16" s="70">
        <f>I12/173599.96</f>
        <v>1.00000002552883</v>
      </c>
      <c r="J16" s="71"/>
      <c r="K16" s="24">
        <f>$L16*VLOOKUP($R16,武学奇术!$A:$ZZ,31,FALSE)</f>
        <v>87153.4336422941</v>
      </c>
      <c r="L16" s="24">
        <f t="shared" si="0"/>
        <v>145255.722737157</v>
      </c>
      <c r="M16" s="2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121758.764722661</v>
      </c>
      <c r="N16" s="24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216412.526762466</v>
      </c>
      <c r="O16" s="2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81172.5098151074</v>
      </c>
      <c r="P16" s="24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36669.9169806993</v>
      </c>
      <c r="Q16" s="31">
        <v>1</v>
      </c>
      <c r="R16" s="32" t="s">
        <v>95</v>
      </c>
      <c r="S16" s="32" t="s">
        <v>87</v>
      </c>
      <c r="T16" s="32" t="s">
        <v>96</v>
      </c>
      <c r="U16" s="32" t="s">
        <v>97</v>
      </c>
      <c r="V16" s="32" t="s">
        <v>98</v>
      </c>
      <c r="W16" s="32" t="s">
        <v>111</v>
      </c>
      <c r="X16" s="32" t="s">
        <v>127</v>
      </c>
      <c r="Y16" s="32" t="s">
        <v>73</v>
      </c>
      <c r="Z16" s="32" t="s">
        <v>73</v>
      </c>
      <c r="AA16" s="32" t="s">
        <v>81</v>
      </c>
      <c r="AB16" s="32" t="s">
        <v>75</v>
      </c>
      <c r="AC16" s="32" t="s">
        <v>76</v>
      </c>
      <c r="AD16" s="32" t="s">
        <v>82</v>
      </c>
      <c r="AE16" s="32" t="s">
        <v>90</v>
      </c>
      <c r="AF16" s="32" t="s">
        <v>77</v>
      </c>
      <c r="AG16" s="32" t="s">
        <v>128</v>
      </c>
      <c r="AH16" t="str">
        <f>VLOOKUP($R16,武学奇术!$A:$ZZ,25,FALSE)</f>
        <v>剑</v>
      </c>
      <c r="AI16" s="21">
        <f>VLOOKUP($R16,武学奇术!$A:$ZZ,26,FALSE)</f>
        <v>2.52</v>
      </c>
      <c r="AJ16" s="22">
        <f>VLOOKUP($R16,武学奇术!$A:$ZZ,27,FALSE)*(1+IF(OR($AH16=$F$4,$AH16=$F$5),$B$22,0))</f>
        <v>0</v>
      </c>
      <c r="AK16" s="21">
        <f>VLOOKUP($R16,武学奇术!$A:$ZZ,28,FALSE)</f>
        <v>3.78</v>
      </c>
      <c r="AL16" s="22">
        <f>VLOOKUP($R16,武学奇术!$A:$ZZ,29,FALSE)*(1+IF(OR($AH16=$F$4,$AH16=$F$5),$B$22,0))</f>
        <v>0</v>
      </c>
      <c r="AM16" s="21" cm="1">
        <f t="array" ref="AM16">$G$3+IFERROR(VLOOKUP($AH16,$F$4:$G$7,2,FALSE),0)+VLOOKUP($R16,武学奇术!$A:$ZZ,2,FALSE)+SUM(_xlfn.XLOOKUP($S16:$AG16,增益!$A:$A,增益!$B:$B,0))</f>
        <v>1.7291</v>
      </c>
      <c r="AN16" s="21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1862.48</v>
      </c>
      <c r="AP16" cm="1">
        <f t="array" ref="AP16">$E$10*(1+$AN16)+VLOOKUP($R16,武学奇术!$A:$ZZ,4,FALSE)+SUM(_xlfn.XLOOKUP($S16:$AG16,增益!$A:$A,增益!$D:$D,0))-$I$2</f>
        <v>7794.56</v>
      </c>
      <c r="AQ16" s="26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0.369</v>
      </c>
      <c r="AR16" s="26" cm="1">
        <f t="array" ref="AR16">$G$10+VLOOKUP($R16,武学奇术!$A:$ZZ,7,FALSE)+SUM(_xlfn.XLOOKUP(S16:AG16,增益!$A:$A,增益!$G:$G,0))</f>
        <v>0</v>
      </c>
      <c r="AS16" s="21" cm="1">
        <f t="array" ref="AS16">VLOOKUP($R16,武学奇术!$A:$ZZ,8,FALSE)+SUM(_xlfn.XLOOKUP(S16:AG16,增益!$A:$A,增益!$H:$H,0))</f>
        <v>0</v>
      </c>
      <c r="AT16">
        <f t="shared" si="1"/>
        <v>680.02</v>
      </c>
      <c r="AU16">
        <f t="shared" si="2"/>
        <v>1288.54</v>
      </c>
      <c r="AV16" s="26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0.075</v>
      </c>
      <c r="AW16" s="26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26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26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26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26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26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26" cm="1">
        <f t="array" ref="BI16">$G$14+VLOOKUP($R16,武学奇术!$A:$ZZ,16,FALSE)+SUM(_xlfn.XLOOKUP(S16:AG16,增益!$A:$A,增益!$P:$P,0))</f>
        <v>0</v>
      </c>
      <c r="BJ16" s="21">
        <f>MIN(IF(VLOOKUP($R16,武学奇术!$A:$ZZ,23,FALSE)=1,100%,$B$8),100%)</f>
        <v>0.8229</v>
      </c>
      <c r="BK16" s="21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0.2285</v>
      </c>
      <c r="BL16" s="21" cm="1">
        <f t="array" ref="BL16">1+$B$13+VLOOKUP($R16,武学奇术!$A:$ZZ,18,FALSE)+SUM(_xlfn.XLOOKUP(S16:AG16,增益!$A:$A,增益!$R:$R,0))</f>
        <v>1.5</v>
      </c>
      <c r="BM16" s="21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0.4495</v>
      </c>
      <c r="BN16" s="21" cm="1">
        <f t="array" ref="BN16">1+$B$14+VLOOKUP($R16,武学奇术!$A:$ZZ,20,FALSE)+SUM(_xlfn.XLOOKUP(S16:AG16,增益!$A:$A,增益!$T:$T,0))</f>
        <v>1.722</v>
      </c>
      <c r="BO16" s="21">
        <f t="shared" si="9"/>
        <v>0.18803265</v>
      </c>
      <c r="BP16" s="21">
        <f t="shared" si="10"/>
        <v>0.2649738</v>
      </c>
      <c r="BQ16" s="21">
        <f>IF(VLOOKUP($R16,武学奇术!$A:$ZZ,22,FALSE)=1,0,(1-$BJ16))*(1-$BM16)</f>
        <v>0.09749355</v>
      </c>
      <c r="BR16" s="21" cm="1">
        <f t="array" ref="BR16">SUM(_xlfn.XLOOKUP(S16:AG16,增益!$A:$A,增益!$W:$W,0))+$I$5</f>
        <v>0.06</v>
      </c>
    </row>
    <row r="17" spans="1:70">
      <c r="A17" s="33" t="s">
        <v>134</v>
      </c>
      <c r="B17" s="58">
        <v>0.0852</v>
      </c>
      <c r="C17" s="31" t="s">
        <v>135</v>
      </c>
      <c r="D17" s="68" t="s">
        <v>136</v>
      </c>
      <c r="E17" s="31" t="s">
        <v>137</v>
      </c>
      <c r="F17" s="68" t="s">
        <v>131</v>
      </c>
      <c r="H17" s="59"/>
      <c r="I17" s="72"/>
      <c r="J17" s="73"/>
      <c r="K17" s="24">
        <f>$L17*VLOOKUP($R17,武学奇术!$A:$ZZ,31,FALSE)</f>
        <v>87153.4336422941</v>
      </c>
      <c r="L17" s="24">
        <f t="shared" si="0"/>
        <v>145255.722737157</v>
      </c>
      <c r="M17" s="2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121758.764722661</v>
      </c>
      <c r="N17" s="24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216412.526762466</v>
      </c>
      <c r="O17" s="2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81172.5098151074</v>
      </c>
      <c r="P17" s="24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36669.9169806993</v>
      </c>
      <c r="Q17" s="31">
        <v>1</v>
      </c>
      <c r="R17" s="32" t="s">
        <v>95</v>
      </c>
      <c r="S17" s="32" t="s">
        <v>87</v>
      </c>
      <c r="T17" s="32" t="s">
        <v>96</v>
      </c>
      <c r="U17" s="32" t="s">
        <v>97</v>
      </c>
      <c r="V17" s="32" t="s">
        <v>98</v>
      </c>
      <c r="W17" s="32" t="s">
        <v>111</v>
      </c>
      <c r="X17" s="32" t="s">
        <v>127</v>
      </c>
      <c r="Y17" s="32" t="s">
        <v>73</v>
      </c>
      <c r="Z17" s="32" t="s">
        <v>73</v>
      </c>
      <c r="AA17" s="32" t="s">
        <v>81</v>
      </c>
      <c r="AB17" s="32" t="s">
        <v>75</v>
      </c>
      <c r="AC17" s="32" t="s">
        <v>76</v>
      </c>
      <c r="AD17" s="32" t="s">
        <v>82</v>
      </c>
      <c r="AE17" s="32" t="s">
        <v>90</v>
      </c>
      <c r="AF17" s="32" t="s">
        <v>77</v>
      </c>
      <c r="AG17" s="32" t="s">
        <v>128</v>
      </c>
      <c r="AH17" t="str">
        <f>VLOOKUP($R17,武学奇术!$A:$ZZ,25,FALSE)</f>
        <v>剑</v>
      </c>
      <c r="AI17" s="21">
        <f>VLOOKUP($R17,武学奇术!$A:$ZZ,26,FALSE)</f>
        <v>2.52</v>
      </c>
      <c r="AJ17" s="22">
        <f>VLOOKUP($R17,武学奇术!$A:$ZZ,27,FALSE)*(1+IF(OR($AH17=$F$4,$AH17=$F$5),$B$22,0))</f>
        <v>0</v>
      </c>
      <c r="AK17" s="21">
        <f>VLOOKUP($R17,武学奇术!$A:$ZZ,28,FALSE)</f>
        <v>3.78</v>
      </c>
      <c r="AL17" s="22">
        <f>VLOOKUP($R17,武学奇术!$A:$ZZ,29,FALSE)*(1+IF(OR($AH17=$F$4,$AH17=$F$5),$B$22,0))</f>
        <v>0</v>
      </c>
      <c r="AM17" s="21" cm="1">
        <f t="array" ref="AM17">$G$3+IFERROR(VLOOKUP($AH17,$F$4:$G$7,2,FALSE),0)+VLOOKUP($R17,武学奇术!$A:$ZZ,2,FALSE)+SUM(_xlfn.XLOOKUP($S17:$AG17,增益!$A:$A,增益!$B:$B,0))</f>
        <v>1.7291</v>
      </c>
      <c r="AN17" s="21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1862.48</v>
      </c>
      <c r="AP17" cm="1">
        <f t="array" ref="AP17">$E$10*(1+$AN17)+VLOOKUP($R17,武学奇术!$A:$ZZ,4,FALSE)+SUM(_xlfn.XLOOKUP($S17:$AG17,增益!$A:$A,增益!$D:$D,0))-$I$2</f>
        <v>7794.56</v>
      </c>
      <c r="AQ17" s="26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0.369</v>
      </c>
      <c r="AR17" s="26" cm="1">
        <f t="array" ref="AR17">$G$10+VLOOKUP($R17,武学奇术!$A:$ZZ,7,FALSE)+SUM(_xlfn.XLOOKUP(S17:AG17,增益!$A:$A,增益!$G:$G,0))</f>
        <v>0</v>
      </c>
      <c r="AS17" s="21" cm="1">
        <f t="array" ref="AS17">VLOOKUP($R17,武学奇术!$A:$ZZ,8,FALSE)+SUM(_xlfn.XLOOKUP(S17:AG17,增益!$A:$A,增益!$H:$H,0))</f>
        <v>0</v>
      </c>
      <c r="AT17">
        <f t="shared" si="1"/>
        <v>680.02</v>
      </c>
      <c r="AU17">
        <f t="shared" si="2"/>
        <v>1288.54</v>
      </c>
      <c r="AV17" s="26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0.075</v>
      </c>
      <c r="AW17" s="26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26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26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26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26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26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26" cm="1">
        <f t="array" ref="BI17">$G$14+VLOOKUP($R17,武学奇术!$A:$ZZ,16,FALSE)+SUM(_xlfn.XLOOKUP(S17:AG17,增益!$A:$A,增益!$P:$P,0))</f>
        <v>0</v>
      </c>
      <c r="BJ17" s="21">
        <f>MIN(IF(VLOOKUP($R17,武学奇术!$A:$ZZ,23,FALSE)=1,100%,$B$8),100%)</f>
        <v>0.8229</v>
      </c>
      <c r="BK17" s="21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0.2285</v>
      </c>
      <c r="BL17" s="21" cm="1">
        <f t="array" ref="BL17">1+$B$13+VLOOKUP($R17,武学奇术!$A:$ZZ,18,FALSE)+SUM(_xlfn.XLOOKUP(S17:AG17,增益!$A:$A,增益!$R:$R,0))</f>
        <v>1.5</v>
      </c>
      <c r="BM17" s="21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0.4495</v>
      </c>
      <c r="BN17" s="21" cm="1">
        <f t="array" ref="BN17">1+$B$14+VLOOKUP($R17,武学奇术!$A:$ZZ,20,FALSE)+SUM(_xlfn.XLOOKUP(S17:AG17,增益!$A:$A,增益!$T:$T,0))</f>
        <v>1.722</v>
      </c>
      <c r="BO17" s="21">
        <f t="shared" si="9"/>
        <v>0.18803265</v>
      </c>
      <c r="BP17" s="21">
        <f t="shared" si="10"/>
        <v>0.2649738</v>
      </c>
      <c r="BQ17" s="21">
        <f>IF(VLOOKUP($R17,武学奇术!$A:$ZZ,22,FALSE)=1,0,(1-$BJ17))*(1-$BM17)</f>
        <v>0.09749355</v>
      </c>
      <c r="BR17" s="21" cm="1">
        <f t="array" ref="BR17">SUM(_xlfn.XLOOKUP(S17:AG17,增益!$A:$A,增益!$W:$W,0))+$I$5</f>
        <v>0.06</v>
      </c>
    </row>
    <row r="18" spans="1:70">
      <c r="A18" s="33" t="s">
        <v>138</v>
      </c>
      <c r="B18" s="58">
        <v>0</v>
      </c>
      <c r="C18" s="31" t="s">
        <v>139</v>
      </c>
      <c r="D18" s="68" t="s">
        <v>136</v>
      </c>
      <c r="H18" s="30" t="s">
        <v>140</v>
      </c>
      <c r="I18" s="70">
        <f>SUM(K:K)/SUM(L:L)</f>
        <v>0.701391861363225</v>
      </c>
      <c r="J18" s="71"/>
      <c r="K18" s="24">
        <f>$L18*VLOOKUP($R18,武学奇术!$A:$ZZ,31,FALSE)</f>
        <v>28244.03485819</v>
      </c>
      <c r="L18" s="24">
        <f t="shared" si="0"/>
        <v>28244.03485819</v>
      </c>
      <c r="M18" s="2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25982.704187999</v>
      </c>
      <c r="N18" s="24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39844.9333702388</v>
      </c>
      <c r="O18" s="2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17321.8027919994</v>
      </c>
      <c r="P18" s="24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8803.83037632115</v>
      </c>
      <c r="Q18" s="31">
        <v>1</v>
      </c>
      <c r="R18" s="32" t="s">
        <v>124</v>
      </c>
      <c r="S18" s="32" t="s">
        <v>87</v>
      </c>
      <c r="T18" s="32" t="s">
        <v>104</v>
      </c>
      <c r="U18" s="32" t="s">
        <v>73</v>
      </c>
      <c r="V18" s="32" t="s">
        <v>73</v>
      </c>
      <c r="W18" s="32" t="s">
        <v>111</v>
      </c>
      <c r="X18" s="32" t="s">
        <v>127</v>
      </c>
      <c r="Y18" s="32" t="s">
        <v>73</v>
      </c>
      <c r="Z18" s="32" t="s">
        <v>73</v>
      </c>
      <c r="AA18" s="32" t="s">
        <v>81</v>
      </c>
      <c r="AB18" s="32" t="s">
        <v>75</v>
      </c>
      <c r="AC18" s="32" t="s">
        <v>76</v>
      </c>
      <c r="AD18" s="32" t="s">
        <v>82</v>
      </c>
      <c r="AE18" s="32" t="s">
        <v>90</v>
      </c>
      <c r="AF18" s="32" t="s">
        <v>73</v>
      </c>
      <c r="AG18" s="32" t="s">
        <v>128</v>
      </c>
      <c r="AH18" t="str">
        <f>VLOOKUP($R18,武学奇术!$A:$ZZ,25,FALSE)</f>
        <v>剑</v>
      </c>
      <c r="AI18" s="21">
        <f>VLOOKUP($R18,武学奇术!$A:$ZZ,26,FALSE)</f>
        <v>0.94015</v>
      </c>
      <c r="AJ18" s="22">
        <f>VLOOKUP($R18,武学奇术!$A:$ZZ,27,FALSE)*(1+IF(OR($AH18=$F$4,$AH18=$F$5),$B$22,0))</f>
        <v>390</v>
      </c>
      <c r="AK18" s="21">
        <f>VLOOKUP($R18,武学奇术!$A:$ZZ,28,FALSE)</f>
        <v>1.41025</v>
      </c>
      <c r="AL18" s="22">
        <f>VLOOKUP($R18,武学奇术!$A:$ZZ,29,FALSE)*(1+IF(OR($AH18=$F$4,$AH18=$F$5),$B$22,0))</f>
        <v>212.25</v>
      </c>
      <c r="AM18" s="21" cm="1">
        <f t="array" ref="AM18">$G$3+IFERROR(VLOOKUP($AH18,$F$4:$G$7,2,FALSE),0)+VLOOKUP($R18,武学奇术!$A:$ZZ,2,FALSE)+SUM(_xlfn.XLOOKUP($S18:$AG18,增益!$A:$A,增益!$B:$B,0))</f>
        <v>0.9591</v>
      </c>
      <c r="AN18" s="21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1862.48</v>
      </c>
      <c r="AP18" cm="1">
        <f t="array" ref="AP18">$E$10*(1+$AN18)+VLOOKUP($R18,武学奇术!$A:$ZZ,4,FALSE)+SUM(_xlfn.XLOOKUP($S18:$AG18,增益!$A:$A,增益!$D:$D,0))-$I$2</f>
        <v>7794.56</v>
      </c>
      <c r="AQ18" s="26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0.294</v>
      </c>
      <c r="AR18" s="26" cm="1">
        <f t="array" ref="AR18">$G$10+VLOOKUP($R18,武学奇术!$A:$ZZ,7,FALSE)+SUM(_xlfn.XLOOKUP(S18:AG18,增益!$A:$A,增益!$G:$G,0))</f>
        <v>0</v>
      </c>
      <c r="AS18" s="21" cm="1">
        <f t="array" ref="AS18">VLOOKUP($R18,武学奇术!$A:$ZZ,8,FALSE)+SUM(_xlfn.XLOOKUP(S18:AG18,增益!$A:$A,增益!$H:$H,0))</f>
        <v>0</v>
      </c>
      <c r="AT18">
        <f t="shared" si="1"/>
        <v>680.02</v>
      </c>
      <c r="AU18">
        <f t="shared" si="2"/>
        <v>1288.54</v>
      </c>
      <c r="AV18" s="26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26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26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26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26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26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26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26" cm="1">
        <f t="array" ref="BI18">$G$14+VLOOKUP($R18,武学奇术!$A:$ZZ,16,FALSE)+SUM(_xlfn.XLOOKUP(S18:AG18,增益!$A:$A,增益!$P:$P,0))</f>
        <v>0</v>
      </c>
      <c r="BJ18" s="21">
        <f>MIN(IF(VLOOKUP($R18,武学奇术!$A:$ZZ,23,FALSE)=1,100%,$B$8),100%)</f>
        <v>0.8229</v>
      </c>
      <c r="BK18" s="21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0.2285</v>
      </c>
      <c r="BL18" s="21" cm="1">
        <f t="array" ref="BL18">1+$B$13+VLOOKUP($R18,武学奇术!$A:$ZZ,18,FALSE)+SUM(_xlfn.XLOOKUP(S18:AG18,增益!$A:$A,增益!$R:$R,0))</f>
        <v>1.5</v>
      </c>
      <c r="BM18" s="21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0.4495</v>
      </c>
      <c r="BN18" s="21" cm="1">
        <f t="array" ref="BN18">1+$B$14+VLOOKUP($R18,武学奇术!$A:$ZZ,20,FALSE)+SUM(_xlfn.XLOOKUP(S18:AG18,增益!$A:$A,增益!$T:$T,0))</f>
        <v>1.542</v>
      </c>
      <c r="BO18" s="21">
        <f t="shared" si="9"/>
        <v>0.18803265</v>
      </c>
      <c r="BP18" s="21">
        <f t="shared" si="10"/>
        <v>0.2649738</v>
      </c>
      <c r="BQ18" s="21">
        <f>IF(VLOOKUP($R18,武学奇术!$A:$ZZ,22,FALSE)=1,0,(1-$BJ18))*(1-$BM18)</f>
        <v>0.09749355</v>
      </c>
      <c r="BR18" s="21" cm="1">
        <f t="array" ref="BR18">SUM(_xlfn.XLOOKUP(S18:AG18,增益!$A:$A,增益!$W:$W,0))+$I$5</f>
        <v>0.06</v>
      </c>
    </row>
    <row r="19" spans="1:70">
      <c r="A19" s="33" t="s">
        <v>141</v>
      </c>
      <c r="B19" s="58">
        <v>0.1338</v>
      </c>
      <c r="C19" s="31" t="s">
        <v>142</v>
      </c>
      <c r="D19" s="68" t="s">
        <v>136</v>
      </c>
      <c r="H19" s="69"/>
      <c r="I19" s="72"/>
      <c r="J19" s="73"/>
      <c r="K19" s="24">
        <f>$L19*VLOOKUP($R19,武学奇术!$A:$ZZ,31,FALSE)</f>
        <v>28416.6555988319</v>
      </c>
      <c r="L19" s="24">
        <f t="shared" si="0"/>
        <v>28416.6555988319</v>
      </c>
      <c r="M19" s="2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25651.5476944094</v>
      </c>
      <c r="N19" s="24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40673.0116742029</v>
      </c>
      <c r="O19" s="2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17101.0317962729</v>
      </c>
      <c r="P19" s="24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7995.22617360072</v>
      </c>
      <c r="Q19" s="31">
        <v>1</v>
      </c>
      <c r="R19" s="32" t="s">
        <v>143</v>
      </c>
      <c r="S19" s="32" t="s">
        <v>87</v>
      </c>
      <c r="T19" s="32" t="s">
        <v>104</v>
      </c>
      <c r="U19" s="32" t="s">
        <v>73</v>
      </c>
      <c r="V19" s="32" t="s">
        <v>73</v>
      </c>
      <c r="W19" s="32" t="s">
        <v>111</v>
      </c>
      <c r="X19" s="32" t="s">
        <v>127</v>
      </c>
      <c r="Y19" s="32" t="s">
        <v>73</v>
      </c>
      <c r="Z19" s="32" t="s">
        <v>73</v>
      </c>
      <c r="AA19" s="32" t="s">
        <v>81</v>
      </c>
      <c r="AB19" s="32" t="s">
        <v>75</v>
      </c>
      <c r="AC19" s="32" t="s">
        <v>76</v>
      </c>
      <c r="AD19" s="32" t="s">
        <v>82</v>
      </c>
      <c r="AE19" s="32" t="s">
        <v>90</v>
      </c>
      <c r="AF19" s="32" t="s">
        <v>73</v>
      </c>
      <c r="AG19" s="32" t="s">
        <v>144</v>
      </c>
      <c r="AH19" t="str">
        <f>VLOOKUP($R19,武学奇术!$A:$ZZ,25,FALSE)</f>
        <v>单体奇术</v>
      </c>
      <c r="AI19" s="21">
        <f>VLOOKUP($R19,武学奇术!$A:$ZZ,26,FALSE)</f>
        <v>1.0239</v>
      </c>
      <c r="AJ19" s="22">
        <f>VLOOKUP($R19,武学奇术!$A:$ZZ,27,FALSE)*(1+IF(OR($AH19=$F$4,$AH19=$F$5),$B$22,0))</f>
        <v>196</v>
      </c>
      <c r="AK19" s="21">
        <f>VLOOKUP($R19,武学奇术!$A:$ZZ,28,FALSE)</f>
        <v>1.53585</v>
      </c>
      <c r="AL19" s="22">
        <f>VLOOKUP($R19,武学奇术!$A:$ZZ,29,FALSE)*(1+IF(OR($AH19=$F$4,$AH19=$F$5),$B$22,0))</f>
        <v>0</v>
      </c>
      <c r="AM19" s="21" cm="1">
        <f t="array" ref="AM19">$G$3+IFERROR(VLOOKUP($AH19,$F$4:$G$7,2,FALSE),0)+VLOOKUP($R19,武学奇术!$A:$ZZ,2,FALSE)+SUM(_xlfn.XLOOKUP($S19:$AG19,增益!$A:$A,增益!$B:$B,0))</f>
        <v>0.923</v>
      </c>
      <c r="AN19" s="21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1862.48</v>
      </c>
      <c r="AP19" cm="1">
        <f t="array" ref="AP19">$E$10*(1+$AN19)+VLOOKUP($R19,武学奇术!$A:$ZZ,4,FALSE)+SUM(_xlfn.XLOOKUP($S19:$AG19,增益!$A:$A,增益!$D:$D,0))-$I$2</f>
        <v>7794.56</v>
      </c>
      <c r="AQ19" s="26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0.294</v>
      </c>
      <c r="AR19" s="26" cm="1">
        <f t="array" ref="AR19">$G$10+VLOOKUP($R19,武学奇术!$A:$ZZ,7,FALSE)+SUM(_xlfn.XLOOKUP(S19:AG19,增益!$A:$A,增益!$G:$G,0))</f>
        <v>0</v>
      </c>
      <c r="AS19" s="21" cm="1">
        <f t="array" ref="AS19">VLOOKUP($R19,武学奇术!$A:$ZZ,8,FALSE)+SUM(_xlfn.XLOOKUP(S19:AG19,增益!$A:$A,增益!$H:$H,0))</f>
        <v>0</v>
      </c>
      <c r="AT19">
        <f t="shared" si="1"/>
        <v>680.02</v>
      </c>
      <c r="AU19">
        <f t="shared" si="2"/>
        <v>1288.54</v>
      </c>
      <c r="AV19" s="26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26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26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26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26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26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26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26" cm="1">
        <f t="array" ref="BI19">$G$14+VLOOKUP($R19,武学奇术!$A:$ZZ,16,FALSE)+SUM(_xlfn.XLOOKUP(S19:AG19,增益!$A:$A,增益!$P:$P,0))</f>
        <v>0</v>
      </c>
      <c r="BJ19" s="21">
        <f>MIN(IF(VLOOKUP($R19,武学奇术!$A:$ZZ,23,FALSE)=1,100%,$B$8),100%)</f>
        <v>0.8229</v>
      </c>
      <c r="BK19" s="21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0.2285</v>
      </c>
      <c r="BL19" s="21" cm="1">
        <f t="array" ref="BL19">1+$B$13+VLOOKUP($R19,武学奇术!$A:$ZZ,18,FALSE)+SUM(_xlfn.XLOOKUP(S19:AG19,增益!$A:$A,增益!$R:$R,0))</f>
        <v>1.5</v>
      </c>
      <c r="BM19" s="21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0.4495</v>
      </c>
      <c r="BN19" s="21" cm="1">
        <f t="array" ref="BN19">1+$B$14+VLOOKUP($R19,武学奇术!$A:$ZZ,20,FALSE)+SUM(_xlfn.XLOOKUP(S19:AG19,增益!$A:$A,增益!$T:$T,0))</f>
        <v>1.552</v>
      </c>
      <c r="BO19" s="21">
        <f t="shared" si="9"/>
        <v>0.18803265</v>
      </c>
      <c r="BP19" s="21">
        <f t="shared" si="10"/>
        <v>0.2649738</v>
      </c>
      <c r="BQ19" s="21">
        <f>IF(VLOOKUP($R19,武学奇术!$A:$ZZ,22,FALSE)=1,0,(1-$BJ19))*(1-$BM19)</f>
        <v>0.09749355</v>
      </c>
      <c r="BR19" s="21" cm="1">
        <f t="array" ref="BR19">SUM(_xlfn.XLOOKUP(S19:AG19,增益!$A:$A,增益!$W:$W,0))+$I$5</f>
        <v>0.06</v>
      </c>
    </row>
    <row r="20" spans="1:70">
      <c r="A20" s="33" t="s">
        <v>145</v>
      </c>
      <c r="B20" s="58">
        <v>0</v>
      </c>
      <c r="K20" s="24">
        <f>$L20*VLOOKUP($R20,武学奇术!$A:$ZZ,31,FALSE)</f>
        <v>44655.1313079392</v>
      </c>
      <c r="L20" s="24">
        <f t="shared" si="0"/>
        <v>44655.1313079392</v>
      </c>
      <c r="M20" s="2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40309.9220257028</v>
      </c>
      <c r="N20" s="24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63915.2889164577</v>
      </c>
      <c r="O20" s="2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26873.2813504686</v>
      </c>
      <c r="P20" s="24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12564.031182601</v>
      </c>
      <c r="Q20" s="31">
        <v>1</v>
      </c>
      <c r="R20" s="32" t="s">
        <v>146</v>
      </c>
      <c r="S20" s="32" t="s">
        <v>87</v>
      </c>
      <c r="T20" s="32" t="s">
        <v>104</v>
      </c>
      <c r="U20" s="32" t="s">
        <v>73</v>
      </c>
      <c r="V20" s="32" t="s">
        <v>73</v>
      </c>
      <c r="W20" s="32" t="s">
        <v>111</v>
      </c>
      <c r="X20" s="32" t="s">
        <v>127</v>
      </c>
      <c r="Y20" s="32" t="s">
        <v>73</v>
      </c>
      <c r="Z20" s="32" t="s">
        <v>73</v>
      </c>
      <c r="AA20" s="32" t="s">
        <v>81</v>
      </c>
      <c r="AB20" s="32" t="s">
        <v>75</v>
      </c>
      <c r="AC20" s="32" t="s">
        <v>76</v>
      </c>
      <c r="AD20" s="32" t="s">
        <v>82</v>
      </c>
      <c r="AE20" s="32" t="s">
        <v>90</v>
      </c>
      <c r="AF20" s="32" t="s">
        <v>73</v>
      </c>
      <c r="AG20" s="32" t="s">
        <v>144</v>
      </c>
      <c r="AH20" t="str">
        <f>VLOOKUP($R20,武学奇术!$A:$ZZ,25,FALSE)</f>
        <v>单体奇术</v>
      </c>
      <c r="AI20" s="21">
        <f>VLOOKUP($R20,武学奇术!$A:$ZZ,26,FALSE)</f>
        <v>1.609</v>
      </c>
      <c r="AJ20" s="22">
        <f>VLOOKUP($R20,武学奇术!$A:$ZZ,27,FALSE)*(1+IF(OR($AH20=$F$4,$AH20=$F$5),$B$22,0))</f>
        <v>308</v>
      </c>
      <c r="AK20" s="21">
        <f>VLOOKUP($R20,武学奇术!$A:$ZZ,28,FALSE)</f>
        <v>2.4135</v>
      </c>
      <c r="AL20" s="22">
        <f>VLOOKUP($R20,武学奇术!$A:$ZZ,29,FALSE)*(1+IF(OR($AH20=$F$4,$AH20=$F$5),$B$22,0))</f>
        <v>0</v>
      </c>
      <c r="AM20" s="21" cm="1">
        <f t="array" ref="AM20">$G$3+IFERROR(VLOOKUP($AH20,$F$4:$G$7,2,FALSE),0)+VLOOKUP($R20,武学奇术!$A:$ZZ,2,FALSE)+SUM(_xlfn.XLOOKUP($S20:$AG20,增益!$A:$A,增益!$B:$B,0))</f>
        <v>0.923</v>
      </c>
      <c r="AN20" s="21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1862.48</v>
      </c>
      <c r="AP20" cm="1">
        <f t="array" ref="AP20">$E$10*(1+$AN20)+VLOOKUP($R20,武学奇术!$A:$ZZ,4,FALSE)+SUM(_xlfn.XLOOKUP($S20:$AG20,增益!$A:$A,增益!$D:$D,0))-$I$2</f>
        <v>7794.56</v>
      </c>
      <c r="AQ20" s="26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0.294</v>
      </c>
      <c r="AR20" s="26" cm="1">
        <f t="array" ref="AR20">$G$10+VLOOKUP($R20,武学奇术!$A:$ZZ,7,FALSE)+SUM(_xlfn.XLOOKUP(S20:AG20,增益!$A:$A,增益!$G:$G,0))</f>
        <v>0</v>
      </c>
      <c r="AS20" s="21" cm="1">
        <f t="array" ref="AS20">VLOOKUP($R20,武学奇术!$A:$ZZ,8,FALSE)+SUM(_xlfn.XLOOKUP(S20:AG20,增益!$A:$A,增益!$H:$H,0))</f>
        <v>0</v>
      </c>
      <c r="AT20">
        <f t="shared" si="1"/>
        <v>680.02</v>
      </c>
      <c r="AU20">
        <f t="shared" si="2"/>
        <v>1288.54</v>
      </c>
      <c r="AV20" s="26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</v>
      </c>
      <c r="AW20" s="26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26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26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26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26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26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26" cm="1">
        <f t="array" ref="BI20">$G$14+VLOOKUP($R20,武学奇术!$A:$ZZ,16,FALSE)+SUM(_xlfn.XLOOKUP(S20:AG20,增益!$A:$A,增益!$P:$P,0))</f>
        <v>0</v>
      </c>
      <c r="BJ20" s="21">
        <f>MIN(IF(VLOOKUP($R20,武学奇术!$A:$ZZ,23,FALSE)=1,100%,$B$8),100%)</f>
        <v>0.8229</v>
      </c>
      <c r="BK20" s="21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0.2285</v>
      </c>
      <c r="BL20" s="21" cm="1">
        <f t="array" ref="BL20">1+$B$13+VLOOKUP($R20,武学奇术!$A:$ZZ,18,FALSE)+SUM(_xlfn.XLOOKUP(S20:AG20,增益!$A:$A,增益!$R:$R,0))</f>
        <v>1.5</v>
      </c>
      <c r="BM20" s="21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0.4495</v>
      </c>
      <c r="BN20" s="21" cm="1">
        <f t="array" ref="BN20">1+$B$14+VLOOKUP($R20,武学奇术!$A:$ZZ,20,FALSE)+SUM(_xlfn.XLOOKUP(S20:AG20,增益!$A:$A,增益!$T:$T,0))</f>
        <v>1.552</v>
      </c>
      <c r="BO20" s="21">
        <f t="shared" si="9"/>
        <v>0.18803265</v>
      </c>
      <c r="BP20" s="21">
        <f t="shared" si="10"/>
        <v>0.2649738</v>
      </c>
      <c r="BQ20" s="21">
        <f>IF(VLOOKUP($R20,武学奇术!$A:$ZZ,22,FALSE)=1,0,(1-$BJ20))*(1-$BM20)</f>
        <v>0.09749355</v>
      </c>
      <c r="BR20" s="21" cm="1">
        <f t="array" ref="BR20">SUM(_xlfn.XLOOKUP(S20:AG20,增益!$A:$A,增益!$W:$W,0))+$I$5</f>
        <v>0.06</v>
      </c>
    </row>
    <row r="21" ht="14.25" spans="1:70">
      <c r="A21" s="74" t="s">
        <v>147</v>
      </c>
      <c r="B21" s="79">
        <v>0.32</v>
      </c>
      <c r="C21" s="31" t="s">
        <v>148</v>
      </c>
      <c r="D21" s="68" t="s">
        <v>136</v>
      </c>
      <c r="E21" s="31" t="s">
        <v>149</v>
      </c>
      <c r="F21" s="31"/>
      <c r="K21" s="24">
        <f>$L21*VLOOKUP($R21,武学奇术!$A:$ZZ,31,FALSE)</f>
        <v>28416.6555988319</v>
      </c>
      <c r="L21" s="24">
        <f t="shared" si="0"/>
        <v>28416.6555988319</v>
      </c>
      <c r="M21" s="2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25651.5476944094</v>
      </c>
      <c r="N21" s="24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40673.0116742029</v>
      </c>
      <c r="O21" s="2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17101.0317962729</v>
      </c>
      <c r="P21" s="24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7995.22617360072</v>
      </c>
      <c r="Q21" s="31">
        <v>1</v>
      </c>
      <c r="R21" s="32" t="s">
        <v>143</v>
      </c>
      <c r="S21" s="32" t="s">
        <v>87</v>
      </c>
      <c r="T21" s="32" t="s">
        <v>104</v>
      </c>
      <c r="U21" s="32" t="s">
        <v>73</v>
      </c>
      <c r="V21" s="32" t="s">
        <v>73</v>
      </c>
      <c r="W21" s="32" t="s">
        <v>111</v>
      </c>
      <c r="X21" s="32" t="s">
        <v>127</v>
      </c>
      <c r="Y21" s="32" t="s">
        <v>73</v>
      </c>
      <c r="Z21" s="32" t="s">
        <v>73</v>
      </c>
      <c r="AA21" s="32" t="s">
        <v>81</v>
      </c>
      <c r="AB21" s="32" t="s">
        <v>75</v>
      </c>
      <c r="AC21" s="32" t="s">
        <v>76</v>
      </c>
      <c r="AD21" s="32" t="s">
        <v>82</v>
      </c>
      <c r="AE21" s="32" t="s">
        <v>90</v>
      </c>
      <c r="AF21" s="32" t="s">
        <v>73</v>
      </c>
      <c r="AG21" s="32" t="s">
        <v>144</v>
      </c>
      <c r="AH21" t="str">
        <f>VLOOKUP($R21,武学奇术!$A:$ZZ,25,FALSE)</f>
        <v>单体奇术</v>
      </c>
      <c r="AI21" s="21">
        <f>VLOOKUP($R21,武学奇术!$A:$ZZ,26,FALSE)</f>
        <v>1.0239</v>
      </c>
      <c r="AJ21" s="22">
        <f>VLOOKUP($R21,武学奇术!$A:$ZZ,27,FALSE)*(1+IF(OR($AH21=$F$4,$AH21=$F$5),$B$22,0))</f>
        <v>196</v>
      </c>
      <c r="AK21" s="21">
        <f>VLOOKUP($R21,武学奇术!$A:$ZZ,28,FALSE)</f>
        <v>1.53585</v>
      </c>
      <c r="AL21" s="22">
        <f>VLOOKUP($R21,武学奇术!$A:$ZZ,29,FALSE)*(1+IF(OR($AH21=$F$4,$AH21=$F$5),$B$22,0))</f>
        <v>0</v>
      </c>
      <c r="AM21" s="21" cm="1">
        <f t="array" ref="AM21">$G$3+IFERROR(VLOOKUP($AH21,$F$4:$G$7,2,FALSE),0)+VLOOKUP($R21,武学奇术!$A:$ZZ,2,FALSE)+SUM(_xlfn.XLOOKUP($S21:$AG21,增益!$A:$A,增益!$B:$B,0))</f>
        <v>0.923</v>
      </c>
      <c r="AN21" s="21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1862.48</v>
      </c>
      <c r="AP21" cm="1">
        <f t="array" ref="AP21">$E$10*(1+$AN21)+VLOOKUP($R21,武学奇术!$A:$ZZ,4,FALSE)+SUM(_xlfn.XLOOKUP($S21:$AG21,增益!$A:$A,增益!$D:$D,0))-$I$2</f>
        <v>7794.56</v>
      </c>
      <c r="AQ21" s="26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0.294</v>
      </c>
      <c r="AR21" s="26" cm="1">
        <f t="array" ref="AR21">$G$10+VLOOKUP($R21,武学奇术!$A:$ZZ,7,FALSE)+SUM(_xlfn.XLOOKUP(S21:AG21,增益!$A:$A,增益!$G:$G,0))</f>
        <v>0</v>
      </c>
      <c r="AS21" s="21" cm="1">
        <f t="array" ref="AS21">VLOOKUP($R21,武学奇术!$A:$ZZ,8,FALSE)+SUM(_xlfn.XLOOKUP(S21:AG21,增益!$A:$A,增益!$H:$H,0))</f>
        <v>0</v>
      </c>
      <c r="AT21">
        <f t="shared" si="1"/>
        <v>680.02</v>
      </c>
      <c r="AU21">
        <f t="shared" si="2"/>
        <v>1288.54</v>
      </c>
      <c r="AV21" s="26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26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26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26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26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26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26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26" cm="1">
        <f t="array" ref="BI21">$G$14+VLOOKUP($R21,武学奇术!$A:$ZZ,16,FALSE)+SUM(_xlfn.XLOOKUP(S21:AG21,增益!$A:$A,增益!$P:$P,0))</f>
        <v>0</v>
      </c>
      <c r="BJ21" s="21">
        <f>MIN(IF(VLOOKUP($R21,武学奇术!$A:$ZZ,23,FALSE)=1,100%,$B$8),100%)</f>
        <v>0.8229</v>
      </c>
      <c r="BK21" s="21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0.2285</v>
      </c>
      <c r="BL21" s="21" cm="1">
        <f t="array" ref="BL21">1+$B$13+VLOOKUP($R21,武学奇术!$A:$ZZ,18,FALSE)+SUM(_xlfn.XLOOKUP(S21:AG21,增益!$A:$A,增益!$R:$R,0))</f>
        <v>1.5</v>
      </c>
      <c r="BM21" s="21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0.4495</v>
      </c>
      <c r="BN21" s="21" cm="1">
        <f t="array" ref="BN21">1+$B$14+VLOOKUP($R21,武学奇术!$A:$ZZ,20,FALSE)+SUM(_xlfn.XLOOKUP(S21:AG21,增益!$A:$A,增益!$T:$T,0))</f>
        <v>1.552</v>
      </c>
      <c r="BO21" s="21">
        <f t="shared" si="9"/>
        <v>0.18803265</v>
      </c>
      <c r="BP21" s="21">
        <f t="shared" si="10"/>
        <v>0.2649738</v>
      </c>
      <c r="BQ21" s="21">
        <f>IF(VLOOKUP($R21,武学奇术!$A:$ZZ,22,FALSE)=1,0,(1-$BJ21))*(1-$BM21)</f>
        <v>0.09749355</v>
      </c>
      <c r="BR21" s="21" cm="1">
        <f t="array" ref="BR21">SUM(_xlfn.XLOOKUP(S21:AG21,增益!$A:$A,增益!$W:$W,0))+$I$5</f>
        <v>0.06</v>
      </c>
    </row>
    <row r="22" spans="1:70">
      <c r="A22" t="s">
        <v>150</v>
      </c>
      <c r="B22" s="23">
        <v>0.5</v>
      </c>
      <c r="C22" s="31" t="s">
        <v>151</v>
      </c>
      <c r="D22" s="68" t="s">
        <v>136</v>
      </c>
      <c r="E22" s="31" t="s">
        <v>152</v>
      </c>
      <c r="F22" s="31"/>
      <c r="K22" s="24">
        <f>$L22*VLOOKUP($R22,武学奇术!$A:$ZZ,31,FALSE)</f>
        <v>44655.1313079392</v>
      </c>
      <c r="L22" s="24">
        <f t="shared" si="0"/>
        <v>44655.1313079392</v>
      </c>
      <c r="M22" s="2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40309.9220257028</v>
      </c>
      <c r="N22" s="24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63915.2889164577</v>
      </c>
      <c r="O22" s="2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26873.2813504686</v>
      </c>
      <c r="P22" s="24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12564.031182601</v>
      </c>
      <c r="Q22" s="31">
        <v>1</v>
      </c>
      <c r="R22" s="32" t="s">
        <v>146</v>
      </c>
      <c r="S22" s="32" t="s">
        <v>87</v>
      </c>
      <c r="T22" s="32" t="s">
        <v>104</v>
      </c>
      <c r="U22" s="32" t="s">
        <v>73</v>
      </c>
      <c r="V22" s="32" t="s">
        <v>73</v>
      </c>
      <c r="W22" s="32" t="s">
        <v>111</v>
      </c>
      <c r="X22" s="32" t="s">
        <v>127</v>
      </c>
      <c r="Y22" s="32" t="s">
        <v>73</v>
      </c>
      <c r="Z22" s="32" t="s">
        <v>73</v>
      </c>
      <c r="AA22" s="32" t="s">
        <v>81</v>
      </c>
      <c r="AB22" s="32" t="s">
        <v>75</v>
      </c>
      <c r="AC22" s="32" t="s">
        <v>76</v>
      </c>
      <c r="AD22" s="32" t="s">
        <v>82</v>
      </c>
      <c r="AE22" s="32" t="s">
        <v>90</v>
      </c>
      <c r="AF22" s="32" t="s">
        <v>73</v>
      </c>
      <c r="AG22" s="32" t="s">
        <v>144</v>
      </c>
      <c r="AH22" t="str">
        <f>VLOOKUP($R22,武学奇术!$A:$ZZ,25,FALSE)</f>
        <v>单体奇术</v>
      </c>
      <c r="AI22" s="21">
        <f>VLOOKUP($R22,武学奇术!$A:$ZZ,26,FALSE)</f>
        <v>1.609</v>
      </c>
      <c r="AJ22" s="22">
        <f>VLOOKUP($R22,武学奇术!$A:$ZZ,27,FALSE)*(1+IF(OR($AH22=$F$4,$AH22=$F$5),$B$22,0))</f>
        <v>308</v>
      </c>
      <c r="AK22" s="21">
        <f>VLOOKUP($R22,武学奇术!$A:$ZZ,28,FALSE)</f>
        <v>2.4135</v>
      </c>
      <c r="AL22" s="22">
        <f>VLOOKUP($R22,武学奇术!$A:$ZZ,29,FALSE)*(1+IF(OR($AH22=$F$4,$AH22=$F$5),$B$22,0))</f>
        <v>0</v>
      </c>
      <c r="AM22" s="21" cm="1">
        <f t="array" ref="AM22">$G$3+IFERROR(VLOOKUP($AH22,$F$4:$G$7,2,FALSE),0)+VLOOKUP($R22,武学奇术!$A:$ZZ,2,FALSE)+SUM(_xlfn.XLOOKUP($S22:$AG22,增益!$A:$A,增益!$B:$B,0))</f>
        <v>0.923</v>
      </c>
      <c r="AN22" s="21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1862.48</v>
      </c>
      <c r="AP22" cm="1">
        <f t="array" ref="AP22">$E$10*(1+$AN22)+VLOOKUP($R22,武学奇术!$A:$ZZ,4,FALSE)+SUM(_xlfn.XLOOKUP($S22:$AG22,增益!$A:$A,增益!$D:$D,0))-$I$2</f>
        <v>7794.56</v>
      </c>
      <c r="AQ22" s="26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0.294</v>
      </c>
      <c r="AR22" s="26" cm="1">
        <f t="array" ref="AR22">$G$10+VLOOKUP($R22,武学奇术!$A:$ZZ,7,FALSE)+SUM(_xlfn.XLOOKUP(S22:AG22,增益!$A:$A,增益!$G:$G,0))</f>
        <v>0</v>
      </c>
      <c r="AS22" s="21" cm="1">
        <f t="array" ref="AS22">VLOOKUP($R22,武学奇术!$A:$ZZ,8,FALSE)+SUM(_xlfn.XLOOKUP(S22:AG22,增益!$A:$A,增益!$H:$H,0))</f>
        <v>0</v>
      </c>
      <c r="AT22">
        <f t="shared" si="1"/>
        <v>680.02</v>
      </c>
      <c r="AU22">
        <f t="shared" si="2"/>
        <v>1288.54</v>
      </c>
      <c r="AV22" s="26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26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26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26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26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26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26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26" cm="1">
        <f t="array" ref="BI22">$G$14+VLOOKUP($R22,武学奇术!$A:$ZZ,16,FALSE)+SUM(_xlfn.XLOOKUP(S22:AG22,增益!$A:$A,增益!$P:$P,0))</f>
        <v>0</v>
      </c>
      <c r="BJ22" s="21">
        <f>MIN(IF(VLOOKUP($R22,武学奇术!$A:$ZZ,23,FALSE)=1,100%,$B$8),100%)</f>
        <v>0.8229</v>
      </c>
      <c r="BK22" s="21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0.2285</v>
      </c>
      <c r="BL22" s="21" cm="1">
        <f t="array" ref="BL22">1+$B$13+VLOOKUP($R22,武学奇术!$A:$ZZ,18,FALSE)+SUM(_xlfn.XLOOKUP(S22:AG22,增益!$A:$A,增益!$R:$R,0))</f>
        <v>1.5</v>
      </c>
      <c r="BM22" s="21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0.4495</v>
      </c>
      <c r="BN22" s="21" cm="1">
        <f t="array" ref="BN22">1+$B$14+VLOOKUP($R22,武学奇术!$A:$ZZ,20,FALSE)+SUM(_xlfn.XLOOKUP(S22:AG22,增益!$A:$A,增益!$T:$T,0))</f>
        <v>1.552</v>
      </c>
      <c r="BO22" s="21">
        <f t="shared" si="9"/>
        <v>0.18803265</v>
      </c>
      <c r="BP22" s="21">
        <f t="shared" si="10"/>
        <v>0.2649738</v>
      </c>
      <c r="BQ22" s="21">
        <f>IF(VLOOKUP($R22,武学奇术!$A:$ZZ,22,FALSE)=1,0,(1-$BJ22))*(1-$BM22)</f>
        <v>0.09749355</v>
      </c>
      <c r="BR22" s="21" cm="1">
        <f t="array" ref="BR22">SUM(_xlfn.XLOOKUP(S22:AG22,增益!$A:$A,增益!$W:$W,0))+$I$5</f>
        <v>0.06</v>
      </c>
    </row>
    <row r="23" spans="1:70">
      <c r="A23" s="31" t="s">
        <v>153</v>
      </c>
      <c r="B23">
        <v>200</v>
      </c>
      <c r="C23" s="31" t="s">
        <v>154</v>
      </c>
      <c r="D23" s="68" t="s">
        <v>131</v>
      </c>
      <c r="K23" s="24">
        <f>$L23*VLOOKUP($R23,武学奇术!$A:$ZZ,31,FALSE)</f>
        <v>28416.6555988319</v>
      </c>
      <c r="L23" s="24">
        <f t="shared" si="0"/>
        <v>28416.6555988319</v>
      </c>
      <c r="M23" s="2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25651.5476944094</v>
      </c>
      <c r="N23" s="24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40673.0116742029</v>
      </c>
      <c r="O23" s="2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17101.0317962729</v>
      </c>
      <c r="P23" s="24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7995.22617360072</v>
      </c>
      <c r="Q23" s="31">
        <v>1</v>
      </c>
      <c r="R23" s="32" t="s">
        <v>143</v>
      </c>
      <c r="S23" s="32" t="s">
        <v>87</v>
      </c>
      <c r="T23" s="32" t="s">
        <v>104</v>
      </c>
      <c r="U23" s="32" t="s">
        <v>73</v>
      </c>
      <c r="V23" s="32" t="s">
        <v>73</v>
      </c>
      <c r="W23" s="32" t="s">
        <v>111</v>
      </c>
      <c r="X23" s="32" t="s">
        <v>127</v>
      </c>
      <c r="Y23" s="32" t="s">
        <v>73</v>
      </c>
      <c r="Z23" s="32" t="s">
        <v>73</v>
      </c>
      <c r="AA23" s="32" t="s">
        <v>81</v>
      </c>
      <c r="AB23" s="32" t="s">
        <v>75</v>
      </c>
      <c r="AC23" s="32" t="s">
        <v>76</v>
      </c>
      <c r="AD23" s="32" t="s">
        <v>82</v>
      </c>
      <c r="AE23" s="32" t="s">
        <v>90</v>
      </c>
      <c r="AF23" s="32" t="s">
        <v>73</v>
      </c>
      <c r="AG23" s="32" t="s">
        <v>144</v>
      </c>
      <c r="AH23" t="str">
        <f>VLOOKUP($R23,武学奇术!$A:$ZZ,25,FALSE)</f>
        <v>单体奇术</v>
      </c>
      <c r="AI23" s="21">
        <f>VLOOKUP($R23,武学奇术!$A:$ZZ,26,FALSE)</f>
        <v>1.0239</v>
      </c>
      <c r="AJ23" s="22">
        <f>VLOOKUP($R23,武学奇术!$A:$ZZ,27,FALSE)*(1+IF(OR($AH23=$F$4,$AH23=$F$5),$B$22,0))</f>
        <v>196</v>
      </c>
      <c r="AK23" s="21">
        <f>VLOOKUP($R23,武学奇术!$A:$ZZ,28,FALSE)</f>
        <v>1.53585</v>
      </c>
      <c r="AL23" s="22">
        <f>VLOOKUP($R23,武学奇术!$A:$ZZ,29,FALSE)*(1+IF(OR($AH23=$F$4,$AH23=$F$5),$B$22,0))</f>
        <v>0</v>
      </c>
      <c r="AM23" s="21" cm="1">
        <f t="array" ref="AM23">$G$3+IFERROR(VLOOKUP($AH23,$F$4:$G$7,2,FALSE),0)+VLOOKUP($R23,武学奇术!$A:$ZZ,2,FALSE)+SUM(_xlfn.XLOOKUP($S23:$AG23,增益!$A:$A,增益!$B:$B,0))</f>
        <v>0.923</v>
      </c>
      <c r="AN23" s="21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1862.48</v>
      </c>
      <c r="AP23" cm="1">
        <f t="array" ref="AP23">$E$10*(1+$AN23)+VLOOKUP($R23,武学奇术!$A:$ZZ,4,FALSE)+SUM(_xlfn.XLOOKUP($S23:$AG23,增益!$A:$A,增益!$D:$D,0))-$I$2</f>
        <v>7794.56</v>
      </c>
      <c r="AQ23" s="26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0.294</v>
      </c>
      <c r="AR23" s="26" cm="1">
        <f t="array" ref="AR23">$G$10+VLOOKUP($R23,武学奇术!$A:$ZZ,7,FALSE)+SUM(_xlfn.XLOOKUP(S23:AG23,增益!$A:$A,增益!$G:$G,0))</f>
        <v>0</v>
      </c>
      <c r="AS23" s="21" cm="1">
        <f t="array" ref="AS23">VLOOKUP($R23,武学奇术!$A:$ZZ,8,FALSE)+SUM(_xlfn.XLOOKUP(S23:AG23,增益!$A:$A,增益!$H:$H,0))</f>
        <v>0</v>
      </c>
      <c r="AT23">
        <f t="shared" si="1"/>
        <v>680.02</v>
      </c>
      <c r="AU23">
        <f t="shared" si="2"/>
        <v>1288.54</v>
      </c>
      <c r="AV23" s="26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26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26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26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26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26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26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26" cm="1">
        <f t="array" ref="BI23">$G$14+VLOOKUP($R23,武学奇术!$A:$ZZ,16,FALSE)+SUM(_xlfn.XLOOKUP(S23:AG23,增益!$A:$A,增益!$P:$P,0))</f>
        <v>0</v>
      </c>
      <c r="BJ23" s="21">
        <f>MIN(IF(VLOOKUP($R23,武学奇术!$A:$ZZ,23,FALSE)=1,100%,$B$8),100%)</f>
        <v>0.8229</v>
      </c>
      <c r="BK23" s="21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0.2285</v>
      </c>
      <c r="BL23" s="21" cm="1">
        <f t="array" ref="BL23">1+$B$13+VLOOKUP($R23,武学奇术!$A:$ZZ,18,FALSE)+SUM(_xlfn.XLOOKUP(S23:AG23,增益!$A:$A,增益!$R:$R,0))</f>
        <v>1.5</v>
      </c>
      <c r="BM23" s="21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0.4495</v>
      </c>
      <c r="BN23" s="21" cm="1">
        <f t="array" ref="BN23">1+$B$14+VLOOKUP($R23,武学奇术!$A:$ZZ,20,FALSE)+SUM(_xlfn.XLOOKUP(S23:AG23,增益!$A:$A,增益!$T:$T,0))</f>
        <v>1.552</v>
      </c>
      <c r="BO23" s="21">
        <f t="shared" si="9"/>
        <v>0.18803265</v>
      </c>
      <c r="BP23" s="21">
        <f t="shared" si="10"/>
        <v>0.2649738</v>
      </c>
      <c r="BQ23" s="21">
        <f>IF(VLOOKUP($R23,武学奇术!$A:$ZZ,22,FALSE)=1,0,(1-$BJ23))*(1-$BM23)</f>
        <v>0.09749355</v>
      </c>
      <c r="BR23" s="21" cm="1">
        <f t="array" ref="BR23">SUM(_xlfn.XLOOKUP(S23:AG23,增益!$A:$A,增益!$W:$W,0))+$I$5</f>
        <v>0.06</v>
      </c>
    </row>
    <row r="24" spans="1:70">
      <c r="A24" s="31"/>
      <c r="B24">
        <v>400</v>
      </c>
      <c r="K24" s="24">
        <f>$L24*VLOOKUP($R24,武学奇术!$A:$ZZ,31,FALSE)</f>
        <v>44655.1313079392</v>
      </c>
      <c r="L24" s="24">
        <f t="shared" si="0"/>
        <v>44655.1313079392</v>
      </c>
      <c r="M24" s="2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40309.9220257028</v>
      </c>
      <c r="N24" s="24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63915.2889164577</v>
      </c>
      <c r="O24" s="2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26873.2813504686</v>
      </c>
      <c r="P24" s="24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12564.031182601</v>
      </c>
      <c r="Q24" s="31">
        <v>1</v>
      </c>
      <c r="R24" s="32" t="s">
        <v>146</v>
      </c>
      <c r="S24" s="32" t="s">
        <v>87</v>
      </c>
      <c r="T24" s="32" t="s">
        <v>104</v>
      </c>
      <c r="U24" s="32" t="s">
        <v>73</v>
      </c>
      <c r="V24" s="32" t="s">
        <v>73</v>
      </c>
      <c r="W24" s="32" t="s">
        <v>111</v>
      </c>
      <c r="X24" s="32" t="s">
        <v>127</v>
      </c>
      <c r="Y24" s="32" t="s">
        <v>73</v>
      </c>
      <c r="Z24" s="32" t="s">
        <v>73</v>
      </c>
      <c r="AA24" s="32" t="s">
        <v>81</v>
      </c>
      <c r="AB24" s="32" t="s">
        <v>75</v>
      </c>
      <c r="AC24" s="32" t="s">
        <v>76</v>
      </c>
      <c r="AD24" s="32" t="s">
        <v>82</v>
      </c>
      <c r="AE24" s="32" t="s">
        <v>90</v>
      </c>
      <c r="AF24" s="32" t="s">
        <v>73</v>
      </c>
      <c r="AG24" s="32" t="s">
        <v>144</v>
      </c>
      <c r="AH24" t="str">
        <f>VLOOKUP($R24,武学奇术!$A:$ZZ,25,FALSE)</f>
        <v>单体奇术</v>
      </c>
      <c r="AI24" s="21">
        <f>VLOOKUP($R24,武学奇术!$A:$ZZ,26,FALSE)</f>
        <v>1.609</v>
      </c>
      <c r="AJ24" s="22">
        <f>VLOOKUP($R24,武学奇术!$A:$ZZ,27,FALSE)*(1+IF(OR($AH24=$F$4,$AH24=$F$5),$B$22,0))</f>
        <v>308</v>
      </c>
      <c r="AK24" s="21">
        <f>VLOOKUP($R24,武学奇术!$A:$ZZ,28,FALSE)</f>
        <v>2.4135</v>
      </c>
      <c r="AL24" s="22">
        <f>VLOOKUP($R24,武学奇术!$A:$ZZ,29,FALSE)*(1+IF(OR($AH24=$F$4,$AH24=$F$5),$B$22,0))</f>
        <v>0</v>
      </c>
      <c r="AM24" s="21" cm="1">
        <f t="array" ref="AM24">$G$3+IFERROR(VLOOKUP($AH24,$F$4:$G$7,2,FALSE),0)+VLOOKUP($R24,武学奇术!$A:$ZZ,2,FALSE)+SUM(_xlfn.XLOOKUP($S24:$AG24,增益!$A:$A,增益!$B:$B,0))</f>
        <v>0.923</v>
      </c>
      <c r="AN24" s="21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1862.48</v>
      </c>
      <c r="AP24" cm="1">
        <f t="array" ref="AP24">$E$10*(1+$AN24)+VLOOKUP($R24,武学奇术!$A:$ZZ,4,FALSE)+SUM(_xlfn.XLOOKUP($S24:$AG24,增益!$A:$A,增益!$D:$D,0))-$I$2</f>
        <v>7794.56</v>
      </c>
      <c r="AQ24" s="26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0.294</v>
      </c>
      <c r="AR24" s="26" cm="1">
        <f t="array" ref="AR24">$G$10+VLOOKUP($R24,武学奇术!$A:$ZZ,7,FALSE)+SUM(_xlfn.XLOOKUP(S24:AG24,增益!$A:$A,增益!$G:$G,0))</f>
        <v>0</v>
      </c>
      <c r="AS24" s="21" cm="1">
        <f t="array" ref="AS24">VLOOKUP($R24,武学奇术!$A:$ZZ,8,FALSE)+SUM(_xlfn.XLOOKUP(S24:AG24,增益!$A:$A,增益!$H:$H,0))</f>
        <v>0</v>
      </c>
      <c r="AT24">
        <f t="shared" si="1"/>
        <v>680.02</v>
      </c>
      <c r="AU24">
        <f t="shared" si="2"/>
        <v>1288.54</v>
      </c>
      <c r="AV24" s="26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26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26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26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26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26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26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26" cm="1">
        <f t="array" ref="BI24">$G$14+VLOOKUP($R24,武学奇术!$A:$ZZ,16,FALSE)+SUM(_xlfn.XLOOKUP(S24:AG24,增益!$A:$A,增益!$P:$P,0))</f>
        <v>0</v>
      </c>
      <c r="BJ24" s="21">
        <f>MIN(IF(VLOOKUP($R24,武学奇术!$A:$ZZ,23,FALSE)=1,100%,$B$8),100%)</f>
        <v>0.8229</v>
      </c>
      <c r="BK24" s="21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0.2285</v>
      </c>
      <c r="BL24" s="21" cm="1">
        <f t="array" ref="BL24">1+$B$13+VLOOKUP($R24,武学奇术!$A:$ZZ,18,FALSE)+SUM(_xlfn.XLOOKUP(S24:AG24,增益!$A:$A,增益!$R:$R,0))</f>
        <v>1.5</v>
      </c>
      <c r="BM24" s="21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0.4495</v>
      </c>
      <c r="BN24" s="21" cm="1">
        <f t="array" ref="BN24">1+$B$14+VLOOKUP($R24,武学奇术!$A:$ZZ,20,FALSE)+SUM(_xlfn.XLOOKUP(S24:AG24,增益!$A:$A,增益!$T:$T,0))</f>
        <v>1.552</v>
      </c>
      <c r="BO24" s="21">
        <f t="shared" si="9"/>
        <v>0.18803265</v>
      </c>
      <c r="BP24" s="21">
        <f t="shared" si="10"/>
        <v>0.2649738</v>
      </c>
      <c r="BQ24" s="21">
        <f>IF(VLOOKUP($R24,武学奇术!$A:$ZZ,22,FALSE)=1,0,(1-$BJ24))*(1-$BM24)</f>
        <v>0.09749355</v>
      </c>
      <c r="BR24" s="21" cm="1">
        <f t="array" ref="BR24">SUM(_xlfn.XLOOKUP(S24:AG24,增益!$A:$A,增益!$W:$W,0))+$I$5</f>
        <v>0.06</v>
      </c>
    </row>
    <row r="25" spans="1:70">
      <c r="K25" s="24">
        <f>$L25*VLOOKUP($R25,武学奇术!$A:$ZZ,31,FALSE)</f>
        <v>28416.6555988319</v>
      </c>
      <c r="L25" s="24">
        <f t="shared" si="0"/>
        <v>28416.6555988319</v>
      </c>
      <c r="M25" s="2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25651.5476944094</v>
      </c>
      <c r="N25" s="24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40673.0116742029</v>
      </c>
      <c r="O25" s="2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17101.0317962729</v>
      </c>
      <c r="P25" s="24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7995.22617360072</v>
      </c>
      <c r="Q25" s="31">
        <v>1</v>
      </c>
      <c r="R25" s="32" t="s">
        <v>143</v>
      </c>
      <c r="S25" s="32" t="s">
        <v>87</v>
      </c>
      <c r="T25" s="32" t="s">
        <v>104</v>
      </c>
      <c r="U25" s="32" t="s">
        <v>73</v>
      </c>
      <c r="V25" s="32" t="s">
        <v>73</v>
      </c>
      <c r="W25" s="32" t="s">
        <v>111</v>
      </c>
      <c r="X25" s="32" t="s">
        <v>127</v>
      </c>
      <c r="Y25" s="32" t="s">
        <v>73</v>
      </c>
      <c r="Z25" s="32" t="s">
        <v>73</v>
      </c>
      <c r="AA25" s="32" t="s">
        <v>81</v>
      </c>
      <c r="AB25" s="32" t="s">
        <v>75</v>
      </c>
      <c r="AC25" s="32" t="s">
        <v>76</v>
      </c>
      <c r="AD25" s="32" t="s">
        <v>82</v>
      </c>
      <c r="AE25" s="32" t="s">
        <v>90</v>
      </c>
      <c r="AF25" s="32" t="s">
        <v>73</v>
      </c>
      <c r="AG25" s="32" t="s">
        <v>144</v>
      </c>
      <c r="AH25" t="str">
        <f>VLOOKUP($R25,武学奇术!$A:$ZZ,25,FALSE)</f>
        <v>单体奇术</v>
      </c>
      <c r="AI25" s="21">
        <f>VLOOKUP($R25,武学奇术!$A:$ZZ,26,FALSE)</f>
        <v>1.0239</v>
      </c>
      <c r="AJ25" s="22">
        <f>VLOOKUP($R25,武学奇术!$A:$ZZ,27,FALSE)*(1+IF(OR($AH25=$F$4,$AH25=$F$5),$B$22,0))</f>
        <v>196</v>
      </c>
      <c r="AK25" s="21">
        <f>VLOOKUP($R25,武学奇术!$A:$ZZ,28,FALSE)</f>
        <v>1.53585</v>
      </c>
      <c r="AL25" s="22">
        <f>VLOOKUP($R25,武学奇术!$A:$ZZ,29,FALSE)*(1+IF(OR($AH25=$F$4,$AH25=$F$5),$B$22,0))</f>
        <v>0</v>
      </c>
      <c r="AM25" s="21" cm="1">
        <f t="array" ref="AM25">$G$3+IFERROR(VLOOKUP($AH25,$F$4:$G$7,2,FALSE),0)+VLOOKUP($R25,武学奇术!$A:$ZZ,2,FALSE)+SUM(_xlfn.XLOOKUP($S25:$AG25,增益!$A:$A,增益!$B:$B,0))</f>
        <v>0.923</v>
      </c>
      <c r="AN25" s="21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1862.48</v>
      </c>
      <c r="AP25" cm="1">
        <f t="array" ref="AP25">$E$10*(1+$AN25)+VLOOKUP($R25,武学奇术!$A:$ZZ,4,FALSE)+SUM(_xlfn.XLOOKUP($S25:$AG25,增益!$A:$A,增益!$D:$D,0))-$I$2</f>
        <v>7794.56</v>
      </c>
      <c r="AQ25" s="26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0.294</v>
      </c>
      <c r="AR25" s="26" cm="1">
        <f t="array" ref="AR25">$G$10+VLOOKUP($R25,武学奇术!$A:$ZZ,7,FALSE)+SUM(_xlfn.XLOOKUP(S25:AG25,增益!$A:$A,增益!$G:$G,0))</f>
        <v>0</v>
      </c>
      <c r="AS25" s="21" cm="1">
        <f t="array" ref="AS25">VLOOKUP($R25,武学奇术!$A:$ZZ,8,FALSE)+SUM(_xlfn.XLOOKUP(S25:AG25,增益!$A:$A,增益!$H:$H,0))</f>
        <v>0</v>
      </c>
      <c r="AT25">
        <f t="shared" si="1"/>
        <v>680.02</v>
      </c>
      <c r="AU25">
        <f t="shared" si="2"/>
        <v>1288.54</v>
      </c>
      <c r="AV25" s="26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26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26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26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26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26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26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26" cm="1">
        <f t="array" ref="BI25">$G$14+VLOOKUP($R25,武学奇术!$A:$ZZ,16,FALSE)+SUM(_xlfn.XLOOKUP(S25:AG25,增益!$A:$A,增益!$P:$P,0))</f>
        <v>0</v>
      </c>
      <c r="BJ25" s="21">
        <f>MIN(IF(VLOOKUP($R25,武学奇术!$A:$ZZ,23,FALSE)=1,100%,$B$8),100%)</f>
        <v>0.8229</v>
      </c>
      <c r="BK25" s="21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0.2285</v>
      </c>
      <c r="BL25" s="21" cm="1">
        <f t="array" ref="BL25">1+$B$13+VLOOKUP($R25,武学奇术!$A:$ZZ,18,FALSE)+SUM(_xlfn.XLOOKUP(S25:AG25,增益!$A:$A,增益!$R:$R,0))</f>
        <v>1.5</v>
      </c>
      <c r="BM25" s="21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0.4495</v>
      </c>
      <c r="BN25" s="21" cm="1">
        <f t="array" ref="BN25">1+$B$14+VLOOKUP($R25,武学奇术!$A:$ZZ,20,FALSE)+SUM(_xlfn.XLOOKUP(S25:AG25,增益!$A:$A,增益!$T:$T,0))</f>
        <v>1.552</v>
      </c>
      <c r="BO25" s="21">
        <f t="shared" si="9"/>
        <v>0.18803265</v>
      </c>
      <c r="BP25" s="21">
        <f t="shared" si="10"/>
        <v>0.2649738</v>
      </c>
      <c r="BQ25" s="21">
        <f>IF(VLOOKUP($R25,武学奇术!$A:$ZZ,22,FALSE)=1,0,(1-$BJ25))*(1-$BM25)</f>
        <v>0.09749355</v>
      </c>
      <c r="BR25" s="21" cm="1">
        <f t="array" ref="BR25">SUM(_xlfn.XLOOKUP(S25:AG25,增益!$A:$A,增益!$W:$W,0))+$I$5</f>
        <v>0.06</v>
      </c>
    </row>
    <row r="26" spans="1:70">
      <c r="A26" t="s">
        <v>155</v>
      </c>
      <c r="B26" t="s">
        <v>156</v>
      </c>
      <c r="K26" s="24">
        <f>$L26*VLOOKUP($R26,武学奇术!$A:$ZZ,31,FALSE)</f>
        <v>44655.1313079392</v>
      </c>
      <c r="L26" s="24">
        <f t="shared" si="0"/>
        <v>44655.1313079392</v>
      </c>
      <c r="M26" s="2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40309.9220257028</v>
      </c>
      <c r="N26" s="24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63915.2889164577</v>
      </c>
      <c r="O26" s="2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26873.2813504686</v>
      </c>
      <c r="P26" s="24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12564.031182601</v>
      </c>
      <c r="Q26" s="31">
        <v>1</v>
      </c>
      <c r="R26" s="32" t="s">
        <v>146</v>
      </c>
      <c r="S26" s="32" t="s">
        <v>87</v>
      </c>
      <c r="T26" s="32" t="s">
        <v>104</v>
      </c>
      <c r="U26" s="32" t="s">
        <v>73</v>
      </c>
      <c r="V26" s="32" t="s">
        <v>73</v>
      </c>
      <c r="W26" s="32" t="s">
        <v>111</v>
      </c>
      <c r="X26" s="32" t="s">
        <v>127</v>
      </c>
      <c r="Y26" s="32" t="s">
        <v>73</v>
      </c>
      <c r="Z26" s="32" t="s">
        <v>73</v>
      </c>
      <c r="AA26" s="32" t="s">
        <v>81</v>
      </c>
      <c r="AB26" s="32" t="s">
        <v>75</v>
      </c>
      <c r="AC26" s="32" t="s">
        <v>76</v>
      </c>
      <c r="AD26" s="32" t="s">
        <v>82</v>
      </c>
      <c r="AE26" s="32" t="s">
        <v>90</v>
      </c>
      <c r="AF26" s="32" t="s">
        <v>73</v>
      </c>
      <c r="AG26" s="32" t="s">
        <v>144</v>
      </c>
      <c r="AH26" t="str">
        <f>VLOOKUP($R26,武学奇术!$A:$ZZ,25,FALSE)</f>
        <v>单体奇术</v>
      </c>
      <c r="AI26" s="21">
        <f>VLOOKUP($R26,武学奇术!$A:$ZZ,26,FALSE)</f>
        <v>1.609</v>
      </c>
      <c r="AJ26" s="22">
        <f>VLOOKUP($R26,武学奇术!$A:$ZZ,27,FALSE)*(1+IF(OR($AH26=$F$4,$AH26=$F$5),$B$22,0))</f>
        <v>308</v>
      </c>
      <c r="AK26" s="21">
        <f>VLOOKUP($R26,武学奇术!$A:$ZZ,28,FALSE)</f>
        <v>2.4135</v>
      </c>
      <c r="AL26" s="22">
        <f>VLOOKUP($R26,武学奇术!$A:$ZZ,29,FALSE)*(1+IF(OR($AH26=$F$4,$AH26=$F$5),$B$22,0))</f>
        <v>0</v>
      </c>
      <c r="AM26" s="21" cm="1">
        <f t="array" ref="AM26">$G$3+IFERROR(VLOOKUP($AH26,$F$4:$G$7,2,FALSE),0)+VLOOKUP($R26,武学奇术!$A:$ZZ,2,FALSE)+SUM(_xlfn.XLOOKUP($S26:$AG26,增益!$A:$A,增益!$B:$B,0))</f>
        <v>0.923</v>
      </c>
      <c r="AN26" s="21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1862.48</v>
      </c>
      <c r="AP26" cm="1">
        <f t="array" ref="AP26">$E$10*(1+$AN26)+VLOOKUP($R26,武学奇术!$A:$ZZ,4,FALSE)+SUM(_xlfn.XLOOKUP($S26:$AG26,增益!$A:$A,增益!$D:$D,0))-$I$2</f>
        <v>7794.56</v>
      </c>
      <c r="AQ26" s="26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0.294</v>
      </c>
      <c r="AR26" s="26" cm="1">
        <f t="array" ref="AR26">$G$10+VLOOKUP($R26,武学奇术!$A:$ZZ,7,FALSE)+SUM(_xlfn.XLOOKUP(S26:AG26,增益!$A:$A,增益!$G:$G,0))</f>
        <v>0</v>
      </c>
      <c r="AS26" s="21" cm="1">
        <f t="array" ref="AS26">VLOOKUP($R26,武学奇术!$A:$ZZ,8,FALSE)+SUM(_xlfn.XLOOKUP(S26:AG26,增益!$A:$A,增益!$H:$H,0))</f>
        <v>0</v>
      </c>
      <c r="AT26">
        <f t="shared" si="1"/>
        <v>680.02</v>
      </c>
      <c r="AU26">
        <f t="shared" si="2"/>
        <v>1288.54</v>
      </c>
      <c r="AV26" s="26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26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26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26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26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26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26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26" cm="1">
        <f t="array" ref="BI26">$G$14+VLOOKUP($R26,武学奇术!$A:$ZZ,16,FALSE)+SUM(_xlfn.XLOOKUP(S26:AG26,增益!$A:$A,增益!$P:$P,0))</f>
        <v>0</v>
      </c>
      <c r="BJ26" s="21">
        <f>MIN(IF(VLOOKUP($R26,武学奇术!$A:$ZZ,23,FALSE)=1,100%,$B$8),100%)</f>
        <v>0.8229</v>
      </c>
      <c r="BK26" s="21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0.2285</v>
      </c>
      <c r="BL26" s="21" cm="1">
        <f t="array" ref="BL26">1+$B$13+VLOOKUP($R26,武学奇术!$A:$ZZ,18,FALSE)+SUM(_xlfn.XLOOKUP(S26:AG26,增益!$A:$A,增益!$R:$R,0))</f>
        <v>1.5</v>
      </c>
      <c r="BM26" s="21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0.4495</v>
      </c>
      <c r="BN26" s="21" cm="1">
        <f t="array" ref="BN26">1+$B$14+VLOOKUP($R26,武学奇术!$A:$ZZ,20,FALSE)+SUM(_xlfn.XLOOKUP(S26:AG26,增益!$A:$A,增益!$T:$T,0))</f>
        <v>1.552</v>
      </c>
      <c r="BO26" s="21">
        <f t="shared" si="9"/>
        <v>0.18803265</v>
      </c>
      <c r="BP26" s="21">
        <f t="shared" si="10"/>
        <v>0.2649738</v>
      </c>
      <c r="BQ26" s="21">
        <f>IF(VLOOKUP($R26,武学奇术!$A:$ZZ,22,FALSE)=1,0,(1-$BJ26))*(1-$BM26)</f>
        <v>0.09749355</v>
      </c>
      <c r="BR26" s="21" cm="1">
        <f t="array" ref="BR26">SUM(_xlfn.XLOOKUP(S26:AG26,增益!$A:$A,增益!$W:$W,0))+$I$5</f>
        <v>0.06</v>
      </c>
    </row>
    <row r="27" spans="1:70">
      <c r="B27">
        <v>143.5</v>
      </c>
      <c r="K27" s="24">
        <f>$L27*VLOOKUP($R27,武学奇术!$A:$ZZ,31,FALSE)</f>
        <v>67343.7825232485</v>
      </c>
      <c r="L27" s="24">
        <f t="shared" si="0"/>
        <v>67343.7825232485</v>
      </c>
      <c r="M27" s="2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60540.2314780462</v>
      </c>
      <c r="N27" s="24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96609.8689031966</v>
      </c>
      <c r="O27" s="2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40360.1543186975</v>
      </c>
      <c r="P27" s="24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18870.2005047466</v>
      </c>
      <c r="Q27" s="31">
        <v>1</v>
      </c>
      <c r="R27" s="32" t="s">
        <v>157</v>
      </c>
      <c r="S27" s="32" t="s">
        <v>87</v>
      </c>
      <c r="T27" s="32" t="s">
        <v>104</v>
      </c>
      <c r="U27" s="32" t="s">
        <v>73</v>
      </c>
      <c r="V27" s="32" t="s">
        <v>73</v>
      </c>
      <c r="W27" s="32" t="s">
        <v>111</v>
      </c>
      <c r="X27" s="32" t="s">
        <v>127</v>
      </c>
      <c r="Y27" s="32" t="s">
        <v>73</v>
      </c>
      <c r="Z27" s="32" t="s">
        <v>73</v>
      </c>
      <c r="AA27" s="32" t="s">
        <v>81</v>
      </c>
      <c r="AB27" s="32" t="s">
        <v>75</v>
      </c>
      <c r="AC27" s="32" t="s">
        <v>76</v>
      </c>
      <c r="AD27" s="32" t="s">
        <v>82</v>
      </c>
      <c r="AE27" s="32" t="s">
        <v>90</v>
      </c>
      <c r="AF27" s="32" t="s">
        <v>73</v>
      </c>
      <c r="AG27" s="32" t="s">
        <v>158</v>
      </c>
      <c r="AH27" t="str">
        <f>VLOOKUP($R27,武学奇术!$A:$ZZ,25,FALSE)</f>
        <v>单体奇术</v>
      </c>
      <c r="AI27" s="21">
        <f>VLOOKUP($R27,武学奇术!$A:$ZZ,26,FALSE)</f>
        <v>1.7065</v>
      </c>
      <c r="AJ27" s="22">
        <f>VLOOKUP($R27,武学奇术!$A:$ZZ,27,FALSE)*(1+IF(OR($AH27=$F$4,$AH27=$F$5),$B$22,0))</f>
        <v>327</v>
      </c>
      <c r="AK27" s="21">
        <f>VLOOKUP($R27,武学奇术!$A:$ZZ,28,FALSE)</f>
        <v>2.55975</v>
      </c>
      <c r="AL27" s="22">
        <f>VLOOKUP($R27,武学奇术!$A:$ZZ,29,FALSE)*(1+IF(OR($AH27=$F$4,$AH27=$F$5),$B$22,0))</f>
        <v>0</v>
      </c>
      <c r="AM27" s="21" cm="1">
        <f t="array" ref="AM27">$G$3+IFERROR(VLOOKUP($AH27,$F$4:$G$7,2,FALSE),0)+VLOOKUP($R27,武学奇术!$A:$ZZ,2,FALSE)+SUM(_xlfn.XLOOKUP($S27:$AG27,增益!$A:$A,增益!$B:$B,0))</f>
        <v>1.723</v>
      </c>
      <c r="AN27" s="21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1862.48</v>
      </c>
      <c r="AP27" cm="1">
        <f t="array" ref="AP27">$E$10*(1+$AN27)+VLOOKUP($R27,武学奇术!$A:$ZZ,4,FALSE)+SUM(_xlfn.XLOOKUP($S27:$AG27,增益!$A:$A,增益!$D:$D,0))-$I$2</f>
        <v>7794.56</v>
      </c>
      <c r="AQ27" s="26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0.294</v>
      </c>
      <c r="AR27" s="26" cm="1">
        <f t="array" ref="AR27">$G$10+VLOOKUP($R27,武学奇术!$A:$ZZ,7,FALSE)+SUM(_xlfn.XLOOKUP(S27:AG27,增益!$A:$A,增益!$G:$G,0))</f>
        <v>0</v>
      </c>
      <c r="AS27" s="21" cm="1">
        <f t="array" ref="AS27">VLOOKUP($R27,武学奇术!$A:$ZZ,8,FALSE)+SUM(_xlfn.XLOOKUP(S27:AG27,增益!$A:$A,增益!$H:$H,0))</f>
        <v>0</v>
      </c>
      <c r="AT27">
        <f t="shared" si="1"/>
        <v>680.02</v>
      </c>
      <c r="AU27">
        <f t="shared" si="2"/>
        <v>1288.54</v>
      </c>
      <c r="AV27" s="26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26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26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26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26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26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26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26" cm="1">
        <f t="array" ref="BI27">$G$14+VLOOKUP($R27,武学奇术!$A:$ZZ,16,FALSE)+SUM(_xlfn.XLOOKUP(S27:AG27,增益!$A:$A,增益!$P:$P,0))</f>
        <v>0</v>
      </c>
      <c r="BJ27" s="21">
        <f>MIN(IF(VLOOKUP($R27,武学奇术!$A:$ZZ,23,FALSE)=1,100%,$B$8),100%)</f>
        <v>0.8229</v>
      </c>
      <c r="BK27" s="21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0.2285</v>
      </c>
      <c r="BL27" s="21" cm="1">
        <f t="array" ref="BL27">1+$B$13+VLOOKUP($R27,武学奇术!$A:$ZZ,18,FALSE)+SUM(_xlfn.XLOOKUP(S27:AG27,增益!$A:$A,增益!$R:$R,0))</f>
        <v>1.5</v>
      </c>
      <c r="BM27" s="21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0.4495</v>
      </c>
      <c r="BN27" s="21" cm="1">
        <f t="array" ref="BN27">1+$B$14+VLOOKUP($R27,武学奇术!$A:$ZZ,20,FALSE)+SUM(_xlfn.XLOOKUP(S27:AG27,增益!$A:$A,增益!$T:$T,0))</f>
        <v>1.562</v>
      </c>
      <c r="BO27" s="21">
        <f t="shared" si="9"/>
        <v>0.18803265</v>
      </c>
      <c r="BP27" s="21">
        <f t="shared" si="10"/>
        <v>0.2649738</v>
      </c>
      <c r="BQ27" s="21">
        <f>IF(VLOOKUP($R27,武学奇术!$A:$ZZ,22,FALSE)=1,0,(1-$BJ27))*(1-$BM27)</f>
        <v>0.09749355</v>
      </c>
      <c r="BR27" s="21" cm="1">
        <f t="array" ref="BR27">SUM(_xlfn.XLOOKUP(S27:AG27,增益!$A:$A,增益!$W:$W,0))+$I$5</f>
        <v>0.06</v>
      </c>
    </row>
    <row r="28" spans="1:70">
      <c r="A28" t="s">
        <v>159</v>
      </c>
      <c r="B28">
        <v>1</v>
      </c>
      <c r="K28" s="24">
        <f>$L28*VLOOKUP($R28,武学奇术!$A:$ZZ,31,FALSE)</f>
        <v>44840.2467871142</v>
      </c>
      <c r="L28" s="24">
        <f t="shared" si="0"/>
        <v>44840.2467871142</v>
      </c>
      <c r="M28" s="2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40309.9220257028</v>
      </c>
      <c r="N28" s="24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64327.114231641</v>
      </c>
      <c r="O28" s="2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26873.2813504686</v>
      </c>
      <c r="P28" s="24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12564.031182601</v>
      </c>
      <c r="Q28" s="31">
        <v>1</v>
      </c>
      <c r="R28" s="32" t="s">
        <v>146</v>
      </c>
      <c r="S28" s="32" t="s">
        <v>87</v>
      </c>
      <c r="T28" s="32" t="s">
        <v>104</v>
      </c>
      <c r="U28" s="32" t="s">
        <v>73</v>
      </c>
      <c r="V28" s="32" t="s">
        <v>73</v>
      </c>
      <c r="W28" s="32" t="s">
        <v>111</v>
      </c>
      <c r="X28" s="32" t="s">
        <v>127</v>
      </c>
      <c r="Y28" s="32" t="s">
        <v>73</v>
      </c>
      <c r="Z28" s="32" t="s">
        <v>73</v>
      </c>
      <c r="AA28" s="32" t="s">
        <v>81</v>
      </c>
      <c r="AB28" s="32" t="s">
        <v>75</v>
      </c>
      <c r="AC28" s="32" t="s">
        <v>76</v>
      </c>
      <c r="AD28" s="32" t="s">
        <v>82</v>
      </c>
      <c r="AE28" s="32" t="s">
        <v>90</v>
      </c>
      <c r="AF28" s="32" t="s">
        <v>73</v>
      </c>
      <c r="AG28" s="32" t="s">
        <v>158</v>
      </c>
      <c r="AH28" t="str">
        <f>VLOOKUP($R28,武学奇术!$A:$ZZ,25,FALSE)</f>
        <v>单体奇术</v>
      </c>
      <c r="AI28" s="21">
        <f>VLOOKUP($R28,武学奇术!$A:$ZZ,26,FALSE)</f>
        <v>1.609</v>
      </c>
      <c r="AJ28" s="22">
        <f>VLOOKUP($R28,武学奇术!$A:$ZZ,27,FALSE)*(1+IF(OR($AH28=$F$4,$AH28=$F$5),$B$22,0))</f>
        <v>308</v>
      </c>
      <c r="AK28" s="21">
        <f>VLOOKUP($R28,武学奇术!$A:$ZZ,28,FALSE)</f>
        <v>2.4135</v>
      </c>
      <c r="AL28" s="22">
        <f>VLOOKUP($R28,武学奇术!$A:$ZZ,29,FALSE)*(1+IF(OR($AH28=$F$4,$AH28=$F$5),$B$22,0))</f>
        <v>0</v>
      </c>
      <c r="AM28" s="21" cm="1">
        <f t="array" ref="AM28">$G$3+IFERROR(VLOOKUP($AH28,$F$4:$G$7,2,FALSE),0)+VLOOKUP($R28,武学奇术!$A:$ZZ,2,FALSE)+SUM(_xlfn.XLOOKUP($S28:$AG28,增益!$A:$A,增益!$B:$B,0))</f>
        <v>0.923</v>
      </c>
      <c r="AN28" s="21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1862.48</v>
      </c>
      <c r="AP28" cm="1">
        <f t="array" ref="AP28">$E$10*(1+$AN28)+VLOOKUP($R28,武学奇术!$A:$ZZ,4,FALSE)+SUM(_xlfn.XLOOKUP($S28:$AG28,增益!$A:$A,增益!$D:$D,0))-$I$2</f>
        <v>7794.56</v>
      </c>
      <c r="AQ28" s="26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0.294</v>
      </c>
      <c r="AR28" s="26" cm="1">
        <f t="array" ref="AR28">$G$10+VLOOKUP($R28,武学奇术!$A:$ZZ,7,FALSE)+SUM(_xlfn.XLOOKUP(S28:AG28,增益!$A:$A,增益!$G:$G,0))</f>
        <v>0</v>
      </c>
      <c r="AS28" s="21" cm="1">
        <f t="array" ref="AS28">VLOOKUP($R28,武学奇术!$A:$ZZ,8,FALSE)+SUM(_xlfn.XLOOKUP(S28:AG28,增益!$A:$A,增益!$H:$H,0))</f>
        <v>0</v>
      </c>
      <c r="AT28">
        <f t="shared" si="1"/>
        <v>680.02</v>
      </c>
      <c r="AU28">
        <f t="shared" si="2"/>
        <v>1288.54</v>
      </c>
      <c r="AV28" s="26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26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26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26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26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26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26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26" cm="1">
        <f t="array" ref="BI28">$G$14+VLOOKUP($R28,武学奇术!$A:$ZZ,16,FALSE)+SUM(_xlfn.XLOOKUP(S28:AG28,增益!$A:$A,增益!$P:$P,0))</f>
        <v>0</v>
      </c>
      <c r="BJ28" s="21">
        <f>MIN(IF(VLOOKUP($R28,武学奇术!$A:$ZZ,23,FALSE)=1,100%,$B$8),100%)</f>
        <v>0.8229</v>
      </c>
      <c r="BK28" s="21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0.2285</v>
      </c>
      <c r="BL28" s="21" cm="1">
        <f t="array" ref="BL28">1+$B$13+VLOOKUP($R28,武学奇术!$A:$ZZ,18,FALSE)+SUM(_xlfn.XLOOKUP(S28:AG28,增益!$A:$A,增益!$R:$R,0))</f>
        <v>1.5</v>
      </c>
      <c r="BM28" s="21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0.4495</v>
      </c>
      <c r="BN28" s="21" cm="1">
        <f t="array" ref="BN28">1+$B$14+VLOOKUP($R28,武学奇术!$A:$ZZ,20,FALSE)+SUM(_xlfn.XLOOKUP(S28:AG28,增益!$A:$A,增益!$T:$T,0))</f>
        <v>1.562</v>
      </c>
      <c r="BO28" s="21">
        <f t="shared" ref="BO28:BO59" si="12">MIN((1-BM28)*BJ28,BJ28*BK28)</f>
        <v>0.18803265</v>
      </c>
      <c r="BP28" s="21">
        <f t="shared" si="10"/>
        <v>0.2649738</v>
      </c>
      <c r="BQ28" s="21">
        <f>IF(VLOOKUP($R28,武学奇术!$A:$ZZ,22,FALSE)=1,0,(1-$BJ28))*(1-$BM28)</f>
        <v>0.09749355</v>
      </c>
      <c r="BR28" s="21" cm="1">
        <f t="array" ref="BR28">SUM(_xlfn.XLOOKUP(S28:AG28,增益!$A:$A,增益!$W:$W,0))+$I$5</f>
        <v>0.06</v>
      </c>
    </row>
    <row r="29" spans="1:70">
      <c r="A29" t="s">
        <v>160</v>
      </c>
      <c r="B29">
        <v>2.2</v>
      </c>
      <c r="G29" s="80" t="s">
        <v>161</v>
      </c>
      <c r="K29" s="24">
        <f>$L29*VLOOKUP($R29,武学奇术!$A:$ZZ,31,FALSE)</f>
        <v>31195.2320161571</v>
      </c>
      <c r="L29" s="24">
        <f t="shared" si="0"/>
        <v>31195.2320161571</v>
      </c>
      <c r="M29" s="2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28439.9394136339</v>
      </c>
      <c r="N29" s="24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44245.5588494124</v>
      </c>
      <c r="O29" s="2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18959.9596090893</v>
      </c>
      <c r="P29" s="24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9593.69716349716</v>
      </c>
      <c r="Q29" s="31">
        <v>1</v>
      </c>
      <c r="R29" s="32" t="s">
        <v>86</v>
      </c>
      <c r="S29" s="32" t="s">
        <v>87</v>
      </c>
      <c r="T29" s="32" t="s">
        <v>104</v>
      </c>
      <c r="U29" s="32" t="s">
        <v>73</v>
      </c>
      <c r="V29" s="32" t="s">
        <v>73</v>
      </c>
      <c r="W29" s="32" t="s">
        <v>73</v>
      </c>
      <c r="X29" s="32" t="s">
        <v>127</v>
      </c>
      <c r="Y29" s="32" t="s">
        <v>73</v>
      </c>
      <c r="Z29" s="32" t="s">
        <v>73</v>
      </c>
      <c r="AA29" s="32" t="s">
        <v>73</v>
      </c>
      <c r="AB29" s="32" t="s">
        <v>75</v>
      </c>
      <c r="AC29" s="32" t="s">
        <v>76</v>
      </c>
      <c r="AD29" s="32" t="s">
        <v>82</v>
      </c>
      <c r="AE29" s="32" t="s">
        <v>73</v>
      </c>
      <c r="AF29" s="32" t="s">
        <v>73</v>
      </c>
      <c r="AG29" s="32" t="s">
        <v>158</v>
      </c>
      <c r="AH29" t="str">
        <f>VLOOKUP($R29,武学奇术!$A:$ZZ,25,FALSE)</f>
        <v>剑</v>
      </c>
      <c r="AI29" s="21">
        <f>VLOOKUP($R29,武学奇术!$A:$ZZ,26,FALSE)</f>
        <v>1.1781</v>
      </c>
      <c r="AJ29" s="22">
        <f>VLOOKUP($R29,武学奇术!$A:$ZZ,27,FALSE)*(1+IF(OR($AH29=$F$4,$AH29=$F$5),$B$22,0))</f>
        <v>489</v>
      </c>
      <c r="AK29" s="21">
        <f>VLOOKUP($R29,武学奇术!$A:$ZZ,28,FALSE)</f>
        <v>1.7672</v>
      </c>
      <c r="AL29" s="22">
        <f>VLOOKUP($R29,武学奇术!$A:$ZZ,29,FALSE)*(1+IF(OR($AH29=$F$4,$AH29=$F$5),$B$22,0))</f>
        <v>265.5</v>
      </c>
      <c r="AM29" s="21" cm="1">
        <f t="array" ref="AM29">$G$3+IFERROR(VLOOKUP($AH29,$F$4:$G$7,2,FALSE),0)+VLOOKUP($R29,武学奇术!$A:$ZZ,2,FALSE)+SUM(_xlfn.XLOOKUP($S29:$AG29,增益!$A:$A,增益!$B:$B,0))</f>
        <v>0.7191</v>
      </c>
      <c r="AN29" s="21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1831.48</v>
      </c>
      <c r="AP29" cm="1">
        <f t="array" ref="AP29">$E$10*(1+$AN29)+VLOOKUP($R29,武学奇术!$A:$ZZ,4,FALSE)+SUM(_xlfn.XLOOKUP($S29:$AG29,增益!$A:$A,增益!$D:$D,0))-$I$2</f>
        <v>7763.56</v>
      </c>
      <c r="AQ29" s="26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0.294</v>
      </c>
      <c r="AR29" s="26" cm="1">
        <f t="array" ref="AR29">$G$10+VLOOKUP($R29,武学奇术!$A:$ZZ,7,FALSE)+SUM(_xlfn.XLOOKUP(S29:AG29,增益!$A:$A,增益!$G:$G,0))</f>
        <v>0</v>
      </c>
      <c r="AS29" s="21" cm="1">
        <f t="array" ref="AS29">VLOOKUP($R29,武学奇术!$A:$ZZ,8,FALSE)+SUM(_xlfn.XLOOKUP(S29:AG29,增益!$A:$A,增益!$H:$H,0))</f>
        <v>0</v>
      </c>
      <c r="AT29">
        <f t="shared" si="1"/>
        <v>680.02</v>
      </c>
      <c r="AU29">
        <f t="shared" si="2"/>
        <v>1288.54</v>
      </c>
      <c r="AV29" s="26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</v>
      </c>
      <c r="AW29" s="26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26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26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26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26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26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26" cm="1">
        <f t="array" ref="BI29">$G$14+VLOOKUP($R29,武学奇术!$A:$ZZ,16,FALSE)+SUM(_xlfn.XLOOKUP(S29:AG29,增益!$A:$A,增益!$P:$P,0))</f>
        <v>0</v>
      </c>
      <c r="BJ29" s="21">
        <f>MIN(IF(VLOOKUP($R29,武学奇术!$A:$ZZ,23,FALSE)=1,100%,$B$8),100%)</f>
        <v>0.8229</v>
      </c>
      <c r="BK29" s="21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0.2285</v>
      </c>
      <c r="BL29" s="21" cm="1">
        <f t="array" ref="BL29">1+$B$13+VLOOKUP($R29,武学奇术!$A:$ZZ,18,FALSE)+SUM(_xlfn.XLOOKUP(S29:AG29,增益!$A:$A,增益!$R:$R,0))</f>
        <v>1.5</v>
      </c>
      <c r="BM29" s="21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0.4495</v>
      </c>
      <c r="BN29" s="21" cm="1">
        <f t="array" ref="BN29">1+$B$14+VLOOKUP($R29,武学奇术!$A:$ZZ,20,FALSE)+SUM(_xlfn.XLOOKUP(S29:AG29,增益!$A:$A,增益!$T:$T,0))</f>
        <v>1.562</v>
      </c>
      <c r="BO29" s="21">
        <f t="shared" si="12"/>
        <v>0.18803265</v>
      </c>
      <c r="BP29" s="21">
        <f t="shared" si="10"/>
        <v>0.2649738</v>
      </c>
      <c r="BQ29" s="21">
        <f>IF(VLOOKUP($R29,武学奇术!$A:$ZZ,22,FALSE)=1,0,(1-$BJ29))*(1-$BM29)</f>
        <v>0.09749355</v>
      </c>
      <c r="BR29" s="21" cm="1">
        <f t="array" ref="BR29">SUM(_xlfn.XLOOKUP(S29:AG29,增益!$A:$A,增益!$W:$W,0))+$I$5</f>
        <v>0.06</v>
      </c>
    </row>
    <row r="30" spans="1:70">
      <c r="A30" t="s">
        <v>162</v>
      </c>
      <c r="B30">
        <v>1.7</v>
      </c>
      <c r="E30" s="80" t="s">
        <v>163</v>
      </c>
      <c r="F30" s="80" t="s">
        <v>164</v>
      </c>
      <c r="G30" s="80"/>
      <c r="K30" s="24">
        <f>$L30*VLOOKUP($R30,武学奇术!$A:$ZZ,31,FALSE)</f>
        <v>118455.258474036</v>
      </c>
      <c r="L30" s="24">
        <f t="shared" si="0"/>
        <v>197425.43079006</v>
      </c>
      <c r="M30" s="2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109604.656397454</v>
      </c>
      <c r="N30" s="24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197425.43079006</v>
      </c>
      <c r="O30" s="2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73069.7709316357</v>
      </c>
      <c r="P30" s="24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32806.9179883808</v>
      </c>
      <c r="Q30" s="31">
        <v>1</v>
      </c>
      <c r="R30" s="32" t="s">
        <v>120</v>
      </c>
      <c r="S30" s="32" t="s">
        <v>87</v>
      </c>
      <c r="T30" s="32" t="s">
        <v>96</v>
      </c>
      <c r="U30" s="32" t="s">
        <v>97</v>
      </c>
      <c r="V30" s="32" t="s">
        <v>98</v>
      </c>
      <c r="W30" s="32" t="s">
        <v>73</v>
      </c>
      <c r="X30" s="32" t="s">
        <v>127</v>
      </c>
      <c r="Y30" s="32" t="s">
        <v>73</v>
      </c>
      <c r="Z30" s="32" t="s">
        <v>73</v>
      </c>
      <c r="AA30" s="32" t="s">
        <v>73</v>
      </c>
      <c r="AB30" s="32" t="s">
        <v>75</v>
      </c>
      <c r="AC30" s="32" t="s">
        <v>76</v>
      </c>
      <c r="AD30" s="32" t="s">
        <v>82</v>
      </c>
      <c r="AE30" s="32" t="s">
        <v>73</v>
      </c>
      <c r="AF30" s="32" t="s">
        <v>73</v>
      </c>
      <c r="AG30" s="32" t="s">
        <v>158</v>
      </c>
      <c r="AH30" t="str">
        <f>VLOOKUP($R30,武学奇术!$A:$ZZ,25,FALSE)</f>
        <v>剑</v>
      </c>
      <c r="AI30" s="21">
        <f>VLOOKUP($R30,武学奇术!$A:$ZZ,26,FALSE)</f>
        <v>2.52</v>
      </c>
      <c r="AJ30" s="22">
        <f>VLOOKUP($R30,武学奇术!$A:$ZZ,27,FALSE)*(1+IF(OR($AH30=$F$4,$AH30=$F$5),$B$22,0))</f>
        <v>0</v>
      </c>
      <c r="AK30" s="21">
        <f>VLOOKUP($R30,武学奇术!$A:$ZZ,28,FALSE)</f>
        <v>3.78</v>
      </c>
      <c r="AL30" s="22">
        <f>VLOOKUP($R30,武学奇术!$A:$ZZ,29,FALSE)*(1+IF(OR($AH30=$F$4,$AH30=$F$5),$B$22,0))</f>
        <v>0</v>
      </c>
      <c r="AM30" s="21" cm="1">
        <f t="array" ref="AM30">$G$3+IFERROR(VLOOKUP($AH30,$F$4:$G$7,2,FALSE),0)+VLOOKUP($R30,武学奇术!$A:$ZZ,2,FALSE)+SUM(_xlfn.XLOOKUP($S30:$AG30,增益!$A:$A,增益!$B:$B,0))</f>
        <v>1.4691</v>
      </c>
      <c r="AN30" s="21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1831.48</v>
      </c>
      <c r="AP30" cm="1">
        <f t="array" ref="AP30">$E$10*(1+$AN30)+VLOOKUP($R30,武学奇术!$A:$ZZ,4,FALSE)+SUM(_xlfn.XLOOKUP($S30:$AG30,增益!$A:$A,增益!$D:$D,0))-$I$2</f>
        <v>7763.56</v>
      </c>
      <c r="AQ30" s="26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0.369</v>
      </c>
      <c r="AR30" s="26" cm="1">
        <f t="array" ref="AR30">$G$10+VLOOKUP($R30,武学奇术!$A:$ZZ,7,FALSE)+SUM(_xlfn.XLOOKUP(S30:AG30,增益!$A:$A,增益!$G:$G,0))</f>
        <v>0</v>
      </c>
      <c r="AS30" s="21" cm="1">
        <f t="array" ref="AS30">VLOOKUP($R30,武学奇术!$A:$ZZ,8,FALSE)+SUM(_xlfn.XLOOKUP(S30:AG30,增益!$A:$A,增益!$H:$H,0))</f>
        <v>0</v>
      </c>
      <c r="AT30">
        <f t="shared" si="1"/>
        <v>680.02</v>
      </c>
      <c r="AU30">
        <f t="shared" si="2"/>
        <v>1288.54</v>
      </c>
      <c r="AV30" s="26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0.075</v>
      </c>
      <c r="AW30" s="26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26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26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26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26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26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26" cm="1">
        <f t="array" ref="BI30">$G$14+VLOOKUP($R30,武学奇术!$A:$ZZ,16,FALSE)+SUM(_xlfn.XLOOKUP(S30:AG30,增益!$A:$A,增益!$P:$P,0))</f>
        <v>0</v>
      </c>
      <c r="BJ30" s="21">
        <f>MIN(IF(VLOOKUP($R30,武学奇术!$A:$ZZ,23,FALSE)=1,100%,$B$8),100%)</f>
        <v>0.8229</v>
      </c>
      <c r="BK30" s="21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21" cm="1">
        <f t="array" ref="BL30">1+$B$13+VLOOKUP($R30,武学奇术!$A:$ZZ,18,FALSE)+SUM(_xlfn.XLOOKUP(S30:AG30,增益!$A:$A,增益!$R:$R,0))</f>
        <v>1.5</v>
      </c>
      <c r="BM30" s="21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21" cm="1">
        <f t="array" ref="BN30">1+$B$14+VLOOKUP($R30,武学奇术!$A:$ZZ,20,FALSE)+SUM(_xlfn.XLOOKUP(S30:AG30,增益!$A:$A,增益!$T:$T,0))</f>
        <v>1.742</v>
      </c>
      <c r="BO30" s="21">
        <f t="shared" si="12"/>
        <v>0</v>
      </c>
      <c r="BP30" s="21">
        <f t="shared" si="10"/>
        <v>0</v>
      </c>
      <c r="BQ30" s="21">
        <f>IF(VLOOKUP($R30,武学奇术!$A:$ZZ,22,FALSE)=1,0,(1-$BJ30))*(1-$BM30)</f>
        <v>0</v>
      </c>
      <c r="BR30" s="21" cm="1">
        <f t="array" ref="BR30">SUM(_xlfn.XLOOKUP(S30:AG30,增益!$A:$A,增益!$W:$W,0))+$I$5</f>
        <v>0.06</v>
      </c>
    </row>
    <row r="31" spans="1:70">
      <c r="A31" t="s">
        <v>165</v>
      </c>
      <c r="B31">
        <v>1</v>
      </c>
      <c r="D31" s="31" t="s">
        <v>166</v>
      </c>
      <c r="E31" s="80"/>
      <c r="F31" s="80"/>
      <c r="G31" s="80"/>
      <c r="K31" s="24">
        <f>$L31*VLOOKUP($R31,武学奇术!$A:$ZZ,31,FALSE)</f>
        <v>79147.2137418093</v>
      </c>
      <c r="L31" s="24">
        <f t="shared" si="0"/>
        <v>131912.022903016</v>
      </c>
      <c r="M31" s="2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109604.656397454</v>
      </c>
      <c r="N31" s="24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197425.43079006</v>
      </c>
      <c r="O31" s="2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73069.7709316357</v>
      </c>
      <c r="P31" s="24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32806.9179883808</v>
      </c>
      <c r="Q31" s="31">
        <v>1</v>
      </c>
      <c r="R31" s="32" t="s">
        <v>95</v>
      </c>
      <c r="S31" s="32" t="s">
        <v>87</v>
      </c>
      <c r="T31" s="32" t="s">
        <v>96</v>
      </c>
      <c r="U31" s="32" t="s">
        <v>97</v>
      </c>
      <c r="V31" s="32" t="s">
        <v>98</v>
      </c>
      <c r="W31" s="32" t="s">
        <v>73</v>
      </c>
      <c r="X31" s="32" t="s">
        <v>127</v>
      </c>
      <c r="Y31" s="32" t="s">
        <v>73</v>
      </c>
      <c r="Z31" s="32" t="s">
        <v>73</v>
      </c>
      <c r="AA31" s="32" t="s">
        <v>73</v>
      </c>
      <c r="AB31" s="32" t="s">
        <v>75</v>
      </c>
      <c r="AC31" s="32" t="s">
        <v>76</v>
      </c>
      <c r="AD31" s="32" t="s">
        <v>82</v>
      </c>
      <c r="AE31" s="32" t="s">
        <v>73</v>
      </c>
      <c r="AF31" s="32" t="s">
        <v>73</v>
      </c>
      <c r="AG31" s="32" t="s">
        <v>158</v>
      </c>
      <c r="AH31" t="str">
        <f>VLOOKUP($R31,武学奇术!$A:$ZZ,25,FALSE)</f>
        <v>剑</v>
      </c>
      <c r="AI31" s="21">
        <f>VLOOKUP($R31,武学奇术!$A:$ZZ,26,FALSE)</f>
        <v>2.52</v>
      </c>
      <c r="AJ31" s="22">
        <f>VLOOKUP($R31,武学奇术!$A:$ZZ,27,FALSE)*(1+IF(OR($AH31=$F$4,$AH31=$F$5),$B$22,0))</f>
        <v>0</v>
      </c>
      <c r="AK31" s="21">
        <f>VLOOKUP($R31,武学奇术!$A:$ZZ,28,FALSE)</f>
        <v>3.78</v>
      </c>
      <c r="AL31" s="22">
        <f>VLOOKUP($R31,武学奇术!$A:$ZZ,29,FALSE)*(1+IF(OR($AH31=$F$4,$AH31=$F$5),$B$22,0))</f>
        <v>0</v>
      </c>
      <c r="AM31" s="21" cm="1">
        <f t="array" ref="AM31">$G$3+IFERROR(VLOOKUP($AH31,$F$4:$G$7,2,FALSE),0)+VLOOKUP($R31,武学奇术!$A:$ZZ,2,FALSE)+SUM(_xlfn.XLOOKUP($S31:$AG31,增益!$A:$A,增益!$B:$B,0))</f>
        <v>1.4691</v>
      </c>
      <c r="AN31" s="21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1831.48</v>
      </c>
      <c r="AP31" cm="1">
        <f t="array" ref="AP31">$E$10*(1+$AN31)+VLOOKUP($R31,武学奇术!$A:$ZZ,4,FALSE)+SUM(_xlfn.XLOOKUP($S31:$AG31,增益!$A:$A,增益!$D:$D,0))-$I$2</f>
        <v>7763.56</v>
      </c>
      <c r="AQ31" s="26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0.369</v>
      </c>
      <c r="AR31" s="26" cm="1">
        <f t="array" ref="AR31">$G$10+VLOOKUP($R31,武学奇术!$A:$ZZ,7,FALSE)+SUM(_xlfn.XLOOKUP(S31:AG31,增益!$A:$A,增益!$G:$G,0))</f>
        <v>0</v>
      </c>
      <c r="AS31" s="21" cm="1">
        <f t="array" ref="AS31">VLOOKUP($R31,武学奇术!$A:$ZZ,8,FALSE)+SUM(_xlfn.XLOOKUP(S31:AG31,增益!$A:$A,增益!$H:$H,0))</f>
        <v>0</v>
      </c>
      <c r="AT31">
        <f t="shared" si="1"/>
        <v>680.02</v>
      </c>
      <c r="AU31">
        <f t="shared" si="2"/>
        <v>1288.54</v>
      </c>
      <c r="AV31" s="26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0.075</v>
      </c>
      <c r="AW31" s="26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26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26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26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26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26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26" cm="1">
        <f t="array" ref="BI31">$G$14+VLOOKUP($R31,武学奇术!$A:$ZZ,16,FALSE)+SUM(_xlfn.XLOOKUP(S31:AG31,增益!$A:$A,增益!$P:$P,0))</f>
        <v>0</v>
      </c>
      <c r="BJ31" s="21">
        <f>MIN(IF(VLOOKUP($R31,武学奇术!$A:$ZZ,23,FALSE)=1,100%,$B$8),100%)</f>
        <v>0.8229</v>
      </c>
      <c r="BK31" s="21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0.2285</v>
      </c>
      <c r="BL31" s="21" cm="1">
        <f t="array" ref="BL31">1+$B$13+VLOOKUP($R31,武学奇术!$A:$ZZ,18,FALSE)+SUM(_xlfn.XLOOKUP(S31:AG31,增益!$A:$A,增益!$R:$R,0))</f>
        <v>1.5</v>
      </c>
      <c r="BM31" s="21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0.4495</v>
      </c>
      <c r="BN31" s="21" cm="1">
        <f t="array" ref="BN31">1+$B$14+VLOOKUP($R31,武学奇术!$A:$ZZ,20,FALSE)+SUM(_xlfn.XLOOKUP(S31:AG31,增益!$A:$A,增益!$T:$T,0))</f>
        <v>1.742</v>
      </c>
      <c r="BO31" s="21">
        <f t="shared" si="12"/>
        <v>0.18803265</v>
      </c>
      <c r="BP31" s="21">
        <f t="shared" si="10"/>
        <v>0.2649738</v>
      </c>
      <c r="BQ31" s="21">
        <f>IF(VLOOKUP($R31,武学奇术!$A:$ZZ,22,FALSE)=1,0,(1-$BJ31))*(1-$BM31)</f>
        <v>0.09749355</v>
      </c>
      <c r="BR31" s="21" cm="1">
        <f t="array" ref="BR31">SUM(_xlfn.XLOOKUP(S31:AG31,增益!$A:$A,增益!$W:$W,0))+$I$5</f>
        <v>0.06</v>
      </c>
    </row>
    <row r="32" spans="1:70">
      <c r="A32" t="s">
        <v>167</v>
      </c>
      <c r="B32">
        <v>1</v>
      </c>
      <c r="D32" s="31"/>
      <c r="E32" s="80"/>
      <c r="F32" s="80"/>
      <c r="G32" s="80"/>
      <c r="K32" s="24">
        <f>$L32*VLOOKUP($R32,武学奇术!$A:$ZZ,31,FALSE)</f>
        <v>15129.4844111283</v>
      </c>
      <c r="L32" s="24">
        <f t="shared" si="0"/>
        <v>15129.4844111283</v>
      </c>
      <c r="M32" s="2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13506.0441134386</v>
      </c>
      <c r="N32" s="24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21825.759508103</v>
      </c>
      <c r="O32" s="2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9004.02940895905</v>
      </c>
      <c r="P32" s="24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4035.10138635408</v>
      </c>
      <c r="Q32" s="31">
        <v>1</v>
      </c>
      <c r="R32" s="32" t="s">
        <v>103</v>
      </c>
      <c r="S32" s="32" t="s">
        <v>87</v>
      </c>
      <c r="T32" s="32" t="s">
        <v>104</v>
      </c>
      <c r="U32" s="32" t="s">
        <v>73</v>
      </c>
      <c r="V32" s="32" t="s">
        <v>73</v>
      </c>
      <c r="W32" s="32" t="s">
        <v>73</v>
      </c>
      <c r="X32" s="32" t="s">
        <v>127</v>
      </c>
      <c r="Y32" s="32" t="s">
        <v>73</v>
      </c>
      <c r="Z32" s="32" t="s">
        <v>73</v>
      </c>
      <c r="AA32" s="32" t="s">
        <v>73</v>
      </c>
      <c r="AB32" s="32" t="s">
        <v>75</v>
      </c>
      <c r="AC32" s="32" t="s">
        <v>76</v>
      </c>
      <c r="AD32" s="32" t="s">
        <v>82</v>
      </c>
      <c r="AE32" s="32" t="s">
        <v>73</v>
      </c>
      <c r="AF32" s="32" t="s">
        <v>73</v>
      </c>
      <c r="AG32" s="32" t="s">
        <v>158</v>
      </c>
      <c r="AH32" t="str">
        <f>VLOOKUP($R32,武学奇术!$A:$ZZ,25,FALSE)</f>
        <v>剑</v>
      </c>
      <c r="AI32" s="21">
        <f>VLOOKUP($R32,武学奇术!$A:$ZZ,26,FALSE)</f>
        <v>0.625</v>
      </c>
      <c r="AJ32" s="22">
        <f>VLOOKUP($R32,武学奇术!$A:$ZZ,27,FALSE)*(1+IF(OR($AH32=$F$4,$AH32=$F$5),$B$22,0))</f>
        <v>0</v>
      </c>
      <c r="AK32" s="21">
        <f>VLOOKUP($R32,武学奇术!$A:$ZZ,28,FALSE)</f>
        <v>0.9375</v>
      </c>
      <c r="AL32" s="22">
        <f>VLOOKUP($R32,武学奇术!$A:$ZZ,29,FALSE)*(1+IF(OR($AH32=$F$4,$AH32=$F$5),$B$22,0))</f>
        <v>0</v>
      </c>
      <c r="AM32" s="21" cm="1">
        <f t="array" ref="AM32">$G$3+IFERROR(VLOOKUP($AH32,$F$4:$G$7,2,FALSE),0)+VLOOKUP($R32,武学奇术!$A:$ZZ,2,FALSE)+SUM(_xlfn.XLOOKUP($S32:$AG32,增益!$A:$A,增益!$B:$B,0))</f>
        <v>0.7191</v>
      </c>
      <c r="AN32" s="21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1831.48</v>
      </c>
      <c r="AP32" cm="1">
        <f t="array" ref="AP32">$E$10*(1+$AN32)+VLOOKUP($R32,武学奇术!$A:$ZZ,4,FALSE)+SUM(_xlfn.XLOOKUP($S32:$AG32,增益!$A:$A,增益!$D:$D,0))-$I$2</f>
        <v>7763.56</v>
      </c>
      <c r="AQ32" s="26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0.294</v>
      </c>
      <c r="AR32" s="26" cm="1">
        <f t="array" ref="AR32">$G$10+VLOOKUP($R32,武学奇术!$A:$ZZ,7,FALSE)+SUM(_xlfn.XLOOKUP(S32:AG32,增益!$A:$A,增益!$G:$G,0))</f>
        <v>0</v>
      </c>
      <c r="AS32" s="21" cm="1">
        <f t="array" ref="AS32">VLOOKUP($R32,武学奇术!$A:$ZZ,8,FALSE)+SUM(_xlfn.XLOOKUP(S32:AG32,增益!$A:$A,增益!$H:$H,0))</f>
        <v>0</v>
      </c>
      <c r="AT32">
        <f t="shared" si="1"/>
        <v>680.02</v>
      </c>
      <c r="AU32">
        <f t="shared" si="2"/>
        <v>1288.54</v>
      </c>
      <c r="AV32" s="26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26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26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26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26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26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26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26" cm="1">
        <f t="array" ref="BI32">$G$14+VLOOKUP($R32,武学奇术!$A:$ZZ,16,FALSE)+SUM(_xlfn.XLOOKUP(S32:AG32,增益!$A:$A,增益!$P:$P,0))</f>
        <v>0</v>
      </c>
      <c r="BJ32" s="21">
        <f>MIN(IF(VLOOKUP($R32,武学奇术!$A:$ZZ,23,FALSE)=1,100%,$B$8),100%)</f>
        <v>0.8229</v>
      </c>
      <c r="BK32" s="21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0.2285</v>
      </c>
      <c r="BL32" s="21" cm="1">
        <f t="array" ref="BL32">1+$B$13+VLOOKUP($R32,武学奇术!$A:$ZZ,18,FALSE)+SUM(_xlfn.XLOOKUP(S32:AG32,增益!$A:$A,增益!$R:$R,0))</f>
        <v>1.5</v>
      </c>
      <c r="BM32" s="21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0.4495</v>
      </c>
      <c r="BN32" s="21" cm="1">
        <f t="array" ref="BN32">1+$B$14+VLOOKUP($R32,武学奇术!$A:$ZZ,20,FALSE)+SUM(_xlfn.XLOOKUP(S32:AG32,增益!$A:$A,增益!$T:$T,0))</f>
        <v>1.562</v>
      </c>
      <c r="BO32" s="21">
        <f t="shared" si="12"/>
        <v>0.18803265</v>
      </c>
      <c r="BP32" s="21">
        <f t="shared" si="10"/>
        <v>0.2649738</v>
      </c>
      <c r="BQ32" s="21">
        <f>IF(VLOOKUP($R32,武学奇术!$A:$ZZ,22,FALSE)=1,0,(1-$BJ32))*(1-$BM32)</f>
        <v>0.09749355</v>
      </c>
      <c r="BR32" s="21" cm="1">
        <f t="array" ref="BR32">SUM(_xlfn.XLOOKUP(S32:AG32,增益!$A:$A,增益!$W:$W,0))+$I$5</f>
        <v>0.06</v>
      </c>
    </row>
    <row r="33" spans="1:70">
      <c r="A33" t="s">
        <v>168</v>
      </c>
      <c r="B33">
        <v>2.6</v>
      </c>
      <c r="D33" s="31"/>
      <c r="E33" s="80"/>
      <c r="F33" s="80"/>
      <c r="G33" s="80"/>
      <c r="K33" s="24">
        <f>$L33*VLOOKUP($R33,武学奇术!$A:$ZZ,31,FALSE)</f>
        <v>25963.1415211477</v>
      </c>
      <c r="L33" s="24">
        <f t="shared" si="0"/>
        <v>25963.1415211477</v>
      </c>
      <c r="M33" s="2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23574.4061251618</v>
      </c>
      <c r="N33" s="24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36908.9218828417</v>
      </c>
      <c r="O33" s="2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15716.2707501078</v>
      </c>
      <c r="P33" s="24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7953.58355947672</v>
      </c>
      <c r="Q33" s="31">
        <v>1</v>
      </c>
      <c r="R33" s="32" t="s">
        <v>108</v>
      </c>
      <c r="S33" s="32" t="s">
        <v>87</v>
      </c>
      <c r="T33" s="32" t="s">
        <v>104</v>
      </c>
      <c r="U33" s="32" t="s">
        <v>73</v>
      </c>
      <c r="V33" s="32" t="s">
        <v>73</v>
      </c>
      <c r="W33" s="32" t="s">
        <v>73</v>
      </c>
      <c r="X33" s="32" t="s">
        <v>127</v>
      </c>
      <c r="Y33" s="32" t="s">
        <v>73</v>
      </c>
      <c r="Z33" s="32" t="s">
        <v>73</v>
      </c>
      <c r="AA33" s="32" t="s">
        <v>73</v>
      </c>
      <c r="AB33" s="32" t="s">
        <v>75</v>
      </c>
      <c r="AC33" s="32" t="s">
        <v>76</v>
      </c>
      <c r="AD33" s="32" t="s">
        <v>82</v>
      </c>
      <c r="AE33" s="32" t="s">
        <v>73</v>
      </c>
      <c r="AF33" s="32" t="s">
        <v>73</v>
      </c>
      <c r="AG33" s="32" t="s">
        <v>169</v>
      </c>
      <c r="AH33" t="str">
        <f>VLOOKUP($R33,武学奇术!$A:$ZZ,25,FALSE)</f>
        <v>枪</v>
      </c>
      <c r="AI33" s="21">
        <f>VLOOKUP($R33,武学奇术!$A:$ZZ,26,FALSE)</f>
        <v>1.02732</v>
      </c>
      <c r="AJ33" s="22">
        <f>VLOOKUP($R33,武学奇术!$A:$ZZ,27,FALSE)*(1+IF(OR($AH33=$F$4,$AH33=$F$5),$B$22,0))</f>
        <v>426.6</v>
      </c>
      <c r="AK33" s="21">
        <f>VLOOKUP($R33,武学奇术!$A:$ZZ,28,FALSE)</f>
        <v>1.54096</v>
      </c>
      <c r="AL33" s="22">
        <f>VLOOKUP($R33,武学奇术!$A:$ZZ,29,FALSE)*(1+IF(OR($AH33=$F$4,$AH33=$F$5),$B$22,0))</f>
        <v>232.2</v>
      </c>
      <c r="AM33" s="21" cm="1">
        <f t="array" ref="AM33">$G$3+IFERROR(VLOOKUP($AH33,$F$4:$G$7,2,FALSE),0)+VLOOKUP($R33,武学奇术!$A:$ZZ,2,FALSE)+SUM(_xlfn.XLOOKUP($S33:$AG33,增益!$A:$A,增益!$B:$B,0))</f>
        <v>0.6339</v>
      </c>
      <c r="AN33" s="21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1831.48</v>
      </c>
      <c r="AP33" cm="1">
        <f t="array" ref="AP33">$E$10*(1+$AN33)+VLOOKUP($R33,武学奇术!$A:$ZZ,4,FALSE)+SUM(_xlfn.XLOOKUP($S33:$AG33,增益!$A:$A,增益!$D:$D,0))-$I$2</f>
        <v>7763.56</v>
      </c>
      <c r="AQ33" s="26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0.294</v>
      </c>
      <c r="AR33" s="26" cm="1">
        <f t="array" ref="AR33">$G$10+VLOOKUP($R33,武学奇术!$A:$ZZ,7,FALSE)+SUM(_xlfn.XLOOKUP(S33:AG33,增益!$A:$A,增益!$G:$G,0))</f>
        <v>0</v>
      </c>
      <c r="AS33" s="21" cm="1">
        <f t="array" ref="AS33">VLOOKUP($R33,武学奇术!$A:$ZZ,8,FALSE)+SUM(_xlfn.XLOOKUP(S33:AG33,增益!$A:$A,增益!$H:$H,0))</f>
        <v>0</v>
      </c>
      <c r="AT33">
        <f t="shared" si="1"/>
        <v>680.02</v>
      </c>
      <c r="AU33">
        <f t="shared" si="2"/>
        <v>1288.54</v>
      </c>
      <c r="AV33" s="26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26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26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26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26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26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26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26" cm="1">
        <f t="array" ref="BI33">$G$14+VLOOKUP($R33,武学奇术!$A:$ZZ,16,FALSE)+SUM(_xlfn.XLOOKUP(S33:AG33,增益!$A:$A,增益!$P:$P,0))</f>
        <v>0</v>
      </c>
      <c r="BJ33" s="21">
        <f>MIN(IF(VLOOKUP($R33,武学奇术!$A:$ZZ,23,FALSE)=1,100%,$B$8),100%)</f>
        <v>0.8229</v>
      </c>
      <c r="BK33" s="21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0.2285</v>
      </c>
      <c r="BL33" s="21" cm="1">
        <f t="array" ref="BL33">1+$B$13+VLOOKUP($R33,武学奇术!$A:$ZZ,18,FALSE)+SUM(_xlfn.XLOOKUP(S33:AG33,增益!$A:$A,增益!$R:$R,0))</f>
        <v>1.5</v>
      </c>
      <c r="BM33" s="21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0.4495</v>
      </c>
      <c r="BN33" s="21" cm="1">
        <f t="array" ref="BN33">1+$B$14+VLOOKUP($R33,武学奇术!$A:$ZZ,20,FALSE)+SUM(_xlfn.XLOOKUP(S33:AG33,增益!$A:$A,增益!$T:$T,0))</f>
        <v>1.572</v>
      </c>
      <c r="BO33" s="21">
        <f t="shared" si="12"/>
        <v>0.18803265</v>
      </c>
      <c r="BP33" s="21">
        <f t="shared" si="10"/>
        <v>0.2649738</v>
      </c>
      <c r="BQ33" s="21">
        <f>IF(VLOOKUP($R33,武学奇术!$A:$ZZ,22,FALSE)=1,0,(1-$BJ33))*(1-$BM33)</f>
        <v>0.09749355</v>
      </c>
      <c r="BR33" s="21" cm="1">
        <f t="array" ref="BR33">SUM(_xlfn.XLOOKUP(S33:AG33,增益!$A:$A,增益!$W:$W,0))+$I$5</f>
        <v>0.06</v>
      </c>
    </row>
    <row r="34" spans="1:70">
      <c r="A34" t="s">
        <v>168</v>
      </c>
      <c r="B34">
        <v>2.6</v>
      </c>
      <c r="D34" s="31"/>
      <c r="F34" s="80"/>
      <c r="G34" s="80"/>
      <c r="K34" s="24">
        <f>$L34*VLOOKUP($R34,武学奇术!$A:$ZZ,31,FALSE)</f>
        <v>79770.3330306091</v>
      </c>
      <c r="L34" s="24">
        <f t="shared" si="0"/>
        <v>132950.555051015</v>
      </c>
      <c r="M34" s="2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110158.867750072</v>
      </c>
      <c r="N34" s="24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199206.075888667</v>
      </c>
      <c r="O34" s="2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73439.2451667149</v>
      </c>
      <c r="P34" s="24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33176.39222346</v>
      </c>
      <c r="Q34" s="31">
        <v>1</v>
      </c>
      <c r="R34" s="32" t="s">
        <v>95</v>
      </c>
      <c r="S34" s="32" t="s">
        <v>87</v>
      </c>
      <c r="T34" s="32" t="s">
        <v>96</v>
      </c>
      <c r="U34" s="32" t="s">
        <v>97</v>
      </c>
      <c r="V34" s="32" t="s">
        <v>98</v>
      </c>
      <c r="W34" s="32" t="s">
        <v>111</v>
      </c>
      <c r="X34" s="32" t="s">
        <v>127</v>
      </c>
      <c r="Y34" s="32" t="s">
        <v>73</v>
      </c>
      <c r="Z34" s="32" t="s">
        <v>73</v>
      </c>
      <c r="AA34" s="32" t="s">
        <v>73</v>
      </c>
      <c r="AB34" s="32" t="s">
        <v>75</v>
      </c>
      <c r="AC34" s="32" t="s">
        <v>76</v>
      </c>
      <c r="AD34" s="32" t="s">
        <v>82</v>
      </c>
      <c r="AE34" s="32" t="s">
        <v>73</v>
      </c>
      <c r="AF34" s="32" t="s">
        <v>73</v>
      </c>
      <c r="AG34" s="32" t="s">
        <v>169</v>
      </c>
      <c r="AH34" t="str">
        <f>VLOOKUP($R34,武学奇术!$A:$ZZ,25,FALSE)</f>
        <v>剑</v>
      </c>
      <c r="AI34" s="21">
        <f>VLOOKUP($R34,武学奇术!$A:$ZZ,26,FALSE)</f>
        <v>2.52</v>
      </c>
      <c r="AJ34" s="22">
        <f>VLOOKUP($R34,武学奇术!$A:$ZZ,27,FALSE)*(1+IF(OR($AH34=$F$4,$AH34=$F$5),$B$22,0))</f>
        <v>0</v>
      </c>
      <c r="AK34" s="21">
        <f>VLOOKUP($R34,武学奇术!$A:$ZZ,28,FALSE)</f>
        <v>3.78</v>
      </c>
      <c r="AL34" s="22">
        <f>VLOOKUP($R34,武学奇术!$A:$ZZ,29,FALSE)*(1+IF(OR($AH34=$F$4,$AH34=$F$5),$B$22,0))</f>
        <v>0</v>
      </c>
      <c r="AM34" s="21" cm="1">
        <f t="array" ref="AM34">$G$3+IFERROR(VLOOKUP($AH34,$F$4:$G$7,2,FALSE),0)+VLOOKUP($R34,武学奇术!$A:$ZZ,2,FALSE)+SUM(_xlfn.XLOOKUP($S34:$AG34,增益!$A:$A,增益!$B:$B,0))</f>
        <v>1.4691</v>
      </c>
      <c r="AN34" s="21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1862.48</v>
      </c>
      <c r="AP34" cm="1">
        <f t="array" ref="AP34">$E$10*(1+$AN34)+VLOOKUP($R34,武学奇术!$A:$ZZ,4,FALSE)+SUM(_xlfn.XLOOKUP($S34:$AG34,增益!$A:$A,增益!$D:$D,0))-$I$2</f>
        <v>7794.56</v>
      </c>
      <c r="AQ34" s="26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0.369</v>
      </c>
      <c r="AR34" s="26" cm="1">
        <f t="array" ref="AR34">$G$10+VLOOKUP($R34,武学奇术!$A:$ZZ,7,FALSE)+SUM(_xlfn.XLOOKUP(S34:AG34,增益!$A:$A,增益!$G:$G,0))</f>
        <v>0</v>
      </c>
      <c r="AS34" s="21" cm="1">
        <f t="array" ref="AS34">VLOOKUP($R34,武学奇术!$A:$ZZ,8,FALSE)+SUM(_xlfn.XLOOKUP(S34:AG34,增益!$A:$A,增益!$H:$H,0))</f>
        <v>0</v>
      </c>
      <c r="AT34">
        <f t="shared" si="1"/>
        <v>680.02</v>
      </c>
      <c r="AU34">
        <f t="shared" si="2"/>
        <v>1288.54</v>
      </c>
      <c r="AV34" s="26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0.075</v>
      </c>
      <c r="AW34" s="26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26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26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26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26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26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26" cm="1">
        <f t="array" ref="BI34">$G$14+VLOOKUP($R34,武学奇术!$A:$ZZ,16,FALSE)+SUM(_xlfn.XLOOKUP(S34:AG34,增益!$A:$A,增益!$P:$P,0))</f>
        <v>0</v>
      </c>
      <c r="BJ34" s="21">
        <f>MIN(IF(VLOOKUP($R34,武学奇术!$A:$ZZ,23,FALSE)=1,100%,$B$8),100%)</f>
        <v>0.8229</v>
      </c>
      <c r="BK34" s="21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0.2285</v>
      </c>
      <c r="BL34" s="21" cm="1">
        <f t="array" ref="BL34">1+$B$13+VLOOKUP($R34,武学奇术!$A:$ZZ,18,FALSE)+SUM(_xlfn.XLOOKUP(S34:AG34,增益!$A:$A,增益!$R:$R,0))</f>
        <v>1.5</v>
      </c>
      <c r="BM34" s="21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0.4495</v>
      </c>
      <c r="BN34" s="21" cm="1">
        <f t="array" ref="BN34">1+$B$14+VLOOKUP($R34,武学奇术!$A:$ZZ,20,FALSE)+SUM(_xlfn.XLOOKUP(S34:AG34,增益!$A:$A,增益!$T:$T,0))</f>
        <v>1.752</v>
      </c>
      <c r="BO34" s="21">
        <f t="shared" si="12"/>
        <v>0.18803265</v>
      </c>
      <c r="BP34" s="21">
        <f t="shared" si="10"/>
        <v>0.2649738</v>
      </c>
      <c r="BQ34" s="21">
        <f>IF(VLOOKUP($R34,武学奇术!$A:$ZZ,22,FALSE)=1,0,(1-$BJ34))*(1-$BM34)</f>
        <v>0.09749355</v>
      </c>
      <c r="BR34" s="21" cm="1">
        <f t="array" ref="BR34">SUM(_xlfn.XLOOKUP(S34:AG34,增益!$A:$A,增益!$W:$W,0))+$I$5</f>
        <v>0.06</v>
      </c>
    </row>
    <row r="35" spans="1:70">
      <c r="A35" t="s">
        <v>170</v>
      </c>
      <c r="B35">
        <v>3.3</v>
      </c>
      <c r="D35" s="31"/>
      <c r="F35" s="80"/>
      <c r="G35" s="80"/>
      <c r="K35" s="24">
        <f>$L35*VLOOKUP($R35,武学奇术!$A:$ZZ,31,FALSE)</f>
        <v>54251.701066416</v>
      </c>
      <c r="L35" s="24">
        <f t="shared" ref="L35:L60" si="13">($M35*$BO35+$N35*$BM35+$O35*$BP35+$P35*$BQ35)</f>
        <v>54251.701066416</v>
      </c>
      <c r="M35" s="2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49293.7687796305</v>
      </c>
      <c r="N35" s="24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77080.8805251108</v>
      </c>
      <c r="O35" s="2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32862.5125197537</v>
      </c>
      <c r="P35" s="24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16691.3860286226</v>
      </c>
      <c r="Q35" s="31">
        <v>1</v>
      </c>
      <c r="R35" s="32" t="s">
        <v>80</v>
      </c>
      <c r="S35" s="32" t="s">
        <v>87</v>
      </c>
      <c r="T35" s="32" t="s">
        <v>104</v>
      </c>
      <c r="U35" s="32" t="s">
        <v>73</v>
      </c>
      <c r="V35" s="32" t="s">
        <v>73</v>
      </c>
      <c r="W35" s="32" t="s">
        <v>111</v>
      </c>
      <c r="X35" s="32" t="s">
        <v>127</v>
      </c>
      <c r="Y35" s="32" t="s">
        <v>73</v>
      </c>
      <c r="Z35" s="32" t="s">
        <v>73</v>
      </c>
      <c r="AA35" s="32" t="s">
        <v>73</v>
      </c>
      <c r="AB35" s="32" t="s">
        <v>75</v>
      </c>
      <c r="AC35" s="32" t="s">
        <v>76</v>
      </c>
      <c r="AD35" s="32" t="s">
        <v>82</v>
      </c>
      <c r="AE35" s="32" t="s">
        <v>73</v>
      </c>
      <c r="AF35" s="32" t="s">
        <v>73</v>
      </c>
      <c r="AG35" s="32" t="s">
        <v>169</v>
      </c>
      <c r="AH35" t="str">
        <f>VLOOKUP($R35,武学奇术!$A:$ZZ,25,FALSE)</f>
        <v>枪</v>
      </c>
      <c r="AI35" s="21">
        <f>VLOOKUP($R35,武学奇术!$A:$ZZ,26,FALSE)</f>
        <v>2.1401</v>
      </c>
      <c r="AJ35" s="22">
        <f>VLOOKUP($R35,武学奇术!$A:$ZZ,27,FALSE)*(1+IF(OR($AH35=$F$4,$AH35=$F$5),$B$22,0))</f>
        <v>882</v>
      </c>
      <c r="AK35" s="21">
        <f>VLOOKUP($R35,武学奇术!$A:$ZZ,28,FALSE)</f>
        <v>3.2101</v>
      </c>
      <c r="AL35" s="22">
        <f>VLOOKUP($R35,武学奇术!$A:$ZZ,29,FALSE)*(1+IF(OR($AH35=$F$4,$AH35=$F$5),$B$22,0))</f>
        <v>480</v>
      </c>
      <c r="AM35" s="21" cm="1">
        <f t="array" ref="AM35">$G$3+IFERROR(VLOOKUP($AH35,$F$4:$G$7,2,FALSE),0)+VLOOKUP($R35,武学奇术!$A:$ZZ,2,FALSE)+SUM(_xlfn.XLOOKUP($S35:$AG35,增益!$A:$A,增益!$B:$B,0))</f>
        <v>0.6339</v>
      </c>
      <c r="AN35" s="21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1862.48</v>
      </c>
      <c r="AP35" cm="1">
        <f t="array" ref="AP35">$E$10*(1+$AN35)+VLOOKUP($R35,武学奇术!$A:$ZZ,4,FALSE)+SUM(_xlfn.XLOOKUP($S35:$AG35,增益!$A:$A,增益!$D:$D,0))-$I$2</f>
        <v>7794.56</v>
      </c>
      <c r="AQ35" s="26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0.294</v>
      </c>
      <c r="AR35" s="26" cm="1">
        <f t="array" ref="AR35">$G$10+VLOOKUP($R35,武学奇术!$A:$ZZ,7,FALSE)+SUM(_xlfn.XLOOKUP(S35:AG35,增益!$A:$A,增益!$G:$G,0))</f>
        <v>0</v>
      </c>
      <c r="AS35" s="21" cm="1">
        <f t="array" ref="AS35">VLOOKUP($R35,武学奇术!$A:$ZZ,8,FALSE)+SUM(_xlfn.XLOOKUP(S35:AG35,增益!$A:$A,增益!$H:$H,0))</f>
        <v>0</v>
      </c>
      <c r="AT35">
        <f t="shared" si="1"/>
        <v>680.02</v>
      </c>
      <c r="AU35">
        <f t="shared" si="2"/>
        <v>1288.54</v>
      </c>
      <c r="AV35" s="26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</v>
      </c>
      <c r="AW35" s="26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26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26" cm="1">
        <f t="array" ref="BA35">$G$12+VLOOKUP($R35,武学奇术!$A:$ZZ,12,FALSE)+SUM(_xlfn.XLOOKUP(S35:AG35,增益!$A:$A,增益!$L:$L,0))</f>
        <v>0</v>
      </c>
      <c r="BB35">
        <f t="shared" ref="BB35:BB60" si="14">$D$13*(1+$AS35)</f>
        <v>0</v>
      </c>
      <c r="BC35">
        <f t="shared" ref="BC35:BC60" si="15">$E$13*(1+$AS35)</f>
        <v>0</v>
      </c>
      <c r="BD35" s="26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26" cm="1">
        <f t="array" ref="BE35">$G$13+VLOOKUP($R35,武学奇术!$A:$ZZ,14,FALSE)+SUM(_xlfn.XLOOKUP(S35:AG35,增益!$A:$A,增益!$N:$N,0))</f>
        <v>0</v>
      </c>
      <c r="BF35">
        <f t="shared" ref="BF35:BF60" si="16">$D$14*(1+$AS35)</f>
        <v>0</v>
      </c>
      <c r="BG35">
        <f t="shared" ref="BG35:BG60" si="17">$E$14*(1+$AS35)</f>
        <v>0</v>
      </c>
      <c r="BH35" s="26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26" cm="1">
        <f t="array" ref="BI35">$G$14+VLOOKUP($R35,武学奇术!$A:$ZZ,16,FALSE)+SUM(_xlfn.XLOOKUP(S35:AG35,增益!$A:$A,增益!$P:$P,0))</f>
        <v>0</v>
      </c>
      <c r="BJ35" s="21">
        <f>MIN(IF(VLOOKUP($R35,武学奇术!$A:$ZZ,23,FALSE)=1,100%,$B$8),100%)</f>
        <v>0.8229</v>
      </c>
      <c r="BK35" s="21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0.2285</v>
      </c>
      <c r="BL35" s="21" cm="1">
        <f t="array" ref="BL35">1+$B$13+VLOOKUP($R35,武学奇术!$A:$ZZ,18,FALSE)+SUM(_xlfn.XLOOKUP(S35:AG35,增益!$A:$A,增益!$R:$R,0))</f>
        <v>1.5</v>
      </c>
      <c r="BM35" s="21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0.4495</v>
      </c>
      <c r="BN35" s="21" cm="1">
        <f t="array" ref="BN35">1+$B$14+VLOOKUP($R35,武学奇术!$A:$ZZ,20,FALSE)+SUM(_xlfn.XLOOKUP(S35:AG35,增益!$A:$A,增益!$T:$T,0))</f>
        <v>1.572</v>
      </c>
      <c r="BO35" s="21">
        <f t="shared" si="12"/>
        <v>0.18803265</v>
      </c>
      <c r="BP35" s="21">
        <f t="shared" ref="BP35:BP66" si="18">1-BM35-BO35-BQ35</f>
        <v>0.2649738</v>
      </c>
      <c r="BQ35" s="21">
        <f>IF(VLOOKUP($R35,武学奇术!$A:$ZZ,22,FALSE)=1,0,(1-$BJ35))*(1-$BM35)</f>
        <v>0.09749355</v>
      </c>
      <c r="BR35" s="21" cm="1">
        <f t="array" ref="BR35">SUM(_xlfn.XLOOKUP(S35:AG35,增益!$A:$A,增益!$W:$W,0))+$I$5</f>
        <v>0.06</v>
      </c>
    </row>
    <row r="36" spans="1:70">
      <c r="A36" t="s">
        <v>171</v>
      </c>
      <c r="B36">
        <v>0.2</v>
      </c>
      <c r="G36" s="80"/>
      <c r="K36" s="24">
        <f>$L36*VLOOKUP($R36,武学奇术!$A:$ZZ,31,FALSE)</f>
        <v>31566.6261277026</v>
      </c>
      <c r="L36" s="24">
        <f t="shared" si="13"/>
        <v>31566.6261277026</v>
      </c>
      <c r="M36" s="2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28569.1137951401</v>
      </c>
      <c r="N36" s="24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44948.3192048678</v>
      </c>
      <c r="O36" s="2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19046.0758634267</v>
      </c>
      <c r="P36" s="24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9679.8134178346</v>
      </c>
      <c r="Q36" s="31">
        <v>1</v>
      </c>
      <c r="R36" s="32" t="s">
        <v>86</v>
      </c>
      <c r="S36" s="32" t="s">
        <v>87</v>
      </c>
      <c r="T36" s="32" t="s">
        <v>104</v>
      </c>
      <c r="U36" s="32" t="s">
        <v>73</v>
      </c>
      <c r="V36" s="32" t="s">
        <v>73</v>
      </c>
      <c r="W36" s="32" t="s">
        <v>111</v>
      </c>
      <c r="X36" s="32" t="s">
        <v>127</v>
      </c>
      <c r="Y36" s="32" t="s">
        <v>73</v>
      </c>
      <c r="Z36" s="32" t="s">
        <v>73</v>
      </c>
      <c r="AA36" s="32" t="s">
        <v>81</v>
      </c>
      <c r="AB36" s="32" t="s">
        <v>75</v>
      </c>
      <c r="AC36" s="32" t="s">
        <v>76</v>
      </c>
      <c r="AD36" s="32" t="s">
        <v>82</v>
      </c>
      <c r="AE36" s="32" t="s">
        <v>73</v>
      </c>
      <c r="AF36" s="32" t="s">
        <v>73</v>
      </c>
      <c r="AG36" s="32" t="s">
        <v>172</v>
      </c>
      <c r="AH36" t="str">
        <f>VLOOKUP($R36,武学奇术!$A:$ZZ,25,FALSE)</f>
        <v>剑</v>
      </c>
      <c r="AI36" s="21">
        <f>VLOOKUP($R36,武学奇术!$A:$ZZ,26,FALSE)</f>
        <v>1.1781</v>
      </c>
      <c r="AJ36" s="22">
        <f>VLOOKUP($R36,武学奇术!$A:$ZZ,27,FALSE)*(1+IF(OR($AH36=$F$4,$AH36=$F$5),$B$22,0))</f>
        <v>489</v>
      </c>
      <c r="AK36" s="21">
        <f>VLOOKUP($R36,武学奇术!$A:$ZZ,28,FALSE)</f>
        <v>1.7672</v>
      </c>
      <c r="AL36" s="22">
        <f>VLOOKUP($R36,武学奇术!$A:$ZZ,29,FALSE)*(1+IF(OR($AH36=$F$4,$AH36=$F$5),$B$22,0))</f>
        <v>265.5</v>
      </c>
      <c r="AM36" s="21" cm="1">
        <f t="array" ref="AM36">$G$3+IFERROR(VLOOKUP($AH36,$F$4:$G$7,2,FALSE),0)+VLOOKUP($R36,武学奇术!$A:$ZZ,2,FALSE)+SUM(_xlfn.XLOOKUP($S36:$AG36,增益!$A:$A,增益!$B:$B,0))</f>
        <v>0.7191</v>
      </c>
      <c r="AN36" s="21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1862.48</v>
      </c>
      <c r="AP36" cm="1">
        <f t="array" ref="AP36">$E$10*(1+$AN36)+VLOOKUP($R36,武学奇术!$A:$ZZ,4,FALSE)+SUM(_xlfn.XLOOKUP($S36:$AG36,增益!$A:$A,增益!$D:$D,0))-$I$2</f>
        <v>7794.56</v>
      </c>
      <c r="AQ36" s="26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0.294</v>
      </c>
      <c r="AR36" s="26" cm="1">
        <f t="array" ref="AR36">$G$10+VLOOKUP($R36,武学奇术!$A:$ZZ,7,FALSE)+SUM(_xlfn.XLOOKUP(S36:AG36,增益!$A:$A,增益!$G:$G,0))</f>
        <v>0</v>
      </c>
      <c r="AS36" s="21" cm="1">
        <f t="array" ref="AS36">VLOOKUP($R36,武学奇术!$A:$ZZ,8,FALSE)+SUM(_xlfn.XLOOKUP(S36:AG36,增益!$A:$A,增益!$H:$H,0))</f>
        <v>0</v>
      </c>
      <c r="AT36">
        <f t="shared" si="1"/>
        <v>680.02</v>
      </c>
      <c r="AU36">
        <f t="shared" si="2"/>
        <v>1288.54</v>
      </c>
      <c r="AV36" s="26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26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26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26" cm="1">
        <f t="array" ref="BA36">$G$12+VLOOKUP($R36,武学奇术!$A:$ZZ,12,FALSE)+SUM(_xlfn.XLOOKUP(S36:AG36,增益!$A:$A,增益!$L:$L,0))</f>
        <v>0</v>
      </c>
      <c r="BB36">
        <f t="shared" si="14"/>
        <v>0</v>
      </c>
      <c r="BC36">
        <f t="shared" si="15"/>
        <v>0</v>
      </c>
      <c r="BD36" s="26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26" cm="1">
        <f t="array" ref="BE36">$G$13+VLOOKUP($R36,武学奇术!$A:$ZZ,14,FALSE)+SUM(_xlfn.XLOOKUP(S36:AG36,增益!$A:$A,增益!$N:$N,0))</f>
        <v>0</v>
      </c>
      <c r="BF36">
        <f t="shared" si="16"/>
        <v>0</v>
      </c>
      <c r="BG36">
        <f t="shared" si="17"/>
        <v>0</v>
      </c>
      <c r="BH36" s="26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26" cm="1">
        <f t="array" ref="BI36">$G$14+VLOOKUP($R36,武学奇术!$A:$ZZ,16,FALSE)+SUM(_xlfn.XLOOKUP(S36:AG36,增益!$A:$A,增益!$P:$P,0))</f>
        <v>0</v>
      </c>
      <c r="BJ36" s="21">
        <f>MIN(IF(VLOOKUP($R36,武学奇术!$A:$ZZ,23,FALSE)=1,100%,$B$8),100%)</f>
        <v>0.8229</v>
      </c>
      <c r="BK36" s="21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0.2285</v>
      </c>
      <c r="BL36" s="21" cm="1">
        <f t="array" ref="BL36">1+$B$13+VLOOKUP($R36,武学奇术!$A:$ZZ,18,FALSE)+SUM(_xlfn.XLOOKUP(S36:AG36,增益!$A:$A,增益!$R:$R,0))</f>
        <v>1.5</v>
      </c>
      <c r="BM36" s="21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0.4495</v>
      </c>
      <c r="BN36" s="21" cm="1">
        <f t="array" ref="BN36">1+$B$14+VLOOKUP($R36,武学奇术!$A:$ZZ,20,FALSE)+SUM(_xlfn.XLOOKUP(S36:AG36,增益!$A:$A,增益!$T:$T,0))</f>
        <v>1.582</v>
      </c>
      <c r="BO36" s="21">
        <f t="shared" si="12"/>
        <v>0.18803265</v>
      </c>
      <c r="BP36" s="21">
        <f t="shared" si="18"/>
        <v>0.2649738</v>
      </c>
      <c r="BQ36" s="21">
        <f>IF(VLOOKUP($R36,武学奇术!$A:$ZZ,22,FALSE)=1,0,(1-$BJ36))*(1-$BM36)</f>
        <v>0.09749355</v>
      </c>
      <c r="BR36" s="21" cm="1">
        <f t="array" ref="BR36">SUM(_xlfn.XLOOKUP(S36:AG36,增益!$A:$A,增益!$W:$W,0))+$I$5</f>
        <v>0.06</v>
      </c>
    </row>
    <row r="37" spans="1:70">
      <c r="A37" t="s">
        <v>162</v>
      </c>
      <c r="B37">
        <v>1.7</v>
      </c>
      <c r="K37" s="24">
        <f>$L37*VLOOKUP($R37,武学奇术!$A:$ZZ,31,FALSE)</f>
        <v>80076.9875892117</v>
      </c>
      <c r="L37" s="24">
        <f t="shared" si="13"/>
        <v>133461.64598202</v>
      </c>
      <c r="M37" s="2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110158.867750072</v>
      </c>
      <c r="N37" s="24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200343.096869767</v>
      </c>
      <c r="O37" s="2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73439.2451667149</v>
      </c>
      <c r="P37" s="24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33176.39222346</v>
      </c>
      <c r="Q37" s="31">
        <v>1</v>
      </c>
      <c r="R37" s="32" t="s">
        <v>95</v>
      </c>
      <c r="S37" s="32" t="s">
        <v>87</v>
      </c>
      <c r="T37" s="32" t="s">
        <v>96</v>
      </c>
      <c r="U37" s="32" t="s">
        <v>97</v>
      </c>
      <c r="V37" s="32" t="s">
        <v>98</v>
      </c>
      <c r="W37" s="32" t="s">
        <v>111</v>
      </c>
      <c r="X37" s="32" t="s">
        <v>127</v>
      </c>
      <c r="Y37" s="32" t="s">
        <v>73</v>
      </c>
      <c r="Z37" s="32" t="s">
        <v>73</v>
      </c>
      <c r="AA37" s="32" t="s">
        <v>81</v>
      </c>
      <c r="AB37" s="32" t="s">
        <v>75</v>
      </c>
      <c r="AC37" s="32" t="s">
        <v>76</v>
      </c>
      <c r="AD37" s="32" t="s">
        <v>82</v>
      </c>
      <c r="AE37" s="32" t="s">
        <v>73</v>
      </c>
      <c r="AF37" s="32" t="s">
        <v>73</v>
      </c>
      <c r="AG37" s="32" t="s">
        <v>172</v>
      </c>
      <c r="AH37" t="str">
        <f>VLOOKUP($R37,武学奇术!$A:$ZZ,25,FALSE)</f>
        <v>剑</v>
      </c>
      <c r="AI37" s="21">
        <f>VLOOKUP($R37,武学奇术!$A:$ZZ,26,FALSE)</f>
        <v>2.52</v>
      </c>
      <c r="AJ37" s="22">
        <f>VLOOKUP($R37,武学奇术!$A:$ZZ,27,FALSE)*(1+IF(OR($AH37=$F$4,$AH37=$F$5),$B$22,0))</f>
        <v>0</v>
      </c>
      <c r="AK37" s="21">
        <f>VLOOKUP($R37,武学奇术!$A:$ZZ,28,FALSE)</f>
        <v>3.78</v>
      </c>
      <c r="AL37" s="22">
        <f>VLOOKUP($R37,武学奇术!$A:$ZZ,29,FALSE)*(1+IF(OR($AH37=$F$4,$AH37=$F$5),$B$22,0))</f>
        <v>0</v>
      </c>
      <c r="AM37" s="21" cm="1">
        <f t="array" ref="AM37">$G$3+IFERROR(VLOOKUP($AH37,$F$4:$G$7,2,FALSE),0)+VLOOKUP($R37,武学奇术!$A:$ZZ,2,FALSE)+SUM(_xlfn.XLOOKUP($S37:$AG37,增益!$A:$A,增益!$B:$B,0))</f>
        <v>1.4691</v>
      </c>
      <c r="AN37" s="21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1862.48</v>
      </c>
      <c r="AP37" cm="1">
        <f t="array" ref="AP37">$E$10*(1+$AN37)+VLOOKUP($R37,武学奇术!$A:$ZZ,4,FALSE)+SUM(_xlfn.XLOOKUP($S37:$AG37,增益!$A:$A,增益!$D:$D,0))-$I$2</f>
        <v>7794.56</v>
      </c>
      <c r="AQ37" s="26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0.369</v>
      </c>
      <c r="AR37" s="26" cm="1">
        <f t="array" ref="AR37">$G$10+VLOOKUP($R37,武学奇术!$A:$ZZ,7,FALSE)+SUM(_xlfn.XLOOKUP(S37:AG37,增益!$A:$A,增益!$G:$G,0))</f>
        <v>0</v>
      </c>
      <c r="AS37" s="21" cm="1">
        <f t="array" ref="AS37">VLOOKUP($R37,武学奇术!$A:$ZZ,8,FALSE)+SUM(_xlfn.XLOOKUP(S37:AG37,增益!$A:$A,增益!$H:$H,0))</f>
        <v>0</v>
      </c>
      <c r="AT37">
        <f t="shared" si="1"/>
        <v>680.02</v>
      </c>
      <c r="AU37">
        <f t="shared" si="2"/>
        <v>1288.54</v>
      </c>
      <c r="AV37" s="26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0.075</v>
      </c>
      <c r="AW37" s="26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26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26" cm="1">
        <f t="array" ref="BA37">$G$12+VLOOKUP($R37,武学奇术!$A:$ZZ,12,FALSE)+SUM(_xlfn.XLOOKUP(S37:AG37,增益!$A:$A,增益!$L:$L,0))</f>
        <v>0</v>
      </c>
      <c r="BB37">
        <f t="shared" si="14"/>
        <v>0</v>
      </c>
      <c r="BC37">
        <f t="shared" si="15"/>
        <v>0</v>
      </c>
      <c r="BD37" s="26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26" cm="1">
        <f t="array" ref="BE37">$G$13+VLOOKUP($R37,武学奇术!$A:$ZZ,14,FALSE)+SUM(_xlfn.XLOOKUP(S37:AG37,增益!$A:$A,增益!$N:$N,0))</f>
        <v>0</v>
      </c>
      <c r="BF37">
        <f t="shared" si="16"/>
        <v>0</v>
      </c>
      <c r="BG37">
        <f t="shared" si="17"/>
        <v>0</v>
      </c>
      <c r="BH37" s="26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26" cm="1">
        <f t="array" ref="BI37">$G$14+VLOOKUP($R37,武学奇术!$A:$ZZ,16,FALSE)+SUM(_xlfn.XLOOKUP(S37:AG37,增益!$A:$A,增益!$P:$P,0))</f>
        <v>0</v>
      </c>
      <c r="BJ37" s="21">
        <f>MIN(IF(VLOOKUP($R37,武学奇术!$A:$ZZ,23,FALSE)=1,100%,$B$8),100%)</f>
        <v>0.8229</v>
      </c>
      <c r="BK37" s="21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0.2285</v>
      </c>
      <c r="BL37" s="21" cm="1">
        <f t="array" ref="BL37">1+$B$13+VLOOKUP($R37,武学奇术!$A:$ZZ,18,FALSE)+SUM(_xlfn.XLOOKUP(S37:AG37,增益!$A:$A,增益!$R:$R,0))</f>
        <v>1.5</v>
      </c>
      <c r="BM37" s="21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0.4495</v>
      </c>
      <c r="BN37" s="21" cm="1">
        <f t="array" ref="BN37">1+$B$14+VLOOKUP($R37,武学奇术!$A:$ZZ,20,FALSE)+SUM(_xlfn.XLOOKUP(S37:AG37,增益!$A:$A,增益!$T:$T,0))</f>
        <v>1.762</v>
      </c>
      <c r="BO37" s="21">
        <f t="shared" si="12"/>
        <v>0.18803265</v>
      </c>
      <c r="BP37" s="21">
        <f t="shared" si="18"/>
        <v>0.2649738</v>
      </c>
      <c r="BQ37" s="21">
        <f>IF(VLOOKUP($R37,武学奇术!$A:$ZZ,22,FALSE)=1,0,(1-$BJ37))*(1-$BM37)</f>
        <v>0.09749355</v>
      </c>
      <c r="BR37" s="21" cm="1">
        <f t="array" ref="BR37">SUM(_xlfn.XLOOKUP(S37:AG37,增益!$A:$A,增益!$W:$W,0))+$I$5</f>
        <v>0.06</v>
      </c>
    </row>
    <row r="38" spans="1:70">
      <c r="A38" t="s">
        <v>165</v>
      </c>
      <c r="B38">
        <v>1</v>
      </c>
      <c r="D38" s="31" t="s">
        <v>166</v>
      </c>
      <c r="K38" s="24">
        <f>$L38*VLOOKUP($R38,武学奇术!$A:$ZZ,31,FALSE)</f>
        <v>120205.85812186</v>
      </c>
      <c r="L38" s="24">
        <f t="shared" si="13"/>
        <v>200343.096869767</v>
      </c>
      <c r="M38" s="2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110158.867750072</v>
      </c>
      <c r="N38" s="24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200343.096869767</v>
      </c>
      <c r="O38" s="2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73439.2451667149</v>
      </c>
      <c r="P38" s="24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33176.39222346</v>
      </c>
      <c r="Q38" s="31">
        <v>1</v>
      </c>
      <c r="R38" s="32" t="s">
        <v>120</v>
      </c>
      <c r="S38" s="32" t="s">
        <v>87</v>
      </c>
      <c r="T38" s="32" t="s">
        <v>96</v>
      </c>
      <c r="U38" s="32" t="s">
        <v>97</v>
      </c>
      <c r="V38" s="32" t="s">
        <v>98</v>
      </c>
      <c r="W38" s="32" t="s">
        <v>111</v>
      </c>
      <c r="X38" s="32" t="s">
        <v>127</v>
      </c>
      <c r="Y38" s="32" t="s">
        <v>73</v>
      </c>
      <c r="Z38" s="32" t="s">
        <v>73</v>
      </c>
      <c r="AA38" s="32" t="s">
        <v>81</v>
      </c>
      <c r="AB38" s="32" t="s">
        <v>75</v>
      </c>
      <c r="AC38" s="32" t="s">
        <v>76</v>
      </c>
      <c r="AD38" s="32" t="s">
        <v>82</v>
      </c>
      <c r="AE38" s="32" t="s">
        <v>73</v>
      </c>
      <c r="AF38" s="32" t="s">
        <v>73</v>
      </c>
      <c r="AG38" s="32" t="s">
        <v>172</v>
      </c>
      <c r="AH38" t="str">
        <f>VLOOKUP($R38,武学奇术!$A:$ZZ,25,FALSE)</f>
        <v>剑</v>
      </c>
      <c r="AI38" s="21">
        <f>VLOOKUP($R38,武学奇术!$A:$ZZ,26,FALSE)</f>
        <v>2.52</v>
      </c>
      <c r="AJ38" s="22">
        <f>VLOOKUP($R38,武学奇术!$A:$ZZ,27,FALSE)*(1+IF(OR($AH38=$F$4,$AH38=$F$5),$B$22,0))</f>
        <v>0</v>
      </c>
      <c r="AK38" s="21">
        <f>VLOOKUP($R38,武学奇术!$A:$ZZ,28,FALSE)</f>
        <v>3.78</v>
      </c>
      <c r="AL38" s="22">
        <f>VLOOKUP($R38,武学奇术!$A:$ZZ,29,FALSE)*(1+IF(OR($AH38=$F$4,$AH38=$F$5),$B$22,0))</f>
        <v>0</v>
      </c>
      <c r="AM38" s="21" cm="1">
        <f t="array" ref="AM38">$G$3+IFERROR(VLOOKUP($AH38,$F$4:$G$7,2,FALSE),0)+VLOOKUP($R38,武学奇术!$A:$ZZ,2,FALSE)+SUM(_xlfn.XLOOKUP($S38:$AG38,增益!$A:$A,增益!$B:$B,0))</f>
        <v>1.4691</v>
      </c>
      <c r="AN38" s="21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1862.48</v>
      </c>
      <c r="AP38" cm="1">
        <f t="array" ref="AP38">$E$10*(1+$AN38)+VLOOKUP($R38,武学奇术!$A:$ZZ,4,FALSE)+SUM(_xlfn.XLOOKUP($S38:$AG38,增益!$A:$A,增益!$D:$D,0))-$I$2</f>
        <v>7794.56</v>
      </c>
      <c r="AQ38" s="26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0.369</v>
      </c>
      <c r="AR38" s="26" cm="1">
        <f t="array" ref="AR38">$G$10+VLOOKUP($R38,武学奇术!$A:$ZZ,7,FALSE)+SUM(_xlfn.XLOOKUP(S38:AG38,增益!$A:$A,增益!$G:$G,0))</f>
        <v>0</v>
      </c>
      <c r="AS38" s="21" cm="1">
        <f t="array" ref="AS38">VLOOKUP($R38,武学奇术!$A:$ZZ,8,FALSE)+SUM(_xlfn.XLOOKUP(S38:AG38,增益!$A:$A,增益!$H:$H,0))</f>
        <v>0</v>
      </c>
      <c r="AT38">
        <f t="shared" si="1"/>
        <v>680.02</v>
      </c>
      <c r="AU38">
        <f t="shared" si="2"/>
        <v>1288.54</v>
      </c>
      <c r="AV38" s="26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0.075</v>
      </c>
      <c r="AW38" s="26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26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26" cm="1">
        <f t="array" ref="BA38">$G$12+VLOOKUP($R38,武学奇术!$A:$ZZ,12,FALSE)+SUM(_xlfn.XLOOKUP(S38:AG38,增益!$A:$A,增益!$L:$L,0))</f>
        <v>0</v>
      </c>
      <c r="BB38">
        <f t="shared" si="14"/>
        <v>0</v>
      </c>
      <c r="BC38">
        <f t="shared" si="15"/>
        <v>0</v>
      </c>
      <c r="BD38" s="26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26" cm="1">
        <f t="array" ref="BE38">$G$13+VLOOKUP($R38,武学奇术!$A:$ZZ,14,FALSE)+SUM(_xlfn.XLOOKUP(S38:AG38,增益!$A:$A,增益!$N:$N,0))</f>
        <v>0</v>
      </c>
      <c r="BF38">
        <f t="shared" si="16"/>
        <v>0</v>
      </c>
      <c r="BG38">
        <f t="shared" si="17"/>
        <v>0</v>
      </c>
      <c r="BH38" s="26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26" cm="1">
        <f t="array" ref="BI38">$G$14+VLOOKUP($R38,武学奇术!$A:$ZZ,16,FALSE)+SUM(_xlfn.XLOOKUP(S38:AG38,增益!$A:$A,增益!$P:$P,0))</f>
        <v>0</v>
      </c>
      <c r="BJ38" s="21">
        <f>MIN(IF(VLOOKUP($R38,武学奇术!$A:$ZZ,23,FALSE)=1,100%,$B$8),100%)</f>
        <v>0.8229</v>
      </c>
      <c r="BK38" s="21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</v>
      </c>
      <c r="BL38" s="21" cm="1">
        <f t="array" ref="BL38">1+$B$13+VLOOKUP($R38,武学奇术!$A:$ZZ,18,FALSE)+SUM(_xlfn.XLOOKUP(S38:AG38,增益!$A:$A,增益!$R:$R,0))</f>
        <v>1.5</v>
      </c>
      <c r="BM38" s="21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1</v>
      </c>
      <c r="BN38" s="21" cm="1">
        <f t="array" ref="BN38">1+$B$14+VLOOKUP($R38,武学奇术!$A:$ZZ,20,FALSE)+SUM(_xlfn.XLOOKUP(S38:AG38,增益!$A:$A,增益!$T:$T,0))</f>
        <v>1.762</v>
      </c>
      <c r="BO38" s="21">
        <f t="shared" si="12"/>
        <v>0</v>
      </c>
      <c r="BP38" s="21">
        <f t="shared" si="18"/>
        <v>0</v>
      </c>
      <c r="BQ38" s="21">
        <f>IF(VLOOKUP($R38,武学奇术!$A:$ZZ,22,FALSE)=1,0,(1-$BJ38))*(1-$BM38)</f>
        <v>0</v>
      </c>
      <c r="BR38" s="21" cm="1">
        <f t="array" ref="BR38">SUM(_xlfn.XLOOKUP(S38:AG38,增益!$A:$A,增益!$W:$W,0))+$I$5</f>
        <v>0.06</v>
      </c>
    </row>
    <row r="39" spans="1:70">
      <c r="A39" t="s">
        <v>160</v>
      </c>
      <c r="B39">
        <v>2.2</v>
      </c>
      <c r="D39" s="31"/>
      <c r="K39" s="24">
        <f>$L39*VLOOKUP($R39,武学奇术!$A:$ZZ,31,FALSE)</f>
        <v>15317.0343767389</v>
      </c>
      <c r="L39" s="24">
        <f t="shared" si="13"/>
        <v>15317.0343767389</v>
      </c>
      <c r="M39" s="2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13574.5730909798</v>
      </c>
      <c r="N39" s="24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22177.4938850478</v>
      </c>
      <c r="O39" s="2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9049.71539398655</v>
      </c>
      <c r="P39" s="24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4080.78737138158</v>
      </c>
      <c r="Q39" s="31">
        <v>1</v>
      </c>
      <c r="R39" s="32" t="s">
        <v>103</v>
      </c>
      <c r="S39" s="32" t="s">
        <v>87</v>
      </c>
      <c r="T39" s="32" t="s">
        <v>104</v>
      </c>
      <c r="U39" s="32" t="s">
        <v>73</v>
      </c>
      <c r="V39" s="32" t="s">
        <v>73</v>
      </c>
      <c r="W39" s="32" t="s">
        <v>111</v>
      </c>
      <c r="X39" s="32" t="s">
        <v>127</v>
      </c>
      <c r="Y39" s="32" t="s">
        <v>73</v>
      </c>
      <c r="Z39" s="32" t="s">
        <v>73</v>
      </c>
      <c r="AA39" s="32" t="s">
        <v>81</v>
      </c>
      <c r="AB39" s="32" t="s">
        <v>75</v>
      </c>
      <c r="AC39" s="32" t="s">
        <v>76</v>
      </c>
      <c r="AD39" s="32" t="s">
        <v>82</v>
      </c>
      <c r="AE39" s="32" t="s">
        <v>73</v>
      </c>
      <c r="AF39" s="32" t="s">
        <v>73</v>
      </c>
      <c r="AG39" s="32" t="s">
        <v>172</v>
      </c>
      <c r="AH39" t="str">
        <f>VLOOKUP($R39,武学奇术!$A:$ZZ,25,FALSE)</f>
        <v>剑</v>
      </c>
      <c r="AI39" s="21">
        <f>VLOOKUP($R39,武学奇术!$A:$ZZ,26,FALSE)</f>
        <v>0.625</v>
      </c>
      <c r="AJ39" s="22">
        <f>VLOOKUP($R39,武学奇术!$A:$ZZ,27,FALSE)*(1+IF(OR($AH39=$F$4,$AH39=$F$5),$B$22,0))</f>
        <v>0</v>
      </c>
      <c r="AK39" s="21">
        <f>VLOOKUP($R39,武学奇术!$A:$ZZ,28,FALSE)</f>
        <v>0.9375</v>
      </c>
      <c r="AL39" s="22">
        <f>VLOOKUP($R39,武学奇术!$A:$ZZ,29,FALSE)*(1+IF(OR($AH39=$F$4,$AH39=$F$5),$B$22,0))</f>
        <v>0</v>
      </c>
      <c r="AM39" s="21" cm="1">
        <f t="array" ref="AM39">$G$3+IFERROR(VLOOKUP($AH39,$F$4:$G$7,2,FALSE),0)+VLOOKUP($R39,武学奇术!$A:$ZZ,2,FALSE)+SUM(_xlfn.XLOOKUP($S39:$AG39,增益!$A:$A,增益!$B:$B,0))</f>
        <v>0.7191</v>
      </c>
      <c r="AN39" s="21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1862.48</v>
      </c>
      <c r="AP39" cm="1">
        <f t="array" ref="AP39">$E$10*(1+$AN39)+VLOOKUP($R39,武学奇术!$A:$ZZ,4,FALSE)+SUM(_xlfn.XLOOKUP($S39:$AG39,增益!$A:$A,增益!$D:$D,0))-$I$2</f>
        <v>7794.56</v>
      </c>
      <c r="AQ39" s="26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0.294</v>
      </c>
      <c r="AR39" s="26" cm="1">
        <f t="array" ref="AR39">$G$10+VLOOKUP($R39,武学奇术!$A:$ZZ,7,FALSE)+SUM(_xlfn.XLOOKUP(S39:AG39,增益!$A:$A,增益!$G:$G,0))</f>
        <v>0</v>
      </c>
      <c r="AS39" s="21" cm="1">
        <f t="array" ref="AS39">VLOOKUP($R39,武学奇术!$A:$ZZ,8,FALSE)+SUM(_xlfn.XLOOKUP(S39:AG39,增益!$A:$A,增益!$H:$H,0))</f>
        <v>0</v>
      </c>
      <c r="AT39">
        <f t="shared" si="1"/>
        <v>680.02</v>
      </c>
      <c r="AU39">
        <f t="shared" si="2"/>
        <v>1288.54</v>
      </c>
      <c r="AV39" s="26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26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26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26" cm="1">
        <f t="array" ref="BA39">$G$12+VLOOKUP($R39,武学奇术!$A:$ZZ,12,FALSE)+SUM(_xlfn.XLOOKUP(S39:AG39,增益!$A:$A,增益!$L:$L,0))</f>
        <v>0</v>
      </c>
      <c r="BB39">
        <f t="shared" si="14"/>
        <v>0</v>
      </c>
      <c r="BC39">
        <f t="shared" si="15"/>
        <v>0</v>
      </c>
      <c r="BD39" s="26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26" cm="1">
        <f t="array" ref="BE39">$G$13+VLOOKUP($R39,武学奇术!$A:$ZZ,14,FALSE)+SUM(_xlfn.XLOOKUP(S39:AG39,增益!$A:$A,增益!$N:$N,0))</f>
        <v>0</v>
      </c>
      <c r="BF39">
        <f t="shared" si="16"/>
        <v>0</v>
      </c>
      <c r="BG39">
        <f t="shared" si="17"/>
        <v>0</v>
      </c>
      <c r="BH39" s="26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26" cm="1">
        <f t="array" ref="BI39">$G$14+VLOOKUP($R39,武学奇术!$A:$ZZ,16,FALSE)+SUM(_xlfn.XLOOKUP(S39:AG39,增益!$A:$A,增益!$P:$P,0))</f>
        <v>0</v>
      </c>
      <c r="BJ39" s="21">
        <f>MIN(IF(VLOOKUP($R39,武学奇术!$A:$ZZ,23,FALSE)=1,100%,$B$8),100%)</f>
        <v>0.8229</v>
      </c>
      <c r="BK39" s="21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0.2285</v>
      </c>
      <c r="BL39" s="21" cm="1">
        <f t="array" ref="BL39">1+$B$13+VLOOKUP($R39,武学奇术!$A:$ZZ,18,FALSE)+SUM(_xlfn.XLOOKUP(S39:AG39,增益!$A:$A,增益!$R:$R,0))</f>
        <v>1.5</v>
      </c>
      <c r="BM39" s="21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0.4495</v>
      </c>
      <c r="BN39" s="21" cm="1">
        <f t="array" ref="BN39">1+$B$14+VLOOKUP($R39,武学奇术!$A:$ZZ,20,FALSE)+SUM(_xlfn.XLOOKUP(S39:AG39,增益!$A:$A,增益!$T:$T,0))</f>
        <v>1.582</v>
      </c>
      <c r="BO39" s="21">
        <f t="shared" si="12"/>
        <v>0.18803265</v>
      </c>
      <c r="BP39" s="21">
        <f t="shared" si="18"/>
        <v>0.2649738</v>
      </c>
      <c r="BQ39" s="21">
        <f>IF(VLOOKUP($R39,武学奇术!$A:$ZZ,22,FALSE)=1,0,(1-$BJ39))*(1-$BM39)</f>
        <v>0.09749355</v>
      </c>
      <c r="BR39" s="21" cm="1">
        <f t="array" ref="BR39">SUM(_xlfn.XLOOKUP(S39:AG39,增益!$A:$A,增益!$W:$W,0))+$I$5</f>
        <v>0.06</v>
      </c>
    </row>
    <row r="40" spans="1:70">
      <c r="A40" t="s">
        <v>173</v>
      </c>
      <c r="B40">
        <v>2</v>
      </c>
      <c r="D40" s="31"/>
      <c r="K40" s="24">
        <f>$L40*VLOOKUP($R40,武学奇术!$A:$ZZ,31,FALSE)</f>
        <v>73171.9591939296</v>
      </c>
      <c r="L40" s="24">
        <f t="shared" si="13"/>
        <v>73171.9591939296</v>
      </c>
      <c r="M40" s="2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65953.4243544497</v>
      </c>
      <c r="N40" s="24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104431.385291183</v>
      </c>
      <c r="O40" s="2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43968.9495696331</v>
      </c>
      <c r="P40" s="24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22340.2953131462</v>
      </c>
      <c r="Q40" s="31">
        <v>1</v>
      </c>
      <c r="R40" s="32" t="s">
        <v>174</v>
      </c>
      <c r="S40" s="32" t="s">
        <v>87</v>
      </c>
      <c r="T40" s="32" t="s">
        <v>104</v>
      </c>
      <c r="U40" s="32" t="s">
        <v>73</v>
      </c>
      <c r="V40" s="32" t="s">
        <v>73</v>
      </c>
      <c r="W40" s="32" t="s">
        <v>111</v>
      </c>
      <c r="X40" s="32" t="s">
        <v>127</v>
      </c>
      <c r="Y40" s="32" t="s">
        <v>73</v>
      </c>
      <c r="Z40" s="32" t="s">
        <v>73</v>
      </c>
      <c r="AA40" s="32" t="s">
        <v>81</v>
      </c>
      <c r="AB40" s="32" t="s">
        <v>75</v>
      </c>
      <c r="AC40" s="32" t="s">
        <v>89</v>
      </c>
      <c r="AD40" s="32" t="s">
        <v>82</v>
      </c>
      <c r="AE40" s="32" t="s">
        <v>73</v>
      </c>
      <c r="AF40" s="32" t="s">
        <v>73</v>
      </c>
      <c r="AG40" s="32" t="s">
        <v>175</v>
      </c>
      <c r="AH40" t="str">
        <f>VLOOKUP($R40,武学奇术!$A:$ZZ,25,FALSE)</f>
        <v>剑</v>
      </c>
      <c r="AI40" s="21">
        <f>VLOOKUP($R40,武学奇术!$A:$ZZ,26,FALSE)</f>
        <v>2.7205</v>
      </c>
      <c r="AJ40" s="22">
        <f>VLOOKUP($R40,武学奇术!$A:$ZZ,27,FALSE)*(1+IF(OR($AH40=$F$4,$AH40=$F$5),$B$22,0))</f>
        <v>1123.5</v>
      </c>
      <c r="AK40" s="21">
        <f>VLOOKUP($R40,武学奇术!$A:$ZZ,28,FALSE)</f>
        <v>4.0806</v>
      </c>
      <c r="AL40" s="22">
        <f>VLOOKUP($R40,武学奇术!$A:$ZZ,29,FALSE)*(1+IF(OR($AH40=$F$4,$AH40=$F$5),$B$22,0))</f>
        <v>613.5</v>
      </c>
      <c r="AM40" s="21" cm="1">
        <f t="array" ref="AM40">$G$3+IFERROR(VLOOKUP($AH40,$F$4:$G$7,2,FALSE),0)+VLOOKUP($R40,武学奇术!$A:$ZZ,2,FALSE)+SUM(_xlfn.XLOOKUP($S40:$AG40,增益!$A:$A,增益!$B:$B,0))</f>
        <v>0.7191</v>
      </c>
      <c r="AN40" s="21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1862.48</v>
      </c>
      <c r="AP40" cm="1">
        <f t="array" ref="AP40">$E$10*(1+$AN40)+VLOOKUP($R40,武学奇术!$A:$ZZ,4,FALSE)+SUM(_xlfn.XLOOKUP($S40:$AG40,增益!$A:$A,增益!$D:$D,0))-$I$2</f>
        <v>7794.56</v>
      </c>
      <c r="AQ40" s="26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0.294</v>
      </c>
      <c r="AR40" s="26" cm="1">
        <f t="array" ref="AR40">$G$10+VLOOKUP($R40,武学奇术!$A:$ZZ,7,FALSE)+SUM(_xlfn.XLOOKUP(S40:AG40,增益!$A:$A,增益!$G:$G,0))</f>
        <v>0</v>
      </c>
      <c r="AS40" s="21" cm="1">
        <f t="array" ref="AS40">VLOOKUP($R40,武学奇术!$A:$ZZ,8,FALSE)+SUM(_xlfn.XLOOKUP(S40:AG40,增益!$A:$A,增益!$H:$H,0))</f>
        <v>0</v>
      </c>
      <c r="AT40">
        <f t="shared" si="1"/>
        <v>680.02</v>
      </c>
      <c r="AU40">
        <f t="shared" si="2"/>
        <v>1288.54</v>
      </c>
      <c r="AV40" s="26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26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26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26" cm="1">
        <f t="array" ref="BA40">$G$12+VLOOKUP($R40,武学奇术!$A:$ZZ,12,FALSE)+SUM(_xlfn.XLOOKUP(S40:AG40,增益!$A:$A,增益!$L:$L,0))</f>
        <v>0</v>
      </c>
      <c r="BB40">
        <f t="shared" si="14"/>
        <v>0</v>
      </c>
      <c r="BC40">
        <f t="shared" si="15"/>
        <v>0</v>
      </c>
      <c r="BD40" s="26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26" cm="1">
        <f t="array" ref="BE40">$G$13+VLOOKUP($R40,武学奇术!$A:$ZZ,14,FALSE)+SUM(_xlfn.XLOOKUP(S40:AG40,增益!$A:$A,增益!$N:$N,0))</f>
        <v>0</v>
      </c>
      <c r="BF40">
        <f t="shared" si="16"/>
        <v>0</v>
      </c>
      <c r="BG40">
        <f t="shared" si="17"/>
        <v>0</v>
      </c>
      <c r="BH40" s="26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26" cm="1">
        <f t="array" ref="BI40">$G$14+VLOOKUP($R40,武学奇术!$A:$ZZ,16,FALSE)+SUM(_xlfn.XLOOKUP(S40:AG40,增益!$A:$A,增益!$P:$P,0))</f>
        <v>0</v>
      </c>
      <c r="BJ40" s="21">
        <f>MIN(IF(VLOOKUP($R40,武学奇术!$A:$ZZ,23,FALSE)=1,100%,$B$8),100%)</f>
        <v>0.8229</v>
      </c>
      <c r="BK40" s="21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0.2285</v>
      </c>
      <c r="BL40" s="21" cm="1">
        <f t="array" ref="BL40">1+$B$13+VLOOKUP($R40,武学奇术!$A:$ZZ,18,FALSE)+SUM(_xlfn.XLOOKUP(S40:AG40,增益!$A:$A,增益!$R:$R,0))</f>
        <v>1.5</v>
      </c>
      <c r="BM40" s="21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0.4495</v>
      </c>
      <c r="BN40" s="21" cm="1">
        <f t="array" ref="BN40">1+$B$14+VLOOKUP($R40,武学奇术!$A:$ZZ,20,FALSE)+SUM(_xlfn.XLOOKUP(S40:AG40,增益!$A:$A,增益!$T:$T,0))</f>
        <v>1.592</v>
      </c>
      <c r="BO40" s="21">
        <f t="shared" si="12"/>
        <v>0.18803265</v>
      </c>
      <c r="BP40" s="21">
        <f t="shared" si="18"/>
        <v>0.2649738</v>
      </c>
      <c r="BQ40" s="21">
        <f>IF(VLOOKUP($R40,武学奇术!$A:$ZZ,22,FALSE)=1,0,(1-$BJ40))*(1-$BM40)</f>
        <v>0.09749355</v>
      </c>
      <c r="BR40" s="21" cm="1">
        <f t="array" ref="BR40">SUM(_xlfn.XLOOKUP(S40:AG40,增益!$A:$A,增益!$W:$W,0))+$I$5</f>
        <v>0.06</v>
      </c>
    </row>
    <row r="41" spans="1:70">
      <c r="A41" t="s">
        <v>162</v>
      </c>
      <c r="B41">
        <v>1.7</v>
      </c>
      <c r="D41" s="31"/>
      <c r="G41" s="80" t="s">
        <v>161</v>
      </c>
      <c r="K41" s="24">
        <f>$L41*VLOOKUP($R41,武学奇术!$A:$ZZ,31,FALSE)</f>
        <v>120888.07071052</v>
      </c>
      <c r="L41" s="24">
        <f t="shared" si="13"/>
        <v>201480.117850867</v>
      </c>
      <c r="M41" s="2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110158.867750072</v>
      </c>
      <c r="N41" s="24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201480.117850867</v>
      </c>
      <c r="O41" s="2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73439.2451667149</v>
      </c>
      <c r="P41" s="24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33176.39222346</v>
      </c>
      <c r="Q41" s="31">
        <v>1</v>
      </c>
      <c r="R41" s="32" t="s">
        <v>120</v>
      </c>
      <c r="S41" s="32" t="s">
        <v>87</v>
      </c>
      <c r="T41" s="32" t="s">
        <v>96</v>
      </c>
      <c r="U41" s="32" t="s">
        <v>97</v>
      </c>
      <c r="V41" s="32" t="s">
        <v>98</v>
      </c>
      <c r="W41" s="32" t="s">
        <v>111</v>
      </c>
      <c r="X41" s="32" t="s">
        <v>127</v>
      </c>
      <c r="Y41" s="32" t="s">
        <v>73</v>
      </c>
      <c r="Z41" s="32" t="s">
        <v>73</v>
      </c>
      <c r="AA41" s="32" t="s">
        <v>81</v>
      </c>
      <c r="AB41" s="32" t="s">
        <v>75</v>
      </c>
      <c r="AC41" s="32" t="s">
        <v>89</v>
      </c>
      <c r="AD41" s="32" t="s">
        <v>82</v>
      </c>
      <c r="AE41" s="32" t="s">
        <v>73</v>
      </c>
      <c r="AF41" s="32" t="s">
        <v>73</v>
      </c>
      <c r="AG41" s="32" t="s">
        <v>175</v>
      </c>
      <c r="AH41" t="str">
        <f>VLOOKUP($R41,武学奇术!$A:$ZZ,25,FALSE)</f>
        <v>剑</v>
      </c>
      <c r="AI41" s="21">
        <f>VLOOKUP($R41,武学奇术!$A:$ZZ,26,FALSE)</f>
        <v>2.52</v>
      </c>
      <c r="AJ41" s="22">
        <f>VLOOKUP($R41,武学奇术!$A:$ZZ,27,FALSE)*(1+IF(OR($AH41=$F$4,$AH41=$F$5),$B$22,0))</f>
        <v>0</v>
      </c>
      <c r="AK41" s="21">
        <f>VLOOKUP($R41,武学奇术!$A:$ZZ,28,FALSE)</f>
        <v>3.78</v>
      </c>
      <c r="AL41" s="22">
        <f>VLOOKUP($R41,武学奇术!$A:$ZZ,29,FALSE)*(1+IF(OR($AH41=$F$4,$AH41=$F$5),$B$22,0))</f>
        <v>0</v>
      </c>
      <c r="AM41" s="21" cm="1">
        <f t="array" ref="AM41">$G$3+IFERROR(VLOOKUP($AH41,$F$4:$G$7,2,FALSE),0)+VLOOKUP($R41,武学奇术!$A:$ZZ,2,FALSE)+SUM(_xlfn.XLOOKUP($S41:$AG41,增益!$A:$A,增益!$B:$B,0))</f>
        <v>1.4691</v>
      </c>
      <c r="AN41" s="21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1862.48</v>
      </c>
      <c r="AP41" cm="1">
        <f t="array" ref="AP41">$E$10*(1+$AN41)+VLOOKUP($R41,武学奇术!$A:$ZZ,4,FALSE)+SUM(_xlfn.XLOOKUP($S41:$AG41,增益!$A:$A,增益!$D:$D,0))-$I$2</f>
        <v>7794.56</v>
      </c>
      <c r="AQ41" s="26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0.369</v>
      </c>
      <c r="AR41" s="26" cm="1">
        <f t="array" ref="AR41">$G$10+VLOOKUP($R41,武学奇术!$A:$ZZ,7,FALSE)+SUM(_xlfn.XLOOKUP(S41:AG41,增益!$A:$A,增益!$G:$G,0))</f>
        <v>0</v>
      </c>
      <c r="AS41" s="21" cm="1">
        <f t="array" ref="AS41">VLOOKUP($R41,武学奇术!$A:$ZZ,8,FALSE)+SUM(_xlfn.XLOOKUP(S41:AG41,增益!$A:$A,增益!$H:$H,0))</f>
        <v>0</v>
      </c>
      <c r="AT41">
        <f t="shared" si="1"/>
        <v>680.02</v>
      </c>
      <c r="AU41">
        <f t="shared" si="2"/>
        <v>1288.54</v>
      </c>
      <c r="AV41" s="26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0.075</v>
      </c>
      <c r="AW41" s="26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26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26" cm="1">
        <f t="array" ref="BA41">$G$12+VLOOKUP($R41,武学奇术!$A:$ZZ,12,FALSE)+SUM(_xlfn.XLOOKUP(S41:AG41,增益!$A:$A,增益!$L:$L,0))</f>
        <v>0</v>
      </c>
      <c r="BB41">
        <f t="shared" si="14"/>
        <v>0</v>
      </c>
      <c r="BC41">
        <f t="shared" si="15"/>
        <v>0</v>
      </c>
      <c r="BD41" s="26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26" cm="1">
        <f t="array" ref="BE41">$G$13+VLOOKUP($R41,武学奇术!$A:$ZZ,14,FALSE)+SUM(_xlfn.XLOOKUP(S41:AG41,增益!$A:$A,增益!$N:$N,0))</f>
        <v>0</v>
      </c>
      <c r="BF41">
        <f t="shared" si="16"/>
        <v>0</v>
      </c>
      <c r="BG41">
        <f t="shared" si="17"/>
        <v>0</v>
      </c>
      <c r="BH41" s="26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26" cm="1">
        <f t="array" ref="BI41">$G$14+VLOOKUP($R41,武学奇术!$A:$ZZ,16,FALSE)+SUM(_xlfn.XLOOKUP(S41:AG41,增益!$A:$A,增益!$P:$P,0))</f>
        <v>0</v>
      </c>
      <c r="BJ41" s="21">
        <f>MIN(IF(VLOOKUP($R41,武学奇术!$A:$ZZ,23,FALSE)=1,100%,$B$8),100%)</f>
        <v>0.8229</v>
      </c>
      <c r="BK41" s="21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21" cm="1">
        <f t="array" ref="BL41">1+$B$13+VLOOKUP($R41,武学奇术!$A:$ZZ,18,FALSE)+SUM(_xlfn.XLOOKUP(S41:AG41,增益!$A:$A,增益!$R:$R,0))</f>
        <v>1.5</v>
      </c>
      <c r="BM41" s="21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21" cm="1">
        <f t="array" ref="BN41">1+$B$14+VLOOKUP($R41,武学奇术!$A:$ZZ,20,FALSE)+SUM(_xlfn.XLOOKUP(S41:AG41,增益!$A:$A,增益!$T:$T,0))</f>
        <v>1.772</v>
      </c>
      <c r="BO41" s="21">
        <f t="shared" si="12"/>
        <v>0</v>
      </c>
      <c r="BP41" s="21">
        <f t="shared" si="18"/>
        <v>0</v>
      </c>
      <c r="BQ41" s="21">
        <f>IF(VLOOKUP($R41,武学奇术!$A:$ZZ,22,FALSE)=1,0,(1-$BJ41))*(1-$BM41)</f>
        <v>0</v>
      </c>
      <c r="BR41" s="21" cm="1">
        <f t="array" ref="BR41">SUM(_xlfn.XLOOKUP(S41:AG41,增益!$A:$A,增益!$W:$W,0))+$I$5</f>
        <v>0.06</v>
      </c>
    </row>
    <row r="42" spans="1:70">
      <c r="A42" t="s">
        <v>176</v>
      </c>
      <c r="B42">
        <v>3</v>
      </c>
      <c r="D42" s="31"/>
      <c r="E42" s="80" t="s">
        <v>163</v>
      </c>
      <c r="G42" s="80"/>
      <c r="K42" s="24">
        <f>$L42*VLOOKUP($R42,武学奇术!$A:$ZZ,31,FALSE)</f>
        <v>19479.7538214631</v>
      </c>
      <c r="L42" s="24">
        <f t="shared" si="13"/>
        <v>19479.7538214631</v>
      </c>
      <c r="M42" s="2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17193.0112941114</v>
      </c>
      <c r="N42" s="24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28266.6811851033</v>
      </c>
      <c r="O42" s="2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11462.0075294076</v>
      </c>
      <c r="P42" s="24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5168.56205309705</v>
      </c>
      <c r="Q42" s="31">
        <v>1</v>
      </c>
      <c r="R42" s="32" t="s">
        <v>177</v>
      </c>
      <c r="S42" s="32" t="s">
        <v>87</v>
      </c>
      <c r="T42" s="32" t="s">
        <v>104</v>
      </c>
      <c r="U42" s="32" t="s">
        <v>73</v>
      </c>
      <c r="V42" s="32" t="s">
        <v>73</v>
      </c>
      <c r="W42" s="32" t="s">
        <v>111</v>
      </c>
      <c r="X42" s="32" t="s">
        <v>127</v>
      </c>
      <c r="Y42" s="32" t="s">
        <v>73</v>
      </c>
      <c r="Z42" s="32" t="s">
        <v>73</v>
      </c>
      <c r="AA42" s="32" t="s">
        <v>81</v>
      </c>
      <c r="AB42" s="32" t="s">
        <v>75</v>
      </c>
      <c r="AC42" s="32" t="s">
        <v>89</v>
      </c>
      <c r="AD42" s="32" t="s">
        <v>82</v>
      </c>
      <c r="AE42" s="32" t="s">
        <v>73</v>
      </c>
      <c r="AF42" s="32" t="s">
        <v>73</v>
      </c>
      <c r="AG42" s="32" t="s">
        <v>175</v>
      </c>
      <c r="AH42" t="str">
        <f>VLOOKUP($R42,武学奇术!$A:$ZZ,25,FALSE)</f>
        <v>剑</v>
      </c>
      <c r="AI42" s="21">
        <f>VLOOKUP($R42,武学奇术!$A:$ZZ,26,FALSE)</f>
        <v>0.7916</v>
      </c>
      <c r="AJ42" s="22">
        <f>VLOOKUP($R42,武学奇术!$A:$ZZ,27,FALSE)*(1+IF(OR($AH42=$F$4,$AH42=$F$5),$B$22,0))</f>
        <v>0</v>
      </c>
      <c r="AK42" s="21">
        <f>VLOOKUP($R42,武学奇术!$A:$ZZ,28,FALSE)</f>
        <v>1.1874</v>
      </c>
      <c r="AL42" s="22">
        <f>VLOOKUP($R42,武学奇术!$A:$ZZ,29,FALSE)*(1+IF(OR($AH42=$F$4,$AH42=$F$5),$B$22,0))</f>
        <v>0</v>
      </c>
      <c r="AM42" s="21" cm="1">
        <f t="array" ref="AM42">$G$3+IFERROR(VLOOKUP($AH42,$F$4:$G$7,2,FALSE),0)+VLOOKUP($R42,武学奇术!$A:$ZZ,2,FALSE)+SUM(_xlfn.XLOOKUP($S42:$AG42,增益!$A:$A,增益!$B:$B,0))</f>
        <v>0.7191</v>
      </c>
      <c r="AN42" s="21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1862.48</v>
      </c>
      <c r="AP42" cm="1">
        <f t="array" ref="AP42">$E$10*(1+$AN42)+VLOOKUP($R42,武学奇术!$A:$ZZ,4,FALSE)+SUM(_xlfn.XLOOKUP($S42:$AG42,增益!$A:$A,增益!$D:$D,0))-$I$2</f>
        <v>7794.56</v>
      </c>
      <c r="AQ42" s="26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0.294</v>
      </c>
      <c r="AR42" s="26" cm="1">
        <f t="array" ref="AR42">$G$10+VLOOKUP($R42,武学奇术!$A:$ZZ,7,FALSE)+SUM(_xlfn.XLOOKUP(S42:AG42,增益!$A:$A,增益!$G:$G,0))</f>
        <v>0</v>
      </c>
      <c r="AS42" s="21" cm="1">
        <f t="array" ref="AS42">VLOOKUP($R42,武学奇术!$A:$ZZ,8,FALSE)+SUM(_xlfn.XLOOKUP(S42:AG42,增益!$A:$A,增益!$H:$H,0))</f>
        <v>0</v>
      </c>
      <c r="AT42">
        <f t="shared" si="1"/>
        <v>680.02</v>
      </c>
      <c r="AU42">
        <f t="shared" si="2"/>
        <v>1288.54</v>
      </c>
      <c r="AV42" s="26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26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26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26" cm="1">
        <f t="array" ref="BA42">$G$12+VLOOKUP($R42,武学奇术!$A:$ZZ,12,FALSE)+SUM(_xlfn.XLOOKUP(S42:AG42,增益!$A:$A,增益!$L:$L,0))</f>
        <v>0</v>
      </c>
      <c r="BB42">
        <f t="shared" si="14"/>
        <v>0</v>
      </c>
      <c r="BC42">
        <f t="shared" si="15"/>
        <v>0</v>
      </c>
      <c r="BD42" s="26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26" cm="1">
        <f t="array" ref="BE42">$G$13+VLOOKUP($R42,武学奇术!$A:$ZZ,14,FALSE)+SUM(_xlfn.XLOOKUP(S42:AG42,增益!$A:$A,增益!$N:$N,0))</f>
        <v>0</v>
      </c>
      <c r="BF42">
        <f t="shared" si="16"/>
        <v>0</v>
      </c>
      <c r="BG42">
        <f t="shared" si="17"/>
        <v>0</v>
      </c>
      <c r="BH42" s="26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26" cm="1">
        <f t="array" ref="BI42">$G$14+VLOOKUP($R42,武学奇术!$A:$ZZ,16,FALSE)+SUM(_xlfn.XLOOKUP(S42:AG42,增益!$A:$A,增益!$P:$P,0))</f>
        <v>0</v>
      </c>
      <c r="BJ42" s="21">
        <f>MIN(IF(VLOOKUP($R42,武学奇术!$A:$ZZ,23,FALSE)=1,100%,$B$8),100%)</f>
        <v>0.8229</v>
      </c>
      <c r="BK42" s="21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0.2285</v>
      </c>
      <c r="BL42" s="21" cm="1">
        <f t="array" ref="BL42">1+$B$13+VLOOKUP($R42,武学奇术!$A:$ZZ,18,FALSE)+SUM(_xlfn.XLOOKUP(S42:AG42,增益!$A:$A,增益!$R:$R,0))</f>
        <v>1.5</v>
      </c>
      <c r="BM42" s="21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0.4495</v>
      </c>
      <c r="BN42" s="21" cm="1">
        <f t="array" ref="BN42">1+$B$14+VLOOKUP($R42,武学奇术!$A:$ZZ,20,FALSE)+SUM(_xlfn.XLOOKUP(S42:AG42,增益!$A:$A,增益!$T:$T,0))</f>
        <v>1.592</v>
      </c>
      <c r="BO42" s="21">
        <f t="shared" si="12"/>
        <v>0.18803265</v>
      </c>
      <c r="BP42" s="21">
        <f t="shared" si="18"/>
        <v>0.2649738</v>
      </c>
      <c r="BQ42" s="21">
        <f>IF(VLOOKUP($R42,武学奇术!$A:$ZZ,22,FALSE)=1,0,(1-$BJ42))*(1-$BM42)</f>
        <v>0.09749355</v>
      </c>
      <c r="BR42" s="21" cm="1">
        <f t="array" ref="BR42">SUM(_xlfn.XLOOKUP(S42:AG42,增益!$A:$A,增益!$W:$W,0))+$I$5</f>
        <v>0.06</v>
      </c>
    </row>
    <row r="43" spans="1:70">
      <c r="A43" t="s">
        <v>162</v>
      </c>
      <c r="B43">
        <v>1.7</v>
      </c>
      <c r="E43" s="80"/>
      <c r="G43" s="80"/>
      <c r="K43" s="24">
        <f>$L43*VLOOKUP($R43,武学奇术!$A:$ZZ,31,FALSE)</f>
        <v>31704.5374887003</v>
      </c>
      <c r="L43" s="24">
        <f t="shared" si="13"/>
        <v>31704.5374887003</v>
      </c>
      <c r="M43" s="2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28439.9394136339</v>
      </c>
      <c r="N43" s="24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45378.6077315996</v>
      </c>
      <c r="O43" s="2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18959.9596090893</v>
      </c>
      <c r="P43" s="24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9593.69716349716</v>
      </c>
      <c r="Q43" s="31">
        <v>1</v>
      </c>
      <c r="R43" s="32" t="s">
        <v>86</v>
      </c>
      <c r="S43" s="32" t="s">
        <v>87</v>
      </c>
      <c r="T43" s="32" t="s">
        <v>104</v>
      </c>
      <c r="U43" s="32" t="s">
        <v>73</v>
      </c>
      <c r="V43" s="32" t="s">
        <v>73</v>
      </c>
      <c r="W43" s="32" t="s">
        <v>73</v>
      </c>
      <c r="X43" s="32" t="s">
        <v>127</v>
      </c>
      <c r="Y43" s="32" t="s">
        <v>73</v>
      </c>
      <c r="Z43" s="32" t="s">
        <v>73</v>
      </c>
      <c r="AA43" s="32" t="s">
        <v>81</v>
      </c>
      <c r="AB43" s="32" t="s">
        <v>75</v>
      </c>
      <c r="AC43" s="32" t="s">
        <v>89</v>
      </c>
      <c r="AD43" s="32" t="s">
        <v>82</v>
      </c>
      <c r="AE43" s="32" t="s">
        <v>73</v>
      </c>
      <c r="AF43" s="32" t="s">
        <v>73</v>
      </c>
      <c r="AG43" s="32" t="s">
        <v>178</v>
      </c>
      <c r="AH43" t="str">
        <f>VLOOKUP($R43,武学奇术!$A:$ZZ,25,FALSE)</f>
        <v>剑</v>
      </c>
      <c r="AI43" s="21">
        <f>VLOOKUP($R43,武学奇术!$A:$ZZ,26,FALSE)</f>
        <v>1.1781</v>
      </c>
      <c r="AJ43" s="22">
        <f>VLOOKUP($R43,武学奇术!$A:$ZZ,27,FALSE)*(1+IF(OR($AH43=$F$4,$AH43=$F$5),$B$22,0))</f>
        <v>489</v>
      </c>
      <c r="AK43" s="21">
        <f>VLOOKUP($R43,武学奇术!$A:$ZZ,28,FALSE)</f>
        <v>1.7672</v>
      </c>
      <c r="AL43" s="22">
        <f>VLOOKUP($R43,武学奇术!$A:$ZZ,29,FALSE)*(1+IF(OR($AH43=$F$4,$AH43=$F$5),$B$22,0))</f>
        <v>265.5</v>
      </c>
      <c r="AM43" s="21" cm="1">
        <f t="array" ref="AM43">$G$3+IFERROR(VLOOKUP($AH43,$F$4:$G$7,2,FALSE),0)+VLOOKUP($R43,武学奇术!$A:$ZZ,2,FALSE)+SUM(_xlfn.XLOOKUP($S43:$AG43,增益!$A:$A,增益!$B:$B,0))</f>
        <v>0.7191</v>
      </c>
      <c r="AN43" s="21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1831.48</v>
      </c>
      <c r="AP43" cm="1">
        <f t="array" ref="AP43">$E$10*(1+$AN43)+VLOOKUP($R43,武学奇术!$A:$ZZ,4,FALSE)+SUM(_xlfn.XLOOKUP($S43:$AG43,增益!$A:$A,增益!$D:$D,0))-$I$2</f>
        <v>7763.56</v>
      </c>
      <c r="AQ43" s="26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0.294</v>
      </c>
      <c r="AR43" s="26" cm="1">
        <f t="array" ref="AR43">$G$10+VLOOKUP($R43,武学奇术!$A:$ZZ,7,FALSE)+SUM(_xlfn.XLOOKUP(S43:AG43,增益!$A:$A,增益!$G:$G,0))</f>
        <v>0</v>
      </c>
      <c r="AS43" s="21" cm="1">
        <f t="array" ref="AS43">VLOOKUP($R43,武学奇术!$A:$ZZ,8,FALSE)+SUM(_xlfn.XLOOKUP(S43:AG43,增益!$A:$A,增益!$H:$H,0))</f>
        <v>0</v>
      </c>
      <c r="AT43">
        <f t="shared" si="1"/>
        <v>680.02</v>
      </c>
      <c r="AU43">
        <f t="shared" si="2"/>
        <v>1288.54</v>
      </c>
      <c r="AV43" s="26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26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26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26" cm="1">
        <f t="array" ref="BA43">$G$12+VLOOKUP($R43,武学奇术!$A:$ZZ,12,FALSE)+SUM(_xlfn.XLOOKUP(S43:AG43,增益!$A:$A,增益!$L:$L,0))</f>
        <v>0</v>
      </c>
      <c r="BB43">
        <f t="shared" si="14"/>
        <v>0</v>
      </c>
      <c r="BC43">
        <f t="shared" si="15"/>
        <v>0</v>
      </c>
      <c r="BD43" s="26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26" cm="1">
        <f t="array" ref="BE43">$G$13+VLOOKUP($R43,武学奇术!$A:$ZZ,14,FALSE)+SUM(_xlfn.XLOOKUP(S43:AG43,增益!$A:$A,增益!$N:$N,0))</f>
        <v>0</v>
      </c>
      <c r="BF43">
        <f t="shared" si="16"/>
        <v>0</v>
      </c>
      <c r="BG43">
        <f t="shared" si="17"/>
        <v>0</v>
      </c>
      <c r="BH43" s="26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26" cm="1">
        <f t="array" ref="BI43">$G$14+VLOOKUP($R43,武学奇术!$A:$ZZ,16,FALSE)+SUM(_xlfn.XLOOKUP(S43:AG43,增益!$A:$A,增益!$P:$P,0))</f>
        <v>0</v>
      </c>
      <c r="BJ43" s="21">
        <f>MIN(IF(VLOOKUP($R43,武学奇术!$A:$ZZ,23,FALSE)=1,100%,$B$8),100%)</f>
        <v>0.8229</v>
      </c>
      <c r="BK43" s="21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0.2285</v>
      </c>
      <c r="BL43" s="21" cm="1">
        <f t="array" ref="BL43">1+$B$13+VLOOKUP($R43,武学奇术!$A:$ZZ,18,FALSE)+SUM(_xlfn.XLOOKUP(S43:AG43,增益!$A:$A,增益!$R:$R,0))</f>
        <v>1.5</v>
      </c>
      <c r="BM43" s="21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0.4495</v>
      </c>
      <c r="BN43" s="21" cm="1">
        <f t="array" ref="BN43">1+$B$14+VLOOKUP($R43,武学奇术!$A:$ZZ,20,FALSE)+SUM(_xlfn.XLOOKUP(S43:AG43,增益!$A:$A,增益!$T:$T,0))</f>
        <v>1.602</v>
      </c>
      <c r="BO43" s="21">
        <f t="shared" si="12"/>
        <v>0.18803265</v>
      </c>
      <c r="BP43" s="21">
        <f t="shared" si="18"/>
        <v>0.2649738</v>
      </c>
      <c r="BQ43" s="21">
        <f>IF(VLOOKUP($R43,武学奇术!$A:$ZZ,22,FALSE)=1,0,(1-$BJ43))*(1-$BM43)</f>
        <v>0.09749355</v>
      </c>
      <c r="BR43" s="21" cm="1">
        <f t="array" ref="BR43">SUM(_xlfn.XLOOKUP(S43:AG43,增益!$A:$A,增益!$W:$W,0))+$I$5</f>
        <v>0.06</v>
      </c>
    </row>
    <row r="44" spans="1:70">
      <c r="A44" t="s">
        <v>162</v>
      </c>
      <c r="B44">
        <v>1.7</v>
      </c>
      <c r="E44" s="80"/>
      <c r="G44" s="80"/>
      <c r="K44" s="24">
        <f>$L44*VLOOKUP($R44,武学奇术!$A:$ZZ,31,FALSE)</f>
        <v>80369.8460881717</v>
      </c>
      <c r="L44" s="24">
        <f t="shared" si="13"/>
        <v>133949.743480286</v>
      </c>
      <c r="M44" s="2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109604.656397454</v>
      </c>
      <c r="N44" s="24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201958.735745055</v>
      </c>
      <c r="O44" s="2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73069.7709316357</v>
      </c>
      <c r="P44" s="24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32806.9179883808</v>
      </c>
      <c r="Q44" s="31">
        <v>1</v>
      </c>
      <c r="R44" s="32" t="s">
        <v>95</v>
      </c>
      <c r="S44" s="32" t="s">
        <v>87</v>
      </c>
      <c r="T44" s="32" t="s">
        <v>96</v>
      </c>
      <c r="U44" s="32" t="s">
        <v>97</v>
      </c>
      <c r="V44" s="32" t="s">
        <v>98</v>
      </c>
      <c r="W44" s="32" t="s">
        <v>73</v>
      </c>
      <c r="X44" s="32" t="s">
        <v>127</v>
      </c>
      <c r="Y44" s="32" t="s">
        <v>73</v>
      </c>
      <c r="Z44" s="32" t="s">
        <v>73</v>
      </c>
      <c r="AA44" s="32" t="s">
        <v>81</v>
      </c>
      <c r="AB44" s="32" t="s">
        <v>75</v>
      </c>
      <c r="AC44" s="32" t="s">
        <v>89</v>
      </c>
      <c r="AD44" s="32" t="s">
        <v>82</v>
      </c>
      <c r="AE44" s="32" t="s">
        <v>73</v>
      </c>
      <c r="AF44" s="32" t="s">
        <v>73</v>
      </c>
      <c r="AG44" s="32" t="s">
        <v>178</v>
      </c>
      <c r="AH44" t="str">
        <f>VLOOKUP($R44,武学奇术!$A:$ZZ,25,FALSE)</f>
        <v>剑</v>
      </c>
      <c r="AI44" s="21">
        <f>VLOOKUP($R44,武学奇术!$A:$ZZ,26,FALSE)</f>
        <v>2.52</v>
      </c>
      <c r="AJ44" s="22">
        <f>VLOOKUP($R44,武学奇术!$A:$ZZ,27,FALSE)*(1+IF(OR($AH44=$F$4,$AH44=$F$5),$B$22,0))</f>
        <v>0</v>
      </c>
      <c r="AK44" s="21">
        <f>VLOOKUP($R44,武学奇术!$A:$ZZ,28,FALSE)</f>
        <v>3.78</v>
      </c>
      <c r="AL44" s="22">
        <f>VLOOKUP($R44,武学奇术!$A:$ZZ,29,FALSE)*(1+IF(OR($AH44=$F$4,$AH44=$F$5),$B$22,0))</f>
        <v>0</v>
      </c>
      <c r="AM44" s="21" cm="1">
        <f t="array" ref="AM44">$G$3+IFERROR(VLOOKUP($AH44,$F$4:$G$7,2,FALSE),0)+VLOOKUP($R44,武学奇术!$A:$ZZ,2,FALSE)+SUM(_xlfn.XLOOKUP($S44:$AG44,增益!$A:$A,增益!$B:$B,0))</f>
        <v>1.4691</v>
      </c>
      <c r="AN44" s="21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1831.48</v>
      </c>
      <c r="AP44" cm="1">
        <f t="array" ref="AP44">$E$10*(1+$AN44)+VLOOKUP($R44,武学奇术!$A:$ZZ,4,FALSE)+SUM(_xlfn.XLOOKUP($S44:$AG44,增益!$A:$A,增益!$D:$D,0))-$I$2</f>
        <v>7763.56</v>
      </c>
      <c r="AQ44" s="26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0.369</v>
      </c>
      <c r="AR44" s="26" cm="1">
        <f t="array" ref="AR44">$G$10+VLOOKUP($R44,武学奇术!$A:$ZZ,7,FALSE)+SUM(_xlfn.XLOOKUP(S44:AG44,增益!$A:$A,增益!$G:$G,0))</f>
        <v>0</v>
      </c>
      <c r="AS44" s="21" cm="1">
        <f t="array" ref="AS44">VLOOKUP($R44,武学奇术!$A:$ZZ,8,FALSE)+SUM(_xlfn.XLOOKUP(S44:AG44,增益!$A:$A,增益!$H:$H,0))</f>
        <v>0</v>
      </c>
      <c r="AT44">
        <f t="shared" ref="AT44:AT60" si="19">$D$11*(1+$AS44)</f>
        <v>680.02</v>
      </c>
      <c r="AU44">
        <f t="shared" ref="AU44:AU60" si="20">$E$11*(1+$AS44)</f>
        <v>1288.54</v>
      </c>
      <c r="AV44" s="26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0.075</v>
      </c>
      <c r="AW44" s="26" cm="1">
        <f t="array" ref="AW44">$G$11+VLOOKUP($R44,武学奇术!$A:$ZZ,10,FALSE)+SUM(_xlfn.XLOOKUP(S44:AG44,增益!$A:$A,增益!$J:$J,0))</f>
        <v>0.15</v>
      </c>
      <c r="AX44">
        <f t="shared" ref="AX44:AX60" si="21">$D$12*(1+$AS44)</f>
        <v>0</v>
      </c>
      <c r="AY44">
        <f t="shared" ref="AY44:AY60" si="22">$E$12*(1+$AS44)</f>
        <v>0</v>
      </c>
      <c r="AZ44" s="26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26" cm="1">
        <f t="array" ref="BA44">$G$12+VLOOKUP($R44,武学奇术!$A:$ZZ,12,FALSE)+SUM(_xlfn.XLOOKUP(S44:AG44,增益!$A:$A,增益!$L:$L,0))</f>
        <v>0</v>
      </c>
      <c r="BB44">
        <f t="shared" si="14"/>
        <v>0</v>
      </c>
      <c r="BC44">
        <f t="shared" si="15"/>
        <v>0</v>
      </c>
      <c r="BD44" s="26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26" cm="1">
        <f t="array" ref="BE44">$G$13+VLOOKUP($R44,武学奇术!$A:$ZZ,14,FALSE)+SUM(_xlfn.XLOOKUP(S44:AG44,增益!$A:$A,增益!$N:$N,0))</f>
        <v>0</v>
      </c>
      <c r="BF44">
        <f t="shared" si="16"/>
        <v>0</v>
      </c>
      <c r="BG44">
        <f t="shared" si="17"/>
        <v>0</v>
      </c>
      <c r="BH44" s="26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26" cm="1">
        <f t="array" ref="BI44">$G$14+VLOOKUP($R44,武学奇术!$A:$ZZ,16,FALSE)+SUM(_xlfn.XLOOKUP(S44:AG44,增益!$A:$A,增益!$P:$P,0))</f>
        <v>0</v>
      </c>
      <c r="BJ44" s="21">
        <f>MIN(IF(VLOOKUP($R44,武学奇术!$A:$ZZ,23,FALSE)=1,100%,$B$8),100%)</f>
        <v>0.8229</v>
      </c>
      <c r="BK44" s="21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0.2285</v>
      </c>
      <c r="BL44" s="21" cm="1">
        <f t="array" ref="BL44">1+$B$13+VLOOKUP($R44,武学奇术!$A:$ZZ,18,FALSE)+SUM(_xlfn.XLOOKUP(S44:AG44,增益!$A:$A,增益!$R:$R,0))</f>
        <v>1.5</v>
      </c>
      <c r="BM44" s="21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0.4495</v>
      </c>
      <c r="BN44" s="21" cm="1">
        <f t="array" ref="BN44">1+$B$14+VLOOKUP($R44,武学奇术!$A:$ZZ,20,FALSE)+SUM(_xlfn.XLOOKUP(S44:AG44,增益!$A:$A,增益!$T:$T,0))</f>
        <v>1.782</v>
      </c>
      <c r="BO44" s="21">
        <f t="shared" si="12"/>
        <v>0.18803265</v>
      </c>
      <c r="BP44" s="21">
        <f t="shared" si="18"/>
        <v>0.2649738</v>
      </c>
      <c r="BQ44" s="21">
        <f>IF(VLOOKUP($R44,武学奇术!$A:$ZZ,22,FALSE)=1,0,(1-$BJ44))*(1-$BM44)</f>
        <v>0.09749355</v>
      </c>
      <c r="BR44" s="21" cm="1">
        <f t="array" ref="BR44">SUM(_xlfn.XLOOKUP(S44:AG44,增益!$A:$A,增益!$W:$W,0))+$I$5</f>
        <v>0.06</v>
      </c>
    </row>
    <row r="45" spans="1:70">
      <c r="A45" t="s">
        <v>165</v>
      </c>
      <c r="B45">
        <v>1</v>
      </c>
      <c r="D45" s="31" t="s">
        <v>166</v>
      </c>
      <c r="G45" s="80"/>
      <c r="K45" s="24">
        <f>$L45*VLOOKUP($R45,武学奇术!$A:$ZZ,31,FALSE)</f>
        <v>15380.7181857478</v>
      </c>
      <c r="L45" s="24">
        <f t="shared" si="13"/>
        <v>15380.7181857478</v>
      </c>
      <c r="M45" s="2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13506.0441134386</v>
      </c>
      <c r="N45" s="24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22384.6778053656</v>
      </c>
      <c r="O45" s="2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9004.02940895905</v>
      </c>
      <c r="P45" s="24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4035.10138635408</v>
      </c>
      <c r="Q45" s="31">
        <v>1</v>
      </c>
      <c r="R45" s="32" t="s">
        <v>103</v>
      </c>
      <c r="S45" s="32" t="s">
        <v>87</v>
      </c>
      <c r="T45" s="32" t="s">
        <v>104</v>
      </c>
      <c r="U45" s="32" t="s">
        <v>73</v>
      </c>
      <c r="V45" s="32" t="s">
        <v>73</v>
      </c>
      <c r="W45" s="32" t="s">
        <v>73</v>
      </c>
      <c r="X45" s="32" t="s">
        <v>127</v>
      </c>
      <c r="Y45" s="32" t="s">
        <v>73</v>
      </c>
      <c r="Z45" s="32" t="s">
        <v>73</v>
      </c>
      <c r="AA45" s="32" t="s">
        <v>81</v>
      </c>
      <c r="AB45" s="32" t="s">
        <v>75</v>
      </c>
      <c r="AC45" s="32" t="s">
        <v>89</v>
      </c>
      <c r="AD45" s="32" t="s">
        <v>82</v>
      </c>
      <c r="AE45" s="32" t="s">
        <v>73</v>
      </c>
      <c r="AF45" s="32" t="s">
        <v>73</v>
      </c>
      <c r="AG45" s="32" t="s">
        <v>178</v>
      </c>
      <c r="AH45" t="str">
        <f>VLOOKUP($R45,武学奇术!$A:$ZZ,25,FALSE)</f>
        <v>剑</v>
      </c>
      <c r="AI45" s="21">
        <f>VLOOKUP($R45,武学奇术!$A:$ZZ,26,FALSE)</f>
        <v>0.625</v>
      </c>
      <c r="AJ45" s="22">
        <f>VLOOKUP($R45,武学奇术!$A:$ZZ,27,FALSE)*(1+IF(OR($AH45=$F$4,$AH45=$F$5),$B$22,0))</f>
        <v>0</v>
      </c>
      <c r="AK45" s="21">
        <f>VLOOKUP($R45,武学奇术!$A:$ZZ,28,FALSE)</f>
        <v>0.9375</v>
      </c>
      <c r="AL45" s="22">
        <f>VLOOKUP($R45,武学奇术!$A:$ZZ,29,FALSE)*(1+IF(OR($AH45=$F$4,$AH45=$F$5),$B$22,0))</f>
        <v>0</v>
      </c>
      <c r="AM45" s="21" cm="1">
        <f t="array" ref="AM45">$G$3+IFERROR(VLOOKUP($AH45,$F$4:$G$7,2,FALSE),0)+VLOOKUP($R45,武学奇术!$A:$ZZ,2,FALSE)+SUM(_xlfn.XLOOKUP($S45:$AG45,增益!$A:$A,增益!$B:$B,0))</f>
        <v>0.7191</v>
      </c>
      <c r="AN45" s="21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1831.48</v>
      </c>
      <c r="AP45" cm="1">
        <f t="array" ref="AP45">$E$10*(1+$AN45)+VLOOKUP($R45,武学奇术!$A:$ZZ,4,FALSE)+SUM(_xlfn.XLOOKUP($S45:$AG45,增益!$A:$A,增益!$D:$D,0))-$I$2</f>
        <v>7763.56</v>
      </c>
      <c r="AQ45" s="26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0.294</v>
      </c>
      <c r="AR45" s="26" cm="1">
        <f t="array" ref="AR45">$G$10+VLOOKUP($R45,武学奇术!$A:$ZZ,7,FALSE)+SUM(_xlfn.XLOOKUP(S45:AG45,增益!$A:$A,增益!$G:$G,0))</f>
        <v>0</v>
      </c>
      <c r="AS45" s="21" cm="1">
        <f t="array" ref="AS45">VLOOKUP($R45,武学奇术!$A:$ZZ,8,FALSE)+SUM(_xlfn.XLOOKUP(S45:AG45,增益!$A:$A,增益!$H:$H,0))</f>
        <v>0</v>
      </c>
      <c r="AT45">
        <f t="shared" si="19"/>
        <v>680.02</v>
      </c>
      <c r="AU45">
        <f t="shared" si="20"/>
        <v>1288.54</v>
      </c>
      <c r="AV45" s="26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26" cm="1">
        <f t="array" ref="AW45">$G$11+VLOOKUP($R45,武学奇术!$A:$ZZ,10,FALSE)+SUM(_xlfn.XLOOKUP(S45:AG45,增益!$A:$A,增益!$J:$J,0))</f>
        <v>0.15</v>
      </c>
      <c r="AX45">
        <f t="shared" si="21"/>
        <v>0</v>
      </c>
      <c r="AY45">
        <f t="shared" si="22"/>
        <v>0</v>
      </c>
      <c r="AZ45" s="26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26" cm="1">
        <f t="array" ref="BA45">$G$12+VLOOKUP($R45,武学奇术!$A:$ZZ,12,FALSE)+SUM(_xlfn.XLOOKUP(S45:AG45,增益!$A:$A,增益!$L:$L,0))</f>
        <v>0</v>
      </c>
      <c r="BB45">
        <f t="shared" si="14"/>
        <v>0</v>
      </c>
      <c r="BC45">
        <f t="shared" si="15"/>
        <v>0</v>
      </c>
      <c r="BD45" s="26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26" cm="1">
        <f t="array" ref="BE45">$G$13+VLOOKUP($R45,武学奇术!$A:$ZZ,14,FALSE)+SUM(_xlfn.XLOOKUP(S45:AG45,增益!$A:$A,增益!$N:$N,0))</f>
        <v>0</v>
      </c>
      <c r="BF45">
        <f t="shared" si="16"/>
        <v>0</v>
      </c>
      <c r="BG45">
        <f t="shared" si="17"/>
        <v>0</v>
      </c>
      <c r="BH45" s="26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26" cm="1">
        <f t="array" ref="BI45">$G$14+VLOOKUP($R45,武学奇术!$A:$ZZ,16,FALSE)+SUM(_xlfn.XLOOKUP(S45:AG45,增益!$A:$A,增益!$P:$P,0))</f>
        <v>0</v>
      </c>
      <c r="BJ45" s="21">
        <f>MIN(IF(VLOOKUP($R45,武学奇术!$A:$ZZ,23,FALSE)=1,100%,$B$8),100%)</f>
        <v>0.8229</v>
      </c>
      <c r="BK45" s="21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0.2285</v>
      </c>
      <c r="BL45" s="21" cm="1">
        <f t="array" ref="BL45">1+$B$13+VLOOKUP($R45,武学奇术!$A:$ZZ,18,FALSE)+SUM(_xlfn.XLOOKUP(S45:AG45,增益!$A:$A,增益!$R:$R,0))</f>
        <v>1.5</v>
      </c>
      <c r="BM45" s="21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0.4495</v>
      </c>
      <c r="BN45" s="21" cm="1">
        <f t="array" ref="BN45">1+$B$14+VLOOKUP($R45,武学奇术!$A:$ZZ,20,FALSE)+SUM(_xlfn.XLOOKUP(S45:AG45,增益!$A:$A,增益!$T:$T,0))</f>
        <v>1.602</v>
      </c>
      <c r="BO45" s="21">
        <f t="shared" si="12"/>
        <v>0.18803265</v>
      </c>
      <c r="BP45" s="21">
        <f t="shared" si="18"/>
        <v>0.2649738</v>
      </c>
      <c r="BQ45" s="21">
        <f>IF(VLOOKUP($R45,武学奇术!$A:$ZZ,22,FALSE)=1,0,(1-$BJ45))*(1-$BM45)</f>
        <v>0.09749355</v>
      </c>
      <c r="BR45" s="21" cm="1">
        <f t="array" ref="BR45">SUM(_xlfn.XLOOKUP(S45:AG45,增益!$A:$A,增益!$W:$W,0))+$I$5</f>
        <v>0.06</v>
      </c>
    </row>
    <row r="46" spans="1:70">
      <c r="A46" t="s">
        <v>160</v>
      </c>
      <c r="B46">
        <v>2.2</v>
      </c>
      <c r="D46" s="31"/>
      <c r="F46" s="80" t="s">
        <v>164</v>
      </c>
      <c r="G46" s="80"/>
      <c r="K46" s="24">
        <f>$L46*VLOOKUP($R46,武学奇术!$A:$ZZ,31,FALSE)</f>
        <v>31704.5374887003</v>
      </c>
      <c r="L46" s="24">
        <f t="shared" si="13"/>
        <v>31704.5374887003</v>
      </c>
      <c r="M46" s="2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28439.9394136339</v>
      </c>
      <c r="N46" s="24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45378.6077315996</v>
      </c>
      <c r="O46" s="2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18959.9596090893</v>
      </c>
      <c r="P46" s="24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9593.69716349716</v>
      </c>
      <c r="Q46" s="31">
        <v>1</v>
      </c>
      <c r="R46" s="32" t="s">
        <v>86</v>
      </c>
      <c r="S46" s="32" t="s">
        <v>87</v>
      </c>
      <c r="T46" s="32" t="s">
        <v>104</v>
      </c>
      <c r="U46" s="32" t="s">
        <v>73</v>
      </c>
      <c r="V46" s="32" t="s">
        <v>73</v>
      </c>
      <c r="W46" s="32" t="s">
        <v>73</v>
      </c>
      <c r="X46" s="32" t="s">
        <v>127</v>
      </c>
      <c r="Y46" s="32" t="s">
        <v>73</v>
      </c>
      <c r="Z46" s="32" t="s">
        <v>73</v>
      </c>
      <c r="AA46" s="32" t="s">
        <v>81</v>
      </c>
      <c r="AB46" s="32" t="s">
        <v>75</v>
      </c>
      <c r="AC46" s="32" t="s">
        <v>89</v>
      </c>
      <c r="AD46" s="32" t="s">
        <v>82</v>
      </c>
      <c r="AE46" s="32" t="s">
        <v>73</v>
      </c>
      <c r="AF46" s="32" t="s">
        <v>73</v>
      </c>
      <c r="AG46" s="32" t="s">
        <v>178</v>
      </c>
      <c r="AH46" t="str">
        <f>VLOOKUP($R46,武学奇术!$A:$ZZ,25,FALSE)</f>
        <v>剑</v>
      </c>
      <c r="AI46" s="21">
        <f>VLOOKUP($R46,武学奇术!$A:$ZZ,26,FALSE)</f>
        <v>1.1781</v>
      </c>
      <c r="AJ46" s="22">
        <f>VLOOKUP($R46,武学奇术!$A:$ZZ,27,FALSE)*(1+IF(OR($AH46=$F$4,$AH46=$F$5),$B$22,0))</f>
        <v>489</v>
      </c>
      <c r="AK46" s="21">
        <f>VLOOKUP($R46,武学奇术!$A:$ZZ,28,FALSE)</f>
        <v>1.7672</v>
      </c>
      <c r="AL46" s="22">
        <f>VLOOKUP($R46,武学奇术!$A:$ZZ,29,FALSE)*(1+IF(OR($AH46=$F$4,$AH46=$F$5),$B$22,0))</f>
        <v>265.5</v>
      </c>
      <c r="AM46" s="21" cm="1">
        <f t="array" ref="AM46">$G$3+IFERROR(VLOOKUP($AH46,$F$4:$G$7,2,FALSE),0)+VLOOKUP($R46,武学奇术!$A:$ZZ,2,FALSE)+SUM(_xlfn.XLOOKUP($S46:$AG46,增益!$A:$A,增益!$B:$B,0))</f>
        <v>0.7191</v>
      </c>
      <c r="AN46" s="21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1831.48</v>
      </c>
      <c r="AP46" cm="1">
        <f t="array" ref="AP46">$E$10*(1+$AN46)+VLOOKUP($R46,武学奇术!$A:$ZZ,4,FALSE)+SUM(_xlfn.XLOOKUP($S46:$AG46,增益!$A:$A,增益!$D:$D,0))-$I$2</f>
        <v>7763.56</v>
      </c>
      <c r="AQ46" s="26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0.294</v>
      </c>
      <c r="AR46" s="26" cm="1">
        <f t="array" ref="AR46">$G$10+VLOOKUP($R46,武学奇术!$A:$ZZ,7,FALSE)+SUM(_xlfn.XLOOKUP(S46:AG46,增益!$A:$A,增益!$G:$G,0))</f>
        <v>0</v>
      </c>
      <c r="AS46" s="21" cm="1">
        <f t="array" ref="AS46">VLOOKUP($R46,武学奇术!$A:$ZZ,8,FALSE)+SUM(_xlfn.XLOOKUP(S46:AG46,增益!$A:$A,增益!$H:$H,0))</f>
        <v>0</v>
      </c>
      <c r="AT46">
        <f t="shared" si="19"/>
        <v>680.02</v>
      </c>
      <c r="AU46">
        <f t="shared" si="20"/>
        <v>1288.54</v>
      </c>
      <c r="AV46" s="26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26" cm="1">
        <f t="array" ref="AW46">$G$11+VLOOKUP($R46,武学奇术!$A:$ZZ,10,FALSE)+SUM(_xlfn.XLOOKUP(S46:AG46,增益!$A:$A,增益!$J:$J,0))</f>
        <v>0.15</v>
      </c>
      <c r="AX46">
        <f t="shared" si="21"/>
        <v>0</v>
      </c>
      <c r="AY46">
        <f t="shared" si="22"/>
        <v>0</v>
      </c>
      <c r="AZ46" s="26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26" cm="1">
        <f t="array" ref="BA46">$G$12+VLOOKUP($R46,武学奇术!$A:$ZZ,12,FALSE)+SUM(_xlfn.XLOOKUP(S46:AG46,增益!$A:$A,增益!$L:$L,0))</f>
        <v>0</v>
      </c>
      <c r="BB46">
        <f t="shared" si="14"/>
        <v>0</v>
      </c>
      <c r="BC46">
        <f t="shared" si="15"/>
        <v>0</v>
      </c>
      <c r="BD46" s="26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26" cm="1">
        <f t="array" ref="BE46">$G$13+VLOOKUP($R46,武学奇术!$A:$ZZ,14,FALSE)+SUM(_xlfn.XLOOKUP(S46:AG46,增益!$A:$A,增益!$N:$N,0))</f>
        <v>0</v>
      </c>
      <c r="BF46">
        <f t="shared" si="16"/>
        <v>0</v>
      </c>
      <c r="BG46">
        <f t="shared" si="17"/>
        <v>0</v>
      </c>
      <c r="BH46" s="26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26" cm="1">
        <f t="array" ref="BI46">$G$14+VLOOKUP($R46,武学奇术!$A:$ZZ,16,FALSE)+SUM(_xlfn.XLOOKUP(S46:AG46,增益!$A:$A,增益!$P:$P,0))</f>
        <v>0</v>
      </c>
      <c r="BJ46" s="21">
        <f>MIN(IF(VLOOKUP($R46,武学奇术!$A:$ZZ,23,FALSE)=1,100%,$B$8),100%)</f>
        <v>0.8229</v>
      </c>
      <c r="BK46" s="21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0.2285</v>
      </c>
      <c r="BL46" s="21" cm="1">
        <f t="array" ref="BL46">1+$B$13+VLOOKUP($R46,武学奇术!$A:$ZZ,18,FALSE)+SUM(_xlfn.XLOOKUP(S46:AG46,增益!$A:$A,增益!$R:$R,0))</f>
        <v>1.5</v>
      </c>
      <c r="BM46" s="21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0.4495</v>
      </c>
      <c r="BN46" s="21" cm="1">
        <f t="array" ref="BN46">1+$B$14+VLOOKUP($R46,武学奇术!$A:$ZZ,20,FALSE)+SUM(_xlfn.XLOOKUP(S46:AG46,增益!$A:$A,增益!$T:$T,0))</f>
        <v>1.602</v>
      </c>
      <c r="BO46" s="21">
        <f t="shared" si="12"/>
        <v>0.18803265</v>
      </c>
      <c r="BP46" s="21">
        <f t="shared" si="18"/>
        <v>0.2649738</v>
      </c>
      <c r="BQ46" s="21">
        <f>IF(VLOOKUP($R46,武学奇术!$A:$ZZ,22,FALSE)=1,0,(1-$BJ46))*(1-$BM46)</f>
        <v>0.09749355</v>
      </c>
      <c r="BR46" s="21" cm="1">
        <f t="array" ref="BR46">SUM(_xlfn.XLOOKUP(S46:AG46,增益!$A:$A,增益!$W:$W,0))+$I$5</f>
        <v>0.06</v>
      </c>
    </row>
    <row r="47" spans="1:70">
      <c r="A47" t="s">
        <v>168</v>
      </c>
      <c r="B47">
        <v>2.6</v>
      </c>
      <c r="C47" s="31" t="s">
        <v>179</v>
      </c>
      <c r="D47" s="31"/>
      <c r="F47" s="31"/>
      <c r="G47" s="80"/>
      <c r="K47" s="24">
        <f>$L47*VLOOKUP($R47,武学奇术!$A:$ZZ,31,FALSE)</f>
        <v>80369.8460881717</v>
      </c>
      <c r="L47" s="24">
        <f t="shared" si="13"/>
        <v>133949.743480286</v>
      </c>
      <c r="M47" s="2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109604.656397454</v>
      </c>
      <c r="N47" s="24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201958.735745055</v>
      </c>
      <c r="O47" s="2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73069.7709316357</v>
      </c>
      <c r="P47" s="24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32806.9179883808</v>
      </c>
      <c r="Q47" s="31">
        <v>1</v>
      </c>
      <c r="R47" s="32" t="s">
        <v>95</v>
      </c>
      <c r="S47" s="32" t="s">
        <v>87</v>
      </c>
      <c r="T47" s="32" t="s">
        <v>96</v>
      </c>
      <c r="U47" s="32" t="s">
        <v>97</v>
      </c>
      <c r="V47" s="32" t="s">
        <v>98</v>
      </c>
      <c r="W47" s="32" t="s">
        <v>73</v>
      </c>
      <c r="X47" s="32" t="s">
        <v>127</v>
      </c>
      <c r="Y47" s="32" t="s">
        <v>73</v>
      </c>
      <c r="Z47" s="32" t="s">
        <v>73</v>
      </c>
      <c r="AA47" s="32" t="s">
        <v>81</v>
      </c>
      <c r="AB47" s="32" t="s">
        <v>75</v>
      </c>
      <c r="AC47" s="32" t="s">
        <v>89</v>
      </c>
      <c r="AD47" s="32" t="s">
        <v>82</v>
      </c>
      <c r="AE47" s="32" t="s">
        <v>73</v>
      </c>
      <c r="AF47" s="32" t="s">
        <v>73</v>
      </c>
      <c r="AG47" s="32" t="s">
        <v>178</v>
      </c>
      <c r="AH47" t="str">
        <f>VLOOKUP($R47,武学奇术!$A:$ZZ,25,FALSE)</f>
        <v>剑</v>
      </c>
      <c r="AI47" s="21">
        <f>VLOOKUP($R47,武学奇术!$A:$ZZ,26,FALSE)</f>
        <v>2.52</v>
      </c>
      <c r="AJ47" s="22">
        <f>VLOOKUP($R47,武学奇术!$A:$ZZ,27,FALSE)*(1+IF(OR($AH47=$F$4,$AH47=$F$5),$B$22,0))</f>
        <v>0</v>
      </c>
      <c r="AK47" s="21">
        <f>VLOOKUP($R47,武学奇术!$A:$ZZ,28,FALSE)</f>
        <v>3.78</v>
      </c>
      <c r="AL47" s="22">
        <f>VLOOKUP($R47,武学奇术!$A:$ZZ,29,FALSE)*(1+IF(OR($AH47=$F$4,$AH47=$F$5),$B$22,0))</f>
        <v>0</v>
      </c>
      <c r="AM47" s="21" cm="1">
        <f t="array" ref="AM47">$G$3+IFERROR(VLOOKUP($AH47,$F$4:$G$7,2,FALSE),0)+VLOOKUP($R47,武学奇术!$A:$ZZ,2,FALSE)+SUM(_xlfn.XLOOKUP($S47:$AG47,增益!$A:$A,增益!$B:$B,0))</f>
        <v>1.4691</v>
      </c>
      <c r="AN47" s="21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1831.48</v>
      </c>
      <c r="AP47" cm="1">
        <f t="array" ref="AP47">$E$10*(1+$AN47)+VLOOKUP($R47,武学奇术!$A:$ZZ,4,FALSE)+SUM(_xlfn.XLOOKUP($S47:$AG47,增益!$A:$A,增益!$D:$D,0))-$I$2</f>
        <v>7763.56</v>
      </c>
      <c r="AQ47" s="26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0.369</v>
      </c>
      <c r="AR47" s="26" cm="1">
        <f t="array" ref="AR47">$G$10+VLOOKUP($R47,武学奇术!$A:$ZZ,7,FALSE)+SUM(_xlfn.XLOOKUP(S47:AG47,增益!$A:$A,增益!$G:$G,0))</f>
        <v>0</v>
      </c>
      <c r="AS47" s="21" cm="1">
        <f t="array" ref="AS47">VLOOKUP($R47,武学奇术!$A:$ZZ,8,FALSE)+SUM(_xlfn.XLOOKUP(S47:AG47,增益!$A:$A,增益!$H:$H,0))</f>
        <v>0</v>
      </c>
      <c r="AT47">
        <f t="shared" si="19"/>
        <v>680.02</v>
      </c>
      <c r="AU47">
        <f t="shared" si="20"/>
        <v>1288.54</v>
      </c>
      <c r="AV47" s="26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0.075</v>
      </c>
      <c r="AW47" s="26" cm="1">
        <f t="array" ref="AW47">$G$11+VLOOKUP($R47,武学奇术!$A:$ZZ,10,FALSE)+SUM(_xlfn.XLOOKUP(S47:AG47,增益!$A:$A,增益!$J:$J,0))</f>
        <v>0.15</v>
      </c>
      <c r="AX47">
        <f t="shared" si="21"/>
        <v>0</v>
      </c>
      <c r="AY47">
        <f t="shared" si="22"/>
        <v>0</v>
      </c>
      <c r="AZ47" s="26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26" cm="1">
        <f t="array" ref="BA47">$G$12+VLOOKUP($R47,武学奇术!$A:$ZZ,12,FALSE)+SUM(_xlfn.XLOOKUP(S47:AG47,增益!$A:$A,增益!$L:$L,0))</f>
        <v>0</v>
      </c>
      <c r="BB47">
        <f t="shared" si="14"/>
        <v>0</v>
      </c>
      <c r="BC47">
        <f t="shared" si="15"/>
        <v>0</v>
      </c>
      <c r="BD47" s="26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26" cm="1">
        <f t="array" ref="BE47">$G$13+VLOOKUP($R47,武学奇术!$A:$ZZ,14,FALSE)+SUM(_xlfn.XLOOKUP(S47:AG47,增益!$A:$A,增益!$N:$N,0))</f>
        <v>0</v>
      </c>
      <c r="BF47">
        <f t="shared" si="16"/>
        <v>0</v>
      </c>
      <c r="BG47">
        <f t="shared" si="17"/>
        <v>0</v>
      </c>
      <c r="BH47" s="26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26" cm="1">
        <f t="array" ref="BI47">$G$14+VLOOKUP($R47,武学奇术!$A:$ZZ,16,FALSE)+SUM(_xlfn.XLOOKUP(S47:AG47,增益!$A:$A,增益!$P:$P,0))</f>
        <v>0</v>
      </c>
      <c r="BJ47" s="21">
        <f>MIN(IF(VLOOKUP($R47,武学奇术!$A:$ZZ,23,FALSE)=1,100%,$B$8),100%)</f>
        <v>0.8229</v>
      </c>
      <c r="BK47" s="21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0.2285</v>
      </c>
      <c r="BL47" s="21" cm="1">
        <f t="array" ref="BL47">1+$B$13+VLOOKUP($R47,武学奇术!$A:$ZZ,18,FALSE)+SUM(_xlfn.XLOOKUP(S47:AG47,增益!$A:$A,增益!$R:$R,0))</f>
        <v>1.5</v>
      </c>
      <c r="BM47" s="21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0.4495</v>
      </c>
      <c r="BN47" s="21" cm="1">
        <f t="array" ref="BN47">1+$B$14+VLOOKUP($R47,武学奇术!$A:$ZZ,20,FALSE)+SUM(_xlfn.XLOOKUP(S47:AG47,增益!$A:$A,增益!$T:$T,0))</f>
        <v>1.782</v>
      </c>
      <c r="BO47" s="21">
        <f t="shared" si="12"/>
        <v>0.18803265</v>
      </c>
      <c r="BP47" s="21">
        <f t="shared" si="18"/>
        <v>0.2649738</v>
      </c>
      <c r="BQ47" s="21">
        <f>IF(VLOOKUP($R47,武学奇术!$A:$ZZ,22,FALSE)=1,0,(1-$BJ47))*(1-$BM47)</f>
        <v>0.09749355</v>
      </c>
      <c r="BR47" s="21" cm="1">
        <f t="array" ref="BR47">SUM(_xlfn.XLOOKUP(S47:AG47,增益!$A:$A,增益!$W:$W,0))+$I$5</f>
        <v>0.06</v>
      </c>
    </row>
    <row r="48" spans="1:70">
      <c r="A48" t="s">
        <v>168</v>
      </c>
      <c r="B48">
        <v>2.6</v>
      </c>
      <c r="C48" s="31"/>
      <c r="D48" s="31"/>
      <c r="F48" s="31"/>
      <c r="G48" s="80"/>
      <c r="K48" s="24">
        <f>$L48*VLOOKUP($R48,武学奇术!$A:$ZZ,31,FALSE)</f>
        <v>121175.241447033</v>
      </c>
      <c r="L48" s="24">
        <f t="shared" si="13"/>
        <v>201958.735745055</v>
      </c>
      <c r="M48" s="2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109604.656397454</v>
      </c>
      <c r="N48" s="24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201958.735745055</v>
      </c>
      <c r="O48" s="2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73069.7709316357</v>
      </c>
      <c r="P48" s="24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32806.9179883808</v>
      </c>
      <c r="Q48" s="31">
        <v>1</v>
      </c>
      <c r="R48" s="32" t="s">
        <v>120</v>
      </c>
      <c r="S48" s="32" t="s">
        <v>87</v>
      </c>
      <c r="T48" s="32" t="s">
        <v>96</v>
      </c>
      <c r="U48" s="32" t="s">
        <v>97</v>
      </c>
      <c r="V48" s="32" t="s">
        <v>98</v>
      </c>
      <c r="W48" s="32" t="s">
        <v>73</v>
      </c>
      <c r="X48" s="32" t="s">
        <v>127</v>
      </c>
      <c r="Y48" s="32" t="s">
        <v>73</v>
      </c>
      <c r="Z48" s="32" t="s">
        <v>73</v>
      </c>
      <c r="AA48" s="32" t="s">
        <v>81</v>
      </c>
      <c r="AB48" s="32" t="s">
        <v>75</v>
      </c>
      <c r="AC48" s="32" t="s">
        <v>89</v>
      </c>
      <c r="AD48" s="32" t="s">
        <v>82</v>
      </c>
      <c r="AE48" s="32" t="s">
        <v>73</v>
      </c>
      <c r="AF48" s="32" t="s">
        <v>73</v>
      </c>
      <c r="AG48" s="32" t="s">
        <v>178</v>
      </c>
      <c r="AH48" t="str">
        <f>VLOOKUP($R48,武学奇术!$A:$ZZ,25,FALSE)</f>
        <v>剑</v>
      </c>
      <c r="AI48" s="21">
        <f>VLOOKUP($R48,武学奇术!$A:$ZZ,26,FALSE)</f>
        <v>2.52</v>
      </c>
      <c r="AJ48" s="22">
        <f>VLOOKUP($R48,武学奇术!$A:$ZZ,27,FALSE)*(1+IF(OR($AH48=$F$4,$AH48=$F$5),$B$22,0))</f>
        <v>0</v>
      </c>
      <c r="AK48" s="21">
        <f>VLOOKUP($R48,武学奇术!$A:$ZZ,28,FALSE)</f>
        <v>3.78</v>
      </c>
      <c r="AL48" s="22">
        <f>VLOOKUP($R48,武学奇术!$A:$ZZ,29,FALSE)*(1+IF(OR($AH48=$F$4,$AH48=$F$5),$B$22,0))</f>
        <v>0</v>
      </c>
      <c r="AM48" s="21" cm="1">
        <f t="array" ref="AM48">$G$3+IFERROR(VLOOKUP($AH48,$F$4:$G$7,2,FALSE),0)+VLOOKUP($R48,武学奇术!$A:$ZZ,2,FALSE)+SUM(_xlfn.XLOOKUP($S48:$AG48,增益!$A:$A,增益!$B:$B,0))</f>
        <v>1.4691</v>
      </c>
      <c r="AN48" s="21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1831.48</v>
      </c>
      <c r="AP48" cm="1">
        <f t="array" ref="AP48">$E$10*(1+$AN48)+VLOOKUP($R48,武学奇术!$A:$ZZ,4,FALSE)+SUM(_xlfn.XLOOKUP($S48:$AG48,增益!$A:$A,增益!$D:$D,0))-$I$2</f>
        <v>7763.56</v>
      </c>
      <c r="AQ48" s="26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0.369</v>
      </c>
      <c r="AR48" s="26" cm="1">
        <f t="array" ref="AR48">$G$10+VLOOKUP($R48,武学奇术!$A:$ZZ,7,FALSE)+SUM(_xlfn.XLOOKUP(S48:AG48,增益!$A:$A,增益!$G:$G,0))</f>
        <v>0</v>
      </c>
      <c r="AS48" s="21" cm="1">
        <f t="array" ref="AS48">VLOOKUP($R48,武学奇术!$A:$ZZ,8,FALSE)+SUM(_xlfn.XLOOKUP(S48:AG48,增益!$A:$A,增益!$H:$H,0))</f>
        <v>0</v>
      </c>
      <c r="AT48">
        <f t="shared" si="19"/>
        <v>680.02</v>
      </c>
      <c r="AU48">
        <f t="shared" si="20"/>
        <v>1288.54</v>
      </c>
      <c r="AV48" s="26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0.075</v>
      </c>
      <c r="AW48" s="26" cm="1">
        <f t="array" ref="AW48">$G$11+VLOOKUP($R48,武学奇术!$A:$ZZ,10,FALSE)+SUM(_xlfn.XLOOKUP(S48:AG48,增益!$A:$A,增益!$J:$J,0))</f>
        <v>0.15</v>
      </c>
      <c r="AX48">
        <f t="shared" si="21"/>
        <v>0</v>
      </c>
      <c r="AY48">
        <f t="shared" si="22"/>
        <v>0</v>
      </c>
      <c r="AZ48" s="26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26" cm="1">
        <f t="array" ref="BA48">$G$12+VLOOKUP($R48,武学奇术!$A:$ZZ,12,FALSE)+SUM(_xlfn.XLOOKUP(S48:AG48,增益!$A:$A,增益!$L:$L,0))</f>
        <v>0</v>
      </c>
      <c r="BB48">
        <f t="shared" si="14"/>
        <v>0</v>
      </c>
      <c r="BC48">
        <f t="shared" si="15"/>
        <v>0</v>
      </c>
      <c r="BD48" s="26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26" cm="1">
        <f t="array" ref="BE48">$G$13+VLOOKUP($R48,武学奇术!$A:$ZZ,14,FALSE)+SUM(_xlfn.XLOOKUP(S48:AG48,增益!$A:$A,增益!$N:$N,0))</f>
        <v>0</v>
      </c>
      <c r="BF48">
        <f t="shared" si="16"/>
        <v>0</v>
      </c>
      <c r="BG48">
        <f t="shared" si="17"/>
        <v>0</v>
      </c>
      <c r="BH48" s="26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26" cm="1">
        <f t="array" ref="BI48">$G$14+VLOOKUP($R48,武学奇术!$A:$ZZ,16,FALSE)+SUM(_xlfn.XLOOKUP(S48:AG48,增益!$A:$A,增益!$P:$P,0))</f>
        <v>0</v>
      </c>
      <c r="BJ48" s="21">
        <f>MIN(IF(VLOOKUP($R48,武学奇术!$A:$ZZ,23,FALSE)=1,100%,$B$8),100%)</f>
        <v>0.8229</v>
      </c>
      <c r="BK48" s="21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</v>
      </c>
      <c r="BL48" s="21" cm="1">
        <f t="array" ref="BL48">1+$B$13+VLOOKUP($R48,武学奇术!$A:$ZZ,18,FALSE)+SUM(_xlfn.XLOOKUP(S48:AG48,增益!$A:$A,增益!$R:$R,0))</f>
        <v>1.5</v>
      </c>
      <c r="BM48" s="21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1</v>
      </c>
      <c r="BN48" s="21" cm="1">
        <f t="array" ref="BN48">1+$B$14+VLOOKUP($R48,武学奇术!$A:$ZZ,20,FALSE)+SUM(_xlfn.XLOOKUP(S48:AG48,增益!$A:$A,增益!$T:$T,0))</f>
        <v>1.782</v>
      </c>
      <c r="BO48" s="21">
        <f t="shared" si="12"/>
        <v>0</v>
      </c>
      <c r="BP48" s="21">
        <f t="shared" si="18"/>
        <v>0</v>
      </c>
      <c r="BQ48" s="21">
        <f>IF(VLOOKUP($R48,武学奇术!$A:$ZZ,22,FALSE)=1,0,(1-$BJ48))*(1-$BM48)</f>
        <v>0</v>
      </c>
      <c r="BR48" s="21" cm="1">
        <f t="array" ref="BR48">SUM(_xlfn.XLOOKUP(S48:AG48,增益!$A:$A,增益!$W:$W,0))+$I$5</f>
        <v>0.06</v>
      </c>
    </row>
    <row r="49" spans="1:70">
      <c r="A49" t="s">
        <v>168</v>
      </c>
      <c r="B49">
        <v>2.6</v>
      </c>
      <c r="C49" s="31"/>
      <c r="D49" s="31"/>
      <c r="E49" s="80" t="s">
        <v>163</v>
      </c>
      <c r="F49" s="31"/>
      <c r="K49" s="24">
        <f>$L49*VLOOKUP($R49,武学奇术!$A:$ZZ,31,FALSE)</f>
        <v>15380.7181857478</v>
      </c>
      <c r="L49" s="24">
        <f t="shared" si="13"/>
        <v>15380.7181857478</v>
      </c>
      <c r="M49" s="2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13506.0441134386</v>
      </c>
      <c r="N49" s="24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22384.6778053656</v>
      </c>
      <c r="O49" s="2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9004.02940895905</v>
      </c>
      <c r="P49" s="24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4035.10138635408</v>
      </c>
      <c r="Q49" s="31">
        <v>1</v>
      </c>
      <c r="R49" s="32" t="s">
        <v>103</v>
      </c>
      <c r="S49" s="32" t="s">
        <v>87</v>
      </c>
      <c r="T49" s="32" t="s">
        <v>104</v>
      </c>
      <c r="U49" s="32" t="s">
        <v>73</v>
      </c>
      <c r="V49" s="32" t="s">
        <v>73</v>
      </c>
      <c r="W49" s="32" t="s">
        <v>73</v>
      </c>
      <c r="X49" s="32" t="s">
        <v>127</v>
      </c>
      <c r="Y49" s="32" t="s">
        <v>73</v>
      </c>
      <c r="Z49" s="32" t="s">
        <v>73</v>
      </c>
      <c r="AA49" s="32" t="s">
        <v>81</v>
      </c>
      <c r="AB49" s="32" t="s">
        <v>75</v>
      </c>
      <c r="AC49" s="32" t="s">
        <v>89</v>
      </c>
      <c r="AD49" s="32" t="s">
        <v>82</v>
      </c>
      <c r="AE49" s="32" t="s">
        <v>73</v>
      </c>
      <c r="AF49" s="32" t="s">
        <v>73</v>
      </c>
      <c r="AG49" s="32" t="s">
        <v>178</v>
      </c>
      <c r="AH49" t="str">
        <f>VLOOKUP($R49,武学奇术!$A:$ZZ,25,FALSE)</f>
        <v>剑</v>
      </c>
      <c r="AI49" s="21">
        <f>VLOOKUP($R49,武学奇术!$A:$ZZ,26,FALSE)</f>
        <v>0.625</v>
      </c>
      <c r="AJ49" s="22">
        <f>VLOOKUP($R49,武学奇术!$A:$ZZ,27,FALSE)*(1+IF(OR($AH49=$F$4,$AH49=$F$5),$B$22,0))</f>
        <v>0</v>
      </c>
      <c r="AK49" s="21">
        <f>VLOOKUP($R49,武学奇术!$A:$ZZ,28,FALSE)</f>
        <v>0.9375</v>
      </c>
      <c r="AL49" s="22">
        <f>VLOOKUP($R49,武学奇术!$A:$ZZ,29,FALSE)*(1+IF(OR($AH49=$F$4,$AH49=$F$5),$B$22,0))</f>
        <v>0</v>
      </c>
      <c r="AM49" s="21" cm="1">
        <f t="array" ref="AM49">$G$3+IFERROR(VLOOKUP($AH49,$F$4:$G$7,2,FALSE),0)+VLOOKUP($R49,武学奇术!$A:$ZZ,2,FALSE)+SUM(_xlfn.XLOOKUP($S49:$AG49,增益!$A:$A,增益!$B:$B,0))</f>
        <v>0.7191</v>
      </c>
      <c r="AN49" s="21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1831.48</v>
      </c>
      <c r="AP49" cm="1">
        <f t="array" ref="AP49">$E$10*(1+$AN49)+VLOOKUP($R49,武学奇术!$A:$ZZ,4,FALSE)+SUM(_xlfn.XLOOKUP($S49:$AG49,增益!$A:$A,增益!$D:$D,0))-$I$2</f>
        <v>7763.56</v>
      </c>
      <c r="AQ49" s="26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0.294</v>
      </c>
      <c r="AR49" s="26" cm="1">
        <f t="array" ref="AR49">$G$10+VLOOKUP($R49,武学奇术!$A:$ZZ,7,FALSE)+SUM(_xlfn.XLOOKUP(S49:AG49,增益!$A:$A,增益!$G:$G,0))</f>
        <v>0</v>
      </c>
      <c r="AS49" s="21" cm="1">
        <f t="array" ref="AS49">VLOOKUP($R49,武学奇术!$A:$ZZ,8,FALSE)+SUM(_xlfn.XLOOKUP(S49:AG49,增益!$A:$A,增益!$H:$H,0))</f>
        <v>0</v>
      </c>
      <c r="AT49">
        <f t="shared" si="19"/>
        <v>680.02</v>
      </c>
      <c r="AU49">
        <f t="shared" si="20"/>
        <v>1288.54</v>
      </c>
      <c r="AV49" s="26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</v>
      </c>
      <c r="AW49" s="26" cm="1">
        <f t="array" ref="AW49">$G$11+VLOOKUP($R49,武学奇术!$A:$ZZ,10,FALSE)+SUM(_xlfn.XLOOKUP(S49:AG49,增益!$A:$A,增益!$J:$J,0))</f>
        <v>0.15</v>
      </c>
      <c r="AX49">
        <f t="shared" si="21"/>
        <v>0</v>
      </c>
      <c r="AY49">
        <f t="shared" si="22"/>
        <v>0</v>
      </c>
      <c r="AZ49" s="26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26" cm="1">
        <f t="array" ref="BA49">$G$12+VLOOKUP($R49,武学奇术!$A:$ZZ,12,FALSE)+SUM(_xlfn.XLOOKUP(S49:AG49,增益!$A:$A,增益!$L:$L,0))</f>
        <v>0</v>
      </c>
      <c r="BB49">
        <f t="shared" si="14"/>
        <v>0</v>
      </c>
      <c r="BC49">
        <f t="shared" si="15"/>
        <v>0</v>
      </c>
      <c r="BD49" s="26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26" cm="1">
        <f t="array" ref="BE49">$G$13+VLOOKUP($R49,武学奇术!$A:$ZZ,14,FALSE)+SUM(_xlfn.XLOOKUP(S49:AG49,增益!$A:$A,增益!$N:$N,0))</f>
        <v>0</v>
      </c>
      <c r="BF49">
        <f t="shared" si="16"/>
        <v>0</v>
      </c>
      <c r="BG49">
        <f t="shared" si="17"/>
        <v>0</v>
      </c>
      <c r="BH49" s="26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26" cm="1">
        <f t="array" ref="BI49">$G$14+VLOOKUP($R49,武学奇术!$A:$ZZ,16,FALSE)+SUM(_xlfn.XLOOKUP(S49:AG49,增益!$A:$A,增益!$P:$P,0))</f>
        <v>0</v>
      </c>
      <c r="BJ49" s="21">
        <f>MIN(IF(VLOOKUP($R49,武学奇术!$A:$ZZ,23,FALSE)=1,100%,$B$8),100%)</f>
        <v>0.8229</v>
      </c>
      <c r="BK49" s="21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0.2285</v>
      </c>
      <c r="BL49" s="21" cm="1">
        <f t="array" ref="BL49">1+$B$13+VLOOKUP($R49,武学奇术!$A:$ZZ,18,FALSE)+SUM(_xlfn.XLOOKUP(S49:AG49,增益!$A:$A,增益!$R:$R,0))</f>
        <v>1.5</v>
      </c>
      <c r="BM49" s="21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0.4495</v>
      </c>
      <c r="BN49" s="21" cm="1">
        <f t="array" ref="BN49">1+$B$14+VLOOKUP($R49,武学奇术!$A:$ZZ,20,FALSE)+SUM(_xlfn.XLOOKUP(S49:AG49,增益!$A:$A,增益!$T:$T,0))</f>
        <v>1.602</v>
      </c>
      <c r="BO49" s="21">
        <f t="shared" si="12"/>
        <v>0.18803265</v>
      </c>
      <c r="BP49" s="21">
        <f t="shared" si="18"/>
        <v>0.2649738</v>
      </c>
      <c r="BQ49" s="21">
        <f>IF(VLOOKUP($R49,武学奇术!$A:$ZZ,22,FALSE)=1,0,(1-$BJ49))*(1-$BM49)</f>
        <v>0.09749355</v>
      </c>
      <c r="BR49" s="21" cm="1">
        <f t="array" ref="BR49">SUM(_xlfn.XLOOKUP(S49:AG49,增益!$A:$A,增益!$W:$W,0))+$I$5</f>
        <v>0.06</v>
      </c>
    </row>
    <row r="50" spans="1:70">
      <c r="A50" t="s">
        <v>162</v>
      </c>
      <c r="B50">
        <v>1.7</v>
      </c>
      <c r="C50" s="31"/>
      <c r="E50" s="80"/>
      <c r="F50" s="31"/>
      <c r="K50" s="24">
        <f>$L50*VLOOKUP($R50,武学奇术!$A:$ZZ,31,FALSE)</f>
        <v>26279.7552689785</v>
      </c>
      <c r="L50" s="24">
        <f t="shared" si="13"/>
        <v>26279.7552689785</v>
      </c>
      <c r="M50" s="2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23574.4061251618</v>
      </c>
      <c r="N50" s="24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37613.2906210638</v>
      </c>
      <c r="O50" s="2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15716.2707501078</v>
      </c>
      <c r="P50" s="24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7953.58355947672</v>
      </c>
      <c r="Q50" s="31">
        <v>1</v>
      </c>
      <c r="R50" s="32" t="s">
        <v>108</v>
      </c>
      <c r="S50" s="32" t="s">
        <v>87</v>
      </c>
      <c r="T50" s="32" t="s">
        <v>104</v>
      </c>
      <c r="U50" s="32" t="s">
        <v>73</v>
      </c>
      <c r="V50" s="32" t="s">
        <v>73</v>
      </c>
      <c r="W50" s="32" t="s">
        <v>73</v>
      </c>
      <c r="X50" s="32" t="s">
        <v>127</v>
      </c>
      <c r="Y50" s="32" t="s">
        <v>73</v>
      </c>
      <c r="Z50" s="32" t="s">
        <v>73</v>
      </c>
      <c r="AA50" s="32" t="s">
        <v>81</v>
      </c>
      <c r="AB50" s="32" t="s">
        <v>75</v>
      </c>
      <c r="AC50" s="32" t="s">
        <v>76</v>
      </c>
      <c r="AD50" s="32" t="s">
        <v>82</v>
      </c>
      <c r="AE50" s="32" t="s">
        <v>73</v>
      </c>
      <c r="AF50" s="32" t="s">
        <v>73</v>
      </c>
      <c r="AG50" s="32" t="s">
        <v>178</v>
      </c>
      <c r="AH50" t="str">
        <f>VLOOKUP($R50,武学奇术!$A:$ZZ,25,FALSE)</f>
        <v>枪</v>
      </c>
      <c r="AI50" s="21">
        <f>VLOOKUP($R50,武学奇术!$A:$ZZ,26,FALSE)</f>
        <v>1.02732</v>
      </c>
      <c r="AJ50" s="22">
        <f>VLOOKUP($R50,武学奇术!$A:$ZZ,27,FALSE)*(1+IF(OR($AH50=$F$4,$AH50=$F$5),$B$22,0))</f>
        <v>426.6</v>
      </c>
      <c r="AK50" s="21">
        <f>VLOOKUP($R50,武学奇术!$A:$ZZ,28,FALSE)</f>
        <v>1.54096</v>
      </c>
      <c r="AL50" s="22">
        <f>VLOOKUP($R50,武学奇术!$A:$ZZ,29,FALSE)*(1+IF(OR($AH50=$F$4,$AH50=$F$5),$B$22,0))</f>
        <v>232.2</v>
      </c>
      <c r="AM50" s="21" cm="1">
        <f t="array" ref="AM50">$G$3+IFERROR(VLOOKUP($AH50,$F$4:$G$7,2,FALSE),0)+VLOOKUP($R50,武学奇术!$A:$ZZ,2,FALSE)+SUM(_xlfn.XLOOKUP($S50:$AG50,增益!$A:$A,增益!$B:$B,0))</f>
        <v>0.6339</v>
      </c>
      <c r="AN50" s="21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1831.48</v>
      </c>
      <c r="AP50" cm="1">
        <f t="array" ref="AP50">$E$10*(1+$AN50)+VLOOKUP($R50,武学奇术!$A:$ZZ,4,FALSE)+SUM(_xlfn.XLOOKUP($S50:$AG50,增益!$A:$A,增益!$D:$D,0))-$I$2</f>
        <v>7763.56</v>
      </c>
      <c r="AQ50" s="26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0.294</v>
      </c>
      <c r="AR50" s="26" cm="1">
        <f t="array" ref="AR50">$G$10+VLOOKUP($R50,武学奇术!$A:$ZZ,7,FALSE)+SUM(_xlfn.XLOOKUP(S50:AG50,增益!$A:$A,增益!$G:$G,0))</f>
        <v>0</v>
      </c>
      <c r="AS50" s="21" cm="1">
        <f t="array" ref="AS50">VLOOKUP($R50,武学奇术!$A:$ZZ,8,FALSE)+SUM(_xlfn.XLOOKUP(S50:AG50,增益!$A:$A,增益!$H:$H,0))</f>
        <v>0</v>
      </c>
      <c r="AT50">
        <f t="shared" si="19"/>
        <v>680.02</v>
      </c>
      <c r="AU50">
        <f t="shared" si="20"/>
        <v>1288.54</v>
      </c>
      <c r="AV50" s="26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26" cm="1">
        <f t="array" ref="AW50">$G$11+VLOOKUP($R50,武学奇术!$A:$ZZ,10,FALSE)+SUM(_xlfn.XLOOKUP(S50:AG50,增益!$A:$A,增益!$J:$J,0))</f>
        <v>0.15</v>
      </c>
      <c r="AX50">
        <f t="shared" si="21"/>
        <v>0</v>
      </c>
      <c r="AY50">
        <f t="shared" si="22"/>
        <v>0</v>
      </c>
      <c r="AZ50" s="26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26" cm="1">
        <f t="array" ref="BA50">$G$12+VLOOKUP($R50,武学奇术!$A:$ZZ,12,FALSE)+SUM(_xlfn.XLOOKUP(S50:AG50,增益!$A:$A,增益!$L:$L,0))</f>
        <v>0</v>
      </c>
      <c r="BB50">
        <f t="shared" si="14"/>
        <v>0</v>
      </c>
      <c r="BC50">
        <f t="shared" si="15"/>
        <v>0</v>
      </c>
      <c r="BD50" s="26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26" cm="1">
        <f t="array" ref="BE50">$G$13+VLOOKUP($R50,武学奇术!$A:$ZZ,14,FALSE)+SUM(_xlfn.XLOOKUP(S50:AG50,增益!$A:$A,增益!$N:$N,0))</f>
        <v>0</v>
      </c>
      <c r="BF50">
        <f t="shared" si="16"/>
        <v>0</v>
      </c>
      <c r="BG50">
        <f t="shared" si="17"/>
        <v>0</v>
      </c>
      <c r="BH50" s="26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26" cm="1">
        <f t="array" ref="BI50">$G$14+VLOOKUP($R50,武学奇术!$A:$ZZ,16,FALSE)+SUM(_xlfn.XLOOKUP(S50:AG50,增益!$A:$A,增益!$P:$P,0))</f>
        <v>0</v>
      </c>
      <c r="BJ50" s="21">
        <f>MIN(IF(VLOOKUP($R50,武学奇术!$A:$ZZ,23,FALSE)=1,100%,$B$8),100%)</f>
        <v>0.8229</v>
      </c>
      <c r="BK50" s="21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0.2285</v>
      </c>
      <c r="BL50" s="21" cm="1">
        <f t="array" ref="BL50">1+$B$13+VLOOKUP($R50,武学奇术!$A:$ZZ,18,FALSE)+SUM(_xlfn.XLOOKUP(S50:AG50,增益!$A:$A,增益!$R:$R,0))</f>
        <v>1.5</v>
      </c>
      <c r="BM50" s="21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0.4495</v>
      </c>
      <c r="BN50" s="21" cm="1">
        <f t="array" ref="BN50">1+$B$14+VLOOKUP($R50,武学奇术!$A:$ZZ,20,FALSE)+SUM(_xlfn.XLOOKUP(S50:AG50,增益!$A:$A,增益!$T:$T,0))</f>
        <v>1.602</v>
      </c>
      <c r="BO50" s="21">
        <f t="shared" si="12"/>
        <v>0.18803265</v>
      </c>
      <c r="BP50" s="21">
        <f t="shared" si="18"/>
        <v>0.2649738</v>
      </c>
      <c r="BQ50" s="21">
        <f>IF(VLOOKUP($R50,武学奇术!$A:$ZZ,22,FALSE)=1,0,(1-$BJ50))*(1-$BM50)</f>
        <v>0.09749355</v>
      </c>
      <c r="BR50" s="21" cm="1">
        <f t="array" ref="BR50">SUM(_xlfn.XLOOKUP(S50:AG50,增益!$A:$A,增益!$W:$W,0))+$I$5</f>
        <v>0.06</v>
      </c>
    </row>
    <row r="51" spans="1:70">
      <c r="A51" t="s">
        <v>165</v>
      </c>
      <c r="B51">
        <v>1</v>
      </c>
      <c r="C51" s="31"/>
      <c r="D51" s="31" t="s">
        <v>166</v>
      </c>
      <c r="E51" s="80"/>
      <c r="F51" s="31"/>
      <c r="K51" s="24">
        <f>$L51*VLOOKUP($R51,武学奇术!$A:$ZZ,31,FALSE)</f>
        <v>80690.2967064169</v>
      </c>
      <c r="L51" s="24">
        <f t="shared" si="13"/>
        <v>134483.827844028</v>
      </c>
      <c r="M51" s="2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110158.867750072</v>
      </c>
      <c r="N51" s="24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202617.138831966</v>
      </c>
      <c r="O51" s="2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73439.2451667149</v>
      </c>
      <c r="P51" s="24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33176.39222346</v>
      </c>
      <c r="Q51" s="31">
        <v>1</v>
      </c>
      <c r="R51" s="32" t="s">
        <v>95</v>
      </c>
      <c r="S51" s="32" t="s">
        <v>87</v>
      </c>
      <c r="T51" s="32" t="s">
        <v>96</v>
      </c>
      <c r="U51" s="32" t="s">
        <v>97</v>
      </c>
      <c r="V51" s="32" t="s">
        <v>98</v>
      </c>
      <c r="W51" s="32" t="s">
        <v>111</v>
      </c>
      <c r="X51" s="32" t="s">
        <v>127</v>
      </c>
      <c r="Y51" s="32" t="s">
        <v>73</v>
      </c>
      <c r="Z51" s="32" t="s">
        <v>73</v>
      </c>
      <c r="AA51" s="32" t="s">
        <v>81</v>
      </c>
      <c r="AB51" s="32" t="s">
        <v>75</v>
      </c>
      <c r="AC51" s="32" t="s">
        <v>76</v>
      </c>
      <c r="AD51" s="32" t="s">
        <v>82</v>
      </c>
      <c r="AE51" s="32" t="s">
        <v>73</v>
      </c>
      <c r="AF51" s="32" t="s">
        <v>73</v>
      </c>
      <c r="AG51" s="32" t="s">
        <v>178</v>
      </c>
      <c r="AH51" t="str">
        <f>VLOOKUP($R51,武学奇术!$A:$ZZ,25,FALSE)</f>
        <v>剑</v>
      </c>
      <c r="AI51" s="21">
        <f>VLOOKUP($R51,武学奇术!$A:$ZZ,26,FALSE)</f>
        <v>2.52</v>
      </c>
      <c r="AJ51" s="22">
        <f>VLOOKUP($R51,武学奇术!$A:$ZZ,27,FALSE)*(1+IF(OR($AH51=$F$4,$AH51=$F$5),$B$22,0))</f>
        <v>0</v>
      </c>
      <c r="AK51" s="21">
        <f>VLOOKUP($R51,武学奇术!$A:$ZZ,28,FALSE)</f>
        <v>3.78</v>
      </c>
      <c r="AL51" s="22">
        <f>VLOOKUP($R51,武学奇术!$A:$ZZ,29,FALSE)*(1+IF(OR($AH51=$F$4,$AH51=$F$5),$B$22,0))</f>
        <v>0</v>
      </c>
      <c r="AM51" s="21" cm="1">
        <f t="array" ref="AM51">$G$3+IFERROR(VLOOKUP($AH51,$F$4:$G$7,2,FALSE),0)+VLOOKUP($R51,武学奇术!$A:$ZZ,2,FALSE)+SUM(_xlfn.XLOOKUP($S51:$AG51,增益!$A:$A,增益!$B:$B,0))</f>
        <v>1.4691</v>
      </c>
      <c r="AN51" s="21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1862.48</v>
      </c>
      <c r="AP51" cm="1">
        <f t="array" ref="AP51">$E$10*(1+$AN51)+VLOOKUP($R51,武学奇术!$A:$ZZ,4,FALSE)+SUM(_xlfn.XLOOKUP($S51:$AG51,增益!$A:$A,增益!$D:$D,0))-$I$2</f>
        <v>7794.56</v>
      </c>
      <c r="AQ51" s="26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0.369</v>
      </c>
      <c r="AR51" s="26" cm="1">
        <f t="array" ref="AR51">$G$10+VLOOKUP($R51,武学奇术!$A:$ZZ,7,FALSE)+SUM(_xlfn.XLOOKUP(S51:AG51,增益!$A:$A,增益!$G:$G,0))</f>
        <v>0</v>
      </c>
      <c r="AS51" s="21" cm="1">
        <f t="array" ref="AS51">VLOOKUP($R51,武学奇术!$A:$ZZ,8,FALSE)+SUM(_xlfn.XLOOKUP(S51:AG51,增益!$A:$A,增益!$H:$H,0))</f>
        <v>0</v>
      </c>
      <c r="AT51">
        <f t="shared" si="19"/>
        <v>680.02</v>
      </c>
      <c r="AU51">
        <f t="shared" si="20"/>
        <v>1288.54</v>
      </c>
      <c r="AV51" s="26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0.075</v>
      </c>
      <c r="AW51" s="26" cm="1">
        <f t="array" ref="AW51">$G$11+VLOOKUP($R51,武学奇术!$A:$ZZ,10,FALSE)+SUM(_xlfn.XLOOKUP(S51:AG51,增益!$A:$A,增益!$J:$J,0))</f>
        <v>0.15</v>
      </c>
      <c r="AX51">
        <f t="shared" si="21"/>
        <v>0</v>
      </c>
      <c r="AY51">
        <f t="shared" si="22"/>
        <v>0</v>
      </c>
      <c r="AZ51" s="26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26" cm="1">
        <f t="array" ref="BA51">$G$12+VLOOKUP($R51,武学奇术!$A:$ZZ,12,FALSE)+SUM(_xlfn.XLOOKUP(S51:AG51,增益!$A:$A,增益!$L:$L,0))</f>
        <v>0</v>
      </c>
      <c r="BB51">
        <f t="shared" si="14"/>
        <v>0</v>
      </c>
      <c r="BC51">
        <f t="shared" si="15"/>
        <v>0</v>
      </c>
      <c r="BD51" s="26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26" cm="1">
        <f t="array" ref="BE51">$G$13+VLOOKUP($R51,武学奇术!$A:$ZZ,14,FALSE)+SUM(_xlfn.XLOOKUP(S51:AG51,增益!$A:$A,增益!$N:$N,0))</f>
        <v>0</v>
      </c>
      <c r="BF51">
        <f t="shared" si="16"/>
        <v>0</v>
      </c>
      <c r="BG51">
        <f t="shared" si="17"/>
        <v>0</v>
      </c>
      <c r="BH51" s="26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26" cm="1">
        <f t="array" ref="BI51">$G$14+VLOOKUP($R51,武学奇术!$A:$ZZ,16,FALSE)+SUM(_xlfn.XLOOKUP(S51:AG51,增益!$A:$A,增益!$P:$P,0))</f>
        <v>0</v>
      </c>
      <c r="BJ51" s="21">
        <f>MIN(IF(VLOOKUP($R51,武学奇术!$A:$ZZ,23,FALSE)=1,100%,$B$8),100%)</f>
        <v>0.8229</v>
      </c>
      <c r="BK51" s="21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0.2285</v>
      </c>
      <c r="BL51" s="21" cm="1">
        <f t="array" ref="BL51">1+$B$13+VLOOKUP($R51,武学奇术!$A:$ZZ,18,FALSE)+SUM(_xlfn.XLOOKUP(S51:AG51,增益!$A:$A,增益!$R:$R,0))</f>
        <v>1.5</v>
      </c>
      <c r="BM51" s="21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0.4495</v>
      </c>
      <c r="BN51" s="21" cm="1">
        <f t="array" ref="BN51">1+$B$14+VLOOKUP($R51,武学奇术!$A:$ZZ,20,FALSE)+SUM(_xlfn.XLOOKUP(S51:AG51,增益!$A:$A,增益!$T:$T,0))</f>
        <v>1.782</v>
      </c>
      <c r="BO51" s="21">
        <f t="shared" si="12"/>
        <v>0.18803265</v>
      </c>
      <c r="BP51" s="21">
        <f t="shared" si="18"/>
        <v>0.2649738</v>
      </c>
      <c r="BQ51" s="21">
        <f>IF(VLOOKUP($R51,武学奇术!$A:$ZZ,22,FALSE)=1,0,(1-$BJ51))*(1-$BM51)</f>
        <v>0.09749355</v>
      </c>
      <c r="BR51" s="21" cm="1">
        <f t="array" ref="BR51">SUM(_xlfn.XLOOKUP(S51:AG51,增益!$A:$A,增益!$W:$W,0))+$I$5</f>
        <v>0.06</v>
      </c>
    </row>
    <row r="52" spans="1:70">
      <c r="A52" t="s">
        <v>180</v>
      </c>
      <c r="B52">
        <v>0</v>
      </c>
      <c r="K52" s="24">
        <f>$L52*VLOOKUP($R52,武学奇术!$A:$ZZ,31,FALSE)</f>
        <v>54912.9196884778</v>
      </c>
      <c r="L52" s="24">
        <f t="shared" si="13"/>
        <v>54912.9196884778</v>
      </c>
      <c r="M52" s="2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49293.7687796305</v>
      </c>
      <c r="N52" s="24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78551.8896954373</v>
      </c>
      <c r="O52" s="2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32862.5125197537</v>
      </c>
      <c r="P52" s="24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16691.3860286226</v>
      </c>
      <c r="Q52" s="31">
        <v>1</v>
      </c>
      <c r="R52" s="32" t="s">
        <v>80</v>
      </c>
      <c r="S52" s="32" t="s">
        <v>87</v>
      </c>
      <c r="T52" s="32" t="s">
        <v>104</v>
      </c>
      <c r="U52" s="32" t="s">
        <v>73</v>
      </c>
      <c r="V52" s="32" t="s">
        <v>73</v>
      </c>
      <c r="W52" s="32" t="s">
        <v>111</v>
      </c>
      <c r="X52" s="32" t="s">
        <v>127</v>
      </c>
      <c r="Y52" s="32" t="s">
        <v>73</v>
      </c>
      <c r="Z52" s="32" t="s">
        <v>73</v>
      </c>
      <c r="AA52" s="32" t="s">
        <v>81</v>
      </c>
      <c r="AB52" s="32" t="s">
        <v>75</v>
      </c>
      <c r="AC52" s="32" t="s">
        <v>76</v>
      </c>
      <c r="AD52" s="32" t="s">
        <v>82</v>
      </c>
      <c r="AE52" s="32" t="s">
        <v>73</v>
      </c>
      <c r="AF52" s="32" t="s">
        <v>73</v>
      </c>
      <c r="AG52" s="32" t="s">
        <v>178</v>
      </c>
      <c r="AH52" t="str">
        <f>VLOOKUP($R52,武学奇术!$A:$ZZ,25,FALSE)</f>
        <v>枪</v>
      </c>
      <c r="AI52" s="21">
        <f>VLOOKUP($R52,武学奇术!$A:$ZZ,26,FALSE)</f>
        <v>2.1401</v>
      </c>
      <c r="AJ52" s="22">
        <f>VLOOKUP($R52,武学奇术!$A:$ZZ,27,FALSE)*(1+IF(OR($AH52=$F$4,$AH52=$F$5),$B$22,0))</f>
        <v>882</v>
      </c>
      <c r="AK52" s="21">
        <f>VLOOKUP($R52,武学奇术!$A:$ZZ,28,FALSE)</f>
        <v>3.2101</v>
      </c>
      <c r="AL52" s="22">
        <f>VLOOKUP($R52,武学奇术!$A:$ZZ,29,FALSE)*(1+IF(OR($AH52=$F$4,$AH52=$F$5),$B$22,0))</f>
        <v>480</v>
      </c>
      <c r="AM52" s="21" cm="1">
        <f t="array" ref="AM52">$G$3+IFERROR(VLOOKUP($AH52,$F$4:$G$7,2,FALSE),0)+VLOOKUP($R52,武学奇术!$A:$ZZ,2,FALSE)+SUM(_xlfn.XLOOKUP($S52:$AG52,增益!$A:$A,增益!$B:$B,0))</f>
        <v>0.6339</v>
      </c>
      <c r="AN52" s="21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1862.48</v>
      </c>
      <c r="AP52" cm="1">
        <f t="array" ref="AP52">$E$10*(1+$AN52)+VLOOKUP($R52,武学奇术!$A:$ZZ,4,FALSE)+SUM(_xlfn.XLOOKUP($S52:$AG52,增益!$A:$A,增益!$D:$D,0))-$I$2</f>
        <v>7794.56</v>
      </c>
      <c r="AQ52" s="26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0.294</v>
      </c>
      <c r="AR52" s="26" cm="1">
        <f t="array" ref="AR52">$G$10+VLOOKUP($R52,武学奇术!$A:$ZZ,7,FALSE)+SUM(_xlfn.XLOOKUP(S52:AG52,增益!$A:$A,增益!$G:$G,0))</f>
        <v>0</v>
      </c>
      <c r="AS52" s="21" cm="1">
        <f t="array" ref="AS52">VLOOKUP($R52,武学奇术!$A:$ZZ,8,FALSE)+SUM(_xlfn.XLOOKUP(S52:AG52,增益!$A:$A,增益!$H:$H,0))</f>
        <v>0</v>
      </c>
      <c r="AT52">
        <f t="shared" si="19"/>
        <v>680.02</v>
      </c>
      <c r="AU52">
        <f t="shared" si="20"/>
        <v>1288.54</v>
      </c>
      <c r="AV52" s="26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26" cm="1">
        <f t="array" ref="AW52">$G$11+VLOOKUP($R52,武学奇术!$A:$ZZ,10,FALSE)+SUM(_xlfn.XLOOKUP(S52:AG52,增益!$A:$A,增益!$J:$J,0))</f>
        <v>0.15</v>
      </c>
      <c r="AX52">
        <f t="shared" si="21"/>
        <v>0</v>
      </c>
      <c r="AY52">
        <f t="shared" si="22"/>
        <v>0</v>
      </c>
      <c r="AZ52" s="26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26" cm="1">
        <f t="array" ref="BA52">$G$12+VLOOKUP($R52,武学奇术!$A:$ZZ,12,FALSE)+SUM(_xlfn.XLOOKUP(S52:AG52,增益!$A:$A,增益!$L:$L,0))</f>
        <v>0</v>
      </c>
      <c r="BB52">
        <f t="shared" si="14"/>
        <v>0</v>
      </c>
      <c r="BC52">
        <f t="shared" si="15"/>
        <v>0</v>
      </c>
      <c r="BD52" s="26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26" cm="1">
        <f t="array" ref="BE52">$G$13+VLOOKUP($R52,武学奇术!$A:$ZZ,14,FALSE)+SUM(_xlfn.XLOOKUP(S52:AG52,增益!$A:$A,增益!$N:$N,0))</f>
        <v>0</v>
      </c>
      <c r="BF52">
        <f t="shared" si="16"/>
        <v>0</v>
      </c>
      <c r="BG52">
        <f t="shared" si="17"/>
        <v>0</v>
      </c>
      <c r="BH52" s="26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26" cm="1">
        <f t="array" ref="BI52">$G$14+VLOOKUP($R52,武学奇术!$A:$ZZ,16,FALSE)+SUM(_xlfn.XLOOKUP(S52:AG52,增益!$A:$A,增益!$P:$P,0))</f>
        <v>0</v>
      </c>
      <c r="BJ52" s="21">
        <f>MIN(IF(VLOOKUP($R52,武学奇术!$A:$ZZ,23,FALSE)=1,100%,$B$8),100%)</f>
        <v>0.8229</v>
      </c>
      <c r="BK52" s="21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0.2285</v>
      </c>
      <c r="BL52" s="21" cm="1">
        <f t="array" ref="BL52">1+$B$13+VLOOKUP($R52,武学奇术!$A:$ZZ,18,FALSE)+SUM(_xlfn.XLOOKUP(S52:AG52,增益!$A:$A,增益!$R:$R,0))</f>
        <v>1.5</v>
      </c>
      <c r="BM52" s="21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0.4495</v>
      </c>
      <c r="BN52" s="21" cm="1">
        <f t="array" ref="BN52">1+$B$14+VLOOKUP($R52,武学奇术!$A:$ZZ,20,FALSE)+SUM(_xlfn.XLOOKUP(S52:AG52,增益!$A:$A,增益!$T:$T,0))</f>
        <v>1.602</v>
      </c>
      <c r="BO52" s="21">
        <f t="shared" si="12"/>
        <v>0.18803265</v>
      </c>
      <c r="BP52" s="21">
        <f t="shared" si="18"/>
        <v>0.2649738</v>
      </c>
      <c r="BQ52" s="21">
        <f>IF(VLOOKUP($R52,武学奇术!$A:$ZZ,22,FALSE)=1,0,(1-$BJ52))*(1-$BM52)</f>
        <v>0.09749355</v>
      </c>
      <c r="BR52" s="21" cm="1">
        <f t="array" ref="BR52">SUM(_xlfn.XLOOKUP(S52:AG52,增益!$A:$A,增益!$W:$W,0))+$I$5</f>
        <v>0.06</v>
      </c>
    </row>
    <row r="53" spans="1:70">
      <c r="A53" t="s">
        <v>181</v>
      </c>
      <c r="B53">
        <v>20</v>
      </c>
      <c r="K53" s="24">
        <f>$L53*VLOOKUP($R53,武学奇术!$A:$ZZ,31,FALSE)</f>
        <v>40698.7183211816</v>
      </c>
      <c r="L53" s="24">
        <f t="shared" si="13"/>
        <v>40698.7183211816</v>
      </c>
      <c r="M53" s="2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36538.3815192606</v>
      </c>
      <c r="N53" s="24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58213.2741261181</v>
      </c>
      <c r="O53" s="2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24358.9210128404</v>
      </c>
      <c r="P53" s="24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12379.9680393399</v>
      </c>
      <c r="Q53" s="31">
        <v>1</v>
      </c>
      <c r="R53" s="32" t="s">
        <v>86</v>
      </c>
      <c r="S53" s="32" t="s">
        <v>87</v>
      </c>
      <c r="T53" s="32" t="s">
        <v>104</v>
      </c>
      <c r="U53" s="32" t="s">
        <v>73</v>
      </c>
      <c r="V53" s="32" t="s">
        <v>73</v>
      </c>
      <c r="W53" s="32" t="s">
        <v>111</v>
      </c>
      <c r="X53" s="32" t="s">
        <v>127</v>
      </c>
      <c r="Y53" s="32" t="s">
        <v>179</v>
      </c>
      <c r="Z53" s="32" t="s">
        <v>182</v>
      </c>
      <c r="AA53" s="32" t="s">
        <v>81</v>
      </c>
      <c r="AB53" s="32" t="s">
        <v>75</v>
      </c>
      <c r="AC53" s="32" t="s">
        <v>76</v>
      </c>
      <c r="AD53" s="32" t="s">
        <v>82</v>
      </c>
      <c r="AE53" s="32" t="s">
        <v>183</v>
      </c>
      <c r="AF53" s="32" t="s">
        <v>73</v>
      </c>
      <c r="AG53" s="32" t="s">
        <v>178</v>
      </c>
      <c r="AH53" t="str">
        <f>VLOOKUP($R53,武学奇术!$A:$ZZ,25,FALSE)</f>
        <v>剑</v>
      </c>
      <c r="AI53" s="21">
        <f>VLOOKUP($R53,武学奇术!$A:$ZZ,26,FALSE)</f>
        <v>1.1781</v>
      </c>
      <c r="AJ53" s="22">
        <f>VLOOKUP($R53,武学奇术!$A:$ZZ,27,FALSE)*(1+IF(OR($AH53=$F$4,$AH53=$F$5),$B$22,0))</f>
        <v>489</v>
      </c>
      <c r="AK53" s="21">
        <f>VLOOKUP($R53,武学奇术!$A:$ZZ,28,FALSE)</f>
        <v>1.7672</v>
      </c>
      <c r="AL53" s="22">
        <f>VLOOKUP($R53,武学奇术!$A:$ZZ,29,FALSE)*(1+IF(OR($AH53=$F$4,$AH53=$F$5),$B$22,0))</f>
        <v>265.5</v>
      </c>
      <c r="AM53" s="21" cm="1">
        <f t="array" ref="AM53">$G$3+IFERROR(VLOOKUP($AH53,$F$4:$G$7,2,FALSE),0)+VLOOKUP($R53,武学奇术!$A:$ZZ,2,FALSE)+SUM(_xlfn.XLOOKUP($S53:$AG53,增益!$A:$A,增益!$B:$B,0))</f>
        <v>1.0091</v>
      </c>
      <c r="AN53" s="21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1862.48</v>
      </c>
      <c r="AP53" cm="1">
        <f t="array" ref="AP53">$E$10*(1+$AN53)+VLOOKUP($R53,武学奇术!$A:$ZZ,4,FALSE)+SUM(_xlfn.XLOOKUP($S53:$AG53,增益!$A:$A,增益!$D:$D,0))-$I$2</f>
        <v>7794.56</v>
      </c>
      <c r="AQ53" s="26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0.294</v>
      </c>
      <c r="AR53" s="26" cm="1">
        <f t="array" ref="AR53">$G$10+VLOOKUP($R53,武学奇术!$A:$ZZ,7,FALSE)+SUM(_xlfn.XLOOKUP(S53:AG53,增益!$A:$A,增益!$G:$G,0))</f>
        <v>0</v>
      </c>
      <c r="AS53" s="21" cm="1">
        <f t="array" ref="AS53">VLOOKUP($R53,武学奇术!$A:$ZZ,8,FALSE)+SUM(_xlfn.XLOOKUP(S53:AG53,增益!$A:$A,增益!$H:$H,0))</f>
        <v>0</v>
      </c>
      <c r="AT53">
        <f t="shared" si="19"/>
        <v>680.02</v>
      </c>
      <c r="AU53">
        <f t="shared" si="20"/>
        <v>1288.54</v>
      </c>
      <c r="AV53" s="26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26" cm="1">
        <f t="array" ref="AW53">$G$11+VLOOKUP($R53,武学奇术!$A:$ZZ,10,FALSE)+SUM(_xlfn.XLOOKUP(S53:AG53,增益!$A:$A,增益!$J:$J,0))</f>
        <v>0.15</v>
      </c>
      <c r="AX53">
        <f t="shared" si="21"/>
        <v>0</v>
      </c>
      <c r="AY53">
        <f t="shared" si="22"/>
        <v>0</v>
      </c>
      <c r="AZ53" s="26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26" cm="1">
        <f t="array" ref="BA53">$G$12+VLOOKUP($R53,武学奇术!$A:$ZZ,12,FALSE)+SUM(_xlfn.XLOOKUP(S53:AG53,增益!$A:$A,增益!$L:$L,0))</f>
        <v>0</v>
      </c>
      <c r="BB53">
        <f t="shared" si="14"/>
        <v>0</v>
      </c>
      <c r="BC53">
        <f t="shared" si="15"/>
        <v>0</v>
      </c>
      <c r="BD53" s="26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26" cm="1">
        <f t="array" ref="BE53">$G$13+VLOOKUP($R53,武学奇术!$A:$ZZ,14,FALSE)+SUM(_xlfn.XLOOKUP(S53:AG53,增益!$A:$A,增益!$N:$N,0))</f>
        <v>0</v>
      </c>
      <c r="BF53">
        <f t="shared" si="16"/>
        <v>0</v>
      </c>
      <c r="BG53">
        <f t="shared" si="17"/>
        <v>0</v>
      </c>
      <c r="BH53" s="26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26" cm="1">
        <f t="array" ref="BI53">$G$14+VLOOKUP($R53,武学奇术!$A:$ZZ,16,FALSE)+SUM(_xlfn.XLOOKUP(S53:AG53,增益!$A:$A,增益!$P:$P,0))</f>
        <v>0</v>
      </c>
      <c r="BJ53" s="21">
        <f>MIN(IF(VLOOKUP($R53,武学奇术!$A:$ZZ,23,FALSE)=1,100%,$B$8),100%)</f>
        <v>0.8229</v>
      </c>
      <c r="BK53" s="21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0.2285</v>
      </c>
      <c r="BL53" s="21" cm="1">
        <f t="array" ref="BL53">1+$B$13+VLOOKUP($R53,武学奇术!$A:$ZZ,18,FALSE)+SUM(_xlfn.XLOOKUP(S53:AG53,增益!$A:$A,增益!$R:$R,0))</f>
        <v>1.5</v>
      </c>
      <c r="BM53" s="21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0.4495</v>
      </c>
      <c r="BN53" s="21" cm="1">
        <f t="array" ref="BN53">1+$B$14+VLOOKUP($R53,武学奇术!$A:$ZZ,20,FALSE)+SUM(_xlfn.XLOOKUP(S53:AG53,增益!$A:$A,增益!$T:$T,0))</f>
        <v>1.602</v>
      </c>
      <c r="BO53" s="21">
        <f t="shared" si="12"/>
        <v>0.18803265</v>
      </c>
      <c r="BP53" s="21">
        <f t="shared" si="18"/>
        <v>0.2649738</v>
      </c>
      <c r="BQ53" s="21">
        <f>IF(VLOOKUP($R53,武学奇术!$A:$ZZ,22,FALSE)=1,0,(1-$BJ53))*(1-$BM53)</f>
        <v>0.09749355</v>
      </c>
      <c r="BR53" s="21" cm="1">
        <f t="array" ref="BR53">SUM(_xlfn.XLOOKUP(S53:AG53,增益!$A:$A,增益!$W:$W,0))+$I$5</f>
        <v>0.16</v>
      </c>
    </row>
    <row r="54" spans="1:70">
      <c r="A54" t="s">
        <v>184</v>
      </c>
      <c r="B54">
        <v>1.5</v>
      </c>
      <c r="G54" s="80" t="s">
        <v>161</v>
      </c>
      <c r="K54" s="24">
        <f>$L54*VLOOKUP($R54,武学奇术!$A:$ZZ,31,FALSE)</f>
        <v>98673.8782924887</v>
      </c>
      <c r="L54" s="24">
        <f t="shared" si="13"/>
        <v>164456.463820814</v>
      </c>
      <c r="M54" s="2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134710.159125547</v>
      </c>
      <c r="N54" s="24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247774.75995435</v>
      </c>
      <c r="O54" s="2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89806.7727503645</v>
      </c>
      <c r="P54" s="24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40570.4703299377</v>
      </c>
      <c r="Q54" s="31">
        <v>1</v>
      </c>
      <c r="R54" s="32" t="s">
        <v>95</v>
      </c>
      <c r="S54" s="32" t="s">
        <v>87</v>
      </c>
      <c r="T54" s="32" t="s">
        <v>96</v>
      </c>
      <c r="U54" s="32" t="s">
        <v>97</v>
      </c>
      <c r="V54" s="32" t="s">
        <v>98</v>
      </c>
      <c r="W54" s="32" t="s">
        <v>111</v>
      </c>
      <c r="X54" s="32" t="s">
        <v>127</v>
      </c>
      <c r="Y54" s="32" t="s">
        <v>179</v>
      </c>
      <c r="Z54" s="32" t="s">
        <v>182</v>
      </c>
      <c r="AA54" s="32" t="s">
        <v>81</v>
      </c>
      <c r="AB54" s="32" t="s">
        <v>75</v>
      </c>
      <c r="AC54" s="32" t="s">
        <v>76</v>
      </c>
      <c r="AD54" s="32" t="s">
        <v>82</v>
      </c>
      <c r="AE54" s="32" t="s">
        <v>183</v>
      </c>
      <c r="AF54" s="32" t="s">
        <v>73</v>
      </c>
      <c r="AG54" s="32" t="s">
        <v>178</v>
      </c>
      <c r="AH54" t="str">
        <f>VLOOKUP($R54,武学奇术!$A:$ZZ,25,FALSE)</f>
        <v>剑</v>
      </c>
      <c r="AI54" s="21">
        <f>VLOOKUP($R54,武学奇术!$A:$ZZ,26,FALSE)</f>
        <v>2.52</v>
      </c>
      <c r="AJ54" s="22">
        <f>VLOOKUP($R54,武学奇术!$A:$ZZ,27,FALSE)*(1+IF(OR($AH54=$F$4,$AH54=$F$5),$B$22,0))</f>
        <v>0</v>
      </c>
      <c r="AK54" s="21">
        <f>VLOOKUP($R54,武学奇术!$A:$ZZ,28,FALSE)</f>
        <v>3.78</v>
      </c>
      <c r="AL54" s="22">
        <f>VLOOKUP($R54,武学奇术!$A:$ZZ,29,FALSE)*(1+IF(OR($AH54=$F$4,$AH54=$F$5),$B$22,0))</f>
        <v>0</v>
      </c>
      <c r="AM54" s="21" cm="1">
        <f t="array" ref="AM54">$G$3+IFERROR(VLOOKUP($AH54,$F$4:$G$7,2,FALSE),0)+VLOOKUP($R54,武学奇术!$A:$ZZ,2,FALSE)+SUM(_xlfn.XLOOKUP($S54:$AG54,增益!$A:$A,增益!$B:$B,0))</f>
        <v>1.7591</v>
      </c>
      <c r="AN54" s="21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1862.48</v>
      </c>
      <c r="AP54" cm="1">
        <f t="array" ref="AP54">$E$10*(1+$AN54)+VLOOKUP($R54,武学奇术!$A:$ZZ,4,FALSE)+SUM(_xlfn.XLOOKUP($S54:$AG54,增益!$A:$A,增益!$D:$D,0))-$I$2</f>
        <v>7794.56</v>
      </c>
      <c r="AQ54" s="26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0.369</v>
      </c>
      <c r="AR54" s="26" cm="1">
        <f t="array" ref="AR54">$G$10+VLOOKUP($R54,武学奇术!$A:$ZZ,7,FALSE)+SUM(_xlfn.XLOOKUP(S54:AG54,增益!$A:$A,增益!$G:$G,0))</f>
        <v>0</v>
      </c>
      <c r="AS54" s="21" cm="1">
        <f t="array" ref="AS54">VLOOKUP($R54,武学奇术!$A:$ZZ,8,FALSE)+SUM(_xlfn.XLOOKUP(S54:AG54,增益!$A:$A,增益!$H:$H,0))</f>
        <v>0</v>
      </c>
      <c r="AT54">
        <f t="shared" si="19"/>
        <v>680.02</v>
      </c>
      <c r="AU54">
        <f t="shared" si="20"/>
        <v>1288.54</v>
      </c>
      <c r="AV54" s="26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0.075</v>
      </c>
      <c r="AW54" s="26" cm="1">
        <f t="array" ref="AW54">$G$11+VLOOKUP($R54,武学奇术!$A:$ZZ,10,FALSE)+SUM(_xlfn.XLOOKUP(S54:AG54,增益!$A:$A,增益!$J:$J,0))</f>
        <v>0.15</v>
      </c>
      <c r="AX54">
        <f t="shared" si="21"/>
        <v>0</v>
      </c>
      <c r="AY54">
        <f t="shared" si="22"/>
        <v>0</v>
      </c>
      <c r="AZ54" s="26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26" cm="1">
        <f t="array" ref="BA54">$G$12+VLOOKUP($R54,武学奇术!$A:$ZZ,12,FALSE)+SUM(_xlfn.XLOOKUP(S54:AG54,增益!$A:$A,增益!$L:$L,0))</f>
        <v>0</v>
      </c>
      <c r="BB54">
        <f t="shared" si="14"/>
        <v>0</v>
      </c>
      <c r="BC54">
        <f t="shared" si="15"/>
        <v>0</v>
      </c>
      <c r="BD54" s="26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26" cm="1">
        <f t="array" ref="BE54">$G$13+VLOOKUP($R54,武学奇术!$A:$ZZ,14,FALSE)+SUM(_xlfn.XLOOKUP(S54:AG54,增益!$A:$A,增益!$N:$N,0))</f>
        <v>0</v>
      </c>
      <c r="BF54">
        <f t="shared" si="16"/>
        <v>0</v>
      </c>
      <c r="BG54">
        <f t="shared" si="17"/>
        <v>0</v>
      </c>
      <c r="BH54" s="26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26" cm="1">
        <f t="array" ref="BI54">$G$14+VLOOKUP($R54,武学奇术!$A:$ZZ,16,FALSE)+SUM(_xlfn.XLOOKUP(S54:AG54,增益!$A:$A,增益!$P:$P,0))</f>
        <v>0</v>
      </c>
      <c r="BJ54" s="21">
        <f>MIN(IF(VLOOKUP($R54,武学奇术!$A:$ZZ,23,FALSE)=1,100%,$B$8),100%)</f>
        <v>0.8229</v>
      </c>
      <c r="BK54" s="21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0.2285</v>
      </c>
      <c r="BL54" s="21" cm="1">
        <f t="array" ref="BL54">1+$B$13+VLOOKUP($R54,武学奇术!$A:$ZZ,18,FALSE)+SUM(_xlfn.XLOOKUP(S54:AG54,增益!$A:$A,增益!$R:$R,0))</f>
        <v>1.5</v>
      </c>
      <c r="BM54" s="21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0.4495</v>
      </c>
      <c r="BN54" s="21" cm="1">
        <f t="array" ref="BN54">1+$B$14+VLOOKUP($R54,武学奇术!$A:$ZZ,20,FALSE)+SUM(_xlfn.XLOOKUP(S54:AG54,增益!$A:$A,增益!$T:$T,0))</f>
        <v>1.782</v>
      </c>
      <c r="BO54" s="21">
        <f t="shared" si="12"/>
        <v>0.18803265</v>
      </c>
      <c r="BP54" s="21">
        <f t="shared" si="18"/>
        <v>0.2649738</v>
      </c>
      <c r="BQ54" s="21">
        <f>IF(VLOOKUP($R54,武学奇术!$A:$ZZ,22,FALSE)=1,0,(1-$BJ54))*(1-$BM54)</f>
        <v>0.09749355</v>
      </c>
      <c r="BR54" s="21" cm="1">
        <f t="array" ref="BR54">SUM(_xlfn.XLOOKUP(S54:AG54,增益!$A:$A,增益!$W:$W,0))+$I$5</f>
        <v>0.16</v>
      </c>
    </row>
    <row r="55" spans="1:70">
      <c r="A55" t="s">
        <v>162</v>
      </c>
      <c r="B55">
        <v>1.7</v>
      </c>
      <c r="G55" s="31"/>
      <c r="K55" s="24">
        <f>$L55*VLOOKUP($R55,武学奇术!$A:$ZZ,31,FALSE)</f>
        <v>98673.8782924887</v>
      </c>
      <c r="L55" s="24">
        <f t="shared" si="13"/>
        <v>164456.463820814</v>
      </c>
      <c r="M55" s="2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134710.159125547</v>
      </c>
      <c r="N55" s="24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247774.75995435</v>
      </c>
      <c r="O55" s="2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89806.7727503645</v>
      </c>
      <c r="P55" s="24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40570.4703299377</v>
      </c>
      <c r="Q55" s="31">
        <v>1</v>
      </c>
      <c r="R55" s="32" t="s">
        <v>95</v>
      </c>
      <c r="S55" s="32" t="s">
        <v>87</v>
      </c>
      <c r="T55" s="32" t="s">
        <v>96</v>
      </c>
      <c r="U55" s="32" t="s">
        <v>97</v>
      </c>
      <c r="V55" s="32" t="s">
        <v>98</v>
      </c>
      <c r="W55" s="32" t="s">
        <v>111</v>
      </c>
      <c r="X55" s="32" t="s">
        <v>127</v>
      </c>
      <c r="Y55" s="32" t="s">
        <v>179</v>
      </c>
      <c r="Z55" s="32" t="s">
        <v>182</v>
      </c>
      <c r="AA55" s="32" t="s">
        <v>81</v>
      </c>
      <c r="AB55" s="32" t="s">
        <v>75</v>
      </c>
      <c r="AC55" s="32" t="s">
        <v>76</v>
      </c>
      <c r="AD55" s="32" t="s">
        <v>82</v>
      </c>
      <c r="AE55" s="32" t="s">
        <v>183</v>
      </c>
      <c r="AF55" s="32" t="s">
        <v>73</v>
      </c>
      <c r="AG55" s="32" t="s">
        <v>178</v>
      </c>
      <c r="AH55" t="str">
        <f>VLOOKUP($R55,武学奇术!$A:$ZZ,25,FALSE)</f>
        <v>剑</v>
      </c>
      <c r="AI55" s="21">
        <f>VLOOKUP($R55,武学奇术!$A:$ZZ,26,FALSE)</f>
        <v>2.52</v>
      </c>
      <c r="AJ55" s="22">
        <f>VLOOKUP($R55,武学奇术!$A:$ZZ,27,FALSE)*(1+IF(OR($AH55=$F$4,$AH55=$F$5),$B$22,0))</f>
        <v>0</v>
      </c>
      <c r="AK55" s="21">
        <f>VLOOKUP($R55,武学奇术!$A:$ZZ,28,FALSE)</f>
        <v>3.78</v>
      </c>
      <c r="AL55" s="22">
        <f>VLOOKUP($R55,武学奇术!$A:$ZZ,29,FALSE)*(1+IF(OR($AH55=$F$4,$AH55=$F$5),$B$22,0))</f>
        <v>0</v>
      </c>
      <c r="AM55" s="21" cm="1">
        <f t="array" ref="AM55">$G$3+IFERROR(VLOOKUP($AH55,$F$4:$G$7,2,FALSE),0)+VLOOKUP($R55,武学奇术!$A:$ZZ,2,FALSE)+SUM(_xlfn.XLOOKUP($S55:$AG55,增益!$A:$A,增益!$B:$B,0))</f>
        <v>1.7591</v>
      </c>
      <c r="AN55" s="21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1862.48</v>
      </c>
      <c r="AP55" cm="1">
        <f t="array" ref="AP55">$E$10*(1+$AN55)+VLOOKUP($R55,武学奇术!$A:$ZZ,4,FALSE)+SUM(_xlfn.XLOOKUP($S55:$AG55,增益!$A:$A,增益!$D:$D,0))-$I$2</f>
        <v>7794.56</v>
      </c>
      <c r="AQ55" s="26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0.369</v>
      </c>
      <c r="AR55" s="26" cm="1">
        <f t="array" ref="AR55">$G$10+VLOOKUP($R55,武学奇术!$A:$ZZ,7,FALSE)+SUM(_xlfn.XLOOKUP(S55:AG55,增益!$A:$A,增益!$G:$G,0))</f>
        <v>0</v>
      </c>
      <c r="AS55" s="21" cm="1">
        <f t="array" ref="AS55">VLOOKUP($R55,武学奇术!$A:$ZZ,8,FALSE)+SUM(_xlfn.XLOOKUP(S55:AG55,增益!$A:$A,增益!$H:$H,0))</f>
        <v>0</v>
      </c>
      <c r="AT55">
        <f t="shared" si="19"/>
        <v>680.02</v>
      </c>
      <c r="AU55">
        <f t="shared" si="20"/>
        <v>1288.54</v>
      </c>
      <c r="AV55" s="26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26" cm="1">
        <f t="array" ref="AW55">$G$11+VLOOKUP($R55,武学奇术!$A:$ZZ,10,FALSE)+SUM(_xlfn.XLOOKUP(S55:AG55,增益!$A:$A,增益!$J:$J,0))</f>
        <v>0.15</v>
      </c>
      <c r="AX55">
        <f t="shared" si="21"/>
        <v>0</v>
      </c>
      <c r="AY55">
        <f t="shared" si="22"/>
        <v>0</v>
      </c>
      <c r="AZ55" s="26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26" cm="1">
        <f t="array" ref="BA55">$G$12+VLOOKUP($R55,武学奇术!$A:$ZZ,12,FALSE)+SUM(_xlfn.XLOOKUP(S55:AG55,增益!$A:$A,增益!$L:$L,0))</f>
        <v>0</v>
      </c>
      <c r="BB55">
        <f t="shared" si="14"/>
        <v>0</v>
      </c>
      <c r="BC55">
        <f t="shared" si="15"/>
        <v>0</v>
      </c>
      <c r="BD55" s="26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26" cm="1">
        <f t="array" ref="BE55">$G$13+VLOOKUP($R55,武学奇术!$A:$ZZ,14,FALSE)+SUM(_xlfn.XLOOKUP(S55:AG55,增益!$A:$A,增益!$N:$N,0))</f>
        <v>0</v>
      </c>
      <c r="BF55">
        <f t="shared" si="16"/>
        <v>0</v>
      </c>
      <c r="BG55">
        <f t="shared" si="17"/>
        <v>0</v>
      </c>
      <c r="BH55" s="26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26" cm="1">
        <f t="array" ref="BI55">$G$14+VLOOKUP($R55,武学奇术!$A:$ZZ,16,FALSE)+SUM(_xlfn.XLOOKUP(S55:AG55,增益!$A:$A,增益!$P:$P,0))</f>
        <v>0</v>
      </c>
      <c r="BJ55" s="21">
        <f>MIN(IF(VLOOKUP($R55,武学奇术!$A:$ZZ,23,FALSE)=1,100%,$B$8),100%)</f>
        <v>0.8229</v>
      </c>
      <c r="BK55" s="21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0.2285</v>
      </c>
      <c r="BL55" s="21" cm="1">
        <f t="array" ref="BL55">1+$B$13+VLOOKUP($R55,武学奇术!$A:$ZZ,18,FALSE)+SUM(_xlfn.XLOOKUP(S55:AG55,增益!$A:$A,增益!$R:$R,0))</f>
        <v>1.5</v>
      </c>
      <c r="BM55" s="21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0.4495</v>
      </c>
      <c r="BN55" s="21" cm="1">
        <f t="array" ref="BN55">1+$B$14+VLOOKUP($R55,武学奇术!$A:$ZZ,20,FALSE)+SUM(_xlfn.XLOOKUP(S55:AG55,增益!$A:$A,增益!$T:$T,0))</f>
        <v>1.782</v>
      </c>
      <c r="BO55" s="21">
        <f t="shared" si="12"/>
        <v>0.18803265</v>
      </c>
      <c r="BP55" s="21">
        <f t="shared" si="18"/>
        <v>0.2649738</v>
      </c>
      <c r="BQ55" s="21">
        <f>IF(VLOOKUP($R55,武学奇术!$A:$ZZ,22,FALSE)=1,0,(1-$BJ55))*(1-$BM55)</f>
        <v>0.09749355</v>
      </c>
      <c r="BR55" s="21" cm="1">
        <f t="array" ref="BR55">SUM(_xlfn.XLOOKUP(S55:AG55,增益!$A:$A,增益!$W:$W,0))+$I$5</f>
        <v>0.16</v>
      </c>
    </row>
    <row r="56" spans="1:70">
      <c r="A56" t="s">
        <v>165</v>
      </c>
      <c r="B56">
        <v>1</v>
      </c>
      <c r="D56" s="31" t="s">
        <v>166</v>
      </c>
      <c r="E56" s="80" t="s">
        <v>163</v>
      </c>
      <c r="F56" s="80" t="s">
        <v>164</v>
      </c>
      <c r="G56" s="31"/>
      <c r="K56" s="24">
        <f>$L56*VLOOKUP($R56,武学奇术!$A:$ZZ,31,FALSE)</f>
        <v>32479.520552222</v>
      </c>
      <c r="L56" s="24">
        <f t="shared" si="13"/>
        <v>32479.520552222</v>
      </c>
      <c r="M56" s="2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29159.5905809494</v>
      </c>
      <c r="N56" s="24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46456.6956161736</v>
      </c>
      <c r="O56" s="2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19439.7270539663</v>
      </c>
      <c r="P56" s="24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9880.26833004639</v>
      </c>
      <c r="Q56" s="31">
        <v>1</v>
      </c>
      <c r="R56" s="32" t="s">
        <v>124</v>
      </c>
      <c r="S56" s="32" t="s">
        <v>87</v>
      </c>
      <c r="T56" s="32" t="s">
        <v>104</v>
      </c>
      <c r="U56" s="32" t="s">
        <v>73</v>
      </c>
      <c r="V56" s="32" t="s">
        <v>73</v>
      </c>
      <c r="W56" s="32" t="s">
        <v>111</v>
      </c>
      <c r="X56" s="32" t="s">
        <v>127</v>
      </c>
      <c r="Y56" s="32" t="s">
        <v>179</v>
      </c>
      <c r="Z56" s="32" t="s">
        <v>182</v>
      </c>
      <c r="AA56" s="32" t="s">
        <v>81</v>
      </c>
      <c r="AB56" s="32" t="s">
        <v>75</v>
      </c>
      <c r="AC56" s="32" t="s">
        <v>76</v>
      </c>
      <c r="AD56" s="32" t="s">
        <v>82</v>
      </c>
      <c r="AE56" s="32" t="s">
        <v>183</v>
      </c>
      <c r="AF56" s="32" t="s">
        <v>73</v>
      </c>
      <c r="AG56" s="32" t="s">
        <v>178</v>
      </c>
      <c r="AH56" t="str">
        <f>VLOOKUP($R56,武学奇术!$A:$ZZ,25,FALSE)</f>
        <v>剑</v>
      </c>
      <c r="AI56" s="21">
        <f>VLOOKUP($R56,武学奇术!$A:$ZZ,26,FALSE)</f>
        <v>0.94015</v>
      </c>
      <c r="AJ56" s="22">
        <f>VLOOKUP($R56,武学奇术!$A:$ZZ,27,FALSE)*(1+IF(OR($AH56=$F$4,$AH56=$F$5),$B$22,0))</f>
        <v>390</v>
      </c>
      <c r="AK56" s="21">
        <f>VLOOKUP($R56,武学奇术!$A:$ZZ,28,FALSE)</f>
        <v>1.41025</v>
      </c>
      <c r="AL56" s="22">
        <f>VLOOKUP($R56,武学奇术!$A:$ZZ,29,FALSE)*(1+IF(OR($AH56=$F$4,$AH56=$F$5),$B$22,0))</f>
        <v>212.25</v>
      </c>
      <c r="AM56" s="21" cm="1">
        <f t="array" ref="AM56">$G$3+IFERROR(VLOOKUP($AH56,$F$4:$G$7,2,FALSE),0)+VLOOKUP($R56,武学奇术!$A:$ZZ,2,FALSE)+SUM(_xlfn.XLOOKUP($S56:$AG56,增益!$A:$A,增益!$B:$B,0))</f>
        <v>1.0091</v>
      </c>
      <c r="AN56" s="21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1862.48</v>
      </c>
      <c r="AP56" cm="1">
        <f t="array" ref="AP56">$E$10*(1+$AN56)+VLOOKUP($R56,武学奇术!$A:$ZZ,4,FALSE)+SUM(_xlfn.XLOOKUP($S56:$AG56,增益!$A:$A,增益!$D:$D,0))-$I$2</f>
        <v>7794.56</v>
      </c>
      <c r="AQ56" s="26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0.294</v>
      </c>
      <c r="AR56" s="26" cm="1">
        <f t="array" ref="AR56">$G$10+VLOOKUP($R56,武学奇术!$A:$ZZ,7,FALSE)+SUM(_xlfn.XLOOKUP(S56:AG56,增益!$A:$A,增益!$G:$G,0))</f>
        <v>0</v>
      </c>
      <c r="AS56" s="21" cm="1">
        <f t="array" ref="AS56">VLOOKUP($R56,武学奇术!$A:$ZZ,8,FALSE)+SUM(_xlfn.XLOOKUP(S56:AG56,增益!$A:$A,增益!$H:$H,0))</f>
        <v>0</v>
      </c>
      <c r="AT56">
        <f t="shared" si="19"/>
        <v>680.02</v>
      </c>
      <c r="AU56">
        <f t="shared" si="20"/>
        <v>1288.54</v>
      </c>
      <c r="AV56" s="26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26" cm="1">
        <f t="array" ref="AW56">$G$11+VLOOKUP($R56,武学奇术!$A:$ZZ,10,FALSE)+SUM(_xlfn.XLOOKUP(S56:AG56,增益!$A:$A,增益!$J:$J,0))</f>
        <v>0.15</v>
      </c>
      <c r="AX56">
        <f t="shared" si="21"/>
        <v>0</v>
      </c>
      <c r="AY56">
        <f t="shared" si="22"/>
        <v>0</v>
      </c>
      <c r="AZ56" s="26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26" cm="1">
        <f t="array" ref="BA56">$G$12+VLOOKUP($R56,武学奇术!$A:$ZZ,12,FALSE)+SUM(_xlfn.XLOOKUP(S56:AG56,增益!$A:$A,增益!$L:$L,0))</f>
        <v>0</v>
      </c>
      <c r="BB56">
        <f t="shared" si="14"/>
        <v>0</v>
      </c>
      <c r="BC56">
        <f t="shared" si="15"/>
        <v>0</v>
      </c>
      <c r="BD56" s="26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26" cm="1">
        <f t="array" ref="BE56">$G$13+VLOOKUP($R56,武学奇术!$A:$ZZ,14,FALSE)+SUM(_xlfn.XLOOKUP(S56:AG56,增益!$A:$A,增益!$N:$N,0))</f>
        <v>0</v>
      </c>
      <c r="BF56">
        <f t="shared" si="16"/>
        <v>0</v>
      </c>
      <c r="BG56">
        <f t="shared" si="17"/>
        <v>0</v>
      </c>
      <c r="BH56" s="26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26" cm="1">
        <f t="array" ref="BI56">$G$14+VLOOKUP($R56,武学奇术!$A:$ZZ,16,FALSE)+SUM(_xlfn.XLOOKUP(S56:AG56,增益!$A:$A,增益!$P:$P,0))</f>
        <v>0</v>
      </c>
      <c r="BJ56" s="21">
        <f>MIN(IF(VLOOKUP($R56,武学奇术!$A:$ZZ,23,FALSE)=1,100%,$B$8),100%)</f>
        <v>0.8229</v>
      </c>
      <c r="BK56" s="21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0.2285</v>
      </c>
      <c r="BL56" s="21" cm="1">
        <f t="array" ref="BL56">1+$B$13+VLOOKUP($R56,武学奇术!$A:$ZZ,18,FALSE)+SUM(_xlfn.XLOOKUP(S56:AG56,增益!$A:$A,增益!$R:$R,0))</f>
        <v>1.5</v>
      </c>
      <c r="BM56" s="21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0.4495</v>
      </c>
      <c r="BN56" s="21" cm="1">
        <f t="array" ref="BN56">1+$B$14+VLOOKUP($R56,武学奇术!$A:$ZZ,20,FALSE)+SUM(_xlfn.XLOOKUP(S56:AG56,增益!$A:$A,增益!$T:$T,0))</f>
        <v>1.602</v>
      </c>
      <c r="BO56" s="21">
        <f t="shared" si="12"/>
        <v>0.18803265</v>
      </c>
      <c r="BP56" s="21">
        <f t="shared" si="18"/>
        <v>0.2649738</v>
      </c>
      <c r="BQ56" s="21">
        <f>IF(VLOOKUP($R56,武学奇术!$A:$ZZ,22,FALSE)=1,0,(1-$BJ56))*(1-$BM56)</f>
        <v>0.09749355</v>
      </c>
      <c r="BR56" s="21" cm="1">
        <f t="array" ref="BR56">SUM(_xlfn.XLOOKUP(S56:AG56,增益!$A:$A,增益!$W:$W,0))+$I$5</f>
        <v>0.16</v>
      </c>
    </row>
    <row r="57" spans="1:70">
      <c r="A57" t="s">
        <v>168</v>
      </c>
      <c r="B57">
        <v>2.6</v>
      </c>
      <c r="D57" s="31"/>
      <c r="E57" s="80"/>
      <c r="F57" s="31"/>
      <c r="G57" s="31"/>
      <c r="K57" s="24">
        <f>$L57*VLOOKUP($R57,武学奇术!$A:$ZZ,31,FALSE)</f>
        <v>40698.7183211816</v>
      </c>
      <c r="L57" s="24">
        <f t="shared" si="13"/>
        <v>40698.7183211816</v>
      </c>
      <c r="M57" s="2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36538.3815192606</v>
      </c>
      <c r="N57" s="24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58213.2741261181</v>
      </c>
      <c r="O57" s="2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24358.9210128404</v>
      </c>
      <c r="P57" s="24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12379.9680393399</v>
      </c>
      <c r="Q57" s="31">
        <v>1</v>
      </c>
      <c r="R57" s="32" t="s">
        <v>86</v>
      </c>
      <c r="S57" s="32" t="s">
        <v>87</v>
      </c>
      <c r="T57" s="32" t="s">
        <v>104</v>
      </c>
      <c r="U57" s="32" t="s">
        <v>73</v>
      </c>
      <c r="V57" s="32" t="s">
        <v>73</v>
      </c>
      <c r="W57" s="32" t="s">
        <v>111</v>
      </c>
      <c r="X57" s="32" t="s">
        <v>127</v>
      </c>
      <c r="Y57" s="32" t="s">
        <v>179</v>
      </c>
      <c r="Z57" s="32" t="s">
        <v>182</v>
      </c>
      <c r="AA57" s="32" t="s">
        <v>73</v>
      </c>
      <c r="AB57" s="32" t="s">
        <v>75</v>
      </c>
      <c r="AC57" s="32" t="s">
        <v>76</v>
      </c>
      <c r="AD57" s="32" t="s">
        <v>82</v>
      </c>
      <c r="AE57" s="32" t="s">
        <v>183</v>
      </c>
      <c r="AF57" s="32" t="s">
        <v>73</v>
      </c>
      <c r="AG57" s="32" t="s">
        <v>178</v>
      </c>
      <c r="AH57" t="str">
        <f>VLOOKUP($R57,武学奇术!$A:$ZZ,25,FALSE)</f>
        <v>剑</v>
      </c>
      <c r="AI57" s="21">
        <f>VLOOKUP($R57,武学奇术!$A:$ZZ,26,FALSE)</f>
        <v>1.1781</v>
      </c>
      <c r="AJ57" s="22">
        <f>VLOOKUP($R57,武学奇术!$A:$ZZ,27,FALSE)*(1+IF(OR($AH57=$F$4,$AH57=$F$5),$B$22,0))</f>
        <v>489</v>
      </c>
      <c r="AK57" s="21">
        <f>VLOOKUP($R57,武学奇术!$A:$ZZ,28,FALSE)</f>
        <v>1.7672</v>
      </c>
      <c r="AL57" s="22">
        <f>VLOOKUP($R57,武学奇术!$A:$ZZ,29,FALSE)*(1+IF(OR($AH57=$F$4,$AH57=$F$5),$B$22,0))</f>
        <v>265.5</v>
      </c>
      <c r="AM57" s="21" cm="1">
        <f t="array" ref="AM57">$G$3+IFERROR(VLOOKUP($AH57,$F$4:$G$7,2,FALSE),0)+VLOOKUP($R57,武学奇术!$A:$ZZ,2,FALSE)+SUM(_xlfn.XLOOKUP($S57:$AG57,增益!$A:$A,增益!$B:$B,0))</f>
        <v>1.0091</v>
      </c>
      <c r="AN57" s="21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1862.48</v>
      </c>
      <c r="AP57" cm="1">
        <f t="array" ref="AP57">$E$10*(1+$AN57)+VLOOKUP($R57,武学奇术!$A:$ZZ,4,FALSE)+SUM(_xlfn.XLOOKUP($S57:$AG57,增益!$A:$A,增益!$D:$D,0))-$I$2</f>
        <v>7794.56</v>
      </c>
      <c r="AQ57" s="26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0.294</v>
      </c>
      <c r="AR57" s="26" cm="1">
        <f t="array" ref="AR57">$G$10+VLOOKUP($R57,武学奇术!$A:$ZZ,7,FALSE)+SUM(_xlfn.XLOOKUP(S57:AG57,增益!$A:$A,增益!$G:$G,0))</f>
        <v>0</v>
      </c>
      <c r="AS57" s="21" cm="1">
        <f t="array" ref="AS57">VLOOKUP($R57,武学奇术!$A:$ZZ,8,FALSE)+SUM(_xlfn.XLOOKUP(S57:AG57,增益!$A:$A,增益!$H:$H,0))</f>
        <v>0</v>
      </c>
      <c r="AT57">
        <f t="shared" si="19"/>
        <v>680.02</v>
      </c>
      <c r="AU57">
        <f t="shared" si="20"/>
        <v>1288.54</v>
      </c>
      <c r="AV57" s="26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26" cm="1">
        <f t="array" ref="AW57">$G$11+VLOOKUP($R57,武学奇术!$A:$ZZ,10,FALSE)+SUM(_xlfn.XLOOKUP(S57:AG57,增益!$A:$A,增益!$J:$J,0))</f>
        <v>0.15</v>
      </c>
      <c r="AX57">
        <f t="shared" si="21"/>
        <v>0</v>
      </c>
      <c r="AY57">
        <f t="shared" si="22"/>
        <v>0</v>
      </c>
      <c r="AZ57" s="26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26" cm="1">
        <f t="array" ref="BA57">$G$12+VLOOKUP($R57,武学奇术!$A:$ZZ,12,FALSE)+SUM(_xlfn.XLOOKUP(S57:AG57,增益!$A:$A,增益!$L:$L,0))</f>
        <v>0</v>
      </c>
      <c r="BB57">
        <f t="shared" si="14"/>
        <v>0</v>
      </c>
      <c r="BC57">
        <f t="shared" si="15"/>
        <v>0</v>
      </c>
      <c r="BD57" s="26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26" cm="1">
        <f t="array" ref="BE57">$G$13+VLOOKUP($R57,武学奇术!$A:$ZZ,14,FALSE)+SUM(_xlfn.XLOOKUP(S57:AG57,增益!$A:$A,增益!$N:$N,0))</f>
        <v>0</v>
      </c>
      <c r="BF57">
        <f t="shared" si="16"/>
        <v>0</v>
      </c>
      <c r="BG57">
        <f t="shared" si="17"/>
        <v>0</v>
      </c>
      <c r="BH57" s="26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26" cm="1">
        <f t="array" ref="BI57">$G$14+VLOOKUP($R57,武学奇术!$A:$ZZ,16,FALSE)+SUM(_xlfn.XLOOKUP(S57:AG57,增益!$A:$A,增益!$P:$P,0))</f>
        <v>0</v>
      </c>
      <c r="BJ57" s="21">
        <f>MIN(IF(VLOOKUP($R57,武学奇术!$A:$ZZ,23,FALSE)=1,100%,$B$8),100%)</f>
        <v>0.8229</v>
      </c>
      <c r="BK57" s="21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0.2285</v>
      </c>
      <c r="BL57" s="21" cm="1">
        <f t="array" ref="BL57">1+$B$13+VLOOKUP($R57,武学奇术!$A:$ZZ,18,FALSE)+SUM(_xlfn.XLOOKUP(S57:AG57,增益!$A:$A,增益!$R:$R,0))</f>
        <v>1.5</v>
      </c>
      <c r="BM57" s="21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0.4495</v>
      </c>
      <c r="BN57" s="21" cm="1">
        <f t="array" ref="BN57">1+$B$14+VLOOKUP($R57,武学奇术!$A:$ZZ,20,FALSE)+SUM(_xlfn.XLOOKUP(S57:AG57,增益!$A:$A,增益!$T:$T,0))</f>
        <v>1.602</v>
      </c>
      <c r="BO57" s="21">
        <f t="shared" si="12"/>
        <v>0.18803265</v>
      </c>
      <c r="BP57" s="21">
        <f t="shared" si="18"/>
        <v>0.2649738</v>
      </c>
      <c r="BQ57" s="21">
        <f>IF(VLOOKUP($R57,武学奇术!$A:$ZZ,22,FALSE)=1,0,(1-$BJ57))*(1-$BM57)</f>
        <v>0.09749355</v>
      </c>
      <c r="BR57" s="21" cm="1">
        <f t="array" ref="BR57">SUM(_xlfn.XLOOKUP(S57:AG57,增益!$A:$A,增益!$W:$W,0))+$I$5</f>
        <v>0.16</v>
      </c>
    </row>
    <row r="58" spans="1:70">
      <c r="A58" t="s">
        <v>162</v>
      </c>
      <c r="B58">
        <v>1.7</v>
      </c>
      <c r="D58" s="31"/>
      <c r="E58" s="80"/>
      <c r="F58" s="31"/>
      <c r="G58" s="31"/>
      <c r="K58" s="24">
        <f>$L58*VLOOKUP($R58,武学奇术!$A:$ZZ,31,FALSE)</f>
        <v>148664.85597261</v>
      </c>
      <c r="L58" s="24">
        <f t="shared" si="13"/>
        <v>247774.75995435</v>
      </c>
      <c r="M58" s="2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134710.159125547</v>
      </c>
      <c r="N58" s="24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247774.75995435</v>
      </c>
      <c r="O58" s="2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89806.7727503645</v>
      </c>
      <c r="P58" s="24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40570.4703299377</v>
      </c>
      <c r="Q58" s="31">
        <v>1</v>
      </c>
      <c r="R58" s="32" t="s">
        <v>120</v>
      </c>
      <c r="S58" s="32" t="s">
        <v>87</v>
      </c>
      <c r="T58" s="32" t="s">
        <v>96</v>
      </c>
      <c r="U58" s="32" t="s">
        <v>97</v>
      </c>
      <c r="V58" s="32" t="s">
        <v>98</v>
      </c>
      <c r="W58" s="32" t="s">
        <v>111</v>
      </c>
      <c r="X58" s="32" t="s">
        <v>127</v>
      </c>
      <c r="Y58" s="32" t="s">
        <v>179</v>
      </c>
      <c r="Z58" s="32" t="s">
        <v>182</v>
      </c>
      <c r="AA58" s="32" t="s">
        <v>73</v>
      </c>
      <c r="AB58" s="32" t="s">
        <v>75</v>
      </c>
      <c r="AC58" s="32" t="s">
        <v>76</v>
      </c>
      <c r="AD58" s="32" t="s">
        <v>82</v>
      </c>
      <c r="AE58" s="32" t="s">
        <v>183</v>
      </c>
      <c r="AF58" s="32" t="s">
        <v>73</v>
      </c>
      <c r="AG58" s="32" t="s">
        <v>178</v>
      </c>
      <c r="AH58" t="str">
        <f>VLOOKUP($R58,武学奇术!$A:$ZZ,25,FALSE)</f>
        <v>剑</v>
      </c>
      <c r="AI58" s="21">
        <f>VLOOKUP($R58,武学奇术!$A:$ZZ,26,FALSE)</f>
        <v>2.52</v>
      </c>
      <c r="AJ58" s="22">
        <f>VLOOKUP($R58,武学奇术!$A:$ZZ,27,FALSE)*(1+IF(OR($AH58=$F$4,$AH58=$F$5),$B$22,0))</f>
        <v>0</v>
      </c>
      <c r="AK58" s="21">
        <f>VLOOKUP($R58,武学奇术!$A:$ZZ,28,FALSE)</f>
        <v>3.78</v>
      </c>
      <c r="AL58" s="22">
        <f>VLOOKUP($R58,武学奇术!$A:$ZZ,29,FALSE)*(1+IF(OR($AH58=$F$4,$AH58=$F$5),$B$22,0))</f>
        <v>0</v>
      </c>
      <c r="AM58" s="21" cm="1">
        <f t="array" ref="AM58">$G$3+IFERROR(VLOOKUP($AH58,$F$4:$G$7,2,FALSE),0)+VLOOKUP($R58,武学奇术!$A:$ZZ,2,FALSE)+SUM(_xlfn.XLOOKUP($S58:$AG58,增益!$A:$A,增益!$B:$B,0))</f>
        <v>1.7591</v>
      </c>
      <c r="AN58" s="21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1862.48</v>
      </c>
      <c r="AP58" cm="1">
        <f t="array" ref="AP58">$E$10*(1+$AN58)+VLOOKUP($R58,武学奇术!$A:$ZZ,4,FALSE)+SUM(_xlfn.XLOOKUP($S58:$AG58,增益!$A:$A,增益!$D:$D,0))-$I$2</f>
        <v>7794.56</v>
      </c>
      <c r="AQ58" s="26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0.369</v>
      </c>
      <c r="AR58" s="26" cm="1">
        <f t="array" ref="AR58">$G$10+VLOOKUP($R58,武学奇术!$A:$ZZ,7,FALSE)+SUM(_xlfn.XLOOKUP(S58:AG58,增益!$A:$A,增益!$G:$G,0))</f>
        <v>0</v>
      </c>
      <c r="AS58" s="21" cm="1">
        <f t="array" ref="AS58">VLOOKUP($R58,武学奇术!$A:$ZZ,8,FALSE)+SUM(_xlfn.XLOOKUP(S58:AG58,增益!$A:$A,增益!$H:$H,0))</f>
        <v>0</v>
      </c>
      <c r="AT58">
        <f t="shared" si="19"/>
        <v>680.02</v>
      </c>
      <c r="AU58">
        <f t="shared" si="20"/>
        <v>1288.54</v>
      </c>
      <c r="AV58" s="26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0.075</v>
      </c>
      <c r="AW58" s="26" cm="1">
        <f t="array" ref="AW58">$G$11+VLOOKUP($R58,武学奇术!$A:$ZZ,10,FALSE)+SUM(_xlfn.XLOOKUP(S58:AG58,增益!$A:$A,增益!$J:$J,0))</f>
        <v>0.15</v>
      </c>
      <c r="AX58">
        <f t="shared" si="21"/>
        <v>0</v>
      </c>
      <c r="AY58">
        <f t="shared" si="22"/>
        <v>0</v>
      </c>
      <c r="AZ58" s="26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26" cm="1">
        <f t="array" ref="BA58">$G$12+VLOOKUP($R58,武学奇术!$A:$ZZ,12,FALSE)+SUM(_xlfn.XLOOKUP(S58:AG58,增益!$A:$A,增益!$L:$L,0))</f>
        <v>0</v>
      </c>
      <c r="BB58">
        <f t="shared" si="14"/>
        <v>0</v>
      </c>
      <c r="BC58">
        <f t="shared" si="15"/>
        <v>0</v>
      </c>
      <c r="BD58" s="26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26" cm="1">
        <f t="array" ref="BE58">$G$13+VLOOKUP($R58,武学奇术!$A:$ZZ,14,FALSE)+SUM(_xlfn.XLOOKUP(S58:AG58,增益!$A:$A,增益!$N:$N,0))</f>
        <v>0</v>
      </c>
      <c r="BF58">
        <f t="shared" si="16"/>
        <v>0</v>
      </c>
      <c r="BG58">
        <f t="shared" si="17"/>
        <v>0</v>
      </c>
      <c r="BH58" s="26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26" cm="1">
        <f t="array" ref="BI58">$G$14+VLOOKUP($R58,武学奇术!$A:$ZZ,16,FALSE)+SUM(_xlfn.XLOOKUP(S58:AG58,增益!$A:$A,增益!$P:$P,0))</f>
        <v>0</v>
      </c>
      <c r="BJ58" s="21">
        <f>MIN(IF(VLOOKUP($R58,武学奇术!$A:$ZZ,23,FALSE)=1,100%,$B$8),100%)</f>
        <v>0.8229</v>
      </c>
      <c r="BK58" s="21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21" cm="1">
        <f t="array" ref="BL58">1+$B$13+VLOOKUP($R58,武学奇术!$A:$ZZ,18,FALSE)+SUM(_xlfn.XLOOKUP(S58:AG58,增益!$A:$A,增益!$R:$R,0))</f>
        <v>1.5</v>
      </c>
      <c r="BM58" s="21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21" cm="1">
        <f t="array" ref="BN58">1+$B$14+VLOOKUP($R58,武学奇术!$A:$ZZ,20,FALSE)+SUM(_xlfn.XLOOKUP(S58:AG58,增益!$A:$A,增益!$T:$T,0))</f>
        <v>1.782</v>
      </c>
      <c r="BO58" s="21">
        <f t="shared" si="12"/>
        <v>0</v>
      </c>
      <c r="BP58" s="21">
        <f t="shared" si="18"/>
        <v>0</v>
      </c>
      <c r="BQ58" s="21">
        <f>IF(VLOOKUP($R58,武学奇术!$A:$ZZ,22,FALSE)=1,0,(1-$BJ58))*(1-$BM58)</f>
        <v>0</v>
      </c>
      <c r="BR58" s="21" cm="1">
        <f t="array" ref="BR58">SUM(_xlfn.XLOOKUP(S58:AG58,增益!$A:$A,增益!$W:$W,0))+$I$5</f>
        <v>0.16</v>
      </c>
    </row>
    <row r="59" spans="1:70">
      <c r="A59" t="s">
        <v>185</v>
      </c>
      <c r="B59">
        <v>1</v>
      </c>
      <c r="D59" s="31"/>
      <c r="E59" s="80"/>
      <c r="F59" s="31"/>
      <c r="G59" s="31"/>
      <c r="K59" s="24">
        <f>$L59*VLOOKUP($R59,武学奇术!$A:$ZZ,31,FALSE)</f>
        <v>98673.8782924887</v>
      </c>
      <c r="L59" s="24">
        <f t="shared" si="13"/>
        <v>164456.463820814</v>
      </c>
      <c r="M59" s="2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134710.159125547</v>
      </c>
      <c r="N59" s="24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247774.75995435</v>
      </c>
      <c r="O59" s="2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89806.7727503645</v>
      </c>
      <c r="P59" s="24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40570.4703299377</v>
      </c>
      <c r="Q59" s="31">
        <v>1</v>
      </c>
      <c r="R59" s="32" t="s">
        <v>95</v>
      </c>
      <c r="S59" s="32" t="s">
        <v>87</v>
      </c>
      <c r="T59" s="32" t="s">
        <v>96</v>
      </c>
      <c r="U59" s="32" t="s">
        <v>97</v>
      </c>
      <c r="V59" s="32" t="s">
        <v>98</v>
      </c>
      <c r="W59" s="32" t="s">
        <v>111</v>
      </c>
      <c r="X59" s="32" t="s">
        <v>127</v>
      </c>
      <c r="Y59" s="32" t="s">
        <v>179</v>
      </c>
      <c r="Z59" s="32" t="s">
        <v>182</v>
      </c>
      <c r="AA59" s="32" t="s">
        <v>73</v>
      </c>
      <c r="AB59" s="32" t="s">
        <v>75</v>
      </c>
      <c r="AC59" s="32" t="s">
        <v>76</v>
      </c>
      <c r="AD59" s="32" t="s">
        <v>82</v>
      </c>
      <c r="AE59" s="32" t="s">
        <v>183</v>
      </c>
      <c r="AF59" s="32" t="s">
        <v>73</v>
      </c>
      <c r="AG59" s="32" t="s">
        <v>178</v>
      </c>
      <c r="AH59" t="str">
        <f>VLOOKUP($R59,武学奇术!$A:$ZZ,25,FALSE)</f>
        <v>剑</v>
      </c>
      <c r="AI59" s="21">
        <f>VLOOKUP($R59,武学奇术!$A:$ZZ,26,FALSE)</f>
        <v>2.52</v>
      </c>
      <c r="AJ59" s="22">
        <f>VLOOKUP($R59,武学奇术!$A:$ZZ,27,FALSE)*(1+IF(OR($AH59=$F$4,$AH59=$F$5),$B$22,0))</f>
        <v>0</v>
      </c>
      <c r="AK59" s="21">
        <f>VLOOKUP($R59,武学奇术!$A:$ZZ,28,FALSE)</f>
        <v>3.78</v>
      </c>
      <c r="AL59" s="22">
        <f>VLOOKUP($R59,武学奇术!$A:$ZZ,29,FALSE)*(1+IF(OR($AH59=$F$4,$AH59=$F$5),$B$22,0))</f>
        <v>0</v>
      </c>
      <c r="AM59" s="21" cm="1">
        <f t="array" ref="AM59">$G$3+IFERROR(VLOOKUP($AH59,$F$4:$G$7,2,FALSE),0)+VLOOKUP($R59,武学奇术!$A:$ZZ,2,FALSE)+SUM(_xlfn.XLOOKUP($S59:$AG59,增益!$A:$A,增益!$B:$B,0))</f>
        <v>1.7591</v>
      </c>
      <c r="AN59" s="21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1862.48</v>
      </c>
      <c r="AP59" cm="1">
        <f t="array" ref="AP59">$E$10*(1+$AN59)+VLOOKUP($R59,武学奇术!$A:$ZZ,4,FALSE)+SUM(_xlfn.XLOOKUP($S59:$AG59,增益!$A:$A,增益!$D:$D,0))-$I$2</f>
        <v>7794.56</v>
      </c>
      <c r="AQ59" s="26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0.369</v>
      </c>
      <c r="AR59" s="26" cm="1">
        <f t="array" ref="AR59">$G$10+VLOOKUP($R59,武学奇术!$A:$ZZ,7,FALSE)+SUM(_xlfn.XLOOKUP(S59:AG59,增益!$A:$A,增益!$G:$G,0))</f>
        <v>0</v>
      </c>
      <c r="AS59" s="21" cm="1">
        <f t="array" ref="AS59">VLOOKUP($R59,武学奇术!$A:$ZZ,8,FALSE)+SUM(_xlfn.XLOOKUP(S59:AG59,增益!$A:$A,增益!$H:$H,0))</f>
        <v>0</v>
      </c>
      <c r="AT59">
        <f t="shared" si="19"/>
        <v>680.02</v>
      </c>
      <c r="AU59">
        <f t="shared" si="20"/>
        <v>1288.54</v>
      </c>
      <c r="AV59" s="26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0.075</v>
      </c>
      <c r="AW59" s="26" cm="1">
        <f t="array" ref="AW59">$G$11+VLOOKUP($R59,武学奇术!$A:$ZZ,10,FALSE)+SUM(_xlfn.XLOOKUP(S59:AG59,增益!$A:$A,增益!$J:$J,0))</f>
        <v>0.15</v>
      </c>
      <c r="AX59">
        <f t="shared" si="21"/>
        <v>0</v>
      </c>
      <c r="AY59">
        <f t="shared" si="22"/>
        <v>0</v>
      </c>
      <c r="AZ59" s="26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26" cm="1">
        <f t="array" ref="BA59">$G$12+VLOOKUP($R59,武学奇术!$A:$ZZ,12,FALSE)+SUM(_xlfn.XLOOKUP(S59:AG59,增益!$A:$A,增益!$L:$L,0))</f>
        <v>0</v>
      </c>
      <c r="BB59">
        <f t="shared" si="14"/>
        <v>0</v>
      </c>
      <c r="BC59">
        <f t="shared" si="15"/>
        <v>0</v>
      </c>
      <c r="BD59" s="26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26" cm="1">
        <f t="array" ref="BE59">$G$13+VLOOKUP($R59,武学奇术!$A:$ZZ,14,FALSE)+SUM(_xlfn.XLOOKUP(S59:AG59,增益!$A:$A,增益!$N:$N,0))</f>
        <v>0</v>
      </c>
      <c r="BF59">
        <f t="shared" si="16"/>
        <v>0</v>
      </c>
      <c r="BG59">
        <f t="shared" si="17"/>
        <v>0</v>
      </c>
      <c r="BH59" s="26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26" cm="1">
        <f t="array" ref="BI59">$G$14+VLOOKUP($R59,武学奇术!$A:$ZZ,16,FALSE)+SUM(_xlfn.XLOOKUP(S59:AG59,增益!$A:$A,增益!$P:$P,0))</f>
        <v>0</v>
      </c>
      <c r="BJ59" s="21">
        <f>MIN(IF(VLOOKUP($R59,武学奇术!$A:$ZZ,23,FALSE)=1,100%,$B$8),100%)</f>
        <v>0.8229</v>
      </c>
      <c r="BK59" s="21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0.2285</v>
      </c>
      <c r="BL59" s="21" cm="1">
        <f t="array" ref="BL59">1+$B$13+VLOOKUP($R59,武学奇术!$A:$ZZ,18,FALSE)+SUM(_xlfn.XLOOKUP(S59:AG59,增益!$A:$A,增益!$R:$R,0))</f>
        <v>1.5</v>
      </c>
      <c r="BM59" s="21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0.4495</v>
      </c>
      <c r="BN59" s="21" cm="1">
        <f t="array" ref="BN59">1+$B$14+VLOOKUP($R59,武学奇术!$A:$ZZ,20,FALSE)+SUM(_xlfn.XLOOKUP(S59:AG59,增益!$A:$A,增益!$T:$T,0))</f>
        <v>1.782</v>
      </c>
      <c r="BO59" s="21">
        <f t="shared" si="12"/>
        <v>0.18803265</v>
      </c>
      <c r="BP59" s="21">
        <f t="shared" si="18"/>
        <v>0.2649738</v>
      </c>
      <c r="BQ59" s="21">
        <f>IF(VLOOKUP($R59,武学奇术!$A:$ZZ,22,FALSE)=1,0,(1-$BJ59))*(1-$BM59)</f>
        <v>0.09749355</v>
      </c>
      <c r="BR59" s="21" cm="1">
        <f t="array" ref="BR59">SUM(_xlfn.XLOOKUP(S59:AG59,增益!$A:$A,增益!$W:$W,0))+$I$5</f>
        <v>0.16</v>
      </c>
    </row>
    <row r="60" spans="1:70">
      <c r="A60" t="s">
        <v>162</v>
      </c>
      <c r="B60">
        <v>1.7</v>
      </c>
      <c r="D60" s="31"/>
      <c r="F60" s="31"/>
      <c r="G60" s="31"/>
      <c r="K60" s="24">
        <f>$L60*VLOOKUP($R60,武学奇术!$A:$ZZ,31,FALSE)</f>
        <v>32479.520552222</v>
      </c>
      <c r="L60" s="24">
        <f t="shared" si="13"/>
        <v>32479.520552222</v>
      </c>
      <c r="M60" s="2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29159.5905809494</v>
      </c>
      <c r="N60" s="24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46456.6956161736</v>
      </c>
      <c r="O60" s="2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19439.7270539663</v>
      </c>
      <c r="P60" s="24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9880.26833004639</v>
      </c>
      <c r="Q60" s="31">
        <v>1</v>
      </c>
      <c r="R60" s="32" t="s">
        <v>124</v>
      </c>
      <c r="S60" s="32" t="s">
        <v>87</v>
      </c>
      <c r="T60" s="32" t="s">
        <v>104</v>
      </c>
      <c r="U60" s="32" t="s">
        <v>73</v>
      </c>
      <c r="V60" s="32" t="s">
        <v>73</v>
      </c>
      <c r="W60" s="32" t="s">
        <v>111</v>
      </c>
      <c r="X60" s="32" t="s">
        <v>127</v>
      </c>
      <c r="Y60" s="32" t="s">
        <v>179</v>
      </c>
      <c r="Z60" s="32" t="s">
        <v>182</v>
      </c>
      <c r="AA60" s="32" t="s">
        <v>73</v>
      </c>
      <c r="AB60" s="32" t="s">
        <v>75</v>
      </c>
      <c r="AC60" s="32" t="s">
        <v>89</v>
      </c>
      <c r="AD60" s="32" t="s">
        <v>82</v>
      </c>
      <c r="AE60" s="32" t="s">
        <v>183</v>
      </c>
      <c r="AF60" s="32" t="s">
        <v>73</v>
      </c>
      <c r="AG60" s="32" t="s">
        <v>178</v>
      </c>
      <c r="AH60" t="str">
        <f>VLOOKUP($R60,武学奇术!$A:$ZZ,25,FALSE)</f>
        <v>剑</v>
      </c>
      <c r="AI60" s="21">
        <f>VLOOKUP($R60,武学奇术!$A:$ZZ,26,FALSE)</f>
        <v>0.94015</v>
      </c>
      <c r="AJ60" s="22">
        <f>VLOOKUP($R60,武学奇术!$A:$ZZ,27,FALSE)*(1+IF(OR($AH60=$F$4,$AH60=$F$5),$B$22,0))</f>
        <v>390</v>
      </c>
      <c r="AK60" s="21">
        <f>VLOOKUP($R60,武学奇术!$A:$ZZ,28,FALSE)</f>
        <v>1.41025</v>
      </c>
      <c r="AL60" s="22">
        <f>VLOOKUP($R60,武学奇术!$A:$ZZ,29,FALSE)*(1+IF(OR($AH60=$F$4,$AH60=$F$5),$B$22,0))</f>
        <v>212.25</v>
      </c>
      <c r="AM60" s="21" cm="1">
        <f t="array" ref="AM60">$G$3+IFERROR(VLOOKUP($AH60,$F$4:$G$7,2,FALSE),0)+VLOOKUP($R60,武学奇术!$A:$ZZ,2,FALSE)+SUM(_xlfn.XLOOKUP($S60:$AG60,增益!$A:$A,增益!$B:$B,0))</f>
        <v>1.0091</v>
      </c>
      <c r="AN60" s="21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1862.48</v>
      </c>
      <c r="AP60" cm="1">
        <f t="array" ref="AP60">$E$10*(1+$AN60)+VLOOKUP($R60,武学奇术!$A:$ZZ,4,FALSE)+SUM(_xlfn.XLOOKUP($S60:$AG60,增益!$A:$A,增益!$D:$D,0))-$I$2</f>
        <v>7794.56</v>
      </c>
      <c r="AQ60" s="26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0.294</v>
      </c>
      <c r="AR60" s="26" cm="1">
        <f t="array" ref="AR60">$G$10+VLOOKUP($R60,武学奇术!$A:$ZZ,7,FALSE)+SUM(_xlfn.XLOOKUP(S60:AG60,增益!$A:$A,增益!$G:$G,0))</f>
        <v>0</v>
      </c>
      <c r="AS60" s="21" cm="1">
        <f t="array" ref="AS60">VLOOKUP($R60,武学奇术!$A:$ZZ,8,FALSE)+SUM(_xlfn.XLOOKUP(S60:AG60,增益!$A:$A,增益!$H:$H,0))</f>
        <v>0</v>
      </c>
      <c r="AT60">
        <f t="shared" si="19"/>
        <v>680.02</v>
      </c>
      <c r="AU60">
        <f t="shared" si="20"/>
        <v>1288.54</v>
      </c>
      <c r="AV60" s="26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26" cm="1">
        <f t="array" ref="AW60">$G$11+VLOOKUP($R60,武学奇术!$A:$ZZ,10,FALSE)+SUM(_xlfn.XLOOKUP(S60:AG60,增益!$A:$A,增益!$J:$J,0))</f>
        <v>0.15</v>
      </c>
      <c r="AX60">
        <f t="shared" si="21"/>
        <v>0</v>
      </c>
      <c r="AY60">
        <f t="shared" si="22"/>
        <v>0</v>
      </c>
      <c r="AZ60" s="26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26" cm="1">
        <f t="array" ref="BA60">$G$12+VLOOKUP($R60,武学奇术!$A:$ZZ,12,FALSE)+SUM(_xlfn.XLOOKUP(S60:AG60,增益!$A:$A,增益!$L:$L,0))</f>
        <v>0</v>
      </c>
      <c r="BB60">
        <f t="shared" si="14"/>
        <v>0</v>
      </c>
      <c r="BC60">
        <f t="shared" si="15"/>
        <v>0</v>
      </c>
      <c r="BD60" s="26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26" cm="1">
        <f t="array" ref="BE60">$G$13+VLOOKUP($R60,武学奇术!$A:$ZZ,14,FALSE)+SUM(_xlfn.XLOOKUP(S60:AG60,增益!$A:$A,增益!$N:$N,0))</f>
        <v>0</v>
      </c>
      <c r="BF60">
        <f t="shared" si="16"/>
        <v>0</v>
      </c>
      <c r="BG60">
        <f t="shared" si="17"/>
        <v>0</v>
      </c>
      <c r="BH60" s="26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26" cm="1">
        <f t="array" ref="BI60">$G$14+VLOOKUP($R60,武学奇术!$A:$ZZ,16,FALSE)+SUM(_xlfn.XLOOKUP(S60:AG60,增益!$A:$A,增益!$P:$P,0))</f>
        <v>0</v>
      </c>
      <c r="BJ60" s="21">
        <f>MIN(IF(VLOOKUP($R60,武学奇术!$A:$ZZ,23,FALSE)=1,100%,$B$8),100%)</f>
        <v>0.8229</v>
      </c>
      <c r="BK60" s="21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0.2285</v>
      </c>
      <c r="BL60" s="21" cm="1">
        <f t="array" ref="BL60">1+$B$13+VLOOKUP($R60,武学奇术!$A:$ZZ,18,FALSE)+SUM(_xlfn.XLOOKUP(S60:AG60,增益!$A:$A,增益!$R:$R,0))</f>
        <v>1.5</v>
      </c>
      <c r="BM60" s="21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0.4495</v>
      </c>
      <c r="BN60" s="21" cm="1">
        <f t="array" ref="BN60">1+$B$14+VLOOKUP($R60,武学奇术!$A:$ZZ,20,FALSE)+SUM(_xlfn.XLOOKUP(S60:AG60,增益!$A:$A,增益!$T:$T,0))</f>
        <v>1.602</v>
      </c>
      <c r="BO60" s="21">
        <f t="shared" ref="BO60:BO101" si="23">MIN((1-BM60)*BJ60,BJ60*BK60)</f>
        <v>0.18803265</v>
      </c>
      <c r="BP60" s="21">
        <f t="shared" si="18"/>
        <v>0.2649738</v>
      </c>
      <c r="BQ60" s="21">
        <f>IF(VLOOKUP($R60,武学奇术!$A:$ZZ,22,FALSE)=1,0,(1-$BJ60))*(1-$BM60)</f>
        <v>0.09749355</v>
      </c>
      <c r="BR60" s="21" cm="1">
        <f t="array" ref="BR60">SUM(_xlfn.XLOOKUP(S60:AG60,增益!$A:$A,增益!$W:$W,0))+$I$5</f>
        <v>0.16</v>
      </c>
    </row>
    <row r="61" spans="1:70">
      <c r="A61" t="s">
        <v>170</v>
      </c>
      <c r="B61">
        <v>3.3</v>
      </c>
      <c r="D61" s="31"/>
      <c r="F61" s="31"/>
      <c r="G61" s="31"/>
      <c r="K61" s="24">
        <f>$L61*VLOOKUP($R61,武学奇术!$A:$ZZ,31,FALSE)</f>
        <v>39685.8588736384</v>
      </c>
      <c r="L61" s="24">
        <f t="shared" ref="L61:L73" si="24">($M61*$BO61+$N61*$BM61+$O61*$BP61+$P61*$BQ61)</f>
        <v>39685.8588736384</v>
      </c>
      <c r="M61" s="2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35629.0593969356</v>
      </c>
      <c r="N61" s="24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56764.5340403554</v>
      </c>
      <c r="O61" s="2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23752.7062646238</v>
      </c>
      <c r="P61" s="24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12071.8706813353</v>
      </c>
      <c r="Q61" s="31">
        <v>1</v>
      </c>
      <c r="R61" s="32" t="s">
        <v>86</v>
      </c>
      <c r="S61" s="32" t="s">
        <v>87</v>
      </c>
      <c r="T61" s="32" t="s">
        <v>104</v>
      </c>
      <c r="U61" s="32" t="s">
        <v>73</v>
      </c>
      <c r="V61" s="32" t="s">
        <v>73</v>
      </c>
      <c r="W61" s="32" t="s">
        <v>111</v>
      </c>
      <c r="X61" s="32" t="s">
        <v>127</v>
      </c>
      <c r="Y61" s="32" t="s">
        <v>179</v>
      </c>
      <c r="Z61" s="32" t="s">
        <v>182</v>
      </c>
      <c r="AA61" s="32" t="s">
        <v>73</v>
      </c>
      <c r="AB61" s="32" t="s">
        <v>75</v>
      </c>
      <c r="AC61" s="32" t="s">
        <v>89</v>
      </c>
      <c r="AD61" s="32" t="s">
        <v>82</v>
      </c>
      <c r="AE61" s="32" t="s">
        <v>90</v>
      </c>
      <c r="AF61" s="32" t="s">
        <v>73</v>
      </c>
      <c r="AG61" s="32" t="s">
        <v>178</v>
      </c>
      <c r="AH61" t="str">
        <f>VLOOKUP($R61,武学奇术!$A:$ZZ,25,FALSE)</f>
        <v>剑</v>
      </c>
      <c r="AI61" s="21">
        <f>VLOOKUP($R61,武学奇术!$A:$ZZ,26,FALSE)</f>
        <v>1.1781</v>
      </c>
      <c r="AJ61" s="22">
        <f>VLOOKUP($R61,武学奇术!$A:$ZZ,27,FALSE)*(1+IF(OR($AH61=$F$4,$AH61=$F$5),$B$22,0))</f>
        <v>489</v>
      </c>
      <c r="AK61" s="21">
        <f>VLOOKUP($R61,武学奇术!$A:$ZZ,28,FALSE)</f>
        <v>1.7672</v>
      </c>
      <c r="AL61" s="22">
        <f>VLOOKUP($R61,武学奇术!$A:$ZZ,29,FALSE)*(1+IF(OR($AH61=$F$4,$AH61=$F$5),$B$22,0))</f>
        <v>265.5</v>
      </c>
      <c r="AM61" s="21" cm="1">
        <f t="array" ref="AM61">$G$3+IFERROR(VLOOKUP($AH61,$F$4:$G$7,2,FALSE),0)+VLOOKUP($R61,武学奇术!$A:$ZZ,2,FALSE)+SUM(_xlfn.XLOOKUP($S61:$AG61,增益!$A:$A,增益!$B:$B,0))</f>
        <v>0.9591</v>
      </c>
      <c r="AN61" s="21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1862.48</v>
      </c>
      <c r="AP61" cm="1">
        <f t="array" ref="AP61">$E$10*(1+$AN61)+VLOOKUP($R61,武学奇术!$A:$ZZ,4,FALSE)+SUM(_xlfn.XLOOKUP($S61:$AG61,增益!$A:$A,增益!$D:$D,0))-$I$2</f>
        <v>7794.56</v>
      </c>
      <c r="AQ61" s="26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0.294</v>
      </c>
      <c r="AR61" s="26" cm="1">
        <f t="array" ref="AR61">$G$10+VLOOKUP($R61,武学奇术!$A:$ZZ,7,FALSE)+SUM(_xlfn.XLOOKUP(S61:AG61,增益!$A:$A,增益!$G:$G,0))</f>
        <v>0</v>
      </c>
      <c r="AS61" s="21" cm="1">
        <f t="array" ref="AS61">VLOOKUP($R61,武学奇术!$A:$ZZ,8,FALSE)+SUM(_xlfn.XLOOKUP(S61:AG61,增益!$A:$A,增益!$H:$H,0))</f>
        <v>0</v>
      </c>
      <c r="AT61">
        <f t="shared" ref="AT61:AT73" si="25">$D$11*(1+$AS61)</f>
        <v>680.02</v>
      </c>
      <c r="AU61">
        <f t="shared" ref="AU61:AU73" si="26">$E$11*(1+$AS61)</f>
        <v>1288.54</v>
      </c>
      <c r="AV61" s="26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26" cm="1">
        <f t="array" ref="AW61">$G$11+VLOOKUP($R61,武学奇术!$A:$ZZ,10,FALSE)+SUM(_xlfn.XLOOKUP(S61:AG61,增益!$A:$A,增益!$J:$J,0))</f>
        <v>0.15</v>
      </c>
      <c r="AX61">
        <f t="shared" ref="AX61:AX73" si="27">$D$12*(1+$AS61)</f>
        <v>0</v>
      </c>
      <c r="AY61">
        <f t="shared" ref="AY61:AY73" si="28">$E$12*(1+$AS61)</f>
        <v>0</v>
      </c>
      <c r="AZ61" s="26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26" cm="1">
        <f t="array" ref="BA61">$G$12+VLOOKUP($R61,武学奇术!$A:$ZZ,12,FALSE)+SUM(_xlfn.XLOOKUP(S61:AG61,增益!$A:$A,增益!$L:$L,0))</f>
        <v>0</v>
      </c>
      <c r="BB61">
        <f t="shared" ref="BB61:BB73" si="29">$D$13*(1+$AS61)</f>
        <v>0</v>
      </c>
      <c r="BC61">
        <f t="shared" ref="BC61:BC73" si="30">$E$13*(1+$AS61)</f>
        <v>0</v>
      </c>
      <c r="BD61" s="26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26" cm="1">
        <f t="array" ref="BE61">$G$13+VLOOKUP($R61,武学奇术!$A:$ZZ,14,FALSE)+SUM(_xlfn.XLOOKUP(S61:AG61,增益!$A:$A,增益!$N:$N,0))</f>
        <v>0</v>
      </c>
      <c r="BF61">
        <f t="shared" ref="BF61:BF73" si="31">$D$14*(1+$AS61)</f>
        <v>0</v>
      </c>
      <c r="BG61">
        <f t="shared" ref="BG61:BG73" si="32">$E$14*(1+$AS61)</f>
        <v>0</v>
      </c>
      <c r="BH61" s="26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26" cm="1">
        <f t="array" ref="BI61">$G$14+VLOOKUP($R61,武学奇术!$A:$ZZ,16,FALSE)+SUM(_xlfn.XLOOKUP(S61:AG61,增益!$A:$A,增益!$P:$P,0))</f>
        <v>0</v>
      </c>
      <c r="BJ61" s="21">
        <f>MIN(IF(VLOOKUP($R61,武学奇术!$A:$ZZ,23,FALSE)=1,100%,$B$8),100%)</f>
        <v>0.8229</v>
      </c>
      <c r="BK61" s="21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0.2285</v>
      </c>
      <c r="BL61" s="21" cm="1">
        <f t="array" ref="BL61">1+$B$13+VLOOKUP($R61,武学奇术!$A:$ZZ,18,FALSE)+SUM(_xlfn.XLOOKUP(S61:AG61,增益!$A:$A,增益!$R:$R,0))</f>
        <v>1.5</v>
      </c>
      <c r="BM61" s="21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0.4495</v>
      </c>
      <c r="BN61" s="21" cm="1">
        <f t="array" ref="BN61">1+$B$14+VLOOKUP($R61,武学奇术!$A:$ZZ,20,FALSE)+SUM(_xlfn.XLOOKUP(S61:AG61,增益!$A:$A,增益!$T:$T,0))</f>
        <v>1.602</v>
      </c>
      <c r="BO61" s="21">
        <f t="shared" si="23"/>
        <v>0.18803265</v>
      </c>
      <c r="BP61" s="21">
        <f t="shared" si="18"/>
        <v>0.2649738</v>
      </c>
      <c r="BQ61" s="21">
        <f>IF(VLOOKUP($R61,武学奇术!$A:$ZZ,22,FALSE)=1,0,(1-$BJ61))*(1-$BM61)</f>
        <v>0.09749355</v>
      </c>
      <c r="BR61" s="21" cm="1">
        <f t="array" ref="BR61">SUM(_xlfn.XLOOKUP(S61:AG61,增益!$A:$A,增益!$W:$W,0))+$I$5</f>
        <v>0.16</v>
      </c>
    </row>
    <row r="62" spans="1:70">
      <c r="A62" t="s">
        <v>180</v>
      </c>
      <c r="B62">
        <v>0</v>
      </c>
      <c r="K62" s="24">
        <f>$L62*VLOOKUP($R62,武学奇术!$A:$ZZ,31,FALSE)</f>
        <v>96885.7249400823</v>
      </c>
      <c r="L62" s="24">
        <f t="shared" si="24"/>
        <v>161476.20823347</v>
      </c>
      <c r="M62" s="2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132268.961649458</v>
      </c>
      <c r="N62" s="24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243284.622591544</v>
      </c>
      <c r="O62" s="2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88179.3077663051</v>
      </c>
      <c r="P62" s="24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39835.2582982981</v>
      </c>
      <c r="Q62" s="31">
        <v>1</v>
      </c>
      <c r="R62" s="32" t="s">
        <v>95</v>
      </c>
      <c r="S62" s="32" t="s">
        <v>87</v>
      </c>
      <c r="T62" s="32" t="s">
        <v>96</v>
      </c>
      <c r="U62" s="32" t="s">
        <v>97</v>
      </c>
      <c r="V62" s="32" t="s">
        <v>98</v>
      </c>
      <c r="W62" s="32" t="s">
        <v>111</v>
      </c>
      <c r="X62" s="32" t="s">
        <v>127</v>
      </c>
      <c r="Y62" s="32" t="s">
        <v>179</v>
      </c>
      <c r="Z62" s="32" t="s">
        <v>182</v>
      </c>
      <c r="AA62" s="32" t="s">
        <v>73</v>
      </c>
      <c r="AB62" s="32" t="s">
        <v>75</v>
      </c>
      <c r="AC62" s="32" t="s">
        <v>89</v>
      </c>
      <c r="AD62" s="32" t="s">
        <v>82</v>
      </c>
      <c r="AE62" s="32" t="s">
        <v>90</v>
      </c>
      <c r="AF62" s="32" t="s">
        <v>73</v>
      </c>
      <c r="AG62" s="32" t="s">
        <v>178</v>
      </c>
      <c r="AH62" t="str">
        <f>VLOOKUP($R62,武学奇术!$A:$ZZ,25,FALSE)</f>
        <v>剑</v>
      </c>
      <c r="AI62" s="21">
        <f>VLOOKUP($R62,武学奇术!$A:$ZZ,26,FALSE)</f>
        <v>2.52</v>
      </c>
      <c r="AJ62" s="22">
        <f>VLOOKUP($R62,武学奇术!$A:$ZZ,27,FALSE)*(1+IF(OR($AH62=$F$4,$AH62=$F$5),$B$22,0))</f>
        <v>0</v>
      </c>
      <c r="AK62" s="21">
        <f>VLOOKUP($R62,武学奇术!$A:$ZZ,28,FALSE)</f>
        <v>3.78</v>
      </c>
      <c r="AL62" s="22">
        <f>VLOOKUP($R62,武学奇术!$A:$ZZ,29,FALSE)*(1+IF(OR($AH62=$F$4,$AH62=$F$5),$B$22,0))</f>
        <v>0</v>
      </c>
      <c r="AM62" s="21" cm="1">
        <f t="array" ref="AM62">$G$3+IFERROR(VLOOKUP($AH62,$F$4:$G$7,2,FALSE),0)+VLOOKUP($R62,武学奇术!$A:$ZZ,2,FALSE)+SUM(_xlfn.XLOOKUP($S62:$AG62,增益!$A:$A,增益!$B:$B,0))</f>
        <v>1.7091</v>
      </c>
      <c r="AN62" s="21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1862.48</v>
      </c>
      <c r="AP62" cm="1">
        <f t="array" ref="AP62">$E$10*(1+$AN62)+VLOOKUP($R62,武学奇术!$A:$ZZ,4,FALSE)+SUM(_xlfn.XLOOKUP($S62:$AG62,增益!$A:$A,增益!$D:$D,0))-$I$2</f>
        <v>7794.56</v>
      </c>
      <c r="AQ62" s="26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0.369</v>
      </c>
      <c r="AR62" s="26" cm="1">
        <f t="array" ref="AR62">$G$10+VLOOKUP($R62,武学奇术!$A:$ZZ,7,FALSE)+SUM(_xlfn.XLOOKUP(S62:AG62,增益!$A:$A,增益!$G:$G,0))</f>
        <v>0</v>
      </c>
      <c r="AS62" s="21" cm="1">
        <f t="array" ref="AS62">VLOOKUP($R62,武学奇术!$A:$ZZ,8,FALSE)+SUM(_xlfn.XLOOKUP(S62:AG62,增益!$A:$A,增益!$H:$H,0))</f>
        <v>0</v>
      </c>
      <c r="AT62">
        <f t="shared" si="25"/>
        <v>680.02</v>
      </c>
      <c r="AU62">
        <f t="shared" si="26"/>
        <v>1288.54</v>
      </c>
      <c r="AV62" s="26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0.075</v>
      </c>
      <c r="AW62" s="26" cm="1">
        <f t="array" ref="AW62">$G$11+VLOOKUP($R62,武学奇术!$A:$ZZ,10,FALSE)+SUM(_xlfn.XLOOKUP(S62:AG62,增益!$A:$A,增益!$J:$J,0))</f>
        <v>0.15</v>
      </c>
      <c r="AX62">
        <f t="shared" si="27"/>
        <v>0</v>
      </c>
      <c r="AY62">
        <f t="shared" si="28"/>
        <v>0</v>
      </c>
      <c r="AZ62" s="26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26" cm="1">
        <f t="array" ref="BA62">$G$12+VLOOKUP($R62,武学奇术!$A:$ZZ,12,FALSE)+SUM(_xlfn.XLOOKUP(S62:AG62,增益!$A:$A,增益!$L:$L,0))</f>
        <v>0</v>
      </c>
      <c r="BB62">
        <f t="shared" si="29"/>
        <v>0</v>
      </c>
      <c r="BC62">
        <f t="shared" si="30"/>
        <v>0</v>
      </c>
      <c r="BD62" s="26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26" cm="1">
        <f t="array" ref="BE62">$G$13+VLOOKUP($R62,武学奇术!$A:$ZZ,14,FALSE)+SUM(_xlfn.XLOOKUP(S62:AG62,增益!$A:$A,增益!$N:$N,0))</f>
        <v>0</v>
      </c>
      <c r="BF62">
        <f t="shared" si="31"/>
        <v>0</v>
      </c>
      <c r="BG62">
        <f t="shared" si="32"/>
        <v>0</v>
      </c>
      <c r="BH62" s="26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26" cm="1">
        <f t="array" ref="BI62">$G$14+VLOOKUP($R62,武学奇术!$A:$ZZ,16,FALSE)+SUM(_xlfn.XLOOKUP(S62:AG62,增益!$A:$A,增益!$P:$P,0))</f>
        <v>0</v>
      </c>
      <c r="BJ62" s="21">
        <f>MIN(IF(VLOOKUP($R62,武学奇术!$A:$ZZ,23,FALSE)=1,100%,$B$8),100%)</f>
        <v>0.8229</v>
      </c>
      <c r="BK62" s="21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0.2285</v>
      </c>
      <c r="BL62" s="21" cm="1">
        <f t="array" ref="BL62">1+$B$13+VLOOKUP($R62,武学奇术!$A:$ZZ,18,FALSE)+SUM(_xlfn.XLOOKUP(S62:AG62,增益!$A:$A,增益!$R:$R,0))</f>
        <v>1.5</v>
      </c>
      <c r="BM62" s="21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0.4495</v>
      </c>
      <c r="BN62" s="21" cm="1">
        <f t="array" ref="BN62">1+$B$14+VLOOKUP($R62,武学奇术!$A:$ZZ,20,FALSE)+SUM(_xlfn.XLOOKUP(S62:AG62,增益!$A:$A,增益!$T:$T,0))</f>
        <v>1.782</v>
      </c>
      <c r="BO62" s="21">
        <f t="shared" si="23"/>
        <v>0.18803265</v>
      </c>
      <c r="BP62" s="21">
        <f t="shared" si="18"/>
        <v>0.2649738</v>
      </c>
      <c r="BQ62" s="21">
        <f>IF(VLOOKUP($R62,武学奇术!$A:$ZZ,22,FALSE)=1,0,(1-$BJ62))*(1-$BM62)</f>
        <v>0.09749355</v>
      </c>
      <c r="BR62" s="21" cm="1">
        <f t="array" ref="BR62">SUM(_xlfn.XLOOKUP(S62:AG62,增益!$A:$A,增益!$W:$W,0))+$I$5</f>
        <v>0.16</v>
      </c>
    </row>
    <row r="63" spans="1:70">
      <c r="A63" t="s">
        <v>186</v>
      </c>
      <c r="B63">
        <v>32</v>
      </c>
      <c r="D63" s="31"/>
      <c r="K63" s="24">
        <f>$L63*VLOOKUP($R63,武学奇术!$A:$ZZ,31,FALSE)</f>
        <v>96885.7249400823</v>
      </c>
      <c r="L63" s="24">
        <f t="shared" si="24"/>
        <v>161476.20823347</v>
      </c>
      <c r="M63" s="2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132268.961649458</v>
      </c>
      <c r="N63" s="24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243284.622591544</v>
      </c>
      <c r="O63" s="2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88179.3077663051</v>
      </c>
      <c r="P63" s="24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39835.2582982981</v>
      </c>
      <c r="Q63" s="31">
        <v>1</v>
      </c>
      <c r="R63" s="32" t="s">
        <v>95</v>
      </c>
      <c r="S63" s="32" t="s">
        <v>87</v>
      </c>
      <c r="T63" s="32" t="s">
        <v>96</v>
      </c>
      <c r="U63" s="32" t="s">
        <v>97</v>
      </c>
      <c r="V63" s="32" t="s">
        <v>98</v>
      </c>
      <c r="W63" s="32" t="s">
        <v>111</v>
      </c>
      <c r="X63" s="32" t="s">
        <v>127</v>
      </c>
      <c r="Y63" s="32" t="s">
        <v>179</v>
      </c>
      <c r="Z63" s="32" t="s">
        <v>182</v>
      </c>
      <c r="AA63" s="32" t="s">
        <v>73</v>
      </c>
      <c r="AB63" s="32" t="s">
        <v>75</v>
      </c>
      <c r="AC63" s="32" t="s">
        <v>89</v>
      </c>
      <c r="AD63" s="32" t="s">
        <v>82</v>
      </c>
      <c r="AE63" s="32" t="s">
        <v>90</v>
      </c>
      <c r="AF63" s="32" t="s">
        <v>73</v>
      </c>
      <c r="AG63" s="32" t="s">
        <v>178</v>
      </c>
      <c r="AH63" t="str">
        <f>VLOOKUP($R63,武学奇术!$A:$ZZ,25,FALSE)</f>
        <v>剑</v>
      </c>
      <c r="AI63" s="21">
        <f>VLOOKUP($R63,武学奇术!$A:$ZZ,26,FALSE)</f>
        <v>2.52</v>
      </c>
      <c r="AJ63" s="22">
        <f>VLOOKUP($R63,武学奇术!$A:$ZZ,27,FALSE)*(1+IF(OR($AH63=$F$4,$AH63=$F$5),$B$22,0))</f>
        <v>0</v>
      </c>
      <c r="AK63" s="21">
        <f>VLOOKUP($R63,武学奇术!$A:$ZZ,28,FALSE)</f>
        <v>3.78</v>
      </c>
      <c r="AL63" s="22">
        <f>VLOOKUP($R63,武学奇术!$A:$ZZ,29,FALSE)*(1+IF(OR($AH63=$F$4,$AH63=$F$5),$B$22,0))</f>
        <v>0</v>
      </c>
      <c r="AM63" s="21" cm="1">
        <f t="array" ref="AM63">$G$3+IFERROR(VLOOKUP($AH63,$F$4:$G$7,2,FALSE),0)+VLOOKUP($R63,武学奇术!$A:$ZZ,2,FALSE)+SUM(_xlfn.XLOOKUP($S63:$AG63,增益!$A:$A,增益!$B:$B,0))</f>
        <v>1.7091</v>
      </c>
      <c r="AN63" s="21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1862.48</v>
      </c>
      <c r="AP63" cm="1">
        <f t="array" ref="AP63">$E$10*(1+$AN63)+VLOOKUP($R63,武学奇术!$A:$ZZ,4,FALSE)+SUM(_xlfn.XLOOKUP($S63:$AG63,增益!$A:$A,增益!$D:$D,0))-$I$2</f>
        <v>7794.56</v>
      </c>
      <c r="AQ63" s="26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0.369</v>
      </c>
      <c r="AR63" s="26" cm="1">
        <f t="array" ref="AR63">$G$10+VLOOKUP($R63,武学奇术!$A:$ZZ,7,FALSE)+SUM(_xlfn.XLOOKUP(S63:AG63,增益!$A:$A,增益!$G:$G,0))</f>
        <v>0</v>
      </c>
      <c r="AS63" s="21" cm="1">
        <f t="array" ref="AS63">VLOOKUP($R63,武学奇术!$A:$ZZ,8,FALSE)+SUM(_xlfn.XLOOKUP(S63:AG63,增益!$A:$A,增益!$H:$H,0))</f>
        <v>0</v>
      </c>
      <c r="AT63">
        <f t="shared" si="25"/>
        <v>680.02</v>
      </c>
      <c r="AU63">
        <f t="shared" si="26"/>
        <v>1288.54</v>
      </c>
      <c r="AV63" s="26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0.075</v>
      </c>
      <c r="AW63" s="26" cm="1">
        <f t="array" ref="AW63">$G$11+VLOOKUP($R63,武学奇术!$A:$ZZ,10,FALSE)+SUM(_xlfn.XLOOKUP(S63:AG63,增益!$A:$A,增益!$J:$J,0))</f>
        <v>0.15</v>
      </c>
      <c r="AX63">
        <f t="shared" si="27"/>
        <v>0</v>
      </c>
      <c r="AY63">
        <f t="shared" si="28"/>
        <v>0</v>
      </c>
      <c r="AZ63" s="26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26" cm="1">
        <f t="array" ref="BA63">$G$12+VLOOKUP($R63,武学奇术!$A:$ZZ,12,FALSE)+SUM(_xlfn.XLOOKUP(S63:AG63,增益!$A:$A,增益!$L:$L,0))</f>
        <v>0</v>
      </c>
      <c r="BB63">
        <f t="shared" si="29"/>
        <v>0</v>
      </c>
      <c r="BC63">
        <f t="shared" si="30"/>
        <v>0</v>
      </c>
      <c r="BD63" s="26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26" cm="1">
        <f t="array" ref="BE63">$G$13+VLOOKUP($R63,武学奇术!$A:$ZZ,14,FALSE)+SUM(_xlfn.XLOOKUP(S63:AG63,增益!$A:$A,增益!$N:$N,0))</f>
        <v>0</v>
      </c>
      <c r="BF63">
        <f t="shared" si="31"/>
        <v>0</v>
      </c>
      <c r="BG63">
        <f t="shared" si="32"/>
        <v>0</v>
      </c>
      <c r="BH63" s="26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26" cm="1">
        <f t="array" ref="BI63">$G$14+VLOOKUP($R63,武学奇术!$A:$ZZ,16,FALSE)+SUM(_xlfn.XLOOKUP(S63:AG63,增益!$A:$A,增益!$P:$P,0))</f>
        <v>0</v>
      </c>
      <c r="BJ63" s="21">
        <f>MIN(IF(VLOOKUP($R63,武学奇术!$A:$ZZ,23,FALSE)=1,100%,$B$8),100%)</f>
        <v>0.8229</v>
      </c>
      <c r="BK63" s="21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0.2285</v>
      </c>
      <c r="BL63" s="21" cm="1">
        <f t="array" ref="BL63">1+$B$13+VLOOKUP($R63,武学奇术!$A:$ZZ,18,FALSE)+SUM(_xlfn.XLOOKUP(S63:AG63,增益!$A:$A,增益!$R:$R,0))</f>
        <v>1.5</v>
      </c>
      <c r="BM63" s="21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0.4495</v>
      </c>
      <c r="BN63" s="21" cm="1">
        <f t="array" ref="BN63">1+$B$14+VLOOKUP($R63,武学奇术!$A:$ZZ,20,FALSE)+SUM(_xlfn.XLOOKUP(S63:AG63,增益!$A:$A,增益!$T:$T,0))</f>
        <v>1.782</v>
      </c>
      <c r="BO63" s="21">
        <f t="shared" si="23"/>
        <v>0.18803265</v>
      </c>
      <c r="BP63" s="21">
        <f t="shared" si="18"/>
        <v>0.2649738</v>
      </c>
      <c r="BQ63" s="21">
        <f>IF(VLOOKUP($R63,武学奇术!$A:$ZZ,22,FALSE)=1,0,(1-$BJ63))*(1-$BM63)</f>
        <v>0.09749355</v>
      </c>
      <c r="BR63" s="21" cm="1">
        <f t="array" ref="BR63">SUM(_xlfn.XLOOKUP(S63:AG63,增益!$A:$A,增益!$W:$W,0))+$I$5</f>
        <v>0.16</v>
      </c>
    </row>
    <row r="64" spans="1:70">
      <c r="A64" t="s">
        <v>174</v>
      </c>
      <c r="B64">
        <v>1.5</v>
      </c>
      <c r="K64" s="24">
        <f>$L64*VLOOKUP($R64,武学奇术!$A:$ZZ,31,FALSE)</f>
        <v>31554.255574611</v>
      </c>
      <c r="L64" s="24">
        <f t="shared" si="24"/>
        <v>31554.255574611</v>
      </c>
      <c r="M64" s="2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28305.3447359543</v>
      </c>
      <c r="N64" s="24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45163.2388379078</v>
      </c>
      <c r="O64" s="2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18870.2298239695</v>
      </c>
      <c r="P64" s="24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9548.67510492548</v>
      </c>
      <c r="Q64" s="31">
        <v>1</v>
      </c>
      <c r="R64" s="32" t="s">
        <v>124</v>
      </c>
      <c r="S64" s="32" t="s">
        <v>87</v>
      </c>
      <c r="T64" s="32" t="s">
        <v>104</v>
      </c>
      <c r="U64" s="32" t="s">
        <v>73</v>
      </c>
      <c r="V64" s="32" t="s">
        <v>73</v>
      </c>
      <c r="W64" s="32" t="s">
        <v>73</v>
      </c>
      <c r="X64" s="32" t="s">
        <v>127</v>
      </c>
      <c r="Y64" s="32" t="s">
        <v>179</v>
      </c>
      <c r="Z64" s="32" t="s">
        <v>182</v>
      </c>
      <c r="AA64" s="32" t="s">
        <v>73</v>
      </c>
      <c r="AB64" s="32" t="s">
        <v>75</v>
      </c>
      <c r="AC64" s="32" t="s">
        <v>89</v>
      </c>
      <c r="AD64" s="32" t="s">
        <v>82</v>
      </c>
      <c r="AE64" s="32" t="s">
        <v>90</v>
      </c>
      <c r="AF64" s="32" t="s">
        <v>73</v>
      </c>
      <c r="AG64" s="32" t="s">
        <v>178</v>
      </c>
      <c r="AH64" t="str">
        <f>VLOOKUP($R64,武学奇术!$A:$ZZ,25,FALSE)</f>
        <v>剑</v>
      </c>
      <c r="AI64" s="21">
        <f>VLOOKUP($R64,武学奇术!$A:$ZZ,26,FALSE)</f>
        <v>0.94015</v>
      </c>
      <c r="AJ64" s="22">
        <f>VLOOKUP($R64,武学奇术!$A:$ZZ,27,FALSE)*(1+IF(OR($AH64=$F$4,$AH64=$F$5),$B$22,0))</f>
        <v>390</v>
      </c>
      <c r="AK64" s="21">
        <f>VLOOKUP($R64,武学奇术!$A:$ZZ,28,FALSE)</f>
        <v>1.41025</v>
      </c>
      <c r="AL64" s="22">
        <f>VLOOKUP($R64,武学奇术!$A:$ZZ,29,FALSE)*(1+IF(OR($AH64=$F$4,$AH64=$F$5),$B$22,0))</f>
        <v>212.25</v>
      </c>
      <c r="AM64" s="21" cm="1">
        <f t="array" ref="AM64">$G$3+IFERROR(VLOOKUP($AH64,$F$4:$G$7,2,FALSE),0)+VLOOKUP($R64,武学奇术!$A:$ZZ,2,FALSE)+SUM(_xlfn.XLOOKUP($S64:$AG64,增益!$A:$A,增益!$B:$B,0))</f>
        <v>0.9591</v>
      </c>
      <c r="AN64" s="21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1831.48</v>
      </c>
      <c r="AP64" cm="1">
        <f t="array" ref="AP64">$E$10*(1+$AN64)+VLOOKUP($R64,武学奇术!$A:$ZZ,4,FALSE)+SUM(_xlfn.XLOOKUP($S64:$AG64,增益!$A:$A,增益!$D:$D,0))-$I$2</f>
        <v>7763.56</v>
      </c>
      <c r="AQ64" s="26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0.294</v>
      </c>
      <c r="AR64" s="26" cm="1">
        <f t="array" ref="AR64">$G$10+VLOOKUP($R64,武学奇术!$A:$ZZ,7,FALSE)+SUM(_xlfn.XLOOKUP(S64:AG64,增益!$A:$A,增益!$G:$G,0))</f>
        <v>0</v>
      </c>
      <c r="AS64" s="21" cm="1">
        <f t="array" ref="AS64">VLOOKUP($R64,武学奇术!$A:$ZZ,8,FALSE)+SUM(_xlfn.XLOOKUP(S64:AG64,增益!$A:$A,增益!$H:$H,0))</f>
        <v>0</v>
      </c>
      <c r="AT64">
        <f t="shared" si="25"/>
        <v>680.02</v>
      </c>
      <c r="AU64">
        <f t="shared" si="26"/>
        <v>1288.54</v>
      </c>
      <c r="AV64" s="26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26" cm="1">
        <f t="array" ref="AW64">$G$11+VLOOKUP($R64,武学奇术!$A:$ZZ,10,FALSE)+SUM(_xlfn.XLOOKUP(S64:AG64,增益!$A:$A,增益!$J:$J,0))</f>
        <v>0.15</v>
      </c>
      <c r="AX64">
        <f t="shared" si="27"/>
        <v>0</v>
      </c>
      <c r="AY64">
        <f t="shared" si="28"/>
        <v>0</v>
      </c>
      <c r="AZ64" s="26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26" cm="1">
        <f t="array" ref="BA64">$G$12+VLOOKUP($R64,武学奇术!$A:$ZZ,12,FALSE)+SUM(_xlfn.XLOOKUP(S64:AG64,增益!$A:$A,增益!$L:$L,0))</f>
        <v>0</v>
      </c>
      <c r="BB64">
        <f t="shared" si="29"/>
        <v>0</v>
      </c>
      <c r="BC64">
        <f t="shared" si="30"/>
        <v>0</v>
      </c>
      <c r="BD64" s="26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26" cm="1">
        <f t="array" ref="BE64">$G$13+VLOOKUP($R64,武学奇术!$A:$ZZ,14,FALSE)+SUM(_xlfn.XLOOKUP(S64:AG64,增益!$A:$A,增益!$N:$N,0))</f>
        <v>0</v>
      </c>
      <c r="BF64">
        <f t="shared" si="31"/>
        <v>0</v>
      </c>
      <c r="BG64">
        <f t="shared" si="32"/>
        <v>0</v>
      </c>
      <c r="BH64" s="26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26" cm="1">
        <f t="array" ref="BI64">$G$14+VLOOKUP($R64,武学奇术!$A:$ZZ,16,FALSE)+SUM(_xlfn.XLOOKUP(S64:AG64,增益!$A:$A,增益!$P:$P,0))</f>
        <v>0</v>
      </c>
      <c r="BJ64" s="21">
        <f>MIN(IF(VLOOKUP($R64,武学奇术!$A:$ZZ,23,FALSE)=1,100%,$B$8),100%)</f>
        <v>0.8229</v>
      </c>
      <c r="BK64" s="21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0.2285</v>
      </c>
      <c r="BL64" s="21" cm="1">
        <f t="array" ref="BL64">1+$B$13+VLOOKUP($R64,武学奇术!$A:$ZZ,18,FALSE)+SUM(_xlfn.XLOOKUP(S64:AG64,增益!$A:$A,增益!$R:$R,0))</f>
        <v>1.5</v>
      </c>
      <c r="BM64" s="21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0.4495</v>
      </c>
      <c r="BN64" s="21" cm="1">
        <f t="array" ref="BN64">1+$B$14+VLOOKUP($R64,武学奇术!$A:$ZZ,20,FALSE)+SUM(_xlfn.XLOOKUP(S64:AG64,增益!$A:$A,增益!$T:$T,0))</f>
        <v>1.602</v>
      </c>
      <c r="BO64" s="21">
        <f t="shared" si="23"/>
        <v>0.18803265</v>
      </c>
      <c r="BP64" s="21">
        <f t="shared" si="18"/>
        <v>0.2649738</v>
      </c>
      <c r="BQ64" s="21">
        <f>IF(VLOOKUP($R64,武学奇术!$A:$ZZ,22,FALSE)=1,0,(1-$BJ64))*(1-$BM64)</f>
        <v>0.09749355</v>
      </c>
      <c r="BR64" s="21" cm="1">
        <f t="array" ref="BR64">SUM(_xlfn.XLOOKUP(S64:AG64,增益!$A:$A,增益!$W:$W,0))+$I$5</f>
        <v>0.16</v>
      </c>
    </row>
    <row r="65" spans="1:70">
      <c r="A65" t="s">
        <v>167</v>
      </c>
      <c r="B65">
        <v>1</v>
      </c>
      <c r="E65" s="80" t="s">
        <v>163</v>
      </c>
      <c r="G65" s="80" t="s">
        <v>161</v>
      </c>
      <c r="K65" s="24">
        <f>$L65*VLOOKUP($R65,武学奇术!$A:$ZZ,31,FALSE)</f>
        <v>39539.3030892485</v>
      </c>
      <c r="L65" s="24">
        <f t="shared" si="24"/>
        <v>39539.3030892485</v>
      </c>
      <c r="M65" s="2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35467.9636855234</v>
      </c>
      <c r="N65" s="24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56592.4838205671</v>
      </c>
      <c r="O65" s="2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23645.3091236823</v>
      </c>
      <c r="P65" s="24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11964.4735403938</v>
      </c>
      <c r="Q65" s="31">
        <v>1</v>
      </c>
      <c r="R65" s="32" t="s">
        <v>86</v>
      </c>
      <c r="S65" s="32" t="s">
        <v>87</v>
      </c>
      <c r="T65" s="32" t="s">
        <v>104</v>
      </c>
      <c r="U65" s="32" t="s">
        <v>73</v>
      </c>
      <c r="V65" s="32" t="s">
        <v>73</v>
      </c>
      <c r="W65" s="32" t="s">
        <v>73</v>
      </c>
      <c r="X65" s="32" t="s">
        <v>127</v>
      </c>
      <c r="Y65" s="32" t="s">
        <v>179</v>
      </c>
      <c r="Z65" s="32" t="s">
        <v>182</v>
      </c>
      <c r="AA65" s="32" t="s">
        <v>73</v>
      </c>
      <c r="AB65" s="32" t="s">
        <v>75</v>
      </c>
      <c r="AC65" s="32" t="s">
        <v>89</v>
      </c>
      <c r="AD65" s="32" t="s">
        <v>82</v>
      </c>
      <c r="AE65" s="32" t="s">
        <v>90</v>
      </c>
      <c r="AF65" s="32" t="s">
        <v>73</v>
      </c>
      <c r="AG65" s="32" t="s">
        <v>178</v>
      </c>
      <c r="AH65" t="str">
        <f>VLOOKUP($R65,武学奇术!$A:$ZZ,25,FALSE)</f>
        <v>剑</v>
      </c>
      <c r="AI65" s="21">
        <f>VLOOKUP($R65,武学奇术!$A:$ZZ,26,FALSE)</f>
        <v>1.1781</v>
      </c>
      <c r="AJ65" s="22">
        <f>VLOOKUP($R65,武学奇术!$A:$ZZ,27,FALSE)*(1+IF(OR($AH65=$F$4,$AH65=$F$5),$B$22,0))</f>
        <v>489</v>
      </c>
      <c r="AK65" s="21">
        <f>VLOOKUP($R65,武学奇术!$A:$ZZ,28,FALSE)</f>
        <v>1.7672</v>
      </c>
      <c r="AL65" s="22">
        <f>VLOOKUP($R65,武学奇术!$A:$ZZ,29,FALSE)*(1+IF(OR($AH65=$F$4,$AH65=$F$5),$B$22,0))</f>
        <v>265.5</v>
      </c>
      <c r="AM65" s="21" cm="1">
        <f t="array" ref="AM65">$G$3+IFERROR(VLOOKUP($AH65,$F$4:$G$7,2,FALSE),0)+VLOOKUP($R65,武学奇术!$A:$ZZ,2,FALSE)+SUM(_xlfn.XLOOKUP($S65:$AG65,增益!$A:$A,增益!$B:$B,0))</f>
        <v>0.9591</v>
      </c>
      <c r="AN65" s="21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1831.48</v>
      </c>
      <c r="AP65" cm="1">
        <f t="array" ref="AP65">$E$10*(1+$AN65)+VLOOKUP($R65,武学奇术!$A:$ZZ,4,FALSE)+SUM(_xlfn.XLOOKUP($S65:$AG65,增益!$A:$A,增益!$D:$D,0))-$I$2</f>
        <v>7763.56</v>
      </c>
      <c r="AQ65" s="26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0.294</v>
      </c>
      <c r="AR65" s="26" cm="1">
        <f t="array" ref="AR65">$G$10+VLOOKUP($R65,武学奇术!$A:$ZZ,7,FALSE)+SUM(_xlfn.XLOOKUP(S65:AG65,增益!$A:$A,增益!$G:$G,0))</f>
        <v>0</v>
      </c>
      <c r="AS65" s="21" cm="1">
        <f t="array" ref="AS65">VLOOKUP($R65,武学奇术!$A:$ZZ,8,FALSE)+SUM(_xlfn.XLOOKUP(S65:AG65,增益!$A:$A,增益!$H:$H,0))</f>
        <v>0</v>
      </c>
      <c r="AT65">
        <f t="shared" si="25"/>
        <v>680.02</v>
      </c>
      <c r="AU65">
        <f t="shared" si="26"/>
        <v>1288.54</v>
      </c>
      <c r="AV65" s="26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26" cm="1">
        <f t="array" ref="AW65">$G$11+VLOOKUP($R65,武学奇术!$A:$ZZ,10,FALSE)+SUM(_xlfn.XLOOKUP(S65:AG65,增益!$A:$A,增益!$J:$J,0))</f>
        <v>0.15</v>
      </c>
      <c r="AX65">
        <f t="shared" si="27"/>
        <v>0</v>
      </c>
      <c r="AY65">
        <f t="shared" si="28"/>
        <v>0</v>
      </c>
      <c r="AZ65" s="26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26" cm="1">
        <f t="array" ref="BA65">$G$12+VLOOKUP($R65,武学奇术!$A:$ZZ,12,FALSE)+SUM(_xlfn.XLOOKUP(S65:AG65,增益!$A:$A,增益!$L:$L,0))</f>
        <v>0</v>
      </c>
      <c r="BB65">
        <f t="shared" si="29"/>
        <v>0</v>
      </c>
      <c r="BC65">
        <f t="shared" si="30"/>
        <v>0</v>
      </c>
      <c r="BD65" s="26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26" cm="1">
        <f t="array" ref="BE65">$G$13+VLOOKUP($R65,武学奇术!$A:$ZZ,14,FALSE)+SUM(_xlfn.XLOOKUP(S65:AG65,增益!$A:$A,增益!$N:$N,0))</f>
        <v>0</v>
      </c>
      <c r="BF65">
        <f t="shared" si="31"/>
        <v>0</v>
      </c>
      <c r="BG65">
        <f t="shared" si="32"/>
        <v>0</v>
      </c>
      <c r="BH65" s="26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26" cm="1">
        <f t="array" ref="BI65">$G$14+VLOOKUP($R65,武学奇术!$A:$ZZ,16,FALSE)+SUM(_xlfn.XLOOKUP(S65:AG65,增益!$A:$A,增益!$P:$P,0))</f>
        <v>0</v>
      </c>
      <c r="BJ65" s="21">
        <f>MIN(IF(VLOOKUP($R65,武学奇术!$A:$ZZ,23,FALSE)=1,100%,$B$8),100%)</f>
        <v>0.8229</v>
      </c>
      <c r="BK65" s="21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0.2285</v>
      </c>
      <c r="BL65" s="21" cm="1">
        <f t="array" ref="BL65">1+$B$13+VLOOKUP($R65,武学奇术!$A:$ZZ,18,FALSE)+SUM(_xlfn.XLOOKUP(S65:AG65,增益!$A:$A,增益!$R:$R,0))</f>
        <v>1.5</v>
      </c>
      <c r="BM65" s="21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0.4495</v>
      </c>
      <c r="BN65" s="21" cm="1">
        <f t="array" ref="BN65">1+$B$14+VLOOKUP($R65,武学奇术!$A:$ZZ,20,FALSE)+SUM(_xlfn.XLOOKUP(S65:AG65,增益!$A:$A,增益!$T:$T,0))</f>
        <v>1.602</v>
      </c>
      <c r="BO65" s="21">
        <f t="shared" si="23"/>
        <v>0.18803265</v>
      </c>
      <c r="BP65" s="21">
        <f t="shared" si="18"/>
        <v>0.2649738</v>
      </c>
      <c r="BQ65" s="21">
        <f>IF(VLOOKUP($R65,武学奇术!$A:$ZZ,22,FALSE)=1,0,(1-$BJ65))*(1-$BM65)</f>
        <v>0.09749355</v>
      </c>
      <c r="BR65" s="21" cm="1">
        <f t="array" ref="BR65">SUM(_xlfn.XLOOKUP(S65:AG65,增益!$A:$A,增益!$W:$W,0))+$I$5</f>
        <v>0.16</v>
      </c>
    </row>
    <row r="66" spans="1:70">
      <c r="A66" t="s">
        <v>160</v>
      </c>
      <c r="B66">
        <v>2.2</v>
      </c>
      <c r="E66" s="80"/>
      <c r="G66" s="80"/>
      <c r="K66" s="24">
        <f>$L66*VLOOKUP($R66,武学奇术!$A:$ZZ,31,FALSE)</f>
        <v>145496.442466938</v>
      </c>
      <c r="L66" s="24">
        <f t="shared" si="24"/>
        <v>242494.070778229</v>
      </c>
      <c r="M66" s="2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131603.513995152</v>
      </c>
      <c r="N66" s="24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242494.070778229</v>
      </c>
      <c r="O66" s="2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87735.6759967681</v>
      </c>
      <c r="P66" s="24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39391.6265287611</v>
      </c>
      <c r="Q66" s="31">
        <v>1</v>
      </c>
      <c r="R66" s="32" t="s">
        <v>120</v>
      </c>
      <c r="S66" s="32" t="s">
        <v>87</v>
      </c>
      <c r="T66" s="32" t="s">
        <v>96</v>
      </c>
      <c r="U66" s="32" t="s">
        <v>97</v>
      </c>
      <c r="V66" s="32" t="s">
        <v>98</v>
      </c>
      <c r="W66" s="32" t="s">
        <v>73</v>
      </c>
      <c r="X66" s="32" t="s">
        <v>127</v>
      </c>
      <c r="Y66" s="32" t="s">
        <v>179</v>
      </c>
      <c r="Z66" s="32" t="s">
        <v>182</v>
      </c>
      <c r="AA66" s="32" t="s">
        <v>73</v>
      </c>
      <c r="AB66" s="32" t="s">
        <v>75</v>
      </c>
      <c r="AC66" s="32" t="s">
        <v>89</v>
      </c>
      <c r="AD66" s="32" t="s">
        <v>82</v>
      </c>
      <c r="AE66" s="32" t="s">
        <v>90</v>
      </c>
      <c r="AF66" s="32" t="s">
        <v>73</v>
      </c>
      <c r="AG66" s="32" t="s">
        <v>178</v>
      </c>
      <c r="AH66" t="str">
        <f>VLOOKUP($R66,武学奇术!$A:$ZZ,25,FALSE)</f>
        <v>剑</v>
      </c>
      <c r="AI66" s="21">
        <f>VLOOKUP($R66,武学奇术!$A:$ZZ,26,FALSE)</f>
        <v>2.52</v>
      </c>
      <c r="AJ66" s="22">
        <f>VLOOKUP($R66,武学奇术!$A:$ZZ,27,FALSE)*(1+IF(OR($AH66=$F$4,$AH66=$F$5),$B$22,0))</f>
        <v>0</v>
      </c>
      <c r="AK66" s="21">
        <f>VLOOKUP($R66,武学奇术!$A:$ZZ,28,FALSE)</f>
        <v>3.78</v>
      </c>
      <c r="AL66" s="22">
        <f>VLOOKUP($R66,武学奇术!$A:$ZZ,29,FALSE)*(1+IF(OR($AH66=$F$4,$AH66=$F$5),$B$22,0))</f>
        <v>0</v>
      </c>
      <c r="AM66" s="21" cm="1">
        <f t="array" ref="AM66">$G$3+IFERROR(VLOOKUP($AH66,$F$4:$G$7,2,FALSE),0)+VLOOKUP($R66,武学奇术!$A:$ZZ,2,FALSE)+SUM(_xlfn.XLOOKUP($S66:$AG66,增益!$A:$A,增益!$B:$B,0))</f>
        <v>1.7091</v>
      </c>
      <c r="AN66" s="21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1831.48</v>
      </c>
      <c r="AP66" cm="1">
        <f t="array" ref="AP66">$E$10*(1+$AN66)+VLOOKUP($R66,武学奇术!$A:$ZZ,4,FALSE)+SUM(_xlfn.XLOOKUP($S66:$AG66,增益!$A:$A,增益!$D:$D,0))-$I$2</f>
        <v>7763.56</v>
      </c>
      <c r="AQ66" s="26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0.369</v>
      </c>
      <c r="AR66" s="26" cm="1">
        <f t="array" ref="AR66">$G$10+VLOOKUP($R66,武学奇术!$A:$ZZ,7,FALSE)+SUM(_xlfn.XLOOKUP(S66:AG66,增益!$A:$A,增益!$G:$G,0))</f>
        <v>0</v>
      </c>
      <c r="AS66" s="21" cm="1">
        <f t="array" ref="AS66">VLOOKUP($R66,武学奇术!$A:$ZZ,8,FALSE)+SUM(_xlfn.XLOOKUP(S66:AG66,增益!$A:$A,增益!$H:$H,0))</f>
        <v>0</v>
      </c>
      <c r="AT66">
        <f t="shared" si="25"/>
        <v>680.02</v>
      </c>
      <c r="AU66">
        <f t="shared" si="26"/>
        <v>1288.54</v>
      </c>
      <c r="AV66" s="26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0.075</v>
      </c>
      <c r="AW66" s="26" cm="1">
        <f t="array" ref="AW66">$G$11+VLOOKUP($R66,武学奇术!$A:$ZZ,10,FALSE)+SUM(_xlfn.XLOOKUP(S66:AG66,增益!$A:$A,增益!$J:$J,0))</f>
        <v>0.15</v>
      </c>
      <c r="AX66">
        <f t="shared" si="27"/>
        <v>0</v>
      </c>
      <c r="AY66">
        <f t="shared" si="28"/>
        <v>0</v>
      </c>
      <c r="AZ66" s="26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26" cm="1">
        <f t="array" ref="BA66">$G$12+VLOOKUP($R66,武学奇术!$A:$ZZ,12,FALSE)+SUM(_xlfn.XLOOKUP(S66:AG66,增益!$A:$A,增益!$L:$L,0))</f>
        <v>0</v>
      </c>
      <c r="BB66">
        <f t="shared" si="29"/>
        <v>0</v>
      </c>
      <c r="BC66">
        <f t="shared" si="30"/>
        <v>0</v>
      </c>
      <c r="BD66" s="26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26" cm="1">
        <f t="array" ref="BE66">$G$13+VLOOKUP($R66,武学奇术!$A:$ZZ,14,FALSE)+SUM(_xlfn.XLOOKUP(S66:AG66,增益!$A:$A,增益!$N:$N,0))</f>
        <v>0</v>
      </c>
      <c r="BF66">
        <f t="shared" si="31"/>
        <v>0</v>
      </c>
      <c r="BG66">
        <f t="shared" si="32"/>
        <v>0</v>
      </c>
      <c r="BH66" s="26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26" cm="1">
        <f t="array" ref="BI66">$G$14+VLOOKUP($R66,武学奇术!$A:$ZZ,16,FALSE)+SUM(_xlfn.XLOOKUP(S66:AG66,增益!$A:$A,增益!$P:$P,0))</f>
        <v>0</v>
      </c>
      <c r="BJ66" s="21">
        <f>MIN(IF(VLOOKUP($R66,武学奇术!$A:$ZZ,23,FALSE)=1,100%,$B$8),100%)</f>
        <v>0.8229</v>
      </c>
      <c r="BK66" s="21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1" cm="1">
        <f t="array" ref="BL66">1+$B$13+VLOOKUP($R66,武学奇术!$A:$ZZ,18,FALSE)+SUM(_xlfn.XLOOKUP(S66:AG66,增益!$A:$A,增益!$R:$R,0))</f>
        <v>1.5</v>
      </c>
      <c r="BM66" s="21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1" cm="1">
        <f t="array" ref="BN66">1+$B$14+VLOOKUP($R66,武学奇术!$A:$ZZ,20,FALSE)+SUM(_xlfn.XLOOKUP(S66:AG66,增益!$A:$A,增益!$T:$T,0))</f>
        <v>1.782</v>
      </c>
      <c r="BO66" s="21">
        <f t="shared" si="23"/>
        <v>0</v>
      </c>
      <c r="BP66" s="21">
        <f t="shared" si="18"/>
        <v>0</v>
      </c>
      <c r="BQ66" s="21">
        <f>IF(VLOOKUP($R66,武学奇术!$A:$ZZ,22,FALSE)=1,0,(1-$BJ66))*(1-$BM66)</f>
        <v>0</v>
      </c>
      <c r="BR66" s="21" cm="1">
        <f t="array" ref="BR66">SUM(_xlfn.XLOOKUP(S66:AG66,增益!$A:$A,增益!$W:$W,0))+$I$5</f>
        <v>0.16</v>
      </c>
    </row>
    <row r="67" spans="1:70">
      <c r="A67" t="s">
        <v>162</v>
      </c>
      <c r="B67">
        <v>1.7</v>
      </c>
      <c r="E67" s="80"/>
      <c r="G67" s="80"/>
      <c r="K67" s="24">
        <f>$L67*VLOOKUP($R67,武学奇术!$A:$ZZ,31,FALSE)</f>
        <v>96500.9563653781</v>
      </c>
      <c r="L67" s="24">
        <f t="shared" si="24"/>
        <v>160834.92727563</v>
      </c>
      <c r="M67" s="2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131603.513995152</v>
      </c>
      <c r="N67" s="24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242494.070778229</v>
      </c>
      <c r="O67" s="2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87735.6759967681</v>
      </c>
      <c r="P67" s="24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39391.6265287611</v>
      </c>
      <c r="Q67" s="31">
        <v>1</v>
      </c>
      <c r="R67" s="32" t="s">
        <v>95</v>
      </c>
      <c r="S67" s="32" t="s">
        <v>87</v>
      </c>
      <c r="T67" s="32" t="s">
        <v>96</v>
      </c>
      <c r="U67" s="32" t="s">
        <v>97</v>
      </c>
      <c r="V67" s="32" t="s">
        <v>98</v>
      </c>
      <c r="W67" s="32" t="s">
        <v>73</v>
      </c>
      <c r="X67" s="32" t="s">
        <v>127</v>
      </c>
      <c r="Y67" s="32" t="s">
        <v>179</v>
      </c>
      <c r="Z67" s="32" t="s">
        <v>182</v>
      </c>
      <c r="AA67" s="32" t="s">
        <v>73</v>
      </c>
      <c r="AB67" s="32" t="s">
        <v>75</v>
      </c>
      <c r="AC67" s="32" t="s">
        <v>89</v>
      </c>
      <c r="AD67" s="32" t="s">
        <v>82</v>
      </c>
      <c r="AE67" s="32" t="s">
        <v>90</v>
      </c>
      <c r="AF67" s="32" t="s">
        <v>73</v>
      </c>
      <c r="AG67" s="32" t="s">
        <v>178</v>
      </c>
      <c r="AH67" t="str">
        <f>VLOOKUP($R67,武学奇术!$A:$ZZ,25,FALSE)</f>
        <v>剑</v>
      </c>
      <c r="AI67" s="21">
        <f>VLOOKUP($R67,武学奇术!$A:$ZZ,26,FALSE)</f>
        <v>2.52</v>
      </c>
      <c r="AJ67" s="22">
        <f>VLOOKUP($R67,武学奇术!$A:$ZZ,27,FALSE)*(1+IF(OR($AH67=$F$4,$AH67=$F$5),$B$22,0))</f>
        <v>0</v>
      </c>
      <c r="AK67" s="21">
        <f>VLOOKUP($R67,武学奇术!$A:$ZZ,28,FALSE)</f>
        <v>3.78</v>
      </c>
      <c r="AL67" s="22">
        <f>VLOOKUP($R67,武学奇术!$A:$ZZ,29,FALSE)*(1+IF(OR($AH67=$F$4,$AH67=$F$5),$B$22,0))</f>
        <v>0</v>
      </c>
      <c r="AM67" s="21" cm="1">
        <f t="array" ref="AM67">$G$3+IFERROR(VLOOKUP($AH67,$F$4:$G$7,2,FALSE),0)+VLOOKUP($R67,武学奇术!$A:$ZZ,2,FALSE)+SUM(_xlfn.XLOOKUP($S67:$AG67,增益!$A:$A,增益!$B:$B,0))</f>
        <v>1.7091</v>
      </c>
      <c r="AN67" s="21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1831.48</v>
      </c>
      <c r="AP67" cm="1">
        <f t="array" ref="AP67">$E$10*(1+$AN67)+VLOOKUP($R67,武学奇术!$A:$ZZ,4,FALSE)+SUM(_xlfn.XLOOKUP($S67:$AG67,增益!$A:$A,增益!$D:$D,0))-$I$2</f>
        <v>7763.56</v>
      </c>
      <c r="AQ67" s="26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0.369</v>
      </c>
      <c r="AR67" s="26" cm="1">
        <f t="array" ref="AR67">$G$10+VLOOKUP($R67,武学奇术!$A:$ZZ,7,FALSE)+SUM(_xlfn.XLOOKUP(S67:AG67,增益!$A:$A,增益!$G:$G,0))</f>
        <v>0</v>
      </c>
      <c r="AS67" s="21" cm="1">
        <f t="array" ref="AS67">VLOOKUP($R67,武学奇术!$A:$ZZ,8,FALSE)+SUM(_xlfn.XLOOKUP(S67:AG67,增益!$A:$A,增益!$H:$H,0))</f>
        <v>0</v>
      </c>
      <c r="AT67">
        <f t="shared" si="25"/>
        <v>680.02</v>
      </c>
      <c r="AU67">
        <f t="shared" si="26"/>
        <v>1288.54</v>
      </c>
      <c r="AV67" s="26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0.075</v>
      </c>
      <c r="AW67" s="26" cm="1">
        <f t="array" ref="AW67">$G$11+VLOOKUP($R67,武学奇术!$A:$ZZ,10,FALSE)+SUM(_xlfn.XLOOKUP(S67:AG67,增益!$A:$A,增益!$J:$J,0))</f>
        <v>0.15</v>
      </c>
      <c r="AX67">
        <f t="shared" si="27"/>
        <v>0</v>
      </c>
      <c r="AY67">
        <f t="shared" si="28"/>
        <v>0</v>
      </c>
      <c r="AZ67" s="26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26" cm="1">
        <f t="array" ref="BA67">$G$12+VLOOKUP($R67,武学奇术!$A:$ZZ,12,FALSE)+SUM(_xlfn.XLOOKUP(S67:AG67,增益!$A:$A,增益!$L:$L,0))</f>
        <v>0</v>
      </c>
      <c r="BB67">
        <f t="shared" si="29"/>
        <v>0</v>
      </c>
      <c r="BC67">
        <f t="shared" si="30"/>
        <v>0</v>
      </c>
      <c r="BD67" s="26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26" cm="1">
        <f t="array" ref="BE67">$G$13+VLOOKUP($R67,武学奇术!$A:$ZZ,14,FALSE)+SUM(_xlfn.XLOOKUP(S67:AG67,增益!$A:$A,增益!$N:$N,0))</f>
        <v>0</v>
      </c>
      <c r="BF67">
        <f t="shared" si="31"/>
        <v>0</v>
      </c>
      <c r="BG67">
        <f t="shared" si="32"/>
        <v>0</v>
      </c>
      <c r="BH67" s="26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26" cm="1">
        <f t="array" ref="BI67">$G$14+VLOOKUP($R67,武学奇术!$A:$ZZ,16,FALSE)+SUM(_xlfn.XLOOKUP(S67:AG67,增益!$A:$A,增益!$P:$P,0))</f>
        <v>0</v>
      </c>
      <c r="BJ67" s="21">
        <f>MIN(IF(VLOOKUP($R67,武学奇术!$A:$ZZ,23,FALSE)=1,100%,$B$8),100%)</f>
        <v>0.8229</v>
      </c>
      <c r="BK67" s="21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0.2285</v>
      </c>
      <c r="BL67" s="21" cm="1">
        <f t="array" ref="BL67">1+$B$13+VLOOKUP($R67,武学奇术!$A:$ZZ,18,FALSE)+SUM(_xlfn.XLOOKUP(S67:AG67,增益!$A:$A,增益!$R:$R,0))</f>
        <v>1.5</v>
      </c>
      <c r="BM67" s="21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0.4495</v>
      </c>
      <c r="BN67" s="21" cm="1">
        <f t="array" ref="BN67">1+$B$14+VLOOKUP($R67,武学奇术!$A:$ZZ,20,FALSE)+SUM(_xlfn.XLOOKUP(S67:AG67,增益!$A:$A,增益!$T:$T,0))</f>
        <v>1.782</v>
      </c>
      <c r="BO67" s="21">
        <f t="shared" si="23"/>
        <v>0.18803265</v>
      </c>
      <c r="BP67" s="21">
        <f t="shared" ref="BP67:BP101" si="33">1-BM67-BO67-BQ67</f>
        <v>0.2649738</v>
      </c>
      <c r="BQ67" s="21">
        <f>IF(VLOOKUP($R67,武学奇术!$A:$ZZ,22,FALSE)=1,0,(1-$BJ67))*(1-$BM67)</f>
        <v>0.09749355</v>
      </c>
      <c r="BR67" s="21" cm="1">
        <f t="array" ref="BR67">SUM(_xlfn.XLOOKUP(S67:AG67,增益!$A:$A,增益!$W:$W,0))+$I$5</f>
        <v>0.16</v>
      </c>
    </row>
    <row r="68" spans="1:70">
      <c r="A68" t="s">
        <v>165</v>
      </c>
      <c r="B68">
        <v>1</v>
      </c>
      <c r="D68" s="31" t="s">
        <v>166</v>
      </c>
      <c r="E68" s="80"/>
      <c r="G68" s="80"/>
      <c r="K68" s="24">
        <f>$L68*VLOOKUP($R68,武学奇术!$A:$ZZ,31,FALSE)</f>
        <v>19181.5722999695</v>
      </c>
      <c r="L68" s="24">
        <f t="shared" si="24"/>
        <v>19181.5722999695</v>
      </c>
      <c r="M68" s="2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16843.6323011599</v>
      </c>
      <c r="N68" s="24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27916.3372314442</v>
      </c>
      <c r="O68" s="2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11229.0882007733</v>
      </c>
      <c r="P68" s="24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5032.24804234295</v>
      </c>
      <c r="Q68" s="31">
        <v>1</v>
      </c>
      <c r="R68" s="32" t="s">
        <v>103</v>
      </c>
      <c r="S68" s="32" t="s">
        <v>87</v>
      </c>
      <c r="T68" s="32" t="s">
        <v>104</v>
      </c>
      <c r="U68" s="32" t="s">
        <v>73</v>
      </c>
      <c r="V68" s="32" t="s">
        <v>73</v>
      </c>
      <c r="W68" s="32" t="s">
        <v>73</v>
      </c>
      <c r="X68" s="32" t="s">
        <v>127</v>
      </c>
      <c r="Y68" s="32" t="s">
        <v>179</v>
      </c>
      <c r="Z68" s="32" t="s">
        <v>182</v>
      </c>
      <c r="AA68" s="32" t="s">
        <v>73</v>
      </c>
      <c r="AB68" s="32" t="s">
        <v>75</v>
      </c>
      <c r="AC68" s="32" t="s">
        <v>89</v>
      </c>
      <c r="AD68" s="32" t="s">
        <v>82</v>
      </c>
      <c r="AE68" s="32" t="s">
        <v>90</v>
      </c>
      <c r="AF68" s="32" t="s">
        <v>73</v>
      </c>
      <c r="AG68" s="32" t="s">
        <v>178</v>
      </c>
      <c r="AH68" t="str">
        <f>VLOOKUP($R68,武学奇术!$A:$ZZ,25,FALSE)</f>
        <v>剑</v>
      </c>
      <c r="AI68" s="21">
        <f>VLOOKUP($R68,武学奇术!$A:$ZZ,26,FALSE)</f>
        <v>0.625</v>
      </c>
      <c r="AJ68" s="22">
        <f>VLOOKUP($R68,武学奇术!$A:$ZZ,27,FALSE)*(1+IF(OR($AH68=$F$4,$AH68=$F$5),$B$22,0))</f>
        <v>0</v>
      </c>
      <c r="AK68" s="21">
        <f>VLOOKUP($R68,武学奇术!$A:$ZZ,28,FALSE)</f>
        <v>0.9375</v>
      </c>
      <c r="AL68" s="22">
        <f>VLOOKUP($R68,武学奇术!$A:$ZZ,29,FALSE)*(1+IF(OR($AH68=$F$4,$AH68=$F$5),$B$22,0))</f>
        <v>0</v>
      </c>
      <c r="AM68" s="21" cm="1">
        <f t="array" ref="AM68">$G$3+IFERROR(VLOOKUP($AH68,$F$4:$G$7,2,FALSE),0)+VLOOKUP($R68,武学奇术!$A:$ZZ,2,FALSE)+SUM(_xlfn.XLOOKUP($S68:$AG68,增益!$A:$A,增益!$B:$B,0))</f>
        <v>0.9591</v>
      </c>
      <c r="AN68" s="21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1831.48</v>
      </c>
      <c r="AP68" cm="1">
        <f t="array" ref="AP68">$E$10*(1+$AN68)+VLOOKUP($R68,武学奇术!$A:$ZZ,4,FALSE)+SUM(_xlfn.XLOOKUP($S68:$AG68,增益!$A:$A,增益!$D:$D,0))-$I$2</f>
        <v>7763.56</v>
      </c>
      <c r="AQ68" s="26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0.294</v>
      </c>
      <c r="AR68" s="26" cm="1">
        <f t="array" ref="AR68">$G$10+VLOOKUP($R68,武学奇术!$A:$ZZ,7,FALSE)+SUM(_xlfn.XLOOKUP(S68:AG68,增益!$A:$A,增益!$G:$G,0))</f>
        <v>0</v>
      </c>
      <c r="AS68" s="21" cm="1">
        <f t="array" ref="AS68">VLOOKUP($R68,武学奇术!$A:$ZZ,8,FALSE)+SUM(_xlfn.XLOOKUP(S68:AG68,增益!$A:$A,增益!$H:$H,0))</f>
        <v>0</v>
      </c>
      <c r="AT68">
        <f t="shared" si="25"/>
        <v>680.02</v>
      </c>
      <c r="AU68">
        <f t="shared" si="26"/>
        <v>1288.54</v>
      </c>
      <c r="AV68" s="26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26" cm="1">
        <f t="array" ref="AW68">$G$11+VLOOKUP($R68,武学奇术!$A:$ZZ,10,FALSE)+SUM(_xlfn.XLOOKUP(S68:AG68,增益!$A:$A,增益!$J:$J,0))</f>
        <v>0.15</v>
      </c>
      <c r="AX68">
        <f t="shared" si="27"/>
        <v>0</v>
      </c>
      <c r="AY68">
        <f t="shared" si="28"/>
        <v>0</v>
      </c>
      <c r="AZ68" s="26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26" cm="1">
        <f t="array" ref="BA68">$G$12+VLOOKUP($R68,武学奇术!$A:$ZZ,12,FALSE)+SUM(_xlfn.XLOOKUP(S68:AG68,增益!$A:$A,增益!$L:$L,0))</f>
        <v>0</v>
      </c>
      <c r="BB68">
        <f t="shared" si="29"/>
        <v>0</v>
      </c>
      <c r="BC68">
        <f t="shared" si="30"/>
        <v>0</v>
      </c>
      <c r="BD68" s="26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26" cm="1">
        <f t="array" ref="BE68">$G$13+VLOOKUP($R68,武学奇术!$A:$ZZ,14,FALSE)+SUM(_xlfn.XLOOKUP(S68:AG68,增益!$A:$A,增益!$N:$N,0))</f>
        <v>0</v>
      </c>
      <c r="BF68">
        <f t="shared" si="31"/>
        <v>0</v>
      </c>
      <c r="BG68">
        <f t="shared" si="32"/>
        <v>0</v>
      </c>
      <c r="BH68" s="26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26" cm="1">
        <f t="array" ref="BI68">$G$14+VLOOKUP($R68,武学奇术!$A:$ZZ,16,FALSE)+SUM(_xlfn.XLOOKUP(S68:AG68,增益!$A:$A,增益!$P:$P,0))</f>
        <v>0</v>
      </c>
      <c r="BJ68" s="21">
        <f>MIN(IF(VLOOKUP($R68,武学奇术!$A:$ZZ,23,FALSE)=1,100%,$B$8),100%)</f>
        <v>0.8229</v>
      </c>
      <c r="BK68" s="21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0.2285</v>
      </c>
      <c r="BL68" s="21" cm="1">
        <f t="array" ref="BL68">1+$B$13+VLOOKUP($R68,武学奇术!$A:$ZZ,18,FALSE)+SUM(_xlfn.XLOOKUP(S68:AG68,增益!$A:$A,增益!$R:$R,0))</f>
        <v>1.5</v>
      </c>
      <c r="BM68" s="21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0.4495</v>
      </c>
      <c r="BN68" s="21" cm="1">
        <f t="array" ref="BN68">1+$B$14+VLOOKUP($R68,武学奇术!$A:$ZZ,20,FALSE)+SUM(_xlfn.XLOOKUP(S68:AG68,增益!$A:$A,增益!$T:$T,0))</f>
        <v>1.602</v>
      </c>
      <c r="BO68" s="21">
        <f t="shared" si="23"/>
        <v>0.18803265</v>
      </c>
      <c r="BP68" s="21">
        <f t="shared" si="33"/>
        <v>0.2649738</v>
      </c>
      <c r="BQ68" s="21">
        <f>IF(VLOOKUP($R68,武学奇术!$A:$ZZ,22,FALSE)=1,0,(1-$BJ68))*(1-$BM68)</f>
        <v>0.09749355</v>
      </c>
      <c r="BR68" s="21" cm="1">
        <f t="array" ref="BR68">SUM(_xlfn.XLOOKUP(S68:AG68,增益!$A:$A,增益!$W:$W,0))+$I$5</f>
        <v>0.16</v>
      </c>
    </row>
    <row r="69" spans="1:70">
      <c r="A69" t="s">
        <v>168</v>
      </c>
      <c r="B69">
        <v>2.6</v>
      </c>
      <c r="D69" s="31"/>
      <c r="E69" s="80"/>
      <c r="G69" s="80"/>
      <c r="K69" s="24">
        <f>$L69*VLOOKUP($R69,武学奇术!$A:$ZZ,31,FALSE)</f>
        <v>32983.3208091677</v>
      </c>
      <c r="L69" s="24">
        <f t="shared" si="24"/>
        <v>32983.3208091677</v>
      </c>
      <c r="M69" s="2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29587.8782794328</v>
      </c>
      <c r="N69" s="24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47207.8685111449</v>
      </c>
      <c r="O69" s="2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19725.2521862885</v>
      </c>
      <c r="P69" s="24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9982.42165650653</v>
      </c>
      <c r="Q69" s="31">
        <v>1</v>
      </c>
      <c r="R69" s="32" t="s">
        <v>108</v>
      </c>
      <c r="S69" s="32" t="s">
        <v>87</v>
      </c>
      <c r="T69" s="32" t="s">
        <v>104</v>
      </c>
      <c r="U69" s="32" t="s">
        <v>73</v>
      </c>
      <c r="V69" s="32" t="s">
        <v>73</v>
      </c>
      <c r="W69" s="32" t="s">
        <v>73</v>
      </c>
      <c r="X69" s="32" t="s">
        <v>127</v>
      </c>
      <c r="Y69" s="32" t="s">
        <v>179</v>
      </c>
      <c r="Z69" s="32" t="s">
        <v>182</v>
      </c>
      <c r="AA69" s="32" t="s">
        <v>73</v>
      </c>
      <c r="AB69" s="32" t="s">
        <v>75</v>
      </c>
      <c r="AC69" s="32" t="s">
        <v>89</v>
      </c>
      <c r="AD69" s="32" t="s">
        <v>82</v>
      </c>
      <c r="AE69" s="32" t="s">
        <v>90</v>
      </c>
      <c r="AF69" s="32" t="s">
        <v>73</v>
      </c>
      <c r="AG69" s="32" t="s">
        <v>178</v>
      </c>
      <c r="AH69" t="str">
        <f>VLOOKUP($R69,武学奇术!$A:$ZZ,25,FALSE)</f>
        <v>枪</v>
      </c>
      <c r="AI69" s="21">
        <f>VLOOKUP($R69,武学奇术!$A:$ZZ,26,FALSE)</f>
        <v>1.02732</v>
      </c>
      <c r="AJ69" s="22">
        <f>VLOOKUP($R69,武学奇术!$A:$ZZ,27,FALSE)*(1+IF(OR($AH69=$F$4,$AH69=$F$5),$B$22,0))</f>
        <v>426.6</v>
      </c>
      <c r="AK69" s="21">
        <f>VLOOKUP($R69,武学奇术!$A:$ZZ,28,FALSE)</f>
        <v>1.54096</v>
      </c>
      <c r="AL69" s="22">
        <f>VLOOKUP($R69,武学奇术!$A:$ZZ,29,FALSE)*(1+IF(OR($AH69=$F$4,$AH69=$F$5),$B$22,0))</f>
        <v>232.2</v>
      </c>
      <c r="AM69" s="21" cm="1">
        <f t="array" ref="AM69">$G$3+IFERROR(VLOOKUP($AH69,$F$4:$G$7,2,FALSE),0)+VLOOKUP($R69,武学奇术!$A:$ZZ,2,FALSE)+SUM(_xlfn.XLOOKUP($S69:$AG69,增益!$A:$A,增益!$B:$B,0))</f>
        <v>0.8739</v>
      </c>
      <c r="AN69" s="21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1831.48</v>
      </c>
      <c r="AP69" cm="1">
        <f t="array" ref="AP69">$E$10*(1+$AN69)+VLOOKUP($R69,武学奇术!$A:$ZZ,4,FALSE)+SUM(_xlfn.XLOOKUP($S69:$AG69,增益!$A:$A,增益!$D:$D,0))-$I$2</f>
        <v>7763.56</v>
      </c>
      <c r="AQ69" s="26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0.294</v>
      </c>
      <c r="AR69" s="26" cm="1">
        <f t="array" ref="AR69">$G$10+VLOOKUP($R69,武学奇术!$A:$ZZ,7,FALSE)+SUM(_xlfn.XLOOKUP(S69:AG69,增益!$A:$A,增益!$G:$G,0))</f>
        <v>0</v>
      </c>
      <c r="AS69" s="21" cm="1">
        <f t="array" ref="AS69">VLOOKUP($R69,武学奇术!$A:$ZZ,8,FALSE)+SUM(_xlfn.XLOOKUP(S69:AG69,增益!$A:$A,增益!$H:$H,0))</f>
        <v>0</v>
      </c>
      <c r="AT69">
        <f t="shared" si="25"/>
        <v>680.02</v>
      </c>
      <c r="AU69">
        <f t="shared" si="26"/>
        <v>1288.54</v>
      </c>
      <c r="AV69" s="26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26" cm="1">
        <f t="array" ref="AW69">$G$11+VLOOKUP($R69,武学奇术!$A:$ZZ,10,FALSE)+SUM(_xlfn.XLOOKUP(S69:AG69,增益!$A:$A,增益!$J:$J,0))</f>
        <v>0.15</v>
      </c>
      <c r="AX69">
        <f t="shared" si="27"/>
        <v>0</v>
      </c>
      <c r="AY69">
        <f t="shared" si="28"/>
        <v>0</v>
      </c>
      <c r="AZ69" s="26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26" cm="1">
        <f t="array" ref="BA69">$G$12+VLOOKUP($R69,武学奇术!$A:$ZZ,12,FALSE)+SUM(_xlfn.XLOOKUP(S69:AG69,增益!$A:$A,增益!$L:$L,0))</f>
        <v>0</v>
      </c>
      <c r="BB69">
        <f t="shared" si="29"/>
        <v>0</v>
      </c>
      <c r="BC69">
        <f t="shared" si="30"/>
        <v>0</v>
      </c>
      <c r="BD69" s="26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26" cm="1">
        <f t="array" ref="BE69">$G$13+VLOOKUP($R69,武学奇术!$A:$ZZ,14,FALSE)+SUM(_xlfn.XLOOKUP(S69:AG69,增益!$A:$A,增益!$N:$N,0))</f>
        <v>0</v>
      </c>
      <c r="BF69">
        <f t="shared" si="31"/>
        <v>0</v>
      </c>
      <c r="BG69">
        <f t="shared" si="32"/>
        <v>0</v>
      </c>
      <c r="BH69" s="26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26" cm="1">
        <f t="array" ref="BI69">$G$14+VLOOKUP($R69,武学奇术!$A:$ZZ,16,FALSE)+SUM(_xlfn.XLOOKUP(S69:AG69,增益!$A:$A,增益!$P:$P,0))</f>
        <v>0</v>
      </c>
      <c r="BJ69" s="21">
        <f>MIN(IF(VLOOKUP($R69,武学奇术!$A:$ZZ,23,FALSE)=1,100%,$B$8),100%)</f>
        <v>0.8229</v>
      </c>
      <c r="BK69" s="21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0.2285</v>
      </c>
      <c r="BL69" s="21" cm="1">
        <f t="array" ref="BL69">1+$B$13+VLOOKUP($R69,武学奇术!$A:$ZZ,18,FALSE)+SUM(_xlfn.XLOOKUP(S69:AG69,增益!$A:$A,增益!$R:$R,0))</f>
        <v>1.5</v>
      </c>
      <c r="BM69" s="21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0.4495</v>
      </c>
      <c r="BN69" s="21" cm="1">
        <f t="array" ref="BN69">1+$B$14+VLOOKUP($R69,武学奇术!$A:$ZZ,20,FALSE)+SUM(_xlfn.XLOOKUP(S69:AG69,增益!$A:$A,增益!$T:$T,0))</f>
        <v>1.602</v>
      </c>
      <c r="BO69" s="21">
        <f t="shared" si="23"/>
        <v>0.18803265</v>
      </c>
      <c r="BP69" s="21">
        <f t="shared" si="33"/>
        <v>0.2649738</v>
      </c>
      <c r="BQ69" s="21">
        <f>IF(VLOOKUP($R69,武学奇术!$A:$ZZ,22,FALSE)=1,0,(1-$BJ69))*(1-$BM69)</f>
        <v>0.09749355</v>
      </c>
      <c r="BR69" s="21" cm="1">
        <f t="array" ref="BR69">SUM(_xlfn.XLOOKUP(S69:AG69,增益!$A:$A,增益!$W:$W,0))+$I$5</f>
        <v>0.16</v>
      </c>
    </row>
    <row r="70" spans="1:70">
      <c r="A70" t="s">
        <v>162</v>
      </c>
      <c r="B70">
        <v>1.7</v>
      </c>
      <c r="D70" s="31"/>
      <c r="G70" s="80"/>
      <c r="K70" s="24">
        <f>$L70*VLOOKUP($R70,武学奇术!$A:$ZZ,31,FALSE)</f>
        <v>96885.7249400823</v>
      </c>
      <c r="L70" s="24">
        <f t="shared" si="24"/>
        <v>161476.20823347</v>
      </c>
      <c r="M70" s="2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132268.961649458</v>
      </c>
      <c r="N70" s="24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243284.622591544</v>
      </c>
      <c r="O70" s="2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88179.3077663051</v>
      </c>
      <c r="P70" s="24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39835.2582982981</v>
      </c>
      <c r="Q70" s="31">
        <v>1</v>
      </c>
      <c r="R70" s="32" t="s">
        <v>95</v>
      </c>
      <c r="S70" s="32" t="s">
        <v>87</v>
      </c>
      <c r="T70" s="32" t="s">
        <v>96</v>
      </c>
      <c r="U70" s="32" t="s">
        <v>97</v>
      </c>
      <c r="V70" s="32" t="s">
        <v>98</v>
      </c>
      <c r="W70" s="32" t="s">
        <v>111</v>
      </c>
      <c r="X70" s="32" t="s">
        <v>127</v>
      </c>
      <c r="Y70" s="32" t="s">
        <v>179</v>
      </c>
      <c r="Z70" s="32" t="s">
        <v>182</v>
      </c>
      <c r="AA70" s="32" t="s">
        <v>73</v>
      </c>
      <c r="AB70" s="32" t="s">
        <v>75</v>
      </c>
      <c r="AC70" s="32" t="s">
        <v>89</v>
      </c>
      <c r="AD70" s="32" t="s">
        <v>82</v>
      </c>
      <c r="AE70" s="32" t="s">
        <v>90</v>
      </c>
      <c r="AF70" s="32" t="s">
        <v>73</v>
      </c>
      <c r="AG70" s="32" t="s">
        <v>178</v>
      </c>
      <c r="AH70" t="str">
        <f>VLOOKUP($R70,武学奇术!$A:$ZZ,25,FALSE)</f>
        <v>剑</v>
      </c>
      <c r="AI70" s="21">
        <f>VLOOKUP($R70,武学奇术!$A:$ZZ,26,FALSE)</f>
        <v>2.52</v>
      </c>
      <c r="AJ70" s="22">
        <f>VLOOKUP($R70,武学奇术!$A:$ZZ,27,FALSE)*(1+IF(OR($AH70=$F$4,$AH70=$F$5),$B$22,0))</f>
        <v>0</v>
      </c>
      <c r="AK70" s="21">
        <f>VLOOKUP($R70,武学奇术!$A:$ZZ,28,FALSE)</f>
        <v>3.78</v>
      </c>
      <c r="AL70" s="22">
        <f>VLOOKUP($R70,武学奇术!$A:$ZZ,29,FALSE)*(1+IF(OR($AH70=$F$4,$AH70=$F$5),$B$22,0))</f>
        <v>0</v>
      </c>
      <c r="AM70" s="21" cm="1">
        <f t="array" ref="AM70">$G$3+IFERROR(VLOOKUP($AH70,$F$4:$G$7,2,FALSE),0)+VLOOKUP($R70,武学奇术!$A:$ZZ,2,FALSE)+SUM(_xlfn.XLOOKUP($S70:$AG70,增益!$A:$A,增益!$B:$B,0))</f>
        <v>1.7091</v>
      </c>
      <c r="AN70" s="21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1862.48</v>
      </c>
      <c r="AP70" cm="1">
        <f t="array" ref="AP70">$E$10*(1+$AN70)+VLOOKUP($R70,武学奇术!$A:$ZZ,4,FALSE)+SUM(_xlfn.XLOOKUP($S70:$AG70,增益!$A:$A,增益!$D:$D,0))-$I$2</f>
        <v>7794.56</v>
      </c>
      <c r="AQ70" s="26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0.369</v>
      </c>
      <c r="AR70" s="26" cm="1">
        <f t="array" ref="AR70">$G$10+VLOOKUP($R70,武学奇术!$A:$ZZ,7,FALSE)+SUM(_xlfn.XLOOKUP(S70:AG70,增益!$A:$A,增益!$G:$G,0))</f>
        <v>0</v>
      </c>
      <c r="AS70" s="21" cm="1">
        <f t="array" ref="AS70">VLOOKUP($R70,武学奇术!$A:$ZZ,8,FALSE)+SUM(_xlfn.XLOOKUP(S70:AG70,增益!$A:$A,增益!$H:$H,0))</f>
        <v>0</v>
      </c>
      <c r="AT70">
        <f t="shared" si="25"/>
        <v>680.02</v>
      </c>
      <c r="AU70">
        <f t="shared" si="26"/>
        <v>1288.54</v>
      </c>
      <c r="AV70" s="26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0.075</v>
      </c>
      <c r="AW70" s="26" cm="1">
        <f t="array" ref="AW70">$G$11+VLOOKUP($R70,武学奇术!$A:$ZZ,10,FALSE)+SUM(_xlfn.XLOOKUP(S70:AG70,增益!$A:$A,增益!$J:$J,0))</f>
        <v>0.15</v>
      </c>
      <c r="AX70">
        <f t="shared" si="27"/>
        <v>0</v>
      </c>
      <c r="AY70">
        <f t="shared" si="28"/>
        <v>0</v>
      </c>
      <c r="AZ70" s="26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26" cm="1">
        <f t="array" ref="BA70">$G$12+VLOOKUP($R70,武学奇术!$A:$ZZ,12,FALSE)+SUM(_xlfn.XLOOKUP(S70:AG70,增益!$A:$A,增益!$L:$L,0))</f>
        <v>0</v>
      </c>
      <c r="BB70">
        <f t="shared" si="29"/>
        <v>0</v>
      </c>
      <c r="BC70">
        <f t="shared" si="30"/>
        <v>0</v>
      </c>
      <c r="BD70" s="26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26" cm="1">
        <f t="array" ref="BE70">$G$13+VLOOKUP($R70,武学奇术!$A:$ZZ,14,FALSE)+SUM(_xlfn.XLOOKUP(S70:AG70,增益!$A:$A,增益!$N:$N,0))</f>
        <v>0</v>
      </c>
      <c r="BF70">
        <f t="shared" si="31"/>
        <v>0</v>
      </c>
      <c r="BG70">
        <f t="shared" si="32"/>
        <v>0</v>
      </c>
      <c r="BH70" s="26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26" cm="1">
        <f t="array" ref="BI70">$G$14+VLOOKUP($R70,武学奇术!$A:$ZZ,16,FALSE)+SUM(_xlfn.XLOOKUP(S70:AG70,增益!$A:$A,增益!$P:$P,0))</f>
        <v>0</v>
      </c>
      <c r="BJ70" s="21">
        <f>MIN(IF(VLOOKUP($R70,武学奇术!$A:$ZZ,23,FALSE)=1,100%,$B$8),100%)</f>
        <v>0.8229</v>
      </c>
      <c r="BK70" s="21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0.2285</v>
      </c>
      <c r="BL70" s="21" cm="1">
        <f t="array" ref="BL70">1+$B$13+VLOOKUP($R70,武学奇术!$A:$ZZ,18,FALSE)+SUM(_xlfn.XLOOKUP(S70:AG70,增益!$A:$A,增益!$R:$R,0))</f>
        <v>1.5</v>
      </c>
      <c r="BM70" s="21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0.4495</v>
      </c>
      <c r="BN70" s="21" cm="1">
        <f t="array" ref="BN70">1+$B$14+VLOOKUP($R70,武学奇术!$A:$ZZ,20,FALSE)+SUM(_xlfn.XLOOKUP(S70:AG70,增益!$A:$A,增益!$T:$T,0))</f>
        <v>1.782</v>
      </c>
      <c r="BO70" s="21">
        <f t="shared" si="23"/>
        <v>0.18803265</v>
      </c>
      <c r="BP70" s="21">
        <f t="shared" si="33"/>
        <v>0.2649738</v>
      </c>
      <c r="BQ70" s="21">
        <f>IF(VLOOKUP($R70,武学奇术!$A:$ZZ,22,FALSE)=1,0,(1-$BJ70))*(1-$BM70)</f>
        <v>0.09749355</v>
      </c>
      <c r="BR70" s="21" cm="1">
        <f t="array" ref="BR70">SUM(_xlfn.XLOOKUP(S70:AG70,增益!$A:$A,增益!$W:$W,0))+$I$5</f>
        <v>0.16</v>
      </c>
    </row>
    <row r="71" spans="1:70">
      <c r="A71" t="s">
        <v>176</v>
      </c>
      <c r="B71">
        <v>3</v>
      </c>
      <c r="D71" s="31"/>
      <c r="G71" s="80"/>
      <c r="K71" s="24">
        <f>$L71*VLOOKUP($R71,武学奇术!$A:$ZZ,31,FALSE)</f>
        <v>0</v>
      </c>
      <c r="L71" s="24">
        <f t="shared" si="24"/>
        <v>0</v>
      </c>
      <c r="M71" s="2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0</v>
      </c>
      <c r="N71" s="24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0</v>
      </c>
      <c r="O71" s="2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0</v>
      </c>
      <c r="P71" s="24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0</v>
      </c>
      <c r="Q71" s="31">
        <v>1</v>
      </c>
      <c r="R71" s="32" t="s">
        <v>73</v>
      </c>
      <c r="S71" s="32" t="s">
        <v>73</v>
      </c>
      <c r="T71" s="32" t="s">
        <v>73</v>
      </c>
      <c r="U71" s="32" t="s">
        <v>73</v>
      </c>
      <c r="V71" s="32" t="s">
        <v>73</v>
      </c>
      <c r="W71" s="32" t="s">
        <v>73</v>
      </c>
      <c r="X71" s="32" t="s">
        <v>73</v>
      </c>
      <c r="Y71" s="32" t="s">
        <v>73</v>
      </c>
      <c r="Z71" s="32" t="s">
        <v>73</v>
      </c>
      <c r="AA71" s="32" t="s">
        <v>73</v>
      </c>
      <c r="AB71" s="32" t="s">
        <v>73</v>
      </c>
      <c r="AC71" s="32" t="s">
        <v>73</v>
      </c>
      <c r="AD71" s="32" t="s">
        <v>73</v>
      </c>
      <c r="AE71" s="32" t="s">
        <v>73</v>
      </c>
      <c r="AF71" s="32" t="s">
        <v>73</v>
      </c>
      <c r="AG71" s="32" t="s">
        <v>73</v>
      </c>
      <c r="AH71" t="str">
        <f>VLOOKUP($R71,武学奇术!$A:$ZZ,25,FALSE)</f>
        <v>心法</v>
      </c>
      <c r="AI71" s="21">
        <f>VLOOKUP($R71,武学奇术!$A:$ZZ,26,FALSE)</f>
        <v>0</v>
      </c>
      <c r="AJ71" s="22">
        <f>VLOOKUP($R71,武学奇术!$A:$ZZ,27,FALSE)*(1+IF(OR($AH71=$F$4,$AH71=$F$5),$B$22,0))</f>
        <v>0</v>
      </c>
      <c r="AK71" s="21">
        <f>VLOOKUP($R71,武学奇术!$A:$ZZ,28,FALSE)</f>
        <v>0</v>
      </c>
      <c r="AL71" s="22">
        <f>VLOOKUP($R71,武学奇术!$A:$ZZ,29,FALSE)*(1+IF(OR($AH71=$F$4,$AH71=$F$5),$B$22,0))</f>
        <v>0</v>
      </c>
      <c r="AM71" s="21" cm="1">
        <f t="array" ref="AM71">$G$3+IFERROR(VLOOKUP($AH71,$F$4:$G$7,2,FALSE),0)+VLOOKUP($R71,武学奇术!$A:$ZZ,2,FALSE)+SUM(_xlfn.XLOOKUP($S71:$AG71,增益!$A:$A,增益!$B:$B,0))</f>
        <v>0.1842</v>
      </c>
      <c r="AN71" s="21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1831.48</v>
      </c>
      <c r="AP71" cm="1">
        <f t="array" ref="AP71">$E$10*(1+$AN71)+VLOOKUP($R71,武学奇术!$A:$ZZ,4,FALSE)+SUM(_xlfn.XLOOKUP($S71:$AG71,增益!$A:$A,增益!$D:$D,0))-$I$2</f>
        <v>7763.56</v>
      </c>
      <c r="AQ71" s="26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0.244</v>
      </c>
      <c r="AR71" s="26" cm="1">
        <f t="array" ref="AR71">$G$10+VLOOKUP($R71,武学奇术!$A:$ZZ,7,FALSE)+SUM(_xlfn.XLOOKUP(S71:AG71,增益!$A:$A,增益!$G:$G,0))</f>
        <v>0</v>
      </c>
      <c r="AS71" s="21" cm="1">
        <f t="array" ref="AS71">VLOOKUP($R71,武学奇术!$A:$ZZ,8,FALSE)+SUM(_xlfn.XLOOKUP(S71:AG71,增益!$A:$A,增益!$H:$H,0))</f>
        <v>0</v>
      </c>
      <c r="AT71">
        <f t="shared" si="25"/>
        <v>680.02</v>
      </c>
      <c r="AU71">
        <f t="shared" si="26"/>
        <v>1288.54</v>
      </c>
      <c r="AV71" s="26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26" cm="1">
        <f t="array" ref="AW71">$G$11+VLOOKUP($R71,武学奇术!$A:$ZZ,10,FALSE)+SUM(_xlfn.XLOOKUP(S71:AG71,增益!$A:$A,增益!$J:$J,0))</f>
        <v>0.15</v>
      </c>
      <c r="AX71">
        <f t="shared" si="27"/>
        <v>0</v>
      </c>
      <c r="AY71">
        <f t="shared" si="28"/>
        <v>0</v>
      </c>
      <c r="AZ71" s="26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26" cm="1">
        <f t="array" ref="BA71">$G$12+VLOOKUP($R71,武学奇术!$A:$ZZ,12,FALSE)+SUM(_xlfn.XLOOKUP(S71:AG71,增益!$A:$A,增益!$L:$L,0))</f>
        <v>0</v>
      </c>
      <c r="BB71">
        <f t="shared" si="29"/>
        <v>0</v>
      </c>
      <c r="BC71">
        <f t="shared" si="30"/>
        <v>0</v>
      </c>
      <c r="BD71" s="26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26" cm="1">
        <f t="array" ref="BE71">$G$13+VLOOKUP($R71,武学奇术!$A:$ZZ,14,FALSE)+SUM(_xlfn.XLOOKUP(S71:AG71,增益!$A:$A,增益!$N:$N,0))</f>
        <v>0</v>
      </c>
      <c r="BF71">
        <f t="shared" si="31"/>
        <v>0</v>
      </c>
      <c r="BG71">
        <f t="shared" si="32"/>
        <v>0</v>
      </c>
      <c r="BH71" s="26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26" cm="1">
        <f t="array" ref="BI71">$G$14+VLOOKUP($R71,武学奇术!$A:$ZZ,16,FALSE)+SUM(_xlfn.XLOOKUP(S71:AG71,增益!$A:$A,增益!$P:$P,0))</f>
        <v>0</v>
      </c>
      <c r="BJ71" s="21">
        <f>MIN(IF(VLOOKUP($R71,武学奇术!$A:$ZZ,23,FALSE)=1,100%,$B$8),100%)</f>
        <v>0.8229</v>
      </c>
      <c r="BK71" s="21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0.2285</v>
      </c>
      <c r="BL71" s="21" cm="1">
        <f t="array" ref="BL71">1+$B$13+VLOOKUP($R71,武学奇术!$A:$ZZ,18,FALSE)+SUM(_xlfn.XLOOKUP(S71:AG71,增益!$A:$A,增益!$R:$R,0))</f>
        <v>1.5</v>
      </c>
      <c r="BM71" s="21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0.4195</v>
      </c>
      <c r="BN71" s="21" cm="1">
        <f t="array" ref="BN71">1+$B$14+VLOOKUP($R71,武学奇术!$A:$ZZ,20,FALSE)+SUM(_xlfn.XLOOKUP(S71:AG71,增益!$A:$A,增益!$T:$T,0))</f>
        <v>1.402</v>
      </c>
      <c r="BO71" s="21">
        <f t="shared" si="23"/>
        <v>0.18803265</v>
      </c>
      <c r="BP71" s="21">
        <f t="shared" si="33"/>
        <v>0.2896608</v>
      </c>
      <c r="BQ71" s="21">
        <f>IF(VLOOKUP($R71,武学奇术!$A:$ZZ,22,FALSE)=1,0,(1-$BJ71))*(1-$BM71)</f>
        <v>0.10280655</v>
      </c>
      <c r="BR71" s="21" cm="1">
        <f t="array" ref="BR71">SUM(_xlfn.XLOOKUP(S71:AG71,增益!$A:$A,增益!$W:$W,0))+$I$5</f>
        <v>0.06</v>
      </c>
    </row>
    <row r="72" spans="1:70">
      <c r="A72" t="s">
        <v>162</v>
      </c>
      <c r="B72">
        <v>1.7</v>
      </c>
      <c r="D72" s="31"/>
      <c r="G72" s="80"/>
      <c r="K72" s="24">
        <f>$L72*VLOOKUP($R72,武学奇术!$A:$ZZ,31,FALSE)</f>
        <v>98490.2604860293</v>
      </c>
      <c r="L72" s="24">
        <f t="shared" si="24"/>
        <v>98490.2604860293</v>
      </c>
      <c r="M72" s="2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87027.6743625191</v>
      </c>
      <c r="N72" s="24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142650.336174582</v>
      </c>
      <c r="O72" s="2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58018.4495750128</v>
      </c>
      <c r="P72" s="24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26991.7454829956</v>
      </c>
      <c r="Q72" s="31">
        <v>1</v>
      </c>
      <c r="R72" s="32" t="s">
        <v>187</v>
      </c>
      <c r="S72" s="32" t="s">
        <v>87</v>
      </c>
      <c r="T72" s="32" t="s">
        <v>104</v>
      </c>
      <c r="U72" s="32" t="s">
        <v>73</v>
      </c>
      <c r="V72" s="32" t="s">
        <v>73</v>
      </c>
      <c r="W72" s="32" t="s">
        <v>73</v>
      </c>
      <c r="X72" s="32" t="s">
        <v>127</v>
      </c>
      <c r="Y72" s="32" t="s">
        <v>73</v>
      </c>
      <c r="Z72" s="32" t="s">
        <v>73</v>
      </c>
      <c r="AA72" s="32" t="s">
        <v>73</v>
      </c>
      <c r="AB72" s="32" t="s">
        <v>75</v>
      </c>
      <c r="AC72" s="32" t="s">
        <v>76</v>
      </c>
      <c r="AD72" s="32" t="s">
        <v>82</v>
      </c>
      <c r="AE72" s="32" t="s">
        <v>73</v>
      </c>
      <c r="AF72" s="32" t="s">
        <v>73</v>
      </c>
      <c r="AG72" s="32" t="s">
        <v>178</v>
      </c>
      <c r="AH72" t="str">
        <f>VLOOKUP($R72,武学奇术!$A:$ZZ,25,FALSE)</f>
        <v>单体奇术</v>
      </c>
      <c r="AI72" s="21">
        <f>VLOOKUP($R72,武学奇术!$A:$ZZ,26,FALSE)</f>
        <v>3.9863</v>
      </c>
      <c r="AJ72" s="22">
        <f>VLOOKUP($R72,武学奇术!$A:$ZZ,27,FALSE)*(1+IF(OR($AH72=$F$4,$AH72=$F$5),$B$22,0))</f>
        <v>778</v>
      </c>
      <c r="AK72" s="21">
        <f>VLOOKUP($R72,武学奇术!$A:$ZZ,28,FALSE)</f>
        <v>5.97945</v>
      </c>
      <c r="AL72" s="22">
        <f>VLOOKUP($R72,武学奇术!$A:$ZZ,29,FALSE)*(1+IF(OR($AH72=$F$4,$AH72=$F$5),$B$22,0))</f>
        <v>0</v>
      </c>
      <c r="AM72" s="21" cm="1">
        <f t="array" ref="AM72">$G$3+IFERROR(VLOOKUP($AH72,$F$4:$G$7,2,FALSE),0)+VLOOKUP($R72,武学奇术!$A:$ZZ,2,FALSE)+SUM(_xlfn.XLOOKUP($S72:$AG72,增益!$A:$A,增益!$B:$B,0))</f>
        <v>0.683</v>
      </c>
      <c r="AN72" s="21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1831.48</v>
      </c>
      <c r="AP72" cm="1">
        <f t="array" ref="AP72">$E$10*(1+$AN72)+VLOOKUP($R72,武学奇术!$A:$ZZ,4,FALSE)+SUM(_xlfn.XLOOKUP($S72:$AG72,增益!$A:$A,增益!$D:$D,0))-$I$2</f>
        <v>7763.56</v>
      </c>
      <c r="AQ72" s="26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0.294</v>
      </c>
      <c r="AR72" s="26" cm="1">
        <f t="array" ref="AR72">$G$10+VLOOKUP($R72,武学奇术!$A:$ZZ,7,FALSE)+SUM(_xlfn.XLOOKUP(S72:AG72,增益!$A:$A,增益!$G:$G,0))</f>
        <v>0</v>
      </c>
      <c r="AS72" s="21" cm="1">
        <f t="array" ref="AS72">VLOOKUP($R72,武学奇术!$A:$ZZ,8,FALSE)+SUM(_xlfn.XLOOKUP(S72:AG72,增益!$A:$A,增益!$H:$H,0))</f>
        <v>0</v>
      </c>
      <c r="AT72">
        <f t="shared" si="25"/>
        <v>680.02</v>
      </c>
      <c r="AU72">
        <f t="shared" si="26"/>
        <v>1288.54</v>
      </c>
      <c r="AV72" s="26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26" cm="1">
        <f t="array" ref="AW72">$G$11+VLOOKUP($R72,武学奇术!$A:$ZZ,10,FALSE)+SUM(_xlfn.XLOOKUP(S72:AG72,增益!$A:$A,增益!$J:$J,0))</f>
        <v>0.15</v>
      </c>
      <c r="AX72">
        <f t="shared" si="27"/>
        <v>0</v>
      </c>
      <c r="AY72">
        <f t="shared" si="28"/>
        <v>0</v>
      </c>
      <c r="AZ72" s="26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26" cm="1">
        <f t="array" ref="BA72">$G$12+VLOOKUP($R72,武学奇术!$A:$ZZ,12,FALSE)+SUM(_xlfn.XLOOKUP(S72:AG72,增益!$A:$A,增益!$L:$L,0))</f>
        <v>0</v>
      </c>
      <c r="BB72">
        <f t="shared" si="29"/>
        <v>0</v>
      </c>
      <c r="BC72">
        <f t="shared" si="30"/>
        <v>0</v>
      </c>
      <c r="BD72" s="26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26" cm="1">
        <f t="array" ref="BE72">$G$13+VLOOKUP($R72,武学奇术!$A:$ZZ,14,FALSE)+SUM(_xlfn.XLOOKUP(S72:AG72,增益!$A:$A,增益!$N:$N,0))</f>
        <v>0</v>
      </c>
      <c r="BF72">
        <f t="shared" si="31"/>
        <v>0</v>
      </c>
      <c r="BG72">
        <f t="shared" si="32"/>
        <v>0</v>
      </c>
      <c r="BH72" s="26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26" cm="1">
        <f t="array" ref="BI72">$G$14+VLOOKUP($R72,武学奇术!$A:$ZZ,16,FALSE)+SUM(_xlfn.XLOOKUP(S72:AG72,增益!$A:$A,增益!$P:$P,0))</f>
        <v>0</v>
      </c>
      <c r="BJ72" s="21">
        <f>MIN(IF(VLOOKUP($R72,武学奇术!$A:$ZZ,23,FALSE)=1,100%,$B$8),100%)</f>
        <v>0.8229</v>
      </c>
      <c r="BK72" s="21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0.2285</v>
      </c>
      <c r="BL72" s="21" cm="1">
        <f t="array" ref="BL72">1+$B$13+VLOOKUP($R72,武学奇术!$A:$ZZ,18,FALSE)+SUM(_xlfn.XLOOKUP(S72:AG72,增益!$A:$A,增益!$R:$R,0))</f>
        <v>1.5</v>
      </c>
      <c r="BM72" s="21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0.4495</v>
      </c>
      <c r="BN72" s="21" cm="1">
        <f t="array" ref="BN72">1+$B$14+VLOOKUP($R72,武学奇术!$A:$ZZ,20,FALSE)+SUM(_xlfn.XLOOKUP(S72:AG72,增益!$A:$A,增益!$T:$T,0))</f>
        <v>1.602</v>
      </c>
      <c r="BO72" s="21">
        <f t="shared" si="23"/>
        <v>0.18803265</v>
      </c>
      <c r="BP72" s="21">
        <f t="shared" si="33"/>
        <v>0.2649738</v>
      </c>
      <c r="BQ72" s="21">
        <f>IF(VLOOKUP($R72,武学奇术!$A:$ZZ,22,FALSE)=1,0,(1-$BJ72))*(1-$BM72)</f>
        <v>0.09749355</v>
      </c>
      <c r="BR72" s="21" cm="1">
        <f t="array" ref="BR72">SUM(_xlfn.XLOOKUP(S72:AG72,增益!$A:$A,增益!$W:$W,0))+$I$5</f>
        <v>0.06</v>
      </c>
    </row>
    <row r="73" spans="1:70">
      <c r="A73" t="s">
        <v>162</v>
      </c>
      <c r="B73">
        <v>1.7</v>
      </c>
      <c r="D73" s="31"/>
      <c r="K73" s="24">
        <f>$L73*VLOOKUP($R73,武学奇术!$A:$ZZ,31,FALSE)</f>
        <v>31704.5374887003</v>
      </c>
      <c r="L73" s="24">
        <f t="shared" si="24"/>
        <v>31704.5374887003</v>
      </c>
      <c r="M73" s="2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28439.9394136339</v>
      </c>
      <c r="N73" s="24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45378.6077315996</v>
      </c>
      <c r="O73" s="2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18959.9596090893</v>
      </c>
      <c r="P73" s="24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9593.69716349716</v>
      </c>
      <c r="Q73" s="31">
        <v>1</v>
      </c>
      <c r="R73" s="32" t="s">
        <v>86</v>
      </c>
      <c r="S73" s="32" t="s">
        <v>87</v>
      </c>
      <c r="T73" s="32" t="s">
        <v>104</v>
      </c>
      <c r="U73" s="32" t="s">
        <v>73</v>
      </c>
      <c r="V73" s="32" t="s">
        <v>73</v>
      </c>
      <c r="W73" s="32" t="s">
        <v>73</v>
      </c>
      <c r="X73" s="32" t="s">
        <v>127</v>
      </c>
      <c r="Y73" s="32" t="s">
        <v>73</v>
      </c>
      <c r="Z73" s="32" t="s">
        <v>73</v>
      </c>
      <c r="AA73" s="32" t="s">
        <v>81</v>
      </c>
      <c r="AB73" s="32" t="s">
        <v>75</v>
      </c>
      <c r="AC73" s="32" t="s">
        <v>76</v>
      </c>
      <c r="AD73" s="32" t="s">
        <v>82</v>
      </c>
      <c r="AE73" s="32" t="s">
        <v>73</v>
      </c>
      <c r="AF73" s="32" t="s">
        <v>73</v>
      </c>
      <c r="AG73" s="32" t="s">
        <v>178</v>
      </c>
      <c r="AH73" t="str">
        <f>VLOOKUP($R73,武学奇术!$A:$ZZ,25,FALSE)</f>
        <v>剑</v>
      </c>
      <c r="AI73" s="21">
        <f>VLOOKUP($R73,武学奇术!$A:$ZZ,26,FALSE)</f>
        <v>1.1781</v>
      </c>
      <c r="AJ73" s="22">
        <f>VLOOKUP($R73,武学奇术!$A:$ZZ,27,FALSE)*(1+IF(OR($AH73=$F$4,$AH73=$F$5),$B$22,0))</f>
        <v>489</v>
      </c>
      <c r="AK73" s="21">
        <f>VLOOKUP($R73,武学奇术!$A:$ZZ,28,FALSE)</f>
        <v>1.7672</v>
      </c>
      <c r="AL73" s="22">
        <f>VLOOKUP($R73,武学奇术!$A:$ZZ,29,FALSE)*(1+IF(OR($AH73=$F$4,$AH73=$F$5),$B$22,0))</f>
        <v>265.5</v>
      </c>
      <c r="AM73" s="21" cm="1">
        <f t="array" ref="AM73">$G$3+IFERROR(VLOOKUP($AH73,$F$4:$G$7,2,FALSE),0)+VLOOKUP($R73,武学奇术!$A:$ZZ,2,FALSE)+SUM(_xlfn.XLOOKUP($S73:$AG73,增益!$A:$A,增益!$B:$B,0))</f>
        <v>0.7191</v>
      </c>
      <c r="AN73" s="21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1831.48</v>
      </c>
      <c r="AP73" cm="1">
        <f t="array" ref="AP73">$E$10*(1+$AN73)+VLOOKUP($R73,武学奇术!$A:$ZZ,4,FALSE)+SUM(_xlfn.XLOOKUP($S73:$AG73,增益!$A:$A,增益!$D:$D,0))-$I$2</f>
        <v>7763.56</v>
      </c>
      <c r="AQ73" s="26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0.294</v>
      </c>
      <c r="AR73" s="26" cm="1">
        <f t="array" ref="AR73">$G$10+VLOOKUP($R73,武学奇术!$A:$ZZ,7,FALSE)+SUM(_xlfn.XLOOKUP(S73:AG73,增益!$A:$A,增益!$G:$G,0))</f>
        <v>0</v>
      </c>
      <c r="AS73" s="21" cm="1">
        <f t="array" ref="AS73">VLOOKUP($R73,武学奇术!$A:$ZZ,8,FALSE)+SUM(_xlfn.XLOOKUP(S73:AG73,增益!$A:$A,增益!$H:$H,0))</f>
        <v>0</v>
      </c>
      <c r="AT73">
        <f t="shared" si="25"/>
        <v>680.02</v>
      </c>
      <c r="AU73">
        <f t="shared" si="26"/>
        <v>1288.54</v>
      </c>
      <c r="AV73" s="26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26" cm="1">
        <f t="array" ref="AW73">$G$11+VLOOKUP($R73,武学奇术!$A:$ZZ,10,FALSE)+SUM(_xlfn.XLOOKUP(S73:AG73,增益!$A:$A,增益!$J:$J,0))</f>
        <v>0.15</v>
      </c>
      <c r="AX73">
        <f t="shared" si="27"/>
        <v>0</v>
      </c>
      <c r="AY73">
        <f t="shared" si="28"/>
        <v>0</v>
      </c>
      <c r="AZ73" s="26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26" cm="1">
        <f t="array" ref="BA73">$G$12+VLOOKUP($R73,武学奇术!$A:$ZZ,12,FALSE)+SUM(_xlfn.XLOOKUP(S73:AG73,增益!$A:$A,增益!$L:$L,0))</f>
        <v>0</v>
      </c>
      <c r="BB73">
        <f t="shared" si="29"/>
        <v>0</v>
      </c>
      <c r="BC73">
        <f t="shared" si="30"/>
        <v>0</v>
      </c>
      <c r="BD73" s="26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26" cm="1">
        <f t="array" ref="BE73">$G$13+VLOOKUP($R73,武学奇术!$A:$ZZ,14,FALSE)+SUM(_xlfn.XLOOKUP(S73:AG73,增益!$A:$A,增益!$N:$N,0))</f>
        <v>0</v>
      </c>
      <c r="BF73">
        <f t="shared" si="31"/>
        <v>0</v>
      </c>
      <c r="BG73">
        <f t="shared" si="32"/>
        <v>0</v>
      </c>
      <c r="BH73" s="26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26" cm="1">
        <f t="array" ref="BI73">$G$14+VLOOKUP($R73,武学奇术!$A:$ZZ,16,FALSE)+SUM(_xlfn.XLOOKUP(S73:AG73,增益!$A:$A,增益!$P:$P,0))</f>
        <v>0</v>
      </c>
      <c r="BJ73" s="21">
        <f>MIN(IF(VLOOKUP($R73,武学奇术!$A:$ZZ,23,FALSE)=1,100%,$B$8),100%)</f>
        <v>0.8229</v>
      </c>
      <c r="BK73" s="21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0.2285</v>
      </c>
      <c r="BL73" s="21" cm="1">
        <f t="array" ref="BL73">1+$B$13+VLOOKUP($R73,武学奇术!$A:$ZZ,18,FALSE)+SUM(_xlfn.XLOOKUP(S73:AG73,增益!$A:$A,增益!$R:$R,0))</f>
        <v>1.5</v>
      </c>
      <c r="BM73" s="21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0.4495</v>
      </c>
      <c r="BN73" s="21" cm="1">
        <f t="array" ref="BN73">1+$B$14+VLOOKUP($R73,武学奇术!$A:$ZZ,20,FALSE)+SUM(_xlfn.XLOOKUP(S73:AG73,增益!$A:$A,增益!$T:$T,0))</f>
        <v>1.602</v>
      </c>
      <c r="BO73" s="21">
        <f t="shared" si="23"/>
        <v>0.18803265</v>
      </c>
      <c r="BP73" s="21">
        <f t="shared" si="33"/>
        <v>0.2649738</v>
      </c>
      <c r="BQ73" s="21">
        <f>IF(VLOOKUP($R73,武学奇术!$A:$ZZ,22,FALSE)=1,0,(1-$BJ73))*(1-$BM73)</f>
        <v>0.09749355</v>
      </c>
      <c r="BR73" s="21" cm="1">
        <f t="array" ref="BR73">SUM(_xlfn.XLOOKUP(S73:AG73,增益!$A:$A,增益!$W:$W,0))+$I$5</f>
        <v>0.06</v>
      </c>
    </row>
    <row r="74" spans="1:70">
      <c r="A74" t="s">
        <v>165</v>
      </c>
      <c r="B74">
        <v>1</v>
      </c>
      <c r="K74" s="24">
        <f>$L74*VLOOKUP($R74,武学奇术!$A:$ZZ,31,FALSE)</f>
        <v>121175.241447033</v>
      </c>
      <c r="L74" s="24">
        <f t="shared" ref="L74:L86" si="34">($M74*$BO74+$N74*$BM74+$O74*$BP74+$P74*$BQ74)</f>
        <v>201958.735745055</v>
      </c>
      <c r="M74" s="2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109604.656397454</v>
      </c>
      <c r="N74" s="24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201958.735745055</v>
      </c>
      <c r="O74" s="2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73069.7709316357</v>
      </c>
      <c r="P74" s="24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32806.9179883808</v>
      </c>
      <c r="Q74" s="31">
        <v>1</v>
      </c>
      <c r="R74" s="32" t="s">
        <v>120</v>
      </c>
      <c r="S74" s="32" t="s">
        <v>87</v>
      </c>
      <c r="T74" s="32" t="s">
        <v>96</v>
      </c>
      <c r="U74" s="32" t="s">
        <v>97</v>
      </c>
      <c r="V74" s="32" t="s">
        <v>98</v>
      </c>
      <c r="W74" s="32" t="s">
        <v>73</v>
      </c>
      <c r="X74" s="32" t="s">
        <v>127</v>
      </c>
      <c r="Y74" s="32" t="s">
        <v>73</v>
      </c>
      <c r="Z74" s="32" t="s">
        <v>73</v>
      </c>
      <c r="AA74" s="32" t="s">
        <v>81</v>
      </c>
      <c r="AB74" s="32" t="s">
        <v>75</v>
      </c>
      <c r="AC74" s="32" t="s">
        <v>76</v>
      </c>
      <c r="AD74" s="32" t="s">
        <v>82</v>
      </c>
      <c r="AE74" s="32" t="s">
        <v>73</v>
      </c>
      <c r="AF74" s="32" t="s">
        <v>73</v>
      </c>
      <c r="AG74" s="32" t="s">
        <v>178</v>
      </c>
      <c r="AH74" t="str">
        <f>VLOOKUP($R74,武学奇术!$A:$ZZ,25,FALSE)</f>
        <v>剑</v>
      </c>
      <c r="AI74" s="21">
        <f>VLOOKUP($R74,武学奇术!$A:$ZZ,26,FALSE)</f>
        <v>2.52</v>
      </c>
      <c r="AJ74" s="22">
        <f>VLOOKUP($R74,武学奇术!$A:$ZZ,27,FALSE)*(1+IF(OR($AH74=$F$4,$AH74=$F$5),$B$22,0))</f>
        <v>0</v>
      </c>
      <c r="AK74" s="21">
        <f>VLOOKUP($R74,武学奇术!$A:$ZZ,28,FALSE)</f>
        <v>3.78</v>
      </c>
      <c r="AL74" s="22">
        <f>VLOOKUP($R74,武学奇术!$A:$ZZ,29,FALSE)*(1+IF(OR($AH74=$F$4,$AH74=$F$5),$B$22,0))</f>
        <v>0</v>
      </c>
      <c r="AM74" s="21" cm="1">
        <f t="array" ref="AM74">$G$3+IFERROR(VLOOKUP($AH74,$F$4:$G$7,2,FALSE),0)+VLOOKUP($R74,武学奇术!$A:$ZZ,2,FALSE)+SUM(_xlfn.XLOOKUP($S74:$AG74,增益!$A:$A,增益!$B:$B,0))</f>
        <v>1.4691</v>
      </c>
      <c r="AN74" s="21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1831.48</v>
      </c>
      <c r="AP74" cm="1">
        <f t="array" ref="AP74">$E$10*(1+$AN74)+VLOOKUP($R74,武学奇术!$A:$ZZ,4,FALSE)+SUM(_xlfn.XLOOKUP($S74:$AG74,增益!$A:$A,增益!$D:$D,0))-$I$2</f>
        <v>7763.56</v>
      </c>
      <c r="AQ74" s="26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0.369</v>
      </c>
      <c r="AR74" s="26" cm="1">
        <f t="array" ref="AR74">$G$10+VLOOKUP($R74,武学奇术!$A:$ZZ,7,FALSE)+SUM(_xlfn.XLOOKUP(S74:AG74,增益!$A:$A,增益!$G:$G,0))</f>
        <v>0</v>
      </c>
      <c r="AS74" s="21" cm="1">
        <f t="array" ref="AS74">VLOOKUP($R74,武学奇术!$A:$ZZ,8,FALSE)+SUM(_xlfn.XLOOKUP(S74:AG74,增益!$A:$A,增益!$H:$H,0))</f>
        <v>0</v>
      </c>
      <c r="AT74">
        <f t="shared" ref="AT74:AT86" si="35">$D$11*(1+$AS74)</f>
        <v>680.02</v>
      </c>
      <c r="AU74">
        <f t="shared" ref="AU74:AU86" si="36">$E$11*(1+$AS74)</f>
        <v>1288.54</v>
      </c>
      <c r="AV74" s="26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0.075</v>
      </c>
      <c r="AW74" s="26" cm="1">
        <f t="array" ref="AW74">$G$11+VLOOKUP($R74,武学奇术!$A:$ZZ,10,FALSE)+SUM(_xlfn.XLOOKUP(S74:AG74,增益!$A:$A,增益!$J:$J,0))</f>
        <v>0.15</v>
      </c>
      <c r="AX74">
        <f t="shared" ref="AX74:AX86" si="37">$D$12*(1+$AS74)</f>
        <v>0</v>
      </c>
      <c r="AY74">
        <f t="shared" ref="AY74:AY86" si="38">$E$12*(1+$AS74)</f>
        <v>0</v>
      </c>
      <c r="AZ74" s="26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26" cm="1">
        <f t="array" ref="BA74">$G$12+VLOOKUP($R74,武学奇术!$A:$ZZ,12,FALSE)+SUM(_xlfn.XLOOKUP(S74:AG74,增益!$A:$A,增益!$L:$L,0))</f>
        <v>0</v>
      </c>
      <c r="BB74">
        <f t="shared" ref="BB74:BB86" si="39">$D$13*(1+$AS74)</f>
        <v>0</v>
      </c>
      <c r="BC74">
        <f t="shared" ref="BC74:BC86" si="40">$E$13*(1+$AS74)</f>
        <v>0</v>
      </c>
      <c r="BD74" s="26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26" cm="1">
        <f t="array" ref="BE74">$G$13+VLOOKUP($R74,武学奇术!$A:$ZZ,14,FALSE)+SUM(_xlfn.XLOOKUP(S74:AG74,增益!$A:$A,增益!$N:$N,0))</f>
        <v>0</v>
      </c>
      <c r="BF74">
        <f t="shared" ref="BF74:BF86" si="41">$D$14*(1+$AS74)</f>
        <v>0</v>
      </c>
      <c r="BG74">
        <f t="shared" ref="BG74:BG86" si="42">$E$14*(1+$AS74)</f>
        <v>0</v>
      </c>
      <c r="BH74" s="26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26" cm="1">
        <f t="array" ref="BI74">$G$14+VLOOKUP($R74,武学奇术!$A:$ZZ,16,FALSE)+SUM(_xlfn.XLOOKUP(S74:AG74,增益!$A:$A,增益!$P:$P,0))</f>
        <v>0</v>
      </c>
      <c r="BJ74" s="21">
        <f>MIN(IF(VLOOKUP($R74,武学奇术!$A:$ZZ,23,FALSE)=1,100%,$B$8),100%)</f>
        <v>0.8229</v>
      </c>
      <c r="BK74" s="21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21" cm="1">
        <f t="array" ref="BL74">1+$B$13+VLOOKUP($R74,武学奇术!$A:$ZZ,18,FALSE)+SUM(_xlfn.XLOOKUP(S74:AG74,增益!$A:$A,增益!$R:$R,0))</f>
        <v>1.5</v>
      </c>
      <c r="BM74" s="21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21" cm="1">
        <f t="array" ref="BN74">1+$B$14+VLOOKUP($R74,武学奇术!$A:$ZZ,20,FALSE)+SUM(_xlfn.XLOOKUP(S74:AG74,增益!$A:$A,增益!$T:$T,0))</f>
        <v>1.782</v>
      </c>
      <c r="BO74" s="21">
        <f t="shared" si="23"/>
        <v>0</v>
      </c>
      <c r="BP74" s="21">
        <f t="shared" si="33"/>
        <v>0</v>
      </c>
      <c r="BQ74" s="21">
        <f>IF(VLOOKUP($R74,武学奇术!$A:$ZZ,22,FALSE)=1,0,(1-$BJ74))*(1-$BM74)</f>
        <v>0</v>
      </c>
      <c r="BR74" s="21" cm="1">
        <f t="array" ref="BR74">SUM(_xlfn.XLOOKUP(S74:AG74,增益!$A:$A,增益!$W:$W,0))+$I$5</f>
        <v>0.06</v>
      </c>
    </row>
    <row r="75" spans="1:70">
      <c r="A75" t="s">
        <v>160</v>
      </c>
      <c r="B75">
        <v>2.2</v>
      </c>
      <c r="C75" s="31" t="s">
        <v>179</v>
      </c>
      <c r="K75" s="24">
        <f>$L75*VLOOKUP($R75,武学奇术!$A:$ZZ,31,FALSE)</f>
        <v>80369.8460881717</v>
      </c>
      <c r="L75" s="24">
        <f t="shared" si="34"/>
        <v>133949.743480286</v>
      </c>
      <c r="M75" s="2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109604.656397454</v>
      </c>
      <c r="N75" s="24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201958.735745055</v>
      </c>
      <c r="O75" s="2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73069.7709316357</v>
      </c>
      <c r="P75" s="24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32806.9179883808</v>
      </c>
      <c r="Q75" s="31">
        <v>1</v>
      </c>
      <c r="R75" s="32" t="s">
        <v>95</v>
      </c>
      <c r="S75" s="32" t="s">
        <v>87</v>
      </c>
      <c r="T75" s="32" t="s">
        <v>96</v>
      </c>
      <c r="U75" s="32" t="s">
        <v>97</v>
      </c>
      <c r="V75" s="32" t="s">
        <v>98</v>
      </c>
      <c r="W75" s="32" t="s">
        <v>73</v>
      </c>
      <c r="X75" s="32" t="s">
        <v>127</v>
      </c>
      <c r="Y75" s="32" t="s">
        <v>73</v>
      </c>
      <c r="Z75" s="32" t="s">
        <v>73</v>
      </c>
      <c r="AA75" s="32" t="s">
        <v>81</v>
      </c>
      <c r="AB75" s="32" t="s">
        <v>75</v>
      </c>
      <c r="AC75" s="32" t="s">
        <v>76</v>
      </c>
      <c r="AD75" s="32" t="s">
        <v>82</v>
      </c>
      <c r="AE75" s="32" t="s">
        <v>73</v>
      </c>
      <c r="AF75" s="32" t="s">
        <v>73</v>
      </c>
      <c r="AG75" s="32" t="s">
        <v>178</v>
      </c>
      <c r="AH75" t="str">
        <f>VLOOKUP($R75,武学奇术!$A:$ZZ,25,FALSE)</f>
        <v>剑</v>
      </c>
      <c r="AI75" s="21">
        <f>VLOOKUP($R75,武学奇术!$A:$ZZ,26,FALSE)</f>
        <v>2.52</v>
      </c>
      <c r="AJ75" s="22">
        <f>VLOOKUP($R75,武学奇术!$A:$ZZ,27,FALSE)*(1+IF(OR($AH75=$F$4,$AH75=$F$5),$B$22,0))</f>
        <v>0</v>
      </c>
      <c r="AK75" s="21">
        <f>VLOOKUP($R75,武学奇术!$A:$ZZ,28,FALSE)</f>
        <v>3.78</v>
      </c>
      <c r="AL75" s="22">
        <f>VLOOKUP($R75,武学奇术!$A:$ZZ,29,FALSE)*(1+IF(OR($AH75=$F$4,$AH75=$F$5),$B$22,0))</f>
        <v>0</v>
      </c>
      <c r="AM75" s="21" cm="1">
        <f t="array" ref="AM75">$G$3+IFERROR(VLOOKUP($AH75,$F$4:$G$7,2,FALSE),0)+VLOOKUP($R75,武学奇术!$A:$ZZ,2,FALSE)+SUM(_xlfn.XLOOKUP($S75:$AG75,增益!$A:$A,增益!$B:$B,0))</f>
        <v>1.4691</v>
      </c>
      <c r="AN75" s="21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1831.48</v>
      </c>
      <c r="AP75" cm="1">
        <f t="array" ref="AP75">$E$10*(1+$AN75)+VLOOKUP($R75,武学奇术!$A:$ZZ,4,FALSE)+SUM(_xlfn.XLOOKUP($S75:$AG75,增益!$A:$A,增益!$D:$D,0))-$I$2</f>
        <v>7763.56</v>
      </c>
      <c r="AQ75" s="26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0.369</v>
      </c>
      <c r="AR75" s="26" cm="1">
        <f t="array" ref="AR75">$G$10+VLOOKUP($R75,武学奇术!$A:$ZZ,7,FALSE)+SUM(_xlfn.XLOOKUP(S75:AG75,增益!$A:$A,增益!$G:$G,0))</f>
        <v>0</v>
      </c>
      <c r="AS75" s="21" cm="1">
        <f t="array" ref="AS75">VLOOKUP($R75,武学奇术!$A:$ZZ,8,FALSE)+SUM(_xlfn.XLOOKUP(S75:AG75,增益!$A:$A,增益!$H:$H,0))</f>
        <v>0</v>
      </c>
      <c r="AT75">
        <f t="shared" si="35"/>
        <v>680.02</v>
      </c>
      <c r="AU75">
        <f t="shared" si="36"/>
        <v>1288.54</v>
      </c>
      <c r="AV75" s="26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0.075</v>
      </c>
      <c r="AW75" s="26" cm="1">
        <f t="array" ref="AW75">$G$11+VLOOKUP($R75,武学奇术!$A:$ZZ,10,FALSE)+SUM(_xlfn.XLOOKUP(S75:AG75,增益!$A:$A,增益!$J:$J,0))</f>
        <v>0.15</v>
      </c>
      <c r="AX75">
        <f t="shared" si="37"/>
        <v>0</v>
      </c>
      <c r="AY75">
        <f t="shared" si="38"/>
        <v>0</v>
      </c>
      <c r="AZ75" s="26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26" cm="1">
        <f t="array" ref="BA75">$G$12+VLOOKUP($R75,武学奇术!$A:$ZZ,12,FALSE)+SUM(_xlfn.XLOOKUP(S75:AG75,增益!$A:$A,增益!$L:$L,0))</f>
        <v>0</v>
      </c>
      <c r="BB75">
        <f t="shared" si="39"/>
        <v>0</v>
      </c>
      <c r="BC75">
        <f t="shared" si="40"/>
        <v>0</v>
      </c>
      <c r="BD75" s="26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26" cm="1">
        <f t="array" ref="BE75">$G$13+VLOOKUP($R75,武学奇术!$A:$ZZ,14,FALSE)+SUM(_xlfn.XLOOKUP(S75:AG75,增益!$A:$A,增益!$N:$N,0))</f>
        <v>0</v>
      </c>
      <c r="BF75">
        <f t="shared" si="41"/>
        <v>0</v>
      </c>
      <c r="BG75">
        <f t="shared" si="42"/>
        <v>0</v>
      </c>
      <c r="BH75" s="26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26" cm="1">
        <f t="array" ref="BI75">$G$14+VLOOKUP($R75,武学奇术!$A:$ZZ,16,FALSE)+SUM(_xlfn.XLOOKUP(S75:AG75,增益!$A:$A,增益!$P:$P,0))</f>
        <v>0</v>
      </c>
      <c r="BJ75" s="21">
        <f>MIN(IF(VLOOKUP($R75,武学奇术!$A:$ZZ,23,FALSE)=1,100%,$B$8),100%)</f>
        <v>0.8229</v>
      </c>
      <c r="BK75" s="21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0.2285</v>
      </c>
      <c r="BL75" s="21" cm="1">
        <f t="array" ref="BL75">1+$B$13+VLOOKUP($R75,武学奇术!$A:$ZZ,18,FALSE)+SUM(_xlfn.XLOOKUP(S75:AG75,增益!$A:$A,增益!$R:$R,0))</f>
        <v>1.5</v>
      </c>
      <c r="BM75" s="21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0.4495</v>
      </c>
      <c r="BN75" s="21" cm="1">
        <f t="array" ref="BN75">1+$B$14+VLOOKUP($R75,武学奇术!$A:$ZZ,20,FALSE)+SUM(_xlfn.XLOOKUP(S75:AG75,增益!$A:$A,增益!$T:$T,0))</f>
        <v>1.782</v>
      </c>
      <c r="BO75" s="21">
        <f t="shared" si="23"/>
        <v>0.18803265</v>
      </c>
      <c r="BP75" s="21">
        <f t="shared" si="33"/>
        <v>0.2649738</v>
      </c>
      <c r="BQ75" s="21">
        <f>IF(VLOOKUP($R75,武学奇术!$A:$ZZ,22,FALSE)=1,0,(1-$BJ75))*(1-$BM75)</f>
        <v>0.09749355</v>
      </c>
      <c r="BR75" s="21" cm="1">
        <f t="array" ref="BR75">SUM(_xlfn.XLOOKUP(S75:AG75,增益!$A:$A,增益!$W:$W,0))+$I$5</f>
        <v>0.06</v>
      </c>
    </row>
    <row r="76" spans="1:70">
      <c r="A76" t="s">
        <v>188</v>
      </c>
      <c r="B76">
        <v>6</v>
      </c>
      <c r="C76" s="31"/>
      <c r="E76" s="80" t="s">
        <v>163</v>
      </c>
      <c r="F76" s="80" t="s">
        <v>164</v>
      </c>
      <c r="G76" s="80" t="s">
        <v>161</v>
      </c>
      <c r="K76" s="24">
        <f>$L76*VLOOKUP($R76,武学奇术!$A:$ZZ,31,FALSE)</f>
        <v>15380.7181857478</v>
      </c>
      <c r="L76" s="24">
        <f t="shared" si="34"/>
        <v>15380.7181857478</v>
      </c>
      <c r="M76" s="2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13506.0441134386</v>
      </c>
      <c r="N76" s="24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22384.6778053656</v>
      </c>
      <c r="O76" s="2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9004.02940895905</v>
      </c>
      <c r="P76" s="24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4035.10138635408</v>
      </c>
      <c r="Q76" s="31">
        <v>1</v>
      </c>
      <c r="R76" s="32" t="s">
        <v>103</v>
      </c>
      <c r="S76" s="32" t="s">
        <v>87</v>
      </c>
      <c r="T76" s="32" t="s">
        <v>104</v>
      </c>
      <c r="U76" s="32" t="s">
        <v>73</v>
      </c>
      <c r="V76" s="32" t="s">
        <v>73</v>
      </c>
      <c r="W76" s="32" t="s">
        <v>73</v>
      </c>
      <c r="X76" s="32" t="s">
        <v>127</v>
      </c>
      <c r="Y76" s="32" t="s">
        <v>73</v>
      </c>
      <c r="Z76" s="32" t="s">
        <v>73</v>
      </c>
      <c r="AA76" s="32" t="s">
        <v>81</v>
      </c>
      <c r="AB76" s="32" t="s">
        <v>75</v>
      </c>
      <c r="AC76" s="32" t="s">
        <v>76</v>
      </c>
      <c r="AD76" s="32" t="s">
        <v>82</v>
      </c>
      <c r="AE76" s="32" t="s">
        <v>73</v>
      </c>
      <c r="AF76" s="32" t="s">
        <v>73</v>
      </c>
      <c r="AG76" s="32" t="s">
        <v>178</v>
      </c>
      <c r="AH76" t="str">
        <f>VLOOKUP($R76,武学奇术!$A:$ZZ,25,FALSE)</f>
        <v>剑</v>
      </c>
      <c r="AI76" s="21">
        <f>VLOOKUP($R76,武学奇术!$A:$ZZ,26,FALSE)</f>
        <v>0.625</v>
      </c>
      <c r="AJ76" s="22">
        <f>VLOOKUP($R76,武学奇术!$A:$ZZ,27,FALSE)*(1+IF(OR($AH76=$F$4,$AH76=$F$5),$B$22,0))</f>
        <v>0</v>
      </c>
      <c r="AK76" s="21">
        <f>VLOOKUP($R76,武学奇术!$A:$ZZ,28,FALSE)</f>
        <v>0.9375</v>
      </c>
      <c r="AL76" s="22">
        <f>VLOOKUP($R76,武学奇术!$A:$ZZ,29,FALSE)*(1+IF(OR($AH76=$F$4,$AH76=$F$5),$B$22,0))</f>
        <v>0</v>
      </c>
      <c r="AM76" s="21" cm="1">
        <f t="array" ref="AM76">$G$3+IFERROR(VLOOKUP($AH76,$F$4:$G$7,2,FALSE),0)+VLOOKUP($R76,武学奇术!$A:$ZZ,2,FALSE)+SUM(_xlfn.XLOOKUP($S76:$AG76,增益!$A:$A,增益!$B:$B,0))</f>
        <v>0.7191</v>
      </c>
      <c r="AN76" s="21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1831.48</v>
      </c>
      <c r="AP76" cm="1">
        <f t="array" ref="AP76">$E$10*(1+$AN76)+VLOOKUP($R76,武学奇术!$A:$ZZ,4,FALSE)+SUM(_xlfn.XLOOKUP($S76:$AG76,增益!$A:$A,增益!$D:$D,0))-$I$2</f>
        <v>7763.56</v>
      </c>
      <c r="AQ76" s="26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0.294</v>
      </c>
      <c r="AR76" s="26" cm="1">
        <f t="array" ref="AR76">$G$10+VLOOKUP($R76,武学奇术!$A:$ZZ,7,FALSE)+SUM(_xlfn.XLOOKUP(S76:AG76,增益!$A:$A,增益!$G:$G,0))</f>
        <v>0</v>
      </c>
      <c r="AS76" s="21" cm="1">
        <f t="array" ref="AS76">VLOOKUP($R76,武学奇术!$A:$ZZ,8,FALSE)+SUM(_xlfn.XLOOKUP(S76:AG76,增益!$A:$A,增益!$H:$H,0))</f>
        <v>0</v>
      </c>
      <c r="AT76">
        <f t="shared" si="35"/>
        <v>680.02</v>
      </c>
      <c r="AU76">
        <f t="shared" si="36"/>
        <v>1288.54</v>
      </c>
      <c r="AV76" s="26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26" cm="1">
        <f t="array" ref="AW76">$G$11+VLOOKUP($R76,武学奇术!$A:$ZZ,10,FALSE)+SUM(_xlfn.XLOOKUP(S76:AG76,增益!$A:$A,增益!$J:$J,0))</f>
        <v>0.15</v>
      </c>
      <c r="AX76">
        <f t="shared" si="37"/>
        <v>0</v>
      </c>
      <c r="AY76">
        <f t="shared" si="38"/>
        <v>0</v>
      </c>
      <c r="AZ76" s="26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26" cm="1">
        <f t="array" ref="BA76">$G$12+VLOOKUP($R76,武学奇术!$A:$ZZ,12,FALSE)+SUM(_xlfn.XLOOKUP(S76:AG76,增益!$A:$A,增益!$L:$L,0))</f>
        <v>0</v>
      </c>
      <c r="BB76">
        <f t="shared" si="39"/>
        <v>0</v>
      </c>
      <c r="BC76">
        <f t="shared" si="40"/>
        <v>0</v>
      </c>
      <c r="BD76" s="26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26" cm="1">
        <f t="array" ref="BE76">$G$13+VLOOKUP($R76,武学奇术!$A:$ZZ,14,FALSE)+SUM(_xlfn.XLOOKUP(S76:AG76,增益!$A:$A,增益!$N:$N,0))</f>
        <v>0</v>
      </c>
      <c r="BF76">
        <f t="shared" si="41"/>
        <v>0</v>
      </c>
      <c r="BG76">
        <f t="shared" si="42"/>
        <v>0</v>
      </c>
      <c r="BH76" s="26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26" cm="1">
        <f t="array" ref="BI76">$G$14+VLOOKUP($R76,武学奇术!$A:$ZZ,16,FALSE)+SUM(_xlfn.XLOOKUP(S76:AG76,增益!$A:$A,增益!$P:$P,0))</f>
        <v>0</v>
      </c>
      <c r="BJ76" s="21">
        <f>MIN(IF(VLOOKUP($R76,武学奇术!$A:$ZZ,23,FALSE)=1,100%,$B$8),100%)</f>
        <v>0.8229</v>
      </c>
      <c r="BK76" s="21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0.2285</v>
      </c>
      <c r="BL76" s="21" cm="1">
        <f t="array" ref="BL76">1+$B$13+VLOOKUP($R76,武学奇术!$A:$ZZ,18,FALSE)+SUM(_xlfn.XLOOKUP(S76:AG76,增益!$A:$A,增益!$R:$R,0))</f>
        <v>1.5</v>
      </c>
      <c r="BM76" s="21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0.4495</v>
      </c>
      <c r="BN76" s="21" cm="1">
        <f t="array" ref="BN76">1+$B$14+VLOOKUP($R76,武学奇术!$A:$ZZ,20,FALSE)+SUM(_xlfn.XLOOKUP(S76:AG76,增益!$A:$A,增益!$T:$T,0))</f>
        <v>1.602</v>
      </c>
      <c r="BO76" s="21">
        <f t="shared" si="23"/>
        <v>0.18803265</v>
      </c>
      <c r="BP76" s="21">
        <f t="shared" si="33"/>
        <v>0.2649738</v>
      </c>
      <c r="BQ76" s="21">
        <f>IF(VLOOKUP($R76,武学奇术!$A:$ZZ,22,FALSE)=1,0,(1-$BJ76))*(1-$BM76)</f>
        <v>0.09749355</v>
      </c>
      <c r="BR76" s="21" cm="1">
        <f t="array" ref="BR76">SUM(_xlfn.XLOOKUP(S76:AG76,增益!$A:$A,增益!$W:$W,0))+$I$5</f>
        <v>0.06</v>
      </c>
    </row>
    <row r="77" spans="1:70">
      <c r="A77" t="s">
        <v>189</v>
      </c>
      <c r="B77">
        <v>3</v>
      </c>
      <c r="C77" s="31"/>
      <c r="D77" s="31" t="s">
        <v>166</v>
      </c>
      <c r="F77" s="80"/>
      <c r="G77" s="80"/>
      <c r="K77" s="24">
        <f>$L77*VLOOKUP($R77,武学奇术!$A:$ZZ,31,FALSE)</f>
        <v>30139.9310842395</v>
      </c>
      <c r="L77" s="24">
        <f t="shared" si="34"/>
        <v>30139.9310842395</v>
      </c>
      <c r="M77" s="24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27037.1991174127</v>
      </c>
      <c r="N77" s="24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43138.2246739773</v>
      </c>
      <c r="O77" s="24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18024.7994116085</v>
      </c>
      <c r="P77" s="24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9121.86806542838</v>
      </c>
      <c r="Q77" s="31">
        <v>1</v>
      </c>
      <c r="R77" s="32" t="s">
        <v>108</v>
      </c>
      <c r="S77" s="32" t="s">
        <v>87</v>
      </c>
      <c r="T77" s="32" t="s">
        <v>104</v>
      </c>
      <c r="U77" s="32" t="s">
        <v>73</v>
      </c>
      <c r="V77" s="32" t="s">
        <v>73</v>
      </c>
      <c r="W77" s="32" t="s">
        <v>73</v>
      </c>
      <c r="X77" s="32" t="s">
        <v>127</v>
      </c>
      <c r="Y77" s="32" t="s">
        <v>73</v>
      </c>
      <c r="Z77" s="32" t="s">
        <v>73</v>
      </c>
      <c r="AA77" s="32" t="s">
        <v>81</v>
      </c>
      <c r="AB77" s="32" t="s">
        <v>75</v>
      </c>
      <c r="AC77" s="32" t="s">
        <v>89</v>
      </c>
      <c r="AD77" s="32" t="s">
        <v>82</v>
      </c>
      <c r="AE77" s="32" t="s">
        <v>90</v>
      </c>
      <c r="AF77" s="32" t="s">
        <v>73</v>
      </c>
      <c r="AG77" s="32" t="s">
        <v>178</v>
      </c>
      <c r="AH77" t="str">
        <f>VLOOKUP($R77,武学奇术!$A:$ZZ,25,FALSE)</f>
        <v>枪</v>
      </c>
      <c r="AI77" s="21">
        <f>VLOOKUP($R77,武学奇术!$A:$ZZ,26,FALSE)</f>
        <v>1.02732</v>
      </c>
      <c r="AJ77" s="22">
        <f>VLOOKUP($R77,武学奇术!$A:$ZZ,27,FALSE)*(1+IF(OR($AH77=$F$4,$AH77=$F$5),$B$22,0))</f>
        <v>426.6</v>
      </c>
      <c r="AK77" s="21">
        <f>VLOOKUP($R77,武学奇术!$A:$ZZ,28,FALSE)</f>
        <v>1.54096</v>
      </c>
      <c r="AL77" s="22">
        <f>VLOOKUP($R77,武学奇术!$A:$ZZ,29,FALSE)*(1+IF(OR($AH77=$F$4,$AH77=$F$5),$B$22,0))</f>
        <v>232.2</v>
      </c>
      <c r="AM77" s="21" cm="1">
        <f t="array" ref="AM77">$G$3+IFERROR(VLOOKUP($AH77,$F$4:$G$7,2,FALSE),0)+VLOOKUP($R77,武学奇术!$A:$ZZ,2,FALSE)+SUM(_xlfn.XLOOKUP($S77:$AG77,增益!$A:$A,增益!$B:$B,0))</f>
        <v>0.8739</v>
      </c>
      <c r="AN77" s="21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1831.48</v>
      </c>
      <c r="AP77" cm="1">
        <f t="array" ref="AP77">$E$10*(1+$AN77)+VLOOKUP($R77,武学奇术!$A:$ZZ,4,FALSE)+SUM(_xlfn.XLOOKUP($S77:$AG77,增益!$A:$A,增益!$D:$D,0))-$I$2</f>
        <v>7763.56</v>
      </c>
      <c r="AQ77" s="26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0.294</v>
      </c>
      <c r="AR77" s="26" cm="1">
        <f t="array" ref="AR77">$G$10+VLOOKUP($R77,武学奇术!$A:$ZZ,7,FALSE)+SUM(_xlfn.XLOOKUP(S77:AG77,增益!$A:$A,增益!$G:$G,0))</f>
        <v>0</v>
      </c>
      <c r="AS77" s="21" cm="1">
        <f t="array" ref="AS77">VLOOKUP($R77,武学奇术!$A:$ZZ,8,FALSE)+SUM(_xlfn.XLOOKUP(S77:AG77,增益!$A:$A,增益!$H:$H,0))</f>
        <v>0</v>
      </c>
      <c r="AT77">
        <f t="shared" si="35"/>
        <v>680.02</v>
      </c>
      <c r="AU77">
        <f t="shared" si="36"/>
        <v>1288.54</v>
      </c>
      <c r="AV77" s="26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26" cm="1">
        <f t="array" ref="AW77">$G$11+VLOOKUP($R77,武学奇术!$A:$ZZ,10,FALSE)+SUM(_xlfn.XLOOKUP(S77:AG77,增益!$A:$A,增益!$J:$J,0))</f>
        <v>0.15</v>
      </c>
      <c r="AX77">
        <f t="shared" si="37"/>
        <v>0</v>
      </c>
      <c r="AY77">
        <f t="shared" si="38"/>
        <v>0</v>
      </c>
      <c r="AZ77" s="26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26" cm="1">
        <f t="array" ref="BA77">$G$12+VLOOKUP($R77,武学奇术!$A:$ZZ,12,FALSE)+SUM(_xlfn.XLOOKUP(S77:AG77,增益!$A:$A,增益!$L:$L,0))</f>
        <v>0</v>
      </c>
      <c r="BB77">
        <f t="shared" si="39"/>
        <v>0</v>
      </c>
      <c r="BC77">
        <f t="shared" si="40"/>
        <v>0</v>
      </c>
      <c r="BD77" s="26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26" cm="1">
        <f t="array" ref="BE77">$G$13+VLOOKUP($R77,武学奇术!$A:$ZZ,14,FALSE)+SUM(_xlfn.XLOOKUP(S77:AG77,增益!$A:$A,增益!$N:$N,0))</f>
        <v>0</v>
      </c>
      <c r="BF77">
        <f t="shared" si="41"/>
        <v>0</v>
      </c>
      <c r="BG77">
        <f t="shared" si="42"/>
        <v>0</v>
      </c>
      <c r="BH77" s="26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26" cm="1">
        <f t="array" ref="BI77">$G$14+VLOOKUP($R77,武学奇术!$A:$ZZ,16,FALSE)+SUM(_xlfn.XLOOKUP(S77:AG77,增益!$A:$A,增益!$P:$P,0))</f>
        <v>0</v>
      </c>
      <c r="BJ77" s="21">
        <f>MIN(IF(VLOOKUP($R77,武学奇术!$A:$ZZ,23,FALSE)=1,100%,$B$8),100%)</f>
        <v>0.8229</v>
      </c>
      <c r="BK77" s="21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0.2285</v>
      </c>
      <c r="BL77" s="21" cm="1">
        <f t="array" ref="BL77">1+$B$13+VLOOKUP($R77,武学奇术!$A:$ZZ,18,FALSE)+SUM(_xlfn.XLOOKUP(S77:AG77,增益!$A:$A,增益!$R:$R,0))</f>
        <v>1.5</v>
      </c>
      <c r="BM77" s="21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0.4495</v>
      </c>
      <c r="BN77" s="21" cm="1">
        <f t="array" ref="BN77">1+$B$14+VLOOKUP($R77,武学奇术!$A:$ZZ,20,FALSE)+SUM(_xlfn.XLOOKUP(S77:AG77,增益!$A:$A,增益!$T:$T,0))</f>
        <v>1.602</v>
      </c>
      <c r="BO77" s="21">
        <f t="shared" si="23"/>
        <v>0.18803265</v>
      </c>
      <c r="BP77" s="21">
        <f t="shared" si="33"/>
        <v>0.2649738</v>
      </c>
      <c r="BQ77" s="21">
        <f>IF(VLOOKUP($R77,武学奇术!$A:$ZZ,22,FALSE)=1,0,(1-$BJ77))*(1-$BM77)</f>
        <v>0.09749355</v>
      </c>
      <c r="BR77" s="21" cm="1">
        <f t="array" ref="BR77">SUM(_xlfn.XLOOKUP(S77:AG77,增益!$A:$A,增益!$W:$W,0))+$I$5</f>
        <v>0.06</v>
      </c>
    </row>
    <row r="78" spans="1:70">
      <c r="A78" t="s">
        <v>165</v>
      </c>
      <c r="B78">
        <v>1</v>
      </c>
      <c r="C78" s="31"/>
      <c r="D78" s="31"/>
      <c r="E78" s="80" t="s">
        <v>163</v>
      </c>
      <c r="F78" s="80"/>
      <c r="G78" s="80"/>
      <c r="K78" s="24">
        <f>$L78*VLOOKUP($R78,武学奇术!$A:$ZZ,31,FALSE)</f>
        <v>88533.5072728338</v>
      </c>
      <c r="L78" s="24">
        <f t="shared" si="34"/>
        <v>147555.845454723</v>
      </c>
      <c r="M78" s="24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120866.464955539</v>
      </c>
      <c r="N78" s="24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222311.81029917</v>
      </c>
      <c r="O78" s="24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80577.6433036926</v>
      </c>
      <c r="P78" s="24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36401.1843070655</v>
      </c>
      <c r="Q78" s="31">
        <v>1</v>
      </c>
      <c r="R78" s="32" t="s">
        <v>95</v>
      </c>
      <c r="S78" s="32" t="s">
        <v>87</v>
      </c>
      <c r="T78" s="32" t="s">
        <v>96</v>
      </c>
      <c r="U78" s="32" t="s">
        <v>97</v>
      </c>
      <c r="V78" s="32" t="s">
        <v>98</v>
      </c>
      <c r="W78" s="32" t="s">
        <v>111</v>
      </c>
      <c r="X78" s="32" t="s">
        <v>127</v>
      </c>
      <c r="Y78" s="32" t="s">
        <v>73</v>
      </c>
      <c r="Z78" s="32" t="s">
        <v>73</v>
      </c>
      <c r="AA78" s="32" t="s">
        <v>81</v>
      </c>
      <c r="AB78" s="32" t="s">
        <v>75</v>
      </c>
      <c r="AC78" s="32" t="s">
        <v>89</v>
      </c>
      <c r="AD78" s="32" t="s">
        <v>82</v>
      </c>
      <c r="AE78" s="32" t="s">
        <v>90</v>
      </c>
      <c r="AF78" s="32" t="s">
        <v>73</v>
      </c>
      <c r="AG78" s="32" t="s">
        <v>178</v>
      </c>
      <c r="AH78" t="str">
        <f>VLOOKUP($R78,武学奇术!$A:$ZZ,25,FALSE)</f>
        <v>剑</v>
      </c>
      <c r="AI78" s="21">
        <f>VLOOKUP($R78,武学奇术!$A:$ZZ,26,FALSE)</f>
        <v>2.52</v>
      </c>
      <c r="AJ78" s="22">
        <f>VLOOKUP($R78,武学奇术!$A:$ZZ,27,FALSE)*(1+IF(OR($AH78=$F$4,$AH78=$F$5),$B$22,0))</f>
        <v>0</v>
      </c>
      <c r="AK78" s="21">
        <f>VLOOKUP($R78,武学奇术!$A:$ZZ,28,FALSE)</f>
        <v>3.78</v>
      </c>
      <c r="AL78" s="22">
        <f>VLOOKUP($R78,武学奇术!$A:$ZZ,29,FALSE)*(1+IF(OR($AH78=$F$4,$AH78=$F$5),$B$22,0))</f>
        <v>0</v>
      </c>
      <c r="AM78" s="21" cm="1">
        <f t="array" ref="AM78">$G$3+IFERROR(VLOOKUP($AH78,$F$4:$G$7,2,FALSE),0)+VLOOKUP($R78,武学奇术!$A:$ZZ,2,FALSE)+SUM(_xlfn.XLOOKUP($S78:$AG78,增益!$A:$A,增益!$B:$B,0))</f>
        <v>1.7091</v>
      </c>
      <c r="AN78" s="21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1862.48</v>
      </c>
      <c r="AP78" cm="1">
        <f t="array" ref="AP78">$E$10*(1+$AN78)+VLOOKUP($R78,武学奇术!$A:$ZZ,4,FALSE)+SUM(_xlfn.XLOOKUP($S78:$AG78,增益!$A:$A,增益!$D:$D,0))-$I$2</f>
        <v>7794.56</v>
      </c>
      <c r="AQ78" s="26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0.369</v>
      </c>
      <c r="AR78" s="26" cm="1">
        <f t="array" ref="AR78">$G$10+VLOOKUP($R78,武学奇术!$A:$ZZ,7,FALSE)+SUM(_xlfn.XLOOKUP(S78:AG78,增益!$A:$A,增益!$G:$G,0))</f>
        <v>0</v>
      </c>
      <c r="AS78" s="21" cm="1">
        <f t="array" ref="AS78">VLOOKUP($R78,武学奇术!$A:$ZZ,8,FALSE)+SUM(_xlfn.XLOOKUP(S78:AG78,增益!$A:$A,增益!$H:$H,0))</f>
        <v>0</v>
      </c>
      <c r="AT78">
        <f t="shared" si="35"/>
        <v>680.02</v>
      </c>
      <c r="AU78">
        <f t="shared" si="36"/>
        <v>1288.54</v>
      </c>
      <c r="AV78" s="26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0.075</v>
      </c>
      <c r="AW78" s="26" cm="1">
        <f t="array" ref="AW78">$G$11+VLOOKUP($R78,武学奇术!$A:$ZZ,10,FALSE)+SUM(_xlfn.XLOOKUP(S78:AG78,增益!$A:$A,增益!$J:$J,0))</f>
        <v>0.15</v>
      </c>
      <c r="AX78">
        <f t="shared" si="37"/>
        <v>0</v>
      </c>
      <c r="AY78">
        <f t="shared" si="38"/>
        <v>0</v>
      </c>
      <c r="AZ78" s="26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26" cm="1">
        <f t="array" ref="BA78">$G$12+VLOOKUP($R78,武学奇术!$A:$ZZ,12,FALSE)+SUM(_xlfn.XLOOKUP(S78:AG78,增益!$A:$A,增益!$L:$L,0))</f>
        <v>0</v>
      </c>
      <c r="BB78">
        <f t="shared" si="39"/>
        <v>0</v>
      </c>
      <c r="BC78">
        <f t="shared" si="40"/>
        <v>0</v>
      </c>
      <c r="BD78" s="26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26" cm="1">
        <f t="array" ref="BE78">$G$13+VLOOKUP($R78,武学奇术!$A:$ZZ,14,FALSE)+SUM(_xlfn.XLOOKUP(S78:AG78,增益!$A:$A,增益!$N:$N,0))</f>
        <v>0</v>
      </c>
      <c r="BF78">
        <f t="shared" si="41"/>
        <v>0</v>
      </c>
      <c r="BG78">
        <f t="shared" si="42"/>
        <v>0</v>
      </c>
      <c r="BH78" s="26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26" cm="1">
        <f t="array" ref="BI78">$G$14+VLOOKUP($R78,武学奇术!$A:$ZZ,16,FALSE)+SUM(_xlfn.XLOOKUP(S78:AG78,增益!$A:$A,增益!$P:$P,0))</f>
        <v>0</v>
      </c>
      <c r="BJ78" s="21">
        <f>MIN(IF(VLOOKUP($R78,武学奇术!$A:$ZZ,23,FALSE)=1,100%,$B$8),100%)</f>
        <v>0.8229</v>
      </c>
      <c r="BK78" s="21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0.2285</v>
      </c>
      <c r="BL78" s="21" cm="1">
        <f t="array" ref="BL78">1+$B$13+VLOOKUP($R78,武学奇术!$A:$ZZ,18,FALSE)+SUM(_xlfn.XLOOKUP(S78:AG78,增益!$A:$A,增益!$R:$R,0))</f>
        <v>1.5</v>
      </c>
      <c r="BM78" s="21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0.4495</v>
      </c>
      <c r="BN78" s="21" cm="1">
        <f t="array" ref="BN78">1+$B$14+VLOOKUP($R78,武学奇术!$A:$ZZ,20,FALSE)+SUM(_xlfn.XLOOKUP(S78:AG78,增益!$A:$A,增益!$T:$T,0))</f>
        <v>1.782</v>
      </c>
      <c r="BO78" s="21">
        <f t="shared" si="23"/>
        <v>0.18803265</v>
      </c>
      <c r="BP78" s="21">
        <f t="shared" si="33"/>
        <v>0.2649738</v>
      </c>
      <c r="BQ78" s="21">
        <f>IF(VLOOKUP($R78,武学奇术!$A:$ZZ,22,FALSE)=1,0,(1-$BJ78))*(1-$BM78)</f>
        <v>0.09749355</v>
      </c>
      <c r="BR78" s="21" cm="1">
        <f t="array" ref="BR78">SUM(_xlfn.XLOOKUP(S78:AG78,增益!$A:$A,增益!$W:$W,0))+$I$5</f>
        <v>0.06</v>
      </c>
    </row>
    <row r="79" spans="1:70">
      <c r="A79" t="s">
        <v>190</v>
      </c>
      <c r="B79">
        <v>1.4</v>
      </c>
      <c r="C79" s="31"/>
      <c r="D79" s="31"/>
      <c r="E79" s="31"/>
      <c r="F79" s="80"/>
      <c r="G79" s="80"/>
      <c r="K79" s="24">
        <f>$L79*VLOOKUP($R79,武学奇术!$A:$ZZ,31,FALSE)</f>
        <v>36264.6641431523</v>
      </c>
      <c r="L79" s="24">
        <f t="shared" si="34"/>
        <v>36264.6641431523</v>
      </c>
      <c r="M79" s="24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32557.5887592688</v>
      </c>
      <c r="N79" s="24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51871.0397265316</v>
      </c>
      <c r="O79" s="24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21705.0591728459</v>
      </c>
      <c r="P79" s="24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11031.1921743236</v>
      </c>
      <c r="Q79" s="31">
        <v>1</v>
      </c>
      <c r="R79" s="32" t="s">
        <v>86</v>
      </c>
      <c r="S79" s="32" t="s">
        <v>87</v>
      </c>
      <c r="T79" s="32" t="s">
        <v>104</v>
      </c>
      <c r="U79" s="32" t="s">
        <v>73</v>
      </c>
      <c r="V79" s="32" t="s">
        <v>73</v>
      </c>
      <c r="W79" s="32" t="s">
        <v>111</v>
      </c>
      <c r="X79" s="32" t="s">
        <v>127</v>
      </c>
      <c r="Y79" s="32" t="s">
        <v>73</v>
      </c>
      <c r="Z79" s="32" t="s">
        <v>73</v>
      </c>
      <c r="AA79" s="32" t="s">
        <v>81</v>
      </c>
      <c r="AB79" s="32" t="s">
        <v>75</v>
      </c>
      <c r="AC79" s="32" t="s">
        <v>89</v>
      </c>
      <c r="AD79" s="32" t="s">
        <v>82</v>
      </c>
      <c r="AE79" s="32" t="s">
        <v>90</v>
      </c>
      <c r="AF79" s="32" t="s">
        <v>73</v>
      </c>
      <c r="AG79" s="32" t="s">
        <v>178</v>
      </c>
      <c r="AH79" t="str">
        <f>VLOOKUP($R79,武学奇术!$A:$ZZ,25,FALSE)</f>
        <v>剑</v>
      </c>
      <c r="AI79" s="21">
        <f>VLOOKUP($R79,武学奇术!$A:$ZZ,26,FALSE)</f>
        <v>1.1781</v>
      </c>
      <c r="AJ79" s="22">
        <f>VLOOKUP($R79,武学奇术!$A:$ZZ,27,FALSE)*(1+IF(OR($AH79=$F$4,$AH79=$F$5),$B$22,0))</f>
        <v>489</v>
      </c>
      <c r="AK79" s="21">
        <f>VLOOKUP($R79,武学奇术!$A:$ZZ,28,FALSE)</f>
        <v>1.7672</v>
      </c>
      <c r="AL79" s="22">
        <f>VLOOKUP($R79,武学奇术!$A:$ZZ,29,FALSE)*(1+IF(OR($AH79=$F$4,$AH79=$F$5),$B$22,0))</f>
        <v>265.5</v>
      </c>
      <c r="AM79" s="21" cm="1">
        <f t="array" ref="AM79">$G$3+IFERROR(VLOOKUP($AH79,$F$4:$G$7,2,FALSE),0)+VLOOKUP($R79,武学奇术!$A:$ZZ,2,FALSE)+SUM(_xlfn.XLOOKUP($S79:$AG79,增益!$A:$A,增益!$B:$B,0))</f>
        <v>0.9591</v>
      </c>
      <c r="AN79" s="21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1862.48</v>
      </c>
      <c r="AP79" cm="1">
        <f t="array" ref="AP79">$E$10*(1+$AN79)+VLOOKUP($R79,武学奇术!$A:$ZZ,4,FALSE)+SUM(_xlfn.XLOOKUP($S79:$AG79,增益!$A:$A,增益!$D:$D,0))-$I$2</f>
        <v>7794.56</v>
      </c>
      <c r="AQ79" s="26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0.294</v>
      </c>
      <c r="AR79" s="26" cm="1">
        <f t="array" ref="AR79">$G$10+VLOOKUP($R79,武学奇术!$A:$ZZ,7,FALSE)+SUM(_xlfn.XLOOKUP(S79:AG79,增益!$A:$A,增益!$G:$G,0))</f>
        <v>0</v>
      </c>
      <c r="AS79" s="21" cm="1">
        <f t="array" ref="AS79">VLOOKUP($R79,武学奇术!$A:$ZZ,8,FALSE)+SUM(_xlfn.XLOOKUP(S79:AG79,增益!$A:$A,增益!$H:$H,0))</f>
        <v>0</v>
      </c>
      <c r="AT79">
        <f t="shared" si="35"/>
        <v>680.02</v>
      </c>
      <c r="AU79">
        <f t="shared" si="36"/>
        <v>1288.54</v>
      </c>
      <c r="AV79" s="26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26" cm="1">
        <f t="array" ref="AW79">$G$11+VLOOKUP($R79,武学奇术!$A:$ZZ,10,FALSE)+SUM(_xlfn.XLOOKUP(S79:AG79,增益!$A:$A,增益!$J:$J,0))</f>
        <v>0.15</v>
      </c>
      <c r="AX79">
        <f t="shared" si="37"/>
        <v>0</v>
      </c>
      <c r="AY79">
        <f t="shared" si="38"/>
        <v>0</v>
      </c>
      <c r="AZ79" s="26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26" cm="1">
        <f t="array" ref="BA79">$G$12+VLOOKUP($R79,武学奇术!$A:$ZZ,12,FALSE)+SUM(_xlfn.XLOOKUP(S79:AG79,增益!$A:$A,增益!$L:$L,0))</f>
        <v>0</v>
      </c>
      <c r="BB79">
        <f t="shared" si="39"/>
        <v>0</v>
      </c>
      <c r="BC79">
        <f t="shared" si="40"/>
        <v>0</v>
      </c>
      <c r="BD79" s="26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26" cm="1">
        <f t="array" ref="BE79">$G$13+VLOOKUP($R79,武学奇术!$A:$ZZ,14,FALSE)+SUM(_xlfn.XLOOKUP(S79:AG79,增益!$A:$A,增益!$N:$N,0))</f>
        <v>0</v>
      </c>
      <c r="BF79">
        <f t="shared" si="41"/>
        <v>0</v>
      </c>
      <c r="BG79">
        <f t="shared" si="42"/>
        <v>0</v>
      </c>
      <c r="BH79" s="26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26" cm="1">
        <f t="array" ref="BI79">$G$14+VLOOKUP($R79,武学奇术!$A:$ZZ,16,FALSE)+SUM(_xlfn.XLOOKUP(S79:AG79,增益!$A:$A,增益!$P:$P,0))</f>
        <v>0</v>
      </c>
      <c r="BJ79" s="21">
        <f>MIN(IF(VLOOKUP($R79,武学奇术!$A:$ZZ,23,FALSE)=1,100%,$B$8),100%)</f>
        <v>0.8229</v>
      </c>
      <c r="BK79" s="21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0.2285</v>
      </c>
      <c r="BL79" s="21" cm="1">
        <f t="array" ref="BL79">1+$B$13+VLOOKUP($R79,武学奇术!$A:$ZZ,18,FALSE)+SUM(_xlfn.XLOOKUP(S79:AG79,增益!$A:$A,增益!$R:$R,0))</f>
        <v>1.5</v>
      </c>
      <c r="BM79" s="21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0.4495</v>
      </c>
      <c r="BN79" s="21" cm="1">
        <f t="array" ref="BN79">1+$B$14+VLOOKUP($R79,武学奇术!$A:$ZZ,20,FALSE)+SUM(_xlfn.XLOOKUP(S79:AG79,增益!$A:$A,增益!$T:$T,0))</f>
        <v>1.602</v>
      </c>
      <c r="BO79" s="21">
        <f t="shared" si="23"/>
        <v>0.18803265</v>
      </c>
      <c r="BP79" s="21">
        <f t="shared" si="33"/>
        <v>0.2649738</v>
      </c>
      <c r="BQ79" s="21">
        <f>IF(VLOOKUP($R79,武学奇术!$A:$ZZ,22,FALSE)=1,0,(1-$BJ79))*(1-$BM79)</f>
        <v>0.09749355</v>
      </c>
      <c r="BR79" s="21" cm="1">
        <f t="array" ref="BR79">SUM(_xlfn.XLOOKUP(S79:AG79,增益!$A:$A,增益!$W:$W,0))+$I$5</f>
        <v>0.06</v>
      </c>
    </row>
    <row r="80" spans="1:70">
      <c r="K80" s="24">
        <f>$L80*VLOOKUP($R80,武学奇术!$A:$ZZ,31,FALSE)</f>
        <v>88533.5072728338</v>
      </c>
      <c r="L80" s="24">
        <f t="shared" si="34"/>
        <v>147555.845454723</v>
      </c>
      <c r="M80" s="24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120866.464955539</v>
      </c>
      <c r="N80" s="24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222311.81029917</v>
      </c>
      <c r="O80" s="24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80577.6433036926</v>
      </c>
      <c r="P80" s="24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36401.1843070655</v>
      </c>
      <c r="Q80" s="31">
        <v>1</v>
      </c>
      <c r="R80" s="32" t="s">
        <v>95</v>
      </c>
      <c r="S80" s="32" t="s">
        <v>87</v>
      </c>
      <c r="T80" s="32" t="s">
        <v>96</v>
      </c>
      <c r="U80" s="32" t="s">
        <v>97</v>
      </c>
      <c r="V80" s="32" t="s">
        <v>98</v>
      </c>
      <c r="W80" s="32" t="s">
        <v>111</v>
      </c>
      <c r="X80" s="32" t="s">
        <v>127</v>
      </c>
      <c r="Y80" s="32" t="s">
        <v>73</v>
      </c>
      <c r="Z80" s="32" t="s">
        <v>73</v>
      </c>
      <c r="AA80" s="32" t="s">
        <v>81</v>
      </c>
      <c r="AB80" s="32" t="s">
        <v>75</v>
      </c>
      <c r="AC80" s="32" t="s">
        <v>89</v>
      </c>
      <c r="AD80" s="32" t="s">
        <v>82</v>
      </c>
      <c r="AE80" s="32" t="s">
        <v>90</v>
      </c>
      <c r="AF80" s="32" t="s">
        <v>73</v>
      </c>
      <c r="AG80" s="32" t="s">
        <v>178</v>
      </c>
      <c r="AH80" t="str">
        <f>VLOOKUP($R80,武学奇术!$A:$ZZ,25,FALSE)</f>
        <v>剑</v>
      </c>
      <c r="AI80" s="21">
        <f>VLOOKUP($R80,武学奇术!$A:$ZZ,26,FALSE)</f>
        <v>2.52</v>
      </c>
      <c r="AJ80" s="22">
        <f>VLOOKUP($R80,武学奇术!$A:$ZZ,27,FALSE)*(1+IF(OR($AH80=$F$4,$AH80=$F$5),$B$22,0))</f>
        <v>0</v>
      </c>
      <c r="AK80" s="21">
        <f>VLOOKUP($R80,武学奇术!$A:$ZZ,28,FALSE)</f>
        <v>3.78</v>
      </c>
      <c r="AL80" s="22">
        <f>VLOOKUP($R80,武学奇术!$A:$ZZ,29,FALSE)*(1+IF(OR($AH80=$F$4,$AH80=$F$5),$B$22,0))</f>
        <v>0</v>
      </c>
      <c r="AM80" s="21" cm="1">
        <f t="array" ref="AM80">$G$3+IFERROR(VLOOKUP($AH80,$F$4:$G$7,2,FALSE),0)+VLOOKUP($R80,武学奇术!$A:$ZZ,2,FALSE)+SUM(_xlfn.XLOOKUP($S80:$AG80,增益!$A:$A,增益!$B:$B,0))</f>
        <v>1.7091</v>
      </c>
      <c r="AN80" s="21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1862.48</v>
      </c>
      <c r="AP80" cm="1">
        <f t="array" ref="AP80">$E$10*(1+$AN80)+VLOOKUP($R80,武学奇术!$A:$ZZ,4,FALSE)+SUM(_xlfn.XLOOKUP($S80:$AG80,增益!$A:$A,增益!$D:$D,0))-$I$2</f>
        <v>7794.56</v>
      </c>
      <c r="AQ80" s="26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0.369</v>
      </c>
      <c r="AR80" s="26" cm="1">
        <f t="array" ref="AR80">$G$10+VLOOKUP($R80,武学奇术!$A:$ZZ,7,FALSE)+SUM(_xlfn.XLOOKUP(S80:AG80,增益!$A:$A,增益!$G:$G,0))</f>
        <v>0</v>
      </c>
      <c r="AS80" s="21" cm="1">
        <f t="array" ref="AS80">VLOOKUP($R80,武学奇术!$A:$ZZ,8,FALSE)+SUM(_xlfn.XLOOKUP(S80:AG80,增益!$A:$A,增益!$H:$H,0))</f>
        <v>0</v>
      </c>
      <c r="AT80">
        <f t="shared" si="35"/>
        <v>680.02</v>
      </c>
      <c r="AU80">
        <f t="shared" si="36"/>
        <v>1288.54</v>
      </c>
      <c r="AV80" s="26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0.075</v>
      </c>
      <c r="AW80" s="26" cm="1">
        <f t="array" ref="AW80">$G$11+VLOOKUP($R80,武学奇术!$A:$ZZ,10,FALSE)+SUM(_xlfn.XLOOKUP(S80:AG80,增益!$A:$A,增益!$J:$J,0))</f>
        <v>0.15</v>
      </c>
      <c r="AX80">
        <f t="shared" si="37"/>
        <v>0</v>
      </c>
      <c r="AY80">
        <f t="shared" si="38"/>
        <v>0</v>
      </c>
      <c r="AZ80" s="26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26" cm="1">
        <f t="array" ref="BA80">$G$12+VLOOKUP($R80,武学奇术!$A:$ZZ,12,FALSE)+SUM(_xlfn.XLOOKUP(S80:AG80,增益!$A:$A,增益!$L:$L,0))</f>
        <v>0</v>
      </c>
      <c r="BB80">
        <f t="shared" si="39"/>
        <v>0</v>
      </c>
      <c r="BC80">
        <f t="shared" si="40"/>
        <v>0</v>
      </c>
      <c r="BD80" s="26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26" cm="1">
        <f t="array" ref="BE80">$G$13+VLOOKUP($R80,武学奇术!$A:$ZZ,14,FALSE)+SUM(_xlfn.XLOOKUP(S80:AG80,增益!$A:$A,增益!$N:$N,0))</f>
        <v>0</v>
      </c>
      <c r="BF80">
        <f t="shared" si="41"/>
        <v>0</v>
      </c>
      <c r="BG80">
        <f t="shared" si="42"/>
        <v>0</v>
      </c>
      <c r="BH80" s="26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26" cm="1">
        <f t="array" ref="BI80">$G$14+VLOOKUP($R80,武学奇术!$A:$ZZ,16,FALSE)+SUM(_xlfn.XLOOKUP(S80:AG80,增益!$A:$A,增益!$P:$P,0))</f>
        <v>0</v>
      </c>
      <c r="BJ80" s="21">
        <f>MIN(IF(VLOOKUP($R80,武学奇术!$A:$ZZ,23,FALSE)=1,100%,$B$8),100%)</f>
        <v>0.8229</v>
      </c>
      <c r="BK80" s="21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0.2285</v>
      </c>
      <c r="BL80" s="21" cm="1">
        <f t="array" ref="BL80">1+$B$13+VLOOKUP($R80,武学奇术!$A:$ZZ,18,FALSE)+SUM(_xlfn.XLOOKUP(S80:AG80,增益!$A:$A,增益!$R:$R,0))</f>
        <v>1.5</v>
      </c>
      <c r="BM80" s="21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0.4495</v>
      </c>
      <c r="BN80" s="21" cm="1">
        <f t="array" ref="BN80">1+$B$14+VLOOKUP($R80,武学奇术!$A:$ZZ,20,FALSE)+SUM(_xlfn.XLOOKUP(S80:AG80,增益!$A:$A,增益!$T:$T,0))</f>
        <v>1.782</v>
      </c>
      <c r="BO80" s="21">
        <f t="shared" si="23"/>
        <v>0.18803265</v>
      </c>
      <c r="BP80" s="21">
        <f t="shared" si="33"/>
        <v>0.2649738</v>
      </c>
      <c r="BQ80" s="21">
        <f>IF(VLOOKUP($R80,武学奇术!$A:$ZZ,22,FALSE)=1,0,(1-$BJ80))*(1-$BM80)</f>
        <v>0.09749355</v>
      </c>
      <c r="BR80" s="21" cm="1">
        <f t="array" ref="BR80">SUM(_xlfn.XLOOKUP(S80:AG80,增益!$A:$A,增益!$W:$W,0))+$I$5</f>
        <v>0.06</v>
      </c>
    </row>
    <row r="81" spans="5:70">
      <c r="K81" s="24">
        <f>$L81*VLOOKUP($R81,武学奇术!$A:$ZZ,31,FALSE)</f>
        <v>133387.086179502</v>
      </c>
      <c r="L81" s="24">
        <f t="shared" si="34"/>
        <v>222311.81029917</v>
      </c>
      <c r="M81" s="24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120866.464955539</v>
      </c>
      <c r="N81" s="24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222311.81029917</v>
      </c>
      <c r="O81" s="24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80577.6433036926</v>
      </c>
      <c r="P81" s="24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36401.1843070655</v>
      </c>
      <c r="Q81" s="31">
        <v>1</v>
      </c>
      <c r="R81" s="32" t="s">
        <v>120</v>
      </c>
      <c r="S81" s="32" t="s">
        <v>87</v>
      </c>
      <c r="T81" s="32" t="s">
        <v>96</v>
      </c>
      <c r="U81" s="32" t="s">
        <v>97</v>
      </c>
      <c r="V81" s="32" t="s">
        <v>98</v>
      </c>
      <c r="W81" s="32" t="s">
        <v>111</v>
      </c>
      <c r="X81" s="32" t="s">
        <v>127</v>
      </c>
      <c r="Y81" s="32" t="s">
        <v>73</v>
      </c>
      <c r="Z81" s="32" t="s">
        <v>73</v>
      </c>
      <c r="AA81" s="32" t="s">
        <v>81</v>
      </c>
      <c r="AB81" s="32" t="s">
        <v>75</v>
      </c>
      <c r="AC81" s="32" t="s">
        <v>89</v>
      </c>
      <c r="AD81" s="32" t="s">
        <v>82</v>
      </c>
      <c r="AE81" s="32" t="s">
        <v>90</v>
      </c>
      <c r="AF81" s="32" t="s">
        <v>73</v>
      </c>
      <c r="AG81" s="32" t="s">
        <v>178</v>
      </c>
      <c r="AH81" t="str">
        <f>VLOOKUP($R81,武学奇术!$A:$ZZ,25,FALSE)</f>
        <v>剑</v>
      </c>
      <c r="AI81" s="21">
        <f>VLOOKUP($R81,武学奇术!$A:$ZZ,26,FALSE)</f>
        <v>2.52</v>
      </c>
      <c r="AJ81" s="22">
        <f>VLOOKUP($R81,武学奇术!$A:$ZZ,27,FALSE)*(1+IF(OR($AH81=$F$4,$AH81=$F$5),$B$22,0))</f>
        <v>0</v>
      </c>
      <c r="AK81" s="21">
        <f>VLOOKUP($R81,武学奇术!$A:$ZZ,28,FALSE)</f>
        <v>3.78</v>
      </c>
      <c r="AL81" s="22">
        <f>VLOOKUP($R81,武学奇术!$A:$ZZ,29,FALSE)*(1+IF(OR($AH81=$F$4,$AH81=$F$5),$B$22,0))</f>
        <v>0</v>
      </c>
      <c r="AM81" s="21" cm="1">
        <f t="array" ref="AM81">$G$3+IFERROR(VLOOKUP($AH81,$F$4:$G$7,2,FALSE),0)+VLOOKUP($R81,武学奇术!$A:$ZZ,2,FALSE)+SUM(_xlfn.XLOOKUP($S81:$AG81,增益!$A:$A,增益!$B:$B,0))</f>
        <v>1.7091</v>
      </c>
      <c r="AN81" s="21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1862.48</v>
      </c>
      <c r="AP81" cm="1">
        <f t="array" ref="AP81">$E$10*(1+$AN81)+VLOOKUP($R81,武学奇术!$A:$ZZ,4,FALSE)+SUM(_xlfn.XLOOKUP($S81:$AG81,增益!$A:$A,增益!$D:$D,0))-$I$2</f>
        <v>7794.56</v>
      </c>
      <c r="AQ81" s="26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0.369</v>
      </c>
      <c r="AR81" s="26" cm="1">
        <f t="array" ref="AR81">$G$10+VLOOKUP($R81,武学奇术!$A:$ZZ,7,FALSE)+SUM(_xlfn.XLOOKUP(S81:AG81,增益!$A:$A,增益!$G:$G,0))</f>
        <v>0</v>
      </c>
      <c r="AS81" s="21" cm="1">
        <f t="array" ref="AS81">VLOOKUP($R81,武学奇术!$A:$ZZ,8,FALSE)+SUM(_xlfn.XLOOKUP(S81:AG81,增益!$A:$A,增益!$H:$H,0))</f>
        <v>0</v>
      </c>
      <c r="AT81">
        <f t="shared" si="35"/>
        <v>680.02</v>
      </c>
      <c r="AU81">
        <f t="shared" si="36"/>
        <v>1288.54</v>
      </c>
      <c r="AV81" s="26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0.075</v>
      </c>
      <c r="AW81" s="26" cm="1">
        <f t="array" ref="AW81">$G$11+VLOOKUP($R81,武学奇术!$A:$ZZ,10,FALSE)+SUM(_xlfn.XLOOKUP(S81:AG81,增益!$A:$A,增益!$J:$J,0))</f>
        <v>0.15</v>
      </c>
      <c r="AX81">
        <f t="shared" si="37"/>
        <v>0</v>
      </c>
      <c r="AY81">
        <f t="shared" si="38"/>
        <v>0</v>
      </c>
      <c r="AZ81" s="26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26" cm="1">
        <f t="array" ref="BA81">$G$12+VLOOKUP($R81,武学奇术!$A:$ZZ,12,FALSE)+SUM(_xlfn.XLOOKUP(S81:AG81,增益!$A:$A,增益!$L:$L,0))</f>
        <v>0</v>
      </c>
      <c r="BB81">
        <f t="shared" si="39"/>
        <v>0</v>
      </c>
      <c r="BC81">
        <f t="shared" si="40"/>
        <v>0</v>
      </c>
      <c r="BD81" s="26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26" cm="1">
        <f t="array" ref="BE81">$G$13+VLOOKUP($R81,武学奇术!$A:$ZZ,14,FALSE)+SUM(_xlfn.XLOOKUP(S81:AG81,增益!$A:$A,增益!$N:$N,0))</f>
        <v>0</v>
      </c>
      <c r="BF81">
        <f t="shared" si="41"/>
        <v>0</v>
      </c>
      <c r="BG81">
        <f t="shared" si="42"/>
        <v>0</v>
      </c>
      <c r="BH81" s="26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26" cm="1">
        <f t="array" ref="BI81">$G$14+VLOOKUP($R81,武学奇术!$A:$ZZ,16,FALSE)+SUM(_xlfn.XLOOKUP(S81:AG81,增益!$A:$A,增益!$P:$P,0))</f>
        <v>0</v>
      </c>
      <c r="BJ81" s="21">
        <f>MIN(IF(VLOOKUP($R81,武学奇术!$A:$ZZ,23,FALSE)=1,100%,$B$8),100%)</f>
        <v>0.8229</v>
      </c>
      <c r="BK81" s="21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21" cm="1">
        <f t="array" ref="BL81">1+$B$13+VLOOKUP($R81,武学奇术!$A:$ZZ,18,FALSE)+SUM(_xlfn.XLOOKUP(S81:AG81,增益!$A:$A,增益!$R:$R,0))</f>
        <v>1.5</v>
      </c>
      <c r="BM81" s="21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21" cm="1">
        <f t="array" ref="BN81">1+$B$14+VLOOKUP($R81,武学奇术!$A:$ZZ,20,FALSE)+SUM(_xlfn.XLOOKUP(S81:AG81,增益!$A:$A,增益!$T:$T,0))</f>
        <v>1.782</v>
      </c>
      <c r="BO81" s="21">
        <f t="shared" si="23"/>
        <v>0</v>
      </c>
      <c r="BP81" s="21">
        <f t="shared" si="33"/>
        <v>0</v>
      </c>
      <c r="BQ81" s="21">
        <f>IF(VLOOKUP($R81,武学奇术!$A:$ZZ,22,FALSE)=1,0,(1-$BJ81))*(1-$BM81)</f>
        <v>0</v>
      </c>
      <c r="BR81" s="21" cm="1">
        <f t="array" ref="BR81">SUM(_xlfn.XLOOKUP(S81:AG81,增益!$A:$A,增益!$W:$W,0))+$I$5</f>
        <v>0.06</v>
      </c>
    </row>
    <row r="82" spans="5:70">
      <c r="F82" s="31"/>
      <c r="K82" s="24">
        <f>$L82*VLOOKUP($R82,武学奇术!$A:$ZZ,31,FALSE)</f>
        <v>28940.933595541</v>
      </c>
      <c r="L82" s="24">
        <f t="shared" si="34"/>
        <v>28940.933595541</v>
      </c>
      <c r="M82" s="24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25982.704187999</v>
      </c>
      <c r="N82" s="24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41395.3198826994</v>
      </c>
      <c r="O82" s="24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17321.8027919994</v>
      </c>
      <c r="P82" s="24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8803.83037632115</v>
      </c>
      <c r="Q82" s="31">
        <v>1</v>
      </c>
      <c r="R82" s="32" t="s">
        <v>124</v>
      </c>
      <c r="S82" s="32" t="s">
        <v>87</v>
      </c>
      <c r="T82" s="32" t="s">
        <v>104</v>
      </c>
      <c r="U82" s="32" t="s">
        <v>73</v>
      </c>
      <c r="V82" s="32" t="s">
        <v>73</v>
      </c>
      <c r="W82" s="32" t="s">
        <v>111</v>
      </c>
      <c r="X82" s="32" t="s">
        <v>127</v>
      </c>
      <c r="Y82" s="32" t="s">
        <v>73</v>
      </c>
      <c r="Z82" s="32" t="s">
        <v>73</v>
      </c>
      <c r="AA82" s="32" t="s">
        <v>81</v>
      </c>
      <c r="AB82" s="32" t="s">
        <v>75</v>
      </c>
      <c r="AC82" s="32" t="s">
        <v>89</v>
      </c>
      <c r="AD82" s="32" t="s">
        <v>82</v>
      </c>
      <c r="AE82" s="32" t="s">
        <v>90</v>
      </c>
      <c r="AF82" s="32" t="s">
        <v>73</v>
      </c>
      <c r="AG82" s="32" t="s">
        <v>178</v>
      </c>
      <c r="AH82" t="str">
        <f>VLOOKUP($R82,武学奇术!$A:$ZZ,25,FALSE)</f>
        <v>剑</v>
      </c>
      <c r="AI82" s="21">
        <f>VLOOKUP($R82,武学奇术!$A:$ZZ,26,FALSE)</f>
        <v>0.94015</v>
      </c>
      <c r="AJ82" s="22">
        <f>VLOOKUP($R82,武学奇术!$A:$ZZ,27,FALSE)*(1+IF(OR($AH82=$F$4,$AH82=$F$5),$B$22,0))</f>
        <v>390</v>
      </c>
      <c r="AK82" s="21">
        <f>VLOOKUP($R82,武学奇术!$A:$ZZ,28,FALSE)</f>
        <v>1.41025</v>
      </c>
      <c r="AL82" s="22">
        <f>VLOOKUP($R82,武学奇术!$A:$ZZ,29,FALSE)*(1+IF(OR($AH82=$F$4,$AH82=$F$5),$B$22,0))</f>
        <v>212.25</v>
      </c>
      <c r="AM82" s="21" cm="1">
        <f t="array" ref="AM82">$G$3+IFERROR(VLOOKUP($AH82,$F$4:$G$7,2,FALSE),0)+VLOOKUP($R82,武学奇术!$A:$ZZ,2,FALSE)+SUM(_xlfn.XLOOKUP($S82:$AG82,增益!$A:$A,增益!$B:$B,0))</f>
        <v>0.9591</v>
      </c>
      <c r="AN82" s="21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1862.48</v>
      </c>
      <c r="AP82" cm="1">
        <f t="array" ref="AP82">$E$10*(1+$AN82)+VLOOKUP($R82,武学奇术!$A:$ZZ,4,FALSE)+SUM(_xlfn.XLOOKUP($S82:$AG82,增益!$A:$A,增益!$D:$D,0))-$I$2</f>
        <v>7794.56</v>
      </c>
      <c r="AQ82" s="26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0.294</v>
      </c>
      <c r="AR82" s="26" cm="1">
        <f t="array" ref="AR82">$G$10+VLOOKUP($R82,武学奇术!$A:$ZZ,7,FALSE)+SUM(_xlfn.XLOOKUP(S82:AG82,增益!$A:$A,增益!$G:$G,0))</f>
        <v>0</v>
      </c>
      <c r="AS82" s="21" cm="1">
        <f t="array" ref="AS82">VLOOKUP($R82,武学奇术!$A:$ZZ,8,FALSE)+SUM(_xlfn.XLOOKUP(S82:AG82,增益!$A:$A,增益!$H:$H,0))</f>
        <v>0</v>
      </c>
      <c r="AT82">
        <f t="shared" si="35"/>
        <v>680.02</v>
      </c>
      <c r="AU82">
        <f t="shared" si="36"/>
        <v>1288.54</v>
      </c>
      <c r="AV82" s="26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26" cm="1">
        <f t="array" ref="AW82">$G$11+VLOOKUP($R82,武学奇术!$A:$ZZ,10,FALSE)+SUM(_xlfn.XLOOKUP(S82:AG82,增益!$A:$A,增益!$J:$J,0))</f>
        <v>0.15</v>
      </c>
      <c r="AX82">
        <f t="shared" si="37"/>
        <v>0</v>
      </c>
      <c r="AY82">
        <f t="shared" si="38"/>
        <v>0</v>
      </c>
      <c r="AZ82" s="26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26" cm="1">
        <f t="array" ref="BA82">$G$12+VLOOKUP($R82,武学奇术!$A:$ZZ,12,FALSE)+SUM(_xlfn.XLOOKUP(S82:AG82,增益!$A:$A,增益!$L:$L,0))</f>
        <v>0</v>
      </c>
      <c r="BB82">
        <f t="shared" si="39"/>
        <v>0</v>
      </c>
      <c r="BC82">
        <f t="shared" si="40"/>
        <v>0</v>
      </c>
      <c r="BD82" s="26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26" cm="1">
        <f t="array" ref="BE82">$G$13+VLOOKUP($R82,武学奇术!$A:$ZZ,14,FALSE)+SUM(_xlfn.XLOOKUP(S82:AG82,增益!$A:$A,增益!$N:$N,0))</f>
        <v>0</v>
      </c>
      <c r="BF82">
        <f t="shared" si="41"/>
        <v>0</v>
      </c>
      <c r="BG82">
        <f t="shared" si="42"/>
        <v>0</v>
      </c>
      <c r="BH82" s="26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26" cm="1">
        <f t="array" ref="BI82">$G$14+VLOOKUP($R82,武学奇术!$A:$ZZ,16,FALSE)+SUM(_xlfn.XLOOKUP(S82:AG82,增益!$A:$A,增益!$P:$P,0))</f>
        <v>0</v>
      </c>
      <c r="BJ82" s="21">
        <f>MIN(IF(VLOOKUP($R82,武学奇术!$A:$ZZ,23,FALSE)=1,100%,$B$8),100%)</f>
        <v>0.8229</v>
      </c>
      <c r="BK82" s="21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0.2285</v>
      </c>
      <c r="BL82" s="21" cm="1">
        <f t="array" ref="BL82">1+$B$13+VLOOKUP($R82,武学奇术!$A:$ZZ,18,FALSE)+SUM(_xlfn.XLOOKUP(S82:AG82,增益!$A:$A,增益!$R:$R,0))</f>
        <v>1.5</v>
      </c>
      <c r="BM82" s="21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0.4495</v>
      </c>
      <c r="BN82" s="21" cm="1">
        <f t="array" ref="BN82">1+$B$14+VLOOKUP($R82,武学奇术!$A:$ZZ,20,FALSE)+SUM(_xlfn.XLOOKUP(S82:AG82,增益!$A:$A,增益!$T:$T,0))</f>
        <v>1.602</v>
      </c>
      <c r="BO82" s="21">
        <f t="shared" si="23"/>
        <v>0.18803265</v>
      </c>
      <c r="BP82" s="21">
        <f t="shared" si="33"/>
        <v>0.2649738</v>
      </c>
      <c r="BQ82" s="21">
        <f>IF(VLOOKUP($R82,武学奇术!$A:$ZZ,22,FALSE)=1,0,(1-$BJ82))*(1-$BM82)</f>
        <v>0.09749355</v>
      </c>
      <c r="BR82" s="21" cm="1">
        <f t="array" ref="BR82">SUM(_xlfn.XLOOKUP(S82:AG82,增益!$A:$A,增益!$W:$W,0))+$I$5</f>
        <v>0.06</v>
      </c>
    </row>
    <row r="83" spans="5:70">
      <c r="E83" s="31"/>
      <c r="K83" s="24">
        <f>$L83*VLOOKUP($R83,武学奇术!$A:$ZZ,31,FALSE)</f>
        <v>36264.6641431523</v>
      </c>
      <c r="L83" s="24">
        <f t="shared" si="34"/>
        <v>36264.6641431523</v>
      </c>
      <c r="M83" s="24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32557.5887592688</v>
      </c>
      <c r="N83" s="24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51871.0397265316</v>
      </c>
      <c r="O83" s="24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21705.0591728459</v>
      </c>
      <c r="P83" s="24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11031.1921743236</v>
      </c>
      <c r="Q83" s="31">
        <v>1</v>
      </c>
      <c r="R83" s="32" t="s">
        <v>86</v>
      </c>
      <c r="S83" s="32" t="s">
        <v>87</v>
      </c>
      <c r="T83" s="32" t="s">
        <v>104</v>
      </c>
      <c r="U83" s="32" t="s">
        <v>73</v>
      </c>
      <c r="V83" s="32" t="s">
        <v>73</v>
      </c>
      <c r="W83" s="32" t="s">
        <v>111</v>
      </c>
      <c r="X83" s="32" t="s">
        <v>127</v>
      </c>
      <c r="Y83" s="32" t="s">
        <v>73</v>
      </c>
      <c r="Z83" s="32" t="s">
        <v>73</v>
      </c>
      <c r="AA83" s="32" t="s">
        <v>81</v>
      </c>
      <c r="AB83" s="32" t="s">
        <v>75</v>
      </c>
      <c r="AC83" s="32" t="s">
        <v>89</v>
      </c>
      <c r="AD83" s="32" t="s">
        <v>82</v>
      </c>
      <c r="AE83" s="32" t="s">
        <v>90</v>
      </c>
      <c r="AF83" s="32" t="s">
        <v>73</v>
      </c>
      <c r="AG83" s="32" t="s">
        <v>178</v>
      </c>
      <c r="AH83" t="str">
        <f>VLOOKUP($R83,武学奇术!$A:$ZZ,25,FALSE)</f>
        <v>剑</v>
      </c>
      <c r="AI83" s="21">
        <f>VLOOKUP($R83,武学奇术!$A:$ZZ,26,FALSE)</f>
        <v>1.1781</v>
      </c>
      <c r="AJ83" s="22">
        <f>VLOOKUP($R83,武学奇术!$A:$ZZ,27,FALSE)*(1+IF(OR($AH83=$F$4,$AH83=$F$5),$B$22,0))</f>
        <v>489</v>
      </c>
      <c r="AK83" s="21">
        <f>VLOOKUP($R83,武学奇术!$A:$ZZ,28,FALSE)</f>
        <v>1.7672</v>
      </c>
      <c r="AL83" s="22">
        <f>VLOOKUP($R83,武学奇术!$A:$ZZ,29,FALSE)*(1+IF(OR($AH83=$F$4,$AH83=$F$5),$B$22,0))</f>
        <v>265.5</v>
      </c>
      <c r="AM83" s="21" cm="1">
        <f t="array" ref="AM83">$G$3+IFERROR(VLOOKUP($AH83,$F$4:$G$7,2,FALSE),0)+VLOOKUP($R83,武学奇术!$A:$ZZ,2,FALSE)+SUM(_xlfn.XLOOKUP($S83:$AG83,增益!$A:$A,增益!$B:$B,0))</f>
        <v>0.9591</v>
      </c>
      <c r="AN83" s="21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1862.48</v>
      </c>
      <c r="AP83" cm="1">
        <f t="array" ref="AP83">$E$10*(1+$AN83)+VLOOKUP($R83,武学奇术!$A:$ZZ,4,FALSE)+SUM(_xlfn.XLOOKUP($S83:$AG83,增益!$A:$A,增益!$D:$D,0))-$I$2</f>
        <v>7794.56</v>
      </c>
      <c r="AQ83" s="26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0.294</v>
      </c>
      <c r="AR83" s="26" cm="1">
        <f t="array" ref="AR83">$G$10+VLOOKUP($R83,武学奇术!$A:$ZZ,7,FALSE)+SUM(_xlfn.XLOOKUP(S83:AG83,增益!$A:$A,增益!$G:$G,0))</f>
        <v>0</v>
      </c>
      <c r="AS83" s="21" cm="1">
        <f t="array" ref="AS83">VLOOKUP($R83,武学奇术!$A:$ZZ,8,FALSE)+SUM(_xlfn.XLOOKUP(S83:AG83,增益!$A:$A,增益!$H:$H,0))</f>
        <v>0</v>
      </c>
      <c r="AT83">
        <f t="shared" si="35"/>
        <v>680.02</v>
      </c>
      <c r="AU83">
        <f t="shared" si="36"/>
        <v>1288.54</v>
      </c>
      <c r="AV83" s="26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26" cm="1">
        <f t="array" ref="AW83">$G$11+VLOOKUP($R83,武学奇术!$A:$ZZ,10,FALSE)+SUM(_xlfn.XLOOKUP(S83:AG83,增益!$A:$A,增益!$J:$J,0))</f>
        <v>0.15</v>
      </c>
      <c r="AX83">
        <f t="shared" si="37"/>
        <v>0</v>
      </c>
      <c r="AY83">
        <f t="shared" si="38"/>
        <v>0</v>
      </c>
      <c r="AZ83" s="26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26" cm="1">
        <f t="array" ref="BA83">$G$12+VLOOKUP($R83,武学奇术!$A:$ZZ,12,FALSE)+SUM(_xlfn.XLOOKUP(S83:AG83,增益!$A:$A,增益!$L:$L,0))</f>
        <v>0</v>
      </c>
      <c r="BB83">
        <f t="shared" si="39"/>
        <v>0</v>
      </c>
      <c r="BC83">
        <f t="shared" si="40"/>
        <v>0</v>
      </c>
      <c r="BD83" s="26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26" cm="1">
        <f t="array" ref="BE83">$G$13+VLOOKUP($R83,武学奇术!$A:$ZZ,14,FALSE)+SUM(_xlfn.XLOOKUP(S83:AG83,增益!$A:$A,增益!$N:$N,0))</f>
        <v>0</v>
      </c>
      <c r="BF83">
        <f t="shared" si="41"/>
        <v>0</v>
      </c>
      <c r="BG83">
        <f t="shared" si="42"/>
        <v>0</v>
      </c>
      <c r="BH83" s="26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26" cm="1">
        <f t="array" ref="BI83">$G$14+VLOOKUP($R83,武学奇术!$A:$ZZ,16,FALSE)+SUM(_xlfn.XLOOKUP(S83:AG83,增益!$A:$A,增益!$P:$P,0))</f>
        <v>0</v>
      </c>
      <c r="BJ83" s="21">
        <f>MIN(IF(VLOOKUP($R83,武学奇术!$A:$ZZ,23,FALSE)=1,100%,$B$8),100%)</f>
        <v>0.8229</v>
      </c>
      <c r="BK83" s="21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0.2285</v>
      </c>
      <c r="BL83" s="21" cm="1">
        <f t="array" ref="BL83">1+$B$13+VLOOKUP($R83,武学奇术!$A:$ZZ,18,FALSE)+SUM(_xlfn.XLOOKUP(S83:AG83,增益!$A:$A,增益!$R:$R,0))</f>
        <v>1.5</v>
      </c>
      <c r="BM83" s="21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0.4495</v>
      </c>
      <c r="BN83" s="21" cm="1">
        <f t="array" ref="BN83">1+$B$14+VLOOKUP($R83,武学奇术!$A:$ZZ,20,FALSE)+SUM(_xlfn.XLOOKUP(S83:AG83,增益!$A:$A,增益!$T:$T,0))</f>
        <v>1.602</v>
      </c>
      <c r="BO83" s="21">
        <f t="shared" si="23"/>
        <v>0.18803265</v>
      </c>
      <c r="BP83" s="21">
        <f t="shared" si="33"/>
        <v>0.2649738</v>
      </c>
      <c r="BQ83" s="21">
        <f>IF(VLOOKUP($R83,武学奇术!$A:$ZZ,22,FALSE)=1,0,(1-$BJ83))*(1-$BM83)</f>
        <v>0.09749355</v>
      </c>
      <c r="BR83" s="21" cm="1">
        <f t="array" ref="BR83">SUM(_xlfn.XLOOKUP(S83:AG83,增益!$A:$A,增益!$W:$W,0))+$I$5</f>
        <v>0.06</v>
      </c>
    </row>
    <row r="84" spans="5:70">
      <c r="K84" s="24">
        <f>$L84*VLOOKUP($R84,武学奇术!$A:$ZZ,31,FALSE)</f>
        <v>88533.5072728338</v>
      </c>
      <c r="L84" s="24">
        <f t="shared" si="34"/>
        <v>147555.845454723</v>
      </c>
      <c r="M84" s="24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120866.464955539</v>
      </c>
      <c r="N84" s="24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222311.81029917</v>
      </c>
      <c r="O84" s="24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80577.6433036926</v>
      </c>
      <c r="P84" s="24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36401.1843070655</v>
      </c>
      <c r="Q84" s="31">
        <v>1</v>
      </c>
      <c r="R84" s="32" t="s">
        <v>95</v>
      </c>
      <c r="S84" s="32" t="s">
        <v>87</v>
      </c>
      <c r="T84" s="32" t="s">
        <v>96</v>
      </c>
      <c r="U84" s="32" t="s">
        <v>97</v>
      </c>
      <c r="V84" s="32" t="s">
        <v>98</v>
      </c>
      <c r="W84" s="32" t="s">
        <v>111</v>
      </c>
      <c r="X84" s="32" t="s">
        <v>127</v>
      </c>
      <c r="Y84" s="32" t="s">
        <v>73</v>
      </c>
      <c r="Z84" s="32" t="s">
        <v>73</v>
      </c>
      <c r="AA84" s="32" t="s">
        <v>81</v>
      </c>
      <c r="AB84" s="32" t="s">
        <v>75</v>
      </c>
      <c r="AC84" s="32" t="s">
        <v>89</v>
      </c>
      <c r="AD84" s="32" t="s">
        <v>82</v>
      </c>
      <c r="AE84" s="32" t="s">
        <v>90</v>
      </c>
      <c r="AF84" s="32" t="s">
        <v>73</v>
      </c>
      <c r="AG84" s="32" t="s">
        <v>178</v>
      </c>
      <c r="AH84" t="str">
        <f>VLOOKUP($R84,武学奇术!$A:$ZZ,25,FALSE)</f>
        <v>剑</v>
      </c>
      <c r="AI84" s="21">
        <f>VLOOKUP($R84,武学奇术!$A:$ZZ,26,FALSE)</f>
        <v>2.52</v>
      </c>
      <c r="AJ84" s="22">
        <f>VLOOKUP($R84,武学奇术!$A:$ZZ,27,FALSE)*(1+IF(OR($AH84=$F$4,$AH84=$F$5),$B$22,0))</f>
        <v>0</v>
      </c>
      <c r="AK84" s="21">
        <f>VLOOKUP($R84,武学奇术!$A:$ZZ,28,FALSE)</f>
        <v>3.78</v>
      </c>
      <c r="AL84" s="22">
        <f>VLOOKUP($R84,武学奇术!$A:$ZZ,29,FALSE)*(1+IF(OR($AH84=$F$4,$AH84=$F$5),$B$22,0))</f>
        <v>0</v>
      </c>
      <c r="AM84" s="21" cm="1">
        <f t="array" ref="AM84">$G$3+IFERROR(VLOOKUP($AH84,$F$4:$G$7,2,FALSE),0)+VLOOKUP($R84,武学奇术!$A:$ZZ,2,FALSE)+SUM(_xlfn.XLOOKUP($S84:$AG84,增益!$A:$A,增益!$B:$B,0))</f>
        <v>1.7091</v>
      </c>
      <c r="AN84" s="21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1862.48</v>
      </c>
      <c r="AP84" cm="1">
        <f t="array" ref="AP84">$E$10*(1+$AN84)+VLOOKUP($R84,武学奇术!$A:$ZZ,4,FALSE)+SUM(_xlfn.XLOOKUP($S84:$AG84,增益!$A:$A,增益!$D:$D,0))-$I$2</f>
        <v>7794.56</v>
      </c>
      <c r="AQ84" s="26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0.369</v>
      </c>
      <c r="AR84" s="26" cm="1">
        <f t="array" ref="AR84">$G$10+VLOOKUP($R84,武学奇术!$A:$ZZ,7,FALSE)+SUM(_xlfn.XLOOKUP(S84:AG84,增益!$A:$A,增益!$G:$G,0))</f>
        <v>0</v>
      </c>
      <c r="AS84" s="21" cm="1">
        <f t="array" ref="AS84">VLOOKUP($R84,武学奇术!$A:$ZZ,8,FALSE)+SUM(_xlfn.XLOOKUP(S84:AG84,增益!$A:$A,增益!$H:$H,0))</f>
        <v>0</v>
      </c>
      <c r="AT84">
        <f t="shared" si="35"/>
        <v>680.02</v>
      </c>
      <c r="AU84">
        <f t="shared" si="36"/>
        <v>1288.54</v>
      </c>
      <c r="AV84" s="26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0.075</v>
      </c>
      <c r="AW84" s="26" cm="1">
        <f t="array" ref="AW84">$G$11+VLOOKUP($R84,武学奇术!$A:$ZZ,10,FALSE)+SUM(_xlfn.XLOOKUP(S84:AG84,增益!$A:$A,增益!$J:$J,0))</f>
        <v>0.15</v>
      </c>
      <c r="AX84">
        <f t="shared" si="37"/>
        <v>0</v>
      </c>
      <c r="AY84">
        <f t="shared" si="38"/>
        <v>0</v>
      </c>
      <c r="AZ84" s="26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26" cm="1">
        <f t="array" ref="BA84">$G$12+VLOOKUP($R84,武学奇术!$A:$ZZ,12,FALSE)+SUM(_xlfn.XLOOKUP(S84:AG84,增益!$A:$A,增益!$L:$L,0))</f>
        <v>0</v>
      </c>
      <c r="BB84">
        <f t="shared" si="39"/>
        <v>0</v>
      </c>
      <c r="BC84">
        <f t="shared" si="40"/>
        <v>0</v>
      </c>
      <c r="BD84" s="26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26" cm="1">
        <f t="array" ref="BE84">$G$13+VLOOKUP($R84,武学奇术!$A:$ZZ,14,FALSE)+SUM(_xlfn.XLOOKUP(S84:AG84,增益!$A:$A,增益!$N:$N,0))</f>
        <v>0</v>
      </c>
      <c r="BF84">
        <f t="shared" si="41"/>
        <v>0</v>
      </c>
      <c r="BG84">
        <f t="shared" si="42"/>
        <v>0</v>
      </c>
      <c r="BH84" s="26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26" cm="1">
        <f t="array" ref="BI84">$G$14+VLOOKUP($R84,武学奇术!$A:$ZZ,16,FALSE)+SUM(_xlfn.XLOOKUP(S84:AG84,增益!$A:$A,增益!$P:$P,0))</f>
        <v>0</v>
      </c>
      <c r="BJ84" s="21">
        <f>MIN(IF(VLOOKUP($R84,武学奇术!$A:$ZZ,23,FALSE)=1,100%,$B$8),100%)</f>
        <v>0.8229</v>
      </c>
      <c r="BK84" s="21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0.2285</v>
      </c>
      <c r="BL84" s="21" cm="1">
        <f t="array" ref="BL84">1+$B$13+VLOOKUP($R84,武学奇术!$A:$ZZ,18,FALSE)+SUM(_xlfn.XLOOKUP(S84:AG84,增益!$A:$A,增益!$R:$R,0))</f>
        <v>1.5</v>
      </c>
      <c r="BM84" s="21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0.4495</v>
      </c>
      <c r="BN84" s="21" cm="1">
        <f t="array" ref="BN84">1+$B$14+VLOOKUP($R84,武学奇术!$A:$ZZ,20,FALSE)+SUM(_xlfn.XLOOKUP(S84:AG84,增益!$A:$A,增益!$T:$T,0))</f>
        <v>1.782</v>
      </c>
      <c r="BO84" s="21">
        <f t="shared" si="23"/>
        <v>0.18803265</v>
      </c>
      <c r="BP84" s="21">
        <f t="shared" si="33"/>
        <v>0.2649738</v>
      </c>
      <c r="BQ84" s="21">
        <f>IF(VLOOKUP($R84,武学奇术!$A:$ZZ,22,FALSE)=1,0,(1-$BJ84))*(1-$BM84)</f>
        <v>0.09749355</v>
      </c>
      <c r="BR84" s="21" cm="1">
        <f t="array" ref="BR84">SUM(_xlfn.XLOOKUP(S84:AG84,增益!$A:$A,增益!$W:$W,0))+$I$5</f>
        <v>0.06</v>
      </c>
    </row>
    <row r="85" spans="5:70">
      <c r="K85" s="24">
        <f>$L85*VLOOKUP($R85,武学奇术!$A:$ZZ,31,FALSE)</f>
        <v>88533.5072728338</v>
      </c>
      <c r="L85" s="24">
        <f t="shared" si="34"/>
        <v>147555.845454723</v>
      </c>
      <c r="M85" s="24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120866.464955539</v>
      </c>
      <c r="N85" s="24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222311.81029917</v>
      </c>
      <c r="O85" s="24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80577.6433036926</v>
      </c>
      <c r="P85" s="24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36401.1843070655</v>
      </c>
      <c r="Q85" s="31">
        <v>1</v>
      </c>
      <c r="R85" s="32" t="s">
        <v>95</v>
      </c>
      <c r="S85" s="32" t="s">
        <v>87</v>
      </c>
      <c r="T85" s="32" t="s">
        <v>96</v>
      </c>
      <c r="U85" s="32" t="s">
        <v>97</v>
      </c>
      <c r="V85" s="32" t="s">
        <v>98</v>
      </c>
      <c r="W85" s="32" t="s">
        <v>111</v>
      </c>
      <c r="X85" s="32" t="s">
        <v>127</v>
      </c>
      <c r="Y85" s="32" t="s">
        <v>73</v>
      </c>
      <c r="Z85" s="32" t="s">
        <v>73</v>
      </c>
      <c r="AA85" s="32" t="s">
        <v>81</v>
      </c>
      <c r="AB85" s="32" t="s">
        <v>75</v>
      </c>
      <c r="AC85" s="32" t="s">
        <v>89</v>
      </c>
      <c r="AD85" s="32" t="s">
        <v>82</v>
      </c>
      <c r="AE85" s="32" t="s">
        <v>90</v>
      </c>
      <c r="AF85" s="32" t="s">
        <v>73</v>
      </c>
      <c r="AG85" s="32" t="s">
        <v>178</v>
      </c>
      <c r="AH85" t="str">
        <f>VLOOKUP($R85,武学奇术!$A:$ZZ,25,FALSE)</f>
        <v>剑</v>
      </c>
      <c r="AI85" s="21">
        <f>VLOOKUP($R85,武学奇术!$A:$ZZ,26,FALSE)</f>
        <v>2.52</v>
      </c>
      <c r="AJ85" s="22">
        <f>VLOOKUP($R85,武学奇术!$A:$ZZ,27,FALSE)*(1+IF(OR($AH85=$F$4,$AH85=$F$5),$B$22,0))</f>
        <v>0</v>
      </c>
      <c r="AK85" s="21">
        <f>VLOOKUP($R85,武学奇术!$A:$ZZ,28,FALSE)</f>
        <v>3.78</v>
      </c>
      <c r="AL85" s="22">
        <f>VLOOKUP($R85,武学奇术!$A:$ZZ,29,FALSE)*(1+IF(OR($AH85=$F$4,$AH85=$F$5),$B$22,0))</f>
        <v>0</v>
      </c>
      <c r="AM85" s="21" cm="1">
        <f t="array" ref="AM85">$G$3+IFERROR(VLOOKUP($AH85,$F$4:$G$7,2,FALSE),0)+VLOOKUP($R85,武学奇术!$A:$ZZ,2,FALSE)+SUM(_xlfn.XLOOKUP($S85:$AG85,增益!$A:$A,增益!$B:$B,0))</f>
        <v>1.7091</v>
      </c>
      <c r="AN85" s="21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1862.48</v>
      </c>
      <c r="AP85" cm="1">
        <f t="array" ref="AP85">$E$10*(1+$AN85)+VLOOKUP($R85,武学奇术!$A:$ZZ,4,FALSE)+SUM(_xlfn.XLOOKUP($S85:$AG85,增益!$A:$A,增益!$D:$D,0))-$I$2</f>
        <v>7794.56</v>
      </c>
      <c r="AQ85" s="26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0.369</v>
      </c>
      <c r="AR85" s="26" cm="1">
        <f t="array" ref="AR85">$G$10+VLOOKUP($R85,武学奇术!$A:$ZZ,7,FALSE)+SUM(_xlfn.XLOOKUP(S85:AG85,增益!$A:$A,增益!$G:$G,0))</f>
        <v>0</v>
      </c>
      <c r="AS85" s="21" cm="1">
        <f t="array" ref="AS85">VLOOKUP($R85,武学奇术!$A:$ZZ,8,FALSE)+SUM(_xlfn.XLOOKUP(S85:AG85,增益!$A:$A,增益!$H:$H,0))</f>
        <v>0</v>
      </c>
      <c r="AT85">
        <f t="shared" si="35"/>
        <v>680.02</v>
      </c>
      <c r="AU85">
        <f t="shared" si="36"/>
        <v>1288.54</v>
      </c>
      <c r="AV85" s="26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0.075</v>
      </c>
      <c r="AW85" s="26" cm="1">
        <f t="array" ref="AW85">$G$11+VLOOKUP($R85,武学奇术!$A:$ZZ,10,FALSE)+SUM(_xlfn.XLOOKUP(S85:AG85,增益!$A:$A,增益!$J:$J,0))</f>
        <v>0.15</v>
      </c>
      <c r="AX85">
        <f t="shared" si="37"/>
        <v>0</v>
      </c>
      <c r="AY85">
        <f t="shared" si="38"/>
        <v>0</v>
      </c>
      <c r="AZ85" s="26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26" cm="1">
        <f t="array" ref="BA85">$G$12+VLOOKUP($R85,武学奇术!$A:$ZZ,12,FALSE)+SUM(_xlfn.XLOOKUP(S85:AG85,增益!$A:$A,增益!$L:$L,0))</f>
        <v>0</v>
      </c>
      <c r="BB85">
        <f t="shared" si="39"/>
        <v>0</v>
      </c>
      <c r="BC85">
        <f t="shared" si="40"/>
        <v>0</v>
      </c>
      <c r="BD85" s="26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26" cm="1">
        <f t="array" ref="BE85">$G$13+VLOOKUP($R85,武学奇术!$A:$ZZ,14,FALSE)+SUM(_xlfn.XLOOKUP(S85:AG85,增益!$A:$A,增益!$N:$N,0))</f>
        <v>0</v>
      </c>
      <c r="BF85">
        <f t="shared" si="41"/>
        <v>0</v>
      </c>
      <c r="BG85">
        <f t="shared" si="42"/>
        <v>0</v>
      </c>
      <c r="BH85" s="26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26" cm="1">
        <f t="array" ref="BI85">$G$14+VLOOKUP($R85,武学奇术!$A:$ZZ,16,FALSE)+SUM(_xlfn.XLOOKUP(S85:AG85,增益!$A:$A,增益!$P:$P,0))</f>
        <v>0</v>
      </c>
      <c r="BJ85" s="21">
        <f>MIN(IF(VLOOKUP($R85,武学奇术!$A:$ZZ,23,FALSE)=1,100%,$B$8),100%)</f>
        <v>0.8229</v>
      </c>
      <c r="BK85" s="21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0.2285</v>
      </c>
      <c r="BL85" s="21" cm="1">
        <f t="array" ref="BL85">1+$B$13+VLOOKUP($R85,武学奇术!$A:$ZZ,18,FALSE)+SUM(_xlfn.XLOOKUP(S85:AG85,增益!$A:$A,增益!$R:$R,0))</f>
        <v>1.5</v>
      </c>
      <c r="BM85" s="21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0.4495</v>
      </c>
      <c r="BN85" s="21" cm="1">
        <f t="array" ref="BN85">1+$B$14+VLOOKUP($R85,武学奇术!$A:$ZZ,20,FALSE)+SUM(_xlfn.XLOOKUP(S85:AG85,增益!$A:$A,增益!$T:$T,0))</f>
        <v>1.782</v>
      </c>
      <c r="BO85" s="21">
        <f t="shared" si="23"/>
        <v>0.18803265</v>
      </c>
      <c r="BP85" s="21">
        <f t="shared" si="33"/>
        <v>0.2649738</v>
      </c>
      <c r="BQ85" s="21">
        <f>IF(VLOOKUP($R85,武学奇术!$A:$ZZ,22,FALSE)=1,0,(1-$BJ85))*(1-$BM85)</f>
        <v>0.09749355</v>
      </c>
      <c r="BR85" s="21" cm="1">
        <f t="array" ref="BR85">SUM(_xlfn.XLOOKUP(S85:AG85,增益!$A:$A,增益!$W:$W,0))+$I$5</f>
        <v>0.06</v>
      </c>
    </row>
    <row r="86" spans="5:70">
      <c r="K86" s="24">
        <f>$L86*VLOOKUP($R86,武学奇术!$A:$ZZ,31,FALSE)</f>
        <v>17599.0359647973</v>
      </c>
      <c r="L86" s="24">
        <f t="shared" si="34"/>
        <v>17599.0359647973</v>
      </c>
      <c r="M86" s="24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15469.6912003598</v>
      </c>
      <c r="N86" s="24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25593.1631414961</v>
      </c>
      <c r="O86" s="24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10313.1274669065</v>
      </c>
      <c r="P86" s="24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4650.49766696158</v>
      </c>
      <c r="Q86" s="31">
        <v>1</v>
      </c>
      <c r="R86" s="32" t="s">
        <v>103</v>
      </c>
      <c r="S86" s="32" t="s">
        <v>87</v>
      </c>
      <c r="T86" s="32" t="s">
        <v>104</v>
      </c>
      <c r="U86" s="32" t="s">
        <v>73</v>
      </c>
      <c r="V86" s="32" t="s">
        <v>73</v>
      </c>
      <c r="W86" s="32" t="s">
        <v>111</v>
      </c>
      <c r="X86" s="32" t="s">
        <v>127</v>
      </c>
      <c r="Y86" s="32" t="s">
        <v>73</v>
      </c>
      <c r="Z86" s="32" t="s">
        <v>73</v>
      </c>
      <c r="AA86" s="32" t="s">
        <v>81</v>
      </c>
      <c r="AB86" s="32" t="s">
        <v>75</v>
      </c>
      <c r="AC86" s="32" t="s">
        <v>89</v>
      </c>
      <c r="AD86" s="32" t="s">
        <v>82</v>
      </c>
      <c r="AE86" s="32" t="s">
        <v>90</v>
      </c>
      <c r="AF86" s="32" t="s">
        <v>73</v>
      </c>
      <c r="AG86" s="32" t="s">
        <v>178</v>
      </c>
      <c r="AH86" t="str">
        <f>VLOOKUP($R86,武学奇术!$A:$ZZ,25,FALSE)</f>
        <v>剑</v>
      </c>
      <c r="AI86" s="21">
        <f>VLOOKUP($R86,武学奇术!$A:$ZZ,26,FALSE)</f>
        <v>0.625</v>
      </c>
      <c r="AJ86" s="22">
        <f>VLOOKUP($R86,武学奇术!$A:$ZZ,27,FALSE)*(1+IF(OR($AH86=$F$4,$AH86=$F$5),$B$22,0))</f>
        <v>0</v>
      </c>
      <c r="AK86" s="21">
        <f>VLOOKUP($R86,武学奇术!$A:$ZZ,28,FALSE)</f>
        <v>0.9375</v>
      </c>
      <c r="AL86" s="22">
        <f>VLOOKUP($R86,武学奇术!$A:$ZZ,29,FALSE)*(1+IF(OR($AH86=$F$4,$AH86=$F$5),$B$22,0))</f>
        <v>0</v>
      </c>
      <c r="AM86" s="21" cm="1">
        <f t="array" ref="AM86">$G$3+IFERROR(VLOOKUP($AH86,$F$4:$G$7,2,FALSE),0)+VLOOKUP($R86,武学奇术!$A:$ZZ,2,FALSE)+SUM(_xlfn.XLOOKUP($S86:$AG86,增益!$A:$A,增益!$B:$B,0))</f>
        <v>0.9591</v>
      </c>
      <c r="AN86" s="21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1862.48</v>
      </c>
      <c r="AP86" cm="1">
        <f t="array" ref="AP86">$E$10*(1+$AN86)+VLOOKUP($R86,武学奇术!$A:$ZZ,4,FALSE)+SUM(_xlfn.XLOOKUP($S86:$AG86,增益!$A:$A,增益!$D:$D,0))-$I$2</f>
        <v>7794.56</v>
      </c>
      <c r="AQ86" s="26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0.294</v>
      </c>
      <c r="AR86" s="26" cm="1">
        <f t="array" ref="AR86">$G$10+VLOOKUP($R86,武学奇术!$A:$ZZ,7,FALSE)+SUM(_xlfn.XLOOKUP(S86:AG86,增益!$A:$A,增益!$G:$G,0))</f>
        <v>0</v>
      </c>
      <c r="AS86" s="21" cm="1">
        <f t="array" ref="AS86">VLOOKUP($R86,武学奇术!$A:$ZZ,8,FALSE)+SUM(_xlfn.XLOOKUP(S86:AG86,增益!$A:$A,增益!$H:$H,0))</f>
        <v>0</v>
      </c>
      <c r="AT86">
        <f t="shared" si="35"/>
        <v>680.02</v>
      </c>
      <c r="AU86">
        <f t="shared" si="36"/>
        <v>1288.54</v>
      </c>
      <c r="AV86" s="26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26" cm="1">
        <f t="array" ref="AW86">$G$11+VLOOKUP($R86,武学奇术!$A:$ZZ,10,FALSE)+SUM(_xlfn.XLOOKUP(S86:AG86,增益!$A:$A,增益!$J:$J,0))</f>
        <v>0.15</v>
      </c>
      <c r="AX86">
        <f t="shared" si="37"/>
        <v>0</v>
      </c>
      <c r="AY86">
        <f t="shared" si="38"/>
        <v>0</v>
      </c>
      <c r="AZ86" s="26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26" cm="1">
        <f t="array" ref="BA86">$G$12+VLOOKUP($R86,武学奇术!$A:$ZZ,12,FALSE)+SUM(_xlfn.XLOOKUP(S86:AG86,增益!$A:$A,增益!$L:$L,0))</f>
        <v>0</v>
      </c>
      <c r="BB86">
        <f t="shared" si="39"/>
        <v>0</v>
      </c>
      <c r="BC86">
        <f t="shared" si="40"/>
        <v>0</v>
      </c>
      <c r="BD86" s="26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26" cm="1">
        <f t="array" ref="BE86">$G$13+VLOOKUP($R86,武学奇术!$A:$ZZ,14,FALSE)+SUM(_xlfn.XLOOKUP(S86:AG86,增益!$A:$A,增益!$N:$N,0))</f>
        <v>0</v>
      </c>
      <c r="BF86">
        <f t="shared" si="41"/>
        <v>0</v>
      </c>
      <c r="BG86">
        <f t="shared" si="42"/>
        <v>0</v>
      </c>
      <c r="BH86" s="26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26" cm="1">
        <f t="array" ref="BI86">$G$14+VLOOKUP($R86,武学奇术!$A:$ZZ,16,FALSE)+SUM(_xlfn.XLOOKUP(S86:AG86,增益!$A:$A,增益!$P:$P,0))</f>
        <v>0</v>
      </c>
      <c r="BJ86" s="21">
        <f>MIN(IF(VLOOKUP($R86,武学奇术!$A:$ZZ,23,FALSE)=1,100%,$B$8),100%)</f>
        <v>0.8229</v>
      </c>
      <c r="BK86" s="21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0.2285</v>
      </c>
      <c r="BL86" s="21" cm="1">
        <f t="array" ref="BL86">1+$B$13+VLOOKUP($R86,武学奇术!$A:$ZZ,18,FALSE)+SUM(_xlfn.XLOOKUP(S86:AG86,增益!$A:$A,增益!$R:$R,0))</f>
        <v>1.5</v>
      </c>
      <c r="BM86" s="21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0.4495</v>
      </c>
      <c r="BN86" s="21" cm="1">
        <f t="array" ref="BN86">1+$B$14+VLOOKUP($R86,武学奇术!$A:$ZZ,20,FALSE)+SUM(_xlfn.XLOOKUP(S86:AG86,增益!$A:$A,增益!$T:$T,0))</f>
        <v>1.602</v>
      </c>
      <c r="BO86" s="21">
        <f t="shared" si="23"/>
        <v>0.18803265</v>
      </c>
      <c r="BP86" s="21">
        <f t="shared" si="33"/>
        <v>0.2649738</v>
      </c>
      <c r="BQ86" s="21">
        <f>IF(VLOOKUP($R86,武学奇术!$A:$ZZ,22,FALSE)=1,0,(1-$BJ86))*(1-$BM86)</f>
        <v>0.09749355</v>
      </c>
      <c r="BR86" s="21" cm="1">
        <f t="array" ref="BR86">SUM(_xlfn.XLOOKUP(S86:AG86,增益!$A:$A,增益!$W:$W,0))+$I$5</f>
        <v>0.06</v>
      </c>
    </row>
    <row r="87" spans="5:70">
      <c r="K87" s="24">
        <f>$L87*VLOOKUP($R87,武学奇术!$A:$ZZ,31,FALSE)</f>
        <v>33494.3353717012</v>
      </c>
      <c r="L87" s="24">
        <f t="shared" ref="L87:L101" si="43">($M87*$BO87+$N87*$BM87+$O87*$BP87+$P87*$BQ87)</f>
        <v>33494.3353717012</v>
      </c>
      <c r="M87" s="24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30069.9196964265</v>
      </c>
      <c r="N87" s="24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47909.1852634857</v>
      </c>
      <c r="O87" s="24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20046.613130951</v>
      </c>
      <c r="P87" s="24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10187.3677953067</v>
      </c>
      <c r="Q87" s="31">
        <v>1</v>
      </c>
      <c r="R87" s="32" t="s">
        <v>191</v>
      </c>
      <c r="S87" s="32" t="s">
        <v>87</v>
      </c>
      <c r="T87" s="32" t="s">
        <v>104</v>
      </c>
      <c r="U87" s="32" t="s">
        <v>73</v>
      </c>
      <c r="V87" s="32" t="s">
        <v>73</v>
      </c>
      <c r="W87" s="32" t="s">
        <v>111</v>
      </c>
      <c r="X87" s="32" t="s">
        <v>127</v>
      </c>
      <c r="Y87" s="32" t="s">
        <v>73</v>
      </c>
      <c r="Z87" s="32" t="s">
        <v>73</v>
      </c>
      <c r="AA87" s="32" t="s">
        <v>81</v>
      </c>
      <c r="AB87" s="32" t="s">
        <v>75</v>
      </c>
      <c r="AC87" s="32" t="s">
        <v>89</v>
      </c>
      <c r="AD87" s="32" t="s">
        <v>82</v>
      </c>
      <c r="AE87" s="32" t="s">
        <v>90</v>
      </c>
      <c r="AF87" s="32" t="s">
        <v>73</v>
      </c>
      <c r="AG87" s="32" t="s">
        <v>178</v>
      </c>
      <c r="AH87" t="str">
        <f>VLOOKUP($R87,武学奇术!$A:$ZZ,25,FALSE)</f>
        <v>剑</v>
      </c>
      <c r="AI87" s="21">
        <f>VLOOKUP($R87,武学奇术!$A:$ZZ,26,FALSE)</f>
        <v>1.0882</v>
      </c>
      <c r="AJ87" s="22">
        <f>VLOOKUP($R87,武学奇术!$A:$ZZ,27,FALSE)*(1+IF(OR($AH87=$F$4,$AH87=$F$5),$B$22,0))</f>
        <v>450</v>
      </c>
      <c r="AK87" s="21">
        <f>VLOOKUP($R87,武学奇术!$A:$ZZ,28,FALSE)</f>
        <v>1.6322</v>
      </c>
      <c r="AL87" s="22">
        <f>VLOOKUP($R87,武学奇术!$A:$ZZ,29,FALSE)*(1+IF(OR($AH87=$F$4,$AH87=$F$5),$B$22,0))</f>
        <v>246</v>
      </c>
      <c r="AM87" s="21" cm="1">
        <f t="array" ref="AM87">$G$3+IFERROR(VLOOKUP($AH87,$F$4:$G$7,2,FALSE),0)+VLOOKUP($R87,武学奇术!$A:$ZZ,2,FALSE)+SUM(_xlfn.XLOOKUP($S87:$AG87,增益!$A:$A,增益!$B:$B,0))</f>
        <v>0.9591</v>
      </c>
      <c r="AN87" s="21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1862.48</v>
      </c>
      <c r="AP87" cm="1">
        <f t="array" ref="AP87">$E$10*(1+$AN87)+VLOOKUP($R87,武学奇术!$A:$ZZ,4,FALSE)+SUM(_xlfn.XLOOKUP($S87:$AG87,增益!$A:$A,增益!$D:$D,0))-$I$2</f>
        <v>7794.56</v>
      </c>
      <c r="AQ87" s="26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0.294</v>
      </c>
      <c r="AR87" s="26" cm="1">
        <f t="array" ref="AR87">$G$10+VLOOKUP($R87,武学奇术!$A:$ZZ,7,FALSE)+SUM(_xlfn.XLOOKUP(S87:AG87,增益!$A:$A,增益!$G:$G,0))</f>
        <v>0</v>
      </c>
      <c r="AS87" s="21" cm="1">
        <f t="array" ref="AS87">VLOOKUP($R87,武学奇术!$A:$ZZ,8,FALSE)+SUM(_xlfn.XLOOKUP(S87:AG87,增益!$A:$A,增益!$H:$H,0))</f>
        <v>0</v>
      </c>
      <c r="AT87">
        <f t="shared" ref="AT87:AT101" si="44">$D$11*(1+$AS87)</f>
        <v>680.02</v>
      </c>
      <c r="AU87">
        <f t="shared" ref="AU87:AU101" si="45">$E$11*(1+$AS87)</f>
        <v>1288.54</v>
      </c>
      <c r="AV87" s="26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26" cm="1">
        <f t="array" ref="AW87">$G$11+VLOOKUP($R87,武学奇术!$A:$ZZ,10,FALSE)+SUM(_xlfn.XLOOKUP(S87:AG87,增益!$A:$A,增益!$J:$J,0))</f>
        <v>0.15</v>
      </c>
      <c r="AX87">
        <f t="shared" ref="AX87:AX101" si="46">$D$12*(1+$AS87)</f>
        <v>0</v>
      </c>
      <c r="AY87">
        <f t="shared" ref="AY87:AY101" si="47">$E$12*(1+$AS87)</f>
        <v>0</v>
      </c>
      <c r="AZ87" s="26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26" cm="1">
        <f t="array" ref="BA87">$G$12+VLOOKUP($R87,武学奇术!$A:$ZZ,12,FALSE)+SUM(_xlfn.XLOOKUP(S87:AG87,增益!$A:$A,增益!$L:$L,0))</f>
        <v>0</v>
      </c>
      <c r="BB87">
        <f t="shared" ref="BB87:BB101" si="48">$D$13*(1+$AS87)</f>
        <v>0</v>
      </c>
      <c r="BC87">
        <f t="shared" ref="BC87:BC101" si="49">$E$13*(1+$AS87)</f>
        <v>0</v>
      </c>
      <c r="BD87" s="26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26" cm="1">
        <f t="array" ref="BE87">$G$13+VLOOKUP($R87,武学奇术!$A:$ZZ,14,FALSE)+SUM(_xlfn.XLOOKUP(S87:AG87,增益!$A:$A,增益!$N:$N,0))</f>
        <v>0</v>
      </c>
      <c r="BF87">
        <f t="shared" ref="BF87:BF101" si="50">$D$14*(1+$AS87)</f>
        <v>0</v>
      </c>
      <c r="BG87">
        <f t="shared" ref="BG87:BG101" si="51">$E$14*(1+$AS87)</f>
        <v>0</v>
      </c>
      <c r="BH87" s="26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26" cm="1">
        <f t="array" ref="BI87">$G$14+VLOOKUP($R87,武学奇术!$A:$ZZ,16,FALSE)+SUM(_xlfn.XLOOKUP(S87:AG87,增益!$A:$A,增益!$P:$P,0))</f>
        <v>0</v>
      </c>
      <c r="BJ87" s="21">
        <f>MIN(IF(VLOOKUP($R87,武学奇术!$A:$ZZ,23,FALSE)=1,100%,$B$8),100%)</f>
        <v>0.8229</v>
      </c>
      <c r="BK87" s="21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0.2285</v>
      </c>
      <c r="BL87" s="21" cm="1">
        <f t="array" ref="BL87">1+$B$13+VLOOKUP($R87,武学奇术!$A:$ZZ,18,FALSE)+SUM(_xlfn.XLOOKUP(S87:AG87,增益!$A:$A,增益!$R:$R,0))</f>
        <v>1.5</v>
      </c>
      <c r="BM87" s="21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0.4495</v>
      </c>
      <c r="BN87" s="21" cm="1">
        <f t="array" ref="BN87">1+$B$14+VLOOKUP($R87,武学奇术!$A:$ZZ,20,FALSE)+SUM(_xlfn.XLOOKUP(S87:AG87,增益!$A:$A,增益!$T:$T,0))</f>
        <v>1.602</v>
      </c>
      <c r="BO87" s="21">
        <f t="shared" si="23"/>
        <v>0.18803265</v>
      </c>
      <c r="BP87" s="21">
        <f t="shared" si="33"/>
        <v>0.2649738</v>
      </c>
      <c r="BQ87" s="21">
        <f>IF(VLOOKUP($R87,武学奇术!$A:$ZZ,22,FALSE)=1,0,(1-$BJ87))*(1-$BM87)</f>
        <v>0.09749355</v>
      </c>
      <c r="BR87" s="21" cm="1">
        <f t="array" ref="BR87">SUM(_xlfn.XLOOKUP(S87:AG87,增益!$A:$A,增益!$W:$W,0))+$I$5</f>
        <v>0.06</v>
      </c>
    </row>
    <row r="88" spans="5:70">
      <c r="K88" s="24">
        <f>$L88*VLOOKUP($R88,武学奇术!$A:$ZZ,31,FALSE)</f>
        <v>36264.6641431523</v>
      </c>
      <c r="L88" s="24">
        <f t="shared" si="43"/>
        <v>36264.6641431523</v>
      </c>
      <c r="M88" s="24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32557.5887592688</v>
      </c>
      <c r="N88" s="24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51871.0397265316</v>
      </c>
      <c r="O88" s="24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21705.0591728459</v>
      </c>
      <c r="P88" s="24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11031.1921743236</v>
      </c>
      <c r="Q88" s="31">
        <v>1</v>
      </c>
      <c r="R88" s="32" t="s">
        <v>86</v>
      </c>
      <c r="S88" s="32" t="s">
        <v>87</v>
      </c>
      <c r="T88" s="32" t="s">
        <v>104</v>
      </c>
      <c r="U88" s="32" t="s">
        <v>73</v>
      </c>
      <c r="V88" s="32" t="s">
        <v>73</v>
      </c>
      <c r="W88" s="32" t="s">
        <v>111</v>
      </c>
      <c r="X88" s="32" t="s">
        <v>127</v>
      </c>
      <c r="Y88" s="32" t="s">
        <v>73</v>
      </c>
      <c r="Z88" s="32" t="s">
        <v>73</v>
      </c>
      <c r="AA88" s="32" t="s">
        <v>81</v>
      </c>
      <c r="AB88" s="32" t="s">
        <v>75</v>
      </c>
      <c r="AC88" s="32" t="s">
        <v>76</v>
      </c>
      <c r="AD88" s="32" t="s">
        <v>82</v>
      </c>
      <c r="AE88" s="32" t="s">
        <v>90</v>
      </c>
      <c r="AF88" s="32" t="s">
        <v>73</v>
      </c>
      <c r="AG88" s="32" t="s">
        <v>178</v>
      </c>
      <c r="AH88" t="str">
        <f>VLOOKUP($R88,武学奇术!$A:$ZZ,25,FALSE)</f>
        <v>剑</v>
      </c>
      <c r="AI88" s="21">
        <f>VLOOKUP($R88,武学奇术!$A:$ZZ,26,FALSE)</f>
        <v>1.1781</v>
      </c>
      <c r="AJ88" s="22">
        <f>VLOOKUP($R88,武学奇术!$A:$ZZ,27,FALSE)*(1+IF(OR($AH88=$F$4,$AH88=$F$5),$B$22,0))</f>
        <v>489</v>
      </c>
      <c r="AK88" s="21">
        <f>VLOOKUP($R88,武学奇术!$A:$ZZ,28,FALSE)</f>
        <v>1.7672</v>
      </c>
      <c r="AL88" s="22">
        <f>VLOOKUP($R88,武学奇术!$A:$ZZ,29,FALSE)*(1+IF(OR($AH88=$F$4,$AH88=$F$5),$B$22,0))</f>
        <v>265.5</v>
      </c>
      <c r="AM88" s="21" cm="1">
        <f t="array" ref="AM88">$G$3+IFERROR(VLOOKUP($AH88,$F$4:$G$7,2,FALSE),0)+VLOOKUP($R88,武学奇术!$A:$ZZ,2,FALSE)+SUM(_xlfn.XLOOKUP($S88:$AG88,增益!$A:$A,增益!$B:$B,0))</f>
        <v>0.9591</v>
      </c>
      <c r="AN88" s="21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1862.48</v>
      </c>
      <c r="AP88" cm="1">
        <f t="array" ref="AP88">$E$10*(1+$AN88)+VLOOKUP($R88,武学奇术!$A:$ZZ,4,FALSE)+SUM(_xlfn.XLOOKUP($S88:$AG88,增益!$A:$A,增益!$D:$D,0))-$I$2</f>
        <v>7794.56</v>
      </c>
      <c r="AQ88" s="26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0.294</v>
      </c>
      <c r="AR88" s="26" cm="1">
        <f t="array" ref="AR88">$G$10+VLOOKUP($R88,武学奇术!$A:$ZZ,7,FALSE)+SUM(_xlfn.XLOOKUP(S88:AG88,增益!$A:$A,增益!$G:$G,0))</f>
        <v>0</v>
      </c>
      <c r="AS88" s="21" cm="1">
        <f t="array" ref="AS88">VLOOKUP($R88,武学奇术!$A:$ZZ,8,FALSE)+SUM(_xlfn.XLOOKUP(S88:AG88,增益!$A:$A,增益!$H:$H,0))</f>
        <v>0</v>
      </c>
      <c r="AT88">
        <f t="shared" si="44"/>
        <v>680.02</v>
      </c>
      <c r="AU88">
        <f t="shared" si="45"/>
        <v>1288.54</v>
      </c>
      <c r="AV88" s="26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26" cm="1">
        <f t="array" ref="AW88">$G$11+VLOOKUP($R88,武学奇术!$A:$ZZ,10,FALSE)+SUM(_xlfn.XLOOKUP(S88:AG88,增益!$A:$A,增益!$J:$J,0))</f>
        <v>0.15</v>
      </c>
      <c r="AX88">
        <f t="shared" si="46"/>
        <v>0</v>
      </c>
      <c r="AY88">
        <f t="shared" si="47"/>
        <v>0</v>
      </c>
      <c r="AZ88" s="26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26" cm="1">
        <f t="array" ref="BA88">$G$12+VLOOKUP($R88,武学奇术!$A:$ZZ,12,FALSE)+SUM(_xlfn.XLOOKUP(S88:AG88,增益!$A:$A,增益!$L:$L,0))</f>
        <v>0</v>
      </c>
      <c r="BB88">
        <f t="shared" si="48"/>
        <v>0</v>
      </c>
      <c r="BC88">
        <f t="shared" si="49"/>
        <v>0</v>
      </c>
      <c r="BD88" s="26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26" cm="1">
        <f t="array" ref="BE88">$G$13+VLOOKUP($R88,武学奇术!$A:$ZZ,14,FALSE)+SUM(_xlfn.XLOOKUP(S88:AG88,增益!$A:$A,增益!$N:$N,0))</f>
        <v>0</v>
      </c>
      <c r="BF88">
        <f t="shared" si="50"/>
        <v>0</v>
      </c>
      <c r="BG88">
        <f t="shared" si="51"/>
        <v>0</v>
      </c>
      <c r="BH88" s="26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26" cm="1">
        <f t="array" ref="BI88">$G$14+VLOOKUP($R88,武学奇术!$A:$ZZ,16,FALSE)+SUM(_xlfn.XLOOKUP(S88:AG88,增益!$A:$A,增益!$P:$P,0))</f>
        <v>0</v>
      </c>
      <c r="BJ88" s="21">
        <f>MIN(IF(VLOOKUP($R88,武学奇术!$A:$ZZ,23,FALSE)=1,100%,$B$8),100%)</f>
        <v>0.8229</v>
      </c>
      <c r="BK88" s="21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0.2285</v>
      </c>
      <c r="BL88" s="21" cm="1">
        <f t="array" ref="BL88">1+$B$13+VLOOKUP($R88,武学奇术!$A:$ZZ,18,FALSE)+SUM(_xlfn.XLOOKUP(S88:AG88,增益!$A:$A,增益!$R:$R,0))</f>
        <v>1.5</v>
      </c>
      <c r="BM88" s="21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0.4495</v>
      </c>
      <c r="BN88" s="21" cm="1">
        <f t="array" ref="BN88">1+$B$14+VLOOKUP($R88,武学奇术!$A:$ZZ,20,FALSE)+SUM(_xlfn.XLOOKUP(S88:AG88,增益!$A:$A,增益!$T:$T,0))</f>
        <v>1.602</v>
      </c>
      <c r="BO88" s="21">
        <f t="shared" si="23"/>
        <v>0.18803265</v>
      </c>
      <c r="BP88" s="21">
        <f t="shared" si="33"/>
        <v>0.2649738</v>
      </c>
      <c r="BQ88" s="21">
        <f>IF(VLOOKUP($R88,武学奇术!$A:$ZZ,22,FALSE)=1,0,(1-$BJ88))*(1-$BM88)</f>
        <v>0.09749355</v>
      </c>
      <c r="BR88" s="21" cm="1">
        <f t="array" ref="BR88">SUM(_xlfn.XLOOKUP(S88:AG88,增益!$A:$A,增益!$W:$W,0))+$I$5</f>
        <v>0.06</v>
      </c>
    </row>
    <row r="89" spans="5:70">
      <c r="K89" s="24">
        <f>$L89*VLOOKUP($R89,武学奇术!$A:$ZZ,31,FALSE)</f>
        <v>88533.5072728338</v>
      </c>
      <c r="L89" s="24">
        <f t="shared" si="43"/>
        <v>147555.845454723</v>
      </c>
      <c r="M89" s="24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120866.464955539</v>
      </c>
      <c r="N89" s="24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222311.81029917</v>
      </c>
      <c r="O89" s="24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80577.6433036926</v>
      </c>
      <c r="P89" s="24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36401.1843070655</v>
      </c>
      <c r="Q89" s="31">
        <v>1</v>
      </c>
      <c r="R89" s="32" t="s">
        <v>95</v>
      </c>
      <c r="S89" s="32" t="s">
        <v>87</v>
      </c>
      <c r="T89" s="32" t="s">
        <v>96</v>
      </c>
      <c r="U89" s="32" t="s">
        <v>97</v>
      </c>
      <c r="V89" s="32" t="s">
        <v>98</v>
      </c>
      <c r="W89" s="32" t="s">
        <v>111</v>
      </c>
      <c r="X89" s="32" t="s">
        <v>127</v>
      </c>
      <c r="Y89" s="32" t="s">
        <v>73</v>
      </c>
      <c r="Z89" s="32" t="s">
        <v>73</v>
      </c>
      <c r="AA89" s="32" t="s">
        <v>81</v>
      </c>
      <c r="AB89" s="32" t="s">
        <v>75</v>
      </c>
      <c r="AC89" s="32" t="s">
        <v>76</v>
      </c>
      <c r="AD89" s="32" t="s">
        <v>82</v>
      </c>
      <c r="AE89" s="32" t="s">
        <v>90</v>
      </c>
      <c r="AF89" s="32" t="s">
        <v>73</v>
      </c>
      <c r="AG89" s="32" t="s">
        <v>178</v>
      </c>
      <c r="AH89" t="str">
        <f>VLOOKUP($R89,武学奇术!$A:$ZZ,25,FALSE)</f>
        <v>剑</v>
      </c>
      <c r="AI89" s="21">
        <f>VLOOKUP($R89,武学奇术!$A:$ZZ,26,FALSE)</f>
        <v>2.52</v>
      </c>
      <c r="AJ89" s="22">
        <f>VLOOKUP($R89,武学奇术!$A:$ZZ,27,FALSE)*(1+IF(OR($AH89=$F$4,$AH89=$F$5),$B$22,0))</f>
        <v>0</v>
      </c>
      <c r="AK89" s="21">
        <f>VLOOKUP($R89,武学奇术!$A:$ZZ,28,FALSE)</f>
        <v>3.78</v>
      </c>
      <c r="AL89" s="22">
        <f>VLOOKUP($R89,武学奇术!$A:$ZZ,29,FALSE)*(1+IF(OR($AH89=$F$4,$AH89=$F$5),$B$22,0))</f>
        <v>0</v>
      </c>
      <c r="AM89" s="21" cm="1">
        <f t="array" ref="AM89">$G$3+IFERROR(VLOOKUP($AH89,$F$4:$G$7,2,FALSE),0)+VLOOKUP($R89,武学奇术!$A:$ZZ,2,FALSE)+SUM(_xlfn.XLOOKUP($S89:$AG89,增益!$A:$A,增益!$B:$B,0))</f>
        <v>1.7091</v>
      </c>
      <c r="AN89" s="21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1862.48</v>
      </c>
      <c r="AP89" cm="1">
        <f t="array" ref="AP89">$E$10*(1+$AN89)+VLOOKUP($R89,武学奇术!$A:$ZZ,4,FALSE)+SUM(_xlfn.XLOOKUP($S89:$AG89,增益!$A:$A,增益!$D:$D,0))-$I$2</f>
        <v>7794.56</v>
      </c>
      <c r="AQ89" s="26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0.369</v>
      </c>
      <c r="AR89" s="26" cm="1">
        <f t="array" ref="AR89">$G$10+VLOOKUP($R89,武学奇术!$A:$ZZ,7,FALSE)+SUM(_xlfn.XLOOKUP(S89:AG89,增益!$A:$A,增益!$G:$G,0))</f>
        <v>0</v>
      </c>
      <c r="AS89" s="21" cm="1">
        <f t="array" ref="AS89">VLOOKUP($R89,武学奇术!$A:$ZZ,8,FALSE)+SUM(_xlfn.XLOOKUP(S89:AG89,增益!$A:$A,增益!$H:$H,0))</f>
        <v>0</v>
      </c>
      <c r="AT89">
        <f t="shared" si="44"/>
        <v>680.02</v>
      </c>
      <c r="AU89">
        <f t="shared" si="45"/>
        <v>1288.54</v>
      </c>
      <c r="AV89" s="26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0.075</v>
      </c>
      <c r="AW89" s="26" cm="1">
        <f t="array" ref="AW89">$G$11+VLOOKUP($R89,武学奇术!$A:$ZZ,10,FALSE)+SUM(_xlfn.XLOOKUP(S89:AG89,增益!$A:$A,增益!$J:$J,0))</f>
        <v>0.15</v>
      </c>
      <c r="AX89">
        <f t="shared" si="46"/>
        <v>0</v>
      </c>
      <c r="AY89">
        <f t="shared" si="47"/>
        <v>0</v>
      </c>
      <c r="AZ89" s="26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26" cm="1">
        <f t="array" ref="BA89">$G$12+VLOOKUP($R89,武学奇术!$A:$ZZ,12,FALSE)+SUM(_xlfn.XLOOKUP(S89:AG89,增益!$A:$A,增益!$L:$L,0))</f>
        <v>0</v>
      </c>
      <c r="BB89">
        <f t="shared" si="48"/>
        <v>0</v>
      </c>
      <c r="BC89">
        <f t="shared" si="49"/>
        <v>0</v>
      </c>
      <c r="BD89" s="26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26" cm="1">
        <f t="array" ref="BE89">$G$13+VLOOKUP($R89,武学奇术!$A:$ZZ,14,FALSE)+SUM(_xlfn.XLOOKUP(S89:AG89,增益!$A:$A,增益!$N:$N,0))</f>
        <v>0</v>
      </c>
      <c r="BF89">
        <f t="shared" si="50"/>
        <v>0</v>
      </c>
      <c r="BG89">
        <f t="shared" si="51"/>
        <v>0</v>
      </c>
      <c r="BH89" s="26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26" cm="1">
        <f t="array" ref="BI89">$G$14+VLOOKUP($R89,武学奇术!$A:$ZZ,16,FALSE)+SUM(_xlfn.XLOOKUP(S89:AG89,增益!$A:$A,增益!$P:$P,0))</f>
        <v>0</v>
      </c>
      <c r="BJ89" s="21">
        <f>MIN(IF(VLOOKUP($R89,武学奇术!$A:$ZZ,23,FALSE)=1,100%,$B$8),100%)</f>
        <v>0.8229</v>
      </c>
      <c r="BK89" s="21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0.2285</v>
      </c>
      <c r="BL89" s="21" cm="1">
        <f t="array" ref="BL89">1+$B$13+VLOOKUP($R89,武学奇术!$A:$ZZ,18,FALSE)+SUM(_xlfn.XLOOKUP(S89:AG89,增益!$A:$A,增益!$R:$R,0))</f>
        <v>1.5</v>
      </c>
      <c r="BM89" s="21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0.4495</v>
      </c>
      <c r="BN89" s="21" cm="1">
        <f t="array" ref="BN89">1+$B$14+VLOOKUP($R89,武学奇术!$A:$ZZ,20,FALSE)+SUM(_xlfn.XLOOKUP(S89:AG89,增益!$A:$A,增益!$T:$T,0))</f>
        <v>1.782</v>
      </c>
      <c r="BO89" s="21">
        <f t="shared" si="23"/>
        <v>0.18803265</v>
      </c>
      <c r="BP89" s="21">
        <f t="shared" si="33"/>
        <v>0.2649738</v>
      </c>
      <c r="BQ89" s="21">
        <f>IF(VLOOKUP($R89,武学奇术!$A:$ZZ,22,FALSE)=1,0,(1-$BJ89))*(1-$BM89)</f>
        <v>0.09749355</v>
      </c>
      <c r="BR89" s="21" cm="1">
        <f t="array" ref="BR89">SUM(_xlfn.XLOOKUP(S89:AG89,增益!$A:$A,增益!$W:$W,0))+$I$5</f>
        <v>0.06</v>
      </c>
    </row>
    <row r="90" spans="5:70">
      <c r="K90" s="24">
        <f>$L90*VLOOKUP($R90,武学奇术!$A:$ZZ,31,FALSE)</f>
        <v>133387.086179502</v>
      </c>
      <c r="L90" s="24">
        <f t="shared" si="43"/>
        <v>222311.81029917</v>
      </c>
      <c r="M90" s="24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120866.464955539</v>
      </c>
      <c r="N90" s="24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222311.81029917</v>
      </c>
      <c r="O90" s="24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80577.6433036926</v>
      </c>
      <c r="P90" s="24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36401.1843070655</v>
      </c>
      <c r="Q90" s="31">
        <v>1</v>
      </c>
      <c r="R90" s="32" t="s">
        <v>120</v>
      </c>
      <c r="S90" s="32" t="s">
        <v>87</v>
      </c>
      <c r="T90" s="32" t="s">
        <v>96</v>
      </c>
      <c r="U90" s="32" t="s">
        <v>97</v>
      </c>
      <c r="V90" s="32" t="s">
        <v>98</v>
      </c>
      <c r="W90" s="32" t="s">
        <v>111</v>
      </c>
      <c r="X90" s="32" t="s">
        <v>127</v>
      </c>
      <c r="Y90" s="32" t="s">
        <v>73</v>
      </c>
      <c r="Z90" s="32" t="s">
        <v>73</v>
      </c>
      <c r="AA90" s="32" t="s">
        <v>81</v>
      </c>
      <c r="AB90" s="32" t="s">
        <v>75</v>
      </c>
      <c r="AC90" s="32" t="s">
        <v>76</v>
      </c>
      <c r="AD90" s="32" t="s">
        <v>82</v>
      </c>
      <c r="AE90" s="32" t="s">
        <v>90</v>
      </c>
      <c r="AF90" s="32" t="s">
        <v>73</v>
      </c>
      <c r="AG90" s="32" t="s">
        <v>178</v>
      </c>
      <c r="AH90" t="str">
        <f>VLOOKUP($R90,武学奇术!$A:$ZZ,25,FALSE)</f>
        <v>剑</v>
      </c>
      <c r="AI90" s="21">
        <f>VLOOKUP($R90,武学奇术!$A:$ZZ,26,FALSE)</f>
        <v>2.52</v>
      </c>
      <c r="AJ90" s="22">
        <f>VLOOKUP($R90,武学奇术!$A:$ZZ,27,FALSE)*(1+IF(OR($AH90=$F$4,$AH90=$F$5),$B$22,0))</f>
        <v>0</v>
      </c>
      <c r="AK90" s="21">
        <f>VLOOKUP($R90,武学奇术!$A:$ZZ,28,FALSE)</f>
        <v>3.78</v>
      </c>
      <c r="AL90" s="22">
        <f>VLOOKUP($R90,武学奇术!$A:$ZZ,29,FALSE)*(1+IF(OR($AH90=$F$4,$AH90=$F$5),$B$22,0))</f>
        <v>0</v>
      </c>
      <c r="AM90" s="21" cm="1">
        <f t="array" ref="AM90">$G$3+IFERROR(VLOOKUP($AH90,$F$4:$G$7,2,FALSE),0)+VLOOKUP($R90,武学奇术!$A:$ZZ,2,FALSE)+SUM(_xlfn.XLOOKUP($S90:$AG90,增益!$A:$A,增益!$B:$B,0))</f>
        <v>1.7091</v>
      </c>
      <c r="AN90" s="21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1862.48</v>
      </c>
      <c r="AP90" cm="1">
        <f t="array" ref="AP90">$E$10*(1+$AN90)+VLOOKUP($R90,武学奇术!$A:$ZZ,4,FALSE)+SUM(_xlfn.XLOOKUP($S90:$AG90,增益!$A:$A,增益!$D:$D,0))-$I$2</f>
        <v>7794.56</v>
      </c>
      <c r="AQ90" s="26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0.369</v>
      </c>
      <c r="AR90" s="26" cm="1">
        <f t="array" ref="AR90">$G$10+VLOOKUP($R90,武学奇术!$A:$ZZ,7,FALSE)+SUM(_xlfn.XLOOKUP(S90:AG90,增益!$A:$A,增益!$G:$G,0))</f>
        <v>0</v>
      </c>
      <c r="AS90" s="21" cm="1">
        <f t="array" ref="AS90">VLOOKUP($R90,武学奇术!$A:$ZZ,8,FALSE)+SUM(_xlfn.XLOOKUP(S90:AG90,增益!$A:$A,增益!$H:$H,0))</f>
        <v>0</v>
      </c>
      <c r="AT90">
        <f t="shared" si="44"/>
        <v>680.02</v>
      </c>
      <c r="AU90">
        <f t="shared" si="45"/>
        <v>1288.54</v>
      </c>
      <c r="AV90" s="26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0.075</v>
      </c>
      <c r="AW90" s="26" cm="1">
        <f t="array" ref="AW90">$G$11+VLOOKUP($R90,武学奇术!$A:$ZZ,10,FALSE)+SUM(_xlfn.XLOOKUP(S90:AG90,增益!$A:$A,增益!$J:$J,0))</f>
        <v>0.15</v>
      </c>
      <c r="AX90">
        <f t="shared" si="46"/>
        <v>0</v>
      </c>
      <c r="AY90">
        <f t="shared" si="47"/>
        <v>0</v>
      </c>
      <c r="AZ90" s="26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26" cm="1">
        <f t="array" ref="BA90">$G$12+VLOOKUP($R90,武学奇术!$A:$ZZ,12,FALSE)+SUM(_xlfn.XLOOKUP(S90:AG90,增益!$A:$A,增益!$L:$L,0))</f>
        <v>0</v>
      </c>
      <c r="BB90">
        <f t="shared" si="48"/>
        <v>0</v>
      </c>
      <c r="BC90">
        <f t="shared" si="49"/>
        <v>0</v>
      </c>
      <c r="BD90" s="26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26" cm="1">
        <f t="array" ref="BE90">$G$13+VLOOKUP($R90,武学奇术!$A:$ZZ,14,FALSE)+SUM(_xlfn.XLOOKUP(S90:AG90,增益!$A:$A,增益!$N:$N,0))</f>
        <v>0</v>
      </c>
      <c r="BF90">
        <f t="shared" si="50"/>
        <v>0</v>
      </c>
      <c r="BG90">
        <f t="shared" si="51"/>
        <v>0</v>
      </c>
      <c r="BH90" s="26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26" cm="1">
        <f t="array" ref="BI90">$G$14+VLOOKUP($R90,武学奇术!$A:$ZZ,16,FALSE)+SUM(_xlfn.XLOOKUP(S90:AG90,增益!$A:$A,增益!$P:$P,0))</f>
        <v>0</v>
      </c>
      <c r="BJ90" s="21">
        <f>MIN(IF(VLOOKUP($R90,武学奇术!$A:$ZZ,23,FALSE)=1,100%,$B$8),100%)</f>
        <v>0.8229</v>
      </c>
      <c r="BK90" s="21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21" cm="1">
        <f t="array" ref="BL90">1+$B$13+VLOOKUP($R90,武学奇术!$A:$ZZ,18,FALSE)+SUM(_xlfn.XLOOKUP(S90:AG90,增益!$A:$A,增益!$R:$R,0))</f>
        <v>1.5</v>
      </c>
      <c r="BM90" s="21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21" cm="1">
        <f t="array" ref="BN90">1+$B$14+VLOOKUP($R90,武学奇术!$A:$ZZ,20,FALSE)+SUM(_xlfn.XLOOKUP(S90:AG90,增益!$A:$A,增益!$T:$T,0))</f>
        <v>1.782</v>
      </c>
      <c r="BO90" s="21">
        <f t="shared" si="23"/>
        <v>0</v>
      </c>
      <c r="BP90" s="21">
        <f t="shared" si="33"/>
        <v>0</v>
      </c>
      <c r="BQ90" s="21">
        <f>IF(VLOOKUP($R90,武学奇术!$A:$ZZ,22,FALSE)=1,0,(1-$BJ90))*(1-$BM90)</f>
        <v>0</v>
      </c>
      <c r="BR90" s="21" cm="1">
        <f t="array" ref="BR90">SUM(_xlfn.XLOOKUP(S90:AG90,增益!$A:$A,增益!$W:$W,0))+$I$5</f>
        <v>0.06</v>
      </c>
    </row>
    <row r="91" spans="5:70">
      <c r="K91" s="24">
        <f>$L91*VLOOKUP($R91,武学奇术!$A:$ZZ,31,FALSE)</f>
        <v>28940.933595541</v>
      </c>
      <c r="L91" s="24">
        <f t="shared" si="43"/>
        <v>28940.933595541</v>
      </c>
      <c r="M91" s="24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25982.704187999</v>
      </c>
      <c r="N91" s="24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41395.3198826994</v>
      </c>
      <c r="O91" s="24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17321.8027919994</v>
      </c>
      <c r="P91" s="24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8803.83037632115</v>
      </c>
      <c r="Q91" s="31">
        <v>1</v>
      </c>
      <c r="R91" s="32" t="s">
        <v>124</v>
      </c>
      <c r="S91" s="32" t="s">
        <v>87</v>
      </c>
      <c r="T91" s="32" t="s">
        <v>104</v>
      </c>
      <c r="U91" s="32" t="s">
        <v>73</v>
      </c>
      <c r="V91" s="32" t="s">
        <v>73</v>
      </c>
      <c r="W91" s="32" t="s">
        <v>111</v>
      </c>
      <c r="X91" s="32" t="s">
        <v>127</v>
      </c>
      <c r="Y91" s="32" t="s">
        <v>73</v>
      </c>
      <c r="Z91" s="32" t="s">
        <v>73</v>
      </c>
      <c r="AA91" s="32" t="s">
        <v>81</v>
      </c>
      <c r="AB91" s="32" t="s">
        <v>75</v>
      </c>
      <c r="AC91" s="32" t="s">
        <v>76</v>
      </c>
      <c r="AD91" s="32" t="s">
        <v>82</v>
      </c>
      <c r="AE91" s="32" t="s">
        <v>90</v>
      </c>
      <c r="AF91" s="32" t="s">
        <v>73</v>
      </c>
      <c r="AG91" s="32" t="s">
        <v>178</v>
      </c>
      <c r="AH91" t="str">
        <f>VLOOKUP($R91,武学奇术!$A:$ZZ,25,FALSE)</f>
        <v>剑</v>
      </c>
      <c r="AI91" s="21">
        <f>VLOOKUP($R91,武学奇术!$A:$ZZ,26,FALSE)</f>
        <v>0.94015</v>
      </c>
      <c r="AJ91" s="22">
        <f>VLOOKUP($R91,武学奇术!$A:$ZZ,27,FALSE)*(1+IF(OR($AH91=$F$4,$AH91=$F$5),$B$22,0))</f>
        <v>390</v>
      </c>
      <c r="AK91" s="21">
        <f>VLOOKUP($R91,武学奇术!$A:$ZZ,28,FALSE)</f>
        <v>1.41025</v>
      </c>
      <c r="AL91" s="22">
        <f>VLOOKUP($R91,武学奇术!$A:$ZZ,29,FALSE)*(1+IF(OR($AH91=$F$4,$AH91=$F$5),$B$22,0))</f>
        <v>212.25</v>
      </c>
      <c r="AM91" s="21" cm="1">
        <f t="array" ref="AM91">$G$3+IFERROR(VLOOKUP($AH91,$F$4:$G$7,2,FALSE),0)+VLOOKUP($R91,武学奇术!$A:$ZZ,2,FALSE)+SUM(_xlfn.XLOOKUP($S91:$AG91,增益!$A:$A,增益!$B:$B,0))</f>
        <v>0.9591</v>
      </c>
      <c r="AN91" s="21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1862.48</v>
      </c>
      <c r="AP91" cm="1">
        <f t="array" ref="AP91">$E$10*(1+$AN91)+VLOOKUP($R91,武学奇术!$A:$ZZ,4,FALSE)+SUM(_xlfn.XLOOKUP($S91:$AG91,增益!$A:$A,增益!$D:$D,0))-$I$2</f>
        <v>7794.56</v>
      </c>
      <c r="AQ91" s="26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0.294</v>
      </c>
      <c r="AR91" s="26" cm="1">
        <f t="array" ref="AR91">$G$10+VLOOKUP($R91,武学奇术!$A:$ZZ,7,FALSE)+SUM(_xlfn.XLOOKUP(S91:AG91,增益!$A:$A,增益!$G:$G,0))</f>
        <v>0</v>
      </c>
      <c r="AS91" s="21" cm="1">
        <f t="array" ref="AS91">VLOOKUP($R91,武学奇术!$A:$ZZ,8,FALSE)+SUM(_xlfn.XLOOKUP(S91:AG91,增益!$A:$A,增益!$H:$H,0))</f>
        <v>0</v>
      </c>
      <c r="AT91">
        <f t="shared" si="44"/>
        <v>680.02</v>
      </c>
      <c r="AU91">
        <f t="shared" si="45"/>
        <v>1288.54</v>
      </c>
      <c r="AV91" s="26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26" cm="1">
        <f t="array" ref="AW91">$G$11+VLOOKUP($R91,武学奇术!$A:$ZZ,10,FALSE)+SUM(_xlfn.XLOOKUP(S91:AG91,增益!$A:$A,增益!$J:$J,0))</f>
        <v>0.15</v>
      </c>
      <c r="AX91">
        <f t="shared" si="46"/>
        <v>0</v>
      </c>
      <c r="AY91">
        <f t="shared" si="47"/>
        <v>0</v>
      </c>
      <c r="AZ91" s="26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26" cm="1">
        <f t="array" ref="BA91">$G$12+VLOOKUP($R91,武学奇术!$A:$ZZ,12,FALSE)+SUM(_xlfn.XLOOKUP(S91:AG91,增益!$A:$A,增益!$L:$L,0))</f>
        <v>0</v>
      </c>
      <c r="BB91">
        <f t="shared" si="48"/>
        <v>0</v>
      </c>
      <c r="BC91">
        <f t="shared" si="49"/>
        <v>0</v>
      </c>
      <c r="BD91" s="26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26" cm="1">
        <f t="array" ref="BE91">$G$13+VLOOKUP($R91,武学奇术!$A:$ZZ,14,FALSE)+SUM(_xlfn.XLOOKUP(S91:AG91,增益!$A:$A,增益!$N:$N,0))</f>
        <v>0</v>
      </c>
      <c r="BF91">
        <f t="shared" si="50"/>
        <v>0</v>
      </c>
      <c r="BG91">
        <f t="shared" si="51"/>
        <v>0</v>
      </c>
      <c r="BH91" s="26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26" cm="1">
        <f t="array" ref="BI91">$G$14+VLOOKUP($R91,武学奇术!$A:$ZZ,16,FALSE)+SUM(_xlfn.XLOOKUP(S91:AG91,增益!$A:$A,增益!$P:$P,0))</f>
        <v>0</v>
      </c>
      <c r="BJ91" s="21">
        <f>MIN(IF(VLOOKUP($R91,武学奇术!$A:$ZZ,23,FALSE)=1,100%,$B$8),100%)</f>
        <v>0.8229</v>
      </c>
      <c r="BK91" s="21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0.2285</v>
      </c>
      <c r="BL91" s="21" cm="1">
        <f t="array" ref="BL91">1+$B$13+VLOOKUP($R91,武学奇术!$A:$ZZ,18,FALSE)+SUM(_xlfn.XLOOKUP(S91:AG91,增益!$A:$A,增益!$R:$R,0))</f>
        <v>1.5</v>
      </c>
      <c r="BM91" s="21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0.4495</v>
      </c>
      <c r="BN91" s="21" cm="1">
        <f t="array" ref="BN91">1+$B$14+VLOOKUP($R91,武学奇术!$A:$ZZ,20,FALSE)+SUM(_xlfn.XLOOKUP(S91:AG91,增益!$A:$A,增益!$T:$T,0))</f>
        <v>1.602</v>
      </c>
      <c r="BO91" s="21">
        <f t="shared" si="23"/>
        <v>0.18803265</v>
      </c>
      <c r="BP91" s="21">
        <f t="shared" si="33"/>
        <v>0.2649738</v>
      </c>
      <c r="BQ91" s="21">
        <f>IF(VLOOKUP($R91,武学奇术!$A:$ZZ,22,FALSE)=1,0,(1-$BJ91))*(1-$BM91)</f>
        <v>0.09749355</v>
      </c>
      <c r="BR91" s="21" cm="1">
        <f t="array" ref="BR91">SUM(_xlfn.XLOOKUP(S91:AG91,增益!$A:$A,增益!$W:$W,0))+$I$5</f>
        <v>0.06</v>
      </c>
    </row>
    <row r="92" spans="5:70">
      <c r="K92" s="24">
        <f>$L92*VLOOKUP($R92,武学奇术!$A:$ZZ,31,FALSE)</f>
        <v>64023.4742527809</v>
      </c>
      <c r="L92" s="24">
        <f t="shared" si="43"/>
        <v>106705.790421301</v>
      </c>
      <c r="M92" s="24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87405.2236884561</v>
      </c>
      <c r="N92" s="24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160765.961964159</v>
      </c>
      <c r="O92" s="24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58270.1491256374</v>
      </c>
      <c r="P92" s="24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26323.7090457983</v>
      </c>
      <c r="Q92" s="31">
        <v>1</v>
      </c>
      <c r="R92" s="32" t="s">
        <v>95</v>
      </c>
      <c r="S92" s="32" t="s">
        <v>87</v>
      </c>
      <c r="T92" s="32" t="s">
        <v>104</v>
      </c>
      <c r="U92" s="32" t="s">
        <v>73</v>
      </c>
      <c r="V92" s="32" t="s">
        <v>73</v>
      </c>
      <c r="W92" s="32" t="s">
        <v>111</v>
      </c>
      <c r="X92" s="32" t="s">
        <v>127</v>
      </c>
      <c r="Y92" s="32" t="s">
        <v>73</v>
      </c>
      <c r="Z92" s="32" t="s">
        <v>73</v>
      </c>
      <c r="AA92" s="32" t="s">
        <v>81</v>
      </c>
      <c r="AB92" s="32" t="s">
        <v>75</v>
      </c>
      <c r="AC92" s="32" t="s">
        <v>76</v>
      </c>
      <c r="AD92" s="32" t="s">
        <v>82</v>
      </c>
      <c r="AE92" s="32" t="s">
        <v>90</v>
      </c>
      <c r="AF92" s="32" t="s">
        <v>73</v>
      </c>
      <c r="AG92" s="32" t="s">
        <v>178</v>
      </c>
      <c r="AH92" t="str">
        <f>VLOOKUP($R92,武学奇术!$A:$ZZ,25,FALSE)</f>
        <v>剑</v>
      </c>
      <c r="AI92" s="21">
        <f>VLOOKUP($R92,武学奇术!$A:$ZZ,26,FALSE)</f>
        <v>2.52</v>
      </c>
      <c r="AJ92" s="22">
        <f>VLOOKUP($R92,武学奇术!$A:$ZZ,27,FALSE)*(1+IF(OR($AH92=$F$4,$AH92=$F$5),$B$22,0))</f>
        <v>0</v>
      </c>
      <c r="AK92" s="21">
        <f>VLOOKUP($R92,武学奇术!$A:$ZZ,28,FALSE)</f>
        <v>3.78</v>
      </c>
      <c r="AL92" s="22">
        <f>VLOOKUP($R92,武学奇术!$A:$ZZ,29,FALSE)*(1+IF(OR($AH92=$F$4,$AH92=$F$5),$B$22,0))</f>
        <v>0</v>
      </c>
      <c r="AM92" s="21" cm="1">
        <f t="array" ref="AM92">$G$3+IFERROR(VLOOKUP($AH92,$F$4:$G$7,2,FALSE),0)+VLOOKUP($R92,武学奇术!$A:$ZZ,2,FALSE)+SUM(_xlfn.XLOOKUP($S92:$AG92,增益!$A:$A,增益!$B:$B,0))</f>
        <v>0.9591</v>
      </c>
      <c r="AN92" s="21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1862.48</v>
      </c>
      <c r="AP92" cm="1">
        <f t="array" ref="AP92">$E$10*(1+$AN92)+VLOOKUP($R92,武学奇术!$A:$ZZ,4,FALSE)+SUM(_xlfn.XLOOKUP($S92:$AG92,增益!$A:$A,增益!$D:$D,0))-$I$2</f>
        <v>7794.56</v>
      </c>
      <c r="AQ92" s="26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0.369</v>
      </c>
      <c r="AR92" s="26" cm="1">
        <f t="array" ref="AR92">$G$10+VLOOKUP($R92,武学奇术!$A:$ZZ,7,FALSE)+SUM(_xlfn.XLOOKUP(S92:AG92,增益!$A:$A,增益!$G:$G,0))</f>
        <v>0</v>
      </c>
      <c r="AS92" s="21" cm="1">
        <f t="array" ref="AS92">VLOOKUP($R92,武学奇术!$A:$ZZ,8,FALSE)+SUM(_xlfn.XLOOKUP(S92:AG92,增益!$A:$A,增益!$H:$H,0))</f>
        <v>0</v>
      </c>
      <c r="AT92">
        <f t="shared" si="44"/>
        <v>680.02</v>
      </c>
      <c r="AU92">
        <f t="shared" si="45"/>
        <v>1288.54</v>
      </c>
      <c r="AV92" s="26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0.075</v>
      </c>
      <c r="AW92" s="26" cm="1">
        <f t="array" ref="AW92">$G$11+VLOOKUP($R92,武学奇术!$A:$ZZ,10,FALSE)+SUM(_xlfn.XLOOKUP(S92:AG92,增益!$A:$A,增益!$J:$J,0))</f>
        <v>0.15</v>
      </c>
      <c r="AX92">
        <f t="shared" si="46"/>
        <v>0</v>
      </c>
      <c r="AY92">
        <f t="shared" si="47"/>
        <v>0</v>
      </c>
      <c r="AZ92" s="26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26" cm="1">
        <f t="array" ref="BA92">$G$12+VLOOKUP($R92,武学奇术!$A:$ZZ,12,FALSE)+SUM(_xlfn.XLOOKUP(S92:AG92,增益!$A:$A,增益!$L:$L,0))</f>
        <v>0</v>
      </c>
      <c r="BB92">
        <f t="shared" si="48"/>
        <v>0</v>
      </c>
      <c r="BC92">
        <f t="shared" si="49"/>
        <v>0</v>
      </c>
      <c r="BD92" s="26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26" cm="1">
        <f t="array" ref="BE92">$G$13+VLOOKUP($R92,武学奇术!$A:$ZZ,14,FALSE)+SUM(_xlfn.XLOOKUP(S92:AG92,增益!$A:$A,增益!$N:$N,0))</f>
        <v>0</v>
      </c>
      <c r="BF92">
        <f t="shared" si="50"/>
        <v>0</v>
      </c>
      <c r="BG92">
        <f t="shared" si="51"/>
        <v>0</v>
      </c>
      <c r="BH92" s="26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26" cm="1">
        <f t="array" ref="BI92">$G$14+VLOOKUP($R92,武学奇术!$A:$ZZ,16,FALSE)+SUM(_xlfn.XLOOKUP(S92:AG92,增益!$A:$A,增益!$P:$P,0))</f>
        <v>0</v>
      </c>
      <c r="BJ92" s="21">
        <f>MIN(IF(VLOOKUP($R92,武学奇术!$A:$ZZ,23,FALSE)=1,100%,$B$8),100%)</f>
        <v>0.8229</v>
      </c>
      <c r="BK92" s="21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0.2285</v>
      </c>
      <c r="BL92" s="21" cm="1">
        <f t="array" ref="BL92">1+$B$13+VLOOKUP($R92,武学奇术!$A:$ZZ,18,FALSE)+SUM(_xlfn.XLOOKUP(S92:AG92,增益!$A:$A,增益!$R:$R,0))</f>
        <v>1.5</v>
      </c>
      <c r="BM92" s="21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0.4495</v>
      </c>
      <c r="BN92" s="21" cm="1">
        <f t="array" ref="BN92">1+$B$14+VLOOKUP($R92,武学奇术!$A:$ZZ,20,FALSE)+SUM(_xlfn.XLOOKUP(S92:AG92,增益!$A:$A,增益!$T:$T,0))</f>
        <v>1.782</v>
      </c>
      <c r="BO92" s="21">
        <f t="shared" si="23"/>
        <v>0.18803265</v>
      </c>
      <c r="BP92" s="21">
        <f t="shared" si="33"/>
        <v>0.2649738</v>
      </c>
      <c r="BQ92" s="21">
        <f>IF(VLOOKUP($R92,武学奇术!$A:$ZZ,22,FALSE)=1,0,(1-$BJ92))*(1-$BM92)</f>
        <v>0.09749355</v>
      </c>
      <c r="BR92" s="21" cm="1">
        <f t="array" ref="BR92">SUM(_xlfn.XLOOKUP(S92:AG92,增益!$A:$A,增益!$W:$W,0))+$I$5</f>
        <v>0.06</v>
      </c>
    </row>
    <row r="93" spans="5:70">
      <c r="K93" s="24">
        <f>$L93*VLOOKUP($R93,武学奇术!$A:$ZZ,31,FALSE)</f>
        <v>22901.2735202714</v>
      </c>
      <c r="L93" s="24">
        <f t="shared" si="43"/>
        <v>22901.2735202714</v>
      </c>
      <c r="M93" s="24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20130.3997652042</v>
      </c>
      <c r="N93" s="24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33303.8713327661</v>
      </c>
      <c r="O93" s="24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13420.2665101362</v>
      </c>
      <c r="P93" s="24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6051.59960406376</v>
      </c>
      <c r="Q93" s="31">
        <v>1</v>
      </c>
      <c r="R93" s="32" t="s">
        <v>192</v>
      </c>
      <c r="S93" s="32" t="s">
        <v>87</v>
      </c>
      <c r="T93" s="32" t="s">
        <v>104</v>
      </c>
      <c r="U93" s="32" t="s">
        <v>73</v>
      </c>
      <c r="V93" s="32" t="s">
        <v>73</v>
      </c>
      <c r="W93" s="32" t="s">
        <v>111</v>
      </c>
      <c r="X93" s="32" t="s">
        <v>127</v>
      </c>
      <c r="Y93" s="32" t="s">
        <v>73</v>
      </c>
      <c r="Z93" s="32" t="s">
        <v>73</v>
      </c>
      <c r="AA93" s="32" t="s">
        <v>81</v>
      </c>
      <c r="AB93" s="32" t="s">
        <v>75</v>
      </c>
      <c r="AC93" s="32" t="s">
        <v>76</v>
      </c>
      <c r="AD93" s="32" t="s">
        <v>82</v>
      </c>
      <c r="AE93" s="32" t="s">
        <v>90</v>
      </c>
      <c r="AF93" s="32" t="s">
        <v>73</v>
      </c>
      <c r="AG93" s="32" t="s">
        <v>178</v>
      </c>
      <c r="AH93" t="str">
        <f>VLOOKUP($R93,武学奇术!$A:$ZZ,25,FALSE)</f>
        <v>剑</v>
      </c>
      <c r="AI93" s="21">
        <f>VLOOKUP($R93,武学奇术!$A:$ZZ,26,FALSE)</f>
        <v>0.8133</v>
      </c>
      <c r="AJ93" s="22">
        <f>VLOOKUP($R93,武学奇术!$A:$ZZ,27,FALSE)*(1+IF(OR($AH93=$F$4,$AH93=$F$5),$B$22,0))</f>
        <v>0</v>
      </c>
      <c r="AK93" s="21">
        <f>VLOOKUP($R93,武学奇术!$A:$ZZ,28,FALSE)</f>
        <v>1.21995</v>
      </c>
      <c r="AL93" s="22">
        <f>VLOOKUP($R93,武学奇术!$A:$ZZ,29,FALSE)*(1+IF(OR($AH93=$F$4,$AH93=$F$5),$B$22,0))</f>
        <v>0</v>
      </c>
      <c r="AM93" s="21" cm="1">
        <f t="array" ref="AM93">$G$3+IFERROR(VLOOKUP($AH93,$F$4:$G$7,2,FALSE),0)+VLOOKUP($R93,武学奇术!$A:$ZZ,2,FALSE)+SUM(_xlfn.XLOOKUP($S93:$AG93,增益!$A:$A,增益!$B:$B,0))</f>
        <v>0.9591</v>
      </c>
      <c r="AN93" s="21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1862.48</v>
      </c>
      <c r="AP93" cm="1">
        <f t="array" ref="AP93">$E$10*(1+$AN93)+VLOOKUP($R93,武学奇术!$A:$ZZ,4,FALSE)+SUM(_xlfn.XLOOKUP($S93:$AG93,增益!$A:$A,增益!$D:$D,0))-$I$2</f>
        <v>7794.56</v>
      </c>
      <c r="AQ93" s="26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0.294</v>
      </c>
      <c r="AR93" s="26" cm="1">
        <f t="array" ref="AR93">$G$10+VLOOKUP($R93,武学奇术!$A:$ZZ,7,FALSE)+SUM(_xlfn.XLOOKUP(S93:AG93,增益!$A:$A,增益!$G:$G,0))</f>
        <v>0</v>
      </c>
      <c r="AS93" s="21" cm="1">
        <f t="array" ref="AS93">VLOOKUP($R93,武学奇术!$A:$ZZ,8,FALSE)+SUM(_xlfn.XLOOKUP(S93:AG93,增益!$A:$A,增益!$H:$H,0))</f>
        <v>0</v>
      </c>
      <c r="AT93">
        <f t="shared" si="44"/>
        <v>680.02</v>
      </c>
      <c r="AU93">
        <f t="shared" si="45"/>
        <v>1288.54</v>
      </c>
      <c r="AV93" s="26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26" cm="1">
        <f t="array" ref="AW93">$G$11+VLOOKUP($R93,武学奇术!$A:$ZZ,10,FALSE)+SUM(_xlfn.XLOOKUP(S93:AG93,增益!$A:$A,增益!$J:$J,0))</f>
        <v>0.15</v>
      </c>
      <c r="AX93">
        <f t="shared" si="46"/>
        <v>0</v>
      </c>
      <c r="AY93">
        <f t="shared" si="47"/>
        <v>0</v>
      </c>
      <c r="AZ93" s="26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26" cm="1">
        <f t="array" ref="BA93">$G$12+VLOOKUP($R93,武学奇术!$A:$ZZ,12,FALSE)+SUM(_xlfn.XLOOKUP(S93:AG93,增益!$A:$A,增益!$L:$L,0))</f>
        <v>0</v>
      </c>
      <c r="BB93">
        <f t="shared" si="48"/>
        <v>0</v>
      </c>
      <c r="BC93">
        <f t="shared" si="49"/>
        <v>0</v>
      </c>
      <c r="BD93" s="26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26" cm="1">
        <f t="array" ref="BE93">$G$13+VLOOKUP($R93,武学奇术!$A:$ZZ,14,FALSE)+SUM(_xlfn.XLOOKUP(S93:AG93,增益!$A:$A,增益!$N:$N,0))</f>
        <v>0</v>
      </c>
      <c r="BF93">
        <f t="shared" si="50"/>
        <v>0</v>
      </c>
      <c r="BG93">
        <f t="shared" si="51"/>
        <v>0</v>
      </c>
      <c r="BH93" s="26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26" cm="1">
        <f t="array" ref="BI93">$G$14+VLOOKUP($R93,武学奇术!$A:$ZZ,16,FALSE)+SUM(_xlfn.XLOOKUP(S93:AG93,增益!$A:$A,增益!$P:$P,0))</f>
        <v>0</v>
      </c>
      <c r="BJ93" s="21">
        <f>MIN(IF(VLOOKUP($R93,武学奇术!$A:$ZZ,23,FALSE)=1,100%,$B$8),100%)</f>
        <v>0.8229</v>
      </c>
      <c r="BK93" s="21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0.2285</v>
      </c>
      <c r="BL93" s="21" cm="1">
        <f t="array" ref="BL93">1+$B$13+VLOOKUP($R93,武学奇术!$A:$ZZ,18,FALSE)+SUM(_xlfn.XLOOKUP(S93:AG93,增益!$A:$A,增益!$R:$R,0))</f>
        <v>1.5</v>
      </c>
      <c r="BM93" s="21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0.4495</v>
      </c>
      <c r="BN93" s="21" cm="1">
        <f t="array" ref="BN93">1+$B$14+VLOOKUP($R93,武学奇术!$A:$ZZ,20,FALSE)+SUM(_xlfn.XLOOKUP(S93:AG93,增益!$A:$A,增益!$T:$T,0))</f>
        <v>1.602</v>
      </c>
      <c r="BO93" s="21">
        <f t="shared" si="23"/>
        <v>0.18803265</v>
      </c>
      <c r="BP93" s="21">
        <f t="shared" si="33"/>
        <v>0.2649738</v>
      </c>
      <c r="BQ93" s="21">
        <f>IF(VLOOKUP($R93,武学奇术!$A:$ZZ,22,FALSE)=1,0,(1-$BJ93))*(1-$BM93)</f>
        <v>0.09749355</v>
      </c>
      <c r="BR93" s="21" cm="1">
        <f t="array" ref="BR93">SUM(_xlfn.XLOOKUP(S93:AG93,增益!$A:$A,增益!$W:$W,0))+$I$5</f>
        <v>0.06</v>
      </c>
    </row>
    <row r="94" spans="5:70">
      <c r="K94" s="24">
        <f>$L94*VLOOKUP($R94,武学奇术!$A:$ZZ,31,FALSE)</f>
        <v>29005.6542698227</v>
      </c>
      <c r="L94" s="24">
        <f t="shared" si="43"/>
        <v>29005.6542698227</v>
      </c>
      <c r="M94" s="24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25651.5476944094</v>
      </c>
      <c r="N94" s="24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41983.3535451502</v>
      </c>
      <c r="O94" s="24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17101.0317962729</v>
      </c>
      <c r="P94" s="24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7995.22617360072</v>
      </c>
      <c r="Q94" s="31">
        <v>1</v>
      </c>
      <c r="R94" s="32" t="s">
        <v>143</v>
      </c>
      <c r="S94" s="32" t="s">
        <v>87</v>
      </c>
      <c r="T94" s="32" t="s">
        <v>104</v>
      </c>
      <c r="U94" s="32" t="s">
        <v>73</v>
      </c>
      <c r="V94" s="32" t="s">
        <v>73</v>
      </c>
      <c r="W94" s="32" t="s">
        <v>111</v>
      </c>
      <c r="X94" s="32" t="s">
        <v>127</v>
      </c>
      <c r="Y94" s="32" t="s">
        <v>73</v>
      </c>
      <c r="Z94" s="32" t="s">
        <v>73</v>
      </c>
      <c r="AA94" s="32" t="s">
        <v>81</v>
      </c>
      <c r="AB94" s="32" t="s">
        <v>75</v>
      </c>
      <c r="AC94" s="32" t="s">
        <v>76</v>
      </c>
      <c r="AD94" s="32" t="s">
        <v>82</v>
      </c>
      <c r="AE94" s="32" t="s">
        <v>90</v>
      </c>
      <c r="AF94" s="32" t="s">
        <v>73</v>
      </c>
      <c r="AG94" s="32" t="s">
        <v>178</v>
      </c>
      <c r="AH94" t="str">
        <f>VLOOKUP($R94,武学奇术!$A:$ZZ,25,FALSE)</f>
        <v>单体奇术</v>
      </c>
      <c r="AI94" s="21">
        <f>VLOOKUP($R94,武学奇术!$A:$ZZ,26,FALSE)</f>
        <v>1.0239</v>
      </c>
      <c r="AJ94" s="22">
        <f>VLOOKUP($R94,武学奇术!$A:$ZZ,27,FALSE)*(1+IF(OR($AH94=$F$4,$AH94=$F$5),$B$22,0))</f>
        <v>196</v>
      </c>
      <c r="AK94" s="21">
        <f>VLOOKUP($R94,武学奇术!$A:$ZZ,28,FALSE)</f>
        <v>1.53585</v>
      </c>
      <c r="AL94" s="22">
        <f>VLOOKUP($R94,武学奇术!$A:$ZZ,29,FALSE)*(1+IF(OR($AH94=$F$4,$AH94=$F$5),$B$22,0))</f>
        <v>0</v>
      </c>
      <c r="AM94" s="21" cm="1">
        <f t="array" ref="AM94">$G$3+IFERROR(VLOOKUP($AH94,$F$4:$G$7,2,FALSE),0)+VLOOKUP($R94,武学奇术!$A:$ZZ,2,FALSE)+SUM(_xlfn.XLOOKUP($S94:$AG94,增益!$A:$A,增益!$B:$B,0))</f>
        <v>0.923</v>
      </c>
      <c r="AN94" s="21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1862.48</v>
      </c>
      <c r="AP94" cm="1">
        <f t="array" ref="AP94">$E$10*(1+$AN94)+VLOOKUP($R94,武学奇术!$A:$ZZ,4,FALSE)+SUM(_xlfn.XLOOKUP($S94:$AG94,增益!$A:$A,增益!$D:$D,0))-$I$2</f>
        <v>7794.56</v>
      </c>
      <c r="AQ94" s="26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0.294</v>
      </c>
      <c r="AR94" s="26" cm="1">
        <f t="array" ref="AR94">$G$10+VLOOKUP($R94,武学奇术!$A:$ZZ,7,FALSE)+SUM(_xlfn.XLOOKUP(S94:AG94,增益!$A:$A,增益!$G:$G,0))</f>
        <v>0</v>
      </c>
      <c r="AS94" s="21" cm="1">
        <f t="array" ref="AS94">VLOOKUP($R94,武学奇术!$A:$ZZ,8,FALSE)+SUM(_xlfn.XLOOKUP(S94:AG94,增益!$A:$A,增益!$H:$H,0))</f>
        <v>0</v>
      </c>
      <c r="AT94">
        <f t="shared" si="44"/>
        <v>680.02</v>
      </c>
      <c r="AU94">
        <f t="shared" si="45"/>
        <v>1288.54</v>
      </c>
      <c r="AV94" s="26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26" cm="1">
        <f t="array" ref="AW94">$G$11+VLOOKUP($R94,武学奇术!$A:$ZZ,10,FALSE)+SUM(_xlfn.XLOOKUP(S94:AG94,增益!$A:$A,增益!$J:$J,0))</f>
        <v>0.15</v>
      </c>
      <c r="AX94">
        <f t="shared" si="46"/>
        <v>0</v>
      </c>
      <c r="AY94">
        <f t="shared" si="47"/>
        <v>0</v>
      </c>
      <c r="AZ94" s="26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26" cm="1">
        <f t="array" ref="BA94">$G$12+VLOOKUP($R94,武学奇术!$A:$ZZ,12,FALSE)+SUM(_xlfn.XLOOKUP(S94:AG94,增益!$A:$A,增益!$L:$L,0))</f>
        <v>0</v>
      </c>
      <c r="BB94">
        <f t="shared" si="48"/>
        <v>0</v>
      </c>
      <c r="BC94">
        <f t="shared" si="49"/>
        <v>0</v>
      </c>
      <c r="BD94" s="26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26" cm="1">
        <f t="array" ref="BE94">$G$13+VLOOKUP($R94,武学奇术!$A:$ZZ,14,FALSE)+SUM(_xlfn.XLOOKUP(S94:AG94,增益!$A:$A,增益!$N:$N,0))</f>
        <v>0</v>
      </c>
      <c r="BF94">
        <f t="shared" si="50"/>
        <v>0</v>
      </c>
      <c r="BG94">
        <f t="shared" si="51"/>
        <v>0</v>
      </c>
      <c r="BH94" s="26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26" cm="1">
        <f t="array" ref="BI94">$G$14+VLOOKUP($R94,武学奇术!$A:$ZZ,16,FALSE)+SUM(_xlfn.XLOOKUP(S94:AG94,增益!$A:$A,增益!$P:$P,0))</f>
        <v>0</v>
      </c>
      <c r="BJ94" s="21">
        <f>MIN(IF(VLOOKUP($R94,武学奇术!$A:$ZZ,23,FALSE)=1,100%,$B$8),100%)</f>
        <v>0.8229</v>
      </c>
      <c r="BK94" s="21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0.2285</v>
      </c>
      <c r="BL94" s="21" cm="1">
        <f t="array" ref="BL94">1+$B$13+VLOOKUP($R94,武学奇术!$A:$ZZ,18,FALSE)+SUM(_xlfn.XLOOKUP(S94:AG94,增益!$A:$A,增益!$R:$R,0))</f>
        <v>1.5</v>
      </c>
      <c r="BM94" s="21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0.4495</v>
      </c>
      <c r="BN94" s="21" cm="1">
        <f t="array" ref="BN94">1+$B$14+VLOOKUP($R94,武学奇术!$A:$ZZ,20,FALSE)+SUM(_xlfn.XLOOKUP(S94:AG94,增益!$A:$A,增益!$T:$T,0))</f>
        <v>1.602</v>
      </c>
      <c r="BO94" s="21">
        <f t="shared" si="23"/>
        <v>0.18803265</v>
      </c>
      <c r="BP94" s="21">
        <f t="shared" si="33"/>
        <v>0.2649738</v>
      </c>
      <c r="BQ94" s="21">
        <f>IF(VLOOKUP($R94,武学奇术!$A:$ZZ,22,FALSE)=1,0,(1-$BJ94))*(1-$BM94)</f>
        <v>0.09749355</v>
      </c>
      <c r="BR94" s="21" cm="1">
        <f t="array" ref="BR94">SUM(_xlfn.XLOOKUP(S94:AG94,增益!$A:$A,增益!$W:$W,0))+$I$5</f>
        <v>0.06</v>
      </c>
    </row>
    <row r="95" spans="5:70">
      <c r="K95" s="24">
        <f>$L95*VLOOKUP($R95,武学奇术!$A:$ZZ,31,FALSE)</f>
        <v>45580.7087038138</v>
      </c>
      <c r="L95" s="24">
        <f t="shared" si="43"/>
        <v>45580.7087038138</v>
      </c>
      <c r="M95" s="24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40309.9220257028</v>
      </c>
      <c r="N95" s="24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65974.4154923745</v>
      </c>
      <c r="O95" s="24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26873.2813504686</v>
      </c>
      <c r="P95" s="24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12564.031182601</v>
      </c>
      <c r="Q95" s="31">
        <v>1</v>
      </c>
      <c r="R95" s="32" t="s">
        <v>146</v>
      </c>
      <c r="S95" s="32" t="s">
        <v>87</v>
      </c>
      <c r="T95" s="32" t="s">
        <v>104</v>
      </c>
      <c r="U95" s="32" t="s">
        <v>73</v>
      </c>
      <c r="V95" s="32" t="s">
        <v>73</v>
      </c>
      <c r="W95" s="32" t="s">
        <v>111</v>
      </c>
      <c r="X95" s="32" t="s">
        <v>127</v>
      </c>
      <c r="Y95" s="32" t="s">
        <v>73</v>
      </c>
      <c r="Z95" s="32" t="s">
        <v>73</v>
      </c>
      <c r="AA95" s="32" t="s">
        <v>81</v>
      </c>
      <c r="AB95" s="32" t="s">
        <v>75</v>
      </c>
      <c r="AC95" s="32" t="s">
        <v>76</v>
      </c>
      <c r="AD95" s="32" t="s">
        <v>82</v>
      </c>
      <c r="AE95" s="32" t="s">
        <v>90</v>
      </c>
      <c r="AF95" s="32" t="s">
        <v>73</v>
      </c>
      <c r="AG95" s="32" t="s">
        <v>178</v>
      </c>
      <c r="AH95" t="str">
        <f>VLOOKUP($R95,武学奇术!$A:$ZZ,25,FALSE)</f>
        <v>单体奇术</v>
      </c>
      <c r="AI95" s="21">
        <f>VLOOKUP($R95,武学奇术!$A:$ZZ,26,FALSE)</f>
        <v>1.609</v>
      </c>
      <c r="AJ95" s="22">
        <f>VLOOKUP($R95,武学奇术!$A:$ZZ,27,FALSE)*(1+IF(OR($AH95=$F$4,$AH95=$F$5),$B$22,0))</f>
        <v>308</v>
      </c>
      <c r="AK95" s="21">
        <f>VLOOKUP($R95,武学奇术!$A:$ZZ,28,FALSE)</f>
        <v>2.4135</v>
      </c>
      <c r="AL95" s="22">
        <f>VLOOKUP($R95,武学奇术!$A:$ZZ,29,FALSE)*(1+IF(OR($AH95=$F$4,$AH95=$F$5),$B$22,0))</f>
        <v>0</v>
      </c>
      <c r="AM95" s="21" cm="1">
        <f t="array" ref="AM95">$G$3+IFERROR(VLOOKUP($AH95,$F$4:$G$7,2,FALSE),0)+VLOOKUP($R95,武学奇术!$A:$ZZ,2,FALSE)+SUM(_xlfn.XLOOKUP($S95:$AG95,增益!$A:$A,增益!$B:$B,0))</f>
        <v>0.923</v>
      </c>
      <c r="AN95" s="21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1862.48</v>
      </c>
      <c r="AP95" cm="1">
        <f t="array" ref="AP95">$E$10*(1+$AN95)+VLOOKUP($R95,武学奇术!$A:$ZZ,4,FALSE)+SUM(_xlfn.XLOOKUP($S95:$AG95,增益!$A:$A,增益!$D:$D,0))-$I$2</f>
        <v>7794.56</v>
      </c>
      <c r="AQ95" s="26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0.294</v>
      </c>
      <c r="AR95" s="26" cm="1">
        <f t="array" ref="AR95">$G$10+VLOOKUP($R95,武学奇术!$A:$ZZ,7,FALSE)+SUM(_xlfn.XLOOKUP(S95:AG95,增益!$A:$A,增益!$G:$G,0))</f>
        <v>0</v>
      </c>
      <c r="AS95" s="21" cm="1">
        <f t="array" ref="AS95">VLOOKUP($R95,武学奇术!$A:$ZZ,8,FALSE)+SUM(_xlfn.XLOOKUP(S95:AG95,增益!$A:$A,增益!$H:$H,0))</f>
        <v>0</v>
      </c>
      <c r="AT95">
        <f t="shared" si="44"/>
        <v>680.02</v>
      </c>
      <c r="AU95">
        <f t="shared" si="45"/>
        <v>1288.54</v>
      </c>
      <c r="AV95" s="26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26" cm="1">
        <f t="array" ref="AW95">$G$11+VLOOKUP($R95,武学奇术!$A:$ZZ,10,FALSE)+SUM(_xlfn.XLOOKUP(S95:AG95,增益!$A:$A,增益!$J:$J,0))</f>
        <v>0.15</v>
      </c>
      <c r="AX95">
        <f t="shared" si="46"/>
        <v>0</v>
      </c>
      <c r="AY95">
        <f t="shared" si="47"/>
        <v>0</v>
      </c>
      <c r="AZ95" s="26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26" cm="1">
        <f t="array" ref="BA95">$G$12+VLOOKUP($R95,武学奇术!$A:$ZZ,12,FALSE)+SUM(_xlfn.XLOOKUP(S95:AG95,增益!$A:$A,增益!$L:$L,0))</f>
        <v>0</v>
      </c>
      <c r="BB95">
        <f t="shared" si="48"/>
        <v>0</v>
      </c>
      <c r="BC95">
        <f t="shared" si="49"/>
        <v>0</v>
      </c>
      <c r="BD95" s="26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26" cm="1">
        <f t="array" ref="BE95">$G$13+VLOOKUP($R95,武学奇术!$A:$ZZ,14,FALSE)+SUM(_xlfn.XLOOKUP(S95:AG95,增益!$A:$A,增益!$N:$N,0))</f>
        <v>0</v>
      </c>
      <c r="BF95">
        <f t="shared" si="50"/>
        <v>0</v>
      </c>
      <c r="BG95">
        <f t="shared" si="51"/>
        <v>0</v>
      </c>
      <c r="BH95" s="26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26" cm="1">
        <f t="array" ref="BI95">$G$14+VLOOKUP($R95,武学奇术!$A:$ZZ,16,FALSE)+SUM(_xlfn.XLOOKUP(S95:AG95,增益!$A:$A,增益!$P:$P,0))</f>
        <v>0</v>
      </c>
      <c r="BJ95" s="21">
        <f>MIN(IF(VLOOKUP($R95,武学奇术!$A:$ZZ,23,FALSE)=1,100%,$B$8),100%)</f>
        <v>0.8229</v>
      </c>
      <c r="BK95" s="21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0.2285</v>
      </c>
      <c r="BL95" s="21" cm="1">
        <f t="array" ref="BL95">1+$B$13+VLOOKUP($R95,武学奇术!$A:$ZZ,18,FALSE)+SUM(_xlfn.XLOOKUP(S95:AG95,增益!$A:$A,增益!$R:$R,0))</f>
        <v>1.5</v>
      </c>
      <c r="BM95" s="21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0.4495</v>
      </c>
      <c r="BN95" s="21" cm="1">
        <f t="array" ref="BN95">1+$B$14+VLOOKUP($R95,武学奇术!$A:$ZZ,20,FALSE)+SUM(_xlfn.XLOOKUP(S95:AG95,增益!$A:$A,增益!$T:$T,0))</f>
        <v>1.602</v>
      </c>
      <c r="BO95" s="21">
        <f t="shared" si="23"/>
        <v>0.18803265</v>
      </c>
      <c r="BP95" s="21">
        <f t="shared" si="33"/>
        <v>0.2649738</v>
      </c>
      <c r="BQ95" s="21">
        <f>IF(VLOOKUP($R95,武学奇术!$A:$ZZ,22,FALSE)=1,0,(1-$BJ95))*(1-$BM95)</f>
        <v>0.09749355</v>
      </c>
      <c r="BR95" s="21" cm="1">
        <f t="array" ref="BR95">SUM(_xlfn.XLOOKUP(S95:AG95,增益!$A:$A,增益!$W:$W,0))+$I$5</f>
        <v>0.06</v>
      </c>
    </row>
    <row r="96" spans="5:70">
      <c r="K96" s="24">
        <f>$L96*VLOOKUP($R96,武学奇术!$A:$ZZ,31,FALSE)</f>
        <v>28891.4061907087</v>
      </c>
      <c r="L96" s="24">
        <f t="shared" si="43"/>
        <v>28891.4061907087</v>
      </c>
      <c r="M96" s="24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25525.9649638542</v>
      </c>
      <c r="N96" s="24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41849.2311889172</v>
      </c>
      <c r="O96" s="24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17017.3099759028</v>
      </c>
      <c r="P96" s="24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7911.50435323057</v>
      </c>
      <c r="Q96" s="31">
        <v>1</v>
      </c>
      <c r="R96" s="32" t="s">
        <v>143</v>
      </c>
      <c r="S96" s="32" t="s">
        <v>87</v>
      </c>
      <c r="T96" s="32" t="s">
        <v>104</v>
      </c>
      <c r="U96" s="32" t="s">
        <v>73</v>
      </c>
      <c r="V96" s="32" t="s">
        <v>73</v>
      </c>
      <c r="W96" s="32" t="s">
        <v>73</v>
      </c>
      <c r="X96" s="32" t="s">
        <v>127</v>
      </c>
      <c r="Y96" s="32" t="s">
        <v>73</v>
      </c>
      <c r="Z96" s="32" t="s">
        <v>73</v>
      </c>
      <c r="AA96" s="32" t="s">
        <v>81</v>
      </c>
      <c r="AB96" s="32" t="s">
        <v>75</v>
      </c>
      <c r="AC96" s="32" t="s">
        <v>76</v>
      </c>
      <c r="AD96" s="32" t="s">
        <v>82</v>
      </c>
      <c r="AE96" s="32" t="s">
        <v>90</v>
      </c>
      <c r="AF96" s="32" t="s">
        <v>73</v>
      </c>
      <c r="AG96" s="32" t="s">
        <v>178</v>
      </c>
      <c r="AH96" t="str">
        <f>VLOOKUP($R96,武学奇术!$A:$ZZ,25,FALSE)</f>
        <v>单体奇术</v>
      </c>
      <c r="AI96" s="21">
        <f>VLOOKUP($R96,武学奇术!$A:$ZZ,26,FALSE)</f>
        <v>1.0239</v>
      </c>
      <c r="AJ96" s="22">
        <f>VLOOKUP($R96,武学奇术!$A:$ZZ,27,FALSE)*(1+IF(OR($AH96=$F$4,$AH96=$F$5),$B$22,0))</f>
        <v>196</v>
      </c>
      <c r="AK96" s="21">
        <f>VLOOKUP($R96,武学奇术!$A:$ZZ,28,FALSE)</f>
        <v>1.53585</v>
      </c>
      <c r="AL96" s="22">
        <f>VLOOKUP($R96,武学奇术!$A:$ZZ,29,FALSE)*(1+IF(OR($AH96=$F$4,$AH96=$F$5),$B$22,0))</f>
        <v>0</v>
      </c>
      <c r="AM96" s="21" cm="1">
        <f t="array" ref="AM96">$G$3+IFERROR(VLOOKUP($AH96,$F$4:$G$7,2,FALSE),0)+VLOOKUP($R96,武学奇术!$A:$ZZ,2,FALSE)+SUM(_xlfn.XLOOKUP($S96:$AG96,增益!$A:$A,增益!$B:$B,0))</f>
        <v>0.923</v>
      </c>
      <c r="AN96" s="21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1831.48</v>
      </c>
      <c r="AP96" cm="1">
        <f t="array" ref="AP96">$E$10*(1+$AN96)+VLOOKUP($R96,武学奇术!$A:$ZZ,4,FALSE)+SUM(_xlfn.XLOOKUP($S96:$AG96,增益!$A:$A,增益!$D:$D,0))-$I$2</f>
        <v>7763.56</v>
      </c>
      <c r="AQ96" s="26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0.294</v>
      </c>
      <c r="AR96" s="26" cm="1">
        <f t="array" ref="AR96">$G$10+VLOOKUP($R96,武学奇术!$A:$ZZ,7,FALSE)+SUM(_xlfn.XLOOKUP(S96:AG96,增益!$A:$A,增益!$G:$G,0))</f>
        <v>0</v>
      </c>
      <c r="AS96" s="21" cm="1">
        <f t="array" ref="AS96">VLOOKUP($R96,武学奇术!$A:$ZZ,8,FALSE)+SUM(_xlfn.XLOOKUP(S96:AG96,增益!$A:$A,增益!$H:$H,0))</f>
        <v>0</v>
      </c>
      <c r="AT96">
        <f t="shared" si="44"/>
        <v>680.02</v>
      </c>
      <c r="AU96">
        <f t="shared" si="45"/>
        <v>1288.54</v>
      </c>
      <c r="AV96" s="26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26" cm="1">
        <f t="array" ref="AW96">$G$11+VLOOKUP($R96,武学奇术!$A:$ZZ,10,FALSE)+SUM(_xlfn.XLOOKUP(S96:AG96,增益!$A:$A,增益!$J:$J,0))</f>
        <v>0.15</v>
      </c>
      <c r="AX96">
        <f t="shared" si="46"/>
        <v>0</v>
      </c>
      <c r="AY96">
        <f t="shared" si="47"/>
        <v>0</v>
      </c>
      <c r="AZ96" s="26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26" cm="1">
        <f t="array" ref="BA96">$G$12+VLOOKUP($R96,武学奇术!$A:$ZZ,12,FALSE)+SUM(_xlfn.XLOOKUP(S96:AG96,增益!$A:$A,增益!$L:$L,0))</f>
        <v>0</v>
      </c>
      <c r="BB96">
        <f t="shared" si="48"/>
        <v>0</v>
      </c>
      <c r="BC96">
        <f t="shared" si="49"/>
        <v>0</v>
      </c>
      <c r="BD96" s="26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26" cm="1">
        <f t="array" ref="BE96">$G$13+VLOOKUP($R96,武学奇术!$A:$ZZ,14,FALSE)+SUM(_xlfn.XLOOKUP(S96:AG96,增益!$A:$A,增益!$N:$N,0))</f>
        <v>0</v>
      </c>
      <c r="BF96">
        <f t="shared" si="50"/>
        <v>0</v>
      </c>
      <c r="BG96">
        <f t="shared" si="51"/>
        <v>0</v>
      </c>
      <c r="BH96" s="26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26" cm="1">
        <f t="array" ref="BI96">$G$14+VLOOKUP($R96,武学奇术!$A:$ZZ,16,FALSE)+SUM(_xlfn.XLOOKUP(S96:AG96,增益!$A:$A,增益!$P:$P,0))</f>
        <v>0</v>
      </c>
      <c r="BJ96" s="21">
        <f>MIN(IF(VLOOKUP($R96,武学奇术!$A:$ZZ,23,FALSE)=1,100%,$B$8),100%)</f>
        <v>0.8229</v>
      </c>
      <c r="BK96" s="21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0.2285</v>
      </c>
      <c r="BL96" s="21" cm="1">
        <f t="array" ref="BL96">1+$B$13+VLOOKUP($R96,武学奇术!$A:$ZZ,18,FALSE)+SUM(_xlfn.XLOOKUP(S96:AG96,增益!$A:$A,增益!$R:$R,0))</f>
        <v>1.5</v>
      </c>
      <c r="BM96" s="21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0.4495</v>
      </c>
      <c r="BN96" s="21" cm="1">
        <f t="array" ref="BN96">1+$B$14+VLOOKUP($R96,武学奇术!$A:$ZZ,20,FALSE)+SUM(_xlfn.XLOOKUP(S96:AG96,增益!$A:$A,增益!$T:$T,0))</f>
        <v>1.602</v>
      </c>
      <c r="BO96" s="21">
        <f t="shared" si="23"/>
        <v>0.18803265</v>
      </c>
      <c r="BP96" s="21">
        <f t="shared" si="33"/>
        <v>0.2649738</v>
      </c>
      <c r="BQ96" s="21">
        <f>IF(VLOOKUP($R96,武学奇术!$A:$ZZ,22,FALSE)=1,0,(1-$BJ96))*(1-$BM96)</f>
        <v>0.09749355</v>
      </c>
      <c r="BR96" s="21" cm="1">
        <f t="array" ref="BR96">SUM(_xlfn.XLOOKUP(S96:AG96,增益!$A:$A,增益!$W:$W,0))+$I$5</f>
        <v>0.06</v>
      </c>
    </row>
    <row r="97" spans="11:70">
      <c r="K97" s="24">
        <f>$L97*VLOOKUP($R97,武学奇术!$A:$ZZ,31,FALSE)</f>
        <v>45401.1744140449</v>
      </c>
      <c r="L97" s="24">
        <f t="shared" si="43"/>
        <v>45401.1744140449</v>
      </c>
      <c r="M97" s="24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40112.575982668</v>
      </c>
      <c r="N97" s="24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65763.6499184133</v>
      </c>
      <c r="O97" s="24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26741.7173217787</v>
      </c>
      <c r="P97" s="24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12432.4671539111</v>
      </c>
      <c r="Q97" s="31">
        <v>1</v>
      </c>
      <c r="R97" s="32" t="s">
        <v>146</v>
      </c>
      <c r="S97" s="32" t="s">
        <v>87</v>
      </c>
      <c r="T97" s="32" t="s">
        <v>104</v>
      </c>
      <c r="U97" s="32" t="s">
        <v>73</v>
      </c>
      <c r="V97" s="32" t="s">
        <v>73</v>
      </c>
      <c r="W97" s="32" t="s">
        <v>73</v>
      </c>
      <c r="X97" s="32" t="s">
        <v>127</v>
      </c>
      <c r="Y97" s="32" t="s">
        <v>73</v>
      </c>
      <c r="Z97" s="32" t="s">
        <v>73</v>
      </c>
      <c r="AA97" s="32" t="s">
        <v>81</v>
      </c>
      <c r="AB97" s="32" t="s">
        <v>75</v>
      </c>
      <c r="AC97" s="32" t="s">
        <v>76</v>
      </c>
      <c r="AD97" s="32" t="s">
        <v>82</v>
      </c>
      <c r="AE97" s="32" t="s">
        <v>90</v>
      </c>
      <c r="AF97" s="32" t="s">
        <v>73</v>
      </c>
      <c r="AG97" s="32" t="s">
        <v>178</v>
      </c>
      <c r="AH97" t="str">
        <f>VLOOKUP($R97,武学奇术!$A:$ZZ,25,FALSE)</f>
        <v>单体奇术</v>
      </c>
      <c r="AI97" s="21">
        <f>VLOOKUP($R97,武学奇术!$A:$ZZ,26,FALSE)</f>
        <v>1.609</v>
      </c>
      <c r="AJ97" s="22">
        <f>VLOOKUP($R97,武学奇术!$A:$ZZ,27,FALSE)*(1+IF(OR($AH97=$F$4,$AH97=$F$5),$B$22,0))</f>
        <v>308</v>
      </c>
      <c r="AK97" s="21">
        <f>VLOOKUP($R97,武学奇术!$A:$ZZ,28,FALSE)</f>
        <v>2.4135</v>
      </c>
      <c r="AL97" s="22">
        <f>VLOOKUP($R97,武学奇术!$A:$ZZ,29,FALSE)*(1+IF(OR($AH97=$F$4,$AH97=$F$5),$B$22,0))</f>
        <v>0</v>
      </c>
      <c r="AM97" s="21" cm="1">
        <f t="array" ref="AM97">$G$3+IFERROR(VLOOKUP($AH97,$F$4:$G$7,2,FALSE),0)+VLOOKUP($R97,武学奇术!$A:$ZZ,2,FALSE)+SUM(_xlfn.XLOOKUP($S97:$AG97,增益!$A:$A,增益!$B:$B,0))</f>
        <v>0.923</v>
      </c>
      <c r="AN97" s="21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1831.48</v>
      </c>
      <c r="AP97" cm="1">
        <f t="array" ref="AP97">$E$10*(1+$AN97)+VLOOKUP($R97,武学奇术!$A:$ZZ,4,FALSE)+SUM(_xlfn.XLOOKUP($S97:$AG97,增益!$A:$A,增益!$D:$D,0))-$I$2</f>
        <v>7763.56</v>
      </c>
      <c r="AQ97" s="26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0.294</v>
      </c>
      <c r="AR97" s="26" cm="1">
        <f t="array" ref="AR97">$G$10+VLOOKUP($R97,武学奇术!$A:$ZZ,7,FALSE)+SUM(_xlfn.XLOOKUP(S97:AG97,增益!$A:$A,增益!$G:$G,0))</f>
        <v>0</v>
      </c>
      <c r="AS97" s="21" cm="1">
        <f t="array" ref="AS97">VLOOKUP($R97,武学奇术!$A:$ZZ,8,FALSE)+SUM(_xlfn.XLOOKUP(S97:AG97,增益!$A:$A,增益!$H:$H,0))</f>
        <v>0</v>
      </c>
      <c r="AT97">
        <f t="shared" si="44"/>
        <v>680.02</v>
      </c>
      <c r="AU97">
        <f t="shared" si="45"/>
        <v>1288.54</v>
      </c>
      <c r="AV97" s="26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26" cm="1">
        <f t="array" ref="AW97">$G$11+VLOOKUP($R97,武学奇术!$A:$ZZ,10,FALSE)+SUM(_xlfn.XLOOKUP(S97:AG97,增益!$A:$A,增益!$J:$J,0))</f>
        <v>0.15</v>
      </c>
      <c r="AX97">
        <f t="shared" si="46"/>
        <v>0</v>
      </c>
      <c r="AY97">
        <f t="shared" si="47"/>
        <v>0</v>
      </c>
      <c r="AZ97" s="26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26" cm="1">
        <f t="array" ref="BA97">$G$12+VLOOKUP($R97,武学奇术!$A:$ZZ,12,FALSE)+SUM(_xlfn.XLOOKUP(S97:AG97,增益!$A:$A,增益!$L:$L,0))</f>
        <v>0</v>
      </c>
      <c r="BB97">
        <f t="shared" si="48"/>
        <v>0</v>
      </c>
      <c r="BC97">
        <f t="shared" si="49"/>
        <v>0</v>
      </c>
      <c r="BD97" s="26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26" cm="1">
        <f t="array" ref="BE97">$G$13+VLOOKUP($R97,武学奇术!$A:$ZZ,14,FALSE)+SUM(_xlfn.XLOOKUP(S97:AG97,增益!$A:$A,增益!$N:$N,0))</f>
        <v>0</v>
      </c>
      <c r="BF97">
        <f t="shared" si="50"/>
        <v>0</v>
      </c>
      <c r="BG97">
        <f t="shared" si="51"/>
        <v>0</v>
      </c>
      <c r="BH97" s="26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26" cm="1">
        <f t="array" ref="BI97">$G$14+VLOOKUP($R97,武学奇术!$A:$ZZ,16,FALSE)+SUM(_xlfn.XLOOKUP(S97:AG97,增益!$A:$A,增益!$P:$P,0))</f>
        <v>0</v>
      </c>
      <c r="BJ97" s="21">
        <f>MIN(IF(VLOOKUP($R97,武学奇术!$A:$ZZ,23,FALSE)=1,100%,$B$8),100%)</f>
        <v>0.8229</v>
      </c>
      <c r="BK97" s="21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0.2285</v>
      </c>
      <c r="BL97" s="21" cm="1">
        <f t="array" ref="BL97">1+$B$13+VLOOKUP($R97,武学奇术!$A:$ZZ,18,FALSE)+SUM(_xlfn.XLOOKUP(S97:AG97,增益!$A:$A,增益!$R:$R,0))</f>
        <v>1.5</v>
      </c>
      <c r="BM97" s="21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0.4495</v>
      </c>
      <c r="BN97" s="21" cm="1">
        <f t="array" ref="BN97">1+$B$14+VLOOKUP($R97,武学奇术!$A:$ZZ,20,FALSE)+SUM(_xlfn.XLOOKUP(S97:AG97,增益!$A:$A,增益!$T:$T,0))</f>
        <v>1.602</v>
      </c>
      <c r="BO97" s="21">
        <f t="shared" si="23"/>
        <v>0.18803265</v>
      </c>
      <c r="BP97" s="21">
        <f t="shared" si="33"/>
        <v>0.2649738</v>
      </c>
      <c r="BQ97" s="21">
        <f>IF(VLOOKUP($R97,武学奇术!$A:$ZZ,22,FALSE)=1,0,(1-$BJ97))*(1-$BM97)</f>
        <v>0.09749355</v>
      </c>
      <c r="BR97" s="21" cm="1">
        <f t="array" ref="BR97">SUM(_xlfn.XLOOKUP(S97:AG97,增益!$A:$A,增益!$W:$W,0))+$I$5</f>
        <v>0.06</v>
      </c>
    </row>
    <row r="98" spans="11:70">
      <c r="K98" s="24">
        <f>$L98*VLOOKUP($R98,武学奇术!$A:$ZZ,31,FALSE)</f>
        <v>28891.4061907087</v>
      </c>
      <c r="L98" s="24">
        <f t="shared" si="43"/>
        <v>28891.4061907087</v>
      </c>
      <c r="M98" s="24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25525.9649638542</v>
      </c>
      <c r="N98" s="24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41849.2311889172</v>
      </c>
      <c r="O98" s="24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17017.3099759028</v>
      </c>
      <c r="P98" s="24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7911.50435323057</v>
      </c>
      <c r="Q98" s="31">
        <v>1</v>
      </c>
      <c r="R98" s="32" t="s">
        <v>143</v>
      </c>
      <c r="S98" s="32" t="s">
        <v>87</v>
      </c>
      <c r="T98" s="32" t="s">
        <v>104</v>
      </c>
      <c r="U98" s="32" t="s">
        <v>73</v>
      </c>
      <c r="V98" s="32" t="s">
        <v>73</v>
      </c>
      <c r="W98" s="32" t="s">
        <v>73</v>
      </c>
      <c r="X98" s="32" t="s">
        <v>127</v>
      </c>
      <c r="Y98" s="32" t="s">
        <v>73</v>
      </c>
      <c r="Z98" s="32" t="s">
        <v>73</v>
      </c>
      <c r="AA98" s="32" t="s">
        <v>81</v>
      </c>
      <c r="AB98" s="32" t="s">
        <v>75</v>
      </c>
      <c r="AC98" s="32" t="s">
        <v>76</v>
      </c>
      <c r="AD98" s="32" t="s">
        <v>82</v>
      </c>
      <c r="AE98" s="32" t="s">
        <v>90</v>
      </c>
      <c r="AF98" s="32" t="s">
        <v>73</v>
      </c>
      <c r="AG98" s="32" t="s">
        <v>178</v>
      </c>
      <c r="AH98" t="str">
        <f>VLOOKUP($R98,武学奇术!$A:$ZZ,25,FALSE)</f>
        <v>单体奇术</v>
      </c>
      <c r="AI98" s="21">
        <f>VLOOKUP($R98,武学奇术!$A:$ZZ,26,FALSE)</f>
        <v>1.0239</v>
      </c>
      <c r="AJ98" s="22">
        <f>VLOOKUP($R98,武学奇术!$A:$ZZ,27,FALSE)*(1+IF(OR($AH98=$F$4,$AH98=$F$5),$B$22,0))</f>
        <v>196</v>
      </c>
      <c r="AK98" s="21">
        <f>VLOOKUP($R98,武学奇术!$A:$ZZ,28,FALSE)</f>
        <v>1.53585</v>
      </c>
      <c r="AL98" s="22">
        <f>VLOOKUP($R98,武学奇术!$A:$ZZ,29,FALSE)*(1+IF(OR($AH98=$F$4,$AH98=$F$5),$B$22,0))</f>
        <v>0</v>
      </c>
      <c r="AM98" s="21" cm="1">
        <f t="array" ref="AM98">$G$3+IFERROR(VLOOKUP($AH98,$F$4:$G$7,2,FALSE),0)+VLOOKUP($R98,武学奇术!$A:$ZZ,2,FALSE)+SUM(_xlfn.XLOOKUP($S98:$AG98,增益!$A:$A,增益!$B:$B,0))</f>
        <v>0.923</v>
      </c>
      <c r="AN98" s="21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1831.48</v>
      </c>
      <c r="AP98" cm="1">
        <f t="array" ref="AP98">$E$10*(1+$AN98)+VLOOKUP($R98,武学奇术!$A:$ZZ,4,FALSE)+SUM(_xlfn.XLOOKUP($S98:$AG98,增益!$A:$A,增益!$D:$D,0))-$I$2</f>
        <v>7763.56</v>
      </c>
      <c r="AQ98" s="26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0.294</v>
      </c>
      <c r="AR98" s="26" cm="1">
        <f t="array" ref="AR98">$G$10+VLOOKUP($R98,武学奇术!$A:$ZZ,7,FALSE)+SUM(_xlfn.XLOOKUP(S98:AG98,增益!$A:$A,增益!$G:$G,0))</f>
        <v>0</v>
      </c>
      <c r="AS98" s="21" cm="1">
        <f t="array" ref="AS98">VLOOKUP($R98,武学奇术!$A:$ZZ,8,FALSE)+SUM(_xlfn.XLOOKUP(S98:AG98,增益!$A:$A,增益!$H:$H,0))</f>
        <v>0</v>
      </c>
      <c r="AT98">
        <f t="shared" si="44"/>
        <v>680.02</v>
      </c>
      <c r="AU98">
        <f t="shared" si="45"/>
        <v>1288.54</v>
      </c>
      <c r="AV98" s="26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26" cm="1">
        <f t="array" ref="AW98">$G$11+VLOOKUP($R98,武学奇术!$A:$ZZ,10,FALSE)+SUM(_xlfn.XLOOKUP(S98:AG98,增益!$A:$A,增益!$J:$J,0))</f>
        <v>0.15</v>
      </c>
      <c r="AX98">
        <f t="shared" si="46"/>
        <v>0</v>
      </c>
      <c r="AY98">
        <f t="shared" si="47"/>
        <v>0</v>
      </c>
      <c r="AZ98" s="26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26" cm="1">
        <f t="array" ref="BA98">$G$12+VLOOKUP($R98,武学奇术!$A:$ZZ,12,FALSE)+SUM(_xlfn.XLOOKUP(S98:AG98,增益!$A:$A,增益!$L:$L,0))</f>
        <v>0</v>
      </c>
      <c r="BB98">
        <f t="shared" si="48"/>
        <v>0</v>
      </c>
      <c r="BC98">
        <f t="shared" si="49"/>
        <v>0</v>
      </c>
      <c r="BD98" s="26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26" cm="1">
        <f t="array" ref="BE98">$G$13+VLOOKUP($R98,武学奇术!$A:$ZZ,14,FALSE)+SUM(_xlfn.XLOOKUP(S98:AG98,增益!$A:$A,增益!$N:$N,0))</f>
        <v>0</v>
      </c>
      <c r="BF98">
        <f t="shared" si="50"/>
        <v>0</v>
      </c>
      <c r="BG98">
        <f t="shared" si="51"/>
        <v>0</v>
      </c>
      <c r="BH98" s="26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26" cm="1">
        <f t="array" ref="BI98">$G$14+VLOOKUP($R98,武学奇术!$A:$ZZ,16,FALSE)+SUM(_xlfn.XLOOKUP(S98:AG98,增益!$A:$A,增益!$P:$P,0))</f>
        <v>0</v>
      </c>
      <c r="BJ98" s="21">
        <f>MIN(IF(VLOOKUP($R98,武学奇术!$A:$ZZ,23,FALSE)=1,100%,$B$8),100%)</f>
        <v>0.8229</v>
      </c>
      <c r="BK98" s="21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0.2285</v>
      </c>
      <c r="BL98" s="21" cm="1">
        <f t="array" ref="BL98">1+$B$13+VLOOKUP($R98,武学奇术!$A:$ZZ,18,FALSE)+SUM(_xlfn.XLOOKUP(S98:AG98,增益!$A:$A,增益!$R:$R,0))</f>
        <v>1.5</v>
      </c>
      <c r="BM98" s="21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0.4495</v>
      </c>
      <c r="BN98" s="21" cm="1">
        <f t="array" ref="BN98">1+$B$14+VLOOKUP($R98,武学奇术!$A:$ZZ,20,FALSE)+SUM(_xlfn.XLOOKUP(S98:AG98,增益!$A:$A,增益!$T:$T,0))</f>
        <v>1.602</v>
      </c>
      <c r="BO98" s="21">
        <f t="shared" si="23"/>
        <v>0.18803265</v>
      </c>
      <c r="BP98" s="21">
        <f t="shared" si="33"/>
        <v>0.2649738</v>
      </c>
      <c r="BQ98" s="21">
        <f>IF(VLOOKUP($R98,武学奇术!$A:$ZZ,22,FALSE)=1,0,(1-$BJ98))*(1-$BM98)</f>
        <v>0.09749355</v>
      </c>
      <c r="BR98" s="21" cm="1">
        <f t="array" ref="BR98">SUM(_xlfn.XLOOKUP(S98:AG98,增益!$A:$A,增益!$W:$W,0))+$I$5</f>
        <v>0.06</v>
      </c>
    </row>
    <row r="99" spans="11:70">
      <c r="K99" s="24">
        <f>$L99*VLOOKUP($R99,武学奇术!$A:$ZZ,31,FALSE)</f>
        <v>45401.1744140449</v>
      </c>
      <c r="L99" s="24">
        <f t="shared" si="43"/>
        <v>45401.1744140449</v>
      </c>
      <c r="M99" s="24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40112.575982668</v>
      </c>
      <c r="N99" s="24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65763.6499184133</v>
      </c>
      <c r="O99" s="24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26741.7173217787</v>
      </c>
      <c r="P99" s="24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12432.4671539111</v>
      </c>
      <c r="Q99" s="31">
        <v>1</v>
      </c>
      <c r="R99" s="32" t="s">
        <v>146</v>
      </c>
      <c r="S99" s="32" t="s">
        <v>87</v>
      </c>
      <c r="T99" s="32" t="s">
        <v>104</v>
      </c>
      <c r="U99" s="32" t="s">
        <v>73</v>
      </c>
      <c r="V99" s="32" t="s">
        <v>73</v>
      </c>
      <c r="W99" s="32" t="s">
        <v>73</v>
      </c>
      <c r="X99" s="32" t="s">
        <v>127</v>
      </c>
      <c r="Y99" s="32" t="s">
        <v>73</v>
      </c>
      <c r="Z99" s="32" t="s">
        <v>73</v>
      </c>
      <c r="AA99" s="32" t="s">
        <v>81</v>
      </c>
      <c r="AB99" s="32" t="s">
        <v>75</v>
      </c>
      <c r="AC99" s="32" t="s">
        <v>76</v>
      </c>
      <c r="AD99" s="32" t="s">
        <v>82</v>
      </c>
      <c r="AE99" s="32" t="s">
        <v>90</v>
      </c>
      <c r="AF99" s="32" t="s">
        <v>73</v>
      </c>
      <c r="AG99" s="32" t="s">
        <v>178</v>
      </c>
      <c r="AH99" t="str">
        <f>VLOOKUP($R99,武学奇术!$A:$ZZ,25,FALSE)</f>
        <v>单体奇术</v>
      </c>
      <c r="AI99" s="21">
        <f>VLOOKUP($R99,武学奇术!$A:$ZZ,26,FALSE)</f>
        <v>1.609</v>
      </c>
      <c r="AJ99" s="22">
        <f>VLOOKUP($R99,武学奇术!$A:$ZZ,27,FALSE)*(1+IF(OR($AH99=$F$4,$AH99=$F$5),$B$22,0))</f>
        <v>308</v>
      </c>
      <c r="AK99" s="21">
        <f>VLOOKUP($R99,武学奇术!$A:$ZZ,28,FALSE)</f>
        <v>2.4135</v>
      </c>
      <c r="AL99" s="22">
        <f>VLOOKUP($R99,武学奇术!$A:$ZZ,29,FALSE)*(1+IF(OR($AH99=$F$4,$AH99=$F$5),$B$22,0))</f>
        <v>0</v>
      </c>
      <c r="AM99" s="21" cm="1">
        <f t="array" ref="AM99">$G$3+IFERROR(VLOOKUP($AH99,$F$4:$G$7,2,FALSE),0)+VLOOKUP($R99,武学奇术!$A:$ZZ,2,FALSE)+SUM(_xlfn.XLOOKUP($S99:$AG99,增益!$A:$A,增益!$B:$B,0))</f>
        <v>0.923</v>
      </c>
      <c r="AN99" s="21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1831.48</v>
      </c>
      <c r="AP99" cm="1">
        <f t="array" ref="AP99">$E$10*(1+$AN99)+VLOOKUP($R99,武学奇术!$A:$ZZ,4,FALSE)+SUM(_xlfn.XLOOKUP($S99:$AG99,增益!$A:$A,增益!$D:$D,0))-$I$2</f>
        <v>7763.56</v>
      </c>
      <c r="AQ99" s="26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0.294</v>
      </c>
      <c r="AR99" s="26" cm="1">
        <f t="array" ref="AR99">$G$10+VLOOKUP($R99,武学奇术!$A:$ZZ,7,FALSE)+SUM(_xlfn.XLOOKUP(S99:AG99,增益!$A:$A,增益!$G:$G,0))</f>
        <v>0</v>
      </c>
      <c r="AS99" s="21" cm="1">
        <f t="array" ref="AS99">VLOOKUP($R99,武学奇术!$A:$ZZ,8,FALSE)+SUM(_xlfn.XLOOKUP(S99:AG99,增益!$A:$A,增益!$H:$H,0))</f>
        <v>0</v>
      </c>
      <c r="AT99">
        <f t="shared" si="44"/>
        <v>680.02</v>
      </c>
      <c r="AU99">
        <f t="shared" si="45"/>
        <v>1288.54</v>
      </c>
      <c r="AV99" s="26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26" cm="1">
        <f t="array" ref="AW99">$G$11+VLOOKUP($R99,武学奇术!$A:$ZZ,10,FALSE)+SUM(_xlfn.XLOOKUP(S99:AG99,增益!$A:$A,增益!$J:$J,0))</f>
        <v>0.15</v>
      </c>
      <c r="AX99">
        <f t="shared" si="46"/>
        <v>0</v>
      </c>
      <c r="AY99">
        <f t="shared" si="47"/>
        <v>0</v>
      </c>
      <c r="AZ99" s="26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26" cm="1">
        <f t="array" ref="BA99">$G$12+VLOOKUP($R99,武学奇术!$A:$ZZ,12,FALSE)+SUM(_xlfn.XLOOKUP(S99:AG99,增益!$A:$A,增益!$L:$L,0))</f>
        <v>0</v>
      </c>
      <c r="BB99">
        <f t="shared" si="48"/>
        <v>0</v>
      </c>
      <c r="BC99">
        <f t="shared" si="49"/>
        <v>0</v>
      </c>
      <c r="BD99" s="26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26" cm="1">
        <f t="array" ref="BE99">$G$13+VLOOKUP($R99,武学奇术!$A:$ZZ,14,FALSE)+SUM(_xlfn.XLOOKUP(S99:AG99,增益!$A:$A,增益!$N:$N,0))</f>
        <v>0</v>
      </c>
      <c r="BF99">
        <f t="shared" si="50"/>
        <v>0</v>
      </c>
      <c r="BG99">
        <f t="shared" si="51"/>
        <v>0</v>
      </c>
      <c r="BH99" s="26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26" cm="1">
        <f t="array" ref="BI99">$G$14+VLOOKUP($R99,武学奇术!$A:$ZZ,16,FALSE)+SUM(_xlfn.XLOOKUP(S99:AG99,增益!$A:$A,增益!$P:$P,0))</f>
        <v>0</v>
      </c>
      <c r="BJ99" s="21">
        <f>MIN(IF(VLOOKUP($R99,武学奇术!$A:$ZZ,23,FALSE)=1,100%,$B$8),100%)</f>
        <v>0.8229</v>
      </c>
      <c r="BK99" s="21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0.2285</v>
      </c>
      <c r="BL99" s="21" cm="1">
        <f t="array" ref="BL99">1+$B$13+VLOOKUP($R99,武学奇术!$A:$ZZ,18,FALSE)+SUM(_xlfn.XLOOKUP(S99:AG99,增益!$A:$A,增益!$R:$R,0))</f>
        <v>1.5</v>
      </c>
      <c r="BM99" s="21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0.4495</v>
      </c>
      <c r="BN99" s="21" cm="1">
        <f t="array" ref="BN99">1+$B$14+VLOOKUP($R99,武学奇术!$A:$ZZ,20,FALSE)+SUM(_xlfn.XLOOKUP(S99:AG99,增益!$A:$A,增益!$T:$T,0))</f>
        <v>1.602</v>
      </c>
      <c r="BO99" s="21">
        <f t="shared" si="23"/>
        <v>0.18803265</v>
      </c>
      <c r="BP99" s="21">
        <f t="shared" si="33"/>
        <v>0.2649738</v>
      </c>
      <c r="BQ99" s="21">
        <f>IF(VLOOKUP($R99,武学奇术!$A:$ZZ,22,FALSE)=1,0,(1-$BJ99))*(1-$BM99)</f>
        <v>0.09749355</v>
      </c>
      <c r="BR99" s="21" cm="1">
        <f t="array" ref="BR99">SUM(_xlfn.XLOOKUP(S99:AG99,增益!$A:$A,增益!$W:$W,0))+$I$5</f>
        <v>0.06</v>
      </c>
    </row>
    <row r="100" spans="11:70">
      <c r="K100" s="24">
        <f>$L100*VLOOKUP($R100,武学奇术!$A:$ZZ,31,FALSE)</f>
        <v>28891.4061907087</v>
      </c>
      <c r="L100" s="24">
        <f t="shared" si="43"/>
        <v>28891.4061907087</v>
      </c>
      <c r="M100" s="24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25525.9649638542</v>
      </c>
      <c r="N100" s="24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41849.2311889172</v>
      </c>
      <c r="O100" s="24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17017.3099759028</v>
      </c>
      <c r="P100" s="24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7911.50435323057</v>
      </c>
      <c r="Q100" s="31">
        <v>1</v>
      </c>
      <c r="R100" s="32" t="s">
        <v>143</v>
      </c>
      <c r="S100" s="32" t="s">
        <v>87</v>
      </c>
      <c r="T100" s="32" t="s">
        <v>104</v>
      </c>
      <c r="U100" s="32" t="s">
        <v>73</v>
      </c>
      <c r="V100" s="32" t="s">
        <v>73</v>
      </c>
      <c r="W100" s="32" t="s">
        <v>73</v>
      </c>
      <c r="X100" s="32" t="s">
        <v>127</v>
      </c>
      <c r="Y100" s="32" t="s">
        <v>73</v>
      </c>
      <c r="Z100" s="32" t="s">
        <v>73</v>
      </c>
      <c r="AA100" s="32" t="s">
        <v>81</v>
      </c>
      <c r="AB100" s="32" t="s">
        <v>75</v>
      </c>
      <c r="AC100" s="32" t="s">
        <v>76</v>
      </c>
      <c r="AD100" s="32" t="s">
        <v>82</v>
      </c>
      <c r="AE100" s="32" t="s">
        <v>90</v>
      </c>
      <c r="AF100" s="32" t="s">
        <v>73</v>
      </c>
      <c r="AG100" s="32" t="s">
        <v>178</v>
      </c>
      <c r="AH100" t="str">
        <f>VLOOKUP($R100,武学奇术!$A:$ZZ,25,FALSE)</f>
        <v>单体奇术</v>
      </c>
      <c r="AI100" s="21">
        <f>VLOOKUP($R100,武学奇术!$A:$ZZ,26,FALSE)</f>
        <v>1.0239</v>
      </c>
      <c r="AJ100" s="22">
        <f>VLOOKUP($R100,武学奇术!$A:$ZZ,27,FALSE)*(1+IF(OR($AH100=$F$4,$AH100=$F$5),$B$22,0))</f>
        <v>196</v>
      </c>
      <c r="AK100" s="21">
        <f>VLOOKUP($R100,武学奇术!$A:$ZZ,28,FALSE)</f>
        <v>1.53585</v>
      </c>
      <c r="AL100" s="22">
        <f>VLOOKUP($R100,武学奇术!$A:$ZZ,29,FALSE)*(1+IF(OR($AH100=$F$4,$AH100=$F$5),$B$22,0))</f>
        <v>0</v>
      </c>
      <c r="AM100" s="21" cm="1">
        <f t="array" ref="AM100">$G$3+IFERROR(VLOOKUP($AH100,$F$4:$G$7,2,FALSE),0)+VLOOKUP($R100,武学奇术!$A:$ZZ,2,FALSE)+SUM(_xlfn.XLOOKUP($S100:$AG100,增益!$A:$A,增益!$B:$B,0))</f>
        <v>0.923</v>
      </c>
      <c r="AN100" s="21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1831.48</v>
      </c>
      <c r="AP100" cm="1">
        <f t="array" ref="AP100">$E$10*(1+$AN100)+VLOOKUP($R100,武学奇术!$A:$ZZ,4,FALSE)+SUM(_xlfn.XLOOKUP($S100:$AG100,增益!$A:$A,增益!$D:$D,0))-$I$2</f>
        <v>7763.56</v>
      </c>
      <c r="AQ100" s="26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0.294</v>
      </c>
      <c r="AR100" s="26" cm="1">
        <f t="array" ref="AR100">$G$10+VLOOKUP($R100,武学奇术!$A:$ZZ,7,FALSE)+SUM(_xlfn.XLOOKUP(S100:AG100,增益!$A:$A,增益!$G:$G,0))</f>
        <v>0</v>
      </c>
      <c r="AS100" s="21" cm="1">
        <f t="array" ref="AS100">VLOOKUP($R100,武学奇术!$A:$ZZ,8,FALSE)+SUM(_xlfn.XLOOKUP(S100:AG100,增益!$A:$A,增益!$H:$H,0))</f>
        <v>0</v>
      </c>
      <c r="AT100">
        <f t="shared" si="44"/>
        <v>680.02</v>
      </c>
      <c r="AU100">
        <f t="shared" si="45"/>
        <v>1288.54</v>
      </c>
      <c r="AV100" s="26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26" cm="1">
        <f t="array" ref="AW100">$G$11+VLOOKUP($R100,武学奇术!$A:$ZZ,10,FALSE)+SUM(_xlfn.XLOOKUP(S100:AG100,增益!$A:$A,增益!$J:$J,0))</f>
        <v>0.15</v>
      </c>
      <c r="AX100">
        <f t="shared" si="46"/>
        <v>0</v>
      </c>
      <c r="AY100">
        <f t="shared" si="47"/>
        <v>0</v>
      </c>
      <c r="AZ100" s="26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26" cm="1">
        <f t="array" ref="BA100">$G$12+VLOOKUP($R100,武学奇术!$A:$ZZ,12,FALSE)+SUM(_xlfn.XLOOKUP(S100:AG100,增益!$A:$A,增益!$L:$L,0))</f>
        <v>0</v>
      </c>
      <c r="BB100">
        <f t="shared" si="48"/>
        <v>0</v>
      </c>
      <c r="BC100">
        <f t="shared" si="49"/>
        <v>0</v>
      </c>
      <c r="BD100" s="26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26" cm="1">
        <f t="array" ref="BE100">$G$13+VLOOKUP($R100,武学奇术!$A:$ZZ,14,FALSE)+SUM(_xlfn.XLOOKUP(S100:AG100,增益!$A:$A,增益!$N:$N,0))</f>
        <v>0</v>
      </c>
      <c r="BF100">
        <f t="shared" si="50"/>
        <v>0</v>
      </c>
      <c r="BG100">
        <f t="shared" si="51"/>
        <v>0</v>
      </c>
      <c r="BH100" s="26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26" cm="1">
        <f t="array" ref="BI100">$G$14+VLOOKUP($R100,武学奇术!$A:$ZZ,16,FALSE)+SUM(_xlfn.XLOOKUP(S100:AG100,增益!$A:$A,增益!$P:$P,0))</f>
        <v>0</v>
      </c>
      <c r="BJ100" s="21">
        <f>MIN(IF(VLOOKUP($R100,武学奇术!$A:$ZZ,23,FALSE)=1,100%,$B$8),100%)</f>
        <v>0.8229</v>
      </c>
      <c r="BK100" s="21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0.2285</v>
      </c>
      <c r="BL100" s="21" cm="1">
        <f t="array" ref="BL100">1+$B$13+VLOOKUP($R100,武学奇术!$A:$ZZ,18,FALSE)+SUM(_xlfn.XLOOKUP(S100:AG100,增益!$A:$A,增益!$R:$R,0))</f>
        <v>1.5</v>
      </c>
      <c r="BM100" s="21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0.4495</v>
      </c>
      <c r="BN100" s="21" cm="1">
        <f t="array" ref="BN100">1+$B$14+VLOOKUP($R100,武学奇术!$A:$ZZ,20,FALSE)+SUM(_xlfn.XLOOKUP(S100:AG100,增益!$A:$A,增益!$T:$T,0))</f>
        <v>1.602</v>
      </c>
      <c r="BO100" s="21">
        <f t="shared" si="23"/>
        <v>0.18803265</v>
      </c>
      <c r="BP100" s="21">
        <f t="shared" si="33"/>
        <v>0.2649738</v>
      </c>
      <c r="BQ100" s="21">
        <f>IF(VLOOKUP($R100,武学奇术!$A:$ZZ,22,FALSE)=1,0,(1-$BJ100))*(1-$BM100)</f>
        <v>0.09749355</v>
      </c>
      <c r="BR100" s="21" cm="1">
        <f t="array" ref="BR100">SUM(_xlfn.XLOOKUP(S100:AG100,增益!$A:$A,增益!$W:$W,0))+$I$5</f>
        <v>0.06</v>
      </c>
    </row>
    <row r="101" spans="11:70">
      <c r="K101" s="24">
        <f>$L101*VLOOKUP($R101,武学奇术!$A:$ZZ,31,FALSE)</f>
        <v>45401.1744140449</v>
      </c>
      <c r="L101" s="24">
        <f t="shared" si="43"/>
        <v>45401.1744140449</v>
      </c>
      <c r="M101" s="24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40112.575982668</v>
      </c>
      <c r="N101" s="24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65763.6499184133</v>
      </c>
      <c r="O101" s="24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26741.7173217787</v>
      </c>
      <c r="P101" s="24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12432.4671539111</v>
      </c>
      <c r="Q101" s="31">
        <v>1</v>
      </c>
      <c r="R101" s="32" t="s">
        <v>146</v>
      </c>
      <c r="S101" s="32" t="s">
        <v>87</v>
      </c>
      <c r="T101" s="32" t="s">
        <v>104</v>
      </c>
      <c r="U101" s="32" t="s">
        <v>73</v>
      </c>
      <c r="V101" s="32" t="s">
        <v>73</v>
      </c>
      <c r="W101" s="32" t="s">
        <v>73</v>
      </c>
      <c r="X101" s="32" t="s">
        <v>127</v>
      </c>
      <c r="Y101" s="32" t="s">
        <v>73</v>
      </c>
      <c r="Z101" s="32" t="s">
        <v>73</v>
      </c>
      <c r="AA101" s="32" t="s">
        <v>81</v>
      </c>
      <c r="AB101" s="32" t="s">
        <v>75</v>
      </c>
      <c r="AC101" s="32" t="s">
        <v>76</v>
      </c>
      <c r="AD101" s="32" t="s">
        <v>82</v>
      </c>
      <c r="AE101" s="32" t="s">
        <v>90</v>
      </c>
      <c r="AF101" s="32" t="s">
        <v>73</v>
      </c>
      <c r="AG101" s="32" t="s">
        <v>178</v>
      </c>
      <c r="AH101" t="str">
        <f>VLOOKUP($R101,武学奇术!$A:$ZZ,25,FALSE)</f>
        <v>单体奇术</v>
      </c>
      <c r="AI101" s="21">
        <f>VLOOKUP($R101,武学奇术!$A:$ZZ,26,FALSE)</f>
        <v>1.609</v>
      </c>
      <c r="AJ101" s="22">
        <f>VLOOKUP($R101,武学奇术!$A:$ZZ,27,FALSE)*(1+IF(OR($AH101=$F$4,$AH101=$F$5),$B$22,0))</f>
        <v>308</v>
      </c>
      <c r="AK101" s="21">
        <f>VLOOKUP($R101,武学奇术!$A:$ZZ,28,FALSE)</f>
        <v>2.4135</v>
      </c>
      <c r="AL101" s="22">
        <f>VLOOKUP($R101,武学奇术!$A:$ZZ,29,FALSE)*(1+IF(OR($AH101=$F$4,$AH101=$F$5),$B$22,0))</f>
        <v>0</v>
      </c>
      <c r="AM101" s="21" cm="1">
        <f t="array" ref="AM101">$G$3+IFERROR(VLOOKUP($AH101,$F$4:$G$7,2,FALSE),0)+VLOOKUP($R101,武学奇术!$A:$ZZ,2,FALSE)+SUM(_xlfn.XLOOKUP($S101:$AG101,增益!$A:$A,增益!$B:$B,0))</f>
        <v>0.923</v>
      </c>
      <c r="AN101" s="21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1831.48</v>
      </c>
      <c r="AP101" cm="1">
        <f t="array" ref="AP101">$E$10*(1+$AN101)+VLOOKUP($R101,武学奇术!$A:$ZZ,4,FALSE)+SUM(_xlfn.XLOOKUP($S101:$AG101,增益!$A:$A,增益!$D:$D,0))-$I$2</f>
        <v>7763.56</v>
      </c>
      <c r="AQ101" s="26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0.294</v>
      </c>
      <c r="AR101" s="26" cm="1">
        <f t="array" ref="AR101">$G$10+VLOOKUP($R101,武学奇术!$A:$ZZ,7,FALSE)+SUM(_xlfn.XLOOKUP(S101:AG101,增益!$A:$A,增益!$G:$G,0))</f>
        <v>0</v>
      </c>
      <c r="AS101" s="21" cm="1">
        <f t="array" ref="AS101">VLOOKUP($R101,武学奇术!$A:$ZZ,8,FALSE)+SUM(_xlfn.XLOOKUP(S101:AG101,增益!$A:$A,增益!$H:$H,0))</f>
        <v>0</v>
      </c>
      <c r="AT101">
        <f t="shared" si="44"/>
        <v>680.02</v>
      </c>
      <c r="AU101">
        <f t="shared" si="45"/>
        <v>1288.54</v>
      </c>
      <c r="AV101" s="26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26" cm="1">
        <f t="array" ref="AW101">$G$11+VLOOKUP($R101,武学奇术!$A:$ZZ,10,FALSE)+SUM(_xlfn.XLOOKUP(S101:AG101,增益!$A:$A,增益!$J:$J,0))</f>
        <v>0.15</v>
      </c>
      <c r="AX101">
        <f t="shared" si="46"/>
        <v>0</v>
      </c>
      <c r="AY101">
        <f t="shared" si="47"/>
        <v>0</v>
      </c>
      <c r="AZ101" s="26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26" cm="1">
        <f t="array" ref="BA101">$G$12+VLOOKUP($R101,武学奇术!$A:$ZZ,12,FALSE)+SUM(_xlfn.XLOOKUP(S101:AG101,增益!$A:$A,增益!$L:$L,0))</f>
        <v>0</v>
      </c>
      <c r="BB101">
        <f t="shared" si="48"/>
        <v>0</v>
      </c>
      <c r="BC101">
        <f t="shared" si="49"/>
        <v>0</v>
      </c>
      <c r="BD101" s="26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26" cm="1">
        <f t="array" ref="BE101">$G$13+VLOOKUP($R101,武学奇术!$A:$ZZ,14,FALSE)+SUM(_xlfn.XLOOKUP(S101:AG101,增益!$A:$A,增益!$N:$N,0))</f>
        <v>0</v>
      </c>
      <c r="BF101">
        <f t="shared" si="50"/>
        <v>0</v>
      </c>
      <c r="BG101">
        <f t="shared" si="51"/>
        <v>0</v>
      </c>
      <c r="BH101" s="26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26" cm="1">
        <f t="array" ref="BI101">$G$14+VLOOKUP($R101,武学奇术!$A:$ZZ,16,FALSE)+SUM(_xlfn.XLOOKUP(S101:AG101,增益!$A:$A,增益!$P:$P,0))</f>
        <v>0</v>
      </c>
      <c r="BJ101" s="21">
        <f>MIN(IF(VLOOKUP($R101,武学奇术!$A:$ZZ,23,FALSE)=1,100%,$B$8),100%)</f>
        <v>0.8229</v>
      </c>
      <c r="BK101" s="21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0.2285</v>
      </c>
      <c r="BL101" s="21" cm="1">
        <f t="array" ref="BL101">1+$B$13+VLOOKUP($R101,武学奇术!$A:$ZZ,18,FALSE)+SUM(_xlfn.XLOOKUP(S101:AG101,增益!$A:$A,增益!$R:$R,0))</f>
        <v>1.5</v>
      </c>
      <c r="BM101" s="21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0.4495</v>
      </c>
      <c r="BN101" s="21" cm="1">
        <f t="array" ref="BN101">1+$B$14+VLOOKUP($R101,武学奇术!$A:$ZZ,20,FALSE)+SUM(_xlfn.XLOOKUP(S101:AG101,增益!$A:$A,增益!$T:$T,0))</f>
        <v>1.602</v>
      </c>
      <c r="BO101" s="21">
        <f t="shared" si="23"/>
        <v>0.18803265</v>
      </c>
      <c r="BP101" s="21">
        <f t="shared" si="33"/>
        <v>0.2649738</v>
      </c>
      <c r="BQ101" s="21">
        <f>IF(VLOOKUP($R101,武学奇术!$A:$ZZ,22,FALSE)=1,0,(1-$BJ101))*(1-$BM101)</f>
        <v>0.09749355</v>
      </c>
      <c r="BR101" s="21" cm="1">
        <f t="array" ref="BR101">SUM(_xlfn.XLOOKUP(S101:AG101,增益!$A:$A,增益!$W:$W,0))+$I$5</f>
        <v>0.06</v>
      </c>
    </row>
    <row r="102" spans="11:70">
      <c r="K102" s="24">
        <f>$L102*VLOOKUP($R102,武学奇术!$A:$ZZ,31,FALSE)</f>
        <v>60673.9655638333</v>
      </c>
      <c r="L102" s="24">
        <f t="shared" ref="L102:L133" si="52">($M102*$BO102+$N102*$BM102+$O102*$BP102+$P102*$BQ102)</f>
        <v>60673.9655638333</v>
      </c>
      <c r="M102" s="24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53606.6306337119</v>
      </c>
      <c r="N102" s="24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87885.8856527231</v>
      </c>
      <c r="O102" s="24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35737.7537558079</v>
      </c>
      <c r="P102" s="24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16615.4041079185</v>
      </c>
      <c r="Q102" s="31">
        <v>1</v>
      </c>
      <c r="R102" s="32" t="s">
        <v>157</v>
      </c>
      <c r="S102" s="32" t="s">
        <v>73</v>
      </c>
      <c r="T102" s="32" t="s">
        <v>104</v>
      </c>
      <c r="U102" s="32" t="s">
        <v>73</v>
      </c>
      <c r="V102" s="32" t="s">
        <v>73</v>
      </c>
      <c r="W102" s="32" t="s">
        <v>73</v>
      </c>
      <c r="X102" s="32" t="s">
        <v>127</v>
      </c>
      <c r="Y102" s="32" t="s">
        <v>73</v>
      </c>
      <c r="Z102" s="32" t="s">
        <v>73</v>
      </c>
      <c r="AA102" s="32" t="s">
        <v>81</v>
      </c>
      <c r="AB102" s="32" t="s">
        <v>75</v>
      </c>
      <c r="AC102" s="32" t="s">
        <v>76</v>
      </c>
      <c r="AD102" s="32" t="s">
        <v>82</v>
      </c>
      <c r="AE102" s="32" t="s">
        <v>90</v>
      </c>
      <c r="AF102" s="32" t="s">
        <v>73</v>
      </c>
      <c r="AG102" s="32" t="s">
        <v>178</v>
      </c>
      <c r="AH102" t="str">
        <f>VLOOKUP($R102,武学奇术!$A:$ZZ,25,FALSE)</f>
        <v>单体奇术</v>
      </c>
      <c r="AI102" s="21">
        <f>VLOOKUP($R102,武学奇术!$A:$ZZ,26,FALSE)</f>
        <v>1.7065</v>
      </c>
      <c r="AJ102" s="22">
        <f>VLOOKUP($R102,武学奇术!$A:$ZZ,27,FALSE)*(1+IF(OR($AH102=$F$4,$AH102=$F$5),$B$22,0))</f>
        <v>327</v>
      </c>
      <c r="AK102" s="21">
        <f>VLOOKUP($R102,武学奇术!$A:$ZZ,28,FALSE)</f>
        <v>2.55975</v>
      </c>
      <c r="AL102" s="22">
        <f>VLOOKUP($R102,武学奇术!$A:$ZZ,29,FALSE)*(1+IF(OR($AH102=$F$4,$AH102=$F$5),$B$22,0))</f>
        <v>0</v>
      </c>
      <c r="AM102" s="21" cm="1">
        <f t="array" ref="AM102">$G$3+IFERROR(VLOOKUP($AH102,$F$4:$G$7,2,FALSE),0)+VLOOKUP($R102,武学奇术!$A:$ZZ,2,FALSE)+SUM(_xlfn.XLOOKUP($S102:$AG102,增益!$A:$A,增益!$B:$B,0))</f>
        <v>1.423</v>
      </c>
      <c r="AN102" s="21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1831.48</v>
      </c>
      <c r="AP102" cm="1">
        <f t="array" ref="AP102">$E$10*(1+$AN102)+VLOOKUP($R102,武学奇术!$A:$ZZ,4,FALSE)+SUM(_xlfn.XLOOKUP($S102:$AG102,增益!$A:$A,增益!$D:$D,0))-$I$2</f>
        <v>7763.56</v>
      </c>
      <c r="AQ102" s="26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0.294</v>
      </c>
      <c r="AR102" s="26" cm="1">
        <f t="array" ref="AR102">$G$10+VLOOKUP($R102,武学奇术!$A:$ZZ,7,FALSE)+SUM(_xlfn.XLOOKUP(S102:AG102,增益!$A:$A,增益!$G:$G,0))</f>
        <v>0</v>
      </c>
      <c r="AS102" s="21" cm="1">
        <f t="array" ref="AS102">VLOOKUP($R102,武学奇术!$A:$ZZ,8,FALSE)+SUM(_xlfn.XLOOKUP(S102:AG102,增益!$A:$A,增益!$H:$H,0))</f>
        <v>0</v>
      </c>
      <c r="AT102">
        <f t="shared" ref="AT102:AT133" si="53">$D$11*(1+$AS102)</f>
        <v>680.02</v>
      </c>
      <c r="AU102">
        <f t="shared" ref="AU102:AU133" si="54">$E$11*(1+$AS102)</f>
        <v>1288.54</v>
      </c>
      <c r="AV102" s="26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26" cm="1">
        <f t="array" ref="AW102">$G$11+VLOOKUP($R102,武学奇术!$A:$ZZ,10,FALSE)+SUM(_xlfn.XLOOKUP(S102:AG102,增益!$A:$A,增益!$J:$J,0))</f>
        <v>0.15</v>
      </c>
      <c r="AX102">
        <f t="shared" ref="AX102:AX133" si="55">$D$12*(1+$AS102)</f>
        <v>0</v>
      </c>
      <c r="AY102">
        <f t="shared" ref="AY102:AY133" si="56">$E$12*(1+$AS102)</f>
        <v>0</v>
      </c>
      <c r="AZ102" s="26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26" cm="1">
        <f t="array" ref="BA102">$G$12+VLOOKUP($R102,武学奇术!$A:$ZZ,12,FALSE)+SUM(_xlfn.XLOOKUP(S102:AG102,增益!$A:$A,增益!$L:$L,0))</f>
        <v>0</v>
      </c>
      <c r="BB102">
        <f t="shared" ref="BB102:BB133" si="57">$D$13*(1+$AS102)</f>
        <v>0</v>
      </c>
      <c r="BC102">
        <f t="shared" ref="BC102:BC133" si="58">$E$13*(1+$AS102)</f>
        <v>0</v>
      </c>
      <c r="BD102" s="26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26" cm="1">
        <f t="array" ref="BE102">$G$13+VLOOKUP($R102,武学奇术!$A:$ZZ,14,FALSE)+SUM(_xlfn.XLOOKUP(S102:AG102,增益!$A:$A,增益!$N:$N,0))</f>
        <v>0</v>
      </c>
      <c r="BF102">
        <f t="shared" ref="BF102:BF133" si="59">$D$14*(1+$AS102)</f>
        <v>0</v>
      </c>
      <c r="BG102">
        <f t="shared" ref="BG102:BG133" si="60">$E$14*(1+$AS102)</f>
        <v>0</v>
      </c>
      <c r="BH102" s="26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26" cm="1">
        <f t="array" ref="BI102">$G$14+VLOOKUP($R102,武学奇术!$A:$ZZ,16,FALSE)+SUM(_xlfn.XLOOKUP(S102:AG102,增益!$A:$A,增益!$P:$P,0))</f>
        <v>0</v>
      </c>
      <c r="BJ102" s="21">
        <f>MIN(IF(VLOOKUP($R102,武学奇术!$A:$ZZ,23,FALSE)=1,100%,$B$8),100%)</f>
        <v>0.8229</v>
      </c>
      <c r="BK102" s="21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0.2285</v>
      </c>
      <c r="BL102" s="21" cm="1">
        <f t="array" ref="BL102">1+$B$13+VLOOKUP($R102,武学奇术!$A:$ZZ,18,FALSE)+SUM(_xlfn.XLOOKUP(S102:AG102,增益!$A:$A,增益!$R:$R,0))</f>
        <v>1.5</v>
      </c>
      <c r="BM102" s="21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0.4495</v>
      </c>
      <c r="BN102" s="21" cm="1">
        <f t="array" ref="BN102">1+$B$14+VLOOKUP($R102,武学奇术!$A:$ZZ,20,FALSE)+SUM(_xlfn.XLOOKUP(S102:AG102,增益!$A:$A,增益!$T:$T,0))</f>
        <v>1.602</v>
      </c>
      <c r="BO102" s="21">
        <f t="shared" ref="BO102:BO133" si="61">MIN((1-BM102)*BJ102,BJ102*BK102)</f>
        <v>0.18803265</v>
      </c>
      <c r="BP102" s="21">
        <f t="shared" ref="BP102:BP133" si="62">1-BM102-BO102-BQ102</f>
        <v>0.2649738</v>
      </c>
      <c r="BQ102" s="21">
        <f>IF(VLOOKUP($R102,武学奇术!$A:$ZZ,22,FALSE)=1,0,(1-$BJ102))*(1-$BM102)</f>
        <v>0.09749355</v>
      </c>
      <c r="BR102" s="21" cm="1">
        <f t="array" ref="BR102">SUM(_xlfn.XLOOKUP(S102:AG102,增益!$A:$A,增益!$W:$W,0))+$I$5</f>
        <v>0.06</v>
      </c>
    </row>
    <row r="103" spans="11:70">
      <c r="K103" s="24">
        <f>$L103*VLOOKUP($R103,武学奇术!$A:$ZZ,31,FALSE)</f>
        <v>38318.307890793</v>
      </c>
      <c r="L103" s="24">
        <f t="shared" si="52"/>
        <v>38318.307890793</v>
      </c>
      <c r="M103" s="24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33854.7638168852</v>
      </c>
      <c r="N103" s="24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55504.1101495501</v>
      </c>
      <c r="O103" s="24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22569.8425445901</v>
      </c>
      <c r="P103" s="24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10492.9246962027</v>
      </c>
      <c r="Q103" s="31">
        <v>1</v>
      </c>
      <c r="R103" s="32" t="s">
        <v>146</v>
      </c>
      <c r="S103" s="32" t="s">
        <v>73</v>
      </c>
      <c r="T103" s="32" t="s">
        <v>104</v>
      </c>
      <c r="U103" s="32" t="s">
        <v>73</v>
      </c>
      <c r="V103" s="32" t="s">
        <v>73</v>
      </c>
      <c r="W103" s="32" t="s">
        <v>73</v>
      </c>
      <c r="X103" s="32" t="s">
        <v>127</v>
      </c>
      <c r="Y103" s="32" t="s">
        <v>73</v>
      </c>
      <c r="Z103" s="32" t="s">
        <v>73</v>
      </c>
      <c r="AA103" s="32" t="s">
        <v>81</v>
      </c>
      <c r="AB103" s="32" t="s">
        <v>75</v>
      </c>
      <c r="AC103" s="32" t="s">
        <v>76</v>
      </c>
      <c r="AD103" s="32" t="s">
        <v>82</v>
      </c>
      <c r="AE103" s="32" t="s">
        <v>90</v>
      </c>
      <c r="AF103" s="32" t="s">
        <v>73</v>
      </c>
      <c r="AG103" s="32" t="s">
        <v>178</v>
      </c>
      <c r="AH103" t="str">
        <f>VLOOKUP($R103,武学奇术!$A:$ZZ,25,FALSE)</f>
        <v>单体奇术</v>
      </c>
      <c r="AI103" s="21">
        <f>VLOOKUP($R103,武学奇术!$A:$ZZ,26,FALSE)</f>
        <v>1.609</v>
      </c>
      <c r="AJ103" s="22">
        <f>VLOOKUP($R103,武学奇术!$A:$ZZ,27,FALSE)*(1+IF(OR($AH103=$F$4,$AH103=$F$5),$B$22,0))</f>
        <v>308</v>
      </c>
      <c r="AK103" s="21">
        <f>VLOOKUP($R103,武学奇术!$A:$ZZ,28,FALSE)</f>
        <v>2.4135</v>
      </c>
      <c r="AL103" s="22">
        <f>VLOOKUP($R103,武学奇术!$A:$ZZ,29,FALSE)*(1+IF(OR($AH103=$F$4,$AH103=$F$5),$B$22,0))</f>
        <v>0</v>
      </c>
      <c r="AM103" s="21" cm="1">
        <f t="array" ref="AM103">$G$3+IFERROR(VLOOKUP($AH103,$F$4:$G$7,2,FALSE),0)+VLOOKUP($R103,武学奇术!$A:$ZZ,2,FALSE)+SUM(_xlfn.XLOOKUP($S103:$AG103,增益!$A:$A,增益!$B:$B,0))</f>
        <v>0.623</v>
      </c>
      <c r="AN103" s="21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1831.48</v>
      </c>
      <c r="AP103" cm="1">
        <f t="array" ref="AP103">$E$10*(1+$AN103)+VLOOKUP($R103,武学奇术!$A:$ZZ,4,FALSE)+SUM(_xlfn.XLOOKUP($S103:$AG103,增益!$A:$A,增益!$D:$D,0))-$I$2</f>
        <v>7763.56</v>
      </c>
      <c r="AQ103" s="26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0.294</v>
      </c>
      <c r="AR103" s="26" cm="1">
        <f t="array" ref="AR103">$G$10+VLOOKUP($R103,武学奇术!$A:$ZZ,7,FALSE)+SUM(_xlfn.XLOOKUP(S103:AG103,增益!$A:$A,增益!$G:$G,0))</f>
        <v>0</v>
      </c>
      <c r="AS103" s="21" cm="1">
        <f t="array" ref="AS103">VLOOKUP($R103,武学奇术!$A:$ZZ,8,FALSE)+SUM(_xlfn.XLOOKUP(S103:AG103,增益!$A:$A,增益!$H:$H,0))</f>
        <v>0</v>
      </c>
      <c r="AT103">
        <f t="shared" si="53"/>
        <v>680.02</v>
      </c>
      <c r="AU103">
        <f t="shared" si="54"/>
        <v>1288.54</v>
      </c>
      <c r="AV103" s="26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26" cm="1">
        <f t="array" ref="AW103">$G$11+VLOOKUP($R103,武学奇术!$A:$ZZ,10,FALSE)+SUM(_xlfn.XLOOKUP(S103:AG103,增益!$A:$A,增益!$J:$J,0))</f>
        <v>0.15</v>
      </c>
      <c r="AX103">
        <f t="shared" si="55"/>
        <v>0</v>
      </c>
      <c r="AY103">
        <f t="shared" si="56"/>
        <v>0</v>
      </c>
      <c r="AZ103" s="26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26" cm="1">
        <f t="array" ref="BA103">$G$12+VLOOKUP($R103,武学奇术!$A:$ZZ,12,FALSE)+SUM(_xlfn.XLOOKUP(S103:AG103,增益!$A:$A,增益!$L:$L,0))</f>
        <v>0</v>
      </c>
      <c r="BB103">
        <f t="shared" si="57"/>
        <v>0</v>
      </c>
      <c r="BC103">
        <f t="shared" si="58"/>
        <v>0</v>
      </c>
      <c r="BD103" s="26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26" cm="1">
        <f t="array" ref="BE103">$G$13+VLOOKUP($R103,武学奇术!$A:$ZZ,14,FALSE)+SUM(_xlfn.XLOOKUP(S103:AG103,增益!$A:$A,增益!$N:$N,0))</f>
        <v>0</v>
      </c>
      <c r="BF103">
        <f t="shared" si="59"/>
        <v>0</v>
      </c>
      <c r="BG103">
        <f t="shared" si="60"/>
        <v>0</v>
      </c>
      <c r="BH103" s="26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26" cm="1">
        <f t="array" ref="BI103">$G$14+VLOOKUP($R103,武学奇术!$A:$ZZ,16,FALSE)+SUM(_xlfn.XLOOKUP(S103:AG103,增益!$A:$A,增益!$P:$P,0))</f>
        <v>0</v>
      </c>
      <c r="BJ103" s="21">
        <f>MIN(IF(VLOOKUP($R103,武学奇术!$A:$ZZ,23,FALSE)=1,100%,$B$8),100%)</f>
        <v>0.8229</v>
      </c>
      <c r="BK103" s="21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0.2285</v>
      </c>
      <c r="BL103" s="21" cm="1">
        <f t="array" ref="BL103">1+$B$13+VLOOKUP($R103,武学奇术!$A:$ZZ,18,FALSE)+SUM(_xlfn.XLOOKUP(S103:AG103,增益!$A:$A,增益!$R:$R,0))</f>
        <v>1.5</v>
      </c>
      <c r="BM103" s="21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0.4495</v>
      </c>
      <c r="BN103" s="21" cm="1">
        <f t="array" ref="BN103">1+$B$14+VLOOKUP($R103,武学奇术!$A:$ZZ,20,FALSE)+SUM(_xlfn.XLOOKUP(S103:AG103,增益!$A:$A,增益!$T:$T,0))</f>
        <v>1.602</v>
      </c>
      <c r="BO103" s="21">
        <f t="shared" si="61"/>
        <v>0.18803265</v>
      </c>
      <c r="BP103" s="21">
        <f t="shared" si="62"/>
        <v>0.2649738</v>
      </c>
      <c r="BQ103" s="21">
        <f>IF(VLOOKUP($R103,武学奇术!$A:$ZZ,22,FALSE)=1,0,(1-$BJ103))*(1-$BM103)</f>
        <v>0.09749355</v>
      </c>
      <c r="BR103" s="21" cm="1">
        <f t="array" ref="BR103">SUM(_xlfn.XLOOKUP(S103:AG103,增益!$A:$A,增益!$W:$W,0))+$I$5</f>
        <v>0.06</v>
      </c>
    </row>
    <row r="104" spans="11:70">
      <c r="K104" s="24">
        <f>$L104*VLOOKUP($R104,武学奇术!$A:$ZZ,31,FALSE)</f>
        <v>0</v>
      </c>
      <c r="L104" s="24">
        <f t="shared" si="52"/>
        <v>0</v>
      </c>
      <c r="M104" s="24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0</v>
      </c>
      <c r="N104" s="24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0</v>
      </c>
      <c r="O104" s="24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0</v>
      </c>
      <c r="P104" s="24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0</v>
      </c>
      <c r="Q104" s="31">
        <v>1</v>
      </c>
      <c r="R104" s="32" t="s">
        <v>73</v>
      </c>
      <c r="S104" s="32" t="s">
        <v>73</v>
      </c>
      <c r="T104" s="32" t="s">
        <v>73</v>
      </c>
      <c r="U104" s="32" t="s">
        <v>73</v>
      </c>
      <c r="V104" s="32" t="s">
        <v>73</v>
      </c>
      <c r="W104" s="32" t="s">
        <v>73</v>
      </c>
      <c r="X104" s="32" t="s">
        <v>73</v>
      </c>
      <c r="Y104" s="32" t="s">
        <v>73</v>
      </c>
      <c r="Z104" s="32" t="s">
        <v>73</v>
      </c>
      <c r="AA104" s="32" t="s">
        <v>73</v>
      </c>
      <c r="AB104" s="32" t="s">
        <v>73</v>
      </c>
      <c r="AC104" s="32" t="s">
        <v>73</v>
      </c>
      <c r="AD104" s="32" t="s">
        <v>73</v>
      </c>
      <c r="AE104" s="32" t="s">
        <v>73</v>
      </c>
      <c r="AF104" s="32" t="s">
        <v>73</v>
      </c>
      <c r="AG104" s="32" t="s">
        <v>73</v>
      </c>
      <c r="AH104" t="str">
        <f>VLOOKUP($R104,武学奇术!$A:$ZZ,25,FALSE)</f>
        <v>心法</v>
      </c>
      <c r="AI104" s="21">
        <f>VLOOKUP($R104,武学奇术!$A:$ZZ,26,FALSE)</f>
        <v>0</v>
      </c>
      <c r="AJ104" s="22">
        <f>VLOOKUP($R104,武学奇术!$A:$ZZ,27,FALSE)*(1+IF(OR($AH104=$F$4,$AH104=$F$5),$B$22,0))</f>
        <v>0</v>
      </c>
      <c r="AK104" s="21">
        <f>VLOOKUP($R104,武学奇术!$A:$ZZ,28,FALSE)</f>
        <v>0</v>
      </c>
      <c r="AL104" s="22">
        <f>VLOOKUP($R104,武学奇术!$A:$ZZ,29,FALSE)*(1+IF(OR($AH104=$F$4,$AH104=$F$5),$B$22,0))</f>
        <v>0</v>
      </c>
      <c r="AM104" s="21" cm="1">
        <f t="array" ref="AM104">$G$3+IFERROR(VLOOKUP($AH104,$F$4:$G$7,2,FALSE),0)+VLOOKUP($R104,武学奇术!$A:$ZZ,2,FALSE)+SUM(_xlfn.XLOOKUP($S104:$AG104,增益!$A:$A,增益!$B:$B,0))</f>
        <v>0.1842</v>
      </c>
      <c r="AN104" s="21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1831.48</v>
      </c>
      <c r="AP104" cm="1">
        <f t="array" ref="AP104">$E$10*(1+$AN104)+VLOOKUP($R104,武学奇术!$A:$ZZ,4,FALSE)+SUM(_xlfn.XLOOKUP($S104:$AG104,增益!$A:$A,增益!$D:$D,0))-$I$2</f>
        <v>7763.56</v>
      </c>
      <c r="AQ104" s="26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0.244</v>
      </c>
      <c r="AR104" s="26" cm="1">
        <f t="array" ref="AR104">$G$10+VLOOKUP($R104,武学奇术!$A:$ZZ,7,FALSE)+SUM(_xlfn.XLOOKUP(S104:AG104,增益!$A:$A,增益!$G:$G,0))</f>
        <v>0</v>
      </c>
      <c r="AS104" s="21" cm="1">
        <f t="array" ref="AS104">VLOOKUP($R104,武学奇术!$A:$ZZ,8,FALSE)+SUM(_xlfn.XLOOKUP(S104:AG104,增益!$A:$A,增益!$H:$H,0))</f>
        <v>0</v>
      </c>
      <c r="AT104">
        <f t="shared" si="53"/>
        <v>680.02</v>
      </c>
      <c r="AU104">
        <f t="shared" si="54"/>
        <v>1288.54</v>
      </c>
      <c r="AV104" s="26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26" cm="1">
        <f t="array" ref="AW104">$G$11+VLOOKUP($R104,武学奇术!$A:$ZZ,10,FALSE)+SUM(_xlfn.XLOOKUP(S104:AG104,增益!$A:$A,增益!$J:$J,0))</f>
        <v>0.15</v>
      </c>
      <c r="AX104">
        <f t="shared" si="55"/>
        <v>0</v>
      </c>
      <c r="AY104">
        <f t="shared" si="56"/>
        <v>0</v>
      </c>
      <c r="AZ104" s="26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26" cm="1">
        <f t="array" ref="BA104">$G$12+VLOOKUP($R104,武学奇术!$A:$ZZ,12,FALSE)+SUM(_xlfn.XLOOKUP(S104:AG104,增益!$A:$A,增益!$L:$L,0))</f>
        <v>0</v>
      </c>
      <c r="BB104">
        <f t="shared" si="57"/>
        <v>0</v>
      </c>
      <c r="BC104">
        <f t="shared" si="58"/>
        <v>0</v>
      </c>
      <c r="BD104" s="26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26" cm="1">
        <f t="array" ref="BE104">$G$13+VLOOKUP($R104,武学奇术!$A:$ZZ,14,FALSE)+SUM(_xlfn.XLOOKUP(S104:AG104,增益!$A:$A,增益!$N:$N,0))</f>
        <v>0</v>
      </c>
      <c r="BF104">
        <f t="shared" si="59"/>
        <v>0</v>
      </c>
      <c r="BG104">
        <f t="shared" si="60"/>
        <v>0</v>
      </c>
      <c r="BH104" s="26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26" cm="1">
        <f t="array" ref="BI104">$G$14+VLOOKUP($R104,武学奇术!$A:$ZZ,16,FALSE)+SUM(_xlfn.XLOOKUP(S104:AG104,增益!$A:$A,增益!$P:$P,0))</f>
        <v>0</v>
      </c>
      <c r="BJ104" s="21">
        <f>MIN(IF(VLOOKUP($R104,武学奇术!$A:$ZZ,23,FALSE)=1,100%,$B$8),100%)</f>
        <v>0.8229</v>
      </c>
      <c r="BK104" s="21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0.2285</v>
      </c>
      <c r="BL104" s="21" cm="1">
        <f t="array" ref="BL104">1+$B$13+VLOOKUP($R104,武学奇术!$A:$ZZ,18,FALSE)+SUM(_xlfn.XLOOKUP(S104:AG104,增益!$A:$A,增益!$R:$R,0))</f>
        <v>1.5</v>
      </c>
      <c r="BM104" s="21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0.4195</v>
      </c>
      <c r="BN104" s="21" cm="1">
        <f t="array" ref="BN104">1+$B$14+VLOOKUP($R104,武学奇术!$A:$ZZ,20,FALSE)+SUM(_xlfn.XLOOKUP(S104:AG104,增益!$A:$A,增益!$T:$T,0))</f>
        <v>1.402</v>
      </c>
      <c r="BO104" s="21">
        <f t="shared" si="61"/>
        <v>0.18803265</v>
      </c>
      <c r="BP104" s="21">
        <f t="shared" si="62"/>
        <v>0.2896608</v>
      </c>
      <c r="BQ104" s="21">
        <f>IF(VLOOKUP($R104,武学奇术!$A:$ZZ,22,FALSE)=1,0,(1-$BJ104))*(1-$BM104)</f>
        <v>0.10280655</v>
      </c>
      <c r="BR104" s="21" cm="1">
        <f t="array" ref="BR104">SUM(_xlfn.XLOOKUP(S104:AG104,增益!$A:$A,增益!$W:$W,0))+$I$5</f>
        <v>0.06</v>
      </c>
    </row>
    <row r="105" spans="11:70">
      <c r="K105" s="24">
        <f>$L105*VLOOKUP($R105,武学奇术!$A:$ZZ,31,FALSE)</f>
        <v>55954.1725109466</v>
      </c>
      <c r="L105" s="24">
        <f t="shared" si="52"/>
        <v>55954.1725109466</v>
      </c>
      <c r="M105" s="24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53624.7862417763</v>
      </c>
      <c r="N105" s="24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80229.8952576687</v>
      </c>
      <c r="O105" s="24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35749.8574945175</v>
      </c>
      <c r="P105" s="24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18084.3386523714</v>
      </c>
      <c r="Q105" s="31">
        <v>1</v>
      </c>
      <c r="R105" s="32" t="s">
        <v>174</v>
      </c>
      <c r="S105" s="32" t="s">
        <v>73</v>
      </c>
      <c r="T105" s="32" t="s">
        <v>73</v>
      </c>
      <c r="U105" s="32" t="s">
        <v>73</v>
      </c>
      <c r="V105" s="32" t="s">
        <v>73</v>
      </c>
      <c r="W105" s="32" t="s">
        <v>73</v>
      </c>
      <c r="X105" s="32" t="s">
        <v>127</v>
      </c>
      <c r="Y105" s="32" t="s">
        <v>73</v>
      </c>
      <c r="Z105" s="32" t="s">
        <v>73</v>
      </c>
      <c r="AA105" s="32" t="s">
        <v>73</v>
      </c>
      <c r="AB105" s="32" t="s">
        <v>75</v>
      </c>
      <c r="AC105" s="32" t="s">
        <v>76</v>
      </c>
      <c r="AD105" s="32" t="s">
        <v>82</v>
      </c>
      <c r="AE105" s="32" t="s">
        <v>73</v>
      </c>
      <c r="AF105" s="32" t="s">
        <v>73</v>
      </c>
      <c r="AG105" s="32" t="s">
        <v>178</v>
      </c>
      <c r="AH105" t="str">
        <f>VLOOKUP($R105,武学奇术!$A:$ZZ,25,FALSE)</f>
        <v>剑</v>
      </c>
      <c r="AI105" s="21">
        <f>VLOOKUP($R105,武学奇术!$A:$ZZ,26,FALSE)</f>
        <v>2.7205</v>
      </c>
      <c r="AJ105" s="22">
        <f>VLOOKUP($R105,武学奇术!$A:$ZZ,27,FALSE)*(1+IF(OR($AH105=$F$4,$AH105=$F$5),$B$22,0))</f>
        <v>1123.5</v>
      </c>
      <c r="AK105" s="21">
        <f>VLOOKUP($R105,武学奇术!$A:$ZZ,28,FALSE)</f>
        <v>4.0806</v>
      </c>
      <c r="AL105" s="22">
        <f>VLOOKUP($R105,武学奇术!$A:$ZZ,29,FALSE)*(1+IF(OR($AH105=$F$4,$AH105=$F$5),$B$22,0))</f>
        <v>613.5</v>
      </c>
      <c r="AM105" s="21" cm="1">
        <f t="array" ref="AM105">$G$3+IFERROR(VLOOKUP($AH105,$F$4:$G$7,2,FALSE),0)+VLOOKUP($R105,武学奇术!$A:$ZZ,2,FALSE)+SUM(_xlfn.XLOOKUP($S105:$AG105,增益!$A:$A,增益!$B:$B,0))</f>
        <v>0.4041</v>
      </c>
      <c r="AN105" s="21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1831.48</v>
      </c>
      <c r="AP105" cm="1">
        <f t="array" ref="AP105">$E$10*(1+$AN105)+VLOOKUP($R105,武学奇术!$A:$ZZ,4,FALSE)+SUM(_xlfn.XLOOKUP($S105:$AG105,增益!$A:$A,增益!$D:$D,0))-$I$2</f>
        <v>7763.56</v>
      </c>
      <c r="AQ105" s="26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0.294</v>
      </c>
      <c r="AR105" s="26" cm="1">
        <f t="array" ref="AR105">$G$10+VLOOKUP($R105,武学奇术!$A:$ZZ,7,FALSE)+SUM(_xlfn.XLOOKUP(S105:AG105,增益!$A:$A,增益!$G:$G,0))</f>
        <v>0</v>
      </c>
      <c r="AS105" s="21" cm="1">
        <f t="array" ref="AS105">VLOOKUP($R105,武学奇术!$A:$ZZ,8,FALSE)+SUM(_xlfn.XLOOKUP(S105:AG105,增益!$A:$A,增益!$H:$H,0))</f>
        <v>0</v>
      </c>
      <c r="AT105">
        <f t="shared" si="53"/>
        <v>680.02</v>
      </c>
      <c r="AU105">
        <f t="shared" si="54"/>
        <v>1288.54</v>
      </c>
      <c r="AV105" s="26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26" cm="1">
        <f t="array" ref="AW105">$G$11+VLOOKUP($R105,武学奇术!$A:$ZZ,10,FALSE)+SUM(_xlfn.XLOOKUP(S105:AG105,增益!$A:$A,增益!$J:$J,0))</f>
        <v>0.15</v>
      </c>
      <c r="AX105">
        <f t="shared" si="55"/>
        <v>0</v>
      </c>
      <c r="AY105">
        <f t="shared" si="56"/>
        <v>0</v>
      </c>
      <c r="AZ105" s="26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26" cm="1">
        <f t="array" ref="BA105">$G$12+VLOOKUP($R105,武学奇术!$A:$ZZ,12,FALSE)+SUM(_xlfn.XLOOKUP(S105:AG105,增益!$A:$A,增益!$L:$L,0))</f>
        <v>0</v>
      </c>
      <c r="BB105">
        <f t="shared" si="57"/>
        <v>0</v>
      </c>
      <c r="BC105">
        <f t="shared" si="58"/>
        <v>0</v>
      </c>
      <c r="BD105" s="26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26" cm="1">
        <f t="array" ref="BE105">$G$13+VLOOKUP($R105,武学奇术!$A:$ZZ,14,FALSE)+SUM(_xlfn.XLOOKUP(S105:AG105,增益!$A:$A,增益!$N:$N,0))</f>
        <v>0</v>
      </c>
      <c r="BF105">
        <f t="shared" si="59"/>
        <v>0</v>
      </c>
      <c r="BG105">
        <f t="shared" si="60"/>
        <v>0</v>
      </c>
      <c r="BH105" s="26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26" cm="1">
        <f t="array" ref="BI105">$G$14+VLOOKUP($R105,武学奇术!$A:$ZZ,16,FALSE)+SUM(_xlfn.XLOOKUP(S105:AG105,增益!$A:$A,增益!$P:$P,0))</f>
        <v>0</v>
      </c>
      <c r="BJ105" s="21">
        <f>MIN(IF(VLOOKUP($R105,武学奇术!$A:$ZZ,23,FALSE)=1,100%,$B$8),100%)</f>
        <v>0.8229</v>
      </c>
      <c r="BK105" s="21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0.2285</v>
      </c>
      <c r="BL105" s="21" cm="1">
        <f t="array" ref="BL105">1+$B$13+VLOOKUP($R105,武学奇术!$A:$ZZ,18,FALSE)+SUM(_xlfn.XLOOKUP(S105:AG105,增益!$A:$A,增益!$R:$R,0))</f>
        <v>1.5</v>
      </c>
      <c r="BM105" s="21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0.4195</v>
      </c>
      <c r="BN105" s="21" cm="1">
        <f t="array" ref="BN105">1+$B$14+VLOOKUP($R105,武学奇术!$A:$ZZ,20,FALSE)+SUM(_xlfn.XLOOKUP(S105:AG105,增益!$A:$A,增益!$T:$T,0))</f>
        <v>1.502</v>
      </c>
      <c r="BO105" s="21">
        <f t="shared" si="61"/>
        <v>0.18803265</v>
      </c>
      <c r="BP105" s="21">
        <f t="shared" si="62"/>
        <v>0.2896608</v>
      </c>
      <c r="BQ105" s="21">
        <f>IF(VLOOKUP($R105,武学奇术!$A:$ZZ,22,FALSE)=1,0,(1-$BJ105))*(1-$BM105)</f>
        <v>0.10280655</v>
      </c>
      <c r="BR105" s="21" cm="1">
        <f t="array" ref="BR105">SUM(_xlfn.XLOOKUP(S105:AG105,增益!$A:$A,增益!$W:$W,0))+$I$5</f>
        <v>0.06</v>
      </c>
    </row>
    <row r="106" spans="11:70">
      <c r="K106" s="24">
        <f>$L106*VLOOKUP($R106,武学奇术!$A:$ZZ,31,FALSE)</f>
        <v>24120.6701638005</v>
      </c>
      <c r="L106" s="24">
        <f t="shared" si="52"/>
        <v>24120.6701638005</v>
      </c>
      <c r="M106" s="24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22804.474082617</v>
      </c>
      <c r="N106" s="24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35046.0592359746</v>
      </c>
      <c r="O106" s="24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15202.9827217447</v>
      </c>
      <c r="P106" s="24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7073.03652473126</v>
      </c>
      <c r="Q106" s="31">
        <v>1</v>
      </c>
      <c r="R106" s="32" t="s">
        <v>114</v>
      </c>
      <c r="S106" s="32" t="s">
        <v>73</v>
      </c>
      <c r="T106" s="32" t="s">
        <v>73</v>
      </c>
      <c r="U106" s="32" t="s">
        <v>73</v>
      </c>
      <c r="V106" s="32" t="s">
        <v>73</v>
      </c>
      <c r="W106" s="32" t="s">
        <v>73</v>
      </c>
      <c r="X106" s="32" t="s">
        <v>127</v>
      </c>
      <c r="Y106" s="32" t="s">
        <v>73</v>
      </c>
      <c r="Z106" s="32" t="s">
        <v>73</v>
      </c>
      <c r="AA106" s="32" t="s">
        <v>81</v>
      </c>
      <c r="AB106" s="32" t="s">
        <v>75</v>
      </c>
      <c r="AC106" s="32" t="s">
        <v>89</v>
      </c>
      <c r="AD106" s="32" t="s">
        <v>82</v>
      </c>
      <c r="AE106" s="32" t="s">
        <v>73</v>
      </c>
      <c r="AF106" s="32" t="s">
        <v>73</v>
      </c>
      <c r="AG106" s="32" t="s">
        <v>178</v>
      </c>
      <c r="AH106" t="str">
        <f>VLOOKUP($R106,武学奇术!$A:$ZZ,25,FALSE)</f>
        <v>单体奇术</v>
      </c>
      <c r="AI106" s="21">
        <f>VLOOKUP($R106,武学奇术!$A:$ZZ,26,FALSE)</f>
        <v>1.28505</v>
      </c>
      <c r="AJ106" s="22">
        <f>VLOOKUP($R106,武学奇术!$A:$ZZ,27,FALSE)*(1+IF(OR($AH106=$F$4,$AH106=$F$5),$B$22,0))</f>
        <v>251</v>
      </c>
      <c r="AK106" s="21">
        <f>VLOOKUP($R106,武学奇术!$A:$ZZ,28,FALSE)</f>
        <v>1.927575</v>
      </c>
      <c r="AL106" s="22">
        <f>VLOOKUP($R106,武学奇术!$A:$ZZ,29,FALSE)*(1+IF(OR($AH106=$F$4,$AH106=$F$5),$B$22,0))</f>
        <v>0</v>
      </c>
      <c r="AM106" s="21" cm="1">
        <f t="array" ref="AM106">$G$3+IFERROR(VLOOKUP($AH106,$F$4:$G$7,2,FALSE),0)+VLOOKUP($R106,武学奇术!$A:$ZZ,2,FALSE)+SUM(_xlfn.XLOOKUP($S106:$AG106,增益!$A:$A,增益!$B:$B,0))</f>
        <v>0.368</v>
      </c>
      <c r="AN106" s="21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1831.48</v>
      </c>
      <c r="AP106" cm="1">
        <f t="array" ref="AP106">$E$10*(1+$AN106)+VLOOKUP($R106,武学奇术!$A:$ZZ,4,FALSE)+SUM(_xlfn.XLOOKUP($S106:$AG106,增益!$A:$A,增益!$D:$D,0))-$I$2</f>
        <v>7763.56</v>
      </c>
      <c r="AQ106" s="26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0.294</v>
      </c>
      <c r="AR106" s="26" cm="1">
        <f t="array" ref="AR106">$G$10+VLOOKUP($R106,武学奇术!$A:$ZZ,7,FALSE)+SUM(_xlfn.XLOOKUP(S106:AG106,增益!$A:$A,增益!$G:$G,0))</f>
        <v>0</v>
      </c>
      <c r="AS106" s="21" cm="1">
        <f t="array" ref="AS106">VLOOKUP($R106,武学奇术!$A:$ZZ,8,FALSE)+SUM(_xlfn.XLOOKUP(S106:AG106,增益!$A:$A,增益!$H:$H,0))</f>
        <v>0</v>
      </c>
      <c r="AT106">
        <f t="shared" si="53"/>
        <v>680.02</v>
      </c>
      <c r="AU106">
        <f t="shared" si="54"/>
        <v>1288.54</v>
      </c>
      <c r="AV106" s="26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26" cm="1">
        <f t="array" ref="AW106">$G$11+VLOOKUP($R106,武学奇术!$A:$ZZ,10,FALSE)+SUM(_xlfn.XLOOKUP(S106:AG106,增益!$A:$A,增益!$J:$J,0))</f>
        <v>0.15</v>
      </c>
      <c r="AX106">
        <f t="shared" si="55"/>
        <v>0</v>
      </c>
      <c r="AY106">
        <f t="shared" si="56"/>
        <v>0</v>
      </c>
      <c r="AZ106" s="26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26" cm="1">
        <f t="array" ref="BA106">$G$12+VLOOKUP($R106,武学奇术!$A:$ZZ,12,FALSE)+SUM(_xlfn.XLOOKUP(S106:AG106,增益!$A:$A,增益!$L:$L,0))</f>
        <v>0</v>
      </c>
      <c r="BB106">
        <f t="shared" si="57"/>
        <v>0</v>
      </c>
      <c r="BC106">
        <f t="shared" si="58"/>
        <v>0</v>
      </c>
      <c r="BD106" s="26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26" cm="1">
        <f t="array" ref="BE106">$G$13+VLOOKUP($R106,武学奇术!$A:$ZZ,14,FALSE)+SUM(_xlfn.XLOOKUP(S106:AG106,增益!$A:$A,增益!$N:$N,0))</f>
        <v>0</v>
      </c>
      <c r="BF106">
        <f t="shared" si="59"/>
        <v>0</v>
      </c>
      <c r="BG106">
        <f t="shared" si="60"/>
        <v>0</v>
      </c>
      <c r="BH106" s="26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26" cm="1">
        <f t="array" ref="BI106">$G$14+VLOOKUP($R106,武学奇术!$A:$ZZ,16,FALSE)+SUM(_xlfn.XLOOKUP(S106:AG106,增益!$A:$A,增益!$P:$P,0))</f>
        <v>0</v>
      </c>
      <c r="BJ106" s="21">
        <f>MIN(IF(VLOOKUP($R106,武学奇术!$A:$ZZ,23,FALSE)=1,100%,$B$8),100%)</f>
        <v>0.8229</v>
      </c>
      <c r="BK106" s="21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0.2285</v>
      </c>
      <c r="BL106" s="21" cm="1">
        <f t="array" ref="BL106">1+$B$13+VLOOKUP($R106,武学奇术!$A:$ZZ,18,FALSE)+SUM(_xlfn.XLOOKUP(S106:AG106,增益!$A:$A,增益!$R:$R,0))</f>
        <v>1.5</v>
      </c>
      <c r="BM106" s="21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0.4195</v>
      </c>
      <c r="BN106" s="21" cm="1">
        <f t="array" ref="BN106">1+$B$14+VLOOKUP($R106,武学奇术!$A:$ZZ,20,FALSE)+SUM(_xlfn.XLOOKUP(S106:AG106,增益!$A:$A,增益!$T:$T,0))</f>
        <v>1.502</v>
      </c>
      <c r="BO106" s="21">
        <f t="shared" si="61"/>
        <v>0.18803265</v>
      </c>
      <c r="BP106" s="21">
        <f t="shared" si="62"/>
        <v>0.2896608</v>
      </c>
      <c r="BQ106" s="21">
        <f>IF(VLOOKUP($R106,武学奇术!$A:$ZZ,22,FALSE)=1,0,(1-$BJ106))*(1-$BM106)</f>
        <v>0.10280655</v>
      </c>
      <c r="BR106" s="21" cm="1">
        <f t="array" ref="BR106">SUM(_xlfn.XLOOKUP(S106:AG106,增益!$A:$A,增益!$W:$W,0))+$I$5</f>
        <v>0.06</v>
      </c>
    </row>
    <row r="107" spans="11:70">
      <c r="K107" s="24">
        <f>$L107*VLOOKUP($R107,武学奇术!$A:$ZZ,31,FALSE)</f>
        <v>41333.4876007807</v>
      </c>
      <c r="L107" s="24">
        <f t="shared" si="52"/>
        <v>41333.4876007807</v>
      </c>
      <c r="M107" s="24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39610.3828813582</v>
      </c>
      <c r="N107" s="24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59269.5400088694</v>
      </c>
      <c r="O107" s="24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26406.9219209054</v>
      </c>
      <c r="P107" s="24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13353.4310529498</v>
      </c>
      <c r="Q107" s="31">
        <v>1</v>
      </c>
      <c r="R107" s="32" t="s">
        <v>80</v>
      </c>
      <c r="S107" s="32" t="s">
        <v>73</v>
      </c>
      <c r="T107" s="32" t="s">
        <v>73</v>
      </c>
      <c r="U107" s="32" t="s">
        <v>73</v>
      </c>
      <c r="V107" s="32" t="s">
        <v>73</v>
      </c>
      <c r="W107" s="32" t="s">
        <v>73</v>
      </c>
      <c r="X107" s="32" t="s">
        <v>127</v>
      </c>
      <c r="Y107" s="32" t="s">
        <v>73</v>
      </c>
      <c r="Z107" s="32" t="s">
        <v>73</v>
      </c>
      <c r="AA107" s="32" t="s">
        <v>81</v>
      </c>
      <c r="AB107" s="32" t="s">
        <v>75</v>
      </c>
      <c r="AC107" s="32" t="s">
        <v>89</v>
      </c>
      <c r="AD107" s="32" t="s">
        <v>82</v>
      </c>
      <c r="AE107" s="32" t="s">
        <v>73</v>
      </c>
      <c r="AF107" s="32" t="s">
        <v>73</v>
      </c>
      <c r="AG107" s="32" t="s">
        <v>178</v>
      </c>
      <c r="AH107" t="str">
        <f>VLOOKUP($R107,武学奇术!$A:$ZZ,25,FALSE)</f>
        <v>枪</v>
      </c>
      <c r="AI107" s="21">
        <f>VLOOKUP($R107,武学奇术!$A:$ZZ,26,FALSE)</f>
        <v>2.1401</v>
      </c>
      <c r="AJ107" s="22">
        <f>VLOOKUP($R107,武学奇术!$A:$ZZ,27,FALSE)*(1+IF(OR($AH107=$F$4,$AH107=$F$5),$B$22,0))</f>
        <v>882</v>
      </c>
      <c r="AK107" s="21">
        <f>VLOOKUP($R107,武学奇术!$A:$ZZ,28,FALSE)</f>
        <v>3.2101</v>
      </c>
      <c r="AL107" s="22">
        <f>VLOOKUP($R107,武学奇术!$A:$ZZ,29,FALSE)*(1+IF(OR($AH107=$F$4,$AH107=$F$5),$B$22,0))</f>
        <v>480</v>
      </c>
      <c r="AM107" s="21" cm="1">
        <f t="array" ref="AM107">$G$3+IFERROR(VLOOKUP($AH107,$F$4:$G$7,2,FALSE),0)+VLOOKUP($R107,武学奇术!$A:$ZZ,2,FALSE)+SUM(_xlfn.XLOOKUP($S107:$AG107,增益!$A:$A,增益!$B:$B,0))</f>
        <v>0.3189</v>
      </c>
      <c r="AN107" s="21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1831.48</v>
      </c>
      <c r="AP107" cm="1">
        <f t="array" ref="AP107">$E$10*(1+$AN107)+VLOOKUP($R107,武学奇术!$A:$ZZ,4,FALSE)+SUM(_xlfn.XLOOKUP($S107:$AG107,增益!$A:$A,增益!$D:$D,0))-$I$2</f>
        <v>7763.56</v>
      </c>
      <c r="AQ107" s="26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0.294</v>
      </c>
      <c r="AR107" s="26" cm="1">
        <f t="array" ref="AR107">$G$10+VLOOKUP($R107,武学奇术!$A:$ZZ,7,FALSE)+SUM(_xlfn.XLOOKUP(S107:AG107,增益!$A:$A,增益!$G:$G,0))</f>
        <v>0</v>
      </c>
      <c r="AS107" s="21" cm="1">
        <f t="array" ref="AS107">VLOOKUP($R107,武学奇术!$A:$ZZ,8,FALSE)+SUM(_xlfn.XLOOKUP(S107:AG107,增益!$A:$A,增益!$H:$H,0))</f>
        <v>0</v>
      </c>
      <c r="AT107">
        <f t="shared" si="53"/>
        <v>680.02</v>
      </c>
      <c r="AU107">
        <f t="shared" si="54"/>
        <v>1288.54</v>
      </c>
      <c r="AV107" s="26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</v>
      </c>
      <c r="AW107" s="26" cm="1">
        <f t="array" ref="AW107">$G$11+VLOOKUP($R107,武学奇术!$A:$ZZ,10,FALSE)+SUM(_xlfn.XLOOKUP(S107:AG107,增益!$A:$A,增益!$J:$J,0))</f>
        <v>0.15</v>
      </c>
      <c r="AX107">
        <f t="shared" si="55"/>
        <v>0</v>
      </c>
      <c r="AY107">
        <f t="shared" si="56"/>
        <v>0</v>
      </c>
      <c r="AZ107" s="26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26" cm="1">
        <f t="array" ref="BA107">$G$12+VLOOKUP($R107,武学奇术!$A:$ZZ,12,FALSE)+SUM(_xlfn.XLOOKUP(S107:AG107,增益!$A:$A,增益!$L:$L,0))</f>
        <v>0</v>
      </c>
      <c r="BB107">
        <f t="shared" si="57"/>
        <v>0</v>
      </c>
      <c r="BC107">
        <f t="shared" si="58"/>
        <v>0</v>
      </c>
      <c r="BD107" s="26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26" cm="1">
        <f t="array" ref="BE107">$G$13+VLOOKUP($R107,武学奇术!$A:$ZZ,14,FALSE)+SUM(_xlfn.XLOOKUP(S107:AG107,增益!$A:$A,增益!$N:$N,0))</f>
        <v>0</v>
      </c>
      <c r="BF107">
        <f t="shared" si="59"/>
        <v>0</v>
      </c>
      <c r="BG107">
        <f t="shared" si="60"/>
        <v>0</v>
      </c>
      <c r="BH107" s="26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26" cm="1">
        <f t="array" ref="BI107">$G$14+VLOOKUP($R107,武学奇术!$A:$ZZ,16,FALSE)+SUM(_xlfn.XLOOKUP(S107:AG107,增益!$A:$A,增益!$P:$P,0))</f>
        <v>0</v>
      </c>
      <c r="BJ107" s="21">
        <f>MIN(IF(VLOOKUP($R107,武学奇术!$A:$ZZ,23,FALSE)=1,100%,$B$8),100%)</f>
        <v>0.8229</v>
      </c>
      <c r="BK107" s="21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0.2285</v>
      </c>
      <c r="BL107" s="21" cm="1">
        <f t="array" ref="BL107">1+$B$13+VLOOKUP($R107,武学奇术!$A:$ZZ,18,FALSE)+SUM(_xlfn.XLOOKUP(S107:AG107,增益!$A:$A,增益!$R:$R,0))</f>
        <v>1.5</v>
      </c>
      <c r="BM107" s="21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0.4195</v>
      </c>
      <c r="BN107" s="21" cm="1">
        <f t="array" ref="BN107">1+$B$14+VLOOKUP($R107,武学奇术!$A:$ZZ,20,FALSE)+SUM(_xlfn.XLOOKUP(S107:AG107,增益!$A:$A,增益!$T:$T,0))</f>
        <v>1.502</v>
      </c>
      <c r="BO107" s="21">
        <f t="shared" si="61"/>
        <v>0.18803265</v>
      </c>
      <c r="BP107" s="21">
        <f t="shared" si="62"/>
        <v>0.2896608</v>
      </c>
      <c r="BQ107" s="21">
        <f>IF(VLOOKUP($R107,武学奇术!$A:$ZZ,22,FALSE)=1,0,(1-$BJ107))*(1-$BM107)</f>
        <v>0.10280655</v>
      </c>
      <c r="BR107" s="21" cm="1">
        <f t="array" ref="BR107">SUM(_xlfn.XLOOKUP(S107:AG107,增益!$A:$A,增益!$W:$W,0))+$I$5</f>
        <v>0.06</v>
      </c>
    </row>
    <row r="108" spans="11:70">
      <c r="K108" s="24">
        <f>$L108*VLOOKUP($R108,武学奇术!$A:$ZZ,31,FALSE)</f>
        <v>31704.5374887003</v>
      </c>
      <c r="L108" s="24">
        <f t="shared" si="52"/>
        <v>31704.5374887003</v>
      </c>
      <c r="M108" s="24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28439.9394136339</v>
      </c>
      <c r="N108" s="24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45378.6077315996</v>
      </c>
      <c r="O108" s="24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18959.9596090893</v>
      </c>
      <c r="P108" s="24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9593.69716349716</v>
      </c>
      <c r="Q108" s="31">
        <v>1</v>
      </c>
      <c r="R108" s="32" t="s">
        <v>86</v>
      </c>
      <c r="S108" s="32" t="s">
        <v>87</v>
      </c>
      <c r="T108" s="32" t="s">
        <v>104</v>
      </c>
      <c r="U108" s="32" t="s">
        <v>73</v>
      </c>
      <c r="V108" s="32" t="s">
        <v>73</v>
      </c>
      <c r="W108" s="32" t="s">
        <v>73</v>
      </c>
      <c r="X108" s="32" t="s">
        <v>127</v>
      </c>
      <c r="Y108" s="32" t="s">
        <v>73</v>
      </c>
      <c r="Z108" s="32" t="s">
        <v>73</v>
      </c>
      <c r="AA108" s="32" t="s">
        <v>81</v>
      </c>
      <c r="AB108" s="32" t="s">
        <v>75</v>
      </c>
      <c r="AC108" s="32" t="s">
        <v>89</v>
      </c>
      <c r="AD108" s="32" t="s">
        <v>82</v>
      </c>
      <c r="AE108" s="32" t="s">
        <v>73</v>
      </c>
      <c r="AF108" s="32" t="s">
        <v>73</v>
      </c>
      <c r="AG108" s="32" t="s">
        <v>178</v>
      </c>
      <c r="AH108" t="str">
        <f>VLOOKUP($R108,武学奇术!$A:$ZZ,25,FALSE)</f>
        <v>剑</v>
      </c>
      <c r="AI108" s="21">
        <f>VLOOKUP($R108,武学奇术!$A:$ZZ,26,FALSE)</f>
        <v>1.1781</v>
      </c>
      <c r="AJ108" s="22">
        <f>VLOOKUP($R108,武学奇术!$A:$ZZ,27,FALSE)*(1+IF(OR($AH108=$F$4,$AH108=$F$5),$B$22,0))</f>
        <v>489</v>
      </c>
      <c r="AK108" s="21">
        <f>VLOOKUP($R108,武学奇术!$A:$ZZ,28,FALSE)</f>
        <v>1.7672</v>
      </c>
      <c r="AL108" s="22">
        <f>VLOOKUP($R108,武学奇术!$A:$ZZ,29,FALSE)*(1+IF(OR($AH108=$F$4,$AH108=$F$5),$B$22,0))</f>
        <v>265.5</v>
      </c>
      <c r="AM108" s="21" cm="1">
        <f t="array" ref="AM108">$G$3+IFERROR(VLOOKUP($AH108,$F$4:$G$7,2,FALSE),0)+VLOOKUP($R108,武学奇术!$A:$ZZ,2,FALSE)+SUM(_xlfn.XLOOKUP($S108:$AG108,增益!$A:$A,增益!$B:$B,0))</f>
        <v>0.7191</v>
      </c>
      <c r="AN108" s="21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1831.48</v>
      </c>
      <c r="AP108" cm="1">
        <f t="array" ref="AP108">$E$10*(1+$AN108)+VLOOKUP($R108,武学奇术!$A:$ZZ,4,FALSE)+SUM(_xlfn.XLOOKUP($S108:$AG108,增益!$A:$A,增益!$D:$D,0))-$I$2</f>
        <v>7763.56</v>
      </c>
      <c r="AQ108" s="26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0.294</v>
      </c>
      <c r="AR108" s="26" cm="1">
        <f t="array" ref="AR108">$G$10+VLOOKUP($R108,武学奇术!$A:$ZZ,7,FALSE)+SUM(_xlfn.XLOOKUP(S108:AG108,增益!$A:$A,增益!$G:$G,0))</f>
        <v>0</v>
      </c>
      <c r="AS108" s="21" cm="1">
        <f t="array" ref="AS108">VLOOKUP($R108,武学奇术!$A:$ZZ,8,FALSE)+SUM(_xlfn.XLOOKUP(S108:AG108,增益!$A:$A,增益!$H:$H,0))</f>
        <v>0</v>
      </c>
      <c r="AT108">
        <f t="shared" si="53"/>
        <v>680.02</v>
      </c>
      <c r="AU108">
        <f t="shared" si="54"/>
        <v>1288.54</v>
      </c>
      <c r="AV108" s="26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26" cm="1">
        <f t="array" ref="AW108">$G$11+VLOOKUP($R108,武学奇术!$A:$ZZ,10,FALSE)+SUM(_xlfn.XLOOKUP(S108:AG108,增益!$A:$A,增益!$J:$J,0))</f>
        <v>0.15</v>
      </c>
      <c r="AX108">
        <f t="shared" si="55"/>
        <v>0</v>
      </c>
      <c r="AY108">
        <f t="shared" si="56"/>
        <v>0</v>
      </c>
      <c r="AZ108" s="26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26" cm="1">
        <f t="array" ref="BA108">$G$12+VLOOKUP($R108,武学奇术!$A:$ZZ,12,FALSE)+SUM(_xlfn.XLOOKUP(S108:AG108,增益!$A:$A,增益!$L:$L,0))</f>
        <v>0</v>
      </c>
      <c r="BB108">
        <f t="shared" si="57"/>
        <v>0</v>
      </c>
      <c r="BC108">
        <f t="shared" si="58"/>
        <v>0</v>
      </c>
      <c r="BD108" s="26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26" cm="1">
        <f t="array" ref="BE108">$G$13+VLOOKUP($R108,武学奇术!$A:$ZZ,14,FALSE)+SUM(_xlfn.XLOOKUP(S108:AG108,增益!$A:$A,增益!$N:$N,0))</f>
        <v>0</v>
      </c>
      <c r="BF108">
        <f t="shared" si="59"/>
        <v>0</v>
      </c>
      <c r="BG108">
        <f t="shared" si="60"/>
        <v>0</v>
      </c>
      <c r="BH108" s="26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26" cm="1">
        <f t="array" ref="BI108">$G$14+VLOOKUP($R108,武学奇术!$A:$ZZ,16,FALSE)+SUM(_xlfn.XLOOKUP(S108:AG108,增益!$A:$A,增益!$P:$P,0))</f>
        <v>0</v>
      </c>
      <c r="BJ108" s="21">
        <f>MIN(IF(VLOOKUP($R108,武学奇术!$A:$ZZ,23,FALSE)=1,100%,$B$8),100%)</f>
        <v>0.8229</v>
      </c>
      <c r="BK108" s="21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0.2285</v>
      </c>
      <c r="BL108" s="21" cm="1">
        <f t="array" ref="BL108">1+$B$13+VLOOKUP($R108,武学奇术!$A:$ZZ,18,FALSE)+SUM(_xlfn.XLOOKUP(S108:AG108,增益!$A:$A,增益!$R:$R,0))</f>
        <v>1.5</v>
      </c>
      <c r="BM108" s="21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0.4495</v>
      </c>
      <c r="BN108" s="21" cm="1">
        <f t="array" ref="BN108">1+$B$14+VLOOKUP($R108,武学奇术!$A:$ZZ,20,FALSE)+SUM(_xlfn.XLOOKUP(S108:AG108,增益!$A:$A,增益!$T:$T,0))</f>
        <v>1.602</v>
      </c>
      <c r="BO108" s="21">
        <f t="shared" si="61"/>
        <v>0.18803265</v>
      </c>
      <c r="BP108" s="21">
        <f t="shared" si="62"/>
        <v>0.2649738</v>
      </c>
      <c r="BQ108" s="21">
        <f>IF(VLOOKUP($R108,武学奇术!$A:$ZZ,22,FALSE)=1,0,(1-$BJ108))*(1-$BM108)</f>
        <v>0.09749355</v>
      </c>
      <c r="BR108" s="21" cm="1">
        <f t="array" ref="BR108">SUM(_xlfn.XLOOKUP(S108:AG108,增益!$A:$A,增益!$W:$W,0))+$I$5</f>
        <v>0.06</v>
      </c>
    </row>
    <row r="109" spans="11:70">
      <c r="K109" s="24">
        <f>$L109*VLOOKUP($R109,武学奇术!$A:$ZZ,31,FALSE)</f>
        <v>121175.241447033</v>
      </c>
      <c r="L109" s="24">
        <f t="shared" si="52"/>
        <v>201958.735745055</v>
      </c>
      <c r="M109" s="24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109604.656397454</v>
      </c>
      <c r="N109" s="24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201958.735745055</v>
      </c>
      <c r="O109" s="24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73069.7709316357</v>
      </c>
      <c r="P109" s="24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32806.9179883808</v>
      </c>
      <c r="Q109" s="31">
        <v>1</v>
      </c>
      <c r="R109" s="32" t="s">
        <v>120</v>
      </c>
      <c r="S109" s="32" t="s">
        <v>87</v>
      </c>
      <c r="T109" s="32" t="s">
        <v>96</v>
      </c>
      <c r="U109" s="32" t="s">
        <v>97</v>
      </c>
      <c r="V109" s="32" t="s">
        <v>98</v>
      </c>
      <c r="W109" s="32" t="s">
        <v>73</v>
      </c>
      <c r="X109" s="32" t="s">
        <v>127</v>
      </c>
      <c r="Y109" s="32" t="s">
        <v>73</v>
      </c>
      <c r="Z109" s="32" t="s">
        <v>73</v>
      </c>
      <c r="AA109" s="32" t="s">
        <v>81</v>
      </c>
      <c r="AB109" s="32" t="s">
        <v>75</v>
      </c>
      <c r="AC109" s="32" t="s">
        <v>89</v>
      </c>
      <c r="AD109" s="32" t="s">
        <v>82</v>
      </c>
      <c r="AE109" s="32" t="s">
        <v>73</v>
      </c>
      <c r="AF109" s="32" t="s">
        <v>73</v>
      </c>
      <c r="AG109" s="32" t="s">
        <v>178</v>
      </c>
      <c r="AH109" t="str">
        <f>VLOOKUP($R109,武学奇术!$A:$ZZ,25,FALSE)</f>
        <v>剑</v>
      </c>
      <c r="AI109" s="21">
        <f>VLOOKUP($R109,武学奇术!$A:$ZZ,26,FALSE)</f>
        <v>2.52</v>
      </c>
      <c r="AJ109" s="22">
        <f>VLOOKUP($R109,武学奇术!$A:$ZZ,27,FALSE)*(1+IF(OR($AH109=$F$4,$AH109=$F$5),$B$22,0))</f>
        <v>0</v>
      </c>
      <c r="AK109" s="21">
        <f>VLOOKUP($R109,武学奇术!$A:$ZZ,28,FALSE)</f>
        <v>3.78</v>
      </c>
      <c r="AL109" s="22">
        <f>VLOOKUP($R109,武学奇术!$A:$ZZ,29,FALSE)*(1+IF(OR($AH109=$F$4,$AH109=$F$5),$B$22,0))</f>
        <v>0</v>
      </c>
      <c r="AM109" s="21" cm="1">
        <f t="array" ref="AM109">$G$3+IFERROR(VLOOKUP($AH109,$F$4:$G$7,2,FALSE),0)+VLOOKUP($R109,武学奇术!$A:$ZZ,2,FALSE)+SUM(_xlfn.XLOOKUP($S109:$AG109,增益!$A:$A,增益!$B:$B,0))</f>
        <v>1.4691</v>
      </c>
      <c r="AN109" s="21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1831.48</v>
      </c>
      <c r="AP109" cm="1">
        <f t="array" ref="AP109">$E$10*(1+$AN109)+VLOOKUP($R109,武学奇术!$A:$ZZ,4,FALSE)+SUM(_xlfn.XLOOKUP($S109:$AG109,增益!$A:$A,增益!$D:$D,0))-$I$2</f>
        <v>7763.56</v>
      </c>
      <c r="AQ109" s="26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0.369</v>
      </c>
      <c r="AR109" s="26" cm="1">
        <f t="array" ref="AR109">$G$10+VLOOKUP($R109,武学奇术!$A:$ZZ,7,FALSE)+SUM(_xlfn.XLOOKUP(S109:AG109,增益!$A:$A,增益!$G:$G,0))</f>
        <v>0</v>
      </c>
      <c r="AS109" s="21" cm="1">
        <f t="array" ref="AS109">VLOOKUP($R109,武学奇术!$A:$ZZ,8,FALSE)+SUM(_xlfn.XLOOKUP(S109:AG109,增益!$A:$A,增益!$H:$H,0))</f>
        <v>0</v>
      </c>
      <c r="AT109">
        <f t="shared" si="53"/>
        <v>680.02</v>
      </c>
      <c r="AU109">
        <f t="shared" si="54"/>
        <v>1288.54</v>
      </c>
      <c r="AV109" s="26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0.075</v>
      </c>
      <c r="AW109" s="26" cm="1">
        <f t="array" ref="AW109">$G$11+VLOOKUP($R109,武学奇术!$A:$ZZ,10,FALSE)+SUM(_xlfn.XLOOKUP(S109:AG109,增益!$A:$A,增益!$J:$J,0))</f>
        <v>0.15</v>
      </c>
      <c r="AX109">
        <f t="shared" si="55"/>
        <v>0</v>
      </c>
      <c r="AY109">
        <f t="shared" si="56"/>
        <v>0</v>
      </c>
      <c r="AZ109" s="26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26" cm="1">
        <f t="array" ref="BA109">$G$12+VLOOKUP($R109,武学奇术!$A:$ZZ,12,FALSE)+SUM(_xlfn.XLOOKUP(S109:AG109,增益!$A:$A,增益!$L:$L,0))</f>
        <v>0</v>
      </c>
      <c r="BB109">
        <f t="shared" si="57"/>
        <v>0</v>
      </c>
      <c r="BC109">
        <f t="shared" si="58"/>
        <v>0</v>
      </c>
      <c r="BD109" s="26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26" cm="1">
        <f t="array" ref="BE109">$G$13+VLOOKUP($R109,武学奇术!$A:$ZZ,14,FALSE)+SUM(_xlfn.XLOOKUP(S109:AG109,增益!$A:$A,增益!$N:$N,0))</f>
        <v>0</v>
      </c>
      <c r="BF109">
        <f t="shared" si="59"/>
        <v>0</v>
      </c>
      <c r="BG109">
        <f t="shared" si="60"/>
        <v>0</v>
      </c>
      <c r="BH109" s="26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26" cm="1">
        <f t="array" ref="BI109">$G$14+VLOOKUP($R109,武学奇术!$A:$ZZ,16,FALSE)+SUM(_xlfn.XLOOKUP(S109:AG109,增益!$A:$A,增益!$P:$P,0))</f>
        <v>0</v>
      </c>
      <c r="BJ109" s="21">
        <f>MIN(IF(VLOOKUP($R109,武学奇术!$A:$ZZ,23,FALSE)=1,100%,$B$8),100%)</f>
        <v>0.8229</v>
      </c>
      <c r="BK109" s="21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</v>
      </c>
      <c r="BL109" s="21" cm="1">
        <f t="array" ref="BL109">1+$B$13+VLOOKUP($R109,武学奇术!$A:$ZZ,18,FALSE)+SUM(_xlfn.XLOOKUP(S109:AG109,增益!$A:$A,增益!$R:$R,0))</f>
        <v>1.5</v>
      </c>
      <c r="BM109" s="21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1</v>
      </c>
      <c r="BN109" s="21" cm="1">
        <f t="array" ref="BN109">1+$B$14+VLOOKUP($R109,武学奇术!$A:$ZZ,20,FALSE)+SUM(_xlfn.XLOOKUP(S109:AG109,增益!$A:$A,增益!$T:$T,0))</f>
        <v>1.782</v>
      </c>
      <c r="BO109" s="21">
        <f t="shared" si="61"/>
        <v>0</v>
      </c>
      <c r="BP109" s="21">
        <f t="shared" si="62"/>
        <v>0</v>
      </c>
      <c r="BQ109" s="21">
        <f>IF(VLOOKUP($R109,武学奇术!$A:$ZZ,22,FALSE)=1,0,(1-$BJ109))*(1-$BM109)</f>
        <v>0</v>
      </c>
      <c r="BR109" s="21" cm="1">
        <f t="array" ref="BR109">SUM(_xlfn.XLOOKUP(S109:AG109,增益!$A:$A,增益!$W:$W,0))+$I$5</f>
        <v>0.06</v>
      </c>
    </row>
    <row r="110" spans="11:70">
      <c r="K110" s="24">
        <f>$L110*VLOOKUP($R110,武学奇术!$A:$ZZ,31,FALSE)</f>
        <v>80369.8460881717</v>
      </c>
      <c r="L110" s="24">
        <f t="shared" si="52"/>
        <v>133949.743480286</v>
      </c>
      <c r="M110" s="24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109604.656397454</v>
      </c>
      <c r="N110" s="24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201958.735745055</v>
      </c>
      <c r="O110" s="24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73069.7709316357</v>
      </c>
      <c r="P110" s="24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32806.9179883808</v>
      </c>
      <c r="Q110" s="31">
        <v>1</v>
      </c>
      <c r="R110" s="32" t="s">
        <v>95</v>
      </c>
      <c r="S110" s="32" t="s">
        <v>87</v>
      </c>
      <c r="T110" s="32" t="s">
        <v>96</v>
      </c>
      <c r="U110" s="32" t="s">
        <v>97</v>
      </c>
      <c r="V110" s="32" t="s">
        <v>98</v>
      </c>
      <c r="W110" s="32" t="s">
        <v>73</v>
      </c>
      <c r="X110" s="32" t="s">
        <v>127</v>
      </c>
      <c r="Y110" s="32" t="s">
        <v>73</v>
      </c>
      <c r="Z110" s="32" t="s">
        <v>73</v>
      </c>
      <c r="AA110" s="32" t="s">
        <v>81</v>
      </c>
      <c r="AB110" s="32" t="s">
        <v>75</v>
      </c>
      <c r="AC110" s="32" t="s">
        <v>89</v>
      </c>
      <c r="AD110" s="32" t="s">
        <v>82</v>
      </c>
      <c r="AE110" s="32" t="s">
        <v>73</v>
      </c>
      <c r="AF110" s="32" t="s">
        <v>73</v>
      </c>
      <c r="AG110" s="32" t="s">
        <v>178</v>
      </c>
      <c r="AH110" t="str">
        <f>VLOOKUP($R110,武学奇术!$A:$ZZ,25,FALSE)</f>
        <v>剑</v>
      </c>
      <c r="AI110" s="21">
        <f>VLOOKUP($R110,武学奇术!$A:$ZZ,26,FALSE)</f>
        <v>2.52</v>
      </c>
      <c r="AJ110" s="22">
        <f>VLOOKUP($R110,武学奇术!$A:$ZZ,27,FALSE)*(1+IF(OR($AH110=$F$4,$AH110=$F$5),$B$22,0))</f>
        <v>0</v>
      </c>
      <c r="AK110" s="21">
        <f>VLOOKUP($R110,武学奇术!$A:$ZZ,28,FALSE)</f>
        <v>3.78</v>
      </c>
      <c r="AL110" s="22">
        <f>VLOOKUP($R110,武学奇术!$A:$ZZ,29,FALSE)*(1+IF(OR($AH110=$F$4,$AH110=$F$5),$B$22,0))</f>
        <v>0</v>
      </c>
      <c r="AM110" s="21" cm="1">
        <f t="array" ref="AM110">$G$3+IFERROR(VLOOKUP($AH110,$F$4:$G$7,2,FALSE),0)+VLOOKUP($R110,武学奇术!$A:$ZZ,2,FALSE)+SUM(_xlfn.XLOOKUP($S110:$AG110,增益!$A:$A,增益!$B:$B,0))</f>
        <v>1.4691</v>
      </c>
      <c r="AN110" s="21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1831.48</v>
      </c>
      <c r="AP110" cm="1">
        <f t="array" ref="AP110">$E$10*(1+$AN110)+VLOOKUP($R110,武学奇术!$A:$ZZ,4,FALSE)+SUM(_xlfn.XLOOKUP($S110:$AG110,增益!$A:$A,增益!$D:$D,0))-$I$2</f>
        <v>7763.56</v>
      </c>
      <c r="AQ110" s="26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0.369</v>
      </c>
      <c r="AR110" s="26" cm="1">
        <f t="array" ref="AR110">$G$10+VLOOKUP($R110,武学奇术!$A:$ZZ,7,FALSE)+SUM(_xlfn.XLOOKUP(S110:AG110,增益!$A:$A,增益!$G:$G,0))</f>
        <v>0</v>
      </c>
      <c r="AS110" s="21" cm="1">
        <f t="array" ref="AS110">VLOOKUP($R110,武学奇术!$A:$ZZ,8,FALSE)+SUM(_xlfn.XLOOKUP(S110:AG110,增益!$A:$A,增益!$H:$H,0))</f>
        <v>0</v>
      </c>
      <c r="AT110">
        <f t="shared" si="53"/>
        <v>680.02</v>
      </c>
      <c r="AU110">
        <f t="shared" si="54"/>
        <v>1288.54</v>
      </c>
      <c r="AV110" s="26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26" cm="1">
        <f t="array" ref="AW110">$G$11+VLOOKUP($R110,武学奇术!$A:$ZZ,10,FALSE)+SUM(_xlfn.XLOOKUP(S110:AG110,增益!$A:$A,增益!$J:$J,0))</f>
        <v>0.15</v>
      </c>
      <c r="AX110">
        <f t="shared" si="55"/>
        <v>0</v>
      </c>
      <c r="AY110">
        <f t="shared" si="56"/>
        <v>0</v>
      </c>
      <c r="AZ110" s="26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26" cm="1">
        <f t="array" ref="BA110">$G$12+VLOOKUP($R110,武学奇术!$A:$ZZ,12,FALSE)+SUM(_xlfn.XLOOKUP(S110:AG110,增益!$A:$A,增益!$L:$L,0))</f>
        <v>0</v>
      </c>
      <c r="BB110">
        <f t="shared" si="57"/>
        <v>0</v>
      </c>
      <c r="BC110">
        <f t="shared" si="58"/>
        <v>0</v>
      </c>
      <c r="BD110" s="26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26" cm="1">
        <f t="array" ref="BE110">$G$13+VLOOKUP($R110,武学奇术!$A:$ZZ,14,FALSE)+SUM(_xlfn.XLOOKUP(S110:AG110,增益!$A:$A,增益!$N:$N,0))</f>
        <v>0</v>
      </c>
      <c r="BF110">
        <f t="shared" si="59"/>
        <v>0</v>
      </c>
      <c r="BG110">
        <f t="shared" si="60"/>
        <v>0</v>
      </c>
      <c r="BH110" s="26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26" cm="1">
        <f t="array" ref="BI110">$G$14+VLOOKUP($R110,武学奇术!$A:$ZZ,16,FALSE)+SUM(_xlfn.XLOOKUP(S110:AG110,增益!$A:$A,增益!$P:$P,0))</f>
        <v>0</v>
      </c>
      <c r="BJ110" s="21">
        <f>MIN(IF(VLOOKUP($R110,武学奇术!$A:$ZZ,23,FALSE)=1,100%,$B$8),100%)</f>
        <v>0.8229</v>
      </c>
      <c r="BK110" s="21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0.2285</v>
      </c>
      <c r="BL110" s="21" cm="1">
        <f t="array" ref="BL110">1+$B$13+VLOOKUP($R110,武学奇术!$A:$ZZ,18,FALSE)+SUM(_xlfn.XLOOKUP(S110:AG110,增益!$A:$A,增益!$R:$R,0))</f>
        <v>1.5</v>
      </c>
      <c r="BM110" s="21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0.4495</v>
      </c>
      <c r="BN110" s="21" cm="1">
        <f t="array" ref="BN110">1+$B$14+VLOOKUP($R110,武学奇术!$A:$ZZ,20,FALSE)+SUM(_xlfn.XLOOKUP(S110:AG110,增益!$A:$A,增益!$T:$T,0))</f>
        <v>1.782</v>
      </c>
      <c r="BO110" s="21">
        <f t="shared" si="61"/>
        <v>0.18803265</v>
      </c>
      <c r="BP110" s="21">
        <f t="shared" si="62"/>
        <v>0.2649738</v>
      </c>
      <c r="BQ110" s="21">
        <f>IF(VLOOKUP($R110,武学奇术!$A:$ZZ,22,FALSE)=1,0,(1-$BJ110))*(1-$BM110)</f>
        <v>0.09749355</v>
      </c>
      <c r="BR110" s="21" cm="1">
        <f t="array" ref="BR110">SUM(_xlfn.XLOOKUP(S110:AG110,增益!$A:$A,增益!$W:$W,0))+$I$5</f>
        <v>0.06</v>
      </c>
    </row>
    <row r="111" spans="11:70">
      <c r="K111" s="24">
        <f>$L111*VLOOKUP($R111,武学奇术!$A:$ZZ,31,FALSE)</f>
        <v>15380.7181857478</v>
      </c>
      <c r="L111" s="24">
        <f t="shared" si="52"/>
        <v>15380.7181857478</v>
      </c>
      <c r="M111" s="24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13506.0441134386</v>
      </c>
      <c r="N111" s="24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22384.6778053656</v>
      </c>
      <c r="O111" s="24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9004.02940895905</v>
      </c>
      <c r="P111" s="24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4035.10138635408</v>
      </c>
      <c r="Q111" s="31">
        <v>1</v>
      </c>
      <c r="R111" s="32" t="s">
        <v>103</v>
      </c>
      <c r="S111" s="32" t="s">
        <v>87</v>
      </c>
      <c r="T111" s="32" t="s">
        <v>104</v>
      </c>
      <c r="U111" s="32" t="s">
        <v>73</v>
      </c>
      <c r="V111" s="32" t="s">
        <v>73</v>
      </c>
      <c r="W111" s="32" t="s">
        <v>73</v>
      </c>
      <c r="X111" s="32" t="s">
        <v>127</v>
      </c>
      <c r="Y111" s="32" t="s">
        <v>73</v>
      </c>
      <c r="Z111" s="32" t="s">
        <v>73</v>
      </c>
      <c r="AA111" s="32" t="s">
        <v>81</v>
      </c>
      <c r="AB111" s="32" t="s">
        <v>75</v>
      </c>
      <c r="AC111" s="32" t="s">
        <v>89</v>
      </c>
      <c r="AD111" s="32" t="s">
        <v>82</v>
      </c>
      <c r="AE111" s="32" t="s">
        <v>73</v>
      </c>
      <c r="AF111" s="32" t="s">
        <v>73</v>
      </c>
      <c r="AG111" s="32" t="s">
        <v>178</v>
      </c>
      <c r="AH111" t="str">
        <f>VLOOKUP($R111,武学奇术!$A:$ZZ,25,FALSE)</f>
        <v>剑</v>
      </c>
      <c r="AI111" s="21">
        <f>VLOOKUP($R111,武学奇术!$A:$ZZ,26,FALSE)</f>
        <v>0.625</v>
      </c>
      <c r="AJ111" s="22">
        <f>VLOOKUP($R111,武学奇术!$A:$ZZ,27,FALSE)*(1+IF(OR($AH111=$F$4,$AH111=$F$5),$B$22,0))</f>
        <v>0</v>
      </c>
      <c r="AK111" s="21">
        <f>VLOOKUP($R111,武学奇术!$A:$ZZ,28,FALSE)</f>
        <v>0.9375</v>
      </c>
      <c r="AL111" s="22">
        <f>VLOOKUP($R111,武学奇术!$A:$ZZ,29,FALSE)*(1+IF(OR($AH111=$F$4,$AH111=$F$5),$B$22,0))</f>
        <v>0</v>
      </c>
      <c r="AM111" s="21" cm="1">
        <f t="array" ref="AM111">$G$3+IFERROR(VLOOKUP($AH111,$F$4:$G$7,2,FALSE),0)+VLOOKUP($R111,武学奇术!$A:$ZZ,2,FALSE)+SUM(_xlfn.XLOOKUP($S111:$AG111,增益!$A:$A,增益!$B:$B,0))</f>
        <v>0.7191</v>
      </c>
      <c r="AN111" s="21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1831.48</v>
      </c>
      <c r="AP111" cm="1">
        <f t="array" ref="AP111">$E$10*(1+$AN111)+VLOOKUP($R111,武学奇术!$A:$ZZ,4,FALSE)+SUM(_xlfn.XLOOKUP($S111:$AG111,增益!$A:$A,增益!$D:$D,0))-$I$2</f>
        <v>7763.56</v>
      </c>
      <c r="AQ111" s="26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0.294</v>
      </c>
      <c r="AR111" s="26" cm="1">
        <f t="array" ref="AR111">$G$10+VLOOKUP($R111,武学奇术!$A:$ZZ,7,FALSE)+SUM(_xlfn.XLOOKUP(S111:AG111,增益!$A:$A,增益!$G:$G,0))</f>
        <v>0</v>
      </c>
      <c r="AS111" s="21" cm="1">
        <f t="array" ref="AS111">VLOOKUP($R111,武学奇术!$A:$ZZ,8,FALSE)+SUM(_xlfn.XLOOKUP(S111:AG111,增益!$A:$A,增益!$H:$H,0))</f>
        <v>0</v>
      </c>
      <c r="AT111">
        <f t="shared" si="53"/>
        <v>680.02</v>
      </c>
      <c r="AU111">
        <f t="shared" si="54"/>
        <v>1288.54</v>
      </c>
      <c r="AV111" s="26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26" cm="1">
        <f t="array" ref="AW111">$G$11+VLOOKUP($R111,武学奇术!$A:$ZZ,10,FALSE)+SUM(_xlfn.XLOOKUP(S111:AG111,增益!$A:$A,增益!$J:$J,0))</f>
        <v>0.15</v>
      </c>
      <c r="AX111">
        <f t="shared" si="55"/>
        <v>0</v>
      </c>
      <c r="AY111">
        <f t="shared" si="56"/>
        <v>0</v>
      </c>
      <c r="AZ111" s="26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26" cm="1">
        <f t="array" ref="BA111">$G$12+VLOOKUP($R111,武学奇术!$A:$ZZ,12,FALSE)+SUM(_xlfn.XLOOKUP(S111:AG111,增益!$A:$A,增益!$L:$L,0))</f>
        <v>0</v>
      </c>
      <c r="BB111">
        <f t="shared" si="57"/>
        <v>0</v>
      </c>
      <c r="BC111">
        <f t="shared" si="58"/>
        <v>0</v>
      </c>
      <c r="BD111" s="26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26" cm="1">
        <f t="array" ref="BE111">$G$13+VLOOKUP($R111,武学奇术!$A:$ZZ,14,FALSE)+SUM(_xlfn.XLOOKUP(S111:AG111,增益!$A:$A,增益!$N:$N,0))</f>
        <v>0</v>
      </c>
      <c r="BF111">
        <f t="shared" si="59"/>
        <v>0</v>
      </c>
      <c r="BG111">
        <f t="shared" si="60"/>
        <v>0</v>
      </c>
      <c r="BH111" s="26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26" cm="1">
        <f t="array" ref="BI111">$G$14+VLOOKUP($R111,武学奇术!$A:$ZZ,16,FALSE)+SUM(_xlfn.XLOOKUP(S111:AG111,增益!$A:$A,增益!$P:$P,0))</f>
        <v>0</v>
      </c>
      <c r="BJ111" s="21">
        <f>MIN(IF(VLOOKUP($R111,武学奇术!$A:$ZZ,23,FALSE)=1,100%,$B$8),100%)</f>
        <v>0.8229</v>
      </c>
      <c r="BK111" s="21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0.2285</v>
      </c>
      <c r="BL111" s="21" cm="1">
        <f t="array" ref="BL111">1+$B$13+VLOOKUP($R111,武学奇术!$A:$ZZ,18,FALSE)+SUM(_xlfn.XLOOKUP(S111:AG111,增益!$A:$A,增益!$R:$R,0))</f>
        <v>1.5</v>
      </c>
      <c r="BM111" s="21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0.4495</v>
      </c>
      <c r="BN111" s="21" cm="1">
        <f t="array" ref="BN111">1+$B$14+VLOOKUP($R111,武学奇术!$A:$ZZ,20,FALSE)+SUM(_xlfn.XLOOKUP(S111:AG111,增益!$A:$A,增益!$T:$T,0))</f>
        <v>1.602</v>
      </c>
      <c r="BO111" s="21">
        <f t="shared" si="61"/>
        <v>0.18803265</v>
      </c>
      <c r="BP111" s="21">
        <f t="shared" si="62"/>
        <v>0.2649738</v>
      </c>
      <c r="BQ111" s="21">
        <f>IF(VLOOKUP($R111,武学奇术!$A:$ZZ,22,FALSE)=1,0,(1-$BJ111))*(1-$BM111)</f>
        <v>0.09749355</v>
      </c>
      <c r="BR111" s="21" cm="1">
        <f t="array" ref="BR111">SUM(_xlfn.XLOOKUP(S111:AG111,增益!$A:$A,增益!$W:$W,0))+$I$5</f>
        <v>0.06</v>
      </c>
    </row>
    <row r="112" spans="11:70">
      <c r="K112" s="24">
        <f>$L112*VLOOKUP($R112,武学奇术!$A:$ZZ,31,FALSE)</f>
        <v>26279.7552689785</v>
      </c>
      <c r="L112" s="24">
        <f t="shared" si="52"/>
        <v>26279.7552689785</v>
      </c>
      <c r="M112" s="24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23574.4061251618</v>
      </c>
      <c r="N112" s="24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37613.2906210638</v>
      </c>
      <c r="O112" s="24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15716.2707501078</v>
      </c>
      <c r="P112" s="24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7953.58355947672</v>
      </c>
      <c r="Q112" s="31">
        <v>1</v>
      </c>
      <c r="R112" s="32" t="s">
        <v>108</v>
      </c>
      <c r="S112" s="32" t="s">
        <v>87</v>
      </c>
      <c r="T112" s="32" t="s">
        <v>104</v>
      </c>
      <c r="U112" s="32" t="s">
        <v>73</v>
      </c>
      <c r="V112" s="32" t="s">
        <v>73</v>
      </c>
      <c r="W112" s="32" t="s">
        <v>73</v>
      </c>
      <c r="X112" s="32" t="s">
        <v>127</v>
      </c>
      <c r="Y112" s="32" t="s">
        <v>73</v>
      </c>
      <c r="Z112" s="32" t="s">
        <v>73</v>
      </c>
      <c r="AA112" s="32" t="s">
        <v>81</v>
      </c>
      <c r="AB112" s="32" t="s">
        <v>75</v>
      </c>
      <c r="AC112" s="32" t="s">
        <v>89</v>
      </c>
      <c r="AD112" s="32" t="s">
        <v>82</v>
      </c>
      <c r="AE112" s="32" t="s">
        <v>73</v>
      </c>
      <c r="AF112" s="32" t="s">
        <v>73</v>
      </c>
      <c r="AG112" s="32" t="s">
        <v>178</v>
      </c>
      <c r="AH112" t="str">
        <f>VLOOKUP($R112,武学奇术!$A:$ZZ,25,FALSE)</f>
        <v>枪</v>
      </c>
      <c r="AI112" s="21">
        <f>VLOOKUP($R112,武学奇术!$A:$ZZ,26,FALSE)</f>
        <v>1.02732</v>
      </c>
      <c r="AJ112" s="22">
        <f>VLOOKUP($R112,武学奇术!$A:$ZZ,27,FALSE)*(1+IF(OR($AH112=$F$4,$AH112=$F$5),$B$22,0))</f>
        <v>426.6</v>
      </c>
      <c r="AK112" s="21">
        <f>VLOOKUP($R112,武学奇术!$A:$ZZ,28,FALSE)</f>
        <v>1.54096</v>
      </c>
      <c r="AL112" s="22">
        <f>VLOOKUP($R112,武学奇术!$A:$ZZ,29,FALSE)*(1+IF(OR($AH112=$F$4,$AH112=$F$5),$B$22,0))</f>
        <v>232.2</v>
      </c>
      <c r="AM112" s="21" cm="1">
        <f t="array" ref="AM112">$G$3+IFERROR(VLOOKUP($AH112,$F$4:$G$7,2,FALSE),0)+VLOOKUP($R112,武学奇术!$A:$ZZ,2,FALSE)+SUM(_xlfn.XLOOKUP($S112:$AG112,增益!$A:$A,增益!$B:$B,0))</f>
        <v>0.6339</v>
      </c>
      <c r="AN112" s="21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1831.48</v>
      </c>
      <c r="AP112" cm="1">
        <f t="array" ref="AP112">$E$10*(1+$AN112)+VLOOKUP($R112,武学奇术!$A:$ZZ,4,FALSE)+SUM(_xlfn.XLOOKUP($S112:$AG112,增益!$A:$A,增益!$D:$D,0))-$I$2</f>
        <v>7763.56</v>
      </c>
      <c r="AQ112" s="26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0.294</v>
      </c>
      <c r="AR112" s="26" cm="1">
        <f t="array" ref="AR112">$G$10+VLOOKUP($R112,武学奇术!$A:$ZZ,7,FALSE)+SUM(_xlfn.XLOOKUP(S112:AG112,增益!$A:$A,增益!$G:$G,0))</f>
        <v>0</v>
      </c>
      <c r="AS112" s="21" cm="1">
        <f t="array" ref="AS112">VLOOKUP($R112,武学奇术!$A:$ZZ,8,FALSE)+SUM(_xlfn.XLOOKUP(S112:AG112,增益!$A:$A,增益!$H:$H,0))</f>
        <v>0</v>
      </c>
      <c r="AT112">
        <f t="shared" si="53"/>
        <v>680.02</v>
      </c>
      <c r="AU112">
        <f t="shared" si="54"/>
        <v>1288.54</v>
      </c>
      <c r="AV112" s="26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26" cm="1">
        <f t="array" ref="AW112">$G$11+VLOOKUP($R112,武学奇术!$A:$ZZ,10,FALSE)+SUM(_xlfn.XLOOKUP(S112:AG112,增益!$A:$A,增益!$J:$J,0))</f>
        <v>0.15</v>
      </c>
      <c r="AX112">
        <f t="shared" si="55"/>
        <v>0</v>
      </c>
      <c r="AY112">
        <f t="shared" si="56"/>
        <v>0</v>
      </c>
      <c r="AZ112" s="26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26" cm="1">
        <f t="array" ref="BA112">$G$12+VLOOKUP($R112,武学奇术!$A:$ZZ,12,FALSE)+SUM(_xlfn.XLOOKUP(S112:AG112,增益!$A:$A,增益!$L:$L,0))</f>
        <v>0</v>
      </c>
      <c r="BB112">
        <f t="shared" si="57"/>
        <v>0</v>
      </c>
      <c r="BC112">
        <f t="shared" si="58"/>
        <v>0</v>
      </c>
      <c r="BD112" s="26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26" cm="1">
        <f t="array" ref="BE112">$G$13+VLOOKUP($R112,武学奇术!$A:$ZZ,14,FALSE)+SUM(_xlfn.XLOOKUP(S112:AG112,增益!$A:$A,增益!$N:$N,0))</f>
        <v>0</v>
      </c>
      <c r="BF112">
        <f t="shared" si="59"/>
        <v>0</v>
      </c>
      <c r="BG112">
        <f t="shared" si="60"/>
        <v>0</v>
      </c>
      <c r="BH112" s="26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26" cm="1">
        <f t="array" ref="BI112">$G$14+VLOOKUP($R112,武学奇术!$A:$ZZ,16,FALSE)+SUM(_xlfn.XLOOKUP(S112:AG112,增益!$A:$A,增益!$P:$P,0))</f>
        <v>0</v>
      </c>
      <c r="BJ112" s="21">
        <f>MIN(IF(VLOOKUP($R112,武学奇术!$A:$ZZ,23,FALSE)=1,100%,$B$8),100%)</f>
        <v>0.8229</v>
      </c>
      <c r="BK112" s="21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0.2285</v>
      </c>
      <c r="BL112" s="21" cm="1">
        <f t="array" ref="BL112">1+$B$13+VLOOKUP($R112,武学奇术!$A:$ZZ,18,FALSE)+SUM(_xlfn.XLOOKUP(S112:AG112,增益!$A:$A,增益!$R:$R,0))</f>
        <v>1.5</v>
      </c>
      <c r="BM112" s="21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0.4495</v>
      </c>
      <c r="BN112" s="21" cm="1">
        <f t="array" ref="BN112">1+$B$14+VLOOKUP($R112,武学奇术!$A:$ZZ,20,FALSE)+SUM(_xlfn.XLOOKUP(S112:AG112,增益!$A:$A,增益!$T:$T,0))</f>
        <v>1.602</v>
      </c>
      <c r="BO112" s="21">
        <f t="shared" si="61"/>
        <v>0.18803265</v>
      </c>
      <c r="BP112" s="21">
        <f t="shared" si="62"/>
        <v>0.2649738</v>
      </c>
      <c r="BQ112" s="21">
        <f>IF(VLOOKUP($R112,武学奇术!$A:$ZZ,22,FALSE)=1,0,(1-$BJ112))*(1-$BM112)</f>
        <v>0.09749355</v>
      </c>
      <c r="BR112" s="21" cm="1">
        <f t="array" ref="BR112">SUM(_xlfn.XLOOKUP(S112:AG112,增益!$A:$A,增益!$W:$W,0))+$I$5</f>
        <v>0.06</v>
      </c>
    </row>
    <row r="113" spans="11:70">
      <c r="K113" s="24">
        <f>$L113*VLOOKUP($R113,武学奇术!$A:$ZZ,31,FALSE)</f>
        <v>80690.2967064169</v>
      </c>
      <c r="L113" s="24">
        <f t="shared" si="52"/>
        <v>134483.827844028</v>
      </c>
      <c r="M113" s="24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110158.867750072</v>
      </c>
      <c r="N113" s="24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202617.138831966</v>
      </c>
      <c r="O113" s="24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73439.2451667149</v>
      </c>
      <c r="P113" s="24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33176.39222346</v>
      </c>
      <c r="Q113" s="31">
        <v>1</v>
      </c>
      <c r="R113" s="32" t="s">
        <v>95</v>
      </c>
      <c r="S113" s="32" t="s">
        <v>87</v>
      </c>
      <c r="T113" s="32" t="s">
        <v>96</v>
      </c>
      <c r="U113" s="32" t="s">
        <v>97</v>
      </c>
      <c r="V113" s="32" t="s">
        <v>98</v>
      </c>
      <c r="W113" s="32" t="s">
        <v>111</v>
      </c>
      <c r="X113" s="32" t="s">
        <v>127</v>
      </c>
      <c r="Y113" s="32" t="s">
        <v>73</v>
      </c>
      <c r="Z113" s="32" t="s">
        <v>73</v>
      </c>
      <c r="AA113" s="32" t="s">
        <v>81</v>
      </c>
      <c r="AB113" s="32" t="s">
        <v>75</v>
      </c>
      <c r="AC113" s="32" t="s">
        <v>89</v>
      </c>
      <c r="AD113" s="32" t="s">
        <v>82</v>
      </c>
      <c r="AE113" s="32" t="s">
        <v>73</v>
      </c>
      <c r="AF113" s="32" t="s">
        <v>73</v>
      </c>
      <c r="AG113" s="32" t="s">
        <v>178</v>
      </c>
      <c r="AH113" t="str">
        <f>VLOOKUP($R113,武学奇术!$A:$ZZ,25,FALSE)</f>
        <v>剑</v>
      </c>
      <c r="AI113" s="21">
        <f>VLOOKUP($R113,武学奇术!$A:$ZZ,26,FALSE)</f>
        <v>2.52</v>
      </c>
      <c r="AJ113" s="22">
        <f>VLOOKUP($R113,武学奇术!$A:$ZZ,27,FALSE)*(1+IF(OR($AH113=$F$4,$AH113=$F$5),$B$22,0))</f>
        <v>0</v>
      </c>
      <c r="AK113" s="21">
        <f>VLOOKUP($R113,武学奇术!$A:$ZZ,28,FALSE)</f>
        <v>3.78</v>
      </c>
      <c r="AL113" s="22">
        <f>VLOOKUP($R113,武学奇术!$A:$ZZ,29,FALSE)*(1+IF(OR($AH113=$F$4,$AH113=$F$5),$B$22,0))</f>
        <v>0</v>
      </c>
      <c r="AM113" s="21" cm="1">
        <f t="array" ref="AM113">$G$3+IFERROR(VLOOKUP($AH113,$F$4:$G$7,2,FALSE),0)+VLOOKUP($R113,武学奇术!$A:$ZZ,2,FALSE)+SUM(_xlfn.XLOOKUP($S113:$AG113,增益!$A:$A,增益!$B:$B,0))</f>
        <v>1.4691</v>
      </c>
      <c r="AN113" s="21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1862.48</v>
      </c>
      <c r="AP113" cm="1">
        <f t="array" ref="AP113">$E$10*(1+$AN113)+VLOOKUP($R113,武学奇术!$A:$ZZ,4,FALSE)+SUM(_xlfn.XLOOKUP($S113:$AG113,增益!$A:$A,增益!$D:$D,0))-$I$2</f>
        <v>7794.56</v>
      </c>
      <c r="AQ113" s="26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0.369</v>
      </c>
      <c r="AR113" s="26" cm="1">
        <f t="array" ref="AR113">$G$10+VLOOKUP($R113,武学奇术!$A:$ZZ,7,FALSE)+SUM(_xlfn.XLOOKUP(S113:AG113,增益!$A:$A,增益!$G:$G,0))</f>
        <v>0</v>
      </c>
      <c r="AS113" s="21" cm="1">
        <f t="array" ref="AS113">VLOOKUP($R113,武学奇术!$A:$ZZ,8,FALSE)+SUM(_xlfn.XLOOKUP(S113:AG113,增益!$A:$A,增益!$H:$H,0))</f>
        <v>0</v>
      </c>
      <c r="AT113">
        <f t="shared" si="53"/>
        <v>680.02</v>
      </c>
      <c r="AU113">
        <f t="shared" si="54"/>
        <v>1288.54</v>
      </c>
      <c r="AV113" s="26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0.075</v>
      </c>
      <c r="AW113" s="26" cm="1">
        <f t="array" ref="AW113">$G$11+VLOOKUP($R113,武学奇术!$A:$ZZ,10,FALSE)+SUM(_xlfn.XLOOKUP(S113:AG113,增益!$A:$A,增益!$J:$J,0))</f>
        <v>0.15</v>
      </c>
      <c r="AX113">
        <f t="shared" si="55"/>
        <v>0</v>
      </c>
      <c r="AY113">
        <f t="shared" si="56"/>
        <v>0</v>
      </c>
      <c r="AZ113" s="26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26" cm="1">
        <f t="array" ref="BA113">$G$12+VLOOKUP($R113,武学奇术!$A:$ZZ,12,FALSE)+SUM(_xlfn.XLOOKUP(S113:AG113,增益!$A:$A,增益!$L:$L,0))</f>
        <v>0</v>
      </c>
      <c r="BB113">
        <f t="shared" si="57"/>
        <v>0</v>
      </c>
      <c r="BC113">
        <f t="shared" si="58"/>
        <v>0</v>
      </c>
      <c r="BD113" s="26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26" cm="1">
        <f t="array" ref="BE113">$G$13+VLOOKUP($R113,武学奇术!$A:$ZZ,14,FALSE)+SUM(_xlfn.XLOOKUP(S113:AG113,增益!$A:$A,增益!$N:$N,0))</f>
        <v>0</v>
      </c>
      <c r="BF113">
        <f t="shared" si="59"/>
        <v>0</v>
      </c>
      <c r="BG113">
        <f t="shared" si="60"/>
        <v>0</v>
      </c>
      <c r="BH113" s="26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26" cm="1">
        <f t="array" ref="BI113">$G$14+VLOOKUP($R113,武学奇术!$A:$ZZ,16,FALSE)+SUM(_xlfn.XLOOKUP(S113:AG113,增益!$A:$A,增益!$P:$P,0))</f>
        <v>0</v>
      </c>
      <c r="BJ113" s="21">
        <f>MIN(IF(VLOOKUP($R113,武学奇术!$A:$ZZ,23,FALSE)=1,100%,$B$8),100%)</f>
        <v>0.8229</v>
      </c>
      <c r="BK113" s="21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0.2285</v>
      </c>
      <c r="BL113" s="21" cm="1">
        <f t="array" ref="BL113">1+$B$13+VLOOKUP($R113,武学奇术!$A:$ZZ,18,FALSE)+SUM(_xlfn.XLOOKUP(S113:AG113,增益!$A:$A,增益!$R:$R,0))</f>
        <v>1.5</v>
      </c>
      <c r="BM113" s="21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0.4495</v>
      </c>
      <c r="BN113" s="21" cm="1">
        <f t="array" ref="BN113">1+$B$14+VLOOKUP($R113,武学奇术!$A:$ZZ,20,FALSE)+SUM(_xlfn.XLOOKUP(S113:AG113,增益!$A:$A,增益!$T:$T,0))</f>
        <v>1.782</v>
      </c>
      <c r="BO113" s="21">
        <f t="shared" si="61"/>
        <v>0.18803265</v>
      </c>
      <c r="BP113" s="21">
        <f t="shared" si="62"/>
        <v>0.2649738</v>
      </c>
      <c r="BQ113" s="21">
        <f>IF(VLOOKUP($R113,武学奇术!$A:$ZZ,22,FALSE)=1,0,(1-$BJ113))*(1-$BM113)</f>
        <v>0.09749355</v>
      </c>
      <c r="BR113" s="21" cm="1">
        <f t="array" ref="BR113">SUM(_xlfn.XLOOKUP(S113:AG113,增益!$A:$A,增益!$W:$W,0))+$I$5</f>
        <v>0.06</v>
      </c>
    </row>
    <row r="114" spans="11:70">
      <c r="K114" s="24">
        <f>$L114*VLOOKUP($R114,武学奇术!$A:$ZZ,31,FALSE)</f>
        <v>31822.0530491007</v>
      </c>
      <c r="L114" s="24">
        <f t="shared" si="52"/>
        <v>31822.0530491007</v>
      </c>
      <c r="M114" s="24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28569.1137951401</v>
      </c>
      <c r="N114" s="24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45516.5659710482</v>
      </c>
      <c r="O114" s="24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19046.0758634267</v>
      </c>
      <c r="P114" s="24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9679.8134178346</v>
      </c>
      <c r="Q114" s="31">
        <v>1</v>
      </c>
      <c r="R114" s="32" t="s">
        <v>86</v>
      </c>
      <c r="S114" s="32" t="s">
        <v>87</v>
      </c>
      <c r="T114" s="32" t="s">
        <v>104</v>
      </c>
      <c r="U114" s="32" t="s">
        <v>73</v>
      </c>
      <c r="V114" s="32" t="s">
        <v>73</v>
      </c>
      <c r="W114" s="32" t="s">
        <v>111</v>
      </c>
      <c r="X114" s="32" t="s">
        <v>127</v>
      </c>
      <c r="Y114" s="32" t="s">
        <v>73</v>
      </c>
      <c r="Z114" s="32" t="s">
        <v>73</v>
      </c>
      <c r="AA114" s="32" t="s">
        <v>81</v>
      </c>
      <c r="AB114" s="32" t="s">
        <v>75</v>
      </c>
      <c r="AC114" s="32" t="s">
        <v>89</v>
      </c>
      <c r="AD114" s="32" t="s">
        <v>82</v>
      </c>
      <c r="AE114" s="32" t="s">
        <v>73</v>
      </c>
      <c r="AF114" s="32" t="s">
        <v>73</v>
      </c>
      <c r="AG114" s="32" t="s">
        <v>178</v>
      </c>
      <c r="AH114" t="str">
        <f>VLOOKUP($R114,武学奇术!$A:$ZZ,25,FALSE)</f>
        <v>剑</v>
      </c>
      <c r="AI114" s="21">
        <f>VLOOKUP($R114,武学奇术!$A:$ZZ,26,FALSE)</f>
        <v>1.1781</v>
      </c>
      <c r="AJ114" s="22">
        <f>VLOOKUP($R114,武学奇术!$A:$ZZ,27,FALSE)*(1+IF(OR($AH114=$F$4,$AH114=$F$5),$B$22,0))</f>
        <v>489</v>
      </c>
      <c r="AK114" s="21">
        <f>VLOOKUP($R114,武学奇术!$A:$ZZ,28,FALSE)</f>
        <v>1.7672</v>
      </c>
      <c r="AL114" s="22">
        <f>VLOOKUP($R114,武学奇术!$A:$ZZ,29,FALSE)*(1+IF(OR($AH114=$F$4,$AH114=$F$5),$B$22,0))</f>
        <v>265.5</v>
      </c>
      <c r="AM114" s="21" cm="1">
        <f t="array" ref="AM114">$G$3+IFERROR(VLOOKUP($AH114,$F$4:$G$7,2,FALSE),0)+VLOOKUP($R114,武学奇术!$A:$ZZ,2,FALSE)+SUM(_xlfn.XLOOKUP($S114:$AG114,增益!$A:$A,增益!$B:$B,0))</f>
        <v>0.7191</v>
      </c>
      <c r="AN114" s="21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1862.48</v>
      </c>
      <c r="AP114" cm="1">
        <f t="array" ref="AP114">$E$10*(1+$AN114)+VLOOKUP($R114,武学奇术!$A:$ZZ,4,FALSE)+SUM(_xlfn.XLOOKUP($S114:$AG114,增益!$A:$A,增益!$D:$D,0))-$I$2</f>
        <v>7794.56</v>
      </c>
      <c r="AQ114" s="26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0.294</v>
      </c>
      <c r="AR114" s="26" cm="1">
        <f t="array" ref="AR114">$G$10+VLOOKUP($R114,武学奇术!$A:$ZZ,7,FALSE)+SUM(_xlfn.XLOOKUP(S114:AG114,增益!$A:$A,增益!$G:$G,0))</f>
        <v>0</v>
      </c>
      <c r="AS114" s="21" cm="1">
        <f t="array" ref="AS114">VLOOKUP($R114,武学奇术!$A:$ZZ,8,FALSE)+SUM(_xlfn.XLOOKUP(S114:AG114,增益!$A:$A,增益!$H:$H,0))</f>
        <v>0</v>
      </c>
      <c r="AT114">
        <f t="shared" si="53"/>
        <v>680.02</v>
      </c>
      <c r="AU114">
        <f t="shared" si="54"/>
        <v>1288.54</v>
      </c>
      <c r="AV114" s="26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26" cm="1">
        <f t="array" ref="AW114">$G$11+VLOOKUP($R114,武学奇术!$A:$ZZ,10,FALSE)+SUM(_xlfn.XLOOKUP(S114:AG114,增益!$A:$A,增益!$J:$J,0))</f>
        <v>0.15</v>
      </c>
      <c r="AX114">
        <f t="shared" si="55"/>
        <v>0</v>
      </c>
      <c r="AY114">
        <f t="shared" si="56"/>
        <v>0</v>
      </c>
      <c r="AZ114" s="26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26" cm="1">
        <f t="array" ref="BA114">$G$12+VLOOKUP($R114,武学奇术!$A:$ZZ,12,FALSE)+SUM(_xlfn.XLOOKUP(S114:AG114,增益!$A:$A,增益!$L:$L,0))</f>
        <v>0</v>
      </c>
      <c r="BB114">
        <f t="shared" si="57"/>
        <v>0</v>
      </c>
      <c r="BC114">
        <f t="shared" si="58"/>
        <v>0</v>
      </c>
      <c r="BD114" s="26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26" cm="1">
        <f t="array" ref="BE114">$G$13+VLOOKUP($R114,武学奇术!$A:$ZZ,14,FALSE)+SUM(_xlfn.XLOOKUP(S114:AG114,增益!$A:$A,增益!$N:$N,0))</f>
        <v>0</v>
      </c>
      <c r="BF114">
        <f t="shared" si="59"/>
        <v>0</v>
      </c>
      <c r="BG114">
        <f t="shared" si="60"/>
        <v>0</v>
      </c>
      <c r="BH114" s="26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26" cm="1">
        <f t="array" ref="BI114">$G$14+VLOOKUP($R114,武学奇术!$A:$ZZ,16,FALSE)+SUM(_xlfn.XLOOKUP(S114:AG114,增益!$A:$A,增益!$P:$P,0))</f>
        <v>0</v>
      </c>
      <c r="BJ114" s="21">
        <f>MIN(IF(VLOOKUP($R114,武学奇术!$A:$ZZ,23,FALSE)=1,100%,$B$8),100%)</f>
        <v>0.8229</v>
      </c>
      <c r="BK114" s="21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0.2285</v>
      </c>
      <c r="BL114" s="21" cm="1">
        <f t="array" ref="BL114">1+$B$13+VLOOKUP($R114,武学奇术!$A:$ZZ,18,FALSE)+SUM(_xlfn.XLOOKUP(S114:AG114,增益!$A:$A,增益!$R:$R,0))</f>
        <v>1.5</v>
      </c>
      <c r="BM114" s="21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0.4495</v>
      </c>
      <c r="BN114" s="21" cm="1">
        <f t="array" ref="BN114">1+$B$14+VLOOKUP($R114,武学奇术!$A:$ZZ,20,FALSE)+SUM(_xlfn.XLOOKUP(S114:AG114,增益!$A:$A,增益!$T:$T,0))</f>
        <v>1.602</v>
      </c>
      <c r="BO114" s="21">
        <f t="shared" si="61"/>
        <v>0.18803265</v>
      </c>
      <c r="BP114" s="21">
        <f t="shared" si="62"/>
        <v>0.2649738</v>
      </c>
      <c r="BQ114" s="21">
        <f>IF(VLOOKUP($R114,武学奇术!$A:$ZZ,22,FALSE)=1,0,(1-$BJ114))*(1-$BM114)</f>
        <v>0.09749355</v>
      </c>
      <c r="BR114" s="21" cm="1">
        <f t="array" ref="BR114">SUM(_xlfn.XLOOKUP(S114:AG114,增益!$A:$A,增益!$W:$W,0))+$I$5</f>
        <v>0.06</v>
      </c>
    </row>
    <row r="115" spans="11:70">
      <c r="K115" s="24">
        <f>$L115*VLOOKUP($R115,武学奇术!$A:$ZZ,31,FALSE)</f>
        <v>80690.2967064169</v>
      </c>
      <c r="L115" s="24">
        <f t="shared" si="52"/>
        <v>134483.827844028</v>
      </c>
      <c r="M115" s="24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110158.867750072</v>
      </c>
      <c r="N115" s="24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202617.138831966</v>
      </c>
      <c r="O115" s="24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73439.2451667149</v>
      </c>
      <c r="P115" s="24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33176.39222346</v>
      </c>
      <c r="Q115" s="31">
        <v>1</v>
      </c>
      <c r="R115" s="32" t="s">
        <v>95</v>
      </c>
      <c r="S115" s="32" t="s">
        <v>87</v>
      </c>
      <c r="T115" s="32" t="s">
        <v>96</v>
      </c>
      <c r="U115" s="32" t="s">
        <v>97</v>
      </c>
      <c r="V115" s="32" t="s">
        <v>98</v>
      </c>
      <c r="W115" s="32" t="s">
        <v>111</v>
      </c>
      <c r="X115" s="32" t="s">
        <v>127</v>
      </c>
      <c r="Y115" s="32" t="s">
        <v>73</v>
      </c>
      <c r="Z115" s="32" t="s">
        <v>73</v>
      </c>
      <c r="AA115" s="32" t="s">
        <v>81</v>
      </c>
      <c r="AB115" s="32" t="s">
        <v>75</v>
      </c>
      <c r="AC115" s="32" t="s">
        <v>89</v>
      </c>
      <c r="AD115" s="32" t="s">
        <v>82</v>
      </c>
      <c r="AE115" s="32" t="s">
        <v>73</v>
      </c>
      <c r="AF115" s="32" t="s">
        <v>73</v>
      </c>
      <c r="AG115" s="32" t="s">
        <v>178</v>
      </c>
      <c r="AH115" t="str">
        <f>VLOOKUP($R115,武学奇术!$A:$ZZ,25,FALSE)</f>
        <v>剑</v>
      </c>
      <c r="AI115" s="21">
        <f>VLOOKUP($R115,武学奇术!$A:$ZZ,26,FALSE)</f>
        <v>2.52</v>
      </c>
      <c r="AJ115" s="22">
        <f>VLOOKUP($R115,武学奇术!$A:$ZZ,27,FALSE)*(1+IF(OR($AH115=$F$4,$AH115=$F$5),$B$22,0))</f>
        <v>0</v>
      </c>
      <c r="AK115" s="21">
        <f>VLOOKUP($R115,武学奇术!$A:$ZZ,28,FALSE)</f>
        <v>3.78</v>
      </c>
      <c r="AL115" s="22">
        <f>VLOOKUP($R115,武学奇术!$A:$ZZ,29,FALSE)*(1+IF(OR($AH115=$F$4,$AH115=$F$5),$B$22,0))</f>
        <v>0</v>
      </c>
      <c r="AM115" s="21" cm="1">
        <f t="array" ref="AM115">$G$3+IFERROR(VLOOKUP($AH115,$F$4:$G$7,2,FALSE),0)+VLOOKUP($R115,武学奇术!$A:$ZZ,2,FALSE)+SUM(_xlfn.XLOOKUP($S115:$AG115,增益!$A:$A,增益!$B:$B,0))</f>
        <v>1.4691</v>
      </c>
      <c r="AN115" s="21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1862.48</v>
      </c>
      <c r="AP115" cm="1">
        <f t="array" ref="AP115">$E$10*(1+$AN115)+VLOOKUP($R115,武学奇术!$A:$ZZ,4,FALSE)+SUM(_xlfn.XLOOKUP($S115:$AG115,增益!$A:$A,增益!$D:$D,0))-$I$2</f>
        <v>7794.56</v>
      </c>
      <c r="AQ115" s="26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0.369</v>
      </c>
      <c r="AR115" s="26" cm="1">
        <f t="array" ref="AR115">$G$10+VLOOKUP($R115,武学奇术!$A:$ZZ,7,FALSE)+SUM(_xlfn.XLOOKUP(S115:AG115,增益!$A:$A,增益!$G:$G,0))</f>
        <v>0</v>
      </c>
      <c r="AS115" s="21" cm="1">
        <f t="array" ref="AS115">VLOOKUP($R115,武学奇术!$A:$ZZ,8,FALSE)+SUM(_xlfn.XLOOKUP(S115:AG115,增益!$A:$A,增益!$H:$H,0))</f>
        <v>0</v>
      </c>
      <c r="AT115">
        <f t="shared" si="53"/>
        <v>680.02</v>
      </c>
      <c r="AU115">
        <f t="shared" si="54"/>
        <v>1288.54</v>
      </c>
      <c r="AV115" s="26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0.075</v>
      </c>
      <c r="AW115" s="26" cm="1">
        <f t="array" ref="AW115">$G$11+VLOOKUP($R115,武学奇术!$A:$ZZ,10,FALSE)+SUM(_xlfn.XLOOKUP(S115:AG115,增益!$A:$A,增益!$J:$J,0))</f>
        <v>0.15</v>
      </c>
      <c r="AX115">
        <f t="shared" si="55"/>
        <v>0</v>
      </c>
      <c r="AY115">
        <f t="shared" si="56"/>
        <v>0</v>
      </c>
      <c r="AZ115" s="26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26" cm="1">
        <f t="array" ref="BA115">$G$12+VLOOKUP($R115,武学奇术!$A:$ZZ,12,FALSE)+SUM(_xlfn.XLOOKUP(S115:AG115,增益!$A:$A,增益!$L:$L,0))</f>
        <v>0</v>
      </c>
      <c r="BB115">
        <f t="shared" si="57"/>
        <v>0</v>
      </c>
      <c r="BC115">
        <f t="shared" si="58"/>
        <v>0</v>
      </c>
      <c r="BD115" s="26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26" cm="1">
        <f t="array" ref="BE115">$G$13+VLOOKUP($R115,武学奇术!$A:$ZZ,14,FALSE)+SUM(_xlfn.XLOOKUP(S115:AG115,增益!$A:$A,增益!$N:$N,0))</f>
        <v>0</v>
      </c>
      <c r="BF115">
        <f t="shared" si="59"/>
        <v>0</v>
      </c>
      <c r="BG115">
        <f t="shared" si="60"/>
        <v>0</v>
      </c>
      <c r="BH115" s="26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26" cm="1">
        <f t="array" ref="BI115">$G$14+VLOOKUP($R115,武学奇术!$A:$ZZ,16,FALSE)+SUM(_xlfn.XLOOKUP(S115:AG115,增益!$A:$A,增益!$P:$P,0))</f>
        <v>0</v>
      </c>
      <c r="BJ115" s="21">
        <f>MIN(IF(VLOOKUP($R115,武学奇术!$A:$ZZ,23,FALSE)=1,100%,$B$8),100%)</f>
        <v>0.8229</v>
      </c>
      <c r="BK115" s="21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0.2285</v>
      </c>
      <c r="BL115" s="21" cm="1">
        <f t="array" ref="BL115">1+$B$13+VLOOKUP($R115,武学奇术!$A:$ZZ,18,FALSE)+SUM(_xlfn.XLOOKUP(S115:AG115,增益!$A:$A,增益!$R:$R,0))</f>
        <v>1.5</v>
      </c>
      <c r="BM115" s="21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0.4495</v>
      </c>
      <c r="BN115" s="21" cm="1">
        <f t="array" ref="BN115">1+$B$14+VLOOKUP($R115,武学奇术!$A:$ZZ,20,FALSE)+SUM(_xlfn.XLOOKUP(S115:AG115,增益!$A:$A,增益!$T:$T,0))</f>
        <v>1.782</v>
      </c>
      <c r="BO115" s="21">
        <f t="shared" si="61"/>
        <v>0.18803265</v>
      </c>
      <c r="BP115" s="21">
        <f t="shared" si="62"/>
        <v>0.2649738</v>
      </c>
      <c r="BQ115" s="21">
        <f>IF(VLOOKUP($R115,武学奇术!$A:$ZZ,22,FALSE)=1,0,(1-$BJ115))*(1-$BM115)</f>
        <v>0.09749355</v>
      </c>
      <c r="BR115" s="21" cm="1">
        <f t="array" ref="BR115">SUM(_xlfn.XLOOKUP(S115:AG115,增益!$A:$A,增益!$W:$W,0))+$I$5</f>
        <v>0.06</v>
      </c>
    </row>
    <row r="116" spans="11:70">
      <c r="K116" s="24">
        <f>$L116*VLOOKUP($R116,武学奇术!$A:$ZZ,31,FALSE)</f>
        <v>121570.28329918</v>
      </c>
      <c r="L116" s="24">
        <f t="shared" si="52"/>
        <v>202617.138831966</v>
      </c>
      <c r="M116" s="24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110158.867750072</v>
      </c>
      <c r="N116" s="24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202617.138831966</v>
      </c>
      <c r="O116" s="24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73439.2451667149</v>
      </c>
      <c r="P116" s="24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33176.39222346</v>
      </c>
      <c r="Q116" s="31">
        <v>1</v>
      </c>
      <c r="R116" s="32" t="s">
        <v>120</v>
      </c>
      <c r="S116" s="32" t="s">
        <v>87</v>
      </c>
      <c r="T116" s="32" t="s">
        <v>96</v>
      </c>
      <c r="U116" s="32" t="s">
        <v>97</v>
      </c>
      <c r="V116" s="32" t="s">
        <v>98</v>
      </c>
      <c r="W116" s="32" t="s">
        <v>111</v>
      </c>
      <c r="X116" s="32" t="s">
        <v>127</v>
      </c>
      <c r="Y116" s="32" t="s">
        <v>73</v>
      </c>
      <c r="Z116" s="32" t="s">
        <v>73</v>
      </c>
      <c r="AA116" s="32" t="s">
        <v>81</v>
      </c>
      <c r="AB116" s="32" t="s">
        <v>75</v>
      </c>
      <c r="AC116" s="32" t="s">
        <v>76</v>
      </c>
      <c r="AD116" s="32" t="s">
        <v>82</v>
      </c>
      <c r="AE116" s="32" t="s">
        <v>73</v>
      </c>
      <c r="AF116" s="32" t="s">
        <v>73</v>
      </c>
      <c r="AG116" s="32" t="s">
        <v>178</v>
      </c>
      <c r="AH116" t="str">
        <f>VLOOKUP($R116,武学奇术!$A:$ZZ,25,FALSE)</f>
        <v>剑</v>
      </c>
      <c r="AI116" s="21">
        <f>VLOOKUP($R116,武学奇术!$A:$ZZ,26,FALSE)</f>
        <v>2.52</v>
      </c>
      <c r="AJ116" s="22">
        <f>VLOOKUP($R116,武学奇术!$A:$ZZ,27,FALSE)*(1+IF(OR($AH116=$F$4,$AH116=$F$5),$B$22,0))</f>
        <v>0</v>
      </c>
      <c r="AK116" s="21">
        <f>VLOOKUP($R116,武学奇术!$A:$ZZ,28,FALSE)</f>
        <v>3.78</v>
      </c>
      <c r="AL116" s="22">
        <f>VLOOKUP($R116,武学奇术!$A:$ZZ,29,FALSE)*(1+IF(OR($AH116=$F$4,$AH116=$F$5),$B$22,0))</f>
        <v>0</v>
      </c>
      <c r="AM116" s="21" cm="1">
        <f t="array" ref="AM116">$G$3+IFERROR(VLOOKUP($AH116,$F$4:$G$7,2,FALSE),0)+VLOOKUP($R116,武学奇术!$A:$ZZ,2,FALSE)+SUM(_xlfn.XLOOKUP($S116:$AG116,增益!$A:$A,增益!$B:$B,0))</f>
        <v>1.4691</v>
      </c>
      <c r="AN116" s="21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1862.48</v>
      </c>
      <c r="AP116" cm="1">
        <f t="array" ref="AP116">$E$10*(1+$AN116)+VLOOKUP($R116,武学奇术!$A:$ZZ,4,FALSE)+SUM(_xlfn.XLOOKUP($S116:$AG116,增益!$A:$A,增益!$D:$D,0))-$I$2</f>
        <v>7794.56</v>
      </c>
      <c r="AQ116" s="26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0.369</v>
      </c>
      <c r="AR116" s="26" cm="1">
        <f t="array" ref="AR116">$G$10+VLOOKUP($R116,武学奇术!$A:$ZZ,7,FALSE)+SUM(_xlfn.XLOOKUP(S116:AG116,增益!$A:$A,增益!$G:$G,0))</f>
        <v>0</v>
      </c>
      <c r="AS116" s="21" cm="1">
        <f t="array" ref="AS116">VLOOKUP($R116,武学奇术!$A:$ZZ,8,FALSE)+SUM(_xlfn.XLOOKUP(S116:AG116,增益!$A:$A,增益!$H:$H,0))</f>
        <v>0</v>
      </c>
      <c r="AT116">
        <f t="shared" si="53"/>
        <v>680.02</v>
      </c>
      <c r="AU116">
        <f t="shared" si="54"/>
        <v>1288.54</v>
      </c>
      <c r="AV116" s="26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26" cm="1">
        <f t="array" ref="AW116">$G$11+VLOOKUP($R116,武学奇术!$A:$ZZ,10,FALSE)+SUM(_xlfn.XLOOKUP(S116:AG116,增益!$A:$A,增益!$J:$J,0))</f>
        <v>0.15</v>
      </c>
      <c r="AX116">
        <f t="shared" si="55"/>
        <v>0</v>
      </c>
      <c r="AY116">
        <f t="shared" si="56"/>
        <v>0</v>
      </c>
      <c r="AZ116" s="26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26" cm="1">
        <f t="array" ref="BA116">$G$12+VLOOKUP($R116,武学奇术!$A:$ZZ,12,FALSE)+SUM(_xlfn.XLOOKUP(S116:AG116,增益!$A:$A,增益!$L:$L,0))</f>
        <v>0</v>
      </c>
      <c r="BB116">
        <f t="shared" si="57"/>
        <v>0</v>
      </c>
      <c r="BC116">
        <f t="shared" si="58"/>
        <v>0</v>
      </c>
      <c r="BD116" s="26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26" cm="1">
        <f t="array" ref="BE116">$G$13+VLOOKUP($R116,武学奇术!$A:$ZZ,14,FALSE)+SUM(_xlfn.XLOOKUP(S116:AG116,增益!$A:$A,增益!$N:$N,0))</f>
        <v>0</v>
      </c>
      <c r="BF116">
        <f t="shared" si="59"/>
        <v>0</v>
      </c>
      <c r="BG116">
        <f t="shared" si="60"/>
        <v>0</v>
      </c>
      <c r="BH116" s="26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26" cm="1">
        <f t="array" ref="BI116">$G$14+VLOOKUP($R116,武学奇术!$A:$ZZ,16,FALSE)+SUM(_xlfn.XLOOKUP(S116:AG116,增益!$A:$A,增益!$P:$P,0))</f>
        <v>0</v>
      </c>
      <c r="BJ116" s="21">
        <f>MIN(IF(VLOOKUP($R116,武学奇术!$A:$ZZ,23,FALSE)=1,100%,$B$8),100%)</f>
        <v>0.8229</v>
      </c>
      <c r="BK116" s="21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</v>
      </c>
      <c r="BL116" s="21" cm="1">
        <f t="array" ref="BL116">1+$B$13+VLOOKUP($R116,武学奇术!$A:$ZZ,18,FALSE)+SUM(_xlfn.XLOOKUP(S116:AG116,增益!$A:$A,增益!$R:$R,0))</f>
        <v>1.5</v>
      </c>
      <c r="BM116" s="21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1</v>
      </c>
      <c r="BN116" s="21" cm="1">
        <f t="array" ref="BN116">1+$B$14+VLOOKUP($R116,武学奇术!$A:$ZZ,20,FALSE)+SUM(_xlfn.XLOOKUP(S116:AG116,增益!$A:$A,增益!$T:$T,0))</f>
        <v>1.782</v>
      </c>
      <c r="BO116" s="21">
        <f t="shared" si="61"/>
        <v>0</v>
      </c>
      <c r="BP116" s="21">
        <f t="shared" si="62"/>
        <v>0</v>
      </c>
      <c r="BQ116" s="21">
        <f>IF(VLOOKUP($R116,武学奇术!$A:$ZZ,22,FALSE)=1,0,(1-$BJ116))*(1-$BM116)</f>
        <v>0</v>
      </c>
      <c r="BR116" s="21" cm="1">
        <f t="array" ref="BR116">SUM(_xlfn.XLOOKUP(S116:AG116,增益!$A:$A,增益!$W:$W,0))+$I$5</f>
        <v>0.06</v>
      </c>
    </row>
    <row r="117" spans="11:70">
      <c r="K117" s="24">
        <f>$L117*VLOOKUP($R117,武学奇术!$A:$ZZ,31,FALSE)</f>
        <v>25395.5178112881</v>
      </c>
      <c r="L117" s="24">
        <f t="shared" si="52"/>
        <v>25395.5178112881</v>
      </c>
      <c r="M117" s="24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22799.6869836094</v>
      </c>
      <c r="N117" s="24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36324.1766169918</v>
      </c>
      <c r="O117" s="24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15199.7913224063</v>
      </c>
      <c r="P117" s="24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7725.31509363161</v>
      </c>
      <c r="Q117" s="31">
        <v>1</v>
      </c>
      <c r="R117" s="32" t="s">
        <v>124</v>
      </c>
      <c r="S117" s="32" t="s">
        <v>87</v>
      </c>
      <c r="T117" s="32" t="s">
        <v>104</v>
      </c>
      <c r="U117" s="32" t="s">
        <v>73</v>
      </c>
      <c r="V117" s="32" t="s">
        <v>73</v>
      </c>
      <c r="W117" s="32" t="s">
        <v>111</v>
      </c>
      <c r="X117" s="32" t="s">
        <v>127</v>
      </c>
      <c r="Y117" s="32" t="s">
        <v>73</v>
      </c>
      <c r="Z117" s="32" t="s">
        <v>73</v>
      </c>
      <c r="AA117" s="32" t="s">
        <v>81</v>
      </c>
      <c r="AB117" s="32" t="s">
        <v>75</v>
      </c>
      <c r="AC117" s="32" t="s">
        <v>76</v>
      </c>
      <c r="AD117" s="32" t="s">
        <v>82</v>
      </c>
      <c r="AE117" s="32" t="s">
        <v>73</v>
      </c>
      <c r="AF117" s="32" t="s">
        <v>73</v>
      </c>
      <c r="AG117" s="32" t="s">
        <v>178</v>
      </c>
      <c r="AH117" t="str">
        <f>VLOOKUP($R117,武学奇术!$A:$ZZ,25,FALSE)</f>
        <v>剑</v>
      </c>
      <c r="AI117" s="21">
        <f>VLOOKUP($R117,武学奇术!$A:$ZZ,26,FALSE)</f>
        <v>0.94015</v>
      </c>
      <c r="AJ117" s="22">
        <f>VLOOKUP($R117,武学奇术!$A:$ZZ,27,FALSE)*(1+IF(OR($AH117=$F$4,$AH117=$F$5),$B$22,0))</f>
        <v>390</v>
      </c>
      <c r="AK117" s="21">
        <f>VLOOKUP($R117,武学奇术!$A:$ZZ,28,FALSE)</f>
        <v>1.41025</v>
      </c>
      <c r="AL117" s="22">
        <f>VLOOKUP($R117,武学奇术!$A:$ZZ,29,FALSE)*(1+IF(OR($AH117=$F$4,$AH117=$F$5),$B$22,0))</f>
        <v>212.25</v>
      </c>
      <c r="AM117" s="21" cm="1">
        <f t="array" ref="AM117">$G$3+IFERROR(VLOOKUP($AH117,$F$4:$G$7,2,FALSE),0)+VLOOKUP($R117,武学奇术!$A:$ZZ,2,FALSE)+SUM(_xlfn.XLOOKUP($S117:$AG117,增益!$A:$A,增益!$B:$B,0))</f>
        <v>0.7191</v>
      </c>
      <c r="AN117" s="21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1862.48</v>
      </c>
      <c r="AP117" cm="1">
        <f t="array" ref="AP117">$E$10*(1+$AN117)+VLOOKUP($R117,武学奇术!$A:$ZZ,4,FALSE)+SUM(_xlfn.XLOOKUP($S117:$AG117,增益!$A:$A,增益!$D:$D,0))-$I$2</f>
        <v>7794.56</v>
      </c>
      <c r="AQ117" s="26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0.294</v>
      </c>
      <c r="AR117" s="26" cm="1">
        <f t="array" ref="AR117">$G$10+VLOOKUP($R117,武学奇术!$A:$ZZ,7,FALSE)+SUM(_xlfn.XLOOKUP(S117:AG117,增益!$A:$A,增益!$G:$G,0))</f>
        <v>0</v>
      </c>
      <c r="AS117" s="21" cm="1">
        <f t="array" ref="AS117">VLOOKUP($R117,武学奇术!$A:$ZZ,8,FALSE)+SUM(_xlfn.XLOOKUP(S117:AG117,增益!$A:$A,增益!$H:$H,0))</f>
        <v>0</v>
      </c>
      <c r="AT117">
        <f t="shared" si="53"/>
        <v>680.02</v>
      </c>
      <c r="AU117">
        <f t="shared" si="54"/>
        <v>1288.54</v>
      </c>
      <c r="AV117" s="26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26" cm="1">
        <f t="array" ref="AW117">$G$11+VLOOKUP($R117,武学奇术!$A:$ZZ,10,FALSE)+SUM(_xlfn.XLOOKUP(S117:AG117,增益!$A:$A,增益!$J:$J,0))</f>
        <v>0.15</v>
      </c>
      <c r="AX117">
        <f t="shared" si="55"/>
        <v>0</v>
      </c>
      <c r="AY117">
        <f t="shared" si="56"/>
        <v>0</v>
      </c>
      <c r="AZ117" s="26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26" cm="1">
        <f t="array" ref="BA117">$G$12+VLOOKUP($R117,武学奇术!$A:$ZZ,12,FALSE)+SUM(_xlfn.XLOOKUP(S117:AG117,增益!$A:$A,增益!$L:$L,0))</f>
        <v>0</v>
      </c>
      <c r="BB117">
        <f t="shared" si="57"/>
        <v>0</v>
      </c>
      <c r="BC117">
        <f t="shared" si="58"/>
        <v>0</v>
      </c>
      <c r="BD117" s="26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26" cm="1">
        <f t="array" ref="BE117">$G$13+VLOOKUP($R117,武学奇术!$A:$ZZ,14,FALSE)+SUM(_xlfn.XLOOKUP(S117:AG117,增益!$A:$A,增益!$N:$N,0))</f>
        <v>0</v>
      </c>
      <c r="BF117">
        <f t="shared" si="59"/>
        <v>0</v>
      </c>
      <c r="BG117">
        <f t="shared" si="60"/>
        <v>0</v>
      </c>
      <c r="BH117" s="26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26" cm="1">
        <f t="array" ref="BI117">$G$14+VLOOKUP($R117,武学奇术!$A:$ZZ,16,FALSE)+SUM(_xlfn.XLOOKUP(S117:AG117,增益!$A:$A,增益!$P:$P,0))</f>
        <v>0</v>
      </c>
      <c r="BJ117" s="21">
        <f>MIN(IF(VLOOKUP($R117,武学奇术!$A:$ZZ,23,FALSE)=1,100%,$B$8),100%)</f>
        <v>0.8229</v>
      </c>
      <c r="BK117" s="21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0.2285</v>
      </c>
      <c r="BL117" s="21" cm="1">
        <f t="array" ref="BL117">1+$B$13+VLOOKUP($R117,武学奇术!$A:$ZZ,18,FALSE)+SUM(_xlfn.XLOOKUP(S117:AG117,增益!$A:$A,增益!$R:$R,0))</f>
        <v>1.5</v>
      </c>
      <c r="BM117" s="21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0.4495</v>
      </c>
      <c r="BN117" s="21" cm="1">
        <f t="array" ref="BN117">1+$B$14+VLOOKUP($R117,武学奇术!$A:$ZZ,20,FALSE)+SUM(_xlfn.XLOOKUP(S117:AG117,增益!$A:$A,增益!$T:$T,0))</f>
        <v>1.602</v>
      </c>
      <c r="BO117" s="21">
        <f t="shared" si="61"/>
        <v>0.18803265</v>
      </c>
      <c r="BP117" s="21">
        <f t="shared" si="62"/>
        <v>0.2649738</v>
      </c>
      <c r="BQ117" s="21">
        <f>IF(VLOOKUP($R117,武学奇术!$A:$ZZ,22,FALSE)=1,0,(1-$BJ117))*(1-$BM117)</f>
        <v>0.09749355</v>
      </c>
      <c r="BR117" s="21" cm="1">
        <f t="array" ref="BR117">SUM(_xlfn.XLOOKUP(S117:AG117,增益!$A:$A,增益!$W:$W,0))+$I$5</f>
        <v>0.06</v>
      </c>
    </row>
    <row r="118" spans="11:70">
      <c r="K118" s="24">
        <f>$L118*VLOOKUP($R118,武学奇术!$A:$ZZ,31,FALSE)</f>
        <v>31822.0530491007</v>
      </c>
      <c r="L118" s="24">
        <f t="shared" si="52"/>
        <v>31822.0530491007</v>
      </c>
      <c r="M118" s="24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28569.1137951401</v>
      </c>
      <c r="N118" s="24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45516.5659710482</v>
      </c>
      <c r="O118" s="24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19046.0758634267</v>
      </c>
      <c r="P118" s="24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9679.8134178346</v>
      </c>
      <c r="Q118" s="31">
        <v>1</v>
      </c>
      <c r="R118" s="32" t="s">
        <v>86</v>
      </c>
      <c r="S118" s="32" t="s">
        <v>87</v>
      </c>
      <c r="T118" s="32" t="s">
        <v>104</v>
      </c>
      <c r="U118" s="32" t="s">
        <v>73</v>
      </c>
      <c r="V118" s="32" t="s">
        <v>73</v>
      </c>
      <c r="W118" s="32" t="s">
        <v>111</v>
      </c>
      <c r="X118" s="32" t="s">
        <v>127</v>
      </c>
      <c r="Y118" s="32" t="s">
        <v>73</v>
      </c>
      <c r="Z118" s="32" t="s">
        <v>73</v>
      </c>
      <c r="AA118" s="32" t="s">
        <v>81</v>
      </c>
      <c r="AB118" s="32" t="s">
        <v>75</v>
      </c>
      <c r="AC118" s="32" t="s">
        <v>76</v>
      </c>
      <c r="AD118" s="32" t="s">
        <v>82</v>
      </c>
      <c r="AE118" s="32" t="s">
        <v>73</v>
      </c>
      <c r="AF118" s="32" t="s">
        <v>73</v>
      </c>
      <c r="AG118" s="32" t="s">
        <v>178</v>
      </c>
      <c r="AH118" t="str">
        <f>VLOOKUP($R118,武学奇术!$A:$ZZ,25,FALSE)</f>
        <v>剑</v>
      </c>
      <c r="AI118" s="21">
        <f>VLOOKUP($R118,武学奇术!$A:$ZZ,26,FALSE)</f>
        <v>1.1781</v>
      </c>
      <c r="AJ118" s="22">
        <f>VLOOKUP($R118,武学奇术!$A:$ZZ,27,FALSE)*(1+IF(OR($AH118=$F$4,$AH118=$F$5),$B$22,0))</f>
        <v>489</v>
      </c>
      <c r="AK118" s="21">
        <f>VLOOKUP($R118,武学奇术!$A:$ZZ,28,FALSE)</f>
        <v>1.7672</v>
      </c>
      <c r="AL118" s="22">
        <f>VLOOKUP($R118,武学奇术!$A:$ZZ,29,FALSE)*(1+IF(OR($AH118=$F$4,$AH118=$F$5),$B$22,0))</f>
        <v>265.5</v>
      </c>
      <c r="AM118" s="21" cm="1">
        <f t="array" ref="AM118">$G$3+IFERROR(VLOOKUP($AH118,$F$4:$G$7,2,FALSE),0)+VLOOKUP($R118,武学奇术!$A:$ZZ,2,FALSE)+SUM(_xlfn.XLOOKUP($S118:$AG118,增益!$A:$A,增益!$B:$B,0))</f>
        <v>0.7191</v>
      </c>
      <c r="AN118" s="21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1862.48</v>
      </c>
      <c r="AP118" cm="1">
        <f t="array" ref="AP118">$E$10*(1+$AN118)+VLOOKUP($R118,武学奇术!$A:$ZZ,4,FALSE)+SUM(_xlfn.XLOOKUP($S118:$AG118,增益!$A:$A,增益!$D:$D,0))-$I$2</f>
        <v>7794.56</v>
      </c>
      <c r="AQ118" s="26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0.294</v>
      </c>
      <c r="AR118" s="26" cm="1">
        <f t="array" ref="AR118">$G$10+VLOOKUP($R118,武学奇术!$A:$ZZ,7,FALSE)+SUM(_xlfn.XLOOKUP(S118:AG118,增益!$A:$A,增益!$G:$G,0))</f>
        <v>0</v>
      </c>
      <c r="AS118" s="21" cm="1">
        <f t="array" ref="AS118">VLOOKUP($R118,武学奇术!$A:$ZZ,8,FALSE)+SUM(_xlfn.XLOOKUP(S118:AG118,增益!$A:$A,增益!$H:$H,0))</f>
        <v>0</v>
      </c>
      <c r="AT118">
        <f t="shared" si="53"/>
        <v>680.02</v>
      </c>
      <c r="AU118">
        <f t="shared" si="54"/>
        <v>1288.54</v>
      </c>
      <c r="AV118" s="26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26" cm="1">
        <f t="array" ref="AW118">$G$11+VLOOKUP($R118,武学奇术!$A:$ZZ,10,FALSE)+SUM(_xlfn.XLOOKUP(S118:AG118,增益!$A:$A,增益!$J:$J,0))</f>
        <v>0.15</v>
      </c>
      <c r="AX118">
        <f t="shared" si="55"/>
        <v>0</v>
      </c>
      <c r="AY118">
        <f t="shared" si="56"/>
        <v>0</v>
      </c>
      <c r="AZ118" s="26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26" cm="1">
        <f t="array" ref="BA118">$G$12+VLOOKUP($R118,武学奇术!$A:$ZZ,12,FALSE)+SUM(_xlfn.XLOOKUP(S118:AG118,增益!$A:$A,增益!$L:$L,0))</f>
        <v>0</v>
      </c>
      <c r="BB118">
        <f t="shared" si="57"/>
        <v>0</v>
      </c>
      <c r="BC118">
        <f t="shared" si="58"/>
        <v>0</v>
      </c>
      <c r="BD118" s="26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26" cm="1">
        <f t="array" ref="BE118">$G$13+VLOOKUP($R118,武学奇术!$A:$ZZ,14,FALSE)+SUM(_xlfn.XLOOKUP(S118:AG118,增益!$A:$A,增益!$N:$N,0))</f>
        <v>0</v>
      </c>
      <c r="BF118">
        <f t="shared" si="59"/>
        <v>0</v>
      </c>
      <c r="BG118">
        <f t="shared" si="60"/>
        <v>0</v>
      </c>
      <c r="BH118" s="26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26" cm="1">
        <f t="array" ref="BI118">$G$14+VLOOKUP($R118,武学奇术!$A:$ZZ,16,FALSE)+SUM(_xlfn.XLOOKUP(S118:AG118,增益!$A:$A,增益!$P:$P,0))</f>
        <v>0</v>
      </c>
      <c r="BJ118" s="21">
        <f>MIN(IF(VLOOKUP($R118,武学奇术!$A:$ZZ,23,FALSE)=1,100%,$B$8),100%)</f>
        <v>0.8229</v>
      </c>
      <c r="BK118" s="21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0.2285</v>
      </c>
      <c r="BL118" s="21" cm="1">
        <f t="array" ref="BL118">1+$B$13+VLOOKUP($R118,武学奇术!$A:$ZZ,18,FALSE)+SUM(_xlfn.XLOOKUP(S118:AG118,增益!$A:$A,增益!$R:$R,0))</f>
        <v>1.5</v>
      </c>
      <c r="BM118" s="21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0.4495</v>
      </c>
      <c r="BN118" s="21" cm="1">
        <f t="array" ref="BN118">1+$B$14+VLOOKUP($R118,武学奇术!$A:$ZZ,20,FALSE)+SUM(_xlfn.XLOOKUP(S118:AG118,增益!$A:$A,增益!$T:$T,0))</f>
        <v>1.602</v>
      </c>
      <c r="BO118" s="21">
        <f t="shared" si="61"/>
        <v>0.18803265</v>
      </c>
      <c r="BP118" s="21">
        <f t="shared" si="62"/>
        <v>0.2649738</v>
      </c>
      <c r="BQ118" s="21">
        <f>IF(VLOOKUP($R118,武学奇术!$A:$ZZ,22,FALSE)=1,0,(1-$BJ118))*(1-$BM118)</f>
        <v>0.09749355</v>
      </c>
      <c r="BR118" s="21" cm="1">
        <f t="array" ref="BR118">SUM(_xlfn.XLOOKUP(S118:AG118,增益!$A:$A,增益!$W:$W,0))+$I$5</f>
        <v>0.06</v>
      </c>
    </row>
    <row r="119" spans="11:70">
      <c r="K119" s="24">
        <f>$L119*VLOOKUP($R119,武学奇术!$A:$ZZ,31,FALSE)</f>
        <v>80690.2967064169</v>
      </c>
      <c r="L119" s="24">
        <f t="shared" si="52"/>
        <v>134483.827844028</v>
      </c>
      <c r="M119" s="24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110158.867750072</v>
      </c>
      <c r="N119" s="24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202617.138831966</v>
      </c>
      <c r="O119" s="24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73439.2451667149</v>
      </c>
      <c r="P119" s="24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33176.39222346</v>
      </c>
      <c r="Q119" s="31">
        <v>1</v>
      </c>
      <c r="R119" s="32" t="s">
        <v>95</v>
      </c>
      <c r="S119" s="32" t="s">
        <v>87</v>
      </c>
      <c r="T119" s="32" t="s">
        <v>96</v>
      </c>
      <c r="U119" s="32" t="s">
        <v>97</v>
      </c>
      <c r="V119" s="32" t="s">
        <v>98</v>
      </c>
      <c r="W119" s="32" t="s">
        <v>111</v>
      </c>
      <c r="X119" s="32" t="s">
        <v>127</v>
      </c>
      <c r="Y119" s="32" t="s">
        <v>73</v>
      </c>
      <c r="Z119" s="32" t="s">
        <v>73</v>
      </c>
      <c r="AA119" s="32" t="s">
        <v>81</v>
      </c>
      <c r="AB119" s="32" t="s">
        <v>75</v>
      </c>
      <c r="AC119" s="32" t="s">
        <v>76</v>
      </c>
      <c r="AD119" s="32" t="s">
        <v>82</v>
      </c>
      <c r="AE119" s="32" t="s">
        <v>73</v>
      </c>
      <c r="AF119" s="32" t="s">
        <v>73</v>
      </c>
      <c r="AG119" s="32" t="s">
        <v>178</v>
      </c>
      <c r="AH119" t="str">
        <f>VLOOKUP($R119,武学奇术!$A:$ZZ,25,FALSE)</f>
        <v>剑</v>
      </c>
      <c r="AI119" s="21">
        <f>VLOOKUP($R119,武学奇术!$A:$ZZ,26,FALSE)</f>
        <v>2.52</v>
      </c>
      <c r="AJ119" s="22">
        <f>VLOOKUP($R119,武学奇术!$A:$ZZ,27,FALSE)*(1+IF(OR($AH119=$F$4,$AH119=$F$5),$B$22,0))</f>
        <v>0</v>
      </c>
      <c r="AK119" s="21">
        <f>VLOOKUP($R119,武学奇术!$A:$ZZ,28,FALSE)</f>
        <v>3.78</v>
      </c>
      <c r="AL119" s="22">
        <f>VLOOKUP($R119,武学奇术!$A:$ZZ,29,FALSE)*(1+IF(OR($AH119=$F$4,$AH119=$F$5),$B$22,0))</f>
        <v>0</v>
      </c>
      <c r="AM119" s="21" cm="1">
        <f t="array" ref="AM119">$G$3+IFERROR(VLOOKUP($AH119,$F$4:$G$7,2,FALSE),0)+VLOOKUP($R119,武学奇术!$A:$ZZ,2,FALSE)+SUM(_xlfn.XLOOKUP($S119:$AG119,增益!$A:$A,增益!$B:$B,0))</f>
        <v>1.4691</v>
      </c>
      <c r="AN119" s="21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1862.48</v>
      </c>
      <c r="AP119" cm="1">
        <f t="array" ref="AP119">$E$10*(1+$AN119)+VLOOKUP($R119,武学奇术!$A:$ZZ,4,FALSE)+SUM(_xlfn.XLOOKUP($S119:$AG119,增益!$A:$A,增益!$D:$D,0))-$I$2</f>
        <v>7794.56</v>
      </c>
      <c r="AQ119" s="26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0.369</v>
      </c>
      <c r="AR119" s="26" cm="1">
        <f t="array" ref="AR119">$G$10+VLOOKUP($R119,武学奇术!$A:$ZZ,7,FALSE)+SUM(_xlfn.XLOOKUP(S119:AG119,增益!$A:$A,增益!$G:$G,0))</f>
        <v>0</v>
      </c>
      <c r="AS119" s="21" cm="1">
        <f t="array" ref="AS119">VLOOKUP($R119,武学奇术!$A:$ZZ,8,FALSE)+SUM(_xlfn.XLOOKUP(S119:AG119,增益!$A:$A,增益!$H:$H,0))</f>
        <v>0</v>
      </c>
      <c r="AT119">
        <f t="shared" si="53"/>
        <v>680.02</v>
      </c>
      <c r="AU119">
        <f t="shared" si="54"/>
        <v>1288.54</v>
      </c>
      <c r="AV119" s="26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0.075</v>
      </c>
      <c r="AW119" s="26" cm="1">
        <f t="array" ref="AW119">$G$11+VLOOKUP($R119,武学奇术!$A:$ZZ,10,FALSE)+SUM(_xlfn.XLOOKUP(S119:AG119,增益!$A:$A,增益!$J:$J,0))</f>
        <v>0.15</v>
      </c>
      <c r="AX119">
        <f t="shared" si="55"/>
        <v>0</v>
      </c>
      <c r="AY119">
        <f t="shared" si="56"/>
        <v>0</v>
      </c>
      <c r="AZ119" s="26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26" cm="1">
        <f t="array" ref="BA119">$G$12+VLOOKUP($R119,武学奇术!$A:$ZZ,12,FALSE)+SUM(_xlfn.XLOOKUP(S119:AG119,增益!$A:$A,增益!$L:$L,0))</f>
        <v>0</v>
      </c>
      <c r="BB119">
        <f t="shared" si="57"/>
        <v>0</v>
      </c>
      <c r="BC119">
        <f t="shared" si="58"/>
        <v>0</v>
      </c>
      <c r="BD119" s="26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26" cm="1">
        <f t="array" ref="BE119">$G$13+VLOOKUP($R119,武学奇术!$A:$ZZ,14,FALSE)+SUM(_xlfn.XLOOKUP(S119:AG119,增益!$A:$A,增益!$N:$N,0))</f>
        <v>0</v>
      </c>
      <c r="BF119">
        <f t="shared" si="59"/>
        <v>0</v>
      </c>
      <c r="BG119">
        <f t="shared" si="60"/>
        <v>0</v>
      </c>
      <c r="BH119" s="26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26" cm="1">
        <f t="array" ref="BI119">$G$14+VLOOKUP($R119,武学奇术!$A:$ZZ,16,FALSE)+SUM(_xlfn.XLOOKUP(S119:AG119,增益!$A:$A,增益!$P:$P,0))</f>
        <v>0</v>
      </c>
      <c r="BJ119" s="21">
        <f>MIN(IF(VLOOKUP($R119,武学奇术!$A:$ZZ,23,FALSE)=1,100%,$B$8),100%)</f>
        <v>0.8229</v>
      </c>
      <c r="BK119" s="21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0.2285</v>
      </c>
      <c r="BL119" s="21" cm="1">
        <f t="array" ref="BL119">1+$B$13+VLOOKUP($R119,武学奇术!$A:$ZZ,18,FALSE)+SUM(_xlfn.XLOOKUP(S119:AG119,增益!$A:$A,增益!$R:$R,0))</f>
        <v>1.5</v>
      </c>
      <c r="BM119" s="21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0.4495</v>
      </c>
      <c r="BN119" s="21" cm="1">
        <f t="array" ref="BN119">1+$B$14+VLOOKUP($R119,武学奇术!$A:$ZZ,20,FALSE)+SUM(_xlfn.XLOOKUP(S119:AG119,增益!$A:$A,增益!$T:$T,0))</f>
        <v>1.782</v>
      </c>
      <c r="BO119" s="21">
        <f t="shared" si="61"/>
        <v>0.18803265</v>
      </c>
      <c r="BP119" s="21">
        <f t="shared" si="62"/>
        <v>0.2649738</v>
      </c>
      <c r="BQ119" s="21">
        <f>IF(VLOOKUP($R119,武学奇术!$A:$ZZ,22,FALSE)=1,0,(1-$BJ119))*(1-$BM119)</f>
        <v>0.09749355</v>
      </c>
      <c r="BR119" s="21" cm="1">
        <f t="array" ref="BR119">SUM(_xlfn.XLOOKUP(S119:AG119,增益!$A:$A,增益!$W:$W,0))+$I$5</f>
        <v>0.06</v>
      </c>
    </row>
    <row r="120" spans="11:70">
      <c r="K120" s="24">
        <f>$L120*VLOOKUP($R120,武学奇术!$A:$ZZ,31,FALSE)</f>
        <v>80690.2967064169</v>
      </c>
      <c r="L120" s="24">
        <f t="shared" si="52"/>
        <v>134483.827844028</v>
      </c>
      <c r="M120" s="24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110158.867750072</v>
      </c>
      <c r="N120" s="24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202617.138831966</v>
      </c>
      <c r="O120" s="24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73439.2451667149</v>
      </c>
      <c r="P120" s="24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33176.39222346</v>
      </c>
      <c r="Q120" s="31">
        <v>1</v>
      </c>
      <c r="R120" s="32" t="s">
        <v>95</v>
      </c>
      <c r="S120" s="32" t="s">
        <v>87</v>
      </c>
      <c r="T120" s="32" t="s">
        <v>96</v>
      </c>
      <c r="U120" s="32" t="s">
        <v>97</v>
      </c>
      <c r="V120" s="32" t="s">
        <v>98</v>
      </c>
      <c r="W120" s="32" t="s">
        <v>111</v>
      </c>
      <c r="X120" s="32" t="s">
        <v>127</v>
      </c>
      <c r="Y120" s="32" t="s">
        <v>73</v>
      </c>
      <c r="Z120" s="32" t="s">
        <v>73</v>
      </c>
      <c r="AA120" s="32" t="s">
        <v>81</v>
      </c>
      <c r="AB120" s="32" t="s">
        <v>75</v>
      </c>
      <c r="AC120" s="32" t="s">
        <v>76</v>
      </c>
      <c r="AD120" s="32" t="s">
        <v>82</v>
      </c>
      <c r="AE120" s="32" t="s">
        <v>73</v>
      </c>
      <c r="AF120" s="32" t="s">
        <v>73</v>
      </c>
      <c r="AG120" s="32" t="s">
        <v>178</v>
      </c>
      <c r="AH120" t="str">
        <f>VLOOKUP($R120,武学奇术!$A:$ZZ,25,FALSE)</f>
        <v>剑</v>
      </c>
      <c r="AI120" s="21">
        <f>VLOOKUP($R120,武学奇术!$A:$ZZ,26,FALSE)</f>
        <v>2.52</v>
      </c>
      <c r="AJ120" s="22">
        <f>VLOOKUP($R120,武学奇术!$A:$ZZ,27,FALSE)*(1+IF(OR($AH120=$F$4,$AH120=$F$5),$B$22,0))</f>
        <v>0</v>
      </c>
      <c r="AK120" s="21">
        <f>VLOOKUP($R120,武学奇术!$A:$ZZ,28,FALSE)</f>
        <v>3.78</v>
      </c>
      <c r="AL120" s="22">
        <f>VLOOKUP($R120,武学奇术!$A:$ZZ,29,FALSE)*(1+IF(OR($AH120=$F$4,$AH120=$F$5),$B$22,0))</f>
        <v>0</v>
      </c>
      <c r="AM120" s="21" cm="1">
        <f t="array" ref="AM120">$G$3+IFERROR(VLOOKUP($AH120,$F$4:$G$7,2,FALSE),0)+VLOOKUP($R120,武学奇术!$A:$ZZ,2,FALSE)+SUM(_xlfn.XLOOKUP($S120:$AG120,增益!$A:$A,增益!$B:$B,0))</f>
        <v>1.4691</v>
      </c>
      <c r="AN120" s="21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1862.48</v>
      </c>
      <c r="AP120" cm="1">
        <f t="array" ref="AP120">$E$10*(1+$AN120)+VLOOKUP($R120,武学奇术!$A:$ZZ,4,FALSE)+SUM(_xlfn.XLOOKUP($S120:$AG120,增益!$A:$A,增益!$D:$D,0))-$I$2</f>
        <v>7794.56</v>
      </c>
      <c r="AQ120" s="26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0.369</v>
      </c>
      <c r="AR120" s="26" cm="1">
        <f t="array" ref="AR120">$G$10+VLOOKUP($R120,武学奇术!$A:$ZZ,7,FALSE)+SUM(_xlfn.XLOOKUP(S120:AG120,增益!$A:$A,增益!$G:$G,0))</f>
        <v>0</v>
      </c>
      <c r="AS120" s="21" cm="1">
        <f t="array" ref="AS120">VLOOKUP($R120,武学奇术!$A:$ZZ,8,FALSE)+SUM(_xlfn.XLOOKUP(S120:AG120,增益!$A:$A,增益!$H:$H,0))</f>
        <v>0</v>
      </c>
      <c r="AT120">
        <f t="shared" si="53"/>
        <v>680.02</v>
      </c>
      <c r="AU120">
        <f t="shared" si="54"/>
        <v>1288.54</v>
      </c>
      <c r="AV120" s="26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0.075</v>
      </c>
      <c r="AW120" s="26" cm="1">
        <f t="array" ref="AW120">$G$11+VLOOKUP($R120,武学奇术!$A:$ZZ,10,FALSE)+SUM(_xlfn.XLOOKUP(S120:AG120,增益!$A:$A,增益!$J:$J,0))</f>
        <v>0.15</v>
      </c>
      <c r="AX120">
        <f t="shared" si="55"/>
        <v>0</v>
      </c>
      <c r="AY120">
        <f t="shared" si="56"/>
        <v>0</v>
      </c>
      <c r="AZ120" s="26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26" cm="1">
        <f t="array" ref="BA120">$G$12+VLOOKUP($R120,武学奇术!$A:$ZZ,12,FALSE)+SUM(_xlfn.XLOOKUP(S120:AG120,增益!$A:$A,增益!$L:$L,0))</f>
        <v>0</v>
      </c>
      <c r="BB120">
        <f t="shared" si="57"/>
        <v>0</v>
      </c>
      <c r="BC120">
        <f t="shared" si="58"/>
        <v>0</v>
      </c>
      <c r="BD120" s="26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26" cm="1">
        <f t="array" ref="BE120">$G$13+VLOOKUP($R120,武学奇术!$A:$ZZ,14,FALSE)+SUM(_xlfn.XLOOKUP(S120:AG120,增益!$A:$A,增益!$N:$N,0))</f>
        <v>0</v>
      </c>
      <c r="BF120">
        <f t="shared" si="59"/>
        <v>0</v>
      </c>
      <c r="BG120">
        <f t="shared" si="60"/>
        <v>0</v>
      </c>
      <c r="BH120" s="26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26" cm="1">
        <f t="array" ref="BI120">$G$14+VLOOKUP($R120,武学奇术!$A:$ZZ,16,FALSE)+SUM(_xlfn.XLOOKUP(S120:AG120,增益!$A:$A,增益!$P:$P,0))</f>
        <v>0</v>
      </c>
      <c r="BJ120" s="21">
        <f>MIN(IF(VLOOKUP($R120,武学奇术!$A:$ZZ,23,FALSE)=1,100%,$B$8),100%)</f>
        <v>0.8229</v>
      </c>
      <c r="BK120" s="21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0.2285</v>
      </c>
      <c r="BL120" s="21" cm="1">
        <f t="array" ref="BL120">1+$B$13+VLOOKUP($R120,武学奇术!$A:$ZZ,18,FALSE)+SUM(_xlfn.XLOOKUP(S120:AG120,增益!$A:$A,增益!$R:$R,0))</f>
        <v>1.5</v>
      </c>
      <c r="BM120" s="21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0.4495</v>
      </c>
      <c r="BN120" s="21" cm="1">
        <f t="array" ref="BN120">1+$B$14+VLOOKUP($R120,武学奇术!$A:$ZZ,20,FALSE)+SUM(_xlfn.XLOOKUP(S120:AG120,增益!$A:$A,增益!$T:$T,0))</f>
        <v>1.782</v>
      </c>
      <c r="BO120" s="21">
        <f t="shared" si="61"/>
        <v>0.18803265</v>
      </c>
      <c r="BP120" s="21">
        <f t="shared" si="62"/>
        <v>0.2649738</v>
      </c>
      <c r="BQ120" s="21">
        <f>IF(VLOOKUP($R120,武学奇术!$A:$ZZ,22,FALSE)=1,0,(1-$BJ120))*(1-$BM120)</f>
        <v>0.09749355</v>
      </c>
      <c r="BR120" s="21" cm="1">
        <f t="array" ref="BR120">SUM(_xlfn.XLOOKUP(S120:AG120,增益!$A:$A,增益!$W:$W,0))+$I$5</f>
        <v>0.06</v>
      </c>
    </row>
    <row r="121" spans="11:70">
      <c r="K121" s="24">
        <f>$L121*VLOOKUP($R121,武学奇术!$A:$ZZ,31,FALSE)</f>
        <v>15443.061981054</v>
      </c>
      <c r="L121" s="24">
        <f t="shared" si="52"/>
        <v>15443.061981054</v>
      </c>
      <c r="M121" s="24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13574.5730909798</v>
      </c>
      <c r="N121" s="24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22457.8667533796</v>
      </c>
      <c r="O121" s="24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9049.71539398655</v>
      </c>
      <c r="P121" s="24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4080.78737138158</v>
      </c>
      <c r="Q121" s="31">
        <v>1</v>
      </c>
      <c r="R121" s="32" t="s">
        <v>103</v>
      </c>
      <c r="S121" s="32" t="s">
        <v>87</v>
      </c>
      <c r="T121" s="32" t="s">
        <v>104</v>
      </c>
      <c r="U121" s="32" t="s">
        <v>73</v>
      </c>
      <c r="V121" s="32" t="s">
        <v>73</v>
      </c>
      <c r="W121" s="32" t="s">
        <v>111</v>
      </c>
      <c r="X121" s="32" t="s">
        <v>127</v>
      </c>
      <c r="Y121" s="32" t="s">
        <v>73</v>
      </c>
      <c r="Z121" s="32" t="s">
        <v>73</v>
      </c>
      <c r="AA121" s="32" t="s">
        <v>81</v>
      </c>
      <c r="AB121" s="32" t="s">
        <v>75</v>
      </c>
      <c r="AC121" s="32" t="s">
        <v>76</v>
      </c>
      <c r="AD121" s="32" t="s">
        <v>82</v>
      </c>
      <c r="AE121" s="32" t="s">
        <v>73</v>
      </c>
      <c r="AF121" s="32" t="s">
        <v>73</v>
      </c>
      <c r="AG121" s="32" t="s">
        <v>178</v>
      </c>
      <c r="AH121" t="str">
        <f>VLOOKUP($R121,武学奇术!$A:$ZZ,25,FALSE)</f>
        <v>剑</v>
      </c>
      <c r="AI121" s="21">
        <f>VLOOKUP($R121,武学奇术!$A:$ZZ,26,FALSE)</f>
        <v>0.625</v>
      </c>
      <c r="AJ121" s="22">
        <f>VLOOKUP($R121,武学奇术!$A:$ZZ,27,FALSE)*(1+IF(OR($AH121=$F$4,$AH121=$F$5),$B$22,0))</f>
        <v>0</v>
      </c>
      <c r="AK121" s="21">
        <f>VLOOKUP($R121,武学奇术!$A:$ZZ,28,FALSE)</f>
        <v>0.9375</v>
      </c>
      <c r="AL121" s="22">
        <f>VLOOKUP($R121,武学奇术!$A:$ZZ,29,FALSE)*(1+IF(OR($AH121=$F$4,$AH121=$F$5),$B$22,0))</f>
        <v>0</v>
      </c>
      <c r="AM121" s="21" cm="1">
        <f t="array" ref="AM121">$G$3+IFERROR(VLOOKUP($AH121,$F$4:$G$7,2,FALSE),0)+VLOOKUP($R121,武学奇术!$A:$ZZ,2,FALSE)+SUM(_xlfn.XLOOKUP($S121:$AG121,增益!$A:$A,增益!$B:$B,0))</f>
        <v>0.7191</v>
      </c>
      <c r="AN121" s="21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1862.48</v>
      </c>
      <c r="AP121" cm="1">
        <f t="array" ref="AP121">$E$10*(1+$AN121)+VLOOKUP($R121,武学奇术!$A:$ZZ,4,FALSE)+SUM(_xlfn.XLOOKUP($S121:$AG121,增益!$A:$A,增益!$D:$D,0))-$I$2</f>
        <v>7794.56</v>
      </c>
      <c r="AQ121" s="26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0.294</v>
      </c>
      <c r="AR121" s="26" cm="1">
        <f t="array" ref="AR121">$G$10+VLOOKUP($R121,武学奇术!$A:$ZZ,7,FALSE)+SUM(_xlfn.XLOOKUP(S121:AG121,增益!$A:$A,增益!$G:$G,0))</f>
        <v>0</v>
      </c>
      <c r="AS121" s="21" cm="1">
        <f t="array" ref="AS121">VLOOKUP($R121,武学奇术!$A:$ZZ,8,FALSE)+SUM(_xlfn.XLOOKUP(S121:AG121,增益!$A:$A,增益!$H:$H,0))</f>
        <v>0</v>
      </c>
      <c r="AT121">
        <f t="shared" si="53"/>
        <v>680.02</v>
      </c>
      <c r="AU121">
        <f t="shared" si="54"/>
        <v>1288.54</v>
      </c>
      <c r="AV121" s="26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26" cm="1">
        <f t="array" ref="AW121">$G$11+VLOOKUP($R121,武学奇术!$A:$ZZ,10,FALSE)+SUM(_xlfn.XLOOKUP(S121:AG121,增益!$A:$A,增益!$J:$J,0))</f>
        <v>0.15</v>
      </c>
      <c r="AX121">
        <f t="shared" si="55"/>
        <v>0</v>
      </c>
      <c r="AY121">
        <f t="shared" si="56"/>
        <v>0</v>
      </c>
      <c r="AZ121" s="26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26" cm="1">
        <f t="array" ref="BA121">$G$12+VLOOKUP($R121,武学奇术!$A:$ZZ,12,FALSE)+SUM(_xlfn.XLOOKUP(S121:AG121,增益!$A:$A,增益!$L:$L,0))</f>
        <v>0</v>
      </c>
      <c r="BB121">
        <f t="shared" si="57"/>
        <v>0</v>
      </c>
      <c r="BC121">
        <f t="shared" si="58"/>
        <v>0</v>
      </c>
      <c r="BD121" s="26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26" cm="1">
        <f t="array" ref="BE121">$G$13+VLOOKUP($R121,武学奇术!$A:$ZZ,14,FALSE)+SUM(_xlfn.XLOOKUP(S121:AG121,增益!$A:$A,增益!$N:$N,0))</f>
        <v>0</v>
      </c>
      <c r="BF121">
        <f t="shared" si="59"/>
        <v>0</v>
      </c>
      <c r="BG121">
        <f t="shared" si="60"/>
        <v>0</v>
      </c>
      <c r="BH121" s="26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26" cm="1">
        <f t="array" ref="BI121">$G$14+VLOOKUP($R121,武学奇术!$A:$ZZ,16,FALSE)+SUM(_xlfn.XLOOKUP(S121:AG121,增益!$A:$A,增益!$P:$P,0))</f>
        <v>0</v>
      </c>
      <c r="BJ121" s="21">
        <f>MIN(IF(VLOOKUP($R121,武学奇术!$A:$ZZ,23,FALSE)=1,100%,$B$8),100%)</f>
        <v>0.8229</v>
      </c>
      <c r="BK121" s="21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0.2285</v>
      </c>
      <c r="BL121" s="21" cm="1">
        <f t="array" ref="BL121">1+$B$13+VLOOKUP($R121,武学奇术!$A:$ZZ,18,FALSE)+SUM(_xlfn.XLOOKUP(S121:AG121,增益!$A:$A,增益!$R:$R,0))</f>
        <v>1.5</v>
      </c>
      <c r="BM121" s="21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0.4495</v>
      </c>
      <c r="BN121" s="21" cm="1">
        <f t="array" ref="BN121">1+$B$14+VLOOKUP($R121,武学奇术!$A:$ZZ,20,FALSE)+SUM(_xlfn.XLOOKUP(S121:AG121,增益!$A:$A,增益!$T:$T,0))</f>
        <v>1.602</v>
      </c>
      <c r="BO121" s="21">
        <f t="shared" si="61"/>
        <v>0.18803265</v>
      </c>
      <c r="BP121" s="21">
        <f t="shared" si="62"/>
        <v>0.2649738</v>
      </c>
      <c r="BQ121" s="21">
        <f>IF(VLOOKUP($R121,武学奇术!$A:$ZZ,22,FALSE)=1,0,(1-$BJ121))*(1-$BM121)</f>
        <v>0.09749355</v>
      </c>
      <c r="BR121" s="21" cm="1">
        <f t="array" ref="BR121">SUM(_xlfn.XLOOKUP(S121:AG121,增益!$A:$A,增益!$W:$W,0))+$I$5</f>
        <v>0.06</v>
      </c>
    </row>
    <row r="122" spans="11:70">
      <c r="K122" s="24">
        <f>$L122*VLOOKUP($R122,武学奇术!$A:$ZZ,31,FALSE)</f>
        <v>73466.820423128</v>
      </c>
      <c r="L122" s="24">
        <f t="shared" si="52"/>
        <v>73466.820423128</v>
      </c>
      <c r="M122" s="24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65953.4243544497</v>
      </c>
      <c r="N122" s="24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105087.361329444</v>
      </c>
      <c r="O122" s="24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43968.9495696331</v>
      </c>
      <c r="P122" s="24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22340.2953131462</v>
      </c>
      <c r="Q122" s="31">
        <v>1</v>
      </c>
      <c r="R122" s="32" t="s">
        <v>174</v>
      </c>
      <c r="S122" s="32" t="s">
        <v>87</v>
      </c>
      <c r="T122" s="32" t="s">
        <v>104</v>
      </c>
      <c r="U122" s="32" t="s">
        <v>73</v>
      </c>
      <c r="V122" s="32" t="s">
        <v>73</v>
      </c>
      <c r="W122" s="32" t="s">
        <v>111</v>
      </c>
      <c r="X122" s="32" t="s">
        <v>127</v>
      </c>
      <c r="Y122" s="32" t="s">
        <v>73</v>
      </c>
      <c r="Z122" s="32" t="s">
        <v>73</v>
      </c>
      <c r="AA122" s="32" t="s">
        <v>81</v>
      </c>
      <c r="AB122" s="32" t="s">
        <v>75</v>
      </c>
      <c r="AC122" s="32" t="s">
        <v>76</v>
      </c>
      <c r="AD122" s="32" t="s">
        <v>82</v>
      </c>
      <c r="AE122" s="32" t="s">
        <v>73</v>
      </c>
      <c r="AF122" s="32" t="s">
        <v>73</v>
      </c>
      <c r="AG122" s="32" t="s">
        <v>178</v>
      </c>
      <c r="AH122" t="str">
        <f>VLOOKUP($R122,武学奇术!$A:$ZZ,25,FALSE)</f>
        <v>剑</v>
      </c>
      <c r="AI122" s="21">
        <f>VLOOKUP($R122,武学奇术!$A:$ZZ,26,FALSE)</f>
        <v>2.7205</v>
      </c>
      <c r="AJ122" s="22">
        <f>VLOOKUP($R122,武学奇术!$A:$ZZ,27,FALSE)*(1+IF(OR($AH122=$F$4,$AH122=$F$5),$B$22,0))</f>
        <v>1123.5</v>
      </c>
      <c r="AK122" s="21">
        <f>VLOOKUP($R122,武学奇术!$A:$ZZ,28,FALSE)</f>
        <v>4.0806</v>
      </c>
      <c r="AL122" s="22">
        <f>VLOOKUP($R122,武学奇术!$A:$ZZ,29,FALSE)*(1+IF(OR($AH122=$F$4,$AH122=$F$5),$B$22,0))</f>
        <v>613.5</v>
      </c>
      <c r="AM122" s="21" cm="1">
        <f t="array" ref="AM122">$G$3+IFERROR(VLOOKUP($AH122,$F$4:$G$7,2,FALSE),0)+VLOOKUP($R122,武学奇术!$A:$ZZ,2,FALSE)+SUM(_xlfn.XLOOKUP($S122:$AG122,增益!$A:$A,增益!$B:$B,0))</f>
        <v>0.7191</v>
      </c>
      <c r="AN122" s="21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1862.48</v>
      </c>
      <c r="AP122" cm="1">
        <f t="array" ref="AP122">$E$10*(1+$AN122)+VLOOKUP($R122,武学奇术!$A:$ZZ,4,FALSE)+SUM(_xlfn.XLOOKUP($S122:$AG122,增益!$A:$A,增益!$D:$D,0))-$I$2</f>
        <v>7794.56</v>
      </c>
      <c r="AQ122" s="26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0.294</v>
      </c>
      <c r="AR122" s="26" cm="1">
        <f t="array" ref="AR122">$G$10+VLOOKUP($R122,武学奇术!$A:$ZZ,7,FALSE)+SUM(_xlfn.XLOOKUP(S122:AG122,增益!$A:$A,增益!$G:$G,0))</f>
        <v>0</v>
      </c>
      <c r="AS122" s="21" cm="1">
        <f t="array" ref="AS122">VLOOKUP($R122,武学奇术!$A:$ZZ,8,FALSE)+SUM(_xlfn.XLOOKUP(S122:AG122,增益!$A:$A,增益!$H:$H,0))</f>
        <v>0</v>
      </c>
      <c r="AT122">
        <f t="shared" si="53"/>
        <v>680.02</v>
      </c>
      <c r="AU122">
        <f t="shared" si="54"/>
        <v>1288.54</v>
      </c>
      <c r="AV122" s="26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26" cm="1">
        <f t="array" ref="AW122">$G$11+VLOOKUP($R122,武学奇术!$A:$ZZ,10,FALSE)+SUM(_xlfn.XLOOKUP(S122:AG122,增益!$A:$A,增益!$J:$J,0))</f>
        <v>0.15</v>
      </c>
      <c r="AX122">
        <f t="shared" si="55"/>
        <v>0</v>
      </c>
      <c r="AY122">
        <f t="shared" si="56"/>
        <v>0</v>
      </c>
      <c r="AZ122" s="26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26" cm="1">
        <f t="array" ref="BA122">$G$12+VLOOKUP($R122,武学奇术!$A:$ZZ,12,FALSE)+SUM(_xlfn.XLOOKUP(S122:AG122,增益!$A:$A,增益!$L:$L,0))</f>
        <v>0</v>
      </c>
      <c r="BB122">
        <f t="shared" si="57"/>
        <v>0</v>
      </c>
      <c r="BC122">
        <f t="shared" si="58"/>
        <v>0</v>
      </c>
      <c r="BD122" s="26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26" cm="1">
        <f t="array" ref="BE122">$G$13+VLOOKUP($R122,武学奇术!$A:$ZZ,14,FALSE)+SUM(_xlfn.XLOOKUP(S122:AG122,增益!$A:$A,增益!$N:$N,0))</f>
        <v>0</v>
      </c>
      <c r="BF122">
        <f t="shared" si="59"/>
        <v>0</v>
      </c>
      <c r="BG122">
        <f t="shared" si="60"/>
        <v>0</v>
      </c>
      <c r="BH122" s="26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26" cm="1">
        <f t="array" ref="BI122">$G$14+VLOOKUP($R122,武学奇术!$A:$ZZ,16,FALSE)+SUM(_xlfn.XLOOKUP(S122:AG122,增益!$A:$A,增益!$P:$P,0))</f>
        <v>0</v>
      </c>
      <c r="BJ122" s="21">
        <f>MIN(IF(VLOOKUP($R122,武学奇术!$A:$ZZ,23,FALSE)=1,100%,$B$8),100%)</f>
        <v>0.8229</v>
      </c>
      <c r="BK122" s="21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0.2285</v>
      </c>
      <c r="BL122" s="21" cm="1">
        <f t="array" ref="BL122">1+$B$13+VLOOKUP($R122,武学奇术!$A:$ZZ,18,FALSE)+SUM(_xlfn.XLOOKUP(S122:AG122,增益!$A:$A,增益!$R:$R,0))</f>
        <v>1.5</v>
      </c>
      <c r="BM122" s="21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0.4495</v>
      </c>
      <c r="BN122" s="21" cm="1">
        <f t="array" ref="BN122">1+$B$14+VLOOKUP($R122,武学奇术!$A:$ZZ,20,FALSE)+SUM(_xlfn.XLOOKUP(S122:AG122,增益!$A:$A,增益!$T:$T,0))</f>
        <v>1.602</v>
      </c>
      <c r="BO122" s="21">
        <f t="shared" si="61"/>
        <v>0.18803265</v>
      </c>
      <c r="BP122" s="21">
        <f t="shared" si="62"/>
        <v>0.2649738</v>
      </c>
      <c r="BQ122" s="21">
        <f>IF(VLOOKUP($R122,武学奇术!$A:$ZZ,22,FALSE)=1,0,(1-$BJ122))*(1-$BM122)</f>
        <v>0.09749355</v>
      </c>
      <c r="BR122" s="21" cm="1">
        <f t="array" ref="BR122">SUM(_xlfn.XLOOKUP(S122:AG122,增益!$A:$A,增益!$W:$W,0))+$I$5</f>
        <v>0.06</v>
      </c>
    </row>
    <row r="123" spans="11:70">
      <c r="K123" s="24">
        <f>$L123*VLOOKUP($R123,武学奇术!$A:$ZZ,31,FALSE)</f>
        <v>80690.2967064169</v>
      </c>
      <c r="L123" s="24">
        <f t="shared" si="52"/>
        <v>134483.827844028</v>
      </c>
      <c r="M123" s="24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110158.867750072</v>
      </c>
      <c r="N123" s="24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202617.138831966</v>
      </c>
      <c r="O123" s="24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73439.2451667149</v>
      </c>
      <c r="P123" s="24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33176.39222346</v>
      </c>
      <c r="Q123" s="31">
        <v>1</v>
      </c>
      <c r="R123" s="32" t="s">
        <v>95</v>
      </c>
      <c r="S123" s="32" t="s">
        <v>87</v>
      </c>
      <c r="T123" s="32" t="s">
        <v>96</v>
      </c>
      <c r="U123" s="32" t="s">
        <v>97</v>
      </c>
      <c r="V123" s="32" t="s">
        <v>98</v>
      </c>
      <c r="W123" s="32" t="s">
        <v>111</v>
      </c>
      <c r="X123" s="32" t="s">
        <v>127</v>
      </c>
      <c r="Y123" s="32" t="s">
        <v>73</v>
      </c>
      <c r="Z123" s="32" t="s">
        <v>73</v>
      </c>
      <c r="AA123" s="32" t="s">
        <v>81</v>
      </c>
      <c r="AB123" s="32" t="s">
        <v>75</v>
      </c>
      <c r="AC123" s="32" t="s">
        <v>76</v>
      </c>
      <c r="AD123" s="32" t="s">
        <v>82</v>
      </c>
      <c r="AE123" s="32" t="s">
        <v>73</v>
      </c>
      <c r="AF123" s="32" t="s">
        <v>73</v>
      </c>
      <c r="AG123" s="32" t="s">
        <v>178</v>
      </c>
      <c r="AH123" t="str">
        <f>VLOOKUP($R123,武学奇术!$A:$ZZ,25,FALSE)</f>
        <v>剑</v>
      </c>
      <c r="AI123" s="21">
        <f>VLOOKUP($R123,武学奇术!$A:$ZZ,26,FALSE)</f>
        <v>2.52</v>
      </c>
      <c r="AJ123" s="22">
        <f>VLOOKUP($R123,武学奇术!$A:$ZZ,27,FALSE)*(1+IF(OR($AH123=$F$4,$AH123=$F$5),$B$22,0))</f>
        <v>0</v>
      </c>
      <c r="AK123" s="21">
        <f>VLOOKUP($R123,武学奇术!$A:$ZZ,28,FALSE)</f>
        <v>3.78</v>
      </c>
      <c r="AL123" s="22">
        <f>VLOOKUP($R123,武学奇术!$A:$ZZ,29,FALSE)*(1+IF(OR($AH123=$F$4,$AH123=$F$5),$B$22,0))</f>
        <v>0</v>
      </c>
      <c r="AM123" s="21" cm="1">
        <f t="array" ref="AM123">$G$3+IFERROR(VLOOKUP($AH123,$F$4:$G$7,2,FALSE),0)+VLOOKUP($R123,武学奇术!$A:$ZZ,2,FALSE)+SUM(_xlfn.XLOOKUP($S123:$AG123,增益!$A:$A,增益!$B:$B,0))</f>
        <v>1.4691</v>
      </c>
      <c r="AN123" s="21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1862.48</v>
      </c>
      <c r="AP123" cm="1">
        <f t="array" ref="AP123">$E$10*(1+$AN123)+VLOOKUP($R123,武学奇术!$A:$ZZ,4,FALSE)+SUM(_xlfn.XLOOKUP($S123:$AG123,增益!$A:$A,增益!$D:$D,0))-$I$2</f>
        <v>7794.56</v>
      </c>
      <c r="AQ123" s="26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0.369</v>
      </c>
      <c r="AR123" s="26" cm="1">
        <f t="array" ref="AR123">$G$10+VLOOKUP($R123,武学奇术!$A:$ZZ,7,FALSE)+SUM(_xlfn.XLOOKUP(S123:AG123,增益!$A:$A,增益!$G:$G,0))</f>
        <v>0</v>
      </c>
      <c r="AS123" s="21" cm="1">
        <f t="array" ref="AS123">VLOOKUP($R123,武学奇术!$A:$ZZ,8,FALSE)+SUM(_xlfn.XLOOKUP(S123:AG123,增益!$A:$A,增益!$H:$H,0))</f>
        <v>0</v>
      </c>
      <c r="AT123">
        <f t="shared" si="53"/>
        <v>680.02</v>
      </c>
      <c r="AU123">
        <f t="shared" si="54"/>
        <v>1288.54</v>
      </c>
      <c r="AV123" s="26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0.075</v>
      </c>
      <c r="AW123" s="26" cm="1">
        <f t="array" ref="AW123">$G$11+VLOOKUP($R123,武学奇术!$A:$ZZ,10,FALSE)+SUM(_xlfn.XLOOKUP(S123:AG123,增益!$A:$A,增益!$J:$J,0))</f>
        <v>0.15</v>
      </c>
      <c r="AX123">
        <f t="shared" si="55"/>
        <v>0</v>
      </c>
      <c r="AY123">
        <f t="shared" si="56"/>
        <v>0</v>
      </c>
      <c r="AZ123" s="26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26" cm="1">
        <f t="array" ref="BA123">$G$12+VLOOKUP($R123,武学奇术!$A:$ZZ,12,FALSE)+SUM(_xlfn.XLOOKUP(S123:AG123,增益!$A:$A,增益!$L:$L,0))</f>
        <v>0</v>
      </c>
      <c r="BB123">
        <f t="shared" si="57"/>
        <v>0</v>
      </c>
      <c r="BC123">
        <f t="shared" si="58"/>
        <v>0</v>
      </c>
      <c r="BD123" s="26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26" cm="1">
        <f t="array" ref="BE123">$G$13+VLOOKUP($R123,武学奇术!$A:$ZZ,14,FALSE)+SUM(_xlfn.XLOOKUP(S123:AG123,增益!$A:$A,增益!$N:$N,0))</f>
        <v>0</v>
      </c>
      <c r="BF123">
        <f t="shared" si="59"/>
        <v>0</v>
      </c>
      <c r="BG123">
        <f t="shared" si="60"/>
        <v>0</v>
      </c>
      <c r="BH123" s="26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26" cm="1">
        <f t="array" ref="BI123">$G$14+VLOOKUP($R123,武学奇术!$A:$ZZ,16,FALSE)+SUM(_xlfn.XLOOKUP(S123:AG123,增益!$A:$A,增益!$P:$P,0))</f>
        <v>0</v>
      </c>
      <c r="BJ123" s="21">
        <f>MIN(IF(VLOOKUP($R123,武学奇术!$A:$ZZ,23,FALSE)=1,100%,$B$8),100%)</f>
        <v>0.8229</v>
      </c>
      <c r="BK123" s="21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0.2285</v>
      </c>
      <c r="BL123" s="21" cm="1">
        <f t="array" ref="BL123">1+$B$13+VLOOKUP($R123,武学奇术!$A:$ZZ,18,FALSE)+SUM(_xlfn.XLOOKUP(S123:AG123,增益!$A:$A,增益!$R:$R,0))</f>
        <v>1.5</v>
      </c>
      <c r="BM123" s="21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0.4495</v>
      </c>
      <c r="BN123" s="21" cm="1">
        <f t="array" ref="BN123">1+$B$14+VLOOKUP($R123,武学奇术!$A:$ZZ,20,FALSE)+SUM(_xlfn.XLOOKUP(S123:AG123,增益!$A:$A,增益!$T:$T,0))</f>
        <v>1.782</v>
      </c>
      <c r="BO123" s="21">
        <f t="shared" si="61"/>
        <v>0.18803265</v>
      </c>
      <c r="BP123" s="21">
        <f t="shared" si="62"/>
        <v>0.2649738</v>
      </c>
      <c r="BQ123" s="21">
        <f>IF(VLOOKUP($R123,武学奇术!$A:$ZZ,22,FALSE)=1,0,(1-$BJ123))*(1-$BM123)</f>
        <v>0.09749355</v>
      </c>
      <c r="BR123" s="21" cm="1">
        <f t="array" ref="BR123">SUM(_xlfn.XLOOKUP(S123:AG123,增益!$A:$A,增益!$W:$W,0))+$I$5</f>
        <v>0.06</v>
      </c>
    </row>
    <row r="124" spans="11:70">
      <c r="K124" s="24">
        <f>$L124*VLOOKUP($R124,武学奇术!$A:$ZZ,31,FALSE)</f>
        <v>19559.5645827238</v>
      </c>
      <c r="L124" s="24">
        <f t="shared" si="52"/>
        <v>19559.5645827238</v>
      </c>
      <c r="M124" s="24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17193.0112941114</v>
      </c>
      <c r="N124" s="24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28444.2357151605</v>
      </c>
      <c r="O124" s="24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11462.0075294076</v>
      </c>
      <c r="P124" s="24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5168.56205309705</v>
      </c>
      <c r="Q124" s="31">
        <v>1</v>
      </c>
      <c r="R124" s="32" t="s">
        <v>177</v>
      </c>
      <c r="S124" s="32" t="s">
        <v>87</v>
      </c>
      <c r="T124" s="32" t="s">
        <v>104</v>
      </c>
      <c r="U124" s="32" t="s">
        <v>73</v>
      </c>
      <c r="V124" s="32" t="s">
        <v>73</v>
      </c>
      <c r="W124" s="32" t="s">
        <v>111</v>
      </c>
      <c r="X124" s="32" t="s">
        <v>127</v>
      </c>
      <c r="Y124" s="32" t="s">
        <v>73</v>
      </c>
      <c r="Z124" s="32" t="s">
        <v>73</v>
      </c>
      <c r="AA124" s="32" t="s">
        <v>81</v>
      </c>
      <c r="AB124" s="32" t="s">
        <v>75</v>
      </c>
      <c r="AC124" s="32" t="s">
        <v>76</v>
      </c>
      <c r="AD124" s="32" t="s">
        <v>82</v>
      </c>
      <c r="AE124" s="32" t="s">
        <v>73</v>
      </c>
      <c r="AF124" s="32" t="s">
        <v>73</v>
      </c>
      <c r="AG124" s="32" t="s">
        <v>178</v>
      </c>
      <c r="AH124" t="str">
        <f>VLOOKUP($R124,武学奇术!$A:$ZZ,25,FALSE)</f>
        <v>剑</v>
      </c>
      <c r="AI124" s="21">
        <f>VLOOKUP($R124,武学奇术!$A:$ZZ,26,FALSE)</f>
        <v>0.7916</v>
      </c>
      <c r="AJ124" s="22">
        <f>VLOOKUP($R124,武学奇术!$A:$ZZ,27,FALSE)*(1+IF(OR($AH124=$F$4,$AH124=$F$5),$B$22,0))</f>
        <v>0</v>
      </c>
      <c r="AK124" s="21">
        <f>VLOOKUP($R124,武学奇术!$A:$ZZ,28,FALSE)</f>
        <v>1.1874</v>
      </c>
      <c r="AL124" s="22">
        <f>VLOOKUP($R124,武学奇术!$A:$ZZ,29,FALSE)*(1+IF(OR($AH124=$F$4,$AH124=$F$5),$B$22,0))</f>
        <v>0</v>
      </c>
      <c r="AM124" s="21" cm="1">
        <f t="array" ref="AM124">$G$3+IFERROR(VLOOKUP($AH124,$F$4:$G$7,2,FALSE),0)+VLOOKUP($R124,武学奇术!$A:$ZZ,2,FALSE)+SUM(_xlfn.XLOOKUP($S124:$AG124,增益!$A:$A,增益!$B:$B,0))</f>
        <v>0.7191</v>
      </c>
      <c r="AN124" s="21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1862.48</v>
      </c>
      <c r="AP124" cm="1">
        <f t="array" ref="AP124">$E$10*(1+$AN124)+VLOOKUP($R124,武学奇术!$A:$ZZ,4,FALSE)+SUM(_xlfn.XLOOKUP($S124:$AG124,增益!$A:$A,增益!$D:$D,0))-$I$2</f>
        <v>7794.56</v>
      </c>
      <c r="AQ124" s="26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0.294</v>
      </c>
      <c r="AR124" s="26" cm="1">
        <f t="array" ref="AR124">$G$10+VLOOKUP($R124,武学奇术!$A:$ZZ,7,FALSE)+SUM(_xlfn.XLOOKUP(S124:AG124,增益!$A:$A,增益!$G:$G,0))</f>
        <v>0</v>
      </c>
      <c r="AS124" s="21" cm="1">
        <f t="array" ref="AS124">VLOOKUP($R124,武学奇术!$A:$ZZ,8,FALSE)+SUM(_xlfn.XLOOKUP(S124:AG124,增益!$A:$A,增益!$H:$H,0))</f>
        <v>0</v>
      </c>
      <c r="AT124">
        <f t="shared" si="53"/>
        <v>680.02</v>
      </c>
      <c r="AU124">
        <f t="shared" si="54"/>
        <v>1288.54</v>
      </c>
      <c r="AV124" s="26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26" cm="1">
        <f t="array" ref="AW124">$G$11+VLOOKUP($R124,武学奇术!$A:$ZZ,10,FALSE)+SUM(_xlfn.XLOOKUP(S124:AG124,增益!$A:$A,增益!$J:$J,0))</f>
        <v>0.15</v>
      </c>
      <c r="AX124">
        <f t="shared" si="55"/>
        <v>0</v>
      </c>
      <c r="AY124">
        <f t="shared" si="56"/>
        <v>0</v>
      </c>
      <c r="AZ124" s="26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26" cm="1">
        <f t="array" ref="BA124">$G$12+VLOOKUP($R124,武学奇术!$A:$ZZ,12,FALSE)+SUM(_xlfn.XLOOKUP(S124:AG124,增益!$A:$A,增益!$L:$L,0))</f>
        <v>0</v>
      </c>
      <c r="BB124">
        <f t="shared" si="57"/>
        <v>0</v>
      </c>
      <c r="BC124">
        <f t="shared" si="58"/>
        <v>0</v>
      </c>
      <c r="BD124" s="26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26" cm="1">
        <f t="array" ref="BE124">$G$13+VLOOKUP($R124,武学奇术!$A:$ZZ,14,FALSE)+SUM(_xlfn.XLOOKUP(S124:AG124,增益!$A:$A,增益!$N:$N,0))</f>
        <v>0</v>
      </c>
      <c r="BF124">
        <f t="shared" si="59"/>
        <v>0</v>
      </c>
      <c r="BG124">
        <f t="shared" si="60"/>
        <v>0</v>
      </c>
      <c r="BH124" s="26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26" cm="1">
        <f t="array" ref="BI124">$G$14+VLOOKUP($R124,武学奇术!$A:$ZZ,16,FALSE)+SUM(_xlfn.XLOOKUP(S124:AG124,增益!$A:$A,增益!$P:$P,0))</f>
        <v>0</v>
      </c>
      <c r="BJ124" s="21">
        <f>MIN(IF(VLOOKUP($R124,武学奇术!$A:$ZZ,23,FALSE)=1,100%,$B$8),100%)</f>
        <v>0.8229</v>
      </c>
      <c r="BK124" s="21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0.2285</v>
      </c>
      <c r="BL124" s="21" cm="1">
        <f t="array" ref="BL124">1+$B$13+VLOOKUP($R124,武学奇术!$A:$ZZ,18,FALSE)+SUM(_xlfn.XLOOKUP(S124:AG124,增益!$A:$A,增益!$R:$R,0))</f>
        <v>1.5</v>
      </c>
      <c r="BM124" s="21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0.4495</v>
      </c>
      <c r="BN124" s="21" cm="1">
        <f t="array" ref="BN124">1+$B$14+VLOOKUP($R124,武学奇术!$A:$ZZ,20,FALSE)+SUM(_xlfn.XLOOKUP(S124:AG124,增益!$A:$A,增益!$T:$T,0))</f>
        <v>1.602</v>
      </c>
      <c r="BO124" s="21">
        <f t="shared" si="61"/>
        <v>0.18803265</v>
      </c>
      <c r="BP124" s="21">
        <f t="shared" si="62"/>
        <v>0.2649738</v>
      </c>
      <c r="BQ124" s="21">
        <f>IF(VLOOKUP($R124,武学奇术!$A:$ZZ,22,FALSE)=1,0,(1-$BJ124))*(1-$BM124)</f>
        <v>0.09749355</v>
      </c>
      <c r="BR124" s="21" cm="1">
        <f t="array" ref="BR124">SUM(_xlfn.XLOOKUP(S124:AG124,增益!$A:$A,增益!$W:$W,0))+$I$5</f>
        <v>0.06</v>
      </c>
    </row>
    <row r="125" spans="11:70">
      <c r="K125" s="24">
        <f>$L125*VLOOKUP($R125,武学奇术!$A:$ZZ,31,FALSE)</f>
        <v>31822.0530491007</v>
      </c>
      <c r="L125" s="24">
        <f t="shared" si="52"/>
        <v>31822.0530491007</v>
      </c>
      <c r="M125" s="24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28569.1137951401</v>
      </c>
      <c r="N125" s="24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45516.5659710482</v>
      </c>
      <c r="O125" s="24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19046.0758634267</v>
      </c>
      <c r="P125" s="24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9679.8134178346</v>
      </c>
      <c r="Q125" s="31">
        <v>1</v>
      </c>
      <c r="R125" s="32" t="s">
        <v>86</v>
      </c>
      <c r="S125" s="32" t="s">
        <v>87</v>
      </c>
      <c r="T125" s="32" t="s">
        <v>104</v>
      </c>
      <c r="U125" s="32" t="s">
        <v>73</v>
      </c>
      <c r="V125" s="32" t="s">
        <v>73</v>
      </c>
      <c r="W125" s="32" t="s">
        <v>111</v>
      </c>
      <c r="X125" s="32" t="s">
        <v>127</v>
      </c>
      <c r="Y125" s="32" t="s">
        <v>73</v>
      </c>
      <c r="Z125" s="32" t="s">
        <v>73</v>
      </c>
      <c r="AA125" s="32" t="s">
        <v>81</v>
      </c>
      <c r="AB125" s="32" t="s">
        <v>75</v>
      </c>
      <c r="AC125" s="32" t="s">
        <v>76</v>
      </c>
      <c r="AD125" s="32" t="s">
        <v>82</v>
      </c>
      <c r="AE125" s="32" t="s">
        <v>73</v>
      </c>
      <c r="AF125" s="32" t="s">
        <v>73</v>
      </c>
      <c r="AG125" s="32" t="s">
        <v>178</v>
      </c>
      <c r="AH125" t="str">
        <f>VLOOKUP($R125,武学奇术!$A:$ZZ,25,FALSE)</f>
        <v>剑</v>
      </c>
      <c r="AI125" s="21">
        <f>VLOOKUP($R125,武学奇术!$A:$ZZ,26,FALSE)</f>
        <v>1.1781</v>
      </c>
      <c r="AJ125" s="22">
        <f>VLOOKUP($R125,武学奇术!$A:$ZZ,27,FALSE)*(1+IF(OR($AH125=$F$4,$AH125=$F$5),$B$22,0))</f>
        <v>489</v>
      </c>
      <c r="AK125" s="21">
        <f>VLOOKUP($R125,武学奇术!$A:$ZZ,28,FALSE)</f>
        <v>1.7672</v>
      </c>
      <c r="AL125" s="22">
        <f>VLOOKUP($R125,武学奇术!$A:$ZZ,29,FALSE)*(1+IF(OR($AH125=$F$4,$AH125=$F$5),$B$22,0))</f>
        <v>265.5</v>
      </c>
      <c r="AM125" s="21" cm="1">
        <f t="array" ref="AM125">$G$3+IFERROR(VLOOKUP($AH125,$F$4:$G$7,2,FALSE),0)+VLOOKUP($R125,武学奇术!$A:$ZZ,2,FALSE)+SUM(_xlfn.XLOOKUP($S125:$AG125,增益!$A:$A,增益!$B:$B,0))</f>
        <v>0.7191</v>
      </c>
      <c r="AN125" s="21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1862.48</v>
      </c>
      <c r="AP125" cm="1">
        <f t="array" ref="AP125">$E$10*(1+$AN125)+VLOOKUP($R125,武学奇术!$A:$ZZ,4,FALSE)+SUM(_xlfn.XLOOKUP($S125:$AG125,增益!$A:$A,增益!$D:$D,0))-$I$2</f>
        <v>7794.56</v>
      </c>
      <c r="AQ125" s="26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0.294</v>
      </c>
      <c r="AR125" s="26" cm="1">
        <f t="array" ref="AR125">$G$10+VLOOKUP($R125,武学奇术!$A:$ZZ,7,FALSE)+SUM(_xlfn.XLOOKUP(S125:AG125,增益!$A:$A,增益!$G:$G,0))</f>
        <v>0</v>
      </c>
      <c r="AS125" s="21" cm="1">
        <f t="array" ref="AS125">VLOOKUP($R125,武学奇术!$A:$ZZ,8,FALSE)+SUM(_xlfn.XLOOKUP(S125:AG125,增益!$A:$A,增益!$H:$H,0))</f>
        <v>0</v>
      </c>
      <c r="AT125">
        <f t="shared" si="53"/>
        <v>680.02</v>
      </c>
      <c r="AU125">
        <f t="shared" si="54"/>
        <v>1288.54</v>
      </c>
      <c r="AV125" s="26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26" cm="1">
        <f t="array" ref="AW125">$G$11+VLOOKUP($R125,武学奇术!$A:$ZZ,10,FALSE)+SUM(_xlfn.XLOOKUP(S125:AG125,增益!$A:$A,增益!$J:$J,0))</f>
        <v>0.15</v>
      </c>
      <c r="AX125">
        <f t="shared" si="55"/>
        <v>0</v>
      </c>
      <c r="AY125">
        <f t="shared" si="56"/>
        <v>0</v>
      </c>
      <c r="AZ125" s="26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26" cm="1">
        <f t="array" ref="BA125">$G$12+VLOOKUP($R125,武学奇术!$A:$ZZ,12,FALSE)+SUM(_xlfn.XLOOKUP(S125:AG125,增益!$A:$A,增益!$L:$L,0))</f>
        <v>0</v>
      </c>
      <c r="BB125">
        <f t="shared" si="57"/>
        <v>0</v>
      </c>
      <c r="BC125">
        <f t="shared" si="58"/>
        <v>0</v>
      </c>
      <c r="BD125" s="26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26" cm="1">
        <f t="array" ref="BE125">$G$13+VLOOKUP($R125,武学奇术!$A:$ZZ,14,FALSE)+SUM(_xlfn.XLOOKUP(S125:AG125,增益!$A:$A,增益!$N:$N,0))</f>
        <v>0</v>
      </c>
      <c r="BF125">
        <f t="shared" si="59"/>
        <v>0</v>
      </c>
      <c r="BG125">
        <f t="shared" si="60"/>
        <v>0</v>
      </c>
      <c r="BH125" s="26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26" cm="1">
        <f t="array" ref="BI125">$G$14+VLOOKUP($R125,武学奇术!$A:$ZZ,16,FALSE)+SUM(_xlfn.XLOOKUP(S125:AG125,增益!$A:$A,增益!$P:$P,0))</f>
        <v>0</v>
      </c>
      <c r="BJ125" s="21">
        <f>MIN(IF(VLOOKUP($R125,武学奇术!$A:$ZZ,23,FALSE)=1,100%,$B$8),100%)</f>
        <v>0.8229</v>
      </c>
      <c r="BK125" s="21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0.2285</v>
      </c>
      <c r="BL125" s="21" cm="1">
        <f t="array" ref="BL125">1+$B$13+VLOOKUP($R125,武学奇术!$A:$ZZ,18,FALSE)+SUM(_xlfn.XLOOKUP(S125:AG125,增益!$A:$A,增益!$R:$R,0))</f>
        <v>1.5</v>
      </c>
      <c r="BM125" s="21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0.4495</v>
      </c>
      <c r="BN125" s="21" cm="1">
        <f t="array" ref="BN125">1+$B$14+VLOOKUP($R125,武学奇术!$A:$ZZ,20,FALSE)+SUM(_xlfn.XLOOKUP(S125:AG125,增益!$A:$A,增益!$T:$T,0))</f>
        <v>1.602</v>
      </c>
      <c r="BO125" s="21">
        <f t="shared" si="61"/>
        <v>0.18803265</v>
      </c>
      <c r="BP125" s="21">
        <f t="shared" si="62"/>
        <v>0.2649738</v>
      </c>
      <c r="BQ125" s="21">
        <f>IF(VLOOKUP($R125,武学奇术!$A:$ZZ,22,FALSE)=1,0,(1-$BJ125))*(1-$BM125)</f>
        <v>0.09749355</v>
      </c>
      <c r="BR125" s="21" cm="1">
        <f t="array" ref="BR125">SUM(_xlfn.XLOOKUP(S125:AG125,增益!$A:$A,增益!$W:$W,0))+$I$5</f>
        <v>0.06</v>
      </c>
    </row>
    <row r="126" spans="11:70">
      <c r="K126" s="24">
        <f>$L126*VLOOKUP($R126,武学奇术!$A:$ZZ,31,FALSE)</f>
        <v>121570.28329918</v>
      </c>
      <c r="L126" s="24">
        <f t="shared" si="52"/>
        <v>202617.138831966</v>
      </c>
      <c r="M126" s="24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110158.867750072</v>
      </c>
      <c r="N126" s="24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202617.138831966</v>
      </c>
      <c r="O126" s="24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73439.2451667149</v>
      </c>
      <c r="P126" s="24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33176.39222346</v>
      </c>
      <c r="Q126" s="31">
        <v>1</v>
      </c>
      <c r="R126" s="32" t="s">
        <v>120</v>
      </c>
      <c r="S126" s="32" t="s">
        <v>87</v>
      </c>
      <c r="T126" s="32" t="s">
        <v>96</v>
      </c>
      <c r="U126" s="32" t="s">
        <v>97</v>
      </c>
      <c r="V126" s="32" t="s">
        <v>98</v>
      </c>
      <c r="W126" s="32" t="s">
        <v>111</v>
      </c>
      <c r="X126" s="32" t="s">
        <v>127</v>
      </c>
      <c r="Y126" s="32" t="s">
        <v>73</v>
      </c>
      <c r="Z126" s="32" t="s">
        <v>73</v>
      </c>
      <c r="AA126" s="32" t="s">
        <v>81</v>
      </c>
      <c r="AB126" s="32" t="s">
        <v>75</v>
      </c>
      <c r="AC126" s="32" t="s">
        <v>76</v>
      </c>
      <c r="AD126" s="32" t="s">
        <v>82</v>
      </c>
      <c r="AE126" s="32" t="s">
        <v>73</v>
      </c>
      <c r="AF126" s="32" t="s">
        <v>73</v>
      </c>
      <c r="AG126" s="32" t="s">
        <v>178</v>
      </c>
      <c r="AH126" t="str">
        <f>VLOOKUP($R126,武学奇术!$A:$ZZ,25,FALSE)</f>
        <v>剑</v>
      </c>
      <c r="AI126" s="21">
        <f>VLOOKUP($R126,武学奇术!$A:$ZZ,26,FALSE)</f>
        <v>2.52</v>
      </c>
      <c r="AJ126" s="22">
        <f>VLOOKUP($R126,武学奇术!$A:$ZZ,27,FALSE)*(1+IF(OR($AH126=$F$4,$AH126=$F$5),$B$22,0))</f>
        <v>0</v>
      </c>
      <c r="AK126" s="21">
        <f>VLOOKUP($R126,武学奇术!$A:$ZZ,28,FALSE)</f>
        <v>3.78</v>
      </c>
      <c r="AL126" s="22">
        <f>VLOOKUP($R126,武学奇术!$A:$ZZ,29,FALSE)*(1+IF(OR($AH126=$F$4,$AH126=$F$5),$B$22,0))</f>
        <v>0</v>
      </c>
      <c r="AM126" s="21" cm="1">
        <f t="array" ref="AM126">$G$3+IFERROR(VLOOKUP($AH126,$F$4:$G$7,2,FALSE),0)+VLOOKUP($R126,武学奇术!$A:$ZZ,2,FALSE)+SUM(_xlfn.XLOOKUP($S126:$AG126,增益!$A:$A,增益!$B:$B,0))</f>
        <v>1.4691</v>
      </c>
      <c r="AN126" s="21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1862.48</v>
      </c>
      <c r="AP126" cm="1">
        <f t="array" ref="AP126">$E$10*(1+$AN126)+VLOOKUP($R126,武学奇术!$A:$ZZ,4,FALSE)+SUM(_xlfn.XLOOKUP($S126:$AG126,增益!$A:$A,增益!$D:$D,0))-$I$2</f>
        <v>7794.56</v>
      </c>
      <c r="AQ126" s="26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0.369</v>
      </c>
      <c r="AR126" s="26" cm="1">
        <f t="array" ref="AR126">$G$10+VLOOKUP($R126,武学奇术!$A:$ZZ,7,FALSE)+SUM(_xlfn.XLOOKUP(S126:AG126,增益!$A:$A,增益!$G:$G,0))</f>
        <v>0</v>
      </c>
      <c r="AS126" s="21" cm="1">
        <f t="array" ref="AS126">VLOOKUP($R126,武学奇术!$A:$ZZ,8,FALSE)+SUM(_xlfn.XLOOKUP(S126:AG126,增益!$A:$A,增益!$H:$H,0))</f>
        <v>0</v>
      </c>
      <c r="AT126">
        <f t="shared" si="53"/>
        <v>680.02</v>
      </c>
      <c r="AU126">
        <f t="shared" si="54"/>
        <v>1288.54</v>
      </c>
      <c r="AV126" s="26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0.075</v>
      </c>
      <c r="AW126" s="26" cm="1">
        <f t="array" ref="AW126">$G$11+VLOOKUP($R126,武学奇术!$A:$ZZ,10,FALSE)+SUM(_xlfn.XLOOKUP(S126:AG126,增益!$A:$A,增益!$J:$J,0))</f>
        <v>0.15</v>
      </c>
      <c r="AX126">
        <f t="shared" si="55"/>
        <v>0</v>
      </c>
      <c r="AY126">
        <f t="shared" si="56"/>
        <v>0</v>
      </c>
      <c r="AZ126" s="26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26" cm="1">
        <f t="array" ref="BA126">$G$12+VLOOKUP($R126,武学奇术!$A:$ZZ,12,FALSE)+SUM(_xlfn.XLOOKUP(S126:AG126,增益!$A:$A,增益!$L:$L,0))</f>
        <v>0</v>
      </c>
      <c r="BB126">
        <f t="shared" si="57"/>
        <v>0</v>
      </c>
      <c r="BC126">
        <f t="shared" si="58"/>
        <v>0</v>
      </c>
      <c r="BD126" s="26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26" cm="1">
        <f t="array" ref="BE126">$G$13+VLOOKUP($R126,武学奇术!$A:$ZZ,14,FALSE)+SUM(_xlfn.XLOOKUP(S126:AG126,增益!$A:$A,增益!$N:$N,0))</f>
        <v>0</v>
      </c>
      <c r="BF126">
        <f t="shared" si="59"/>
        <v>0</v>
      </c>
      <c r="BG126">
        <f t="shared" si="60"/>
        <v>0</v>
      </c>
      <c r="BH126" s="26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26" cm="1">
        <f t="array" ref="BI126">$G$14+VLOOKUP($R126,武学奇术!$A:$ZZ,16,FALSE)+SUM(_xlfn.XLOOKUP(S126:AG126,增益!$A:$A,增益!$P:$P,0))</f>
        <v>0</v>
      </c>
      <c r="BJ126" s="21">
        <f>MIN(IF(VLOOKUP($R126,武学奇术!$A:$ZZ,23,FALSE)=1,100%,$B$8),100%)</f>
        <v>0.8229</v>
      </c>
      <c r="BK126" s="21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</v>
      </c>
      <c r="BL126" s="21" cm="1">
        <f t="array" ref="BL126">1+$B$13+VLOOKUP($R126,武学奇术!$A:$ZZ,18,FALSE)+SUM(_xlfn.XLOOKUP(S126:AG126,增益!$A:$A,增益!$R:$R,0))</f>
        <v>1.5</v>
      </c>
      <c r="BM126" s="21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1</v>
      </c>
      <c r="BN126" s="21" cm="1">
        <f t="array" ref="BN126">1+$B$14+VLOOKUP($R126,武学奇术!$A:$ZZ,20,FALSE)+SUM(_xlfn.XLOOKUP(S126:AG126,增益!$A:$A,增益!$T:$T,0))</f>
        <v>1.782</v>
      </c>
      <c r="BO126" s="21">
        <f t="shared" si="61"/>
        <v>0</v>
      </c>
      <c r="BP126" s="21">
        <f t="shared" si="62"/>
        <v>0</v>
      </c>
      <c r="BQ126" s="21">
        <f>IF(VLOOKUP($R126,武学奇术!$A:$ZZ,22,FALSE)=1,0,(1-$BJ126))*(1-$BM126)</f>
        <v>0</v>
      </c>
      <c r="BR126" s="21" cm="1">
        <f t="array" ref="BR126">SUM(_xlfn.XLOOKUP(S126:AG126,增益!$A:$A,增益!$W:$W,0))+$I$5</f>
        <v>0.06</v>
      </c>
    </row>
    <row r="127" spans="11:70">
      <c r="K127" s="24">
        <f>$L127*VLOOKUP($R127,武学奇术!$A:$ZZ,31,FALSE)</f>
        <v>15443.061981054</v>
      </c>
      <c r="L127" s="24">
        <f t="shared" si="52"/>
        <v>15443.061981054</v>
      </c>
      <c r="M127" s="24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13574.5730909798</v>
      </c>
      <c r="N127" s="24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22457.8667533796</v>
      </c>
      <c r="O127" s="24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9049.71539398655</v>
      </c>
      <c r="P127" s="24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4080.78737138158</v>
      </c>
      <c r="Q127" s="31">
        <v>1</v>
      </c>
      <c r="R127" s="32" t="s">
        <v>103</v>
      </c>
      <c r="S127" s="32" t="s">
        <v>87</v>
      </c>
      <c r="T127" s="32" t="s">
        <v>104</v>
      </c>
      <c r="U127" s="32" t="s">
        <v>73</v>
      </c>
      <c r="V127" s="32" t="s">
        <v>73</v>
      </c>
      <c r="W127" s="32" t="s">
        <v>111</v>
      </c>
      <c r="X127" s="32" t="s">
        <v>127</v>
      </c>
      <c r="Y127" s="32" t="s">
        <v>73</v>
      </c>
      <c r="Z127" s="32" t="s">
        <v>73</v>
      </c>
      <c r="AA127" s="32" t="s">
        <v>81</v>
      </c>
      <c r="AB127" s="32" t="s">
        <v>75</v>
      </c>
      <c r="AC127" s="32" t="s">
        <v>76</v>
      </c>
      <c r="AD127" s="32" t="s">
        <v>82</v>
      </c>
      <c r="AE127" s="32" t="s">
        <v>73</v>
      </c>
      <c r="AF127" s="32" t="s">
        <v>73</v>
      </c>
      <c r="AG127" s="32" t="s">
        <v>178</v>
      </c>
      <c r="AH127" t="str">
        <f>VLOOKUP($R127,武学奇术!$A:$ZZ,25,FALSE)</f>
        <v>剑</v>
      </c>
      <c r="AI127" s="21">
        <f>VLOOKUP($R127,武学奇术!$A:$ZZ,26,FALSE)</f>
        <v>0.625</v>
      </c>
      <c r="AJ127" s="22">
        <f>VLOOKUP($R127,武学奇术!$A:$ZZ,27,FALSE)*(1+IF(OR($AH127=$F$4,$AH127=$F$5),$B$22,0))</f>
        <v>0</v>
      </c>
      <c r="AK127" s="21">
        <f>VLOOKUP($R127,武学奇术!$A:$ZZ,28,FALSE)</f>
        <v>0.9375</v>
      </c>
      <c r="AL127" s="22">
        <f>VLOOKUP($R127,武学奇术!$A:$ZZ,29,FALSE)*(1+IF(OR($AH127=$F$4,$AH127=$F$5),$B$22,0))</f>
        <v>0</v>
      </c>
      <c r="AM127" s="21" cm="1">
        <f t="array" ref="AM127">$G$3+IFERROR(VLOOKUP($AH127,$F$4:$G$7,2,FALSE),0)+VLOOKUP($R127,武学奇术!$A:$ZZ,2,FALSE)+SUM(_xlfn.XLOOKUP($S127:$AG127,增益!$A:$A,增益!$B:$B,0))</f>
        <v>0.7191</v>
      </c>
      <c r="AN127" s="21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1862.48</v>
      </c>
      <c r="AP127" cm="1">
        <f t="array" ref="AP127">$E$10*(1+$AN127)+VLOOKUP($R127,武学奇术!$A:$ZZ,4,FALSE)+SUM(_xlfn.XLOOKUP($S127:$AG127,增益!$A:$A,增益!$D:$D,0))-$I$2</f>
        <v>7794.56</v>
      </c>
      <c r="AQ127" s="26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0.294</v>
      </c>
      <c r="AR127" s="26" cm="1">
        <f t="array" ref="AR127">$G$10+VLOOKUP($R127,武学奇术!$A:$ZZ,7,FALSE)+SUM(_xlfn.XLOOKUP(S127:AG127,增益!$A:$A,增益!$G:$G,0))</f>
        <v>0</v>
      </c>
      <c r="AS127" s="21" cm="1">
        <f t="array" ref="AS127">VLOOKUP($R127,武学奇术!$A:$ZZ,8,FALSE)+SUM(_xlfn.XLOOKUP(S127:AG127,增益!$A:$A,增益!$H:$H,0))</f>
        <v>0</v>
      </c>
      <c r="AT127">
        <f t="shared" si="53"/>
        <v>680.02</v>
      </c>
      <c r="AU127">
        <f t="shared" si="54"/>
        <v>1288.54</v>
      </c>
      <c r="AV127" s="26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26" cm="1">
        <f t="array" ref="AW127">$G$11+VLOOKUP($R127,武学奇术!$A:$ZZ,10,FALSE)+SUM(_xlfn.XLOOKUP(S127:AG127,增益!$A:$A,增益!$J:$J,0))</f>
        <v>0.15</v>
      </c>
      <c r="AX127">
        <f t="shared" si="55"/>
        <v>0</v>
      </c>
      <c r="AY127">
        <f t="shared" si="56"/>
        <v>0</v>
      </c>
      <c r="AZ127" s="26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26" cm="1">
        <f t="array" ref="BA127">$G$12+VLOOKUP($R127,武学奇术!$A:$ZZ,12,FALSE)+SUM(_xlfn.XLOOKUP(S127:AG127,增益!$A:$A,增益!$L:$L,0))</f>
        <v>0</v>
      </c>
      <c r="BB127">
        <f t="shared" si="57"/>
        <v>0</v>
      </c>
      <c r="BC127">
        <f t="shared" si="58"/>
        <v>0</v>
      </c>
      <c r="BD127" s="26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26" cm="1">
        <f t="array" ref="BE127">$G$13+VLOOKUP($R127,武学奇术!$A:$ZZ,14,FALSE)+SUM(_xlfn.XLOOKUP(S127:AG127,增益!$A:$A,增益!$N:$N,0))</f>
        <v>0</v>
      </c>
      <c r="BF127">
        <f t="shared" si="59"/>
        <v>0</v>
      </c>
      <c r="BG127">
        <f t="shared" si="60"/>
        <v>0</v>
      </c>
      <c r="BH127" s="26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26" cm="1">
        <f t="array" ref="BI127">$G$14+VLOOKUP($R127,武学奇术!$A:$ZZ,16,FALSE)+SUM(_xlfn.XLOOKUP(S127:AG127,增益!$A:$A,增益!$P:$P,0))</f>
        <v>0</v>
      </c>
      <c r="BJ127" s="21">
        <f>MIN(IF(VLOOKUP($R127,武学奇术!$A:$ZZ,23,FALSE)=1,100%,$B$8),100%)</f>
        <v>0.8229</v>
      </c>
      <c r="BK127" s="21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0.2285</v>
      </c>
      <c r="BL127" s="21" cm="1">
        <f t="array" ref="BL127">1+$B$13+VLOOKUP($R127,武学奇术!$A:$ZZ,18,FALSE)+SUM(_xlfn.XLOOKUP(S127:AG127,增益!$A:$A,增益!$R:$R,0))</f>
        <v>1.5</v>
      </c>
      <c r="BM127" s="21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0.4495</v>
      </c>
      <c r="BN127" s="21" cm="1">
        <f t="array" ref="BN127">1+$B$14+VLOOKUP($R127,武学奇术!$A:$ZZ,20,FALSE)+SUM(_xlfn.XLOOKUP(S127:AG127,增益!$A:$A,增益!$T:$T,0))</f>
        <v>1.602</v>
      </c>
      <c r="BO127" s="21">
        <f t="shared" si="61"/>
        <v>0.18803265</v>
      </c>
      <c r="BP127" s="21">
        <f t="shared" si="62"/>
        <v>0.2649738</v>
      </c>
      <c r="BQ127" s="21">
        <f>IF(VLOOKUP($R127,武学奇术!$A:$ZZ,22,FALSE)=1,0,(1-$BJ127))*(1-$BM127)</f>
        <v>0.09749355</v>
      </c>
      <c r="BR127" s="21" cm="1">
        <f t="array" ref="BR127">SUM(_xlfn.XLOOKUP(S127:AG127,增益!$A:$A,增益!$W:$W,0))+$I$5</f>
        <v>0.06</v>
      </c>
    </row>
    <row r="128" spans="11:70">
      <c r="K128" s="24">
        <f>$L128*VLOOKUP($R128,武学奇术!$A:$ZZ,31,FALSE)</f>
        <v>31704.5374887003</v>
      </c>
      <c r="L128" s="24">
        <f t="shared" si="52"/>
        <v>31704.5374887003</v>
      </c>
      <c r="M128" s="24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28439.9394136339</v>
      </c>
      <c r="N128" s="24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45378.6077315996</v>
      </c>
      <c r="O128" s="24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18959.9596090893</v>
      </c>
      <c r="P128" s="24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9593.69716349716</v>
      </c>
      <c r="Q128" s="31">
        <v>1</v>
      </c>
      <c r="R128" s="32" t="s">
        <v>86</v>
      </c>
      <c r="S128" s="32" t="s">
        <v>87</v>
      </c>
      <c r="T128" s="32" t="s">
        <v>104</v>
      </c>
      <c r="U128" s="32" t="s">
        <v>73</v>
      </c>
      <c r="V128" s="32" t="s">
        <v>73</v>
      </c>
      <c r="W128" s="32" t="s">
        <v>73</v>
      </c>
      <c r="X128" s="32" t="s">
        <v>127</v>
      </c>
      <c r="Y128" s="32" t="s">
        <v>73</v>
      </c>
      <c r="Z128" s="32" t="s">
        <v>73</v>
      </c>
      <c r="AA128" s="32" t="s">
        <v>73</v>
      </c>
      <c r="AB128" s="32" t="s">
        <v>75</v>
      </c>
      <c r="AC128" s="32" t="s">
        <v>76</v>
      </c>
      <c r="AD128" s="32" t="s">
        <v>82</v>
      </c>
      <c r="AE128" s="32" t="s">
        <v>73</v>
      </c>
      <c r="AF128" s="32" t="s">
        <v>73</v>
      </c>
      <c r="AG128" s="32" t="s">
        <v>178</v>
      </c>
      <c r="AH128" t="str">
        <f>VLOOKUP($R128,武学奇术!$A:$ZZ,25,FALSE)</f>
        <v>剑</v>
      </c>
      <c r="AI128" s="21">
        <f>VLOOKUP($R128,武学奇术!$A:$ZZ,26,FALSE)</f>
        <v>1.1781</v>
      </c>
      <c r="AJ128" s="22">
        <f>VLOOKUP($R128,武学奇术!$A:$ZZ,27,FALSE)*(1+IF(OR($AH128=$F$4,$AH128=$F$5),$B$22,0))</f>
        <v>489</v>
      </c>
      <c r="AK128" s="21">
        <f>VLOOKUP($R128,武学奇术!$A:$ZZ,28,FALSE)</f>
        <v>1.7672</v>
      </c>
      <c r="AL128" s="22">
        <f>VLOOKUP($R128,武学奇术!$A:$ZZ,29,FALSE)*(1+IF(OR($AH128=$F$4,$AH128=$F$5),$B$22,0))</f>
        <v>265.5</v>
      </c>
      <c r="AM128" s="21" cm="1">
        <f t="array" ref="AM128">$G$3+IFERROR(VLOOKUP($AH128,$F$4:$G$7,2,FALSE),0)+VLOOKUP($R128,武学奇术!$A:$ZZ,2,FALSE)+SUM(_xlfn.XLOOKUP($S128:$AG128,增益!$A:$A,增益!$B:$B,0))</f>
        <v>0.7191</v>
      </c>
      <c r="AN128" s="21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1831.48</v>
      </c>
      <c r="AP128" cm="1">
        <f t="array" ref="AP128">$E$10*(1+$AN128)+VLOOKUP($R128,武学奇术!$A:$ZZ,4,FALSE)+SUM(_xlfn.XLOOKUP($S128:$AG128,增益!$A:$A,增益!$D:$D,0))-$I$2</f>
        <v>7763.56</v>
      </c>
      <c r="AQ128" s="26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0.294</v>
      </c>
      <c r="AR128" s="26" cm="1">
        <f t="array" ref="AR128">$G$10+VLOOKUP($R128,武学奇术!$A:$ZZ,7,FALSE)+SUM(_xlfn.XLOOKUP(S128:AG128,增益!$A:$A,增益!$G:$G,0))</f>
        <v>0</v>
      </c>
      <c r="AS128" s="21" cm="1">
        <f t="array" ref="AS128">VLOOKUP($R128,武学奇术!$A:$ZZ,8,FALSE)+SUM(_xlfn.XLOOKUP(S128:AG128,增益!$A:$A,增益!$H:$H,0))</f>
        <v>0</v>
      </c>
      <c r="AT128">
        <f t="shared" si="53"/>
        <v>680.02</v>
      </c>
      <c r="AU128">
        <f t="shared" si="54"/>
        <v>1288.54</v>
      </c>
      <c r="AV128" s="26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26" cm="1">
        <f t="array" ref="AW128">$G$11+VLOOKUP($R128,武学奇术!$A:$ZZ,10,FALSE)+SUM(_xlfn.XLOOKUP(S128:AG128,增益!$A:$A,增益!$J:$J,0))</f>
        <v>0.15</v>
      </c>
      <c r="AX128">
        <f t="shared" si="55"/>
        <v>0</v>
      </c>
      <c r="AY128">
        <f t="shared" si="56"/>
        <v>0</v>
      </c>
      <c r="AZ128" s="26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26" cm="1">
        <f t="array" ref="BA128">$G$12+VLOOKUP($R128,武学奇术!$A:$ZZ,12,FALSE)+SUM(_xlfn.XLOOKUP(S128:AG128,增益!$A:$A,增益!$L:$L,0))</f>
        <v>0</v>
      </c>
      <c r="BB128">
        <f t="shared" si="57"/>
        <v>0</v>
      </c>
      <c r="BC128">
        <f t="shared" si="58"/>
        <v>0</v>
      </c>
      <c r="BD128" s="26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26" cm="1">
        <f t="array" ref="BE128">$G$13+VLOOKUP($R128,武学奇术!$A:$ZZ,14,FALSE)+SUM(_xlfn.XLOOKUP(S128:AG128,增益!$A:$A,增益!$N:$N,0))</f>
        <v>0</v>
      </c>
      <c r="BF128">
        <f t="shared" si="59"/>
        <v>0</v>
      </c>
      <c r="BG128">
        <f t="shared" si="60"/>
        <v>0</v>
      </c>
      <c r="BH128" s="26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26" cm="1">
        <f t="array" ref="BI128">$G$14+VLOOKUP($R128,武学奇术!$A:$ZZ,16,FALSE)+SUM(_xlfn.XLOOKUP(S128:AG128,增益!$A:$A,增益!$P:$P,0))</f>
        <v>0</v>
      </c>
      <c r="BJ128" s="21">
        <f>MIN(IF(VLOOKUP($R128,武学奇术!$A:$ZZ,23,FALSE)=1,100%,$B$8),100%)</f>
        <v>0.8229</v>
      </c>
      <c r="BK128" s="21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0.2285</v>
      </c>
      <c r="BL128" s="21" cm="1">
        <f t="array" ref="BL128">1+$B$13+VLOOKUP($R128,武学奇术!$A:$ZZ,18,FALSE)+SUM(_xlfn.XLOOKUP(S128:AG128,增益!$A:$A,增益!$R:$R,0))</f>
        <v>1.5</v>
      </c>
      <c r="BM128" s="21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0.4495</v>
      </c>
      <c r="BN128" s="21" cm="1">
        <f t="array" ref="BN128">1+$B$14+VLOOKUP($R128,武学奇术!$A:$ZZ,20,FALSE)+SUM(_xlfn.XLOOKUP(S128:AG128,增益!$A:$A,增益!$T:$T,0))</f>
        <v>1.602</v>
      </c>
      <c r="BO128" s="21">
        <f t="shared" si="61"/>
        <v>0.18803265</v>
      </c>
      <c r="BP128" s="21">
        <f t="shared" si="62"/>
        <v>0.2649738</v>
      </c>
      <c r="BQ128" s="21">
        <f>IF(VLOOKUP($R128,武学奇术!$A:$ZZ,22,FALSE)=1,0,(1-$BJ128))*(1-$BM128)</f>
        <v>0.09749355</v>
      </c>
      <c r="BR128" s="21" cm="1">
        <f t="array" ref="BR128">SUM(_xlfn.XLOOKUP(S128:AG128,增益!$A:$A,增益!$W:$W,0))+$I$5</f>
        <v>0.06</v>
      </c>
    </row>
    <row r="129" spans="6:70">
      <c r="K129" s="24">
        <f>$L129*VLOOKUP($R129,武学奇术!$A:$ZZ,31,FALSE)</f>
        <v>80369.8460881717</v>
      </c>
      <c r="L129" s="24">
        <f t="shared" si="52"/>
        <v>133949.743480286</v>
      </c>
      <c r="M129" s="24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109604.656397454</v>
      </c>
      <c r="N129" s="24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201958.735745055</v>
      </c>
      <c r="O129" s="24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73069.7709316357</v>
      </c>
      <c r="P129" s="24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32806.9179883808</v>
      </c>
      <c r="Q129" s="31">
        <v>1</v>
      </c>
      <c r="R129" s="32" t="s">
        <v>95</v>
      </c>
      <c r="S129" s="32" t="s">
        <v>87</v>
      </c>
      <c r="T129" s="32" t="s">
        <v>96</v>
      </c>
      <c r="U129" s="32" t="s">
        <v>97</v>
      </c>
      <c r="V129" s="32" t="s">
        <v>98</v>
      </c>
      <c r="W129" s="32" t="s">
        <v>73</v>
      </c>
      <c r="X129" s="32" t="s">
        <v>127</v>
      </c>
      <c r="Y129" s="32" t="s">
        <v>73</v>
      </c>
      <c r="Z129" s="32" t="s">
        <v>73</v>
      </c>
      <c r="AA129" s="32" t="s">
        <v>73</v>
      </c>
      <c r="AB129" s="32" t="s">
        <v>75</v>
      </c>
      <c r="AC129" s="32" t="s">
        <v>76</v>
      </c>
      <c r="AD129" s="32" t="s">
        <v>82</v>
      </c>
      <c r="AE129" s="32" t="s">
        <v>73</v>
      </c>
      <c r="AF129" s="32" t="s">
        <v>73</v>
      </c>
      <c r="AG129" s="32" t="s">
        <v>178</v>
      </c>
      <c r="AH129" t="str">
        <f>VLOOKUP($R129,武学奇术!$A:$ZZ,25,FALSE)</f>
        <v>剑</v>
      </c>
      <c r="AI129" s="21">
        <f>VLOOKUP($R129,武学奇术!$A:$ZZ,26,FALSE)</f>
        <v>2.52</v>
      </c>
      <c r="AJ129" s="22">
        <f>VLOOKUP($R129,武学奇术!$A:$ZZ,27,FALSE)*(1+IF(OR($AH129=$F$4,$AH129=$F$5),$B$22,0))</f>
        <v>0</v>
      </c>
      <c r="AK129" s="21">
        <f>VLOOKUP($R129,武学奇术!$A:$ZZ,28,FALSE)</f>
        <v>3.78</v>
      </c>
      <c r="AL129" s="22">
        <f>VLOOKUP($R129,武学奇术!$A:$ZZ,29,FALSE)*(1+IF(OR($AH129=$F$4,$AH129=$F$5),$B$22,0))</f>
        <v>0</v>
      </c>
      <c r="AM129" s="21" cm="1">
        <f t="array" ref="AM129">$G$3+IFERROR(VLOOKUP($AH129,$F$4:$G$7,2,FALSE),0)+VLOOKUP($R129,武学奇术!$A:$ZZ,2,FALSE)+SUM(_xlfn.XLOOKUP($S129:$AG129,增益!$A:$A,增益!$B:$B,0))</f>
        <v>1.4691</v>
      </c>
      <c r="AN129" s="21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1831.48</v>
      </c>
      <c r="AP129" cm="1">
        <f t="array" ref="AP129">$E$10*(1+$AN129)+VLOOKUP($R129,武学奇术!$A:$ZZ,4,FALSE)+SUM(_xlfn.XLOOKUP($S129:$AG129,增益!$A:$A,增益!$D:$D,0))-$I$2</f>
        <v>7763.56</v>
      </c>
      <c r="AQ129" s="26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0.369</v>
      </c>
      <c r="AR129" s="26" cm="1">
        <f t="array" ref="AR129">$G$10+VLOOKUP($R129,武学奇术!$A:$ZZ,7,FALSE)+SUM(_xlfn.XLOOKUP(S129:AG129,增益!$A:$A,增益!$G:$G,0))</f>
        <v>0</v>
      </c>
      <c r="AS129" s="21" cm="1">
        <f t="array" ref="AS129">VLOOKUP($R129,武学奇术!$A:$ZZ,8,FALSE)+SUM(_xlfn.XLOOKUP(S129:AG129,增益!$A:$A,增益!$H:$H,0))</f>
        <v>0</v>
      </c>
      <c r="AT129">
        <f t="shared" si="53"/>
        <v>680.02</v>
      </c>
      <c r="AU129">
        <f t="shared" si="54"/>
        <v>1288.54</v>
      </c>
      <c r="AV129" s="26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0.075</v>
      </c>
      <c r="AW129" s="26" cm="1">
        <f t="array" ref="AW129">$G$11+VLOOKUP($R129,武学奇术!$A:$ZZ,10,FALSE)+SUM(_xlfn.XLOOKUP(S129:AG129,增益!$A:$A,增益!$J:$J,0))</f>
        <v>0.15</v>
      </c>
      <c r="AX129">
        <f t="shared" si="55"/>
        <v>0</v>
      </c>
      <c r="AY129">
        <f t="shared" si="56"/>
        <v>0</v>
      </c>
      <c r="AZ129" s="26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26" cm="1">
        <f t="array" ref="BA129">$G$12+VLOOKUP($R129,武学奇术!$A:$ZZ,12,FALSE)+SUM(_xlfn.XLOOKUP(S129:AG129,增益!$A:$A,增益!$L:$L,0))</f>
        <v>0</v>
      </c>
      <c r="BB129">
        <f t="shared" si="57"/>
        <v>0</v>
      </c>
      <c r="BC129">
        <f t="shared" si="58"/>
        <v>0</v>
      </c>
      <c r="BD129" s="26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26" cm="1">
        <f t="array" ref="BE129">$G$13+VLOOKUP($R129,武学奇术!$A:$ZZ,14,FALSE)+SUM(_xlfn.XLOOKUP(S129:AG129,增益!$A:$A,增益!$N:$N,0))</f>
        <v>0</v>
      </c>
      <c r="BF129">
        <f t="shared" si="59"/>
        <v>0</v>
      </c>
      <c r="BG129">
        <f t="shared" si="60"/>
        <v>0</v>
      </c>
      <c r="BH129" s="26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26" cm="1">
        <f t="array" ref="BI129">$G$14+VLOOKUP($R129,武学奇术!$A:$ZZ,16,FALSE)+SUM(_xlfn.XLOOKUP(S129:AG129,增益!$A:$A,增益!$P:$P,0))</f>
        <v>0</v>
      </c>
      <c r="BJ129" s="21">
        <f>MIN(IF(VLOOKUP($R129,武学奇术!$A:$ZZ,23,FALSE)=1,100%,$B$8),100%)</f>
        <v>0.8229</v>
      </c>
      <c r="BK129" s="21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0.2285</v>
      </c>
      <c r="BL129" s="21" cm="1">
        <f t="array" ref="BL129">1+$B$13+VLOOKUP($R129,武学奇术!$A:$ZZ,18,FALSE)+SUM(_xlfn.XLOOKUP(S129:AG129,增益!$A:$A,增益!$R:$R,0))</f>
        <v>1.5</v>
      </c>
      <c r="BM129" s="21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0.4495</v>
      </c>
      <c r="BN129" s="21" cm="1">
        <f t="array" ref="BN129">1+$B$14+VLOOKUP($R129,武学奇术!$A:$ZZ,20,FALSE)+SUM(_xlfn.XLOOKUP(S129:AG129,增益!$A:$A,增益!$T:$T,0))</f>
        <v>1.782</v>
      </c>
      <c r="BO129" s="21">
        <f t="shared" si="61"/>
        <v>0.18803265</v>
      </c>
      <c r="BP129" s="21">
        <f t="shared" si="62"/>
        <v>0.2649738</v>
      </c>
      <c r="BQ129" s="21">
        <f>IF(VLOOKUP($R129,武学奇术!$A:$ZZ,22,FALSE)=1,0,(1-$BJ129))*(1-$BM129)</f>
        <v>0.09749355</v>
      </c>
      <c r="BR129" s="21" cm="1">
        <f t="array" ref="BR129">SUM(_xlfn.XLOOKUP(S129:AG129,增益!$A:$A,增益!$W:$W,0))+$I$5</f>
        <v>0.06</v>
      </c>
    </row>
    <row r="130" spans="6:70">
      <c r="K130" s="24">
        <f>$L130*VLOOKUP($R130,武学奇术!$A:$ZZ,31,FALSE)</f>
        <v>80369.8460881717</v>
      </c>
      <c r="L130" s="24">
        <f t="shared" si="52"/>
        <v>133949.743480286</v>
      </c>
      <c r="M130" s="24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109604.656397454</v>
      </c>
      <c r="N130" s="24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201958.735745055</v>
      </c>
      <c r="O130" s="24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73069.7709316357</v>
      </c>
      <c r="P130" s="24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32806.9179883808</v>
      </c>
      <c r="Q130" s="31">
        <v>1</v>
      </c>
      <c r="R130" s="32" t="s">
        <v>95</v>
      </c>
      <c r="S130" s="32" t="s">
        <v>87</v>
      </c>
      <c r="T130" s="32" t="s">
        <v>96</v>
      </c>
      <c r="U130" s="32" t="s">
        <v>97</v>
      </c>
      <c r="V130" s="32" t="s">
        <v>98</v>
      </c>
      <c r="W130" s="32" t="s">
        <v>73</v>
      </c>
      <c r="X130" s="32" t="s">
        <v>127</v>
      </c>
      <c r="Y130" s="32" t="s">
        <v>73</v>
      </c>
      <c r="Z130" s="32" t="s">
        <v>73</v>
      </c>
      <c r="AA130" s="32" t="s">
        <v>73</v>
      </c>
      <c r="AB130" s="32" t="s">
        <v>75</v>
      </c>
      <c r="AC130" s="32" t="s">
        <v>76</v>
      </c>
      <c r="AD130" s="32" t="s">
        <v>82</v>
      </c>
      <c r="AE130" s="32" t="s">
        <v>73</v>
      </c>
      <c r="AF130" s="32" t="s">
        <v>73</v>
      </c>
      <c r="AG130" s="32" t="s">
        <v>178</v>
      </c>
      <c r="AH130" t="str">
        <f>VLOOKUP($R130,武学奇术!$A:$ZZ,25,FALSE)</f>
        <v>剑</v>
      </c>
      <c r="AI130" s="21">
        <f>VLOOKUP($R130,武学奇术!$A:$ZZ,26,FALSE)</f>
        <v>2.52</v>
      </c>
      <c r="AJ130" s="22">
        <f>VLOOKUP($R130,武学奇术!$A:$ZZ,27,FALSE)*(1+IF(OR($AH130=$F$4,$AH130=$F$5),$B$22,0))</f>
        <v>0</v>
      </c>
      <c r="AK130" s="21">
        <f>VLOOKUP($R130,武学奇术!$A:$ZZ,28,FALSE)</f>
        <v>3.78</v>
      </c>
      <c r="AL130" s="22">
        <f>VLOOKUP($R130,武学奇术!$A:$ZZ,29,FALSE)*(1+IF(OR($AH130=$F$4,$AH130=$F$5),$B$22,0))</f>
        <v>0</v>
      </c>
      <c r="AM130" s="21" cm="1">
        <f t="array" ref="AM130">$G$3+IFERROR(VLOOKUP($AH130,$F$4:$G$7,2,FALSE),0)+VLOOKUP($R130,武学奇术!$A:$ZZ,2,FALSE)+SUM(_xlfn.XLOOKUP($S130:$AG130,增益!$A:$A,增益!$B:$B,0))</f>
        <v>1.4691</v>
      </c>
      <c r="AN130" s="21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1831.48</v>
      </c>
      <c r="AP130" cm="1">
        <f t="array" ref="AP130">$E$10*(1+$AN130)+VLOOKUP($R130,武学奇术!$A:$ZZ,4,FALSE)+SUM(_xlfn.XLOOKUP($S130:$AG130,增益!$A:$A,增益!$D:$D,0))-$I$2</f>
        <v>7763.56</v>
      </c>
      <c r="AQ130" s="26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0.369</v>
      </c>
      <c r="AR130" s="26" cm="1">
        <f t="array" ref="AR130">$G$10+VLOOKUP($R130,武学奇术!$A:$ZZ,7,FALSE)+SUM(_xlfn.XLOOKUP(S130:AG130,增益!$A:$A,增益!$G:$G,0))</f>
        <v>0</v>
      </c>
      <c r="AS130" s="21" cm="1">
        <f t="array" ref="AS130">VLOOKUP($R130,武学奇术!$A:$ZZ,8,FALSE)+SUM(_xlfn.XLOOKUP(S130:AG130,增益!$A:$A,增益!$H:$H,0))</f>
        <v>0</v>
      </c>
      <c r="AT130">
        <f t="shared" si="53"/>
        <v>680.02</v>
      </c>
      <c r="AU130">
        <f t="shared" si="54"/>
        <v>1288.54</v>
      </c>
      <c r="AV130" s="26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0.075</v>
      </c>
      <c r="AW130" s="26" cm="1">
        <f t="array" ref="AW130">$G$11+VLOOKUP($R130,武学奇术!$A:$ZZ,10,FALSE)+SUM(_xlfn.XLOOKUP(S130:AG130,增益!$A:$A,增益!$J:$J,0))</f>
        <v>0.15</v>
      </c>
      <c r="AX130">
        <f t="shared" si="55"/>
        <v>0</v>
      </c>
      <c r="AY130">
        <f t="shared" si="56"/>
        <v>0</v>
      </c>
      <c r="AZ130" s="26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26" cm="1">
        <f t="array" ref="BA130">$G$12+VLOOKUP($R130,武学奇术!$A:$ZZ,12,FALSE)+SUM(_xlfn.XLOOKUP(S130:AG130,增益!$A:$A,增益!$L:$L,0))</f>
        <v>0</v>
      </c>
      <c r="BB130">
        <f t="shared" si="57"/>
        <v>0</v>
      </c>
      <c r="BC130">
        <f t="shared" si="58"/>
        <v>0</v>
      </c>
      <c r="BD130" s="26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26" cm="1">
        <f t="array" ref="BE130">$G$13+VLOOKUP($R130,武学奇术!$A:$ZZ,14,FALSE)+SUM(_xlfn.XLOOKUP(S130:AG130,增益!$A:$A,增益!$N:$N,0))</f>
        <v>0</v>
      </c>
      <c r="BF130">
        <f t="shared" si="59"/>
        <v>0</v>
      </c>
      <c r="BG130">
        <f t="shared" si="60"/>
        <v>0</v>
      </c>
      <c r="BH130" s="26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26" cm="1">
        <f t="array" ref="BI130">$G$14+VLOOKUP($R130,武学奇术!$A:$ZZ,16,FALSE)+SUM(_xlfn.XLOOKUP(S130:AG130,增益!$A:$A,增益!$P:$P,0))</f>
        <v>0</v>
      </c>
      <c r="BJ130" s="21">
        <f>MIN(IF(VLOOKUP($R130,武学奇术!$A:$ZZ,23,FALSE)=1,100%,$B$8),100%)</f>
        <v>0.8229</v>
      </c>
      <c r="BK130" s="21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0.2285</v>
      </c>
      <c r="BL130" s="21" cm="1">
        <f t="array" ref="BL130">1+$B$13+VLOOKUP($R130,武学奇术!$A:$ZZ,18,FALSE)+SUM(_xlfn.XLOOKUP(S130:AG130,增益!$A:$A,增益!$R:$R,0))</f>
        <v>1.5</v>
      </c>
      <c r="BM130" s="21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0.4495</v>
      </c>
      <c r="BN130" s="21" cm="1">
        <f t="array" ref="BN130">1+$B$14+VLOOKUP($R130,武学奇术!$A:$ZZ,20,FALSE)+SUM(_xlfn.XLOOKUP(S130:AG130,增益!$A:$A,增益!$T:$T,0))</f>
        <v>1.782</v>
      </c>
      <c r="BO130" s="21">
        <f t="shared" si="61"/>
        <v>0.18803265</v>
      </c>
      <c r="BP130" s="21">
        <f t="shared" si="62"/>
        <v>0.2649738</v>
      </c>
      <c r="BQ130" s="21">
        <f>IF(VLOOKUP($R130,武学奇术!$A:$ZZ,22,FALSE)=1,0,(1-$BJ130))*(1-$BM130)</f>
        <v>0.09749355</v>
      </c>
      <c r="BR130" s="21" cm="1">
        <f t="array" ref="BR130">SUM(_xlfn.XLOOKUP(S130:AG130,增益!$A:$A,增益!$W:$W,0))+$I$5</f>
        <v>0.06</v>
      </c>
    </row>
    <row r="131" spans="6:70">
      <c r="K131" s="24">
        <f>$L131*VLOOKUP($R131,武学奇术!$A:$ZZ,31,FALSE)</f>
        <v>26279.7552689785</v>
      </c>
      <c r="L131" s="24">
        <f t="shared" si="52"/>
        <v>26279.7552689785</v>
      </c>
      <c r="M131" s="24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23574.4061251618</v>
      </c>
      <c r="N131" s="24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37613.2906210638</v>
      </c>
      <c r="O131" s="24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15716.2707501078</v>
      </c>
      <c r="P131" s="24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7953.58355947672</v>
      </c>
      <c r="Q131" s="31">
        <v>1</v>
      </c>
      <c r="R131" s="32" t="s">
        <v>108</v>
      </c>
      <c r="S131" s="32" t="s">
        <v>87</v>
      </c>
      <c r="T131" s="32" t="s">
        <v>104</v>
      </c>
      <c r="U131" s="32" t="s">
        <v>73</v>
      </c>
      <c r="V131" s="32" t="s">
        <v>73</v>
      </c>
      <c r="W131" s="32" t="s">
        <v>73</v>
      </c>
      <c r="X131" s="32" t="s">
        <v>127</v>
      </c>
      <c r="Y131" s="32" t="s">
        <v>73</v>
      </c>
      <c r="Z131" s="32" t="s">
        <v>73</v>
      </c>
      <c r="AA131" s="32" t="s">
        <v>73</v>
      </c>
      <c r="AB131" s="32" t="s">
        <v>75</v>
      </c>
      <c r="AC131" s="32" t="s">
        <v>76</v>
      </c>
      <c r="AD131" s="32" t="s">
        <v>82</v>
      </c>
      <c r="AE131" s="32" t="s">
        <v>73</v>
      </c>
      <c r="AF131" s="32" t="s">
        <v>73</v>
      </c>
      <c r="AG131" s="32" t="s">
        <v>178</v>
      </c>
      <c r="AH131" t="str">
        <f>VLOOKUP($R131,武学奇术!$A:$ZZ,25,FALSE)</f>
        <v>枪</v>
      </c>
      <c r="AI131" s="21">
        <f>VLOOKUP($R131,武学奇术!$A:$ZZ,26,FALSE)</f>
        <v>1.02732</v>
      </c>
      <c r="AJ131" s="22">
        <f>VLOOKUP($R131,武学奇术!$A:$ZZ,27,FALSE)*(1+IF(OR($AH131=$F$4,$AH131=$F$5),$B$22,0))</f>
        <v>426.6</v>
      </c>
      <c r="AK131" s="21">
        <f>VLOOKUP($R131,武学奇术!$A:$ZZ,28,FALSE)</f>
        <v>1.54096</v>
      </c>
      <c r="AL131" s="22">
        <f>VLOOKUP($R131,武学奇术!$A:$ZZ,29,FALSE)*(1+IF(OR($AH131=$F$4,$AH131=$F$5),$B$22,0))</f>
        <v>232.2</v>
      </c>
      <c r="AM131" s="21" cm="1">
        <f t="array" ref="AM131">$G$3+IFERROR(VLOOKUP($AH131,$F$4:$G$7,2,FALSE),0)+VLOOKUP($R131,武学奇术!$A:$ZZ,2,FALSE)+SUM(_xlfn.XLOOKUP($S131:$AG131,增益!$A:$A,增益!$B:$B,0))</f>
        <v>0.6339</v>
      </c>
      <c r="AN131" s="21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1831.48</v>
      </c>
      <c r="AP131" cm="1">
        <f t="array" ref="AP131">$E$10*(1+$AN131)+VLOOKUP($R131,武学奇术!$A:$ZZ,4,FALSE)+SUM(_xlfn.XLOOKUP($S131:$AG131,增益!$A:$A,增益!$D:$D,0))-$I$2</f>
        <v>7763.56</v>
      </c>
      <c r="AQ131" s="26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0.294</v>
      </c>
      <c r="AR131" s="26" cm="1">
        <f t="array" ref="AR131">$G$10+VLOOKUP($R131,武学奇术!$A:$ZZ,7,FALSE)+SUM(_xlfn.XLOOKUP(S131:AG131,增益!$A:$A,增益!$G:$G,0))</f>
        <v>0</v>
      </c>
      <c r="AS131" s="21" cm="1">
        <f t="array" ref="AS131">VLOOKUP($R131,武学奇术!$A:$ZZ,8,FALSE)+SUM(_xlfn.XLOOKUP(S131:AG131,增益!$A:$A,增益!$H:$H,0))</f>
        <v>0</v>
      </c>
      <c r="AT131">
        <f t="shared" si="53"/>
        <v>680.02</v>
      </c>
      <c r="AU131">
        <f t="shared" si="54"/>
        <v>1288.54</v>
      </c>
      <c r="AV131" s="26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26" cm="1">
        <f t="array" ref="AW131">$G$11+VLOOKUP($R131,武学奇术!$A:$ZZ,10,FALSE)+SUM(_xlfn.XLOOKUP(S131:AG131,增益!$A:$A,增益!$J:$J,0))</f>
        <v>0.15</v>
      </c>
      <c r="AX131">
        <f t="shared" si="55"/>
        <v>0</v>
      </c>
      <c r="AY131">
        <f t="shared" si="56"/>
        <v>0</v>
      </c>
      <c r="AZ131" s="26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26" cm="1">
        <f t="array" ref="BA131">$G$12+VLOOKUP($R131,武学奇术!$A:$ZZ,12,FALSE)+SUM(_xlfn.XLOOKUP(S131:AG131,增益!$A:$A,增益!$L:$L,0))</f>
        <v>0</v>
      </c>
      <c r="BB131">
        <f t="shared" si="57"/>
        <v>0</v>
      </c>
      <c r="BC131">
        <f t="shared" si="58"/>
        <v>0</v>
      </c>
      <c r="BD131" s="26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26" cm="1">
        <f t="array" ref="BE131">$G$13+VLOOKUP($R131,武学奇术!$A:$ZZ,14,FALSE)+SUM(_xlfn.XLOOKUP(S131:AG131,增益!$A:$A,增益!$N:$N,0))</f>
        <v>0</v>
      </c>
      <c r="BF131">
        <f t="shared" si="59"/>
        <v>0</v>
      </c>
      <c r="BG131">
        <f t="shared" si="60"/>
        <v>0</v>
      </c>
      <c r="BH131" s="26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26" cm="1">
        <f t="array" ref="BI131">$G$14+VLOOKUP($R131,武学奇术!$A:$ZZ,16,FALSE)+SUM(_xlfn.XLOOKUP(S131:AG131,增益!$A:$A,增益!$P:$P,0))</f>
        <v>0</v>
      </c>
      <c r="BJ131" s="21">
        <f>MIN(IF(VLOOKUP($R131,武学奇术!$A:$ZZ,23,FALSE)=1,100%,$B$8),100%)</f>
        <v>0.8229</v>
      </c>
      <c r="BK131" s="21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0.2285</v>
      </c>
      <c r="BL131" s="21" cm="1">
        <f t="array" ref="BL131">1+$B$13+VLOOKUP($R131,武学奇术!$A:$ZZ,18,FALSE)+SUM(_xlfn.XLOOKUP(S131:AG131,增益!$A:$A,增益!$R:$R,0))</f>
        <v>1.5</v>
      </c>
      <c r="BM131" s="21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0.4495</v>
      </c>
      <c r="BN131" s="21" cm="1">
        <f t="array" ref="BN131">1+$B$14+VLOOKUP($R131,武学奇术!$A:$ZZ,20,FALSE)+SUM(_xlfn.XLOOKUP(S131:AG131,增益!$A:$A,增益!$T:$T,0))</f>
        <v>1.602</v>
      </c>
      <c r="BO131" s="21">
        <f t="shared" si="61"/>
        <v>0.18803265</v>
      </c>
      <c r="BP131" s="21">
        <f t="shared" si="62"/>
        <v>0.2649738</v>
      </c>
      <c r="BQ131" s="21">
        <f>IF(VLOOKUP($R131,武学奇术!$A:$ZZ,22,FALSE)=1,0,(1-$BJ131))*(1-$BM131)</f>
        <v>0.09749355</v>
      </c>
      <c r="BR131" s="21" cm="1">
        <f t="array" ref="BR131">SUM(_xlfn.XLOOKUP(S131:AG131,增益!$A:$A,增益!$W:$W,0))+$I$5</f>
        <v>0.06</v>
      </c>
    </row>
    <row r="132" spans="6:70">
      <c r="K132" s="24">
        <f>$L132*VLOOKUP($R132,武学奇术!$A:$ZZ,31,FALSE)</f>
        <v>80690.2967064169</v>
      </c>
      <c r="L132" s="24">
        <f t="shared" si="52"/>
        <v>134483.827844028</v>
      </c>
      <c r="M132" s="24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110158.867750072</v>
      </c>
      <c r="N132" s="24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202617.138831966</v>
      </c>
      <c r="O132" s="24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73439.2451667149</v>
      </c>
      <c r="P132" s="24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33176.39222346</v>
      </c>
      <c r="Q132" s="31">
        <v>1</v>
      </c>
      <c r="R132" s="32" t="s">
        <v>95</v>
      </c>
      <c r="S132" s="32" t="s">
        <v>87</v>
      </c>
      <c r="T132" s="32" t="s">
        <v>96</v>
      </c>
      <c r="U132" s="32" t="s">
        <v>97</v>
      </c>
      <c r="V132" s="32" t="s">
        <v>98</v>
      </c>
      <c r="W132" s="32" t="s">
        <v>111</v>
      </c>
      <c r="X132" s="32" t="s">
        <v>127</v>
      </c>
      <c r="Y132" s="32" t="s">
        <v>73</v>
      </c>
      <c r="Z132" s="32" t="s">
        <v>73</v>
      </c>
      <c r="AA132" s="32" t="s">
        <v>73</v>
      </c>
      <c r="AB132" s="32" t="s">
        <v>75</v>
      </c>
      <c r="AC132" s="32" t="s">
        <v>76</v>
      </c>
      <c r="AD132" s="32" t="s">
        <v>82</v>
      </c>
      <c r="AE132" s="32" t="s">
        <v>73</v>
      </c>
      <c r="AF132" s="32" t="s">
        <v>73</v>
      </c>
      <c r="AG132" s="32" t="s">
        <v>178</v>
      </c>
      <c r="AH132" t="str">
        <f>VLOOKUP($R132,武学奇术!$A:$ZZ,25,FALSE)</f>
        <v>剑</v>
      </c>
      <c r="AI132" s="21">
        <f>VLOOKUP($R132,武学奇术!$A:$ZZ,26,FALSE)</f>
        <v>2.52</v>
      </c>
      <c r="AJ132" s="22">
        <f>VLOOKUP($R132,武学奇术!$A:$ZZ,27,FALSE)*(1+IF(OR($AH132=$F$4,$AH132=$F$5),$B$22,0))</f>
        <v>0</v>
      </c>
      <c r="AK132" s="21">
        <f>VLOOKUP($R132,武学奇术!$A:$ZZ,28,FALSE)</f>
        <v>3.78</v>
      </c>
      <c r="AL132" s="22">
        <f>VLOOKUP($R132,武学奇术!$A:$ZZ,29,FALSE)*(1+IF(OR($AH132=$F$4,$AH132=$F$5),$B$22,0))</f>
        <v>0</v>
      </c>
      <c r="AM132" s="21" cm="1">
        <f t="array" ref="AM132">$G$3+IFERROR(VLOOKUP($AH132,$F$4:$G$7,2,FALSE),0)+VLOOKUP($R132,武学奇术!$A:$ZZ,2,FALSE)+SUM(_xlfn.XLOOKUP($S132:$AG132,增益!$A:$A,增益!$B:$B,0))</f>
        <v>1.4691</v>
      </c>
      <c r="AN132" s="21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1862.48</v>
      </c>
      <c r="AP132" cm="1">
        <f t="array" ref="AP132">$E$10*(1+$AN132)+VLOOKUP($R132,武学奇术!$A:$ZZ,4,FALSE)+SUM(_xlfn.XLOOKUP($S132:$AG132,增益!$A:$A,增益!$D:$D,0))-$I$2</f>
        <v>7794.56</v>
      </c>
      <c r="AQ132" s="26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0.369</v>
      </c>
      <c r="AR132" s="26" cm="1">
        <f t="array" ref="AR132">$G$10+VLOOKUP($R132,武学奇术!$A:$ZZ,7,FALSE)+SUM(_xlfn.XLOOKUP(S132:AG132,增益!$A:$A,增益!$G:$G,0))</f>
        <v>0</v>
      </c>
      <c r="AS132" s="21" cm="1">
        <f t="array" ref="AS132">VLOOKUP($R132,武学奇术!$A:$ZZ,8,FALSE)+SUM(_xlfn.XLOOKUP(S132:AG132,增益!$A:$A,增益!$H:$H,0))</f>
        <v>0</v>
      </c>
      <c r="AT132">
        <f t="shared" si="53"/>
        <v>680.02</v>
      </c>
      <c r="AU132">
        <f t="shared" si="54"/>
        <v>1288.54</v>
      </c>
      <c r="AV132" s="26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0.075</v>
      </c>
      <c r="AW132" s="26" cm="1">
        <f t="array" ref="AW132">$G$11+VLOOKUP($R132,武学奇术!$A:$ZZ,10,FALSE)+SUM(_xlfn.XLOOKUP(S132:AG132,增益!$A:$A,增益!$J:$J,0))</f>
        <v>0.15</v>
      </c>
      <c r="AX132">
        <f t="shared" si="55"/>
        <v>0</v>
      </c>
      <c r="AY132">
        <f t="shared" si="56"/>
        <v>0</v>
      </c>
      <c r="AZ132" s="26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26" cm="1">
        <f t="array" ref="BA132">$G$12+VLOOKUP($R132,武学奇术!$A:$ZZ,12,FALSE)+SUM(_xlfn.XLOOKUP(S132:AG132,增益!$A:$A,增益!$L:$L,0))</f>
        <v>0</v>
      </c>
      <c r="BB132">
        <f t="shared" si="57"/>
        <v>0</v>
      </c>
      <c r="BC132">
        <f t="shared" si="58"/>
        <v>0</v>
      </c>
      <c r="BD132" s="26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26" cm="1">
        <f t="array" ref="BE132">$G$13+VLOOKUP($R132,武学奇术!$A:$ZZ,14,FALSE)+SUM(_xlfn.XLOOKUP(S132:AG132,增益!$A:$A,增益!$N:$N,0))</f>
        <v>0</v>
      </c>
      <c r="BF132">
        <f t="shared" si="59"/>
        <v>0</v>
      </c>
      <c r="BG132">
        <f t="shared" si="60"/>
        <v>0</v>
      </c>
      <c r="BH132" s="26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26" cm="1">
        <f t="array" ref="BI132">$G$14+VLOOKUP($R132,武学奇术!$A:$ZZ,16,FALSE)+SUM(_xlfn.XLOOKUP(S132:AG132,增益!$A:$A,增益!$P:$P,0))</f>
        <v>0</v>
      </c>
      <c r="BJ132" s="21">
        <f>MIN(IF(VLOOKUP($R132,武学奇术!$A:$ZZ,23,FALSE)=1,100%,$B$8),100%)</f>
        <v>0.8229</v>
      </c>
      <c r="BK132" s="21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0.2285</v>
      </c>
      <c r="BL132" s="21" cm="1">
        <f t="array" ref="BL132">1+$B$13+VLOOKUP($R132,武学奇术!$A:$ZZ,18,FALSE)+SUM(_xlfn.XLOOKUP(S132:AG132,增益!$A:$A,增益!$R:$R,0))</f>
        <v>1.5</v>
      </c>
      <c r="BM132" s="21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0.4495</v>
      </c>
      <c r="BN132" s="21" cm="1">
        <f t="array" ref="BN132">1+$B$14+VLOOKUP($R132,武学奇术!$A:$ZZ,20,FALSE)+SUM(_xlfn.XLOOKUP(S132:AG132,增益!$A:$A,增益!$T:$T,0))</f>
        <v>1.782</v>
      </c>
      <c r="BO132" s="21">
        <f t="shared" si="61"/>
        <v>0.18803265</v>
      </c>
      <c r="BP132" s="21">
        <f t="shared" si="62"/>
        <v>0.2649738</v>
      </c>
      <c r="BQ132" s="21">
        <f>IF(VLOOKUP($R132,武学奇术!$A:$ZZ,22,FALSE)=1,0,(1-$BJ132))*(1-$BM132)</f>
        <v>0.09749355</v>
      </c>
      <c r="BR132" s="21" cm="1">
        <f t="array" ref="BR132">SUM(_xlfn.XLOOKUP(S132:AG132,增益!$A:$A,增益!$W:$W,0))+$I$5</f>
        <v>0.06</v>
      </c>
    </row>
    <row r="133" spans="6:70">
      <c r="K133" s="24">
        <f>$L133*VLOOKUP($R133,武学奇术!$A:$ZZ,31,FALSE)</f>
        <v>54912.9196884778</v>
      </c>
      <c r="L133" s="24">
        <f t="shared" si="52"/>
        <v>54912.9196884778</v>
      </c>
      <c r="M133" s="24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49293.7687796305</v>
      </c>
      <c r="N133" s="24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78551.8896954373</v>
      </c>
      <c r="O133" s="24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32862.5125197537</v>
      </c>
      <c r="P133" s="24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16691.3860286226</v>
      </c>
      <c r="Q133" s="31">
        <v>1</v>
      </c>
      <c r="R133" s="32" t="s">
        <v>80</v>
      </c>
      <c r="S133" s="32" t="s">
        <v>87</v>
      </c>
      <c r="T133" s="32" t="s">
        <v>104</v>
      </c>
      <c r="U133" s="32" t="s">
        <v>73</v>
      </c>
      <c r="V133" s="32" t="s">
        <v>73</v>
      </c>
      <c r="W133" s="32" t="s">
        <v>111</v>
      </c>
      <c r="X133" s="32" t="s">
        <v>127</v>
      </c>
      <c r="Y133" s="32" t="s">
        <v>73</v>
      </c>
      <c r="Z133" s="32" t="s">
        <v>73</v>
      </c>
      <c r="AA133" s="32" t="s">
        <v>73</v>
      </c>
      <c r="AB133" s="32" t="s">
        <v>75</v>
      </c>
      <c r="AC133" s="32" t="s">
        <v>76</v>
      </c>
      <c r="AD133" s="32" t="s">
        <v>82</v>
      </c>
      <c r="AE133" s="32" t="s">
        <v>73</v>
      </c>
      <c r="AF133" s="32" t="s">
        <v>73</v>
      </c>
      <c r="AG133" s="32" t="s">
        <v>178</v>
      </c>
      <c r="AH133" t="str">
        <f>VLOOKUP($R133,武学奇术!$A:$ZZ,25,FALSE)</f>
        <v>枪</v>
      </c>
      <c r="AI133" s="21">
        <f>VLOOKUP($R133,武学奇术!$A:$ZZ,26,FALSE)</f>
        <v>2.1401</v>
      </c>
      <c r="AJ133" s="22">
        <f>VLOOKUP($R133,武学奇术!$A:$ZZ,27,FALSE)*(1+IF(OR($AH133=$F$4,$AH133=$F$5),$B$22,0))</f>
        <v>882</v>
      </c>
      <c r="AK133" s="21">
        <f>VLOOKUP($R133,武学奇术!$A:$ZZ,28,FALSE)</f>
        <v>3.2101</v>
      </c>
      <c r="AL133" s="22">
        <f>VLOOKUP($R133,武学奇术!$A:$ZZ,29,FALSE)*(1+IF(OR($AH133=$F$4,$AH133=$F$5),$B$22,0))</f>
        <v>480</v>
      </c>
      <c r="AM133" s="21" cm="1">
        <f t="array" ref="AM133">$G$3+IFERROR(VLOOKUP($AH133,$F$4:$G$7,2,FALSE),0)+VLOOKUP($R133,武学奇术!$A:$ZZ,2,FALSE)+SUM(_xlfn.XLOOKUP($S133:$AG133,增益!$A:$A,增益!$B:$B,0))</f>
        <v>0.6339</v>
      </c>
      <c r="AN133" s="21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1862.48</v>
      </c>
      <c r="AP133" cm="1">
        <f t="array" ref="AP133">$E$10*(1+$AN133)+VLOOKUP($R133,武学奇术!$A:$ZZ,4,FALSE)+SUM(_xlfn.XLOOKUP($S133:$AG133,增益!$A:$A,增益!$D:$D,0))-$I$2</f>
        <v>7794.56</v>
      </c>
      <c r="AQ133" s="26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0.294</v>
      </c>
      <c r="AR133" s="26" cm="1">
        <f t="array" ref="AR133">$G$10+VLOOKUP($R133,武学奇术!$A:$ZZ,7,FALSE)+SUM(_xlfn.XLOOKUP(S133:AG133,增益!$A:$A,增益!$G:$G,0))</f>
        <v>0</v>
      </c>
      <c r="AS133" s="21" cm="1">
        <f t="array" ref="AS133">VLOOKUP($R133,武学奇术!$A:$ZZ,8,FALSE)+SUM(_xlfn.XLOOKUP(S133:AG133,增益!$A:$A,增益!$H:$H,0))</f>
        <v>0</v>
      </c>
      <c r="AT133">
        <f t="shared" si="53"/>
        <v>680.02</v>
      </c>
      <c r="AU133">
        <f t="shared" si="54"/>
        <v>1288.54</v>
      </c>
      <c r="AV133" s="26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26" cm="1">
        <f t="array" ref="AW133">$G$11+VLOOKUP($R133,武学奇术!$A:$ZZ,10,FALSE)+SUM(_xlfn.XLOOKUP(S133:AG133,增益!$A:$A,增益!$J:$J,0))</f>
        <v>0.15</v>
      </c>
      <c r="AX133">
        <f t="shared" si="55"/>
        <v>0</v>
      </c>
      <c r="AY133">
        <f t="shared" si="56"/>
        <v>0</v>
      </c>
      <c r="AZ133" s="26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26" cm="1">
        <f t="array" ref="BA133">$G$12+VLOOKUP($R133,武学奇术!$A:$ZZ,12,FALSE)+SUM(_xlfn.XLOOKUP(S133:AG133,增益!$A:$A,增益!$L:$L,0))</f>
        <v>0</v>
      </c>
      <c r="BB133">
        <f t="shared" si="57"/>
        <v>0</v>
      </c>
      <c r="BC133">
        <f t="shared" si="58"/>
        <v>0</v>
      </c>
      <c r="BD133" s="26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26" cm="1">
        <f t="array" ref="BE133">$G$13+VLOOKUP($R133,武学奇术!$A:$ZZ,14,FALSE)+SUM(_xlfn.XLOOKUP(S133:AG133,增益!$A:$A,增益!$N:$N,0))</f>
        <v>0</v>
      </c>
      <c r="BF133">
        <f t="shared" si="59"/>
        <v>0</v>
      </c>
      <c r="BG133">
        <f t="shared" si="60"/>
        <v>0</v>
      </c>
      <c r="BH133" s="26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26" cm="1">
        <f t="array" ref="BI133">$G$14+VLOOKUP($R133,武学奇术!$A:$ZZ,16,FALSE)+SUM(_xlfn.XLOOKUP(S133:AG133,增益!$A:$A,增益!$P:$P,0))</f>
        <v>0</v>
      </c>
      <c r="BJ133" s="21">
        <f>MIN(IF(VLOOKUP($R133,武学奇术!$A:$ZZ,23,FALSE)=1,100%,$B$8),100%)</f>
        <v>0.8229</v>
      </c>
      <c r="BK133" s="21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0.2285</v>
      </c>
      <c r="BL133" s="21" cm="1">
        <f t="array" ref="BL133">1+$B$13+VLOOKUP($R133,武学奇术!$A:$ZZ,18,FALSE)+SUM(_xlfn.XLOOKUP(S133:AG133,增益!$A:$A,增益!$R:$R,0))</f>
        <v>1.5</v>
      </c>
      <c r="BM133" s="21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0.4495</v>
      </c>
      <c r="BN133" s="21" cm="1">
        <f t="array" ref="BN133">1+$B$14+VLOOKUP($R133,武学奇术!$A:$ZZ,20,FALSE)+SUM(_xlfn.XLOOKUP(S133:AG133,增益!$A:$A,增益!$T:$T,0))</f>
        <v>1.602</v>
      </c>
      <c r="BO133" s="21">
        <f t="shared" si="61"/>
        <v>0.18803265</v>
      </c>
      <c r="BP133" s="21">
        <f t="shared" si="62"/>
        <v>0.2649738</v>
      </c>
      <c r="BQ133" s="21">
        <f>IF(VLOOKUP($R133,武学奇术!$A:$ZZ,22,FALSE)=1,0,(1-$BJ133))*(1-$BM133)</f>
        <v>0.09749355</v>
      </c>
      <c r="BR133" s="21" cm="1">
        <f t="array" ref="BR133">SUM(_xlfn.XLOOKUP(S133:AG133,增益!$A:$A,增益!$W:$W,0))+$I$5</f>
        <v>0.06</v>
      </c>
    </row>
    <row r="134" spans="6:70">
      <c r="K134" s="24">
        <f>$L134*VLOOKUP($R134,武学奇术!$A:$ZZ,31,FALSE)</f>
        <v>1023155.74484614</v>
      </c>
      <c r="L134" s="24">
        <f t="shared" ref="L134:L144" si="63">($M134*$BO134+$N134*$BM134+$O134*$BP134+$P134*$BQ134)</f>
        <v>1023155.74484614</v>
      </c>
      <c r="M134" s="24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878024.898329237</v>
      </c>
      <c r="N134" s="24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1436903.57662521</v>
      </c>
      <c r="O134" s="24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585349.932219492</v>
      </c>
      <c r="P134" s="24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273756.308493159</v>
      </c>
      <c r="Q134" s="31">
        <v>1</v>
      </c>
      <c r="R134" s="32" t="s">
        <v>193</v>
      </c>
      <c r="S134" s="32" t="s">
        <v>87</v>
      </c>
      <c r="T134" s="32" t="s">
        <v>104</v>
      </c>
      <c r="U134" s="32" t="s">
        <v>73</v>
      </c>
      <c r="V134" s="32" t="s">
        <v>73</v>
      </c>
      <c r="W134" s="32" t="s">
        <v>111</v>
      </c>
      <c r="X134" s="32" t="s">
        <v>127</v>
      </c>
      <c r="Y134" s="32" t="s">
        <v>179</v>
      </c>
      <c r="Z134" s="32" t="s">
        <v>182</v>
      </c>
      <c r="AA134" s="32" t="s">
        <v>81</v>
      </c>
      <c r="AB134" s="32" t="s">
        <v>75</v>
      </c>
      <c r="AC134" s="32" t="s">
        <v>89</v>
      </c>
      <c r="AD134" s="32" t="s">
        <v>82</v>
      </c>
      <c r="AE134" s="32" t="s">
        <v>183</v>
      </c>
      <c r="AF134" s="32" t="s">
        <v>73</v>
      </c>
      <c r="AG134" s="32" t="s">
        <v>178</v>
      </c>
      <c r="AH134" t="str">
        <f>VLOOKUP($R134,武学奇术!$A:$ZZ,25,FALSE)</f>
        <v>单体奇术</v>
      </c>
      <c r="AI134" s="21">
        <f>VLOOKUP($R134,武学奇术!$A:$ZZ,26,FALSE)</f>
        <v>25.201792</v>
      </c>
      <c r="AJ134" s="22">
        <f>VLOOKUP($R134,武学奇术!$A:$ZZ,27,FALSE)*(1+IF(OR($AH134=$F$4,$AH134=$F$5),$B$22,0))</f>
        <v>4869.48</v>
      </c>
      <c r="AK134" s="21">
        <f>VLOOKUP($R134,武学奇术!$A:$ZZ,28,FALSE)</f>
        <v>37.802688</v>
      </c>
      <c r="AL134" s="22">
        <f>VLOOKUP($R134,武学奇术!$A:$ZZ,29,FALSE)*(1+IF(OR($AH134=$F$4,$AH134=$F$5),$B$22,0))</f>
        <v>0</v>
      </c>
      <c r="AM134" s="21" cm="1">
        <f t="array" ref="AM134">$G$3+IFERROR(VLOOKUP($AH134,$F$4:$G$7,2,FALSE),0)+VLOOKUP($R134,武学奇术!$A:$ZZ,2,FALSE)+SUM(_xlfn.XLOOKUP($S134:$AG134,增益!$A:$A,增益!$B:$B,0))</f>
        <v>1.443</v>
      </c>
      <c r="AN134" s="21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1862.48</v>
      </c>
      <c r="AP134" cm="1">
        <f t="array" ref="AP134">$E$10*(1+$AN134)+VLOOKUP($R134,武学奇术!$A:$ZZ,4,FALSE)+SUM(_xlfn.XLOOKUP($S134:$AG134,增益!$A:$A,增益!$D:$D,0))-$I$2</f>
        <v>7794.56</v>
      </c>
      <c r="AQ134" s="26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0.294</v>
      </c>
      <c r="AR134" s="26" cm="1">
        <f t="array" ref="AR134">$G$10+VLOOKUP($R134,武学奇术!$A:$ZZ,7,FALSE)+SUM(_xlfn.XLOOKUP(S134:AG134,增益!$A:$A,增益!$G:$G,0))</f>
        <v>0</v>
      </c>
      <c r="AS134" s="21" cm="1">
        <f t="array" ref="AS134">VLOOKUP($R134,武学奇术!$A:$ZZ,8,FALSE)+SUM(_xlfn.XLOOKUP(S134:AG134,增益!$A:$A,增益!$H:$H,0))</f>
        <v>0</v>
      </c>
      <c r="AT134">
        <f t="shared" ref="AT134:AT144" si="64">$D$11*(1+$AS134)</f>
        <v>680.02</v>
      </c>
      <c r="AU134">
        <f t="shared" ref="AU134:AU144" si="65">$E$11*(1+$AS134)</f>
        <v>1288.54</v>
      </c>
      <c r="AV134" s="26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26" cm="1">
        <f t="array" ref="AW134">$G$11+VLOOKUP($R134,武学奇术!$A:$ZZ,10,FALSE)+SUM(_xlfn.XLOOKUP(S134:AG134,增益!$A:$A,增益!$J:$J,0))</f>
        <v>0.15</v>
      </c>
      <c r="AX134">
        <f t="shared" ref="AX134:AX144" si="66">$D$12*(1+$AS134)</f>
        <v>0</v>
      </c>
      <c r="AY134">
        <f t="shared" ref="AY134:AY144" si="67">$E$12*(1+$AS134)</f>
        <v>0</v>
      </c>
      <c r="AZ134" s="26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26" cm="1">
        <f t="array" ref="BA134">$G$12+VLOOKUP($R134,武学奇术!$A:$ZZ,12,FALSE)+SUM(_xlfn.XLOOKUP(S134:AG134,增益!$A:$A,增益!$L:$L,0))</f>
        <v>0</v>
      </c>
      <c r="BB134">
        <f t="shared" ref="BB134:BB144" si="68">$D$13*(1+$AS134)</f>
        <v>0</v>
      </c>
      <c r="BC134">
        <f t="shared" ref="BC134:BC144" si="69">$E$13*(1+$AS134)</f>
        <v>0</v>
      </c>
      <c r="BD134" s="26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26" cm="1">
        <f t="array" ref="BE134">$G$13+VLOOKUP($R134,武学奇术!$A:$ZZ,14,FALSE)+SUM(_xlfn.XLOOKUP(S134:AG134,增益!$A:$A,增益!$N:$N,0))</f>
        <v>0</v>
      </c>
      <c r="BF134">
        <f t="shared" ref="BF134:BF144" si="70">$D$14*(1+$AS134)</f>
        <v>0</v>
      </c>
      <c r="BG134">
        <f t="shared" ref="BG134:BG144" si="71">$E$14*(1+$AS134)</f>
        <v>0</v>
      </c>
      <c r="BH134" s="26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26" cm="1">
        <f t="array" ref="BI134">$G$14+VLOOKUP($R134,武学奇术!$A:$ZZ,16,FALSE)+SUM(_xlfn.XLOOKUP(S134:AG134,增益!$A:$A,增益!$P:$P,0))</f>
        <v>0</v>
      </c>
      <c r="BJ134" s="21">
        <f>MIN(IF(VLOOKUP($R134,武学奇术!$A:$ZZ,23,FALSE)=1,100%,$B$8),100%)</f>
        <v>0.8229</v>
      </c>
      <c r="BK134" s="21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0.2285</v>
      </c>
      <c r="BL134" s="21" cm="1">
        <f t="array" ref="BL134">1+$B$13+VLOOKUP($R134,武学奇术!$A:$ZZ,18,FALSE)+SUM(_xlfn.XLOOKUP(S134:AG134,增益!$A:$A,增益!$R:$R,0))</f>
        <v>1.5</v>
      </c>
      <c r="BM134" s="21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0.4495</v>
      </c>
      <c r="BN134" s="21" cm="1">
        <f t="array" ref="BN134">1+$B$14+VLOOKUP($R134,武学奇术!$A:$ZZ,20,FALSE)+SUM(_xlfn.XLOOKUP(S134:AG134,增益!$A:$A,增益!$T:$T,0))</f>
        <v>1.602</v>
      </c>
      <c r="BO134" s="21">
        <f t="shared" ref="BO134:BO144" si="72">MIN((1-BM134)*BJ134,BJ134*BK134)</f>
        <v>0.18803265</v>
      </c>
      <c r="BP134" s="21">
        <f t="shared" ref="BP134:BP144" si="73">1-BM134-BO134-BQ134</f>
        <v>0.36246735</v>
      </c>
      <c r="BQ134" s="21">
        <f>IF(VLOOKUP($R134,武学奇术!$A:$ZZ,22,FALSE)=1,0,(1-$BJ134))*(1-$BM134)</f>
        <v>0</v>
      </c>
      <c r="BR134" s="21" cm="1">
        <f t="array" ref="BR134">SUM(_xlfn.XLOOKUP(S134:AG134,增益!$A:$A,增益!$W:$W,0))+$I$5</f>
        <v>0.16</v>
      </c>
    </row>
    <row r="135" spans="6:70">
      <c r="K135" s="24">
        <f>$L135*VLOOKUP($R135,武学奇术!$A:$ZZ,31,FALSE)</f>
        <v>40548.4221512986</v>
      </c>
      <c r="L135" s="24">
        <f t="shared" si="63"/>
        <v>40548.4221512986</v>
      </c>
      <c r="M135" s="24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36373.1743354525</v>
      </c>
      <c r="N135" s="24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58036.8328538111</v>
      </c>
      <c r="O135" s="24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24248.7828903017</v>
      </c>
      <c r="P135" s="24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12269.8299168012</v>
      </c>
      <c r="Q135" s="31">
        <v>1</v>
      </c>
      <c r="R135" s="32" t="s">
        <v>86</v>
      </c>
      <c r="S135" s="32" t="s">
        <v>87</v>
      </c>
      <c r="T135" s="32" t="s">
        <v>104</v>
      </c>
      <c r="U135" s="32" t="s">
        <v>73</v>
      </c>
      <c r="V135" s="32" t="s">
        <v>73</v>
      </c>
      <c r="W135" s="32" t="s">
        <v>73</v>
      </c>
      <c r="X135" s="32" t="s">
        <v>127</v>
      </c>
      <c r="Y135" s="32" t="s">
        <v>179</v>
      </c>
      <c r="Z135" s="32" t="s">
        <v>182</v>
      </c>
      <c r="AA135" s="32" t="s">
        <v>81</v>
      </c>
      <c r="AB135" s="32" t="s">
        <v>75</v>
      </c>
      <c r="AC135" s="32" t="s">
        <v>89</v>
      </c>
      <c r="AD135" s="32" t="s">
        <v>82</v>
      </c>
      <c r="AE135" s="32" t="s">
        <v>183</v>
      </c>
      <c r="AF135" s="32" t="s">
        <v>73</v>
      </c>
      <c r="AG135" s="32" t="s">
        <v>178</v>
      </c>
      <c r="AH135" t="str">
        <f>VLOOKUP($R135,武学奇术!$A:$ZZ,25,FALSE)</f>
        <v>剑</v>
      </c>
      <c r="AI135" s="21">
        <f>VLOOKUP($R135,武学奇术!$A:$ZZ,26,FALSE)</f>
        <v>1.1781</v>
      </c>
      <c r="AJ135" s="22">
        <f>VLOOKUP($R135,武学奇术!$A:$ZZ,27,FALSE)*(1+IF(OR($AH135=$F$4,$AH135=$F$5),$B$22,0))</f>
        <v>489</v>
      </c>
      <c r="AK135" s="21">
        <f>VLOOKUP($R135,武学奇术!$A:$ZZ,28,FALSE)</f>
        <v>1.7672</v>
      </c>
      <c r="AL135" s="22">
        <f>VLOOKUP($R135,武学奇术!$A:$ZZ,29,FALSE)*(1+IF(OR($AH135=$F$4,$AH135=$F$5),$B$22,0))</f>
        <v>265.5</v>
      </c>
      <c r="AM135" s="21" cm="1">
        <f t="array" ref="AM135">$G$3+IFERROR(VLOOKUP($AH135,$F$4:$G$7,2,FALSE),0)+VLOOKUP($R135,武学奇术!$A:$ZZ,2,FALSE)+SUM(_xlfn.XLOOKUP($S135:$AG135,增益!$A:$A,增益!$B:$B,0))</f>
        <v>1.0091</v>
      </c>
      <c r="AN135" s="21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1831.48</v>
      </c>
      <c r="AP135" cm="1">
        <f t="array" ref="AP135">$E$10*(1+$AN135)+VLOOKUP($R135,武学奇术!$A:$ZZ,4,FALSE)+SUM(_xlfn.XLOOKUP($S135:$AG135,增益!$A:$A,增益!$D:$D,0))-$I$2</f>
        <v>7763.56</v>
      </c>
      <c r="AQ135" s="26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0.294</v>
      </c>
      <c r="AR135" s="26" cm="1">
        <f t="array" ref="AR135">$G$10+VLOOKUP($R135,武学奇术!$A:$ZZ,7,FALSE)+SUM(_xlfn.XLOOKUP(S135:AG135,增益!$A:$A,增益!$G:$G,0))</f>
        <v>0</v>
      </c>
      <c r="AS135" s="21" cm="1">
        <f t="array" ref="AS135">VLOOKUP($R135,武学奇术!$A:$ZZ,8,FALSE)+SUM(_xlfn.XLOOKUP(S135:AG135,增益!$A:$A,增益!$H:$H,0))</f>
        <v>0</v>
      </c>
      <c r="AT135">
        <f t="shared" si="64"/>
        <v>680.02</v>
      </c>
      <c r="AU135">
        <f t="shared" si="65"/>
        <v>1288.54</v>
      </c>
      <c r="AV135" s="26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26" cm="1">
        <f t="array" ref="AW135">$G$11+VLOOKUP($R135,武学奇术!$A:$ZZ,10,FALSE)+SUM(_xlfn.XLOOKUP(S135:AG135,增益!$A:$A,增益!$J:$J,0))</f>
        <v>0.15</v>
      </c>
      <c r="AX135">
        <f t="shared" si="66"/>
        <v>0</v>
      </c>
      <c r="AY135">
        <f t="shared" si="67"/>
        <v>0</v>
      </c>
      <c r="AZ135" s="26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26" cm="1">
        <f t="array" ref="BA135">$G$12+VLOOKUP($R135,武学奇术!$A:$ZZ,12,FALSE)+SUM(_xlfn.XLOOKUP(S135:AG135,增益!$A:$A,增益!$L:$L,0))</f>
        <v>0</v>
      </c>
      <c r="BB135">
        <f t="shared" si="68"/>
        <v>0</v>
      </c>
      <c r="BC135">
        <f t="shared" si="69"/>
        <v>0</v>
      </c>
      <c r="BD135" s="26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26" cm="1">
        <f t="array" ref="BE135">$G$13+VLOOKUP($R135,武学奇术!$A:$ZZ,14,FALSE)+SUM(_xlfn.XLOOKUP(S135:AG135,增益!$A:$A,增益!$N:$N,0))</f>
        <v>0</v>
      </c>
      <c r="BF135">
        <f t="shared" si="70"/>
        <v>0</v>
      </c>
      <c r="BG135">
        <f t="shared" si="71"/>
        <v>0</v>
      </c>
      <c r="BH135" s="26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26" cm="1">
        <f t="array" ref="BI135">$G$14+VLOOKUP($R135,武学奇术!$A:$ZZ,16,FALSE)+SUM(_xlfn.XLOOKUP(S135:AG135,增益!$A:$A,增益!$P:$P,0))</f>
        <v>0</v>
      </c>
      <c r="BJ135" s="21">
        <f>MIN(IF(VLOOKUP($R135,武学奇术!$A:$ZZ,23,FALSE)=1,100%,$B$8),100%)</f>
        <v>0.8229</v>
      </c>
      <c r="BK135" s="21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0.2285</v>
      </c>
      <c r="BL135" s="21" cm="1">
        <f t="array" ref="BL135">1+$B$13+VLOOKUP($R135,武学奇术!$A:$ZZ,18,FALSE)+SUM(_xlfn.XLOOKUP(S135:AG135,增益!$A:$A,增益!$R:$R,0))</f>
        <v>1.5</v>
      </c>
      <c r="BM135" s="21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0.4495</v>
      </c>
      <c r="BN135" s="21" cm="1">
        <f t="array" ref="BN135">1+$B$14+VLOOKUP($R135,武学奇术!$A:$ZZ,20,FALSE)+SUM(_xlfn.XLOOKUP(S135:AG135,增益!$A:$A,增益!$T:$T,0))</f>
        <v>1.602</v>
      </c>
      <c r="BO135" s="21">
        <f t="shared" si="72"/>
        <v>0.18803265</v>
      </c>
      <c r="BP135" s="21">
        <f t="shared" si="73"/>
        <v>0.2649738</v>
      </c>
      <c r="BQ135" s="21">
        <f>IF(VLOOKUP($R135,武学奇术!$A:$ZZ,22,FALSE)=1,0,(1-$BJ135))*(1-$BM135)</f>
        <v>0.09749355</v>
      </c>
      <c r="BR135" s="21" cm="1">
        <f t="array" ref="BR135">SUM(_xlfn.XLOOKUP(S135:AG135,增益!$A:$A,增益!$W:$W,0))+$I$5</f>
        <v>0.16</v>
      </c>
    </row>
    <row r="136" spans="6:70">
      <c r="K136" s="24">
        <f>$L136*VLOOKUP($R136,武学奇术!$A:$ZZ,31,FALSE)</f>
        <v>148181.770481166</v>
      </c>
      <c r="L136" s="24">
        <f t="shared" si="63"/>
        <v>246969.61746861</v>
      </c>
      <c r="M136" s="24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134032.429760446</v>
      </c>
      <c r="N136" s="24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246969.61746861</v>
      </c>
      <c r="O136" s="24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89354.9531736307</v>
      </c>
      <c r="P136" s="24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40118.6507532039</v>
      </c>
      <c r="Q136" s="31">
        <v>1</v>
      </c>
      <c r="R136" s="32" t="s">
        <v>120</v>
      </c>
      <c r="S136" s="32" t="s">
        <v>87</v>
      </c>
      <c r="T136" s="32" t="s">
        <v>96</v>
      </c>
      <c r="U136" s="32" t="s">
        <v>97</v>
      </c>
      <c r="V136" s="32" t="s">
        <v>98</v>
      </c>
      <c r="W136" s="32" t="s">
        <v>73</v>
      </c>
      <c r="X136" s="32" t="s">
        <v>127</v>
      </c>
      <c r="Y136" s="32" t="s">
        <v>179</v>
      </c>
      <c r="Z136" s="32" t="s">
        <v>182</v>
      </c>
      <c r="AA136" s="32" t="s">
        <v>81</v>
      </c>
      <c r="AB136" s="32" t="s">
        <v>75</v>
      </c>
      <c r="AC136" s="32" t="s">
        <v>89</v>
      </c>
      <c r="AD136" s="32" t="s">
        <v>82</v>
      </c>
      <c r="AE136" s="32" t="s">
        <v>183</v>
      </c>
      <c r="AF136" s="32" t="s">
        <v>73</v>
      </c>
      <c r="AG136" s="32" t="s">
        <v>178</v>
      </c>
      <c r="AH136" t="str">
        <f>VLOOKUP($R136,武学奇术!$A:$ZZ,25,FALSE)</f>
        <v>剑</v>
      </c>
      <c r="AI136" s="21">
        <f>VLOOKUP($R136,武学奇术!$A:$ZZ,26,FALSE)</f>
        <v>2.52</v>
      </c>
      <c r="AJ136" s="22">
        <f>VLOOKUP($R136,武学奇术!$A:$ZZ,27,FALSE)*(1+IF(OR($AH136=$F$4,$AH136=$F$5),$B$22,0))</f>
        <v>0</v>
      </c>
      <c r="AK136" s="21">
        <f>VLOOKUP($R136,武学奇术!$A:$ZZ,28,FALSE)</f>
        <v>3.78</v>
      </c>
      <c r="AL136" s="22">
        <f>VLOOKUP($R136,武学奇术!$A:$ZZ,29,FALSE)*(1+IF(OR($AH136=$F$4,$AH136=$F$5),$B$22,0))</f>
        <v>0</v>
      </c>
      <c r="AM136" s="21" cm="1">
        <f t="array" ref="AM136">$G$3+IFERROR(VLOOKUP($AH136,$F$4:$G$7,2,FALSE),0)+VLOOKUP($R136,武学奇术!$A:$ZZ,2,FALSE)+SUM(_xlfn.XLOOKUP($S136:$AG136,增益!$A:$A,增益!$B:$B,0))</f>
        <v>1.7591</v>
      </c>
      <c r="AN136" s="21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1831.48</v>
      </c>
      <c r="AP136" cm="1">
        <f t="array" ref="AP136">$E$10*(1+$AN136)+VLOOKUP($R136,武学奇术!$A:$ZZ,4,FALSE)+SUM(_xlfn.XLOOKUP($S136:$AG136,增益!$A:$A,增益!$D:$D,0))-$I$2</f>
        <v>7763.56</v>
      </c>
      <c r="AQ136" s="26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0.369</v>
      </c>
      <c r="AR136" s="26" cm="1">
        <f t="array" ref="AR136">$G$10+VLOOKUP($R136,武学奇术!$A:$ZZ,7,FALSE)+SUM(_xlfn.XLOOKUP(S136:AG136,增益!$A:$A,增益!$G:$G,0))</f>
        <v>0</v>
      </c>
      <c r="AS136" s="21" cm="1">
        <f t="array" ref="AS136">VLOOKUP($R136,武学奇术!$A:$ZZ,8,FALSE)+SUM(_xlfn.XLOOKUP(S136:AG136,增益!$A:$A,增益!$H:$H,0))</f>
        <v>0</v>
      </c>
      <c r="AT136">
        <f t="shared" si="64"/>
        <v>680.02</v>
      </c>
      <c r="AU136">
        <f t="shared" si="65"/>
        <v>1288.54</v>
      </c>
      <c r="AV136" s="26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0.075</v>
      </c>
      <c r="AW136" s="26" cm="1">
        <f t="array" ref="AW136">$G$11+VLOOKUP($R136,武学奇术!$A:$ZZ,10,FALSE)+SUM(_xlfn.XLOOKUP(S136:AG136,增益!$A:$A,增益!$J:$J,0))</f>
        <v>0.15</v>
      </c>
      <c r="AX136">
        <f t="shared" si="66"/>
        <v>0</v>
      </c>
      <c r="AY136">
        <f t="shared" si="67"/>
        <v>0</v>
      </c>
      <c r="AZ136" s="26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26" cm="1">
        <f t="array" ref="BA136">$G$12+VLOOKUP($R136,武学奇术!$A:$ZZ,12,FALSE)+SUM(_xlfn.XLOOKUP(S136:AG136,增益!$A:$A,增益!$L:$L,0))</f>
        <v>0</v>
      </c>
      <c r="BB136">
        <f t="shared" si="68"/>
        <v>0</v>
      </c>
      <c r="BC136">
        <f t="shared" si="69"/>
        <v>0</v>
      </c>
      <c r="BD136" s="26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26" cm="1">
        <f t="array" ref="BE136">$G$13+VLOOKUP($R136,武学奇术!$A:$ZZ,14,FALSE)+SUM(_xlfn.XLOOKUP(S136:AG136,增益!$A:$A,增益!$N:$N,0))</f>
        <v>0</v>
      </c>
      <c r="BF136">
        <f t="shared" si="70"/>
        <v>0</v>
      </c>
      <c r="BG136">
        <f t="shared" si="71"/>
        <v>0</v>
      </c>
      <c r="BH136" s="26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26" cm="1">
        <f t="array" ref="BI136">$G$14+VLOOKUP($R136,武学奇术!$A:$ZZ,16,FALSE)+SUM(_xlfn.XLOOKUP(S136:AG136,增益!$A:$A,增益!$P:$P,0))</f>
        <v>0</v>
      </c>
      <c r="BJ136" s="21">
        <f>MIN(IF(VLOOKUP($R136,武学奇术!$A:$ZZ,23,FALSE)=1,100%,$B$8),100%)</f>
        <v>0.8229</v>
      </c>
      <c r="BK136" s="21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</v>
      </c>
      <c r="BL136" s="21" cm="1">
        <f t="array" ref="BL136">1+$B$13+VLOOKUP($R136,武学奇术!$A:$ZZ,18,FALSE)+SUM(_xlfn.XLOOKUP(S136:AG136,增益!$A:$A,增益!$R:$R,0))</f>
        <v>1.5</v>
      </c>
      <c r="BM136" s="21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1</v>
      </c>
      <c r="BN136" s="21" cm="1">
        <f t="array" ref="BN136">1+$B$14+VLOOKUP($R136,武学奇术!$A:$ZZ,20,FALSE)+SUM(_xlfn.XLOOKUP(S136:AG136,增益!$A:$A,增益!$T:$T,0))</f>
        <v>1.782</v>
      </c>
      <c r="BO136" s="21">
        <f t="shared" si="72"/>
        <v>0</v>
      </c>
      <c r="BP136" s="21">
        <f t="shared" si="73"/>
        <v>0</v>
      </c>
      <c r="BQ136" s="21">
        <f>IF(VLOOKUP($R136,武学奇术!$A:$ZZ,22,FALSE)=1,0,(1-$BJ136))*(1-$BM136)</f>
        <v>0</v>
      </c>
      <c r="BR136" s="21" cm="1">
        <f t="array" ref="BR136">SUM(_xlfn.XLOOKUP(S136:AG136,增益!$A:$A,增益!$W:$W,0))+$I$5</f>
        <v>0.16</v>
      </c>
    </row>
    <row r="137" spans="6:70">
      <c r="K137" s="24">
        <f>$L137*VLOOKUP($R137,武学奇术!$A:$ZZ,31,FALSE)</f>
        <v>98282.0083081889</v>
      </c>
      <c r="L137" s="24">
        <f t="shared" si="63"/>
        <v>163803.347180315</v>
      </c>
      <c r="M137" s="24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134032.429760446</v>
      </c>
      <c r="N137" s="24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246969.61746861</v>
      </c>
      <c r="O137" s="24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89354.9531736307</v>
      </c>
      <c r="P137" s="24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40118.6507532039</v>
      </c>
      <c r="Q137" s="31">
        <v>1</v>
      </c>
      <c r="R137" s="32" t="s">
        <v>95</v>
      </c>
      <c r="S137" s="32" t="s">
        <v>87</v>
      </c>
      <c r="T137" s="32" t="s">
        <v>96</v>
      </c>
      <c r="U137" s="32" t="s">
        <v>97</v>
      </c>
      <c r="V137" s="32" t="s">
        <v>98</v>
      </c>
      <c r="W137" s="32" t="s">
        <v>73</v>
      </c>
      <c r="X137" s="32" t="s">
        <v>127</v>
      </c>
      <c r="Y137" s="32" t="s">
        <v>179</v>
      </c>
      <c r="Z137" s="32" t="s">
        <v>182</v>
      </c>
      <c r="AA137" s="32" t="s">
        <v>81</v>
      </c>
      <c r="AB137" s="32" t="s">
        <v>75</v>
      </c>
      <c r="AC137" s="32" t="s">
        <v>76</v>
      </c>
      <c r="AD137" s="32" t="s">
        <v>82</v>
      </c>
      <c r="AE137" s="32" t="s">
        <v>183</v>
      </c>
      <c r="AF137" s="32" t="s">
        <v>73</v>
      </c>
      <c r="AG137" s="32" t="s">
        <v>178</v>
      </c>
      <c r="AH137" t="str">
        <f>VLOOKUP($R137,武学奇术!$A:$ZZ,25,FALSE)</f>
        <v>剑</v>
      </c>
      <c r="AI137" s="21">
        <f>VLOOKUP($R137,武学奇术!$A:$ZZ,26,FALSE)</f>
        <v>2.52</v>
      </c>
      <c r="AJ137" s="22">
        <f>VLOOKUP($R137,武学奇术!$A:$ZZ,27,FALSE)*(1+IF(OR($AH137=$F$4,$AH137=$F$5),$B$22,0))</f>
        <v>0</v>
      </c>
      <c r="AK137" s="21">
        <f>VLOOKUP($R137,武学奇术!$A:$ZZ,28,FALSE)</f>
        <v>3.78</v>
      </c>
      <c r="AL137" s="22">
        <f>VLOOKUP($R137,武学奇术!$A:$ZZ,29,FALSE)*(1+IF(OR($AH137=$F$4,$AH137=$F$5),$B$22,0))</f>
        <v>0</v>
      </c>
      <c r="AM137" s="21" cm="1">
        <f t="array" ref="AM137">$G$3+IFERROR(VLOOKUP($AH137,$F$4:$G$7,2,FALSE),0)+VLOOKUP($R137,武学奇术!$A:$ZZ,2,FALSE)+SUM(_xlfn.XLOOKUP($S137:$AG137,增益!$A:$A,增益!$B:$B,0))</f>
        <v>1.7591</v>
      </c>
      <c r="AN137" s="21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1831.48</v>
      </c>
      <c r="AP137" cm="1">
        <f t="array" ref="AP137">$E$10*(1+$AN137)+VLOOKUP($R137,武学奇术!$A:$ZZ,4,FALSE)+SUM(_xlfn.XLOOKUP($S137:$AG137,增益!$A:$A,增益!$D:$D,0))-$I$2</f>
        <v>7763.56</v>
      </c>
      <c r="AQ137" s="26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0.369</v>
      </c>
      <c r="AR137" s="26" cm="1">
        <f t="array" ref="AR137">$G$10+VLOOKUP($R137,武学奇术!$A:$ZZ,7,FALSE)+SUM(_xlfn.XLOOKUP(S137:AG137,增益!$A:$A,增益!$G:$G,0))</f>
        <v>0</v>
      </c>
      <c r="AS137" s="21" cm="1">
        <f t="array" ref="AS137">VLOOKUP($R137,武学奇术!$A:$ZZ,8,FALSE)+SUM(_xlfn.XLOOKUP(S137:AG137,增益!$A:$A,增益!$H:$H,0))</f>
        <v>0</v>
      </c>
      <c r="AT137">
        <f t="shared" si="64"/>
        <v>680.02</v>
      </c>
      <c r="AU137">
        <f t="shared" si="65"/>
        <v>1288.54</v>
      </c>
      <c r="AV137" s="26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0.075</v>
      </c>
      <c r="AW137" s="26" cm="1">
        <f t="array" ref="AW137">$G$11+VLOOKUP($R137,武学奇术!$A:$ZZ,10,FALSE)+SUM(_xlfn.XLOOKUP(S137:AG137,增益!$A:$A,增益!$J:$J,0))</f>
        <v>0.15</v>
      </c>
      <c r="AX137">
        <f t="shared" si="66"/>
        <v>0</v>
      </c>
      <c r="AY137">
        <f t="shared" si="67"/>
        <v>0</v>
      </c>
      <c r="AZ137" s="26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26" cm="1">
        <f t="array" ref="BA137">$G$12+VLOOKUP($R137,武学奇术!$A:$ZZ,12,FALSE)+SUM(_xlfn.XLOOKUP(S137:AG137,增益!$A:$A,增益!$L:$L,0))</f>
        <v>0</v>
      </c>
      <c r="BB137">
        <f t="shared" si="68"/>
        <v>0</v>
      </c>
      <c r="BC137">
        <f t="shared" si="69"/>
        <v>0</v>
      </c>
      <c r="BD137" s="26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26" cm="1">
        <f t="array" ref="BE137">$G$13+VLOOKUP($R137,武学奇术!$A:$ZZ,14,FALSE)+SUM(_xlfn.XLOOKUP(S137:AG137,增益!$A:$A,增益!$N:$N,0))</f>
        <v>0</v>
      </c>
      <c r="BF137">
        <f t="shared" si="70"/>
        <v>0</v>
      </c>
      <c r="BG137">
        <f t="shared" si="71"/>
        <v>0</v>
      </c>
      <c r="BH137" s="26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26" cm="1">
        <f t="array" ref="BI137">$G$14+VLOOKUP($R137,武学奇术!$A:$ZZ,16,FALSE)+SUM(_xlfn.XLOOKUP(S137:AG137,增益!$A:$A,增益!$P:$P,0))</f>
        <v>0</v>
      </c>
      <c r="BJ137" s="21">
        <f>MIN(IF(VLOOKUP($R137,武学奇术!$A:$ZZ,23,FALSE)=1,100%,$B$8),100%)</f>
        <v>0.8229</v>
      </c>
      <c r="BK137" s="21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0.2285</v>
      </c>
      <c r="BL137" s="21" cm="1">
        <f t="array" ref="BL137">1+$B$13+VLOOKUP($R137,武学奇术!$A:$ZZ,18,FALSE)+SUM(_xlfn.XLOOKUP(S137:AG137,增益!$A:$A,增益!$R:$R,0))</f>
        <v>1.5</v>
      </c>
      <c r="BM137" s="21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0.4495</v>
      </c>
      <c r="BN137" s="21" cm="1">
        <f t="array" ref="BN137">1+$B$14+VLOOKUP($R137,武学奇术!$A:$ZZ,20,FALSE)+SUM(_xlfn.XLOOKUP(S137:AG137,增益!$A:$A,增益!$T:$T,0))</f>
        <v>1.782</v>
      </c>
      <c r="BO137" s="21">
        <f t="shared" si="72"/>
        <v>0.18803265</v>
      </c>
      <c r="BP137" s="21">
        <f t="shared" si="73"/>
        <v>0.2649738</v>
      </c>
      <c r="BQ137" s="21">
        <f>IF(VLOOKUP($R137,武学奇术!$A:$ZZ,22,FALSE)=1,0,(1-$BJ137))*(1-$BM137)</f>
        <v>0.09749355</v>
      </c>
      <c r="BR137" s="21" cm="1">
        <f t="array" ref="BR137">SUM(_xlfn.XLOOKUP(S137:AG137,增益!$A:$A,增益!$W:$W,0))+$I$5</f>
        <v>0.16</v>
      </c>
    </row>
    <row r="138" spans="6:70">
      <c r="K138" s="24">
        <f>$L138*VLOOKUP($R138,武学奇术!$A:$ZZ,31,FALSE)</f>
        <v>32359.580866189</v>
      </c>
      <c r="L138" s="24">
        <f t="shared" si="63"/>
        <v>32359.580866189</v>
      </c>
      <c r="M138" s="24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29027.7515741952</v>
      </c>
      <c r="N138" s="24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46315.8915569601</v>
      </c>
      <c r="O138" s="24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19351.8343827968</v>
      </c>
      <c r="P138" s="24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9792.37565887692</v>
      </c>
      <c r="Q138" s="31">
        <v>1</v>
      </c>
      <c r="R138" s="32" t="s">
        <v>124</v>
      </c>
      <c r="S138" s="32" t="s">
        <v>87</v>
      </c>
      <c r="T138" s="32" t="s">
        <v>104</v>
      </c>
      <c r="U138" s="32" t="s">
        <v>73</v>
      </c>
      <c r="V138" s="32" t="s">
        <v>73</v>
      </c>
      <c r="W138" s="32" t="s">
        <v>73</v>
      </c>
      <c r="X138" s="32" t="s">
        <v>127</v>
      </c>
      <c r="Y138" s="32" t="s">
        <v>179</v>
      </c>
      <c r="Z138" s="32" t="s">
        <v>182</v>
      </c>
      <c r="AA138" s="32" t="s">
        <v>81</v>
      </c>
      <c r="AB138" s="32" t="s">
        <v>75</v>
      </c>
      <c r="AC138" s="32" t="s">
        <v>76</v>
      </c>
      <c r="AD138" s="32" t="s">
        <v>82</v>
      </c>
      <c r="AE138" s="32" t="s">
        <v>183</v>
      </c>
      <c r="AF138" s="32" t="s">
        <v>73</v>
      </c>
      <c r="AG138" s="32" t="s">
        <v>178</v>
      </c>
      <c r="AH138" t="str">
        <f>VLOOKUP($R138,武学奇术!$A:$ZZ,25,FALSE)</f>
        <v>剑</v>
      </c>
      <c r="AI138" s="21">
        <f>VLOOKUP($R138,武学奇术!$A:$ZZ,26,FALSE)</f>
        <v>0.94015</v>
      </c>
      <c r="AJ138" s="22">
        <f>VLOOKUP($R138,武学奇术!$A:$ZZ,27,FALSE)*(1+IF(OR($AH138=$F$4,$AH138=$F$5),$B$22,0))</f>
        <v>390</v>
      </c>
      <c r="AK138" s="21">
        <f>VLOOKUP($R138,武学奇术!$A:$ZZ,28,FALSE)</f>
        <v>1.41025</v>
      </c>
      <c r="AL138" s="22">
        <f>VLOOKUP($R138,武学奇术!$A:$ZZ,29,FALSE)*(1+IF(OR($AH138=$F$4,$AH138=$F$5),$B$22,0))</f>
        <v>212.25</v>
      </c>
      <c r="AM138" s="21" cm="1">
        <f t="array" ref="AM138">$G$3+IFERROR(VLOOKUP($AH138,$F$4:$G$7,2,FALSE),0)+VLOOKUP($R138,武学奇术!$A:$ZZ,2,FALSE)+SUM(_xlfn.XLOOKUP($S138:$AG138,增益!$A:$A,增益!$B:$B,0))</f>
        <v>1.0091</v>
      </c>
      <c r="AN138" s="21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1831.48</v>
      </c>
      <c r="AP138" cm="1">
        <f t="array" ref="AP138">$E$10*(1+$AN138)+VLOOKUP($R138,武学奇术!$A:$ZZ,4,FALSE)+SUM(_xlfn.XLOOKUP($S138:$AG138,增益!$A:$A,增益!$D:$D,0))-$I$2</f>
        <v>7763.56</v>
      </c>
      <c r="AQ138" s="26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0.294</v>
      </c>
      <c r="AR138" s="26" cm="1">
        <f t="array" ref="AR138">$G$10+VLOOKUP($R138,武学奇术!$A:$ZZ,7,FALSE)+SUM(_xlfn.XLOOKUP(S138:AG138,增益!$A:$A,增益!$G:$G,0))</f>
        <v>0</v>
      </c>
      <c r="AS138" s="21" cm="1">
        <f t="array" ref="AS138">VLOOKUP($R138,武学奇术!$A:$ZZ,8,FALSE)+SUM(_xlfn.XLOOKUP(S138:AG138,增益!$A:$A,增益!$H:$H,0))</f>
        <v>0</v>
      </c>
      <c r="AT138">
        <f t="shared" si="64"/>
        <v>680.02</v>
      </c>
      <c r="AU138">
        <f t="shared" si="65"/>
        <v>1288.54</v>
      </c>
      <c r="AV138" s="26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26" cm="1">
        <f t="array" ref="AW138">$G$11+VLOOKUP($R138,武学奇术!$A:$ZZ,10,FALSE)+SUM(_xlfn.XLOOKUP(S138:AG138,增益!$A:$A,增益!$J:$J,0))</f>
        <v>0.15</v>
      </c>
      <c r="AX138">
        <f t="shared" si="66"/>
        <v>0</v>
      </c>
      <c r="AY138">
        <f t="shared" si="67"/>
        <v>0</v>
      </c>
      <c r="AZ138" s="26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26" cm="1">
        <f t="array" ref="BA138">$G$12+VLOOKUP($R138,武学奇术!$A:$ZZ,12,FALSE)+SUM(_xlfn.XLOOKUP(S138:AG138,增益!$A:$A,增益!$L:$L,0))</f>
        <v>0</v>
      </c>
      <c r="BB138">
        <f t="shared" si="68"/>
        <v>0</v>
      </c>
      <c r="BC138">
        <f t="shared" si="69"/>
        <v>0</v>
      </c>
      <c r="BD138" s="26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26" cm="1">
        <f t="array" ref="BE138">$G$13+VLOOKUP($R138,武学奇术!$A:$ZZ,14,FALSE)+SUM(_xlfn.XLOOKUP(S138:AG138,增益!$A:$A,增益!$N:$N,0))</f>
        <v>0</v>
      </c>
      <c r="BF138">
        <f t="shared" si="70"/>
        <v>0</v>
      </c>
      <c r="BG138">
        <f t="shared" si="71"/>
        <v>0</v>
      </c>
      <c r="BH138" s="26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26" cm="1">
        <f t="array" ref="BI138">$G$14+VLOOKUP($R138,武学奇术!$A:$ZZ,16,FALSE)+SUM(_xlfn.XLOOKUP(S138:AG138,增益!$A:$A,增益!$P:$P,0))</f>
        <v>0</v>
      </c>
      <c r="BJ138" s="21">
        <f>MIN(IF(VLOOKUP($R138,武学奇术!$A:$ZZ,23,FALSE)=1,100%,$B$8),100%)</f>
        <v>0.8229</v>
      </c>
      <c r="BK138" s="21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0.2285</v>
      </c>
      <c r="BL138" s="21" cm="1">
        <f t="array" ref="BL138">1+$B$13+VLOOKUP($R138,武学奇术!$A:$ZZ,18,FALSE)+SUM(_xlfn.XLOOKUP(S138:AG138,增益!$A:$A,增益!$R:$R,0))</f>
        <v>1.5</v>
      </c>
      <c r="BM138" s="21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0.4495</v>
      </c>
      <c r="BN138" s="21" cm="1">
        <f t="array" ref="BN138">1+$B$14+VLOOKUP($R138,武学奇术!$A:$ZZ,20,FALSE)+SUM(_xlfn.XLOOKUP(S138:AG138,增益!$A:$A,增益!$T:$T,0))</f>
        <v>1.602</v>
      </c>
      <c r="BO138" s="21">
        <f t="shared" si="72"/>
        <v>0.18803265</v>
      </c>
      <c r="BP138" s="21">
        <f t="shared" si="73"/>
        <v>0.2649738</v>
      </c>
      <c r="BQ138" s="21">
        <f>IF(VLOOKUP($R138,武学奇术!$A:$ZZ,22,FALSE)=1,0,(1-$BJ138))*(1-$BM138)</f>
        <v>0.09749355</v>
      </c>
      <c r="BR138" s="21" cm="1">
        <f t="array" ref="BR138">SUM(_xlfn.XLOOKUP(S138:AG138,增益!$A:$A,增益!$W:$W,0))+$I$5</f>
        <v>0.16</v>
      </c>
    </row>
    <row r="139" spans="6:70">
      <c r="K139" s="24">
        <f>$L139*VLOOKUP($R139,武学奇术!$A:$ZZ,31,FALSE)</f>
        <v>98282.0083081889</v>
      </c>
      <c r="L139" s="24">
        <f t="shared" si="63"/>
        <v>163803.347180315</v>
      </c>
      <c r="M139" s="24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134032.429760446</v>
      </c>
      <c r="N139" s="24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246969.61746861</v>
      </c>
      <c r="O139" s="24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89354.9531736307</v>
      </c>
      <c r="P139" s="24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40118.6507532039</v>
      </c>
      <c r="Q139" s="31">
        <v>1</v>
      </c>
      <c r="R139" s="32" t="s">
        <v>95</v>
      </c>
      <c r="S139" s="32" t="s">
        <v>87</v>
      </c>
      <c r="T139" s="32" t="s">
        <v>96</v>
      </c>
      <c r="U139" s="32" t="s">
        <v>97</v>
      </c>
      <c r="V139" s="32" t="s">
        <v>98</v>
      </c>
      <c r="W139" s="32" t="s">
        <v>73</v>
      </c>
      <c r="X139" s="32" t="s">
        <v>127</v>
      </c>
      <c r="Y139" s="32" t="s">
        <v>179</v>
      </c>
      <c r="Z139" s="32" t="s">
        <v>182</v>
      </c>
      <c r="AA139" s="32" t="s">
        <v>81</v>
      </c>
      <c r="AB139" s="32" t="s">
        <v>75</v>
      </c>
      <c r="AC139" s="32" t="s">
        <v>89</v>
      </c>
      <c r="AD139" s="32" t="s">
        <v>82</v>
      </c>
      <c r="AE139" s="32" t="s">
        <v>183</v>
      </c>
      <c r="AF139" s="32" t="s">
        <v>73</v>
      </c>
      <c r="AG139" s="32" t="s">
        <v>178</v>
      </c>
      <c r="AH139" t="str">
        <f>VLOOKUP($R139,武学奇术!$A:$ZZ,25,FALSE)</f>
        <v>剑</v>
      </c>
      <c r="AI139" s="21">
        <f>VLOOKUP($R139,武学奇术!$A:$ZZ,26,FALSE)</f>
        <v>2.52</v>
      </c>
      <c r="AJ139" s="22">
        <f>VLOOKUP($R139,武学奇术!$A:$ZZ,27,FALSE)*(1+IF(OR($AH139=$F$4,$AH139=$F$5),$B$22,0))</f>
        <v>0</v>
      </c>
      <c r="AK139" s="21">
        <f>VLOOKUP($R139,武学奇术!$A:$ZZ,28,FALSE)</f>
        <v>3.78</v>
      </c>
      <c r="AL139" s="22">
        <f>VLOOKUP($R139,武学奇术!$A:$ZZ,29,FALSE)*(1+IF(OR($AH139=$F$4,$AH139=$F$5),$B$22,0))</f>
        <v>0</v>
      </c>
      <c r="AM139" s="21" cm="1">
        <f t="array" ref="AM139">$G$3+IFERROR(VLOOKUP($AH139,$F$4:$G$7,2,FALSE),0)+VLOOKUP($R139,武学奇术!$A:$ZZ,2,FALSE)+SUM(_xlfn.XLOOKUP($S139:$AG139,增益!$A:$A,增益!$B:$B,0))</f>
        <v>1.7591</v>
      </c>
      <c r="AN139" s="21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1831.48</v>
      </c>
      <c r="AP139" cm="1">
        <f t="array" ref="AP139">$E$10*(1+$AN139)+VLOOKUP($R139,武学奇术!$A:$ZZ,4,FALSE)+SUM(_xlfn.XLOOKUP($S139:$AG139,增益!$A:$A,增益!$D:$D,0))-$I$2</f>
        <v>7763.56</v>
      </c>
      <c r="AQ139" s="26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0.369</v>
      </c>
      <c r="AR139" s="26" cm="1">
        <f t="array" ref="AR139">$G$10+VLOOKUP($R139,武学奇术!$A:$ZZ,7,FALSE)+SUM(_xlfn.XLOOKUP(S139:AG139,增益!$A:$A,增益!$G:$G,0))</f>
        <v>0</v>
      </c>
      <c r="AS139" s="21" cm="1">
        <f t="array" ref="AS139">VLOOKUP($R139,武学奇术!$A:$ZZ,8,FALSE)+SUM(_xlfn.XLOOKUP(S139:AG139,增益!$A:$A,增益!$H:$H,0))</f>
        <v>0</v>
      </c>
      <c r="AT139">
        <f t="shared" si="64"/>
        <v>680.02</v>
      </c>
      <c r="AU139">
        <f t="shared" si="65"/>
        <v>1288.54</v>
      </c>
      <c r="AV139" s="26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0.075</v>
      </c>
      <c r="AW139" s="26" cm="1">
        <f t="array" ref="AW139">$G$11+VLOOKUP($R139,武学奇术!$A:$ZZ,10,FALSE)+SUM(_xlfn.XLOOKUP(S139:AG139,增益!$A:$A,增益!$J:$J,0))</f>
        <v>0.15</v>
      </c>
      <c r="AX139">
        <f t="shared" si="66"/>
        <v>0</v>
      </c>
      <c r="AY139">
        <f t="shared" si="67"/>
        <v>0</v>
      </c>
      <c r="AZ139" s="26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26" cm="1">
        <f t="array" ref="BA139">$G$12+VLOOKUP($R139,武学奇术!$A:$ZZ,12,FALSE)+SUM(_xlfn.XLOOKUP(S139:AG139,增益!$A:$A,增益!$L:$L,0))</f>
        <v>0</v>
      </c>
      <c r="BB139">
        <f t="shared" si="68"/>
        <v>0</v>
      </c>
      <c r="BC139">
        <f t="shared" si="69"/>
        <v>0</v>
      </c>
      <c r="BD139" s="26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26" cm="1">
        <f t="array" ref="BE139">$G$13+VLOOKUP($R139,武学奇术!$A:$ZZ,14,FALSE)+SUM(_xlfn.XLOOKUP(S139:AG139,增益!$A:$A,增益!$N:$N,0))</f>
        <v>0</v>
      </c>
      <c r="BF139">
        <f t="shared" si="70"/>
        <v>0</v>
      </c>
      <c r="BG139">
        <f t="shared" si="71"/>
        <v>0</v>
      </c>
      <c r="BH139" s="26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26" cm="1">
        <f t="array" ref="BI139">$G$14+VLOOKUP($R139,武学奇术!$A:$ZZ,16,FALSE)+SUM(_xlfn.XLOOKUP(S139:AG139,增益!$A:$A,增益!$P:$P,0))</f>
        <v>0</v>
      </c>
      <c r="BJ139" s="21">
        <f>MIN(IF(VLOOKUP($R139,武学奇术!$A:$ZZ,23,FALSE)=1,100%,$B$8),100%)</f>
        <v>0.8229</v>
      </c>
      <c r="BK139" s="21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0.2285</v>
      </c>
      <c r="BL139" s="21" cm="1">
        <f t="array" ref="BL139">1+$B$13+VLOOKUP($R139,武学奇术!$A:$ZZ,18,FALSE)+SUM(_xlfn.XLOOKUP(S139:AG139,增益!$A:$A,增益!$R:$R,0))</f>
        <v>1.5</v>
      </c>
      <c r="BM139" s="21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0.4495</v>
      </c>
      <c r="BN139" s="21" cm="1">
        <f t="array" ref="BN139">1+$B$14+VLOOKUP($R139,武学奇术!$A:$ZZ,20,FALSE)+SUM(_xlfn.XLOOKUP(S139:AG139,增益!$A:$A,增益!$T:$T,0))</f>
        <v>1.782</v>
      </c>
      <c r="BO139" s="21">
        <f t="shared" si="72"/>
        <v>0.18803265</v>
      </c>
      <c r="BP139" s="21">
        <f t="shared" si="73"/>
        <v>0.2649738</v>
      </c>
      <c r="BQ139" s="21">
        <f>IF(VLOOKUP($R139,武学奇术!$A:$ZZ,22,FALSE)=1,0,(1-$BJ139))*(1-$BM139)</f>
        <v>0.09749355</v>
      </c>
      <c r="BR139" s="21" cm="1">
        <f t="array" ref="BR139">SUM(_xlfn.XLOOKUP(S139:AG139,增益!$A:$A,增益!$W:$W,0))+$I$5</f>
        <v>0.16</v>
      </c>
    </row>
    <row r="140" spans="6:70">
      <c r="K140" s="24">
        <f>$L140*VLOOKUP($R140,武学奇术!$A:$ZZ,31,FALSE)</f>
        <v>25597.6388302136</v>
      </c>
      <c r="L140" s="24">
        <f t="shared" si="63"/>
        <v>25597.6388302136</v>
      </c>
      <c r="M140" s="24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22477.678549568</v>
      </c>
      <c r="N140" s="24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37254.1054892612</v>
      </c>
      <c r="O140" s="24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14985.1190330453</v>
      </c>
      <c r="P140" s="24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6715.4905696729</v>
      </c>
      <c r="Q140" s="31">
        <v>1</v>
      </c>
      <c r="R140" s="32" t="s">
        <v>192</v>
      </c>
      <c r="S140" s="32" t="s">
        <v>87</v>
      </c>
      <c r="T140" s="32" t="s">
        <v>104</v>
      </c>
      <c r="U140" s="32" t="s">
        <v>73</v>
      </c>
      <c r="V140" s="32" t="s">
        <v>73</v>
      </c>
      <c r="W140" s="32" t="s">
        <v>73</v>
      </c>
      <c r="X140" s="32" t="s">
        <v>127</v>
      </c>
      <c r="Y140" s="32" t="s">
        <v>179</v>
      </c>
      <c r="Z140" s="32" t="s">
        <v>182</v>
      </c>
      <c r="AA140" s="32" t="s">
        <v>81</v>
      </c>
      <c r="AB140" s="32" t="s">
        <v>75</v>
      </c>
      <c r="AC140" s="32" t="s">
        <v>89</v>
      </c>
      <c r="AD140" s="32" t="s">
        <v>82</v>
      </c>
      <c r="AE140" s="32" t="s">
        <v>183</v>
      </c>
      <c r="AF140" s="32" t="s">
        <v>73</v>
      </c>
      <c r="AG140" s="32" t="s">
        <v>178</v>
      </c>
      <c r="AH140" t="str">
        <f>VLOOKUP($R140,武学奇术!$A:$ZZ,25,FALSE)</f>
        <v>剑</v>
      </c>
      <c r="AI140" s="21">
        <f>VLOOKUP($R140,武学奇术!$A:$ZZ,26,FALSE)</f>
        <v>0.8133</v>
      </c>
      <c r="AJ140" s="22">
        <f>VLOOKUP($R140,武学奇术!$A:$ZZ,27,FALSE)*(1+IF(OR($AH140=$F$4,$AH140=$F$5),$B$22,0))</f>
        <v>0</v>
      </c>
      <c r="AK140" s="21">
        <f>VLOOKUP($R140,武学奇术!$A:$ZZ,28,FALSE)</f>
        <v>1.21995</v>
      </c>
      <c r="AL140" s="22">
        <f>VLOOKUP($R140,武学奇术!$A:$ZZ,29,FALSE)*(1+IF(OR($AH140=$F$4,$AH140=$F$5),$B$22,0))</f>
        <v>0</v>
      </c>
      <c r="AM140" s="21" cm="1">
        <f t="array" ref="AM140">$G$3+IFERROR(VLOOKUP($AH140,$F$4:$G$7,2,FALSE),0)+VLOOKUP($R140,武学奇术!$A:$ZZ,2,FALSE)+SUM(_xlfn.XLOOKUP($S140:$AG140,增益!$A:$A,增益!$B:$B,0))</f>
        <v>1.0091</v>
      </c>
      <c r="AN140" s="21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1831.48</v>
      </c>
      <c r="AP140" cm="1">
        <f t="array" ref="AP140">$E$10*(1+$AN140)+VLOOKUP($R140,武学奇术!$A:$ZZ,4,FALSE)+SUM(_xlfn.XLOOKUP($S140:$AG140,增益!$A:$A,增益!$D:$D,0))-$I$2</f>
        <v>7763.56</v>
      </c>
      <c r="AQ140" s="26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0.294</v>
      </c>
      <c r="AR140" s="26" cm="1">
        <f t="array" ref="AR140">$G$10+VLOOKUP($R140,武学奇术!$A:$ZZ,7,FALSE)+SUM(_xlfn.XLOOKUP(S140:AG140,增益!$A:$A,增益!$G:$G,0))</f>
        <v>0</v>
      </c>
      <c r="AS140" s="21" cm="1">
        <f t="array" ref="AS140">VLOOKUP($R140,武学奇术!$A:$ZZ,8,FALSE)+SUM(_xlfn.XLOOKUP(S140:AG140,增益!$A:$A,增益!$H:$H,0))</f>
        <v>0</v>
      </c>
      <c r="AT140">
        <f t="shared" si="64"/>
        <v>680.02</v>
      </c>
      <c r="AU140">
        <f t="shared" si="65"/>
        <v>1288.54</v>
      </c>
      <c r="AV140" s="26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26" cm="1">
        <f t="array" ref="AW140">$G$11+VLOOKUP($R140,武学奇术!$A:$ZZ,10,FALSE)+SUM(_xlfn.XLOOKUP(S140:AG140,增益!$A:$A,增益!$J:$J,0))</f>
        <v>0.15</v>
      </c>
      <c r="AX140">
        <f t="shared" si="66"/>
        <v>0</v>
      </c>
      <c r="AY140">
        <f t="shared" si="67"/>
        <v>0</v>
      </c>
      <c r="AZ140" s="26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26" cm="1">
        <f t="array" ref="BA140">$G$12+VLOOKUP($R140,武学奇术!$A:$ZZ,12,FALSE)+SUM(_xlfn.XLOOKUP(S140:AG140,增益!$A:$A,增益!$L:$L,0))</f>
        <v>0</v>
      </c>
      <c r="BB140">
        <f t="shared" si="68"/>
        <v>0</v>
      </c>
      <c r="BC140">
        <f t="shared" si="69"/>
        <v>0</v>
      </c>
      <c r="BD140" s="26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26" cm="1">
        <f t="array" ref="BE140">$G$13+VLOOKUP($R140,武学奇术!$A:$ZZ,14,FALSE)+SUM(_xlfn.XLOOKUP(S140:AG140,增益!$A:$A,增益!$N:$N,0))</f>
        <v>0</v>
      </c>
      <c r="BF140">
        <f t="shared" si="70"/>
        <v>0</v>
      </c>
      <c r="BG140">
        <f t="shared" si="71"/>
        <v>0</v>
      </c>
      <c r="BH140" s="26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26" cm="1">
        <f t="array" ref="BI140">$G$14+VLOOKUP($R140,武学奇术!$A:$ZZ,16,FALSE)+SUM(_xlfn.XLOOKUP(S140:AG140,增益!$A:$A,增益!$P:$P,0))</f>
        <v>0</v>
      </c>
      <c r="BJ140" s="21">
        <f>MIN(IF(VLOOKUP($R140,武学奇术!$A:$ZZ,23,FALSE)=1,100%,$B$8),100%)</f>
        <v>0.8229</v>
      </c>
      <c r="BK140" s="21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0.2285</v>
      </c>
      <c r="BL140" s="21" cm="1">
        <f t="array" ref="BL140">1+$B$13+VLOOKUP($R140,武学奇术!$A:$ZZ,18,FALSE)+SUM(_xlfn.XLOOKUP(S140:AG140,增益!$A:$A,增益!$R:$R,0))</f>
        <v>1.5</v>
      </c>
      <c r="BM140" s="21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0.4495</v>
      </c>
      <c r="BN140" s="21" cm="1">
        <f t="array" ref="BN140">1+$B$14+VLOOKUP($R140,武学奇术!$A:$ZZ,20,FALSE)+SUM(_xlfn.XLOOKUP(S140:AG140,增益!$A:$A,增益!$T:$T,0))</f>
        <v>1.602</v>
      </c>
      <c r="BO140" s="21">
        <f t="shared" si="72"/>
        <v>0.18803265</v>
      </c>
      <c r="BP140" s="21">
        <f t="shared" si="73"/>
        <v>0.2649738</v>
      </c>
      <c r="BQ140" s="21">
        <f>IF(VLOOKUP($R140,武学奇术!$A:$ZZ,22,FALSE)=1,0,(1-$BJ140))*(1-$BM140)</f>
        <v>0.09749355</v>
      </c>
      <c r="BR140" s="21" cm="1">
        <f t="array" ref="BR140">SUM(_xlfn.XLOOKUP(S140:AG140,增益!$A:$A,增益!$W:$W,0))+$I$5</f>
        <v>0.16</v>
      </c>
    </row>
    <row r="141" spans="6:70">
      <c r="K141" s="24">
        <f>$L141*VLOOKUP($R141,武学奇术!$A:$ZZ,31,FALSE)</f>
        <v>33863.3923393766</v>
      </c>
      <c r="L141" s="24">
        <f t="shared" si="63"/>
        <v>33863.3923393766</v>
      </c>
      <c r="M141" s="24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30377.3515245214</v>
      </c>
      <c r="N141" s="24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48467.4839791834</v>
      </c>
      <c r="O141" s="24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20251.5676830143</v>
      </c>
      <c r="P141" s="24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10248.7758284609</v>
      </c>
      <c r="Q141" s="31">
        <v>1</v>
      </c>
      <c r="R141" s="32" t="s">
        <v>108</v>
      </c>
      <c r="S141" s="32" t="s">
        <v>87</v>
      </c>
      <c r="T141" s="32" t="s">
        <v>104</v>
      </c>
      <c r="U141" s="32" t="s">
        <v>73</v>
      </c>
      <c r="V141" s="32" t="s">
        <v>73</v>
      </c>
      <c r="W141" s="32" t="s">
        <v>73</v>
      </c>
      <c r="X141" s="32" t="s">
        <v>127</v>
      </c>
      <c r="Y141" s="32" t="s">
        <v>179</v>
      </c>
      <c r="Z141" s="32" t="s">
        <v>182</v>
      </c>
      <c r="AA141" s="32" t="s">
        <v>81</v>
      </c>
      <c r="AB141" s="32" t="s">
        <v>75</v>
      </c>
      <c r="AC141" s="32" t="s">
        <v>89</v>
      </c>
      <c r="AD141" s="32" t="s">
        <v>82</v>
      </c>
      <c r="AE141" s="32" t="s">
        <v>183</v>
      </c>
      <c r="AF141" s="32" t="s">
        <v>73</v>
      </c>
      <c r="AG141" s="32" t="s">
        <v>178</v>
      </c>
      <c r="AH141" t="str">
        <f>VLOOKUP($R141,武学奇术!$A:$ZZ,25,FALSE)</f>
        <v>枪</v>
      </c>
      <c r="AI141" s="21">
        <f>VLOOKUP($R141,武学奇术!$A:$ZZ,26,FALSE)</f>
        <v>1.02732</v>
      </c>
      <c r="AJ141" s="22">
        <f>VLOOKUP($R141,武学奇术!$A:$ZZ,27,FALSE)*(1+IF(OR($AH141=$F$4,$AH141=$F$5),$B$22,0))</f>
        <v>426.6</v>
      </c>
      <c r="AK141" s="21">
        <f>VLOOKUP($R141,武学奇术!$A:$ZZ,28,FALSE)</f>
        <v>1.54096</v>
      </c>
      <c r="AL141" s="22">
        <f>VLOOKUP($R141,武学奇术!$A:$ZZ,29,FALSE)*(1+IF(OR($AH141=$F$4,$AH141=$F$5),$B$22,0))</f>
        <v>232.2</v>
      </c>
      <c r="AM141" s="21" cm="1">
        <f t="array" ref="AM141">$G$3+IFERROR(VLOOKUP($AH141,$F$4:$G$7,2,FALSE),0)+VLOOKUP($R141,武学奇术!$A:$ZZ,2,FALSE)+SUM(_xlfn.XLOOKUP($S141:$AG141,增益!$A:$A,增益!$B:$B,0))</f>
        <v>0.9239</v>
      </c>
      <c r="AN141" s="21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1831.48</v>
      </c>
      <c r="AP141" cm="1">
        <f t="array" ref="AP141">$E$10*(1+$AN141)+VLOOKUP($R141,武学奇术!$A:$ZZ,4,FALSE)+SUM(_xlfn.XLOOKUP($S141:$AG141,增益!$A:$A,增益!$D:$D,0))-$I$2</f>
        <v>7763.56</v>
      </c>
      <c r="AQ141" s="26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0.294</v>
      </c>
      <c r="AR141" s="26" cm="1">
        <f t="array" ref="AR141">$G$10+VLOOKUP($R141,武学奇术!$A:$ZZ,7,FALSE)+SUM(_xlfn.XLOOKUP(S141:AG141,增益!$A:$A,增益!$G:$G,0))</f>
        <v>0</v>
      </c>
      <c r="AS141" s="21" cm="1">
        <f t="array" ref="AS141">VLOOKUP($R141,武学奇术!$A:$ZZ,8,FALSE)+SUM(_xlfn.XLOOKUP(S141:AG141,增益!$A:$A,增益!$H:$H,0))</f>
        <v>0</v>
      </c>
      <c r="AT141">
        <f t="shared" si="64"/>
        <v>680.02</v>
      </c>
      <c r="AU141">
        <f t="shared" si="65"/>
        <v>1288.54</v>
      </c>
      <c r="AV141" s="26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26" cm="1">
        <f t="array" ref="AW141">$G$11+VLOOKUP($R141,武学奇术!$A:$ZZ,10,FALSE)+SUM(_xlfn.XLOOKUP(S141:AG141,增益!$A:$A,增益!$J:$J,0))</f>
        <v>0.15</v>
      </c>
      <c r="AX141">
        <f t="shared" si="66"/>
        <v>0</v>
      </c>
      <c r="AY141">
        <f t="shared" si="67"/>
        <v>0</v>
      </c>
      <c r="AZ141" s="26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26" cm="1">
        <f t="array" ref="BA141">$G$12+VLOOKUP($R141,武学奇术!$A:$ZZ,12,FALSE)+SUM(_xlfn.XLOOKUP(S141:AG141,增益!$A:$A,增益!$L:$L,0))</f>
        <v>0</v>
      </c>
      <c r="BB141">
        <f t="shared" si="68"/>
        <v>0</v>
      </c>
      <c r="BC141">
        <f t="shared" si="69"/>
        <v>0</v>
      </c>
      <c r="BD141" s="26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26" cm="1">
        <f t="array" ref="BE141">$G$13+VLOOKUP($R141,武学奇术!$A:$ZZ,14,FALSE)+SUM(_xlfn.XLOOKUP(S141:AG141,增益!$A:$A,增益!$N:$N,0))</f>
        <v>0</v>
      </c>
      <c r="BF141">
        <f t="shared" si="70"/>
        <v>0</v>
      </c>
      <c r="BG141">
        <f t="shared" si="71"/>
        <v>0</v>
      </c>
      <c r="BH141" s="26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26" cm="1">
        <f t="array" ref="BI141">$G$14+VLOOKUP($R141,武学奇术!$A:$ZZ,16,FALSE)+SUM(_xlfn.XLOOKUP(S141:AG141,增益!$A:$A,增益!$P:$P,0))</f>
        <v>0</v>
      </c>
      <c r="BJ141" s="21">
        <f>MIN(IF(VLOOKUP($R141,武学奇术!$A:$ZZ,23,FALSE)=1,100%,$B$8),100%)</f>
        <v>0.8229</v>
      </c>
      <c r="BK141" s="21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0.2285</v>
      </c>
      <c r="BL141" s="21" cm="1">
        <f t="array" ref="BL141">1+$B$13+VLOOKUP($R141,武学奇术!$A:$ZZ,18,FALSE)+SUM(_xlfn.XLOOKUP(S141:AG141,增益!$A:$A,增益!$R:$R,0))</f>
        <v>1.5</v>
      </c>
      <c r="BM141" s="21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0.4495</v>
      </c>
      <c r="BN141" s="21" cm="1">
        <f t="array" ref="BN141">1+$B$14+VLOOKUP($R141,武学奇术!$A:$ZZ,20,FALSE)+SUM(_xlfn.XLOOKUP(S141:AG141,增益!$A:$A,增益!$T:$T,0))</f>
        <v>1.602</v>
      </c>
      <c r="BO141" s="21">
        <f t="shared" si="72"/>
        <v>0.18803265</v>
      </c>
      <c r="BP141" s="21">
        <f t="shared" si="73"/>
        <v>0.2649738</v>
      </c>
      <c r="BQ141" s="21">
        <f>IF(VLOOKUP($R141,武学奇术!$A:$ZZ,22,FALSE)=1,0,(1-$BJ141))*(1-$BM141)</f>
        <v>0.09749355</v>
      </c>
      <c r="BR141" s="21" cm="1">
        <f t="array" ref="BR141">SUM(_xlfn.XLOOKUP(S141:AG141,增益!$A:$A,增益!$W:$W,0))+$I$5</f>
        <v>0.16</v>
      </c>
    </row>
    <row r="142" spans="6:70">
      <c r="K142" s="24">
        <f>$L142*VLOOKUP($R142,武学奇术!$A:$ZZ,31,FALSE)</f>
        <v>98673.8782924887</v>
      </c>
      <c r="L142" s="24">
        <f t="shared" si="63"/>
        <v>164456.463820814</v>
      </c>
      <c r="M142" s="24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134710.159125547</v>
      </c>
      <c r="N142" s="24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247774.75995435</v>
      </c>
      <c r="O142" s="24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89806.7727503645</v>
      </c>
      <c r="P142" s="24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40570.4703299377</v>
      </c>
      <c r="Q142" s="31">
        <v>1</v>
      </c>
      <c r="R142" s="32" t="s">
        <v>95</v>
      </c>
      <c r="S142" s="32" t="s">
        <v>87</v>
      </c>
      <c r="T142" s="32" t="s">
        <v>96</v>
      </c>
      <c r="U142" s="32" t="s">
        <v>97</v>
      </c>
      <c r="V142" s="32" t="s">
        <v>98</v>
      </c>
      <c r="W142" s="32" t="s">
        <v>111</v>
      </c>
      <c r="X142" s="32" t="s">
        <v>127</v>
      </c>
      <c r="Y142" s="32" t="s">
        <v>179</v>
      </c>
      <c r="Z142" s="32" t="s">
        <v>182</v>
      </c>
      <c r="AA142" s="32" t="s">
        <v>81</v>
      </c>
      <c r="AB142" s="32" t="s">
        <v>75</v>
      </c>
      <c r="AC142" s="32" t="s">
        <v>89</v>
      </c>
      <c r="AD142" s="32" t="s">
        <v>82</v>
      </c>
      <c r="AE142" s="32" t="s">
        <v>183</v>
      </c>
      <c r="AF142" s="32" t="s">
        <v>73</v>
      </c>
      <c r="AG142" s="32" t="s">
        <v>178</v>
      </c>
      <c r="AH142" t="str">
        <f>VLOOKUP($R142,武学奇术!$A:$ZZ,25,FALSE)</f>
        <v>剑</v>
      </c>
      <c r="AI142" s="21">
        <f>VLOOKUP($R142,武学奇术!$A:$ZZ,26,FALSE)</f>
        <v>2.52</v>
      </c>
      <c r="AJ142" s="22">
        <f>VLOOKUP($R142,武学奇术!$A:$ZZ,27,FALSE)*(1+IF(OR($AH142=$F$4,$AH142=$F$5),$B$22,0))</f>
        <v>0</v>
      </c>
      <c r="AK142" s="21">
        <f>VLOOKUP($R142,武学奇术!$A:$ZZ,28,FALSE)</f>
        <v>3.78</v>
      </c>
      <c r="AL142" s="22">
        <f>VLOOKUP($R142,武学奇术!$A:$ZZ,29,FALSE)*(1+IF(OR($AH142=$F$4,$AH142=$F$5),$B$22,0))</f>
        <v>0</v>
      </c>
      <c r="AM142" s="21" cm="1">
        <f t="array" ref="AM142">$G$3+IFERROR(VLOOKUP($AH142,$F$4:$G$7,2,FALSE),0)+VLOOKUP($R142,武学奇术!$A:$ZZ,2,FALSE)+SUM(_xlfn.XLOOKUP($S142:$AG142,增益!$A:$A,增益!$B:$B,0))</f>
        <v>1.7591</v>
      </c>
      <c r="AN142" s="21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1862.48</v>
      </c>
      <c r="AP142" cm="1">
        <f t="array" ref="AP142">$E$10*(1+$AN142)+VLOOKUP($R142,武学奇术!$A:$ZZ,4,FALSE)+SUM(_xlfn.XLOOKUP($S142:$AG142,增益!$A:$A,增益!$D:$D,0))-$I$2</f>
        <v>7794.56</v>
      </c>
      <c r="AQ142" s="26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0.369</v>
      </c>
      <c r="AR142" s="26" cm="1">
        <f t="array" ref="AR142">$G$10+VLOOKUP($R142,武学奇术!$A:$ZZ,7,FALSE)+SUM(_xlfn.XLOOKUP(S142:AG142,增益!$A:$A,增益!$G:$G,0))</f>
        <v>0</v>
      </c>
      <c r="AS142" s="21" cm="1">
        <f t="array" ref="AS142">VLOOKUP($R142,武学奇术!$A:$ZZ,8,FALSE)+SUM(_xlfn.XLOOKUP(S142:AG142,增益!$A:$A,增益!$H:$H,0))</f>
        <v>0</v>
      </c>
      <c r="AT142">
        <f t="shared" si="64"/>
        <v>680.02</v>
      </c>
      <c r="AU142">
        <f t="shared" si="65"/>
        <v>1288.54</v>
      </c>
      <c r="AV142" s="26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0.075</v>
      </c>
      <c r="AW142" s="26" cm="1">
        <f t="array" ref="AW142">$G$11+VLOOKUP($R142,武学奇术!$A:$ZZ,10,FALSE)+SUM(_xlfn.XLOOKUP(S142:AG142,增益!$A:$A,增益!$J:$J,0))</f>
        <v>0.15</v>
      </c>
      <c r="AX142">
        <f t="shared" si="66"/>
        <v>0</v>
      </c>
      <c r="AY142">
        <f t="shared" si="67"/>
        <v>0</v>
      </c>
      <c r="AZ142" s="26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26" cm="1">
        <f t="array" ref="BA142">$G$12+VLOOKUP($R142,武学奇术!$A:$ZZ,12,FALSE)+SUM(_xlfn.XLOOKUP(S142:AG142,增益!$A:$A,增益!$L:$L,0))</f>
        <v>0</v>
      </c>
      <c r="BB142">
        <f t="shared" si="68"/>
        <v>0</v>
      </c>
      <c r="BC142">
        <f t="shared" si="69"/>
        <v>0</v>
      </c>
      <c r="BD142" s="26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26" cm="1">
        <f t="array" ref="BE142">$G$13+VLOOKUP($R142,武学奇术!$A:$ZZ,14,FALSE)+SUM(_xlfn.XLOOKUP(S142:AG142,增益!$A:$A,增益!$N:$N,0))</f>
        <v>0</v>
      </c>
      <c r="BF142">
        <f t="shared" si="70"/>
        <v>0</v>
      </c>
      <c r="BG142">
        <f t="shared" si="71"/>
        <v>0</v>
      </c>
      <c r="BH142" s="26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26" cm="1">
        <f t="array" ref="BI142">$G$14+VLOOKUP($R142,武学奇术!$A:$ZZ,16,FALSE)+SUM(_xlfn.XLOOKUP(S142:AG142,增益!$A:$A,增益!$P:$P,0))</f>
        <v>0</v>
      </c>
      <c r="BJ142" s="21">
        <f>MIN(IF(VLOOKUP($R142,武学奇术!$A:$ZZ,23,FALSE)=1,100%,$B$8),100%)</f>
        <v>0.8229</v>
      </c>
      <c r="BK142" s="21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0.2285</v>
      </c>
      <c r="BL142" s="21" cm="1">
        <f t="array" ref="BL142">1+$B$13+VLOOKUP($R142,武学奇术!$A:$ZZ,18,FALSE)+SUM(_xlfn.XLOOKUP(S142:AG142,增益!$A:$A,增益!$R:$R,0))</f>
        <v>1.5</v>
      </c>
      <c r="BM142" s="21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0.4495</v>
      </c>
      <c r="BN142" s="21" cm="1">
        <f t="array" ref="BN142">1+$B$14+VLOOKUP($R142,武学奇术!$A:$ZZ,20,FALSE)+SUM(_xlfn.XLOOKUP(S142:AG142,增益!$A:$A,增益!$T:$T,0))</f>
        <v>1.782</v>
      </c>
      <c r="BO142" s="21">
        <f t="shared" si="72"/>
        <v>0.18803265</v>
      </c>
      <c r="BP142" s="21">
        <f t="shared" si="73"/>
        <v>0.2649738</v>
      </c>
      <c r="BQ142" s="21">
        <f>IF(VLOOKUP($R142,武学奇术!$A:$ZZ,22,FALSE)=1,0,(1-$BJ142))*(1-$BM142)</f>
        <v>0.09749355</v>
      </c>
      <c r="BR142" s="21" cm="1">
        <f t="array" ref="BR142">SUM(_xlfn.XLOOKUP(S142:AG142,增益!$A:$A,增益!$W:$W,0))+$I$5</f>
        <v>0.16</v>
      </c>
    </row>
    <row r="143" spans="6:70">
      <c r="K143" s="24">
        <f>$L143*VLOOKUP($R143,武学奇术!$A:$ZZ,31,FALSE)</f>
        <v>39685.8588736384</v>
      </c>
      <c r="L143" s="24">
        <f t="shared" si="63"/>
        <v>39685.8588736384</v>
      </c>
      <c r="M143" s="24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35629.0593969356</v>
      </c>
      <c r="N143" s="24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56764.5340403554</v>
      </c>
      <c r="O143" s="24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23752.7062646238</v>
      </c>
      <c r="P143" s="24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12071.8706813353</v>
      </c>
      <c r="Q143" s="31">
        <v>1</v>
      </c>
      <c r="R143" s="32" t="s">
        <v>86</v>
      </c>
      <c r="S143" s="32" t="s">
        <v>87</v>
      </c>
      <c r="T143" s="32" t="s">
        <v>104</v>
      </c>
      <c r="U143" s="32" t="s">
        <v>73</v>
      </c>
      <c r="V143" s="32" t="s">
        <v>73</v>
      </c>
      <c r="W143" s="32" t="s">
        <v>111</v>
      </c>
      <c r="X143" s="32" t="s">
        <v>127</v>
      </c>
      <c r="Y143" s="32" t="s">
        <v>179</v>
      </c>
      <c r="Z143" s="32" t="s">
        <v>182</v>
      </c>
      <c r="AA143" s="32" t="s">
        <v>81</v>
      </c>
      <c r="AB143" s="32" t="s">
        <v>75</v>
      </c>
      <c r="AC143" s="32" t="s">
        <v>89</v>
      </c>
      <c r="AD143" s="32" t="s">
        <v>82</v>
      </c>
      <c r="AE143" s="32" t="s">
        <v>90</v>
      </c>
      <c r="AF143" s="32" t="s">
        <v>73</v>
      </c>
      <c r="AG143" s="32" t="s">
        <v>178</v>
      </c>
      <c r="AH143" t="str">
        <f>VLOOKUP($R143,武学奇术!$A:$ZZ,25,FALSE)</f>
        <v>剑</v>
      </c>
      <c r="AI143" s="21">
        <f>VLOOKUP($R143,武学奇术!$A:$ZZ,26,FALSE)</f>
        <v>1.1781</v>
      </c>
      <c r="AJ143" s="22">
        <f>VLOOKUP($R143,武学奇术!$A:$ZZ,27,FALSE)*(1+IF(OR($AH143=$F$4,$AH143=$F$5),$B$22,0))</f>
        <v>489</v>
      </c>
      <c r="AK143" s="21">
        <f>VLOOKUP($R143,武学奇术!$A:$ZZ,28,FALSE)</f>
        <v>1.7672</v>
      </c>
      <c r="AL143" s="22">
        <f>VLOOKUP($R143,武学奇术!$A:$ZZ,29,FALSE)*(1+IF(OR($AH143=$F$4,$AH143=$F$5),$B$22,0))</f>
        <v>265.5</v>
      </c>
      <c r="AM143" s="21" cm="1">
        <f t="array" ref="AM143">$G$3+IFERROR(VLOOKUP($AH143,$F$4:$G$7,2,FALSE),0)+VLOOKUP($R143,武学奇术!$A:$ZZ,2,FALSE)+SUM(_xlfn.XLOOKUP($S143:$AG143,增益!$A:$A,增益!$B:$B,0))</f>
        <v>0.9591</v>
      </c>
      <c r="AN143" s="21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1862.48</v>
      </c>
      <c r="AP143" cm="1">
        <f t="array" ref="AP143">$E$10*(1+$AN143)+VLOOKUP($R143,武学奇术!$A:$ZZ,4,FALSE)+SUM(_xlfn.XLOOKUP($S143:$AG143,增益!$A:$A,增益!$D:$D,0))-$I$2</f>
        <v>7794.56</v>
      </c>
      <c r="AQ143" s="26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0.294</v>
      </c>
      <c r="AR143" s="26" cm="1">
        <f t="array" ref="AR143">$G$10+VLOOKUP($R143,武学奇术!$A:$ZZ,7,FALSE)+SUM(_xlfn.XLOOKUP(S143:AG143,增益!$A:$A,增益!$G:$G,0))</f>
        <v>0</v>
      </c>
      <c r="AS143" s="21" cm="1">
        <f t="array" ref="AS143">VLOOKUP($R143,武学奇术!$A:$ZZ,8,FALSE)+SUM(_xlfn.XLOOKUP(S143:AG143,增益!$A:$A,增益!$H:$H,0))</f>
        <v>0</v>
      </c>
      <c r="AT143">
        <f t="shared" si="64"/>
        <v>680.02</v>
      </c>
      <c r="AU143">
        <f t="shared" si="65"/>
        <v>1288.54</v>
      </c>
      <c r="AV143" s="26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26" cm="1">
        <f t="array" ref="AW143">$G$11+VLOOKUP($R143,武学奇术!$A:$ZZ,10,FALSE)+SUM(_xlfn.XLOOKUP(S143:AG143,增益!$A:$A,增益!$J:$J,0))</f>
        <v>0.15</v>
      </c>
      <c r="AX143">
        <f t="shared" si="66"/>
        <v>0</v>
      </c>
      <c r="AY143">
        <f t="shared" si="67"/>
        <v>0</v>
      </c>
      <c r="AZ143" s="26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26" cm="1">
        <f t="array" ref="BA143">$G$12+VLOOKUP($R143,武学奇术!$A:$ZZ,12,FALSE)+SUM(_xlfn.XLOOKUP(S143:AG143,增益!$A:$A,增益!$L:$L,0))</f>
        <v>0</v>
      </c>
      <c r="BB143">
        <f t="shared" si="68"/>
        <v>0</v>
      </c>
      <c r="BC143">
        <f t="shared" si="69"/>
        <v>0</v>
      </c>
      <c r="BD143" s="26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26" cm="1">
        <f t="array" ref="BE143">$G$13+VLOOKUP($R143,武学奇术!$A:$ZZ,14,FALSE)+SUM(_xlfn.XLOOKUP(S143:AG143,增益!$A:$A,增益!$N:$N,0))</f>
        <v>0</v>
      </c>
      <c r="BF143">
        <f t="shared" si="70"/>
        <v>0</v>
      </c>
      <c r="BG143">
        <f t="shared" si="71"/>
        <v>0</v>
      </c>
      <c r="BH143" s="26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26" cm="1">
        <f t="array" ref="BI143">$G$14+VLOOKUP($R143,武学奇术!$A:$ZZ,16,FALSE)+SUM(_xlfn.XLOOKUP(S143:AG143,增益!$A:$A,增益!$P:$P,0))</f>
        <v>0</v>
      </c>
      <c r="BJ143" s="21">
        <f>MIN(IF(VLOOKUP($R143,武学奇术!$A:$ZZ,23,FALSE)=1,100%,$B$8),100%)</f>
        <v>0.8229</v>
      </c>
      <c r="BK143" s="21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0.2285</v>
      </c>
      <c r="BL143" s="21" cm="1">
        <f t="array" ref="BL143">1+$B$13+VLOOKUP($R143,武学奇术!$A:$ZZ,18,FALSE)+SUM(_xlfn.XLOOKUP(S143:AG143,增益!$A:$A,增益!$R:$R,0))</f>
        <v>1.5</v>
      </c>
      <c r="BM143" s="21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0.4495</v>
      </c>
      <c r="BN143" s="21" cm="1">
        <f t="array" ref="BN143">1+$B$14+VLOOKUP($R143,武学奇术!$A:$ZZ,20,FALSE)+SUM(_xlfn.XLOOKUP(S143:AG143,增益!$A:$A,增益!$T:$T,0))</f>
        <v>1.602</v>
      </c>
      <c r="BO143" s="21">
        <f t="shared" si="72"/>
        <v>0.18803265</v>
      </c>
      <c r="BP143" s="21">
        <f t="shared" si="73"/>
        <v>0.2649738</v>
      </c>
      <c r="BQ143" s="21">
        <f>IF(VLOOKUP($R143,武学奇术!$A:$ZZ,22,FALSE)=1,0,(1-$BJ143))*(1-$BM143)</f>
        <v>0.09749355</v>
      </c>
      <c r="BR143" s="21" cm="1">
        <f t="array" ref="BR143">SUM(_xlfn.XLOOKUP(S143:AG143,增益!$A:$A,增益!$W:$W,0))+$I$5</f>
        <v>0.16</v>
      </c>
    </row>
    <row r="144" spans="6:70">
      <c r="F144" s="81"/>
      <c r="I144" s="81"/>
      <c r="K144" s="24">
        <f>$L144*VLOOKUP($R144,武学奇术!$A:$ZZ,31,FALSE)</f>
        <v>96885.7249400823</v>
      </c>
      <c r="L144" s="24">
        <f t="shared" si="63"/>
        <v>161476.20823347</v>
      </c>
      <c r="M144" s="24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132268.961649458</v>
      </c>
      <c r="N144" s="24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243284.622591544</v>
      </c>
      <c r="O144" s="24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88179.3077663051</v>
      </c>
      <c r="P144" s="24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39835.2582982981</v>
      </c>
      <c r="Q144" s="31">
        <v>1</v>
      </c>
      <c r="R144" s="32" t="s">
        <v>95</v>
      </c>
      <c r="S144" s="32" t="s">
        <v>87</v>
      </c>
      <c r="T144" s="32" t="s">
        <v>96</v>
      </c>
      <c r="U144" s="32" t="s">
        <v>97</v>
      </c>
      <c r="V144" s="32" t="s">
        <v>98</v>
      </c>
      <c r="W144" s="32" t="s">
        <v>111</v>
      </c>
      <c r="X144" s="32" t="s">
        <v>127</v>
      </c>
      <c r="Y144" s="32" t="s">
        <v>179</v>
      </c>
      <c r="Z144" s="32" t="s">
        <v>182</v>
      </c>
      <c r="AA144" s="32" t="s">
        <v>81</v>
      </c>
      <c r="AB144" s="32" t="s">
        <v>75</v>
      </c>
      <c r="AC144" s="32" t="s">
        <v>89</v>
      </c>
      <c r="AD144" s="32" t="s">
        <v>82</v>
      </c>
      <c r="AE144" s="32" t="s">
        <v>90</v>
      </c>
      <c r="AF144" s="32" t="s">
        <v>73</v>
      </c>
      <c r="AG144" s="32" t="s">
        <v>178</v>
      </c>
      <c r="AH144" t="str">
        <f>VLOOKUP($R144,武学奇术!$A:$ZZ,25,FALSE)</f>
        <v>剑</v>
      </c>
      <c r="AI144" s="21">
        <f>VLOOKUP($R144,武学奇术!$A:$ZZ,26,FALSE)</f>
        <v>2.52</v>
      </c>
      <c r="AJ144" s="22">
        <f>VLOOKUP($R144,武学奇术!$A:$ZZ,27,FALSE)*(1+IF(OR($AH144=$F$4,$AH144=$F$5),$B$22,0))</f>
        <v>0</v>
      </c>
      <c r="AK144" s="21">
        <f>VLOOKUP($R144,武学奇术!$A:$ZZ,28,FALSE)</f>
        <v>3.78</v>
      </c>
      <c r="AL144" s="22">
        <f>VLOOKUP($R144,武学奇术!$A:$ZZ,29,FALSE)*(1+IF(OR($AH144=$F$4,$AH144=$F$5),$B$22,0))</f>
        <v>0</v>
      </c>
      <c r="AM144" s="21" cm="1">
        <f t="array" ref="AM144">$G$3+IFERROR(VLOOKUP($AH144,$F$4:$G$7,2,FALSE),0)+VLOOKUP($R144,武学奇术!$A:$ZZ,2,FALSE)+SUM(_xlfn.XLOOKUP($S144:$AG144,增益!$A:$A,增益!$B:$B,0))</f>
        <v>1.7091</v>
      </c>
      <c r="AN144" s="21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1862.48</v>
      </c>
      <c r="AP144" cm="1">
        <f t="array" ref="AP144">$E$10*(1+$AN144)+VLOOKUP($R144,武学奇术!$A:$ZZ,4,FALSE)+SUM(_xlfn.XLOOKUP($S144:$AG144,增益!$A:$A,增益!$D:$D,0))-$I$2</f>
        <v>7794.56</v>
      </c>
      <c r="AQ144" s="26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0.369</v>
      </c>
      <c r="AR144" s="26" cm="1">
        <f t="array" ref="AR144">$G$10+VLOOKUP($R144,武学奇术!$A:$ZZ,7,FALSE)+SUM(_xlfn.XLOOKUP(S144:AG144,增益!$A:$A,增益!$G:$G,0))</f>
        <v>0</v>
      </c>
      <c r="AS144" s="21" cm="1">
        <f t="array" ref="AS144">VLOOKUP($R144,武学奇术!$A:$ZZ,8,FALSE)+SUM(_xlfn.XLOOKUP(S144:AG144,增益!$A:$A,增益!$H:$H,0))</f>
        <v>0</v>
      </c>
      <c r="AT144">
        <f t="shared" si="64"/>
        <v>680.02</v>
      </c>
      <c r="AU144">
        <f t="shared" si="65"/>
        <v>1288.54</v>
      </c>
      <c r="AV144" s="26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0.075</v>
      </c>
      <c r="AW144" s="26" cm="1">
        <f t="array" ref="AW144">$G$11+VLOOKUP($R144,武学奇术!$A:$ZZ,10,FALSE)+SUM(_xlfn.XLOOKUP(S144:AG144,增益!$A:$A,增益!$J:$J,0))</f>
        <v>0.15</v>
      </c>
      <c r="AX144">
        <f t="shared" si="66"/>
        <v>0</v>
      </c>
      <c r="AY144">
        <f t="shared" si="67"/>
        <v>0</v>
      </c>
      <c r="AZ144" s="26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26" cm="1">
        <f t="array" ref="BA144">$G$12+VLOOKUP($R144,武学奇术!$A:$ZZ,12,FALSE)+SUM(_xlfn.XLOOKUP(S144:AG144,增益!$A:$A,增益!$L:$L,0))</f>
        <v>0</v>
      </c>
      <c r="BB144">
        <f t="shared" si="68"/>
        <v>0</v>
      </c>
      <c r="BC144">
        <f t="shared" si="69"/>
        <v>0</v>
      </c>
      <c r="BD144" s="26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26" cm="1">
        <f t="array" ref="BE144">$G$13+VLOOKUP($R144,武学奇术!$A:$ZZ,14,FALSE)+SUM(_xlfn.XLOOKUP(S144:AG144,增益!$A:$A,增益!$N:$N,0))</f>
        <v>0</v>
      </c>
      <c r="BF144">
        <f t="shared" si="70"/>
        <v>0</v>
      </c>
      <c r="BG144">
        <f t="shared" si="71"/>
        <v>0</v>
      </c>
      <c r="BH144" s="26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26" cm="1">
        <f t="array" ref="BI144">$G$14+VLOOKUP($R144,武学奇术!$A:$ZZ,16,FALSE)+SUM(_xlfn.XLOOKUP(S144:AG144,增益!$A:$A,增益!$P:$P,0))</f>
        <v>0</v>
      </c>
      <c r="BJ144" s="21">
        <f>MIN(IF(VLOOKUP($R144,武学奇术!$A:$ZZ,23,FALSE)=1,100%,$B$8),100%)</f>
        <v>0.8229</v>
      </c>
      <c r="BK144" s="21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0.2285</v>
      </c>
      <c r="BL144" s="21" cm="1">
        <f t="array" ref="BL144">1+$B$13+VLOOKUP($R144,武学奇术!$A:$ZZ,18,FALSE)+SUM(_xlfn.XLOOKUP(S144:AG144,增益!$A:$A,增益!$R:$R,0))</f>
        <v>1.5</v>
      </c>
      <c r="BM144" s="21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0.4495</v>
      </c>
      <c r="BN144" s="21" cm="1">
        <f t="array" ref="BN144">1+$B$14+VLOOKUP($R144,武学奇术!$A:$ZZ,20,FALSE)+SUM(_xlfn.XLOOKUP(S144:AG144,增益!$A:$A,增益!$T:$T,0))</f>
        <v>1.782</v>
      </c>
      <c r="BO144" s="21">
        <f t="shared" si="72"/>
        <v>0.18803265</v>
      </c>
      <c r="BP144" s="21">
        <f t="shared" si="73"/>
        <v>0.2649738</v>
      </c>
      <c r="BQ144" s="21">
        <f>IF(VLOOKUP($R144,武学奇术!$A:$ZZ,22,FALSE)=1,0,(1-$BJ144))*(1-$BM144)</f>
        <v>0.09749355</v>
      </c>
      <c r="BR144" s="21" cm="1">
        <f t="array" ref="BR144">SUM(_xlfn.XLOOKUP(S144:AG144,增益!$A:$A,增益!$W:$W,0))+$I$5</f>
        <v>0.16</v>
      </c>
    </row>
    <row r="145" spans="6:70">
      <c r="F145" s="81"/>
      <c r="K145" s="24">
        <f>$L145*VLOOKUP($R145,武学奇术!$A:$ZZ,31,FALSE)</f>
        <v>96885.7249400823</v>
      </c>
      <c r="L145" s="24">
        <f t="shared" ref="L145:L208" si="74">($M145*$BO145+$N145*$BM145+$O145*$BP145+$P145*$BQ145)</f>
        <v>161476.20823347</v>
      </c>
      <c r="M145" s="24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132268.961649458</v>
      </c>
      <c r="N145" s="24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243284.622591544</v>
      </c>
      <c r="O145" s="24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88179.3077663051</v>
      </c>
      <c r="P145" s="24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39835.2582982981</v>
      </c>
      <c r="Q145" s="31">
        <v>1</v>
      </c>
      <c r="R145" s="32" t="s">
        <v>95</v>
      </c>
      <c r="S145" s="32" t="s">
        <v>87</v>
      </c>
      <c r="T145" s="32" t="s">
        <v>96</v>
      </c>
      <c r="U145" s="32" t="s">
        <v>97</v>
      </c>
      <c r="V145" s="32" t="s">
        <v>98</v>
      </c>
      <c r="W145" s="32" t="s">
        <v>111</v>
      </c>
      <c r="X145" s="32" t="s">
        <v>127</v>
      </c>
      <c r="Y145" s="32" t="s">
        <v>179</v>
      </c>
      <c r="Z145" s="32" t="s">
        <v>182</v>
      </c>
      <c r="AA145" s="32" t="s">
        <v>81</v>
      </c>
      <c r="AB145" s="32" t="s">
        <v>75</v>
      </c>
      <c r="AC145" s="32" t="s">
        <v>89</v>
      </c>
      <c r="AD145" s="32" t="s">
        <v>82</v>
      </c>
      <c r="AE145" s="32" t="s">
        <v>90</v>
      </c>
      <c r="AF145" s="32" t="s">
        <v>73</v>
      </c>
      <c r="AG145" s="32" t="s">
        <v>178</v>
      </c>
      <c r="AH145" t="str">
        <f>VLOOKUP($R145,武学奇术!$A:$ZZ,25,FALSE)</f>
        <v>剑</v>
      </c>
      <c r="AI145" s="21">
        <f>VLOOKUP($R145,武学奇术!$A:$ZZ,26,FALSE)</f>
        <v>2.52</v>
      </c>
      <c r="AJ145" s="22">
        <f>VLOOKUP($R145,武学奇术!$A:$ZZ,27,FALSE)*(1+IF(OR($AH145=$F$4,$AH145=$F$5),$B$22,0))</f>
        <v>0</v>
      </c>
      <c r="AK145" s="21">
        <f>VLOOKUP($R145,武学奇术!$A:$ZZ,28,FALSE)</f>
        <v>3.78</v>
      </c>
      <c r="AL145" s="22">
        <f>VLOOKUP($R145,武学奇术!$A:$ZZ,29,FALSE)*(1+IF(OR($AH145=$F$4,$AH145=$F$5),$B$22,0))</f>
        <v>0</v>
      </c>
      <c r="AM145" s="21" cm="1">
        <f t="array" ref="AM145">$G$3+IFERROR(VLOOKUP($AH145,$F$4:$G$7,2,FALSE),0)+VLOOKUP($R145,武学奇术!$A:$ZZ,2,FALSE)+SUM(_xlfn.XLOOKUP($S145:$AG145,增益!$A:$A,增益!$B:$B,0))</f>
        <v>1.7091</v>
      </c>
      <c r="AN145" s="21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1862.48</v>
      </c>
      <c r="AP145" cm="1">
        <f t="array" ref="AP145">$E$10*(1+$AN145)+VLOOKUP($R145,武学奇术!$A:$ZZ,4,FALSE)+SUM(_xlfn.XLOOKUP($S145:$AG145,增益!$A:$A,增益!$D:$D,0))-$I$2</f>
        <v>7794.56</v>
      </c>
      <c r="AQ145" s="26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0.369</v>
      </c>
      <c r="AR145" s="26" cm="1">
        <f t="array" ref="AR145">$G$10+VLOOKUP($R145,武学奇术!$A:$ZZ,7,FALSE)+SUM(_xlfn.XLOOKUP(S145:AG145,增益!$A:$A,增益!$G:$G,0))</f>
        <v>0</v>
      </c>
      <c r="AS145" s="21" cm="1">
        <f t="array" ref="AS145">VLOOKUP($R145,武学奇术!$A:$ZZ,8,FALSE)+SUM(_xlfn.XLOOKUP(S145:AG145,增益!$A:$A,增益!$H:$H,0))</f>
        <v>0</v>
      </c>
      <c r="AT145">
        <f t="shared" ref="AT145:AT208" si="75">$D$11*(1+$AS145)</f>
        <v>680.02</v>
      </c>
      <c r="AU145">
        <f t="shared" ref="AU145:AU208" si="76">$E$11*(1+$AS145)</f>
        <v>1288.54</v>
      </c>
      <c r="AV145" s="26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0.075</v>
      </c>
      <c r="AW145" s="26" cm="1">
        <f t="array" ref="AW145">$G$11+VLOOKUP($R145,武学奇术!$A:$ZZ,10,FALSE)+SUM(_xlfn.XLOOKUP(S145:AG145,增益!$A:$A,增益!$J:$J,0))</f>
        <v>0.15</v>
      </c>
      <c r="AX145">
        <f t="shared" ref="AX145:AX208" si="77">$D$12*(1+$AS145)</f>
        <v>0</v>
      </c>
      <c r="AY145">
        <f t="shared" ref="AY145:AY208" si="78">$E$12*(1+$AS145)</f>
        <v>0</v>
      </c>
      <c r="AZ145" s="26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26" cm="1">
        <f t="array" ref="BA145">$G$12+VLOOKUP($R145,武学奇术!$A:$ZZ,12,FALSE)+SUM(_xlfn.XLOOKUP(S145:AG145,增益!$A:$A,增益!$L:$L,0))</f>
        <v>0</v>
      </c>
      <c r="BB145">
        <f t="shared" ref="BB145:BB208" si="79">$D$13*(1+$AS145)</f>
        <v>0</v>
      </c>
      <c r="BC145">
        <f t="shared" ref="BC145:BC208" si="80">$E$13*(1+$AS145)</f>
        <v>0</v>
      </c>
      <c r="BD145" s="26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26" cm="1">
        <f t="array" ref="BE145">$G$13+VLOOKUP($R145,武学奇术!$A:$ZZ,14,FALSE)+SUM(_xlfn.XLOOKUP(S145:AG145,增益!$A:$A,增益!$N:$N,0))</f>
        <v>0</v>
      </c>
      <c r="BF145">
        <f t="shared" ref="BF145:BF208" si="81">$D$14*(1+$AS145)</f>
        <v>0</v>
      </c>
      <c r="BG145">
        <f t="shared" ref="BG145:BG208" si="82">$E$14*(1+$AS145)</f>
        <v>0</v>
      </c>
      <c r="BH145" s="26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26" cm="1">
        <f t="array" ref="BI145">$G$14+VLOOKUP($R145,武学奇术!$A:$ZZ,16,FALSE)+SUM(_xlfn.XLOOKUP(S145:AG145,增益!$A:$A,增益!$P:$P,0))</f>
        <v>0</v>
      </c>
      <c r="BJ145" s="21">
        <f>MIN(IF(VLOOKUP($R145,武学奇术!$A:$ZZ,23,FALSE)=1,100%,$B$8),100%)</f>
        <v>0.8229</v>
      </c>
      <c r="BK145" s="21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0.2285</v>
      </c>
      <c r="BL145" s="21" cm="1">
        <f t="array" ref="BL145">1+$B$13+VLOOKUP($R145,武学奇术!$A:$ZZ,18,FALSE)+SUM(_xlfn.XLOOKUP(S145:AG145,增益!$A:$A,增益!$R:$R,0))</f>
        <v>1.5</v>
      </c>
      <c r="BM145" s="21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0.4495</v>
      </c>
      <c r="BN145" s="21" cm="1">
        <f t="array" ref="BN145">1+$B$14+VLOOKUP($R145,武学奇术!$A:$ZZ,20,FALSE)+SUM(_xlfn.XLOOKUP(S145:AG145,增益!$A:$A,增益!$T:$T,0))</f>
        <v>1.782</v>
      </c>
      <c r="BO145" s="21">
        <f t="shared" ref="BO145:BO208" si="83">MIN((1-BM145)*BJ145,BJ145*BK145)</f>
        <v>0.18803265</v>
      </c>
      <c r="BP145" s="21">
        <f t="shared" ref="BP145:BP208" si="84">1-BM145-BO145-BQ145</f>
        <v>0.2649738</v>
      </c>
      <c r="BQ145" s="21">
        <f>IF(VLOOKUP($R145,武学奇术!$A:$ZZ,22,FALSE)=1,0,(1-$BJ145))*(1-$BM145)</f>
        <v>0.09749355</v>
      </c>
      <c r="BR145" s="21" cm="1">
        <f t="array" ref="BR145">SUM(_xlfn.XLOOKUP(S145:AG145,增益!$A:$A,增益!$W:$W,0))+$I$5</f>
        <v>0.16</v>
      </c>
    </row>
    <row r="146" spans="6:70">
      <c r="F146" s="81"/>
      <c r="K146" s="24">
        <f>$L146*VLOOKUP($R146,武学奇术!$A:$ZZ,31,FALSE)</f>
        <v>0</v>
      </c>
      <c r="L146" s="24">
        <f t="shared" si="74"/>
        <v>0</v>
      </c>
      <c r="M146" s="24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0</v>
      </c>
      <c r="N146" s="24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0</v>
      </c>
      <c r="O146" s="24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0</v>
      </c>
      <c r="P146" s="24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0</v>
      </c>
      <c r="Q146" s="31"/>
      <c r="R146" s="32" t="s">
        <v>73</v>
      </c>
      <c r="S146" s="32" t="s">
        <v>73</v>
      </c>
      <c r="T146" s="32" t="s">
        <v>73</v>
      </c>
      <c r="U146" s="32" t="s">
        <v>73</v>
      </c>
      <c r="V146" s="32" t="s">
        <v>73</v>
      </c>
      <c r="W146" s="32" t="s">
        <v>73</v>
      </c>
      <c r="X146" s="32" t="s">
        <v>73</v>
      </c>
      <c r="Y146" s="32" t="s">
        <v>73</v>
      </c>
      <c r="Z146" s="32" t="s">
        <v>73</v>
      </c>
      <c r="AA146" s="32" t="s">
        <v>73</v>
      </c>
      <c r="AB146" s="32" t="s">
        <v>73</v>
      </c>
      <c r="AC146" s="32" t="s">
        <v>73</v>
      </c>
      <c r="AD146" s="32" t="s">
        <v>73</v>
      </c>
      <c r="AE146" s="32" t="s">
        <v>73</v>
      </c>
      <c r="AF146" s="32" t="s">
        <v>73</v>
      </c>
      <c r="AG146" s="32" t="s">
        <v>73</v>
      </c>
      <c r="AH146" t="str">
        <f>VLOOKUP($R146,武学奇术!$A:$ZZ,25,FALSE)</f>
        <v>心法</v>
      </c>
      <c r="AI146" s="21">
        <f>VLOOKUP($R146,武学奇术!$A:$ZZ,26,FALSE)</f>
        <v>0</v>
      </c>
      <c r="AJ146" s="22">
        <f>VLOOKUP($R146,武学奇术!$A:$ZZ,27,FALSE)*(1+IF(OR($AH146=$F$4,$AH146=$F$5),$B$22,0))</f>
        <v>0</v>
      </c>
      <c r="AK146" s="21">
        <f>VLOOKUP($R146,武学奇术!$A:$ZZ,28,FALSE)</f>
        <v>0</v>
      </c>
      <c r="AL146" s="22">
        <f>VLOOKUP($R146,武学奇术!$A:$ZZ,29,FALSE)*(1+IF(OR($AH146=$F$4,$AH146=$F$5),$B$22,0))</f>
        <v>0</v>
      </c>
      <c r="AM146" s="21" cm="1">
        <f t="array" ref="AM146">$G$3+IFERROR(VLOOKUP($AH146,$F$4:$G$7,2,FALSE),0)+VLOOKUP($R146,武学奇术!$A:$ZZ,2,FALSE)+SUM(_xlfn.XLOOKUP($S146:$AG146,增益!$A:$A,增益!$B:$B,0))</f>
        <v>0.1842</v>
      </c>
      <c r="AN146" s="21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1831.48</v>
      </c>
      <c r="AP146" cm="1">
        <f t="array" ref="AP146">$E$10*(1+$AN146)+VLOOKUP($R146,武学奇术!$A:$ZZ,4,FALSE)+SUM(_xlfn.XLOOKUP($S146:$AG146,增益!$A:$A,增益!$D:$D,0))-$I$2</f>
        <v>7763.56</v>
      </c>
      <c r="AQ146" s="26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0.244</v>
      </c>
      <c r="AR146" s="26" cm="1">
        <f t="array" ref="AR146">$G$10+VLOOKUP($R146,武学奇术!$A:$ZZ,7,FALSE)+SUM(_xlfn.XLOOKUP(S146:AG146,增益!$A:$A,增益!$G:$G,0))</f>
        <v>0</v>
      </c>
      <c r="AS146" s="21" cm="1">
        <f t="array" ref="AS146">VLOOKUP($R146,武学奇术!$A:$ZZ,8,FALSE)+SUM(_xlfn.XLOOKUP(S146:AG146,增益!$A:$A,增益!$H:$H,0))</f>
        <v>0</v>
      </c>
      <c r="AT146">
        <f t="shared" si="75"/>
        <v>680.02</v>
      </c>
      <c r="AU146">
        <f t="shared" si="76"/>
        <v>1288.54</v>
      </c>
      <c r="AV146" s="26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26" cm="1">
        <f t="array" ref="AW146">$G$11+VLOOKUP($R146,武学奇术!$A:$ZZ,10,FALSE)+SUM(_xlfn.XLOOKUP(S146:AG146,增益!$A:$A,增益!$J:$J,0))</f>
        <v>0.15</v>
      </c>
      <c r="AX146">
        <f t="shared" si="77"/>
        <v>0</v>
      </c>
      <c r="AY146">
        <f t="shared" si="78"/>
        <v>0</v>
      </c>
      <c r="AZ146" s="26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26" cm="1">
        <f t="array" ref="BA146">$G$12+VLOOKUP($R146,武学奇术!$A:$ZZ,12,FALSE)+SUM(_xlfn.XLOOKUP(S146:AG146,增益!$A:$A,增益!$L:$L,0))</f>
        <v>0</v>
      </c>
      <c r="BB146">
        <f t="shared" si="79"/>
        <v>0</v>
      </c>
      <c r="BC146">
        <f t="shared" si="80"/>
        <v>0</v>
      </c>
      <c r="BD146" s="26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26" cm="1">
        <f t="array" ref="BE146">$G$13+VLOOKUP($R146,武学奇术!$A:$ZZ,14,FALSE)+SUM(_xlfn.XLOOKUP(S146:AG146,增益!$A:$A,增益!$N:$N,0))</f>
        <v>0</v>
      </c>
      <c r="BF146">
        <f t="shared" si="81"/>
        <v>0</v>
      </c>
      <c r="BG146">
        <f t="shared" si="82"/>
        <v>0</v>
      </c>
      <c r="BH146" s="26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26" cm="1">
        <f t="array" ref="BI146">$G$14+VLOOKUP($R146,武学奇术!$A:$ZZ,16,FALSE)+SUM(_xlfn.XLOOKUP(S146:AG146,增益!$A:$A,增益!$P:$P,0))</f>
        <v>0</v>
      </c>
      <c r="BJ146" s="21">
        <f>MIN(IF(VLOOKUP($R146,武学奇术!$A:$ZZ,23,FALSE)=1,100%,$B$8),100%)</f>
        <v>0.8229</v>
      </c>
      <c r="BK146" s="21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0.2285</v>
      </c>
      <c r="BL146" s="21" cm="1">
        <f t="array" ref="BL146">1+$B$13+VLOOKUP($R146,武学奇术!$A:$ZZ,18,FALSE)+SUM(_xlfn.XLOOKUP(S146:AG146,增益!$A:$A,增益!$R:$R,0))</f>
        <v>1.5</v>
      </c>
      <c r="BM146" s="21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0.4195</v>
      </c>
      <c r="BN146" s="21" cm="1">
        <f t="array" ref="BN146">1+$B$14+VLOOKUP($R146,武学奇术!$A:$ZZ,20,FALSE)+SUM(_xlfn.XLOOKUP(S146:AG146,增益!$A:$A,增益!$T:$T,0))</f>
        <v>1.402</v>
      </c>
      <c r="BO146" s="21">
        <f t="shared" si="83"/>
        <v>0.18803265</v>
      </c>
      <c r="BP146" s="21">
        <f t="shared" si="84"/>
        <v>0.2896608</v>
      </c>
      <c r="BQ146" s="21">
        <f>IF(VLOOKUP($R146,武学奇术!$A:$ZZ,22,FALSE)=1,0,(1-$BJ146))*(1-$BM146)</f>
        <v>0.10280655</v>
      </c>
      <c r="BR146" s="21" cm="1">
        <f t="array" ref="BR146">SUM(_xlfn.XLOOKUP(S146:AG146,增益!$A:$A,增益!$W:$W,0))+$I$5</f>
        <v>0.06</v>
      </c>
    </row>
    <row r="147" spans="6:70">
      <c r="F147" s="81"/>
      <c r="K147" s="24">
        <f>$L147*VLOOKUP($R147,武学奇术!$A:$ZZ,31,FALSE)</f>
        <v>8384.10813415557</v>
      </c>
      <c r="L147" s="24">
        <f t="shared" si="74"/>
        <v>16768.2162683111</v>
      </c>
      <c r="M147" s="24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15332.754281635</v>
      </c>
      <c r="N147" s="24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23825.8160833345</v>
      </c>
      <c r="O147" s="24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10221.8361877567</v>
      </c>
      <c r="P147" s="24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4789.39111182439</v>
      </c>
      <c r="Q147" s="31">
        <v>2</v>
      </c>
      <c r="R147" s="32" t="s">
        <v>194</v>
      </c>
      <c r="S147" s="32" t="s">
        <v>87</v>
      </c>
      <c r="T147" s="32" t="s">
        <v>96</v>
      </c>
      <c r="U147" s="32" t="s">
        <v>97</v>
      </c>
      <c r="V147" s="32" t="s">
        <v>73</v>
      </c>
      <c r="W147" s="32" t="s">
        <v>111</v>
      </c>
      <c r="X147" s="32" t="s">
        <v>109</v>
      </c>
      <c r="Y147" s="32" t="s">
        <v>73</v>
      </c>
      <c r="Z147" s="32" t="s">
        <v>73</v>
      </c>
      <c r="AA147" s="32" t="s">
        <v>81</v>
      </c>
      <c r="AB147" s="32" t="s">
        <v>75</v>
      </c>
      <c r="AC147" s="32" t="s">
        <v>89</v>
      </c>
      <c r="AD147" s="32" t="s">
        <v>82</v>
      </c>
      <c r="AE147" s="32" t="s">
        <v>90</v>
      </c>
      <c r="AF147" s="32" t="s">
        <v>77</v>
      </c>
      <c r="AG147" s="32" t="s">
        <v>91</v>
      </c>
      <c r="AH147" t="str">
        <f>VLOOKUP($R147,武学奇术!$A:$ZZ,25,FALSE)</f>
        <v>单体奇术</v>
      </c>
      <c r="AI147" s="21">
        <f>VLOOKUP($R147,武学奇术!$A:$ZZ,26,FALSE)</f>
        <v>0.236</v>
      </c>
      <c r="AJ147" s="22">
        <f>VLOOKUP($R147,武学奇术!$A:$ZZ,27,FALSE)*(1+IF(OR($AH147=$F$4,$AH147=$F$5),$B$22,0))</f>
        <v>46</v>
      </c>
      <c r="AK147" s="21">
        <f>VLOOKUP($R147,武学奇术!$A:$ZZ,28,FALSE)</f>
        <v>0.354</v>
      </c>
      <c r="AL147" s="22">
        <f>VLOOKUP($R147,武学奇术!$A:$ZZ,29,FALSE)*(1+IF(OR($AH147=$F$4,$AH147=$F$5),$B$22,0))</f>
        <v>0</v>
      </c>
      <c r="AM147" s="21" cm="1">
        <f t="array" ref="AM147">$G$3+IFERROR(VLOOKUP($AH147,$F$4:$G$7,2,FALSE),0)+VLOOKUP($R147,武学奇术!$A:$ZZ,2,FALSE)+SUM(_xlfn.XLOOKUP($S147:$AG147,增益!$A:$A,增益!$B:$B,0))</f>
        <v>1.523</v>
      </c>
      <c r="AN147" s="21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1862.48</v>
      </c>
      <c r="AP147" cm="1">
        <f t="array" ref="AP147">$E$10*(1+$AN147)+VLOOKUP($R147,武学奇术!$A:$ZZ,4,FALSE)+SUM(_xlfn.XLOOKUP($S147:$AG147,增益!$A:$A,增益!$D:$D,0))-$I$2</f>
        <v>7794.56</v>
      </c>
      <c r="AQ147" s="26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0.274</v>
      </c>
      <c r="AR147" s="26" cm="1">
        <f t="array" ref="AR147">$G$10+VLOOKUP($R147,武学奇术!$A:$ZZ,7,FALSE)+SUM(_xlfn.XLOOKUP(S147:AG147,增益!$A:$A,增益!$G:$G,0))</f>
        <v>0</v>
      </c>
      <c r="AS147" s="21" cm="1">
        <f t="array" ref="AS147">VLOOKUP($R147,武学奇术!$A:$ZZ,8,FALSE)+SUM(_xlfn.XLOOKUP(S147:AG147,增益!$A:$A,增益!$H:$H,0))</f>
        <v>0</v>
      </c>
      <c r="AT147">
        <f t="shared" si="75"/>
        <v>680.02</v>
      </c>
      <c r="AU147">
        <f t="shared" si="76"/>
        <v>1288.54</v>
      </c>
      <c r="AV147" s="26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26" cm="1">
        <f t="array" ref="AW147">$G$11+VLOOKUP($R147,武学奇术!$A:$ZZ,10,FALSE)+SUM(_xlfn.XLOOKUP(S147:AG147,增益!$A:$A,增益!$J:$J,0))</f>
        <v>0.15</v>
      </c>
      <c r="AX147">
        <f t="shared" si="77"/>
        <v>0</v>
      </c>
      <c r="AY147">
        <f t="shared" si="78"/>
        <v>0</v>
      </c>
      <c r="AZ147" s="26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26" cm="1">
        <f t="array" ref="BA147">$G$12+VLOOKUP($R147,武学奇术!$A:$ZZ,12,FALSE)+SUM(_xlfn.XLOOKUP(S147:AG147,增益!$A:$A,增益!$L:$L,0))</f>
        <v>0</v>
      </c>
      <c r="BB147">
        <f t="shared" si="79"/>
        <v>0</v>
      </c>
      <c r="BC147">
        <f t="shared" si="80"/>
        <v>0</v>
      </c>
      <c r="BD147" s="26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26" cm="1">
        <f t="array" ref="BE147">$G$13+VLOOKUP($R147,武学奇术!$A:$ZZ,14,FALSE)+SUM(_xlfn.XLOOKUP(S147:AG147,增益!$A:$A,增益!$N:$N,0))</f>
        <v>0</v>
      </c>
      <c r="BF147">
        <f t="shared" si="81"/>
        <v>0</v>
      </c>
      <c r="BG147">
        <f t="shared" si="82"/>
        <v>0</v>
      </c>
      <c r="BH147" s="26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26" cm="1">
        <f t="array" ref="BI147">$G$14+VLOOKUP($R147,武学奇术!$A:$ZZ,16,FALSE)+SUM(_xlfn.XLOOKUP(S147:AG147,增益!$A:$A,增益!$P:$P,0))</f>
        <v>0</v>
      </c>
      <c r="BJ147" s="21">
        <f>MIN(IF(VLOOKUP($R147,武学奇术!$A:$ZZ,23,FALSE)=1,100%,$B$8),100%)</f>
        <v>0.8229</v>
      </c>
      <c r="BK147" s="21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0.2285</v>
      </c>
      <c r="BL147" s="21" cm="1">
        <f t="array" ref="BL147">1+$B$13+VLOOKUP($R147,武学奇术!$A:$ZZ,18,FALSE)+SUM(_xlfn.XLOOKUP(S147:AG147,增益!$A:$A,增益!$R:$R,0))</f>
        <v>1.5</v>
      </c>
      <c r="BM147" s="21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0.4495</v>
      </c>
      <c r="BN147" s="21" cm="1">
        <f t="array" ref="BN147">1+$B$14+VLOOKUP($R147,武学奇术!$A:$ZZ,20,FALSE)+SUM(_xlfn.XLOOKUP(S147:AG147,增益!$A:$A,增益!$T:$T,0))</f>
        <v>1.522</v>
      </c>
      <c r="BO147" s="21">
        <f t="shared" si="83"/>
        <v>0.18803265</v>
      </c>
      <c r="BP147" s="21">
        <f t="shared" si="84"/>
        <v>0.2649738</v>
      </c>
      <c r="BQ147" s="21">
        <f>IF(VLOOKUP($R147,武学奇术!$A:$ZZ,22,FALSE)=1,0,(1-$BJ147))*(1-$BM147)</f>
        <v>0.09749355</v>
      </c>
      <c r="BR147" s="21" cm="1">
        <f t="array" ref="BR147">SUM(_xlfn.XLOOKUP(S147:AG147,增益!$A:$A,增益!$W:$W,0))+$I$5</f>
        <v>0.06</v>
      </c>
    </row>
    <row r="148" spans="6:70">
      <c r="K148" s="24">
        <f>$L148*VLOOKUP($R148,武学奇术!$A:$ZZ,31,FALSE)</f>
        <v>17012.4146390148</v>
      </c>
      <c r="L148" s="24">
        <f t="shared" si="74"/>
        <v>34024.8292780296</v>
      </c>
      <c r="M148" s="24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30978.0399706329</v>
      </c>
      <c r="N148" s="24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48465.0621368206</v>
      </c>
      <c r="O148" s="24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20652.0266470886</v>
      </c>
      <c r="P148" s="24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9668.89524142228</v>
      </c>
      <c r="Q148" s="31">
        <v>4</v>
      </c>
      <c r="R148" s="32" t="s">
        <v>194</v>
      </c>
      <c r="S148" s="32" t="s">
        <v>87</v>
      </c>
      <c r="T148" s="32" t="s">
        <v>96</v>
      </c>
      <c r="U148" s="32" t="s">
        <v>97</v>
      </c>
      <c r="V148" s="32" t="s">
        <v>73</v>
      </c>
      <c r="W148" s="32" t="s">
        <v>111</v>
      </c>
      <c r="X148" s="32" t="s">
        <v>116</v>
      </c>
      <c r="Y148" s="32" t="s">
        <v>73</v>
      </c>
      <c r="Z148" s="32" t="s">
        <v>73</v>
      </c>
      <c r="AA148" s="32" t="s">
        <v>81</v>
      </c>
      <c r="AB148" s="32" t="s">
        <v>75</v>
      </c>
      <c r="AC148" s="32" t="s">
        <v>89</v>
      </c>
      <c r="AD148" s="32" t="s">
        <v>82</v>
      </c>
      <c r="AE148" s="32" t="s">
        <v>90</v>
      </c>
      <c r="AF148" s="32" t="s">
        <v>77</v>
      </c>
      <c r="AG148" s="32" t="s">
        <v>117</v>
      </c>
      <c r="AH148" t="str">
        <f>VLOOKUP($R148,武学奇术!$A:$ZZ,25,FALSE)</f>
        <v>单体奇术</v>
      </c>
      <c r="AI148" s="21">
        <f>VLOOKUP($R148,武学奇术!$A:$ZZ,26,FALSE)</f>
        <v>0.236</v>
      </c>
      <c r="AJ148" s="22">
        <f>VLOOKUP($R148,武学奇术!$A:$ZZ,27,FALSE)*(1+IF(OR($AH148=$F$4,$AH148=$F$5),$B$22,0))</f>
        <v>46</v>
      </c>
      <c r="AK148" s="21">
        <f>VLOOKUP($R148,武学奇术!$A:$ZZ,28,FALSE)</f>
        <v>0.354</v>
      </c>
      <c r="AL148" s="22">
        <f>VLOOKUP($R148,武学奇术!$A:$ZZ,29,FALSE)*(1+IF(OR($AH148=$F$4,$AH148=$F$5),$B$22,0))</f>
        <v>0</v>
      </c>
      <c r="AM148" s="21" cm="1">
        <f t="array" ref="AM148">$G$3+IFERROR(VLOOKUP($AH148,$F$4:$G$7,2,FALSE),0)+VLOOKUP($R148,武学奇术!$A:$ZZ,2,FALSE)+SUM(_xlfn.XLOOKUP($S148:$AG148,增益!$A:$A,增益!$B:$B,0))</f>
        <v>1.533</v>
      </c>
      <c r="AN148" s="21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1862.48</v>
      </c>
      <c r="AP148" cm="1">
        <f t="array" ref="AP148">$E$10*(1+$AN148)+VLOOKUP($R148,武学奇术!$A:$ZZ,4,FALSE)+SUM(_xlfn.XLOOKUP($S148:$AG148,增益!$A:$A,增益!$D:$D,0))-$I$2</f>
        <v>7794.56</v>
      </c>
      <c r="AQ148" s="26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0.284</v>
      </c>
      <c r="AR148" s="26" cm="1">
        <f t="array" ref="AR148">$G$10+VLOOKUP($R148,武学奇术!$A:$ZZ,7,FALSE)+SUM(_xlfn.XLOOKUP(S148:AG148,增益!$A:$A,增益!$G:$G,0))</f>
        <v>0</v>
      </c>
      <c r="AS148" s="21" cm="1">
        <f t="array" ref="AS148">VLOOKUP($R148,武学奇术!$A:$ZZ,8,FALSE)+SUM(_xlfn.XLOOKUP(S148:AG148,增益!$A:$A,增益!$H:$H,0))</f>
        <v>0</v>
      </c>
      <c r="AT148">
        <f t="shared" si="75"/>
        <v>680.02</v>
      </c>
      <c r="AU148">
        <f t="shared" si="76"/>
        <v>1288.54</v>
      </c>
      <c r="AV148" s="26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26" cm="1">
        <f t="array" ref="AW148">$G$11+VLOOKUP($R148,武学奇术!$A:$ZZ,10,FALSE)+SUM(_xlfn.XLOOKUP(S148:AG148,增益!$A:$A,增益!$J:$J,0))</f>
        <v>0.15</v>
      </c>
      <c r="AX148">
        <f t="shared" si="77"/>
        <v>0</v>
      </c>
      <c r="AY148">
        <f t="shared" si="78"/>
        <v>0</v>
      </c>
      <c r="AZ148" s="26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26" cm="1">
        <f t="array" ref="BA148">$G$12+VLOOKUP($R148,武学奇术!$A:$ZZ,12,FALSE)+SUM(_xlfn.XLOOKUP(S148:AG148,增益!$A:$A,增益!$L:$L,0))</f>
        <v>0</v>
      </c>
      <c r="BB148">
        <f t="shared" si="79"/>
        <v>0</v>
      </c>
      <c r="BC148">
        <f t="shared" si="80"/>
        <v>0</v>
      </c>
      <c r="BD148" s="26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26" cm="1">
        <f t="array" ref="BE148">$G$13+VLOOKUP($R148,武学奇术!$A:$ZZ,14,FALSE)+SUM(_xlfn.XLOOKUP(S148:AG148,增益!$A:$A,增益!$N:$N,0))</f>
        <v>0</v>
      </c>
      <c r="BF148">
        <f t="shared" si="81"/>
        <v>0</v>
      </c>
      <c r="BG148">
        <f t="shared" si="82"/>
        <v>0</v>
      </c>
      <c r="BH148" s="26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26" cm="1">
        <f t="array" ref="BI148">$G$14+VLOOKUP($R148,武学奇术!$A:$ZZ,16,FALSE)+SUM(_xlfn.XLOOKUP(S148:AG148,增益!$A:$A,增益!$P:$P,0))</f>
        <v>0</v>
      </c>
      <c r="BJ148" s="21">
        <f>MIN(IF(VLOOKUP($R148,武学奇术!$A:$ZZ,23,FALSE)=1,100%,$B$8),100%)</f>
        <v>0.8229</v>
      </c>
      <c r="BK148" s="21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0.2285</v>
      </c>
      <c r="BL148" s="21" cm="1">
        <f t="array" ref="BL148">1+$B$13+VLOOKUP($R148,武学奇术!$A:$ZZ,18,FALSE)+SUM(_xlfn.XLOOKUP(S148:AG148,增益!$A:$A,增益!$R:$R,0))</f>
        <v>1.5</v>
      </c>
      <c r="BM148" s="21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0.4495</v>
      </c>
      <c r="BN148" s="21" cm="1">
        <f t="array" ref="BN148">1+$B$14+VLOOKUP($R148,武学奇术!$A:$ZZ,20,FALSE)+SUM(_xlfn.XLOOKUP(S148:AG148,增益!$A:$A,增益!$T:$T,0))</f>
        <v>1.532</v>
      </c>
      <c r="BO148" s="21">
        <f t="shared" si="83"/>
        <v>0.18803265</v>
      </c>
      <c r="BP148" s="21">
        <f t="shared" si="84"/>
        <v>0.2649738</v>
      </c>
      <c r="BQ148" s="21">
        <f>IF(VLOOKUP($R148,武学奇术!$A:$ZZ,22,FALSE)=1,0,(1-$BJ148))*(1-$BM148)</f>
        <v>0.09749355</v>
      </c>
      <c r="BR148" s="21" cm="1">
        <f t="array" ref="BR148">SUM(_xlfn.XLOOKUP(S148:AG148,增益!$A:$A,增益!$W:$W,0))+$I$5</f>
        <v>0.06</v>
      </c>
    </row>
    <row r="149" spans="6:70">
      <c r="K149" s="24">
        <f>$L149*VLOOKUP($R149,武学奇术!$A:$ZZ,31,FALSE)</f>
        <v>4296.77314757903</v>
      </c>
      <c r="L149" s="24">
        <f t="shared" si="74"/>
        <v>8593.54629515807</v>
      </c>
      <c r="M149" s="24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7823.01984326792</v>
      </c>
      <c r="N149" s="24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12241.9640059051</v>
      </c>
      <c r="O149" s="24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5215.34656217861</v>
      </c>
      <c r="P149" s="24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2439.85500039831</v>
      </c>
      <c r="Q149" s="31">
        <v>1</v>
      </c>
      <c r="R149" s="32" t="s">
        <v>194</v>
      </c>
      <c r="S149" s="32" t="s">
        <v>87</v>
      </c>
      <c r="T149" s="32" t="s">
        <v>96</v>
      </c>
      <c r="U149" s="32" t="s">
        <v>97</v>
      </c>
      <c r="V149" s="32" t="s">
        <v>73</v>
      </c>
      <c r="W149" s="32" t="s">
        <v>111</v>
      </c>
      <c r="X149" s="32" t="s">
        <v>127</v>
      </c>
      <c r="Y149" s="32" t="s">
        <v>73</v>
      </c>
      <c r="Z149" s="32" t="s">
        <v>73</v>
      </c>
      <c r="AA149" s="32" t="s">
        <v>81</v>
      </c>
      <c r="AB149" s="32" t="s">
        <v>75</v>
      </c>
      <c r="AC149" s="32" t="s">
        <v>89</v>
      </c>
      <c r="AD149" s="32" t="s">
        <v>82</v>
      </c>
      <c r="AE149" s="32" t="s">
        <v>90</v>
      </c>
      <c r="AF149" s="32" t="s">
        <v>77</v>
      </c>
      <c r="AG149" s="32" t="s">
        <v>117</v>
      </c>
      <c r="AH149" t="str">
        <f>VLOOKUP($R149,武学奇术!$A:$ZZ,25,FALSE)</f>
        <v>单体奇术</v>
      </c>
      <c r="AI149" s="21">
        <f>VLOOKUP($R149,武学奇术!$A:$ZZ,26,FALSE)</f>
        <v>0.236</v>
      </c>
      <c r="AJ149" s="22">
        <f>VLOOKUP($R149,武学奇术!$A:$ZZ,27,FALSE)*(1+IF(OR($AH149=$F$4,$AH149=$F$5),$B$22,0))</f>
        <v>46</v>
      </c>
      <c r="AK149" s="21">
        <f>VLOOKUP($R149,武学奇术!$A:$ZZ,28,FALSE)</f>
        <v>0.354</v>
      </c>
      <c r="AL149" s="22">
        <f>VLOOKUP($R149,武学奇术!$A:$ZZ,29,FALSE)*(1+IF(OR($AH149=$F$4,$AH149=$F$5),$B$22,0))</f>
        <v>0</v>
      </c>
      <c r="AM149" s="21" cm="1">
        <f t="array" ref="AM149">$G$3+IFERROR(VLOOKUP($AH149,$F$4:$G$7,2,FALSE),0)+VLOOKUP($R149,武学奇术!$A:$ZZ,2,FALSE)+SUM(_xlfn.XLOOKUP($S149:$AG149,增益!$A:$A,增益!$B:$B,0))</f>
        <v>1.543</v>
      </c>
      <c r="AN149" s="21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1862.48</v>
      </c>
      <c r="AP149" cm="1">
        <f t="array" ref="AP149">$E$10*(1+$AN149)+VLOOKUP($R149,武学奇术!$A:$ZZ,4,FALSE)+SUM(_xlfn.XLOOKUP($S149:$AG149,增益!$A:$A,增益!$D:$D,0))-$I$2</f>
        <v>7794.56</v>
      </c>
      <c r="AQ149" s="26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0.294</v>
      </c>
      <c r="AR149" s="26" cm="1">
        <f t="array" ref="AR149">$G$10+VLOOKUP($R149,武学奇术!$A:$ZZ,7,FALSE)+SUM(_xlfn.XLOOKUP(S149:AG149,增益!$A:$A,增益!$G:$G,0))</f>
        <v>0</v>
      </c>
      <c r="AS149" s="21" cm="1">
        <f t="array" ref="AS149">VLOOKUP($R149,武学奇术!$A:$ZZ,8,FALSE)+SUM(_xlfn.XLOOKUP(S149:AG149,增益!$A:$A,增益!$H:$H,0))</f>
        <v>0</v>
      </c>
      <c r="AT149">
        <f t="shared" si="75"/>
        <v>680.02</v>
      </c>
      <c r="AU149">
        <f t="shared" si="76"/>
        <v>1288.54</v>
      </c>
      <c r="AV149" s="26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26" cm="1">
        <f t="array" ref="AW149">$G$11+VLOOKUP($R149,武学奇术!$A:$ZZ,10,FALSE)+SUM(_xlfn.XLOOKUP(S149:AG149,增益!$A:$A,增益!$J:$J,0))</f>
        <v>0.15</v>
      </c>
      <c r="AX149">
        <f t="shared" si="77"/>
        <v>0</v>
      </c>
      <c r="AY149">
        <f t="shared" si="78"/>
        <v>0</v>
      </c>
      <c r="AZ149" s="26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26" cm="1">
        <f t="array" ref="BA149">$G$12+VLOOKUP($R149,武学奇术!$A:$ZZ,12,FALSE)+SUM(_xlfn.XLOOKUP(S149:AG149,增益!$A:$A,增益!$L:$L,0))</f>
        <v>0</v>
      </c>
      <c r="BB149">
        <f t="shared" si="79"/>
        <v>0</v>
      </c>
      <c r="BC149">
        <f t="shared" si="80"/>
        <v>0</v>
      </c>
      <c r="BD149" s="26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26" cm="1">
        <f t="array" ref="BE149">$G$13+VLOOKUP($R149,武学奇术!$A:$ZZ,14,FALSE)+SUM(_xlfn.XLOOKUP(S149:AG149,增益!$A:$A,增益!$N:$N,0))</f>
        <v>0</v>
      </c>
      <c r="BF149">
        <f t="shared" si="81"/>
        <v>0</v>
      </c>
      <c r="BG149">
        <f t="shared" si="82"/>
        <v>0</v>
      </c>
      <c r="BH149" s="26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26" cm="1">
        <f t="array" ref="BI149">$G$14+VLOOKUP($R149,武学奇术!$A:$ZZ,16,FALSE)+SUM(_xlfn.XLOOKUP(S149:AG149,增益!$A:$A,增益!$P:$P,0))</f>
        <v>0</v>
      </c>
      <c r="BJ149" s="21">
        <f>MIN(IF(VLOOKUP($R149,武学奇术!$A:$ZZ,23,FALSE)=1,100%,$B$8),100%)</f>
        <v>0.8229</v>
      </c>
      <c r="BK149" s="21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0.2285</v>
      </c>
      <c r="BL149" s="21" cm="1">
        <f t="array" ref="BL149">1+$B$13+VLOOKUP($R149,武学奇术!$A:$ZZ,18,FALSE)+SUM(_xlfn.XLOOKUP(S149:AG149,增益!$A:$A,增益!$R:$R,0))</f>
        <v>1.5</v>
      </c>
      <c r="BM149" s="21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0.4495</v>
      </c>
      <c r="BN149" s="21" cm="1">
        <f t="array" ref="BN149">1+$B$14+VLOOKUP($R149,武学奇术!$A:$ZZ,20,FALSE)+SUM(_xlfn.XLOOKUP(S149:AG149,增益!$A:$A,增益!$T:$T,0))</f>
        <v>1.532</v>
      </c>
      <c r="BO149" s="21">
        <f t="shared" si="83"/>
        <v>0.18803265</v>
      </c>
      <c r="BP149" s="21">
        <f t="shared" si="84"/>
        <v>0.2649738</v>
      </c>
      <c r="BQ149" s="21">
        <f>IF(VLOOKUP($R149,武学奇术!$A:$ZZ,22,FALSE)=1,0,(1-$BJ149))*(1-$BM149)</f>
        <v>0.09749355</v>
      </c>
      <c r="BR149" s="21" cm="1">
        <f t="array" ref="BR149">SUM(_xlfn.XLOOKUP(S149:AG149,增益!$A:$A,增益!$W:$W,0))+$I$5</f>
        <v>0.06</v>
      </c>
    </row>
    <row r="150" spans="6:70">
      <c r="K150" s="24">
        <f>$L150*VLOOKUP($R150,武学奇术!$A:$ZZ,31,FALSE)</f>
        <v>4296.77314757903</v>
      </c>
      <c r="L150" s="24">
        <f t="shared" si="74"/>
        <v>8593.54629515807</v>
      </c>
      <c r="M150" s="24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7823.01984326792</v>
      </c>
      <c r="N150" s="24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12241.9640059051</v>
      </c>
      <c r="O150" s="24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5215.34656217861</v>
      </c>
      <c r="P150" s="24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2439.85500039831</v>
      </c>
      <c r="Q150" s="31">
        <v>1</v>
      </c>
      <c r="R150" s="32" t="s">
        <v>194</v>
      </c>
      <c r="S150" s="32" t="s">
        <v>87</v>
      </c>
      <c r="T150" s="32" t="s">
        <v>96</v>
      </c>
      <c r="U150" s="32" t="s">
        <v>97</v>
      </c>
      <c r="V150" s="32" t="s">
        <v>73</v>
      </c>
      <c r="W150" s="32" t="s">
        <v>111</v>
      </c>
      <c r="X150" s="32" t="s">
        <v>127</v>
      </c>
      <c r="Y150" s="32" t="s">
        <v>73</v>
      </c>
      <c r="Z150" s="32" t="s">
        <v>73</v>
      </c>
      <c r="AA150" s="32" t="s">
        <v>81</v>
      </c>
      <c r="AB150" s="32" t="s">
        <v>75</v>
      </c>
      <c r="AC150" s="32" t="s">
        <v>76</v>
      </c>
      <c r="AD150" s="32" t="s">
        <v>82</v>
      </c>
      <c r="AE150" s="32" t="s">
        <v>90</v>
      </c>
      <c r="AF150" s="32" t="s">
        <v>77</v>
      </c>
      <c r="AG150" s="32" t="s">
        <v>117</v>
      </c>
      <c r="AH150" t="str">
        <f>VLOOKUP($R150,武学奇术!$A:$ZZ,25,FALSE)</f>
        <v>单体奇术</v>
      </c>
      <c r="AI150" s="21">
        <f>VLOOKUP($R150,武学奇术!$A:$ZZ,26,FALSE)</f>
        <v>0.236</v>
      </c>
      <c r="AJ150" s="22">
        <f>VLOOKUP($R150,武学奇术!$A:$ZZ,27,FALSE)*(1+IF(OR($AH150=$F$4,$AH150=$F$5),$B$22,0))</f>
        <v>46</v>
      </c>
      <c r="AK150" s="21">
        <f>VLOOKUP($R150,武学奇术!$A:$ZZ,28,FALSE)</f>
        <v>0.354</v>
      </c>
      <c r="AL150" s="22">
        <f>VLOOKUP($R150,武学奇术!$A:$ZZ,29,FALSE)*(1+IF(OR($AH150=$F$4,$AH150=$F$5),$B$22,0))</f>
        <v>0</v>
      </c>
      <c r="AM150" s="21" cm="1">
        <f t="array" ref="AM150">$G$3+IFERROR(VLOOKUP($AH150,$F$4:$G$7,2,FALSE),0)+VLOOKUP($R150,武学奇术!$A:$ZZ,2,FALSE)+SUM(_xlfn.XLOOKUP($S150:$AG150,增益!$A:$A,增益!$B:$B,0))</f>
        <v>1.543</v>
      </c>
      <c r="AN150" s="21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1862.48</v>
      </c>
      <c r="AP150" cm="1">
        <f t="array" ref="AP150">$E$10*(1+$AN150)+VLOOKUP($R150,武学奇术!$A:$ZZ,4,FALSE)+SUM(_xlfn.XLOOKUP($S150:$AG150,增益!$A:$A,增益!$D:$D,0))-$I$2</f>
        <v>7794.56</v>
      </c>
      <c r="AQ150" s="26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0.294</v>
      </c>
      <c r="AR150" s="26" cm="1">
        <f t="array" ref="AR150">$G$10+VLOOKUP($R150,武学奇术!$A:$ZZ,7,FALSE)+SUM(_xlfn.XLOOKUP(S150:AG150,增益!$A:$A,增益!$G:$G,0))</f>
        <v>0</v>
      </c>
      <c r="AS150" s="21" cm="1">
        <f t="array" ref="AS150">VLOOKUP($R150,武学奇术!$A:$ZZ,8,FALSE)+SUM(_xlfn.XLOOKUP(S150:AG150,增益!$A:$A,增益!$H:$H,0))</f>
        <v>0</v>
      </c>
      <c r="AT150">
        <f t="shared" si="75"/>
        <v>680.02</v>
      </c>
      <c r="AU150">
        <f t="shared" si="76"/>
        <v>1288.54</v>
      </c>
      <c r="AV150" s="26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26" cm="1">
        <f t="array" ref="AW150">$G$11+VLOOKUP($R150,武学奇术!$A:$ZZ,10,FALSE)+SUM(_xlfn.XLOOKUP(S150:AG150,增益!$A:$A,增益!$J:$J,0))</f>
        <v>0.15</v>
      </c>
      <c r="AX150">
        <f t="shared" si="77"/>
        <v>0</v>
      </c>
      <c r="AY150">
        <f t="shared" si="78"/>
        <v>0</v>
      </c>
      <c r="AZ150" s="26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26" cm="1">
        <f t="array" ref="BA150">$G$12+VLOOKUP($R150,武学奇术!$A:$ZZ,12,FALSE)+SUM(_xlfn.XLOOKUP(S150:AG150,增益!$A:$A,增益!$L:$L,0))</f>
        <v>0</v>
      </c>
      <c r="BB150">
        <f t="shared" si="79"/>
        <v>0</v>
      </c>
      <c r="BC150">
        <f t="shared" si="80"/>
        <v>0</v>
      </c>
      <c r="BD150" s="26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26" cm="1">
        <f t="array" ref="BE150">$G$13+VLOOKUP($R150,武学奇术!$A:$ZZ,14,FALSE)+SUM(_xlfn.XLOOKUP(S150:AG150,增益!$A:$A,增益!$N:$N,0))</f>
        <v>0</v>
      </c>
      <c r="BF150">
        <f t="shared" si="81"/>
        <v>0</v>
      </c>
      <c r="BG150">
        <f t="shared" si="82"/>
        <v>0</v>
      </c>
      <c r="BH150" s="26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26" cm="1">
        <f t="array" ref="BI150">$G$14+VLOOKUP($R150,武学奇术!$A:$ZZ,16,FALSE)+SUM(_xlfn.XLOOKUP(S150:AG150,增益!$A:$A,增益!$P:$P,0))</f>
        <v>0</v>
      </c>
      <c r="BJ150" s="21">
        <f>MIN(IF(VLOOKUP($R150,武学奇术!$A:$ZZ,23,FALSE)=1,100%,$B$8),100%)</f>
        <v>0.8229</v>
      </c>
      <c r="BK150" s="21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0.2285</v>
      </c>
      <c r="BL150" s="21" cm="1">
        <f t="array" ref="BL150">1+$B$13+VLOOKUP($R150,武学奇术!$A:$ZZ,18,FALSE)+SUM(_xlfn.XLOOKUP(S150:AG150,增益!$A:$A,增益!$R:$R,0))</f>
        <v>1.5</v>
      </c>
      <c r="BM150" s="21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0.4495</v>
      </c>
      <c r="BN150" s="21" cm="1">
        <f t="array" ref="BN150">1+$B$14+VLOOKUP($R150,武学奇术!$A:$ZZ,20,FALSE)+SUM(_xlfn.XLOOKUP(S150:AG150,增益!$A:$A,增益!$T:$T,0))</f>
        <v>1.532</v>
      </c>
      <c r="BO150" s="21">
        <f t="shared" si="83"/>
        <v>0.18803265</v>
      </c>
      <c r="BP150" s="21">
        <f t="shared" si="84"/>
        <v>0.2649738</v>
      </c>
      <c r="BQ150" s="21">
        <f>IF(VLOOKUP($R150,武学奇术!$A:$ZZ,22,FALSE)=1,0,(1-$BJ150))*(1-$BM150)</f>
        <v>0.09749355</v>
      </c>
      <c r="BR150" s="21" cm="1">
        <f t="array" ref="BR150">SUM(_xlfn.XLOOKUP(S150:AG150,增益!$A:$A,增益!$W:$W,0))+$I$5</f>
        <v>0.06</v>
      </c>
    </row>
    <row r="151" spans="6:70">
      <c r="K151" s="24">
        <f>$L151*VLOOKUP($R151,武学奇术!$A:$ZZ,31,FALSE)</f>
        <v>25888.3953375758</v>
      </c>
      <c r="L151" s="24">
        <f t="shared" si="74"/>
        <v>51776.7906751516</v>
      </c>
      <c r="M151" s="24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46938.1190596075</v>
      </c>
      <c r="N151" s="24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73931.234322868</v>
      </c>
      <c r="O151" s="24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31292.0793730717</v>
      </c>
      <c r="P151" s="24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14639.1300023898</v>
      </c>
      <c r="Q151" s="31">
        <v>6</v>
      </c>
      <c r="R151" s="32" t="s">
        <v>194</v>
      </c>
      <c r="S151" s="32" t="s">
        <v>87</v>
      </c>
      <c r="T151" s="32" t="s">
        <v>96</v>
      </c>
      <c r="U151" s="32" t="s">
        <v>97</v>
      </c>
      <c r="V151" s="32" t="s">
        <v>73</v>
      </c>
      <c r="W151" s="32" t="s">
        <v>111</v>
      </c>
      <c r="X151" s="32" t="s">
        <v>127</v>
      </c>
      <c r="Y151" s="32" t="s">
        <v>73</v>
      </c>
      <c r="Z151" s="32" t="s">
        <v>73</v>
      </c>
      <c r="AA151" s="32" t="s">
        <v>81</v>
      </c>
      <c r="AB151" s="32" t="s">
        <v>75</v>
      </c>
      <c r="AC151" s="32" t="s">
        <v>76</v>
      </c>
      <c r="AD151" s="32" t="s">
        <v>82</v>
      </c>
      <c r="AE151" s="32" t="s">
        <v>90</v>
      </c>
      <c r="AF151" s="32" t="s">
        <v>77</v>
      </c>
      <c r="AG151" s="32" t="s">
        <v>128</v>
      </c>
      <c r="AH151" t="str">
        <f>VLOOKUP($R151,武学奇术!$A:$ZZ,25,FALSE)</f>
        <v>单体奇术</v>
      </c>
      <c r="AI151" s="21">
        <f>VLOOKUP($R151,武学奇术!$A:$ZZ,26,FALSE)</f>
        <v>0.236</v>
      </c>
      <c r="AJ151" s="22">
        <f>VLOOKUP($R151,武学奇术!$A:$ZZ,27,FALSE)*(1+IF(OR($AH151=$F$4,$AH151=$F$5),$B$22,0))</f>
        <v>46</v>
      </c>
      <c r="AK151" s="21">
        <f>VLOOKUP($R151,武学奇术!$A:$ZZ,28,FALSE)</f>
        <v>0.354</v>
      </c>
      <c r="AL151" s="22">
        <f>VLOOKUP($R151,武学奇术!$A:$ZZ,29,FALSE)*(1+IF(OR($AH151=$F$4,$AH151=$F$5),$B$22,0))</f>
        <v>0</v>
      </c>
      <c r="AM151" s="21" cm="1">
        <f t="array" ref="AM151">$G$3+IFERROR(VLOOKUP($AH151,$F$4:$G$7,2,FALSE),0)+VLOOKUP($R151,武学奇术!$A:$ZZ,2,FALSE)+SUM(_xlfn.XLOOKUP($S151:$AG151,增益!$A:$A,增益!$B:$B,0))</f>
        <v>1.543</v>
      </c>
      <c r="AN151" s="21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1862.48</v>
      </c>
      <c r="AP151" cm="1">
        <f t="array" ref="AP151">$E$10*(1+$AN151)+VLOOKUP($R151,武学奇术!$A:$ZZ,4,FALSE)+SUM(_xlfn.XLOOKUP($S151:$AG151,增益!$A:$A,增益!$D:$D,0))-$I$2</f>
        <v>7794.56</v>
      </c>
      <c r="AQ151" s="26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0.294</v>
      </c>
      <c r="AR151" s="26" cm="1">
        <f t="array" ref="AR151">$G$10+VLOOKUP($R151,武学奇术!$A:$ZZ,7,FALSE)+SUM(_xlfn.XLOOKUP(S151:AG151,增益!$A:$A,增益!$G:$G,0))</f>
        <v>0</v>
      </c>
      <c r="AS151" s="21" cm="1">
        <f t="array" ref="AS151">VLOOKUP($R151,武学奇术!$A:$ZZ,8,FALSE)+SUM(_xlfn.XLOOKUP(S151:AG151,增益!$A:$A,增益!$H:$H,0))</f>
        <v>0</v>
      </c>
      <c r="AT151">
        <f t="shared" si="75"/>
        <v>680.02</v>
      </c>
      <c r="AU151">
        <f t="shared" si="76"/>
        <v>1288.54</v>
      </c>
      <c r="AV151" s="26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26" cm="1">
        <f t="array" ref="AW151">$G$11+VLOOKUP($R151,武学奇术!$A:$ZZ,10,FALSE)+SUM(_xlfn.XLOOKUP(S151:AG151,增益!$A:$A,增益!$J:$J,0))</f>
        <v>0.15</v>
      </c>
      <c r="AX151">
        <f t="shared" si="77"/>
        <v>0</v>
      </c>
      <c r="AY151">
        <f t="shared" si="78"/>
        <v>0</v>
      </c>
      <c r="AZ151" s="26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26" cm="1">
        <f t="array" ref="BA151">$G$12+VLOOKUP($R151,武学奇术!$A:$ZZ,12,FALSE)+SUM(_xlfn.XLOOKUP(S151:AG151,增益!$A:$A,增益!$L:$L,0))</f>
        <v>0</v>
      </c>
      <c r="BB151">
        <f t="shared" si="79"/>
        <v>0</v>
      </c>
      <c r="BC151">
        <f t="shared" si="80"/>
        <v>0</v>
      </c>
      <c r="BD151" s="26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26" cm="1">
        <f t="array" ref="BE151">$G$13+VLOOKUP($R151,武学奇术!$A:$ZZ,14,FALSE)+SUM(_xlfn.XLOOKUP(S151:AG151,增益!$A:$A,增益!$N:$N,0))</f>
        <v>0</v>
      </c>
      <c r="BF151">
        <f t="shared" si="81"/>
        <v>0</v>
      </c>
      <c r="BG151">
        <f t="shared" si="82"/>
        <v>0</v>
      </c>
      <c r="BH151" s="26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26" cm="1">
        <f t="array" ref="BI151">$G$14+VLOOKUP($R151,武学奇术!$A:$ZZ,16,FALSE)+SUM(_xlfn.XLOOKUP(S151:AG151,增益!$A:$A,增益!$P:$P,0))</f>
        <v>0</v>
      </c>
      <c r="BJ151" s="21">
        <f>MIN(IF(VLOOKUP($R151,武学奇术!$A:$ZZ,23,FALSE)=1,100%,$B$8),100%)</f>
        <v>0.8229</v>
      </c>
      <c r="BK151" s="21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0.2285</v>
      </c>
      <c r="BL151" s="21" cm="1">
        <f t="array" ref="BL151">1+$B$13+VLOOKUP($R151,武学奇术!$A:$ZZ,18,FALSE)+SUM(_xlfn.XLOOKUP(S151:AG151,增益!$A:$A,增益!$R:$R,0))</f>
        <v>1.5</v>
      </c>
      <c r="BM151" s="21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0.4495</v>
      </c>
      <c r="BN151" s="21" cm="1">
        <f t="array" ref="BN151">1+$B$14+VLOOKUP($R151,武学奇术!$A:$ZZ,20,FALSE)+SUM(_xlfn.XLOOKUP(S151:AG151,增益!$A:$A,增益!$T:$T,0))</f>
        <v>1.542</v>
      </c>
      <c r="BO151" s="21">
        <f t="shared" si="83"/>
        <v>0.18803265</v>
      </c>
      <c r="BP151" s="21">
        <f t="shared" si="84"/>
        <v>0.2649738</v>
      </c>
      <c r="BQ151" s="21">
        <f>IF(VLOOKUP($R151,武学奇术!$A:$ZZ,22,FALSE)=1,0,(1-$BJ151))*(1-$BM151)</f>
        <v>0.09749355</v>
      </c>
      <c r="BR151" s="21" cm="1">
        <f t="array" ref="BR151">SUM(_xlfn.XLOOKUP(S151:AG151,增益!$A:$A,增益!$W:$W,0))+$I$5</f>
        <v>0.06</v>
      </c>
    </row>
    <row r="152" spans="6:70">
      <c r="K152" s="24">
        <f>$L152*VLOOKUP($R152,武学奇术!$A:$ZZ,31,FALSE)</f>
        <v>17330.7678597849</v>
      </c>
      <c r="L152" s="24">
        <f t="shared" si="74"/>
        <v>34661.5357195698</v>
      </c>
      <c r="M152" s="24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31292.0793730717</v>
      </c>
      <c r="N152" s="24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49607.123073537</v>
      </c>
      <c r="O152" s="24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20861.3862487145</v>
      </c>
      <c r="P152" s="24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9759.42000159323</v>
      </c>
      <c r="Q152" s="31">
        <v>4</v>
      </c>
      <c r="R152" s="32" t="s">
        <v>194</v>
      </c>
      <c r="S152" s="32" t="s">
        <v>87</v>
      </c>
      <c r="T152" s="32" t="s">
        <v>96</v>
      </c>
      <c r="U152" s="32" t="s">
        <v>97</v>
      </c>
      <c r="V152" s="32" t="s">
        <v>73</v>
      </c>
      <c r="W152" s="32" t="s">
        <v>111</v>
      </c>
      <c r="X152" s="32" t="s">
        <v>127</v>
      </c>
      <c r="Y152" s="32" t="s">
        <v>73</v>
      </c>
      <c r="Z152" s="32" t="s">
        <v>73</v>
      </c>
      <c r="AA152" s="32" t="s">
        <v>81</v>
      </c>
      <c r="AB152" s="32" t="s">
        <v>75</v>
      </c>
      <c r="AC152" s="32" t="s">
        <v>76</v>
      </c>
      <c r="AD152" s="32" t="s">
        <v>82</v>
      </c>
      <c r="AE152" s="32" t="s">
        <v>90</v>
      </c>
      <c r="AF152" s="32" t="s">
        <v>77</v>
      </c>
      <c r="AG152" s="32" t="s">
        <v>144</v>
      </c>
      <c r="AH152" t="str">
        <f>VLOOKUP($R152,武学奇术!$A:$ZZ,25,FALSE)</f>
        <v>单体奇术</v>
      </c>
      <c r="AI152" s="21">
        <f>VLOOKUP($R152,武学奇术!$A:$ZZ,26,FALSE)</f>
        <v>0.236</v>
      </c>
      <c r="AJ152" s="22">
        <f>VLOOKUP($R152,武学奇术!$A:$ZZ,27,FALSE)*(1+IF(OR($AH152=$F$4,$AH152=$F$5),$B$22,0))</f>
        <v>46</v>
      </c>
      <c r="AK152" s="21">
        <f>VLOOKUP($R152,武学奇术!$A:$ZZ,28,FALSE)</f>
        <v>0.354</v>
      </c>
      <c r="AL152" s="22">
        <f>VLOOKUP($R152,武学奇术!$A:$ZZ,29,FALSE)*(1+IF(OR($AH152=$F$4,$AH152=$F$5),$B$22,0))</f>
        <v>0</v>
      </c>
      <c r="AM152" s="21" cm="1">
        <f t="array" ref="AM152">$G$3+IFERROR(VLOOKUP($AH152,$F$4:$G$7,2,FALSE),0)+VLOOKUP($R152,武学奇术!$A:$ZZ,2,FALSE)+SUM(_xlfn.XLOOKUP($S152:$AG152,增益!$A:$A,增益!$B:$B,0))</f>
        <v>1.543</v>
      </c>
      <c r="AN152" s="21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1862.48</v>
      </c>
      <c r="AP152" cm="1">
        <f t="array" ref="AP152">$E$10*(1+$AN152)+VLOOKUP($R152,武学奇术!$A:$ZZ,4,FALSE)+SUM(_xlfn.XLOOKUP($S152:$AG152,增益!$A:$A,增益!$D:$D,0))-$I$2</f>
        <v>7794.56</v>
      </c>
      <c r="AQ152" s="26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0.294</v>
      </c>
      <c r="AR152" s="26" cm="1">
        <f t="array" ref="AR152">$G$10+VLOOKUP($R152,武学奇术!$A:$ZZ,7,FALSE)+SUM(_xlfn.XLOOKUP(S152:AG152,增益!$A:$A,增益!$G:$G,0))</f>
        <v>0</v>
      </c>
      <c r="AS152" s="21" cm="1">
        <f t="array" ref="AS152">VLOOKUP($R152,武学奇术!$A:$ZZ,8,FALSE)+SUM(_xlfn.XLOOKUP(S152:AG152,增益!$A:$A,增益!$H:$H,0))</f>
        <v>0</v>
      </c>
      <c r="AT152">
        <f t="shared" si="75"/>
        <v>680.02</v>
      </c>
      <c r="AU152">
        <f t="shared" si="76"/>
        <v>1288.54</v>
      </c>
      <c r="AV152" s="26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26" cm="1">
        <f t="array" ref="AW152">$G$11+VLOOKUP($R152,武学奇术!$A:$ZZ,10,FALSE)+SUM(_xlfn.XLOOKUP(S152:AG152,增益!$A:$A,增益!$J:$J,0))</f>
        <v>0.15</v>
      </c>
      <c r="AX152">
        <f t="shared" si="77"/>
        <v>0</v>
      </c>
      <c r="AY152">
        <f t="shared" si="78"/>
        <v>0</v>
      </c>
      <c r="AZ152" s="26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26" cm="1">
        <f t="array" ref="BA152">$G$12+VLOOKUP($R152,武学奇术!$A:$ZZ,12,FALSE)+SUM(_xlfn.XLOOKUP(S152:AG152,增益!$A:$A,增益!$L:$L,0))</f>
        <v>0</v>
      </c>
      <c r="BB152">
        <f t="shared" si="79"/>
        <v>0</v>
      </c>
      <c r="BC152">
        <f t="shared" si="80"/>
        <v>0</v>
      </c>
      <c r="BD152" s="26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26" cm="1">
        <f t="array" ref="BE152">$G$13+VLOOKUP($R152,武学奇术!$A:$ZZ,14,FALSE)+SUM(_xlfn.XLOOKUP(S152:AG152,增益!$A:$A,增益!$N:$N,0))</f>
        <v>0</v>
      </c>
      <c r="BF152">
        <f t="shared" si="81"/>
        <v>0</v>
      </c>
      <c r="BG152">
        <f t="shared" si="82"/>
        <v>0</v>
      </c>
      <c r="BH152" s="26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26" cm="1">
        <f t="array" ref="BI152">$G$14+VLOOKUP($R152,武学奇术!$A:$ZZ,16,FALSE)+SUM(_xlfn.XLOOKUP(S152:AG152,增益!$A:$A,增益!$P:$P,0))</f>
        <v>0</v>
      </c>
      <c r="BJ152" s="21">
        <f>MIN(IF(VLOOKUP($R152,武学奇术!$A:$ZZ,23,FALSE)=1,100%,$B$8),100%)</f>
        <v>0.8229</v>
      </c>
      <c r="BK152" s="21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0.2285</v>
      </c>
      <c r="BL152" s="21" cm="1">
        <f t="array" ref="BL152">1+$B$13+VLOOKUP($R152,武学奇术!$A:$ZZ,18,FALSE)+SUM(_xlfn.XLOOKUP(S152:AG152,增益!$A:$A,增益!$R:$R,0))</f>
        <v>1.5</v>
      </c>
      <c r="BM152" s="21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0.4495</v>
      </c>
      <c r="BN152" s="21" cm="1">
        <f t="array" ref="BN152">1+$B$14+VLOOKUP($R152,武学奇术!$A:$ZZ,20,FALSE)+SUM(_xlfn.XLOOKUP(S152:AG152,增益!$A:$A,增益!$T:$T,0))</f>
        <v>1.552</v>
      </c>
      <c r="BO152" s="21">
        <f t="shared" si="83"/>
        <v>0.18803265</v>
      </c>
      <c r="BP152" s="21">
        <f t="shared" si="84"/>
        <v>0.2649738</v>
      </c>
      <c r="BQ152" s="21">
        <f>IF(VLOOKUP($R152,武学奇术!$A:$ZZ,22,FALSE)=1,0,(1-$BJ152))*(1-$BM152)</f>
        <v>0.09749355</v>
      </c>
      <c r="BR152" s="21" cm="1">
        <f t="array" ref="BR152">SUM(_xlfn.XLOOKUP(S152:AG152,增益!$A:$A,增益!$W:$W,0))+$I$5</f>
        <v>0.06</v>
      </c>
    </row>
    <row r="153" spans="6:70">
      <c r="K153" s="24">
        <f>$L153*VLOOKUP($R153,武学奇术!$A:$ZZ,31,FALSE)</f>
        <v>7816.55599131501</v>
      </c>
      <c r="L153" s="24">
        <f t="shared" si="74"/>
        <v>15633.11198263</v>
      </c>
      <c r="M153" s="24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14100.0865234119</v>
      </c>
      <c r="N153" s="24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22390.9480110087</v>
      </c>
      <c r="O153" s="24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9400.0576822746</v>
      </c>
      <c r="P153" s="24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4372.95814096116</v>
      </c>
      <c r="Q153" s="31">
        <v>2</v>
      </c>
      <c r="R153" s="32" t="s">
        <v>194</v>
      </c>
      <c r="S153" s="32" t="s">
        <v>87</v>
      </c>
      <c r="T153" s="32" t="s">
        <v>96</v>
      </c>
      <c r="U153" s="32" t="s">
        <v>97</v>
      </c>
      <c r="V153" s="32" t="s">
        <v>73</v>
      </c>
      <c r="W153" s="32" t="s">
        <v>73</v>
      </c>
      <c r="X153" s="32" t="s">
        <v>127</v>
      </c>
      <c r="Y153" s="32" t="s">
        <v>73</v>
      </c>
      <c r="Z153" s="32" t="s">
        <v>73</v>
      </c>
      <c r="AA153" s="32" t="s">
        <v>81</v>
      </c>
      <c r="AB153" s="32" t="s">
        <v>75</v>
      </c>
      <c r="AC153" s="32" t="s">
        <v>76</v>
      </c>
      <c r="AD153" s="32" t="s">
        <v>82</v>
      </c>
      <c r="AE153" s="32" t="s">
        <v>73</v>
      </c>
      <c r="AF153" s="32" t="s">
        <v>77</v>
      </c>
      <c r="AG153" s="32" t="s">
        <v>144</v>
      </c>
      <c r="AH153" t="str">
        <f>VLOOKUP($R153,武学奇术!$A:$ZZ,25,FALSE)</f>
        <v>单体奇术</v>
      </c>
      <c r="AI153" s="21">
        <f>VLOOKUP($R153,武学奇术!$A:$ZZ,26,FALSE)</f>
        <v>0.236</v>
      </c>
      <c r="AJ153" s="22">
        <f>VLOOKUP($R153,武学奇术!$A:$ZZ,27,FALSE)*(1+IF(OR($AH153=$F$4,$AH153=$F$5),$B$22,0))</f>
        <v>46</v>
      </c>
      <c r="AK153" s="21">
        <f>VLOOKUP($R153,武学奇术!$A:$ZZ,28,FALSE)</f>
        <v>0.354</v>
      </c>
      <c r="AL153" s="22">
        <f>VLOOKUP($R153,武学奇术!$A:$ZZ,29,FALSE)*(1+IF(OR($AH153=$F$4,$AH153=$F$5),$B$22,0))</f>
        <v>0</v>
      </c>
      <c r="AM153" s="21" cm="1">
        <f t="array" ref="AM153">$G$3+IFERROR(VLOOKUP($AH153,$F$4:$G$7,2,FALSE),0)+VLOOKUP($R153,武学奇术!$A:$ZZ,2,FALSE)+SUM(_xlfn.XLOOKUP($S153:$AG153,增益!$A:$A,增益!$B:$B,0))</f>
        <v>1.303</v>
      </c>
      <c r="AN153" s="21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1831.48</v>
      </c>
      <c r="AP153" cm="1">
        <f t="array" ref="AP153">$E$10*(1+$AN153)+VLOOKUP($R153,武学奇术!$A:$ZZ,4,FALSE)+SUM(_xlfn.XLOOKUP($S153:$AG153,增益!$A:$A,增益!$D:$D,0))-$I$2</f>
        <v>7763.56</v>
      </c>
      <c r="AQ153" s="26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0.294</v>
      </c>
      <c r="AR153" s="26" cm="1">
        <f t="array" ref="AR153">$G$10+VLOOKUP($R153,武学奇术!$A:$ZZ,7,FALSE)+SUM(_xlfn.XLOOKUP(S153:AG153,增益!$A:$A,增益!$G:$G,0))</f>
        <v>0</v>
      </c>
      <c r="AS153" s="21" cm="1">
        <f t="array" ref="AS153">VLOOKUP($R153,武学奇术!$A:$ZZ,8,FALSE)+SUM(_xlfn.XLOOKUP(S153:AG153,增益!$A:$A,增益!$H:$H,0))</f>
        <v>0</v>
      </c>
      <c r="AT153">
        <f t="shared" si="75"/>
        <v>680.02</v>
      </c>
      <c r="AU153">
        <f t="shared" si="76"/>
        <v>1288.54</v>
      </c>
      <c r="AV153" s="26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26" cm="1">
        <f t="array" ref="AW153">$G$11+VLOOKUP($R153,武学奇术!$A:$ZZ,10,FALSE)+SUM(_xlfn.XLOOKUP(S153:AG153,增益!$A:$A,增益!$J:$J,0))</f>
        <v>0.15</v>
      </c>
      <c r="AX153">
        <f t="shared" si="77"/>
        <v>0</v>
      </c>
      <c r="AY153">
        <f t="shared" si="78"/>
        <v>0</v>
      </c>
      <c r="AZ153" s="26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26" cm="1">
        <f t="array" ref="BA153">$G$12+VLOOKUP($R153,武学奇术!$A:$ZZ,12,FALSE)+SUM(_xlfn.XLOOKUP(S153:AG153,增益!$A:$A,增益!$L:$L,0))</f>
        <v>0</v>
      </c>
      <c r="BB153">
        <f t="shared" si="79"/>
        <v>0</v>
      </c>
      <c r="BC153">
        <f t="shared" si="80"/>
        <v>0</v>
      </c>
      <c r="BD153" s="26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26" cm="1">
        <f t="array" ref="BE153">$G$13+VLOOKUP($R153,武学奇术!$A:$ZZ,14,FALSE)+SUM(_xlfn.XLOOKUP(S153:AG153,增益!$A:$A,增益!$N:$N,0))</f>
        <v>0</v>
      </c>
      <c r="BF153">
        <f t="shared" si="81"/>
        <v>0</v>
      </c>
      <c r="BG153">
        <f t="shared" si="82"/>
        <v>0</v>
      </c>
      <c r="BH153" s="26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26" cm="1">
        <f t="array" ref="BI153">$G$14+VLOOKUP($R153,武学奇术!$A:$ZZ,16,FALSE)+SUM(_xlfn.XLOOKUP(S153:AG153,增益!$A:$A,增益!$P:$P,0))</f>
        <v>0</v>
      </c>
      <c r="BJ153" s="21">
        <f>MIN(IF(VLOOKUP($R153,武学奇术!$A:$ZZ,23,FALSE)=1,100%,$B$8),100%)</f>
        <v>0.8229</v>
      </c>
      <c r="BK153" s="21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0.2285</v>
      </c>
      <c r="BL153" s="21" cm="1">
        <f t="array" ref="BL153">1+$B$13+VLOOKUP($R153,武学奇术!$A:$ZZ,18,FALSE)+SUM(_xlfn.XLOOKUP(S153:AG153,增益!$A:$A,增益!$R:$R,0))</f>
        <v>1.5</v>
      </c>
      <c r="BM153" s="21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0.4495</v>
      </c>
      <c r="BN153" s="21" cm="1">
        <f t="array" ref="BN153">1+$B$14+VLOOKUP($R153,武学奇术!$A:$ZZ,20,FALSE)+SUM(_xlfn.XLOOKUP(S153:AG153,增益!$A:$A,增益!$T:$T,0))</f>
        <v>1.552</v>
      </c>
      <c r="BO153" s="21">
        <f t="shared" si="83"/>
        <v>0.18803265</v>
      </c>
      <c r="BP153" s="21">
        <f t="shared" si="84"/>
        <v>0.2649738</v>
      </c>
      <c r="BQ153" s="21">
        <f>IF(VLOOKUP($R153,武学奇术!$A:$ZZ,22,FALSE)=1,0,(1-$BJ153))*(1-$BM153)</f>
        <v>0.09749355</v>
      </c>
      <c r="BR153" s="21" cm="1">
        <f t="array" ref="BR153">SUM(_xlfn.XLOOKUP(S153:AG153,增益!$A:$A,增益!$W:$W,0))+$I$5</f>
        <v>0.06</v>
      </c>
    </row>
    <row r="154" spans="6:70">
      <c r="K154" s="24">
        <f>$L154*VLOOKUP($R154,武学奇术!$A:$ZZ,31,FALSE)</f>
        <v>7848.98102717502</v>
      </c>
      <c r="L154" s="24">
        <f t="shared" si="74"/>
        <v>15697.96205435</v>
      </c>
      <c r="M154" s="24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14100.0865234119</v>
      </c>
      <c r="N154" s="24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22535.2195832445</v>
      </c>
      <c r="O154" s="24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9400.0576822746</v>
      </c>
      <c r="P154" s="24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4372.95814096116</v>
      </c>
      <c r="Q154" s="31">
        <v>2</v>
      </c>
      <c r="R154" s="32" t="s">
        <v>194</v>
      </c>
      <c r="S154" s="32" t="s">
        <v>87</v>
      </c>
      <c r="T154" s="32" t="s">
        <v>96</v>
      </c>
      <c r="U154" s="32" t="s">
        <v>97</v>
      </c>
      <c r="V154" s="32" t="s">
        <v>73</v>
      </c>
      <c r="W154" s="32" t="s">
        <v>73</v>
      </c>
      <c r="X154" s="32" t="s">
        <v>127</v>
      </c>
      <c r="Y154" s="32" t="s">
        <v>73</v>
      </c>
      <c r="Z154" s="32" t="s">
        <v>73</v>
      </c>
      <c r="AA154" s="32" t="s">
        <v>73</v>
      </c>
      <c r="AB154" s="32" t="s">
        <v>75</v>
      </c>
      <c r="AC154" s="32" t="s">
        <v>76</v>
      </c>
      <c r="AD154" s="32" t="s">
        <v>82</v>
      </c>
      <c r="AE154" s="32" t="s">
        <v>73</v>
      </c>
      <c r="AF154" s="32" t="s">
        <v>77</v>
      </c>
      <c r="AG154" s="32" t="s">
        <v>158</v>
      </c>
      <c r="AH154" t="str">
        <f>VLOOKUP($R154,武学奇术!$A:$ZZ,25,FALSE)</f>
        <v>单体奇术</v>
      </c>
      <c r="AI154" s="21">
        <f>VLOOKUP($R154,武学奇术!$A:$ZZ,26,FALSE)</f>
        <v>0.236</v>
      </c>
      <c r="AJ154" s="22">
        <f>VLOOKUP($R154,武学奇术!$A:$ZZ,27,FALSE)*(1+IF(OR($AH154=$F$4,$AH154=$F$5),$B$22,0))</f>
        <v>46</v>
      </c>
      <c r="AK154" s="21">
        <f>VLOOKUP($R154,武学奇术!$A:$ZZ,28,FALSE)</f>
        <v>0.354</v>
      </c>
      <c r="AL154" s="22">
        <f>VLOOKUP($R154,武学奇术!$A:$ZZ,29,FALSE)*(1+IF(OR($AH154=$F$4,$AH154=$F$5),$B$22,0))</f>
        <v>0</v>
      </c>
      <c r="AM154" s="21" cm="1">
        <f t="array" ref="AM154">$G$3+IFERROR(VLOOKUP($AH154,$F$4:$G$7,2,FALSE),0)+VLOOKUP($R154,武学奇术!$A:$ZZ,2,FALSE)+SUM(_xlfn.XLOOKUP($S154:$AG154,增益!$A:$A,增益!$B:$B,0))</f>
        <v>1.303</v>
      </c>
      <c r="AN154" s="21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1831.48</v>
      </c>
      <c r="AP154" cm="1">
        <f t="array" ref="AP154">$E$10*(1+$AN154)+VLOOKUP($R154,武学奇术!$A:$ZZ,4,FALSE)+SUM(_xlfn.XLOOKUP($S154:$AG154,增益!$A:$A,增益!$D:$D,0))-$I$2</f>
        <v>7763.56</v>
      </c>
      <c r="AQ154" s="26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0.294</v>
      </c>
      <c r="AR154" s="26" cm="1">
        <f t="array" ref="AR154">$G$10+VLOOKUP($R154,武学奇术!$A:$ZZ,7,FALSE)+SUM(_xlfn.XLOOKUP(S154:AG154,增益!$A:$A,增益!$G:$G,0))</f>
        <v>0</v>
      </c>
      <c r="AS154" s="21" cm="1">
        <f t="array" ref="AS154">VLOOKUP($R154,武学奇术!$A:$ZZ,8,FALSE)+SUM(_xlfn.XLOOKUP(S154:AG154,增益!$A:$A,增益!$H:$H,0))</f>
        <v>0</v>
      </c>
      <c r="AT154">
        <f t="shared" si="75"/>
        <v>680.02</v>
      </c>
      <c r="AU154">
        <f t="shared" si="76"/>
        <v>1288.54</v>
      </c>
      <c r="AV154" s="26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26" cm="1">
        <f t="array" ref="AW154">$G$11+VLOOKUP($R154,武学奇术!$A:$ZZ,10,FALSE)+SUM(_xlfn.XLOOKUP(S154:AG154,增益!$A:$A,增益!$J:$J,0))</f>
        <v>0.15</v>
      </c>
      <c r="AX154">
        <f t="shared" si="77"/>
        <v>0</v>
      </c>
      <c r="AY154">
        <f t="shared" si="78"/>
        <v>0</v>
      </c>
      <c r="AZ154" s="26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26" cm="1">
        <f t="array" ref="BA154">$G$12+VLOOKUP($R154,武学奇术!$A:$ZZ,12,FALSE)+SUM(_xlfn.XLOOKUP(S154:AG154,增益!$A:$A,增益!$L:$L,0))</f>
        <v>0</v>
      </c>
      <c r="BB154">
        <f t="shared" si="79"/>
        <v>0</v>
      </c>
      <c r="BC154">
        <f t="shared" si="80"/>
        <v>0</v>
      </c>
      <c r="BD154" s="26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26" cm="1">
        <f t="array" ref="BE154">$G$13+VLOOKUP($R154,武学奇术!$A:$ZZ,14,FALSE)+SUM(_xlfn.XLOOKUP(S154:AG154,增益!$A:$A,增益!$N:$N,0))</f>
        <v>0</v>
      </c>
      <c r="BF154">
        <f t="shared" si="81"/>
        <v>0</v>
      </c>
      <c r="BG154">
        <f t="shared" si="82"/>
        <v>0</v>
      </c>
      <c r="BH154" s="26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26" cm="1">
        <f t="array" ref="BI154">$G$14+VLOOKUP($R154,武学奇术!$A:$ZZ,16,FALSE)+SUM(_xlfn.XLOOKUP(S154:AG154,增益!$A:$A,增益!$P:$P,0))</f>
        <v>0</v>
      </c>
      <c r="BJ154" s="21">
        <f>MIN(IF(VLOOKUP($R154,武学奇术!$A:$ZZ,23,FALSE)=1,100%,$B$8),100%)</f>
        <v>0.8229</v>
      </c>
      <c r="BK154" s="21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0.2285</v>
      </c>
      <c r="BL154" s="21" cm="1">
        <f t="array" ref="BL154">1+$B$13+VLOOKUP($R154,武学奇术!$A:$ZZ,18,FALSE)+SUM(_xlfn.XLOOKUP(S154:AG154,增益!$A:$A,增益!$R:$R,0))</f>
        <v>1.5</v>
      </c>
      <c r="BM154" s="21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0.4495</v>
      </c>
      <c r="BN154" s="21" cm="1">
        <f t="array" ref="BN154">1+$B$14+VLOOKUP($R154,武学奇术!$A:$ZZ,20,FALSE)+SUM(_xlfn.XLOOKUP(S154:AG154,增益!$A:$A,增益!$T:$T,0))</f>
        <v>1.562</v>
      </c>
      <c r="BO154" s="21">
        <f t="shared" si="83"/>
        <v>0.18803265</v>
      </c>
      <c r="BP154" s="21">
        <f t="shared" si="84"/>
        <v>0.2649738</v>
      </c>
      <c r="BQ154" s="21">
        <f>IF(VLOOKUP($R154,武学奇术!$A:$ZZ,22,FALSE)=1,0,(1-$BJ154))*(1-$BM154)</f>
        <v>0.09749355</v>
      </c>
      <c r="BR154" s="21" cm="1">
        <f t="array" ref="BR154">SUM(_xlfn.XLOOKUP(S154:AG154,增益!$A:$A,增益!$W:$W,0))+$I$5</f>
        <v>0.06</v>
      </c>
    </row>
    <row r="155" spans="6:70">
      <c r="K155" s="24">
        <f>$L155*VLOOKUP($R155,武学奇术!$A:$ZZ,31,FALSE)</f>
        <v>15623.3379252802</v>
      </c>
      <c r="L155" s="24">
        <f t="shared" si="74"/>
        <v>31246.6758505604</v>
      </c>
      <c r="M155" s="24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28092.7318948968</v>
      </c>
      <c r="N155" s="24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44822.1727543708</v>
      </c>
      <c r="O155" s="24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18728.4879299312</v>
      </c>
      <c r="P155" s="24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8761.60277767886</v>
      </c>
      <c r="Q155" s="31">
        <v>4</v>
      </c>
      <c r="R155" s="32" t="s">
        <v>194</v>
      </c>
      <c r="S155" s="32" t="s">
        <v>87</v>
      </c>
      <c r="T155" s="32" t="s">
        <v>96</v>
      </c>
      <c r="U155" s="32" t="s">
        <v>97</v>
      </c>
      <c r="V155" s="32" t="s">
        <v>73</v>
      </c>
      <c r="W155" s="32" t="s">
        <v>111</v>
      </c>
      <c r="X155" s="32" t="s">
        <v>127</v>
      </c>
      <c r="Y155" s="32" t="s">
        <v>73</v>
      </c>
      <c r="Z155" s="32" t="s">
        <v>73</v>
      </c>
      <c r="AA155" s="32" t="s">
        <v>73</v>
      </c>
      <c r="AB155" s="32" t="s">
        <v>75</v>
      </c>
      <c r="AC155" s="32" t="s">
        <v>76</v>
      </c>
      <c r="AD155" s="32" t="s">
        <v>82</v>
      </c>
      <c r="AE155" s="32" t="s">
        <v>73</v>
      </c>
      <c r="AF155" s="32" t="s">
        <v>73</v>
      </c>
      <c r="AG155" s="32" t="s">
        <v>158</v>
      </c>
      <c r="AH155" t="str">
        <f>VLOOKUP($R155,武学奇术!$A:$ZZ,25,FALSE)</f>
        <v>单体奇术</v>
      </c>
      <c r="AI155" s="21">
        <f>VLOOKUP($R155,武学奇术!$A:$ZZ,26,FALSE)</f>
        <v>0.236</v>
      </c>
      <c r="AJ155" s="22">
        <f>VLOOKUP($R155,武学奇术!$A:$ZZ,27,FALSE)*(1+IF(OR($AH155=$F$4,$AH155=$F$5),$B$22,0))</f>
        <v>46</v>
      </c>
      <c r="AK155" s="21">
        <f>VLOOKUP($R155,武学奇术!$A:$ZZ,28,FALSE)</f>
        <v>0.354</v>
      </c>
      <c r="AL155" s="22">
        <f>VLOOKUP($R155,武学奇术!$A:$ZZ,29,FALSE)*(1+IF(OR($AH155=$F$4,$AH155=$F$5),$B$22,0))</f>
        <v>0</v>
      </c>
      <c r="AM155" s="21" cm="1">
        <f t="array" ref="AM155">$G$3+IFERROR(VLOOKUP($AH155,$F$4:$G$7,2,FALSE),0)+VLOOKUP($R155,武学奇术!$A:$ZZ,2,FALSE)+SUM(_xlfn.XLOOKUP($S155:$AG155,增益!$A:$A,增益!$B:$B,0))</f>
        <v>1.283</v>
      </c>
      <c r="AN155" s="21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1862.48</v>
      </c>
      <c r="AP155" cm="1">
        <f t="array" ref="AP155">$E$10*(1+$AN155)+VLOOKUP($R155,武学奇术!$A:$ZZ,4,FALSE)+SUM(_xlfn.XLOOKUP($S155:$AG155,增益!$A:$A,增益!$D:$D,0))-$I$2</f>
        <v>7794.56</v>
      </c>
      <c r="AQ155" s="26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0.294</v>
      </c>
      <c r="AR155" s="26" cm="1">
        <f t="array" ref="AR155">$G$10+VLOOKUP($R155,武学奇术!$A:$ZZ,7,FALSE)+SUM(_xlfn.XLOOKUP(S155:AG155,增益!$A:$A,增益!$G:$G,0))</f>
        <v>0</v>
      </c>
      <c r="AS155" s="21" cm="1">
        <f t="array" ref="AS155">VLOOKUP($R155,武学奇术!$A:$ZZ,8,FALSE)+SUM(_xlfn.XLOOKUP(S155:AG155,增益!$A:$A,增益!$H:$H,0))</f>
        <v>0</v>
      </c>
      <c r="AT155">
        <f t="shared" si="75"/>
        <v>680.02</v>
      </c>
      <c r="AU155">
        <f t="shared" si="76"/>
        <v>1288.54</v>
      </c>
      <c r="AV155" s="26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26" cm="1">
        <f t="array" ref="AW155">$G$11+VLOOKUP($R155,武学奇术!$A:$ZZ,10,FALSE)+SUM(_xlfn.XLOOKUP(S155:AG155,增益!$A:$A,增益!$J:$J,0))</f>
        <v>0.15</v>
      </c>
      <c r="AX155">
        <f t="shared" si="77"/>
        <v>0</v>
      </c>
      <c r="AY155">
        <f t="shared" si="78"/>
        <v>0</v>
      </c>
      <c r="AZ155" s="26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26" cm="1">
        <f t="array" ref="BA155">$G$12+VLOOKUP($R155,武学奇术!$A:$ZZ,12,FALSE)+SUM(_xlfn.XLOOKUP(S155:AG155,增益!$A:$A,增益!$L:$L,0))</f>
        <v>0</v>
      </c>
      <c r="BB155">
        <f t="shared" si="79"/>
        <v>0</v>
      </c>
      <c r="BC155">
        <f t="shared" si="80"/>
        <v>0</v>
      </c>
      <c r="BD155" s="26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26" cm="1">
        <f t="array" ref="BE155">$G$13+VLOOKUP($R155,武学奇术!$A:$ZZ,14,FALSE)+SUM(_xlfn.XLOOKUP(S155:AG155,增益!$A:$A,增益!$N:$N,0))</f>
        <v>0</v>
      </c>
      <c r="BF155">
        <f t="shared" si="81"/>
        <v>0</v>
      </c>
      <c r="BG155">
        <f t="shared" si="82"/>
        <v>0</v>
      </c>
      <c r="BH155" s="26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26" cm="1">
        <f t="array" ref="BI155">$G$14+VLOOKUP($R155,武学奇术!$A:$ZZ,16,FALSE)+SUM(_xlfn.XLOOKUP(S155:AG155,增益!$A:$A,增益!$P:$P,0))</f>
        <v>0</v>
      </c>
      <c r="BJ155" s="21">
        <f>MIN(IF(VLOOKUP($R155,武学奇术!$A:$ZZ,23,FALSE)=1,100%,$B$8),100%)</f>
        <v>0.8229</v>
      </c>
      <c r="BK155" s="21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0.2285</v>
      </c>
      <c r="BL155" s="21" cm="1">
        <f t="array" ref="BL155">1+$B$13+VLOOKUP($R155,武学奇术!$A:$ZZ,18,FALSE)+SUM(_xlfn.XLOOKUP(S155:AG155,增益!$A:$A,增益!$R:$R,0))</f>
        <v>1.5</v>
      </c>
      <c r="BM155" s="21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0.4495</v>
      </c>
      <c r="BN155" s="21" cm="1">
        <f t="array" ref="BN155">1+$B$14+VLOOKUP($R155,武学奇术!$A:$ZZ,20,FALSE)+SUM(_xlfn.XLOOKUP(S155:AG155,增益!$A:$A,增益!$T:$T,0))</f>
        <v>1.562</v>
      </c>
      <c r="BO155" s="21">
        <f t="shared" si="83"/>
        <v>0.18803265</v>
      </c>
      <c r="BP155" s="21">
        <f t="shared" si="84"/>
        <v>0.2649738</v>
      </c>
      <c r="BQ155" s="21">
        <f>IF(VLOOKUP($R155,武学奇术!$A:$ZZ,22,FALSE)=1,0,(1-$BJ155))*(1-$BM155)</f>
        <v>0.09749355</v>
      </c>
      <c r="BR155" s="21" cm="1">
        <f t="array" ref="BR155">SUM(_xlfn.XLOOKUP(S155:AG155,增益!$A:$A,增益!$W:$W,0))+$I$5</f>
        <v>0.06</v>
      </c>
    </row>
    <row r="156" spans="6:70">
      <c r="K156" s="24">
        <f>$L156*VLOOKUP($R156,武学奇术!$A:$ZZ,31,FALSE)</f>
        <v>15687.8307762824</v>
      </c>
      <c r="L156" s="24">
        <f t="shared" si="74"/>
        <v>31375.6615525648</v>
      </c>
      <c r="M156" s="24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28092.7318948968</v>
      </c>
      <c r="N156" s="24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45109.1264851926</v>
      </c>
      <c r="O156" s="24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18728.4879299312</v>
      </c>
      <c r="P156" s="24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8761.60277767886</v>
      </c>
      <c r="Q156" s="31">
        <v>4</v>
      </c>
      <c r="R156" s="32" t="s">
        <v>194</v>
      </c>
      <c r="S156" s="32" t="s">
        <v>87</v>
      </c>
      <c r="T156" s="32" t="s">
        <v>96</v>
      </c>
      <c r="U156" s="32" t="s">
        <v>97</v>
      </c>
      <c r="V156" s="32" t="s">
        <v>73</v>
      </c>
      <c r="W156" s="32" t="s">
        <v>111</v>
      </c>
      <c r="X156" s="32" t="s">
        <v>127</v>
      </c>
      <c r="Y156" s="32" t="s">
        <v>73</v>
      </c>
      <c r="Z156" s="32" t="s">
        <v>73</v>
      </c>
      <c r="AA156" s="32" t="s">
        <v>73</v>
      </c>
      <c r="AB156" s="32" t="s">
        <v>75</v>
      </c>
      <c r="AC156" s="32" t="s">
        <v>76</v>
      </c>
      <c r="AD156" s="32" t="s">
        <v>82</v>
      </c>
      <c r="AE156" s="32" t="s">
        <v>73</v>
      </c>
      <c r="AF156" s="32" t="s">
        <v>73</v>
      </c>
      <c r="AG156" s="32" t="s">
        <v>169</v>
      </c>
      <c r="AH156" t="str">
        <f>VLOOKUP($R156,武学奇术!$A:$ZZ,25,FALSE)</f>
        <v>单体奇术</v>
      </c>
      <c r="AI156" s="21">
        <f>VLOOKUP($R156,武学奇术!$A:$ZZ,26,FALSE)</f>
        <v>0.236</v>
      </c>
      <c r="AJ156" s="22">
        <f>VLOOKUP($R156,武学奇术!$A:$ZZ,27,FALSE)*(1+IF(OR($AH156=$F$4,$AH156=$F$5),$B$22,0))</f>
        <v>46</v>
      </c>
      <c r="AK156" s="21">
        <f>VLOOKUP($R156,武学奇术!$A:$ZZ,28,FALSE)</f>
        <v>0.354</v>
      </c>
      <c r="AL156" s="22">
        <f>VLOOKUP($R156,武学奇术!$A:$ZZ,29,FALSE)*(1+IF(OR($AH156=$F$4,$AH156=$F$5),$B$22,0))</f>
        <v>0</v>
      </c>
      <c r="AM156" s="21" cm="1">
        <f t="array" ref="AM156">$G$3+IFERROR(VLOOKUP($AH156,$F$4:$G$7,2,FALSE),0)+VLOOKUP($R156,武学奇术!$A:$ZZ,2,FALSE)+SUM(_xlfn.XLOOKUP($S156:$AG156,增益!$A:$A,增益!$B:$B,0))</f>
        <v>1.283</v>
      </c>
      <c r="AN156" s="21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1862.48</v>
      </c>
      <c r="AP156" cm="1">
        <f t="array" ref="AP156">$E$10*(1+$AN156)+VLOOKUP($R156,武学奇术!$A:$ZZ,4,FALSE)+SUM(_xlfn.XLOOKUP($S156:$AG156,增益!$A:$A,增益!$D:$D,0))-$I$2</f>
        <v>7794.56</v>
      </c>
      <c r="AQ156" s="26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0.294</v>
      </c>
      <c r="AR156" s="26" cm="1">
        <f t="array" ref="AR156">$G$10+VLOOKUP($R156,武学奇术!$A:$ZZ,7,FALSE)+SUM(_xlfn.XLOOKUP(S156:AG156,增益!$A:$A,增益!$G:$G,0))</f>
        <v>0</v>
      </c>
      <c r="AS156" s="21" cm="1">
        <f t="array" ref="AS156">VLOOKUP($R156,武学奇术!$A:$ZZ,8,FALSE)+SUM(_xlfn.XLOOKUP(S156:AG156,增益!$A:$A,增益!$H:$H,0))</f>
        <v>0</v>
      </c>
      <c r="AT156">
        <f t="shared" si="75"/>
        <v>680.02</v>
      </c>
      <c r="AU156">
        <f t="shared" si="76"/>
        <v>1288.54</v>
      </c>
      <c r="AV156" s="26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26" cm="1">
        <f t="array" ref="AW156">$G$11+VLOOKUP($R156,武学奇术!$A:$ZZ,10,FALSE)+SUM(_xlfn.XLOOKUP(S156:AG156,增益!$A:$A,增益!$J:$J,0))</f>
        <v>0.15</v>
      </c>
      <c r="AX156">
        <f t="shared" si="77"/>
        <v>0</v>
      </c>
      <c r="AY156">
        <f t="shared" si="78"/>
        <v>0</v>
      </c>
      <c r="AZ156" s="26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26" cm="1">
        <f t="array" ref="BA156">$G$12+VLOOKUP($R156,武学奇术!$A:$ZZ,12,FALSE)+SUM(_xlfn.XLOOKUP(S156:AG156,增益!$A:$A,增益!$L:$L,0))</f>
        <v>0</v>
      </c>
      <c r="BB156">
        <f t="shared" si="79"/>
        <v>0</v>
      </c>
      <c r="BC156">
        <f t="shared" si="80"/>
        <v>0</v>
      </c>
      <c r="BD156" s="26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26" cm="1">
        <f t="array" ref="BE156">$G$13+VLOOKUP($R156,武学奇术!$A:$ZZ,14,FALSE)+SUM(_xlfn.XLOOKUP(S156:AG156,增益!$A:$A,增益!$N:$N,0))</f>
        <v>0</v>
      </c>
      <c r="BF156">
        <f t="shared" si="81"/>
        <v>0</v>
      </c>
      <c r="BG156">
        <f t="shared" si="82"/>
        <v>0</v>
      </c>
      <c r="BH156" s="26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26" cm="1">
        <f t="array" ref="BI156">$G$14+VLOOKUP($R156,武学奇术!$A:$ZZ,16,FALSE)+SUM(_xlfn.XLOOKUP(S156:AG156,增益!$A:$A,增益!$P:$P,0))</f>
        <v>0</v>
      </c>
      <c r="BJ156" s="21">
        <f>MIN(IF(VLOOKUP($R156,武学奇术!$A:$ZZ,23,FALSE)=1,100%,$B$8),100%)</f>
        <v>0.8229</v>
      </c>
      <c r="BK156" s="21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0.2285</v>
      </c>
      <c r="BL156" s="21" cm="1">
        <f t="array" ref="BL156">1+$B$13+VLOOKUP($R156,武学奇术!$A:$ZZ,18,FALSE)+SUM(_xlfn.XLOOKUP(S156:AG156,增益!$A:$A,增益!$R:$R,0))</f>
        <v>1.5</v>
      </c>
      <c r="BM156" s="21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0.4495</v>
      </c>
      <c r="BN156" s="21" cm="1">
        <f t="array" ref="BN156">1+$B$14+VLOOKUP($R156,武学奇术!$A:$ZZ,20,FALSE)+SUM(_xlfn.XLOOKUP(S156:AG156,增益!$A:$A,增益!$T:$T,0))</f>
        <v>1.572</v>
      </c>
      <c r="BO156" s="21">
        <f t="shared" si="83"/>
        <v>0.18803265</v>
      </c>
      <c r="BP156" s="21">
        <f t="shared" si="84"/>
        <v>0.2649738</v>
      </c>
      <c r="BQ156" s="21">
        <f>IF(VLOOKUP($R156,武学奇术!$A:$ZZ,22,FALSE)=1,0,(1-$BJ156))*(1-$BM156)</f>
        <v>0.09749355</v>
      </c>
      <c r="BR156" s="21" cm="1">
        <f t="array" ref="BR156">SUM(_xlfn.XLOOKUP(S156:AG156,增益!$A:$A,增益!$W:$W,0))+$I$5</f>
        <v>0.06</v>
      </c>
    </row>
    <row r="157" spans="6:70">
      <c r="K157" s="24">
        <f>$L157*VLOOKUP($R157,武学奇术!$A:$ZZ,31,FALSE)</f>
        <v>7843.91538814121</v>
      </c>
      <c r="L157" s="24">
        <f t="shared" si="74"/>
        <v>15687.8307762824</v>
      </c>
      <c r="M157" s="24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14046.3659474484</v>
      </c>
      <c r="N157" s="24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22554.5632425963</v>
      </c>
      <c r="O157" s="24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9364.24396496562</v>
      </c>
      <c r="P157" s="24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4380.80138883943</v>
      </c>
      <c r="Q157" s="31">
        <v>2</v>
      </c>
      <c r="R157" s="32" t="s">
        <v>194</v>
      </c>
      <c r="S157" s="32" t="s">
        <v>87</v>
      </c>
      <c r="T157" s="32" t="s">
        <v>96</v>
      </c>
      <c r="U157" s="32" t="s">
        <v>97</v>
      </c>
      <c r="V157" s="32" t="s">
        <v>73</v>
      </c>
      <c r="W157" s="32" t="s">
        <v>111</v>
      </c>
      <c r="X157" s="32" t="s">
        <v>127</v>
      </c>
      <c r="Y157" s="32" t="s">
        <v>73</v>
      </c>
      <c r="Z157" s="32" t="s">
        <v>73</v>
      </c>
      <c r="AA157" s="32" t="s">
        <v>81</v>
      </c>
      <c r="AB157" s="32" t="s">
        <v>75</v>
      </c>
      <c r="AC157" s="32" t="s">
        <v>76</v>
      </c>
      <c r="AD157" s="32" t="s">
        <v>82</v>
      </c>
      <c r="AE157" s="32" t="s">
        <v>73</v>
      </c>
      <c r="AF157" s="32" t="s">
        <v>73</v>
      </c>
      <c r="AG157" s="32" t="s">
        <v>169</v>
      </c>
      <c r="AH157" t="str">
        <f>VLOOKUP($R157,武学奇术!$A:$ZZ,25,FALSE)</f>
        <v>单体奇术</v>
      </c>
      <c r="AI157" s="21">
        <f>VLOOKUP($R157,武学奇术!$A:$ZZ,26,FALSE)</f>
        <v>0.236</v>
      </c>
      <c r="AJ157" s="22">
        <f>VLOOKUP($R157,武学奇术!$A:$ZZ,27,FALSE)*(1+IF(OR($AH157=$F$4,$AH157=$F$5),$B$22,0))</f>
        <v>46</v>
      </c>
      <c r="AK157" s="21">
        <f>VLOOKUP($R157,武学奇术!$A:$ZZ,28,FALSE)</f>
        <v>0.354</v>
      </c>
      <c r="AL157" s="22">
        <f>VLOOKUP($R157,武学奇术!$A:$ZZ,29,FALSE)*(1+IF(OR($AH157=$F$4,$AH157=$F$5),$B$22,0))</f>
        <v>0</v>
      </c>
      <c r="AM157" s="21" cm="1">
        <f t="array" ref="AM157">$G$3+IFERROR(VLOOKUP($AH157,$F$4:$G$7,2,FALSE),0)+VLOOKUP($R157,武学奇术!$A:$ZZ,2,FALSE)+SUM(_xlfn.XLOOKUP($S157:$AG157,增益!$A:$A,增益!$B:$B,0))</f>
        <v>1.283</v>
      </c>
      <c r="AN157" s="21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1862.48</v>
      </c>
      <c r="AP157" cm="1">
        <f t="array" ref="AP157">$E$10*(1+$AN157)+VLOOKUP($R157,武学奇术!$A:$ZZ,4,FALSE)+SUM(_xlfn.XLOOKUP($S157:$AG157,增益!$A:$A,增益!$D:$D,0))-$I$2</f>
        <v>7794.56</v>
      </c>
      <c r="AQ157" s="26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0.294</v>
      </c>
      <c r="AR157" s="26" cm="1">
        <f t="array" ref="AR157">$G$10+VLOOKUP($R157,武学奇术!$A:$ZZ,7,FALSE)+SUM(_xlfn.XLOOKUP(S157:AG157,增益!$A:$A,增益!$G:$G,0))</f>
        <v>0</v>
      </c>
      <c r="AS157" s="21" cm="1">
        <f t="array" ref="AS157">VLOOKUP($R157,武学奇术!$A:$ZZ,8,FALSE)+SUM(_xlfn.XLOOKUP(S157:AG157,增益!$A:$A,增益!$H:$H,0))</f>
        <v>0</v>
      </c>
      <c r="AT157">
        <f t="shared" si="75"/>
        <v>680.02</v>
      </c>
      <c r="AU157">
        <f t="shared" si="76"/>
        <v>1288.54</v>
      </c>
      <c r="AV157" s="26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26" cm="1">
        <f t="array" ref="AW157">$G$11+VLOOKUP($R157,武学奇术!$A:$ZZ,10,FALSE)+SUM(_xlfn.XLOOKUP(S157:AG157,增益!$A:$A,增益!$J:$J,0))</f>
        <v>0.15</v>
      </c>
      <c r="AX157">
        <f t="shared" si="77"/>
        <v>0</v>
      </c>
      <c r="AY157">
        <f t="shared" si="78"/>
        <v>0</v>
      </c>
      <c r="AZ157" s="26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26" cm="1">
        <f t="array" ref="BA157">$G$12+VLOOKUP($R157,武学奇术!$A:$ZZ,12,FALSE)+SUM(_xlfn.XLOOKUP(S157:AG157,增益!$A:$A,增益!$L:$L,0))</f>
        <v>0</v>
      </c>
      <c r="BB157">
        <f t="shared" si="79"/>
        <v>0</v>
      </c>
      <c r="BC157">
        <f t="shared" si="80"/>
        <v>0</v>
      </c>
      <c r="BD157" s="26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26" cm="1">
        <f t="array" ref="BE157">$G$13+VLOOKUP($R157,武学奇术!$A:$ZZ,14,FALSE)+SUM(_xlfn.XLOOKUP(S157:AG157,增益!$A:$A,增益!$N:$N,0))</f>
        <v>0</v>
      </c>
      <c r="BF157">
        <f t="shared" si="81"/>
        <v>0</v>
      </c>
      <c r="BG157">
        <f t="shared" si="82"/>
        <v>0</v>
      </c>
      <c r="BH157" s="26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26" cm="1">
        <f t="array" ref="BI157">$G$14+VLOOKUP($R157,武学奇术!$A:$ZZ,16,FALSE)+SUM(_xlfn.XLOOKUP(S157:AG157,增益!$A:$A,增益!$P:$P,0))</f>
        <v>0</v>
      </c>
      <c r="BJ157" s="21">
        <f>MIN(IF(VLOOKUP($R157,武学奇术!$A:$ZZ,23,FALSE)=1,100%,$B$8),100%)</f>
        <v>0.8229</v>
      </c>
      <c r="BK157" s="21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0.2285</v>
      </c>
      <c r="BL157" s="21" cm="1">
        <f t="array" ref="BL157">1+$B$13+VLOOKUP($R157,武学奇术!$A:$ZZ,18,FALSE)+SUM(_xlfn.XLOOKUP(S157:AG157,增益!$A:$A,增益!$R:$R,0))</f>
        <v>1.5</v>
      </c>
      <c r="BM157" s="21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0.4495</v>
      </c>
      <c r="BN157" s="21" cm="1">
        <f t="array" ref="BN157">1+$B$14+VLOOKUP($R157,武学奇术!$A:$ZZ,20,FALSE)+SUM(_xlfn.XLOOKUP(S157:AG157,增益!$A:$A,增益!$T:$T,0))</f>
        <v>1.572</v>
      </c>
      <c r="BO157" s="21">
        <f t="shared" si="83"/>
        <v>0.18803265</v>
      </c>
      <c r="BP157" s="21">
        <f t="shared" si="84"/>
        <v>0.2649738</v>
      </c>
      <c r="BQ157" s="21">
        <f>IF(VLOOKUP($R157,武学奇术!$A:$ZZ,22,FALSE)=1,0,(1-$BJ157))*(1-$BM157)</f>
        <v>0.09749355</v>
      </c>
      <c r="BR157" s="21" cm="1">
        <f t="array" ref="BR157">SUM(_xlfn.XLOOKUP(S157:AG157,增益!$A:$A,增益!$W:$W,0))+$I$5</f>
        <v>0.06</v>
      </c>
    </row>
    <row r="158" spans="6:70">
      <c r="K158" s="24">
        <f>$L158*VLOOKUP($R158,武学奇术!$A:$ZZ,31,FALSE)</f>
        <v>15752.3236272846</v>
      </c>
      <c r="L158" s="24">
        <f t="shared" si="74"/>
        <v>31504.6472545693</v>
      </c>
      <c r="M158" s="24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28092.7318948968</v>
      </c>
      <c r="N158" s="24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45396.0802160145</v>
      </c>
      <c r="O158" s="24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18728.4879299312</v>
      </c>
      <c r="P158" s="24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8761.60277767886</v>
      </c>
      <c r="Q158" s="31">
        <v>4</v>
      </c>
      <c r="R158" s="32" t="s">
        <v>194</v>
      </c>
      <c r="S158" s="32" t="s">
        <v>87</v>
      </c>
      <c r="T158" s="32" t="s">
        <v>96</v>
      </c>
      <c r="U158" s="32" t="s">
        <v>97</v>
      </c>
      <c r="V158" s="32" t="s">
        <v>73</v>
      </c>
      <c r="W158" s="32" t="s">
        <v>111</v>
      </c>
      <c r="X158" s="32" t="s">
        <v>127</v>
      </c>
      <c r="Y158" s="32" t="s">
        <v>73</v>
      </c>
      <c r="Z158" s="32" t="s">
        <v>73</v>
      </c>
      <c r="AA158" s="32" t="s">
        <v>81</v>
      </c>
      <c r="AB158" s="32" t="s">
        <v>75</v>
      </c>
      <c r="AC158" s="32" t="s">
        <v>76</v>
      </c>
      <c r="AD158" s="32" t="s">
        <v>82</v>
      </c>
      <c r="AE158" s="32" t="s">
        <v>73</v>
      </c>
      <c r="AF158" s="32" t="s">
        <v>73</v>
      </c>
      <c r="AG158" s="32" t="s">
        <v>172</v>
      </c>
      <c r="AH158" t="str">
        <f>VLOOKUP($R158,武学奇术!$A:$ZZ,25,FALSE)</f>
        <v>单体奇术</v>
      </c>
      <c r="AI158" s="21">
        <f>VLOOKUP($R158,武学奇术!$A:$ZZ,26,FALSE)</f>
        <v>0.236</v>
      </c>
      <c r="AJ158" s="22">
        <f>VLOOKUP($R158,武学奇术!$A:$ZZ,27,FALSE)*(1+IF(OR($AH158=$F$4,$AH158=$F$5),$B$22,0))</f>
        <v>46</v>
      </c>
      <c r="AK158" s="21">
        <f>VLOOKUP($R158,武学奇术!$A:$ZZ,28,FALSE)</f>
        <v>0.354</v>
      </c>
      <c r="AL158" s="22">
        <f>VLOOKUP($R158,武学奇术!$A:$ZZ,29,FALSE)*(1+IF(OR($AH158=$F$4,$AH158=$F$5),$B$22,0))</f>
        <v>0</v>
      </c>
      <c r="AM158" s="21" cm="1">
        <f t="array" ref="AM158">$G$3+IFERROR(VLOOKUP($AH158,$F$4:$G$7,2,FALSE),0)+VLOOKUP($R158,武学奇术!$A:$ZZ,2,FALSE)+SUM(_xlfn.XLOOKUP($S158:$AG158,增益!$A:$A,增益!$B:$B,0))</f>
        <v>1.283</v>
      </c>
      <c r="AN158" s="21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1862.48</v>
      </c>
      <c r="AP158" cm="1">
        <f t="array" ref="AP158">$E$10*(1+$AN158)+VLOOKUP($R158,武学奇术!$A:$ZZ,4,FALSE)+SUM(_xlfn.XLOOKUP($S158:$AG158,增益!$A:$A,增益!$D:$D,0))-$I$2</f>
        <v>7794.56</v>
      </c>
      <c r="AQ158" s="26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0.294</v>
      </c>
      <c r="AR158" s="26" cm="1">
        <f t="array" ref="AR158">$G$10+VLOOKUP($R158,武学奇术!$A:$ZZ,7,FALSE)+SUM(_xlfn.XLOOKUP(S158:AG158,增益!$A:$A,增益!$G:$G,0))</f>
        <v>0</v>
      </c>
      <c r="AS158" s="21" cm="1">
        <f t="array" ref="AS158">VLOOKUP($R158,武学奇术!$A:$ZZ,8,FALSE)+SUM(_xlfn.XLOOKUP(S158:AG158,增益!$A:$A,增益!$H:$H,0))</f>
        <v>0</v>
      </c>
      <c r="AT158">
        <f t="shared" si="75"/>
        <v>680.02</v>
      </c>
      <c r="AU158">
        <f t="shared" si="76"/>
        <v>1288.54</v>
      </c>
      <c r="AV158" s="26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26" cm="1">
        <f t="array" ref="AW158">$G$11+VLOOKUP($R158,武学奇术!$A:$ZZ,10,FALSE)+SUM(_xlfn.XLOOKUP(S158:AG158,增益!$A:$A,增益!$J:$J,0))</f>
        <v>0.15</v>
      </c>
      <c r="AX158">
        <f t="shared" si="77"/>
        <v>0</v>
      </c>
      <c r="AY158">
        <f t="shared" si="78"/>
        <v>0</v>
      </c>
      <c r="AZ158" s="26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26" cm="1">
        <f t="array" ref="BA158">$G$12+VLOOKUP($R158,武学奇术!$A:$ZZ,12,FALSE)+SUM(_xlfn.XLOOKUP(S158:AG158,增益!$A:$A,增益!$L:$L,0))</f>
        <v>0</v>
      </c>
      <c r="BB158">
        <f t="shared" si="79"/>
        <v>0</v>
      </c>
      <c r="BC158">
        <f t="shared" si="80"/>
        <v>0</v>
      </c>
      <c r="BD158" s="26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26" cm="1">
        <f t="array" ref="BE158">$G$13+VLOOKUP($R158,武学奇术!$A:$ZZ,14,FALSE)+SUM(_xlfn.XLOOKUP(S158:AG158,增益!$A:$A,增益!$N:$N,0))</f>
        <v>0</v>
      </c>
      <c r="BF158">
        <f t="shared" si="81"/>
        <v>0</v>
      </c>
      <c r="BG158">
        <f t="shared" si="82"/>
        <v>0</v>
      </c>
      <c r="BH158" s="26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26" cm="1">
        <f t="array" ref="BI158">$G$14+VLOOKUP($R158,武学奇术!$A:$ZZ,16,FALSE)+SUM(_xlfn.XLOOKUP(S158:AG158,增益!$A:$A,增益!$P:$P,0))</f>
        <v>0</v>
      </c>
      <c r="BJ158" s="21">
        <f>MIN(IF(VLOOKUP($R158,武学奇术!$A:$ZZ,23,FALSE)=1,100%,$B$8),100%)</f>
        <v>0.8229</v>
      </c>
      <c r="BK158" s="21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0.2285</v>
      </c>
      <c r="BL158" s="21" cm="1">
        <f t="array" ref="BL158">1+$B$13+VLOOKUP($R158,武学奇术!$A:$ZZ,18,FALSE)+SUM(_xlfn.XLOOKUP(S158:AG158,增益!$A:$A,增益!$R:$R,0))</f>
        <v>1.5</v>
      </c>
      <c r="BM158" s="21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0.4495</v>
      </c>
      <c r="BN158" s="21" cm="1">
        <f t="array" ref="BN158">1+$B$14+VLOOKUP($R158,武学奇术!$A:$ZZ,20,FALSE)+SUM(_xlfn.XLOOKUP(S158:AG158,增益!$A:$A,增益!$T:$T,0))</f>
        <v>1.582</v>
      </c>
      <c r="BO158" s="21">
        <f t="shared" si="83"/>
        <v>0.18803265</v>
      </c>
      <c r="BP158" s="21">
        <f t="shared" si="84"/>
        <v>0.2649738</v>
      </c>
      <c r="BQ158" s="21">
        <f>IF(VLOOKUP($R158,武学奇术!$A:$ZZ,22,FALSE)=1,0,(1-$BJ158))*(1-$BM158)</f>
        <v>0.09749355</v>
      </c>
      <c r="BR158" s="21" cm="1">
        <f t="array" ref="BR158">SUM(_xlfn.XLOOKUP(S158:AG158,增益!$A:$A,增益!$W:$W,0))+$I$5</f>
        <v>0.06</v>
      </c>
    </row>
    <row r="159" spans="6:70">
      <c r="K159" s="24">
        <f>$L159*VLOOKUP($R159,武学奇术!$A:$ZZ,31,FALSE)</f>
        <v>7876.16181364231</v>
      </c>
      <c r="L159" s="24">
        <f t="shared" si="74"/>
        <v>15752.3236272846</v>
      </c>
      <c r="M159" s="24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14046.3659474484</v>
      </c>
      <c r="N159" s="24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22698.0401080072</v>
      </c>
      <c r="O159" s="24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9364.24396496562</v>
      </c>
      <c r="P159" s="24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4380.80138883943</v>
      </c>
      <c r="Q159" s="31">
        <v>2</v>
      </c>
      <c r="R159" s="32" t="s">
        <v>194</v>
      </c>
      <c r="S159" s="32" t="s">
        <v>87</v>
      </c>
      <c r="T159" s="32" t="s">
        <v>96</v>
      </c>
      <c r="U159" s="32" t="s">
        <v>97</v>
      </c>
      <c r="V159" s="32" t="s">
        <v>73</v>
      </c>
      <c r="W159" s="32" t="s">
        <v>111</v>
      </c>
      <c r="X159" s="32" t="s">
        <v>127</v>
      </c>
      <c r="Y159" s="32" t="s">
        <v>73</v>
      </c>
      <c r="Z159" s="32" t="s">
        <v>73</v>
      </c>
      <c r="AA159" s="32" t="s">
        <v>81</v>
      </c>
      <c r="AB159" s="32" t="s">
        <v>75</v>
      </c>
      <c r="AC159" s="32" t="s">
        <v>89</v>
      </c>
      <c r="AD159" s="32" t="s">
        <v>82</v>
      </c>
      <c r="AE159" s="32" t="s">
        <v>73</v>
      </c>
      <c r="AF159" s="32" t="s">
        <v>73</v>
      </c>
      <c r="AG159" s="32" t="s">
        <v>172</v>
      </c>
      <c r="AH159" t="str">
        <f>VLOOKUP($R159,武学奇术!$A:$ZZ,25,FALSE)</f>
        <v>单体奇术</v>
      </c>
      <c r="AI159" s="21">
        <f>VLOOKUP($R159,武学奇术!$A:$ZZ,26,FALSE)</f>
        <v>0.236</v>
      </c>
      <c r="AJ159" s="22">
        <f>VLOOKUP($R159,武学奇术!$A:$ZZ,27,FALSE)*(1+IF(OR($AH159=$F$4,$AH159=$F$5),$B$22,0))</f>
        <v>46</v>
      </c>
      <c r="AK159" s="21">
        <f>VLOOKUP($R159,武学奇术!$A:$ZZ,28,FALSE)</f>
        <v>0.354</v>
      </c>
      <c r="AL159" s="22">
        <f>VLOOKUP($R159,武学奇术!$A:$ZZ,29,FALSE)*(1+IF(OR($AH159=$F$4,$AH159=$F$5),$B$22,0))</f>
        <v>0</v>
      </c>
      <c r="AM159" s="21" cm="1">
        <f t="array" ref="AM159">$G$3+IFERROR(VLOOKUP($AH159,$F$4:$G$7,2,FALSE),0)+VLOOKUP($R159,武学奇术!$A:$ZZ,2,FALSE)+SUM(_xlfn.XLOOKUP($S159:$AG159,增益!$A:$A,增益!$B:$B,0))</f>
        <v>1.283</v>
      </c>
      <c r="AN159" s="21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1862.48</v>
      </c>
      <c r="AP159" cm="1">
        <f t="array" ref="AP159">$E$10*(1+$AN159)+VLOOKUP($R159,武学奇术!$A:$ZZ,4,FALSE)+SUM(_xlfn.XLOOKUP($S159:$AG159,增益!$A:$A,增益!$D:$D,0))-$I$2</f>
        <v>7794.56</v>
      </c>
      <c r="AQ159" s="26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0.294</v>
      </c>
      <c r="AR159" s="26" cm="1">
        <f t="array" ref="AR159">$G$10+VLOOKUP($R159,武学奇术!$A:$ZZ,7,FALSE)+SUM(_xlfn.XLOOKUP(S159:AG159,增益!$A:$A,增益!$G:$G,0))</f>
        <v>0</v>
      </c>
      <c r="AS159" s="21" cm="1">
        <f t="array" ref="AS159">VLOOKUP($R159,武学奇术!$A:$ZZ,8,FALSE)+SUM(_xlfn.XLOOKUP(S159:AG159,增益!$A:$A,增益!$H:$H,0))</f>
        <v>0</v>
      </c>
      <c r="AT159">
        <f t="shared" si="75"/>
        <v>680.02</v>
      </c>
      <c r="AU159">
        <f t="shared" si="76"/>
        <v>1288.54</v>
      </c>
      <c r="AV159" s="26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26" cm="1">
        <f t="array" ref="AW159">$G$11+VLOOKUP($R159,武学奇术!$A:$ZZ,10,FALSE)+SUM(_xlfn.XLOOKUP(S159:AG159,增益!$A:$A,增益!$J:$J,0))</f>
        <v>0.15</v>
      </c>
      <c r="AX159">
        <f t="shared" si="77"/>
        <v>0</v>
      </c>
      <c r="AY159">
        <f t="shared" si="78"/>
        <v>0</v>
      </c>
      <c r="AZ159" s="26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26" cm="1">
        <f t="array" ref="BA159">$G$12+VLOOKUP($R159,武学奇术!$A:$ZZ,12,FALSE)+SUM(_xlfn.XLOOKUP(S159:AG159,增益!$A:$A,增益!$L:$L,0))</f>
        <v>0</v>
      </c>
      <c r="BB159">
        <f t="shared" si="79"/>
        <v>0</v>
      </c>
      <c r="BC159">
        <f t="shared" si="80"/>
        <v>0</v>
      </c>
      <c r="BD159" s="26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26" cm="1">
        <f t="array" ref="BE159">$G$13+VLOOKUP($R159,武学奇术!$A:$ZZ,14,FALSE)+SUM(_xlfn.XLOOKUP(S159:AG159,增益!$A:$A,增益!$N:$N,0))</f>
        <v>0</v>
      </c>
      <c r="BF159">
        <f t="shared" si="81"/>
        <v>0</v>
      </c>
      <c r="BG159">
        <f t="shared" si="82"/>
        <v>0</v>
      </c>
      <c r="BH159" s="26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26" cm="1">
        <f t="array" ref="BI159">$G$14+VLOOKUP($R159,武学奇术!$A:$ZZ,16,FALSE)+SUM(_xlfn.XLOOKUP(S159:AG159,增益!$A:$A,增益!$P:$P,0))</f>
        <v>0</v>
      </c>
      <c r="BJ159" s="21">
        <f>MIN(IF(VLOOKUP($R159,武学奇术!$A:$ZZ,23,FALSE)=1,100%,$B$8),100%)</f>
        <v>0.8229</v>
      </c>
      <c r="BK159" s="21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0.2285</v>
      </c>
      <c r="BL159" s="21" cm="1">
        <f t="array" ref="BL159">1+$B$13+VLOOKUP($R159,武学奇术!$A:$ZZ,18,FALSE)+SUM(_xlfn.XLOOKUP(S159:AG159,增益!$A:$A,增益!$R:$R,0))</f>
        <v>1.5</v>
      </c>
      <c r="BM159" s="21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0.4495</v>
      </c>
      <c r="BN159" s="21" cm="1">
        <f t="array" ref="BN159">1+$B$14+VLOOKUP($R159,武学奇术!$A:$ZZ,20,FALSE)+SUM(_xlfn.XLOOKUP(S159:AG159,增益!$A:$A,增益!$T:$T,0))</f>
        <v>1.582</v>
      </c>
      <c r="BO159" s="21">
        <f t="shared" si="83"/>
        <v>0.18803265</v>
      </c>
      <c r="BP159" s="21">
        <f t="shared" si="84"/>
        <v>0.2649738</v>
      </c>
      <c r="BQ159" s="21">
        <f>IF(VLOOKUP($R159,武学奇术!$A:$ZZ,22,FALSE)=1,0,(1-$BJ159))*(1-$BM159)</f>
        <v>0.09749355</v>
      </c>
      <c r="BR159" s="21" cm="1">
        <f t="array" ref="BR159">SUM(_xlfn.XLOOKUP(S159:AG159,增益!$A:$A,增益!$W:$W,0))+$I$5</f>
        <v>0.06</v>
      </c>
    </row>
    <row r="160" spans="6:70">
      <c r="K160" s="24">
        <f>$L160*VLOOKUP($R160,武学奇术!$A:$ZZ,31,FALSE)</f>
        <v>15816.8164782868</v>
      </c>
      <c r="L160" s="24">
        <f t="shared" si="74"/>
        <v>31633.6329565737</v>
      </c>
      <c r="M160" s="24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28092.7318948968</v>
      </c>
      <c r="N160" s="24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45683.0339468363</v>
      </c>
      <c r="O160" s="24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18728.4879299312</v>
      </c>
      <c r="P160" s="24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8761.60277767886</v>
      </c>
      <c r="Q160" s="31">
        <v>4</v>
      </c>
      <c r="R160" s="32" t="s">
        <v>194</v>
      </c>
      <c r="S160" s="32" t="s">
        <v>87</v>
      </c>
      <c r="T160" s="32" t="s">
        <v>96</v>
      </c>
      <c r="U160" s="32" t="s">
        <v>97</v>
      </c>
      <c r="V160" s="32" t="s">
        <v>73</v>
      </c>
      <c r="W160" s="32" t="s">
        <v>111</v>
      </c>
      <c r="X160" s="32" t="s">
        <v>127</v>
      </c>
      <c r="Y160" s="32" t="s">
        <v>73</v>
      </c>
      <c r="Z160" s="32" t="s">
        <v>73</v>
      </c>
      <c r="AA160" s="32" t="s">
        <v>81</v>
      </c>
      <c r="AB160" s="32" t="s">
        <v>75</v>
      </c>
      <c r="AC160" s="32" t="s">
        <v>89</v>
      </c>
      <c r="AD160" s="32" t="s">
        <v>82</v>
      </c>
      <c r="AE160" s="32" t="s">
        <v>73</v>
      </c>
      <c r="AF160" s="32" t="s">
        <v>73</v>
      </c>
      <c r="AG160" s="32" t="s">
        <v>175</v>
      </c>
      <c r="AH160" t="str">
        <f>VLOOKUP($R160,武学奇术!$A:$ZZ,25,FALSE)</f>
        <v>单体奇术</v>
      </c>
      <c r="AI160" s="21">
        <f>VLOOKUP($R160,武学奇术!$A:$ZZ,26,FALSE)</f>
        <v>0.236</v>
      </c>
      <c r="AJ160" s="22">
        <f>VLOOKUP($R160,武学奇术!$A:$ZZ,27,FALSE)*(1+IF(OR($AH160=$F$4,$AH160=$F$5),$B$22,0))</f>
        <v>46</v>
      </c>
      <c r="AK160" s="21">
        <f>VLOOKUP($R160,武学奇术!$A:$ZZ,28,FALSE)</f>
        <v>0.354</v>
      </c>
      <c r="AL160" s="22">
        <f>VLOOKUP($R160,武学奇术!$A:$ZZ,29,FALSE)*(1+IF(OR($AH160=$F$4,$AH160=$F$5),$B$22,0))</f>
        <v>0</v>
      </c>
      <c r="AM160" s="21" cm="1">
        <f t="array" ref="AM160">$G$3+IFERROR(VLOOKUP($AH160,$F$4:$G$7,2,FALSE),0)+VLOOKUP($R160,武学奇术!$A:$ZZ,2,FALSE)+SUM(_xlfn.XLOOKUP($S160:$AG160,增益!$A:$A,增益!$B:$B,0))</f>
        <v>1.283</v>
      </c>
      <c r="AN160" s="21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1862.48</v>
      </c>
      <c r="AP160" cm="1">
        <f t="array" ref="AP160">$E$10*(1+$AN160)+VLOOKUP($R160,武学奇术!$A:$ZZ,4,FALSE)+SUM(_xlfn.XLOOKUP($S160:$AG160,增益!$A:$A,增益!$D:$D,0))-$I$2</f>
        <v>7794.56</v>
      </c>
      <c r="AQ160" s="26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0.294</v>
      </c>
      <c r="AR160" s="26" cm="1">
        <f t="array" ref="AR160">$G$10+VLOOKUP($R160,武学奇术!$A:$ZZ,7,FALSE)+SUM(_xlfn.XLOOKUP(S160:AG160,增益!$A:$A,增益!$G:$G,0))</f>
        <v>0</v>
      </c>
      <c r="AS160" s="21" cm="1">
        <f t="array" ref="AS160">VLOOKUP($R160,武学奇术!$A:$ZZ,8,FALSE)+SUM(_xlfn.XLOOKUP(S160:AG160,增益!$A:$A,增益!$H:$H,0))</f>
        <v>0</v>
      </c>
      <c r="AT160">
        <f t="shared" si="75"/>
        <v>680.02</v>
      </c>
      <c r="AU160">
        <f t="shared" si="76"/>
        <v>1288.54</v>
      </c>
      <c r="AV160" s="26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26" cm="1">
        <f t="array" ref="AW160">$G$11+VLOOKUP($R160,武学奇术!$A:$ZZ,10,FALSE)+SUM(_xlfn.XLOOKUP(S160:AG160,增益!$A:$A,增益!$J:$J,0))</f>
        <v>0.15</v>
      </c>
      <c r="AX160">
        <f t="shared" si="77"/>
        <v>0</v>
      </c>
      <c r="AY160">
        <f t="shared" si="78"/>
        <v>0</v>
      </c>
      <c r="AZ160" s="26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26" cm="1">
        <f t="array" ref="BA160">$G$12+VLOOKUP($R160,武学奇术!$A:$ZZ,12,FALSE)+SUM(_xlfn.XLOOKUP(S160:AG160,增益!$A:$A,增益!$L:$L,0))</f>
        <v>0</v>
      </c>
      <c r="BB160">
        <f t="shared" si="79"/>
        <v>0</v>
      </c>
      <c r="BC160">
        <f t="shared" si="80"/>
        <v>0</v>
      </c>
      <c r="BD160" s="26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26" cm="1">
        <f t="array" ref="BE160">$G$13+VLOOKUP($R160,武学奇术!$A:$ZZ,14,FALSE)+SUM(_xlfn.XLOOKUP(S160:AG160,增益!$A:$A,增益!$N:$N,0))</f>
        <v>0</v>
      </c>
      <c r="BF160">
        <f t="shared" si="81"/>
        <v>0</v>
      </c>
      <c r="BG160">
        <f t="shared" si="82"/>
        <v>0</v>
      </c>
      <c r="BH160" s="26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26" cm="1">
        <f t="array" ref="BI160">$G$14+VLOOKUP($R160,武学奇术!$A:$ZZ,16,FALSE)+SUM(_xlfn.XLOOKUP(S160:AG160,增益!$A:$A,增益!$P:$P,0))</f>
        <v>0</v>
      </c>
      <c r="BJ160" s="21">
        <f>MIN(IF(VLOOKUP($R160,武学奇术!$A:$ZZ,23,FALSE)=1,100%,$B$8),100%)</f>
        <v>0.8229</v>
      </c>
      <c r="BK160" s="21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0.2285</v>
      </c>
      <c r="BL160" s="21" cm="1">
        <f t="array" ref="BL160">1+$B$13+VLOOKUP($R160,武学奇术!$A:$ZZ,18,FALSE)+SUM(_xlfn.XLOOKUP(S160:AG160,增益!$A:$A,增益!$R:$R,0))</f>
        <v>1.5</v>
      </c>
      <c r="BM160" s="21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0.4495</v>
      </c>
      <c r="BN160" s="21" cm="1">
        <f t="array" ref="BN160">1+$B$14+VLOOKUP($R160,武学奇术!$A:$ZZ,20,FALSE)+SUM(_xlfn.XLOOKUP(S160:AG160,增益!$A:$A,增益!$T:$T,0))</f>
        <v>1.592</v>
      </c>
      <c r="BO160" s="21">
        <f t="shared" si="83"/>
        <v>0.18803265</v>
      </c>
      <c r="BP160" s="21">
        <f t="shared" si="84"/>
        <v>0.2649738</v>
      </c>
      <c r="BQ160" s="21">
        <f>IF(VLOOKUP($R160,武学奇术!$A:$ZZ,22,FALSE)=1,0,(1-$BJ160))*(1-$BM160)</f>
        <v>0.09749355</v>
      </c>
      <c r="BR160" s="21" cm="1">
        <f t="array" ref="BR160">SUM(_xlfn.XLOOKUP(S160:AG160,增益!$A:$A,增益!$W:$W,0))+$I$5</f>
        <v>0.06</v>
      </c>
    </row>
    <row r="161" spans="11:70">
      <c r="K161" s="24">
        <f>$L161*VLOOKUP($R161,武学奇术!$A:$ZZ,31,FALSE)</f>
        <v>7877.24826558655</v>
      </c>
      <c r="L161" s="24">
        <f t="shared" si="74"/>
        <v>15754.4965311731</v>
      </c>
      <c r="M161" s="24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13977.6367924227</v>
      </c>
      <c r="N161" s="24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22768.5724302175</v>
      </c>
      <c r="O161" s="24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9318.42452828178</v>
      </c>
      <c r="P161" s="24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4334.98195215559</v>
      </c>
      <c r="Q161" s="31">
        <v>2</v>
      </c>
      <c r="R161" s="32" t="s">
        <v>194</v>
      </c>
      <c r="S161" s="32" t="s">
        <v>87</v>
      </c>
      <c r="T161" s="32" t="s">
        <v>96</v>
      </c>
      <c r="U161" s="32" t="s">
        <v>97</v>
      </c>
      <c r="V161" s="32" t="s">
        <v>73</v>
      </c>
      <c r="W161" s="32" t="s">
        <v>73</v>
      </c>
      <c r="X161" s="32" t="s">
        <v>127</v>
      </c>
      <c r="Y161" s="32" t="s">
        <v>73</v>
      </c>
      <c r="Z161" s="32" t="s">
        <v>73</v>
      </c>
      <c r="AA161" s="32" t="s">
        <v>81</v>
      </c>
      <c r="AB161" s="32" t="s">
        <v>75</v>
      </c>
      <c r="AC161" s="32" t="s">
        <v>89</v>
      </c>
      <c r="AD161" s="32" t="s">
        <v>82</v>
      </c>
      <c r="AE161" s="32" t="s">
        <v>73</v>
      </c>
      <c r="AF161" s="32" t="s">
        <v>73</v>
      </c>
      <c r="AG161" s="32" t="s">
        <v>175</v>
      </c>
      <c r="AH161" t="str">
        <f>VLOOKUP($R161,武学奇术!$A:$ZZ,25,FALSE)</f>
        <v>单体奇术</v>
      </c>
      <c r="AI161" s="21">
        <f>VLOOKUP($R161,武学奇术!$A:$ZZ,26,FALSE)</f>
        <v>0.236</v>
      </c>
      <c r="AJ161" s="22">
        <f>VLOOKUP($R161,武学奇术!$A:$ZZ,27,FALSE)*(1+IF(OR($AH161=$F$4,$AH161=$F$5),$B$22,0))</f>
        <v>46</v>
      </c>
      <c r="AK161" s="21">
        <f>VLOOKUP($R161,武学奇术!$A:$ZZ,28,FALSE)</f>
        <v>0.354</v>
      </c>
      <c r="AL161" s="22">
        <f>VLOOKUP($R161,武学奇术!$A:$ZZ,29,FALSE)*(1+IF(OR($AH161=$F$4,$AH161=$F$5),$B$22,0))</f>
        <v>0</v>
      </c>
      <c r="AM161" s="21" cm="1">
        <f t="array" ref="AM161">$G$3+IFERROR(VLOOKUP($AH161,$F$4:$G$7,2,FALSE),0)+VLOOKUP($R161,武学奇术!$A:$ZZ,2,FALSE)+SUM(_xlfn.XLOOKUP($S161:$AG161,增益!$A:$A,增益!$B:$B,0))</f>
        <v>1.283</v>
      </c>
      <c r="AN161" s="21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1831.48</v>
      </c>
      <c r="AP161" cm="1">
        <f t="array" ref="AP161">$E$10*(1+$AN161)+VLOOKUP($R161,武学奇术!$A:$ZZ,4,FALSE)+SUM(_xlfn.XLOOKUP($S161:$AG161,增益!$A:$A,增益!$D:$D,0))-$I$2</f>
        <v>7763.56</v>
      </c>
      <c r="AQ161" s="26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0.294</v>
      </c>
      <c r="AR161" s="26" cm="1">
        <f t="array" ref="AR161">$G$10+VLOOKUP($R161,武学奇术!$A:$ZZ,7,FALSE)+SUM(_xlfn.XLOOKUP(S161:AG161,增益!$A:$A,增益!$G:$G,0))</f>
        <v>0</v>
      </c>
      <c r="AS161" s="21" cm="1">
        <f t="array" ref="AS161">VLOOKUP($R161,武学奇术!$A:$ZZ,8,FALSE)+SUM(_xlfn.XLOOKUP(S161:AG161,增益!$A:$A,增益!$H:$H,0))</f>
        <v>0</v>
      </c>
      <c r="AT161">
        <f t="shared" si="75"/>
        <v>680.02</v>
      </c>
      <c r="AU161">
        <f t="shared" si="76"/>
        <v>1288.54</v>
      </c>
      <c r="AV161" s="26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26" cm="1">
        <f t="array" ref="AW161">$G$11+VLOOKUP($R161,武学奇术!$A:$ZZ,10,FALSE)+SUM(_xlfn.XLOOKUP(S161:AG161,增益!$A:$A,增益!$J:$J,0))</f>
        <v>0.15</v>
      </c>
      <c r="AX161">
        <f t="shared" si="77"/>
        <v>0</v>
      </c>
      <c r="AY161">
        <f t="shared" si="78"/>
        <v>0</v>
      </c>
      <c r="AZ161" s="26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26" cm="1">
        <f t="array" ref="BA161">$G$12+VLOOKUP($R161,武学奇术!$A:$ZZ,12,FALSE)+SUM(_xlfn.XLOOKUP(S161:AG161,增益!$A:$A,增益!$L:$L,0))</f>
        <v>0</v>
      </c>
      <c r="BB161">
        <f t="shared" si="79"/>
        <v>0</v>
      </c>
      <c r="BC161">
        <f t="shared" si="80"/>
        <v>0</v>
      </c>
      <c r="BD161" s="26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26" cm="1">
        <f t="array" ref="BE161">$G$13+VLOOKUP($R161,武学奇术!$A:$ZZ,14,FALSE)+SUM(_xlfn.XLOOKUP(S161:AG161,增益!$A:$A,增益!$N:$N,0))</f>
        <v>0</v>
      </c>
      <c r="BF161">
        <f t="shared" si="81"/>
        <v>0</v>
      </c>
      <c r="BG161">
        <f t="shared" si="82"/>
        <v>0</v>
      </c>
      <c r="BH161" s="26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26" cm="1">
        <f t="array" ref="BI161">$G$14+VLOOKUP($R161,武学奇术!$A:$ZZ,16,FALSE)+SUM(_xlfn.XLOOKUP(S161:AG161,增益!$A:$A,增益!$P:$P,0))</f>
        <v>0</v>
      </c>
      <c r="BJ161" s="21">
        <f>MIN(IF(VLOOKUP($R161,武学奇术!$A:$ZZ,23,FALSE)=1,100%,$B$8),100%)</f>
        <v>0.8229</v>
      </c>
      <c r="BK161" s="21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0.2285</v>
      </c>
      <c r="BL161" s="21" cm="1">
        <f t="array" ref="BL161">1+$B$13+VLOOKUP($R161,武学奇术!$A:$ZZ,18,FALSE)+SUM(_xlfn.XLOOKUP(S161:AG161,增益!$A:$A,增益!$R:$R,0))</f>
        <v>1.5</v>
      </c>
      <c r="BM161" s="21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0.4495</v>
      </c>
      <c r="BN161" s="21" cm="1">
        <f t="array" ref="BN161">1+$B$14+VLOOKUP($R161,武学奇术!$A:$ZZ,20,FALSE)+SUM(_xlfn.XLOOKUP(S161:AG161,增益!$A:$A,增益!$T:$T,0))</f>
        <v>1.592</v>
      </c>
      <c r="BO161" s="21">
        <f t="shared" si="83"/>
        <v>0.18803265</v>
      </c>
      <c r="BP161" s="21">
        <f t="shared" si="84"/>
        <v>0.2649738</v>
      </c>
      <c r="BQ161" s="21">
        <f>IF(VLOOKUP($R161,武学奇术!$A:$ZZ,22,FALSE)=1,0,(1-$BJ161))*(1-$BM161)</f>
        <v>0.09749355</v>
      </c>
      <c r="BR161" s="21" cm="1">
        <f t="array" ref="BR161">SUM(_xlfn.XLOOKUP(S161:AG161,增益!$A:$A,增益!$W:$W,0))+$I$5</f>
        <v>0.06</v>
      </c>
    </row>
    <row r="162" spans="11:70">
      <c r="K162" s="24">
        <f>$L162*VLOOKUP($R162,武学奇术!$A:$ZZ,31,FALSE)</f>
        <v>19773.4792797593</v>
      </c>
      <c r="L162" s="24">
        <f t="shared" si="74"/>
        <v>39546.9585595185</v>
      </c>
      <c r="M162" s="24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34944.0919810567</v>
      </c>
      <c r="N162" s="24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57278.9777531539</v>
      </c>
      <c r="O162" s="24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23296.0613207044</v>
      </c>
      <c r="P162" s="24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10837.454880389</v>
      </c>
      <c r="Q162" s="31">
        <v>5</v>
      </c>
      <c r="R162" s="32" t="s">
        <v>194</v>
      </c>
      <c r="S162" s="32" t="s">
        <v>87</v>
      </c>
      <c r="T162" s="32" t="s">
        <v>96</v>
      </c>
      <c r="U162" s="32" t="s">
        <v>97</v>
      </c>
      <c r="V162" s="32" t="s">
        <v>73</v>
      </c>
      <c r="W162" s="32" t="s">
        <v>73</v>
      </c>
      <c r="X162" s="32" t="s">
        <v>127</v>
      </c>
      <c r="Y162" s="32" t="s">
        <v>73</v>
      </c>
      <c r="Z162" s="32" t="s">
        <v>73</v>
      </c>
      <c r="AA162" s="32" t="s">
        <v>81</v>
      </c>
      <c r="AB162" s="32" t="s">
        <v>75</v>
      </c>
      <c r="AC162" s="32" t="s">
        <v>89</v>
      </c>
      <c r="AD162" s="32" t="s">
        <v>82</v>
      </c>
      <c r="AE162" s="32" t="s">
        <v>73</v>
      </c>
      <c r="AF162" s="32" t="s">
        <v>73</v>
      </c>
      <c r="AG162" s="32" t="s">
        <v>178</v>
      </c>
      <c r="AH162" t="str">
        <f>VLOOKUP($R162,武学奇术!$A:$ZZ,25,FALSE)</f>
        <v>单体奇术</v>
      </c>
      <c r="AI162" s="21">
        <f>VLOOKUP($R162,武学奇术!$A:$ZZ,26,FALSE)</f>
        <v>0.236</v>
      </c>
      <c r="AJ162" s="22">
        <f>VLOOKUP($R162,武学奇术!$A:$ZZ,27,FALSE)*(1+IF(OR($AH162=$F$4,$AH162=$F$5),$B$22,0))</f>
        <v>46</v>
      </c>
      <c r="AK162" s="21">
        <f>VLOOKUP($R162,武学奇术!$A:$ZZ,28,FALSE)</f>
        <v>0.354</v>
      </c>
      <c r="AL162" s="22">
        <f>VLOOKUP($R162,武学奇术!$A:$ZZ,29,FALSE)*(1+IF(OR($AH162=$F$4,$AH162=$F$5),$B$22,0))</f>
        <v>0</v>
      </c>
      <c r="AM162" s="21" cm="1">
        <f t="array" ref="AM162">$G$3+IFERROR(VLOOKUP($AH162,$F$4:$G$7,2,FALSE),0)+VLOOKUP($R162,武学奇术!$A:$ZZ,2,FALSE)+SUM(_xlfn.XLOOKUP($S162:$AG162,增益!$A:$A,增益!$B:$B,0))</f>
        <v>1.283</v>
      </c>
      <c r="AN162" s="21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1831.48</v>
      </c>
      <c r="AP162" cm="1">
        <f t="array" ref="AP162">$E$10*(1+$AN162)+VLOOKUP($R162,武学奇术!$A:$ZZ,4,FALSE)+SUM(_xlfn.XLOOKUP($S162:$AG162,增益!$A:$A,增益!$D:$D,0))-$I$2</f>
        <v>7763.56</v>
      </c>
      <c r="AQ162" s="26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0.294</v>
      </c>
      <c r="AR162" s="26" cm="1">
        <f t="array" ref="AR162">$G$10+VLOOKUP($R162,武学奇术!$A:$ZZ,7,FALSE)+SUM(_xlfn.XLOOKUP(S162:AG162,增益!$A:$A,增益!$G:$G,0))</f>
        <v>0</v>
      </c>
      <c r="AS162" s="21" cm="1">
        <f t="array" ref="AS162">VLOOKUP($R162,武学奇术!$A:$ZZ,8,FALSE)+SUM(_xlfn.XLOOKUP(S162:AG162,增益!$A:$A,增益!$H:$H,0))</f>
        <v>0</v>
      </c>
      <c r="AT162">
        <f t="shared" si="75"/>
        <v>680.02</v>
      </c>
      <c r="AU162">
        <f t="shared" si="76"/>
        <v>1288.54</v>
      </c>
      <c r="AV162" s="26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26" cm="1">
        <f t="array" ref="AW162">$G$11+VLOOKUP($R162,武学奇术!$A:$ZZ,10,FALSE)+SUM(_xlfn.XLOOKUP(S162:AG162,增益!$A:$A,增益!$J:$J,0))</f>
        <v>0.15</v>
      </c>
      <c r="AX162">
        <f t="shared" si="77"/>
        <v>0</v>
      </c>
      <c r="AY162">
        <f t="shared" si="78"/>
        <v>0</v>
      </c>
      <c r="AZ162" s="26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26" cm="1">
        <f t="array" ref="BA162">$G$12+VLOOKUP($R162,武学奇术!$A:$ZZ,12,FALSE)+SUM(_xlfn.XLOOKUP(S162:AG162,增益!$A:$A,增益!$L:$L,0))</f>
        <v>0</v>
      </c>
      <c r="BB162">
        <f t="shared" si="79"/>
        <v>0</v>
      </c>
      <c r="BC162">
        <f t="shared" si="80"/>
        <v>0</v>
      </c>
      <c r="BD162" s="26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26" cm="1">
        <f t="array" ref="BE162">$G$13+VLOOKUP($R162,武学奇术!$A:$ZZ,14,FALSE)+SUM(_xlfn.XLOOKUP(S162:AG162,增益!$A:$A,增益!$N:$N,0))</f>
        <v>0</v>
      </c>
      <c r="BF162">
        <f t="shared" si="81"/>
        <v>0</v>
      </c>
      <c r="BG162">
        <f t="shared" si="82"/>
        <v>0</v>
      </c>
      <c r="BH162" s="26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26" cm="1">
        <f t="array" ref="BI162">$G$14+VLOOKUP($R162,武学奇术!$A:$ZZ,16,FALSE)+SUM(_xlfn.XLOOKUP(S162:AG162,增益!$A:$A,增益!$P:$P,0))</f>
        <v>0</v>
      </c>
      <c r="BJ162" s="21">
        <f>MIN(IF(VLOOKUP($R162,武学奇术!$A:$ZZ,23,FALSE)=1,100%,$B$8),100%)</f>
        <v>0.8229</v>
      </c>
      <c r="BK162" s="21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0.2285</v>
      </c>
      <c r="BL162" s="21" cm="1">
        <f t="array" ref="BL162">1+$B$13+VLOOKUP($R162,武学奇术!$A:$ZZ,18,FALSE)+SUM(_xlfn.XLOOKUP(S162:AG162,增益!$A:$A,增益!$R:$R,0))</f>
        <v>1.5</v>
      </c>
      <c r="BM162" s="21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0.4495</v>
      </c>
      <c r="BN162" s="21" cm="1">
        <f t="array" ref="BN162">1+$B$14+VLOOKUP($R162,武学奇术!$A:$ZZ,20,FALSE)+SUM(_xlfn.XLOOKUP(S162:AG162,增益!$A:$A,增益!$T:$T,0))</f>
        <v>1.602</v>
      </c>
      <c r="BO162" s="21">
        <f t="shared" si="83"/>
        <v>0.18803265</v>
      </c>
      <c r="BP162" s="21">
        <f t="shared" si="84"/>
        <v>0.2649738</v>
      </c>
      <c r="BQ162" s="21">
        <f>IF(VLOOKUP($R162,武学奇术!$A:$ZZ,22,FALSE)=1,0,(1-$BJ162))*(1-$BM162)</f>
        <v>0.09749355</v>
      </c>
      <c r="BR162" s="21" cm="1">
        <f t="array" ref="BR162">SUM(_xlfn.XLOOKUP(S162:AG162,增益!$A:$A,增益!$W:$W,0))+$I$5</f>
        <v>0.06</v>
      </c>
    </row>
    <row r="163" spans="11:70">
      <c r="K163" s="24">
        <f>$L163*VLOOKUP($R163,武学奇术!$A:$ZZ,31,FALSE)</f>
        <v>3954.69585595185</v>
      </c>
      <c r="L163" s="24">
        <f t="shared" si="74"/>
        <v>7909.39171190371</v>
      </c>
      <c r="M163" s="24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6988.81839621133</v>
      </c>
      <c r="N163" s="24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11455.7955506308</v>
      </c>
      <c r="O163" s="24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4659.21226414089</v>
      </c>
      <c r="P163" s="24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2167.49097607779</v>
      </c>
      <c r="Q163" s="31">
        <v>1</v>
      </c>
      <c r="R163" s="32" t="s">
        <v>194</v>
      </c>
      <c r="S163" s="32" t="s">
        <v>87</v>
      </c>
      <c r="T163" s="32" t="s">
        <v>96</v>
      </c>
      <c r="U163" s="32" t="s">
        <v>97</v>
      </c>
      <c r="V163" s="32" t="s">
        <v>73</v>
      </c>
      <c r="W163" s="32" t="s">
        <v>73</v>
      </c>
      <c r="X163" s="32" t="s">
        <v>127</v>
      </c>
      <c r="Y163" s="32" t="s">
        <v>73</v>
      </c>
      <c r="Z163" s="32" t="s">
        <v>73</v>
      </c>
      <c r="AA163" s="32" t="s">
        <v>81</v>
      </c>
      <c r="AB163" s="32" t="s">
        <v>75</v>
      </c>
      <c r="AC163" s="32" t="s">
        <v>76</v>
      </c>
      <c r="AD163" s="32" t="s">
        <v>82</v>
      </c>
      <c r="AE163" s="32" t="s">
        <v>73</v>
      </c>
      <c r="AF163" s="32" t="s">
        <v>73</v>
      </c>
      <c r="AG163" s="32" t="s">
        <v>178</v>
      </c>
      <c r="AH163" t="str">
        <f>VLOOKUP($R163,武学奇术!$A:$ZZ,25,FALSE)</f>
        <v>单体奇术</v>
      </c>
      <c r="AI163" s="21">
        <f>VLOOKUP($R163,武学奇术!$A:$ZZ,26,FALSE)</f>
        <v>0.236</v>
      </c>
      <c r="AJ163" s="22">
        <f>VLOOKUP($R163,武学奇术!$A:$ZZ,27,FALSE)*(1+IF(OR($AH163=$F$4,$AH163=$F$5),$B$22,0))</f>
        <v>46</v>
      </c>
      <c r="AK163" s="21">
        <f>VLOOKUP($R163,武学奇术!$A:$ZZ,28,FALSE)</f>
        <v>0.354</v>
      </c>
      <c r="AL163" s="22">
        <f>VLOOKUP($R163,武学奇术!$A:$ZZ,29,FALSE)*(1+IF(OR($AH163=$F$4,$AH163=$F$5),$B$22,0))</f>
        <v>0</v>
      </c>
      <c r="AM163" s="21" cm="1">
        <f t="array" ref="AM163">$G$3+IFERROR(VLOOKUP($AH163,$F$4:$G$7,2,FALSE),0)+VLOOKUP($R163,武学奇术!$A:$ZZ,2,FALSE)+SUM(_xlfn.XLOOKUP($S163:$AG163,增益!$A:$A,增益!$B:$B,0))</f>
        <v>1.283</v>
      </c>
      <c r="AN163" s="21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1831.48</v>
      </c>
      <c r="AP163" cm="1">
        <f t="array" ref="AP163">$E$10*(1+$AN163)+VLOOKUP($R163,武学奇术!$A:$ZZ,4,FALSE)+SUM(_xlfn.XLOOKUP($S163:$AG163,增益!$A:$A,增益!$D:$D,0))-$I$2</f>
        <v>7763.56</v>
      </c>
      <c r="AQ163" s="26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0.294</v>
      </c>
      <c r="AR163" s="26" cm="1">
        <f t="array" ref="AR163">$G$10+VLOOKUP($R163,武学奇术!$A:$ZZ,7,FALSE)+SUM(_xlfn.XLOOKUP(S163:AG163,增益!$A:$A,增益!$G:$G,0))</f>
        <v>0</v>
      </c>
      <c r="AS163" s="21" cm="1">
        <f t="array" ref="AS163">VLOOKUP($R163,武学奇术!$A:$ZZ,8,FALSE)+SUM(_xlfn.XLOOKUP(S163:AG163,增益!$A:$A,增益!$H:$H,0))</f>
        <v>0</v>
      </c>
      <c r="AT163">
        <f t="shared" si="75"/>
        <v>680.02</v>
      </c>
      <c r="AU163">
        <f t="shared" si="76"/>
        <v>1288.54</v>
      </c>
      <c r="AV163" s="26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26" cm="1">
        <f t="array" ref="AW163">$G$11+VLOOKUP($R163,武学奇术!$A:$ZZ,10,FALSE)+SUM(_xlfn.XLOOKUP(S163:AG163,增益!$A:$A,增益!$J:$J,0))</f>
        <v>0.15</v>
      </c>
      <c r="AX163">
        <f t="shared" si="77"/>
        <v>0</v>
      </c>
      <c r="AY163">
        <f t="shared" si="78"/>
        <v>0</v>
      </c>
      <c r="AZ163" s="26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26" cm="1">
        <f t="array" ref="BA163">$G$12+VLOOKUP($R163,武学奇术!$A:$ZZ,12,FALSE)+SUM(_xlfn.XLOOKUP(S163:AG163,增益!$A:$A,增益!$L:$L,0))</f>
        <v>0</v>
      </c>
      <c r="BB163">
        <f t="shared" si="79"/>
        <v>0</v>
      </c>
      <c r="BC163">
        <f t="shared" si="80"/>
        <v>0</v>
      </c>
      <c r="BD163" s="26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26" cm="1">
        <f t="array" ref="BE163">$G$13+VLOOKUP($R163,武学奇术!$A:$ZZ,14,FALSE)+SUM(_xlfn.XLOOKUP(S163:AG163,增益!$A:$A,增益!$N:$N,0))</f>
        <v>0</v>
      </c>
      <c r="BF163">
        <f t="shared" si="81"/>
        <v>0</v>
      </c>
      <c r="BG163">
        <f t="shared" si="82"/>
        <v>0</v>
      </c>
      <c r="BH163" s="26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26" cm="1">
        <f t="array" ref="BI163">$G$14+VLOOKUP($R163,武学奇术!$A:$ZZ,16,FALSE)+SUM(_xlfn.XLOOKUP(S163:AG163,增益!$A:$A,增益!$P:$P,0))</f>
        <v>0</v>
      </c>
      <c r="BJ163" s="21">
        <f>MIN(IF(VLOOKUP($R163,武学奇术!$A:$ZZ,23,FALSE)=1,100%,$B$8),100%)</f>
        <v>0.8229</v>
      </c>
      <c r="BK163" s="21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0.2285</v>
      </c>
      <c r="BL163" s="21" cm="1">
        <f t="array" ref="BL163">1+$B$13+VLOOKUP($R163,武学奇术!$A:$ZZ,18,FALSE)+SUM(_xlfn.XLOOKUP(S163:AG163,增益!$A:$A,增益!$R:$R,0))</f>
        <v>1.5</v>
      </c>
      <c r="BM163" s="21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0.4495</v>
      </c>
      <c r="BN163" s="21" cm="1">
        <f t="array" ref="BN163">1+$B$14+VLOOKUP($R163,武学奇术!$A:$ZZ,20,FALSE)+SUM(_xlfn.XLOOKUP(S163:AG163,增益!$A:$A,增益!$T:$T,0))</f>
        <v>1.602</v>
      </c>
      <c r="BO163" s="21">
        <f t="shared" si="83"/>
        <v>0.18803265</v>
      </c>
      <c r="BP163" s="21">
        <f t="shared" si="84"/>
        <v>0.2649738</v>
      </c>
      <c r="BQ163" s="21">
        <f>IF(VLOOKUP($R163,武学奇术!$A:$ZZ,22,FALSE)=1,0,(1-$BJ163))*(1-$BM163)</f>
        <v>0.09749355</v>
      </c>
      <c r="BR163" s="21" cm="1">
        <f t="array" ref="BR163">SUM(_xlfn.XLOOKUP(S163:AG163,增益!$A:$A,增益!$W:$W,0))+$I$5</f>
        <v>0.06</v>
      </c>
    </row>
    <row r="164" spans="11:70">
      <c r="K164" s="24">
        <f>$L164*VLOOKUP($R164,武学奇术!$A:$ZZ,31,FALSE)</f>
        <v>23821.9639939336</v>
      </c>
      <c r="L164" s="24">
        <f t="shared" si="74"/>
        <v>47643.9279878671</v>
      </c>
      <c r="M164" s="24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42139.0978423453</v>
      </c>
      <c r="N164" s="24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68954.9815164872</v>
      </c>
      <c r="O164" s="24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28092.7318948968</v>
      </c>
      <c r="P164" s="24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13142.4041665183</v>
      </c>
      <c r="Q164" s="31">
        <v>6</v>
      </c>
      <c r="R164" s="32" t="s">
        <v>194</v>
      </c>
      <c r="S164" s="32" t="s">
        <v>87</v>
      </c>
      <c r="T164" s="32" t="s">
        <v>96</v>
      </c>
      <c r="U164" s="32" t="s">
        <v>97</v>
      </c>
      <c r="V164" s="32" t="s">
        <v>73</v>
      </c>
      <c r="W164" s="32" t="s">
        <v>111</v>
      </c>
      <c r="X164" s="32" t="s">
        <v>127</v>
      </c>
      <c r="Y164" s="32" t="s">
        <v>73</v>
      </c>
      <c r="Z164" s="32" t="s">
        <v>73</v>
      </c>
      <c r="AA164" s="32" t="s">
        <v>81</v>
      </c>
      <c r="AB164" s="32" t="s">
        <v>75</v>
      </c>
      <c r="AC164" s="32" t="s">
        <v>76</v>
      </c>
      <c r="AD164" s="32" t="s">
        <v>82</v>
      </c>
      <c r="AE164" s="32" t="s">
        <v>73</v>
      </c>
      <c r="AF164" s="32" t="s">
        <v>73</v>
      </c>
      <c r="AG164" s="32" t="s">
        <v>178</v>
      </c>
      <c r="AH164" t="str">
        <f>VLOOKUP($R164,武学奇术!$A:$ZZ,25,FALSE)</f>
        <v>单体奇术</v>
      </c>
      <c r="AI164" s="21">
        <f>VLOOKUP($R164,武学奇术!$A:$ZZ,26,FALSE)</f>
        <v>0.236</v>
      </c>
      <c r="AJ164" s="22">
        <f>VLOOKUP($R164,武学奇术!$A:$ZZ,27,FALSE)*(1+IF(OR($AH164=$F$4,$AH164=$F$5),$B$22,0))</f>
        <v>46</v>
      </c>
      <c r="AK164" s="21">
        <f>VLOOKUP($R164,武学奇术!$A:$ZZ,28,FALSE)</f>
        <v>0.354</v>
      </c>
      <c r="AL164" s="22">
        <f>VLOOKUP($R164,武学奇术!$A:$ZZ,29,FALSE)*(1+IF(OR($AH164=$F$4,$AH164=$F$5),$B$22,0))</f>
        <v>0</v>
      </c>
      <c r="AM164" s="21" cm="1">
        <f t="array" ref="AM164">$G$3+IFERROR(VLOOKUP($AH164,$F$4:$G$7,2,FALSE),0)+VLOOKUP($R164,武学奇术!$A:$ZZ,2,FALSE)+SUM(_xlfn.XLOOKUP($S164:$AG164,增益!$A:$A,增益!$B:$B,0))</f>
        <v>1.283</v>
      </c>
      <c r="AN164" s="21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1862.48</v>
      </c>
      <c r="AP164" cm="1">
        <f t="array" ref="AP164">$E$10*(1+$AN164)+VLOOKUP($R164,武学奇术!$A:$ZZ,4,FALSE)+SUM(_xlfn.XLOOKUP($S164:$AG164,增益!$A:$A,增益!$D:$D,0))-$I$2</f>
        <v>7794.56</v>
      </c>
      <c r="AQ164" s="26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0.294</v>
      </c>
      <c r="AR164" s="26" cm="1">
        <f t="array" ref="AR164">$G$10+VLOOKUP($R164,武学奇术!$A:$ZZ,7,FALSE)+SUM(_xlfn.XLOOKUP(S164:AG164,增益!$A:$A,增益!$G:$G,0))</f>
        <v>0</v>
      </c>
      <c r="AS164" s="21" cm="1">
        <f t="array" ref="AS164">VLOOKUP($R164,武学奇术!$A:$ZZ,8,FALSE)+SUM(_xlfn.XLOOKUP(S164:AG164,增益!$A:$A,增益!$H:$H,0))</f>
        <v>0</v>
      </c>
      <c r="AT164">
        <f t="shared" si="75"/>
        <v>680.02</v>
      </c>
      <c r="AU164">
        <f t="shared" si="76"/>
        <v>1288.54</v>
      </c>
      <c r="AV164" s="26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26" cm="1">
        <f t="array" ref="AW164">$G$11+VLOOKUP($R164,武学奇术!$A:$ZZ,10,FALSE)+SUM(_xlfn.XLOOKUP(S164:AG164,增益!$A:$A,增益!$J:$J,0))</f>
        <v>0.15</v>
      </c>
      <c r="AX164">
        <f t="shared" si="77"/>
        <v>0</v>
      </c>
      <c r="AY164">
        <f t="shared" si="78"/>
        <v>0</v>
      </c>
      <c r="AZ164" s="26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26" cm="1">
        <f t="array" ref="BA164">$G$12+VLOOKUP($R164,武学奇术!$A:$ZZ,12,FALSE)+SUM(_xlfn.XLOOKUP(S164:AG164,增益!$A:$A,增益!$L:$L,0))</f>
        <v>0</v>
      </c>
      <c r="BB164">
        <f t="shared" si="79"/>
        <v>0</v>
      </c>
      <c r="BC164">
        <f t="shared" si="80"/>
        <v>0</v>
      </c>
      <c r="BD164" s="26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26" cm="1">
        <f t="array" ref="BE164">$G$13+VLOOKUP($R164,武学奇术!$A:$ZZ,14,FALSE)+SUM(_xlfn.XLOOKUP(S164:AG164,增益!$A:$A,增益!$N:$N,0))</f>
        <v>0</v>
      </c>
      <c r="BF164">
        <f t="shared" si="81"/>
        <v>0</v>
      </c>
      <c r="BG164">
        <f t="shared" si="82"/>
        <v>0</v>
      </c>
      <c r="BH164" s="26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26" cm="1">
        <f t="array" ref="BI164">$G$14+VLOOKUP($R164,武学奇术!$A:$ZZ,16,FALSE)+SUM(_xlfn.XLOOKUP(S164:AG164,增益!$A:$A,增益!$P:$P,0))</f>
        <v>0</v>
      </c>
      <c r="BJ164" s="21">
        <f>MIN(IF(VLOOKUP($R164,武学奇术!$A:$ZZ,23,FALSE)=1,100%,$B$8),100%)</f>
        <v>0.8229</v>
      </c>
      <c r="BK164" s="21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0.2285</v>
      </c>
      <c r="BL164" s="21" cm="1">
        <f t="array" ref="BL164">1+$B$13+VLOOKUP($R164,武学奇术!$A:$ZZ,18,FALSE)+SUM(_xlfn.XLOOKUP(S164:AG164,增益!$A:$A,增益!$R:$R,0))</f>
        <v>1.5</v>
      </c>
      <c r="BM164" s="21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0.4495</v>
      </c>
      <c r="BN164" s="21" cm="1">
        <f t="array" ref="BN164">1+$B$14+VLOOKUP($R164,武学奇术!$A:$ZZ,20,FALSE)+SUM(_xlfn.XLOOKUP(S164:AG164,增益!$A:$A,增益!$T:$T,0))</f>
        <v>1.602</v>
      </c>
      <c r="BO164" s="21">
        <f t="shared" si="83"/>
        <v>0.18803265</v>
      </c>
      <c r="BP164" s="21">
        <f t="shared" si="84"/>
        <v>0.2649738</v>
      </c>
      <c r="BQ164" s="21">
        <f>IF(VLOOKUP($R164,武学奇术!$A:$ZZ,22,FALSE)=1,0,(1-$BJ164))*(1-$BM164)</f>
        <v>0.09749355</v>
      </c>
      <c r="BR164" s="21" cm="1">
        <f t="array" ref="BR164">SUM(_xlfn.XLOOKUP(S164:AG164,增益!$A:$A,增益!$W:$W,0))+$I$5</f>
        <v>0.06</v>
      </c>
    </row>
    <row r="165" spans="11:70">
      <c r="K165" s="24">
        <f>$L165*VLOOKUP($R165,武学奇术!$A:$ZZ,31,FALSE)</f>
        <v>19587.1975507824</v>
      </c>
      <c r="L165" s="24">
        <f t="shared" si="74"/>
        <v>39174.3951015648</v>
      </c>
      <c r="M165" s="24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34648.1437995606</v>
      </c>
      <c r="N165" s="24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56697.0399845258</v>
      </c>
      <c r="O165" s="24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23098.7625330404</v>
      </c>
      <c r="P165" s="24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10806.1143391609</v>
      </c>
      <c r="Q165" s="31">
        <v>4</v>
      </c>
      <c r="R165" s="32" t="s">
        <v>194</v>
      </c>
      <c r="S165" s="32" t="s">
        <v>87</v>
      </c>
      <c r="T165" s="32" t="s">
        <v>96</v>
      </c>
      <c r="U165" s="32" t="s">
        <v>97</v>
      </c>
      <c r="V165" s="32" t="s">
        <v>73</v>
      </c>
      <c r="W165" s="32" t="s">
        <v>111</v>
      </c>
      <c r="X165" s="32" t="s">
        <v>127</v>
      </c>
      <c r="Y165" s="32" t="s">
        <v>179</v>
      </c>
      <c r="Z165" s="32" t="s">
        <v>182</v>
      </c>
      <c r="AA165" s="32" t="s">
        <v>81</v>
      </c>
      <c r="AB165" s="32" t="s">
        <v>75</v>
      </c>
      <c r="AC165" s="32" t="s">
        <v>76</v>
      </c>
      <c r="AD165" s="32" t="s">
        <v>82</v>
      </c>
      <c r="AE165" s="32" t="s">
        <v>183</v>
      </c>
      <c r="AF165" s="32" t="s">
        <v>73</v>
      </c>
      <c r="AG165" s="32" t="s">
        <v>178</v>
      </c>
      <c r="AH165" t="str">
        <f>VLOOKUP($R165,武学奇术!$A:$ZZ,25,FALSE)</f>
        <v>单体奇术</v>
      </c>
      <c r="AI165" s="21">
        <f>VLOOKUP($R165,武学奇术!$A:$ZZ,26,FALSE)</f>
        <v>0.236</v>
      </c>
      <c r="AJ165" s="22">
        <f>VLOOKUP($R165,武学奇术!$A:$ZZ,27,FALSE)*(1+IF(OR($AH165=$F$4,$AH165=$F$5),$B$22,0))</f>
        <v>46</v>
      </c>
      <c r="AK165" s="21">
        <f>VLOOKUP($R165,武学奇术!$A:$ZZ,28,FALSE)</f>
        <v>0.354</v>
      </c>
      <c r="AL165" s="22">
        <f>VLOOKUP($R165,武学奇术!$A:$ZZ,29,FALSE)*(1+IF(OR($AH165=$F$4,$AH165=$F$5),$B$22,0))</f>
        <v>0</v>
      </c>
      <c r="AM165" s="21" cm="1">
        <f t="array" ref="AM165">$G$3+IFERROR(VLOOKUP($AH165,$F$4:$G$7,2,FALSE),0)+VLOOKUP($R165,武学奇术!$A:$ZZ,2,FALSE)+SUM(_xlfn.XLOOKUP($S165:$AG165,增益!$A:$A,增益!$B:$B,0))</f>
        <v>1.573</v>
      </c>
      <c r="AN165" s="21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1862.48</v>
      </c>
      <c r="AP165" cm="1">
        <f t="array" ref="AP165">$E$10*(1+$AN165)+VLOOKUP($R165,武学奇术!$A:$ZZ,4,FALSE)+SUM(_xlfn.XLOOKUP($S165:$AG165,增益!$A:$A,增益!$D:$D,0))-$I$2</f>
        <v>7794.56</v>
      </c>
      <c r="AQ165" s="26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0.294</v>
      </c>
      <c r="AR165" s="26" cm="1">
        <f t="array" ref="AR165">$G$10+VLOOKUP($R165,武学奇术!$A:$ZZ,7,FALSE)+SUM(_xlfn.XLOOKUP(S165:AG165,增益!$A:$A,增益!$G:$G,0))</f>
        <v>0</v>
      </c>
      <c r="AS165" s="21" cm="1">
        <f t="array" ref="AS165">VLOOKUP($R165,武学奇术!$A:$ZZ,8,FALSE)+SUM(_xlfn.XLOOKUP(S165:AG165,增益!$A:$A,增益!$H:$H,0))</f>
        <v>0</v>
      </c>
      <c r="AT165">
        <f t="shared" si="75"/>
        <v>680.02</v>
      </c>
      <c r="AU165">
        <f t="shared" si="76"/>
        <v>1288.54</v>
      </c>
      <c r="AV165" s="26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26" cm="1">
        <f t="array" ref="AW165">$G$11+VLOOKUP($R165,武学奇术!$A:$ZZ,10,FALSE)+SUM(_xlfn.XLOOKUP(S165:AG165,增益!$A:$A,增益!$J:$J,0))</f>
        <v>0.15</v>
      </c>
      <c r="AX165">
        <f t="shared" si="77"/>
        <v>0</v>
      </c>
      <c r="AY165">
        <f t="shared" si="78"/>
        <v>0</v>
      </c>
      <c r="AZ165" s="26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26" cm="1">
        <f t="array" ref="BA165">$G$12+VLOOKUP($R165,武学奇术!$A:$ZZ,12,FALSE)+SUM(_xlfn.XLOOKUP(S165:AG165,增益!$A:$A,增益!$L:$L,0))</f>
        <v>0</v>
      </c>
      <c r="BB165">
        <f t="shared" si="79"/>
        <v>0</v>
      </c>
      <c r="BC165">
        <f t="shared" si="80"/>
        <v>0</v>
      </c>
      <c r="BD165" s="26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26" cm="1">
        <f t="array" ref="BE165">$G$13+VLOOKUP($R165,武学奇术!$A:$ZZ,14,FALSE)+SUM(_xlfn.XLOOKUP(S165:AG165,增益!$A:$A,增益!$N:$N,0))</f>
        <v>0</v>
      </c>
      <c r="BF165">
        <f t="shared" si="81"/>
        <v>0</v>
      </c>
      <c r="BG165">
        <f t="shared" si="82"/>
        <v>0</v>
      </c>
      <c r="BH165" s="26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26" cm="1">
        <f t="array" ref="BI165">$G$14+VLOOKUP($R165,武学奇术!$A:$ZZ,16,FALSE)+SUM(_xlfn.XLOOKUP(S165:AG165,增益!$A:$A,增益!$P:$P,0))</f>
        <v>0</v>
      </c>
      <c r="BJ165" s="21">
        <f>MIN(IF(VLOOKUP($R165,武学奇术!$A:$ZZ,23,FALSE)=1,100%,$B$8),100%)</f>
        <v>0.8229</v>
      </c>
      <c r="BK165" s="21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0.2285</v>
      </c>
      <c r="BL165" s="21" cm="1">
        <f t="array" ref="BL165">1+$B$13+VLOOKUP($R165,武学奇术!$A:$ZZ,18,FALSE)+SUM(_xlfn.XLOOKUP(S165:AG165,增益!$A:$A,增益!$R:$R,0))</f>
        <v>1.5</v>
      </c>
      <c r="BM165" s="21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0.4495</v>
      </c>
      <c r="BN165" s="21" cm="1">
        <f t="array" ref="BN165">1+$B$14+VLOOKUP($R165,武学奇术!$A:$ZZ,20,FALSE)+SUM(_xlfn.XLOOKUP(S165:AG165,增益!$A:$A,增益!$T:$T,0))</f>
        <v>1.602</v>
      </c>
      <c r="BO165" s="21">
        <f t="shared" si="83"/>
        <v>0.18803265</v>
      </c>
      <c r="BP165" s="21">
        <f t="shared" si="84"/>
        <v>0.2649738</v>
      </c>
      <c r="BQ165" s="21">
        <f>IF(VLOOKUP($R165,武学奇术!$A:$ZZ,22,FALSE)=1,0,(1-$BJ165))*(1-$BM165)</f>
        <v>0.09749355</v>
      </c>
      <c r="BR165" s="21" cm="1">
        <f t="array" ref="BR165">SUM(_xlfn.XLOOKUP(S165:AG165,增益!$A:$A,增益!$W:$W,0))+$I$5</f>
        <v>0.16</v>
      </c>
    </row>
    <row r="166" spans="11:70">
      <c r="K166" s="24">
        <f>$L166*VLOOKUP($R166,武学奇术!$A:$ZZ,31,FALSE)</f>
        <v>19587.1975507824</v>
      </c>
      <c r="L166" s="24">
        <f t="shared" si="74"/>
        <v>39174.3951015648</v>
      </c>
      <c r="M166" s="24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34648.1437995606</v>
      </c>
      <c r="N166" s="24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56697.0399845258</v>
      </c>
      <c r="O166" s="24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23098.7625330404</v>
      </c>
      <c r="P166" s="24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10806.1143391609</v>
      </c>
      <c r="Q166" s="31">
        <v>4</v>
      </c>
      <c r="R166" s="32" t="s">
        <v>194</v>
      </c>
      <c r="S166" s="32" t="s">
        <v>87</v>
      </c>
      <c r="T166" s="32" t="s">
        <v>96</v>
      </c>
      <c r="U166" s="32" t="s">
        <v>97</v>
      </c>
      <c r="V166" s="32" t="s">
        <v>73</v>
      </c>
      <c r="W166" s="32" t="s">
        <v>111</v>
      </c>
      <c r="X166" s="32" t="s">
        <v>127</v>
      </c>
      <c r="Y166" s="32" t="s">
        <v>179</v>
      </c>
      <c r="Z166" s="32" t="s">
        <v>182</v>
      </c>
      <c r="AA166" s="32" t="s">
        <v>73</v>
      </c>
      <c r="AB166" s="32" t="s">
        <v>75</v>
      </c>
      <c r="AC166" s="32" t="s">
        <v>76</v>
      </c>
      <c r="AD166" s="32" t="s">
        <v>82</v>
      </c>
      <c r="AE166" s="32" t="s">
        <v>183</v>
      </c>
      <c r="AF166" s="32" t="s">
        <v>73</v>
      </c>
      <c r="AG166" s="32" t="s">
        <v>178</v>
      </c>
      <c r="AH166" t="str">
        <f>VLOOKUP($R166,武学奇术!$A:$ZZ,25,FALSE)</f>
        <v>单体奇术</v>
      </c>
      <c r="AI166" s="21">
        <f>VLOOKUP($R166,武学奇术!$A:$ZZ,26,FALSE)</f>
        <v>0.236</v>
      </c>
      <c r="AJ166" s="22">
        <f>VLOOKUP($R166,武学奇术!$A:$ZZ,27,FALSE)*(1+IF(OR($AH166=$F$4,$AH166=$F$5),$B$22,0))</f>
        <v>46</v>
      </c>
      <c r="AK166" s="21">
        <f>VLOOKUP($R166,武学奇术!$A:$ZZ,28,FALSE)</f>
        <v>0.354</v>
      </c>
      <c r="AL166" s="22">
        <f>VLOOKUP($R166,武学奇术!$A:$ZZ,29,FALSE)*(1+IF(OR($AH166=$F$4,$AH166=$F$5),$B$22,0))</f>
        <v>0</v>
      </c>
      <c r="AM166" s="21" cm="1">
        <f t="array" ref="AM166">$G$3+IFERROR(VLOOKUP($AH166,$F$4:$G$7,2,FALSE),0)+VLOOKUP($R166,武学奇术!$A:$ZZ,2,FALSE)+SUM(_xlfn.XLOOKUP($S166:$AG166,增益!$A:$A,增益!$B:$B,0))</f>
        <v>1.573</v>
      </c>
      <c r="AN166" s="21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1862.48</v>
      </c>
      <c r="AP166" cm="1">
        <f t="array" ref="AP166">$E$10*(1+$AN166)+VLOOKUP($R166,武学奇术!$A:$ZZ,4,FALSE)+SUM(_xlfn.XLOOKUP($S166:$AG166,增益!$A:$A,增益!$D:$D,0))-$I$2</f>
        <v>7794.56</v>
      </c>
      <c r="AQ166" s="26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0.294</v>
      </c>
      <c r="AR166" s="26" cm="1">
        <f t="array" ref="AR166">$G$10+VLOOKUP($R166,武学奇术!$A:$ZZ,7,FALSE)+SUM(_xlfn.XLOOKUP(S166:AG166,增益!$A:$A,增益!$G:$G,0))</f>
        <v>0</v>
      </c>
      <c r="AS166" s="21" cm="1">
        <f t="array" ref="AS166">VLOOKUP($R166,武学奇术!$A:$ZZ,8,FALSE)+SUM(_xlfn.XLOOKUP(S166:AG166,增益!$A:$A,增益!$H:$H,0))</f>
        <v>0</v>
      </c>
      <c r="AT166">
        <f t="shared" si="75"/>
        <v>680.02</v>
      </c>
      <c r="AU166">
        <f t="shared" si="76"/>
        <v>1288.54</v>
      </c>
      <c r="AV166" s="26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26" cm="1">
        <f t="array" ref="AW166">$G$11+VLOOKUP($R166,武学奇术!$A:$ZZ,10,FALSE)+SUM(_xlfn.XLOOKUP(S166:AG166,增益!$A:$A,增益!$J:$J,0))</f>
        <v>0.15</v>
      </c>
      <c r="AX166">
        <f t="shared" si="77"/>
        <v>0</v>
      </c>
      <c r="AY166">
        <f t="shared" si="78"/>
        <v>0</v>
      </c>
      <c r="AZ166" s="26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26" cm="1">
        <f t="array" ref="BA166">$G$12+VLOOKUP($R166,武学奇术!$A:$ZZ,12,FALSE)+SUM(_xlfn.XLOOKUP(S166:AG166,增益!$A:$A,增益!$L:$L,0))</f>
        <v>0</v>
      </c>
      <c r="BB166">
        <f t="shared" si="79"/>
        <v>0</v>
      </c>
      <c r="BC166">
        <f t="shared" si="80"/>
        <v>0</v>
      </c>
      <c r="BD166" s="26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26" cm="1">
        <f t="array" ref="BE166">$G$13+VLOOKUP($R166,武学奇术!$A:$ZZ,14,FALSE)+SUM(_xlfn.XLOOKUP(S166:AG166,增益!$A:$A,增益!$N:$N,0))</f>
        <v>0</v>
      </c>
      <c r="BF166">
        <f t="shared" si="81"/>
        <v>0</v>
      </c>
      <c r="BG166">
        <f t="shared" si="82"/>
        <v>0</v>
      </c>
      <c r="BH166" s="26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26" cm="1">
        <f t="array" ref="BI166">$G$14+VLOOKUP($R166,武学奇术!$A:$ZZ,16,FALSE)+SUM(_xlfn.XLOOKUP(S166:AG166,增益!$A:$A,增益!$P:$P,0))</f>
        <v>0</v>
      </c>
      <c r="BJ166" s="21">
        <f>MIN(IF(VLOOKUP($R166,武学奇术!$A:$ZZ,23,FALSE)=1,100%,$B$8),100%)</f>
        <v>0.8229</v>
      </c>
      <c r="BK166" s="21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0.2285</v>
      </c>
      <c r="BL166" s="21" cm="1">
        <f t="array" ref="BL166">1+$B$13+VLOOKUP($R166,武学奇术!$A:$ZZ,18,FALSE)+SUM(_xlfn.XLOOKUP(S166:AG166,增益!$A:$A,增益!$R:$R,0))</f>
        <v>1.5</v>
      </c>
      <c r="BM166" s="21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0.4495</v>
      </c>
      <c r="BN166" s="21" cm="1">
        <f t="array" ref="BN166">1+$B$14+VLOOKUP($R166,武学奇术!$A:$ZZ,20,FALSE)+SUM(_xlfn.XLOOKUP(S166:AG166,增益!$A:$A,增益!$T:$T,0))</f>
        <v>1.602</v>
      </c>
      <c r="BO166" s="21">
        <f t="shared" si="83"/>
        <v>0.18803265</v>
      </c>
      <c r="BP166" s="21">
        <f t="shared" si="84"/>
        <v>0.2649738</v>
      </c>
      <c r="BQ166" s="21">
        <f>IF(VLOOKUP($R166,武学奇术!$A:$ZZ,22,FALSE)=1,0,(1-$BJ166))*(1-$BM166)</f>
        <v>0.09749355</v>
      </c>
      <c r="BR166" s="21" cm="1">
        <f t="array" ref="BR166">SUM(_xlfn.XLOOKUP(S166:AG166,增益!$A:$A,增益!$W:$W,0))+$I$5</f>
        <v>0.16</v>
      </c>
    </row>
    <row r="167" spans="11:70">
      <c r="K167" s="24">
        <f>$L167*VLOOKUP($R167,武学奇术!$A:$ZZ,31,FALSE)</f>
        <v>9793.5987753912</v>
      </c>
      <c r="L167" s="24">
        <f t="shared" si="74"/>
        <v>19587.1975507824</v>
      </c>
      <c r="M167" s="24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17324.0718997803</v>
      </c>
      <c r="N167" s="24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28348.5199922629</v>
      </c>
      <c r="O167" s="24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11549.3812665202</v>
      </c>
      <c r="P167" s="24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5403.05716958044</v>
      </c>
      <c r="Q167" s="31">
        <v>2</v>
      </c>
      <c r="R167" s="32" t="s">
        <v>194</v>
      </c>
      <c r="S167" s="32" t="s">
        <v>87</v>
      </c>
      <c r="T167" s="32" t="s">
        <v>96</v>
      </c>
      <c r="U167" s="32" t="s">
        <v>97</v>
      </c>
      <c r="V167" s="32" t="s">
        <v>73</v>
      </c>
      <c r="W167" s="32" t="s">
        <v>111</v>
      </c>
      <c r="X167" s="32" t="s">
        <v>127</v>
      </c>
      <c r="Y167" s="32" t="s">
        <v>179</v>
      </c>
      <c r="Z167" s="32" t="s">
        <v>182</v>
      </c>
      <c r="AA167" s="32" t="s">
        <v>73</v>
      </c>
      <c r="AB167" s="32" t="s">
        <v>75</v>
      </c>
      <c r="AC167" s="32" t="s">
        <v>89</v>
      </c>
      <c r="AD167" s="32" t="s">
        <v>82</v>
      </c>
      <c r="AE167" s="32" t="s">
        <v>183</v>
      </c>
      <c r="AF167" s="32" t="s">
        <v>73</v>
      </c>
      <c r="AG167" s="32" t="s">
        <v>178</v>
      </c>
      <c r="AH167" t="str">
        <f>VLOOKUP($R167,武学奇术!$A:$ZZ,25,FALSE)</f>
        <v>单体奇术</v>
      </c>
      <c r="AI167" s="21">
        <f>VLOOKUP($R167,武学奇术!$A:$ZZ,26,FALSE)</f>
        <v>0.236</v>
      </c>
      <c r="AJ167" s="22">
        <f>VLOOKUP($R167,武学奇术!$A:$ZZ,27,FALSE)*(1+IF(OR($AH167=$F$4,$AH167=$F$5),$B$22,0))</f>
        <v>46</v>
      </c>
      <c r="AK167" s="21">
        <f>VLOOKUP($R167,武学奇术!$A:$ZZ,28,FALSE)</f>
        <v>0.354</v>
      </c>
      <c r="AL167" s="22">
        <f>VLOOKUP($R167,武学奇术!$A:$ZZ,29,FALSE)*(1+IF(OR($AH167=$F$4,$AH167=$F$5),$B$22,0))</f>
        <v>0</v>
      </c>
      <c r="AM167" s="21" cm="1">
        <f t="array" ref="AM167">$G$3+IFERROR(VLOOKUP($AH167,$F$4:$G$7,2,FALSE),0)+VLOOKUP($R167,武学奇术!$A:$ZZ,2,FALSE)+SUM(_xlfn.XLOOKUP($S167:$AG167,增益!$A:$A,增益!$B:$B,0))</f>
        <v>1.573</v>
      </c>
      <c r="AN167" s="21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1862.48</v>
      </c>
      <c r="AP167" cm="1">
        <f t="array" ref="AP167">$E$10*(1+$AN167)+VLOOKUP($R167,武学奇术!$A:$ZZ,4,FALSE)+SUM(_xlfn.XLOOKUP($S167:$AG167,增益!$A:$A,增益!$D:$D,0))-$I$2</f>
        <v>7794.56</v>
      </c>
      <c r="AQ167" s="26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0.294</v>
      </c>
      <c r="AR167" s="26" cm="1">
        <f t="array" ref="AR167">$G$10+VLOOKUP($R167,武学奇术!$A:$ZZ,7,FALSE)+SUM(_xlfn.XLOOKUP(S167:AG167,增益!$A:$A,增益!$G:$G,0))</f>
        <v>0</v>
      </c>
      <c r="AS167" s="21" cm="1">
        <f t="array" ref="AS167">VLOOKUP($R167,武学奇术!$A:$ZZ,8,FALSE)+SUM(_xlfn.XLOOKUP(S167:AG167,增益!$A:$A,增益!$H:$H,0))</f>
        <v>0</v>
      </c>
      <c r="AT167">
        <f t="shared" si="75"/>
        <v>680.02</v>
      </c>
      <c r="AU167">
        <f t="shared" si="76"/>
        <v>1288.54</v>
      </c>
      <c r="AV167" s="26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26" cm="1">
        <f t="array" ref="AW167">$G$11+VLOOKUP($R167,武学奇术!$A:$ZZ,10,FALSE)+SUM(_xlfn.XLOOKUP(S167:AG167,增益!$A:$A,增益!$J:$J,0))</f>
        <v>0.15</v>
      </c>
      <c r="AX167">
        <f t="shared" si="77"/>
        <v>0</v>
      </c>
      <c r="AY167">
        <f t="shared" si="78"/>
        <v>0</v>
      </c>
      <c r="AZ167" s="26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26" cm="1">
        <f t="array" ref="BA167">$G$12+VLOOKUP($R167,武学奇术!$A:$ZZ,12,FALSE)+SUM(_xlfn.XLOOKUP(S167:AG167,增益!$A:$A,增益!$L:$L,0))</f>
        <v>0</v>
      </c>
      <c r="BB167">
        <f t="shared" si="79"/>
        <v>0</v>
      </c>
      <c r="BC167">
        <f t="shared" si="80"/>
        <v>0</v>
      </c>
      <c r="BD167" s="26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26" cm="1">
        <f t="array" ref="BE167">$G$13+VLOOKUP($R167,武学奇术!$A:$ZZ,14,FALSE)+SUM(_xlfn.XLOOKUP(S167:AG167,增益!$A:$A,增益!$N:$N,0))</f>
        <v>0</v>
      </c>
      <c r="BF167">
        <f t="shared" si="81"/>
        <v>0</v>
      </c>
      <c r="BG167">
        <f t="shared" si="82"/>
        <v>0</v>
      </c>
      <c r="BH167" s="26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26" cm="1">
        <f t="array" ref="BI167">$G$14+VLOOKUP($R167,武学奇术!$A:$ZZ,16,FALSE)+SUM(_xlfn.XLOOKUP(S167:AG167,增益!$A:$A,增益!$P:$P,0))</f>
        <v>0</v>
      </c>
      <c r="BJ167" s="21">
        <f>MIN(IF(VLOOKUP($R167,武学奇术!$A:$ZZ,23,FALSE)=1,100%,$B$8),100%)</f>
        <v>0.8229</v>
      </c>
      <c r="BK167" s="21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0.2285</v>
      </c>
      <c r="BL167" s="21" cm="1">
        <f t="array" ref="BL167">1+$B$13+VLOOKUP($R167,武学奇术!$A:$ZZ,18,FALSE)+SUM(_xlfn.XLOOKUP(S167:AG167,增益!$A:$A,增益!$R:$R,0))</f>
        <v>1.5</v>
      </c>
      <c r="BM167" s="21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0.4495</v>
      </c>
      <c r="BN167" s="21" cm="1">
        <f t="array" ref="BN167">1+$B$14+VLOOKUP($R167,武学奇术!$A:$ZZ,20,FALSE)+SUM(_xlfn.XLOOKUP(S167:AG167,增益!$A:$A,增益!$T:$T,0))</f>
        <v>1.602</v>
      </c>
      <c r="BO167" s="21">
        <f t="shared" si="83"/>
        <v>0.18803265</v>
      </c>
      <c r="BP167" s="21">
        <f t="shared" si="84"/>
        <v>0.2649738</v>
      </c>
      <c r="BQ167" s="21">
        <f>IF(VLOOKUP($R167,武学奇术!$A:$ZZ,22,FALSE)=1,0,(1-$BJ167))*(1-$BM167)</f>
        <v>0.09749355</v>
      </c>
      <c r="BR167" s="21" cm="1">
        <f t="array" ref="BR167">SUM(_xlfn.XLOOKUP(S167:AG167,增益!$A:$A,增益!$W:$W,0))+$I$5</f>
        <v>0.16</v>
      </c>
    </row>
    <row r="168" spans="11:70">
      <c r="K168" s="24">
        <f>$L168*VLOOKUP($R168,武学奇术!$A:$ZZ,31,FALSE)</f>
        <v>19206.5679831419</v>
      </c>
      <c r="L168" s="24">
        <f t="shared" si="74"/>
        <v>38413.1359662837</v>
      </c>
      <c r="M168" s="24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33974.841354952</v>
      </c>
      <c r="N168" s="24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55595.270843746</v>
      </c>
      <c r="O168" s="24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22649.8942366346</v>
      </c>
      <c r="P168" s="24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10596.1237767986</v>
      </c>
      <c r="Q168" s="31">
        <v>4</v>
      </c>
      <c r="R168" s="32" t="s">
        <v>194</v>
      </c>
      <c r="S168" s="32" t="s">
        <v>87</v>
      </c>
      <c r="T168" s="32" t="s">
        <v>96</v>
      </c>
      <c r="U168" s="32" t="s">
        <v>97</v>
      </c>
      <c r="V168" s="32" t="s">
        <v>73</v>
      </c>
      <c r="W168" s="32" t="s">
        <v>111</v>
      </c>
      <c r="X168" s="32" t="s">
        <v>127</v>
      </c>
      <c r="Y168" s="32" t="s">
        <v>179</v>
      </c>
      <c r="Z168" s="32" t="s">
        <v>182</v>
      </c>
      <c r="AA168" s="32" t="s">
        <v>73</v>
      </c>
      <c r="AB168" s="32" t="s">
        <v>75</v>
      </c>
      <c r="AC168" s="32" t="s">
        <v>89</v>
      </c>
      <c r="AD168" s="32" t="s">
        <v>82</v>
      </c>
      <c r="AE168" s="32" t="s">
        <v>90</v>
      </c>
      <c r="AF168" s="32" t="s">
        <v>73</v>
      </c>
      <c r="AG168" s="32" t="s">
        <v>178</v>
      </c>
      <c r="AH168" t="str">
        <f>VLOOKUP($R168,武学奇术!$A:$ZZ,25,FALSE)</f>
        <v>单体奇术</v>
      </c>
      <c r="AI168" s="21">
        <f>VLOOKUP($R168,武学奇术!$A:$ZZ,26,FALSE)</f>
        <v>0.236</v>
      </c>
      <c r="AJ168" s="22">
        <f>VLOOKUP($R168,武学奇术!$A:$ZZ,27,FALSE)*(1+IF(OR($AH168=$F$4,$AH168=$F$5),$B$22,0))</f>
        <v>46</v>
      </c>
      <c r="AK168" s="21">
        <f>VLOOKUP($R168,武学奇术!$A:$ZZ,28,FALSE)</f>
        <v>0.354</v>
      </c>
      <c r="AL168" s="22">
        <f>VLOOKUP($R168,武学奇术!$A:$ZZ,29,FALSE)*(1+IF(OR($AH168=$F$4,$AH168=$F$5),$B$22,0))</f>
        <v>0</v>
      </c>
      <c r="AM168" s="21" cm="1">
        <f t="array" ref="AM168">$G$3+IFERROR(VLOOKUP($AH168,$F$4:$G$7,2,FALSE),0)+VLOOKUP($R168,武学奇术!$A:$ZZ,2,FALSE)+SUM(_xlfn.XLOOKUP($S168:$AG168,增益!$A:$A,增益!$B:$B,0))</f>
        <v>1.523</v>
      </c>
      <c r="AN168" s="21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1862.48</v>
      </c>
      <c r="AP168" cm="1">
        <f t="array" ref="AP168">$E$10*(1+$AN168)+VLOOKUP($R168,武学奇术!$A:$ZZ,4,FALSE)+SUM(_xlfn.XLOOKUP($S168:$AG168,增益!$A:$A,增益!$D:$D,0))-$I$2</f>
        <v>7794.56</v>
      </c>
      <c r="AQ168" s="26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0.294</v>
      </c>
      <c r="AR168" s="26" cm="1">
        <f t="array" ref="AR168">$G$10+VLOOKUP($R168,武学奇术!$A:$ZZ,7,FALSE)+SUM(_xlfn.XLOOKUP(S168:AG168,增益!$A:$A,增益!$G:$G,0))</f>
        <v>0</v>
      </c>
      <c r="AS168" s="21" cm="1">
        <f t="array" ref="AS168">VLOOKUP($R168,武学奇术!$A:$ZZ,8,FALSE)+SUM(_xlfn.XLOOKUP(S168:AG168,增益!$A:$A,增益!$H:$H,0))</f>
        <v>0</v>
      </c>
      <c r="AT168">
        <f t="shared" si="75"/>
        <v>680.02</v>
      </c>
      <c r="AU168">
        <f t="shared" si="76"/>
        <v>1288.54</v>
      </c>
      <c r="AV168" s="26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26" cm="1">
        <f t="array" ref="AW168">$G$11+VLOOKUP($R168,武学奇术!$A:$ZZ,10,FALSE)+SUM(_xlfn.XLOOKUP(S168:AG168,增益!$A:$A,增益!$J:$J,0))</f>
        <v>0.15</v>
      </c>
      <c r="AX168">
        <f t="shared" si="77"/>
        <v>0</v>
      </c>
      <c r="AY168">
        <f t="shared" si="78"/>
        <v>0</v>
      </c>
      <c r="AZ168" s="26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26" cm="1">
        <f t="array" ref="BA168">$G$12+VLOOKUP($R168,武学奇术!$A:$ZZ,12,FALSE)+SUM(_xlfn.XLOOKUP(S168:AG168,增益!$A:$A,增益!$L:$L,0))</f>
        <v>0</v>
      </c>
      <c r="BB168">
        <f t="shared" si="79"/>
        <v>0</v>
      </c>
      <c r="BC168">
        <f t="shared" si="80"/>
        <v>0</v>
      </c>
      <c r="BD168" s="26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26" cm="1">
        <f t="array" ref="BE168">$G$13+VLOOKUP($R168,武学奇术!$A:$ZZ,14,FALSE)+SUM(_xlfn.XLOOKUP(S168:AG168,增益!$A:$A,增益!$N:$N,0))</f>
        <v>0</v>
      </c>
      <c r="BF168">
        <f t="shared" si="81"/>
        <v>0</v>
      </c>
      <c r="BG168">
        <f t="shared" si="82"/>
        <v>0</v>
      </c>
      <c r="BH168" s="26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26" cm="1">
        <f t="array" ref="BI168">$G$14+VLOOKUP($R168,武学奇术!$A:$ZZ,16,FALSE)+SUM(_xlfn.XLOOKUP(S168:AG168,增益!$A:$A,增益!$P:$P,0))</f>
        <v>0</v>
      </c>
      <c r="BJ168" s="21">
        <f>MIN(IF(VLOOKUP($R168,武学奇术!$A:$ZZ,23,FALSE)=1,100%,$B$8),100%)</f>
        <v>0.8229</v>
      </c>
      <c r="BK168" s="21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0.2285</v>
      </c>
      <c r="BL168" s="21" cm="1">
        <f t="array" ref="BL168">1+$B$13+VLOOKUP($R168,武学奇术!$A:$ZZ,18,FALSE)+SUM(_xlfn.XLOOKUP(S168:AG168,增益!$A:$A,增益!$R:$R,0))</f>
        <v>1.5</v>
      </c>
      <c r="BM168" s="21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0.4495</v>
      </c>
      <c r="BN168" s="21" cm="1">
        <f t="array" ref="BN168">1+$B$14+VLOOKUP($R168,武学奇术!$A:$ZZ,20,FALSE)+SUM(_xlfn.XLOOKUP(S168:AG168,增益!$A:$A,增益!$T:$T,0))</f>
        <v>1.602</v>
      </c>
      <c r="BO168" s="21">
        <f t="shared" si="83"/>
        <v>0.18803265</v>
      </c>
      <c r="BP168" s="21">
        <f t="shared" si="84"/>
        <v>0.2649738</v>
      </c>
      <c r="BQ168" s="21">
        <f>IF(VLOOKUP($R168,武学奇术!$A:$ZZ,22,FALSE)=1,0,(1-$BJ168))*(1-$BM168)</f>
        <v>0.09749355</v>
      </c>
      <c r="BR168" s="21" cm="1">
        <f t="array" ref="BR168">SUM(_xlfn.XLOOKUP(S168:AG168,增益!$A:$A,增益!$W:$W,0))+$I$5</f>
        <v>0.16</v>
      </c>
    </row>
    <row r="169" spans="11:70">
      <c r="K169" s="24">
        <f>$L169*VLOOKUP($R169,武学奇术!$A:$ZZ,31,FALSE)</f>
        <v>28696.4254275585</v>
      </c>
      <c r="L169" s="24">
        <f t="shared" si="74"/>
        <v>57392.850855117</v>
      </c>
      <c r="M169" s="24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50712.9026450395</v>
      </c>
      <c r="N169" s="24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83126.5904398881</v>
      </c>
      <c r="O169" s="24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33808.6017633596</v>
      </c>
      <c r="P169" s="24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15727.9460736056</v>
      </c>
      <c r="Q169" s="31">
        <v>6</v>
      </c>
      <c r="R169" s="32" t="s">
        <v>194</v>
      </c>
      <c r="S169" s="32" t="s">
        <v>87</v>
      </c>
      <c r="T169" s="32" t="s">
        <v>96</v>
      </c>
      <c r="U169" s="32" t="s">
        <v>97</v>
      </c>
      <c r="V169" s="32" t="s">
        <v>73</v>
      </c>
      <c r="W169" s="32" t="s">
        <v>73</v>
      </c>
      <c r="X169" s="32" t="s">
        <v>127</v>
      </c>
      <c r="Y169" s="32" t="s">
        <v>179</v>
      </c>
      <c r="Z169" s="32" t="s">
        <v>182</v>
      </c>
      <c r="AA169" s="32" t="s">
        <v>73</v>
      </c>
      <c r="AB169" s="32" t="s">
        <v>75</v>
      </c>
      <c r="AC169" s="32" t="s">
        <v>89</v>
      </c>
      <c r="AD169" s="32" t="s">
        <v>82</v>
      </c>
      <c r="AE169" s="32" t="s">
        <v>90</v>
      </c>
      <c r="AF169" s="32" t="s">
        <v>73</v>
      </c>
      <c r="AG169" s="32" t="s">
        <v>178</v>
      </c>
      <c r="AH169" t="str">
        <f>VLOOKUP($R169,武学奇术!$A:$ZZ,25,FALSE)</f>
        <v>单体奇术</v>
      </c>
      <c r="AI169" s="21">
        <f>VLOOKUP($R169,武学奇术!$A:$ZZ,26,FALSE)</f>
        <v>0.236</v>
      </c>
      <c r="AJ169" s="22">
        <f>VLOOKUP($R169,武学奇术!$A:$ZZ,27,FALSE)*(1+IF(OR($AH169=$F$4,$AH169=$F$5),$B$22,0))</f>
        <v>46</v>
      </c>
      <c r="AK169" s="21">
        <f>VLOOKUP($R169,武学奇术!$A:$ZZ,28,FALSE)</f>
        <v>0.354</v>
      </c>
      <c r="AL169" s="22">
        <f>VLOOKUP($R169,武学奇术!$A:$ZZ,29,FALSE)*(1+IF(OR($AH169=$F$4,$AH169=$F$5),$B$22,0))</f>
        <v>0</v>
      </c>
      <c r="AM169" s="21" cm="1">
        <f t="array" ref="AM169">$G$3+IFERROR(VLOOKUP($AH169,$F$4:$G$7,2,FALSE),0)+VLOOKUP($R169,武学奇术!$A:$ZZ,2,FALSE)+SUM(_xlfn.XLOOKUP($S169:$AG169,增益!$A:$A,增益!$B:$B,0))</f>
        <v>1.523</v>
      </c>
      <c r="AN169" s="21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1831.48</v>
      </c>
      <c r="AP169" cm="1">
        <f t="array" ref="AP169">$E$10*(1+$AN169)+VLOOKUP($R169,武学奇术!$A:$ZZ,4,FALSE)+SUM(_xlfn.XLOOKUP($S169:$AG169,增益!$A:$A,增益!$D:$D,0))-$I$2</f>
        <v>7763.56</v>
      </c>
      <c r="AQ169" s="26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0.294</v>
      </c>
      <c r="AR169" s="26" cm="1">
        <f t="array" ref="AR169">$G$10+VLOOKUP($R169,武学奇术!$A:$ZZ,7,FALSE)+SUM(_xlfn.XLOOKUP(S169:AG169,增益!$A:$A,增益!$G:$G,0))</f>
        <v>0</v>
      </c>
      <c r="AS169" s="21" cm="1">
        <f t="array" ref="AS169">VLOOKUP($R169,武学奇术!$A:$ZZ,8,FALSE)+SUM(_xlfn.XLOOKUP(S169:AG169,增益!$A:$A,增益!$H:$H,0))</f>
        <v>0</v>
      </c>
      <c r="AT169">
        <f t="shared" si="75"/>
        <v>680.02</v>
      </c>
      <c r="AU169">
        <f t="shared" si="76"/>
        <v>1288.54</v>
      </c>
      <c r="AV169" s="26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26" cm="1">
        <f t="array" ref="AW169">$G$11+VLOOKUP($R169,武学奇术!$A:$ZZ,10,FALSE)+SUM(_xlfn.XLOOKUP(S169:AG169,增益!$A:$A,增益!$J:$J,0))</f>
        <v>0.15</v>
      </c>
      <c r="AX169">
        <f t="shared" si="77"/>
        <v>0</v>
      </c>
      <c r="AY169">
        <f t="shared" si="78"/>
        <v>0</v>
      </c>
      <c r="AZ169" s="26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26" cm="1">
        <f t="array" ref="BA169">$G$12+VLOOKUP($R169,武学奇术!$A:$ZZ,12,FALSE)+SUM(_xlfn.XLOOKUP(S169:AG169,增益!$A:$A,增益!$L:$L,0))</f>
        <v>0</v>
      </c>
      <c r="BB169">
        <f t="shared" si="79"/>
        <v>0</v>
      </c>
      <c r="BC169">
        <f t="shared" si="80"/>
        <v>0</v>
      </c>
      <c r="BD169" s="26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26" cm="1">
        <f t="array" ref="BE169">$G$13+VLOOKUP($R169,武学奇术!$A:$ZZ,14,FALSE)+SUM(_xlfn.XLOOKUP(S169:AG169,增益!$A:$A,增益!$N:$N,0))</f>
        <v>0</v>
      </c>
      <c r="BF169">
        <f t="shared" si="81"/>
        <v>0</v>
      </c>
      <c r="BG169">
        <f t="shared" si="82"/>
        <v>0</v>
      </c>
      <c r="BH169" s="26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26" cm="1">
        <f t="array" ref="BI169">$G$14+VLOOKUP($R169,武学奇术!$A:$ZZ,16,FALSE)+SUM(_xlfn.XLOOKUP(S169:AG169,增益!$A:$A,增益!$P:$P,0))</f>
        <v>0</v>
      </c>
      <c r="BJ169" s="21">
        <f>MIN(IF(VLOOKUP($R169,武学奇术!$A:$ZZ,23,FALSE)=1,100%,$B$8),100%)</f>
        <v>0.8229</v>
      </c>
      <c r="BK169" s="21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0.2285</v>
      </c>
      <c r="BL169" s="21" cm="1">
        <f t="array" ref="BL169">1+$B$13+VLOOKUP($R169,武学奇术!$A:$ZZ,18,FALSE)+SUM(_xlfn.XLOOKUP(S169:AG169,增益!$A:$A,增益!$R:$R,0))</f>
        <v>1.5</v>
      </c>
      <c r="BM169" s="21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0.4495</v>
      </c>
      <c r="BN169" s="21" cm="1">
        <f t="array" ref="BN169">1+$B$14+VLOOKUP($R169,武学奇术!$A:$ZZ,20,FALSE)+SUM(_xlfn.XLOOKUP(S169:AG169,增益!$A:$A,增益!$T:$T,0))</f>
        <v>1.602</v>
      </c>
      <c r="BO169" s="21">
        <f t="shared" si="83"/>
        <v>0.18803265</v>
      </c>
      <c r="BP169" s="21">
        <f t="shared" si="84"/>
        <v>0.2649738</v>
      </c>
      <c r="BQ169" s="21">
        <f>IF(VLOOKUP($R169,武学奇术!$A:$ZZ,22,FALSE)=1,0,(1-$BJ169))*(1-$BM169)</f>
        <v>0.09749355</v>
      </c>
      <c r="BR169" s="21" cm="1">
        <f t="array" ref="BR169">SUM(_xlfn.XLOOKUP(S169:AG169,增益!$A:$A,增益!$W:$W,0))+$I$5</f>
        <v>0.16</v>
      </c>
    </row>
    <row r="170" spans="11:70">
      <c r="K170" s="24">
        <f>$L170*VLOOKUP($R170,武学奇术!$A:$ZZ,31,FALSE)</f>
        <v>4387.70734097637</v>
      </c>
      <c r="L170" s="24">
        <f t="shared" si="74"/>
        <v>8775.41468195275</v>
      </c>
      <c r="M170" s="24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7761.4939302261</v>
      </c>
      <c r="N170" s="24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12700.6437703385</v>
      </c>
      <c r="O170" s="24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5174.3292868174</v>
      </c>
      <c r="P170" s="24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2420.66620763072</v>
      </c>
      <c r="Q170" s="31">
        <v>1</v>
      </c>
      <c r="R170" s="32" t="s">
        <v>194</v>
      </c>
      <c r="S170" s="32" t="s">
        <v>87</v>
      </c>
      <c r="T170" s="32" t="s">
        <v>96</v>
      </c>
      <c r="U170" s="32" t="s">
        <v>97</v>
      </c>
      <c r="V170" s="32" t="s">
        <v>73</v>
      </c>
      <c r="W170" s="32" t="s">
        <v>111</v>
      </c>
      <c r="X170" s="32" t="s">
        <v>127</v>
      </c>
      <c r="Y170" s="32" t="s">
        <v>73</v>
      </c>
      <c r="Z170" s="32" t="s">
        <v>73</v>
      </c>
      <c r="AA170" s="32" t="s">
        <v>73</v>
      </c>
      <c r="AB170" s="32" t="s">
        <v>75</v>
      </c>
      <c r="AC170" s="32" t="s">
        <v>89</v>
      </c>
      <c r="AD170" s="32" t="s">
        <v>82</v>
      </c>
      <c r="AE170" s="32" t="s">
        <v>90</v>
      </c>
      <c r="AF170" s="32" t="s">
        <v>73</v>
      </c>
      <c r="AG170" s="32" t="s">
        <v>178</v>
      </c>
      <c r="AH170" t="str">
        <f>VLOOKUP($R170,武学奇术!$A:$ZZ,25,FALSE)</f>
        <v>单体奇术</v>
      </c>
      <c r="AI170" s="21">
        <f>VLOOKUP($R170,武学奇术!$A:$ZZ,26,FALSE)</f>
        <v>0.236</v>
      </c>
      <c r="AJ170" s="22">
        <f>VLOOKUP($R170,武学奇术!$A:$ZZ,27,FALSE)*(1+IF(OR($AH170=$F$4,$AH170=$F$5),$B$22,0))</f>
        <v>46</v>
      </c>
      <c r="AK170" s="21">
        <f>VLOOKUP($R170,武学奇术!$A:$ZZ,28,FALSE)</f>
        <v>0.354</v>
      </c>
      <c r="AL170" s="22">
        <f>VLOOKUP($R170,武学奇术!$A:$ZZ,29,FALSE)*(1+IF(OR($AH170=$F$4,$AH170=$F$5),$B$22,0))</f>
        <v>0</v>
      </c>
      <c r="AM170" s="21" cm="1">
        <f t="array" ref="AM170">$G$3+IFERROR(VLOOKUP($AH170,$F$4:$G$7,2,FALSE),0)+VLOOKUP($R170,武学奇术!$A:$ZZ,2,FALSE)+SUM(_xlfn.XLOOKUP($S170:$AG170,增益!$A:$A,增益!$B:$B,0))</f>
        <v>1.523</v>
      </c>
      <c r="AN170" s="21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1862.48</v>
      </c>
      <c r="AP170" cm="1">
        <f t="array" ref="AP170">$E$10*(1+$AN170)+VLOOKUP($R170,武学奇术!$A:$ZZ,4,FALSE)+SUM(_xlfn.XLOOKUP($S170:$AG170,增益!$A:$A,增益!$D:$D,0))-$I$2</f>
        <v>7794.56</v>
      </c>
      <c r="AQ170" s="26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0.294</v>
      </c>
      <c r="AR170" s="26" cm="1">
        <f t="array" ref="AR170">$G$10+VLOOKUP($R170,武学奇术!$A:$ZZ,7,FALSE)+SUM(_xlfn.XLOOKUP(S170:AG170,增益!$A:$A,增益!$G:$G,0))</f>
        <v>0</v>
      </c>
      <c r="AS170" s="21" cm="1">
        <f t="array" ref="AS170">VLOOKUP($R170,武学奇术!$A:$ZZ,8,FALSE)+SUM(_xlfn.XLOOKUP(S170:AG170,增益!$A:$A,增益!$H:$H,0))</f>
        <v>0</v>
      </c>
      <c r="AT170">
        <f t="shared" si="75"/>
        <v>680.02</v>
      </c>
      <c r="AU170">
        <f t="shared" si="76"/>
        <v>1288.54</v>
      </c>
      <c r="AV170" s="26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26" cm="1">
        <f t="array" ref="AW170">$G$11+VLOOKUP($R170,武学奇术!$A:$ZZ,10,FALSE)+SUM(_xlfn.XLOOKUP(S170:AG170,增益!$A:$A,增益!$J:$J,0))</f>
        <v>0.15</v>
      </c>
      <c r="AX170">
        <f t="shared" si="77"/>
        <v>0</v>
      </c>
      <c r="AY170">
        <f t="shared" si="78"/>
        <v>0</v>
      </c>
      <c r="AZ170" s="26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26" cm="1">
        <f t="array" ref="BA170">$G$12+VLOOKUP($R170,武学奇术!$A:$ZZ,12,FALSE)+SUM(_xlfn.XLOOKUP(S170:AG170,增益!$A:$A,增益!$L:$L,0))</f>
        <v>0</v>
      </c>
      <c r="BB170">
        <f t="shared" si="79"/>
        <v>0</v>
      </c>
      <c r="BC170">
        <f t="shared" si="80"/>
        <v>0</v>
      </c>
      <c r="BD170" s="26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26" cm="1">
        <f t="array" ref="BE170">$G$13+VLOOKUP($R170,武学奇术!$A:$ZZ,14,FALSE)+SUM(_xlfn.XLOOKUP(S170:AG170,增益!$A:$A,增益!$N:$N,0))</f>
        <v>0</v>
      </c>
      <c r="BF170">
        <f t="shared" si="81"/>
        <v>0</v>
      </c>
      <c r="BG170">
        <f t="shared" si="82"/>
        <v>0</v>
      </c>
      <c r="BH170" s="26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26" cm="1">
        <f t="array" ref="BI170">$G$14+VLOOKUP($R170,武学奇术!$A:$ZZ,16,FALSE)+SUM(_xlfn.XLOOKUP(S170:AG170,增益!$A:$A,增益!$P:$P,0))</f>
        <v>0</v>
      </c>
      <c r="BJ170" s="21">
        <f>MIN(IF(VLOOKUP($R170,武学奇术!$A:$ZZ,23,FALSE)=1,100%,$B$8),100%)</f>
        <v>0.8229</v>
      </c>
      <c r="BK170" s="21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0.2285</v>
      </c>
      <c r="BL170" s="21" cm="1">
        <f t="array" ref="BL170">1+$B$13+VLOOKUP($R170,武学奇术!$A:$ZZ,18,FALSE)+SUM(_xlfn.XLOOKUP(S170:AG170,增益!$A:$A,增益!$R:$R,0))</f>
        <v>1.5</v>
      </c>
      <c r="BM170" s="21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0.4495</v>
      </c>
      <c r="BN170" s="21" cm="1">
        <f t="array" ref="BN170">1+$B$14+VLOOKUP($R170,武学奇术!$A:$ZZ,20,FALSE)+SUM(_xlfn.XLOOKUP(S170:AG170,增益!$A:$A,增益!$T:$T,0))</f>
        <v>1.602</v>
      </c>
      <c r="BO170" s="21">
        <f t="shared" si="83"/>
        <v>0.18803265</v>
      </c>
      <c r="BP170" s="21">
        <f t="shared" si="84"/>
        <v>0.2649738</v>
      </c>
      <c r="BQ170" s="21">
        <f>IF(VLOOKUP($R170,武学奇术!$A:$ZZ,22,FALSE)=1,0,(1-$BJ170))*(1-$BM170)</f>
        <v>0.09749355</v>
      </c>
      <c r="BR170" s="21" cm="1">
        <f t="array" ref="BR170">SUM(_xlfn.XLOOKUP(S170:AG170,增益!$A:$A,增益!$W:$W,0))+$I$5</f>
        <v>0.06</v>
      </c>
    </row>
    <row r="171" spans="11:70">
      <c r="K171" s="24">
        <f>$L171*VLOOKUP($R171,武学奇术!$A:$ZZ,31,FALSE)</f>
        <v>27682.870991663</v>
      </c>
      <c r="L171" s="24">
        <f t="shared" si="74"/>
        <v>55365.7419833259</v>
      </c>
      <c r="M171" s="24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48921.7287734793</v>
      </c>
      <c r="N171" s="24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80190.5688544155</v>
      </c>
      <c r="O171" s="24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32614.4858489862</v>
      </c>
      <c r="P171" s="24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15172.4368325446</v>
      </c>
      <c r="Q171" s="31">
        <v>7</v>
      </c>
      <c r="R171" s="32" t="s">
        <v>194</v>
      </c>
      <c r="S171" s="32" t="s">
        <v>87</v>
      </c>
      <c r="T171" s="32" t="s">
        <v>96</v>
      </c>
      <c r="U171" s="32" t="s">
        <v>97</v>
      </c>
      <c r="V171" s="32" t="s">
        <v>73</v>
      </c>
      <c r="W171" s="32" t="s">
        <v>73</v>
      </c>
      <c r="X171" s="32" t="s">
        <v>127</v>
      </c>
      <c r="Y171" s="32" t="s">
        <v>73</v>
      </c>
      <c r="Z171" s="32" t="s">
        <v>73</v>
      </c>
      <c r="AA171" s="32" t="s">
        <v>81</v>
      </c>
      <c r="AB171" s="32" t="s">
        <v>75</v>
      </c>
      <c r="AC171" s="32" t="s">
        <v>76</v>
      </c>
      <c r="AD171" s="32" t="s">
        <v>82</v>
      </c>
      <c r="AE171" s="32" t="s">
        <v>73</v>
      </c>
      <c r="AF171" s="32" t="s">
        <v>73</v>
      </c>
      <c r="AG171" s="32" t="s">
        <v>178</v>
      </c>
      <c r="AH171" t="str">
        <f>VLOOKUP($R171,武学奇术!$A:$ZZ,25,FALSE)</f>
        <v>单体奇术</v>
      </c>
      <c r="AI171" s="21">
        <f>VLOOKUP($R171,武学奇术!$A:$ZZ,26,FALSE)</f>
        <v>0.236</v>
      </c>
      <c r="AJ171" s="22">
        <f>VLOOKUP($R171,武学奇术!$A:$ZZ,27,FALSE)*(1+IF(OR($AH171=$F$4,$AH171=$F$5),$B$22,0))</f>
        <v>46</v>
      </c>
      <c r="AK171" s="21">
        <f>VLOOKUP($R171,武学奇术!$A:$ZZ,28,FALSE)</f>
        <v>0.354</v>
      </c>
      <c r="AL171" s="22">
        <f>VLOOKUP($R171,武学奇术!$A:$ZZ,29,FALSE)*(1+IF(OR($AH171=$F$4,$AH171=$F$5),$B$22,0))</f>
        <v>0</v>
      </c>
      <c r="AM171" s="21" cm="1">
        <f t="array" ref="AM171">$G$3+IFERROR(VLOOKUP($AH171,$F$4:$G$7,2,FALSE),0)+VLOOKUP($R171,武学奇术!$A:$ZZ,2,FALSE)+SUM(_xlfn.XLOOKUP($S171:$AG171,增益!$A:$A,增益!$B:$B,0))</f>
        <v>1.283</v>
      </c>
      <c r="AN171" s="21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1831.48</v>
      </c>
      <c r="AP171" cm="1">
        <f t="array" ref="AP171">$E$10*(1+$AN171)+VLOOKUP($R171,武学奇术!$A:$ZZ,4,FALSE)+SUM(_xlfn.XLOOKUP($S171:$AG171,增益!$A:$A,增益!$D:$D,0))-$I$2</f>
        <v>7763.56</v>
      </c>
      <c r="AQ171" s="26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0.294</v>
      </c>
      <c r="AR171" s="26" cm="1">
        <f t="array" ref="AR171">$G$10+VLOOKUP($R171,武学奇术!$A:$ZZ,7,FALSE)+SUM(_xlfn.XLOOKUP(S171:AG171,增益!$A:$A,增益!$G:$G,0))</f>
        <v>0</v>
      </c>
      <c r="AS171" s="21" cm="1">
        <f t="array" ref="AS171">VLOOKUP($R171,武学奇术!$A:$ZZ,8,FALSE)+SUM(_xlfn.XLOOKUP(S171:AG171,增益!$A:$A,增益!$H:$H,0))</f>
        <v>0</v>
      </c>
      <c r="AT171">
        <f t="shared" si="75"/>
        <v>680.02</v>
      </c>
      <c r="AU171">
        <f t="shared" si="76"/>
        <v>1288.54</v>
      </c>
      <c r="AV171" s="26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26" cm="1">
        <f t="array" ref="AW171">$G$11+VLOOKUP($R171,武学奇术!$A:$ZZ,10,FALSE)+SUM(_xlfn.XLOOKUP(S171:AG171,增益!$A:$A,增益!$J:$J,0))</f>
        <v>0.15</v>
      </c>
      <c r="AX171">
        <f t="shared" si="77"/>
        <v>0</v>
      </c>
      <c r="AY171">
        <f t="shared" si="78"/>
        <v>0</v>
      </c>
      <c r="AZ171" s="26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26" cm="1">
        <f t="array" ref="BA171">$G$12+VLOOKUP($R171,武学奇术!$A:$ZZ,12,FALSE)+SUM(_xlfn.XLOOKUP(S171:AG171,增益!$A:$A,增益!$L:$L,0))</f>
        <v>0</v>
      </c>
      <c r="BB171">
        <f t="shared" si="79"/>
        <v>0</v>
      </c>
      <c r="BC171">
        <f t="shared" si="80"/>
        <v>0</v>
      </c>
      <c r="BD171" s="26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26" cm="1">
        <f t="array" ref="BE171">$G$13+VLOOKUP($R171,武学奇术!$A:$ZZ,14,FALSE)+SUM(_xlfn.XLOOKUP(S171:AG171,增益!$A:$A,增益!$N:$N,0))</f>
        <v>0</v>
      </c>
      <c r="BF171">
        <f t="shared" si="81"/>
        <v>0</v>
      </c>
      <c r="BG171">
        <f t="shared" si="82"/>
        <v>0</v>
      </c>
      <c r="BH171" s="26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26" cm="1">
        <f t="array" ref="BI171">$G$14+VLOOKUP($R171,武学奇术!$A:$ZZ,16,FALSE)+SUM(_xlfn.XLOOKUP(S171:AG171,增益!$A:$A,增益!$P:$P,0))</f>
        <v>0</v>
      </c>
      <c r="BJ171" s="21">
        <f>MIN(IF(VLOOKUP($R171,武学奇术!$A:$ZZ,23,FALSE)=1,100%,$B$8),100%)</f>
        <v>0.8229</v>
      </c>
      <c r="BK171" s="21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0.2285</v>
      </c>
      <c r="BL171" s="21" cm="1">
        <f t="array" ref="BL171">1+$B$13+VLOOKUP($R171,武学奇术!$A:$ZZ,18,FALSE)+SUM(_xlfn.XLOOKUP(S171:AG171,增益!$A:$A,增益!$R:$R,0))</f>
        <v>1.5</v>
      </c>
      <c r="BM171" s="21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0.4495</v>
      </c>
      <c r="BN171" s="21" cm="1">
        <f t="array" ref="BN171">1+$B$14+VLOOKUP($R171,武学奇术!$A:$ZZ,20,FALSE)+SUM(_xlfn.XLOOKUP(S171:AG171,增益!$A:$A,增益!$T:$T,0))</f>
        <v>1.602</v>
      </c>
      <c r="BO171" s="21">
        <f t="shared" si="83"/>
        <v>0.18803265</v>
      </c>
      <c r="BP171" s="21">
        <f t="shared" si="84"/>
        <v>0.2649738</v>
      </c>
      <c r="BQ171" s="21">
        <f>IF(VLOOKUP($R171,武学奇术!$A:$ZZ,22,FALSE)=1,0,(1-$BJ171))*(1-$BM171)</f>
        <v>0.09749355</v>
      </c>
      <c r="BR171" s="21" cm="1">
        <f t="array" ref="BR171">SUM(_xlfn.XLOOKUP(S171:AG171,增益!$A:$A,增益!$W:$W,0))+$I$5</f>
        <v>0.06</v>
      </c>
    </row>
    <row r="172" spans="11:70">
      <c r="K172" s="24">
        <f>$L172*VLOOKUP($R172,武学奇术!$A:$ZZ,31,FALSE)</f>
        <v>57040.1954326929</v>
      </c>
      <c r="L172" s="24">
        <f t="shared" si="74"/>
        <v>114080.390865386</v>
      </c>
      <c r="M172" s="24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100899.421092939</v>
      </c>
      <c r="N172" s="24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165108.369014401</v>
      </c>
      <c r="O172" s="24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67266.2807286262</v>
      </c>
      <c r="P172" s="24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31468.6606991994</v>
      </c>
      <c r="Q172" s="31">
        <v>13</v>
      </c>
      <c r="R172" s="32" t="s">
        <v>194</v>
      </c>
      <c r="S172" s="32" t="s">
        <v>87</v>
      </c>
      <c r="T172" s="32" t="s">
        <v>96</v>
      </c>
      <c r="U172" s="32" t="s">
        <v>97</v>
      </c>
      <c r="V172" s="32" t="s">
        <v>73</v>
      </c>
      <c r="W172" s="32" t="s">
        <v>111</v>
      </c>
      <c r="X172" s="32" t="s">
        <v>127</v>
      </c>
      <c r="Y172" s="32" t="s">
        <v>73</v>
      </c>
      <c r="Z172" s="32" t="s">
        <v>73</v>
      </c>
      <c r="AA172" s="32" t="s">
        <v>81</v>
      </c>
      <c r="AB172" s="32" t="s">
        <v>75</v>
      </c>
      <c r="AC172" s="32" t="s">
        <v>89</v>
      </c>
      <c r="AD172" s="32" t="s">
        <v>82</v>
      </c>
      <c r="AE172" s="32" t="s">
        <v>90</v>
      </c>
      <c r="AF172" s="32" t="s">
        <v>73</v>
      </c>
      <c r="AG172" s="32" t="s">
        <v>178</v>
      </c>
      <c r="AH172" t="str">
        <f>VLOOKUP($R172,武学奇术!$A:$ZZ,25,FALSE)</f>
        <v>单体奇术</v>
      </c>
      <c r="AI172" s="21">
        <f>VLOOKUP($R172,武学奇术!$A:$ZZ,26,FALSE)</f>
        <v>0.236</v>
      </c>
      <c r="AJ172" s="22">
        <f>VLOOKUP($R172,武学奇术!$A:$ZZ,27,FALSE)*(1+IF(OR($AH172=$F$4,$AH172=$F$5),$B$22,0))</f>
        <v>46</v>
      </c>
      <c r="AK172" s="21">
        <f>VLOOKUP($R172,武学奇术!$A:$ZZ,28,FALSE)</f>
        <v>0.354</v>
      </c>
      <c r="AL172" s="22">
        <f>VLOOKUP($R172,武学奇术!$A:$ZZ,29,FALSE)*(1+IF(OR($AH172=$F$4,$AH172=$F$5),$B$22,0))</f>
        <v>0</v>
      </c>
      <c r="AM172" s="21" cm="1">
        <f t="array" ref="AM172">$G$3+IFERROR(VLOOKUP($AH172,$F$4:$G$7,2,FALSE),0)+VLOOKUP($R172,武学奇术!$A:$ZZ,2,FALSE)+SUM(_xlfn.XLOOKUP($S172:$AG172,增益!$A:$A,增益!$B:$B,0))</f>
        <v>1.523</v>
      </c>
      <c r="AN172" s="21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1862.48</v>
      </c>
      <c r="AP172" cm="1">
        <f t="array" ref="AP172">$E$10*(1+$AN172)+VLOOKUP($R172,武学奇术!$A:$ZZ,4,FALSE)+SUM(_xlfn.XLOOKUP($S172:$AG172,增益!$A:$A,增益!$D:$D,0))-$I$2</f>
        <v>7794.56</v>
      </c>
      <c r="AQ172" s="26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0.294</v>
      </c>
      <c r="AR172" s="26" cm="1">
        <f t="array" ref="AR172">$G$10+VLOOKUP($R172,武学奇术!$A:$ZZ,7,FALSE)+SUM(_xlfn.XLOOKUP(S172:AG172,增益!$A:$A,增益!$G:$G,0))</f>
        <v>0</v>
      </c>
      <c r="AS172" s="21" cm="1">
        <f t="array" ref="AS172">VLOOKUP($R172,武学奇术!$A:$ZZ,8,FALSE)+SUM(_xlfn.XLOOKUP(S172:AG172,增益!$A:$A,增益!$H:$H,0))</f>
        <v>0</v>
      </c>
      <c r="AT172">
        <f t="shared" si="75"/>
        <v>680.02</v>
      </c>
      <c r="AU172">
        <f t="shared" si="76"/>
        <v>1288.54</v>
      </c>
      <c r="AV172" s="26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26" cm="1">
        <f t="array" ref="AW172">$G$11+VLOOKUP($R172,武学奇术!$A:$ZZ,10,FALSE)+SUM(_xlfn.XLOOKUP(S172:AG172,增益!$A:$A,增益!$J:$J,0))</f>
        <v>0.15</v>
      </c>
      <c r="AX172">
        <f t="shared" si="77"/>
        <v>0</v>
      </c>
      <c r="AY172">
        <f t="shared" si="78"/>
        <v>0</v>
      </c>
      <c r="AZ172" s="26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26" cm="1">
        <f t="array" ref="BA172">$G$12+VLOOKUP($R172,武学奇术!$A:$ZZ,12,FALSE)+SUM(_xlfn.XLOOKUP(S172:AG172,增益!$A:$A,增益!$L:$L,0))</f>
        <v>0</v>
      </c>
      <c r="BB172">
        <f t="shared" si="79"/>
        <v>0</v>
      </c>
      <c r="BC172">
        <f t="shared" si="80"/>
        <v>0</v>
      </c>
      <c r="BD172" s="26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26" cm="1">
        <f t="array" ref="BE172">$G$13+VLOOKUP($R172,武学奇术!$A:$ZZ,14,FALSE)+SUM(_xlfn.XLOOKUP(S172:AG172,增益!$A:$A,增益!$N:$N,0))</f>
        <v>0</v>
      </c>
      <c r="BF172">
        <f t="shared" si="81"/>
        <v>0</v>
      </c>
      <c r="BG172">
        <f t="shared" si="82"/>
        <v>0</v>
      </c>
      <c r="BH172" s="26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26" cm="1">
        <f t="array" ref="BI172">$G$14+VLOOKUP($R172,武学奇术!$A:$ZZ,16,FALSE)+SUM(_xlfn.XLOOKUP(S172:AG172,增益!$A:$A,增益!$P:$P,0))</f>
        <v>0</v>
      </c>
      <c r="BJ172" s="21">
        <f>MIN(IF(VLOOKUP($R172,武学奇术!$A:$ZZ,23,FALSE)=1,100%,$B$8),100%)</f>
        <v>0.8229</v>
      </c>
      <c r="BK172" s="21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0.2285</v>
      </c>
      <c r="BL172" s="21" cm="1">
        <f t="array" ref="BL172">1+$B$13+VLOOKUP($R172,武学奇术!$A:$ZZ,18,FALSE)+SUM(_xlfn.XLOOKUP(S172:AG172,增益!$A:$A,增益!$R:$R,0))</f>
        <v>1.5</v>
      </c>
      <c r="BM172" s="21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0.4495</v>
      </c>
      <c r="BN172" s="21" cm="1">
        <f t="array" ref="BN172">1+$B$14+VLOOKUP($R172,武学奇术!$A:$ZZ,20,FALSE)+SUM(_xlfn.XLOOKUP(S172:AG172,增益!$A:$A,增益!$T:$T,0))</f>
        <v>1.602</v>
      </c>
      <c r="BO172" s="21">
        <f t="shared" si="83"/>
        <v>0.18803265</v>
      </c>
      <c r="BP172" s="21">
        <f t="shared" si="84"/>
        <v>0.2649738</v>
      </c>
      <c r="BQ172" s="21">
        <f>IF(VLOOKUP($R172,武学奇术!$A:$ZZ,22,FALSE)=1,0,(1-$BJ172))*(1-$BM172)</f>
        <v>0.09749355</v>
      </c>
      <c r="BR172" s="21" cm="1">
        <f t="array" ref="BR172">SUM(_xlfn.XLOOKUP(S172:AG172,增益!$A:$A,增益!$W:$W,0))+$I$5</f>
        <v>0.06</v>
      </c>
    </row>
    <row r="173" spans="11:70">
      <c r="K173" s="24">
        <f>$L173*VLOOKUP($R173,武学奇术!$A:$ZZ,31,FALSE)</f>
        <v>26326.2440458582</v>
      </c>
      <c r="L173" s="24">
        <f t="shared" si="74"/>
        <v>52652.4880917165</v>
      </c>
      <c r="M173" s="24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46568.9635813566</v>
      </c>
      <c r="N173" s="24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76203.8626220312</v>
      </c>
      <c r="O173" s="24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31045.9757209044</v>
      </c>
      <c r="P173" s="24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14523.9972457843</v>
      </c>
      <c r="Q173" s="31">
        <v>6</v>
      </c>
      <c r="R173" s="32" t="s">
        <v>194</v>
      </c>
      <c r="S173" s="32" t="s">
        <v>87</v>
      </c>
      <c r="T173" s="32" t="s">
        <v>96</v>
      </c>
      <c r="U173" s="32" t="s">
        <v>97</v>
      </c>
      <c r="V173" s="32" t="s">
        <v>73</v>
      </c>
      <c r="W173" s="32" t="s">
        <v>111</v>
      </c>
      <c r="X173" s="32" t="s">
        <v>127</v>
      </c>
      <c r="Y173" s="32" t="s">
        <v>73</v>
      </c>
      <c r="Z173" s="32" t="s">
        <v>73</v>
      </c>
      <c r="AA173" s="32" t="s">
        <v>81</v>
      </c>
      <c r="AB173" s="32" t="s">
        <v>75</v>
      </c>
      <c r="AC173" s="32" t="s">
        <v>76</v>
      </c>
      <c r="AD173" s="32" t="s">
        <v>82</v>
      </c>
      <c r="AE173" s="32" t="s">
        <v>90</v>
      </c>
      <c r="AF173" s="32" t="s">
        <v>73</v>
      </c>
      <c r="AG173" s="32" t="s">
        <v>178</v>
      </c>
      <c r="AH173" t="str">
        <f>VLOOKUP($R173,武学奇术!$A:$ZZ,25,FALSE)</f>
        <v>单体奇术</v>
      </c>
      <c r="AI173" s="21">
        <f>VLOOKUP($R173,武学奇术!$A:$ZZ,26,FALSE)</f>
        <v>0.236</v>
      </c>
      <c r="AJ173" s="22">
        <f>VLOOKUP($R173,武学奇术!$A:$ZZ,27,FALSE)*(1+IF(OR($AH173=$F$4,$AH173=$F$5),$B$22,0))</f>
        <v>46</v>
      </c>
      <c r="AK173" s="21">
        <f>VLOOKUP($R173,武学奇术!$A:$ZZ,28,FALSE)</f>
        <v>0.354</v>
      </c>
      <c r="AL173" s="22">
        <f>VLOOKUP($R173,武学奇术!$A:$ZZ,29,FALSE)*(1+IF(OR($AH173=$F$4,$AH173=$F$5),$B$22,0))</f>
        <v>0</v>
      </c>
      <c r="AM173" s="21" cm="1">
        <f t="array" ref="AM173">$G$3+IFERROR(VLOOKUP($AH173,$F$4:$G$7,2,FALSE),0)+VLOOKUP($R173,武学奇术!$A:$ZZ,2,FALSE)+SUM(_xlfn.XLOOKUP($S173:$AG173,增益!$A:$A,增益!$B:$B,0))</f>
        <v>1.523</v>
      </c>
      <c r="AN173" s="21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1862.48</v>
      </c>
      <c r="AP173" cm="1">
        <f t="array" ref="AP173">$E$10*(1+$AN173)+VLOOKUP($R173,武学奇术!$A:$ZZ,4,FALSE)+SUM(_xlfn.XLOOKUP($S173:$AG173,增益!$A:$A,增益!$D:$D,0))-$I$2</f>
        <v>7794.56</v>
      </c>
      <c r="AQ173" s="26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0.294</v>
      </c>
      <c r="AR173" s="26" cm="1">
        <f t="array" ref="AR173">$G$10+VLOOKUP($R173,武学奇术!$A:$ZZ,7,FALSE)+SUM(_xlfn.XLOOKUP(S173:AG173,增益!$A:$A,增益!$G:$G,0))</f>
        <v>0</v>
      </c>
      <c r="AS173" s="21" cm="1">
        <f t="array" ref="AS173">VLOOKUP($R173,武学奇术!$A:$ZZ,8,FALSE)+SUM(_xlfn.XLOOKUP(S173:AG173,增益!$A:$A,增益!$H:$H,0))</f>
        <v>0</v>
      </c>
      <c r="AT173">
        <f t="shared" si="75"/>
        <v>680.02</v>
      </c>
      <c r="AU173">
        <f t="shared" si="76"/>
        <v>1288.54</v>
      </c>
      <c r="AV173" s="26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26" cm="1">
        <f t="array" ref="AW173">$G$11+VLOOKUP($R173,武学奇术!$A:$ZZ,10,FALSE)+SUM(_xlfn.XLOOKUP(S173:AG173,增益!$A:$A,增益!$J:$J,0))</f>
        <v>0.15</v>
      </c>
      <c r="AX173">
        <f t="shared" si="77"/>
        <v>0</v>
      </c>
      <c r="AY173">
        <f t="shared" si="78"/>
        <v>0</v>
      </c>
      <c r="AZ173" s="26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26" cm="1">
        <f t="array" ref="BA173">$G$12+VLOOKUP($R173,武学奇术!$A:$ZZ,12,FALSE)+SUM(_xlfn.XLOOKUP(S173:AG173,增益!$A:$A,增益!$L:$L,0))</f>
        <v>0</v>
      </c>
      <c r="BB173">
        <f t="shared" si="79"/>
        <v>0</v>
      </c>
      <c r="BC173">
        <f t="shared" si="80"/>
        <v>0</v>
      </c>
      <c r="BD173" s="26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26" cm="1">
        <f t="array" ref="BE173">$G$13+VLOOKUP($R173,武学奇术!$A:$ZZ,14,FALSE)+SUM(_xlfn.XLOOKUP(S173:AG173,增益!$A:$A,增益!$N:$N,0))</f>
        <v>0</v>
      </c>
      <c r="BF173">
        <f t="shared" si="81"/>
        <v>0</v>
      </c>
      <c r="BG173">
        <f t="shared" si="82"/>
        <v>0</v>
      </c>
      <c r="BH173" s="26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26" cm="1">
        <f t="array" ref="BI173">$G$14+VLOOKUP($R173,武学奇术!$A:$ZZ,16,FALSE)+SUM(_xlfn.XLOOKUP(S173:AG173,增益!$A:$A,增益!$P:$P,0))</f>
        <v>0</v>
      </c>
      <c r="BJ173" s="21">
        <f>MIN(IF(VLOOKUP($R173,武学奇术!$A:$ZZ,23,FALSE)=1,100%,$B$8),100%)</f>
        <v>0.8229</v>
      </c>
      <c r="BK173" s="21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0.2285</v>
      </c>
      <c r="BL173" s="21" cm="1">
        <f t="array" ref="BL173">1+$B$13+VLOOKUP($R173,武学奇术!$A:$ZZ,18,FALSE)+SUM(_xlfn.XLOOKUP(S173:AG173,增益!$A:$A,增益!$R:$R,0))</f>
        <v>1.5</v>
      </c>
      <c r="BM173" s="21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0.4495</v>
      </c>
      <c r="BN173" s="21" cm="1">
        <f t="array" ref="BN173">1+$B$14+VLOOKUP($R173,武学奇术!$A:$ZZ,20,FALSE)+SUM(_xlfn.XLOOKUP(S173:AG173,增益!$A:$A,增益!$T:$T,0))</f>
        <v>1.602</v>
      </c>
      <c r="BO173" s="21">
        <f t="shared" si="83"/>
        <v>0.18803265</v>
      </c>
      <c r="BP173" s="21">
        <f t="shared" si="84"/>
        <v>0.2649738</v>
      </c>
      <c r="BQ173" s="21">
        <f>IF(VLOOKUP($R173,武学奇术!$A:$ZZ,22,FALSE)=1,0,(1-$BJ173))*(1-$BM173)</f>
        <v>0.09749355</v>
      </c>
      <c r="BR173" s="21" cm="1">
        <f t="array" ref="BR173">SUM(_xlfn.XLOOKUP(S173:AG173,增益!$A:$A,增益!$W:$W,0))+$I$5</f>
        <v>0.06</v>
      </c>
    </row>
    <row r="174" spans="11:70">
      <c r="K174" s="24">
        <f>$L174*VLOOKUP($R174,武学奇术!$A:$ZZ,31,FALSE)</f>
        <v>13111.2978246603</v>
      </c>
      <c r="L174" s="24">
        <f t="shared" si="74"/>
        <v>26222.5956493207</v>
      </c>
      <c r="M174" s="24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23170.5503464405</v>
      </c>
      <c r="N174" s="24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37980.2525285696</v>
      </c>
      <c r="O174" s="24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15447.0335642936</v>
      </c>
      <c r="P174" s="24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7186.04432673361</v>
      </c>
      <c r="Q174" s="31">
        <v>3</v>
      </c>
      <c r="R174" s="32" t="s">
        <v>194</v>
      </c>
      <c r="S174" s="32" t="s">
        <v>87</v>
      </c>
      <c r="T174" s="32" t="s">
        <v>96</v>
      </c>
      <c r="U174" s="32" t="s">
        <v>97</v>
      </c>
      <c r="V174" s="32" t="s">
        <v>73</v>
      </c>
      <c r="W174" s="32" t="s">
        <v>73</v>
      </c>
      <c r="X174" s="32" t="s">
        <v>127</v>
      </c>
      <c r="Y174" s="32" t="s">
        <v>73</v>
      </c>
      <c r="Z174" s="32" t="s">
        <v>73</v>
      </c>
      <c r="AA174" s="32" t="s">
        <v>81</v>
      </c>
      <c r="AB174" s="32" t="s">
        <v>75</v>
      </c>
      <c r="AC174" s="32" t="s">
        <v>76</v>
      </c>
      <c r="AD174" s="32" t="s">
        <v>82</v>
      </c>
      <c r="AE174" s="32" t="s">
        <v>90</v>
      </c>
      <c r="AF174" s="32" t="s">
        <v>73</v>
      </c>
      <c r="AG174" s="32" t="s">
        <v>178</v>
      </c>
      <c r="AH174" t="str">
        <f>VLOOKUP($R174,武学奇术!$A:$ZZ,25,FALSE)</f>
        <v>单体奇术</v>
      </c>
      <c r="AI174" s="21">
        <f>VLOOKUP($R174,武学奇术!$A:$ZZ,26,FALSE)</f>
        <v>0.236</v>
      </c>
      <c r="AJ174" s="22">
        <f>VLOOKUP($R174,武学奇术!$A:$ZZ,27,FALSE)*(1+IF(OR($AH174=$F$4,$AH174=$F$5),$B$22,0))</f>
        <v>46</v>
      </c>
      <c r="AK174" s="21">
        <f>VLOOKUP($R174,武学奇术!$A:$ZZ,28,FALSE)</f>
        <v>0.354</v>
      </c>
      <c r="AL174" s="22">
        <f>VLOOKUP($R174,武学奇术!$A:$ZZ,29,FALSE)*(1+IF(OR($AH174=$F$4,$AH174=$F$5),$B$22,0))</f>
        <v>0</v>
      </c>
      <c r="AM174" s="21" cm="1">
        <f t="array" ref="AM174">$G$3+IFERROR(VLOOKUP($AH174,$F$4:$G$7,2,FALSE),0)+VLOOKUP($R174,武学奇术!$A:$ZZ,2,FALSE)+SUM(_xlfn.XLOOKUP($S174:$AG174,增益!$A:$A,增益!$B:$B,0))</f>
        <v>1.523</v>
      </c>
      <c r="AN174" s="21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1831.48</v>
      </c>
      <c r="AP174" cm="1">
        <f t="array" ref="AP174">$E$10*(1+$AN174)+VLOOKUP($R174,武学奇术!$A:$ZZ,4,FALSE)+SUM(_xlfn.XLOOKUP($S174:$AG174,增益!$A:$A,增益!$D:$D,0))-$I$2</f>
        <v>7763.56</v>
      </c>
      <c r="AQ174" s="26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0.294</v>
      </c>
      <c r="AR174" s="26" cm="1">
        <f t="array" ref="AR174">$G$10+VLOOKUP($R174,武学奇术!$A:$ZZ,7,FALSE)+SUM(_xlfn.XLOOKUP(S174:AG174,增益!$A:$A,增益!$G:$G,0))</f>
        <v>0</v>
      </c>
      <c r="AS174" s="21" cm="1">
        <f t="array" ref="AS174">VLOOKUP($R174,武学奇术!$A:$ZZ,8,FALSE)+SUM(_xlfn.XLOOKUP(S174:AG174,增益!$A:$A,增益!$H:$H,0))</f>
        <v>0</v>
      </c>
      <c r="AT174">
        <f t="shared" si="75"/>
        <v>680.02</v>
      </c>
      <c r="AU174">
        <f t="shared" si="76"/>
        <v>1288.54</v>
      </c>
      <c r="AV174" s="26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26" cm="1">
        <f t="array" ref="AW174">$G$11+VLOOKUP($R174,武学奇术!$A:$ZZ,10,FALSE)+SUM(_xlfn.XLOOKUP(S174:AG174,增益!$A:$A,增益!$J:$J,0))</f>
        <v>0.15</v>
      </c>
      <c r="AX174">
        <f t="shared" si="77"/>
        <v>0</v>
      </c>
      <c r="AY174">
        <f t="shared" si="78"/>
        <v>0</v>
      </c>
      <c r="AZ174" s="26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26" cm="1">
        <f t="array" ref="BA174">$G$12+VLOOKUP($R174,武学奇术!$A:$ZZ,12,FALSE)+SUM(_xlfn.XLOOKUP(S174:AG174,增益!$A:$A,增益!$L:$L,0))</f>
        <v>0</v>
      </c>
      <c r="BB174">
        <f t="shared" si="79"/>
        <v>0</v>
      </c>
      <c r="BC174">
        <f t="shared" si="80"/>
        <v>0</v>
      </c>
      <c r="BD174" s="26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26" cm="1">
        <f t="array" ref="BE174">$G$13+VLOOKUP($R174,武学奇术!$A:$ZZ,14,FALSE)+SUM(_xlfn.XLOOKUP(S174:AG174,增益!$A:$A,增益!$N:$N,0))</f>
        <v>0</v>
      </c>
      <c r="BF174">
        <f t="shared" si="81"/>
        <v>0</v>
      </c>
      <c r="BG174">
        <f t="shared" si="82"/>
        <v>0</v>
      </c>
      <c r="BH174" s="26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26" cm="1">
        <f t="array" ref="BI174">$G$14+VLOOKUP($R174,武学奇术!$A:$ZZ,16,FALSE)+SUM(_xlfn.XLOOKUP(S174:AG174,增益!$A:$A,增益!$P:$P,0))</f>
        <v>0</v>
      </c>
      <c r="BJ174" s="21">
        <f>MIN(IF(VLOOKUP($R174,武学奇术!$A:$ZZ,23,FALSE)=1,100%,$B$8),100%)</f>
        <v>0.8229</v>
      </c>
      <c r="BK174" s="21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0.2285</v>
      </c>
      <c r="BL174" s="21" cm="1">
        <f t="array" ref="BL174">1+$B$13+VLOOKUP($R174,武学奇术!$A:$ZZ,18,FALSE)+SUM(_xlfn.XLOOKUP(S174:AG174,增益!$A:$A,增益!$R:$R,0))</f>
        <v>1.5</v>
      </c>
      <c r="BM174" s="21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0.4495</v>
      </c>
      <c r="BN174" s="21" cm="1">
        <f t="array" ref="BN174">1+$B$14+VLOOKUP($R174,武学奇术!$A:$ZZ,20,FALSE)+SUM(_xlfn.XLOOKUP(S174:AG174,增益!$A:$A,增益!$T:$T,0))</f>
        <v>1.602</v>
      </c>
      <c r="BO174" s="21">
        <f t="shared" si="83"/>
        <v>0.18803265</v>
      </c>
      <c r="BP174" s="21">
        <f t="shared" si="84"/>
        <v>0.2649738</v>
      </c>
      <c r="BQ174" s="21">
        <f>IF(VLOOKUP($R174,武学奇术!$A:$ZZ,22,FALSE)=1,0,(1-$BJ174))*(1-$BM174)</f>
        <v>0.09749355</v>
      </c>
      <c r="BR174" s="21" cm="1">
        <f t="array" ref="BR174">SUM(_xlfn.XLOOKUP(S174:AG174,增益!$A:$A,增益!$W:$W,0))+$I$5</f>
        <v>0.06</v>
      </c>
    </row>
    <row r="175" spans="11:70">
      <c r="K175" s="24">
        <f>$L175*VLOOKUP($R175,武学奇术!$A:$ZZ,31,FALSE)</f>
        <v>0</v>
      </c>
      <c r="L175" s="24">
        <f t="shared" si="74"/>
        <v>0</v>
      </c>
      <c r="M175" s="24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0</v>
      </c>
      <c r="N175" s="24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0</v>
      </c>
      <c r="O175" s="24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0</v>
      </c>
      <c r="P175" s="24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0</v>
      </c>
      <c r="Q175" s="31"/>
      <c r="R175" s="32" t="s">
        <v>73</v>
      </c>
      <c r="S175" s="32" t="s">
        <v>73</v>
      </c>
      <c r="T175" s="32" t="s">
        <v>73</v>
      </c>
      <c r="U175" s="32" t="s">
        <v>73</v>
      </c>
      <c r="V175" s="32" t="s">
        <v>73</v>
      </c>
      <c r="W175" s="32" t="s">
        <v>73</v>
      </c>
      <c r="X175" s="32" t="s">
        <v>73</v>
      </c>
      <c r="Y175" s="32" t="s">
        <v>73</v>
      </c>
      <c r="Z175" s="32" t="s">
        <v>73</v>
      </c>
      <c r="AA175" s="32" t="s">
        <v>73</v>
      </c>
      <c r="AB175" s="32" t="s">
        <v>73</v>
      </c>
      <c r="AC175" s="32" t="s">
        <v>73</v>
      </c>
      <c r="AD175" s="32" t="s">
        <v>73</v>
      </c>
      <c r="AE175" s="32" t="s">
        <v>73</v>
      </c>
      <c r="AF175" s="32" t="s">
        <v>73</v>
      </c>
      <c r="AG175" s="32" t="s">
        <v>73</v>
      </c>
      <c r="AH175" t="str">
        <f>VLOOKUP($R175,武学奇术!$A:$ZZ,25,FALSE)</f>
        <v>心法</v>
      </c>
      <c r="AI175" s="21">
        <f>VLOOKUP($R175,武学奇术!$A:$ZZ,26,FALSE)</f>
        <v>0</v>
      </c>
      <c r="AJ175" s="22">
        <f>VLOOKUP($R175,武学奇术!$A:$ZZ,27,FALSE)*(1+IF(OR($AH175=$F$4,$AH175=$F$5),$B$22,0))</f>
        <v>0</v>
      </c>
      <c r="AK175" s="21">
        <f>VLOOKUP($R175,武学奇术!$A:$ZZ,28,FALSE)</f>
        <v>0</v>
      </c>
      <c r="AL175" s="22">
        <f>VLOOKUP($R175,武学奇术!$A:$ZZ,29,FALSE)*(1+IF(OR($AH175=$F$4,$AH175=$F$5),$B$22,0))</f>
        <v>0</v>
      </c>
      <c r="AM175" s="21" cm="1">
        <f t="array" ref="AM175">$G$3+IFERROR(VLOOKUP($AH175,$F$4:$G$7,2,FALSE),0)+VLOOKUP($R175,武学奇术!$A:$ZZ,2,FALSE)+SUM(_xlfn.XLOOKUP($S175:$AG175,增益!$A:$A,增益!$B:$B,0))</f>
        <v>0.1842</v>
      </c>
      <c r="AN175" s="21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1831.48</v>
      </c>
      <c r="AP175" cm="1">
        <f t="array" ref="AP175">$E$10*(1+$AN175)+VLOOKUP($R175,武学奇术!$A:$ZZ,4,FALSE)+SUM(_xlfn.XLOOKUP($S175:$AG175,增益!$A:$A,增益!$D:$D,0))-$I$2</f>
        <v>7763.56</v>
      </c>
      <c r="AQ175" s="26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0.244</v>
      </c>
      <c r="AR175" s="26" cm="1">
        <f t="array" ref="AR175">$G$10+VLOOKUP($R175,武学奇术!$A:$ZZ,7,FALSE)+SUM(_xlfn.XLOOKUP(S175:AG175,增益!$A:$A,增益!$G:$G,0))</f>
        <v>0</v>
      </c>
      <c r="AS175" s="21" cm="1">
        <f t="array" ref="AS175">VLOOKUP($R175,武学奇术!$A:$ZZ,8,FALSE)+SUM(_xlfn.XLOOKUP(S175:AG175,增益!$A:$A,增益!$H:$H,0))</f>
        <v>0</v>
      </c>
      <c r="AT175">
        <f t="shared" si="75"/>
        <v>680.02</v>
      </c>
      <c r="AU175">
        <f t="shared" si="76"/>
        <v>1288.54</v>
      </c>
      <c r="AV175" s="26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26" cm="1">
        <f t="array" ref="AW175">$G$11+VLOOKUP($R175,武学奇术!$A:$ZZ,10,FALSE)+SUM(_xlfn.XLOOKUP(S175:AG175,增益!$A:$A,增益!$J:$J,0))</f>
        <v>0.15</v>
      </c>
      <c r="AX175">
        <f t="shared" si="77"/>
        <v>0</v>
      </c>
      <c r="AY175">
        <f t="shared" si="78"/>
        <v>0</v>
      </c>
      <c r="AZ175" s="26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26" cm="1">
        <f t="array" ref="BA175">$G$12+VLOOKUP($R175,武学奇术!$A:$ZZ,12,FALSE)+SUM(_xlfn.XLOOKUP(S175:AG175,增益!$A:$A,增益!$L:$L,0))</f>
        <v>0</v>
      </c>
      <c r="BB175">
        <f t="shared" si="79"/>
        <v>0</v>
      </c>
      <c r="BC175">
        <f t="shared" si="80"/>
        <v>0</v>
      </c>
      <c r="BD175" s="26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26" cm="1">
        <f t="array" ref="BE175">$G$13+VLOOKUP($R175,武学奇术!$A:$ZZ,14,FALSE)+SUM(_xlfn.XLOOKUP(S175:AG175,增益!$A:$A,增益!$N:$N,0))</f>
        <v>0</v>
      </c>
      <c r="BF175">
        <f t="shared" si="81"/>
        <v>0</v>
      </c>
      <c r="BG175">
        <f t="shared" si="82"/>
        <v>0</v>
      </c>
      <c r="BH175" s="26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26" cm="1">
        <f t="array" ref="BI175">$G$14+VLOOKUP($R175,武学奇术!$A:$ZZ,16,FALSE)+SUM(_xlfn.XLOOKUP(S175:AG175,增益!$A:$A,增益!$P:$P,0))</f>
        <v>0</v>
      </c>
      <c r="BJ175" s="21">
        <f>MIN(IF(VLOOKUP($R175,武学奇术!$A:$ZZ,23,FALSE)=1,100%,$B$8),100%)</f>
        <v>0.8229</v>
      </c>
      <c r="BK175" s="21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0.2285</v>
      </c>
      <c r="BL175" s="21" cm="1">
        <f t="array" ref="BL175">1+$B$13+VLOOKUP($R175,武学奇术!$A:$ZZ,18,FALSE)+SUM(_xlfn.XLOOKUP(S175:AG175,增益!$A:$A,增益!$R:$R,0))</f>
        <v>1.5</v>
      </c>
      <c r="BM175" s="21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0.4195</v>
      </c>
      <c r="BN175" s="21" cm="1">
        <f t="array" ref="BN175">1+$B$14+VLOOKUP($R175,武学奇术!$A:$ZZ,20,FALSE)+SUM(_xlfn.XLOOKUP(S175:AG175,增益!$A:$A,增益!$T:$T,0))</f>
        <v>1.402</v>
      </c>
      <c r="BO175" s="21">
        <f t="shared" si="83"/>
        <v>0.18803265</v>
      </c>
      <c r="BP175" s="21">
        <f t="shared" si="84"/>
        <v>0.2896608</v>
      </c>
      <c r="BQ175" s="21">
        <f>IF(VLOOKUP($R175,武学奇术!$A:$ZZ,22,FALSE)=1,0,(1-$BJ175))*(1-$BM175)</f>
        <v>0.10280655</v>
      </c>
      <c r="BR175" s="21" cm="1">
        <f t="array" ref="BR175">SUM(_xlfn.XLOOKUP(S175:AG175,增益!$A:$A,增益!$W:$W,0))+$I$5</f>
        <v>0.06</v>
      </c>
    </row>
    <row r="176" spans="11:70">
      <c r="K176" s="24">
        <f>$L176*VLOOKUP($R176,武学奇术!$A:$ZZ,31,FALSE)</f>
        <v>3088.57762205964</v>
      </c>
      <c r="L176" s="24">
        <f t="shared" si="74"/>
        <v>6177.15524411927</v>
      </c>
      <c r="M176" s="24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5458.19675884573</v>
      </c>
      <c r="N176" s="24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8946.86091404935</v>
      </c>
      <c r="O176" s="24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3638.79783923049</v>
      </c>
      <c r="P176" s="24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1692.78861600819</v>
      </c>
      <c r="Q176" s="31">
        <v>1</v>
      </c>
      <c r="R176" s="32" t="s">
        <v>194</v>
      </c>
      <c r="S176" s="32" t="s">
        <v>87</v>
      </c>
      <c r="T176" s="32" t="s">
        <v>96</v>
      </c>
      <c r="U176" s="32" t="s">
        <v>73</v>
      </c>
      <c r="V176" s="32" t="s">
        <v>73</v>
      </c>
      <c r="W176" s="32" t="s">
        <v>73</v>
      </c>
      <c r="X176" s="32" t="s">
        <v>127</v>
      </c>
      <c r="Y176" s="32" t="s">
        <v>73</v>
      </c>
      <c r="Z176" s="32" t="s">
        <v>73</v>
      </c>
      <c r="AA176" s="32" t="s">
        <v>81</v>
      </c>
      <c r="AB176" s="32" t="s">
        <v>75</v>
      </c>
      <c r="AC176" s="32" t="s">
        <v>89</v>
      </c>
      <c r="AD176" s="32" t="s">
        <v>82</v>
      </c>
      <c r="AE176" s="32" t="s">
        <v>73</v>
      </c>
      <c r="AF176" s="32" t="s">
        <v>73</v>
      </c>
      <c r="AG176" s="32" t="s">
        <v>178</v>
      </c>
      <c r="AH176" t="str">
        <f>VLOOKUP($R176,武学奇术!$A:$ZZ,25,FALSE)</f>
        <v>单体奇术</v>
      </c>
      <c r="AI176" s="21">
        <f>VLOOKUP($R176,武学奇术!$A:$ZZ,26,FALSE)</f>
        <v>0.236</v>
      </c>
      <c r="AJ176" s="22">
        <f>VLOOKUP($R176,武学奇术!$A:$ZZ,27,FALSE)*(1+IF(OR($AH176=$F$4,$AH176=$F$5),$B$22,0))</f>
        <v>46</v>
      </c>
      <c r="AK176" s="21">
        <f>VLOOKUP($R176,武学奇术!$A:$ZZ,28,FALSE)</f>
        <v>0.354</v>
      </c>
      <c r="AL176" s="22">
        <f>VLOOKUP($R176,武学奇术!$A:$ZZ,29,FALSE)*(1+IF(OR($AH176=$F$4,$AH176=$F$5),$B$22,0))</f>
        <v>0</v>
      </c>
      <c r="AM176" s="21" cm="1">
        <f t="array" ref="AM176">$G$3+IFERROR(VLOOKUP($AH176,$F$4:$G$7,2,FALSE),0)+VLOOKUP($R176,武学奇术!$A:$ZZ,2,FALSE)+SUM(_xlfn.XLOOKUP($S176:$AG176,增益!$A:$A,增益!$B:$B,0))</f>
        <v>0.783</v>
      </c>
      <c r="AN176" s="21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1831.48</v>
      </c>
      <c r="AP176" cm="1">
        <f t="array" ref="AP176">$E$10*(1+$AN176)+VLOOKUP($R176,武学奇术!$A:$ZZ,4,FALSE)+SUM(_xlfn.XLOOKUP($S176:$AG176,增益!$A:$A,增益!$D:$D,0))-$I$2</f>
        <v>7763.56</v>
      </c>
      <c r="AQ176" s="26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0.294</v>
      </c>
      <c r="AR176" s="26" cm="1">
        <f t="array" ref="AR176">$G$10+VLOOKUP($R176,武学奇术!$A:$ZZ,7,FALSE)+SUM(_xlfn.XLOOKUP(S176:AG176,增益!$A:$A,增益!$G:$G,0))</f>
        <v>0</v>
      </c>
      <c r="AS176" s="21" cm="1">
        <f t="array" ref="AS176">VLOOKUP($R176,武学奇术!$A:$ZZ,8,FALSE)+SUM(_xlfn.XLOOKUP(S176:AG176,增益!$A:$A,增益!$H:$H,0))</f>
        <v>0</v>
      </c>
      <c r="AT176">
        <f t="shared" si="75"/>
        <v>680.02</v>
      </c>
      <c r="AU176">
        <f t="shared" si="76"/>
        <v>1288.54</v>
      </c>
      <c r="AV176" s="26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26" cm="1">
        <f t="array" ref="AW176">$G$11+VLOOKUP($R176,武学奇术!$A:$ZZ,10,FALSE)+SUM(_xlfn.XLOOKUP(S176:AG176,增益!$A:$A,增益!$J:$J,0))</f>
        <v>0.15</v>
      </c>
      <c r="AX176">
        <f t="shared" si="77"/>
        <v>0</v>
      </c>
      <c r="AY176">
        <f t="shared" si="78"/>
        <v>0</v>
      </c>
      <c r="AZ176" s="26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26" cm="1">
        <f t="array" ref="BA176">$G$12+VLOOKUP($R176,武学奇术!$A:$ZZ,12,FALSE)+SUM(_xlfn.XLOOKUP(S176:AG176,增益!$A:$A,增益!$L:$L,0))</f>
        <v>0</v>
      </c>
      <c r="BB176">
        <f t="shared" si="79"/>
        <v>0</v>
      </c>
      <c r="BC176">
        <f t="shared" si="80"/>
        <v>0</v>
      </c>
      <c r="BD176" s="26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26" cm="1">
        <f t="array" ref="BE176">$G$13+VLOOKUP($R176,武学奇术!$A:$ZZ,14,FALSE)+SUM(_xlfn.XLOOKUP(S176:AG176,增益!$A:$A,增益!$N:$N,0))</f>
        <v>0</v>
      </c>
      <c r="BF176">
        <f t="shared" si="81"/>
        <v>0</v>
      </c>
      <c r="BG176">
        <f t="shared" si="82"/>
        <v>0</v>
      </c>
      <c r="BH176" s="26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26" cm="1">
        <f t="array" ref="BI176">$G$14+VLOOKUP($R176,武学奇术!$A:$ZZ,16,FALSE)+SUM(_xlfn.XLOOKUP(S176:AG176,增益!$A:$A,增益!$P:$P,0))</f>
        <v>0</v>
      </c>
      <c r="BJ176" s="21">
        <f>MIN(IF(VLOOKUP($R176,武学奇术!$A:$ZZ,23,FALSE)=1,100%,$B$8),100%)</f>
        <v>0.8229</v>
      </c>
      <c r="BK176" s="21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0.2285</v>
      </c>
      <c r="BL176" s="21" cm="1">
        <f t="array" ref="BL176">1+$B$13+VLOOKUP($R176,武学奇术!$A:$ZZ,18,FALSE)+SUM(_xlfn.XLOOKUP(S176:AG176,增益!$A:$A,增益!$R:$R,0))</f>
        <v>1.5</v>
      </c>
      <c r="BM176" s="21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0.4495</v>
      </c>
      <c r="BN176" s="21" cm="1">
        <f t="array" ref="BN176">1+$B$14+VLOOKUP($R176,武学奇术!$A:$ZZ,20,FALSE)+SUM(_xlfn.XLOOKUP(S176:AG176,增益!$A:$A,增益!$T:$T,0))</f>
        <v>1.602</v>
      </c>
      <c r="BO176" s="21">
        <f t="shared" si="83"/>
        <v>0.18803265</v>
      </c>
      <c r="BP176" s="21">
        <f t="shared" si="84"/>
        <v>0.2649738</v>
      </c>
      <c r="BQ176" s="21">
        <f>IF(VLOOKUP($R176,武学奇术!$A:$ZZ,22,FALSE)=1,0,(1-$BJ176))*(1-$BM176)</f>
        <v>0.09749355</v>
      </c>
      <c r="BR176" s="21" cm="1">
        <f t="array" ref="BR176">SUM(_xlfn.XLOOKUP(S176:AG176,增益!$A:$A,增益!$W:$W,0))+$I$5</f>
        <v>0.06</v>
      </c>
    </row>
    <row r="177" spans="11:70">
      <c r="K177" s="24">
        <f>$L177*VLOOKUP($R177,武学奇术!$A:$ZZ,31,FALSE)</f>
        <v>6523.60253767616</v>
      </c>
      <c r="L177" s="24">
        <f t="shared" si="74"/>
        <v>13047.2050753523</v>
      </c>
      <c r="M177" s="24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11528.6421726377</v>
      </c>
      <c r="N177" s="24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18897.2956827313</v>
      </c>
      <c r="O177" s="24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7685.76144842513</v>
      </c>
      <c r="P177" s="24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3575.45817604423</v>
      </c>
      <c r="Q177" s="31">
        <v>2</v>
      </c>
      <c r="R177" s="32" t="s">
        <v>194</v>
      </c>
      <c r="S177" s="32" t="s">
        <v>87</v>
      </c>
      <c r="T177" s="32" t="s">
        <v>96</v>
      </c>
      <c r="U177" s="32" t="s">
        <v>195</v>
      </c>
      <c r="V177" s="32" t="s">
        <v>73</v>
      </c>
      <c r="W177" s="32" t="s">
        <v>73</v>
      </c>
      <c r="X177" s="32" t="s">
        <v>127</v>
      </c>
      <c r="Y177" s="32" t="s">
        <v>73</v>
      </c>
      <c r="Z177" s="32" t="s">
        <v>73</v>
      </c>
      <c r="AA177" s="32" t="s">
        <v>81</v>
      </c>
      <c r="AB177" s="32" t="s">
        <v>75</v>
      </c>
      <c r="AC177" s="32" t="s">
        <v>89</v>
      </c>
      <c r="AD177" s="32" t="s">
        <v>82</v>
      </c>
      <c r="AE177" s="32" t="s">
        <v>73</v>
      </c>
      <c r="AF177" s="32" t="s">
        <v>73</v>
      </c>
      <c r="AG177" s="32" t="s">
        <v>178</v>
      </c>
      <c r="AH177" t="str">
        <f>VLOOKUP($R177,武学奇术!$A:$ZZ,25,FALSE)</f>
        <v>单体奇术</v>
      </c>
      <c r="AI177" s="21">
        <f>VLOOKUP($R177,武学奇术!$A:$ZZ,26,FALSE)</f>
        <v>0.236</v>
      </c>
      <c r="AJ177" s="22">
        <f>VLOOKUP($R177,武学奇术!$A:$ZZ,27,FALSE)*(1+IF(OR($AH177=$F$4,$AH177=$F$5),$B$22,0))</f>
        <v>46</v>
      </c>
      <c r="AK177" s="21">
        <f>VLOOKUP($R177,武学奇术!$A:$ZZ,28,FALSE)</f>
        <v>0.354</v>
      </c>
      <c r="AL177" s="22">
        <f>VLOOKUP($R177,武学奇术!$A:$ZZ,29,FALSE)*(1+IF(OR($AH177=$F$4,$AH177=$F$5),$B$22,0))</f>
        <v>0</v>
      </c>
      <c r="AM177" s="21" cm="1">
        <f t="array" ref="AM177">$G$3+IFERROR(VLOOKUP($AH177,$F$4:$G$7,2,FALSE),0)+VLOOKUP($R177,武学奇术!$A:$ZZ,2,FALSE)+SUM(_xlfn.XLOOKUP($S177:$AG177,增益!$A:$A,增益!$B:$B,0))</f>
        <v>0.883</v>
      </c>
      <c r="AN177" s="21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1831.48</v>
      </c>
      <c r="AP177" cm="1">
        <f t="array" ref="AP177">$E$10*(1+$AN177)+VLOOKUP($R177,武学奇术!$A:$ZZ,4,FALSE)+SUM(_xlfn.XLOOKUP($S177:$AG177,增益!$A:$A,增益!$D:$D,0))-$I$2</f>
        <v>7763.56</v>
      </c>
      <c r="AQ177" s="26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0.294</v>
      </c>
      <c r="AR177" s="26" cm="1">
        <f t="array" ref="AR177">$G$10+VLOOKUP($R177,武学奇术!$A:$ZZ,7,FALSE)+SUM(_xlfn.XLOOKUP(S177:AG177,增益!$A:$A,增益!$G:$G,0))</f>
        <v>0</v>
      </c>
      <c r="AS177" s="21" cm="1">
        <f t="array" ref="AS177">VLOOKUP($R177,武学奇术!$A:$ZZ,8,FALSE)+SUM(_xlfn.XLOOKUP(S177:AG177,增益!$A:$A,增益!$H:$H,0))</f>
        <v>0</v>
      </c>
      <c r="AT177">
        <f t="shared" si="75"/>
        <v>680.02</v>
      </c>
      <c r="AU177">
        <f t="shared" si="76"/>
        <v>1288.54</v>
      </c>
      <c r="AV177" s="26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26" cm="1">
        <f t="array" ref="AW177">$G$11+VLOOKUP($R177,武学奇术!$A:$ZZ,10,FALSE)+SUM(_xlfn.XLOOKUP(S177:AG177,增益!$A:$A,增益!$J:$J,0))</f>
        <v>0.15</v>
      </c>
      <c r="AX177">
        <f t="shared" si="77"/>
        <v>0</v>
      </c>
      <c r="AY177">
        <f t="shared" si="78"/>
        <v>0</v>
      </c>
      <c r="AZ177" s="26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26" cm="1">
        <f t="array" ref="BA177">$G$12+VLOOKUP($R177,武学奇术!$A:$ZZ,12,FALSE)+SUM(_xlfn.XLOOKUP(S177:AG177,增益!$A:$A,增益!$L:$L,0))</f>
        <v>0</v>
      </c>
      <c r="BB177">
        <f t="shared" si="79"/>
        <v>0</v>
      </c>
      <c r="BC177">
        <f t="shared" si="80"/>
        <v>0</v>
      </c>
      <c r="BD177" s="26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26" cm="1">
        <f t="array" ref="BE177">$G$13+VLOOKUP($R177,武学奇术!$A:$ZZ,14,FALSE)+SUM(_xlfn.XLOOKUP(S177:AG177,增益!$A:$A,增益!$N:$N,0))</f>
        <v>0</v>
      </c>
      <c r="BF177">
        <f t="shared" si="81"/>
        <v>0</v>
      </c>
      <c r="BG177">
        <f t="shared" si="82"/>
        <v>0</v>
      </c>
      <c r="BH177" s="26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26" cm="1">
        <f t="array" ref="BI177">$G$14+VLOOKUP($R177,武学奇术!$A:$ZZ,16,FALSE)+SUM(_xlfn.XLOOKUP(S177:AG177,增益!$A:$A,增益!$P:$P,0))</f>
        <v>0</v>
      </c>
      <c r="BJ177" s="21">
        <f>MIN(IF(VLOOKUP($R177,武学奇术!$A:$ZZ,23,FALSE)=1,100%,$B$8),100%)</f>
        <v>0.8229</v>
      </c>
      <c r="BK177" s="21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0.2285</v>
      </c>
      <c r="BL177" s="21" cm="1">
        <f t="array" ref="BL177">1+$B$13+VLOOKUP($R177,武学奇术!$A:$ZZ,18,FALSE)+SUM(_xlfn.XLOOKUP(S177:AG177,增益!$A:$A,增益!$R:$R,0))</f>
        <v>1.5</v>
      </c>
      <c r="BM177" s="21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0.4495</v>
      </c>
      <c r="BN177" s="21" cm="1">
        <f t="array" ref="BN177">1+$B$14+VLOOKUP($R177,武学奇术!$A:$ZZ,20,FALSE)+SUM(_xlfn.XLOOKUP(S177:AG177,增益!$A:$A,增益!$T:$T,0))</f>
        <v>1.602</v>
      </c>
      <c r="BO177" s="21">
        <f t="shared" si="83"/>
        <v>0.18803265</v>
      </c>
      <c r="BP177" s="21">
        <f t="shared" si="84"/>
        <v>0.2649738</v>
      </c>
      <c r="BQ177" s="21">
        <f>IF(VLOOKUP($R177,武学奇术!$A:$ZZ,22,FALSE)=1,0,(1-$BJ177))*(1-$BM177)</f>
        <v>0.09749355</v>
      </c>
      <c r="BR177" s="21" cm="1">
        <f t="array" ref="BR177">SUM(_xlfn.XLOOKUP(S177:AG177,增益!$A:$A,增益!$W:$W,0))+$I$5</f>
        <v>0.06</v>
      </c>
    </row>
    <row r="178" spans="11:70">
      <c r="K178" s="24">
        <f>$L178*VLOOKUP($R178,武学奇术!$A:$ZZ,31,FALSE)</f>
        <v>7216.49712478993</v>
      </c>
      <c r="L178" s="24">
        <f t="shared" si="74"/>
        <v>14432.9942495799</v>
      </c>
      <c r="M178" s="24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12753.1394825302</v>
      </c>
      <c r="N178" s="24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20904.4433919964</v>
      </c>
      <c r="O178" s="24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8502.09298835345</v>
      </c>
      <c r="P178" s="24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3955.22006409991</v>
      </c>
      <c r="Q178" s="31">
        <v>2</v>
      </c>
      <c r="R178" s="32" t="s">
        <v>194</v>
      </c>
      <c r="S178" s="32" t="s">
        <v>87</v>
      </c>
      <c r="T178" s="32" t="s">
        <v>96</v>
      </c>
      <c r="U178" s="32" t="s">
        <v>196</v>
      </c>
      <c r="V178" s="32" t="s">
        <v>73</v>
      </c>
      <c r="W178" s="32" t="s">
        <v>73</v>
      </c>
      <c r="X178" s="32" t="s">
        <v>127</v>
      </c>
      <c r="Y178" s="32" t="s">
        <v>73</v>
      </c>
      <c r="Z178" s="32" t="s">
        <v>73</v>
      </c>
      <c r="AA178" s="32" t="s">
        <v>81</v>
      </c>
      <c r="AB178" s="32" t="s">
        <v>75</v>
      </c>
      <c r="AC178" s="32" t="s">
        <v>89</v>
      </c>
      <c r="AD178" s="32" t="s">
        <v>82</v>
      </c>
      <c r="AE178" s="32" t="s">
        <v>73</v>
      </c>
      <c r="AF178" s="32" t="s">
        <v>73</v>
      </c>
      <c r="AG178" s="32" t="s">
        <v>178</v>
      </c>
      <c r="AH178" t="str">
        <f>VLOOKUP($R178,武学奇术!$A:$ZZ,25,FALSE)</f>
        <v>单体奇术</v>
      </c>
      <c r="AI178" s="21">
        <f>VLOOKUP($R178,武学奇术!$A:$ZZ,26,FALSE)</f>
        <v>0.236</v>
      </c>
      <c r="AJ178" s="22">
        <f>VLOOKUP($R178,武学奇术!$A:$ZZ,27,FALSE)*(1+IF(OR($AH178=$F$4,$AH178=$F$5),$B$22,0))</f>
        <v>46</v>
      </c>
      <c r="AK178" s="21">
        <f>VLOOKUP($R178,武学奇术!$A:$ZZ,28,FALSE)</f>
        <v>0.354</v>
      </c>
      <c r="AL178" s="22">
        <f>VLOOKUP($R178,武学奇术!$A:$ZZ,29,FALSE)*(1+IF(OR($AH178=$F$4,$AH178=$F$5),$B$22,0))</f>
        <v>0</v>
      </c>
      <c r="AM178" s="21" cm="1">
        <f t="array" ref="AM178">$G$3+IFERROR(VLOOKUP($AH178,$F$4:$G$7,2,FALSE),0)+VLOOKUP($R178,武学奇术!$A:$ZZ,2,FALSE)+SUM(_xlfn.XLOOKUP($S178:$AG178,增益!$A:$A,增益!$B:$B,0))</f>
        <v>1.083</v>
      </c>
      <c r="AN178" s="21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1831.48</v>
      </c>
      <c r="AP178" cm="1">
        <f t="array" ref="AP178">$E$10*(1+$AN178)+VLOOKUP($R178,武学奇术!$A:$ZZ,4,FALSE)+SUM(_xlfn.XLOOKUP($S178:$AG178,增益!$A:$A,增益!$D:$D,0))-$I$2</f>
        <v>7763.56</v>
      </c>
      <c r="AQ178" s="26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0.294</v>
      </c>
      <c r="AR178" s="26" cm="1">
        <f t="array" ref="AR178">$G$10+VLOOKUP($R178,武学奇术!$A:$ZZ,7,FALSE)+SUM(_xlfn.XLOOKUP(S178:AG178,增益!$A:$A,增益!$G:$G,0))</f>
        <v>0</v>
      </c>
      <c r="AS178" s="21" cm="1">
        <f t="array" ref="AS178">VLOOKUP($R178,武学奇术!$A:$ZZ,8,FALSE)+SUM(_xlfn.XLOOKUP(S178:AG178,增益!$A:$A,增益!$H:$H,0))</f>
        <v>0</v>
      </c>
      <c r="AT178">
        <f t="shared" si="75"/>
        <v>680.02</v>
      </c>
      <c r="AU178">
        <f t="shared" si="76"/>
        <v>1288.54</v>
      </c>
      <c r="AV178" s="26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26" cm="1">
        <f t="array" ref="AW178">$G$11+VLOOKUP($R178,武学奇术!$A:$ZZ,10,FALSE)+SUM(_xlfn.XLOOKUP(S178:AG178,增益!$A:$A,增益!$J:$J,0))</f>
        <v>0.15</v>
      </c>
      <c r="AX178">
        <f t="shared" si="77"/>
        <v>0</v>
      </c>
      <c r="AY178">
        <f t="shared" si="78"/>
        <v>0</v>
      </c>
      <c r="AZ178" s="26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26" cm="1">
        <f t="array" ref="BA178">$G$12+VLOOKUP($R178,武学奇术!$A:$ZZ,12,FALSE)+SUM(_xlfn.XLOOKUP(S178:AG178,增益!$A:$A,增益!$L:$L,0))</f>
        <v>0</v>
      </c>
      <c r="BB178">
        <f t="shared" si="79"/>
        <v>0</v>
      </c>
      <c r="BC178">
        <f t="shared" si="80"/>
        <v>0</v>
      </c>
      <c r="BD178" s="26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26" cm="1">
        <f t="array" ref="BE178">$G$13+VLOOKUP($R178,武学奇术!$A:$ZZ,14,FALSE)+SUM(_xlfn.XLOOKUP(S178:AG178,增益!$A:$A,增益!$N:$N,0))</f>
        <v>0</v>
      </c>
      <c r="BF178">
        <f t="shared" si="81"/>
        <v>0</v>
      </c>
      <c r="BG178">
        <f t="shared" si="82"/>
        <v>0</v>
      </c>
      <c r="BH178" s="26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26" cm="1">
        <f t="array" ref="BI178">$G$14+VLOOKUP($R178,武学奇术!$A:$ZZ,16,FALSE)+SUM(_xlfn.XLOOKUP(S178:AG178,增益!$A:$A,增益!$P:$P,0))</f>
        <v>0</v>
      </c>
      <c r="BJ178" s="21">
        <f>MIN(IF(VLOOKUP($R178,武学奇术!$A:$ZZ,23,FALSE)=1,100%,$B$8),100%)</f>
        <v>0.8229</v>
      </c>
      <c r="BK178" s="21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0.2285</v>
      </c>
      <c r="BL178" s="21" cm="1">
        <f t="array" ref="BL178">1+$B$13+VLOOKUP($R178,武学奇术!$A:$ZZ,18,FALSE)+SUM(_xlfn.XLOOKUP(S178:AG178,增益!$A:$A,增益!$R:$R,0))</f>
        <v>1.5</v>
      </c>
      <c r="BM178" s="21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0.4495</v>
      </c>
      <c r="BN178" s="21" cm="1">
        <f t="array" ref="BN178">1+$B$14+VLOOKUP($R178,武学奇术!$A:$ZZ,20,FALSE)+SUM(_xlfn.XLOOKUP(S178:AG178,增益!$A:$A,增益!$T:$T,0))</f>
        <v>1.602</v>
      </c>
      <c r="BO178" s="21">
        <f t="shared" si="83"/>
        <v>0.18803265</v>
      </c>
      <c r="BP178" s="21">
        <f t="shared" si="84"/>
        <v>0.2649738</v>
      </c>
      <c r="BQ178" s="21">
        <f>IF(VLOOKUP($R178,武学奇术!$A:$ZZ,22,FALSE)=1,0,(1-$BJ178))*(1-$BM178)</f>
        <v>0.09749355</v>
      </c>
      <c r="BR178" s="21" cm="1">
        <f t="array" ref="BR178">SUM(_xlfn.XLOOKUP(S178:AG178,增益!$A:$A,增益!$W:$W,0))+$I$5</f>
        <v>0.06</v>
      </c>
    </row>
    <row r="179" spans="11:70">
      <c r="K179" s="24">
        <f>$L179*VLOOKUP($R179,武学奇术!$A:$ZZ,31,FALSE)</f>
        <v>15818.7834238074</v>
      </c>
      <c r="L179" s="24">
        <f t="shared" si="74"/>
        <v>31637.5668476148</v>
      </c>
      <c r="M179" s="24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27955.2735848453</v>
      </c>
      <c r="N179" s="24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45823.1822025231</v>
      </c>
      <c r="O179" s="24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18636.8490565636</v>
      </c>
      <c r="P179" s="24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8669.96390431118</v>
      </c>
      <c r="Q179" s="31">
        <v>4</v>
      </c>
      <c r="R179" s="32" t="s">
        <v>194</v>
      </c>
      <c r="S179" s="32" t="s">
        <v>87</v>
      </c>
      <c r="T179" s="32" t="s">
        <v>96</v>
      </c>
      <c r="U179" s="32" t="s">
        <v>97</v>
      </c>
      <c r="V179" s="32" t="s">
        <v>73</v>
      </c>
      <c r="W179" s="32" t="s">
        <v>73</v>
      </c>
      <c r="X179" s="32" t="s">
        <v>127</v>
      </c>
      <c r="Y179" s="32" t="s">
        <v>73</v>
      </c>
      <c r="Z179" s="32" t="s">
        <v>73</v>
      </c>
      <c r="AA179" s="32" t="s">
        <v>81</v>
      </c>
      <c r="AB179" s="32" t="s">
        <v>75</v>
      </c>
      <c r="AC179" s="32" t="s">
        <v>89</v>
      </c>
      <c r="AD179" s="32" t="s">
        <v>82</v>
      </c>
      <c r="AE179" s="32" t="s">
        <v>73</v>
      </c>
      <c r="AF179" s="32" t="s">
        <v>73</v>
      </c>
      <c r="AG179" s="32" t="s">
        <v>178</v>
      </c>
      <c r="AH179" t="str">
        <f>VLOOKUP($R179,武学奇术!$A:$ZZ,25,FALSE)</f>
        <v>单体奇术</v>
      </c>
      <c r="AI179" s="21">
        <f>VLOOKUP($R179,武学奇术!$A:$ZZ,26,FALSE)</f>
        <v>0.236</v>
      </c>
      <c r="AJ179" s="22">
        <f>VLOOKUP($R179,武学奇术!$A:$ZZ,27,FALSE)*(1+IF(OR($AH179=$F$4,$AH179=$F$5),$B$22,0))</f>
        <v>46</v>
      </c>
      <c r="AK179" s="21">
        <f>VLOOKUP($R179,武学奇术!$A:$ZZ,28,FALSE)</f>
        <v>0.354</v>
      </c>
      <c r="AL179" s="22">
        <f>VLOOKUP($R179,武学奇术!$A:$ZZ,29,FALSE)*(1+IF(OR($AH179=$F$4,$AH179=$F$5),$B$22,0))</f>
        <v>0</v>
      </c>
      <c r="AM179" s="21" cm="1">
        <f t="array" ref="AM179">$G$3+IFERROR(VLOOKUP($AH179,$F$4:$G$7,2,FALSE),0)+VLOOKUP($R179,武学奇术!$A:$ZZ,2,FALSE)+SUM(_xlfn.XLOOKUP($S179:$AG179,增益!$A:$A,增益!$B:$B,0))</f>
        <v>1.283</v>
      </c>
      <c r="AN179" s="21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1831.48</v>
      </c>
      <c r="AP179" cm="1">
        <f t="array" ref="AP179">$E$10*(1+$AN179)+VLOOKUP($R179,武学奇术!$A:$ZZ,4,FALSE)+SUM(_xlfn.XLOOKUP($S179:$AG179,增益!$A:$A,增益!$D:$D,0))-$I$2</f>
        <v>7763.56</v>
      </c>
      <c r="AQ179" s="26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0.294</v>
      </c>
      <c r="AR179" s="26" cm="1">
        <f t="array" ref="AR179">$G$10+VLOOKUP($R179,武学奇术!$A:$ZZ,7,FALSE)+SUM(_xlfn.XLOOKUP(S179:AG179,增益!$A:$A,增益!$G:$G,0))</f>
        <v>0</v>
      </c>
      <c r="AS179" s="21" cm="1">
        <f t="array" ref="AS179">VLOOKUP($R179,武学奇术!$A:$ZZ,8,FALSE)+SUM(_xlfn.XLOOKUP(S179:AG179,增益!$A:$A,增益!$H:$H,0))</f>
        <v>0</v>
      </c>
      <c r="AT179">
        <f t="shared" si="75"/>
        <v>680.02</v>
      </c>
      <c r="AU179">
        <f t="shared" si="76"/>
        <v>1288.54</v>
      </c>
      <c r="AV179" s="26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26" cm="1">
        <f t="array" ref="AW179">$G$11+VLOOKUP($R179,武学奇术!$A:$ZZ,10,FALSE)+SUM(_xlfn.XLOOKUP(S179:AG179,增益!$A:$A,增益!$J:$J,0))</f>
        <v>0.15</v>
      </c>
      <c r="AX179">
        <f t="shared" si="77"/>
        <v>0</v>
      </c>
      <c r="AY179">
        <f t="shared" si="78"/>
        <v>0</v>
      </c>
      <c r="AZ179" s="26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26" cm="1">
        <f t="array" ref="BA179">$G$12+VLOOKUP($R179,武学奇术!$A:$ZZ,12,FALSE)+SUM(_xlfn.XLOOKUP(S179:AG179,增益!$A:$A,增益!$L:$L,0))</f>
        <v>0</v>
      </c>
      <c r="BB179">
        <f t="shared" si="79"/>
        <v>0</v>
      </c>
      <c r="BC179">
        <f t="shared" si="80"/>
        <v>0</v>
      </c>
      <c r="BD179" s="26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26" cm="1">
        <f t="array" ref="BE179">$G$13+VLOOKUP($R179,武学奇术!$A:$ZZ,14,FALSE)+SUM(_xlfn.XLOOKUP(S179:AG179,增益!$A:$A,增益!$N:$N,0))</f>
        <v>0</v>
      </c>
      <c r="BF179">
        <f t="shared" si="81"/>
        <v>0</v>
      </c>
      <c r="BG179">
        <f t="shared" si="82"/>
        <v>0</v>
      </c>
      <c r="BH179" s="26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26" cm="1">
        <f t="array" ref="BI179">$G$14+VLOOKUP($R179,武学奇术!$A:$ZZ,16,FALSE)+SUM(_xlfn.XLOOKUP(S179:AG179,增益!$A:$A,增益!$P:$P,0))</f>
        <v>0</v>
      </c>
      <c r="BJ179" s="21">
        <f>MIN(IF(VLOOKUP($R179,武学奇术!$A:$ZZ,23,FALSE)=1,100%,$B$8),100%)</f>
        <v>0.8229</v>
      </c>
      <c r="BK179" s="21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0.2285</v>
      </c>
      <c r="BL179" s="21" cm="1">
        <f t="array" ref="BL179">1+$B$13+VLOOKUP($R179,武学奇术!$A:$ZZ,18,FALSE)+SUM(_xlfn.XLOOKUP(S179:AG179,增益!$A:$A,增益!$R:$R,0))</f>
        <v>1.5</v>
      </c>
      <c r="BM179" s="21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0.4495</v>
      </c>
      <c r="BN179" s="21" cm="1">
        <f t="array" ref="BN179">1+$B$14+VLOOKUP($R179,武学奇术!$A:$ZZ,20,FALSE)+SUM(_xlfn.XLOOKUP(S179:AG179,增益!$A:$A,增益!$T:$T,0))</f>
        <v>1.602</v>
      </c>
      <c r="BO179" s="21">
        <f t="shared" si="83"/>
        <v>0.18803265</v>
      </c>
      <c r="BP179" s="21">
        <f t="shared" si="84"/>
        <v>0.2649738</v>
      </c>
      <c r="BQ179" s="21">
        <f>IF(VLOOKUP($R179,武学奇术!$A:$ZZ,22,FALSE)=1,0,(1-$BJ179))*(1-$BM179)</f>
        <v>0.09749355</v>
      </c>
      <c r="BR179" s="21" cm="1">
        <f t="array" ref="BR179">SUM(_xlfn.XLOOKUP(S179:AG179,增益!$A:$A,增益!$W:$W,0))+$I$5</f>
        <v>0.06</v>
      </c>
    </row>
    <row r="180" spans="11:70">
      <c r="K180" s="24">
        <f>$L180*VLOOKUP($R180,武学奇术!$A:$ZZ,31,FALSE)</f>
        <v>11910.9819969668</v>
      </c>
      <c r="L180" s="24">
        <f t="shared" si="74"/>
        <v>23821.9639939336</v>
      </c>
      <c r="M180" s="24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21069.5489211726</v>
      </c>
      <c r="N180" s="24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34477.4907582436</v>
      </c>
      <c r="O180" s="24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14046.3659474484</v>
      </c>
      <c r="P180" s="24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6571.20208325914</v>
      </c>
      <c r="Q180" s="31">
        <v>3</v>
      </c>
      <c r="R180" s="32" t="s">
        <v>194</v>
      </c>
      <c r="S180" s="32" t="s">
        <v>87</v>
      </c>
      <c r="T180" s="32" t="s">
        <v>96</v>
      </c>
      <c r="U180" s="32" t="s">
        <v>97</v>
      </c>
      <c r="V180" s="32" t="s">
        <v>73</v>
      </c>
      <c r="W180" s="32" t="s">
        <v>111</v>
      </c>
      <c r="X180" s="32" t="s">
        <v>127</v>
      </c>
      <c r="Y180" s="32" t="s">
        <v>73</v>
      </c>
      <c r="Z180" s="32" t="s">
        <v>73</v>
      </c>
      <c r="AA180" s="32" t="s">
        <v>81</v>
      </c>
      <c r="AB180" s="32" t="s">
        <v>75</v>
      </c>
      <c r="AC180" s="32" t="s">
        <v>89</v>
      </c>
      <c r="AD180" s="32" t="s">
        <v>82</v>
      </c>
      <c r="AE180" s="32" t="s">
        <v>73</v>
      </c>
      <c r="AF180" s="32" t="s">
        <v>73</v>
      </c>
      <c r="AG180" s="32" t="s">
        <v>178</v>
      </c>
      <c r="AH180" t="str">
        <f>VLOOKUP($R180,武学奇术!$A:$ZZ,25,FALSE)</f>
        <v>单体奇术</v>
      </c>
      <c r="AI180" s="21">
        <f>VLOOKUP($R180,武学奇术!$A:$ZZ,26,FALSE)</f>
        <v>0.236</v>
      </c>
      <c r="AJ180" s="22">
        <f>VLOOKUP($R180,武学奇术!$A:$ZZ,27,FALSE)*(1+IF(OR($AH180=$F$4,$AH180=$F$5),$B$22,0))</f>
        <v>46</v>
      </c>
      <c r="AK180" s="21">
        <f>VLOOKUP($R180,武学奇术!$A:$ZZ,28,FALSE)</f>
        <v>0.354</v>
      </c>
      <c r="AL180" s="22">
        <f>VLOOKUP($R180,武学奇术!$A:$ZZ,29,FALSE)*(1+IF(OR($AH180=$F$4,$AH180=$F$5),$B$22,0))</f>
        <v>0</v>
      </c>
      <c r="AM180" s="21" cm="1">
        <f t="array" ref="AM180">$G$3+IFERROR(VLOOKUP($AH180,$F$4:$G$7,2,FALSE),0)+VLOOKUP($R180,武学奇术!$A:$ZZ,2,FALSE)+SUM(_xlfn.XLOOKUP($S180:$AG180,增益!$A:$A,增益!$B:$B,0))</f>
        <v>1.283</v>
      </c>
      <c r="AN180" s="21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1862.48</v>
      </c>
      <c r="AP180" cm="1">
        <f t="array" ref="AP180">$E$10*(1+$AN180)+VLOOKUP($R180,武学奇术!$A:$ZZ,4,FALSE)+SUM(_xlfn.XLOOKUP($S180:$AG180,增益!$A:$A,增益!$D:$D,0))-$I$2</f>
        <v>7794.56</v>
      </c>
      <c r="AQ180" s="26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0.294</v>
      </c>
      <c r="AR180" s="26" cm="1">
        <f t="array" ref="AR180">$G$10+VLOOKUP($R180,武学奇术!$A:$ZZ,7,FALSE)+SUM(_xlfn.XLOOKUP(S180:AG180,增益!$A:$A,增益!$G:$G,0))</f>
        <v>0</v>
      </c>
      <c r="AS180" s="21" cm="1">
        <f t="array" ref="AS180">VLOOKUP($R180,武学奇术!$A:$ZZ,8,FALSE)+SUM(_xlfn.XLOOKUP(S180:AG180,增益!$A:$A,增益!$H:$H,0))</f>
        <v>0</v>
      </c>
      <c r="AT180">
        <f t="shared" si="75"/>
        <v>680.02</v>
      </c>
      <c r="AU180">
        <f t="shared" si="76"/>
        <v>1288.54</v>
      </c>
      <c r="AV180" s="26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26" cm="1">
        <f t="array" ref="AW180">$G$11+VLOOKUP($R180,武学奇术!$A:$ZZ,10,FALSE)+SUM(_xlfn.XLOOKUP(S180:AG180,增益!$A:$A,增益!$J:$J,0))</f>
        <v>0.15</v>
      </c>
      <c r="AX180">
        <f t="shared" si="77"/>
        <v>0</v>
      </c>
      <c r="AY180">
        <f t="shared" si="78"/>
        <v>0</v>
      </c>
      <c r="AZ180" s="26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26" cm="1">
        <f t="array" ref="BA180">$G$12+VLOOKUP($R180,武学奇术!$A:$ZZ,12,FALSE)+SUM(_xlfn.XLOOKUP(S180:AG180,增益!$A:$A,增益!$L:$L,0))</f>
        <v>0</v>
      </c>
      <c r="BB180">
        <f t="shared" si="79"/>
        <v>0</v>
      </c>
      <c r="BC180">
        <f t="shared" si="80"/>
        <v>0</v>
      </c>
      <c r="BD180" s="26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26" cm="1">
        <f t="array" ref="BE180">$G$13+VLOOKUP($R180,武学奇术!$A:$ZZ,14,FALSE)+SUM(_xlfn.XLOOKUP(S180:AG180,增益!$A:$A,增益!$N:$N,0))</f>
        <v>0</v>
      </c>
      <c r="BF180">
        <f t="shared" si="81"/>
        <v>0</v>
      </c>
      <c r="BG180">
        <f t="shared" si="82"/>
        <v>0</v>
      </c>
      <c r="BH180" s="26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26" cm="1">
        <f t="array" ref="BI180">$G$14+VLOOKUP($R180,武学奇术!$A:$ZZ,16,FALSE)+SUM(_xlfn.XLOOKUP(S180:AG180,增益!$A:$A,增益!$P:$P,0))</f>
        <v>0</v>
      </c>
      <c r="BJ180" s="21">
        <f>MIN(IF(VLOOKUP($R180,武学奇术!$A:$ZZ,23,FALSE)=1,100%,$B$8),100%)</f>
        <v>0.8229</v>
      </c>
      <c r="BK180" s="21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0.2285</v>
      </c>
      <c r="BL180" s="21" cm="1">
        <f t="array" ref="BL180">1+$B$13+VLOOKUP($R180,武学奇术!$A:$ZZ,18,FALSE)+SUM(_xlfn.XLOOKUP(S180:AG180,增益!$A:$A,增益!$R:$R,0))</f>
        <v>1.5</v>
      </c>
      <c r="BM180" s="21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0.4495</v>
      </c>
      <c r="BN180" s="21" cm="1">
        <f t="array" ref="BN180">1+$B$14+VLOOKUP($R180,武学奇术!$A:$ZZ,20,FALSE)+SUM(_xlfn.XLOOKUP(S180:AG180,增益!$A:$A,增益!$T:$T,0))</f>
        <v>1.602</v>
      </c>
      <c r="BO180" s="21">
        <f t="shared" si="83"/>
        <v>0.18803265</v>
      </c>
      <c r="BP180" s="21">
        <f t="shared" si="84"/>
        <v>0.2649738</v>
      </c>
      <c r="BQ180" s="21">
        <f>IF(VLOOKUP($R180,武学奇术!$A:$ZZ,22,FALSE)=1,0,(1-$BJ180))*(1-$BM180)</f>
        <v>0.09749355</v>
      </c>
      <c r="BR180" s="21" cm="1">
        <f t="array" ref="BR180">SUM(_xlfn.XLOOKUP(S180:AG180,增益!$A:$A,增益!$W:$W,0))+$I$5</f>
        <v>0.06</v>
      </c>
    </row>
    <row r="181" spans="11:70">
      <c r="K181" s="24">
        <f>$L181*VLOOKUP($R181,武学奇术!$A:$ZZ,31,FALSE)</f>
        <v>67495.5646494784</v>
      </c>
      <c r="L181" s="24">
        <f t="shared" si="74"/>
        <v>134991.129298957</v>
      </c>
      <c r="M181" s="24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119394.110553312</v>
      </c>
      <c r="N181" s="24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195372.447630047</v>
      </c>
      <c r="O181" s="24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79596.0737022077</v>
      </c>
      <c r="P181" s="24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37236.8118051351</v>
      </c>
      <c r="Q181" s="31">
        <v>17</v>
      </c>
      <c r="R181" s="32" t="s">
        <v>194</v>
      </c>
      <c r="S181" s="32" t="s">
        <v>87</v>
      </c>
      <c r="T181" s="32" t="s">
        <v>96</v>
      </c>
      <c r="U181" s="32" t="s">
        <v>97</v>
      </c>
      <c r="V181" s="32" t="s">
        <v>73</v>
      </c>
      <c r="W181" s="32" t="s">
        <v>111</v>
      </c>
      <c r="X181" s="32" t="s">
        <v>127</v>
      </c>
      <c r="Y181" s="32" t="s">
        <v>73</v>
      </c>
      <c r="Z181" s="32" t="s">
        <v>73</v>
      </c>
      <c r="AA181" s="32" t="s">
        <v>81</v>
      </c>
      <c r="AB181" s="32" t="s">
        <v>75</v>
      </c>
      <c r="AC181" s="32" t="s">
        <v>76</v>
      </c>
      <c r="AD181" s="32" t="s">
        <v>82</v>
      </c>
      <c r="AE181" s="32" t="s">
        <v>73</v>
      </c>
      <c r="AF181" s="32" t="s">
        <v>73</v>
      </c>
      <c r="AG181" s="32" t="s">
        <v>178</v>
      </c>
      <c r="AH181" t="str">
        <f>VLOOKUP($R181,武学奇术!$A:$ZZ,25,FALSE)</f>
        <v>单体奇术</v>
      </c>
      <c r="AI181" s="21">
        <f>VLOOKUP($R181,武学奇术!$A:$ZZ,26,FALSE)</f>
        <v>0.236</v>
      </c>
      <c r="AJ181" s="22">
        <f>VLOOKUP($R181,武学奇术!$A:$ZZ,27,FALSE)*(1+IF(OR($AH181=$F$4,$AH181=$F$5),$B$22,0))</f>
        <v>46</v>
      </c>
      <c r="AK181" s="21">
        <f>VLOOKUP($R181,武学奇术!$A:$ZZ,28,FALSE)</f>
        <v>0.354</v>
      </c>
      <c r="AL181" s="22">
        <f>VLOOKUP($R181,武学奇术!$A:$ZZ,29,FALSE)*(1+IF(OR($AH181=$F$4,$AH181=$F$5),$B$22,0))</f>
        <v>0</v>
      </c>
      <c r="AM181" s="21" cm="1">
        <f t="array" ref="AM181">$G$3+IFERROR(VLOOKUP($AH181,$F$4:$G$7,2,FALSE),0)+VLOOKUP($R181,武学奇术!$A:$ZZ,2,FALSE)+SUM(_xlfn.XLOOKUP($S181:$AG181,增益!$A:$A,增益!$B:$B,0))</f>
        <v>1.283</v>
      </c>
      <c r="AN181" s="21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1862.48</v>
      </c>
      <c r="AP181" cm="1">
        <f t="array" ref="AP181">$E$10*(1+$AN181)+VLOOKUP($R181,武学奇术!$A:$ZZ,4,FALSE)+SUM(_xlfn.XLOOKUP($S181:$AG181,增益!$A:$A,增益!$D:$D,0))-$I$2</f>
        <v>7794.56</v>
      </c>
      <c r="AQ181" s="26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0.294</v>
      </c>
      <c r="AR181" s="26" cm="1">
        <f t="array" ref="AR181">$G$10+VLOOKUP($R181,武学奇术!$A:$ZZ,7,FALSE)+SUM(_xlfn.XLOOKUP(S181:AG181,增益!$A:$A,增益!$G:$G,0))</f>
        <v>0</v>
      </c>
      <c r="AS181" s="21" cm="1">
        <f t="array" ref="AS181">VLOOKUP($R181,武学奇术!$A:$ZZ,8,FALSE)+SUM(_xlfn.XLOOKUP(S181:AG181,增益!$A:$A,增益!$H:$H,0))</f>
        <v>0</v>
      </c>
      <c r="AT181">
        <f t="shared" si="75"/>
        <v>680.02</v>
      </c>
      <c r="AU181">
        <f t="shared" si="76"/>
        <v>1288.54</v>
      </c>
      <c r="AV181" s="26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26" cm="1">
        <f t="array" ref="AW181">$G$11+VLOOKUP($R181,武学奇术!$A:$ZZ,10,FALSE)+SUM(_xlfn.XLOOKUP(S181:AG181,增益!$A:$A,增益!$J:$J,0))</f>
        <v>0.15</v>
      </c>
      <c r="AX181">
        <f t="shared" si="77"/>
        <v>0</v>
      </c>
      <c r="AY181">
        <f t="shared" si="78"/>
        <v>0</v>
      </c>
      <c r="AZ181" s="26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26" cm="1">
        <f t="array" ref="BA181">$G$12+VLOOKUP($R181,武学奇术!$A:$ZZ,12,FALSE)+SUM(_xlfn.XLOOKUP(S181:AG181,增益!$A:$A,增益!$L:$L,0))</f>
        <v>0</v>
      </c>
      <c r="BB181">
        <f t="shared" si="79"/>
        <v>0</v>
      </c>
      <c r="BC181">
        <f t="shared" si="80"/>
        <v>0</v>
      </c>
      <c r="BD181" s="26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26" cm="1">
        <f t="array" ref="BE181">$G$13+VLOOKUP($R181,武学奇术!$A:$ZZ,14,FALSE)+SUM(_xlfn.XLOOKUP(S181:AG181,增益!$A:$A,增益!$N:$N,0))</f>
        <v>0</v>
      </c>
      <c r="BF181">
        <f t="shared" si="81"/>
        <v>0</v>
      </c>
      <c r="BG181">
        <f t="shared" si="82"/>
        <v>0</v>
      </c>
      <c r="BH181" s="26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26" cm="1">
        <f t="array" ref="BI181">$G$14+VLOOKUP($R181,武学奇术!$A:$ZZ,16,FALSE)+SUM(_xlfn.XLOOKUP(S181:AG181,增益!$A:$A,增益!$P:$P,0))</f>
        <v>0</v>
      </c>
      <c r="BJ181" s="21">
        <f>MIN(IF(VLOOKUP($R181,武学奇术!$A:$ZZ,23,FALSE)=1,100%,$B$8),100%)</f>
        <v>0.8229</v>
      </c>
      <c r="BK181" s="21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0.2285</v>
      </c>
      <c r="BL181" s="21" cm="1">
        <f t="array" ref="BL181">1+$B$13+VLOOKUP($R181,武学奇术!$A:$ZZ,18,FALSE)+SUM(_xlfn.XLOOKUP(S181:AG181,增益!$A:$A,增益!$R:$R,0))</f>
        <v>1.5</v>
      </c>
      <c r="BM181" s="21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0.4495</v>
      </c>
      <c r="BN181" s="21" cm="1">
        <f t="array" ref="BN181">1+$B$14+VLOOKUP($R181,武学奇术!$A:$ZZ,20,FALSE)+SUM(_xlfn.XLOOKUP(S181:AG181,增益!$A:$A,增益!$T:$T,0))</f>
        <v>1.602</v>
      </c>
      <c r="BO181" s="21">
        <f t="shared" si="83"/>
        <v>0.18803265</v>
      </c>
      <c r="BP181" s="21">
        <f t="shared" si="84"/>
        <v>0.2649738</v>
      </c>
      <c r="BQ181" s="21">
        <f>IF(VLOOKUP($R181,武学奇术!$A:$ZZ,22,FALSE)=1,0,(1-$BJ181))*(1-$BM181)</f>
        <v>0.09749355</v>
      </c>
      <c r="BR181" s="21" cm="1">
        <f t="array" ref="BR181">SUM(_xlfn.XLOOKUP(S181:AG181,增益!$A:$A,增益!$W:$W,0))+$I$5</f>
        <v>0.06</v>
      </c>
    </row>
    <row r="182" spans="11:70">
      <c r="K182" s="24">
        <f>$L182*VLOOKUP($R182,武学奇术!$A:$ZZ,31,FALSE)</f>
        <v>15818.7834238074</v>
      </c>
      <c r="L182" s="24">
        <f t="shared" si="74"/>
        <v>31637.5668476148</v>
      </c>
      <c r="M182" s="24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27955.2735848453</v>
      </c>
      <c r="N182" s="24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45823.1822025231</v>
      </c>
      <c r="O182" s="24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18636.8490565636</v>
      </c>
      <c r="P182" s="24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8669.96390431118</v>
      </c>
      <c r="Q182" s="31">
        <v>4</v>
      </c>
      <c r="R182" s="32" t="s">
        <v>194</v>
      </c>
      <c r="S182" s="32" t="s">
        <v>87</v>
      </c>
      <c r="T182" s="32" t="s">
        <v>96</v>
      </c>
      <c r="U182" s="32" t="s">
        <v>97</v>
      </c>
      <c r="V182" s="32" t="s">
        <v>73</v>
      </c>
      <c r="W182" s="32" t="s">
        <v>73</v>
      </c>
      <c r="X182" s="32" t="s">
        <v>127</v>
      </c>
      <c r="Y182" s="32" t="s">
        <v>73</v>
      </c>
      <c r="Z182" s="32" t="s">
        <v>73</v>
      </c>
      <c r="AA182" s="32" t="s">
        <v>73</v>
      </c>
      <c r="AB182" s="32" t="s">
        <v>75</v>
      </c>
      <c r="AC182" s="32" t="s">
        <v>76</v>
      </c>
      <c r="AD182" s="32" t="s">
        <v>82</v>
      </c>
      <c r="AE182" s="32" t="s">
        <v>73</v>
      </c>
      <c r="AF182" s="32" t="s">
        <v>73</v>
      </c>
      <c r="AG182" s="32" t="s">
        <v>178</v>
      </c>
      <c r="AH182" t="str">
        <f>VLOOKUP($R182,武学奇术!$A:$ZZ,25,FALSE)</f>
        <v>单体奇术</v>
      </c>
      <c r="AI182" s="21">
        <f>VLOOKUP($R182,武学奇术!$A:$ZZ,26,FALSE)</f>
        <v>0.236</v>
      </c>
      <c r="AJ182" s="22">
        <f>VLOOKUP($R182,武学奇术!$A:$ZZ,27,FALSE)*(1+IF(OR($AH182=$F$4,$AH182=$F$5),$B$22,0))</f>
        <v>46</v>
      </c>
      <c r="AK182" s="21">
        <f>VLOOKUP($R182,武学奇术!$A:$ZZ,28,FALSE)</f>
        <v>0.354</v>
      </c>
      <c r="AL182" s="22">
        <f>VLOOKUP($R182,武学奇术!$A:$ZZ,29,FALSE)*(1+IF(OR($AH182=$F$4,$AH182=$F$5),$B$22,0))</f>
        <v>0</v>
      </c>
      <c r="AM182" s="21" cm="1">
        <f t="array" ref="AM182">$G$3+IFERROR(VLOOKUP($AH182,$F$4:$G$7,2,FALSE),0)+VLOOKUP($R182,武学奇术!$A:$ZZ,2,FALSE)+SUM(_xlfn.XLOOKUP($S182:$AG182,增益!$A:$A,增益!$B:$B,0))</f>
        <v>1.283</v>
      </c>
      <c r="AN182" s="21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1831.48</v>
      </c>
      <c r="AP182" cm="1">
        <f t="array" ref="AP182">$E$10*(1+$AN182)+VLOOKUP($R182,武学奇术!$A:$ZZ,4,FALSE)+SUM(_xlfn.XLOOKUP($S182:$AG182,增益!$A:$A,增益!$D:$D,0))-$I$2</f>
        <v>7763.56</v>
      </c>
      <c r="AQ182" s="26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0.294</v>
      </c>
      <c r="AR182" s="26" cm="1">
        <f t="array" ref="AR182">$G$10+VLOOKUP($R182,武学奇术!$A:$ZZ,7,FALSE)+SUM(_xlfn.XLOOKUP(S182:AG182,增益!$A:$A,增益!$G:$G,0))</f>
        <v>0</v>
      </c>
      <c r="AS182" s="21" cm="1">
        <f t="array" ref="AS182">VLOOKUP($R182,武学奇术!$A:$ZZ,8,FALSE)+SUM(_xlfn.XLOOKUP(S182:AG182,增益!$A:$A,增益!$H:$H,0))</f>
        <v>0</v>
      </c>
      <c r="AT182">
        <f t="shared" si="75"/>
        <v>680.02</v>
      </c>
      <c r="AU182">
        <f t="shared" si="76"/>
        <v>1288.54</v>
      </c>
      <c r="AV182" s="26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26" cm="1">
        <f t="array" ref="AW182">$G$11+VLOOKUP($R182,武学奇术!$A:$ZZ,10,FALSE)+SUM(_xlfn.XLOOKUP(S182:AG182,增益!$A:$A,增益!$J:$J,0))</f>
        <v>0.15</v>
      </c>
      <c r="AX182">
        <f t="shared" si="77"/>
        <v>0</v>
      </c>
      <c r="AY182">
        <f t="shared" si="78"/>
        <v>0</v>
      </c>
      <c r="AZ182" s="26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26" cm="1">
        <f t="array" ref="BA182">$G$12+VLOOKUP($R182,武学奇术!$A:$ZZ,12,FALSE)+SUM(_xlfn.XLOOKUP(S182:AG182,增益!$A:$A,增益!$L:$L,0))</f>
        <v>0</v>
      </c>
      <c r="BB182">
        <f t="shared" si="79"/>
        <v>0</v>
      </c>
      <c r="BC182">
        <f t="shared" si="80"/>
        <v>0</v>
      </c>
      <c r="BD182" s="26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26" cm="1">
        <f t="array" ref="BE182">$G$13+VLOOKUP($R182,武学奇术!$A:$ZZ,14,FALSE)+SUM(_xlfn.XLOOKUP(S182:AG182,增益!$A:$A,增益!$N:$N,0))</f>
        <v>0</v>
      </c>
      <c r="BF182">
        <f t="shared" si="81"/>
        <v>0</v>
      </c>
      <c r="BG182">
        <f t="shared" si="82"/>
        <v>0</v>
      </c>
      <c r="BH182" s="26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26" cm="1">
        <f t="array" ref="BI182">$G$14+VLOOKUP($R182,武学奇术!$A:$ZZ,16,FALSE)+SUM(_xlfn.XLOOKUP(S182:AG182,增益!$A:$A,增益!$P:$P,0))</f>
        <v>0</v>
      </c>
      <c r="BJ182" s="21">
        <f>MIN(IF(VLOOKUP($R182,武学奇术!$A:$ZZ,23,FALSE)=1,100%,$B$8),100%)</f>
        <v>0.8229</v>
      </c>
      <c r="BK182" s="21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0.2285</v>
      </c>
      <c r="BL182" s="21" cm="1">
        <f t="array" ref="BL182">1+$B$13+VLOOKUP($R182,武学奇术!$A:$ZZ,18,FALSE)+SUM(_xlfn.XLOOKUP(S182:AG182,增益!$A:$A,增益!$R:$R,0))</f>
        <v>1.5</v>
      </c>
      <c r="BM182" s="21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0.4495</v>
      </c>
      <c r="BN182" s="21" cm="1">
        <f t="array" ref="BN182">1+$B$14+VLOOKUP($R182,武学奇术!$A:$ZZ,20,FALSE)+SUM(_xlfn.XLOOKUP(S182:AG182,增益!$A:$A,增益!$T:$T,0))</f>
        <v>1.602</v>
      </c>
      <c r="BO182" s="21">
        <f t="shared" si="83"/>
        <v>0.18803265</v>
      </c>
      <c r="BP182" s="21">
        <f t="shared" si="84"/>
        <v>0.2649738</v>
      </c>
      <c r="BQ182" s="21">
        <f>IF(VLOOKUP($R182,武学奇术!$A:$ZZ,22,FALSE)=1,0,(1-$BJ182))*(1-$BM182)</f>
        <v>0.09749355</v>
      </c>
      <c r="BR182" s="21" cm="1">
        <f t="array" ref="BR182">SUM(_xlfn.XLOOKUP(S182:AG182,增益!$A:$A,增益!$W:$W,0))+$I$5</f>
        <v>0.06</v>
      </c>
    </row>
    <row r="183" spans="11:70">
      <c r="K183" s="24">
        <f>$L183*VLOOKUP($R183,武学奇术!$A:$ZZ,31,FALSE)</f>
        <v>15881.309329289</v>
      </c>
      <c r="L183" s="24">
        <f t="shared" si="74"/>
        <v>31762.6186585781</v>
      </c>
      <c r="M183" s="24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28092.7318948968</v>
      </c>
      <c r="N183" s="24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45969.9876776581</v>
      </c>
      <c r="O183" s="24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18728.4879299312</v>
      </c>
      <c r="P183" s="24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8761.60277767886</v>
      </c>
      <c r="Q183" s="31">
        <v>4</v>
      </c>
      <c r="R183" s="32" t="s">
        <v>194</v>
      </c>
      <c r="S183" s="32" t="s">
        <v>87</v>
      </c>
      <c r="T183" s="32" t="s">
        <v>96</v>
      </c>
      <c r="U183" s="32" t="s">
        <v>97</v>
      </c>
      <c r="V183" s="32" t="s">
        <v>73</v>
      </c>
      <c r="W183" s="32" t="s">
        <v>111</v>
      </c>
      <c r="X183" s="32" t="s">
        <v>127</v>
      </c>
      <c r="Y183" s="32" t="s">
        <v>73</v>
      </c>
      <c r="Z183" s="32" t="s">
        <v>73</v>
      </c>
      <c r="AA183" s="32" t="s">
        <v>73</v>
      </c>
      <c r="AB183" s="32" t="s">
        <v>75</v>
      </c>
      <c r="AC183" s="32" t="s">
        <v>76</v>
      </c>
      <c r="AD183" s="32" t="s">
        <v>82</v>
      </c>
      <c r="AE183" s="32" t="s">
        <v>73</v>
      </c>
      <c r="AF183" s="32" t="s">
        <v>73</v>
      </c>
      <c r="AG183" s="32" t="s">
        <v>178</v>
      </c>
      <c r="AH183" t="str">
        <f>VLOOKUP($R183,武学奇术!$A:$ZZ,25,FALSE)</f>
        <v>单体奇术</v>
      </c>
      <c r="AI183" s="21">
        <f>VLOOKUP($R183,武学奇术!$A:$ZZ,26,FALSE)</f>
        <v>0.236</v>
      </c>
      <c r="AJ183" s="22">
        <f>VLOOKUP($R183,武学奇术!$A:$ZZ,27,FALSE)*(1+IF(OR($AH183=$F$4,$AH183=$F$5),$B$22,0))</f>
        <v>46</v>
      </c>
      <c r="AK183" s="21">
        <f>VLOOKUP($R183,武学奇术!$A:$ZZ,28,FALSE)</f>
        <v>0.354</v>
      </c>
      <c r="AL183" s="22">
        <f>VLOOKUP($R183,武学奇术!$A:$ZZ,29,FALSE)*(1+IF(OR($AH183=$F$4,$AH183=$F$5),$B$22,0))</f>
        <v>0</v>
      </c>
      <c r="AM183" s="21" cm="1">
        <f t="array" ref="AM183">$G$3+IFERROR(VLOOKUP($AH183,$F$4:$G$7,2,FALSE),0)+VLOOKUP($R183,武学奇术!$A:$ZZ,2,FALSE)+SUM(_xlfn.XLOOKUP($S183:$AG183,增益!$A:$A,增益!$B:$B,0))</f>
        <v>1.283</v>
      </c>
      <c r="AN183" s="21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1862.48</v>
      </c>
      <c r="AP183" cm="1">
        <f t="array" ref="AP183">$E$10*(1+$AN183)+VLOOKUP($R183,武学奇术!$A:$ZZ,4,FALSE)+SUM(_xlfn.XLOOKUP($S183:$AG183,增益!$A:$A,增益!$D:$D,0))-$I$2</f>
        <v>7794.56</v>
      </c>
      <c r="AQ183" s="26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0.294</v>
      </c>
      <c r="AR183" s="26" cm="1">
        <f t="array" ref="AR183">$G$10+VLOOKUP($R183,武学奇术!$A:$ZZ,7,FALSE)+SUM(_xlfn.XLOOKUP(S183:AG183,增益!$A:$A,增益!$G:$G,0))</f>
        <v>0</v>
      </c>
      <c r="AS183" s="21" cm="1">
        <f t="array" ref="AS183">VLOOKUP($R183,武学奇术!$A:$ZZ,8,FALSE)+SUM(_xlfn.XLOOKUP(S183:AG183,增益!$A:$A,增益!$H:$H,0))</f>
        <v>0</v>
      </c>
      <c r="AT183">
        <f t="shared" si="75"/>
        <v>680.02</v>
      </c>
      <c r="AU183">
        <f t="shared" si="76"/>
        <v>1288.54</v>
      </c>
      <c r="AV183" s="26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26" cm="1">
        <f t="array" ref="AW183">$G$11+VLOOKUP($R183,武学奇术!$A:$ZZ,10,FALSE)+SUM(_xlfn.XLOOKUP(S183:AG183,增益!$A:$A,增益!$J:$J,0))</f>
        <v>0.15</v>
      </c>
      <c r="AX183">
        <f t="shared" si="77"/>
        <v>0</v>
      </c>
      <c r="AY183">
        <f t="shared" si="78"/>
        <v>0</v>
      </c>
      <c r="AZ183" s="26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26" cm="1">
        <f t="array" ref="BA183">$G$12+VLOOKUP($R183,武学奇术!$A:$ZZ,12,FALSE)+SUM(_xlfn.XLOOKUP(S183:AG183,增益!$A:$A,增益!$L:$L,0))</f>
        <v>0</v>
      </c>
      <c r="BB183">
        <f t="shared" si="79"/>
        <v>0</v>
      </c>
      <c r="BC183">
        <f t="shared" si="80"/>
        <v>0</v>
      </c>
      <c r="BD183" s="26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26" cm="1">
        <f t="array" ref="BE183">$G$13+VLOOKUP($R183,武学奇术!$A:$ZZ,14,FALSE)+SUM(_xlfn.XLOOKUP(S183:AG183,增益!$A:$A,增益!$N:$N,0))</f>
        <v>0</v>
      </c>
      <c r="BF183">
        <f t="shared" si="81"/>
        <v>0</v>
      </c>
      <c r="BG183">
        <f t="shared" si="82"/>
        <v>0</v>
      </c>
      <c r="BH183" s="26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26" cm="1">
        <f t="array" ref="BI183">$G$14+VLOOKUP($R183,武学奇术!$A:$ZZ,16,FALSE)+SUM(_xlfn.XLOOKUP(S183:AG183,增益!$A:$A,增益!$P:$P,0))</f>
        <v>0</v>
      </c>
      <c r="BJ183" s="21">
        <f>MIN(IF(VLOOKUP($R183,武学奇术!$A:$ZZ,23,FALSE)=1,100%,$B$8),100%)</f>
        <v>0.8229</v>
      </c>
      <c r="BK183" s="21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0.2285</v>
      </c>
      <c r="BL183" s="21" cm="1">
        <f t="array" ref="BL183">1+$B$13+VLOOKUP($R183,武学奇术!$A:$ZZ,18,FALSE)+SUM(_xlfn.XLOOKUP(S183:AG183,增益!$A:$A,增益!$R:$R,0))</f>
        <v>1.5</v>
      </c>
      <c r="BM183" s="21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0.4495</v>
      </c>
      <c r="BN183" s="21" cm="1">
        <f t="array" ref="BN183">1+$B$14+VLOOKUP($R183,武学奇术!$A:$ZZ,20,FALSE)+SUM(_xlfn.XLOOKUP(S183:AG183,增益!$A:$A,增益!$T:$T,0))</f>
        <v>1.602</v>
      </c>
      <c r="BO183" s="21">
        <f t="shared" si="83"/>
        <v>0.18803265</v>
      </c>
      <c r="BP183" s="21">
        <f t="shared" si="84"/>
        <v>0.2649738</v>
      </c>
      <c r="BQ183" s="21">
        <f>IF(VLOOKUP($R183,武学奇术!$A:$ZZ,22,FALSE)=1,0,(1-$BJ183))*(1-$BM183)</f>
        <v>0.09749355</v>
      </c>
      <c r="BR183" s="21" cm="1">
        <f t="array" ref="BR183">SUM(_xlfn.XLOOKUP(S183:AG183,增益!$A:$A,增益!$W:$W,0))+$I$5</f>
        <v>0.06</v>
      </c>
    </row>
    <row r="184" spans="11:70">
      <c r="K184" s="24">
        <f>$L184*VLOOKUP($R184,武学奇术!$A:$ZZ,31,FALSE)</f>
        <v>7940.65466464452</v>
      </c>
      <c r="L184" s="24">
        <f t="shared" si="74"/>
        <v>15881.309329289</v>
      </c>
      <c r="M184" s="24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14046.3659474484</v>
      </c>
      <c r="N184" s="24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22984.9938388291</v>
      </c>
      <c r="O184" s="24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9364.24396496562</v>
      </c>
      <c r="P184" s="24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4380.80138883943</v>
      </c>
      <c r="Q184" s="31">
        <v>2</v>
      </c>
      <c r="R184" s="32" t="s">
        <v>194</v>
      </c>
      <c r="S184" s="32" t="s">
        <v>87</v>
      </c>
      <c r="T184" s="32" t="s">
        <v>96</v>
      </c>
      <c r="U184" s="32" t="s">
        <v>97</v>
      </c>
      <c r="V184" s="32" t="s">
        <v>73</v>
      </c>
      <c r="W184" s="32" t="s">
        <v>111</v>
      </c>
      <c r="X184" s="32" t="s">
        <v>127</v>
      </c>
      <c r="Y184" s="32" t="s">
        <v>73</v>
      </c>
      <c r="Z184" s="32" t="s">
        <v>73</v>
      </c>
      <c r="AA184" s="32" t="s">
        <v>73</v>
      </c>
      <c r="AB184" s="32" t="s">
        <v>75</v>
      </c>
      <c r="AC184" s="32" t="s">
        <v>89</v>
      </c>
      <c r="AD184" s="32" t="s">
        <v>82</v>
      </c>
      <c r="AE184" s="32" t="s">
        <v>73</v>
      </c>
      <c r="AF184" s="32" t="s">
        <v>73</v>
      </c>
      <c r="AG184" s="32" t="s">
        <v>178</v>
      </c>
      <c r="AH184" t="str">
        <f>VLOOKUP($R184,武学奇术!$A:$ZZ,25,FALSE)</f>
        <v>单体奇术</v>
      </c>
      <c r="AI184" s="21">
        <f>VLOOKUP($R184,武学奇术!$A:$ZZ,26,FALSE)</f>
        <v>0.236</v>
      </c>
      <c r="AJ184" s="22">
        <f>VLOOKUP($R184,武学奇术!$A:$ZZ,27,FALSE)*(1+IF(OR($AH184=$F$4,$AH184=$F$5),$B$22,0))</f>
        <v>46</v>
      </c>
      <c r="AK184" s="21">
        <f>VLOOKUP($R184,武学奇术!$A:$ZZ,28,FALSE)</f>
        <v>0.354</v>
      </c>
      <c r="AL184" s="22">
        <f>VLOOKUP($R184,武学奇术!$A:$ZZ,29,FALSE)*(1+IF(OR($AH184=$F$4,$AH184=$F$5),$B$22,0))</f>
        <v>0</v>
      </c>
      <c r="AM184" s="21" cm="1">
        <f t="array" ref="AM184">$G$3+IFERROR(VLOOKUP($AH184,$F$4:$G$7,2,FALSE),0)+VLOOKUP($R184,武学奇术!$A:$ZZ,2,FALSE)+SUM(_xlfn.XLOOKUP($S184:$AG184,增益!$A:$A,增益!$B:$B,0))</f>
        <v>1.283</v>
      </c>
      <c r="AN184" s="21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1862.48</v>
      </c>
      <c r="AP184" cm="1">
        <f t="array" ref="AP184">$E$10*(1+$AN184)+VLOOKUP($R184,武学奇术!$A:$ZZ,4,FALSE)+SUM(_xlfn.XLOOKUP($S184:$AG184,增益!$A:$A,增益!$D:$D,0))-$I$2</f>
        <v>7794.56</v>
      </c>
      <c r="AQ184" s="26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0.294</v>
      </c>
      <c r="AR184" s="26" cm="1">
        <f t="array" ref="AR184">$G$10+VLOOKUP($R184,武学奇术!$A:$ZZ,7,FALSE)+SUM(_xlfn.XLOOKUP(S184:AG184,增益!$A:$A,增益!$G:$G,0))</f>
        <v>0</v>
      </c>
      <c r="AS184" s="21" cm="1">
        <f t="array" ref="AS184">VLOOKUP($R184,武学奇术!$A:$ZZ,8,FALSE)+SUM(_xlfn.XLOOKUP(S184:AG184,增益!$A:$A,增益!$H:$H,0))</f>
        <v>0</v>
      </c>
      <c r="AT184">
        <f t="shared" si="75"/>
        <v>680.02</v>
      </c>
      <c r="AU184">
        <f t="shared" si="76"/>
        <v>1288.54</v>
      </c>
      <c r="AV184" s="26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26" cm="1">
        <f t="array" ref="AW184">$G$11+VLOOKUP($R184,武学奇术!$A:$ZZ,10,FALSE)+SUM(_xlfn.XLOOKUP(S184:AG184,增益!$A:$A,增益!$J:$J,0))</f>
        <v>0.15</v>
      </c>
      <c r="AX184">
        <f t="shared" si="77"/>
        <v>0</v>
      </c>
      <c r="AY184">
        <f t="shared" si="78"/>
        <v>0</v>
      </c>
      <c r="AZ184" s="26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26" cm="1">
        <f t="array" ref="BA184">$G$12+VLOOKUP($R184,武学奇术!$A:$ZZ,12,FALSE)+SUM(_xlfn.XLOOKUP(S184:AG184,增益!$A:$A,增益!$L:$L,0))</f>
        <v>0</v>
      </c>
      <c r="BB184">
        <f t="shared" si="79"/>
        <v>0</v>
      </c>
      <c r="BC184">
        <f t="shared" si="80"/>
        <v>0</v>
      </c>
      <c r="BD184" s="26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26" cm="1">
        <f t="array" ref="BE184">$G$13+VLOOKUP($R184,武学奇术!$A:$ZZ,14,FALSE)+SUM(_xlfn.XLOOKUP(S184:AG184,增益!$A:$A,增益!$N:$N,0))</f>
        <v>0</v>
      </c>
      <c r="BF184">
        <f t="shared" si="81"/>
        <v>0</v>
      </c>
      <c r="BG184">
        <f t="shared" si="82"/>
        <v>0</v>
      </c>
      <c r="BH184" s="26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26" cm="1">
        <f t="array" ref="BI184">$G$14+VLOOKUP($R184,武学奇术!$A:$ZZ,16,FALSE)+SUM(_xlfn.XLOOKUP(S184:AG184,增益!$A:$A,增益!$P:$P,0))</f>
        <v>0</v>
      </c>
      <c r="BJ184" s="21">
        <f>MIN(IF(VLOOKUP($R184,武学奇术!$A:$ZZ,23,FALSE)=1,100%,$B$8),100%)</f>
        <v>0.8229</v>
      </c>
      <c r="BK184" s="21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0.2285</v>
      </c>
      <c r="BL184" s="21" cm="1">
        <f t="array" ref="BL184">1+$B$13+VLOOKUP($R184,武学奇术!$A:$ZZ,18,FALSE)+SUM(_xlfn.XLOOKUP(S184:AG184,增益!$A:$A,增益!$R:$R,0))</f>
        <v>1.5</v>
      </c>
      <c r="BM184" s="21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0.4495</v>
      </c>
      <c r="BN184" s="21" cm="1">
        <f t="array" ref="BN184">1+$B$14+VLOOKUP($R184,武学奇术!$A:$ZZ,20,FALSE)+SUM(_xlfn.XLOOKUP(S184:AG184,增益!$A:$A,增益!$T:$T,0))</f>
        <v>1.602</v>
      </c>
      <c r="BO184" s="21">
        <f t="shared" si="83"/>
        <v>0.18803265</v>
      </c>
      <c r="BP184" s="21">
        <f t="shared" si="84"/>
        <v>0.2649738</v>
      </c>
      <c r="BQ184" s="21">
        <f>IF(VLOOKUP($R184,武学奇术!$A:$ZZ,22,FALSE)=1,0,(1-$BJ184))*(1-$BM184)</f>
        <v>0.09749355</v>
      </c>
      <c r="BR184" s="21" cm="1">
        <f t="array" ref="BR184">SUM(_xlfn.XLOOKUP(S184:AG184,增益!$A:$A,增益!$W:$W,0))+$I$5</f>
        <v>0.06</v>
      </c>
    </row>
    <row r="185" spans="11:70">
      <c r="K185" s="24">
        <f>$L185*VLOOKUP($R185,武学奇术!$A:$ZZ,31,FALSE)</f>
        <v>43877.0734097637</v>
      </c>
      <c r="L185" s="24">
        <f t="shared" si="74"/>
        <v>87754.1468195275</v>
      </c>
      <c r="M185" s="24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77614.939302261</v>
      </c>
      <c r="N185" s="24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127006.437703385</v>
      </c>
      <c r="O185" s="24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51743.292868174</v>
      </c>
      <c r="P185" s="24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24206.6620763072</v>
      </c>
      <c r="Q185" s="31">
        <v>10</v>
      </c>
      <c r="R185" s="32" t="s">
        <v>194</v>
      </c>
      <c r="S185" s="32" t="s">
        <v>87</v>
      </c>
      <c r="T185" s="32" t="s">
        <v>96</v>
      </c>
      <c r="U185" s="32" t="s">
        <v>97</v>
      </c>
      <c r="V185" s="32" t="s">
        <v>73</v>
      </c>
      <c r="W185" s="32" t="s">
        <v>111</v>
      </c>
      <c r="X185" s="32" t="s">
        <v>127</v>
      </c>
      <c r="Y185" s="32" t="s">
        <v>73</v>
      </c>
      <c r="Z185" s="32" t="s">
        <v>73</v>
      </c>
      <c r="AA185" s="32" t="s">
        <v>81</v>
      </c>
      <c r="AB185" s="32" t="s">
        <v>75</v>
      </c>
      <c r="AC185" s="32" t="s">
        <v>89</v>
      </c>
      <c r="AD185" s="32" t="s">
        <v>82</v>
      </c>
      <c r="AE185" s="32" t="s">
        <v>90</v>
      </c>
      <c r="AF185" s="32" t="s">
        <v>73</v>
      </c>
      <c r="AG185" s="32" t="s">
        <v>178</v>
      </c>
      <c r="AH185" t="str">
        <f>VLOOKUP($R185,武学奇术!$A:$ZZ,25,FALSE)</f>
        <v>单体奇术</v>
      </c>
      <c r="AI185" s="21">
        <f>VLOOKUP($R185,武学奇术!$A:$ZZ,26,FALSE)</f>
        <v>0.236</v>
      </c>
      <c r="AJ185" s="22">
        <f>VLOOKUP($R185,武学奇术!$A:$ZZ,27,FALSE)*(1+IF(OR($AH185=$F$4,$AH185=$F$5),$B$22,0))</f>
        <v>46</v>
      </c>
      <c r="AK185" s="21">
        <f>VLOOKUP($R185,武学奇术!$A:$ZZ,28,FALSE)</f>
        <v>0.354</v>
      </c>
      <c r="AL185" s="22">
        <f>VLOOKUP($R185,武学奇术!$A:$ZZ,29,FALSE)*(1+IF(OR($AH185=$F$4,$AH185=$F$5),$B$22,0))</f>
        <v>0</v>
      </c>
      <c r="AM185" s="21" cm="1">
        <f t="array" ref="AM185">$G$3+IFERROR(VLOOKUP($AH185,$F$4:$G$7,2,FALSE),0)+VLOOKUP($R185,武学奇术!$A:$ZZ,2,FALSE)+SUM(_xlfn.XLOOKUP($S185:$AG185,增益!$A:$A,增益!$B:$B,0))</f>
        <v>1.523</v>
      </c>
      <c r="AN185" s="21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1862.48</v>
      </c>
      <c r="AP185" cm="1">
        <f t="array" ref="AP185">$E$10*(1+$AN185)+VLOOKUP($R185,武学奇术!$A:$ZZ,4,FALSE)+SUM(_xlfn.XLOOKUP($S185:$AG185,增益!$A:$A,增益!$D:$D,0))-$I$2</f>
        <v>7794.56</v>
      </c>
      <c r="AQ185" s="26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0.294</v>
      </c>
      <c r="AR185" s="26" cm="1">
        <f t="array" ref="AR185">$G$10+VLOOKUP($R185,武学奇术!$A:$ZZ,7,FALSE)+SUM(_xlfn.XLOOKUP(S185:AG185,增益!$A:$A,增益!$G:$G,0))</f>
        <v>0</v>
      </c>
      <c r="AS185" s="21" cm="1">
        <f t="array" ref="AS185">VLOOKUP($R185,武学奇术!$A:$ZZ,8,FALSE)+SUM(_xlfn.XLOOKUP(S185:AG185,增益!$A:$A,增益!$H:$H,0))</f>
        <v>0</v>
      </c>
      <c r="AT185">
        <f t="shared" si="75"/>
        <v>680.02</v>
      </c>
      <c r="AU185">
        <f t="shared" si="76"/>
        <v>1288.54</v>
      </c>
      <c r="AV185" s="26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26" cm="1">
        <f t="array" ref="AW185">$G$11+VLOOKUP($R185,武学奇术!$A:$ZZ,10,FALSE)+SUM(_xlfn.XLOOKUP(S185:AG185,增益!$A:$A,增益!$J:$J,0))</f>
        <v>0.15</v>
      </c>
      <c r="AX185">
        <f t="shared" si="77"/>
        <v>0</v>
      </c>
      <c r="AY185">
        <f t="shared" si="78"/>
        <v>0</v>
      </c>
      <c r="AZ185" s="26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26" cm="1">
        <f t="array" ref="BA185">$G$12+VLOOKUP($R185,武学奇术!$A:$ZZ,12,FALSE)+SUM(_xlfn.XLOOKUP(S185:AG185,增益!$A:$A,增益!$L:$L,0))</f>
        <v>0</v>
      </c>
      <c r="BB185">
        <f t="shared" si="79"/>
        <v>0</v>
      </c>
      <c r="BC185">
        <f t="shared" si="80"/>
        <v>0</v>
      </c>
      <c r="BD185" s="26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26" cm="1">
        <f t="array" ref="BE185">$G$13+VLOOKUP($R185,武学奇术!$A:$ZZ,14,FALSE)+SUM(_xlfn.XLOOKUP(S185:AG185,增益!$A:$A,增益!$N:$N,0))</f>
        <v>0</v>
      </c>
      <c r="BF185">
        <f t="shared" si="81"/>
        <v>0</v>
      </c>
      <c r="BG185">
        <f t="shared" si="82"/>
        <v>0</v>
      </c>
      <c r="BH185" s="26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26" cm="1">
        <f t="array" ref="BI185">$G$14+VLOOKUP($R185,武学奇术!$A:$ZZ,16,FALSE)+SUM(_xlfn.XLOOKUP(S185:AG185,增益!$A:$A,增益!$P:$P,0))</f>
        <v>0</v>
      </c>
      <c r="BJ185" s="21">
        <f>MIN(IF(VLOOKUP($R185,武学奇术!$A:$ZZ,23,FALSE)=1,100%,$B$8),100%)</f>
        <v>0.8229</v>
      </c>
      <c r="BK185" s="21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0.2285</v>
      </c>
      <c r="BL185" s="21" cm="1">
        <f t="array" ref="BL185">1+$B$13+VLOOKUP($R185,武学奇术!$A:$ZZ,18,FALSE)+SUM(_xlfn.XLOOKUP(S185:AG185,增益!$A:$A,增益!$R:$R,0))</f>
        <v>1.5</v>
      </c>
      <c r="BM185" s="21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0.4495</v>
      </c>
      <c r="BN185" s="21" cm="1">
        <f t="array" ref="BN185">1+$B$14+VLOOKUP($R185,武学奇术!$A:$ZZ,20,FALSE)+SUM(_xlfn.XLOOKUP(S185:AG185,增益!$A:$A,增益!$T:$T,0))</f>
        <v>1.602</v>
      </c>
      <c r="BO185" s="21">
        <f t="shared" si="83"/>
        <v>0.18803265</v>
      </c>
      <c r="BP185" s="21">
        <f t="shared" si="84"/>
        <v>0.2649738</v>
      </c>
      <c r="BQ185" s="21">
        <f>IF(VLOOKUP($R185,武学奇术!$A:$ZZ,22,FALSE)=1,0,(1-$BJ185))*(1-$BM185)</f>
        <v>0.09749355</v>
      </c>
      <c r="BR185" s="21" cm="1">
        <f t="array" ref="BR185">SUM(_xlfn.XLOOKUP(S185:AG185,增益!$A:$A,增益!$W:$W,0))+$I$5</f>
        <v>0.06</v>
      </c>
    </row>
    <row r="186" spans="11:70">
      <c r="K186" s="24">
        <f>$L186*VLOOKUP($R186,武学奇术!$A:$ZZ,31,FALSE)</f>
        <v>4896.7993876956</v>
      </c>
      <c r="L186" s="24">
        <f t="shared" si="74"/>
        <v>9793.5987753912</v>
      </c>
      <c r="M186" s="24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8662.03594989015</v>
      </c>
      <c r="N186" s="24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14174.2599961314</v>
      </c>
      <c r="O186" s="24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5774.6906332601</v>
      </c>
      <c r="P186" s="24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2701.52858479022</v>
      </c>
      <c r="Q186" s="31">
        <v>1</v>
      </c>
      <c r="R186" s="32" t="s">
        <v>194</v>
      </c>
      <c r="S186" s="32" t="s">
        <v>87</v>
      </c>
      <c r="T186" s="32" t="s">
        <v>96</v>
      </c>
      <c r="U186" s="32" t="s">
        <v>97</v>
      </c>
      <c r="V186" s="32" t="s">
        <v>73</v>
      </c>
      <c r="W186" s="32" t="s">
        <v>111</v>
      </c>
      <c r="X186" s="32" t="s">
        <v>127</v>
      </c>
      <c r="Y186" s="32" t="s">
        <v>179</v>
      </c>
      <c r="Z186" s="32" t="s">
        <v>182</v>
      </c>
      <c r="AA186" s="32" t="s">
        <v>81</v>
      </c>
      <c r="AB186" s="32" t="s">
        <v>75</v>
      </c>
      <c r="AC186" s="32" t="s">
        <v>89</v>
      </c>
      <c r="AD186" s="32" t="s">
        <v>82</v>
      </c>
      <c r="AE186" s="32" t="s">
        <v>183</v>
      </c>
      <c r="AF186" s="32" t="s">
        <v>73</v>
      </c>
      <c r="AG186" s="32" t="s">
        <v>178</v>
      </c>
      <c r="AH186" t="str">
        <f>VLOOKUP($R186,武学奇术!$A:$ZZ,25,FALSE)</f>
        <v>单体奇术</v>
      </c>
      <c r="AI186" s="21">
        <f>VLOOKUP($R186,武学奇术!$A:$ZZ,26,FALSE)</f>
        <v>0.236</v>
      </c>
      <c r="AJ186" s="22">
        <f>VLOOKUP($R186,武学奇术!$A:$ZZ,27,FALSE)*(1+IF(OR($AH186=$F$4,$AH186=$F$5),$B$22,0))</f>
        <v>46</v>
      </c>
      <c r="AK186" s="21">
        <f>VLOOKUP($R186,武学奇术!$A:$ZZ,28,FALSE)</f>
        <v>0.354</v>
      </c>
      <c r="AL186" s="22">
        <f>VLOOKUP($R186,武学奇术!$A:$ZZ,29,FALSE)*(1+IF(OR($AH186=$F$4,$AH186=$F$5),$B$22,0))</f>
        <v>0</v>
      </c>
      <c r="AM186" s="21" cm="1">
        <f t="array" ref="AM186">$G$3+IFERROR(VLOOKUP($AH186,$F$4:$G$7,2,FALSE),0)+VLOOKUP($R186,武学奇术!$A:$ZZ,2,FALSE)+SUM(_xlfn.XLOOKUP($S186:$AG186,增益!$A:$A,增益!$B:$B,0))</f>
        <v>1.573</v>
      </c>
      <c r="AN186" s="21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1862.48</v>
      </c>
      <c r="AP186" cm="1">
        <f t="array" ref="AP186">$E$10*(1+$AN186)+VLOOKUP($R186,武学奇术!$A:$ZZ,4,FALSE)+SUM(_xlfn.XLOOKUP($S186:$AG186,增益!$A:$A,增益!$D:$D,0))-$I$2</f>
        <v>7794.56</v>
      </c>
      <c r="AQ186" s="26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0.294</v>
      </c>
      <c r="AR186" s="26" cm="1">
        <f t="array" ref="AR186">$G$10+VLOOKUP($R186,武学奇术!$A:$ZZ,7,FALSE)+SUM(_xlfn.XLOOKUP(S186:AG186,增益!$A:$A,增益!$G:$G,0))</f>
        <v>0</v>
      </c>
      <c r="AS186" s="21" cm="1">
        <f t="array" ref="AS186">VLOOKUP($R186,武学奇术!$A:$ZZ,8,FALSE)+SUM(_xlfn.XLOOKUP(S186:AG186,增益!$A:$A,增益!$H:$H,0))</f>
        <v>0</v>
      </c>
      <c r="AT186">
        <f t="shared" si="75"/>
        <v>680.02</v>
      </c>
      <c r="AU186">
        <f t="shared" si="76"/>
        <v>1288.54</v>
      </c>
      <c r="AV186" s="26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26" cm="1">
        <f t="array" ref="AW186">$G$11+VLOOKUP($R186,武学奇术!$A:$ZZ,10,FALSE)+SUM(_xlfn.XLOOKUP(S186:AG186,增益!$A:$A,增益!$J:$J,0))</f>
        <v>0.15</v>
      </c>
      <c r="AX186">
        <f t="shared" si="77"/>
        <v>0</v>
      </c>
      <c r="AY186">
        <f t="shared" si="78"/>
        <v>0</v>
      </c>
      <c r="AZ186" s="26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26" cm="1">
        <f t="array" ref="BA186">$G$12+VLOOKUP($R186,武学奇术!$A:$ZZ,12,FALSE)+SUM(_xlfn.XLOOKUP(S186:AG186,增益!$A:$A,增益!$L:$L,0))</f>
        <v>0</v>
      </c>
      <c r="BB186">
        <f t="shared" si="79"/>
        <v>0</v>
      </c>
      <c r="BC186">
        <f t="shared" si="80"/>
        <v>0</v>
      </c>
      <c r="BD186" s="26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26" cm="1">
        <f t="array" ref="BE186">$G$13+VLOOKUP($R186,武学奇术!$A:$ZZ,14,FALSE)+SUM(_xlfn.XLOOKUP(S186:AG186,增益!$A:$A,增益!$N:$N,0))</f>
        <v>0</v>
      </c>
      <c r="BF186">
        <f t="shared" si="81"/>
        <v>0</v>
      </c>
      <c r="BG186">
        <f t="shared" si="82"/>
        <v>0</v>
      </c>
      <c r="BH186" s="26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26" cm="1">
        <f t="array" ref="BI186">$G$14+VLOOKUP($R186,武学奇术!$A:$ZZ,16,FALSE)+SUM(_xlfn.XLOOKUP(S186:AG186,增益!$A:$A,增益!$P:$P,0))</f>
        <v>0</v>
      </c>
      <c r="BJ186" s="21">
        <f>MIN(IF(VLOOKUP($R186,武学奇术!$A:$ZZ,23,FALSE)=1,100%,$B$8),100%)</f>
        <v>0.8229</v>
      </c>
      <c r="BK186" s="21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0.2285</v>
      </c>
      <c r="BL186" s="21" cm="1">
        <f t="array" ref="BL186">1+$B$13+VLOOKUP($R186,武学奇术!$A:$ZZ,18,FALSE)+SUM(_xlfn.XLOOKUP(S186:AG186,增益!$A:$A,增益!$R:$R,0))</f>
        <v>1.5</v>
      </c>
      <c r="BM186" s="21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0.4495</v>
      </c>
      <c r="BN186" s="21" cm="1">
        <f t="array" ref="BN186">1+$B$14+VLOOKUP($R186,武学奇术!$A:$ZZ,20,FALSE)+SUM(_xlfn.XLOOKUP(S186:AG186,增益!$A:$A,增益!$T:$T,0))</f>
        <v>1.602</v>
      </c>
      <c r="BO186" s="21">
        <f t="shared" si="83"/>
        <v>0.18803265</v>
      </c>
      <c r="BP186" s="21">
        <f t="shared" si="84"/>
        <v>0.2649738</v>
      </c>
      <c r="BQ186" s="21">
        <f>IF(VLOOKUP($R186,武学奇术!$A:$ZZ,22,FALSE)=1,0,(1-$BJ186))*(1-$BM186)</f>
        <v>0.09749355</v>
      </c>
      <c r="BR186" s="21" cm="1">
        <f t="array" ref="BR186">SUM(_xlfn.XLOOKUP(S186:AG186,增益!$A:$A,增益!$W:$W,0))+$I$5</f>
        <v>0.16</v>
      </c>
    </row>
    <row r="187" spans="11:70">
      <c r="K187" s="24">
        <f>$L187*VLOOKUP($R187,武学奇术!$A:$ZZ,31,FALSE)</f>
        <v>14690.3981630868</v>
      </c>
      <c r="L187" s="24">
        <f t="shared" si="74"/>
        <v>29380.7963261736</v>
      </c>
      <c r="M187" s="24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25986.1078496705</v>
      </c>
      <c r="N187" s="24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42522.7799883943</v>
      </c>
      <c r="O187" s="24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17324.0718997803</v>
      </c>
      <c r="P187" s="24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8104.58575437065</v>
      </c>
      <c r="Q187" s="31">
        <v>3</v>
      </c>
      <c r="R187" s="32" t="s">
        <v>194</v>
      </c>
      <c r="S187" s="32" t="s">
        <v>87</v>
      </c>
      <c r="T187" s="32" t="s">
        <v>96</v>
      </c>
      <c r="U187" s="32" t="s">
        <v>97</v>
      </c>
      <c r="V187" s="32" t="s">
        <v>73</v>
      </c>
      <c r="W187" s="32" t="s">
        <v>111</v>
      </c>
      <c r="X187" s="32" t="s">
        <v>127</v>
      </c>
      <c r="Y187" s="32" t="s">
        <v>179</v>
      </c>
      <c r="Z187" s="32" t="s">
        <v>182</v>
      </c>
      <c r="AA187" s="32" t="s">
        <v>81</v>
      </c>
      <c r="AB187" s="32" t="s">
        <v>75</v>
      </c>
      <c r="AC187" s="32" t="s">
        <v>76</v>
      </c>
      <c r="AD187" s="32" t="s">
        <v>82</v>
      </c>
      <c r="AE187" s="32" t="s">
        <v>183</v>
      </c>
      <c r="AF187" s="32" t="s">
        <v>73</v>
      </c>
      <c r="AG187" s="32" t="s">
        <v>178</v>
      </c>
      <c r="AH187" t="str">
        <f>VLOOKUP($R187,武学奇术!$A:$ZZ,25,FALSE)</f>
        <v>单体奇术</v>
      </c>
      <c r="AI187" s="21">
        <f>VLOOKUP($R187,武学奇术!$A:$ZZ,26,FALSE)</f>
        <v>0.236</v>
      </c>
      <c r="AJ187" s="22">
        <f>VLOOKUP($R187,武学奇术!$A:$ZZ,27,FALSE)*(1+IF(OR($AH187=$F$4,$AH187=$F$5),$B$22,0))</f>
        <v>46</v>
      </c>
      <c r="AK187" s="21">
        <f>VLOOKUP($R187,武学奇术!$A:$ZZ,28,FALSE)</f>
        <v>0.354</v>
      </c>
      <c r="AL187" s="22">
        <f>VLOOKUP($R187,武学奇术!$A:$ZZ,29,FALSE)*(1+IF(OR($AH187=$F$4,$AH187=$F$5),$B$22,0))</f>
        <v>0</v>
      </c>
      <c r="AM187" s="21" cm="1">
        <f t="array" ref="AM187">$G$3+IFERROR(VLOOKUP($AH187,$F$4:$G$7,2,FALSE),0)+VLOOKUP($R187,武学奇术!$A:$ZZ,2,FALSE)+SUM(_xlfn.XLOOKUP($S187:$AG187,增益!$A:$A,增益!$B:$B,0))</f>
        <v>1.573</v>
      </c>
      <c r="AN187" s="21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1862.48</v>
      </c>
      <c r="AP187" cm="1">
        <f t="array" ref="AP187">$E$10*(1+$AN187)+VLOOKUP($R187,武学奇术!$A:$ZZ,4,FALSE)+SUM(_xlfn.XLOOKUP($S187:$AG187,增益!$A:$A,增益!$D:$D,0))-$I$2</f>
        <v>7794.56</v>
      </c>
      <c r="AQ187" s="26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0.294</v>
      </c>
      <c r="AR187" s="26" cm="1">
        <f t="array" ref="AR187">$G$10+VLOOKUP($R187,武学奇术!$A:$ZZ,7,FALSE)+SUM(_xlfn.XLOOKUP(S187:AG187,增益!$A:$A,增益!$G:$G,0))</f>
        <v>0</v>
      </c>
      <c r="AS187" s="21" cm="1">
        <f t="array" ref="AS187">VLOOKUP($R187,武学奇术!$A:$ZZ,8,FALSE)+SUM(_xlfn.XLOOKUP(S187:AG187,增益!$A:$A,增益!$H:$H,0))</f>
        <v>0</v>
      </c>
      <c r="AT187">
        <f t="shared" si="75"/>
        <v>680.02</v>
      </c>
      <c r="AU187">
        <f t="shared" si="76"/>
        <v>1288.54</v>
      </c>
      <c r="AV187" s="26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26" cm="1">
        <f t="array" ref="AW187">$G$11+VLOOKUP($R187,武学奇术!$A:$ZZ,10,FALSE)+SUM(_xlfn.XLOOKUP(S187:AG187,增益!$A:$A,增益!$J:$J,0))</f>
        <v>0.15</v>
      </c>
      <c r="AX187">
        <f t="shared" si="77"/>
        <v>0</v>
      </c>
      <c r="AY187">
        <f t="shared" si="78"/>
        <v>0</v>
      </c>
      <c r="AZ187" s="26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26" cm="1">
        <f t="array" ref="BA187">$G$12+VLOOKUP($R187,武学奇术!$A:$ZZ,12,FALSE)+SUM(_xlfn.XLOOKUP(S187:AG187,增益!$A:$A,增益!$L:$L,0))</f>
        <v>0</v>
      </c>
      <c r="BB187">
        <f t="shared" si="79"/>
        <v>0</v>
      </c>
      <c r="BC187">
        <f t="shared" si="80"/>
        <v>0</v>
      </c>
      <c r="BD187" s="26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26" cm="1">
        <f t="array" ref="BE187">$G$13+VLOOKUP($R187,武学奇术!$A:$ZZ,14,FALSE)+SUM(_xlfn.XLOOKUP(S187:AG187,增益!$A:$A,增益!$N:$N,0))</f>
        <v>0</v>
      </c>
      <c r="BF187">
        <f t="shared" si="81"/>
        <v>0</v>
      </c>
      <c r="BG187">
        <f t="shared" si="82"/>
        <v>0</v>
      </c>
      <c r="BH187" s="26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26" cm="1">
        <f t="array" ref="BI187">$G$14+VLOOKUP($R187,武学奇术!$A:$ZZ,16,FALSE)+SUM(_xlfn.XLOOKUP(S187:AG187,增益!$A:$A,增益!$P:$P,0))</f>
        <v>0</v>
      </c>
      <c r="BJ187" s="21">
        <f>MIN(IF(VLOOKUP($R187,武学奇术!$A:$ZZ,23,FALSE)=1,100%,$B$8),100%)</f>
        <v>0.8229</v>
      </c>
      <c r="BK187" s="21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0.2285</v>
      </c>
      <c r="BL187" s="21" cm="1">
        <f t="array" ref="BL187">1+$B$13+VLOOKUP($R187,武学奇术!$A:$ZZ,18,FALSE)+SUM(_xlfn.XLOOKUP(S187:AG187,增益!$A:$A,增益!$R:$R,0))</f>
        <v>1.5</v>
      </c>
      <c r="BM187" s="21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0.4495</v>
      </c>
      <c r="BN187" s="21" cm="1">
        <f t="array" ref="BN187">1+$B$14+VLOOKUP($R187,武学奇术!$A:$ZZ,20,FALSE)+SUM(_xlfn.XLOOKUP(S187:AG187,增益!$A:$A,增益!$T:$T,0))</f>
        <v>1.602</v>
      </c>
      <c r="BO187" s="21">
        <f t="shared" si="83"/>
        <v>0.18803265</v>
      </c>
      <c r="BP187" s="21">
        <f t="shared" si="84"/>
        <v>0.2649738</v>
      </c>
      <c r="BQ187" s="21">
        <f>IF(VLOOKUP($R187,武学奇术!$A:$ZZ,22,FALSE)=1,0,(1-$BJ187))*(1-$BM187)</f>
        <v>0.09749355</v>
      </c>
      <c r="BR187" s="21" cm="1">
        <f t="array" ref="BR187">SUM(_xlfn.XLOOKUP(S187:AG187,增益!$A:$A,增益!$W:$W,0))+$I$5</f>
        <v>0.16</v>
      </c>
    </row>
    <row r="188" spans="11:70">
      <c r="K188" s="24">
        <f>$L188*VLOOKUP($R188,武学奇术!$A:$ZZ,31,FALSE)</f>
        <v>9755.04064276761</v>
      </c>
      <c r="L188" s="24">
        <f t="shared" si="74"/>
        <v>19510.0812855352</v>
      </c>
      <c r="M188" s="24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17239.3048626881</v>
      </c>
      <c r="N188" s="24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28257.9887966485</v>
      </c>
      <c r="O188" s="24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11492.8699084588</v>
      </c>
      <c r="P188" s="24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5346.545811519</v>
      </c>
      <c r="Q188" s="31">
        <v>2</v>
      </c>
      <c r="R188" s="32" t="s">
        <v>194</v>
      </c>
      <c r="S188" s="32" t="s">
        <v>87</v>
      </c>
      <c r="T188" s="32" t="s">
        <v>96</v>
      </c>
      <c r="U188" s="32" t="s">
        <v>97</v>
      </c>
      <c r="V188" s="32" t="s">
        <v>73</v>
      </c>
      <c r="W188" s="32" t="s">
        <v>73</v>
      </c>
      <c r="X188" s="32" t="s">
        <v>127</v>
      </c>
      <c r="Y188" s="32" t="s">
        <v>179</v>
      </c>
      <c r="Z188" s="32" t="s">
        <v>182</v>
      </c>
      <c r="AA188" s="32" t="s">
        <v>81</v>
      </c>
      <c r="AB188" s="32" t="s">
        <v>75</v>
      </c>
      <c r="AC188" s="32" t="s">
        <v>76</v>
      </c>
      <c r="AD188" s="32" t="s">
        <v>82</v>
      </c>
      <c r="AE188" s="32" t="s">
        <v>183</v>
      </c>
      <c r="AF188" s="32" t="s">
        <v>73</v>
      </c>
      <c r="AG188" s="32" t="s">
        <v>178</v>
      </c>
      <c r="AH188" t="str">
        <f>VLOOKUP($R188,武学奇术!$A:$ZZ,25,FALSE)</f>
        <v>单体奇术</v>
      </c>
      <c r="AI188" s="21">
        <f>VLOOKUP($R188,武学奇术!$A:$ZZ,26,FALSE)</f>
        <v>0.236</v>
      </c>
      <c r="AJ188" s="22">
        <f>VLOOKUP($R188,武学奇术!$A:$ZZ,27,FALSE)*(1+IF(OR($AH188=$F$4,$AH188=$F$5),$B$22,0))</f>
        <v>46</v>
      </c>
      <c r="AK188" s="21">
        <f>VLOOKUP($R188,武学奇术!$A:$ZZ,28,FALSE)</f>
        <v>0.354</v>
      </c>
      <c r="AL188" s="22">
        <f>VLOOKUP($R188,武学奇术!$A:$ZZ,29,FALSE)*(1+IF(OR($AH188=$F$4,$AH188=$F$5),$B$22,0))</f>
        <v>0</v>
      </c>
      <c r="AM188" s="21" cm="1">
        <f t="array" ref="AM188">$G$3+IFERROR(VLOOKUP($AH188,$F$4:$G$7,2,FALSE),0)+VLOOKUP($R188,武学奇术!$A:$ZZ,2,FALSE)+SUM(_xlfn.XLOOKUP($S188:$AG188,增益!$A:$A,增益!$B:$B,0))</f>
        <v>1.573</v>
      </c>
      <c r="AN188" s="21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1831.48</v>
      </c>
      <c r="AP188" cm="1">
        <f t="array" ref="AP188">$E$10*(1+$AN188)+VLOOKUP($R188,武学奇术!$A:$ZZ,4,FALSE)+SUM(_xlfn.XLOOKUP($S188:$AG188,增益!$A:$A,增益!$D:$D,0))-$I$2</f>
        <v>7763.56</v>
      </c>
      <c r="AQ188" s="26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0.294</v>
      </c>
      <c r="AR188" s="26" cm="1">
        <f t="array" ref="AR188">$G$10+VLOOKUP($R188,武学奇术!$A:$ZZ,7,FALSE)+SUM(_xlfn.XLOOKUP(S188:AG188,增益!$A:$A,增益!$G:$G,0))</f>
        <v>0</v>
      </c>
      <c r="AS188" s="21" cm="1">
        <f t="array" ref="AS188">VLOOKUP($R188,武学奇术!$A:$ZZ,8,FALSE)+SUM(_xlfn.XLOOKUP(S188:AG188,增益!$A:$A,增益!$H:$H,0))</f>
        <v>0</v>
      </c>
      <c r="AT188">
        <f t="shared" si="75"/>
        <v>680.02</v>
      </c>
      <c r="AU188">
        <f t="shared" si="76"/>
        <v>1288.54</v>
      </c>
      <c r="AV188" s="26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26" cm="1">
        <f t="array" ref="AW188">$G$11+VLOOKUP($R188,武学奇术!$A:$ZZ,10,FALSE)+SUM(_xlfn.XLOOKUP(S188:AG188,增益!$A:$A,增益!$J:$J,0))</f>
        <v>0.15</v>
      </c>
      <c r="AX188">
        <f t="shared" si="77"/>
        <v>0</v>
      </c>
      <c r="AY188">
        <f t="shared" si="78"/>
        <v>0</v>
      </c>
      <c r="AZ188" s="26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26" cm="1">
        <f t="array" ref="BA188">$G$12+VLOOKUP($R188,武学奇术!$A:$ZZ,12,FALSE)+SUM(_xlfn.XLOOKUP(S188:AG188,增益!$A:$A,增益!$L:$L,0))</f>
        <v>0</v>
      </c>
      <c r="BB188">
        <f t="shared" si="79"/>
        <v>0</v>
      </c>
      <c r="BC188">
        <f t="shared" si="80"/>
        <v>0</v>
      </c>
      <c r="BD188" s="26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26" cm="1">
        <f t="array" ref="BE188">$G$13+VLOOKUP($R188,武学奇术!$A:$ZZ,14,FALSE)+SUM(_xlfn.XLOOKUP(S188:AG188,增益!$A:$A,增益!$N:$N,0))</f>
        <v>0</v>
      </c>
      <c r="BF188">
        <f t="shared" si="81"/>
        <v>0</v>
      </c>
      <c r="BG188">
        <f t="shared" si="82"/>
        <v>0</v>
      </c>
      <c r="BH188" s="26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26" cm="1">
        <f t="array" ref="BI188">$G$14+VLOOKUP($R188,武学奇术!$A:$ZZ,16,FALSE)+SUM(_xlfn.XLOOKUP(S188:AG188,增益!$A:$A,增益!$P:$P,0))</f>
        <v>0</v>
      </c>
      <c r="BJ188" s="21">
        <f>MIN(IF(VLOOKUP($R188,武学奇术!$A:$ZZ,23,FALSE)=1,100%,$B$8),100%)</f>
        <v>0.8229</v>
      </c>
      <c r="BK188" s="21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0.2285</v>
      </c>
      <c r="BL188" s="21" cm="1">
        <f t="array" ref="BL188">1+$B$13+VLOOKUP($R188,武学奇术!$A:$ZZ,18,FALSE)+SUM(_xlfn.XLOOKUP(S188:AG188,增益!$A:$A,增益!$R:$R,0))</f>
        <v>1.5</v>
      </c>
      <c r="BM188" s="21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0.4495</v>
      </c>
      <c r="BN188" s="21" cm="1">
        <f t="array" ref="BN188">1+$B$14+VLOOKUP($R188,武学奇术!$A:$ZZ,20,FALSE)+SUM(_xlfn.XLOOKUP(S188:AG188,增益!$A:$A,增益!$T:$T,0))</f>
        <v>1.602</v>
      </c>
      <c r="BO188" s="21">
        <f t="shared" si="83"/>
        <v>0.18803265</v>
      </c>
      <c r="BP188" s="21">
        <f t="shared" si="84"/>
        <v>0.2649738</v>
      </c>
      <c r="BQ188" s="21">
        <f>IF(VLOOKUP($R188,武学奇术!$A:$ZZ,22,FALSE)=1,0,(1-$BJ188))*(1-$BM188)</f>
        <v>0.09749355</v>
      </c>
      <c r="BR188" s="21" cm="1">
        <f t="array" ref="BR188">SUM(_xlfn.XLOOKUP(S188:AG188,增益!$A:$A,增益!$W:$W,0))+$I$5</f>
        <v>0.16</v>
      </c>
    </row>
    <row r="189" spans="11:70">
      <c r="K189" s="24">
        <f>$L189*VLOOKUP($R189,武学奇术!$A:$ZZ,31,FALSE)</f>
        <v>9755.04064276761</v>
      </c>
      <c r="L189" s="24">
        <f t="shared" si="74"/>
        <v>19510.0812855352</v>
      </c>
      <c r="M189" s="24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17239.3048626881</v>
      </c>
      <c r="N189" s="24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28257.9887966485</v>
      </c>
      <c r="O189" s="24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11492.8699084588</v>
      </c>
      <c r="P189" s="24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5346.545811519</v>
      </c>
      <c r="Q189" s="31">
        <v>2</v>
      </c>
      <c r="R189" s="32" t="s">
        <v>194</v>
      </c>
      <c r="S189" s="32" t="s">
        <v>87</v>
      </c>
      <c r="T189" s="32" t="s">
        <v>96</v>
      </c>
      <c r="U189" s="32" t="s">
        <v>97</v>
      </c>
      <c r="V189" s="32" t="s">
        <v>73</v>
      </c>
      <c r="W189" s="32" t="s">
        <v>73</v>
      </c>
      <c r="X189" s="32" t="s">
        <v>127</v>
      </c>
      <c r="Y189" s="32" t="s">
        <v>179</v>
      </c>
      <c r="Z189" s="32" t="s">
        <v>182</v>
      </c>
      <c r="AA189" s="32" t="s">
        <v>81</v>
      </c>
      <c r="AB189" s="32" t="s">
        <v>75</v>
      </c>
      <c r="AC189" s="32" t="s">
        <v>89</v>
      </c>
      <c r="AD189" s="32" t="s">
        <v>82</v>
      </c>
      <c r="AE189" s="32" t="s">
        <v>183</v>
      </c>
      <c r="AF189" s="32" t="s">
        <v>73</v>
      </c>
      <c r="AG189" s="32" t="s">
        <v>178</v>
      </c>
      <c r="AH189" t="str">
        <f>VLOOKUP($R189,武学奇术!$A:$ZZ,25,FALSE)</f>
        <v>单体奇术</v>
      </c>
      <c r="AI189" s="21">
        <f>VLOOKUP($R189,武学奇术!$A:$ZZ,26,FALSE)</f>
        <v>0.236</v>
      </c>
      <c r="AJ189" s="22">
        <f>VLOOKUP($R189,武学奇术!$A:$ZZ,27,FALSE)*(1+IF(OR($AH189=$F$4,$AH189=$F$5),$B$22,0))</f>
        <v>46</v>
      </c>
      <c r="AK189" s="21">
        <f>VLOOKUP($R189,武学奇术!$A:$ZZ,28,FALSE)</f>
        <v>0.354</v>
      </c>
      <c r="AL189" s="22">
        <f>VLOOKUP($R189,武学奇术!$A:$ZZ,29,FALSE)*(1+IF(OR($AH189=$F$4,$AH189=$F$5),$B$22,0))</f>
        <v>0</v>
      </c>
      <c r="AM189" s="21" cm="1">
        <f t="array" ref="AM189">$G$3+IFERROR(VLOOKUP($AH189,$F$4:$G$7,2,FALSE),0)+VLOOKUP($R189,武学奇术!$A:$ZZ,2,FALSE)+SUM(_xlfn.XLOOKUP($S189:$AG189,增益!$A:$A,增益!$B:$B,0))</f>
        <v>1.573</v>
      </c>
      <c r="AN189" s="21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1831.48</v>
      </c>
      <c r="AP189" cm="1">
        <f t="array" ref="AP189">$E$10*(1+$AN189)+VLOOKUP($R189,武学奇术!$A:$ZZ,4,FALSE)+SUM(_xlfn.XLOOKUP($S189:$AG189,增益!$A:$A,增益!$D:$D,0))-$I$2</f>
        <v>7763.56</v>
      </c>
      <c r="AQ189" s="26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0.294</v>
      </c>
      <c r="AR189" s="26" cm="1">
        <f t="array" ref="AR189">$G$10+VLOOKUP($R189,武学奇术!$A:$ZZ,7,FALSE)+SUM(_xlfn.XLOOKUP(S189:AG189,增益!$A:$A,增益!$G:$G,0))</f>
        <v>0</v>
      </c>
      <c r="AS189" s="21" cm="1">
        <f t="array" ref="AS189">VLOOKUP($R189,武学奇术!$A:$ZZ,8,FALSE)+SUM(_xlfn.XLOOKUP(S189:AG189,增益!$A:$A,增益!$H:$H,0))</f>
        <v>0</v>
      </c>
      <c r="AT189">
        <f t="shared" si="75"/>
        <v>680.02</v>
      </c>
      <c r="AU189">
        <f t="shared" si="76"/>
        <v>1288.54</v>
      </c>
      <c r="AV189" s="26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26" cm="1">
        <f t="array" ref="AW189">$G$11+VLOOKUP($R189,武学奇术!$A:$ZZ,10,FALSE)+SUM(_xlfn.XLOOKUP(S189:AG189,增益!$A:$A,增益!$J:$J,0))</f>
        <v>0.15</v>
      </c>
      <c r="AX189">
        <f t="shared" si="77"/>
        <v>0</v>
      </c>
      <c r="AY189">
        <f t="shared" si="78"/>
        <v>0</v>
      </c>
      <c r="AZ189" s="26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26" cm="1">
        <f t="array" ref="BA189">$G$12+VLOOKUP($R189,武学奇术!$A:$ZZ,12,FALSE)+SUM(_xlfn.XLOOKUP(S189:AG189,增益!$A:$A,增益!$L:$L,0))</f>
        <v>0</v>
      </c>
      <c r="BB189">
        <f t="shared" si="79"/>
        <v>0</v>
      </c>
      <c r="BC189">
        <f t="shared" si="80"/>
        <v>0</v>
      </c>
      <c r="BD189" s="26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26" cm="1">
        <f t="array" ref="BE189">$G$13+VLOOKUP($R189,武学奇术!$A:$ZZ,14,FALSE)+SUM(_xlfn.XLOOKUP(S189:AG189,增益!$A:$A,增益!$N:$N,0))</f>
        <v>0</v>
      </c>
      <c r="BF189">
        <f t="shared" si="81"/>
        <v>0</v>
      </c>
      <c r="BG189">
        <f t="shared" si="82"/>
        <v>0</v>
      </c>
      <c r="BH189" s="26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26" cm="1">
        <f t="array" ref="BI189">$G$14+VLOOKUP($R189,武学奇术!$A:$ZZ,16,FALSE)+SUM(_xlfn.XLOOKUP(S189:AG189,增益!$A:$A,增益!$P:$P,0))</f>
        <v>0</v>
      </c>
      <c r="BJ189" s="21">
        <f>MIN(IF(VLOOKUP($R189,武学奇术!$A:$ZZ,23,FALSE)=1,100%,$B$8),100%)</f>
        <v>0.8229</v>
      </c>
      <c r="BK189" s="21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0.2285</v>
      </c>
      <c r="BL189" s="21" cm="1">
        <f t="array" ref="BL189">1+$B$13+VLOOKUP($R189,武学奇术!$A:$ZZ,18,FALSE)+SUM(_xlfn.XLOOKUP(S189:AG189,增益!$A:$A,增益!$R:$R,0))</f>
        <v>1.5</v>
      </c>
      <c r="BM189" s="21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0.4495</v>
      </c>
      <c r="BN189" s="21" cm="1">
        <f t="array" ref="BN189">1+$B$14+VLOOKUP($R189,武学奇术!$A:$ZZ,20,FALSE)+SUM(_xlfn.XLOOKUP(S189:AG189,增益!$A:$A,增益!$T:$T,0))</f>
        <v>1.602</v>
      </c>
      <c r="BO189" s="21">
        <f t="shared" si="83"/>
        <v>0.18803265</v>
      </c>
      <c r="BP189" s="21">
        <f t="shared" si="84"/>
        <v>0.2649738</v>
      </c>
      <c r="BQ189" s="21">
        <f>IF(VLOOKUP($R189,武学奇术!$A:$ZZ,22,FALSE)=1,0,(1-$BJ189))*(1-$BM189)</f>
        <v>0.09749355</v>
      </c>
      <c r="BR189" s="21" cm="1">
        <f t="array" ref="BR189">SUM(_xlfn.XLOOKUP(S189:AG189,增益!$A:$A,增益!$W:$W,0))+$I$5</f>
        <v>0.16</v>
      </c>
    </row>
    <row r="190" spans="11:70">
      <c r="K190" s="24">
        <f>$L190*VLOOKUP($R190,武学奇术!$A:$ZZ,31,FALSE)</f>
        <v>9793.5987753912</v>
      </c>
      <c r="L190" s="24">
        <f t="shared" si="74"/>
        <v>19587.1975507824</v>
      </c>
      <c r="M190" s="24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17324.0718997803</v>
      </c>
      <c r="N190" s="24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28348.5199922629</v>
      </c>
      <c r="O190" s="24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11549.3812665202</v>
      </c>
      <c r="P190" s="24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5403.05716958044</v>
      </c>
      <c r="Q190" s="31">
        <v>2</v>
      </c>
      <c r="R190" s="32" t="s">
        <v>194</v>
      </c>
      <c r="S190" s="32" t="s">
        <v>87</v>
      </c>
      <c r="T190" s="32" t="s">
        <v>96</v>
      </c>
      <c r="U190" s="32" t="s">
        <v>97</v>
      </c>
      <c r="V190" s="32" t="s">
        <v>73</v>
      </c>
      <c r="W190" s="32" t="s">
        <v>111</v>
      </c>
      <c r="X190" s="32" t="s">
        <v>127</v>
      </c>
      <c r="Y190" s="32" t="s">
        <v>179</v>
      </c>
      <c r="Z190" s="32" t="s">
        <v>182</v>
      </c>
      <c r="AA190" s="32" t="s">
        <v>81</v>
      </c>
      <c r="AB190" s="32" t="s">
        <v>75</v>
      </c>
      <c r="AC190" s="32" t="s">
        <v>89</v>
      </c>
      <c r="AD190" s="32" t="s">
        <v>82</v>
      </c>
      <c r="AE190" s="32" t="s">
        <v>183</v>
      </c>
      <c r="AF190" s="32" t="s">
        <v>73</v>
      </c>
      <c r="AG190" s="32" t="s">
        <v>178</v>
      </c>
      <c r="AH190" t="str">
        <f>VLOOKUP($R190,武学奇术!$A:$ZZ,25,FALSE)</f>
        <v>单体奇术</v>
      </c>
      <c r="AI190" s="21">
        <f>VLOOKUP($R190,武学奇术!$A:$ZZ,26,FALSE)</f>
        <v>0.236</v>
      </c>
      <c r="AJ190" s="22">
        <f>VLOOKUP($R190,武学奇术!$A:$ZZ,27,FALSE)*(1+IF(OR($AH190=$F$4,$AH190=$F$5),$B$22,0))</f>
        <v>46</v>
      </c>
      <c r="AK190" s="21">
        <f>VLOOKUP($R190,武学奇术!$A:$ZZ,28,FALSE)</f>
        <v>0.354</v>
      </c>
      <c r="AL190" s="22">
        <f>VLOOKUP($R190,武学奇术!$A:$ZZ,29,FALSE)*(1+IF(OR($AH190=$F$4,$AH190=$F$5),$B$22,0))</f>
        <v>0</v>
      </c>
      <c r="AM190" s="21" cm="1">
        <f t="array" ref="AM190">$G$3+IFERROR(VLOOKUP($AH190,$F$4:$G$7,2,FALSE),0)+VLOOKUP($R190,武学奇术!$A:$ZZ,2,FALSE)+SUM(_xlfn.XLOOKUP($S190:$AG190,增益!$A:$A,增益!$B:$B,0))</f>
        <v>1.573</v>
      </c>
      <c r="AN190" s="21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1862.48</v>
      </c>
      <c r="AP190" cm="1">
        <f t="array" ref="AP190">$E$10*(1+$AN190)+VLOOKUP($R190,武学奇术!$A:$ZZ,4,FALSE)+SUM(_xlfn.XLOOKUP($S190:$AG190,增益!$A:$A,增益!$D:$D,0))-$I$2</f>
        <v>7794.56</v>
      </c>
      <c r="AQ190" s="26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0.294</v>
      </c>
      <c r="AR190" s="26" cm="1">
        <f t="array" ref="AR190">$G$10+VLOOKUP($R190,武学奇术!$A:$ZZ,7,FALSE)+SUM(_xlfn.XLOOKUP(S190:AG190,增益!$A:$A,增益!$G:$G,0))</f>
        <v>0</v>
      </c>
      <c r="AS190" s="21" cm="1">
        <f t="array" ref="AS190">VLOOKUP($R190,武学奇术!$A:$ZZ,8,FALSE)+SUM(_xlfn.XLOOKUP(S190:AG190,增益!$A:$A,增益!$H:$H,0))</f>
        <v>0</v>
      </c>
      <c r="AT190">
        <f t="shared" si="75"/>
        <v>680.02</v>
      </c>
      <c r="AU190">
        <f t="shared" si="76"/>
        <v>1288.54</v>
      </c>
      <c r="AV190" s="26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26" cm="1">
        <f t="array" ref="AW190">$G$11+VLOOKUP($R190,武学奇术!$A:$ZZ,10,FALSE)+SUM(_xlfn.XLOOKUP(S190:AG190,增益!$A:$A,增益!$J:$J,0))</f>
        <v>0.15</v>
      </c>
      <c r="AX190">
        <f t="shared" si="77"/>
        <v>0</v>
      </c>
      <c r="AY190">
        <f t="shared" si="78"/>
        <v>0</v>
      </c>
      <c r="AZ190" s="26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26" cm="1">
        <f t="array" ref="BA190">$G$12+VLOOKUP($R190,武学奇术!$A:$ZZ,12,FALSE)+SUM(_xlfn.XLOOKUP(S190:AG190,增益!$A:$A,增益!$L:$L,0))</f>
        <v>0</v>
      </c>
      <c r="BB190">
        <f t="shared" si="79"/>
        <v>0</v>
      </c>
      <c r="BC190">
        <f t="shared" si="80"/>
        <v>0</v>
      </c>
      <c r="BD190" s="26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26" cm="1">
        <f t="array" ref="BE190">$G$13+VLOOKUP($R190,武学奇术!$A:$ZZ,14,FALSE)+SUM(_xlfn.XLOOKUP(S190:AG190,增益!$A:$A,增益!$N:$N,0))</f>
        <v>0</v>
      </c>
      <c r="BF190">
        <f t="shared" si="81"/>
        <v>0</v>
      </c>
      <c r="BG190">
        <f t="shared" si="82"/>
        <v>0</v>
      </c>
      <c r="BH190" s="26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26" cm="1">
        <f t="array" ref="BI190">$G$14+VLOOKUP($R190,武学奇术!$A:$ZZ,16,FALSE)+SUM(_xlfn.XLOOKUP(S190:AG190,增益!$A:$A,增益!$P:$P,0))</f>
        <v>0</v>
      </c>
      <c r="BJ190" s="21">
        <f>MIN(IF(VLOOKUP($R190,武学奇术!$A:$ZZ,23,FALSE)=1,100%,$B$8),100%)</f>
        <v>0.8229</v>
      </c>
      <c r="BK190" s="21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0.2285</v>
      </c>
      <c r="BL190" s="21" cm="1">
        <f t="array" ref="BL190">1+$B$13+VLOOKUP($R190,武学奇术!$A:$ZZ,18,FALSE)+SUM(_xlfn.XLOOKUP(S190:AG190,增益!$A:$A,增益!$R:$R,0))</f>
        <v>1.5</v>
      </c>
      <c r="BM190" s="21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0.4495</v>
      </c>
      <c r="BN190" s="21" cm="1">
        <f t="array" ref="BN190">1+$B$14+VLOOKUP($R190,武学奇术!$A:$ZZ,20,FALSE)+SUM(_xlfn.XLOOKUP(S190:AG190,增益!$A:$A,增益!$T:$T,0))</f>
        <v>1.602</v>
      </c>
      <c r="BO190" s="21">
        <f t="shared" si="83"/>
        <v>0.18803265</v>
      </c>
      <c r="BP190" s="21">
        <f t="shared" si="84"/>
        <v>0.2649738</v>
      </c>
      <c r="BQ190" s="21">
        <f>IF(VLOOKUP($R190,武学奇术!$A:$ZZ,22,FALSE)=1,0,(1-$BJ190))*(1-$BM190)</f>
        <v>0.09749355</v>
      </c>
      <c r="BR190" s="21" cm="1">
        <f t="array" ref="BR190">SUM(_xlfn.XLOOKUP(S190:AG190,增益!$A:$A,增益!$W:$W,0))+$I$5</f>
        <v>0.16</v>
      </c>
    </row>
    <row r="191" spans="11:70">
      <c r="K191" s="24">
        <f>$L191*VLOOKUP($R191,武学奇术!$A:$ZZ,31,FALSE)</f>
        <v>14404.9259873564</v>
      </c>
      <c r="L191" s="24">
        <f t="shared" si="74"/>
        <v>28809.8519747128</v>
      </c>
      <c r="M191" s="24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25481.131016214</v>
      </c>
      <c r="N191" s="24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41696.4531328095</v>
      </c>
      <c r="O191" s="24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16987.420677476</v>
      </c>
      <c r="P191" s="24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7947.09283259897</v>
      </c>
      <c r="Q191" s="31">
        <v>3</v>
      </c>
      <c r="R191" s="32" t="s">
        <v>194</v>
      </c>
      <c r="S191" s="32" t="s">
        <v>87</v>
      </c>
      <c r="T191" s="32" t="s">
        <v>96</v>
      </c>
      <c r="U191" s="32" t="s">
        <v>97</v>
      </c>
      <c r="V191" s="32" t="s">
        <v>73</v>
      </c>
      <c r="W191" s="32" t="s">
        <v>111</v>
      </c>
      <c r="X191" s="32" t="s">
        <v>127</v>
      </c>
      <c r="Y191" s="32" t="s">
        <v>179</v>
      </c>
      <c r="Z191" s="32" t="s">
        <v>182</v>
      </c>
      <c r="AA191" s="32" t="s">
        <v>81</v>
      </c>
      <c r="AB191" s="32" t="s">
        <v>75</v>
      </c>
      <c r="AC191" s="32" t="s">
        <v>89</v>
      </c>
      <c r="AD191" s="32" t="s">
        <v>82</v>
      </c>
      <c r="AE191" s="32" t="s">
        <v>90</v>
      </c>
      <c r="AF191" s="32" t="s">
        <v>73</v>
      </c>
      <c r="AG191" s="32" t="s">
        <v>178</v>
      </c>
      <c r="AH191" t="str">
        <f>VLOOKUP($R191,武学奇术!$A:$ZZ,25,FALSE)</f>
        <v>单体奇术</v>
      </c>
      <c r="AI191" s="21">
        <f>VLOOKUP($R191,武学奇术!$A:$ZZ,26,FALSE)</f>
        <v>0.236</v>
      </c>
      <c r="AJ191" s="22">
        <f>VLOOKUP($R191,武学奇术!$A:$ZZ,27,FALSE)*(1+IF(OR($AH191=$F$4,$AH191=$F$5),$B$22,0))</f>
        <v>46</v>
      </c>
      <c r="AK191" s="21">
        <f>VLOOKUP($R191,武学奇术!$A:$ZZ,28,FALSE)</f>
        <v>0.354</v>
      </c>
      <c r="AL191" s="22">
        <f>VLOOKUP($R191,武学奇术!$A:$ZZ,29,FALSE)*(1+IF(OR($AH191=$F$4,$AH191=$F$5),$B$22,0))</f>
        <v>0</v>
      </c>
      <c r="AM191" s="21" cm="1">
        <f t="array" ref="AM191">$G$3+IFERROR(VLOOKUP($AH191,$F$4:$G$7,2,FALSE),0)+VLOOKUP($R191,武学奇术!$A:$ZZ,2,FALSE)+SUM(_xlfn.XLOOKUP($S191:$AG191,增益!$A:$A,增益!$B:$B,0))</f>
        <v>1.523</v>
      </c>
      <c r="AN191" s="21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1862.48</v>
      </c>
      <c r="AP191" cm="1">
        <f t="array" ref="AP191">$E$10*(1+$AN191)+VLOOKUP($R191,武学奇术!$A:$ZZ,4,FALSE)+SUM(_xlfn.XLOOKUP($S191:$AG191,增益!$A:$A,增益!$D:$D,0))-$I$2</f>
        <v>7794.56</v>
      </c>
      <c r="AQ191" s="26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0.294</v>
      </c>
      <c r="AR191" s="26" cm="1">
        <f t="array" ref="AR191">$G$10+VLOOKUP($R191,武学奇术!$A:$ZZ,7,FALSE)+SUM(_xlfn.XLOOKUP(S191:AG191,增益!$A:$A,增益!$G:$G,0))</f>
        <v>0</v>
      </c>
      <c r="AS191" s="21" cm="1">
        <f t="array" ref="AS191">VLOOKUP($R191,武学奇术!$A:$ZZ,8,FALSE)+SUM(_xlfn.XLOOKUP(S191:AG191,增益!$A:$A,增益!$H:$H,0))</f>
        <v>0</v>
      </c>
      <c r="AT191">
        <f t="shared" si="75"/>
        <v>680.02</v>
      </c>
      <c r="AU191">
        <f t="shared" si="76"/>
        <v>1288.54</v>
      </c>
      <c r="AV191" s="26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26" cm="1">
        <f t="array" ref="AW191">$G$11+VLOOKUP($R191,武学奇术!$A:$ZZ,10,FALSE)+SUM(_xlfn.XLOOKUP(S191:AG191,增益!$A:$A,增益!$J:$J,0))</f>
        <v>0.15</v>
      </c>
      <c r="AX191">
        <f t="shared" si="77"/>
        <v>0</v>
      </c>
      <c r="AY191">
        <f t="shared" si="78"/>
        <v>0</v>
      </c>
      <c r="AZ191" s="26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26" cm="1">
        <f t="array" ref="BA191">$G$12+VLOOKUP($R191,武学奇术!$A:$ZZ,12,FALSE)+SUM(_xlfn.XLOOKUP(S191:AG191,增益!$A:$A,增益!$L:$L,0))</f>
        <v>0</v>
      </c>
      <c r="BB191">
        <f t="shared" si="79"/>
        <v>0</v>
      </c>
      <c r="BC191">
        <f t="shared" si="80"/>
        <v>0</v>
      </c>
      <c r="BD191" s="26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26" cm="1">
        <f t="array" ref="BE191">$G$13+VLOOKUP($R191,武学奇术!$A:$ZZ,14,FALSE)+SUM(_xlfn.XLOOKUP(S191:AG191,增益!$A:$A,增益!$N:$N,0))</f>
        <v>0</v>
      </c>
      <c r="BF191">
        <f t="shared" si="81"/>
        <v>0</v>
      </c>
      <c r="BG191">
        <f t="shared" si="82"/>
        <v>0</v>
      </c>
      <c r="BH191" s="26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26" cm="1">
        <f t="array" ref="BI191">$G$14+VLOOKUP($R191,武学奇术!$A:$ZZ,16,FALSE)+SUM(_xlfn.XLOOKUP(S191:AG191,增益!$A:$A,增益!$P:$P,0))</f>
        <v>0</v>
      </c>
      <c r="BJ191" s="21">
        <f>MIN(IF(VLOOKUP($R191,武学奇术!$A:$ZZ,23,FALSE)=1,100%,$B$8),100%)</f>
        <v>0.8229</v>
      </c>
      <c r="BK191" s="21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0.2285</v>
      </c>
      <c r="BL191" s="21" cm="1">
        <f t="array" ref="BL191">1+$B$13+VLOOKUP($R191,武学奇术!$A:$ZZ,18,FALSE)+SUM(_xlfn.XLOOKUP(S191:AG191,增益!$A:$A,增益!$R:$R,0))</f>
        <v>1.5</v>
      </c>
      <c r="BM191" s="21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0.4495</v>
      </c>
      <c r="BN191" s="21" cm="1">
        <f t="array" ref="BN191">1+$B$14+VLOOKUP($R191,武学奇术!$A:$ZZ,20,FALSE)+SUM(_xlfn.XLOOKUP(S191:AG191,增益!$A:$A,增益!$T:$T,0))</f>
        <v>1.602</v>
      </c>
      <c r="BO191" s="21">
        <f t="shared" si="83"/>
        <v>0.18803265</v>
      </c>
      <c r="BP191" s="21">
        <f t="shared" si="84"/>
        <v>0.2649738</v>
      </c>
      <c r="BQ191" s="21">
        <f>IF(VLOOKUP($R191,武学奇术!$A:$ZZ,22,FALSE)=1,0,(1-$BJ191))*(1-$BM191)</f>
        <v>0.09749355</v>
      </c>
      <c r="BR191" s="21" cm="1">
        <f t="array" ref="BR191">SUM(_xlfn.XLOOKUP(S191:AG191,增益!$A:$A,增益!$W:$W,0))+$I$5</f>
        <v>0.16</v>
      </c>
    </row>
    <row r="192" spans="11:70">
      <c r="K192" s="24">
        <f>$L192*VLOOKUP($R192,武学奇术!$A:$ZZ,31,FALSE)</f>
        <v>0</v>
      </c>
      <c r="L192" s="24">
        <f t="shared" si="74"/>
        <v>0</v>
      </c>
      <c r="M192" s="24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0</v>
      </c>
      <c r="N192" s="24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0</v>
      </c>
      <c r="O192" s="24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0</v>
      </c>
      <c r="P192" s="24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0</v>
      </c>
      <c r="Q192" s="31"/>
      <c r="R192" s="32" t="s">
        <v>73</v>
      </c>
      <c r="S192" s="32" t="s">
        <v>73</v>
      </c>
      <c r="T192" s="32" t="s">
        <v>73</v>
      </c>
      <c r="U192" s="32" t="s">
        <v>73</v>
      </c>
      <c r="V192" s="32" t="s">
        <v>73</v>
      </c>
      <c r="W192" s="32" t="s">
        <v>73</v>
      </c>
      <c r="X192" s="32" t="s">
        <v>73</v>
      </c>
      <c r="Y192" s="32" t="s">
        <v>73</v>
      </c>
      <c r="Z192" s="32" t="s">
        <v>73</v>
      </c>
      <c r="AA192" s="32" t="s">
        <v>73</v>
      </c>
      <c r="AB192" s="32" t="s">
        <v>73</v>
      </c>
      <c r="AC192" s="32" t="s">
        <v>73</v>
      </c>
      <c r="AD192" s="32" t="s">
        <v>73</v>
      </c>
      <c r="AE192" s="32" t="s">
        <v>73</v>
      </c>
      <c r="AF192" s="32" t="s">
        <v>73</v>
      </c>
      <c r="AG192" s="32" t="s">
        <v>73</v>
      </c>
      <c r="AH192" t="str">
        <f>VLOOKUP($R192,武学奇术!$A:$ZZ,25,FALSE)</f>
        <v>心法</v>
      </c>
      <c r="AI192" s="21">
        <f>VLOOKUP($R192,武学奇术!$A:$ZZ,26,FALSE)</f>
        <v>0</v>
      </c>
      <c r="AJ192" s="22">
        <f>VLOOKUP($R192,武学奇术!$A:$ZZ,27,FALSE)*(1+IF(OR($AH192=$F$4,$AH192=$F$5),$B$22,0))</f>
        <v>0</v>
      </c>
      <c r="AK192" s="21">
        <f>VLOOKUP($R192,武学奇术!$A:$ZZ,28,FALSE)</f>
        <v>0</v>
      </c>
      <c r="AL192" s="22">
        <f>VLOOKUP($R192,武学奇术!$A:$ZZ,29,FALSE)*(1+IF(OR($AH192=$F$4,$AH192=$F$5),$B$22,0))</f>
        <v>0</v>
      </c>
      <c r="AM192" s="21" cm="1">
        <f t="array" ref="AM192">$G$3+IFERROR(VLOOKUP($AH192,$F$4:$G$7,2,FALSE),0)+VLOOKUP($R192,武学奇术!$A:$ZZ,2,FALSE)+SUM(_xlfn.XLOOKUP($S192:$AG192,增益!$A:$A,增益!$B:$B,0))</f>
        <v>0.1842</v>
      </c>
      <c r="AN192" s="21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1831.48</v>
      </c>
      <c r="AP192" cm="1">
        <f t="array" ref="AP192">$E$10*(1+$AN192)+VLOOKUP($R192,武学奇术!$A:$ZZ,4,FALSE)+SUM(_xlfn.XLOOKUP($S192:$AG192,增益!$A:$A,增益!$D:$D,0))-$I$2</f>
        <v>7763.56</v>
      </c>
      <c r="AQ192" s="26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0.244</v>
      </c>
      <c r="AR192" s="26" cm="1">
        <f t="array" ref="AR192">$G$10+VLOOKUP($R192,武学奇术!$A:$ZZ,7,FALSE)+SUM(_xlfn.XLOOKUP(S192:AG192,增益!$A:$A,增益!$G:$G,0))</f>
        <v>0</v>
      </c>
      <c r="AS192" s="21" cm="1">
        <f t="array" ref="AS192">VLOOKUP($R192,武学奇术!$A:$ZZ,8,FALSE)+SUM(_xlfn.XLOOKUP(S192:AG192,增益!$A:$A,增益!$H:$H,0))</f>
        <v>0</v>
      </c>
      <c r="AT192">
        <f t="shared" si="75"/>
        <v>680.02</v>
      </c>
      <c r="AU192">
        <f t="shared" si="76"/>
        <v>1288.54</v>
      </c>
      <c r="AV192" s="26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26" cm="1">
        <f t="array" ref="AW192">$G$11+VLOOKUP($R192,武学奇术!$A:$ZZ,10,FALSE)+SUM(_xlfn.XLOOKUP(S192:AG192,增益!$A:$A,增益!$J:$J,0))</f>
        <v>0.15</v>
      </c>
      <c r="AX192">
        <f t="shared" si="77"/>
        <v>0</v>
      </c>
      <c r="AY192">
        <f t="shared" si="78"/>
        <v>0</v>
      </c>
      <c r="AZ192" s="26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26" cm="1">
        <f t="array" ref="BA192">$G$12+VLOOKUP($R192,武学奇术!$A:$ZZ,12,FALSE)+SUM(_xlfn.XLOOKUP(S192:AG192,增益!$A:$A,增益!$L:$L,0))</f>
        <v>0</v>
      </c>
      <c r="BB192">
        <f t="shared" si="79"/>
        <v>0</v>
      </c>
      <c r="BC192">
        <f t="shared" si="80"/>
        <v>0</v>
      </c>
      <c r="BD192" s="26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26" cm="1">
        <f t="array" ref="BE192">$G$13+VLOOKUP($R192,武学奇术!$A:$ZZ,14,FALSE)+SUM(_xlfn.XLOOKUP(S192:AG192,增益!$A:$A,增益!$N:$N,0))</f>
        <v>0</v>
      </c>
      <c r="BF192">
        <f t="shared" si="81"/>
        <v>0</v>
      </c>
      <c r="BG192">
        <f t="shared" si="82"/>
        <v>0</v>
      </c>
      <c r="BH192" s="26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26" cm="1">
        <f t="array" ref="BI192">$G$14+VLOOKUP($R192,武学奇术!$A:$ZZ,16,FALSE)+SUM(_xlfn.XLOOKUP(S192:AG192,增益!$A:$A,增益!$P:$P,0))</f>
        <v>0</v>
      </c>
      <c r="BJ192" s="21">
        <f>MIN(IF(VLOOKUP($R192,武学奇术!$A:$ZZ,23,FALSE)=1,100%,$B$8),100%)</f>
        <v>0.8229</v>
      </c>
      <c r="BK192" s="21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0.2285</v>
      </c>
      <c r="BL192" s="21" cm="1">
        <f t="array" ref="BL192">1+$B$13+VLOOKUP($R192,武学奇术!$A:$ZZ,18,FALSE)+SUM(_xlfn.XLOOKUP(S192:AG192,增益!$A:$A,增益!$R:$R,0))</f>
        <v>1.5</v>
      </c>
      <c r="BM192" s="21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0.4195</v>
      </c>
      <c r="BN192" s="21" cm="1">
        <f t="array" ref="BN192">1+$B$14+VLOOKUP($R192,武学奇术!$A:$ZZ,20,FALSE)+SUM(_xlfn.XLOOKUP(S192:AG192,增益!$A:$A,增益!$T:$T,0))</f>
        <v>1.402</v>
      </c>
      <c r="BO192" s="21">
        <f t="shared" si="83"/>
        <v>0.18803265</v>
      </c>
      <c r="BP192" s="21">
        <f t="shared" si="84"/>
        <v>0.2896608</v>
      </c>
      <c r="BQ192" s="21">
        <f>IF(VLOOKUP($R192,武学奇术!$A:$ZZ,22,FALSE)=1,0,(1-$BJ192))*(1-$BM192)</f>
        <v>0.10280655</v>
      </c>
      <c r="BR192" s="21" cm="1">
        <f t="array" ref="BR192">SUM(_xlfn.XLOOKUP(S192:AG192,增益!$A:$A,增益!$W:$W,0))+$I$5</f>
        <v>0.06</v>
      </c>
    </row>
    <row r="193" spans="11:70">
      <c r="K193" s="24">
        <f>$L193*VLOOKUP($R193,武学奇术!$A:$ZZ,31,FALSE)</f>
        <v>4681.51143716659</v>
      </c>
      <c r="L193" s="24">
        <f t="shared" si="74"/>
        <v>7802.51906194432</v>
      </c>
      <c r="M193" s="24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7081.10530509</v>
      </c>
      <c r="N193" s="24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11644.7287363648</v>
      </c>
      <c r="O193" s="24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4720.73687006</v>
      </c>
      <c r="P193" s="24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2126.94563938832</v>
      </c>
      <c r="Q193" s="31">
        <v>1</v>
      </c>
      <c r="R193" s="32" t="s">
        <v>197</v>
      </c>
      <c r="S193" s="32" t="s">
        <v>72</v>
      </c>
      <c r="T193" s="32" t="s">
        <v>73</v>
      </c>
      <c r="U193" s="32" t="s">
        <v>73</v>
      </c>
      <c r="V193" s="32" t="s">
        <v>73</v>
      </c>
      <c r="W193" s="32" t="s">
        <v>73</v>
      </c>
      <c r="X193" s="32" t="s">
        <v>74</v>
      </c>
      <c r="Y193" s="32" t="s">
        <v>73</v>
      </c>
      <c r="Z193" s="32" t="s">
        <v>73</v>
      </c>
      <c r="AA193" s="32" t="s">
        <v>73</v>
      </c>
      <c r="AB193" s="32" t="s">
        <v>75</v>
      </c>
      <c r="AC193" s="32" t="s">
        <v>76</v>
      </c>
      <c r="AD193" s="32" t="s">
        <v>82</v>
      </c>
      <c r="AE193" s="32" t="s">
        <v>73</v>
      </c>
      <c r="AF193" s="32" t="s">
        <v>77</v>
      </c>
      <c r="AG193" s="32" t="s">
        <v>78</v>
      </c>
      <c r="AH193" t="str">
        <f>VLOOKUP($R193,武学奇术!$A:$ZZ,25,FALSE)</f>
        <v>剑</v>
      </c>
      <c r="AI193" s="21">
        <f>VLOOKUP($R193,武学奇术!$A:$ZZ,26,FALSE)</f>
        <v>0.2772</v>
      </c>
      <c r="AJ193" s="22">
        <f>VLOOKUP($R193,武学奇术!$A:$ZZ,27,FALSE)*(1+IF(OR($AH193=$F$4,$AH193=$F$5),$B$22,0))</f>
        <v>0</v>
      </c>
      <c r="AK193" s="21">
        <f>VLOOKUP($R193,武学奇术!$A:$ZZ,28,FALSE)</f>
        <v>0.4158</v>
      </c>
      <c r="AL193" s="22">
        <f>VLOOKUP($R193,武学奇术!$A:$ZZ,29,FALSE)*(1+IF(OR($AH193=$F$4,$AH193=$F$5),$B$22,0))</f>
        <v>0</v>
      </c>
      <c r="AM193" s="21" cm="1">
        <f t="array" ref="AM193">$G$3+IFERROR(VLOOKUP($AH193,$F$4:$G$7,2,FALSE),0)+VLOOKUP($R193,武学奇术!$A:$ZZ,2,FALSE)+SUM(_xlfn.XLOOKUP($S193:$AG193,增益!$A:$A,增益!$B:$B,0))</f>
        <v>0.4841</v>
      </c>
      <c r="AN193" s="21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1831.48</v>
      </c>
      <c r="AP193" cm="1">
        <f t="array" ref="AP193">$E$10*(1+$AN193)+VLOOKUP($R193,武学奇术!$A:$ZZ,4,FALSE)+SUM(_xlfn.XLOOKUP($S193:$AG193,增益!$A:$A,增益!$D:$D,0))-$I$2</f>
        <v>7763.56</v>
      </c>
      <c r="AQ193" s="26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0.329</v>
      </c>
      <c r="AR193" s="26" cm="1">
        <f t="array" ref="AR193">$G$10+VLOOKUP($R193,武学奇术!$A:$ZZ,7,FALSE)+SUM(_xlfn.XLOOKUP(S193:AG193,增益!$A:$A,增益!$G:$G,0))</f>
        <v>0</v>
      </c>
      <c r="AS193" s="21" cm="1">
        <f t="array" ref="AS193">VLOOKUP($R193,武学奇术!$A:$ZZ,8,FALSE)+SUM(_xlfn.XLOOKUP(S193:AG193,增益!$A:$A,增益!$H:$H,0))</f>
        <v>0</v>
      </c>
      <c r="AT193">
        <f t="shared" si="75"/>
        <v>680.02</v>
      </c>
      <c r="AU193">
        <f t="shared" si="76"/>
        <v>1288.54</v>
      </c>
      <c r="AV193" s="26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0.075</v>
      </c>
      <c r="AW193" s="26" cm="1">
        <f t="array" ref="AW193">$G$11+VLOOKUP($R193,武学奇术!$A:$ZZ,10,FALSE)+SUM(_xlfn.XLOOKUP(S193:AG193,增益!$A:$A,增益!$J:$J,0))</f>
        <v>0.15</v>
      </c>
      <c r="AX193">
        <f t="shared" si="77"/>
        <v>0</v>
      </c>
      <c r="AY193">
        <f t="shared" si="78"/>
        <v>0</v>
      </c>
      <c r="AZ193" s="26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26" cm="1">
        <f t="array" ref="BA193">$G$12+VLOOKUP($R193,武学奇术!$A:$ZZ,12,FALSE)+SUM(_xlfn.XLOOKUP(S193:AG193,增益!$A:$A,增益!$L:$L,0))</f>
        <v>0</v>
      </c>
      <c r="BB193">
        <f t="shared" si="79"/>
        <v>0</v>
      </c>
      <c r="BC193">
        <f t="shared" si="80"/>
        <v>0</v>
      </c>
      <c r="BD193" s="26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26" cm="1">
        <f t="array" ref="BE193">$G$13+VLOOKUP($R193,武学奇术!$A:$ZZ,14,FALSE)+SUM(_xlfn.XLOOKUP(S193:AG193,增益!$A:$A,增益!$N:$N,0))</f>
        <v>0</v>
      </c>
      <c r="BF193">
        <f t="shared" si="81"/>
        <v>0</v>
      </c>
      <c r="BG193">
        <f t="shared" si="82"/>
        <v>0</v>
      </c>
      <c r="BH193" s="26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26" cm="1">
        <f t="array" ref="BI193">$G$14+VLOOKUP($R193,武学奇术!$A:$ZZ,16,FALSE)+SUM(_xlfn.XLOOKUP(S193:AG193,增益!$A:$A,增益!$P:$P,0))</f>
        <v>0</v>
      </c>
      <c r="BJ193" s="21">
        <f>MIN(IF(VLOOKUP($R193,武学奇术!$A:$ZZ,23,FALSE)=1,100%,$B$8),100%)</f>
        <v>0.8229</v>
      </c>
      <c r="BK193" s="21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0.2285</v>
      </c>
      <c r="BL193" s="21" cm="1">
        <f t="array" ref="BL193">1+$B$13+VLOOKUP($R193,武学奇术!$A:$ZZ,18,FALSE)+SUM(_xlfn.XLOOKUP(S193:AG193,增益!$A:$A,增益!$R:$R,0))</f>
        <v>1.5</v>
      </c>
      <c r="BM193" s="21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0.4195</v>
      </c>
      <c r="BN193" s="21" cm="1">
        <f t="array" ref="BN193">1+$B$14+VLOOKUP($R193,武学奇术!$A:$ZZ,20,FALSE)+SUM(_xlfn.XLOOKUP(S193:AG193,增益!$A:$A,增益!$T:$T,0))</f>
        <v>1.592</v>
      </c>
      <c r="BO193" s="21">
        <f t="shared" si="83"/>
        <v>0.18803265</v>
      </c>
      <c r="BP193" s="21">
        <f t="shared" si="84"/>
        <v>0.2896608</v>
      </c>
      <c r="BQ193" s="21">
        <f>IF(VLOOKUP($R193,武学奇术!$A:$ZZ,22,FALSE)=1,0,(1-$BJ193))*(1-$BM193)</f>
        <v>0.10280655</v>
      </c>
      <c r="BR193" s="21" cm="1">
        <f t="array" ref="BR193">SUM(_xlfn.XLOOKUP(S193:AG193,增益!$A:$A,增益!$W:$W,0))+$I$5</f>
        <v>0.06</v>
      </c>
    </row>
    <row r="194" spans="11:70">
      <c r="K194" s="24">
        <f>$L194*VLOOKUP($R194,武学奇术!$A:$ZZ,31,FALSE)</f>
        <v>4681.51143716659</v>
      </c>
      <c r="L194" s="24">
        <f t="shared" si="74"/>
        <v>7802.51906194432</v>
      </c>
      <c r="M194" s="24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7081.10530509</v>
      </c>
      <c r="N194" s="24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11644.7287363648</v>
      </c>
      <c r="O194" s="24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4720.73687006</v>
      </c>
      <c r="P194" s="24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2126.94563938832</v>
      </c>
      <c r="Q194" s="31">
        <v>1</v>
      </c>
      <c r="R194" s="32" t="s">
        <v>197</v>
      </c>
      <c r="S194" s="32" t="s">
        <v>72</v>
      </c>
      <c r="T194" s="32" t="s">
        <v>73</v>
      </c>
      <c r="U194" s="32" t="s">
        <v>73</v>
      </c>
      <c r="V194" s="32" t="s">
        <v>73</v>
      </c>
      <c r="W194" s="32" t="s">
        <v>73</v>
      </c>
      <c r="X194" s="32" t="s">
        <v>74</v>
      </c>
      <c r="Y194" s="32" t="s">
        <v>73</v>
      </c>
      <c r="Z194" s="32" t="s">
        <v>73</v>
      </c>
      <c r="AA194" s="32" t="s">
        <v>81</v>
      </c>
      <c r="AB194" s="32" t="s">
        <v>75</v>
      </c>
      <c r="AC194" s="32" t="s">
        <v>76</v>
      </c>
      <c r="AD194" s="32" t="s">
        <v>82</v>
      </c>
      <c r="AE194" s="32" t="s">
        <v>73</v>
      </c>
      <c r="AF194" s="32" t="s">
        <v>77</v>
      </c>
      <c r="AG194" s="32" t="s">
        <v>78</v>
      </c>
      <c r="AH194" t="str">
        <f>VLOOKUP($R194,武学奇术!$A:$ZZ,25,FALSE)</f>
        <v>剑</v>
      </c>
      <c r="AI194" s="21">
        <f>VLOOKUP($R194,武学奇术!$A:$ZZ,26,FALSE)</f>
        <v>0.2772</v>
      </c>
      <c r="AJ194" s="22">
        <f>VLOOKUP($R194,武学奇术!$A:$ZZ,27,FALSE)*(1+IF(OR($AH194=$F$4,$AH194=$F$5),$B$22,0))</f>
        <v>0</v>
      </c>
      <c r="AK194" s="21">
        <f>VLOOKUP($R194,武学奇术!$A:$ZZ,28,FALSE)</f>
        <v>0.4158</v>
      </c>
      <c r="AL194" s="22">
        <f>VLOOKUP($R194,武学奇术!$A:$ZZ,29,FALSE)*(1+IF(OR($AH194=$F$4,$AH194=$F$5),$B$22,0))</f>
        <v>0</v>
      </c>
      <c r="AM194" s="21" cm="1">
        <f t="array" ref="AM194">$G$3+IFERROR(VLOOKUP($AH194,$F$4:$G$7,2,FALSE),0)+VLOOKUP($R194,武学奇术!$A:$ZZ,2,FALSE)+SUM(_xlfn.XLOOKUP($S194:$AG194,增益!$A:$A,增益!$B:$B,0))</f>
        <v>0.4841</v>
      </c>
      <c r="AN194" s="21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1831.48</v>
      </c>
      <c r="AP194" cm="1">
        <f t="array" ref="AP194">$E$10*(1+$AN194)+VLOOKUP($R194,武学奇术!$A:$ZZ,4,FALSE)+SUM(_xlfn.XLOOKUP($S194:$AG194,增益!$A:$A,增益!$D:$D,0))-$I$2</f>
        <v>7763.56</v>
      </c>
      <c r="AQ194" s="26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0.329</v>
      </c>
      <c r="AR194" s="26" cm="1">
        <f t="array" ref="AR194">$G$10+VLOOKUP($R194,武学奇术!$A:$ZZ,7,FALSE)+SUM(_xlfn.XLOOKUP(S194:AG194,增益!$A:$A,增益!$G:$G,0))</f>
        <v>0</v>
      </c>
      <c r="AS194" s="21" cm="1">
        <f t="array" ref="AS194">VLOOKUP($R194,武学奇术!$A:$ZZ,8,FALSE)+SUM(_xlfn.XLOOKUP(S194:AG194,增益!$A:$A,增益!$H:$H,0))</f>
        <v>0</v>
      </c>
      <c r="AT194">
        <f t="shared" si="75"/>
        <v>680.02</v>
      </c>
      <c r="AU194">
        <f t="shared" si="76"/>
        <v>1288.54</v>
      </c>
      <c r="AV194" s="26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0.075</v>
      </c>
      <c r="AW194" s="26" cm="1">
        <f t="array" ref="AW194">$G$11+VLOOKUP($R194,武学奇术!$A:$ZZ,10,FALSE)+SUM(_xlfn.XLOOKUP(S194:AG194,增益!$A:$A,增益!$J:$J,0))</f>
        <v>0.15</v>
      </c>
      <c r="AX194">
        <f t="shared" si="77"/>
        <v>0</v>
      </c>
      <c r="AY194">
        <f t="shared" si="78"/>
        <v>0</v>
      </c>
      <c r="AZ194" s="26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26" cm="1">
        <f t="array" ref="BA194">$G$12+VLOOKUP($R194,武学奇术!$A:$ZZ,12,FALSE)+SUM(_xlfn.XLOOKUP(S194:AG194,增益!$A:$A,增益!$L:$L,0))</f>
        <v>0</v>
      </c>
      <c r="BB194">
        <f t="shared" si="79"/>
        <v>0</v>
      </c>
      <c r="BC194">
        <f t="shared" si="80"/>
        <v>0</v>
      </c>
      <c r="BD194" s="26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26" cm="1">
        <f t="array" ref="BE194">$G$13+VLOOKUP($R194,武学奇术!$A:$ZZ,14,FALSE)+SUM(_xlfn.XLOOKUP(S194:AG194,增益!$A:$A,增益!$N:$N,0))</f>
        <v>0</v>
      </c>
      <c r="BF194">
        <f t="shared" si="81"/>
        <v>0</v>
      </c>
      <c r="BG194">
        <f t="shared" si="82"/>
        <v>0</v>
      </c>
      <c r="BH194" s="26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26" cm="1">
        <f t="array" ref="BI194">$G$14+VLOOKUP($R194,武学奇术!$A:$ZZ,16,FALSE)+SUM(_xlfn.XLOOKUP(S194:AG194,增益!$A:$A,增益!$P:$P,0))</f>
        <v>0</v>
      </c>
      <c r="BJ194" s="21">
        <f>MIN(IF(VLOOKUP($R194,武学奇术!$A:$ZZ,23,FALSE)=1,100%,$B$8),100%)</f>
        <v>0.8229</v>
      </c>
      <c r="BK194" s="21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0.2285</v>
      </c>
      <c r="BL194" s="21" cm="1">
        <f t="array" ref="BL194">1+$B$13+VLOOKUP($R194,武学奇术!$A:$ZZ,18,FALSE)+SUM(_xlfn.XLOOKUP(S194:AG194,增益!$A:$A,增益!$R:$R,0))</f>
        <v>1.5</v>
      </c>
      <c r="BM194" s="21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0.4195</v>
      </c>
      <c r="BN194" s="21" cm="1">
        <f t="array" ref="BN194">1+$B$14+VLOOKUP($R194,武学奇术!$A:$ZZ,20,FALSE)+SUM(_xlfn.XLOOKUP(S194:AG194,增益!$A:$A,增益!$T:$T,0))</f>
        <v>1.592</v>
      </c>
      <c r="BO194" s="21">
        <f t="shared" si="83"/>
        <v>0.18803265</v>
      </c>
      <c r="BP194" s="21">
        <f t="shared" si="84"/>
        <v>0.2896608</v>
      </c>
      <c r="BQ194" s="21">
        <f>IF(VLOOKUP($R194,武学奇术!$A:$ZZ,22,FALSE)=1,0,(1-$BJ194))*(1-$BM194)</f>
        <v>0.10280655</v>
      </c>
      <c r="BR194" s="21" cm="1">
        <f t="array" ref="BR194">SUM(_xlfn.XLOOKUP(S194:AG194,增益!$A:$A,增益!$W:$W,0))+$I$5</f>
        <v>0.06</v>
      </c>
    </row>
    <row r="195" spans="11:70">
      <c r="K195" s="24">
        <f>$L195*VLOOKUP($R195,武学奇术!$A:$ZZ,31,FALSE)</f>
        <v>5058.60807481815</v>
      </c>
      <c r="L195" s="24">
        <f t="shared" si="74"/>
        <v>8431.01345803025</v>
      </c>
      <c r="M195" s="24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7650.44321837693</v>
      </c>
      <c r="N195" s="24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12584.2417770877</v>
      </c>
      <c r="O195" s="24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5100.29547891795</v>
      </c>
      <c r="P195" s="24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2295.91647474058</v>
      </c>
      <c r="Q195" s="31">
        <v>1</v>
      </c>
      <c r="R195" s="32" t="s">
        <v>197</v>
      </c>
      <c r="S195" s="32" t="s">
        <v>72</v>
      </c>
      <c r="T195" s="32" t="s">
        <v>73</v>
      </c>
      <c r="U195" s="32" t="s">
        <v>195</v>
      </c>
      <c r="V195" s="32" t="s">
        <v>73</v>
      </c>
      <c r="W195" s="32" t="s">
        <v>73</v>
      </c>
      <c r="X195" s="32" t="s">
        <v>88</v>
      </c>
      <c r="Y195" s="32" t="s">
        <v>73</v>
      </c>
      <c r="Z195" s="32" t="s">
        <v>73</v>
      </c>
      <c r="AA195" s="32" t="s">
        <v>81</v>
      </c>
      <c r="AB195" s="32" t="s">
        <v>75</v>
      </c>
      <c r="AC195" s="32" t="s">
        <v>76</v>
      </c>
      <c r="AD195" s="32" t="s">
        <v>82</v>
      </c>
      <c r="AE195" s="32" t="s">
        <v>73</v>
      </c>
      <c r="AF195" s="32" t="s">
        <v>77</v>
      </c>
      <c r="AG195" s="32" t="s">
        <v>78</v>
      </c>
      <c r="AH195" t="str">
        <f>VLOOKUP($R195,武学奇术!$A:$ZZ,25,FALSE)</f>
        <v>剑</v>
      </c>
      <c r="AI195" s="21">
        <f>VLOOKUP($R195,武学奇术!$A:$ZZ,26,FALSE)</f>
        <v>0.2772</v>
      </c>
      <c r="AJ195" s="22">
        <f>VLOOKUP($R195,武学奇术!$A:$ZZ,27,FALSE)*(1+IF(OR($AH195=$F$4,$AH195=$F$5),$B$22,0))</f>
        <v>0</v>
      </c>
      <c r="AK195" s="21">
        <f>VLOOKUP($R195,武学奇术!$A:$ZZ,28,FALSE)</f>
        <v>0.4158</v>
      </c>
      <c r="AL195" s="22">
        <f>VLOOKUP($R195,武学奇术!$A:$ZZ,29,FALSE)*(1+IF(OR($AH195=$F$4,$AH195=$F$5),$B$22,0))</f>
        <v>0</v>
      </c>
      <c r="AM195" s="21" cm="1">
        <f t="array" ref="AM195">$G$3+IFERROR(VLOOKUP($AH195,$F$4:$G$7,2,FALSE),0)+VLOOKUP($R195,武学奇术!$A:$ZZ,2,FALSE)+SUM(_xlfn.XLOOKUP($S195:$AG195,增益!$A:$A,增益!$B:$B,0))</f>
        <v>0.5941</v>
      </c>
      <c r="AN195" s="21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1831.48</v>
      </c>
      <c r="AP195" cm="1">
        <f t="array" ref="AP195">$E$10*(1+$AN195)+VLOOKUP($R195,武学奇术!$A:$ZZ,4,FALSE)+SUM(_xlfn.XLOOKUP($S195:$AG195,增益!$A:$A,增益!$D:$D,0))-$I$2</f>
        <v>7763.56</v>
      </c>
      <c r="AQ195" s="26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0.339</v>
      </c>
      <c r="AR195" s="26" cm="1">
        <f t="array" ref="AR195">$G$10+VLOOKUP($R195,武学奇术!$A:$ZZ,7,FALSE)+SUM(_xlfn.XLOOKUP(S195:AG195,增益!$A:$A,增益!$G:$G,0))</f>
        <v>0</v>
      </c>
      <c r="AS195" s="21" cm="1">
        <f t="array" ref="AS195">VLOOKUP($R195,武学奇术!$A:$ZZ,8,FALSE)+SUM(_xlfn.XLOOKUP(S195:AG195,增益!$A:$A,增益!$H:$H,0))</f>
        <v>0</v>
      </c>
      <c r="AT195">
        <f t="shared" si="75"/>
        <v>680.02</v>
      </c>
      <c r="AU195">
        <f t="shared" si="76"/>
        <v>1288.54</v>
      </c>
      <c r="AV195" s="26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26" cm="1">
        <f t="array" ref="AW195">$G$11+VLOOKUP($R195,武学奇术!$A:$ZZ,10,FALSE)+SUM(_xlfn.XLOOKUP(S195:AG195,增益!$A:$A,增益!$J:$J,0))</f>
        <v>0.15</v>
      </c>
      <c r="AX195">
        <f t="shared" si="77"/>
        <v>0</v>
      </c>
      <c r="AY195">
        <f t="shared" si="78"/>
        <v>0</v>
      </c>
      <c r="AZ195" s="26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26" cm="1">
        <f t="array" ref="BA195">$G$12+VLOOKUP($R195,武学奇术!$A:$ZZ,12,FALSE)+SUM(_xlfn.XLOOKUP(S195:AG195,增益!$A:$A,增益!$L:$L,0))</f>
        <v>0</v>
      </c>
      <c r="BB195">
        <f t="shared" si="79"/>
        <v>0</v>
      </c>
      <c r="BC195">
        <f t="shared" si="80"/>
        <v>0</v>
      </c>
      <c r="BD195" s="26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26" cm="1">
        <f t="array" ref="BE195">$G$13+VLOOKUP($R195,武学奇术!$A:$ZZ,14,FALSE)+SUM(_xlfn.XLOOKUP(S195:AG195,增益!$A:$A,增益!$N:$N,0))</f>
        <v>0</v>
      </c>
      <c r="BF195">
        <f t="shared" si="81"/>
        <v>0</v>
      </c>
      <c r="BG195">
        <f t="shared" si="82"/>
        <v>0</v>
      </c>
      <c r="BH195" s="26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26" cm="1">
        <f t="array" ref="BI195">$G$14+VLOOKUP($R195,武学奇术!$A:$ZZ,16,FALSE)+SUM(_xlfn.XLOOKUP(S195:AG195,增益!$A:$A,增益!$P:$P,0))</f>
        <v>0</v>
      </c>
      <c r="BJ195" s="21">
        <f>MIN(IF(VLOOKUP($R195,武学奇术!$A:$ZZ,23,FALSE)=1,100%,$B$8),100%)</f>
        <v>0.8229</v>
      </c>
      <c r="BK195" s="21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0.2285</v>
      </c>
      <c r="BL195" s="21" cm="1">
        <f t="array" ref="BL195">1+$B$13+VLOOKUP($R195,武学奇术!$A:$ZZ,18,FALSE)+SUM(_xlfn.XLOOKUP(S195:AG195,增益!$A:$A,增益!$R:$R,0))</f>
        <v>1.5</v>
      </c>
      <c r="BM195" s="21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0.4195</v>
      </c>
      <c r="BN195" s="21" cm="1">
        <f t="array" ref="BN195">1+$B$14+VLOOKUP($R195,武学奇术!$A:$ZZ,20,FALSE)+SUM(_xlfn.XLOOKUP(S195:AG195,增益!$A:$A,增益!$T:$T,0))</f>
        <v>1.592</v>
      </c>
      <c r="BO195" s="21">
        <f t="shared" si="83"/>
        <v>0.18803265</v>
      </c>
      <c r="BP195" s="21">
        <f t="shared" si="84"/>
        <v>0.2896608</v>
      </c>
      <c r="BQ195" s="21">
        <f>IF(VLOOKUP($R195,武学奇术!$A:$ZZ,22,FALSE)=1,0,(1-$BJ195))*(1-$BM195)</f>
        <v>0.10280655</v>
      </c>
      <c r="BR195" s="21" cm="1">
        <f t="array" ref="BR195">SUM(_xlfn.XLOOKUP(S195:AG195,增益!$A:$A,增益!$W:$W,0))+$I$5</f>
        <v>0.06</v>
      </c>
    </row>
    <row r="196" spans="11:70">
      <c r="K196" s="24">
        <f>$L196*VLOOKUP($R196,武学奇术!$A:$ZZ,31,FALSE)</f>
        <v>8011.73645984891</v>
      </c>
      <c r="L196" s="24">
        <f t="shared" si="74"/>
        <v>13352.8940997482</v>
      </c>
      <c r="M196" s="24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11273.8574520352</v>
      </c>
      <c r="N196" s="24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19825.743773705</v>
      </c>
      <c r="O196" s="24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7515.90496802344</v>
      </c>
      <c r="P196" s="24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3383.31183163735</v>
      </c>
      <c r="Q196" s="31">
        <v>1</v>
      </c>
      <c r="R196" s="32" t="s">
        <v>197</v>
      </c>
      <c r="S196" s="32" t="s">
        <v>87</v>
      </c>
      <c r="T196" s="32" t="s">
        <v>96</v>
      </c>
      <c r="U196" s="32" t="s">
        <v>196</v>
      </c>
      <c r="V196" s="32" t="s">
        <v>73</v>
      </c>
      <c r="W196" s="32" t="s">
        <v>73</v>
      </c>
      <c r="X196" s="32" t="s">
        <v>88</v>
      </c>
      <c r="Y196" s="32" t="s">
        <v>73</v>
      </c>
      <c r="Z196" s="32" t="s">
        <v>73</v>
      </c>
      <c r="AA196" s="32" t="s">
        <v>81</v>
      </c>
      <c r="AB196" s="32" t="s">
        <v>75</v>
      </c>
      <c r="AC196" s="32" t="s">
        <v>89</v>
      </c>
      <c r="AD196" s="32" t="s">
        <v>82</v>
      </c>
      <c r="AE196" s="32" t="s">
        <v>90</v>
      </c>
      <c r="AF196" s="32" t="s">
        <v>77</v>
      </c>
      <c r="AG196" s="32" t="s">
        <v>91</v>
      </c>
      <c r="AH196" t="str">
        <f>VLOOKUP($R196,武学奇术!$A:$ZZ,25,FALSE)</f>
        <v>剑</v>
      </c>
      <c r="AI196" s="21">
        <f>VLOOKUP($R196,武学奇术!$A:$ZZ,26,FALSE)</f>
        <v>0.2772</v>
      </c>
      <c r="AJ196" s="22">
        <f>VLOOKUP($R196,武学奇术!$A:$ZZ,27,FALSE)*(1+IF(OR($AH196=$F$4,$AH196=$F$5),$B$22,0))</f>
        <v>0</v>
      </c>
      <c r="AK196" s="21">
        <f>VLOOKUP($R196,武学奇术!$A:$ZZ,28,FALSE)</f>
        <v>0.4158</v>
      </c>
      <c r="AL196" s="22">
        <f>VLOOKUP($R196,武学奇术!$A:$ZZ,29,FALSE)*(1+IF(OR($AH196=$F$4,$AH196=$F$5),$B$22,0))</f>
        <v>0</v>
      </c>
      <c r="AM196" s="21" cm="1">
        <f t="array" ref="AM196">$G$3+IFERROR(VLOOKUP($AH196,$F$4:$G$7,2,FALSE),0)+VLOOKUP($R196,武学奇术!$A:$ZZ,2,FALSE)+SUM(_xlfn.XLOOKUP($S196:$AG196,增益!$A:$A,增益!$B:$B,0))</f>
        <v>1.3491</v>
      </c>
      <c r="AN196" s="21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1831.48</v>
      </c>
      <c r="AP196" cm="1">
        <f t="array" ref="AP196">$E$10*(1+$AN196)+VLOOKUP($R196,武学奇术!$A:$ZZ,4,FALSE)+SUM(_xlfn.XLOOKUP($S196:$AG196,增益!$A:$A,增益!$D:$D,0))-$I$2</f>
        <v>7763.56</v>
      </c>
      <c r="AQ196" s="26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0.339</v>
      </c>
      <c r="AR196" s="26" cm="1">
        <f t="array" ref="AR196">$G$10+VLOOKUP($R196,武学奇术!$A:$ZZ,7,FALSE)+SUM(_xlfn.XLOOKUP(S196:AG196,增益!$A:$A,增益!$G:$G,0))</f>
        <v>0</v>
      </c>
      <c r="AS196" s="21" cm="1">
        <f t="array" ref="AS196">VLOOKUP($R196,武学奇术!$A:$ZZ,8,FALSE)+SUM(_xlfn.XLOOKUP(S196:AG196,增益!$A:$A,增益!$H:$H,0))</f>
        <v>0</v>
      </c>
      <c r="AT196">
        <f t="shared" si="75"/>
        <v>680.02</v>
      </c>
      <c r="AU196">
        <f t="shared" si="76"/>
        <v>1288.54</v>
      </c>
      <c r="AV196" s="26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26" cm="1">
        <f t="array" ref="AW196">$G$11+VLOOKUP($R196,武学奇术!$A:$ZZ,10,FALSE)+SUM(_xlfn.XLOOKUP(S196:AG196,增益!$A:$A,增益!$J:$J,0))</f>
        <v>0.15</v>
      </c>
      <c r="AX196">
        <f t="shared" si="77"/>
        <v>0</v>
      </c>
      <c r="AY196">
        <f t="shared" si="78"/>
        <v>0</v>
      </c>
      <c r="AZ196" s="26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26" cm="1">
        <f t="array" ref="BA196">$G$12+VLOOKUP($R196,武学奇术!$A:$ZZ,12,FALSE)+SUM(_xlfn.XLOOKUP(S196:AG196,增益!$A:$A,增益!$L:$L,0))</f>
        <v>0</v>
      </c>
      <c r="BB196">
        <f t="shared" si="79"/>
        <v>0</v>
      </c>
      <c r="BC196">
        <f t="shared" si="80"/>
        <v>0</v>
      </c>
      <c r="BD196" s="26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26" cm="1">
        <f t="array" ref="BE196">$G$13+VLOOKUP($R196,武学奇术!$A:$ZZ,14,FALSE)+SUM(_xlfn.XLOOKUP(S196:AG196,增益!$A:$A,增益!$N:$N,0))</f>
        <v>0</v>
      </c>
      <c r="BF196">
        <f t="shared" si="81"/>
        <v>0</v>
      </c>
      <c r="BG196">
        <f t="shared" si="82"/>
        <v>0</v>
      </c>
      <c r="BH196" s="26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26" cm="1">
        <f t="array" ref="BI196">$G$14+VLOOKUP($R196,武学奇术!$A:$ZZ,16,FALSE)+SUM(_xlfn.XLOOKUP(S196:AG196,增益!$A:$A,增益!$P:$P,0))</f>
        <v>0</v>
      </c>
      <c r="BJ196" s="21">
        <f>MIN(IF(VLOOKUP($R196,武学奇术!$A:$ZZ,23,FALSE)=1,100%,$B$8),100%)</f>
        <v>0.8229</v>
      </c>
      <c r="BK196" s="21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0.2285</v>
      </c>
      <c r="BL196" s="21" cm="1">
        <f t="array" ref="BL196">1+$B$13+VLOOKUP($R196,武学奇术!$A:$ZZ,18,FALSE)+SUM(_xlfn.XLOOKUP(S196:AG196,增益!$A:$A,增益!$R:$R,0))</f>
        <v>1.5</v>
      </c>
      <c r="BM196" s="21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0.4495</v>
      </c>
      <c r="BN196" s="21" cm="1">
        <f t="array" ref="BN196">1+$B$14+VLOOKUP($R196,武学奇术!$A:$ZZ,20,FALSE)+SUM(_xlfn.XLOOKUP(S196:AG196,增益!$A:$A,增益!$T:$T,0))</f>
        <v>1.702</v>
      </c>
      <c r="BO196" s="21">
        <f t="shared" si="83"/>
        <v>0.18803265</v>
      </c>
      <c r="BP196" s="21">
        <f t="shared" si="84"/>
        <v>0.2649738</v>
      </c>
      <c r="BQ196" s="21">
        <f>IF(VLOOKUP($R196,武学奇术!$A:$ZZ,22,FALSE)=1,0,(1-$BJ196))*(1-$BM196)</f>
        <v>0.09749355</v>
      </c>
      <c r="BR196" s="21" cm="1">
        <f t="array" ref="BR196">SUM(_xlfn.XLOOKUP(S196:AG196,增益!$A:$A,增益!$W:$W,0))+$I$5</f>
        <v>0.06</v>
      </c>
    </row>
    <row r="197" spans="11:70">
      <c r="K197" s="24">
        <f>$L197*VLOOKUP($R197,武学奇术!$A:$ZZ,31,FALSE)</f>
        <v>5487.51112882193</v>
      </c>
      <c r="L197" s="24">
        <f t="shared" si="74"/>
        <v>9145.85188136988</v>
      </c>
      <c r="M197" s="24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7720.70156106321</v>
      </c>
      <c r="N197" s="24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13580.7740706626</v>
      </c>
      <c r="O197" s="24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5147.13437404214</v>
      </c>
      <c r="P197" s="24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2314.96553382893</v>
      </c>
      <c r="Q197" s="31">
        <v>1</v>
      </c>
      <c r="R197" s="32" t="s">
        <v>198</v>
      </c>
      <c r="S197" s="32" t="s">
        <v>87</v>
      </c>
      <c r="T197" s="32" t="s">
        <v>96</v>
      </c>
      <c r="U197" s="32" t="s">
        <v>97</v>
      </c>
      <c r="V197" s="32" t="s">
        <v>73</v>
      </c>
      <c r="W197" s="32" t="s">
        <v>73</v>
      </c>
      <c r="X197" s="32" t="s">
        <v>109</v>
      </c>
      <c r="Y197" s="32" t="s">
        <v>73</v>
      </c>
      <c r="Z197" s="32" t="s">
        <v>73</v>
      </c>
      <c r="AA197" s="32" t="s">
        <v>81</v>
      </c>
      <c r="AB197" s="32" t="s">
        <v>75</v>
      </c>
      <c r="AC197" s="32" t="s">
        <v>89</v>
      </c>
      <c r="AD197" s="32" t="s">
        <v>82</v>
      </c>
      <c r="AE197" s="32" t="s">
        <v>90</v>
      </c>
      <c r="AF197" s="32" t="s">
        <v>77</v>
      </c>
      <c r="AG197" s="32" t="s">
        <v>91</v>
      </c>
      <c r="AH197" t="str">
        <f>VLOOKUP($R197,武学奇术!$A:$ZZ,25,FALSE)</f>
        <v>剑</v>
      </c>
      <c r="AI197" s="21">
        <f>VLOOKUP($R197,武学奇术!$A:$ZZ,26,FALSE)</f>
        <v>0.17325</v>
      </c>
      <c r="AJ197" s="22">
        <f>VLOOKUP($R197,武学奇术!$A:$ZZ,27,FALSE)*(1+IF(OR($AH197=$F$4,$AH197=$F$5),$B$22,0))</f>
        <v>0</v>
      </c>
      <c r="AK197" s="21">
        <f>VLOOKUP($R197,武学奇术!$A:$ZZ,28,FALSE)</f>
        <v>0.259875</v>
      </c>
      <c r="AL197" s="22">
        <f>VLOOKUP($R197,武学奇术!$A:$ZZ,29,FALSE)*(1+IF(OR($AH197=$F$4,$AH197=$F$5),$B$22,0))</f>
        <v>0</v>
      </c>
      <c r="AM197" s="21" cm="1">
        <f t="array" ref="AM197">$G$3+IFERROR(VLOOKUP($AH197,$F$4:$G$7,2,FALSE),0)+VLOOKUP($R197,武学奇术!$A:$ZZ,2,FALSE)+SUM(_xlfn.XLOOKUP($S197:$AG197,增益!$A:$A,增益!$B:$B,0))</f>
        <v>1.5591</v>
      </c>
      <c r="AN197" s="21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1831.48</v>
      </c>
      <c r="AP197" cm="1">
        <f t="array" ref="AP197">$E$10*(1+$AN197)+VLOOKUP($R197,武学奇术!$A:$ZZ,4,FALSE)+SUM(_xlfn.XLOOKUP($S197:$AG197,增益!$A:$A,增益!$D:$D,0))-$I$2</f>
        <v>7763.56</v>
      </c>
      <c r="AQ197" s="26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0.349</v>
      </c>
      <c r="AR197" s="26" cm="1">
        <f t="array" ref="AR197">$G$10+VLOOKUP($R197,武学奇术!$A:$ZZ,7,FALSE)+SUM(_xlfn.XLOOKUP(S197:AG197,增益!$A:$A,增益!$G:$G,0))</f>
        <v>0</v>
      </c>
      <c r="AS197" s="21" cm="1">
        <f t="array" ref="AS197">VLOOKUP($R197,武学奇术!$A:$ZZ,8,FALSE)+SUM(_xlfn.XLOOKUP(S197:AG197,增益!$A:$A,增益!$H:$H,0))</f>
        <v>0</v>
      </c>
      <c r="AT197">
        <f t="shared" si="75"/>
        <v>680.02</v>
      </c>
      <c r="AU197">
        <f t="shared" si="76"/>
        <v>1288.54</v>
      </c>
      <c r="AV197" s="26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0.075</v>
      </c>
      <c r="AW197" s="26" cm="1">
        <f t="array" ref="AW197">$G$11+VLOOKUP($R197,武学奇术!$A:$ZZ,10,FALSE)+SUM(_xlfn.XLOOKUP(S197:AG197,增益!$A:$A,增益!$J:$J,0))</f>
        <v>0.15</v>
      </c>
      <c r="AX197">
        <f t="shared" si="77"/>
        <v>0</v>
      </c>
      <c r="AY197">
        <f t="shared" si="78"/>
        <v>0</v>
      </c>
      <c r="AZ197" s="26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26" cm="1">
        <f t="array" ref="BA197">$G$12+VLOOKUP($R197,武学奇术!$A:$ZZ,12,FALSE)+SUM(_xlfn.XLOOKUP(S197:AG197,增益!$A:$A,增益!$L:$L,0))</f>
        <v>0</v>
      </c>
      <c r="BB197">
        <f t="shared" si="79"/>
        <v>0</v>
      </c>
      <c r="BC197">
        <f t="shared" si="80"/>
        <v>0</v>
      </c>
      <c r="BD197" s="26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26" cm="1">
        <f t="array" ref="BE197">$G$13+VLOOKUP($R197,武学奇术!$A:$ZZ,14,FALSE)+SUM(_xlfn.XLOOKUP(S197:AG197,增益!$A:$A,增益!$N:$N,0))</f>
        <v>0</v>
      </c>
      <c r="BF197">
        <f t="shared" si="81"/>
        <v>0</v>
      </c>
      <c r="BG197">
        <f t="shared" si="82"/>
        <v>0</v>
      </c>
      <c r="BH197" s="26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26" cm="1">
        <f t="array" ref="BI197">$G$14+VLOOKUP($R197,武学奇术!$A:$ZZ,16,FALSE)+SUM(_xlfn.XLOOKUP(S197:AG197,增益!$A:$A,增益!$P:$P,0))</f>
        <v>0</v>
      </c>
      <c r="BJ197" s="21">
        <f>MIN(IF(VLOOKUP($R197,武学奇术!$A:$ZZ,23,FALSE)=1,100%,$B$8),100%)</f>
        <v>0.8229</v>
      </c>
      <c r="BK197" s="21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0.2285</v>
      </c>
      <c r="BL197" s="21" cm="1">
        <f t="array" ref="BL197">1+$B$13+VLOOKUP($R197,武学奇术!$A:$ZZ,18,FALSE)+SUM(_xlfn.XLOOKUP(S197:AG197,增益!$A:$A,增益!$R:$R,0))</f>
        <v>1.5</v>
      </c>
      <c r="BM197" s="21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0.4495</v>
      </c>
      <c r="BN197" s="21" cm="1">
        <f t="array" ref="BN197">1+$B$14+VLOOKUP($R197,武学奇术!$A:$ZZ,20,FALSE)+SUM(_xlfn.XLOOKUP(S197:AG197,增益!$A:$A,增益!$T:$T,0))</f>
        <v>1.702</v>
      </c>
      <c r="BO197" s="21">
        <f t="shared" si="83"/>
        <v>0.18803265</v>
      </c>
      <c r="BP197" s="21">
        <f t="shared" si="84"/>
        <v>0.2649738</v>
      </c>
      <c r="BQ197" s="21">
        <f>IF(VLOOKUP($R197,武学奇术!$A:$ZZ,22,FALSE)=1,0,(1-$BJ197))*(1-$BM197)</f>
        <v>0.09749355</v>
      </c>
      <c r="BR197" s="21" cm="1">
        <f t="array" ref="BR197">SUM(_xlfn.XLOOKUP(S197:AG197,增益!$A:$A,增益!$W:$W,0))+$I$5</f>
        <v>0.06</v>
      </c>
    </row>
    <row r="198" spans="11:70">
      <c r="K198" s="24">
        <f>$L198*VLOOKUP($R198,武学奇术!$A:$ZZ,31,FALSE)</f>
        <v>11018.9036494433</v>
      </c>
      <c r="L198" s="24">
        <f t="shared" si="74"/>
        <v>18364.8394157388</v>
      </c>
      <c r="M198" s="24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15519.2310010852</v>
      </c>
      <c r="N198" s="24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27249.8568413171</v>
      </c>
      <c r="O198" s="24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10346.1540007235</v>
      </c>
      <c r="P198" s="24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4681.81632029704</v>
      </c>
      <c r="Q198" s="31">
        <v>1</v>
      </c>
      <c r="R198" s="32" t="s">
        <v>199</v>
      </c>
      <c r="S198" s="32" t="s">
        <v>87</v>
      </c>
      <c r="T198" s="32" t="s">
        <v>96</v>
      </c>
      <c r="U198" s="32" t="s">
        <v>97</v>
      </c>
      <c r="V198" s="32" t="s">
        <v>73</v>
      </c>
      <c r="W198" s="32" t="s">
        <v>111</v>
      </c>
      <c r="X198" s="32" t="s">
        <v>109</v>
      </c>
      <c r="Y198" s="32" t="s">
        <v>73</v>
      </c>
      <c r="Z198" s="32" t="s">
        <v>73</v>
      </c>
      <c r="AA198" s="32" t="s">
        <v>81</v>
      </c>
      <c r="AB198" s="32" t="s">
        <v>75</v>
      </c>
      <c r="AC198" s="32" t="s">
        <v>89</v>
      </c>
      <c r="AD198" s="32" t="s">
        <v>82</v>
      </c>
      <c r="AE198" s="32" t="s">
        <v>90</v>
      </c>
      <c r="AF198" s="32" t="s">
        <v>77</v>
      </c>
      <c r="AG198" s="32" t="s">
        <v>91</v>
      </c>
      <c r="AH198" t="str">
        <f>VLOOKUP($R198,武学奇术!$A:$ZZ,25,FALSE)</f>
        <v>剑</v>
      </c>
      <c r="AI198" s="21">
        <f>VLOOKUP($R198,武学奇术!$A:$ZZ,26,FALSE)</f>
        <v>0.3465</v>
      </c>
      <c r="AJ198" s="22">
        <f>VLOOKUP($R198,武学奇术!$A:$ZZ,27,FALSE)*(1+IF(OR($AH198=$F$4,$AH198=$F$5),$B$22,0))</f>
        <v>0</v>
      </c>
      <c r="AK198" s="21">
        <f>VLOOKUP($R198,武学奇术!$A:$ZZ,28,FALSE)</f>
        <v>0.51975</v>
      </c>
      <c r="AL198" s="22">
        <f>VLOOKUP($R198,武学奇术!$A:$ZZ,29,FALSE)*(1+IF(OR($AH198=$F$4,$AH198=$F$5),$B$22,0))</f>
        <v>0</v>
      </c>
      <c r="AM198" s="21" cm="1">
        <f t="array" ref="AM198">$G$3+IFERROR(VLOOKUP($AH198,$F$4:$G$7,2,FALSE),0)+VLOOKUP($R198,武学奇术!$A:$ZZ,2,FALSE)+SUM(_xlfn.XLOOKUP($S198:$AG198,增益!$A:$A,增益!$B:$B,0))</f>
        <v>1.5591</v>
      </c>
      <c r="AN198" s="21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1862.48</v>
      </c>
      <c r="AP198" cm="1">
        <f t="array" ref="AP198">$E$10*(1+$AN198)+VLOOKUP($R198,武学奇术!$A:$ZZ,4,FALSE)+SUM(_xlfn.XLOOKUP($S198:$AG198,增益!$A:$A,增益!$D:$D,0))-$I$2</f>
        <v>7794.56</v>
      </c>
      <c r="AQ198" s="26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0.349</v>
      </c>
      <c r="AR198" s="26" cm="1">
        <f t="array" ref="AR198">$G$10+VLOOKUP($R198,武学奇术!$A:$ZZ,7,FALSE)+SUM(_xlfn.XLOOKUP(S198:AG198,增益!$A:$A,增益!$G:$G,0))</f>
        <v>0</v>
      </c>
      <c r="AS198" s="21" cm="1">
        <f t="array" ref="AS198">VLOOKUP($R198,武学奇术!$A:$ZZ,8,FALSE)+SUM(_xlfn.XLOOKUP(S198:AG198,增益!$A:$A,增益!$H:$H,0))</f>
        <v>0</v>
      </c>
      <c r="AT198">
        <f t="shared" si="75"/>
        <v>680.02</v>
      </c>
      <c r="AU198">
        <f t="shared" si="76"/>
        <v>1288.54</v>
      </c>
      <c r="AV198" s="26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0.075</v>
      </c>
      <c r="AW198" s="26" cm="1">
        <f t="array" ref="AW198">$G$11+VLOOKUP($R198,武学奇术!$A:$ZZ,10,FALSE)+SUM(_xlfn.XLOOKUP(S198:AG198,增益!$A:$A,增益!$J:$J,0))</f>
        <v>0.15</v>
      </c>
      <c r="AX198">
        <f t="shared" si="77"/>
        <v>0</v>
      </c>
      <c r="AY198">
        <f t="shared" si="78"/>
        <v>0</v>
      </c>
      <c r="AZ198" s="26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26" cm="1">
        <f t="array" ref="BA198">$G$12+VLOOKUP($R198,武学奇术!$A:$ZZ,12,FALSE)+SUM(_xlfn.XLOOKUP(S198:AG198,增益!$A:$A,增益!$L:$L,0))</f>
        <v>0</v>
      </c>
      <c r="BB198">
        <f t="shared" si="79"/>
        <v>0</v>
      </c>
      <c r="BC198">
        <f t="shared" si="80"/>
        <v>0</v>
      </c>
      <c r="BD198" s="26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26" cm="1">
        <f t="array" ref="BE198">$G$13+VLOOKUP($R198,武学奇术!$A:$ZZ,14,FALSE)+SUM(_xlfn.XLOOKUP(S198:AG198,增益!$A:$A,增益!$N:$N,0))</f>
        <v>0</v>
      </c>
      <c r="BF198">
        <f t="shared" si="81"/>
        <v>0</v>
      </c>
      <c r="BG198">
        <f t="shared" si="82"/>
        <v>0</v>
      </c>
      <c r="BH198" s="26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26" cm="1">
        <f t="array" ref="BI198">$G$14+VLOOKUP($R198,武学奇术!$A:$ZZ,16,FALSE)+SUM(_xlfn.XLOOKUP(S198:AG198,增益!$A:$A,增益!$P:$P,0))</f>
        <v>0</v>
      </c>
      <c r="BJ198" s="21">
        <f>MIN(IF(VLOOKUP($R198,武学奇术!$A:$ZZ,23,FALSE)=1,100%,$B$8),100%)</f>
        <v>0.8229</v>
      </c>
      <c r="BK198" s="21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0.2285</v>
      </c>
      <c r="BL198" s="21" cm="1">
        <f t="array" ref="BL198">1+$B$13+VLOOKUP($R198,武学奇术!$A:$ZZ,18,FALSE)+SUM(_xlfn.XLOOKUP(S198:AG198,增益!$A:$A,增益!$R:$R,0))</f>
        <v>1.5</v>
      </c>
      <c r="BM198" s="21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0.4495</v>
      </c>
      <c r="BN198" s="21" cm="1">
        <f t="array" ref="BN198">1+$B$14+VLOOKUP($R198,武学奇术!$A:$ZZ,20,FALSE)+SUM(_xlfn.XLOOKUP(S198:AG198,增益!$A:$A,增益!$T:$T,0))</f>
        <v>1.702</v>
      </c>
      <c r="BO198" s="21">
        <f t="shared" si="83"/>
        <v>0.18803265</v>
      </c>
      <c r="BP198" s="21">
        <f t="shared" si="84"/>
        <v>0.2649738</v>
      </c>
      <c r="BQ198" s="21">
        <f>IF(VLOOKUP($R198,武学奇术!$A:$ZZ,22,FALSE)=1,0,(1-$BJ198))*(1-$BM198)</f>
        <v>0.09749355</v>
      </c>
      <c r="BR198" s="21" cm="1">
        <f t="array" ref="BR198">SUM(_xlfn.XLOOKUP(S198:AG198,增益!$A:$A,增益!$W:$W,0))+$I$5</f>
        <v>0.06</v>
      </c>
    </row>
    <row r="199" spans="11:70">
      <c r="K199" s="24">
        <f>$L199*VLOOKUP($R199,武学奇术!$A:$ZZ,31,FALSE)</f>
        <v>11171.2339231114</v>
      </c>
      <c r="L199" s="24">
        <f t="shared" si="74"/>
        <v>18618.7232051856</v>
      </c>
      <c r="M199" s="24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15670.0873613152</v>
      </c>
      <c r="N199" s="24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27683.2804412145</v>
      </c>
      <c r="O199" s="24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10446.7249075435</v>
      </c>
      <c r="P199" s="24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4723.30937045232</v>
      </c>
      <c r="Q199" s="31">
        <v>1</v>
      </c>
      <c r="R199" s="32" t="s">
        <v>199</v>
      </c>
      <c r="S199" s="32" t="s">
        <v>87</v>
      </c>
      <c r="T199" s="32" t="s">
        <v>96</v>
      </c>
      <c r="U199" s="32" t="s">
        <v>97</v>
      </c>
      <c r="V199" s="32" t="s">
        <v>73</v>
      </c>
      <c r="W199" s="32" t="s">
        <v>111</v>
      </c>
      <c r="X199" s="32" t="s">
        <v>116</v>
      </c>
      <c r="Y199" s="32" t="s">
        <v>73</v>
      </c>
      <c r="Z199" s="32" t="s">
        <v>73</v>
      </c>
      <c r="AA199" s="32" t="s">
        <v>81</v>
      </c>
      <c r="AB199" s="32" t="s">
        <v>75</v>
      </c>
      <c r="AC199" s="32" t="s">
        <v>89</v>
      </c>
      <c r="AD199" s="32" t="s">
        <v>82</v>
      </c>
      <c r="AE199" s="32" t="s">
        <v>90</v>
      </c>
      <c r="AF199" s="32" t="s">
        <v>77</v>
      </c>
      <c r="AG199" s="32" t="s">
        <v>117</v>
      </c>
      <c r="AH199" t="str">
        <f>VLOOKUP($R199,武学奇术!$A:$ZZ,25,FALSE)</f>
        <v>剑</v>
      </c>
      <c r="AI199" s="21">
        <f>VLOOKUP($R199,武学奇术!$A:$ZZ,26,FALSE)</f>
        <v>0.3465</v>
      </c>
      <c r="AJ199" s="22">
        <f>VLOOKUP($R199,武学奇术!$A:$ZZ,27,FALSE)*(1+IF(OR($AH199=$F$4,$AH199=$F$5),$B$22,0))</f>
        <v>0</v>
      </c>
      <c r="AK199" s="21">
        <f>VLOOKUP($R199,武学奇术!$A:$ZZ,28,FALSE)</f>
        <v>0.51975</v>
      </c>
      <c r="AL199" s="22">
        <f>VLOOKUP($R199,武学奇术!$A:$ZZ,29,FALSE)*(1+IF(OR($AH199=$F$4,$AH199=$F$5),$B$22,0))</f>
        <v>0</v>
      </c>
      <c r="AM199" s="21" cm="1">
        <f t="array" ref="AM199">$G$3+IFERROR(VLOOKUP($AH199,$F$4:$G$7,2,FALSE),0)+VLOOKUP($R199,武学奇术!$A:$ZZ,2,FALSE)+SUM(_xlfn.XLOOKUP($S199:$AG199,增益!$A:$A,增益!$B:$B,0))</f>
        <v>1.5691</v>
      </c>
      <c r="AN199" s="21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1862.48</v>
      </c>
      <c r="AP199" cm="1">
        <f t="array" ref="AP199">$E$10*(1+$AN199)+VLOOKUP($R199,武学奇术!$A:$ZZ,4,FALSE)+SUM(_xlfn.XLOOKUP($S199:$AG199,增益!$A:$A,增益!$D:$D,0))-$I$2</f>
        <v>7794.56</v>
      </c>
      <c r="AQ199" s="26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0.359</v>
      </c>
      <c r="AR199" s="26" cm="1">
        <f t="array" ref="AR199">$G$10+VLOOKUP($R199,武学奇术!$A:$ZZ,7,FALSE)+SUM(_xlfn.XLOOKUP(S199:AG199,增益!$A:$A,增益!$G:$G,0))</f>
        <v>0</v>
      </c>
      <c r="AS199" s="21" cm="1">
        <f t="array" ref="AS199">VLOOKUP($R199,武学奇术!$A:$ZZ,8,FALSE)+SUM(_xlfn.XLOOKUP(S199:AG199,增益!$A:$A,增益!$H:$H,0))</f>
        <v>0</v>
      </c>
      <c r="AT199">
        <f t="shared" si="75"/>
        <v>680.02</v>
      </c>
      <c r="AU199">
        <f t="shared" si="76"/>
        <v>1288.54</v>
      </c>
      <c r="AV199" s="26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0.075</v>
      </c>
      <c r="AW199" s="26" cm="1">
        <f t="array" ref="AW199">$G$11+VLOOKUP($R199,武学奇术!$A:$ZZ,10,FALSE)+SUM(_xlfn.XLOOKUP(S199:AG199,增益!$A:$A,增益!$J:$J,0))</f>
        <v>0.15</v>
      </c>
      <c r="AX199">
        <f t="shared" si="77"/>
        <v>0</v>
      </c>
      <c r="AY199">
        <f t="shared" si="78"/>
        <v>0</v>
      </c>
      <c r="AZ199" s="26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26" cm="1">
        <f t="array" ref="BA199">$G$12+VLOOKUP($R199,武学奇术!$A:$ZZ,12,FALSE)+SUM(_xlfn.XLOOKUP(S199:AG199,增益!$A:$A,增益!$L:$L,0))</f>
        <v>0</v>
      </c>
      <c r="BB199">
        <f t="shared" si="79"/>
        <v>0</v>
      </c>
      <c r="BC199">
        <f t="shared" si="80"/>
        <v>0</v>
      </c>
      <c r="BD199" s="26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26" cm="1">
        <f t="array" ref="BE199">$G$13+VLOOKUP($R199,武学奇术!$A:$ZZ,14,FALSE)+SUM(_xlfn.XLOOKUP(S199:AG199,增益!$A:$A,增益!$N:$N,0))</f>
        <v>0</v>
      </c>
      <c r="BF199">
        <f t="shared" si="81"/>
        <v>0</v>
      </c>
      <c r="BG199">
        <f t="shared" si="82"/>
        <v>0</v>
      </c>
      <c r="BH199" s="26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26" cm="1">
        <f t="array" ref="BI199">$G$14+VLOOKUP($R199,武学奇术!$A:$ZZ,16,FALSE)+SUM(_xlfn.XLOOKUP(S199:AG199,增益!$A:$A,增益!$P:$P,0))</f>
        <v>0</v>
      </c>
      <c r="BJ199" s="21">
        <f>MIN(IF(VLOOKUP($R199,武学奇术!$A:$ZZ,23,FALSE)=1,100%,$B$8),100%)</f>
        <v>0.8229</v>
      </c>
      <c r="BK199" s="21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0.2285</v>
      </c>
      <c r="BL199" s="21" cm="1">
        <f t="array" ref="BL199">1+$B$13+VLOOKUP($R199,武学奇术!$A:$ZZ,18,FALSE)+SUM(_xlfn.XLOOKUP(S199:AG199,增益!$A:$A,增益!$R:$R,0))</f>
        <v>1.5</v>
      </c>
      <c r="BM199" s="21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0.4495</v>
      </c>
      <c r="BN199" s="21" cm="1">
        <f t="array" ref="BN199">1+$B$14+VLOOKUP($R199,武学奇术!$A:$ZZ,20,FALSE)+SUM(_xlfn.XLOOKUP(S199:AG199,增益!$A:$A,增益!$T:$T,0))</f>
        <v>1.712</v>
      </c>
      <c r="BO199" s="21">
        <f t="shared" si="83"/>
        <v>0.18803265</v>
      </c>
      <c r="BP199" s="21">
        <f t="shared" si="84"/>
        <v>0.2649738</v>
      </c>
      <c r="BQ199" s="21">
        <f>IF(VLOOKUP($R199,武学奇术!$A:$ZZ,22,FALSE)=1,0,(1-$BJ199))*(1-$BM199)</f>
        <v>0.09749355</v>
      </c>
      <c r="BR199" s="21" cm="1">
        <f t="array" ref="BR199">SUM(_xlfn.XLOOKUP(S199:AG199,增益!$A:$A,增益!$W:$W,0))+$I$5</f>
        <v>0.06</v>
      </c>
    </row>
    <row r="200" spans="11:70">
      <c r="K200" s="24">
        <f>$L200*VLOOKUP($R200,武学奇术!$A:$ZZ,31,FALSE)</f>
        <v>8936.9871384891</v>
      </c>
      <c r="L200" s="24">
        <f t="shared" si="74"/>
        <v>14894.9785641485</v>
      </c>
      <c r="M200" s="24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12536.0698890522</v>
      </c>
      <c r="N200" s="24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22146.6243529716</v>
      </c>
      <c r="O200" s="24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8357.37992603478</v>
      </c>
      <c r="P200" s="24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3778.64749636186</v>
      </c>
      <c r="Q200" s="31">
        <v>1</v>
      </c>
      <c r="R200" s="32" t="s">
        <v>197</v>
      </c>
      <c r="S200" s="32" t="s">
        <v>87</v>
      </c>
      <c r="T200" s="32" t="s">
        <v>96</v>
      </c>
      <c r="U200" s="32" t="s">
        <v>97</v>
      </c>
      <c r="V200" s="32" t="s">
        <v>73</v>
      </c>
      <c r="W200" s="32" t="s">
        <v>111</v>
      </c>
      <c r="X200" s="32" t="s">
        <v>116</v>
      </c>
      <c r="Y200" s="32" t="s">
        <v>73</v>
      </c>
      <c r="Z200" s="32" t="s">
        <v>73</v>
      </c>
      <c r="AA200" s="32" t="s">
        <v>81</v>
      </c>
      <c r="AB200" s="32" t="s">
        <v>75</v>
      </c>
      <c r="AC200" s="32" t="s">
        <v>89</v>
      </c>
      <c r="AD200" s="32" t="s">
        <v>82</v>
      </c>
      <c r="AE200" s="32" t="s">
        <v>90</v>
      </c>
      <c r="AF200" s="32" t="s">
        <v>77</v>
      </c>
      <c r="AG200" s="32" t="s">
        <v>117</v>
      </c>
      <c r="AH200" t="str">
        <f>VLOOKUP($R200,武学奇术!$A:$ZZ,25,FALSE)</f>
        <v>剑</v>
      </c>
      <c r="AI200" s="21">
        <f>VLOOKUP($R200,武学奇术!$A:$ZZ,26,FALSE)</f>
        <v>0.2772</v>
      </c>
      <c r="AJ200" s="22">
        <f>VLOOKUP($R200,武学奇术!$A:$ZZ,27,FALSE)*(1+IF(OR($AH200=$F$4,$AH200=$F$5),$B$22,0))</f>
        <v>0</v>
      </c>
      <c r="AK200" s="21">
        <f>VLOOKUP($R200,武学奇术!$A:$ZZ,28,FALSE)</f>
        <v>0.4158</v>
      </c>
      <c r="AL200" s="22">
        <f>VLOOKUP($R200,武学奇术!$A:$ZZ,29,FALSE)*(1+IF(OR($AH200=$F$4,$AH200=$F$5),$B$22,0))</f>
        <v>0</v>
      </c>
      <c r="AM200" s="21" cm="1">
        <f t="array" ref="AM200">$G$3+IFERROR(VLOOKUP($AH200,$F$4:$G$7,2,FALSE),0)+VLOOKUP($R200,武学奇术!$A:$ZZ,2,FALSE)+SUM(_xlfn.XLOOKUP($S200:$AG200,增益!$A:$A,增益!$B:$B,0))</f>
        <v>1.5691</v>
      </c>
      <c r="AN200" s="21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1862.48</v>
      </c>
      <c r="AP200" cm="1">
        <f t="array" ref="AP200">$E$10*(1+$AN200)+VLOOKUP($R200,武学奇术!$A:$ZZ,4,FALSE)+SUM(_xlfn.XLOOKUP($S200:$AG200,增益!$A:$A,增益!$D:$D,0))-$I$2</f>
        <v>7794.56</v>
      </c>
      <c r="AQ200" s="26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0.359</v>
      </c>
      <c r="AR200" s="26" cm="1">
        <f t="array" ref="AR200">$G$10+VLOOKUP($R200,武学奇术!$A:$ZZ,7,FALSE)+SUM(_xlfn.XLOOKUP(S200:AG200,增益!$A:$A,增益!$G:$G,0))</f>
        <v>0</v>
      </c>
      <c r="AS200" s="21" cm="1">
        <f t="array" ref="AS200">VLOOKUP($R200,武学奇术!$A:$ZZ,8,FALSE)+SUM(_xlfn.XLOOKUP(S200:AG200,增益!$A:$A,增益!$H:$H,0))</f>
        <v>0</v>
      </c>
      <c r="AT200">
        <f t="shared" si="75"/>
        <v>680.02</v>
      </c>
      <c r="AU200">
        <f t="shared" si="76"/>
        <v>1288.54</v>
      </c>
      <c r="AV200" s="26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26" cm="1">
        <f t="array" ref="AW200">$G$11+VLOOKUP($R200,武学奇术!$A:$ZZ,10,FALSE)+SUM(_xlfn.XLOOKUP(S200:AG200,增益!$A:$A,增益!$J:$J,0))</f>
        <v>0.15</v>
      </c>
      <c r="AX200">
        <f t="shared" si="77"/>
        <v>0</v>
      </c>
      <c r="AY200">
        <f t="shared" si="78"/>
        <v>0</v>
      </c>
      <c r="AZ200" s="26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26" cm="1">
        <f t="array" ref="BA200">$G$12+VLOOKUP($R200,武学奇术!$A:$ZZ,12,FALSE)+SUM(_xlfn.XLOOKUP(S200:AG200,增益!$A:$A,增益!$L:$L,0))</f>
        <v>0</v>
      </c>
      <c r="BB200">
        <f t="shared" si="79"/>
        <v>0</v>
      </c>
      <c r="BC200">
        <f t="shared" si="80"/>
        <v>0</v>
      </c>
      <c r="BD200" s="26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26" cm="1">
        <f t="array" ref="BE200">$G$13+VLOOKUP($R200,武学奇术!$A:$ZZ,14,FALSE)+SUM(_xlfn.XLOOKUP(S200:AG200,增益!$A:$A,增益!$N:$N,0))</f>
        <v>0</v>
      </c>
      <c r="BF200">
        <f t="shared" si="81"/>
        <v>0</v>
      </c>
      <c r="BG200">
        <f t="shared" si="82"/>
        <v>0</v>
      </c>
      <c r="BH200" s="26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26" cm="1">
        <f t="array" ref="BI200">$G$14+VLOOKUP($R200,武学奇术!$A:$ZZ,16,FALSE)+SUM(_xlfn.XLOOKUP(S200:AG200,增益!$A:$A,增益!$P:$P,0))</f>
        <v>0</v>
      </c>
      <c r="BJ200" s="21">
        <f>MIN(IF(VLOOKUP($R200,武学奇术!$A:$ZZ,23,FALSE)=1,100%,$B$8),100%)</f>
        <v>0.8229</v>
      </c>
      <c r="BK200" s="21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0.2285</v>
      </c>
      <c r="BL200" s="21" cm="1">
        <f t="array" ref="BL200">1+$B$13+VLOOKUP($R200,武学奇术!$A:$ZZ,18,FALSE)+SUM(_xlfn.XLOOKUP(S200:AG200,增益!$A:$A,增益!$R:$R,0))</f>
        <v>1.5</v>
      </c>
      <c r="BM200" s="21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0.4495</v>
      </c>
      <c r="BN200" s="21" cm="1">
        <f t="array" ref="BN200">1+$B$14+VLOOKUP($R200,武学奇术!$A:$ZZ,20,FALSE)+SUM(_xlfn.XLOOKUP(S200:AG200,增益!$A:$A,增益!$T:$T,0))</f>
        <v>1.712</v>
      </c>
      <c r="BO200" s="21">
        <f t="shared" si="83"/>
        <v>0.18803265</v>
      </c>
      <c r="BP200" s="21">
        <f t="shared" si="84"/>
        <v>0.2649738</v>
      </c>
      <c r="BQ200" s="21">
        <f>IF(VLOOKUP($R200,武学奇术!$A:$ZZ,22,FALSE)=1,0,(1-$BJ200))*(1-$BM200)</f>
        <v>0.09749355</v>
      </c>
      <c r="BR200" s="21" cm="1">
        <f t="array" ref="BR200">SUM(_xlfn.XLOOKUP(S200:AG200,增益!$A:$A,增益!$W:$W,0))+$I$5</f>
        <v>0.06</v>
      </c>
    </row>
    <row r="201" spans="11:70">
      <c r="K201" s="24">
        <f>$L201*VLOOKUP($R201,武学奇术!$A:$ZZ,31,FALSE)</f>
        <v>5640.44855195121</v>
      </c>
      <c r="L201" s="24">
        <f t="shared" si="74"/>
        <v>9400.74758658536</v>
      </c>
      <c r="M201" s="24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7910.82300726056</v>
      </c>
      <c r="N201" s="24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13978.9465235954</v>
      </c>
      <c r="O201" s="24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5273.88200484037</v>
      </c>
      <c r="P201" s="24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2382.49150758065</v>
      </c>
      <c r="Q201" s="31">
        <v>1</v>
      </c>
      <c r="R201" s="32" t="s">
        <v>198</v>
      </c>
      <c r="S201" s="32" t="s">
        <v>87</v>
      </c>
      <c r="T201" s="32" t="s">
        <v>96</v>
      </c>
      <c r="U201" s="32" t="s">
        <v>97</v>
      </c>
      <c r="V201" s="32" t="s">
        <v>73</v>
      </c>
      <c r="W201" s="32" t="s">
        <v>111</v>
      </c>
      <c r="X201" s="32" t="s">
        <v>127</v>
      </c>
      <c r="Y201" s="32" t="s">
        <v>73</v>
      </c>
      <c r="Z201" s="32" t="s">
        <v>73</v>
      </c>
      <c r="AA201" s="32" t="s">
        <v>81</v>
      </c>
      <c r="AB201" s="32" t="s">
        <v>75</v>
      </c>
      <c r="AC201" s="32" t="s">
        <v>89</v>
      </c>
      <c r="AD201" s="32" t="s">
        <v>82</v>
      </c>
      <c r="AE201" s="32" t="s">
        <v>90</v>
      </c>
      <c r="AF201" s="32" t="s">
        <v>77</v>
      </c>
      <c r="AG201" s="32" t="s">
        <v>117</v>
      </c>
      <c r="AH201" t="str">
        <f>VLOOKUP($R201,武学奇术!$A:$ZZ,25,FALSE)</f>
        <v>剑</v>
      </c>
      <c r="AI201" s="21">
        <f>VLOOKUP($R201,武学奇术!$A:$ZZ,26,FALSE)</f>
        <v>0.17325</v>
      </c>
      <c r="AJ201" s="22">
        <f>VLOOKUP($R201,武学奇术!$A:$ZZ,27,FALSE)*(1+IF(OR($AH201=$F$4,$AH201=$F$5),$B$22,0))</f>
        <v>0</v>
      </c>
      <c r="AK201" s="21">
        <f>VLOOKUP($R201,武学奇术!$A:$ZZ,28,FALSE)</f>
        <v>0.259875</v>
      </c>
      <c r="AL201" s="22">
        <f>VLOOKUP($R201,武学奇术!$A:$ZZ,29,FALSE)*(1+IF(OR($AH201=$F$4,$AH201=$F$5),$B$22,0))</f>
        <v>0</v>
      </c>
      <c r="AM201" s="21" cm="1">
        <f t="array" ref="AM201">$G$3+IFERROR(VLOOKUP($AH201,$F$4:$G$7,2,FALSE),0)+VLOOKUP($R201,武学奇术!$A:$ZZ,2,FALSE)+SUM(_xlfn.XLOOKUP($S201:$AG201,增益!$A:$A,增益!$B:$B,0))</f>
        <v>1.5791</v>
      </c>
      <c r="AN201" s="21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1862.48</v>
      </c>
      <c r="AP201" cm="1">
        <f t="array" ref="AP201">$E$10*(1+$AN201)+VLOOKUP($R201,武学奇术!$A:$ZZ,4,FALSE)+SUM(_xlfn.XLOOKUP($S201:$AG201,增益!$A:$A,增益!$D:$D,0))-$I$2</f>
        <v>7794.56</v>
      </c>
      <c r="AQ201" s="26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0.369</v>
      </c>
      <c r="AR201" s="26" cm="1">
        <f t="array" ref="AR201">$G$10+VLOOKUP($R201,武学奇术!$A:$ZZ,7,FALSE)+SUM(_xlfn.XLOOKUP(S201:AG201,增益!$A:$A,增益!$G:$G,0))</f>
        <v>0</v>
      </c>
      <c r="AS201" s="21" cm="1">
        <f t="array" ref="AS201">VLOOKUP($R201,武学奇术!$A:$ZZ,8,FALSE)+SUM(_xlfn.XLOOKUP(S201:AG201,增益!$A:$A,增益!$H:$H,0))</f>
        <v>0</v>
      </c>
      <c r="AT201">
        <f t="shared" si="75"/>
        <v>680.02</v>
      </c>
      <c r="AU201">
        <f t="shared" si="76"/>
        <v>1288.54</v>
      </c>
      <c r="AV201" s="26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26" cm="1">
        <f t="array" ref="AW201">$G$11+VLOOKUP($R201,武学奇术!$A:$ZZ,10,FALSE)+SUM(_xlfn.XLOOKUP(S201:AG201,增益!$A:$A,增益!$J:$J,0))</f>
        <v>0.15</v>
      </c>
      <c r="AX201">
        <f t="shared" si="77"/>
        <v>0</v>
      </c>
      <c r="AY201">
        <f t="shared" si="78"/>
        <v>0</v>
      </c>
      <c r="AZ201" s="26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26" cm="1">
        <f t="array" ref="BA201">$G$12+VLOOKUP($R201,武学奇术!$A:$ZZ,12,FALSE)+SUM(_xlfn.XLOOKUP(S201:AG201,增益!$A:$A,增益!$L:$L,0))</f>
        <v>0</v>
      </c>
      <c r="BB201">
        <f t="shared" si="79"/>
        <v>0</v>
      </c>
      <c r="BC201">
        <f t="shared" si="80"/>
        <v>0</v>
      </c>
      <c r="BD201" s="26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26" cm="1">
        <f t="array" ref="BE201">$G$13+VLOOKUP($R201,武学奇术!$A:$ZZ,14,FALSE)+SUM(_xlfn.XLOOKUP(S201:AG201,增益!$A:$A,增益!$N:$N,0))</f>
        <v>0</v>
      </c>
      <c r="BF201">
        <f t="shared" si="81"/>
        <v>0</v>
      </c>
      <c r="BG201">
        <f t="shared" si="82"/>
        <v>0</v>
      </c>
      <c r="BH201" s="26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26" cm="1">
        <f t="array" ref="BI201">$G$14+VLOOKUP($R201,武学奇术!$A:$ZZ,16,FALSE)+SUM(_xlfn.XLOOKUP(S201:AG201,增益!$A:$A,增益!$P:$P,0))</f>
        <v>0</v>
      </c>
      <c r="BJ201" s="21">
        <f>MIN(IF(VLOOKUP($R201,武学奇术!$A:$ZZ,23,FALSE)=1,100%,$B$8),100%)</f>
        <v>0.8229</v>
      </c>
      <c r="BK201" s="21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0.2285</v>
      </c>
      <c r="BL201" s="21" cm="1">
        <f t="array" ref="BL201">1+$B$13+VLOOKUP($R201,武学奇术!$A:$ZZ,18,FALSE)+SUM(_xlfn.XLOOKUP(S201:AG201,增益!$A:$A,增益!$R:$R,0))</f>
        <v>1.5</v>
      </c>
      <c r="BM201" s="21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0.4495</v>
      </c>
      <c r="BN201" s="21" cm="1">
        <f t="array" ref="BN201">1+$B$14+VLOOKUP($R201,武学奇术!$A:$ZZ,20,FALSE)+SUM(_xlfn.XLOOKUP(S201:AG201,增益!$A:$A,增益!$T:$T,0))</f>
        <v>1.712</v>
      </c>
      <c r="BO201" s="21">
        <f t="shared" si="83"/>
        <v>0.18803265</v>
      </c>
      <c r="BP201" s="21">
        <f t="shared" si="84"/>
        <v>0.2649738</v>
      </c>
      <c r="BQ201" s="21">
        <f>IF(VLOOKUP($R201,武学奇术!$A:$ZZ,22,FALSE)=1,0,(1-$BJ201))*(1-$BM201)</f>
        <v>0.09749355</v>
      </c>
      <c r="BR201" s="21" cm="1">
        <f t="array" ref="BR201">SUM(_xlfn.XLOOKUP(S201:AG201,增益!$A:$A,增益!$W:$W,0))+$I$5</f>
        <v>0.06</v>
      </c>
    </row>
    <row r="202" spans="11:70">
      <c r="K202" s="24">
        <f>$L202*VLOOKUP($R202,武学奇术!$A:$ZZ,31,FALSE)</f>
        <v>11324.9405837788</v>
      </c>
      <c r="L202" s="24">
        <f t="shared" si="74"/>
        <v>18874.9009729646</v>
      </c>
      <c r="M202" s="24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15821.6460145211</v>
      </c>
      <c r="N202" s="24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28121.1984972327</v>
      </c>
      <c r="O202" s="24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10547.7640096807</v>
      </c>
      <c r="P202" s="24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4764.98301516131</v>
      </c>
      <c r="Q202" s="31">
        <v>1</v>
      </c>
      <c r="R202" s="32" t="s">
        <v>199</v>
      </c>
      <c r="S202" s="32" t="s">
        <v>87</v>
      </c>
      <c r="T202" s="32" t="s">
        <v>96</v>
      </c>
      <c r="U202" s="32" t="s">
        <v>97</v>
      </c>
      <c r="V202" s="32" t="s">
        <v>73</v>
      </c>
      <c r="W202" s="32" t="s">
        <v>111</v>
      </c>
      <c r="X202" s="32" t="s">
        <v>127</v>
      </c>
      <c r="Y202" s="32" t="s">
        <v>73</v>
      </c>
      <c r="Z202" s="32" t="s">
        <v>73</v>
      </c>
      <c r="AA202" s="32" t="s">
        <v>81</v>
      </c>
      <c r="AB202" s="32" t="s">
        <v>75</v>
      </c>
      <c r="AC202" s="32" t="s">
        <v>76</v>
      </c>
      <c r="AD202" s="32" t="s">
        <v>82</v>
      </c>
      <c r="AE202" s="32" t="s">
        <v>90</v>
      </c>
      <c r="AF202" s="32" t="s">
        <v>77</v>
      </c>
      <c r="AG202" s="32" t="s">
        <v>128</v>
      </c>
      <c r="AH202" t="str">
        <f>VLOOKUP($R202,武学奇术!$A:$ZZ,25,FALSE)</f>
        <v>剑</v>
      </c>
      <c r="AI202" s="21">
        <f>VLOOKUP($R202,武学奇术!$A:$ZZ,26,FALSE)</f>
        <v>0.3465</v>
      </c>
      <c r="AJ202" s="22">
        <f>VLOOKUP($R202,武学奇术!$A:$ZZ,27,FALSE)*(1+IF(OR($AH202=$F$4,$AH202=$F$5),$B$22,0))</f>
        <v>0</v>
      </c>
      <c r="AK202" s="21">
        <f>VLOOKUP($R202,武学奇术!$A:$ZZ,28,FALSE)</f>
        <v>0.51975</v>
      </c>
      <c r="AL202" s="22">
        <f>VLOOKUP($R202,武学奇术!$A:$ZZ,29,FALSE)*(1+IF(OR($AH202=$F$4,$AH202=$F$5),$B$22,0))</f>
        <v>0</v>
      </c>
      <c r="AM202" s="21" cm="1">
        <f t="array" ref="AM202">$G$3+IFERROR(VLOOKUP($AH202,$F$4:$G$7,2,FALSE),0)+VLOOKUP($R202,武学奇术!$A:$ZZ,2,FALSE)+SUM(_xlfn.XLOOKUP($S202:$AG202,增益!$A:$A,增益!$B:$B,0))</f>
        <v>1.5791</v>
      </c>
      <c r="AN202" s="21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1862.48</v>
      </c>
      <c r="AP202" cm="1">
        <f t="array" ref="AP202">$E$10*(1+$AN202)+VLOOKUP($R202,武学奇术!$A:$ZZ,4,FALSE)+SUM(_xlfn.XLOOKUP($S202:$AG202,增益!$A:$A,增益!$D:$D,0))-$I$2</f>
        <v>7794.56</v>
      </c>
      <c r="AQ202" s="26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0.369</v>
      </c>
      <c r="AR202" s="26" cm="1">
        <f t="array" ref="AR202">$G$10+VLOOKUP($R202,武学奇术!$A:$ZZ,7,FALSE)+SUM(_xlfn.XLOOKUP(S202:AG202,增益!$A:$A,增益!$G:$G,0))</f>
        <v>0</v>
      </c>
      <c r="AS202" s="21" cm="1">
        <f t="array" ref="AS202">VLOOKUP($R202,武学奇术!$A:$ZZ,8,FALSE)+SUM(_xlfn.XLOOKUP(S202:AG202,增益!$A:$A,增益!$H:$H,0))</f>
        <v>0</v>
      </c>
      <c r="AT202">
        <f t="shared" si="75"/>
        <v>680.02</v>
      </c>
      <c r="AU202">
        <f t="shared" si="76"/>
        <v>1288.54</v>
      </c>
      <c r="AV202" s="26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26" cm="1">
        <f t="array" ref="AW202">$G$11+VLOOKUP($R202,武学奇术!$A:$ZZ,10,FALSE)+SUM(_xlfn.XLOOKUP(S202:AG202,增益!$A:$A,增益!$J:$J,0))</f>
        <v>0.15</v>
      </c>
      <c r="AX202">
        <f t="shared" si="77"/>
        <v>0</v>
      </c>
      <c r="AY202">
        <f t="shared" si="78"/>
        <v>0</v>
      </c>
      <c r="AZ202" s="26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26" cm="1">
        <f t="array" ref="BA202">$G$12+VLOOKUP($R202,武学奇术!$A:$ZZ,12,FALSE)+SUM(_xlfn.XLOOKUP(S202:AG202,增益!$A:$A,增益!$L:$L,0))</f>
        <v>0</v>
      </c>
      <c r="BB202">
        <f t="shared" si="79"/>
        <v>0</v>
      </c>
      <c r="BC202">
        <f t="shared" si="80"/>
        <v>0</v>
      </c>
      <c r="BD202" s="26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26" cm="1">
        <f t="array" ref="BE202">$G$13+VLOOKUP($R202,武学奇术!$A:$ZZ,14,FALSE)+SUM(_xlfn.XLOOKUP(S202:AG202,增益!$A:$A,增益!$N:$N,0))</f>
        <v>0</v>
      </c>
      <c r="BF202">
        <f t="shared" si="81"/>
        <v>0</v>
      </c>
      <c r="BG202">
        <f t="shared" si="82"/>
        <v>0</v>
      </c>
      <c r="BH202" s="26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26" cm="1">
        <f t="array" ref="BI202">$G$14+VLOOKUP($R202,武学奇术!$A:$ZZ,16,FALSE)+SUM(_xlfn.XLOOKUP(S202:AG202,增益!$A:$A,增益!$P:$P,0))</f>
        <v>0</v>
      </c>
      <c r="BJ202" s="21">
        <f>MIN(IF(VLOOKUP($R202,武学奇术!$A:$ZZ,23,FALSE)=1,100%,$B$8),100%)</f>
        <v>0.8229</v>
      </c>
      <c r="BK202" s="21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0.2285</v>
      </c>
      <c r="BL202" s="21" cm="1">
        <f t="array" ref="BL202">1+$B$13+VLOOKUP($R202,武学奇术!$A:$ZZ,18,FALSE)+SUM(_xlfn.XLOOKUP(S202:AG202,增益!$A:$A,增益!$R:$R,0))</f>
        <v>1.5</v>
      </c>
      <c r="BM202" s="21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0.4495</v>
      </c>
      <c r="BN202" s="21" cm="1">
        <f t="array" ref="BN202">1+$B$14+VLOOKUP($R202,武学奇术!$A:$ZZ,20,FALSE)+SUM(_xlfn.XLOOKUP(S202:AG202,增益!$A:$A,增益!$T:$T,0))</f>
        <v>1.722</v>
      </c>
      <c r="BO202" s="21">
        <f t="shared" si="83"/>
        <v>0.18803265</v>
      </c>
      <c r="BP202" s="21">
        <f t="shared" si="84"/>
        <v>0.2649738</v>
      </c>
      <c r="BQ202" s="21">
        <f>IF(VLOOKUP($R202,武学奇术!$A:$ZZ,22,FALSE)=1,0,(1-$BJ202))*(1-$BM202)</f>
        <v>0.09749355</v>
      </c>
      <c r="BR202" s="21" cm="1">
        <f t="array" ref="BR202">SUM(_xlfn.XLOOKUP(S202:AG202,增益!$A:$A,增益!$W:$W,0))+$I$5</f>
        <v>0.06</v>
      </c>
    </row>
    <row r="203" spans="11:70">
      <c r="K203" s="24">
        <f>$L203*VLOOKUP($R203,武学奇术!$A:$ZZ,31,FALSE)</f>
        <v>9059.952467023</v>
      </c>
      <c r="L203" s="24">
        <f t="shared" si="74"/>
        <v>15099.9207783717</v>
      </c>
      <c r="M203" s="24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12657.3168116169</v>
      </c>
      <c r="N203" s="24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22496.9587977862</v>
      </c>
      <c r="O203" s="24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8438.2112077446</v>
      </c>
      <c r="P203" s="24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3811.98641212905</v>
      </c>
      <c r="Q203" s="31">
        <v>1</v>
      </c>
      <c r="R203" s="32" t="s">
        <v>197</v>
      </c>
      <c r="S203" s="32" t="s">
        <v>87</v>
      </c>
      <c r="T203" s="32" t="s">
        <v>96</v>
      </c>
      <c r="U203" s="32" t="s">
        <v>97</v>
      </c>
      <c r="V203" s="32" t="s">
        <v>73</v>
      </c>
      <c r="W203" s="32" t="s">
        <v>111</v>
      </c>
      <c r="X203" s="32" t="s">
        <v>127</v>
      </c>
      <c r="Y203" s="32" t="s">
        <v>73</v>
      </c>
      <c r="Z203" s="32" t="s">
        <v>73</v>
      </c>
      <c r="AA203" s="32" t="s">
        <v>81</v>
      </c>
      <c r="AB203" s="32" t="s">
        <v>75</v>
      </c>
      <c r="AC203" s="32" t="s">
        <v>76</v>
      </c>
      <c r="AD203" s="32" t="s">
        <v>82</v>
      </c>
      <c r="AE203" s="32" t="s">
        <v>90</v>
      </c>
      <c r="AF203" s="32" t="s">
        <v>77</v>
      </c>
      <c r="AG203" s="32" t="s">
        <v>128</v>
      </c>
      <c r="AH203" t="str">
        <f>VLOOKUP($R203,武学奇术!$A:$ZZ,25,FALSE)</f>
        <v>剑</v>
      </c>
      <c r="AI203" s="21">
        <f>VLOOKUP($R203,武学奇术!$A:$ZZ,26,FALSE)</f>
        <v>0.2772</v>
      </c>
      <c r="AJ203" s="22">
        <f>VLOOKUP($R203,武学奇术!$A:$ZZ,27,FALSE)*(1+IF(OR($AH203=$F$4,$AH203=$F$5),$B$22,0))</f>
        <v>0</v>
      </c>
      <c r="AK203" s="21">
        <f>VLOOKUP($R203,武学奇术!$A:$ZZ,28,FALSE)</f>
        <v>0.4158</v>
      </c>
      <c r="AL203" s="22">
        <f>VLOOKUP($R203,武学奇术!$A:$ZZ,29,FALSE)*(1+IF(OR($AH203=$F$4,$AH203=$F$5),$B$22,0))</f>
        <v>0</v>
      </c>
      <c r="AM203" s="21" cm="1">
        <f t="array" ref="AM203">$G$3+IFERROR(VLOOKUP($AH203,$F$4:$G$7,2,FALSE),0)+VLOOKUP($R203,武学奇术!$A:$ZZ,2,FALSE)+SUM(_xlfn.XLOOKUP($S203:$AG203,增益!$A:$A,增益!$B:$B,0))</f>
        <v>1.5791</v>
      </c>
      <c r="AN203" s="21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1862.48</v>
      </c>
      <c r="AP203" cm="1">
        <f t="array" ref="AP203">$E$10*(1+$AN203)+VLOOKUP($R203,武学奇术!$A:$ZZ,4,FALSE)+SUM(_xlfn.XLOOKUP($S203:$AG203,增益!$A:$A,增益!$D:$D,0))-$I$2</f>
        <v>7794.56</v>
      </c>
      <c r="AQ203" s="26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0.369</v>
      </c>
      <c r="AR203" s="26" cm="1">
        <f t="array" ref="AR203">$G$10+VLOOKUP($R203,武学奇术!$A:$ZZ,7,FALSE)+SUM(_xlfn.XLOOKUP(S203:AG203,增益!$A:$A,增益!$G:$G,0))</f>
        <v>0</v>
      </c>
      <c r="AS203" s="21" cm="1">
        <f t="array" ref="AS203">VLOOKUP($R203,武学奇术!$A:$ZZ,8,FALSE)+SUM(_xlfn.XLOOKUP(S203:AG203,增益!$A:$A,增益!$H:$H,0))</f>
        <v>0</v>
      </c>
      <c r="AT203">
        <f t="shared" si="75"/>
        <v>680.02</v>
      </c>
      <c r="AU203">
        <f t="shared" si="76"/>
        <v>1288.54</v>
      </c>
      <c r="AV203" s="26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26" cm="1">
        <f t="array" ref="AW203">$G$11+VLOOKUP($R203,武学奇术!$A:$ZZ,10,FALSE)+SUM(_xlfn.XLOOKUP(S203:AG203,增益!$A:$A,增益!$J:$J,0))</f>
        <v>0.15</v>
      </c>
      <c r="AX203">
        <f t="shared" si="77"/>
        <v>0</v>
      </c>
      <c r="AY203">
        <f t="shared" si="78"/>
        <v>0</v>
      </c>
      <c r="AZ203" s="26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26" cm="1">
        <f t="array" ref="BA203">$G$12+VLOOKUP($R203,武学奇术!$A:$ZZ,12,FALSE)+SUM(_xlfn.XLOOKUP(S203:AG203,增益!$A:$A,增益!$L:$L,0))</f>
        <v>0</v>
      </c>
      <c r="BB203">
        <f t="shared" si="79"/>
        <v>0</v>
      </c>
      <c r="BC203">
        <f t="shared" si="80"/>
        <v>0</v>
      </c>
      <c r="BD203" s="26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26" cm="1">
        <f t="array" ref="BE203">$G$13+VLOOKUP($R203,武学奇术!$A:$ZZ,14,FALSE)+SUM(_xlfn.XLOOKUP(S203:AG203,增益!$A:$A,增益!$N:$N,0))</f>
        <v>0</v>
      </c>
      <c r="BF203">
        <f t="shared" si="81"/>
        <v>0</v>
      </c>
      <c r="BG203">
        <f t="shared" si="82"/>
        <v>0</v>
      </c>
      <c r="BH203" s="26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26" cm="1">
        <f t="array" ref="BI203">$G$14+VLOOKUP($R203,武学奇术!$A:$ZZ,16,FALSE)+SUM(_xlfn.XLOOKUP(S203:AG203,增益!$A:$A,增益!$P:$P,0))</f>
        <v>0</v>
      </c>
      <c r="BJ203" s="21">
        <f>MIN(IF(VLOOKUP($R203,武学奇术!$A:$ZZ,23,FALSE)=1,100%,$B$8),100%)</f>
        <v>0.8229</v>
      </c>
      <c r="BK203" s="21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0.2285</v>
      </c>
      <c r="BL203" s="21" cm="1">
        <f t="array" ref="BL203">1+$B$13+VLOOKUP($R203,武学奇术!$A:$ZZ,18,FALSE)+SUM(_xlfn.XLOOKUP(S203:AG203,增益!$A:$A,增益!$R:$R,0))</f>
        <v>1.5</v>
      </c>
      <c r="BM203" s="21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0.4495</v>
      </c>
      <c r="BN203" s="21" cm="1">
        <f t="array" ref="BN203">1+$B$14+VLOOKUP($R203,武学奇术!$A:$ZZ,20,FALSE)+SUM(_xlfn.XLOOKUP(S203:AG203,增益!$A:$A,增益!$T:$T,0))</f>
        <v>1.722</v>
      </c>
      <c r="BO203" s="21">
        <f t="shared" si="83"/>
        <v>0.18803265</v>
      </c>
      <c r="BP203" s="21">
        <f t="shared" si="84"/>
        <v>0.2649738</v>
      </c>
      <c r="BQ203" s="21">
        <f>IF(VLOOKUP($R203,武学奇术!$A:$ZZ,22,FALSE)=1,0,(1-$BJ203))*(1-$BM203)</f>
        <v>0.09749355</v>
      </c>
      <c r="BR203" s="21" cm="1">
        <f t="array" ref="BR203">SUM(_xlfn.XLOOKUP(S203:AG203,增益!$A:$A,增益!$W:$W,0))+$I$5</f>
        <v>0.06</v>
      </c>
    </row>
    <row r="204" spans="11:70">
      <c r="K204" s="24">
        <f>$L204*VLOOKUP($R204,武学奇术!$A:$ZZ,31,FALSE)</f>
        <v>5662.47029188938</v>
      </c>
      <c r="L204" s="24">
        <f t="shared" si="74"/>
        <v>9437.45048648229</v>
      </c>
      <c r="M204" s="24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7910.82300726056</v>
      </c>
      <c r="N204" s="24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14060.5992486164</v>
      </c>
      <c r="O204" s="24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5273.88200484037</v>
      </c>
      <c r="P204" s="24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2382.49150758065</v>
      </c>
      <c r="Q204" s="31">
        <v>1</v>
      </c>
      <c r="R204" s="32" t="s">
        <v>198</v>
      </c>
      <c r="S204" s="32" t="s">
        <v>87</v>
      </c>
      <c r="T204" s="32" t="s">
        <v>96</v>
      </c>
      <c r="U204" s="32" t="s">
        <v>97</v>
      </c>
      <c r="V204" s="32" t="s">
        <v>73</v>
      </c>
      <c r="W204" s="32" t="s">
        <v>111</v>
      </c>
      <c r="X204" s="32" t="s">
        <v>127</v>
      </c>
      <c r="Y204" s="32" t="s">
        <v>73</v>
      </c>
      <c r="Z204" s="32" t="s">
        <v>73</v>
      </c>
      <c r="AA204" s="32" t="s">
        <v>81</v>
      </c>
      <c r="AB204" s="32" t="s">
        <v>75</v>
      </c>
      <c r="AC204" s="32" t="s">
        <v>76</v>
      </c>
      <c r="AD204" s="32" t="s">
        <v>82</v>
      </c>
      <c r="AE204" s="32" t="s">
        <v>90</v>
      </c>
      <c r="AF204" s="32" t="s">
        <v>77</v>
      </c>
      <c r="AG204" s="32" t="s">
        <v>128</v>
      </c>
      <c r="AH204" t="str">
        <f>VLOOKUP($R204,武学奇术!$A:$ZZ,25,FALSE)</f>
        <v>剑</v>
      </c>
      <c r="AI204" s="21">
        <f>VLOOKUP($R204,武学奇术!$A:$ZZ,26,FALSE)</f>
        <v>0.17325</v>
      </c>
      <c r="AJ204" s="22">
        <f>VLOOKUP($R204,武学奇术!$A:$ZZ,27,FALSE)*(1+IF(OR($AH204=$F$4,$AH204=$F$5),$B$22,0))</f>
        <v>0</v>
      </c>
      <c r="AK204" s="21">
        <f>VLOOKUP($R204,武学奇术!$A:$ZZ,28,FALSE)</f>
        <v>0.259875</v>
      </c>
      <c r="AL204" s="22">
        <f>VLOOKUP($R204,武学奇术!$A:$ZZ,29,FALSE)*(1+IF(OR($AH204=$F$4,$AH204=$F$5),$B$22,0))</f>
        <v>0</v>
      </c>
      <c r="AM204" s="21" cm="1">
        <f t="array" ref="AM204">$G$3+IFERROR(VLOOKUP($AH204,$F$4:$G$7,2,FALSE),0)+VLOOKUP($R204,武学奇术!$A:$ZZ,2,FALSE)+SUM(_xlfn.XLOOKUP($S204:$AG204,增益!$A:$A,增益!$B:$B,0))</f>
        <v>1.5791</v>
      </c>
      <c r="AN204" s="21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1862.48</v>
      </c>
      <c r="AP204" cm="1">
        <f t="array" ref="AP204">$E$10*(1+$AN204)+VLOOKUP($R204,武学奇术!$A:$ZZ,4,FALSE)+SUM(_xlfn.XLOOKUP($S204:$AG204,增益!$A:$A,增益!$D:$D,0))-$I$2</f>
        <v>7794.56</v>
      </c>
      <c r="AQ204" s="26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0.369</v>
      </c>
      <c r="AR204" s="26" cm="1">
        <f t="array" ref="AR204">$G$10+VLOOKUP($R204,武学奇术!$A:$ZZ,7,FALSE)+SUM(_xlfn.XLOOKUP(S204:AG204,增益!$A:$A,增益!$G:$G,0))</f>
        <v>0</v>
      </c>
      <c r="AS204" s="21" cm="1">
        <f t="array" ref="AS204">VLOOKUP($R204,武学奇术!$A:$ZZ,8,FALSE)+SUM(_xlfn.XLOOKUP(S204:AG204,增益!$A:$A,增益!$H:$H,0))</f>
        <v>0</v>
      </c>
      <c r="AT204">
        <f t="shared" si="75"/>
        <v>680.02</v>
      </c>
      <c r="AU204">
        <f t="shared" si="76"/>
        <v>1288.54</v>
      </c>
      <c r="AV204" s="26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26" cm="1">
        <f t="array" ref="AW204">$G$11+VLOOKUP($R204,武学奇术!$A:$ZZ,10,FALSE)+SUM(_xlfn.XLOOKUP(S204:AG204,增益!$A:$A,增益!$J:$J,0))</f>
        <v>0.15</v>
      </c>
      <c r="AX204">
        <f t="shared" si="77"/>
        <v>0</v>
      </c>
      <c r="AY204">
        <f t="shared" si="78"/>
        <v>0</v>
      </c>
      <c r="AZ204" s="26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26" cm="1">
        <f t="array" ref="BA204">$G$12+VLOOKUP($R204,武学奇术!$A:$ZZ,12,FALSE)+SUM(_xlfn.XLOOKUP(S204:AG204,增益!$A:$A,增益!$L:$L,0))</f>
        <v>0</v>
      </c>
      <c r="BB204">
        <f t="shared" si="79"/>
        <v>0</v>
      </c>
      <c r="BC204">
        <f t="shared" si="80"/>
        <v>0</v>
      </c>
      <c r="BD204" s="26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26" cm="1">
        <f t="array" ref="BE204">$G$13+VLOOKUP($R204,武学奇术!$A:$ZZ,14,FALSE)+SUM(_xlfn.XLOOKUP(S204:AG204,增益!$A:$A,增益!$N:$N,0))</f>
        <v>0</v>
      </c>
      <c r="BF204">
        <f t="shared" si="81"/>
        <v>0</v>
      </c>
      <c r="BG204">
        <f t="shared" si="82"/>
        <v>0</v>
      </c>
      <c r="BH204" s="26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26" cm="1">
        <f t="array" ref="BI204">$G$14+VLOOKUP($R204,武学奇术!$A:$ZZ,16,FALSE)+SUM(_xlfn.XLOOKUP(S204:AG204,增益!$A:$A,增益!$P:$P,0))</f>
        <v>0</v>
      </c>
      <c r="BJ204" s="21">
        <f>MIN(IF(VLOOKUP($R204,武学奇术!$A:$ZZ,23,FALSE)=1,100%,$B$8),100%)</f>
        <v>0.8229</v>
      </c>
      <c r="BK204" s="21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0.2285</v>
      </c>
      <c r="BL204" s="21" cm="1">
        <f t="array" ref="BL204">1+$B$13+VLOOKUP($R204,武学奇术!$A:$ZZ,18,FALSE)+SUM(_xlfn.XLOOKUP(S204:AG204,增益!$A:$A,增益!$R:$R,0))</f>
        <v>1.5</v>
      </c>
      <c r="BM204" s="21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0.4495</v>
      </c>
      <c r="BN204" s="21" cm="1">
        <f t="array" ref="BN204">1+$B$14+VLOOKUP($R204,武学奇术!$A:$ZZ,20,FALSE)+SUM(_xlfn.XLOOKUP(S204:AG204,增益!$A:$A,增益!$T:$T,0))</f>
        <v>1.722</v>
      </c>
      <c r="BO204" s="21">
        <f t="shared" si="83"/>
        <v>0.18803265</v>
      </c>
      <c r="BP204" s="21">
        <f t="shared" si="84"/>
        <v>0.2649738</v>
      </c>
      <c r="BQ204" s="21">
        <f>IF(VLOOKUP($R204,武学奇术!$A:$ZZ,22,FALSE)=1,0,(1-$BJ204))*(1-$BM204)</f>
        <v>0.09749355</v>
      </c>
      <c r="BR204" s="21" cm="1">
        <f t="array" ref="BR204">SUM(_xlfn.XLOOKUP(S204:AG204,增益!$A:$A,增益!$W:$W,0))+$I$5</f>
        <v>0.06</v>
      </c>
    </row>
    <row r="205" spans="11:70">
      <c r="K205" s="24">
        <f>$L205*VLOOKUP($R205,武学奇术!$A:$ZZ,31,FALSE)</f>
        <v>11280.8216499165</v>
      </c>
      <c r="L205" s="24">
        <f t="shared" si="74"/>
        <v>18801.3694165275</v>
      </c>
      <c r="M205" s="24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15698.9547965418</v>
      </c>
      <c r="N205" s="24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28065.1677141138</v>
      </c>
      <c r="O205" s="24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10465.9698643612</v>
      </c>
      <c r="P205" s="24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4728.03227253666</v>
      </c>
      <c r="Q205" s="31">
        <v>1</v>
      </c>
      <c r="R205" s="32" t="s">
        <v>199</v>
      </c>
      <c r="S205" s="32" t="s">
        <v>87</v>
      </c>
      <c r="T205" s="32" t="s">
        <v>96</v>
      </c>
      <c r="U205" s="32" t="s">
        <v>97</v>
      </c>
      <c r="V205" s="32" t="s">
        <v>73</v>
      </c>
      <c r="W205" s="32" t="s">
        <v>111</v>
      </c>
      <c r="X205" s="32" t="s">
        <v>127</v>
      </c>
      <c r="Y205" s="32" t="s">
        <v>73</v>
      </c>
      <c r="Z205" s="32" t="s">
        <v>73</v>
      </c>
      <c r="AA205" s="32" t="s">
        <v>81</v>
      </c>
      <c r="AB205" s="32" t="s">
        <v>75</v>
      </c>
      <c r="AC205" s="32" t="s">
        <v>76</v>
      </c>
      <c r="AD205" s="32" t="s">
        <v>82</v>
      </c>
      <c r="AE205" s="32" t="s">
        <v>90</v>
      </c>
      <c r="AF205" s="32" t="s">
        <v>73</v>
      </c>
      <c r="AG205" s="32" t="s">
        <v>144</v>
      </c>
      <c r="AH205" t="str">
        <f>VLOOKUP($R205,武学奇术!$A:$ZZ,25,FALSE)</f>
        <v>剑</v>
      </c>
      <c r="AI205" s="21">
        <f>VLOOKUP($R205,武学奇术!$A:$ZZ,26,FALSE)</f>
        <v>0.3465</v>
      </c>
      <c r="AJ205" s="22">
        <f>VLOOKUP($R205,武学奇术!$A:$ZZ,27,FALSE)*(1+IF(OR($AH205=$F$4,$AH205=$F$5),$B$22,0))</f>
        <v>0</v>
      </c>
      <c r="AK205" s="21">
        <f>VLOOKUP($R205,武学奇术!$A:$ZZ,28,FALSE)</f>
        <v>0.51975</v>
      </c>
      <c r="AL205" s="22">
        <f>VLOOKUP($R205,武学奇术!$A:$ZZ,29,FALSE)*(1+IF(OR($AH205=$F$4,$AH205=$F$5),$B$22,0))</f>
        <v>0</v>
      </c>
      <c r="AM205" s="21" cm="1">
        <f t="array" ref="AM205">$G$3+IFERROR(VLOOKUP($AH205,$F$4:$G$7,2,FALSE),0)+VLOOKUP($R205,武学奇术!$A:$ZZ,2,FALSE)+SUM(_xlfn.XLOOKUP($S205:$AG205,增益!$A:$A,增益!$B:$B,0))</f>
        <v>1.5591</v>
      </c>
      <c r="AN205" s="21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1862.48</v>
      </c>
      <c r="AP205" cm="1">
        <f t="array" ref="AP205">$E$10*(1+$AN205)+VLOOKUP($R205,武学奇术!$A:$ZZ,4,FALSE)+SUM(_xlfn.XLOOKUP($S205:$AG205,增益!$A:$A,增益!$D:$D,0))-$I$2</f>
        <v>7794.56</v>
      </c>
      <c r="AQ205" s="26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0.369</v>
      </c>
      <c r="AR205" s="26" cm="1">
        <f t="array" ref="AR205">$G$10+VLOOKUP($R205,武学奇术!$A:$ZZ,7,FALSE)+SUM(_xlfn.XLOOKUP(S205:AG205,增益!$A:$A,增益!$G:$G,0))</f>
        <v>0</v>
      </c>
      <c r="AS205" s="21" cm="1">
        <f t="array" ref="AS205">VLOOKUP($R205,武学奇术!$A:$ZZ,8,FALSE)+SUM(_xlfn.XLOOKUP(S205:AG205,增益!$A:$A,增益!$H:$H,0))</f>
        <v>0</v>
      </c>
      <c r="AT205">
        <f t="shared" si="75"/>
        <v>680.02</v>
      </c>
      <c r="AU205">
        <f t="shared" si="76"/>
        <v>1288.54</v>
      </c>
      <c r="AV205" s="26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26" cm="1">
        <f t="array" ref="AW205">$G$11+VLOOKUP($R205,武学奇术!$A:$ZZ,10,FALSE)+SUM(_xlfn.XLOOKUP(S205:AG205,增益!$A:$A,增益!$J:$J,0))</f>
        <v>0.15</v>
      </c>
      <c r="AX205">
        <f t="shared" si="77"/>
        <v>0</v>
      </c>
      <c r="AY205">
        <f t="shared" si="78"/>
        <v>0</v>
      </c>
      <c r="AZ205" s="26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26" cm="1">
        <f t="array" ref="BA205">$G$12+VLOOKUP($R205,武学奇术!$A:$ZZ,12,FALSE)+SUM(_xlfn.XLOOKUP(S205:AG205,增益!$A:$A,增益!$L:$L,0))</f>
        <v>0</v>
      </c>
      <c r="BB205">
        <f t="shared" si="79"/>
        <v>0</v>
      </c>
      <c r="BC205">
        <f t="shared" si="80"/>
        <v>0</v>
      </c>
      <c r="BD205" s="26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26" cm="1">
        <f t="array" ref="BE205">$G$13+VLOOKUP($R205,武学奇术!$A:$ZZ,14,FALSE)+SUM(_xlfn.XLOOKUP(S205:AG205,增益!$A:$A,增益!$N:$N,0))</f>
        <v>0</v>
      </c>
      <c r="BF205">
        <f t="shared" si="81"/>
        <v>0</v>
      </c>
      <c r="BG205">
        <f t="shared" si="82"/>
        <v>0</v>
      </c>
      <c r="BH205" s="26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26" cm="1">
        <f t="array" ref="BI205">$G$14+VLOOKUP($R205,武学奇术!$A:$ZZ,16,FALSE)+SUM(_xlfn.XLOOKUP(S205:AG205,增益!$A:$A,增益!$P:$P,0))</f>
        <v>0</v>
      </c>
      <c r="BJ205" s="21">
        <f>MIN(IF(VLOOKUP($R205,武学奇术!$A:$ZZ,23,FALSE)=1,100%,$B$8),100%)</f>
        <v>0.8229</v>
      </c>
      <c r="BK205" s="21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0.2285</v>
      </c>
      <c r="BL205" s="21" cm="1">
        <f t="array" ref="BL205">1+$B$13+VLOOKUP($R205,武学奇术!$A:$ZZ,18,FALSE)+SUM(_xlfn.XLOOKUP(S205:AG205,增益!$A:$A,增益!$R:$R,0))</f>
        <v>1.5</v>
      </c>
      <c r="BM205" s="21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0.4495</v>
      </c>
      <c r="BN205" s="21" cm="1">
        <f t="array" ref="BN205">1+$B$14+VLOOKUP($R205,武学奇术!$A:$ZZ,20,FALSE)+SUM(_xlfn.XLOOKUP(S205:AG205,增益!$A:$A,增益!$T:$T,0))</f>
        <v>1.732</v>
      </c>
      <c r="BO205" s="21">
        <f t="shared" si="83"/>
        <v>0.18803265</v>
      </c>
      <c r="BP205" s="21">
        <f t="shared" si="84"/>
        <v>0.2649738</v>
      </c>
      <c r="BQ205" s="21">
        <f>IF(VLOOKUP($R205,武学奇术!$A:$ZZ,22,FALSE)=1,0,(1-$BJ205))*(1-$BM205)</f>
        <v>0.09749355</v>
      </c>
      <c r="BR205" s="21" cm="1">
        <f t="array" ref="BR205">SUM(_xlfn.XLOOKUP(S205:AG205,增益!$A:$A,增益!$W:$W,0))+$I$5</f>
        <v>0.06</v>
      </c>
    </row>
    <row r="206" spans="11:70">
      <c r="K206" s="24">
        <f>$L206*VLOOKUP($R206,武学奇术!$A:$ZZ,31,FALSE)</f>
        <v>11280.8216499165</v>
      </c>
      <c r="L206" s="24">
        <f t="shared" si="74"/>
        <v>18801.3694165275</v>
      </c>
      <c r="M206" s="24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15698.9547965418</v>
      </c>
      <c r="N206" s="24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28065.1677141138</v>
      </c>
      <c r="O206" s="24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10465.9698643612</v>
      </c>
      <c r="P206" s="24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4728.03227253666</v>
      </c>
      <c r="Q206" s="31">
        <v>1</v>
      </c>
      <c r="R206" s="32" t="s">
        <v>199</v>
      </c>
      <c r="S206" s="32" t="s">
        <v>87</v>
      </c>
      <c r="T206" s="32" t="s">
        <v>96</v>
      </c>
      <c r="U206" s="32" t="s">
        <v>97</v>
      </c>
      <c r="V206" s="32" t="s">
        <v>73</v>
      </c>
      <c r="W206" s="32" t="s">
        <v>111</v>
      </c>
      <c r="X206" s="32" t="s">
        <v>127</v>
      </c>
      <c r="Y206" s="32" t="s">
        <v>73</v>
      </c>
      <c r="Z206" s="32" t="s">
        <v>73</v>
      </c>
      <c r="AA206" s="32" t="s">
        <v>81</v>
      </c>
      <c r="AB206" s="32" t="s">
        <v>75</v>
      </c>
      <c r="AC206" s="32" t="s">
        <v>76</v>
      </c>
      <c r="AD206" s="32" t="s">
        <v>82</v>
      </c>
      <c r="AE206" s="32" t="s">
        <v>90</v>
      </c>
      <c r="AF206" s="32" t="s">
        <v>73</v>
      </c>
      <c r="AG206" s="32" t="s">
        <v>144</v>
      </c>
      <c r="AH206" t="str">
        <f>VLOOKUP($R206,武学奇术!$A:$ZZ,25,FALSE)</f>
        <v>剑</v>
      </c>
      <c r="AI206" s="21">
        <f>VLOOKUP($R206,武学奇术!$A:$ZZ,26,FALSE)</f>
        <v>0.3465</v>
      </c>
      <c r="AJ206" s="22">
        <f>VLOOKUP($R206,武学奇术!$A:$ZZ,27,FALSE)*(1+IF(OR($AH206=$F$4,$AH206=$F$5),$B$22,0))</f>
        <v>0</v>
      </c>
      <c r="AK206" s="21">
        <f>VLOOKUP($R206,武学奇术!$A:$ZZ,28,FALSE)</f>
        <v>0.51975</v>
      </c>
      <c r="AL206" s="22">
        <f>VLOOKUP($R206,武学奇术!$A:$ZZ,29,FALSE)*(1+IF(OR($AH206=$F$4,$AH206=$F$5),$B$22,0))</f>
        <v>0</v>
      </c>
      <c r="AM206" s="21" cm="1">
        <f t="array" ref="AM206">$G$3+IFERROR(VLOOKUP($AH206,$F$4:$G$7,2,FALSE),0)+VLOOKUP($R206,武学奇术!$A:$ZZ,2,FALSE)+SUM(_xlfn.XLOOKUP($S206:$AG206,增益!$A:$A,增益!$B:$B,0))</f>
        <v>1.5591</v>
      </c>
      <c r="AN206" s="21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1862.48</v>
      </c>
      <c r="AP206" cm="1">
        <f t="array" ref="AP206">$E$10*(1+$AN206)+VLOOKUP($R206,武学奇术!$A:$ZZ,4,FALSE)+SUM(_xlfn.XLOOKUP($S206:$AG206,增益!$A:$A,增益!$D:$D,0))-$I$2</f>
        <v>7794.56</v>
      </c>
      <c r="AQ206" s="26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0.369</v>
      </c>
      <c r="AR206" s="26" cm="1">
        <f t="array" ref="AR206">$G$10+VLOOKUP($R206,武学奇术!$A:$ZZ,7,FALSE)+SUM(_xlfn.XLOOKUP(S206:AG206,增益!$A:$A,增益!$G:$G,0))</f>
        <v>0</v>
      </c>
      <c r="AS206" s="21" cm="1">
        <f t="array" ref="AS206">VLOOKUP($R206,武学奇术!$A:$ZZ,8,FALSE)+SUM(_xlfn.XLOOKUP(S206:AG206,增益!$A:$A,增益!$H:$H,0))</f>
        <v>0</v>
      </c>
      <c r="AT206">
        <f t="shared" si="75"/>
        <v>680.02</v>
      </c>
      <c r="AU206">
        <f t="shared" si="76"/>
        <v>1288.54</v>
      </c>
      <c r="AV206" s="26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0.075</v>
      </c>
      <c r="AW206" s="26" cm="1">
        <f t="array" ref="AW206">$G$11+VLOOKUP($R206,武学奇术!$A:$ZZ,10,FALSE)+SUM(_xlfn.XLOOKUP(S206:AG206,增益!$A:$A,增益!$J:$J,0))</f>
        <v>0.15</v>
      </c>
      <c r="AX206">
        <f t="shared" si="77"/>
        <v>0</v>
      </c>
      <c r="AY206">
        <f t="shared" si="78"/>
        <v>0</v>
      </c>
      <c r="AZ206" s="26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26" cm="1">
        <f t="array" ref="BA206">$G$12+VLOOKUP($R206,武学奇术!$A:$ZZ,12,FALSE)+SUM(_xlfn.XLOOKUP(S206:AG206,增益!$A:$A,增益!$L:$L,0))</f>
        <v>0</v>
      </c>
      <c r="BB206">
        <f t="shared" si="79"/>
        <v>0</v>
      </c>
      <c r="BC206">
        <f t="shared" si="80"/>
        <v>0</v>
      </c>
      <c r="BD206" s="26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26" cm="1">
        <f t="array" ref="BE206">$G$13+VLOOKUP($R206,武学奇术!$A:$ZZ,14,FALSE)+SUM(_xlfn.XLOOKUP(S206:AG206,增益!$A:$A,增益!$N:$N,0))</f>
        <v>0</v>
      </c>
      <c r="BF206">
        <f t="shared" si="81"/>
        <v>0</v>
      </c>
      <c r="BG206">
        <f t="shared" si="82"/>
        <v>0</v>
      </c>
      <c r="BH206" s="26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26" cm="1">
        <f t="array" ref="BI206">$G$14+VLOOKUP($R206,武学奇术!$A:$ZZ,16,FALSE)+SUM(_xlfn.XLOOKUP(S206:AG206,增益!$A:$A,增益!$P:$P,0))</f>
        <v>0</v>
      </c>
      <c r="BJ206" s="21">
        <f>MIN(IF(VLOOKUP($R206,武学奇术!$A:$ZZ,23,FALSE)=1,100%,$B$8),100%)</f>
        <v>0.8229</v>
      </c>
      <c r="BK206" s="21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0.2285</v>
      </c>
      <c r="BL206" s="21" cm="1">
        <f t="array" ref="BL206">1+$B$13+VLOOKUP($R206,武学奇术!$A:$ZZ,18,FALSE)+SUM(_xlfn.XLOOKUP(S206:AG206,增益!$A:$A,增益!$R:$R,0))</f>
        <v>1.5</v>
      </c>
      <c r="BM206" s="21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0.4495</v>
      </c>
      <c r="BN206" s="21" cm="1">
        <f t="array" ref="BN206">1+$B$14+VLOOKUP($R206,武学奇术!$A:$ZZ,20,FALSE)+SUM(_xlfn.XLOOKUP(S206:AG206,增益!$A:$A,增益!$T:$T,0))</f>
        <v>1.732</v>
      </c>
      <c r="BO206" s="21">
        <f t="shared" si="83"/>
        <v>0.18803265</v>
      </c>
      <c r="BP206" s="21">
        <f t="shared" si="84"/>
        <v>0.2649738</v>
      </c>
      <c r="BQ206" s="21">
        <f>IF(VLOOKUP($R206,武学奇术!$A:$ZZ,22,FALSE)=1,0,(1-$BJ206))*(1-$BM206)</f>
        <v>0.09749355</v>
      </c>
      <c r="BR206" s="21" cm="1">
        <f t="array" ref="BR206">SUM(_xlfn.XLOOKUP(S206:AG206,增益!$A:$A,增益!$W:$W,0))+$I$5</f>
        <v>0.06</v>
      </c>
    </row>
    <row r="207" spans="11:70">
      <c r="K207" s="24">
        <f>$L207*VLOOKUP($R207,武学奇术!$A:$ZZ,31,FALSE)</f>
        <v>11280.8216499165</v>
      </c>
      <c r="L207" s="24">
        <f t="shared" si="74"/>
        <v>18801.3694165275</v>
      </c>
      <c r="M207" s="24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15698.9547965418</v>
      </c>
      <c r="N207" s="24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28065.1677141138</v>
      </c>
      <c r="O207" s="24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10465.9698643612</v>
      </c>
      <c r="P207" s="24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4728.03227253666</v>
      </c>
      <c r="Q207" s="31">
        <v>1</v>
      </c>
      <c r="R207" s="32" t="s">
        <v>199</v>
      </c>
      <c r="S207" s="32" t="s">
        <v>87</v>
      </c>
      <c r="T207" s="32" t="s">
        <v>96</v>
      </c>
      <c r="U207" s="32" t="s">
        <v>97</v>
      </c>
      <c r="V207" s="32" t="s">
        <v>73</v>
      </c>
      <c r="W207" s="32" t="s">
        <v>111</v>
      </c>
      <c r="X207" s="32" t="s">
        <v>127</v>
      </c>
      <c r="Y207" s="32" t="s">
        <v>73</v>
      </c>
      <c r="Z207" s="32" t="s">
        <v>73</v>
      </c>
      <c r="AA207" s="32" t="s">
        <v>81</v>
      </c>
      <c r="AB207" s="32" t="s">
        <v>75</v>
      </c>
      <c r="AC207" s="32" t="s">
        <v>76</v>
      </c>
      <c r="AD207" s="32" t="s">
        <v>82</v>
      </c>
      <c r="AE207" s="32" t="s">
        <v>90</v>
      </c>
      <c r="AF207" s="32" t="s">
        <v>73</v>
      </c>
      <c r="AG207" s="32" t="s">
        <v>144</v>
      </c>
      <c r="AH207" t="str">
        <f>VLOOKUP($R207,武学奇术!$A:$ZZ,25,FALSE)</f>
        <v>剑</v>
      </c>
      <c r="AI207" s="21">
        <f>VLOOKUP($R207,武学奇术!$A:$ZZ,26,FALSE)</f>
        <v>0.3465</v>
      </c>
      <c r="AJ207" s="22">
        <f>VLOOKUP($R207,武学奇术!$A:$ZZ,27,FALSE)*(1+IF(OR($AH207=$F$4,$AH207=$F$5),$B$22,0))</f>
        <v>0</v>
      </c>
      <c r="AK207" s="21">
        <f>VLOOKUP($R207,武学奇术!$A:$ZZ,28,FALSE)</f>
        <v>0.51975</v>
      </c>
      <c r="AL207" s="22">
        <f>VLOOKUP($R207,武学奇术!$A:$ZZ,29,FALSE)*(1+IF(OR($AH207=$F$4,$AH207=$F$5),$B$22,0))</f>
        <v>0</v>
      </c>
      <c r="AM207" s="21" cm="1">
        <f t="array" ref="AM207">$G$3+IFERROR(VLOOKUP($AH207,$F$4:$G$7,2,FALSE),0)+VLOOKUP($R207,武学奇术!$A:$ZZ,2,FALSE)+SUM(_xlfn.XLOOKUP($S207:$AG207,增益!$A:$A,增益!$B:$B,0))</f>
        <v>1.5591</v>
      </c>
      <c r="AN207" s="21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1862.48</v>
      </c>
      <c r="AP207" cm="1">
        <f t="array" ref="AP207">$E$10*(1+$AN207)+VLOOKUP($R207,武学奇术!$A:$ZZ,4,FALSE)+SUM(_xlfn.XLOOKUP($S207:$AG207,增益!$A:$A,增益!$D:$D,0))-$I$2</f>
        <v>7794.56</v>
      </c>
      <c r="AQ207" s="26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0.369</v>
      </c>
      <c r="AR207" s="26" cm="1">
        <f t="array" ref="AR207">$G$10+VLOOKUP($R207,武学奇术!$A:$ZZ,7,FALSE)+SUM(_xlfn.XLOOKUP(S207:AG207,增益!$A:$A,增益!$G:$G,0))</f>
        <v>0</v>
      </c>
      <c r="AS207" s="21" cm="1">
        <f t="array" ref="AS207">VLOOKUP($R207,武学奇术!$A:$ZZ,8,FALSE)+SUM(_xlfn.XLOOKUP(S207:AG207,增益!$A:$A,增益!$H:$H,0))</f>
        <v>0</v>
      </c>
      <c r="AT207">
        <f t="shared" si="75"/>
        <v>680.02</v>
      </c>
      <c r="AU207">
        <f t="shared" si="76"/>
        <v>1288.54</v>
      </c>
      <c r="AV207" s="26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0.075</v>
      </c>
      <c r="AW207" s="26" cm="1">
        <f t="array" ref="AW207">$G$11+VLOOKUP($R207,武学奇术!$A:$ZZ,10,FALSE)+SUM(_xlfn.XLOOKUP(S207:AG207,增益!$A:$A,增益!$J:$J,0))</f>
        <v>0.15</v>
      </c>
      <c r="AX207">
        <f t="shared" si="77"/>
        <v>0</v>
      </c>
      <c r="AY207">
        <f t="shared" si="78"/>
        <v>0</v>
      </c>
      <c r="AZ207" s="26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26" cm="1">
        <f t="array" ref="BA207">$G$12+VLOOKUP($R207,武学奇术!$A:$ZZ,12,FALSE)+SUM(_xlfn.XLOOKUP(S207:AG207,增益!$A:$A,增益!$L:$L,0))</f>
        <v>0</v>
      </c>
      <c r="BB207">
        <f t="shared" si="79"/>
        <v>0</v>
      </c>
      <c r="BC207">
        <f t="shared" si="80"/>
        <v>0</v>
      </c>
      <c r="BD207" s="26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26" cm="1">
        <f t="array" ref="BE207">$G$13+VLOOKUP($R207,武学奇术!$A:$ZZ,14,FALSE)+SUM(_xlfn.XLOOKUP(S207:AG207,增益!$A:$A,增益!$N:$N,0))</f>
        <v>0</v>
      </c>
      <c r="BF207">
        <f t="shared" si="81"/>
        <v>0</v>
      </c>
      <c r="BG207">
        <f t="shared" si="82"/>
        <v>0</v>
      </c>
      <c r="BH207" s="26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26" cm="1">
        <f t="array" ref="BI207">$G$14+VLOOKUP($R207,武学奇术!$A:$ZZ,16,FALSE)+SUM(_xlfn.XLOOKUP(S207:AG207,增益!$A:$A,增益!$P:$P,0))</f>
        <v>0</v>
      </c>
      <c r="BJ207" s="21">
        <f>MIN(IF(VLOOKUP($R207,武学奇术!$A:$ZZ,23,FALSE)=1,100%,$B$8),100%)</f>
        <v>0.8229</v>
      </c>
      <c r="BK207" s="21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0.2285</v>
      </c>
      <c r="BL207" s="21" cm="1">
        <f t="array" ref="BL207">1+$B$13+VLOOKUP($R207,武学奇术!$A:$ZZ,18,FALSE)+SUM(_xlfn.XLOOKUP(S207:AG207,增益!$A:$A,增益!$R:$R,0))</f>
        <v>1.5</v>
      </c>
      <c r="BM207" s="21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0.4495</v>
      </c>
      <c r="BN207" s="21" cm="1">
        <f t="array" ref="BN207">1+$B$14+VLOOKUP($R207,武学奇术!$A:$ZZ,20,FALSE)+SUM(_xlfn.XLOOKUP(S207:AG207,增益!$A:$A,增益!$T:$T,0))</f>
        <v>1.732</v>
      </c>
      <c r="BO207" s="21">
        <f t="shared" si="83"/>
        <v>0.18803265</v>
      </c>
      <c r="BP207" s="21">
        <f t="shared" si="84"/>
        <v>0.2649738</v>
      </c>
      <c r="BQ207" s="21">
        <f>IF(VLOOKUP($R207,武学奇术!$A:$ZZ,22,FALSE)=1,0,(1-$BJ207))*(1-$BM207)</f>
        <v>0.09749355</v>
      </c>
      <c r="BR207" s="21" cm="1">
        <f t="array" ref="BR207">SUM(_xlfn.XLOOKUP(S207:AG207,增益!$A:$A,增益!$W:$W,0))+$I$5</f>
        <v>0.06</v>
      </c>
    </row>
    <row r="208" spans="11:70">
      <c r="K208" s="24">
        <f>$L208*VLOOKUP($R208,武学奇术!$A:$ZZ,31,FALSE)</f>
        <v>10221.6057332375</v>
      </c>
      <c r="L208" s="24">
        <f t="shared" si="74"/>
        <v>17036.0095553958</v>
      </c>
      <c r="M208" s="24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14155.0855836372</v>
      </c>
      <c r="N208" s="24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25496.8535194884</v>
      </c>
      <c r="O208" s="24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9436.72372242477</v>
      </c>
      <c r="P208" s="24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4236.90696293889</v>
      </c>
      <c r="Q208" s="31">
        <v>1</v>
      </c>
      <c r="R208" s="32" t="s">
        <v>199</v>
      </c>
      <c r="S208" s="32" t="s">
        <v>87</v>
      </c>
      <c r="T208" s="32" t="s">
        <v>96</v>
      </c>
      <c r="U208" s="32" t="s">
        <v>97</v>
      </c>
      <c r="V208" s="32" t="s">
        <v>73</v>
      </c>
      <c r="W208" s="32" t="s">
        <v>73</v>
      </c>
      <c r="X208" s="32" t="s">
        <v>127</v>
      </c>
      <c r="Y208" s="32" t="s">
        <v>73</v>
      </c>
      <c r="Z208" s="32" t="s">
        <v>73</v>
      </c>
      <c r="AA208" s="32" t="s">
        <v>81</v>
      </c>
      <c r="AB208" s="32" t="s">
        <v>75</v>
      </c>
      <c r="AC208" s="32" t="s">
        <v>76</v>
      </c>
      <c r="AD208" s="32" t="s">
        <v>82</v>
      </c>
      <c r="AE208" s="32" t="s">
        <v>73</v>
      </c>
      <c r="AF208" s="32" t="s">
        <v>73</v>
      </c>
      <c r="AG208" s="32" t="s">
        <v>158</v>
      </c>
      <c r="AH208" t="str">
        <f>VLOOKUP($R208,武学奇术!$A:$ZZ,25,FALSE)</f>
        <v>剑</v>
      </c>
      <c r="AI208" s="21">
        <f>VLOOKUP($R208,武学奇术!$A:$ZZ,26,FALSE)</f>
        <v>0.3465</v>
      </c>
      <c r="AJ208" s="22">
        <f>VLOOKUP($R208,武学奇术!$A:$ZZ,27,FALSE)*(1+IF(OR($AH208=$F$4,$AH208=$F$5),$B$22,0))</f>
        <v>0</v>
      </c>
      <c r="AK208" s="21">
        <f>VLOOKUP($R208,武学奇术!$A:$ZZ,28,FALSE)</f>
        <v>0.51975</v>
      </c>
      <c r="AL208" s="22">
        <f>VLOOKUP($R208,武学奇术!$A:$ZZ,29,FALSE)*(1+IF(OR($AH208=$F$4,$AH208=$F$5),$B$22,0))</f>
        <v>0</v>
      </c>
      <c r="AM208" s="21" cm="1">
        <f t="array" ref="AM208">$G$3+IFERROR(VLOOKUP($AH208,$F$4:$G$7,2,FALSE),0)+VLOOKUP($R208,武学奇术!$A:$ZZ,2,FALSE)+SUM(_xlfn.XLOOKUP($S208:$AG208,增益!$A:$A,增益!$B:$B,0))</f>
        <v>1.3191</v>
      </c>
      <c r="AN208" s="21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1831.48</v>
      </c>
      <c r="AP208" cm="1">
        <f t="array" ref="AP208">$E$10*(1+$AN208)+VLOOKUP($R208,武学奇术!$A:$ZZ,4,FALSE)+SUM(_xlfn.XLOOKUP($S208:$AG208,增益!$A:$A,增益!$D:$D,0))-$I$2</f>
        <v>7763.56</v>
      </c>
      <c r="AQ208" s="26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0.369</v>
      </c>
      <c r="AR208" s="26" cm="1">
        <f t="array" ref="AR208">$G$10+VLOOKUP($R208,武学奇术!$A:$ZZ,7,FALSE)+SUM(_xlfn.XLOOKUP(S208:AG208,增益!$A:$A,增益!$G:$G,0))</f>
        <v>0</v>
      </c>
      <c r="AS208" s="21" cm="1">
        <f t="array" ref="AS208">VLOOKUP($R208,武学奇术!$A:$ZZ,8,FALSE)+SUM(_xlfn.XLOOKUP(S208:AG208,增益!$A:$A,增益!$H:$H,0))</f>
        <v>0</v>
      </c>
      <c r="AT208">
        <f t="shared" si="75"/>
        <v>680.02</v>
      </c>
      <c r="AU208">
        <f t="shared" si="76"/>
        <v>1288.54</v>
      </c>
      <c r="AV208" s="26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0.075</v>
      </c>
      <c r="AW208" s="26" cm="1">
        <f t="array" ref="AW208">$G$11+VLOOKUP($R208,武学奇术!$A:$ZZ,10,FALSE)+SUM(_xlfn.XLOOKUP(S208:AG208,增益!$A:$A,增益!$J:$J,0))</f>
        <v>0.15</v>
      </c>
      <c r="AX208">
        <f t="shared" si="77"/>
        <v>0</v>
      </c>
      <c r="AY208">
        <f t="shared" si="78"/>
        <v>0</v>
      </c>
      <c r="AZ208" s="26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26" cm="1">
        <f t="array" ref="BA208">$G$12+VLOOKUP($R208,武学奇术!$A:$ZZ,12,FALSE)+SUM(_xlfn.XLOOKUP(S208:AG208,增益!$A:$A,增益!$L:$L,0))</f>
        <v>0</v>
      </c>
      <c r="BB208">
        <f t="shared" si="79"/>
        <v>0</v>
      </c>
      <c r="BC208">
        <f t="shared" si="80"/>
        <v>0</v>
      </c>
      <c r="BD208" s="26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26" cm="1">
        <f t="array" ref="BE208">$G$13+VLOOKUP($R208,武学奇术!$A:$ZZ,14,FALSE)+SUM(_xlfn.XLOOKUP(S208:AG208,增益!$A:$A,增益!$N:$N,0))</f>
        <v>0</v>
      </c>
      <c r="BF208">
        <f t="shared" si="81"/>
        <v>0</v>
      </c>
      <c r="BG208">
        <f t="shared" si="82"/>
        <v>0</v>
      </c>
      <c r="BH208" s="26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26" cm="1">
        <f t="array" ref="BI208">$G$14+VLOOKUP($R208,武学奇术!$A:$ZZ,16,FALSE)+SUM(_xlfn.XLOOKUP(S208:AG208,增益!$A:$A,增益!$P:$P,0))</f>
        <v>0</v>
      </c>
      <c r="BJ208" s="21">
        <f>MIN(IF(VLOOKUP($R208,武学奇术!$A:$ZZ,23,FALSE)=1,100%,$B$8),100%)</f>
        <v>0.8229</v>
      </c>
      <c r="BK208" s="21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0.2285</v>
      </c>
      <c r="BL208" s="21" cm="1">
        <f t="array" ref="BL208">1+$B$13+VLOOKUP($R208,武学奇术!$A:$ZZ,18,FALSE)+SUM(_xlfn.XLOOKUP(S208:AG208,增益!$A:$A,增益!$R:$R,0))</f>
        <v>1.5</v>
      </c>
      <c r="BM208" s="21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0.4495</v>
      </c>
      <c r="BN208" s="21" cm="1">
        <f t="array" ref="BN208">1+$B$14+VLOOKUP($R208,武学奇术!$A:$ZZ,20,FALSE)+SUM(_xlfn.XLOOKUP(S208:AG208,增益!$A:$A,增益!$T:$T,0))</f>
        <v>1.742</v>
      </c>
      <c r="BO208" s="21">
        <f t="shared" si="83"/>
        <v>0.18803265</v>
      </c>
      <c r="BP208" s="21">
        <f t="shared" si="84"/>
        <v>0.2649738</v>
      </c>
      <c r="BQ208" s="21">
        <f>IF(VLOOKUP($R208,武学奇术!$A:$ZZ,22,FALSE)=1,0,(1-$BJ208))*(1-$BM208)</f>
        <v>0.09749355</v>
      </c>
      <c r="BR208" s="21" cm="1">
        <f t="array" ref="BR208">SUM(_xlfn.XLOOKUP(S208:AG208,增益!$A:$A,增益!$W:$W,0))+$I$5</f>
        <v>0.06</v>
      </c>
    </row>
    <row r="209" spans="11:70">
      <c r="K209" s="24">
        <f>$L209*VLOOKUP($R209,武学奇术!$A:$ZZ,31,FALSE)</f>
        <v>8177.28458658997</v>
      </c>
      <c r="L209" s="24">
        <f t="shared" ref="L209:L274" si="85">($M209*$BO209+$N209*$BM209+$O209*$BP209+$P209*$BQ209)</f>
        <v>13628.8076443166</v>
      </c>
      <c r="M209" s="24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11324.0684669097</v>
      </c>
      <c r="N209" s="24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20397.4828155907</v>
      </c>
      <c r="O209" s="24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7549.37897793982</v>
      </c>
      <c r="P209" s="24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3389.52557035111</v>
      </c>
      <c r="Q209" s="31">
        <v>1</v>
      </c>
      <c r="R209" s="32" t="s">
        <v>197</v>
      </c>
      <c r="S209" s="32" t="s">
        <v>87</v>
      </c>
      <c r="T209" s="32" t="s">
        <v>96</v>
      </c>
      <c r="U209" s="32" t="s">
        <v>97</v>
      </c>
      <c r="V209" s="32" t="s">
        <v>73</v>
      </c>
      <c r="W209" s="32" t="s">
        <v>73</v>
      </c>
      <c r="X209" s="32" t="s">
        <v>127</v>
      </c>
      <c r="Y209" s="32" t="s">
        <v>73</v>
      </c>
      <c r="Z209" s="32" t="s">
        <v>73</v>
      </c>
      <c r="AA209" s="32" t="s">
        <v>73</v>
      </c>
      <c r="AB209" s="32" t="s">
        <v>75</v>
      </c>
      <c r="AC209" s="32" t="s">
        <v>76</v>
      </c>
      <c r="AD209" s="32" t="s">
        <v>82</v>
      </c>
      <c r="AE209" s="32" t="s">
        <v>73</v>
      </c>
      <c r="AF209" s="32" t="s">
        <v>73</v>
      </c>
      <c r="AG209" s="32" t="s">
        <v>158</v>
      </c>
      <c r="AH209" t="str">
        <f>VLOOKUP($R209,武学奇术!$A:$ZZ,25,FALSE)</f>
        <v>剑</v>
      </c>
      <c r="AI209" s="21">
        <f>VLOOKUP($R209,武学奇术!$A:$ZZ,26,FALSE)</f>
        <v>0.2772</v>
      </c>
      <c r="AJ209" s="22">
        <f>VLOOKUP($R209,武学奇术!$A:$ZZ,27,FALSE)*(1+IF(OR($AH209=$F$4,$AH209=$F$5),$B$22,0))</f>
        <v>0</v>
      </c>
      <c r="AK209" s="21">
        <f>VLOOKUP($R209,武学奇术!$A:$ZZ,28,FALSE)</f>
        <v>0.4158</v>
      </c>
      <c r="AL209" s="22">
        <f>VLOOKUP($R209,武学奇术!$A:$ZZ,29,FALSE)*(1+IF(OR($AH209=$F$4,$AH209=$F$5),$B$22,0))</f>
        <v>0</v>
      </c>
      <c r="AM209" s="21" cm="1">
        <f t="array" ref="AM209">$G$3+IFERROR(VLOOKUP($AH209,$F$4:$G$7,2,FALSE),0)+VLOOKUP($R209,武学奇术!$A:$ZZ,2,FALSE)+SUM(_xlfn.XLOOKUP($S209:$AG209,增益!$A:$A,增益!$B:$B,0))</f>
        <v>1.3191</v>
      </c>
      <c r="AN209" s="21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1831.48</v>
      </c>
      <c r="AP209" cm="1">
        <f t="array" ref="AP209">$E$10*(1+$AN209)+VLOOKUP($R209,武学奇术!$A:$ZZ,4,FALSE)+SUM(_xlfn.XLOOKUP($S209:$AG209,增益!$A:$A,增益!$D:$D,0))-$I$2</f>
        <v>7763.56</v>
      </c>
      <c r="AQ209" s="26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0.369</v>
      </c>
      <c r="AR209" s="26" cm="1">
        <f t="array" ref="AR209">$G$10+VLOOKUP($R209,武学奇术!$A:$ZZ,7,FALSE)+SUM(_xlfn.XLOOKUP(S209:AG209,增益!$A:$A,增益!$G:$G,0))</f>
        <v>0</v>
      </c>
      <c r="AS209" s="21" cm="1">
        <f t="array" ref="AS209">VLOOKUP($R209,武学奇术!$A:$ZZ,8,FALSE)+SUM(_xlfn.XLOOKUP(S209:AG209,增益!$A:$A,增益!$H:$H,0))</f>
        <v>0</v>
      </c>
      <c r="AT209">
        <f t="shared" ref="AT209:AT274" si="86">$D$11*(1+$AS209)</f>
        <v>680.02</v>
      </c>
      <c r="AU209">
        <f t="shared" ref="AU209:AU274" si="87">$E$11*(1+$AS209)</f>
        <v>1288.54</v>
      </c>
      <c r="AV209" s="26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0.075</v>
      </c>
      <c r="AW209" s="26" cm="1">
        <f t="array" ref="AW209">$G$11+VLOOKUP($R209,武学奇术!$A:$ZZ,10,FALSE)+SUM(_xlfn.XLOOKUP(S209:AG209,增益!$A:$A,增益!$J:$J,0))</f>
        <v>0.15</v>
      </c>
      <c r="AX209">
        <f t="shared" ref="AX209:AX274" si="88">$D$12*(1+$AS209)</f>
        <v>0</v>
      </c>
      <c r="AY209">
        <f t="shared" ref="AY209:AY274" si="89">$E$12*(1+$AS209)</f>
        <v>0</v>
      </c>
      <c r="AZ209" s="26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26" cm="1">
        <f t="array" ref="BA209">$G$12+VLOOKUP($R209,武学奇术!$A:$ZZ,12,FALSE)+SUM(_xlfn.XLOOKUP(S209:AG209,增益!$A:$A,增益!$L:$L,0))</f>
        <v>0</v>
      </c>
      <c r="BB209">
        <f t="shared" ref="BB209:BB274" si="90">$D$13*(1+$AS209)</f>
        <v>0</v>
      </c>
      <c r="BC209">
        <f t="shared" ref="BC209:BC274" si="91">$E$13*(1+$AS209)</f>
        <v>0</v>
      </c>
      <c r="BD209" s="26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26" cm="1">
        <f t="array" ref="BE209">$G$13+VLOOKUP($R209,武学奇术!$A:$ZZ,14,FALSE)+SUM(_xlfn.XLOOKUP(S209:AG209,增益!$A:$A,增益!$N:$N,0))</f>
        <v>0</v>
      </c>
      <c r="BF209">
        <f t="shared" ref="BF209:BF274" si="92">$D$14*(1+$AS209)</f>
        <v>0</v>
      </c>
      <c r="BG209">
        <f t="shared" ref="BG209:BG274" si="93">$E$14*(1+$AS209)</f>
        <v>0</v>
      </c>
      <c r="BH209" s="26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26" cm="1">
        <f t="array" ref="BI209">$G$14+VLOOKUP($R209,武学奇术!$A:$ZZ,16,FALSE)+SUM(_xlfn.XLOOKUP(S209:AG209,增益!$A:$A,增益!$P:$P,0))</f>
        <v>0</v>
      </c>
      <c r="BJ209" s="21">
        <f>MIN(IF(VLOOKUP($R209,武学奇术!$A:$ZZ,23,FALSE)=1,100%,$B$8),100%)</f>
        <v>0.8229</v>
      </c>
      <c r="BK209" s="21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0.2285</v>
      </c>
      <c r="BL209" s="21" cm="1">
        <f t="array" ref="BL209">1+$B$13+VLOOKUP($R209,武学奇术!$A:$ZZ,18,FALSE)+SUM(_xlfn.XLOOKUP(S209:AG209,增益!$A:$A,增益!$R:$R,0))</f>
        <v>1.5</v>
      </c>
      <c r="BM209" s="21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0.4495</v>
      </c>
      <c r="BN209" s="21" cm="1">
        <f t="array" ref="BN209">1+$B$14+VLOOKUP($R209,武学奇术!$A:$ZZ,20,FALSE)+SUM(_xlfn.XLOOKUP(S209:AG209,增益!$A:$A,增益!$T:$T,0))</f>
        <v>1.742</v>
      </c>
      <c r="BO209" s="21">
        <f t="shared" ref="BO209:BO217" si="94">MIN((1-BM209)*BJ209,BJ209*BK209)</f>
        <v>0.18803265</v>
      </c>
      <c r="BP209" s="21">
        <f t="shared" ref="BP209:BP217" si="95">1-BM209-BO209-BQ209</f>
        <v>0.2649738</v>
      </c>
      <c r="BQ209" s="21">
        <f>IF(VLOOKUP($R209,武学奇术!$A:$ZZ,22,FALSE)=1,0,(1-$BJ209))*(1-$BM209)</f>
        <v>0.09749355</v>
      </c>
      <c r="BR209" s="21" cm="1">
        <f t="array" ref="BR209">SUM(_xlfn.XLOOKUP(S209:AG209,增益!$A:$A,增益!$W:$W,0))+$I$5</f>
        <v>0.06</v>
      </c>
    </row>
    <row r="210" spans="11:70">
      <c r="K210" s="24">
        <f>$L210*VLOOKUP($R210,武学奇术!$A:$ZZ,31,FALSE)</f>
        <v>5110.80286661873</v>
      </c>
      <c r="L210" s="24">
        <f t="shared" si="85"/>
        <v>8518.00477769789</v>
      </c>
      <c r="M210" s="24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7077.54279181858</v>
      </c>
      <c r="N210" s="24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12748.4267597442</v>
      </c>
      <c r="O210" s="24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4718.36186121238</v>
      </c>
      <c r="P210" s="24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2118.45348146944</v>
      </c>
      <c r="Q210" s="31">
        <v>1</v>
      </c>
      <c r="R210" s="32" t="s">
        <v>198</v>
      </c>
      <c r="S210" s="32" t="s">
        <v>87</v>
      </c>
      <c r="T210" s="32" t="s">
        <v>96</v>
      </c>
      <c r="U210" s="32" t="s">
        <v>97</v>
      </c>
      <c r="V210" s="32" t="s">
        <v>73</v>
      </c>
      <c r="W210" s="32" t="s">
        <v>73</v>
      </c>
      <c r="X210" s="32" t="s">
        <v>127</v>
      </c>
      <c r="Y210" s="32" t="s">
        <v>73</v>
      </c>
      <c r="Z210" s="32" t="s">
        <v>73</v>
      </c>
      <c r="AA210" s="32" t="s">
        <v>73</v>
      </c>
      <c r="AB210" s="32" t="s">
        <v>75</v>
      </c>
      <c r="AC210" s="32" t="s">
        <v>76</v>
      </c>
      <c r="AD210" s="32" t="s">
        <v>82</v>
      </c>
      <c r="AE210" s="32" t="s">
        <v>73</v>
      </c>
      <c r="AF210" s="32" t="s">
        <v>73</v>
      </c>
      <c r="AG210" s="32" t="s">
        <v>158</v>
      </c>
      <c r="AH210" t="str">
        <f>VLOOKUP($R210,武学奇术!$A:$ZZ,25,FALSE)</f>
        <v>剑</v>
      </c>
      <c r="AI210" s="21">
        <f>VLOOKUP($R210,武学奇术!$A:$ZZ,26,FALSE)</f>
        <v>0.17325</v>
      </c>
      <c r="AJ210" s="22">
        <f>VLOOKUP($R210,武学奇术!$A:$ZZ,27,FALSE)*(1+IF(OR($AH210=$F$4,$AH210=$F$5),$B$22,0))</f>
        <v>0</v>
      </c>
      <c r="AK210" s="21">
        <f>VLOOKUP($R210,武学奇术!$A:$ZZ,28,FALSE)</f>
        <v>0.259875</v>
      </c>
      <c r="AL210" s="22">
        <f>VLOOKUP($R210,武学奇术!$A:$ZZ,29,FALSE)*(1+IF(OR($AH210=$F$4,$AH210=$F$5),$B$22,0))</f>
        <v>0</v>
      </c>
      <c r="AM210" s="21" cm="1">
        <f t="array" ref="AM210">$G$3+IFERROR(VLOOKUP($AH210,$F$4:$G$7,2,FALSE),0)+VLOOKUP($R210,武学奇术!$A:$ZZ,2,FALSE)+SUM(_xlfn.XLOOKUP($S210:$AG210,增益!$A:$A,增益!$B:$B,0))</f>
        <v>1.3191</v>
      </c>
      <c r="AN210" s="21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1831.48</v>
      </c>
      <c r="AP210" cm="1">
        <f t="array" ref="AP210">$E$10*(1+$AN210)+VLOOKUP($R210,武学奇术!$A:$ZZ,4,FALSE)+SUM(_xlfn.XLOOKUP($S210:$AG210,增益!$A:$A,增益!$D:$D,0))-$I$2</f>
        <v>7763.56</v>
      </c>
      <c r="AQ210" s="26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0.369</v>
      </c>
      <c r="AR210" s="26" cm="1">
        <f t="array" ref="AR210">$G$10+VLOOKUP($R210,武学奇术!$A:$ZZ,7,FALSE)+SUM(_xlfn.XLOOKUP(S210:AG210,增益!$A:$A,增益!$G:$G,0))</f>
        <v>0</v>
      </c>
      <c r="AS210" s="21" cm="1">
        <f t="array" ref="AS210">VLOOKUP($R210,武学奇术!$A:$ZZ,8,FALSE)+SUM(_xlfn.XLOOKUP(S210:AG210,增益!$A:$A,增益!$H:$H,0))</f>
        <v>0</v>
      </c>
      <c r="AT210">
        <f t="shared" si="86"/>
        <v>680.02</v>
      </c>
      <c r="AU210">
        <f t="shared" si="87"/>
        <v>1288.54</v>
      </c>
      <c r="AV210" s="26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0.075</v>
      </c>
      <c r="AW210" s="26" cm="1">
        <f t="array" ref="AW210">$G$11+VLOOKUP($R210,武学奇术!$A:$ZZ,10,FALSE)+SUM(_xlfn.XLOOKUP(S210:AG210,增益!$A:$A,增益!$J:$J,0))</f>
        <v>0.15</v>
      </c>
      <c r="AX210">
        <f t="shared" si="88"/>
        <v>0</v>
      </c>
      <c r="AY210">
        <f t="shared" si="89"/>
        <v>0</v>
      </c>
      <c r="AZ210" s="26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26" cm="1">
        <f t="array" ref="BA210">$G$12+VLOOKUP($R210,武学奇术!$A:$ZZ,12,FALSE)+SUM(_xlfn.XLOOKUP(S210:AG210,增益!$A:$A,增益!$L:$L,0))</f>
        <v>0</v>
      </c>
      <c r="BB210">
        <f t="shared" si="90"/>
        <v>0</v>
      </c>
      <c r="BC210">
        <f t="shared" si="91"/>
        <v>0</v>
      </c>
      <c r="BD210" s="26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26" cm="1">
        <f t="array" ref="BE210">$G$13+VLOOKUP($R210,武学奇术!$A:$ZZ,14,FALSE)+SUM(_xlfn.XLOOKUP(S210:AG210,增益!$A:$A,增益!$N:$N,0))</f>
        <v>0</v>
      </c>
      <c r="BF210">
        <f t="shared" si="92"/>
        <v>0</v>
      </c>
      <c r="BG210">
        <f t="shared" si="93"/>
        <v>0</v>
      </c>
      <c r="BH210" s="26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26" cm="1">
        <f t="array" ref="BI210">$G$14+VLOOKUP($R210,武学奇术!$A:$ZZ,16,FALSE)+SUM(_xlfn.XLOOKUP(S210:AG210,增益!$A:$A,增益!$P:$P,0))</f>
        <v>0</v>
      </c>
      <c r="BJ210" s="21">
        <f>MIN(IF(VLOOKUP($R210,武学奇术!$A:$ZZ,23,FALSE)=1,100%,$B$8),100%)</f>
        <v>0.8229</v>
      </c>
      <c r="BK210" s="21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0.2285</v>
      </c>
      <c r="BL210" s="21" cm="1">
        <f t="array" ref="BL210">1+$B$13+VLOOKUP($R210,武学奇术!$A:$ZZ,18,FALSE)+SUM(_xlfn.XLOOKUP(S210:AG210,增益!$A:$A,增益!$R:$R,0))</f>
        <v>1.5</v>
      </c>
      <c r="BM210" s="21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0.4495</v>
      </c>
      <c r="BN210" s="21" cm="1">
        <f t="array" ref="BN210">1+$B$14+VLOOKUP($R210,武学奇术!$A:$ZZ,20,FALSE)+SUM(_xlfn.XLOOKUP(S210:AG210,增益!$A:$A,增益!$T:$T,0))</f>
        <v>1.742</v>
      </c>
      <c r="BO210" s="21">
        <f t="shared" si="94"/>
        <v>0.18803265</v>
      </c>
      <c r="BP210" s="21">
        <f t="shared" si="95"/>
        <v>0.2649738</v>
      </c>
      <c r="BQ210" s="21">
        <f>IF(VLOOKUP($R210,武学奇术!$A:$ZZ,22,FALSE)=1,0,(1-$BJ210))*(1-$BM210)</f>
        <v>0.09749355</v>
      </c>
      <c r="BR210" s="21" cm="1">
        <f t="array" ref="BR210">SUM(_xlfn.XLOOKUP(S210:AG210,增益!$A:$A,增益!$W:$W,0))+$I$5</f>
        <v>0.06</v>
      </c>
    </row>
    <row r="211" spans="11:70">
      <c r="K211" s="24">
        <f>$L211*VLOOKUP($R211,武学奇术!$A:$ZZ,31,FALSE)</f>
        <v>10302.0795666647</v>
      </c>
      <c r="L211" s="24">
        <f t="shared" si="85"/>
        <v>17170.1326111078</v>
      </c>
      <c r="M211" s="24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14226.6601807902</v>
      </c>
      <c r="N211" s="24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25726.8180537822</v>
      </c>
      <c r="O211" s="24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9484.44012052679</v>
      </c>
      <c r="P211" s="24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4284.6233610409</v>
      </c>
      <c r="Q211" s="31">
        <v>1</v>
      </c>
      <c r="R211" s="32" t="s">
        <v>199</v>
      </c>
      <c r="S211" s="32" t="s">
        <v>87</v>
      </c>
      <c r="T211" s="32" t="s">
        <v>96</v>
      </c>
      <c r="U211" s="32" t="s">
        <v>97</v>
      </c>
      <c r="V211" s="32" t="s">
        <v>73</v>
      </c>
      <c r="W211" s="32" t="s">
        <v>111</v>
      </c>
      <c r="X211" s="32" t="s">
        <v>127</v>
      </c>
      <c r="Y211" s="32" t="s">
        <v>73</v>
      </c>
      <c r="Z211" s="32" t="s">
        <v>73</v>
      </c>
      <c r="AA211" s="32" t="s">
        <v>73</v>
      </c>
      <c r="AB211" s="32" t="s">
        <v>75</v>
      </c>
      <c r="AC211" s="32" t="s">
        <v>76</v>
      </c>
      <c r="AD211" s="32" t="s">
        <v>82</v>
      </c>
      <c r="AE211" s="32" t="s">
        <v>73</v>
      </c>
      <c r="AF211" s="32" t="s">
        <v>73</v>
      </c>
      <c r="AG211" s="32" t="s">
        <v>169</v>
      </c>
      <c r="AH211" t="str">
        <f>VLOOKUP($R211,武学奇术!$A:$ZZ,25,FALSE)</f>
        <v>剑</v>
      </c>
      <c r="AI211" s="21">
        <f>VLOOKUP($R211,武学奇术!$A:$ZZ,26,FALSE)</f>
        <v>0.3465</v>
      </c>
      <c r="AJ211" s="22">
        <f>VLOOKUP($R211,武学奇术!$A:$ZZ,27,FALSE)*(1+IF(OR($AH211=$F$4,$AH211=$F$5),$B$22,0))</f>
        <v>0</v>
      </c>
      <c r="AK211" s="21">
        <f>VLOOKUP($R211,武学奇术!$A:$ZZ,28,FALSE)</f>
        <v>0.51975</v>
      </c>
      <c r="AL211" s="22">
        <f>VLOOKUP($R211,武学奇术!$A:$ZZ,29,FALSE)*(1+IF(OR($AH211=$F$4,$AH211=$F$5),$B$22,0))</f>
        <v>0</v>
      </c>
      <c r="AM211" s="21" cm="1">
        <f t="array" ref="AM211">$G$3+IFERROR(VLOOKUP($AH211,$F$4:$G$7,2,FALSE),0)+VLOOKUP($R211,武学奇术!$A:$ZZ,2,FALSE)+SUM(_xlfn.XLOOKUP($S211:$AG211,增益!$A:$A,增益!$B:$B,0))</f>
        <v>1.3191</v>
      </c>
      <c r="AN211" s="21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1862.48</v>
      </c>
      <c r="AP211" cm="1">
        <f t="array" ref="AP211">$E$10*(1+$AN211)+VLOOKUP($R211,武学奇术!$A:$ZZ,4,FALSE)+SUM(_xlfn.XLOOKUP($S211:$AG211,增益!$A:$A,增益!$D:$D,0))-$I$2</f>
        <v>7794.56</v>
      </c>
      <c r="AQ211" s="26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0.369</v>
      </c>
      <c r="AR211" s="26" cm="1">
        <f t="array" ref="AR211">$G$10+VLOOKUP($R211,武学奇术!$A:$ZZ,7,FALSE)+SUM(_xlfn.XLOOKUP(S211:AG211,增益!$A:$A,增益!$G:$G,0))</f>
        <v>0</v>
      </c>
      <c r="AS211" s="21" cm="1">
        <f t="array" ref="AS211">VLOOKUP($R211,武学奇术!$A:$ZZ,8,FALSE)+SUM(_xlfn.XLOOKUP(S211:AG211,增益!$A:$A,增益!$H:$H,0))</f>
        <v>0</v>
      </c>
      <c r="AT211">
        <f t="shared" si="86"/>
        <v>680.02</v>
      </c>
      <c r="AU211">
        <f t="shared" si="87"/>
        <v>1288.54</v>
      </c>
      <c r="AV211" s="26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0.075</v>
      </c>
      <c r="AW211" s="26" cm="1">
        <f t="array" ref="AW211">$G$11+VLOOKUP($R211,武学奇术!$A:$ZZ,10,FALSE)+SUM(_xlfn.XLOOKUP(S211:AG211,增益!$A:$A,增益!$J:$J,0))</f>
        <v>0.15</v>
      </c>
      <c r="AX211">
        <f t="shared" si="88"/>
        <v>0</v>
      </c>
      <c r="AY211">
        <f t="shared" si="89"/>
        <v>0</v>
      </c>
      <c r="AZ211" s="26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26" cm="1">
        <f t="array" ref="BA211">$G$12+VLOOKUP($R211,武学奇术!$A:$ZZ,12,FALSE)+SUM(_xlfn.XLOOKUP(S211:AG211,增益!$A:$A,增益!$L:$L,0))</f>
        <v>0</v>
      </c>
      <c r="BB211">
        <f t="shared" si="90"/>
        <v>0</v>
      </c>
      <c r="BC211">
        <f t="shared" si="91"/>
        <v>0</v>
      </c>
      <c r="BD211" s="26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26" cm="1">
        <f t="array" ref="BE211">$G$13+VLOOKUP($R211,武学奇术!$A:$ZZ,14,FALSE)+SUM(_xlfn.XLOOKUP(S211:AG211,增益!$A:$A,增益!$N:$N,0))</f>
        <v>0</v>
      </c>
      <c r="BF211">
        <f t="shared" si="92"/>
        <v>0</v>
      </c>
      <c r="BG211">
        <f t="shared" si="93"/>
        <v>0</v>
      </c>
      <c r="BH211" s="26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26" cm="1">
        <f t="array" ref="BI211">$G$14+VLOOKUP($R211,武学奇术!$A:$ZZ,16,FALSE)+SUM(_xlfn.XLOOKUP(S211:AG211,增益!$A:$A,增益!$P:$P,0))</f>
        <v>0</v>
      </c>
      <c r="BJ211" s="21">
        <f>MIN(IF(VLOOKUP($R211,武学奇术!$A:$ZZ,23,FALSE)=1,100%,$B$8),100%)</f>
        <v>0.8229</v>
      </c>
      <c r="BK211" s="21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0.2285</v>
      </c>
      <c r="BL211" s="21" cm="1">
        <f t="array" ref="BL211">1+$B$13+VLOOKUP($R211,武学奇术!$A:$ZZ,18,FALSE)+SUM(_xlfn.XLOOKUP(S211:AG211,增益!$A:$A,增益!$R:$R,0))</f>
        <v>1.5</v>
      </c>
      <c r="BM211" s="21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0.4495</v>
      </c>
      <c r="BN211" s="21" cm="1">
        <f t="array" ref="BN211">1+$B$14+VLOOKUP($R211,武学奇术!$A:$ZZ,20,FALSE)+SUM(_xlfn.XLOOKUP(S211:AG211,增益!$A:$A,增益!$T:$T,0))</f>
        <v>1.752</v>
      </c>
      <c r="BO211" s="21">
        <f t="shared" si="94"/>
        <v>0.18803265</v>
      </c>
      <c r="BP211" s="21">
        <f t="shared" si="95"/>
        <v>0.2649738</v>
      </c>
      <c r="BQ211" s="21">
        <f>IF(VLOOKUP($R211,武学奇术!$A:$ZZ,22,FALSE)=1,0,(1-$BJ211))*(1-$BM211)</f>
        <v>0.09749355</v>
      </c>
      <c r="BR211" s="21" cm="1">
        <f t="array" ref="BR211">SUM(_xlfn.XLOOKUP(S211:AG211,增益!$A:$A,增益!$W:$W,0))+$I$5</f>
        <v>0.06</v>
      </c>
    </row>
    <row r="212" spans="11:70">
      <c r="K212" s="24">
        <f>$L212*VLOOKUP($R212,武学奇术!$A:$ZZ,31,FALSE)</f>
        <v>10302.0795666647</v>
      </c>
      <c r="L212" s="24">
        <f t="shared" si="85"/>
        <v>17170.1326111078</v>
      </c>
      <c r="M212" s="24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14226.6601807902</v>
      </c>
      <c r="N212" s="24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25726.8180537822</v>
      </c>
      <c r="O212" s="24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9484.44012052679</v>
      </c>
      <c r="P212" s="24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4284.6233610409</v>
      </c>
      <c r="Q212" s="31">
        <v>1</v>
      </c>
      <c r="R212" s="32" t="s">
        <v>199</v>
      </c>
      <c r="S212" s="32" t="s">
        <v>87</v>
      </c>
      <c r="T212" s="32" t="s">
        <v>96</v>
      </c>
      <c r="U212" s="32" t="s">
        <v>97</v>
      </c>
      <c r="V212" s="32" t="s">
        <v>73</v>
      </c>
      <c r="W212" s="32" t="s">
        <v>111</v>
      </c>
      <c r="X212" s="32" t="s">
        <v>127</v>
      </c>
      <c r="Y212" s="32" t="s">
        <v>73</v>
      </c>
      <c r="Z212" s="32" t="s">
        <v>73</v>
      </c>
      <c r="AA212" s="32" t="s">
        <v>73</v>
      </c>
      <c r="AB212" s="32" t="s">
        <v>75</v>
      </c>
      <c r="AC212" s="32" t="s">
        <v>76</v>
      </c>
      <c r="AD212" s="32" t="s">
        <v>82</v>
      </c>
      <c r="AE212" s="32" t="s">
        <v>73</v>
      </c>
      <c r="AF212" s="32" t="s">
        <v>73</v>
      </c>
      <c r="AG212" s="32" t="s">
        <v>169</v>
      </c>
      <c r="AH212" t="str">
        <f>VLOOKUP($R212,武学奇术!$A:$ZZ,25,FALSE)</f>
        <v>剑</v>
      </c>
      <c r="AI212" s="21">
        <f>VLOOKUP($R212,武学奇术!$A:$ZZ,26,FALSE)</f>
        <v>0.3465</v>
      </c>
      <c r="AJ212" s="22">
        <f>VLOOKUP($R212,武学奇术!$A:$ZZ,27,FALSE)*(1+IF(OR($AH212=$F$4,$AH212=$F$5),$B$22,0))</f>
        <v>0</v>
      </c>
      <c r="AK212" s="21">
        <f>VLOOKUP($R212,武学奇术!$A:$ZZ,28,FALSE)</f>
        <v>0.51975</v>
      </c>
      <c r="AL212" s="22">
        <f>VLOOKUP($R212,武学奇术!$A:$ZZ,29,FALSE)*(1+IF(OR($AH212=$F$4,$AH212=$F$5),$B$22,0))</f>
        <v>0</v>
      </c>
      <c r="AM212" s="21" cm="1">
        <f t="array" ref="AM212">$G$3+IFERROR(VLOOKUP($AH212,$F$4:$G$7,2,FALSE),0)+VLOOKUP($R212,武学奇术!$A:$ZZ,2,FALSE)+SUM(_xlfn.XLOOKUP($S212:$AG212,增益!$A:$A,增益!$B:$B,0))</f>
        <v>1.3191</v>
      </c>
      <c r="AN212" s="21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1862.48</v>
      </c>
      <c r="AP212" cm="1">
        <f t="array" ref="AP212">$E$10*(1+$AN212)+VLOOKUP($R212,武学奇术!$A:$ZZ,4,FALSE)+SUM(_xlfn.XLOOKUP($S212:$AG212,增益!$A:$A,增益!$D:$D,0))-$I$2</f>
        <v>7794.56</v>
      </c>
      <c r="AQ212" s="26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0.369</v>
      </c>
      <c r="AR212" s="26" cm="1">
        <f t="array" ref="AR212">$G$10+VLOOKUP($R212,武学奇术!$A:$ZZ,7,FALSE)+SUM(_xlfn.XLOOKUP(S212:AG212,增益!$A:$A,增益!$G:$G,0))</f>
        <v>0</v>
      </c>
      <c r="AS212" s="21" cm="1">
        <f t="array" ref="AS212">VLOOKUP($R212,武学奇术!$A:$ZZ,8,FALSE)+SUM(_xlfn.XLOOKUP(S212:AG212,增益!$A:$A,增益!$H:$H,0))</f>
        <v>0</v>
      </c>
      <c r="AT212">
        <f t="shared" si="86"/>
        <v>680.02</v>
      </c>
      <c r="AU212">
        <f t="shared" si="87"/>
        <v>1288.54</v>
      </c>
      <c r="AV212" s="26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26" cm="1">
        <f t="array" ref="AW212">$G$11+VLOOKUP($R212,武学奇术!$A:$ZZ,10,FALSE)+SUM(_xlfn.XLOOKUP(S212:AG212,增益!$A:$A,增益!$J:$J,0))</f>
        <v>0.15</v>
      </c>
      <c r="AX212">
        <f t="shared" si="88"/>
        <v>0</v>
      </c>
      <c r="AY212">
        <f t="shared" si="89"/>
        <v>0</v>
      </c>
      <c r="AZ212" s="26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26" cm="1">
        <f t="array" ref="BA212">$G$12+VLOOKUP($R212,武学奇术!$A:$ZZ,12,FALSE)+SUM(_xlfn.XLOOKUP(S212:AG212,增益!$A:$A,增益!$L:$L,0))</f>
        <v>0</v>
      </c>
      <c r="BB212">
        <f t="shared" si="90"/>
        <v>0</v>
      </c>
      <c r="BC212">
        <f t="shared" si="91"/>
        <v>0</v>
      </c>
      <c r="BD212" s="26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26" cm="1">
        <f t="array" ref="BE212">$G$13+VLOOKUP($R212,武学奇术!$A:$ZZ,14,FALSE)+SUM(_xlfn.XLOOKUP(S212:AG212,增益!$A:$A,增益!$N:$N,0))</f>
        <v>0</v>
      </c>
      <c r="BF212">
        <f t="shared" si="92"/>
        <v>0</v>
      </c>
      <c r="BG212">
        <f t="shared" si="93"/>
        <v>0</v>
      </c>
      <c r="BH212" s="26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26" cm="1">
        <f t="array" ref="BI212">$G$14+VLOOKUP($R212,武学奇术!$A:$ZZ,16,FALSE)+SUM(_xlfn.XLOOKUP(S212:AG212,增益!$A:$A,增益!$P:$P,0))</f>
        <v>0</v>
      </c>
      <c r="BJ212" s="21">
        <f>MIN(IF(VLOOKUP($R212,武学奇术!$A:$ZZ,23,FALSE)=1,100%,$B$8),100%)</f>
        <v>0.8229</v>
      </c>
      <c r="BK212" s="21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0.2285</v>
      </c>
      <c r="BL212" s="21" cm="1">
        <f t="array" ref="BL212">1+$B$13+VLOOKUP($R212,武学奇术!$A:$ZZ,18,FALSE)+SUM(_xlfn.XLOOKUP(S212:AG212,增益!$A:$A,增益!$R:$R,0))</f>
        <v>1.5</v>
      </c>
      <c r="BM212" s="21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0.4495</v>
      </c>
      <c r="BN212" s="21" cm="1">
        <f t="array" ref="BN212">1+$B$14+VLOOKUP($R212,武学奇术!$A:$ZZ,20,FALSE)+SUM(_xlfn.XLOOKUP(S212:AG212,增益!$A:$A,增益!$T:$T,0))</f>
        <v>1.752</v>
      </c>
      <c r="BO212" s="21">
        <f t="shared" si="94"/>
        <v>0.18803265</v>
      </c>
      <c r="BP212" s="21">
        <f t="shared" si="95"/>
        <v>0.2649738</v>
      </c>
      <c r="BQ212" s="21">
        <f>IF(VLOOKUP($R212,武学奇术!$A:$ZZ,22,FALSE)=1,0,(1-$BJ212))*(1-$BM212)</f>
        <v>0.09749355</v>
      </c>
      <c r="BR212" s="21" cm="1">
        <f t="array" ref="BR212">SUM(_xlfn.XLOOKUP(S212:AG212,增益!$A:$A,增益!$W:$W,0))+$I$5</f>
        <v>0.06</v>
      </c>
    </row>
    <row r="213" spans="11:70">
      <c r="K213" s="24">
        <f>$L213*VLOOKUP($R213,武学奇术!$A:$ZZ,31,FALSE)</f>
        <v>10302.0795666647</v>
      </c>
      <c r="L213" s="24">
        <f t="shared" si="85"/>
        <v>17170.1326111078</v>
      </c>
      <c r="M213" s="24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14226.6601807902</v>
      </c>
      <c r="N213" s="24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25726.8180537822</v>
      </c>
      <c r="O213" s="24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9484.44012052679</v>
      </c>
      <c r="P213" s="24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4284.6233610409</v>
      </c>
      <c r="Q213" s="31">
        <v>1</v>
      </c>
      <c r="R213" s="32" t="s">
        <v>199</v>
      </c>
      <c r="S213" s="32" t="s">
        <v>87</v>
      </c>
      <c r="T213" s="32" t="s">
        <v>96</v>
      </c>
      <c r="U213" s="32" t="s">
        <v>97</v>
      </c>
      <c r="V213" s="32" t="s">
        <v>73</v>
      </c>
      <c r="W213" s="32" t="s">
        <v>111</v>
      </c>
      <c r="X213" s="32" t="s">
        <v>127</v>
      </c>
      <c r="Y213" s="32" t="s">
        <v>73</v>
      </c>
      <c r="Z213" s="32" t="s">
        <v>73</v>
      </c>
      <c r="AA213" s="32" t="s">
        <v>73</v>
      </c>
      <c r="AB213" s="32" t="s">
        <v>75</v>
      </c>
      <c r="AC213" s="32" t="s">
        <v>76</v>
      </c>
      <c r="AD213" s="32" t="s">
        <v>82</v>
      </c>
      <c r="AE213" s="32" t="s">
        <v>73</v>
      </c>
      <c r="AF213" s="32" t="s">
        <v>73</v>
      </c>
      <c r="AG213" s="32" t="s">
        <v>169</v>
      </c>
      <c r="AH213" t="str">
        <f>VLOOKUP($R213,武学奇术!$A:$ZZ,25,FALSE)</f>
        <v>剑</v>
      </c>
      <c r="AI213" s="21">
        <f>VLOOKUP($R213,武学奇术!$A:$ZZ,26,FALSE)</f>
        <v>0.3465</v>
      </c>
      <c r="AJ213" s="22">
        <f>VLOOKUP($R213,武学奇术!$A:$ZZ,27,FALSE)*(1+IF(OR($AH213=$F$4,$AH213=$F$5),$B$22,0))</f>
        <v>0</v>
      </c>
      <c r="AK213" s="21">
        <f>VLOOKUP($R213,武学奇术!$A:$ZZ,28,FALSE)</f>
        <v>0.51975</v>
      </c>
      <c r="AL213" s="22">
        <f>VLOOKUP($R213,武学奇术!$A:$ZZ,29,FALSE)*(1+IF(OR($AH213=$F$4,$AH213=$F$5),$B$22,0))</f>
        <v>0</v>
      </c>
      <c r="AM213" s="21" cm="1">
        <f t="array" ref="AM213">$G$3+IFERROR(VLOOKUP($AH213,$F$4:$G$7,2,FALSE),0)+VLOOKUP($R213,武学奇术!$A:$ZZ,2,FALSE)+SUM(_xlfn.XLOOKUP($S213:$AG213,增益!$A:$A,增益!$B:$B,0))</f>
        <v>1.3191</v>
      </c>
      <c r="AN213" s="21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1862.48</v>
      </c>
      <c r="AP213" cm="1">
        <f t="array" ref="AP213">$E$10*(1+$AN213)+VLOOKUP($R213,武学奇术!$A:$ZZ,4,FALSE)+SUM(_xlfn.XLOOKUP($S213:$AG213,增益!$A:$A,增益!$D:$D,0))-$I$2</f>
        <v>7794.56</v>
      </c>
      <c r="AQ213" s="26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0.369</v>
      </c>
      <c r="AR213" s="26" cm="1">
        <f t="array" ref="AR213">$G$10+VLOOKUP($R213,武学奇术!$A:$ZZ,7,FALSE)+SUM(_xlfn.XLOOKUP(S213:AG213,增益!$A:$A,增益!$G:$G,0))</f>
        <v>0</v>
      </c>
      <c r="AS213" s="21" cm="1">
        <f t="array" ref="AS213">VLOOKUP($R213,武学奇术!$A:$ZZ,8,FALSE)+SUM(_xlfn.XLOOKUP(S213:AG213,增益!$A:$A,增益!$H:$H,0))</f>
        <v>0</v>
      </c>
      <c r="AT213">
        <f t="shared" si="86"/>
        <v>680.02</v>
      </c>
      <c r="AU213">
        <f t="shared" si="87"/>
        <v>1288.54</v>
      </c>
      <c r="AV213" s="26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26" cm="1">
        <f t="array" ref="AW213">$G$11+VLOOKUP($R213,武学奇术!$A:$ZZ,10,FALSE)+SUM(_xlfn.XLOOKUP(S213:AG213,增益!$A:$A,增益!$J:$J,0))</f>
        <v>0.15</v>
      </c>
      <c r="AX213">
        <f t="shared" si="88"/>
        <v>0</v>
      </c>
      <c r="AY213">
        <f t="shared" si="89"/>
        <v>0</v>
      </c>
      <c r="AZ213" s="26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26" cm="1">
        <f t="array" ref="BA213">$G$12+VLOOKUP($R213,武学奇术!$A:$ZZ,12,FALSE)+SUM(_xlfn.XLOOKUP(S213:AG213,增益!$A:$A,增益!$L:$L,0))</f>
        <v>0</v>
      </c>
      <c r="BB213">
        <f t="shared" si="90"/>
        <v>0</v>
      </c>
      <c r="BC213">
        <f t="shared" si="91"/>
        <v>0</v>
      </c>
      <c r="BD213" s="26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26" cm="1">
        <f t="array" ref="BE213">$G$13+VLOOKUP($R213,武学奇术!$A:$ZZ,14,FALSE)+SUM(_xlfn.XLOOKUP(S213:AG213,增益!$A:$A,增益!$N:$N,0))</f>
        <v>0</v>
      </c>
      <c r="BF213">
        <f t="shared" si="92"/>
        <v>0</v>
      </c>
      <c r="BG213">
        <f t="shared" si="93"/>
        <v>0</v>
      </c>
      <c r="BH213" s="26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26" cm="1">
        <f t="array" ref="BI213">$G$14+VLOOKUP($R213,武学奇术!$A:$ZZ,16,FALSE)+SUM(_xlfn.XLOOKUP(S213:AG213,增益!$A:$A,增益!$P:$P,0))</f>
        <v>0</v>
      </c>
      <c r="BJ213" s="21">
        <f>MIN(IF(VLOOKUP($R213,武学奇术!$A:$ZZ,23,FALSE)=1,100%,$B$8),100%)</f>
        <v>0.8229</v>
      </c>
      <c r="BK213" s="21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0.2285</v>
      </c>
      <c r="BL213" s="21" cm="1">
        <f t="array" ref="BL213">1+$B$13+VLOOKUP($R213,武学奇术!$A:$ZZ,18,FALSE)+SUM(_xlfn.XLOOKUP(S213:AG213,增益!$A:$A,增益!$R:$R,0))</f>
        <v>1.5</v>
      </c>
      <c r="BM213" s="21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0.4495</v>
      </c>
      <c r="BN213" s="21" cm="1">
        <f t="array" ref="BN213">1+$B$14+VLOOKUP($R213,武学奇术!$A:$ZZ,20,FALSE)+SUM(_xlfn.XLOOKUP(S213:AG213,增益!$A:$A,增益!$T:$T,0))</f>
        <v>1.752</v>
      </c>
      <c r="BO213" s="21">
        <f t="shared" si="94"/>
        <v>0.18803265</v>
      </c>
      <c r="BP213" s="21">
        <f t="shared" si="95"/>
        <v>0.2649738</v>
      </c>
      <c r="BQ213" s="21">
        <f>IF(VLOOKUP($R213,武学奇术!$A:$ZZ,22,FALSE)=1,0,(1-$BJ213))*(1-$BM213)</f>
        <v>0.09749355</v>
      </c>
      <c r="BR213" s="21" cm="1">
        <f t="array" ref="BR213">SUM(_xlfn.XLOOKUP(S213:AG213,增益!$A:$A,增益!$W:$W,0))+$I$5</f>
        <v>0.06</v>
      </c>
    </row>
    <row r="214" spans="11:70">
      <c r="K214" s="24">
        <f>$L214*VLOOKUP($R214,武学奇术!$A:$ZZ,31,FALSE)</f>
        <v>8273.34640597606</v>
      </c>
      <c r="L214" s="24">
        <f t="shared" si="85"/>
        <v>13788.9106766268</v>
      </c>
      <c r="M214" s="24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11381.3281446321</v>
      </c>
      <c r="N214" s="24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20698.9284980659</v>
      </c>
      <c r="O214" s="24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7587.55209642143</v>
      </c>
      <c r="P214" s="24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3427.69868883272</v>
      </c>
      <c r="Q214" s="31">
        <v>1</v>
      </c>
      <c r="R214" s="32" t="s">
        <v>197</v>
      </c>
      <c r="S214" s="32" t="s">
        <v>87</v>
      </c>
      <c r="T214" s="32" t="s">
        <v>96</v>
      </c>
      <c r="U214" s="32" t="s">
        <v>97</v>
      </c>
      <c r="V214" s="32" t="s">
        <v>73</v>
      </c>
      <c r="W214" s="32" t="s">
        <v>111</v>
      </c>
      <c r="X214" s="32" t="s">
        <v>127</v>
      </c>
      <c r="Y214" s="32" t="s">
        <v>73</v>
      </c>
      <c r="Z214" s="32" t="s">
        <v>73</v>
      </c>
      <c r="AA214" s="32" t="s">
        <v>81</v>
      </c>
      <c r="AB214" s="32" t="s">
        <v>75</v>
      </c>
      <c r="AC214" s="32" t="s">
        <v>76</v>
      </c>
      <c r="AD214" s="32" t="s">
        <v>82</v>
      </c>
      <c r="AE214" s="32" t="s">
        <v>73</v>
      </c>
      <c r="AF214" s="32" t="s">
        <v>73</v>
      </c>
      <c r="AG214" s="32" t="s">
        <v>172</v>
      </c>
      <c r="AH214" t="str">
        <f>VLOOKUP($R214,武学奇术!$A:$ZZ,25,FALSE)</f>
        <v>剑</v>
      </c>
      <c r="AI214" s="21">
        <f>VLOOKUP($R214,武学奇术!$A:$ZZ,26,FALSE)</f>
        <v>0.2772</v>
      </c>
      <c r="AJ214" s="22">
        <f>VLOOKUP($R214,武学奇术!$A:$ZZ,27,FALSE)*(1+IF(OR($AH214=$F$4,$AH214=$F$5),$B$22,0))</f>
        <v>0</v>
      </c>
      <c r="AK214" s="21">
        <f>VLOOKUP($R214,武学奇术!$A:$ZZ,28,FALSE)</f>
        <v>0.4158</v>
      </c>
      <c r="AL214" s="22">
        <f>VLOOKUP($R214,武学奇术!$A:$ZZ,29,FALSE)*(1+IF(OR($AH214=$F$4,$AH214=$F$5),$B$22,0))</f>
        <v>0</v>
      </c>
      <c r="AM214" s="21" cm="1">
        <f t="array" ref="AM214">$G$3+IFERROR(VLOOKUP($AH214,$F$4:$G$7,2,FALSE),0)+VLOOKUP($R214,武学奇术!$A:$ZZ,2,FALSE)+SUM(_xlfn.XLOOKUP($S214:$AG214,增益!$A:$A,增益!$B:$B,0))</f>
        <v>1.3191</v>
      </c>
      <c r="AN214" s="21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1862.48</v>
      </c>
      <c r="AP214" cm="1">
        <f t="array" ref="AP214">$E$10*(1+$AN214)+VLOOKUP($R214,武学奇术!$A:$ZZ,4,FALSE)+SUM(_xlfn.XLOOKUP($S214:$AG214,增益!$A:$A,增益!$D:$D,0))-$I$2</f>
        <v>7794.56</v>
      </c>
      <c r="AQ214" s="26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0.369</v>
      </c>
      <c r="AR214" s="26" cm="1">
        <f t="array" ref="AR214">$G$10+VLOOKUP($R214,武学奇术!$A:$ZZ,7,FALSE)+SUM(_xlfn.XLOOKUP(S214:AG214,增益!$A:$A,增益!$G:$G,0))</f>
        <v>0</v>
      </c>
      <c r="AS214" s="21" cm="1">
        <f t="array" ref="AS214">VLOOKUP($R214,武学奇术!$A:$ZZ,8,FALSE)+SUM(_xlfn.XLOOKUP(S214:AG214,增益!$A:$A,增益!$H:$H,0))</f>
        <v>0</v>
      </c>
      <c r="AT214">
        <f t="shared" si="86"/>
        <v>680.02</v>
      </c>
      <c r="AU214">
        <f t="shared" si="87"/>
        <v>1288.54</v>
      </c>
      <c r="AV214" s="26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26" cm="1">
        <f t="array" ref="AW214">$G$11+VLOOKUP($R214,武学奇术!$A:$ZZ,10,FALSE)+SUM(_xlfn.XLOOKUP(S214:AG214,增益!$A:$A,增益!$J:$J,0))</f>
        <v>0.15</v>
      </c>
      <c r="AX214">
        <f t="shared" si="88"/>
        <v>0</v>
      </c>
      <c r="AY214">
        <f t="shared" si="89"/>
        <v>0</v>
      </c>
      <c r="AZ214" s="26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26" cm="1">
        <f t="array" ref="BA214">$G$12+VLOOKUP($R214,武学奇术!$A:$ZZ,12,FALSE)+SUM(_xlfn.XLOOKUP(S214:AG214,增益!$A:$A,增益!$L:$L,0))</f>
        <v>0</v>
      </c>
      <c r="BB214">
        <f t="shared" si="90"/>
        <v>0</v>
      </c>
      <c r="BC214">
        <f t="shared" si="91"/>
        <v>0</v>
      </c>
      <c r="BD214" s="26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26" cm="1">
        <f t="array" ref="BE214">$G$13+VLOOKUP($R214,武学奇术!$A:$ZZ,14,FALSE)+SUM(_xlfn.XLOOKUP(S214:AG214,增益!$A:$A,增益!$N:$N,0))</f>
        <v>0</v>
      </c>
      <c r="BF214">
        <f t="shared" si="92"/>
        <v>0</v>
      </c>
      <c r="BG214">
        <f t="shared" si="93"/>
        <v>0</v>
      </c>
      <c r="BH214" s="26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26" cm="1">
        <f t="array" ref="BI214">$G$14+VLOOKUP($R214,武学奇术!$A:$ZZ,16,FALSE)+SUM(_xlfn.XLOOKUP(S214:AG214,增益!$A:$A,增益!$P:$P,0))</f>
        <v>0</v>
      </c>
      <c r="BJ214" s="21">
        <f>MIN(IF(VLOOKUP($R214,武学奇术!$A:$ZZ,23,FALSE)=1,100%,$B$8),100%)</f>
        <v>0.8229</v>
      </c>
      <c r="BK214" s="21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0.2285</v>
      </c>
      <c r="BL214" s="21" cm="1">
        <f t="array" ref="BL214">1+$B$13+VLOOKUP($R214,武学奇术!$A:$ZZ,18,FALSE)+SUM(_xlfn.XLOOKUP(S214:AG214,增益!$A:$A,增益!$R:$R,0))</f>
        <v>1.5</v>
      </c>
      <c r="BM214" s="21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0.4495</v>
      </c>
      <c r="BN214" s="21" cm="1">
        <f t="array" ref="BN214">1+$B$14+VLOOKUP($R214,武学奇术!$A:$ZZ,20,FALSE)+SUM(_xlfn.XLOOKUP(S214:AG214,增益!$A:$A,增益!$T:$T,0))</f>
        <v>1.762</v>
      </c>
      <c r="BO214" s="21">
        <f t="shared" si="94"/>
        <v>0.18803265</v>
      </c>
      <c r="BP214" s="21">
        <f t="shared" si="95"/>
        <v>0.2649738</v>
      </c>
      <c r="BQ214" s="21">
        <f>IF(VLOOKUP($R214,武学奇术!$A:$ZZ,22,FALSE)=1,0,(1-$BJ214))*(1-$BM214)</f>
        <v>0.09749355</v>
      </c>
      <c r="BR214" s="21" cm="1">
        <f t="array" ref="BR214">SUM(_xlfn.XLOOKUP(S214:AG214,增益!$A:$A,增益!$W:$W,0))+$I$5</f>
        <v>0.06</v>
      </c>
    </row>
    <row r="215" spans="11:70">
      <c r="K215" s="24">
        <f>$L215*VLOOKUP($R215,武学奇术!$A:$ZZ,31,FALSE)</f>
        <v>5170.84150373504</v>
      </c>
      <c r="L215" s="24">
        <f t="shared" si="85"/>
        <v>8618.06917289173</v>
      </c>
      <c r="M215" s="24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7113.33009039509</v>
      </c>
      <c r="N215" s="24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12936.8303112912</v>
      </c>
      <c r="O215" s="24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4742.22006026339</v>
      </c>
      <c r="P215" s="24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2142.31168052045</v>
      </c>
      <c r="Q215" s="31">
        <v>1</v>
      </c>
      <c r="R215" s="32" t="s">
        <v>198</v>
      </c>
      <c r="S215" s="32" t="s">
        <v>87</v>
      </c>
      <c r="T215" s="32" t="s">
        <v>96</v>
      </c>
      <c r="U215" s="32" t="s">
        <v>97</v>
      </c>
      <c r="V215" s="32" t="s">
        <v>73</v>
      </c>
      <c r="W215" s="32" t="s">
        <v>111</v>
      </c>
      <c r="X215" s="32" t="s">
        <v>127</v>
      </c>
      <c r="Y215" s="32" t="s">
        <v>73</v>
      </c>
      <c r="Z215" s="32" t="s">
        <v>73</v>
      </c>
      <c r="AA215" s="32" t="s">
        <v>81</v>
      </c>
      <c r="AB215" s="32" t="s">
        <v>75</v>
      </c>
      <c r="AC215" s="32" t="s">
        <v>76</v>
      </c>
      <c r="AD215" s="32" t="s">
        <v>82</v>
      </c>
      <c r="AE215" s="32" t="s">
        <v>73</v>
      </c>
      <c r="AF215" s="32" t="s">
        <v>73</v>
      </c>
      <c r="AG215" s="32" t="s">
        <v>172</v>
      </c>
      <c r="AH215" t="str">
        <f>VLOOKUP($R215,武学奇术!$A:$ZZ,25,FALSE)</f>
        <v>剑</v>
      </c>
      <c r="AI215" s="21">
        <f>VLOOKUP($R215,武学奇术!$A:$ZZ,26,FALSE)</f>
        <v>0.17325</v>
      </c>
      <c r="AJ215" s="22">
        <f>VLOOKUP($R215,武学奇术!$A:$ZZ,27,FALSE)*(1+IF(OR($AH215=$F$4,$AH215=$F$5),$B$22,0))</f>
        <v>0</v>
      </c>
      <c r="AK215" s="21">
        <f>VLOOKUP($R215,武学奇术!$A:$ZZ,28,FALSE)</f>
        <v>0.259875</v>
      </c>
      <c r="AL215" s="22">
        <f>VLOOKUP($R215,武学奇术!$A:$ZZ,29,FALSE)*(1+IF(OR($AH215=$F$4,$AH215=$F$5),$B$22,0))</f>
        <v>0</v>
      </c>
      <c r="AM215" s="21" cm="1">
        <f t="array" ref="AM215">$G$3+IFERROR(VLOOKUP($AH215,$F$4:$G$7,2,FALSE),0)+VLOOKUP($R215,武学奇术!$A:$ZZ,2,FALSE)+SUM(_xlfn.XLOOKUP($S215:$AG215,增益!$A:$A,增益!$B:$B,0))</f>
        <v>1.3191</v>
      </c>
      <c r="AN215" s="21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1862.48</v>
      </c>
      <c r="AP215" cm="1">
        <f t="array" ref="AP215">$E$10*(1+$AN215)+VLOOKUP($R215,武学奇术!$A:$ZZ,4,FALSE)+SUM(_xlfn.XLOOKUP($S215:$AG215,增益!$A:$A,增益!$D:$D,0))-$I$2</f>
        <v>7794.56</v>
      </c>
      <c r="AQ215" s="26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0.369</v>
      </c>
      <c r="AR215" s="26" cm="1">
        <f t="array" ref="AR215">$G$10+VLOOKUP($R215,武学奇术!$A:$ZZ,7,FALSE)+SUM(_xlfn.XLOOKUP(S215:AG215,增益!$A:$A,增益!$G:$G,0))</f>
        <v>0</v>
      </c>
      <c r="AS215" s="21" cm="1">
        <f t="array" ref="AS215">VLOOKUP($R215,武学奇术!$A:$ZZ,8,FALSE)+SUM(_xlfn.XLOOKUP(S215:AG215,增益!$A:$A,增益!$H:$H,0))</f>
        <v>0</v>
      </c>
      <c r="AT215">
        <f t="shared" si="86"/>
        <v>680.02</v>
      </c>
      <c r="AU215">
        <f t="shared" si="87"/>
        <v>1288.54</v>
      </c>
      <c r="AV215" s="26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26" cm="1">
        <f t="array" ref="AW215">$G$11+VLOOKUP($R215,武学奇术!$A:$ZZ,10,FALSE)+SUM(_xlfn.XLOOKUP(S215:AG215,增益!$A:$A,增益!$J:$J,0))</f>
        <v>0.15</v>
      </c>
      <c r="AX215">
        <f t="shared" si="88"/>
        <v>0</v>
      </c>
      <c r="AY215">
        <f t="shared" si="89"/>
        <v>0</v>
      </c>
      <c r="AZ215" s="26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26" cm="1">
        <f t="array" ref="BA215">$G$12+VLOOKUP($R215,武学奇术!$A:$ZZ,12,FALSE)+SUM(_xlfn.XLOOKUP(S215:AG215,增益!$A:$A,增益!$L:$L,0))</f>
        <v>0</v>
      </c>
      <c r="BB215">
        <f t="shared" si="90"/>
        <v>0</v>
      </c>
      <c r="BC215">
        <f t="shared" si="91"/>
        <v>0</v>
      </c>
      <c r="BD215" s="26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26" cm="1">
        <f t="array" ref="BE215">$G$13+VLOOKUP($R215,武学奇术!$A:$ZZ,14,FALSE)+SUM(_xlfn.XLOOKUP(S215:AG215,增益!$A:$A,增益!$N:$N,0))</f>
        <v>0</v>
      </c>
      <c r="BF215">
        <f t="shared" si="92"/>
        <v>0</v>
      </c>
      <c r="BG215">
        <f t="shared" si="93"/>
        <v>0</v>
      </c>
      <c r="BH215" s="26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26" cm="1">
        <f t="array" ref="BI215">$G$14+VLOOKUP($R215,武学奇术!$A:$ZZ,16,FALSE)+SUM(_xlfn.XLOOKUP(S215:AG215,增益!$A:$A,增益!$P:$P,0))</f>
        <v>0</v>
      </c>
      <c r="BJ215" s="21">
        <f>MIN(IF(VLOOKUP($R215,武学奇术!$A:$ZZ,23,FALSE)=1,100%,$B$8),100%)</f>
        <v>0.8229</v>
      </c>
      <c r="BK215" s="21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0.2285</v>
      </c>
      <c r="BL215" s="21" cm="1">
        <f t="array" ref="BL215">1+$B$13+VLOOKUP($R215,武学奇术!$A:$ZZ,18,FALSE)+SUM(_xlfn.XLOOKUP(S215:AG215,增益!$A:$A,增益!$R:$R,0))</f>
        <v>1.5</v>
      </c>
      <c r="BM215" s="21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0.4495</v>
      </c>
      <c r="BN215" s="21" cm="1">
        <f t="array" ref="BN215">1+$B$14+VLOOKUP($R215,武学奇术!$A:$ZZ,20,FALSE)+SUM(_xlfn.XLOOKUP(S215:AG215,增益!$A:$A,增益!$T:$T,0))</f>
        <v>1.762</v>
      </c>
      <c r="BO215" s="21">
        <f t="shared" si="94"/>
        <v>0.18803265</v>
      </c>
      <c r="BP215" s="21">
        <f t="shared" si="95"/>
        <v>0.2649738</v>
      </c>
      <c r="BQ215" s="21">
        <f>IF(VLOOKUP($R215,武学奇术!$A:$ZZ,22,FALSE)=1,0,(1-$BJ215))*(1-$BM215)</f>
        <v>0.09749355</v>
      </c>
      <c r="BR215" s="21" cm="1">
        <f t="array" ref="BR215">SUM(_xlfn.XLOOKUP(S215:AG215,增益!$A:$A,增益!$W:$W,0))+$I$5</f>
        <v>0.06</v>
      </c>
    </row>
    <row r="216" spans="11:70">
      <c r="K216" s="24">
        <f>$L216*VLOOKUP($R216,武学奇术!$A:$ZZ,31,FALSE)</f>
        <v>10341.6830074701</v>
      </c>
      <c r="L216" s="24">
        <f t="shared" si="85"/>
        <v>17236.1383457835</v>
      </c>
      <c r="M216" s="24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14226.6601807902</v>
      </c>
      <c r="N216" s="24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25873.6606225823</v>
      </c>
      <c r="O216" s="24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9484.44012052679</v>
      </c>
      <c r="P216" s="24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4284.6233610409</v>
      </c>
      <c r="Q216" s="31">
        <v>1</v>
      </c>
      <c r="R216" s="32" t="s">
        <v>199</v>
      </c>
      <c r="S216" s="32" t="s">
        <v>87</v>
      </c>
      <c r="T216" s="32" t="s">
        <v>96</v>
      </c>
      <c r="U216" s="32" t="s">
        <v>97</v>
      </c>
      <c r="V216" s="32" t="s">
        <v>73</v>
      </c>
      <c r="W216" s="32" t="s">
        <v>111</v>
      </c>
      <c r="X216" s="32" t="s">
        <v>127</v>
      </c>
      <c r="Y216" s="32" t="s">
        <v>73</v>
      </c>
      <c r="Z216" s="32" t="s">
        <v>73</v>
      </c>
      <c r="AA216" s="32" t="s">
        <v>81</v>
      </c>
      <c r="AB216" s="32" t="s">
        <v>75</v>
      </c>
      <c r="AC216" s="32" t="s">
        <v>89</v>
      </c>
      <c r="AD216" s="32" t="s">
        <v>82</v>
      </c>
      <c r="AE216" s="32" t="s">
        <v>73</v>
      </c>
      <c r="AF216" s="32" t="s">
        <v>73</v>
      </c>
      <c r="AG216" s="32" t="s">
        <v>172</v>
      </c>
      <c r="AH216" t="str">
        <f>VLOOKUP($R216,武学奇术!$A:$ZZ,25,FALSE)</f>
        <v>剑</v>
      </c>
      <c r="AI216" s="21">
        <f>VLOOKUP($R216,武学奇术!$A:$ZZ,26,FALSE)</f>
        <v>0.3465</v>
      </c>
      <c r="AJ216" s="22">
        <f>VLOOKUP($R216,武学奇术!$A:$ZZ,27,FALSE)*(1+IF(OR($AH216=$F$4,$AH216=$F$5),$B$22,0))</f>
        <v>0</v>
      </c>
      <c r="AK216" s="21">
        <f>VLOOKUP($R216,武学奇术!$A:$ZZ,28,FALSE)</f>
        <v>0.51975</v>
      </c>
      <c r="AL216" s="22">
        <f>VLOOKUP($R216,武学奇术!$A:$ZZ,29,FALSE)*(1+IF(OR($AH216=$F$4,$AH216=$F$5),$B$22,0))</f>
        <v>0</v>
      </c>
      <c r="AM216" s="21" cm="1">
        <f t="array" ref="AM216">$G$3+IFERROR(VLOOKUP($AH216,$F$4:$G$7,2,FALSE),0)+VLOOKUP($R216,武学奇术!$A:$ZZ,2,FALSE)+SUM(_xlfn.XLOOKUP($S216:$AG216,增益!$A:$A,增益!$B:$B,0))</f>
        <v>1.3191</v>
      </c>
      <c r="AN216" s="21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1862.48</v>
      </c>
      <c r="AP216" cm="1">
        <f t="array" ref="AP216">$E$10*(1+$AN216)+VLOOKUP($R216,武学奇术!$A:$ZZ,4,FALSE)+SUM(_xlfn.XLOOKUP($S216:$AG216,增益!$A:$A,增益!$D:$D,0))-$I$2</f>
        <v>7794.56</v>
      </c>
      <c r="AQ216" s="26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0.369</v>
      </c>
      <c r="AR216" s="26" cm="1">
        <f t="array" ref="AR216">$G$10+VLOOKUP($R216,武学奇术!$A:$ZZ,7,FALSE)+SUM(_xlfn.XLOOKUP(S216:AG216,增益!$A:$A,增益!$G:$G,0))</f>
        <v>0</v>
      </c>
      <c r="AS216" s="21" cm="1">
        <f t="array" ref="AS216">VLOOKUP($R216,武学奇术!$A:$ZZ,8,FALSE)+SUM(_xlfn.XLOOKUP(S216:AG216,增益!$A:$A,增益!$H:$H,0))</f>
        <v>0</v>
      </c>
      <c r="AT216">
        <f t="shared" si="86"/>
        <v>680.02</v>
      </c>
      <c r="AU216">
        <f t="shared" si="87"/>
        <v>1288.54</v>
      </c>
      <c r="AV216" s="26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0.075</v>
      </c>
      <c r="AW216" s="26" cm="1">
        <f t="array" ref="AW216">$G$11+VLOOKUP($R216,武学奇术!$A:$ZZ,10,FALSE)+SUM(_xlfn.XLOOKUP(S216:AG216,增益!$A:$A,增益!$J:$J,0))</f>
        <v>0.15</v>
      </c>
      <c r="AX216">
        <f t="shared" si="88"/>
        <v>0</v>
      </c>
      <c r="AY216">
        <f t="shared" si="89"/>
        <v>0</v>
      </c>
      <c r="AZ216" s="26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26" cm="1">
        <f t="array" ref="BA216">$G$12+VLOOKUP($R216,武学奇术!$A:$ZZ,12,FALSE)+SUM(_xlfn.XLOOKUP(S216:AG216,增益!$A:$A,增益!$L:$L,0))</f>
        <v>0</v>
      </c>
      <c r="BB216">
        <f t="shared" si="90"/>
        <v>0</v>
      </c>
      <c r="BC216">
        <f t="shared" si="91"/>
        <v>0</v>
      </c>
      <c r="BD216" s="26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26" cm="1">
        <f t="array" ref="BE216">$G$13+VLOOKUP($R216,武学奇术!$A:$ZZ,14,FALSE)+SUM(_xlfn.XLOOKUP(S216:AG216,增益!$A:$A,增益!$N:$N,0))</f>
        <v>0</v>
      </c>
      <c r="BF216">
        <f t="shared" si="92"/>
        <v>0</v>
      </c>
      <c r="BG216">
        <f t="shared" si="93"/>
        <v>0</v>
      </c>
      <c r="BH216" s="26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26" cm="1">
        <f t="array" ref="BI216">$G$14+VLOOKUP($R216,武学奇术!$A:$ZZ,16,FALSE)+SUM(_xlfn.XLOOKUP(S216:AG216,增益!$A:$A,增益!$P:$P,0))</f>
        <v>0</v>
      </c>
      <c r="BJ216" s="21">
        <f>MIN(IF(VLOOKUP($R216,武学奇术!$A:$ZZ,23,FALSE)=1,100%,$B$8),100%)</f>
        <v>0.8229</v>
      </c>
      <c r="BK216" s="21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0.2285</v>
      </c>
      <c r="BL216" s="21" cm="1">
        <f t="array" ref="BL216">1+$B$13+VLOOKUP($R216,武学奇术!$A:$ZZ,18,FALSE)+SUM(_xlfn.XLOOKUP(S216:AG216,增益!$A:$A,增益!$R:$R,0))</f>
        <v>1.5</v>
      </c>
      <c r="BM216" s="21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0.4495</v>
      </c>
      <c r="BN216" s="21" cm="1">
        <f t="array" ref="BN216">1+$B$14+VLOOKUP($R216,武学奇术!$A:$ZZ,20,FALSE)+SUM(_xlfn.XLOOKUP(S216:AG216,增益!$A:$A,增益!$T:$T,0))</f>
        <v>1.762</v>
      </c>
      <c r="BO216" s="21">
        <f t="shared" si="94"/>
        <v>0.18803265</v>
      </c>
      <c r="BP216" s="21">
        <f t="shared" si="95"/>
        <v>0.2649738</v>
      </c>
      <c r="BQ216" s="21">
        <f>IF(VLOOKUP($R216,武学奇术!$A:$ZZ,22,FALSE)=1,0,(1-$BJ216))*(1-$BM216)</f>
        <v>0.09749355</v>
      </c>
      <c r="BR216" s="21" cm="1">
        <f t="array" ref="BR216">SUM(_xlfn.XLOOKUP(S216:AG216,增益!$A:$A,增益!$W:$W,0))+$I$5</f>
        <v>0.06</v>
      </c>
    </row>
    <row r="217" spans="11:70">
      <c r="K217" s="24">
        <f>$L217*VLOOKUP($R217,武学奇术!$A:$ZZ,31,FALSE)</f>
        <v>5190.64322413774</v>
      </c>
      <c r="L217" s="24">
        <f t="shared" si="85"/>
        <v>8651.07204022956</v>
      </c>
      <c r="M217" s="24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7113.33009039509</v>
      </c>
      <c r="N217" s="24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13010.2515956912</v>
      </c>
      <c r="O217" s="24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4742.22006026339</v>
      </c>
      <c r="P217" s="24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2142.31168052045</v>
      </c>
      <c r="Q217" s="31">
        <v>1</v>
      </c>
      <c r="R217" s="32" t="s">
        <v>198</v>
      </c>
      <c r="S217" s="32" t="s">
        <v>87</v>
      </c>
      <c r="T217" s="32" t="s">
        <v>96</v>
      </c>
      <c r="U217" s="32" t="s">
        <v>97</v>
      </c>
      <c r="V217" s="32" t="s">
        <v>73</v>
      </c>
      <c r="W217" s="32" t="s">
        <v>111</v>
      </c>
      <c r="X217" s="32" t="s">
        <v>127</v>
      </c>
      <c r="Y217" s="32" t="s">
        <v>73</v>
      </c>
      <c r="Z217" s="32" t="s">
        <v>73</v>
      </c>
      <c r="AA217" s="32" t="s">
        <v>81</v>
      </c>
      <c r="AB217" s="32" t="s">
        <v>75</v>
      </c>
      <c r="AC217" s="32" t="s">
        <v>89</v>
      </c>
      <c r="AD217" s="32" t="s">
        <v>82</v>
      </c>
      <c r="AE217" s="32" t="s">
        <v>73</v>
      </c>
      <c r="AF217" s="32" t="s">
        <v>73</v>
      </c>
      <c r="AG217" s="32" t="s">
        <v>175</v>
      </c>
      <c r="AH217" t="str">
        <f>VLOOKUP($R217,武学奇术!$A:$ZZ,25,FALSE)</f>
        <v>剑</v>
      </c>
      <c r="AI217" s="21">
        <f>VLOOKUP($R217,武学奇术!$A:$ZZ,26,FALSE)</f>
        <v>0.17325</v>
      </c>
      <c r="AJ217" s="22">
        <f>VLOOKUP($R217,武学奇术!$A:$ZZ,27,FALSE)*(1+IF(OR($AH217=$F$4,$AH217=$F$5),$B$22,0))</f>
        <v>0</v>
      </c>
      <c r="AK217" s="21">
        <f>VLOOKUP($R217,武学奇术!$A:$ZZ,28,FALSE)</f>
        <v>0.259875</v>
      </c>
      <c r="AL217" s="22">
        <f>VLOOKUP($R217,武学奇术!$A:$ZZ,29,FALSE)*(1+IF(OR($AH217=$F$4,$AH217=$F$5),$B$22,0))</f>
        <v>0</v>
      </c>
      <c r="AM217" s="21" cm="1">
        <f t="array" ref="AM217">$G$3+IFERROR(VLOOKUP($AH217,$F$4:$G$7,2,FALSE),0)+VLOOKUP($R217,武学奇术!$A:$ZZ,2,FALSE)+SUM(_xlfn.XLOOKUP($S217:$AG217,增益!$A:$A,增益!$B:$B,0))</f>
        <v>1.3191</v>
      </c>
      <c r="AN217" s="21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1862.48</v>
      </c>
      <c r="AP217" cm="1">
        <f t="array" ref="AP217">$E$10*(1+$AN217)+VLOOKUP($R217,武学奇术!$A:$ZZ,4,FALSE)+SUM(_xlfn.XLOOKUP($S217:$AG217,增益!$A:$A,增益!$D:$D,0))-$I$2</f>
        <v>7794.56</v>
      </c>
      <c r="AQ217" s="26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0.369</v>
      </c>
      <c r="AR217" s="26" cm="1">
        <f t="array" ref="AR217">$G$10+VLOOKUP($R217,武学奇术!$A:$ZZ,7,FALSE)+SUM(_xlfn.XLOOKUP(S217:AG217,增益!$A:$A,增益!$G:$G,0))</f>
        <v>0</v>
      </c>
      <c r="AS217" s="21" cm="1">
        <f t="array" ref="AS217">VLOOKUP($R217,武学奇术!$A:$ZZ,8,FALSE)+SUM(_xlfn.XLOOKUP(S217:AG217,增益!$A:$A,增益!$H:$H,0))</f>
        <v>0</v>
      </c>
      <c r="AT217">
        <f t="shared" si="86"/>
        <v>680.02</v>
      </c>
      <c r="AU217">
        <f t="shared" si="87"/>
        <v>1288.54</v>
      </c>
      <c r="AV217" s="26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0.075</v>
      </c>
      <c r="AW217" s="26" cm="1">
        <f t="array" ref="AW217">$G$11+VLOOKUP($R217,武学奇术!$A:$ZZ,10,FALSE)+SUM(_xlfn.XLOOKUP(S217:AG217,增益!$A:$A,增益!$J:$J,0))</f>
        <v>0.15</v>
      </c>
      <c r="AX217">
        <f t="shared" si="88"/>
        <v>0</v>
      </c>
      <c r="AY217">
        <f t="shared" si="89"/>
        <v>0</v>
      </c>
      <c r="AZ217" s="26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26" cm="1">
        <f t="array" ref="BA217">$G$12+VLOOKUP($R217,武学奇术!$A:$ZZ,12,FALSE)+SUM(_xlfn.XLOOKUP(S217:AG217,增益!$A:$A,增益!$L:$L,0))</f>
        <v>0</v>
      </c>
      <c r="BB217">
        <f t="shared" si="90"/>
        <v>0</v>
      </c>
      <c r="BC217">
        <f t="shared" si="91"/>
        <v>0</v>
      </c>
      <c r="BD217" s="26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26" cm="1">
        <f t="array" ref="BE217">$G$13+VLOOKUP($R217,武学奇术!$A:$ZZ,14,FALSE)+SUM(_xlfn.XLOOKUP(S217:AG217,增益!$A:$A,增益!$N:$N,0))</f>
        <v>0</v>
      </c>
      <c r="BF217">
        <f t="shared" si="92"/>
        <v>0</v>
      </c>
      <c r="BG217">
        <f t="shared" si="93"/>
        <v>0</v>
      </c>
      <c r="BH217" s="26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26" cm="1">
        <f t="array" ref="BI217">$G$14+VLOOKUP($R217,武学奇术!$A:$ZZ,16,FALSE)+SUM(_xlfn.XLOOKUP(S217:AG217,增益!$A:$A,增益!$P:$P,0))</f>
        <v>0</v>
      </c>
      <c r="BJ217" s="21">
        <f>MIN(IF(VLOOKUP($R217,武学奇术!$A:$ZZ,23,FALSE)=1,100%,$B$8),100%)</f>
        <v>0.8229</v>
      </c>
      <c r="BK217" s="21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0.2285</v>
      </c>
      <c r="BL217" s="21" cm="1">
        <f t="array" ref="BL217">1+$B$13+VLOOKUP($R217,武学奇术!$A:$ZZ,18,FALSE)+SUM(_xlfn.XLOOKUP(S217:AG217,增益!$A:$A,增益!$R:$R,0))</f>
        <v>1.5</v>
      </c>
      <c r="BM217" s="21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0.4495</v>
      </c>
      <c r="BN217" s="21" cm="1">
        <f t="array" ref="BN217">1+$B$14+VLOOKUP($R217,武学奇术!$A:$ZZ,20,FALSE)+SUM(_xlfn.XLOOKUP(S217:AG217,增益!$A:$A,增益!$T:$T,0))</f>
        <v>1.772</v>
      </c>
      <c r="BO217" s="21">
        <f t="shared" si="94"/>
        <v>0.18803265</v>
      </c>
      <c r="BP217" s="21">
        <f t="shared" si="95"/>
        <v>0.2649738</v>
      </c>
      <c r="BQ217" s="21">
        <f>IF(VLOOKUP($R217,武学奇术!$A:$ZZ,22,FALSE)=1,0,(1-$BJ217))*(1-$BM217)</f>
        <v>0.09749355</v>
      </c>
      <c r="BR217" s="21" cm="1">
        <f t="array" ref="BR217">SUM(_xlfn.XLOOKUP(S217:AG217,增益!$A:$A,增益!$W:$W,0))+$I$5</f>
        <v>0.06</v>
      </c>
    </row>
    <row r="218" spans="11:70">
      <c r="K218" s="24">
        <f>$L218*VLOOKUP($R218,武学奇术!$A:$ZZ,31,FALSE)</f>
        <v>6228.77186896528</v>
      </c>
      <c r="L218" s="24">
        <f t="shared" si="85"/>
        <v>10381.2864482755</v>
      </c>
      <c r="M218" s="24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8535.99610847411</v>
      </c>
      <c r="N218" s="24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15612.3019148295</v>
      </c>
      <c r="O218" s="24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5690.66407231607</v>
      </c>
      <c r="P218" s="24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2570.77401662454</v>
      </c>
      <c r="Q218" s="31">
        <v>1</v>
      </c>
      <c r="R218" s="32" t="s">
        <v>200</v>
      </c>
      <c r="S218" s="32" t="s">
        <v>87</v>
      </c>
      <c r="T218" s="32" t="s">
        <v>96</v>
      </c>
      <c r="U218" s="32" t="s">
        <v>97</v>
      </c>
      <c r="V218" s="32" t="s">
        <v>73</v>
      </c>
      <c r="W218" s="32" t="s">
        <v>111</v>
      </c>
      <c r="X218" s="32" t="s">
        <v>127</v>
      </c>
      <c r="Y218" s="32" t="s">
        <v>73</v>
      </c>
      <c r="Z218" s="32" t="s">
        <v>73</v>
      </c>
      <c r="AA218" s="32" t="s">
        <v>81</v>
      </c>
      <c r="AB218" s="32" t="s">
        <v>75</v>
      </c>
      <c r="AC218" s="32" t="s">
        <v>89</v>
      </c>
      <c r="AD218" s="32" t="s">
        <v>82</v>
      </c>
      <c r="AE218" s="32" t="s">
        <v>73</v>
      </c>
      <c r="AF218" s="32" t="s">
        <v>73</v>
      </c>
      <c r="AG218" s="32" t="s">
        <v>175</v>
      </c>
      <c r="AH218" t="str">
        <f>VLOOKUP($R218,武学奇术!$A:$ZZ,25,FALSE)</f>
        <v>剑</v>
      </c>
      <c r="AI218" s="21">
        <f>VLOOKUP($R218,武学奇术!$A:$ZZ,26,FALSE)</f>
        <v>0.2079</v>
      </c>
      <c r="AJ218" s="22">
        <f>VLOOKUP($R218,武学奇术!$A:$ZZ,27,FALSE)*(1+IF(OR($AH218=$F$4,$AH218=$F$5),$B$22,0))</f>
        <v>0</v>
      </c>
      <c r="AK218" s="21">
        <f>VLOOKUP($R218,武学奇术!$A:$ZZ,28,FALSE)</f>
        <v>0.31185</v>
      </c>
      <c r="AL218" s="22">
        <f>VLOOKUP($R218,武学奇术!$A:$ZZ,29,FALSE)*(1+IF(OR($AH218=$F$4,$AH218=$F$5),$B$22,0))</f>
        <v>0</v>
      </c>
      <c r="AM218" s="21" cm="1">
        <f t="array" ref="AM218">$G$3+IFERROR(VLOOKUP($AH218,$F$4:$G$7,2,FALSE),0)+VLOOKUP($R218,武学奇术!$A:$ZZ,2,FALSE)+SUM(_xlfn.XLOOKUP($S218:$AG218,增益!$A:$A,增益!$B:$B,0))</f>
        <v>1.3191</v>
      </c>
      <c r="AN218" s="21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1862.48</v>
      </c>
      <c r="AP218" cm="1">
        <f t="array" ref="AP218">$E$10*(1+$AN218)+VLOOKUP($R218,武学奇术!$A:$ZZ,4,FALSE)+SUM(_xlfn.XLOOKUP($S218:$AG218,增益!$A:$A,增益!$D:$D,0))-$I$2</f>
        <v>7794.56</v>
      </c>
      <c r="AQ218" s="26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0.369</v>
      </c>
      <c r="AR218" s="26" cm="1">
        <f t="array" ref="AR218">$G$10+VLOOKUP($R218,武学奇术!$A:$ZZ,7,FALSE)+SUM(_xlfn.XLOOKUP(S218:AG218,增益!$A:$A,增益!$G:$G,0))</f>
        <v>0</v>
      </c>
      <c r="AS218" s="21" cm="1">
        <f t="array" ref="AS218">VLOOKUP($R218,武学奇术!$A:$ZZ,8,FALSE)+SUM(_xlfn.XLOOKUP(S218:AG218,增益!$A:$A,增益!$H:$H,0))</f>
        <v>0</v>
      </c>
      <c r="AT218">
        <f t="shared" si="86"/>
        <v>680.02</v>
      </c>
      <c r="AU218">
        <f t="shared" si="87"/>
        <v>1288.54</v>
      </c>
      <c r="AV218" s="26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0.075</v>
      </c>
      <c r="AW218" s="26" cm="1">
        <f t="array" ref="AW218">$G$11+VLOOKUP($R218,武学奇术!$A:$ZZ,10,FALSE)+SUM(_xlfn.XLOOKUP(S218:AG218,增益!$A:$A,增益!$J:$J,0))</f>
        <v>0.15</v>
      </c>
      <c r="AX218">
        <f t="shared" si="88"/>
        <v>0</v>
      </c>
      <c r="AY218">
        <f t="shared" si="89"/>
        <v>0</v>
      </c>
      <c r="AZ218" s="26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26" cm="1">
        <f t="array" ref="BA218">$G$12+VLOOKUP($R218,武学奇术!$A:$ZZ,12,FALSE)+SUM(_xlfn.XLOOKUP(S218:AG218,增益!$A:$A,增益!$L:$L,0))</f>
        <v>0</v>
      </c>
      <c r="BB218">
        <f t="shared" si="90"/>
        <v>0</v>
      </c>
      <c r="BC218">
        <f t="shared" si="91"/>
        <v>0</v>
      </c>
      <c r="BD218" s="26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26" cm="1">
        <f t="array" ref="BE218">$G$13+VLOOKUP($R218,武学奇术!$A:$ZZ,14,FALSE)+SUM(_xlfn.XLOOKUP(S218:AG218,增益!$A:$A,增益!$N:$N,0))</f>
        <v>0</v>
      </c>
      <c r="BF218">
        <f t="shared" si="92"/>
        <v>0</v>
      </c>
      <c r="BG218">
        <f t="shared" si="93"/>
        <v>0</v>
      </c>
      <c r="BH218" s="26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26" cm="1">
        <f t="array" ref="BI218">$G$14+VLOOKUP($R218,武学奇术!$A:$ZZ,16,FALSE)+SUM(_xlfn.XLOOKUP(S218:AG218,增益!$A:$A,增益!$P:$P,0))</f>
        <v>0</v>
      </c>
      <c r="BJ218" s="21">
        <f>MIN(IF(VLOOKUP($R218,武学奇术!$A:$ZZ,23,FALSE)=1,100%,$B$8),100%)</f>
        <v>0.8229</v>
      </c>
      <c r="BK218" s="21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0.2285</v>
      </c>
      <c r="BL218" s="21" cm="1">
        <f t="array" ref="BL218">1+$B$13+VLOOKUP($R218,武学奇术!$A:$ZZ,18,FALSE)+SUM(_xlfn.XLOOKUP(S218:AG218,增益!$A:$A,增益!$R:$R,0))</f>
        <v>1.5</v>
      </c>
      <c r="BM218" s="21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0.4495</v>
      </c>
      <c r="BN218" s="21" cm="1">
        <f t="array" ref="BN218">1+$B$14+VLOOKUP($R218,武学奇术!$A:$ZZ,20,FALSE)+SUM(_xlfn.XLOOKUP(S218:AG218,增益!$A:$A,增益!$T:$T,0))</f>
        <v>1.772</v>
      </c>
      <c r="BO218" s="21">
        <f t="shared" ref="BO218" si="96">MIN((1-BM218)*BJ218,BJ218*BK218)</f>
        <v>0.18803265</v>
      </c>
      <c r="BP218" s="21">
        <f t="shared" ref="BP218" si="97">1-BM218-BO218-BQ218</f>
        <v>0.2649738</v>
      </c>
      <c r="BQ218" s="21">
        <f>IF(VLOOKUP($R218,武学奇术!$A:$ZZ,22,FALSE)=1,0,(1-$BJ218))*(1-$BM218)</f>
        <v>0.09749355</v>
      </c>
      <c r="BR218" s="21" cm="1">
        <f t="array" ref="BR218">SUM(_xlfn.XLOOKUP(S218:AG218,增益!$A:$A,增益!$W:$W,0))+$I$5</f>
        <v>0.06</v>
      </c>
    </row>
    <row r="219" spans="11:70">
      <c r="K219" s="24">
        <f>$L219*VLOOKUP($R219,武学奇术!$A:$ZZ,31,FALSE)</f>
        <v>6228.77186896528</v>
      </c>
      <c r="L219" s="24">
        <f t="shared" si="85"/>
        <v>10381.2864482755</v>
      </c>
      <c r="M219" s="24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8535.99610847411</v>
      </c>
      <c r="N219" s="24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15612.3019148295</v>
      </c>
      <c r="O219" s="24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5690.66407231607</v>
      </c>
      <c r="P219" s="24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2570.77401662454</v>
      </c>
      <c r="Q219" s="31">
        <v>1</v>
      </c>
      <c r="R219" s="32" t="s">
        <v>200</v>
      </c>
      <c r="S219" s="32" t="s">
        <v>87</v>
      </c>
      <c r="T219" s="32" t="s">
        <v>96</v>
      </c>
      <c r="U219" s="32" t="s">
        <v>97</v>
      </c>
      <c r="V219" s="32" t="s">
        <v>73</v>
      </c>
      <c r="W219" s="32" t="s">
        <v>111</v>
      </c>
      <c r="X219" s="32" t="s">
        <v>127</v>
      </c>
      <c r="Y219" s="32" t="s">
        <v>73</v>
      </c>
      <c r="Z219" s="32" t="s">
        <v>73</v>
      </c>
      <c r="AA219" s="32" t="s">
        <v>81</v>
      </c>
      <c r="AB219" s="32" t="s">
        <v>75</v>
      </c>
      <c r="AC219" s="32" t="s">
        <v>89</v>
      </c>
      <c r="AD219" s="32" t="s">
        <v>82</v>
      </c>
      <c r="AE219" s="32" t="s">
        <v>73</v>
      </c>
      <c r="AF219" s="32" t="s">
        <v>73</v>
      </c>
      <c r="AG219" s="32" t="s">
        <v>175</v>
      </c>
      <c r="AH219" t="str">
        <f>VLOOKUP($R219,武学奇术!$A:$ZZ,25,FALSE)</f>
        <v>剑</v>
      </c>
      <c r="AI219" s="21">
        <f>VLOOKUP($R219,武学奇术!$A:$ZZ,26,FALSE)</f>
        <v>0.2079</v>
      </c>
      <c r="AJ219" s="22">
        <f>VLOOKUP($R219,武学奇术!$A:$ZZ,27,FALSE)*(1+IF(OR($AH219=$F$4,$AH219=$F$5),$B$22,0))</f>
        <v>0</v>
      </c>
      <c r="AK219" s="21">
        <f>VLOOKUP($R219,武学奇术!$A:$ZZ,28,FALSE)</f>
        <v>0.31185</v>
      </c>
      <c r="AL219" s="22">
        <f>VLOOKUP($R219,武学奇术!$A:$ZZ,29,FALSE)*(1+IF(OR($AH219=$F$4,$AH219=$F$5),$B$22,0))</f>
        <v>0</v>
      </c>
      <c r="AM219" s="21" cm="1">
        <f t="array" ref="AM219">$G$3+IFERROR(VLOOKUP($AH219,$F$4:$G$7,2,FALSE),0)+VLOOKUP($R219,武学奇术!$A:$ZZ,2,FALSE)+SUM(_xlfn.XLOOKUP($S219:$AG219,增益!$A:$A,增益!$B:$B,0))</f>
        <v>1.3191</v>
      </c>
      <c r="AN219" s="21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1862.48</v>
      </c>
      <c r="AP219" cm="1">
        <f t="array" ref="AP219">$E$10*(1+$AN219)+VLOOKUP($R219,武学奇术!$A:$ZZ,4,FALSE)+SUM(_xlfn.XLOOKUP($S219:$AG219,增益!$A:$A,增益!$D:$D,0))-$I$2</f>
        <v>7794.56</v>
      </c>
      <c r="AQ219" s="26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0.369</v>
      </c>
      <c r="AR219" s="26" cm="1">
        <f t="array" ref="AR219">$G$10+VLOOKUP($R219,武学奇术!$A:$ZZ,7,FALSE)+SUM(_xlfn.XLOOKUP(S219:AG219,增益!$A:$A,增益!$G:$G,0))</f>
        <v>0</v>
      </c>
      <c r="AS219" s="21" cm="1">
        <f t="array" ref="AS219">VLOOKUP($R219,武学奇术!$A:$ZZ,8,FALSE)+SUM(_xlfn.XLOOKUP(S219:AG219,增益!$A:$A,增益!$H:$H,0))</f>
        <v>0</v>
      </c>
      <c r="AT219">
        <f t="shared" si="86"/>
        <v>680.02</v>
      </c>
      <c r="AU219">
        <f t="shared" si="87"/>
        <v>1288.54</v>
      </c>
      <c r="AV219" s="26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0.075</v>
      </c>
      <c r="AW219" s="26" cm="1">
        <f t="array" ref="AW219">$G$11+VLOOKUP($R219,武学奇术!$A:$ZZ,10,FALSE)+SUM(_xlfn.XLOOKUP(S219:AG219,增益!$A:$A,增益!$J:$J,0))</f>
        <v>0.15</v>
      </c>
      <c r="AX219">
        <f t="shared" si="88"/>
        <v>0</v>
      </c>
      <c r="AY219">
        <f t="shared" si="89"/>
        <v>0</v>
      </c>
      <c r="AZ219" s="26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26" cm="1">
        <f t="array" ref="BA219">$G$12+VLOOKUP($R219,武学奇术!$A:$ZZ,12,FALSE)+SUM(_xlfn.XLOOKUP(S219:AG219,增益!$A:$A,增益!$L:$L,0))</f>
        <v>0</v>
      </c>
      <c r="BB219">
        <f t="shared" si="90"/>
        <v>0</v>
      </c>
      <c r="BC219">
        <f t="shared" si="91"/>
        <v>0</v>
      </c>
      <c r="BD219" s="26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26" cm="1">
        <f t="array" ref="BE219">$G$13+VLOOKUP($R219,武学奇术!$A:$ZZ,14,FALSE)+SUM(_xlfn.XLOOKUP(S219:AG219,增益!$A:$A,增益!$N:$N,0))</f>
        <v>0</v>
      </c>
      <c r="BF219">
        <f t="shared" si="92"/>
        <v>0</v>
      </c>
      <c r="BG219">
        <f t="shared" si="93"/>
        <v>0</v>
      </c>
      <c r="BH219" s="26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26" cm="1">
        <f t="array" ref="BI219">$G$14+VLOOKUP($R219,武学奇术!$A:$ZZ,16,FALSE)+SUM(_xlfn.XLOOKUP(S219:AG219,增益!$A:$A,增益!$P:$P,0))</f>
        <v>0</v>
      </c>
      <c r="BJ219" s="21">
        <f>MIN(IF(VLOOKUP($R219,武学奇术!$A:$ZZ,23,FALSE)=1,100%,$B$8),100%)</f>
        <v>0.8229</v>
      </c>
      <c r="BK219" s="21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0.2285</v>
      </c>
      <c r="BL219" s="21" cm="1">
        <f t="array" ref="BL219">1+$B$13+VLOOKUP($R219,武学奇术!$A:$ZZ,18,FALSE)+SUM(_xlfn.XLOOKUP(S219:AG219,增益!$A:$A,增益!$R:$R,0))</f>
        <v>1.5</v>
      </c>
      <c r="BM219" s="21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0.4495</v>
      </c>
      <c r="BN219" s="21" cm="1">
        <f t="array" ref="BN219">1+$B$14+VLOOKUP($R219,武学奇术!$A:$ZZ,20,FALSE)+SUM(_xlfn.XLOOKUP(S219:AG219,增益!$A:$A,增益!$T:$T,0))</f>
        <v>1.772</v>
      </c>
      <c r="BO219" s="21">
        <f t="shared" ref="BO219" si="98">MIN((1-BM219)*BJ219,BJ219*BK219)</f>
        <v>0.18803265</v>
      </c>
      <c r="BP219" s="21">
        <f t="shared" ref="BP219" si="99">1-BM219-BO219-BQ219</f>
        <v>0.2649738</v>
      </c>
      <c r="BQ219" s="21">
        <f>IF(VLOOKUP($R219,武学奇术!$A:$ZZ,22,FALSE)=1,0,(1-$BJ219))*(1-$BM219)</f>
        <v>0.09749355</v>
      </c>
      <c r="BR219" s="21" cm="1">
        <f t="array" ref="BR219">SUM(_xlfn.XLOOKUP(S219:AG219,增益!$A:$A,增益!$W:$W,0))+$I$5</f>
        <v>0.06</v>
      </c>
    </row>
    <row r="220" spans="11:70">
      <c r="K220" s="24">
        <f>$L220*VLOOKUP($R220,武学奇术!$A:$ZZ,31,FALSE)</f>
        <v>8336.71191126469</v>
      </c>
      <c r="L220" s="24">
        <f t="shared" si="85"/>
        <v>13894.5198521078</v>
      </c>
      <c r="M220" s="24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11381.3281446321</v>
      </c>
      <c r="N220" s="24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20933.8766081461</v>
      </c>
      <c r="O220" s="24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7587.55209642143</v>
      </c>
      <c r="P220" s="24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3427.69868883272</v>
      </c>
      <c r="Q220" s="31">
        <v>1</v>
      </c>
      <c r="R220" s="32" t="s">
        <v>197</v>
      </c>
      <c r="S220" s="32" t="s">
        <v>87</v>
      </c>
      <c r="T220" s="32" t="s">
        <v>96</v>
      </c>
      <c r="U220" s="32" t="s">
        <v>97</v>
      </c>
      <c r="V220" s="32" t="s">
        <v>73</v>
      </c>
      <c r="W220" s="32" t="s">
        <v>111</v>
      </c>
      <c r="X220" s="32" t="s">
        <v>127</v>
      </c>
      <c r="Y220" s="32" t="s">
        <v>73</v>
      </c>
      <c r="Z220" s="32" t="s">
        <v>73</v>
      </c>
      <c r="AA220" s="32" t="s">
        <v>81</v>
      </c>
      <c r="AB220" s="32" t="s">
        <v>75</v>
      </c>
      <c r="AC220" s="32" t="s">
        <v>89</v>
      </c>
      <c r="AD220" s="32" t="s">
        <v>82</v>
      </c>
      <c r="AE220" s="32" t="s">
        <v>73</v>
      </c>
      <c r="AF220" s="32" t="s">
        <v>73</v>
      </c>
      <c r="AG220" s="32" t="s">
        <v>178</v>
      </c>
      <c r="AH220" t="str">
        <f>VLOOKUP($R220,武学奇术!$A:$ZZ,25,FALSE)</f>
        <v>剑</v>
      </c>
      <c r="AI220" s="21">
        <f>VLOOKUP($R220,武学奇术!$A:$ZZ,26,FALSE)</f>
        <v>0.2772</v>
      </c>
      <c r="AJ220" s="22">
        <f>VLOOKUP($R220,武学奇术!$A:$ZZ,27,FALSE)*(1+IF(OR($AH220=$F$4,$AH220=$F$5),$B$22,0))</f>
        <v>0</v>
      </c>
      <c r="AK220" s="21">
        <f>VLOOKUP($R220,武学奇术!$A:$ZZ,28,FALSE)</f>
        <v>0.4158</v>
      </c>
      <c r="AL220" s="22">
        <f>VLOOKUP($R220,武学奇术!$A:$ZZ,29,FALSE)*(1+IF(OR($AH220=$F$4,$AH220=$F$5),$B$22,0))</f>
        <v>0</v>
      </c>
      <c r="AM220" s="21" cm="1">
        <f t="array" ref="AM220">$G$3+IFERROR(VLOOKUP($AH220,$F$4:$G$7,2,FALSE),0)+VLOOKUP($R220,武学奇术!$A:$ZZ,2,FALSE)+SUM(_xlfn.XLOOKUP($S220:$AG220,增益!$A:$A,增益!$B:$B,0))</f>
        <v>1.3191</v>
      </c>
      <c r="AN220" s="21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1862.48</v>
      </c>
      <c r="AP220" cm="1">
        <f t="array" ref="AP220">$E$10*(1+$AN220)+VLOOKUP($R220,武学奇术!$A:$ZZ,4,FALSE)+SUM(_xlfn.XLOOKUP($S220:$AG220,增益!$A:$A,增益!$D:$D,0))-$I$2</f>
        <v>7794.56</v>
      </c>
      <c r="AQ220" s="26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0.369</v>
      </c>
      <c r="AR220" s="26" cm="1">
        <f t="array" ref="AR220">$G$10+VLOOKUP($R220,武学奇术!$A:$ZZ,7,FALSE)+SUM(_xlfn.XLOOKUP(S220:AG220,增益!$A:$A,增益!$G:$G,0))</f>
        <v>0</v>
      </c>
      <c r="AS220" s="21" cm="1">
        <f t="array" ref="AS220">VLOOKUP($R220,武学奇术!$A:$ZZ,8,FALSE)+SUM(_xlfn.XLOOKUP(S220:AG220,增益!$A:$A,增益!$H:$H,0))</f>
        <v>0</v>
      </c>
      <c r="AT220">
        <f t="shared" si="86"/>
        <v>680.02</v>
      </c>
      <c r="AU220">
        <f t="shared" si="87"/>
        <v>1288.54</v>
      </c>
      <c r="AV220" s="26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0.075</v>
      </c>
      <c r="AW220" s="26" cm="1">
        <f t="array" ref="AW220">$G$11+VLOOKUP($R220,武学奇术!$A:$ZZ,10,FALSE)+SUM(_xlfn.XLOOKUP(S220:AG220,增益!$A:$A,增益!$J:$J,0))</f>
        <v>0.15</v>
      </c>
      <c r="AX220">
        <f t="shared" si="88"/>
        <v>0</v>
      </c>
      <c r="AY220">
        <f t="shared" si="89"/>
        <v>0</v>
      </c>
      <c r="AZ220" s="26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26" cm="1">
        <f t="array" ref="BA220">$G$12+VLOOKUP($R220,武学奇术!$A:$ZZ,12,FALSE)+SUM(_xlfn.XLOOKUP(S220:AG220,增益!$A:$A,增益!$L:$L,0))</f>
        <v>0</v>
      </c>
      <c r="BB220">
        <f t="shared" si="90"/>
        <v>0</v>
      </c>
      <c r="BC220">
        <f t="shared" si="91"/>
        <v>0</v>
      </c>
      <c r="BD220" s="26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26" cm="1">
        <f t="array" ref="BE220">$G$13+VLOOKUP($R220,武学奇术!$A:$ZZ,14,FALSE)+SUM(_xlfn.XLOOKUP(S220:AG220,增益!$A:$A,增益!$N:$N,0))</f>
        <v>0</v>
      </c>
      <c r="BF220">
        <f t="shared" si="92"/>
        <v>0</v>
      </c>
      <c r="BG220">
        <f t="shared" si="93"/>
        <v>0</v>
      </c>
      <c r="BH220" s="26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26" cm="1">
        <f t="array" ref="BI220">$G$14+VLOOKUP($R220,武学奇术!$A:$ZZ,16,FALSE)+SUM(_xlfn.XLOOKUP(S220:AG220,增益!$A:$A,增益!$P:$P,0))</f>
        <v>0</v>
      </c>
      <c r="BJ220" s="21">
        <f>MIN(IF(VLOOKUP($R220,武学奇术!$A:$ZZ,23,FALSE)=1,100%,$B$8),100%)</f>
        <v>0.8229</v>
      </c>
      <c r="BK220" s="21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0.2285</v>
      </c>
      <c r="BL220" s="21" cm="1">
        <f t="array" ref="BL220">1+$B$13+VLOOKUP($R220,武学奇术!$A:$ZZ,18,FALSE)+SUM(_xlfn.XLOOKUP(S220:AG220,增益!$A:$A,增益!$R:$R,0))</f>
        <v>1.5</v>
      </c>
      <c r="BM220" s="21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0.4495</v>
      </c>
      <c r="BN220" s="21" cm="1">
        <f t="array" ref="BN220">1+$B$14+VLOOKUP($R220,武学奇术!$A:$ZZ,20,FALSE)+SUM(_xlfn.XLOOKUP(S220:AG220,增益!$A:$A,增益!$T:$T,0))</f>
        <v>1.782</v>
      </c>
      <c r="BO220" s="21">
        <f t="shared" ref="BO220" si="100">MIN((1-BM220)*BJ220,BJ220*BK220)</f>
        <v>0.18803265</v>
      </c>
      <c r="BP220" s="21">
        <f t="shared" ref="BP220" si="101">1-BM220-BO220-BQ220</f>
        <v>0.2649738</v>
      </c>
      <c r="BQ220" s="21">
        <f>IF(VLOOKUP($R220,武学奇术!$A:$ZZ,22,FALSE)=1,0,(1-$BJ220))*(1-$BM220)</f>
        <v>0.09749355</v>
      </c>
      <c r="BR220" s="21" cm="1">
        <f t="array" ref="BR220">SUM(_xlfn.XLOOKUP(S220:AG220,增益!$A:$A,增益!$W:$W,0))+$I$5</f>
        <v>0.06</v>
      </c>
    </row>
    <row r="221" spans="11:70">
      <c r="K221" s="24">
        <f>$L221*VLOOKUP($R221,武学奇术!$A:$ZZ,31,FALSE)</f>
        <v>8303.60378556506</v>
      </c>
      <c r="L221" s="24">
        <f t="shared" si="85"/>
        <v>13839.3396426084</v>
      </c>
      <c r="M221" s="24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11324.0684669097</v>
      </c>
      <c r="N221" s="24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20865.8521110118</v>
      </c>
      <c r="O221" s="24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7549.37897793982</v>
      </c>
      <c r="P221" s="24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3389.52557035111</v>
      </c>
      <c r="Q221" s="31">
        <v>1</v>
      </c>
      <c r="R221" s="32" t="s">
        <v>197</v>
      </c>
      <c r="S221" s="32" t="s">
        <v>87</v>
      </c>
      <c r="T221" s="32" t="s">
        <v>96</v>
      </c>
      <c r="U221" s="32" t="s">
        <v>97</v>
      </c>
      <c r="V221" s="32" t="s">
        <v>73</v>
      </c>
      <c r="W221" s="32" t="s">
        <v>73</v>
      </c>
      <c r="X221" s="32" t="s">
        <v>127</v>
      </c>
      <c r="Y221" s="32" t="s">
        <v>73</v>
      </c>
      <c r="Z221" s="32" t="s">
        <v>73</v>
      </c>
      <c r="AA221" s="32" t="s">
        <v>81</v>
      </c>
      <c r="AB221" s="32" t="s">
        <v>75</v>
      </c>
      <c r="AC221" s="32" t="s">
        <v>89</v>
      </c>
      <c r="AD221" s="32" t="s">
        <v>82</v>
      </c>
      <c r="AE221" s="32" t="s">
        <v>73</v>
      </c>
      <c r="AF221" s="32" t="s">
        <v>73</v>
      </c>
      <c r="AG221" s="32" t="s">
        <v>178</v>
      </c>
      <c r="AH221" t="str">
        <f>VLOOKUP($R221,武学奇术!$A:$ZZ,25,FALSE)</f>
        <v>剑</v>
      </c>
      <c r="AI221" s="21">
        <f>VLOOKUP($R221,武学奇术!$A:$ZZ,26,FALSE)</f>
        <v>0.2772</v>
      </c>
      <c r="AJ221" s="22">
        <f>VLOOKUP($R221,武学奇术!$A:$ZZ,27,FALSE)*(1+IF(OR($AH221=$F$4,$AH221=$F$5),$B$22,0))</f>
        <v>0</v>
      </c>
      <c r="AK221" s="21">
        <f>VLOOKUP($R221,武学奇术!$A:$ZZ,28,FALSE)</f>
        <v>0.4158</v>
      </c>
      <c r="AL221" s="22">
        <f>VLOOKUP($R221,武学奇术!$A:$ZZ,29,FALSE)*(1+IF(OR($AH221=$F$4,$AH221=$F$5),$B$22,0))</f>
        <v>0</v>
      </c>
      <c r="AM221" s="21" cm="1">
        <f t="array" ref="AM221">$G$3+IFERROR(VLOOKUP($AH221,$F$4:$G$7,2,FALSE),0)+VLOOKUP($R221,武学奇术!$A:$ZZ,2,FALSE)+SUM(_xlfn.XLOOKUP($S221:$AG221,增益!$A:$A,增益!$B:$B,0))</f>
        <v>1.3191</v>
      </c>
      <c r="AN221" s="21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1831.48</v>
      </c>
      <c r="AP221" cm="1">
        <f t="array" ref="AP221">$E$10*(1+$AN221)+VLOOKUP($R221,武学奇术!$A:$ZZ,4,FALSE)+SUM(_xlfn.XLOOKUP($S221:$AG221,增益!$A:$A,增益!$D:$D,0))-$I$2</f>
        <v>7763.56</v>
      </c>
      <c r="AQ221" s="26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0.369</v>
      </c>
      <c r="AR221" s="26" cm="1">
        <f t="array" ref="AR221">$G$10+VLOOKUP($R221,武学奇术!$A:$ZZ,7,FALSE)+SUM(_xlfn.XLOOKUP(S221:AG221,增益!$A:$A,增益!$G:$G,0))</f>
        <v>0</v>
      </c>
      <c r="AS221" s="21" cm="1">
        <f t="array" ref="AS221">VLOOKUP($R221,武学奇术!$A:$ZZ,8,FALSE)+SUM(_xlfn.XLOOKUP(S221:AG221,增益!$A:$A,增益!$H:$H,0))</f>
        <v>0</v>
      </c>
      <c r="AT221">
        <f t="shared" si="86"/>
        <v>680.02</v>
      </c>
      <c r="AU221">
        <f t="shared" si="87"/>
        <v>1288.54</v>
      </c>
      <c r="AV221" s="26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26" cm="1">
        <f t="array" ref="AW221">$G$11+VLOOKUP($R221,武学奇术!$A:$ZZ,10,FALSE)+SUM(_xlfn.XLOOKUP(S221:AG221,增益!$A:$A,增益!$J:$J,0))</f>
        <v>0.15</v>
      </c>
      <c r="AX221">
        <f t="shared" si="88"/>
        <v>0</v>
      </c>
      <c r="AY221">
        <f t="shared" si="89"/>
        <v>0</v>
      </c>
      <c r="AZ221" s="26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26" cm="1">
        <f t="array" ref="BA221">$G$12+VLOOKUP($R221,武学奇术!$A:$ZZ,12,FALSE)+SUM(_xlfn.XLOOKUP(S221:AG221,增益!$A:$A,增益!$L:$L,0))</f>
        <v>0</v>
      </c>
      <c r="BB221">
        <f t="shared" si="90"/>
        <v>0</v>
      </c>
      <c r="BC221">
        <f t="shared" si="91"/>
        <v>0</v>
      </c>
      <c r="BD221" s="26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26" cm="1">
        <f t="array" ref="BE221">$G$13+VLOOKUP($R221,武学奇术!$A:$ZZ,14,FALSE)+SUM(_xlfn.XLOOKUP(S221:AG221,增益!$A:$A,增益!$N:$N,0))</f>
        <v>0</v>
      </c>
      <c r="BF221">
        <f t="shared" si="92"/>
        <v>0</v>
      </c>
      <c r="BG221">
        <f t="shared" si="93"/>
        <v>0</v>
      </c>
      <c r="BH221" s="26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26" cm="1">
        <f t="array" ref="BI221">$G$14+VLOOKUP($R221,武学奇术!$A:$ZZ,16,FALSE)+SUM(_xlfn.XLOOKUP(S221:AG221,增益!$A:$A,增益!$P:$P,0))</f>
        <v>0</v>
      </c>
      <c r="BJ221" s="21">
        <f>MIN(IF(VLOOKUP($R221,武学奇术!$A:$ZZ,23,FALSE)=1,100%,$B$8),100%)</f>
        <v>0.8229</v>
      </c>
      <c r="BK221" s="21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0.2285</v>
      </c>
      <c r="BL221" s="21" cm="1">
        <f t="array" ref="BL221">1+$B$13+VLOOKUP($R221,武学奇术!$A:$ZZ,18,FALSE)+SUM(_xlfn.XLOOKUP(S221:AG221,增益!$A:$A,增益!$R:$R,0))</f>
        <v>1.5</v>
      </c>
      <c r="BM221" s="21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0.4495</v>
      </c>
      <c r="BN221" s="21" cm="1">
        <f t="array" ref="BN221">1+$B$14+VLOOKUP($R221,武学奇术!$A:$ZZ,20,FALSE)+SUM(_xlfn.XLOOKUP(S221:AG221,增益!$A:$A,增益!$T:$T,0))</f>
        <v>1.782</v>
      </c>
      <c r="BO221" s="21">
        <f t="shared" ref="BO221" si="102">MIN((1-BM221)*BJ221,BJ221*BK221)</f>
        <v>0.18803265</v>
      </c>
      <c r="BP221" s="21">
        <f t="shared" ref="BP221" si="103">1-BM221-BO221-BQ221</f>
        <v>0.2649738</v>
      </c>
      <c r="BQ221" s="21">
        <f>IF(VLOOKUP($R221,武学奇术!$A:$ZZ,22,FALSE)=1,0,(1-$BJ221))*(1-$BM221)</f>
        <v>0.09749355</v>
      </c>
      <c r="BR221" s="21" cm="1">
        <f t="array" ref="BR221">SUM(_xlfn.XLOOKUP(S221:AG221,增益!$A:$A,增益!$W:$W,0))+$I$5</f>
        <v>0.06</v>
      </c>
    </row>
    <row r="222" spans="11:70">
      <c r="K222" s="24">
        <f>$L222*VLOOKUP($R222,武学奇术!$A:$ZZ,31,FALSE)</f>
        <v>5189.75236597816</v>
      </c>
      <c r="L222" s="24">
        <f t="shared" si="85"/>
        <v>8649.58727663027</v>
      </c>
      <c r="M222" s="24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7077.54279181858</v>
      </c>
      <c r="N222" s="24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13041.1575693824</v>
      </c>
      <c r="O222" s="24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4718.36186121238</v>
      </c>
      <c r="P222" s="24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2118.45348146944</v>
      </c>
      <c r="Q222" s="31">
        <v>1</v>
      </c>
      <c r="R222" s="32" t="s">
        <v>198</v>
      </c>
      <c r="S222" s="32" t="s">
        <v>87</v>
      </c>
      <c r="T222" s="32" t="s">
        <v>96</v>
      </c>
      <c r="U222" s="32" t="s">
        <v>97</v>
      </c>
      <c r="V222" s="32" t="s">
        <v>73</v>
      </c>
      <c r="W222" s="32" t="s">
        <v>73</v>
      </c>
      <c r="X222" s="32" t="s">
        <v>127</v>
      </c>
      <c r="Y222" s="32" t="s">
        <v>73</v>
      </c>
      <c r="Z222" s="32" t="s">
        <v>73</v>
      </c>
      <c r="AA222" s="32" t="s">
        <v>81</v>
      </c>
      <c r="AB222" s="32" t="s">
        <v>75</v>
      </c>
      <c r="AC222" s="32" t="s">
        <v>89</v>
      </c>
      <c r="AD222" s="32" t="s">
        <v>82</v>
      </c>
      <c r="AE222" s="32" t="s">
        <v>73</v>
      </c>
      <c r="AF222" s="32" t="s">
        <v>73</v>
      </c>
      <c r="AG222" s="32" t="s">
        <v>178</v>
      </c>
      <c r="AH222" t="str">
        <f>VLOOKUP($R222,武学奇术!$A:$ZZ,25,FALSE)</f>
        <v>剑</v>
      </c>
      <c r="AI222" s="21">
        <f>VLOOKUP($R222,武学奇术!$A:$ZZ,26,FALSE)</f>
        <v>0.17325</v>
      </c>
      <c r="AJ222" s="22">
        <f>VLOOKUP($R222,武学奇术!$A:$ZZ,27,FALSE)*(1+IF(OR($AH222=$F$4,$AH222=$F$5),$B$22,0))</f>
        <v>0</v>
      </c>
      <c r="AK222" s="21">
        <f>VLOOKUP($R222,武学奇术!$A:$ZZ,28,FALSE)</f>
        <v>0.259875</v>
      </c>
      <c r="AL222" s="22">
        <f>VLOOKUP($R222,武学奇术!$A:$ZZ,29,FALSE)*(1+IF(OR($AH222=$F$4,$AH222=$F$5),$B$22,0))</f>
        <v>0</v>
      </c>
      <c r="AM222" s="21" cm="1">
        <f t="array" ref="AM222">$G$3+IFERROR(VLOOKUP($AH222,$F$4:$G$7,2,FALSE),0)+VLOOKUP($R222,武学奇术!$A:$ZZ,2,FALSE)+SUM(_xlfn.XLOOKUP($S222:$AG222,增益!$A:$A,增益!$B:$B,0))</f>
        <v>1.3191</v>
      </c>
      <c r="AN222" s="21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1831.48</v>
      </c>
      <c r="AP222" cm="1">
        <f t="array" ref="AP222">$E$10*(1+$AN222)+VLOOKUP($R222,武学奇术!$A:$ZZ,4,FALSE)+SUM(_xlfn.XLOOKUP($S222:$AG222,增益!$A:$A,增益!$D:$D,0))-$I$2</f>
        <v>7763.56</v>
      </c>
      <c r="AQ222" s="26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0.369</v>
      </c>
      <c r="AR222" s="26" cm="1">
        <f t="array" ref="AR222">$G$10+VLOOKUP($R222,武学奇术!$A:$ZZ,7,FALSE)+SUM(_xlfn.XLOOKUP(S222:AG222,增益!$A:$A,增益!$G:$G,0))</f>
        <v>0</v>
      </c>
      <c r="AS222" s="21" cm="1">
        <f t="array" ref="AS222">VLOOKUP($R222,武学奇术!$A:$ZZ,8,FALSE)+SUM(_xlfn.XLOOKUP(S222:AG222,增益!$A:$A,增益!$H:$H,0))</f>
        <v>0</v>
      </c>
      <c r="AT222">
        <f t="shared" si="86"/>
        <v>680.02</v>
      </c>
      <c r="AU222">
        <f t="shared" si="87"/>
        <v>1288.54</v>
      </c>
      <c r="AV222" s="26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26" cm="1">
        <f t="array" ref="AW222">$G$11+VLOOKUP($R222,武学奇术!$A:$ZZ,10,FALSE)+SUM(_xlfn.XLOOKUP(S222:AG222,增益!$A:$A,增益!$J:$J,0))</f>
        <v>0.15</v>
      </c>
      <c r="AX222">
        <f t="shared" si="88"/>
        <v>0</v>
      </c>
      <c r="AY222">
        <f t="shared" si="89"/>
        <v>0</v>
      </c>
      <c r="AZ222" s="26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26" cm="1">
        <f t="array" ref="BA222">$G$12+VLOOKUP($R222,武学奇术!$A:$ZZ,12,FALSE)+SUM(_xlfn.XLOOKUP(S222:AG222,增益!$A:$A,增益!$L:$L,0))</f>
        <v>0</v>
      </c>
      <c r="BB222">
        <f t="shared" si="90"/>
        <v>0</v>
      </c>
      <c r="BC222">
        <f t="shared" si="91"/>
        <v>0</v>
      </c>
      <c r="BD222" s="26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26" cm="1">
        <f t="array" ref="BE222">$G$13+VLOOKUP($R222,武学奇术!$A:$ZZ,14,FALSE)+SUM(_xlfn.XLOOKUP(S222:AG222,增益!$A:$A,增益!$N:$N,0))</f>
        <v>0</v>
      </c>
      <c r="BF222">
        <f t="shared" si="92"/>
        <v>0</v>
      </c>
      <c r="BG222">
        <f t="shared" si="93"/>
        <v>0</v>
      </c>
      <c r="BH222" s="26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26" cm="1">
        <f t="array" ref="BI222">$G$14+VLOOKUP($R222,武学奇术!$A:$ZZ,16,FALSE)+SUM(_xlfn.XLOOKUP(S222:AG222,增益!$A:$A,增益!$P:$P,0))</f>
        <v>0</v>
      </c>
      <c r="BJ222" s="21">
        <f>MIN(IF(VLOOKUP($R222,武学奇术!$A:$ZZ,23,FALSE)=1,100%,$B$8),100%)</f>
        <v>0.8229</v>
      </c>
      <c r="BK222" s="21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0.2285</v>
      </c>
      <c r="BL222" s="21" cm="1">
        <f t="array" ref="BL222">1+$B$13+VLOOKUP($R222,武学奇术!$A:$ZZ,18,FALSE)+SUM(_xlfn.XLOOKUP(S222:AG222,增益!$A:$A,增益!$R:$R,0))</f>
        <v>1.5</v>
      </c>
      <c r="BM222" s="21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0.4495</v>
      </c>
      <c r="BN222" s="21" cm="1">
        <f t="array" ref="BN222">1+$B$14+VLOOKUP($R222,武学奇术!$A:$ZZ,20,FALSE)+SUM(_xlfn.XLOOKUP(S222:AG222,增益!$A:$A,增益!$T:$T,0))</f>
        <v>1.782</v>
      </c>
      <c r="BO222" s="21">
        <f t="shared" ref="BO222" si="104">MIN((1-BM222)*BJ222,BJ222*BK222)</f>
        <v>0.18803265</v>
      </c>
      <c r="BP222" s="21">
        <f t="shared" ref="BP222" si="105">1-BM222-BO222-BQ222</f>
        <v>0.2649738</v>
      </c>
      <c r="BQ222" s="21">
        <f>IF(VLOOKUP($R222,武学奇术!$A:$ZZ,22,FALSE)=1,0,(1-$BJ222))*(1-$BM222)</f>
        <v>0.09749355</v>
      </c>
      <c r="BR222" s="21" cm="1">
        <f t="array" ref="BR222">SUM(_xlfn.XLOOKUP(S222:AG222,增益!$A:$A,增益!$W:$W,0))+$I$5</f>
        <v>0.06</v>
      </c>
    </row>
    <row r="223" spans="11:70">
      <c r="K223" s="24">
        <f>$L223*VLOOKUP($R223,武学奇术!$A:$ZZ,31,FALSE)</f>
        <v>10420.8898890809</v>
      </c>
      <c r="L223" s="24">
        <f t="shared" si="85"/>
        <v>17368.1498151348</v>
      </c>
      <c r="M223" s="24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14226.6601807902</v>
      </c>
      <c r="N223" s="24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26167.3457601826</v>
      </c>
      <c r="O223" s="24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9484.44012052679</v>
      </c>
      <c r="P223" s="24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4284.6233610409</v>
      </c>
      <c r="Q223" s="31">
        <v>1</v>
      </c>
      <c r="R223" s="32" t="s">
        <v>199</v>
      </c>
      <c r="S223" s="32" t="s">
        <v>87</v>
      </c>
      <c r="T223" s="32" t="s">
        <v>96</v>
      </c>
      <c r="U223" s="32" t="s">
        <v>97</v>
      </c>
      <c r="V223" s="32" t="s">
        <v>73</v>
      </c>
      <c r="W223" s="32" t="s">
        <v>111</v>
      </c>
      <c r="X223" s="32" t="s">
        <v>127</v>
      </c>
      <c r="Y223" s="32" t="s">
        <v>73</v>
      </c>
      <c r="Z223" s="32" t="s">
        <v>73</v>
      </c>
      <c r="AA223" s="32" t="s">
        <v>81</v>
      </c>
      <c r="AB223" s="32" t="s">
        <v>75</v>
      </c>
      <c r="AC223" s="32" t="s">
        <v>76</v>
      </c>
      <c r="AD223" s="32" t="s">
        <v>82</v>
      </c>
      <c r="AE223" s="32" t="s">
        <v>73</v>
      </c>
      <c r="AF223" s="32" t="s">
        <v>73</v>
      </c>
      <c r="AG223" s="32" t="s">
        <v>178</v>
      </c>
      <c r="AH223" t="str">
        <f>VLOOKUP($R223,武学奇术!$A:$ZZ,25,FALSE)</f>
        <v>剑</v>
      </c>
      <c r="AI223" s="21">
        <f>VLOOKUP($R223,武学奇术!$A:$ZZ,26,FALSE)</f>
        <v>0.3465</v>
      </c>
      <c r="AJ223" s="22">
        <f>VLOOKUP($R223,武学奇术!$A:$ZZ,27,FALSE)*(1+IF(OR($AH223=$F$4,$AH223=$F$5),$B$22,0))</f>
        <v>0</v>
      </c>
      <c r="AK223" s="21">
        <f>VLOOKUP($R223,武学奇术!$A:$ZZ,28,FALSE)</f>
        <v>0.51975</v>
      </c>
      <c r="AL223" s="22">
        <f>VLOOKUP($R223,武学奇术!$A:$ZZ,29,FALSE)*(1+IF(OR($AH223=$F$4,$AH223=$F$5),$B$22,0))</f>
        <v>0</v>
      </c>
      <c r="AM223" s="21" cm="1">
        <f t="array" ref="AM223">$G$3+IFERROR(VLOOKUP($AH223,$F$4:$G$7,2,FALSE),0)+VLOOKUP($R223,武学奇术!$A:$ZZ,2,FALSE)+SUM(_xlfn.XLOOKUP($S223:$AG223,增益!$A:$A,增益!$B:$B,0))</f>
        <v>1.3191</v>
      </c>
      <c r="AN223" s="21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1862.48</v>
      </c>
      <c r="AP223" cm="1">
        <f t="array" ref="AP223">$E$10*(1+$AN223)+VLOOKUP($R223,武学奇术!$A:$ZZ,4,FALSE)+SUM(_xlfn.XLOOKUP($S223:$AG223,增益!$A:$A,增益!$D:$D,0))-$I$2</f>
        <v>7794.56</v>
      </c>
      <c r="AQ223" s="26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0.369</v>
      </c>
      <c r="AR223" s="26" cm="1">
        <f t="array" ref="AR223">$G$10+VLOOKUP($R223,武学奇术!$A:$ZZ,7,FALSE)+SUM(_xlfn.XLOOKUP(S223:AG223,增益!$A:$A,增益!$G:$G,0))</f>
        <v>0</v>
      </c>
      <c r="AS223" s="21" cm="1">
        <f t="array" ref="AS223">VLOOKUP($R223,武学奇术!$A:$ZZ,8,FALSE)+SUM(_xlfn.XLOOKUP(S223:AG223,增益!$A:$A,增益!$H:$H,0))</f>
        <v>0</v>
      </c>
      <c r="AT223">
        <f t="shared" si="86"/>
        <v>680.02</v>
      </c>
      <c r="AU223">
        <f t="shared" si="87"/>
        <v>1288.54</v>
      </c>
      <c r="AV223" s="26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26" cm="1">
        <f t="array" ref="AW223">$G$11+VLOOKUP($R223,武学奇术!$A:$ZZ,10,FALSE)+SUM(_xlfn.XLOOKUP(S223:AG223,增益!$A:$A,增益!$J:$J,0))</f>
        <v>0.15</v>
      </c>
      <c r="AX223">
        <f t="shared" si="88"/>
        <v>0</v>
      </c>
      <c r="AY223">
        <f t="shared" si="89"/>
        <v>0</v>
      </c>
      <c r="AZ223" s="26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26" cm="1">
        <f t="array" ref="BA223">$G$12+VLOOKUP($R223,武学奇术!$A:$ZZ,12,FALSE)+SUM(_xlfn.XLOOKUP(S223:AG223,增益!$A:$A,增益!$L:$L,0))</f>
        <v>0</v>
      </c>
      <c r="BB223">
        <f t="shared" si="90"/>
        <v>0</v>
      </c>
      <c r="BC223">
        <f t="shared" si="91"/>
        <v>0</v>
      </c>
      <c r="BD223" s="26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26" cm="1">
        <f t="array" ref="BE223">$G$13+VLOOKUP($R223,武学奇术!$A:$ZZ,14,FALSE)+SUM(_xlfn.XLOOKUP(S223:AG223,增益!$A:$A,增益!$N:$N,0))</f>
        <v>0</v>
      </c>
      <c r="BF223">
        <f t="shared" si="92"/>
        <v>0</v>
      </c>
      <c r="BG223">
        <f t="shared" si="93"/>
        <v>0</v>
      </c>
      <c r="BH223" s="26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26" cm="1">
        <f t="array" ref="BI223">$G$14+VLOOKUP($R223,武学奇术!$A:$ZZ,16,FALSE)+SUM(_xlfn.XLOOKUP(S223:AG223,增益!$A:$A,增益!$P:$P,0))</f>
        <v>0</v>
      </c>
      <c r="BJ223" s="21">
        <f>MIN(IF(VLOOKUP($R223,武学奇术!$A:$ZZ,23,FALSE)=1,100%,$B$8),100%)</f>
        <v>0.8229</v>
      </c>
      <c r="BK223" s="21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0.2285</v>
      </c>
      <c r="BL223" s="21" cm="1">
        <f t="array" ref="BL223">1+$B$13+VLOOKUP($R223,武学奇术!$A:$ZZ,18,FALSE)+SUM(_xlfn.XLOOKUP(S223:AG223,增益!$A:$A,增益!$R:$R,0))</f>
        <v>1.5</v>
      </c>
      <c r="BM223" s="21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0.4495</v>
      </c>
      <c r="BN223" s="21" cm="1">
        <f t="array" ref="BN223">1+$B$14+VLOOKUP($R223,武学奇术!$A:$ZZ,20,FALSE)+SUM(_xlfn.XLOOKUP(S223:AG223,增益!$A:$A,增益!$T:$T,0))</f>
        <v>1.782</v>
      </c>
      <c r="BO223" s="21">
        <f t="shared" ref="BO223" si="106">MIN((1-BM223)*BJ223,BJ223*BK223)</f>
        <v>0.18803265</v>
      </c>
      <c r="BP223" s="21">
        <f t="shared" ref="BP223" si="107">1-BM223-BO223-BQ223</f>
        <v>0.2649738</v>
      </c>
      <c r="BQ223" s="21">
        <f>IF(VLOOKUP($R223,武学奇术!$A:$ZZ,22,FALSE)=1,0,(1-$BJ223))*(1-$BM223)</f>
        <v>0.09749355</v>
      </c>
      <c r="BR223" s="21" cm="1">
        <f t="array" ref="BR223">SUM(_xlfn.XLOOKUP(S223:AG223,增益!$A:$A,增益!$W:$W,0))+$I$5</f>
        <v>0.06</v>
      </c>
    </row>
    <row r="224" spans="11:70">
      <c r="K224" s="24">
        <f>$L224*VLOOKUP($R224,武学奇术!$A:$ZZ,31,FALSE)</f>
        <v>10420.8898890809</v>
      </c>
      <c r="L224" s="24">
        <f t="shared" si="85"/>
        <v>17368.1498151348</v>
      </c>
      <c r="M224" s="24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14226.6601807902</v>
      </c>
      <c r="N224" s="24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26167.3457601826</v>
      </c>
      <c r="O224" s="24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9484.44012052679</v>
      </c>
      <c r="P224" s="24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4284.6233610409</v>
      </c>
      <c r="Q224" s="31">
        <v>1</v>
      </c>
      <c r="R224" s="32" t="s">
        <v>199</v>
      </c>
      <c r="S224" s="32" t="s">
        <v>87</v>
      </c>
      <c r="T224" s="32" t="s">
        <v>96</v>
      </c>
      <c r="U224" s="32" t="s">
        <v>97</v>
      </c>
      <c r="V224" s="32" t="s">
        <v>73</v>
      </c>
      <c r="W224" s="32" t="s">
        <v>111</v>
      </c>
      <c r="X224" s="32" t="s">
        <v>127</v>
      </c>
      <c r="Y224" s="32" t="s">
        <v>73</v>
      </c>
      <c r="Z224" s="32" t="s">
        <v>73</v>
      </c>
      <c r="AA224" s="32" t="s">
        <v>81</v>
      </c>
      <c r="AB224" s="32" t="s">
        <v>75</v>
      </c>
      <c r="AC224" s="32" t="s">
        <v>76</v>
      </c>
      <c r="AD224" s="32" t="s">
        <v>82</v>
      </c>
      <c r="AE224" s="32" t="s">
        <v>73</v>
      </c>
      <c r="AF224" s="32" t="s">
        <v>73</v>
      </c>
      <c r="AG224" s="32" t="s">
        <v>178</v>
      </c>
      <c r="AH224" t="str">
        <f>VLOOKUP($R224,武学奇术!$A:$ZZ,25,FALSE)</f>
        <v>剑</v>
      </c>
      <c r="AI224" s="21">
        <f>VLOOKUP($R224,武学奇术!$A:$ZZ,26,FALSE)</f>
        <v>0.3465</v>
      </c>
      <c r="AJ224" s="22">
        <f>VLOOKUP($R224,武学奇术!$A:$ZZ,27,FALSE)*(1+IF(OR($AH224=$F$4,$AH224=$F$5),$B$22,0))</f>
        <v>0</v>
      </c>
      <c r="AK224" s="21">
        <f>VLOOKUP($R224,武学奇术!$A:$ZZ,28,FALSE)</f>
        <v>0.51975</v>
      </c>
      <c r="AL224" s="22">
        <f>VLOOKUP($R224,武学奇术!$A:$ZZ,29,FALSE)*(1+IF(OR($AH224=$F$4,$AH224=$F$5),$B$22,0))</f>
        <v>0</v>
      </c>
      <c r="AM224" s="21" cm="1">
        <f t="array" ref="AM224">$G$3+IFERROR(VLOOKUP($AH224,$F$4:$G$7,2,FALSE),0)+VLOOKUP($R224,武学奇术!$A:$ZZ,2,FALSE)+SUM(_xlfn.XLOOKUP($S224:$AG224,增益!$A:$A,增益!$B:$B,0))</f>
        <v>1.3191</v>
      </c>
      <c r="AN224" s="21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1862.48</v>
      </c>
      <c r="AP224" cm="1">
        <f t="array" ref="AP224">$E$10*(1+$AN224)+VLOOKUP($R224,武学奇术!$A:$ZZ,4,FALSE)+SUM(_xlfn.XLOOKUP($S224:$AG224,增益!$A:$A,增益!$D:$D,0))-$I$2</f>
        <v>7794.56</v>
      </c>
      <c r="AQ224" s="26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0.369</v>
      </c>
      <c r="AR224" s="26" cm="1">
        <f t="array" ref="AR224">$G$10+VLOOKUP($R224,武学奇术!$A:$ZZ,7,FALSE)+SUM(_xlfn.XLOOKUP(S224:AG224,增益!$A:$A,增益!$G:$G,0))</f>
        <v>0</v>
      </c>
      <c r="AS224" s="21" cm="1">
        <f t="array" ref="AS224">VLOOKUP($R224,武学奇术!$A:$ZZ,8,FALSE)+SUM(_xlfn.XLOOKUP(S224:AG224,增益!$A:$A,增益!$H:$H,0))</f>
        <v>0</v>
      </c>
      <c r="AT224">
        <f t="shared" si="86"/>
        <v>680.02</v>
      </c>
      <c r="AU224">
        <f t="shared" si="87"/>
        <v>1288.54</v>
      </c>
      <c r="AV224" s="26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26" cm="1">
        <f t="array" ref="AW224">$G$11+VLOOKUP($R224,武学奇术!$A:$ZZ,10,FALSE)+SUM(_xlfn.XLOOKUP(S224:AG224,增益!$A:$A,增益!$J:$J,0))</f>
        <v>0.15</v>
      </c>
      <c r="AX224">
        <f t="shared" si="88"/>
        <v>0</v>
      </c>
      <c r="AY224">
        <f t="shared" si="89"/>
        <v>0</v>
      </c>
      <c r="AZ224" s="26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26" cm="1">
        <f t="array" ref="BA224">$G$12+VLOOKUP($R224,武学奇术!$A:$ZZ,12,FALSE)+SUM(_xlfn.XLOOKUP(S224:AG224,增益!$A:$A,增益!$L:$L,0))</f>
        <v>0</v>
      </c>
      <c r="BB224">
        <f t="shared" si="90"/>
        <v>0</v>
      </c>
      <c r="BC224">
        <f t="shared" si="91"/>
        <v>0</v>
      </c>
      <c r="BD224" s="26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26" cm="1">
        <f t="array" ref="BE224">$G$13+VLOOKUP($R224,武学奇术!$A:$ZZ,14,FALSE)+SUM(_xlfn.XLOOKUP(S224:AG224,增益!$A:$A,增益!$N:$N,0))</f>
        <v>0</v>
      </c>
      <c r="BF224">
        <f t="shared" si="92"/>
        <v>0</v>
      </c>
      <c r="BG224">
        <f t="shared" si="93"/>
        <v>0</v>
      </c>
      <c r="BH224" s="26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26" cm="1">
        <f t="array" ref="BI224">$G$14+VLOOKUP($R224,武学奇术!$A:$ZZ,16,FALSE)+SUM(_xlfn.XLOOKUP(S224:AG224,增益!$A:$A,增益!$P:$P,0))</f>
        <v>0</v>
      </c>
      <c r="BJ224" s="21">
        <f>MIN(IF(VLOOKUP($R224,武学奇术!$A:$ZZ,23,FALSE)=1,100%,$B$8),100%)</f>
        <v>0.8229</v>
      </c>
      <c r="BK224" s="21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0.2285</v>
      </c>
      <c r="BL224" s="21" cm="1">
        <f t="array" ref="BL224">1+$B$13+VLOOKUP($R224,武学奇术!$A:$ZZ,18,FALSE)+SUM(_xlfn.XLOOKUP(S224:AG224,增益!$A:$A,增益!$R:$R,0))</f>
        <v>1.5</v>
      </c>
      <c r="BM224" s="21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0.4495</v>
      </c>
      <c r="BN224" s="21" cm="1">
        <f t="array" ref="BN224">1+$B$14+VLOOKUP($R224,武学奇术!$A:$ZZ,20,FALSE)+SUM(_xlfn.XLOOKUP(S224:AG224,增益!$A:$A,增益!$T:$T,0))</f>
        <v>1.782</v>
      </c>
      <c r="BO224" s="21">
        <f t="shared" ref="BO224" si="108">MIN((1-BM224)*BJ224,BJ224*BK224)</f>
        <v>0.18803265</v>
      </c>
      <c r="BP224" s="21">
        <f t="shared" ref="BP224" si="109">1-BM224-BO224-BQ224</f>
        <v>0.2649738</v>
      </c>
      <c r="BQ224" s="21">
        <f>IF(VLOOKUP($R224,武学奇术!$A:$ZZ,22,FALSE)=1,0,(1-$BJ224))*(1-$BM224)</f>
        <v>0.09749355</v>
      </c>
      <c r="BR224" s="21" cm="1">
        <f t="array" ref="BR224">SUM(_xlfn.XLOOKUP(S224:AG224,增益!$A:$A,增益!$W:$W,0))+$I$5</f>
        <v>0.06</v>
      </c>
    </row>
    <row r="225" spans="11:70">
      <c r="K225" s="24">
        <f>$L225*VLOOKUP($R225,武学奇术!$A:$ZZ,31,FALSE)</f>
        <v>11499.3313419632</v>
      </c>
      <c r="L225" s="24">
        <f t="shared" si="85"/>
        <v>19165.5522366053</v>
      </c>
      <c r="M225" s="24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15698.9547965418</v>
      </c>
      <c r="N225" s="24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28875.3630869231</v>
      </c>
      <c r="O225" s="24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10465.9698643612</v>
      </c>
      <c r="P225" s="24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4728.03227253666</v>
      </c>
      <c r="Q225" s="31">
        <v>1</v>
      </c>
      <c r="R225" s="32" t="s">
        <v>199</v>
      </c>
      <c r="S225" s="32" t="s">
        <v>87</v>
      </c>
      <c r="T225" s="32" t="s">
        <v>96</v>
      </c>
      <c r="U225" s="32" t="s">
        <v>97</v>
      </c>
      <c r="V225" s="32" t="s">
        <v>73</v>
      </c>
      <c r="W225" s="32" t="s">
        <v>111</v>
      </c>
      <c r="X225" s="32" t="s">
        <v>127</v>
      </c>
      <c r="Y225" s="32" t="s">
        <v>73</v>
      </c>
      <c r="Z225" s="32" t="s">
        <v>73</v>
      </c>
      <c r="AA225" s="32" t="s">
        <v>81</v>
      </c>
      <c r="AB225" s="32" t="s">
        <v>75</v>
      </c>
      <c r="AC225" s="32" t="s">
        <v>76</v>
      </c>
      <c r="AD225" s="32" t="s">
        <v>82</v>
      </c>
      <c r="AE225" s="32" t="s">
        <v>90</v>
      </c>
      <c r="AF225" s="32" t="s">
        <v>73</v>
      </c>
      <c r="AG225" s="32" t="s">
        <v>178</v>
      </c>
      <c r="AH225" t="str">
        <f>VLOOKUP($R225,武学奇术!$A:$ZZ,25,FALSE)</f>
        <v>剑</v>
      </c>
      <c r="AI225" s="21">
        <f>VLOOKUP($R225,武学奇术!$A:$ZZ,26,FALSE)</f>
        <v>0.3465</v>
      </c>
      <c r="AJ225" s="22">
        <f>VLOOKUP($R225,武学奇术!$A:$ZZ,27,FALSE)*(1+IF(OR($AH225=$F$4,$AH225=$F$5),$B$22,0))</f>
        <v>0</v>
      </c>
      <c r="AK225" s="21">
        <f>VLOOKUP($R225,武学奇术!$A:$ZZ,28,FALSE)</f>
        <v>0.51975</v>
      </c>
      <c r="AL225" s="22">
        <f>VLOOKUP($R225,武学奇术!$A:$ZZ,29,FALSE)*(1+IF(OR($AH225=$F$4,$AH225=$F$5),$B$22,0))</f>
        <v>0</v>
      </c>
      <c r="AM225" s="21" cm="1">
        <f t="array" ref="AM225">$G$3+IFERROR(VLOOKUP($AH225,$F$4:$G$7,2,FALSE),0)+VLOOKUP($R225,武学奇术!$A:$ZZ,2,FALSE)+SUM(_xlfn.XLOOKUP($S225:$AG225,增益!$A:$A,增益!$B:$B,0))</f>
        <v>1.5591</v>
      </c>
      <c r="AN225" s="21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1862.48</v>
      </c>
      <c r="AP225" cm="1">
        <f t="array" ref="AP225">$E$10*(1+$AN225)+VLOOKUP($R225,武学奇术!$A:$ZZ,4,FALSE)+SUM(_xlfn.XLOOKUP($S225:$AG225,增益!$A:$A,增益!$D:$D,0))-$I$2</f>
        <v>7794.56</v>
      </c>
      <c r="AQ225" s="26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0.369</v>
      </c>
      <c r="AR225" s="26" cm="1">
        <f t="array" ref="AR225">$G$10+VLOOKUP($R225,武学奇术!$A:$ZZ,7,FALSE)+SUM(_xlfn.XLOOKUP(S225:AG225,增益!$A:$A,增益!$G:$G,0))</f>
        <v>0</v>
      </c>
      <c r="AS225" s="21" cm="1">
        <f t="array" ref="AS225">VLOOKUP($R225,武学奇术!$A:$ZZ,8,FALSE)+SUM(_xlfn.XLOOKUP(S225:AG225,增益!$A:$A,增益!$H:$H,0))</f>
        <v>0</v>
      </c>
      <c r="AT225">
        <f t="shared" si="86"/>
        <v>680.02</v>
      </c>
      <c r="AU225">
        <f t="shared" si="87"/>
        <v>1288.54</v>
      </c>
      <c r="AV225" s="26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26" cm="1">
        <f t="array" ref="AW225">$G$11+VLOOKUP($R225,武学奇术!$A:$ZZ,10,FALSE)+SUM(_xlfn.XLOOKUP(S225:AG225,增益!$A:$A,增益!$J:$J,0))</f>
        <v>0.15</v>
      </c>
      <c r="AX225">
        <f t="shared" si="88"/>
        <v>0</v>
      </c>
      <c r="AY225">
        <f t="shared" si="89"/>
        <v>0</v>
      </c>
      <c r="AZ225" s="26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26" cm="1">
        <f t="array" ref="BA225">$G$12+VLOOKUP($R225,武学奇术!$A:$ZZ,12,FALSE)+SUM(_xlfn.XLOOKUP(S225:AG225,增益!$A:$A,增益!$L:$L,0))</f>
        <v>0</v>
      </c>
      <c r="BB225">
        <f t="shared" si="90"/>
        <v>0</v>
      </c>
      <c r="BC225">
        <f t="shared" si="91"/>
        <v>0</v>
      </c>
      <c r="BD225" s="26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26" cm="1">
        <f t="array" ref="BE225">$G$13+VLOOKUP($R225,武学奇术!$A:$ZZ,14,FALSE)+SUM(_xlfn.XLOOKUP(S225:AG225,增益!$A:$A,增益!$N:$N,0))</f>
        <v>0</v>
      </c>
      <c r="BF225">
        <f t="shared" si="92"/>
        <v>0</v>
      </c>
      <c r="BG225">
        <f t="shared" si="93"/>
        <v>0</v>
      </c>
      <c r="BH225" s="26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26" cm="1">
        <f t="array" ref="BI225">$G$14+VLOOKUP($R225,武学奇术!$A:$ZZ,16,FALSE)+SUM(_xlfn.XLOOKUP(S225:AG225,增益!$A:$A,增益!$P:$P,0))</f>
        <v>0</v>
      </c>
      <c r="BJ225" s="21">
        <f>MIN(IF(VLOOKUP($R225,武学奇术!$A:$ZZ,23,FALSE)=1,100%,$B$8),100%)</f>
        <v>0.8229</v>
      </c>
      <c r="BK225" s="21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0.2285</v>
      </c>
      <c r="BL225" s="21" cm="1">
        <f t="array" ref="BL225">1+$B$13+VLOOKUP($R225,武学奇术!$A:$ZZ,18,FALSE)+SUM(_xlfn.XLOOKUP(S225:AG225,增益!$A:$A,增益!$R:$R,0))</f>
        <v>1.5</v>
      </c>
      <c r="BM225" s="21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0.4495</v>
      </c>
      <c r="BN225" s="21" cm="1">
        <f t="array" ref="BN225">1+$B$14+VLOOKUP($R225,武学奇术!$A:$ZZ,20,FALSE)+SUM(_xlfn.XLOOKUP(S225:AG225,增益!$A:$A,增益!$T:$T,0))</f>
        <v>1.782</v>
      </c>
      <c r="BO225" s="21">
        <f t="shared" ref="BO225" si="110">MIN((1-BM225)*BJ225,BJ225*BK225)</f>
        <v>0.18803265</v>
      </c>
      <c r="BP225" s="21">
        <f t="shared" ref="BP225" si="111">1-BM225-BO225-BQ225</f>
        <v>0.2649738</v>
      </c>
      <c r="BQ225" s="21">
        <f>IF(VLOOKUP($R225,武学奇术!$A:$ZZ,22,FALSE)=1,0,(1-$BJ225))*(1-$BM225)</f>
        <v>0.09749355</v>
      </c>
      <c r="BR225" s="21" cm="1">
        <f t="array" ref="BR225">SUM(_xlfn.XLOOKUP(S225:AG225,增益!$A:$A,增益!$W:$W,0))+$I$5</f>
        <v>0.06</v>
      </c>
    </row>
    <row r="226" spans="11:70">
      <c r="K226" s="24">
        <f>$L226*VLOOKUP($R226,武学奇术!$A:$ZZ,31,FALSE)</f>
        <v>10264.0360058796</v>
      </c>
      <c r="L226" s="24">
        <f t="shared" si="85"/>
        <v>17106.7266764661</v>
      </c>
      <c r="M226" s="24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14012.5223367007</v>
      </c>
      <c r="N226" s="24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25773.4782652526</v>
      </c>
      <c r="O226" s="24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9341.6815578005</v>
      </c>
      <c r="P226" s="24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4220.13176585208</v>
      </c>
      <c r="Q226" s="31">
        <v>1</v>
      </c>
      <c r="R226" s="32" t="s">
        <v>197</v>
      </c>
      <c r="S226" s="32" t="s">
        <v>87</v>
      </c>
      <c r="T226" s="32" t="s">
        <v>96</v>
      </c>
      <c r="U226" s="32" t="s">
        <v>97</v>
      </c>
      <c r="V226" s="32" t="s">
        <v>73</v>
      </c>
      <c r="W226" s="32" t="s">
        <v>111</v>
      </c>
      <c r="X226" s="32" t="s">
        <v>127</v>
      </c>
      <c r="Y226" s="32" t="s">
        <v>179</v>
      </c>
      <c r="Z226" s="32" t="s">
        <v>182</v>
      </c>
      <c r="AA226" s="32" t="s">
        <v>81</v>
      </c>
      <c r="AB226" s="32" t="s">
        <v>75</v>
      </c>
      <c r="AC226" s="32" t="s">
        <v>76</v>
      </c>
      <c r="AD226" s="32" t="s">
        <v>82</v>
      </c>
      <c r="AE226" s="32" t="s">
        <v>183</v>
      </c>
      <c r="AF226" s="32" t="s">
        <v>73</v>
      </c>
      <c r="AG226" s="32" t="s">
        <v>178</v>
      </c>
      <c r="AH226" t="str">
        <f>VLOOKUP($R226,武学奇术!$A:$ZZ,25,FALSE)</f>
        <v>剑</v>
      </c>
      <c r="AI226" s="21">
        <f>VLOOKUP($R226,武学奇术!$A:$ZZ,26,FALSE)</f>
        <v>0.2772</v>
      </c>
      <c r="AJ226" s="22">
        <f>VLOOKUP($R226,武学奇术!$A:$ZZ,27,FALSE)*(1+IF(OR($AH226=$F$4,$AH226=$F$5),$B$22,0))</f>
        <v>0</v>
      </c>
      <c r="AK226" s="21">
        <f>VLOOKUP($R226,武学奇术!$A:$ZZ,28,FALSE)</f>
        <v>0.4158</v>
      </c>
      <c r="AL226" s="22">
        <f>VLOOKUP($R226,武学奇术!$A:$ZZ,29,FALSE)*(1+IF(OR($AH226=$F$4,$AH226=$F$5),$B$22,0))</f>
        <v>0</v>
      </c>
      <c r="AM226" s="21" cm="1">
        <f t="array" ref="AM226">$G$3+IFERROR(VLOOKUP($AH226,$F$4:$G$7,2,FALSE),0)+VLOOKUP($R226,武学奇术!$A:$ZZ,2,FALSE)+SUM(_xlfn.XLOOKUP($S226:$AG226,增益!$A:$A,增益!$B:$B,0))</f>
        <v>1.6091</v>
      </c>
      <c r="AN226" s="21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1862.48</v>
      </c>
      <c r="AP226" cm="1">
        <f t="array" ref="AP226">$E$10*(1+$AN226)+VLOOKUP($R226,武学奇术!$A:$ZZ,4,FALSE)+SUM(_xlfn.XLOOKUP($S226:$AG226,增益!$A:$A,增益!$D:$D,0))-$I$2</f>
        <v>7794.56</v>
      </c>
      <c r="AQ226" s="26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0.369</v>
      </c>
      <c r="AR226" s="26" cm="1">
        <f t="array" ref="AR226">$G$10+VLOOKUP($R226,武学奇术!$A:$ZZ,7,FALSE)+SUM(_xlfn.XLOOKUP(S226:AG226,增益!$A:$A,增益!$G:$G,0))</f>
        <v>0</v>
      </c>
      <c r="AS226" s="21" cm="1">
        <f t="array" ref="AS226">VLOOKUP($R226,武学奇术!$A:$ZZ,8,FALSE)+SUM(_xlfn.XLOOKUP(S226:AG226,增益!$A:$A,增益!$H:$H,0))</f>
        <v>0</v>
      </c>
      <c r="AT226">
        <f t="shared" si="86"/>
        <v>680.02</v>
      </c>
      <c r="AU226">
        <f t="shared" si="87"/>
        <v>1288.54</v>
      </c>
      <c r="AV226" s="26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0.075</v>
      </c>
      <c r="AW226" s="26" cm="1">
        <f t="array" ref="AW226">$G$11+VLOOKUP($R226,武学奇术!$A:$ZZ,10,FALSE)+SUM(_xlfn.XLOOKUP(S226:AG226,增益!$A:$A,增益!$J:$J,0))</f>
        <v>0.15</v>
      </c>
      <c r="AX226">
        <f t="shared" si="88"/>
        <v>0</v>
      </c>
      <c r="AY226">
        <f t="shared" si="89"/>
        <v>0</v>
      </c>
      <c r="AZ226" s="26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26" cm="1">
        <f t="array" ref="BA226">$G$12+VLOOKUP($R226,武学奇术!$A:$ZZ,12,FALSE)+SUM(_xlfn.XLOOKUP(S226:AG226,增益!$A:$A,增益!$L:$L,0))</f>
        <v>0</v>
      </c>
      <c r="BB226">
        <f t="shared" si="90"/>
        <v>0</v>
      </c>
      <c r="BC226">
        <f t="shared" si="91"/>
        <v>0</v>
      </c>
      <c r="BD226" s="26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26" cm="1">
        <f t="array" ref="BE226">$G$13+VLOOKUP($R226,武学奇术!$A:$ZZ,14,FALSE)+SUM(_xlfn.XLOOKUP(S226:AG226,增益!$A:$A,增益!$N:$N,0))</f>
        <v>0</v>
      </c>
      <c r="BF226">
        <f t="shared" si="92"/>
        <v>0</v>
      </c>
      <c r="BG226">
        <f t="shared" si="93"/>
        <v>0</v>
      </c>
      <c r="BH226" s="26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26" cm="1">
        <f t="array" ref="BI226">$G$14+VLOOKUP($R226,武学奇术!$A:$ZZ,16,FALSE)+SUM(_xlfn.XLOOKUP(S226:AG226,增益!$A:$A,增益!$P:$P,0))</f>
        <v>0</v>
      </c>
      <c r="BJ226" s="21">
        <f>MIN(IF(VLOOKUP($R226,武学奇术!$A:$ZZ,23,FALSE)=1,100%,$B$8),100%)</f>
        <v>0.8229</v>
      </c>
      <c r="BK226" s="21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0.2285</v>
      </c>
      <c r="BL226" s="21" cm="1">
        <f t="array" ref="BL226">1+$B$13+VLOOKUP($R226,武学奇术!$A:$ZZ,18,FALSE)+SUM(_xlfn.XLOOKUP(S226:AG226,增益!$A:$A,增益!$R:$R,0))</f>
        <v>1.5</v>
      </c>
      <c r="BM226" s="21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0.4495</v>
      </c>
      <c r="BN226" s="21" cm="1">
        <f t="array" ref="BN226">1+$B$14+VLOOKUP($R226,武学奇术!$A:$ZZ,20,FALSE)+SUM(_xlfn.XLOOKUP(S226:AG226,增益!$A:$A,增益!$T:$T,0))</f>
        <v>1.782</v>
      </c>
      <c r="BO226" s="21">
        <f t="shared" ref="BO226" si="112">MIN((1-BM226)*BJ226,BJ226*BK226)</f>
        <v>0.18803265</v>
      </c>
      <c r="BP226" s="21">
        <f t="shared" ref="BP226" si="113">1-BM226-BO226-BQ226</f>
        <v>0.2649738</v>
      </c>
      <c r="BQ226" s="21">
        <f>IF(VLOOKUP($R226,武学奇术!$A:$ZZ,22,FALSE)=1,0,(1-$BJ226))*(1-$BM226)</f>
        <v>0.09749355</v>
      </c>
      <c r="BR226" s="21" cm="1">
        <f t="array" ref="BR226">SUM(_xlfn.XLOOKUP(S226:AG226,增益!$A:$A,增益!$W:$W,0))+$I$5</f>
        <v>0.16</v>
      </c>
    </row>
    <row r="227" spans="11:70">
      <c r="K227" s="24">
        <f>$L227*VLOOKUP($R227,武学奇术!$A:$ZZ,31,FALSE)</f>
        <v>6415.02250367478</v>
      </c>
      <c r="L227" s="24">
        <f t="shared" si="85"/>
        <v>10691.7041727913</v>
      </c>
      <c r="M227" s="24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8757.82646043797</v>
      </c>
      <c r="N227" s="24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16108.4239157829</v>
      </c>
      <c r="O227" s="24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5838.55097362531</v>
      </c>
      <c r="P227" s="24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2637.58235365755</v>
      </c>
      <c r="Q227" s="31">
        <v>1</v>
      </c>
      <c r="R227" s="32" t="s">
        <v>198</v>
      </c>
      <c r="S227" s="32" t="s">
        <v>87</v>
      </c>
      <c r="T227" s="32" t="s">
        <v>96</v>
      </c>
      <c r="U227" s="32" t="s">
        <v>97</v>
      </c>
      <c r="V227" s="32" t="s">
        <v>73</v>
      </c>
      <c r="W227" s="32" t="s">
        <v>111</v>
      </c>
      <c r="X227" s="32" t="s">
        <v>127</v>
      </c>
      <c r="Y227" s="32" t="s">
        <v>179</v>
      </c>
      <c r="Z227" s="32" t="s">
        <v>182</v>
      </c>
      <c r="AA227" s="32" t="s">
        <v>81</v>
      </c>
      <c r="AB227" s="32" t="s">
        <v>75</v>
      </c>
      <c r="AC227" s="32" t="s">
        <v>76</v>
      </c>
      <c r="AD227" s="32" t="s">
        <v>82</v>
      </c>
      <c r="AE227" s="32" t="s">
        <v>183</v>
      </c>
      <c r="AF227" s="32" t="s">
        <v>73</v>
      </c>
      <c r="AG227" s="32" t="s">
        <v>178</v>
      </c>
      <c r="AH227" t="str">
        <f>VLOOKUP($R227,武学奇术!$A:$ZZ,25,FALSE)</f>
        <v>剑</v>
      </c>
      <c r="AI227" s="21">
        <f>VLOOKUP($R227,武学奇术!$A:$ZZ,26,FALSE)</f>
        <v>0.17325</v>
      </c>
      <c r="AJ227" s="22">
        <f>VLOOKUP($R227,武学奇术!$A:$ZZ,27,FALSE)*(1+IF(OR($AH227=$F$4,$AH227=$F$5),$B$22,0))</f>
        <v>0</v>
      </c>
      <c r="AK227" s="21">
        <f>VLOOKUP($R227,武学奇术!$A:$ZZ,28,FALSE)</f>
        <v>0.259875</v>
      </c>
      <c r="AL227" s="22">
        <f>VLOOKUP($R227,武学奇术!$A:$ZZ,29,FALSE)*(1+IF(OR($AH227=$F$4,$AH227=$F$5),$B$22,0))</f>
        <v>0</v>
      </c>
      <c r="AM227" s="21" cm="1">
        <f t="array" ref="AM227">$G$3+IFERROR(VLOOKUP($AH227,$F$4:$G$7,2,FALSE),0)+VLOOKUP($R227,武学奇术!$A:$ZZ,2,FALSE)+SUM(_xlfn.XLOOKUP($S227:$AG227,增益!$A:$A,增益!$B:$B,0))</f>
        <v>1.6091</v>
      </c>
      <c r="AN227" s="21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1862.48</v>
      </c>
      <c r="AP227" cm="1">
        <f t="array" ref="AP227">$E$10*(1+$AN227)+VLOOKUP($R227,武学奇术!$A:$ZZ,4,FALSE)+SUM(_xlfn.XLOOKUP($S227:$AG227,增益!$A:$A,增益!$D:$D,0))-$I$2</f>
        <v>7794.56</v>
      </c>
      <c r="AQ227" s="26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0.369</v>
      </c>
      <c r="AR227" s="26" cm="1">
        <f t="array" ref="AR227">$G$10+VLOOKUP($R227,武学奇术!$A:$ZZ,7,FALSE)+SUM(_xlfn.XLOOKUP(S227:AG227,增益!$A:$A,增益!$G:$G,0))</f>
        <v>0</v>
      </c>
      <c r="AS227" s="21" cm="1">
        <f t="array" ref="AS227">VLOOKUP($R227,武学奇术!$A:$ZZ,8,FALSE)+SUM(_xlfn.XLOOKUP(S227:AG227,增益!$A:$A,增益!$H:$H,0))</f>
        <v>0</v>
      </c>
      <c r="AT227">
        <f t="shared" si="86"/>
        <v>680.02</v>
      </c>
      <c r="AU227">
        <f t="shared" si="87"/>
        <v>1288.54</v>
      </c>
      <c r="AV227" s="26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0.075</v>
      </c>
      <c r="AW227" s="26" cm="1">
        <f t="array" ref="AW227">$G$11+VLOOKUP($R227,武学奇术!$A:$ZZ,10,FALSE)+SUM(_xlfn.XLOOKUP(S227:AG227,增益!$A:$A,增益!$J:$J,0))</f>
        <v>0.15</v>
      </c>
      <c r="AX227">
        <f t="shared" si="88"/>
        <v>0</v>
      </c>
      <c r="AY227">
        <f t="shared" si="89"/>
        <v>0</v>
      </c>
      <c r="AZ227" s="26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26" cm="1">
        <f t="array" ref="BA227">$G$12+VLOOKUP($R227,武学奇术!$A:$ZZ,12,FALSE)+SUM(_xlfn.XLOOKUP(S227:AG227,增益!$A:$A,增益!$L:$L,0))</f>
        <v>0</v>
      </c>
      <c r="BB227">
        <f t="shared" si="90"/>
        <v>0</v>
      </c>
      <c r="BC227">
        <f t="shared" si="91"/>
        <v>0</v>
      </c>
      <c r="BD227" s="26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26" cm="1">
        <f t="array" ref="BE227">$G$13+VLOOKUP($R227,武学奇术!$A:$ZZ,14,FALSE)+SUM(_xlfn.XLOOKUP(S227:AG227,增益!$A:$A,增益!$N:$N,0))</f>
        <v>0</v>
      </c>
      <c r="BF227">
        <f t="shared" si="92"/>
        <v>0</v>
      </c>
      <c r="BG227">
        <f t="shared" si="93"/>
        <v>0</v>
      </c>
      <c r="BH227" s="26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26" cm="1">
        <f t="array" ref="BI227">$G$14+VLOOKUP($R227,武学奇术!$A:$ZZ,16,FALSE)+SUM(_xlfn.XLOOKUP(S227:AG227,增益!$A:$A,增益!$P:$P,0))</f>
        <v>0</v>
      </c>
      <c r="BJ227" s="21">
        <f>MIN(IF(VLOOKUP($R227,武学奇术!$A:$ZZ,23,FALSE)=1,100%,$B$8),100%)</f>
        <v>0.8229</v>
      </c>
      <c r="BK227" s="21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0.2285</v>
      </c>
      <c r="BL227" s="21" cm="1">
        <f t="array" ref="BL227">1+$B$13+VLOOKUP($R227,武学奇术!$A:$ZZ,18,FALSE)+SUM(_xlfn.XLOOKUP(S227:AG227,增益!$A:$A,增益!$R:$R,0))</f>
        <v>1.5</v>
      </c>
      <c r="BM227" s="21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0.4495</v>
      </c>
      <c r="BN227" s="21" cm="1">
        <f t="array" ref="BN227">1+$B$14+VLOOKUP($R227,武学奇术!$A:$ZZ,20,FALSE)+SUM(_xlfn.XLOOKUP(S227:AG227,增益!$A:$A,增益!$T:$T,0))</f>
        <v>1.782</v>
      </c>
      <c r="BO227" s="21">
        <f t="shared" ref="BO227" si="114">MIN((1-BM227)*BJ227,BJ227*BK227)</f>
        <v>0.18803265</v>
      </c>
      <c r="BP227" s="21">
        <f t="shared" ref="BP227" si="115">1-BM227-BO227-BQ227</f>
        <v>0.2649738</v>
      </c>
      <c r="BQ227" s="21">
        <f>IF(VLOOKUP($R227,武学奇术!$A:$ZZ,22,FALSE)=1,0,(1-$BJ227))*(1-$BM227)</f>
        <v>0.09749355</v>
      </c>
      <c r="BR227" s="21" cm="1">
        <f t="array" ref="BR227">SUM(_xlfn.XLOOKUP(S227:AG227,增益!$A:$A,增益!$W:$W,0))+$I$5</f>
        <v>0.16</v>
      </c>
    </row>
    <row r="228" spans="11:70">
      <c r="K228" s="24">
        <f>$L228*VLOOKUP($R228,武学奇术!$A:$ZZ,31,FALSE)</f>
        <v>12830.0450073496</v>
      </c>
      <c r="L228" s="24">
        <f t="shared" si="85"/>
        <v>21383.4083455826</v>
      </c>
      <c r="M228" s="24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17515.6529208759</v>
      </c>
      <c r="N228" s="24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32216.8478315657</v>
      </c>
      <c r="O228" s="24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11677.1019472506</v>
      </c>
      <c r="P228" s="24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5275.16470731509</v>
      </c>
      <c r="Q228" s="31">
        <v>1</v>
      </c>
      <c r="R228" s="32" t="s">
        <v>199</v>
      </c>
      <c r="S228" s="32" t="s">
        <v>87</v>
      </c>
      <c r="T228" s="32" t="s">
        <v>96</v>
      </c>
      <c r="U228" s="32" t="s">
        <v>97</v>
      </c>
      <c r="V228" s="32" t="s">
        <v>73</v>
      </c>
      <c r="W228" s="32" t="s">
        <v>111</v>
      </c>
      <c r="X228" s="32" t="s">
        <v>127</v>
      </c>
      <c r="Y228" s="32" t="s">
        <v>179</v>
      </c>
      <c r="Z228" s="32" t="s">
        <v>182</v>
      </c>
      <c r="AA228" s="32" t="s">
        <v>81</v>
      </c>
      <c r="AB228" s="32" t="s">
        <v>75</v>
      </c>
      <c r="AC228" s="32" t="s">
        <v>76</v>
      </c>
      <c r="AD228" s="32" t="s">
        <v>82</v>
      </c>
      <c r="AE228" s="32" t="s">
        <v>183</v>
      </c>
      <c r="AF228" s="32" t="s">
        <v>73</v>
      </c>
      <c r="AG228" s="32" t="s">
        <v>178</v>
      </c>
      <c r="AH228" t="str">
        <f>VLOOKUP($R228,武学奇术!$A:$ZZ,25,FALSE)</f>
        <v>剑</v>
      </c>
      <c r="AI228" s="21">
        <f>VLOOKUP($R228,武学奇术!$A:$ZZ,26,FALSE)</f>
        <v>0.3465</v>
      </c>
      <c r="AJ228" s="22">
        <f>VLOOKUP($R228,武学奇术!$A:$ZZ,27,FALSE)*(1+IF(OR($AH228=$F$4,$AH228=$F$5),$B$22,0))</f>
        <v>0</v>
      </c>
      <c r="AK228" s="21">
        <f>VLOOKUP($R228,武学奇术!$A:$ZZ,28,FALSE)</f>
        <v>0.51975</v>
      </c>
      <c r="AL228" s="22">
        <f>VLOOKUP($R228,武学奇术!$A:$ZZ,29,FALSE)*(1+IF(OR($AH228=$F$4,$AH228=$F$5),$B$22,0))</f>
        <v>0</v>
      </c>
      <c r="AM228" s="21" cm="1">
        <f t="array" ref="AM228">$G$3+IFERROR(VLOOKUP($AH228,$F$4:$G$7,2,FALSE),0)+VLOOKUP($R228,武学奇术!$A:$ZZ,2,FALSE)+SUM(_xlfn.XLOOKUP($S228:$AG228,增益!$A:$A,增益!$B:$B,0))</f>
        <v>1.6091</v>
      </c>
      <c r="AN228" s="21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1862.48</v>
      </c>
      <c r="AP228" cm="1">
        <f t="array" ref="AP228">$E$10*(1+$AN228)+VLOOKUP($R228,武学奇术!$A:$ZZ,4,FALSE)+SUM(_xlfn.XLOOKUP($S228:$AG228,增益!$A:$A,增益!$D:$D,0))-$I$2</f>
        <v>7794.56</v>
      </c>
      <c r="AQ228" s="26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0.369</v>
      </c>
      <c r="AR228" s="26" cm="1">
        <f t="array" ref="AR228">$G$10+VLOOKUP($R228,武学奇术!$A:$ZZ,7,FALSE)+SUM(_xlfn.XLOOKUP(S228:AG228,增益!$A:$A,增益!$G:$G,0))</f>
        <v>0</v>
      </c>
      <c r="AS228" s="21" cm="1">
        <f t="array" ref="AS228">VLOOKUP($R228,武学奇术!$A:$ZZ,8,FALSE)+SUM(_xlfn.XLOOKUP(S228:AG228,增益!$A:$A,增益!$H:$H,0))</f>
        <v>0</v>
      </c>
      <c r="AT228">
        <f t="shared" si="86"/>
        <v>680.02</v>
      </c>
      <c r="AU228">
        <f t="shared" si="87"/>
        <v>1288.54</v>
      </c>
      <c r="AV228" s="26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0.075</v>
      </c>
      <c r="AW228" s="26" cm="1">
        <f t="array" ref="AW228">$G$11+VLOOKUP($R228,武学奇术!$A:$ZZ,10,FALSE)+SUM(_xlfn.XLOOKUP(S228:AG228,增益!$A:$A,增益!$J:$J,0))</f>
        <v>0.15</v>
      </c>
      <c r="AX228">
        <f t="shared" si="88"/>
        <v>0</v>
      </c>
      <c r="AY228">
        <f t="shared" si="89"/>
        <v>0</v>
      </c>
      <c r="AZ228" s="26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26" cm="1">
        <f t="array" ref="BA228">$G$12+VLOOKUP($R228,武学奇术!$A:$ZZ,12,FALSE)+SUM(_xlfn.XLOOKUP(S228:AG228,增益!$A:$A,增益!$L:$L,0))</f>
        <v>0</v>
      </c>
      <c r="BB228">
        <f t="shared" si="90"/>
        <v>0</v>
      </c>
      <c r="BC228">
        <f t="shared" si="91"/>
        <v>0</v>
      </c>
      <c r="BD228" s="26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26" cm="1">
        <f t="array" ref="BE228">$G$13+VLOOKUP($R228,武学奇术!$A:$ZZ,14,FALSE)+SUM(_xlfn.XLOOKUP(S228:AG228,增益!$A:$A,增益!$N:$N,0))</f>
        <v>0</v>
      </c>
      <c r="BF228">
        <f t="shared" si="92"/>
        <v>0</v>
      </c>
      <c r="BG228">
        <f t="shared" si="93"/>
        <v>0</v>
      </c>
      <c r="BH228" s="26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26" cm="1">
        <f t="array" ref="BI228">$G$14+VLOOKUP($R228,武学奇术!$A:$ZZ,16,FALSE)+SUM(_xlfn.XLOOKUP(S228:AG228,增益!$A:$A,增益!$P:$P,0))</f>
        <v>0</v>
      </c>
      <c r="BJ228" s="21">
        <f>MIN(IF(VLOOKUP($R228,武学奇术!$A:$ZZ,23,FALSE)=1,100%,$B$8),100%)</f>
        <v>0.8229</v>
      </c>
      <c r="BK228" s="21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0.2285</v>
      </c>
      <c r="BL228" s="21" cm="1">
        <f t="array" ref="BL228">1+$B$13+VLOOKUP($R228,武学奇术!$A:$ZZ,18,FALSE)+SUM(_xlfn.XLOOKUP(S228:AG228,增益!$A:$A,增益!$R:$R,0))</f>
        <v>1.5</v>
      </c>
      <c r="BM228" s="21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0.4495</v>
      </c>
      <c r="BN228" s="21" cm="1">
        <f t="array" ref="BN228">1+$B$14+VLOOKUP($R228,武学奇术!$A:$ZZ,20,FALSE)+SUM(_xlfn.XLOOKUP(S228:AG228,增益!$A:$A,增益!$T:$T,0))</f>
        <v>1.782</v>
      </c>
      <c r="BO228" s="21">
        <f t="shared" ref="BO228" si="116">MIN((1-BM228)*BJ228,BJ228*BK228)</f>
        <v>0.18803265</v>
      </c>
      <c r="BP228" s="21">
        <f t="shared" ref="BP228" si="117">1-BM228-BO228-BQ228</f>
        <v>0.2649738</v>
      </c>
      <c r="BQ228" s="21">
        <f>IF(VLOOKUP($R228,武学奇术!$A:$ZZ,22,FALSE)=1,0,(1-$BJ228))*(1-$BM228)</f>
        <v>0.09749355</v>
      </c>
      <c r="BR228" s="21" cm="1">
        <f t="array" ref="BR228">SUM(_xlfn.XLOOKUP(S228:AG228,增益!$A:$A,增益!$W:$W,0))+$I$5</f>
        <v>0.16</v>
      </c>
    </row>
    <row r="229" spans="11:70">
      <c r="K229" s="24">
        <f>$L229*VLOOKUP($R229,武学奇术!$A:$ZZ,31,FALSE)</f>
        <v>10264.0360058796</v>
      </c>
      <c r="L229" s="24">
        <f t="shared" si="85"/>
        <v>17106.7266764661</v>
      </c>
      <c r="M229" s="24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14012.5223367007</v>
      </c>
      <c r="N229" s="24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25773.4782652526</v>
      </c>
      <c r="O229" s="24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9341.6815578005</v>
      </c>
      <c r="P229" s="24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4220.13176585208</v>
      </c>
      <c r="Q229" s="31">
        <v>1</v>
      </c>
      <c r="R229" s="32" t="s">
        <v>197</v>
      </c>
      <c r="S229" s="32" t="s">
        <v>87</v>
      </c>
      <c r="T229" s="32" t="s">
        <v>96</v>
      </c>
      <c r="U229" s="32" t="s">
        <v>97</v>
      </c>
      <c r="V229" s="32" t="s">
        <v>73</v>
      </c>
      <c r="W229" s="32" t="s">
        <v>111</v>
      </c>
      <c r="X229" s="32" t="s">
        <v>127</v>
      </c>
      <c r="Y229" s="32" t="s">
        <v>179</v>
      </c>
      <c r="Z229" s="32" t="s">
        <v>182</v>
      </c>
      <c r="AA229" s="32" t="s">
        <v>73</v>
      </c>
      <c r="AB229" s="32" t="s">
        <v>75</v>
      </c>
      <c r="AC229" s="32" t="s">
        <v>76</v>
      </c>
      <c r="AD229" s="32" t="s">
        <v>82</v>
      </c>
      <c r="AE229" s="32" t="s">
        <v>183</v>
      </c>
      <c r="AF229" s="32" t="s">
        <v>73</v>
      </c>
      <c r="AG229" s="32" t="s">
        <v>178</v>
      </c>
      <c r="AH229" t="str">
        <f>VLOOKUP($R229,武学奇术!$A:$ZZ,25,FALSE)</f>
        <v>剑</v>
      </c>
      <c r="AI229" s="21">
        <f>VLOOKUP($R229,武学奇术!$A:$ZZ,26,FALSE)</f>
        <v>0.2772</v>
      </c>
      <c r="AJ229" s="22">
        <f>VLOOKUP($R229,武学奇术!$A:$ZZ,27,FALSE)*(1+IF(OR($AH229=$F$4,$AH229=$F$5),$B$22,0))</f>
        <v>0</v>
      </c>
      <c r="AK229" s="21">
        <f>VLOOKUP($R229,武学奇术!$A:$ZZ,28,FALSE)</f>
        <v>0.4158</v>
      </c>
      <c r="AL229" s="22">
        <f>VLOOKUP($R229,武学奇术!$A:$ZZ,29,FALSE)*(1+IF(OR($AH229=$F$4,$AH229=$F$5),$B$22,0))</f>
        <v>0</v>
      </c>
      <c r="AM229" s="21" cm="1">
        <f t="array" ref="AM229">$G$3+IFERROR(VLOOKUP($AH229,$F$4:$G$7,2,FALSE),0)+VLOOKUP($R229,武学奇术!$A:$ZZ,2,FALSE)+SUM(_xlfn.XLOOKUP($S229:$AG229,增益!$A:$A,增益!$B:$B,0))</f>
        <v>1.6091</v>
      </c>
      <c r="AN229" s="21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1862.48</v>
      </c>
      <c r="AP229" cm="1">
        <f t="array" ref="AP229">$E$10*(1+$AN229)+VLOOKUP($R229,武学奇术!$A:$ZZ,4,FALSE)+SUM(_xlfn.XLOOKUP($S229:$AG229,增益!$A:$A,增益!$D:$D,0))-$I$2</f>
        <v>7794.56</v>
      </c>
      <c r="AQ229" s="26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0.369</v>
      </c>
      <c r="AR229" s="26" cm="1">
        <f t="array" ref="AR229">$G$10+VLOOKUP($R229,武学奇术!$A:$ZZ,7,FALSE)+SUM(_xlfn.XLOOKUP(S229:AG229,增益!$A:$A,增益!$G:$G,0))</f>
        <v>0</v>
      </c>
      <c r="AS229" s="21" cm="1">
        <f t="array" ref="AS229">VLOOKUP($R229,武学奇术!$A:$ZZ,8,FALSE)+SUM(_xlfn.XLOOKUP(S229:AG229,增益!$A:$A,增益!$H:$H,0))</f>
        <v>0</v>
      </c>
      <c r="AT229">
        <f t="shared" si="86"/>
        <v>680.02</v>
      </c>
      <c r="AU229">
        <f t="shared" si="87"/>
        <v>1288.54</v>
      </c>
      <c r="AV229" s="26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0.075</v>
      </c>
      <c r="AW229" s="26" cm="1">
        <f t="array" ref="AW229">$G$11+VLOOKUP($R229,武学奇术!$A:$ZZ,10,FALSE)+SUM(_xlfn.XLOOKUP(S229:AG229,增益!$A:$A,增益!$J:$J,0))</f>
        <v>0.15</v>
      </c>
      <c r="AX229">
        <f t="shared" si="88"/>
        <v>0</v>
      </c>
      <c r="AY229">
        <f t="shared" si="89"/>
        <v>0</v>
      </c>
      <c r="AZ229" s="26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26" cm="1">
        <f t="array" ref="BA229">$G$12+VLOOKUP($R229,武学奇术!$A:$ZZ,12,FALSE)+SUM(_xlfn.XLOOKUP(S229:AG229,增益!$A:$A,增益!$L:$L,0))</f>
        <v>0</v>
      </c>
      <c r="BB229">
        <f t="shared" si="90"/>
        <v>0</v>
      </c>
      <c r="BC229">
        <f t="shared" si="91"/>
        <v>0</v>
      </c>
      <c r="BD229" s="26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26" cm="1">
        <f t="array" ref="BE229">$G$13+VLOOKUP($R229,武学奇术!$A:$ZZ,14,FALSE)+SUM(_xlfn.XLOOKUP(S229:AG229,增益!$A:$A,增益!$N:$N,0))</f>
        <v>0</v>
      </c>
      <c r="BF229">
        <f t="shared" si="92"/>
        <v>0</v>
      </c>
      <c r="BG229">
        <f t="shared" si="93"/>
        <v>0</v>
      </c>
      <c r="BH229" s="26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26" cm="1">
        <f t="array" ref="BI229">$G$14+VLOOKUP($R229,武学奇术!$A:$ZZ,16,FALSE)+SUM(_xlfn.XLOOKUP(S229:AG229,增益!$A:$A,增益!$P:$P,0))</f>
        <v>0</v>
      </c>
      <c r="BJ229" s="21">
        <f>MIN(IF(VLOOKUP($R229,武学奇术!$A:$ZZ,23,FALSE)=1,100%,$B$8),100%)</f>
        <v>0.8229</v>
      </c>
      <c r="BK229" s="21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0.2285</v>
      </c>
      <c r="BL229" s="21" cm="1">
        <f t="array" ref="BL229">1+$B$13+VLOOKUP($R229,武学奇术!$A:$ZZ,18,FALSE)+SUM(_xlfn.XLOOKUP(S229:AG229,增益!$A:$A,增益!$R:$R,0))</f>
        <v>1.5</v>
      </c>
      <c r="BM229" s="21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0.4495</v>
      </c>
      <c r="BN229" s="21" cm="1">
        <f t="array" ref="BN229">1+$B$14+VLOOKUP($R229,武学奇术!$A:$ZZ,20,FALSE)+SUM(_xlfn.XLOOKUP(S229:AG229,增益!$A:$A,增益!$T:$T,0))</f>
        <v>1.782</v>
      </c>
      <c r="BO229" s="21">
        <f t="shared" ref="BO229" si="118">MIN((1-BM229)*BJ229,BJ229*BK229)</f>
        <v>0.18803265</v>
      </c>
      <c r="BP229" s="21">
        <f t="shared" ref="BP229" si="119">1-BM229-BO229-BQ229</f>
        <v>0.2649738</v>
      </c>
      <c r="BQ229" s="21">
        <f>IF(VLOOKUP($R229,武学奇术!$A:$ZZ,22,FALSE)=1,0,(1-$BJ229))*(1-$BM229)</f>
        <v>0.09749355</v>
      </c>
      <c r="BR229" s="21" cm="1">
        <f t="array" ref="BR229">SUM(_xlfn.XLOOKUP(S229:AG229,增益!$A:$A,增益!$W:$W,0))+$I$5</f>
        <v>0.16</v>
      </c>
    </row>
    <row r="230" spans="11:70">
      <c r="K230" s="24">
        <f>$L230*VLOOKUP($R230,武学奇术!$A:$ZZ,31,FALSE)</f>
        <v>6415.02250367478</v>
      </c>
      <c r="L230" s="24">
        <f t="shared" si="85"/>
        <v>10691.7041727913</v>
      </c>
      <c r="M230" s="24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8757.82646043797</v>
      </c>
      <c r="N230" s="24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16108.4239157829</v>
      </c>
      <c r="O230" s="24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5838.55097362531</v>
      </c>
      <c r="P230" s="24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2637.58235365755</v>
      </c>
      <c r="Q230" s="31">
        <v>1</v>
      </c>
      <c r="R230" s="32" t="s">
        <v>198</v>
      </c>
      <c r="S230" s="32" t="s">
        <v>87</v>
      </c>
      <c r="T230" s="32" t="s">
        <v>96</v>
      </c>
      <c r="U230" s="32" t="s">
        <v>97</v>
      </c>
      <c r="V230" s="32" t="s">
        <v>73</v>
      </c>
      <c r="W230" s="32" t="s">
        <v>111</v>
      </c>
      <c r="X230" s="32" t="s">
        <v>127</v>
      </c>
      <c r="Y230" s="32" t="s">
        <v>179</v>
      </c>
      <c r="Z230" s="32" t="s">
        <v>182</v>
      </c>
      <c r="AA230" s="32" t="s">
        <v>73</v>
      </c>
      <c r="AB230" s="32" t="s">
        <v>75</v>
      </c>
      <c r="AC230" s="32" t="s">
        <v>89</v>
      </c>
      <c r="AD230" s="32" t="s">
        <v>82</v>
      </c>
      <c r="AE230" s="32" t="s">
        <v>183</v>
      </c>
      <c r="AF230" s="32" t="s">
        <v>73</v>
      </c>
      <c r="AG230" s="32" t="s">
        <v>178</v>
      </c>
      <c r="AH230" t="str">
        <f>VLOOKUP($R230,武学奇术!$A:$ZZ,25,FALSE)</f>
        <v>剑</v>
      </c>
      <c r="AI230" s="21">
        <f>VLOOKUP($R230,武学奇术!$A:$ZZ,26,FALSE)</f>
        <v>0.17325</v>
      </c>
      <c r="AJ230" s="22">
        <f>VLOOKUP($R230,武学奇术!$A:$ZZ,27,FALSE)*(1+IF(OR($AH230=$F$4,$AH230=$F$5),$B$22,0))</f>
        <v>0</v>
      </c>
      <c r="AK230" s="21">
        <f>VLOOKUP($R230,武学奇术!$A:$ZZ,28,FALSE)</f>
        <v>0.259875</v>
      </c>
      <c r="AL230" s="22">
        <f>VLOOKUP($R230,武学奇术!$A:$ZZ,29,FALSE)*(1+IF(OR($AH230=$F$4,$AH230=$F$5),$B$22,0))</f>
        <v>0</v>
      </c>
      <c r="AM230" s="21" cm="1">
        <f t="array" ref="AM230">$G$3+IFERROR(VLOOKUP($AH230,$F$4:$G$7,2,FALSE),0)+VLOOKUP($R230,武学奇术!$A:$ZZ,2,FALSE)+SUM(_xlfn.XLOOKUP($S230:$AG230,增益!$A:$A,增益!$B:$B,0))</f>
        <v>1.6091</v>
      </c>
      <c r="AN230" s="21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1862.48</v>
      </c>
      <c r="AP230" cm="1">
        <f t="array" ref="AP230">$E$10*(1+$AN230)+VLOOKUP($R230,武学奇术!$A:$ZZ,4,FALSE)+SUM(_xlfn.XLOOKUP($S230:$AG230,增益!$A:$A,增益!$D:$D,0))-$I$2</f>
        <v>7794.56</v>
      </c>
      <c r="AQ230" s="26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0.369</v>
      </c>
      <c r="AR230" s="26" cm="1">
        <f t="array" ref="AR230">$G$10+VLOOKUP($R230,武学奇术!$A:$ZZ,7,FALSE)+SUM(_xlfn.XLOOKUP(S230:AG230,增益!$A:$A,增益!$G:$G,0))</f>
        <v>0</v>
      </c>
      <c r="AS230" s="21" cm="1">
        <f t="array" ref="AS230">VLOOKUP($R230,武学奇术!$A:$ZZ,8,FALSE)+SUM(_xlfn.XLOOKUP(S230:AG230,增益!$A:$A,增益!$H:$H,0))</f>
        <v>0</v>
      </c>
      <c r="AT230">
        <f t="shared" si="86"/>
        <v>680.02</v>
      </c>
      <c r="AU230">
        <f t="shared" si="87"/>
        <v>1288.54</v>
      </c>
      <c r="AV230" s="26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0.075</v>
      </c>
      <c r="AW230" s="26" cm="1">
        <f t="array" ref="AW230">$G$11+VLOOKUP($R230,武学奇术!$A:$ZZ,10,FALSE)+SUM(_xlfn.XLOOKUP(S230:AG230,增益!$A:$A,增益!$J:$J,0))</f>
        <v>0.15</v>
      </c>
      <c r="AX230">
        <f t="shared" si="88"/>
        <v>0</v>
      </c>
      <c r="AY230">
        <f t="shared" si="89"/>
        <v>0</v>
      </c>
      <c r="AZ230" s="26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26" cm="1">
        <f t="array" ref="BA230">$G$12+VLOOKUP($R230,武学奇术!$A:$ZZ,12,FALSE)+SUM(_xlfn.XLOOKUP(S230:AG230,增益!$A:$A,增益!$L:$L,0))</f>
        <v>0</v>
      </c>
      <c r="BB230">
        <f t="shared" si="90"/>
        <v>0</v>
      </c>
      <c r="BC230">
        <f t="shared" si="91"/>
        <v>0</v>
      </c>
      <c r="BD230" s="26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26" cm="1">
        <f t="array" ref="BE230">$G$13+VLOOKUP($R230,武学奇术!$A:$ZZ,14,FALSE)+SUM(_xlfn.XLOOKUP(S230:AG230,增益!$A:$A,增益!$N:$N,0))</f>
        <v>0</v>
      </c>
      <c r="BF230">
        <f t="shared" si="92"/>
        <v>0</v>
      </c>
      <c r="BG230">
        <f t="shared" si="93"/>
        <v>0</v>
      </c>
      <c r="BH230" s="26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26" cm="1">
        <f t="array" ref="BI230">$G$14+VLOOKUP($R230,武学奇术!$A:$ZZ,16,FALSE)+SUM(_xlfn.XLOOKUP(S230:AG230,增益!$A:$A,增益!$P:$P,0))</f>
        <v>0</v>
      </c>
      <c r="BJ230" s="21">
        <f>MIN(IF(VLOOKUP($R230,武学奇术!$A:$ZZ,23,FALSE)=1,100%,$B$8),100%)</f>
        <v>0.8229</v>
      </c>
      <c r="BK230" s="21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0.2285</v>
      </c>
      <c r="BL230" s="21" cm="1">
        <f t="array" ref="BL230">1+$B$13+VLOOKUP($R230,武学奇术!$A:$ZZ,18,FALSE)+SUM(_xlfn.XLOOKUP(S230:AG230,增益!$A:$A,增益!$R:$R,0))</f>
        <v>1.5</v>
      </c>
      <c r="BM230" s="21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0.4495</v>
      </c>
      <c r="BN230" s="21" cm="1">
        <f t="array" ref="BN230">1+$B$14+VLOOKUP($R230,武学奇术!$A:$ZZ,20,FALSE)+SUM(_xlfn.XLOOKUP(S230:AG230,增益!$A:$A,增益!$T:$T,0))</f>
        <v>1.782</v>
      </c>
      <c r="BO230" s="21">
        <f t="shared" ref="BO230" si="120">MIN((1-BM230)*BJ230,BJ230*BK230)</f>
        <v>0.18803265</v>
      </c>
      <c r="BP230" s="21">
        <f t="shared" ref="BP230" si="121">1-BM230-BO230-BQ230</f>
        <v>0.2649738</v>
      </c>
      <c r="BQ230" s="21">
        <f>IF(VLOOKUP($R230,武学奇术!$A:$ZZ,22,FALSE)=1,0,(1-$BJ230))*(1-$BM230)</f>
        <v>0.09749355</v>
      </c>
      <c r="BR230" s="21" cm="1">
        <f t="array" ref="BR230">SUM(_xlfn.XLOOKUP(S230:AG230,增益!$A:$A,增益!$W:$W,0))+$I$5</f>
        <v>0.16</v>
      </c>
    </row>
    <row r="231" spans="11:70">
      <c r="K231" s="24">
        <f>$L231*VLOOKUP($R231,武学奇术!$A:$ZZ,31,FALSE)</f>
        <v>12584.1739213937</v>
      </c>
      <c r="L231" s="24">
        <f t="shared" si="85"/>
        <v>20973.6232023228</v>
      </c>
      <c r="M231" s="24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17179.9882679137</v>
      </c>
      <c r="N231" s="24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31599.4539441799</v>
      </c>
      <c r="O231" s="24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11453.3255119425</v>
      </c>
      <c r="P231" s="24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5174.07305296465</v>
      </c>
      <c r="Q231" s="31">
        <v>1</v>
      </c>
      <c r="R231" s="32" t="s">
        <v>199</v>
      </c>
      <c r="S231" s="32" t="s">
        <v>87</v>
      </c>
      <c r="T231" s="32" t="s">
        <v>96</v>
      </c>
      <c r="U231" s="32" t="s">
        <v>97</v>
      </c>
      <c r="V231" s="32" t="s">
        <v>73</v>
      </c>
      <c r="W231" s="32" t="s">
        <v>111</v>
      </c>
      <c r="X231" s="32" t="s">
        <v>127</v>
      </c>
      <c r="Y231" s="32" t="s">
        <v>179</v>
      </c>
      <c r="Z231" s="32" t="s">
        <v>182</v>
      </c>
      <c r="AA231" s="32" t="s">
        <v>73</v>
      </c>
      <c r="AB231" s="32" t="s">
        <v>75</v>
      </c>
      <c r="AC231" s="32" t="s">
        <v>89</v>
      </c>
      <c r="AD231" s="32" t="s">
        <v>82</v>
      </c>
      <c r="AE231" s="32" t="s">
        <v>90</v>
      </c>
      <c r="AF231" s="32" t="s">
        <v>73</v>
      </c>
      <c r="AG231" s="32" t="s">
        <v>178</v>
      </c>
      <c r="AH231" t="str">
        <f>VLOOKUP($R231,武学奇术!$A:$ZZ,25,FALSE)</f>
        <v>剑</v>
      </c>
      <c r="AI231" s="21">
        <f>VLOOKUP($R231,武学奇术!$A:$ZZ,26,FALSE)</f>
        <v>0.3465</v>
      </c>
      <c r="AJ231" s="22">
        <f>VLOOKUP($R231,武学奇术!$A:$ZZ,27,FALSE)*(1+IF(OR($AH231=$F$4,$AH231=$F$5),$B$22,0))</f>
        <v>0</v>
      </c>
      <c r="AK231" s="21">
        <f>VLOOKUP($R231,武学奇术!$A:$ZZ,28,FALSE)</f>
        <v>0.51975</v>
      </c>
      <c r="AL231" s="22">
        <f>VLOOKUP($R231,武学奇术!$A:$ZZ,29,FALSE)*(1+IF(OR($AH231=$F$4,$AH231=$F$5),$B$22,0))</f>
        <v>0</v>
      </c>
      <c r="AM231" s="21" cm="1">
        <f t="array" ref="AM231">$G$3+IFERROR(VLOOKUP($AH231,$F$4:$G$7,2,FALSE),0)+VLOOKUP($R231,武学奇术!$A:$ZZ,2,FALSE)+SUM(_xlfn.XLOOKUP($S231:$AG231,增益!$A:$A,增益!$B:$B,0))</f>
        <v>1.5591</v>
      </c>
      <c r="AN231" s="21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1862.48</v>
      </c>
      <c r="AP231" cm="1">
        <f t="array" ref="AP231">$E$10*(1+$AN231)+VLOOKUP($R231,武学奇术!$A:$ZZ,4,FALSE)+SUM(_xlfn.XLOOKUP($S231:$AG231,增益!$A:$A,增益!$D:$D,0))-$I$2</f>
        <v>7794.56</v>
      </c>
      <c r="AQ231" s="26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0.369</v>
      </c>
      <c r="AR231" s="26" cm="1">
        <f t="array" ref="AR231">$G$10+VLOOKUP($R231,武学奇术!$A:$ZZ,7,FALSE)+SUM(_xlfn.XLOOKUP(S231:AG231,增益!$A:$A,增益!$G:$G,0))</f>
        <v>0</v>
      </c>
      <c r="AS231" s="21" cm="1">
        <f t="array" ref="AS231">VLOOKUP($R231,武学奇术!$A:$ZZ,8,FALSE)+SUM(_xlfn.XLOOKUP(S231:AG231,增益!$A:$A,增益!$H:$H,0))</f>
        <v>0</v>
      </c>
      <c r="AT231">
        <f t="shared" si="86"/>
        <v>680.02</v>
      </c>
      <c r="AU231">
        <f t="shared" si="87"/>
        <v>1288.54</v>
      </c>
      <c r="AV231" s="26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26" cm="1">
        <f t="array" ref="AW231">$G$11+VLOOKUP($R231,武学奇术!$A:$ZZ,10,FALSE)+SUM(_xlfn.XLOOKUP(S231:AG231,增益!$A:$A,增益!$J:$J,0))</f>
        <v>0.15</v>
      </c>
      <c r="AX231">
        <f t="shared" si="88"/>
        <v>0</v>
      </c>
      <c r="AY231">
        <f t="shared" si="89"/>
        <v>0</v>
      </c>
      <c r="AZ231" s="26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26" cm="1">
        <f t="array" ref="BA231">$G$12+VLOOKUP($R231,武学奇术!$A:$ZZ,12,FALSE)+SUM(_xlfn.XLOOKUP(S231:AG231,增益!$A:$A,增益!$L:$L,0))</f>
        <v>0</v>
      </c>
      <c r="BB231">
        <f t="shared" si="90"/>
        <v>0</v>
      </c>
      <c r="BC231">
        <f t="shared" si="91"/>
        <v>0</v>
      </c>
      <c r="BD231" s="26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26" cm="1">
        <f t="array" ref="BE231">$G$13+VLOOKUP($R231,武学奇术!$A:$ZZ,14,FALSE)+SUM(_xlfn.XLOOKUP(S231:AG231,增益!$A:$A,增益!$N:$N,0))</f>
        <v>0</v>
      </c>
      <c r="BF231">
        <f t="shared" si="92"/>
        <v>0</v>
      </c>
      <c r="BG231">
        <f t="shared" si="93"/>
        <v>0</v>
      </c>
      <c r="BH231" s="26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26" cm="1">
        <f t="array" ref="BI231">$G$14+VLOOKUP($R231,武学奇术!$A:$ZZ,16,FALSE)+SUM(_xlfn.XLOOKUP(S231:AG231,增益!$A:$A,增益!$P:$P,0))</f>
        <v>0</v>
      </c>
      <c r="BJ231" s="21">
        <f>MIN(IF(VLOOKUP($R231,武学奇术!$A:$ZZ,23,FALSE)=1,100%,$B$8),100%)</f>
        <v>0.8229</v>
      </c>
      <c r="BK231" s="21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0.2285</v>
      </c>
      <c r="BL231" s="21" cm="1">
        <f t="array" ref="BL231">1+$B$13+VLOOKUP($R231,武学奇术!$A:$ZZ,18,FALSE)+SUM(_xlfn.XLOOKUP(S231:AG231,增益!$A:$A,增益!$R:$R,0))</f>
        <v>1.5</v>
      </c>
      <c r="BM231" s="21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0.4495</v>
      </c>
      <c r="BN231" s="21" cm="1">
        <f t="array" ref="BN231">1+$B$14+VLOOKUP($R231,武学奇术!$A:$ZZ,20,FALSE)+SUM(_xlfn.XLOOKUP(S231:AG231,增益!$A:$A,增益!$T:$T,0))</f>
        <v>1.782</v>
      </c>
      <c r="BO231" s="21">
        <f t="shared" ref="BO231" si="122">MIN((1-BM231)*BJ231,BJ231*BK231)</f>
        <v>0.18803265</v>
      </c>
      <c r="BP231" s="21">
        <f t="shared" ref="BP231" si="123">1-BM231-BO231-BQ231</f>
        <v>0.2649738</v>
      </c>
      <c r="BQ231" s="21">
        <f>IF(VLOOKUP($R231,武学奇术!$A:$ZZ,22,FALSE)=1,0,(1-$BJ231))*(1-$BM231)</f>
        <v>0.09749355</v>
      </c>
      <c r="BR231" s="21" cm="1">
        <f t="array" ref="BR231">SUM(_xlfn.XLOOKUP(S231:AG231,增益!$A:$A,增益!$W:$W,0))+$I$5</f>
        <v>0.16</v>
      </c>
    </row>
    <row r="232" spans="11:70">
      <c r="K232" s="24">
        <f>$L232*VLOOKUP($R232,武学奇术!$A:$ZZ,31,FALSE)</f>
        <v>10067.3391371149</v>
      </c>
      <c r="L232" s="24">
        <f t="shared" si="85"/>
        <v>16778.8985618582</v>
      </c>
      <c r="M232" s="24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13743.990614331</v>
      </c>
      <c r="N232" s="24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25279.5631553439</v>
      </c>
      <c r="O232" s="24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9162.66040955397</v>
      </c>
      <c r="P232" s="24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4139.25844237172</v>
      </c>
      <c r="Q232" s="31">
        <v>1</v>
      </c>
      <c r="R232" s="32" t="s">
        <v>197</v>
      </c>
      <c r="S232" s="32" t="s">
        <v>87</v>
      </c>
      <c r="T232" s="32" t="s">
        <v>96</v>
      </c>
      <c r="U232" s="32" t="s">
        <v>97</v>
      </c>
      <c r="V232" s="32" t="s">
        <v>73</v>
      </c>
      <c r="W232" s="32" t="s">
        <v>111</v>
      </c>
      <c r="X232" s="32" t="s">
        <v>127</v>
      </c>
      <c r="Y232" s="32" t="s">
        <v>179</v>
      </c>
      <c r="Z232" s="32" t="s">
        <v>182</v>
      </c>
      <c r="AA232" s="32" t="s">
        <v>73</v>
      </c>
      <c r="AB232" s="32" t="s">
        <v>75</v>
      </c>
      <c r="AC232" s="32" t="s">
        <v>89</v>
      </c>
      <c r="AD232" s="32" t="s">
        <v>82</v>
      </c>
      <c r="AE232" s="32" t="s">
        <v>90</v>
      </c>
      <c r="AF232" s="32" t="s">
        <v>73</v>
      </c>
      <c r="AG232" s="32" t="s">
        <v>178</v>
      </c>
      <c r="AH232" t="str">
        <f>VLOOKUP($R232,武学奇术!$A:$ZZ,25,FALSE)</f>
        <v>剑</v>
      </c>
      <c r="AI232" s="21">
        <f>VLOOKUP($R232,武学奇术!$A:$ZZ,26,FALSE)</f>
        <v>0.2772</v>
      </c>
      <c r="AJ232" s="22">
        <f>VLOOKUP($R232,武学奇术!$A:$ZZ,27,FALSE)*(1+IF(OR($AH232=$F$4,$AH232=$F$5),$B$22,0))</f>
        <v>0</v>
      </c>
      <c r="AK232" s="21">
        <f>VLOOKUP($R232,武学奇术!$A:$ZZ,28,FALSE)</f>
        <v>0.4158</v>
      </c>
      <c r="AL232" s="22">
        <f>VLOOKUP($R232,武学奇术!$A:$ZZ,29,FALSE)*(1+IF(OR($AH232=$F$4,$AH232=$F$5),$B$22,0))</f>
        <v>0</v>
      </c>
      <c r="AM232" s="21" cm="1">
        <f t="array" ref="AM232">$G$3+IFERROR(VLOOKUP($AH232,$F$4:$G$7,2,FALSE),0)+VLOOKUP($R232,武学奇术!$A:$ZZ,2,FALSE)+SUM(_xlfn.XLOOKUP($S232:$AG232,增益!$A:$A,增益!$B:$B,0))</f>
        <v>1.5591</v>
      </c>
      <c r="AN232" s="21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1862.48</v>
      </c>
      <c r="AP232" cm="1">
        <f t="array" ref="AP232">$E$10*(1+$AN232)+VLOOKUP($R232,武学奇术!$A:$ZZ,4,FALSE)+SUM(_xlfn.XLOOKUP($S232:$AG232,增益!$A:$A,增益!$D:$D,0))-$I$2</f>
        <v>7794.56</v>
      </c>
      <c r="AQ232" s="26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0.369</v>
      </c>
      <c r="AR232" s="26" cm="1">
        <f t="array" ref="AR232">$G$10+VLOOKUP($R232,武学奇术!$A:$ZZ,7,FALSE)+SUM(_xlfn.XLOOKUP(S232:AG232,增益!$A:$A,增益!$G:$G,0))</f>
        <v>0</v>
      </c>
      <c r="AS232" s="21" cm="1">
        <f t="array" ref="AS232">VLOOKUP($R232,武学奇术!$A:$ZZ,8,FALSE)+SUM(_xlfn.XLOOKUP(S232:AG232,增益!$A:$A,增益!$H:$H,0))</f>
        <v>0</v>
      </c>
      <c r="AT232">
        <f t="shared" si="86"/>
        <v>680.02</v>
      </c>
      <c r="AU232">
        <f t="shared" si="87"/>
        <v>1288.54</v>
      </c>
      <c r="AV232" s="26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26" cm="1">
        <f t="array" ref="AW232">$G$11+VLOOKUP($R232,武学奇术!$A:$ZZ,10,FALSE)+SUM(_xlfn.XLOOKUP(S232:AG232,增益!$A:$A,增益!$J:$J,0))</f>
        <v>0.15</v>
      </c>
      <c r="AX232">
        <f t="shared" si="88"/>
        <v>0</v>
      </c>
      <c r="AY232">
        <f t="shared" si="89"/>
        <v>0</v>
      </c>
      <c r="AZ232" s="26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26" cm="1">
        <f t="array" ref="BA232">$G$12+VLOOKUP($R232,武学奇术!$A:$ZZ,12,FALSE)+SUM(_xlfn.XLOOKUP(S232:AG232,增益!$A:$A,增益!$L:$L,0))</f>
        <v>0</v>
      </c>
      <c r="BB232">
        <f t="shared" si="90"/>
        <v>0</v>
      </c>
      <c r="BC232">
        <f t="shared" si="91"/>
        <v>0</v>
      </c>
      <c r="BD232" s="26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26" cm="1">
        <f t="array" ref="BE232">$G$13+VLOOKUP($R232,武学奇术!$A:$ZZ,14,FALSE)+SUM(_xlfn.XLOOKUP(S232:AG232,增益!$A:$A,增益!$N:$N,0))</f>
        <v>0</v>
      </c>
      <c r="BF232">
        <f t="shared" si="92"/>
        <v>0</v>
      </c>
      <c r="BG232">
        <f t="shared" si="93"/>
        <v>0</v>
      </c>
      <c r="BH232" s="26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26" cm="1">
        <f t="array" ref="BI232">$G$14+VLOOKUP($R232,武学奇术!$A:$ZZ,16,FALSE)+SUM(_xlfn.XLOOKUP(S232:AG232,增益!$A:$A,增益!$P:$P,0))</f>
        <v>0</v>
      </c>
      <c r="BJ232" s="21">
        <f>MIN(IF(VLOOKUP($R232,武学奇术!$A:$ZZ,23,FALSE)=1,100%,$B$8),100%)</f>
        <v>0.8229</v>
      </c>
      <c r="BK232" s="21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0.2285</v>
      </c>
      <c r="BL232" s="21" cm="1">
        <f t="array" ref="BL232">1+$B$13+VLOOKUP($R232,武学奇术!$A:$ZZ,18,FALSE)+SUM(_xlfn.XLOOKUP(S232:AG232,增益!$A:$A,增益!$R:$R,0))</f>
        <v>1.5</v>
      </c>
      <c r="BM232" s="21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0.4495</v>
      </c>
      <c r="BN232" s="21" cm="1">
        <f t="array" ref="BN232">1+$B$14+VLOOKUP($R232,武学奇术!$A:$ZZ,20,FALSE)+SUM(_xlfn.XLOOKUP(S232:AG232,增益!$A:$A,增益!$T:$T,0))</f>
        <v>1.782</v>
      </c>
      <c r="BO232" s="21">
        <f t="shared" ref="BO232" si="124">MIN((1-BM232)*BJ232,BJ232*BK232)</f>
        <v>0.18803265</v>
      </c>
      <c r="BP232" s="21">
        <f t="shared" ref="BP232" si="125">1-BM232-BO232-BQ232</f>
        <v>0.2649738</v>
      </c>
      <c r="BQ232" s="21">
        <f>IF(VLOOKUP($R232,武学奇术!$A:$ZZ,22,FALSE)=1,0,(1-$BJ232))*(1-$BM232)</f>
        <v>0.09749355</v>
      </c>
      <c r="BR232" s="21" cm="1">
        <f t="array" ref="BR232">SUM(_xlfn.XLOOKUP(S232:AG232,增益!$A:$A,增益!$W:$W,0))+$I$5</f>
        <v>0.16</v>
      </c>
    </row>
    <row r="233" spans="11:70">
      <c r="K233" s="24">
        <f>$L233*VLOOKUP($R233,武学奇术!$A:$ZZ,31,FALSE)</f>
        <v>6267.098786915</v>
      </c>
      <c r="L233" s="24">
        <f t="shared" si="85"/>
        <v>10445.1646448583</v>
      </c>
      <c r="M233" s="24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8546.77771057485</v>
      </c>
      <c r="N233" s="24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15748.3858611122</v>
      </c>
      <c r="O233" s="24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5697.8518070499</v>
      </c>
      <c r="P233" s="24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2558.22557756099</v>
      </c>
      <c r="Q233" s="31">
        <v>1</v>
      </c>
      <c r="R233" s="32" t="s">
        <v>198</v>
      </c>
      <c r="S233" s="32" t="s">
        <v>87</v>
      </c>
      <c r="T233" s="32" t="s">
        <v>96</v>
      </c>
      <c r="U233" s="32" t="s">
        <v>97</v>
      </c>
      <c r="V233" s="32" t="s">
        <v>73</v>
      </c>
      <c r="W233" s="32" t="s">
        <v>73</v>
      </c>
      <c r="X233" s="32" t="s">
        <v>127</v>
      </c>
      <c r="Y233" s="32" t="s">
        <v>179</v>
      </c>
      <c r="Z233" s="32" t="s">
        <v>182</v>
      </c>
      <c r="AA233" s="32" t="s">
        <v>73</v>
      </c>
      <c r="AB233" s="32" t="s">
        <v>75</v>
      </c>
      <c r="AC233" s="32" t="s">
        <v>89</v>
      </c>
      <c r="AD233" s="32" t="s">
        <v>82</v>
      </c>
      <c r="AE233" s="32" t="s">
        <v>90</v>
      </c>
      <c r="AF233" s="32" t="s">
        <v>73</v>
      </c>
      <c r="AG233" s="32" t="s">
        <v>178</v>
      </c>
      <c r="AH233" t="str">
        <f>VLOOKUP($R233,武学奇术!$A:$ZZ,25,FALSE)</f>
        <v>剑</v>
      </c>
      <c r="AI233" s="21">
        <f>VLOOKUP($R233,武学奇术!$A:$ZZ,26,FALSE)</f>
        <v>0.17325</v>
      </c>
      <c r="AJ233" s="22">
        <f>VLOOKUP($R233,武学奇术!$A:$ZZ,27,FALSE)*(1+IF(OR($AH233=$F$4,$AH233=$F$5),$B$22,0))</f>
        <v>0</v>
      </c>
      <c r="AK233" s="21">
        <f>VLOOKUP($R233,武学奇术!$A:$ZZ,28,FALSE)</f>
        <v>0.259875</v>
      </c>
      <c r="AL233" s="22">
        <f>VLOOKUP($R233,武学奇术!$A:$ZZ,29,FALSE)*(1+IF(OR($AH233=$F$4,$AH233=$F$5),$B$22,0))</f>
        <v>0</v>
      </c>
      <c r="AM233" s="21" cm="1">
        <f t="array" ref="AM233">$G$3+IFERROR(VLOOKUP($AH233,$F$4:$G$7,2,FALSE),0)+VLOOKUP($R233,武学奇术!$A:$ZZ,2,FALSE)+SUM(_xlfn.XLOOKUP($S233:$AG233,增益!$A:$A,增益!$B:$B,0))</f>
        <v>1.5591</v>
      </c>
      <c r="AN233" s="21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1831.48</v>
      </c>
      <c r="AP233" cm="1">
        <f t="array" ref="AP233">$E$10*(1+$AN233)+VLOOKUP($R233,武学奇术!$A:$ZZ,4,FALSE)+SUM(_xlfn.XLOOKUP($S233:$AG233,增益!$A:$A,增益!$D:$D,0))-$I$2</f>
        <v>7763.56</v>
      </c>
      <c r="AQ233" s="26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0.369</v>
      </c>
      <c r="AR233" s="26" cm="1">
        <f t="array" ref="AR233">$G$10+VLOOKUP($R233,武学奇术!$A:$ZZ,7,FALSE)+SUM(_xlfn.XLOOKUP(S233:AG233,增益!$A:$A,增益!$G:$G,0))</f>
        <v>0</v>
      </c>
      <c r="AS233" s="21" cm="1">
        <f t="array" ref="AS233">VLOOKUP($R233,武学奇术!$A:$ZZ,8,FALSE)+SUM(_xlfn.XLOOKUP(S233:AG233,增益!$A:$A,增益!$H:$H,0))</f>
        <v>0</v>
      </c>
      <c r="AT233">
        <f t="shared" si="86"/>
        <v>680.02</v>
      </c>
      <c r="AU233">
        <f t="shared" si="87"/>
        <v>1288.54</v>
      </c>
      <c r="AV233" s="26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26" cm="1">
        <f t="array" ref="AW233">$G$11+VLOOKUP($R233,武学奇术!$A:$ZZ,10,FALSE)+SUM(_xlfn.XLOOKUP(S233:AG233,增益!$A:$A,增益!$J:$J,0))</f>
        <v>0.15</v>
      </c>
      <c r="AX233">
        <f t="shared" si="88"/>
        <v>0</v>
      </c>
      <c r="AY233">
        <f t="shared" si="89"/>
        <v>0</v>
      </c>
      <c r="AZ233" s="26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26" cm="1">
        <f t="array" ref="BA233">$G$12+VLOOKUP($R233,武学奇术!$A:$ZZ,12,FALSE)+SUM(_xlfn.XLOOKUP(S233:AG233,增益!$A:$A,增益!$L:$L,0))</f>
        <v>0</v>
      </c>
      <c r="BB233">
        <f t="shared" si="90"/>
        <v>0</v>
      </c>
      <c r="BC233">
        <f t="shared" si="91"/>
        <v>0</v>
      </c>
      <c r="BD233" s="26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26" cm="1">
        <f t="array" ref="BE233">$G$13+VLOOKUP($R233,武学奇术!$A:$ZZ,14,FALSE)+SUM(_xlfn.XLOOKUP(S233:AG233,增益!$A:$A,增益!$N:$N,0))</f>
        <v>0</v>
      </c>
      <c r="BF233">
        <f t="shared" si="92"/>
        <v>0</v>
      </c>
      <c r="BG233">
        <f t="shared" si="93"/>
        <v>0</v>
      </c>
      <c r="BH233" s="26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26" cm="1">
        <f t="array" ref="BI233">$G$14+VLOOKUP($R233,武学奇术!$A:$ZZ,16,FALSE)+SUM(_xlfn.XLOOKUP(S233:AG233,增益!$A:$A,增益!$P:$P,0))</f>
        <v>0</v>
      </c>
      <c r="BJ233" s="21">
        <f>MIN(IF(VLOOKUP($R233,武学奇术!$A:$ZZ,23,FALSE)=1,100%,$B$8),100%)</f>
        <v>0.8229</v>
      </c>
      <c r="BK233" s="21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0.2285</v>
      </c>
      <c r="BL233" s="21" cm="1">
        <f t="array" ref="BL233">1+$B$13+VLOOKUP($R233,武学奇术!$A:$ZZ,18,FALSE)+SUM(_xlfn.XLOOKUP(S233:AG233,增益!$A:$A,增益!$R:$R,0))</f>
        <v>1.5</v>
      </c>
      <c r="BM233" s="21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0.4495</v>
      </c>
      <c r="BN233" s="21" cm="1">
        <f t="array" ref="BN233">1+$B$14+VLOOKUP($R233,武学奇术!$A:$ZZ,20,FALSE)+SUM(_xlfn.XLOOKUP(S233:AG233,增益!$A:$A,增益!$T:$T,0))</f>
        <v>1.782</v>
      </c>
      <c r="BO233" s="21">
        <f t="shared" ref="BO233" si="126">MIN((1-BM233)*BJ233,BJ233*BK233)</f>
        <v>0.18803265</v>
      </c>
      <c r="BP233" s="21">
        <f t="shared" ref="BP233" si="127">1-BM233-BO233-BQ233</f>
        <v>0.2649738</v>
      </c>
      <c r="BQ233" s="21">
        <f>IF(VLOOKUP($R233,武学奇术!$A:$ZZ,22,FALSE)=1,0,(1-$BJ233))*(1-$BM233)</f>
        <v>0.09749355</v>
      </c>
      <c r="BR233" s="21" cm="1">
        <f t="array" ref="BR233">SUM(_xlfn.XLOOKUP(S233:AG233,增益!$A:$A,增益!$W:$W,0))+$I$5</f>
        <v>0.16</v>
      </c>
    </row>
    <row r="234" spans="11:70">
      <c r="K234" s="24">
        <f>$L234*VLOOKUP($R234,武学奇术!$A:$ZZ,31,FALSE)</f>
        <v>12534.19757383</v>
      </c>
      <c r="L234" s="24">
        <f t="shared" si="85"/>
        <v>20890.3292897167</v>
      </c>
      <c r="M234" s="24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17093.5554211497</v>
      </c>
      <c r="N234" s="24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31496.7717222243</v>
      </c>
      <c r="O234" s="24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11395.7036140998</v>
      </c>
      <c r="P234" s="24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5116.45115512199</v>
      </c>
      <c r="Q234" s="31">
        <v>1</v>
      </c>
      <c r="R234" s="32" t="s">
        <v>199</v>
      </c>
      <c r="S234" s="32" t="s">
        <v>87</v>
      </c>
      <c r="T234" s="32" t="s">
        <v>96</v>
      </c>
      <c r="U234" s="32" t="s">
        <v>97</v>
      </c>
      <c r="V234" s="32" t="s">
        <v>73</v>
      </c>
      <c r="W234" s="32" t="s">
        <v>73</v>
      </c>
      <c r="X234" s="32" t="s">
        <v>127</v>
      </c>
      <c r="Y234" s="32" t="s">
        <v>179</v>
      </c>
      <c r="Z234" s="32" t="s">
        <v>182</v>
      </c>
      <c r="AA234" s="32" t="s">
        <v>73</v>
      </c>
      <c r="AB234" s="32" t="s">
        <v>75</v>
      </c>
      <c r="AC234" s="32" t="s">
        <v>89</v>
      </c>
      <c r="AD234" s="32" t="s">
        <v>82</v>
      </c>
      <c r="AE234" s="32" t="s">
        <v>90</v>
      </c>
      <c r="AF234" s="32" t="s">
        <v>73</v>
      </c>
      <c r="AG234" s="32" t="s">
        <v>178</v>
      </c>
      <c r="AH234" t="str">
        <f>VLOOKUP($R234,武学奇术!$A:$ZZ,25,FALSE)</f>
        <v>剑</v>
      </c>
      <c r="AI234" s="21">
        <f>VLOOKUP($R234,武学奇术!$A:$ZZ,26,FALSE)</f>
        <v>0.3465</v>
      </c>
      <c r="AJ234" s="22">
        <f>VLOOKUP($R234,武学奇术!$A:$ZZ,27,FALSE)*(1+IF(OR($AH234=$F$4,$AH234=$F$5),$B$22,0))</f>
        <v>0</v>
      </c>
      <c r="AK234" s="21">
        <f>VLOOKUP($R234,武学奇术!$A:$ZZ,28,FALSE)</f>
        <v>0.51975</v>
      </c>
      <c r="AL234" s="22">
        <f>VLOOKUP($R234,武学奇术!$A:$ZZ,29,FALSE)*(1+IF(OR($AH234=$F$4,$AH234=$F$5),$B$22,0))</f>
        <v>0</v>
      </c>
      <c r="AM234" s="21" cm="1">
        <f t="array" ref="AM234">$G$3+IFERROR(VLOOKUP($AH234,$F$4:$G$7,2,FALSE),0)+VLOOKUP($R234,武学奇术!$A:$ZZ,2,FALSE)+SUM(_xlfn.XLOOKUP($S234:$AG234,增益!$A:$A,增益!$B:$B,0))</f>
        <v>1.5591</v>
      </c>
      <c r="AN234" s="21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1831.48</v>
      </c>
      <c r="AP234" cm="1">
        <f t="array" ref="AP234">$E$10*(1+$AN234)+VLOOKUP($R234,武学奇术!$A:$ZZ,4,FALSE)+SUM(_xlfn.XLOOKUP($S234:$AG234,增益!$A:$A,增益!$D:$D,0))-$I$2</f>
        <v>7763.56</v>
      </c>
      <c r="AQ234" s="26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0.369</v>
      </c>
      <c r="AR234" s="26" cm="1">
        <f t="array" ref="AR234">$G$10+VLOOKUP($R234,武学奇术!$A:$ZZ,7,FALSE)+SUM(_xlfn.XLOOKUP(S234:AG234,增益!$A:$A,增益!$G:$G,0))</f>
        <v>0</v>
      </c>
      <c r="AS234" s="21" cm="1">
        <f t="array" ref="AS234">VLOOKUP($R234,武学奇术!$A:$ZZ,8,FALSE)+SUM(_xlfn.XLOOKUP(S234:AG234,增益!$A:$A,增益!$H:$H,0))</f>
        <v>0</v>
      </c>
      <c r="AT234">
        <f t="shared" si="86"/>
        <v>680.02</v>
      </c>
      <c r="AU234">
        <f t="shared" si="87"/>
        <v>1288.54</v>
      </c>
      <c r="AV234" s="26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26" cm="1">
        <f t="array" ref="AW234">$G$11+VLOOKUP($R234,武学奇术!$A:$ZZ,10,FALSE)+SUM(_xlfn.XLOOKUP(S234:AG234,增益!$A:$A,增益!$J:$J,0))</f>
        <v>0.15</v>
      </c>
      <c r="AX234">
        <f t="shared" si="88"/>
        <v>0</v>
      </c>
      <c r="AY234">
        <f t="shared" si="89"/>
        <v>0</v>
      </c>
      <c r="AZ234" s="26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26" cm="1">
        <f t="array" ref="BA234">$G$12+VLOOKUP($R234,武学奇术!$A:$ZZ,12,FALSE)+SUM(_xlfn.XLOOKUP(S234:AG234,增益!$A:$A,增益!$L:$L,0))</f>
        <v>0</v>
      </c>
      <c r="BB234">
        <f t="shared" si="90"/>
        <v>0</v>
      </c>
      <c r="BC234">
        <f t="shared" si="91"/>
        <v>0</v>
      </c>
      <c r="BD234" s="26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26" cm="1">
        <f t="array" ref="BE234">$G$13+VLOOKUP($R234,武学奇术!$A:$ZZ,14,FALSE)+SUM(_xlfn.XLOOKUP(S234:AG234,增益!$A:$A,增益!$N:$N,0))</f>
        <v>0</v>
      </c>
      <c r="BF234">
        <f t="shared" si="92"/>
        <v>0</v>
      </c>
      <c r="BG234">
        <f t="shared" si="93"/>
        <v>0</v>
      </c>
      <c r="BH234" s="26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26" cm="1">
        <f t="array" ref="BI234">$G$14+VLOOKUP($R234,武学奇术!$A:$ZZ,16,FALSE)+SUM(_xlfn.XLOOKUP(S234:AG234,增益!$A:$A,增益!$P:$P,0))</f>
        <v>0</v>
      </c>
      <c r="BJ234" s="21">
        <f>MIN(IF(VLOOKUP($R234,武学奇术!$A:$ZZ,23,FALSE)=1,100%,$B$8),100%)</f>
        <v>0.8229</v>
      </c>
      <c r="BK234" s="21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0.2285</v>
      </c>
      <c r="BL234" s="21" cm="1">
        <f t="array" ref="BL234">1+$B$13+VLOOKUP($R234,武学奇术!$A:$ZZ,18,FALSE)+SUM(_xlfn.XLOOKUP(S234:AG234,增益!$A:$A,增益!$R:$R,0))</f>
        <v>1.5</v>
      </c>
      <c r="BM234" s="21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0.4495</v>
      </c>
      <c r="BN234" s="21" cm="1">
        <f t="array" ref="BN234">1+$B$14+VLOOKUP($R234,武学奇术!$A:$ZZ,20,FALSE)+SUM(_xlfn.XLOOKUP(S234:AG234,增益!$A:$A,增益!$T:$T,0))</f>
        <v>1.782</v>
      </c>
      <c r="BO234" s="21">
        <f t="shared" ref="BO234" si="128">MIN((1-BM234)*BJ234,BJ234*BK234)</f>
        <v>0.18803265</v>
      </c>
      <c r="BP234" s="21">
        <f t="shared" ref="BP234" si="129">1-BM234-BO234-BQ234</f>
        <v>0.2649738</v>
      </c>
      <c r="BQ234" s="21">
        <f>IF(VLOOKUP($R234,武学奇术!$A:$ZZ,22,FALSE)=1,0,(1-$BJ234))*(1-$BM234)</f>
        <v>0.09749355</v>
      </c>
      <c r="BR234" s="21" cm="1">
        <f t="array" ref="BR234">SUM(_xlfn.XLOOKUP(S234:AG234,增益!$A:$A,增益!$W:$W,0))+$I$5</f>
        <v>0.16</v>
      </c>
    </row>
    <row r="235" spans="11:70">
      <c r="K235" s="24">
        <f>$L235*VLOOKUP($R235,武学奇术!$A:$ZZ,31,FALSE)</f>
        <v>6267.098786915</v>
      </c>
      <c r="L235" s="24">
        <f t="shared" si="85"/>
        <v>10445.1646448583</v>
      </c>
      <c r="M235" s="24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8546.77771057485</v>
      </c>
      <c r="N235" s="24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15748.3858611122</v>
      </c>
      <c r="O235" s="24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5697.8518070499</v>
      </c>
      <c r="P235" s="24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2558.22557756099</v>
      </c>
      <c r="Q235" s="31">
        <v>1</v>
      </c>
      <c r="R235" s="32" t="s">
        <v>198</v>
      </c>
      <c r="S235" s="32" t="s">
        <v>87</v>
      </c>
      <c r="T235" s="32" t="s">
        <v>96</v>
      </c>
      <c r="U235" s="32" t="s">
        <v>97</v>
      </c>
      <c r="V235" s="32" t="s">
        <v>73</v>
      </c>
      <c r="W235" s="32" t="s">
        <v>73</v>
      </c>
      <c r="X235" s="32" t="s">
        <v>127</v>
      </c>
      <c r="Y235" s="32" t="s">
        <v>179</v>
      </c>
      <c r="Z235" s="32" t="s">
        <v>182</v>
      </c>
      <c r="AA235" s="32" t="s">
        <v>73</v>
      </c>
      <c r="AB235" s="32" t="s">
        <v>75</v>
      </c>
      <c r="AC235" s="32" t="s">
        <v>89</v>
      </c>
      <c r="AD235" s="32" t="s">
        <v>82</v>
      </c>
      <c r="AE235" s="32" t="s">
        <v>90</v>
      </c>
      <c r="AF235" s="32" t="s">
        <v>73</v>
      </c>
      <c r="AG235" s="32" t="s">
        <v>178</v>
      </c>
      <c r="AH235" t="str">
        <f>VLOOKUP($R235,武学奇术!$A:$ZZ,25,FALSE)</f>
        <v>剑</v>
      </c>
      <c r="AI235" s="21">
        <f>VLOOKUP($R235,武学奇术!$A:$ZZ,26,FALSE)</f>
        <v>0.17325</v>
      </c>
      <c r="AJ235" s="22">
        <f>VLOOKUP($R235,武学奇术!$A:$ZZ,27,FALSE)*(1+IF(OR($AH235=$F$4,$AH235=$F$5),$B$22,0))</f>
        <v>0</v>
      </c>
      <c r="AK235" s="21">
        <f>VLOOKUP($R235,武学奇术!$A:$ZZ,28,FALSE)</f>
        <v>0.259875</v>
      </c>
      <c r="AL235" s="22">
        <f>VLOOKUP($R235,武学奇术!$A:$ZZ,29,FALSE)*(1+IF(OR($AH235=$F$4,$AH235=$F$5),$B$22,0))</f>
        <v>0</v>
      </c>
      <c r="AM235" s="21" cm="1">
        <f t="array" ref="AM235">$G$3+IFERROR(VLOOKUP($AH235,$F$4:$G$7,2,FALSE),0)+VLOOKUP($R235,武学奇术!$A:$ZZ,2,FALSE)+SUM(_xlfn.XLOOKUP($S235:$AG235,增益!$A:$A,增益!$B:$B,0))</f>
        <v>1.5591</v>
      </c>
      <c r="AN235" s="21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1831.48</v>
      </c>
      <c r="AP235" cm="1">
        <f t="array" ref="AP235">$E$10*(1+$AN235)+VLOOKUP($R235,武学奇术!$A:$ZZ,4,FALSE)+SUM(_xlfn.XLOOKUP($S235:$AG235,增益!$A:$A,增益!$D:$D,0))-$I$2</f>
        <v>7763.56</v>
      </c>
      <c r="AQ235" s="26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0.369</v>
      </c>
      <c r="AR235" s="26" cm="1">
        <f t="array" ref="AR235">$G$10+VLOOKUP($R235,武学奇术!$A:$ZZ,7,FALSE)+SUM(_xlfn.XLOOKUP(S235:AG235,增益!$A:$A,增益!$G:$G,0))</f>
        <v>0</v>
      </c>
      <c r="AS235" s="21" cm="1">
        <f t="array" ref="AS235">VLOOKUP($R235,武学奇术!$A:$ZZ,8,FALSE)+SUM(_xlfn.XLOOKUP(S235:AG235,增益!$A:$A,增益!$H:$H,0))</f>
        <v>0</v>
      </c>
      <c r="AT235">
        <f t="shared" si="86"/>
        <v>680.02</v>
      </c>
      <c r="AU235">
        <f t="shared" si="87"/>
        <v>1288.54</v>
      </c>
      <c r="AV235" s="26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0.075</v>
      </c>
      <c r="AW235" s="26" cm="1">
        <f t="array" ref="AW235">$G$11+VLOOKUP($R235,武学奇术!$A:$ZZ,10,FALSE)+SUM(_xlfn.XLOOKUP(S235:AG235,增益!$A:$A,增益!$J:$J,0))</f>
        <v>0.15</v>
      </c>
      <c r="AX235">
        <f t="shared" si="88"/>
        <v>0</v>
      </c>
      <c r="AY235">
        <f t="shared" si="89"/>
        <v>0</v>
      </c>
      <c r="AZ235" s="26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26" cm="1">
        <f t="array" ref="BA235">$G$12+VLOOKUP($R235,武学奇术!$A:$ZZ,12,FALSE)+SUM(_xlfn.XLOOKUP(S235:AG235,增益!$A:$A,增益!$L:$L,0))</f>
        <v>0</v>
      </c>
      <c r="BB235">
        <f t="shared" si="90"/>
        <v>0</v>
      </c>
      <c r="BC235">
        <f t="shared" si="91"/>
        <v>0</v>
      </c>
      <c r="BD235" s="26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26" cm="1">
        <f t="array" ref="BE235">$G$13+VLOOKUP($R235,武学奇术!$A:$ZZ,14,FALSE)+SUM(_xlfn.XLOOKUP(S235:AG235,增益!$A:$A,增益!$N:$N,0))</f>
        <v>0</v>
      </c>
      <c r="BF235">
        <f t="shared" si="92"/>
        <v>0</v>
      </c>
      <c r="BG235">
        <f t="shared" si="93"/>
        <v>0</v>
      </c>
      <c r="BH235" s="26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26" cm="1">
        <f t="array" ref="BI235">$G$14+VLOOKUP($R235,武学奇术!$A:$ZZ,16,FALSE)+SUM(_xlfn.XLOOKUP(S235:AG235,增益!$A:$A,增益!$P:$P,0))</f>
        <v>0</v>
      </c>
      <c r="BJ235" s="21">
        <f>MIN(IF(VLOOKUP($R235,武学奇术!$A:$ZZ,23,FALSE)=1,100%,$B$8),100%)</f>
        <v>0.8229</v>
      </c>
      <c r="BK235" s="21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0.2285</v>
      </c>
      <c r="BL235" s="21" cm="1">
        <f t="array" ref="BL235">1+$B$13+VLOOKUP($R235,武学奇术!$A:$ZZ,18,FALSE)+SUM(_xlfn.XLOOKUP(S235:AG235,增益!$A:$A,增益!$R:$R,0))</f>
        <v>1.5</v>
      </c>
      <c r="BM235" s="21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0.4495</v>
      </c>
      <c r="BN235" s="21" cm="1">
        <f t="array" ref="BN235">1+$B$14+VLOOKUP($R235,武学奇术!$A:$ZZ,20,FALSE)+SUM(_xlfn.XLOOKUP(S235:AG235,增益!$A:$A,增益!$T:$T,0))</f>
        <v>1.782</v>
      </c>
      <c r="BO235" s="21">
        <f t="shared" ref="BO235" si="130">MIN((1-BM235)*BJ235,BJ235*BK235)</f>
        <v>0.18803265</v>
      </c>
      <c r="BP235" s="21">
        <f t="shared" ref="BP235" si="131">1-BM235-BO235-BQ235</f>
        <v>0.2649738</v>
      </c>
      <c r="BQ235" s="21">
        <f>IF(VLOOKUP($R235,武学奇术!$A:$ZZ,22,FALSE)=1,0,(1-$BJ235))*(1-$BM235)</f>
        <v>0.09749355</v>
      </c>
      <c r="BR235" s="21" cm="1">
        <f t="array" ref="BR235">SUM(_xlfn.XLOOKUP(S235:AG235,增益!$A:$A,增益!$W:$W,0))+$I$5</f>
        <v>0.16</v>
      </c>
    </row>
    <row r="236" spans="11:70">
      <c r="K236" s="24">
        <f>$L236*VLOOKUP($R236,武学奇术!$A:$ZZ,31,FALSE)</f>
        <v>11499.3313419632</v>
      </c>
      <c r="L236" s="24">
        <f t="shared" si="85"/>
        <v>19165.5522366053</v>
      </c>
      <c r="M236" s="24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15698.9547965418</v>
      </c>
      <c r="N236" s="24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28875.3630869231</v>
      </c>
      <c r="O236" s="24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10465.9698643612</v>
      </c>
      <c r="P236" s="24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4728.03227253666</v>
      </c>
      <c r="Q236" s="31">
        <v>1</v>
      </c>
      <c r="R236" s="32" t="s">
        <v>199</v>
      </c>
      <c r="S236" s="32" t="s">
        <v>87</v>
      </c>
      <c r="T236" s="32" t="s">
        <v>96</v>
      </c>
      <c r="U236" s="32" t="s">
        <v>97</v>
      </c>
      <c r="V236" s="32" t="s">
        <v>73</v>
      </c>
      <c r="W236" s="32" t="s">
        <v>111</v>
      </c>
      <c r="X236" s="32" t="s">
        <v>127</v>
      </c>
      <c r="Y236" s="32" t="s">
        <v>73</v>
      </c>
      <c r="Z236" s="32" t="s">
        <v>73</v>
      </c>
      <c r="AA236" s="32" t="s">
        <v>73</v>
      </c>
      <c r="AB236" s="32" t="s">
        <v>75</v>
      </c>
      <c r="AC236" s="32" t="s">
        <v>89</v>
      </c>
      <c r="AD236" s="32" t="s">
        <v>82</v>
      </c>
      <c r="AE236" s="32" t="s">
        <v>90</v>
      </c>
      <c r="AF236" s="32" t="s">
        <v>73</v>
      </c>
      <c r="AG236" s="32" t="s">
        <v>178</v>
      </c>
      <c r="AH236" t="str">
        <f>VLOOKUP($R236,武学奇术!$A:$ZZ,25,FALSE)</f>
        <v>剑</v>
      </c>
      <c r="AI236" s="21">
        <f>VLOOKUP($R236,武学奇术!$A:$ZZ,26,FALSE)</f>
        <v>0.3465</v>
      </c>
      <c r="AJ236" s="22">
        <f>VLOOKUP($R236,武学奇术!$A:$ZZ,27,FALSE)*(1+IF(OR($AH236=$F$4,$AH236=$F$5),$B$22,0))</f>
        <v>0</v>
      </c>
      <c r="AK236" s="21">
        <f>VLOOKUP($R236,武学奇术!$A:$ZZ,28,FALSE)</f>
        <v>0.51975</v>
      </c>
      <c r="AL236" s="22">
        <f>VLOOKUP($R236,武学奇术!$A:$ZZ,29,FALSE)*(1+IF(OR($AH236=$F$4,$AH236=$F$5),$B$22,0))</f>
        <v>0</v>
      </c>
      <c r="AM236" s="21" cm="1">
        <f t="array" ref="AM236">$G$3+IFERROR(VLOOKUP($AH236,$F$4:$G$7,2,FALSE),0)+VLOOKUP($R236,武学奇术!$A:$ZZ,2,FALSE)+SUM(_xlfn.XLOOKUP($S236:$AG236,增益!$A:$A,增益!$B:$B,0))</f>
        <v>1.5591</v>
      </c>
      <c r="AN236" s="21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1862.48</v>
      </c>
      <c r="AP236" cm="1">
        <f t="array" ref="AP236">$E$10*(1+$AN236)+VLOOKUP($R236,武学奇术!$A:$ZZ,4,FALSE)+SUM(_xlfn.XLOOKUP($S236:$AG236,增益!$A:$A,增益!$D:$D,0))-$I$2</f>
        <v>7794.56</v>
      </c>
      <c r="AQ236" s="26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0.369</v>
      </c>
      <c r="AR236" s="26" cm="1">
        <f t="array" ref="AR236">$G$10+VLOOKUP($R236,武学奇术!$A:$ZZ,7,FALSE)+SUM(_xlfn.XLOOKUP(S236:AG236,增益!$A:$A,增益!$G:$G,0))</f>
        <v>0</v>
      </c>
      <c r="AS236" s="21" cm="1">
        <f t="array" ref="AS236">VLOOKUP($R236,武学奇术!$A:$ZZ,8,FALSE)+SUM(_xlfn.XLOOKUP(S236:AG236,增益!$A:$A,增益!$H:$H,0))</f>
        <v>0</v>
      </c>
      <c r="AT236">
        <f t="shared" si="86"/>
        <v>680.02</v>
      </c>
      <c r="AU236">
        <f t="shared" si="87"/>
        <v>1288.54</v>
      </c>
      <c r="AV236" s="26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0.075</v>
      </c>
      <c r="AW236" s="26" cm="1">
        <f t="array" ref="AW236">$G$11+VLOOKUP($R236,武学奇术!$A:$ZZ,10,FALSE)+SUM(_xlfn.XLOOKUP(S236:AG236,增益!$A:$A,增益!$J:$J,0))</f>
        <v>0.15</v>
      </c>
      <c r="AX236">
        <f t="shared" si="88"/>
        <v>0</v>
      </c>
      <c r="AY236">
        <f t="shared" si="89"/>
        <v>0</v>
      </c>
      <c r="AZ236" s="26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26" cm="1">
        <f t="array" ref="BA236">$G$12+VLOOKUP($R236,武学奇术!$A:$ZZ,12,FALSE)+SUM(_xlfn.XLOOKUP(S236:AG236,增益!$A:$A,增益!$L:$L,0))</f>
        <v>0</v>
      </c>
      <c r="BB236">
        <f t="shared" si="90"/>
        <v>0</v>
      </c>
      <c r="BC236">
        <f t="shared" si="91"/>
        <v>0</v>
      </c>
      <c r="BD236" s="26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26" cm="1">
        <f t="array" ref="BE236">$G$13+VLOOKUP($R236,武学奇术!$A:$ZZ,14,FALSE)+SUM(_xlfn.XLOOKUP(S236:AG236,增益!$A:$A,增益!$N:$N,0))</f>
        <v>0</v>
      </c>
      <c r="BF236">
        <f t="shared" si="92"/>
        <v>0</v>
      </c>
      <c r="BG236">
        <f t="shared" si="93"/>
        <v>0</v>
      </c>
      <c r="BH236" s="26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26" cm="1">
        <f t="array" ref="BI236">$G$14+VLOOKUP($R236,武学奇术!$A:$ZZ,16,FALSE)+SUM(_xlfn.XLOOKUP(S236:AG236,增益!$A:$A,增益!$P:$P,0))</f>
        <v>0</v>
      </c>
      <c r="BJ236" s="21">
        <f>MIN(IF(VLOOKUP($R236,武学奇术!$A:$ZZ,23,FALSE)=1,100%,$B$8),100%)</f>
        <v>0.8229</v>
      </c>
      <c r="BK236" s="21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0.2285</v>
      </c>
      <c r="BL236" s="21" cm="1">
        <f t="array" ref="BL236">1+$B$13+VLOOKUP($R236,武学奇术!$A:$ZZ,18,FALSE)+SUM(_xlfn.XLOOKUP(S236:AG236,增益!$A:$A,增益!$R:$R,0))</f>
        <v>1.5</v>
      </c>
      <c r="BM236" s="21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0.4495</v>
      </c>
      <c r="BN236" s="21" cm="1">
        <f t="array" ref="BN236">1+$B$14+VLOOKUP($R236,武学奇术!$A:$ZZ,20,FALSE)+SUM(_xlfn.XLOOKUP(S236:AG236,增益!$A:$A,增益!$T:$T,0))</f>
        <v>1.782</v>
      </c>
      <c r="BO236" s="21">
        <f t="shared" ref="BO236" si="132">MIN((1-BM236)*BJ236,BJ236*BK236)</f>
        <v>0.18803265</v>
      </c>
      <c r="BP236" s="21">
        <f t="shared" ref="BP236" si="133">1-BM236-BO236-BQ236</f>
        <v>0.2649738</v>
      </c>
      <c r="BQ236" s="21">
        <f>IF(VLOOKUP($R236,武学奇术!$A:$ZZ,22,FALSE)=1,0,(1-$BJ236))*(1-$BM236)</f>
        <v>0.09749355</v>
      </c>
      <c r="BR236" s="21" cm="1">
        <f t="array" ref="BR236">SUM(_xlfn.XLOOKUP(S236:AG236,增益!$A:$A,增益!$W:$W,0))+$I$5</f>
        <v>0.06</v>
      </c>
    </row>
    <row r="237" spans="11:70">
      <c r="K237" s="24">
        <f>$L237*VLOOKUP($R237,武学奇术!$A:$ZZ,31,FALSE)</f>
        <v>0</v>
      </c>
      <c r="L237" s="24">
        <f t="shared" si="85"/>
        <v>0</v>
      </c>
      <c r="M237" s="24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0</v>
      </c>
      <c r="N237" s="24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0</v>
      </c>
      <c r="O237" s="24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0</v>
      </c>
      <c r="P237" s="24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0</v>
      </c>
      <c r="Q237" s="31"/>
      <c r="R237" s="32" t="s">
        <v>73</v>
      </c>
      <c r="S237" s="32" t="s">
        <v>73</v>
      </c>
      <c r="T237" s="32" t="s">
        <v>73</v>
      </c>
      <c r="U237" s="32" t="s">
        <v>73</v>
      </c>
      <c r="V237" s="32" t="s">
        <v>73</v>
      </c>
      <c r="W237" s="32" t="s">
        <v>73</v>
      </c>
      <c r="X237" s="32" t="s">
        <v>73</v>
      </c>
      <c r="Y237" s="32" t="s">
        <v>73</v>
      </c>
      <c r="Z237" s="32" t="s">
        <v>73</v>
      </c>
      <c r="AA237" s="32" t="s">
        <v>73</v>
      </c>
      <c r="AB237" s="32" t="s">
        <v>73</v>
      </c>
      <c r="AC237" s="32" t="s">
        <v>73</v>
      </c>
      <c r="AD237" s="32" t="s">
        <v>73</v>
      </c>
      <c r="AE237" s="32" t="s">
        <v>73</v>
      </c>
      <c r="AF237" s="32" t="s">
        <v>73</v>
      </c>
      <c r="AG237" s="32" t="s">
        <v>73</v>
      </c>
      <c r="AH237" t="str">
        <f>VLOOKUP($R237,武学奇术!$A:$ZZ,25,FALSE)</f>
        <v>心法</v>
      </c>
      <c r="AI237" s="21">
        <f>VLOOKUP($R237,武学奇术!$A:$ZZ,26,FALSE)</f>
        <v>0</v>
      </c>
      <c r="AJ237" s="22">
        <f>VLOOKUP($R237,武学奇术!$A:$ZZ,27,FALSE)*(1+IF(OR($AH237=$F$4,$AH237=$F$5),$B$22,0))</f>
        <v>0</v>
      </c>
      <c r="AK237" s="21">
        <f>VLOOKUP($R237,武学奇术!$A:$ZZ,28,FALSE)</f>
        <v>0</v>
      </c>
      <c r="AL237" s="22">
        <f>VLOOKUP($R237,武学奇术!$A:$ZZ,29,FALSE)*(1+IF(OR($AH237=$F$4,$AH237=$F$5),$B$22,0))</f>
        <v>0</v>
      </c>
      <c r="AM237" s="21" cm="1">
        <f t="array" ref="AM237">$G$3+IFERROR(VLOOKUP($AH237,$F$4:$G$7,2,FALSE),0)+VLOOKUP($R237,武学奇术!$A:$ZZ,2,FALSE)+SUM(_xlfn.XLOOKUP($S237:$AG237,增益!$A:$A,增益!$B:$B,0))</f>
        <v>0.1842</v>
      </c>
      <c r="AN237" s="21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1831.48</v>
      </c>
      <c r="AP237" cm="1">
        <f t="array" ref="AP237">$E$10*(1+$AN237)+VLOOKUP($R237,武学奇术!$A:$ZZ,4,FALSE)+SUM(_xlfn.XLOOKUP($S237:$AG237,增益!$A:$A,增益!$D:$D,0))-$I$2</f>
        <v>7763.56</v>
      </c>
      <c r="AQ237" s="26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0.244</v>
      </c>
      <c r="AR237" s="26" cm="1">
        <f t="array" ref="AR237">$G$10+VLOOKUP($R237,武学奇术!$A:$ZZ,7,FALSE)+SUM(_xlfn.XLOOKUP(S237:AG237,增益!$A:$A,增益!$G:$G,0))</f>
        <v>0</v>
      </c>
      <c r="AS237" s="21" cm="1">
        <f t="array" ref="AS237">VLOOKUP($R237,武学奇术!$A:$ZZ,8,FALSE)+SUM(_xlfn.XLOOKUP(S237:AG237,增益!$A:$A,增益!$H:$H,0))</f>
        <v>0</v>
      </c>
      <c r="AT237">
        <f t="shared" si="86"/>
        <v>680.02</v>
      </c>
      <c r="AU237">
        <f t="shared" si="87"/>
        <v>1288.54</v>
      </c>
      <c r="AV237" s="26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</v>
      </c>
      <c r="AW237" s="26" cm="1">
        <f t="array" ref="AW237">$G$11+VLOOKUP($R237,武学奇术!$A:$ZZ,10,FALSE)+SUM(_xlfn.XLOOKUP(S237:AG237,增益!$A:$A,增益!$J:$J,0))</f>
        <v>0.15</v>
      </c>
      <c r="AX237">
        <f t="shared" si="88"/>
        <v>0</v>
      </c>
      <c r="AY237">
        <f t="shared" si="89"/>
        <v>0</v>
      </c>
      <c r="AZ237" s="26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26" cm="1">
        <f t="array" ref="BA237">$G$12+VLOOKUP($R237,武学奇术!$A:$ZZ,12,FALSE)+SUM(_xlfn.XLOOKUP(S237:AG237,增益!$A:$A,增益!$L:$L,0))</f>
        <v>0</v>
      </c>
      <c r="BB237">
        <f t="shared" si="90"/>
        <v>0</v>
      </c>
      <c r="BC237">
        <f t="shared" si="91"/>
        <v>0</v>
      </c>
      <c r="BD237" s="26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26" cm="1">
        <f t="array" ref="BE237">$G$13+VLOOKUP($R237,武学奇术!$A:$ZZ,14,FALSE)+SUM(_xlfn.XLOOKUP(S237:AG237,增益!$A:$A,增益!$N:$N,0))</f>
        <v>0</v>
      </c>
      <c r="BF237">
        <f t="shared" si="92"/>
        <v>0</v>
      </c>
      <c r="BG237">
        <f t="shared" si="93"/>
        <v>0</v>
      </c>
      <c r="BH237" s="26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26" cm="1">
        <f t="array" ref="BI237">$G$14+VLOOKUP($R237,武学奇术!$A:$ZZ,16,FALSE)+SUM(_xlfn.XLOOKUP(S237:AG237,增益!$A:$A,增益!$P:$P,0))</f>
        <v>0</v>
      </c>
      <c r="BJ237" s="21">
        <f>MIN(IF(VLOOKUP($R237,武学奇术!$A:$ZZ,23,FALSE)=1,100%,$B$8),100%)</f>
        <v>0.8229</v>
      </c>
      <c r="BK237" s="21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0.2285</v>
      </c>
      <c r="BL237" s="21" cm="1">
        <f t="array" ref="BL237">1+$B$13+VLOOKUP($R237,武学奇术!$A:$ZZ,18,FALSE)+SUM(_xlfn.XLOOKUP(S237:AG237,增益!$A:$A,增益!$R:$R,0))</f>
        <v>1.5</v>
      </c>
      <c r="BM237" s="21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0.4195</v>
      </c>
      <c r="BN237" s="21" cm="1">
        <f t="array" ref="BN237">1+$B$14+VLOOKUP($R237,武学奇术!$A:$ZZ,20,FALSE)+SUM(_xlfn.XLOOKUP(S237:AG237,增益!$A:$A,增益!$T:$T,0))</f>
        <v>1.402</v>
      </c>
      <c r="BO237" s="21">
        <f t="shared" ref="BO237" si="134">MIN((1-BM237)*BJ237,BJ237*BK237)</f>
        <v>0.18803265</v>
      </c>
      <c r="BP237" s="21">
        <f t="shared" ref="BP237" si="135">1-BM237-BO237-BQ237</f>
        <v>0.2896608</v>
      </c>
      <c r="BQ237" s="21">
        <f>IF(VLOOKUP($R237,武学奇术!$A:$ZZ,22,FALSE)=1,0,(1-$BJ237))*(1-$BM237)</f>
        <v>0.10280655</v>
      </c>
      <c r="BR237" s="21" cm="1">
        <f t="array" ref="BR237">SUM(_xlfn.XLOOKUP(S237:AG237,增益!$A:$A,增益!$W:$W,0))+$I$5</f>
        <v>0.06</v>
      </c>
    </row>
    <row r="238" spans="11:70">
      <c r="K238" s="24">
        <f>$L238*VLOOKUP($R238,武学奇术!$A:$ZZ,31,FALSE)</f>
        <v>8303.60378556506</v>
      </c>
      <c r="L238" s="24">
        <f t="shared" si="85"/>
        <v>13839.3396426084</v>
      </c>
      <c r="M238" s="24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11324.0684669097</v>
      </c>
      <c r="N238" s="24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20865.8521110118</v>
      </c>
      <c r="O238" s="24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7549.37897793982</v>
      </c>
      <c r="P238" s="24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3389.52557035111</v>
      </c>
      <c r="Q238" s="31">
        <v>1</v>
      </c>
      <c r="R238" s="32" t="s">
        <v>197</v>
      </c>
      <c r="S238" s="32" t="s">
        <v>87</v>
      </c>
      <c r="T238" s="32" t="s">
        <v>96</v>
      </c>
      <c r="U238" s="32" t="s">
        <v>97</v>
      </c>
      <c r="V238" s="32" t="s">
        <v>73</v>
      </c>
      <c r="W238" s="32" t="s">
        <v>73</v>
      </c>
      <c r="X238" s="32" t="s">
        <v>127</v>
      </c>
      <c r="Y238" s="32" t="s">
        <v>73</v>
      </c>
      <c r="Z238" s="32" t="s">
        <v>73</v>
      </c>
      <c r="AA238" s="32" t="s">
        <v>81</v>
      </c>
      <c r="AB238" s="32" t="s">
        <v>75</v>
      </c>
      <c r="AC238" s="32" t="s">
        <v>76</v>
      </c>
      <c r="AD238" s="32" t="s">
        <v>82</v>
      </c>
      <c r="AE238" s="32" t="s">
        <v>73</v>
      </c>
      <c r="AF238" s="32" t="s">
        <v>73</v>
      </c>
      <c r="AG238" s="32" t="s">
        <v>178</v>
      </c>
      <c r="AH238" t="str">
        <f>VLOOKUP($R238,武学奇术!$A:$ZZ,25,FALSE)</f>
        <v>剑</v>
      </c>
      <c r="AI238" s="21">
        <f>VLOOKUP($R238,武学奇术!$A:$ZZ,26,FALSE)</f>
        <v>0.2772</v>
      </c>
      <c r="AJ238" s="22">
        <f>VLOOKUP($R238,武学奇术!$A:$ZZ,27,FALSE)*(1+IF(OR($AH238=$F$4,$AH238=$F$5),$B$22,0))</f>
        <v>0</v>
      </c>
      <c r="AK238" s="21">
        <f>VLOOKUP($R238,武学奇术!$A:$ZZ,28,FALSE)</f>
        <v>0.4158</v>
      </c>
      <c r="AL238" s="22">
        <f>VLOOKUP($R238,武学奇术!$A:$ZZ,29,FALSE)*(1+IF(OR($AH238=$F$4,$AH238=$F$5),$B$22,0))</f>
        <v>0</v>
      </c>
      <c r="AM238" s="21" cm="1">
        <f t="array" ref="AM238">$G$3+IFERROR(VLOOKUP($AH238,$F$4:$G$7,2,FALSE),0)+VLOOKUP($R238,武学奇术!$A:$ZZ,2,FALSE)+SUM(_xlfn.XLOOKUP($S238:$AG238,增益!$A:$A,增益!$B:$B,0))</f>
        <v>1.3191</v>
      </c>
      <c r="AN238" s="21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1831.48</v>
      </c>
      <c r="AP238" cm="1">
        <f t="array" ref="AP238">$E$10*(1+$AN238)+VLOOKUP($R238,武学奇术!$A:$ZZ,4,FALSE)+SUM(_xlfn.XLOOKUP($S238:$AG238,增益!$A:$A,增益!$D:$D,0))-$I$2</f>
        <v>7763.56</v>
      </c>
      <c r="AQ238" s="26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0.369</v>
      </c>
      <c r="AR238" s="26" cm="1">
        <f t="array" ref="AR238">$G$10+VLOOKUP($R238,武学奇术!$A:$ZZ,7,FALSE)+SUM(_xlfn.XLOOKUP(S238:AG238,增益!$A:$A,增益!$G:$G,0))</f>
        <v>0</v>
      </c>
      <c r="AS238" s="21" cm="1">
        <f t="array" ref="AS238">VLOOKUP($R238,武学奇术!$A:$ZZ,8,FALSE)+SUM(_xlfn.XLOOKUP(S238:AG238,增益!$A:$A,增益!$H:$H,0))</f>
        <v>0</v>
      </c>
      <c r="AT238">
        <f t="shared" si="86"/>
        <v>680.02</v>
      </c>
      <c r="AU238">
        <f t="shared" si="87"/>
        <v>1288.54</v>
      </c>
      <c r="AV238" s="26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0.075</v>
      </c>
      <c r="AW238" s="26" cm="1">
        <f t="array" ref="AW238">$G$11+VLOOKUP($R238,武学奇术!$A:$ZZ,10,FALSE)+SUM(_xlfn.XLOOKUP(S238:AG238,增益!$A:$A,增益!$J:$J,0))</f>
        <v>0.15</v>
      </c>
      <c r="AX238">
        <f t="shared" si="88"/>
        <v>0</v>
      </c>
      <c r="AY238">
        <f t="shared" si="89"/>
        <v>0</v>
      </c>
      <c r="AZ238" s="26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26" cm="1">
        <f t="array" ref="BA238">$G$12+VLOOKUP($R238,武学奇术!$A:$ZZ,12,FALSE)+SUM(_xlfn.XLOOKUP(S238:AG238,增益!$A:$A,增益!$L:$L,0))</f>
        <v>0</v>
      </c>
      <c r="BB238">
        <f t="shared" si="90"/>
        <v>0</v>
      </c>
      <c r="BC238">
        <f t="shared" si="91"/>
        <v>0</v>
      </c>
      <c r="BD238" s="26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26" cm="1">
        <f t="array" ref="BE238">$G$13+VLOOKUP($R238,武学奇术!$A:$ZZ,14,FALSE)+SUM(_xlfn.XLOOKUP(S238:AG238,增益!$A:$A,增益!$N:$N,0))</f>
        <v>0</v>
      </c>
      <c r="BF238">
        <f t="shared" si="92"/>
        <v>0</v>
      </c>
      <c r="BG238">
        <f t="shared" si="93"/>
        <v>0</v>
      </c>
      <c r="BH238" s="26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26" cm="1">
        <f t="array" ref="BI238">$G$14+VLOOKUP($R238,武学奇术!$A:$ZZ,16,FALSE)+SUM(_xlfn.XLOOKUP(S238:AG238,增益!$A:$A,增益!$P:$P,0))</f>
        <v>0</v>
      </c>
      <c r="BJ238" s="21">
        <f>MIN(IF(VLOOKUP($R238,武学奇术!$A:$ZZ,23,FALSE)=1,100%,$B$8),100%)</f>
        <v>0.8229</v>
      </c>
      <c r="BK238" s="21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0.2285</v>
      </c>
      <c r="BL238" s="21" cm="1">
        <f t="array" ref="BL238">1+$B$13+VLOOKUP($R238,武学奇术!$A:$ZZ,18,FALSE)+SUM(_xlfn.XLOOKUP(S238:AG238,增益!$A:$A,增益!$R:$R,0))</f>
        <v>1.5</v>
      </c>
      <c r="BM238" s="21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0.4495</v>
      </c>
      <c r="BN238" s="21" cm="1">
        <f t="array" ref="BN238">1+$B$14+VLOOKUP($R238,武学奇术!$A:$ZZ,20,FALSE)+SUM(_xlfn.XLOOKUP(S238:AG238,增益!$A:$A,增益!$T:$T,0))</f>
        <v>1.782</v>
      </c>
      <c r="BO238" s="21">
        <f t="shared" ref="BO238" si="136">MIN((1-BM238)*BJ238,BJ238*BK238)</f>
        <v>0.18803265</v>
      </c>
      <c r="BP238" s="21">
        <f t="shared" ref="BP238" si="137">1-BM238-BO238-BQ238</f>
        <v>0.2649738</v>
      </c>
      <c r="BQ238" s="21">
        <f>IF(VLOOKUP($R238,武学奇术!$A:$ZZ,22,FALSE)=1,0,(1-$BJ238))*(1-$BM238)</f>
        <v>0.09749355</v>
      </c>
      <c r="BR238" s="21" cm="1">
        <f t="array" ref="BR238">SUM(_xlfn.XLOOKUP(S238:AG238,增益!$A:$A,增益!$W:$W,0))+$I$5</f>
        <v>0.06</v>
      </c>
    </row>
    <row r="239" spans="11:70">
      <c r="K239" s="24">
        <f>$L239*VLOOKUP($R239,武学奇术!$A:$ZZ,31,FALSE)</f>
        <v>8303.60378556506</v>
      </c>
      <c r="L239" s="24">
        <f t="shared" si="85"/>
        <v>13839.3396426084</v>
      </c>
      <c r="M239" s="24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11324.0684669097</v>
      </c>
      <c r="N239" s="24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20865.8521110118</v>
      </c>
      <c r="O239" s="24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7549.37897793982</v>
      </c>
      <c r="P239" s="24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3389.52557035111</v>
      </c>
      <c r="Q239" s="31">
        <v>1</v>
      </c>
      <c r="R239" s="32" t="s">
        <v>197</v>
      </c>
      <c r="S239" s="32" t="s">
        <v>87</v>
      </c>
      <c r="T239" s="32" t="s">
        <v>96</v>
      </c>
      <c r="U239" s="32" t="s">
        <v>97</v>
      </c>
      <c r="V239" s="32" t="s">
        <v>73</v>
      </c>
      <c r="W239" s="32" t="s">
        <v>73</v>
      </c>
      <c r="X239" s="32" t="s">
        <v>127</v>
      </c>
      <c r="Y239" s="32" t="s">
        <v>73</v>
      </c>
      <c r="Z239" s="32" t="s">
        <v>73</v>
      </c>
      <c r="AA239" s="32" t="s">
        <v>81</v>
      </c>
      <c r="AB239" s="32" t="s">
        <v>75</v>
      </c>
      <c r="AC239" s="32" t="s">
        <v>76</v>
      </c>
      <c r="AD239" s="32" t="s">
        <v>82</v>
      </c>
      <c r="AE239" s="32" t="s">
        <v>73</v>
      </c>
      <c r="AF239" s="32" t="s">
        <v>73</v>
      </c>
      <c r="AG239" s="32" t="s">
        <v>178</v>
      </c>
      <c r="AH239" t="str">
        <f>VLOOKUP($R239,武学奇术!$A:$ZZ,25,FALSE)</f>
        <v>剑</v>
      </c>
      <c r="AI239" s="21">
        <f>VLOOKUP($R239,武学奇术!$A:$ZZ,26,FALSE)</f>
        <v>0.2772</v>
      </c>
      <c r="AJ239" s="22">
        <f>VLOOKUP($R239,武学奇术!$A:$ZZ,27,FALSE)*(1+IF(OR($AH239=$F$4,$AH239=$F$5),$B$22,0))</f>
        <v>0</v>
      </c>
      <c r="AK239" s="21">
        <f>VLOOKUP($R239,武学奇术!$A:$ZZ,28,FALSE)</f>
        <v>0.4158</v>
      </c>
      <c r="AL239" s="22">
        <f>VLOOKUP($R239,武学奇术!$A:$ZZ,29,FALSE)*(1+IF(OR($AH239=$F$4,$AH239=$F$5),$B$22,0))</f>
        <v>0</v>
      </c>
      <c r="AM239" s="21" cm="1">
        <f t="array" ref="AM239">$G$3+IFERROR(VLOOKUP($AH239,$F$4:$G$7,2,FALSE),0)+VLOOKUP($R239,武学奇术!$A:$ZZ,2,FALSE)+SUM(_xlfn.XLOOKUP($S239:$AG239,增益!$A:$A,增益!$B:$B,0))</f>
        <v>1.3191</v>
      </c>
      <c r="AN239" s="21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1831.48</v>
      </c>
      <c r="AP239" cm="1">
        <f t="array" ref="AP239">$E$10*(1+$AN239)+VLOOKUP($R239,武学奇术!$A:$ZZ,4,FALSE)+SUM(_xlfn.XLOOKUP($S239:$AG239,增益!$A:$A,增益!$D:$D,0))-$I$2</f>
        <v>7763.56</v>
      </c>
      <c r="AQ239" s="26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0.369</v>
      </c>
      <c r="AR239" s="26" cm="1">
        <f t="array" ref="AR239">$G$10+VLOOKUP($R239,武学奇术!$A:$ZZ,7,FALSE)+SUM(_xlfn.XLOOKUP(S239:AG239,增益!$A:$A,增益!$G:$G,0))</f>
        <v>0</v>
      </c>
      <c r="AS239" s="21" cm="1">
        <f t="array" ref="AS239">VLOOKUP($R239,武学奇术!$A:$ZZ,8,FALSE)+SUM(_xlfn.XLOOKUP(S239:AG239,增益!$A:$A,增益!$H:$H,0))</f>
        <v>0</v>
      </c>
      <c r="AT239">
        <f t="shared" si="86"/>
        <v>680.02</v>
      </c>
      <c r="AU239">
        <f t="shared" si="87"/>
        <v>1288.54</v>
      </c>
      <c r="AV239" s="26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0.075</v>
      </c>
      <c r="AW239" s="26" cm="1">
        <f t="array" ref="AW239">$G$11+VLOOKUP($R239,武学奇术!$A:$ZZ,10,FALSE)+SUM(_xlfn.XLOOKUP(S239:AG239,增益!$A:$A,增益!$J:$J,0))</f>
        <v>0.15</v>
      </c>
      <c r="AX239">
        <f t="shared" si="88"/>
        <v>0</v>
      </c>
      <c r="AY239">
        <f t="shared" si="89"/>
        <v>0</v>
      </c>
      <c r="AZ239" s="26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26" cm="1">
        <f t="array" ref="BA239">$G$12+VLOOKUP($R239,武学奇术!$A:$ZZ,12,FALSE)+SUM(_xlfn.XLOOKUP(S239:AG239,增益!$A:$A,增益!$L:$L,0))</f>
        <v>0</v>
      </c>
      <c r="BB239">
        <f t="shared" si="90"/>
        <v>0</v>
      </c>
      <c r="BC239">
        <f t="shared" si="91"/>
        <v>0</v>
      </c>
      <c r="BD239" s="26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26" cm="1">
        <f t="array" ref="BE239">$G$13+VLOOKUP($R239,武学奇术!$A:$ZZ,14,FALSE)+SUM(_xlfn.XLOOKUP(S239:AG239,增益!$A:$A,增益!$N:$N,0))</f>
        <v>0</v>
      </c>
      <c r="BF239">
        <f t="shared" si="92"/>
        <v>0</v>
      </c>
      <c r="BG239">
        <f t="shared" si="93"/>
        <v>0</v>
      </c>
      <c r="BH239" s="26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26" cm="1">
        <f t="array" ref="BI239">$G$14+VLOOKUP($R239,武学奇术!$A:$ZZ,16,FALSE)+SUM(_xlfn.XLOOKUP(S239:AG239,增益!$A:$A,增益!$P:$P,0))</f>
        <v>0</v>
      </c>
      <c r="BJ239" s="21">
        <f>MIN(IF(VLOOKUP($R239,武学奇术!$A:$ZZ,23,FALSE)=1,100%,$B$8),100%)</f>
        <v>0.8229</v>
      </c>
      <c r="BK239" s="21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0.2285</v>
      </c>
      <c r="BL239" s="21" cm="1">
        <f t="array" ref="BL239">1+$B$13+VLOOKUP($R239,武学奇术!$A:$ZZ,18,FALSE)+SUM(_xlfn.XLOOKUP(S239:AG239,增益!$A:$A,增益!$R:$R,0))</f>
        <v>1.5</v>
      </c>
      <c r="BM239" s="21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0.4495</v>
      </c>
      <c r="BN239" s="21" cm="1">
        <f t="array" ref="BN239">1+$B$14+VLOOKUP($R239,武学奇术!$A:$ZZ,20,FALSE)+SUM(_xlfn.XLOOKUP(S239:AG239,增益!$A:$A,增益!$T:$T,0))</f>
        <v>1.782</v>
      </c>
      <c r="BO239" s="21">
        <f t="shared" ref="BO239" si="138">MIN((1-BM239)*BJ239,BJ239*BK239)</f>
        <v>0.18803265</v>
      </c>
      <c r="BP239" s="21">
        <f t="shared" ref="BP239" si="139">1-BM239-BO239-BQ239</f>
        <v>0.2649738</v>
      </c>
      <c r="BQ239" s="21">
        <f>IF(VLOOKUP($R239,武学奇术!$A:$ZZ,22,FALSE)=1,0,(1-$BJ239))*(1-$BM239)</f>
        <v>0.09749355</v>
      </c>
      <c r="BR239" s="21" cm="1">
        <f t="array" ref="BR239">SUM(_xlfn.XLOOKUP(S239:AG239,增益!$A:$A,增益!$W:$W,0))+$I$5</f>
        <v>0.06</v>
      </c>
    </row>
    <row r="240" spans="11:70">
      <c r="K240" s="24">
        <f>$L240*VLOOKUP($R240,武学奇术!$A:$ZZ,31,FALSE)</f>
        <v>5189.75236597816</v>
      </c>
      <c r="L240" s="24">
        <f t="shared" si="85"/>
        <v>8649.58727663027</v>
      </c>
      <c r="M240" s="24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7077.54279181858</v>
      </c>
      <c r="N240" s="24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13041.1575693824</v>
      </c>
      <c r="O240" s="24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4718.36186121238</v>
      </c>
      <c r="P240" s="24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2118.45348146944</v>
      </c>
      <c r="Q240" s="31">
        <v>1</v>
      </c>
      <c r="R240" s="32" t="s">
        <v>198</v>
      </c>
      <c r="S240" s="32" t="s">
        <v>87</v>
      </c>
      <c r="T240" s="32" t="s">
        <v>96</v>
      </c>
      <c r="U240" s="32" t="s">
        <v>97</v>
      </c>
      <c r="V240" s="32" t="s">
        <v>73</v>
      </c>
      <c r="W240" s="32" t="s">
        <v>73</v>
      </c>
      <c r="X240" s="32" t="s">
        <v>127</v>
      </c>
      <c r="Y240" s="32" t="s">
        <v>73</v>
      </c>
      <c r="Z240" s="32" t="s">
        <v>73</v>
      </c>
      <c r="AA240" s="32" t="s">
        <v>81</v>
      </c>
      <c r="AB240" s="32" t="s">
        <v>75</v>
      </c>
      <c r="AC240" s="32" t="s">
        <v>76</v>
      </c>
      <c r="AD240" s="32" t="s">
        <v>82</v>
      </c>
      <c r="AE240" s="32" t="s">
        <v>73</v>
      </c>
      <c r="AF240" s="32" t="s">
        <v>73</v>
      </c>
      <c r="AG240" s="32" t="s">
        <v>178</v>
      </c>
      <c r="AH240" t="str">
        <f>VLOOKUP($R240,武学奇术!$A:$ZZ,25,FALSE)</f>
        <v>剑</v>
      </c>
      <c r="AI240" s="21">
        <f>VLOOKUP($R240,武学奇术!$A:$ZZ,26,FALSE)</f>
        <v>0.17325</v>
      </c>
      <c r="AJ240" s="22">
        <f>VLOOKUP($R240,武学奇术!$A:$ZZ,27,FALSE)*(1+IF(OR($AH240=$F$4,$AH240=$F$5),$B$22,0))</f>
        <v>0</v>
      </c>
      <c r="AK240" s="21">
        <f>VLOOKUP($R240,武学奇术!$A:$ZZ,28,FALSE)</f>
        <v>0.259875</v>
      </c>
      <c r="AL240" s="22">
        <f>VLOOKUP($R240,武学奇术!$A:$ZZ,29,FALSE)*(1+IF(OR($AH240=$F$4,$AH240=$F$5),$B$22,0))</f>
        <v>0</v>
      </c>
      <c r="AM240" s="21" cm="1">
        <f t="array" ref="AM240">$G$3+IFERROR(VLOOKUP($AH240,$F$4:$G$7,2,FALSE),0)+VLOOKUP($R240,武学奇术!$A:$ZZ,2,FALSE)+SUM(_xlfn.XLOOKUP($S240:$AG240,增益!$A:$A,增益!$B:$B,0))</f>
        <v>1.3191</v>
      </c>
      <c r="AN240" s="21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1831.48</v>
      </c>
      <c r="AP240" cm="1">
        <f t="array" ref="AP240">$E$10*(1+$AN240)+VLOOKUP($R240,武学奇术!$A:$ZZ,4,FALSE)+SUM(_xlfn.XLOOKUP($S240:$AG240,增益!$A:$A,增益!$D:$D,0))-$I$2</f>
        <v>7763.56</v>
      </c>
      <c r="AQ240" s="26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0.369</v>
      </c>
      <c r="AR240" s="26" cm="1">
        <f t="array" ref="AR240">$G$10+VLOOKUP($R240,武学奇术!$A:$ZZ,7,FALSE)+SUM(_xlfn.XLOOKUP(S240:AG240,增益!$A:$A,增益!$G:$G,0))</f>
        <v>0</v>
      </c>
      <c r="AS240" s="21" cm="1">
        <f t="array" ref="AS240">VLOOKUP($R240,武学奇术!$A:$ZZ,8,FALSE)+SUM(_xlfn.XLOOKUP(S240:AG240,增益!$A:$A,增益!$H:$H,0))</f>
        <v>0</v>
      </c>
      <c r="AT240">
        <f t="shared" si="86"/>
        <v>680.02</v>
      </c>
      <c r="AU240">
        <f t="shared" si="87"/>
        <v>1288.54</v>
      </c>
      <c r="AV240" s="26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0.075</v>
      </c>
      <c r="AW240" s="26" cm="1">
        <f t="array" ref="AW240">$G$11+VLOOKUP($R240,武学奇术!$A:$ZZ,10,FALSE)+SUM(_xlfn.XLOOKUP(S240:AG240,增益!$A:$A,增益!$J:$J,0))</f>
        <v>0.15</v>
      </c>
      <c r="AX240">
        <f t="shared" si="88"/>
        <v>0</v>
      </c>
      <c r="AY240">
        <f t="shared" si="89"/>
        <v>0</v>
      </c>
      <c r="AZ240" s="26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26" cm="1">
        <f t="array" ref="BA240">$G$12+VLOOKUP($R240,武学奇术!$A:$ZZ,12,FALSE)+SUM(_xlfn.XLOOKUP(S240:AG240,增益!$A:$A,增益!$L:$L,0))</f>
        <v>0</v>
      </c>
      <c r="BB240">
        <f t="shared" si="90"/>
        <v>0</v>
      </c>
      <c r="BC240">
        <f t="shared" si="91"/>
        <v>0</v>
      </c>
      <c r="BD240" s="26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26" cm="1">
        <f t="array" ref="BE240">$G$13+VLOOKUP($R240,武学奇术!$A:$ZZ,14,FALSE)+SUM(_xlfn.XLOOKUP(S240:AG240,增益!$A:$A,增益!$N:$N,0))</f>
        <v>0</v>
      </c>
      <c r="BF240">
        <f t="shared" si="92"/>
        <v>0</v>
      </c>
      <c r="BG240">
        <f t="shared" si="93"/>
        <v>0</v>
      </c>
      <c r="BH240" s="26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26" cm="1">
        <f t="array" ref="BI240">$G$14+VLOOKUP($R240,武学奇术!$A:$ZZ,16,FALSE)+SUM(_xlfn.XLOOKUP(S240:AG240,增益!$A:$A,增益!$P:$P,0))</f>
        <v>0</v>
      </c>
      <c r="BJ240" s="21">
        <f>MIN(IF(VLOOKUP($R240,武学奇术!$A:$ZZ,23,FALSE)=1,100%,$B$8),100%)</f>
        <v>0.8229</v>
      </c>
      <c r="BK240" s="21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0.2285</v>
      </c>
      <c r="BL240" s="21" cm="1">
        <f t="array" ref="BL240">1+$B$13+VLOOKUP($R240,武学奇术!$A:$ZZ,18,FALSE)+SUM(_xlfn.XLOOKUP(S240:AG240,增益!$A:$A,增益!$R:$R,0))</f>
        <v>1.5</v>
      </c>
      <c r="BM240" s="21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0.4495</v>
      </c>
      <c r="BN240" s="21" cm="1">
        <f t="array" ref="BN240">1+$B$14+VLOOKUP($R240,武学奇术!$A:$ZZ,20,FALSE)+SUM(_xlfn.XLOOKUP(S240:AG240,增益!$A:$A,增益!$T:$T,0))</f>
        <v>1.782</v>
      </c>
      <c r="BO240" s="21">
        <f t="shared" ref="BO240" si="140">MIN((1-BM240)*BJ240,BJ240*BK240)</f>
        <v>0.18803265</v>
      </c>
      <c r="BP240" s="21">
        <f t="shared" ref="BP240" si="141">1-BM240-BO240-BQ240</f>
        <v>0.2649738</v>
      </c>
      <c r="BQ240" s="21">
        <f>IF(VLOOKUP($R240,武学奇术!$A:$ZZ,22,FALSE)=1,0,(1-$BJ240))*(1-$BM240)</f>
        <v>0.09749355</v>
      </c>
      <c r="BR240" s="21" cm="1">
        <f t="array" ref="BR240">SUM(_xlfn.XLOOKUP(S240:AG240,增益!$A:$A,增益!$W:$W,0))+$I$5</f>
        <v>0.06</v>
      </c>
    </row>
    <row r="241" spans="11:70">
      <c r="K241" s="24">
        <f>$L241*VLOOKUP($R241,武学奇术!$A:$ZZ,31,FALSE)</f>
        <v>11499.3313419632</v>
      </c>
      <c r="L241" s="24">
        <f t="shared" si="85"/>
        <v>19165.5522366053</v>
      </c>
      <c r="M241" s="24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15698.9547965418</v>
      </c>
      <c r="N241" s="24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28875.3630869231</v>
      </c>
      <c r="O241" s="24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10465.9698643612</v>
      </c>
      <c r="P241" s="24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4728.03227253666</v>
      </c>
      <c r="Q241" s="31">
        <v>1</v>
      </c>
      <c r="R241" s="32" t="s">
        <v>199</v>
      </c>
      <c r="S241" s="32" t="s">
        <v>87</v>
      </c>
      <c r="T241" s="32" t="s">
        <v>96</v>
      </c>
      <c r="U241" s="32" t="s">
        <v>97</v>
      </c>
      <c r="V241" s="32" t="s">
        <v>73</v>
      </c>
      <c r="W241" s="32" t="s">
        <v>111</v>
      </c>
      <c r="X241" s="32" t="s">
        <v>127</v>
      </c>
      <c r="Y241" s="32" t="s">
        <v>73</v>
      </c>
      <c r="Z241" s="32" t="s">
        <v>73</v>
      </c>
      <c r="AA241" s="32" t="s">
        <v>81</v>
      </c>
      <c r="AB241" s="32" t="s">
        <v>75</v>
      </c>
      <c r="AC241" s="32" t="s">
        <v>89</v>
      </c>
      <c r="AD241" s="32" t="s">
        <v>82</v>
      </c>
      <c r="AE241" s="32" t="s">
        <v>90</v>
      </c>
      <c r="AF241" s="32" t="s">
        <v>73</v>
      </c>
      <c r="AG241" s="32" t="s">
        <v>178</v>
      </c>
      <c r="AH241" t="str">
        <f>VLOOKUP($R241,武学奇术!$A:$ZZ,25,FALSE)</f>
        <v>剑</v>
      </c>
      <c r="AI241" s="21">
        <f>VLOOKUP($R241,武学奇术!$A:$ZZ,26,FALSE)</f>
        <v>0.3465</v>
      </c>
      <c r="AJ241" s="22">
        <f>VLOOKUP($R241,武学奇术!$A:$ZZ,27,FALSE)*(1+IF(OR($AH241=$F$4,$AH241=$F$5),$B$22,0))</f>
        <v>0</v>
      </c>
      <c r="AK241" s="21">
        <f>VLOOKUP($R241,武学奇术!$A:$ZZ,28,FALSE)</f>
        <v>0.51975</v>
      </c>
      <c r="AL241" s="22">
        <f>VLOOKUP($R241,武学奇术!$A:$ZZ,29,FALSE)*(1+IF(OR($AH241=$F$4,$AH241=$F$5),$B$22,0))</f>
        <v>0</v>
      </c>
      <c r="AM241" s="21" cm="1">
        <f t="array" ref="AM241">$G$3+IFERROR(VLOOKUP($AH241,$F$4:$G$7,2,FALSE),0)+VLOOKUP($R241,武学奇术!$A:$ZZ,2,FALSE)+SUM(_xlfn.XLOOKUP($S241:$AG241,增益!$A:$A,增益!$B:$B,0))</f>
        <v>1.5591</v>
      </c>
      <c r="AN241" s="21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1862.48</v>
      </c>
      <c r="AP241" cm="1">
        <f t="array" ref="AP241">$E$10*(1+$AN241)+VLOOKUP($R241,武学奇术!$A:$ZZ,4,FALSE)+SUM(_xlfn.XLOOKUP($S241:$AG241,增益!$A:$A,增益!$D:$D,0))-$I$2</f>
        <v>7794.56</v>
      </c>
      <c r="AQ241" s="26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0.369</v>
      </c>
      <c r="AR241" s="26" cm="1">
        <f t="array" ref="AR241">$G$10+VLOOKUP($R241,武学奇术!$A:$ZZ,7,FALSE)+SUM(_xlfn.XLOOKUP(S241:AG241,增益!$A:$A,增益!$G:$G,0))</f>
        <v>0</v>
      </c>
      <c r="AS241" s="21" cm="1">
        <f t="array" ref="AS241">VLOOKUP($R241,武学奇术!$A:$ZZ,8,FALSE)+SUM(_xlfn.XLOOKUP(S241:AG241,增益!$A:$A,增益!$H:$H,0))</f>
        <v>0</v>
      </c>
      <c r="AT241">
        <f t="shared" si="86"/>
        <v>680.02</v>
      </c>
      <c r="AU241">
        <f t="shared" si="87"/>
        <v>1288.54</v>
      </c>
      <c r="AV241" s="26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26" cm="1">
        <f t="array" ref="AW241">$G$11+VLOOKUP($R241,武学奇术!$A:$ZZ,10,FALSE)+SUM(_xlfn.XLOOKUP(S241:AG241,增益!$A:$A,增益!$J:$J,0))</f>
        <v>0.15</v>
      </c>
      <c r="AX241">
        <f t="shared" si="88"/>
        <v>0</v>
      </c>
      <c r="AY241">
        <f t="shared" si="89"/>
        <v>0</v>
      </c>
      <c r="AZ241" s="26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26" cm="1">
        <f t="array" ref="BA241">$G$12+VLOOKUP($R241,武学奇术!$A:$ZZ,12,FALSE)+SUM(_xlfn.XLOOKUP(S241:AG241,增益!$A:$A,增益!$L:$L,0))</f>
        <v>0</v>
      </c>
      <c r="BB241">
        <f t="shared" si="90"/>
        <v>0</v>
      </c>
      <c r="BC241">
        <f t="shared" si="91"/>
        <v>0</v>
      </c>
      <c r="BD241" s="26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26" cm="1">
        <f t="array" ref="BE241">$G$13+VLOOKUP($R241,武学奇术!$A:$ZZ,14,FALSE)+SUM(_xlfn.XLOOKUP(S241:AG241,增益!$A:$A,增益!$N:$N,0))</f>
        <v>0</v>
      </c>
      <c r="BF241">
        <f t="shared" si="92"/>
        <v>0</v>
      </c>
      <c r="BG241">
        <f t="shared" si="93"/>
        <v>0</v>
      </c>
      <c r="BH241" s="26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26" cm="1">
        <f t="array" ref="BI241">$G$14+VLOOKUP($R241,武学奇术!$A:$ZZ,16,FALSE)+SUM(_xlfn.XLOOKUP(S241:AG241,增益!$A:$A,增益!$P:$P,0))</f>
        <v>0</v>
      </c>
      <c r="BJ241" s="21">
        <f>MIN(IF(VLOOKUP($R241,武学奇术!$A:$ZZ,23,FALSE)=1,100%,$B$8),100%)</f>
        <v>0.8229</v>
      </c>
      <c r="BK241" s="21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0.2285</v>
      </c>
      <c r="BL241" s="21" cm="1">
        <f t="array" ref="BL241">1+$B$13+VLOOKUP($R241,武学奇术!$A:$ZZ,18,FALSE)+SUM(_xlfn.XLOOKUP(S241:AG241,增益!$A:$A,增益!$R:$R,0))</f>
        <v>1.5</v>
      </c>
      <c r="BM241" s="21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0.4495</v>
      </c>
      <c r="BN241" s="21" cm="1">
        <f t="array" ref="BN241">1+$B$14+VLOOKUP($R241,武学奇术!$A:$ZZ,20,FALSE)+SUM(_xlfn.XLOOKUP(S241:AG241,增益!$A:$A,增益!$T:$T,0))</f>
        <v>1.782</v>
      </c>
      <c r="BO241" s="21">
        <f t="shared" ref="BO241" si="142">MIN((1-BM241)*BJ241,BJ241*BK241)</f>
        <v>0.18803265</v>
      </c>
      <c r="BP241" s="21">
        <f t="shared" ref="BP241" si="143">1-BM241-BO241-BQ241</f>
        <v>0.2649738</v>
      </c>
      <c r="BQ241" s="21">
        <f>IF(VLOOKUP($R241,武学奇术!$A:$ZZ,22,FALSE)=1,0,(1-$BJ241))*(1-$BM241)</f>
        <v>0.09749355</v>
      </c>
      <c r="BR241" s="21" cm="1">
        <f t="array" ref="BR241">SUM(_xlfn.XLOOKUP(S241:AG241,增益!$A:$A,增益!$W:$W,0))+$I$5</f>
        <v>0.06</v>
      </c>
    </row>
    <row r="242" spans="11:70">
      <c r="K242" s="24">
        <f>$L242*VLOOKUP($R242,武学奇术!$A:$ZZ,31,FALSE)</f>
        <v>9199.46507357055</v>
      </c>
      <c r="L242" s="24">
        <f t="shared" si="85"/>
        <v>15332.4417892843</v>
      </c>
      <c r="M242" s="24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12559.1638372335</v>
      </c>
      <c r="N242" s="24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23100.2904695384</v>
      </c>
      <c r="O242" s="24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8372.77589148897</v>
      </c>
      <c r="P242" s="24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3782.42581802933</v>
      </c>
      <c r="Q242" s="31">
        <v>1</v>
      </c>
      <c r="R242" s="32" t="s">
        <v>197</v>
      </c>
      <c r="S242" s="32" t="s">
        <v>87</v>
      </c>
      <c r="T242" s="32" t="s">
        <v>96</v>
      </c>
      <c r="U242" s="32" t="s">
        <v>97</v>
      </c>
      <c r="V242" s="32" t="s">
        <v>73</v>
      </c>
      <c r="W242" s="32" t="s">
        <v>111</v>
      </c>
      <c r="X242" s="32" t="s">
        <v>127</v>
      </c>
      <c r="Y242" s="32" t="s">
        <v>73</v>
      </c>
      <c r="Z242" s="32" t="s">
        <v>73</v>
      </c>
      <c r="AA242" s="32" t="s">
        <v>81</v>
      </c>
      <c r="AB242" s="32" t="s">
        <v>75</v>
      </c>
      <c r="AC242" s="32" t="s">
        <v>89</v>
      </c>
      <c r="AD242" s="32" t="s">
        <v>82</v>
      </c>
      <c r="AE242" s="32" t="s">
        <v>90</v>
      </c>
      <c r="AF242" s="32" t="s">
        <v>73</v>
      </c>
      <c r="AG242" s="32" t="s">
        <v>178</v>
      </c>
      <c r="AH242" t="str">
        <f>VLOOKUP($R242,武学奇术!$A:$ZZ,25,FALSE)</f>
        <v>剑</v>
      </c>
      <c r="AI242" s="21">
        <f>VLOOKUP($R242,武学奇术!$A:$ZZ,26,FALSE)</f>
        <v>0.2772</v>
      </c>
      <c r="AJ242" s="22">
        <f>VLOOKUP($R242,武学奇术!$A:$ZZ,27,FALSE)*(1+IF(OR($AH242=$F$4,$AH242=$F$5),$B$22,0))</f>
        <v>0</v>
      </c>
      <c r="AK242" s="21">
        <f>VLOOKUP($R242,武学奇术!$A:$ZZ,28,FALSE)</f>
        <v>0.4158</v>
      </c>
      <c r="AL242" s="22">
        <f>VLOOKUP($R242,武学奇术!$A:$ZZ,29,FALSE)*(1+IF(OR($AH242=$F$4,$AH242=$F$5),$B$22,0))</f>
        <v>0</v>
      </c>
      <c r="AM242" s="21" cm="1">
        <f t="array" ref="AM242">$G$3+IFERROR(VLOOKUP($AH242,$F$4:$G$7,2,FALSE),0)+VLOOKUP($R242,武学奇术!$A:$ZZ,2,FALSE)+SUM(_xlfn.XLOOKUP($S242:$AG242,增益!$A:$A,增益!$B:$B,0))</f>
        <v>1.5591</v>
      </c>
      <c r="AN242" s="21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1862.48</v>
      </c>
      <c r="AP242" cm="1">
        <f t="array" ref="AP242">$E$10*(1+$AN242)+VLOOKUP($R242,武学奇术!$A:$ZZ,4,FALSE)+SUM(_xlfn.XLOOKUP($S242:$AG242,增益!$A:$A,增益!$D:$D,0))-$I$2</f>
        <v>7794.56</v>
      </c>
      <c r="AQ242" s="26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0.369</v>
      </c>
      <c r="AR242" s="26" cm="1">
        <f t="array" ref="AR242">$G$10+VLOOKUP($R242,武学奇术!$A:$ZZ,7,FALSE)+SUM(_xlfn.XLOOKUP(S242:AG242,增益!$A:$A,增益!$G:$G,0))</f>
        <v>0</v>
      </c>
      <c r="AS242" s="21" cm="1">
        <f t="array" ref="AS242">VLOOKUP($R242,武学奇术!$A:$ZZ,8,FALSE)+SUM(_xlfn.XLOOKUP(S242:AG242,增益!$A:$A,增益!$H:$H,0))</f>
        <v>0</v>
      </c>
      <c r="AT242">
        <f t="shared" si="86"/>
        <v>680.02</v>
      </c>
      <c r="AU242">
        <f t="shared" si="87"/>
        <v>1288.54</v>
      </c>
      <c r="AV242" s="26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26" cm="1">
        <f t="array" ref="AW242">$G$11+VLOOKUP($R242,武学奇术!$A:$ZZ,10,FALSE)+SUM(_xlfn.XLOOKUP(S242:AG242,增益!$A:$A,增益!$J:$J,0))</f>
        <v>0.15</v>
      </c>
      <c r="AX242">
        <f t="shared" si="88"/>
        <v>0</v>
      </c>
      <c r="AY242">
        <f t="shared" si="89"/>
        <v>0</v>
      </c>
      <c r="AZ242" s="26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26" cm="1">
        <f t="array" ref="BA242">$G$12+VLOOKUP($R242,武学奇术!$A:$ZZ,12,FALSE)+SUM(_xlfn.XLOOKUP(S242:AG242,增益!$A:$A,增益!$L:$L,0))</f>
        <v>0</v>
      </c>
      <c r="BB242">
        <f t="shared" si="90"/>
        <v>0</v>
      </c>
      <c r="BC242">
        <f t="shared" si="91"/>
        <v>0</v>
      </c>
      <c r="BD242" s="26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26" cm="1">
        <f t="array" ref="BE242">$G$13+VLOOKUP($R242,武学奇术!$A:$ZZ,14,FALSE)+SUM(_xlfn.XLOOKUP(S242:AG242,增益!$A:$A,增益!$N:$N,0))</f>
        <v>0</v>
      </c>
      <c r="BF242">
        <f t="shared" si="92"/>
        <v>0</v>
      </c>
      <c r="BG242">
        <f t="shared" si="93"/>
        <v>0</v>
      </c>
      <c r="BH242" s="26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26" cm="1">
        <f t="array" ref="BI242">$G$14+VLOOKUP($R242,武学奇术!$A:$ZZ,16,FALSE)+SUM(_xlfn.XLOOKUP(S242:AG242,增益!$A:$A,增益!$P:$P,0))</f>
        <v>0</v>
      </c>
      <c r="BJ242" s="21">
        <f>MIN(IF(VLOOKUP($R242,武学奇术!$A:$ZZ,23,FALSE)=1,100%,$B$8),100%)</f>
        <v>0.8229</v>
      </c>
      <c r="BK242" s="21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0.2285</v>
      </c>
      <c r="BL242" s="21" cm="1">
        <f t="array" ref="BL242">1+$B$13+VLOOKUP($R242,武学奇术!$A:$ZZ,18,FALSE)+SUM(_xlfn.XLOOKUP(S242:AG242,增益!$A:$A,增益!$R:$R,0))</f>
        <v>1.5</v>
      </c>
      <c r="BM242" s="21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0.4495</v>
      </c>
      <c r="BN242" s="21" cm="1">
        <f t="array" ref="BN242">1+$B$14+VLOOKUP($R242,武学奇术!$A:$ZZ,20,FALSE)+SUM(_xlfn.XLOOKUP(S242:AG242,增益!$A:$A,增益!$T:$T,0))</f>
        <v>1.782</v>
      </c>
      <c r="BO242" s="21">
        <f t="shared" ref="BO242" si="144">MIN((1-BM242)*BJ242,BJ242*BK242)</f>
        <v>0.18803265</v>
      </c>
      <c r="BP242" s="21">
        <f t="shared" ref="BP242" si="145">1-BM242-BO242-BQ242</f>
        <v>0.2649738</v>
      </c>
      <c r="BQ242" s="21">
        <f>IF(VLOOKUP($R242,武学奇术!$A:$ZZ,22,FALSE)=1,0,(1-$BJ242))*(1-$BM242)</f>
        <v>0.09749355</v>
      </c>
      <c r="BR242" s="21" cm="1">
        <f t="array" ref="BR242">SUM(_xlfn.XLOOKUP(S242:AG242,增益!$A:$A,增益!$W:$W,0))+$I$5</f>
        <v>0.06</v>
      </c>
    </row>
    <row r="243" spans="11:70">
      <c r="K243" s="24">
        <f>$L243*VLOOKUP($R243,武学奇术!$A:$ZZ,31,FALSE)</f>
        <v>5749.6656709816</v>
      </c>
      <c r="L243" s="24">
        <f t="shared" si="85"/>
        <v>9582.77611830266</v>
      </c>
      <c r="M243" s="24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7849.47739827091</v>
      </c>
      <c r="N243" s="24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14437.6815434615</v>
      </c>
      <c r="O243" s="24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5232.98493218061</v>
      </c>
      <c r="P243" s="24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2364.01613626833</v>
      </c>
      <c r="Q243" s="31">
        <v>1</v>
      </c>
      <c r="R243" s="32" t="s">
        <v>198</v>
      </c>
      <c r="S243" s="32" t="s">
        <v>87</v>
      </c>
      <c r="T243" s="32" t="s">
        <v>96</v>
      </c>
      <c r="U243" s="32" t="s">
        <v>97</v>
      </c>
      <c r="V243" s="32" t="s">
        <v>73</v>
      </c>
      <c r="W243" s="32" t="s">
        <v>111</v>
      </c>
      <c r="X243" s="32" t="s">
        <v>127</v>
      </c>
      <c r="Y243" s="32" t="s">
        <v>73</v>
      </c>
      <c r="Z243" s="32" t="s">
        <v>73</v>
      </c>
      <c r="AA243" s="32" t="s">
        <v>81</v>
      </c>
      <c r="AB243" s="32" t="s">
        <v>75</v>
      </c>
      <c r="AC243" s="32" t="s">
        <v>89</v>
      </c>
      <c r="AD243" s="32" t="s">
        <v>82</v>
      </c>
      <c r="AE243" s="32" t="s">
        <v>90</v>
      </c>
      <c r="AF243" s="32" t="s">
        <v>73</v>
      </c>
      <c r="AG243" s="32" t="s">
        <v>178</v>
      </c>
      <c r="AH243" t="str">
        <f>VLOOKUP($R243,武学奇术!$A:$ZZ,25,FALSE)</f>
        <v>剑</v>
      </c>
      <c r="AI243" s="21">
        <f>VLOOKUP($R243,武学奇术!$A:$ZZ,26,FALSE)</f>
        <v>0.17325</v>
      </c>
      <c r="AJ243" s="22">
        <f>VLOOKUP($R243,武学奇术!$A:$ZZ,27,FALSE)*(1+IF(OR($AH243=$F$4,$AH243=$F$5),$B$22,0))</f>
        <v>0</v>
      </c>
      <c r="AK243" s="21">
        <f>VLOOKUP($R243,武学奇术!$A:$ZZ,28,FALSE)</f>
        <v>0.259875</v>
      </c>
      <c r="AL243" s="22">
        <f>VLOOKUP($R243,武学奇术!$A:$ZZ,29,FALSE)*(1+IF(OR($AH243=$F$4,$AH243=$F$5),$B$22,0))</f>
        <v>0</v>
      </c>
      <c r="AM243" s="21" cm="1">
        <f t="array" ref="AM243">$G$3+IFERROR(VLOOKUP($AH243,$F$4:$G$7,2,FALSE),0)+VLOOKUP($R243,武学奇术!$A:$ZZ,2,FALSE)+SUM(_xlfn.XLOOKUP($S243:$AG243,增益!$A:$A,增益!$B:$B,0))</f>
        <v>1.5591</v>
      </c>
      <c r="AN243" s="21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1862.48</v>
      </c>
      <c r="AP243" cm="1">
        <f t="array" ref="AP243">$E$10*(1+$AN243)+VLOOKUP($R243,武学奇术!$A:$ZZ,4,FALSE)+SUM(_xlfn.XLOOKUP($S243:$AG243,增益!$A:$A,增益!$D:$D,0))-$I$2</f>
        <v>7794.56</v>
      </c>
      <c r="AQ243" s="26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0.369</v>
      </c>
      <c r="AR243" s="26" cm="1">
        <f t="array" ref="AR243">$G$10+VLOOKUP($R243,武学奇术!$A:$ZZ,7,FALSE)+SUM(_xlfn.XLOOKUP(S243:AG243,增益!$A:$A,增益!$G:$G,0))</f>
        <v>0</v>
      </c>
      <c r="AS243" s="21" cm="1">
        <f t="array" ref="AS243">VLOOKUP($R243,武学奇术!$A:$ZZ,8,FALSE)+SUM(_xlfn.XLOOKUP(S243:AG243,增益!$A:$A,增益!$H:$H,0))</f>
        <v>0</v>
      </c>
      <c r="AT243">
        <f t="shared" si="86"/>
        <v>680.02</v>
      </c>
      <c r="AU243">
        <f t="shared" si="87"/>
        <v>1288.54</v>
      </c>
      <c r="AV243" s="26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26" cm="1">
        <f t="array" ref="AW243">$G$11+VLOOKUP($R243,武学奇术!$A:$ZZ,10,FALSE)+SUM(_xlfn.XLOOKUP(S243:AG243,增益!$A:$A,增益!$J:$J,0))</f>
        <v>0.15</v>
      </c>
      <c r="AX243">
        <f t="shared" si="88"/>
        <v>0</v>
      </c>
      <c r="AY243">
        <f t="shared" si="89"/>
        <v>0</v>
      </c>
      <c r="AZ243" s="26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26" cm="1">
        <f t="array" ref="BA243">$G$12+VLOOKUP($R243,武学奇术!$A:$ZZ,12,FALSE)+SUM(_xlfn.XLOOKUP(S243:AG243,增益!$A:$A,增益!$L:$L,0))</f>
        <v>0</v>
      </c>
      <c r="BB243">
        <f t="shared" si="90"/>
        <v>0</v>
      </c>
      <c r="BC243">
        <f t="shared" si="91"/>
        <v>0</v>
      </c>
      <c r="BD243" s="26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26" cm="1">
        <f t="array" ref="BE243">$G$13+VLOOKUP($R243,武学奇术!$A:$ZZ,14,FALSE)+SUM(_xlfn.XLOOKUP(S243:AG243,增益!$A:$A,增益!$N:$N,0))</f>
        <v>0</v>
      </c>
      <c r="BF243">
        <f t="shared" si="92"/>
        <v>0</v>
      </c>
      <c r="BG243">
        <f t="shared" si="93"/>
        <v>0</v>
      </c>
      <c r="BH243" s="26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26" cm="1">
        <f t="array" ref="BI243">$G$14+VLOOKUP($R243,武学奇术!$A:$ZZ,16,FALSE)+SUM(_xlfn.XLOOKUP(S243:AG243,增益!$A:$A,增益!$P:$P,0))</f>
        <v>0</v>
      </c>
      <c r="BJ243" s="21">
        <f>MIN(IF(VLOOKUP($R243,武学奇术!$A:$ZZ,23,FALSE)=1,100%,$B$8),100%)</f>
        <v>0.8229</v>
      </c>
      <c r="BK243" s="21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0.2285</v>
      </c>
      <c r="BL243" s="21" cm="1">
        <f t="array" ref="BL243">1+$B$13+VLOOKUP($R243,武学奇术!$A:$ZZ,18,FALSE)+SUM(_xlfn.XLOOKUP(S243:AG243,增益!$A:$A,增益!$R:$R,0))</f>
        <v>1.5</v>
      </c>
      <c r="BM243" s="21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0.4495</v>
      </c>
      <c r="BN243" s="21" cm="1">
        <f t="array" ref="BN243">1+$B$14+VLOOKUP($R243,武学奇术!$A:$ZZ,20,FALSE)+SUM(_xlfn.XLOOKUP(S243:AG243,增益!$A:$A,增益!$T:$T,0))</f>
        <v>1.782</v>
      </c>
      <c r="BO243" s="21">
        <f t="shared" ref="BO243" si="146">MIN((1-BM243)*BJ243,BJ243*BK243)</f>
        <v>0.18803265</v>
      </c>
      <c r="BP243" s="21">
        <f t="shared" ref="BP243" si="147">1-BM243-BO243-BQ243</f>
        <v>0.2649738</v>
      </c>
      <c r="BQ243" s="21">
        <f>IF(VLOOKUP($R243,武学奇术!$A:$ZZ,22,FALSE)=1,0,(1-$BJ243))*(1-$BM243)</f>
        <v>0.09749355</v>
      </c>
      <c r="BR243" s="21" cm="1">
        <f t="array" ref="BR243">SUM(_xlfn.XLOOKUP(S243:AG243,增益!$A:$A,增益!$W:$W,0))+$I$5</f>
        <v>0.06</v>
      </c>
    </row>
    <row r="244" spans="11:70">
      <c r="K244" s="24">
        <f>$L244*VLOOKUP($R244,武学奇术!$A:$ZZ,31,FALSE)</f>
        <v>11499.3313419632</v>
      </c>
      <c r="L244" s="24">
        <f t="shared" si="85"/>
        <v>19165.5522366053</v>
      </c>
      <c r="M244" s="24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15698.9547965418</v>
      </c>
      <c r="N244" s="24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28875.3630869231</v>
      </c>
      <c r="O244" s="24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10465.9698643612</v>
      </c>
      <c r="P244" s="24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4728.03227253666</v>
      </c>
      <c r="Q244" s="31">
        <v>1</v>
      </c>
      <c r="R244" s="32" t="s">
        <v>199</v>
      </c>
      <c r="S244" s="32" t="s">
        <v>87</v>
      </c>
      <c r="T244" s="32" t="s">
        <v>96</v>
      </c>
      <c r="U244" s="32" t="s">
        <v>97</v>
      </c>
      <c r="V244" s="32" t="s">
        <v>73</v>
      </c>
      <c r="W244" s="32" t="s">
        <v>111</v>
      </c>
      <c r="X244" s="32" t="s">
        <v>127</v>
      </c>
      <c r="Y244" s="32" t="s">
        <v>73</v>
      </c>
      <c r="Z244" s="32" t="s">
        <v>73</v>
      </c>
      <c r="AA244" s="32" t="s">
        <v>81</v>
      </c>
      <c r="AB244" s="32" t="s">
        <v>75</v>
      </c>
      <c r="AC244" s="32" t="s">
        <v>89</v>
      </c>
      <c r="AD244" s="32" t="s">
        <v>82</v>
      </c>
      <c r="AE244" s="32" t="s">
        <v>90</v>
      </c>
      <c r="AF244" s="32" t="s">
        <v>73</v>
      </c>
      <c r="AG244" s="32" t="s">
        <v>178</v>
      </c>
      <c r="AH244" t="str">
        <f>VLOOKUP($R244,武学奇术!$A:$ZZ,25,FALSE)</f>
        <v>剑</v>
      </c>
      <c r="AI244" s="21">
        <f>VLOOKUP($R244,武学奇术!$A:$ZZ,26,FALSE)</f>
        <v>0.3465</v>
      </c>
      <c r="AJ244" s="22">
        <f>VLOOKUP($R244,武学奇术!$A:$ZZ,27,FALSE)*(1+IF(OR($AH244=$F$4,$AH244=$F$5),$B$22,0))</f>
        <v>0</v>
      </c>
      <c r="AK244" s="21">
        <f>VLOOKUP($R244,武学奇术!$A:$ZZ,28,FALSE)</f>
        <v>0.51975</v>
      </c>
      <c r="AL244" s="22">
        <f>VLOOKUP($R244,武学奇术!$A:$ZZ,29,FALSE)*(1+IF(OR($AH244=$F$4,$AH244=$F$5),$B$22,0))</f>
        <v>0</v>
      </c>
      <c r="AM244" s="21" cm="1">
        <f t="array" ref="AM244">$G$3+IFERROR(VLOOKUP($AH244,$F$4:$G$7,2,FALSE),0)+VLOOKUP($R244,武学奇术!$A:$ZZ,2,FALSE)+SUM(_xlfn.XLOOKUP($S244:$AG244,增益!$A:$A,增益!$B:$B,0))</f>
        <v>1.5591</v>
      </c>
      <c r="AN244" s="21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1862.48</v>
      </c>
      <c r="AP244" cm="1">
        <f t="array" ref="AP244">$E$10*(1+$AN244)+VLOOKUP($R244,武学奇术!$A:$ZZ,4,FALSE)+SUM(_xlfn.XLOOKUP($S244:$AG244,增益!$A:$A,增益!$D:$D,0))-$I$2</f>
        <v>7794.56</v>
      </c>
      <c r="AQ244" s="26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0.369</v>
      </c>
      <c r="AR244" s="26" cm="1">
        <f t="array" ref="AR244">$G$10+VLOOKUP($R244,武学奇术!$A:$ZZ,7,FALSE)+SUM(_xlfn.XLOOKUP(S244:AG244,增益!$A:$A,增益!$G:$G,0))</f>
        <v>0</v>
      </c>
      <c r="AS244" s="21" cm="1">
        <f t="array" ref="AS244">VLOOKUP($R244,武学奇术!$A:$ZZ,8,FALSE)+SUM(_xlfn.XLOOKUP(S244:AG244,增益!$A:$A,增益!$H:$H,0))</f>
        <v>0</v>
      </c>
      <c r="AT244">
        <f t="shared" si="86"/>
        <v>680.02</v>
      </c>
      <c r="AU244">
        <f t="shared" si="87"/>
        <v>1288.54</v>
      </c>
      <c r="AV244" s="26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26" cm="1">
        <f t="array" ref="AW244">$G$11+VLOOKUP($R244,武学奇术!$A:$ZZ,10,FALSE)+SUM(_xlfn.XLOOKUP(S244:AG244,增益!$A:$A,增益!$J:$J,0))</f>
        <v>0.15</v>
      </c>
      <c r="AX244">
        <f t="shared" si="88"/>
        <v>0</v>
      </c>
      <c r="AY244">
        <f t="shared" si="89"/>
        <v>0</v>
      </c>
      <c r="AZ244" s="26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26" cm="1">
        <f t="array" ref="BA244">$G$12+VLOOKUP($R244,武学奇术!$A:$ZZ,12,FALSE)+SUM(_xlfn.XLOOKUP(S244:AG244,增益!$A:$A,增益!$L:$L,0))</f>
        <v>0</v>
      </c>
      <c r="BB244">
        <f t="shared" si="90"/>
        <v>0</v>
      </c>
      <c r="BC244">
        <f t="shared" si="91"/>
        <v>0</v>
      </c>
      <c r="BD244" s="26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26" cm="1">
        <f t="array" ref="BE244">$G$13+VLOOKUP($R244,武学奇术!$A:$ZZ,14,FALSE)+SUM(_xlfn.XLOOKUP(S244:AG244,增益!$A:$A,增益!$N:$N,0))</f>
        <v>0</v>
      </c>
      <c r="BF244">
        <f t="shared" si="92"/>
        <v>0</v>
      </c>
      <c r="BG244">
        <f t="shared" si="93"/>
        <v>0</v>
      </c>
      <c r="BH244" s="26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26" cm="1">
        <f t="array" ref="BI244">$G$14+VLOOKUP($R244,武学奇术!$A:$ZZ,16,FALSE)+SUM(_xlfn.XLOOKUP(S244:AG244,增益!$A:$A,增益!$P:$P,0))</f>
        <v>0</v>
      </c>
      <c r="BJ244" s="21">
        <f>MIN(IF(VLOOKUP($R244,武学奇术!$A:$ZZ,23,FALSE)=1,100%,$B$8),100%)</f>
        <v>0.8229</v>
      </c>
      <c r="BK244" s="21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0.2285</v>
      </c>
      <c r="BL244" s="21" cm="1">
        <f t="array" ref="BL244">1+$B$13+VLOOKUP($R244,武学奇术!$A:$ZZ,18,FALSE)+SUM(_xlfn.XLOOKUP(S244:AG244,增益!$A:$A,增益!$R:$R,0))</f>
        <v>1.5</v>
      </c>
      <c r="BM244" s="21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0.4495</v>
      </c>
      <c r="BN244" s="21" cm="1">
        <f t="array" ref="BN244">1+$B$14+VLOOKUP($R244,武学奇术!$A:$ZZ,20,FALSE)+SUM(_xlfn.XLOOKUP(S244:AG244,增益!$A:$A,增益!$T:$T,0))</f>
        <v>1.782</v>
      </c>
      <c r="BO244" s="21">
        <f t="shared" ref="BO244" si="148">MIN((1-BM244)*BJ244,BJ244*BK244)</f>
        <v>0.18803265</v>
      </c>
      <c r="BP244" s="21">
        <f t="shared" ref="BP244" si="149">1-BM244-BO244-BQ244</f>
        <v>0.2649738</v>
      </c>
      <c r="BQ244" s="21">
        <f>IF(VLOOKUP($R244,武学奇术!$A:$ZZ,22,FALSE)=1,0,(1-$BJ244))*(1-$BM244)</f>
        <v>0.09749355</v>
      </c>
      <c r="BR244" s="21" cm="1">
        <f t="array" ref="BR244">SUM(_xlfn.XLOOKUP(S244:AG244,增益!$A:$A,增益!$W:$W,0))+$I$5</f>
        <v>0.06</v>
      </c>
    </row>
    <row r="245" spans="11:70">
      <c r="K245" s="24">
        <f>$L245*VLOOKUP($R245,武学奇术!$A:$ZZ,31,FALSE)</f>
        <v>9199.46507357055</v>
      </c>
      <c r="L245" s="24">
        <f t="shared" si="85"/>
        <v>15332.4417892843</v>
      </c>
      <c r="M245" s="24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12559.1638372335</v>
      </c>
      <c r="N245" s="24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23100.2904695384</v>
      </c>
      <c r="O245" s="24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8372.77589148897</v>
      </c>
      <c r="P245" s="24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3782.42581802933</v>
      </c>
      <c r="Q245" s="31">
        <v>1</v>
      </c>
      <c r="R245" s="32" t="s">
        <v>197</v>
      </c>
      <c r="S245" s="32" t="s">
        <v>87</v>
      </c>
      <c r="T245" s="32" t="s">
        <v>96</v>
      </c>
      <c r="U245" s="32" t="s">
        <v>97</v>
      </c>
      <c r="V245" s="32" t="s">
        <v>73</v>
      </c>
      <c r="W245" s="32" t="s">
        <v>111</v>
      </c>
      <c r="X245" s="32" t="s">
        <v>127</v>
      </c>
      <c r="Y245" s="32" t="s">
        <v>73</v>
      </c>
      <c r="Z245" s="32" t="s">
        <v>73</v>
      </c>
      <c r="AA245" s="32" t="s">
        <v>81</v>
      </c>
      <c r="AB245" s="32" t="s">
        <v>75</v>
      </c>
      <c r="AC245" s="32" t="s">
        <v>89</v>
      </c>
      <c r="AD245" s="32" t="s">
        <v>82</v>
      </c>
      <c r="AE245" s="32" t="s">
        <v>90</v>
      </c>
      <c r="AF245" s="32" t="s">
        <v>73</v>
      </c>
      <c r="AG245" s="32" t="s">
        <v>178</v>
      </c>
      <c r="AH245" t="str">
        <f>VLOOKUP($R245,武学奇术!$A:$ZZ,25,FALSE)</f>
        <v>剑</v>
      </c>
      <c r="AI245" s="21">
        <f>VLOOKUP($R245,武学奇术!$A:$ZZ,26,FALSE)</f>
        <v>0.2772</v>
      </c>
      <c r="AJ245" s="22">
        <f>VLOOKUP($R245,武学奇术!$A:$ZZ,27,FALSE)*(1+IF(OR($AH245=$F$4,$AH245=$F$5),$B$22,0))</f>
        <v>0</v>
      </c>
      <c r="AK245" s="21">
        <f>VLOOKUP($R245,武学奇术!$A:$ZZ,28,FALSE)</f>
        <v>0.4158</v>
      </c>
      <c r="AL245" s="22">
        <f>VLOOKUP($R245,武学奇术!$A:$ZZ,29,FALSE)*(1+IF(OR($AH245=$F$4,$AH245=$F$5),$B$22,0))</f>
        <v>0</v>
      </c>
      <c r="AM245" s="21" cm="1">
        <f t="array" ref="AM245">$G$3+IFERROR(VLOOKUP($AH245,$F$4:$G$7,2,FALSE),0)+VLOOKUP($R245,武学奇术!$A:$ZZ,2,FALSE)+SUM(_xlfn.XLOOKUP($S245:$AG245,增益!$A:$A,增益!$B:$B,0))</f>
        <v>1.5591</v>
      </c>
      <c r="AN245" s="21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1862.48</v>
      </c>
      <c r="AP245" cm="1">
        <f t="array" ref="AP245">$E$10*(1+$AN245)+VLOOKUP($R245,武学奇术!$A:$ZZ,4,FALSE)+SUM(_xlfn.XLOOKUP($S245:$AG245,增益!$A:$A,增益!$D:$D,0))-$I$2</f>
        <v>7794.56</v>
      </c>
      <c r="AQ245" s="26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0.369</v>
      </c>
      <c r="AR245" s="26" cm="1">
        <f t="array" ref="AR245">$G$10+VLOOKUP($R245,武学奇术!$A:$ZZ,7,FALSE)+SUM(_xlfn.XLOOKUP(S245:AG245,增益!$A:$A,增益!$G:$G,0))</f>
        <v>0</v>
      </c>
      <c r="AS245" s="21" cm="1">
        <f t="array" ref="AS245">VLOOKUP($R245,武学奇术!$A:$ZZ,8,FALSE)+SUM(_xlfn.XLOOKUP(S245:AG245,增益!$A:$A,增益!$H:$H,0))</f>
        <v>0</v>
      </c>
      <c r="AT245">
        <f t="shared" si="86"/>
        <v>680.02</v>
      </c>
      <c r="AU245">
        <f t="shared" si="87"/>
        <v>1288.54</v>
      </c>
      <c r="AV245" s="26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26" cm="1">
        <f t="array" ref="AW245">$G$11+VLOOKUP($R245,武学奇术!$A:$ZZ,10,FALSE)+SUM(_xlfn.XLOOKUP(S245:AG245,增益!$A:$A,增益!$J:$J,0))</f>
        <v>0.15</v>
      </c>
      <c r="AX245">
        <f t="shared" si="88"/>
        <v>0</v>
      </c>
      <c r="AY245">
        <f t="shared" si="89"/>
        <v>0</v>
      </c>
      <c r="AZ245" s="26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26" cm="1">
        <f t="array" ref="BA245">$G$12+VLOOKUP($R245,武学奇术!$A:$ZZ,12,FALSE)+SUM(_xlfn.XLOOKUP(S245:AG245,增益!$A:$A,增益!$L:$L,0))</f>
        <v>0</v>
      </c>
      <c r="BB245">
        <f t="shared" si="90"/>
        <v>0</v>
      </c>
      <c r="BC245">
        <f t="shared" si="91"/>
        <v>0</v>
      </c>
      <c r="BD245" s="26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26" cm="1">
        <f t="array" ref="BE245">$G$13+VLOOKUP($R245,武学奇术!$A:$ZZ,14,FALSE)+SUM(_xlfn.XLOOKUP(S245:AG245,增益!$A:$A,增益!$N:$N,0))</f>
        <v>0</v>
      </c>
      <c r="BF245">
        <f t="shared" si="92"/>
        <v>0</v>
      </c>
      <c r="BG245">
        <f t="shared" si="93"/>
        <v>0</v>
      </c>
      <c r="BH245" s="26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26" cm="1">
        <f t="array" ref="BI245">$G$14+VLOOKUP($R245,武学奇术!$A:$ZZ,16,FALSE)+SUM(_xlfn.XLOOKUP(S245:AG245,增益!$A:$A,增益!$P:$P,0))</f>
        <v>0</v>
      </c>
      <c r="BJ245" s="21">
        <f>MIN(IF(VLOOKUP($R245,武学奇术!$A:$ZZ,23,FALSE)=1,100%,$B$8),100%)</f>
        <v>0.8229</v>
      </c>
      <c r="BK245" s="21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0.2285</v>
      </c>
      <c r="BL245" s="21" cm="1">
        <f t="array" ref="BL245">1+$B$13+VLOOKUP($R245,武学奇术!$A:$ZZ,18,FALSE)+SUM(_xlfn.XLOOKUP(S245:AG245,增益!$A:$A,增益!$R:$R,0))</f>
        <v>1.5</v>
      </c>
      <c r="BM245" s="21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0.4495</v>
      </c>
      <c r="BN245" s="21" cm="1">
        <f t="array" ref="BN245">1+$B$14+VLOOKUP($R245,武学奇术!$A:$ZZ,20,FALSE)+SUM(_xlfn.XLOOKUP(S245:AG245,增益!$A:$A,增益!$T:$T,0))</f>
        <v>1.782</v>
      </c>
      <c r="BO245" s="21">
        <f t="shared" ref="BO245" si="150">MIN((1-BM245)*BJ245,BJ245*BK245)</f>
        <v>0.18803265</v>
      </c>
      <c r="BP245" s="21">
        <f t="shared" ref="BP245" si="151">1-BM245-BO245-BQ245</f>
        <v>0.2649738</v>
      </c>
      <c r="BQ245" s="21">
        <f>IF(VLOOKUP($R245,武学奇术!$A:$ZZ,22,FALSE)=1,0,(1-$BJ245))*(1-$BM245)</f>
        <v>0.09749355</v>
      </c>
      <c r="BR245" s="21" cm="1">
        <f t="array" ref="BR245">SUM(_xlfn.XLOOKUP(S245:AG245,增益!$A:$A,增益!$W:$W,0))+$I$5</f>
        <v>0.06</v>
      </c>
    </row>
    <row r="246" spans="11:70">
      <c r="K246" s="24">
        <f>$L246*VLOOKUP($R246,武学奇术!$A:$ZZ,31,FALSE)</f>
        <v>5749.6656709816</v>
      </c>
      <c r="L246" s="24">
        <f t="shared" si="85"/>
        <v>9582.77611830266</v>
      </c>
      <c r="M246" s="24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7849.47739827091</v>
      </c>
      <c r="N246" s="24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14437.6815434615</v>
      </c>
      <c r="O246" s="24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5232.98493218061</v>
      </c>
      <c r="P246" s="24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2364.01613626833</v>
      </c>
      <c r="Q246" s="31">
        <v>1</v>
      </c>
      <c r="R246" s="32" t="s">
        <v>198</v>
      </c>
      <c r="S246" s="32" t="s">
        <v>87</v>
      </c>
      <c r="T246" s="32" t="s">
        <v>96</v>
      </c>
      <c r="U246" s="32" t="s">
        <v>97</v>
      </c>
      <c r="V246" s="32" t="s">
        <v>73</v>
      </c>
      <c r="W246" s="32" t="s">
        <v>111</v>
      </c>
      <c r="X246" s="32" t="s">
        <v>127</v>
      </c>
      <c r="Y246" s="32" t="s">
        <v>73</v>
      </c>
      <c r="Z246" s="32" t="s">
        <v>73</v>
      </c>
      <c r="AA246" s="32" t="s">
        <v>81</v>
      </c>
      <c r="AB246" s="32" t="s">
        <v>75</v>
      </c>
      <c r="AC246" s="32" t="s">
        <v>89</v>
      </c>
      <c r="AD246" s="32" t="s">
        <v>82</v>
      </c>
      <c r="AE246" s="32" t="s">
        <v>90</v>
      </c>
      <c r="AF246" s="32" t="s">
        <v>73</v>
      </c>
      <c r="AG246" s="32" t="s">
        <v>178</v>
      </c>
      <c r="AH246" t="str">
        <f>VLOOKUP($R246,武学奇术!$A:$ZZ,25,FALSE)</f>
        <v>剑</v>
      </c>
      <c r="AI246" s="21">
        <f>VLOOKUP($R246,武学奇术!$A:$ZZ,26,FALSE)</f>
        <v>0.17325</v>
      </c>
      <c r="AJ246" s="22">
        <f>VLOOKUP($R246,武学奇术!$A:$ZZ,27,FALSE)*(1+IF(OR($AH246=$F$4,$AH246=$F$5),$B$22,0))</f>
        <v>0</v>
      </c>
      <c r="AK246" s="21">
        <f>VLOOKUP($R246,武学奇术!$A:$ZZ,28,FALSE)</f>
        <v>0.259875</v>
      </c>
      <c r="AL246" s="22">
        <f>VLOOKUP($R246,武学奇术!$A:$ZZ,29,FALSE)*(1+IF(OR($AH246=$F$4,$AH246=$F$5),$B$22,0))</f>
        <v>0</v>
      </c>
      <c r="AM246" s="21" cm="1">
        <f t="array" ref="AM246">$G$3+IFERROR(VLOOKUP($AH246,$F$4:$G$7,2,FALSE),0)+VLOOKUP($R246,武学奇术!$A:$ZZ,2,FALSE)+SUM(_xlfn.XLOOKUP($S246:$AG246,增益!$A:$A,增益!$B:$B,0))</f>
        <v>1.5591</v>
      </c>
      <c r="AN246" s="21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1862.48</v>
      </c>
      <c r="AP246" cm="1">
        <f t="array" ref="AP246">$E$10*(1+$AN246)+VLOOKUP($R246,武学奇术!$A:$ZZ,4,FALSE)+SUM(_xlfn.XLOOKUP($S246:$AG246,增益!$A:$A,增益!$D:$D,0))-$I$2</f>
        <v>7794.56</v>
      </c>
      <c r="AQ246" s="26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0.369</v>
      </c>
      <c r="AR246" s="26" cm="1">
        <f t="array" ref="AR246">$G$10+VLOOKUP($R246,武学奇术!$A:$ZZ,7,FALSE)+SUM(_xlfn.XLOOKUP(S246:AG246,增益!$A:$A,增益!$G:$G,0))</f>
        <v>0</v>
      </c>
      <c r="AS246" s="21" cm="1">
        <f t="array" ref="AS246">VLOOKUP($R246,武学奇术!$A:$ZZ,8,FALSE)+SUM(_xlfn.XLOOKUP(S246:AG246,增益!$A:$A,增益!$H:$H,0))</f>
        <v>0</v>
      </c>
      <c r="AT246">
        <f t="shared" si="86"/>
        <v>680.02</v>
      </c>
      <c r="AU246">
        <f t="shared" si="87"/>
        <v>1288.54</v>
      </c>
      <c r="AV246" s="26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26" cm="1">
        <f t="array" ref="AW246">$G$11+VLOOKUP($R246,武学奇术!$A:$ZZ,10,FALSE)+SUM(_xlfn.XLOOKUP(S246:AG246,增益!$A:$A,增益!$J:$J,0))</f>
        <v>0.15</v>
      </c>
      <c r="AX246">
        <f t="shared" si="88"/>
        <v>0</v>
      </c>
      <c r="AY246">
        <f t="shared" si="89"/>
        <v>0</v>
      </c>
      <c r="AZ246" s="26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26" cm="1">
        <f t="array" ref="BA246">$G$12+VLOOKUP($R246,武学奇术!$A:$ZZ,12,FALSE)+SUM(_xlfn.XLOOKUP(S246:AG246,增益!$A:$A,增益!$L:$L,0))</f>
        <v>0</v>
      </c>
      <c r="BB246">
        <f t="shared" si="90"/>
        <v>0</v>
      </c>
      <c r="BC246">
        <f t="shared" si="91"/>
        <v>0</v>
      </c>
      <c r="BD246" s="26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26" cm="1">
        <f t="array" ref="BE246">$G$13+VLOOKUP($R246,武学奇术!$A:$ZZ,14,FALSE)+SUM(_xlfn.XLOOKUP(S246:AG246,增益!$A:$A,增益!$N:$N,0))</f>
        <v>0</v>
      </c>
      <c r="BF246">
        <f t="shared" si="92"/>
        <v>0</v>
      </c>
      <c r="BG246">
        <f t="shared" si="93"/>
        <v>0</v>
      </c>
      <c r="BH246" s="26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26" cm="1">
        <f t="array" ref="BI246">$G$14+VLOOKUP($R246,武学奇术!$A:$ZZ,16,FALSE)+SUM(_xlfn.XLOOKUP(S246:AG246,增益!$A:$A,增益!$P:$P,0))</f>
        <v>0</v>
      </c>
      <c r="BJ246" s="21">
        <f>MIN(IF(VLOOKUP($R246,武学奇术!$A:$ZZ,23,FALSE)=1,100%,$B$8),100%)</f>
        <v>0.8229</v>
      </c>
      <c r="BK246" s="21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0.2285</v>
      </c>
      <c r="BL246" s="21" cm="1">
        <f t="array" ref="BL246">1+$B$13+VLOOKUP($R246,武学奇术!$A:$ZZ,18,FALSE)+SUM(_xlfn.XLOOKUP(S246:AG246,增益!$A:$A,增益!$R:$R,0))</f>
        <v>1.5</v>
      </c>
      <c r="BM246" s="21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0.4495</v>
      </c>
      <c r="BN246" s="21" cm="1">
        <f t="array" ref="BN246">1+$B$14+VLOOKUP($R246,武学奇术!$A:$ZZ,20,FALSE)+SUM(_xlfn.XLOOKUP(S246:AG246,增益!$A:$A,增益!$T:$T,0))</f>
        <v>1.782</v>
      </c>
      <c r="BO246" s="21">
        <f t="shared" ref="BO246" si="152">MIN((1-BM246)*BJ246,BJ246*BK246)</f>
        <v>0.18803265</v>
      </c>
      <c r="BP246" s="21">
        <f t="shared" ref="BP246" si="153">1-BM246-BO246-BQ246</f>
        <v>0.2649738</v>
      </c>
      <c r="BQ246" s="21">
        <f>IF(VLOOKUP($R246,武学奇术!$A:$ZZ,22,FALSE)=1,0,(1-$BJ246))*(1-$BM246)</f>
        <v>0.09749355</v>
      </c>
      <c r="BR246" s="21" cm="1">
        <f t="array" ref="BR246">SUM(_xlfn.XLOOKUP(S246:AG246,增益!$A:$A,增益!$W:$W,0))+$I$5</f>
        <v>0.06</v>
      </c>
    </row>
    <row r="247" spans="11:70">
      <c r="K247" s="24">
        <f>$L247*VLOOKUP($R247,武学奇术!$A:$ZZ,31,FALSE)</f>
        <v>11499.3313419632</v>
      </c>
      <c r="L247" s="24">
        <f t="shared" si="85"/>
        <v>19165.5522366053</v>
      </c>
      <c r="M247" s="24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15698.9547965418</v>
      </c>
      <c r="N247" s="24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28875.3630869231</v>
      </c>
      <c r="O247" s="24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10465.9698643612</v>
      </c>
      <c r="P247" s="24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4728.03227253666</v>
      </c>
      <c r="Q247" s="31">
        <v>1</v>
      </c>
      <c r="R247" s="32" t="s">
        <v>199</v>
      </c>
      <c r="S247" s="32" t="s">
        <v>87</v>
      </c>
      <c r="T247" s="32" t="s">
        <v>96</v>
      </c>
      <c r="U247" s="32" t="s">
        <v>97</v>
      </c>
      <c r="V247" s="32" t="s">
        <v>73</v>
      </c>
      <c r="W247" s="32" t="s">
        <v>111</v>
      </c>
      <c r="X247" s="32" t="s">
        <v>127</v>
      </c>
      <c r="Y247" s="32" t="s">
        <v>73</v>
      </c>
      <c r="Z247" s="32" t="s">
        <v>73</v>
      </c>
      <c r="AA247" s="32" t="s">
        <v>81</v>
      </c>
      <c r="AB247" s="32" t="s">
        <v>75</v>
      </c>
      <c r="AC247" s="32" t="s">
        <v>76</v>
      </c>
      <c r="AD247" s="32" t="s">
        <v>82</v>
      </c>
      <c r="AE247" s="32" t="s">
        <v>90</v>
      </c>
      <c r="AF247" s="32" t="s">
        <v>73</v>
      </c>
      <c r="AG247" s="32" t="s">
        <v>178</v>
      </c>
      <c r="AH247" t="str">
        <f>VLOOKUP($R247,武学奇术!$A:$ZZ,25,FALSE)</f>
        <v>剑</v>
      </c>
      <c r="AI247" s="21">
        <f>VLOOKUP($R247,武学奇术!$A:$ZZ,26,FALSE)</f>
        <v>0.3465</v>
      </c>
      <c r="AJ247" s="22">
        <f>VLOOKUP($R247,武学奇术!$A:$ZZ,27,FALSE)*(1+IF(OR($AH247=$F$4,$AH247=$F$5),$B$22,0))</f>
        <v>0</v>
      </c>
      <c r="AK247" s="21">
        <f>VLOOKUP($R247,武学奇术!$A:$ZZ,28,FALSE)</f>
        <v>0.51975</v>
      </c>
      <c r="AL247" s="22">
        <f>VLOOKUP($R247,武学奇术!$A:$ZZ,29,FALSE)*(1+IF(OR($AH247=$F$4,$AH247=$F$5),$B$22,0))</f>
        <v>0</v>
      </c>
      <c r="AM247" s="21" cm="1">
        <f t="array" ref="AM247">$G$3+IFERROR(VLOOKUP($AH247,$F$4:$G$7,2,FALSE),0)+VLOOKUP($R247,武学奇术!$A:$ZZ,2,FALSE)+SUM(_xlfn.XLOOKUP($S247:$AG247,增益!$A:$A,增益!$B:$B,0))</f>
        <v>1.5591</v>
      </c>
      <c r="AN247" s="21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1862.48</v>
      </c>
      <c r="AP247" cm="1">
        <f t="array" ref="AP247">$E$10*(1+$AN247)+VLOOKUP($R247,武学奇术!$A:$ZZ,4,FALSE)+SUM(_xlfn.XLOOKUP($S247:$AG247,增益!$A:$A,增益!$D:$D,0))-$I$2</f>
        <v>7794.56</v>
      </c>
      <c r="AQ247" s="26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0.369</v>
      </c>
      <c r="AR247" s="26" cm="1">
        <f t="array" ref="AR247">$G$10+VLOOKUP($R247,武学奇术!$A:$ZZ,7,FALSE)+SUM(_xlfn.XLOOKUP(S247:AG247,增益!$A:$A,增益!$G:$G,0))</f>
        <v>0</v>
      </c>
      <c r="AS247" s="21" cm="1">
        <f t="array" ref="AS247">VLOOKUP($R247,武学奇术!$A:$ZZ,8,FALSE)+SUM(_xlfn.XLOOKUP(S247:AG247,增益!$A:$A,增益!$H:$H,0))</f>
        <v>0</v>
      </c>
      <c r="AT247">
        <f t="shared" si="86"/>
        <v>680.02</v>
      </c>
      <c r="AU247">
        <f t="shared" si="87"/>
        <v>1288.54</v>
      </c>
      <c r="AV247" s="26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0.075</v>
      </c>
      <c r="AW247" s="26" cm="1">
        <f t="array" ref="AW247">$G$11+VLOOKUP($R247,武学奇术!$A:$ZZ,10,FALSE)+SUM(_xlfn.XLOOKUP(S247:AG247,增益!$A:$A,增益!$J:$J,0))</f>
        <v>0.15</v>
      </c>
      <c r="AX247">
        <f t="shared" si="88"/>
        <v>0</v>
      </c>
      <c r="AY247">
        <f t="shared" si="89"/>
        <v>0</v>
      </c>
      <c r="AZ247" s="26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26" cm="1">
        <f t="array" ref="BA247">$G$12+VLOOKUP($R247,武学奇术!$A:$ZZ,12,FALSE)+SUM(_xlfn.XLOOKUP(S247:AG247,增益!$A:$A,增益!$L:$L,0))</f>
        <v>0</v>
      </c>
      <c r="BB247">
        <f t="shared" si="90"/>
        <v>0</v>
      </c>
      <c r="BC247">
        <f t="shared" si="91"/>
        <v>0</v>
      </c>
      <c r="BD247" s="26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26" cm="1">
        <f t="array" ref="BE247">$G$13+VLOOKUP($R247,武学奇术!$A:$ZZ,14,FALSE)+SUM(_xlfn.XLOOKUP(S247:AG247,增益!$A:$A,增益!$N:$N,0))</f>
        <v>0</v>
      </c>
      <c r="BF247">
        <f t="shared" si="92"/>
        <v>0</v>
      </c>
      <c r="BG247">
        <f t="shared" si="93"/>
        <v>0</v>
      </c>
      <c r="BH247" s="26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26" cm="1">
        <f t="array" ref="BI247">$G$14+VLOOKUP($R247,武学奇术!$A:$ZZ,16,FALSE)+SUM(_xlfn.XLOOKUP(S247:AG247,增益!$A:$A,增益!$P:$P,0))</f>
        <v>0</v>
      </c>
      <c r="BJ247" s="21">
        <f>MIN(IF(VLOOKUP($R247,武学奇术!$A:$ZZ,23,FALSE)=1,100%,$B$8),100%)</f>
        <v>0.8229</v>
      </c>
      <c r="BK247" s="21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0.2285</v>
      </c>
      <c r="BL247" s="21" cm="1">
        <f t="array" ref="BL247">1+$B$13+VLOOKUP($R247,武学奇术!$A:$ZZ,18,FALSE)+SUM(_xlfn.XLOOKUP(S247:AG247,增益!$A:$A,增益!$R:$R,0))</f>
        <v>1.5</v>
      </c>
      <c r="BM247" s="21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0.4495</v>
      </c>
      <c r="BN247" s="21" cm="1">
        <f t="array" ref="BN247">1+$B$14+VLOOKUP($R247,武学奇术!$A:$ZZ,20,FALSE)+SUM(_xlfn.XLOOKUP(S247:AG247,增益!$A:$A,增益!$T:$T,0))</f>
        <v>1.782</v>
      </c>
      <c r="BO247" s="21">
        <f t="shared" ref="BO247" si="154">MIN((1-BM247)*BJ247,BJ247*BK247)</f>
        <v>0.18803265</v>
      </c>
      <c r="BP247" s="21">
        <f t="shared" ref="BP247" si="155">1-BM247-BO247-BQ247</f>
        <v>0.2649738</v>
      </c>
      <c r="BQ247" s="21">
        <f>IF(VLOOKUP($R247,武学奇术!$A:$ZZ,22,FALSE)=1,0,(1-$BJ247))*(1-$BM247)</f>
        <v>0.09749355</v>
      </c>
      <c r="BR247" s="21" cm="1">
        <f t="array" ref="BR247">SUM(_xlfn.XLOOKUP(S247:AG247,增益!$A:$A,增益!$W:$W,0))+$I$5</f>
        <v>0.06</v>
      </c>
    </row>
    <row r="248" spans="11:70">
      <c r="K248" s="24">
        <f>$L248*VLOOKUP($R248,武学奇术!$A:$ZZ,31,FALSE)</f>
        <v>9199.46507357055</v>
      </c>
      <c r="L248" s="24">
        <f t="shared" si="85"/>
        <v>15332.4417892843</v>
      </c>
      <c r="M248" s="24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12559.1638372335</v>
      </c>
      <c r="N248" s="24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23100.2904695384</v>
      </c>
      <c r="O248" s="24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8372.77589148897</v>
      </c>
      <c r="P248" s="24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3782.42581802933</v>
      </c>
      <c r="Q248" s="31">
        <v>1</v>
      </c>
      <c r="R248" s="32" t="s">
        <v>197</v>
      </c>
      <c r="S248" s="32" t="s">
        <v>87</v>
      </c>
      <c r="T248" s="32" t="s">
        <v>96</v>
      </c>
      <c r="U248" s="32" t="s">
        <v>97</v>
      </c>
      <c r="V248" s="32" t="s">
        <v>73</v>
      </c>
      <c r="W248" s="32" t="s">
        <v>111</v>
      </c>
      <c r="X248" s="32" t="s">
        <v>127</v>
      </c>
      <c r="Y248" s="32" t="s">
        <v>73</v>
      </c>
      <c r="Z248" s="32" t="s">
        <v>73</v>
      </c>
      <c r="AA248" s="32" t="s">
        <v>81</v>
      </c>
      <c r="AB248" s="32" t="s">
        <v>75</v>
      </c>
      <c r="AC248" s="32" t="s">
        <v>76</v>
      </c>
      <c r="AD248" s="32" t="s">
        <v>82</v>
      </c>
      <c r="AE248" s="32" t="s">
        <v>90</v>
      </c>
      <c r="AF248" s="32" t="s">
        <v>73</v>
      </c>
      <c r="AG248" s="32" t="s">
        <v>178</v>
      </c>
      <c r="AH248" t="str">
        <f>VLOOKUP($R248,武学奇术!$A:$ZZ,25,FALSE)</f>
        <v>剑</v>
      </c>
      <c r="AI248" s="21">
        <f>VLOOKUP($R248,武学奇术!$A:$ZZ,26,FALSE)</f>
        <v>0.2772</v>
      </c>
      <c r="AJ248" s="22">
        <f>VLOOKUP($R248,武学奇术!$A:$ZZ,27,FALSE)*(1+IF(OR($AH248=$F$4,$AH248=$F$5),$B$22,0))</f>
        <v>0</v>
      </c>
      <c r="AK248" s="21">
        <f>VLOOKUP($R248,武学奇术!$A:$ZZ,28,FALSE)</f>
        <v>0.4158</v>
      </c>
      <c r="AL248" s="22">
        <f>VLOOKUP($R248,武学奇术!$A:$ZZ,29,FALSE)*(1+IF(OR($AH248=$F$4,$AH248=$F$5),$B$22,0))</f>
        <v>0</v>
      </c>
      <c r="AM248" s="21" cm="1">
        <f t="array" ref="AM248">$G$3+IFERROR(VLOOKUP($AH248,$F$4:$G$7,2,FALSE),0)+VLOOKUP($R248,武学奇术!$A:$ZZ,2,FALSE)+SUM(_xlfn.XLOOKUP($S248:$AG248,增益!$A:$A,增益!$B:$B,0))</f>
        <v>1.5591</v>
      </c>
      <c r="AN248" s="21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1862.48</v>
      </c>
      <c r="AP248" cm="1">
        <f t="array" ref="AP248">$E$10*(1+$AN248)+VLOOKUP($R248,武学奇术!$A:$ZZ,4,FALSE)+SUM(_xlfn.XLOOKUP($S248:$AG248,增益!$A:$A,增益!$D:$D,0))-$I$2</f>
        <v>7794.56</v>
      </c>
      <c r="AQ248" s="26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0.369</v>
      </c>
      <c r="AR248" s="26" cm="1">
        <f t="array" ref="AR248">$G$10+VLOOKUP($R248,武学奇术!$A:$ZZ,7,FALSE)+SUM(_xlfn.XLOOKUP(S248:AG248,增益!$A:$A,增益!$G:$G,0))</f>
        <v>0</v>
      </c>
      <c r="AS248" s="21" cm="1">
        <f t="array" ref="AS248">VLOOKUP($R248,武学奇术!$A:$ZZ,8,FALSE)+SUM(_xlfn.XLOOKUP(S248:AG248,增益!$A:$A,增益!$H:$H,0))</f>
        <v>0</v>
      </c>
      <c r="AT248">
        <f t="shared" si="86"/>
        <v>680.02</v>
      </c>
      <c r="AU248">
        <f t="shared" si="87"/>
        <v>1288.54</v>
      </c>
      <c r="AV248" s="26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0.075</v>
      </c>
      <c r="AW248" s="26" cm="1">
        <f t="array" ref="AW248">$G$11+VLOOKUP($R248,武学奇术!$A:$ZZ,10,FALSE)+SUM(_xlfn.XLOOKUP(S248:AG248,增益!$A:$A,增益!$J:$J,0))</f>
        <v>0.15</v>
      </c>
      <c r="AX248">
        <f t="shared" si="88"/>
        <v>0</v>
      </c>
      <c r="AY248">
        <f t="shared" si="89"/>
        <v>0</v>
      </c>
      <c r="AZ248" s="26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26" cm="1">
        <f t="array" ref="BA248">$G$12+VLOOKUP($R248,武学奇术!$A:$ZZ,12,FALSE)+SUM(_xlfn.XLOOKUP(S248:AG248,增益!$A:$A,增益!$L:$L,0))</f>
        <v>0</v>
      </c>
      <c r="BB248">
        <f t="shared" si="90"/>
        <v>0</v>
      </c>
      <c r="BC248">
        <f t="shared" si="91"/>
        <v>0</v>
      </c>
      <c r="BD248" s="26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26" cm="1">
        <f t="array" ref="BE248">$G$13+VLOOKUP($R248,武学奇术!$A:$ZZ,14,FALSE)+SUM(_xlfn.XLOOKUP(S248:AG248,增益!$A:$A,增益!$N:$N,0))</f>
        <v>0</v>
      </c>
      <c r="BF248">
        <f t="shared" si="92"/>
        <v>0</v>
      </c>
      <c r="BG248">
        <f t="shared" si="93"/>
        <v>0</v>
      </c>
      <c r="BH248" s="26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26" cm="1">
        <f t="array" ref="BI248">$G$14+VLOOKUP($R248,武学奇术!$A:$ZZ,16,FALSE)+SUM(_xlfn.XLOOKUP(S248:AG248,增益!$A:$A,增益!$P:$P,0))</f>
        <v>0</v>
      </c>
      <c r="BJ248" s="21">
        <f>MIN(IF(VLOOKUP($R248,武学奇术!$A:$ZZ,23,FALSE)=1,100%,$B$8),100%)</f>
        <v>0.8229</v>
      </c>
      <c r="BK248" s="21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0.2285</v>
      </c>
      <c r="BL248" s="21" cm="1">
        <f t="array" ref="BL248">1+$B$13+VLOOKUP($R248,武学奇术!$A:$ZZ,18,FALSE)+SUM(_xlfn.XLOOKUP(S248:AG248,增益!$A:$A,增益!$R:$R,0))</f>
        <v>1.5</v>
      </c>
      <c r="BM248" s="21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0.4495</v>
      </c>
      <c r="BN248" s="21" cm="1">
        <f t="array" ref="BN248">1+$B$14+VLOOKUP($R248,武学奇术!$A:$ZZ,20,FALSE)+SUM(_xlfn.XLOOKUP(S248:AG248,增益!$A:$A,增益!$T:$T,0))</f>
        <v>1.782</v>
      </c>
      <c r="BO248" s="21">
        <f t="shared" ref="BO248" si="156">MIN((1-BM248)*BJ248,BJ248*BK248)</f>
        <v>0.18803265</v>
      </c>
      <c r="BP248" s="21">
        <f t="shared" ref="BP248" si="157">1-BM248-BO248-BQ248</f>
        <v>0.2649738</v>
      </c>
      <c r="BQ248" s="21">
        <f>IF(VLOOKUP($R248,武学奇术!$A:$ZZ,22,FALSE)=1,0,(1-$BJ248))*(1-$BM248)</f>
        <v>0.09749355</v>
      </c>
      <c r="BR248" s="21" cm="1">
        <f t="array" ref="BR248">SUM(_xlfn.XLOOKUP(S248:AG248,增益!$A:$A,增益!$W:$W,0))+$I$5</f>
        <v>0.06</v>
      </c>
    </row>
    <row r="249" spans="11:70">
      <c r="K249" s="24">
        <f>$L249*VLOOKUP($R249,武学奇术!$A:$ZZ,31,FALSE)</f>
        <v>5749.6656709816</v>
      </c>
      <c r="L249" s="24">
        <f t="shared" si="85"/>
        <v>9582.77611830266</v>
      </c>
      <c r="M249" s="24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7849.47739827091</v>
      </c>
      <c r="N249" s="24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14437.6815434615</v>
      </c>
      <c r="O249" s="24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5232.98493218061</v>
      </c>
      <c r="P249" s="24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2364.01613626833</v>
      </c>
      <c r="Q249" s="31">
        <v>1</v>
      </c>
      <c r="R249" s="32" t="s">
        <v>198</v>
      </c>
      <c r="S249" s="32" t="s">
        <v>87</v>
      </c>
      <c r="T249" s="32" t="s">
        <v>96</v>
      </c>
      <c r="U249" s="32" t="s">
        <v>97</v>
      </c>
      <c r="V249" s="32" t="s">
        <v>73</v>
      </c>
      <c r="W249" s="32" t="s">
        <v>111</v>
      </c>
      <c r="X249" s="32" t="s">
        <v>127</v>
      </c>
      <c r="Y249" s="32" t="s">
        <v>73</v>
      </c>
      <c r="Z249" s="32" t="s">
        <v>73</v>
      </c>
      <c r="AA249" s="32" t="s">
        <v>81</v>
      </c>
      <c r="AB249" s="32" t="s">
        <v>75</v>
      </c>
      <c r="AC249" s="32" t="s">
        <v>76</v>
      </c>
      <c r="AD249" s="32" t="s">
        <v>82</v>
      </c>
      <c r="AE249" s="32" t="s">
        <v>90</v>
      </c>
      <c r="AF249" s="32" t="s">
        <v>73</v>
      </c>
      <c r="AG249" s="32" t="s">
        <v>178</v>
      </c>
      <c r="AH249" t="str">
        <f>VLOOKUP($R249,武学奇术!$A:$ZZ,25,FALSE)</f>
        <v>剑</v>
      </c>
      <c r="AI249" s="21">
        <f>VLOOKUP($R249,武学奇术!$A:$ZZ,26,FALSE)</f>
        <v>0.17325</v>
      </c>
      <c r="AJ249" s="22">
        <f>VLOOKUP($R249,武学奇术!$A:$ZZ,27,FALSE)*(1+IF(OR($AH249=$F$4,$AH249=$F$5),$B$22,0))</f>
        <v>0</v>
      </c>
      <c r="AK249" s="21">
        <f>VLOOKUP($R249,武学奇术!$A:$ZZ,28,FALSE)</f>
        <v>0.259875</v>
      </c>
      <c r="AL249" s="22">
        <f>VLOOKUP($R249,武学奇术!$A:$ZZ,29,FALSE)*(1+IF(OR($AH249=$F$4,$AH249=$F$5),$B$22,0))</f>
        <v>0</v>
      </c>
      <c r="AM249" s="21" cm="1">
        <f t="array" ref="AM249">$G$3+IFERROR(VLOOKUP($AH249,$F$4:$G$7,2,FALSE),0)+VLOOKUP($R249,武学奇术!$A:$ZZ,2,FALSE)+SUM(_xlfn.XLOOKUP($S249:$AG249,增益!$A:$A,增益!$B:$B,0))</f>
        <v>1.5591</v>
      </c>
      <c r="AN249" s="21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1862.48</v>
      </c>
      <c r="AP249" cm="1">
        <f t="array" ref="AP249">$E$10*(1+$AN249)+VLOOKUP($R249,武学奇术!$A:$ZZ,4,FALSE)+SUM(_xlfn.XLOOKUP($S249:$AG249,增益!$A:$A,增益!$D:$D,0))-$I$2</f>
        <v>7794.56</v>
      </c>
      <c r="AQ249" s="26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0.369</v>
      </c>
      <c r="AR249" s="26" cm="1">
        <f t="array" ref="AR249">$G$10+VLOOKUP($R249,武学奇术!$A:$ZZ,7,FALSE)+SUM(_xlfn.XLOOKUP(S249:AG249,增益!$A:$A,增益!$G:$G,0))</f>
        <v>0</v>
      </c>
      <c r="AS249" s="21" cm="1">
        <f t="array" ref="AS249">VLOOKUP($R249,武学奇术!$A:$ZZ,8,FALSE)+SUM(_xlfn.XLOOKUP(S249:AG249,增益!$A:$A,增益!$H:$H,0))</f>
        <v>0</v>
      </c>
      <c r="AT249">
        <f t="shared" si="86"/>
        <v>680.02</v>
      </c>
      <c r="AU249">
        <f t="shared" si="87"/>
        <v>1288.54</v>
      </c>
      <c r="AV249" s="26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0.075</v>
      </c>
      <c r="AW249" s="26" cm="1">
        <f t="array" ref="AW249">$G$11+VLOOKUP($R249,武学奇术!$A:$ZZ,10,FALSE)+SUM(_xlfn.XLOOKUP(S249:AG249,增益!$A:$A,增益!$J:$J,0))</f>
        <v>0.15</v>
      </c>
      <c r="AX249">
        <f t="shared" si="88"/>
        <v>0</v>
      </c>
      <c r="AY249">
        <f t="shared" si="89"/>
        <v>0</v>
      </c>
      <c r="AZ249" s="26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26" cm="1">
        <f t="array" ref="BA249">$G$12+VLOOKUP($R249,武学奇术!$A:$ZZ,12,FALSE)+SUM(_xlfn.XLOOKUP(S249:AG249,增益!$A:$A,增益!$L:$L,0))</f>
        <v>0</v>
      </c>
      <c r="BB249">
        <f t="shared" si="90"/>
        <v>0</v>
      </c>
      <c r="BC249">
        <f t="shared" si="91"/>
        <v>0</v>
      </c>
      <c r="BD249" s="26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26" cm="1">
        <f t="array" ref="BE249">$G$13+VLOOKUP($R249,武学奇术!$A:$ZZ,14,FALSE)+SUM(_xlfn.XLOOKUP(S249:AG249,增益!$A:$A,增益!$N:$N,0))</f>
        <v>0</v>
      </c>
      <c r="BF249">
        <f t="shared" si="92"/>
        <v>0</v>
      </c>
      <c r="BG249">
        <f t="shared" si="93"/>
        <v>0</v>
      </c>
      <c r="BH249" s="26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26" cm="1">
        <f t="array" ref="BI249">$G$14+VLOOKUP($R249,武学奇术!$A:$ZZ,16,FALSE)+SUM(_xlfn.XLOOKUP(S249:AG249,增益!$A:$A,增益!$P:$P,0))</f>
        <v>0</v>
      </c>
      <c r="BJ249" s="21">
        <f>MIN(IF(VLOOKUP($R249,武学奇术!$A:$ZZ,23,FALSE)=1,100%,$B$8),100%)</f>
        <v>0.8229</v>
      </c>
      <c r="BK249" s="21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0.2285</v>
      </c>
      <c r="BL249" s="21" cm="1">
        <f t="array" ref="BL249">1+$B$13+VLOOKUP($R249,武学奇术!$A:$ZZ,18,FALSE)+SUM(_xlfn.XLOOKUP(S249:AG249,增益!$A:$A,增益!$R:$R,0))</f>
        <v>1.5</v>
      </c>
      <c r="BM249" s="21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0.4495</v>
      </c>
      <c r="BN249" s="21" cm="1">
        <f t="array" ref="BN249">1+$B$14+VLOOKUP($R249,武学奇术!$A:$ZZ,20,FALSE)+SUM(_xlfn.XLOOKUP(S249:AG249,增益!$A:$A,增益!$T:$T,0))</f>
        <v>1.782</v>
      </c>
      <c r="BO249" s="21">
        <f t="shared" ref="BO249" si="158">MIN((1-BM249)*BJ249,BJ249*BK249)</f>
        <v>0.18803265</v>
      </c>
      <c r="BP249" s="21">
        <f t="shared" ref="BP249" si="159">1-BM249-BO249-BQ249</f>
        <v>0.2649738</v>
      </c>
      <c r="BQ249" s="21">
        <f>IF(VLOOKUP($R249,武学奇术!$A:$ZZ,22,FALSE)=1,0,(1-$BJ249))*(1-$BM249)</f>
        <v>0.09749355</v>
      </c>
      <c r="BR249" s="21" cm="1">
        <f t="array" ref="BR249">SUM(_xlfn.XLOOKUP(S249:AG249,增益!$A:$A,增益!$W:$W,0))+$I$5</f>
        <v>0.06</v>
      </c>
    </row>
    <row r="250" spans="11:70">
      <c r="K250" s="24">
        <f>$L250*VLOOKUP($R250,武学奇术!$A:$ZZ,31,FALSE)</f>
        <v>5749.6656709816</v>
      </c>
      <c r="L250" s="24">
        <f t="shared" si="85"/>
        <v>9582.77611830266</v>
      </c>
      <c r="M250" s="24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7849.47739827091</v>
      </c>
      <c r="N250" s="24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14437.6815434615</v>
      </c>
      <c r="O250" s="24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5232.98493218061</v>
      </c>
      <c r="P250" s="24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2364.01613626833</v>
      </c>
      <c r="Q250" s="31">
        <v>1</v>
      </c>
      <c r="R250" s="32" t="s">
        <v>198</v>
      </c>
      <c r="S250" s="32" t="s">
        <v>87</v>
      </c>
      <c r="T250" s="32" t="s">
        <v>96</v>
      </c>
      <c r="U250" s="32" t="s">
        <v>97</v>
      </c>
      <c r="V250" s="32" t="s">
        <v>73</v>
      </c>
      <c r="W250" s="32" t="s">
        <v>111</v>
      </c>
      <c r="X250" s="32" t="s">
        <v>127</v>
      </c>
      <c r="Y250" s="32" t="s">
        <v>73</v>
      </c>
      <c r="Z250" s="32" t="s">
        <v>73</v>
      </c>
      <c r="AA250" s="32" t="s">
        <v>81</v>
      </c>
      <c r="AB250" s="32" t="s">
        <v>75</v>
      </c>
      <c r="AC250" s="32" t="s">
        <v>76</v>
      </c>
      <c r="AD250" s="32" t="s">
        <v>82</v>
      </c>
      <c r="AE250" s="32" t="s">
        <v>90</v>
      </c>
      <c r="AF250" s="32" t="s">
        <v>73</v>
      </c>
      <c r="AG250" s="32" t="s">
        <v>178</v>
      </c>
      <c r="AH250" t="str">
        <f>VLOOKUP($R250,武学奇术!$A:$ZZ,25,FALSE)</f>
        <v>剑</v>
      </c>
      <c r="AI250" s="21">
        <f>VLOOKUP($R250,武学奇术!$A:$ZZ,26,FALSE)</f>
        <v>0.17325</v>
      </c>
      <c r="AJ250" s="22">
        <f>VLOOKUP($R250,武学奇术!$A:$ZZ,27,FALSE)*(1+IF(OR($AH250=$F$4,$AH250=$F$5),$B$22,0))</f>
        <v>0</v>
      </c>
      <c r="AK250" s="21">
        <f>VLOOKUP($R250,武学奇术!$A:$ZZ,28,FALSE)</f>
        <v>0.259875</v>
      </c>
      <c r="AL250" s="22">
        <f>VLOOKUP($R250,武学奇术!$A:$ZZ,29,FALSE)*(1+IF(OR($AH250=$F$4,$AH250=$F$5),$B$22,0))</f>
        <v>0</v>
      </c>
      <c r="AM250" s="21" cm="1">
        <f t="array" ref="AM250">$G$3+IFERROR(VLOOKUP($AH250,$F$4:$G$7,2,FALSE),0)+VLOOKUP($R250,武学奇术!$A:$ZZ,2,FALSE)+SUM(_xlfn.XLOOKUP($S250:$AG250,增益!$A:$A,增益!$B:$B,0))</f>
        <v>1.5591</v>
      </c>
      <c r="AN250" s="21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1862.48</v>
      </c>
      <c r="AP250" cm="1">
        <f t="array" ref="AP250">$E$10*(1+$AN250)+VLOOKUP($R250,武学奇术!$A:$ZZ,4,FALSE)+SUM(_xlfn.XLOOKUP($S250:$AG250,增益!$A:$A,增益!$D:$D,0))-$I$2</f>
        <v>7794.56</v>
      </c>
      <c r="AQ250" s="26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0.369</v>
      </c>
      <c r="AR250" s="26" cm="1">
        <f t="array" ref="AR250">$G$10+VLOOKUP($R250,武学奇术!$A:$ZZ,7,FALSE)+SUM(_xlfn.XLOOKUP(S250:AG250,增益!$A:$A,增益!$G:$G,0))</f>
        <v>0</v>
      </c>
      <c r="AS250" s="21" cm="1">
        <f t="array" ref="AS250">VLOOKUP($R250,武学奇术!$A:$ZZ,8,FALSE)+SUM(_xlfn.XLOOKUP(S250:AG250,增益!$A:$A,增益!$H:$H,0))</f>
        <v>0</v>
      </c>
      <c r="AT250">
        <f t="shared" si="86"/>
        <v>680.02</v>
      </c>
      <c r="AU250">
        <f t="shared" si="87"/>
        <v>1288.54</v>
      </c>
      <c r="AV250" s="26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26" cm="1">
        <f t="array" ref="AW250">$G$11+VLOOKUP($R250,武学奇术!$A:$ZZ,10,FALSE)+SUM(_xlfn.XLOOKUP(S250:AG250,增益!$A:$A,增益!$J:$J,0))</f>
        <v>0.15</v>
      </c>
      <c r="AX250">
        <f t="shared" si="88"/>
        <v>0</v>
      </c>
      <c r="AY250">
        <f t="shared" si="89"/>
        <v>0</v>
      </c>
      <c r="AZ250" s="26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26" cm="1">
        <f t="array" ref="BA250">$G$12+VLOOKUP($R250,武学奇术!$A:$ZZ,12,FALSE)+SUM(_xlfn.XLOOKUP(S250:AG250,增益!$A:$A,增益!$L:$L,0))</f>
        <v>0</v>
      </c>
      <c r="BB250">
        <f t="shared" si="90"/>
        <v>0</v>
      </c>
      <c r="BC250">
        <f t="shared" si="91"/>
        <v>0</v>
      </c>
      <c r="BD250" s="26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26" cm="1">
        <f t="array" ref="BE250">$G$13+VLOOKUP($R250,武学奇术!$A:$ZZ,14,FALSE)+SUM(_xlfn.XLOOKUP(S250:AG250,增益!$A:$A,增益!$N:$N,0))</f>
        <v>0</v>
      </c>
      <c r="BF250">
        <f t="shared" si="92"/>
        <v>0</v>
      </c>
      <c r="BG250">
        <f t="shared" si="93"/>
        <v>0</v>
      </c>
      <c r="BH250" s="26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26" cm="1">
        <f t="array" ref="BI250">$G$14+VLOOKUP($R250,武学奇术!$A:$ZZ,16,FALSE)+SUM(_xlfn.XLOOKUP(S250:AG250,增益!$A:$A,增益!$P:$P,0))</f>
        <v>0</v>
      </c>
      <c r="BJ250" s="21">
        <f>MIN(IF(VLOOKUP($R250,武学奇术!$A:$ZZ,23,FALSE)=1,100%,$B$8),100%)</f>
        <v>0.8229</v>
      </c>
      <c r="BK250" s="21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0.2285</v>
      </c>
      <c r="BL250" s="21" cm="1">
        <f t="array" ref="BL250">1+$B$13+VLOOKUP($R250,武学奇术!$A:$ZZ,18,FALSE)+SUM(_xlfn.XLOOKUP(S250:AG250,增益!$A:$A,增益!$R:$R,0))</f>
        <v>1.5</v>
      </c>
      <c r="BM250" s="21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0.4495</v>
      </c>
      <c r="BN250" s="21" cm="1">
        <f t="array" ref="BN250">1+$B$14+VLOOKUP($R250,武学奇术!$A:$ZZ,20,FALSE)+SUM(_xlfn.XLOOKUP(S250:AG250,增益!$A:$A,增益!$T:$T,0))</f>
        <v>1.782</v>
      </c>
      <c r="BO250" s="21">
        <f t="shared" ref="BO250" si="160">MIN((1-BM250)*BJ250,BJ250*BK250)</f>
        <v>0.18803265</v>
      </c>
      <c r="BP250" s="21">
        <f t="shared" ref="BP250" si="161">1-BM250-BO250-BQ250</f>
        <v>0.2649738</v>
      </c>
      <c r="BQ250" s="21">
        <f>IF(VLOOKUP($R250,武学奇术!$A:$ZZ,22,FALSE)=1,0,(1-$BJ250))*(1-$BM250)</f>
        <v>0.09749355</v>
      </c>
      <c r="BR250" s="21" cm="1">
        <f t="array" ref="BR250">SUM(_xlfn.XLOOKUP(S250:AG250,增益!$A:$A,增益!$W:$W,0))+$I$5</f>
        <v>0.06</v>
      </c>
    </row>
    <row r="251" spans="11:70">
      <c r="K251" s="24">
        <f>$L251*VLOOKUP($R251,武学奇术!$A:$ZZ,31,FALSE)</f>
        <v>5726.83165011199</v>
      </c>
      <c r="L251" s="24">
        <f t="shared" si="85"/>
        <v>9544.71941685331</v>
      </c>
      <c r="M251" s="24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7809.98652862874</v>
      </c>
      <c r="N251" s="24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14390.7663903266</v>
      </c>
      <c r="O251" s="24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5206.6576857525</v>
      </c>
      <c r="P251" s="24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2337.68888984022</v>
      </c>
      <c r="Q251" s="31">
        <v>1</v>
      </c>
      <c r="R251" s="32" t="s">
        <v>198</v>
      </c>
      <c r="S251" s="32" t="s">
        <v>87</v>
      </c>
      <c r="T251" s="32" t="s">
        <v>96</v>
      </c>
      <c r="U251" s="32" t="s">
        <v>97</v>
      </c>
      <c r="V251" s="32" t="s">
        <v>73</v>
      </c>
      <c r="W251" s="32" t="s">
        <v>73</v>
      </c>
      <c r="X251" s="32" t="s">
        <v>127</v>
      </c>
      <c r="Y251" s="32" t="s">
        <v>73</v>
      </c>
      <c r="Z251" s="32" t="s">
        <v>73</v>
      </c>
      <c r="AA251" s="32" t="s">
        <v>81</v>
      </c>
      <c r="AB251" s="32" t="s">
        <v>75</v>
      </c>
      <c r="AC251" s="32" t="s">
        <v>76</v>
      </c>
      <c r="AD251" s="32" t="s">
        <v>82</v>
      </c>
      <c r="AE251" s="32" t="s">
        <v>90</v>
      </c>
      <c r="AF251" s="32" t="s">
        <v>73</v>
      </c>
      <c r="AG251" s="32" t="s">
        <v>178</v>
      </c>
      <c r="AH251" t="str">
        <f>VLOOKUP($R251,武学奇术!$A:$ZZ,25,FALSE)</f>
        <v>剑</v>
      </c>
      <c r="AI251" s="21">
        <f>VLOOKUP($R251,武学奇术!$A:$ZZ,26,FALSE)</f>
        <v>0.17325</v>
      </c>
      <c r="AJ251" s="22">
        <f>VLOOKUP($R251,武学奇术!$A:$ZZ,27,FALSE)*(1+IF(OR($AH251=$F$4,$AH251=$F$5),$B$22,0))</f>
        <v>0</v>
      </c>
      <c r="AK251" s="21">
        <f>VLOOKUP($R251,武学奇术!$A:$ZZ,28,FALSE)</f>
        <v>0.259875</v>
      </c>
      <c r="AL251" s="22">
        <f>VLOOKUP($R251,武学奇术!$A:$ZZ,29,FALSE)*(1+IF(OR($AH251=$F$4,$AH251=$F$5),$B$22,0))</f>
        <v>0</v>
      </c>
      <c r="AM251" s="21" cm="1">
        <f t="array" ref="AM251">$G$3+IFERROR(VLOOKUP($AH251,$F$4:$G$7,2,FALSE),0)+VLOOKUP($R251,武学奇术!$A:$ZZ,2,FALSE)+SUM(_xlfn.XLOOKUP($S251:$AG251,增益!$A:$A,增益!$B:$B,0))</f>
        <v>1.5591</v>
      </c>
      <c r="AN251" s="21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1831.48</v>
      </c>
      <c r="AP251" cm="1">
        <f t="array" ref="AP251">$E$10*(1+$AN251)+VLOOKUP($R251,武学奇术!$A:$ZZ,4,FALSE)+SUM(_xlfn.XLOOKUP($S251:$AG251,增益!$A:$A,增益!$D:$D,0))-$I$2</f>
        <v>7763.56</v>
      </c>
      <c r="AQ251" s="26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0.369</v>
      </c>
      <c r="AR251" s="26" cm="1">
        <f t="array" ref="AR251">$G$10+VLOOKUP($R251,武学奇术!$A:$ZZ,7,FALSE)+SUM(_xlfn.XLOOKUP(S251:AG251,增益!$A:$A,增益!$G:$G,0))</f>
        <v>0</v>
      </c>
      <c r="AS251" s="21" cm="1">
        <f t="array" ref="AS251">VLOOKUP($R251,武学奇术!$A:$ZZ,8,FALSE)+SUM(_xlfn.XLOOKUP(S251:AG251,增益!$A:$A,增益!$H:$H,0))</f>
        <v>0</v>
      </c>
      <c r="AT251">
        <f t="shared" si="86"/>
        <v>680.02</v>
      </c>
      <c r="AU251">
        <f t="shared" si="87"/>
        <v>1288.54</v>
      </c>
      <c r="AV251" s="26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26" cm="1">
        <f t="array" ref="AW251">$G$11+VLOOKUP($R251,武学奇术!$A:$ZZ,10,FALSE)+SUM(_xlfn.XLOOKUP(S251:AG251,增益!$A:$A,增益!$J:$J,0))</f>
        <v>0.15</v>
      </c>
      <c r="AX251">
        <f t="shared" si="88"/>
        <v>0</v>
      </c>
      <c r="AY251">
        <f t="shared" si="89"/>
        <v>0</v>
      </c>
      <c r="AZ251" s="26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26" cm="1">
        <f t="array" ref="BA251">$G$12+VLOOKUP($R251,武学奇术!$A:$ZZ,12,FALSE)+SUM(_xlfn.XLOOKUP(S251:AG251,增益!$A:$A,增益!$L:$L,0))</f>
        <v>0</v>
      </c>
      <c r="BB251">
        <f t="shared" si="90"/>
        <v>0</v>
      </c>
      <c r="BC251">
        <f t="shared" si="91"/>
        <v>0</v>
      </c>
      <c r="BD251" s="26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26" cm="1">
        <f t="array" ref="BE251">$G$13+VLOOKUP($R251,武学奇术!$A:$ZZ,14,FALSE)+SUM(_xlfn.XLOOKUP(S251:AG251,增益!$A:$A,增益!$N:$N,0))</f>
        <v>0</v>
      </c>
      <c r="BF251">
        <f t="shared" si="92"/>
        <v>0</v>
      </c>
      <c r="BG251">
        <f t="shared" si="93"/>
        <v>0</v>
      </c>
      <c r="BH251" s="26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26" cm="1">
        <f t="array" ref="BI251">$G$14+VLOOKUP($R251,武学奇术!$A:$ZZ,16,FALSE)+SUM(_xlfn.XLOOKUP(S251:AG251,增益!$A:$A,增益!$P:$P,0))</f>
        <v>0</v>
      </c>
      <c r="BJ251" s="21">
        <f>MIN(IF(VLOOKUP($R251,武学奇术!$A:$ZZ,23,FALSE)=1,100%,$B$8),100%)</f>
        <v>0.8229</v>
      </c>
      <c r="BK251" s="21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0.2285</v>
      </c>
      <c r="BL251" s="21" cm="1">
        <f t="array" ref="BL251">1+$B$13+VLOOKUP($R251,武学奇术!$A:$ZZ,18,FALSE)+SUM(_xlfn.XLOOKUP(S251:AG251,增益!$A:$A,增益!$R:$R,0))</f>
        <v>1.5</v>
      </c>
      <c r="BM251" s="21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0.4495</v>
      </c>
      <c r="BN251" s="21" cm="1">
        <f t="array" ref="BN251">1+$B$14+VLOOKUP($R251,武学奇术!$A:$ZZ,20,FALSE)+SUM(_xlfn.XLOOKUP(S251:AG251,增益!$A:$A,增益!$T:$T,0))</f>
        <v>1.782</v>
      </c>
      <c r="BO251" s="21">
        <f t="shared" ref="BO251" si="162">MIN((1-BM251)*BJ251,BJ251*BK251)</f>
        <v>0.18803265</v>
      </c>
      <c r="BP251" s="21">
        <f t="shared" ref="BP251" si="163">1-BM251-BO251-BQ251</f>
        <v>0.2649738</v>
      </c>
      <c r="BQ251" s="21">
        <f>IF(VLOOKUP($R251,武学奇术!$A:$ZZ,22,FALSE)=1,0,(1-$BJ251))*(1-$BM251)</f>
        <v>0.09749355</v>
      </c>
      <c r="BR251" s="21" cm="1">
        <f t="array" ref="BR251">SUM(_xlfn.XLOOKUP(S251:AG251,增益!$A:$A,增益!$W:$W,0))+$I$5</f>
        <v>0.06</v>
      </c>
    </row>
    <row r="252" spans="11:70">
      <c r="K252" s="24">
        <f>$L252*VLOOKUP($R252,武学奇术!$A:$ZZ,31,FALSE)</f>
        <v>5726.83165011199</v>
      </c>
      <c r="L252" s="24">
        <f t="shared" si="85"/>
        <v>9544.71941685331</v>
      </c>
      <c r="M252" s="24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7809.98652862874</v>
      </c>
      <c r="N252" s="24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14390.7663903266</v>
      </c>
      <c r="O252" s="24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5206.6576857525</v>
      </c>
      <c r="P252" s="24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2337.68888984022</v>
      </c>
      <c r="Q252" s="31">
        <v>1</v>
      </c>
      <c r="R252" s="32" t="s">
        <v>198</v>
      </c>
      <c r="S252" s="32" t="s">
        <v>87</v>
      </c>
      <c r="T252" s="32" t="s">
        <v>96</v>
      </c>
      <c r="U252" s="32" t="s">
        <v>97</v>
      </c>
      <c r="V252" s="32" t="s">
        <v>73</v>
      </c>
      <c r="W252" s="32" t="s">
        <v>73</v>
      </c>
      <c r="X252" s="32" t="s">
        <v>127</v>
      </c>
      <c r="Y252" s="32" t="s">
        <v>73</v>
      </c>
      <c r="Z252" s="32" t="s">
        <v>73</v>
      </c>
      <c r="AA252" s="32" t="s">
        <v>81</v>
      </c>
      <c r="AB252" s="32" t="s">
        <v>75</v>
      </c>
      <c r="AC252" s="32" t="s">
        <v>76</v>
      </c>
      <c r="AD252" s="32" t="s">
        <v>82</v>
      </c>
      <c r="AE252" s="32" t="s">
        <v>90</v>
      </c>
      <c r="AF252" s="32" t="s">
        <v>73</v>
      </c>
      <c r="AG252" s="32" t="s">
        <v>178</v>
      </c>
      <c r="AH252" t="str">
        <f>VLOOKUP($R252,武学奇术!$A:$ZZ,25,FALSE)</f>
        <v>剑</v>
      </c>
      <c r="AI252" s="21">
        <f>VLOOKUP($R252,武学奇术!$A:$ZZ,26,FALSE)</f>
        <v>0.17325</v>
      </c>
      <c r="AJ252" s="22">
        <f>VLOOKUP($R252,武学奇术!$A:$ZZ,27,FALSE)*(1+IF(OR($AH252=$F$4,$AH252=$F$5),$B$22,0))</f>
        <v>0</v>
      </c>
      <c r="AK252" s="21">
        <f>VLOOKUP($R252,武学奇术!$A:$ZZ,28,FALSE)</f>
        <v>0.259875</v>
      </c>
      <c r="AL252" s="22">
        <f>VLOOKUP($R252,武学奇术!$A:$ZZ,29,FALSE)*(1+IF(OR($AH252=$F$4,$AH252=$F$5),$B$22,0))</f>
        <v>0</v>
      </c>
      <c r="AM252" s="21" cm="1">
        <f t="array" ref="AM252">$G$3+IFERROR(VLOOKUP($AH252,$F$4:$G$7,2,FALSE),0)+VLOOKUP($R252,武学奇术!$A:$ZZ,2,FALSE)+SUM(_xlfn.XLOOKUP($S252:$AG252,增益!$A:$A,增益!$B:$B,0))</f>
        <v>1.5591</v>
      </c>
      <c r="AN252" s="21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1831.48</v>
      </c>
      <c r="AP252" cm="1">
        <f t="array" ref="AP252">$E$10*(1+$AN252)+VLOOKUP($R252,武学奇术!$A:$ZZ,4,FALSE)+SUM(_xlfn.XLOOKUP($S252:$AG252,增益!$A:$A,增益!$D:$D,0))-$I$2</f>
        <v>7763.56</v>
      </c>
      <c r="AQ252" s="26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0.369</v>
      </c>
      <c r="AR252" s="26" cm="1">
        <f t="array" ref="AR252">$G$10+VLOOKUP($R252,武学奇术!$A:$ZZ,7,FALSE)+SUM(_xlfn.XLOOKUP(S252:AG252,增益!$A:$A,增益!$G:$G,0))</f>
        <v>0</v>
      </c>
      <c r="AS252" s="21" cm="1">
        <f t="array" ref="AS252">VLOOKUP($R252,武学奇术!$A:$ZZ,8,FALSE)+SUM(_xlfn.XLOOKUP(S252:AG252,增益!$A:$A,增益!$H:$H,0))</f>
        <v>0</v>
      </c>
      <c r="AT252">
        <f t="shared" si="86"/>
        <v>680.02</v>
      </c>
      <c r="AU252">
        <f t="shared" si="87"/>
        <v>1288.54</v>
      </c>
      <c r="AV252" s="26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26" cm="1">
        <f t="array" ref="AW252">$G$11+VLOOKUP($R252,武学奇术!$A:$ZZ,10,FALSE)+SUM(_xlfn.XLOOKUP(S252:AG252,增益!$A:$A,增益!$J:$J,0))</f>
        <v>0.15</v>
      </c>
      <c r="AX252">
        <f t="shared" si="88"/>
        <v>0</v>
      </c>
      <c r="AY252">
        <f t="shared" si="89"/>
        <v>0</v>
      </c>
      <c r="AZ252" s="26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26" cm="1">
        <f t="array" ref="BA252">$G$12+VLOOKUP($R252,武学奇术!$A:$ZZ,12,FALSE)+SUM(_xlfn.XLOOKUP(S252:AG252,增益!$A:$A,增益!$L:$L,0))</f>
        <v>0</v>
      </c>
      <c r="BB252">
        <f t="shared" si="90"/>
        <v>0</v>
      </c>
      <c r="BC252">
        <f t="shared" si="91"/>
        <v>0</v>
      </c>
      <c r="BD252" s="26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26" cm="1">
        <f t="array" ref="BE252">$G$13+VLOOKUP($R252,武学奇术!$A:$ZZ,14,FALSE)+SUM(_xlfn.XLOOKUP(S252:AG252,增益!$A:$A,增益!$N:$N,0))</f>
        <v>0</v>
      </c>
      <c r="BF252">
        <f t="shared" si="92"/>
        <v>0</v>
      </c>
      <c r="BG252">
        <f t="shared" si="93"/>
        <v>0</v>
      </c>
      <c r="BH252" s="26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26" cm="1">
        <f t="array" ref="BI252">$G$14+VLOOKUP($R252,武学奇术!$A:$ZZ,16,FALSE)+SUM(_xlfn.XLOOKUP(S252:AG252,增益!$A:$A,增益!$P:$P,0))</f>
        <v>0</v>
      </c>
      <c r="BJ252" s="21">
        <f>MIN(IF(VLOOKUP($R252,武学奇术!$A:$ZZ,23,FALSE)=1,100%,$B$8),100%)</f>
        <v>0.8229</v>
      </c>
      <c r="BK252" s="21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0.2285</v>
      </c>
      <c r="BL252" s="21" cm="1">
        <f t="array" ref="BL252">1+$B$13+VLOOKUP($R252,武学奇术!$A:$ZZ,18,FALSE)+SUM(_xlfn.XLOOKUP(S252:AG252,增益!$A:$A,增益!$R:$R,0))</f>
        <v>1.5</v>
      </c>
      <c r="BM252" s="21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0.4495</v>
      </c>
      <c r="BN252" s="21" cm="1">
        <f t="array" ref="BN252">1+$B$14+VLOOKUP($R252,武学奇术!$A:$ZZ,20,FALSE)+SUM(_xlfn.XLOOKUP(S252:AG252,增益!$A:$A,增益!$T:$T,0))</f>
        <v>1.782</v>
      </c>
      <c r="BO252" s="21">
        <f t="shared" ref="BO252" si="164">MIN((1-BM252)*BJ252,BJ252*BK252)</f>
        <v>0.18803265</v>
      </c>
      <c r="BP252" s="21">
        <f t="shared" ref="BP252" si="165">1-BM252-BO252-BQ252</f>
        <v>0.2649738</v>
      </c>
      <c r="BQ252" s="21">
        <f>IF(VLOOKUP($R252,武学奇术!$A:$ZZ,22,FALSE)=1,0,(1-$BJ252))*(1-$BM252)</f>
        <v>0.09749355</v>
      </c>
      <c r="BR252" s="21" cm="1">
        <f t="array" ref="BR252">SUM(_xlfn.XLOOKUP(S252:AG252,增益!$A:$A,增益!$W:$W,0))+$I$5</f>
        <v>0.06</v>
      </c>
    </row>
    <row r="253" spans="11:70">
      <c r="K253" s="24">
        <f>$L253*VLOOKUP($R253,武学奇术!$A:$ZZ,31,FALSE)</f>
        <v>0</v>
      </c>
      <c r="L253" s="24">
        <f t="shared" si="85"/>
        <v>0</v>
      </c>
      <c r="M253" s="24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0</v>
      </c>
      <c r="N253" s="24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0</v>
      </c>
      <c r="O253" s="24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0</v>
      </c>
      <c r="P253" s="24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0</v>
      </c>
      <c r="Q253" s="31"/>
      <c r="R253" s="32" t="s">
        <v>73</v>
      </c>
      <c r="S253" s="32" t="s">
        <v>73</v>
      </c>
      <c r="T253" s="32" t="s">
        <v>73</v>
      </c>
      <c r="U253" s="32" t="s">
        <v>73</v>
      </c>
      <c r="V253" s="32" t="s">
        <v>73</v>
      </c>
      <c r="W253" s="32" t="s">
        <v>73</v>
      </c>
      <c r="X253" s="32" t="s">
        <v>73</v>
      </c>
      <c r="Y253" s="32" t="s">
        <v>73</v>
      </c>
      <c r="Z253" s="32" t="s">
        <v>73</v>
      </c>
      <c r="AA253" s="32" t="s">
        <v>73</v>
      </c>
      <c r="AB253" s="32" t="s">
        <v>73</v>
      </c>
      <c r="AC253" s="32" t="s">
        <v>73</v>
      </c>
      <c r="AD253" s="32" t="s">
        <v>73</v>
      </c>
      <c r="AE253" s="32" t="s">
        <v>73</v>
      </c>
      <c r="AF253" s="32" t="s">
        <v>73</v>
      </c>
      <c r="AG253" s="32" t="s">
        <v>73</v>
      </c>
      <c r="AH253" t="str">
        <f>VLOOKUP($R253,武学奇术!$A:$ZZ,25,FALSE)</f>
        <v>心法</v>
      </c>
      <c r="AI253" s="21">
        <f>VLOOKUP($R253,武学奇术!$A:$ZZ,26,FALSE)</f>
        <v>0</v>
      </c>
      <c r="AJ253" s="22">
        <f>VLOOKUP($R253,武学奇术!$A:$ZZ,27,FALSE)*(1+IF(OR($AH253=$F$4,$AH253=$F$5),$B$22,0))</f>
        <v>0</v>
      </c>
      <c r="AK253" s="21">
        <f>VLOOKUP($R253,武学奇术!$A:$ZZ,28,FALSE)</f>
        <v>0</v>
      </c>
      <c r="AL253" s="22">
        <f>VLOOKUP($R253,武学奇术!$A:$ZZ,29,FALSE)*(1+IF(OR($AH253=$F$4,$AH253=$F$5),$B$22,0))</f>
        <v>0</v>
      </c>
      <c r="AM253" s="21" cm="1">
        <f t="array" ref="AM253">$G$3+IFERROR(VLOOKUP($AH253,$F$4:$G$7,2,FALSE),0)+VLOOKUP($R253,武学奇术!$A:$ZZ,2,FALSE)+SUM(_xlfn.XLOOKUP($S253:$AG253,增益!$A:$A,增益!$B:$B,0))</f>
        <v>0.1842</v>
      </c>
      <c r="AN253" s="21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1831.48</v>
      </c>
      <c r="AP253" cm="1">
        <f t="array" ref="AP253">$E$10*(1+$AN253)+VLOOKUP($R253,武学奇术!$A:$ZZ,4,FALSE)+SUM(_xlfn.XLOOKUP($S253:$AG253,增益!$A:$A,增益!$D:$D,0))-$I$2</f>
        <v>7763.56</v>
      </c>
      <c r="AQ253" s="26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0.244</v>
      </c>
      <c r="AR253" s="26" cm="1">
        <f t="array" ref="AR253">$G$10+VLOOKUP($R253,武学奇术!$A:$ZZ,7,FALSE)+SUM(_xlfn.XLOOKUP(S253:AG253,增益!$A:$A,增益!$G:$G,0))</f>
        <v>0</v>
      </c>
      <c r="AS253" s="21" cm="1">
        <f t="array" ref="AS253">VLOOKUP($R253,武学奇术!$A:$ZZ,8,FALSE)+SUM(_xlfn.XLOOKUP(S253:AG253,增益!$A:$A,增益!$H:$H,0))</f>
        <v>0</v>
      </c>
      <c r="AT253">
        <f t="shared" si="86"/>
        <v>680.02</v>
      </c>
      <c r="AU253">
        <f t="shared" si="87"/>
        <v>1288.54</v>
      </c>
      <c r="AV253" s="26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</v>
      </c>
      <c r="AW253" s="26" cm="1">
        <f t="array" ref="AW253">$G$11+VLOOKUP($R253,武学奇术!$A:$ZZ,10,FALSE)+SUM(_xlfn.XLOOKUP(S253:AG253,增益!$A:$A,增益!$J:$J,0))</f>
        <v>0.15</v>
      </c>
      <c r="AX253">
        <f t="shared" si="88"/>
        <v>0</v>
      </c>
      <c r="AY253">
        <f t="shared" si="89"/>
        <v>0</v>
      </c>
      <c r="AZ253" s="26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26" cm="1">
        <f t="array" ref="BA253">$G$12+VLOOKUP($R253,武学奇术!$A:$ZZ,12,FALSE)+SUM(_xlfn.XLOOKUP(S253:AG253,增益!$A:$A,增益!$L:$L,0))</f>
        <v>0</v>
      </c>
      <c r="BB253">
        <f t="shared" si="90"/>
        <v>0</v>
      </c>
      <c r="BC253">
        <f t="shared" si="91"/>
        <v>0</v>
      </c>
      <c r="BD253" s="26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26" cm="1">
        <f t="array" ref="BE253">$G$13+VLOOKUP($R253,武学奇术!$A:$ZZ,14,FALSE)+SUM(_xlfn.XLOOKUP(S253:AG253,增益!$A:$A,增益!$N:$N,0))</f>
        <v>0</v>
      </c>
      <c r="BF253">
        <f t="shared" si="92"/>
        <v>0</v>
      </c>
      <c r="BG253">
        <f t="shared" si="93"/>
        <v>0</v>
      </c>
      <c r="BH253" s="26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26" cm="1">
        <f t="array" ref="BI253">$G$14+VLOOKUP($R253,武学奇术!$A:$ZZ,16,FALSE)+SUM(_xlfn.XLOOKUP(S253:AG253,增益!$A:$A,增益!$P:$P,0))</f>
        <v>0</v>
      </c>
      <c r="BJ253" s="21">
        <f>MIN(IF(VLOOKUP($R253,武学奇术!$A:$ZZ,23,FALSE)=1,100%,$B$8),100%)</f>
        <v>0.8229</v>
      </c>
      <c r="BK253" s="21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0.2285</v>
      </c>
      <c r="BL253" s="21" cm="1">
        <f t="array" ref="BL253">1+$B$13+VLOOKUP($R253,武学奇术!$A:$ZZ,18,FALSE)+SUM(_xlfn.XLOOKUP(S253:AG253,增益!$A:$A,增益!$R:$R,0))</f>
        <v>1.5</v>
      </c>
      <c r="BM253" s="21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0.4195</v>
      </c>
      <c r="BN253" s="21" cm="1">
        <f t="array" ref="BN253">1+$B$14+VLOOKUP($R253,武学奇术!$A:$ZZ,20,FALSE)+SUM(_xlfn.XLOOKUP(S253:AG253,增益!$A:$A,增益!$T:$T,0))</f>
        <v>1.402</v>
      </c>
      <c r="BO253" s="21">
        <f t="shared" ref="BO253" si="166">MIN((1-BM253)*BJ253,BJ253*BK253)</f>
        <v>0.18803265</v>
      </c>
      <c r="BP253" s="21">
        <f t="shared" ref="BP253" si="167">1-BM253-BO253-BQ253</f>
        <v>0.2896608</v>
      </c>
      <c r="BQ253" s="21">
        <f>IF(VLOOKUP($R253,武学奇术!$A:$ZZ,22,FALSE)=1,0,(1-$BJ253))*(1-$BM253)</f>
        <v>0.10280655</v>
      </c>
      <c r="BR253" s="21" cm="1">
        <f t="array" ref="BR253">SUM(_xlfn.XLOOKUP(S253:AG253,增益!$A:$A,增益!$W:$W,0))+$I$5</f>
        <v>0.06</v>
      </c>
    </row>
    <row r="254" spans="11:70">
      <c r="K254" s="24">
        <f>$L254*VLOOKUP($R254,武学奇术!$A:$ZZ,31,FALSE)</f>
        <v>7246.54224117566</v>
      </c>
      <c r="L254" s="24">
        <f t="shared" si="85"/>
        <v>12077.5704019594</v>
      </c>
      <c r="M254" s="24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9882.49711891118</v>
      </c>
      <c r="N254" s="24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18209.5970165901</v>
      </c>
      <c r="O254" s="24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6588.33141260745</v>
      </c>
      <c r="P254" s="24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2958.03374744269</v>
      </c>
      <c r="Q254" s="31">
        <v>1</v>
      </c>
      <c r="R254" s="32" t="s">
        <v>199</v>
      </c>
      <c r="S254" s="32" t="s">
        <v>72</v>
      </c>
      <c r="T254" s="32" t="s">
        <v>96</v>
      </c>
      <c r="U254" s="32" t="s">
        <v>73</v>
      </c>
      <c r="V254" s="32" t="s">
        <v>73</v>
      </c>
      <c r="W254" s="32" t="s">
        <v>73</v>
      </c>
      <c r="X254" s="32" t="s">
        <v>127</v>
      </c>
      <c r="Y254" s="32" t="s">
        <v>73</v>
      </c>
      <c r="Z254" s="32" t="s">
        <v>73</v>
      </c>
      <c r="AA254" s="32" t="s">
        <v>73</v>
      </c>
      <c r="AB254" s="32" t="s">
        <v>75</v>
      </c>
      <c r="AC254" s="32" t="s">
        <v>76</v>
      </c>
      <c r="AD254" s="32" t="s">
        <v>82</v>
      </c>
      <c r="AE254" s="32" t="s">
        <v>73</v>
      </c>
      <c r="AF254" s="32" t="s">
        <v>73</v>
      </c>
      <c r="AG254" s="32" t="s">
        <v>178</v>
      </c>
      <c r="AH254" t="str">
        <f>VLOOKUP($R254,武学奇术!$A:$ZZ,25,FALSE)</f>
        <v>剑</v>
      </c>
      <c r="AI254" s="21">
        <f>VLOOKUP($R254,武学奇术!$A:$ZZ,26,FALSE)</f>
        <v>0.3465</v>
      </c>
      <c r="AJ254" s="22">
        <f>VLOOKUP($R254,武学奇术!$A:$ZZ,27,FALSE)*(1+IF(OR($AH254=$F$4,$AH254=$F$5),$B$22,0))</f>
        <v>0</v>
      </c>
      <c r="AK254" s="21">
        <f>VLOOKUP($R254,武学奇术!$A:$ZZ,28,FALSE)</f>
        <v>0.51975</v>
      </c>
      <c r="AL254" s="22">
        <f>VLOOKUP($R254,武学奇术!$A:$ZZ,29,FALSE)*(1+IF(OR($AH254=$F$4,$AH254=$F$5),$B$22,0))</f>
        <v>0</v>
      </c>
      <c r="AM254" s="21" cm="1">
        <f t="array" ref="AM254">$G$3+IFERROR(VLOOKUP($AH254,$F$4:$G$7,2,FALSE),0)+VLOOKUP($R254,武学奇术!$A:$ZZ,2,FALSE)+SUM(_xlfn.XLOOKUP($S254:$AG254,增益!$A:$A,增益!$B:$B,0))</f>
        <v>0.6191</v>
      </c>
      <c r="AN254" s="21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1831.48</v>
      </c>
      <c r="AP254" cm="1">
        <f t="array" ref="AP254">$E$10*(1+$AN254)+VLOOKUP($R254,武学奇术!$A:$ZZ,4,FALSE)+SUM(_xlfn.XLOOKUP($S254:$AG254,增益!$A:$A,增益!$D:$D,0))-$I$2</f>
        <v>7763.56</v>
      </c>
      <c r="AQ254" s="26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0.369</v>
      </c>
      <c r="AR254" s="26" cm="1">
        <f t="array" ref="AR254">$G$10+VLOOKUP($R254,武学奇术!$A:$ZZ,7,FALSE)+SUM(_xlfn.XLOOKUP(S254:AG254,增益!$A:$A,增益!$G:$G,0))</f>
        <v>0</v>
      </c>
      <c r="AS254" s="21" cm="1">
        <f t="array" ref="AS254">VLOOKUP($R254,武学奇术!$A:$ZZ,8,FALSE)+SUM(_xlfn.XLOOKUP(S254:AG254,增益!$A:$A,增益!$H:$H,0))</f>
        <v>0</v>
      </c>
      <c r="AT254">
        <f t="shared" si="86"/>
        <v>680.02</v>
      </c>
      <c r="AU254">
        <f t="shared" si="87"/>
        <v>1288.54</v>
      </c>
      <c r="AV254" s="26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0.075</v>
      </c>
      <c r="AW254" s="26" cm="1">
        <f t="array" ref="AW254">$G$11+VLOOKUP($R254,武学奇术!$A:$ZZ,10,FALSE)+SUM(_xlfn.XLOOKUP(S254:AG254,增益!$A:$A,增益!$J:$J,0))</f>
        <v>0.15</v>
      </c>
      <c r="AX254">
        <f t="shared" si="88"/>
        <v>0</v>
      </c>
      <c r="AY254">
        <f t="shared" si="89"/>
        <v>0</v>
      </c>
      <c r="AZ254" s="26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26" cm="1">
        <f t="array" ref="BA254">$G$12+VLOOKUP($R254,武学奇术!$A:$ZZ,12,FALSE)+SUM(_xlfn.XLOOKUP(S254:AG254,增益!$A:$A,增益!$L:$L,0))</f>
        <v>0</v>
      </c>
      <c r="BB254">
        <f t="shared" si="90"/>
        <v>0</v>
      </c>
      <c r="BC254">
        <f t="shared" si="91"/>
        <v>0</v>
      </c>
      <c r="BD254" s="26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26" cm="1">
        <f t="array" ref="BE254">$G$13+VLOOKUP($R254,武学奇术!$A:$ZZ,14,FALSE)+SUM(_xlfn.XLOOKUP(S254:AG254,增益!$A:$A,增益!$N:$N,0))</f>
        <v>0</v>
      </c>
      <c r="BF254">
        <f t="shared" si="92"/>
        <v>0</v>
      </c>
      <c r="BG254">
        <f t="shared" si="93"/>
        <v>0</v>
      </c>
      <c r="BH254" s="26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26" cm="1">
        <f t="array" ref="BI254">$G$14+VLOOKUP($R254,武学奇术!$A:$ZZ,16,FALSE)+SUM(_xlfn.XLOOKUP(S254:AG254,增益!$A:$A,增益!$P:$P,0))</f>
        <v>0</v>
      </c>
      <c r="BJ254" s="21">
        <f>MIN(IF(VLOOKUP($R254,武学奇术!$A:$ZZ,23,FALSE)=1,100%,$B$8),100%)</f>
        <v>0.8229</v>
      </c>
      <c r="BK254" s="21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0.2285</v>
      </c>
      <c r="BL254" s="21" cm="1">
        <f t="array" ref="BL254">1+$B$13+VLOOKUP($R254,武学奇术!$A:$ZZ,18,FALSE)+SUM(_xlfn.XLOOKUP(S254:AG254,增益!$A:$A,增益!$R:$R,0))</f>
        <v>1.5</v>
      </c>
      <c r="BM254" s="21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0.4495</v>
      </c>
      <c r="BN254" s="21" cm="1">
        <f t="array" ref="BN254">1+$B$14+VLOOKUP($R254,武学奇术!$A:$ZZ,20,FALSE)+SUM(_xlfn.XLOOKUP(S254:AG254,增益!$A:$A,增益!$T:$T,0))</f>
        <v>1.782</v>
      </c>
      <c r="BO254" s="21">
        <f t="shared" ref="BO254" si="168">MIN((1-BM254)*BJ254,BJ254*BK254)</f>
        <v>0.18803265</v>
      </c>
      <c r="BP254" s="21">
        <f t="shared" ref="BP254" si="169">1-BM254-BO254-BQ254</f>
        <v>0.2649738</v>
      </c>
      <c r="BQ254" s="21">
        <f>IF(VLOOKUP($R254,武学奇术!$A:$ZZ,22,FALSE)=1,0,(1-$BJ254))*(1-$BM254)</f>
        <v>0.09749355</v>
      </c>
      <c r="BR254" s="21" cm="1">
        <f t="array" ref="BR254">SUM(_xlfn.XLOOKUP(S254:AG254,增益!$A:$A,增益!$W:$W,0))+$I$5</f>
        <v>0.06</v>
      </c>
    </row>
    <row r="255" spans="11:70">
      <c r="K255" s="24">
        <f>$L255*VLOOKUP($R255,武学奇术!$A:$ZZ,31,FALSE)</f>
        <v>7246.54224117566</v>
      </c>
      <c r="L255" s="24">
        <f t="shared" si="85"/>
        <v>12077.5704019594</v>
      </c>
      <c r="M255" s="24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9882.49711891118</v>
      </c>
      <c r="N255" s="24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18209.5970165901</v>
      </c>
      <c r="O255" s="24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6588.33141260745</v>
      </c>
      <c r="P255" s="24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2958.03374744269</v>
      </c>
      <c r="Q255" s="31">
        <v>1</v>
      </c>
      <c r="R255" s="32" t="s">
        <v>199</v>
      </c>
      <c r="S255" s="32" t="s">
        <v>72</v>
      </c>
      <c r="T255" s="32" t="s">
        <v>96</v>
      </c>
      <c r="U255" s="32" t="s">
        <v>73</v>
      </c>
      <c r="V255" s="32" t="s">
        <v>73</v>
      </c>
      <c r="W255" s="32" t="s">
        <v>73</v>
      </c>
      <c r="X255" s="32" t="s">
        <v>127</v>
      </c>
      <c r="Y255" s="32" t="s">
        <v>73</v>
      </c>
      <c r="Z255" s="32" t="s">
        <v>73</v>
      </c>
      <c r="AA255" s="32" t="s">
        <v>81</v>
      </c>
      <c r="AB255" s="32" t="s">
        <v>75</v>
      </c>
      <c r="AC255" s="32" t="s">
        <v>89</v>
      </c>
      <c r="AD255" s="32" t="s">
        <v>82</v>
      </c>
      <c r="AE255" s="32" t="s">
        <v>73</v>
      </c>
      <c r="AF255" s="32" t="s">
        <v>73</v>
      </c>
      <c r="AG255" s="32" t="s">
        <v>178</v>
      </c>
      <c r="AH255" t="str">
        <f>VLOOKUP($R255,武学奇术!$A:$ZZ,25,FALSE)</f>
        <v>剑</v>
      </c>
      <c r="AI255" s="21">
        <f>VLOOKUP($R255,武学奇术!$A:$ZZ,26,FALSE)</f>
        <v>0.3465</v>
      </c>
      <c r="AJ255" s="22">
        <f>VLOOKUP($R255,武学奇术!$A:$ZZ,27,FALSE)*(1+IF(OR($AH255=$F$4,$AH255=$F$5),$B$22,0))</f>
        <v>0</v>
      </c>
      <c r="AK255" s="21">
        <f>VLOOKUP($R255,武学奇术!$A:$ZZ,28,FALSE)</f>
        <v>0.51975</v>
      </c>
      <c r="AL255" s="22">
        <f>VLOOKUP($R255,武学奇术!$A:$ZZ,29,FALSE)*(1+IF(OR($AH255=$F$4,$AH255=$F$5),$B$22,0))</f>
        <v>0</v>
      </c>
      <c r="AM255" s="21" cm="1">
        <f t="array" ref="AM255">$G$3+IFERROR(VLOOKUP($AH255,$F$4:$G$7,2,FALSE),0)+VLOOKUP($R255,武学奇术!$A:$ZZ,2,FALSE)+SUM(_xlfn.XLOOKUP($S255:$AG255,增益!$A:$A,增益!$B:$B,0))</f>
        <v>0.6191</v>
      </c>
      <c r="AN255" s="21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1831.48</v>
      </c>
      <c r="AP255" cm="1">
        <f t="array" ref="AP255">$E$10*(1+$AN255)+VLOOKUP($R255,武学奇术!$A:$ZZ,4,FALSE)+SUM(_xlfn.XLOOKUP($S255:$AG255,增益!$A:$A,增益!$D:$D,0))-$I$2</f>
        <v>7763.56</v>
      </c>
      <c r="AQ255" s="26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0.369</v>
      </c>
      <c r="AR255" s="26" cm="1">
        <f t="array" ref="AR255">$G$10+VLOOKUP($R255,武学奇术!$A:$ZZ,7,FALSE)+SUM(_xlfn.XLOOKUP(S255:AG255,增益!$A:$A,增益!$G:$G,0))</f>
        <v>0</v>
      </c>
      <c r="AS255" s="21" cm="1">
        <f t="array" ref="AS255">VLOOKUP($R255,武学奇术!$A:$ZZ,8,FALSE)+SUM(_xlfn.XLOOKUP(S255:AG255,增益!$A:$A,增益!$H:$H,0))</f>
        <v>0</v>
      </c>
      <c r="AT255">
        <f t="shared" si="86"/>
        <v>680.02</v>
      </c>
      <c r="AU255">
        <f t="shared" si="87"/>
        <v>1288.54</v>
      </c>
      <c r="AV255" s="26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26" cm="1">
        <f t="array" ref="AW255">$G$11+VLOOKUP($R255,武学奇术!$A:$ZZ,10,FALSE)+SUM(_xlfn.XLOOKUP(S255:AG255,增益!$A:$A,增益!$J:$J,0))</f>
        <v>0.15</v>
      </c>
      <c r="AX255">
        <f t="shared" si="88"/>
        <v>0</v>
      </c>
      <c r="AY255">
        <f t="shared" si="89"/>
        <v>0</v>
      </c>
      <c r="AZ255" s="26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26" cm="1">
        <f t="array" ref="BA255">$G$12+VLOOKUP($R255,武学奇术!$A:$ZZ,12,FALSE)+SUM(_xlfn.XLOOKUP(S255:AG255,增益!$A:$A,增益!$L:$L,0))</f>
        <v>0</v>
      </c>
      <c r="BB255">
        <f t="shared" si="90"/>
        <v>0</v>
      </c>
      <c r="BC255">
        <f t="shared" si="91"/>
        <v>0</v>
      </c>
      <c r="BD255" s="26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26" cm="1">
        <f t="array" ref="BE255">$G$13+VLOOKUP($R255,武学奇术!$A:$ZZ,14,FALSE)+SUM(_xlfn.XLOOKUP(S255:AG255,增益!$A:$A,增益!$N:$N,0))</f>
        <v>0</v>
      </c>
      <c r="BF255">
        <f t="shared" si="92"/>
        <v>0</v>
      </c>
      <c r="BG255">
        <f t="shared" si="93"/>
        <v>0</v>
      </c>
      <c r="BH255" s="26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26" cm="1">
        <f t="array" ref="BI255">$G$14+VLOOKUP($R255,武学奇术!$A:$ZZ,16,FALSE)+SUM(_xlfn.XLOOKUP(S255:AG255,增益!$A:$A,增益!$P:$P,0))</f>
        <v>0</v>
      </c>
      <c r="BJ255" s="21">
        <f>MIN(IF(VLOOKUP($R255,武学奇术!$A:$ZZ,23,FALSE)=1,100%,$B$8),100%)</f>
        <v>0.8229</v>
      </c>
      <c r="BK255" s="21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0.2285</v>
      </c>
      <c r="BL255" s="21" cm="1">
        <f t="array" ref="BL255">1+$B$13+VLOOKUP($R255,武学奇术!$A:$ZZ,18,FALSE)+SUM(_xlfn.XLOOKUP(S255:AG255,增益!$A:$A,增益!$R:$R,0))</f>
        <v>1.5</v>
      </c>
      <c r="BM255" s="21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0.4495</v>
      </c>
      <c r="BN255" s="21" cm="1">
        <f t="array" ref="BN255">1+$B$14+VLOOKUP($R255,武学奇术!$A:$ZZ,20,FALSE)+SUM(_xlfn.XLOOKUP(S255:AG255,增益!$A:$A,增益!$T:$T,0))</f>
        <v>1.782</v>
      </c>
      <c r="BO255" s="21">
        <f t="shared" ref="BO255" si="170">MIN((1-BM255)*BJ255,BJ255*BK255)</f>
        <v>0.18803265</v>
      </c>
      <c r="BP255" s="21">
        <f t="shared" ref="BP255" si="171">1-BM255-BO255-BQ255</f>
        <v>0.2649738</v>
      </c>
      <c r="BQ255" s="21">
        <f>IF(VLOOKUP($R255,武学奇术!$A:$ZZ,22,FALSE)=1,0,(1-$BJ255))*(1-$BM255)</f>
        <v>0.09749355</v>
      </c>
      <c r="BR255" s="21" cm="1">
        <f t="array" ref="BR255">SUM(_xlfn.XLOOKUP(S255:AG255,增益!$A:$A,增益!$W:$W,0))+$I$5</f>
        <v>0.06</v>
      </c>
    </row>
    <row r="256" spans="11:70">
      <c r="K256" s="24">
        <f>$L256*VLOOKUP($R256,武学奇术!$A:$ZZ,31,FALSE)</f>
        <v>7246.54224117566</v>
      </c>
      <c r="L256" s="24">
        <f t="shared" si="85"/>
        <v>12077.5704019594</v>
      </c>
      <c r="M256" s="24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9882.49711891118</v>
      </c>
      <c r="N256" s="24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18209.5970165901</v>
      </c>
      <c r="O256" s="24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6588.33141260745</v>
      </c>
      <c r="P256" s="24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2958.03374744269</v>
      </c>
      <c r="Q256" s="31">
        <v>1</v>
      </c>
      <c r="R256" s="32" t="s">
        <v>199</v>
      </c>
      <c r="S256" s="32" t="s">
        <v>72</v>
      </c>
      <c r="T256" s="32" t="s">
        <v>96</v>
      </c>
      <c r="U256" s="32" t="s">
        <v>73</v>
      </c>
      <c r="V256" s="32" t="s">
        <v>73</v>
      </c>
      <c r="W256" s="32" t="s">
        <v>73</v>
      </c>
      <c r="X256" s="32" t="s">
        <v>127</v>
      </c>
      <c r="Y256" s="32" t="s">
        <v>73</v>
      </c>
      <c r="Z256" s="32" t="s">
        <v>73</v>
      </c>
      <c r="AA256" s="32" t="s">
        <v>81</v>
      </c>
      <c r="AB256" s="32" t="s">
        <v>75</v>
      </c>
      <c r="AC256" s="32" t="s">
        <v>89</v>
      </c>
      <c r="AD256" s="32" t="s">
        <v>82</v>
      </c>
      <c r="AE256" s="32" t="s">
        <v>73</v>
      </c>
      <c r="AF256" s="32" t="s">
        <v>73</v>
      </c>
      <c r="AG256" s="32" t="s">
        <v>178</v>
      </c>
      <c r="AH256" t="str">
        <f>VLOOKUP($R256,武学奇术!$A:$ZZ,25,FALSE)</f>
        <v>剑</v>
      </c>
      <c r="AI256" s="21">
        <f>VLOOKUP($R256,武学奇术!$A:$ZZ,26,FALSE)</f>
        <v>0.3465</v>
      </c>
      <c r="AJ256" s="22">
        <f>VLOOKUP($R256,武学奇术!$A:$ZZ,27,FALSE)*(1+IF(OR($AH256=$F$4,$AH256=$F$5),$B$22,0))</f>
        <v>0</v>
      </c>
      <c r="AK256" s="21">
        <f>VLOOKUP($R256,武学奇术!$A:$ZZ,28,FALSE)</f>
        <v>0.51975</v>
      </c>
      <c r="AL256" s="22">
        <f>VLOOKUP($R256,武学奇术!$A:$ZZ,29,FALSE)*(1+IF(OR($AH256=$F$4,$AH256=$F$5),$B$22,0))</f>
        <v>0</v>
      </c>
      <c r="AM256" s="21" cm="1">
        <f t="array" ref="AM256">$G$3+IFERROR(VLOOKUP($AH256,$F$4:$G$7,2,FALSE),0)+VLOOKUP($R256,武学奇术!$A:$ZZ,2,FALSE)+SUM(_xlfn.XLOOKUP($S256:$AG256,增益!$A:$A,增益!$B:$B,0))</f>
        <v>0.6191</v>
      </c>
      <c r="AN256" s="21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1831.48</v>
      </c>
      <c r="AP256" cm="1">
        <f t="array" ref="AP256">$E$10*(1+$AN256)+VLOOKUP($R256,武学奇术!$A:$ZZ,4,FALSE)+SUM(_xlfn.XLOOKUP($S256:$AG256,增益!$A:$A,增益!$D:$D,0))-$I$2</f>
        <v>7763.56</v>
      </c>
      <c r="AQ256" s="26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0.369</v>
      </c>
      <c r="AR256" s="26" cm="1">
        <f t="array" ref="AR256">$G$10+VLOOKUP($R256,武学奇术!$A:$ZZ,7,FALSE)+SUM(_xlfn.XLOOKUP(S256:AG256,增益!$A:$A,增益!$G:$G,0))</f>
        <v>0</v>
      </c>
      <c r="AS256" s="21" cm="1">
        <f t="array" ref="AS256">VLOOKUP($R256,武学奇术!$A:$ZZ,8,FALSE)+SUM(_xlfn.XLOOKUP(S256:AG256,增益!$A:$A,增益!$H:$H,0))</f>
        <v>0</v>
      </c>
      <c r="AT256">
        <f t="shared" si="86"/>
        <v>680.02</v>
      </c>
      <c r="AU256">
        <f t="shared" si="87"/>
        <v>1288.54</v>
      </c>
      <c r="AV256" s="26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26" cm="1">
        <f t="array" ref="AW256">$G$11+VLOOKUP($R256,武学奇术!$A:$ZZ,10,FALSE)+SUM(_xlfn.XLOOKUP(S256:AG256,增益!$A:$A,增益!$J:$J,0))</f>
        <v>0.15</v>
      </c>
      <c r="AX256">
        <f t="shared" si="88"/>
        <v>0</v>
      </c>
      <c r="AY256">
        <f t="shared" si="89"/>
        <v>0</v>
      </c>
      <c r="AZ256" s="26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26" cm="1">
        <f t="array" ref="BA256">$G$12+VLOOKUP($R256,武学奇术!$A:$ZZ,12,FALSE)+SUM(_xlfn.XLOOKUP(S256:AG256,增益!$A:$A,增益!$L:$L,0))</f>
        <v>0</v>
      </c>
      <c r="BB256">
        <f t="shared" si="90"/>
        <v>0</v>
      </c>
      <c r="BC256">
        <f t="shared" si="91"/>
        <v>0</v>
      </c>
      <c r="BD256" s="26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26" cm="1">
        <f t="array" ref="BE256">$G$13+VLOOKUP($R256,武学奇术!$A:$ZZ,14,FALSE)+SUM(_xlfn.XLOOKUP(S256:AG256,增益!$A:$A,增益!$N:$N,0))</f>
        <v>0</v>
      </c>
      <c r="BF256">
        <f t="shared" si="92"/>
        <v>0</v>
      </c>
      <c r="BG256">
        <f t="shared" si="93"/>
        <v>0</v>
      </c>
      <c r="BH256" s="26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26" cm="1">
        <f t="array" ref="BI256">$G$14+VLOOKUP($R256,武学奇术!$A:$ZZ,16,FALSE)+SUM(_xlfn.XLOOKUP(S256:AG256,增益!$A:$A,增益!$P:$P,0))</f>
        <v>0</v>
      </c>
      <c r="BJ256" s="21">
        <f>MIN(IF(VLOOKUP($R256,武学奇术!$A:$ZZ,23,FALSE)=1,100%,$B$8),100%)</f>
        <v>0.8229</v>
      </c>
      <c r="BK256" s="21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0.2285</v>
      </c>
      <c r="BL256" s="21" cm="1">
        <f t="array" ref="BL256">1+$B$13+VLOOKUP($R256,武学奇术!$A:$ZZ,18,FALSE)+SUM(_xlfn.XLOOKUP(S256:AG256,增益!$A:$A,增益!$R:$R,0))</f>
        <v>1.5</v>
      </c>
      <c r="BM256" s="21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0.4495</v>
      </c>
      <c r="BN256" s="21" cm="1">
        <f t="array" ref="BN256">1+$B$14+VLOOKUP($R256,武学奇术!$A:$ZZ,20,FALSE)+SUM(_xlfn.XLOOKUP(S256:AG256,增益!$A:$A,增益!$T:$T,0))</f>
        <v>1.782</v>
      </c>
      <c r="BO256" s="21">
        <f t="shared" ref="BO256" si="172">MIN((1-BM256)*BJ256,BJ256*BK256)</f>
        <v>0.18803265</v>
      </c>
      <c r="BP256" s="21">
        <f t="shared" ref="BP256" si="173">1-BM256-BO256-BQ256</f>
        <v>0.2649738</v>
      </c>
      <c r="BQ256" s="21">
        <f>IF(VLOOKUP($R256,武学奇术!$A:$ZZ,22,FALSE)=1,0,(1-$BJ256))*(1-$BM256)</f>
        <v>0.09749355</v>
      </c>
      <c r="BR256" s="21" cm="1">
        <f t="array" ref="BR256">SUM(_xlfn.XLOOKUP(S256:AG256,增益!$A:$A,增益!$W:$W,0))+$I$5</f>
        <v>0.06</v>
      </c>
    </row>
    <row r="257" spans="11:70">
      <c r="K257" s="24">
        <f>$L257*VLOOKUP($R257,武学奇术!$A:$ZZ,31,FALSE)</f>
        <v>7694.10831128718</v>
      </c>
      <c r="L257" s="24">
        <f t="shared" si="85"/>
        <v>12823.5138521453</v>
      </c>
      <c r="M257" s="24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10492.8668995863</v>
      </c>
      <c r="N257" s="24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19334.2710340436</v>
      </c>
      <c r="O257" s="24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6995.24459972421</v>
      </c>
      <c r="P257" s="24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3140.72992108501</v>
      </c>
      <c r="Q257" s="31">
        <v>1</v>
      </c>
      <c r="R257" s="32" t="s">
        <v>199</v>
      </c>
      <c r="S257" s="32" t="s">
        <v>72</v>
      </c>
      <c r="T257" s="32" t="s">
        <v>96</v>
      </c>
      <c r="U257" s="32" t="s">
        <v>195</v>
      </c>
      <c r="V257" s="32" t="s">
        <v>73</v>
      </c>
      <c r="W257" s="32" t="s">
        <v>73</v>
      </c>
      <c r="X257" s="32" t="s">
        <v>127</v>
      </c>
      <c r="Y257" s="32" t="s">
        <v>73</v>
      </c>
      <c r="Z257" s="32" t="s">
        <v>73</v>
      </c>
      <c r="AA257" s="32" t="s">
        <v>81</v>
      </c>
      <c r="AB257" s="32" t="s">
        <v>75</v>
      </c>
      <c r="AC257" s="32" t="s">
        <v>89</v>
      </c>
      <c r="AD257" s="32" t="s">
        <v>82</v>
      </c>
      <c r="AE257" s="32" t="s">
        <v>73</v>
      </c>
      <c r="AF257" s="32" t="s">
        <v>73</v>
      </c>
      <c r="AG257" s="32" t="s">
        <v>178</v>
      </c>
      <c r="AH257" t="str">
        <f>VLOOKUP($R257,武学奇术!$A:$ZZ,25,FALSE)</f>
        <v>剑</v>
      </c>
      <c r="AI257" s="21">
        <f>VLOOKUP($R257,武学奇术!$A:$ZZ,26,FALSE)</f>
        <v>0.3465</v>
      </c>
      <c r="AJ257" s="22">
        <f>VLOOKUP($R257,武学奇术!$A:$ZZ,27,FALSE)*(1+IF(OR($AH257=$F$4,$AH257=$F$5),$B$22,0))</f>
        <v>0</v>
      </c>
      <c r="AK257" s="21">
        <f>VLOOKUP($R257,武学奇术!$A:$ZZ,28,FALSE)</f>
        <v>0.51975</v>
      </c>
      <c r="AL257" s="22">
        <f>VLOOKUP($R257,武学奇术!$A:$ZZ,29,FALSE)*(1+IF(OR($AH257=$F$4,$AH257=$F$5),$B$22,0))</f>
        <v>0</v>
      </c>
      <c r="AM257" s="21" cm="1">
        <f t="array" ref="AM257">$G$3+IFERROR(VLOOKUP($AH257,$F$4:$G$7,2,FALSE),0)+VLOOKUP($R257,武学奇术!$A:$ZZ,2,FALSE)+SUM(_xlfn.XLOOKUP($S257:$AG257,增益!$A:$A,增益!$B:$B,0))</f>
        <v>0.7191</v>
      </c>
      <c r="AN257" s="21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1831.48</v>
      </c>
      <c r="AP257" cm="1">
        <f t="array" ref="AP257">$E$10*(1+$AN257)+VLOOKUP($R257,武学奇术!$A:$ZZ,4,FALSE)+SUM(_xlfn.XLOOKUP($S257:$AG257,增益!$A:$A,增益!$D:$D,0))-$I$2</f>
        <v>7763.56</v>
      </c>
      <c r="AQ257" s="26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0.369</v>
      </c>
      <c r="AR257" s="26" cm="1">
        <f t="array" ref="AR257">$G$10+VLOOKUP($R257,武学奇术!$A:$ZZ,7,FALSE)+SUM(_xlfn.XLOOKUP(S257:AG257,增益!$A:$A,增益!$G:$G,0))</f>
        <v>0</v>
      </c>
      <c r="AS257" s="21" cm="1">
        <f t="array" ref="AS257">VLOOKUP($R257,武学奇术!$A:$ZZ,8,FALSE)+SUM(_xlfn.XLOOKUP(S257:AG257,增益!$A:$A,增益!$H:$H,0))</f>
        <v>0</v>
      </c>
      <c r="AT257">
        <f t="shared" si="86"/>
        <v>680.02</v>
      </c>
      <c r="AU257">
        <f t="shared" si="87"/>
        <v>1288.54</v>
      </c>
      <c r="AV257" s="26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26" cm="1">
        <f t="array" ref="AW257">$G$11+VLOOKUP($R257,武学奇术!$A:$ZZ,10,FALSE)+SUM(_xlfn.XLOOKUP(S257:AG257,增益!$A:$A,增益!$J:$J,0))</f>
        <v>0.15</v>
      </c>
      <c r="AX257">
        <f t="shared" si="88"/>
        <v>0</v>
      </c>
      <c r="AY257">
        <f t="shared" si="89"/>
        <v>0</v>
      </c>
      <c r="AZ257" s="26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26" cm="1">
        <f t="array" ref="BA257">$G$12+VLOOKUP($R257,武学奇术!$A:$ZZ,12,FALSE)+SUM(_xlfn.XLOOKUP(S257:AG257,增益!$A:$A,增益!$L:$L,0))</f>
        <v>0</v>
      </c>
      <c r="BB257">
        <f t="shared" si="90"/>
        <v>0</v>
      </c>
      <c r="BC257">
        <f t="shared" si="91"/>
        <v>0</v>
      </c>
      <c r="BD257" s="26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26" cm="1">
        <f t="array" ref="BE257">$G$13+VLOOKUP($R257,武学奇术!$A:$ZZ,14,FALSE)+SUM(_xlfn.XLOOKUP(S257:AG257,增益!$A:$A,增益!$N:$N,0))</f>
        <v>0</v>
      </c>
      <c r="BF257">
        <f t="shared" si="92"/>
        <v>0</v>
      </c>
      <c r="BG257">
        <f t="shared" si="93"/>
        <v>0</v>
      </c>
      <c r="BH257" s="26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26" cm="1">
        <f t="array" ref="BI257">$G$14+VLOOKUP($R257,武学奇术!$A:$ZZ,16,FALSE)+SUM(_xlfn.XLOOKUP(S257:AG257,增益!$A:$A,增益!$P:$P,0))</f>
        <v>0</v>
      </c>
      <c r="BJ257" s="21">
        <f>MIN(IF(VLOOKUP($R257,武学奇术!$A:$ZZ,23,FALSE)=1,100%,$B$8),100%)</f>
        <v>0.8229</v>
      </c>
      <c r="BK257" s="21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0.2285</v>
      </c>
      <c r="BL257" s="21" cm="1">
        <f t="array" ref="BL257">1+$B$13+VLOOKUP($R257,武学奇术!$A:$ZZ,18,FALSE)+SUM(_xlfn.XLOOKUP(S257:AG257,增益!$A:$A,增益!$R:$R,0))</f>
        <v>1.5</v>
      </c>
      <c r="BM257" s="21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0.4495</v>
      </c>
      <c r="BN257" s="21" cm="1">
        <f t="array" ref="BN257">1+$B$14+VLOOKUP($R257,武学奇术!$A:$ZZ,20,FALSE)+SUM(_xlfn.XLOOKUP(S257:AG257,增益!$A:$A,增益!$T:$T,0))</f>
        <v>1.782</v>
      </c>
      <c r="BO257" s="21">
        <f t="shared" ref="BO257" si="174">MIN((1-BM257)*BJ257,BJ257*BK257)</f>
        <v>0.18803265</v>
      </c>
      <c r="BP257" s="21">
        <f t="shared" ref="BP257" si="175">1-BM257-BO257-BQ257</f>
        <v>0.2649738</v>
      </c>
      <c r="BQ257" s="21">
        <f>IF(VLOOKUP($R257,武学奇术!$A:$ZZ,22,FALSE)=1,0,(1-$BJ257))*(1-$BM257)</f>
        <v>0.09749355</v>
      </c>
      <c r="BR257" s="21" cm="1">
        <f t="array" ref="BR257">SUM(_xlfn.XLOOKUP(S257:AG257,增益!$A:$A,增益!$W:$W,0))+$I$5</f>
        <v>0.06</v>
      </c>
    </row>
    <row r="258" spans="11:70">
      <c r="K258" s="24">
        <f>$L258*VLOOKUP($R258,武学奇术!$A:$ZZ,31,FALSE)</f>
        <v>5189.75236597816</v>
      </c>
      <c r="L258" s="24">
        <f t="shared" si="85"/>
        <v>8649.58727663027</v>
      </c>
      <c r="M258" s="24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7077.54279181858</v>
      </c>
      <c r="N258" s="24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13041.1575693824</v>
      </c>
      <c r="O258" s="24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4718.36186121238</v>
      </c>
      <c r="P258" s="24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2118.45348146944</v>
      </c>
      <c r="Q258" s="31">
        <v>1</v>
      </c>
      <c r="R258" s="32" t="s">
        <v>198</v>
      </c>
      <c r="S258" s="32" t="s">
        <v>87</v>
      </c>
      <c r="T258" s="32" t="s">
        <v>96</v>
      </c>
      <c r="U258" s="32" t="s">
        <v>97</v>
      </c>
      <c r="V258" s="32" t="s">
        <v>73</v>
      </c>
      <c r="W258" s="32" t="s">
        <v>73</v>
      </c>
      <c r="X258" s="32" t="s">
        <v>127</v>
      </c>
      <c r="Y258" s="32" t="s">
        <v>73</v>
      </c>
      <c r="Z258" s="32" t="s">
        <v>73</v>
      </c>
      <c r="AA258" s="32" t="s">
        <v>81</v>
      </c>
      <c r="AB258" s="32" t="s">
        <v>75</v>
      </c>
      <c r="AC258" s="32" t="s">
        <v>89</v>
      </c>
      <c r="AD258" s="32" t="s">
        <v>82</v>
      </c>
      <c r="AE258" s="32" t="s">
        <v>73</v>
      </c>
      <c r="AF258" s="32" t="s">
        <v>73</v>
      </c>
      <c r="AG258" s="32" t="s">
        <v>178</v>
      </c>
      <c r="AH258" t="str">
        <f>VLOOKUP($R258,武学奇术!$A:$ZZ,25,FALSE)</f>
        <v>剑</v>
      </c>
      <c r="AI258" s="21">
        <f>VLOOKUP($R258,武学奇术!$A:$ZZ,26,FALSE)</f>
        <v>0.17325</v>
      </c>
      <c r="AJ258" s="22">
        <f>VLOOKUP($R258,武学奇术!$A:$ZZ,27,FALSE)*(1+IF(OR($AH258=$F$4,$AH258=$F$5),$B$22,0))</f>
        <v>0</v>
      </c>
      <c r="AK258" s="21">
        <f>VLOOKUP($R258,武学奇术!$A:$ZZ,28,FALSE)</f>
        <v>0.259875</v>
      </c>
      <c r="AL258" s="22">
        <f>VLOOKUP($R258,武学奇术!$A:$ZZ,29,FALSE)*(1+IF(OR($AH258=$F$4,$AH258=$F$5),$B$22,0))</f>
        <v>0</v>
      </c>
      <c r="AM258" s="21" cm="1">
        <f t="array" ref="AM258">$G$3+IFERROR(VLOOKUP($AH258,$F$4:$G$7,2,FALSE),0)+VLOOKUP($R258,武学奇术!$A:$ZZ,2,FALSE)+SUM(_xlfn.XLOOKUP($S258:$AG258,增益!$A:$A,增益!$B:$B,0))</f>
        <v>1.3191</v>
      </c>
      <c r="AN258" s="21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1831.48</v>
      </c>
      <c r="AP258" cm="1">
        <f t="array" ref="AP258">$E$10*(1+$AN258)+VLOOKUP($R258,武学奇术!$A:$ZZ,4,FALSE)+SUM(_xlfn.XLOOKUP($S258:$AG258,增益!$A:$A,增益!$D:$D,0))-$I$2</f>
        <v>7763.56</v>
      </c>
      <c r="AQ258" s="26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0.369</v>
      </c>
      <c r="AR258" s="26" cm="1">
        <f t="array" ref="AR258">$G$10+VLOOKUP($R258,武学奇术!$A:$ZZ,7,FALSE)+SUM(_xlfn.XLOOKUP(S258:AG258,增益!$A:$A,增益!$G:$G,0))</f>
        <v>0</v>
      </c>
      <c r="AS258" s="21" cm="1">
        <f t="array" ref="AS258">VLOOKUP($R258,武学奇术!$A:$ZZ,8,FALSE)+SUM(_xlfn.XLOOKUP(S258:AG258,增益!$A:$A,增益!$H:$H,0))</f>
        <v>0</v>
      </c>
      <c r="AT258">
        <f t="shared" si="86"/>
        <v>680.02</v>
      </c>
      <c r="AU258">
        <f t="shared" si="87"/>
        <v>1288.54</v>
      </c>
      <c r="AV258" s="26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26" cm="1">
        <f t="array" ref="AW258">$G$11+VLOOKUP($R258,武学奇术!$A:$ZZ,10,FALSE)+SUM(_xlfn.XLOOKUP(S258:AG258,增益!$A:$A,增益!$J:$J,0))</f>
        <v>0.15</v>
      </c>
      <c r="AX258">
        <f t="shared" si="88"/>
        <v>0</v>
      </c>
      <c r="AY258">
        <f t="shared" si="89"/>
        <v>0</v>
      </c>
      <c r="AZ258" s="26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26" cm="1">
        <f t="array" ref="BA258">$G$12+VLOOKUP($R258,武学奇术!$A:$ZZ,12,FALSE)+SUM(_xlfn.XLOOKUP(S258:AG258,增益!$A:$A,增益!$L:$L,0))</f>
        <v>0</v>
      </c>
      <c r="BB258">
        <f t="shared" si="90"/>
        <v>0</v>
      </c>
      <c r="BC258">
        <f t="shared" si="91"/>
        <v>0</v>
      </c>
      <c r="BD258" s="26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26" cm="1">
        <f t="array" ref="BE258">$G$13+VLOOKUP($R258,武学奇术!$A:$ZZ,14,FALSE)+SUM(_xlfn.XLOOKUP(S258:AG258,增益!$A:$A,增益!$N:$N,0))</f>
        <v>0</v>
      </c>
      <c r="BF258">
        <f t="shared" si="92"/>
        <v>0</v>
      </c>
      <c r="BG258">
        <f t="shared" si="93"/>
        <v>0</v>
      </c>
      <c r="BH258" s="26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26" cm="1">
        <f t="array" ref="BI258">$G$14+VLOOKUP($R258,武学奇术!$A:$ZZ,16,FALSE)+SUM(_xlfn.XLOOKUP(S258:AG258,增益!$A:$A,增益!$P:$P,0))</f>
        <v>0</v>
      </c>
      <c r="BJ258" s="21">
        <f>MIN(IF(VLOOKUP($R258,武学奇术!$A:$ZZ,23,FALSE)=1,100%,$B$8),100%)</f>
        <v>0.8229</v>
      </c>
      <c r="BK258" s="21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0.2285</v>
      </c>
      <c r="BL258" s="21" cm="1">
        <f t="array" ref="BL258">1+$B$13+VLOOKUP($R258,武学奇术!$A:$ZZ,18,FALSE)+SUM(_xlfn.XLOOKUP(S258:AG258,增益!$A:$A,增益!$R:$R,0))</f>
        <v>1.5</v>
      </c>
      <c r="BM258" s="21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0.4495</v>
      </c>
      <c r="BN258" s="21" cm="1">
        <f t="array" ref="BN258">1+$B$14+VLOOKUP($R258,武学奇术!$A:$ZZ,20,FALSE)+SUM(_xlfn.XLOOKUP(S258:AG258,增益!$A:$A,增益!$T:$T,0))</f>
        <v>1.782</v>
      </c>
      <c r="BO258" s="21">
        <f t="shared" ref="BO258" si="176">MIN((1-BM258)*BJ258,BJ258*BK258)</f>
        <v>0.18803265</v>
      </c>
      <c r="BP258" s="21">
        <f t="shared" ref="BP258" si="177">1-BM258-BO258-BQ258</f>
        <v>0.2649738</v>
      </c>
      <c r="BQ258" s="21">
        <f>IF(VLOOKUP($R258,武学奇术!$A:$ZZ,22,FALSE)=1,0,(1-$BJ258))*(1-$BM258)</f>
        <v>0.09749355</v>
      </c>
      <c r="BR258" s="21" cm="1">
        <f t="array" ref="BR258">SUM(_xlfn.XLOOKUP(S258:AG258,增益!$A:$A,增益!$W:$W,0))+$I$5</f>
        <v>0.06</v>
      </c>
    </row>
    <row r="259" spans="11:70">
      <c r="K259" s="24">
        <f>$L259*VLOOKUP($R259,武学奇术!$A:$ZZ,31,FALSE)</f>
        <v>10420.8898890809</v>
      </c>
      <c r="L259" s="24">
        <f t="shared" si="85"/>
        <v>17368.1498151348</v>
      </c>
      <c r="M259" s="24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14226.6601807902</v>
      </c>
      <c r="N259" s="24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26167.3457601826</v>
      </c>
      <c r="O259" s="24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9484.44012052679</v>
      </c>
      <c r="P259" s="24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4284.6233610409</v>
      </c>
      <c r="Q259" s="31">
        <v>1</v>
      </c>
      <c r="R259" s="32" t="s">
        <v>199</v>
      </c>
      <c r="S259" s="32" t="s">
        <v>87</v>
      </c>
      <c r="T259" s="32" t="s">
        <v>96</v>
      </c>
      <c r="U259" s="32" t="s">
        <v>97</v>
      </c>
      <c r="V259" s="32" t="s">
        <v>73</v>
      </c>
      <c r="W259" s="32" t="s">
        <v>111</v>
      </c>
      <c r="X259" s="32" t="s">
        <v>127</v>
      </c>
      <c r="Y259" s="32" t="s">
        <v>73</v>
      </c>
      <c r="Z259" s="32" t="s">
        <v>73</v>
      </c>
      <c r="AA259" s="32" t="s">
        <v>81</v>
      </c>
      <c r="AB259" s="32" t="s">
        <v>75</v>
      </c>
      <c r="AC259" s="32" t="s">
        <v>89</v>
      </c>
      <c r="AD259" s="32" t="s">
        <v>82</v>
      </c>
      <c r="AE259" s="32" t="s">
        <v>73</v>
      </c>
      <c r="AF259" s="32" t="s">
        <v>73</v>
      </c>
      <c r="AG259" s="32" t="s">
        <v>178</v>
      </c>
      <c r="AH259" t="str">
        <f>VLOOKUP($R259,武学奇术!$A:$ZZ,25,FALSE)</f>
        <v>剑</v>
      </c>
      <c r="AI259" s="21">
        <f>VLOOKUP($R259,武学奇术!$A:$ZZ,26,FALSE)</f>
        <v>0.3465</v>
      </c>
      <c r="AJ259" s="22">
        <f>VLOOKUP($R259,武学奇术!$A:$ZZ,27,FALSE)*(1+IF(OR($AH259=$F$4,$AH259=$F$5),$B$22,0))</f>
        <v>0</v>
      </c>
      <c r="AK259" s="21">
        <f>VLOOKUP($R259,武学奇术!$A:$ZZ,28,FALSE)</f>
        <v>0.51975</v>
      </c>
      <c r="AL259" s="22">
        <f>VLOOKUP($R259,武学奇术!$A:$ZZ,29,FALSE)*(1+IF(OR($AH259=$F$4,$AH259=$F$5),$B$22,0))</f>
        <v>0</v>
      </c>
      <c r="AM259" s="21" cm="1">
        <f t="array" ref="AM259">$G$3+IFERROR(VLOOKUP($AH259,$F$4:$G$7,2,FALSE),0)+VLOOKUP($R259,武学奇术!$A:$ZZ,2,FALSE)+SUM(_xlfn.XLOOKUP($S259:$AG259,增益!$A:$A,增益!$B:$B,0))</f>
        <v>1.3191</v>
      </c>
      <c r="AN259" s="21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1862.48</v>
      </c>
      <c r="AP259" cm="1">
        <f t="array" ref="AP259">$E$10*(1+$AN259)+VLOOKUP($R259,武学奇术!$A:$ZZ,4,FALSE)+SUM(_xlfn.XLOOKUP($S259:$AG259,增益!$A:$A,增益!$D:$D,0))-$I$2</f>
        <v>7794.56</v>
      </c>
      <c r="AQ259" s="26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0.369</v>
      </c>
      <c r="AR259" s="26" cm="1">
        <f t="array" ref="AR259">$G$10+VLOOKUP($R259,武学奇术!$A:$ZZ,7,FALSE)+SUM(_xlfn.XLOOKUP(S259:AG259,增益!$A:$A,增益!$G:$G,0))</f>
        <v>0</v>
      </c>
      <c r="AS259" s="21" cm="1">
        <f t="array" ref="AS259">VLOOKUP($R259,武学奇术!$A:$ZZ,8,FALSE)+SUM(_xlfn.XLOOKUP(S259:AG259,增益!$A:$A,增益!$H:$H,0))</f>
        <v>0</v>
      </c>
      <c r="AT259">
        <f t="shared" si="86"/>
        <v>680.02</v>
      </c>
      <c r="AU259">
        <f t="shared" si="87"/>
        <v>1288.54</v>
      </c>
      <c r="AV259" s="26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0.075</v>
      </c>
      <c r="AW259" s="26" cm="1">
        <f t="array" ref="AW259">$G$11+VLOOKUP($R259,武学奇术!$A:$ZZ,10,FALSE)+SUM(_xlfn.XLOOKUP(S259:AG259,增益!$A:$A,增益!$J:$J,0))</f>
        <v>0.15</v>
      </c>
      <c r="AX259">
        <f t="shared" si="88"/>
        <v>0</v>
      </c>
      <c r="AY259">
        <f t="shared" si="89"/>
        <v>0</v>
      </c>
      <c r="AZ259" s="26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26" cm="1">
        <f t="array" ref="BA259">$G$12+VLOOKUP($R259,武学奇术!$A:$ZZ,12,FALSE)+SUM(_xlfn.XLOOKUP(S259:AG259,增益!$A:$A,增益!$L:$L,0))</f>
        <v>0</v>
      </c>
      <c r="BB259">
        <f t="shared" si="90"/>
        <v>0</v>
      </c>
      <c r="BC259">
        <f t="shared" si="91"/>
        <v>0</v>
      </c>
      <c r="BD259" s="26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26" cm="1">
        <f t="array" ref="BE259">$G$13+VLOOKUP($R259,武学奇术!$A:$ZZ,14,FALSE)+SUM(_xlfn.XLOOKUP(S259:AG259,增益!$A:$A,增益!$N:$N,0))</f>
        <v>0</v>
      </c>
      <c r="BF259">
        <f t="shared" si="92"/>
        <v>0</v>
      </c>
      <c r="BG259">
        <f t="shared" si="93"/>
        <v>0</v>
      </c>
      <c r="BH259" s="26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26" cm="1">
        <f t="array" ref="BI259">$G$14+VLOOKUP($R259,武学奇术!$A:$ZZ,16,FALSE)+SUM(_xlfn.XLOOKUP(S259:AG259,增益!$A:$A,增益!$P:$P,0))</f>
        <v>0</v>
      </c>
      <c r="BJ259" s="21">
        <f>MIN(IF(VLOOKUP($R259,武学奇术!$A:$ZZ,23,FALSE)=1,100%,$B$8),100%)</f>
        <v>0.8229</v>
      </c>
      <c r="BK259" s="21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0.2285</v>
      </c>
      <c r="BL259" s="21" cm="1">
        <f t="array" ref="BL259">1+$B$13+VLOOKUP($R259,武学奇术!$A:$ZZ,18,FALSE)+SUM(_xlfn.XLOOKUP(S259:AG259,增益!$A:$A,增益!$R:$R,0))</f>
        <v>1.5</v>
      </c>
      <c r="BM259" s="21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0.4495</v>
      </c>
      <c r="BN259" s="21" cm="1">
        <f t="array" ref="BN259">1+$B$14+VLOOKUP($R259,武学奇术!$A:$ZZ,20,FALSE)+SUM(_xlfn.XLOOKUP(S259:AG259,增益!$A:$A,增益!$T:$T,0))</f>
        <v>1.782</v>
      </c>
      <c r="BO259" s="21">
        <f t="shared" ref="BO259" si="178">MIN((1-BM259)*BJ259,BJ259*BK259)</f>
        <v>0.18803265</v>
      </c>
      <c r="BP259" s="21">
        <f t="shared" ref="BP259" si="179">1-BM259-BO259-BQ259</f>
        <v>0.2649738</v>
      </c>
      <c r="BQ259" s="21">
        <f>IF(VLOOKUP($R259,武学奇术!$A:$ZZ,22,FALSE)=1,0,(1-$BJ259))*(1-$BM259)</f>
        <v>0.09749355</v>
      </c>
      <c r="BR259" s="21" cm="1">
        <f t="array" ref="BR259">SUM(_xlfn.XLOOKUP(S259:AG259,增益!$A:$A,增益!$W:$W,0))+$I$5</f>
        <v>0.06</v>
      </c>
    </row>
    <row r="260" spans="11:70">
      <c r="K260" s="24">
        <f>$L260*VLOOKUP($R260,武学奇术!$A:$ZZ,31,FALSE)</f>
        <v>10420.8898890809</v>
      </c>
      <c r="L260" s="24">
        <f t="shared" si="85"/>
        <v>17368.1498151348</v>
      </c>
      <c r="M260" s="24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14226.6601807902</v>
      </c>
      <c r="N260" s="24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26167.3457601826</v>
      </c>
      <c r="O260" s="24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9484.44012052679</v>
      </c>
      <c r="P260" s="24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4284.6233610409</v>
      </c>
      <c r="Q260" s="31">
        <v>1</v>
      </c>
      <c r="R260" s="32" t="s">
        <v>199</v>
      </c>
      <c r="S260" s="32" t="s">
        <v>87</v>
      </c>
      <c r="T260" s="32" t="s">
        <v>96</v>
      </c>
      <c r="U260" s="32" t="s">
        <v>97</v>
      </c>
      <c r="V260" s="32" t="s">
        <v>73</v>
      </c>
      <c r="W260" s="32" t="s">
        <v>111</v>
      </c>
      <c r="X260" s="32" t="s">
        <v>127</v>
      </c>
      <c r="Y260" s="32" t="s">
        <v>73</v>
      </c>
      <c r="Z260" s="32" t="s">
        <v>73</v>
      </c>
      <c r="AA260" s="32" t="s">
        <v>81</v>
      </c>
      <c r="AB260" s="32" t="s">
        <v>75</v>
      </c>
      <c r="AC260" s="32" t="s">
        <v>76</v>
      </c>
      <c r="AD260" s="32" t="s">
        <v>82</v>
      </c>
      <c r="AE260" s="32" t="s">
        <v>73</v>
      </c>
      <c r="AF260" s="32" t="s">
        <v>73</v>
      </c>
      <c r="AG260" s="32" t="s">
        <v>178</v>
      </c>
      <c r="AH260" t="str">
        <f>VLOOKUP($R260,武学奇术!$A:$ZZ,25,FALSE)</f>
        <v>剑</v>
      </c>
      <c r="AI260" s="21">
        <f>VLOOKUP($R260,武学奇术!$A:$ZZ,26,FALSE)</f>
        <v>0.3465</v>
      </c>
      <c r="AJ260" s="22">
        <f>VLOOKUP($R260,武学奇术!$A:$ZZ,27,FALSE)*(1+IF(OR($AH260=$F$4,$AH260=$F$5),$B$22,0))</f>
        <v>0</v>
      </c>
      <c r="AK260" s="21">
        <f>VLOOKUP($R260,武学奇术!$A:$ZZ,28,FALSE)</f>
        <v>0.51975</v>
      </c>
      <c r="AL260" s="22">
        <f>VLOOKUP($R260,武学奇术!$A:$ZZ,29,FALSE)*(1+IF(OR($AH260=$F$4,$AH260=$F$5),$B$22,0))</f>
        <v>0</v>
      </c>
      <c r="AM260" s="21" cm="1">
        <f t="array" ref="AM260">$G$3+IFERROR(VLOOKUP($AH260,$F$4:$G$7,2,FALSE),0)+VLOOKUP($R260,武学奇术!$A:$ZZ,2,FALSE)+SUM(_xlfn.XLOOKUP($S260:$AG260,增益!$A:$A,增益!$B:$B,0))</f>
        <v>1.3191</v>
      </c>
      <c r="AN260" s="21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1862.48</v>
      </c>
      <c r="AP260" cm="1">
        <f t="array" ref="AP260">$E$10*(1+$AN260)+VLOOKUP($R260,武学奇术!$A:$ZZ,4,FALSE)+SUM(_xlfn.XLOOKUP($S260:$AG260,增益!$A:$A,增益!$D:$D,0))-$I$2</f>
        <v>7794.56</v>
      </c>
      <c r="AQ260" s="26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0.369</v>
      </c>
      <c r="AR260" s="26" cm="1">
        <f t="array" ref="AR260">$G$10+VLOOKUP($R260,武学奇术!$A:$ZZ,7,FALSE)+SUM(_xlfn.XLOOKUP(S260:AG260,增益!$A:$A,增益!$G:$G,0))</f>
        <v>0</v>
      </c>
      <c r="AS260" s="21" cm="1">
        <f t="array" ref="AS260">VLOOKUP($R260,武学奇术!$A:$ZZ,8,FALSE)+SUM(_xlfn.XLOOKUP(S260:AG260,增益!$A:$A,增益!$H:$H,0))</f>
        <v>0</v>
      </c>
      <c r="AT260">
        <f t="shared" si="86"/>
        <v>680.02</v>
      </c>
      <c r="AU260">
        <f t="shared" si="87"/>
        <v>1288.54</v>
      </c>
      <c r="AV260" s="26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0.075</v>
      </c>
      <c r="AW260" s="26" cm="1">
        <f t="array" ref="AW260">$G$11+VLOOKUP($R260,武学奇术!$A:$ZZ,10,FALSE)+SUM(_xlfn.XLOOKUP(S260:AG260,增益!$A:$A,增益!$J:$J,0))</f>
        <v>0.15</v>
      </c>
      <c r="AX260">
        <f t="shared" si="88"/>
        <v>0</v>
      </c>
      <c r="AY260">
        <f t="shared" si="89"/>
        <v>0</v>
      </c>
      <c r="AZ260" s="26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26" cm="1">
        <f t="array" ref="BA260">$G$12+VLOOKUP($R260,武学奇术!$A:$ZZ,12,FALSE)+SUM(_xlfn.XLOOKUP(S260:AG260,增益!$A:$A,增益!$L:$L,0))</f>
        <v>0</v>
      </c>
      <c r="BB260">
        <f t="shared" si="90"/>
        <v>0</v>
      </c>
      <c r="BC260">
        <f t="shared" si="91"/>
        <v>0</v>
      </c>
      <c r="BD260" s="26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26" cm="1">
        <f t="array" ref="BE260">$G$13+VLOOKUP($R260,武学奇术!$A:$ZZ,14,FALSE)+SUM(_xlfn.XLOOKUP(S260:AG260,增益!$A:$A,增益!$N:$N,0))</f>
        <v>0</v>
      </c>
      <c r="BF260">
        <f t="shared" si="92"/>
        <v>0</v>
      </c>
      <c r="BG260">
        <f t="shared" si="93"/>
        <v>0</v>
      </c>
      <c r="BH260" s="26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26" cm="1">
        <f t="array" ref="BI260">$G$14+VLOOKUP($R260,武学奇术!$A:$ZZ,16,FALSE)+SUM(_xlfn.XLOOKUP(S260:AG260,增益!$A:$A,增益!$P:$P,0))</f>
        <v>0</v>
      </c>
      <c r="BJ260" s="21">
        <f>MIN(IF(VLOOKUP($R260,武学奇术!$A:$ZZ,23,FALSE)=1,100%,$B$8),100%)</f>
        <v>0.8229</v>
      </c>
      <c r="BK260" s="21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0.2285</v>
      </c>
      <c r="BL260" s="21" cm="1">
        <f t="array" ref="BL260">1+$B$13+VLOOKUP($R260,武学奇术!$A:$ZZ,18,FALSE)+SUM(_xlfn.XLOOKUP(S260:AG260,增益!$A:$A,增益!$R:$R,0))</f>
        <v>1.5</v>
      </c>
      <c r="BM260" s="21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0.4495</v>
      </c>
      <c r="BN260" s="21" cm="1">
        <f t="array" ref="BN260">1+$B$14+VLOOKUP($R260,武学奇术!$A:$ZZ,20,FALSE)+SUM(_xlfn.XLOOKUP(S260:AG260,增益!$A:$A,增益!$T:$T,0))</f>
        <v>1.782</v>
      </c>
      <c r="BO260" s="21">
        <f t="shared" ref="BO260" si="180">MIN((1-BM260)*BJ260,BJ260*BK260)</f>
        <v>0.18803265</v>
      </c>
      <c r="BP260" s="21">
        <f t="shared" ref="BP260" si="181">1-BM260-BO260-BQ260</f>
        <v>0.2649738</v>
      </c>
      <c r="BQ260" s="21">
        <f>IF(VLOOKUP($R260,武学奇术!$A:$ZZ,22,FALSE)=1,0,(1-$BJ260))*(1-$BM260)</f>
        <v>0.09749355</v>
      </c>
      <c r="BR260" s="21" cm="1">
        <f t="array" ref="BR260">SUM(_xlfn.XLOOKUP(S260:AG260,增益!$A:$A,增益!$W:$W,0))+$I$5</f>
        <v>0.06</v>
      </c>
    </row>
    <row r="261" spans="11:70">
      <c r="K261" s="24">
        <f>$L261*VLOOKUP($R261,武学奇术!$A:$ZZ,31,FALSE)</f>
        <v>8336.71191126469</v>
      </c>
      <c r="L261" s="24">
        <f t="shared" si="85"/>
        <v>13894.5198521078</v>
      </c>
      <c r="M261" s="24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11381.3281446321</v>
      </c>
      <c r="N261" s="24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20933.8766081461</v>
      </c>
      <c r="O261" s="24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7587.55209642143</v>
      </c>
      <c r="P261" s="24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3427.69868883272</v>
      </c>
      <c r="Q261" s="31">
        <v>1</v>
      </c>
      <c r="R261" s="32" t="s">
        <v>197</v>
      </c>
      <c r="S261" s="32" t="s">
        <v>87</v>
      </c>
      <c r="T261" s="32" t="s">
        <v>96</v>
      </c>
      <c r="U261" s="32" t="s">
        <v>97</v>
      </c>
      <c r="V261" s="32" t="s">
        <v>73</v>
      </c>
      <c r="W261" s="32" t="s">
        <v>111</v>
      </c>
      <c r="X261" s="32" t="s">
        <v>127</v>
      </c>
      <c r="Y261" s="32" t="s">
        <v>73</v>
      </c>
      <c r="Z261" s="32" t="s">
        <v>73</v>
      </c>
      <c r="AA261" s="32" t="s">
        <v>81</v>
      </c>
      <c r="AB261" s="32" t="s">
        <v>75</v>
      </c>
      <c r="AC261" s="32" t="s">
        <v>76</v>
      </c>
      <c r="AD261" s="32" t="s">
        <v>82</v>
      </c>
      <c r="AE261" s="32" t="s">
        <v>73</v>
      </c>
      <c r="AF261" s="32" t="s">
        <v>73</v>
      </c>
      <c r="AG261" s="32" t="s">
        <v>178</v>
      </c>
      <c r="AH261" t="str">
        <f>VLOOKUP($R261,武学奇术!$A:$ZZ,25,FALSE)</f>
        <v>剑</v>
      </c>
      <c r="AI261" s="21">
        <f>VLOOKUP($R261,武学奇术!$A:$ZZ,26,FALSE)</f>
        <v>0.2772</v>
      </c>
      <c r="AJ261" s="22">
        <f>VLOOKUP($R261,武学奇术!$A:$ZZ,27,FALSE)*(1+IF(OR($AH261=$F$4,$AH261=$F$5),$B$22,0))</f>
        <v>0</v>
      </c>
      <c r="AK261" s="21">
        <f>VLOOKUP($R261,武学奇术!$A:$ZZ,28,FALSE)</f>
        <v>0.4158</v>
      </c>
      <c r="AL261" s="22">
        <f>VLOOKUP($R261,武学奇术!$A:$ZZ,29,FALSE)*(1+IF(OR($AH261=$F$4,$AH261=$F$5),$B$22,0))</f>
        <v>0</v>
      </c>
      <c r="AM261" s="21" cm="1">
        <f t="array" ref="AM261">$G$3+IFERROR(VLOOKUP($AH261,$F$4:$G$7,2,FALSE),0)+VLOOKUP($R261,武学奇术!$A:$ZZ,2,FALSE)+SUM(_xlfn.XLOOKUP($S261:$AG261,增益!$A:$A,增益!$B:$B,0))</f>
        <v>1.3191</v>
      </c>
      <c r="AN261" s="21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1862.48</v>
      </c>
      <c r="AP261" cm="1">
        <f t="array" ref="AP261">$E$10*(1+$AN261)+VLOOKUP($R261,武学奇术!$A:$ZZ,4,FALSE)+SUM(_xlfn.XLOOKUP($S261:$AG261,增益!$A:$A,增益!$D:$D,0))-$I$2</f>
        <v>7794.56</v>
      </c>
      <c r="AQ261" s="26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0.369</v>
      </c>
      <c r="AR261" s="26" cm="1">
        <f t="array" ref="AR261">$G$10+VLOOKUP($R261,武学奇术!$A:$ZZ,7,FALSE)+SUM(_xlfn.XLOOKUP(S261:AG261,增益!$A:$A,增益!$G:$G,0))</f>
        <v>0</v>
      </c>
      <c r="AS261" s="21" cm="1">
        <f t="array" ref="AS261">VLOOKUP($R261,武学奇术!$A:$ZZ,8,FALSE)+SUM(_xlfn.XLOOKUP(S261:AG261,增益!$A:$A,增益!$H:$H,0))</f>
        <v>0</v>
      </c>
      <c r="AT261">
        <f t="shared" si="86"/>
        <v>680.02</v>
      </c>
      <c r="AU261">
        <f t="shared" si="87"/>
        <v>1288.54</v>
      </c>
      <c r="AV261" s="26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0.075</v>
      </c>
      <c r="AW261" s="26" cm="1">
        <f t="array" ref="AW261">$G$11+VLOOKUP($R261,武学奇术!$A:$ZZ,10,FALSE)+SUM(_xlfn.XLOOKUP(S261:AG261,增益!$A:$A,增益!$J:$J,0))</f>
        <v>0.15</v>
      </c>
      <c r="AX261">
        <f t="shared" si="88"/>
        <v>0</v>
      </c>
      <c r="AY261">
        <f t="shared" si="89"/>
        <v>0</v>
      </c>
      <c r="AZ261" s="26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26" cm="1">
        <f t="array" ref="BA261">$G$12+VLOOKUP($R261,武学奇术!$A:$ZZ,12,FALSE)+SUM(_xlfn.XLOOKUP(S261:AG261,增益!$A:$A,增益!$L:$L,0))</f>
        <v>0</v>
      </c>
      <c r="BB261">
        <f t="shared" si="90"/>
        <v>0</v>
      </c>
      <c r="BC261">
        <f t="shared" si="91"/>
        <v>0</v>
      </c>
      <c r="BD261" s="26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26" cm="1">
        <f t="array" ref="BE261">$G$13+VLOOKUP($R261,武学奇术!$A:$ZZ,14,FALSE)+SUM(_xlfn.XLOOKUP(S261:AG261,增益!$A:$A,增益!$N:$N,0))</f>
        <v>0</v>
      </c>
      <c r="BF261">
        <f t="shared" si="92"/>
        <v>0</v>
      </c>
      <c r="BG261">
        <f t="shared" si="93"/>
        <v>0</v>
      </c>
      <c r="BH261" s="26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26" cm="1">
        <f t="array" ref="BI261">$G$14+VLOOKUP($R261,武学奇术!$A:$ZZ,16,FALSE)+SUM(_xlfn.XLOOKUP(S261:AG261,增益!$A:$A,增益!$P:$P,0))</f>
        <v>0</v>
      </c>
      <c r="BJ261" s="21">
        <f>MIN(IF(VLOOKUP($R261,武学奇术!$A:$ZZ,23,FALSE)=1,100%,$B$8),100%)</f>
        <v>0.8229</v>
      </c>
      <c r="BK261" s="21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0.2285</v>
      </c>
      <c r="BL261" s="21" cm="1">
        <f t="array" ref="BL261">1+$B$13+VLOOKUP($R261,武学奇术!$A:$ZZ,18,FALSE)+SUM(_xlfn.XLOOKUP(S261:AG261,增益!$A:$A,增益!$R:$R,0))</f>
        <v>1.5</v>
      </c>
      <c r="BM261" s="21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0.4495</v>
      </c>
      <c r="BN261" s="21" cm="1">
        <f t="array" ref="BN261">1+$B$14+VLOOKUP($R261,武学奇术!$A:$ZZ,20,FALSE)+SUM(_xlfn.XLOOKUP(S261:AG261,增益!$A:$A,增益!$T:$T,0))</f>
        <v>1.782</v>
      </c>
      <c r="BO261" s="21">
        <f t="shared" ref="BO261" si="182">MIN((1-BM261)*BJ261,BJ261*BK261)</f>
        <v>0.18803265</v>
      </c>
      <c r="BP261" s="21">
        <f t="shared" ref="BP261" si="183">1-BM261-BO261-BQ261</f>
        <v>0.2649738</v>
      </c>
      <c r="BQ261" s="21">
        <f>IF(VLOOKUP($R261,武学奇术!$A:$ZZ,22,FALSE)=1,0,(1-$BJ261))*(1-$BM261)</f>
        <v>0.09749355</v>
      </c>
      <c r="BR261" s="21" cm="1">
        <f t="array" ref="BR261">SUM(_xlfn.XLOOKUP(S261:AG261,增益!$A:$A,增益!$W:$W,0))+$I$5</f>
        <v>0.06</v>
      </c>
    </row>
    <row r="262" spans="11:70">
      <c r="K262" s="24">
        <f>$L262*VLOOKUP($R262,武学奇术!$A:$ZZ,31,FALSE)</f>
        <v>5210.44494454043</v>
      </c>
      <c r="L262" s="24">
        <f t="shared" si="85"/>
        <v>8684.07490756739</v>
      </c>
      <c r="M262" s="24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7113.33009039509</v>
      </c>
      <c r="N262" s="24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13083.6728800913</v>
      </c>
      <c r="O262" s="24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4742.22006026339</v>
      </c>
      <c r="P262" s="24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2142.31168052045</v>
      </c>
      <c r="Q262" s="31">
        <v>1</v>
      </c>
      <c r="R262" s="32" t="s">
        <v>198</v>
      </c>
      <c r="S262" s="32" t="s">
        <v>87</v>
      </c>
      <c r="T262" s="32" t="s">
        <v>96</v>
      </c>
      <c r="U262" s="32" t="s">
        <v>97</v>
      </c>
      <c r="V262" s="32" t="s">
        <v>73</v>
      </c>
      <c r="W262" s="32" t="s">
        <v>111</v>
      </c>
      <c r="X262" s="32" t="s">
        <v>127</v>
      </c>
      <c r="Y262" s="32" t="s">
        <v>73</v>
      </c>
      <c r="Z262" s="32" t="s">
        <v>73</v>
      </c>
      <c r="AA262" s="32" t="s">
        <v>81</v>
      </c>
      <c r="AB262" s="32" t="s">
        <v>75</v>
      </c>
      <c r="AC262" s="32" t="s">
        <v>76</v>
      </c>
      <c r="AD262" s="32" t="s">
        <v>82</v>
      </c>
      <c r="AE262" s="32" t="s">
        <v>73</v>
      </c>
      <c r="AF262" s="32" t="s">
        <v>73</v>
      </c>
      <c r="AG262" s="32" t="s">
        <v>178</v>
      </c>
      <c r="AH262" t="str">
        <f>VLOOKUP($R262,武学奇术!$A:$ZZ,25,FALSE)</f>
        <v>剑</v>
      </c>
      <c r="AI262" s="21">
        <f>VLOOKUP($R262,武学奇术!$A:$ZZ,26,FALSE)</f>
        <v>0.17325</v>
      </c>
      <c r="AJ262" s="22">
        <f>VLOOKUP($R262,武学奇术!$A:$ZZ,27,FALSE)*(1+IF(OR($AH262=$F$4,$AH262=$F$5),$B$22,0))</f>
        <v>0</v>
      </c>
      <c r="AK262" s="21">
        <f>VLOOKUP($R262,武学奇术!$A:$ZZ,28,FALSE)</f>
        <v>0.259875</v>
      </c>
      <c r="AL262" s="22">
        <f>VLOOKUP($R262,武学奇术!$A:$ZZ,29,FALSE)*(1+IF(OR($AH262=$F$4,$AH262=$F$5),$B$22,0))</f>
        <v>0</v>
      </c>
      <c r="AM262" s="21" cm="1">
        <f t="array" ref="AM262">$G$3+IFERROR(VLOOKUP($AH262,$F$4:$G$7,2,FALSE),0)+VLOOKUP($R262,武学奇术!$A:$ZZ,2,FALSE)+SUM(_xlfn.XLOOKUP($S262:$AG262,增益!$A:$A,增益!$B:$B,0))</f>
        <v>1.3191</v>
      </c>
      <c r="AN262" s="21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1862.48</v>
      </c>
      <c r="AP262" cm="1">
        <f t="array" ref="AP262">$E$10*(1+$AN262)+VLOOKUP($R262,武学奇术!$A:$ZZ,4,FALSE)+SUM(_xlfn.XLOOKUP($S262:$AG262,增益!$A:$A,增益!$D:$D,0))-$I$2</f>
        <v>7794.56</v>
      </c>
      <c r="AQ262" s="26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0.369</v>
      </c>
      <c r="AR262" s="26" cm="1">
        <f t="array" ref="AR262">$G$10+VLOOKUP($R262,武学奇术!$A:$ZZ,7,FALSE)+SUM(_xlfn.XLOOKUP(S262:AG262,增益!$A:$A,增益!$G:$G,0))</f>
        <v>0</v>
      </c>
      <c r="AS262" s="21" cm="1">
        <f t="array" ref="AS262">VLOOKUP($R262,武学奇术!$A:$ZZ,8,FALSE)+SUM(_xlfn.XLOOKUP(S262:AG262,增益!$A:$A,增益!$H:$H,0))</f>
        <v>0</v>
      </c>
      <c r="AT262">
        <f t="shared" si="86"/>
        <v>680.02</v>
      </c>
      <c r="AU262">
        <f t="shared" si="87"/>
        <v>1288.54</v>
      </c>
      <c r="AV262" s="26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0.075</v>
      </c>
      <c r="AW262" s="26" cm="1">
        <f t="array" ref="AW262">$G$11+VLOOKUP($R262,武学奇术!$A:$ZZ,10,FALSE)+SUM(_xlfn.XLOOKUP(S262:AG262,增益!$A:$A,增益!$J:$J,0))</f>
        <v>0.15</v>
      </c>
      <c r="AX262">
        <f t="shared" si="88"/>
        <v>0</v>
      </c>
      <c r="AY262">
        <f t="shared" si="89"/>
        <v>0</v>
      </c>
      <c r="AZ262" s="26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26" cm="1">
        <f t="array" ref="BA262">$G$12+VLOOKUP($R262,武学奇术!$A:$ZZ,12,FALSE)+SUM(_xlfn.XLOOKUP(S262:AG262,增益!$A:$A,增益!$L:$L,0))</f>
        <v>0</v>
      </c>
      <c r="BB262">
        <f t="shared" si="90"/>
        <v>0</v>
      </c>
      <c r="BC262">
        <f t="shared" si="91"/>
        <v>0</v>
      </c>
      <c r="BD262" s="26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26" cm="1">
        <f t="array" ref="BE262">$G$13+VLOOKUP($R262,武学奇术!$A:$ZZ,14,FALSE)+SUM(_xlfn.XLOOKUP(S262:AG262,增益!$A:$A,增益!$N:$N,0))</f>
        <v>0</v>
      </c>
      <c r="BF262">
        <f t="shared" si="92"/>
        <v>0</v>
      </c>
      <c r="BG262">
        <f t="shared" si="93"/>
        <v>0</v>
      </c>
      <c r="BH262" s="26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26" cm="1">
        <f t="array" ref="BI262">$G$14+VLOOKUP($R262,武学奇术!$A:$ZZ,16,FALSE)+SUM(_xlfn.XLOOKUP(S262:AG262,增益!$A:$A,增益!$P:$P,0))</f>
        <v>0</v>
      </c>
      <c r="BJ262" s="21">
        <f>MIN(IF(VLOOKUP($R262,武学奇术!$A:$ZZ,23,FALSE)=1,100%,$B$8),100%)</f>
        <v>0.8229</v>
      </c>
      <c r="BK262" s="21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0.2285</v>
      </c>
      <c r="BL262" s="21" cm="1">
        <f t="array" ref="BL262">1+$B$13+VLOOKUP($R262,武学奇术!$A:$ZZ,18,FALSE)+SUM(_xlfn.XLOOKUP(S262:AG262,增益!$A:$A,增益!$R:$R,0))</f>
        <v>1.5</v>
      </c>
      <c r="BM262" s="21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0.4495</v>
      </c>
      <c r="BN262" s="21" cm="1">
        <f t="array" ref="BN262">1+$B$14+VLOOKUP($R262,武学奇术!$A:$ZZ,20,FALSE)+SUM(_xlfn.XLOOKUP(S262:AG262,增益!$A:$A,增益!$T:$T,0))</f>
        <v>1.782</v>
      </c>
      <c r="BO262" s="21">
        <f t="shared" ref="BO262" si="184">MIN((1-BM262)*BJ262,BJ262*BK262)</f>
        <v>0.18803265</v>
      </c>
      <c r="BP262" s="21">
        <f t="shared" ref="BP262" si="185">1-BM262-BO262-BQ262</f>
        <v>0.2649738</v>
      </c>
      <c r="BQ262" s="21">
        <f>IF(VLOOKUP($R262,武学奇术!$A:$ZZ,22,FALSE)=1,0,(1-$BJ262))*(1-$BM262)</f>
        <v>0.09749355</v>
      </c>
      <c r="BR262" s="21" cm="1">
        <f t="array" ref="BR262">SUM(_xlfn.XLOOKUP(S262:AG262,增益!$A:$A,增益!$W:$W,0))+$I$5</f>
        <v>0.06</v>
      </c>
    </row>
    <row r="263" spans="11:70">
      <c r="K263" s="24">
        <f>$L263*VLOOKUP($R263,武学奇术!$A:$ZZ,31,FALSE)</f>
        <v>10420.8898890809</v>
      </c>
      <c r="L263" s="24">
        <f t="shared" si="85"/>
        <v>17368.1498151348</v>
      </c>
      <c r="M263" s="24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14226.6601807902</v>
      </c>
      <c r="N263" s="24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26167.3457601826</v>
      </c>
      <c r="O263" s="24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9484.44012052679</v>
      </c>
      <c r="P263" s="24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4284.6233610409</v>
      </c>
      <c r="Q263" s="31">
        <v>1</v>
      </c>
      <c r="R263" s="32" t="s">
        <v>199</v>
      </c>
      <c r="S263" s="32" t="s">
        <v>87</v>
      </c>
      <c r="T263" s="32" t="s">
        <v>96</v>
      </c>
      <c r="U263" s="32" t="s">
        <v>97</v>
      </c>
      <c r="V263" s="32" t="s">
        <v>73</v>
      </c>
      <c r="W263" s="32" t="s">
        <v>111</v>
      </c>
      <c r="X263" s="32" t="s">
        <v>127</v>
      </c>
      <c r="Y263" s="32" t="s">
        <v>73</v>
      </c>
      <c r="Z263" s="32" t="s">
        <v>73</v>
      </c>
      <c r="AA263" s="32" t="s">
        <v>81</v>
      </c>
      <c r="AB263" s="32" t="s">
        <v>75</v>
      </c>
      <c r="AC263" s="32" t="s">
        <v>76</v>
      </c>
      <c r="AD263" s="32" t="s">
        <v>82</v>
      </c>
      <c r="AE263" s="32" t="s">
        <v>73</v>
      </c>
      <c r="AF263" s="32" t="s">
        <v>73</v>
      </c>
      <c r="AG263" s="32" t="s">
        <v>178</v>
      </c>
      <c r="AH263" t="str">
        <f>VLOOKUP($R263,武学奇术!$A:$ZZ,25,FALSE)</f>
        <v>剑</v>
      </c>
      <c r="AI263" s="21">
        <f>VLOOKUP($R263,武学奇术!$A:$ZZ,26,FALSE)</f>
        <v>0.3465</v>
      </c>
      <c r="AJ263" s="22">
        <f>VLOOKUP($R263,武学奇术!$A:$ZZ,27,FALSE)*(1+IF(OR($AH263=$F$4,$AH263=$F$5),$B$22,0))</f>
        <v>0</v>
      </c>
      <c r="AK263" s="21">
        <f>VLOOKUP($R263,武学奇术!$A:$ZZ,28,FALSE)</f>
        <v>0.51975</v>
      </c>
      <c r="AL263" s="22">
        <f>VLOOKUP($R263,武学奇术!$A:$ZZ,29,FALSE)*(1+IF(OR($AH263=$F$4,$AH263=$F$5),$B$22,0))</f>
        <v>0</v>
      </c>
      <c r="AM263" s="21" cm="1">
        <f t="array" ref="AM263">$G$3+IFERROR(VLOOKUP($AH263,$F$4:$G$7,2,FALSE),0)+VLOOKUP($R263,武学奇术!$A:$ZZ,2,FALSE)+SUM(_xlfn.XLOOKUP($S263:$AG263,增益!$A:$A,增益!$B:$B,0))</f>
        <v>1.3191</v>
      </c>
      <c r="AN263" s="21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1862.48</v>
      </c>
      <c r="AP263" cm="1">
        <f t="array" ref="AP263">$E$10*(1+$AN263)+VLOOKUP($R263,武学奇术!$A:$ZZ,4,FALSE)+SUM(_xlfn.XLOOKUP($S263:$AG263,增益!$A:$A,增益!$D:$D,0))-$I$2</f>
        <v>7794.56</v>
      </c>
      <c r="AQ263" s="26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0.369</v>
      </c>
      <c r="AR263" s="26" cm="1">
        <f t="array" ref="AR263">$G$10+VLOOKUP($R263,武学奇术!$A:$ZZ,7,FALSE)+SUM(_xlfn.XLOOKUP(S263:AG263,增益!$A:$A,增益!$G:$G,0))</f>
        <v>0</v>
      </c>
      <c r="AS263" s="21" cm="1">
        <f t="array" ref="AS263">VLOOKUP($R263,武学奇术!$A:$ZZ,8,FALSE)+SUM(_xlfn.XLOOKUP(S263:AG263,增益!$A:$A,增益!$H:$H,0))</f>
        <v>0</v>
      </c>
      <c r="AT263">
        <f t="shared" si="86"/>
        <v>680.02</v>
      </c>
      <c r="AU263">
        <f t="shared" si="87"/>
        <v>1288.54</v>
      </c>
      <c r="AV263" s="26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0.075</v>
      </c>
      <c r="AW263" s="26" cm="1">
        <f t="array" ref="AW263">$G$11+VLOOKUP($R263,武学奇术!$A:$ZZ,10,FALSE)+SUM(_xlfn.XLOOKUP(S263:AG263,增益!$A:$A,增益!$J:$J,0))</f>
        <v>0.15</v>
      </c>
      <c r="AX263">
        <f t="shared" si="88"/>
        <v>0</v>
      </c>
      <c r="AY263">
        <f t="shared" si="89"/>
        <v>0</v>
      </c>
      <c r="AZ263" s="26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26" cm="1">
        <f t="array" ref="BA263">$G$12+VLOOKUP($R263,武学奇术!$A:$ZZ,12,FALSE)+SUM(_xlfn.XLOOKUP(S263:AG263,增益!$A:$A,增益!$L:$L,0))</f>
        <v>0</v>
      </c>
      <c r="BB263">
        <f t="shared" si="90"/>
        <v>0</v>
      </c>
      <c r="BC263">
        <f t="shared" si="91"/>
        <v>0</v>
      </c>
      <c r="BD263" s="26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26" cm="1">
        <f t="array" ref="BE263">$G$13+VLOOKUP($R263,武学奇术!$A:$ZZ,14,FALSE)+SUM(_xlfn.XLOOKUP(S263:AG263,增益!$A:$A,增益!$N:$N,0))</f>
        <v>0</v>
      </c>
      <c r="BF263">
        <f t="shared" si="92"/>
        <v>0</v>
      </c>
      <c r="BG263">
        <f t="shared" si="93"/>
        <v>0</v>
      </c>
      <c r="BH263" s="26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26" cm="1">
        <f t="array" ref="BI263">$G$14+VLOOKUP($R263,武学奇术!$A:$ZZ,16,FALSE)+SUM(_xlfn.XLOOKUP(S263:AG263,增益!$A:$A,增益!$P:$P,0))</f>
        <v>0</v>
      </c>
      <c r="BJ263" s="21">
        <f>MIN(IF(VLOOKUP($R263,武学奇术!$A:$ZZ,23,FALSE)=1,100%,$B$8),100%)</f>
        <v>0.8229</v>
      </c>
      <c r="BK263" s="21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0.2285</v>
      </c>
      <c r="BL263" s="21" cm="1">
        <f t="array" ref="BL263">1+$B$13+VLOOKUP($R263,武学奇术!$A:$ZZ,18,FALSE)+SUM(_xlfn.XLOOKUP(S263:AG263,增益!$A:$A,增益!$R:$R,0))</f>
        <v>1.5</v>
      </c>
      <c r="BM263" s="21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0.4495</v>
      </c>
      <c r="BN263" s="21" cm="1">
        <f t="array" ref="BN263">1+$B$14+VLOOKUP($R263,武学奇术!$A:$ZZ,20,FALSE)+SUM(_xlfn.XLOOKUP(S263:AG263,增益!$A:$A,增益!$T:$T,0))</f>
        <v>1.782</v>
      </c>
      <c r="BO263" s="21">
        <f t="shared" ref="BO263" si="186">MIN((1-BM263)*BJ263,BJ263*BK263)</f>
        <v>0.18803265</v>
      </c>
      <c r="BP263" s="21">
        <f t="shared" ref="BP263" si="187">1-BM263-BO263-BQ263</f>
        <v>0.2649738</v>
      </c>
      <c r="BQ263" s="21">
        <f>IF(VLOOKUP($R263,武学奇术!$A:$ZZ,22,FALSE)=1,0,(1-$BJ263))*(1-$BM263)</f>
        <v>0.09749355</v>
      </c>
      <c r="BR263" s="21" cm="1">
        <f t="array" ref="BR263">SUM(_xlfn.XLOOKUP(S263:AG263,增益!$A:$A,增益!$W:$W,0))+$I$5</f>
        <v>0.06</v>
      </c>
    </row>
    <row r="264" spans="11:70">
      <c r="K264" s="24">
        <f>$L264*VLOOKUP($R264,武学奇术!$A:$ZZ,31,FALSE)</f>
        <v>5210.44494454043</v>
      </c>
      <c r="L264" s="24">
        <f t="shared" si="85"/>
        <v>8684.07490756739</v>
      </c>
      <c r="M264" s="24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7113.33009039509</v>
      </c>
      <c r="N264" s="24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13083.6728800913</v>
      </c>
      <c r="O264" s="24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4742.22006026339</v>
      </c>
      <c r="P264" s="24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2142.31168052045</v>
      </c>
      <c r="Q264" s="31">
        <v>1</v>
      </c>
      <c r="R264" s="32" t="s">
        <v>198</v>
      </c>
      <c r="S264" s="32" t="s">
        <v>87</v>
      </c>
      <c r="T264" s="32" t="s">
        <v>96</v>
      </c>
      <c r="U264" s="32" t="s">
        <v>97</v>
      </c>
      <c r="V264" s="32" t="s">
        <v>73</v>
      </c>
      <c r="W264" s="32" t="s">
        <v>111</v>
      </c>
      <c r="X264" s="32" t="s">
        <v>127</v>
      </c>
      <c r="Y264" s="32" t="s">
        <v>73</v>
      </c>
      <c r="Z264" s="32" t="s">
        <v>73</v>
      </c>
      <c r="AA264" s="32" t="s">
        <v>81</v>
      </c>
      <c r="AB264" s="32" t="s">
        <v>75</v>
      </c>
      <c r="AC264" s="32" t="s">
        <v>76</v>
      </c>
      <c r="AD264" s="32" t="s">
        <v>82</v>
      </c>
      <c r="AE264" s="32" t="s">
        <v>73</v>
      </c>
      <c r="AF264" s="32" t="s">
        <v>73</v>
      </c>
      <c r="AG264" s="32" t="s">
        <v>178</v>
      </c>
      <c r="AH264" t="str">
        <f>VLOOKUP($R264,武学奇术!$A:$ZZ,25,FALSE)</f>
        <v>剑</v>
      </c>
      <c r="AI264" s="21">
        <f>VLOOKUP($R264,武学奇术!$A:$ZZ,26,FALSE)</f>
        <v>0.17325</v>
      </c>
      <c r="AJ264" s="22">
        <f>VLOOKUP($R264,武学奇术!$A:$ZZ,27,FALSE)*(1+IF(OR($AH264=$F$4,$AH264=$F$5),$B$22,0))</f>
        <v>0</v>
      </c>
      <c r="AK264" s="21">
        <f>VLOOKUP($R264,武学奇术!$A:$ZZ,28,FALSE)</f>
        <v>0.259875</v>
      </c>
      <c r="AL264" s="22">
        <f>VLOOKUP($R264,武学奇术!$A:$ZZ,29,FALSE)*(1+IF(OR($AH264=$F$4,$AH264=$F$5),$B$22,0))</f>
        <v>0</v>
      </c>
      <c r="AM264" s="21" cm="1">
        <f t="array" ref="AM264">$G$3+IFERROR(VLOOKUP($AH264,$F$4:$G$7,2,FALSE),0)+VLOOKUP($R264,武学奇术!$A:$ZZ,2,FALSE)+SUM(_xlfn.XLOOKUP($S264:$AG264,增益!$A:$A,增益!$B:$B,0))</f>
        <v>1.3191</v>
      </c>
      <c r="AN264" s="21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1862.48</v>
      </c>
      <c r="AP264" cm="1">
        <f t="array" ref="AP264">$E$10*(1+$AN264)+VLOOKUP($R264,武学奇术!$A:$ZZ,4,FALSE)+SUM(_xlfn.XLOOKUP($S264:$AG264,增益!$A:$A,增益!$D:$D,0))-$I$2</f>
        <v>7794.56</v>
      </c>
      <c r="AQ264" s="26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0.369</v>
      </c>
      <c r="AR264" s="26" cm="1">
        <f t="array" ref="AR264">$G$10+VLOOKUP($R264,武学奇术!$A:$ZZ,7,FALSE)+SUM(_xlfn.XLOOKUP(S264:AG264,增益!$A:$A,增益!$G:$G,0))</f>
        <v>0</v>
      </c>
      <c r="AS264" s="21" cm="1">
        <f t="array" ref="AS264">VLOOKUP($R264,武学奇术!$A:$ZZ,8,FALSE)+SUM(_xlfn.XLOOKUP(S264:AG264,增益!$A:$A,增益!$H:$H,0))</f>
        <v>0</v>
      </c>
      <c r="AT264">
        <f t="shared" si="86"/>
        <v>680.02</v>
      </c>
      <c r="AU264">
        <f t="shared" si="87"/>
        <v>1288.54</v>
      </c>
      <c r="AV264" s="26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0.075</v>
      </c>
      <c r="AW264" s="26" cm="1">
        <f t="array" ref="AW264">$G$11+VLOOKUP($R264,武学奇术!$A:$ZZ,10,FALSE)+SUM(_xlfn.XLOOKUP(S264:AG264,增益!$A:$A,增益!$J:$J,0))</f>
        <v>0.15</v>
      </c>
      <c r="AX264">
        <f t="shared" si="88"/>
        <v>0</v>
      </c>
      <c r="AY264">
        <f t="shared" si="89"/>
        <v>0</v>
      </c>
      <c r="AZ264" s="26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26" cm="1">
        <f t="array" ref="BA264">$G$12+VLOOKUP($R264,武学奇术!$A:$ZZ,12,FALSE)+SUM(_xlfn.XLOOKUP(S264:AG264,增益!$A:$A,增益!$L:$L,0))</f>
        <v>0</v>
      </c>
      <c r="BB264">
        <f t="shared" si="90"/>
        <v>0</v>
      </c>
      <c r="BC264">
        <f t="shared" si="91"/>
        <v>0</v>
      </c>
      <c r="BD264" s="26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26" cm="1">
        <f t="array" ref="BE264">$G$13+VLOOKUP($R264,武学奇术!$A:$ZZ,14,FALSE)+SUM(_xlfn.XLOOKUP(S264:AG264,增益!$A:$A,增益!$N:$N,0))</f>
        <v>0</v>
      </c>
      <c r="BF264">
        <f t="shared" si="92"/>
        <v>0</v>
      </c>
      <c r="BG264">
        <f t="shared" si="93"/>
        <v>0</v>
      </c>
      <c r="BH264" s="26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26" cm="1">
        <f t="array" ref="BI264">$G$14+VLOOKUP($R264,武学奇术!$A:$ZZ,16,FALSE)+SUM(_xlfn.XLOOKUP(S264:AG264,增益!$A:$A,增益!$P:$P,0))</f>
        <v>0</v>
      </c>
      <c r="BJ264" s="21">
        <f>MIN(IF(VLOOKUP($R264,武学奇术!$A:$ZZ,23,FALSE)=1,100%,$B$8),100%)</f>
        <v>0.8229</v>
      </c>
      <c r="BK264" s="21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0.2285</v>
      </c>
      <c r="BL264" s="21" cm="1">
        <f t="array" ref="BL264">1+$B$13+VLOOKUP($R264,武学奇术!$A:$ZZ,18,FALSE)+SUM(_xlfn.XLOOKUP(S264:AG264,增益!$A:$A,增益!$R:$R,0))</f>
        <v>1.5</v>
      </c>
      <c r="BM264" s="21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0.4495</v>
      </c>
      <c r="BN264" s="21" cm="1">
        <f t="array" ref="BN264">1+$B$14+VLOOKUP($R264,武学奇术!$A:$ZZ,20,FALSE)+SUM(_xlfn.XLOOKUP(S264:AG264,增益!$A:$A,增益!$T:$T,0))</f>
        <v>1.782</v>
      </c>
      <c r="BO264" s="21">
        <f t="shared" ref="BO264" si="188">MIN((1-BM264)*BJ264,BJ264*BK264)</f>
        <v>0.18803265</v>
      </c>
      <c r="BP264" s="21">
        <f t="shared" ref="BP264" si="189">1-BM264-BO264-BQ264</f>
        <v>0.2649738</v>
      </c>
      <c r="BQ264" s="21">
        <f>IF(VLOOKUP($R264,武学奇术!$A:$ZZ,22,FALSE)=1,0,(1-$BJ264))*(1-$BM264)</f>
        <v>0.09749355</v>
      </c>
      <c r="BR264" s="21" cm="1">
        <f t="array" ref="BR264">SUM(_xlfn.XLOOKUP(S264:AG264,增益!$A:$A,增益!$W:$W,0))+$I$5</f>
        <v>0.06</v>
      </c>
    </row>
    <row r="265" spans="11:70">
      <c r="K265" s="24">
        <f>$L265*VLOOKUP($R265,武学奇术!$A:$ZZ,31,FALSE)</f>
        <v>10420.8898890809</v>
      </c>
      <c r="L265" s="24">
        <f t="shared" si="85"/>
        <v>17368.1498151348</v>
      </c>
      <c r="M265" s="24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14226.6601807902</v>
      </c>
      <c r="N265" s="24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26167.3457601826</v>
      </c>
      <c r="O265" s="24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9484.44012052679</v>
      </c>
      <c r="P265" s="24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4284.6233610409</v>
      </c>
      <c r="Q265" s="31">
        <v>1</v>
      </c>
      <c r="R265" s="32" t="s">
        <v>199</v>
      </c>
      <c r="S265" s="32" t="s">
        <v>87</v>
      </c>
      <c r="T265" s="32" t="s">
        <v>96</v>
      </c>
      <c r="U265" s="32" t="s">
        <v>97</v>
      </c>
      <c r="V265" s="32" t="s">
        <v>73</v>
      </c>
      <c r="W265" s="32" t="s">
        <v>111</v>
      </c>
      <c r="X265" s="32" t="s">
        <v>127</v>
      </c>
      <c r="Y265" s="32" t="s">
        <v>73</v>
      </c>
      <c r="Z265" s="32" t="s">
        <v>73</v>
      </c>
      <c r="AA265" s="32" t="s">
        <v>81</v>
      </c>
      <c r="AB265" s="32" t="s">
        <v>75</v>
      </c>
      <c r="AC265" s="32" t="s">
        <v>76</v>
      </c>
      <c r="AD265" s="32" t="s">
        <v>82</v>
      </c>
      <c r="AE265" s="32" t="s">
        <v>73</v>
      </c>
      <c r="AF265" s="32" t="s">
        <v>73</v>
      </c>
      <c r="AG265" s="32" t="s">
        <v>178</v>
      </c>
      <c r="AH265" t="str">
        <f>VLOOKUP($R265,武学奇术!$A:$ZZ,25,FALSE)</f>
        <v>剑</v>
      </c>
      <c r="AI265" s="21">
        <f>VLOOKUP($R265,武学奇术!$A:$ZZ,26,FALSE)</f>
        <v>0.3465</v>
      </c>
      <c r="AJ265" s="22">
        <f>VLOOKUP($R265,武学奇术!$A:$ZZ,27,FALSE)*(1+IF(OR($AH265=$F$4,$AH265=$F$5),$B$22,0))</f>
        <v>0</v>
      </c>
      <c r="AK265" s="21">
        <f>VLOOKUP($R265,武学奇术!$A:$ZZ,28,FALSE)</f>
        <v>0.51975</v>
      </c>
      <c r="AL265" s="22">
        <f>VLOOKUP($R265,武学奇术!$A:$ZZ,29,FALSE)*(1+IF(OR($AH265=$F$4,$AH265=$F$5),$B$22,0))</f>
        <v>0</v>
      </c>
      <c r="AM265" s="21" cm="1">
        <f t="array" ref="AM265">$G$3+IFERROR(VLOOKUP($AH265,$F$4:$G$7,2,FALSE),0)+VLOOKUP($R265,武学奇术!$A:$ZZ,2,FALSE)+SUM(_xlfn.XLOOKUP($S265:$AG265,增益!$A:$A,增益!$B:$B,0))</f>
        <v>1.3191</v>
      </c>
      <c r="AN265" s="21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1862.48</v>
      </c>
      <c r="AP265" cm="1">
        <f t="array" ref="AP265">$E$10*(1+$AN265)+VLOOKUP($R265,武学奇术!$A:$ZZ,4,FALSE)+SUM(_xlfn.XLOOKUP($S265:$AG265,增益!$A:$A,增益!$D:$D,0))-$I$2</f>
        <v>7794.56</v>
      </c>
      <c r="AQ265" s="26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0.369</v>
      </c>
      <c r="AR265" s="26" cm="1">
        <f t="array" ref="AR265">$G$10+VLOOKUP($R265,武学奇术!$A:$ZZ,7,FALSE)+SUM(_xlfn.XLOOKUP(S265:AG265,增益!$A:$A,增益!$G:$G,0))</f>
        <v>0</v>
      </c>
      <c r="AS265" s="21" cm="1">
        <f t="array" ref="AS265">VLOOKUP($R265,武学奇术!$A:$ZZ,8,FALSE)+SUM(_xlfn.XLOOKUP(S265:AG265,增益!$A:$A,增益!$H:$H,0))</f>
        <v>0</v>
      </c>
      <c r="AT265">
        <f t="shared" si="86"/>
        <v>680.02</v>
      </c>
      <c r="AU265">
        <f t="shared" si="87"/>
        <v>1288.54</v>
      </c>
      <c r="AV265" s="26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0.075</v>
      </c>
      <c r="AW265" s="26" cm="1">
        <f t="array" ref="AW265">$G$11+VLOOKUP($R265,武学奇术!$A:$ZZ,10,FALSE)+SUM(_xlfn.XLOOKUP(S265:AG265,增益!$A:$A,增益!$J:$J,0))</f>
        <v>0.15</v>
      </c>
      <c r="AX265">
        <f t="shared" si="88"/>
        <v>0</v>
      </c>
      <c r="AY265">
        <f t="shared" si="89"/>
        <v>0</v>
      </c>
      <c r="AZ265" s="26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26" cm="1">
        <f t="array" ref="BA265">$G$12+VLOOKUP($R265,武学奇术!$A:$ZZ,12,FALSE)+SUM(_xlfn.XLOOKUP(S265:AG265,增益!$A:$A,增益!$L:$L,0))</f>
        <v>0</v>
      </c>
      <c r="BB265">
        <f t="shared" si="90"/>
        <v>0</v>
      </c>
      <c r="BC265">
        <f t="shared" si="91"/>
        <v>0</v>
      </c>
      <c r="BD265" s="26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26" cm="1">
        <f t="array" ref="BE265">$G$13+VLOOKUP($R265,武学奇术!$A:$ZZ,14,FALSE)+SUM(_xlfn.XLOOKUP(S265:AG265,增益!$A:$A,增益!$N:$N,0))</f>
        <v>0</v>
      </c>
      <c r="BF265">
        <f t="shared" si="92"/>
        <v>0</v>
      </c>
      <c r="BG265">
        <f t="shared" si="93"/>
        <v>0</v>
      </c>
      <c r="BH265" s="26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26" cm="1">
        <f t="array" ref="BI265">$G$14+VLOOKUP($R265,武学奇术!$A:$ZZ,16,FALSE)+SUM(_xlfn.XLOOKUP(S265:AG265,增益!$A:$A,增益!$P:$P,0))</f>
        <v>0</v>
      </c>
      <c r="BJ265" s="21">
        <f>MIN(IF(VLOOKUP($R265,武学奇术!$A:$ZZ,23,FALSE)=1,100%,$B$8),100%)</f>
        <v>0.8229</v>
      </c>
      <c r="BK265" s="21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0.2285</v>
      </c>
      <c r="BL265" s="21" cm="1">
        <f t="array" ref="BL265">1+$B$13+VLOOKUP($R265,武学奇术!$A:$ZZ,18,FALSE)+SUM(_xlfn.XLOOKUP(S265:AG265,增益!$A:$A,增益!$R:$R,0))</f>
        <v>1.5</v>
      </c>
      <c r="BM265" s="21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0.4495</v>
      </c>
      <c r="BN265" s="21" cm="1">
        <f t="array" ref="BN265">1+$B$14+VLOOKUP($R265,武学奇术!$A:$ZZ,20,FALSE)+SUM(_xlfn.XLOOKUP(S265:AG265,增益!$A:$A,增益!$T:$T,0))</f>
        <v>1.782</v>
      </c>
      <c r="BO265" s="21">
        <f t="shared" ref="BO265" si="190">MIN((1-BM265)*BJ265,BJ265*BK265)</f>
        <v>0.18803265</v>
      </c>
      <c r="BP265" s="21">
        <f t="shared" ref="BP265" si="191">1-BM265-BO265-BQ265</f>
        <v>0.2649738</v>
      </c>
      <c r="BQ265" s="21">
        <f>IF(VLOOKUP($R265,武学奇术!$A:$ZZ,22,FALSE)=1,0,(1-$BJ265))*(1-$BM265)</f>
        <v>0.09749355</v>
      </c>
      <c r="BR265" s="21" cm="1">
        <f t="array" ref="BR265">SUM(_xlfn.XLOOKUP(S265:AG265,增益!$A:$A,增益!$W:$W,0))+$I$5</f>
        <v>0.06</v>
      </c>
    </row>
    <row r="266" spans="11:70">
      <c r="K266" s="24">
        <f>$L266*VLOOKUP($R266,武学奇术!$A:$ZZ,31,FALSE)</f>
        <v>5210.44494454043</v>
      </c>
      <c r="L266" s="24">
        <f t="shared" si="85"/>
        <v>8684.07490756739</v>
      </c>
      <c r="M266" s="24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7113.33009039509</v>
      </c>
      <c r="N266" s="24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13083.6728800913</v>
      </c>
      <c r="O266" s="24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4742.22006026339</v>
      </c>
      <c r="P266" s="24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2142.31168052045</v>
      </c>
      <c r="Q266" s="31">
        <v>1</v>
      </c>
      <c r="R266" s="32" t="s">
        <v>198</v>
      </c>
      <c r="S266" s="32" t="s">
        <v>87</v>
      </c>
      <c r="T266" s="32" t="s">
        <v>96</v>
      </c>
      <c r="U266" s="32" t="s">
        <v>97</v>
      </c>
      <c r="V266" s="32" t="s">
        <v>73</v>
      </c>
      <c r="W266" s="32" t="s">
        <v>111</v>
      </c>
      <c r="X266" s="32" t="s">
        <v>127</v>
      </c>
      <c r="Y266" s="32" t="s">
        <v>73</v>
      </c>
      <c r="Z266" s="32" t="s">
        <v>73</v>
      </c>
      <c r="AA266" s="32" t="s">
        <v>81</v>
      </c>
      <c r="AB266" s="32" t="s">
        <v>75</v>
      </c>
      <c r="AC266" s="32" t="s">
        <v>76</v>
      </c>
      <c r="AD266" s="32" t="s">
        <v>82</v>
      </c>
      <c r="AE266" s="32" t="s">
        <v>73</v>
      </c>
      <c r="AF266" s="32" t="s">
        <v>73</v>
      </c>
      <c r="AG266" s="32" t="s">
        <v>178</v>
      </c>
      <c r="AH266" t="str">
        <f>VLOOKUP($R266,武学奇术!$A:$ZZ,25,FALSE)</f>
        <v>剑</v>
      </c>
      <c r="AI266" s="21">
        <f>VLOOKUP($R266,武学奇术!$A:$ZZ,26,FALSE)</f>
        <v>0.17325</v>
      </c>
      <c r="AJ266" s="22">
        <f>VLOOKUP($R266,武学奇术!$A:$ZZ,27,FALSE)*(1+IF(OR($AH266=$F$4,$AH266=$F$5),$B$22,0))</f>
        <v>0</v>
      </c>
      <c r="AK266" s="21">
        <f>VLOOKUP($R266,武学奇术!$A:$ZZ,28,FALSE)</f>
        <v>0.259875</v>
      </c>
      <c r="AL266" s="22">
        <f>VLOOKUP($R266,武学奇术!$A:$ZZ,29,FALSE)*(1+IF(OR($AH266=$F$4,$AH266=$F$5),$B$22,0))</f>
        <v>0</v>
      </c>
      <c r="AM266" s="21" cm="1">
        <f t="array" ref="AM266">$G$3+IFERROR(VLOOKUP($AH266,$F$4:$G$7,2,FALSE),0)+VLOOKUP($R266,武学奇术!$A:$ZZ,2,FALSE)+SUM(_xlfn.XLOOKUP($S266:$AG266,增益!$A:$A,增益!$B:$B,0))</f>
        <v>1.3191</v>
      </c>
      <c r="AN266" s="21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1862.48</v>
      </c>
      <c r="AP266" cm="1">
        <f t="array" ref="AP266">$E$10*(1+$AN266)+VLOOKUP($R266,武学奇术!$A:$ZZ,4,FALSE)+SUM(_xlfn.XLOOKUP($S266:$AG266,增益!$A:$A,增益!$D:$D,0))-$I$2</f>
        <v>7794.56</v>
      </c>
      <c r="AQ266" s="26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0.369</v>
      </c>
      <c r="AR266" s="26" cm="1">
        <f t="array" ref="AR266">$G$10+VLOOKUP($R266,武学奇术!$A:$ZZ,7,FALSE)+SUM(_xlfn.XLOOKUP(S266:AG266,增益!$A:$A,增益!$G:$G,0))</f>
        <v>0</v>
      </c>
      <c r="AS266" s="21" cm="1">
        <f t="array" ref="AS266">VLOOKUP($R266,武学奇术!$A:$ZZ,8,FALSE)+SUM(_xlfn.XLOOKUP(S266:AG266,增益!$A:$A,增益!$H:$H,0))</f>
        <v>0</v>
      </c>
      <c r="AT266">
        <f t="shared" si="86"/>
        <v>680.02</v>
      </c>
      <c r="AU266">
        <f t="shared" si="87"/>
        <v>1288.54</v>
      </c>
      <c r="AV266" s="26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0.075</v>
      </c>
      <c r="AW266" s="26" cm="1">
        <f t="array" ref="AW266">$G$11+VLOOKUP($R266,武学奇术!$A:$ZZ,10,FALSE)+SUM(_xlfn.XLOOKUP(S266:AG266,增益!$A:$A,增益!$J:$J,0))</f>
        <v>0.15</v>
      </c>
      <c r="AX266">
        <f t="shared" si="88"/>
        <v>0</v>
      </c>
      <c r="AY266">
        <f t="shared" si="89"/>
        <v>0</v>
      </c>
      <c r="AZ266" s="26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26" cm="1">
        <f t="array" ref="BA266">$G$12+VLOOKUP($R266,武学奇术!$A:$ZZ,12,FALSE)+SUM(_xlfn.XLOOKUP(S266:AG266,增益!$A:$A,增益!$L:$L,0))</f>
        <v>0</v>
      </c>
      <c r="BB266">
        <f t="shared" si="90"/>
        <v>0</v>
      </c>
      <c r="BC266">
        <f t="shared" si="91"/>
        <v>0</v>
      </c>
      <c r="BD266" s="26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26" cm="1">
        <f t="array" ref="BE266">$G$13+VLOOKUP($R266,武学奇术!$A:$ZZ,14,FALSE)+SUM(_xlfn.XLOOKUP(S266:AG266,增益!$A:$A,增益!$N:$N,0))</f>
        <v>0</v>
      </c>
      <c r="BF266">
        <f t="shared" si="92"/>
        <v>0</v>
      </c>
      <c r="BG266">
        <f t="shared" si="93"/>
        <v>0</v>
      </c>
      <c r="BH266" s="26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26" cm="1">
        <f t="array" ref="BI266">$G$14+VLOOKUP($R266,武学奇术!$A:$ZZ,16,FALSE)+SUM(_xlfn.XLOOKUP(S266:AG266,增益!$A:$A,增益!$P:$P,0))</f>
        <v>0</v>
      </c>
      <c r="BJ266" s="21">
        <f>MIN(IF(VLOOKUP($R266,武学奇术!$A:$ZZ,23,FALSE)=1,100%,$B$8),100%)</f>
        <v>0.8229</v>
      </c>
      <c r="BK266" s="21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0.2285</v>
      </c>
      <c r="BL266" s="21" cm="1">
        <f t="array" ref="BL266">1+$B$13+VLOOKUP($R266,武学奇术!$A:$ZZ,18,FALSE)+SUM(_xlfn.XLOOKUP(S266:AG266,增益!$A:$A,增益!$R:$R,0))</f>
        <v>1.5</v>
      </c>
      <c r="BM266" s="21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0.4495</v>
      </c>
      <c r="BN266" s="21" cm="1">
        <f t="array" ref="BN266">1+$B$14+VLOOKUP($R266,武学奇术!$A:$ZZ,20,FALSE)+SUM(_xlfn.XLOOKUP(S266:AG266,增益!$A:$A,增益!$T:$T,0))</f>
        <v>1.782</v>
      </c>
      <c r="BO266" s="21">
        <f t="shared" ref="BO266" si="192">MIN((1-BM266)*BJ266,BJ266*BK266)</f>
        <v>0.18803265</v>
      </c>
      <c r="BP266" s="21">
        <f t="shared" ref="BP266" si="193">1-BM266-BO266-BQ266</f>
        <v>0.2649738</v>
      </c>
      <c r="BQ266" s="21">
        <f>IF(VLOOKUP($R266,武学奇术!$A:$ZZ,22,FALSE)=1,0,(1-$BJ266))*(1-$BM266)</f>
        <v>0.09749355</v>
      </c>
      <c r="BR266" s="21" cm="1">
        <f t="array" ref="BR266">SUM(_xlfn.XLOOKUP(S266:AG266,增益!$A:$A,增益!$W:$W,0))+$I$5</f>
        <v>0.06</v>
      </c>
    </row>
    <row r="267" spans="11:70">
      <c r="K267" s="24">
        <f>$L267*VLOOKUP($R267,武学奇术!$A:$ZZ,31,FALSE)</f>
        <v>6252.53393344852</v>
      </c>
      <c r="L267" s="24">
        <f t="shared" si="85"/>
        <v>10420.8898890809</v>
      </c>
      <c r="M267" s="24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8535.99610847411</v>
      </c>
      <c r="N267" s="24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15700.4074561095</v>
      </c>
      <c r="O267" s="24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5690.66407231607</v>
      </c>
      <c r="P267" s="24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2570.77401662454</v>
      </c>
      <c r="Q267" s="31">
        <v>1</v>
      </c>
      <c r="R267" s="32" t="s">
        <v>200</v>
      </c>
      <c r="S267" s="32" t="s">
        <v>87</v>
      </c>
      <c r="T267" s="32" t="s">
        <v>96</v>
      </c>
      <c r="U267" s="32" t="s">
        <v>97</v>
      </c>
      <c r="V267" s="32" t="s">
        <v>73</v>
      </c>
      <c r="W267" s="32" t="s">
        <v>111</v>
      </c>
      <c r="X267" s="32" t="s">
        <v>127</v>
      </c>
      <c r="Y267" s="32" t="s">
        <v>73</v>
      </c>
      <c r="Z267" s="32" t="s">
        <v>73</v>
      </c>
      <c r="AA267" s="32" t="s">
        <v>81</v>
      </c>
      <c r="AB267" s="32" t="s">
        <v>75</v>
      </c>
      <c r="AC267" s="32" t="s">
        <v>76</v>
      </c>
      <c r="AD267" s="32" t="s">
        <v>82</v>
      </c>
      <c r="AE267" s="32" t="s">
        <v>73</v>
      </c>
      <c r="AF267" s="32" t="s">
        <v>73</v>
      </c>
      <c r="AG267" s="32" t="s">
        <v>178</v>
      </c>
      <c r="AH267" t="str">
        <f>VLOOKUP($R267,武学奇术!$A:$ZZ,25,FALSE)</f>
        <v>剑</v>
      </c>
      <c r="AI267" s="21">
        <f>VLOOKUP($R267,武学奇术!$A:$ZZ,26,FALSE)</f>
        <v>0.2079</v>
      </c>
      <c r="AJ267" s="22">
        <f>VLOOKUP($R267,武学奇术!$A:$ZZ,27,FALSE)*(1+IF(OR($AH267=$F$4,$AH267=$F$5),$B$22,0))</f>
        <v>0</v>
      </c>
      <c r="AK267" s="21">
        <f>VLOOKUP($R267,武学奇术!$A:$ZZ,28,FALSE)</f>
        <v>0.31185</v>
      </c>
      <c r="AL267" s="22">
        <f>VLOOKUP($R267,武学奇术!$A:$ZZ,29,FALSE)*(1+IF(OR($AH267=$F$4,$AH267=$F$5),$B$22,0))</f>
        <v>0</v>
      </c>
      <c r="AM267" s="21" cm="1">
        <f t="array" ref="AM267">$G$3+IFERROR(VLOOKUP($AH267,$F$4:$G$7,2,FALSE),0)+VLOOKUP($R267,武学奇术!$A:$ZZ,2,FALSE)+SUM(_xlfn.XLOOKUP($S267:$AG267,增益!$A:$A,增益!$B:$B,0))</f>
        <v>1.3191</v>
      </c>
      <c r="AN267" s="21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1862.48</v>
      </c>
      <c r="AP267" cm="1">
        <f t="array" ref="AP267">$E$10*(1+$AN267)+VLOOKUP($R267,武学奇术!$A:$ZZ,4,FALSE)+SUM(_xlfn.XLOOKUP($S267:$AG267,增益!$A:$A,增益!$D:$D,0))-$I$2</f>
        <v>7794.56</v>
      </c>
      <c r="AQ267" s="26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0.369</v>
      </c>
      <c r="AR267" s="26" cm="1">
        <f t="array" ref="AR267">$G$10+VLOOKUP($R267,武学奇术!$A:$ZZ,7,FALSE)+SUM(_xlfn.XLOOKUP(S267:AG267,增益!$A:$A,增益!$G:$G,0))</f>
        <v>0</v>
      </c>
      <c r="AS267" s="21" cm="1">
        <f t="array" ref="AS267">VLOOKUP($R267,武学奇术!$A:$ZZ,8,FALSE)+SUM(_xlfn.XLOOKUP(S267:AG267,增益!$A:$A,增益!$H:$H,0))</f>
        <v>0</v>
      </c>
      <c r="AT267">
        <f t="shared" si="86"/>
        <v>680.02</v>
      </c>
      <c r="AU267">
        <f t="shared" si="87"/>
        <v>1288.54</v>
      </c>
      <c r="AV267" s="26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0.075</v>
      </c>
      <c r="AW267" s="26" cm="1">
        <f t="array" ref="AW267">$G$11+VLOOKUP($R267,武学奇术!$A:$ZZ,10,FALSE)+SUM(_xlfn.XLOOKUP(S267:AG267,增益!$A:$A,增益!$J:$J,0))</f>
        <v>0.15</v>
      </c>
      <c r="AX267">
        <f t="shared" si="88"/>
        <v>0</v>
      </c>
      <c r="AY267">
        <f t="shared" si="89"/>
        <v>0</v>
      </c>
      <c r="AZ267" s="26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26" cm="1">
        <f t="array" ref="BA267">$G$12+VLOOKUP($R267,武学奇术!$A:$ZZ,12,FALSE)+SUM(_xlfn.XLOOKUP(S267:AG267,增益!$A:$A,增益!$L:$L,0))</f>
        <v>0</v>
      </c>
      <c r="BB267">
        <f t="shared" si="90"/>
        <v>0</v>
      </c>
      <c r="BC267">
        <f t="shared" si="91"/>
        <v>0</v>
      </c>
      <c r="BD267" s="26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26" cm="1">
        <f t="array" ref="BE267">$G$13+VLOOKUP($R267,武学奇术!$A:$ZZ,14,FALSE)+SUM(_xlfn.XLOOKUP(S267:AG267,增益!$A:$A,增益!$N:$N,0))</f>
        <v>0</v>
      </c>
      <c r="BF267">
        <f t="shared" si="92"/>
        <v>0</v>
      </c>
      <c r="BG267">
        <f t="shared" si="93"/>
        <v>0</v>
      </c>
      <c r="BH267" s="26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26" cm="1">
        <f t="array" ref="BI267">$G$14+VLOOKUP($R267,武学奇术!$A:$ZZ,16,FALSE)+SUM(_xlfn.XLOOKUP(S267:AG267,增益!$A:$A,增益!$P:$P,0))</f>
        <v>0</v>
      </c>
      <c r="BJ267" s="21">
        <f>MIN(IF(VLOOKUP($R267,武学奇术!$A:$ZZ,23,FALSE)=1,100%,$B$8),100%)</f>
        <v>0.8229</v>
      </c>
      <c r="BK267" s="21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0.2285</v>
      </c>
      <c r="BL267" s="21" cm="1">
        <f t="array" ref="BL267">1+$B$13+VLOOKUP($R267,武学奇术!$A:$ZZ,18,FALSE)+SUM(_xlfn.XLOOKUP(S267:AG267,增益!$A:$A,增益!$R:$R,0))</f>
        <v>1.5</v>
      </c>
      <c r="BM267" s="21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0.4495</v>
      </c>
      <c r="BN267" s="21" cm="1">
        <f t="array" ref="BN267">1+$B$14+VLOOKUP($R267,武学奇术!$A:$ZZ,20,FALSE)+SUM(_xlfn.XLOOKUP(S267:AG267,增益!$A:$A,增益!$T:$T,0))</f>
        <v>1.782</v>
      </c>
      <c r="BO267" s="21">
        <f t="shared" ref="BO267" si="194">MIN((1-BM267)*BJ267,BJ267*BK267)</f>
        <v>0.18803265</v>
      </c>
      <c r="BP267" s="21">
        <f t="shared" ref="BP267" si="195">1-BM267-BO267-BQ267</f>
        <v>0.2649738</v>
      </c>
      <c r="BQ267" s="21">
        <f>IF(VLOOKUP($R267,武学奇术!$A:$ZZ,22,FALSE)=1,0,(1-$BJ267))*(1-$BM267)</f>
        <v>0.09749355</v>
      </c>
      <c r="BR267" s="21" cm="1">
        <f t="array" ref="BR267">SUM(_xlfn.XLOOKUP(S267:AG267,增益!$A:$A,增益!$W:$W,0))+$I$5</f>
        <v>0.06</v>
      </c>
    </row>
    <row r="268" spans="11:70">
      <c r="K268" s="24">
        <f>$L268*VLOOKUP($R268,武学奇术!$A:$ZZ,31,FALSE)</f>
        <v>8336.71191126469</v>
      </c>
      <c r="L268" s="24">
        <f t="shared" si="85"/>
        <v>13894.5198521078</v>
      </c>
      <c r="M268" s="24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11381.3281446321</v>
      </c>
      <c r="N268" s="24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20933.8766081461</v>
      </c>
      <c r="O268" s="24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7587.55209642143</v>
      </c>
      <c r="P268" s="24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3427.69868883272</v>
      </c>
      <c r="Q268" s="31">
        <v>1</v>
      </c>
      <c r="R268" s="32" t="s">
        <v>197</v>
      </c>
      <c r="S268" s="32" t="s">
        <v>87</v>
      </c>
      <c r="T268" s="32" t="s">
        <v>96</v>
      </c>
      <c r="U268" s="32" t="s">
        <v>97</v>
      </c>
      <c r="V268" s="32" t="s">
        <v>73</v>
      </c>
      <c r="W268" s="32" t="s">
        <v>111</v>
      </c>
      <c r="X268" s="32" t="s">
        <v>127</v>
      </c>
      <c r="Y268" s="32" t="s">
        <v>73</v>
      </c>
      <c r="Z268" s="32" t="s">
        <v>73</v>
      </c>
      <c r="AA268" s="32" t="s">
        <v>81</v>
      </c>
      <c r="AB268" s="32" t="s">
        <v>75</v>
      </c>
      <c r="AC268" s="32" t="s">
        <v>76</v>
      </c>
      <c r="AD268" s="32" t="s">
        <v>82</v>
      </c>
      <c r="AE268" s="32" t="s">
        <v>73</v>
      </c>
      <c r="AF268" s="32" t="s">
        <v>73</v>
      </c>
      <c r="AG268" s="32" t="s">
        <v>178</v>
      </c>
      <c r="AH268" t="str">
        <f>VLOOKUP($R268,武学奇术!$A:$ZZ,25,FALSE)</f>
        <v>剑</v>
      </c>
      <c r="AI268" s="21">
        <f>VLOOKUP($R268,武学奇术!$A:$ZZ,26,FALSE)</f>
        <v>0.2772</v>
      </c>
      <c r="AJ268" s="22">
        <f>VLOOKUP($R268,武学奇术!$A:$ZZ,27,FALSE)*(1+IF(OR($AH268=$F$4,$AH268=$F$5),$B$22,0))</f>
        <v>0</v>
      </c>
      <c r="AK268" s="21">
        <f>VLOOKUP($R268,武学奇术!$A:$ZZ,28,FALSE)</f>
        <v>0.4158</v>
      </c>
      <c r="AL268" s="22">
        <f>VLOOKUP($R268,武学奇术!$A:$ZZ,29,FALSE)*(1+IF(OR($AH268=$F$4,$AH268=$F$5),$B$22,0))</f>
        <v>0</v>
      </c>
      <c r="AM268" s="21" cm="1">
        <f t="array" ref="AM268">$G$3+IFERROR(VLOOKUP($AH268,$F$4:$G$7,2,FALSE),0)+VLOOKUP($R268,武学奇术!$A:$ZZ,2,FALSE)+SUM(_xlfn.XLOOKUP($S268:$AG268,增益!$A:$A,增益!$B:$B,0))</f>
        <v>1.3191</v>
      </c>
      <c r="AN268" s="21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1862.48</v>
      </c>
      <c r="AP268" cm="1">
        <f t="array" ref="AP268">$E$10*(1+$AN268)+VLOOKUP($R268,武学奇术!$A:$ZZ,4,FALSE)+SUM(_xlfn.XLOOKUP($S268:$AG268,增益!$A:$A,增益!$D:$D,0))-$I$2</f>
        <v>7794.56</v>
      </c>
      <c r="AQ268" s="26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0.369</v>
      </c>
      <c r="AR268" s="26" cm="1">
        <f t="array" ref="AR268">$G$10+VLOOKUP($R268,武学奇术!$A:$ZZ,7,FALSE)+SUM(_xlfn.XLOOKUP(S268:AG268,增益!$A:$A,增益!$G:$G,0))</f>
        <v>0</v>
      </c>
      <c r="AS268" s="21" cm="1">
        <f t="array" ref="AS268">VLOOKUP($R268,武学奇术!$A:$ZZ,8,FALSE)+SUM(_xlfn.XLOOKUP(S268:AG268,增益!$A:$A,增益!$H:$H,0))</f>
        <v>0</v>
      </c>
      <c r="AT268">
        <f t="shared" si="86"/>
        <v>680.02</v>
      </c>
      <c r="AU268">
        <f t="shared" si="87"/>
        <v>1288.54</v>
      </c>
      <c r="AV268" s="26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0.075</v>
      </c>
      <c r="AW268" s="26" cm="1">
        <f t="array" ref="AW268">$G$11+VLOOKUP($R268,武学奇术!$A:$ZZ,10,FALSE)+SUM(_xlfn.XLOOKUP(S268:AG268,增益!$A:$A,增益!$J:$J,0))</f>
        <v>0.15</v>
      </c>
      <c r="AX268">
        <f t="shared" si="88"/>
        <v>0</v>
      </c>
      <c r="AY268">
        <f t="shared" si="89"/>
        <v>0</v>
      </c>
      <c r="AZ268" s="26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26" cm="1">
        <f t="array" ref="BA268">$G$12+VLOOKUP($R268,武学奇术!$A:$ZZ,12,FALSE)+SUM(_xlfn.XLOOKUP(S268:AG268,增益!$A:$A,增益!$L:$L,0))</f>
        <v>0</v>
      </c>
      <c r="BB268">
        <f t="shared" si="90"/>
        <v>0</v>
      </c>
      <c r="BC268">
        <f t="shared" si="91"/>
        <v>0</v>
      </c>
      <c r="BD268" s="26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26" cm="1">
        <f t="array" ref="BE268">$G$13+VLOOKUP($R268,武学奇术!$A:$ZZ,14,FALSE)+SUM(_xlfn.XLOOKUP(S268:AG268,增益!$A:$A,增益!$N:$N,0))</f>
        <v>0</v>
      </c>
      <c r="BF268">
        <f t="shared" si="92"/>
        <v>0</v>
      </c>
      <c r="BG268">
        <f t="shared" si="93"/>
        <v>0</v>
      </c>
      <c r="BH268" s="26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26" cm="1">
        <f t="array" ref="BI268">$G$14+VLOOKUP($R268,武学奇术!$A:$ZZ,16,FALSE)+SUM(_xlfn.XLOOKUP(S268:AG268,增益!$A:$A,增益!$P:$P,0))</f>
        <v>0</v>
      </c>
      <c r="BJ268" s="21">
        <f>MIN(IF(VLOOKUP($R268,武学奇术!$A:$ZZ,23,FALSE)=1,100%,$B$8),100%)</f>
        <v>0.8229</v>
      </c>
      <c r="BK268" s="21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0.2285</v>
      </c>
      <c r="BL268" s="21" cm="1">
        <f t="array" ref="BL268">1+$B$13+VLOOKUP($R268,武学奇术!$A:$ZZ,18,FALSE)+SUM(_xlfn.XLOOKUP(S268:AG268,增益!$A:$A,增益!$R:$R,0))</f>
        <v>1.5</v>
      </c>
      <c r="BM268" s="21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0.4495</v>
      </c>
      <c r="BN268" s="21" cm="1">
        <f t="array" ref="BN268">1+$B$14+VLOOKUP($R268,武学奇术!$A:$ZZ,20,FALSE)+SUM(_xlfn.XLOOKUP(S268:AG268,增益!$A:$A,增益!$T:$T,0))</f>
        <v>1.782</v>
      </c>
      <c r="BO268" s="21">
        <f t="shared" ref="BO268" si="196">MIN((1-BM268)*BJ268,BJ268*BK268)</f>
        <v>0.18803265</v>
      </c>
      <c r="BP268" s="21">
        <f t="shared" ref="BP268" si="197">1-BM268-BO268-BQ268</f>
        <v>0.2649738</v>
      </c>
      <c r="BQ268" s="21">
        <f>IF(VLOOKUP($R268,武学奇术!$A:$ZZ,22,FALSE)=1,0,(1-$BJ268))*(1-$BM268)</f>
        <v>0.09749355</v>
      </c>
      <c r="BR268" s="21" cm="1">
        <f t="array" ref="BR268">SUM(_xlfn.XLOOKUP(S268:AG268,增益!$A:$A,增益!$W:$W,0))+$I$5</f>
        <v>0.06</v>
      </c>
    </row>
    <row r="269" spans="11:70">
      <c r="K269" s="24">
        <f>$L269*VLOOKUP($R269,武学奇术!$A:$ZZ,31,FALSE)</f>
        <v>8303.60378556506</v>
      </c>
      <c r="L269" s="24">
        <f t="shared" si="85"/>
        <v>13839.3396426084</v>
      </c>
      <c r="M269" s="24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11324.0684669097</v>
      </c>
      <c r="N269" s="24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20865.8521110118</v>
      </c>
      <c r="O269" s="24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7549.37897793982</v>
      </c>
      <c r="P269" s="24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3389.52557035111</v>
      </c>
      <c r="Q269" s="31">
        <v>1</v>
      </c>
      <c r="R269" s="32" t="s">
        <v>197</v>
      </c>
      <c r="S269" s="32" t="s">
        <v>87</v>
      </c>
      <c r="T269" s="32" t="s">
        <v>96</v>
      </c>
      <c r="U269" s="32" t="s">
        <v>97</v>
      </c>
      <c r="V269" s="32" t="s">
        <v>73</v>
      </c>
      <c r="W269" s="32" t="s">
        <v>73</v>
      </c>
      <c r="X269" s="32" t="s">
        <v>127</v>
      </c>
      <c r="Y269" s="32" t="s">
        <v>73</v>
      </c>
      <c r="Z269" s="32" t="s">
        <v>73</v>
      </c>
      <c r="AA269" s="32" t="s">
        <v>73</v>
      </c>
      <c r="AB269" s="32" t="s">
        <v>75</v>
      </c>
      <c r="AC269" s="32" t="s">
        <v>76</v>
      </c>
      <c r="AD269" s="32" t="s">
        <v>82</v>
      </c>
      <c r="AE269" s="32" t="s">
        <v>73</v>
      </c>
      <c r="AF269" s="32" t="s">
        <v>73</v>
      </c>
      <c r="AG269" s="32" t="s">
        <v>178</v>
      </c>
      <c r="AH269" t="str">
        <f>VLOOKUP($R269,武学奇术!$A:$ZZ,25,FALSE)</f>
        <v>剑</v>
      </c>
      <c r="AI269" s="21">
        <f>VLOOKUP($R269,武学奇术!$A:$ZZ,26,FALSE)</f>
        <v>0.2772</v>
      </c>
      <c r="AJ269" s="22">
        <f>VLOOKUP($R269,武学奇术!$A:$ZZ,27,FALSE)*(1+IF(OR($AH269=$F$4,$AH269=$F$5),$B$22,0))</f>
        <v>0</v>
      </c>
      <c r="AK269" s="21">
        <f>VLOOKUP($R269,武学奇术!$A:$ZZ,28,FALSE)</f>
        <v>0.4158</v>
      </c>
      <c r="AL269" s="22">
        <f>VLOOKUP($R269,武学奇术!$A:$ZZ,29,FALSE)*(1+IF(OR($AH269=$F$4,$AH269=$F$5),$B$22,0))</f>
        <v>0</v>
      </c>
      <c r="AM269" s="21" cm="1">
        <f t="array" ref="AM269">$G$3+IFERROR(VLOOKUP($AH269,$F$4:$G$7,2,FALSE),0)+VLOOKUP($R269,武学奇术!$A:$ZZ,2,FALSE)+SUM(_xlfn.XLOOKUP($S269:$AG269,增益!$A:$A,增益!$B:$B,0))</f>
        <v>1.3191</v>
      </c>
      <c r="AN269" s="21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1831.48</v>
      </c>
      <c r="AP269" cm="1">
        <f t="array" ref="AP269">$E$10*(1+$AN269)+VLOOKUP($R269,武学奇术!$A:$ZZ,4,FALSE)+SUM(_xlfn.XLOOKUP($S269:$AG269,增益!$A:$A,增益!$D:$D,0))-$I$2</f>
        <v>7763.56</v>
      </c>
      <c r="AQ269" s="26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0.369</v>
      </c>
      <c r="AR269" s="26" cm="1">
        <f t="array" ref="AR269">$G$10+VLOOKUP($R269,武学奇术!$A:$ZZ,7,FALSE)+SUM(_xlfn.XLOOKUP(S269:AG269,增益!$A:$A,增益!$G:$G,0))</f>
        <v>0</v>
      </c>
      <c r="AS269" s="21" cm="1">
        <f t="array" ref="AS269">VLOOKUP($R269,武学奇术!$A:$ZZ,8,FALSE)+SUM(_xlfn.XLOOKUP(S269:AG269,增益!$A:$A,增益!$H:$H,0))</f>
        <v>0</v>
      </c>
      <c r="AT269">
        <f t="shared" si="86"/>
        <v>680.02</v>
      </c>
      <c r="AU269">
        <f t="shared" si="87"/>
        <v>1288.54</v>
      </c>
      <c r="AV269" s="26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0.075</v>
      </c>
      <c r="AW269" s="26" cm="1">
        <f t="array" ref="AW269">$G$11+VLOOKUP($R269,武学奇术!$A:$ZZ,10,FALSE)+SUM(_xlfn.XLOOKUP(S269:AG269,增益!$A:$A,增益!$J:$J,0))</f>
        <v>0.15</v>
      </c>
      <c r="AX269">
        <f t="shared" si="88"/>
        <v>0</v>
      </c>
      <c r="AY269">
        <f t="shared" si="89"/>
        <v>0</v>
      </c>
      <c r="AZ269" s="26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26" cm="1">
        <f t="array" ref="BA269">$G$12+VLOOKUP($R269,武学奇术!$A:$ZZ,12,FALSE)+SUM(_xlfn.XLOOKUP(S269:AG269,增益!$A:$A,增益!$L:$L,0))</f>
        <v>0</v>
      </c>
      <c r="BB269">
        <f t="shared" si="90"/>
        <v>0</v>
      </c>
      <c r="BC269">
        <f t="shared" si="91"/>
        <v>0</v>
      </c>
      <c r="BD269" s="26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26" cm="1">
        <f t="array" ref="BE269">$G$13+VLOOKUP($R269,武学奇术!$A:$ZZ,14,FALSE)+SUM(_xlfn.XLOOKUP(S269:AG269,增益!$A:$A,增益!$N:$N,0))</f>
        <v>0</v>
      </c>
      <c r="BF269">
        <f t="shared" si="92"/>
        <v>0</v>
      </c>
      <c r="BG269">
        <f t="shared" si="93"/>
        <v>0</v>
      </c>
      <c r="BH269" s="26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26" cm="1">
        <f t="array" ref="BI269">$G$14+VLOOKUP($R269,武学奇术!$A:$ZZ,16,FALSE)+SUM(_xlfn.XLOOKUP(S269:AG269,增益!$A:$A,增益!$P:$P,0))</f>
        <v>0</v>
      </c>
      <c r="BJ269" s="21">
        <f>MIN(IF(VLOOKUP($R269,武学奇术!$A:$ZZ,23,FALSE)=1,100%,$B$8),100%)</f>
        <v>0.8229</v>
      </c>
      <c r="BK269" s="21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0.2285</v>
      </c>
      <c r="BL269" s="21" cm="1">
        <f t="array" ref="BL269">1+$B$13+VLOOKUP($R269,武学奇术!$A:$ZZ,18,FALSE)+SUM(_xlfn.XLOOKUP(S269:AG269,增益!$A:$A,增益!$R:$R,0))</f>
        <v>1.5</v>
      </c>
      <c r="BM269" s="21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0.4495</v>
      </c>
      <c r="BN269" s="21" cm="1">
        <f t="array" ref="BN269">1+$B$14+VLOOKUP($R269,武学奇术!$A:$ZZ,20,FALSE)+SUM(_xlfn.XLOOKUP(S269:AG269,增益!$A:$A,增益!$T:$T,0))</f>
        <v>1.782</v>
      </c>
      <c r="BO269" s="21">
        <f t="shared" ref="BO269" si="198">MIN((1-BM269)*BJ269,BJ269*BK269)</f>
        <v>0.18803265</v>
      </c>
      <c r="BP269" s="21">
        <f t="shared" ref="BP269" si="199">1-BM269-BO269-BQ269</f>
        <v>0.2649738</v>
      </c>
      <c r="BQ269" s="21">
        <f>IF(VLOOKUP($R269,武学奇术!$A:$ZZ,22,FALSE)=1,0,(1-$BJ269))*(1-$BM269)</f>
        <v>0.09749355</v>
      </c>
      <c r="BR269" s="21" cm="1">
        <f t="array" ref="BR269">SUM(_xlfn.XLOOKUP(S269:AG269,增益!$A:$A,增益!$W:$W,0))+$I$5</f>
        <v>0.06</v>
      </c>
    </row>
    <row r="270" spans="11:70">
      <c r="K270" s="24">
        <f>$L270*VLOOKUP($R270,武学奇术!$A:$ZZ,31,FALSE)</f>
        <v>5189.75236597816</v>
      </c>
      <c r="L270" s="24">
        <f t="shared" si="85"/>
        <v>8649.58727663027</v>
      </c>
      <c r="M270" s="24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7077.54279181858</v>
      </c>
      <c r="N270" s="24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13041.1575693824</v>
      </c>
      <c r="O270" s="24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4718.36186121238</v>
      </c>
      <c r="P270" s="24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2118.45348146944</v>
      </c>
      <c r="Q270" s="31">
        <v>1</v>
      </c>
      <c r="R270" s="32" t="s">
        <v>198</v>
      </c>
      <c r="S270" s="32" t="s">
        <v>87</v>
      </c>
      <c r="T270" s="32" t="s">
        <v>96</v>
      </c>
      <c r="U270" s="32" t="s">
        <v>97</v>
      </c>
      <c r="V270" s="32" t="s">
        <v>73</v>
      </c>
      <c r="W270" s="32" t="s">
        <v>73</v>
      </c>
      <c r="X270" s="32" t="s">
        <v>127</v>
      </c>
      <c r="Y270" s="32" t="s">
        <v>73</v>
      </c>
      <c r="Z270" s="32" t="s">
        <v>73</v>
      </c>
      <c r="AA270" s="32" t="s">
        <v>73</v>
      </c>
      <c r="AB270" s="32" t="s">
        <v>75</v>
      </c>
      <c r="AC270" s="32" t="s">
        <v>76</v>
      </c>
      <c r="AD270" s="32" t="s">
        <v>82</v>
      </c>
      <c r="AE270" s="32" t="s">
        <v>73</v>
      </c>
      <c r="AF270" s="32" t="s">
        <v>73</v>
      </c>
      <c r="AG270" s="32" t="s">
        <v>178</v>
      </c>
      <c r="AH270" t="str">
        <f>VLOOKUP($R270,武学奇术!$A:$ZZ,25,FALSE)</f>
        <v>剑</v>
      </c>
      <c r="AI270" s="21">
        <f>VLOOKUP($R270,武学奇术!$A:$ZZ,26,FALSE)</f>
        <v>0.17325</v>
      </c>
      <c r="AJ270" s="22">
        <f>VLOOKUP($R270,武学奇术!$A:$ZZ,27,FALSE)*(1+IF(OR($AH270=$F$4,$AH270=$F$5),$B$22,0))</f>
        <v>0</v>
      </c>
      <c r="AK270" s="21">
        <f>VLOOKUP($R270,武学奇术!$A:$ZZ,28,FALSE)</f>
        <v>0.259875</v>
      </c>
      <c r="AL270" s="22">
        <f>VLOOKUP($R270,武学奇术!$A:$ZZ,29,FALSE)*(1+IF(OR($AH270=$F$4,$AH270=$F$5),$B$22,0))</f>
        <v>0</v>
      </c>
      <c r="AM270" s="21" cm="1">
        <f t="array" ref="AM270">$G$3+IFERROR(VLOOKUP($AH270,$F$4:$G$7,2,FALSE),0)+VLOOKUP($R270,武学奇术!$A:$ZZ,2,FALSE)+SUM(_xlfn.XLOOKUP($S270:$AG270,增益!$A:$A,增益!$B:$B,0))</f>
        <v>1.3191</v>
      </c>
      <c r="AN270" s="21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1831.48</v>
      </c>
      <c r="AP270" cm="1">
        <f t="array" ref="AP270">$E$10*(1+$AN270)+VLOOKUP($R270,武学奇术!$A:$ZZ,4,FALSE)+SUM(_xlfn.XLOOKUP($S270:$AG270,增益!$A:$A,增益!$D:$D,0))-$I$2</f>
        <v>7763.56</v>
      </c>
      <c r="AQ270" s="26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0.369</v>
      </c>
      <c r="AR270" s="26" cm="1">
        <f t="array" ref="AR270">$G$10+VLOOKUP($R270,武学奇术!$A:$ZZ,7,FALSE)+SUM(_xlfn.XLOOKUP(S270:AG270,增益!$A:$A,增益!$G:$G,0))</f>
        <v>0</v>
      </c>
      <c r="AS270" s="21" cm="1">
        <f t="array" ref="AS270">VLOOKUP($R270,武学奇术!$A:$ZZ,8,FALSE)+SUM(_xlfn.XLOOKUP(S270:AG270,增益!$A:$A,增益!$H:$H,0))</f>
        <v>0</v>
      </c>
      <c r="AT270">
        <f t="shared" si="86"/>
        <v>680.02</v>
      </c>
      <c r="AU270">
        <f t="shared" si="87"/>
        <v>1288.54</v>
      </c>
      <c r="AV270" s="26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0.075</v>
      </c>
      <c r="AW270" s="26" cm="1">
        <f t="array" ref="AW270">$G$11+VLOOKUP($R270,武学奇术!$A:$ZZ,10,FALSE)+SUM(_xlfn.XLOOKUP(S270:AG270,增益!$A:$A,增益!$J:$J,0))</f>
        <v>0.15</v>
      </c>
      <c r="AX270">
        <f t="shared" si="88"/>
        <v>0</v>
      </c>
      <c r="AY270">
        <f t="shared" si="89"/>
        <v>0</v>
      </c>
      <c r="AZ270" s="26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26" cm="1">
        <f t="array" ref="BA270">$G$12+VLOOKUP($R270,武学奇术!$A:$ZZ,12,FALSE)+SUM(_xlfn.XLOOKUP(S270:AG270,增益!$A:$A,增益!$L:$L,0))</f>
        <v>0</v>
      </c>
      <c r="BB270">
        <f t="shared" si="90"/>
        <v>0</v>
      </c>
      <c r="BC270">
        <f t="shared" si="91"/>
        <v>0</v>
      </c>
      <c r="BD270" s="26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26" cm="1">
        <f t="array" ref="BE270">$G$13+VLOOKUP($R270,武学奇术!$A:$ZZ,14,FALSE)+SUM(_xlfn.XLOOKUP(S270:AG270,增益!$A:$A,增益!$N:$N,0))</f>
        <v>0</v>
      </c>
      <c r="BF270">
        <f t="shared" si="92"/>
        <v>0</v>
      </c>
      <c r="BG270">
        <f t="shared" si="93"/>
        <v>0</v>
      </c>
      <c r="BH270" s="26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26" cm="1">
        <f t="array" ref="BI270">$G$14+VLOOKUP($R270,武学奇术!$A:$ZZ,16,FALSE)+SUM(_xlfn.XLOOKUP(S270:AG270,增益!$A:$A,增益!$P:$P,0))</f>
        <v>0</v>
      </c>
      <c r="BJ270" s="21">
        <f>MIN(IF(VLOOKUP($R270,武学奇术!$A:$ZZ,23,FALSE)=1,100%,$B$8),100%)</f>
        <v>0.8229</v>
      </c>
      <c r="BK270" s="21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0.2285</v>
      </c>
      <c r="BL270" s="21" cm="1">
        <f t="array" ref="BL270">1+$B$13+VLOOKUP($R270,武学奇术!$A:$ZZ,18,FALSE)+SUM(_xlfn.XLOOKUP(S270:AG270,增益!$A:$A,增益!$R:$R,0))</f>
        <v>1.5</v>
      </c>
      <c r="BM270" s="21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0.4495</v>
      </c>
      <c r="BN270" s="21" cm="1">
        <f t="array" ref="BN270">1+$B$14+VLOOKUP($R270,武学奇术!$A:$ZZ,20,FALSE)+SUM(_xlfn.XLOOKUP(S270:AG270,增益!$A:$A,增益!$T:$T,0))</f>
        <v>1.782</v>
      </c>
      <c r="BO270" s="21">
        <f t="shared" ref="BO270" si="200">MIN((1-BM270)*BJ270,BJ270*BK270)</f>
        <v>0.18803265</v>
      </c>
      <c r="BP270" s="21">
        <f t="shared" ref="BP270" si="201">1-BM270-BO270-BQ270</f>
        <v>0.2649738</v>
      </c>
      <c r="BQ270" s="21">
        <f>IF(VLOOKUP($R270,武学奇术!$A:$ZZ,22,FALSE)=1,0,(1-$BJ270))*(1-$BM270)</f>
        <v>0.09749355</v>
      </c>
      <c r="BR270" s="21" cm="1">
        <f t="array" ref="BR270">SUM(_xlfn.XLOOKUP(S270:AG270,增益!$A:$A,增益!$W:$W,0))+$I$5</f>
        <v>0.06</v>
      </c>
    </row>
    <row r="271" spans="11:70">
      <c r="K271" s="24">
        <f>$L271*VLOOKUP($R271,武学奇术!$A:$ZZ,31,FALSE)</f>
        <v>5210.44494454043</v>
      </c>
      <c r="L271" s="24">
        <f t="shared" si="85"/>
        <v>8684.07490756739</v>
      </c>
      <c r="M271" s="24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7113.33009039509</v>
      </c>
      <c r="N271" s="24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13083.6728800913</v>
      </c>
      <c r="O271" s="24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4742.22006026339</v>
      </c>
      <c r="P271" s="24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2142.31168052045</v>
      </c>
      <c r="Q271" s="31">
        <v>1</v>
      </c>
      <c r="R271" s="32" t="s">
        <v>198</v>
      </c>
      <c r="S271" s="32" t="s">
        <v>87</v>
      </c>
      <c r="T271" s="32" t="s">
        <v>96</v>
      </c>
      <c r="U271" s="32" t="s">
        <v>97</v>
      </c>
      <c r="V271" s="32" t="s">
        <v>73</v>
      </c>
      <c r="W271" s="32" t="s">
        <v>111</v>
      </c>
      <c r="X271" s="32" t="s">
        <v>127</v>
      </c>
      <c r="Y271" s="32" t="s">
        <v>73</v>
      </c>
      <c r="Z271" s="32" t="s">
        <v>73</v>
      </c>
      <c r="AA271" s="32" t="s">
        <v>73</v>
      </c>
      <c r="AB271" s="32" t="s">
        <v>75</v>
      </c>
      <c r="AC271" s="32" t="s">
        <v>76</v>
      </c>
      <c r="AD271" s="32" t="s">
        <v>82</v>
      </c>
      <c r="AE271" s="32" t="s">
        <v>73</v>
      </c>
      <c r="AF271" s="32" t="s">
        <v>73</v>
      </c>
      <c r="AG271" s="32" t="s">
        <v>178</v>
      </c>
      <c r="AH271" t="str">
        <f>VLOOKUP($R271,武学奇术!$A:$ZZ,25,FALSE)</f>
        <v>剑</v>
      </c>
      <c r="AI271" s="21">
        <f>VLOOKUP($R271,武学奇术!$A:$ZZ,26,FALSE)</f>
        <v>0.17325</v>
      </c>
      <c r="AJ271" s="22">
        <f>VLOOKUP($R271,武学奇术!$A:$ZZ,27,FALSE)*(1+IF(OR($AH271=$F$4,$AH271=$F$5),$B$22,0))</f>
        <v>0</v>
      </c>
      <c r="AK271" s="21">
        <f>VLOOKUP($R271,武学奇术!$A:$ZZ,28,FALSE)</f>
        <v>0.259875</v>
      </c>
      <c r="AL271" s="22">
        <f>VLOOKUP($R271,武学奇术!$A:$ZZ,29,FALSE)*(1+IF(OR($AH271=$F$4,$AH271=$F$5),$B$22,0))</f>
        <v>0</v>
      </c>
      <c r="AM271" s="21" cm="1">
        <f t="array" ref="AM271">$G$3+IFERROR(VLOOKUP($AH271,$F$4:$G$7,2,FALSE),0)+VLOOKUP($R271,武学奇术!$A:$ZZ,2,FALSE)+SUM(_xlfn.XLOOKUP($S271:$AG271,增益!$A:$A,增益!$B:$B,0))</f>
        <v>1.3191</v>
      </c>
      <c r="AN271" s="21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1862.48</v>
      </c>
      <c r="AP271" cm="1">
        <f t="array" ref="AP271">$E$10*(1+$AN271)+VLOOKUP($R271,武学奇术!$A:$ZZ,4,FALSE)+SUM(_xlfn.XLOOKUP($S271:$AG271,增益!$A:$A,增益!$D:$D,0))-$I$2</f>
        <v>7794.56</v>
      </c>
      <c r="AQ271" s="26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0.369</v>
      </c>
      <c r="AR271" s="26" cm="1">
        <f t="array" ref="AR271">$G$10+VLOOKUP($R271,武学奇术!$A:$ZZ,7,FALSE)+SUM(_xlfn.XLOOKUP(S271:AG271,增益!$A:$A,增益!$G:$G,0))</f>
        <v>0</v>
      </c>
      <c r="AS271" s="21" cm="1">
        <f t="array" ref="AS271">VLOOKUP($R271,武学奇术!$A:$ZZ,8,FALSE)+SUM(_xlfn.XLOOKUP(S271:AG271,增益!$A:$A,增益!$H:$H,0))</f>
        <v>0</v>
      </c>
      <c r="AT271">
        <f t="shared" si="86"/>
        <v>680.02</v>
      </c>
      <c r="AU271">
        <f t="shared" si="87"/>
        <v>1288.54</v>
      </c>
      <c r="AV271" s="26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0.075</v>
      </c>
      <c r="AW271" s="26" cm="1">
        <f t="array" ref="AW271">$G$11+VLOOKUP($R271,武学奇术!$A:$ZZ,10,FALSE)+SUM(_xlfn.XLOOKUP(S271:AG271,增益!$A:$A,增益!$J:$J,0))</f>
        <v>0.15</v>
      </c>
      <c r="AX271">
        <f t="shared" si="88"/>
        <v>0</v>
      </c>
      <c r="AY271">
        <f t="shared" si="89"/>
        <v>0</v>
      </c>
      <c r="AZ271" s="26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26" cm="1">
        <f t="array" ref="BA271">$G$12+VLOOKUP($R271,武学奇术!$A:$ZZ,12,FALSE)+SUM(_xlfn.XLOOKUP(S271:AG271,增益!$A:$A,增益!$L:$L,0))</f>
        <v>0</v>
      </c>
      <c r="BB271">
        <f t="shared" si="90"/>
        <v>0</v>
      </c>
      <c r="BC271">
        <f t="shared" si="91"/>
        <v>0</v>
      </c>
      <c r="BD271" s="26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26" cm="1">
        <f t="array" ref="BE271">$G$13+VLOOKUP($R271,武学奇术!$A:$ZZ,14,FALSE)+SUM(_xlfn.XLOOKUP(S271:AG271,增益!$A:$A,增益!$N:$N,0))</f>
        <v>0</v>
      </c>
      <c r="BF271">
        <f t="shared" si="92"/>
        <v>0</v>
      </c>
      <c r="BG271">
        <f t="shared" si="93"/>
        <v>0</v>
      </c>
      <c r="BH271" s="26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26" cm="1">
        <f t="array" ref="BI271">$G$14+VLOOKUP($R271,武学奇术!$A:$ZZ,16,FALSE)+SUM(_xlfn.XLOOKUP(S271:AG271,增益!$A:$A,增益!$P:$P,0))</f>
        <v>0</v>
      </c>
      <c r="BJ271" s="21">
        <f>MIN(IF(VLOOKUP($R271,武学奇术!$A:$ZZ,23,FALSE)=1,100%,$B$8),100%)</f>
        <v>0.8229</v>
      </c>
      <c r="BK271" s="21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0.2285</v>
      </c>
      <c r="BL271" s="21" cm="1">
        <f t="array" ref="BL271">1+$B$13+VLOOKUP($R271,武学奇术!$A:$ZZ,18,FALSE)+SUM(_xlfn.XLOOKUP(S271:AG271,增益!$A:$A,增益!$R:$R,0))</f>
        <v>1.5</v>
      </c>
      <c r="BM271" s="21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0.4495</v>
      </c>
      <c r="BN271" s="21" cm="1">
        <f t="array" ref="BN271">1+$B$14+VLOOKUP($R271,武学奇术!$A:$ZZ,20,FALSE)+SUM(_xlfn.XLOOKUP(S271:AG271,增益!$A:$A,增益!$T:$T,0))</f>
        <v>1.782</v>
      </c>
      <c r="BO271" s="21">
        <f t="shared" ref="BO271" si="202">MIN((1-BM271)*BJ271,BJ271*BK271)</f>
        <v>0.18803265</v>
      </c>
      <c r="BP271" s="21">
        <f t="shared" ref="BP271" si="203">1-BM271-BO271-BQ271</f>
        <v>0.2649738</v>
      </c>
      <c r="BQ271" s="21">
        <f>IF(VLOOKUP($R271,武学奇术!$A:$ZZ,22,FALSE)=1,0,(1-$BJ271))*(1-$BM271)</f>
        <v>0.09749355</v>
      </c>
      <c r="BR271" s="21" cm="1">
        <f t="array" ref="BR271">SUM(_xlfn.XLOOKUP(S271:AG271,增益!$A:$A,增益!$W:$W,0))+$I$5</f>
        <v>0.06</v>
      </c>
    </row>
    <row r="272" spans="11:70">
      <c r="K272" s="24">
        <f>$L272*VLOOKUP($R272,武学奇术!$A:$ZZ,31,FALSE)</f>
        <v>10420.8898890809</v>
      </c>
      <c r="L272" s="24">
        <f t="shared" si="85"/>
        <v>17368.1498151348</v>
      </c>
      <c r="M272" s="24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14226.6601807902</v>
      </c>
      <c r="N272" s="24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26167.3457601826</v>
      </c>
      <c r="O272" s="24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9484.44012052679</v>
      </c>
      <c r="P272" s="24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4284.6233610409</v>
      </c>
      <c r="Q272" s="31">
        <v>1</v>
      </c>
      <c r="R272" s="32" t="s">
        <v>199</v>
      </c>
      <c r="S272" s="32" t="s">
        <v>87</v>
      </c>
      <c r="T272" s="32" t="s">
        <v>96</v>
      </c>
      <c r="U272" s="32" t="s">
        <v>97</v>
      </c>
      <c r="V272" s="32" t="s">
        <v>73</v>
      </c>
      <c r="W272" s="32" t="s">
        <v>111</v>
      </c>
      <c r="X272" s="32" t="s">
        <v>127</v>
      </c>
      <c r="Y272" s="32" t="s">
        <v>73</v>
      </c>
      <c r="Z272" s="32" t="s">
        <v>73</v>
      </c>
      <c r="AA272" s="32" t="s">
        <v>73</v>
      </c>
      <c r="AB272" s="32" t="s">
        <v>75</v>
      </c>
      <c r="AC272" s="32" t="s">
        <v>89</v>
      </c>
      <c r="AD272" s="32" t="s">
        <v>82</v>
      </c>
      <c r="AE272" s="32" t="s">
        <v>73</v>
      </c>
      <c r="AF272" s="32" t="s">
        <v>73</v>
      </c>
      <c r="AG272" s="32" t="s">
        <v>178</v>
      </c>
      <c r="AH272" t="str">
        <f>VLOOKUP($R272,武学奇术!$A:$ZZ,25,FALSE)</f>
        <v>剑</v>
      </c>
      <c r="AI272" s="21">
        <f>VLOOKUP($R272,武学奇术!$A:$ZZ,26,FALSE)</f>
        <v>0.3465</v>
      </c>
      <c r="AJ272" s="22">
        <f>VLOOKUP($R272,武学奇术!$A:$ZZ,27,FALSE)*(1+IF(OR($AH272=$F$4,$AH272=$F$5),$B$22,0))</f>
        <v>0</v>
      </c>
      <c r="AK272" s="21">
        <f>VLOOKUP($R272,武学奇术!$A:$ZZ,28,FALSE)</f>
        <v>0.51975</v>
      </c>
      <c r="AL272" s="22">
        <f>VLOOKUP($R272,武学奇术!$A:$ZZ,29,FALSE)*(1+IF(OR($AH272=$F$4,$AH272=$F$5),$B$22,0))</f>
        <v>0</v>
      </c>
      <c r="AM272" s="21" cm="1">
        <f t="array" ref="AM272">$G$3+IFERROR(VLOOKUP($AH272,$F$4:$G$7,2,FALSE),0)+VLOOKUP($R272,武学奇术!$A:$ZZ,2,FALSE)+SUM(_xlfn.XLOOKUP($S272:$AG272,增益!$A:$A,增益!$B:$B,0))</f>
        <v>1.3191</v>
      </c>
      <c r="AN272" s="21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1862.48</v>
      </c>
      <c r="AP272" cm="1">
        <f t="array" ref="AP272">$E$10*(1+$AN272)+VLOOKUP($R272,武学奇术!$A:$ZZ,4,FALSE)+SUM(_xlfn.XLOOKUP($S272:$AG272,增益!$A:$A,增益!$D:$D,0))-$I$2</f>
        <v>7794.56</v>
      </c>
      <c r="AQ272" s="26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0.369</v>
      </c>
      <c r="AR272" s="26" cm="1">
        <f t="array" ref="AR272">$G$10+VLOOKUP($R272,武学奇术!$A:$ZZ,7,FALSE)+SUM(_xlfn.XLOOKUP(S272:AG272,增益!$A:$A,增益!$G:$G,0))</f>
        <v>0</v>
      </c>
      <c r="AS272" s="21" cm="1">
        <f t="array" ref="AS272">VLOOKUP($R272,武学奇术!$A:$ZZ,8,FALSE)+SUM(_xlfn.XLOOKUP(S272:AG272,增益!$A:$A,增益!$H:$H,0))</f>
        <v>0</v>
      </c>
      <c r="AT272">
        <f t="shared" si="86"/>
        <v>680.02</v>
      </c>
      <c r="AU272">
        <f t="shared" si="87"/>
        <v>1288.54</v>
      </c>
      <c r="AV272" s="26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0.075</v>
      </c>
      <c r="AW272" s="26" cm="1">
        <f t="array" ref="AW272">$G$11+VLOOKUP($R272,武学奇术!$A:$ZZ,10,FALSE)+SUM(_xlfn.XLOOKUP(S272:AG272,增益!$A:$A,增益!$J:$J,0))</f>
        <v>0.15</v>
      </c>
      <c r="AX272">
        <f t="shared" si="88"/>
        <v>0</v>
      </c>
      <c r="AY272">
        <f t="shared" si="89"/>
        <v>0</v>
      </c>
      <c r="AZ272" s="26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26" cm="1">
        <f t="array" ref="BA272">$G$12+VLOOKUP($R272,武学奇术!$A:$ZZ,12,FALSE)+SUM(_xlfn.XLOOKUP(S272:AG272,增益!$A:$A,增益!$L:$L,0))</f>
        <v>0</v>
      </c>
      <c r="BB272">
        <f t="shared" si="90"/>
        <v>0</v>
      </c>
      <c r="BC272">
        <f t="shared" si="91"/>
        <v>0</v>
      </c>
      <c r="BD272" s="26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26" cm="1">
        <f t="array" ref="BE272">$G$13+VLOOKUP($R272,武学奇术!$A:$ZZ,14,FALSE)+SUM(_xlfn.XLOOKUP(S272:AG272,增益!$A:$A,增益!$N:$N,0))</f>
        <v>0</v>
      </c>
      <c r="BF272">
        <f t="shared" si="92"/>
        <v>0</v>
      </c>
      <c r="BG272">
        <f t="shared" si="93"/>
        <v>0</v>
      </c>
      <c r="BH272" s="26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26" cm="1">
        <f t="array" ref="BI272">$G$14+VLOOKUP($R272,武学奇术!$A:$ZZ,16,FALSE)+SUM(_xlfn.XLOOKUP(S272:AG272,增益!$A:$A,增益!$P:$P,0))</f>
        <v>0</v>
      </c>
      <c r="BJ272" s="21">
        <f>MIN(IF(VLOOKUP($R272,武学奇术!$A:$ZZ,23,FALSE)=1,100%,$B$8),100%)</f>
        <v>0.8229</v>
      </c>
      <c r="BK272" s="21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0.2285</v>
      </c>
      <c r="BL272" s="21" cm="1">
        <f t="array" ref="BL272">1+$B$13+VLOOKUP($R272,武学奇术!$A:$ZZ,18,FALSE)+SUM(_xlfn.XLOOKUP(S272:AG272,增益!$A:$A,增益!$R:$R,0))</f>
        <v>1.5</v>
      </c>
      <c r="BM272" s="21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0.4495</v>
      </c>
      <c r="BN272" s="21" cm="1">
        <f t="array" ref="BN272">1+$B$14+VLOOKUP($R272,武学奇术!$A:$ZZ,20,FALSE)+SUM(_xlfn.XLOOKUP(S272:AG272,增益!$A:$A,增益!$T:$T,0))</f>
        <v>1.782</v>
      </c>
      <c r="BO272" s="21">
        <f t="shared" ref="BO272" si="204">MIN((1-BM272)*BJ272,BJ272*BK272)</f>
        <v>0.18803265</v>
      </c>
      <c r="BP272" s="21">
        <f t="shared" ref="BP272" si="205">1-BM272-BO272-BQ272</f>
        <v>0.2649738</v>
      </c>
      <c r="BQ272" s="21">
        <f>IF(VLOOKUP($R272,武学奇术!$A:$ZZ,22,FALSE)=1,0,(1-$BJ272))*(1-$BM272)</f>
        <v>0.09749355</v>
      </c>
      <c r="BR272" s="21" cm="1">
        <f t="array" ref="BR272">SUM(_xlfn.XLOOKUP(S272:AG272,增益!$A:$A,增益!$W:$W,0))+$I$5</f>
        <v>0.06</v>
      </c>
    </row>
    <row r="273" spans="11:70">
      <c r="K273" s="24">
        <f>$L273*VLOOKUP($R273,武学奇术!$A:$ZZ,31,FALSE)</f>
        <v>11499.3313419632</v>
      </c>
      <c r="L273" s="24">
        <f t="shared" si="85"/>
        <v>19165.5522366053</v>
      </c>
      <c r="M273" s="24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15698.9547965418</v>
      </c>
      <c r="N273" s="24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28875.3630869231</v>
      </c>
      <c r="O273" s="24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10465.9698643612</v>
      </c>
      <c r="P273" s="24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4728.03227253666</v>
      </c>
      <c r="Q273" s="31">
        <v>1</v>
      </c>
      <c r="R273" s="32" t="s">
        <v>199</v>
      </c>
      <c r="S273" s="32" t="s">
        <v>87</v>
      </c>
      <c r="T273" s="32" t="s">
        <v>96</v>
      </c>
      <c r="U273" s="32" t="s">
        <v>97</v>
      </c>
      <c r="V273" s="32" t="s">
        <v>73</v>
      </c>
      <c r="W273" s="32" t="s">
        <v>111</v>
      </c>
      <c r="X273" s="32" t="s">
        <v>127</v>
      </c>
      <c r="Y273" s="32" t="s">
        <v>73</v>
      </c>
      <c r="Z273" s="32" t="s">
        <v>73</v>
      </c>
      <c r="AA273" s="32" t="s">
        <v>73</v>
      </c>
      <c r="AB273" s="32" t="s">
        <v>75</v>
      </c>
      <c r="AC273" s="32" t="s">
        <v>89</v>
      </c>
      <c r="AD273" s="32" t="s">
        <v>82</v>
      </c>
      <c r="AE273" s="32" t="s">
        <v>90</v>
      </c>
      <c r="AF273" s="32" t="s">
        <v>73</v>
      </c>
      <c r="AG273" s="32" t="s">
        <v>178</v>
      </c>
      <c r="AH273" t="str">
        <f>VLOOKUP($R273,武学奇术!$A:$ZZ,25,FALSE)</f>
        <v>剑</v>
      </c>
      <c r="AI273" s="21">
        <f>VLOOKUP($R273,武学奇术!$A:$ZZ,26,FALSE)</f>
        <v>0.3465</v>
      </c>
      <c r="AJ273" s="22">
        <f>VLOOKUP($R273,武学奇术!$A:$ZZ,27,FALSE)*(1+IF(OR($AH273=$F$4,$AH273=$F$5),$B$22,0))</f>
        <v>0</v>
      </c>
      <c r="AK273" s="21">
        <f>VLOOKUP($R273,武学奇术!$A:$ZZ,28,FALSE)</f>
        <v>0.51975</v>
      </c>
      <c r="AL273" s="22">
        <f>VLOOKUP($R273,武学奇术!$A:$ZZ,29,FALSE)*(1+IF(OR($AH273=$F$4,$AH273=$F$5),$B$22,0))</f>
        <v>0</v>
      </c>
      <c r="AM273" s="21" cm="1">
        <f t="array" ref="AM273">$G$3+IFERROR(VLOOKUP($AH273,$F$4:$G$7,2,FALSE),0)+VLOOKUP($R273,武学奇术!$A:$ZZ,2,FALSE)+SUM(_xlfn.XLOOKUP($S273:$AG273,增益!$A:$A,增益!$B:$B,0))</f>
        <v>1.5591</v>
      </c>
      <c r="AN273" s="21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1862.48</v>
      </c>
      <c r="AP273" cm="1">
        <f t="array" ref="AP273">$E$10*(1+$AN273)+VLOOKUP($R273,武学奇术!$A:$ZZ,4,FALSE)+SUM(_xlfn.XLOOKUP($S273:$AG273,增益!$A:$A,增益!$D:$D,0))-$I$2</f>
        <v>7794.56</v>
      </c>
      <c r="AQ273" s="26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0.369</v>
      </c>
      <c r="AR273" s="26" cm="1">
        <f t="array" ref="AR273">$G$10+VLOOKUP($R273,武学奇术!$A:$ZZ,7,FALSE)+SUM(_xlfn.XLOOKUP(S273:AG273,增益!$A:$A,增益!$G:$G,0))</f>
        <v>0</v>
      </c>
      <c r="AS273" s="21" cm="1">
        <f t="array" ref="AS273">VLOOKUP($R273,武学奇术!$A:$ZZ,8,FALSE)+SUM(_xlfn.XLOOKUP(S273:AG273,增益!$A:$A,增益!$H:$H,0))</f>
        <v>0</v>
      </c>
      <c r="AT273">
        <f t="shared" si="86"/>
        <v>680.02</v>
      </c>
      <c r="AU273">
        <f t="shared" si="87"/>
        <v>1288.54</v>
      </c>
      <c r="AV273" s="26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0.075</v>
      </c>
      <c r="AW273" s="26" cm="1">
        <f t="array" ref="AW273">$G$11+VLOOKUP($R273,武学奇术!$A:$ZZ,10,FALSE)+SUM(_xlfn.XLOOKUP(S273:AG273,增益!$A:$A,增益!$J:$J,0))</f>
        <v>0.15</v>
      </c>
      <c r="AX273">
        <f t="shared" si="88"/>
        <v>0</v>
      </c>
      <c r="AY273">
        <f t="shared" si="89"/>
        <v>0</v>
      </c>
      <c r="AZ273" s="26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26" cm="1">
        <f t="array" ref="BA273">$G$12+VLOOKUP($R273,武学奇术!$A:$ZZ,12,FALSE)+SUM(_xlfn.XLOOKUP(S273:AG273,增益!$A:$A,增益!$L:$L,0))</f>
        <v>0</v>
      </c>
      <c r="BB273">
        <f t="shared" si="90"/>
        <v>0</v>
      </c>
      <c r="BC273">
        <f t="shared" si="91"/>
        <v>0</v>
      </c>
      <c r="BD273" s="26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26" cm="1">
        <f t="array" ref="BE273">$G$13+VLOOKUP($R273,武学奇术!$A:$ZZ,14,FALSE)+SUM(_xlfn.XLOOKUP(S273:AG273,增益!$A:$A,增益!$N:$N,0))</f>
        <v>0</v>
      </c>
      <c r="BF273">
        <f t="shared" si="92"/>
        <v>0</v>
      </c>
      <c r="BG273">
        <f t="shared" si="93"/>
        <v>0</v>
      </c>
      <c r="BH273" s="26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26" cm="1">
        <f t="array" ref="BI273">$G$14+VLOOKUP($R273,武学奇术!$A:$ZZ,16,FALSE)+SUM(_xlfn.XLOOKUP(S273:AG273,增益!$A:$A,增益!$P:$P,0))</f>
        <v>0</v>
      </c>
      <c r="BJ273" s="21">
        <f>MIN(IF(VLOOKUP($R273,武学奇术!$A:$ZZ,23,FALSE)=1,100%,$B$8),100%)</f>
        <v>0.8229</v>
      </c>
      <c r="BK273" s="21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0.2285</v>
      </c>
      <c r="BL273" s="21" cm="1">
        <f t="array" ref="BL273">1+$B$13+VLOOKUP($R273,武学奇术!$A:$ZZ,18,FALSE)+SUM(_xlfn.XLOOKUP(S273:AG273,增益!$A:$A,增益!$R:$R,0))</f>
        <v>1.5</v>
      </c>
      <c r="BM273" s="21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0.4495</v>
      </c>
      <c r="BN273" s="21" cm="1">
        <f t="array" ref="BN273">1+$B$14+VLOOKUP($R273,武学奇术!$A:$ZZ,20,FALSE)+SUM(_xlfn.XLOOKUP(S273:AG273,增益!$A:$A,增益!$T:$T,0))</f>
        <v>1.782</v>
      </c>
      <c r="BO273" s="21">
        <f t="shared" ref="BO273" si="206">MIN((1-BM273)*BJ273,BJ273*BK273)</f>
        <v>0.18803265</v>
      </c>
      <c r="BP273" s="21">
        <f t="shared" ref="BP273" si="207">1-BM273-BO273-BQ273</f>
        <v>0.2649738</v>
      </c>
      <c r="BQ273" s="21">
        <f>IF(VLOOKUP($R273,武学奇术!$A:$ZZ,22,FALSE)=1,0,(1-$BJ273))*(1-$BM273)</f>
        <v>0.09749355</v>
      </c>
      <c r="BR273" s="21" cm="1">
        <f t="array" ref="BR273">SUM(_xlfn.XLOOKUP(S273:AG273,增益!$A:$A,增益!$W:$W,0))+$I$5</f>
        <v>0.06</v>
      </c>
    </row>
    <row r="274" spans="11:70">
      <c r="K274" s="24">
        <f>$L274*VLOOKUP($R274,武学奇术!$A:$ZZ,31,FALSE)</f>
        <v>11499.3313419632</v>
      </c>
      <c r="L274" s="24">
        <f t="shared" si="85"/>
        <v>19165.5522366053</v>
      </c>
      <c r="M274" s="24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15698.9547965418</v>
      </c>
      <c r="N274" s="24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28875.3630869231</v>
      </c>
      <c r="O274" s="24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10465.9698643612</v>
      </c>
      <c r="P274" s="24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4728.03227253666</v>
      </c>
      <c r="Q274" s="31">
        <v>1</v>
      </c>
      <c r="R274" s="32" t="s">
        <v>199</v>
      </c>
      <c r="S274" s="32" t="s">
        <v>87</v>
      </c>
      <c r="T274" s="32" t="s">
        <v>96</v>
      </c>
      <c r="U274" s="32" t="s">
        <v>97</v>
      </c>
      <c r="V274" s="32" t="s">
        <v>73</v>
      </c>
      <c r="W274" s="32" t="s">
        <v>111</v>
      </c>
      <c r="X274" s="32" t="s">
        <v>127</v>
      </c>
      <c r="Y274" s="32" t="s">
        <v>73</v>
      </c>
      <c r="Z274" s="32" t="s">
        <v>73</v>
      </c>
      <c r="AA274" s="32" t="s">
        <v>81</v>
      </c>
      <c r="AB274" s="32" t="s">
        <v>75</v>
      </c>
      <c r="AC274" s="32" t="s">
        <v>89</v>
      </c>
      <c r="AD274" s="32" t="s">
        <v>82</v>
      </c>
      <c r="AE274" s="32" t="s">
        <v>90</v>
      </c>
      <c r="AF274" s="32" t="s">
        <v>73</v>
      </c>
      <c r="AG274" s="32" t="s">
        <v>178</v>
      </c>
      <c r="AH274" t="str">
        <f>VLOOKUP($R274,武学奇术!$A:$ZZ,25,FALSE)</f>
        <v>剑</v>
      </c>
      <c r="AI274" s="21">
        <f>VLOOKUP($R274,武学奇术!$A:$ZZ,26,FALSE)</f>
        <v>0.3465</v>
      </c>
      <c r="AJ274" s="22">
        <f>VLOOKUP($R274,武学奇术!$A:$ZZ,27,FALSE)*(1+IF(OR($AH274=$F$4,$AH274=$F$5),$B$22,0))</f>
        <v>0</v>
      </c>
      <c r="AK274" s="21">
        <f>VLOOKUP($R274,武学奇术!$A:$ZZ,28,FALSE)</f>
        <v>0.51975</v>
      </c>
      <c r="AL274" s="22">
        <f>VLOOKUP($R274,武学奇术!$A:$ZZ,29,FALSE)*(1+IF(OR($AH274=$F$4,$AH274=$F$5),$B$22,0))</f>
        <v>0</v>
      </c>
      <c r="AM274" s="21" cm="1">
        <f t="array" ref="AM274">$G$3+IFERROR(VLOOKUP($AH274,$F$4:$G$7,2,FALSE),0)+VLOOKUP($R274,武学奇术!$A:$ZZ,2,FALSE)+SUM(_xlfn.XLOOKUP($S274:$AG274,增益!$A:$A,增益!$B:$B,0))</f>
        <v>1.5591</v>
      </c>
      <c r="AN274" s="21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1862.48</v>
      </c>
      <c r="AP274" cm="1">
        <f t="array" ref="AP274">$E$10*(1+$AN274)+VLOOKUP($R274,武学奇术!$A:$ZZ,4,FALSE)+SUM(_xlfn.XLOOKUP($S274:$AG274,增益!$A:$A,增益!$D:$D,0))-$I$2</f>
        <v>7794.56</v>
      </c>
      <c r="AQ274" s="26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0.369</v>
      </c>
      <c r="AR274" s="26" cm="1">
        <f t="array" ref="AR274">$G$10+VLOOKUP($R274,武学奇术!$A:$ZZ,7,FALSE)+SUM(_xlfn.XLOOKUP(S274:AG274,增益!$A:$A,增益!$G:$G,0))</f>
        <v>0</v>
      </c>
      <c r="AS274" s="21" cm="1">
        <f t="array" ref="AS274">VLOOKUP($R274,武学奇术!$A:$ZZ,8,FALSE)+SUM(_xlfn.XLOOKUP(S274:AG274,增益!$A:$A,增益!$H:$H,0))</f>
        <v>0</v>
      </c>
      <c r="AT274">
        <f t="shared" si="86"/>
        <v>680.02</v>
      </c>
      <c r="AU274">
        <f t="shared" si="87"/>
        <v>1288.54</v>
      </c>
      <c r="AV274" s="26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0.075</v>
      </c>
      <c r="AW274" s="26" cm="1">
        <f t="array" ref="AW274">$G$11+VLOOKUP($R274,武学奇术!$A:$ZZ,10,FALSE)+SUM(_xlfn.XLOOKUP(S274:AG274,增益!$A:$A,增益!$J:$J,0))</f>
        <v>0.15</v>
      </c>
      <c r="AX274">
        <f t="shared" si="88"/>
        <v>0</v>
      </c>
      <c r="AY274">
        <f t="shared" si="89"/>
        <v>0</v>
      </c>
      <c r="AZ274" s="26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26" cm="1">
        <f t="array" ref="BA274">$G$12+VLOOKUP($R274,武学奇术!$A:$ZZ,12,FALSE)+SUM(_xlfn.XLOOKUP(S274:AG274,增益!$A:$A,增益!$L:$L,0))</f>
        <v>0</v>
      </c>
      <c r="BB274">
        <f t="shared" si="90"/>
        <v>0</v>
      </c>
      <c r="BC274">
        <f t="shared" si="91"/>
        <v>0</v>
      </c>
      <c r="BD274" s="26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26" cm="1">
        <f t="array" ref="BE274">$G$13+VLOOKUP($R274,武学奇术!$A:$ZZ,14,FALSE)+SUM(_xlfn.XLOOKUP(S274:AG274,增益!$A:$A,增益!$N:$N,0))</f>
        <v>0</v>
      </c>
      <c r="BF274">
        <f t="shared" si="92"/>
        <v>0</v>
      </c>
      <c r="BG274">
        <f t="shared" si="93"/>
        <v>0</v>
      </c>
      <c r="BH274" s="26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26" cm="1">
        <f t="array" ref="BI274">$G$14+VLOOKUP($R274,武学奇术!$A:$ZZ,16,FALSE)+SUM(_xlfn.XLOOKUP(S274:AG274,增益!$A:$A,增益!$P:$P,0))</f>
        <v>0</v>
      </c>
      <c r="BJ274" s="21">
        <f>MIN(IF(VLOOKUP($R274,武学奇术!$A:$ZZ,23,FALSE)=1,100%,$B$8),100%)</f>
        <v>0.8229</v>
      </c>
      <c r="BK274" s="21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0.2285</v>
      </c>
      <c r="BL274" s="21" cm="1">
        <f t="array" ref="BL274">1+$B$13+VLOOKUP($R274,武学奇术!$A:$ZZ,18,FALSE)+SUM(_xlfn.XLOOKUP(S274:AG274,增益!$A:$A,增益!$R:$R,0))</f>
        <v>1.5</v>
      </c>
      <c r="BM274" s="21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0.4495</v>
      </c>
      <c r="BN274" s="21" cm="1">
        <f t="array" ref="BN274">1+$B$14+VLOOKUP($R274,武学奇术!$A:$ZZ,20,FALSE)+SUM(_xlfn.XLOOKUP(S274:AG274,增益!$A:$A,增益!$T:$T,0))</f>
        <v>1.782</v>
      </c>
      <c r="BO274" s="21">
        <f t="shared" ref="BO274" si="208">MIN((1-BM274)*BJ274,BJ274*BK274)</f>
        <v>0.18803265</v>
      </c>
      <c r="BP274" s="21">
        <f t="shared" ref="BP274" si="209">1-BM274-BO274-BQ274</f>
        <v>0.2649738</v>
      </c>
      <c r="BQ274" s="21">
        <f>IF(VLOOKUP($R274,武学奇术!$A:$ZZ,22,FALSE)=1,0,(1-$BJ274))*(1-$BM274)</f>
        <v>0.09749355</v>
      </c>
      <c r="BR274" s="21" cm="1">
        <f t="array" ref="BR274">SUM(_xlfn.XLOOKUP(S274:AG274,增益!$A:$A,增益!$W:$W,0))+$I$5</f>
        <v>0.06</v>
      </c>
    </row>
    <row r="275" spans="11:70">
      <c r="K275" s="24">
        <f>$L275*VLOOKUP($R275,武学奇术!$A:$ZZ,31,FALSE)</f>
        <v>11499.3313419632</v>
      </c>
      <c r="L275" s="24">
        <f t="shared" ref="L275:L298" si="210">($M275*$BO275+$N275*$BM275+$O275*$BP275+$P275*$BQ275)</f>
        <v>19165.5522366053</v>
      </c>
      <c r="M275" s="24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15698.9547965418</v>
      </c>
      <c r="N275" s="24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28875.3630869231</v>
      </c>
      <c r="O275" s="24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10465.9698643612</v>
      </c>
      <c r="P275" s="24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4728.03227253666</v>
      </c>
      <c r="Q275" s="31">
        <v>1</v>
      </c>
      <c r="R275" s="32" t="s">
        <v>199</v>
      </c>
      <c r="S275" s="32" t="s">
        <v>87</v>
      </c>
      <c r="T275" s="32" t="s">
        <v>96</v>
      </c>
      <c r="U275" s="32" t="s">
        <v>97</v>
      </c>
      <c r="V275" s="32" t="s">
        <v>73</v>
      </c>
      <c r="W275" s="32" t="s">
        <v>111</v>
      </c>
      <c r="X275" s="32" t="s">
        <v>127</v>
      </c>
      <c r="Y275" s="32" t="s">
        <v>73</v>
      </c>
      <c r="Z275" s="32" t="s">
        <v>73</v>
      </c>
      <c r="AA275" s="32" t="s">
        <v>81</v>
      </c>
      <c r="AB275" s="32" t="s">
        <v>75</v>
      </c>
      <c r="AC275" s="32" t="s">
        <v>89</v>
      </c>
      <c r="AD275" s="32" t="s">
        <v>82</v>
      </c>
      <c r="AE275" s="32" t="s">
        <v>90</v>
      </c>
      <c r="AF275" s="32" t="s">
        <v>73</v>
      </c>
      <c r="AG275" s="32" t="s">
        <v>178</v>
      </c>
      <c r="AH275" t="str">
        <f>VLOOKUP($R275,武学奇术!$A:$ZZ,25,FALSE)</f>
        <v>剑</v>
      </c>
      <c r="AI275" s="21">
        <f>VLOOKUP($R275,武学奇术!$A:$ZZ,26,FALSE)</f>
        <v>0.3465</v>
      </c>
      <c r="AJ275" s="22">
        <f>VLOOKUP($R275,武学奇术!$A:$ZZ,27,FALSE)*(1+IF(OR($AH275=$F$4,$AH275=$F$5),$B$22,0))</f>
        <v>0</v>
      </c>
      <c r="AK275" s="21">
        <f>VLOOKUP($R275,武学奇术!$A:$ZZ,28,FALSE)</f>
        <v>0.51975</v>
      </c>
      <c r="AL275" s="22">
        <f>VLOOKUP($R275,武学奇术!$A:$ZZ,29,FALSE)*(1+IF(OR($AH275=$F$4,$AH275=$F$5),$B$22,0))</f>
        <v>0</v>
      </c>
      <c r="AM275" s="21" cm="1">
        <f t="array" ref="AM275">$G$3+IFERROR(VLOOKUP($AH275,$F$4:$G$7,2,FALSE),0)+VLOOKUP($R275,武学奇术!$A:$ZZ,2,FALSE)+SUM(_xlfn.XLOOKUP($S275:$AG275,增益!$A:$A,增益!$B:$B,0))</f>
        <v>1.5591</v>
      </c>
      <c r="AN275" s="21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1862.48</v>
      </c>
      <c r="AP275" cm="1">
        <f t="array" ref="AP275">$E$10*(1+$AN275)+VLOOKUP($R275,武学奇术!$A:$ZZ,4,FALSE)+SUM(_xlfn.XLOOKUP($S275:$AG275,增益!$A:$A,增益!$D:$D,0))-$I$2</f>
        <v>7794.56</v>
      </c>
      <c r="AQ275" s="26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0.369</v>
      </c>
      <c r="AR275" s="26" cm="1">
        <f t="array" ref="AR275">$G$10+VLOOKUP($R275,武学奇术!$A:$ZZ,7,FALSE)+SUM(_xlfn.XLOOKUP(S275:AG275,增益!$A:$A,增益!$G:$G,0))</f>
        <v>0</v>
      </c>
      <c r="AS275" s="21" cm="1">
        <f t="array" ref="AS275">VLOOKUP($R275,武学奇术!$A:$ZZ,8,FALSE)+SUM(_xlfn.XLOOKUP(S275:AG275,增益!$A:$A,增益!$H:$H,0))</f>
        <v>0</v>
      </c>
      <c r="AT275">
        <f t="shared" ref="AT275:AT298" si="211">$D$11*(1+$AS275)</f>
        <v>680.02</v>
      </c>
      <c r="AU275">
        <f t="shared" ref="AU275:AU298" si="212">$E$11*(1+$AS275)</f>
        <v>1288.54</v>
      </c>
      <c r="AV275" s="26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0.075</v>
      </c>
      <c r="AW275" s="26" cm="1">
        <f t="array" ref="AW275">$G$11+VLOOKUP($R275,武学奇术!$A:$ZZ,10,FALSE)+SUM(_xlfn.XLOOKUP(S275:AG275,增益!$A:$A,增益!$J:$J,0))</f>
        <v>0.15</v>
      </c>
      <c r="AX275">
        <f t="shared" ref="AX275:AX298" si="213">$D$12*(1+$AS275)</f>
        <v>0</v>
      </c>
      <c r="AY275">
        <f t="shared" ref="AY275:AY298" si="214">$E$12*(1+$AS275)</f>
        <v>0</v>
      </c>
      <c r="AZ275" s="26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26" cm="1">
        <f t="array" ref="BA275">$G$12+VLOOKUP($R275,武学奇术!$A:$ZZ,12,FALSE)+SUM(_xlfn.XLOOKUP(S275:AG275,增益!$A:$A,增益!$L:$L,0))</f>
        <v>0</v>
      </c>
      <c r="BB275">
        <f t="shared" ref="BB275:BB298" si="215">$D$13*(1+$AS275)</f>
        <v>0</v>
      </c>
      <c r="BC275">
        <f t="shared" ref="BC275:BC298" si="216">$E$13*(1+$AS275)</f>
        <v>0</v>
      </c>
      <c r="BD275" s="26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26" cm="1">
        <f t="array" ref="BE275">$G$13+VLOOKUP($R275,武学奇术!$A:$ZZ,14,FALSE)+SUM(_xlfn.XLOOKUP(S275:AG275,增益!$A:$A,增益!$N:$N,0))</f>
        <v>0</v>
      </c>
      <c r="BF275">
        <f t="shared" ref="BF275:BF298" si="217">$D$14*(1+$AS275)</f>
        <v>0</v>
      </c>
      <c r="BG275">
        <f t="shared" ref="BG275:BG298" si="218">$E$14*(1+$AS275)</f>
        <v>0</v>
      </c>
      <c r="BH275" s="26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26" cm="1">
        <f t="array" ref="BI275">$G$14+VLOOKUP($R275,武学奇术!$A:$ZZ,16,FALSE)+SUM(_xlfn.XLOOKUP(S275:AG275,增益!$A:$A,增益!$P:$P,0))</f>
        <v>0</v>
      </c>
      <c r="BJ275" s="21">
        <f>MIN(IF(VLOOKUP($R275,武学奇术!$A:$ZZ,23,FALSE)=1,100%,$B$8),100%)</f>
        <v>0.8229</v>
      </c>
      <c r="BK275" s="21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0.2285</v>
      </c>
      <c r="BL275" s="21" cm="1">
        <f t="array" ref="BL275">1+$B$13+VLOOKUP($R275,武学奇术!$A:$ZZ,18,FALSE)+SUM(_xlfn.XLOOKUP(S275:AG275,增益!$A:$A,增益!$R:$R,0))</f>
        <v>1.5</v>
      </c>
      <c r="BM275" s="21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0.4495</v>
      </c>
      <c r="BN275" s="21" cm="1">
        <f t="array" ref="BN275">1+$B$14+VLOOKUP($R275,武学奇术!$A:$ZZ,20,FALSE)+SUM(_xlfn.XLOOKUP(S275:AG275,增益!$A:$A,增益!$T:$T,0))</f>
        <v>1.782</v>
      </c>
      <c r="BO275" s="21">
        <f t="shared" ref="BO275:BO293" si="219">MIN((1-BM275)*BJ275,BJ275*BK275)</f>
        <v>0.18803265</v>
      </c>
      <c r="BP275" s="21">
        <f t="shared" ref="BP275:BP293" si="220">1-BM275-BO275-BQ275</f>
        <v>0.2649738</v>
      </c>
      <c r="BQ275" s="21">
        <f>IF(VLOOKUP($R275,武学奇术!$A:$ZZ,22,FALSE)=1,0,(1-$BJ275))*(1-$BM275)</f>
        <v>0.09749355</v>
      </c>
      <c r="BR275" s="21" cm="1">
        <f t="array" ref="BR275">SUM(_xlfn.XLOOKUP(S275:AG275,增益!$A:$A,增益!$W:$W,0))+$I$5</f>
        <v>0.06</v>
      </c>
    </row>
    <row r="276" spans="11:70">
      <c r="K276" s="24">
        <f>$L276*VLOOKUP($R276,武学奇术!$A:$ZZ,31,FALSE)</f>
        <v>11499.3313419632</v>
      </c>
      <c r="L276" s="24">
        <f t="shared" si="210"/>
        <v>19165.5522366053</v>
      </c>
      <c r="M276" s="24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15698.9547965418</v>
      </c>
      <c r="N276" s="24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28875.3630869231</v>
      </c>
      <c r="O276" s="24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10465.9698643612</v>
      </c>
      <c r="P276" s="24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4728.03227253666</v>
      </c>
      <c r="Q276" s="31">
        <v>1</v>
      </c>
      <c r="R276" s="32" t="s">
        <v>199</v>
      </c>
      <c r="S276" s="32" t="s">
        <v>87</v>
      </c>
      <c r="T276" s="32" t="s">
        <v>96</v>
      </c>
      <c r="U276" s="32" t="s">
        <v>97</v>
      </c>
      <c r="V276" s="32" t="s">
        <v>73</v>
      </c>
      <c r="W276" s="32" t="s">
        <v>111</v>
      </c>
      <c r="X276" s="32" t="s">
        <v>127</v>
      </c>
      <c r="Y276" s="32" t="s">
        <v>73</v>
      </c>
      <c r="Z276" s="32" t="s">
        <v>73</v>
      </c>
      <c r="AA276" s="32" t="s">
        <v>81</v>
      </c>
      <c r="AB276" s="32" t="s">
        <v>75</v>
      </c>
      <c r="AC276" s="32" t="s">
        <v>89</v>
      </c>
      <c r="AD276" s="32" t="s">
        <v>82</v>
      </c>
      <c r="AE276" s="32" t="s">
        <v>90</v>
      </c>
      <c r="AF276" s="32" t="s">
        <v>73</v>
      </c>
      <c r="AG276" s="32" t="s">
        <v>178</v>
      </c>
      <c r="AH276" t="str">
        <f>VLOOKUP($R276,武学奇术!$A:$ZZ,25,FALSE)</f>
        <v>剑</v>
      </c>
      <c r="AI276" s="21">
        <f>VLOOKUP($R276,武学奇术!$A:$ZZ,26,FALSE)</f>
        <v>0.3465</v>
      </c>
      <c r="AJ276" s="22">
        <f>VLOOKUP($R276,武学奇术!$A:$ZZ,27,FALSE)*(1+IF(OR($AH276=$F$4,$AH276=$F$5),$B$22,0))</f>
        <v>0</v>
      </c>
      <c r="AK276" s="21">
        <f>VLOOKUP($R276,武学奇术!$A:$ZZ,28,FALSE)</f>
        <v>0.51975</v>
      </c>
      <c r="AL276" s="22">
        <f>VLOOKUP($R276,武学奇术!$A:$ZZ,29,FALSE)*(1+IF(OR($AH276=$F$4,$AH276=$F$5),$B$22,0))</f>
        <v>0</v>
      </c>
      <c r="AM276" s="21" cm="1">
        <f t="array" ref="AM276">$G$3+IFERROR(VLOOKUP($AH276,$F$4:$G$7,2,FALSE),0)+VLOOKUP($R276,武学奇术!$A:$ZZ,2,FALSE)+SUM(_xlfn.XLOOKUP($S276:$AG276,增益!$A:$A,增益!$B:$B,0))</f>
        <v>1.5591</v>
      </c>
      <c r="AN276" s="21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1862.48</v>
      </c>
      <c r="AP276" cm="1">
        <f t="array" ref="AP276">$E$10*(1+$AN276)+VLOOKUP($R276,武学奇术!$A:$ZZ,4,FALSE)+SUM(_xlfn.XLOOKUP($S276:$AG276,增益!$A:$A,增益!$D:$D,0))-$I$2</f>
        <v>7794.56</v>
      </c>
      <c r="AQ276" s="26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0.369</v>
      </c>
      <c r="AR276" s="26" cm="1">
        <f t="array" ref="AR276">$G$10+VLOOKUP($R276,武学奇术!$A:$ZZ,7,FALSE)+SUM(_xlfn.XLOOKUP(S276:AG276,增益!$A:$A,增益!$G:$G,0))</f>
        <v>0</v>
      </c>
      <c r="AS276" s="21" cm="1">
        <f t="array" ref="AS276">VLOOKUP($R276,武学奇术!$A:$ZZ,8,FALSE)+SUM(_xlfn.XLOOKUP(S276:AG276,增益!$A:$A,增益!$H:$H,0))</f>
        <v>0</v>
      </c>
      <c r="AT276">
        <f t="shared" si="211"/>
        <v>680.02</v>
      </c>
      <c r="AU276">
        <f t="shared" si="212"/>
        <v>1288.54</v>
      </c>
      <c r="AV276" s="26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0.075</v>
      </c>
      <c r="AW276" s="26" cm="1">
        <f t="array" ref="AW276">$G$11+VLOOKUP($R276,武学奇术!$A:$ZZ,10,FALSE)+SUM(_xlfn.XLOOKUP(S276:AG276,增益!$A:$A,增益!$J:$J,0))</f>
        <v>0.15</v>
      </c>
      <c r="AX276">
        <f t="shared" si="213"/>
        <v>0</v>
      </c>
      <c r="AY276">
        <f t="shared" si="214"/>
        <v>0</v>
      </c>
      <c r="AZ276" s="26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26" cm="1">
        <f t="array" ref="BA276">$G$12+VLOOKUP($R276,武学奇术!$A:$ZZ,12,FALSE)+SUM(_xlfn.XLOOKUP(S276:AG276,增益!$A:$A,增益!$L:$L,0))</f>
        <v>0</v>
      </c>
      <c r="BB276">
        <f t="shared" si="215"/>
        <v>0</v>
      </c>
      <c r="BC276">
        <f t="shared" si="216"/>
        <v>0</v>
      </c>
      <c r="BD276" s="26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26" cm="1">
        <f t="array" ref="BE276">$G$13+VLOOKUP($R276,武学奇术!$A:$ZZ,14,FALSE)+SUM(_xlfn.XLOOKUP(S276:AG276,增益!$A:$A,增益!$N:$N,0))</f>
        <v>0</v>
      </c>
      <c r="BF276">
        <f t="shared" si="217"/>
        <v>0</v>
      </c>
      <c r="BG276">
        <f t="shared" si="218"/>
        <v>0</v>
      </c>
      <c r="BH276" s="26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26" cm="1">
        <f t="array" ref="BI276">$G$14+VLOOKUP($R276,武学奇术!$A:$ZZ,16,FALSE)+SUM(_xlfn.XLOOKUP(S276:AG276,增益!$A:$A,增益!$P:$P,0))</f>
        <v>0</v>
      </c>
      <c r="BJ276" s="21">
        <f>MIN(IF(VLOOKUP($R276,武学奇术!$A:$ZZ,23,FALSE)=1,100%,$B$8),100%)</f>
        <v>0.8229</v>
      </c>
      <c r="BK276" s="21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0.2285</v>
      </c>
      <c r="BL276" s="21" cm="1">
        <f t="array" ref="BL276">1+$B$13+VLOOKUP($R276,武学奇术!$A:$ZZ,18,FALSE)+SUM(_xlfn.XLOOKUP(S276:AG276,增益!$A:$A,增益!$R:$R,0))</f>
        <v>1.5</v>
      </c>
      <c r="BM276" s="21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0.4495</v>
      </c>
      <c r="BN276" s="21" cm="1">
        <f t="array" ref="BN276">1+$B$14+VLOOKUP($R276,武学奇术!$A:$ZZ,20,FALSE)+SUM(_xlfn.XLOOKUP(S276:AG276,增益!$A:$A,增益!$T:$T,0))</f>
        <v>1.782</v>
      </c>
      <c r="BO276" s="21">
        <f t="shared" si="219"/>
        <v>0.18803265</v>
      </c>
      <c r="BP276" s="21">
        <f t="shared" si="220"/>
        <v>0.2649738</v>
      </c>
      <c r="BQ276" s="21">
        <f>IF(VLOOKUP($R276,武学奇术!$A:$ZZ,22,FALSE)=1,0,(1-$BJ276))*(1-$BM276)</f>
        <v>0.09749355</v>
      </c>
      <c r="BR276" s="21" cm="1">
        <f t="array" ref="BR276">SUM(_xlfn.XLOOKUP(S276:AG276,增益!$A:$A,增益!$W:$W,0))+$I$5</f>
        <v>0.06</v>
      </c>
    </row>
    <row r="277" spans="11:70">
      <c r="K277" s="24">
        <f>$L277*VLOOKUP($R277,武学奇术!$A:$ZZ,31,FALSE)</f>
        <v>11499.3313419632</v>
      </c>
      <c r="L277" s="24">
        <f t="shared" si="210"/>
        <v>19165.5522366053</v>
      </c>
      <c r="M277" s="24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15698.9547965418</v>
      </c>
      <c r="N277" s="24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28875.3630869231</v>
      </c>
      <c r="O277" s="24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10465.9698643612</v>
      </c>
      <c r="P277" s="24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4728.03227253666</v>
      </c>
      <c r="Q277" s="31">
        <v>1</v>
      </c>
      <c r="R277" s="32" t="s">
        <v>199</v>
      </c>
      <c r="S277" s="32" t="s">
        <v>87</v>
      </c>
      <c r="T277" s="32" t="s">
        <v>96</v>
      </c>
      <c r="U277" s="32" t="s">
        <v>97</v>
      </c>
      <c r="V277" s="32" t="s">
        <v>73</v>
      </c>
      <c r="W277" s="32" t="s">
        <v>111</v>
      </c>
      <c r="X277" s="32" t="s">
        <v>127</v>
      </c>
      <c r="Y277" s="32" t="s">
        <v>73</v>
      </c>
      <c r="Z277" s="32" t="s">
        <v>73</v>
      </c>
      <c r="AA277" s="32" t="s">
        <v>81</v>
      </c>
      <c r="AB277" s="32" t="s">
        <v>75</v>
      </c>
      <c r="AC277" s="32" t="s">
        <v>89</v>
      </c>
      <c r="AD277" s="32" t="s">
        <v>82</v>
      </c>
      <c r="AE277" s="32" t="s">
        <v>90</v>
      </c>
      <c r="AF277" s="32" t="s">
        <v>73</v>
      </c>
      <c r="AG277" s="32" t="s">
        <v>178</v>
      </c>
      <c r="AH277" t="str">
        <f>VLOOKUP($R277,武学奇术!$A:$ZZ,25,FALSE)</f>
        <v>剑</v>
      </c>
      <c r="AI277" s="21">
        <f>VLOOKUP($R277,武学奇术!$A:$ZZ,26,FALSE)</f>
        <v>0.3465</v>
      </c>
      <c r="AJ277" s="22">
        <f>VLOOKUP($R277,武学奇术!$A:$ZZ,27,FALSE)*(1+IF(OR($AH277=$F$4,$AH277=$F$5),$B$22,0))</f>
        <v>0</v>
      </c>
      <c r="AK277" s="21">
        <f>VLOOKUP($R277,武学奇术!$A:$ZZ,28,FALSE)</f>
        <v>0.51975</v>
      </c>
      <c r="AL277" s="22">
        <f>VLOOKUP($R277,武学奇术!$A:$ZZ,29,FALSE)*(1+IF(OR($AH277=$F$4,$AH277=$F$5),$B$22,0))</f>
        <v>0</v>
      </c>
      <c r="AM277" s="21" cm="1">
        <f t="array" ref="AM277">$G$3+IFERROR(VLOOKUP($AH277,$F$4:$G$7,2,FALSE),0)+VLOOKUP($R277,武学奇术!$A:$ZZ,2,FALSE)+SUM(_xlfn.XLOOKUP($S277:$AG277,增益!$A:$A,增益!$B:$B,0))</f>
        <v>1.5591</v>
      </c>
      <c r="AN277" s="21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1862.48</v>
      </c>
      <c r="AP277" cm="1">
        <f t="array" ref="AP277">$E$10*(1+$AN277)+VLOOKUP($R277,武学奇术!$A:$ZZ,4,FALSE)+SUM(_xlfn.XLOOKUP($S277:$AG277,增益!$A:$A,增益!$D:$D,0))-$I$2</f>
        <v>7794.56</v>
      </c>
      <c r="AQ277" s="26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0.369</v>
      </c>
      <c r="AR277" s="26" cm="1">
        <f t="array" ref="AR277">$G$10+VLOOKUP($R277,武学奇术!$A:$ZZ,7,FALSE)+SUM(_xlfn.XLOOKUP(S277:AG277,增益!$A:$A,增益!$G:$G,0))</f>
        <v>0</v>
      </c>
      <c r="AS277" s="21" cm="1">
        <f t="array" ref="AS277">VLOOKUP($R277,武学奇术!$A:$ZZ,8,FALSE)+SUM(_xlfn.XLOOKUP(S277:AG277,增益!$A:$A,增益!$H:$H,0))</f>
        <v>0</v>
      </c>
      <c r="AT277">
        <f t="shared" si="211"/>
        <v>680.02</v>
      </c>
      <c r="AU277">
        <f t="shared" si="212"/>
        <v>1288.54</v>
      </c>
      <c r="AV277" s="26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0.075</v>
      </c>
      <c r="AW277" s="26" cm="1">
        <f t="array" ref="AW277">$G$11+VLOOKUP($R277,武学奇术!$A:$ZZ,10,FALSE)+SUM(_xlfn.XLOOKUP(S277:AG277,增益!$A:$A,增益!$J:$J,0))</f>
        <v>0.15</v>
      </c>
      <c r="AX277">
        <f t="shared" si="213"/>
        <v>0</v>
      </c>
      <c r="AY277">
        <f t="shared" si="214"/>
        <v>0</v>
      </c>
      <c r="AZ277" s="26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26" cm="1">
        <f t="array" ref="BA277">$G$12+VLOOKUP($R277,武学奇术!$A:$ZZ,12,FALSE)+SUM(_xlfn.XLOOKUP(S277:AG277,增益!$A:$A,增益!$L:$L,0))</f>
        <v>0</v>
      </c>
      <c r="BB277">
        <f t="shared" si="215"/>
        <v>0</v>
      </c>
      <c r="BC277">
        <f t="shared" si="216"/>
        <v>0</v>
      </c>
      <c r="BD277" s="26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26" cm="1">
        <f t="array" ref="BE277">$G$13+VLOOKUP($R277,武学奇术!$A:$ZZ,14,FALSE)+SUM(_xlfn.XLOOKUP(S277:AG277,增益!$A:$A,增益!$N:$N,0))</f>
        <v>0</v>
      </c>
      <c r="BF277">
        <f t="shared" si="217"/>
        <v>0</v>
      </c>
      <c r="BG277">
        <f t="shared" si="218"/>
        <v>0</v>
      </c>
      <c r="BH277" s="26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26" cm="1">
        <f t="array" ref="BI277">$G$14+VLOOKUP($R277,武学奇术!$A:$ZZ,16,FALSE)+SUM(_xlfn.XLOOKUP(S277:AG277,增益!$A:$A,增益!$P:$P,0))</f>
        <v>0</v>
      </c>
      <c r="BJ277" s="21">
        <f>MIN(IF(VLOOKUP($R277,武学奇术!$A:$ZZ,23,FALSE)=1,100%,$B$8),100%)</f>
        <v>0.8229</v>
      </c>
      <c r="BK277" s="21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0.2285</v>
      </c>
      <c r="BL277" s="21" cm="1">
        <f t="array" ref="BL277">1+$B$13+VLOOKUP($R277,武学奇术!$A:$ZZ,18,FALSE)+SUM(_xlfn.XLOOKUP(S277:AG277,增益!$A:$A,增益!$R:$R,0))</f>
        <v>1.5</v>
      </c>
      <c r="BM277" s="21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0.4495</v>
      </c>
      <c r="BN277" s="21" cm="1">
        <f t="array" ref="BN277">1+$B$14+VLOOKUP($R277,武学奇术!$A:$ZZ,20,FALSE)+SUM(_xlfn.XLOOKUP(S277:AG277,增益!$A:$A,增益!$T:$T,0))</f>
        <v>1.782</v>
      </c>
      <c r="BO277" s="21">
        <f t="shared" si="219"/>
        <v>0.18803265</v>
      </c>
      <c r="BP277" s="21">
        <f t="shared" si="220"/>
        <v>0.2649738</v>
      </c>
      <c r="BQ277" s="21">
        <f>IF(VLOOKUP($R277,武学奇术!$A:$ZZ,22,FALSE)=1,0,(1-$BJ277))*(1-$BM277)</f>
        <v>0.09749355</v>
      </c>
      <c r="BR277" s="21" cm="1">
        <f t="array" ref="BR277">SUM(_xlfn.XLOOKUP(S277:AG277,增益!$A:$A,增益!$W:$W,0))+$I$5</f>
        <v>0.06</v>
      </c>
    </row>
    <row r="278" spans="11:70">
      <c r="K278" s="24">
        <f>$L278*VLOOKUP($R278,武学奇术!$A:$ZZ,31,FALSE)</f>
        <v>12830.0450073496</v>
      </c>
      <c r="L278" s="24">
        <f t="shared" si="210"/>
        <v>21383.4083455826</v>
      </c>
      <c r="M278" s="24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17515.6529208759</v>
      </c>
      <c r="N278" s="24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32216.8478315657</v>
      </c>
      <c r="O278" s="24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11677.1019472506</v>
      </c>
      <c r="P278" s="24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5275.16470731509</v>
      </c>
      <c r="Q278" s="31">
        <v>1</v>
      </c>
      <c r="R278" s="32" t="s">
        <v>199</v>
      </c>
      <c r="S278" s="32" t="s">
        <v>87</v>
      </c>
      <c r="T278" s="32" t="s">
        <v>96</v>
      </c>
      <c r="U278" s="32" t="s">
        <v>97</v>
      </c>
      <c r="V278" s="32" t="s">
        <v>73</v>
      </c>
      <c r="W278" s="32" t="s">
        <v>111</v>
      </c>
      <c r="X278" s="32" t="s">
        <v>127</v>
      </c>
      <c r="Y278" s="32" t="s">
        <v>179</v>
      </c>
      <c r="Z278" s="32" t="s">
        <v>182</v>
      </c>
      <c r="AA278" s="32" t="s">
        <v>81</v>
      </c>
      <c r="AB278" s="32" t="s">
        <v>75</v>
      </c>
      <c r="AC278" s="32" t="s">
        <v>89</v>
      </c>
      <c r="AD278" s="32" t="s">
        <v>82</v>
      </c>
      <c r="AE278" s="32" t="s">
        <v>183</v>
      </c>
      <c r="AF278" s="32" t="s">
        <v>73</v>
      </c>
      <c r="AG278" s="32" t="s">
        <v>178</v>
      </c>
      <c r="AH278" t="str">
        <f>VLOOKUP($R278,武学奇术!$A:$ZZ,25,FALSE)</f>
        <v>剑</v>
      </c>
      <c r="AI278" s="21">
        <f>VLOOKUP($R278,武学奇术!$A:$ZZ,26,FALSE)</f>
        <v>0.3465</v>
      </c>
      <c r="AJ278" s="22">
        <f>VLOOKUP($R278,武学奇术!$A:$ZZ,27,FALSE)*(1+IF(OR($AH278=$F$4,$AH278=$F$5),$B$22,0))</f>
        <v>0</v>
      </c>
      <c r="AK278" s="21">
        <f>VLOOKUP($R278,武学奇术!$A:$ZZ,28,FALSE)</f>
        <v>0.51975</v>
      </c>
      <c r="AL278" s="22">
        <f>VLOOKUP($R278,武学奇术!$A:$ZZ,29,FALSE)*(1+IF(OR($AH278=$F$4,$AH278=$F$5),$B$22,0))</f>
        <v>0</v>
      </c>
      <c r="AM278" s="21" cm="1">
        <f t="array" ref="AM278">$G$3+IFERROR(VLOOKUP($AH278,$F$4:$G$7,2,FALSE),0)+VLOOKUP($R278,武学奇术!$A:$ZZ,2,FALSE)+SUM(_xlfn.XLOOKUP($S278:$AG278,增益!$A:$A,增益!$B:$B,0))</f>
        <v>1.6091</v>
      </c>
      <c r="AN278" s="21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1862.48</v>
      </c>
      <c r="AP278" cm="1">
        <f t="array" ref="AP278">$E$10*(1+$AN278)+VLOOKUP($R278,武学奇术!$A:$ZZ,4,FALSE)+SUM(_xlfn.XLOOKUP($S278:$AG278,增益!$A:$A,增益!$D:$D,0))-$I$2</f>
        <v>7794.56</v>
      </c>
      <c r="AQ278" s="26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0.369</v>
      </c>
      <c r="AR278" s="26" cm="1">
        <f t="array" ref="AR278">$G$10+VLOOKUP($R278,武学奇术!$A:$ZZ,7,FALSE)+SUM(_xlfn.XLOOKUP(S278:AG278,增益!$A:$A,增益!$G:$G,0))</f>
        <v>0</v>
      </c>
      <c r="AS278" s="21" cm="1">
        <f t="array" ref="AS278">VLOOKUP($R278,武学奇术!$A:$ZZ,8,FALSE)+SUM(_xlfn.XLOOKUP(S278:AG278,增益!$A:$A,增益!$H:$H,0))</f>
        <v>0</v>
      </c>
      <c r="AT278">
        <f t="shared" si="211"/>
        <v>680.02</v>
      </c>
      <c r="AU278">
        <f t="shared" si="212"/>
        <v>1288.54</v>
      </c>
      <c r="AV278" s="26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0.075</v>
      </c>
      <c r="AW278" s="26" cm="1">
        <f t="array" ref="AW278">$G$11+VLOOKUP($R278,武学奇术!$A:$ZZ,10,FALSE)+SUM(_xlfn.XLOOKUP(S278:AG278,增益!$A:$A,增益!$J:$J,0))</f>
        <v>0.15</v>
      </c>
      <c r="AX278">
        <f t="shared" si="213"/>
        <v>0</v>
      </c>
      <c r="AY278">
        <f t="shared" si="214"/>
        <v>0</v>
      </c>
      <c r="AZ278" s="26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26" cm="1">
        <f t="array" ref="BA278">$G$12+VLOOKUP($R278,武学奇术!$A:$ZZ,12,FALSE)+SUM(_xlfn.XLOOKUP(S278:AG278,增益!$A:$A,增益!$L:$L,0))</f>
        <v>0</v>
      </c>
      <c r="BB278">
        <f t="shared" si="215"/>
        <v>0</v>
      </c>
      <c r="BC278">
        <f t="shared" si="216"/>
        <v>0</v>
      </c>
      <c r="BD278" s="26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26" cm="1">
        <f t="array" ref="BE278">$G$13+VLOOKUP($R278,武学奇术!$A:$ZZ,14,FALSE)+SUM(_xlfn.XLOOKUP(S278:AG278,增益!$A:$A,增益!$N:$N,0))</f>
        <v>0</v>
      </c>
      <c r="BF278">
        <f t="shared" si="217"/>
        <v>0</v>
      </c>
      <c r="BG278">
        <f t="shared" si="218"/>
        <v>0</v>
      </c>
      <c r="BH278" s="26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26" cm="1">
        <f t="array" ref="BI278">$G$14+VLOOKUP($R278,武学奇术!$A:$ZZ,16,FALSE)+SUM(_xlfn.XLOOKUP(S278:AG278,增益!$A:$A,增益!$P:$P,0))</f>
        <v>0</v>
      </c>
      <c r="BJ278" s="21">
        <f>MIN(IF(VLOOKUP($R278,武学奇术!$A:$ZZ,23,FALSE)=1,100%,$B$8),100%)</f>
        <v>0.8229</v>
      </c>
      <c r="BK278" s="21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0.2285</v>
      </c>
      <c r="BL278" s="21" cm="1">
        <f t="array" ref="BL278">1+$B$13+VLOOKUP($R278,武学奇术!$A:$ZZ,18,FALSE)+SUM(_xlfn.XLOOKUP(S278:AG278,增益!$A:$A,增益!$R:$R,0))</f>
        <v>1.5</v>
      </c>
      <c r="BM278" s="21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0.4495</v>
      </c>
      <c r="BN278" s="21" cm="1">
        <f t="array" ref="BN278">1+$B$14+VLOOKUP($R278,武学奇术!$A:$ZZ,20,FALSE)+SUM(_xlfn.XLOOKUP(S278:AG278,增益!$A:$A,增益!$T:$T,0))</f>
        <v>1.782</v>
      </c>
      <c r="BO278" s="21">
        <f t="shared" si="219"/>
        <v>0.18803265</v>
      </c>
      <c r="BP278" s="21">
        <f t="shared" si="220"/>
        <v>0.2649738</v>
      </c>
      <c r="BQ278" s="21">
        <f>IF(VLOOKUP($R278,武学奇术!$A:$ZZ,22,FALSE)=1,0,(1-$BJ278))*(1-$BM278)</f>
        <v>0.09749355</v>
      </c>
      <c r="BR278" s="21" cm="1">
        <f t="array" ref="BR278">SUM(_xlfn.XLOOKUP(S278:AG278,增益!$A:$A,增益!$W:$W,0))+$I$5</f>
        <v>0.16</v>
      </c>
    </row>
    <row r="279" spans="11:70">
      <c r="K279" s="24">
        <f>$L279*VLOOKUP($R279,武学奇术!$A:$ZZ,31,FALSE)</f>
        <v>12830.0450073496</v>
      </c>
      <c r="L279" s="24">
        <f t="shared" si="210"/>
        <v>21383.4083455826</v>
      </c>
      <c r="M279" s="24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17515.6529208759</v>
      </c>
      <c r="N279" s="24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32216.8478315657</v>
      </c>
      <c r="O279" s="24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11677.1019472506</v>
      </c>
      <c r="P279" s="24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5275.16470731509</v>
      </c>
      <c r="Q279" s="31">
        <v>1</v>
      </c>
      <c r="R279" s="32" t="s">
        <v>199</v>
      </c>
      <c r="S279" s="32" t="s">
        <v>87</v>
      </c>
      <c r="T279" s="32" t="s">
        <v>96</v>
      </c>
      <c r="U279" s="32" t="s">
        <v>97</v>
      </c>
      <c r="V279" s="32" t="s">
        <v>73</v>
      </c>
      <c r="W279" s="32" t="s">
        <v>111</v>
      </c>
      <c r="X279" s="32" t="s">
        <v>127</v>
      </c>
      <c r="Y279" s="32" t="s">
        <v>179</v>
      </c>
      <c r="Z279" s="32" t="s">
        <v>182</v>
      </c>
      <c r="AA279" s="32" t="s">
        <v>81</v>
      </c>
      <c r="AB279" s="32" t="s">
        <v>75</v>
      </c>
      <c r="AC279" s="32" t="s">
        <v>76</v>
      </c>
      <c r="AD279" s="32" t="s">
        <v>82</v>
      </c>
      <c r="AE279" s="32" t="s">
        <v>183</v>
      </c>
      <c r="AF279" s="32" t="s">
        <v>73</v>
      </c>
      <c r="AG279" s="32" t="s">
        <v>178</v>
      </c>
      <c r="AH279" t="str">
        <f>VLOOKUP($R279,武学奇术!$A:$ZZ,25,FALSE)</f>
        <v>剑</v>
      </c>
      <c r="AI279" s="21">
        <f>VLOOKUP($R279,武学奇术!$A:$ZZ,26,FALSE)</f>
        <v>0.3465</v>
      </c>
      <c r="AJ279" s="22">
        <f>VLOOKUP($R279,武学奇术!$A:$ZZ,27,FALSE)*(1+IF(OR($AH279=$F$4,$AH279=$F$5),$B$22,0))</f>
        <v>0</v>
      </c>
      <c r="AK279" s="21">
        <f>VLOOKUP($R279,武学奇术!$A:$ZZ,28,FALSE)</f>
        <v>0.51975</v>
      </c>
      <c r="AL279" s="22">
        <f>VLOOKUP($R279,武学奇术!$A:$ZZ,29,FALSE)*(1+IF(OR($AH279=$F$4,$AH279=$F$5),$B$22,0))</f>
        <v>0</v>
      </c>
      <c r="AM279" s="21" cm="1">
        <f t="array" ref="AM279">$G$3+IFERROR(VLOOKUP($AH279,$F$4:$G$7,2,FALSE),0)+VLOOKUP($R279,武学奇术!$A:$ZZ,2,FALSE)+SUM(_xlfn.XLOOKUP($S279:$AG279,增益!$A:$A,增益!$B:$B,0))</f>
        <v>1.6091</v>
      </c>
      <c r="AN279" s="21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1862.48</v>
      </c>
      <c r="AP279" cm="1">
        <f t="array" ref="AP279">$E$10*(1+$AN279)+VLOOKUP($R279,武学奇术!$A:$ZZ,4,FALSE)+SUM(_xlfn.XLOOKUP($S279:$AG279,增益!$A:$A,增益!$D:$D,0))-$I$2</f>
        <v>7794.56</v>
      </c>
      <c r="AQ279" s="26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0.369</v>
      </c>
      <c r="AR279" s="26" cm="1">
        <f t="array" ref="AR279">$G$10+VLOOKUP($R279,武学奇术!$A:$ZZ,7,FALSE)+SUM(_xlfn.XLOOKUP(S279:AG279,增益!$A:$A,增益!$G:$G,0))</f>
        <v>0</v>
      </c>
      <c r="AS279" s="21" cm="1">
        <f t="array" ref="AS279">VLOOKUP($R279,武学奇术!$A:$ZZ,8,FALSE)+SUM(_xlfn.XLOOKUP(S279:AG279,增益!$A:$A,增益!$H:$H,0))</f>
        <v>0</v>
      </c>
      <c r="AT279">
        <f t="shared" si="211"/>
        <v>680.02</v>
      </c>
      <c r="AU279">
        <f t="shared" si="212"/>
        <v>1288.54</v>
      </c>
      <c r="AV279" s="26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0.075</v>
      </c>
      <c r="AW279" s="26" cm="1">
        <f t="array" ref="AW279">$G$11+VLOOKUP($R279,武学奇术!$A:$ZZ,10,FALSE)+SUM(_xlfn.XLOOKUP(S279:AG279,增益!$A:$A,增益!$J:$J,0))</f>
        <v>0.15</v>
      </c>
      <c r="AX279">
        <f t="shared" si="213"/>
        <v>0</v>
      </c>
      <c r="AY279">
        <f t="shared" si="214"/>
        <v>0</v>
      </c>
      <c r="AZ279" s="26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26" cm="1">
        <f t="array" ref="BA279">$G$12+VLOOKUP($R279,武学奇术!$A:$ZZ,12,FALSE)+SUM(_xlfn.XLOOKUP(S279:AG279,增益!$A:$A,增益!$L:$L,0))</f>
        <v>0</v>
      </c>
      <c r="BB279">
        <f t="shared" si="215"/>
        <v>0</v>
      </c>
      <c r="BC279">
        <f t="shared" si="216"/>
        <v>0</v>
      </c>
      <c r="BD279" s="26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26" cm="1">
        <f t="array" ref="BE279">$G$13+VLOOKUP($R279,武学奇术!$A:$ZZ,14,FALSE)+SUM(_xlfn.XLOOKUP(S279:AG279,增益!$A:$A,增益!$N:$N,0))</f>
        <v>0</v>
      </c>
      <c r="BF279">
        <f t="shared" si="217"/>
        <v>0</v>
      </c>
      <c r="BG279">
        <f t="shared" si="218"/>
        <v>0</v>
      </c>
      <c r="BH279" s="26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26" cm="1">
        <f t="array" ref="BI279">$G$14+VLOOKUP($R279,武学奇术!$A:$ZZ,16,FALSE)+SUM(_xlfn.XLOOKUP(S279:AG279,增益!$A:$A,增益!$P:$P,0))</f>
        <v>0</v>
      </c>
      <c r="BJ279" s="21">
        <f>MIN(IF(VLOOKUP($R279,武学奇术!$A:$ZZ,23,FALSE)=1,100%,$B$8),100%)</f>
        <v>0.8229</v>
      </c>
      <c r="BK279" s="21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0.2285</v>
      </c>
      <c r="BL279" s="21" cm="1">
        <f t="array" ref="BL279">1+$B$13+VLOOKUP($R279,武学奇术!$A:$ZZ,18,FALSE)+SUM(_xlfn.XLOOKUP(S279:AG279,增益!$A:$A,增益!$R:$R,0))</f>
        <v>1.5</v>
      </c>
      <c r="BM279" s="21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0.4495</v>
      </c>
      <c r="BN279" s="21" cm="1">
        <f t="array" ref="BN279">1+$B$14+VLOOKUP($R279,武学奇术!$A:$ZZ,20,FALSE)+SUM(_xlfn.XLOOKUP(S279:AG279,增益!$A:$A,增益!$T:$T,0))</f>
        <v>1.782</v>
      </c>
      <c r="BO279" s="21">
        <f t="shared" si="219"/>
        <v>0.18803265</v>
      </c>
      <c r="BP279" s="21">
        <f t="shared" si="220"/>
        <v>0.2649738</v>
      </c>
      <c r="BQ279" s="21">
        <f>IF(VLOOKUP($R279,武学奇术!$A:$ZZ,22,FALSE)=1,0,(1-$BJ279))*(1-$BM279)</f>
        <v>0.09749355</v>
      </c>
      <c r="BR279" s="21" cm="1">
        <f t="array" ref="BR279">SUM(_xlfn.XLOOKUP(S279:AG279,增益!$A:$A,增益!$W:$W,0))+$I$5</f>
        <v>0.16</v>
      </c>
    </row>
    <row r="280" spans="11:70">
      <c r="K280" s="24">
        <f>$L280*VLOOKUP($R280,武学奇术!$A:$ZZ,31,FALSE)</f>
        <v>10264.0360058796</v>
      </c>
      <c r="L280" s="24">
        <f t="shared" si="210"/>
        <v>17106.7266764661</v>
      </c>
      <c r="M280" s="24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14012.5223367007</v>
      </c>
      <c r="N280" s="24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25773.4782652526</v>
      </c>
      <c r="O280" s="24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9341.6815578005</v>
      </c>
      <c r="P280" s="24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4220.13176585208</v>
      </c>
      <c r="Q280" s="31">
        <v>1</v>
      </c>
      <c r="R280" s="32" t="s">
        <v>197</v>
      </c>
      <c r="S280" s="32" t="s">
        <v>87</v>
      </c>
      <c r="T280" s="32" t="s">
        <v>96</v>
      </c>
      <c r="U280" s="32" t="s">
        <v>97</v>
      </c>
      <c r="V280" s="32" t="s">
        <v>73</v>
      </c>
      <c r="W280" s="32" t="s">
        <v>111</v>
      </c>
      <c r="X280" s="32" t="s">
        <v>127</v>
      </c>
      <c r="Y280" s="32" t="s">
        <v>179</v>
      </c>
      <c r="Z280" s="32" t="s">
        <v>182</v>
      </c>
      <c r="AA280" s="32" t="s">
        <v>81</v>
      </c>
      <c r="AB280" s="32" t="s">
        <v>75</v>
      </c>
      <c r="AC280" s="32" t="s">
        <v>76</v>
      </c>
      <c r="AD280" s="32" t="s">
        <v>82</v>
      </c>
      <c r="AE280" s="32" t="s">
        <v>183</v>
      </c>
      <c r="AF280" s="32" t="s">
        <v>73</v>
      </c>
      <c r="AG280" s="32" t="s">
        <v>178</v>
      </c>
      <c r="AH280" t="str">
        <f>VLOOKUP($R280,武学奇术!$A:$ZZ,25,FALSE)</f>
        <v>剑</v>
      </c>
      <c r="AI280" s="21">
        <f>VLOOKUP($R280,武学奇术!$A:$ZZ,26,FALSE)</f>
        <v>0.2772</v>
      </c>
      <c r="AJ280" s="22">
        <f>VLOOKUP($R280,武学奇术!$A:$ZZ,27,FALSE)*(1+IF(OR($AH280=$F$4,$AH280=$F$5),$B$22,0))</f>
        <v>0</v>
      </c>
      <c r="AK280" s="21">
        <f>VLOOKUP($R280,武学奇术!$A:$ZZ,28,FALSE)</f>
        <v>0.4158</v>
      </c>
      <c r="AL280" s="22">
        <f>VLOOKUP($R280,武学奇术!$A:$ZZ,29,FALSE)*(1+IF(OR($AH280=$F$4,$AH280=$F$5),$B$22,0))</f>
        <v>0</v>
      </c>
      <c r="AM280" s="21" cm="1">
        <f t="array" ref="AM280">$G$3+IFERROR(VLOOKUP($AH280,$F$4:$G$7,2,FALSE),0)+VLOOKUP($R280,武学奇术!$A:$ZZ,2,FALSE)+SUM(_xlfn.XLOOKUP($S280:$AG280,增益!$A:$A,增益!$B:$B,0))</f>
        <v>1.6091</v>
      </c>
      <c r="AN280" s="21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1862.48</v>
      </c>
      <c r="AP280" cm="1">
        <f t="array" ref="AP280">$E$10*(1+$AN280)+VLOOKUP($R280,武学奇术!$A:$ZZ,4,FALSE)+SUM(_xlfn.XLOOKUP($S280:$AG280,增益!$A:$A,增益!$D:$D,0))-$I$2</f>
        <v>7794.56</v>
      </c>
      <c r="AQ280" s="26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0.369</v>
      </c>
      <c r="AR280" s="26" cm="1">
        <f t="array" ref="AR280">$G$10+VLOOKUP($R280,武学奇术!$A:$ZZ,7,FALSE)+SUM(_xlfn.XLOOKUP(S280:AG280,增益!$A:$A,增益!$G:$G,0))</f>
        <v>0</v>
      </c>
      <c r="AS280" s="21" cm="1">
        <f t="array" ref="AS280">VLOOKUP($R280,武学奇术!$A:$ZZ,8,FALSE)+SUM(_xlfn.XLOOKUP(S280:AG280,增益!$A:$A,增益!$H:$H,0))</f>
        <v>0</v>
      </c>
      <c r="AT280">
        <f t="shared" si="211"/>
        <v>680.02</v>
      </c>
      <c r="AU280">
        <f t="shared" si="212"/>
        <v>1288.54</v>
      </c>
      <c r="AV280" s="26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0.075</v>
      </c>
      <c r="AW280" s="26" cm="1">
        <f t="array" ref="AW280">$G$11+VLOOKUP($R280,武学奇术!$A:$ZZ,10,FALSE)+SUM(_xlfn.XLOOKUP(S280:AG280,增益!$A:$A,增益!$J:$J,0))</f>
        <v>0.15</v>
      </c>
      <c r="AX280">
        <f t="shared" si="213"/>
        <v>0</v>
      </c>
      <c r="AY280">
        <f t="shared" si="214"/>
        <v>0</v>
      </c>
      <c r="AZ280" s="26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26" cm="1">
        <f t="array" ref="BA280">$G$12+VLOOKUP($R280,武学奇术!$A:$ZZ,12,FALSE)+SUM(_xlfn.XLOOKUP(S280:AG280,增益!$A:$A,增益!$L:$L,0))</f>
        <v>0</v>
      </c>
      <c r="BB280">
        <f t="shared" si="215"/>
        <v>0</v>
      </c>
      <c r="BC280">
        <f t="shared" si="216"/>
        <v>0</v>
      </c>
      <c r="BD280" s="26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26" cm="1">
        <f t="array" ref="BE280">$G$13+VLOOKUP($R280,武学奇术!$A:$ZZ,14,FALSE)+SUM(_xlfn.XLOOKUP(S280:AG280,增益!$A:$A,增益!$N:$N,0))</f>
        <v>0</v>
      </c>
      <c r="BF280">
        <f t="shared" si="217"/>
        <v>0</v>
      </c>
      <c r="BG280">
        <f t="shared" si="218"/>
        <v>0</v>
      </c>
      <c r="BH280" s="26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26" cm="1">
        <f t="array" ref="BI280">$G$14+VLOOKUP($R280,武学奇术!$A:$ZZ,16,FALSE)+SUM(_xlfn.XLOOKUP(S280:AG280,增益!$A:$A,增益!$P:$P,0))</f>
        <v>0</v>
      </c>
      <c r="BJ280" s="21">
        <f>MIN(IF(VLOOKUP($R280,武学奇术!$A:$ZZ,23,FALSE)=1,100%,$B$8),100%)</f>
        <v>0.8229</v>
      </c>
      <c r="BK280" s="21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0.2285</v>
      </c>
      <c r="BL280" s="21" cm="1">
        <f t="array" ref="BL280">1+$B$13+VLOOKUP($R280,武学奇术!$A:$ZZ,18,FALSE)+SUM(_xlfn.XLOOKUP(S280:AG280,增益!$A:$A,增益!$R:$R,0))</f>
        <v>1.5</v>
      </c>
      <c r="BM280" s="21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0.4495</v>
      </c>
      <c r="BN280" s="21" cm="1">
        <f t="array" ref="BN280">1+$B$14+VLOOKUP($R280,武学奇术!$A:$ZZ,20,FALSE)+SUM(_xlfn.XLOOKUP(S280:AG280,增益!$A:$A,增益!$T:$T,0))</f>
        <v>1.782</v>
      </c>
      <c r="BO280" s="21">
        <f t="shared" si="219"/>
        <v>0.18803265</v>
      </c>
      <c r="BP280" s="21">
        <f t="shared" si="220"/>
        <v>0.2649738</v>
      </c>
      <c r="BQ280" s="21">
        <f>IF(VLOOKUP($R280,武学奇术!$A:$ZZ,22,FALSE)=1,0,(1-$BJ280))*(1-$BM280)</f>
        <v>0.09749355</v>
      </c>
      <c r="BR280" s="21" cm="1">
        <f t="array" ref="BR280">SUM(_xlfn.XLOOKUP(S280:AG280,增益!$A:$A,增益!$W:$W,0))+$I$5</f>
        <v>0.16</v>
      </c>
    </row>
    <row r="281" spans="11:70">
      <c r="K281" s="24">
        <f>$L281*VLOOKUP($R281,武学奇术!$A:$ZZ,31,FALSE)</f>
        <v>6389.54610798325</v>
      </c>
      <c r="L281" s="24">
        <f t="shared" si="210"/>
        <v>10649.2435133054</v>
      </c>
      <c r="M281" s="24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8713.76566943881</v>
      </c>
      <c r="N281" s="24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16056.0796960759</v>
      </c>
      <c r="O281" s="24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5809.1771129592</v>
      </c>
      <c r="P281" s="24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2608.20849299144</v>
      </c>
      <c r="Q281" s="31">
        <v>1</v>
      </c>
      <c r="R281" s="32" t="s">
        <v>198</v>
      </c>
      <c r="S281" s="32" t="s">
        <v>87</v>
      </c>
      <c r="T281" s="32" t="s">
        <v>96</v>
      </c>
      <c r="U281" s="32" t="s">
        <v>97</v>
      </c>
      <c r="V281" s="32" t="s">
        <v>73</v>
      </c>
      <c r="W281" s="32" t="s">
        <v>73</v>
      </c>
      <c r="X281" s="32" t="s">
        <v>127</v>
      </c>
      <c r="Y281" s="32" t="s">
        <v>179</v>
      </c>
      <c r="Z281" s="32" t="s">
        <v>182</v>
      </c>
      <c r="AA281" s="32" t="s">
        <v>81</v>
      </c>
      <c r="AB281" s="32" t="s">
        <v>75</v>
      </c>
      <c r="AC281" s="32" t="s">
        <v>76</v>
      </c>
      <c r="AD281" s="32" t="s">
        <v>82</v>
      </c>
      <c r="AE281" s="32" t="s">
        <v>183</v>
      </c>
      <c r="AF281" s="32" t="s">
        <v>73</v>
      </c>
      <c r="AG281" s="32" t="s">
        <v>178</v>
      </c>
      <c r="AH281" t="str">
        <f>VLOOKUP($R281,武学奇术!$A:$ZZ,25,FALSE)</f>
        <v>剑</v>
      </c>
      <c r="AI281" s="21">
        <f>VLOOKUP($R281,武学奇术!$A:$ZZ,26,FALSE)</f>
        <v>0.17325</v>
      </c>
      <c r="AJ281" s="22">
        <f>VLOOKUP($R281,武学奇术!$A:$ZZ,27,FALSE)*(1+IF(OR($AH281=$F$4,$AH281=$F$5),$B$22,0))</f>
        <v>0</v>
      </c>
      <c r="AK281" s="21">
        <f>VLOOKUP($R281,武学奇术!$A:$ZZ,28,FALSE)</f>
        <v>0.259875</v>
      </c>
      <c r="AL281" s="22">
        <f>VLOOKUP($R281,武学奇术!$A:$ZZ,29,FALSE)*(1+IF(OR($AH281=$F$4,$AH281=$F$5),$B$22,0))</f>
        <v>0</v>
      </c>
      <c r="AM281" s="21" cm="1">
        <f t="array" ref="AM281">$G$3+IFERROR(VLOOKUP($AH281,$F$4:$G$7,2,FALSE),0)+VLOOKUP($R281,武学奇术!$A:$ZZ,2,FALSE)+SUM(_xlfn.XLOOKUP($S281:$AG281,增益!$A:$A,增益!$B:$B,0))</f>
        <v>1.6091</v>
      </c>
      <c r="AN281" s="21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1831.48</v>
      </c>
      <c r="AP281" cm="1">
        <f t="array" ref="AP281">$E$10*(1+$AN281)+VLOOKUP($R281,武学奇术!$A:$ZZ,4,FALSE)+SUM(_xlfn.XLOOKUP($S281:$AG281,增益!$A:$A,增益!$D:$D,0))-$I$2</f>
        <v>7763.56</v>
      </c>
      <c r="AQ281" s="26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0.369</v>
      </c>
      <c r="AR281" s="26" cm="1">
        <f t="array" ref="AR281">$G$10+VLOOKUP($R281,武学奇术!$A:$ZZ,7,FALSE)+SUM(_xlfn.XLOOKUP(S281:AG281,增益!$A:$A,增益!$G:$G,0))</f>
        <v>0</v>
      </c>
      <c r="AS281" s="21" cm="1">
        <f t="array" ref="AS281">VLOOKUP($R281,武学奇术!$A:$ZZ,8,FALSE)+SUM(_xlfn.XLOOKUP(S281:AG281,增益!$A:$A,增益!$H:$H,0))</f>
        <v>0</v>
      </c>
      <c r="AT281">
        <f t="shared" si="211"/>
        <v>680.02</v>
      </c>
      <c r="AU281">
        <f t="shared" si="212"/>
        <v>1288.54</v>
      </c>
      <c r="AV281" s="26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0.075</v>
      </c>
      <c r="AW281" s="26" cm="1">
        <f t="array" ref="AW281">$G$11+VLOOKUP($R281,武学奇术!$A:$ZZ,10,FALSE)+SUM(_xlfn.XLOOKUP(S281:AG281,增益!$A:$A,增益!$J:$J,0))</f>
        <v>0.15</v>
      </c>
      <c r="AX281">
        <f t="shared" si="213"/>
        <v>0</v>
      </c>
      <c r="AY281">
        <f t="shared" si="214"/>
        <v>0</v>
      </c>
      <c r="AZ281" s="26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26" cm="1">
        <f t="array" ref="BA281">$G$12+VLOOKUP($R281,武学奇术!$A:$ZZ,12,FALSE)+SUM(_xlfn.XLOOKUP(S281:AG281,增益!$A:$A,增益!$L:$L,0))</f>
        <v>0</v>
      </c>
      <c r="BB281">
        <f t="shared" si="215"/>
        <v>0</v>
      </c>
      <c r="BC281">
        <f t="shared" si="216"/>
        <v>0</v>
      </c>
      <c r="BD281" s="26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26" cm="1">
        <f t="array" ref="BE281">$G$13+VLOOKUP($R281,武学奇术!$A:$ZZ,14,FALSE)+SUM(_xlfn.XLOOKUP(S281:AG281,增益!$A:$A,增益!$N:$N,0))</f>
        <v>0</v>
      </c>
      <c r="BF281">
        <f t="shared" si="217"/>
        <v>0</v>
      </c>
      <c r="BG281">
        <f t="shared" si="218"/>
        <v>0</v>
      </c>
      <c r="BH281" s="26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26" cm="1">
        <f t="array" ref="BI281">$G$14+VLOOKUP($R281,武学奇术!$A:$ZZ,16,FALSE)+SUM(_xlfn.XLOOKUP(S281:AG281,增益!$A:$A,增益!$P:$P,0))</f>
        <v>0</v>
      </c>
      <c r="BJ281" s="21">
        <f>MIN(IF(VLOOKUP($R281,武学奇术!$A:$ZZ,23,FALSE)=1,100%,$B$8),100%)</f>
        <v>0.8229</v>
      </c>
      <c r="BK281" s="21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0.2285</v>
      </c>
      <c r="BL281" s="21" cm="1">
        <f t="array" ref="BL281">1+$B$13+VLOOKUP($R281,武学奇术!$A:$ZZ,18,FALSE)+SUM(_xlfn.XLOOKUP(S281:AG281,增益!$A:$A,增益!$R:$R,0))</f>
        <v>1.5</v>
      </c>
      <c r="BM281" s="21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0.4495</v>
      </c>
      <c r="BN281" s="21" cm="1">
        <f t="array" ref="BN281">1+$B$14+VLOOKUP($R281,武学奇术!$A:$ZZ,20,FALSE)+SUM(_xlfn.XLOOKUP(S281:AG281,增益!$A:$A,增益!$T:$T,0))</f>
        <v>1.782</v>
      </c>
      <c r="BO281" s="21">
        <f t="shared" si="219"/>
        <v>0.18803265</v>
      </c>
      <c r="BP281" s="21">
        <f t="shared" si="220"/>
        <v>0.2649738</v>
      </c>
      <c r="BQ281" s="21">
        <f>IF(VLOOKUP($R281,武学奇术!$A:$ZZ,22,FALSE)=1,0,(1-$BJ281))*(1-$BM281)</f>
        <v>0.09749355</v>
      </c>
      <c r="BR281" s="21" cm="1">
        <f t="array" ref="BR281">SUM(_xlfn.XLOOKUP(S281:AG281,增益!$A:$A,增益!$W:$W,0))+$I$5</f>
        <v>0.16</v>
      </c>
    </row>
    <row r="282" spans="11:70">
      <c r="K282" s="24">
        <f>$L282*VLOOKUP($R282,武学奇术!$A:$ZZ,31,FALSE)</f>
        <v>6389.54610798325</v>
      </c>
      <c r="L282" s="24">
        <f t="shared" si="210"/>
        <v>10649.2435133054</v>
      </c>
      <c r="M282" s="24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8713.76566943881</v>
      </c>
      <c r="N282" s="24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16056.0796960759</v>
      </c>
      <c r="O282" s="24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5809.1771129592</v>
      </c>
      <c r="P282" s="24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2608.20849299144</v>
      </c>
      <c r="Q282" s="31">
        <v>1</v>
      </c>
      <c r="R282" s="32" t="s">
        <v>198</v>
      </c>
      <c r="S282" s="32" t="s">
        <v>87</v>
      </c>
      <c r="T282" s="32" t="s">
        <v>96</v>
      </c>
      <c r="U282" s="32" t="s">
        <v>97</v>
      </c>
      <c r="V282" s="32" t="s">
        <v>73</v>
      </c>
      <c r="W282" s="32" t="s">
        <v>73</v>
      </c>
      <c r="X282" s="32" t="s">
        <v>127</v>
      </c>
      <c r="Y282" s="32" t="s">
        <v>179</v>
      </c>
      <c r="Z282" s="32" t="s">
        <v>182</v>
      </c>
      <c r="AA282" s="32" t="s">
        <v>81</v>
      </c>
      <c r="AB282" s="32" t="s">
        <v>75</v>
      </c>
      <c r="AC282" s="32" t="s">
        <v>89</v>
      </c>
      <c r="AD282" s="32" t="s">
        <v>82</v>
      </c>
      <c r="AE282" s="32" t="s">
        <v>183</v>
      </c>
      <c r="AF282" s="32" t="s">
        <v>73</v>
      </c>
      <c r="AG282" s="32" t="s">
        <v>178</v>
      </c>
      <c r="AH282" t="str">
        <f>VLOOKUP($R282,武学奇术!$A:$ZZ,25,FALSE)</f>
        <v>剑</v>
      </c>
      <c r="AI282" s="21">
        <f>VLOOKUP($R282,武学奇术!$A:$ZZ,26,FALSE)</f>
        <v>0.17325</v>
      </c>
      <c r="AJ282" s="22">
        <f>VLOOKUP($R282,武学奇术!$A:$ZZ,27,FALSE)*(1+IF(OR($AH282=$F$4,$AH282=$F$5),$B$22,0))</f>
        <v>0</v>
      </c>
      <c r="AK282" s="21">
        <f>VLOOKUP($R282,武学奇术!$A:$ZZ,28,FALSE)</f>
        <v>0.259875</v>
      </c>
      <c r="AL282" s="22">
        <f>VLOOKUP($R282,武学奇术!$A:$ZZ,29,FALSE)*(1+IF(OR($AH282=$F$4,$AH282=$F$5),$B$22,0))</f>
        <v>0</v>
      </c>
      <c r="AM282" s="21" cm="1">
        <f t="array" ref="AM282">$G$3+IFERROR(VLOOKUP($AH282,$F$4:$G$7,2,FALSE),0)+VLOOKUP($R282,武学奇术!$A:$ZZ,2,FALSE)+SUM(_xlfn.XLOOKUP($S282:$AG282,增益!$A:$A,增益!$B:$B,0))</f>
        <v>1.6091</v>
      </c>
      <c r="AN282" s="21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1831.48</v>
      </c>
      <c r="AP282" cm="1">
        <f t="array" ref="AP282">$E$10*(1+$AN282)+VLOOKUP($R282,武学奇术!$A:$ZZ,4,FALSE)+SUM(_xlfn.XLOOKUP($S282:$AG282,增益!$A:$A,增益!$D:$D,0))-$I$2</f>
        <v>7763.56</v>
      </c>
      <c r="AQ282" s="26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0.369</v>
      </c>
      <c r="AR282" s="26" cm="1">
        <f t="array" ref="AR282">$G$10+VLOOKUP($R282,武学奇术!$A:$ZZ,7,FALSE)+SUM(_xlfn.XLOOKUP(S282:AG282,增益!$A:$A,增益!$G:$G,0))</f>
        <v>0</v>
      </c>
      <c r="AS282" s="21" cm="1">
        <f t="array" ref="AS282">VLOOKUP($R282,武学奇术!$A:$ZZ,8,FALSE)+SUM(_xlfn.XLOOKUP(S282:AG282,增益!$A:$A,增益!$H:$H,0))</f>
        <v>0</v>
      </c>
      <c r="AT282">
        <f t="shared" si="211"/>
        <v>680.02</v>
      </c>
      <c r="AU282">
        <f t="shared" si="212"/>
        <v>1288.54</v>
      </c>
      <c r="AV282" s="26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0.075</v>
      </c>
      <c r="AW282" s="26" cm="1">
        <f t="array" ref="AW282">$G$11+VLOOKUP($R282,武学奇术!$A:$ZZ,10,FALSE)+SUM(_xlfn.XLOOKUP(S282:AG282,增益!$A:$A,增益!$J:$J,0))</f>
        <v>0.15</v>
      </c>
      <c r="AX282">
        <f t="shared" si="213"/>
        <v>0</v>
      </c>
      <c r="AY282">
        <f t="shared" si="214"/>
        <v>0</v>
      </c>
      <c r="AZ282" s="26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26" cm="1">
        <f t="array" ref="BA282">$G$12+VLOOKUP($R282,武学奇术!$A:$ZZ,12,FALSE)+SUM(_xlfn.XLOOKUP(S282:AG282,增益!$A:$A,增益!$L:$L,0))</f>
        <v>0</v>
      </c>
      <c r="BB282">
        <f t="shared" si="215"/>
        <v>0</v>
      </c>
      <c r="BC282">
        <f t="shared" si="216"/>
        <v>0</v>
      </c>
      <c r="BD282" s="26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26" cm="1">
        <f t="array" ref="BE282">$G$13+VLOOKUP($R282,武学奇术!$A:$ZZ,14,FALSE)+SUM(_xlfn.XLOOKUP(S282:AG282,增益!$A:$A,增益!$N:$N,0))</f>
        <v>0</v>
      </c>
      <c r="BF282">
        <f t="shared" si="217"/>
        <v>0</v>
      </c>
      <c r="BG282">
        <f t="shared" si="218"/>
        <v>0</v>
      </c>
      <c r="BH282" s="26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26" cm="1">
        <f t="array" ref="BI282">$G$14+VLOOKUP($R282,武学奇术!$A:$ZZ,16,FALSE)+SUM(_xlfn.XLOOKUP(S282:AG282,增益!$A:$A,增益!$P:$P,0))</f>
        <v>0</v>
      </c>
      <c r="BJ282" s="21">
        <f>MIN(IF(VLOOKUP($R282,武学奇术!$A:$ZZ,23,FALSE)=1,100%,$B$8),100%)</f>
        <v>0.8229</v>
      </c>
      <c r="BK282" s="21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0.2285</v>
      </c>
      <c r="BL282" s="21" cm="1">
        <f t="array" ref="BL282">1+$B$13+VLOOKUP($R282,武学奇术!$A:$ZZ,18,FALSE)+SUM(_xlfn.XLOOKUP(S282:AG282,增益!$A:$A,增益!$R:$R,0))</f>
        <v>1.5</v>
      </c>
      <c r="BM282" s="21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0.4495</v>
      </c>
      <c r="BN282" s="21" cm="1">
        <f t="array" ref="BN282">1+$B$14+VLOOKUP($R282,武学奇术!$A:$ZZ,20,FALSE)+SUM(_xlfn.XLOOKUP(S282:AG282,增益!$A:$A,增益!$T:$T,0))</f>
        <v>1.782</v>
      </c>
      <c r="BO282" s="21">
        <f t="shared" si="219"/>
        <v>0.18803265</v>
      </c>
      <c r="BP282" s="21">
        <f t="shared" si="220"/>
        <v>0.2649738</v>
      </c>
      <c r="BQ282" s="21">
        <f>IF(VLOOKUP($R282,武学奇术!$A:$ZZ,22,FALSE)=1,0,(1-$BJ282))*(1-$BM282)</f>
        <v>0.09749355</v>
      </c>
      <c r="BR282" s="21" cm="1">
        <f t="array" ref="BR282">SUM(_xlfn.XLOOKUP(S282:AG282,增益!$A:$A,增益!$W:$W,0))+$I$5</f>
        <v>0.16</v>
      </c>
    </row>
    <row r="283" spans="11:70">
      <c r="K283" s="24">
        <f>$L283*VLOOKUP($R283,武学奇术!$A:$ZZ,31,FALSE)</f>
        <v>12584.1739213937</v>
      </c>
      <c r="L283" s="24">
        <f t="shared" si="210"/>
        <v>20973.6232023228</v>
      </c>
      <c r="M283" s="24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17179.9882679137</v>
      </c>
      <c r="N283" s="24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31599.4539441799</v>
      </c>
      <c r="O283" s="24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11453.3255119425</v>
      </c>
      <c r="P283" s="24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5174.07305296465</v>
      </c>
      <c r="Q283" s="31">
        <v>1</v>
      </c>
      <c r="R283" s="32" t="s">
        <v>199</v>
      </c>
      <c r="S283" s="32" t="s">
        <v>87</v>
      </c>
      <c r="T283" s="32" t="s">
        <v>96</v>
      </c>
      <c r="U283" s="32" t="s">
        <v>97</v>
      </c>
      <c r="V283" s="32" t="s">
        <v>73</v>
      </c>
      <c r="W283" s="32" t="s">
        <v>111</v>
      </c>
      <c r="X283" s="32" t="s">
        <v>127</v>
      </c>
      <c r="Y283" s="32" t="s">
        <v>179</v>
      </c>
      <c r="Z283" s="32" t="s">
        <v>182</v>
      </c>
      <c r="AA283" s="32" t="s">
        <v>81</v>
      </c>
      <c r="AB283" s="32" t="s">
        <v>75</v>
      </c>
      <c r="AC283" s="32" t="s">
        <v>89</v>
      </c>
      <c r="AD283" s="32" t="s">
        <v>82</v>
      </c>
      <c r="AE283" s="32" t="s">
        <v>90</v>
      </c>
      <c r="AF283" s="32" t="s">
        <v>73</v>
      </c>
      <c r="AG283" s="32" t="s">
        <v>178</v>
      </c>
      <c r="AH283" t="str">
        <f>VLOOKUP($R283,武学奇术!$A:$ZZ,25,FALSE)</f>
        <v>剑</v>
      </c>
      <c r="AI283" s="21">
        <f>VLOOKUP($R283,武学奇术!$A:$ZZ,26,FALSE)</f>
        <v>0.3465</v>
      </c>
      <c r="AJ283" s="22">
        <f>VLOOKUP($R283,武学奇术!$A:$ZZ,27,FALSE)*(1+IF(OR($AH283=$F$4,$AH283=$F$5),$B$22,0))</f>
        <v>0</v>
      </c>
      <c r="AK283" s="21">
        <f>VLOOKUP($R283,武学奇术!$A:$ZZ,28,FALSE)</f>
        <v>0.51975</v>
      </c>
      <c r="AL283" s="22">
        <f>VLOOKUP($R283,武学奇术!$A:$ZZ,29,FALSE)*(1+IF(OR($AH283=$F$4,$AH283=$F$5),$B$22,0))</f>
        <v>0</v>
      </c>
      <c r="AM283" s="21" cm="1">
        <f t="array" ref="AM283">$G$3+IFERROR(VLOOKUP($AH283,$F$4:$G$7,2,FALSE),0)+VLOOKUP($R283,武学奇术!$A:$ZZ,2,FALSE)+SUM(_xlfn.XLOOKUP($S283:$AG283,增益!$A:$A,增益!$B:$B,0))</f>
        <v>1.5591</v>
      </c>
      <c r="AN283" s="21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1862.48</v>
      </c>
      <c r="AP283" cm="1">
        <f t="array" ref="AP283">$E$10*(1+$AN283)+VLOOKUP($R283,武学奇术!$A:$ZZ,4,FALSE)+SUM(_xlfn.XLOOKUP($S283:$AG283,增益!$A:$A,增益!$D:$D,0))-$I$2</f>
        <v>7794.56</v>
      </c>
      <c r="AQ283" s="26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0.369</v>
      </c>
      <c r="AR283" s="26" cm="1">
        <f t="array" ref="AR283">$G$10+VLOOKUP($R283,武学奇术!$A:$ZZ,7,FALSE)+SUM(_xlfn.XLOOKUP(S283:AG283,增益!$A:$A,增益!$G:$G,0))</f>
        <v>0</v>
      </c>
      <c r="AS283" s="21" cm="1">
        <f t="array" ref="AS283">VLOOKUP($R283,武学奇术!$A:$ZZ,8,FALSE)+SUM(_xlfn.XLOOKUP(S283:AG283,增益!$A:$A,增益!$H:$H,0))</f>
        <v>0</v>
      </c>
      <c r="AT283">
        <f t="shared" si="211"/>
        <v>680.02</v>
      </c>
      <c r="AU283">
        <f t="shared" si="212"/>
        <v>1288.54</v>
      </c>
      <c r="AV283" s="26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0.075</v>
      </c>
      <c r="AW283" s="26" cm="1">
        <f t="array" ref="AW283">$G$11+VLOOKUP($R283,武学奇术!$A:$ZZ,10,FALSE)+SUM(_xlfn.XLOOKUP(S283:AG283,增益!$A:$A,增益!$J:$J,0))</f>
        <v>0.15</v>
      </c>
      <c r="AX283">
        <f t="shared" si="213"/>
        <v>0</v>
      </c>
      <c r="AY283">
        <f t="shared" si="214"/>
        <v>0</v>
      </c>
      <c r="AZ283" s="26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26" cm="1">
        <f t="array" ref="BA283">$G$12+VLOOKUP($R283,武学奇术!$A:$ZZ,12,FALSE)+SUM(_xlfn.XLOOKUP(S283:AG283,增益!$A:$A,增益!$L:$L,0))</f>
        <v>0</v>
      </c>
      <c r="BB283">
        <f t="shared" si="215"/>
        <v>0</v>
      </c>
      <c r="BC283">
        <f t="shared" si="216"/>
        <v>0</v>
      </c>
      <c r="BD283" s="26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26" cm="1">
        <f t="array" ref="BE283">$G$13+VLOOKUP($R283,武学奇术!$A:$ZZ,14,FALSE)+SUM(_xlfn.XLOOKUP(S283:AG283,增益!$A:$A,增益!$N:$N,0))</f>
        <v>0</v>
      </c>
      <c r="BF283">
        <f t="shared" si="217"/>
        <v>0</v>
      </c>
      <c r="BG283">
        <f t="shared" si="218"/>
        <v>0</v>
      </c>
      <c r="BH283" s="26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26" cm="1">
        <f t="array" ref="BI283">$G$14+VLOOKUP($R283,武学奇术!$A:$ZZ,16,FALSE)+SUM(_xlfn.XLOOKUP(S283:AG283,增益!$A:$A,增益!$P:$P,0))</f>
        <v>0</v>
      </c>
      <c r="BJ283" s="21">
        <f>MIN(IF(VLOOKUP($R283,武学奇术!$A:$ZZ,23,FALSE)=1,100%,$B$8),100%)</f>
        <v>0.8229</v>
      </c>
      <c r="BK283" s="21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0.2285</v>
      </c>
      <c r="BL283" s="21" cm="1">
        <f t="array" ref="BL283">1+$B$13+VLOOKUP($R283,武学奇术!$A:$ZZ,18,FALSE)+SUM(_xlfn.XLOOKUP(S283:AG283,增益!$A:$A,增益!$R:$R,0))</f>
        <v>1.5</v>
      </c>
      <c r="BM283" s="21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0.4495</v>
      </c>
      <c r="BN283" s="21" cm="1">
        <f t="array" ref="BN283">1+$B$14+VLOOKUP($R283,武学奇术!$A:$ZZ,20,FALSE)+SUM(_xlfn.XLOOKUP(S283:AG283,增益!$A:$A,增益!$T:$T,0))</f>
        <v>1.782</v>
      </c>
      <c r="BO283" s="21">
        <f t="shared" si="219"/>
        <v>0.18803265</v>
      </c>
      <c r="BP283" s="21">
        <f t="shared" si="220"/>
        <v>0.2649738</v>
      </c>
      <c r="BQ283" s="21">
        <f>IF(VLOOKUP($R283,武学奇术!$A:$ZZ,22,FALSE)=1,0,(1-$BJ283))*(1-$BM283)</f>
        <v>0.09749355</v>
      </c>
      <c r="BR283" s="21" cm="1">
        <f t="array" ref="BR283">SUM(_xlfn.XLOOKUP(S283:AG283,增益!$A:$A,增益!$W:$W,0))+$I$5</f>
        <v>0.16</v>
      </c>
    </row>
    <row r="284" spans="11:70">
      <c r="K284" s="24">
        <f>$L284*VLOOKUP($R284,武学奇术!$A:$ZZ,31,FALSE)</f>
        <v>6292.08696069684</v>
      </c>
      <c r="L284" s="24">
        <f t="shared" si="210"/>
        <v>10486.8116011614</v>
      </c>
      <c r="M284" s="24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8589.99413395684</v>
      </c>
      <c r="N284" s="24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15799.72697209</v>
      </c>
      <c r="O284" s="24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5726.66275597123</v>
      </c>
      <c r="P284" s="24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2587.03652648232</v>
      </c>
      <c r="Q284" s="31">
        <v>1</v>
      </c>
      <c r="R284" s="32" t="s">
        <v>198</v>
      </c>
      <c r="S284" s="32" t="s">
        <v>87</v>
      </c>
      <c r="T284" s="32" t="s">
        <v>96</v>
      </c>
      <c r="U284" s="32" t="s">
        <v>97</v>
      </c>
      <c r="V284" s="32" t="s">
        <v>73</v>
      </c>
      <c r="W284" s="32" t="s">
        <v>111</v>
      </c>
      <c r="X284" s="32" t="s">
        <v>127</v>
      </c>
      <c r="Y284" s="32" t="s">
        <v>179</v>
      </c>
      <c r="Z284" s="32" t="s">
        <v>182</v>
      </c>
      <c r="AA284" s="32" t="s">
        <v>81</v>
      </c>
      <c r="AB284" s="32" t="s">
        <v>75</v>
      </c>
      <c r="AC284" s="32" t="s">
        <v>89</v>
      </c>
      <c r="AD284" s="32" t="s">
        <v>82</v>
      </c>
      <c r="AE284" s="32" t="s">
        <v>90</v>
      </c>
      <c r="AF284" s="32" t="s">
        <v>73</v>
      </c>
      <c r="AG284" s="32" t="s">
        <v>178</v>
      </c>
      <c r="AH284" t="str">
        <f>VLOOKUP($R284,武学奇术!$A:$ZZ,25,FALSE)</f>
        <v>剑</v>
      </c>
      <c r="AI284" s="21">
        <f>VLOOKUP($R284,武学奇术!$A:$ZZ,26,FALSE)</f>
        <v>0.17325</v>
      </c>
      <c r="AJ284" s="22">
        <f>VLOOKUP($R284,武学奇术!$A:$ZZ,27,FALSE)*(1+IF(OR($AH284=$F$4,$AH284=$F$5),$B$22,0))</f>
        <v>0</v>
      </c>
      <c r="AK284" s="21">
        <f>VLOOKUP($R284,武学奇术!$A:$ZZ,28,FALSE)</f>
        <v>0.259875</v>
      </c>
      <c r="AL284" s="22">
        <f>VLOOKUP($R284,武学奇术!$A:$ZZ,29,FALSE)*(1+IF(OR($AH284=$F$4,$AH284=$F$5),$B$22,0))</f>
        <v>0</v>
      </c>
      <c r="AM284" s="21" cm="1">
        <f t="array" ref="AM284">$G$3+IFERROR(VLOOKUP($AH284,$F$4:$G$7,2,FALSE),0)+VLOOKUP($R284,武学奇术!$A:$ZZ,2,FALSE)+SUM(_xlfn.XLOOKUP($S284:$AG284,增益!$A:$A,增益!$B:$B,0))</f>
        <v>1.5591</v>
      </c>
      <c r="AN284" s="21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1862.48</v>
      </c>
      <c r="AP284" cm="1">
        <f t="array" ref="AP284">$E$10*(1+$AN284)+VLOOKUP($R284,武学奇术!$A:$ZZ,4,FALSE)+SUM(_xlfn.XLOOKUP($S284:$AG284,增益!$A:$A,增益!$D:$D,0))-$I$2</f>
        <v>7794.56</v>
      </c>
      <c r="AQ284" s="26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0.369</v>
      </c>
      <c r="AR284" s="26" cm="1">
        <f t="array" ref="AR284">$G$10+VLOOKUP($R284,武学奇术!$A:$ZZ,7,FALSE)+SUM(_xlfn.XLOOKUP(S284:AG284,增益!$A:$A,增益!$G:$G,0))</f>
        <v>0</v>
      </c>
      <c r="AS284" s="21" cm="1">
        <f t="array" ref="AS284">VLOOKUP($R284,武学奇术!$A:$ZZ,8,FALSE)+SUM(_xlfn.XLOOKUP(S284:AG284,增益!$A:$A,增益!$H:$H,0))</f>
        <v>0</v>
      </c>
      <c r="AT284">
        <f t="shared" si="211"/>
        <v>680.02</v>
      </c>
      <c r="AU284">
        <f t="shared" si="212"/>
        <v>1288.54</v>
      </c>
      <c r="AV284" s="26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0.075</v>
      </c>
      <c r="AW284" s="26" cm="1">
        <f t="array" ref="AW284">$G$11+VLOOKUP($R284,武学奇术!$A:$ZZ,10,FALSE)+SUM(_xlfn.XLOOKUP(S284:AG284,增益!$A:$A,增益!$J:$J,0))</f>
        <v>0.15</v>
      </c>
      <c r="AX284">
        <f t="shared" si="213"/>
        <v>0</v>
      </c>
      <c r="AY284">
        <f t="shared" si="214"/>
        <v>0</v>
      </c>
      <c r="AZ284" s="26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26" cm="1">
        <f t="array" ref="BA284">$G$12+VLOOKUP($R284,武学奇术!$A:$ZZ,12,FALSE)+SUM(_xlfn.XLOOKUP(S284:AG284,增益!$A:$A,增益!$L:$L,0))</f>
        <v>0</v>
      </c>
      <c r="BB284">
        <f t="shared" si="215"/>
        <v>0</v>
      </c>
      <c r="BC284">
        <f t="shared" si="216"/>
        <v>0</v>
      </c>
      <c r="BD284" s="26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26" cm="1">
        <f t="array" ref="BE284">$G$13+VLOOKUP($R284,武学奇术!$A:$ZZ,14,FALSE)+SUM(_xlfn.XLOOKUP(S284:AG284,增益!$A:$A,增益!$N:$N,0))</f>
        <v>0</v>
      </c>
      <c r="BF284">
        <f t="shared" si="217"/>
        <v>0</v>
      </c>
      <c r="BG284">
        <f t="shared" si="218"/>
        <v>0</v>
      </c>
      <c r="BH284" s="26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26" cm="1">
        <f t="array" ref="BI284">$G$14+VLOOKUP($R284,武学奇术!$A:$ZZ,16,FALSE)+SUM(_xlfn.XLOOKUP(S284:AG284,增益!$A:$A,增益!$P:$P,0))</f>
        <v>0</v>
      </c>
      <c r="BJ284" s="21">
        <f>MIN(IF(VLOOKUP($R284,武学奇术!$A:$ZZ,23,FALSE)=1,100%,$B$8),100%)</f>
        <v>0.8229</v>
      </c>
      <c r="BK284" s="21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0.2285</v>
      </c>
      <c r="BL284" s="21" cm="1">
        <f t="array" ref="BL284">1+$B$13+VLOOKUP($R284,武学奇术!$A:$ZZ,18,FALSE)+SUM(_xlfn.XLOOKUP(S284:AG284,增益!$A:$A,增益!$R:$R,0))</f>
        <v>1.5</v>
      </c>
      <c r="BM284" s="21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0.4495</v>
      </c>
      <c r="BN284" s="21" cm="1">
        <f t="array" ref="BN284">1+$B$14+VLOOKUP($R284,武学奇术!$A:$ZZ,20,FALSE)+SUM(_xlfn.XLOOKUP(S284:AG284,增益!$A:$A,增益!$T:$T,0))</f>
        <v>1.782</v>
      </c>
      <c r="BO284" s="21">
        <f t="shared" si="219"/>
        <v>0.18803265</v>
      </c>
      <c r="BP284" s="21">
        <f t="shared" si="220"/>
        <v>0.2649738</v>
      </c>
      <c r="BQ284" s="21">
        <f>IF(VLOOKUP($R284,武学奇术!$A:$ZZ,22,FALSE)=1,0,(1-$BJ284))*(1-$BM284)</f>
        <v>0.09749355</v>
      </c>
      <c r="BR284" s="21" cm="1">
        <f t="array" ref="BR284">SUM(_xlfn.XLOOKUP(S284:AG284,增益!$A:$A,增益!$W:$W,0))+$I$5</f>
        <v>0.16</v>
      </c>
    </row>
    <row r="285" spans="11:70">
      <c r="K285" s="24">
        <f>$L285*VLOOKUP($R285,武学奇术!$A:$ZZ,31,FALSE)</f>
        <v>0</v>
      </c>
      <c r="L285" s="24">
        <f t="shared" si="210"/>
        <v>0</v>
      </c>
      <c r="M285" s="24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0</v>
      </c>
      <c r="N285" s="24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0</v>
      </c>
      <c r="O285" s="24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0</v>
      </c>
      <c r="P285" s="24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0</v>
      </c>
      <c r="Q285" s="31"/>
      <c r="R285" s="32" t="s">
        <v>73</v>
      </c>
      <c r="S285" s="32" t="s">
        <v>73</v>
      </c>
      <c r="T285" s="32" t="s">
        <v>73</v>
      </c>
      <c r="U285" s="32" t="s">
        <v>73</v>
      </c>
      <c r="V285" s="32" t="s">
        <v>73</v>
      </c>
      <c r="W285" s="32" t="s">
        <v>73</v>
      </c>
      <c r="X285" s="32" t="s">
        <v>73</v>
      </c>
      <c r="Y285" s="32" t="s">
        <v>73</v>
      </c>
      <c r="Z285" s="32" t="s">
        <v>73</v>
      </c>
      <c r="AA285" s="32" t="s">
        <v>73</v>
      </c>
      <c r="AB285" s="32" t="s">
        <v>73</v>
      </c>
      <c r="AC285" s="32" t="s">
        <v>73</v>
      </c>
      <c r="AD285" s="32" t="s">
        <v>73</v>
      </c>
      <c r="AE285" s="32" t="s">
        <v>73</v>
      </c>
      <c r="AF285" s="32" t="s">
        <v>73</v>
      </c>
      <c r="AG285" s="32" t="s">
        <v>73</v>
      </c>
      <c r="AH285" t="str">
        <f>VLOOKUP($R285,武学奇术!$A:$ZZ,25,FALSE)</f>
        <v>心法</v>
      </c>
      <c r="AI285" s="21">
        <f>VLOOKUP($R285,武学奇术!$A:$ZZ,26,FALSE)</f>
        <v>0</v>
      </c>
      <c r="AJ285" s="22">
        <f>VLOOKUP($R285,武学奇术!$A:$ZZ,27,FALSE)*(1+IF(OR($AH285=$F$4,$AH285=$F$5),$B$22,0))</f>
        <v>0</v>
      </c>
      <c r="AK285" s="21">
        <f>VLOOKUP($R285,武学奇术!$A:$ZZ,28,FALSE)</f>
        <v>0</v>
      </c>
      <c r="AL285" s="22">
        <f>VLOOKUP($R285,武学奇术!$A:$ZZ,29,FALSE)*(1+IF(OR($AH285=$F$4,$AH285=$F$5),$B$22,0))</f>
        <v>0</v>
      </c>
      <c r="AM285" s="21" cm="1">
        <f t="array" ref="AM285">$G$3+IFERROR(VLOOKUP($AH285,$F$4:$G$7,2,FALSE),0)+VLOOKUP($R285,武学奇术!$A:$ZZ,2,FALSE)+SUM(_xlfn.XLOOKUP($S285:$AG285,增益!$A:$A,增益!$B:$B,0))</f>
        <v>0.1842</v>
      </c>
      <c r="AN285" s="21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1831.48</v>
      </c>
      <c r="AP285" cm="1">
        <f t="array" ref="AP285">$E$10*(1+$AN285)+VLOOKUP($R285,武学奇术!$A:$ZZ,4,FALSE)+SUM(_xlfn.XLOOKUP($S285:$AG285,增益!$A:$A,增益!$D:$D,0))-$I$2</f>
        <v>7763.56</v>
      </c>
      <c r="AQ285" s="26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0.244</v>
      </c>
      <c r="AR285" s="26" cm="1">
        <f t="array" ref="AR285">$G$10+VLOOKUP($R285,武学奇术!$A:$ZZ,7,FALSE)+SUM(_xlfn.XLOOKUP(S285:AG285,增益!$A:$A,增益!$G:$G,0))</f>
        <v>0</v>
      </c>
      <c r="AS285" s="21" cm="1">
        <f t="array" ref="AS285">VLOOKUP($R285,武学奇术!$A:$ZZ,8,FALSE)+SUM(_xlfn.XLOOKUP(S285:AG285,增益!$A:$A,增益!$H:$H,0))</f>
        <v>0</v>
      </c>
      <c r="AT285">
        <f t="shared" si="211"/>
        <v>680.02</v>
      </c>
      <c r="AU285">
        <f t="shared" si="212"/>
        <v>1288.54</v>
      </c>
      <c r="AV285" s="26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</v>
      </c>
      <c r="AW285" s="26" cm="1">
        <f t="array" ref="AW285">$G$11+VLOOKUP($R285,武学奇术!$A:$ZZ,10,FALSE)+SUM(_xlfn.XLOOKUP(S285:AG285,增益!$A:$A,增益!$J:$J,0))</f>
        <v>0.15</v>
      </c>
      <c r="AX285">
        <f t="shared" si="213"/>
        <v>0</v>
      </c>
      <c r="AY285">
        <f t="shared" si="214"/>
        <v>0</v>
      </c>
      <c r="AZ285" s="26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26" cm="1">
        <f t="array" ref="BA285">$G$12+VLOOKUP($R285,武学奇术!$A:$ZZ,12,FALSE)+SUM(_xlfn.XLOOKUP(S285:AG285,增益!$A:$A,增益!$L:$L,0))</f>
        <v>0</v>
      </c>
      <c r="BB285">
        <f t="shared" si="215"/>
        <v>0</v>
      </c>
      <c r="BC285">
        <f t="shared" si="216"/>
        <v>0</v>
      </c>
      <c r="BD285" s="26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26" cm="1">
        <f t="array" ref="BE285">$G$13+VLOOKUP($R285,武学奇术!$A:$ZZ,14,FALSE)+SUM(_xlfn.XLOOKUP(S285:AG285,增益!$A:$A,增益!$N:$N,0))</f>
        <v>0</v>
      </c>
      <c r="BF285">
        <f t="shared" si="217"/>
        <v>0</v>
      </c>
      <c r="BG285">
        <f t="shared" si="218"/>
        <v>0</v>
      </c>
      <c r="BH285" s="26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26" cm="1">
        <f t="array" ref="BI285">$G$14+VLOOKUP($R285,武学奇术!$A:$ZZ,16,FALSE)+SUM(_xlfn.XLOOKUP(S285:AG285,增益!$A:$A,增益!$P:$P,0))</f>
        <v>0</v>
      </c>
      <c r="BJ285" s="21">
        <f>MIN(IF(VLOOKUP($R285,武学奇术!$A:$ZZ,23,FALSE)=1,100%,$B$8),100%)</f>
        <v>0.8229</v>
      </c>
      <c r="BK285" s="21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0.2285</v>
      </c>
      <c r="BL285" s="21" cm="1">
        <f t="array" ref="BL285">1+$B$13+VLOOKUP($R285,武学奇术!$A:$ZZ,18,FALSE)+SUM(_xlfn.XLOOKUP(S285:AG285,增益!$A:$A,增益!$R:$R,0))</f>
        <v>1.5</v>
      </c>
      <c r="BM285" s="21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0.4195</v>
      </c>
      <c r="BN285" s="21" cm="1">
        <f t="array" ref="BN285">1+$B$14+VLOOKUP($R285,武学奇术!$A:$ZZ,20,FALSE)+SUM(_xlfn.XLOOKUP(S285:AG285,增益!$A:$A,增益!$T:$T,0))</f>
        <v>1.402</v>
      </c>
      <c r="BO285" s="21">
        <f t="shared" si="219"/>
        <v>0.18803265</v>
      </c>
      <c r="BP285" s="21">
        <f t="shared" si="220"/>
        <v>0.2896608</v>
      </c>
      <c r="BQ285" s="21">
        <f>IF(VLOOKUP($R285,武学奇术!$A:$ZZ,22,FALSE)=1,0,(1-$BJ285))*(1-$BM285)</f>
        <v>0.10280655</v>
      </c>
      <c r="BR285" s="21" cm="1">
        <f t="array" ref="BR285">SUM(_xlfn.XLOOKUP(S285:AG285,增益!$A:$A,增益!$W:$W,0))+$I$5</f>
        <v>0.06</v>
      </c>
    </row>
    <row r="286" spans="11:70">
      <c r="K286" s="24">
        <f>$L286*VLOOKUP($R286,武学奇术!$A:$ZZ,31,FALSE)</f>
        <v>23715.597762088</v>
      </c>
      <c r="L286" s="24">
        <f t="shared" si="210"/>
        <v>23715.597762088</v>
      </c>
      <c r="M286" s="24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21229.5919637606</v>
      </c>
      <c r="N286" s="24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34208.529726005</v>
      </c>
      <c r="O286" s="24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14153.0613091738</v>
      </c>
      <c r="P286" s="24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6121.60269227424</v>
      </c>
      <c r="Q286" s="31">
        <v>1</v>
      </c>
      <c r="R286" s="32" t="s">
        <v>201</v>
      </c>
      <c r="S286" s="32" t="s">
        <v>87</v>
      </c>
      <c r="T286" s="32" t="s">
        <v>104</v>
      </c>
      <c r="U286" s="32" t="s">
        <v>73</v>
      </c>
      <c r="V286" s="32" t="s">
        <v>73</v>
      </c>
      <c r="W286" s="32" t="s">
        <v>111</v>
      </c>
      <c r="X286" s="32" t="s">
        <v>127</v>
      </c>
      <c r="Y286" s="32" t="s">
        <v>73</v>
      </c>
      <c r="Z286" s="32" t="s">
        <v>73</v>
      </c>
      <c r="AA286" s="32" t="s">
        <v>81</v>
      </c>
      <c r="AB286" s="32" t="s">
        <v>75</v>
      </c>
      <c r="AC286" s="32" t="s">
        <v>76</v>
      </c>
      <c r="AD286" s="32" t="s">
        <v>82</v>
      </c>
      <c r="AE286" s="32" t="s">
        <v>90</v>
      </c>
      <c r="AF286" s="32" t="s">
        <v>77</v>
      </c>
      <c r="AG286" s="32" t="s">
        <v>128</v>
      </c>
      <c r="AH286" t="str">
        <f>VLOOKUP($R286,武学奇术!$A:$ZZ,25,FALSE)</f>
        <v>心法</v>
      </c>
      <c r="AI286" s="21">
        <f>VLOOKUP($R286,武学奇术!$A:$ZZ,26,FALSE)</f>
        <v>1</v>
      </c>
      <c r="AJ286" s="22">
        <f>VLOOKUP($R286,武学奇术!$A:$ZZ,27,FALSE)*(1+IF(OR($AH286=$F$4,$AH286=$F$5),$B$22,0))</f>
        <v>0</v>
      </c>
      <c r="AK286" s="21">
        <f>VLOOKUP($R286,武学奇术!$A:$ZZ,28,FALSE)</f>
        <v>1</v>
      </c>
      <c r="AL286" s="22">
        <f>VLOOKUP($R286,武学奇术!$A:$ZZ,29,FALSE)*(1+IF(OR($AH286=$F$4,$AH286=$F$5),$B$22,0))</f>
        <v>0</v>
      </c>
      <c r="AM286" s="21" cm="1">
        <f t="array" ref="AM286">$G$3+IFERROR(VLOOKUP($AH286,$F$4:$G$7,2,FALSE),0)+VLOOKUP($R286,武学奇术!$A:$ZZ,2,FALSE)+SUM(_xlfn.XLOOKUP($S286:$AG286,增益!$A:$A,增益!$B:$B,0))</f>
        <v>0.8092</v>
      </c>
      <c r="AN286" s="21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1862.48</v>
      </c>
      <c r="AP286" cm="1">
        <f t="array" ref="AP286">$E$10*(1+$AN286)+VLOOKUP($R286,武学奇术!$A:$ZZ,4,FALSE)+SUM(_xlfn.XLOOKUP($S286:$AG286,增益!$A:$A,增益!$D:$D,0))-$I$2</f>
        <v>7794.56</v>
      </c>
      <c r="AQ286" s="26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0.294</v>
      </c>
      <c r="AR286" s="26" cm="1">
        <f t="array" ref="AR286">$G$10+VLOOKUP($R286,武学奇术!$A:$ZZ,7,FALSE)+SUM(_xlfn.XLOOKUP(S286:AG286,增益!$A:$A,增益!$G:$G,0))</f>
        <v>0</v>
      </c>
      <c r="AS286" s="21" cm="1">
        <f t="array" ref="AS286">VLOOKUP($R286,武学奇术!$A:$ZZ,8,FALSE)+SUM(_xlfn.XLOOKUP(S286:AG286,增益!$A:$A,增益!$H:$H,0))</f>
        <v>0</v>
      </c>
      <c r="AT286">
        <f t="shared" si="211"/>
        <v>680.02</v>
      </c>
      <c r="AU286">
        <f t="shared" si="212"/>
        <v>1288.54</v>
      </c>
      <c r="AV286" s="26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</v>
      </c>
      <c r="AW286" s="26" cm="1">
        <f t="array" ref="AW286">$G$11+VLOOKUP($R286,武学奇术!$A:$ZZ,10,FALSE)+SUM(_xlfn.XLOOKUP(S286:AG286,增益!$A:$A,增益!$J:$J,0))</f>
        <v>0.15</v>
      </c>
      <c r="AX286">
        <f t="shared" si="213"/>
        <v>0</v>
      </c>
      <c r="AY286">
        <f t="shared" si="214"/>
        <v>0</v>
      </c>
      <c r="AZ286" s="26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26" cm="1">
        <f t="array" ref="BA286">$G$12+VLOOKUP($R286,武学奇术!$A:$ZZ,12,FALSE)+SUM(_xlfn.XLOOKUP(S286:AG286,增益!$A:$A,增益!$L:$L,0))</f>
        <v>0</v>
      </c>
      <c r="BB286">
        <f t="shared" si="215"/>
        <v>0</v>
      </c>
      <c r="BC286">
        <f t="shared" si="216"/>
        <v>0</v>
      </c>
      <c r="BD286" s="26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26" cm="1">
        <f t="array" ref="BE286">$G$13+VLOOKUP($R286,武学奇术!$A:$ZZ,14,FALSE)+SUM(_xlfn.XLOOKUP(S286:AG286,增益!$A:$A,增益!$N:$N,0))</f>
        <v>0</v>
      </c>
      <c r="BF286">
        <f t="shared" si="217"/>
        <v>0</v>
      </c>
      <c r="BG286">
        <f t="shared" si="218"/>
        <v>0</v>
      </c>
      <c r="BH286" s="26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26" cm="1">
        <f t="array" ref="BI286">$G$14+VLOOKUP($R286,武学奇术!$A:$ZZ,16,FALSE)+SUM(_xlfn.XLOOKUP(S286:AG286,增益!$A:$A,增益!$P:$P,0))</f>
        <v>0</v>
      </c>
      <c r="BJ286" s="21">
        <f>MIN(IF(VLOOKUP($R286,武学奇术!$A:$ZZ,23,FALSE)=1,100%,$B$8),100%)</f>
        <v>0.8229</v>
      </c>
      <c r="BK286" s="21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0.2285</v>
      </c>
      <c r="BL286" s="21" cm="1">
        <f t="array" ref="BL286">1+$B$13+VLOOKUP($R286,武学奇术!$A:$ZZ,18,FALSE)+SUM(_xlfn.XLOOKUP(S286:AG286,增益!$A:$A,增益!$R:$R,0))</f>
        <v>1.5</v>
      </c>
      <c r="BM286" s="21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0.4495</v>
      </c>
      <c r="BN286" s="21" cm="1">
        <f t="array" ref="BN286">1+$B$14+VLOOKUP($R286,武学奇术!$A:$ZZ,20,FALSE)+SUM(_xlfn.XLOOKUP(S286:AG286,增益!$A:$A,增益!$T:$T,0))</f>
        <v>1.542</v>
      </c>
      <c r="BO286" s="21">
        <f t="shared" si="219"/>
        <v>0.18803265</v>
      </c>
      <c r="BP286" s="21">
        <f t="shared" si="220"/>
        <v>0.2649738</v>
      </c>
      <c r="BQ286" s="21">
        <f>IF(VLOOKUP($R286,武学奇术!$A:$ZZ,22,FALSE)=1,0,(1-$BJ286))*(1-$BM286)</f>
        <v>0.09749355</v>
      </c>
      <c r="BR286" s="21" cm="1">
        <f t="array" ref="BR286">SUM(_xlfn.XLOOKUP(S286:AG286,增益!$A:$A,增益!$W:$W,0))+$I$5</f>
        <v>0.06</v>
      </c>
    </row>
    <row r="287" spans="11:70">
      <c r="K287" s="24">
        <f>$L287*VLOOKUP($R287,武学奇术!$A:$ZZ,31,FALSE)</f>
        <v>20563.5971787478</v>
      </c>
      <c r="L287" s="24">
        <f t="shared" si="210"/>
        <v>20563.5971787478</v>
      </c>
      <c r="M287" s="24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18178.6888515686</v>
      </c>
      <c r="N287" s="24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29862.3159405324</v>
      </c>
      <c r="O287" s="24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12119.1259010458</v>
      </c>
      <c r="P287" s="24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5241.86761600224</v>
      </c>
      <c r="Q287" s="31">
        <v>1</v>
      </c>
      <c r="R287" s="32" t="s">
        <v>201</v>
      </c>
      <c r="S287" s="32" t="s">
        <v>87</v>
      </c>
      <c r="T287" s="32" t="s">
        <v>104</v>
      </c>
      <c r="U287" s="32" t="s">
        <v>73</v>
      </c>
      <c r="V287" s="32" t="s">
        <v>73</v>
      </c>
      <c r="W287" s="32" t="s">
        <v>111</v>
      </c>
      <c r="X287" s="32" t="s">
        <v>127</v>
      </c>
      <c r="Y287" s="32" t="s">
        <v>73</v>
      </c>
      <c r="Z287" s="32" t="s">
        <v>73</v>
      </c>
      <c r="AA287" s="32" t="s">
        <v>73</v>
      </c>
      <c r="AB287" s="32" t="s">
        <v>75</v>
      </c>
      <c r="AC287" s="32" t="s">
        <v>76</v>
      </c>
      <c r="AD287" s="32" t="s">
        <v>82</v>
      </c>
      <c r="AE287" s="32" t="s">
        <v>73</v>
      </c>
      <c r="AF287" s="32" t="s">
        <v>73</v>
      </c>
      <c r="AG287" s="32" t="s">
        <v>169</v>
      </c>
      <c r="AH287" t="str">
        <f>VLOOKUP($R287,武学奇术!$A:$ZZ,25,FALSE)</f>
        <v>心法</v>
      </c>
      <c r="AI287" s="21">
        <f>VLOOKUP($R287,武学奇术!$A:$ZZ,26,FALSE)</f>
        <v>1</v>
      </c>
      <c r="AJ287" s="22">
        <f>VLOOKUP($R287,武学奇术!$A:$ZZ,27,FALSE)*(1+IF(OR($AH287=$F$4,$AH287=$F$5),$B$22,0))</f>
        <v>0</v>
      </c>
      <c r="AK287" s="21">
        <f>VLOOKUP($R287,武学奇术!$A:$ZZ,28,FALSE)</f>
        <v>1</v>
      </c>
      <c r="AL287" s="22">
        <f>VLOOKUP($R287,武学奇术!$A:$ZZ,29,FALSE)*(1+IF(OR($AH287=$F$4,$AH287=$F$5),$B$22,0))</f>
        <v>0</v>
      </c>
      <c r="AM287" s="21" cm="1">
        <f t="array" ref="AM287">$G$3+IFERROR(VLOOKUP($AH287,$F$4:$G$7,2,FALSE),0)+VLOOKUP($R287,武学奇术!$A:$ZZ,2,FALSE)+SUM(_xlfn.XLOOKUP($S287:$AG287,增益!$A:$A,增益!$B:$B,0))</f>
        <v>0.5492</v>
      </c>
      <c r="AN287" s="21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1862.48</v>
      </c>
      <c r="AP287" cm="1">
        <f t="array" ref="AP287">$E$10*(1+$AN287)+VLOOKUP($R287,武学奇术!$A:$ZZ,4,FALSE)+SUM(_xlfn.XLOOKUP($S287:$AG287,增益!$A:$A,增益!$D:$D,0))-$I$2</f>
        <v>7794.56</v>
      </c>
      <c r="AQ287" s="26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0.294</v>
      </c>
      <c r="AR287" s="26" cm="1">
        <f t="array" ref="AR287">$G$10+VLOOKUP($R287,武学奇术!$A:$ZZ,7,FALSE)+SUM(_xlfn.XLOOKUP(S287:AG287,增益!$A:$A,增益!$G:$G,0))</f>
        <v>0</v>
      </c>
      <c r="AS287" s="21" cm="1">
        <f t="array" ref="AS287">VLOOKUP($R287,武学奇术!$A:$ZZ,8,FALSE)+SUM(_xlfn.XLOOKUP(S287:AG287,增益!$A:$A,增益!$H:$H,0))</f>
        <v>0</v>
      </c>
      <c r="AT287">
        <f t="shared" si="211"/>
        <v>680.02</v>
      </c>
      <c r="AU287">
        <f t="shared" si="212"/>
        <v>1288.54</v>
      </c>
      <c r="AV287" s="26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</v>
      </c>
      <c r="AW287" s="26" cm="1">
        <f t="array" ref="AW287">$G$11+VLOOKUP($R287,武学奇术!$A:$ZZ,10,FALSE)+SUM(_xlfn.XLOOKUP(S287:AG287,增益!$A:$A,增益!$J:$J,0))</f>
        <v>0.15</v>
      </c>
      <c r="AX287">
        <f t="shared" si="213"/>
        <v>0</v>
      </c>
      <c r="AY287">
        <f t="shared" si="214"/>
        <v>0</v>
      </c>
      <c r="AZ287" s="26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26" cm="1">
        <f t="array" ref="BA287">$G$12+VLOOKUP($R287,武学奇术!$A:$ZZ,12,FALSE)+SUM(_xlfn.XLOOKUP(S287:AG287,增益!$A:$A,增益!$L:$L,0))</f>
        <v>0</v>
      </c>
      <c r="BB287">
        <f t="shared" si="215"/>
        <v>0</v>
      </c>
      <c r="BC287">
        <f t="shared" si="216"/>
        <v>0</v>
      </c>
      <c r="BD287" s="26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26" cm="1">
        <f t="array" ref="BE287">$G$13+VLOOKUP($R287,武学奇术!$A:$ZZ,14,FALSE)+SUM(_xlfn.XLOOKUP(S287:AG287,增益!$A:$A,增益!$N:$N,0))</f>
        <v>0</v>
      </c>
      <c r="BF287">
        <f t="shared" si="217"/>
        <v>0</v>
      </c>
      <c r="BG287">
        <f t="shared" si="218"/>
        <v>0</v>
      </c>
      <c r="BH287" s="26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26" cm="1">
        <f t="array" ref="BI287">$G$14+VLOOKUP($R287,武学奇术!$A:$ZZ,16,FALSE)+SUM(_xlfn.XLOOKUP(S287:AG287,增益!$A:$A,增益!$P:$P,0))</f>
        <v>0</v>
      </c>
      <c r="BJ287" s="21">
        <f>MIN(IF(VLOOKUP($R287,武学奇术!$A:$ZZ,23,FALSE)=1,100%,$B$8),100%)</f>
        <v>0.8229</v>
      </c>
      <c r="BK287" s="21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0.2285</v>
      </c>
      <c r="BL287" s="21" cm="1">
        <f t="array" ref="BL287">1+$B$13+VLOOKUP($R287,武学奇术!$A:$ZZ,18,FALSE)+SUM(_xlfn.XLOOKUP(S287:AG287,增益!$A:$A,增益!$R:$R,0))</f>
        <v>1.5</v>
      </c>
      <c r="BM287" s="21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0.4495</v>
      </c>
      <c r="BN287" s="21" cm="1">
        <f t="array" ref="BN287">1+$B$14+VLOOKUP($R287,武学奇术!$A:$ZZ,20,FALSE)+SUM(_xlfn.XLOOKUP(S287:AG287,增益!$A:$A,增益!$T:$T,0))</f>
        <v>1.572</v>
      </c>
      <c r="BO287" s="21">
        <f t="shared" si="219"/>
        <v>0.18803265</v>
      </c>
      <c r="BP287" s="21">
        <f t="shared" si="220"/>
        <v>0.2649738</v>
      </c>
      <c r="BQ287" s="21">
        <f>IF(VLOOKUP($R287,武学奇术!$A:$ZZ,22,FALSE)=1,0,(1-$BJ287))*(1-$BM287)</f>
        <v>0.09749355</v>
      </c>
      <c r="BR287" s="21" cm="1">
        <f t="array" ref="BR287">SUM(_xlfn.XLOOKUP(S287:AG287,增益!$A:$A,增益!$W:$W,0))+$I$5</f>
        <v>0.06</v>
      </c>
    </row>
    <row r="288" spans="11:70">
      <c r="K288" s="24">
        <f>$L288*VLOOKUP($R288,武学奇术!$A:$ZZ,31,FALSE)</f>
        <v>20729.8717248305</v>
      </c>
      <c r="L288" s="24">
        <f t="shared" si="210"/>
        <v>20729.8717248305</v>
      </c>
      <c r="M288" s="24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18079.8789235766</v>
      </c>
      <c r="N288" s="24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30326.6784630196</v>
      </c>
      <c r="O288" s="24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12053.2526157178</v>
      </c>
      <c r="P288" s="24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5175.99433067424</v>
      </c>
      <c r="Q288" s="31">
        <v>1</v>
      </c>
      <c r="R288" s="32" t="s">
        <v>201</v>
      </c>
      <c r="S288" s="32" t="s">
        <v>87</v>
      </c>
      <c r="T288" s="32" t="s">
        <v>104</v>
      </c>
      <c r="U288" s="32" t="s">
        <v>73</v>
      </c>
      <c r="V288" s="32" t="s">
        <v>73</v>
      </c>
      <c r="W288" s="32" t="s">
        <v>73</v>
      </c>
      <c r="X288" s="32" t="s">
        <v>127</v>
      </c>
      <c r="Y288" s="32" t="s">
        <v>73</v>
      </c>
      <c r="Z288" s="32" t="s">
        <v>73</v>
      </c>
      <c r="AA288" s="32" t="s">
        <v>81</v>
      </c>
      <c r="AB288" s="32" t="s">
        <v>75</v>
      </c>
      <c r="AC288" s="32" t="s">
        <v>89</v>
      </c>
      <c r="AD288" s="32" t="s">
        <v>82</v>
      </c>
      <c r="AE288" s="32" t="s">
        <v>73</v>
      </c>
      <c r="AF288" s="32" t="s">
        <v>73</v>
      </c>
      <c r="AG288" s="32" t="s">
        <v>178</v>
      </c>
      <c r="AH288" t="str">
        <f>VLOOKUP($R288,武学奇术!$A:$ZZ,25,FALSE)</f>
        <v>心法</v>
      </c>
      <c r="AI288" s="21">
        <f>VLOOKUP($R288,武学奇术!$A:$ZZ,26,FALSE)</f>
        <v>1</v>
      </c>
      <c r="AJ288" s="22">
        <f>VLOOKUP($R288,武学奇术!$A:$ZZ,27,FALSE)*(1+IF(OR($AH288=$F$4,$AH288=$F$5),$B$22,0))</f>
        <v>0</v>
      </c>
      <c r="AK288" s="21">
        <f>VLOOKUP($R288,武学奇术!$A:$ZZ,28,FALSE)</f>
        <v>1</v>
      </c>
      <c r="AL288" s="22">
        <f>VLOOKUP($R288,武学奇术!$A:$ZZ,29,FALSE)*(1+IF(OR($AH288=$F$4,$AH288=$F$5),$B$22,0))</f>
        <v>0</v>
      </c>
      <c r="AM288" s="21" cm="1">
        <f t="array" ref="AM288">$G$3+IFERROR(VLOOKUP($AH288,$F$4:$G$7,2,FALSE),0)+VLOOKUP($R288,武学奇术!$A:$ZZ,2,FALSE)+SUM(_xlfn.XLOOKUP($S288:$AG288,增益!$A:$A,增益!$B:$B,0))</f>
        <v>0.5492</v>
      </c>
      <c r="AN288" s="21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1831.48</v>
      </c>
      <c r="AP288" cm="1">
        <f t="array" ref="AP288">$E$10*(1+$AN288)+VLOOKUP($R288,武学奇术!$A:$ZZ,4,FALSE)+SUM(_xlfn.XLOOKUP($S288:$AG288,增益!$A:$A,增益!$D:$D,0))-$I$2</f>
        <v>7763.56</v>
      </c>
      <c r="AQ288" s="26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0.294</v>
      </c>
      <c r="AR288" s="26" cm="1">
        <f t="array" ref="AR288">$G$10+VLOOKUP($R288,武学奇术!$A:$ZZ,7,FALSE)+SUM(_xlfn.XLOOKUP(S288:AG288,增益!$A:$A,增益!$G:$G,0))</f>
        <v>0</v>
      </c>
      <c r="AS288" s="21" cm="1">
        <f t="array" ref="AS288">VLOOKUP($R288,武学奇术!$A:$ZZ,8,FALSE)+SUM(_xlfn.XLOOKUP(S288:AG288,增益!$A:$A,增益!$H:$H,0))</f>
        <v>0</v>
      </c>
      <c r="AT288">
        <f t="shared" si="211"/>
        <v>680.02</v>
      </c>
      <c r="AU288">
        <f t="shared" si="212"/>
        <v>1288.54</v>
      </c>
      <c r="AV288" s="26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</v>
      </c>
      <c r="AW288" s="26" cm="1">
        <f t="array" ref="AW288">$G$11+VLOOKUP($R288,武学奇术!$A:$ZZ,10,FALSE)+SUM(_xlfn.XLOOKUP(S288:AG288,增益!$A:$A,增益!$J:$J,0))</f>
        <v>0.15</v>
      </c>
      <c r="AX288">
        <f t="shared" si="213"/>
        <v>0</v>
      </c>
      <c r="AY288">
        <f t="shared" si="214"/>
        <v>0</v>
      </c>
      <c r="AZ288" s="26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26" cm="1">
        <f t="array" ref="BA288">$G$12+VLOOKUP($R288,武学奇术!$A:$ZZ,12,FALSE)+SUM(_xlfn.XLOOKUP(S288:AG288,增益!$A:$A,增益!$L:$L,0))</f>
        <v>0</v>
      </c>
      <c r="BB288">
        <f t="shared" si="215"/>
        <v>0</v>
      </c>
      <c r="BC288">
        <f t="shared" si="216"/>
        <v>0</v>
      </c>
      <c r="BD288" s="26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26" cm="1">
        <f t="array" ref="BE288">$G$13+VLOOKUP($R288,武学奇术!$A:$ZZ,14,FALSE)+SUM(_xlfn.XLOOKUP(S288:AG288,增益!$A:$A,增益!$N:$N,0))</f>
        <v>0</v>
      </c>
      <c r="BF288">
        <f t="shared" si="217"/>
        <v>0</v>
      </c>
      <c r="BG288">
        <f t="shared" si="218"/>
        <v>0</v>
      </c>
      <c r="BH288" s="26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26" cm="1">
        <f t="array" ref="BI288">$G$14+VLOOKUP($R288,武学奇术!$A:$ZZ,16,FALSE)+SUM(_xlfn.XLOOKUP(S288:AG288,增益!$A:$A,增益!$P:$P,0))</f>
        <v>0</v>
      </c>
      <c r="BJ288" s="21">
        <f>MIN(IF(VLOOKUP($R288,武学奇术!$A:$ZZ,23,FALSE)=1,100%,$B$8),100%)</f>
        <v>0.8229</v>
      </c>
      <c r="BK288" s="21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0.2285</v>
      </c>
      <c r="BL288" s="21" cm="1">
        <f t="array" ref="BL288">1+$B$13+VLOOKUP($R288,武学奇术!$A:$ZZ,18,FALSE)+SUM(_xlfn.XLOOKUP(S288:AG288,增益!$A:$A,增益!$R:$R,0))</f>
        <v>1.5</v>
      </c>
      <c r="BM288" s="21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0.4495</v>
      </c>
      <c r="BN288" s="21" cm="1">
        <f t="array" ref="BN288">1+$B$14+VLOOKUP($R288,武学奇术!$A:$ZZ,20,FALSE)+SUM(_xlfn.XLOOKUP(S288:AG288,增益!$A:$A,增益!$T:$T,0))</f>
        <v>1.602</v>
      </c>
      <c r="BO288" s="21">
        <f t="shared" si="219"/>
        <v>0.18803265</v>
      </c>
      <c r="BP288" s="21">
        <f t="shared" si="220"/>
        <v>0.2649738</v>
      </c>
      <c r="BQ288" s="21">
        <f>IF(VLOOKUP($R288,武学奇术!$A:$ZZ,22,FALSE)=1,0,(1-$BJ288))*(1-$BM288)</f>
        <v>0.09749355</v>
      </c>
      <c r="BR288" s="21" cm="1">
        <f t="array" ref="BR288">SUM(_xlfn.XLOOKUP(S288:AG288,增益!$A:$A,增益!$W:$W,0))+$I$5</f>
        <v>0.06</v>
      </c>
    </row>
    <row r="289" spans="11:70">
      <c r="K289" s="24">
        <f>$L289*VLOOKUP($R289,武学奇术!$A:$ZZ,31,FALSE)</f>
        <v>27048.8860362022</v>
      </c>
      <c r="L289" s="24">
        <f t="shared" si="210"/>
        <v>27048.8860362022</v>
      </c>
      <c r="M289" s="24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23617.621061591</v>
      </c>
      <c r="N289" s="24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39537.3038105774</v>
      </c>
      <c r="O289" s="24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15745.0807077274</v>
      </c>
      <c r="P289" s="24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6810.19649000064</v>
      </c>
      <c r="Q289" s="31">
        <v>1</v>
      </c>
      <c r="R289" s="32" t="s">
        <v>201</v>
      </c>
      <c r="S289" s="32" t="s">
        <v>87</v>
      </c>
      <c r="T289" s="32" t="s">
        <v>104</v>
      </c>
      <c r="U289" s="32" t="s">
        <v>73</v>
      </c>
      <c r="V289" s="32" t="s">
        <v>73</v>
      </c>
      <c r="W289" s="32" t="s">
        <v>111</v>
      </c>
      <c r="X289" s="32" t="s">
        <v>127</v>
      </c>
      <c r="Y289" s="32" t="s">
        <v>179</v>
      </c>
      <c r="Z289" s="32" t="s">
        <v>182</v>
      </c>
      <c r="AA289" s="32" t="s">
        <v>73</v>
      </c>
      <c r="AB289" s="32" t="s">
        <v>75</v>
      </c>
      <c r="AC289" s="32" t="s">
        <v>89</v>
      </c>
      <c r="AD289" s="32" t="s">
        <v>82</v>
      </c>
      <c r="AE289" s="32" t="s">
        <v>183</v>
      </c>
      <c r="AF289" s="32" t="s">
        <v>73</v>
      </c>
      <c r="AG289" s="32" t="s">
        <v>178</v>
      </c>
      <c r="AH289" t="str">
        <f>VLOOKUP($R289,武学奇术!$A:$ZZ,25,FALSE)</f>
        <v>心法</v>
      </c>
      <c r="AI289" s="21">
        <f>VLOOKUP($R289,武学奇术!$A:$ZZ,26,FALSE)</f>
        <v>1</v>
      </c>
      <c r="AJ289" s="22">
        <f>VLOOKUP($R289,武学奇术!$A:$ZZ,27,FALSE)*(1+IF(OR($AH289=$F$4,$AH289=$F$5),$B$22,0))</f>
        <v>0</v>
      </c>
      <c r="AK289" s="21">
        <f>VLOOKUP($R289,武学奇术!$A:$ZZ,28,FALSE)</f>
        <v>1</v>
      </c>
      <c r="AL289" s="22">
        <f>VLOOKUP($R289,武学奇术!$A:$ZZ,29,FALSE)*(1+IF(OR($AH289=$F$4,$AH289=$F$5),$B$22,0))</f>
        <v>0</v>
      </c>
      <c r="AM289" s="21" cm="1">
        <f t="array" ref="AM289">$G$3+IFERROR(VLOOKUP($AH289,$F$4:$G$7,2,FALSE),0)+VLOOKUP($R289,武学奇术!$A:$ZZ,2,FALSE)+SUM(_xlfn.XLOOKUP($S289:$AG289,增益!$A:$A,增益!$B:$B,0))</f>
        <v>0.8392</v>
      </c>
      <c r="AN289" s="21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1862.48</v>
      </c>
      <c r="AP289" cm="1">
        <f t="array" ref="AP289">$E$10*(1+$AN289)+VLOOKUP($R289,武学奇术!$A:$ZZ,4,FALSE)+SUM(_xlfn.XLOOKUP($S289:$AG289,增益!$A:$A,增益!$D:$D,0))-$I$2</f>
        <v>7794.56</v>
      </c>
      <c r="AQ289" s="26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0.294</v>
      </c>
      <c r="AR289" s="26" cm="1">
        <f t="array" ref="AR289">$G$10+VLOOKUP($R289,武学奇术!$A:$ZZ,7,FALSE)+SUM(_xlfn.XLOOKUP(S289:AG289,增益!$A:$A,增益!$G:$G,0))</f>
        <v>0</v>
      </c>
      <c r="AS289" s="21" cm="1">
        <f t="array" ref="AS289">VLOOKUP($R289,武学奇术!$A:$ZZ,8,FALSE)+SUM(_xlfn.XLOOKUP(S289:AG289,增益!$A:$A,增益!$H:$H,0))</f>
        <v>0</v>
      </c>
      <c r="AT289">
        <f t="shared" si="211"/>
        <v>680.02</v>
      </c>
      <c r="AU289">
        <f t="shared" si="212"/>
        <v>1288.54</v>
      </c>
      <c r="AV289" s="26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</v>
      </c>
      <c r="AW289" s="26" cm="1">
        <f t="array" ref="AW289">$G$11+VLOOKUP($R289,武学奇术!$A:$ZZ,10,FALSE)+SUM(_xlfn.XLOOKUP(S289:AG289,增益!$A:$A,增益!$J:$J,0))</f>
        <v>0.15</v>
      </c>
      <c r="AX289">
        <f t="shared" si="213"/>
        <v>0</v>
      </c>
      <c r="AY289">
        <f t="shared" si="214"/>
        <v>0</v>
      </c>
      <c r="AZ289" s="26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26" cm="1">
        <f t="array" ref="BA289">$G$12+VLOOKUP($R289,武学奇术!$A:$ZZ,12,FALSE)+SUM(_xlfn.XLOOKUP(S289:AG289,增益!$A:$A,增益!$L:$L,0))</f>
        <v>0</v>
      </c>
      <c r="BB289">
        <f t="shared" si="215"/>
        <v>0</v>
      </c>
      <c r="BC289">
        <f t="shared" si="216"/>
        <v>0</v>
      </c>
      <c r="BD289" s="26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26" cm="1">
        <f t="array" ref="BE289">$G$13+VLOOKUP($R289,武学奇术!$A:$ZZ,14,FALSE)+SUM(_xlfn.XLOOKUP(S289:AG289,增益!$A:$A,增益!$N:$N,0))</f>
        <v>0</v>
      </c>
      <c r="BF289">
        <f t="shared" si="217"/>
        <v>0</v>
      </c>
      <c r="BG289">
        <f t="shared" si="218"/>
        <v>0</v>
      </c>
      <c r="BH289" s="26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26" cm="1">
        <f t="array" ref="BI289">$G$14+VLOOKUP($R289,武学奇术!$A:$ZZ,16,FALSE)+SUM(_xlfn.XLOOKUP(S289:AG289,增益!$A:$A,增益!$P:$P,0))</f>
        <v>0</v>
      </c>
      <c r="BJ289" s="21">
        <f>MIN(IF(VLOOKUP($R289,武学奇术!$A:$ZZ,23,FALSE)=1,100%,$B$8),100%)</f>
        <v>0.8229</v>
      </c>
      <c r="BK289" s="21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0.2285</v>
      </c>
      <c r="BL289" s="21" cm="1">
        <f t="array" ref="BL289">1+$B$13+VLOOKUP($R289,武学奇术!$A:$ZZ,18,FALSE)+SUM(_xlfn.XLOOKUP(S289:AG289,增益!$A:$A,增益!$R:$R,0))</f>
        <v>1.5</v>
      </c>
      <c r="BM289" s="21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0.4495</v>
      </c>
      <c r="BN289" s="21" cm="1">
        <f t="array" ref="BN289">1+$B$14+VLOOKUP($R289,武学奇术!$A:$ZZ,20,FALSE)+SUM(_xlfn.XLOOKUP(S289:AG289,增益!$A:$A,增益!$T:$T,0))</f>
        <v>1.602</v>
      </c>
      <c r="BO289" s="21">
        <f t="shared" si="219"/>
        <v>0.18803265</v>
      </c>
      <c r="BP289" s="21">
        <f t="shared" si="220"/>
        <v>0.2649738</v>
      </c>
      <c r="BQ289" s="21">
        <f>IF(VLOOKUP($R289,武学奇术!$A:$ZZ,22,FALSE)=1,0,(1-$BJ289))*(1-$BM289)</f>
        <v>0.09749355</v>
      </c>
      <c r="BR289" s="21" cm="1">
        <f t="array" ref="BR289">SUM(_xlfn.XLOOKUP(S289:AG289,增益!$A:$A,增益!$W:$W,0))+$I$5</f>
        <v>0.16</v>
      </c>
    </row>
    <row r="290" spans="11:70">
      <c r="K290" s="24">
        <f>$L290*VLOOKUP($R290,武学奇术!$A:$ZZ,31,FALSE)</f>
        <v>24045.1334302636</v>
      </c>
      <c r="L290" s="24">
        <f t="shared" si="210"/>
        <v>24045.1334302636</v>
      </c>
      <c r="M290" s="24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20994.9071089766</v>
      </c>
      <c r="N290" s="24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35146.7245019191</v>
      </c>
      <c r="O290" s="24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13996.6047393178</v>
      </c>
      <c r="P290" s="24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6053.93076333024</v>
      </c>
      <c r="Q290" s="31">
        <f t="shared" ref="Q290:Q298" si="221">IF($E$22="易水歌",1,0)</f>
        <v>1</v>
      </c>
      <c r="R290" s="32" t="s">
        <v>201</v>
      </c>
      <c r="S290" s="32" t="s">
        <v>87</v>
      </c>
      <c r="T290" s="32" t="s">
        <v>104</v>
      </c>
      <c r="U290" s="32" t="s">
        <v>73</v>
      </c>
      <c r="V290" s="32" t="s">
        <v>73</v>
      </c>
      <c r="W290" s="32" t="s">
        <v>111</v>
      </c>
      <c r="X290" s="32" t="s">
        <v>127</v>
      </c>
      <c r="Y290" s="32" t="s">
        <v>73</v>
      </c>
      <c r="Z290" s="32" t="s">
        <v>73</v>
      </c>
      <c r="AA290" s="32" t="s">
        <v>81</v>
      </c>
      <c r="AB290" s="32" t="s">
        <v>75</v>
      </c>
      <c r="AC290" s="32" t="s">
        <v>89</v>
      </c>
      <c r="AD290" s="32" t="s">
        <v>82</v>
      </c>
      <c r="AE290" s="32" t="s">
        <v>90</v>
      </c>
      <c r="AF290" s="32" t="s">
        <v>73</v>
      </c>
      <c r="AG290" s="32" t="s">
        <v>178</v>
      </c>
      <c r="AH290" t="str">
        <f>VLOOKUP($R290,武学奇术!$A:$ZZ,25,FALSE)</f>
        <v>心法</v>
      </c>
      <c r="AI290" s="21">
        <f>VLOOKUP($R290,武学奇术!$A:$ZZ,26,FALSE)</f>
        <v>1</v>
      </c>
      <c r="AJ290" s="22">
        <f>VLOOKUP($R290,武学奇术!$A:$ZZ,27,FALSE)*(1+IF(OR($AH290=$F$4,$AH290=$F$5),$B$22,0))</f>
        <v>0</v>
      </c>
      <c r="AK290" s="21">
        <f>VLOOKUP($R290,武学奇术!$A:$ZZ,28,FALSE)</f>
        <v>1</v>
      </c>
      <c r="AL290" s="22">
        <f>VLOOKUP($R290,武学奇术!$A:$ZZ,29,FALSE)*(1+IF(OR($AH290=$F$4,$AH290=$F$5),$B$22,0))</f>
        <v>0</v>
      </c>
      <c r="AM290" s="21" cm="1">
        <f t="array" ref="AM290">$G$3+IFERROR(VLOOKUP($AH290,$F$4:$G$7,2,FALSE),0)+VLOOKUP($R290,武学奇术!$A:$ZZ,2,FALSE)+SUM(_xlfn.XLOOKUP($S290:$AG290,增益!$A:$A,增益!$B:$B,0))</f>
        <v>0.7892</v>
      </c>
      <c r="AN290" s="21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1862.48</v>
      </c>
      <c r="AP290" cm="1">
        <f t="array" ref="AP290">$E$10*(1+$AN290)+VLOOKUP($R290,武学奇术!$A:$ZZ,4,FALSE)+SUM(_xlfn.XLOOKUP($S290:$AG290,增益!$A:$A,增益!$D:$D,0))-$I$2</f>
        <v>7794.56</v>
      </c>
      <c r="AQ290" s="26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0.294</v>
      </c>
      <c r="AR290" s="26" cm="1">
        <f t="array" ref="AR290">$G$10+VLOOKUP($R290,武学奇术!$A:$ZZ,7,FALSE)+SUM(_xlfn.XLOOKUP(S290:AG290,增益!$A:$A,增益!$G:$G,0))</f>
        <v>0</v>
      </c>
      <c r="AS290" s="21" cm="1">
        <f t="array" ref="AS290">VLOOKUP($R290,武学奇术!$A:$ZZ,8,FALSE)+SUM(_xlfn.XLOOKUP(S290:AG290,增益!$A:$A,增益!$H:$H,0))</f>
        <v>0</v>
      </c>
      <c r="AT290">
        <f t="shared" si="211"/>
        <v>680.02</v>
      </c>
      <c r="AU290">
        <f t="shared" si="212"/>
        <v>1288.54</v>
      </c>
      <c r="AV290" s="26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</v>
      </c>
      <c r="AW290" s="26" cm="1">
        <f t="array" ref="AW290">$G$11+VLOOKUP($R290,武学奇术!$A:$ZZ,10,FALSE)+SUM(_xlfn.XLOOKUP(S290:AG290,增益!$A:$A,增益!$J:$J,0))</f>
        <v>0.15</v>
      </c>
      <c r="AX290">
        <f t="shared" si="213"/>
        <v>0</v>
      </c>
      <c r="AY290">
        <f t="shared" si="214"/>
        <v>0</v>
      </c>
      <c r="AZ290" s="26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26" cm="1">
        <f t="array" ref="BA290">$G$12+VLOOKUP($R290,武学奇术!$A:$ZZ,12,FALSE)+SUM(_xlfn.XLOOKUP(S290:AG290,增益!$A:$A,增益!$L:$L,0))</f>
        <v>0</v>
      </c>
      <c r="BB290">
        <f t="shared" si="215"/>
        <v>0</v>
      </c>
      <c r="BC290">
        <f t="shared" si="216"/>
        <v>0</v>
      </c>
      <c r="BD290" s="26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26" cm="1">
        <f t="array" ref="BE290">$G$13+VLOOKUP($R290,武学奇术!$A:$ZZ,14,FALSE)+SUM(_xlfn.XLOOKUP(S290:AG290,增益!$A:$A,增益!$N:$N,0))</f>
        <v>0</v>
      </c>
      <c r="BF290">
        <f t="shared" si="217"/>
        <v>0</v>
      </c>
      <c r="BG290">
        <f t="shared" si="218"/>
        <v>0</v>
      </c>
      <c r="BH290" s="26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26" cm="1">
        <f t="array" ref="BI290">$G$14+VLOOKUP($R290,武学奇术!$A:$ZZ,16,FALSE)+SUM(_xlfn.XLOOKUP(S290:AG290,增益!$A:$A,增益!$P:$P,0))</f>
        <v>0</v>
      </c>
      <c r="BJ290" s="21">
        <f>MIN(IF(VLOOKUP($R290,武学奇术!$A:$ZZ,23,FALSE)=1,100%,$B$8),100%)</f>
        <v>0.8229</v>
      </c>
      <c r="BK290" s="21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0.2285</v>
      </c>
      <c r="BL290" s="21" cm="1">
        <f t="array" ref="BL290">1+$B$13+VLOOKUP($R290,武学奇术!$A:$ZZ,18,FALSE)+SUM(_xlfn.XLOOKUP(S290:AG290,增益!$A:$A,增益!$R:$R,0))</f>
        <v>1.5</v>
      </c>
      <c r="BM290" s="21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0.4495</v>
      </c>
      <c r="BN290" s="21" cm="1">
        <f t="array" ref="BN290">1+$B$14+VLOOKUP($R290,武学奇术!$A:$ZZ,20,FALSE)+SUM(_xlfn.XLOOKUP(S290:AG290,增益!$A:$A,增益!$T:$T,0))</f>
        <v>1.602</v>
      </c>
      <c r="BO290" s="21">
        <f t="shared" si="219"/>
        <v>0.18803265</v>
      </c>
      <c r="BP290" s="21">
        <f t="shared" si="220"/>
        <v>0.2649738</v>
      </c>
      <c r="BQ290" s="21">
        <f>IF(VLOOKUP($R290,武学奇术!$A:$ZZ,22,FALSE)=1,0,(1-$BJ290))*(1-$BM290)</f>
        <v>0.09749355</v>
      </c>
      <c r="BR290" s="21" cm="1">
        <f t="array" ref="BR290">SUM(_xlfn.XLOOKUP(S290:AG290,增益!$A:$A,增益!$W:$W,0))+$I$5</f>
        <v>0.06</v>
      </c>
    </row>
    <row r="291" spans="11:70">
      <c r="K291" s="24">
        <f>$L291*VLOOKUP($R291,武学奇术!$A:$ZZ,31,FALSE)</f>
        <v>20819.7634194972</v>
      </c>
      <c r="L291" s="24">
        <f t="shared" si="210"/>
        <v>20819.7634194972</v>
      </c>
      <c r="M291" s="24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18178.6888515686</v>
      </c>
      <c r="N291" s="24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30432.207466115</v>
      </c>
      <c r="O291" s="24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12119.1259010458</v>
      </c>
      <c r="P291" s="24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5241.86761600224</v>
      </c>
      <c r="Q291" s="31">
        <f t="shared" si="221"/>
        <v>1</v>
      </c>
      <c r="R291" s="32" t="s">
        <v>201</v>
      </c>
      <c r="S291" s="32" t="s">
        <v>87</v>
      </c>
      <c r="T291" s="32" t="s">
        <v>104</v>
      </c>
      <c r="U291" s="32" t="s">
        <v>73</v>
      </c>
      <c r="V291" s="32" t="s">
        <v>73</v>
      </c>
      <c r="W291" s="32" t="s">
        <v>111</v>
      </c>
      <c r="X291" s="32" t="s">
        <v>127</v>
      </c>
      <c r="Y291" s="32" t="s">
        <v>73</v>
      </c>
      <c r="Z291" s="32" t="s">
        <v>73</v>
      </c>
      <c r="AA291" s="32" t="s">
        <v>81</v>
      </c>
      <c r="AB291" s="32" t="s">
        <v>75</v>
      </c>
      <c r="AC291" s="32" t="s">
        <v>76</v>
      </c>
      <c r="AD291" s="32" t="s">
        <v>82</v>
      </c>
      <c r="AE291" s="32" t="s">
        <v>73</v>
      </c>
      <c r="AF291" s="32" t="s">
        <v>73</v>
      </c>
      <c r="AG291" s="32" t="s">
        <v>178</v>
      </c>
      <c r="AH291" t="str">
        <f>VLOOKUP($R291,武学奇术!$A:$ZZ,25,FALSE)</f>
        <v>心法</v>
      </c>
      <c r="AI291" s="21">
        <f>VLOOKUP($R291,武学奇术!$A:$ZZ,26,FALSE)</f>
        <v>1</v>
      </c>
      <c r="AJ291" s="22">
        <f>VLOOKUP($R291,武学奇术!$A:$ZZ,27,FALSE)*(1+IF(OR($AH291=$F$4,$AH291=$F$5),$B$22,0))</f>
        <v>0</v>
      </c>
      <c r="AK291" s="21">
        <f>VLOOKUP($R291,武学奇术!$A:$ZZ,28,FALSE)</f>
        <v>1</v>
      </c>
      <c r="AL291" s="22">
        <f>VLOOKUP($R291,武学奇术!$A:$ZZ,29,FALSE)*(1+IF(OR($AH291=$F$4,$AH291=$F$5),$B$22,0))</f>
        <v>0</v>
      </c>
      <c r="AM291" s="21" cm="1">
        <f t="array" ref="AM291">$G$3+IFERROR(VLOOKUP($AH291,$F$4:$G$7,2,FALSE),0)+VLOOKUP($R291,武学奇术!$A:$ZZ,2,FALSE)+SUM(_xlfn.XLOOKUP($S291:$AG291,增益!$A:$A,增益!$B:$B,0))</f>
        <v>0.5492</v>
      </c>
      <c r="AN291" s="21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1862.48</v>
      </c>
      <c r="AP291" cm="1">
        <f t="array" ref="AP291">$E$10*(1+$AN291)+VLOOKUP($R291,武学奇术!$A:$ZZ,4,FALSE)+SUM(_xlfn.XLOOKUP($S291:$AG291,增益!$A:$A,增益!$D:$D,0))-$I$2</f>
        <v>7794.56</v>
      </c>
      <c r="AQ291" s="26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0.294</v>
      </c>
      <c r="AR291" s="26" cm="1">
        <f t="array" ref="AR291">$G$10+VLOOKUP($R291,武学奇术!$A:$ZZ,7,FALSE)+SUM(_xlfn.XLOOKUP(S291:AG291,增益!$A:$A,增益!$G:$G,0))</f>
        <v>0</v>
      </c>
      <c r="AS291" s="21" cm="1">
        <f t="array" ref="AS291">VLOOKUP($R291,武学奇术!$A:$ZZ,8,FALSE)+SUM(_xlfn.XLOOKUP(S291:AG291,增益!$A:$A,增益!$H:$H,0))</f>
        <v>0</v>
      </c>
      <c r="AT291">
        <f t="shared" si="211"/>
        <v>680.02</v>
      </c>
      <c r="AU291">
        <f t="shared" si="212"/>
        <v>1288.54</v>
      </c>
      <c r="AV291" s="26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</v>
      </c>
      <c r="AW291" s="26" cm="1">
        <f t="array" ref="AW291">$G$11+VLOOKUP($R291,武学奇术!$A:$ZZ,10,FALSE)+SUM(_xlfn.XLOOKUP(S291:AG291,增益!$A:$A,增益!$J:$J,0))</f>
        <v>0.15</v>
      </c>
      <c r="AX291">
        <f t="shared" si="213"/>
        <v>0</v>
      </c>
      <c r="AY291">
        <f t="shared" si="214"/>
        <v>0</v>
      </c>
      <c r="AZ291" s="26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26" cm="1">
        <f t="array" ref="BA291">$G$12+VLOOKUP($R291,武学奇术!$A:$ZZ,12,FALSE)+SUM(_xlfn.XLOOKUP(S291:AG291,增益!$A:$A,增益!$L:$L,0))</f>
        <v>0</v>
      </c>
      <c r="BB291">
        <f t="shared" si="215"/>
        <v>0</v>
      </c>
      <c r="BC291">
        <f t="shared" si="216"/>
        <v>0</v>
      </c>
      <c r="BD291" s="26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26" cm="1">
        <f t="array" ref="BE291">$G$13+VLOOKUP($R291,武学奇术!$A:$ZZ,14,FALSE)+SUM(_xlfn.XLOOKUP(S291:AG291,增益!$A:$A,增益!$N:$N,0))</f>
        <v>0</v>
      </c>
      <c r="BF291">
        <f t="shared" si="217"/>
        <v>0</v>
      </c>
      <c r="BG291">
        <f t="shared" si="218"/>
        <v>0</v>
      </c>
      <c r="BH291" s="26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26" cm="1">
        <f t="array" ref="BI291">$G$14+VLOOKUP($R291,武学奇术!$A:$ZZ,16,FALSE)+SUM(_xlfn.XLOOKUP(S291:AG291,增益!$A:$A,增益!$P:$P,0))</f>
        <v>0</v>
      </c>
      <c r="BJ291" s="21">
        <f>MIN(IF(VLOOKUP($R291,武学奇术!$A:$ZZ,23,FALSE)=1,100%,$B$8),100%)</f>
        <v>0.8229</v>
      </c>
      <c r="BK291" s="21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0.2285</v>
      </c>
      <c r="BL291" s="21" cm="1">
        <f t="array" ref="BL291">1+$B$13+VLOOKUP($R291,武学奇术!$A:$ZZ,18,FALSE)+SUM(_xlfn.XLOOKUP(S291:AG291,增益!$A:$A,增益!$R:$R,0))</f>
        <v>1.5</v>
      </c>
      <c r="BM291" s="21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0.4495</v>
      </c>
      <c r="BN291" s="21" cm="1">
        <f t="array" ref="BN291">1+$B$14+VLOOKUP($R291,武学奇术!$A:$ZZ,20,FALSE)+SUM(_xlfn.XLOOKUP(S291:AG291,增益!$A:$A,增益!$T:$T,0))</f>
        <v>1.602</v>
      </c>
      <c r="BO291" s="21">
        <f t="shared" si="219"/>
        <v>0.18803265</v>
      </c>
      <c r="BP291" s="21">
        <f t="shared" si="220"/>
        <v>0.2649738</v>
      </c>
      <c r="BQ291" s="21">
        <f>IF(VLOOKUP($R291,武学奇术!$A:$ZZ,22,FALSE)=1,0,(1-$BJ291))*(1-$BM291)</f>
        <v>0.09749355</v>
      </c>
      <c r="BR291" s="21" cm="1">
        <f t="array" ref="BR291">SUM(_xlfn.XLOOKUP(S291:AG291,增益!$A:$A,增益!$W:$W,0))+$I$5</f>
        <v>0.06</v>
      </c>
    </row>
    <row r="292" spans="11:70">
      <c r="K292" s="24">
        <f>$L292*VLOOKUP($R292,武学奇术!$A:$ZZ,31,FALSE)</f>
        <v>20729.8717248305</v>
      </c>
      <c r="L292" s="24">
        <f t="shared" si="210"/>
        <v>20729.8717248305</v>
      </c>
      <c r="M292" s="24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18079.8789235766</v>
      </c>
      <c r="N292" s="24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30326.6784630196</v>
      </c>
      <c r="O292" s="24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12053.2526157178</v>
      </c>
      <c r="P292" s="24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5175.99433067424</v>
      </c>
      <c r="Q292" s="31">
        <f t="shared" si="221"/>
        <v>1</v>
      </c>
      <c r="R292" s="32" t="s">
        <v>201</v>
      </c>
      <c r="S292" s="32" t="s">
        <v>87</v>
      </c>
      <c r="T292" s="32" t="s">
        <v>104</v>
      </c>
      <c r="U292" s="32" t="s">
        <v>73</v>
      </c>
      <c r="V292" s="32" t="s">
        <v>73</v>
      </c>
      <c r="W292" s="32" t="s">
        <v>73</v>
      </c>
      <c r="X292" s="32" t="s">
        <v>127</v>
      </c>
      <c r="Y292" s="32" t="s">
        <v>73</v>
      </c>
      <c r="Z292" s="32" t="s">
        <v>73</v>
      </c>
      <c r="AA292" s="32" t="s">
        <v>81</v>
      </c>
      <c r="AB292" s="32" t="s">
        <v>75</v>
      </c>
      <c r="AC292" s="32" t="s">
        <v>89</v>
      </c>
      <c r="AD292" s="32" t="s">
        <v>82</v>
      </c>
      <c r="AE292" s="32" t="s">
        <v>73</v>
      </c>
      <c r="AF292" s="32" t="s">
        <v>73</v>
      </c>
      <c r="AG292" s="32" t="s">
        <v>178</v>
      </c>
      <c r="AH292" t="str">
        <f>VLOOKUP($R292,武学奇术!$A:$ZZ,25,FALSE)</f>
        <v>心法</v>
      </c>
      <c r="AI292" s="21">
        <f>VLOOKUP($R292,武学奇术!$A:$ZZ,26,FALSE)</f>
        <v>1</v>
      </c>
      <c r="AJ292" s="22">
        <f>VLOOKUP($R292,武学奇术!$A:$ZZ,27,FALSE)*(1+IF(OR($AH292=$F$4,$AH292=$F$5),$B$22,0))</f>
        <v>0</v>
      </c>
      <c r="AK292" s="21">
        <f>VLOOKUP($R292,武学奇术!$A:$ZZ,28,FALSE)</f>
        <v>1</v>
      </c>
      <c r="AL292" s="22">
        <f>VLOOKUP($R292,武学奇术!$A:$ZZ,29,FALSE)*(1+IF(OR($AH292=$F$4,$AH292=$F$5),$B$22,0))</f>
        <v>0</v>
      </c>
      <c r="AM292" s="21" cm="1">
        <f t="array" ref="AM292">$G$3+IFERROR(VLOOKUP($AH292,$F$4:$G$7,2,FALSE),0)+VLOOKUP($R292,武学奇术!$A:$ZZ,2,FALSE)+SUM(_xlfn.XLOOKUP($S292:$AG292,增益!$A:$A,增益!$B:$B,0))</f>
        <v>0.5492</v>
      </c>
      <c r="AN292" s="21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1831.48</v>
      </c>
      <c r="AP292" cm="1">
        <f t="array" ref="AP292">$E$10*(1+$AN292)+VLOOKUP($R292,武学奇术!$A:$ZZ,4,FALSE)+SUM(_xlfn.XLOOKUP($S292:$AG292,增益!$A:$A,增益!$D:$D,0))-$I$2</f>
        <v>7763.56</v>
      </c>
      <c r="AQ292" s="26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0.294</v>
      </c>
      <c r="AR292" s="26" cm="1">
        <f t="array" ref="AR292">$G$10+VLOOKUP($R292,武学奇术!$A:$ZZ,7,FALSE)+SUM(_xlfn.XLOOKUP(S292:AG292,增益!$A:$A,增益!$G:$G,0))</f>
        <v>0</v>
      </c>
      <c r="AS292" s="21" cm="1">
        <f t="array" ref="AS292">VLOOKUP($R292,武学奇术!$A:$ZZ,8,FALSE)+SUM(_xlfn.XLOOKUP(S292:AG292,增益!$A:$A,增益!$H:$H,0))</f>
        <v>0</v>
      </c>
      <c r="AT292">
        <f t="shared" si="211"/>
        <v>680.02</v>
      </c>
      <c r="AU292">
        <f t="shared" si="212"/>
        <v>1288.54</v>
      </c>
      <c r="AV292" s="26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</v>
      </c>
      <c r="AW292" s="26" cm="1">
        <f t="array" ref="AW292">$G$11+VLOOKUP($R292,武学奇术!$A:$ZZ,10,FALSE)+SUM(_xlfn.XLOOKUP(S292:AG292,增益!$A:$A,增益!$J:$J,0))</f>
        <v>0.15</v>
      </c>
      <c r="AX292">
        <f t="shared" si="213"/>
        <v>0</v>
      </c>
      <c r="AY292">
        <f t="shared" si="214"/>
        <v>0</v>
      </c>
      <c r="AZ292" s="26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26" cm="1">
        <f t="array" ref="BA292">$G$12+VLOOKUP($R292,武学奇术!$A:$ZZ,12,FALSE)+SUM(_xlfn.XLOOKUP(S292:AG292,增益!$A:$A,增益!$L:$L,0))</f>
        <v>0</v>
      </c>
      <c r="BB292">
        <f t="shared" si="215"/>
        <v>0</v>
      </c>
      <c r="BC292">
        <f t="shared" si="216"/>
        <v>0</v>
      </c>
      <c r="BD292" s="26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26" cm="1">
        <f t="array" ref="BE292">$G$13+VLOOKUP($R292,武学奇术!$A:$ZZ,14,FALSE)+SUM(_xlfn.XLOOKUP(S292:AG292,增益!$A:$A,增益!$N:$N,0))</f>
        <v>0</v>
      </c>
      <c r="BF292">
        <f t="shared" si="217"/>
        <v>0</v>
      </c>
      <c r="BG292">
        <f t="shared" si="218"/>
        <v>0</v>
      </c>
      <c r="BH292" s="26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26" cm="1">
        <f t="array" ref="BI292">$G$14+VLOOKUP($R292,武学奇术!$A:$ZZ,16,FALSE)+SUM(_xlfn.XLOOKUP(S292:AG292,增益!$A:$A,增益!$P:$P,0))</f>
        <v>0</v>
      </c>
      <c r="BJ292" s="21">
        <f>MIN(IF(VLOOKUP($R292,武学奇术!$A:$ZZ,23,FALSE)=1,100%,$B$8),100%)</f>
        <v>0.8229</v>
      </c>
      <c r="BK292" s="21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0.2285</v>
      </c>
      <c r="BL292" s="21" cm="1">
        <f t="array" ref="BL292">1+$B$13+VLOOKUP($R292,武学奇术!$A:$ZZ,18,FALSE)+SUM(_xlfn.XLOOKUP(S292:AG292,增益!$A:$A,增益!$R:$R,0))</f>
        <v>1.5</v>
      </c>
      <c r="BM292" s="21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0.4495</v>
      </c>
      <c r="BN292" s="21" cm="1">
        <f t="array" ref="BN292">1+$B$14+VLOOKUP($R292,武学奇术!$A:$ZZ,20,FALSE)+SUM(_xlfn.XLOOKUP(S292:AG292,增益!$A:$A,增益!$T:$T,0))</f>
        <v>1.602</v>
      </c>
      <c r="BO292" s="21">
        <f t="shared" si="219"/>
        <v>0.18803265</v>
      </c>
      <c r="BP292" s="21">
        <f t="shared" si="220"/>
        <v>0.2649738</v>
      </c>
      <c r="BQ292" s="21">
        <f>IF(VLOOKUP($R292,武学奇术!$A:$ZZ,22,FALSE)=1,0,(1-$BJ292))*(1-$BM292)</f>
        <v>0.09749355</v>
      </c>
      <c r="BR292" s="21" cm="1">
        <f t="array" ref="BR292">SUM(_xlfn.XLOOKUP(S292:AG292,增益!$A:$A,增益!$W:$W,0))+$I$5</f>
        <v>0.06</v>
      </c>
    </row>
    <row r="293" spans="11:70">
      <c r="K293" s="24">
        <f>$L293*VLOOKUP($R293,武学奇术!$A:$ZZ,31,FALSE)</f>
        <v>27048.8860362022</v>
      </c>
      <c r="L293" s="24">
        <f t="shared" si="210"/>
        <v>27048.8860362022</v>
      </c>
      <c r="M293" s="24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23617.621061591</v>
      </c>
      <c r="N293" s="24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39537.3038105774</v>
      </c>
      <c r="O293" s="24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15745.0807077274</v>
      </c>
      <c r="P293" s="24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6810.19649000064</v>
      </c>
      <c r="Q293" s="31">
        <f t="shared" si="221"/>
        <v>1</v>
      </c>
      <c r="R293" s="32" t="s">
        <v>201</v>
      </c>
      <c r="S293" s="32" t="s">
        <v>87</v>
      </c>
      <c r="T293" s="32" t="s">
        <v>104</v>
      </c>
      <c r="U293" s="32" t="s">
        <v>73</v>
      </c>
      <c r="V293" s="32" t="s">
        <v>73</v>
      </c>
      <c r="W293" s="32" t="s">
        <v>111</v>
      </c>
      <c r="X293" s="32" t="s">
        <v>127</v>
      </c>
      <c r="Y293" s="32" t="s">
        <v>179</v>
      </c>
      <c r="Z293" s="32" t="s">
        <v>182</v>
      </c>
      <c r="AA293" s="32" t="s">
        <v>81</v>
      </c>
      <c r="AB293" s="32" t="s">
        <v>75</v>
      </c>
      <c r="AC293" s="32" t="s">
        <v>89</v>
      </c>
      <c r="AD293" s="32" t="s">
        <v>82</v>
      </c>
      <c r="AE293" s="32" t="s">
        <v>183</v>
      </c>
      <c r="AF293" s="32" t="s">
        <v>73</v>
      </c>
      <c r="AG293" s="32" t="s">
        <v>178</v>
      </c>
      <c r="AH293" t="str">
        <f>VLOOKUP($R293,武学奇术!$A:$ZZ,25,FALSE)</f>
        <v>心法</v>
      </c>
      <c r="AI293" s="21">
        <f>VLOOKUP($R293,武学奇术!$A:$ZZ,26,FALSE)</f>
        <v>1</v>
      </c>
      <c r="AJ293" s="22">
        <f>VLOOKUP($R293,武学奇术!$A:$ZZ,27,FALSE)*(1+IF(OR($AH293=$F$4,$AH293=$F$5),$B$22,0))</f>
        <v>0</v>
      </c>
      <c r="AK293" s="21">
        <f>VLOOKUP($R293,武学奇术!$A:$ZZ,28,FALSE)</f>
        <v>1</v>
      </c>
      <c r="AL293" s="22">
        <f>VLOOKUP($R293,武学奇术!$A:$ZZ,29,FALSE)*(1+IF(OR($AH293=$F$4,$AH293=$F$5),$B$22,0))</f>
        <v>0</v>
      </c>
      <c r="AM293" s="21" cm="1">
        <f t="array" ref="AM293">$G$3+IFERROR(VLOOKUP($AH293,$F$4:$G$7,2,FALSE),0)+VLOOKUP($R293,武学奇术!$A:$ZZ,2,FALSE)+SUM(_xlfn.XLOOKUP($S293:$AG293,增益!$A:$A,增益!$B:$B,0))</f>
        <v>0.8392</v>
      </c>
      <c r="AN293" s="21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1862.48</v>
      </c>
      <c r="AP293" cm="1">
        <f t="array" ref="AP293">$E$10*(1+$AN293)+VLOOKUP($R293,武学奇术!$A:$ZZ,4,FALSE)+SUM(_xlfn.XLOOKUP($S293:$AG293,增益!$A:$A,增益!$D:$D,0))-$I$2</f>
        <v>7794.56</v>
      </c>
      <c r="AQ293" s="26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0.294</v>
      </c>
      <c r="AR293" s="26" cm="1">
        <f t="array" ref="AR293">$G$10+VLOOKUP($R293,武学奇术!$A:$ZZ,7,FALSE)+SUM(_xlfn.XLOOKUP(S293:AG293,增益!$A:$A,增益!$G:$G,0))</f>
        <v>0</v>
      </c>
      <c r="AS293" s="21" cm="1">
        <f t="array" ref="AS293">VLOOKUP($R293,武学奇术!$A:$ZZ,8,FALSE)+SUM(_xlfn.XLOOKUP(S293:AG293,增益!$A:$A,增益!$H:$H,0))</f>
        <v>0</v>
      </c>
      <c r="AT293">
        <f t="shared" si="211"/>
        <v>680.02</v>
      </c>
      <c r="AU293">
        <f t="shared" si="212"/>
        <v>1288.54</v>
      </c>
      <c r="AV293" s="26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</v>
      </c>
      <c r="AW293" s="26" cm="1">
        <f t="array" ref="AW293">$G$11+VLOOKUP($R293,武学奇术!$A:$ZZ,10,FALSE)+SUM(_xlfn.XLOOKUP(S293:AG293,增益!$A:$A,增益!$J:$J,0))</f>
        <v>0.15</v>
      </c>
      <c r="AX293">
        <f t="shared" si="213"/>
        <v>0</v>
      </c>
      <c r="AY293">
        <f t="shared" si="214"/>
        <v>0</v>
      </c>
      <c r="AZ293" s="26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26" cm="1">
        <f t="array" ref="BA293">$G$12+VLOOKUP($R293,武学奇术!$A:$ZZ,12,FALSE)+SUM(_xlfn.XLOOKUP(S293:AG293,增益!$A:$A,增益!$L:$L,0))</f>
        <v>0</v>
      </c>
      <c r="BB293">
        <f t="shared" si="215"/>
        <v>0</v>
      </c>
      <c r="BC293">
        <f t="shared" si="216"/>
        <v>0</v>
      </c>
      <c r="BD293" s="26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26" cm="1">
        <f t="array" ref="BE293">$G$13+VLOOKUP($R293,武学奇术!$A:$ZZ,14,FALSE)+SUM(_xlfn.XLOOKUP(S293:AG293,增益!$A:$A,增益!$N:$N,0))</f>
        <v>0</v>
      </c>
      <c r="BF293">
        <f t="shared" si="217"/>
        <v>0</v>
      </c>
      <c r="BG293">
        <f t="shared" si="218"/>
        <v>0</v>
      </c>
      <c r="BH293" s="26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26" cm="1">
        <f t="array" ref="BI293">$G$14+VLOOKUP($R293,武学奇术!$A:$ZZ,16,FALSE)+SUM(_xlfn.XLOOKUP(S293:AG293,增益!$A:$A,增益!$P:$P,0))</f>
        <v>0</v>
      </c>
      <c r="BJ293" s="21">
        <f>MIN(IF(VLOOKUP($R293,武学奇术!$A:$ZZ,23,FALSE)=1,100%,$B$8),100%)</f>
        <v>0.8229</v>
      </c>
      <c r="BK293" s="21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0.2285</v>
      </c>
      <c r="BL293" s="21" cm="1">
        <f t="array" ref="BL293">1+$B$13+VLOOKUP($R293,武学奇术!$A:$ZZ,18,FALSE)+SUM(_xlfn.XLOOKUP(S293:AG293,增益!$A:$A,增益!$R:$R,0))</f>
        <v>1.5</v>
      </c>
      <c r="BM293" s="21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0.4495</v>
      </c>
      <c r="BN293" s="21" cm="1">
        <f t="array" ref="BN293">1+$B$14+VLOOKUP($R293,武学奇术!$A:$ZZ,20,FALSE)+SUM(_xlfn.XLOOKUP(S293:AG293,增益!$A:$A,增益!$T:$T,0))</f>
        <v>1.602</v>
      </c>
      <c r="BO293" s="21">
        <f t="shared" si="219"/>
        <v>0.18803265</v>
      </c>
      <c r="BP293" s="21">
        <f t="shared" si="220"/>
        <v>0.2649738</v>
      </c>
      <c r="BQ293" s="21">
        <f>IF(VLOOKUP($R293,武学奇术!$A:$ZZ,22,FALSE)=1,0,(1-$BJ293))*(1-$BM293)</f>
        <v>0.09749355</v>
      </c>
      <c r="BR293" s="21" cm="1">
        <f t="array" ref="BR293">SUM(_xlfn.XLOOKUP(S293:AG293,增益!$A:$A,增益!$W:$W,0))+$I$5</f>
        <v>0.16</v>
      </c>
    </row>
    <row r="294" spans="11:70">
      <c r="K294" s="24">
        <f>$L294*VLOOKUP($R294,武学奇术!$A:$ZZ,31,FALSE)</f>
        <v>25439.8314226154</v>
      </c>
      <c r="L294" s="24">
        <f t="shared" si="210"/>
        <v>25439.8314226154</v>
      </c>
      <c r="M294" s="24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25014.165802747</v>
      </c>
      <c r="N294" s="24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35989.1528932566</v>
      </c>
      <c r="O294" s="24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16676.1105351647</v>
      </c>
      <c r="P294" s="24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7864.15244904274</v>
      </c>
      <c r="Q294" s="31">
        <v>1</v>
      </c>
      <c r="R294" s="32" t="s">
        <v>202</v>
      </c>
      <c r="S294" s="32" t="s">
        <v>72</v>
      </c>
      <c r="T294" s="32" t="s">
        <v>73</v>
      </c>
      <c r="U294" s="32" t="s">
        <v>73</v>
      </c>
      <c r="V294" s="32" t="s">
        <v>73</v>
      </c>
      <c r="W294" s="32" t="s">
        <v>73</v>
      </c>
      <c r="X294" s="32" t="s">
        <v>74</v>
      </c>
      <c r="Y294" s="32" t="s">
        <v>73</v>
      </c>
      <c r="Z294" s="32" t="s">
        <v>73</v>
      </c>
      <c r="AA294" s="32" t="s">
        <v>73</v>
      </c>
      <c r="AB294" s="32" t="s">
        <v>75</v>
      </c>
      <c r="AC294" s="32" t="s">
        <v>76</v>
      </c>
      <c r="AD294" s="32" t="s">
        <v>82</v>
      </c>
      <c r="AE294" s="32" t="s">
        <v>73</v>
      </c>
      <c r="AF294" s="32" t="s">
        <v>77</v>
      </c>
      <c r="AG294" s="32" t="s">
        <v>78</v>
      </c>
      <c r="AH294" t="str">
        <f>VLOOKUP($R294,武学奇术!$A:$ZZ,25,FALSE)</f>
        <v>群体奇术</v>
      </c>
      <c r="AI294" s="21">
        <f>VLOOKUP($R294,武学奇术!$A:$ZZ,26,FALSE)</f>
        <v>1.4904</v>
      </c>
      <c r="AJ294" s="22">
        <f>VLOOKUP($R294,武学奇术!$A:$ZZ,27,FALSE)*(1+IF(OR($AH294=$F$4,$AH294=$F$5),$B$22,0))</f>
        <v>378</v>
      </c>
      <c r="AK294" s="21">
        <f>VLOOKUP($R294,武学奇术!$A:$ZZ,28,FALSE)</f>
        <v>2.2356</v>
      </c>
      <c r="AL294" s="22">
        <f>VLOOKUP($R294,武学奇术!$A:$ZZ,29,FALSE)*(1+IF(OR($AH294=$F$4,$AH294=$F$5),$B$22,0))</f>
        <v>0</v>
      </c>
      <c r="AM294" s="21" cm="1">
        <f t="array" ref="AM294">$G$3+IFERROR(VLOOKUP($AH294,$F$4:$G$7,2,FALSE),0)+VLOOKUP($R294,武学奇术!$A:$ZZ,2,FALSE)+SUM(_xlfn.XLOOKUP($S294:$AG294,增益!$A:$A,增益!$B:$B,0))</f>
        <v>0.3142</v>
      </c>
      <c r="AN294" s="21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1831.48</v>
      </c>
      <c r="AP294" cm="1">
        <f t="array" ref="AP294">$E$10*(1+$AN294)+VLOOKUP($R294,武学奇术!$A:$ZZ,4,FALSE)+SUM(_xlfn.XLOOKUP($S294:$AG294,增益!$A:$A,增益!$D:$D,0))-$I$2</f>
        <v>7763.56</v>
      </c>
      <c r="AQ294" s="26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0.254</v>
      </c>
      <c r="AR294" s="26" cm="1">
        <f t="array" ref="AR294">$G$10+VLOOKUP($R294,武学奇术!$A:$ZZ,7,FALSE)+SUM(_xlfn.XLOOKUP(S294:AG294,增益!$A:$A,增益!$G:$G,0))</f>
        <v>0</v>
      </c>
      <c r="AS294" s="21" cm="1">
        <f t="array" ref="AS294">VLOOKUP($R294,武学奇术!$A:$ZZ,8,FALSE)+SUM(_xlfn.XLOOKUP(S294:AG294,增益!$A:$A,增益!$H:$H,0))</f>
        <v>0</v>
      </c>
      <c r="AT294">
        <f t="shared" si="211"/>
        <v>680.02</v>
      </c>
      <c r="AU294">
        <f t="shared" si="212"/>
        <v>1288.54</v>
      </c>
      <c r="AV294" s="26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</v>
      </c>
      <c r="AW294" s="26" cm="1">
        <f t="array" ref="AW294">$G$11+VLOOKUP($R294,武学奇术!$A:$ZZ,10,FALSE)+SUM(_xlfn.XLOOKUP(S294:AG294,增益!$A:$A,增益!$J:$J,0))</f>
        <v>0.15</v>
      </c>
      <c r="AX294">
        <f t="shared" si="213"/>
        <v>0</v>
      </c>
      <c r="AY294">
        <f t="shared" si="214"/>
        <v>0</v>
      </c>
      <c r="AZ294" s="26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26" cm="1">
        <f t="array" ref="BA294">$G$12+VLOOKUP($R294,武学奇术!$A:$ZZ,12,FALSE)+SUM(_xlfn.XLOOKUP(S294:AG294,增益!$A:$A,增益!$L:$L,0))</f>
        <v>0</v>
      </c>
      <c r="BB294">
        <f t="shared" si="215"/>
        <v>0</v>
      </c>
      <c r="BC294">
        <f t="shared" si="216"/>
        <v>0</v>
      </c>
      <c r="BD294" s="26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26" cm="1">
        <f t="array" ref="BE294">$G$13+VLOOKUP($R294,武学奇术!$A:$ZZ,14,FALSE)+SUM(_xlfn.XLOOKUP(S294:AG294,增益!$A:$A,增益!$N:$N,0))</f>
        <v>0</v>
      </c>
      <c r="BF294">
        <f t="shared" si="217"/>
        <v>0</v>
      </c>
      <c r="BG294">
        <f t="shared" si="218"/>
        <v>0</v>
      </c>
      <c r="BH294" s="26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26" cm="1">
        <f t="array" ref="BI294">$G$14+VLOOKUP($R294,武学奇术!$A:$ZZ,16,FALSE)+SUM(_xlfn.XLOOKUP(S294:AG294,增益!$A:$A,增益!$P:$P,0))</f>
        <v>0</v>
      </c>
      <c r="BJ294" s="21">
        <f>MIN(IF(VLOOKUP($R294,武学奇术!$A:$ZZ,23,FALSE)=1,100%,$B$8),100%)</f>
        <v>0.8229</v>
      </c>
      <c r="BK294" s="21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0.2285</v>
      </c>
      <c r="BL294" s="21" cm="1">
        <f t="array" ref="BL294">1+$B$13+VLOOKUP($R294,武学奇术!$A:$ZZ,18,FALSE)+SUM(_xlfn.XLOOKUP(S294:AG294,增益!$A:$A,增益!$R:$R,0))</f>
        <v>1.5</v>
      </c>
      <c r="BM294" s="21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0.4195</v>
      </c>
      <c r="BN294" s="21" cm="1">
        <f t="array" ref="BN294">1+$B$14+VLOOKUP($R294,武学奇术!$A:$ZZ,20,FALSE)+SUM(_xlfn.XLOOKUP(S294:AG294,增益!$A:$A,增益!$T:$T,0))</f>
        <v>1.412</v>
      </c>
      <c r="BO294" s="21">
        <f t="shared" ref="BO294:BO298" si="222">MIN((1-BM294)*BJ294,BJ294*BK294)</f>
        <v>0.18803265</v>
      </c>
      <c r="BP294" s="21">
        <f t="shared" ref="BP294:BP298" si="223">1-BM294-BO294-BQ294</f>
        <v>0.2896608</v>
      </c>
      <c r="BQ294" s="21">
        <f>IF(VLOOKUP($R294,武学奇术!$A:$ZZ,22,FALSE)=1,0,(1-$BJ294))*(1-$BM294)</f>
        <v>0.10280655</v>
      </c>
      <c r="BR294" s="21" cm="1">
        <f t="array" ref="BR294">SUM(_xlfn.XLOOKUP(S294:AG294,增益!$A:$A,增益!$W:$W,0))+$I$5</f>
        <v>0.06</v>
      </c>
    </row>
    <row r="295" spans="11:70">
      <c r="K295" s="24">
        <f>$L295*VLOOKUP($R295,武学奇术!$A:$ZZ,31,FALSE)</f>
        <v>36496.7119801474</v>
      </c>
      <c r="L295" s="24">
        <f t="shared" si="210"/>
        <v>36496.7119801474</v>
      </c>
      <c r="M295" s="24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33273.6144085753</v>
      </c>
      <c r="N295" s="24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51928.2788754535</v>
      </c>
      <c r="O295" s="24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22182.4096057169</v>
      </c>
      <c r="P295" s="24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10469.0758201456</v>
      </c>
      <c r="Q295" s="31">
        <f t="shared" si="221"/>
        <v>1</v>
      </c>
      <c r="R295" s="32" t="s">
        <v>202</v>
      </c>
      <c r="S295" s="32" t="s">
        <v>87</v>
      </c>
      <c r="T295" s="32" t="s">
        <v>104</v>
      </c>
      <c r="U295" s="32" t="s">
        <v>73</v>
      </c>
      <c r="V295" s="32" t="s">
        <v>73</v>
      </c>
      <c r="W295" s="32" t="s">
        <v>73</v>
      </c>
      <c r="X295" s="32" t="s">
        <v>91</v>
      </c>
      <c r="Y295" s="32" t="s">
        <v>73</v>
      </c>
      <c r="Z295" s="32" t="s">
        <v>73</v>
      </c>
      <c r="AA295" s="32" t="s">
        <v>81</v>
      </c>
      <c r="AB295" s="32" t="s">
        <v>75</v>
      </c>
      <c r="AC295" s="32" t="s">
        <v>89</v>
      </c>
      <c r="AD295" s="32" t="s">
        <v>82</v>
      </c>
      <c r="AE295" s="32" t="s">
        <v>90</v>
      </c>
      <c r="AF295" s="32" t="s">
        <v>77</v>
      </c>
      <c r="AG295" s="32" t="s">
        <v>78</v>
      </c>
      <c r="AH295" t="str">
        <f>VLOOKUP($R295,武学奇术!$A:$ZZ,25,FALSE)</f>
        <v>群体奇术</v>
      </c>
      <c r="AI295" s="21">
        <f>VLOOKUP($R295,武学奇术!$A:$ZZ,26,FALSE)</f>
        <v>1.4904</v>
      </c>
      <c r="AJ295" s="22">
        <f>VLOOKUP($R295,武学奇术!$A:$ZZ,27,FALSE)*(1+IF(OR($AH295=$F$4,$AH295=$F$5),$B$22,0))</f>
        <v>378</v>
      </c>
      <c r="AK295" s="21">
        <f>VLOOKUP($R295,武学奇术!$A:$ZZ,28,FALSE)</f>
        <v>2.2356</v>
      </c>
      <c r="AL295" s="22">
        <f>VLOOKUP($R295,武学奇术!$A:$ZZ,29,FALSE)*(1+IF(OR($AH295=$F$4,$AH295=$F$5),$B$22,0))</f>
        <v>0</v>
      </c>
      <c r="AM295" s="21" cm="1">
        <f t="array" ref="AM295">$G$3+IFERROR(VLOOKUP($AH295,$F$4:$G$7,2,FALSE),0)+VLOOKUP($R295,武学奇术!$A:$ZZ,2,FALSE)+SUM(_xlfn.XLOOKUP($S295:$AG295,增益!$A:$A,增益!$B:$B,0))</f>
        <v>0.7592</v>
      </c>
      <c r="AN295" s="21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1831.48</v>
      </c>
      <c r="AP295" cm="1">
        <f t="array" ref="AP295">$E$10*(1+$AN295)+VLOOKUP($R295,武学奇术!$A:$ZZ,4,FALSE)+SUM(_xlfn.XLOOKUP($S295:$AG295,增益!$A:$A,增益!$D:$D,0))-$I$2</f>
        <v>7763.56</v>
      </c>
      <c r="AQ295" s="26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0.244</v>
      </c>
      <c r="AR295" s="26" cm="1">
        <f t="array" ref="AR295">$G$10+VLOOKUP($R295,武学奇术!$A:$ZZ,7,FALSE)+SUM(_xlfn.XLOOKUP(S295:AG295,增益!$A:$A,增益!$G:$G,0))</f>
        <v>0</v>
      </c>
      <c r="AS295" s="21" cm="1">
        <f t="array" ref="AS295">VLOOKUP($R295,武学奇术!$A:$ZZ,8,FALSE)+SUM(_xlfn.XLOOKUP(S295:AG295,增益!$A:$A,增益!$H:$H,0))</f>
        <v>0</v>
      </c>
      <c r="AT295">
        <f t="shared" si="211"/>
        <v>680.02</v>
      </c>
      <c r="AU295">
        <f t="shared" si="212"/>
        <v>1288.54</v>
      </c>
      <c r="AV295" s="26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</v>
      </c>
      <c r="AW295" s="26" cm="1">
        <f t="array" ref="AW295">$G$11+VLOOKUP($R295,武学奇术!$A:$ZZ,10,FALSE)+SUM(_xlfn.XLOOKUP(S295:AG295,增益!$A:$A,增益!$J:$J,0))</f>
        <v>0.15</v>
      </c>
      <c r="AX295">
        <f t="shared" si="213"/>
        <v>0</v>
      </c>
      <c r="AY295">
        <f t="shared" si="214"/>
        <v>0</v>
      </c>
      <c r="AZ295" s="26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26" cm="1">
        <f t="array" ref="BA295">$G$12+VLOOKUP($R295,武学奇术!$A:$ZZ,12,FALSE)+SUM(_xlfn.XLOOKUP(S295:AG295,增益!$A:$A,增益!$L:$L,0))</f>
        <v>0</v>
      </c>
      <c r="BB295">
        <f t="shared" si="215"/>
        <v>0</v>
      </c>
      <c r="BC295">
        <f t="shared" si="216"/>
        <v>0</v>
      </c>
      <c r="BD295" s="26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26" cm="1">
        <f t="array" ref="BE295">$G$13+VLOOKUP($R295,武学奇术!$A:$ZZ,14,FALSE)+SUM(_xlfn.XLOOKUP(S295:AG295,增益!$A:$A,增益!$N:$N,0))</f>
        <v>0</v>
      </c>
      <c r="BF295">
        <f t="shared" si="217"/>
        <v>0</v>
      </c>
      <c r="BG295">
        <f t="shared" si="218"/>
        <v>0</v>
      </c>
      <c r="BH295" s="26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26" cm="1">
        <f t="array" ref="BI295">$G$14+VLOOKUP($R295,武学奇术!$A:$ZZ,16,FALSE)+SUM(_xlfn.XLOOKUP(S295:AG295,增益!$A:$A,增益!$P:$P,0))</f>
        <v>0</v>
      </c>
      <c r="BJ295" s="21">
        <f>MIN(IF(VLOOKUP($R295,武学奇术!$A:$ZZ,23,FALSE)=1,100%,$B$8),100%)</f>
        <v>0.8229</v>
      </c>
      <c r="BK295" s="21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0.2285</v>
      </c>
      <c r="BL295" s="21" cm="1">
        <f t="array" ref="BL295">1+$B$13+VLOOKUP($R295,武学奇术!$A:$ZZ,18,FALSE)+SUM(_xlfn.XLOOKUP(S295:AG295,增益!$A:$A,增益!$R:$R,0))</f>
        <v>1.5</v>
      </c>
      <c r="BM295" s="21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0.4495</v>
      </c>
      <c r="BN295" s="21" cm="1">
        <f t="array" ref="BN295">1+$B$14+VLOOKUP($R295,武学奇术!$A:$ZZ,20,FALSE)+SUM(_xlfn.XLOOKUP(S295:AG295,增益!$A:$A,增益!$T:$T,0))</f>
        <v>1.532</v>
      </c>
      <c r="BO295" s="21">
        <f t="shared" si="222"/>
        <v>0.18803265</v>
      </c>
      <c r="BP295" s="21">
        <f t="shared" si="223"/>
        <v>0.2649738</v>
      </c>
      <c r="BQ295" s="21">
        <f>IF(VLOOKUP($R295,武学奇术!$A:$ZZ,22,FALSE)=1,0,(1-$BJ295))*(1-$BM295)</f>
        <v>0.09749355</v>
      </c>
      <c r="BR295" s="21" cm="1">
        <f t="array" ref="BR295">SUM(_xlfn.XLOOKUP(S295:AG295,增益!$A:$A,增益!$W:$W,0))+$I$5</f>
        <v>0.06</v>
      </c>
    </row>
    <row r="296" spans="11:70">
      <c r="K296" s="24">
        <f>$L296*VLOOKUP($R296,武学奇术!$A:$ZZ,31,FALSE)</f>
        <v>36945.2827446122</v>
      </c>
      <c r="L296" s="24">
        <f t="shared" si="210"/>
        <v>36945.2827446122</v>
      </c>
      <c r="M296" s="24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33434.3815377991</v>
      </c>
      <c r="N296" s="24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52772.5341329828</v>
      </c>
      <c r="O296" s="24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22289.587691866</v>
      </c>
      <c r="P296" s="24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10576.2539062947</v>
      </c>
      <c r="Q296" s="31">
        <f t="shared" si="221"/>
        <v>1</v>
      </c>
      <c r="R296" s="32" t="s">
        <v>202</v>
      </c>
      <c r="S296" s="32" t="s">
        <v>87</v>
      </c>
      <c r="T296" s="32" t="s">
        <v>104</v>
      </c>
      <c r="U296" s="32" t="s">
        <v>73</v>
      </c>
      <c r="V296" s="32" t="s">
        <v>73</v>
      </c>
      <c r="W296" s="32" t="s">
        <v>111</v>
      </c>
      <c r="X296" s="32" t="s">
        <v>117</v>
      </c>
      <c r="Y296" s="32" t="s">
        <v>73</v>
      </c>
      <c r="Z296" s="32" t="s">
        <v>73</v>
      </c>
      <c r="AA296" s="32" t="s">
        <v>81</v>
      </c>
      <c r="AB296" s="32" t="s">
        <v>75</v>
      </c>
      <c r="AC296" s="32" t="s">
        <v>89</v>
      </c>
      <c r="AD296" s="32" t="s">
        <v>82</v>
      </c>
      <c r="AE296" s="32" t="s">
        <v>90</v>
      </c>
      <c r="AF296" s="32" t="s">
        <v>77</v>
      </c>
      <c r="AG296" s="32" t="s">
        <v>91</v>
      </c>
      <c r="AH296" t="str">
        <f>VLOOKUP($R296,武学奇术!$A:$ZZ,25,FALSE)</f>
        <v>群体奇术</v>
      </c>
      <c r="AI296" s="21">
        <f>VLOOKUP($R296,武学奇术!$A:$ZZ,26,FALSE)</f>
        <v>1.4904</v>
      </c>
      <c r="AJ296" s="22">
        <f>VLOOKUP($R296,武学奇术!$A:$ZZ,27,FALSE)*(1+IF(OR($AH296=$F$4,$AH296=$F$5),$B$22,0))</f>
        <v>378</v>
      </c>
      <c r="AK296" s="21">
        <f>VLOOKUP($R296,武学奇术!$A:$ZZ,28,FALSE)</f>
        <v>2.2356</v>
      </c>
      <c r="AL296" s="22">
        <f>VLOOKUP($R296,武学奇术!$A:$ZZ,29,FALSE)*(1+IF(OR($AH296=$F$4,$AH296=$F$5),$B$22,0))</f>
        <v>0</v>
      </c>
      <c r="AM296" s="21" cm="1">
        <f t="array" ref="AM296">$G$3+IFERROR(VLOOKUP($AH296,$F$4:$G$7,2,FALSE),0)+VLOOKUP($R296,武学奇术!$A:$ZZ,2,FALSE)+SUM(_xlfn.XLOOKUP($S296:$AG296,增益!$A:$A,增益!$B:$B,0))</f>
        <v>0.7592</v>
      </c>
      <c r="AN296" s="21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1862.48</v>
      </c>
      <c r="AP296" cm="1">
        <f t="array" ref="AP296">$E$10*(1+$AN296)+VLOOKUP($R296,武学奇术!$A:$ZZ,4,FALSE)+SUM(_xlfn.XLOOKUP($S296:$AG296,增益!$A:$A,增益!$D:$D,0))-$I$2</f>
        <v>7794.56</v>
      </c>
      <c r="AQ296" s="26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0.244</v>
      </c>
      <c r="AR296" s="26" cm="1">
        <f t="array" ref="AR296">$G$10+VLOOKUP($R296,武学奇术!$A:$ZZ,7,FALSE)+SUM(_xlfn.XLOOKUP(S296:AG296,增益!$A:$A,增益!$G:$G,0))</f>
        <v>0</v>
      </c>
      <c r="AS296" s="21" cm="1">
        <f t="array" ref="AS296">VLOOKUP($R296,武学奇术!$A:$ZZ,8,FALSE)+SUM(_xlfn.XLOOKUP(S296:AG296,增益!$A:$A,增益!$H:$H,0))</f>
        <v>0</v>
      </c>
      <c r="AT296">
        <f t="shared" si="211"/>
        <v>680.02</v>
      </c>
      <c r="AU296">
        <f t="shared" si="212"/>
        <v>1288.54</v>
      </c>
      <c r="AV296" s="26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</v>
      </c>
      <c r="AW296" s="26" cm="1">
        <f t="array" ref="AW296">$G$11+VLOOKUP($R296,武学奇术!$A:$ZZ,10,FALSE)+SUM(_xlfn.XLOOKUP(S296:AG296,增益!$A:$A,增益!$J:$J,0))</f>
        <v>0.15</v>
      </c>
      <c r="AX296">
        <f t="shared" si="213"/>
        <v>0</v>
      </c>
      <c r="AY296">
        <f t="shared" si="214"/>
        <v>0</v>
      </c>
      <c r="AZ296" s="26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26" cm="1">
        <f t="array" ref="BA296">$G$12+VLOOKUP($R296,武学奇术!$A:$ZZ,12,FALSE)+SUM(_xlfn.XLOOKUP(S296:AG296,增益!$A:$A,增益!$L:$L,0))</f>
        <v>0</v>
      </c>
      <c r="BB296">
        <f t="shared" si="215"/>
        <v>0</v>
      </c>
      <c r="BC296">
        <f t="shared" si="216"/>
        <v>0</v>
      </c>
      <c r="BD296" s="26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26" cm="1">
        <f t="array" ref="BE296">$G$13+VLOOKUP($R296,武学奇术!$A:$ZZ,14,FALSE)+SUM(_xlfn.XLOOKUP(S296:AG296,增益!$A:$A,增益!$N:$N,0))</f>
        <v>0</v>
      </c>
      <c r="BF296">
        <f t="shared" si="217"/>
        <v>0</v>
      </c>
      <c r="BG296">
        <f t="shared" si="218"/>
        <v>0</v>
      </c>
      <c r="BH296" s="26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26" cm="1">
        <f t="array" ref="BI296">$G$14+VLOOKUP($R296,武学奇术!$A:$ZZ,16,FALSE)+SUM(_xlfn.XLOOKUP(S296:AG296,增益!$A:$A,增益!$P:$P,0))</f>
        <v>0</v>
      </c>
      <c r="BJ296" s="21">
        <f>MIN(IF(VLOOKUP($R296,武学奇术!$A:$ZZ,23,FALSE)=1,100%,$B$8),100%)</f>
        <v>0.8229</v>
      </c>
      <c r="BK296" s="21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0.2285</v>
      </c>
      <c r="BL296" s="21" cm="1">
        <f t="array" ref="BL296">1+$B$13+VLOOKUP($R296,武学奇术!$A:$ZZ,18,FALSE)+SUM(_xlfn.XLOOKUP(S296:AG296,增益!$A:$A,增益!$R:$R,0))</f>
        <v>1.5</v>
      </c>
      <c r="BM296" s="21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0.4495</v>
      </c>
      <c r="BN296" s="21" cm="1">
        <f t="array" ref="BN296">1+$B$14+VLOOKUP($R296,武学奇术!$A:$ZZ,20,FALSE)+SUM(_xlfn.XLOOKUP(S296:AG296,增益!$A:$A,增益!$T:$T,0))</f>
        <v>1.552</v>
      </c>
      <c r="BO296" s="21">
        <f t="shared" si="222"/>
        <v>0.18803265</v>
      </c>
      <c r="BP296" s="21">
        <f t="shared" si="223"/>
        <v>0.2649738</v>
      </c>
      <c r="BQ296" s="21">
        <f>IF(VLOOKUP($R296,武学奇术!$A:$ZZ,22,FALSE)=1,0,(1-$BJ296))*(1-$BM296)</f>
        <v>0.09749355</v>
      </c>
      <c r="BR296" s="21" cm="1">
        <f t="array" ref="BR296">SUM(_xlfn.XLOOKUP(S296:AG296,增益!$A:$A,增益!$W:$W,0))+$I$5</f>
        <v>0.06</v>
      </c>
    </row>
    <row r="297" spans="11:70">
      <c r="K297" s="24">
        <f>$L297*VLOOKUP($R297,武学奇术!$A:$ZZ,31,FALSE)</f>
        <v>38442.3683694265</v>
      </c>
      <c r="L297" s="24">
        <f t="shared" si="210"/>
        <v>38442.3683694265</v>
      </c>
      <c r="M297" s="24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35061.334324536</v>
      </c>
      <c r="N297" s="24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54678.7943678872</v>
      </c>
      <c r="O297" s="24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23374.222883024</v>
      </c>
      <c r="P297" s="24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11057.3267269571</v>
      </c>
      <c r="Q297" s="31">
        <f t="shared" si="221"/>
        <v>1</v>
      </c>
      <c r="R297" s="32" t="s">
        <v>202</v>
      </c>
      <c r="S297" s="32" t="s">
        <v>87</v>
      </c>
      <c r="T297" s="32" t="s">
        <v>104</v>
      </c>
      <c r="U297" s="32" t="s">
        <v>73</v>
      </c>
      <c r="V297" s="32" t="s">
        <v>73</v>
      </c>
      <c r="W297" s="32" t="s">
        <v>111</v>
      </c>
      <c r="X297" s="32" t="s">
        <v>116</v>
      </c>
      <c r="Y297" s="32" t="s">
        <v>73</v>
      </c>
      <c r="Z297" s="32" t="s">
        <v>73</v>
      </c>
      <c r="AA297" s="32" t="s">
        <v>81</v>
      </c>
      <c r="AB297" s="32" t="s">
        <v>75</v>
      </c>
      <c r="AC297" s="32" t="s">
        <v>76</v>
      </c>
      <c r="AD297" s="32" t="s">
        <v>82</v>
      </c>
      <c r="AE297" s="32" t="s">
        <v>90</v>
      </c>
      <c r="AF297" s="32" t="s">
        <v>77</v>
      </c>
      <c r="AG297" s="32" t="s">
        <v>117</v>
      </c>
      <c r="AH297" t="str">
        <f>VLOOKUP($R297,武学奇术!$A:$ZZ,25,FALSE)</f>
        <v>群体奇术</v>
      </c>
      <c r="AI297" s="21">
        <f>VLOOKUP($R297,武学奇术!$A:$ZZ,26,FALSE)</f>
        <v>1.4904</v>
      </c>
      <c r="AJ297" s="22">
        <f>VLOOKUP($R297,武学奇术!$A:$ZZ,27,FALSE)*(1+IF(OR($AH297=$F$4,$AH297=$F$5),$B$22,0))</f>
        <v>378</v>
      </c>
      <c r="AK297" s="21">
        <f>VLOOKUP($R297,武学奇术!$A:$ZZ,28,FALSE)</f>
        <v>2.2356</v>
      </c>
      <c r="AL297" s="22">
        <f>VLOOKUP($R297,武学奇术!$A:$ZZ,29,FALSE)*(1+IF(OR($AH297=$F$4,$AH297=$F$5),$B$22,0))</f>
        <v>0</v>
      </c>
      <c r="AM297" s="21" cm="1">
        <f t="array" ref="AM297">$G$3+IFERROR(VLOOKUP($AH297,$F$4:$G$7,2,FALSE),0)+VLOOKUP($R297,武学奇术!$A:$ZZ,2,FALSE)+SUM(_xlfn.XLOOKUP($S297:$AG297,增益!$A:$A,增益!$B:$B,0))</f>
        <v>0.7992</v>
      </c>
      <c r="AN297" s="21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1862.48</v>
      </c>
      <c r="AP297" cm="1">
        <f t="array" ref="AP297">$E$10*(1+$AN297)+VLOOKUP($R297,武学奇术!$A:$ZZ,4,FALSE)+SUM(_xlfn.XLOOKUP($S297:$AG297,增益!$A:$A,增益!$D:$D,0))-$I$2</f>
        <v>7794.56</v>
      </c>
      <c r="AQ297" s="26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0.284</v>
      </c>
      <c r="AR297" s="26" cm="1">
        <f t="array" ref="AR297">$G$10+VLOOKUP($R297,武学奇术!$A:$ZZ,7,FALSE)+SUM(_xlfn.XLOOKUP(S297:AG297,增益!$A:$A,增益!$G:$G,0))</f>
        <v>0</v>
      </c>
      <c r="AS297" s="21" cm="1">
        <f t="array" ref="AS297">VLOOKUP($R297,武学奇术!$A:$ZZ,8,FALSE)+SUM(_xlfn.XLOOKUP(S297:AG297,增益!$A:$A,增益!$H:$H,0))</f>
        <v>0</v>
      </c>
      <c r="AT297">
        <f t="shared" si="211"/>
        <v>680.02</v>
      </c>
      <c r="AU297">
        <f t="shared" si="212"/>
        <v>1288.54</v>
      </c>
      <c r="AV297" s="26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</v>
      </c>
      <c r="AW297" s="26" cm="1">
        <f t="array" ref="AW297">$G$11+VLOOKUP($R297,武学奇术!$A:$ZZ,10,FALSE)+SUM(_xlfn.XLOOKUP(S297:AG297,增益!$A:$A,增益!$J:$J,0))</f>
        <v>0.15</v>
      </c>
      <c r="AX297">
        <f t="shared" si="213"/>
        <v>0</v>
      </c>
      <c r="AY297">
        <f t="shared" si="214"/>
        <v>0</v>
      </c>
      <c r="AZ297" s="26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26" cm="1">
        <f t="array" ref="BA297">$G$12+VLOOKUP($R297,武学奇术!$A:$ZZ,12,FALSE)+SUM(_xlfn.XLOOKUP(S297:AG297,增益!$A:$A,增益!$L:$L,0))</f>
        <v>0</v>
      </c>
      <c r="BB297">
        <f t="shared" si="215"/>
        <v>0</v>
      </c>
      <c r="BC297">
        <f t="shared" si="216"/>
        <v>0</v>
      </c>
      <c r="BD297" s="26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26" cm="1">
        <f t="array" ref="BE297">$G$13+VLOOKUP($R297,武学奇术!$A:$ZZ,14,FALSE)+SUM(_xlfn.XLOOKUP(S297:AG297,增益!$A:$A,增益!$N:$N,0))</f>
        <v>0</v>
      </c>
      <c r="BF297">
        <f t="shared" si="217"/>
        <v>0</v>
      </c>
      <c r="BG297">
        <f t="shared" si="218"/>
        <v>0</v>
      </c>
      <c r="BH297" s="26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26" cm="1">
        <f t="array" ref="BI297">$G$14+VLOOKUP($R297,武学奇术!$A:$ZZ,16,FALSE)+SUM(_xlfn.XLOOKUP(S297:AG297,增益!$A:$A,增益!$P:$P,0))</f>
        <v>0</v>
      </c>
      <c r="BJ297" s="21">
        <f>MIN(IF(VLOOKUP($R297,武学奇术!$A:$ZZ,23,FALSE)=1,100%,$B$8),100%)</f>
        <v>0.8229</v>
      </c>
      <c r="BK297" s="21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0.2285</v>
      </c>
      <c r="BL297" s="21" cm="1">
        <f t="array" ref="BL297">1+$B$13+VLOOKUP($R297,武学奇术!$A:$ZZ,18,FALSE)+SUM(_xlfn.XLOOKUP(S297:AG297,增益!$A:$A,增益!$R:$R,0))</f>
        <v>1.5</v>
      </c>
      <c r="BM297" s="21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0.4495</v>
      </c>
      <c r="BN297" s="21" cm="1">
        <f t="array" ref="BN297">1+$B$14+VLOOKUP($R297,武学奇术!$A:$ZZ,20,FALSE)+SUM(_xlfn.XLOOKUP(S297:AG297,增益!$A:$A,增益!$T:$T,0))</f>
        <v>1.532</v>
      </c>
      <c r="BO297" s="21">
        <f t="shared" si="222"/>
        <v>0.18803265</v>
      </c>
      <c r="BP297" s="21">
        <f t="shared" si="223"/>
        <v>0.2649738</v>
      </c>
      <c r="BQ297" s="21">
        <f>IF(VLOOKUP($R297,武学奇术!$A:$ZZ,22,FALSE)=1,0,(1-$BJ297))*(1-$BM297)</f>
        <v>0.09749355</v>
      </c>
      <c r="BR297" s="21" cm="1">
        <f t="array" ref="BR297">SUM(_xlfn.XLOOKUP(S297:AG297,增益!$A:$A,增益!$W:$W,0))+$I$5</f>
        <v>0.06</v>
      </c>
    </row>
    <row r="298" spans="11:70">
      <c r="K298" s="24">
        <f>$L298*VLOOKUP($R298,武学奇术!$A:$ZZ,31,FALSE)</f>
        <v>39062.1554591215</v>
      </c>
      <c r="L298" s="24">
        <f t="shared" si="210"/>
        <v>39062.1554591215</v>
      </c>
      <c r="M298" s="24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35474.0941900556</v>
      </c>
      <c r="N298" s="24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55696.3087619857</v>
      </c>
      <c r="O298" s="24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23649.3961267037</v>
      </c>
      <c r="P298" s="24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11179.2664674245</v>
      </c>
      <c r="Q298" s="31">
        <f t="shared" si="221"/>
        <v>1</v>
      </c>
      <c r="R298" s="32" t="s">
        <v>202</v>
      </c>
      <c r="S298" s="32" t="s">
        <v>87</v>
      </c>
      <c r="T298" s="32" t="s">
        <v>104</v>
      </c>
      <c r="U298" s="32" t="s">
        <v>73</v>
      </c>
      <c r="V298" s="32" t="s">
        <v>73</v>
      </c>
      <c r="W298" s="32" t="s">
        <v>111</v>
      </c>
      <c r="X298" s="32" t="s">
        <v>127</v>
      </c>
      <c r="Y298" s="32" t="s">
        <v>73</v>
      </c>
      <c r="Z298" s="32" t="s">
        <v>73</v>
      </c>
      <c r="AA298" s="32" t="s">
        <v>81</v>
      </c>
      <c r="AB298" s="32" t="s">
        <v>75</v>
      </c>
      <c r="AC298" s="32" t="s">
        <v>76</v>
      </c>
      <c r="AD298" s="32" t="s">
        <v>82</v>
      </c>
      <c r="AE298" s="32" t="s">
        <v>90</v>
      </c>
      <c r="AF298" s="32" t="s">
        <v>77</v>
      </c>
      <c r="AG298" s="32" t="s">
        <v>128</v>
      </c>
      <c r="AH298" t="str">
        <f>VLOOKUP($R298,武学奇术!$A:$ZZ,25,FALSE)</f>
        <v>群体奇术</v>
      </c>
      <c r="AI298" s="21">
        <f>VLOOKUP($R298,武学奇术!$A:$ZZ,26,FALSE)</f>
        <v>1.4904</v>
      </c>
      <c r="AJ298" s="22">
        <f>VLOOKUP($R298,武学奇术!$A:$ZZ,27,FALSE)*(1+IF(OR($AH298=$F$4,$AH298=$F$5),$B$22,0))</f>
        <v>378</v>
      </c>
      <c r="AK298" s="21">
        <f>VLOOKUP($R298,武学奇术!$A:$ZZ,28,FALSE)</f>
        <v>2.2356</v>
      </c>
      <c r="AL298" s="22">
        <f>VLOOKUP($R298,武学奇术!$A:$ZZ,29,FALSE)*(1+IF(OR($AH298=$F$4,$AH298=$F$5),$B$22,0))</f>
        <v>0</v>
      </c>
      <c r="AM298" s="21" cm="1">
        <f t="array" ref="AM298">$G$3+IFERROR(VLOOKUP($AH298,$F$4:$G$7,2,FALSE),0)+VLOOKUP($R298,武学奇术!$A:$ZZ,2,FALSE)+SUM(_xlfn.XLOOKUP($S298:$AG298,增益!$A:$A,增益!$B:$B,0))</f>
        <v>0.8092</v>
      </c>
      <c r="AN298" s="21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1862.48</v>
      </c>
      <c r="AP298" cm="1">
        <f t="array" ref="AP298">$E$10*(1+$AN298)+VLOOKUP($R298,武学奇术!$A:$ZZ,4,FALSE)+SUM(_xlfn.XLOOKUP($S298:$AG298,增益!$A:$A,增益!$D:$D,0))-$I$2</f>
        <v>7794.56</v>
      </c>
      <c r="AQ298" s="26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0.294</v>
      </c>
      <c r="AR298" s="26" cm="1">
        <f t="array" ref="AR298">$G$10+VLOOKUP($R298,武学奇术!$A:$ZZ,7,FALSE)+SUM(_xlfn.XLOOKUP(S298:AG298,增益!$A:$A,增益!$G:$G,0))</f>
        <v>0</v>
      </c>
      <c r="AS298" s="21" cm="1">
        <f t="array" ref="AS298">VLOOKUP($R298,武学奇术!$A:$ZZ,8,FALSE)+SUM(_xlfn.XLOOKUP(S298:AG298,增益!$A:$A,增益!$H:$H,0))</f>
        <v>0</v>
      </c>
      <c r="AT298">
        <f t="shared" si="211"/>
        <v>680.02</v>
      </c>
      <c r="AU298">
        <f t="shared" si="212"/>
        <v>1288.54</v>
      </c>
      <c r="AV298" s="26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</v>
      </c>
      <c r="AW298" s="26" cm="1">
        <f t="array" ref="AW298">$G$11+VLOOKUP($R298,武学奇术!$A:$ZZ,10,FALSE)+SUM(_xlfn.XLOOKUP(S298:AG298,增益!$A:$A,增益!$J:$J,0))</f>
        <v>0.15</v>
      </c>
      <c r="AX298">
        <f t="shared" si="213"/>
        <v>0</v>
      </c>
      <c r="AY298">
        <f t="shared" si="214"/>
        <v>0</v>
      </c>
      <c r="AZ298" s="26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26" cm="1">
        <f t="array" ref="BA298">$G$12+VLOOKUP($R298,武学奇术!$A:$ZZ,12,FALSE)+SUM(_xlfn.XLOOKUP(S298:AG298,增益!$A:$A,增益!$L:$L,0))</f>
        <v>0</v>
      </c>
      <c r="BB298">
        <f t="shared" si="215"/>
        <v>0</v>
      </c>
      <c r="BC298">
        <f t="shared" si="216"/>
        <v>0</v>
      </c>
      <c r="BD298" s="26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26" cm="1">
        <f t="array" ref="BE298">$G$13+VLOOKUP($R298,武学奇术!$A:$ZZ,14,FALSE)+SUM(_xlfn.XLOOKUP(S298:AG298,增益!$A:$A,增益!$N:$N,0))</f>
        <v>0</v>
      </c>
      <c r="BF298">
        <f t="shared" si="217"/>
        <v>0</v>
      </c>
      <c r="BG298">
        <f t="shared" si="218"/>
        <v>0</v>
      </c>
      <c r="BH298" s="26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26" cm="1">
        <f t="array" ref="BI298">$G$14+VLOOKUP($R298,武学奇术!$A:$ZZ,16,FALSE)+SUM(_xlfn.XLOOKUP(S298:AG298,增益!$A:$A,增益!$P:$P,0))</f>
        <v>0</v>
      </c>
      <c r="BJ298" s="21">
        <f>MIN(IF(VLOOKUP($R298,武学奇术!$A:$ZZ,23,FALSE)=1,100%,$B$8),100%)</f>
        <v>0.8229</v>
      </c>
      <c r="BK298" s="21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0.2285</v>
      </c>
      <c r="BL298" s="21" cm="1">
        <f t="array" ref="BL298">1+$B$13+VLOOKUP($R298,武学奇术!$A:$ZZ,18,FALSE)+SUM(_xlfn.XLOOKUP(S298:AG298,增益!$A:$A,增益!$R:$R,0))</f>
        <v>1.5</v>
      </c>
      <c r="BM298" s="21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0.4495</v>
      </c>
      <c r="BN298" s="21" cm="1">
        <f t="array" ref="BN298">1+$B$14+VLOOKUP($R298,武学奇术!$A:$ZZ,20,FALSE)+SUM(_xlfn.XLOOKUP(S298:AG298,增益!$A:$A,增益!$T:$T,0))</f>
        <v>1.542</v>
      </c>
      <c r="BO298" s="21">
        <f t="shared" si="222"/>
        <v>0.18803265</v>
      </c>
      <c r="BP298" s="21">
        <f t="shared" si="223"/>
        <v>0.2649738</v>
      </c>
      <c r="BQ298" s="21">
        <f>IF(VLOOKUP($R298,武学奇术!$A:$ZZ,22,FALSE)=1,0,(1-$BJ298))*(1-$BM298)</f>
        <v>0.09749355</v>
      </c>
      <c r="BR298" s="21" cm="1">
        <f t="array" ref="BR298">SUM(_xlfn.XLOOKUP(S298:AG298,增益!$A:$A,增益!$W:$W,0))+$I$5</f>
        <v>0.06</v>
      </c>
    </row>
  </sheetData>
  <mergeCells count="41">
    <mergeCell ref="H1:I1"/>
    <mergeCell ref="C8:G8"/>
    <mergeCell ref="C15:D15"/>
    <mergeCell ref="E21:F21"/>
    <mergeCell ref="E22:F22"/>
    <mergeCell ref="A23:A24"/>
    <mergeCell ref="C47:C51"/>
    <mergeCell ref="C75:C79"/>
    <mergeCell ref="D31:D35"/>
    <mergeCell ref="D38:D42"/>
    <mergeCell ref="D45:D49"/>
    <mergeCell ref="D56:D61"/>
    <mergeCell ref="D68:D73"/>
    <mergeCell ref="D77:D79"/>
    <mergeCell ref="E30:E33"/>
    <mergeCell ref="E42:E44"/>
    <mergeCell ref="E49:E51"/>
    <mergeCell ref="E56:E59"/>
    <mergeCell ref="E65:E69"/>
    <mergeCell ref="E78:E79"/>
    <mergeCell ref="F30:F35"/>
    <mergeCell ref="F46:F51"/>
    <mergeCell ref="F56:F61"/>
    <mergeCell ref="F76:F79"/>
    <mergeCell ref="G29:G36"/>
    <mergeCell ref="G41:G48"/>
    <mergeCell ref="G54:G61"/>
    <mergeCell ref="G65:G72"/>
    <mergeCell ref="G76:G79"/>
    <mergeCell ref="H8:H9"/>
    <mergeCell ref="H10:H11"/>
    <mergeCell ref="H12:H13"/>
    <mergeCell ref="H14:H15"/>
    <mergeCell ref="H16:H17"/>
    <mergeCell ref="H18:H19"/>
    <mergeCell ref="I16:J17"/>
    <mergeCell ref="I18:J19"/>
    <mergeCell ref="I10:J11"/>
    <mergeCell ref="I8:J9"/>
    <mergeCell ref="I12:J13"/>
    <mergeCell ref="I14:J15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D21:D23 F15:F17">
      <formula1>"√,×"</formula1>
    </dataValidation>
    <dataValidation type="list" allowBlank="1" showInputMessage="1" showErrorMessage="1" sqref="R2:R298">
      <formula1>武学奇术!$A:$A</formula1>
    </dataValidation>
    <dataValidation type="list" allowBlank="1" showInputMessage="1" showErrorMessage="1" sqref="S2:AG298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98"/>
  <sheetViews>
    <sheetView zoomScale="70" zoomScaleNormal="70" workbookViewId="0">
      <selection activeCell="I12" sqref="I12:J13"/>
    </sheetView>
  </sheetViews>
  <sheetFormatPr defaultColWidth="9" defaultRowHeight="13.5"/>
  <cols>
    <col min="1" max="1" width="12.9083333333333" customWidth="1"/>
    <col min="11" max="11" width="12.6333333333333" style="24" customWidth="1"/>
    <col min="12" max="16" width="12.6333333333333" style="22" customWidth="1"/>
    <col min="18" max="18" width="24.6333333333333" style="25" customWidth="1"/>
    <col min="19" max="33" width="9" style="25"/>
    <col min="35" max="35" width="9" style="21"/>
    <col min="36" max="36" width="9" style="22"/>
    <col min="37" max="37" width="9" style="21"/>
    <col min="38" max="38" width="9" style="22"/>
    <col min="39" max="40" width="9" style="21"/>
    <col min="43" max="45" width="9" style="26"/>
    <col min="48" max="49" width="9" style="26"/>
    <col min="62" max="66" width="9" style="21"/>
    <col min="67" max="68" width="9" style="21" customWidth="1"/>
    <col min="69" max="70" width="9" style="21"/>
  </cols>
  <sheetData>
    <row r="1" spans="1:70">
      <c r="A1" s="27"/>
      <c r="B1" s="28" t="s">
        <v>0</v>
      </c>
      <c r="C1" s="28" t="s">
        <v>1</v>
      </c>
      <c r="D1" s="28" t="s">
        <v>2</v>
      </c>
      <c r="E1" s="29" t="s">
        <v>3</v>
      </c>
      <c r="F1" s="30" t="s">
        <v>4</v>
      </c>
      <c r="G1" s="29" t="s">
        <v>5</v>
      </c>
      <c r="H1" s="30" t="s">
        <v>6</v>
      </c>
      <c r="I1" s="29"/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31" t="s">
        <v>13</v>
      </c>
      <c r="R1" s="32" t="s">
        <v>14</v>
      </c>
      <c r="S1" s="32" t="s">
        <v>15</v>
      </c>
      <c r="T1" s="32" t="s">
        <v>16</v>
      </c>
      <c r="U1" s="32" t="s">
        <v>17</v>
      </c>
      <c r="V1" s="32" t="s">
        <v>18</v>
      </c>
      <c r="W1" s="32" t="s">
        <v>19</v>
      </c>
      <c r="X1" s="32" t="s">
        <v>20</v>
      </c>
      <c r="Y1" s="32" t="s">
        <v>21</v>
      </c>
      <c r="Z1" s="32" t="s">
        <v>22</v>
      </c>
      <c r="AA1" s="32" t="s">
        <v>23</v>
      </c>
      <c r="AB1" s="32" t="s">
        <v>24</v>
      </c>
      <c r="AC1" s="32" t="s">
        <v>25</v>
      </c>
      <c r="AD1" s="32" t="s">
        <v>26</v>
      </c>
      <c r="AE1" s="32" t="s">
        <v>27</v>
      </c>
      <c r="AF1" s="32" t="s">
        <v>28</v>
      </c>
      <c r="AG1" s="32" t="s">
        <v>29</v>
      </c>
      <c r="AH1" t="s">
        <v>30</v>
      </c>
      <c r="AI1" s="21" t="s">
        <v>31</v>
      </c>
      <c r="AJ1" s="22" t="s">
        <v>32</v>
      </c>
      <c r="AK1" s="21" t="s">
        <v>33</v>
      </c>
      <c r="AL1" s="22" t="s">
        <v>34</v>
      </c>
      <c r="AM1" s="21" t="s">
        <v>35</v>
      </c>
      <c r="AN1" s="21" t="s">
        <v>36</v>
      </c>
      <c r="AO1" t="s">
        <v>37</v>
      </c>
      <c r="AP1" t="s">
        <v>38</v>
      </c>
      <c r="AQ1" s="26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26" t="s">
        <v>44</v>
      </c>
      <c r="AW1" s="26" t="s">
        <v>45</v>
      </c>
      <c r="AX1" t="s">
        <v>46</v>
      </c>
      <c r="AY1" t="s">
        <v>47</v>
      </c>
      <c r="AZ1" s="26" t="s">
        <v>48</v>
      </c>
      <c r="BA1" s="26" t="s">
        <v>49</v>
      </c>
      <c r="BB1" t="s">
        <v>50</v>
      </c>
      <c r="BC1" t="s">
        <v>51</v>
      </c>
      <c r="BD1" s="26" t="s">
        <v>52</v>
      </c>
      <c r="BE1" s="26" t="s">
        <v>53</v>
      </c>
      <c r="BF1" t="s">
        <v>54</v>
      </c>
      <c r="BG1" t="s">
        <v>55</v>
      </c>
      <c r="BH1" s="26" t="s">
        <v>56</v>
      </c>
      <c r="BI1" s="26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</row>
    <row r="2" spans="1:70">
      <c r="A2" s="33" t="s">
        <v>67</v>
      </c>
      <c r="B2" s="25"/>
      <c r="C2" s="25"/>
      <c r="D2" s="25"/>
      <c r="E2" s="34"/>
      <c r="F2" s="35" t="s">
        <v>68</v>
      </c>
      <c r="G2" s="36" t="s">
        <v>69</v>
      </c>
      <c r="H2" s="37" t="s">
        <v>70</v>
      </c>
      <c r="I2" s="7">
        <f>620*IF(F17="√",0.94,1)</f>
        <v>620</v>
      </c>
      <c r="K2" s="24">
        <f>$L2*VLOOKUP($R2,武学奇术!$A:$ZZ,31,FALSE)</f>
        <v>22244.2529187402</v>
      </c>
      <c r="L2" s="24">
        <f t="shared" ref="L2:L65" si="0">($M2*$BO2+$N2*$BM2+$O2*$BP2+$P2*$BQ2)</f>
        <v>22244.2529187402</v>
      </c>
      <c r="M2" s="2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流血",$B$21,0))*(1+$BR2)</f>
        <v>22127.7433582061</v>
      </c>
      <c r="N2" s="24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流血",$B$21,0))*(1+$BR2)</f>
        <v>31086.2531483237</v>
      </c>
      <c r="O2" s="24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流血",$B$21,0))*(1+$BR2)</f>
        <v>14751.8289054707</v>
      </c>
      <c r="P2" s="24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流血",$B$21,0))*(1+$BR2)</f>
        <v>7487.89779088219</v>
      </c>
      <c r="Q2" s="31">
        <v>1</v>
      </c>
      <c r="R2" s="32" t="s">
        <v>71</v>
      </c>
      <c r="S2" s="32" t="s">
        <v>72</v>
      </c>
      <c r="T2" s="32" t="s">
        <v>73</v>
      </c>
      <c r="U2" s="32" t="s">
        <v>73</v>
      </c>
      <c r="V2" s="32" t="s">
        <v>73</v>
      </c>
      <c r="W2" s="32" t="s">
        <v>73</v>
      </c>
      <c r="X2" s="32" t="s">
        <v>74</v>
      </c>
      <c r="Y2" s="32" t="s">
        <v>73</v>
      </c>
      <c r="Z2" s="32" t="s">
        <v>73</v>
      </c>
      <c r="AA2" s="32" t="s">
        <v>73</v>
      </c>
      <c r="AB2" s="32" t="s">
        <v>75</v>
      </c>
      <c r="AC2" s="32" t="s">
        <v>76</v>
      </c>
      <c r="AD2" s="32" t="s">
        <v>73</v>
      </c>
      <c r="AE2" s="32" t="s">
        <v>73</v>
      </c>
      <c r="AF2" s="32" t="s">
        <v>73</v>
      </c>
      <c r="AG2" s="32" t="s">
        <v>78</v>
      </c>
      <c r="AH2" t="str">
        <f>VLOOKUP($R2,武学奇术!$A:$ZZ,25,FALSE)</f>
        <v>剑</v>
      </c>
      <c r="AI2" s="21">
        <f>VLOOKUP($R2,武学奇术!$A:$ZZ,26,FALSE)</f>
        <v>1.20876428571429</v>
      </c>
      <c r="AJ2" s="22">
        <f>VLOOKUP($R2,武学奇术!$A:$ZZ,27,FALSE)*(1+IF(OR($AH2=$F$4,$AH2=$F$5),$B$22,0))</f>
        <v>501.428571428571</v>
      </c>
      <c r="AK2" s="21">
        <f>VLOOKUP($R2,武学奇术!$A:$ZZ,28,FALSE)</f>
        <v>1.81317857142857</v>
      </c>
      <c r="AL2" s="22">
        <f>VLOOKUP($R2,武学奇术!$A:$ZZ,29,FALSE)*(1+IF(OR($AH2=$F$4,$AH2=$F$5),$B$22,0))</f>
        <v>272.892857142856</v>
      </c>
      <c r="AM2" s="21" cm="1">
        <f t="array" ref="AM2">$G$3+IFERROR(VLOOKUP($AH2,$F$4:$G$7,2,FALSE),0)+VLOOKUP($R2,武学奇术!$A:$ZZ,2,FALSE)+SUM(_xlfn.XLOOKUP($S2:$AG2,增益!$A:$A,增益!$B:$B,0))</f>
        <v>0.3841</v>
      </c>
      <c r="AN2" s="21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1794.28</v>
      </c>
      <c r="AP2" cm="1">
        <f t="array" ref="AP2">$E$10*(1+$AN2)+VLOOKUP($R2,武学奇术!$A:$ZZ,4,FALSE)+SUM(_xlfn.XLOOKUP($S2:$AG2,增益!$A:$A,增益!$D:$D,0))-$I$2</f>
        <v>7726.36</v>
      </c>
      <c r="AQ2" s="26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0.204</v>
      </c>
      <c r="AR2" s="26" cm="1">
        <f t="array" ref="AR2">$G$10+VLOOKUP($R2,武学奇术!$A:$ZZ,7,FALSE)+SUM(_xlfn.XLOOKUP(S2:AG2,增益!$A:$A,增益!$G:$G,0))</f>
        <v>0</v>
      </c>
      <c r="AS2" s="21" cm="1">
        <f t="array" ref="AS2">VLOOKUP($R2,武学奇术!$A:$ZZ,8,FALSE)+SUM(_xlfn.XLOOKUP(S2:AG2,增益!$A:$A,增益!$H:$H,0))</f>
        <v>0</v>
      </c>
      <c r="AT2">
        <f t="shared" ref="AT2:AT65" si="1">$D$11*(1+$AS2)</f>
        <v>680.02</v>
      </c>
      <c r="AU2">
        <f t="shared" ref="AU2:AU65" si="2">$E$11*(1+$AS2)</f>
        <v>1288.54</v>
      </c>
      <c r="AV2" s="26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</v>
      </c>
      <c r="AW2" s="26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26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26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26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26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26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26" cm="1">
        <f t="array" ref="BI2">$G$14+VLOOKUP($R2,武学奇术!$A:$ZZ,16,FALSE)+SUM(_xlfn.XLOOKUP(S2:AG2,增益!$A:$A,增益!$P:$P,0))</f>
        <v>0</v>
      </c>
      <c r="BJ2" s="21">
        <f>MIN(IF(VLOOKUP($R2,武学奇术!$A:$ZZ,23,FALSE)=1,100%,$B$8),100%)</f>
        <v>0.8229</v>
      </c>
      <c r="BK2" s="21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0.2285</v>
      </c>
      <c r="BL2" s="21" cm="1">
        <f t="array" ref="BL2">1+$B$13+VLOOKUP($R2,武学奇术!$A:$ZZ,18,FALSE)+SUM(_xlfn.XLOOKUP(S2:AG2,增益!$A:$A,增益!$R:$R,0))</f>
        <v>1.5</v>
      </c>
      <c r="BM2" s="21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0.4195</v>
      </c>
      <c r="BN2" s="21" cm="1">
        <f t="array" ref="BN2">1+$B$14+VLOOKUP($R2,武学奇术!$A:$ZZ,20,FALSE)+SUM(_xlfn.XLOOKUP(S2:AG2,增益!$A:$A,增益!$T:$T,0))</f>
        <v>1.412</v>
      </c>
      <c r="BO2" s="21">
        <f t="shared" ref="BO2:BO65" si="9">MIN((1-BM2)*BJ2,BJ2*BK2)</f>
        <v>0.18803265</v>
      </c>
      <c r="BP2" s="21">
        <f t="shared" ref="BP2:BP65" si="10">1-BM2-BO2-BQ2</f>
        <v>0.2896608</v>
      </c>
      <c r="BQ2" s="21">
        <f>IF(VLOOKUP($R2,武学奇术!$A:$ZZ,22,FALSE)=1,0,(1-$BJ2))*(1-$BM2)</f>
        <v>0.10280655</v>
      </c>
      <c r="BR2" s="21" cm="1">
        <f t="array" ref="BR2">SUM(_xlfn.XLOOKUP(S2:AG2,增益!$A:$A,增益!$W:$W,0))+$I$5</f>
        <v>0.06</v>
      </c>
    </row>
    <row r="3" spans="1:70">
      <c r="A3" s="38" t="s">
        <v>5</v>
      </c>
      <c r="B3" s="39"/>
      <c r="C3" s="39"/>
      <c r="D3" s="39"/>
      <c r="E3" s="40"/>
      <c r="F3" s="37" t="s">
        <v>35</v>
      </c>
      <c r="G3" s="41">
        <f>B16+1.5%+IF($D$16="√",8%,0)</f>
        <v>0.1042</v>
      </c>
      <c r="H3" s="37" t="s">
        <v>79</v>
      </c>
      <c r="I3" s="7">
        <f>25-IF(D17="√",10,0)-IF(F17="√",10,0)</f>
        <v>25</v>
      </c>
      <c r="K3" s="24">
        <f>$L3*VLOOKUP($R3,武学奇术!$A:$ZZ,31,FALSE)</f>
        <v>36937.0111764571</v>
      </c>
      <c r="L3" s="24">
        <f t="shared" si="0"/>
        <v>36937.0111764571</v>
      </c>
      <c r="M3" s="2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流血",$B$21,0))*(1+$BR3)</f>
        <v>36739.4399442089</v>
      </c>
      <c r="N3" s="24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流血",$B$21,0))*(1+$BR3)</f>
        <v>51625.4588924961</v>
      </c>
      <c r="O3" s="24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流血",$B$21,0))*(1+$BR3)</f>
        <v>24492.9599628059</v>
      </c>
      <c r="P3" s="24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流血",$B$21,0))*(1+$BR3)</f>
        <v>12423.980200048</v>
      </c>
      <c r="Q3" s="31">
        <v>1</v>
      </c>
      <c r="R3" s="32" t="s">
        <v>80</v>
      </c>
      <c r="S3" s="32" t="s">
        <v>72</v>
      </c>
      <c r="T3" s="32" t="s">
        <v>73</v>
      </c>
      <c r="U3" s="32" t="s">
        <v>73</v>
      </c>
      <c r="V3" s="32" t="s">
        <v>73</v>
      </c>
      <c r="W3" s="32" t="s">
        <v>73</v>
      </c>
      <c r="X3" s="32" t="s">
        <v>74</v>
      </c>
      <c r="Y3" s="32" t="s">
        <v>73</v>
      </c>
      <c r="Z3" s="32" t="s">
        <v>73</v>
      </c>
      <c r="AA3" s="32" t="s">
        <v>81</v>
      </c>
      <c r="AB3" s="32" t="s">
        <v>75</v>
      </c>
      <c r="AC3" s="32" t="s">
        <v>76</v>
      </c>
      <c r="AD3" s="32" t="s">
        <v>82</v>
      </c>
      <c r="AE3" s="32" t="s">
        <v>73</v>
      </c>
      <c r="AF3" s="32" t="s">
        <v>73</v>
      </c>
      <c r="AG3" s="32" t="s">
        <v>78</v>
      </c>
      <c r="AH3" t="str">
        <f>VLOOKUP($R3,武学奇术!$A:$ZZ,25,FALSE)</f>
        <v>枪</v>
      </c>
      <c r="AI3" s="21">
        <f>VLOOKUP($R3,武学奇术!$A:$ZZ,26,FALSE)</f>
        <v>2.1401</v>
      </c>
      <c r="AJ3" s="22">
        <f>VLOOKUP($R3,武学奇术!$A:$ZZ,27,FALSE)*(1+IF(OR($AH3=$F$4,$AH3=$F$5),$B$22,0))</f>
        <v>882</v>
      </c>
      <c r="AK3" s="21">
        <f>VLOOKUP($R3,武学奇术!$A:$ZZ,28,FALSE)</f>
        <v>3.2101</v>
      </c>
      <c r="AL3" s="22">
        <f>VLOOKUP($R3,武学奇术!$A:$ZZ,29,FALSE)*(1+IF(OR($AH3=$F$4,$AH3=$F$5),$B$22,0))</f>
        <v>480</v>
      </c>
      <c r="AM3" s="21" cm="1">
        <f t="array" ref="AM3">$G$3+IFERROR(VLOOKUP($AH3,$F$4:$G$7,2,FALSE),0)+VLOOKUP($R3,武学奇术!$A:$ZZ,2,FALSE)+SUM(_xlfn.XLOOKUP($S3:$AG3,增益!$A:$A,增益!$B:$B,0))</f>
        <v>0.2989</v>
      </c>
      <c r="AN3" s="21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1794.28</v>
      </c>
      <c r="AP3" cm="1">
        <f t="array" ref="AP3">$E$10*(1+$AN3)+VLOOKUP($R3,武学奇术!$A:$ZZ,4,FALSE)+SUM(_xlfn.XLOOKUP($S3:$AG3,增益!$A:$A,增益!$D:$D,0))-$I$2</f>
        <v>7726.36</v>
      </c>
      <c r="AQ3" s="26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0.204</v>
      </c>
      <c r="AR3" s="26" cm="1">
        <f t="array" ref="AR3">$G$10+VLOOKUP($R3,武学奇术!$A:$ZZ,7,FALSE)+SUM(_xlfn.XLOOKUP(S3:AG3,增益!$A:$A,增益!$G:$G,0))</f>
        <v>0</v>
      </c>
      <c r="AS3" s="21" cm="1">
        <f t="array" ref="AS3">VLOOKUP($R3,武学奇术!$A:$ZZ,8,FALSE)+SUM(_xlfn.XLOOKUP(S3:AG3,增益!$A:$A,增益!$H:$H,0))</f>
        <v>0</v>
      </c>
      <c r="AT3">
        <f t="shared" si="1"/>
        <v>680.02</v>
      </c>
      <c r="AU3">
        <f t="shared" si="2"/>
        <v>1288.54</v>
      </c>
      <c r="AV3" s="26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</v>
      </c>
      <c r="AW3" s="26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26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26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26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26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26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26" cm="1">
        <f t="array" ref="BI3">$G$14+VLOOKUP($R3,武学奇术!$A:$ZZ,16,FALSE)+SUM(_xlfn.XLOOKUP(S3:AG3,增益!$A:$A,增益!$P:$P,0))</f>
        <v>0</v>
      </c>
      <c r="BJ3" s="21">
        <f>MIN(IF(VLOOKUP($R3,武学奇术!$A:$ZZ,23,FALSE)=1,100%,$B$8),100%)</f>
        <v>0.8229</v>
      </c>
      <c r="BK3" s="21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0.2285</v>
      </c>
      <c r="BL3" s="21" cm="1">
        <f t="array" ref="BL3">1+$B$13+VLOOKUP($R3,武学奇术!$A:$ZZ,18,FALSE)+SUM(_xlfn.XLOOKUP(S3:AG3,增益!$A:$A,增益!$R:$R,0))</f>
        <v>1.5</v>
      </c>
      <c r="BM3" s="21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0.4195</v>
      </c>
      <c r="BN3" s="21" cm="1">
        <f t="array" ref="BN3">1+$B$14+VLOOKUP($R3,武学奇术!$A:$ZZ,20,FALSE)+SUM(_xlfn.XLOOKUP(S3:AG3,增益!$A:$A,增益!$T:$T,0))</f>
        <v>1.412</v>
      </c>
      <c r="BO3" s="21">
        <f t="shared" si="9"/>
        <v>0.18803265</v>
      </c>
      <c r="BP3" s="21">
        <f t="shared" si="10"/>
        <v>0.2896608</v>
      </c>
      <c r="BQ3" s="21">
        <f>IF(VLOOKUP($R3,武学奇术!$A:$ZZ,22,FALSE)=1,0,(1-$BJ3))*(1-$BM3)</f>
        <v>0.10280655</v>
      </c>
      <c r="BR3" s="21" cm="1">
        <f t="array" ref="BR3">SUM(_xlfn.XLOOKUP(S3:AG3,增益!$A:$A,增益!$W:$W,0))+$I$5</f>
        <v>0.06</v>
      </c>
    </row>
    <row r="4" ht="14.25" spans="1:70">
      <c r="A4" s="42" t="s">
        <v>83</v>
      </c>
      <c r="B4" s="43"/>
      <c r="C4" s="43"/>
      <c r="D4" s="43"/>
      <c r="E4" s="44"/>
      <c r="F4" s="37" t="s">
        <v>84</v>
      </c>
      <c r="G4" s="41">
        <f>B15+B17</f>
        <v>0.1699</v>
      </c>
      <c r="H4" s="45" t="s">
        <v>85</v>
      </c>
      <c r="I4" s="10">
        <f>30</f>
        <v>30</v>
      </c>
      <c r="K4" s="24">
        <f>$L4*VLOOKUP($R4,武学奇术!$A:$ZZ,31,FALSE)</f>
        <v>29030.9712053555</v>
      </c>
      <c r="L4" s="24">
        <f t="shared" si="0"/>
        <v>29030.9712053555</v>
      </c>
      <c r="M4" s="2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流血",$B$21,0))*(1+$BR4)</f>
        <v>28754.6178056191</v>
      </c>
      <c r="N4" s="24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流血",$B$21,0))*(1+$BR4)</f>
        <v>40696.3532351009</v>
      </c>
      <c r="O4" s="24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流血",$B$21,0))*(1+$BR4)</f>
        <v>19169.745203746</v>
      </c>
      <c r="P4" s="24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流血",$B$21,0))*(1+$BR4)</f>
        <v>9720.39530545205</v>
      </c>
      <c r="Q4" s="31">
        <v>1</v>
      </c>
      <c r="R4" s="32" t="s">
        <v>86</v>
      </c>
      <c r="S4" s="32" t="s">
        <v>87</v>
      </c>
      <c r="T4" s="32" t="s">
        <v>73</v>
      </c>
      <c r="U4" s="32" t="s">
        <v>73</v>
      </c>
      <c r="V4" s="32" t="s">
        <v>73</v>
      </c>
      <c r="W4" s="32" t="s">
        <v>73</v>
      </c>
      <c r="X4" s="32" t="s">
        <v>88</v>
      </c>
      <c r="Y4" s="32" t="s">
        <v>73</v>
      </c>
      <c r="Z4" s="32" t="s">
        <v>73</v>
      </c>
      <c r="AA4" s="32" t="s">
        <v>81</v>
      </c>
      <c r="AB4" s="32" t="s">
        <v>75</v>
      </c>
      <c r="AC4" s="32" t="s">
        <v>89</v>
      </c>
      <c r="AD4" s="32" t="s">
        <v>82</v>
      </c>
      <c r="AE4" s="32" t="s">
        <v>90</v>
      </c>
      <c r="AF4" s="32" t="s">
        <v>73</v>
      </c>
      <c r="AG4" s="32" t="s">
        <v>91</v>
      </c>
      <c r="AH4" t="str">
        <f>VLOOKUP($R4,武学奇术!$A:$ZZ,25,FALSE)</f>
        <v>剑</v>
      </c>
      <c r="AI4" s="21">
        <f>VLOOKUP($R4,武学奇术!$A:$ZZ,26,FALSE)</f>
        <v>1.1781</v>
      </c>
      <c r="AJ4" s="22">
        <f>VLOOKUP($R4,武学奇术!$A:$ZZ,27,FALSE)*(1+IF(OR($AH4=$F$4,$AH4=$F$5),$B$22,0))</f>
        <v>489</v>
      </c>
      <c r="AK4" s="21">
        <f>VLOOKUP($R4,武学奇术!$A:$ZZ,28,FALSE)</f>
        <v>1.7672</v>
      </c>
      <c r="AL4" s="22">
        <f>VLOOKUP($R4,武学奇术!$A:$ZZ,29,FALSE)*(1+IF(OR($AH4=$F$4,$AH4=$F$5),$B$22,0))</f>
        <v>265.5</v>
      </c>
      <c r="AM4" s="21" cm="1">
        <f t="array" ref="AM4">$G$3+IFERROR(VLOOKUP($AH4,$F$4:$G$7,2,FALSE),0)+VLOOKUP($R4,武学奇术!$A:$ZZ,2,FALSE)+SUM(_xlfn.XLOOKUP($S4:$AG4,增益!$A:$A,增益!$B:$B,0))</f>
        <v>0.8341</v>
      </c>
      <c r="AN4" s="21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1794.28</v>
      </c>
      <c r="AP4" cm="1">
        <f t="array" ref="AP4">$E$10*(1+$AN4)+VLOOKUP($R4,武学奇术!$A:$ZZ,4,FALSE)+SUM(_xlfn.XLOOKUP($S4:$AG4,增益!$A:$A,增益!$D:$D,0))-$I$2</f>
        <v>7726.36</v>
      </c>
      <c r="AQ4" s="26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0.214</v>
      </c>
      <c r="AR4" s="26" cm="1">
        <f t="array" ref="AR4">$G$10+VLOOKUP($R4,武学奇术!$A:$ZZ,7,FALSE)+SUM(_xlfn.XLOOKUP(S4:AG4,增益!$A:$A,增益!$G:$G,0))</f>
        <v>0</v>
      </c>
      <c r="AS4" s="21" cm="1">
        <f t="array" ref="AS4">VLOOKUP($R4,武学奇术!$A:$ZZ,8,FALSE)+SUM(_xlfn.XLOOKUP(S4:AG4,增益!$A:$A,增益!$H:$H,0))</f>
        <v>0</v>
      </c>
      <c r="AT4">
        <f t="shared" si="1"/>
        <v>680.02</v>
      </c>
      <c r="AU4">
        <f t="shared" si="2"/>
        <v>1288.54</v>
      </c>
      <c r="AV4" s="26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</v>
      </c>
      <c r="AW4" s="26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26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26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26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26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26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26" cm="1">
        <f t="array" ref="BI4">$G$14+VLOOKUP($R4,武学奇术!$A:$ZZ,16,FALSE)+SUM(_xlfn.XLOOKUP(S4:AG4,增益!$A:$A,增益!$P:$P,0))</f>
        <v>0</v>
      </c>
      <c r="BJ4" s="21">
        <f>MIN(IF(VLOOKUP($R4,武学奇术!$A:$ZZ,23,FALSE)=1,100%,$B$8),100%)</f>
        <v>0.8229</v>
      </c>
      <c r="BK4" s="21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0.2285</v>
      </c>
      <c r="BL4" s="21" cm="1">
        <f t="array" ref="BL4">1+$B$13+VLOOKUP($R4,武学奇术!$A:$ZZ,18,FALSE)+SUM(_xlfn.XLOOKUP(S4:AG4,增益!$A:$A,增益!$R:$R,0))</f>
        <v>1.5</v>
      </c>
      <c r="BM4" s="21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0.4195</v>
      </c>
      <c r="BN4" s="21" cm="1">
        <f t="array" ref="BN4">1+$B$14+VLOOKUP($R4,武学奇术!$A:$ZZ,20,FALSE)+SUM(_xlfn.XLOOKUP(S4:AG4,增益!$A:$A,增益!$T:$T,0))</f>
        <v>1.422</v>
      </c>
      <c r="BO4" s="21">
        <f t="shared" si="9"/>
        <v>0.18803265</v>
      </c>
      <c r="BP4" s="21">
        <f t="shared" si="10"/>
        <v>0.2896608</v>
      </c>
      <c r="BQ4" s="21">
        <f>IF(VLOOKUP($R4,武学奇术!$A:$ZZ,22,FALSE)=1,0,(1-$BJ4))*(1-$BM4)</f>
        <v>0.10280655</v>
      </c>
      <c r="BR4" s="21" cm="1">
        <f t="array" ref="BR4">SUM(_xlfn.XLOOKUP(S4:AG4,增益!$A:$A,增益!$W:$W,0))+$I$5</f>
        <v>0.06</v>
      </c>
    </row>
    <row r="5" spans="1:70">
      <c r="A5" s="46" t="s">
        <v>92</v>
      </c>
      <c r="B5" s="47"/>
      <c r="C5" s="47"/>
      <c r="D5" s="47"/>
      <c r="E5" s="48"/>
      <c r="F5" s="37" t="s">
        <v>93</v>
      </c>
      <c r="G5" s="41">
        <f>B15+B18</f>
        <v>0.0847</v>
      </c>
      <c r="H5" t="s">
        <v>94</v>
      </c>
      <c r="I5" s="23">
        <v>0.06</v>
      </c>
      <c r="K5" s="24">
        <f>$L5*VLOOKUP($R5,武学奇术!$A:$ZZ,31,FALSE)</f>
        <v>77810.0141097398</v>
      </c>
      <c r="L5" s="24">
        <f t="shared" si="0"/>
        <v>129683.356849566</v>
      </c>
      <c r="M5" s="2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流血",$B$21,0))*(1+$BR5)</f>
        <v>109440.307396191</v>
      </c>
      <c r="N5" s="24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流血",$B$21,0))*(1+$BR5)</f>
        <v>192612.571215975</v>
      </c>
      <c r="O5" s="24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流血",$B$21,0))*(1+$BR5)</f>
        <v>72960.2049307938</v>
      </c>
      <c r="P5" s="24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流血",$B$21,0))*(1+$BR5)</f>
        <v>32752.0366442112</v>
      </c>
      <c r="Q5" s="31">
        <v>1</v>
      </c>
      <c r="R5" s="32" t="s">
        <v>95</v>
      </c>
      <c r="S5" s="32" t="s">
        <v>87</v>
      </c>
      <c r="T5" s="32" t="s">
        <v>96</v>
      </c>
      <c r="U5" s="32" t="s">
        <v>97</v>
      </c>
      <c r="V5" s="32" t="s">
        <v>98</v>
      </c>
      <c r="W5" s="32" t="s">
        <v>73</v>
      </c>
      <c r="X5" s="32" t="s">
        <v>88</v>
      </c>
      <c r="Y5" s="32" t="s">
        <v>73</v>
      </c>
      <c r="Z5" s="32" t="s">
        <v>73</v>
      </c>
      <c r="AA5" s="32" t="s">
        <v>81</v>
      </c>
      <c r="AB5" s="32" t="s">
        <v>75</v>
      </c>
      <c r="AC5" s="32" t="s">
        <v>89</v>
      </c>
      <c r="AD5" s="32" t="s">
        <v>82</v>
      </c>
      <c r="AE5" s="32" t="s">
        <v>90</v>
      </c>
      <c r="AF5" s="32" t="s">
        <v>73</v>
      </c>
      <c r="AG5" s="32" t="s">
        <v>91</v>
      </c>
      <c r="AH5" t="str">
        <f>VLOOKUP($R5,武学奇术!$A:$ZZ,25,FALSE)</f>
        <v>剑</v>
      </c>
      <c r="AI5" s="21">
        <f>VLOOKUP($R5,武学奇术!$A:$ZZ,26,FALSE)</f>
        <v>2.52</v>
      </c>
      <c r="AJ5" s="22">
        <f>VLOOKUP($R5,武学奇术!$A:$ZZ,27,FALSE)*(1+IF(OR($AH5=$F$4,$AH5=$F$5),$B$22,0))</f>
        <v>0</v>
      </c>
      <c r="AK5" s="21">
        <f>VLOOKUP($R5,武学奇术!$A:$ZZ,28,FALSE)</f>
        <v>3.78</v>
      </c>
      <c r="AL5" s="22">
        <f>VLOOKUP($R5,武学奇术!$A:$ZZ,29,FALSE)*(1+IF(OR($AH5=$F$4,$AH5=$F$5),$B$22,0))</f>
        <v>0</v>
      </c>
      <c r="AM5" s="21" cm="1">
        <f t="array" ref="AM5">$G$3+IFERROR(VLOOKUP($AH5,$F$4:$G$7,2,FALSE),0)+VLOOKUP($R5,武学奇术!$A:$ZZ,2,FALSE)+SUM(_xlfn.XLOOKUP($S5:$AG5,增益!$A:$A,增益!$B:$B,0))</f>
        <v>1.5991</v>
      </c>
      <c r="AN5" s="21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1794.28</v>
      </c>
      <c r="AP5" cm="1">
        <f t="array" ref="AP5">$E$10*(1+$AN5)+VLOOKUP($R5,武学奇术!$A:$ZZ,4,FALSE)+SUM(_xlfn.XLOOKUP($S5:$AG5,增益!$A:$A,增益!$D:$D,0))-$I$2</f>
        <v>7726.36</v>
      </c>
      <c r="AQ5" s="26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0.289</v>
      </c>
      <c r="AR5" s="26" cm="1">
        <f t="array" ref="AR5">$G$10+VLOOKUP($R5,武学奇术!$A:$ZZ,7,FALSE)+SUM(_xlfn.XLOOKUP(S5:AG5,增益!$A:$A,增益!$G:$G,0))</f>
        <v>0</v>
      </c>
      <c r="AS5" s="21" cm="1">
        <f t="array" ref="AS5">VLOOKUP($R5,武学奇术!$A:$ZZ,8,FALSE)+SUM(_xlfn.XLOOKUP(S5:AG5,增益!$A:$A,增益!$H:$H,0))</f>
        <v>0</v>
      </c>
      <c r="AT5">
        <f t="shared" si="1"/>
        <v>680.02</v>
      </c>
      <c r="AU5">
        <f t="shared" si="2"/>
        <v>1288.54</v>
      </c>
      <c r="AV5" s="26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0.075</v>
      </c>
      <c r="AW5" s="26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26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26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26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26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26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26" cm="1">
        <f t="array" ref="BI5">$G$14+VLOOKUP($R5,武学奇术!$A:$ZZ,16,FALSE)+SUM(_xlfn.XLOOKUP(S5:AG5,增益!$A:$A,增益!$P:$P,0))</f>
        <v>0</v>
      </c>
      <c r="BJ5" s="21">
        <f>MIN(IF(VLOOKUP($R5,武学奇术!$A:$ZZ,23,FALSE)=1,100%,$B$8),100%)</f>
        <v>0.8229</v>
      </c>
      <c r="BK5" s="21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0.2285</v>
      </c>
      <c r="BL5" s="21" cm="1">
        <f t="array" ref="BL5">1+$B$13+VLOOKUP($R5,武学奇术!$A:$ZZ,18,FALSE)+SUM(_xlfn.XLOOKUP(S5:AG5,增益!$A:$A,增益!$R:$R,0))</f>
        <v>1.5</v>
      </c>
      <c r="BM5" s="21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0.4495</v>
      </c>
      <c r="BN5" s="21" cm="1">
        <f t="array" ref="BN5">1+$B$14+VLOOKUP($R5,武学奇术!$A:$ZZ,20,FALSE)+SUM(_xlfn.XLOOKUP(S5:AG5,增益!$A:$A,增益!$T:$T,0))</f>
        <v>1.702</v>
      </c>
      <c r="BO5" s="21">
        <f t="shared" si="9"/>
        <v>0.18803265</v>
      </c>
      <c r="BP5" s="21">
        <f t="shared" si="10"/>
        <v>0.2649738</v>
      </c>
      <c r="BQ5" s="21">
        <f>IF(VLOOKUP($R5,武学奇术!$A:$ZZ,22,FALSE)=1,0,(1-$BJ5))*(1-$BM5)</f>
        <v>0.09749355</v>
      </c>
      <c r="BR5" s="21" cm="1">
        <f t="array" ref="BR5">SUM(_xlfn.XLOOKUP(S5:AG5,增益!$A:$A,增益!$W:$W,0))+$I$5</f>
        <v>0.06</v>
      </c>
    </row>
    <row r="6" spans="1:70">
      <c r="A6" s="49" t="s">
        <v>99</v>
      </c>
      <c r="B6" s="50"/>
      <c r="C6" s="50"/>
      <c r="D6" s="50"/>
      <c r="E6" s="51"/>
      <c r="F6" s="37" t="s">
        <v>100</v>
      </c>
      <c r="G6" s="41">
        <f>B19</f>
        <v>0.1338</v>
      </c>
      <c r="K6" s="24">
        <f>$L6*VLOOKUP($R6,武学奇术!$A:$ZZ,31,FALSE)</f>
        <v>77810.0141097398</v>
      </c>
      <c r="L6" s="24">
        <f t="shared" si="0"/>
        <v>129683.356849566</v>
      </c>
      <c r="M6" s="2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流血",$B$21,0))*(1+$BR6)</f>
        <v>109440.307396191</v>
      </c>
      <c r="N6" s="24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流血",$B$21,0))*(1+$BR6)</f>
        <v>192612.571215975</v>
      </c>
      <c r="O6" s="24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流血",$B$21,0))*(1+$BR6)</f>
        <v>72960.2049307938</v>
      </c>
      <c r="P6" s="24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流血",$B$21,0))*(1+$BR6)</f>
        <v>32752.0366442112</v>
      </c>
      <c r="Q6" s="31">
        <v>1</v>
      </c>
      <c r="R6" s="32" t="s">
        <v>95</v>
      </c>
      <c r="S6" s="32" t="s">
        <v>87</v>
      </c>
      <c r="T6" s="32" t="s">
        <v>96</v>
      </c>
      <c r="U6" s="32" t="s">
        <v>97</v>
      </c>
      <c r="V6" s="32" t="s">
        <v>98</v>
      </c>
      <c r="W6" s="32" t="s">
        <v>73</v>
      </c>
      <c r="X6" s="32" t="s">
        <v>88</v>
      </c>
      <c r="Y6" s="32" t="s">
        <v>73</v>
      </c>
      <c r="Z6" s="32" t="s">
        <v>73</v>
      </c>
      <c r="AA6" s="32" t="s">
        <v>81</v>
      </c>
      <c r="AB6" s="32" t="s">
        <v>75</v>
      </c>
      <c r="AC6" s="32" t="s">
        <v>89</v>
      </c>
      <c r="AD6" s="32" t="s">
        <v>82</v>
      </c>
      <c r="AE6" s="32" t="s">
        <v>90</v>
      </c>
      <c r="AF6" s="32" t="s">
        <v>73</v>
      </c>
      <c r="AG6" s="32" t="s">
        <v>91</v>
      </c>
      <c r="AH6" t="str">
        <f>VLOOKUP($R6,武学奇术!$A:$ZZ,25,FALSE)</f>
        <v>剑</v>
      </c>
      <c r="AI6" s="21">
        <f>VLOOKUP($R6,武学奇术!$A:$ZZ,26,FALSE)</f>
        <v>2.52</v>
      </c>
      <c r="AJ6" s="22">
        <f>VLOOKUP($R6,武学奇术!$A:$ZZ,27,FALSE)*(1+IF(OR($AH6=$F$4,$AH6=$F$5),$B$22,0))</f>
        <v>0</v>
      </c>
      <c r="AK6" s="21">
        <f>VLOOKUP($R6,武学奇术!$A:$ZZ,28,FALSE)</f>
        <v>3.78</v>
      </c>
      <c r="AL6" s="22">
        <f>VLOOKUP($R6,武学奇术!$A:$ZZ,29,FALSE)*(1+IF(OR($AH6=$F$4,$AH6=$F$5),$B$22,0))</f>
        <v>0</v>
      </c>
      <c r="AM6" s="21" cm="1">
        <f t="array" ref="AM6">$G$3+IFERROR(VLOOKUP($AH6,$F$4:$G$7,2,FALSE),0)+VLOOKUP($R6,武学奇术!$A:$ZZ,2,FALSE)+SUM(_xlfn.XLOOKUP($S6:$AG6,增益!$A:$A,增益!$B:$B,0))</f>
        <v>1.5991</v>
      </c>
      <c r="AN6" s="21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1794.28</v>
      </c>
      <c r="AP6" cm="1">
        <f t="array" ref="AP6">$E$10*(1+$AN6)+VLOOKUP($R6,武学奇术!$A:$ZZ,4,FALSE)+SUM(_xlfn.XLOOKUP($S6:$AG6,增益!$A:$A,增益!$D:$D,0))-$I$2</f>
        <v>7726.36</v>
      </c>
      <c r="AQ6" s="26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0.289</v>
      </c>
      <c r="AR6" s="26" cm="1">
        <f t="array" ref="AR6">$G$10+VLOOKUP($R6,武学奇术!$A:$ZZ,7,FALSE)+SUM(_xlfn.XLOOKUP(S6:AG6,增益!$A:$A,增益!$G:$G,0))</f>
        <v>0</v>
      </c>
      <c r="AS6" s="21" cm="1">
        <f t="array" ref="AS6">VLOOKUP($R6,武学奇术!$A:$ZZ,8,FALSE)+SUM(_xlfn.XLOOKUP(S6:AG6,增益!$A:$A,增益!$H:$H,0))</f>
        <v>0</v>
      </c>
      <c r="AT6">
        <f t="shared" si="1"/>
        <v>680.02</v>
      </c>
      <c r="AU6">
        <f t="shared" si="2"/>
        <v>1288.54</v>
      </c>
      <c r="AV6" s="26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0.075</v>
      </c>
      <c r="AW6" s="26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26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26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26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26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26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26" cm="1">
        <f t="array" ref="BI6">$G$14+VLOOKUP($R6,武学奇术!$A:$ZZ,16,FALSE)+SUM(_xlfn.XLOOKUP(S6:AG6,增益!$A:$A,增益!$P:$P,0))</f>
        <v>0</v>
      </c>
      <c r="BJ6" s="21">
        <f>MIN(IF(VLOOKUP($R6,武学奇术!$A:$ZZ,23,FALSE)=1,100%,$B$8),100%)</f>
        <v>0.8229</v>
      </c>
      <c r="BK6" s="21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0.2285</v>
      </c>
      <c r="BL6" s="21" cm="1">
        <f t="array" ref="BL6">1+$B$13+VLOOKUP($R6,武学奇术!$A:$ZZ,18,FALSE)+SUM(_xlfn.XLOOKUP(S6:AG6,增益!$A:$A,增益!$R:$R,0))</f>
        <v>1.5</v>
      </c>
      <c r="BM6" s="21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0.4495</v>
      </c>
      <c r="BN6" s="21" cm="1">
        <f t="array" ref="BN6">1+$B$14+VLOOKUP($R6,武学奇术!$A:$ZZ,20,FALSE)+SUM(_xlfn.XLOOKUP(S6:AG6,增益!$A:$A,增益!$T:$T,0))</f>
        <v>1.702</v>
      </c>
      <c r="BO6" s="21">
        <f t="shared" si="9"/>
        <v>0.18803265</v>
      </c>
      <c r="BP6" s="21">
        <f t="shared" si="10"/>
        <v>0.2649738</v>
      </c>
      <c r="BQ6" s="21">
        <f>IF(VLOOKUP($R6,武学奇术!$A:$ZZ,22,FALSE)=1,0,(1-$BJ6))*(1-$BM6)</f>
        <v>0.09749355</v>
      </c>
      <c r="BR6" s="21" cm="1">
        <f t="array" ref="BR6">SUM(_xlfn.XLOOKUP(S6:AG6,增益!$A:$A,增益!$W:$W,0))+$I$5</f>
        <v>0.06</v>
      </c>
    </row>
    <row r="7" ht="14.25" spans="1:70">
      <c r="A7" s="33" t="s">
        <v>101</v>
      </c>
      <c r="B7" s="25"/>
      <c r="C7" s="25"/>
      <c r="E7" s="52"/>
      <c r="F7" s="45" t="s">
        <v>102</v>
      </c>
      <c r="G7" s="53">
        <f>B20</f>
        <v>0</v>
      </c>
      <c r="K7" s="24">
        <f>$L7*VLOOKUP($R7,武学奇术!$A:$ZZ,31,FALSE)</f>
        <v>15134.6361600762</v>
      </c>
      <c r="L7" s="24">
        <f t="shared" si="0"/>
        <v>15134.6361600762</v>
      </c>
      <c r="M7" s="2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流血",$B$21,0))*(1+$BR7)</f>
        <v>13739.1472863076</v>
      </c>
      <c r="N7" s="24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流血",$B$21,0))*(1+$BR7)</f>
        <v>21632.8494920206</v>
      </c>
      <c r="O7" s="24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流血",$B$21,0))*(1+$BR7)</f>
        <v>9159.43152420505</v>
      </c>
      <c r="P7" s="24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流血",$B$21,0))*(1+$BR7)</f>
        <v>4105.42711409958</v>
      </c>
      <c r="Q7" s="31">
        <v>1</v>
      </c>
      <c r="R7" s="32" t="s">
        <v>103</v>
      </c>
      <c r="S7" s="32" t="s">
        <v>87</v>
      </c>
      <c r="T7" s="32" t="s">
        <v>104</v>
      </c>
      <c r="U7" s="32" t="s">
        <v>73</v>
      </c>
      <c r="V7" s="32" t="s">
        <v>73</v>
      </c>
      <c r="W7" s="32" t="s">
        <v>73</v>
      </c>
      <c r="X7" s="32" t="s">
        <v>88</v>
      </c>
      <c r="Y7" s="32" t="s">
        <v>73</v>
      </c>
      <c r="Z7" s="32" t="s">
        <v>73</v>
      </c>
      <c r="AA7" s="32" t="s">
        <v>81</v>
      </c>
      <c r="AB7" s="32" t="s">
        <v>75</v>
      </c>
      <c r="AC7" s="32" t="s">
        <v>89</v>
      </c>
      <c r="AD7" s="32" t="s">
        <v>82</v>
      </c>
      <c r="AE7" s="32" t="s">
        <v>90</v>
      </c>
      <c r="AF7" s="32" t="s">
        <v>73</v>
      </c>
      <c r="AG7" s="32" t="s">
        <v>91</v>
      </c>
      <c r="AH7" t="str">
        <f>VLOOKUP($R7,武学奇术!$A:$ZZ,25,FALSE)</f>
        <v>剑</v>
      </c>
      <c r="AI7" s="21">
        <f>VLOOKUP($R7,武学奇术!$A:$ZZ,26,FALSE)</f>
        <v>0.625</v>
      </c>
      <c r="AJ7" s="22">
        <f>VLOOKUP($R7,武学奇术!$A:$ZZ,27,FALSE)*(1+IF(OR($AH7=$F$4,$AH7=$F$5),$B$22,0))</f>
        <v>0</v>
      </c>
      <c r="AK7" s="21">
        <f>VLOOKUP($R7,武学奇术!$A:$ZZ,28,FALSE)</f>
        <v>0.9375</v>
      </c>
      <c r="AL7" s="22">
        <f>VLOOKUP($R7,武学奇术!$A:$ZZ,29,FALSE)*(1+IF(OR($AH7=$F$4,$AH7=$F$5),$B$22,0))</f>
        <v>0</v>
      </c>
      <c r="AM7" s="21" cm="1">
        <f t="array" ref="AM7">$G$3+IFERROR(VLOOKUP($AH7,$F$4:$G$7,2,FALSE),0)+VLOOKUP($R7,武学奇术!$A:$ZZ,2,FALSE)+SUM(_xlfn.XLOOKUP($S7:$AG7,增益!$A:$A,增益!$B:$B,0))</f>
        <v>0.8491</v>
      </c>
      <c r="AN7" s="21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1794.28</v>
      </c>
      <c r="AP7" cm="1">
        <f t="array" ref="AP7">$E$10*(1+$AN7)+VLOOKUP($R7,武学奇术!$A:$ZZ,4,FALSE)+SUM(_xlfn.XLOOKUP($S7:$AG7,增益!$A:$A,增益!$D:$D,0))-$I$2</f>
        <v>7726.36</v>
      </c>
      <c r="AQ7" s="26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0.214</v>
      </c>
      <c r="AR7" s="26" cm="1">
        <f t="array" ref="AR7">$G$10+VLOOKUP($R7,武学奇术!$A:$ZZ,7,FALSE)+SUM(_xlfn.XLOOKUP(S7:AG7,增益!$A:$A,增益!$G:$G,0))</f>
        <v>0</v>
      </c>
      <c r="AS7" s="21" cm="1">
        <f t="array" ref="AS7">VLOOKUP($R7,武学奇术!$A:$ZZ,8,FALSE)+SUM(_xlfn.XLOOKUP(S7:AG7,增益!$A:$A,增益!$H:$H,0))</f>
        <v>0</v>
      </c>
      <c r="AT7">
        <f t="shared" si="1"/>
        <v>680.02</v>
      </c>
      <c r="AU7">
        <f t="shared" si="2"/>
        <v>1288.54</v>
      </c>
      <c r="AV7" s="26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</v>
      </c>
      <c r="AW7" s="26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26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26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26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26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26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26" cm="1">
        <f t="array" ref="BI7">$G$14+VLOOKUP($R7,武学奇术!$A:$ZZ,16,FALSE)+SUM(_xlfn.XLOOKUP(S7:AG7,增益!$A:$A,增益!$P:$P,0))</f>
        <v>0</v>
      </c>
      <c r="BJ7" s="21">
        <f>MIN(IF(VLOOKUP($R7,武学奇术!$A:$ZZ,23,FALSE)=1,100%,$B$8),100%)</f>
        <v>0.8229</v>
      </c>
      <c r="BK7" s="21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0.2285</v>
      </c>
      <c r="BL7" s="21" cm="1">
        <f t="array" ref="BL7">1+$B$13+VLOOKUP($R7,武学奇术!$A:$ZZ,18,FALSE)+SUM(_xlfn.XLOOKUP(S7:AG7,增益!$A:$A,增益!$R:$R,0))</f>
        <v>1.5</v>
      </c>
      <c r="BM7" s="21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0.4495</v>
      </c>
      <c r="BN7" s="21" cm="1">
        <f t="array" ref="BN7">1+$B$14+VLOOKUP($R7,武学奇术!$A:$ZZ,20,FALSE)+SUM(_xlfn.XLOOKUP(S7:AG7,增益!$A:$A,增益!$T:$T,0))</f>
        <v>1.522</v>
      </c>
      <c r="BO7" s="21">
        <f t="shared" si="9"/>
        <v>0.18803265</v>
      </c>
      <c r="BP7" s="21">
        <f t="shared" si="10"/>
        <v>0.2649738</v>
      </c>
      <c r="BQ7" s="21">
        <f>IF(VLOOKUP($R7,武学奇术!$A:$ZZ,22,FALSE)=1,0,(1-$BJ7))*(1-$BM7)</f>
        <v>0.09749355</v>
      </c>
      <c r="BR7" s="21" cm="1">
        <f t="array" ref="BR7">SUM(_xlfn.XLOOKUP(S7:AG7,增益!$A:$A,增益!$W:$W,0))+$I$5</f>
        <v>0.06</v>
      </c>
    </row>
    <row r="8" spans="1:70">
      <c r="A8" s="54" t="s">
        <v>105</v>
      </c>
      <c r="B8" s="55">
        <f>期望!B8</f>
        <v>0.8229</v>
      </c>
      <c r="C8" s="30" t="s">
        <v>106</v>
      </c>
      <c r="D8" s="28"/>
      <c r="E8" s="28"/>
      <c r="F8" s="28"/>
      <c r="G8" s="29"/>
      <c r="H8" s="56" t="s">
        <v>107</v>
      </c>
      <c r="I8" s="3">
        <f>期望!I8</f>
        <v>91.5</v>
      </c>
      <c r="J8" s="57"/>
      <c r="K8" s="24">
        <f>$L8*VLOOKUP($R8,武学奇术!$A:$ZZ,31,FALSE)</f>
        <v>26326.2041984101</v>
      </c>
      <c r="L8" s="24">
        <f t="shared" si="0"/>
        <v>26326.2041984101</v>
      </c>
      <c r="M8" s="2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流血",$B$21,0))*(1+$BR8)</f>
        <v>24405.1328503381</v>
      </c>
      <c r="N8" s="24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流血",$B$21,0))*(1+$BR8)</f>
        <v>36979.8091059934</v>
      </c>
      <c r="O8" s="24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流血",$B$21,0))*(1+$BR8)</f>
        <v>16270.0885668921</v>
      </c>
      <c r="P8" s="24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流血",$B$21,0))*(1+$BR8)</f>
        <v>8243.32489594354</v>
      </c>
      <c r="Q8" s="31">
        <v>1</v>
      </c>
      <c r="R8" s="32" t="s">
        <v>108</v>
      </c>
      <c r="S8" s="32" t="s">
        <v>87</v>
      </c>
      <c r="T8" s="32" t="s">
        <v>104</v>
      </c>
      <c r="U8" s="32" t="s">
        <v>73</v>
      </c>
      <c r="V8" s="32" t="s">
        <v>73</v>
      </c>
      <c r="W8" s="32" t="s">
        <v>73</v>
      </c>
      <c r="X8" s="32" t="s">
        <v>109</v>
      </c>
      <c r="Y8" s="32" t="s">
        <v>73</v>
      </c>
      <c r="Z8" s="32" t="s">
        <v>73</v>
      </c>
      <c r="AA8" s="32" t="s">
        <v>81</v>
      </c>
      <c r="AB8" s="32" t="s">
        <v>75</v>
      </c>
      <c r="AC8" s="32" t="s">
        <v>89</v>
      </c>
      <c r="AD8" s="32" t="s">
        <v>82</v>
      </c>
      <c r="AE8" s="32" t="s">
        <v>90</v>
      </c>
      <c r="AF8" s="32" t="s">
        <v>73</v>
      </c>
      <c r="AG8" s="32" t="s">
        <v>91</v>
      </c>
      <c r="AH8" t="str">
        <f>VLOOKUP($R8,武学奇术!$A:$ZZ,25,FALSE)</f>
        <v>枪</v>
      </c>
      <c r="AI8" s="21">
        <f>VLOOKUP($R8,武学奇术!$A:$ZZ,26,FALSE)</f>
        <v>1.02732</v>
      </c>
      <c r="AJ8" s="22">
        <f>VLOOKUP($R8,武学奇术!$A:$ZZ,27,FALSE)*(1+IF(OR($AH8=$F$4,$AH8=$F$5),$B$22,0))</f>
        <v>426.6</v>
      </c>
      <c r="AK8" s="21">
        <f>VLOOKUP($R8,武学奇术!$A:$ZZ,28,FALSE)</f>
        <v>1.54096</v>
      </c>
      <c r="AL8" s="22">
        <f>VLOOKUP($R8,武学奇术!$A:$ZZ,29,FALSE)*(1+IF(OR($AH8=$F$4,$AH8=$F$5),$B$22,0))</f>
        <v>232.2</v>
      </c>
      <c r="AM8" s="21" cm="1">
        <f t="array" ref="AM8">$G$3+IFERROR(VLOOKUP($AH8,$F$4:$G$7,2,FALSE),0)+VLOOKUP($R8,武学奇术!$A:$ZZ,2,FALSE)+SUM(_xlfn.XLOOKUP($S8:$AG8,增益!$A:$A,增益!$B:$B,0))</f>
        <v>0.7739</v>
      </c>
      <c r="AN8" s="21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1794.28</v>
      </c>
      <c r="AP8" cm="1">
        <f t="array" ref="AP8">$E$10*(1+$AN8)+VLOOKUP($R8,武学奇术!$A:$ZZ,4,FALSE)+SUM(_xlfn.XLOOKUP($S8:$AG8,增益!$A:$A,增益!$D:$D,0))-$I$2</f>
        <v>7726.36</v>
      </c>
      <c r="AQ8" s="26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0.224</v>
      </c>
      <c r="AR8" s="26" cm="1">
        <f t="array" ref="AR8">$G$10+VLOOKUP($R8,武学奇术!$A:$ZZ,7,FALSE)+SUM(_xlfn.XLOOKUP(S8:AG8,增益!$A:$A,增益!$G:$G,0))</f>
        <v>0</v>
      </c>
      <c r="AS8" s="21" cm="1">
        <f t="array" ref="AS8">VLOOKUP($R8,武学奇术!$A:$ZZ,8,FALSE)+SUM(_xlfn.XLOOKUP(S8:AG8,增益!$A:$A,增益!$H:$H,0))</f>
        <v>0</v>
      </c>
      <c r="AT8">
        <f t="shared" si="1"/>
        <v>680.02</v>
      </c>
      <c r="AU8">
        <f t="shared" si="2"/>
        <v>1288.54</v>
      </c>
      <c r="AV8" s="26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</v>
      </c>
      <c r="AW8" s="26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26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26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26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26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26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26" cm="1">
        <f t="array" ref="BI8">$G$14+VLOOKUP($R8,武学奇术!$A:$ZZ,16,FALSE)+SUM(_xlfn.XLOOKUP(S8:AG8,增益!$A:$A,增益!$P:$P,0))</f>
        <v>0</v>
      </c>
      <c r="BJ8" s="21">
        <f>MIN(IF(VLOOKUP($R8,武学奇术!$A:$ZZ,23,FALSE)=1,100%,$B$8),100%)</f>
        <v>0.8229</v>
      </c>
      <c r="BK8" s="21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0.2285</v>
      </c>
      <c r="BL8" s="21" cm="1">
        <f t="array" ref="BL8">1+$B$13+VLOOKUP($R8,武学奇术!$A:$ZZ,18,FALSE)+SUM(_xlfn.XLOOKUP(S8:AG8,增益!$A:$A,增益!$R:$R,0))</f>
        <v>1.5</v>
      </c>
      <c r="BM8" s="21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0.4495</v>
      </c>
      <c r="BN8" s="21" cm="1">
        <f t="array" ref="BN8">1+$B$14+VLOOKUP($R8,武学奇术!$A:$ZZ,20,FALSE)+SUM(_xlfn.XLOOKUP(S8:AG8,增益!$A:$A,增益!$T:$T,0))</f>
        <v>1.522</v>
      </c>
      <c r="BO8" s="21">
        <f t="shared" si="9"/>
        <v>0.18803265</v>
      </c>
      <c r="BP8" s="21">
        <f t="shared" si="10"/>
        <v>0.2649738</v>
      </c>
      <c r="BQ8" s="21">
        <f>IF(VLOOKUP($R8,武学奇术!$A:$ZZ,22,FALSE)=1,0,(1-$BJ8))*(1-$BM8)</f>
        <v>0.09749355</v>
      </c>
      <c r="BR8" s="21" cm="1">
        <f t="array" ref="BR8">SUM(_xlfn.XLOOKUP(S8:AG8,增益!$A:$A,增益!$W:$W,0))+$I$5</f>
        <v>0.06</v>
      </c>
    </row>
    <row r="9" ht="14.25" spans="1:70">
      <c r="A9" s="33" t="s">
        <v>110</v>
      </c>
      <c r="B9" s="58">
        <f>期望!B9</f>
        <v>0.1825</v>
      </c>
      <c r="C9" s="37"/>
      <c r="D9" t="s">
        <v>0</v>
      </c>
      <c r="E9" t="s">
        <v>1</v>
      </c>
      <c r="F9" s="31" t="s">
        <v>2</v>
      </c>
      <c r="G9" s="36" t="s">
        <v>3</v>
      </c>
      <c r="H9" s="59"/>
      <c r="I9" s="8"/>
      <c r="J9" s="60"/>
      <c r="K9" s="24">
        <f>$L9*VLOOKUP($R9,武学奇术!$A:$ZZ,31,FALSE)</f>
        <v>78902.3682657687</v>
      </c>
      <c r="L9" s="24">
        <f t="shared" si="0"/>
        <v>131503.947109614</v>
      </c>
      <c r="M9" s="2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流血",$B$21,0))*(1+$BR9)</f>
        <v>111073.966959274</v>
      </c>
      <c r="N9" s="24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流血",$B$21,0))*(1+$BR9)</f>
        <v>195193.946743569</v>
      </c>
      <c r="O9" s="24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流血",$B$21,0))*(1+$BR9)</f>
        <v>74049.3113061827</v>
      </c>
      <c r="P9" s="24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流血",$B$21,0))*(1+$BR9)</f>
        <v>33413.5775221367</v>
      </c>
      <c r="Q9" s="31">
        <v>1</v>
      </c>
      <c r="R9" s="32" t="s">
        <v>95</v>
      </c>
      <c r="S9" s="32" t="s">
        <v>87</v>
      </c>
      <c r="T9" s="32" t="s">
        <v>96</v>
      </c>
      <c r="U9" s="32" t="s">
        <v>97</v>
      </c>
      <c r="V9" s="32" t="s">
        <v>98</v>
      </c>
      <c r="W9" s="32" t="s">
        <v>111</v>
      </c>
      <c r="X9" s="32" t="s">
        <v>109</v>
      </c>
      <c r="Y9" s="32" t="s">
        <v>73</v>
      </c>
      <c r="Z9" s="32" t="s">
        <v>73</v>
      </c>
      <c r="AA9" s="32" t="s">
        <v>81</v>
      </c>
      <c r="AB9" s="32" t="s">
        <v>75</v>
      </c>
      <c r="AC9" s="32" t="s">
        <v>89</v>
      </c>
      <c r="AD9" s="32" t="s">
        <v>82</v>
      </c>
      <c r="AE9" s="32" t="s">
        <v>90</v>
      </c>
      <c r="AF9" s="32" t="s">
        <v>73</v>
      </c>
      <c r="AG9" s="32" t="s">
        <v>91</v>
      </c>
      <c r="AH9" t="str">
        <f>VLOOKUP($R9,武学奇术!$A:$ZZ,25,FALSE)</f>
        <v>剑</v>
      </c>
      <c r="AI9" s="21">
        <f>VLOOKUP($R9,武学奇术!$A:$ZZ,26,FALSE)</f>
        <v>2.52</v>
      </c>
      <c r="AJ9" s="22">
        <f>VLOOKUP($R9,武学奇术!$A:$ZZ,27,FALSE)*(1+IF(OR($AH9=$F$4,$AH9=$F$5),$B$22,0))</f>
        <v>0</v>
      </c>
      <c r="AK9" s="21">
        <f>VLOOKUP($R9,武学奇术!$A:$ZZ,28,FALSE)</f>
        <v>3.78</v>
      </c>
      <c r="AL9" s="22">
        <f>VLOOKUP($R9,武学奇术!$A:$ZZ,29,FALSE)*(1+IF(OR($AH9=$F$4,$AH9=$F$5),$B$22,0))</f>
        <v>0</v>
      </c>
      <c r="AM9" s="21" cm="1">
        <f t="array" ref="AM9">$G$3+IFERROR(VLOOKUP($AH9,$F$4:$G$7,2,FALSE),0)+VLOOKUP($R9,武学奇术!$A:$ZZ,2,FALSE)+SUM(_xlfn.XLOOKUP($S9:$AG9,增益!$A:$A,增益!$B:$B,0))</f>
        <v>1.6091</v>
      </c>
      <c r="AN9" s="21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1825.28</v>
      </c>
      <c r="AP9" cm="1">
        <f t="array" ref="AP9">$E$10*(1+$AN9)+VLOOKUP($R9,武学奇术!$A:$ZZ,4,FALSE)+SUM(_xlfn.XLOOKUP($S9:$AG9,增益!$A:$A,增益!$D:$D,0))-$I$2</f>
        <v>7757.36</v>
      </c>
      <c r="AQ9" s="26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0.299</v>
      </c>
      <c r="AR9" s="26" cm="1">
        <f t="array" ref="AR9">$G$10+VLOOKUP($R9,武学奇术!$A:$ZZ,7,FALSE)+SUM(_xlfn.XLOOKUP(S9:AG9,增益!$A:$A,增益!$G:$G,0))</f>
        <v>0</v>
      </c>
      <c r="AS9" s="21" cm="1">
        <f t="array" ref="AS9">VLOOKUP($R9,武学奇术!$A:$ZZ,8,FALSE)+SUM(_xlfn.XLOOKUP(S9:AG9,增益!$A:$A,增益!$H:$H,0))</f>
        <v>0</v>
      </c>
      <c r="AT9">
        <f t="shared" si="1"/>
        <v>680.02</v>
      </c>
      <c r="AU9">
        <f t="shared" si="2"/>
        <v>1288.54</v>
      </c>
      <c r="AV9" s="26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0.075</v>
      </c>
      <c r="AW9" s="26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26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26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26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26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26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26" cm="1">
        <f t="array" ref="BI9">$G$14+VLOOKUP($R9,武学奇术!$A:$ZZ,16,FALSE)+SUM(_xlfn.XLOOKUP(S9:AG9,增益!$A:$A,增益!$P:$P,0))</f>
        <v>0</v>
      </c>
      <c r="BJ9" s="21">
        <f>MIN(IF(VLOOKUP($R9,武学奇术!$A:$ZZ,23,FALSE)=1,100%,$B$8),100%)</f>
        <v>0.8229</v>
      </c>
      <c r="BK9" s="21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0.2285</v>
      </c>
      <c r="BL9" s="21" cm="1">
        <f t="array" ref="BL9">1+$B$13+VLOOKUP($R9,武学奇术!$A:$ZZ,18,FALSE)+SUM(_xlfn.XLOOKUP(S9:AG9,增益!$A:$A,增益!$R:$R,0))</f>
        <v>1.5</v>
      </c>
      <c r="BM9" s="21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0.4495</v>
      </c>
      <c r="BN9" s="21" cm="1">
        <f t="array" ref="BN9">1+$B$14+VLOOKUP($R9,武学奇术!$A:$ZZ,20,FALSE)+SUM(_xlfn.XLOOKUP(S9:AG9,增益!$A:$A,增益!$T:$T,0))</f>
        <v>1.702</v>
      </c>
      <c r="BO9" s="21">
        <f t="shared" si="9"/>
        <v>0.18803265</v>
      </c>
      <c r="BP9" s="21">
        <f t="shared" si="10"/>
        <v>0.2649738</v>
      </c>
      <c r="BQ9" s="21">
        <f>IF(VLOOKUP($R9,武学奇术!$A:$ZZ,22,FALSE)=1,0,(1-$BJ9))*(1-$BM9)</f>
        <v>0.09749355</v>
      </c>
      <c r="BR9" s="21" cm="1">
        <f t="array" ref="BR9">SUM(_xlfn.XLOOKUP(S9:AG9,增益!$A:$A,增益!$W:$W,0))+$I$5</f>
        <v>0.06</v>
      </c>
    </row>
    <row r="10" spans="1:70">
      <c r="A10" s="33" t="s">
        <v>112</v>
      </c>
      <c r="B10" s="58">
        <f>期望!B10</f>
        <v>0.3965</v>
      </c>
      <c r="C10" s="37" t="s">
        <v>67</v>
      </c>
      <c r="D10">
        <f>期望!D10</f>
        <v>2414.28</v>
      </c>
      <c r="E10">
        <f>期望!E10</f>
        <v>8346.36</v>
      </c>
      <c r="F10">
        <f>期望!F10</f>
        <v>63.8</v>
      </c>
      <c r="G10" s="7">
        <f>期望!G10</f>
        <v>0</v>
      </c>
      <c r="H10" s="56" t="s">
        <v>113</v>
      </c>
      <c r="I10" s="61">
        <f>SUM(L:L)</f>
        <v>14796529.2864997</v>
      </c>
      <c r="J10" s="62"/>
      <c r="K10" s="24">
        <f>$L10*VLOOKUP($R10,武学奇术!$A:$ZZ,31,FALSE)</f>
        <v>31793.0360745265</v>
      </c>
      <c r="L10" s="24">
        <f t="shared" si="0"/>
        <v>31793.0360745265</v>
      </c>
      <c r="M10" s="2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流血",$B$21,0))*(1+$BR10)</f>
        <v>29059.2121605454</v>
      </c>
      <c r="N10" s="24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流血",$B$21,0))*(1+$BR10)</f>
        <v>45190.0421188009</v>
      </c>
      <c r="O10" s="24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流血",$B$21,0))*(1+$BR10)</f>
        <v>19372.8081070303</v>
      </c>
      <c r="P10" s="24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流血",$B$21,0))*(1+$BR10)</f>
        <v>9054.39274572874</v>
      </c>
      <c r="Q10" s="31">
        <v>1</v>
      </c>
      <c r="R10" s="32" t="s">
        <v>114</v>
      </c>
      <c r="S10" s="32" t="s">
        <v>87</v>
      </c>
      <c r="T10" s="32" t="s">
        <v>104</v>
      </c>
      <c r="U10" s="32" t="s">
        <v>73</v>
      </c>
      <c r="V10" s="32" t="s">
        <v>73</v>
      </c>
      <c r="W10" s="32" t="s">
        <v>111</v>
      </c>
      <c r="X10" s="32" t="s">
        <v>109</v>
      </c>
      <c r="Y10" s="32" t="s">
        <v>73</v>
      </c>
      <c r="Z10" s="32" t="s">
        <v>73</v>
      </c>
      <c r="AA10" s="32" t="s">
        <v>81</v>
      </c>
      <c r="AB10" s="32" t="s">
        <v>75</v>
      </c>
      <c r="AC10" s="32" t="s">
        <v>89</v>
      </c>
      <c r="AD10" s="32" t="s">
        <v>82</v>
      </c>
      <c r="AE10" s="32" t="s">
        <v>90</v>
      </c>
      <c r="AF10" s="32" t="s">
        <v>73</v>
      </c>
      <c r="AG10" s="32" t="s">
        <v>91</v>
      </c>
      <c r="AH10" t="str">
        <f>VLOOKUP($R10,武学奇术!$A:$ZZ,25,FALSE)</f>
        <v>单体奇术</v>
      </c>
      <c r="AI10" s="21">
        <f>VLOOKUP($R10,武学奇术!$A:$ZZ,26,FALSE)</f>
        <v>1.28505</v>
      </c>
      <c r="AJ10" s="22">
        <f>VLOOKUP($R10,武学奇术!$A:$ZZ,27,FALSE)*(1+IF(OR($AH10=$F$4,$AH10=$F$5),$B$22,0))</f>
        <v>251</v>
      </c>
      <c r="AK10" s="21">
        <f>VLOOKUP($R10,武学奇术!$A:$ZZ,28,FALSE)</f>
        <v>1.927575</v>
      </c>
      <c r="AL10" s="22">
        <f>VLOOKUP($R10,武学奇术!$A:$ZZ,29,FALSE)*(1+IF(OR($AH10=$F$4,$AH10=$F$5),$B$22,0))</f>
        <v>0</v>
      </c>
      <c r="AM10" s="21" cm="1">
        <f t="array" ref="AM10">$G$3+IFERROR(VLOOKUP($AH10,$F$4:$G$7,2,FALSE),0)+VLOOKUP($R10,武学奇术!$A:$ZZ,2,FALSE)+SUM(_xlfn.XLOOKUP($S10:$AG10,增益!$A:$A,增益!$B:$B,0))</f>
        <v>0.823</v>
      </c>
      <c r="AN10" s="21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1825.28</v>
      </c>
      <c r="AP10" cm="1">
        <f t="array" ref="AP10">$E$10*(1+$AN10)+VLOOKUP($R10,武学奇术!$A:$ZZ,4,FALSE)+SUM(_xlfn.XLOOKUP($S10:$AG10,增益!$A:$A,增益!$D:$D,0))-$I$2</f>
        <v>7757.36</v>
      </c>
      <c r="AQ10" s="26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0.224</v>
      </c>
      <c r="AR10" s="26" cm="1">
        <f t="array" ref="AR10">$G$10+VLOOKUP($R10,武学奇术!$A:$ZZ,7,FALSE)+SUM(_xlfn.XLOOKUP(S10:AG10,增益!$A:$A,增益!$G:$G,0))</f>
        <v>0</v>
      </c>
      <c r="AS10" s="21" cm="1">
        <f t="array" ref="AS10">VLOOKUP($R10,武学奇术!$A:$ZZ,8,FALSE)+SUM(_xlfn.XLOOKUP(S10:AG10,增益!$A:$A,增益!$H:$H,0))</f>
        <v>0</v>
      </c>
      <c r="AT10">
        <f t="shared" si="1"/>
        <v>680.02</v>
      </c>
      <c r="AU10">
        <f t="shared" si="2"/>
        <v>1288.54</v>
      </c>
      <c r="AV10" s="26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</v>
      </c>
      <c r="AW10" s="26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26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26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26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26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26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26" cm="1">
        <f t="array" ref="BI10">$G$14+VLOOKUP($R10,武学奇术!$A:$ZZ,16,FALSE)+SUM(_xlfn.XLOOKUP(S10:AG10,增益!$A:$A,增益!$P:$P,0))</f>
        <v>0</v>
      </c>
      <c r="BJ10" s="21">
        <f>MIN(IF(VLOOKUP($R10,武学奇术!$A:$ZZ,23,FALSE)=1,100%,$B$8),100%)</f>
        <v>0.8229</v>
      </c>
      <c r="BK10" s="21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0.2285</v>
      </c>
      <c r="BL10" s="21" cm="1">
        <f t="array" ref="BL10">1+$B$13+VLOOKUP($R10,武学奇术!$A:$ZZ,18,FALSE)+SUM(_xlfn.XLOOKUP(S10:AG10,增益!$A:$A,增益!$R:$R,0))</f>
        <v>1.5</v>
      </c>
      <c r="BM10" s="21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0.4495</v>
      </c>
      <c r="BN10" s="21" cm="1">
        <f t="array" ref="BN10">1+$B$14+VLOOKUP($R10,武学奇术!$A:$ZZ,20,FALSE)+SUM(_xlfn.XLOOKUP(S10:AG10,增益!$A:$A,增益!$T:$T,0))</f>
        <v>1.522</v>
      </c>
      <c r="BO10" s="21">
        <f t="shared" si="9"/>
        <v>0.18803265</v>
      </c>
      <c r="BP10" s="21">
        <f t="shared" si="10"/>
        <v>0.2649738</v>
      </c>
      <c r="BQ10" s="21">
        <f>IF(VLOOKUP($R10,武学奇术!$A:$ZZ,22,FALSE)=1,0,(1-$BJ10))*(1-$BM10)</f>
        <v>0.09749355</v>
      </c>
      <c r="BR10" s="21" cm="1">
        <f t="array" ref="BR10">SUM(_xlfn.XLOOKUP(S10:AG10,增益!$A:$A,增益!$W:$W,0))+$I$5</f>
        <v>0.06</v>
      </c>
    </row>
    <row r="11" ht="14.25" spans="1:70">
      <c r="A11" s="33" t="s">
        <v>115</v>
      </c>
      <c r="B11" s="58">
        <f>期望!B11</f>
        <v>0.046</v>
      </c>
      <c r="C11" s="37" t="s">
        <v>5</v>
      </c>
      <c r="D11">
        <f>期望!D11</f>
        <v>680.02</v>
      </c>
      <c r="E11">
        <f>期望!E11</f>
        <v>1288.54</v>
      </c>
      <c r="F11">
        <f>期望!F11</f>
        <v>30</v>
      </c>
      <c r="G11" s="63">
        <f>期望!G11</f>
        <v>0.15</v>
      </c>
      <c r="H11" s="59"/>
      <c r="I11" s="64"/>
      <c r="J11" s="65"/>
      <c r="K11" s="24">
        <f>$L11*VLOOKUP($R11,武学奇术!$A:$ZZ,31,FALSE)</f>
        <v>32259.2988518811</v>
      </c>
      <c r="L11" s="24">
        <f t="shared" si="0"/>
        <v>32259.2988518811</v>
      </c>
      <c r="M11" s="2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流血",$B$21,0))*(1+$BR11)</f>
        <v>29799.6710763158</v>
      </c>
      <c r="N11" s="24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流血",$B$21,0))*(1+$BR11)</f>
        <v>45400.1759247156</v>
      </c>
      <c r="O11" s="24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流血",$B$21,0))*(1+$BR11)</f>
        <v>19866.4473842105</v>
      </c>
      <c r="P11" s="24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流血",$B$21,0))*(1+$BR11)</f>
        <v>10098.3151830976</v>
      </c>
      <c r="Q11" s="31">
        <v>1</v>
      </c>
      <c r="R11" s="32" t="s">
        <v>86</v>
      </c>
      <c r="S11" s="32" t="s">
        <v>87</v>
      </c>
      <c r="T11" s="32" t="s">
        <v>104</v>
      </c>
      <c r="U11" s="32" t="s">
        <v>73</v>
      </c>
      <c r="V11" s="32" t="s">
        <v>73</v>
      </c>
      <c r="W11" s="32" t="s">
        <v>111</v>
      </c>
      <c r="X11" s="32" t="s">
        <v>116</v>
      </c>
      <c r="Y11" s="32" t="s">
        <v>73</v>
      </c>
      <c r="Z11" s="32" t="s">
        <v>73</v>
      </c>
      <c r="AA11" s="32" t="s">
        <v>81</v>
      </c>
      <c r="AB11" s="32" t="s">
        <v>75</v>
      </c>
      <c r="AC11" s="32" t="s">
        <v>89</v>
      </c>
      <c r="AD11" s="32" t="s">
        <v>82</v>
      </c>
      <c r="AE11" s="32" t="s">
        <v>90</v>
      </c>
      <c r="AF11" s="32" t="s">
        <v>73</v>
      </c>
      <c r="AG11" s="32" t="s">
        <v>117</v>
      </c>
      <c r="AH11" t="str">
        <f>VLOOKUP($R11,武学奇术!$A:$ZZ,25,FALSE)</f>
        <v>剑</v>
      </c>
      <c r="AI11" s="21">
        <f>VLOOKUP($R11,武学奇术!$A:$ZZ,26,FALSE)</f>
        <v>1.1781</v>
      </c>
      <c r="AJ11" s="22">
        <f>VLOOKUP($R11,武学奇术!$A:$ZZ,27,FALSE)*(1+IF(OR($AH11=$F$4,$AH11=$F$5),$B$22,0))</f>
        <v>489</v>
      </c>
      <c r="AK11" s="21">
        <f>VLOOKUP($R11,武学奇术!$A:$ZZ,28,FALSE)</f>
        <v>1.7672</v>
      </c>
      <c r="AL11" s="22">
        <f>VLOOKUP($R11,武学奇术!$A:$ZZ,29,FALSE)*(1+IF(OR($AH11=$F$4,$AH11=$F$5),$B$22,0))</f>
        <v>265.5</v>
      </c>
      <c r="AM11" s="21" cm="1">
        <f t="array" ref="AM11">$G$3+IFERROR(VLOOKUP($AH11,$F$4:$G$7,2,FALSE),0)+VLOOKUP($R11,武学奇术!$A:$ZZ,2,FALSE)+SUM(_xlfn.XLOOKUP($S11:$AG11,增益!$A:$A,增益!$B:$B,0))</f>
        <v>0.8691</v>
      </c>
      <c r="AN11" s="21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1825.28</v>
      </c>
      <c r="AP11" cm="1">
        <f t="array" ref="AP11">$E$10*(1+$AN11)+VLOOKUP($R11,武学奇术!$A:$ZZ,4,FALSE)+SUM(_xlfn.XLOOKUP($S11:$AG11,增益!$A:$A,增益!$D:$D,0))-$I$2</f>
        <v>7757.36</v>
      </c>
      <c r="AQ11" s="26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0.234</v>
      </c>
      <c r="AR11" s="26" cm="1">
        <f t="array" ref="AR11">$G$10+VLOOKUP($R11,武学奇术!$A:$ZZ,7,FALSE)+SUM(_xlfn.XLOOKUP(S11:AG11,增益!$A:$A,增益!$G:$G,0))</f>
        <v>0</v>
      </c>
      <c r="AS11" s="21" cm="1">
        <f t="array" ref="AS11">VLOOKUP($R11,武学奇术!$A:$ZZ,8,FALSE)+SUM(_xlfn.XLOOKUP(S11:AG11,增益!$A:$A,增益!$H:$H,0))</f>
        <v>0</v>
      </c>
      <c r="AT11">
        <f t="shared" si="1"/>
        <v>680.02</v>
      </c>
      <c r="AU11">
        <f t="shared" si="2"/>
        <v>1288.54</v>
      </c>
      <c r="AV11" s="26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</v>
      </c>
      <c r="AW11" s="26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26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26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26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26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26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26" cm="1">
        <f t="array" ref="BI11">$G$14+VLOOKUP($R11,武学奇术!$A:$ZZ,16,FALSE)+SUM(_xlfn.XLOOKUP(S11:AG11,增益!$A:$A,增益!$P:$P,0))</f>
        <v>0</v>
      </c>
      <c r="BJ11" s="21">
        <f>MIN(IF(VLOOKUP($R11,武学奇术!$A:$ZZ,23,FALSE)=1,100%,$B$8),100%)</f>
        <v>0.8229</v>
      </c>
      <c r="BK11" s="21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0.2285</v>
      </c>
      <c r="BL11" s="21" cm="1">
        <f t="array" ref="BL11">1+$B$13+VLOOKUP($R11,武学奇术!$A:$ZZ,18,FALSE)+SUM(_xlfn.XLOOKUP(S11:AG11,增益!$A:$A,增益!$R:$R,0))</f>
        <v>1.5</v>
      </c>
      <c r="BM11" s="21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0.4495</v>
      </c>
      <c r="BN11" s="21" cm="1">
        <f t="array" ref="BN11">1+$B$14+VLOOKUP($R11,武学奇术!$A:$ZZ,20,FALSE)+SUM(_xlfn.XLOOKUP(S11:AG11,增益!$A:$A,增益!$T:$T,0))</f>
        <v>1.532</v>
      </c>
      <c r="BO11" s="21">
        <f t="shared" si="9"/>
        <v>0.18803265</v>
      </c>
      <c r="BP11" s="21">
        <f t="shared" si="10"/>
        <v>0.2649738</v>
      </c>
      <c r="BQ11" s="21">
        <f>IF(VLOOKUP($R11,武学奇术!$A:$ZZ,22,FALSE)=1,0,(1-$BJ11))*(1-$BM11)</f>
        <v>0.09749355</v>
      </c>
      <c r="BR11" s="21" cm="1">
        <f t="array" ref="BR11">SUM(_xlfn.XLOOKUP(S11:AG11,增益!$A:$A,增益!$W:$W,0))+$I$5</f>
        <v>0.06</v>
      </c>
    </row>
    <row r="12" spans="1:70">
      <c r="A12" s="33" t="s">
        <v>118</v>
      </c>
      <c r="B12" s="58">
        <f>期望!B12</f>
        <v>0.023</v>
      </c>
      <c r="C12" s="37" t="s">
        <v>83</v>
      </c>
      <c r="D12">
        <f>期望!D12</f>
        <v>0</v>
      </c>
      <c r="E12">
        <f>期望!E12</f>
        <v>0</v>
      </c>
      <c r="F12">
        <f>期望!F12</f>
        <v>0</v>
      </c>
      <c r="G12" s="7">
        <f>期望!G12</f>
        <v>0</v>
      </c>
      <c r="H12" s="56" t="s">
        <v>203</v>
      </c>
      <c r="I12" s="24">
        <f>I10/I8</f>
        <v>161710.702584696</v>
      </c>
      <c r="J12" s="66"/>
      <c r="K12" s="24">
        <f>$L12*VLOOKUP($R12,武学奇术!$A:$ZZ,31,FALSE)</f>
        <v>118991.862635021</v>
      </c>
      <c r="L12" s="24">
        <f t="shared" si="0"/>
        <v>198319.771058369</v>
      </c>
      <c r="M12" s="2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流血",$B$21,0))*(1+$BR12)</f>
        <v>112163.395266469</v>
      </c>
      <c r="N12" s="24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流血",$B$21,0))*(1+$BR12)</f>
        <v>198319.771058369</v>
      </c>
      <c r="O12" s="24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流血",$B$21,0))*(1+$BR12)</f>
        <v>74775.5968443129</v>
      </c>
      <c r="P12" s="24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流血",$B$21,0))*(1+$BR12)</f>
        <v>33710.205920887</v>
      </c>
      <c r="Q12" s="31">
        <v>1</v>
      </c>
      <c r="R12" s="32" t="s">
        <v>120</v>
      </c>
      <c r="S12" s="32" t="s">
        <v>87</v>
      </c>
      <c r="T12" s="32" t="s">
        <v>96</v>
      </c>
      <c r="U12" s="32" t="s">
        <v>97</v>
      </c>
      <c r="V12" s="32" t="s">
        <v>98</v>
      </c>
      <c r="W12" s="32" t="s">
        <v>111</v>
      </c>
      <c r="X12" s="32" t="s">
        <v>116</v>
      </c>
      <c r="Y12" s="32" t="s">
        <v>73</v>
      </c>
      <c r="Z12" s="32" t="s">
        <v>73</v>
      </c>
      <c r="AA12" s="32" t="s">
        <v>81</v>
      </c>
      <c r="AB12" s="32" t="s">
        <v>75</v>
      </c>
      <c r="AC12" s="32" t="s">
        <v>89</v>
      </c>
      <c r="AD12" s="32" t="s">
        <v>82</v>
      </c>
      <c r="AE12" s="32" t="s">
        <v>90</v>
      </c>
      <c r="AF12" s="32" t="s">
        <v>73</v>
      </c>
      <c r="AG12" s="32" t="s">
        <v>117</v>
      </c>
      <c r="AH12" t="str">
        <f>VLOOKUP($R12,武学奇术!$A:$ZZ,25,FALSE)</f>
        <v>剑</v>
      </c>
      <c r="AI12" s="21">
        <f>VLOOKUP($R12,武学奇术!$A:$ZZ,26,FALSE)</f>
        <v>2.52</v>
      </c>
      <c r="AJ12" s="22">
        <f>VLOOKUP($R12,武学奇术!$A:$ZZ,27,FALSE)*(1+IF(OR($AH12=$F$4,$AH12=$F$5),$B$22,0))</f>
        <v>0</v>
      </c>
      <c r="AK12" s="21">
        <f>VLOOKUP($R12,武学奇术!$A:$ZZ,28,FALSE)</f>
        <v>3.78</v>
      </c>
      <c r="AL12" s="22">
        <f>VLOOKUP($R12,武学奇术!$A:$ZZ,29,FALSE)*(1+IF(OR($AH12=$F$4,$AH12=$F$5),$B$22,0))</f>
        <v>0</v>
      </c>
      <c r="AM12" s="21" cm="1">
        <f t="array" ref="AM12">$G$3+IFERROR(VLOOKUP($AH12,$F$4:$G$7,2,FALSE),0)+VLOOKUP($R12,武学奇术!$A:$ZZ,2,FALSE)+SUM(_xlfn.XLOOKUP($S12:$AG12,增益!$A:$A,增益!$B:$B,0))</f>
        <v>1.6191</v>
      </c>
      <c r="AN12" s="21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1825.28</v>
      </c>
      <c r="AP12" cm="1">
        <f t="array" ref="AP12">$E$10*(1+$AN12)+VLOOKUP($R12,武学奇术!$A:$ZZ,4,FALSE)+SUM(_xlfn.XLOOKUP($S12:$AG12,增益!$A:$A,增益!$D:$D,0))-$I$2</f>
        <v>7757.36</v>
      </c>
      <c r="AQ12" s="26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0.309</v>
      </c>
      <c r="AR12" s="26" cm="1">
        <f t="array" ref="AR12">$G$10+VLOOKUP($R12,武学奇术!$A:$ZZ,7,FALSE)+SUM(_xlfn.XLOOKUP(S12:AG12,增益!$A:$A,增益!$G:$G,0))</f>
        <v>0</v>
      </c>
      <c r="AS12" s="21" cm="1">
        <f t="array" ref="AS12">VLOOKUP($R12,武学奇术!$A:$ZZ,8,FALSE)+SUM(_xlfn.XLOOKUP(S12:AG12,增益!$A:$A,增益!$H:$H,0))</f>
        <v>0</v>
      </c>
      <c r="AT12">
        <f t="shared" si="1"/>
        <v>680.02</v>
      </c>
      <c r="AU12">
        <f t="shared" si="2"/>
        <v>1288.54</v>
      </c>
      <c r="AV12" s="26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0.075</v>
      </c>
      <c r="AW12" s="26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26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26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26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26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26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26" cm="1">
        <f t="array" ref="BI12">$G$14+VLOOKUP($R12,武学奇术!$A:$ZZ,16,FALSE)+SUM(_xlfn.XLOOKUP(S12:AG12,增益!$A:$A,增益!$P:$P,0))</f>
        <v>0</v>
      </c>
      <c r="BJ12" s="21">
        <f>MIN(IF(VLOOKUP($R12,武学奇术!$A:$ZZ,23,FALSE)=1,100%,$B$8),100%)</f>
        <v>0.8229</v>
      </c>
      <c r="BK12" s="21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</v>
      </c>
      <c r="BL12" s="21" cm="1">
        <f t="array" ref="BL12">1+$B$13+VLOOKUP($R12,武学奇术!$A:$ZZ,18,FALSE)+SUM(_xlfn.XLOOKUP(S12:AG12,增益!$A:$A,增益!$R:$R,0))</f>
        <v>1.5</v>
      </c>
      <c r="BM12" s="21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1</v>
      </c>
      <c r="BN12" s="21" cm="1">
        <f t="array" ref="BN12">1+$B$14+VLOOKUP($R12,武学奇术!$A:$ZZ,20,FALSE)+SUM(_xlfn.XLOOKUP(S12:AG12,增益!$A:$A,增益!$T:$T,0))</f>
        <v>1.712</v>
      </c>
      <c r="BO12" s="21">
        <f t="shared" si="9"/>
        <v>0</v>
      </c>
      <c r="BP12" s="21">
        <f t="shared" si="10"/>
        <v>0</v>
      </c>
      <c r="BQ12" s="21">
        <f>IF(VLOOKUP($R12,武学奇术!$A:$ZZ,22,FALSE)=1,0,(1-$BJ12))*(1-$BM12)</f>
        <v>0</v>
      </c>
      <c r="BR12" s="21" cm="1">
        <f t="array" ref="BR12">SUM(_xlfn.XLOOKUP(S12:AG12,增益!$A:$A,增益!$W:$W,0))+$I$5</f>
        <v>0.06</v>
      </c>
    </row>
    <row r="13" ht="14.25" spans="1:70">
      <c r="A13" s="33" t="s">
        <v>121</v>
      </c>
      <c r="B13" s="58">
        <f>期望!B13</f>
        <v>0.5</v>
      </c>
      <c r="C13" s="37" t="s">
        <v>92</v>
      </c>
      <c r="D13">
        <f>期望!D13</f>
        <v>0</v>
      </c>
      <c r="E13">
        <f>期望!E13</f>
        <v>0</v>
      </c>
      <c r="F13">
        <f>期望!F13</f>
        <v>0</v>
      </c>
      <c r="G13" s="7">
        <f>期望!G13</f>
        <v>0</v>
      </c>
      <c r="H13" s="59"/>
      <c r="I13" s="67"/>
      <c r="J13" s="65"/>
      <c r="K13" s="24">
        <f>$L13*VLOOKUP($R13,武学奇术!$A:$ZZ,31,FALSE)</f>
        <v>80001.1315351514</v>
      </c>
      <c r="L13" s="24">
        <f t="shared" si="0"/>
        <v>133335.219225252</v>
      </c>
      <c r="M13" s="2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流血",$B$21,0))*(1+$BR13)</f>
        <v>112163.395266469</v>
      </c>
      <c r="N13" s="24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流血",$B$21,0))*(1+$BR13)</f>
        <v>198319.771058369</v>
      </c>
      <c r="O13" s="24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流血",$B$21,0))*(1+$BR13)</f>
        <v>74775.5968443129</v>
      </c>
      <c r="P13" s="24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流血",$B$21,0))*(1+$BR13)</f>
        <v>33710.205920887</v>
      </c>
      <c r="Q13" s="31">
        <v>1</v>
      </c>
      <c r="R13" s="32" t="s">
        <v>95</v>
      </c>
      <c r="S13" s="32" t="s">
        <v>87</v>
      </c>
      <c r="T13" s="32" t="s">
        <v>96</v>
      </c>
      <c r="U13" s="32" t="s">
        <v>97</v>
      </c>
      <c r="V13" s="32" t="s">
        <v>98</v>
      </c>
      <c r="W13" s="32" t="s">
        <v>111</v>
      </c>
      <c r="X13" s="32" t="s">
        <v>116</v>
      </c>
      <c r="Y13" s="32" t="s">
        <v>73</v>
      </c>
      <c r="Z13" s="32" t="s">
        <v>73</v>
      </c>
      <c r="AA13" s="32" t="s">
        <v>81</v>
      </c>
      <c r="AB13" s="32" t="s">
        <v>75</v>
      </c>
      <c r="AC13" s="32" t="s">
        <v>89</v>
      </c>
      <c r="AD13" s="32" t="s">
        <v>82</v>
      </c>
      <c r="AE13" s="32" t="s">
        <v>90</v>
      </c>
      <c r="AF13" s="32" t="s">
        <v>73</v>
      </c>
      <c r="AG13" s="32" t="s">
        <v>117</v>
      </c>
      <c r="AH13" t="str">
        <f>VLOOKUP($R13,武学奇术!$A:$ZZ,25,FALSE)</f>
        <v>剑</v>
      </c>
      <c r="AI13" s="21">
        <f>VLOOKUP($R13,武学奇术!$A:$ZZ,26,FALSE)</f>
        <v>2.52</v>
      </c>
      <c r="AJ13" s="22">
        <f>VLOOKUP($R13,武学奇术!$A:$ZZ,27,FALSE)*(1+IF(OR($AH13=$F$4,$AH13=$F$5),$B$22,0))</f>
        <v>0</v>
      </c>
      <c r="AK13" s="21">
        <f>VLOOKUP($R13,武学奇术!$A:$ZZ,28,FALSE)</f>
        <v>3.78</v>
      </c>
      <c r="AL13" s="22">
        <f>VLOOKUP($R13,武学奇术!$A:$ZZ,29,FALSE)*(1+IF(OR($AH13=$F$4,$AH13=$F$5),$B$22,0))</f>
        <v>0</v>
      </c>
      <c r="AM13" s="21" cm="1">
        <f t="array" ref="AM13">$G$3+IFERROR(VLOOKUP($AH13,$F$4:$G$7,2,FALSE),0)+VLOOKUP($R13,武学奇术!$A:$ZZ,2,FALSE)+SUM(_xlfn.XLOOKUP($S13:$AG13,增益!$A:$A,增益!$B:$B,0))</f>
        <v>1.6191</v>
      </c>
      <c r="AN13" s="21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1825.28</v>
      </c>
      <c r="AP13" cm="1">
        <f t="array" ref="AP13">$E$10*(1+$AN13)+VLOOKUP($R13,武学奇术!$A:$ZZ,4,FALSE)+SUM(_xlfn.XLOOKUP($S13:$AG13,增益!$A:$A,增益!$D:$D,0))-$I$2</f>
        <v>7757.36</v>
      </c>
      <c r="AQ13" s="26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0.309</v>
      </c>
      <c r="AR13" s="26" cm="1">
        <f t="array" ref="AR13">$G$10+VLOOKUP($R13,武学奇术!$A:$ZZ,7,FALSE)+SUM(_xlfn.XLOOKUP(S13:AG13,增益!$A:$A,增益!$G:$G,0))</f>
        <v>0</v>
      </c>
      <c r="AS13" s="21" cm="1">
        <f t="array" ref="AS13">VLOOKUP($R13,武学奇术!$A:$ZZ,8,FALSE)+SUM(_xlfn.XLOOKUP(S13:AG13,增益!$A:$A,增益!$H:$H,0))</f>
        <v>0</v>
      </c>
      <c r="AT13">
        <f t="shared" si="1"/>
        <v>680.02</v>
      </c>
      <c r="AU13">
        <f t="shared" si="2"/>
        <v>1288.54</v>
      </c>
      <c r="AV13" s="26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0.075</v>
      </c>
      <c r="AW13" s="26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26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26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26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26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26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26" cm="1">
        <f t="array" ref="BI13">$G$14+VLOOKUP($R13,武学奇术!$A:$ZZ,16,FALSE)+SUM(_xlfn.XLOOKUP(S13:AG13,增益!$A:$A,增益!$P:$P,0))</f>
        <v>0</v>
      </c>
      <c r="BJ13" s="21">
        <f>MIN(IF(VLOOKUP($R13,武学奇术!$A:$ZZ,23,FALSE)=1,100%,$B$8),100%)</f>
        <v>0.8229</v>
      </c>
      <c r="BK13" s="21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0.2285</v>
      </c>
      <c r="BL13" s="21" cm="1">
        <f t="array" ref="BL13">1+$B$13+VLOOKUP($R13,武学奇术!$A:$ZZ,18,FALSE)+SUM(_xlfn.XLOOKUP(S13:AG13,增益!$A:$A,增益!$R:$R,0))</f>
        <v>1.5</v>
      </c>
      <c r="BM13" s="21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0.4495</v>
      </c>
      <c r="BN13" s="21" cm="1">
        <f t="array" ref="BN13">1+$B$14+VLOOKUP($R13,武学奇术!$A:$ZZ,20,FALSE)+SUM(_xlfn.XLOOKUP(S13:AG13,增益!$A:$A,增益!$T:$T,0))</f>
        <v>1.712</v>
      </c>
      <c r="BO13" s="21">
        <f t="shared" si="9"/>
        <v>0.18803265</v>
      </c>
      <c r="BP13" s="21">
        <f t="shared" si="10"/>
        <v>0.2649738</v>
      </c>
      <c r="BQ13" s="21">
        <f>IF(VLOOKUP($R13,武学奇术!$A:$ZZ,22,FALSE)=1,0,(1-$BJ13))*(1-$BM13)</f>
        <v>0.09749355</v>
      </c>
      <c r="BR13" s="21" cm="1">
        <f t="array" ref="BR13">SUM(_xlfn.XLOOKUP(S13:AG13,增益!$A:$A,增益!$W:$W,0))+$I$5</f>
        <v>0.06</v>
      </c>
    </row>
    <row r="14" ht="14.25" spans="1:70">
      <c r="A14" s="33" t="s">
        <v>122</v>
      </c>
      <c r="B14" s="58">
        <f>期望!B14</f>
        <v>0.402</v>
      </c>
      <c r="C14" s="45" t="s">
        <v>99</v>
      </c>
      <c r="D14" s="9">
        <f>期望!D14</f>
        <v>0</v>
      </c>
      <c r="E14" s="9">
        <f>期望!E14</f>
        <v>0</v>
      </c>
      <c r="F14" s="9">
        <f>期望!F14</f>
        <v>0</v>
      </c>
      <c r="G14" s="10">
        <f>期望!G14</f>
        <v>0</v>
      </c>
      <c r="H14" s="30" t="s">
        <v>123</v>
      </c>
      <c r="I14" s="61">
        <f>I12+110000*3%</f>
        <v>165010.702584696</v>
      </c>
      <c r="J14" s="62"/>
      <c r="K14" s="24">
        <f>$L14*VLOOKUP($R14,武学奇术!$A:$ZZ,31,FALSE)</f>
        <v>25744.537249014</v>
      </c>
      <c r="L14" s="24">
        <f t="shared" si="0"/>
        <v>25744.537249014</v>
      </c>
      <c r="M14" s="2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流血",$B$21,0))*(1+$BR14)</f>
        <v>23781.8190116092</v>
      </c>
      <c r="N14" s="24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流血",$B$21,0))*(1+$BR14)</f>
        <v>36231.3747316198</v>
      </c>
      <c r="O14" s="24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流血",$B$21,0))*(1+$BR14)</f>
        <v>15854.5460077395</v>
      </c>
      <c r="P14" s="24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流血",$B$21,0))*(1+$BR14)</f>
        <v>8059.36960580545</v>
      </c>
      <c r="Q14" s="31">
        <v>1</v>
      </c>
      <c r="R14" s="32" t="s">
        <v>124</v>
      </c>
      <c r="S14" s="32" t="s">
        <v>87</v>
      </c>
      <c r="T14" s="32" t="s">
        <v>104</v>
      </c>
      <c r="U14" s="32" t="s">
        <v>73</v>
      </c>
      <c r="V14" s="32" t="s">
        <v>73</v>
      </c>
      <c r="W14" s="32" t="s">
        <v>111</v>
      </c>
      <c r="X14" s="32" t="s">
        <v>116</v>
      </c>
      <c r="Y14" s="32" t="s">
        <v>73</v>
      </c>
      <c r="Z14" s="32" t="s">
        <v>73</v>
      </c>
      <c r="AA14" s="32" t="s">
        <v>81</v>
      </c>
      <c r="AB14" s="32" t="s">
        <v>75</v>
      </c>
      <c r="AC14" s="32" t="s">
        <v>89</v>
      </c>
      <c r="AD14" s="32" t="s">
        <v>82</v>
      </c>
      <c r="AE14" s="32" t="s">
        <v>90</v>
      </c>
      <c r="AF14" s="32" t="s">
        <v>73</v>
      </c>
      <c r="AG14" s="32" t="s">
        <v>117</v>
      </c>
      <c r="AH14" t="str">
        <f>VLOOKUP($R14,武学奇术!$A:$ZZ,25,FALSE)</f>
        <v>剑</v>
      </c>
      <c r="AI14" s="21">
        <f>VLOOKUP($R14,武学奇术!$A:$ZZ,26,FALSE)</f>
        <v>0.94015</v>
      </c>
      <c r="AJ14" s="22">
        <f>VLOOKUP($R14,武学奇术!$A:$ZZ,27,FALSE)*(1+IF(OR($AH14=$F$4,$AH14=$F$5),$B$22,0))</f>
        <v>390</v>
      </c>
      <c r="AK14" s="21">
        <f>VLOOKUP($R14,武学奇术!$A:$ZZ,28,FALSE)</f>
        <v>1.41025</v>
      </c>
      <c r="AL14" s="22">
        <f>VLOOKUP($R14,武学奇术!$A:$ZZ,29,FALSE)*(1+IF(OR($AH14=$F$4,$AH14=$F$5),$B$22,0))</f>
        <v>212.25</v>
      </c>
      <c r="AM14" s="21" cm="1">
        <f t="array" ref="AM14">$G$3+IFERROR(VLOOKUP($AH14,$F$4:$G$7,2,FALSE),0)+VLOOKUP($R14,武学奇术!$A:$ZZ,2,FALSE)+SUM(_xlfn.XLOOKUP($S14:$AG14,增益!$A:$A,增益!$B:$B,0))</f>
        <v>0.8691</v>
      </c>
      <c r="AN14" s="21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1825.28</v>
      </c>
      <c r="AP14" cm="1">
        <f t="array" ref="AP14">$E$10*(1+$AN14)+VLOOKUP($R14,武学奇术!$A:$ZZ,4,FALSE)+SUM(_xlfn.XLOOKUP($S14:$AG14,增益!$A:$A,增益!$D:$D,0))-$I$2</f>
        <v>7757.36</v>
      </c>
      <c r="AQ14" s="26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0.234</v>
      </c>
      <c r="AR14" s="26" cm="1">
        <f t="array" ref="AR14">$G$10+VLOOKUP($R14,武学奇术!$A:$ZZ,7,FALSE)+SUM(_xlfn.XLOOKUP(S14:AG14,增益!$A:$A,增益!$G:$G,0))</f>
        <v>0</v>
      </c>
      <c r="AS14" s="21" cm="1">
        <f t="array" ref="AS14">VLOOKUP($R14,武学奇术!$A:$ZZ,8,FALSE)+SUM(_xlfn.XLOOKUP(S14:AG14,增益!$A:$A,增益!$H:$H,0))</f>
        <v>0</v>
      </c>
      <c r="AT14">
        <f t="shared" si="1"/>
        <v>680.02</v>
      </c>
      <c r="AU14">
        <f t="shared" si="2"/>
        <v>1288.54</v>
      </c>
      <c r="AV14" s="26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</v>
      </c>
      <c r="AW14" s="26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26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26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26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26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26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26" cm="1">
        <f t="array" ref="BI14">$G$14+VLOOKUP($R14,武学奇术!$A:$ZZ,16,FALSE)+SUM(_xlfn.XLOOKUP(S14:AG14,增益!$A:$A,增益!$P:$P,0))</f>
        <v>0</v>
      </c>
      <c r="BJ14" s="21">
        <f>MIN(IF(VLOOKUP($R14,武学奇术!$A:$ZZ,23,FALSE)=1,100%,$B$8),100%)</f>
        <v>0.8229</v>
      </c>
      <c r="BK14" s="21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0.2285</v>
      </c>
      <c r="BL14" s="21" cm="1">
        <f t="array" ref="BL14">1+$B$13+VLOOKUP($R14,武学奇术!$A:$ZZ,18,FALSE)+SUM(_xlfn.XLOOKUP(S14:AG14,增益!$A:$A,增益!$R:$R,0))</f>
        <v>1.5</v>
      </c>
      <c r="BM14" s="21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0.4495</v>
      </c>
      <c r="BN14" s="21" cm="1">
        <f t="array" ref="BN14">1+$B$14+VLOOKUP($R14,武学奇术!$A:$ZZ,20,FALSE)+SUM(_xlfn.XLOOKUP(S14:AG14,增益!$A:$A,增益!$T:$T,0))</f>
        <v>1.532</v>
      </c>
      <c r="BO14" s="21">
        <f t="shared" si="9"/>
        <v>0.18803265</v>
      </c>
      <c r="BP14" s="21">
        <f t="shared" si="10"/>
        <v>0.2649738</v>
      </c>
      <c r="BQ14" s="21">
        <f>IF(VLOOKUP($R14,武学奇术!$A:$ZZ,22,FALSE)=1,0,(1-$BJ14))*(1-$BM14)</f>
        <v>0.09749355</v>
      </c>
      <c r="BR14" s="21" cm="1">
        <f t="array" ref="BR14">SUM(_xlfn.XLOOKUP(S14:AG14,增益!$A:$A,增益!$W:$W,0))+$I$5</f>
        <v>0.06</v>
      </c>
    </row>
    <row r="15" ht="14.25" spans="1:70">
      <c r="A15" s="33" t="s">
        <v>125</v>
      </c>
      <c r="B15" s="58">
        <f>期望!B15</f>
        <v>0.0847</v>
      </c>
      <c r="C15" s="31" t="s">
        <v>126</v>
      </c>
      <c r="D15" s="31"/>
      <c r="F15" s="68"/>
      <c r="H15" s="69"/>
      <c r="I15" s="64"/>
      <c r="J15" s="65"/>
      <c r="K15" s="24">
        <f>$L15*VLOOKUP($R15,武学奇术!$A:$ZZ,31,FALSE)</f>
        <v>32770.6924911427</v>
      </c>
      <c r="L15" s="24">
        <f t="shared" si="0"/>
        <v>32770.6924911427</v>
      </c>
      <c r="M15" s="2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流血",$B$21,0))*(1+$BR15)</f>
        <v>30142.3637542499</v>
      </c>
      <c r="N15" s="24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流血",$B$21,0))*(1+$BR15)</f>
        <v>46236.721095302</v>
      </c>
      <c r="O15" s="24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流血",$B$21,0))*(1+$BR15)</f>
        <v>20094.9091694999</v>
      </c>
      <c r="P15" s="24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流血",$B$21,0))*(1+$BR15)</f>
        <v>10204.9149049518</v>
      </c>
      <c r="Q15" s="31">
        <v>1</v>
      </c>
      <c r="R15" s="32" t="s">
        <v>86</v>
      </c>
      <c r="S15" s="32" t="s">
        <v>87</v>
      </c>
      <c r="T15" s="32" t="s">
        <v>104</v>
      </c>
      <c r="U15" s="32" t="s">
        <v>73</v>
      </c>
      <c r="V15" s="32" t="s">
        <v>73</v>
      </c>
      <c r="W15" s="32" t="s">
        <v>111</v>
      </c>
      <c r="X15" s="32" t="s">
        <v>127</v>
      </c>
      <c r="Y15" s="32" t="s">
        <v>73</v>
      </c>
      <c r="Z15" s="32" t="s">
        <v>73</v>
      </c>
      <c r="AA15" s="32" t="s">
        <v>81</v>
      </c>
      <c r="AB15" s="32" t="s">
        <v>75</v>
      </c>
      <c r="AC15" s="32" t="s">
        <v>76</v>
      </c>
      <c r="AD15" s="32" t="s">
        <v>82</v>
      </c>
      <c r="AE15" s="32" t="s">
        <v>90</v>
      </c>
      <c r="AF15" s="32" t="s">
        <v>73</v>
      </c>
      <c r="AG15" s="32" t="s">
        <v>128</v>
      </c>
      <c r="AH15" t="str">
        <f>VLOOKUP($R15,武学奇术!$A:$ZZ,25,FALSE)</f>
        <v>剑</v>
      </c>
      <c r="AI15" s="21">
        <f>VLOOKUP($R15,武学奇术!$A:$ZZ,26,FALSE)</f>
        <v>1.1781</v>
      </c>
      <c r="AJ15" s="22">
        <f>VLOOKUP($R15,武学奇术!$A:$ZZ,27,FALSE)*(1+IF(OR($AH15=$F$4,$AH15=$F$5),$B$22,0))</f>
        <v>489</v>
      </c>
      <c r="AK15" s="21">
        <f>VLOOKUP($R15,武学奇术!$A:$ZZ,28,FALSE)</f>
        <v>1.7672</v>
      </c>
      <c r="AL15" s="22">
        <f>VLOOKUP($R15,武学奇术!$A:$ZZ,29,FALSE)*(1+IF(OR($AH15=$F$4,$AH15=$F$5),$B$22,0))</f>
        <v>265.5</v>
      </c>
      <c r="AM15" s="21" cm="1">
        <f t="array" ref="AM15">$G$3+IFERROR(VLOOKUP($AH15,$F$4:$G$7,2,FALSE),0)+VLOOKUP($R15,武学奇术!$A:$ZZ,2,FALSE)+SUM(_xlfn.XLOOKUP($S15:$AG15,增益!$A:$A,增益!$B:$B,0))</f>
        <v>0.8791</v>
      </c>
      <c r="AN15" s="21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1825.28</v>
      </c>
      <c r="AP15" cm="1">
        <f t="array" ref="AP15">$E$10*(1+$AN15)+VLOOKUP($R15,武学奇术!$A:$ZZ,4,FALSE)+SUM(_xlfn.XLOOKUP($S15:$AG15,增益!$A:$A,增益!$D:$D,0))-$I$2</f>
        <v>7757.36</v>
      </c>
      <c r="AQ15" s="26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0.244</v>
      </c>
      <c r="AR15" s="26" cm="1">
        <f t="array" ref="AR15">$G$10+VLOOKUP($R15,武学奇术!$A:$ZZ,7,FALSE)+SUM(_xlfn.XLOOKUP(S15:AG15,增益!$A:$A,增益!$G:$G,0))</f>
        <v>0</v>
      </c>
      <c r="AS15" s="21" cm="1">
        <f t="array" ref="AS15">VLOOKUP($R15,武学奇术!$A:$ZZ,8,FALSE)+SUM(_xlfn.XLOOKUP(S15:AG15,增益!$A:$A,增益!$H:$H,0))</f>
        <v>0</v>
      </c>
      <c r="AT15">
        <f t="shared" si="1"/>
        <v>680.02</v>
      </c>
      <c r="AU15">
        <f t="shared" si="2"/>
        <v>1288.54</v>
      </c>
      <c r="AV15" s="26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</v>
      </c>
      <c r="AW15" s="26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26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26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26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26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26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26" cm="1">
        <f t="array" ref="BI15">$G$14+VLOOKUP($R15,武学奇术!$A:$ZZ,16,FALSE)+SUM(_xlfn.XLOOKUP(S15:AG15,增益!$A:$A,增益!$P:$P,0))</f>
        <v>0</v>
      </c>
      <c r="BJ15" s="21">
        <f>MIN(IF(VLOOKUP($R15,武学奇术!$A:$ZZ,23,FALSE)=1,100%,$B$8),100%)</f>
        <v>0.8229</v>
      </c>
      <c r="BK15" s="21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0.2285</v>
      </c>
      <c r="BL15" s="21" cm="1">
        <f t="array" ref="BL15">1+$B$13+VLOOKUP($R15,武学奇术!$A:$ZZ,18,FALSE)+SUM(_xlfn.XLOOKUP(S15:AG15,增益!$A:$A,增益!$R:$R,0))</f>
        <v>1.5</v>
      </c>
      <c r="BM15" s="21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0.4495</v>
      </c>
      <c r="BN15" s="21" cm="1">
        <f t="array" ref="BN15">1+$B$14+VLOOKUP($R15,武学奇术!$A:$ZZ,20,FALSE)+SUM(_xlfn.XLOOKUP(S15:AG15,增益!$A:$A,增益!$T:$T,0))</f>
        <v>1.542</v>
      </c>
      <c r="BO15" s="21">
        <f t="shared" si="9"/>
        <v>0.18803265</v>
      </c>
      <c r="BP15" s="21">
        <f t="shared" si="10"/>
        <v>0.2649738</v>
      </c>
      <c r="BQ15" s="21">
        <f>IF(VLOOKUP($R15,武学奇术!$A:$ZZ,22,FALSE)=1,0,(1-$BJ15))*(1-$BM15)</f>
        <v>0.09749355</v>
      </c>
      <c r="BR15" s="21" cm="1">
        <f t="array" ref="BR15">SUM(_xlfn.XLOOKUP(S15:AG15,增益!$A:$A,增益!$W:$W,0))+$I$5</f>
        <v>0.06</v>
      </c>
    </row>
    <row r="16" spans="1:70">
      <c r="A16" s="33" t="s">
        <v>129</v>
      </c>
      <c r="B16" s="58">
        <f>期望!B16</f>
        <v>0.0892</v>
      </c>
      <c r="C16" s="31" t="s">
        <v>130</v>
      </c>
      <c r="D16" s="68" t="s">
        <v>136</v>
      </c>
      <c r="E16" s="31" t="s">
        <v>132</v>
      </c>
      <c r="F16" s="68" t="s">
        <v>131</v>
      </c>
      <c r="H16" s="56"/>
      <c r="I16" s="70"/>
      <c r="J16" s="71"/>
      <c r="K16" s="24">
        <f>$L16*VLOOKUP($R16,武学奇术!$A:$ZZ,31,FALSE)</f>
        <v>81109.8548426975</v>
      </c>
      <c r="L16" s="24">
        <f t="shared" si="0"/>
        <v>135183.091404496</v>
      </c>
      <c r="M16" s="2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流血",$B$21,0))*(1+$BR16)</f>
        <v>113257.891808962</v>
      </c>
      <c r="N16" s="24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流血",$B$21,0))*(1+$BR16)</f>
        <v>201478.134368221</v>
      </c>
      <c r="O16" s="24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流血",$B$21,0))*(1+$BR16)</f>
        <v>75505.2612059748</v>
      </c>
      <c r="P16" s="24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流血",$B$21,0))*(1+$BR16)</f>
        <v>34008.1215012524</v>
      </c>
      <c r="Q16" s="31">
        <v>1</v>
      </c>
      <c r="R16" s="32" t="s">
        <v>95</v>
      </c>
      <c r="S16" s="32" t="s">
        <v>87</v>
      </c>
      <c r="T16" s="32" t="s">
        <v>96</v>
      </c>
      <c r="U16" s="32" t="s">
        <v>97</v>
      </c>
      <c r="V16" s="32" t="s">
        <v>98</v>
      </c>
      <c r="W16" s="32" t="s">
        <v>111</v>
      </c>
      <c r="X16" s="32" t="s">
        <v>127</v>
      </c>
      <c r="Y16" s="32" t="s">
        <v>73</v>
      </c>
      <c r="Z16" s="32" t="s">
        <v>73</v>
      </c>
      <c r="AA16" s="32" t="s">
        <v>81</v>
      </c>
      <c r="AB16" s="32" t="s">
        <v>75</v>
      </c>
      <c r="AC16" s="32" t="s">
        <v>76</v>
      </c>
      <c r="AD16" s="32" t="s">
        <v>82</v>
      </c>
      <c r="AE16" s="32" t="s">
        <v>90</v>
      </c>
      <c r="AF16" s="32" t="s">
        <v>73</v>
      </c>
      <c r="AG16" s="32" t="s">
        <v>128</v>
      </c>
      <c r="AH16" t="str">
        <f>VLOOKUP($R16,武学奇术!$A:$ZZ,25,FALSE)</f>
        <v>剑</v>
      </c>
      <c r="AI16" s="21">
        <f>VLOOKUP($R16,武学奇术!$A:$ZZ,26,FALSE)</f>
        <v>2.52</v>
      </c>
      <c r="AJ16" s="22">
        <f>VLOOKUP($R16,武学奇术!$A:$ZZ,27,FALSE)*(1+IF(OR($AH16=$F$4,$AH16=$F$5),$B$22,0))</f>
        <v>0</v>
      </c>
      <c r="AK16" s="21">
        <f>VLOOKUP($R16,武学奇术!$A:$ZZ,28,FALSE)</f>
        <v>3.78</v>
      </c>
      <c r="AL16" s="22">
        <f>VLOOKUP($R16,武学奇术!$A:$ZZ,29,FALSE)*(1+IF(OR($AH16=$F$4,$AH16=$F$5),$B$22,0))</f>
        <v>0</v>
      </c>
      <c r="AM16" s="21" cm="1">
        <f t="array" ref="AM16">$G$3+IFERROR(VLOOKUP($AH16,$F$4:$G$7,2,FALSE),0)+VLOOKUP($R16,武学奇术!$A:$ZZ,2,FALSE)+SUM(_xlfn.XLOOKUP($S16:$AG16,增益!$A:$A,增益!$B:$B,0))</f>
        <v>1.6291</v>
      </c>
      <c r="AN16" s="21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1825.28</v>
      </c>
      <c r="AP16" cm="1">
        <f t="array" ref="AP16">$E$10*(1+$AN16)+VLOOKUP($R16,武学奇术!$A:$ZZ,4,FALSE)+SUM(_xlfn.XLOOKUP($S16:$AG16,增益!$A:$A,增益!$D:$D,0))-$I$2</f>
        <v>7757.36</v>
      </c>
      <c r="AQ16" s="26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0.319</v>
      </c>
      <c r="AR16" s="26" cm="1">
        <f t="array" ref="AR16">$G$10+VLOOKUP($R16,武学奇术!$A:$ZZ,7,FALSE)+SUM(_xlfn.XLOOKUP(S16:AG16,增益!$A:$A,增益!$G:$G,0))</f>
        <v>0</v>
      </c>
      <c r="AS16" s="21" cm="1">
        <f t="array" ref="AS16">VLOOKUP($R16,武学奇术!$A:$ZZ,8,FALSE)+SUM(_xlfn.XLOOKUP(S16:AG16,增益!$A:$A,增益!$H:$H,0))</f>
        <v>0</v>
      </c>
      <c r="AT16">
        <f t="shared" si="1"/>
        <v>680.02</v>
      </c>
      <c r="AU16">
        <f t="shared" si="2"/>
        <v>1288.54</v>
      </c>
      <c r="AV16" s="26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0.075</v>
      </c>
      <c r="AW16" s="26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26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26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26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26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26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26" cm="1">
        <f t="array" ref="BI16">$G$14+VLOOKUP($R16,武学奇术!$A:$ZZ,16,FALSE)+SUM(_xlfn.XLOOKUP(S16:AG16,增益!$A:$A,增益!$P:$P,0))</f>
        <v>0</v>
      </c>
      <c r="BJ16" s="21">
        <f>MIN(IF(VLOOKUP($R16,武学奇术!$A:$ZZ,23,FALSE)=1,100%,$B$8),100%)</f>
        <v>0.8229</v>
      </c>
      <c r="BK16" s="21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0.2285</v>
      </c>
      <c r="BL16" s="21" cm="1">
        <f t="array" ref="BL16">1+$B$13+VLOOKUP($R16,武学奇术!$A:$ZZ,18,FALSE)+SUM(_xlfn.XLOOKUP(S16:AG16,增益!$A:$A,增益!$R:$R,0))</f>
        <v>1.5</v>
      </c>
      <c r="BM16" s="21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0.4495</v>
      </c>
      <c r="BN16" s="21" cm="1">
        <f t="array" ref="BN16">1+$B$14+VLOOKUP($R16,武学奇术!$A:$ZZ,20,FALSE)+SUM(_xlfn.XLOOKUP(S16:AG16,增益!$A:$A,增益!$T:$T,0))</f>
        <v>1.722</v>
      </c>
      <c r="BO16" s="21">
        <f t="shared" si="9"/>
        <v>0.18803265</v>
      </c>
      <c r="BP16" s="21">
        <f t="shared" si="10"/>
        <v>0.2649738</v>
      </c>
      <c r="BQ16" s="21">
        <f>IF(VLOOKUP($R16,武学奇术!$A:$ZZ,22,FALSE)=1,0,(1-$BJ16))*(1-$BM16)</f>
        <v>0.09749355</v>
      </c>
      <c r="BR16" s="21" cm="1">
        <f t="array" ref="BR16">SUM(_xlfn.XLOOKUP(S16:AG16,增益!$A:$A,增益!$W:$W,0))+$I$5</f>
        <v>0.06</v>
      </c>
    </row>
    <row r="17" ht="14.25" spans="1:70">
      <c r="A17" s="33" t="s">
        <v>134</v>
      </c>
      <c r="B17" s="58">
        <f>期望!B17</f>
        <v>0.0852</v>
      </c>
      <c r="C17" s="31" t="s">
        <v>135</v>
      </c>
      <c r="D17" s="68" t="s">
        <v>136</v>
      </c>
      <c r="E17" s="31" t="s">
        <v>137</v>
      </c>
      <c r="F17" s="68" t="s">
        <v>136</v>
      </c>
      <c r="H17" s="59"/>
      <c r="I17" s="72"/>
      <c r="J17" s="73"/>
      <c r="K17" s="24">
        <f>$L17*VLOOKUP($R17,武学奇术!$A:$ZZ,31,FALSE)</f>
        <v>81109.8548426975</v>
      </c>
      <c r="L17" s="24">
        <f t="shared" si="0"/>
        <v>135183.091404496</v>
      </c>
      <c r="M17" s="2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流血",$B$21,0))*(1+$BR17)</f>
        <v>113257.891808962</v>
      </c>
      <c r="N17" s="24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流血",$B$21,0))*(1+$BR17)</f>
        <v>201478.134368221</v>
      </c>
      <c r="O17" s="24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流血",$B$21,0))*(1+$BR17)</f>
        <v>75505.2612059748</v>
      </c>
      <c r="P17" s="24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流血",$B$21,0))*(1+$BR17)</f>
        <v>34008.1215012524</v>
      </c>
      <c r="Q17" s="31">
        <v>1</v>
      </c>
      <c r="R17" s="32" t="s">
        <v>95</v>
      </c>
      <c r="S17" s="32" t="s">
        <v>87</v>
      </c>
      <c r="T17" s="32" t="s">
        <v>96</v>
      </c>
      <c r="U17" s="32" t="s">
        <v>97</v>
      </c>
      <c r="V17" s="32" t="s">
        <v>98</v>
      </c>
      <c r="W17" s="32" t="s">
        <v>111</v>
      </c>
      <c r="X17" s="32" t="s">
        <v>127</v>
      </c>
      <c r="Y17" s="32" t="s">
        <v>73</v>
      </c>
      <c r="Z17" s="32" t="s">
        <v>73</v>
      </c>
      <c r="AA17" s="32" t="s">
        <v>81</v>
      </c>
      <c r="AB17" s="32" t="s">
        <v>75</v>
      </c>
      <c r="AC17" s="32" t="s">
        <v>76</v>
      </c>
      <c r="AD17" s="32" t="s">
        <v>82</v>
      </c>
      <c r="AE17" s="32" t="s">
        <v>90</v>
      </c>
      <c r="AF17" s="32" t="s">
        <v>73</v>
      </c>
      <c r="AG17" s="32" t="s">
        <v>128</v>
      </c>
      <c r="AH17" t="str">
        <f>VLOOKUP($R17,武学奇术!$A:$ZZ,25,FALSE)</f>
        <v>剑</v>
      </c>
      <c r="AI17" s="21">
        <f>VLOOKUP($R17,武学奇术!$A:$ZZ,26,FALSE)</f>
        <v>2.52</v>
      </c>
      <c r="AJ17" s="22">
        <f>VLOOKUP($R17,武学奇术!$A:$ZZ,27,FALSE)*(1+IF(OR($AH17=$F$4,$AH17=$F$5),$B$22,0))</f>
        <v>0</v>
      </c>
      <c r="AK17" s="21">
        <f>VLOOKUP($R17,武学奇术!$A:$ZZ,28,FALSE)</f>
        <v>3.78</v>
      </c>
      <c r="AL17" s="22">
        <f>VLOOKUP($R17,武学奇术!$A:$ZZ,29,FALSE)*(1+IF(OR($AH17=$F$4,$AH17=$F$5),$B$22,0))</f>
        <v>0</v>
      </c>
      <c r="AM17" s="21" cm="1">
        <f t="array" ref="AM17">$G$3+IFERROR(VLOOKUP($AH17,$F$4:$G$7,2,FALSE),0)+VLOOKUP($R17,武学奇术!$A:$ZZ,2,FALSE)+SUM(_xlfn.XLOOKUP($S17:$AG17,增益!$A:$A,增益!$B:$B,0))</f>
        <v>1.6291</v>
      </c>
      <c r="AN17" s="21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1825.28</v>
      </c>
      <c r="AP17" cm="1">
        <f t="array" ref="AP17">$E$10*(1+$AN17)+VLOOKUP($R17,武学奇术!$A:$ZZ,4,FALSE)+SUM(_xlfn.XLOOKUP($S17:$AG17,增益!$A:$A,增益!$D:$D,0))-$I$2</f>
        <v>7757.36</v>
      </c>
      <c r="AQ17" s="26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0.319</v>
      </c>
      <c r="AR17" s="26" cm="1">
        <f t="array" ref="AR17">$G$10+VLOOKUP($R17,武学奇术!$A:$ZZ,7,FALSE)+SUM(_xlfn.XLOOKUP(S17:AG17,增益!$A:$A,增益!$G:$G,0))</f>
        <v>0</v>
      </c>
      <c r="AS17" s="21" cm="1">
        <f t="array" ref="AS17">VLOOKUP($R17,武学奇术!$A:$ZZ,8,FALSE)+SUM(_xlfn.XLOOKUP(S17:AG17,增益!$A:$A,增益!$H:$H,0))</f>
        <v>0</v>
      </c>
      <c r="AT17">
        <f t="shared" si="1"/>
        <v>680.02</v>
      </c>
      <c r="AU17">
        <f t="shared" si="2"/>
        <v>1288.54</v>
      </c>
      <c r="AV17" s="26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0.075</v>
      </c>
      <c r="AW17" s="26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26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26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26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26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26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26" cm="1">
        <f t="array" ref="BI17">$G$14+VLOOKUP($R17,武学奇术!$A:$ZZ,16,FALSE)+SUM(_xlfn.XLOOKUP(S17:AG17,增益!$A:$A,增益!$P:$P,0))</f>
        <v>0</v>
      </c>
      <c r="BJ17" s="21">
        <f>MIN(IF(VLOOKUP($R17,武学奇术!$A:$ZZ,23,FALSE)=1,100%,$B$8),100%)</f>
        <v>0.8229</v>
      </c>
      <c r="BK17" s="21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0.2285</v>
      </c>
      <c r="BL17" s="21" cm="1">
        <f t="array" ref="BL17">1+$B$13+VLOOKUP($R17,武学奇术!$A:$ZZ,18,FALSE)+SUM(_xlfn.XLOOKUP(S17:AG17,增益!$A:$A,增益!$R:$R,0))</f>
        <v>1.5</v>
      </c>
      <c r="BM17" s="21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0.4495</v>
      </c>
      <c r="BN17" s="21" cm="1">
        <f t="array" ref="BN17">1+$B$14+VLOOKUP($R17,武学奇术!$A:$ZZ,20,FALSE)+SUM(_xlfn.XLOOKUP(S17:AG17,增益!$A:$A,增益!$T:$T,0))</f>
        <v>1.722</v>
      </c>
      <c r="BO17" s="21">
        <f t="shared" si="9"/>
        <v>0.18803265</v>
      </c>
      <c r="BP17" s="21">
        <f t="shared" si="10"/>
        <v>0.2649738</v>
      </c>
      <c r="BQ17" s="21">
        <f>IF(VLOOKUP($R17,武学奇术!$A:$ZZ,22,FALSE)=1,0,(1-$BJ17))*(1-$BM17)</f>
        <v>0.09749355</v>
      </c>
      <c r="BR17" s="21" cm="1">
        <f t="array" ref="BR17">SUM(_xlfn.XLOOKUP(S17:AG17,增益!$A:$A,增益!$W:$W,0))+$I$5</f>
        <v>0.06</v>
      </c>
    </row>
    <row r="18" spans="1:70">
      <c r="A18" s="33" t="s">
        <v>138</v>
      </c>
      <c r="B18" s="58">
        <f>期望!B18</f>
        <v>0</v>
      </c>
      <c r="C18" s="31" t="s">
        <v>139</v>
      </c>
      <c r="D18" s="68" t="s">
        <v>136</v>
      </c>
      <c r="H18" s="30" t="s">
        <v>140</v>
      </c>
      <c r="I18" s="70">
        <f>SUM(K:K)/SUM(L:L)</f>
        <v>0.700413441721854</v>
      </c>
      <c r="J18" s="71"/>
      <c r="K18" s="24">
        <f>$L18*VLOOKUP($R18,武学奇术!$A:$ZZ,31,FALSE)</f>
        <v>26152.6423756624</v>
      </c>
      <c r="L18" s="24">
        <f t="shared" si="0"/>
        <v>26152.6423756624</v>
      </c>
      <c r="M18" s="2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流血",$B$21,0))*(1+$BR18)</f>
        <v>24055.2938826464</v>
      </c>
      <c r="N18" s="24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流血",$B$21,0))*(1+$BR18)</f>
        <v>36898.9614357675</v>
      </c>
      <c r="O18" s="24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流血",$B$21,0))*(1+$BR18)</f>
        <v>16036.8625884309</v>
      </c>
      <c r="P18" s="24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流血",$B$21,0))*(1+$BR18)</f>
        <v>8144.43760502823</v>
      </c>
      <c r="Q18" s="31">
        <v>1</v>
      </c>
      <c r="R18" s="32" t="s">
        <v>124</v>
      </c>
      <c r="S18" s="32" t="s">
        <v>87</v>
      </c>
      <c r="T18" s="32" t="s">
        <v>104</v>
      </c>
      <c r="U18" s="32" t="s">
        <v>73</v>
      </c>
      <c r="V18" s="32" t="s">
        <v>73</v>
      </c>
      <c r="W18" s="32" t="s">
        <v>111</v>
      </c>
      <c r="X18" s="32" t="s">
        <v>127</v>
      </c>
      <c r="Y18" s="32" t="s">
        <v>73</v>
      </c>
      <c r="Z18" s="32" t="s">
        <v>73</v>
      </c>
      <c r="AA18" s="32" t="s">
        <v>81</v>
      </c>
      <c r="AB18" s="32" t="s">
        <v>75</v>
      </c>
      <c r="AC18" s="32" t="s">
        <v>76</v>
      </c>
      <c r="AD18" s="32" t="s">
        <v>82</v>
      </c>
      <c r="AE18" s="32" t="s">
        <v>90</v>
      </c>
      <c r="AF18" s="32" t="s">
        <v>73</v>
      </c>
      <c r="AG18" s="32" t="s">
        <v>128</v>
      </c>
      <c r="AH18" t="str">
        <f>VLOOKUP($R18,武学奇术!$A:$ZZ,25,FALSE)</f>
        <v>剑</v>
      </c>
      <c r="AI18" s="21">
        <f>VLOOKUP($R18,武学奇术!$A:$ZZ,26,FALSE)</f>
        <v>0.94015</v>
      </c>
      <c r="AJ18" s="22">
        <f>VLOOKUP($R18,武学奇术!$A:$ZZ,27,FALSE)*(1+IF(OR($AH18=$F$4,$AH18=$F$5),$B$22,0))</f>
        <v>390</v>
      </c>
      <c r="AK18" s="21">
        <f>VLOOKUP($R18,武学奇术!$A:$ZZ,28,FALSE)</f>
        <v>1.41025</v>
      </c>
      <c r="AL18" s="22">
        <f>VLOOKUP($R18,武学奇术!$A:$ZZ,29,FALSE)*(1+IF(OR($AH18=$F$4,$AH18=$F$5),$B$22,0))</f>
        <v>212.25</v>
      </c>
      <c r="AM18" s="21" cm="1">
        <f t="array" ref="AM18">$G$3+IFERROR(VLOOKUP($AH18,$F$4:$G$7,2,FALSE),0)+VLOOKUP($R18,武学奇术!$A:$ZZ,2,FALSE)+SUM(_xlfn.XLOOKUP($S18:$AG18,增益!$A:$A,增益!$B:$B,0))</f>
        <v>0.8791</v>
      </c>
      <c r="AN18" s="21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1825.28</v>
      </c>
      <c r="AP18" cm="1">
        <f t="array" ref="AP18">$E$10*(1+$AN18)+VLOOKUP($R18,武学奇术!$A:$ZZ,4,FALSE)+SUM(_xlfn.XLOOKUP($S18:$AG18,增益!$A:$A,增益!$D:$D,0))-$I$2</f>
        <v>7757.36</v>
      </c>
      <c r="AQ18" s="26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0.244</v>
      </c>
      <c r="AR18" s="26" cm="1">
        <f t="array" ref="AR18">$G$10+VLOOKUP($R18,武学奇术!$A:$ZZ,7,FALSE)+SUM(_xlfn.XLOOKUP(S18:AG18,增益!$A:$A,增益!$G:$G,0))</f>
        <v>0</v>
      </c>
      <c r="AS18" s="21" cm="1">
        <f t="array" ref="AS18">VLOOKUP($R18,武学奇术!$A:$ZZ,8,FALSE)+SUM(_xlfn.XLOOKUP(S18:AG18,增益!$A:$A,增益!$H:$H,0))</f>
        <v>0</v>
      </c>
      <c r="AT18">
        <f t="shared" si="1"/>
        <v>680.02</v>
      </c>
      <c r="AU18">
        <f t="shared" si="2"/>
        <v>1288.54</v>
      </c>
      <c r="AV18" s="26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</v>
      </c>
      <c r="AW18" s="26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26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26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26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26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26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26" cm="1">
        <f t="array" ref="BI18">$G$14+VLOOKUP($R18,武学奇术!$A:$ZZ,16,FALSE)+SUM(_xlfn.XLOOKUP(S18:AG18,增益!$A:$A,增益!$P:$P,0))</f>
        <v>0</v>
      </c>
      <c r="BJ18" s="21">
        <f>MIN(IF(VLOOKUP($R18,武学奇术!$A:$ZZ,23,FALSE)=1,100%,$B$8),100%)</f>
        <v>0.8229</v>
      </c>
      <c r="BK18" s="21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0.2285</v>
      </c>
      <c r="BL18" s="21" cm="1">
        <f t="array" ref="BL18">1+$B$13+VLOOKUP($R18,武学奇术!$A:$ZZ,18,FALSE)+SUM(_xlfn.XLOOKUP(S18:AG18,增益!$A:$A,增益!$R:$R,0))</f>
        <v>1.5</v>
      </c>
      <c r="BM18" s="21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0.4495</v>
      </c>
      <c r="BN18" s="21" cm="1">
        <f t="array" ref="BN18">1+$B$14+VLOOKUP($R18,武学奇术!$A:$ZZ,20,FALSE)+SUM(_xlfn.XLOOKUP(S18:AG18,增益!$A:$A,增益!$T:$T,0))</f>
        <v>1.542</v>
      </c>
      <c r="BO18" s="21">
        <f t="shared" si="9"/>
        <v>0.18803265</v>
      </c>
      <c r="BP18" s="21">
        <f t="shared" si="10"/>
        <v>0.2649738</v>
      </c>
      <c r="BQ18" s="21">
        <f>IF(VLOOKUP($R18,武学奇术!$A:$ZZ,22,FALSE)=1,0,(1-$BJ18))*(1-$BM18)</f>
        <v>0.09749355</v>
      </c>
      <c r="BR18" s="21" cm="1">
        <f t="array" ref="BR18">SUM(_xlfn.XLOOKUP(S18:AG18,增益!$A:$A,增益!$W:$W,0))+$I$5</f>
        <v>0.06</v>
      </c>
    </row>
    <row r="19" ht="14.25" spans="1:70">
      <c r="A19" s="33" t="s">
        <v>141</v>
      </c>
      <c r="B19" s="58">
        <f>期望!B19</f>
        <v>0.1338</v>
      </c>
      <c r="C19" s="31" t="s">
        <v>142</v>
      </c>
      <c r="D19" s="68" t="s">
        <v>136</v>
      </c>
      <c r="H19" s="69"/>
      <c r="I19" s="72"/>
      <c r="J19" s="73"/>
      <c r="K19" s="24">
        <f>$L19*VLOOKUP($R19,武学奇术!$A:$ZZ,31,FALSE)</f>
        <v>26258.3753441616</v>
      </c>
      <c r="L19" s="24">
        <f t="shared" si="0"/>
        <v>26258.3753441616</v>
      </c>
      <c r="M19" s="2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流血",$B$21,0))*(1+$BR19)</f>
        <v>23692.4578362717</v>
      </c>
      <c r="N19" s="24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流血",$B$21,0))*(1+$BR19)</f>
        <v>37597.6915526441</v>
      </c>
      <c r="O19" s="24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流血",$B$21,0))*(1+$BR19)</f>
        <v>15794.9718908478</v>
      </c>
      <c r="P19" s="24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流血",$B$21,0))*(1+$BR19)</f>
        <v>7364.62705963115</v>
      </c>
      <c r="Q19" s="31">
        <v>1</v>
      </c>
      <c r="R19" s="32" t="s">
        <v>143</v>
      </c>
      <c r="S19" s="32" t="s">
        <v>87</v>
      </c>
      <c r="T19" s="32" t="s">
        <v>104</v>
      </c>
      <c r="U19" s="32" t="s">
        <v>73</v>
      </c>
      <c r="V19" s="32" t="s">
        <v>73</v>
      </c>
      <c r="W19" s="32" t="s">
        <v>111</v>
      </c>
      <c r="X19" s="32" t="s">
        <v>127</v>
      </c>
      <c r="Y19" s="32" t="s">
        <v>73</v>
      </c>
      <c r="Z19" s="32" t="s">
        <v>73</v>
      </c>
      <c r="AA19" s="32" t="s">
        <v>81</v>
      </c>
      <c r="AB19" s="32" t="s">
        <v>75</v>
      </c>
      <c r="AC19" s="32" t="s">
        <v>76</v>
      </c>
      <c r="AD19" s="32" t="s">
        <v>82</v>
      </c>
      <c r="AE19" s="32" t="s">
        <v>90</v>
      </c>
      <c r="AF19" s="32" t="s">
        <v>73</v>
      </c>
      <c r="AG19" s="32" t="s">
        <v>144</v>
      </c>
      <c r="AH19" t="str">
        <f>VLOOKUP($R19,武学奇术!$A:$ZZ,25,FALSE)</f>
        <v>单体奇术</v>
      </c>
      <c r="AI19" s="21">
        <f>VLOOKUP($R19,武学奇术!$A:$ZZ,26,FALSE)</f>
        <v>1.0239</v>
      </c>
      <c r="AJ19" s="22">
        <f>VLOOKUP($R19,武学奇术!$A:$ZZ,27,FALSE)*(1+IF(OR($AH19=$F$4,$AH19=$F$5),$B$22,0))</f>
        <v>196</v>
      </c>
      <c r="AK19" s="21">
        <f>VLOOKUP($R19,武学奇术!$A:$ZZ,28,FALSE)</f>
        <v>1.53585</v>
      </c>
      <c r="AL19" s="22">
        <f>VLOOKUP($R19,武学奇术!$A:$ZZ,29,FALSE)*(1+IF(OR($AH19=$F$4,$AH19=$F$5),$B$22,0))</f>
        <v>0</v>
      </c>
      <c r="AM19" s="21" cm="1">
        <f t="array" ref="AM19">$G$3+IFERROR(VLOOKUP($AH19,$F$4:$G$7,2,FALSE),0)+VLOOKUP($R19,武学奇术!$A:$ZZ,2,FALSE)+SUM(_xlfn.XLOOKUP($S19:$AG19,增益!$A:$A,增益!$B:$B,0))</f>
        <v>0.843</v>
      </c>
      <c r="AN19" s="21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1825.28</v>
      </c>
      <c r="AP19" cm="1">
        <f t="array" ref="AP19">$E$10*(1+$AN19)+VLOOKUP($R19,武学奇术!$A:$ZZ,4,FALSE)+SUM(_xlfn.XLOOKUP($S19:$AG19,增益!$A:$A,增益!$D:$D,0))-$I$2</f>
        <v>7757.36</v>
      </c>
      <c r="AQ19" s="26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0.244</v>
      </c>
      <c r="AR19" s="26" cm="1">
        <f t="array" ref="AR19">$G$10+VLOOKUP($R19,武学奇术!$A:$ZZ,7,FALSE)+SUM(_xlfn.XLOOKUP(S19:AG19,增益!$A:$A,增益!$G:$G,0))</f>
        <v>0</v>
      </c>
      <c r="AS19" s="21" cm="1">
        <f t="array" ref="AS19">VLOOKUP($R19,武学奇术!$A:$ZZ,8,FALSE)+SUM(_xlfn.XLOOKUP(S19:AG19,增益!$A:$A,增益!$H:$H,0))</f>
        <v>0</v>
      </c>
      <c r="AT19">
        <f t="shared" si="1"/>
        <v>680.02</v>
      </c>
      <c r="AU19">
        <f t="shared" si="2"/>
        <v>1288.54</v>
      </c>
      <c r="AV19" s="26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</v>
      </c>
      <c r="AW19" s="26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26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26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26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26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26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26" cm="1">
        <f t="array" ref="BI19">$G$14+VLOOKUP($R19,武学奇术!$A:$ZZ,16,FALSE)+SUM(_xlfn.XLOOKUP(S19:AG19,增益!$A:$A,增益!$P:$P,0))</f>
        <v>0</v>
      </c>
      <c r="BJ19" s="21">
        <f>MIN(IF(VLOOKUP($R19,武学奇术!$A:$ZZ,23,FALSE)=1,100%,$B$8),100%)</f>
        <v>0.8229</v>
      </c>
      <c r="BK19" s="21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0.2285</v>
      </c>
      <c r="BL19" s="21" cm="1">
        <f t="array" ref="BL19">1+$B$13+VLOOKUP($R19,武学奇术!$A:$ZZ,18,FALSE)+SUM(_xlfn.XLOOKUP(S19:AG19,增益!$A:$A,增益!$R:$R,0))</f>
        <v>1.5</v>
      </c>
      <c r="BM19" s="21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0.4495</v>
      </c>
      <c r="BN19" s="21" cm="1">
        <f t="array" ref="BN19">1+$B$14+VLOOKUP($R19,武学奇术!$A:$ZZ,20,FALSE)+SUM(_xlfn.XLOOKUP(S19:AG19,增益!$A:$A,增益!$T:$T,0))</f>
        <v>1.552</v>
      </c>
      <c r="BO19" s="21">
        <f t="shared" si="9"/>
        <v>0.18803265</v>
      </c>
      <c r="BP19" s="21">
        <f t="shared" si="10"/>
        <v>0.2649738</v>
      </c>
      <c r="BQ19" s="21">
        <f>IF(VLOOKUP($R19,武学奇术!$A:$ZZ,22,FALSE)=1,0,(1-$BJ19))*(1-$BM19)</f>
        <v>0.09749355</v>
      </c>
      <c r="BR19" s="21" cm="1">
        <f t="array" ref="BR19">SUM(_xlfn.XLOOKUP(S19:AG19,增益!$A:$A,增益!$W:$W,0))+$I$5</f>
        <v>0.06</v>
      </c>
    </row>
    <row r="20" spans="1:70">
      <c r="A20" s="33" t="s">
        <v>145</v>
      </c>
      <c r="B20" s="58">
        <f>期望!B20</f>
        <v>0</v>
      </c>
      <c r="K20" s="24">
        <f>$L20*VLOOKUP($R20,武学奇术!$A:$ZZ,31,FALSE)</f>
        <v>41263.518698975</v>
      </c>
      <c r="L20" s="24">
        <f t="shared" si="0"/>
        <v>41263.518698975</v>
      </c>
      <c r="M20" s="2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流血",$B$21,0))*(1+$BR20)</f>
        <v>37231.3257656963</v>
      </c>
      <c r="N20" s="24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流血",$B$21,0))*(1+$BR20)</f>
        <v>59082.6009837822</v>
      </c>
      <c r="O20" s="24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流血",$B$21,0))*(1+$BR20)</f>
        <v>24820.8838437975</v>
      </c>
      <c r="P20" s="24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流血",$B$21,0))*(1+$BR20)</f>
        <v>11573.0814867044</v>
      </c>
      <c r="Q20" s="31">
        <v>1</v>
      </c>
      <c r="R20" s="32" t="s">
        <v>146</v>
      </c>
      <c r="S20" s="32" t="s">
        <v>87</v>
      </c>
      <c r="T20" s="32" t="s">
        <v>104</v>
      </c>
      <c r="U20" s="32" t="s">
        <v>73</v>
      </c>
      <c r="V20" s="32" t="s">
        <v>73</v>
      </c>
      <c r="W20" s="32" t="s">
        <v>111</v>
      </c>
      <c r="X20" s="32" t="s">
        <v>127</v>
      </c>
      <c r="Y20" s="32" t="s">
        <v>73</v>
      </c>
      <c r="Z20" s="32" t="s">
        <v>73</v>
      </c>
      <c r="AA20" s="32" t="s">
        <v>81</v>
      </c>
      <c r="AB20" s="32" t="s">
        <v>75</v>
      </c>
      <c r="AC20" s="32" t="s">
        <v>76</v>
      </c>
      <c r="AD20" s="32" t="s">
        <v>82</v>
      </c>
      <c r="AE20" s="32" t="s">
        <v>90</v>
      </c>
      <c r="AF20" s="32" t="s">
        <v>73</v>
      </c>
      <c r="AG20" s="32" t="s">
        <v>144</v>
      </c>
      <c r="AH20" t="str">
        <f>VLOOKUP($R20,武学奇术!$A:$ZZ,25,FALSE)</f>
        <v>单体奇术</v>
      </c>
      <c r="AI20" s="21">
        <f>VLOOKUP($R20,武学奇术!$A:$ZZ,26,FALSE)</f>
        <v>1.609</v>
      </c>
      <c r="AJ20" s="22">
        <f>VLOOKUP($R20,武学奇术!$A:$ZZ,27,FALSE)*(1+IF(OR($AH20=$F$4,$AH20=$F$5),$B$22,0))</f>
        <v>308</v>
      </c>
      <c r="AK20" s="21">
        <f>VLOOKUP($R20,武学奇术!$A:$ZZ,28,FALSE)</f>
        <v>2.4135</v>
      </c>
      <c r="AL20" s="22">
        <f>VLOOKUP($R20,武学奇术!$A:$ZZ,29,FALSE)*(1+IF(OR($AH20=$F$4,$AH20=$F$5),$B$22,0))</f>
        <v>0</v>
      </c>
      <c r="AM20" s="21" cm="1">
        <f t="array" ref="AM20">$G$3+IFERROR(VLOOKUP($AH20,$F$4:$G$7,2,FALSE),0)+VLOOKUP($R20,武学奇术!$A:$ZZ,2,FALSE)+SUM(_xlfn.XLOOKUP($S20:$AG20,增益!$A:$A,增益!$B:$B,0))</f>
        <v>0.843</v>
      </c>
      <c r="AN20" s="21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1825.28</v>
      </c>
      <c r="AP20" cm="1">
        <f t="array" ref="AP20">$E$10*(1+$AN20)+VLOOKUP($R20,武学奇术!$A:$ZZ,4,FALSE)+SUM(_xlfn.XLOOKUP($S20:$AG20,增益!$A:$A,增益!$D:$D,0))-$I$2</f>
        <v>7757.36</v>
      </c>
      <c r="AQ20" s="26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0.244</v>
      </c>
      <c r="AR20" s="26" cm="1">
        <f t="array" ref="AR20">$G$10+VLOOKUP($R20,武学奇术!$A:$ZZ,7,FALSE)+SUM(_xlfn.XLOOKUP(S20:AG20,增益!$A:$A,增益!$G:$G,0))</f>
        <v>0</v>
      </c>
      <c r="AS20" s="21" cm="1">
        <f t="array" ref="AS20">VLOOKUP($R20,武学奇术!$A:$ZZ,8,FALSE)+SUM(_xlfn.XLOOKUP(S20:AG20,增益!$A:$A,增益!$H:$H,0))</f>
        <v>0</v>
      </c>
      <c r="AT20">
        <f t="shared" si="1"/>
        <v>680.02</v>
      </c>
      <c r="AU20">
        <f t="shared" si="2"/>
        <v>1288.54</v>
      </c>
      <c r="AV20" s="26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</v>
      </c>
      <c r="AW20" s="26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26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26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26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26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26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26" cm="1">
        <f t="array" ref="BI20">$G$14+VLOOKUP($R20,武学奇术!$A:$ZZ,16,FALSE)+SUM(_xlfn.XLOOKUP(S20:AG20,增益!$A:$A,增益!$P:$P,0))</f>
        <v>0</v>
      </c>
      <c r="BJ20" s="21">
        <f>MIN(IF(VLOOKUP($R20,武学奇术!$A:$ZZ,23,FALSE)=1,100%,$B$8),100%)</f>
        <v>0.8229</v>
      </c>
      <c r="BK20" s="21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0.2285</v>
      </c>
      <c r="BL20" s="21" cm="1">
        <f t="array" ref="BL20">1+$B$13+VLOOKUP($R20,武学奇术!$A:$ZZ,18,FALSE)+SUM(_xlfn.XLOOKUP(S20:AG20,增益!$A:$A,增益!$R:$R,0))</f>
        <v>1.5</v>
      </c>
      <c r="BM20" s="21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0.4495</v>
      </c>
      <c r="BN20" s="21" cm="1">
        <f t="array" ref="BN20">1+$B$14+VLOOKUP($R20,武学奇术!$A:$ZZ,20,FALSE)+SUM(_xlfn.XLOOKUP(S20:AG20,增益!$A:$A,增益!$T:$T,0))</f>
        <v>1.552</v>
      </c>
      <c r="BO20" s="21">
        <f t="shared" si="9"/>
        <v>0.18803265</v>
      </c>
      <c r="BP20" s="21">
        <f t="shared" si="10"/>
        <v>0.2649738</v>
      </c>
      <c r="BQ20" s="21">
        <f>IF(VLOOKUP($R20,武学奇术!$A:$ZZ,22,FALSE)=1,0,(1-$BJ20))*(1-$BM20)</f>
        <v>0.09749355</v>
      </c>
      <c r="BR20" s="21" cm="1">
        <f t="array" ref="BR20">SUM(_xlfn.XLOOKUP(S20:AG20,增益!$A:$A,增益!$W:$W,0))+$I$5</f>
        <v>0.06</v>
      </c>
    </row>
    <row r="21" ht="14.25" spans="1:70">
      <c r="A21" s="74" t="s">
        <v>147</v>
      </c>
      <c r="B21" s="75">
        <f>期望!B21</f>
        <v>0.32</v>
      </c>
      <c r="C21" s="31" t="s">
        <v>148</v>
      </c>
      <c r="D21" s="68" t="s">
        <v>136</v>
      </c>
      <c r="E21" s="31" t="s">
        <v>149</v>
      </c>
      <c r="F21" s="31"/>
      <c r="K21" s="24">
        <f>$L21*VLOOKUP($R21,武学奇术!$A:$ZZ,31,FALSE)</f>
        <v>26258.3753441616</v>
      </c>
      <c r="L21" s="24">
        <f t="shared" si="0"/>
        <v>26258.3753441616</v>
      </c>
      <c r="M21" s="2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流血",$B$21,0))*(1+$BR21)</f>
        <v>23692.4578362717</v>
      </c>
      <c r="N21" s="24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流血",$B$21,0))*(1+$BR21)</f>
        <v>37597.6915526441</v>
      </c>
      <c r="O21" s="24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流血",$B$21,0))*(1+$BR21)</f>
        <v>15794.9718908478</v>
      </c>
      <c r="P21" s="24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流血",$B$21,0))*(1+$BR21)</f>
        <v>7364.62705963115</v>
      </c>
      <c r="Q21" s="31">
        <v>1</v>
      </c>
      <c r="R21" s="32" t="s">
        <v>143</v>
      </c>
      <c r="S21" s="32" t="s">
        <v>87</v>
      </c>
      <c r="T21" s="32" t="s">
        <v>104</v>
      </c>
      <c r="U21" s="32" t="s">
        <v>73</v>
      </c>
      <c r="V21" s="32" t="s">
        <v>73</v>
      </c>
      <c r="W21" s="32" t="s">
        <v>111</v>
      </c>
      <c r="X21" s="32" t="s">
        <v>127</v>
      </c>
      <c r="Y21" s="32" t="s">
        <v>73</v>
      </c>
      <c r="Z21" s="32" t="s">
        <v>73</v>
      </c>
      <c r="AA21" s="32" t="s">
        <v>81</v>
      </c>
      <c r="AB21" s="32" t="s">
        <v>75</v>
      </c>
      <c r="AC21" s="32" t="s">
        <v>76</v>
      </c>
      <c r="AD21" s="32" t="s">
        <v>82</v>
      </c>
      <c r="AE21" s="32" t="s">
        <v>90</v>
      </c>
      <c r="AF21" s="32" t="s">
        <v>73</v>
      </c>
      <c r="AG21" s="32" t="s">
        <v>144</v>
      </c>
      <c r="AH21" t="str">
        <f>VLOOKUP($R21,武学奇术!$A:$ZZ,25,FALSE)</f>
        <v>单体奇术</v>
      </c>
      <c r="AI21" s="21">
        <f>VLOOKUP($R21,武学奇术!$A:$ZZ,26,FALSE)</f>
        <v>1.0239</v>
      </c>
      <c r="AJ21" s="22">
        <f>VLOOKUP($R21,武学奇术!$A:$ZZ,27,FALSE)*(1+IF(OR($AH21=$F$4,$AH21=$F$5),$B$22,0))</f>
        <v>196</v>
      </c>
      <c r="AK21" s="21">
        <f>VLOOKUP($R21,武学奇术!$A:$ZZ,28,FALSE)</f>
        <v>1.53585</v>
      </c>
      <c r="AL21" s="22">
        <f>VLOOKUP($R21,武学奇术!$A:$ZZ,29,FALSE)*(1+IF(OR($AH21=$F$4,$AH21=$F$5),$B$22,0))</f>
        <v>0</v>
      </c>
      <c r="AM21" s="21" cm="1">
        <f t="array" ref="AM21">$G$3+IFERROR(VLOOKUP($AH21,$F$4:$G$7,2,FALSE),0)+VLOOKUP($R21,武学奇术!$A:$ZZ,2,FALSE)+SUM(_xlfn.XLOOKUP($S21:$AG21,增益!$A:$A,增益!$B:$B,0))</f>
        <v>0.843</v>
      </c>
      <c r="AN21" s="21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1825.28</v>
      </c>
      <c r="AP21" cm="1">
        <f t="array" ref="AP21">$E$10*(1+$AN21)+VLOOKUP($R21,武学奇术!$A:$ZZ,4,FALSE)+SUM(_xlfn.XLOOKUP($S21:$AG21,增益!$A:$A,增益!$D:$D,0))-$I$2</f>
        <v>7757.36</v>
      </c>
      <c r="AQ21" s="26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0.244</v>
      </c>
      <c r="AR21" s="26" cm="1">
        <f t="array" ref="AR21">$G$10+VLOOKUP($R21,武学奇术!$A:$ZZ,7,FALSE)+SUM(_xlfn.XLOOKUP(S21:AG21,增益!$A:$A,增益!$G:$G,0))</f>
        <v>0</v>
      </c>
      <c r="AS21" s="21" cm="1">
        <f t="array" ref="AS21">VLOOKUP($R21,武学奇术!$A:$ZZ,8,FALSE)+SUM(_xlfn.XLOOKUP(S21:AG21,增益!$A:$A,增益!$H:$H,0))</f>
        <v>0</v>
      </c>
      <c r="AT21">
        <f t="shared" si="1"/>
        <v>680.02</v>
      </c>
      <c r="AU21">
        <f t="shared" si="2"/>
        <v>1288.54</v>
      </c>
      <c r="AV21" s="26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</v>
      </c>
      <c r="AW21" s="26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26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26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26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26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26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26" cm="1">
        <f t="array" ref="BI21">$G$14+VLOOKUP($R21,武学奇术!$A:$ZZ,16,FALSE)+SUM(_xlfn.XLOOKUP(S21:AG21,增益!$A:$A,增益!$P:$P,0))</f>
        <v>0</v>
      </c>
      <c r="BJ21" s="21">
        <f>MIN(IF(VLOOKUP($R21,武学奇术!$A:$ZZ,23,FALSE)=1,100%,$B$8),100%)</f>
        <v>0.8229</v>
      </c>
      <c r="BK21" s="21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0.2285</v>
      </c>
      <c r="BL21" s="21" cm="1">
        <f t="array" ref="BL21">1+$B$13+VLOOKUP($R21,武学奇术!$A:$ZZ,18,FALSE)+SUM(_xlfn.XLOOKUP(S21:AG21,增益!$A:$A,增益!$R:$R,0))</f>
        <v>1.5</v>
      </c>
      <c r="BM21" s="21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0.4495</v>
      </c>
      <c r="BN21" s="21" cm="1">
        <f t="array" ref="BN21">1+$B$14+VLOOKUP($R21,武学奇术!$A:$ZZ,20,FALSE)+SUM(_xlfn.XLOOKUP(S21:AG21,增益!$A:$A,增益!$T:$T,0))</f>
        <v>1.552</v>
      </c>
      <c r="BO21" s="21">
        <f t="shared" si="9"/>
        <v>0.18803265</v>
      </c>
      <c r="BP21" s="21">
        <f t="shared" si="10"/>
        <v>0.2649738</v>
      </c>
      <c r="BQ21" s="21">
        <f>IF(VLOOKUP($R21,武学奇术!$A:$ZZ,22,FALSE)=1,0,(1-$BJ21))*(1-$BM21)</f>
        <v>0.09749355</v>
      </c>
      <c r="BR21" s="21" cm="1">
        <f t="array" ref="BR21">SUM(_xlfn.XLOOKUP(S21:AG21,增益!$A:$A,增益!$W:$W,0))+$I$5</f>
        <v>0.06</v>
      </c>
    </row>
    <row r="22" spans="1:70">
      <c r="A22" t="s">
        <v>150</v>
      </c>
      <c r="B22" s="23">
        <f>期望!B22</f>
        <v>0.5</v>
      </c>
      <c r="C22" s="31" t="s">
        <v>151</v>
      </c>
      <c r="D22" s="68" t="s">
        <v>136</v>
      </c>
      <c r="E22" s="31" t="str">
        <f>期望!E22</f>
        <v>易水歌</v>
      </c>
      <c r="F22" s="31"/>
      <c r="K22" s="24">
        <f>$L22*VLOOKUP($R22,武学奇术!$A:$ZZ,31,FALSE)</f>
        <v>41263.518698975</v>
      </c>
      <c r="L22" s="24">
        <f t="shared" si="0"/>
        <v>41263.518698975</v>
      </c>
      <c r="M22" s="2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流血",$B$21,0))*(1+$BR22)</f>
        <v>37231.3257656963</v>
      </c>
      <c r="N22" s="24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流血",$B$21,0))*(1+$BR22)</f>
        <v>59082.6009837822</v>
      </c>
      <c r="O22" s="24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流血",$B$21,0))*(1+$BR22)</f>
        <v>24820.8838437975</v>
      </c>
      <c r="P22" s="24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流血",$B$21,0))*(1+$BR22)</f>
        <v>11573.0814867044</v>
      </c>
      <c r="Q22" s="31">
        <v>1</v>
      </c>
      <c r="R22" s="32" t="s">
        <v>146</v>
      </c>
      <c r="S22" s="32" t="s">
        <v>87</v>
      </c>
      <c r="T22" s="32" t="s">
        <v>104</v>
      </c>
      <c r="U22" s="32" t="s">
        <v>73</v>
      </c>
      <c r="V22" s="32" t="s">
        <v>73</v>
      </c>
      <c r="W22" s="32" t="s">
        <v>111</v>
      </c>
      <c r="X22" s="32" t="s">
        <v>127</v>
      </c>
      <c r="Y22" s="32" t="s">
        <v>73</v>
      </c>
      <c r="Z22" s="32" t="s">
        <v>73</v>
      </c>
      <c r="AA22" s="32" t="s">
        <v>81</v>
      </c>
      <c r="AB22" s="32" t="s">
        <v>75</v>
      </c>
      <c r="AC22" s="32" t="s">
        <v>76</v>
      </c>
      <c r="AD22" s="32" t="s">
        <v>82</v>
      </c>
      <c r="AE22" s="32" t="s">
        <v>90</v>
      </c>
      <c r="AF22" s="32" t="s">
        <v>73</v>
      </c>
      <c r="AG22" s="32" t="s">
        <v>144</v>
      </c>
      <c r="AH22" t="str">
        <f>VLOOKUP($R22,武学奇术!$A:$ZZ,25,FALSE)</f>
        <v>单体奇术</v>
      </c>
      <c r="AI22" s="21">
        <f>VLOOKUP($R22,武学奇术!$A:$ZZ,26,FALSE)</f>
        <v>1.609</v>
      </c>
      <c r="AJ22" s="22">
        <f>VLOOKUP($R22,武学奇术!$A:$ZZ,27,FALSE)*(1+IF(OR($AH22=$F$4,$AH22=$F$5),$B$22,0))</f>
        <v>308</v>
      </c>
      <c r="AK22" s="21">
        <f>VLOOKUP($R22,武学奇术!$A:$ZZ,28,FALSE)</f>
        <v>2.4135</v>
      </c>
      <c r="AL22" s="22">
        <f>VLOOKUP($R22,武学奇术!$A:$ZZ,29,FALSE)*(1+IF(OR($AH22=$F$4,$AH22=$F$5),$B$22,0))</f>
        <v>0</v>
      </c>
      <c r="AM22" s="21" cm="1">
        <f t="array" ref="AM22">$G$3+IFERROR(VLOOKUP($AH22,$F$4:$G$7,2,FALSE),0)+VLOOKUP($R22,武学奇术!$A:$ZZ,2,FALSE)+SUM(_xlfn.XLOOKUP($S22:$AG22,增益!$A:$A,增益!$B:$B,0))</f>
        <v>0.843</v>
      </c>
      <c r="AN22" s="21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1825.28</v>
      </c>
      <c r="AP22" cm="1">
        <f t="array" ref="AP22">$E$10*(1+$AN22)+VLOOKUP($R22,武学奇术!$A:$ZZ,4,FALSE)+SUM(_xlfn.XLOOKUP($S22:$AG22,增益!$A:$A,增益!$D:$D,0))-$I$2</f>
        <v>7757.36</v>
      </c>
      <c r="AQ22" s="26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0.244</v>
      </c>
      <c r="AR22" s="26" cm="1">
        <f t="array" ref="AR22">$G$10+VLOOKUP($R22,武学奇术!$A:$ZZ,7,FALSE)+SUM(_xlfn.XLOOKUP(S22:AG22,增益!$A:$A,增益!$G:$G,0))</f>
        <v>0</v>
      </c>
      <c r="AS22" s="21" cm="1">
        <f t="array" ref="AS22">VLOOKUP($R22,武学奇术!$A:$ZZ,8,FALSE)+SUM(_xlfn.XLOOKUP(S22:AG22,增益!$A:$A,增益!$H:$H,0))</f>
        <v>0</v>
      </c>
      <c r="AT22">
        <f t="shared" si="1"/>
        <v>680.02</v>
      </c>
      <c r="AU22">
        <f t="shared" si="2"/>
        <v>1288.54</v>
      </c>
      <c r="AV22" s="26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</v>
      </c>
      <c r="AW22" s="26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26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26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26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26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26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26" cm="1">
        <f t="array" ref="BI22">$G$14+VLOOKUP($R22,武学奇术!$A:$ZZ,16,FALSE)+SUM(_xlfn.XLOOKUP(S22:AG22,增益!$A:$A,增益!$P:$P,0))</f>
        <v>0</v>
      </c>
      <c r="BJ22" s="21">
        <f>MIN(IF(VLOOKUP($R22,武学奇术!$A:$ZZ,23,FALSE)=1,100%,$B$8),100%)</f>
        <v>0.8229</v>
      </c>
      <c r="BK22" s="21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0.2285</v>
      </c>
      <c r="BL22" s="21" cm="1">
        <f t="array" ref="BL22">1+$B$13+VLOOKUP($R22,武学奇术!$A:$ZZ,18,FALSE)+SUM(_xlfn.XLOOKUP(S22:AG22,增益!$A:$A,增益!$R:$R,0))</f>
        <v>1.5</v>
      </c>
      <c r="BM22" s="21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0.4495</v>
      </c>
      <c r="BN22" s="21" cm="1">
        <f t="array" ref="BN22">1+$B$14+VLOOKUP($R22,武学奇术!$A:$ZZ,20,FALSE)+SUM(_xlfn.XLOOKUP(S22:AG22,增益!$A:$A,增益!$T:$T,0))</f>
        <v>1.552</v>
      </c>
      <c r="BO22" s="21">
        <f t="shared" si="9"/>
        <v>0.18803265</v>
      </c>
      <c r="BP22" s="21">
        <f t="shared" si="10"/>
        <v>0.2649738</v>
      </c>
      <c r="BQ22" s="21">
        <f>IF(VLOOKUP($R22,武学奇术!$A:$ZZ,22,FALSE)=1,0,(1-$BJ22))*(1-$BM22)</f>
        <v>0.09749355</v>
      </c>
      <c r="BR22" s="21" cm="1">
        <f t="array" ref="BR22">SUM(_xlfn.XLOOKUP(S22:AG22,增益!$A:$A,增益!$W:$W,0))+$I$5</f>
        <v>0.06</v>
      </c>
    </row>
    <row r="23" spans="1:70">
      <c r="A23" s="31" t="s">
        <v>153</v>
      </c>
      <c r="B23" s="76">
        <f>期望!B23</f>
        <v>200</v>
      </c>
      <c r="C23" s="31" t="s">
        <v>154</v>
      </c>
      <c r="D23" s="68" t="s">
        <v>136</v>
      </c>
      <c r="K23" s="24">
        <f>$L23*VLOOKUP($R23,武学奇术!$A:$ZZ,31,FALSE)</f>
        <v>26258.3753441616</v>
      </c>
      <c r="L23" s="24">
        <f t="shared" si="0"/>
        <v>26258.3753441616</v>
      </c>
      <c r="M23" s="2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流血",$B$21,0))*(1+$BR23)</f>
        <v>23692.4578362717</v>
      </c>
      <c r="N23" s="24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流血",$B$21,0))*(1+$BR23)</f>
        <v>37597.6915526441</v>
      </c>
      <c r="O23" s="24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流血",$B$21,0))*(1+$BR23)</f>
        <v>15794.9718908478</v>
      </c>
      <c r="P23" s="24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流血",$B$21,0))*(1+$BR23)</f>
        <v>7364.62705963115</v>
      </c>
      <c r="Q23" s="31">
        <v>1</v>
      </c>
      <c r="R23" s="32" t="s">
        <v>143</v>
      </c>
      <c r="S23" s="32" t="s">
        <v>87</v>
      </c>
      <c r="T23" s="32" t="s">
        <v>104</v>
      </c>
      <c r="U23" s="32" t="s">
        <v>73</v>
      </c>
      <c r="V23" s="32" t="s">
        <v>73</v>
      </c>
      <c r="W23" s="32" t="s">
        <v>111</v>
      </c>
      <c r="X23" s="32" t="s">
        <v>127</v>
      </c>
      <c r="Y23" s="32" t="s">
        <v>73</v>
      </c>
      <c r="Z23" s="32" t="s">
        <v>73</v>
      </c>
      <c r="AA23" s="32" t="s">
        <v>81</v>
      </c>
      <c r="AB23" s="32" t="s">
        <v>75</v>
      </c>
      <c r="AC23" s="32" t="s">
        <v>76</v>
      </c>
      <c r="AD23" s="32" t="s">
        <v>82</v>
      </c>
      <c r="AE23" s="32" t="s">
        <v>90</v>
      </c>
      <c r="AF23" s="32" t="s">
        <v>73</v>
      </c>
      <c r="AG23" s="32" t="s">
        <v>144</v>
      </c>
      <c r="AH23" t="str">
        <f>VLOOKUP($R23,武学奇术!$A:$ZZ,25,FALSE)</f>
        <v>单体奇术</v>
      </c>
      <c r="AI23" s="21">
        <f>VLOOKUP($R23,武学奇术!$A:$ZZ,26,FALSE)</f>
        <v>1.0239</v>
      </c>
      <c r="AJ23" s="22">
        <f>VLOOKUP($R23,武学奇术!$A:$ZZ,27,FALSE)*(1+IF(OR($AH23=$F$4,$AH23=$F$5),$B$22,0))</f>
        <v>196</v>
      </c>
      <c r="AK23" s="21">
        <f>VLOOKUP($R23,武学奇术!$A:$ZZ,28,FALSE)</f>
        <v>1.53585</v>
      </c>
      <c r="AL23" s="22">
        <f>VLOOKUP($R23,武学奇术!$A:$ZZ,29,FALSE)*(1+IF(OR($AH23=$F$4,$AH23=$F$5),$B$22,0))</f>
        <v>0</v>
      </c>
      <c r="AM23" s="21" cm="1">
        <f t="array" ref="AM23">$G$3+IFERROR(VLOOKUP($AH23,$F$4:$G$7,2,FALSE),0)+VLOOKUP($R23,武学奇术!$A:$ZZ,2,FALSE)+SUM(_xlfn.XLOOKUP($S23:$AG23,增益!$A:$A,增益!$B:$B,0))</f>
        <v>0.843</v>
      </c>
      <c r="AN23" s="21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1825.28</v>
      </c>
      <c r="AP23" cm="1">
        <f t="array" ref="AP23">$E$10*(1+$AN23)+VLOOKUP($R23,武学奇术!$A:$ZZ,4,FALSE)+SUM(_xlfn.XLOOKUP($S23:$AG23,增益!$A:$A,增益!$D:$D,0))-$I$2</f>
        <v>7757.36</v>
      </c>
      <c r="AQ23" s="26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0.244</v>
      </c>
      <c r="AR23" s="26" cm="1">
        <f t="array" ref="AR23">$G$10+VLOOKUP($R23,武学奇术!$A:$ZZ,7,FALSE)+SUM(_xlfn.XLOOKUP(S23:AG23,增益!$A:$A,增益!$G:$G,0))</f>
        <v>0</v>
      </c>
      <c r="AS23" s="21" cm="1">
        <f t="array" ref="AS23">VLOOKUP($R23,武学奇术!$A:$ZZ,8,FALSE)+SUM(_xlfn.XLOOKUP(S23:AG23,增益!$A:$A,增益!$H:$H,0))</f>
        <v>0</v>
      </c>
      <c r="AT23">
        <f t="shared" si="1"/>
        <v>680.02</v>
      </c>
      <c r="AU23">
        <f t="shared" si="2"/>
        <v>1288.54</v>
      </c>
      <c r="AV23" s="26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</v>
      </c>
      <c r="AW23" s="26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26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26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26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26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26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26" cm="1">
        <f t="array" ref="BI23">$G$14+VLOOKUP($R23,武学奇术!$A:$ZZ,16,FALSE)+SUM(_xlfn.XLOOKUP(S23:AG23,增益!$A:$A,增益!$P:$P,0))</f>
        <v>0</v>
      </c>
      <c r="BJ23" s="21">
        <f>MIN(IF(VLOOKUP($R23,武学奇术!$A:$ZZ,23,FALSE)=1,100%,$B$8),100%)</f>
        <v>0.8229</v>
      </c>
      <c r="BK23" s="21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0.2285</v>
      </c>
      <c r="BL23" s="21" cm="1">
        <f t="array" ref="BL23">1+$B$13+VLOOKUP($R23,武学奇术!$A:$ZZ,18,FALSE)+SUM(_xlfn.XLOOKUP(S23:AG23,增益!$A:$A,增益!$R:$R,0))</f>
        <v>1.5</v>
      </c>
      <c r="BM23" s="21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0.4495</v>
      </c>
      <c r="BN23" s="21" cm="1">
        <f t="array" ref="BN23">1+$B$14+VLOOKUP($R23,武学奇术!$A:$ZZ,20,FALSE)+SUM(_xlfn.XLOOKUP(S23:AG23,增益!$A:$A,增益!$T:$T,0))</f>
        <v>1.552</v>
      </c>
      <c r="BO23" s="21">
        <f t="shared" si="9"/>
        <v>0.18803265</v>
      </c>
      <c r="BP23" s="21">
        <f t="shared" si="10"/>
        <v>0.2649738</v>
      </c>
      <c r="BQ23" s="21">
        <f>IF(VLOOKUP($R23,武学奇术!$A:$ZZ,22,FALSE)=1,0,(1-$BJ23))*(1-$BM23)</f>
        <v>0.09749355</v>
      </c>
      <c r="BR23" s="21" cm="1">
        <f t="array" ref="BR23">SUM(_xlfn.XLOOKUP(S23:AG23,增益!$A:$A,增益!$W:$W,0))+$I$5</f>
        <v>0.06</v>
      </c>
    </row>
    <row r="24" spans="1:70">
      <c r="A24" s="31"/>
      <c r="B24" s="76">
        <f>期望!B24</f>
        <v>400</v>
      </c>
      <c r="K24" s="24">
        <f>$L24*VLOOKUP($R24,武学奇术!$A:$ZZ,31,FALSE)</f>
        <v>41263.518698975</v>
      </c>
      <c r="L24" s="24">
        <f t="shared" si="0"/>
        <v>41263.518698975</v>
      </c>
      <c r="M24" s="2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流血",$B$21,0))*(1+$BR24)</f>
        <v>37231.3257656963</v>
      </c>
      <c r="N24" s="24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流血",$B$21,0))*(1+$BR24)</f>
        <v>59082.6009837822</v>
      </c>
      <c r="O24" s="24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流血",$B$21,0))*(1+$BR24)</f>
        <v>24820.8838437975</v>
      </c>
      <c r="P24" s="24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流血",$B$21,0))*(1+$BR24)</f>
        <v>11573.0814867044</v>
      </c>
      <c r="Q24" s="31">
        <v>1</v>
      </c>
      <c r="R24" s="32" t="s">
        <v>146</v>
      </c>
      <c r="S24" s="32" t="s">
        <v>87</v>
      </c>
      <c r="T24" s="32" t="s">
        <v>104</v>
      </c>
      <c r="U24" s="32" t="s">
        <v>73</v>
      </c>
      <c r="V24" s="32" t="s">
        <v>73</v>
      </c>
      <c r="W24" s="32" t="s">
        <v>111</v>
      </c>
      <c r="X24" s="32" t="s">
        <v>127</v>
      </c>
      <c r="Y24" s="32" t="s">
        <v>73</v>
      </c>
      <c r="Z24" s="32" t="s">
        <v>73</v>
      </c>
      <c r="AA24" s="32" t="s">
        <v>81</v>
      </c>
      <c r="AB24" s="32" t="s">
        <v>75</v>
      </c>
      <c r="AC24" s="32" t="s">
        <v>76</v>
      </c>
      <c r="AD24" s="32" t="s">
        <v>82</v>
      </c>
      <c r="AE24" s="32" t="s">
        <v>90</v>
      </c>
      <c r="AF24" s="32" t="s">
        <v>73</v>
      </c>
      <c r="AG24" s="32" t="s">
        <v>144</v>
      </c>
      <c r="AH24" t="str">
        <f>VLOOKUP($R24,武学奇术!$A:$ZZ,25,FALSE)</f>
        <v>单体奇术</v>
      </c>
      <c r="AI24" s="21">
        <f>VLOOKUP($R24,武学奇术!$A:$ZZ,26,FALSE)</f>
        <v>1.609</v>
      </c>
      <c r="AJ24" s="22">
        <f>VLOOKUP($R24,武学奇术!$A:$ZZ,27,FALSE)*(1+IF(OR($AH24=$F$4,$AH24=$F$5),$B$22,0))</f>
        <v>308</v>
      </c>
      <c r="AK24" s="21">
        <f>VLOOKUP($R24,武学奇术!$A:$ZZ,28,FALSE)</f>
        <v>2.4135</v>
      </c>
      <c r="AL24" s="22">
        <f>VLOOKUP($R24,武学奇术!$A:$ZZ,29,FALSE)*(1+IF(OR($AH24=$F$4,$AH24=$F$5),$B$22,0))</f>
        <v>0</v>
      </c>
      <c r="AM24" s="21" cm="1">
        <f t="array" ref="AM24">$G$3+IFERROR(VLOOKUP($AH24,$F$4:$G$7,2,FALSE),0)+VLOOKUP($R24,武学奇术!$A:$ZZ,2,FALSE)+SUM(_xlfn.XLOOKUP($S24:$AG24,增益!$A:$A,增益!$B:$B,0))</f>
        <v>0.843</v>
      </c>
      <c r="AN24" s="21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1825.28</v>
      </c>
      <c r="AP24" cm="1">
        <f t="array" ref="AP24">$E$10*(1+$AN24)+VLOOKUP($R24,武学奇术!$A:$ZZ,4,FALSE)+SUM(_xlfn.XLOOKUP($S24:$AG24,增益!$A:$A,增益!$D:$D,0))-$I$2</f>
        <v>7757.36</v>
      </c>
      <c r="AQ24" s="26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0.244</v>
      </c>
      <c r="AR24" s="26" cm="1">
        <f t="array" ref="AR24">$G$10+VLOOKUP($R24,武学奇术!$A:$ZZ,7,FALSE)+SUM(_xlfn.XLOOKUP(S24:AG24,增益!$A:$A,增益!$G:$G,0))</f>
        <v>0</v>
      </c>
      <c r="AS24" s="21" cm="1">
        <f t="array" ref="AS24">VLOOKUP($R24,武学奇术!$A:$ZZ,8,FALSE)+SUM(_xlfn.XLOOKUP(S24:AG24,增益!$A:$A,增益!$H:$H,0))</f>
        <v>0</v>
      </c>
      <c r="AT24">
        <f t="shared" si="1"/>
        <v>680.02</v>
      </c>
      <c r="AU24">
        <f t="shared" si="2"/>
        <v>1288.54</v>
      </c>
      <c r="AV24" s="26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</v>
      </c>
      <c r="AW24" s="26" cm="1">
        <f t="array" ref="AW24">$G$11+VLOOKUP($R24,武学奇术!$A:$ZZ,10,FALSE)+SUM(_xlfn.XLOOKUP(S24:AG24,增益!$A:$A,增益!$J:$J,0))</f>
        <v>0.15</v>
      </c>
      <c r="AX24">
        <f t="shared" si="3"/>
        <v>0</v>
      </c>
      <c r="AY24">
        <f t="shared" si="4"/>
        <v>0</v>
      </c>
      <c r="AZ24" s="26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26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26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26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26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26" cm="1">
        <f t="array" ref="BI24">$G$14+VLOOKUP($R24,武学奇术!$A:$ZZ,16,FALSE)+SUM(_xlfn.XLOOKUP(S24:AG24,增益!$A:$A,增益!$P:$P,0))</f>
        <v>0</v>
      </c>
      <c r="BJ24" s="21">
        <f>MIN(IF(VLOOKUP($R24,武学奇术!$A:$ZZ,23,FALSE)=1,100%,$B$8),100%)</f>
        <v>0.8229</v>
      </c>
      <c r="BK24" s="21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0.2285</v>
      </c>
      <c r="BL24" s="21" cm="1">
        <f t="array" ref="BL24">1+$B$13+VLOOKUP($R24,武学奇术!$A:$ZZ,18,FALSE)+SUM(_xlfn.XLOOKUP(S24:AG24,增益!$A:$A,增益!$R:$R,0))</f>
        <v>1.5</v>
      </c>
      <c r="BM24" s="21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0.4495</v>
      </c>
      <c r="BN24" s="21" cm="1">
        <f t="array" ref="BN24">1+$B$14+VLOOKUP($R24,武学奇术!$A:$ZZ,20,FALSE)+SUM(_xlfn.XLOOKUP(S24:AG24,增益!$A:$A,增益!$T:$T,0))</f>
        <v>1.552</v>
      </c>
      <c r="BO24" s="21">
        <f t="shared" si="9"/>
        <v>0.18803265</v>
      </c>
      <c r="BP24" s="21">
        <f t="shared" si="10"/>
        <v>0.2649738</v>
      </c>
      <c r="BQ24" s="21">
        <f>IF(VLOOKUP($R24,武学奇术!$A:$ZZ,22,FALSE)=1,0,(1-$BJ24))*(1-$BM24)</f>
        <v>0.09749355</v>
      </c>
      <c r="BR24" s="21" cm="1">
        <f t="array" ref="BR24">SUM(_xlfn.XLOOKUP(S24:AG24,增益!$A:$A,增益!$W:$W,0))+$I$5</f>
        <v>0.06</v>
      </c>
    </row>
    <row r="25" spans="1:70">
      <c r="K25" s="24">
        <f>$L25*VLOOKUP($R25,武学奇术!$A:$ZZ,31,FALSE)</f>
        <v>26258.3753441616</v>
      </c>
      <c r="L25" s="24">
        <f t="shared" si="0"/>
        <v>26258.3753441616</v>
      </c>
      <c r="M25" s="2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流血",$B$21,0))*(1+$BR25)</f>
        <v>23692.4578362717</v>
      </c>
      <c r="N25" s="24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流血",$B$21,0))*(1+$BR25)</f>
        <v>37597.6915526441</v>
      </c>
      <c r="O25" s="24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流血",$B$21,0))*(1+$BR25)</f>
        <v>15794.9718908478</v>
      </c>
      <c r="P25" s="24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流血",$B$21,0))*(1+$BR25)</f>
        <v>7364.62705963115</v>
      </c>
      <c r="Q25" s="31">
        <v>1</v>
      </c>
      <c r="R25" s="32" t="s">
        <v>143</v>
      </c>
      <c r="S25" s="32" t="s">
        <v>87</v>
      </c>
      <c r="T25" s="32" t="s">
        <v>104</v>
      </c>
      <c r="U25" s="32" t="s">
        <v>73</v>
      </c>
      <c r="V25" s="32" t="s">
        <v>73</v>
      </c>
      <c r="W25" s="32" t="s">
        <v>111</v>
      </c>
      <c r="X25" s="32" t="s">
        <v>127</v>
      </c>
      <c r="Y25" s="32" t="s">
        <v>73</v>
      </c>
      <c r="Z25" s="32" t="s">
        <v>73</v>
      </c>
      <c r="AA25" s="32" t="s">
        <v>81</v>
      </c>
      <c r="AB25" s="32" t="s">
        <v>75</v>
      </c>
      <c r="AC25" s="32" t="s">
        <v>76</v>
      </c>
      <c r="AD25" s="32" t="s">
        <v>82</v>
      </c>
      <c r="AE25" s="32" t="s">
        <v>90</v>
      </c>
      <c r="AF25" s="32" t="s">
        <v>73</v>
      </c>
      <c r="AG25" s="32" t="s">
        <v>144</v>
      </c>
      <c r="AH25" t="str">
        <f>VLOOKUP($R25,武学奇术!$A:$ZZ,25,FALSE)</f>
        <v>单体奇术</v>
      </c>
      <c r="AI25" s="21">
        <f>VLOOKUP($R25,武学奇术!$A:$ZZ,26,FALSE)</f>
        <v>1.0239</v>
      </c>
      <c r="AJ25" s="22">
        <f>VLOOKUP($R25,武学奇术!$A:$ZZ,27,FALSE)*(1+IF(OR($AH25=$F$4,$AH25=$F$5),$B$22,0))</f>
        <v>196</v>
      </c>
      <c r="AK25" s="21">
        <f>VLOOKUP($R25,武学奇术!$A:$ZZ,28,FALSE)</f>
        <v>1.53585</v>
      </c>
      <c r="AL25" s="22">
        <f>VLOOKUP($R25,武学奇术!$A:$ZZ,29,FALSE)*(1+IF(OR($AH25=$F$4,$AH25=$F$5),$B$22,0))</f>
        <v>0</v>
      </c>
      <c r="AM25" s="21" cm="1">
        <f t="array" ref="AM25">$G$3+IFERROR(VLOOKUP($AH25,$F$4:$G$7,2,FALSE),0)+VLOOKUP($R25,武学奇术!$A:$ZZ,2,FALSE)+SUM(_xlfn.XLOOKUP($S25:$AG25,增益!$A:$A,增益!$B:$B,0))</f>
        <v>0.843</v>
      </c>
      <c r="AN25" s="21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1825.28</v>
      </c>
      <c r="AP25" cm="1">
        <f t="array" ref="AP25">$E$10*(1+$AN25)+VLOOKUP($R25,武学奇术!$A:$ZZ,4,FALSE)+SUM(_xlfn.XLOOKUP($S25:$AG25,增益!$A:$A,增益!$D:$D,0))-$I$2</f>
        <v>7757.36</v>
      </c>
      <c r="AQ25" s="26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0.244</v>
      </c>
      <c r="AR25" s="26" cm="1">
        <f t="array" ref="AR25">$G$10+VLOOKUP($R25,武学奇术!$A:$ZZ,7,FALSE)+SUM(_xlfn.XLOOKUP(S25:AG25,增益!$A:$A,增益!$G:$G,0))</f>
        <v>0</v>
      </c>
      <c r="AS25" s="21" cm="1">
        <f t="array" ref="AS25">VLOOKUP($R25,武学奇术!$A:$ZZ,8,FALSE)+SUM(_xlfn.XLOOKUP(S25:AG25,增益!$A:$A,增益!$H:$H,0))</f>
        <v>0</v>
      </c>
      <c r="AT25">
        <f t="shared" si="1"/>
        <v>680.02</v>
      </c>
      <c r="AU25">
        <f t="shared" si="2"/>
        <v>1288.54</v>
      </c>
      <c r="AV25" s="26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</v>
      </c>
      <c r="AW25" s="26" cm="1">
        <f t="array" ref="AW25">$G$11+VLOOKUP($R25,武学奇术!$A:$ZZ,10,FALSE)+SUM(_xlfn.XLOOKUP(S25:AG25,增益!$A:$A,增益!$J:$J,0))</f>
        <v>0.15</v>
      </c>
      <c r="AX25">
        <f t="shared" si="3"/>
        <v>0</v>
      </c>
      <c r="AY25">
        <f t="shared" si="4"/>
        <v>0</v>
      </c>
      <c r="AZ25" s="26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26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26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26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26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26" cm="1">
        <f t="array" ref="BI25">$G$14+VLOOKUP($R25,武学奇术!$A:$ZZ,16,FALSE)+SUM(_xlfn.XLOOKUP(S25:AG25,增益!$A:$A,增益!$P:$P,0))</f>
        <v>0</v>
      </c>
      <c r="BJ25" s="21">
        <f>MIN(IF(VLOOKUP($R25,武学奇术!$A:$ZZ,23,FALSE)=1,100%,$B$8),100%)</f>
        <v>0.8229</v>
      </c>
      <c r="BK25" s="21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0.2285</v>
      </c>
      <c r="BL25" s="21" cm="1">
        <f t="array" ref="BL25">1+$B$13+VLOOKUP($R25,武学奇术!$A:$ZZ,18,FALSE)+SUM(_xlfn.XLOOKUP(S25:AG25,增益!$A:$A,增益!$R:$R,0))</f>
        <v>1.5</v>
      </c>
      <c r="BM25" s="21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0.4495</v>
      </c>
      <c r="BN25" s="21" cm="1">
        <f t="array" ref="BN25">1+$B$14+VLOOKUP($R25,武学奇术!$A:$ZZ,20,FALSE)+SUM(_xlfn.XLOOKUP(S25:AG25,增益!$A:$A,增益!$T:$T,0))</f>
        <v>1.552</v>
      </c>
      <c r="BO25" s="21">
        <f t="shared" si="9"/>
        <v>0.18803265</v>
      </c>
      <c r="BP25" s="21">
        <f t="shared" si="10"/>
        <v>0.2649738</v>
      </c>
      <c r="BQ25" s="21">
        <f>IF(VLOOKUP($R25,武学奇术!$A:$ZZ,22,FALSE)=1,0,(1-$BJ25))*(1-$BM25)</f>
        <v>0.09749355</v>
      </c>
      <c r="BR25" s="21" cm="1">
        <f t="array" ref="BR25">SUM(_xlfn.XLOOKUP(S25:AG25,增益!$A:$A,增益!$W:$W,0))+$I$5</f>
        <v>0.06</v>
      </c>
    </row>
    <row r="26" spans="1:70">
      <c r="K26" s="24">
        <f>$L26*VLOOKUP($R26,武学奇术!$A:$ZZ,31,FALSE)</f>
        <v>41263.518698975</v>
      </c>
      <c r="L26" s="24">
        <f t="shared" si="0"/>
        <v>41263.518698975</v>
      </c>
      <c r="M26" s="2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流血",$B$21,0))*(1+$BR26)</f>
        <v>37231.3257656963</v>
      </c>
      <c r="N26" s="24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流血",$B$21,0))*(1+$BR26)</f>
        <v>59082.6009837822</v>
      </c>
      <c r="O26" s="24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流血",$B$21,0))*(1+$BR26)</f>
        <v>24820.8838437975</v>
      </c>
      <c r="P26" s="24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流血",$B$21,0))*(1+$BR26)</f>
        <v>11573.0814867044</v>
      </c>
      <c r="Q26" s="31">
        <v>1</v>
      </c>
      <c r="R26" s="32" t="s">
        <v>146</v>
      </c>
      <c r="S26" s="32" t="s">
        <v>87</v>
      </c>
      <c r="T26" s="32" t="s">
        <v>104</v>
      </c>
      <c r="U26" s="32" t="s">
        <v>73</v>
      </c>
      <c r="V26" s="32" t="s">
        <v>73</v>
      </c>
      <c r="W26" s="32" t="s">
        <v>111</v>
      </c>
      <c r="X26" s="32" t="s">
        <v>127</v>
      </c>
      <c r="Y26" s="32" t="s">
        <v>73</v>
      </c>
      <c r="Z26" s="32" t="s">
        <v>73</v>
      </c>
      <c r="AA26" s="32" t="s">
        <v>81</v>
      </c>
      <c r="AB26" s="32" t="s">
        <v>75</v>
      </c>
      <c r="AC26" s="32" t="s">
        <v>76</v>
      </c>
      <c r="AD26" s="32" t="s">
        <v>82</v>
      </c>
      <c r="AE26" s="32" t="s">
        <v>90</v>
      </c>
      <c r="AF26" s="32" t="s">
        <v>73</v>
      </c>
      <c r="AG26" s="32" t="s">
        <v>144</v>
      </c>
      <c r="AH26" t="str">
        <f>VLOOKUP($R26,武学奇术!$A:$ZZ,25,FALSE)</f>
        <v>单体奇术</v>
      </c>
      <c r="AI26" s="21">
        <f>VLOOKUP($R26,武学奇术!$A:$ZZ,26,FALSE)</f>
        <v>1.609</v>
      </c>
      <c r="AJ26" s="22">
        <f>VLOOKUP($R26,武学奇术!$A:$ZZ,27,FALSE)*(1+IF(OR($AH26=$F$4,$AH26=$F$5),$B$22,0))</f>
        <v>308</v>
      </c>
      <c r="AK26" s="21">
        <f>VLOOKUP($R26,武学奇术!$A:$ZZ,28,FALSE)</f>
        <v>2.4135</v>
      </c>
      <c r="AL26" s="22">
        <f>VLOOKUP($R26,武学奇术!$A:$ZZ,29,FALSE)*(1+IF(OR($AH26=$F$4,$AH26=$F$5),$B$22,0))</f>
        <v>0</v>
      </c>
      <c r="AM26" s="21" cm="1">
        <f t="array" ref="AM26">$G$3+IFERROR(VLOOKUP($AH26,$F$4:$G$7,2,FALSE),0)+VLOOKUP($R26,武学奇术!$A:$ZZ,2,FALSE)+SUM(_xlfn.XLOOKUP($S26:$AG26,增益!$A:$A,增益!$B:$B,0))</f>
        <v>0.843</v>
      </c>
      <c r="AN26" s="21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1825.28</v>
      </c>
      <c r="AP26" cm="1">
        <f t="array" ref="AP26">$E$10*(1+$AN26)+VLOOKUP($R26,武学奇术!$A:$ZZ,4,FALSE)+SUM(_xlfn.XLOOKUP($S26:$AG26,增益!$A:$A,增益!$D:$D,0))-$I$2</f>
        <v>7757.36</v>
      </c>
      <c r="AQ26" s="26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0.244</v>
      </c>
      <c r="AR26" s="26" cm="1">
        <f t="array" ref="AR26">$G$10+VLOOKUP($R26,武学奇术!$A:$ZZ,7,FALSE)+SUM(_xlfn.XLOOKUP(S26:AG26,增益!$A:$A,增益!$G:$G,0))</f>
        <v>0</v>
      </c>
      <c r="AS26" s="21" cm="1">
        <f t="array" ref="AS26">VLOOKUP($R26,武学奇术!$A:$ZZ,8,FALSE)+SUM(_xlfn.XLOOKUP(S26:AG26,增益!$A:$A,增益!$H:$H,0))</f>
        <v>0</v>
      </c>
      <c r="AT26">
        <f t="shared" si="1"/>
        <v>680.02</v>
      </c>
      <c r="AU26">
        <f t="shared" si="2"/>
        <v>1288.54</v>
      </c>
      <c r="AV26" s="26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</v>
      </c>
      <c r="AW26" s="26" cm="1">
        <f t="array" ref="AW26">$G$11+VLOOKUP($R26,武学奇术!$A:$ZZ,10,FALSE)+SUM(_xlfn.XLOOKUP(S26:AG26,增益!$A:$A,增益!$J:$J,0))</f>
        <v>0.15</v>
      </c>
      <c r="AX26">
        <f t="shared" si="3"/>
        <v>0</v>
      </c>
      <c r="AY26">
        <f t="shared" si="4"/>
        <v>0</v>
      </c>
      <c r="AZ26" s="26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26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26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26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26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26" cm="1">
        <f t="array" ref="BI26">$G$14+VLOOKUP($R26,武学奇术!$A:$ZZ,16,FALSE)+SUM(_xlfn.XLOOKUP(S26:AG26,增益!$A:$A,增益!$P:$P,0))</f>
        <v>0</v>
      </c>
      <c r="BJ26" s="21">
        <f>MIN(IF(VLOOKUP($R26,武学奇术!$A:$ZZ,23,FALSE)=1,100%,$B$8),100%)</f>
        <v>0.8229</v>
      </c>
      <c r="BK26" s="21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0.2285</v>
      </c>
      <c r="BL26" s="21" cm="1">
        <f t="array" ref="BL26">1+$B$13+VLOOKUP($R26,武学奇术!$A:$ZZ,18,FALSE)+SUM(_xlfn.XLOOKUP(S26:AG26,增益!$A:$A,增益!$R:$R,0))</f>
        <v>1.5</v>
      </c>
      <c r="BM26" s="21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0.4495</v>
      </c>
      <c r="BN26" s="21" cm="1">
        <f t="array" ref="BN26">1+$B$14+VLOOKUP($R26,武学奇术!$A:$ZZ,20,FALSE)+SUM(_xlfn.XLOOKUP(S26:AG26,增益!$A:$A,增益!$T:$T,0))</f>
        <v>1.552</v>
      </c>
      <c r="BO26" s="21">
        <f t="shared" si="9"/>
        <v>0.18803265</v>
      </c>
      <c r="BP26" s="21">
        <f t="shared" si="10"/>
        <v>0.2649738</v>
      </c>
      <c r="BQ26" s="21">
        <f>IF(VLOOKUP($R26,武学奇术!$A:$ZZ,22,FALSE)=1,0,(1-$BJ26))*(1-$BM26)</f>
        <v>0.09749355</v>
      </c>
      <c r="BR26" s="21" cm="1">
        <f t="array" ref="BR26">SUM(_xlfn.XLOOKUP(S26:AG26,增益!$A:$A,增益!$W:$W,0))+$I$5</f>
        <v>0.06</v>
      </c>
    </row>
    <row r="27" spans="1:70">
      <c r="K27" s="24">
        <f>$L27*VLOOKUP($R27,武学奇术!$A:$ZZ,31,FALSE)</f>
        <v>63022.625820526</v>
      </c>
      <c r="L27" s="24">
        <f t="shared" si="0"/>
        <v>63022.625820526</v>
      </c>
      <c r="M27" s="2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流血",$B$21,0))*(1+$BR27)</f>
        <v>56629.673547913</v>
      </c>
      <c r="N27" s="24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流血",$B$21,0))*(1+$BR27)</f>
        <v>90444.0047836889</v>
      </c>
      <c r="O27" s="24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流血",$B$21,0))*(1+$BR27)</f>
        <v>37753.1156986086</v>
      </c>
      <c r="P27" s="24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流血",$B$21,0))*(1+$BR27)</f>
        <v>17603.5394742411</v>
      </c>
      <c r="Q27" s="31">
        <v>1</v>
      </c>
      <c r="R27" s="32" t="s">
        <v>157</v>
      </c>
      <c r="S27" s="32" t="s">
        <v>87</v>
      </c>
      <c r="T27" s="32" t="s">
        <v>104</v>
      </c>
      <c r="U27" s="32" t="s">
        <v>73</v>
      </c>
      <c r="V27" s="32" t="s">
        <v>73</v>
      </c>
      <c r="W27" s="32" t="s">
        <v>111</v>
      </c>
      <c r="X27" s="32" t="s">
        <v>127</v>
      </c>
      <c r="Y27" s="32" t="s">
        <v>73</v>
      </c>
      <c r="Z27" s="32" t="s">
        <v>73</v>
      </c>
      <c r="AA27" s="32" t="s">
        <v>81</v>
      </c>
      <c r="AB27" s="32" t="s">
        <v>75</v>
      </c>
      <c r="AC27" s="32" t="s">
        <v>76</v>
      </c>
      <c r="AD27" s="32" t="s">
        <v>82</v>
      </c>
      <c r="AE27" s="32" t="s">
        <v>90</v>
      </c>
      <c r="AF27" s="32" t="s">
        <v>73</v>
      </c>
      <c r="AG27" s="32" t="s">
        <v>158</v>
      </c>
      <c r="AH27" t="str">
        <f>VLOOKUP($R27,武学奇术!$A:$ZZ,25,FALSE)</f>
        <v>单体奇术</v>
      </c>
      <c r="AI27" s="21">
        <f>VLOOKUP($R27,武学奇术!$A:$ZZ,26,FALSE)</f>
        <v>1.7065</v>
      </c>
      <c r="AJ27" s="22">
        <f>VLOOKUP($R27,武学奇术!$A:$ZZ,27,FALSE)*(1+IF(OR($AH27=$F$4,$AH27=$F$5),$B$22,0))</f>
        <v>327</v>
      </c>
      <c r="AK27" s="21">
        <f>VLOOKUP($R27,武学奇术!$A:$ZZ,28,FALSE)</f>
        <v>2.55975</v>
      </c>
      <c r="AL27" s="22">
        <f>VLOOKUP($R27,武学奇术!$A:$ZZ,29,FALSE)*(1+IF(OR($AH27=$F$4,$AH27=$F$5),$B$22,0))</f>
        <v>0</v>
      </c>
      <c r="AM27" s="21" cm="1">
        <f t="array" ref="AM27">$G$3+IFERROR(VLOOKUP($AH27,$F$4:$G$7,2,FALSE),0)+VLOOKUP($R27,武学奇术!$A:$ZZ,2,FALSE)+SUM(_xlfn.XLOOKUP($S27:$AG27,增益!$A:$A,增益!$B:$B,0))</f>
        <v>1.643</v>
      </c>
      <c r="AN27" s="21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1825.28</v>
      </c>
      <c r="AP27" cm="1">
        <f t="array" ref="AP27">$E$10*(1+$AN27)+VLOOKUP($R27,武学奇术!$A:$ZZ,4,FALSE)+SUM(_xlfn.XLOOKUP($S27:$AG27,增益!$A:$A,增益!$D:$D,0))-$I$2</f>
        <v>7757.36</v>
      </c>
      <c r="AQ27" s="26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0.244</v>
      </c>
      <c r="AR27" s="26" cm="1">
        <f t="array" ref="AR27">$G$10+VLOOKUP($R27,武学奇术!$A:$ZZ,7,FALSE)+SUM(_xlfn.XLOOKUP(S27:AG27,增益!$A:$A,增益!$G:$G,0))</f>
        <v>0</v>
      </c>
      <c r="AS27" s="21" cm="1">
        <f t="array" ref="AS27">VLOOKUP($R27,武学奇术!$A:$ZZ,8,FALSE)+SUM(_xlfn.XLOOKUP(S27:AG27,增益!$A:$A,增益!$H:$H,0))</f>
        <v>0</v>
      </c>
      <c r="AT27">
        <f t="shared" si="1"/>
        <v>680.02</v>
      </c>
      <c r="AU27">
        <f t="shared" si="2"/>
        <v>1288.54</v>
      </c>
      <c r="AV27" s="26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</v>
      </c>
      <c r="AW27" s="26" cm="1">
        <f t="array" ref="AW27">$G$11+VLOOKUP($R27,武学奇术!$A:$ZZ,10,FALSE)+SUM(_xlfn.XLOOKUP(S27:AG27,增益!$A:$A,增益!$J:$J,0))</f>
        <v>0.15</v>
      </c>
      <c r="AX27">
        <f t="shared" si="3"/>
        <v>0</v>
      </c>
      <c r="AY27">
        <f t="shared" si="4"/>
        <v>0</v>
      </c>
      <c r="AZ27" s="26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26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26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26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26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26" cm="1">
        <f t="array" ref="BI27">$G$14+VLOOKUP($R27,武学奇术!$A:$ZZ,16,FALSE)+SUM(_xlfn.XLOOKUP(S27:AG27,增益!$A:$A,增益!$P:$P,0))</f>
        <v>0</v>
      </c>
      <c r="BJ27" s="21">
        <f>MIN(IF(VLOOKUP($R27,武学奇术!$A:$ZZ,23,FALSE)=1,100%,$B$8),100%)</f>
        <v>0.8229</v>
      </c>
      <c r="BK27" s="21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0.2285</v>
      </c>
      <c r="BL27" s="21" cm="1">
        <f t="array" ref="BL27">1+$B$13+VLOOKUP($R27,武学奇术!$A:$ZZ,18,FALSE)+SUM(_xlfn.XLOOKUP(S27:AG27,增益!$A:$A,增益!$R:$R,0))</f>
        <v>1.5</v>
      </c>
      <c r="BM27" s="21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0.4495</v>
      </c>
      <c r="BN27" s="21" cm="1">
        <f t="array" ref="BN27">1+$B$14+VLOOKUP($R27,武学奇术!$A:$ZZ,20,FALSE)+SUM(_xlfn.XLOOKUP(S27:AG27,增益!$A:$A,增益!$T:$T,0))</f>
        <v>1.562</v>
      </c>
      <c r="BO27" s="21">
        <f t="shared" si="9"/>
        <v>0.18803265</v>
      </c>
      <c r="BP27" s="21">
        <f t="shared" si="10"/>
        <v>0.2649738</v>
      </c>
      <c r="BQ27" s="21">
        <f>IF(VLOOKUP($R27,武学奇术!$A:$ZZ,22,FALSE)=1,0,(1-$BJ27))*(1-$BM27)</f>
        <v>0.09749355</v>
      </c>
      <c r="BR27" s="21" cm="1">
        <f t="array" ref="BR27">SUM(_xlfn.XLOOKUP(S27:AG27,增益!$A:$A,增益!$W:$W,0))+$I$5</f>
        <v>0.06</v>
      </c>
    </row>
    <row r="28" spans="1:70">
      <c r="K28" s="24">
        <f>$L28*VLOOKUP($R28,武学奇术!$A:$ZZ,31,FALSE)</f>
        <v>41434.637443448</v>
      </c>
      <c r="L28" s="24">
        <f t="shared" si="0"/>
        <v>41434.637443448</v>
      </c>
      <c r="M28" s="2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流血",$B$21,0))*(1+$BR28)</f>
        <v>37231.3257656963</v>
      </c>
      <c r="N28" s="24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流血",$B$21,0))*(1+$BR28)</f>
        <v>59463.2878457911</v>
      </c>
      <c r="O28" s="24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流血",$B$21,0))*(1+$BR28)</f>
        <v>24820.8838437975</v>
      </c>
      <c r="P28" s="24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流血",$B$21,0))*(1+$BR28)</f>
        <v>11573.0814867044</v>
      </c>
      <c r="Q28" s="31">
        <v>1</v>
      </c>
      <c r="R28" s="32" t="s">
        <v>146</v>
      </c>
      <c r="S28" s="32" t="s">
        <v>87</v>
      </c>
      <c r="T28" s="32" t="s">
        <v>104</v>
      </c>
      <c r="U28" s="32" t="s">
        <v>73</v>
      </c>
      <c r="V28" s="32" t="s">
        <v>73</v>
      </c>
      <c r="W28" s="32" t="s">
        <v>111</v>
      </c>
      <c r="X28" s="32" t="s">
        <v>127</v>
      </c>
      <c r="Y28" s="32" t="s">
        <v>73</v>
      </c>
      <c r="Z28" s="32" t="s">
        <v>73</v>
      </c>
      <c r="AA28" s="32" t="s">
        <v>81</v>
      </c>
      <c r="AB28" s="32" t="s">
        <v>75</v>
      </c>
      <c r="AC28" s="32" t="s">
        <v>76</v>
      </c>
      <c r="AD28" s="32" t="s">
        <v>82</v>
      </c>
      <c r="AE28" s="32" t="s">
        <v>90</v>
      </c>
      <c r="AF28" s="32" t="s">
        <v>73</v>
      </c>
      <c r="AG28" s="32" t="s">
        <v>158</v>
      </c>
      <c r="AH28" t="str">
        <f>VLOOKUP($R28,武学奇术!$A:$ZZ,25,FALSE)</f>
        <v>单体奇术</v>
      </c>
      <c r="AI28" s="21">
        <f>VLOOKUP($R28,武学奇术!$A:$ZZ,26,FALSE)</f>
        <v>1.609</v>
      </c>
      <c r="AJ28" s="22">
        <f>VLOOKUP($R28,武学奇术!$A:$ZZ,27,FALSE)*(1+IF(OR($AH28=$F$4,$AH28=$F$5),$B$22,0))</f>
        <v>308</v>
      </c>
      <c r="AK28" s="21">
        <f>VLOOKUP($R28,武学奇术!$A:$ZZ,28,FALSE)</f>
        <v>2.4135</v>
      </c>
      <c r="AL28" s="22">
        <f>VLOOKUP($R28,武学奇术!$A:$ZZ,29,FALSE)*(1+IF(OR($AH28=$F$4,$AH28=$F$5),$B$22,0))</f>
        <v>0</v>
      </c>
      <c r="AM28" s="21" cm="1">
        <f t="array" ref="AM28">$G$3+IFERROR(VLOOKUP($AH28,$F$4:$G$7,2,FALSE),0)+VLOOKUP($R28,武学奇术!$A:$ZZ,2,FALSE)+SUM(_xlfn.XLOOKUP($S28:$AG28,增益!$A:$A,增益!$B:$B,0))</f>
        <v>0.843</v>
      </c>
      <c r="AN28" s="21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1825.28</v>
      </c>
      <c r="AP28" cm="1">
        <f t="array" ref="AP28">$E$10*(1+$AN28)+VLOOKUP($R28,武学奇术!$A:$ZZ,4,FALSE)+SUM(_xlfn.XLOOKUP($S28:$AG28,增益!$A:$A,增益!$D:$D,0))-$I$2</f>
        <v>7757.36</v>
      </c>
      <c r="AQ28" s="26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0.244</v>
      </c>
      <c r="AR28" s="26" cm="1">
        <f t="array" ref="AR28">$G$10+VLOOKUP($R28,武学奇术!$A:$ZZ,7,FALSE)+SUM(_xlfn.XLOOKUP(S28:AG28,增益!$A:$A,增益!$G:$G,0))</f>
        <v>0</v>
      </c>
      <c r="AS28" s="21" cm="1">
        <f t="array" ref="AS28">VLOOKUP($R28,武学奇术!$A:$ZZ,8,FALSE)+SUM(_xlfn.XLOOKUP(S28:AG28,增益!$A:$A,增益!$H:$H,0))</f>
        <v>0</v>
      </c>
      <c r="AT28">
        <f t="shared" si="1"/>
        <v>680.02</v>
      </c>
      <c r="AU28">
        <f t="shared" si="2"/>
        <v>1288.54</v>
      </c>
      <c r="AV28" s="26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</v>
      </c>
      <c r="AW28" s="26" cm="1">
        <f t="array" ref="AW28">$G$11+VLOOKUP($R28,武学奇术!$A:$ZZ,10,FALSE)+SUM(_xlfn.XLOOKUP(S28:AG28,增益!$A:$A,增益!$J:$J,0))</f>
        <v>0.15</v>
      </c>
      <c r="AX28">
        <f t="shared" si="3"/>
        <v>0</v>
      </c>
      <c r="AY28">
        <f t="shared" si="4"/>
        <v>0</v>
      </c>
      <c r="AZ28" s="26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26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26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26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26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26" cm="1">
        <f t="array" ref="BI28">$G$14+VLOOKUP($R28,武学奇术!$A:$ZZ,16,FALSE)+SUM(_xlfn.XLOOKUP(S28:AG28,增益!$A:$A,增益!$P:$P,0))</f>
        <v>0</v>
      </c>
      <c r="BJ28" s="21">
        <f>MIN(IF(VLOOKUP($R28,武学奇术!$A:$ZZ,23,FALSE)=1,100%,$B$8),100%)</f>
        <v>0.8229</v>
      </c>
      <c r="BK28" s="21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0.2285</v>
      </c>
      <c r="BL28" s="21" cm="1">
        <f t="array" ref="BL28">1+$B$13+VLOOKUP($R28,武学奇术!$A:$ZZ,18,FALSE)+SUM(_xlfn.XLOOKUP(S28:AG28,增益!$A:$A,增益!$R:$R,0))</f>
        <v>1.5</v>
      </c>
      <c r="BM28" s="21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0.4495</v>
      </c>
      <c r="BN28" s="21" cm="1">
        <f t="array" ref="BN28">1+$B$14+VLOOKUP($R28,武学奇术!$A:$ZZ,20,FALSE)+SUM(_xlfn.XLOOKUP(S28:AG28,增益!$A:$A,增益!$T:$T,0))</f>
        <v>1.562</v>
      </c>
      <c r="BO28" s="21">
        <f t="shared" si="9"/>
        <v>0.18803265</v>
      </c>
      <c r="BP28" s="21">
        <f t="shared" si="10"/>
        <v>0.2649738</v>
      </c>
      <c r="BQ28" s="21">
        <f>IF(VLOOKUP($R28,武学奇术!$A:$ZZ,22,FALSE)=1,0,(1-$BJ28))*(1-$BM28)</f>
        <v>0.09749355</v>
      </c>
      <c r="BR28" s="21" cm="1">
        <f t="array" ref="BR28">SUM(_xlfn.XLOOKUP(S28:AG28,增益!$A:$A,增益!$W:$W,0))+$I$5</f>
        <v>0.06</v>
      </c>
    </row>
    <row r="29" spans="1:70">
      <c r="K29" s="24">
        <f>$L29*VLOOKUP($R29,武学奇术!$A:$ZZ,31,FALSE)</f>
        <v>28714.0333646583</v>
      </c>
      <c r="L29" s="24">
        <f t="shared" si="0"/>
        <v>28714.0333646583</v>
      </c>
      <c r="M29" s="2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流血",$B$21,0))*(1+$BR29)</f>
        <v>26174.1553151091</v>
      </c>
      <c r="N29" s="24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流血",$B$21,0))*(1+$BR29)</f>
        <v>40731.1399553333</v>
      </c>
      <c r="O29" s="24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流血",$B$21,0))*(1+$BR29)</f>
        <v>17449.4368767394</v>
      </c>
      <c r="P29" s="24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流血",$B$21,0))*(1+$BR29)</f>
        <v>8822.59977439212</v>
      </c>
      <c r="Q29" s="31">
        <v>1</v>
      </c>
      <c r="R29" s="32" t="s">
        <v>86</v>
      </c>
      <c r="S29" s="32" t="s">
        <v>87</v>
      </c>
      <c r="T29" s="32" t="s">
        <v>104</v>
      </c>
      <c r="U29" s="32" t="s">
        <v>73</v>
      </c>
      <c r="V29" s="32" t="s">
        <v>73</v>
      </c>
      <c r="W29" s="32" t="s">
        <v>73</v>
      </c>
      <c r="X29" s="32" t="s">
        <v>127</v>
      </c>
      <c r="Y29" s="32" t="s">
        <v>73</v>
      </c>
      <c r="Z29" s="32" t="s">
        <v>73</v>
      </c>
      <c r="AA29" s="32" t="s">
        <v>73</v>
      </c>
      <c r="AB29" s="32" t="s">
        <v>75</v>
      </c>
      <c r="AC29" s="32" t="s">
        <v>76</v>
      </c>
      <c r="AD29" s="32" t="s">
        <v>82</v>
      </c>
      <c r="AE29" s="32" t="s">
        <v>73</v>
      </c>
      <c r="AF29" s="32" t="s">
        <v>73</v>
      </c>
      <c r="AG29" s="32" t="s">
        <v>158</v>
      </c>
      <c r="AH29" t="str">
        <f>VLOOKUP($R29,武学奇术!$A:$ZZ,25,FALSE)</f>
        <v>剑</v>
      </c>
      <c r="AI29" s="21">
        <f>VLOOKUP($R29,武学奇术!$A:$ZZ,26,FALSE)</f>
        <v>1.1781</v>
      </c>
      <c r="AJ29" s="22">
        <f>VLOOKUP($R29,武学奇术!$A:$ZZ,27,FALSE)*(1+IF(OR($AH29=$F$4,$AH29=$F$5),$B$22,0))</f>
        <v>489</v>
      </c>
      <c r="AK29" s="21">
        <f>VLOOKUP($R29,武学奇术!$A:$ZZ,28,FALSE)</f>
        <v>1.7672</v>
      </c>
      <c r="AL29" s="22">
        <f>VLOOKUP($R29,武学奇术!$A:$ZZ,29,FALSE)*(1+IF(OR($AH29=$F$4,$AH29=$F$5),$B$22,0))</f>
        <v>265.5</v>
      </c>
      <c r="AM29" s="21" cm="1">
        <f t="array" ref="AM29">$G$3+IFERROR(VLOOKUP($AH29,$F$4:$G$7,2,FALSE),0)+VLOOKUP($R29,武学奇术!$A:$ZZ,2,FALSE)+SUM(_xlfn.XLOOKUP($S29:$AG29,增益!$A:$A,增益!$B:$B,0))</f>
        <v>0.6391</v>
      </c>
      <c r="AN29" s="21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1794.28</v>
      </c>
      <c r="AP29" cm="1">
        <f t="array" ref="AP29">$E$10*(1+$AN29)+VLOOKUP($R29,武学奇术!$A:$ZZ,4,FALSE)+SUM(_xlfn.XLOOKUP($S29:$AG29,增益!$A:$A,增益!$D:$D,0))-$I$2</f>
        <v>7726.36</v>
      </c>
      <c r="AQ29" s="26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0.244</v>
      </c>
      <c r="AR29" s="26" cm="1">
        <f t="array" ref="AR29">$G$10+VLOOKUP($R29,武学奇术!$A:$ZZ,7,FALSE)+SUM(_xlfn.XLOOKUP(S29:AG29,增益!$A:$A,增益!$G:$G,0))</f>
        <v>0</v>
      </c>
      <c r="AS29" s="21" cm="1">
        <f t="array" ref="AS29">VLOOKUP($R29,武学奇术!$A:$ZZ,8,FALSE)+SUM(_xlfn.XLOOKUP(S29:AG29,增益!$A:$A,增益!$H:$H,0))</f>
        <v>0</v>
      </c>
      <c r="AT29">
        <f t="shared" si="1"/>
        <v>680.02</v>
      </c>
      <c r="AU29">
        <f t="shared" si="2"/>
        <v>1288.54</v>
      </c>
      <c r="AV29" s="26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</v>
      </c>
      <c r="AW29" s="26" cm="1">
        <f t="array" ref="AW29">$G$11+VLOOKUP($R29,武学奇术!$A:$ZZ,10,FALSE)+SUM(_xlfn.XLOOKUP(S29:AG29,增益!$A:$A,增益!$J:$J,0))</f>
        <v>0.15</v>
      </c>
      <c r="AX29">
        <f t="shared" si="3"/>
        <v>0</v>
      </c>
      <c r="AY29">
        <f t="shared" si="4"/>
        <v>0</v>
      </c>
      <c r="AZ29" s="26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26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26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26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26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26" cm="1">
        <f t="array" ref="BI29">$G$14+VLOOKUP($R29,武学奇术!$A:$ZZ,16,FALSE)+SUM(_xlfn.XLOOKUP(S29:AG29,增益!$A:$A,增益!$P:$P,0))</f>
        <v>0</v>
      </c>
      <c r="BJ29" s="21">
        <f>MIN(IF(VLOOKUP($R29,武学奇术!$A:$ZZ,23,FALSE)=1,100%,$B$8),100%)</f>
        <v>0.8229</v>
      </c>
      <c r="BK29" s="21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0.2285</v>
      </c>
      <c r="BL29" s="21" cm="1">
        <f t="array" ref="BL29">1+$B$13+VLOOKUP($R29,武学奇术!$A:$ZZ,18,FALSE)+SUM(_xlfn.XLOOKUP(S29:AG29,增益!$A:$A,增益!$R:$R,0))</f>
        <v>1.5</v>
      </c>
      <c r="BM29" s="21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0.4495</v>
      </c>
      <c r="BN29" s="21" cm="1">
        <f t="array" ref="BN29">1+$B$14+VLOOKUP($R29,武学奇术!$A:$ZZ,20,FALSE)+SUM(_xlfn.XLOOKUP(S29:AG29,增益!$A:$A,增益!$T:$T,0))</f>
        <v>1.562</v>
      </c>
      <c r="BO29" s="21">
        <f t="shared" si="9"/>
        <v>0.18803265</v>
      </c>
      <c r="BP29" s="21">
        <f t="shared" si="10"/>
        <v>0.2649738</v>
      </c>
      <c r="BQ29" s="21">
        <f>IF(VLOOKUP($R29,武学奇术!$A:$ZZ,22,FALSE)=1,0,(1-$BJ29))*(1-$BM29)</f>
        <v>0.09749355</v>
      </c>
      <c r="BR29" s="21" cm="1">
        <f t="array" ref="BR29">SUM(_xlfn.XLOOKUP(S29:AG29,增益!$A:$A,增益!$W:$W,0))+$I$5</f>
        <v>0.06</v>
      </c>
    </row>
    <row r="30" spans="1:70">
      <c r="K30" s="24">
        <f>$L30*VLOOKUP($R30,武学奇术!$A:$ZZ,31,FALSE)</f>
        <v>110767.447557858</v>
      </c>
      <c r="L30" s="24">
        <f t="shared" si="0"/>
        <v>184612.412596429</v>
      </c>
      <c r="M30" s="2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流血",$B$21,0))*(1+$BR30)</f>
        <v>102402.363859914</v>
      </c>
      <c r="N30" s="24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流血",$B$21,0))*(1+$BR30)</f>
        <v>184612.412596429</v>
      </c>
      <c r="O30" s="24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流血",$B$21,0))*(1+$BR30)</f>
        <v>68268.242573276</v>
      </c>
      <c r="P30" s="24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流血",$B$21,0))*(1+$BR30)</f>
        <v>30559.2104069253</v>
      </c>
      <c r="Q30" s="31">
        <v>1</v>
      </c>
      <c r="R30" s="32" t="s">
        <v>120</v>
      </c>
      <c r="S30" s="32" t="s">
        <v>87</v>
      </c>
      <c r="T30" s="32" t="s">
        <v>96</v>
      </c>
      <c r="U30" s="32" t="s">
        <v>97</v>
      </c>
      <c r="V30" s="32" t="s">
        <v>98</v>
      </c>
      <c r="W30" s="32" t="s">
        <v>73</v>
      </c>
      <c r="X30" s="32" t="s">
        <v>127</v>
      </c>
      <c r="Y30" s="32" t="s">
        <v>73</v>
      </c>
      <c r="Z30" s="32" t="s">
        <v>73</v>
      </c>
      <c r="AA30" s="32" t="s">
        <v>73</v>
      </c>
      <c r="AB30" s="32" t="s">
        <v>75</v>
      </c>
      <c r="AC30" s="32" t="s">
        <v>76</v>
      </c>
      <c r="AD30" s="32" t="s">
        <v>82</v>
      </c>
      <c r="AE30" s="32" t="s">
        <v>73</v>
      </c>
      <c r="AF30" s="32" t="s">
        <v>73</v>
      </c>
      <c r="AG30" s="32" t="s">
        <v>158</v>
      </c>
      <c r="AH30" t="str">
        <f>VLOOKUP($R30,武学奇术!$A:$ZZ,25,FALSE)</f>
        <v>剑</v>
      </c>
      <c r="AI30" s="21">
        <f>VLOOKUP($R30,武学奇术!$A:$ZZ,26,FALSE)</f>
        <v>2.52</v>
      </c>
      <c r="AJ30" s="22">
        <f>VLOOKUP($R30,武学奇术!$A:$ZZ,27,FALSE)*(1+IF(OR($AH30=$F$4,$AH30=$F$5),$B$22,0))</f>
        <v>0</v>
      </c>
      <c r="AK30" s="21">
        <f>VLOOKUP($R30,武学奇术!$A:$ZZ,28,FALSE)</f>
        <v>3.78</v>
      </c>
      <c r="AL30" s="22">
        <f>VLOOKUP($R30,武学奇术!$A:$ZZ,29,FALSE)*(1+IF(OR($AH30=$F$4,$AH30=$F$5),$B$22,0))</f>
        <v>0</v>
      </c>
      <c r="AM30" s="21" cm="1">
        <f t="array" ref="AM30">$G$3+IFERROR(VLOOKUP($AH30,$F$4:$G$7,2,FALSE),0)+VLOOKUP($R30,武学奇术!$A:$ZZ,2,FALSE)+SUM(_xlfn.XLOOKUP($S30:$AG30,增益!$A:$A,增益!$B:$B,0))</f>
        <v>1.3891</v>
      </c>
      <c r="AN30" s="21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1794.28</v>
      </c>
      <c r="AP30" cm="1">
        <f t="array" ref="AP30">$E$10*(1+$AN30)+VLOOKUP($R30,武学奇术!$A:$ZZ,4,FALSE)+SUM(_xlfn.XLOOKUP($S30:$AG30,增益!$A:$A,增益!$D:$D,0))-$I$2</f>
        <v>7726.36</v>
      </c>
      <c r="AQ30" s="26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0.319</v>
      </c>
      <c r="AR30" s="26" cm="1">
        <f t="array" ref="AR30">$G$10+VLOOKUP($R30,武学奇术!$A:$ZZ,7,FALSE)+SUM(_xlfn.XLOOKUP(S30:AG30,增益!$A:$A,增益!$G:$G,0))</f>
        <v>0</v>
      </c>
      <c r="AS30" s="21" cm="1">
        <f t="array" ref="AS30">VLOOKUP($R30,武学奇术!$A:$ZZ,8,FALSE)+SUM(_xlfn.XLOOKUP(S30:AG30,增益!$A:$A,增益!$H:$H,0))</f>
        <v>0</v>
      </c>
      <c r="AT30">
        <f t="shared" si="1"/>
        <v>680.02</v>
      </c>
      <c r="AU30">
        <f t="shared" si="2"/>
        <v>1288.54</v>
      </c>
      <c r="AV30" s="26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0.075</v>
      </c>
      <c r="AW30" s="26" cm="1">
        <f t="array" ref="AW30">$G$11+VLOOKUP($R30,武学奇术!$A:$ZZ,10,FALSE)+SUM(_xlfn.XLOOKUP(S30:AG30,增益!$A:$A,增益!$J:$J,0))</f>
        <v>0.15</v>
      </c>
      <c r="AX30">
        <f t="shared" si="3"/>
        <v>0</v>
      </c>
      <c r="AY30">
        <f t="shared" si="4"/>
        <v>0</v>
      </c>
      <c r="AZ30" s="26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26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26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26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26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26" cm="1">
        <f t="array" ref="BI30">$G$14+VLOOKUP($R30,武学奇术!$A:$ZZ,16,FALSE)+SUM(_xlfn.XLOOKUP(S30:AG30,增益!$A:$A,增益!$P:$P,0))</f>
        <v>0</v>
      </c>
      <c r="BJ30" s="21">
        <f>MIN(IF(VLOOKUP($R30,武学奇术!$A:$ZZ,23,FALSE)=1,100%,$B$8),100%)</f>
        <v>0.8229</v>
      </c>
      <c r="BK30" s="21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</v>
      </c>
      <c r="BL30" s="21" cm="1">
        <f t="array" ref="BL30">1+$B$13+VLOOKUP($R30,武学奇术!$A:$ZZ,18,FALSE)+SUM(_xlfn.XLOOKUP(S30:AG30,增益!$A:$A,增益!$R:$R,0))</f>
        <v>1.5</v>
      </c>
      <c r="BM30" s="21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1</v>
      </c>
      <c r="BN30" s="21" cm="1">
        <f t="array" ref="BN30">1+$B$14+VLOOKUP($R30,武学奇术!$A:$ZZ,20,FALSE)+SUM(_xlfn.XLOOKUP(S30:AG30,增益!$A:$A,增益!$T:$T,0))</f>
        <v>1.742</v>
      </c>
      <c r="BO30" s="21">
        <f t="shared" si="9"/>
        <v>0</v>
      </c>
      <c r="BP30" s="21">
        <f t="shared" si="10"/>
        <v>0</v>
      </c>
      <c r="BQ30" s="21">
        <f>IF(VLOOKUP($R30,武学奇术!$A:$ZZ,22,FALSE)=1,0,(1-$BJ30))*(1-$BM30)</f>
        <v>0</v>
      </c>
      <c r="BR30" s="21" cm="1">
        <f t="array" ref="BR30">SUM(_xlfn.XLOOKUP(S30:AG30,增益!$A:$A,增益!$W:$W,0))+$I$5</f>
        <v>0.06</v>
      </c>
    </row>
    <row r="31" spans="1:70">
      <c r="K31" s="24">
        <f>$L31*VLOOKUP($R31,武学奇术!$A:$ZZ,31,FALSE)</f>
        <v>73984.1333200018</v>
      </c>
      <c r="L31" s="24">
        <f t="shared" si="0"/>
        <v>123306.88886667</v>
      </c>
      <c r="M31" s="2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流血",$B$21,0))*(1+$BR31)</f>
        <v>102402.363859914</v>
      </c>
      <c r="N31" s="24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流血",$B$21,0))*(1+$BR31)</f>
        <v>184612.412596429</v>
      </c>
      <c r="O31" s="24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流血",$B$21,0))*(1+$BR31)</f>
        <v>68268.242573276</v>
      </c>
      <c r="P31" s="24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流血",$B$21,0))*(1+$BR31)</f>
        <v>30559.2104069253</v>
      </c>
      <c r="Q31" s="31">
        <v>1</v>
      </c>
      <c r="R31" s="32" t="s">
        <v>95</v>
      </c>
      <c r="S31" s="32" t="s">
        <v>87</v>
      </c>
      <c r="T31" s="32" t="s">
        <v>96</v>
      </c>
      <c r="U31" s="32" t="s">
        <v>97</v>
      </c>
      <c r="V31" s="32" t="s">
        <v>98</v>
      </c>
      <c r="W31" s="32" t="s">
        <v>73</v>
      </c>
      <c r="X31" s="32" t="s">
        <v>127</v>
      </c>
      <c r="Y31" s="32" t="s">
        <v>73</v>
      </c>
      <c r="Z31" s="32" t="s">
        <v>73</v>
      </c>
      <c r="AA31" s="32" t="s">
        <v>73</v>
      </c>
      <c r="AB31" s="32" t="s">
        <v>75</v>
      </c>
      <c r="AC31" s="32" t="s">
        <v>76</v>
      </c>
      <c r="AD31" s="32" t="s">
        <v>82</v>
      </c>
      <c r="AE31" s="32" t="s">
        <v>73</v>
      </c>
      <c r="AF31" s="32" t="s">
        <v>73</v>
      </c>
      <c r="AG31" s="32" t="s">
        <v>158</v>
      </c>
      <c r="AH31" t="str">
        <f>VLOOKUP($R31,武学奇术!$A:$ZZ,25,FALSE)</f>
        <v>剑</v>
      </c>
      <c r="AI31" s="21">
        <f>VLOOKUP($R31,武学奇术!$A:$ZZ,26,FALSE)</f>
        <v>2.52</v>
      </c>
      <c r="AJ31" s="22">
        <f>VLOOKUP($R31,武学奇术!$A:$ZZ,27,FALSE)*(1+IF(OR($AH31=$F$4,$AH31=$F$5),$B$22,0))</f>
        <v>0</v>
      </c>
      <c r="AK31" s="21">
        <f>VLOOKUP($R31,武学奇术!$A:$ZZ,28,FALSE)</f>
        <v>3.78</v>
      </c>
      <c r="AL31" s="22">
        <f>VLOOKUP($R31,武学奇术!$A:$ZZ,29,FALSE)*(1+IF(OR($AH31=$F$4,$AH31=$F$5),$B$22,0))</f>
        <v>0</v>
      </c>
      <c r="AM31" s="21" cm="1">
        <f t="array" ref="AM31">$G$3+IFERROR(VLOOKUP($AH31,$F$4:$G$7,2,FALSE),0)+VLOOKUP($R31,武学奇术!$A:$ZZ,2,FALSE)+SUM(_xlfn.XLOOKUP($S31:$AG31,增益!$A:$A,增益!$B:$B,0))</f>
        <v>1.3891</v>
      </c>
      <c r="AN31" s="21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1794.28</v>
      </c>
      <c r="AP31" cm="1">
        <f t="array" ref="AP31">$E$10*(1+$AN31)+VLOOKUP($R31,武学奇术!$A:$ZZ,4,FALSE)+SUM(_xlfn.XLOOKUP($S31:$AG31,增益!$A:$A,增益!$D:$D,0))-$I$2</f>
        <v>7726.36</v>
      </c>
      <c r="AQ31" s="26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0.319</v>
      </c>
      <c r="AR31" s="26" cm="1">
        <f t="array" ref="AR31">$G$10+VLOOKUP($R31,武学奇术!$A:$ZZ,7,FALSE)+SUM(_xlfn.XLOOKUP(S31:AG31,增益!$A:$A,增益!$G:$G,0))</f>
        <v>0</v>
      </c>
      <c r="AS31" s="21" cm="1">
        <f t="array" ref="AS31">VLOOKUP($R31,武学奇术!$A:$ZZ,8,FALSE)+SUM(_xlfn.XLOOKUP(S31:AG31,增益!$A:$A,增益!$H:$H,0))</f>
        <v>0</v>
      </c>
      <c r="AT31">
        <f t="shared" si="1"/>
        <v>680.02</v>
      </c>
      <c r="AU31">
        <f t="shared" si="2"/>
        <v>1288.54</v>
      </c>
      <c r="AV31" s="26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0.075</v>
      </c>
      <c r="AW31" s="26" cm="1">
        <f t="array" ref="AW31">$G$11+VLOOKUP($R31,武学奇术!$A:$ZZ,10,FALSE)+SUM(_xlfn.XLOOKUP(S31:AG31,增益!$A:$A,增益!$J:$J,0))</f>
        <v>0.15</v>
      </c>
      <c r="AX31">
        <f t="shared" si="3"/>
        <v>0</v>
      </c>
      <c r="AY31">
        <f t="shared" si="4"/>
        <v>0</v>
      </c>
      <c r="AZ31" s="26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26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26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26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26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26" cm="1">
        <f t="array" ref="BI31">$G$14+VLOOKUP($R31,武学奇术!$A:$ZZ,16,FALSE)+SUM(_xlfn.XLOOKUP(S31:AG31,增益!$A:$A,增益!$P:$P,0))</f>
        <v>0</v>
      </c>
      <c r="BJ31" s="21">
        <f>MIN(IF(VLOOKUP($R31,武学奇术!$A:$ZZ,23,FALSE)=1,100%,$B$8),100%)</f>
        <v>0.8229</v>
      </c>
      <c r="BK31" s="21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0.2285</v>
      </c>
      <c r="BL31" s="21" cm="1">
        <f t="array" ref="BL31">1+$B$13+VLOOKUP($R31,武学奇术!$A:$ZZ,18,FALSE)+SUM(_xlfn.XLOOKUP(S31:AG31,增益!$A:$A,增益!$R:$R,0))</f>
        <v>1.5</v>
      </c>
      <c r="BM31" s="21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0.4495</v>
      </c>
      <c r="BN31" s="21" cm="1">
        <f t="array" ref="BN31">1+$B$14+VLOOKUP($R31,武学奇术!$A:$ZZ,20,FALSE)+SUM(_xlfn.XLOOKUP(S31:AG31,增益!$A:$A,增益!$T:$T,0))</f>
        <v>1.742</v>
      </c>
      <c r="BO31" s="21">
        <f t="shared" si="9"/>
        <v>0.18803265</v>
      </c>
      <c r="BP31" s="21">
        <f t="shared" si="10"/>
        <v>0.2649738</v>
      </c>
      <c r="BQ31" s="21">
        <f>IF(VLOOKUP($R31,武学奇术!$A:$ZZ,22,FALSE)=1,0,(1-$BJ31))*(1-$BM31)</f>
        <v>0.09749355</v>
      </c>
      <c r="BR31" s="21" cm="1">
        <f t="array" ref="BR31">SUM(_xlfn.XLOOKUP(S31:AG31,增益!$A:$A,增益!$W:$W,0))+$I$5</f>
        <v>0.06</v>
      </c>
    </row>
    <row r="32" spans="1:70">
      <c r="K32" s="24">
        <f>$L32*VLOOKUP($R32,武学奇术!$A:$ZZ,31,FALSE)</f>
        <v>13909.6032285636</v>
      </c>
      <c r="L32" s="24">
        <f t="shared" si="0"/>
        <v>13909.6032285636</v>
      </c>
      <c r="M32" s="2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流血",$B$21,0))*(1+$BR32)</f>
        <v>12411.4255420891</v>
      </c>
      <c r="N32" s="24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流血",$B$21,0))*(1+$BR32)</f>
        <v>20073.1621782321</v>
      </c>
      <c r="O32" s="24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流血",$B$21,0))*(1+$BR32)</f>
        <v>8274.28369472605</v>
      </c>
      <c r="P32" s="24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流血",$B$21,0))*(1+$BR32)</f>
        <v>3697.63129583358</v>
      </c>
      <c r="Q32" s="31">
        <v>1</v>
      </c>
      <c r="R32" s="32" t="s">
        <v>103</v>
      </c>
      <c r="S32" s="32" t="s">
        <v>87</v>
      </c>
      <c r="T32" s="32" t="s">
        <v>104</v>
      </c>
      <c r="U32" s="32" t="s">
        <v>73</v>
      </c>
      <c r="V32" s="32" t="s">
        <v>73</v>
      </c>
      <c r="W32" s="32" t="s">
        <v>73</v>
      </c>
      <c r="X32" s="32" t="s">
        <v>127</v>
      </c>
      <c r="Y32" s="32" t="s">
        <v>73</v>
      </c>
      <c r="Z32" s="32" t="s">
        <v>73</v>
      </c>
      <c r="AA32" s="32" t="s">
        <v>73</v>
      </c>
      <c r="AB32" s="32" t="s">
        <v>75</v>
      </c>
      <c r="AC32" s="32" t="s">
        <v>76</v>
      </c>
      <c r="AD32" s="32" t="s">
        <v>82</v>
      </c>
      <c r="AE32" s="32" t="s">
        <v>73</v>
      </c>
      <c r="AF32" s="32" t="s">
        <v>73</v>
      </c>
      <c r="AG32" s="32" t="s">
        <v>158</v>
      </c>
      <c r="AH32" t="str">
        <f>VLOOKUP($R32,武学奇术!$A:$ZZ,25,FALSE)</f>
        <v>剑</v>
      </c>
      <c r="AI32" s="21">
        <f>VLOOKUP($R32,武学奇术!$A:$ZZ,26,FALSE)</f>
        <v>0.625</v>
      </c>
      <c r="AJ32" s="22">
        <f>VLOOKUP($R32,武学奇术!$A:$ZZ,27,FALSE)*(1+IF(OR($AH32=$F$4,$AH32=$F$5),$B$22,0))</f>
        <v>0</v>
      </c>
      <c r="AK32" s="21">
        <f>VLOOKUP($R32,武学奇术!$A:$ZZ,28,FALSE)</f>
        <v>0.9375</v>
      </c>
      <c r="AL32" s="22">
        <f>VLOOKUP($R32,武学奇术!$A:$ZZ,29,FALSE)*(1+IF(OR($AH32=$F$4,$AH32=$F$5),$B$22,0))</f>
        <v>0</v>
      </c>
      <c r="AM32" s="21" cm="1">
        <f t="array" ref="AM32">$G$3+IFERROR(VLOOKUP($AH32,$F$4:$G$7,2,FALSE),0)+VLOOKUP($R32,武学奇术!$A:$ZZ,2,FALSE)+SUM(_xlfn.XLOOKUP($S32:$AG32,增益!$A:$A,增益!$B:$B,0))</f>
        <v>0.6391</v>
      </c>
      <c r="AN32" s="21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1794.28</v>
      </c>
      <c r="AP32" cm="1">
        <f t="array" ref="AP32">$E$10*(1+$AN32)+VLOOKUP($R32,武学奇术!$A:$ZZ,4,FALSE)+SUM(_xlfn.XLOOKUP($S32:$AG32,增益!$A:$A,增益!$D:$D,0))-$I$2</f>
        <v>7726.36</v>
      </c>
      <c r="AQ32" s="26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0.244</v>
      </c>
      <c r="AR32" s="26" cm="1">
        <f t="array" ref="AR32">$G$10+VLOOKUP($R32,武学奇术!$A:$ZZ,7,FALSE)+SUM(_xlfn.XLOOKUP(S32:AG32,增益!$A:$A,增益!$G:$G,0))</f>
        <v>0</v>
      </c>
      <c r="AS32" s="21" cm="1">
        <f t="array" ref="AS32">VLOOKUP($R32,武学奇术!$A:$ZZ,8,FALSE)+SUM(_xlfn.XLOOKUP(S32:AG32,增益!$A:$A,增益!$H:$H,0))</f>
        <v>0</v>
      </c>
      <c r="AT32">
        <f t="shared" si="1"/>
        <v>680.02</v>
      </c>
      <c r="AU32">
        <f t="shared" si="2"/>
        <v>1288.54</v>
      </c>
      <c r="AV32" s="26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</v>
      </c>
      <c r="AW32" s="26" cm="1">
        <f t="array" ref="AW32">$G$11+VLOOKUP($R32,武学奇术!$A:$ZZ,10,FALSE)+SUM(_xlfn.XLOOKUP(S32:AG32,增益!$A:$A,增益!$J:$J,0))</f>
        <v>0.15</v>
      </c>
      <c r="AX32">
        <f t="shared" si="3"/>
        <v>0</v>
      </c>
      <c r="AY32">
        <f t="shared" si="4"/>
        <v>0</v>
      </c>
      <c r="AZ32" s="26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26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26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26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26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26" cm="1">
        <f t="array" ref="BI32">$G$14+VLOOKUP($R32,武学奇术!$A:$ZZ,16,FALSE)+SUM(_xlfn.XLOOKUP(S32:AG32,增益!$A:$A,增益!$P:$P,0))</f>
        <v>0</v>
      </c>
      <c r="BJ32" s="21">
        <f>MIN(IF(VLOOKUP($R32,武学奇术!$A:$ZZ,23,FALSE)=1,100%,$B$8),100%)</f>
        <v>0.8229</v>
      </c>
      <c r="BK32" s="21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0.2285</v>
      </c>
      <c r="BL32" s="21" cm="1">
        <f t="array" ref="BL32">1+$B$13+VLOOKUP($R32,武学奇术!$A:$ZZ,18,FALSE)+SUM(_xlfn.XLOOKUP(S32:AG32,增益!$A:$A,增益!$R:$R,0))</f>
        <v>1.5</v>
      </c>
      <c r="BM32" s="21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0.4495</v>
      </c>
      <c r="BN32" s="21" cm="1">
        <f t="array" ref="BN32">1+$B$14+VLOOKUP($R32,武学奇术!$A:$ZZ,20,FALSE)+SUM(_xlfn.XLOOKUP(S32:AG32,增益!$A:$A,增益!$T:$T,0))</f>
        <v>1.562</v>
      </c>
      <c r="BO32" s="21">
        <f t="shared" si="9"/>
        <v>0.18803265</v>
      </c>
      <c r="BP32" s="21">
        <f t="shared" si="10"/>
        <v>0.2649738</v>
      </c>
      <c r="BQ32" s="21">
        <f>IF(VLOOKUP($R32,武学奇术!$A:$ZZ,22,FALSE)=1,0,(1-$BJ32))*(1-$BM32)</f>
        <v>0.09749355</v>
      </c>
      <c r="BR32" s="21" cm="1">
        <f t="array" ref="BR32">SUM(_xlfn.XLOOKUP(S32:AG32,增益!$A:$A,增益!$W:$W,0))+$I$5</f>
        <v>0.06</v>
      </c>
    </row>
    <row r="33" spans="11:70">
      <c r="K33" s="24">
        <f>$L33*VLOOKUP($R33,武学奇术!$A:$ZZ,31,FALSE)</f>
        <v>23837.3627003105</v>
      </c>
      <c r="L33" s="24">
        <f t="shared" si="0"/>
        <v>23837.3627003105</v>
      </c>
      <c r="M33" s="2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流血",$B$21,0))*(1+$BR33)</f>
        <v>21641.1285473597</v>
      </c>
      <c r="N33" s="24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流血",$B$21,0))*(1+$BR33)</f>
        <v>33890.8706551638</v>
      </c>
      <c r="O33" s="24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流血",$B$21,0))*(1+$BR33)</f>
        <v>14427.4190315731</v>
      </c>
      <c r="P33" s="24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流血",$B$21,0))*(1+$BR33)</f>
        <v>7295.7600382329</v>
      </c>
      <c r="Q33" s="31">
        <v>1</v>
      </c>
      <c r="R33" s="32" t="s">
        <v>108</v>
      </c>
      <c r="S33" s="32" t="s">
        <v>87</v>
      </c>
      <c r="T33" s="32" t="s">
        <v>104</v>
      </c>
      <c r="U33" s="32" t="s">
        <v>73</v>
      </c>
      <c r="V33" s="32" t="s">
        <v>73</v>
      </c>
      <c r="W33" s="32" t="s">
        <v>73</v>
      </c>
      <c r="X33" s="32" t="s">
        <v>127</v>
      </c>
      <c r="Y33" s="32" t="s">
        <v>73</v>
      </c>
      <c r="Z33" s="32" t="s">
        <v>73</v>
      </c>
      <c r="AA33" s="32" t="s">
        <v>73</v>
      </c>
      <c r="AB33" s="32" t="s">
        <v>75</v>
      </c>
      <c r="AC33" s="32" t="s">
        <v>76</v>
      </c>
      <c r="AD33" s="32" t="s">
        <v>82</v>
      </c>
      <c r="AE33" s="32" t="s">
        <v>73</v>
      </c>
      <c r="AF33" s="32" t="s">
        <v>73</v>
      </c>
      <c r="AG33" s="32" t="s">
        <v>169</v>
      </c>
      <c r="AH33" t="str">
        <f>VLOOKUP($R33,武学奇术!$A:$ZZ,25,FALSE)</f>
        <v>枪</v>
      </c>
      <c r="AI33" s="21">
        <f>VLOOKUP($R33,武学奇术!$A:$ZZ,26,FALSE)</f>
        <v>1.02732</v>
      </c>
      <c r="AJ33" s="22">
        <f>VLOOKUP($R33,武学奇术!$A:$ZZ,27,FALSE)*(1+IF(OR($AH33=$F$4,$AH33=$F$5),$B$22,0))</f>
        <v>426.6</v>
      </c>
      <c r="AK33" s="21">
        <f>VLOOKUP($R33,武学奇术!$A:$ZZ,28,FALSE)</f>
        <v>1.54096</v>
      </c>
      <c r="AL33" s="22">
        <f>VLOOKUP($R33,武学奇术!$A:$ZZ,29,FALSE)*(1+IF(OR($AH33=$F$4,$AH33=$F$5),$B$22,0))</f>
        <v>232.2</v>
      </c>
      <c r="AM33" s="21" cm="1">
        <f t="array" ref="AM33">$G$3+IFERROR(VLOOKUP($AH33,$F$4:$G$7,2,FALSE),0)+VLOOKUP($R33,武学奇术!$A:$ZZ,2,FALSE)+SUM(_xlfn.XLOOKUP($S33:$AG33,增益!$A:$A,增益!$B:$B,0))</f>
        <v>0.5539</v>
      </c>
      <c r="AN33" s="21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1794.28</v>
      </c>
      <c r="AP33" cm="1">
        <f t="array" ref="AP33">$E$10*(1+$AN33)+VLOOKUP($R33,武学奇术!$A:$ZZ,4,FALSE)+SUM(_xlfn.XLOOKUP($S33:$AG33,增益!$A:$A,增益!$D:$D,0))-$I$2</f>
        <v>7726.36</v>
      </c>
      <c r="AQ33" s="26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0.244</v>
      </c>
      <c r="AR33" s="26" cm="1">
        <f t="array" ref="AR33">$G$10+VLOOKUP($R33,武学奇术!$A:$ZZ,7,FALSE)+SUM(_xlfn.XLOOKUP(S33:AG33,增益!$A:$A,增益!$G:$G,0))</f>
        <v>0</v>
      </c>
      <c r="AS33" s="21" cm="1">
        <f t="array" ref="AS33">VLOOKUP($R33,武学奇术!$A:$ZZ,8,FALSE)+SUM(_xlfn.XLOOKUP(S33:AG33,增益!$A:$A,增益!$H:$H,0))</f>
        <v>0</v>
      </c>
      <c r="AT33">
        <f t="shared" si="1"/>
        <v>680.02</v>
      </c>
      <c r="AU33">
        <f t="shared" si="2"/>
        <v>1288.54</v>
      </c>
      <c r="AV33" s="26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</v>
      </c>
      <c r="AW33" s="26" cm="1">
        <f t="array" ref="AW33">$G$11+VLOOKUP($R33,武学奇术!$A:$ZZ,10,FALSE)+SUM(_xlfn.XLOOKUP(S33:AG33,增益!$A:$A,增益!$J:$J,0))</f>
        <v>0.15</v>
      </c>
      <c r="AX33">
        <f t="shared" si="3"/>
        <v>0</v>
      </c>
      <c r="AY33">
        <f t="shared" si="4"/>
        <v>0</v>
      </c>
      <c r="AZ33" s="26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26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26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26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26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26" cm="1">
        <f t="array" ref="BI33">$G$14+VLOOKUP($R33,武学奇术!$A:$ZZ,16,FALSE)+SUM(_xlfn.XLOOKUP(S33:AG33,增益!$A:$A,增益!$P:$P,0))</f>
        <v>0</v>
      </c>
      <c r="BJ33" s="21">
        <f>MIN(IF(VLOOKUP($R33,武学奇术!$A:$ZZ,23,FALSE)=1,100%,$B$8),100%)</f>
        <v>0.8229</v>
      </c>
      <c r="BK33" s="21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0.2285</v>
      </c>
      <c r="BL33" s="21" cm="1">
        <f t="array" ref="BL33">1+$B$13+VLOOKUP($R33,武学奇术!$A:$ZZ,18,FALSE)+SUM(_xlfn.XLOOKUP(S33:AG33,增益!$A:$A,增益!$R:$R,0))</f>
        <v>1.5</v>
      </c>
      <c r="BM33" s="21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0.4495</v>
      </c>
      <c r="BN33" s="21" cm="1">
        <f t="array" ref="BN33">1+$B$14+VLOOKUP($R33,武学奇术!$A:$ZZ,20,FALSE)+SUM(_xlfn.XLOOKUP(S33:AG33,增益!$A:$A,增益!$T:$T,0))</f>
        <v>1.572</v>
      </c>
      <c r="BO33" s="21">
        <f t="shared" si="9"/>
        <v>0.18803265</v>
      </c>
      <c r="BP33" s="21">
        <f t="shared" si="10"/>
        <v>0.2649738</v>
      </c>
      <c r="BQ33" s="21">
        <f>IF(VLOOKUP($R33,武学奇术!$A:$ZZ,22,FALSE)=1,0,(1-$BJ33))*(1-$BM33)</f>
        <v>0.09749355</v>
      </c>
      <c r="BR33" s="21" cm="1">
        <f t="array" ref="BR33">SUM(_xlfn.XLOOKUP(S33:AG33,增益!$A:$A,增益!$W:$W,0))+$I$5</f>
        <v>0.06</v>
      </c>
    </row>
    <row r="34" spans="11:70">
      <c r="K34" s="24">
        <f>$L34*VLOOKUP($R34,武学奇术!$A:$ZZ,31,FALSE)</f>
        <v>74565.9103733186</v>
      </c>
      <c r="L34" s="24">
        <f t="shared" si="0"/>
        <v>124276.517288864</v>
      </c>
      <c r="M34" s="2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流血",$B$21,0))*(1+$BR34)</f>
        <v>102919.032870865</v>
      </c>
      <c r="N34" s="24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流血",$B$21,0))*(1+$BR34)</f>
        <v>186275.654748617</v>
      </c>
      <c r="O34" s="24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流血",$B$21,0))*(1+$BR34)</f>
        <v>68612.6885805768</v>
      </c>
      <c r="P34" s="24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流血",$B$21,0))*(1+$BR34)</f>
        <v>30903.6564142262</v>
      </c>
      <c r="Q34" s="31">
        <v>1</v>
      </c>
      <c r="R34" s="32" t="s">
        <v>95</v>
      </c>
      <c r="S34" s="32" t="s">
        <v>87</v>
      </c>
      <c r="T34" s="32" t="s">
        <v>96</v>
      </c>
      <c r="U34" s="32" t="s">
        <v>97</v>
      </c>
      <c r="V34" s="32" t="s">
        <v>98</v>
      </c>
      <c r="W34" s="32" t="s">
        <v>111</v>
      </c>
      <c r="X34" s="32" t="s">
        <v>127</v>
      </c>
      <c r="Y34" s="32" t="s">
        <v>73</v>
      </c>
      <c r="Z34" s="32" t="s">
        <v>73</v>
      </c>
      <c r="AA34" s="32" t="s">
        <v>73</v>
      </c>
      <c r="AB34" s="32" t="s">
        <v>75</v>
      </c>
      <c r="AC34" s="32" t="s">
        <v>76</v>
      </c>
      <c r="AD34" s="32" t="s">
        <v>82</v>
      </c>
      <c r="AE34" s="32" t="s">
        <v>73</v>
      </c>
      <c r="AF34" s="32" t="s">
        <v>73</v>
      </c>
      <c r="AG34" s="32" t="s">
        <v>169</v>
      </c>
      <c r="AH34" t="str">
        <f>VLOOKUP($R34,武学奇术!$A:$ZZ,25,FALSE)</f>
        <v>剑</v>
      </c>
      <c r="AI34" s="21">
        <f>VLOOKUP($R34,武学奇术!$A:$ZZ,26,FALSE)</f>
        <v>2.52</v>
      </c>
      <c r="AJ34" s="22">
        <f>VLOOKUP($R34,武学奇术!$A:$ZZ,27,FALSE)*(1+IF(OR($AH34=$F$4,$AH34=$F$5),$B$22,0))</f>
        <v>0</v>
      </c>
      <c r="AK34" s="21">
        <f>VLOOKUP($R34,武学奇术!$A:$ZZ,28,FALSE)</f>
        <v>3.78</v>
      </c>
      <c r="AL34" s="22">
        <f>VLOOKUP($R34,武学奇术!$A:$ZZ,29,FALSE)*(1+IF(OR($AH34=$F$4,$AH34=$F$5),$B$22,0))</f>
        <v>0</v>
      </c>
      <c r="AM34" s="21" cm="1">
        <f t="array" ref="AM34">$G$3+IFERROR(VLOOKUP($AH34,$F$4:$G$7,2,FALSE),0)+VLOOKUP($R34,武学奇术!$A:$ZZ,2,FALSE)+SUM(_xlfn.XLOOKUP($S34:$AG34,增益!$A:$A,增益!$B:$B,0))</f>
        <v>1.3891</v>
      </c>
      <c r="AN34" s="21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1825.28</v>
      </c>
      <c r="AP34" cm="1">
        <f t="array" ref="AP34">$E$10*(1+$AN34)+VLOOKUP($R34,武学奇术!$A:$ZZ,4,FALSE)+SUM(_xlfn.XLOOKUP($S34:$AG34,增益!$A:$A,增益!$D:$D,0))-$I$2</f>
        <v>7757.36</v>
      </c>
      <c r="AQ34" s="26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0.319</v>
      </c>
      <c r="AR34" s="26" cm="1">
        <f t="array" ref="AR34">$G$10+VLOOKUP($R34,武学奇术!$A:$ZZ,7,FALSE)+SUM(_xlfn.XLOOKUP(S34:AG34,增益!$A:$A,增益!$G:$G,0))</f>
        <v>0</v>
      </c>
      <c r="AS34" s="21" cm="1">
        <f t="array" ref="AS34">VLOOKUP($R34,武学奇术!$A:$ZZ,8,FALSE)+SUM(_xlfn.XLOOKUP(S34:AG34,增益!$A:$A,增益!$H:$H,0))</f>
        <v>0</v>
      </c>
      <c r="AT34">
        <f t="shared" si="1"/>
        <v>680.02</v>
      </c>
      <c r="AU34">
        <f t="shared" si="2"/>
        <v>1288.54</v>
      </c>
      <c r="AV34" s="26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0.075</v>
      </c>
      <c r="AW34" s="26" cm="1">
        <f t="array" ref="AW34">$G$11+VLOOKUP($R34,武学奇术!$A:$ZZ,10,FALSE)+SUM(_xlfn.XLOOKUP(S34:AG34,增益!$A:$A,增益!$J:$J,0))</f>
        <v>0.15</v>
      </c>
      <c r="AX34">
        <f t="shared" si="3"/>
        <v>0</v>
      </c>
      <c r="AY34">
        <f t="shared" si="4"/>
        <v>0</v>
      </c>
      <c r="AZ34" s="26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26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26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26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26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26" cm="1">
        <f t="array" ref="BI34">$G$14+VLOOKUP($R34,武学奇术!$A:$ZZ,16,FALSE)+SUM(_xlfn.XLOOKUP(S34:AG34,增益!$A:$A,增益!$P:$P,0))</f>
        <v>0</v>
      </c>
      <c r="BJ34" s="21">
        <f>MIN(IF(VLOOKUP($R34,武学奇术!$A:$ZZ,23,FALSE)=1,100%,$B$8),100%)</f>
        <v>0.8229</v>
      </c>
      <c r="BK34" s="21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0.2285</v>
      </c>
      <c r="BL34" s="21" cm="1">
        <f t="array" ref="BL34">1+$B$13+VLOOKUP($R34,武学奇术!$A:$ZZ,18,FALSE)+SUM(_xlfn.XLOOKUP(S34:AG34,增益!$A:$A,增益!$R:$R,0))</f>
        <v>1.5</v>
      </c>
      <c r="BM34" s="21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0.4495</v>
      </c>
      <c r="BN34" s="21" cm="1">
        <f t="array" ref="BN34">1+$B$14+VLOOKUP($R34,武学奇术!$A:$ZZ,20,FALSE)+SUM(_xlfn.XLOOKUP(S34:AG34,增益!$A:$A,增益!$T:$T,0))</f>
        <v>1.752</v>
      </c>
      <c r="BO34" s="21">
        <f t="shared" si="9"/>
        <v>0.18803265</v>
      </c>
      <c r="BP34" s="21">
        <f t="shared" si="10"/>
        <v>0.2649738</v>
      </c>
      <c r="BQ34" s="21">
        <f>IF(VLOOKUP($R34,武学奇术!$A:$ZZ,22,FALSE)=1,0,(1-$BJ34))*(1-$BM34)</f>
        <v>0.09749355</v>
      </c>
      <c r="BR34" s="21" cm="1">
        <f t="array" ref="BR34">SUM(_xlfn.XLOOKUP(S34:AG34,增益!$A:$A,增益!$W:$W,0))+$I$5</f>
        <v>0.06</v>
      </c>
    </row>
    <row r="35" spans="11:70">
      <c r="K35" s="24">
        <f>$L35*VLOOKUP($R35,武学奇术!$A:$ZZ,31,FALSE)</f>
        <v>49808.5585620793</v>
      </c>
      <c r="L35" s="24">
        <f t="shared" si="0"/>
        <v>49808.5585620793</v>
      </c>
      <c r="M35" s="2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流血",$B$21,0))*(1+$BR35)</f>
        <v>45250.0174076716</v>
      </c>
      <c r="N35" s="24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流血",$B$21,0))*(1+$BR35)</f>
        <v>70776.5569694377</v>
      </c>
      <c r="O35" s="24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流血",$B$21,0))*(1+$BR35)</f>
        <v>30166.6782717811</v>
      </c>
      <c r="P35" s="24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流血",$B$21,0))*(1+$BR35)</f>
        <v>15310.1014739453</v>
      </c>
      <c r="Q35" s="31">
        <v>1</v>
      </c>
      <c r="R35" s="32" t="s">
        <v>80</v>
      </c>
      <c r="S35" s="32" t="s">
        <v>87</v>
      </c>
      <c r="T35" s="32" t="s">
        <v>104</v>
      </c>
      <c r="U35" s="32" t="s">
        <v>73</v>
      </c>
      <c r="V35" s="32" t="s">
        <v>73</v>
      </c>
      <c r="W35" s="32" t="s">
        <v>111</v>
      </c>
      <c r="X35" s="32" t="s">
        <v>127</v>
      </c>
      <c r="Y35" s="32" t="s">
        <v>73</v>
      </c>
      <c r="Z35" s="32" t="s">
        <v>73</v>
      </c>
      <c r="AA35" s="32" t="s">
        <v>73</v>
      </c>
      <c r="AB35" s="32" t="s">
        <v>75</v>
      </c>
      <c r="AC35" s="32" t="s">
        <v>76</v>
      </c>
      <c r="AD35" s="32" t="s">
        <v>82</v>
      </c>
      <c r="AE35" s="32" t="s">
        <v>73</v>
      </c>
      <c r="AF35" s="32" t="s">
        <v>73</v>
      </c>
      <c r="AG35" s="32" t="s">
        <v>169</v>
      </c>
      <c r="AH35" t="str">
        <f>VLOOKUP($R35,武学奇术!$A:$ZZ,25,FALSE)</f>
        <v>枪</v>
      </c>
      <c r="AI35" s="21">
        <f>VLOOKUP($R35,武学奇术!$A:$ZZ,26,FALSE)</f>
        <v>2.1401</v>
      </c>
      <c r="AJ35" s="22">
        <f>VLOOKUP($R35,武学奇术!$A:$ZZ,27,FALSE)*(1+IF(OR($AH35=$F$4,$AH35=$F$5),$B$22,0))</f>
        <v>882</v>
      </c>
      <c r="AK35" s="21">
        <f>VLOOKUP($R35,武学奇术!$A:$ZZ,28,FALSE)</f>
        <v>3.2101</v>
      </c>
      <c r="AL35" s="22">
        <f>VLOOKUP($R35,武学奇术!$A:$ZZ,29,FALSE)*(1+IF(OR($AH35=$F$4,$AH35=$F$5),$B$22,0))</f>
        <v>480</v>
      </c>
      <c r="AM35" s="21" cm="1">
        <f t="array" ref="AM35">$G$3+IFERROR(VLOOKUP($AH35,$F$4:$G$7,2,FALSE),0)+VLOOKUP($R35,武学奇术!$A:$ZZ,2,FALSE)+SUM(_xlfn.XLOOKUP($S35:$AG35,增益!$A:$A,增益!$B:$B,0))</f>
        <v>0.5539</v>
      </c>
      <c r="AN35" s="21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1825.28</v>
      </c>
      <c r="AP35" cm="1">
        <f t="array" ref="AP35">$E$10*(1+$AN35)+VLOOKUP($R35,武学奇术!$A:$ZZ,4,FALSE)+SUM(_xlfn.XLOOKUP($S35:$AG35,增益!$A:$A,增益!$D:$D,0))-$I$2</f>
        <v>7757.36</v>
      </c>
      <c r="AQ35" s="26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0.244</v>
      </c>
      <c r="AR35" s="26" cm="1">
        <f t="array" ref="AR35">$G$10+VLOOKUP($R35,武学奇术!$A:$ZZ,7,FALSE)+SUM(_xlfn.XLOOKUP(S35:AG35,增益!$A:$A,增益!$G:$G,0))</f>
        <v>0</v>
      </c>
      <c r="AS35" s="21" cm="1">
        <f t="array" ref="AS35">VLOOKUP($R35,武学奇术!$A:$ZZ,8,FALSE)+SUM(_xlfn.XLOOKUP(S35:AG35,增益!$A:$A,增益!$H:$H,0))</f>
        <v>0</v>
      </c>
      <c r="AT35">
        <f t="shared" si="1"/>
        <v>680.02</v>
      </c>
      <c r="AU35">
        <f t="shared" si="2"/>
        <v>1288.54</v>
      </c>
      <c r="AV35" s="26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</v>
      </c>
      <c r="AW35" s="26" cm="1">
        <f t="array" ref="AW35">$G$11+VLOOKUP($R35,武学奇术!$A:$ZZ,10,FALSE)+SUM(_xlfn.XLOOKUP(S35:AG35,增益!$A:$A,增益!$J:$J,0))</f>
        <v>0.15</v>
      </c>
      <c r="AX35">
        <f t="shared" si="3"/>
        <v>0</v>
      </c>
      <c r="AY35">
        <f t="shared" si="4"/>
        <v>0</v>
      </c>
      <c r="AZ35" s="26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26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26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26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26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26" cm="1">
        <f t="array" ref="BI35">$G$14+VLOOKUP($R35,武学奇术!$A:$ZZ,16,FALSE)+SUM(_xlfn.XLOOKUP(S35:AG35,增益!$A:$A,增益!$P:$P,0))</f>
        <v>0</v>
      </c>
      <c r="BJ35" s="21">
        <f>MIN(IF(VLOOKUP($R35,武学奇术!$A:$ZZ,23,FALSE)=1,100%,$B$8),100%)</f>
        <v>0.8229</v>
      </c>
      <c r="BK35" s="21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0.2285</v>
      </c>
      <c r="BL35" s="21" cm="1">
        <f t="array" ref="BL35">1+$B$13+VLOOKUP($R35,武学奇术!$A:$ZZ,18,FALSE)+SUM(_xlfn.XLOOKUP(S35:AG35,增益!$A:$A,增益!$R:$R,0))</f>
        <v>1.5</v>
      </c>
      <c r="BM35" s="21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0.4495</v>
      </c>
      <c r="BN35" s="21" cm="1">
        <f t="array" ref="BN35">1+$B$14+VLOOKUP($R35,武学奇术!$A:$ZZ,20,FALSE)+SUM(_xlfn.XLOOKUP(S35:AG35,增益!$A:$A,增益!$T:$T,0))</f>
        <v>1.572</v>
      </c>
      <c r="BO35" s="21">
        <f t="shared" si="9"/>
        <v>0.18803265</v>
      </c>
      <c r="BP35" s="21">
        <f t="shared" si="10"/>
        <v>0.2649738</v>
      </c>
      <c r="BQ35" s="21">
        <f>IF(VLOOKUP($R35,武学奇术!$A:$ZZ,22,FALSE)=1,0,(1-$BJ35))*(1-$BM35)</f>
        <v>0.09749355</v>
      </c>
      <c r="BR35" s="21" cm="1">
        <f t="array" ref="BR35">SUM(_xlfn.XLOOKUP(S35:AG35,增益!$A:$A,增益!$W:$W,0))+$I$5</f>
        <v>0.06</v>
      </c>
    </row>
    <row r="36" spans="11:70">
      <c r="K36" s="24">
        <f>$L36*VLOOKUP($R36,武学奇术!$A:$ZZ,31,FALSE)</f>
        <v>29055.4668144671</v>
      </c>
      <c r="L36" s="24">
        <f t="shared" si="0"/>
        <v>29055.4668144671</v>
      </c>
      <c r="M36" s="2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流血",$B$21,0))*(1+$BR36)</f>
        <v>26292.5594324894</v>
      </c>
      <c r="N36" s="24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流血",$B$21,0))*(1+$BR36)</f>
        <v>41377.5423107122</v>
      </c>
      <c r="O36" s="24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流血",$B$21,0))*(1+$BR36)</f>
        <v>17528.372954993</v>
      </c>
      <c r="P36" s="24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流血",$B$21,0))*(1+$BR36)</f>
        <v>8901.5358526457</v>
      </c>
      <c r="Q36" s="31">
        <v>1</v>
      </c>
      <c r="R36" s="32" t="s">
        <v>86</v>
      </c>
      <c r="S36" s="32" t="s">
        <v>87</v>
      </c>
      <c r="T36" s="32" t="s">
        <v>104</v>
      </c>
      <c r="U36" s="32" t="s">
        <v>73</v>
      </c>
      <c r="V36" s="32" t="s">
        <v>73</v>
      </c>
      <c r="W36" s="32" t="s">
        <v>111</v>
      </c>
      <c r="X36" s="32" t="s">
        <v>127</v>
      </c>
      <c r="Y36" s="32" t="s">
        <v>73</v>
      </c>
      <c r="Z36" s="32" t="s">
        <v>73</v>
      </c>
      <c r="AA36" s="32" t="s">
        <v>81</v>
      </c>
      <c r="AB36" s="32" t="s">
        <v>75</v>
      </c>
      <c r="AC36" s="32" t="s">
        <v>76</v>
      </c>
      <c r="AD36" s="32" t="s">
        <v>82</v>
      </c>
      <c r="AE36" s="32" t="s">
        <v>73</v>
      </c>
      <c r="AF36" s="32" t="s">
        <v>73</v>
      </c>
      <c r="AG36" s="32" t="s">
        <v>172</v>
      </c>
      <c r="AH36" t="str">
        <f>VLOOKUP($R36,武学奇术!$A:$ZZ,25,FALSE)</f>
        <v>剑</v>
      </c>
      <c r="AI36" s="21">
        <f>VLOOKUP($R36,武学奇术!$A:$ZZ,26,FALSE)</f>
        <v>1.1781</v>
      </c>
      <c r="AJ36" s="22">
        <f>VLOOKUP($R36,武学奇术!$A:$ZZ,27,FALSE)*(1+IF(OR($AH36=$F$4,$AH36=$F$5),$B$22,0))</f>
        <v>489</v>
      </c>
      <c r="AK36" s="21">
        <f>VLOOKUP($R36,武学奇术!$A:$ZZ,28,FALSE)</f>
        <v>1.7672</v>
      </c>
      <c r="AL36" s="22">
        <f>VLOOKUP($R36,武学奇术!$A:$ZZ,29,FALSE)*(1+IF(OR($AH36=$F$4,$AH36=$F$5),$B$22,0))</f>
        <v>265.5</v>
      </c>
      <c r="AM36" s="21" cm="1">
        <f t="array" ref="AM36">$G$3+IFERROR(VLOOKUP($AH36,$F$4:$G$7,2,FALSE),0)+VLOOKUP($R36,武学奇术!$A:$ZZ,2,FALSE)+SUM(_xlfn.XLOOKUP($S36:$AG36,增益!$A:$A,增益!$B:$B,0))</f>
        <v>0.6391</v>
      </c>
      <c r="AN36" s="21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1825.28</v>
      </c>
      <c r="AP36" cm="1">
        <f t="array" ref="AP36">$E$10*(1+$AN36)+VLOOKUP($R36,武学奇术!$A:$ZZ,4,FALSE)+SUM(_xlfn.XLOOKUP($S36:$AG36,增益!$A:$A,增益!$D:$D,0))-$I$2</f>
        <v>7757.36</v>
      </c>
      <c r="AQ36" s="26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0.244</v>
      </c>
      <c r="AR36" s="26" cm="1">
        <f t="array" ref="AR36">$G$10+VLOOKUP($R36,武学奇术!$A:$ZZ,7,FALSE)+SUM(_xlfn.XLOOKUP(S36:AG36,增益!$A:$A,增益!$G:$G,0))</f>
        <v>0</v>
      </c>
      <c r="AS36" s="21" cm="1">
        <f t="array" ref="AS36">VLOOKUP($R36,武学奇术!$A:$ZZ,8,FALSE)+SUM(_xlfn.XLOOKUP(S36:AG36,增益!$A:$A,增益!$H:$H,0))</f>
        <v>0</v>
      </c>
      <c r="AT36">
        <f t="shared" si="1"/>
        <v>680.02</v>
      </c>
      <c r="AU36">
        <f t="shared" si="2"/>
        <v>1288.54</v>
      </c>
      <c r="AV36" s="26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</v>
      </c>
      <c r="AW36" s="26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26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26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26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26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26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26" cm="1">
        <f t="array" ref="BI36">$G$14+VLOOKUP($R36,武学奇术!$A:$ZZ,16,FALSE)+SUM(_xlfn.XLOOKUP(S36:AG36,增益!$A:$A,增益!$P:$P,0))</f>
        <v>0</v>
      </c>
      <c r="BJ36" s="21">
        <f>MIN(IF(VLOOKUP($R36,武学奇术!$A:$ZZ,23,FALSE)=1,100%,$B$8),100%)</f>
        <v>0.8229</v>
      </c>
      <c r="BK36" s="21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0.2285</v>
      </c>
      <c r="BL36" s="21" cm="1">
        <f t="array" ref="BL36">1+$B$13+VLOOKUP($R36,武学奇术!$A:$ZZ,18,FALSE)+SUM(_xlfn.XLOOKUP(S36:AG36,增益!$A:$A,增益!$R:$R,0))</f>
        <v>1.5</v>
      </c>
      <c r="BM36" s="21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0.4495</v>
      </c>
      <c r="BN36" s="21" cm="1">
        <f t="array" ref="BN36">1+$B$14+VLOOKUP($R36,武学奇术!$A:$ZZ,20,FALSE)+SUM(_xlfn.XLOOKUP(S36:AG36,增益!$A:$A,增益!$T:$T,0))</f>
        <v>1.582</v>
      </c>
      <c r="BO36" s="21">
        <f t="shared" si="9"/>
        <v>0.18803265</v>
      </c>
      <c r="BP36" s="21">
        <f t="shared" si="10"/>
        <v>0.2649738</v>
      </c>
      <c r="BQ36" s="21">
        <f>IF(VLOOKUP($R36,武学奇术!$A:$ZZ,22,FALSE)=1,0,(1-$BJ36))*(1-$BM36)</f>
        <v>0.09749355</v>
      </c>
      <c r="BR36" s="21" cm="1">
        <f t="array" ref="BR36">SUM(_xlfn.XLOOKUP(S36:AG36,增益!$A:$A,增益!$W:$W,0))+$I$5</f>
        <v>0.06</v>
      </c>
    </row>
    <row r="37" spans="11:70">
      <c r="K37" s="24">
        <f>$L37*VLOOKUP($R37,武学奇术!$A:$ZZ,31,FALSE)</f>
        <v>74852.6600541731</v>
      </c>
      <c r="L37" s="24">
        <f t="shared" si="0"/>
        <v>124754.433423622</v>
      </c>
      <c r="M37" s="2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流血",$B$21,0))*(1+$BR37)</f>
        <v>102919.032870865</v>
      </c>
      <c r="N37" s="24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流血",$B$21,0))*(1+$BR37)</f>
        <v>187338.871956086</v>
      </c>
      <c r="O37" s="24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流血",$B$21,0))*(1+$BR37)</f>
        <v>68612.6885805768</v>
      </c>
      <c r="P37" s="24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流血",$B$21,0))*(1+$BR37)</f>
        <v>30903.6564142262</v>
      </c>
      <c r="Q37" s="31">
        <v>1</v>
      </c>
      <c r="R37" s="32" t="s">
        <v>95</v>
      </c>
      <c r="S37" s="32" t="s">
        <v>87</v>
      </c>
      <c r="T37" s="32" t="s">
        <v>96</v>
      </c>
      <c r="U37" s="32" t="s">
        <v>97</v>
      </c>
      <c r="V37" s="32" t="s">
        <v>98</v>
      </c>
      <c r="W37" s="32" t="s">
        <v>111</v>
      </c>
      <c r="X37" s="32" t="s">
        <v>127</v>
      </c>
      <c r="Y37" s="32" t="s">
        <v>73</v>
      </c>
      <c r="Z37" s="32" t="s">
        <v>73</v>
      </c>
      <c r="AA37" s="32" t="s">
        <v>81</v>
      </c>
      <c r="AB37" s="32" t="s">
        <v>75</v>
      </c>
      <c r="AC37" s="32" t="s">
        <v>76</v>
      </c>
      <c r="AD37" s="32" t="s">
        <v>82</v>
      </c>
      <c r="AE37" s="32" t="s">
        <v>73</v>
      </c>
      <c r="AF37" s="32" t="s">
        <v>73</v>
      </c>
      <c r="AG37" s="32" t="s">
        <v>172</v>
      </c>
      <c r="AH37" t="str">
        <f>VLOOKUP($R37,武学奇术!$A:$ZZ,25,FALSE)</f>
        <v>剑</v>
      </c>
      <c r="AI37" s="21">
        <f>VLOOKUP($R37,武学奇术!$A:$ZZ,26,FALSE)</f>
        <v>2.52</v>
      </c>
      <c r="AJ37" s="22">
        <f>VLOOKUP($R37,武学奇术!$A:$ZZ,27,FALSE)*(1+IF(OR($AH37=$F$4,$AH37=$F$5),$B$22,0))</f>
        <v>0</v>
      </c>
      <c r="AK37" s="21">
        <f>VLOOKUP($R37,武学奇术!$A:$ZZ,28,FALSE)</f>
        <v>3.78</v>
      </c>
      <c r="AL37" s="22">
        <f>VLOOKUP($R37,武学奇术!$A:$ZZ,29,FALSE)*(1+IF(OR($AH37=$F$4,$AH37=$F$5),$B$22,0))</f>
        <v>0</v>
      </c>
      <c r="AM37" s="21" cm="1">
        <f t="array" ref="AM37">$G$3+IFERROR(VLOOKUP($AH37,$F$4:$G$7,2,FALSE),0)+VLOOKUP($R37,武学奇术!$A:$ZZ,2,FALSE)+SUM(_xlfn.XLOOKUP($S37:$AG37,增益!$A:$A,增益!$B:$B,0))</f>
        <v>1.3891</v>
      </c>
      <c r="AN37" s="21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1825.28</v>
      </c>
      <c r="AP37" cm="1">
        <f t="array" ref="AP37">$E$10*(1+$AN37)+VLOOKUP($R37,武学奇术!$A:$ZZ,4,FALSE)+SUM(_xlfn.XLOOKUP($S37:$AG37,增益!$A:$A,增益!$D:$D,0))-$I$2</f>
        <v>7757.36</v>
      </c>
      <c r="AQ37" s="26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0.319</v>
      </c>
      <c r="AR37" s="26" cm="1">
        <f t="array" ref="AR37">$G$10+VLOOKUP($R37,武学奇术!$A:$ZZ,7,FALSE)+SUM(_xlfn.XLOOKUP(S37:AG37,增益!$A:$A,增益!$G:$G,0))</f>
        <v>0</v>
      </c>
      <c r="AS37" s="21" cm="1">
        <f t="array" ref="AS37">VLOOKUP($R37,武学奇术!$A:$ZZ,8,FALSE)+SUM(_xlfn.XLOOKUP(S37:AG37,增益!$A:$A,增益!$H:$H,0))</f>
        <v>0</v>
      </c>
      <c r="AT37">
        <f t="shared" si="1"/>
        <v>680.02</v>
      </c>
      <c r="AU37">
        <f t="shared" si="2"/>
        <v>1288.54</v>
      </c>
      <c r="AV37" s="26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0.075</v>
      </c>
      <c r="AW37" s="26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26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26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26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26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26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26" cm="1">
        <f t="array" ref="BI37">$G$14+VLOOKUP($R37,武学奇术!$A:$ZZ,16,FALSE)+SUM(_xlfn.XLOOKUP(S37:AG37,增益!$A:$A,增益!$P:$P,0))</f>
        <v>0</v>
      </c>
      <c r="BJ37" s="21">
        <f>MIN(IF(VLOOKUP($R37,武学奇术!$A:$ZZ,23,FALSE)=1,100%,$B$8),100%)</f>
        <v>0.8229</v>
      </c>
      <c r="BK37" s="21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0.2285</v>
      </c>
      <c r="BL37" s="21" cm="1">
        <f t="array" ref="BL37">1+$B$13+VLOOKUP($R37,武学奇术!$A:$ZZ,18,FALSE)+SUM(_xlfn.XLOOKUP(S37:AG37,增益!$A:$A,增益!$R:$R,0))</f>
        <v>1.5</v>
      </c>
      <c r="BM37" s="21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0.4495</v>
      </c>
      <c r="BN37" s="21" cm="1">
        <f t="array" ref="BN37">1+$B$14+VLOOKUP($R37,武学奇术!$A:$ZZ,20,FALSE)+SUM(_xlfn.XLOOKUP(S37:AG37,增益!$A:$A,增益!$T:$T,0))</f>
        <v>1.762</v>
      </c>
      <c r="BO37" s="21">
        <f t="shared" si="9"/>
        <v>0.18803265</v>
      </c>
      <c r="BP37" s="21">
        <f t="shared" si="10"/>
        <v>0.2649738</v>
      </c>
      <c r="BQ37" s="21">
        <f>IF(VLOOKUP($R37,武学奇术!$A:$ZZ,22,FALSE)=1,0,(1-$BJ37))*(1-$BM37)</f>
        <v>0.09749355</v>
      </c>
      <c r="BR37" s="21" cm="1">
        <f t="array" ref="BR37">SUM(_xlfn.XLOOKUP(S37:AG37,增益!$A:$A,增益!$W:$W,0))+$I$5</f>
        <v>0.06</v>
      </c>
    </row>
    <row r="38" spans="11:70">
      <c r="K38" s="24">
        <f>$L38*VLOOKUP($R38,武学奇术!$A:$ZZ,31,FALSE)</f>
        <v>112403.323173652</v>
      </c>
      <c r="L38" s="24">
        <f t="shared" si="0"/>
        <v>187338.871956086</v>
      </c>
      <c r="M38" s="2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流血",$B$21,0))*(1+$BR38)</f>
        <v>102919.032870865</v>
      </c>
      <c r="N38" s="24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流血",$B$21,0))*(1+$BR38)</f>
        <v>187338.871956086</v>
      </c>
      <c r="O38" s="24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流血",$B$21,0))*(1+$BR38)</f>
        <v>68612.6885805768</v>
      </c>
      <c r="P38" s="24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流血",$B$21,0))*(1+$BR38)</f>
        <v>30903.6564142262</v>
      </c>
      <c r="Q38" s="31">
        <v>1</v>
      </c>
      <c r="R38" s="32" t="s">
        <v>120</v>
      </c>
      <c r="S38" s="32" t="s">
        <v>87</v>
      </c>
      <c r="T38" s="32" t="s">
        <v>96</v>
      </c>
      <c r="U38" s="32" t="s">
        <v>97</v>
      </c>
      <c r="V38" s="32" t="s">
        <v>98</v>
      </c>
      <c r="W38" s="32" t="s">
        <v>111</v>
      </c>
      <c r="X38" s="32" t="s">
        <v>127</v>
      </c>
      <c r="Y38" s="32" t="s">
        <v>73</v>
      </c>
      <c r="Z38" s="32" t="s">
        <v>73</v>
      </c>
      <c r="AA38" s="32" t="s">
        <v>81</v>
      </c>
      <c r="AB38" s="32" t="s">
        <v>75</v>
      </c>
      <c r="AC38" s="32" t="s">
        <v>76</v>
      </c>
      <c r="AD38" s="32" t="s">
        <v>82</v>
      </c>
      <c r="AE38" s="32" t="s">
        <v>73</v>
      </c>
      <c r="AF38" s="32" t="s">
        <v>73</v>
      </c>
      <c r="AG38" s="32" t="s">
        <v>172</v>
      </c>
      <c r="AH38" t="str">
        <f>VLOOKUP($R38,武学奇术!$A:$ZZ,25,FALSE)</f>
        <v>剑</v>
      </c>
      <c r="AI38" s="21">
        <f>VLOOKUP($R38,武学奇术!$A:$ZZ,26,FALSE)</f>
        <v>2.52</v>
      </c>
      <c r="AJ38" s="22">
        <f>VLOOKUP($R38,武学奇术!$A:$ZZ,27,FALSE)*(1+IF(OR($AH38=$F$4,$AH38=$F$5),$B$22,0))</f>
        <v>0</v>
      </c>
      <c r="AK38" s="21">
        <f>VLOOKUP($R38,武学奇术!$A:$ZZ,28,FALSE)</f>
        <v>3.78</v>
      </c>
      <c r="AL38" s="22">
        <f>VLOOKUP($R38,武学奇术!$A:$ZZ,29,FALSE)*(1+IF(OR($AH38=$F$4,$AH38=$F$5),$B$22,0))</f>
        <v>0</v>
      </c>
      <c r="AM38" s="21" cm="1">
        <f t="array" ref="AM38">$G$3+IFERROR(VLOOKUP($AH38,$F$4:$G$7,2,FALSE),0)+VLOOKUP($R38,武学奇术!$A:$ZZ,2,FALSE)+SUM(_xlfn.XLOOKUP($S38:$AG38,增益!$A:$A,增益!$B:$B,0))</f>
        <v>1.3891</v>
      </c>
      <c r="AN38" s="21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1825.28</v>
      </c>
      <c r="AP38" cm="1">
        <f t="array" ref="AP38">$E$10*(1+$AN38)+VLOOKUP($R38,武学奇术!$A:$ZZ,4,FALSE)+SUM(_xlfn.XLOOKUP($S38:$AG38,增益!$A:$A,增益!$D:$D,0))-$I$2</f>
        <v>7757.36</v>
      </c>
      <c r="AQ38" s="26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0.319</v>
      </c>
      <c r="AR38" s="26" cm="1">
        <f t="array" ref="AR38">$G$10+VLOOKUP($R38,武学奇术!$A:$ZZ,7,FALSE)+SUM(_xlfn.XLOOKUP(S38:AG38,增益!$A:$A,增益!$G:$G,0))</f>
        <v>0</v>
      </c>
      <c r="AS38" s="21" cm="1">
        <f t="array" ref="AS38">VLOOKUP($R38,武学奇术!$A:$ZZ,8,FALSE)+SUM(_xlfn.XLOOKUP(S38:AG38,增益!$A:$A,增益!$H:$H,0))</f>
        <v>0</v>
      </c>
      <c r="AT38">
        <f t="shared" si="1"/>
        <v>680.02</v>
      </c>
      <c r="AU38">
        <f t="shared" si="2"/>
        <v>1288.54</v>
      </c>
      <c r="AV38" s="26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0.075</v>
      </c>
      <c r="AW38" s="26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26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26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26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26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26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26" cm="1">
        <f t="array" ref="BI38">$G$14+VLOOKUP($R38,武学奇术!$A:$ZZ,16,FALSE)+SUM(_xlfn.XLOOKUP(S38:AG38,增益!$A:$A,增益!$P:$P,0))</f>
        <v>0</v>
      </c>
      <c r="BJ38" s="21">
        <f>MIN(IF(VLOOKUP($R38,武学奇术!$A:$ZZ,23,FALSE)=1,100%,$B$8),100%)</f>
        <v>0.8229</v>
      </c>
      <c r="BK38" s="21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</v>
      </c>
      <c r="BL38" s="21" cm="1">
        <f t="array" ref="BL38">1+$B$13+VLOOKUP($R38,武学奇术!$A:$ZZ,18,FALSE)+SUM(_xlfn.XLOOKUP(S38:AG38,增益!$A:$A,增益!$R:$R,0))</f>
        <v>1.5</v>
      </c>
      <c r="BM38" s="21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1</v>
      </c>
      <c r="BN38" s="21" cm="1">
        <f t="array" ref="BN38">1+$B$14+VLOOKUP($R38,武学奇术!$A:$ZZ,20,FALSE)+SUM(_xlfn.XLOOKUP(S38:AG38,增益!$A:$A,增益!$T:$T,0))</f>
        <v>1.762</v>
      </c>
      <c r="BO38" s="21">
        <f t="shared" si="9"/>
        <v>0</v>
      </c>
      <c r="BP38" s="21">
        <f t="shared" si="10"/>
        <v>0</v>
      </c>
      <c r="BQ38" s="21">
        <f>IF(VLOOKUP($R38,武学奇术!$A:$ZZ,22,FALSE)=1,0,(1-$BJ38))*(1-$BM38)</f>
        <v>0</v>
      </c>
      <c r="BR38" s="21" cm="1">
        <f t="array" ref="BR38">SUM(_xlfn.XLOOKUP(S38:AG38,增益!$A:$A,增益!$W:$W,0))+$I$5</f>
        <v>0.06</v>
      </c>
    </row>
    <row r="39" spans="11:70">
      <c r="K39" s="24">
        <f>$L39*VLOOKUP($R39,武学奇术!$A:$ZZ,31,FALSE)</f>
        <v>14081.9023841016</v>
      </c>
      <c r="L39" s="24">
        <f t="shared" si="0"/>
        <v>14081.9023841016</v>
      </c>
      <c r="M39" s="2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流血",$B$21,0))*(1+$BR39)</f>
        <v>12474.2407304116</v>
      </c>
      <c r="N39" s="24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流血",$B$21,0))*(1+$BR39)</f>
        <v>20396.4299853886</v>
      </c>
      <c r="O39" s="24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流血",$B$21,0))*(1+$BR39)</f>
        <v>8316.16048694105</v>
      </c>
      <c r="P39" s="24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流血",$B$21,0))*(1+$BR39)</f>
        <v>3739.50808804858</v>
      </c>
      <c r="Q39" s="31">
        <v>1</v>
      </c>
      <c r="R39" s="32" t="s">
        <v>103</v>
      </c>
      <c r="S39" s="32" t="s">
        <v>87</v>
      </c>
      <c r="T39" s="32" t="s">
        <v>104</v>
      </c>
      <c r="U39" s="32" t="s">
        <v>73</v>
      </c>
      <c r="V39" s="32" t="s">
        <v>73</v>
      </c>
      <c r="W39" s="32" t="s">
        <v>111</v>
      </c>
      <c r="X39" s="32" t="s">
        <v>127</v>
      </c>
      <c r="Y39" s="32" t="s">
        <v>73</v>
      </c>
      <c r="Z39" s="32" t="s">
        <v>73</v>
      </c>
      <c r="AA39" s="32" t="s">
        <v>81</v>
      </c>
      <c r="AB39" s="32" t="s">
        <v>75</v>
      </c>
      <c r="AC39" s="32" t="s">
        <v>76</v>
      </c>
      <c r="AD39" s="32" t="s">
        <v>82</v>
      </c>
      <c r="AE39" s="32" t="s">
        <v>73</v>
      </c>
      <c r="AF39" s="32" t="s">
        <v>73</v>
      </c>
      <c r="AG39" s="32" t="s">
        <v>172</v>
      </c>
      <c r="AH39" t="str">
        <f>VLOOKUP($R39,武学奇术!$A:$ZZ,25,FALSE)</f>
        <v>剑</v>
      </c>
      <c r="AI39" s="21">
        <f>VLOOKUP($R39,武学奇术!$A:$ZZ,26,FALSE)</f>
        <v>0.625</v>
      </c>
      <c r="AJ39" s="22">
        <f>VLOOKUP($R39,武学奇术!$A:$ZZ,27,FALSE)*(1+IF(OR($AH39=$F$4,$AH39=$F$5),$B$22,0))</f>
        <v>0</v>
      </c>
      <c r="AK39" s="21">
        <f>VLOOKUP($R39,武学奇术!$A:$ZZ,28,FALSE)</f>
        <v>0.9375</v>
      </c>
      <c r="AL39" s="22">
        <f>VLOOKUP($R39,武学奇术!$A:$ZZ,29,FALSE)*(1+IF(OR($AH39=$F$4,$AH39=$F$5),$B$22,0))</f>
        <v>0</v>
      </c>
      <c r="AM39" s="21" cm="1">
        <f t="array" ref="AM39">$G$3+IFERROR(VLOOKUP($AH39,$F$4:$G$7,2,FALSE),0)+VLOOKUP($R39,武学奇术!$A:$ZZ,2,FALSE)+SUM(_xlfn.XLOOKUP($S39:$AG39,增益!$A:$A,增益!$B:$B,0))</f>
        <v>0.6391</v>
      </c>
      <c r="AN39" s="21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1825.28</v>
      </c>
      <c r="AP39" cm="1">
        <f t="array" ref="AP39">$E$10*(1+$AN39)+VLOOKUP($R39,武学奇术!$A:$ZZ,4,FALSE)+SUM(_xlfn.XLOOKUP($S39:$AG39,增益!$A:$A,增益!$D:$D,0))-$I$2</f>
        <v>7757.36</v>
      </c>
      <c r="AQ39" s="26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0.244</v>
      </c>
      <c r="AR39" s="26" cm="1">
        <f t="array" ref="AR39">$G$10+VLOOKUP($R39,武学奇术!$A:$ZZ,7,FALSE)+SUM(_xlfn.XLOOKUP(S39:AG39,增益!$A:$A,增益!$G:$G,0))</f>
        <v>0</v>
      </c>
      <c r="AS39" s="21" cm="1">
        <f t="array" ref="AS39">VLOOKUP($R39,武学奇术!$A:$ZZ,8,FALSE)+SUM(_xlfn.XLOOKUP(S39:AG39,增益!$A:$A,增益!$H:$H,0))</f>
        <v>0</v>
      </c>
      <c r="AT39">
        <f t="shared" si="1"/>
        <v>680.02</v>
      </c>
      <c r="AU39">
        <f t="shared" si="2"/>
        <v>1288.54</v>
      </c>
      <c r="AV39" s="26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</v>
      </c>
      <c r="AW39" s="26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26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26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26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26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26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26" cm="1">
        <f t="array" ref="BI39">$G$14+VLOOKUP($R39,武学奇术!$A:$ZZ,16,FALSE)+SUM(_xlfn.XLOOKUP(S39:AG39,增益!$A:$A,增益!$P:$P,0))</f>
        <v>0</v>
      </c>
      <c r="BJ39" s="21">
        <f>MIN(IF(VLOOKUP($R39,武学奇术!$A:$ZZ,23,FALSE)=1,100%,$B$8),100%)</f>
        <v>0.8229</v>
      </c>
      <c r="BK39" s="21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0.2285</v>
      </c>
      <c r="BL39" s="21" cm="1">
        <f t="array" ref="BL39">1+$B$13+VLOOKUP($R39,武学奇术!$A:$ZZ,18,FALSE)+SUM(_xlfn.XLOOKUP(S39:AG39,增益!$A:$A,增益!$R:$R,0))</f>
        <v>1.5</v>
      </c>
      <c r="BM39" s="21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0.4495</v>
      </c>
      <c r="BN39" s="21" cm="1">
        <f t="array" ref="BN39">1+$B$14+VLOOKUP($R39,武学奇术!$A:$ZZ,20,FALSE)+SUM(_xlfn.XLOOKUP(S39:AG39,增益!$A:$A,增益!$T:$T,0))</f>
        <v>1.582</v>
      </c>
      <c r="BO39" s="21">
        <f t="shared" si="9"/>
        <v>0.18803265</v>
      </c>
      <c r="BP39" s="21">
        <f t="shared" si="10"/>
        <v>0.2649738</v>
      </c>
      <c r="BQ39" s="21">
        <f>IF(VLOOKUP($R39,武学奇术!$A:$ZZ,22,FALSE)=1,0,(1-$BJ39))*(1-$BM39)</f>
        <v>0.09749355</v>
      </c>
      <c r="BR39" s="21" cm="1">
        <f t="array" ref="BR39">SUM(_xlfn.XLOOKUP(S39:AG39,增益!$A:$A,增益!$W:$W,0))+$I$5</f>
        <v>0.06</v>
      </c>
    </row>
    <row r="40" spans="11:70">
      <c r="K40" s="24">
        <f>$L40*VLOOKUP($R40,武学奇术!$A:$ZZ,31,FALSE)</f>
        <v>67351.1813341294</v>
      </c>
      <c r="L40" s="24">
        <f t="shared" si="0"/>
        <v>67351.1813341294</v>
      </c>
      <c r="M40" s="2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流血",$B$21,0))*(1+$BR40)</f>
        <v>60697.979034065</v>
      </c>
      <c r="N40" s="24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流血",$B$21,0))*(1+$BR40)</f>
        <v>96135.2773195329</v>
      </c>
      <c r="O40" s="24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流血",$B$21,0))*(1+$BR40)</f>
        <v>40465.3193560433</v>
      </c>
      <c r="P40" s="24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流血",$B$21,0))*(1+$BR40)</f>
        <v>20544.1579837369</v>
      </c>
      <c r="Q40" s="31">
        <v>1</v>
      </c>
      <c r="R40" s="32" t="s">
        <v>174</v>
      </c>
      <c r="S40" s="32" t="s">
        <v>87</v>
      </c>
      <c r="T40" s="32" t="s">
        <v>104</v>
      </c>
      <c r="U40" s="32" t="s">
        <v>73</v>
      </c>
      <c r="V40" s="32" t="s">
        <v>73</v>
      </c>
      <c r="W40" s="32" t="s">
        <v>111</v>
      </c>
      <c r="X40" s="32" t="s">
        <v>127</v>
      </c>
      <c r="Y40" s="32" t="s">
        <v>73</v>
      </c>
      <c r="Z40" s="32" t="s">
        <v>73</v>
      </c>
      <c r="AA40" s="32" t="s">
        <v>81</v>
      </c>
      <c r="AB40" s="32" t="s">
        <v>75</v>
      </c>
      <c r="AC40" s="32" t="s">
        <v>89</v>
      </c>
      <c r="AD40" s="32" t="s">
        <v>82</v>
      </c>
      <c r="AE40" s="32" t="s">
        <v>73</v>
      </c>
      <c r="AF40" s="32" t="s">
        <v>73</v>
      </c>
      <c r="AG40" s="32" t="s">
        <v>175</v>
      </c>
      <c r="AH40" t="str">
        <f>VLOOKUP($R40,武学奇术!$A:$ZZ,25,FALSE)</f>
        <v>剑</v>
      </c>
      <c r="AI40" s="21">
        <f>VLOOKUP($R40,武学奇术!$A:$ZZ,26,FALSE)</f>
        <v>2.7205</v>
      </c>
      <c r="AJ40" s="22">
        <f>VLOOKUP($R40,武学奇术!$A:$ZZ,27,FALSE)*(1+IF(OR($AH40=$F$4,$AH40=$F$5),$B$22,0))</f>
        <v>1123.5</v>
      </c>
      <c r="AK40" s="21">
        <f>VLOOKUP($R40,武学奇术!$A:$ZZ,28,FALSE)</f>
        <v>4.0806</v>
      </c>
      <c r="AL40" s="22">
        <f>VLOOKUP($R40,武学奇术!$A:$ZZ,29,FALSE)*(1+IF(OR($AH40=$F$4,$AH40=$F$5),$B$22,0))</f>
        <v>613.5</v>
      </c>
      <c r="AM40" s="21" cm="1">
        <f t="array" ref="AM40">$G$3+IFERROR(VLOOKUP($AH40,$F$4:$G$7,2,FALSE),0)+VLOOKUP($R40,武学奇术!$A:$ZZ,2,FALSE)+SUM(_xlfn.XLOOKUP($S40:$AG40,增益!$A:$A,增益!$B:$B,0))</f>
        <v>0.6391</v>
      </c>
      <c r="AN40" s="21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1825.28</v>
      </c>
      <c r="AP40" cm="1">
        <f t="array" ref="AP40">$E$10*(1+$AN40)+VLOOKUP($R40,武学奇术!$A:$ZZ,4,FALSE)+SUM(_xlfn.XLOOKUP($S40:$AG40,增益!$A:$A,增益!$D:$D,0))-$I$2</f>
        <v>7757.36</v>
      </c>
      <c r="AQ40" s="26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0.244</v>
      </c>
      <c r="AR40" s="26" cm="1">
        <f t="array" ref="AR40">$G$10+VLOOKUP($R40,武学奇术!$A:$ZZ,7,FALSE)+SUM(_xlfn.XLOOKUP(S40:AG40,增益!$A:$A,增益!$G:$G,0))</f>
        <v>0</v>
      </c>
      <c r="AS40" s="21" cm="1">
        <f t="array" ref="AS40">VLOOKUP($R40,武学奇术!$A:$ZZ,8,FALSE)+SUM(_xlfn.XLOOKUP(S40:AG40,增益!$A:$A,增益!$H:$H,0))</f>
        <v>0</v>
      </c>
      <c r="AT40">
        <f t="shared" si="1"/>
        <v>680.02</v>
      </c>
      <c r="AU40">
        <f t="shared" si="2"/>
        <v>1288.54</v>
      </c>
      <c r="AV40" s="26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</v>
      </c>
      <c r="AW40" s="26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26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26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26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26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26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26" cm="1">
        <f t="array" ref="BI40">$G$14+VLOOKUP($R40,武学奇术!$A:$ZZ,16,FALSE)+SUM(_xlfn.XLOOKUP(S40:AG40,增益!$A:$A,增益!$P:$P,0))</f>
        <v>0</v>
      </c>
      <c r="BJ40" s="21">
        <f>MIN(IF(VLOOKUP($R40,武学奇术!$A:$ZZ,23,FALSE)=1,100%,$B$8),100%)</f>
        <v>0.8229</v>
      </c>
      <c r="BK40" s="21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0.2285</v>
      </c>
      <c r="BL40" s="21" cm="1">
        <f t="array" ref="BL40">1+$B$13+VLOOKUP($R40,武学奇术!$A:$ZZ,18,FALSE)+SUM(_xlfn.XLOOKUP(S40:AG40,增益!$A:$A,增益!$R:$R,0))</f>
        <v>1.5</v>
      </c>
      <c r="BM40" s="21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0.4495</v>
      </c>
      <c r="BN40" s="21" cm="1">
        <f t="array" ref="BN40">1+$B$14+VLOOKUP($R40,武学奇术!$A:$ZZ,20,FALSE)+SUM(_xlfn.XLOOKUP(S40:AG40,增益!$A:$A,增益!$T:$T,0))</f>
        <v>1.592</v>
      </c>
      <c r="BO40" s="21">
        <f t="shared" si="9"/>
        <v>0.18803265</v>
      </c>
      <c r="BP40" s="21">
        <f t="shared" si="10"/>
        <v>0.2649738</v>
      </c>
      <c r="BQ40" s="21">
        <f>IF(VLOOKUP($R40,武学奇术!$A:$ZZ,22,FALSE)=1,0,(1-$BJ40))*(1-$BM40)</f>
        <v>0.09749355</v>
      </c>
      <c r="BR40" s="21" cm="1">
        <f t="array" ref="BR40">SUM(_xlfn.XLOOKUP(S40:AG40,增益!$A:$A,增益!$W:$W,0))+$I$5</f>
        <v>0.06</v>
      </c>
    </row>
    <row r="41" spans="11:70">
      <c r="K41" s="24">
        <f>$L41*VLOOKUP($R41,武学奇术!$A:$ZZ,31,FALSE)</f>
        <v>113041.253498133</v>
      </c>
      <c r="L41" s="24">
        <f t="shared" si="0"/>
        <v>188402.089163555</v>
      </c>
      <c r="M41" s="2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流血",$B$21,0))*(1+$BR41)</f>
        <v>102919.032870865</v>
      </c>
      <c r="N41" s="24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流血",$B$21,0))*(1+$BR41)</f>
        <v>188402.089163555</v>
      </c>
      <c r="O41" s="24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流血",$B$21,0))*(1+$BR41)</f>
        <v>68612.6885805768</v>
      </c>
      <c r="P41" s="24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流血",$B$21,0))*(1+$BR41)</f>
        <v>30903.6564142262</v>
      </c>
      <c r="Q41" s="31">
        <v>1</v>
      </c>
      <c r="R41" s="32" t="s">
        <v>120</v>
      </c>
      <c r="S41" s="32" t="s">
        <v>87</v>
      </c>
      <c r="T41" s="32" t="s">
        <v>96</v>
      </c>
      <c r="U41" s="32" t="s">
        <v>97</v>
      </c>
      <c r="V41" s="32" t="s">
        <v>98</v>
      </c>
      <c r="W41" s="32" t="s">
        <v>111</v>
      </c>
      <c r="X41" s="32" t="s">
        <v>127</v>
      </c>
      <c r="Y41" s="32" t="s">
        <v>73</v>
      </c>
      <c r="Z41" s="32" t="s">
        <v>73</v>
      </c>
      <c r="AA41" s="32" t="s">
        <v>81</v>
      </c>
      <c r="AB41" s="32" t="s">
        <v>75</v>
      </c>
      <c r="AC41" s="32" t="s">
        <v>89</v>
      </c>
      <c r="AD41" s="32" t="s">
        <v>82</v>
      </c>
      <c r="AE41" s="32" t="s">
        <v>73</v>
      </c>
      <c r="AF41" s="32" t="s">
        <v>73</v>
      </c>
      <c r="AG41" s="32" t="s">
        <v>175</v>
      </c>
      <c r="AH41" t="str">
        <f>VLOOKUP($R41,武学奇术!$A:$ZZ,25,FALSE)</f>
        <v>剑</v>
      </c>
      <c r="AI41" s="21">
        <f>VLOOKUP($R41,武学奇术!$A:$ZZ,26,FALSE)</f>
        <v>2.52</v>
      </c>
      <c r="AJ41" s="22">
        <f>VLOOKUP($R41,武学奇术!$A:$ZZ,27,FALSE)*(1+IF(OR($AH41=$F$4,$AH41=$F$5),$B$22,0))</f>
        <v>0</v>
      </c>
      <c r="AK41" s="21">
        <f>VLOOKUP($R41,武学奇术!$A:$ZZ,28,FALSE)</f>
        <v>3.78</v>
      </c>
      <c r="AL41" s="22">
        <f>VLOOKUP($R41,武学奇术!$A:$ZZ,29,FALSE)*(1+IF(OR($AH41=$F$4,$AH41=$F$5),$B$22,0))</f>
        <v>0</v>
      </c>
      <c r="AM41" s="21" cm="1">
        <f t="array" ref="AM41">$G$3+IFERROR(VLOOKUP($AH41,$F$4:$G$7,2,FALSE),0)+VLOOKUP($R41,武学奇术!$A:$ZZ,2,FALSE)+SUM(_xlfn.XLOOKUP($S41:$AG41,增益!$A:$A,增益!$B:$B,0))</f>
        <v>1.3891</v>
      </c>
      <c r="AN41" s="21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1825.28</v>
      </c>
      <c r="AP41" cm="1">
        <f t="array" ref="AP41">$E$10*(1+$AN41)+VLOOKUP($R41,武学奇术!$A:$ZZ,4,FALSE)+SUM(_xlfn.XLOOKUP($S41:$AG41,增益!$A:$A,增益!$D:$D,0))-$I$2</f>
        <v>7757.36</v>
      </c>
      <c r="AQ41" s="26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0.319</v>
      </c>
      <c r="AR41" s="26" cm="1">
        <f t="array" ref="AR41">$G$10+VLOOKUP($R41,武学奇术!$A:$ZZ,7,FALSE)+SUM(_xlfn.XLOOKUP(S41:AG41,增益!$A:$A,增益!$G:$G,0))</f>
        <v>0</v>
      </c>
      <c r="AS41" s="21" cm="1">
        <f t="array" ref="AS41">VLOOKUP($R41,武学奇术!$A:$ZZ,8,FALSE)+SUM(_xlfn.XLOOKUP(S41:AG41,增益!$A:$A,增益!$H:$H,0))</f>
        <v>0</v>
      </c>
      <c r="AT41">
        <f t="shared" si="1"/>
        <v>680.02</v>
      </c>
      <c r="AU41">
        <f t="shared" si="2"/>
        <v>1288.54</v>
      </c>
      <c r="AV41" s="26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0.075</v>
      </c>
      <c r="AW41" s="26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26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26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26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26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26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26" cm="1">
        <f t="array" ref="BI41">$G$14+VLOOKUP($R41,武学奇术!$A:$ZZ,16,FALSE)+SUM(_xlfn.XLOOKUP(S41:AG41,增益!$A:$A,增益!$P:$P,0))</f>
        <v>0</v>
      </c>
      <c r="BJ41" s="21">
        <f>MIN(IF(VLOOKUP($R41,武学奇术!$A:$ZZ,23,FALSE)=1,100%,$B$8),100%)</f>
        <v>0.8229</v>
      </c>
      <c r="BK41" s="21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</v>
      </c>
      <c r="BL41" s="21" cm="1">
        <f t="array" ref="BL41">1+$B$13+VLOOKUP($R41,武学奇术!$A:$ZZ,18,FALSE)+SUM(_xlfn.XLOOKUP(S41:AG41,增益!$A:$A,增益!$R:$R,0))</f>
        <v>1.5</v>
      </c>
      <c r="BM41" s="21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1</v>
      </c>
      <c r="BN41" s="21" cm="1">
        <f t="array" ref="BN41">1+$B$14+VLOOKUP($R41,武学奇术!$A:$ZZ,20,FALSE)+SUM(_xlfn.XLOOKUP(S41:AG41,增益!$A:$A,增益!$T:$T,0))</f>
        <v>1.772</v>
      </c>
      <c r="BO41" s="21">
        <f t="shared" si="9"/>
        <v>0</v>
      </c>
      <c r="BP41" s="21">
        <f t="shared" si="10"/>
        <v>0</v>
      </c>
      <c r="BQ41" s="21">
        <f>IF(VLOOKUP($R41,武学奇术!$A:$ZZ,22,FALSE)=1,0,(1-$BJ41))*(1-$BM41)</f>
        <v>0</v>
      </c>
      <c r="BR41" s="21" cm="1">
        <f t="array" ref="BR41">SUM(_xlfn.XLOOKUP(S41:AG41,增益!$A:$A,增益!$W:$W,0))+$I$5</f>
        <v>0.06</v>
      </c>
    </row>
    <row r="42" spans="11:70">
      <c r="K42" s="24">
        <f>$L42*VLOOKUP($R42,武学奇术!$A:$ZZ,31,FALSE)</f>
        <v>17908.9754809014</v>
      </c>
      <c r="L42" s="24">
        <f t="shared" si="0"/>
        <v>17908.9754809014</v>
      </c>
      <c r="M42" s="2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流血",$B$21,0))*(1+$BR42)</f>
        <v>15799.3743395101</v>
      </c>
      <c r="N42" s="24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流血",$B$21,0))*(1+$BR42)</f>
        <v>25996.5975731806</v>
      </c>
      <c r="O42" s="24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流血",$B$21,0))*(1+$BR42)</f>
        <v>10532.9162263401</v>
      </c>
      <c r="P42" s="24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流血",$B$21,0))*(1+$BR42)</f>
        <v>4736.3113639988</v>
      </c>
      <c r="Q42" s="31">
        <v>1</v>
      </c>
      <c r="R42" s="32" t="s">
        <v>177</v>
      </c>
      <c r="S42" s="32" t="s">
        <v>87</v>
      </c>
      <c r="T42" s="32" t="s">
        <v>104</v>
      </c>
      <c r="U42" s="32" t="s">
        <v>73</v>
      </c>
      <c r="V42" s="32" t="s">
        <v>73</v>
      </c>
      <c r="W42" s="32" t="s">
        <v>111</v>
      </c>
      <c r="X42" s="32" t="s">
        <v>127</v>
      </c>
      <c r="Y42" s="32" t="s">
        <v>73</v>
      </c>
      <c r="Z42" s="32" t="s">
        <v>73</v>
      </c>
      <c r="AA42" s="32" t="s">
        <v>81</v>
      </c>
      <c r="AB42" s="32" t="s">
        <v>75</v>
      </c>
      <c r="AC42" s="32" t="s">
        <v>89</v>
      </c>
      <c r="AD42" s="32" t="s">
        <v>82</v>
      </c>
      <c r="AE42" s="32" t="s">
        <v>73</v>
      </c>
      <c r="AF42" s="32" t="s">
        <v>73</v>
      </c>
      <c r="AG42" s="32" t="s">
        <v>175</v>
      </c>
      <c r="AH42" t="str">
        <f>VLOOKUP($R42,武学奇术!$A:$ZZ,25,FALSE)</f>
        <v>剑</v>
      </c>
      <c r="AI42" s="21">
        <f>VLOOKUP($R42,武学奇术!$A:$ZZ,26,FALSE)</f>
        <v>0.7916</v>
      </c>
      <c r="AJ42" s="22">
        <f>VLOOKUP($R42,武学奇术!$A:$ZZ,27,FALSE)*(1+IF(OR($AH42=$F$4,$AH42=$F$5),$B$22,0))</f>
        <v>0</v>
      </c>
      <c r="AK42" s="21">
        <f>VLOOKUP($R42,武学奇术!$A:$ZZ,28,FALSE)</f>
        <v>1.1874</v>
      </c>
      <c r="AL42" s="22">
        <f>VLOOKUP($R42,武学奇术!$A:$ZZ,29,FALSE)*(1+IF(OR($AH42=$F$4,$AH42=$F$5),$B$22,0))</f>
        <v>0</v>
      </c>
      <c r="AM42" s="21" cm="1">
        <f t="array" ref="AM42">$G$3+IFERROR(VLOOKUP($AH42,$F$4:$G$7,2,FALSE),0)+VLOOKUP($R42,武学奇术!$A:$ZZ,2,FALSE)+SUM(_xlfn.XLOOKUP($S42:$AG42,增益!$A:$A,增益!$B:$B,0))</f>
        <v>0.6391</v>
      </c>
      <c r="AN42" s="21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1825.28</v>
      </c>
      <c r="AP42" cm="1">
        <f t="array" ref="AP42">$E$10*(1+$AN42)+VLOOKUP($R42,武学奇术!$A:$ZZ,4,FALSE)+SUM(_xlfn.XLOOKUP($S42:$AG42,增益!$A:$A,增益!$D:$D,0))-$I$2</f>
        <v>7757.36</v>
      </c>
      <c r="AQ42" s="26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0.244</v>
      </c>
      <c r="AR42" s="26" cm="1">
        <f t="array" ref="AR42">$G$10+VLOOKUP($R42,武学奇术!$A:$ZZ,7,FALSE)+SUM(_xlfn.XLOOKUP(S42:AG42,增益!$A:$A,增益!$G:$G,0))</f>
        <v>0</v>
      </c>
      <c r="AS42" s="21" cm="1">
        <f t="array" ref="AS42">VLOOKUP($R42,武学奇术!$A:$ZZ,8,FALSE)+SUM(_xlfn.XLOOKUP(S42:AG42,增益!$A:$A,增益!$H:$H,0))</f>
        <v>0</v>
      </c>
      <c r="AT42">
        <f t="shared" si="1"/>
        <v>680.02</v>
      </c>
      <c r="AU42">
        <f t="shared" si="2"/>
        <v>1288.54</v>
      </c>
      <c r="AV42" s="26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</v>
      </c>
      <c r="AW42" s="26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26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26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26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26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26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26" cm="1">
        <f t="array" ref="BI42">$G$14+VLOOKUP($R42,武学奇术!$A:$ZZ,16,FALSE)+SUM(_xlfn.XLOOKUP(S42:AG42,增益!$A:$A,增益!$P:$P,0))</f>
        <v>0</v>
      </c>
      <c r="BJ42" s="21">
        <f>MIN(IF(VLOOKUP($R42,武学奇术!$A:$ZZ,23,FALSE)=1,100%,$B$8),100%)</f>
        <v>0.8229</v>
      </c>
      <c r="BK42" s="21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0.2285</v>
      </c>
      <c r="BL42" s="21" cm="1">
        <f t="array" ref="BL42">1+$B$13+VLOOKUP($R42,武学奇术!$A:$ZZ,18,FALSE)+SUM(_xlfn.XLOOKUP(S42:AG42,增益!$A:$A,增益!$R:$R,0))</f>
        <v>1.5</v>
      </c>
      <c r="BM42" s="21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0.4495</v>
      </c>
      <c r="BN42" s="21" cm="1">
        <f t="array" ref="BN42">1+$B$14+VLOOKUP($R42,武学奇术!$A:$ZZ,20,FALSE)+SUM(_xlfn.XLOOKUP(S42:AG42,增益!$A:$A,增益!$T:$T,0))</f>
        <v>1.592</v>
      </c>
      <c r="BO42" s="21">
        <f t="shared" si="9"/>
        <v>0.18803265</v>
      </c>
      <c r="BP42" s="21">
        <f t="shared" si="10"/>
        <v>0.2649738</v>
      </c>
      <c r="BQ42" s="21">
        <f>IF(VLOOKUP($R42,武学奇术!$A:$ZZ,22,FALSE)=1,0,(1-$BJ42))*(1-$BM42)</f>
        <v>0.09749355</v>
      </c>
      <c r="BR42" s="21" cm="1">
        <f t="array" ref="BR42">SUM(_xlfn.XLOOKUP(S42:AG42,增益!$A:$A,增益!$W:$W,0))+$I$5</f>
        <v>0.06</v>
      </c>
    </row>
    <row r="43" spans="11:70">
      <c r="K43" s="24">
        <f>$L43*VLOOKUP($R43,武学奇术!$A:$ZZ,31,FALSE)</f>
        <v>29182.8847708023</v>
      </c>
      <c r="L43" s="24">
        <f t="shared" si="0"/>
        <v>29182.8847708023</v>
      </c>
      <c r="M43" s="2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流血",$B$21,0))*(1+$BR43)</f>
        <v>26174.1553151091</v>
      </c>
      <c r="N43" s="24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流血",$B$21,0))*(1+$BR43)</f>
        <v>41774.1909144968</v>
      </c>
      <c r="O43" s="24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流血",$B$21,0))*(1+$BR43)</f>
        <v>17449.4368767394</v>
      </c>
      <c r="P43" s="24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流血",$B$21,0))*(1+$BR43)</f>
        <v>8822.59977439212</v>
      </c>
      <c r="Q43" s="31">
        <v>1</v>
      </c>
      <c r="R43" s="32" t="s">
        <v>86</v>
      </c>
      <c r="S43" s="32" t="s">
        <v>87</v>
      </c>
      <c r="T43" s="32" t="s">
        <v>104</v>
      </c>
      <c r="U43" s="32" t="s">
        <v>73</v>
      </c>
      <c r="V43" s="32" t="s">
        <v>73</v>
      </c>
      <c r="W43" s="32" t="s">
        <v>73</v>
      </c>
      <c r="X43" s="32" t="s">
        <v>127</v>
      </c>
      <c r="Y43" s="32" t="s">
        <v>73</v>
      </c>
      <c r="Z43" s="32" t="s">
        <v>73</v>
      </c>
      <c r="AA43" s="32" t="s">
        <v>81</v>
      </c>
      <c r="AB43" s="32" t="s">
        <v>75</v>
      </c>
      <c r="AC43" s="32" t="s">
        <v>89</v>
      </c>
      <c r="AD43" s="32" t="s">
        <v>82</v>
      </c>
      <c r="AE43" s="32" t="s">
        <v>73</v>
      </c>
      <c r="AF43" s="32" t="s">
        <v>73</v>
      </c>
      <c r="AG43" s="32" t="s">
        <v>178</v>
      </c>
      <c r="AH43" t="str">
        <f>VLOOKUP($R43,武学奇术!$A:$ZZ,25,FALSE)</f>
        <v>剑</v>
      </c>
      <c r="AI43" s="21">
        <f>VLOOKUP($R43,武学奇术!$A:$ZZ,26,FALSE)</f>
        <v>1.1781</v>
      </c>
      <c r="AJ43" s="22">
        <f>VLOOKUP($R43,武学奇术!$A:$ZZ,27,FALSE)*(1+IF(OR($AH43=$F$4,$AH43=$F$5),$B$22,0))</f>
        <v>489</v>
      </c>
      <c r="AK43" s="21">
        <f>VLOOKUP($R43,武学奇术!$A:$ZZ,28,FALSE)</f>
        <v>1.7672</v>
      </c>
      <c r="AL43" s="22">
        <f>VLOOKUP($R43,武学奇术!$A:$ZZ,29,FALSE)*(1+IF(OR($AH43=$F$4,$AH43=$F$5),$B$22,0))</f>
        <v>265.5</v>
      </c>
      <c r="AM43" s="21" cm="1">
        <f t="array" ref="AM43">$G$3+IFERROR(VLOOKUP($AH43,$F$4:$G$7,2,FALSE),0)+VLOOKUP($R43,武学奇术!$A:$ZZ,2,FALSE)+SUM(_xlfn.XLOOKUP($S43:$AG43,增益!$A:$A,增益!$B:$B,0))</f>
        <v>0.6391</v>
      </c>
      <c r="AN43" s="21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1794.28</v>
      </c>
      <c r="AP43" cm="1">
        <f t="array" ref="AP43">$E$10*(1+$AN43)+VLOOKUP($R43,武学奇术!$A:$ZZ,4,FALSE)+SUM(_xlfn.XLOOKUP($S43:$AG43,增益!$A:$A,增益!$D:$D,0))-$I$2</f>
        <v>7726.36</v>
      </c>
      <c r="AQ43" s="26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0.244</v>
      </c>
      <c r="AR43" s="26" cm="1">
        <f t="array" ref="AR43">$G$10+VLOOKUP($R43,武学奇术!$A:$ZZ,7,FALSE)+SUM(_xlfn.XLOOKUP(S43:AG43,增益!$A:$A,增益!$G:$G,0))</f>
        <v>0</v>
      </c>
      <c r="AS43" s="21" cm="1">
        <f t="array" ref="AS43">VLOOKUP($R43,武学奇术!$A:$ZZ,8,FALSE)+SUM(_xlfn.XLOOKUP(S43:AG43,增益!$A:$A,增益!$H:$H,0))</f>
        <v>0</v>
      </c>
      <c r="AT43">
        <f t="shared" si="1"/>
        <v>680.02</v>
      </c>
      <c r="AU43">
        <f t="shared" si="2"/>
        <v>1288.54</v>
      </c>
      <c r="AV43" s="26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</v>
      </c>
      <c r="AW43" s="26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26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26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26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26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26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26" cm="1">
        <f t="array" ref="BI43">$G$14+VLOOKUP($R43,武学奇术!$A:$ZZ,16,FALSE)+SUM(_xlfn.XLOOKUP(S43:AG43,增益!$A:$A,增益!$P:$P,0))</f>
        <v>0</v>
      </c>
      <c r="BJ43" s="21">
        <f>MIN(IF(VLOOKUP($R43,武学奇术!$A:$ZZ,23,FALSE)=1,100%,$B$8),100%)</f>
        <v>0.8229</v>
      </c>
      <c r="BK43" s="21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0.2285</v>
      </c>
      <c r="BL43" s="21" cm="1">
        <f t="array" ref="BL43">1+$B$13+VLOOKUP($R43,武学奇术!$A:$ZZ,18,FALSE)+SUM(_xlfn.XLOOKUP(S43:AG43,增益!$A:$A,增益!$R:$R,0))</f>
        <v>1.5</v>
      </c>
      <c r="BM43" s="21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0.4495</v>
      </c>
      <c r="BN43" s="21" cm="1">
        <f t="array" ref="BN43">1+$B$14+VLOOKUP($R43,武学奇术!$A:$ZZ,20,FALSE)+SUM(_xlfn.XLOOKUP(S43:AG43,增益!$A:$A,增益!$T:$T,0))</f>
        <v>1.602</v>
      </c>
      <c r="BO43" s="21">
        <f t="shared" si="9"/>
        <v>0.18803265</v>
      </c>
      <c r="BP43" s="21">
        <f t="shared" si="10"/>
        <v>0.2649738</v>
      </c>
      <c r="BQ43" s="21">
        <f>IF(VLOOKUP($R43,武学奇术!$A:$ZZ,22,FALSE)=1,0,(1-$BJ43))*(1-$BM43)</f>
        <v>0.09749355</v>
      </c>
      <c r="BR43" s="21" cm="1">
        <f t="array" ref="BR43">SUM(_xlfn.XLOOKUP(S43:AG43,增益!$A:$A,增益!$W:$W,0))+$I$5</f>
        <v>0.06</v>
      </c>
    </row>
    <row r="44" spans="11:70">
      <c r="K44" s="24">
        <f>$L44*VLOOKUP($R44,武学奇术!$A:$ZZ,31,FALSE)</f>
        <v>75127.4161598929</v>
      </c>
      <c r="L44" s="24">
        <f t="shared" si="0"/>
        <v>125212.360266488</v>
      </c>
      <c r="M44" s="2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流血",$B$21,0))*(1+$BR44)</f>
        <v>102402.363859914</v>
      </c>
      <c r="N44" s="24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流血",$B$21,0))*(1+$BR44)</f>
        <v>188851.503586015</v>
      </c>
      <c r="O44" s="24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流血",$B$21,0))*(1+$BR44)</f>
        <v>68268.242573276</v>
      </c>
      <c r="P44" s="24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流血",$B$21,0))*(1+$BR44)</f>
        <v>30559.2104069253</v>
      </c>
      <c r="Q44" s="31">
        <v>1</v>
      </c>
      <c r="R44" s="32" t="s">
        <v>95</v>
      </c>
      <c r="S44" s="32" t="s">
        <v>87</v>
      </c>
      <c r="T44" s="32" t="s">
        <v>96</v>
      </c>
      <c r="U44" s="32" t="s">
        <v>97</v>
      </c>
      <c r="V44" s="32" t="s">
        <v>98</v>
      </c>
      <c r="W44" s="32" t="s">
        <v>73</v>
      </c>
      <c r="X44" s="32" t="s">
        <v>127</v>
      </c>
      <c r="Y44" s="32" t="s">
        <v>73</v>
      </c>
      <c r="Z44" s="32" t="s">
        <v>73</v>
      </c>
      <c r="AA44" s="32" t="s">
        <v>81</v>
      </c>
      <c r="AB44" s="32" t="s">
        <v>75</v>
      </c>
      <c r="AC44" s="32" t="s">
        <v>89</v>
      </c>
      <c r="AD44" s="32" t="s">
        <v>82</v>
      </c>
      <c r="AE44" s="32" t="s">
        <v>73</v>
      </c>
      <c r="AF44" s="32" t="s">
        <v>73</v>
      </c>
      <c r="AG44" s="32" t="s">
        <v>178</v>
      </c>
      <c r="AH44" t="str">
        <f>VLOOKUP($R44,武学奇术!$A:$ZZ,25,FALSE)</f>
        <v>剑</v>
      </c>
      <c r="AI44" s="21">
        <f>VLOOKUP($R44,武学奇术!$A:$ZZ,26,FALSE)</f>
        <v>2.52</v>
      </c>
      <c r="AJ44" s="22">
        <f>VLOOKUP($R44,武学奇术!$A:$ZZ,27,FALSE)*(1+IF(OR($AH44=$F$4,$AH44=$F$5),$B$22,0))</f>
        <v>0</v>
      </c>
      <c r="AK44" s="21">
        <f>VLOOKUP($R44,武学奇术!$A:$ZZ,28,FALSE)</f>
        <v>3.78</v>
      </c>
      <c r="AL44" s="22">
        <f>VLOOKUP($R44,武学奇术!$A:$ZZ,29,FALSE)*(1+IF(OR($AH44=$F$4,$AH44=$F$5),$B$22,0))</f>
        <v>0</v>
      </c>
      <c r="AM44" s="21" cm="1">
        <f t="array" ref="AM44">$G$3+IFERROR(VLOOKUP($AH44,$F$4:$G$7,2,FALSE),0)+VLOOKUP($R44,武学奇术!$A:$ZZ,2,FALSE)+SUM(_xlfn.XLOOKUP($S44:$AG44,增益!$A:$A,增益!$B:$B,0))</f>
        <v>1.3891</v>
      </c>
      <c r="AN44" s="21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1794.28</v>
      </c>
      <c r="AP44" cm="1">
        <f t="array" ref="AP44">$E$10*(1+$AN44)+VLOOKUP($R44,武学奇术!$A:$ZZ,4,FALSE)+SUM(_xlfn.XLOOKUP($S44:$AG44,增益!$A:$A,增益!$D:$D,0))-$I$2</f>
        <v>7726.36</v>
      </c>
      <c r="AQ44" s="26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0.319</v>
      </c>
      <c r="AR44" s="26" cm="1">
        <f t="array" ref="AR44">$G$10+VLOOKUP($R44,武学奇术!$A:$ZZ,7,FALSE)+SUM(_xlfn.XLOOKUP(S44:AG44,增益!$A:$A,增益!$G:$G,0))</f>
        <v>0</v>
      </c>
      <c r="AS44" s="21" cm="1">
        <f t="array" ref="AS44">VLOOKUP($R44,武学奇术!$A:$ZZ,8,FALSE)+SUM(_xlfn.XLOOKUP(S44:AG44,增益!$A:$A,增益!$H:$H,0))</f>
        <v>0</v>
      </c>
      <c r="AT44">
        <f t="shared" si="1"/>
        <v>680.02</v>
      </c>
      <c r="AU44">
        <f t="shared" si="2"/>
        <v>1288.54</v>
      </c>
      <c r="AV44" s="26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0.075</v>
      </c>
      <c r="AW44" s="26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26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26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26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26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26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26" cm="1">
        <f t="array" ref="BI44">$G$14+VLOOKUP($R44,武学奇术!$A:$ZZ,16,FALSE)+SUM(_xlfn.XLOOKUP(S44:AG44,增益!$A:$A,增益!$P:$P,0))</f>
        <v>0</v>
      </c>
      <c r="BJ44" s="21">
        <f>MIN(IF(VLOOKUP($R44,武学奇术!$A:$ZZ,23,FALSE)=1,100%,$B$8),100%)</f>
        <v>0.8229</v>
      </c>
      <c r="BK44" s="21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0.2285</v>
      </c>
      <c r="BL44" s="21" cm="1">
        <f t="array" ref="BL44">1+$B$13+VLOOKUP($R44,武学奇术!$A:$ZZ,18,FALSE)+SUM(_xlfn.XLOOKUP(S44:AG44,增益!$A:$A,增益!$R:$R,0))</f>
        <v>1.5</v>
      </c>
      <c r="BM44" s="21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0.4495</v>
      </c>
      <c r="BN44" s="21" cm="1">
        <f t="array" ref="BN44">1+$B$14+VLOOKUP($R44,武学奇术!$A:$ZZ,20,FALSE)+SUM(_xlfn.XLOOKUP(S44:AG44,增益!$A:$A,增益!$T:$T,0))</f>
        <v>1.782</v>
      </c>
      <c r="BO44" s="21">
        <f t="shared" si="9"/>
        <v>0.18803265</v>
      </c>
      <c r="BP44" s="21">
        <f t="shared" si="10"/>
        <v>0.2649738</v>
      </c>
      <c r="BQ44" s="21">
        <f>IF(VLOOKUP($R44,武学奇术!$A:$ZZ,22,FALSE)=1,0,(1-$BJ44))*(1-$BM44)</f>
        <v>0.09749355</v>
      </c>
      <c r="BR44" s="21" cm="1">
        <f t="array" ref="BR44">SUM(_xlfn.XLOOKUP(S44:AG44,增益!$A:$A,增益!$W:$W,0))+$I$5</f>
        <v>0.06</v>
      </c>
    </row>
    <row r="45" spans="11:70">
      <c r="K45" s="24">
        <f>$L45*VLOOKUP($R45,武学奇术!$A:$ZZ,31,FALSE)</f>
        <v>14140.6630595268</v>
      </c>
      <c r="L45" s="24">
        <f t="shared" si="0"/>
        <v>14140.6630595268</v>
      </c>
      <c r="M45" s="2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流血",$B$21,0))*(1+$BR45)</f>
        <v>12411.4255420891</v>
      </c>
      <c r="N45" s="24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流血",$B$21,0))*(1+$BR45)</f>
        <v>20587.1996219769</v>
      </c>
      <c r="O45" s="24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流血",$B$21,0))*(1+$BR45)</f>
        <v>8274.28369472605</v>
      </c>
      <c r="P45" s="24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流血",$B$21,0))*(1+$BR45)</f>
        <v>3697.63129583358</v>
      </c>
      <c r="Q45" s="31">
        <v>1</v>
      </c>
      <c r="R45" s="32" t="s">
        <v>103</v>
      </c>
      <c r="S45" s="32" t="s">
        <v>87</v>
      </c>
      <c r="T45" s="32" t="s">
        <v>104</v>
      </c>
      <c r="U45" s="32" t="s">
        <v>73</v>
      </c>
      <c r="V45" s="32" t="s">
        <v>73</v>
      </c>
      <c r="W45" s="32" t="s">
        <v>73</v>
      </c>
      <c r="X45" s="32" t="s">
        <v>127</v>
      </c>
      <c r="Y45" s="32" t="s">
        <v>73</v>
      </c>
      <c r="Z45" s="32" t="s">
        <v>73</v>
      </c>
      <c r="AA45" s="32" t="s">
        <v>81</v>
      </c>
      <c r="AB45" s="32" t="s">
        <v>75</v>
      </c>
      <c r="AC45" s="32" t="s">
        <v>89</v>
      </c>
      <c r="AD45" s="32" t="s">
        <v>82</v>
      </c>
      <c r="AE45" s="32" t="s">
        <v>73</v>
      </c>
      <c r="AF45" s="32" t="s">
        <v>73</v>
      </c>
      <c r="AG45" s="32" t="s">
        <v>178</v>
      </c>
      <c r="AH45" t="str">
        <f>VLOOKUP($R45,武学奇术!$A:$ZZ,25,FALSE)</f>
        <v>剑</v>
      </c>
      <c r="AI45" s="21">
        <f>VLOOKUP($R45,武学奇术!$A:$ZZ,26,FALSE)</f>
        <v>0.625</v>
      </c>
      <c r="AJ45" s="22">
        <f>VLOOKUP($R45,武学奇术!$A:$ZZ,27,FALSE)*(1+IF(OR($AH45=$F$4,$AH45=$F$5),$B$22,0))</f>
        <v>0</v>
      </c>
      <c r="AK45" s="21">
        <f>VLOOKUP($R45,武学奇术!$A:$ZZ,28,FALSE)</f>
        <v>0.9375</v>
      </c>
      <c r="AL45" s="22">
        <f>VLOOKUP($R45,武学奇术!$A:$ZZ,29,FALSE)*(1+IF(OR($AH45=$F$4,$AH45=$F$5),$B$22,0))</f>
        <v>0</v>
      </c>
      <c r="AM45" s="21" cm="1">
        <f t="array" ref="AM45">$G$3+IFERROR(VLOOKUP($AH45,$F$4:$G$7,2,FALSE),0)+VLOOKUP($R45,武学奇术!$A:$ZZ,2,FALSE)+SUM(_xlfn.XLOOKUP($S45:$AG45,增益!$A:$A,增益!$B:$B,0))</f>
        <v>0.6391</v>
      </c>
      <c r="AN45" s="21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1794.28</v>
      </c>
      <c r="AP45" cm="1">
        <f t="array" ref="AP45">$E$10*(1+$AN45)+VLOOKUP($R45,武学奇术!$A:$ZZ,4,FALSE)+SUM(_xlfn.XLOOKUP($S45:$AG45,增益!$A:$A,增益!$D:$D,0))-$I$2</f>
        <v>7726.36</v>
      </c>
      <c r="AQ45" s="26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0.244</v>
      </c>
      <c r="AR45" s="26" cm="1">
        <f t="array" ref="AR45">$G$10+VLOOKUP($R45,武学奇术!$A:$ZZ,7,FALSE)+SUM(_xlfn.XLOOKUP(S45:AG45,增益!$A:$A,增益!$G:$G,0))</f>
        <v>0</v>
      </c>
      <c r="AS45" s="21" cm="1">
        <f t="array" ref="AS45">VLOOKUP($R45,武学奇术!$A:$ZZ,8,FALSE)+SUM(_xlfn.XLOOKUP(S45:AG45,增益!$A:$A,增益!$H:$H,0))</f>
        <v>0</v>
      </c>
      <c r="AT45">
        <f t="shared" si="1"/>
        <v>680.02</v>
      </c>
      <c r="AU45">
        <f t="shared" si="2"/>
        <v>1288.54</v>
      </c>
      <c r="AV45" s="26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</v>
      </c>
      <c r="AW45" s="26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26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26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26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26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26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26" cm="1">
        <f t="array" ref="BI45">$G$14+VLOOKUP($R45,武学奇术!$A:$ZZ,16,FALSE)+SUM(_xlfn.XLOOKUP(S45:AG45,增益!$A:$A,增益!$P:$P,0))</f>
        <v>0</v>
      </c>
      <c r="BJ45" s="21">
        <f>MIN(IF(VLOOKUP($R45,武学奇术!$A:$ZZ,23,FALSE)=1,100%,$B$8),100%)</f>
        <v>0.8229</v>
      </c>
      <c r="BK45" s="21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0.2285</v>
      </c>
      <c r="BL45" s="21" cm="1">
        <f t="array" ref="BL45">1+$B$13+VLOOKUP($R45,武学奇术!$A:$ZZ,18,FALSE)+SUM(_xlfn.XLOOKUP(S45:AG45,增益!$A:$A,增益!$R:$R,0))</f>
        <v>1.5</v>
      </c>
      <c r="BM45" s="21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0.4495</v>
      </c>
      <c r="BN45" s="21" cm="1">
        <f t="array" ref="BN45">1+$B$14+VLOOKUP($R45,武学奇术!$A:$ZZ,20,FALSE)+SUM(_xlfn.XLOOKUP(S45:AG45,增益!$A:$A,增益!$T:$T,0))</f>
        <v>1.602</v>
      </c>
      <c r="BO45" s="21">
        <f t="shared" si="9"/>
        <v>0.18803265</v>
      </c>
      <c r="BP45" s="21">
        <f t="shared" si="10"/>
        <v>0.2649738</v>
      </c>
      <c r="BQ45" s="21">
        <f>IF(VLOOKUP($R45,武学奇术!$A:$ZZ,22,FALSE)=1,0,(1-$BJ45))*(1-$BM45)</f>
        <v>0.09749355</v>
      </c>
      <c r="BR45" s="21" cm="1">
        <f t="array" ref="BR45">SUM(_xlfn.XLOOKUP(S45:AG45,增益!$A:$A,增益!$W:$W,0))+$I$5</f>
        <v>0.06</v>
      </c>
    </row>
    <row r="46" spans="11:70">
      <c r="K46" s="24">
        <f>$L46*VLOOKUP($R46,武学奇术!$A:$ZZ,31,FALSE)</f>
        <v>29182.8847708023</v>
      </c>
      <c r="L46" s="24">
        <f t="shared" si="0"/>
        <v>29182.8847708023</v>
      </c>
      <c r="M46" s="2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流血",$B$21,0))*(1+$BR46)</f>
        <v>26174.1553151091</v>
      </c>
      <c r="N46" s="24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流血",$B$21,0))*(1+$BR46)</f>
        <v>41774.1909144968</v>
      </c>
      <c r="O46" s="24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流血",$B$21,0))*(1+$BR46)</f>
        <v>17449.4368767394</v>
      </c>
      <c r="P46" s="24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流血",$B$21,0))*(1+$BR46)</f>
        <v>8822.59977439212</v>
      </c>
      <c r="Q46" s="31">
        <v>1</v>
      </c>
      <c r="R46" s="32" t="s">
        <v>86</v>
      </c>
      <c r="S46" s="32" t="s">
        <v>87</v>
      </c>
      <c r="T46" s="32" t="s">
        <v>104</v>
      </c>
      <c r="U46" s="32" t="s">
        <v>73</v>
      </c>
      <c r="V46" s="32" t="s">
        <v>73</v>
      </c>
      <c r="W46" s="32" t="s">
        <v>73</v>
      </c>
      <c r="X46" s="32" t="s">
        <v>127</v>
      </c>
      <c r="Y46" s="32" t="s">
        <v>73</v>
      </c>
      <c r="Z46" s="32" t="s">
        <v>73</v>
      </c>
      <c r="AA46" s="32" t="s">
        <v>81</v>
      </c>
      <c r="AB46" s="32" t="s">
        <v>75</v>
      </c>
      <c r="AC46" s="32" t="s">
        <v>89</v>
      </c>
      <c r="AD46" s="32" t="s">
        <v>82</v>
      </c>
      <c r="AE46" s="32" t="s">
        <v>73</v>
      </c>
      <c r="AF46" s="32" t="s">
        <v>73</v>
      </c>
      <c r="AG46" s="32" t="s">
        <v>178</v>
      </c>
      <c r="AH46" t="str">
        <f>VLOOKUP($R46,武学奇术!$A:$ZZ,25,FALSE)</f>
        <v>剑</v>
      </c>
      <c r="AI46" s="21">
        <f>VLOOKUP($R46,武学奇术!$A:$ZZ,26,FALSE)</f>
        <v>1.1781</v>
      </c>
      <c r="AJ46" s="22">
        <f>VLOOKUP($R46,武学奇术!$A:$ZZ,27,FALSE)*(1+IF(OR($AH46=$F$4,$AH46=$F$5),$B$22,0))</f>
        <v>489</v>
      </c>
      <c r="AK46" s="21">
        <f>VLOOKUP($R46,武学奇术!$A:$ZZ,28,FALSE)</f>
        <v>1.7672</v>
      </c>
      <c r="AL46" s="22">
        <f>VLOOKUP($R46,武学奇术!$A:$ZZ,29,FALSE)*(1+IF(OR($AH46=$F$4,$AH46=$F$5),$B$22,0))</f>
        <v>265.5</v>
      </c>
      <c r="AM46" s="21" cm="1">
        <f t="array" ref="AM46">$G$3+IFERROR(VLOOKUP($AH46,$F$4:$G$7,2,FALSE),0)+VLOOKUP($R46,武学奇术!$A:$ZZ,2,FALSE)+SUM(_xlfn.XLOOKUP($S46:$AG46,增益!$A:$A,增益!$B:$B,0))</f>
        <v>0.6391</v>
      </c>
      <c r="AN46" s="21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1794.28</v>
      </c>
      <c r="AP46" cm="1">
        <f t="array" ref="AP46">$E$10*(1+$AN46)+VLOOKUP($R46,武学奇术!$A:$ZZ,4,FALSE)+SUM(_xlfn.XLOOKUP($S46:$AG46,增益!$A:$A,增益!$D:$D,0))-$I$2</f>
        <v>7726.36</v>
      </c>
      <c r="AQ46" s="26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0.244</v>
      </c>
      <c r="AR46" s="26" cm="1">
        <f t="array" ref="AR46">$G$10+VLOOKUP($R46,武学奇术!$A:$ZZ,7,FALSE)+SUM(_xlfn.XLOOKUP(S46:AG46,增益!$A:$A,增益!$G:$G,0))</f>
        <v>0</v>
      </c>
      <c r="AS46" s="21" cm="1">
        <f t="array" ref="AS46">VLOOKUP($R46,武学奇术!$A:$ZZ,8,FALSE)+SUM(_xlfn.XLOOKUP(S46:AG46,增益!$A:$A,增益!$H:$H,0))</f>
        <v>0</v>
      </c>
      <c r="AT46">
        <f t="shared" si="1"/>
        <v>680.02</v>
      </c>
      <c r="AU46">
        <f t="shared" si="2"/>
        <v>1288.54</v>
      </c>
      <c r="AV46" s="26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</v>
      </c>
      <c r="AW46" s="26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26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26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26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26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26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26" cm="1">
        <f t="array" ref="BI46">$G$14+VLOOKUP($R46,武学奇术!$A:$ZZ,16,FALSE)+SUM(_xlfn.XLOOKUP(S46:AG46,增益!$A:$A,增益!$P:$P,0))</f>
        <v>0</v>
      </c>
      <c r="BJ46" s="21">
        <f>MIN(IF(VLOOKUP($R46,武学奇术!$A:$ZZ,23,FALSE)=1,100%,$B$8),100%)</f>
        <v>0.8229</v>
      </c>
      <c r="BK46" s="21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0.2285</v>
      </c>
      <c r="BL46" s="21" cm="1">
        <f t="array" ref="BL46">1+$B$13+VLOOKUP($R46,武学奇术!$A:$ZZ,18,FALSE)+SUM(_xlfn.XLOOKUP(S46:AG46,增益!$A:$A,增益!$R:$R,0))</f>
        <v>1.5</v>
      </c>
      <c r="BM46" s="21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0.4495</v>
      </c>
      <c r="BN46" s="21" cm="1">
        <f t="array" ref="BN46">1+$B$14+VLOOKUP($R46,武学奇术!$A:$ZZ,20,FALSE)+SUM(_xlfn.XLOOKUP(S46:AG46,增益!$A:$A,增益!$T:$T,0))</f>
        <v>1.602</v>
      </c>
      <c r="BO46" s="21">
        <f t="shared" si="9"/>
        <v>0.18803265</v>
      </c>
      <c r="BP46" s="21">
        <f t="shared" si="10"/>
        <v>0.2649738</v>
      </c>
      <c r="BQ46" s="21">
        <f>IF(VLOOKUP($R46,武学奇术!$A:$ZZ,22,FALSE)=1,0,(1-$BJ46))*(1-$BM46)</f>
        <v>0.09749355</v>
      </c>
      <c r="BR46" s="21" cm="1">
        <f t="array" ref="BR46">SUM(_xlfn.XLOOKUP(S46:AG46,增益!$A:$A,增益!$W:$W,0))+$I$5</f>
        <v>0.06</v>
      </c>
    </row>
    <row r="47" spans="11:70">
      <c r="K47" s="24">
        <f>$L47*VLOOKUP($R47,武学奇术!$A:$ZZ,31,FALSE)</f>
        <v>75127.4161598929</v>
      </c>
      <c r="L47" s="24">
        <f t="shared" si="0"/>
        <v>125212.360266488</v>
      </c>
      <c r="M47" s="2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流血",$B$21,0))*(1+$BR47)</f>
        <v>102402.363859914</v>
      </c>
      <c r="N47" s="24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流血",$B$21,0))*(1+$BR47)</f>
        <v>188851.503586015</v>
      </c>
      <c r="O47" s="24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流血",$B$21,0))*(1+$BR47)</f>
        <v>68268.242573276</v>
      </c>
      <c r="P47" s="24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流血",$B$21,0))*(1+$BR47)</f>
        <v>30559.2104069253</v>
      </c>
      <c r="Q47" s="31">
        <v>1</v>
      </c>
      <c r="R47" s="32" t="s">
        <v>95</v>
      </c>
      <c r="S47" s="32" t="s">
        <v>87</v>
      </c>
      <c r="T47" s="32" t="s">
        <v>96</v>
      </c>
      <c r="U47" s="32" t="s">
        <v>97</v>
      </c>
      <c r="V47" s="32" t="s">
        <v>98</v>
      </c>
      <c r="W47" s="32" t="s">
        <v>73</v>
      </c>
      <c r="X47" s="32" t="s">
        <v>127</v>
      </c>
      <c r="Y47" s="32" t="s">
        <v>73</v>
      </c>
      <c r="Z47" s="32" t="s">
        <v>73</v>
      </c>
      <c r="AA47" s="32" t="s">
        <v>81</v>
      </c>
      <c r="AB47" s="32" t="s">
        <v>75</v>
      </c>
      <c r="AC47" s="32" t="s">
        <v>89</v>
      </c>
      <c r="AD47" s="32" t="s">
        <v>82</v>
      </c>
      <c r="AE47" s="32" t="s">
        <v>73</v>
      </c>
      <c r="AF47" s="32" t="s">
        <v>73</v>
      </c>
      <c r="AG47" s="32" t="s">
        <v>178</v>
      </c>
      <c r="AH47" t="str">
        <f>VLOOKUP($R47,武学奇术!$A:$ZZ,25,FALSE)</f>
        <v>剑</v>
      </c>
      <c r="AI47" s="21">
        <f>VLOOKUP($R47,武学奇术!$A:$ZZ,26,FALSE)</f>
        <v>2.52</v>
      </c>
      <c r="AJ47" s="22">
        <f>VLOOKUP($R47,武学奇术!$A:$ZZ,27,FALSE)*(1+IF(OR($AH47=$F$4,$AH47=$F$5),$B$22,0))</f>
        <v>0</v>
      </c>
      <c r="AK47" s="21">
        <f>VLOOKUP($R47,武学奇术!$A:$ZZ,28,FALSE)</f>
        <v>3.78</v>
      </c>
      <c r="AL47" s="22">
        <f>VLOOKUP($R47,武学奇术!$A:$ZZ,29,FALSE)*(1+IF(OR($AH47=$F$4,$AH47=$F$5),$B$22,0))</f>
        <v>0</v>
      </c>
      <c r="AM47" s="21" cm="1">
        <f t="array" ref="AM47">$G$3+IFERROR(VLOOKUP($AH47,$F$4:$G$7,2,FALSE),0)+VLOOKUP($R47,武学奇术!$A:$ZZ,2,FALSE)+SUM(_xlfn.XLOOKUP($S47:$AG47,增益!$A:$A,增益!$B:$B,0))</f>
        <v>1.3891</v>
      </c>
      <c r="AN47" s="21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1794.28</v>
      </c>
      <c r="AP47" cm="1">
        <f t="array" ref="AP47">$E$10*(1+$AN47)+VLOOKUP($R47,武学奇术!$A:$ZZ,4,FALSE)+SUM(_xlfn.XLOOKUP($S47:$AG47,增益!$A:$A,增益!$D:$D,0))-$I$2</f>
        <v>7726.36</v>
      </c>
      <c r="AQ47" s="26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0.319</v>
      </c>
      <c r="AR47" s="26" cm="1">
        <f t="array" ref="AR47">$G$10+VLOOKUP($R47,武学奇术!$A:$ZZ,7,FALSE)+SUM(_xlfn.XLOOKUP(S47:AG47,增益!$A:$A,增益!$G:$G,0))</f>
        <v>0</v>
      </c>
      <c r="AS47" s="21" cm="1">
        <f t="array" ref="AS47">VLOOKUP($R47,武学奇术!$A:$ZZ,8,FALSE)+SUM(_xlfn.XLOOKUP(S47:AG47,增益!$A:$A,增益!$H:$H,0))</f>
        <v>0</v>
      </c>
      <c r="AT47">
        <f t="shared" si="1"/>
        <v>680.02</v>
      </c>
      <c r="AU47">
        <f t="shared" si="2"/>
        <v>1288.54</v>
      </c>
      <c r="AV47" s="26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0.075</v>
      </c>
      <c r="AW47" s="26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26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26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26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26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26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26" cm="1">
        <f t="array" ref="BI47">$G$14+VLOOKUP($R47,武学奇术!$A:$ZZ,16,FALSE)+SUM(_xlfn.XLOOKUP(S47:AG47,增益!$A:$A,增益!$P:$P,0))</f>
        <v>0</v>
      </c>
      <c r="BJ47" s="21">
        <f>MIN(IF(VLOOKUP($R47,武学奇术!$A:$ZZ,23,FALSE)=1,100%,$B$8),100%)</f>
        <v>0.8229</v>
      </c>
      <c r="BK47" s="21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0.2285</v>
      </c>
      <c r="BL47" s="21" cm="1">
        <f t="array" ref="BL47">1+$B$13+VLOOKUP($R47,武学奇术!$A:$ZZ,18,FALSE)+SUM(_xlfn.XLOOKUP(S47:AG47,增益!$A:$A,增益!$R:$R,0))</f>
        <v>1.5</v>
      </c>
      <c r="BM47" s="21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0.4495</v>
      </c>
      <c r="BN47" s="21" cm="1">
        <f t="array" ref="BN47">1+$B$14+VLOOKUP($R47,武学奇术!$A:$ZZ,20,FALSE)+SUM(_xlfn.XLOOKUP(S47:AG47,增益!$A:$A,增益!$T:$T,0))</f>
        <v>1.782</v>
      </c>
      <c r="BO47" s="21">
        <f t="shared" si="9"/>
        <v>0.18803265</v>
      </c>
      <c r="BP47" s="21">
        <f t="shared" si="10"/>
        <v>0.2649738</v>
      </c>
      <c r="BQ47" s="21">
        <f>IF(VLOOKUP($R47,武学奇术!$A:$ZZ,22,FALSE)=1,0,(1-$BJ47))*(1-$BM47)</f>
        <v>0.09749355</v>
      </c>
      <c r="BR47" s="21" cm="1">
        <f t="array" ref="BR47">SUM(_xlfn.XLOOKUP(S47:AG47,增益!$A:$A,增益!$W:$W,0))+$I$5</f>
        <v>0.06</v>
      </c>
    </row>
    <row r="48" spans="11:70">
      <c r="K48" s="24">
        <f>$L48*VLOOKUP($R48,武学奇术!$A:$ZZ,31,FALSE)</f>
        <v>113310.902151609</v>
      </c>
      <c r="L48" s="24">
        <f t="shared" si="0"/>
        <v>188851.503586015</v>
      </c>
      <c r="M48" s="2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流血",$B$21,0))*(1+$BR48)</f>
        <v>102402.363859914</v>
      </c>
      <c r="N48" s="24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流血",$B$21,0))*(1+$BR48)</f>
        <v>188851.503586015</v>
      </c>
      <c r="O48" s="24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流血",$B$21,0))*(1+$BR48)</f>
        <v>68268.242573276</v>
      </c>
      <c r="P48" s="24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流血",$B$21,0))*(1+$BR48)</f>
        <v>30559.2104069253</v>
      </c>
      <c r="Q48" s="31">
        <v>1</v>
      </c>
      <c r="R48" s="32" t="s">
        <v>120</v>
      </c>
      <c r="S48" s="32" t="s">
        <v>87</v>
      </c>
      <c r="T48" s="32" t="s">
        <v>96</v>
      </c>
      <c r="U48" s="32" t="s">
        <v>97</v>
      </c>
      <c r="V48" s="32" t="s">
        <v>98</v>
      </c>
      <c r="W48" s="32" t="s">
        <v>73</v>
      </c>
      <c r="X48" s="32" t="s">
        <v>127</v>
      </c>
      <c r="Y48" s="32" t="s">
        <v>73</v>
      </c>
      <c r="Z48" s="32" t="s">
        <v>73</v>
      </c>
      <c r="AA48" s="32" t="s">
        <v>81</v>
      </c>
      <c r="AB48" s="32" t="s">
        <v>75</v>
      </c>
      <c r="AC48" s="32" t="s">
        <v>89</v>
      </c>
      <c r="AD48" s="32" t="s">
        <v>82</v>
      </c>
      <c r="AE48" s="32" t="s">
        <v>73</v>
      </c>
      <c r="AF48" s="32" t="s">
        <v>73</v>
      </c>
      <c r="AG48" s="32" t="s">
        <v>178</v>
      </c>
      <c r="AH48" t="str">
        <f>VLOOKUP($R48,武学奇术!$A:$ZZ,25,FALSE)</f>
        <v>剑</v>
      </c>
      <c r="AI48" s="21">
        <f>VLOOKUP($R48,武学奇术!$A:$ZZ,26,FALSE)</f>
        <v>2.52</v>
      </c>
      <c r="AJ48" s="22">
        <f>VLOOKUP($R48,武学奇术!$A:$ZZ,27,FALSE)*(1+IF(OR($AH48=$F$4,$AH48=$F$5),$B$22,0))</f>
        <v>0</v>
      </c>
      <c r="AK48" s="21">
        <f>VLOOKUP($R48,武学奇术!$A:$ZZ,28,FALSE)</f>
        <v>3.78</v>
      </c>
      <c r="AL48" s="22">
        <f>VLOOKUP($R48,武学奇术!$A:$ZZ,29,FALSE)*(1+IF(OR($AH48=$F$4,$AH48=$F$5),$B$22,0))</f>
        <v>0</v>
      </c>
      <c r="AM48" s="21" cm="1">
        <f t="array" ref="AM48">$G$3+IFERROR(VLOOKUP($AH48,$F$4:$G$7,2,FALSE),0)+VLOOKUP($R48,武学奇术!$A:$ZZ,2,FALSE)+SUM(_xlfn.XLOOKUP($S48:$AG48,增益!$A:$A,增益!$B:$B,0))</f>
        <v>1.3891</v>
      </c>
      <c r="AN48" s="21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1794.28</v>
      </c>
      <c r="AP48" cm="1">
        <f t="array" ref="AP48">$E$10*(1+$AN48)+VLOOKUP($R48,武学奇术!$A:$ZZ,4,FALSE)+SUM(_xlfn.XLOOKUP($S48:$AG48,增益!$A:$A,增益!$D:$D,0))-$I$2</f>
        <v>7726.36</v>
      </c>
      <c r="AQ48" s="26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0.319</v>
      </c>
      <c r="AR48" s="26" cm="1">
        <f t="array" ref="AR48">$G$10+VLOOKUP($R48,武学奇术!$A:$ZZ,7,FALSE)+SUM(_xlfn.XLOOKUP(S48:AG48,增益!$A:$A,增益!$G:$G,0))</f>
        <v>0</v>
      </c>
      <c r="AS48" s="21" cm="1">
        <f t="array" ref="AS48">VLOOKUP($R48,武学奇术!$A:$ZZ,8,FALSE)+SUM(_xlfn.XLOOKUP(S48:AG48,增益!$A:$A,增益!$H:$H,0))</f>
        <v>0</v>
      </c>
      <c r="AT48">
        <f t="shared" si="1"/>
        <v>680.02</v>
      </c>
      <c r="AU48">
        <f t="shared" si="2"/>
        <v>1288.54</v>
      </c>
      <c r="AV48" s="26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0.075</v>
      </c>
      <c r="AW48" s="26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26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26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26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26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26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26" cm="1">
        <f t="array" ref="BI48">$G$14+VLOOKUP($R48,武学奇术!$A:$ZZ,16,FALSE)+SUM(_xlfn.XLOOKUP(S48:AG48,增益!$A:$A,增益!$P:$P,0))</f>
        <v>0</v>
      </c>
      <c r="BJ48" s="21">
        <f>MIN(IF(VLOOKUP($R48,武学奇术!$A:$ZZ,23,FALSE)=1,100%,$B$8),100%)</f>
        <v>0.8229</v>
      </c>
      <c r="BK48" s="21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</v>
      </c>
      <c r="BL48" s="21" cm="1">
        <f t="array" ref="BL48">1+$B$13+VLOOKUP($R48,武学奇术!$A:$ZZ,18,FALSE)+SUM(_xlfn.XLOOKUP(S48:AG48,增益!$A:$A,增益!$R:$R,0))</f>
        <v>1.5</v>
      </c>
      <c r="BM48" s="21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1</v>
      </c>
      <c r="BN48" s="21" cm="1">
        <f t="array" ref="BN48">1+$B$14+VLOOKUP($R48,武学奇术!$A:$ZZ,20,FALSE)+SUM(_xlfn.XLOOKUP(S48:AG48,增益!$A:$A,增益!$T:$T,0))</f>
        <v>1.782</v>
      </c>
      <c r="BO48" s="21">
        <f t="shared" si="9"/>
        <v>0</v>
      </c>
      <c r="BP48" s="21">
        <f t="shared" si="10"/>
        <v>0</v>
      </c>
      <c r="BQ48" s="21">
        <f>IF(VLOOKUP($R48,武学奇术!$A:$ZZ,22,FALSE)=1,0,(1-$BJ48))*(1-$BM48)</f>
        <v>0</v>
      </c>
      <c r="BR48" s="21" cm="1">
        <f t="array" ref="BR48">SUM(_xlfn.XLOOKUP(S48:AG48,增益!$A:$A,增益!$W:$W,0))+$I$5</f>
        <v>0.06</v>
      </c>
    </row>
    <row r="49" spans="11:70">
      <c r="K49" s="24">
        <f>$L49*VLOOKUP($R49,武学奇术!$A:$ZZ,31,FALSE)</f>
        <v>14140.6630595268</v>
      </c>
      <c r="L49" s="24">
        <f t="shared" si="0"/>
        <v>14140.6630595268</v>
      </c>
      <c r="M49" s="2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流血",$B$21,0))*(1+$BR49)</f>
        <v>12411.4255420891</v>
      </c>
      <c r="N49" s="24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流血",$B$21,0))*(1+$BR49)</f>
        <v>20587.1996219769</v>
      </c>
      <c r="O49" s="24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流血",$B$21,0))*(1+$BR49)</f>
        <v>8274.28369472605</v>
      </c>
      <c r="P49" s="24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流血",$B$21,0))*(1+$BR49)</f>
        <v>3697.63129583358</v>
      </c>
      <c r="Q49" s="31">
        <v>1</v>
      </c>
      <c r="R49" s="32" t="s">
        <v>103</v>
      </c>
      <c r="S49" s="32" t="s">
        <v>87</v>
      </c>
      <c r="T49" s="32" t="s">
        <v>104</v>
      </c>
      <c r="U49" s="32" t="s">
        <v>73</v>
      </c>
      <c r="V49" s="32" t="s">
        <v>73</v>
      </c>
      <c r="W49" s="32" t="s">
        <v>73</v>
      </c>
      <c r="X49" s="32" t="s">
        <v>127</v>
      </c>
      <c r="Y49" s="32" t="s">
        <v>73</v>
      </c>
      <c r="Z49" s="32" t="s">
        <v>73</v>
      </c>
      <c r="AA49" s="32" t="s">
        <v>81</v>
      </c>
      <c r="AB49" s="32" t="s">
        <v>75</v>
      </c>
      <c r="AC49" s="32" t="s">
        <v>89</v>
      </c>
      <c r="AD49" s="32" t="s">
        <v>82</v>
      </c>
      <c r="AE49" s="32" t="s">
        <v>73</v>
      </c>
      <c r="AF49" s="32" t="s">
        <v>73</v>
      </c>
      <c r="AG49" s="32" t="s">
        <v>178</v>
      </c>
      <c r="AH49" t="str">
        <f>VLOOKUP($R49,武学奇术!$A:$ZZ,25,FALSE)</f>
        <v>剑</v>
      </c>
      <c r="AI49" s="21">
        <f>VLOOKUP($R49,武学奇术!$A:$ZZ,26,FALSE)</f>
        <v>0.625</v>
      </c>
      <c r="AJ49" s="22">
        <f>VLOOKUP($R49,武学奇术!$A:$ZZ,27,FALSE)*(1+IF(OR($AH49=$F$4,$AH49=$F$5),$B$22,0))</f>
        <v>0</v>
      </c>
      <c r="AK49" s="21">
        <f>VLOOKUP($R49,武学奇术!$A:$ZZ,28,FALSE)</f>
        <v>0.9375</v>
      </c>
      <c r="AL49" s="22">
        <f>VLOOKUP($R49,武学奇术!$A:$ZZ,29,FALSE)*(1+IF(OR($AH49=$F$4,$AH49=$F$5),$B$22,0))</f>
        <v>0</v>
      </c>
      <c r="AM49" s="21" cm="1">
        <f t="array" ref="AM49">$G$3+IFERROR(VLOOKUP($AH49,$F$4:$G$7,2,FALSE),0)+VLOOKUP($R49,武学奇术!$A:$ZZ,2,FALSE)+SUM(_xlfn.XLOOKUP($S49:$AG49,增益!$A:$A,增益!$B:$B,0))</f>
        <v>0.6391</v>
      </c>
      <c r="AN49" s="21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1794.28</v>
      </c>
      <c r="AP49" cm="1">
        <f t="array" ref="AP49">$E$10*(1+$AN49)+VLOOKUP($R49,武学奇术!$A:$ZZ,4,FALSE)+SUM(_xlfn.XLOOKUP($S49:$AG49,增益!$A:$A,增益!$D:$D,0))-$I$2</f>
        <v>7726.36</v>
      </c>
      <c r="AQ49" s="26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0.244</v>
      </c>
      <c r="AR49" s="26" cm="1">
        <f t="array" ref="AR49">$G$10+VLOOKUP($R49,武学奇术!$A:$ZZ,7,FALSE)+SUM(_xlfn.XLOOKUP(S49:AG49,增益!$A:$A,增益!$G:$G,0))</f>
        <v>0</v>
      </c>
      <c r="AS49" s="21" cm="1">
        <f t="array" ref="AS49">VLOOKUP($R49,武学奇术!$A:$ZZ,8,FALSE)+SUM(_xlfn.XLOOKUP(S49:AG49,增益!$A:$A,增益!$H:$H,0))</f>
        <v>0</v>
      </c>
      <c r="AT49">
        <f t="shared" si="1"/>
        <v>680.02</v>
      </c>
      <c r="AU49">
        <f t="shared" si="2"/>
        <v>1288.54</v>
      </c>
      <c r="AV49" s="26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</v>
      </c>
      <c r="AW49" s="26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26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26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26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26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26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26" cm="1">
        <f t="array" ref="BI49">$G$14+VLOOKUP($R49,武学奇术!$A:$ZZ,16,FALSE)+SUM(_xlfn.XLOOKUP(S49:AG49,增益!$A:$A,增益!$P:$P,0))</f>
        <v>0</v>
      </c>
      <c r="BJ49" s="21">
        <f>MIN(IF(VLOOKUP($R49,武学奇术!$A:$ZZ,23,FALSE)=1,100%,$B$8),100%)</f>
        <v>0.8229</v>
      </c>
      <c r="BK49" s="21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0.2285</v>
      </c>
      <c r="BL49" s="21" cm="1">
        <f t="array" ref="BL49">1+$B$13+VLOOKUP($R49,武学奇术!$A:$ZZ,18,FALSE)+SUM(_xlfn.XLOOKUP(S49:AG49,增益!$A:$A,增益!$R:$R,0))</f>
        <v>1.5</v>
      </c>
      <c r="BM49" s="21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0.4495</v>
      </c>
      <c r="BN49" s="21" cm="1">
        <f t="array" ref="BN49">1+$B$14+VLOOKUP($R49,武学奇术!$A:$ZZ,20,FALSE)+SUM(_xlfn.XLOOKUP(S49:AG49,增益!$A:$A,增益!$T:$T,0))</f>
        <v>1.602</v>
      </c>
      <c r="BO49" s="21">
        <f t="shared" si="9"/>
        <v>0.18803265</v>
      </c>
      <c r="BP49" s="21">
        <f t="shared" si="10"/>
        <v>0.2649738</v>
      </c>
      <c r="BQ49" s="21">
        <f>IF(VLOOKUP($R49,武学奇术!$A:$ZZ,22,FALSE)=1,0,(1-$BJ49))*(1-$BM49)</f>
        <v>0.09749355</v>
      </c>
      <c r="BR49" s="21" cm="1">
        <f t="array" ref="BR49">SUM(_xlfn.XLOOKUP(S49:AG49,增益!$A:$A,增益!$W:$W,0))+$I$5</f>
        <v>0.06</v>
      </c>
    </row>
    <row r="50" spans="11:70">
      <c r="K50" s="24">
        <f>$L50*VLOOKUP($R50,武学奇术!$A:$ZZ,31,FALSE)</f>
        <v>24128.0868674765</v>
      </c>
      <c r="L50" s="24">
        <f t="shared" si="0"/>
        <v>24128.0868674765</v>
      </c>
      <c r="M50" s="2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流血",$B$21,0))*(1+$BR50)</f>
        <v>21641.1285473597</v>
      </c>
      <c r="N50" s="24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流血",$B$21,0))*(1+$BR50)</f>
        <v>34537.6429959112</v>
      </c>
      <c r="O50" s="24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流血",$B$21,0))*(1+$BR50)</f>
        <v>14427.4190315731</v>
      </c>
      <c r="P50" s="24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流血",$B$21,0))*(1+$BR50)</f>
        <v>7295.7600382329</v>
      </c>
      <c r="Q50" s="31">
        <v>1</v>
      </c>
      <c r="R50" s="32" t="s">
        <v>108</v>
      </c>
      <c r="S50" s="32" t="s">
        <v>87</v>
      </c>
      <c r="T50" s="32" t="s">
        <v>104</v>
      </c>
      <c r="U50" s="32" t="s">
        <v>73</v>
      </c>
      <c r="V50" s="32" t="s">
        <v>73</v>
      </c>
      <c r="W50" s="32" t="s">
        <v>73</v>
      </c>
      <c r="X50" s="32" t="s">
        <v>127</v>
      </c>
      <c r="Y50" s="32" t="s">
        <v>73</v>
      </c>
      <c r="Z50" s="32" t="s">
        <v>73</v>
      </c>
      <c r="AA50" s="32" t="s">
        <v>81</v>
      </c>
      <c r="AB50" s="32" t="s">
        <v>75</v>
      </c>
      <c r="AC50" s="32" t="s">
        <v>76</v>
      </c>
      <c r="AD50" s="32" t="s">
        <v>82</v>
      </c>
      <c r="AE50" s="32" t="s">
        <v>73</v>
      </c>
      <c r="AF50" s="32" t="s">
        <v>73</v>
      </c>
      <c r="AG50" s="32" t="s">
        <v>178</v>
      </c>
      <c r="AH50" t="str">
        <f>VLOOKUP($R50,武学奇术!$A:$ZZ,25,FALSE)</f>
        <v>枪</v>
      </c>
      <c r="AI50" s="21">
        <f>VLOOKUP($R50,武学奇术!$A:$ZZ,26,FALSE)</f>
        <v>1.02732</v>
      </c>
      <c r="AJ50" s="22">
        <f>VLOOKUP($R50,武学奇术!$A:$ZZ,27,FALSE)*(1+IF(OR($AH50=$F$4,$AH50=$F$5),$B$22,0))</f>
        <v>426.6</v>
      </c>
      <c r="AK50" s="21">
        <f>VLOOKUP($R50,武学奇术!$A:$ZZ,28,FALSE)</f>
        <v>1.54096</v>
      </c>
      <c r="AL50" s="22">
        <f>VLOOKUP($R50,武学奇术!$A:$ZZ,29,FALSE)*(1+IF(OR($AH50=$F$4,$AH50=$F$5),$B$22,0))</f>
        <v>232.2</v>
      </c>
      <c r="AM50" s="21" cm="1">
        <f t="array" ref="AM50">$G$3+IFERROR(VLOOKUP($AH50,$F$4:$G$7,2,FALSE),0)+VLOOKUP($R50,武学奇术!$A:$ZZ,2,FALSE)+SUM(_xlfn.XLOOKUP($S50:$AG50,增益!$A:$A,增益!$B:$B,0))</f>
        <v>0.5539</v>
      </c>
      <c r="AN50" s="21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1794.28</v>
      </c>
      <c r="AP50" cm="1">
        <f t="array" ref="AP50">$E$10*(1+$AN50)+VLOOKUP($R50,武学奇术!$A:$ZZ,4,FALSE)+SUM(_xlfn.XLOOKUP($S50:$AG50,增益!$A:$A,增益!$D:$D,0))-$I$2</f>
        <v>7726.36</v>
      </c>
      <c r="AQ50" s="26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0.244</v>
      </c>
      <c r="AR50" s="26" cm="1">
        <f t="array" ref="AR50">$G$10+VLOOKUP($R50,武学奇术!$A:$ZZ,7,FALSE)+SUM(_xlfn.XLOOKUP(S50:AG50,增益!$A:$A,增益!$G:$G,0))</f>
        <v>0</v>
      </c>
      <c r="AS50" s="21" cm="1">
        <f t="array" ref="AS50">VLOOKUP($R50,武学奇术!$A:$ZZ,8,FALSE)+SUM(_xlfn.XLOOKUP(S50:AG50,增益!$A:$A,增益!$H:$H,0))</f>
        <v>0</v>
      </c>
      <c r="AT50">
        <f t="shared" si="1"/>
        <v>680.02</v>
      </c>
      <c r="AU50">
        <f t="shared" si="2"/>
        <v>1288.54</v>
      </c>
      <c r="AV50" s="26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</v>
      </c>
      <c r="AW50" s="26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26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26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26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26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26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26" cm="1">
        <f t="array" ref="BI50">$G$14+VLOOKUP($R50,武学奇术!$A:$ZZ,16,FALSE)+SUM(_xlfn.XLOOKUP(S50:AG50,增益!$A:$A,增益!$P:$P,0))</f>
        <v>0</v>
      </c>
      <c r="BJ50" s="21">
        <f>MIN(IF(VLOOKUP($R50,武学奇术!$A:$ZZ,23,FALSE)=1,100%,$B$8),100%)</f>
        <v>0.8229</v>
      </c>
      <c r="BK50" s="21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0.2285</v>
      </c>
      <c r="BL50" s="21" cm="1">
        <f t="array" ref="BL50">1+$B$13+VLOOKUP($R50,武学奇术!$A:$ZZ,18,FALSE)+SUM(_xlfn.XLOOKUP(S50:AG50,增益!$A:$A,增益!$R:$R,0))</f>
        <v>1.5</v>
      </c>
      <c r="BM50" s="21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0.4495</v>
      </c>
      <c r="BN50" s="21" cm="1">
        <f t="array" ref="BN50">1+$B$14+VLOOKUP($R50,武学奇术!$A:$ZZ,20,FALSE)+SUM(_xlfn.XLOOKUP(S50:AG50,增益!$A:$A,增益!$T:$T,0))</f>
        <v>1.602</v>
      </c>
      <c r="BO50" s="21">
        <f t="shared" si="9"/>
        <v>0.18803265</v>
      </c>
      <c r="BP50" s="21">
        <f t="shared" si="10"/>
        <v>0.2649738</v>
      </c>
      <c r="BQ50" s="21">
        <f>IF(VLOOKUP($R50,武学奇术!$A:$ZZ,22,FALSE)=1,0,(1-$BJ50))*(1-$BM50)</f>
        <v>0.09749355</v>
      </c>
      <c r="BR50" s="21" cm="1">
        <f t="array" ref="BR50">SUM(_xlfn.XLOOKUP(S50:AG50,增益!$A:$A,增益!$W:$W,0))+$I$5</f>
        <v>0.06</v>
      </c>
    </row>
    <row r="51" spans="11:70">
      <c r="K51" s="24">
        <f>$L51*VLOOKUP($R51,武学奇术!$A:$ZZ,31,FALSE)</f>
        <v>75426.159415882</v>
      </c>
      <c r="L51" s="24">
        <f t="shared" si="0"/>
        <v>125710.265693137</v>
      </c>
      <c r="M51" s="2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流血",$B$21,0))*(1+$BR51)</f>
        <v>102919.032870865</v>
      </c>
      <c r="N51" s="24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流血",$B$21,0))*(1+$BR51)</f>
        <v>189465.306371025</v>
      </c>
      <c r="O51" s="24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流血",$B$21,0))*(1+$BR51)</f>
        <v>68612.6885805768</v>
      </c>
      <c r="P51" s="24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流血",$B$21,0))*(1+$BR51)</f>
        <v>30903.6564142262</v>
      </c>
      <c r="Q51" s="31">
        <v>1</v>
      </c>
      <c r="R51" s="32" t="s">
        <v>95</v>
      </c>
      <c r="S51" s="32" t="s">
        <v>87</v>
      </c>
      <c r="T51" s="32" t="s">
        <v>96</v>
      </c>
      <c r="U51" s="32" t="s">
        <v>97</v>
      </c>
      <c r="V51" s="32" t="s">
        <v>98</v>
      </c>
      <c r="W51" s="32" t="s">
        <v>111</v>
      </c>
      <c r="X51" s="32" t="s">
        <v>127</v>
      </c>
      <c r="Y51" s="32" t="s">
        <v>73</v>
      </c>
      <c r="Z51" s="32" t="s">
        <v>73</v>
      </c>
      <c r="AA51" s="32" t="s">
        <v>81</v>
      </c>
      <c r="AB51" s="32" t="s">
        <v>75</v>
      </c>
      <c r="AC51" s="32" t="s">
        <v>76</v>
      </c>
      <c r="AD51" s="32" t="s">
        <v>82</v>
      </c>
      <c r="AE51" s="32" t="s">
        <v>73</v>
      </c>
      <c r="AF51" s="32" t="s">
        <v>73</v>
      </c>
      <c r="AG51" s="32" t="s">
        <v>178</v>
      </c>
      <c r="AH51" t="str">
        <f>VLOOKUP($R51,武学奇术!$A:$ZZ,25,FALSE)</f>
        <v>剑</v>
      </c>
      <c r="AI51" s="21">
        <f>VLOOKUP($R51,武学奇术!$A:$ZZ,26,FALSE)</f>
        <v>2.52</v>
      </c>
      <c r="AJ51" s="22">
        <f>VLOOKUP($R51,武学奇术!$A:$ZZ,27,FALSE)*(1+IF(OR($AH51=$F$4,$AH51=$F$5),$B$22,0))</f>
        <v>0</v>
      </c>
      <c r="AK51" s="21">
        <f>VLOOKUP($R51,武学奇术!$A:$ZZ,28,FALSE)</f>
        <v>3.78</v>
      </c>
      <c r="AL51" s="22">
        <f>VLOOKUP($R51,武学奇术!$A:$ZZ,29,FALSE)*(1+IF(OR($AH51=$F$4,$AH51=$F$5),$B$22,0))</f>
        <v>0</v>
      </c>
      <c r="AM51" s="21" cm="1">
        <f t="array" ref="AM51">$G$3+IFERROR(VLOOKUP($AH51,$F$4:$G$7,2,FALSE),0)+VLOOKUP($R51,武学奇术!$A:$ZZ,2,FALSE)+SUM(_xlfn.XLOOKUP($S51:$AG51,增益!$A:$A,增益!$B:$B,0))</f>
        <v>1.3891</v>
      </c>
      <c r="AN51" s="21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1825.28</v>
      </c>
      <c r="AP51" cm="1">
        <f t="array" ref="AP51">$E$10*(1+$AN51)+VLOOKUP($R51,武学奇术!$A:$ZZ,4,FALSE)+SUM(_xlfn.XLOOKUP($S51:$AG51,增益!$A:$A,增益!$D:$D,0))-$I$2</f>
        <v>7757.36</v>
      </c>
      <c r="AQ51" s="26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0.319</v>
      </c>
      <c r="AR51" s="26" cm="1">
        <f t="array" ref="AR51">$G$10+VLOOKUP($R51,武学奇术!$A:$ZZ,7,FALSE)+SUM(_xlfn.XLOOKUP(S51:AG51,增益!$A:$A,增益!$G:$G,0))</f>
        <v>0</v>
      </c>
      <c r="AS51" s="21" cm="1">
        <f t="array" ref="AS51">VLOOKUP($R51,武学奇术!$A:$ZZ,8,FALSE)+SUM(_xlfn.XLOOKUP(S51:AG51,增益!$A:$A,增益!$H:$H,0))</f>
        <v>0</v>
      </c>
      <c r="AT51">
        <f t="shared" si="1"/>
        <v>680.02</v>
      </c>
      <c r="AU51">
        <f t="shared" si="2"/>
        <v>1288.54</v>
      </c>
      <c r="AV51" s="26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0.075</v>
      </c>
      <c r="AW51" s="26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26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26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26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26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26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26" cm="1">
        <f t="array" ref="BI51">$G$14+VLOOKUP($R51,武学奇术!$A:$ZZ,16,FALSE)+SUM(_xlfn.XLOOKUP(S51:AG51,增益!$A:$A,增益!$P:$P,0))</f>
        <v>0</v>
      </c>
      <c r="BJ51" s="21">
        <f>MIN(IF(VLOOKUP($R51,武学奇术!$A:$ZZ,23,FALSE)=1,100%,$B$8),100%)</f>
        <v>0.8229</v>
      </c>
      <c r="BK51" s="21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0.2285</v>
      </c>
      <c r="BL51" s="21" cm="1">
        <f t="array" ref="BL51">1+$B$13+VLOOKUP($R51,武学奇术!$A:$ZZ,18,FALSE)+SUM(_xlfn.XLOOKUP(S51:AG51,增益!$A:$A,增益!$R:$R,0))</f>
        <v>1.5</v>
      </c>
      <c r="BM51" s="21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0.4495</v>
      </c>
      <c r="BN51" s="21" cm="1">
        <f t="array" ref="BN51">1+$B$14+VLOOKUP($R51,武学奇术!$A:$ZZ,20,FALSE)+SUM(_xlfn.XLOOKUP(S51:AG51,增益!$A:$A,增益!$T:$T,0))</f>
        <v>1.782</v>
      </c>
      <c r="BO51" s="21">
        <f t="shared" si="9"/>
        <v>0.18803265</v>
      </c>
      <c r="BP51" s="21">
        <f t="shared" si="10"/>
        <v>0.2649738</v>
      </c>
      <c r="BQ51" s="21">
        <f>IF(VLOOKUP($R51,武学奇术!$A:$ZZ,22,FALSE)=1,0,(1-$BJ51))*(1-$BM51)</f>
        <v>0.09749355</v>
      </c>
      <c r="BR51" s="21" cm="1">
        <f t="array" ref="BR51">SUM(_xlfn.XLOOKUP(S51:AG51,增益!$A:$A,增益!$W:$W,0))+$I$5</f>
        <v>0.06</v>
      </c>
    </row>
    <row r="52" spans="11:70">
      <c r="K52" s="24">
        <f>$L52*VLOOKUP($R52,武学奇术!$A:$ZZ,31,FALSE)</f>
        <v>50415.6971566931</v>
      </c>
      <c r="L52" s="24">
        <f t="shared" si="0"/>
        <v>50415.6971566931</v>
      </c>
      <c r="M52" s="2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流血",$B$21,0))*(1+$BR52)</f>
        <v>45250.0174076716</v>
      </c>
      <c r="N52" s="24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流血",$B$21,0))*(1+$BR52)</f>
        <v>72127.2546215262</v>
      </c>
      <c r="O52" s="24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流血",$B$21,0))*(1+$BR52)</f>
        <v>30166.6782717811</v>
      </c>
      <c r="P52" s="24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流血",$B$21,0))*(1+$BR52)</f>
        <v>15310.1014739453</v>
      </c>
      <c r="Q52" s="31">
        <v>1</v>
      </c>
      <c r="R52" s="32" t="s">
        <v>80</v>
      </c>
      <c r="S52" s="32" t="s">
        <v>87</v>
      </c>
      <c r="T52" s="32" t="s">
        <v>104</v>
      </c>
      <c r="U52" s="32" t="s">
        <v>73</v>
      </c>
      <c r="V52" s="32" t="s">
        <v>73</v>
      </c>
      <c r="W52" s="32" t="s">
        <v>111</v>
      </c>
      <c r="X52" s="32" t="s">
        <v>127</v>
      </c>
      <c r="Y52" s="32" t="s">
        <v>73</v>
      </c>
      <c r="Z52" s="32" t="s">
        <v>73</v>
      </c>
      <c r="AA52" s="32" t="s">
        <v>81</v>
      </c>
      <c r="AB52" s="32" t="s">
        <v>75</v>
      </c>
      <c r="AC52" s="32" t="s">
        <v>76</v>
      </c>
      <c r="AD52" s="32" t="s">
        <v>82</v>
      </c>
      <c r="AE52" s="32" t="s">
        <v>73</v>
      </c>
      <c r="AF52" s="32" t="s">
        <v>73</v>
      </c>
      <c r="AG52" s="32" t="s">
        <v>178</v>
      </c>
      <c r="AH52" t="str">
        <f>VLOOKUP($R52,武学奇术!$A:$ZZ,25,FALSE)</f>
        <v>枪</v>
      </c>
      <c r="AI52" s="21">
        <f>VLOOKUP($R52,武学奇术!$A:$ZZ,26,FALSE)</f>
        <v>2.1401</v>
      </c>
      <c r="AJ52" s="22">
        <f>VLOOKUP($R52,武学奇术!$A:$ZZ,27,FALSE)*(1+IF(OR($AH52=$F$4,$AH52=$F$5),$B$22,0))</f>
        <v>882</v>
      </c>
      <c r="AK52" s="21">
        <f>VLOOKUP($R52,武学奇术!$A:$ZZ,28,FALSE)</f>
        <v>3.2101</v>
      </c>
      <c r="AL52" s="22">
        <f>VLOOKUP($R52,武学奇术!$A:$ZZ,29,FALSE)*(1+IF(OR($AH52=$F$4,$AH52=$F$5),$B$22,0))</f>
        <v>480</v>
      </c>
      <c r="AM52" s="21" cm="1">
        <f t="array" ref="AM52">$G$3+IFERROR(VLOOKUP($AH52,$F$4:$G$7,2,FALSE),0)+VLOOKUP($R52,武学奇术!$A:$ZZ,2,FALSE)+SUM(_xlfn.XLOOKUP($S52:$AG52,增益!$A:$A,增益!$B:$B,0))</f>
        <v>0.5539</v>
      </c>
      <c r="AN52" s="21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1825.28</v>
      </c>
      <c r="AP52" cm="1">
        <f t="array" ref="AP52">$E$10*(1+$AN52)+VLOOKUP($R52,武学奇术!$A:$ZZ,4,FALSE)+SUM(_xlfn.XLOOKUP($S52:$AG52,增益!$A:$A,增益!$D:$D,0))-$I$2</f>
        <v>7757.36</v>
      </c>
      <c r="AQ52" s="26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0.244</v>
      </c>
      <c r="AR52" s="26" cm="1">
        <f t="array" ref="AR52">$G$10+VLOOKUP($R52,武学奇术!$A:$ZZ,7,FALSE)+SUM(_xlfn.XLOOKUP(S52:AG52,增益!$A:$A,增益!$G:$G,0))</f>
        <v>0</v>
      </c>
      <c r="AS52" s="21" cm="1">
        <f t="array" ref="AS52">VLOOKUP($R52,武学奇术!$A:$ZZ,8,FALSE)+SUM(_xlfn.XLOOKUP(S52:AG52,增益!$A:$A,增益!$H:$H,0))</f>
        <v>0</v>
      </c>
      <c r="AT52">
        <f t="shared" si="1"/>
        <v>680.02</v>
      </c>
      <c r="AU52">
        <f t="shared" si="2"/>
        <v>1288.54</v>
      </c>
      <c r="AV52" s="26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</v>
      </c>
      <c r="AW52" s="26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26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26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26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26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26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26" cm="1">
        <f t="array" ref="BI52">$G$14+VLOOKUP($R52,武学奇术!$A:$ZZ,16,FALSE)+SUM(_xlfn.XLOOKUP(S52:AG52,增益!$A:$A,增益!$P:$P,0))</f>
        <v>0</v>
      </c>
      <c r="BJ52" s="21">
        <f>MIN(IF(VLOOKUP($R52,武学奇术!$A:$ZZ,23,FALSE)=1,100%,$B$8),100%)</f>
        <v>0.8229</v>
      </c>
      <c r="BK52" s="21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0.2285</v>
      </c>
      <c r="BL52" s="21" cm="1">
        <f t="array" ref="BL52">1+$B$13+VLOOKUP($R52,武学奇术!$A:$ZZ,18,FALSE)+SUM(_xlfn.XLOOKUP(S52:AG52,增益!$A:$A,增益!$R:$R,0))</f>
        <v>1.5</v>
      </c>
      <c r="BM52" s="21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0.4495</v>
      </c>
      <c r="BN52" s="21" cm="1">
        <f t="array" ref="BN52">1+$B$14+VLOOKUP($R52,武学奇术!$A:$ZZ,20,FALSE)+SUM(_xlfn.XLOOKUP(S52:AG52,增益!$A:$A,增益!$T:$T,0))</f>
        <v>1.602</v>
      </c>
      <c r="BO52" s="21">
        <f t="shared" si="9"/>
        <v>0.18803265</v>
      </c>
      <c r="BP52" s="21">
        <f t="shared" si="10"/>
        <v>0.2649738</v>
      </c>
      <c r="BQ52" s="21">
        <f>IF(VLOOKUP($R52,武学奇术!$A:$ZZ,22,FALSE)=1,0,(1-$BJ52))*(1-$BM52)</f>
        <v>0.09749355</v>
      </c>
      <c r="BR52" s="21" cm="1">
        <f t="array" ref="BR52">SUM(_xlfn.XLOOKUP(S52:AG52,增益!$A:$A,增益!$W:$W,0))+$I$5</f>
        <v>0.06</v>
      </c>
    </row>
    <row r="53" spans="11:70">
      <c r="K53" s="24">
        <f>$L53*VLOOKUP($R53,武学奇术!$A:$ZZ,31,FALSE)</f>
        <v>37725.0404969281</v>
      </c>
      <c r="L53" s="24">
        <f t="shared" si="0"/>
        <v>37725.0404969281</v>
      </c>
      <c r="M53" s="2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流血",$B$21,0))*(1+$BR53)</f>
        <v>33863.6899364987</v>
      </c>
      <c r="N53" s="24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流血",$B$21,0))*(1+$BR53)</f>
        <v>53966.2373022192</v>
      </c>
      <c r="O53" s="24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流血",$B$21,0))*(1+$BR53)</f>
        <v>22575.7932909991</v>
      </c>
      <c r="P53" s="24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流血",$B$21,0))*(1+$BR53)</f>
        <v>11464.7967553944</v>
      </c>
      <c r="Q53" s="31">
        <v>1</v>
      </c>
      <c r="R53" s="32" t="s">
        <v>86</v>
      </c>
      <c r="S53" s="32" t="s">
        <v>87</v>
      </c>
      <c r="T53" s="32" t="s">
        <v>104</v>
      </c>
      <c r="U53" s="32" t="s">
        <v>73</v>
      </c>
      <c r="V53" s="32" t="s">
        <v>73</v>
      </c>
      <c r="W53" s="32" t="s">
        <v>111</v>
      </c>
      <c r="X53" s="32" t="s">
        <v>127</v>
      </c>
      <c r="Y53" s="32" t="s">
        <v>179</v>
      </c>
      <c r="Z53" s="32" t="s">
        <v>182</v>
      </c>
      <c r="AA53" s="32" t="s">
        <v>81</v>
      </c>
      <c r="AB53" s="32" t="s">
        <v>75</v>
      </c>
      <c r="AC53" s="32" t="s">
        <v>76</v>
      </c>
      <c r="AD53" s="32" t="s">
        <v>82</v>
      </c>
      <c r="AE53" s="32" t="s">
        <v>183</v>
      </c>
      <c r="AF53" s="32" t="s">
        <v>73</v>
      </c>
      <c r="AG53" s="32" t="s">
        <v>178</v>
      </c>
      <c r="AH53" t="str">
        <f>VLOOKUP($R53,武学奇术!$A:$ZZ,25,FALSE)</f>
        <v>剑</v>
      </c>
      <c r="AI53" s="21">
        <f>VLOOKUP($R53,武学奇术!$A:$ZZ,26,FALSE)</f>
        <v>1.1781</v>
      </c>
      <c r="AJ53" s="22">
        <f>VLOOKUP($R53,武学奇术!$A:$ZZ,27,FALSE)*(1+IF(OR($AH53=$F$4,$AH53=$F$5),$B$22,0))</f>
        <v>489</v>
      </c>
      <c r="AK53" s="21">
        <f>VLOOKUP($R53,武学奇术!$A:$ZZ,28,FALSE)</f>
        <v>1.7672</v>
      </c>
      <c r="AL53" s="22">
        <f>VLOOKUP($R53,武学奇术!$A:$ZZ,29,FALSE)*(1+IF(OR($AH53=$F$4,$AH53=$F$5),$B$22,0))</f>
        <v>265.5</v>
      </c>
      <c r="AM53" s="21" cm="1">
        <f t="array" ref="AM53">$G$3+IFERROR(VLOOKUP($AH53,$F$4:$G$7,2,FALSE),0)+VLOOKUP($R53,武学奇术!$A:$ZZ,2,FALSE)+SUM(_xlfn.XLOOKUP($S53:$AG53,增益!$A:$A,增益!$B:$B,0))</f>
        <v>0.9291</v>
      </c>
      <c r="AN53" s="21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1825.28</v>
      </c>
      <c r="AP53" cm="1">
        <f t="array" ref="AP53">$E$10*(1+$AN53)+VLOOKUP($R53,武学奇术!$A:$ZZ,4,FALSE)+SUM(_xlfn.XLOOKUP($S53:$AG53,增益!$A:$A,增益!$D:$D,0))-$I$2</f>
        <v>7757.36</v>
      </c>
      <c r="AQ53" s="26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0.244</v>
      </c>
      <c r="AR53" s="26" cm="1">
        <f t="array" ref="AR53">$G$10+VLOOKUP($R53,武学奇术!$A:$ZZ,7,FALSE)+SUM(_xlfn.XLOOKUP(S53:AG53,增益!$A:$A,增益!$G:$G,0))</f>
        <v>0</v>
      </c>
      <c r="AS53" s="21" cm="1">
        <f t="array" ref="AS53">VLOOKUP($R53,武学奇术!$A:$ZZ,8,FALSE)+SUM(_xlfn.XLOOKUP(S53:AG53,增益!$A:$A,增益!$H:$H,0))</f>
        <v>0</v>
      </c>
      <c r="AT53">
        <f t="shared" si="1"/>
        <v>680.02</v>
      </c>
      <c r="AU53">
        <f t="shared" si="2"/>
        <v>1288.54</v>
      </c>
      <c r="AV53" s="26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</v>
      </c>
      <c r="AW53" s="26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26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26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26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26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26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26" cm="1">
        <f t="array" ref="BI53">$G$14+VLOOKUP($R53,武学奇术!$A:$ZZ,16,FALSE)+SUM(_xlfn.XLOOKUP(S53:AG53,增益!$A:$A,增益!$P:$P,0))</f>
        <v>0</v>
      </c>
      <c r="BJ53" s="21">
        <f>MIN(IF(VLOOKUP($R53,武学奇术!$A:$ZZ,23,FALSE)=1,100%,$B$8),100%)</f>
        <v>0.8229</v>
      </c>
      <c r="BK53" s="21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0.2285</v>
      </c>
      <c r="BL53" s="21" cm="1">
        <f t="array" ref="BL53">1+$B$13+VLOOKUP($R53,武学奇术!$A:$ZZ,18,FALSE)+SUM(_xlfn.XLOOKUP(S53:AG53,增益!$A:$A,增益!$R:$R,0))</f>
        <v>1.5</v>
      </c>
      <c r="BM53" s="21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0.4495</v>
      </c>
      <c r="BN53" s="21" cm="1">
        <f t="array" ref="BN53">1+$B$14+VLOOKUP($R53,武学奇术!$A:$ZZ,20,FALSE)+SUM(_xlfn.XLOOKUP(S53:AG53,增益!$A:$A,增益!$T:$T,0))</f>
        <v>1.602</v>
      </c>
      <c r="BO53" s="21">
        <f t="shared" si="9"/>
        <v>0.18803265</v>
      </c>
      <c r="BP53" s="21">
        <f t="shared" si="10"/>
        <v>0.2649738</v>
      </c>
      <c r="BQ53" s="21">
        <f>IF(VLOOKUP($R53,武学奇术!$A:$ZZ,22,FALSE)=1,0,(1-$BJ53))*(1-$BM53)</f>
        <v>0.09749355</v>
      </c>
      <c r="BR53" s="21" cm="1">
        <f t="array" ref="BR53">SUM(_xlfn.XLOOKUP(S53:AG53,增益!$A:$A,增益!$W:$W,0))+$I$5</f>
        <v>0.16</v>
      </c>
    </row>
    <row r="54" spans="11:70">
      <c r="K54" s="24">
        <f>$L54*VLOOKUP($R54,武学奇术!$A:$ZZ,31,FALSE)</f>
        <v>92561.1442382834</v>
      </c>
      <c r="L54" s="24">
        <f t="shared" si="0"/>
        <v>154268.573730472</v>
      </c>
      <c r="M54" s="2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流血",$B$21,0))*(1+$BR54)</f>
        <v>126299.728372739</v>
      </c>
      <c r="N54" s="24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流血",$B$21,0))*(1+$BR54)</f>
        <v>232507.205550045</v>
      </c>
      <c r="O54" s="24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流血",$B$21,0))*(1+$BR54)</f>
        <v>84199.8189151591</v>
      </c>
      <c r="P54" s="24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流血",$B$21,0))*(1+$BR54)</f>
        <v>37924.2138403938</v>
      </c>
      <c r="Q54" s="31">
        <v>1</v>
      </c>
      <c r="R54" s="32" t="s">
        <v>95</v>
      </c>
      <c r="S54" s="32" t="s">
        <v>87</v>
      </c>
      <c r="T54" s="32" t="s">
        <v>96</v>
      </c>
      <c r="U54" s="32" t="s">
        <v>97</v>
      </c>
      <c r="V54" s="32" t="s">
        <v>98</v>
      </c>
      <c r="W54" s="32" t="s">
        <v>111</v>
      </c>
      <c r="X54" s="32" t="s">
        <v>127</v>
      </c>
      <c r="Y54" s="32" t="s">
        <v>179</v>
      </c>
      <c r="Z54" s="32" t="s">
        <v>182</v>
      </c>
      <c r="AA54" s="32" t="s">
        <v>81</v>
      </c>
      <c r="AB54" s="32" t="s">
        <v>75</v>
      </c>
      <c r="AC54" s="32" t="s">
        <v>76</v>
      </c>
      <c r="AD54" s="32" t="s">
        <v>82</v>
      </c>
      <c r="AE54" s="32" t="s">
        <v>183</v>
      </c>
      <c r="AF54" s="32" t="s">
        <v>73</v>
      </c>
      <c r="AG54" s="32" t="s">
        <v>178</v>
      </c>
      <c r="AH54" t="str">
        <f>VLOOKUP($R54,武学奇术!$A:$ZZ,25,FALSE)</f>
        <v>剑</v>
      </c>
      <c r="AI54" s="21">
        <f>VLOOKUP($R54,武学奇术!$A:$ZZ,26,FALSE)</f>
        <v>2.52</v>
      </c>
      <c r="AJ54" s="22">
        <f>VLOOKUP($R54,武学奇术!$A:$ZZ,27,FALSE)*(1+IF(OR($AH54=$F$4,$AH54=$F$5),$B$22,0))</f>
        <v>0</v>
      </c>
      <c r="AK54" s="21">
        <f>VLOOKUP($R54,武学奇术!$A:$ZZ,28,FALSE)</f>
        <v>3.78</v>
      </c>
      <c r="AL54" s="22">
        <f>VLOOKUP($R54,武学奇术!$A:$ZZ,29,FALSE)*(1+IF(OR($AH54=$F$4,$AH54=$F$5),$B$22,0))</f>
        <v>0</v>
      </c>
      <c r="AM54" s="21" cm="1">
        <f t="array" ref="AM54">$G$3+IFERROR(VLOOKUP($AH54,$F$4:$G$7,2,FALSE),0)+VLOOKUP($R54,武学奇术!$A:$ZZ,2,FALSE)+SUM(_xlfn.XLOOKUP($S54:$AG54,增益!$A:$A,增益!$B:$B,0))</f>
        <v>1.6791</v>
      </c>
      <c r="AN54" s="21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1825.28</v>
      </c>
      <c r="AP54" cm="1">
        <f t="array" ref="AP54">$E$10*(1+$AN54)+VLOOKUP($R54,武学奇术!$A:$ZZ,4,FALSE)+SUM(_xlfn.XLOOKUP($S54:$AG54,增益!$A:$A,增益!$D:$D,0))-$I$2</f>
        <v>7757.36</v>
      </c>
      <c r="AQ54" s="26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0.319</v>
      </c>
      <c r="AR54" s="26" cm="1">
        <f t="array" ref="AR54">$G$10+VLOOKUP($R54,武学奇术!$A:$ZZ,7,FALSE)+SUM(_xlfn.XLOOKUP(S54:AG54,增益!$A:$A,增益!$G:$G,0))</f>
        <v>0</v>
      </c>
      <c r="AS54" s="21" cm="1">
        <f t="array" ref="AS54">VLOOKUP($R54,武学奇术!$A:$ZZ,8,FALSE)+SUM(_xlfn.XLOOKUP(S54:AG54,增益!$A:$A,增益!$H:$H,0))</f>
        <v>0</v>
      </c>
      <c r="AT54">
        <f t="shared" si="1"/>
        <v>680.02</v>
      </c>
      <c r="AU54">
        <f t="shared" si="2"/>
        <v>1288.54</v>
      </c>
      <c r="AV54" s="26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0.075</v>
      </c>
      <c r="AW54" s="26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26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26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26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26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26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26" cm="1">
        <f t="array" ref="BI54">$G$14+VLOOKUP($R54,武学奇术!$A:$ZZ,16,FALSE)+SUM(_xlfn.XLOOKUP(S54:AG54,增益!$A:$A,增益!$P:$P,0))</f>
        <v>0</v>
      </c>
      <c r="BJ54" s="21">
        <f>MIN(IF(VLOOKUP($R54,武学奇术!$A:$ZZ,23,FALSE)=1,100%,$B$8),100%)</f>
        <v>0.8229</v>
      </c>
      <c r="BK54" s="21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0.2285</v>
      </c>
      <c r="BL54" s="21" cm="1">
        <f t="array" ref="BL54">1+$B$13+VLOOKUP($R54,武学奇术!$A:$ZZ,18,FALSE)+SUM(_xlfn.XLOOKUP(S54:AG54,增益!$A:$A,增益!$R:$R,0))</f>
        <v>1.5</v>
      </c>
      <c r="BM54" s="21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0.4495</v>
      </c>
      <c r="BN54" s="21" cm="1">
        <f t="array" ref="BN54">1+$B$14+VLOOKUP($R54,武学奇术!$A:$ZZ,20,FALSE)+SUM(_xlfn.XLOOKUP(S54:AG54,增益!$A:$A,增益!$T:$T,0))</f>
        <v>1.782</v>
      </c>
      <c r="BO54" s="21">
        <f t="shared" si="9"/>
        <v>0.18803265</v>
      </c>
      <c r="BP54" s="21">
        <f t="shared" si="10"/>
        <v>0.2649738</v>
      </c>
      <c r="BQ54" s="21">
        <f>IF(VLOOKUP($R54,武学奇术!$A:$ZZ,22,FALSE)=1,0,(1-$BJ54))*(1-$BM54)</f>
        <v>0.09749355</v>
      </c>
      <c r="BR54" s="21" cm="1">
        <f t="array" ref="BR54">SUM(_xlfn.XLOOKUP(S54:AG54,增益!$A:$A,增益!$W:$W,0))+$I$5</f>
        <v>0.16</v>
      </c>
    </row>
    <row r="55" spans="11:70">
      <c r="K55" s="24">
        <f>$L55*VLOOKUP($R55,武学奇术!$A:$ZZ,31,FALSE)</f>
        <v>92561.1442382834</v>
      </c>
      <c r="L55" s="24">
        <f t="shared" si="0"/>
        <v>154268.573730472</v>
      </c>
      <c r="M55" s="2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流血",$B$21,0))*(1+$BR55)</f>
        <v>126299.728372739</v>
      </c>
      <c r="N55" s="24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流血",$B$21,0))*(1+$BR55)</f>
        <v>232507.205550045</v>
      </c>
      <c r="O55" s="24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流血",$B$21,0))*(1+$BR55)</f>
        <v>84199.8189151591</v>
      </c>
      <c r="P55" s="24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流血",$B$21,0))*(1+$BR55)</f>
        <v>37924.2138403938</v>
      </c>
      <c r="Q55" s="31">
        <v>1</v>
      </c>
      <c r="R55" s="32" t="s">
        <v>95</v>
      </c>
      <c r="S55" s="32" t="s">
        <v>87</v>
      </c>
      <c r="T55" s="32" t="s">
        <v>96</v>
      </c>
      <c r="U55" s="32" t="s">
        <v>97</v>
      </c>
      <c r="V55" s="32" t="s">
        <v>98</v>
      </c>
      <c r="W55" s="32" t="s">
        <v>111</v>
      </c>
      <c r="X55" s="32" t="s">
        <v>127</v>
      </c>
      <c r="Y55" s="32" t="s">
        <v>179</v>
      </c>
      <c r="Z55" s="32" t="s">
        <v>182</v>
      </c>
      <c r="AA55" s="32" t="s">
        <v>81</v>
      </c>
      <c r="AB55" s="32" t="s">
        <v>75</v>
      </c>
      <c r="AC55" s="32" t="s">
        <v>76</v>
      </c>
      <c r="AD55" s="32" t="s">
        <v>82</v>
      </c>
      <c r="AE55" s="32" t="s">
        <v>183</v>
      </c>
      <c r="AF55" s="32" t="s">
        <v>73</v>
      </c>
      <c r="AG55" s="32" t="s">
        <v>178</v>
      </c>
      <c r="AH55" t="str">
        <f>VLOOKUP($R55,武学奇术!$A:$ZZ,25,FALSE)</f>
        <v>剑</v>
      </c>
      <c r="AI55" s="21">
        <f>VLOOKUP($R55,武学奇术!$A:$ZZ,26,FALSE)</f>
        <v>2.52</v>
      </c>
      <c r="AJ55" s="22">
        <f>VLOOKUP($R55,武学奇术!$A:$ZZ,27,FALSE)*(1+IF(OR($AH55=$F$4,$AH55=$F$5),$B$22,0))</f>
        <v>0</v>
      </c>
      <c r="AK55" s="21">
        <f>VLOOKUP($R55,武学奇术!$A:$ZZ,28,FALSE)</f>
        <v>3.78</v>
      </c>
      <c r="AL55" s="22">
        <f>VLOOKUP($R55,武学奇术!$A:$ZZ,29,FALSE)*(1+IF(OR($AH55=$F$4,$AH55=$F$5),$B$22,0))</f>
        <v>0</v>
      </c>
      <c r="AM55" s="21" cm="1">
        <f t="array" ref="AM55">$G$3+IFERROR(VLOOKUP($AH55,$F$4:$G$7,2,FALSE),0)+VLOOKUP($R55,武学奇术!$A:$ZZ,2,FALSE)+SUM(_xlfn.XLOOKUP($S55:$AG55,增益!$A:$A,增益!$B:$B,0))</f>
        <v>1.6791</v>
      </c>
      <c r="AN55" s="21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1825.28</v>
      </c>
      <c r="AP55" cm="1">
        <f t="array" ref="AP55">$E$10*(1+$AN55)+VLOOKUP($R55,武学奇术!$A:$ZZ,4,FALSE)+SUM(_xlfn.XLOOKUP($S55:$AG55,增益!$A:$A,增益!$D:$D,0))-$I$2</f>
        <v>7757.36</v>
      </c>
      <c r="AQ55" s="26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0.319</v>
      </c>
      <c r="AR55" s="26" cm="1">
        <f t="array" ref="AR55">$G$10+VLOOKUP($R55,武学奇术!$A:$ZZ,7,FALSE)+SUM(_xlfn.XLOOKUP(S55:AG55,增益!$A:$A,增益!$G:$G,0))</f>
        <v>0</v>
      </c>
      <c r="AS55" s="21" cm="1">
        <f t="array" ref="AS55">VLOOKUP($R55,武学奇术!$A:$ZZ,8,FALSE)+SUM(_xlfn.XLOOKUP(S55:AG55,增益!$A:$A,增益!$H:$H,0))</f>
        <v>0</v>
      </c>
      <c r="AT55">
        <f t="shared" si="1"/>
        <v>680.02</v>
      </c>
      <c r="AU55">
        <f t="shared" si="2"/>
        <v>1288.54</v>
      </c>
      <c r="AV55" s="26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0.075</v>
      </c>
      <c r="AW55" s="26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26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26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26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26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26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26" cm="1">
        <f t="array" ref="BI55">$G$14+VLOOKUP($R55,武学奇术!$A:$ZZ,16,FALSE)+SUM(_xlfn.XLOOKUP(S55:AG55,增益!$A:$A,增益!$P:$P,0))</f>
        <v>0</v>
      </c>
      <c r="BJ55" s="21">
        <f>MIN(IF(VLOOKUP($R55,武学奇术!$A:$ZZ,23,FALSE)=1,100%,$B$8),100%)</f>
        <v>0.8229</v>
      </c>
      <c r="BK55" s="21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0.2285</v>
      </c>
      <c r="BL55" s="21" cm="1">
        <f t="array" ref="BL55">1+$B$13+VLOOKUP($R55,武学奇术!$A:$ZZ,18,FALSE)+SUM(_xlfn.XLOOKUP(S55:AG55,增益!$A:$A,增益!$R:$R,0))</f>
        <v>1.5</v>
      </c>
      <c r="BM55" s="21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0.4495</v>
      </c>
      <c r="BN55" s="21" cm="1">
        <f t="array" ref="BN55">1+$B$14+VLOOKUP($R55,武学奇术!$A:$ZZ,20,FALSE)+SUM(_xlfn.XLOOKUP(S55:AG55,增益!$A:$A,增益!$T:$T,0))</f>
        <v>1.782</v>
      </c>
      <c r="BO55" s="21">
        <f t="shared" si="9"/>
        <v>0.18803265</v>
      </c>
      <c r="BP55" s="21">
        <f t="shared" si="10"/>
        <v>0.2649738</v>
      </c>
      <c r="BQ55" s="21">
        <f>IF(VLOOKUP($R55,武学奇术!$A:$ZZ,22,FALSE)=1,0,(1-$BJ55))*(1-$BM55)</f>
        <v>0.09749355</v>
      </c>
      <c r="BR55" s="21" cm="1">
        <f t="array" ref="BR55">SUM(_xlfn.XLOOKUP(S55:AG55,增益!$A:$A,增益!$W:$W,0))+$I$5</f>
        <v>0.16</v>
      </c>
    </row>
    <row r="56" spans="11:70">
      <c r="K56" s="24">
        <f>$L56*VLOOKUP($R56,武学奇术!$A:$ZZ,31,FALSE)</f>
        <v>30106.453731592</v>
      </c>
      <c r="L56" s="24">
        <f t="shared" si="0"/>
        <v>30106.453731592</v>
      </c>
      <c r="M56" s="2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流血",$B$21,0))*(1+$BR56)</f>
        <v>27025.1205252089</v>
      </c>
      <c r="N56" s="24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流血",$B$21,0))*(1+$BR56)</f>
        <v>43067.4594105333</v>
      </c>
      <c r="O56" s="24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流血",$B$21,0))*(1+$BR56)</f>
        <v>18016.747016806</v>
      </c>
      <c r="P56" s="24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流血",$B$21,0))*(1+$BR56)</f>
        <v>9149.9363491342</v>
      </c>
      <c r="Q56" s="31">
        <v>1</v>
      </c>
      <c r="R56" s="32" t="s">
        <v>124</v>
      </c>
      <c r="S56" s="32" t="s">
        <v>87</v>
      </c>
      <c r="T56" s="32" t="s">
        <v>104</v>
      </c>
      <c r="U56" s="32" t="s">
        <v>73</v>
      </c>
      <c r="V56" s="32" t="s">
        <v>73</v>
      </c>
      <c r="W56" s="32" t="s">
        <v>111</v>
      </c>
      <c r="X56" s="32" t="s">
        <v>127</v>
      </c>
      <c r="Y56" s="32" t="s">
        <v>179</v>
      </c>
      <c r="Z56" s="32" t="s">
        <v>182</v>
      </c>
      <c r="AA56" s="32" t="s">
        <v>81</v>
      </c>
      <c r="AB56" s="32" t="s">
        <v>75</v>
      </c>
      <c r="AC56" s="32" t="s">
        <v>76</v>
      </c>
      <c r="AD56" s="32" t="s">
        <v>82</v>
      </c>
      <c r="AE56" s="32" t="s">
        <v>183</v>
      </c>
      <c r="AF56" s="32" t="s">
        <v>73</v>
      </c>
      <c r="AG56" s="32" t="s">
        <v>178</v>
      </c>
      <c r="AH56" t="str">
        <f>VLOOKUP($R56,武学奇术!$A:$ZZ,25,FALSE)</f>
        <v>剑</v>
      </c>
      <c r="AI56" s="21">
        <f>VLOOKUP($R56,武学奇术!$A:$ZZ,26,FALSE)</f>
        <v>0.94015</v>
      </c>
      <c r="AJ56" s="22">
        <f>VLOOKUP($R56,武学奇术!$A:$ZZ,27,FALSE)*(1+IF(OR($AH56=$F$4,$AH56=$F$5),$B$22,0))</f>
        <v>390</v>
      </c>
      <c r="AK56" s="21">
        <f>VLOOKUP($R56,武学奇术!$A:$ZZ,28,FALSE)</f>
        <v>1.41025</v>
      </c>
      <c r="AL56" s="22">
        <f>VLOOKUP($R56,武学奇术!$A:$ZZ,29,FALSE)*(1+IF(OR($AH56=$F$4,$AH56=$F$5),$B$22,0))</f>
        <v>212.25</v>
      </c>
      <c r="AM56" s="21" cm="1">
        <f t="array" ref="AM56">$G$3+IFERROR(VLOOKUP($AH56,$F$4:$G$7,2,FALSE),0)+VLOOKUP($R56,武学奇术!$A:$ZZ,2,FALSE)+SUM(_xlfn.XLOOKUP($S56:$AG56,增益!$A:$A,增益!$B:$B,0))</f>
        <v>0.9291</v>
      </c>
      <c r="AN56" s="21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1825.28</v>
      </c>
      <c r="AP56" cm="1">
        <f t="array" ref="AP56">$E$10*(1+$AN56)+VLOOKUP($R56,武学奇术!$A:$ZZ,4,FALSE)+SUM(_xlfn.XLOOKUP($S56:$AG56,增益!$A:$A,增益!$D:$D,0))-$I$2</f>
        <v>7757.36</v>
      </c>
      <c r="AQ56" s="26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0.244</v>
      </c>
      <c r="AR56" s="26" cm="1">
        <f t="array" ref="AR56">$G$10+VLOOKUP($R56,武学奇术!$A:$ZZ,7,FALSE)+SUM(_xlfn.XLOOKUP(S56:AG56,增益!$A:$A,增益!$G:$G,0))</f>
        <v>0</v>
      </c>
      <c r="AS56" s="21" cm="1">
        <f t="array" ref="AS56">VLOOKUP($R56,武学奇术!$A:$ZZ,8,FALSE)+SUM(_xlfn.XLOOKUP(S56:AG56,增益!$A:$A,增益!$H:$H,0))</f>
        <v>0</v>
      </c>
      <c r="AT56">
        <f t="shared" si="1"/>
        <v>680.02</v>
      </c>
      <c r="AU56">
        <f t="shared" si="2"/>
        <v>1288.54</v>
      </c>
      <c r="AV56" s="26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</v>
      </c>
      <c r="AW56" s="26" cm="1">
        <f t="array" ref="AW56">$G$11+VLOOKUP($R56,武学奇术!$A:$ZZ,10,FALSE)+SUM(_xlfn.XLOOKUP(S56:AG56,增益!$A:$A,增益!$J:$J,0))</f>
        <v>0.15</v>
      </c>
      <c r="AX56">
        <f t="shared" si="3"/>
        <v>0</v>
      </c>
      <c r="AY56">
        <f t="shared" si="4"/>
        <v>0</v>
      </c>
      <c r="AZ56" s="26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26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26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26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26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26" cm="1">
        <f t="array" ref="BI56">$G$14+VLOOKUP($R56,武学奇术!$A:$ZZ,16,FALSE)+SUM(_xlfn.XLOOKUP(S56:AG56,增益!$A:$A,增益!$P:$P,0))</f>
        <v>0</v>
      </c>
      <c r="BJ56" s="21">
        <f>MIN(IF(VLOOKUP($R56,武学奇术!$A:$ZZ,23,FALSE)=1,100%,$B$8),100%)</f>
        <v>0.8229</v>
      </c>
      <c r="BK56" s="21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0.2285</v>
      </c>
      <c r="BL56" s="21" cm="1">
        <f t="array" ref="BL56">1+$B$13+VLOOKUP($R56,武学奇术!$A:$ZZ,18,FALSE)+SUM(_xlfn.XLOOKUP(S56:AG56,增益!$A:$A,增益!$R:$R,0))</f>
        <v>1.5</v>
      </c>
      <c r="BM56" s="21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0.4495</v>
      </c>
      <c r="BN56" s="21" cm="1">
        <f t="array" ref="BN56">1+$B$14+VLOOKUP($R56,武学奇术!$A:$ZZ,20,FALSE)+SUM(_xlfn.XLOOKUP(S56:AG56,增益!$A:$A,增益!$T:$T,0))</f>
        <v>1.602</v>
      </c>
      <c r="BO56" s="21">
        <f t="shared" si="9"/>
        <v>0.18803265</v>
      </c>
      <c r="BP56" s="21">
        <f t="shared" si="10"/>
        <v>0.2649738</v>
      </c>
      <c r="BQ56" s="21">
        <f>IF(VLOOKUP($R56,武学奇术!$A:$ZZ,22,FALSE)=1,0,(1-$BJ56))*(1-$BM56)</f>
        <v>0.09749355</v>
      </c>
      <c r="BR56" s="21" cm="1">
        <f t="array" ref="BR56">SUM(_xlfn.XLOOKUP(S56:AG56,增益!$A:$A,增益!$W:$W,0))+$I$5</f>
        <v>0.16</v>
      </c>
    </row>
    <row r="57" spans="11:70">
      <c r="K57" s="24">
        <f>$L57*VLOOKUP($R57,武学奇术!$A:$ZZ,31,FALSE)</f>
        <v>37725.0404969281</v>
      </c>
      <c r="L57" s="24">
        <f t="shared" si="0"/>
        <v>37725.0404969281</v>
      </c>
      <c r="M57" s="2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流血",$B$21,0))*(1+$BR57)</f>
        <v>33863.6899364987</v>
      </c>
      <c r="N57" s="24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流血",$B$21,0))*(1+$BR57)</f>
        <v>53966.2373022192</v>
      </c>
      <c r="O57" s="24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流血",$B$21,0))*(1+$BR57)</f>
        <v>22575.7932909991</v>
      </c>
      <c r="P57" s="24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流血",$B$21,0))*(1+$BR57)</f>
        <v>11464.7967553944</v>
      </c>
      <c r="Q57" s="31">
        <v>1</v>
      </c>
      <c r="R57" s="32" t="s">
        <v>86</v>
      </c>
      <c r="S57" s="32" t="s">
        <v>87</v>
      </c>
      <c r="T57" s="32" t="s">
        <v>104</v>
      </c>
      <c r="U57" s="32" t="s">
        <v>73</v>
      </c>
      <c r="V57" s="32" t="s">
        <v>73</v>
      </c>
      <c r="W57" s="32" t="s">
        <v>111</v>
      </c>
      <c r="X57" s="32" t="s">
        <v>127</v>
      </c>
      <c r="Y57" s="32" t="s">
        <v>179</v>
      </c>
      <c r="Z57" s="32" t="s">
        <v>182</v>
      </c>
      <c r="AA57" s="32" t="s">
        <v>73</v>
      </c>
      <c r="AB57" s="32" t="s">
        <v>75</v>
      </c>
      <c r="AC57" s="32" t="s">
        <v>76</v>
      </c>
      <c r="AD57" s="32" t="s">
        <v>82</v>
      </c>
      <c r="AE57" s="32" t="s">
        <v>183</v>
      </c>
      <c r="AF57" s="32" t="s">
        <v>73</v>
      </c>
      <c r="AG57" s="32" t="s">
        <v>178</v>
      </c>
      <c r="AH57" t="str">
        <f>VLOOKUP($R57,武学奇术!$A:$ZZ,25,FALSE)</f>
        <v>剑</v>
      </c>
      <c r="AI57" s="21">
        <f>VLOOKUP($R57,武学奇术!$A:$ZZ,26,FALSE)</f>
        <v>1.1781</v>
      </c>
      <c r="AJ57" s="22">
        <f>VLOOKUP($R57,武学奇术!$A:$ZZ,27,FALSE)*(1+IF(OR($AH57=$F$4,$AH57=$F$5),$B$22,0))</f>
        <v>489</v>
      </c>
      <c r="AK57" s="21">
        <f>VLOOKUP($R57,武学奇术!$A:$ZZ,28,FALSE)</f>
        <v>1.7672</v>
      </c>
      <c r="AL57" s="22">
        <f>VLOOKUP($R57,武学奇术!$A:$ZZ,29,FALSE)*(1+IF(OR($AH57=$F$4,$AH57=$F$5),$B$22,0))</f>
        <v>265.5</v>
      </c>
      <c r="AM57" s="21" cm="1">
        <f t="array" ref="AM57">$G$3+IFERROR(VLOOKUP($AH57,$F$4:$G$7,2,FALSE),0)+VLOOKUP($R57,武学奇术!$A:$ZZ,2,FALSE)+SUM(_xlfn.XLOOKUP($S57:$AG57,增益!$A:$A,增益!$B:$B,0))</f>
        <v>0.9291</v>
      </c>
      <c r="AN57" s="21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1825.28</v>
      </c>
      <c r="AP57" cm="1">
        <f t="array" ref="AP57">$E$10*(1+$AN57)+VLOOKUP($R57,武学奇术!$A:$ZZ,4,FALSE)+SUM(_xlfn.XLOOKUP($S57:$AG57,增益!$A:$A,增益!$D:$D,0))-$I$2</f>
        <v>7757.36</v>
      </c>
      <c r="AQ57" s="26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0.244</v>
      </c>
      <c r="AR57" s="26" cm="1">
        <f t="array" ref="AR57">$G$10+VLOOKUP($R57,武学奇术!$A:$ZZ,7,FALSE)+SUM(_xlfn.XLOOKUP(S57:AG57,增益!$A:$A,增益!$G:$G,0))</f>
        <v>0</v>
      </c>
      <c r="AS57" s="21" cm="1">
        <f t="array" ref="AS57">VLOOKUP($R57,武学奇术!$A:$ZZ,8,FALSE)+SUM(_xlfn.XLOOKUP(S57:AG57,增益!$A:$A,增益!$H:$H,0))</f>
        <v>0</v>
      </c>
      <c r="AT57">
        <f t="shared" si="1"/>
        <v>680.02</v>
      </c>
      <c r="AU57">
        <f t="shared" si="2"/>
        <v>1288.54</v>
      </c>
      <c r="AV57" s="26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</v>
      </c>
      <c r="AW57" s="26" cm="1">
        <f t="array" ref="AW57">$G$11+VLOOKUP($R57,武学奇术!$A:$ZZ,10,FALSE)+SUM(_xlfn.XLOOKUP(S57:AG57,增益!$A:$A,增益!$J:$J,0))</f>
        <v>0.15</v>
      </c>
      <c r="AX57">
        <f t="shared" si="3"/>
        <v>0</v>
      </c>
      <c r="AY57">
        <f t="shared" si="4"/>
        <v>0</v>
      </c>
      <c r="AZ57" s="26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26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26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26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26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26" cm="1">
        <f t="array" ref="BI57">$G$14+VLOOKUP($R57,武学奇术!$A:$ZZ,16,FALSE)+SUM(_xlfn.XLOOKUP(S57:AG57,增益!$A:$A,增益!$P:$P,0))</f>
        <v>0</v>
      </c>
      <c r="BJ57" s="21">
        <f>MIN(IF(VLOOKUP($R57,武学奇术!$A:$ZZ,23,FALSE)=1,100%,$B$8),100%)</f>
        <v>0.8229</v>
      </c>
      <c r="BK57" s="21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0.2285</v>
      </c>
      <c r="BL57" s="21" cm="1">
        <f t="array" ref="BL57">1+$B$13+VLOOKUP($R57,武学奇术!$A:$ZZ,18,FALSE)+SUM(_xlfn.XLOOKUP(S57:AG57,增益!$A:$A,增益!$R:$R,0))</f>
        <v>1.5</v>
      </c>
      <c r="BM57" s="21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0.4495</v>
      </c>
      <c r="BN57" s="21" cm="1">
        <f t="array" ref="BN57">1+$B$14+VLOOKUP($R57,武学奇术!$A:$ZZ,20,FALSE)+SUM(_xlfn.XLOOKUP(S57:AG57,增益!$A:$A,增益!$T:$T,0))</f>
        <v>1.602</v>
      </c>
      <c r="BO57" s="21">
        <f t="shared" si="9"/>
        <v>0.18803265</v>
      </c>
      <c r="BP57" s="21">
        <f t="shared" si="10"/>
        <v>0.2649738</v>
      </c>
      <c r="BQ57" s="21">
        <f>IF(VLOOKUP($R57,武学奇术!$A:$ZZ,22,FALSE)=1,0,(1-$BJ57))*(1-$BM57)</f>
        <v>0.09749355</v>
      </c>
      <c r="BR57" s="21" cm="1">
        <f t="array" ref="BR57">SUM(_xlfn.XLOOKUP(S57:AG57,增益!$A:$A,增益!$W:$W,0))+$I$5</f>
        <v>0.16</v>
      </c>
    </row>
    <row r="58" spans="11:70">
      <c r="K58" s="24">
        <f>$L58*VLOOKUP($R58,武学奇术!$A:$ZZ,31,FALSE)</f>
        <v>139504.323330027</v>
      </c>
      <c r="L58" s="24">
        <f t="shared" si="0"/>
        <v>232507.205550045</v>
      </c>
      <c r="M58" s="2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流血",$B$21,0))*(1+$BR58)</f>
        <v>126299.728372739</v>
      </c>
      <c r="N58" s="24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流血",$B$21,0))*(1+$BR58)</f>
        <v>232507.205550045</v>
      </c>
      <c r="O58" s="24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流血",$B$21,0))*(1+$BR58)</f>
        <v>84199.8189151591</v>
      </c>
      <c r="P58" s="24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流血",$B$21,0))*(1+$BR58)</f>
        <v>37924.2138403938</v>
      </c>
      <c r="Q58" s="31">
        <v>1</v>
      </c>
      <c r="R58" s="32" t="s">
        <v>120</v>
      </c>
      <c r="S58" s="32" t="s">
        <v>87</v>
      </c>
      <c r="T58" s="32" t="s">
        <v>96</v>
      </c>
      <c r="U58" s="32" t="s">
        <v>97</v>
      </c>
      <c r="V58" s="32" t="s">
        <v>98</v>
      </c>
      <c r="W58" s="32" t="s">
        <v>111</v>
      </c>
      <c r="X58" s="32" t="s">
        <v>127</v>
      </c>
      <c r="Y58" s="32" t="s">
        <v>179</v>
      </c>
      <c r="Z58" s="32" t="s">
        <v>182</v>
      </c>
      <c r="AA58" s="32" t="s">
        <v>73</v>
      </c>
      <c r="AB58" s="32" t="s">
        <v>75</v>
      </c>
      <c r="AC58" s="32" t="s">
        <v>76</v>
      </c>
      <c r="AD58" s="32" t="s">
        <v>82</v>
      </c>
      <c r="AE58" s="32" t="s">
        <v>183</v>
      </c>
      <c r="AF58" s="32" t="s">
        <v>73</v>
      </c>
      <c r="AG58" s="32" t="s">
        <v>178</v>
      </c>
      <c r="AH58" t="str">
        <f>VLOOKUP($R58,武学奇术!$A:$ZZ,25,FALSE)</f>
        <v>剑</v>
      </c>
      <c r="AI58" s="21">
        <f>VLOOKUP($R58,武学奇术!$A:$ZZ,26,FALSE)</f>
        <v>2.52</v>
      </c>
      <c r="AJ58" s="22">
        <f>VLOOKUP($R58,武学奇术!$A:$ZZ,27,FALSE)*(1+IF(OR($AH58=$F$4,$AH58=$F$5),$B$22,0))</f>
        <v>0</v>
      </c>
      <c r="AK58" s="21">
        <f>VLOOKUP($R58,武学奇术!$A:$ZZ,28,FALSE)</f>
        <v>3.78</v>
      </c>
      <c r="AL58" s="22">
        <f>VLOOKUP($R58,武学奇术!$A:$ZZ,29,FALSE)*(1+IF(OR($AH58=$F$4,$AH58=$F$5),$B$22,0))</f>
        <v>0</v>
      </c>
      <c r="AM58" s="21" cm="1">
        <f t="array" ref="AM58">$G$3+IFERROR(VLOOKUP($AH58,$F$4:$G$7,2,FALSE),0)+VLOOKUP($R58,武学奇术!$A:$ZZ,2,FALSE)+SUM(_xlfn.XLOOKUP($S58:$AG58,增益!$A:$A,增益!$B:$B,0))</f>
        <v>1.6791</v>
      </c>
      <c r="AN58" s="21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1825.28</v>
      </c>
      <c r="AP58" cm="1">
        <f t="array" ref="AP58">$E$10*(1+$AN58)+VLOOKUP($R58,武学奇术!$A:$ZZ,4,FALSE)+SUM(_xlfn.XLOOKUP($S58:$AG58,增益!$A:$A,增益!$D:$D,0))-$I$2</f>
        <v>7757.36</v>
      </c>
      <c r="AQ58" s="26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0.319</v>
      </c>
      <c r="AR58" s="26" cm="1">
        <f t="array" ref="AR58">$G$10+VLOOKUP($R58,武学奇术!$A:$ZZ,7,FALSE)+SUM(_xlfn.XLOOKUP(S58:AG58,增益!$A:$A,增益!$G:$G,0))</f>
        <v>0</v>
      </c>
      <c r="AS58" s="21" cm="1">
        <f t="array" ref="AS58">VLOOKUP($R58,武学奇术!$A:$ZZ,8,FALSE)+SUM(_xlfn.XLOOKUP(S58:AG58,增益!$A:$A,增益!$H:$H,0))</f>
        <v>0</v>
      </c>
      <c r="AT58">
        <f t="shared" si="1"/>
        <v>680.02</v>
      </c>
      <c r="AU58">
        <f t="shared" si="2"/>
        <v>1288.54</v>
      </c>
      <c r="AV58" s="26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0.075</v>
      </c>
      <c r="AW58" s="26" cm="1">
        <f t="array" ref="AW58">$G$11+VLOOKUP($R58,武学奇术!$A:$ZZ,10,FALSE)+SUM(_xlfn.XLOOKUP(S58:AG58,增益!$A:$A,增益!$J:$J,0))</f>
        <v>0.15</v>
      </c>
      <c r="AX58">
        <f t="shared" si="3"/>
        <v>0</v>
      </c>
      <c r="AY58">
        <f t="shared" si="4"/>
        <v>0</v>
      </c>
      <c r="AZ58" s="26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26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26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26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26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26" cm="1">
        <f t="array" ref="BI58">$G$14+VLOOKUP($R58,武学奇术!$A:$ZZ,16,FALSE)+SUM(_xlfn.XLOOKUP(S58:AG58,增益!$A:$A,增益!$P:$P,0))</f>
        <v>0</v>
      </c>
      <c r="BJ58" s="21">
        <f>MIN(IF(VLOOKUP($R58,武学奇术!$A:$ZZ,23,FALSE)=1,100%,$B$8),100%)</f>
        <v>0.8229</v>
      </c>
      <c r="BK58" s="21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21" cm="1">
        <f t="array" ref="BL58">1+$B$13+VLOOKUP($R58,武学奇术!$A:$ZZ,18,FALSE)+SUM(_xlfn.XLOOKUP(S58:AG58,增益!$A:$A,增益!$R:$R,0))</f>
        <v>1.5</v>
      </c>
      <c r="BM58" s="21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21" cm="1">
        <f t="array" ref="BN58">1+$B$14+VLOOKUP($R58,武学奇术!$A:$ZZ,20,FALSE)+SUM(_xlfn.XLOOKUP(S58:AG58,增益!$A:$A,增益!$T:$T,0))</f>
        <v>1.782</v>
      </c>
      <c r="BO58" s="21">
        <f t="shared" si="9"/>
        <v>0</v>
      </c>
      <c r="BP58" s="21">
        <f t="shared" si="10"/>
        <v>0</v>
      </c>
      <c r="BQ58" s="21">
        <f>IF(VLOOKUP($R58,武学奇术!$A:$ZZ,22,FALSE)=1,0,(1-$BJ58))*(1-$BM58)</f>
        <v>0</v>
      </c>
      <c r="BR58" s="21" cm="1">
        <f t="array" ref="BR58">SUM(_xlfn.XLOOKUP(S58:AG58,增益!$A:$A,增益!$W:$W,0))+$I$5</f>
        <v>0.16</v>
      </c>
    </row>
    <row r="59" spans="11:70">
      <c r="K59" s="24">
        <f>$L59*VLOOKUP($R59,武学奇术!$A:$ZZ,31,FALSE)</f>
        <v>92561.1442382834</v>
      </c>
      <c r="L59" s="24">
        <f t="shared" si="0"/>
        <v>154268.573730472</v>
      </c>
      <c r="M59" s="2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流血",$B$21,0))*(1+$BR59)</f>
        <v>126299.728372739</v>
      </c>
      <c r="N59" s="24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流血",$B$21,0))*(1+$BR59)</f>
        <v>232507.205550045</v>
      </c>
      <c r="O59" s="24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流血",$B$21,0))*(1+$BR59)</f>
        <v>84199.8189151591</v>
      </c>
      <c r="P59" s="24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流血",$B$21,0))*(1+$BR59)</f>
        <v>37924.2138403938</v>
      </c>
      <c r="Q59" s="31">
        <v>1</v>
      </c>
      <c r="R59" s="32" t="s">
        <v>95</v>
      </c>
      <c r="S59" s="32" t="s">
        <v>87</v>
      </c>
      <c r="T59" s="32" t="s">
        <v>96</v>
      </c>
      <c r="U59" s="32" t="s">
        <v>97</v>
      </c>
      <c r="V59" s="32" t="s">
        <v>98</v>
      </c>
      <c r="W59" s="32" t="s">
        <v>111</v>
      </c>
      <c r="X59" s="32" t="s">
        <v>127</v>
      </c>
      <c r="Y59" s="32" t="s">
        <v>179</v>
      </c>
      <c r="Z59" s="32" t="s">
        <v>182</v>
      </c>
      <c r="AA59" s="32" t="s">
        <v>73</v>
      </c>
      <c r="AB59" s="32" t="s">
        <v>75</v>
      </c>
      <c r="AC59" s="32" t="s">
        <v>76</v>
      </c>
      <c r="AD59" s="32" t="s">
        <v>82</v>
      </c>
      <c r="AE59" s="32" t="s">
        <v>183</v>
      </c>
      <c r="AF59" s="32" t="s">
        <v>73</v>
      </c>
      <c r="AG59" s="32" t="s">
        <v>178</v>
      </c>
      <c r="AH59" t="str">
        <f>VLOOKUP($R59,武学奇术!$A:$ZZ,25,FALSE)</f>
        <v>剑</v>
      </c>
      <c r="AI59" s="21">
        <f>VLOOKUP($R59,武学奇术!$A:$ZZ,26,FALSE)</f>
        <v>2.52</v>
      </c>
      <c r="AJ59" s="22">
        <f>VLOOKUP($R59,武学奇术!$A:$ZZ,27,FALSE)*(1+IF(OR($AH59=$F$4,$AH59=$F$5),$B$22,0))</f>
        <v>0</v>
      </c>
      <c r="AK59" s="21">
        <f>VLOOKUP($R59,武学奇术!$A:$ZZ,28,FALSE)</f>
        <v>3.78</v>
      </c>
      <c r="AL59" s="22">
        <f>VLOOKUP($R59,武学奇术!$A:$ZZ,29,FALSE)*(1+IF(OR($AH59=$F$4,$AH59=$F$5),$B$22,0))</f>
        <v>0</v>
      </c>
      <c r="AM59" s="21" cm="1">
        <f t="array" ref="AM59">$G$3+IFERROR(VLOOKUP($AH59,$F$4:$G$7,2,FALSE),0)+VLOOKUP($R59,武学奇术!$A:$ZZ,2,FALSE)+SUM(_xlfn.XLOOKUP($S59:$AG59,增益!$A:$A,增益!$B:$B,0))</f>
        <v>1.6791</v>
      </c>
      <c r="AN59" s="21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1825.28</v>
      </c>
      <c r="AP59" cm="1">
        <f t="array" ref="AP59">$E$10*(1+$AN59)+VLOOKUP($R59,武学奇术!$A:$ZZ,4,FALSE)+SUM(_xlfn.XLOOKUP($S59:$AG59,增益!$A:$A,增益!$D:$D,0))-$I$2</f>
        <v>7757.36</v>
      </c>
      <c r="AQ59" s="26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0.319</v>
      </c>
      <c r="AR59" s="26" cm="1">
        <f t="array" ref="AR59">$G$10+VLOOKUP($R59,武学奇术!$A:$ZZ,7,FALSE)+SUM(_xlfn.XLOOKUP(S59:AG59,增益!$A:$A,增益!$G:$G,0))</f>
        <v>0</v>
      </c>
      <c r="AS59" s="21" cm="1">
        <f t="array" ref="AS59">VLOOKUP($R59,武学奇术!$A:$ZZ,8,FALSE)+SUM(_xlfn.XLOOKUP(S59:AG59,增益!$A:$A,增益!$H:$H,0))</f>
        <v>0</v>
      </c>
      <c r="AT59">
        <f t="shared" si="1"/>
        <v>680.02</v>
      </c>
      <c r="AU59">
        <f t="shared" si="2"/>
        <v>1288.54</v>
      </c>
      <c r="AV59" s="26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0.075</v>
      </c>
      <c r="AW59" s="26" cm="1">
        <f t="array" ref="AW59">$G$11+VLOOKUP($R59,武学奇术!$A:$ZZ,10,FALSE)+SUM(_xlfn.XLOOKUP(S59:AG59,增益!$A:$A,增益!$J:$J,0))</f>
        <v>0.15</v>
      </c>
      <c r="AX59">
        <f t="shared" si="3"/>
        <v>0</v>
      </c>
      <c r="AY59">
        <f t="shared" si="4"/>
        <v>0</v>
      </c>
      <c r="AZ59" s="26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26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26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26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26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26" cm="1">
        <f t="array" ref="BI59">$G$14+VLOOKUP($R59,武学奇术!$A:$ZZ,16,FALSE)+SUM(_xlfn.XLOOKUP(S59:AG59,增益!$A:$A,增益!$P:$P,0))</f>
        <v>0</v>
      </c>
      <c r="BJ59" s="21">
        <f>MIN(IF(VLOOKUP($R59,武学奇术!$A:$ZZ,23,FALSE)=1,100%,$B$8),100%)</f>
        <v>0.8229</v>
      </c>
      <c r="BK59" s="21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0.2285</v>
      </c>
      <c r="BL59" s="21" cm="1">
        <f t="array" ref="BL59">1+$B$13+VLOOKUP($R59,武学奇术!$A:$ZZ,18,FALSE)+SUM(_xlfn.XLOOKUP(S59:AG59,增益!$A:$A,增益!$R:$R,0))</f>
        <v>1.5</v>
      </c>
      <c r="BM59" s="21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0.4495</v>
      </c>
      <c r="BN59" s="21" cm="1">
        <f t="array" ref="BN59">1+$B$14+VLOOKUP($R59,武学奇术!$A:$ZZ,20,FALSE)+SUM(_xlfn.XLOOKUP(S59:AG59,增益!$A:$A,增益!$T:$T,0))</f>
        <v>1.782</v>
      </c>
      <c r="BO59" s="21">
        <f t="shared" si="9"/>
        <v>0.18803265</v>
      </c>
      <c r="BP59" s="21">
        <f t="shared" si="10"/>
        <v>0.2649738</v>
      </c>
      <c r="BQ59" s="21">
        <f>IF(VLOOKUP($R59,武学奇术!$A:$ZZ,22,FALSE)=1,0,(1-$BJ59))*(1-$BM59)</f>
        <v>0.09749355</v>
      </c>
      <c r="BR59" s="21" cm="1">
        <f t="array" ref="BR59">SUM(_xlfn.XLOOKUP(S59:AG59,增益!$A:$A,增益!$W:$W,0))+$I$5</f>
        <v>0.16</v>
      </c>
    </row>
    <row r="60" spans="11:70">
      <c r="K60" s="24">
        <f>$L60*VLOOKUP($R60,武学奇术!$A:$ZZ,31,FALSE)</f>
        <v>30106.453731592</v>
      </c>
      <c r="L60" s="24">
        <f t="shared" si="0"/>
        <v>30106.453731592</v>
      </c>
      <c r="M60" s="2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流血",$B$21,0))*(1+$BR60)</f>
        <v>27025.1205252089</v>
      </c>
      <c r="N60" s="24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流血",$B$21,0))*(1+$BR60)</f>
        <v>43067.4594105333</v>
      </c>
      <c r="O60" s="24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流血",$B$21,0))*(1+$BR60)</f>
        <v>18016.747016806</v>
      </c>
      <c r="P60" s="24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流血",$B$21,0))*(1+$BR60)</f>
        <v>9149.9363491342</v>
      </c>
      <c r="Q60" s="31">
        <v>1</v>
      </c>
      <c r="R60" s="32" t="s">
        <v>124</v>
      </c>
      <c r="S60" s="32" t="s">
        <v>87</v>
      </c>
      <c r="T60" s="32" t="s">
        <v>104</v>
      </c>
      <c r="U60" s="32" t="s">
        <v>73</v>
      </c>
      <c r="V60" s="32" t="s">
        <v>73</v>
      </c>
      <c r="W60" s="32" t="s">
        <v>111</v>
      </c>
      <c r="X60" s="32" t="s">
        <v>127</v>
      </c>
      <c r="Y60" s="32" t="s">
        <v>179</v>
      </c>
      <c r="Z60" s="32" t="s">
        <v>182</v>
      </c>
      <c r="AA60" s="32" t="s">
        <v>73</v>
      </c>
      <c r="AB60" s="32" t="s">
        <v>75</v>
      </c>
      <c r="AC60" s="32" t="s">
        <v>89</v>
      </c>
      <c r="AD60" s="32" t="s">
        <v>82</v>
      </c>
      <c r="AE60" s="32" t="s">
        <v>183</v>
      </c>
      <c r="AF60" s="32" t="s">
        <v>73</v>
      </c>
      <c r="AG60" s="32" t="s">
        <v>178</v>
      </c>
      <c r="AH60" t="str">
        <f>VLOOKUP($R60,武学奇术!$A:$ZZ,25,FALSE)</f>
        <v>剑</v>
      </c>
      <c r="AI60" s="21">
        <f>VLOOKUP($R60,武学奇术!$A:$ZZ,26,FALSE)</f>
        <v>0.94015</v>
      </c>
      <c r="AJ60" s="22">
        <f>VLOOKUP($R60,武学奇术!$A:$ZZ,27,FALSE)*(1+IF(OR($AH60=$F$4,$AH60=$F$5),$B$22,0))</f>
        <v>390</v>
      </c>
      <c r="AK60" s="21">
        <f>VLOOKUP($R60,武学奇术!$A:$ZZ,28,FALSE)</f>
        <v>1.41025</v>
      </c>
      <c r="AL60" s="22">
        <f>VLOOKUP($R60,武学奇术!$A:$ZZ,29,FALSE)*(1+IF(OR($AH60=$F$4,$AH60=$F$5),$B$22,0))</f>
        <v>212.25</v>
      </c>
      <c r="AM60" s="21" cm="1">
        <f t="array" ref="AM60">$G$3+IFERROR(VLOOKUP($AH60,$F$4:$G$7,2,FALSE),0)+VLOOKUP($R60,武学奇术!$A:$ZZ,2,FALSE)+SUM(_xlfn.XLOOKUP($S60:$AG60,增益!$A:$A,增益!$B:$B,0))</f>
        <v>0.9291</v>
      </c>
      <c r="AN60" s="21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1825.28</v>
      </c>
      <c r="AP60" cm="1">
        <f t="array" ref="AP60">$E$10*(1+$AN60)+VLOOKUP($R60,武学奇术!$A:$ZZ,4,FALSE)+SUM(_xlfn.XLOOKUP($S60:$AG60,增益!$A:$A,增益!$D:$D,0))-$I$2</f>
        <v>7757.36</v>
      </c>
      <c r="AQ60" s="26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0.244</v>
      </c>
      <c r="AR60" s="26" cm="1">
        <f t="array" ref="AR60">$G$10+VLOOKUP($R60,武学奇术!$A:$ZZ,7,FALSE)+SUM(_xlfn.XLOOKUP(S60:AG60,增益!$A:$A,增益!$G:$G,0))</f>
        <v>0</v>
      </c>
      <c r="AS60" s="21" cm="1">
        <f t="array" ref="AS60">VLOOKUP($R60,武学奇术!$A:$ZZ,8,FALSE)+SUM(_xlfn.XLOOKUP(S60:AG60,增益!$A:$A,增益!$H:$H,0))</f>
        <v>0</v>
      </c>
      <c r="AT60">
        <f t="shared" si="1"/>
        <v>680.02</v>
      </c>
      <c r="AU60">
        <f t="shared" si="2"/>
        <v>1288.54</v>
      </c>
      <c r="AV60" s="26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</v>
      </c>
      <c r="AW60" s="26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26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26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26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26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26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26" cm="1">
        <f t="array" ref="BI60">$G$14+VLOOKUP($R60,武学奇术!$A:$ZZ,16,FALSE)+SUM(_xlfn.XLOOKUP(S60:AG60,增益!$A:$A,增益!$P:$P,0))</f>
        <v>0</v>
      </c>
      <c r="BJ60" s="21">
        <f>MIN(IF(VLOOKUP($R60,武学奇术!$A:$ZZ,23,FALSE)=1,100%,$B$8),100%)</f>
        <v>0.8229</v>
      </c>
      <c r="BK60" s="21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0.2285</v>
      </c>
      <c r="BL60" s="21" cm="1">
        <f t="array" ref="BL60">1+$B$13+VLOOKUP($R60,武学奇术!$A:$ZZ,18,FALSE)+SUM(_xlfn.XLOOKUP(S60:AG60,增益!$A:$A,增益!$R:$R,0))</f>
        <v>1.5</v>
      </c>
      <c r="BM60" s="21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0.4495</v>
      </c>
      <c r="BN60" s="21" cm="1">
        <f t="array" ref="BN60">1+$B$14+VLOOKUP($R60,武学奇术!$A:$ZZ,20,FALSE)+SUM(_xlfn.XLOOKUP(S60:AG60,增益!$A:$A,增益!$T:$T,0))</f>
        <v>1.602</v>
      </c>
      <c r="BO60" s="21">
        <f t="shared" si="9"/>
        <v>0.18803265</v>
      </c>
      <c r="BP60" s="21">
        <f t="shared" si="10"/>
        <v>0.2649738</v>
      </c>
      <c r="BQ60" s="21">
        <f>IF(VLOOKUP($R60,武学奇术!$A:$ZZ,22,FALSE)=1,0,(1-$BJ60))*(1-$BM60)</f>
        <v>0.09749355</v>
      </c>
      <c r="BR60" s="21" cm="1">
        <f t="array" ref="BR60">SUM(_xlfn.XLOOKUP(S60:AG60,增益!$A:$A,增益!$W:$W,0))+$I$5</f>
        <v>0.16</v>
      </c>
    </row>
    <row r="61" spans="11:70">
      <c r="K61" s="24">
        <f>$L61*VLOOKUP($R61,武学奇术!$A:$ZZ,31,FALSE)</f>
        <v>36747.2518779626</v>
      </c>
      <c r="L61" s="24">
        <f t="shared" si="0"/>
        <v>36747.2518779626</v>
      </c>
      <c r="M61" s="2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流血",$B$21,0))*(1+$BR61)</f>
        <v>32985.9829763489</v>
      </c>
      <c r="N61" s="24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流血",$B$21,0))*(1+$BR61)</f>
        <v>52567.4959901509</v>
      </c>
      <c r="O61" s="24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流血",$B$21,0))*(1+$BR61)</f>
        <v>21990.6553175659</v>
      </c>
      <c r="P61" s="24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流血",$B$21,0))*(1+$BR61)</f>
        <v>11167.6427261737</v>
      </c>
      <c r="Q61" s="31">
        <v>1</v>
      </c>
      <c r="R61" s="32" t="s">
        <v>86</v>
      </c>
      <c r="S61" s="32" t="s">
        <v>87</v>
      </c>
      <c r="T61" s="32" t="s">
        <v>104</v>
      </c>
      <c r="U61" s="32" t="s">
        <v>73</v>
      </c>
      <c r="V61" s="32" t="s">
        <v>73</v>
      </c>
      <c r="W61" s="32" t="s">
        <v>111</v>
      </c>
      <c r="X61" s="32" t="s">
        <v>127</v>
      </c>
      <c r="Y61" s="32" t="s">
        <v>179</v>
      </c>
      <c r="Z61" s="32" t="s">
        <v>182</v>
      </c>
      <c r="AA61" s="32" t="s">
        <v>73</v>
      </c>
      <c r="AB61" s="32" t="s">
        <v>75</v>
      </c>
      <c r="AC61" s="32" t="s">
        <v>89</v>
      </c>
      <c r="AD61" s="32" t="s">
        <v>82</v>
      </c>
      <c r="AE61" s="32" t="s">
        <v>90</v>
      </c>
      <c r="AF61" s="32" t="s">
        <v>73</v>
      </c>
      <c r="AG61" s="32" t="s">
        <v>178</v>
      </c>
      <c r="AH61" t="str">
        <f>VLOOKUP($R61,武学奇术!$A:$ZZ,25,FALSE)</f>
        <v>剑</v>
      </c>
      <c r="AI61" s="21">
        <f>VLOOKUP($R61,武学奇术!$A:$ZZ,26,FALSE)</f>
        <v>1.1781</v>
      </c>
      <c r="AJ61" s="22">
        <f>VLOOKUP($R61,武学奇术!$A:$ZZ,27,FALSE)*(1+IF(OR($AH61=$F$4,$AH61=$F$5),$B$22,0))</f>
        <v>489</v>
      </c>
      <c r="AK61" s="21">
        <f>VLOOKUP($R61,武学奇术!$A:$ZZ,28,FALSE)</f>
        <v>1.7672</v>
      </c>
      <c r="AL61" s="22">
        <f>VLOOKUP($R61,武学奇术!$A:$ZZ,29,FALSE)*(1+IF(OR($AH61=$F$4,$AH61=$F$5),$B$22,0))</f>
        <v>265.5</v>
      </c>
      <c r="AM61" s="21" cm="1">
        <f t="array" ref="AM61">$G$3+IFERROR(VLOOKUP($AH61,$F$4:$G$7,2,FALSE),0)+VLOOKUP($R61,武学奇术!$A:$ZZ,2,FALSE)+SUM(_xlfn.XLOOKUP($S61:$AG61,增益!$A:$A,增益!$B:$B,0))</f>
        <v>0.8791</v>
      </c>
      <c r="AN61" s="21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1825.28</v>
      </c>
      <c r="AP61" cm="1">
        <f t="array" ref="AP61">$E$10*(1+$AN61)+VLOOKUP($R61,武学奇术!$A:$ZZ,4,FALSE)+SUM(_xlfn.XLOOKUP($S61:$AG61,增益!$A:$A,增益!$D:$D,0))-$I$2</f>
        <v>7757.36</v>
      </c>
      <c r="AQ61" s="26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0.244</v>
      </c>
      <c r="AR61" s="26" cm="1">
        <f t="array" ref="AR61">$G$10+VLOOKUP($R61,武学奇术!$A:$ZZ,7,FALSE)+SUM(_xlfn.XLOOKUP(S61:AG61,增益!$A:$A,增益!$G:$G,0))</f>
        <v>0</v>
      </c>
      <c r="AS61" s="21" cm="1">
        <f t="array" ref="AS61">VLOOKUP($R61,武学奇术!$A:$ZZ,8,FALSE)+SUM(_xlfn.XLOOKUP(S61:AG61,增益!$A:$A,增益!$H:$H,0))</f>
        <v>0</v>
      </c>
      <c r="AT61">
        <f t="shared" si="1"/>
        <v>680.02</v>
      </c>
      <c r="AU61">
        <f t="shared" si="2"/>
        <v>1288.54</v>
      </c>
      <c r="AV61" s="26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</v>
      </c>
      <c r="AW61" s="26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26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26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26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26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26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26" cm="1">
        <f t="array" ref="BI61">$G$14+VLOOKUP($R61,武学奇术!$A:$ZZ,16,FALSE)+SUM(_xlfn.XLOOKUP(S61:AG61,增益!$A:$A,增益!$P:$P,0))</f>
        <v>0</v>
      </c>
      <c r="BJ61" s="21">
        <f>MIN(IF(VLOOKUP($R61,武学奇术!$A:$ZZ,23,FALSE)=1,100%,$B$8),100%)</f>
        <v>0.8229</v>
      </c>
      <c r="BK61" s="21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0.2285</v>
      </c>
      <c r="BL61" s="21" cm="1">
        <f t="array" ref="BL61">1+$B$13+VLOOKUP($R61,武学奇术!$A:$ZZ,18,FALSE)+SUM(_xlfn.XLOOKUP(S61:AG61,增益!$A:$A,增益!$R:$R,0))</f>
        <v>1.5</v>
      </c>
      <c r="BM61" s="21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0.4495</v>
      </c>
      <c r="BN61" s="21" cm="1">
        <f t="array" ref="BN61">1+$B$14+VLOOKUP($R61,武学奇术!$A:$ZZ,20,FALSE)+SUM(_xlfn.XLOOKUP(S61:AG61,增益!$A:$A,增益!$T:$T,0))</f>
        <v>1.602</v>
      </c>
      <c r="BO61" s="21">
        <f t="shared" si="9"/>
        <v>0.18803265</v>
      </c>
      <c r="BP61" s="21">
        <f t="shared" si="10"/>
        <v>0.2649738</v>
      </c>
      <c r="BQ61" s="21">
        <f>IF(VLOOKUP($R61,武学奇术!$A:$ZZ,22,FALSE)=1,0,(1-$BJ61))*(1-$BM61)</f>
        <v>0.09749355</v>
      </c>
      <c r="BR61" s="21" cm="1">
        <f t="array" ref="BR61">SUM(_xlfn.XLOOKUP(S61:AG61,增益!$A:$A,增益!$W:$W,0))+$I$5</f>
        <v>0.16</v>
      </c>
    </row>
    <row r="62" spans="11:70">
      <c r="K62" s="24">
        <f>$L62*VLOOKUP($R62,武学奇术!$A:$ZZ,31,FALSE)</f>
        <v>90833.6770993509</v>
      </c>
      <c r="L62" s="24">
        <f t="shared" si="0"/>
        <v>151389.461832251</v>
      </c>
      <c r="M62" s="2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流血",$B$21,0))*(1+$BR62)</f>
        <v>123942.598583393</v>
      </c>
      <c r="N62" s="24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流血",$B$21,0))*(1+$BR62)</f>
        <v>228167.92733068</v>
      </c>
      <c r="O62" s="24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流血",$B$21,0))*(1+$BR62)</f>
        <v>82628.3990555951</v>
      </c>
      <c r="P62" s="24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流血",$B$21,0))*(1+$BR62)</f>
        <v>37216.4348504271</v>
      </c>
      <c r="Q62" s="31">
        <v>1</v>
      </c>
      <c r="R62" s="32" t="s">
        <v>95</v>
      </c>
      <c r="S62" s="32" t="s">
        <v>87</v>
      </c>
      <c r="T62" s="32" t="s">
        <v>96</v>
      </c>
      <c r="U62" s="32" t="s">
        <v>97</v>
      </c>
      <c r="V62" s="32" t="s">
        <v>98</v>
      </c>
      <c r="W62" s="32" t="s">
        <v>111</v>
      </c>
      <c r="X62" s="32" t="s">
        <v>127</v>
      </c>
      <c r="Y62" s="32" t="s">
        <v>179</v>
      </c>
      <c r="Z62" s="32" t="s">
        <v>182</v>
      </c>
      <c r="AA62" s="32" t="s">
        <v>73</v>
      </c>
      <c r="AB62" s="32" t="s">
        <v>75</v>
      </c>
      <c r="AC62" s="32" t="s">
        <v>89</v>
      </c>
      <c r="AD62" s="32" t="s">
        <v>82</v>
      </c>
      <c r="AE62" s="32" t="s">
        <v>90</v>
      </c>
      <c r="AF62" s="32" t="s">
        <v>73</v>
      </c>
      <c r="AG62" s="32" t="s">
        <v>178</v>
      </c>
      <c r="AH62" t="str">
        <f>VLOOKUP($R62,武学奇术!$A:$ZZ,25,FALSE)</f>
        <v>剑</v>
      </c>
      <c r="AI62" s="21">
        <f>VLOOKUP($R62,武学奇术!$A:$ZZ,26,FALSE)</f>
        <v>2.52</v>
      </c>
      <c r="AJ62" s="22">
        <f>VLOOKUP($R62,武学奇术!$A:$ZZ,27,FALSE)*(1+IF(OR($AH62=$F$4,$AH62=$F$5),$B$22,0))</f>
        <v>0</v>
      </c>
      <c r="AK62" s="21">
        <f>VLOOKUP($R62,武学奇术!$A:$ZZ,28,FALSE)</f>
        <v>3.78</v>
      </c>
      <c r="AL62" s="22">
        <f>VLOOKUP($R62,武学奇术!$A:$ZZ,29,FALSE)*(1+IF(OR($AH62=$F$4,$AH62=$F$5),$B$22,0))</f>
        <v>0</v>
      </c>
      <c r="AM62" s="21" cm="1">
        <f t="array" ref="AM62">$G$3+IFERROR(VLOOKUP($AH62,$F$4:$G$7,2,FALSE),0)+VLOOKUP($R62,武学奇术!$A:$ZZ,2,FALSE)+SUM(_xlfn.XLOOKUP($S62:$AG62,增益!$A:$A,增益!$B:$B,0))</f>
        <v>1.6291</v>
      </c>
      <c r="AN62" s="21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1825.28</v>
      </c>
      <c r="AP62" cm="1">
        <f t="array" ref="AP62">$E$10*(1+$AN62)+VLOOKUP($R62,武学奇术!$A:$ZZ,4,FALSE)+SUM(_xlfn.XLOOKUP($S62:$AG62,增益!$A:$A,增益!$D:$D,0))-$I$2</f>
        <v>7757.36</v>
      </c>
      <c r="AQ62" s="26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0.319</v>
      </c>
      <c r="AR62" s="26" cm="1">
        <f t="array" ref="AR62">$G$10+VLOOKUP($R62,武学奇术!$A:$ZZ,7,FALSE)+SUM(_xlfn.XLOOKUP(S62:AG62,增益!$A:$A,增益!$G:$G,0))</f>
        <v>0</v>
      </c>
      <c r="AS62" s="21" cm="1">
        <f t="array" ref="AS62">VLOOKUP($R62,武学奇术!$A:$ZZ,8,FALSE)+SUM(_xlfn.XLOOKUP(S62:AG62,增益!$A:$A,增益!$H:$H,0))</f>
        <v>0</v>
      </c>
      <c r="AT62">
        <f t="shared" si="1"/>
        <v>680.02</v>
      </c>
      <c r="AU62">
        <f t="shared" si="2"/>
        <v>1288.54</v>
      </c>
      <c r="AV62" s="26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0.075</v>
      </c>
      <c r="AW62" s="26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26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26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26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26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26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26" cm="1">
        <f t="array" ref="BI62">$G$14+VLOOKUP($R62,武学奇术!$A:$ZZ,16,FALSE)+SUM(_xlfn.XLOOKUP(S62:AG62,增益!$A:$A,增益!$P:$P,0))</f>
        <v>0</v>
      </c>
      <c r="BJ62" s="21">
        <f>MIN(IF(VLOOKUP($R62,武学奇术!$A:$ZZ,23,FALSE)=1,100%,$B$8),100%)</f>
        <v>0.8229</v>
      </c>
      <c r="BK62" s="21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0.2285</v>
      </c>
      <c r="BL62" s="21" cm="1">
        <f t="array" ref="BL62">1+$B$13+VLOOKUP($R62,武学奇术!$A:$ZZ,18,FALSE)+SUM(_xlfn.XLOOKUP(S62:AG62,增益!$A:$A,增益!$R:$R,0))</f>
        <v>1.5</v>
      </c>
      <c r="BM62" s="21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0.4495</v>
      </c>
      <c r="BN62" s="21" cm="1">
        <f t="array" ref="BN62">1+$B$14+VLOOKUP($R62,武学奇术!$A:$ZZ,20,FALSE)+SUM(_xlfn.XLOOKUP(S62:AG62,增益!$A:$A,增益!$T:$T,0))</f>
        <v>1.782</v>
      </c>
      <c r="BO62" s="21">
        <f t="shared" si="9"/>
        <v>0.18803265</v>
      </c>
      <c r="BP62" s="21">
        <f t="shared" si="10"/>
        <v>0.2649738</v>
      </c>
      <c r="BQ62" s="21">
        <f>IF(VLOOKUP($R62,武学奇术!$A:$ZZ,22,FALSE)=1,0,(1-$BJ62))*(1-$BM62)</f>
        <v>0.09749355</v>
      </c>
      <c r="BR62" s="21" cm="1">
        <f t="array" ref="BR62">SUM(_xlfn.XLOOKUP(S62:AG62,增益!$A:$A,增益!$W:$W,0))+$I$5</f>
        <v>0.16</v>
      </c>
    </row>
    <row r="63" spans="11:70">
      <c r="K63" s="24">
        <f>$L63*VLOOKUP($R63,武学奇术!$A:$ZZ,31,FALSE)</f>
        <v>90833.6770993509</v>
      </c>
      <c r="L63" s="24">
        <f t="shared" si="0"/>
        <v>151389.461832251</v>
      </c>
      <c r="M63" s="2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流血",$B$21,0))*(1+$BR63)</f>
        <v>123942.598583393</v>
      </c>
      <c r="N63" s="24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流血",$B$21,0))*(1+$BR63)</f>
        <v>228167.92733068</v>
      </c>
      <c r="O63" s="24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流血",$B$21,0))*(1+$BR63)</f>
        <v>82628.3990555951</v>
      </c>
      <c r="P63" s="24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流血",$B$21,0))*(1+$BR63)</f>
        <v>37216.4348504271</v>
      </c>
      <c r="Q63" s="31">
        <v>1</v>
      </c>
      <c r="R63" s="32" t="s">
        <v>95</v>
      </c>
      <c r="S63" s="32" t="s">
        <v>87</v>
      </c>
      <c r="T63" s="32" t="s">
        <v>96</v>
      </c>
      <c r="U63" s="32" t="s">
        <v>97</v>
      </c>
      <c r="V63" s="32" t="s">
        <v>98</v>
      </c>
      <c r="W63" s="32" t="s">
        <v>111</v>
      </c>
      <c r="X63" s="32" t="s">
        <v>127</v>
      </c>
      <c r="Y63" s="32" t="s">
        <v>179</v>
      </c>
      <c r="Z63" s="32" t="s">
        <v>182</v>
      </c>
      <c r="AA63" s="32" t="s">
        <v>73</v>
      </c>
      <c r="AB63" s="32" t="s">
        <v>75</v>
      </c>
      <c r="AC63" s="32" t="s">
        <v>89</v>
      </c>
      <c r="AD63" s="32" t="s">
        <v>82</v>
      </c>
      <c r="AE63" s="32" t="s">
        <v>90</v>
      </c>
      <c r="AF63" s="32" t="s">
        <v>73</v>
      </c>
      <c r="AG63" s="32" t="s">
        <v>178</v>
      </c>
      <c r="AH63" t="str">
        <f>VLOOKUP($R63,武学奇术!$A:$ZZ,25,FALSE)</f>
        <v>剑</v>
      </c>
      <c r="AI63" s="21">
        <f>VLOOKUP($R63,武学奇术!$A:$ZZ,26,FALSE)</f>
        <v>2.52</v>
      </c>
      <c r="AJ63" s="22">
        <f>VLOOKUP($R63,武学奇术!$A:$ZZ,27,FALSE)*(1+IF(OR($AH63=$F$4,$AH63=$F$5),$B$22,0))</f>
        <v>0</v>
      </c>
      <c r="AK63" s="21">
        <f>VLOOKUP($R63,武学奇术!$A:$ZZ,28,FALSE)</f>
        <v>3.78</v>
      </c>
      <c r="AL63" s="22">
        <f>VLOOKUP($R63,武学奇术!$A:$ZZ,29,FALSE)*(1+IF(OR($AH63=$F$4,$AH63=$F$5),$B$22,0))</f>
        <v>0</v>
      </c>
      <c r="AM63" s="21" cm="1">
        <f t="array" ref="AM63">$G$3+IFERROR(VLOOKUP($AH63,$F$4:$G$7,2,FALSE),0)+VLOOKUP($R63,武学奇术!$A:$ZZ,2,FALSE)+SUM(_xlfn.XLOOKUP($S63:$AG63,增益!$A:$A,增益!$B:$B,0))</f>
        <v>1.6291</v>
      </c>
      <c r="AN63" s="21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1825.28</v>
      </c>
      <c r="AP63" cm="1">
        <f t="array" ref="AP63">$E$10*(1+$AN63)+VLOOKUP($R63,武学奇术!$A:$ZZ,4,FALSE)+SUM(_xlfn.XLOOKUP($S63:$AG63,增益!$A:$A,增益!$D:$D,0))-$I$2</f>
        <v>7757.36</v>
      </c>
      <c r="AQ63" s="26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0.319</v>
      </c>
      <c r="AR63" s="26" cm="1">
        <f t="array" ref="AR63">$G$10+VLOOKUP($R63,武学奇术!$A:$ZZ,7,FALSE)+SUM(_xlfn.XLOOKUP(S63:AG63,增益!$A:$A,增益!$G:$G,0))</f>
        <v>0</v>
      </c>
      <c r="AS63" s="21" cm="1">
        <f t="array" ref="AS63">VLOOKUP($R63,武学奇术!$A:$ZZ,8,FALSE)+SUM(_xlfn.XLOOKUP(S63:AG63,增益!$A:$A,增益!$H:$H,0))</f>
        <v>0</v>
      </c>
      <c r="AT63">
        <f t="shared" si="1"/>
        <v>680.02</v>
      </c>
      <c r="AU63">
        <f t="shared" si="2"/>
        <v>1288.54</v>
      </c>
      <c r="AV63" s="26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0.075</v>
      </c>
      <c r="AW63" s="26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26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26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26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26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26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26" cm="1">
        <f t="array" ref="BI63">$G$14+VLOOKUP($R63,武学奇术!$A:$ZZ,16,FALSE)+SUM(_xlfn.XLOOKUP(S63:AG63,增益!$A:$A,增益!$P:$P,0))</f>
        <v>0</v>
      </c>
      <c r="BJ63" s="21">
        <f>MIN(IF(VLOOKUP($R63,武学奇术!$A:$ZZ,23,FALSE)=1,100%,$B$8),100%)</f>
        <v>0.8229</v>
      </c>
      <c r="BK63" s="21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0.2285</v>
      </c>
      <c r="BL63" s="21" cm="1">
        <f t="array" ref="BL63">1+$B$13+VLOOKUP($R63,武学奇术!$A:$ZZ,18,FALSE)+SUM(_xlfn.XLOOKUP(S63:AG63,增益!$A:$A,增益!$R:$R,0))</f>
        <v>1.5</v>
      </c>
      <c r="BM63" s="21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0.4495</v>
      </c>
      <c r="BN63" s="21" cm="1">
        <f t="array" ref="BN63">1+$B$14+VLOOKUP($R63,武学奇术!$A:$ZZ,20,FALSE)+SUM(_xlfn.XLOOKUP(S63:AG63,增益!$A:$A,增益!$T:$T,0))</f>
        <v>1.782</v>
      </c>
      <c r="BO63" s="21">
        <f t="shared" si="9"/>
        <v>0.18803265</v>
      </c>
      <c r="BP63" s="21">
        <f t="shared" si="10"/>
        <v>0.2649738</v>
      </c>
      <c r="BQ63" s="21">
        <f>IF(VLOOKUP($R63,武学奇术!$A:$ZZ,22,FALSE)=1,0,(1-$BJ63))*(1-$BM63)</f>
        <v>0.09749355</v>
      </c>
      <c r="BR63" s="21" cm="1">
        <f t="array" ref="BR63">SUM(_xlfn.XLOOKUP(S63:AG63,增益!$A:$A,增益!$W:$W,0))+$I$5</f>
        <v>0.16</v>
      </c>
    </row>
    <row r="64" spans="11:70">
      <c r="K64" s="24">
        <f>$L64*VLOOKUP($R64,武学奇术!$A:$ZZ,31,FALSE)</f>
        <v>29218.2855703663</v>
      </c>
      <c r="L64" s="24">
        <f t="shared" si="0"/>
        <v>29218.2855703663</v>
      </c>
      <c r="M64" s="2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流血",$B$21,0))*(1+$BR64)</f>
        <v>26206.1175608996</v>
      </c>
      <c r="N64" s="24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流血",$B$21,0))*(1+$BR64)</f>
        <v>41824.5969466982</v>
      </c>
      <c r="O64" s="24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流血",$B$21,0))*(1+$BR64)</f>
        <v>17470.7450405997</v>
      </c>
      <c r="P64" s="24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流血",$B$21,0))*(1+$BR64)</f>
        <v>8833.7516625364</v>
      </c>
      <c r="Q64" s="31">
        <v>1</v>
      </c>
      <c r="R64" s="32" t="s">
        <v>124</v>
      </c>
      <c r="S64" s="32" t="s">
        <v>87</v>
      </c>
      <c r="T64" s="32" t="s">
        <v>104</v>
      </c>
      <c r="U64" s="32" t="s">
        <v>73</v>
      </c>
      <c r="V64" s="32" t="s">
        <v>73</v>
      </c>
      <c r="W64" s="32" t="s">
        <v>73</v>
      </c>
      <c r="X64" s="32" t="s">
        <v>127</v>
      </c>
      <c r="Y64" s="32" t="s">
        <v>179</v>
      </c>
      <c r="Z64" s="32" t="s">
        <v>182</v>
      </c>
      <c r="AA64" s="32" t="s">
        <v>73</v>
      </c>
      <c r="AB64" s="32" t="s">
        <v>75</v>
      </c>
      <c r="AC64" s="32" t="s">
        <v>89</v>
      </c>
      <c r="AD64" s="32" t="s">
        <v>82</v>
      </c>
      <c r="AE64" s="32" t="s">
        <v>90</v>
      </c>
      <c r="AF64" s="32" t="s">
        <v>73</v>
      </c>
      <c r="AG64" s="32" t="s">
        <v>178</v>
      </c>
      <c r="AH64" t="str">
        <f>VLOOKUP($R64,武学奇术!$A:$ZZ,25,FALSE)</f>
        <v>剑</v>
      </c>
      <c r="AI64" s="21">
        <f>VLOOKUP($R64,武学奇术!$A:$ZZ,26,FALSE)</f>
        <v>0.94015</v>
      </c>
      <c r="AJ64" s="22">
        <f>VLOOKUP($R64,武学奇术!$A:$ZZ,27,FALSE)*(1+IF(OR($AH64=$F$4,$AH64=$F$5),$B$22,0))</f>
        <v>390</v>
      </c>
      <c r="AK64" s="21">
        <f>VLOOKUP($R64,武学奇术!$A:$ZZ,28,FALSE)</f>
        <v>1.41025</v>
      </c>
      <c r="AL64" s="22">
        <f>VLOOKUP($R64,武学奇术!$A:$ZZ,29,FALSE)*(1+IF(OR($AH64=$F$4,$AH64=$F$5),$B$22,0))</f>
        <v>212.25</v>
      </c>
      <c r="AM64" s="21" cm="1">
        <f t="array" ref="AM64">$G$3+IFERROR(VLOOKUP($AH64,$F$4:$G$7,2,FALSE),0)+VLOOKUP($R64,武学奇术!$A:$ZZ,2,FALSE)+SUM(_xlfn.XLOOKUP($S64:$AG64,增益!$A:$A,增益!$B:$B,0))</f>
        <v>0.8791</v>
      </c>
      <c r="AN64" s="21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1794.28</v>
      </c>
      <c r="AP64" cm="1">
        <f t="array" ref="AP64">$E$10*(1+$AN64)+VLOOKUP($R64,武学奇术!$A:$ZZ,4,FALSE)+SUM(_xlfn.XLOOKUP($S64:$AG64,增益!$A:$A,增益!$D:$D,0))-$I$2</f>
        <v>7726.36</v>
      </c>
      <c r="AQ64" s="26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0.244</v>
      </c>
      <c r="AR64" s="26" cm="1">
        <f t="array" ref="AR64">$G$10+VLOOKUP($R64,武学奇术!$A:$ZZ,7,FALSE)+SUM(_xlfn.XLOOKUP(S64:AG64,增益!$A:$A,增益!$G:$G,0))</f>
        <v>0</v>
      </c>
      <c r="AS64" s="21" cm="1">
        <f t="array" ref="AS64">VLOOKUP($R64,武学奇术!$A:$ZZ,8,FALSE)+SUM(_xlfn.XLOOKUP(S64:AG64,增益!$A:$A,增益!$H:$H,0))</f>
        <v>0</v>
      </c>
      <c r="AT64">
        <f t="shared" si="1"/>
        <v>680.02</v>
      </c>
      <c r="AU64">
        <f t="shared" si="2"/>
        <v>1288.54</v>
      </c>
      <c r="AV64" s="26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</v>
      </c>
      <c r="AW64" s="26" cm="1">
        <f t="array" ref="AW64">$G$11+VLOOKUP($R64,武学奇术!$A:$ZZ,10,FALSE)+SUM(_xlfn.XLOOKUP(S64:AG64,增益!$A:$A,增益!$J:$J,0))</f>
        <v>0.15</v>
      </c>
      <c r="AX64">
        <f t="shared" si="3"/>
        <v>0</v>
      </c>
      <c r="AY64">
        <f t="shared" si="4"/>
        <v>0</v>
      </c>
      <c r="AZ64" s="26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26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26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26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26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26" cm="1">
        <f t="array" ref="BI64">$G$14+VLOOKUP($R64,武学奇术!$A:$ZZ,16,FALSE)+SUM(_xlfn.XLOOKUP(S64:AG64,增益!$A:$A,增益!$P:$P,0))</f>
        <v>0</v>
      </c>
      <c r="BJ64" s="21">
        <f>MIN(IF(VLOOKUP($R64,武学奇术!$A:$ZZ,23,FALSE)=1,100%,$B$8),100%)</f>
        <v>0.8229</v>
      </c>
      <c r="BK64" s="21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0.2285</v>
      </c>
      <c r="BL64" s="21" cm="1">
        <f t="array" ref="BL64">1+$B$13+VLOOKUP($R64,武学奇术!$A:$ZZ,18,FALSE)+SUM(_xlfn.XLOOKUP(S64:AG64,增益!$A:$A,增益!$R:$R,0))</f>
        <v>1.5</v>
      </c>
      <c r="BM64" s="21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0.4495</v>
      </c>
      <c r="BN64" s="21" cm="1">
        <f t="array" ref="BN64">1+$B$14+VLOOKUP($R64,武学奇术!$A:$ZZ,20,FALSE)+SUM(_xlfn.XLOOKUP(S64:AG64,增益!$A:$A,增益!$T:$T,0))</f>
        <v>1.602</v>
      </c>
      <c r="BO64" s="21">
        <f t="shared" si="9"/>
        <v>0.18803265</v>
      </c>
      <c r="BP64" s="21">
        <f t="shared" si="10"/>
        <v>0.2649738</v>
      </c>
      <c r="BQ64" s="21">
        <f>IF(VLOOKUP($R64,武学奇术!$A:$ZZ,22,FALSE)=1,0,(1-$BJ64))*(1-$BM64)</f>
        <v>0.09749355</v>
      </c>
      <c r="BR64" s="21" cm="1">
        <f t="array" ref="BR64">SUM(_xlfn.XLOOKUP(S64:AG64,增益!$A:$A,增益!$W:$W,0))+$I$5</f>
        <v>0.16</v>
      </c>
    </row>
    <row r="65" spans="3:70">
      <c r="K65" s="24">
        <f>$L65*VLOOKUP($R65,武学奇术!$A:$ZZ,31,FALSE)</f>
        <v>36612.1123628964</v>
      </c>
      <c r="L65" s="24">
        <f t="shared" si="0"/>
        <v>36612.1123628964</v>
      </c>
      <c r="M65" s="2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流血",$B$21,0))*(1+$BR65)</f>
        <v>32837.4361522838</v>
      </c>
      <c r="N65" s="24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流血",$B$21,0))*(1+$BR65)</f>
        <v>52408.8479820494</v>
      </c>
      <c r="O65" s="24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流血",$B$21,0))*(1+$BR65)</f>
        <v>21891.6241015225</v>
      </c>
      <c r="P65" s="24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流血",$B$21,0))*(1+$BR65)</f>
        <v>11068.6115101303</v>
      </c>
      <c r="Q65" s="31">
        <v>1</v>
      </c>
      <c r="R65" s="32" t="s">
        <v>86</v>
      </c>
      <c r="S65" s="32" t="s">
        <v>87</v>
      </c>
      <c r="T65" s="32" t="s">
        <v>104</v>
      </c>
      <c r="U65" s="32" t="s">
        <v>73</v>
      </c>
      <c r="V65" s="32" t="s">
        <v>73</v>
      </c>
      <c r="W65" s="32" t="s">
        <v>73</v>
      </c>
      <c r="X65" s="32" t="s">
        <v>127</v>
      </c>
      <c r="Y65" s="32" t="s">
        <v>179</v>
      </c>
      <c r="Z65" s="32" t="s">
        <v>182</v>
      </c>
      <c r="AA65" s="32" t="s">
        <v>73</v>
      </c>
      <c r="AB65" s="32" t="s">
        <v>75</v>
      </c>
      <c r="AC65" s="32" t="s">
        <v>89</v>
      </c>
      <c r="AD65" s="32" t="s">
        <v>82</v>
      </c>
      <c r="AE65" s="32" t="s">
        <v>90</v>
      </c>
      <c r="AF65" s="32" t="s">
        <v>73</v>
      </c>
      <c r="AG65" s="32" t="s">
        <v>178</v>
      </c>
      <c r="AH65" t="str">
        <f>VLOOKUP($R65,武学奇术!$A:$ZZ,25,FALSE)</f>
        <v>剑</v>
      </c>
      <c r="AI65" s="21">
        <f>VLOOKUP($R65,武学奇术!$A:$ZZ,26,FALSE)</f>
        <v>1.1781</v>
      </c>
      <c r="AJ65" s="22">
        <f>VLOOKUP($R65,武学奇术!$A:$ZZ,27,FALSE)*(1+IF(OR($AH65=$F$4,$AH65=$F$5),$B$22,0))</f>
        <v>489</v>
      </c>
      <c r="AK65" s="21">
        <f>VLOOKUP($R65,武学奇术!$A:$ZZ,28,FALSE)</f>
        <v>1.7672</v>
      </c>
      <c r="AL65" s="22">
        <f>VLOOKUP($R65,武学奇术!$A:$ZZ,29,FALSE)*(1+IF(OR($AH65=$F$4,$AH65=$F$5),$B$22,0))</f>
        <v>265.5</v>
      </c>
      <c r="AM65" s="21" cm="1">
        <f t="array" ref="AM65">$G$3+IFERROR(VLOOKUP($AH65,$F$4:$G$7,2,FALSE),0)+VLOOKUP($R65,武学奇术!$A:$ZZ,2,FALSE)+SUM(_xlfn.XLOOKUP($S65:$AG65,增益!$A:$A,增益!$B:$B,0))</f>
        <v>0.8791</v>
      </c>
      <c r="AN65" s="21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1794.28</v>
      </c>
      <c r="AP65" cm="1">
        <f t="array" ref="AP65">$E$10*(1+$AN65)+VLOOKUP($R65,武学奇术!$A:$ZZ,4,FALSE)+SUM(_xlfn.XLOOKUP($S65:$AG65,增益!$A:$A,增益!$D:$D,0))-$I$2</f>
        <v>7726.36</v>
      </c>
      <c r="AQ65" s="26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0.244</v>
      </c>
      <c r="AR65" s="26" cm="1">
        <f t="array" ref="AR65">$G$10+VLOOKUP($R65,武学奇术!$A:$ZZ,7,FALSE)+SUM(_xlfn.XLOOKUP(S65:AG65,增益!$A:$A,增益!$G:$G,0))</f>
        <v>0</v>
      </c>
      <c r="AS65" s="21" cm="1">
        <f t="array" ref="AS65">VLOOKUP($R65,武学奇术!$A:$ZZ,8,FALSE)+SUM(_xlfn.XLOOKUP(S65:AG65,增益!$A:$A,增益!$H:$H,0))</f>
        <v>0</v>
      </c>
      <c r="AT65">
        <f t="shared" si="1"/>
        <v>680.02</v>
      </c>
      <c r="AU65">
        <f t="shared" si="2"/>
        <v>1288.54</v>
      </c>
      <c r="AV65" s="26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</v>
      </c>
      <c r="AW65" s="26" cm="1">
        <f t="array" ref="AW65">$G$11+VLOOKUP($R65,武学奇术!$A:$ZZ,10,FALSE)+SUM(_xlfn.XLOOKUP(S65:AG65,增益!$A:$A,增益!$J:$J,0))</f>
        <v>0.15</v>
      </c>
      <c r="AX65">
        <f t="shared" si="3"/>
        <v>0</v>
      </c>
      <c r="AY65">
        <f t="shared" si="4"/>
        <v>0</v>
      </c>
      <c r="AZ65" s="26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26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26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26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26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26" cm="1">
        <f t="array" ref="BI65">$G$14+VLOOKUP($R65,武学奇术!$A:$ZZ,16,FALSE)+SUM(_xlfn.XLOOKUP(S65:AG65,增益!$A:$A,增益!$P:$P,0))</f>
        <v>0</v>
      </c>
      <c r="BJ65" s="21">
        <f>MIN(IF(VLOOKUP($R65,武学奇术!$A:$ZZ,23,FALSE)=1,100%,$B$8),100%)</f>
        <v>0.8229</v>
      </c>
      <c r="BK65" s="21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0.2285</v>
      </c>
      <c r="BL65" s="21" cm="1">
        <f t="array" ref="BL65">1+$B$13+VLOOKUP($R65,武学奇术!$A:$ZZ,18,FALSE)+SUM(_xlfn.XLOOKUP(S65:AG65,增益!$A:$A,增益!$R:$R,0))</f>
        <v>1.5</v>
      </c>
      <c r="BM65" s="21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0.4495</v>
      </c>
      <c r="BN65" s="21" cm="1">
        <f t="array" ref="BN65">1+$B$14+VLOOKUP($R65,武学奇术!$A:$ZZ,20,FALSE)+SUM(_xlfn.XLOOKUP(S65:AG65,增益!$A:$A,增益!$T:$T,0))</f>
        <v>1.602</v>
      </c>
      <c r="BO65" s="21">
        <f t="shared" si="9"/>
        <v>0.18803265</v>
      </c>
      <c r="BP65" s="21">
        <f t="shared" si="10"/>
        <v>0.2649738</v>
      </c>
      <c r="BQ65" s="21">
        <f>IF(VLOOKUP($R65,武学奇术!$A:$ZZ,22,FALSE)=1,0,(1-$BJ65))*(1-$BM65)</f>
        <v>0.09749355</v>
      </c>
      <c r="BR65" s="21" cm="1">
        <f t="array" ref="BR65">SUM(_xlfn.XLOOKUP(S65:AG65,增益!$A:$A,增益!$W:$W,0))+$I$5</f>
        <v>0.16</v>
      </c>
    </row>
    <row r="66" spans="3:70">
      <c r="K66" s="24">
        <f>$L66*VLOOKUP($R66,武学奇术!$A:$ZZ,31,FALSE)</f>
        <v>136457.244775321</v>
      </c>
      <c r="L66" s="24">
        <f t="shared" ref="L66:L129" si="11">($M66*$BO66+$N66*$BM66+$O66*$BP66+$P66*$BQ66)</f>
        <v>227428.741292201</v>
      </c>
      <c r="M66" s="2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流血",$B$21,0))*(1+$BR66)</f>
        <v>123320.388113293</v>
      </c>
      <c r="N66" s="24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流血",$B$21,0))*(1+$BR66)</f>
        <v>227428.741292201</v>
      </c>
      <c r="O66" s="24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流血",$B$21,0))*(1+$BR66)</f>
        <v>82213.5920755285</v>
      </c>
      <c r="P66" s="24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流血",$B$21,0))*(1+$BR66)</f>
        <v>36801.6278703605</v>
      </c>
      <c r="Q66" s="31">
        <v>1</v>
      </c>
      <c r="R66" s="32" t="s">
        <v>120</v>
      </c>
      <c r="S66" s="32" t="s">
        <v>87</v>
      </c>
      <c r="T66" s="32" t="s">
        <v>96</v>
      </c>
      <c r="U66" s="32" t="s">
        <v>97</v>
      </c>
      <c r="V66" s="32" t="s">
        <v>98</v>
      </c>
      <c r="W66" s="32" t="s">
        <v>73</v>
      </c>
      <c r="X66" s="32" t="s">
        <v>127</v>
      </c>
      <c r="Y66" s="32" t="s">
        <v>179</v>
      </c>
      <c r="Z66" s="32" t="s">
        <v>182</v>
      </c>
      <c r="AA66" s="32" t="s">
        <v>73</v>
      </c>
      <c r="AB66" s="32" t="s">
        <v>75</v>
      </c>
      <c r="AC66" s="32" t="s">
        <v>89</v>
      </c>
      <c r="AD66" s="32" t="s">
        <v>82</v>
      </c>
      <c r="AE66" s="32" t="s">
        <v>90</v>
      </c>
      <c r="AF66" s="32" t="s">
        <v>73</v>
      </c>
      <c r="AG66" s="32" t="s">
        <v>178</v>
      </c>
      <c r="AH66" t="str">
        <f>VLOOKUP($R66,武学奇术!$A:$ZZ,25,FALSE)</f>
        <v>剑</v>
      </c>
      <c r="AI66" s="21">
        <f>VLOOKUP($R66,武学奇术!$A:$ZZ,26,FALSE)</f>
        <v>2.52</v>
      </c>
      <c r="AJ66" s="22">
        <f>VLOOKUP($R66,武学奇术!$A:$ZZ,27,FALSE)*(1+IF(OR($AH66=$F$4,$AH66=$F$5),$B$22,0))</f>
        <v>0</v>
      </c>
      <c r="AK66" s="21">
        <f>VLOOKUP($R66,武学奇术!$A:$ZZ,28,FALSE)</f>
        <v>3.78</v>
      </c>
      <c r="AL66" s="22">
        <f>VLOOKUP($R66,武学奇术!$A:$ZZ,29,FALSE)*(1+IF(OR($AH66=$F$4,$AH66=$F$5),$B$22,0))</f>
        <v>0</v>
      </c>
      <c r="AM66" s="21" cm="1">
        <f t="array" ref="AM66">$G$3+IFERROR(VLOOKUP($AH66,$F$4:$G$7,2,FALSE),0)+VLOOKUP($R66,武学奇术!$A:$ZZ,2,FALSE)+SUM(_xlfn.XLOOKUP($S66:$AG66,增益!$A:$A,增益!$B:$B,0))</f>
        <v>1.6291</v>
      </c>
      <c r="AN66" s="21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1794.28</v>
      </c>
      <c r="AP66" cm="1">
        <f t="array" ref="AP66">$E$10*(1+$AN66)+VLOOKUP($R66,武学奇术!$A:$ZZ,4,FALSE)+SUM(_xlfn.XLOOKUP($S66:$AG66,增益!$A:$A,增益!$D:$D,0))-$I$2</f>
        <v>7726.36</v>
      </c>
      <c r="AQ66" s="26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0.319</v>
      </c>
      <c r="AR66" s="26" cm="1">
        <f t="array" ref="AR66">$G$10+VLOOKUP($R66,武学奇术!$A:$ZZ,7,FALSE)+SUM(_xlfn.XLOOKUP(S66:AG66,增益!$A:$A,增益!$G:$G,0))</f>
        <v>0</v>
      </c>
      <c r="AS66" s="21" cm="1">
        <f t="array" ref="AS66">VLOOKUP($R66,武学奇术!$A:$ZZ,8,FALSE)+SUM(_xlfn.XLOOKUP(S66:AG66,增益!$A:$A,增益!$H:$H,0))</f>
        <v>0</v>
      </c>
      <c r="AT66">
        <f t="shared" ref="AT66:AT129" si="12">$D$11*(1+$AS66)</f>
        <v>680.02</v>
      </c>
      <c r="AU66">
        <f t="shared" ref="AU66:AU129" si="13">$E$11*(1+$AS66)</f>
        <v>1288.54</v>
      </c>
      <c r="AV66" s="26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0.075</v>
      </c>
      <c r="AW66" s="26" cm="1">
        <f t="array" ref="AW66">$G$11+VLOOKUP($R66,武学奇术!$A:$ZZ,10,FALSE)+SUM(_xlfn.XLOOKUP(S66:AG66,增益!$A:$A,增益!$J:$J,0))</f>
        <v>0.15</v>
      </c>
      <c r="AX66">
        <f t="shared" ref="AX66:AX129" si="14">$D$12*(1+$AS66)</f>
        <v>0</v>
      </c>
      <c r="AY66">
        <f t="shared" ref="AY66:AY129" si="15">$E$12*(1+$AS66)</f>
        <v>0</v>
      </c>
      <c r="AZ66" s="26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26" cm="1">
        <f t="array" ref="BA66">$G$12+VLOOKUP($R66,武学奇术!$A:$ZZ,12,FALSE)+SUM(_xlfn.XLOOKUP(S66:AG66,增益!$A:$A,增益!$L:$L,0))</f>
        <v>0</v>
      </c>
      <c r="BB66">
        <f t="shared" ref="BB66:BB129" si="16">$D$13*(1+$AS66)</f>
        <v>0</v>
      </c>
      <c r="BC66">
        <f t="shared" ref="BC66:BC129" si="17">$E$13*(1+$AS66)</f>
        <v>0</v>
      </c>
      <c r="BD66" s="26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26" cm="1">
        <f t="array" ref="BE66">$G$13+VLOOKUP($R66,武学奇术!$A:$ZZ,14,FALSE)+SUM(_xlfn.XLOOKUP(S66:AG66,增益!$A:$A,增益!$N:$N,0))</f>
        <v>0</v>
      </c>
      <c r="BF66">
        <f t="shared" ref="BF66:BF129" si="18">$D$14*(1+$AS66)</f>
        <v>0</v>
      </c>
      <c r="BG66">
        <f t="shared" ref="BG66:BG129" si="19">$E$14*(1+$AS66)</f>
        <v>0</v>
      </c>
      <c r="BH66" s="26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26" cm="1">
        <f t="array" ref="BI66">$G$14+VLOOKUP($R66,武学奇术!$A:$ZZ,16,FALSE)+SUM(_xlfn.XLOOKUP(S66:AG66,增益!$A:$A,增益!$P:$P,0))</f>
        <v>0</v>
      </c>
      <c r="BJ66" s="21">
        <f>MIN(IF(VLOOKUP($R66,武学奇术!$A:$ZZ,23,FALSE)=1,100%,$B$8),100%)</f>
        <v>0.8229</v>
      </c>
      <c r="BK66" s="21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</v>
      </c>
      <c r="BL66" s="21" cm="1">
        <f t="array" ref="BL66">1+$B$13+VLOOKUP($R66,武学奇术!$A:$ZZ,18,FALSE)+SUM(_xlfn.XLOOKUP(S66:AG66,增益!$A:$A,增益!$R:$R,0))</f>
        <v>1.5</v>
      </c>
      <c r="BM66" s="21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1</v>
      </c>
      <c r="BN66" s="21" cm="1">
        <f t="array" ref="BN66">1+$B$14+VLOOKUP($R66,武学奇术!$A:$ZZ,20,FALSE)+SUM(_xlfn.XLOOKUP(S66:AG66,增益!$A:$A,增益!$T:$T,0))</f>
        <v>1.782</v>
      </c>
      <c r="BO66" s="21">
        <f t="shared" ref="BO66:BO129" si="20">MIN((1-BM66)*BJ66,BJ66*BK66)</f>
        <v>0</v>
      </c>
      <c r="BP66" s="21">
        <f t="shared" ref="BP66:BP129" si="21">1-BM66-BO66-BQ66</f>
        <v>0</v>
      </c>
      <c r="BQ66" s="21">
        <f>IF(VLOOKUP($R66,武学奇术!$A:$ZZ,22,FALSE)=1,0,(1-$BJ66))*(1-$BM66)</f>
        <v>0</v>
      </c>
      <c r="BR66" s="21" cm="1">
        <f t="array" ref="BR66">SUM(_xlfn.XLOOKUP(S66:AG66,增益!$A:$A,增益!$W:$W,0))+$I$5</f>
        <v>0.16</v>
      </c>
    </row>
    <row r="67" spans="3:70">
      <c r="K67" s="24">
        <f>$L67*VLOOKUP($R67,武学奇术!$A:$ZZ,31,FALSE)</f>
        <v>90473.9087025471</v>
      </c>
      <c r="L67" s="24">
        <f t="shared" si="11"/>
        <v>150789.847837578</v>
      </c>
      <c r="M67" s="2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流血",$B$21,0))*(1+$BR67)</f>
        <v>123320.388113293</v>
      </c>
      <c r="N67" s="24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流血",$B$21,0))*(1+$BR67)</f>
        <v>227428.741292201</v>
      </c>
      <c r="O67" s="24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流血",$B$21,0))*(1+$BR67)</f>
        <v>82213.5920755285</v>
      </c>
      <c r="P67" s="24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流血",$B$21,0))*(1+$BR67)</f>
        <v>36801.6278703605</v>
      </c>
      <c r="Q67" s="31">
        <v>1</v>
      </c>
      <c r="R67" s="32" t="s">
        <v>95</v>
      </c>
      <c r="S67" s="32" t="s">
        <v>87</v>
      </c>
      <c r="T67" s="32" t="s">
        <v>96</v>
      </c>
      <c r="U67" s="32" t="s">
        <v>97</v>
      </c>
      <c r="V67" s="32" t="s">
        <v>98</v>
      </c>
      <c r="W67" s="32" t="s">
        <v>73</v>
      </c>
      <c r="X67" s="32" t="s">
        <v>127</v>
      </c>
      <c r="Y67" s="32" t="s">
        <v>179</v>
      </c>
      <c r="Z67" s="32" t="s">
        <v>182</v>
      </c>
      <c r="AA67" s="32" t="s">
        <v>73</v>
      </c>
      <c r="AB67" s="32" t="s">
        <v>75</v>
      </c>
      <c r="AC67" s="32" t="s">
        <v>89</v>
      </c>
      <c r="AD67" s="32" t="s">
        <v>82</v>
      </c>
      <c r="AE67" s="32" t="s">
        <v>90</v>
      </c>
      <c r="AF67" s="32" t="s">
        <v>73</v>
      </c>
      <c r="AG67" s="32" t="s">
        <v>178</v>
      </c>
      <c r="AH67" t="str">
        <f>VLOOKUP($R67,武学奇术!$A:$ZZ,25,FALSE)</f>
        <v>剑</v>
      </c>
      <c r="AI67" s="21">
        <f>VLOOKUP($R67,武学奇术!$A:$ZZ,26,FALSE)</f>
        <v>2.52</v>
      </c>
      <c r="AJ67" s="22">
        <f>VLOOKUP($R67,武学奇术!$A:$ZZ,27,FALSE)*(1+IF(OR($AH67=$F$4,$AH67=$F$5),$B$22,0))</f>
        <v>0</v>
      </c>
      <c r="AK67" s="21">
        <f>VLOOKUP($R67,武学奇术!$A:$ZZ,28,FALSE)</f>
        <v>3.78</v>
      </c>
      <c r="AL67" s="22">
        <f>VLOOKUP($R67,武学奇术!$A:$ZZ,29,FALSE)*(1+IF(OR($AH67=$F$4,$AH67=$F$5),$B$22,0))</f>
        <v>0</v>
      </c>
      <c r="AM67" s="21" cm="1">
        <f t="array" ref="AM67">$G$3+IFERROR(VLOOKUP($AH67,$F$4:$G$7,2,FALSE),0)+VLOOKUP($R67,武学奇术!$A:$ZZ,2,FALSE)+SUM(_xlfn.XLOOKUP($S67:$AG67,增益!$A:$A,增益!$B:$B,0))</f>
        <v>1.6291</v>
      </c>
      <c r="AN67" s="21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1794.28</v>
      </c>
      <c r="AP67" cm="1">
        <f t="array" ref="AP67">$E$10*(1+$AN67)+VLOOKUP($R67,武学奇术!$A:$ZZ,4,FALSE)+SUM(_xlfn.XLOOKUP($S67:$AG67,增益!$A:$A,增益!$D:$D,0))-$I$2</f>
        <v>7726.36</v>
      </c>
      <c r="AQ67" s="26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0.319</v>
      </c>
      <c r="AR67" s="26" cm="1">
        <f t="array" ref="AR67">$G$10+VLOOKUP($R67,武学奇术!$A:$ZZ,7,FALSE)+SUM(_xlfn.XLOOKUP(S67:AG67,增益!$A:$A,增益!$G:$G,0))</f>
        <v>0</v>
      </c>
      <c r="AS67" s="21" cm="1">
        <f t="array" ref="AS67">VLOOKUP($R67,武学奇术!$A:$ZZ,8,FALSE)+SUM(_xlfn.XLOOKUP(S67:AG67,增益!$A:$A,增益!$H:$H,0))</f>
        <v>0</v>
      </c>
      <c r="AT67">
        <f t="shared" si="12"/>
        <v>680.02</v>
      </c>
      <c r="AU67">
        <f t="shared" si="13"/>
        <v>1288.54</v>
      </c>
      <c r="AV67" s="26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0.075</v>
      </c>
      <c r="AW67" s="26" cm="1">
        <f t="array" ref="AW67">$G$11+VLOOKUP($R67,武学奇术!$A:$ZZ,10,FALSE)+SUM(_xlfn.XLOOKUP(S67:AG67,增益!$A:$A,增益!$J:$J,0))</f>
        <v>0.15</v>
      </c>
      <c r="AX67">
        <f t="shared" si="14"/>
        <v>0</v>
      </c>
      <c r="AY67">
        <f t="shared" si="15"/>
        <v>0</v>
      </c>
      <c r="AZ67" s="26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26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26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26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26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26" cm="1">
        <f t="array" ref="BI67">$G$14+VLOOKUP($R67,武学奇术!$A:$ZZ,16,FALSE)+SUM(_xlfn.XLOOKUP(S67:AG67,增益!$A:$A,增益!$P:$P,0))</f>
        <v>0</v>
      </c>
      <c r="BJ67" s="21">
        <f>MIN(IF(VLOOKUP($R67,武学奇术!$A:$ZZ,23,FALSE)=1,100%,$B$8),100%)</f>
        <v>0.8229</v>
      </c>
      <c r="BK67" s="21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0.2285</v>
      </c>
      <c r="BL67" s="21" cm="1">
        <f t="array" ref="BL67">1+$B$13+VLOOKUP($R67,武学奇术!$A:$ZZ,18,FALSE)+SUM(_xlfn.XLOOKUP(S67:AG67,增益!$A:$A,增益!$R:$R,0))</f>
        <v>1.5</v>
      </c>
      <c r="BM67" s="21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0.4495</v>
      </c>
      <c r="BN67" s="21" cm="1">
        <f t="array" ref="BN67">1+$B$14+VLOOKUP($R67,武学奇术!$A:$ZZ,20,FALSE)+SUM(_xlfn.XLOOKUP(S67:AG67,增益!$A:$A,增益!$T:$T,0))</f>
        <v>1.782</v>
      </c>
      <c r="BO67" s="21">
        <f t="shared" si="20"/>
        <v>0.18803265</v>
      </c>
      <c r="BP67" s="21">
        <f t="shared" si="21"/>
        <v>0.2649738</v>
      </c>
      <c r="BQ67" s="21">
        <f>IF(VLOOKUP($R67,武学奇术!$A:$ZZ,22,FALSE)=1,0,(1-$BJ67))*(1-$BM67)</f>
        <v>0.09749355</v>
      </c>
      <c r="BR67" s="21" cm="1">
        <f t="array" ref="BR67">SUM(_xlfn.XLOOKUP(S67:AG67,增益!$A:$A,增益!$W:$W,0))+$I$5</f>
        <v>0.16</v>
      </c>
    </row>
    <row r="68" spans="3:70">
      <c r="K68" s="24">
        <f>$L68*VLOOKUP($R68,武学奇术!$A:$ZZ,31,FALSE)</f>
        <v>17740.5197905327</v>
      </c>
      <c r="L68" s="24">
        <f t="shared" si="11"/>
        <v>17740.5197905327</v>
      </c>
      <c r="M68" s="2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流血",$B$21,0))*(1+$BR68)</f>
        <v>15571.0619460529</v>
      </c>
      <c r="N68" s="24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流血",$B$21,0))*(1+$BR68)</f>
        <v>25828.1822279379</v>
      </c>
      <c r="O68" s="24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流血",$B$21,0))*(1+$BR68)</f>
        <v>10380.7079640353</v>
      </c>
      <c r="P68" s="24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流血",$B$21,0))*(1+$BR68)</f>
        <v>4638.95511162995</v>
      </c>
      <c r="Q68" s="31">
        <v>1</v>
      </c>
      <c r="R68" s="32" t="s">
        <v>103</v>
      </c>
      <c r="S68" s="32" t="s">
        <v>87</v>
      </c>
      <c r="T68" s="32" t="s">
        <v>104</v>
      </c>
      <c r="U68" s="32" t="s">
        <v>73</v>
      </c>
      <c r="V68" s="32" t="s">
        <v>73</v>
      </c>
      <c r="W68" s="32" t="s">
        <v>73</v>
      </c>
      <c r="X68" s="32" t="s">
        <v>127</v>
      </c>
      <c r="Y68" s="32" t="s">
        <v>179</v>
      </c>
      <c r="Z68" s="32" t="s">
        <v>182</v>
      </c>
      <c r="AA68" s="32" t="s">
        <v>73</v>
      </c>
      <c r="AB68" s="32" t="s">
        <v>75</v>
      </c>
      <c r="AC68" s="32" t="s">
        <v>89</v>
      </c>
      <c r="AD68" s="32" t="s">
        <v>82</v>
      </c>
      <c r="AE68" s="32" t="s">
        <v>90</v>
      </c>
      <c r="AF68" s="32" t="s">
        <v>73</v>
      </c>
      <c r="AG68" s="32" t="s">
        <v>178</v>
      </c>
      <c r="AH68" t="str">
        <f>VLOOKUP($R68,武学奇术!$A:$ZZ,25,FALSE)</f>
        <v>剑</v>
      </c>
      <c r="AI68" s="21">
        <f>VLOOKUP($R68,武学奇术!$A:$ZZ,26,FALSE)</f>
        <v>0.625</v>
      </c>
      <c r="AJ68" s="22">
        <f>VLOOKUP($R68,武学奇术!$A:$ZZ,27,FALSE)*(1+IF(OR($AH68=$F$4,$AH68=$F$5),$B$22,0))</f>
        <v>0</v>
      </c>
      <c r="AK68" s="21">
        <f>VLOOKUP($R68,武学奇术!$A:$ZZ,28,FALSE)</f>
        <v>0.9375</v>
      </c>
      <c r="AL68" s="22">
        <f>VLOOKUP($R68,武学奇术!$A:$ZZ,29,FALSE)*(1+IF(OR($AH68=$F$4,$AH68=$F$5),$B$22,0))</f>
        <v>0</v>
      </c>
      <c r="AM68" s="21" cm="1">
        <f t="array" ref="AM68">$G$3+IFERROR(VLOOKUP($AH68,$F$4:$G$7,2,FALSE),0)+VLOOKUP($R68,武学奇术!$A:$ZZ,2,FALSE)+SUM(_xlfn.XLOOKUP($S68:$AG68,增益!$A:$A,增益!$B:$B,0))</f>
        <v>0.8791</v>
      </c>
      <c r="AN68" s="21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1794.28</v>
      </c>
      <c r="AP68" cm="1">
        <f t="array" ref="AP68">$E$10*(1+$AN68)+VLOOKUP($R68,武学奇术!$A:$ZZ,4,FALSE)+SUM(_xlfn.XLOOKUP($S68:$AG68,增益!$A:$A,增益!$D:$D,0))-$I$2</f>
        <v>7726.36</v>
      </c>
      <c r="AQ68" s="26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0.244</v>
      </c>
      <c r="AR68" s="26" cm="1">
        <f t="array" ref="AR68">$G$10+VLOOKUP($R68,武学奇术!$A:$ZZ,7,FALSE)+SUM(_xlfn.XLOOKUP(S68:AG68,增益!$A:$A,增益!$G:$G,0))</f>
        <v>0</v>
      </c>
      <c r="AS68" s="21" cm="1">
        <f t="array" ref="AS68">VLOOKUP($R68,武学奇术!$A:$ZZ,8,FALSE)+SUM(_xlfn.XLOOKUP(S68:AG68,增益!$A:$A,增益!$H:$H,0))</f>
        <v>0</v>
      </c>
      <c r="AT68">
        <f t="shared" si="12"/>
        <v>680.02</v>
      </c>
      <c r="AU68">
        <f t="shared" si="13"/>
        <v>1288.54</v>
      </c>
      <c r="AV68" s="26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</v>
      </c>
      <c r="AW68" s="26" cm="1">
        <f t="array" ref="AW68">$G$11+VLOOKUP($R68,武学奇术!$A:$ZZ,10,FALSE)+SUM(_xlfn.XLOOKUP(S68:AG68,增益!$A:$A,增益!$J:$J,0))</f>
        <v>0.15</v>
      </c>
      <c r="AX68">
        <f t="shared" si="14"/>
        <v>0</v>
      </c>
      <c r="AY68">
        <f t="shared" si="15"/>
        <v>0</v>
      </c>
      <c r="AZ68" s="26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26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26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26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26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26" cm="1">
        <f t="array" ref="BI68">$G$14+VLOOKUP($R68,武学奇术!$A:$ZZ,16,FALSE)+SUM(_xlfn.XLOOKUP(S68:AG68,增益!$A:$A,增益!$P:$P,0))</f>
        <v>0</v>
      </c>
      <c r="BJ68" s="21">
        <f>MIN(IF(VLOOKUP($R68,武学奇术!$A:$ZZ,23,FALSE)=1,100%,$B$8),100%)</f>
        <v>0.8229</v>
      </c>
      <c r="BK68" s="21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0.2285</v>
      </c>
      <c r="BL68" s="21" cm="1">
        <f t="array" ref="BL68">1+$B$13+VLOOKUP($R68,武学奇术!$A:$ZZ,18,FALSE)+SUM(_xlfn.XLOOKUP(S68:AG68,增益!$A:$A,增益!$R:$R,0))</f>
        <v>1.5</v>
      </c>
      <c r="BM68" s="21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0.4495</v>
      </c>
      <c r="BN68" s="21" cm="1">
        <f t="array" ref="BN68">1+$B$14+VLOOKUP($R68,武学奇术!$A:$ZZ,20,FALSE)+SUM(_xlfn.XLOOKUP(S68:AG68,增益!$A:$A,增益!$T:$T,0))</f>
        <v>1.602</v>
      </c>
      <c r="BO68" s="21">
        <f t="shared" si="20"/>
        <v>0.18803265</v>
      </c>
      <c r="BP68" s="21">
        <f t="shared" si="21"/>
        <v>0.2649738</v>
      </c>
      <c r="BQ68" s="21">
        <f>IF(VLOOKUP($R68,武学奇术!$A:$ZZ,22,FALSE)=1,0,(1-$BJ68))*(1-$BM68)</f>
        <v>0.09749355</v>
      </c>
      <c r="BR68" s="21" cm="1">
        <f t="array" ref="BR68">SUM(_xlfn.XLOOKUP(S68:AG68,增益!$A:$A,增益!$W:$W,0))+$I$5</f>
        <v>0.16</v>
      </c>
    </row>
    <row r="69" spans="3:70">
      <c r="K69" s="24">
        <f>$L69*VLOOKUP($R69,武学奇术!$A:$ZZ,31,FALSE)</f>
        <v>30482.4713937158</v>
      </c>
      <c r="L69" s="24">
        <f t="shared" si="11"/>
        <v>30482.4713937158</v>
      </c>
      <c r="M69" s="2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流血",$B$21,0))*(1+$BR69)</f>
        <v>27340.546537978</v>
      </c>
      <c r="N69" s="24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流血",$B$21,0))*(1+$BR69)</f>
        <v>43633.4932152596</v>
      </c>
      <c r="O69" s="24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流血",$B$21,0))*(1+$BR69)</f>
        <v>18227.0310253187</v>
      </c>
      <c r="P69" s="24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流血",$B$21,0))*(1+$BR69)</f>
        <v>9217.17490003834</v>
      </c>
      <c r="Q69" s="31">
        <v>1</v>
      </c>
      <c r="R69" s="32" t="s">
        <v>108</v>
      </c>
      <c r="S69" s="32" t="s">
        <v>87</v>
      </c>
      <c r="T69" s="32" t="s">
        <v>104</v>
      </c>
      <c r="U69" s="32" t="s">
        <v>73</v>
      </c>
      <c r="V69" s="32" t="s">
        <v>73</v>
      </c>
      <c r="W69" s="32" t="s">
        <v>73</v>
      </c>
      <c r="X69" s="32" t="s">
        <v>127</v>
      </c>
      <c r="Y69" s="32" t="s">
        <v>179</v>
      </c>
      <c r="Z69" s="32" t="s">
        <v>182</v>
      </c>
      <c r="AA69" s="32" t="s">
        <v>73</v>
      </c>
      <c r="AB69" s="32" t="s">
        <v>75</v>
      </c>
      <c r="AC69" s="32" t="s">
        <v>89</v>
      </c>
      <c r="AD69" s="32" t="s">
        <v>82</v>
      </c>
      <c r="AE69" s="32" t="s">
        <v>90</v>
      </c>
      <c r="AF69" s="32" t="s">
        <v>73</v>
      </c>
      <c r="AG69" s="32" t="s">
        <v>178</v>
      </c>
      <c r="AH69" t="str">
        <f>VLOOKUP($R69,武学奇术!$A:$ZZ,25,FALSE)</f>
        <v>枪</v>
      </c>
      <c r="AI69" s="21">
        <f>VLOOKUP($R69,武学奇术!$A:$ZZ,26,FALSE)</f>
        <v>1.02732</v>
      </c>
      <c r="AJ69" s="22">
        <f>VLOOKUP($R69,武学奇术!$A:$ZZ,27,FALSE)*(1+IF(OR($AH69=$F$4,$AH69=$F$5),$B$22,0))</f>
        <v>426.6</v>
      </c>
      <c r="AK69" s="21">
        <f>VLOOKUP($R69,武学奇术!$A:$ZZ,28,FALSE)</f>
        <v>1.54096</v>
      </c>
      <c r="AL69" s="22">
        <f>VLOOKUP($R69,武学奇术!$A:$ZZ,29,FALSE)*(1+IF(OR($AH69=$F$4,$AH69=$F$5),$B$22,0))</f>
        <v>232.2</v>
      </c>
      <c r="AM69" s="21" cm="1">
        <f t="array" ref="AM69">$G$3+IFERROR(VLOOKUP($AH69,$F$4:$G$7,2,FALSE),0)+VLOOKUP($R69,武学奇术!$A:$ZZ,2,FALSE)+SUM(_xlfn.XLOOKUP($S69:$AG69,增益!$A:$A,增益!$B:$B,0))</f>
        <v>0.7939</v>
      </c>
      <c r="AN69" s="21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1794.28</v>
      </c>
      <c r="AP69" cm="1">
        <f t="array" ref="AP69">$E$10*(1+$AN69)+VLOOKUP($R69,武学奇术!$A:$ZZ,4,FALSE)+SUM(_xlfn.XLOOKUP($S69:$AG69,增益!$A:$A,增益!$D:$D,0))-$I$2</f>
        <v>7726.36</v>
      </c>
      <c r="AQ69" s="26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0.244</v>
      </c>
      <c r="AR69" s="26" cm="1">
        <f t="array" ref="AR69">$G$10+VLOOKUP($R69,武学奇术!$A:$ZZ,7,FALSE)+SUM(_xlfn.XLOOKUP(S69:AG69,增益!$A:$A,增益!$G:$G,0))</f>
        <v>0</v>
      </c>
      <c r="AS69" s="21" cm="1">
        <f t="array" ref="AS69">VLOOKUP($R69,武学奇术!$A:$ZZ,8,FALSE)+SUM(_xlfn.XLOOKUP(S69:AG69,增益!$A:$A,增益!$H:$H,0))</f>
        <v>0</v>
      </c>
      <c r="AT69">
        <f t="shared" si="12"/>
        <v>680.02</v>
      </c>
      <c r="AU69">
        <f t="shared" si="13"/>
        <v>1288.54</v>
      </c>
      <c r="AV69" s="26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</v>
      </c>
      <c r="AW69" s="26" cm="1">
        <f t="array" ref="AW69">$G$11+VLOOKUP($R69,武学奇术!$A:$ZZ,10,FALSE)+SUM(_xlfn.XLOOKUP(S69:AG69,增益!$A:$A,增益!$J:$J,0))</f>
        <v>0.15</v>
      </c>
      <c r="AX69">
        <f t="shared" si="14"/>
        <v>0</v>
      </c>
      <c r="AY69">
        <f t="shared" si="15"/>
        <v>0</v>
      </c>
      <c r="AZ69" s="26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26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26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26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26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26" cm="1">
        <f t="array" ref="BI69">$G$14+VLOOKUP($R69,武学奇术!$A:$ZZ,16,FALSE)+SUM(_xlfn.XLOOKUP(S69:AG69,增益!$A:$A,增益!$P:$P,0))</f>
        <v>0</v>
      </c>
      <c r="BJ69" s="21">
        <f>MIN(IF(VLOOKUP($R69,武学奇术!$A:$ZZ,23,FALSE)=1,100%,$B$8),100%)</f>
        <v>0.8229</v>
      </c>
      <c r="BK69" s="21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0.2285</v>
      </c>
      <c r="BL69" s="21" cm="1">
        <f t="array" ref="BL69">1+$B$13+VLOOKUP($R69,武学奇术!$A:$ZZ,18,FALSE)+SUM(_xlfn.XLOOKUP(S69:AG69,增益!$A:$A,增益!$R:$R,0))</f>
        <v>1.5</v>
      </c>
      <c r="BM69" s="21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0.4495</v>
      </c>
      <c r="BN69" s="21" cm="1">
        <f t="array" ref="BN69">1+$B$14+VLOOKUP($R69,武学奇术!$A:$ZZ,20,FALSE)+SUM(_xlfn.XLOOKUP(S69:AG69,增益!$A:$A,增益!$T:$T,0))</f>
        <v>1.602</v>
      </c>
      <c r="BO69" s="21">
        <f t="shared" si="20"/>
        <v>0.18803265</v>
      </c>
      <c r="BP69" s="21">
        <f t="shared" si="21"/>
        <v>0.2649738</v>
      </c>
      <c r="BQ69" s="21">
        <f>IF(VLOOKUP($R69,武学奇术!$A:$ZZ,22,FALSE)=1,0,(1-$BJ69))*(1-$BM69)</f>
        <v>0.09749355</v>
      </c>
      <c r="BR69" s="21" cm="1">
        <f t="array" ref="BR69">SUM(_xlfn.XLOOKUP(S69:AG69,增益!$A:$A,增益!$W:$W,0))+$I$5</f>
        <v>0.16</v>
      </c>
    </row>
    <row r="70" spans="3:70">
      <c r="K70" s="24">
        <f>$L70*VLOOKUP($R70,武学奇术!$A:$ZZ,31,FALSE)</f>
        <v>90833.6770993509</v>
      </c>
      <c r="L70" s="24">
        <f t="shared" si="11"/>
        <v>151389.461832251</v>
      </c>
      <c r="M70" s="2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流血",$B$21,0))*(1+$BR70)</f>
        <v>123942.598583393</v>
      </c>
      <c r="N70" s="24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流血",$B$21,0))*(1+$BR70)</f>
        <v>228167.92733068</v>
      </c>
      <c r="O70" s="24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流血",$B$21,0))*(1+$BR70)</f>
        <v>82628.3990555951</v>
      </c>
      <c r="P70" s="24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流血",$B$21,0))*(1+$BR70)</f>
        <v>37216.4348504271</v>
      </c>
      <c r="Q70" s="31">
        <v>1</v>
      </c>
      <c r="R70" s="32" t="s">
        <v>95</v>
      </c>
      <c r="S70" s="32" t="s">
        <v>87</v>
      </c>
      <c r="T70" s="32" t="s">
        <v>96</v>
      </c>
      <c r="U70" s="32" t="s">
        <v>97</v>
      </c>
      <c r="V70" s="32" t="s">
        <v>98</v>
      </c>
      <c r="W70" s="32" t="s">
        <v>111</v>
      </c>
      <c r="X70" s="32" t="s">
        <v>127</v>
      </c>
      <c r="Y70" s="32" t="s">
        <v>179</v>
      </c>
      <c r="Z70" s="32" t="s">
        <v>182</v>
      </c>
      <c r="AA70" s="32" t="s">
        <v>73</v>
      </c>
      <c r="AB70" s="32" t="s">
        <v>75</v>
      </c>
      <c r="AC70" s="32" t="s">
        <v>89</v>
      </c>
      <c r="AD70" s="32" t="s">
        <v>82</v>
      </c>
      <c r="AE70" s="32" t="s">
        <v>90</v>
      </c>
      <c r="AF70" s="32" t="s">
        <v>73</v>
      </c>
      <c r="AG70" s="32" t="s">
        <v>178</v>
      </c>
      <c r="AH70" t="str">
        <f>VLOOKUP($R70,武学奇术!$A:$ZZ,25,FALSE)</f>
        <v>剑</v>
      </c>
      <c r="AI70" s="21">
        <f>VLOOKUP($R70,武学奇术!$A:$ZZ,26,FALSE)</f>
        <v>2.52</v>
      </c>
      <c r="AJ70" s="22">
        <f>VLOOKUP($R70,武学奇术!$A:$ZZ,27,FALSE)*(1+IF(OR($AH70=$F$4,$AH70=$F$5),$B$22,0))</f>
        <v>0</v>
      </c>
      <c r="AK70" s="21">
        <f>VLOOKUP($R70,武学奇术!$A:$ZZ,28,FALSE)</f>
        <v>3.78</v>
      </c>
      <c r="AL70" s="22">
        <f>VLOOKUP($R70,武学奇术!$A:$ZZ,29,FALSE)*(1+IF(OR($AH70=$F$4,$AH70=$F$5),$B$22,0))</f>
        <v>0</v>
      </c>
      <c r="AM70" s="21" cm="1">
        <f t="array" ref="AM70">$G$3+IFERROR(VLOOKUP($AH70,$F$4:$G$7,2,FALSE),0)+VLOOKUP($R70,武学奇术!$A:$ZZ,2,FALSE)+SUM(_xlfn.XLOOKUP($S70:$AG70,增益!$A:$A,增益!$B:$B,0))</f>
        <v>1.6291</v>
      </c>
      <c r="AN70" s="21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1825.28</v>
      </c>
      <c r="AP70" cm="1">
        <f t="array" ref="AP70">$E$10*(1+$AN70)+VLOOKUP($R70,武学奇术!$A:$ZZ,4,FALSE)+SUM(_xlfn.XLOOKUP($S70:$AG70,增益!$A:$A,增益!$D:$D,0))-$I$2</f>
        <v>7757.36</v>
      </c>
      <c r="AQ70" s="26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0.319</v>
      </c>
      <c r="AR70" s="26" cm="1">
        <f t="array" ref="AR70">$G$10+VLOOKUP($R70,武学奇术!$A:$ZZ,7,FALSE)+SUM(_xlfn.XLOOKUP(S70:AG70,增益!$A:$A,增益!$G:$G,0))</f>
        <v>0</v>
      </c>
      <c r="AS70" s="21" cm="1">
        <f t="array" ref="AS70">VLOOKUP($R70,武学奇术!$A:$ZZ,8,FALSE)+SUM(_xlfn.XLOOKUP(S70:AG70,增益!$A:$A,增益!$H:$H,0))</f>
        <v>0</v>
      </c>
      <c r="AT70">
        <f t="shared" si="12"/>
        <v>680.02</v>
      </c>
      <c r="AU70">
        <f t="shared" si="13"/>
        <v>1288.54</v>
      </c>
      <c r="AV70" s="26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0.075</v>
      </c>
      <c r="AW70" s="26" cm="1">
        <f t="array" ref="AW70">$G$11+VLOOKUP($R70,武学奇术!$A:$ZZ,10,FALSE)+SUM(_xlfn.XLOOKUP(S70:AG70,增益!$A:$A,增益!$J:$J,0))</f>
        <v>0.15</v>
      </c>
      <c r="AX70">
        <f t="shared" si="14"/>
        <v>0</v>
      </c>
      <c r="AY70">
        <f t="shared" si="15"/>
        <v>0</v>
      </c>
      <c r="AZ70" s="26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26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26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26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26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26" cm="1">
        <f t="array" ref="BI70">$G$14+VLOOKUP($R70,武学奇术!$A:$ZZ,16,FALSE)+SUM(_xlfn.XLOOKUP(S70:AG70,增益!$A:$A,增益!$P:$P,0))</f>
        <v>0</v>
      </c>
      <c r="BJ70" s="21">
        <f>MIN(IF(VLOOKUP($R70,武学奇术!$A:$ZZ,23,FALSE)=1,100%,$B$8),100%)</f>
        <v>0.8229</v>
      </c>
      <c r="BK70" s="21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0.2285</v>
      </c>
      <c r="BL70" s="21" cm="1">
        <f t="array" ref="BL70">1+$B$13+VLOOKUP($R70,武学奇术!$A:$ZZ,18,FALSE)+SUM(_xlfn.XLOOKUP(S70:AG70,增益!$A:$A,增益!$R:$R,0))</f>
        <v>1.5</v>
      </c>
      <c r="BM70" s="21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0.4495</v>
      </c>
      <c r="BN70" s="21" cm="1">
        <f t="array" ref="BN70">1+$B$14+VLOOKUP($R70,武学奇术!$A:$ZZ,20,FALSE)+SUM(_xlfn.XLOOKUP(S70:AG70,增益!$A:$A,增益!$T:$T,0))</f>
        <v>1.782</v>
      </c>
      <c r="BO70" s="21">
        <f t="shared" si="20"/>
        <v>0.18803265</v>
      </c>
      <c r="BP70" s="21">
        <f t="shared" si="21"/>
        <v>0.2649738</v>
      </c>
      <c r="BQ70" s="21">
        <f>IF(VLOOKUP($R70,武学奇术!$A:$ZZ,22,FALSE)=1,0,(1-$BJ70))*(1-$BM70)</f>
        <v>0.09749355</v>
      </c>
      <c r="BR70" s="21" cm="1">
        <f t="array" ref="BR70">SUM(_xlfn.XLOOKUP(S70:AG70,增益!$A:$A,增益!$W:$W,0))+$I$5</f>
        <v>0.16</v>
      </c>
    </row>
    <row r="71" spans="3:70">
      <c r="K71" s="24">
        <f>$L71*VLOOKUP($R71,武学奇术!$A:$ZZ,31,FALSE)</f>
        <v>0</v>
      </c>
      <c r="L71" s="24">
        <f t="shared" si="11"/>
        <v>0</v>
      </c>
      <c r="M71" s="2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流血",$B$21,0))*(1+$BR71)</f>
        <v>0</v>
      </c>
      <c r="N71" s="24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流血",$B$21,0))*(1+$BR71)</f>
        <v>0</v>
      </c>
      <c r="O71" s="24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流血",$B$21,0))*(1+$BR71)</f>
        <v>0</v>
      </c>
      <c r="P71" s="24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流血",$B$21,0))*(1+$BR71)</f>
        <v>0</v>
      </c>
      <c r="Q71" s="31">
        <v>1</v>
      </c>
      <c r="R71" s="32" t="s">
        <v>73</v>
      </c>
      <c r="S71" s="32" t="s">
        <v>73</v>
      </c>
      <c r="T71" s="32" t="s">
        <v>73</v>
      </c>
      <c r="U71" s="32" t="s">
        <v>73</v>
      </c>
      <c r="V71" s="32" t="s">
        <v>73</v>
      </c>
      <c r="W71" s="32" t="s">
        <v>73</v>
      </c>
      <c r="X71" s="32" t="s">
        <v>73</v>
      </c>
      <c r="Y71" s="32" t="s">
        <v>73</v>
      </c>
      <c r="Z71" s="32" t="s">
        <v>73</v>
      </c>
      <c r="AA71" s="32" t="s">
        <v>73</v>
      </c>
      <c r="AB71" s="32" t="s">
        <v>73</v>
      </c>
      <c r="AC71" s="32" t="s">
        <v>73</v>
      </c>
      <c r="AD71" s="32" t="s">
        <v>73</v>
      </c>
      <c r="AE71" s="32" t="s">
        <v>73</v>
      </c>
      <c r="AF71" s="32" t="s">
        <v>73</v>
      </c>
      <c r="AG71" s="32" t="s">
        <v>73</v>
      </c>
      <c r="AH71" t="str">
        <f>VLOOKUP($R71,武学奇术!$A:$ZZ,25,FALSE)</f>
        <v>心法</v>
      </c>
      <c r="AI71" s="21">
        <f>VLOOKUP($R71,武学奇术!$A:$ZZ,26,FALSE)</f>
        <v>0</v>
      </c>
      <c r="AJ71" s="22">
        <f>VLOOKUP($R71,武学奇术!$A:$ZZ,27,FALSE)*(1+IF(OR($AH71=$F$4,$AH71=$F$5),$B$22,0))</f>
        <v>0</v>
      </c>
      <c r="AK71" s="21">
        <f>VLOOKUP($R71,武学奇术!$A:$ZZ,28,FALSE)</f>
        <v>0</v>
      </c>
      <c r="AL71" s="22">
        <f>VLOOKUP($R71,武学奇术!$A:$ZZ,29,FALSE)*(1+IF(OR($AH71=$F$4,$AH71=$F$5),$B$22,0))</f>
        <v>0</v>
      </c>
      <c r="AM71" s="21" cm="1">
        <f t="array" ref="AM71">$G$3+IFERROR(VLOOKUP($AH71,$F$4:$G$7,2,FALSE),0)+VLOOKUP($R71,武学奇术!$A:$ZZ,2,FALSE)+SUM(_xlfn.XLOOKUP($S71:$AG71,增益!$A:$A,增益!$B:$B,0))</f>
        <v>0.1042</v>
      </c>
      <c r="AN71" s="21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1794.28</v>
      </c>
      <c r="AP71" cm="1">
        <f t="array" ref="AP71">$E$10*(1+$AN71)+VLOOKUP($R71,武学奇术!$A:$ZZ,4,FALSE)+SUM(_xlfn.XLOOKUP($S71:$AG71,增益!$A:$A,增益!$D:$D,0))-$I$2</f>
        <v>7726.36</v>
      </c>
      <c r="AQ71" s="26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0.194</v>
      </c>
      <c r="AR71" s="26" cm="1">
        <f t="array" ref="AR71">$G$10+VLOOKUP($R71,武学奇术!$A:$ZZ,7,FALSE)+SUM(_xlfn.XLOOKUP(S71:AG71,增益!$A:$A,增益!$G:$G,0))</f>
        <v>0</v>
      </c>
      <c r="AS71" s="21" cm="1">
        <f t="array" ref="AS71">VLOOKUP($R71,武学奇术!$A:$ZZ,8,FALSE)+SUM(_xlfn.XLOOKUP(S71:AG71,增益!$A:$A,增益!$H:$H,0))</f>
        <v>0</v>
      </c>
      <c r="AT71">
        <f t="shared" si="12"/>
        <v>680.02</v>
      </c>
      <c r="AU71">
        <f t="shared" si="13"/>
        <v>1288.54</v>
      </c>
      <c r="AV71" s="26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</v>
      </c>
      <c r="AW71" s="26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26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26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26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26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26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26" cm="1">
        <f t="array" ref="BI71">$G$14+VLOOKUP($R71,武学奇术!$A:$ZZ,16,FALSE)+SUM(_xlfn.XLOOKUP(S71:AG71,增益!$A:$A,增益!$P:$P,0))</f>
        <v>0</v>
      </c>
      <c r="BJ71" s="21">
        <f>MIN(IF(VLOOKUP($R71,武学奇术!$A:$ZZ,23,FALSE)=1,100%,$B$8),100%)</f>
        <v>0.8229</v>
      </c>
      <c r="BK71" s="21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0.2285</v>
      </c>
      <c r="BL71" s="21" cm="1">
        <f t="array" ref="BL71">1+$B$13+VLOOKUP($R71,武学奇术!$A:$ZZ,18,FALSE)+SUM(_xlfn.XLOOKUP(S71:AG71,增益!$A:$A,增益!$R:$R,0))</f>
        <v>1.5</v>
      </c>
      <c r="BM71" s="21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0.4195</v>
      </c>
      <c r="BN71" s="21" cm="1">
        <f t="array" ref="BN71">1+$B$14+VLOOKUP($R71,武学奇术!$A:$ZZ,20,FALSE)+SUM(_xlfn.XLOOKUP(S71:AG71,增益!$A:$A,增益!$T:$T,0))</f>
        <v>1.402</v>
      </c>
      <c r="BO71" s="21">
        <f t="shared" si="20"/>
        <v>0.18803265</v>
      </c>
      <c r="BP71" s="21">
        <f t="shared" si="21"/>
        <v>0.2896608</v>
      </c>
      <c r="BQ71" s="21">
        <f>IF(VLOOKUP($R71,武学奇术!$A:$ZZ,22,FALSE)=1,0,(1-$BJ71))*(1-$BM71)</f>
        <v>0.10280655</v>
      </c>
      <c r="BR71" s="21" cm="1">
        <f t="array" ref="BR71">SUM(_xlfn.XLOOKUP(S71:AG71,增益!$A:$A,增益!$W:$W,0))+$I$5</f>
        <v>0.06</v>
      </c>
    </row>
    <row r="72" spans="3:70">
      <c r="K72" s="24">
        <f>$L72*VLOOKUP($R72,武学奇术!$A:$ZZ,31,FALSE)</f>
        <v>90448.0423709627</v>
      </c>
      <c r="L72" s="24">
        <f t="shared" si="11"/>
        <v>90448.0423709627</v>
      </c>
      <c r="M72" s="2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流血",$B$21,0))*(1+$BR72)</f>
        <v>79884.3805989165</v>
      </c>
      <c r="N72" s="24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流血",$B$21,0))*(1+$BR72)</f>
        <v>131049.390373578</v>
      </c>
      <c r="O72" s="24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流血",$B$21,0))*(1+$BR72)</f>
        <v>53256.253732611</v>
      </c>
      <c r="P72" s="24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流血",$B$21,0))*(1+$BR72)</f>
        <v>24708.8929998174</v>
      </c>
      <c r="Q72" s="31">
        <v>1</v>
      </c>
      <c r="R72" s="32" t="s">
        <v>187</v>
      </c>
      <c r="S72" s="32" t="s">
        <v>87</v>
      </c>
      <c r="T72" s="32" t="s">
        <v>104</v>
      </c>
      <c r="U72" s="32" t="s">
        <v>73</v>
      </c>
      <c r="V72" s="32" t="s">
        <v>73</v>
      </c>
      <c r="W72" s="32" t="s">
        <v>73</v>
      </c>
      <c r="X72" s="32" t="s">
        <v>127</v>
      </c>
      <c r="Y72" s="32" t="s">
        <v>73</v>
      </c>
      <c r="Z72" s="32" t="s">
        <v>73</v>
      </c>
      <c r="AA72" s="32" t="s">
        <v>73</v>
      </c>
      <c r="AB72" s="32" t="s">
        <v>75</v>
      </c>
      <c r="AC72" s="32" t="s">
        <v>76</v>
      </c>
      <c r="AD72" s="32" t="s">
        <v>82</v>
      </c>
      <c r="AE72" s="32" t="s">
        <v>73</v>
      </c>
      <c r="AF72" s="32" t="s">
        <v>73</v>
      </c>
      <c r="AG72" s="32" t="s">
        <v>178</v>
      </c>
      <c r="AH72" t="str">
        <f>VLOOKUP($R72,武学奇术!$A:$ZZ,25,FALSE)</f>
        <v>单体奇术</v>
      </c>
      <c r="AI72" s="21">
        <f>VLOOKUP($R72,武学奇术!$A:$ZZ,26,FALSE)</f>
        <v>3.9863</v>
      </c>
      <c r="AJ72" s="22">
        <f>VLOOKUP($R72,武学奇术!$A:$ZZ,27,FALSE)*(1+IF(OR($AH72=$F$4,$AH72=$F$5),$B$22,0))</f>
        <v>778</v>
      </c>
      <c r="AK72" s="21">
        <f>VLOOKUP($R72,武学奇术!$A:$ZZ,28,FALSE)</f>
        <v>5.97945</v>
      </c>
      <c r="AL72" s="22">
        <f>VLOOKUP($R72,武学奇术!$A:$ZZ,29,FALSE)*(1+IF(OR($AH72=$F$4,$AH72=$F$5),$B$22,0))</f>
        <v>0</v>
      </c>
      <c r="AM72" s="21" cm="1">
        <f t="array" ref="AM72">$G$3+IFERROR(VLOOKUP($AH72,$F$4:$G$7,2,FALSE),0)+VLOOKUP($R72,武学奇术!$A:$ZZ,2,FALSE)+SUM(_xlfn.XLOOKUP($S72:$AG72,增益!$A:$A,增益!$B:$B,0))</f>
        <v>0.603</v>
      </c>
      <c r="AN72" s="21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1794.28</v>
      </c>
      <c r="AP72" cm="1">
        <f t="array" ref="AP72">$E$10*(1+$AN72)+VLOOKUP($R72,武学奇术!$A:$ZZ,4,FALSE)+SUM(_xlfn.XLOOKUP($S72:$AG72,增益!$A:$A,增益!$D:$D,0))-$I$2</f>
        <v>7726.36</v>
      </c>
      <c r="AQ72" s="26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0.244</v>
      </c>
      <c r="AR72" s="26" cm="1">
        <f t="array" ref="AR72">$G$10+VLOOKUP($R72,武学奇术!$A:$ZZ,7,FALSE)+SUM(_xlfn.XLOOKUP(S72:AG72,增益!$A:$A,增益!$G:$G,0))</f>
        <v>0</v>
      </c>
      <c r="AS72" s="21" cm="1">
        <f t="array" ref="AS72">VLOOKUP($R72,武学奇术!$A:$ZZ,8,FALSE)+SUM(_xlfn.XLOOKUP(S72:AG72,增益!$A:$A,增益!$H:$H,0))</f>
        <v>0</v>
      </c>
      <c r="AT72">
        <f t="shared" si="12"/>
        <v>680.02</v>
      </c>
      <c r="AU72">
        <f t="shared" si="13"/>
        <v>1288.54</v>
      </c>
      <c r="AV72" s="26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</v>
      </c>
      <c r="AW72" s="26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26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26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26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26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26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26" cm="1">
        <f t="array" ref="BI72">$G$14+VLOOKUP($R72,武学奇术!$A:$ZZ,16,FALSE)+SUM(_xlfn.XLOOKUP(S72:AG72,增益!$A:$A,增益!$P:$P,0))</f>
        <v>0</v>
      </c>
      <c r="BJ72" s="21">
        <f>MIN(IF(VLOOKUP($R72,武学奇术!$A:$ZZ,23,FALSE)=1,100%,$B$8),100%)</f>
        <v>0.8229</v>
      </c>
      <c r="BK72" s="21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0.2285</v>
      </c>
      <c r="BL72" s="21" cm="1">
        <f t="array" ref="BL72">1+$B$13+VLOOKUP($R72,武学奇术!$A:$ZZ,18,FALSE)+SUM(_xlfn.XLOOKUP(S72:AG72,增益!$A:$A,增益!$R:$R,0))</f>
        <v>1.5</v>
      </c>
      <c r="BM72" s="21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0.4495</v>
      </c>
      <c r="BN72" s="21" cm="1">
        <f t="array" ref="BN72">1+$B$14+VLOOKUP($R72,武学奇术!$A:$ZZ,20,FALSE)+SUM(_xlfn.XLOOKUP(S72:AG72,增益!$A:$A,增益!$T:$T,0))</f>
        <v>1.602</v>
      </c>
      <c r="BO72" s="21">
        <f t="shared" si="20"/>
        <v>0.18803265</v>
      </c>
      <c r="BP72" s="21">
        <f t="shared" si="21"/>
        <v>0.2649738</v>
      </c>
      <c r="BQ72" s="21">
        <f>IF(VLOOKUP($R72,武学奇术!$A:$ZZ,22,FALSE)=1,0,(1-$BJ72))*(1-$BM72)</f>
        <v>0.09749355</v>
      </c>
      <c r="BR72" s="21" cm="1">
        <f t="array" ref="BR72">SUM(_xlfn.XLOOKUP(S72:AG72,增益!$A:$A,增益!$W:$W,0))+$I$5</f>
        <v>0.06</v>
      </c>
    </row>
    <row r="73" spans="3:70">
      <c r="K73" s="24">
        <f>$L73*VLOOKUP($R73,武学奇术!$A:$ZZ,31,FALSE)</f>
        <v>29182.8847708023</v>
      </c>
      <c r="L73" s="24">
        <f t="shared" si="11"/>
        <v>29182.8847708023</v>
      </c>
      <c r="M73" s="2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流血",$B$21,0))*(1+$BR73)</f>
        <v>26174.1553151091</v>
      </c>
      <c r="N73" s="24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流血",$B$21,0))*(1+$BR73)</f>
        <v>41774.1909144968</v>
      </c>
      <c r="O73" s="24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流血",$B$21,0))*(1+$BR73)</f>
        <v>17449.4368767394</v>
      </c>
      <c r="P73" s="24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流血",$B$21,0))*(1+$BR73)</f>
        <v>8822.59977439212</v>
      </c>
      <c r="Q73" s="31">
        <v>1</v>
      </c>
      <c r="R73" s="32" t="s">
        <v>86</v>
      </c>
      <c r="S73" s="32" t="s">
        <v>87</v>
      </c>
      <c r="T73" s="32" t="s">
        <v>104</v>
      </c>
      <c r="U73" s="32" t="s">
        <v>73</v>
      </c>
      <c r="V73" s="32" t="s">
        <v>73</v>
      </c>
      <c r="W73" s="32" t="s">
        <v>73</v>
      </c>
      <c r="X73" s="32" t="s">
        <v>127</v>
      </c>
      <c r="Y73" s="32" t="s">
        <v>73</v>
      </c>
      <c r="Z73" s="32" t="s">
        <v>73</v>
      </c>
      <c r="AA73" s="32" t="s">
        <v>81</v>
      </c>
      <c r="AB73" s="32" t="s">
        <v>75</v>
      </c>
      <c r="AC73" s="32" t="s">
        <v>76</v>
      </c>
      <c r="AD73" s="32" t="s">
        <v>82</v>
      </c>
      <c r="AE73" s="32" t="s">
        <v>73</v>
      </c>
      <c r="AF73" s="32" t="s">
        <v>73</v>
      </c>
      <c r="AG73" s="32" t="s">
        <v>178</v>
      </c>
      <c r="AH73" t="str">
        <f>VLOOKUP($R73,武学奇术!$A:$ZZ,25,FALSE)</f>
        <v>剑</v>
      </c>
      <c r="AI73" s="21">
        <f>VLOOKUP($R73,武学奇术!$A:$ZZ,26,FALSE)</f>
        <v>1.1781</v>
      </c>
      <c r="AJ73" s="22">
        <f>VLOOKUP($R73,武学奇术!$A:$ZZ,27,FALSE)*(1+IF(OR($AH73=$F$4,$AH73=$F$5),$B$22,0))</f>
        <v>489</v>
      </c>
      <c r="AK73" s="21">
        <f>VLOOKUP($R73,武学奇术!$A:$ZZ,28,FALSE)</f>
        <v>1.7672</v>
      </c>
      <c r="AL73" s="22">
        <f>VLOOKUP($R73,武学奇术!$A:$ZZ,29,FALSE)*(1+IF(OR($AH73=$F$4,$AH73=$F$5),$B$22,0))</f>
        <v>265.5</v>
      </c>
      <c r="AM73" s="21" cm="1">
        <f t="array" ref="AM73">$G$3+IFERROR(VLOOKUP($AH73,$F$4:$G$7,2,FALSE),0)+VLOOKUP($R73,武学奇术!$A:$ZZ,2,FALSE)+SUM(_xlfn.XLOOKUP($S73:$AG73,增益!$A:$A,增益!$B:$B,0))</f>
        <v>0.6391</v>
      </c>
      <c r="AN73" s="21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1794.28</v>
      </c>
      <c r="AP73" cm="1">
        <f t="array" ref="AP73">$E$10*(1+$AN73)+VLOOKUP($R73,武学奇术!$A:$ZZ,4,FALSE)+SUM(_xlfn.XLOOKUP($S73:$AG73,增益!$A:$A,增益!$D:$D,0))-$I$2</f>
        <v>7726.36</v>
      </c>
      <c r="AQ73" s="26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0.244</v>
      </c>
      <c r="AR73" s="26" cm="1">
        <f t="array" ref="AR73">$G$10+VLOOKUP($R73,武学奇术!$A:$ZZ,7,FALSE)+SUM(_xlfn.XLOOKUP(S73:AG73,增益!$A:$A,增益!$G:$G,0))</f>
        <v>0</v>
      </c>
      <c r="AS73" s="21" cm="1">
        <f t="array" ref="AS73">VLOOKUP($R73,武学奇术!$A:$ZZ,8,FALSE)+SUM(_xlfn.XLOOKUP(S73:AG73,增益!$A:$A,增益!$H:$H,0))</f>
        <v>0</v>
      </c>
      <c r="AT73">
        <f t="shared" si="12"/>
        <v>680.02</v>
      </c>
      <c r="AU73">
        <f t="shared" si="13"/>
        <v>1288.54</v>
      </c>
      <c r="AV73" s="26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</v>
      </c>
      <c r="AW73" s="26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26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26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26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26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26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26" cm="1">
        <f t="array" ref="BI73">$G$14+VLOOKUP($R73,武学奇术!$A:$ZZ,16,FALSE)+SUM(_xlfn.XLOOKUP(S73:AG73,增益!$A:$A,增益!$P:$P,0))</f>
        <v>0</v>
      </c>
      <c r="BJ73" s="21">
        <f>MIN(IF(VLOOKUP($R73,武学奇术!$A:$ZZ,23,FALSE)=1,100%,$B$8),100%)</f>
        <v>0.8229</v>
      </c>
      <c r="BK73" s="21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0.2285</v>
      </c>
      <c r="BL73" s="21" cm="1">
        <f t="array" ref="BL73">1+$B$13+VLOOKUP($R73,武学奇术!$A:$ZZ,18,FALSE)+SUM(_xlfn.XLOOKUP(S73:AG73,增益!$A:$A,增益!$R:$R,0))</f>
        <v>1.5</v>
      </c>
      <c r="BM73" s="21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0.4495</v>
      </c>
      <c r="BN73" s="21" cm="1">
        <f t="array" ref="BN73">1+$B$14+VLOOKUP($R73,武学奇术!$A:$ZZ,20,FALSE)+SUM(_xlfn.XLOOKUP(S73:AG73,增益!$A:$A,增益!$T:$T,0))</f>
        <v>1.602</v>
      </c>
      <c r="BO73" s="21">
        <f t="shared" si="20"/>
        <v>0.18803265</v>
      </c>
      <c r="BP73" s="21">
        <f t="shared" si="21"/>
        <v>0.2649738</v>
      </c>
      <c r="BQ73" s="21">
        <f>IF(VLOOKUP($R73,武学奇术!$A:$ZZ,22,FALSE)=1,0,(1-$BJ73))*(1-$BM73)</f>
        <v>0.09749355</v>
      </c>
      <c r="BR73" s="21" cm="1">
        <f t="array" ref="BR73">SUM(_xlfn.XLOOKUP(S73:AG73,增益!$A:$A,增益!$W:$W,0))+$I$5</f>
        <v>0.06</v>
      </c>
    </row>
    <row r="74" spans="3:70">
      <c r="K74" s="24">
        <f>$L74*VLOOKUP($R74,武学奇术!$A:$ZZ,31,FALSE)</f>
        <v>113310.902151609</v>
      </c>
      <c r="L74" s="24">
        <f t="shared" si="11"/>
        <v>188851.503586015</v>
      </c>
      <c r="M74" s="2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流血",$B$21,0))*(1+$BR74)</f>
        <v>102402.363859914</v>
      </c>
      <c r="N74" s="24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流血",$B$21,0))*(1+$BR74)</f>
        <v>188851.503586015</v>
      </c>
      <c r="O74" s="24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流血",$B$21,0))*(1+$BR74)</f>
        <v>68268.242573276</v>
      </c>
      <c r="P74" s="24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流血",$B$21,0))*(1+$BR74)</f>
        <v>30559.2104069253</v>
      </c>
      <c r="Q74" s="31">
        <v>1</v>
      </c>
      <c r="R74" s="32" t="s">
        <v>120</v>
      </c>
      <c r="S74" s="32" t="s">
        <v>87</v>
      </c>
      <c r="T74" s="32" t="s">
        <v>96</v>
      </c>
      <c r="U74" s="32" t="s">
        <v>97</v>
      </c>
      <c r="V74" s="32" t="s">
        <v>98</v>
      </c>
      <c r="W74" s="32" t="s">
        <v>73</v>
      </c>
      <c r="X74" s="32" t="s">
        <v>127</v>
      </c>
      <c r="Y74" s="32" t="s">
        <v>73</v>
      </c>
      <c r="Z74" s="32" t="s">
        <v>73</v>
      </c>
      <c r="AA74" s="32" t="s">
        <v>81</v>
      </c>
      <c r="AB74" s="32" t="s">
        <v>75</v>
      </c>
      <c r="AC74" s="32" t="s">
        <v>76</v>
      </c>
      <c r="AD74" s="32" t="s">
        <v>82</v>
      </c>
      <c r="AE74" s="32" t="s">
        <v>73</v>
      </c>
      <c r="AF74" s="32" t="s">
        <v>73</v>
      </c>
      <c r="AG74" s="32" t="s">
        <v>178</v>
      </c>
      <c r="AH74" t="str">
        <f>VLOOKUP($R74,武学奇术!$A:$ZZ,25,FALSE)</f>
        <v>剑</v>
      </c>
      <c r="AI74" s="21">
        <f>VLOOKUP($R74,武学奇术!$A:$ZZ,26,FALSE)</f>
        <v>2.52</v>
      </c>
      <c r="AJ74" s="22">
        <f>VLOOKUP($R74,武学奇术!$A:$ZZ,27,FALSE)*(1+IF(OR($AH74=$F$4,$AH74=$F$5),$B$22,0))</f>
        <v>0</v>
      </c>
      <c r="AK74" s="21">
        <f>VLOOKUP($R74,武学奇术!$A:$ZZ,28,FALSE)</f>
        <v>3.78</v>
      </c>
      <c r="AL74" s="22">
        <f>VLOOKUP($R74,武学奇术!$A:$ZZ,29,FALSE)*(1+IF(OR($AH74=$F$4,$AH74=$F$5),$B$22,0))</f>
        <v>0</v>
      </c>
      <c r="AM74" s="21" cm="1">
        <f t="array" ref="AM74">$G$3+IFERROR(VLOOKUP($AH74,$F$4:$G$7,2,FALSE),0)+VLOOKUP($R74,武学奇术!$A:$ZZ,2,FALSE)+SUM(_xlfn.XLOOKUP($S74:$AG74,增益!$A:$A,增益!$B:$B,0))</f>
        <v>1.3891</v>
      </c>
      <c r="AN74" s="21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1794.28</v>
      </c>
      <c r="AP74" cm="1">
        <f t="array" ref="AP74">$E$10*(1+$AN74)+VLOOKUP($R74,武学奇术!$A:$ZZ,4,FALSE)+SUM(_xlfn.XLOOKUP($S74:$AG74,增益!$A:$A,增益!$D:$D,0))-$I$2</f>
        <v>7726.36</v>
      </c>
      <c r="AQ74" s="26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0.319</v>
      </c>
      <c r="AR74" s="26" cm="1">
        <f t="array" ref="AR74">$G$10+VLOOKUP($R74,武学奇术!$A:$ZZ,7,FALSE)+SUM(_xlfn.XLOOKUP(S74:AG74,增益!$A:$A,增益!$G:$G,0))</f>
        <v>0</v>
      </c>
      <c r="AS74" s="21" cm="1">
        <f t="array" ref="AS74">VLOOKUP($R74,武学奇术!$A:$ZZ,8,FALSE)+SUM(_xlfn.XLOOKUP(S74:AG74,增益!$A:$A,增益!$H:$H,0))</f>
        <v>0</v>
      </c>
      <c r="AT74">
        <f t="shared" si="12"/>
        <v>680.02</v>
      </c>
      <c r="AU74">
        <f t="shared" si="13"/>
        <v>1288.54</v>
      </c>
      <c r="AV74" s="26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0.075</v>
      </c>
      <c r="AW74" s="26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26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26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26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26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26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26" cm="1">
        <f t="array" ref="BI74">$G$14+VLOOKUP($R74,武学奇术!$A:$ZZ,16,FALSE)+SUM(_xlfn.XLOOKUP(S74:AG74,增益!$A:$A,增益!$P:$P,0))</f>
        <v>0</v>
      </c>
      <c r="BJ74" s="21">
        <f>MIN(IF(VLOOKUP($R74,武学奇术!$A:$ZZ,23,FALSE)=1,100%,$B$8),100%)</f>
        <v>0.8229</v>
      </c>
      <c r="BK74" s="21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</v>
      </c>
      <c r="BL74" s="21" cm="1">
        <f t="array" ref="BL74">1+$B$13+VLOOKUP($R74,武学奇术!$A:$ZZ,18,FALSE)+SUM(_xlfn.XLOOKUP(S74:AG74,增益!$A:$A,增益!$R:$R,0))</f>
        <v>1.5</v>
      </c>
      <c r="BM74" s="21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1</v>
      </c>
      <c r="BN74" s="21" cm="1">
        <f t="array" ref="BN74">1+$B$14+VLOOKUP($R74,武学奇术!$A:$ZZ,20,FALSE)+SUM(_xlfn.XLOOKUP(S74:AG74,增益!$A:$A,增益!$T:$T,0))</f>
        <v>1.782</v>
      </c>
      <c r="BO74" s="21">
        <f t="shared" si="20"/>
        <v>0</v>
      </c>
      <c r="BP74" s="21">
        <f t="shared" si="21"/>
        <v>0</v>
      </c>
      <c r="BQ74" s="21">
        <f>IF(VLOOKUP($R74,武学奇术!$A:$ZZ,22,FALSE)=1,0,(1-$BJ74))*(1-$BM74)</f>
        <v>0</v>
      </c>
      <c r="BR74" s="21" cm="1">
        <f t="array" ref="BR74">SUM(_xlfn.XLOOKUP(S74:AG74,增益!$A:$A,增益!$W:$W,0))+$I$5</f>
        <v>0.06</v>
      </c>
    </row>
    <row r="75" spans="3:70">
      <c r="K75" s="24">
        <f>$L75*VLOOKUP($R75,武学奇术!$A:$ZZ,31,FALSE)</f>
        <v>75127.4161598929</v>
      </c>
      <c r="L75" s="24">
        <f t="shared" si="11"/>
        <v>125212.360266488</v>
      </c>
      <c r="M75" s="2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流血",$B$21,0))*(1+$BR75)</f>
        <v>102402.363859914</v>
      </c>
      <c r="N75" s="24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流血",$B$21,0))*(1+$BR75)</f>
        <v>188851.503586015</v>
      </c>
      <c r="O75" s="24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流血",$B$21,0))*(1+$BR75)</f>
        <v>68268.242573276</v>
      </c>
      <c r="P75" s="24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流血",$B$21,0))*(1+$BR75)</f>
        <v>30559.2104069253</v>
      </c>
      <c r="Q75" s="31">
        <v>1</v>
      </c>
      <c r="R75" s="32" t="s">
        <v>95</v>
      </c>
      <c r="S75" s="32" t="s">
        <v>87</v>
      </c>
      <c r="T75" s="32" t="s">
        <v>96</v>
      </c>
      <c r="U75" s="32" t="s">
        <v>97</v>
      </c>
      <c r="V75" s="32" t="s">
        <v>98</v>
      </c>
      <c r="W75" s="32" t="s">
        <v>73</v>
      </c>
      <c r="X75" s="32" t="s">
        <v>127</v>
      </c>
      <c r="Y75" s="32" t="s">
        <v>73</v>
      </c>
      <c r="Z75" s="32" t="s">
        <v>73</v>
      </c>
      <c r="AA75" s="32" t="s">
        <v>81</v>
      </c>
      <c r="AB75" s="32" t="s">
        <v>75</v>
      </c>
      <c r="AC75" s="32" t="s">
        <v>76</v>
      </c>
      <c r="AD75" s="32" t="s">
        <v>82</v>
      </c>
      <c r="AE75" s="32" t="s">
        <v>73</v>
      </c>
      <c r="AF75" s="32" t="s">
        <v>73</v>
      </c>
      <c r="AG75" s="32" t="s">
        <v>178</v>
      </c>
      <c r="AH75" t="str">
        <f>VLOOKUP($R75,武学奇术!$A:$ZZ,25,FALSE)</f>
        <v>剑</v>
      </c>
      <c r="AI75" s="21">
        <f>VLOOKUP($R75,武学奇术!$A:$ZZ,26,FALSE)</f>
        <v>2.52</v>
      </c>
      <c r="AJ75" s="22">
        <f>VLOOKUP($R75,武学奇术!$A:$ZZ,27,FALSE)*(1+IF(OR($AH75=$F$4,$AH75=$F$5),$B$22,0))</f>
        <v>0</v>
      </c>
      <c r="AK75" s="21">
        <f>VLOOKUP($R75,武学奇术!$A:$ZZ,28,FALSE)</f>
        <v>3.78</v>
      </c>
      <c r="AL75" s="22">
        <f>VLOOKUP($R75,武学奇术!$A:$ZZ,29,FALSE)*(1+IF(OR($AH75=$F$4,$AH75=$F$5),$B$22,0))</f>
        <v>0</v>
      </c>
      <c r="AM75" s="21" cm="1">
        <f t="array" ref="AM75">$G$3+IFERROR(VLOOKUP($AH75,$F$4:$G$7,2,FALSE),0)+VLOOKUP($R75,武学奇术!$A:$ZZ,2,FALSE)+SUM(_xlfn.XLOOKUP($S75:$AG75,增益!$A:$A,增益!$B:$B,0))</f>
        <v>1.3891</v>
      </c>
      <c r="AN75" s="21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1794.28</v>
      </c>
      <c r="AP75" cm="1">
        <f t="array" ref="AP75">$E$10*(1+$AN75)+VLOOKUP($R75,武学奇术!$A:$ZZ,4,FALSE)+SUM(_xlfn.XLOOKUP($S75:$AG75,增益!$A:$A,增益!$D:$D,0))-$I$2</f>
        <v>7726.36</v>
      </c>
      <c r="AQ75" s="26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0.319</v>
      </c>
      <c r="AR75" s="26" cm="1">
        <f t="array" ref="AR75">$G$10+VLOOKUP($R75,武学奇术!$A:$ZZ,7,FALSE)+SUM(_xlfn.XLOOKUP(S75:AG75,增益!$A:$A,增益!$G:$G,0))</f>
        <v>0</v>
      </c>
      <c r="AS75" s="21" cm="1">
        <f t="array" ref="AS75">VLOOKUP($R75,武学奇术!$A:$ZZ,8,FALSE)+SUM(_xlfn.XLOOKUP(S75:AG75,增益!$A:$A,增益!$H:$H,0))</f>
        <v>0</v>
      </c>
      <c r="AT75">
        <f t="shared" si="12"/>
        <v>680.02</v>
      </c>
      <c r="AU75">
        <f t="shared" si="13"/>
        <v>1288.54</v>
      </c>
      <c r="AV75" s="26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0.075</v>
      </c>
      <c r="AW75" s="26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26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26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26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26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26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26" cm="1">
        <f t="array" ref="BI75">$G$14+VLOOKUP($R75,武学奇术!$A:$ZZ,16,FALSE)+SUM(_xlfn.XLOOKUP(S75:AG75,增益!$A:$A,增益!$P:$P,0))</f>
        <v>0</v>
      </c>
      <c r="BJ75" s="21">
        <f>MIN(IF(VLOOKUP($R75,武学奇术!$A:$ZZ,23,FALSE)=1,100%,$B$8),100%)</f>
        <v>0.8229</v>
      </c>
      <c r="BK75" s="21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0.2285</v>
      </c>
      <c r="BL75" s="21" cm="1">
        <f t="array" ref="BL75">1+$B$13+VLOOKUP($R75,武学奇术!$A:$ZZ,18,FALSE)+SUM(_xlfn.XLOOKUP(S75:AG75,增益!$A:$A,增益!$R:$R,0))</f>
        <v>1.5</v>
      </c>
      <c r="BM75" s="21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0.4495</v>
      </c>
      <c r="BN75" s="21" cm="1">
        <f t="array" ref="BN75">1+$B$14+VLOOKUP($R75,武学奇术!$A:$ZZ,20,FALSE)+SUM(_xlfn.XLOOKUP(S75:AG75,增益!$A:$A,增益!$T:$T,0))</f>
        <v>1.782</v>
      </c>
      <c r="BO75" s="21">
        <f t="shared" si="20"/>
        <v>0.18803265</v>
      </c>
      <c r="BP75" s="21">
        <f t="shared" si="21"/>
        <v>0.2649738</v>
      </c>
      <c r="BQ75" s="21">
        <f>IF(VLOOKUP($R75,武学奇术!$A:$ZZ,22,FALSE)=1,0,(1-$BJ75))*(1-$BM75)</f>
        <v>0.09749355</v>
      </c>
      <c r="BR75" s="21" cm="1">
        <f t="array" ref="BR75">SUM(_xlfn.XLOOKUP(S75:AG75,增益!$A:$A,增益!$W:$W,0))+$I$5</f>
        <v>0.06</v>
      </c>
    </row>
    <row r="76" spans="3:70">
      <c r="K76" s="24">
        <f>$L76*VLOOKUP($R76,武学奇术!$A:$ZZ,31,FALSE)</f>
        <v>14140.6630595268</v>
      </c>
      <c r="L76" s="24">
        <f t="shared" si="11"/>
        <v>14140.6630595268</v>
      </c>
      <c r="M76" s="2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流血",$B$21,0))*(1+$BR76)</f>
        <v>12411.4255420891</v>
      </c>
      <c r="N76" s="24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流血",$B$21,0))*(1+$BR76)</f>
        <v>20587.1996219769</v>
      </c>
      <c r="O76" s="24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流血",$B$21,0))*(1+$BR76)</f>
        <v>8274.28369472605</v>
      </c>
      <c r="P76" s="24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流血",$B$21,0))*(1+$BR76)</f>
        <v>3697.63129583358</v>
      </c>
      <c r="Q76" s="31">
        <v>1</v>
      </c>
      <c r="R76" s="32" t="s">
        <v>103</v>
      </c>
      <c r="S76" s="32" t="s">
        <v>87</v>
      </c>
      <c r="T76" s="32" t="s">
        <v>104</v>
      </c>
      <c r="U76" s="32" t="s">
        <v>73</v>
      </c>
      <c r="V76" s="32" t="s">
        <v>73</v>
      </c>
      <c r="W76" s="32" t="s">
        <v>73</v>
      </c>
      <c r="X76" s="32" t="s">
        <v>127</v>
      </c>
      <c r="Y76" s="32" t="s">
        <v>73</v>
      </c>
      <c r="Z76" s="32" t="s">
        <v>73</v>
      </c>
      <c r="AA76" s="32" t="s">
        <v>81</v>
      </c>
      <c r="AB76" s="32" t="s">
        <v>75</v>
      </c>
      <c r="AC76" s="32" t="s">
        <v>76</v>
      </c>
      <c r="AD76" s="32" t="s">
        <v>82</v>
      </c>
      <c r="AE76" s="32" t="s">
        <v>73</v>
      </c>
      <c r="AF76" s="32" t="s">
        <v>73</v>
      </c>
      <c r="AG76" s="32" t="s">
        <v>178</v>
      </c>
      <c r="AH76" t="str">
        <f>VLOOKUP($R76,武学奇术!$A:$ZZ,25,FALSE)</f>
        <v>剑</v>
      </c>
      <c r="AI76" s="21">
        <f>VLOOKUP($R76,武学奇术!$A:$ZZ,26,FALSE)</f>
        <v>0.625</v>
      </c>
      <c r="AJ76" s="22">
        <f>VLOOKUP($R76,武学奇术!$A:$ZZ,27,FALSE)*(1+IF(OR($AH76=$F$4,$AH76=$F$5),$B$22,0))</f>
        <v>0</v>
      </c>
      <c r="AK76" s="21">
        <f>VLOOKUP($R76,武学奇术!$A:$ZZ,28,FALSE)</f>
        <v>0.9375</v>
      </c>
      <c r="AL76" s="22">
        <f>VLOOKUP($R76,武学奇术!$A:$ZZ,29,FALSE)*(1+IF(OR($AH76=$F$4,$AH76=$F$5),$B$22,0))</f>
        <v>0</v>
      </c>
      <c r="AM76" s="21" cm="1">
        <f t="array" ref="AM76">$G$3+IFERROR(VLOOKUP($AH76,$F$4:$G$7,2,FALSE),0)+VLOOKUP($R76,武学奇术!$A:$ZZ,2,FALSE)+SUM(_xlfn.XLOOKUP($S76:$AG76,增益!$A:$A,增益!$B:$B,0))</f>
        <v>0.6391</v>
      </c>
      <c r="AN76" s="21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1794.28</v>
      </c>
      <c r="AP76" cm="1">
        <f t="array" ref="AP76">$E$10*(1+$AN76)+VLOOKUP($R76,武学奇术!$A:$ZZ,4,FALSE)+SUM(_xlfn.XLOOKUP($S76:$AG76,增益!$A:$A,增益!$D:$D,0))-$I$2</f>
        <v>7726.36</v>
      </c>
      <c r="AQ76" s="26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0.244</v>
      </c>
      <c r="AR76" s="26" cm="1">
        <f t="array" ref="AR76">$G$10+VLOOKUP($R76,武学奇术!$A:$ZZ,7,FALSE)+SUM(_xlfn.XLOOKUP(S76:AG76,增益!$A:$A,增益!$G:$G,0))</f>
        <v>0</v>
      </c>
      <c r="AS76" s="21" cm="1">
        <f t="array" ref="AS76">VLOOKUP($R76,武学奇术!$A:$ZZ,8,FALSE)+SUM(_xlfn.XLOOKUP(S76:AG76,增益!$A:$A,增益!$H:$H,0))</f>
        <v>0</v>
      </c>
      <c r="AT76">
        <f t="shared" si="12"/>
        <v>680.02</v>
      </c>
      <c r="AU76">
        <f t="shared" si="13"/>
        <v>1288.54</v>
      </c>
      <c r="AV76" s="26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</v>
      </c>
      <c r="AW76" s="26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26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26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26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26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26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26" cm="1">
        <f t="array" ref="BI76">$G$14+VLOOKUP($R76,武学奇术!$A:$ZZ,16,FALSE)+SUM(_xlfn.XLOOKUP(S76:AG76,增益!$A:$A,增益!$P:$P,0))</f>
        <v>0</v>
      </c>
      <c r="BJ76" s="21">
        <f>MIN(IF(VLOOKUP($R76,武学奇术!$A:$ZZ,23,FALSE)=1,100%,$B$8),100%)</f>
        <v>0.8229</v>
      </c>
      <c r="BK76" s="21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0.2285</v>
      </c>
      <c r="BL76" s="21" cm="1">
        <f t="array" ref="BL76">1+$B$13+VLOOKUP($R76,武学奇术!$A:$ZZ,18,FALSE)+SUM(_xlfn.XLOOKUP(S76:AG76,增益!$A:$A,增益!$R:$R,0))</f>
        <v>1.5</v>
      </c>
      <c r="BM76" s="21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0.4495</v>
      </c>
      <c r="BN76" s="21" cm="1">
        <f t="array" ref="BN76">1+$B$14+VLOOKUP($R76,武学奇术!$A:$ZZ,20,FALSE)+SUM(_xlfn.XLOOKUP(S76:AG76,增益!$A:$A,增益!$T:$T,0))</f>
        <v>1.602</v>
      </c>
      <c r="BO76" s="21">
        <f t="shared" si="20"/>
        <v>0.18803265</v>
      </c>
      <c r="BP76" s="21">
        <f t="shared" si="21"/>
        <v>0.2649738</v>
      </c>
      <c r="BQ76" s="21">
        <f>IF(VLOOKUP($R76,武学奇术!$A:$ZZ,22,FALSE)=1,0,(1-$BJ76))*(1-$BM76)</f>
        <v>0.09749355</v>
      </c>
      <c r="BR76" s="21" cm="1">
        <f t="array" ref="BR76">SUM(_xlfn.XLOOKUP(S76:AG76,增益!$A:$A,增益!$W:$W,0))+$I$5</f>
        <v>0.06</v>
      </c>
    </row>
    <row r="77" spans="3:70">
      <c r="K77" s="24">
        <f>$L77*VLOOKUP($R77,武学奇术!$A:$ZZ,31,FALSE)</f>
        <v>27854.6721356368</v>
      </c>
      <c r="L77" s="24">
        <f t="shared" si="11"/>
        <v>27854.6721356368</v>
      </c>
      <c r="M77" s="24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BL77*$Q77*(1+IF(VLOOKUP($R77,武学奇术!$A:$ZZ,30,FALSE)="流血",$B$21,0))*(1+$BR77)</f>
        <v>24983.602870911</v>
      </c>
      <c r="N77" s="24">
        <f>(($AP77*$AI77+$AJ77)*(1+$AQ77)*(1+$AR77)+($AU77*IF($G$1="鸣金",$AK77,$AI77)+IF($G$1="鸣金",$AL77*1.5,0))*(1+$AV77)*(1+$AW77)+($AY77*IF($G$1="裂石",$AK77,$AI77)+IF($G$1="裂石",$AL77*1.5,0))*(1+$AZ77)*(1+$BA77)+($BC77*IF($G$1="牵丝",$AK77,$AI77)+IF($G$1="牵丝",$AL77*1.5,0))*(1+$BD77)*(1+$BE77)+($BG77*IF($G$1="破竹",$AK77,$AI77)+IF($G$1="破竹",$AL77*1.5,0))*(1+$BH77)*(1+$BI77))*(1+$AM77)*$BN77*$Q77*(1+IF(VLOOKUP($R77,武学奇术!$A:$ZZ,30,FALSE)="流血",$B$21,0))*(1+$BR77)</f>
        <v>39871.9851794614</v>
      </c>
      <c r="O77" s="24">
        <f>((($AO77+$AP77)/2*$AI77+$AJ77)*(1+$AQ77)*(1+$AR77)+(($AT77+$AU77)/2*IF($G$1="鸣金",$AK77,$AI77)+IF($G$1="鸣金",$AL77*1.5,0))*(1+$AV77)*(1+$AW77)+(($AX77+$AY77)/2*IF($G$1="裂石",$AK77,$AI77)+IF($G$1="裂石",$AL77*1.5,0))*(1+$AZ77)*(1+$BA77)+(($BB77+$BC77)/2*IF($G$1="牵丝",$AK77,$AI77)+IF($G$1="牵丝",$AL77*1.5,0))*(1+$BD77)*(1+$BE77)+(($BF77+$BG77)/2*IF($G$1="破竹",$AK77,$AI77)+IF($G$1="破竹",$AL77*1.5,0))*(1+$BH77)*(1+$BI77))*(1+$AM77)*$Q77*(1+IF(VLOOKUP($R77,武学奇术!$A:$ZZ,30,FALSE)="流血",$B$21,0))*(1+$BR77)</f>
        <v>16655.735247274</v>
      </c>
      <c r="P77" s="24">
        <f>((($AO77*$AI77+$AJ77)*(1+$AQ77)*(1+$AR77)+($AT77*IF($G$1="鸣金",$AK77,$AI77)+IF($G$1="鸣金",$AL77*1.5,0))*(1+$AV77)*(1+$AW77)+($AX77*IF($G$1="裂石",$AK77,$AI77)+IF($G$1="裂石",$AL77*1.5,0))*(1+$AZ77)*(1+$BA77)+($BB77*IF($G$1="牵丝",$AK77,$AI77)+IF($G$1="牵丝",$AL77*1.5,0))*(1+$BD77)*(1+$BE77)+($BF77*IF($G$1="破竹",$AK77,$AI77)+IF($G$1="破竹",$AL77*1.5,0))*(1+$BH77)*(1+$BI77))*(1+$AM77))*$Q77*(1+IF(VLOOKUP($R77,武学奇术!$A:$ZZ,30,FALSE)="流血",$B$21,0))*(1+$BR77)</f>
        <v>8422.59085693159</v>
      </c>
      <c r="Q77" s="31">
        <v>1</v>
      </c>
      <c r="R77" s="32" t="s">
        <v>108</v>
      </c>
      <c r="S77" s="32" t="s">
        <v>87</v>
      </c>
      <c r="T77" s="32" t="s">
        <v>104</v>
      </c>
      <c r="U77" s="32" t="s">
        <v>73</v>
      </c>
      <c r="V77" s="32" t="s">
        <v>73</v>
      </c>
      <c r="W77" s="32" t="s">
        <v>73</v>
      </c>
      <c r="X77" s="32" t="s">
        <v>127</v>
      </c>
      <c r="Y77" s="32" t="s">
        <v>73</v>
      </c>
      <c r="Z77" s="32" t="s">
        <v>73</v>
      </c>
      <c r="AA77" s="32" t="s">
        <v>81</v>
      </c>
      <c r="AB77" s="32" t="s">
        <v>75</v>
      </c>
      <c r="AC77" s="32" t="s">
        <v>89</v>
      </c>
      <c r="AD77" s="32" t="s">
        <v>82</v>
      </c>
      <c r="AE77" s="32" t="s">
        <v>90</v>
      </c>
      <c r="AF77" s="32" t="s">
        <v>73</v>
      </c>
      <c r="AG77" s="32" t="s">
        <v>178</v>
      </c>
      <c r="AH77" t="str">
        <f>VLOOKUP($R77,武学奇术!$A:$ZZ,25,FALSE)</f>
        <v>枪</v>
      </c>
      <c r="AI77" s="21">
        <f>VLOOKUP($R77,武学奇术!$A:$ZZ,26,FALSE)</f>
        <v>1.02732</v>
      </c>
      <c r="AJ77" s="22">
        <f>VLOOKUP($R77,武学奇术!$A:$ZZ,27,FALSE)*(1+IF(OR($AH77=$F$4,$AH77=$F$5),$B$22,0))</f>
        <v>426.6</v>
      </c>
      <c r="AK77" s="21">
        <f>VLOOKUP($R77,武学奇术!$A:$ZZ,28,FALSE)</f>
        <v>1.54096</v>
      </c>
      <c r="AL77" s="22">
        <f>VLOOKUP($R77,武学奇术!$A:$ZZ,29,FALSE)*(1+IF(OR($AH77=$F$4,$AH77=$F$5),$B$22,0))</f>
        <v>232.2</v>
      </c>
      <c r="AM77" s="21" cm="1">
        <f t="array" ref="AM77">$G$3+IFERROR(VLOOKUP($AH77,$F$4:$G$7,2,FALSE),0)+VLOOKUP($R77,武学奇术!$A:$ZZ,2,FALSE)+SUM(_xlfn.XLOOKUP($S77:$AG77,增益!$A:$A,增益!$B:$B,0))</f>
        <v>0.7939</v>
      </c>
      <c r="AN77" s="21" cm="1">
        <f t="array" ref="AN77">VLOOKUP($R77,武学奇术!$A:$ZZ,5,FALSE)+SUM(_xlfn.XLOOKUP($S77:$AG77,增益!$A:$A,增益!$E:$E,0))</f>
        <v>0</v>
      </c>
      <c r="AO77" cm="1">
        <f t="array" ref="AO77">$D$10*(1+$AN77)+VLOOKUP($R77,武学奇术!$A:$ZZ,3,FALSE)+SUM(_xlfn.XLOOKUP($S77:$AG77,增益!$A:$A,增益!$C:$C,0))-$I$2</f>
        <v>1794.28</v>
      </c>
      <c r="AP77" cm="1">
        <f t="array" ref="AP77">$E$10*(1+$AN77)+VLOOKUP($R77,武学奇术!$A:$ZZ,4,FALSE)+SUM(_xlfn.XLOOKUP($S77:$AG77,增益!$A:$A,增益!$D:$D,0))-$I$2</f>
        <v>7726.36</v>
      </c>
      <c r="AQ77" s="26" cm="1">
        <f t="array" ref="AQ77">IF($F$10-$I$3+VLOOKUP($R77,武学奇术!$A:$ZZ,6,FALSE)+SUM(_xlfn.XLOOKUP(S77:AG77,增益!$A:$A,增益!$F:$F,0))&gt;0,($F$10-$I$3+VLOOKUP($R77,武学奇术!$A:$ZZ,6,FALSE)+SUM(_xlfn.XLOOKUP(S77:AG77,增益!$A:$A,增益!$F:$F,0)))/200,($F$10-$I$3+VLOOKUP($R77,武学奇术!$A:$ZZ,6,FALSE)+SUM(_xlfn.XLOOKUP(S77:AG77,增益!$A:$A,增益!$F:$F,0)))/100)</f>
        <v>0.244</v>
      </c>
      <c r="AR77" s="26" cm="1">
        <f t="array" ref="AR77">$G$10+VLOOKUP($R77,武学奇术!$A:$ZZ,7,FALSE)+SUM(_xlfn.XLOOKUP(S77:AG77,增益!$A:$A,增益!$G:$G,0))</f>
        <v>0</v>
      </c>
      <c r="AS77" s="21" cm="1">
        <f t="array" ref="AS77">VLOOKUP($R77,武学奇术!$A:$ZZ,8,FALSE)+SUM(_xlfn.XLOOKUP(S77:AG77,增益!$A:$A,增益!$H:$H,0))</f>
        <v>0</v>
      </c>
      <c r="AT77">
        <f t="shared" si="12"/>
        <v>680.02</v>
      </c>
      <c r="AU77">
        <f t="shared" si="13"/>
        <v>1288.54</v>
      </c>
      <c r="AV77" s="26" cm="1">
        <f t="array" ref="AV77">IF($F$11-$I$4+VLOOKUP($R77,武学奇术!$A:$ZZ,9,FALSE)+SUM(_xlfn.XLOOKUP(S77:AG77,增益!$A:$A,增益!$I:$I,0))&gt;0,($F$11-$I$4+VLOOKUP($R77,武学奇术!$A:$ZZ,9,FALSE)+SUM(_xlfn.XLOOKUP(S77:AG77,增益!$A:$A,增益!$I:$I,0)))/200,($F$11-$I$4+VLOOKUP($R77,武学奇术!$A:$ZZ,9,FALSE)+SUM(_xlfn.XLOOKUP(S77:AG77,增益!$A:$A,增益!$I:$I,0)))/100)</f>
        <v>0</v>
      </c>
      <c r="AW77" s="26" cm="1">
        <f t="array" ref="AW77">$G$11+VLOOKUP($R77,武学奇术!$A:$ZZ,10,FALSE)+SUM(_xlfn.XLOOKUP(S77:AG77,增益!$A:$A,增益!$J:$J,0))</f>
        <v>0.15</v>
      </c>
      <c r="AX77">
        <f t="shared" si="14"/>
        <v>0</v>
      </c>
      <c r="AY77">
        <f t="shared" si="15"/>
        <v>0</v>
      </c>
      <c r="AZ77" s="26" cm="1">
        <f t="array" ref="AZ77">IF($F$12-$I$4+VLOOKUP($R77,武学奇术!$A:$ZZ,11,FALSE)+SUM(_xlfn.XLOOKUP(S77:AG77,增益!$A:$A,增益!$K:$K,0))&gt;0,($F$12-$I$4+VLOOKUP($R77,武学奇术!$A:$ZZ,11,FALSE)+SUM(_xlfn.XLOOKUP(S77:AG77,增益!$A:$A,增益!$K:$K,0)))/200,($F$12-$I$4+VLOOKUP($R77,武学奇术!$A:$ZZ,11,FALSE)+SUM(_xlfn.XLOOKUP(S77:AG77,增益!$A:$A,增益!$K:$K,0)))/100)</f>
        <v>-0.3</v>
      </c>
      <c r="BA77" s="26" cm="1">
        <f t="array" ref="BA77">$G$12+VLOOKUP($R77,武学奇术!$A:$ZZ,12,FALSE)+SUM(_xlfn.XLOOKUP(S77:AG77,增益!$A:$A,增益!$L:$L,0))</f>
        <v>0</v>
      </c>
      <c r="BB77">
        <f t="shared" si="16"/>
        <v>0</v>
      </c>
      <c r="BC77">
        <f t="shared" si="17"/>
        <v>0</v>
      </c>
      <c r="BD77" s="26" cm="1">
        <f t="array" ref="BD77">IF($F$13-$I$4+VLOOKUP($R77,武学奇术!$A:$ZZ,13,FALSE)+SUM(_xlfn.XLOOKUP(S77:AG77,增益!$A:$A,增益!$M:$M,0))&gt;0,($F$13-$I$4+VLOOKUP($R77,武学奇术!$A:$ZZ,13,FALSE)+SUM(_xlfn.XLOOKUP(S77:AG77,增益!$A:$A,增益!$K:$K,0)))/200,($F$13-$I$4+VLOOKUP($R77,武学奇术!$A:$ZZ,13,FALSE)+SUM(_xlfn.XLOOKUP(S77:AG77,增益!$A:$A,增益!$M:$M,0)))/100)</f>
        <v>-0.3</v>
      </c>
      <c r="BE77" s="26" cm="1">
        <f t="array" ref="BE77">$G$13+VLOOKUP($R77,武学奇术!$A:$ZZ,14,FALSE)+SUM(_xlfn.XLOOKUP(S77:AG77,增益!$A:$A,增益!$N:$N,0))</f>
        <v>0</v>
      </c>
      <c r="BF77">
        <f t="shared" si="18"/>
        <v>0</v>
      </c>
      <c r="BG77">
        <f t="shared" si="19"/>
        <v>0</v>
      </c>
      <c r="BH77" s="26" cm="1">
        <f t="array" ref="BH77">IF($F$14-$I$4+VLOOKUP($R77,武学奇术!$A:$ZZ,15,FALSE)+SUM(_xlfn.XLOOKUP(S77:AG77,增益!$A:$A,增益!$O:$O,0))&gt;0,($F$14-$I$4+VLOOKUP($R77,武学奇术!$A:$ZZ,15,FALSE)+SUM(_xlfn.XLOOKUP(S77:AG77,增益!$A:$A,增益!$O:$O,0)))/200,($F$14-$I$4+VLOOKUP($R77,武学奇术!$A:$ZZ,15,FALSE)+SUM(_xlfn.XLOOKUP(S77:AG77,增益!$A:$A,增益!$O:$O,0)))/100)</f>
        <v>-0.3</v>
      </c>
      <c r="BI77" s="26" cm="1">
        <f t="array" ref="BI77">$G$14+VLOOKUP($R77,武学奇术!$A:$ZZ,16,FALSE)+SUM(_xlfn.XLOOKUP(S77:AG77,增益!$A:$A,增益!$P:$P,0))</f>
        <v>0</v>
      </c>
      <c r="BJ77" s="21">
        <f>MIN(IF(VLOOKUP($R77,武学奇术!$A:$ZZ,23,FALSE)=1,100%,$B$8),100%)</f>
        <v>0.8229</v>
      </c>
      <c r="BK77" s="21" cm="1">
        <f t="array" ref="BK77">IF(VLOOKUP($R77,武学奇术!$A:$ZZ,23,FALSE)=1,100%,MIN(80%,$B$9+VLOOKUP($R77,武学奇术!$A:$ZZ,17,FALSE)+SUM(_xlfn.XLOOKUP(S77:AG77,增益!$A:$A,增益!$Q:$Q,0)))+$B$11+SUM(_xlfn.XLOOKUP(S77:AG77,增益!$A:$A,增益!$U:$U,0)))*IF(VLOOKUP($R77,武学奇术!$A:$ZZ,24,FALSE)=1,0,1)</f>
        <v>0.2285</v>
      </c>
      <c r="BL77" s="21" cm="1">
        <f t="array" ref="BL77">1+$B$13+VLOOKUP($R77,武学奇术!$A:$ZZ,18,FALSE)+SUM(_xlfn.XLOOKUP(S77:AG77,增益!$A:$A,增益!$R:$R,0))</f>
        <v>1.5</v>
      </c>
      <c r="BM77" s="21" cm="1">
        <f t="array" ref="BM77">IF(VLOOKUP($R77,武学奇术!$A:$ZZ,24,FALSE)=1,100%,MIN(40%,$B$10+VLOOKUP($R77,武学奇术!$A:$ZZ,19,FALSE)+SUM(_xlfn.XLOOKUP(S77:AG77,增益!$A:$A,增益!$S:$S,0)))+$B$12+SUM(_xlfn.XLOOKUP(S77:AG77,增益!$A:$A,增益!$V:$V,0)))*IF(VLOOKUP($R77,武学奇术!$A:$ZZ,23,FALSE)=1,0,1)</f>
        <v>0.4495</v>
      </c>
      <c r="BN77" s="21" cm="1">
        <f t="array" ref="BN77">1+$B$14+VLOOKUP($R77,武学奇术!$A:$ZZ,20,FALSE)+SUM(_xlfn.XLOOKUP(S77:AG77,增益!$A:$A,增益!$T:$T,0))</f>
        <v>1.602</v>
      </c>
      <c r="BO77" s="21">
        <f t="shared" si="20"/>
        <v>0.18803265</v>
      </c>
      <c r="BP77" s="21">
        <f t="shared" si="21"/>
        <v>0.2649738</v>
      </c>
      <c r="BQ77" s="21">
        <f>IF(VLOOKUP($R77,武学奇术!$A:$ZZ,22,FALSE)=1,0,(1-$BJ77))*(1-$BM77)</f>
        <v>0.09749355</v>
      </c>
      <c r="BR77" s="21" cm="1">
        <f t="array" ref="BR77">SUM(_xlfn.XLOOKUP(S77:AG77,增益!$A:$A,增益!$W:$W,0))+$I$5</f>
        <v>0.06</v>
      </c>
    </row>
    <row r="78" spans="3:70">
      <c r="K78" s="24">
        <f>$L78*VLOOKUP($R78,武学奇术!$A:$ZZ,31,FALSE)</f>
        <v>83003.1876942344</v>
      </c>
      <c r="L78" s="24">
        <f t="shared" si="11"/>
        <v>138338.646157057</v>
      </c>
      <c r="M78" s="24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BL78*$Q78*(1+IF(VLOOKUP($R78,武学奇术!$A:$ZZ,30,FALSE)="流血",$B$21,0))*(1+$BR78)</f>
        <v>113257.891808962</v>
      </c>
      <c r="N78" s="24">
        <f>(($AP78*$AI78+$AJ78)*(1+$AQ78)*(1+$AR78)+($AU78*IF($G$1="鸣金",$AK78,$AI78)+IF($G$1="鸣金",$AL78*1.5,0))*(1+$AV78)*(1+$AW78)+($AY78*IF($G$1="裂石",$AK78,$AI78)+IF($G$1="裂石",$AL78*1.5,0))*(1+$AZ78)*(1+$BA78)+($BC78*IF($G$1="牵丝",$AK78,$AI78)+IF($G$1="牵丝",$AL78*1.5,0))*(1+$BD78)*(1+$BE78)+($BG78*IF($G$1="破竹",$AK78,$AI78)+IF($G$1="破竹",$AL78*1.5,0))*(1+$BH78)*(1+$BI78))*(1+$AM78)*$BN78*$Q78*(1+IF(VLOOKUP($R78,武学奇术!$A:$ZZ,30,FALSE)="流血",$B$21,0))*(1+$BR78)</f>
        <v>208498.278422863</v>
      </c>
      <c r="O78" s="24">
        <f>((($AO78+$AP78)/2*$AI78+$AJ78)*(1+$AQ78)*(1+$AR78)+(($AT78+$AU78)/2*IF($G$1="鸣金",$AK78,$AI78)+IF($G$1="鸣金",$AL78*1.5,0))*(1+$AV78)*(1+$AW78)+(($AX78+$AY78)/2*IF($G$1="裂石",$AK78,$AI78)+IF($G$1="裂石",$AL78*1.5,0))*(1+$AZ78)*(1+$BA78)+(($BB78+$BC78)/2*IF($G$1="牵丝",$AK78,$AI78)+IF($G$1="牵丝",$AL78*1.5,0))*(1+$BD78)*(1+$BE78)+(($BF78+$BG78)/2*IF($G$1="破竹",$AK78,$AI78)+IF($G$1="破竹",$AL78*1.5,0))*(1+$BH78)*(1+$BI78))*(1+$AM78)*$Q78*(1+IF(VLOOKUP($R78,武学奇术!$A:$ZZ,30,FALSE)="流血",$B$21,0))*(1+$BR78)</f>
        <v>75505.2612059748</v>
      </c>
      <c r="P78" s="24">
        <f>((($AO78*$AI78+$AJ78)*(1+$AQ78)*(1+$AR78)+($AT78*IF($G$1="鸣金",$AK78,$AI78)+IF($G$1="鸣金",$AL78*1.5,0))*(1+$AV78)*(1+$AW78)+($AX78*IF($G$1="裂石",$AK78,$AI78)+IF($G$1="裂石",$AL78*1.5,0))*(1+$AZ78)*(1+$BA78)+($BB78*IF($G$1="牵丝",$AK78,$AI78)+IF($G$1="牵丝",$AL78*1.5,0))*(1+$BD78)*(1+$BE78)+($BF78*IF($G$1="破竹",$AK78,$AI78)+IF($G$1="破竹",$AL78*1.5,0))*(1+$BH78)*(1+$BI78))*(1+$AM78))*$Q78*(1+IF(VLOOKUP($R78,武学奇术!$A:$ZZ,30,FALSE)="流血",$B$21,0))*(1+$BR78)</f>
        <v>34008.1215012524</v>
      </c>
      <c r="Q78" s="31">
        <v>1</v>
      </c>
      <c r="R78" s="32" t="s">
        <v>95</v>
      </c>
      <c r="S78" s="32" t="s">
        <v>87</v>
      </c>
      <c r="T78" s="32" t="s">
        <v>96</v>
      </c>
      <c r="U78" s="32" t="s">
        <v>97</v>
      </c>
      <c r="V78" s="32" t="s">
        <v>98</v>
      </c>
      <c r="W78" s="32" t="s">
        <v>111</v>
      </c>
      <c r="X78" s="32" t="s">
        <v>127</v>
      </c>
      <c r="Y78" s="32" t="s">
        <v>73</v>
      </c>
      <c r="Z78" s="32" t="s">
        <v>73</v>
      </c>
      <c r="AA78" s="32" t="s">
        <v>81</v>
      </c>
      <c r="AB78" s="32" t="s">
        <v>75</v>
      </c>
      <c r="AC78" s="32" t="s">
        <v>89</v>
      </c>
      <c r="AD78" s="32" t="s">
        <v>82</v>
      </c>
      <c r="AE78" s="32" t="s">
        <v>90</v>
      </c>
      <c r="AF78" s="32" t="s">
        <v>73</v>
      </c>
      <c r="AG78" s="32" t="s">
        <v>178</v>
      </c>
      <c r="AH78" t="str">
        <f>VLOOKUP($R78,武学奇术!$A:$ZZ,25,FALSE)</f>
        <v>剑</v>
      </c>
      <c r="AI78" s="21">
        <f>VLOOKUP($R78,武学奇术!$A:$ZZ,26,FALSE)</f>
        <v>2.52</v>
      </c>
      <c r="AJ78" s="22">
        <f>VLOOKUP($R78,武学奇术!$A:$ZZ,27,FALSE)*(1+IF(OR($AH78=$F$4,$AH78=$F$5),$B$22,0))</f>
        <v>0</v>
      </c>
      <c r="AK78" s="21">
        <f>VLOOKUP($R78,武学奇术!$A:$ZZ,28,FALSE)</f>
        <v>3.78</v>
      </c>
      <c r="AL78" s="22">
        <f>VLOOKUP($R78,武学奇术!$A:$ZZ,29,FALSE)*(1+IF(OR($AH78=$F$4,$AH78=$F$5),$B$22,0))</f>
        <v>0</v>
      </c>
      <c r="AM78" s="21" cm="1">
        <f t="array" ref="AM78">$G$3+IFERROR(VLOOKUP($AH78,$F$4:$G$7,2,FALSE),0)+VLOOKUP($R78,武学奇术!$A:$ZZ,2,FALSE)+SUM(_xlfn.XLOOKUP($S78:$AG78,增益!$A:$A,增益!$B:$B,0))</f>
        <v>1.6291</v>
      </c>
      <c r="AN78" s="21" cm="1">
        <f t="array" ref="AN78">VLOOKUP($R78,武学奇术!$A:$ZZ,5,FALSE)+SUM(_xlfn.XLOOKUP($S78:$AG78,增益!$A:$A,增益!$E:$E,0))</f>
        <v>0</v>
      </c>
      <c r="AO78" cm="1">
        <f t="array" ref="AO78">$D$10*(1+$AN78)+VLOOKUP($R78,武学奇术!$A:$ZZ,3,FALSE)+SUM(_xlfn.XLOOKUP($S78:$AG78,增益!$A:$A,增益!$C:$C,0))-$I$2</f>
        <v>1825.28</v>
      </c>
      <c r="AP78" cm="1">
        <f t="array" ref="AP78">$E$10*(1+$AN78)+VLOOKUP($R78,武学奇术!$A:$ZZ,4,FALSE)+SUM(_xlfn.XLOOKUP($S78:$AG78,增益!$A:$A,增益!$D:$D,0))-$I$2</f>
        <v>7757.36</v>
      </c>
      <c r="AQ78" s="26" cm="1">
        <f t="array" ref="AQ78">IF($F$10-$I$3+VLOOKUP($R78,武学奇术!$A:$ZZ,6,FALSE)+SUM(_xlfn.XLOOKUP(S78:AG78,增益!$A:$A,增益!$F:$F,0))&gt;0,($F$10-$I$3+VLOOKUP($R78,武学奇术!$A:$ZZ,6,FALSE)+SUM(_xlfn.XLOOKUP(S78:AG78,增益!$A:$A,增益!$F:$F,0)))/200,($F$10-$I$3+VLOOKUP($R78,武学奇术!$A:$ZZ,6,FALSE)+SUM(_xlfn.XLOOKUP(S78:AG78,增益!$A:$A,增益!$F:$F,0)))/100)</f>
        <v>0.319</v>
      </c>
      <c r="AR78" s="26" cm="1">
        <f t="array" ref="AR78">$G$10+VLOOKUP($R78,武学奇术!$A:$ZZ,7,FALSE)+SUM(_xlfn.XLOOKUP(S78:AG78,增益!$A:$A,增益!$G:$G,0))</f>
        <v>0</v>
      </c>
      <c r="AS78" s="21" cm="1">
        <f t="array" ref="AS78">VLOOKUP($R78,武学奇术!$A:$ZZ,8,FALSE)+SUM(_xlfn.XLOOKUP(S78:AG78,增益!$A:$A,增益!$H:$H,0))</f>
        <v>0</v>
      </c>
      <c r="AT78">
        <f t="shared" si="12"/>
        <v>680.02</v>
      </c>
      <c r="AU78">
        <f t="shared" si="13"/>
        <v>1288.54</v>
      </c>
      <c r="AV78" s="26" cm="1">
        <f t="array" ref="AV78">IF($F$11-$I$4+VLOOKUP($R78,武学奇术!$A:$ZZ,9,FALSE)+SUM(_xlfn.XLOOKUP(S78:AG78,增益!$A:$A,增益!$I:$I,0))&gt;0,($F$11-$I$4+VLOOKUP($R78,武学奇术!$A:$ZZ,9,FALSE)+SUM(_xlfn.XLOOKUP(S78:AG78,增益!$A:$A,增益!$I:$I,0)))/200,($F$11-$I$4+VLOOKUP($R78,武学奇术!$A:$ZZ,9,FALSE)+SUM(_xlfn.XLOOKUP(S78:AG78,增益!$A:$A,增益!$I:$I,0)))/100)</f>
        <v>0.075</v>
      </c>
      <c r="AW78" s="26" cm="1">
        <f t="array" ref="AW78">$G$11+VLOOKUP($R78,武学奇术!$A:$ZZ,10,FALSE)+SUM(_xlfn.XLOOKUP(S78:AG78,增益!$A:$A,增益!$J:$J,0))</f>
        <v>0.15</v>
      </c>
      <c r="AX78">
        <f t="shared" si="14"/>
        <v>0</v>
      </c>
      <c r="AY78">
        <f t="shared" si="15"/>
        <v>0</v>
      </c>
      <c r="AZ78" s="26" cm="1">
        <f t="array" ref="AZ78">IF($F$12-$I$4+VLOOKUP($R78,武学奇术!$A:$ZZ,11,FALSE)+SUM(_xlfn.XLOOKUP(S78:AG78,增益!$A:$A,增益!$K:$K,0))&gt;0,($F$12-$I$4+VLOOKUP($R78,武学奇术!$A:$ZZ,11,FALSE)+SUM(_xlfn.XLOOKUP(S78:AG78,增益!$A:$A,增益!$K:$K,0)))/200,($F$12-$I$4+VLOOKUP($R78,武学奇术!$A:$ZZ,11,FALSE)+SUM(_xlfn.XLOOKUP(S78:AG78,增益!$A:$A,增益!$K:$K,0)))/100)</f>
        <v>-0.3</v>
      </c>
      <c r="BA78" s="26" cm="1">
        <f t="array" ref="BA78">$G$12+VLOOKUP($R78,武学奇术!$A:$ZZ,12,FALSE)+SUM(_xlfn.XLOOKUP(S78:AG78,增益!$A:$A,增益!$L:$L,0))</f>
        <v>0</v>
      </c>
      <c r="BB78">
        <f t="shared" si="16"/>
        <v>0</v>
      </c>
      <c r="BC78">
        <f t="shared" si="17"/>
        <v>0</v>
      </c>
      <c r="BD78" s="26" cm="1">
        <f t="array" ref="BD78">IF($F$13-$I$4+VLOOKUP($R78,武学奇术!$A:$ZZ,13,FALSE)+SUM(_xlfn.XLOOKUP(S78:AG78,增益!$A:$A,增益!$M:$M,0))&gt;0,($F$13-$I$4+VLOOKUP($R78,武学奇术!$A:$ZZ,13,FALSE)+SUM(_xlfn.XLOOKUP(S78:AG78,增益!$A:$A,增益!$K:$K,0)))/200,($F$13-$I$4+VLOOKUP($R78,武学奇术!$A:$ZZ,13,FALSE)+SUM(_xlfn.XLOOKUP(S78:AG78,增益!$A:$A,增益!$M:$M,0)))/100)</f>
        <v>-0.3</v>
      </c>
      <c r="BE78" s="26" cm="1">
        <f t="array" ref="BE78">$G$13+VLOOKUP($R78,武学奇术!$A:$ZZ,14,FALSE)+SUM(_xlfn.XLOOKUP(S78:AG78,增益!$A:$A,增益!$N:$N,0))</f>
        <v>0</v>
      </c>
      <c r="BF78">
        <f t="shared" si="18"/>
        <v>0</v>
      </c>
      <c r="BG78">
        <f t="shared" si="19"/>
        <v>0</v>
      </c>
      <c r="BH78" s="26" cm="1">
        <f t="array" ref="BH78">IF($F$14-$I$4+VLOOKUP($R78,武学奇术!$A:$ZZ,15,FALSE)+SUM(_xlfn.XLOOKUP(S78:AG78,增益!$A:$A,增益!$O:$O,0))&gt;0,($F$14-$I$4+VLOOKUP($R78,武学奇术!$A:$ZZ,15,FALSE)+SUM(_xlfn.XLOOKUP(S78:AG78,增益!$A:$A,增益!$O:$O,0)))/200,($F$14-$I$4+VLOOKUP($R78,武学奇术!$A:$ZZ,15,FALSE)+SUM(_xlfn.XLOOKUP(S78:AG78,增益!$A:$A,增益!$O:$O,0)))/100)</f>
        <v>-0.3</v>
      </c>
      <c r="BI78" s="26" cm="1">
        <f t="array" ref="BI78">$G$14+VLOOKUP($R78,武学奇术!$A:$ZZ,16,FALSE)+SUM(_xlfn.XLOOKUP(S78:AG78,增益!$A:$A,增益!$P:$P,0))</f>
        <v>0</v>
      </c>
      <c r="BJ78" s="21">
        <f>MIN(IF(VLOOKUP($R78,武学奇术!$A:$ZZ,23,FALSE)=1,100%,$B$8),100%)</f>
        <v>0.8229</v>
      </c>
      <c r="BK78" s="21" cm="1">
        <f t="array" ref="BK78">IF(VLOOKUP($R78,武学奇术!$A:$ZZ,23,FALSE)=1,100%,MIN(80%,$B$9+VLOOKUP($R78,武学奇术!$A:$ZZ,17,FALSE)+SUM(_xlfn.XLOOKUP(S78:AG78,增益!$A:$A,增益!$Q:$Q,0)))+$B$11+SUM(_xlfn.XLOOKUP(S78:AG78,增益!$A:$A,增益!$U:$U,0)))*IF(VLOOKUP($R78,武学奇术!$A:$ZZ,24,FALSE)=1,0,1)</f>
        <v>0.2285</v>
      </c>
      <c r="BL78" s="21" cm="1">
        <f t="array" ref="BL78">1+$B$13+VLOOKUP($R78,武学奇术!$A:$ZZ,18,FALSE)+SUM(_xlfn.XLOOKUP(S78:AG78,增益!$A:$A,增益!$R:$R,0))</f>
        <v>1.5</v>
      </c>
      <c r="BM78" s="21" cm="1">
        <f t="array" ref="BM78">IF(VLOOKUP($R78,武学奇术!$A:$ZZ,24,FALSE)=1,100%,MIN(40%,$B$10+VLOOKUP($R78,武学奇术!$A:$ZZ,19,FALSE)+SUM(_xlfn.XLOOKUP(S78:AG78,增益!$A:$A,增益!$S:$S,0)))+$B$12+SUM(_xlfn.XLOOKUP(S78:AG78,增益!$A:$A,增益!$V:$V,0)))*IF(VLOOKUP($R78,武学奇术!$A:$ZZ,23,FALSE)=1,0,1)</f>
        <v>0.4495</v>
      </c>
      <c r="BN78" s="21" cm="1">
        <f t="array" ref="BN78">1+$B$14+VLOOKUP($R78,武学奇术!$A:$ZZ,20,FALSE)+SUM(_xlfn.XLOOKUP(S78:AG78,增益!$A:$A,增益!$T:$T,0))</f>
        <v>1.782</v>
      </c>
      <c r="BO78" s="21">
        <f t="shared" si="20"/>
        <v>0.18803265</v>
      </c>
      <c r="BP78" s="21">
        <f t="shared" si="21"/>
        <v>0.2649738</v>
      </c>
      <c r="BQ78" s="21">
        <f>IF(VLOOKUP($R78,武学奇术!$A:$ZZ,22,FALSE)=1,0,(1-$BJ78))*(1-$BM78)</f>
        <v>0.09749355</v>
      </c>
      <c r="BR78" s="21" cm="1">
        <f t="array" ref="BR78">SUM(_xlfn.XLOOKUP(S78:AG78,增益!$A:$A,增益!$W:$W,0))+$I$5</f>
        <v>0.06</v>
      </c>
    </row>
    <row r="79" spans="3:70">
      <c r="K79" s="24">
        <f>$L79*VLOOKUP($R79,武学奇术!$A:$ZZ,31,FALSE)</f>
        <v>33579.3853367589</v>
      </c>
      <c r="L79" s="24">
        <f t="shared" si="11"/>
        <v>33579.3853367589</v>
      </c>
      <c r="M79" s="24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BL79*$Q79*(1+IF(VLOOKUP($R79,武学奇术!$A:$ZZ,30,FALSE)="流血",$B$21,0))*(1+$BR79)</f>
        <v>30142.3637542499</v>
      </c>
      <c r="N79" s="24">
        <f>(($AP79*$AI79+$AJ79)*(1+$AQ79)*(1+$AR79)+($AU79*IF($G$1="鸣金",$AK79,$AI79)+IF($G$1="鸣金",$AL79*1.5,0))*(1+$AV79)*(1+$AW79)+($AY79*IF($G$1="裂石",$AK79,$AI79)+IF($G$1="裂石",$AL79*1.5,0))*(1+$AZ79)*(1+$BA79)+($BC79*IF($G$1="牵丝",$AK79,$AI79)+IF($G$1="牵丝",$AL79*1.5,0))*(1+$BD79)*(1+$BE79)+($BG79*IF($G$1="破竹",$AK79,$AI79)+IF($G$1="破竹",$AL79*1.5,0))*(1+$BH79)*(1+$BI79))*(1+$AM79)*$BN79*$Q79*(1+IF(VLOOKUP($R79,武学奇术!$A:$ZZ,30,FALSE)="流血",$B$21,0))*(1+$BR79)</f>
        <v>48035.8153013448</v>
      </c>
      <c r="O79" s="24">
        <f>((($AO79+$AP79)/2*$AI79+$AJ79)*(1+$AQ79)*(1+$AR79)+(($AT79+$AU79)/2*IF($G$1="鸣金",$AK79,$AI79)+IF($G$1="鸣金",$AL79*1.5,0))*(1+$AV79)*(1+$AW79)+(($AX79+$AY79)/2*IF($G$1="裂石",$AK79,$AI79)+IF($G$1="裂石",$AL79*1.5,0))*(1+$AZ79)*(1+$BA79)+(($BB79+$BC79)/2*IF($G$1="牵丝",$AK79,$AI79)+IF($G$1="牵丝",$AL79*1.5,0))*(1+$BD79)*(1+$BE79)+(($BF79+$BG79)/2*IF($G$1="破竹",$AK79,$AI79)+IF($G$1="破竹",$AL79*1.5,0))*(1+$BH79)*(1+$BI79))*(1+$AM79)*$Q79*(1+IF(VLOOKUP($R79,武学奇术!$A:$ZZ,30,FALSE)="流血",$B$21,0))*(1+$BR79)</f>
        <v>20094.9091694999</v>
      </c>
      <c r="P79" s="24">
        <f>((($AO79*$AI79+$AJ79)*(1+$AQ79)*(1+$AR79)+($AT79*IF($G$1="鸣金",$AK79,$AI79)+IF($G$1="鸣金",$AL79*1.5,0))*(1+$AV79)*(1+$AW79)+($AX79*IF($G$1="裂石",$AK79,$AI79)+IF($G$1="裂石",$AL79*1.5,0))*(1+$AZ79)*(1+$BA79)+($BB79*IF($G$1="牵丝",$AK79,$AI79)+IF($G$1="牵丝",$AL79*1.5,0))*(1+$BD79)*(1+$BE79)+($BF79*IF($G$1="破竹",$AK79,$AI79)+IF($G$1="破竹",$AL79*1.5,0))*(1+$BH79)*(1+$BI79))*(1+$AM79))*$Q79*(1+IF(VLOOKUP($R79,武学奇术!$A:$ZZ,30,FALSE)="流血",$B$21,0))*(1+$BR79)</f>
        <v>10204.9149049518</v>
      </c>
      <c r="Q79" s="31">
        <v>1</v>
      </c>
      <c r="R79" s="32" t="s">
        <v>86</v>
      </c>
      <c r="S79" s="32" t="s">
        <v>87</v>
      </c>
      <c r="T79" s="32" t="s">
        <v>104</v>
      </c>
      <c r="U79" s="32" t="s">
        <v>73</v>
      </c>
      <c r="V79" s="32" t="s">
        <v>73</v>
      </c>
      <c r="W79" s="32" t="s">
        <v>111</v>
      </c>
      <c r="X79" s="32" t="s">
        <v>127</v>
      </c>
      <c r="Y79" s="32" t="s">
        <v>73</v>
      </c>
      <c r="Z79" s="32" t="s">
        <v>73</v>
      </c>
      <c r="AA79" s="32" t="s">
        <v>81</v>
      </c>
      <c r="AB79" s="32" t="s">
        <v>75</v>
      </c>
      <c r="AC79" s="32" t="s">
        <v>89</v>
      </c>
      <c r="AD79" s="32" t="s">
        <v>82</v>
      </c>
      <c r="AE79" s="32" t="s">
        <v>90</v>
      </c>
      <c r="AF79" s="32" t="s">
        <v>73</v>
      </c>
      <c r="AG79" s="32" t="s">
        <v>178</v>
      </c>
      <c r="AH79" t="str">
        <f>VLOOKUP($R79,武学奇术!$A:$ZZ,25,FALSE)</f>
        <v>剑</v>
      </c>
      <c r="AI79" s="21">
        <f>VLOOKUP($R79,武学奇术!$A:$ZZ,26,FALSE)</f>
        <v>1.1781</v>
      </c>
      <c r="AJ79" s="22">
        <f>VLOOKUP($R79,武学奇术!$A:$ZZ,27,FALSE)*(1+IF(OR($AH79=$F$4,$AH79=$F$5),$B$22,0))</f>
        <v>489</v>
      </c>
      <c r="AK79" s="21">
        <f>VLOOKUP($R79,武学奇术!$A:$ZZ,28,FALSE)</f>
        <v>1.7672</v>
      </c>
      <c r="AL79" s="22">
        <f>VLOOKUP($R79,武学奇术!$A:$ZZ,29,FALSE)*(1+IF(OR($AH79=$F$4,$AH79=$F$5),$B$22,0))</f>
        <v>265.5</v>
      </c>
      <c r="AM79" s="21" cm="1">
        <f t="array" ref="AM79">$G$3+IFERROR(VLOOKUP($AH79,$F$4:$G$7,2,FALSE),0)+VLOOKUP($R79,武学奇术!$A:$ZZ,2,FALSE)+SUM(_xlfn.XLOOKUP($S79:$AG79,增益!$A:$A,增益!$B:$B,0))</f>
        <v>0.8791</v>
      </c>
      <c r="AN79" s="21" cm="1">
        <f t="array" ref="AN79">VLOOKUP($R79,武学奇术!$A:$ZZ,5,FALSE)+SUM(_xlfn.XLOOKUP($S79:$AG79,增益!$A:$A,增益!$E:$E,0))</f>
        <v>0</v>
      </c>
      <c r="AO79" cm="1">
        <f t="array" ref="AO79">$D$10*(1+$AN79)+VLOOKUP($R79,武学奇术!$A:$ZZ,3,FALSE)+SUM(_xlfn.XLOOKUP($S79:$AG79,增益!$A:$A,增益!$C:$C,0))-$I$2</f>
        <v>1825.28</v>
      </c>
      <c r="AP79" cm="1">
        <f t="array" ref="AP79">$E$10*(1+$AN79)+VLOOKUP($R79,武学奇术!$A:$ZZ,4,FALSE)+SUM(_xlfn.XLOOKUP($S79:$AG79,增益!$A:$A,增益!$D:$D,0))-$I$2</f>
        <v>7757.36</v>
      </c>
      <c r="AQ79" s="26" cm="1">
        <f t="array" ref="AQ79">IF($F$10-$I$3+VLOOKUP($R79,武学奇术!$A:$ZZ,6,FALSE)+SUM(_xlfn.XLOOKUP(S79:AG79,增益!$A:$A,增益!$F:$F,0))&gt;0,($F$10-$I$3+VLOOKUP($R79,武学奇术!$A:$ZZ,6,FALSE)+SUM(_xlfn.XLOOKUP(S79:AG79,增益!$A:$A,增益!$F:$F,0)))/200,($F$10-$I$3+VLOOKUP($R79,武学奇术!$A:$ZZ,6,FALSE)+SUM(_xlfn.XLOOKUP(S79:AG79,增益!$A:$A,增益!$F:$F,0)))/100)</f>
        <v>0.244</v>
      </c>
      <c r="AR79" s="26" cm="1">
        <f t="array" ref="AR79">$G$10+VLOOKUP($R79,武学奇术!$A:$ZZ,7,FALSE)+SUM(_xlfn.XLOOKUP(S79:AG79,增益!$A:$A,增益!$G:$G,0))</f>
        <v>0</v>
      </c>
      <c r="AS79" s="21" cm="1">
        <f t="array" ref="AS79">VLOOKUP($R79,武学奇术!$A:$ZZ,8,FALSE)+SUM(_xlfn.XLOOKUP(S79:AG79,增益!$A:$A,增益!$H:$H,0))</f>
        <v>0</v>
      </c>
      <c r="AT79">
        <f t="shared" si="12"/>
        <v>680.02</v>
      </c>
      <c r="AU79">
        <f t="shared" si="13"/>
        <v>1288.54</v>
      </c>
      <c r="AV79" s="26" cm="1">
        <f t="array" ref="AV79">IF($F$11-$I$4+VLOOKUP($R79,武学奇术!$A:$ZZ,9,FALSE)+SUM(_xlfn.XLOOKUP(S79:AG79,增益!$A:$A,增益!$I:$I,0))&gt;0,($F$11-$I$4+VLOOKUP($R79,武学奇术!$A:$ZZ,9,FALSE)+SUM(_xlfn.XLOOKUP(S79:AG79,增益!$A:$A,增益!$I:$I,0)))/200,($F$11-$I$4+VLOOKUP($R79,武学奇术!$A:$ZZ,9,FALSE)+SUM(_xlfn.XLOOKUP(S79:AG79,增益!$A:$A,增益!$I:$I,0)))/100)</f>
        <v>0</v>
      </c>
      <c r="AW79" s="26" cm="1">
        <f t="array" ref="AW79">$G$11+VLOOKUP($R79,武学奇术!$A:$ZZ,10,FALSE)+SUM(_xlfn.XLOOKUP(S79:AG79,增益!$A:$A,增益!$J:$J,0))</f>
        <v>0.15</v>
      </c>
      <c r="AX79">
        <f t="shared" si="14"/>
        <v>0</v>
      </c>
      <c r="AY79">
        <f t="shared" si="15"/>
        <v>0</v>
      </c>
      <c r="AZ79" s="26" cm="1">
        <f t="array" ref="AZ79">IF($F$12-$I$4+VLOOKUP($R79,武学奇术!$A:$ZZ,11,FALSE)+SUM(_xlfn.XLOOKUP(S79:AG79,增益!$A:$A,增益!$K:$K,0))&gt;0,($F$12-$I$4+VLOOKUP($R79,武学奇术!$A:$ZZ,11,FALSE)+SUM(_xlfn.XLOOKUP(S79:AG79,增益!$A:$A,增益!$K:$K,0)))/200,($F$12-$I$4+VLOOKUP($R79,武学奇术!$A:$ZZ,11,FALSE)+SUM(_xlfn.XLOOKUP(S79:AG79,增益!$A:$A,增益!$K:$K,0)))/100)</f>
        <v>-0.3</v>
      </c>
      <c r="BA79" s="26" cm="1">
        <f t="array" ref="BA79">$G$12+VLOOKUP($R79,武学奇术!$A:$ZZ,12,FALSE)+SUM(_xlfn.XLOOKUP(S79:AG79,增益!$A:$A,增益!$L:$L,0))</f>
        <v>0</v>
      </c>
      <c r="BB79">
        <f t="shared" si="16"/>
        <v>0</v>
      </c>
      <c r="BC79">
        <f t="shared" si="17"/>
        <v>0</v>
      </c>
      <c r="BD79" s="26" cm="1">
        <f t="array" ref="BD79">IF($F$13-$I$4+VLOOKUP($R79,武学奇术!$A:$ZZ,13,FALSE)+SUM(_xlfn.XLOOKUP(S79:AG79,增益!$A:$A,增益!$M:$M,0))&gt;0,($F$13-$I$4+VLOOKUP($R79,武学奇术!$A:$ZZ,13,FALSE)+SUM(_xlfn.XLOOKUP(S79:AG79,增益!$A:$A,增益!$K:$K,0)))/200,($F$13-$I$4+VLOOKUP($R79,武学奇术!$A:$ZZ,13,FALSE)+SUM(_xlfn.XLOOKUP(S79:AG79,增益!$A:$A,增益!$M:$M,0)))/100)</f>
        <v>-0.3</v>
      </c>
      <c r="BE79" s="26" cm="1">
        <f t="array" ref="BE79">$G$13+VLOOKUP($R79,武学奇术!$A:$ZZ,14,FALSE)+SUM(_xlfn.XLOOKUP(S79:AG79,增益!$A:$A,增益!$N:$N,0))</f>
        <v>0</v>
      </c>
      <c r="BF79">
        <f t="shared" si="18"/>
        <v>0</v>
      </c>
      <c r="BG79">
        <f t="shared" si="19"/>
        <v>0</v>
      </c>
      <c r="BH79" s="26" cm="1">
        <f t="array" ref="BH79">IF($F$14-$I$4+VLOOKUP($R79,武学奇术!$A:$ZZ,15,FALSE)+SUM(_xlfn.XLOOKUP(S79:AG79,增益!$A:$A,增益!$O:$O,0))&gt;0,($F$14-$I$4+VLOOKUP($R79,武学奇术!$A:$ZZ,15,FALSE)+SUM(_xlfn.XLOOKUP(S79:AG79,增益!$A:$A,增益!$O:$O,0)))/200,($F$14-$I$4+VLOOKUP($R79,武学奇术!$A:$ZZ,15,FALSE)+SUM(_xlfn.XLOOKUP(S79:AG79,增益!$A:$A,增益!$O:$O,0)))/100)</f>
        <v>-0.3</v>
      </c>
      <c r="BI79" s="26" cm="1">
        <f t="array" ref="BI79">$G$14+VLOOKUP($R79,武学奇术!$A:$ZZ,16,FALSE)+SUM(_xlfn.XLOOKUP(S79:AG79,增益!$A:$A,增益!$P:$P,0))</f>
        <v>0</v>
      </c>
      <c r="BJ79" s="21">
        <f>MIN(IF(VLOOKUP($R79,武学奇术!$A:$ZZ,23,FALSE)=1,100%,$B$8),100%)</f>
        <v>0.8229</v>
      </c>
      <c r="BK79" s="21" cm="1">
        <f t="array" ref="BK79">IF(VLOOKUP($R79,武学奇术!$A:$ZZ,23,FALSE)=1,100%,MIN(80%,$B$9+VLOOKUP($R79,武学奇术!$A:$ZZ,17,FALSE)+SUM(_xlfn.XLOOKUP(S79:AG79,增益!$A:$A,增益!$Q:$Q,0)))+$B$11+SUM(_xlfn.XLOOKUP(S79:AG79,增益!$A:$A,增益!$U:$U,0)))*IF(VLOOKUP($R79,武学奇术!$A:$ZZ,24,FALSE)=1,0,1)</f>
        <v>0.2285</v>
      </c>
      <c r="BL79" s="21" cm="1">
        <f t="array" ref="BL79">1+$B$13+VLOOKUP($R79,武学奇术!$A:$ZZ,18,FALSE)+SUM(_xlfn.XLOOKUP(S79:AG79,增益!$A:$A,增益!$R:$R,0))</f>
        <v>1.5</v>
      </c>
      <c r="BM79" s="21" cm="1">
        <f t="array" ref="BM79">IF(VLOOKUP($R79,武学奇术!$A:$ZZ,24,FALSE)=1,100%,MIN(40%,$B$10+VLOOKUP($R79,武学奇术!$A:$ZZ,19,FALSE)+SUM(_xlfn.XLOOKUP(S79:AG79,增益!$A:$A,增益!$S:$S,0)))+$B$12+SUM(_xlfn.XLOOKUP(S79:AG79,增益!$A:$A,增益!$V:$V,0)))*IF(VLOOKUP($R79,武学奇术!$A:$ZZ,23,FALSE)=1,0,1)</f>
        <v>0.4495</v>
      </c>
      <c r="BN79" s="21" cm="1">
        <f t="array" ref="BN79">1+$B$14+VLOOKUP($R79,武学奇术!$A:$ZZ,20,FALSE)+SUM(_xlfn.XLOOKUP(S79:AG79,增益!$A:$A,增益!$T:$T,0))</f>
        <v>1.602</v>
      </c>
      <c r="BO79" s="21">
        <f t="shared" si="20"/>
        <v>0.18803265</v>
      </c>
      <c r="BP79" s="21">
        <f t="shared" si="21"/>
        <v>0.2649738</v>
      </c>
      <c r="BQ79" s="21">
        <f>IF(VLOOKUP($R79,武学奇术!$A:$ZZ,22,FALSE)=1,0,(1-$BJ79))*(1-$BM79)</f>
        <v>0.09749355</v>
      </c>
      <c r="BR79" s="21" cm="1">
        <f t="array" ref="BR79">SUM(_xlfn.XLOOKUP(S79:AG79,增益!$A:$A,增益!$W:$W,0))+$I$5</f>
        <v>0.06</v>
      </c>
    </row>
    <row r="80" spans="3:70">
      <c r="C80" s="31"/>
      <c r="K80" s="24">
        <f>$L80*VLOOKUP($R80,武学奇术!$A:$ZZ,31,FALSE)</f>
        <v>83003.1876942344</v>
      </c>
      <c r="L80" s="24">
        <f t="shared" si="11"/>
        <v>138338.646157057</v>
      </c>
      <c r="M80" s="24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BL80*$Q80*(1+IF(VLOOKUP($R80,武学奇术!$A:$ZZ,30,FALSE)="流血",$B$21,0))*(1+$BR80)</f>
        <v>113257.891808962</v>
      </c>
      <c r="N80" s="24">
        <f>(($AP80*$AI80+$AJ80)*(1+$AQ80)*(1+$AR80)+($AU80*IF($G$1="鸣金",$AK80,$AI80)+IF($G$1="鸣金",$AL80*1.5,0))*(1+$AV80)*(1+$AW80)+($AY80*IF($G$1="裂石",$AK80,$AI80)+IF($G$1="裂石",$AL80*1.5,0))*(1+$AZ80)*(1+$BA80)+($BC80*IF($G$1="牵丝",$AK80,$AI80)+IF($G$1="牵丝",$AL80*1.5,0))*(1+$BD80)*(1+$BE80)+($BG80*IF($G$1="破竹",$AK80,$AI80)+IF($G$1="破竹",$AL80*1.5,0))*(1+$BH80)*(1+$BI80))*(1+$AM80)*$BN80*$Q80*(1+IF(VLOOKUP($R80,武学奇术!$A:$ZZ,30,FALSE)="流血",$B$21,0))*(1+$BR80)</f>
        <v>208498.278422863</v>
      </c>
      <c r="O80" s="24">
        <f>((($AO80+$AP80)/2*$AI80+$AJ80)*(1+$AQ80)*(1+$AR80)+(($AT80+$AU80)/2*IF($G$1="鸣金",$AK80,$AI80)+IF($G$1="鸣金",$AL80*1.5,0))*(1+$AV80)*(1+$AW80)+(($AX80+$AY80)/2*IF($G$1="裂石",$AK80,$AI80)+IF($G$1="裂石",$AL80*1.5,0))*(1+$AZ80)*(1+$BA80)+(($BB80+$BC80)/2*IF($G$1="牵丝",$AK80,$AI80)+IF($G$1="牵丝",$AL80*1.5,0))*(1+$BD80)*(1+$BE80)+(($BF80+$BG80)/2*IF($G$1="破竹",$AK80,$AI80)+IF($G$1="破竹",$AL80*1.5,0))*(1+$BH80)*(1+$BI80))*(1+$AM80)*$Q80*(1+IF(VLOOKUP($R80,武学奇术!$A:$ZZ,30,FALSE)="流血",$B$21,0))*(1+$BR80)</f>
        <v>75505.2612059748</v>
      </c>
      <c r="P80" s="24">
        <f>((($AO80*$AI80+$AJ80)*(1+$AQ80)*(1+$AR80)+($AT80*IF($G$1="鸣金",$AK80,$AI80)+IF($G$1="鸣金",$AL80*1.5,0))*(1+$AV80)*(1+$AW80)+($AX80*IF($G$1="裂石",$AK80,$AI80)+IF($G$1="裂石",$AL80*1.5,0))*(1+$AZ80)*(1+$BA80)+($BB80*IF($G$1="牵丝",$AK80,$AI80)+IF($G$1="牵丝",$AL80*1.5,0))*(1+$BD80)*(1+$BE80)+($BF80*IF($G$1="破竹",$AK80,$AI80)+IF($G$1="破竹",$AL80*1.5,0))*(1+$BH80)*(1+$BI80))*(1+$AM80))*$Q80*(1+IF(VLOOKUP($R80,武学奇术!$A:$ZZ,30,FALSE)="流血",$B$21,0))*(1+$BR80)</f>
        <v>34008.1215012524</v>
      </c>
      <c r="Q80" s="31">
        <v>1</v>
      </c>
      <c r="R80" s="32" t="s">
        <v>95</v>
      </c>
      <c r="S80" s="32" t="s">
        <v>87</v>
      </c>
      <c r="T80" s="32" t="s">
        <v>96</v>
      </c>
      <c r="U80" s="32" t="s">
        <v>97</v>
      </c>
      <c r="V80" s="32" t="s">
        <v>98</v>
      </c>
      <c r="W80" s="32" t="s">
        <v>111</v>
      </c>
      <c r="X80" s="32" t="s">
        <v>127</v>
      </c>
      <c r="Y80" s="32" t="s">
        <v>73</v>
      </c>
      <c r="Z80" s="32" t="s">
        <v>73</v>
      </c>
      <c r="AA80" s="32" t="s">
        <v>81</v>
      </c>
      <c r="AB80" s="32" t="s">
        <v>75</v>
      </c>
      <c r="AC80" s="32" t="s">
        <v>89</v>
      </c>
      <c r="AD80" s="32" t="s">
        <v>82</v>
      </c>
      <c r="AE80" s="32" t="s">
        <v>90</v>
      </c>
      <c r="AF80" s="32" t="s">
        <v>73</v>
      </c>
      <c r="AG80" s="32" t="s">
        <v>178</v>
      </c>
      <c r="AH80" t="str">
        <f>VLOOKUP($R80,武学奇术!$A:$ZZ,25,FALSE)</f>
        <v>剑</v>
      </c>
      <c r="AI80" s="21">
        <f>VLOOKUP($R80,武学奇术!$A:$ZZ,26,FALSE)</f>
        <v>2.52</v>
      </c>
      <c r="AJ80" s="22">
        <f>VLOOKUP($R80,武学奇术!$A:$ZZ,27,FALSE)*(1+IF(OR($AH80=$F$4,$AH80=$F$5),$B$22,0))</f>
        <v>0</v>
      </c>
      <c r="AK80" s="21">
        <f>VLOOKUP($R80,武学奇术!$A:$ZZ,28,FALSE)</f>
        <v>3.78</v>
      </c>
      <c r="AL80" s="22">
        <f>VLOOKUP($R80,武学奇术!$A:$ZZ,29,FALSE)*(1+IF(OR($AH80=$F$4,$AH80=$F$5),$B$22,0))</f>
        <v>0</v>
      </c>
      <c r="AM80" s="21" cm="1">
        <f t="array" ref="AM80">$G$3+IFERROR(VLOOKUP($AH80,$F$4:$G$7,2,FALSE),0)+VLOOKUP($R80,武学奇术!$A:$ZZ,2,FALSE)+SUM(_xlfn.XLOOKUP($S80:$AG80,增益!$A:$A,增益!$B:$B,0))</f>
        <v>1.6291</v>
      </c>
      <c r="AN80" s="21" cm="1">
        <f t="array" ref="AN80">VLOOKUP($R80,武学奇术!$A:$ZZ,5,FALSE)+SUM(_xlfn.XLOOKUP($S80:$AG80,增益!$A:$A,增益!$E:$E,0))</f>
        <v>0</v>
      </c>
      <c r="AO80" cm="1">
        <f t="array" ref="AO80">$D$10*(1+$AN80)+VLOOKUP($R80,武学奇术!$A:$ZZ,3,FALSE)+SUM(_xlfn.XLOOKUP($S80:$AG80,增益!$A:$A,增益!$C:$C,0))-$I$2</f>
        <v>1825.28</v>
      </c>
      <c r="AP80" cm="1">
        <f t="array" ref="AP80">$E$10*(1+$AN80)+VLOOKUP($R80,武学奇术!$A:$ZZ,4,FALSE)+SUM(_xlfn.XLOOKUP($S80:$AG80,增益!$A:$A,增益!$D:$D,0))-$I$2</f>
        <v>7757.36</v>
      </c>
      <c r="AQ80" s="26" cm="1">
        <f t="array" ref="AQ80">IF($F$10-$I$3+VLOOKUP($R80,武学奇术!$A:$ZZ,6,FALSE)+SUM(_xlfn.XLOOKUP(S80:AG80,增益!$A:$A,增益!$F:$F,0))&gt;0,($F$10-$I$3+VLOOKUP($R80,武学奇术!$A:$ZZ,6,FALSE)+SUM(_xlfn.XLOOKUP(S80:AG80,增益!$A:$A,增益!$F:$F,0)))/200,($F$10-$I$3+VLOOKUP($R80,武学奇术!$A:$ZZ,6,FALSE)+SUM(_xlfn.XLOOKUP(S80:AG80,增益!$A:$A,增益!$F:$F,0)))/100)</f>
        <v>0.319</v>
      </c>
      <c r="AR80" s="26" cm="1">
        <f t="array" ref="AR80">$G$10+VLOOKUP($R80,武学奇术!$A:$ZZ,7,FALSE)+SUM(_xlfn.XLOOKUP(S80:AG80,增益!$A:$A,增益!$G:$G,0))</f>
        <v>0</v>
      </c>
      <c r="AS80" s="21" cm="1">
        <f t="array" ref="AS80">VLOOKUP($R80,武学奇术!$A:$ZZ,8,FALSE)+SUM(_xlfn.XLOOKUP(S80:AG80,增益!$A:$A,增益!$H:$H,0))</f>
        <v>0</v>
      </c>
      <c r="AT80">
        <f t="shared" si="12"/>
        <v>680.02</v>
      </c>
      <c r="AU80">
        <f t="shared" si="13"/>
        <v>1288.54</v>
      </c>
      <c r="AV80" s="26" cm="1">
        <f t="array" ref="AV80">IF($F$11-$I$4+VLOOKUP($R80,武学奇术!$A:$ZZ,9,FALSE)+SUM(_xlfn.XLOOKUP(S80:AG80,增益!$A:$A,增益!$I:$I,0))&gt;0,($F$11-$I$4+VLOOKUP($R80,武学奇术!$A:$ZZ,9,FALSE)+SUM(_xlfn.XLOOKUP(S80:AG80,增益!$A:$A,增益!$I:$I,0)))/200,($F$11-$I$4+VLOOKUP($R80,武学奇术!$A:$ZZ,9,FALSE)+SUM(_xlfn.XLOOKUP(S80:AG80,增益!$A:$A,增益!$I:$I,0)))/100)</f>
        <v>0.075</v>
      </c>
      <c r="AW80" s="26" cm="1">
        <f t="array" ref="AW80">$G$11+VLOOKUP($R80,武学奇术!$A:$ZZ,10,FALSE)+SUM(_xlfn.XLOOKUP(S80:AG80,增益!$A:$A,增益!$J:$J,0))</f>
        <v>0.15</v>
      </c>
      <c r="AX80">
        <f t="shared" si="14"/>
        <v>0</v>
      </c>
      <c r="AY80">
        <f t="shared" si="15"/>
        <v>0</v>
      </c>
      <c r="AZ80" s="26" cm="1">
        <f t="array" ref="AZ80">IF($F$12-$I$4+VLOOKUP($R80,武学奇术!$A:$ZZ,11,FALSE)+SUM(_xlfn.XLOOKUP(S80:AG80,增益!$A:$A,增益!$K:$K,0))&gt;0,($F$12-$I$4+VLOOKUP($R80,武学奇术!$A:$ZZ,11,FALSE)+SUM(_xlfn.XLOOKUP(S80:AG80,增益!$A:$A,增益!$K:$K,0)))/200,($F$12-$I$4+VLOOKUP($R80,武学奇术!$A:$ZZ,11,FALSE)+SUM(_xlfn.XLOOKUP(S80:AG80,增益!$A:$A,增益!$K:$K,0)))/100)</f>
        <v>-0.3</v>
      </c>
      <c r="BA80" s="26" cm="1">
        <f t="array" ref="BA80">$G$12+VLOOKUP($R80,武学奇术!$A:$ZZ,12,FALSE)+SUM(_xlfn.XLOOKUP(S80:AG80,增益!$A:$A,增益!$L:$L,0))</f>
        <v>0</v>
      </c>
      <c r="BB80">
        <f t="shared" si="16"/>
        <v>0</v>
      </c>
      <c r="BC80">
        <f t="shared" si="17"/>
        <v>0</v>
      </c>
      <c r="BD80" s="26" cm="1">
        <f t="array" ref="BD80">IF($F$13-$I$4+VLOOKUP($R80,武学奇术!$A:$ZZ,13,FALSE)+SUM(_xlfn.XLOOKUP(S80:AG80,增益!$A:$A,增益!$M:$M,0))&gt;0,($F$13-$I$4+VLOOKUP($R80,武学奇术!$A:$ZZ,13,FALSE)+SUM(_xlfn.XLOOKUP(S80:AG80,增益!$A:$A,增益!$K:$K,0)))/200,($F$13-$I$4+VLOOKUP($R80,武学奇术!$A:$ZZ,13,FALSE)+SUM(_xlfn.XLOOKUP(S80:AG80,增益!$A:$A,增益!$M:$M,0)))/100)</f>
        <v>-0.3</v>
      </c>
      <c r="BE80" s="26" cm="1">
        <f t="array" ref="BE80">$G$13+VLOOKUP($R80,武学奇术!$A:$ZZ,14,FALSE)+SUM(_xlfn.XLOOKUP(S80:AG80,增益!$A:$A,增益!$N:$N,0))</f>
        <v>0</v>
      </c>
      <c r="BF80">
        <f t="shared" si="18"/>
        <v>0</v>
      </c>
      <c r="BG80">
        <f t="shared" si="19"/>
        <v>0</v>
      </c>
      <c r="BH80" s="26" cm="1">
        <f t="array" ref="BH80">IF($F$14-$I$4+VLOOKUP($R80,武学奇术!$A:$ZZ,15,FALSE)+SUM(_xlfn.XLOOKUP(S80:AG80,增益!$A:$A,增益!$O:$O,0))&gt;0,($F$14-$I$4+VLOOKUP($R80,武学奇术!$A:$ZZ,15,FALSE)+SUM(_xlfn.XLOOKUP(S80:AG80,增益!$A:$A,增益!$O:$O,0)))/200,($F$14-$I$4+VLOOKUP($R80,武学奇术!$A:$ZZ,15,FALSE)+SUM(_xlfn.XLOOKUP(S80:AG80,增益!$A:$A,增益!$O:$O,0)))/100)</f>
        <v>-0.3</v>
      </c>
      <c r="BI80" s="26" cm="1">
        <f t="array" ref="BI80">$G$14+VLOOKUP($R80,武学奇术!$A:$ZZ,16,FALSE)+SUM(_xlfn.XLOOKUP(S80:AG80,增益!$A:$A,增益!$P:$P,0))</f>
        <v>0</v>
      </c>
      <c r="BJ80" s="21">
        <f>MIN(IF(VLOOKUP($R80,武学奇术!$A:$ZZ,23,FALSE)=1,100%,$B$8),100%)</f>
        <v>0.8229</v>
      </c>
      <c r="BK80" s="21" cm="1">
        <f t="array" ref="BK80">IF(VLOOKUP($R80,武学奇术!$A:$ZZ,23,FALSE)=1,100%,MIN(80%,$B$9+VLOOKUP($R80,武学奇术!$A:$ZZ,17,FALSE)+SUM(_xlfn.XLOOKUP(S80:AG80,增益!$A:$A,增益!$Q:$Q,0)))+$B$11+SUM(_xlfn.XLOOKUP(S80:AG80,增益!$A:$A,增益!$U:$U,0)))*IF(VLOOKUP($R80,武学奇术!$A:$ZZ,24,FALSE)=1,0,1)</f>
        <v>0.2285</v>
      </c>
      <c r="BL80" s="21" cm="1">
        <f t="array" ref="BL80">1+$B$13+VLOOKUP($R80,武学奇术!$A:$ZZ,18,FALSE)+SUM(_xlfn.XLOOKUP(S80:AG80,增益!$A:$A,增益!$R:$R,0))</f>
        <v>1.5</v>
      </c>
      <c r="BM80" s="21" cm="1">
        <f t="array" ref="BM80">IF(VLOOKUP($R80,武学奇术!$A:$ZZ,24,FALSE)=1,100%,MIN(40%,$B$10+VLOOKUP($R80,武学奇术!$A:$ZZ,19,FALSE)+SUM(_xlfn.XLOOKUP(S80:AG80,增益!$A:$A,增益!$S:$S,0)))+$B$12+SUM(_xlfn.XLOOKUP(S80:AG80,增益!$A:$A,增益!$V:$V,0)))*IF(VLOOKUP($R80,武学奇术!$A:$ZZ,23,FALSE)=1,0,1)</f>
        <v>0.4495</v>
      </c>
      <c r="BN80" s="21" cm="1">
        <f t="array" ref="BN80">1+$B$14+VLOOKUP($R80,武学奇术!$A:$ZZ,20,FALSE)+SUM(_xlfn.XLOOKUP(S80:AG80,增益!$A:$A,增益!$T:$T,0))</f>
        <v>1.782</v>
      </c>
      <c r="BO80" s="21">
        <f t="shared" si="20"/>
        <v>0.18803265</v>
      </c>
      <c r="BP80" s="21">
        <f t="shared" si="21"/>
        <v>0.2649738</v>
      </c>
      <c r="BQ80" s="21">
        <f>IF(VLOOKUP($R80,武学奇术!$A:$ZZ,22,FALSE)=1,0,(1-$BJ80))*(1-$BM80)</f>
        <v>0.09749355</v>
      </c>
      <c r="BR80" s="21" cm="1">
        <f t="array" ref="BR80">SUM(_xlfn.XLOOKUP(S80:AG80,增益!$A:$A,增益!$W:$W,0))+$I$5</f>
        <v>0.06</v>
      </c>
    </row>
    <row r="81" spans="11:70">
      <c r="K81" s="24">
        <f>$L81*VLOOKUP($R81,武学奇术!$A:$ZZ,31,FALSE)</f>
        <v>125098.967053718</v>
      </c>
      <c r="L81" s="24">
        <f t="shared" si="11"/>
        <v>208498.278422863</v>
      </c>
      <c r="M81" s="24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BL81*$Q81*(1+IF(VLOOKUP($R81,武学奇术!$A:$ZZ,30,FALSE)="流血",$B$21,0))*(1+$BR81)</f>
        <v>113257.891808962</v>
      </c>
      <c r="N81" s="24">
        <f>(($AP81*$AI81+$AJ81)*(1+$AQ81)*(1+$AR81)+($AU81*IF($G$1="鸣金",$AK81,$AI81)+IF($G$1="鸣金",$AL81*1.5,0))*(1+$AV81)*(1+$AW81)+($AY81*IF($G$1="裂石",$AK81,$AI81)+IF($G$1="裂石",$AL81*1.5,0))*(1+$AZ81)*(1+$BA81)+($BC81*IF($G$1="牵丝",$AK81,$AI81)+IF($G$1="牵丝",$AL81*1.5,0))*(1+$BD81)*(1+$BE81)+($BG81*IF($G$1="破竹",$AK81,$AI81)+IF($G$1="破竹",$AL81*1.5,0))*(1+$BH81)*(1+$BI81))*(1+$AM81)*$BN81*$Q81*(1+IF(VLOOKUP($R81,武学奇术!$A:$ZZ,30,FALSE)="流血",$B$21,0))*(1+$BR81)</f>
        <v>208498.278422863</v>
      </c>
      <c r="O81" s="24">
        <f>((($AO81+$AP81)/2*$AI81+$AJ81)*(1+$AQ81)*(1+$AR81)+(($AT81+$AU81)/2*IF($G$1="鸣金",$AK81,$AI81)+IF($G$1="鸣金",$AL81*1.5,0))*(1+$AV81)*(1+$AW81)+(($AX81+$AY81)/2*IF($G$1="裂石",$AK81,$AI81)+IF($G$1="裂石",$AL81*1.5,0))*(1+$AZ81)*(1+$BA81)+(($BB81+$BC81)/2*IF($G$1="牵丝",$AK81,$AI81)+IF($G$1="牵丝",$AL81*1.5,0))*(1+$BD81)*(1+$BE81)+(($BF81+$BG81)/2*IF($G$1="破竹",$AK81,$AI81)+IF($G$1="破竹",$AL81*1.5,0))*(1+$BH81)*(1+$BI81))*(1+$AM81)*$Q81*(1+IF(VLOOKUP($R81,武学奇术!$A:$ZZ,30,FALSE)="流血",$B$21,0))*(1+$BR81)</f>
        <v>75505.2612059748</v>
      </c>
      <c r="P81" s="24">
        <f>((($AO81*$AI81+$AJ81)*(1+$AQ81)*(1+$AR81)+($AT81*IF($G$1="鸣金",$AK81,$AI81)+IF($G$1="鸣金",$AL81*1.5,0))*(1+$AV81)*(1+$AW81)+($AX81*IF($G$1="裂石",$AK81,$AI81)+IF($G$1="裂石",$AL81*1.5,0))*(1+$AZ81)*(1+$BA81)+($BB81*IF($G$1="牵丝",$AK81,$AI81)+IF($G$1="牵丝",$AL81*1.5,0))*(1+$BD81)*(1+$BE81)+($BF81*IF($G$1="破竹",$AK81,$AI81)+IF($G$1="破竹",$AL81*1.5,0))*(1+$BH81)*(1+$BI81))*(1+$AM81))*$Q81*(1+IF(VLOOKUP($R81,武学奇术!$A:$ZZ,30,FALSE)="流血",$B$21,0))*(1+$BR81)</f>
        <v>34008.1215012524</v>
      </c>
      <c r="Q81" s="31">
        <v>1</v>
      </c>
      <c r="R81" s="32" t="s">
        <v>120</v>
      </c>
      <c r="S81" s="32" t="s">
        <v>87</v>
      </c>
      <c r="T81" s="32" t="s">
        <v>96</v>
      </c>
      <c r="U81" s="32" t="s">
        <v>97</v>
      </c>
      <c r="V81" s="32" t="s">
        <v>98</v>
      </c>
      <c r="W81" s="32" t="s">
        <v>111</v>
      </c>
      <c r="X81" s="32" t="s">
        <v>127</v>
      </c>
      <c r="Y81" s="32" t="s">
        <v>73</v>
      </c>
      <c r="Z81" s="32" t="s">
        <v>73</v>
      </c>
      <c r="AA81" s="32" t="s">
        <v>81</v>
      </c>
      <c r="AB81" s="32" t="s">
        <v>75</v>
      </c>
      <c r="AC81" s="32" t="s">
        <v>89</v>
      </c>
      <c r="AD81" s="32" t="s">
        <v>82</v>
      </c>
      <c r="AE81" s="32" t="s">
        <v>90</v>
      </c>
      <c r="AF81" s="32" t="s">
        <v>73</v>
      </c>
      <c r="AG81" s="32" t="s">
        <v>178</v>
      </c>
      <c r="AH81" t="str">
        <f>VLOOKUP($R81,武学奇术!$A:$ZZ,25,FALSE)</f>
        <v>剑</v>
      </c>
      <c r="AI81" s="21">
        <f>VLOOKUP($R81,武学奇术!$A:$ZZ,26,FALSE)</f>
        <v>2.52</v>
      </c>
      <c r="AJ81" s="22">
        <f>VLOOKUP($R81,武学奇术!$A:$ZZ,27,FALSE)*(1+IF(OR($AH81=$F$4,$AH81=$F$5),$B$22,0))</f>
        <v>0</v>
      </c>
      <c r="AK81" s="21">
        <f>VLOOKUP($R81,武学奇术!$A:$ZZ,28,FALSE)</f>
        <v>3.78</v>
      </c>
      <c r="AL81" s="22">
        <f>VLOOKUP($R81,武学奇术!$A:$ZZ,29,FALSE)*(1+IF(OR($AH81=$F$4,$AH81=$F$5),$B$22,0))</f>
        <v>0</v>
      </c>
      <c r="AM81" s="21" cm="1">
        <f t="array" ref="AM81">$G$3+IFERROR(VLOOKUP($AH81,$F$4:$G$7,2,FALSE),0)+VLOOKUP($R81,武学奇术!$A:$ZZ,2,FALSE)+SUM(_xlfn.XLOOKUP($S81:$AG81,增益!$A:$A,增益!$B:$B,0))</f>
        <v>1.6291</v>
      </c>
      <c r="AN81" s="21" cm="1">
        <f t="array" ref="AN81">VLOOKUP($R81,武学奇术!$A:$ZZ,5,FALSE)+SUM(_xlfn.XLOOKUP($S81:$AG81,增益!$A:$A,增益!$E:$E,0))</f>
        <v>0</v>
      </c>
      <c r="AO81" cm="1">
        <f t="array" ref="AO81">$D$10*(1+$AN81)+VLOOKUP($R81,武学奇术!$A:$ZZ,3,FALSE)+SUM(_xlfn.XLOOKUP($S81:$AG81,增益!$A:$A,增益!$C:$C,0))-$I$2</f>
        <v>1825.28</v>
      </c>
      <c r="AP81" cm="1">
        <f t="array" ref="AP81">$E$10*(1+$AN81)+VLOOKUP($R81,武学奇术!$A:$ZZ,4,FALSE)+SUM(_xlfn.XLOOKUP($S81:$AG81,增益!$A:$A,增益!$D:$D,0))-$I$2</f>
        <v>7757.36</v>
      </c>
      <c r="AQ81" s="26" cm="1">
        <f t="array" ref="AQ81">IF($F$10-$I$3+VLOOKUP($R81,武学奇术!$A:$ZZ,6,FALSE)+SUM(_xlfn.XLOOKUP(S81:AG81,增益!$A:$A,增益!$F:$F,0))&gt;0,($F$10-$I$3+VLOOKUP($R81,武学奇术!$A:$ZZ,6,FALSE)+SUM(_xlfn.XLOOKUP(S81:AG81,增益!$A:$A,增益!$F:$F,0)))/200,($F$10-$I$3+VLOOKUP($R81,武学奇术!$A:$ZZ,6,FALSE)+SUM(_xlfn.XLOOKUP(S81:AG81,增益!$A:$A,增益!$F:$F,0)))/100)</f>
        <v>0.319</v>
      </c>
      <c r="AR81" s="26" cm="1">
        <f t="array" ref="AR81">$G$10+VLOOKUP($R81,武学奇术!$A:$ZZ,7,FALSE)+SUM(_xlfn.XLOOKUP(S81:AG81,增益!$A:$A,增益!$G:$G,0))</f>
        <v>0</v>
      </c>
      <c r="AS81" s="21" cm="1">
        <f t="array" ref="AS81">VLOOKUP($R81,武学奇术!$A:$ZZ,8,FALSE)+SUM(_xlfn.XLOOKUP(S81:AG81,增益!$A:$A,增益!$H:$H,0))</f>
        <v>0</v>
      </c>
      <c r="AT81">
        <f t="shared" si="12"/>
        <v>680.02</v>
      </c>
      <c r="AU81">
        <f t="shared" si="13"/>
        <v>1288.54</v>
      </c>
      <c r="AV81" s="26" cm="1">
        <f t="array" ref="AV81">IF($F$11-$I$4+VLOOKUP($R81,武学奇术!$A:$ZZ,9,FALSE)+SUM(_xlfn.XLOOKUP(S81:AG81,增益!$A:$A,增益!$I:$I,0))&gt;0,($F$11-$I$4+VLOOKUP($R81,武学奇术!$A:$ZZ,9,FALSE)+SUM(_xlfn.XLOOKUP(S81:AG81,增益!$A:$A,增益!$I:$I,0)))/200,($F$11-$I$4+VLOOKUP($R81,武学奇术!$A:$ZZ,9,FALSE)+SUM(_xlfn.XLOOKUP(S81:AG81,增益!$A:$A,增益!$I:$I,0)))/100)</f>
        <v>0.075</v>
      </c>
      <c r="AW81" s="26" cm="1">
        <f t="array" ref="AW81">$G$11+VLOOKUP($R81,武学奇术!$A:$ZZ,10,FALSE)+SUM(_xlfn.XLOOKUP(S81:AG81,增益!$A:$A,增益!$J:$J,0))</f>
        <v>0.15</v>
      </c>
      <c r="AX81">
        <f t="shared" si="14"/>
        <v>0</v>
      </c>
      <c r="AY81">
        <f t="shared" si="15"/>
        <v>0</v>
      </c>
      <c r="AZ81" s="26" cm="1">
        <f t="array" ref="AZ81">IF($F$12-$I$4+VLOOKUP($R81,武学奇术!$A:$ZZ,11,FALSE)+SUM(_xlfn.XLOOKUP(S81:AG81,增益!$A:$A,增益!$K:$K,0))&gt;0,($F$12-$I$4+VLOOKUP($R81,武学奇术!$A:$ZZ,11,FALSE)+SUM(_xlfn.XLOOKUP(S81:AG81,增益!$A:$A,增益!$K:$K,0)))/200,($F$12-$I$4+VLOOKUP($R81,武学奇术!$A:$ZZ,11,FALSE)+SUM(_xlfn.XLOOKUP(S81:AG81,增益!$A:$A,增益!$K:$K,0)))/100)</f>
        <v>-0.3</v>
      </c>
      <c r="BA81" s="26" cm="1">
        <f t="array" ref="BA81">$G$12+VLOOKUP($R81,武学奇术!$A:$ZZ,12,FALSE)+SUM(_xlfn.XLOOKUP(S81:AG81,增益!$A:$A,增益!$L:$L,0))</f>
        <v>0</v>
      </c>
      <c r="BB81">
        <f t="shared" si="16"/>
        <v>0</v>
      </c>
      <c r="BC81">
        <f t="shared" si="17"/>
        <v>0</v>
      </c>
      <c r="BD81" s="26" cm="1">
        <f t="array" ref="BD81">IF($F$13-$I$4+VLOOKUP($R81,武学奇术!$A:$ZZ,13,FALSE)+SUM(_xlfn.XLOOKUP(S81:AG81,增益!$A:$A,增益!$M:$M,0))&gt;0,($F$13-$I$4+VLOOKUP($R81,武学奇术!$A:$ZZ,13,FALSE)+SUM(_xlfn.XLOOKUP(S81:AG81,增益!$A:$A,增益!$K:$K,0)))/200,($F$13-$I$4+VLOOKUP($R81,武学奇术!$A:$ZZ,13,FALSE)+SUM(_xlfn.XLOOKUP(S81:AG81,增益!$A:$A,增益!$M:$M,0)))/100)</f>
        <v>-0.3</v>
      </c>
      <c r="BE81" s="26" cm="1">
        <f t="array" ref="BE81">$G$13+VLOOKUP($R81,武学奇术!$A:$ZZ,14,FALSE)+SUM(_xlfn.XLOOKUP(S81:AG81,增益!$A:$A,增益!$N:$N,0))</f>
        <v>0</v>
      </c>
      <c r="BF81">
        <f t="shared" si="18"/>
        <v>0</v>
      </c>
      <c r="BG81">
        <f t="shared" si="19"/>
        <v>0</v>
      </c>
      <c r="BH81" s="26" cm="1">
        <f t="array" ref="BH81">IF($F$14-$I$4+VLOOKUP($R81,武学奇术!$A:$ZZ,15,FALSE)+SUM(_xlfn.XLOOKUP(S81:AG81,增益!$A:$A,增益!$O:$O,0))&gt;0,($F$14-$I$4+VLOOKUP($R81,武学奇术!$A:$ZZ,15,FALSE)+SUM(_xlfn.XLOOKUP(S81:AG81,增益!$A:$A,增益!$O:$O,0)))/200,($F$14-$I$4+VLOOKUP($R81,武学奇术!$A:$ZZ,15,FALSE)+SUM(_xlfn.XLOOKUP(S81:AG81,增益!$A:$A,增益!$O:$O,0)))/100)</f>
        <v>-0.3</v>
      </c>
      <c r="BI81" s="26" cm="1">
        <f t="array" ref="BI81">$G$14+VLOOKUP($R81,武学奇术!$A:$ZZ,16,FALSE)+SUM(_xlfn.XLOOKUP(S81:AG81,增益!$A:$A,增益!$P:$P,0))</f>
        <v>0</v>
      </c>
      <c r="BJ81" s="21">
        <f>MIN(IF(VLOOKUP($R81,武学奇术!$A:$ZZ,23,FALSE)=1,100%,$B$8),100%)</f>
        <v>0.8229</v>
      </c>
      <c r="BK81" s="21" cm="1">
        <f t="array" ref="BK81">IF(VLOOKUP($R81,武学奇术!$A:$ZZ,23,FALSE)=1,100%,MIN(80%,$B$9+VLOOKUP($R81,武学奇术!$A:$ZZ,17,FALSE)+SUM(_xlfn.XLOOKUP(S81:AG81,增益!$A:$A,增益!$Q:$Q,0)))+$B$11+SUM(_xlfn.XLOOKUP(S81:AG81,增益!$A:$A,增益!$U:$U,0)))*IF(VLOOKUP($R81,武学奇术!$A:$ZZ,24,FALSE)=1,0,1)</f>
        <v>0</v>
      </c>
      <c r="BL81" s="21" cm="1">
        <f t="array" ref="BL81">1+$B$13+VLOOKUP($R81,武学奇术!$A:$ZZ,18,FALSE)+SUM(_xlfn.XLOOKUP(S81:AG81,增益!$A:$A,增益!$R:$R,0))</f>
        <v>1.5</v>
      </c>
      <c r="BM81" s="21" cm="1">
        <f t="array" ref="BM81">IF(VLOOKUP($R81,武学奇术!$A:$ZZ,24,FALSE)=1,100%,MIN(40%,$B$10+VLOOKUP($R81,武学奇术!$A:$ZZ,19,FALSE)+SUM(_xlfn.XLOOKUP(S81:AG81,增益!$A:$A,增益!$S:$S,0)))+$B$12+SUM(_xlfn.XLOOKUP(S81:AG81,增益!$A:$A,增益!$V:$V,0)))*IF(VLOOKUP($R81,武学奇术!$A:$ZZ,23,FALSE)=1,0,1)</f>
        <v>1</v>
      </c>
      <c r="BN81" s="21" cm="1">
        <f t="array" ref="BN81">1+$B$14+VLOOKUP($R81,武学奇术!$A:$ZZ,20,FALSE)+SUM(_xlfn.XLOOKUP(S81:AG81,增益!$A:$A,增益!$T:$T,0))</f>
        <v>1.782</v>
      </c>
      <c r="BO81" s="21">
        <f t="shared" si="20"/>
        <v>0</v>
      </c>
      <c r="BP81" s="21">
        <f t="shared" si="21"/>
        <v>0</v>
      </c>
      <c r="BQ81" s="21">
        <f>IF(VLOOKUP($R81,武学奇术!$A:$ZZ,22,FALSE)=1,0,(1-$BJ81))*(1-$BM81)</f>
        <v>0</v>
      </c>
      <c r="BR81" s="21" cm="1">
        <f t="array" ref="BR81">SUM(_xlfn.XLOOKUP(S81:AG81,增益!$A:$A,增益!$W:$W,0))+$I$5</f>
        <v>0.06</v>
      </c>
    </row>
    <row r="82" spans="11:70">
      <c r="K82" s="24">
        <f>$L82*VLOOKUP($R82,武学奇术!$A:$ZZ,31,FALSE)</f>
        <v>26798.0152614747</v>
      </c>
      <c r="L82" s="24">
        <f t="shared" si="11"/>
        <v>26798.0152614747</v>
      </c>
      <c r="M82" s="24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BL82*$Q82*(1+IF(VLOOKUP($R82,武学奇术!$A:$ZZ,30,FALSE)="流血",$B$21,0))*(1+$BR82)</f>
        <v>24055.2938826464</v>
      </c>
      <c r="N82" s="24">
        <f>(($AP82*$AI82+$AJ82)*(1+$AQ82)*(1+$AR82)+($AU82*IF($G$1="鸣金",$AK82,$AI82)+IF($G$1="鸣金",$AL82*1.5,0))*(1+$AV82)*(1+$AW82)+($AY82*IF($G$1="裂石",$AK82,$AI82)+IF($G$1="裂石",$AL82*1.5,0))*(1+$AZ82)*(1+$BA82)+($BC82*IF($G$1="牵丝",$AK82,$AI82)+IF($G$1="牵丝",$AL82*1.5,0))*(1+$BD82)*(1+$BE82)+($BG82*IF($G$1="破竹",$AK82,$AI82)+IF($G$1="破竹",$AL82*1.5,0))*(1+$BH82)*(1+$BI82))*(1+$AM82)*$BN82*$Q82*(1+IF(VLOOKUP($R82,武学奇术!$A:$ZZ,30,FALSE)="流血",$B$21,0))*(1+$BR82)</f>
        <v>38334.7186900775</v>
      </c>
      <c r="O82" s="24">
        <f>((($AO82+$AP82)/2*$AI82+$AJ82)*(1+$AQ82)*(1+$AR82)+(($AT82+$AU82)/2*IF($G$1="鸣金",$AK82,$AI82)+IF($G$1="鸣金",$AL82*1.5,0))*(1+$AV82)*(1+$AW82)+(($AX82+$AY82)/2*IF($G$1="裂石",$AK82,$AI82)+IF($G$1="裂石",$AL82*1.5,0))*(1+$AZ82)*(1+$BA82)+(($BB82+$BC82)/2*IF($G$1="牵丝",$AK82,$AI82)+IF($G$1="牵丝",$AL82*1.5,0))*(1+$BD82)*(1+$BE82)+(($BF82+$BG82)/2*IF($G$1="破竹",$AK82,$AI82)+IF($G$1="破竹",$AL82*1.5,0))*(1+$BH82)*(1+$BI82))*(1+$AM82)*$Q82*(1+IF(VLOOKUP($R82,武学奇术!$A:$ZZ,30,FALSE)="流血",$B$21,0))*(1+$BR82)</f>
        <v>16036.8625884309</v>
      </c>
      <c r="P82" s="24">
        <f>((($AO82*$AI82+$AJ82)*(1+$AQ82)*(1+$AR82)+($AT82*IF($G$1="鸣金",$AK82,$AI82)+IF($G$1="鸣金",$AL82*1.5,0))*(1+$AV82)*(1+$AW82)+($AX82*IF($G$1="裂石",$AK82,$AI82)+IF($G$1="裂石",$AL82*1.5,0))*(1+$AZ82)*(1+$BA82)+($BB82*IF($G$1="牵丝",$AK82,$AI82)+IF($G$1="牵丝",$AL82*1.5,0))*(1+$BD82)*(1+$BE82)+($BF82*IF($G$1="破竹",$AK82,$AI82)+IF($G$1="破竹",$AL82*1.5,0))*(1+$BH82)*(1+$BI82))*(1+$AM82))*$Q82*(1+IF(VLOOKUP($R82,武学奇术!$A:$ZZ,30,FALSE)="流血",$B$21,0))*(1+$BR82)</f>
        <v>8144.43760502823</v>
      </c>
      <c r="Q82" s="31">
        <v>1</v>
      </c>
      <c r="R82" s="32" t="s">
        <v>124</v>
      </c>
      <c r="S82" s="32" t="s">
        <v>87</v>
      </c>
      <c r="T82" s="32" t="s">
        <v>104</v>
      </c>
      <c r="U82" s="32" t="s">
        <v>73</v>
      </c>
      <c r="V82" s="32" t="s">
        <v>73</v>
      </c>
      <c r="W82" s="32" t="s">
        <v>111</v>
      </c>
      <c r="X82" s="32" t="s">
        <v>127</v>
      </c>
      <c r="Y82" s="32" t="s">
        <v>73</v>
      </c>
      <c r="Z82" s="32" t="s">
        <v>73</v>
      </c>
      <c r="AA82" s="32" t="s">
        <v>81</v>
      </c>
      <c r="AB82" s="32" t="s">
        <v>75</v>
      </c>
      <c r="AC82" s="32" t="s">
        <v>89</v>
      </c>
      <c r="AD82" s="32" t="s">
        <v>82</v>
      </c>
      <c r="AE82" s="32" t="s">
        <v>90</v>
      </c>
      <c r="AF82" s="32" t="s">
        <v>73</v>
      </c>
      <c r="AG82" s="32" t="s">
        <v>178</v>
      </c>
      <c r="AH82" t="str">
        <f>VLOOKUP($R82,武学奇术!$A:$ZZ,25,FALSE)</f>
        <v>剑</v>
      </c>
      <c r="AI82" s="21">
        <f>VLOOKUP($R82,武学奇术!$A:$ZZ,26,FALSE)</f>
        <v>0.94015</v>
      </c>
      <c r="AJ82" s="22">
        <f>VLOOKUP($R82,武学奇术!$A:$ZZ,27,FALSE)*(1+IF(OR($AH82=$F$4,$AH82=$F$5),$B$22,0))</f>
        <v>390</v>
      </c>
      <c r="AK82" s="21">
        <f>VLOOKUP($R82,武学奇术!$A:$ZZ,28,FALSE)</f>
        <v>1.41025</v>
      </c>
      <c r="AL82" s="22">
        <f>VLOOKUP($R82,武学奇术!$A:$ZZ,29,FALSE)*(1+IF(OR($AH82=$F$4,$AH82=$F$5),$B$22,0))</f>
        <v>212.25</v>
      </c>
      <c r="AM82" s="21" cm="1">
        <f t="array" ref="AM82">$G$3+IFERROR(VLOOKUP($AH82,$F$4:$G$7,2,FALSE),0)+VLOOKUP($R82,武学奇术!$A:$ZZ,2,FALSE)+SUM(_xlfn.XLOOKUP($S82:$AG82,增益!$A:$A,增益!$B:$B,0))</f>
        <v>0.8791</v>
      </c>
      <c r="AN82" s="21" cm="1">
        <f t="array" ref="AN82">VLOOKUP($R82,武学奇术!$A:$ZZ,5,FALSE)+SUM(_xlfn.XLOOKUP($S82:$AG82,增益!$A:$A,增益!$E:$E,0))</f>
        <v>0</v>
      </c>
      <c r="AO82" cm="1">
        <f t="array" ref="AO82">$D$10*(1+$AN82)+VLOOKUP($R82,武学奇术!$A:$ZZ,3,FALSE)+SUM(_xlfn.XLOOKUP($S82:$AG82,增益!$A:$A,增益!$C:$C,0))-$I$2</f>
        <v>1825.28</v>
      </c>
      <c r="AP82" cm="1">
        <f t="array" ref="AP82">$E$10*(1+$AN82)+VLOOKUP($R82,武学奇术!$A:$ZZ,4,FALSE)+SUM(_xlfn.XLOOKUP($S82:$AG82,增益!$A:$A,增益!$D:$D,0))-$I$2</f>
        <v>7757.36</v>
      </c>
      <c r="AQ82" s="26" cm="1">
        <f t="array" ref="AQ82">IF($F$10-$I$3+VLOOKUP($R82,武学奇术!$A:$ZZ,6,FALSE)+SUM(_xlfn.XLOOKUP(S82:AG82,增益!$A:$A,增益!$F:$F,0))&gt;0,($F$10-$I$3+VLOOKUP($R82,武学奇术!$A:$ZZ,6,FALSE)+SUM(_xlfn.XLOOKUP(S82:AG82,增益!$A:$A,增益!$F:$F,0)))/200,($F$10-$I$3+VLOOKUP($R82,武学奇术!$A:$ZZ,6,FALSE)+SUM(_xlfn.XLOOKUP(S82:AG82,增益!$A:$A,增益!$F:$F,0)))/100)</f>
        <v>0.244</v>
      </c>
      <c r="AR82" s="26" cm="1">
        <f t="array" ref="AR82">$G$10+VLOOKUP($R82,武学奇术!$A:$ZZ,7,FALSE)+SUM(_xlfn.XLOOKUP(S82:AG82,增益!$A:$A,增益!$G:$G,0))</f>
        <v>0</v>
      </c>
      <c r="AS82" s="21" cm="1">
        <f t="array" ref="AS82">VLOOKUP($R82,武学奇术!$A:$ZZ,8,FALSE)+SUM(_xlfn.XLOOKUP(S82:AG82,增益!$A:$A,增益!$H:$H,0))</f>
        <v>0</v>
      </c>
      <c r="AT82">
        <f t="shared" si="12"/>
        <v>680.02</v>
      </c>
      <c r="AU82">
        <f t="shared" si="13"/>
        <v>1288.54</v>
      </c>
      <c r="AV82" s="26" cm="1">
        <f t="array" ref="AV82">IF($F$11-$I$4+VLOOKUP($R82,武学奇术!$A:$ZZ,9,FALSE)+SUM(_xlfn.XLOOKUP(S82:AG82,增益!$A:$A,增益!$I:$I,0))&gt;0,($F$11-$I$4+VLOOKUP($R82,武学奇术!$A:$ZZ,9,FALSE)+SUM(_xlfn.XLOOKUP(S82:AG82,增益!$A:$A,增益!$I:$I,0)))/200,($F$11-$I$4+VLOOKUP($R82,武学奇术!$A:$ZZ,9,FALSE)+SUM(_xlfn.XLOOKUP(S82:AG82,增益!$A:$A,增益!$I:$I,0)))/100)</f>
        <v>0</v>
      </c>
      <c r="AW82" s="26" cm="1">
        <f t="array" ref="AW82">$G$11+VLOOKUP($R82,武学奇术!$A:$ZZ,10,FALSE)+SUM(_xlfn.XLOOKUP(S82:AG82,增益!$A:$A,增益!$J:$J,0))</f>
        <v>0.15</v>
      </c>
      <c r="AX82">
        <f t="shared" si="14"/>
        <v>0</v>
      </c>
      <c r="AY82">
        <f t="shared" si="15"/>
        <v>0</v>
      </c>
      <c r="AZ82" s="26" cm="1">
        <f t="array" ref="AZ82">IF($F$12-$I$4+VLOOKUP($R82,武学奇术!$A:$ZZ,11,FALSE)+SUM(_xlfn.XLOOKUP(S82:AG82,增益!$A:$A,增益!$K:$K,0))&gt;0,($F$12-$I$4+VLOOKUP($R82,武学奇术!$A:$ZZ,11,FALSE)+SUM(_xlfn.XLOOKUP(S82:AG82,增益!$A:$A,增益!$K:$K,0)))/200,($F$12-$I$4+VLOOKUP($R82,武学奇术!$A:$ZZ,11,FALSE)+SUM(_xlfn.XLOOKUP(S82:AG82,增益!$A:$A,增益!$K:$K,0)))/100)</f>
        <v>-0.3</v>
      </c>
      <c r="BA82" s="26" cm="1">
        <f t="array" ref="BA82">$G$12+VLOOKUP($R82,武学奇术!$A:$ZZ,12,FALSE)+SUM(_xlfn.XLOOKUP(S82:AG82,增益!$A:$A,增益!$L:$L,0))</f>
        <v>0</v>
      </c>
      <c r="BB82">
        <f t="shared" si="16"/>
        <v>0</v>
      </c>
      <c r="BC82">
        <f t="shared" si="17"/>
        <v>0</v>
      </c>
      <c r="BD82" s="26" cm="1">
        <f t="array" ref="BD82">IF($F$13-$I$4+VLOOKUP($R82,武学奇术!$A:$ZZ,13,FALSE)+SUM(_xlfn.XLOOKUP(S82:AG82,增益!$A:$A,增益!$M:$M,0))&gt;0,($F$13-$I$4+VLOOKUP($R82,武学奇术!$A:$ZZ,13,FALSE)+SUM(_xlfn.XLOOKUP(S82:AG82,增益!$A:$A,增益!$K:$K,0)))/200,($F$13-$I$4+VLOOKUP($R82,武学奇术!$A:$ZZ,13,FALSE)+SUM(_xlfn.XLOOKUP(S82:AG82,增益!$A:$A,增益!$M:$M,0)))/100)</f>
        <v>-0.3</v>
      </c>
      <c r="BE82" s="26" cm="1">
        <f t="array" ref="BE82">$G$13+VLOOKUP($R82,武学奇术!$A:$ZZ,14,FALSE)+SUM(_xlfn.XLOOKUP(S82:AG82,增益!$A:$A,增益!$N:$N,0))</f>
        <v>0</v>
      </c>
      <c r="BF82">
        <f t="shared" si="18"/>
        <v>0</v>
      </c>
      <c r="BG82">
        <f t="shared" si="19"/>
        <v>0</v>
      </c>
      <c r="BH82" s="26" cm="1">
        <f t="array" ref="BH82">IF($F$14-$I$4+VLOOKUP($R82,武学奇术!$A:$ZZ,15,FALSE)+SUM(_xlfn.XLOOKUP(S82:AG82,增益!$A:$A,增益!$O:$O,0))&gt;0,($F$14-$I$4+VLOOKUP($R82,武学奇术!$A:$ZZ,15,FALSE)+SUM(_xlfn.XLOOKUP(S82:AG82,增益!$A:$A,增益!$O:$O,0)))/200,($F$14-$I$4+VLOOKUP($R82,武学奇术!$A:$ZZ,15,FALSE)+SUM(_xlfn.XLOOKUP(S82:AG82,增益!$A:$A,增益!$O:$O,0)))/100)</f>
        <v>-0.3</v>
      </c>
      <c r="BI82" s="26" cm="1">
        <f t="array" ref="BI82">$G$14+VLOOKUP($R82,武学奇术!$A:$ZZ,16,FALSE)+SUM(_xlfn.XLOOKUP(S82:AG82,增益!$A:$A,增益!$P:$P,0))</f>
        <v>0</v>
      </c>
      <c r="BJ82" s="21">
        <f>MIN(IF(VLOOKUP($R82,武学奇术!$A:$ZZ,23,FALSE)=1,100%,$B$8),100%)</f>
        <v>0.8229</v>
      </c>
      <c r="BK82" s="21" cm="1">
        <f t="array" ref="BK82">IF(VLOOKUP($R82,武学奇术!$A:$ZZ,23,FALSE)=1,100%,MIN(80%,$B$9+VLOOKUP($R82,武学奇术!$A:$ZZ,17,FALSE)+SUM(_xlfn.XLOOKUP(S82:AG82,增益!$A:$A,增益!$Q:$Q,0)))+$B$11+SUM(_xlfn.XLOOKUP(S82:AG82,增益!$A:$A,增益!$U:$U,0)))*IF(VLOOKUP($R82,武学奇术!$A:$ZZ,24,FALSE)=1,0,1)</f>
        <v>0.2285</v>
      </c>
      <c r="BL82" s="21" cm="1">
        <f t="array" ref="BL82">1+$B$13+VLOOKUP($R82,武学奇术!$A:$ZZ,18,FALSE)+SUM(_xlfn.XLOOKUP(S82:AG82,增益!$A:$A,增益!$R:$R,0))</f>
        <v>1.5</v>
      </c>
      <c r="BM82" s="21" cm="1">
        <f t="array" ref="BM82">IF(VLOOKUP($R82,武学奇术!$A:$ZZ,24,FALSE)=1,100%,MIN(40%,$B$10+VLOOKUP($R82,武学奇术!$A:$ZZ,19,FALSE)+SUM(_xlfn.XLOOKUP(S82:AG82,增益!$A:$A,增益!$S:$S,0)))+$B$12+SUM(_xlfn.XLOOKUP(S82:AG82,增益!$A:$A,增益!$V:$V,0)))*IF(VLOOKUP($R82,武学奇术!$A:$ZZ,23,FALSE)=1,0,1)</f>
        <v>0.4495</v>
      </c>
      <c r="BN82" s="21" cm="1">
        <f t="array" ref="BN82">1+$B$14+VLOOKUP($R82,武学奇术!$A:$ZZ,20,FALSE)+SUM(_xlfn.XLOOKUP(S82:AG82,增益!$A:$A,增益!$T:$T,0))</f>
        <v>1.602</v>
      </c>
      <c r="BO82" s="21">
        <f t="shared" si="20"/>
        <v>0.18803265</v>
      </c>
      <c r="BP82" s="21">
        <f t="shared" si="21"/>
        <v>0.2649738</v>
      </c>
      <c r="BQ82" s="21">
        <f>IF(VLOOKUP($R82,武学奇术!$A:$ZZ,22,FALSE)=1,0,(1-$BJ82))*(1-$BM82)</f>
        <v>0.09749355</v>
      </c>
      <c r="BR82" s="21" cm="1">
        <f t="array" ref="BR82">SUM(_xlfn.XLOOKUP(S82:AG82,增益!$A:$A,增益!$W:$W,0))+$I$5</f>
        <v>0.06</v>
      </c>
    </row>
    <row r="83" spans="11:70">
      <c r="K83" s="24">
        <f>$L83*VLOOKUP($R83,武学奇术!$A:$ZZ,31,FALSE)</f>
        <v>33579.3853367589</v>
      </c>
      <c r="L83" s="24">
        <f t="shared" si="11"/>
        <v>33579.3853367589</v>
      </c>
      <c r="M83" s="24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BL83*$Q83*(1+IF(VLOOKUP($R83,武学奇术!$A:$ZZ,30,FALSE)="流血",$B$21,0))*(1+$BR83)</f>
        <v>30142.3637542499</v>
      </c>
      <c r="N83" s="24">
        <f>(($AP83*$AI83+$AJ83)*(1+$AQ83)*(1+$AR83)+($AU83*IF($G$1="鸣金",$AK83,$AI83)+IF($G$1="鸣金",$AL83*1.5,0))*(1+$AV83)*(1+$AW83)+($AY83*IF($G$1="裂石",$AK83,$AI83)+IF($G$1="裂石",$AL83*1.5,0))*(1+$AZ83)*(1+$BA83)+($BC83*IF($G$1="牵丝",$AK83,$AI83)+IF($G$1="牵丝",$AL83*1.5,0))*(1+$BD83)*(1+$BE83)+($BG83*IF($G$1="破竹",$AK83,$AI83)+IF($G$1="破竹",$AL83*1.5,0))*(1+$BH83)*(1+$BI83))*(1+$AM83)*$BN83*$Q83*(1+IF(VLOOKUP($R83,武学奇术!$A:$ZZ,30,FALSE)="流血",$B$21,0))*(1+$BR83)</f>
        <v>48035.8153013448</v>
      </c>
      <c r="O83" s="24">
        <f>((($AO83+$AP83)/2*$AI83+$AJ83)*(1+$AQ83)*(1+$AR83)+(($AT83+$AU83)/2*IF($G$1="鸣金",$AK83,$AI83)+IF($G$1="鸣金",$AL83*1.5,0))*(1+$AV83)*(1+$AW83)+(($AX83+$AY83)/2*IF($G$1="裂石",$AK83,$AI83)+IF($G$1="裂石",$AL83*1.5,0))*(1+$AZ83)*(1+$BA83)+(($BB83+$BC83)/2*IF($G$1="牵丝",$AK83,$AI83)+IF($G$1="牵丝",$AL83*1.5,0))*(1+$BD83)*(1+$BE83)+(($BF83+$BG83)/2*IF($G$1="破竹",$AK83,$AI83)+IF($G$1="破竹",$AL83*1.5,0))*(1+$BH83)*(1+$BI83))*(1+$AM83)*$Q83*(1+IF(VLOOKUP($R83,武学奇术!$A:$ZZ,30,FALSE)="流血",$B$21,0))*(1+$BR83)</f>
        <v>20094.9091694999</v>
      </c>
      <c r="P83" s="24">
        <f>((($AO83*$AI83+$AJ83)*(1+$AQ83)*(1+$AR83)+($AT83*IF($G$1="鸣金",$AK83,$AI83)+IF($G$1="鸣金",$AL83*1.5,0))*(1+$AV83)*(1+$AW83)+($AX83*IF($G$1="裂石",$AK83,$AI83)+IF($G$1="裂石",$AL83*1.5,0))*(1+$AZ83)*(1+$BA83)+($BB83*IF($G$1="牵丝",$AK83,$AI83)+IF($G$1="牵丝",$AL83*1.5,0))*(1+$BD83)*(1+$BE83)+($BF83*IF($G$1="破竹",$AK83,$AI83)+IF($G$1="破竹",$AL83*1.5,0))*(1+$BH83)*(1+$BI83))*(1+$AM83))*$Q83*(1+IF(VLOOKUP($R83,武学奇术!$A:$ZZ,30,FALSE)="流血",$B$21,0))*(1+$BR83)</f>
        <v>10204.9149049518</v>
      </c>
      <c r="Q83" s="31">
        <v>1</v>
      </c>
      <c r="R83" s="32" t="s">
        <v>86</v>
      </c>
      <c r="S83" s="32" t="s">
        <v>87</v>
      </c>
      <c r="T83" s="32" t="s">
        <v>104</v>
      </c>
      <c r="U83" s="32" t="s">
        <v>73</v>
      </c>
      <c r="V83" s="32" t="s">
        <v>73</v>
      </c>
      <c r="W83" s="32" t="s">
        <v>111</v>
      </c>
      <c r="X83" s="32" t="s">
        <v>127</v>
      </c>
      <c r="Y83" s="32" t="s">
        <v>73</v>
      </c>
      <c r="Z83" s="32" t="s">
        <v>73</v>
      </c>
      <c r="AA83" s="32" t="s">
        <v>81</v>
      </c>
      <c r="AB83" s="32" t="s">
        <v>75</v>
      </c>
      <c r="AC83" s="32" t="s">
        <v>89</v>
      </c>
      <c r="AD83" s="32" t="s">
        <v>82</v>
      </c>
      <c r="AE83" s="32" t="s">
        <v>90</v>
      </c>
      <c r="AF83" s="32" t="s">
        <v>73</v>
      </c>
      <c r="AG83" s="32" t="s">
        <v>178</v>
      </c>
      <c r="AH83" t="str">
        <f>VLOOKUP($R83,武学奇术!$A:$ZZ,25,FALSE)</f>
        <v>剑</v>
      </c>
      <c r="AI83" s="21">
        <f>VLOOKUP($R83,武学奇术!$A:$ZZ,26,FALSE)</f>
        <v>1.1781</v>
      </c>
      <c r="AJ83" s="22">
        <f>VLOOKUP($R83,武学奇术!$A:$ZZ,27,FALSE)*(1+IF(OR($AH83=$F$4,$AH83=$F$5),$B$22,0))</f>
        <v>489</v>
      </c>
      <c r="AK83" s="21">
        <f>VLOOKUP($R83,武学奇术!$A:$ZZ,28,FALSE)</f>
        <v>1.7672</v>
      </c>
      <c r="AL83" s="22">
        <f>VLOOKUP($R83,武学奇术!$A:$ZZ,29,FALSE)*(1+IF(OR($AH83=$F$4,$AH83=$F$5),$B$22,0))</f>
        <v>265.5</v>
      </c>
      <c r="AM83" s="21" cm="1">
        <f t="array" ref="AM83">$G$3+IFERROR(VLOOKUP($AH83,$F$4:$G$7,2,FALSE),0)+VLOOKUP($R83,武学奇术!$A:$ZZ,2,FALSE)+SUM(_xlfn.XLOOKUP($S83:$AG83,增益!$A:$A,增益!$B:$B,0))</f>
        <v>0.8791</v>
      </c>
      <c r="AN83" s="21" cm="1">
        <f t="array" ref="AN83">VLOOKUP($R83,武学奇术!$A:$ZZ,5,FALSE)+SUM(_xlfn.XLOOKUP($S83:$AG83,增益!$A:$A,增益!$E:$E,0))</f>
        <v>0</v>
      </c>
      <c r="AO83" cm="1">
        <f t="array" ref="AO83">$D$10*(1+$AN83)+VLOOKUP($R83,武学奇术!$A:$ZZ,3,FALSE)+SUM(_xlfn.XLOOKUP($S83:$AG83,增益!$A:$A,增益!$C:$C,0))-$I$2</f>
        <v>1825.28</v>
      </c>
      <c r="AP83" cm="1">
        <f t="array" ref="AP83">$E$10*(1+$AN83)+VLOOKUP($R83,武学奇术!$A:$ZZ,4,FALSE)+SUM(_xlfn.XLOOKUP($S83:$AG83,增益!$A:$A,增益!$D:$D,0))-$I$2</f>
        <v>7757.36</v>
      </c>
      <c r="AQ83" s="26" cm="1">
        <f t="array" ref="AQ83">IF($F$10-$I$3+VLOOKUP($R83,武学奇术!$A:$ZZ,6,FALSE)+SUM(_xlfn.XLOOKUP(S83:AG83,增益!$A:$A,增益!$F:$F,0))&gt;0,($F$10-$I$3+VLOOKUP($R83,武学奇术!$A:$ZZ,6,FALSE)+SUM(_xlfn.XLOOKUP(S83:AG83,增益!$A:$A,增益!$F:$F,0)))/200,($F$10-$I$3+VLOOKUP($R83,武学奇术!$A:$ZZ,6,FALSE)+SUM(_xlfn.XLOOKUP(S83:AG83,增益!$A:$A,增益!$F:$F,0)))/100)</f>
        <v>0.244</v>
      </c>
      <c r="AR83" s="26" cm="1">
        <f t="array" ref="AR83">$G$10+VLOOKUP($R83,武学奇术!$A:$ZZ,7,FALSE)+SUM(_xlfn.XLOOKUP(S83:AG83,增益!$A:$A,增益!$G:$G,0))</f>
        <v>0</v>
      </c>
      <c r="AS83" s="21" cm="1">
        <f t="array" ref="AS83">VLOOKUP($R83,武学奇术!$A:$ZZ,8,FALSE)+SUM(_xlfn.XLOOKUP(S83:AG83,增益!$A:$A,增益!$H:$H,0))</f>
        <v>0</v>
      </c>
      <c r="AT83">
        <f t="shared" si="12"/>
        <v>680.02</v>
      </c>
      <c r="AU83">
        <f t="shared" si="13"/>
        <v>1288.54</v>
      </c>
      <c r="AV83" s="26" cm="1">
        <f t="array" ref="AV83">IF($F$11-$I$4+VLOOKUP($R83,武学奇术!$A:$ZZ,9,FALSE)+SUM(_xlfn.XLOOKUP(S83:AG83,增益!$A:$A,增益!$I:$I,0))&gt;0,($F$11-$I$4+VLOOKUP($R83,武学奇术!$A:$ZZ,9,FALSE)+SUM(_xlfn.XLOOKUP(S83:AG83,增益!$A:$A,增益!$I:$I,0)))/200,($F$11-$I$4+VLOOKUP($R83,武学奇术!$A:$ZZ,9,FALSE)+SUM(_xlfn.XLOOKUP(S83:AG83,增益!$A:$A,增益!$I:$I,0)))/100)</f>
        <v>0</v>
      </c>
      <c r="AW83" s="26" cm="1">
        <f t="array" ref="AW83">$G$11+VLOOKUP($R83,武学奇术!$A:$ZZ,10,FALSE)+SUM(_xlfn.XLOOKUP(S83:AG83,增益!$A:$A,增益!$J:$J,0))</f>
        <v>0.15</v>
      </c>
      <c r="AX83">
        <f t="shared" si="14"/>
        <v>0</v>
      </c>
      <c r="AY83">
        <f t="shared" si="15"/>
        <v>0</v>
      </c>
      <c r="AZ83" s="26" cm="1">
        <f t="array" ref="AZ83">IF($F$12-$I$4+VLOOKUP($R83,武学奇术!$A:$ZZ,11,FALSE)+SUM(_xlfn.XLOOKUP(S83:AG83,增益!$A:$A,增益!$K:$K,0))&gt;0,($F$12-$I$4+VLOOKUP($R83,武学奇术!$A:$ZZ,11,FALSE)+SUM(_xlfn.XLOOKUP(S83:AG83,增益!$A:$A,增益!$K:$K,0)))/200,($F$12-$I$4+VLOOKUP($R83,武学奇术!$A:$ZZ,11,FALSE)+SUM(_xlfn.XLOOKUP(S83:AG83,增益!$A:$A,增益!$K:$K,0)))/100)</f>
        <v>-0.3</v>
      </c>
      <c r="BA83" s="26" cm="1">
        <f t="array" ref="BA83">$G$12+VLOOKUP($R83,武学奇术!$A:$ZZ,12,FALSE)+SUM(_xlfn.XLOOKUP(S83:AG83,增益!$A:$A,增益!$L:$L,0))</f>
        <v>0</v>
      </c>
      <c r="BB83">
        <f t="shared" si="16"/>
        <v>0</v>
      </c>
      <c r="BC83">
        <f t="shared" si="17"/>
        <v>0</v>
      </c>
      <c r="BD83" s="26" cm="1">
        <f t="array" ref="BD83">IF($F$13-$I$4+VLOOKUP($R83,武学奇术!$A:$ZZ,13,FALSE)+SUM(_xlfn.XLOOKUP(S83:AG83,增益!$A:$A,增益!$M:$M,0))&gt;0,($F$13-$I$4+VLOOKUP($R83,武学奇术!$A:$ZZ,13,FALSE)+SUM(_xlfn.XLOOKUP(S83:AG83,增益!$A:$A,增益!$K:$K,0)))/200,($F$13-$I$4+VLOOKUP($R83,武学奇术!$A:$ZZ,13,FALSE)+SUM(_xlfn.XLOOKUP(S83:AG83,增益!$A:$A,增益!$M:$M,0)))/100)</f>
        <v>-0.3</v>
      </c>
      <c r="BE83" s="26" cm="1">
        <f t="array" ref="BE83">$G$13+VLOOKUP($R83,武学奇术!$A:$ZZ,14,FALSE)+SUM(_xlfn.XLOOKUP(S83:AG83,增益!$A:$A,增益!$N:$N,0))</f>
        <v>0</v>
      </c>
      <c r="BF83">
        <f t="shared" si="18"/>
        <v>0</v>
      </c>
      <c r="BG83">
        <f t="shared" si="19"/>
        <v>0</v>
      </c>
      <c r="BH83" s="26" cm="1">
        <f t="array" ref="BH83">IF($F$14-$I$4+VLOOKUP($R83,武学奇术!$A:$ZZ,15,FALSE)+SUM(_xlfn.XLOOKUP(S83:AG83,增益!$A:$A,增益!$O:$O,0))&gt;0,($F$14-$I$4+VLOOKUP($R83,武学奇术!$A:$ZZ,15,FALSE)+SUM(_xlfn.XLOOKUP(S83:AG83,增益!$A:$A,增益!$O:$O,0)))/200,($F$14-$I$4+VLOOKUP($R83,武学奇术!$A:$ZZ,15,FALSE)+SUM(_xlfn.XLOOKUP(S83:AG83,增益!$A:$A,增益!$O:$O,0)))/100)</f>
        <v>-0.3</v>
      </c>
      <c r="BI83" s="26" cm="1">
        <f t="array" ref="BI83">$G$14+VLOOKUP($R83,武学奇术!$A:$ZZ,16,FALSE)+SUM(_xlfn.XLOOKUP(S83:AG83,增益!$A:$A,增益!$P:$P,0))</f>
        <v>0</v>
      </c>
      <c r="BJ83" s="21">
        <f>MIN(IF(VLOOKUP($R83,武学奇术!$A:$ZZ,23,FALSE)=1,100%,$B$8),100%)</f>
        <v>0.8229</v>
      </c>
      <c r="BK83" s="21" cm="1">
        <f t="array" ref="BK83">IF(VLOOKUP($R83,武学奇术!$A:$ZZ,23,FALSE)=1,100%,MIN(80%,$B$9+VLOOKUP($R83,武学奇术!$A:$ZZ,17,FALSE)+SUM(_xlfn.XLOOKUP(S83:AG83,增益!$A:$A,增益!$Q:$Q,0)))+$B$11+SUM(_xlfn.XLOOKUP(S83:AG83,增益!$A:$A,增益!$U:$U,0)))*IF(VLOOKUP($R83,武学奇术!$A:$ZZ,24,FALSE)=1,0,1)</f>
        <v>0.2285</v>
      </c>
      <c r="BL83" s="21" cm="1">
        <f t="array" ref="BL83">1+$B$13+VLOOKUP($R83,武学奇术!$A:$ZZ,18,FALSE)+SUM(_xlfn.XLOOKUP(S83:AG83,增益!$A:$A,增益!$R:$R,0))</f>
        <v>1.5</v>
      </c>
      <c r="BM83" s="21" cm="1">
        <f t="array" ref="BM83">IF(VLOOKUP($R83,武学奇术!$A:$ZZ,24,FALSE)=1,100%,MIN(40%,$B$10+VLOOKUP($R83,武学奇术!$A:$ZZ,19,FALSE)+SUM(_xlfn.XLOOKUP(S83:AG83,增益!$A:$A,增益!$S:$S,0)))+$B$12+SUM(_xlfn.XLOOKUP(S83:AG83,增益!$A:$A,增益!$V:$V,0)))*IF(VLOOKUP($R83,武学奇术!$A:$ZZ,23,FALSE)=1,0,1)</f>
        <v>0.4495</v>
      </c>
      <c r="BN83" s="21" cm="1">
        <f t="array" ref="BN83">1+$B$14+VLOOKUP($R83,武学奇术!$A:$ZZ,20,FALSE)+SUM(_xlfn.XLOOKUP(S83:AG83,增益!$A:$A,增益!$T:$T,0))</f>
        <v>1.602</v>
      </c>
      <c r="BO83" s="21">
        <f t="shared" si="20"/>
        <v>0.18803265</v>
      </c>
      <c r="BP83" s="21">
        <f t="shared" si="21"/>
        <v>0.2649738</v>
      </c>
      <c r="BQ83" s="21">
        <f>IF(VLOOKUP($R83,武学奇术!$A:$ZZ,22,FALSE)=1,0,(1-$BJ83))*(1-$BM83)</f>
        <v>0.09749355</v>
      </c>
      <c r="BR83" s="21" cm="1">
        <f t="array" ref="BR83">SUM(_xlfn.XLOOKUP(S83:AG83,增益!$A:$A,增益!$W:$W,0))+$I$5</f>
        <v>0.06</v>
      </c>
    </row>
    <row r="84" spans="11:70">
      <c r="K84" s="24">
        <f>$L84*VLOOKUP($R84,武学奇术!$A:$ZZ,31,FALSE)</f>
        <v>83003.1876942344</v>
      </c>
      <c r="L84" s="24">
        <f t="shared" si="11"/>
        <v>138338.646157057</v>
      </c>
      <c r="M84" s="24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BL84*$Q84*(1+IF(VLOOKUP($R84,武学奇术!$A:$ZZ,30,FALSE)="流血",$B$21,0))*(1+$BR84)</f>
        <v>113257.891808962</v>
      </c>
      <c r="N84" s="24">
        <f>(($AP84*$AI84+$AJ84)*(1+$AQ84)*(1+$AR84)+($AU84*IF($G$1="鸣金",$AK84,$AI84)+IF($G$1="鸣金",$AL84*1.5,0))*(1+$AV84)*(1+$AW84)+($AY84*IF($G$1="裂石",$AK84,$AI84)+IF($G$1="裂石",$AL84*1.5,0))*(1+$AZ84)*(1+$BA84)+($BC84*IF($G$1="牵丝",$AK84,$AI84)+IF($G$1="牵丝",$AL84*1.5,0))*(1+$BD84)*(1+$BE84)+($BG84*IF($G$1="破竹",$AK84,$AI84)+IF($G$1="破竹",$AL84*1.5,0))*(1+$BH84)*(1+$BI84))*(1+$AM84)*$BN84*$Q84*(1+IF(VLOOKUP($R84,武学奇术!$A:$ZZ,30,FALSE)="流血",$B$21,0))*(1+$BR84)</f>
        <v>208498.278422863</v>
      </c>
      <c r="O84" s="24">
        <f>((($AO84+$AP84)/2*$AI84+$AJ84)*(1+$AQ84)*(1+$AR84)+(($AT84+$AU84)/2*IF($G$1="鸣金",$AK84,$AI84)+IF($G$1="鸣金",$AL84*1.5,0))*(1+$AV84)*(1+$AW84)+(($AX84+$AY84)/2*IF($G$1="裂石",$AK84,$AI84)+IF($G$1="裂石",$AL84*1.5,0))*(1+$AZ84)*(1+$BA84)+(($BB84+$BC84)/2*IF($G$1="牵丝",$AK84,$AI84)+IF($G$1="牵丝",$AL84*1.5,0))*(1+$BD84)*(1+$BE84)+(($BF84+$BG84)/2*IF($G$1="破竹",$AK84,$AI84)+IF($G$1="破竹",$AL84*1.5,0))*(1+$BH84)*(1+$BI84))*(1+$AM84)*$Q84*(1+IF(VLOOKUP($R84,武学奇术!$A:$ZZ,30,FALSE)="流血",$B$21,0))*(1+$BR84)</f>
        <v>75505.2612059748</v>
      </c>
      <c r="P84" s="24">
        <f>((($AO84*$AI84+$AJ84)*(1+$AQ84)*(1+$AR84)+($AT84*IF($G$1="鸣金",$AK84,$AI84)+IF($G$1="鸣金",$AL84*1.5,0))*(1+$AV84)*(1+$AW84)+($AX84*IF($G$1="裂石",$AK84,$AI84)+IF($G$1="裂石",$AL84*1.5,0))*(1+$AZ84)*(1+$BA84)+($BB84*IF($G$1="牵丝",$AK84,$AI84)+IF($G$1="牵丝",$AL84*1.5,0))*(1+$BD84)*(1+$BE84)+($BF84*IF($G$1="破竹",$AK84,$AI84)+IF($G$1="破竹",$AL84*1.5,0))*(1+$BH84)*(1+$BI84))*(1+$AM84))*$Q84*(1+IF(VLOOKUP($R84,武学奇术!$A:$ZZ,30,FALSE)="流血",$B$21,0))*(1+$BR84)</f>
        <v>34008.1215012524</v>
      </c>
      <c r="Q84" s="31">
        <v>1</v>
      </c>
      <c r="R84" s="32" t="s">
        <v>95</v>
      </c>
      <c r="S84" s="32" t="s">
        <v>87</v>
      </c>
      <c r="T84" s="32" t="s">
        <v>96</v>
      </c>
      <c r="U84" s="32" t="s">
        <v>97</v>
      </c>
      <c r="V84" s="32" t="s">
        <v>98</v>
      </c>
      <c r="W84" s="32" t="s">
        <v>111</v>
      </c>
      <c r="X84" s="32" t="s">
        <v>127</v>
      </c>
      <c r="Y84" s="32" t="s">
        <v>73</v>
      </c>
      <c r="Z84" s="32" t="s">
        <v>73</v>
      </c>
      <c r="AA84" s="32" t="s">
        <v>81</v>
      </c>
      <c r="AB84" s="32" t="s">
        <v>75</v>
      </c>
      <c r="AC84" s="32" t="s">
        <v>89</v>
      </c>
      <c r="AD84" s="32" t="s">
        <v>82</v>
      </c>
      <c r="AE84" s="32" t="s">
        <v>90</v>
      </c>
      <c r="AF84" s="32" t="s">
        <v>73</v>
      </c>
      <c r="AG84" s="32" t="s">
        <v>178</v>
      </c>
      <c r="AH84" t="str">
        <f>VLOOKUP($R84,武学奇术!$A:$ZZ,25,FALSE)</f>
        <v>剑</v>
      </c>
      <c r="AI84" s="21">
        <f>VLOOKUP($R84,武学奇术!$A:$ZZ,26,FALSE)</f>
        <v>2.52</v>
      </c>
      <c r="AJ84" s="22">
        <f>VLOOKUP($R84,武学奇术!$A:$ZZ,27,FALSE)*(1+IF(OR($AH84=$F$4,$AH84=$F$5),$B$22,0))</f>
        <v>0</v>
      </c>
      <c r="AK84" s="21">
        <f>VLOOKUP($R84,武学奇术!$A:$ZZ,28,FALSE)</f>
        <v>3.78</v>
      </c>
      <c r="AL84" s="22">
        <f>VLOOKUP($R84,武学奇术!$A:$ZZ,29,FALSE)*(1+IF(OR($AH84=$F$4,$AH84=$F$5),$B$22,0))</f>
        <v>0</v>
      </c>
      <c r="AM84" s="21" cm="1">
        <f t="array" ref="AM84">$G$3+IFERROR(VLOOKUP($AH84,$F$4:$G$7,2,FALSE),0)+VLOOKUP($R84,武学奇术!$A:$ZZ,2,FALSE)+SUM(_xlfn.XLOOKUP($S84:$AG84,增益!$A:$A,增益!$B:$B,0))</f>
        <v>1.6291</v>
      </c>
      <c r="AN84" s="21" cm="1">
        <f t="array" ref="AN84">VLOOKUP($R84,武学奇术!$A:$ZZ,5,FALSE)+SUM(_xlfn.XLOOKUP($S84:$AG84,增益!$A:$A,增益!$E:$E,0))</f>
        <v>0</v>
      </c>
      <c r="AO84" cm="1">
        <f t="array" ref="AO84">$D$10*(1+$AN84)+VLOOKUP($R84,武学奇术!$A:$ZZ,3,FALSE)+SUM(_xlfn.XLOOKUP($S84:$AG84,增益!$A:$A,增益!$C:$C,0))-$I$2</f>
        <v>1825.28</v>
      </c>
      <c r="AP84" cm="1">
        <f t="array" ref="AP84">$E$10*(1+$AN84)+VLOOKUP($R84,武学奇术!$A:$ZZ,4,FALSE)+SUM(_xlfn.XLOOKUP($S84:$AG84,增益!$A:$A,增益!$D:$D,0))-$I$2</f>
        <v>7757.36</v>
      </c>
      <c r="AQ84" s="26" cm="1">
        <f t="array" ref="AQ84">IF($F$10-$I$3+VLOOKUP($R84,武学奇术!$A:$ZZ,6,FALSE)+SUM(_xlfn.XLOOKUP(S84:AG84,增益!$A:$A,增益!$F:$F,0))&gt;0,($F$10-$I$3+VLOOKUP($R84,武学奇术!$A:$ZZ,6,FALSE)+SUM(_xlfn.XLOOKUP(S84:AG84,增益!$A:$A,增益!$F:$F,0)))/200,($F$10-$I$3+VLOOKUP($R84,武学奇术!$A:$ZZ,6,FALSE)+SUM(_xlfn.XLOOKUP(S84:AG84,增益!$A:$A,增益!$F:$F,0)))/100)</f>
        <v>0.319</v>
      </c>
      <c r="AR84" s="26" cm="1">
        <f t="array" ref="AR84">$G$10+VLOOKUP($R84,武学奇术!$A:$ZZ,7,FALSE)+SUM(_xlfn.XLOOKUP(S84:AG84,增益!$A:$A,增益!$G:$G,0))</f>
        <v>0</v>
      </c>
      <c r="AS84" s="21" cm="1">
        <f t="array" ref="AS84">VLOOKUP($R84,武学奇术!$A:$ZZ,8,FALSE)+SUM(_xlfn.XLOOKUP(S84:AG84,增益!$A:$A,增益!$H:$H,0))</f>
        <v>0</v>
      </c>
      <c r="AT84">
        <f t="shared" si="12"/>
        <v>680.02</v>
      </c>
      <c r="AU84">
        <f t="shared" si="13"/>
        <v>1288.54</v>
      </c>
      <c r="AV84" s="26" cm="1">
        <f t="array" ref="AV84">IF($F$11-$I$4+VLOOKUP($R84,武学奇术!$A:$ZZ,9,FALSE)+SUM(_xlfn.XLOOKUP(S84:AG84,增益!$A:$A,增益!$I:$I,0))&gt;0,($F$11-$I$4+VLOOKUP($R84,武学奇术!$A:$ZZ,9,FALSE)+SUM(_xlfn.XLOOKUP(S84:AG84,增益!$A:$A,增益!$I:$I,0)))/200,($F$11-$I$4+VLOOKUP($R84,武学奇术!$A:$ZZ,9,FALSE)+SUM(_xlfn.XLOOKUP(S84:AG84,增益!$A:$A,增益!$I:$I,0)))/100)</f>
        <v>0.075</v>
      </c>
      <c r="AW84" s="26" cm="1">
        <f t="array" ref="AW84">$G$11+VLOOKUP($R84,武学奇术!$A:$ZZ,10,FALSE)+SUM(_xlfn.XLOOKUP(S84:AG84,增益!$A:$A,增益!$J:$J,0))</f>
        <v>0.15</v>
      </c>
      <c r="AX84">
        <f t="shared" si="14"/>
        <v>0</v>
      </c>
      <c r="AY84">
        <f t="shared" si="15"/>
        <v>0</v>
      </c>
      <c r="AZ84" s="26" cm="1">
        <f t="array" ref="AZ84">IF($F$12-$I$4+VLOOKUP($R84,武学奇术!$A:$ZZ,11,FALSE)+SUM(_xlfn.XLOOKUP(S84:AG84,增益!$A:$A,增益!$K:$K,0))&gt;0,($F$12-$I$4+VLOOKUP($R84,武学奇术!$A:$ZZ,11,FALSE)+SUM(_xlfn.XLOOKUP(S84:AG84,增益!$A:$A,增益!$K:$K,0)))/200,($F$12-$I$4+VLOOKUP($R84,武学奇术!$A:$ZZ,11,FALSE)+SUM(_xlfn.XLOOKUP(S84:AG84,增益!$A:$A,增益!$K:$K,0)))/100)</f>
        <v>-0.3</v>
      </c>
      <c r="BA84" s="26" cm="1">
        <f t="array" ref="BA84">$G$12+VLOOKUP($R84,武学奇术!$A:$ZZ,12,FALSE)+SUM(_xlfn.XLOOKUP(S84:AG84,增益!$A:$A,增益!$L:$L,0))</f>
        <v>0</v>
      </c>
      <c r="BB84">
        <f t="shared" si="16"/>
        <v>0</v>
      </c>
      <c r="BC84">
        <f t="shared" si="17"/>
        <v>0</v>
      </c>
      <c r="BD84" s="26" cm="1">
        <f t="array" ref="BD84">IF($F$13-$I$4+VLOOKUP($R84,武学奇术!$A:$ZZ,13,FALSE)+SUM(_xlfn.XLOOKUP(S84:AG84,增益!$A:$A,增益!$M:$M,0))&gt;0,($F$13-$I$4+VLOOKUP($R84,武学奇术!$A:$ZZ,13,FALSE)+SUM(_xlfn.XLOOKUP(S84:AG84,增益!$A:$A,增益!$K:$K,0)))/200,($F$13-$I$4+VLOOKUP($R84,武学奇术!$A:$ZZ,13,FALSE)+SUM(_xlfn.XLOOKUP(S84:AG84,增益!$A:$A,增益!$M:$M,0)))/100)</f>
        <v>-0.3</v>
      </c>
      <c r="BE84" s="26" cm="1">
        <f t="array" ref="BE84">$G$13+VLOOKUP($R84,武学奇术!$A:$ZZ,14,FALSE)+SUM(_xlfn.XLOOKUP(S84:AG84,增益!$A:$A,增益!$N:$N,0))</f>
        <v>0</v>
      </c>
      <c r="BF84">
        <f t="shared" si="18"/>
        <v>0</v>
      </c>
      <c r="BG84">
        <f t="shared" si="19"/>
        <v>0</v>
      </c>
      <c r="BH84" s="26" cm="1">
        <f t="array" ref="BH84">IF($F$14-$I$4+VLOOKUP($R84,武学奇术!$A:$ZZ,15,FALSE)+SUM(_xlfn.XLOOKUP(S84:AG84,增益!$A:$A,增益!$O:$O,0))&gt;0,($F$14-$I$4+VLOOKUP($R84,武学奇术!$A:$ZZ,15,FALSE)+SUM(_xlfn.XLOOKUP(S84:AG84,增益!$A:$A,增益!$O:$O,0)))/200,($F$14-$I$4+VLOOKUP($R84,武学奇术!$A:$ZZ,15,FALSE)+SUM(_xlfn.XLOOKUP(S84:AG84,增益!$A:$A,增益!$O:$O,0)))/100)</f>
        <v>-0.3</v>
      </c>
      <c r="BI84" s="26" cm="1">
        <f t="array" ref="BI84">$G$14+VLOOKUP($R84,武学奇术!$A:$ZZ,16,FALSE)+SUM(_xlfn.XLOOKUP(S84:AG84,增益!$A:$A,增益!$P:$P,0))</f>
        <v>0</v>
      </c>
      <c r="BJ84" s="21">
        <f>MIN(IF(VLOOKUP($R84,武学奇术!$A:$ZZ,23,FALSE)=1,100%,$B$8),100%)</f>
        <v>0.8229</v>
      </c>
      <c r="BK84" s="21" cm="1">
        <f t="array" ref="BK84">IF(VLOOKUP($R84,武学奇术!$A:$ZZ,23,FALSE)=1,100%,MIN(80%,$B$9+VLOOKUP($R84,武学奇术!$A:$ZZ,17,FALSE)+SUM(_xlfn.XLOOKUP(S84:AG84,增益!$A:$A,增益!$Q:$Q,0)))+$B$11+SUM(_xlfn.XLOOKUP(S84:AG84,增益!$A:$A,增益!$U:$U,0)))*IF(VLOOKUP($R84,武学奇术!$A:$ZZ,24,FALSE)=1,0,1)</f>
        <v>0.2285</v>
      </c>
      <c r="BL84" s="21" cm="1">
        <f t="array" ref="BL84">1+$B$13+VLOOKUP($R84,武学奇术!$A:$ZZ,18,FALSE)+SUM(_xlfn.XLOOKUP(S84:AG84,增益!$A:$A,增益!$R:$R,0))</f>
        <v>1.5</v>
      </c>
      <c r="BM84" s="21" cm="1">
        <f t="array" ref="BM84">IF(VLOOKUP($R84,武学奇术!$A:$ZZ,24,FALSE)=1,100%,MIN(40%,$B$10+VLOOKUP($R84,武学奇术!$A:$ZZ,19,FALSE)+SUM(_xlfn.XLOOKUP(S84:AG84,增益!$A:$A,增益!$S:$S,0)))+$B$12+SUM(_xlfn.XLOOKUP(S84:AG84,增益!$A:$A,增益!$V:$V,0)))*IF(VLOOKUP($R84,武学奇术!$A:$ZZ,23,FALSE)=1,0,1)</f>
        <v>0.4495</v>
      </c>
      <c r="BN84" s="21" cm="1">
        <f t="array" ref="BN84">1+$B$14+VLOOKUP($R84,武学奇术!$A:$ZZ,20,FALSE)+SUM(_xlfn.XLOOKUP(S84:AG84,增益!$A:$A,增益!$T:$T,0))</f>
        <v>1.782</v>
      </c>
      <c r="BO84" s="21">
        <f t="shared" si="20"/>
        <v>0.18803265</v>
      </c>
      <c r="BP84" s="21">
        <f t="shared" si="21"/>
        <v>0.2649738</v>
      </c>
      <c r="BQ84" s="21">
        <f>IF(VLOOKUP($R84,武学奇术!$A:$ZZ,22,FALSE)=1,0,(1-$BJ84))*(1-$BM84)</f>
        <v>0.09749355</v>
      </c>
      <c r="BR84" s="21" cm="1">
        <f t="array" ref="BR84">SUM(_xlfn.XLOOKUP(S84:AG84,增益!$A:$A,增益!$W:$W,0))+$I$5</f>
        <v>0.06</v>
      </c>
    </row>
    <row r="85" spans="11:70">
      <c r="K85" s="24">
        <f>$L85*VLOOKUP($R85,武学奇术!$A:$ZZ,31,FALSE)</f>
        <v>83003.1876942344</v>
      </c>
      <c r="L85" s="24">
        <f t="shared" si="11"/>
        <v>138338.646157057</v>
      </c>
      <c r="M85" s="24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BL85*$Q85*(1+IF(VLOOKUP($R85,武学奇术!$A:$ZZ,30,FALSE)="流血",$B$21,0))*(1+$BR85)</f>
        <v>113257.891808962</v>
      </c>
      <c r="N85" s="24">
        <f>(($AP85*$AI85+$AJ85)*(1+$AQ85)*(1+$AR85)+($AU85*IF($G$1="鸣金",$AK85,$AI85)+IF($G$1="鸣金",$AL85*1.5,0))*(1+$AV85)*(1+$AW85)+($AY85*IF($G$1="裂石",$AK85,$AI85)+IF($G$1="裂石",$AL85*1.5,0))*(1+$AZ85)*(1+$BA85)+($BC85*IF($G$1="牵丝",$AK85,$AI85)+IF($G$1="牵丝",$AL85*1.5,0))*(1+$BD85)*(1+$BE85)+($BG85*IF($G$1="破竹",$AK85,$AI85)+IF($G$1="破竹",$AL85*1.5,0))*(1+$BH85)*(1+$BI85))*(1+$AM85)*$BN85*$Q85*(1+IF(VLOOKUP($R85,武学奇术!$A:$ZZ,30,FALSE)="流血",$B$21,0))*(1+$BR85)</f>
        <v>208498.278422863</v>
      </c>
      <c r="O85" s="24">
        <f>((($AO85+$AP85)/2*$AI85+$AJ85)*(1+$AQ85)*(1+$AR85)+(($AT85+$AU85)/2*IF($G$1="鸣金",$AK85,$AI85)+IF($G$1="鸣金",$AL85*1.5,0))*(1+$AV85)*(1+$AW85)+(($AX85+$AY85)/2*IF($G$1="裂石",$AK85,$AI85)+IF($G$1="裂石",$AL85*1.5,0))*(1+$AZ85)*(1+$BA85)+(($BB85+$BC85)/2*IF($G$1="牵丝",$AK85,$AI85)+IF($G$1="牵丝",$AL85*1.5,0))*(1+$BD85)*(1+$BE85)+(($BF85+$BG85)/2*IF($G$1="破竹",$AK85,$AI85)+IF($G$1="破竹",$AL85*1.5,0))*(1+$BH85)*(1+$BI85))*(1+$AM85)*$Q85*(1+IF(VLOOKUP($R85,武学奇术!$A:$ZZ,30,FALSE)="流血",$B$21,0))*(1+$BR85)</f>
        <v>75505.2612059748</v>
      </c>
      <c r="P85" s="24">
        <f>((($AO85*$AI85+$AJ85)*(1+$AQ85)*(1+$AR85)+($AT85*IF($G$1="鸣金",$AK85,$AI85)+IF($G$1="鸣金",$AL85*1.5,0))*(1+$AV85)*(1+$AW85)+($AX85*IF($G$1="裂石",$AK85,$AI85)+IF($G$1="裂石",$AL85*1.5,0))*(1+$AZ85)*(1+$BA85)+($BB85*IF($G$1="牵丝",$AK85,$AI85)+IF($G$1="牵丝",$AL85*1.5,0))*(1+$BD85)*(1+$BE85)+($BF85*IF($G$1="破竹",$AK85,$AI85)+IF($G$1="破竹",$AL85*1.5,0))*(1+$BH85)*(1+$BI85))*(1+$AM85))*$Q85*(1+IF(VLOOKUP($R85,武学奇术!$A:$ZZ,30,FALSE)="流血",$B$21,0))*(1+$BR85)</f>
        <v>34008.1215012524</v>
      </c>
      <c r="Q85" s="31">
        <v>1</v>
      </c>
      <c r="R85" s="32" t="s">
        <v>95</v>
      </c>
      <c r="S85" s="32" t="s">
        <v>87</v>
      </c>
      <c r="T85" s="32" t="s">
        <v>96</v>
      </c>
      <c r="U85" s="32" t="s">
        <v>97</v>
      </c>
      <c r="V85" s="32" t="s">
        <v>98</v>
      </c>
      <c r="W85" s="32" t="s">
        <v>111</v>
      </c>
      <c r="X85" s="32" t="s">
        <v>127</v>
      </c>
      <c r="Y85" s="32" t="s">
        <v>73</v>
      </c>
      <c r="Z85" s="32" t="s">
        <v>73</v>
      </c>
      <c r="AA85" s="32" t="s">
        <v>81</v>
      </c>
      <c r="AB85" s="32" t="s">
        <v>75</v>
      </c>
      <c r="AC85" s="32" t="s">
        <v>89</v>
      </c>
      <c r="AD85" s="32" t="s">
        <v>82</v>
      </c>
      <c r="AE85" s="32" t="s">
        <v>90</v>
      </c>
      <c r="AF85" s="32" t="s">
        <v>73</v>
      </c>
      <c r="AG85" s="32" t="s">
        <v>178</v>
      </c>
      <c r="AH85" t="str">
        <f>VLOOKUP($R85,武学奇术!$A:$ZZ,25,FALSE)</f>
        <v>剑</v>
      </c>
      <c r="AI85" s="21">
        <f>VLOOKUP($R85,武学奇术!$A:$ZZ,26,FALSE)</f>
        <v>2.52</v>
      </c>
      <c r="AJ85" s="22">
        <f>VLOOKUP($R85,武学奇术!$A:$ZZ,27,FALSE)*(1+IF(OR($AH85=$F$4,$AH85=$F$5),$B$22,0))</f>
        <v>0</v>
      </c>
      <c r="AK85" s="21">
        <f>VLOOKUP($R85,武学奇术!$A:$ZZ,28,FALSE)</f>
        <v>3.78</v>
      </c>
      <c r="AL85" s="22">
        <f>VLOOKUP($R85,武学奇术!$A:$ZZ,29,FALSE)*(1+IF(OR($AH85=$F$4,$AH85=$F$5),$B$22,0))</f>
        <v>0</v>
      </c>
      <c r="AM85" s="21" cm="1">
        <f t="array" ref="AM85">$G$3+IFERROR(VLOOKUP($AH85,$F$4:$G$7,2,FALSE),0)+VLOOKUP($R85,武学奇术!$A:$ZZ,2,FALSE)+SUM(_xlfn.XLOOKUP($S85:$AG85,增益!$A:$A,增益!$B:$B,0))</f>
        <v>1.6291</v>
      </c>
      <c r="AN85" s="21" cm="1">
        <f t="array" ref="AN85">VLOOKUP($R85,武学奇术!$A:$ZZ,5,FALSE)+SUM(_xlfn.XLOOKUP($S85:$AG85,增益!$A:$A,增益!$E:$E,0))</f>
        <v>0</v>
      </c>
      <c r="AO85" cm="1">
        <f t="array" ref="AO85">$D$10*(1+$AN85)+VLOOKUP($R85,武学奇术!$A:$ZZ,3,FALSE)+SUM(_xlfn.XLOOKUP($S85:$AG85,增益!$A:$A,增益!$C:$C,0))-$I$2</f>
        <v>1825.28</v>
      </c>
      <c r="AP85" cm="1">
        <f t="array" ref="AP85">$E$10*(1+$AN85)+VLOOKUP($R85,武学奇术!$A:$ZZ,4,FALSE)+SUM(_xlfn.XLOOKUP($S85:$AG85,增益!$A:$A,增益!$D:$D,0))-$I$2</f>
        <v>7757.36</v>
      </c>
      <c r="AQ85" s="26" cm="1">
        <f t="array" ref="AQ85">IF($F$10-$I$3+VLOOKUP($R85,武学奇术!$A:$ZZ,6,FALSE)+SUM(_xlfn.XLOOKUP(S85:AG85,增益!$A:$A,增益!$F:$F,0))&gt;0,($F$10-$I$3+VLOOKUP($R85,武学奇术!$A:$ZZ,6,FALSE)+SUM(_xlfn.XLOOKUP(S85:AG85,增益!$A:$A,增益!$F:$F,0)))/200,($F$10-$I$3+VLOOKUP($R85,武学奇术!$A:$ZZ,6,FALSE)+SUM(_xlfn.XLOOKUP(S85:AG85,增益!$A:$A,增益!$F:$F,0)))/100)</f>
        <v>0.319</v>
      </c>
      <c r="AR85" s="26" cm="1">
        <f t="array" ref="AR85">$G$10+VLOOKUP($R85,武学奇术!$A:$ZZ,7,FALSE)+SUM(_xlfn.XLOOKUP(S85:AG85,增益!$A:$A,增益!$G:$G,0))</f>
        <v>0</v>
      </c>
      <c r="AS85" s="21" cm="1">
        <f t="array" ref="AS85">VLOOKUP($R85,武学奇术!$A:$ZZ,8,FALSE)+SUM(_xlfn.XLOOKUP(S85:AG85,增益!$A:$A,增益!$H:$H,0))</f>
        <v>0</v>
      </c>
      <c r="AT85">
        <f t="shared" si="12"/>
        <v>680.02</v>
      </c>
      <c r="AU85">
        <f t="shared" si="13"/>
        <v>1288.54</v>
      </c>
      <c r="AV85" s="26" cm="1">
        <f t="array" ref="AV85">IF($F$11-$I$4+VLOOKUP($R85,武学奇术!$A:$ZZ,9,FALSE)+SUM(_xlfn.XLOOKUP(S85:AG85,增益!$A:$A,增益!$I:$I,0))&gt;0,($F$11-$I$4+VLOOKUP($R85,武学奇术!$A:$ZZ,9,FALSE)+SUM(_xlfn.XLOOKUP(S85:AG85,增益!$A:$A,增益!$I:$I,0)))/200,($F$11-$I$4+VLOOKUP($R85,武学奇术!$A:$ZZ,9,FALSE)+SUM(_xlfn.XLOOKUP(S85:AG85,增益!$A:$A,增益!$I:$I,0)))/100)</f>
        <v>0.075</v>
      </c>
      <c r="AW85" s="26" cm="1">
        <f t="array" ref="AW85">$G$11+VLOOKUP($R85,武学奇术!$A:$ZZ,10,FALSE)+SUM(_xlfn.XLOOKUP(S85:AG85,增益!$A:$A,增益!$J:$J,0))</f>
        <v>0.15</v>
      </c>
      <c r="AX85">
        <f t="shared" si="14"/>
        <v>0</v>
      </c>
      <c r="AY85">
        <f t="shared" si="15"/>
        <v>0</v>
      </c>
      <c r="AZ85" s="26" cm="1">
        <f t="array" ref="AZ85">IF($F$12-$I$4+VLOOKUP($R85,武学奇术!$A:$ZZ,11,FALSE)+SUM(_xlfn.XLOOKUP(S85:AG85,增益!$A:$A,增益!$K:$K,0))&gt;0,($F$12-$I$4+VLOOKUP($R85,武学奇术!$A:$ZZ,11,FALSE)+SUM(_xlfn.XLOOKUP(S85:AG85,增益!$A:$A,增益!$K:$K,0)))/200,($F$12-$I$4+VLOOKUP($R85,武学奇术!$A:$ZZ,11,FALSE)+SUM(_xlfn.XLOOKUP(S85:AG85,增益!$A:$A,增益!$K:$K,0)))/100)</f>
        <v>-0.3</v>
      </c>
      <c r="BA85" s="26" cm="1">
        <f t="array" ref="BA85">$G$12+VLOOKUP($R85,武学奇术!$A:$ZZ,12,FALSE)+SUM(_xlfn.XLOOKUP(S85:AG85,增益!$A:$A,增益!$L:$L,0))</f>
        <v>0</v>
      </c>
      <c r="BB85">
        <f t="shared" si="16"/>
        <v>0</v>
      </c>
      <c r="BC85">
        <f t="shared" si="17"/>
        <v>0</v>
      </c>
      <c r="BD85" s="26" cm="1">
        <f t="array" ref="BD85">IF($F$13-$I$4+VLOOKUP($R85,武学奇术!$A:$ZZ,13,FALSE)+SUM(_xlfn.XLOOKUP(S85:AG85,增益!$A:$A,增益!$M:$M,0))&gt;0,($F$13-$I$4+VLOOKUP($R85,武学奇术!$A:$ZZ,13,FALSE)+SUM(_xlfn.XLOOKUP(S85:AG85,增益!$A:$A,增益!$K:$K,0)))/200,($F$13-$I$4+VLOOKUP($R85,武学奇术!$A:$ZZ,13,FALSE)+SUM(_xlfn.XLOOKUP(S85:AG85,增益!$A:$A,增益!$M:$M,0)))/100)</f>
        <v>-0.3</v>
      </c>
      <c r="BE85" s="26" cm="1">
        <f t="array" ref="BE85">$G$13+VLOOKUP($R85,武学奇术!$A:$ZZ,14,FALSE)+SUM(_xlfn.XLOOKUP(S85:AG85,增益!$A:$A,增益!$N:$N,0))</f>
        <v>0</v>
      </c>
      <c r="BF85">
        <f t="shared" si="18"/>
        <v>0</v>
      </c>
      <c r="BG85">
        <f t="shared" si="19"/>
        <v>0</v>
      </c>
      <c r="BH85" s="26" cm="1">
        <f t="array" ref="BH85">IF($F$14-$I$4+VLOOKUP($R85,武学奇术!$A:$ZZ,15,FALSE)+SUM(_xlfn.XLOOKUP(S85:AG85,增益!$A:$A,增益!$O:$O,0))&gt;0,($F$14-$I$4+VLOOKUP($R85,武学奇术!$A:$ZZ,15,FALSE)+SUM(_xlfn.XLOOKUP(S85:AG85,增益!$A:$A,增益!$O:$O,0)))/200,($F$14-$I$4+VLOOKUP($R85,武学奇术!$A:$ZZ,15,FALSE)+SUM(_xlfn.XLOOKUP(S85:AG85,增益!$A:$A,增益!$O:$O,0)))/100)</f>
        <v>-0.3</v>
      </c>
      <c r="BI85" s="26" cm="1">
        <f t="array" ref="BI85">$G$14+VLOOKUP($R85,武学奇术!$A:$ZZ,16,FALSE)+SUM(_xlfn.XLOOKUP(S85:AG85,增益!$A:$A,增益!$P:$P,0))</f>
        <v>0</v>
      </c>
      <c r="BJ85" s="21">
        <f>MIN(IF(VLOOKUP($R85,武学奇术!$A:$ZZ,23,FALSE)=1,100%,$B$8),100%)</f>
        <v>0.8229</v>
      </c>
      <c r="BK85" s="21" cm="1">
        <f t="array" ref="BK85">IF(VLOOKUP($R85,武学奇术!$A:$ZZ,23,FALSE)=1,100%,MIN(80%,$B$9+VLOOKUP($R85,武学奇术!$A:$ZZ,17,FALSE)+SUM(_xlfn.XLOOKUP(S85:AG85,增益!$A:$A,增益!$Q:$Q,0)))+$B$11+SUM(_xlfn.XLOOKUP(S85:AG85,增益!$A:$A,增益!$U:$U,0)))*IF(VLOOKUP($R85,武学奇术!$A:$ZZ,24,FALSE)=1,0,1)</f>
        <v>0.2285</v>
      </c>
      <c r="BL85" s="21" cm="1">
        <f t="array" ref="BL85">1+$B$13+VLOOKUP($R85,武学奇术!$A:$ZZ,18,FALSE)+SUM(_xlfn.XLOOKUP(S85:AG85,增益!$A:$A,增益!$R:$R,0))</f>
        <v>1.5</v>
      </c>
      <c r="BM85" s="21" cm="1">
        <f t="array" ref="BM85">IF(VLOOKUP($R85,武学奇术!$A:$ZZ,24,FALSE)=1,100%,MIN(40%,$B$10+VLOOKUP($R85,武学奇术!$A:$ZZ,19,FALSE)+SUM(_xlfn.XLOOKUP(S85:AG85,增益!$A:$A,增益!$S:$S,0)))+$B$12+SUM(_xlfn.XLOOKUP(S85:AG85,增益!$A:$A,增益!$V:$V,0)))*IF(VLOOKUP($R85,武学奇术!$A:$ZZ,23,FALSE)=1,0,1)</f>
        <v>0.4495</v>
      </c>
      <c r="BN85" s="21" cm="1">
        <f t="array" ref="BN85">1+$B$14+VLOOKUP($R85,武学奇术!$A:$ZZ,20,FALSE)+SUM(_xlfn.XLOOKUP(S85:AG85,增益!$A:$A,增益!$T:$T,0))</f>
        <v>1.782</v>
      </c>
      <c r="BO85" s="21">
        <f t="shared" si="20"/>
        <v>0.18803265</v>
      </c>
      <c r="BP85" s="21">
        <f t="shared" si="21"/>
        <v>0.2649738</v>
      </c>
      <c r="BQ85" s="21">
        <f>IF(VLOOKUP($R85,武学奇术!$A:$ZZ,22,FALSE)=1,0,(1-$BJ85))*(1-$BM85)</f>
        <v>0.09749355</v>
      </c>
      <c r="BR85" s="21" cm="1">
        <f t="array" ref="BR85">SUM(_xlfn.XLOOKUP(S85:AG85,增益!$A:$A,增益!$W:$W,0))+$I$5</f>
        <v>0.06</v>
      </c>
    </row>
    <row r="86" spans="11:70">
      <c r="K86" s="24">
        <f>$L86*VLOOKUP($R86,武学奇术!$A:$ZZ,31,FALSE)</f>
        <v>16276.6777276324</v>
      </c>
      <c r="L86" s="24">
        <f t="shared" si="11"/>
        <v>16276.6777276324</v>
      </c>
      <c r="M86" s="24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BL86*$Q86*(1+IF(VLOOKUP($R86,武学奇术!$A:$ZZ,30,FALSE)="流血",$B$21,0))*(1+$BR86)</f>
        <v>14300.7417219916</v>
      </c>
      <c r="N86" s="24">
        <f>(($AP86*$AI86+$AJ86)*(1+$AQ86)*(1+$AR86)+($AU86*IF($G$1="鸣金",$AK86,$AI86)+IF($G$1="鸣金",$AL86*1.5,0))*(1+$AV86)*(1+$AW86)+($AY86*IF($G$1="裂石",$AK86,$AI86)+IF($G$1="裂石",$AL86*1.5,0))*(1+$AZ86)*(1+$BA86)+($BC86*IF($G$1="牵丝",$AK86,$AI86)+IF($G$1="牵丝",$AL86*1.5,0))*(1+$BD86)*(1+$BE86)+($BG86*IF($G$1="破竹",$AK86,$AI86)+IF($G$1="破竹",$AL86*1.5,0))*(1+$BH86)*(1+$BI86))*(1+$AM86)*$BN86*$Q86*(1+IF(VLOOKUP($R86,武学奇术!$A:$ZZ,30,FALSE)="流血",$B$21,0))*(1+$BR86)</f>
        <v>23678.5243605754</v>
      </c>
      <c r="O86" s="24">
        <f>((($AO86+$AP86)/2*$AI86+$AJ86)*(1+$AQ86)*(1+$AR86)+(($AT86+$AU86)/2*IF($G$1="鸣金",$AK86,$AI86)+IF($G$1="鸣金",$AL86*1.5,0))*(1+$AV86)*(1+$AW86)+(($AX86+$AY86)/2*IF($G$1="裂石",$AK86,$AI86)+IF($G$1="裂石",$AL86*1.5,0))*(1+$AZ86)*(1+$BA86)+(($BB86+$BC86)/2*IF($G$1="牵丝",$AK86,$AI86)+IF($G$1="牵丝",$AL86*1.5,0))*(1+$BD86)*(1+$BE86)+(($BF86+$BG86)/2*IF($G$1="破竹",$AK86,$AI86)+IF($G$1="破竹",$AL86*1.5,0))*(1+$BH86)*(1+$BI86))*(1+$AM86)*$Q86*(1+IF(VLOOKUP($R86,武学奇术!$A:$ZZ,30,FALSE)="流血",$B$21,0))*(1+$BR86)</f>
        <v>9533.82781466105</v>
      </c>
      <c r="P86" s="24">
        <f>((($AO86*$AI86+$AJ86)*(1+$AQ86)*(1+$AR86)+($AT86*IF($G$1="鸣金",$AK86,$AI86)+IF($G$1="鸣金",$AL86*1.5,0))*(1+$AV86)*(1+$AW86)+($AX86*IF($G$1="裂石",$AK86,$AI86)+IF($G$1="裂石",$AL86*1.5,0))*(1+$AZ86)*(1+$BA86)+($BB86*IF($G$1="牵丝",$AK86,$AI86)+IF($G$1="牵丝",$AL86*1.5,0))*(1+$BD86)*(1+$BE86)+($BF86*IF($G$1="破竹",$AK86,$AI86)+IF($G$1="破竹",$AL86*1.5,0))*(1+$BH86)*(1+$BI86))*(1+$AM86))*$Q86*(1+IF(VLOOKUP($R86,武学奇术!$A:$ZZ,30,FALSE)="流血",$B$21,0))*(1+$BR86)</f>
        <v>4287.05365642858</v>
      </c>
      <c r="Q86" s="31">
        <v>1</v>
      </c>
      <c r="R86" s="32" t="s">
        <v>103</v>
      </c>
      <c r="S86" s="32" t="s">
        <v>87</v>
      </c>
      <c r="T86" s="32" t="s">
        <v>104</v>
      </c>
      <c r="U86" s="32" t="s">
        <v>73</v>
      </c>
      <c r="V86" s="32" t="s">
        <v>73</v>
      </c>
      <c r="W86" s="32" t="s">
        <v>111</v>
      </c>
      <c r="X86" s="32" t="s">
        <v>127</v>
      </c>
      <c r="Y86" s="32" t="s">
        <v>73</v>
      </c>
      <c r="Z86" s="32" t="s">
        <v>73</v>
      </c>
      <c r="AA86" s="32" t="s">
        <v>81</v>
      </c>
      <c r="AB86" s="32" t="s">
        <v>75</v>
      </c>
      <c r="AC86" s="32" t="s">
        <v>89</v>
      </c>
      <c r="AD86" s="32" t="s">
        <v>82</v>
      </c>
      <c r="AE86" s="32" t="s">
        <v>90</v>
      </c>
      <c r="AF86" s="32" t="s">
        <v>73</v>
      </c>
      <c r="AG86" s="32" t="s">
        <v>178</v>
      </c>
      <c r="AH86" t="str">
        <f>VLOOKUP($R86,武学奇术!$A:$ZZ,25,FALSE)</f>
        <v>剑</v>
      </c>
      <c r="AI86" s="21">
        <f>VLOOKUP($R86,武学奇术!$A:$ZZ,26,FALSE)</f>
        <v>0.625</v>
      </c>
      <c r="AJ86" s="22">
        <f>VLOOKUP($R86,武学奇术!$A:$ZZ,27,FALSE)*(1+IF(OR($AH86=$F$4,$AH86=$F$5),$B$22,0))</f>
        <v>0</v>
      </c>
      <c r="AK86" s="21">
        <f>VLOOKUP($R86,武学奇术!$A:$ZZ,28,FALSE)</f>
        <v>0.9375</v>
      </c>
      <c r="AL86" s="22">
        <f>VLOOKUP($R86,武学奇术!$A:$ZZ,29,FALSE)*(1+IF(OR($AH86=$F$4,$AH86=$F$5),$B$22,0))</f>
        <v>0</v>
      </c>
      <c r="AM86" s="21" cm="1">
        <f t="array" ref="AM86">$G$3+IFERROR(VLOOKUP($AH86,$F$4:$G$7,2,FALSE),0)+VLOOKUP($R86,武学奇术!$A:$ZZ,2,FALSE)+SUM(_xlfn.XLOOKUP($S86:$AG86,增益!$A:$A,增益!$B:$B,0))</f>
        <v>0.8791</v>
      </c>
      <c r="AN86" s="21" cm="1">
        <f t="array" ref="AN86">VLOOKUP($R86,武学奇术!$A:$ZZ,5,FALSE)+SUM(_xlfn.XLOOKUP($S86:$AG86,增益!$A:$A,增益!$E:$E,0))</f>
        <v>0</v>
      </c>
      <c r="AO86" cm="1">
        <f t="array" ref="AO86">$D$10*(1+$AN86)+VLOOKUP($R86,武学奇术!$A:$ZZ,3,FALSE)+SUM(_xlfn.XLOOKUP($S86:$AG86,增益!$A:$A,增益!$C:$C,0))-$I$2</f>
        <v>1825.28</v>
      </c>
      <c r="AP86" cm="1">
        <f t="array" ref="AP86">$E$10*(1+$AN86)+VLOOKUP($R86,武学奇术!$A:$ZZ,4,FALSE)+SUM(_xlfn.XLOOKUP($S86:$AG86,增益!$A:$A,增益!$D:$D,0))-$I$2</f>
        <v>7757.36</v>
      </c>
      <c r="AQ86" s="26" cm="1">
        <f t="array" ref="AQ86">IF($F$10-$I$3+VLOOKUP($R86,武学奇术!$A:$ZZ,6,FALSE)+SUM(_xlfn.XLOOKUP(S86:AG86,增益!$A:$A,增益!$F:$F,0))&gt;0,($F$10-$I$3+VLOOKUP($R86,武学奇术!$A:$ZZ,6,FALSE)+SUM(_xlfn.XLOOKUP(S86:AG86,增益!$A:$A,增益!$F:$F,0)))/200,($F$10-$I$3+VLOOKUP($R86,武学奇术!$A:$ZZ,6,FALSE)+SUM(_xlfn.XLOOKUP(S86:AG86,增益!$A:$A,增益!$F:$F,0)))/100)</f>
        <v>0.244</v>
      </c>
      <c r="AR86" s="26" cm="1">
        <f t="array" ref="AR86">$G$10+VLOOKUP($R86,武学奇术!$A:$ZZ,7,FALSE)+SUM(_xlfn.XLOOKUP(S86:AG86,增益!$A:$A,增益!$G:$G,0))</f>
        <v>0</v>
      </c>
      <c r="AS86" s="21" cm="1">
        <f t="array" ref="AS86">VLOOKUP($R86,武学奇术!$A:$ZZ,8,FALSE)+SUM(_xlfn.XLOOKUP(S86:AG86,增益!$A:$A,增益!$H:$H,0))</f>
        <v>0</v>
      </c>
      <c r="AT86">
        <f t="shared" si="12"/>
        <v>680.02</v>
      </c>
      <c r="AU86">
        <f t="shared" si="13"/>
        <v>1288.54</v>
      </c>
      <c r="AV86" s="26" cm="1">
        <f t="array" ref="AV86">IF($F$11-$I$4+VLOOKUP($R86,武学奇术!$A:$ZZ,9,FALSE)+SUM(_xlfn.XLOOKUP(S86:AG86,增益!$A:$A,增益!$I:$I,0))&gt;0,($F$11-$I$4+VLOOKUP($R86,武学奇术!$A:$ZZ,9,FALSE)+SUM(_xlfn.XLOOKUP(S86:AG86,增益!$A:$A,增益!$I:$I,0)))/200,($F$11-$I$4+VLOOKUP($R86,武学奇术!$A:$ZZ,9,FALSE)+SUM(_xlfn.XLOOKUP(S86:AG86,增益!$A:$A,增益!$I:$I,0)))/100)</f>
        <v>0</v>
      </c>
      <c r="AW86" s="26" cm="1">
        <f t="array" ref="AW86">$G$11+VLOOKUP($R86,武学奇术!$A:$ZZ,10,FALSE)+SUM(_xlfn.XLOOKUP(S86:AG86,增益!$A:$A,增益!$J:$J,0))</f>
        <v>0.15</v>
      </c>
      <c r="AX86">
        <f t="shared" si="14"/>
        <v>0</v>
      </c>
      <c r="AY86">
        <f t="shared" si="15"/>
        <v>0</v>
      </c>
      <c r="AZ86" s="26" cm="1">
        <f t="array" ref="AZ86">IF($F$12-$I$4+VLOOKUP($R86,武学奇术!$A:$ZZ,11,FALSE)+SUM(_xlfn.XLOOKUP(S86:AG86,增益!$A:$A,增益!$K:$K,0))&gt;0,($F$12-$I$4+VLOOKUP($R86,武学奇术!$A:$ZZ,11,FALSE)+SUM(_xlfn.XLOOKUP(S86:AG86,增益!$A:$A,增益!$K:$K,0)))/200,($F$12-$I$4+VLOOKUP($R86,武学奇术!$A:$ZZ,11,FALSE)+SUM(_xlfn.XLOOKUP(S86:AG86,增益!$A:$A,增益!$K:$K,0)))/100)</f>
        <v>-0.3</v>
      </c>
      <c r="BA86" s="26" cm="1">
        <f t="array" ref="BA86">$G$12+VLOOKUP($R86,武学奇术!$A:$ZZ,12,FALSE)+SUM(_xlfn.XLOOKUP(S86:AG86,增益!$A:$A,增益!$L:$L,0))</f>
        <v>0</v>
      </c>
      <c r="BB86">
        <f t="shared" si="16"/>
        <v>0</v>
      </c>
      <c r="BC86">
        <f t="shared" si="17"/>
        <v>0</v>
      </c>
      <c r="BD86" s="26" cm="1">
        <f t="array" ref="BD86">IF($F$13-$I$4+VLOOKUP($R86,武学奇术!$A:$ZZ,13,FALSE)+SUM(_xlfn.XLOOKUP(S86:AG86,增益!$A:$A,增益!$M:$M,0))&gt;0,($F$13-$I$4+VLOOKUP($R86,武学奇术!$A:$ZZ,13,FALSE)+SUM(_xlfn.XLOOKUP(S86:AG86,增益!$A:$A,增益!$K:$K,0)))/200,($F$13-$I$4+VLOOKUP($R86,武学奇术!$A:$ZZ,13,FALSE)+SUM(_xlfn.XLOOKUP(S86:AG86,增益!$A:$A,增益!$M:$M,0)))/100)</f>
        <v>-0.3</v>
      </c>
      <c r="BE86" s="26" cm="1">
        <f t="array" ref="BE86">$G$13+VLOOKUP($R86,武学奇术!$A:$ZZ,14,FALSE)+SUM(_xlfn.XLOOKUP(S86:AG86,增益!$A:$A,增益!$N:$N,0))</f>
        <v>0</v>
      </c>
      <c r="BF86">
        <f t="shared" si="18"/>
        <v>0</v>
      </c>
      <c r="BG86">
        <f t="shared" si="19"/>
        <v>0</v>
      </c>
      <c r="BH86" s="26" cm="1">
        <f t="array" ref="BH86">IF($F$14-$I$4+VLOOKUP($R86,武学奇术!$A:$ZZ,15,FALSE)+SUM(_xlfn.XLOOKUP(S86:AG86,增益!$A:$A,增益!$O:$O,0))&gt;0,($F$14-$I$4+VLOOKUP($R86,武学奇术!$A:$ZZ,15,FALSE)+SUM(_xlfn.XLOOKUP(S86:AG86,增益!$A:$A,增益!$O:$O,0)))/200,($F$14-$I$4+VLOOKUP($R86,武学奇术!$A:$ZZ,15,FALSE)+SUM(_xlfn.XLOOKUP(S86:AG86,增益!$A:$A,增益!$O:$O,0)))/100)</f>
        <v>-0.3</v>
      </c>
      <c r="BI86" s="26" cm="1">
        <f t="array" ref="BI86">$G$14+VLOOKUP($R86,武学奇术!$A:$ZZ,16,FALSE)+SUM(_xlfn.XLOOKUP(S86:AG86,增益!$A:$A,增益!$P:$P,0))</f>
        <v>0</v>
      </c>
      <c r="BJ86" s="21">
        <f>MIN(IF(VLOOKUP($R86,武学奇术!$A:$ZZ,23,FALSE)=1,100%,$B$8),100%)</f>
        <v>0.8229</v>
      </c>
      <c r="BK86" s="21" cm="1">
        <f t="array" ref="BK86">IF(VLOOKUP($R86,武学奇术!$A:$ZZ,23,FALSE)=1,100%,MIN(80%,$B$9+VLOOKUP($R86,武学奇术!$A:$ZZ,17,FALSE)+SUM(_xlfn.XLOOKUP(S86:AG86,增益!$A:$A,增益!$Q:$Q,0)))+$B$11+SUM(_xlfn.XLOOKUP(S86:AG86,增益!$A:$A,增益!$U:$U,0)))*IF(VLOOKUP($R86,武学奇术!$A:$ZZ,24,FALSE)=1,0,1)</f>
        <v>0.2285</v>
      </c>
      <c r="BL86" s="21" cm="1">
        <f t="array" ref="BL86">1+$B$13+VLOOKUP($R86,武学奇术!$A:$ZZ,18,FALSE)+SUM(_xlfn.XLOOKUP(S86:AG86,增益!$A:$A,增益!$R:$R,0))</f>
        <v>1.5</v>
      </c>
      <c r="BM86" s="21" cm="1">
        <f t="array" ref="BM86">IF(VLOOKUP($R86,武学奇术!$A:$ZZ,24,FALSE)=1,100%,MIN(40%,$B$10+VLOOKUP($R86,武学奇术!$A:$ZZ,19,FALSE)+SUM(_xlfn.XLOOKUP(S86:AG86,增益!$A:$A,增益!$S:$S,0)))+$B$12+SUM(_xlfn.XLOOKUP(S86:AG86,增益!$A:$A,增益!$V:$V,0)))*IF(VLOOKUP($R86,武学奇术!$A:$ZZ,23,FALSE)=1,0,1)</f>
        <v>0.4495</v>
      </c>
      <c r="BN86" s="21" cm="1">
        <f t="array" ref="BN86">1+$B$14+VLOOKUP($R86,武学奇术!$A:$ZZ,20,FALSE)+SUM(_xlfn.XLOOKUP(S86:AG86,增益!$A:$A,增益!$T:$T,0))</f>
        <v>1.602</v>
      </c>
      <c r="BO86" s="21">
        <f t="shared" si="20"/>
        <v>0.18803265</v>
      </c>
      <c r="BP86" s="21">
        <f t="shared" si="21"/>
        <v>0.2649738</v>
      </c>
      <c r="BQ86" s="21">
        <f>IF(VLOOKUP($R86,武学奇术!$A:$ZZ,22,FALSE)=1,0,(1-$BJ86))*(1-$BM86)</f>
        <v>0.09749355</v>
      </c>
      <c r="BR86" s="21" cm="1">
        <f t="array" ref="BR86">SUM(_xlfn.XLOOKUP(S86:AG86,增益!$A:$A,增益!$W:$W,0))+$I$5</f>
        <v>0.06</v>
      </c>
    </row>
    <row r="87" spans="11:70">
      <c r="K87" s="24">
        <f>$L87*VLOOKUP($R87,武学奇术!$A:$ZZ,31,FALSE)</f>
        <v>31014.3196997911</v>
      </c>
      <c r="L87" s="24">
        <f t="shared" si="11"/>
        <v>31014.3196997911</v>
      </c>
      <c r="M87" s="24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BL87*$Q87*(1+IF(VLOOKUP($R87,武学奇术!$A:$ZZ,30,FALSE)="流血",$B$21,0))*(1+$BR87)</f>
        <v>27839.3820961978</v>
      </c>
      <c r="N87" s="24">
        <f>(($AP87*$AI87+$AJ87)*(1+$AQ87)*(1+$AR87)+($AU87*IF($G$1="鸣金",$AK87,$AI87)+IF($G$1="鸣金",$AL87*1.5,0))*(1+$AV87)*(1+$AW87)+($AY87*IF($G$1="裂石",$AK87,$AI87)+IF($G$1="裂石",$AL87*1.5,0))*(1+$AZ87)*(1+$BA87)+($BC87*IF($G$1="牵丝",$AK87,$AI87)+IF($G$1="牵丝",$AL87*1.5,0))*(1+$BD87)*(1+$BE87)+($BG87*IF($G$1="破竹",$AK87,$AI87)+IF($G$1="破竹",$AL87*1.5,0))*(1+$BH87)*(1+$BI87))*(1+$AM87)*$BN87*$Q87*(1+IF(VLOOKUP($R87,武学奇术!$A:$ZZ,30,FALSE)="流血",$B$21,0))*(1+$BR87)</f>
        <v>44367.040430818</v>
      </c>
      <c r="O87" s="24">
        <f>((($AO87+$AP87)/2*$AI87+$AJ87)*(1+$AQ87)*(1+$AR87)+(($AT87+$AU87)/2*IF($G$1="鸣金",$AK87,$AI87)+IF($G$1="鸣金",$AL87*1.5,0))*(1+$AV87)*(1+$AW87)+(($AX87+$AY87)/2*IF($G$1="裂石",$AK87,$AI87)+IF($G$1="裂石",$AL87*1.5,0))*(1+$AZ87)*(1+$BA87)+(($BB87+$BC87)/2*IF($G$1="牵丝",$AK87,$AI87)+IF($G$1="牵丝",$AL87*1.5,0))*(1+$BD87)*(1+$BE87)+(($BF87+$BG87)/2*IF($G$1="破竹",$AK87,$AI87)+IF($G$1="破竹",$AL87*1.5,0))*(1+$BH87)*(1+$BI87))*(1+$AM87)*$Q87*(1+IF(VLOOKUP($R87,武学奇术!$A:$ZZ,30,FALSE)="流血",$B$21,0))*(1+$BR87)</f>
        <v>18559.5880641318</v>
      </c>
      <c r="P87" s="24">
        <f>((($AO87*$AI87+$AJ87)*(1+$AQ87)*(1+$AR87)+($AT87*IF($G$1="鸣金",$AK87,$AI87)+IF($G$1="鸣金",$AL87*1.5,0))*(1+$AV87)*(1+$AW87)+($AX87*IF($G$1="裂石",$AK87,$AI87)+IF($G$1="裂石",$AL87*1.5,0))*(1+$AZ87)*(1+$BA87)+($BB87*IF($G$1="牵丝",$AK87,$AI87)+IF($G$1="牵丝",$AL87*1.5,0))*(1+$BD87)*(1+$BE87)+($BF87*IF($G$1="破竹",$AK87,$AI87)+IF($G$1="破竹",$AL87*1.5,0))*(1+$BH87)*(1+$BI87))*(1+$AM87))*$Q87*(1+IF(VLOOKUP($R87,武学奇术!$A:$ZZ,30,FALSE)="流血",$B$21,0))*(1+$BR87)</f>
        <v>9424.39433624248</v>
      </c>
      <c r="Q87" s="31">
        <v>1</v>
      </c>
      <c r="R87" s="32" t="s">
        <v>191</v>
      </c>
      <c r="S87" s="32" t="s">
        <v>87</v>
      </c>
      <c r="T87" s="32" t="s">
        <v>104</v>
      </c>
      <c r="U87" s="32" t="s">
        <v>73</v>
      </c>
      <c r="V87" s="32" t="s">
        <v>73</v>
      </c>
      <c r="W87" s="32" t="s">
        <v>111</v>
      </c>
      <c r="X87" s="32" t="s">
        <v>127</v>
      </c>
      <c r="Y87" s="32" t="s">
        <v>73</v>
      </c>
      <c r="Z87" s="32" t="s">
        <v>73</v>
      </c>
      <c r="AA87" s="32" t="s">
        <v>81</v>
      </c>
      <c r="AB87" s="32" t="s">
        <v>75</v>
      </c>
      <c r="AC87" s="32" t="s">
        <v>89</v>
      </c>
      <c r="AD87" s="32" t="s">
        <v>82</v>
      </c>
      <c r="AE87" s="32" t="s">
        <v>90</v>
      </c>
      <c r="AF87" s="32" t="s">
        <v>73</v>
      </c>
      <c r="AG87" s="32" t="s">
        <v>178</v>
      </c>
      <c r="AH87" t="str">
        <f>VLOOKUP($R87,武学奇术!$A:$ZZ,25,FALSE)</f>
        <v>剑</v>
      </c>
      <c r="AI87" s="21">
        <f>VLOOKUP($R87,武学奇术!$A:$ZZ,26,FALSE)</f>
        <v>1.0882</v>
      </c>
      <c r="AJ87" s="22">
        <f>VLOOKUP($R87,武学奇术!$A:$ZZ,27,FALSE)*(1+IF(OR($AH87=$F$4,$AH87=$F$5),$B$22,0))</f>
        <v>450</v>
      </c>
      <c r="AK87" s="21">
        <f>VLOOKUP($R87,武学奇术!$A:$ZZ,28,FALSE)</f>
        <v>1.6322</v>
      </c>
      <c r="AL87" s="22">
        <f>VLOOKUP($R87,武学奇术!$A:$ZZ,29,FALSE)*(1+IF(OR($AH87=$F$4,$AH87=$F$5),$B$22,0))</f>
        <v>246</v>
      </c>
      <c r="AM87" s="21" cm="1">
        <f t="array" ref="AM87">$G$3+IFERROR(VLOOKUP($AH87,$F$4:$G$7,2,FALSE),0)+VLOOKUP($R87,武学奇术!$A:$ZZ,2,FALSE)+SUM(_xlfn.XLOOKUP($S87:$AG87,增益!$A:$A,增益!$B:$B,0))</f>
        <v>0.8791</v>
      </c>
      <c r="AN87" s="21" cm="1">
        <f t="array" ref="AN87">VLOOKUP($R87,武学奇术!$A:$ZZ,5,FALSE)+SUM(_xlfn.XLOOKUP($S87:$AG87,增益!$A:$A,增益!$E:$E,0))</f>
        <v>0</v>
      </c>
      <c r="AO87" cm="1">
        <f t="array" ref="AO87">$D$10*(1+$AN87)+VLOOKUP($R87,武学奇术!$A:$ZZ,3,FALSE)+SUM(_xlfn.XLOOKUP($S87:$AG87,增益!$A:$A,增益!$C:$C,0))-$I$2</f>
        <v>1825.28</v>
      </c>
      <c r="AP87" cm="1">
        <f t="array" ref="AP87">$E$10*(1+$AN87)+VLOOKUP($R87,武学奇术!$A:$ZZ,4,FALSE)+SUM(_xlfn.XLOOKUP($S87:$AG87,增益!$A:$A,增益!$D:$D,0))-$I$2</f>
        <v>7757.36</v>
      </c>
      <c r="AQ87" s="26" cm="1">
        <f t="array" ref="AQ87">IF($F$10-$I$3+VLOOKUP($R87,武学奇术!$A:$ZZ,6,FALSE)+SUM(_xlfn.XLOOKUP(S87:AG87,增益!$A:$A,增益!$F:$F,0))&gt;0,($F$10-$I$3+VLOOKUP($R87,武学奇术!$A:$ZZ,6,FALSE)+SUM(_xlfn.XLOOKUP(S87:AG87,增益!$A:$A,增益!$F:$F,0)))/200,($F$10-$I$3+VLOOKUP($R87,武学奇术!$A:$ZZ,6,FALSE)+SUM(_xlfn.XLOOKUP(S87:AG87,增益!$A:$A,增益!$F:$F,0)))/100)</f>
        <v>0.244</v>
      </c>
      <c r="AR87" s="26" cm="1">
        <f t="array" ref="AR87">$G$10+VLOOKUP($R87,武学奇术!$A:$ZZ,7,FALSE)+SUM(_xlfn.XLOOKUP(S87:AG87,增益!$A:$A,增益!$G:$G,0))</f>
        <v>0</v>
      </c>
      <c r="AS87" s="21" cm="1">
        <f t="array" ref="AS87">VLOOKUP($R87,武学奇术!$A:$ZZ,8,FALSE)+SUM(_xlfn.XLOOKUP(S87:AG87,增益!$A:$A,增益!$H:$H,0))</f>
        <v>0</v>
      </c>
      <c r="AT87">
        <f t="shared" si="12"/>
        <v>680.02</v>
      </c>
      <c r="AU87">
        <f t="shared" si="13"/>
        <v>1288.54</v>
      </c>
      <c r="AV87" s="26" cm="1">
        <f t="array" ref="AV87">IF($F$11-$I$4+VLOOKUP($R87,武学奇术!$A:$ZZ,9,FALSE)+SUM(_xlfn.XLOOKUP(S87:AG87,增益!$A:$A,增益!$I:$I,0))&gt;0,($F$11-$I$4+VLOOKUP($R87,武学奇术!$A:$ZZ,9,FALSE)+SUM(_xlfn.XLOOKUP(S87:AG87,增益!$A:$A,增益!$I:$I,0)))/200,($F$11-$I$4+VLOOKUP($R87,武学奇术!$A:$ZZ,9,FALSE)+SUM(_xlfn.XLOOKUP(S87:AG87,增益!$A:$A,增益!$I:$I,0)))/100)</f>
        <v>0</v>
      </c>
      <c r="AW87" s="26" cm="1">
        <f t="array" ref="AW87">$G$11+VLOOKUP($R87,武学奇术!$A:$ZZ,10,FALSE)+SUM(_xlfn.XLOOKUP(S87:AG87,增益!$A:$A,增益!$J:$J,0))</f>
        <v>0.15</v>
      </c>
      <c r="AX87">
        <f t="shared" si="14"/>
        <v>0</v>
      </c>
      <c r="AY87">
        <f t="shared" si="15"/>
        <v>0</v>
      </c>
      <c r="AZ87" s="26" cm="1">
        <f t="array" ref="AZ87">IF($F$12-$I$4+VLOOKUP($R87,武学奇术!$A:$ZZ,11,FALSE)+SUM(_xlfn.XLOOKUP(S87:AG87,增益!$A:$A,增益!$K:$K,0))&gt;0,($F$12-$I$4+VLOOKUP($R87,武学奇术!$A:$ZZ,11,FALSE)+SUM(_xlfn.XLOOKUP(S87:AG87,增益!$A:$A,增益!$K:$K,0)))/200,($F$12-$I$4+VLOOKUP($R87,武学奇术!$A:$ZZ,11,FALSE)+SUM(_xlfn.XLOOKUP(S87:AG87,增益!$A:$A,增益!$K:$K,0)))/100)</f>
        <v>-0.3</v>
      </c>
      <c r="BA87" s="26" cm="1">
        <f t="array" ref="BA87">$G$12+VLOOKUP($R87,武学奇术!$A:$ZZ,12,FALSE)+SUM(_xlfn.XLOOKUP(S87:AG87,增益!$A:$A,增益!$L:$L,0))</f>
        <v>0</v>
      </c>
      <c r="BB87">
        <f t="shared" si="16"/>
        <v>0</v>
      </c>
      <c r="BC87">
        <f t="shared" si="17"/>
        <v>0</v>
      </c>
      <c r="BD87" s="26" cm="1">
        <f t="array" ref="BD87">IF($F$13-$I$4+VLOOKUP($R87,武学奇术!$A:$ZZ,13,FALSE)+SUM(_xlfn.XLOOKUP(S87:AG87,增益!$A:$A,增益!$M:$M,0))&gt;0,($F$13-$I$4+VLOOKUP($R87,武学奇术!$A:$ZZ,13,FALSE)+SUM(_xlfn.XLOOKUP(S87:AG87,增益!$A:$A,增益!$K:$K,0)))/200,($F$13-$I$4+VLOOKUP($R87,武学奇术!$A:$ZZ,13,FALSE)+SUM(_xlfn.XLOOKUP(S87:AG87,增益!$A:$A,增益!$M:$M,0)))/100)</f>
        <v>-0.3</v>
      </c>
      <c r="BE87" s="26" cm="1">
        <f t="array" ref="BE87">$G$13+VLOOKUP($R87,武学奇术!$A:$ZZ,14,FALSE)+SUM(_xlfn.XLOOKUP(S87:AG87,增益!$A:$A,增益!$N:$N,0))</f>
        <v>0</v>
      </c>
      <c r="BF87">
        <f t="shared" si="18"/>
        <v>0</v>
      </c>
      <c r="BG87">
        <f t="shared" si="19"/>
        <v>0</v>
      </c>
      <c r="BH87" s="26" cm="1">
        <f t="array" ref="BH87">IF($F$14-$I$4+VLOOKUP($R87,武学奇术!$A:$ZZ,15,FALSE)+SUM(_xlfn.XLOOKUP(S87:AG87,增益!$A:$A,增益!$O:$O,0))&gt;0,($F$14-$I$4+VLOOKUP($R87,武学奇术!$A:$ZZ,15,FALSE)+SUM(_xlfn.XLOOKUP(S87:AG87,增益!$A:$A,增益!$O:$O,0)))/200,($F$14-$I$4+VLOOKUP($R87,武学奇术!$A:$ZZ,15,FALSE)+SUM(_xlfn.XLOOKUP(S87:AG87,增益!$A:$A,增益!$O:$O,0)))/100)</f>
        <v>-0.3</v>
      </c>
      <c r="BI87" s="26" cm="1">
        <f t="array" ref="BI87">$G$14+VLOOKUP($R87,武学奇术!$A:$ZZ,16,FALSE)+SUM(_xlfn.XLOOKUP(S87:AG87,增益!$A:$A,增益!$P:$P,0))</f>
        <v>0</v>
      </c>
      <c r="BJ87" s="21">
        <f>MIN(IF(VLOOKUP($R87,武学奇术!$A:$ZZ,23,FALSE)=1,100%,$B$8),100%)</f>
        <v>0.8229</v>
      </c>
      <c r="BK87" s="21" cm="1">
        <f t="array" ref="BK87">IF(VLOOKUP($R87,武学奇术!$A:$ZZ,23,FALSE)=1,100%,MIN(80%,$B$9+VLOOKUP($R87,武学奇术!$A:$ZZ,17,FALSE)+SUM(_xlfn.XLOOKUP(S87:AG87,增益!$A:$A,增益!$Q:$Q,0)))+$B$11+SUM(_xlfn.XLOOKUP(S87:AG87,增益!$A:$A,增益!$U:$U,0)))*IF(VLOOKUP($R87,武学奇术!$A:$ZZ,24,FALSE)=1,0,1)</f>
        <v>0.2285</v>
      </c>
      <c r="BL87" s="21" cm="1">
        <f t="array" ref="BL87">1+$B$13+VLOOKUP($R87,武学奇术!$A:$ZZ,18,FALSE)+SUM(_xlfn.XLOOKUP(S87:AG87,增益!$A:$A,增益!$R:$R,0))</f>
        <v>1.5</v>
      </c>
      <c r="BM87" s="21" cm="1">
        <f t="array" ref="BM87">IF(VLOOKUP($R87,武学奇术!$A:$ZZ,24,FALSE)=1,100%,MIN(40%,$B$10+VLOOKUP($R87,武学奇术!$A:$ZZ,19,FALSE)+SUM(_xlfn.XLOOKUP(S87:AG87,增益!$A:$A,增益!$S:$S,0)))+$B$12+SUM(_xlfn.XLOOKUP(S87:AG87,增益!$A:$A,增益!$V:$V,0)))*IF(VLOOKUP($R87,武学奇术!$A:$ZZ,23,FALSE)=1,0,1)</f>
        <v>0.4495</v>
      </c>
      <c r="BN87" s="21" cm="1">
        <f t="array" ref="BN87">1+$B$14+VLOOKUP($R87,武学奇术!$A:$ZZ,20,FALSE)+SUM(_xlfn.XLOOKUP(S87:AG87,增益!$A:$A,增益!$T:$T,0))</f>
        <v>1.602</v>
      </c>
      <c r="BO87" s="21">
        <f t="shared" si="20"/>
        <v>0.18803265</v>
      </c>
      <c r="BP87" s="21">
        <f t="shared" si="21"/>
        <v>0.2649738</v>
      </c>
      <c r="BQ87" s="21">
        <f>IF(VLOOKUP($R87,武学奇术!$A:$ZZ,22,FALSE)=1,0,(1-$BJ87))*(1-$BM87)</f>
        <v>0.09749355</v>
      </c>
      <c r="BR87" s="21" cm="1">
        <f t="array" ref="BR87">SUM(_xlfn.XLOOKUP(S87:AG87,增益!$A:$A,增益!$W:$W,0))+$I$5</f>
        <v>0.06</v>
      </c>
    </row>
    <row r="88" spans="11:70">
      <c r="K88" s="24">
        <f>$L88*VLOOKUP($R88,武学奇术!$A:$ZZ,31,FALSE)</f>
        <v>33579.3853367589</v>
      </c>
      <c r="L88" s="24">
        <f t="shared" si="11"/>
        <v>33579.3853367589</v>
      </c>
      <c r="M88" s="24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BL88*$Q88*(1+IF(VLOOKUP($R88,武学奇术!$A:$ZZ,30,FALSE)="流血",$B$21,0))*(1+$BR88)</f>
        <v>30142.3637542499</v>
      </c>
      <c r="N88" s="24">
        <f>(($AP88*$AI88+$AJ88)*(1+$AQ88)*(1+$AR88)+($AU88*IF($G$1="鸣金",$AK88,$AI88)+IF($G$1="鸣金",$AL88*1.5,0))*(1+$AV88)*(1+$AW88)+($AY88*IF($G$1="裂石",$AK88,$AI88)+IF($G$1="裂石",$AL88*1.5,0))*(1+$AZ88)*(1+$BA88)+($BC88*IF($G$1="牵丝",$AK88,$AI88)+IF($G$1="牵丝",$AL88*1.5,0))*(1+$BD88)*(1+$BE88)+($BG88*IF($G$1="破竹",$AK88,$AI88)+IF($G$1="破竹",$AL88*1.5,0))*(1+$BH88)*(1+$BI88))*(1+$AM88)*$BN88*$Q88*(1+IF(VLOOKUP($R88,武学奇术!$A:$ZZ,30,FALSE)="流血",$B$21,0))*(1+$BR88)</f>
        <v>48035.8153013448</v>
      </c>
      <c r="O88" s="24">
        <f>((($AO88+$AP88)/2*$AI88+$AJ88)*(1+$AQ88)*(1+$AR88)+(($AT88+$AU88)/2*IF($G$1="鸣金",$AK88,$AI88)+IF($G$1="鸣金",$AL88*1.5,0))*(1+$AV88)*(1+$AW88)+(($AX88+$AY88)/2*IF($G$1="裂石",$AK88,$AI88)+IF($G$1="裂石",$AL88*1.5,0))*(1+$AZ88)*(1+$BA88)+(($BB88+$BC88)/2*IF($G$1="牵丝",$AK88,$AI88)+IF($G$1="牵丝",$AL88*1.5,0))*(1+$BD88)*(1+$BE88)+(($BF88+$BG88)/2*IF($G$1="破竹",$AK88,$AI88)+IF($G$1="破竹",$AL88*1.5,0))*(1+$BH88)*(1+$BI88))*(1+$AM88)*$Q88*(1+IF(VLOOKUP($R88,武学奇术!$A:$ZZ,30,FALSE)="流血",$B$21,0))*(1+$BR88)</f>
        <v>20094.9091694999</v>
      </c>
      <c r="P88" s="24">
        <f>((($AO88*$AI88+$AJ88)*(1+$AQ88)*(1+$AR88)+($AT88*IF($G$1="鸣金",$AK88,$AI88)+IF($G$1="鸣金",$AL88*1.5,0))*(1+$AV88)*(1+$AW88)+($AX88*IF($G$1="裂石",$AK88,$AI88)+IF($G$1="裂石",$AL88*1.5,0))*(1+$AZ88)*(1+$BA88)+($BB88*IF($G$1="牵丝",$AK88,$AI88)+IF($G$1="牵丝",$AL88*1.5,0))*(1+$BD88)*(1+$BE88)+($BF88*IF($G$1="破竹",$AK88,$AI88)+IF($G$1="破竹",$AL88*1.5,0))*(1+$BH88)*(1+$BI88))*(1+$AM88))*$Q88*(1+IF(VLOOKUP($R88,武学奇术!$A:$ZZ,30,FALSE)="流血",$B$21,0))*(1+$BR88)</f>
        <v>10204.9149049518</v>
      </c>
      <c r="Q88" s="31">
        <v>1</v>
      </c>
      <c r="R88" s="32" t="s">
        <v>86</v>
      </c>
      <c r="S88" s="32" t="s">
        <v>87</v>
      </c>
      <c r="T88" s="32" t="s">
        <v>104</v>
      </c>
      <c r="U88" s="32" t="s">
        <v>73</v>
      </c>
      <c r="V88" s="32" t="s">
        <v>73</v>
      </c>
      <c r="W88" s="32" t="s">
        <v>111</v>
      </c>
      <c r="X88" s="32" t="s">
        <v>127</v>
      </c>
      <c r="Y88" s="32" t="s">
        <v>73</v>
      </c>
      <c r="Z88" s="32" t="s">
        <v>73</v>
      </c>
      <c r="AA88" s="32" t="s">
        <v>81</v>
      </c>
      <c r="AB88" s="32" t="s">
        <v>75</v>
      </c>
      <c r="AC88" s="32" t="s">
        <v>76</v>
      </c>
      <c r="AD88" s="32" t="s">
        <v>82</v>
      </c>
      <c r="AE88" s="32" t="s">
        <v>90</v>
      </c>
      <c r="AF88" s="32" t="s">
        <v>73</v>
      </c>
      <c r="AG88" s="32" t="s">
        <v>178</v>
      </c>
      <c r="AH88" t="str">
        <f>VLOOKUP($R88,武学奇术!$A:$ZZ,25,FALSE)</f>
        <v>剑</v>
      </c>
      <c r="AI88" s="21">
        <f>VLOOKUP($R88,武学奇术!$A:$ZZ,26,FALSE)</f>
        <v>1.1781</v>
      </c>
      <c r="AJ88" s="22">
        <f>VLOOKUP($R88,武学奇术!$A:$ZZ,27,FALSE)*(1+IF(OR($AH88=$F$4,$AH88=$F$5),$B$22,0))</f>
        <v>489</v>
      </c>
      <c r="AK88" s="21">
        <f>VLOOKUP($R88,武学奇术!$A:$ZZ,28,FALSE)</f>
        <v>1.7672</v>
      </c>
      <c r="AL88" s="22">
        <f>VLOOKUP($R88,武学奇术!$A:$ZZ,29,FALSE)*(1+IF(OR($AH88=$F$4,$AH88=$F$5),$B$22,0))</f>
        <v>265.5</v>
      </c>
      <c r="AM88" s="21" cm="1">
        <f t="array" ref="AM88">$G$3+IFERROR(VLOOKUP($AH88,$F$4:$G$7,2,FALSE),0)+VLOOKUP($R88,武学奇术!$A:$ZZ,2,FALSE)+SUM(_xlfn.XLOOKUP($S88:$AG88,增益!$A:$A,增益!$B:$B,0))</f>
        <v>0.8791</v>
      </c>
      <c r="AN88" s="21" cm="1">
        <f t="array" ref="AN88">VLOOKUP($R88,武学奇术!$A:$ZZ,5,FALSE)+SUM(_xlfn.XLOOKUP($S88:$AG88,增益!$A:$A,增益!$E:$E,0))</f>
        <v>0</v>
      </c>
      <c r="AO88" cm="1">
        <f t="array" ref="AO88">$D$10*(1+$AN88)+VLOOKUP($R88,武学奇术!$A:$ZZ,3,FALSE)+SUM(_xlfn.XLOOKUP($S88:$AG88,增益!$A:$A,增益!$C:$C,0))-$I$2</f>
        <v>1825.28</v>
      </c>
      <c r="AP88" cm="1">
        <f t="array" ref="AP88">$E$10*(1+$AN88)+VLOOKUP($R88,武学奇术!$A:$ZZ,4,FALSE)+SUM(_xlfn.XLOOKUP($S88:$AG88,增益!$A:$A,增益!$D:$D,0))-$I$2</f>
        <v>7757.36</v>
      </c>
      <c r="AQ88" s="26" cm="1">
        <f t="array" ref="AQ88">IF($F$10-$I$3+VLOOKUP($R88,武学奇术!$A:$ZZ,6,FALSE)+SUM(_xlfn.XLOOKUP(S88:AG88,增益!$A:$A,增益!$F:$F,0))&gt;0,($F$10-$I$3+VLOOKUP($R88,武学奇术!$A:$ZZ,6,FALSE)+SUM(_xlfn.XLOOKUP(S88:AG88,增益!$A:$A,增益!$F:$F,0)))/200,($F$10-$I$3+VLOOKUP($R88,武学奇术!$A:$ZZ,6,FALSE)+SUM(_xlfn.XLOOKUP(S88:AG88,增益!$A:$A,增益!$F:$F,0)))/100)</f>
        <v>0.244</v>
      </c>
      <c r="AR88" s="26" cm="1">
        <f t="array" ref="AR88">$G$10+VLOOKUP($R88,武学奇术!$A:$ZZ,7,FALSE)+SUM(_xlfn.XLOOKUP(S88:AG88,增益!$A:$A,增益!$G:$G,0))</f>
        <v>0</v>
      </c>
      <c r="AS88" s="21" cm="1">
        <f t="array" ref="AS88">VLOOKUP($R88,武学奇术!$A:$ZZ,8,FALSE)+SUM(_xlfn.XLOOKUP(S88:AG88,增益!$A:$A,增益!$H:$H,0))</f>
        <v>0</v>
      </c>
      <c r="AT88">
        <f t="shared" si="12"/>
        <v>680.02</v>
      </c>
      <c r="AU88">
        <f t="shared" si="13"/>
        <v>1288.54</v>
      </c>
      <c r="AV88" s="26" cm="1">
        <f t="array" ref="AV88">IF($F$11-$I$4+VLOOKUP($R88,武学奇术!$A:$ZZ,9,FALSE)+SUM(_xlfn.XLOOKUP(S88:AG88,增益!$A:$A,增益!$I:$I,0))&gt;0,($F$11-$I$4+VLOOKUP($R88,武学奇术!$A:$ZZ,9,FALSE)+SUM(_xlfn.XLOOKUP(S88:AG88,增益!$A:$A,增益!$I:$I,0)))/200,($F$11-$I$4+VLOOKUP($R88,武学奇术!$A:$ZZ,9,FALSE)+SUM(_xlfn.XLOOKUP(S88:AG88,增益!$A:$A,增益!$I:$I,0)))/100)</f>
        <v>0</v>
      </c>
      <c r="AW88" s="26" cm="1">
        <f t="array" ref="AW88">$G$11+VLOOKUP($R88,武学奇术!$A:$ZZ,10,FALSE)+SUM(_xlfn.XLOOKUP(S88:AG88,增益!$A:$A,增益!$J:$J,0))</f>
        <v>0.15</v>
      </c>
      <c r="AX88">
        <f t="shared" si="14"/>
        <v>0</v>
      </c>
      <c r="AY88">
        <f t="shared" si="15"/>
        <v>0</v>
      </c>
      <c r="AZ88" s="26" cm="1">
        <f t="array" ref="AZ88">IF($F$12-$I$4+VLOOKUP($R88,武学奇术!$A:$ZZ,11,FALSE)+SUM(_xlfn.XLOOKUP(S88:AG88,增益!$A:$A,增益!$K:$K,0))&gt;0,($F$12-$I$4+VLOOKUP($R88,武学奇术!$A:$ZZ,11,FALSE)+SUM(_xlfn.XLOOKUP(S88:AG88,增益!$A:$A,增益!$K:$K,0)))/200,($F$12-$I$4+VLOOKUP($R88,武学奇术!$A:$ZZ,11,FALSE)+SUM(_xlfn.XLOOKUP(S88:AG88,增益!$A:$A,增益!$K:$K,0)))/100)</f>
        <v>-0.3</v>
      </c>
      <c r="BA88" s="26" cm="1">
        <f t="array" ref="BA88">$G$12+VLOOKUP($R88,武学奇术!$A:$ZZ,12,FALSE)+SUM(_xlfn.XLOOKUP(S88:AG88,增益!$A:$A,增益!$L:$L,0))</f>
        <v>0</v>
      </c>
      <c r="BB88">
        <f t="shared" si="16"/>
        <v>0</v>
      </c>
      <c r="BC88">
        <f t="shared" si="17"/>
        <v>0</v>
      </c>
      <c r="BD88" s="26" cm="1">
        <f t="array" ref="BD88">IF($F$13-$I$4+VLOOKUP($R88,武学奇术!$A:$ZZ,13,FALSE)+SUM(_xlfn.XLOOKUP(S88:AG88,增益!$A:$A,增益!$M:$M,0))&gt;0,($F$13-$I$4+VLOOKUP($R88,武学奇术!$A:$ZZ,13,FALSE)+SUM(_xlfn.XLOOKUP(S88:AG88,增益!$A:$A,增益!$K:$K,0)))/200,($F$13-$I$4+VLOOKUP($R88,武学奇术!$A:$ZZ,13,FALSE)+SUM(_xlfn.XLOOKUP(S88:AG88,增益!$A:$A,增益!$M:$M,0)))/100)</f>
        <v>-0.3</v>
      </c>
      <c r="BE88" s="26" cm="1">
        <f t="array" ref="BE88">$G$13+VLOOKUP($R88,武学奇术!$A:$ZZ,14,FALSE)+SUM(_xlfn.XLOOKUP(S88:AG88,增益!$A:$A,增益!$N:$N,0))</f>
        <v>0</v>
      </c>
      <c r="BF88">
        <f t="shared" si="18"/>
        <v>0</v>
      </c>
      <c r="BG88">
        <f t="shared" si="19"/>
        <v>0</v>
      </c>
      <c r="BH88" s="26" cm="1">
        <f t="array" ref="BH88">IF($F$14-$I$4+VLOOKUP($R88,武学奇术!$A:$ZZ,15,FALSE)+SUM(_xlfn.XLOOKUP(S88:AG88,增益!$A:$A,增益!$O:$O,0))&gt;0,($F$14-$I$4+VLOOKUP($R88,武学奇术!$A:$ZZ,15,FALSE)+SUM(_xlfn.XLOOKUP(S88:AG88,增益!$A:$A,增益!$O:$O,0)))/200,($F$14-$I$4+VLOOKUP($R88,武学奇术!$A:$ZZ,15,FALSE)+SUM(_xlfn.XLOOKUP(S88:AG88,增益!$A:$A,增益!$O:$O,0)))/100)</f>
        <v>-0.3</v>
      </c>
      <c r="BI88" s="26" cm="1">
        <f t="array" ref="BI88">$G$14+VLOOKUP($R88,武学奇术!$A:$ZZ,16,FALSE)+SUM(_xlfn.XLOOKUP(S88:AG88,增益!$A:$A,增益!$P:$P,0))</f>
        <v>0</v>
      </c>
      <c r="BJ88" s="21">
        <f>MIN(IF(VLOOKUP($R88,武学奇术!$A:$ZZ,23,FALSE)=1,100%,$B$8),100%)</f>
        <v>0.8229</v>
      </c>
      <c r="BK88" s="21" cm="1">
        <f t="array" ref="BK88">IF(VLOOKUP($R88,武学奇术!$A:$ZZ,23,FALSE)=1,100%,MIN(80%,$B$9+VLOOKUP($R88,武学奇术!$A:$ZZ,17,FALSE)+SUM(_xlfn.XLOOKUP(S88:AG88,增益!$A:$A,增益!$Q:$Q,0)))+$B$11+SUM(_xlfn.XLOOKUP(S88:AG88,增益!$A:$A,增益!$U:$U,0)))*IF(VLOOKUP($R88,武学奇术!$A:$ZZ,24,FALSE)=1,0,1)</f>
        <v>0.2285</v>
      </c>
      <c r="BL88" s="21" cm="1">
        <f t="array" ref="BL88">1+$B$13+VLOOKUP($R88,武学奇术!$A:$ZZ,18,FALSE)+SUM(_xlfn.XLOOKUP(S88:AG88,增益!$A:$A,增益!$R:$R,0))</f>
        <v>1.5</v>
      </c>
      <c r="BM88" s="21" cm="1">
        <f t="array" ref="BM88">IF(VLOOKUP($R88,武学奇术!$A:$ZZ,24,FALSE)=1,100%,MIN(40%,$B$10+VLOOKUP($R88,武学奇术!$A:$ZZ,19,FALSE)+SUM(_xlfn.XLOOKUP(S88:AG88,增益!$A:$A,增益!$S:$S,0)))+$B$12+SUM(_xlfn.XLOOKUP(S88:AG88,增益!$A:$A,增益!$V:$V,0)))*IF(VLOOKUP($R88,武学奇术!$A:$ZZ,23,FALSE)=1,0,1)</f>
        <v>0.4495</v>
      </c>
      <c r="BN88" s="21" cm="1">
        <f t="array" ref="BN88">1+$B$14+VLOOKUP($R88,武学奇术!$A:$ZZ,20,FALSE)+SUM(_xlfn.XLOOKUP(S88:AG88,增益!$A:$A,增益!$T:$T,0))</f>
        <v>1.602</v>
      </c>
      <c r="BO88" s="21">
        <f t="shared" si="20"/>
        <v>0.18803265</v>
      </c>
      <c r="BP88" s="21">
        <f t="shared" si="21"/>
        <v>0.2649738</v>
      </c>
      <c r="BQ88" s="21">
        <f>IF(VLOOKUP($R88,武学奇术!$A:$ZZ,22,FALSE)=1,0,(1-$BJ88))*(1-$BM88)</f>
        <v>0.09749355</v>
      </c>
      <c r="BR88" s="21" cm="1">
        <f t="array" ref="BR88">SUM(_xlfn.XLOOKUP(S88:AG88,增益!$A:$A,增益!$W:$W,0))+$I$5</f>
        <v>0.06</v>
      </c>
    </row>
    <row r="89" spans="11:70">
      <c r="K89" s="24">
        <f>$L89*VLOOKUP($R89,武学奇术!$A:$ZZ,31,FALSE)</f>
        <v>83003.1876942344</v>
      </c>
      <c r="L89" s="24">
        <f t="shared" si="11"/>
        <v>138338.646157057</v>
      </c>
      <c r="M89" s="24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BL89*$Q89*(1+IF(VLOOKUP($R89,武学奇术!$A:$ZZ,30,FALSE)="流血",$B$21,0))*(1+$BR89)</f>
        <v>113257.891808962</v>
      </c>
      <c r="N89" s="24">
        <f>(($AP89*$AI89+$AJ89)*(1+$AQ89)*(1+$AR89)+($AU89*IF($G$1="鸣金",$AK89,$AI89)+IF($G$1="鸣金",$AL89*1.5,0))*(1+$AV89)*(1+$AW89)+($AY89*IF($G$1="裂石",$AK89,$AI89)+IF($G$1="裂石",$AL89*1.5,0))*(1+$AZ89)*(1+$BA89)+($BC89*IF($G$1="牵丝",$AK89,$AI89)+IF($G$1="牵丝",$AL89*1.5,0))*(1+$BD89)*(1+$BE89)+($BG89*IF($G$1="破竹",$AK89,$AI89)+IF($G$1="破竹",$AL89*1.5,0))*(1+$BH89)*(1+$BI89))*(1+$AM89)*$BN89*$Q89*(1+IF(VLOOKUP($R89,武学奇术!$A:$ZZ,30,FALSE)="流血",$B$21,0))*(1+$BR89)</f>
        <v>208498.278422863</v>
      </c>
      <c r="O89" s="24">
        <f>((($AO89+$AP89)/2*$AI89+$AJ89)*(1+$AQ89)*(1+$AR89)+(($AT89+$AU89)/2*IF($G$1="鸣金",$AK89,$AI89)+IF($G$1="鸣金",$AL89*1.5,0))*(1+$AV89)*(1+$AW89)+(($AX89+$AY89)/2*IF($G$1="裂石",$AK89,$AI89)+IF($G$1="裂石",$AL89*1.5,0))*(1+$AZ89)*(1+$BA89)+(($BB89+$BC89)/2*IF($G$1="牵丝",$AK89,$AI89)+IF($G$1="牵丝",$AL89*1.5,0))*(1+$BD89)*(1+$BE89)+(($BF89+$BG89)/2*IF($G$1="破竹",$AK89,$AI89)+IF($G$1="破竹",$AL89*1.5,0))*(1+$BH89)*(1+$BI89))*(1+$AM89)*$Q89*(1+IF(VLOOKUP($R89,武学奇术!$A:$ZZ,30,FALSE)="流血",$B$21,0))*(1+$BR89)</f>
        <v>75505.2612059748</v>
      </c>
      <c r="P89" s="24">
        <f>((($AO89*$AI89+$AJ89)*(1+$AQ89)*(1+$AR89)+($AT89*IF($G$1="鸣金",$AK89,$AI89)+IF($G$1="鸣金",$AL89*1.5,0))*(1+$AV89)*(1+$AW89)+($AX89*IF($G$1="裂石",$AK89,$AI89)+IF($G$1="裂石",$AL89*1.5,0))*(1+$AZ89)*(1+$BA89)+($BB89*IF($G$1="牵丝",$AK89,$AI89)+IF($G$1="牵丝",$AL89*1.5,0))*(1+$BD89)*(1+$BE89)+($BF89*IF($G$1="破竹",$AK89,$AI89)+IF($G$1="破竹",$AL89*1.5,0))*(1+$BH89)*(1+$BI89))*(1+$AM89))*$Q89*(1+IF(VLOOKUP($R89,武学奇术!$A:$ZZ,30,FALSE)="流血",$B$21,0))*(1+$BR89)</f>
        <v>34008.1215012524</v>
      </c>
      <c r="Q89" s="31">
        <v>1</v>
      </c>
      <c r="R89" s="32" t="s">
        <v>95</v>
      </c>
      <c r="S89" s="32" t="s">
        <v>87</v>
      </c>
      <c r="T89" s="32" t="s">
        <v>96</v>
      </c>
      <c r="U89" s="32" t="s">
        <v>97</v>
      </c>
      <c r="V89" s="32" t="s">
        <v>98</v>
      </c>
      <c r="W89" s="32" t="s">
        <v>111</v>
      </c>
      <c r="X89" s="32" t="s">
        <v>127</v>
      </c>
      <c r="Y89" s="32" t="s">
        <v>73</v>
      </c>
      <c r="Z89" s="32" t="s">
        <v>73</v>
      </c>
      <c r="AA89" s="32" t="s">
        <v>81</v>
      </c>
      <c r="AB89" s="32" t="s">
        <v>75</v>
      </c>
      <c r="AC89" s="32" t="s">
        <v>76</v>
      </c>
      <c r="AD89" s="32" t="s">
        <v>82</v>
      </c>
      <c r="AE89" s="32" t="s">
        <v>90</v>
      </c>
      <c r="AF89" s="32" t="s">
        <v>73</v>
      </c>
      <c r="AG89" s="32" t="s">
        <v>178</v>
      </c>
      <c r="AH89" t="str">
        <f>VLOOKUP($R89,武学奇术!$A:$ZZ,25,FALSE)</f>
        <v>剑</v>
      </c>
      <c r="AI89" s="21">
        <f>VLOOKUP($R89,武学奇术!$A:$ZZ,26,FALSE)</f>
        <v>2.52</v>
      </c>
      <c r="AJ89" s="22">
        <f>VLOOKUP($R89,武学奇术!$A:$ZZ,27,FALSE)*(1+IF(OR($AH89=$F$4,$AH89=$F$5),$B$22,0))</f>
        <v>0</v>
      </c>
      <c r="AK89" s="21">
        <f>VLOOKUP($R89,武学奇术!$A:$ZZ,28,FALSE)</f>
        <v>3.78</v>
      </c>
      <c r="AL89" s="22">
        <f>VLOOKUP($R89,武学奇术!$A:$ZZ,29,FALSE)*(1+IF(OR($AH89=$F$4,$AH89=$F$5),$B$22,0))</f>
        <v>0</v>
      </c>
      <c r="AM89" s="21" cm="1">
        <f t="array" ref="AM89">$G$3+IFERROR(VLOOKUP($AH89,$F$4:$G$7,2,FALSE),0)+VLOOKUP($R89,武学奇术!$A:$ZZ,2,FALSE)+SUM(_xlfn.XLOOKUP($S89:$AG89,增益!$A:$A,增益!$B:$B,0))</f>
        <v>1.6291</v>
      </c>
      <c r="AN89" s="21" cm="1">
        <f t="array" ref="AN89">VLOOKUP($R89,武学奇术!$A:$ZZ,5,FALSE)+SUM(_xlfn.XLOOKUP($S89:$AG89,增益!$A:$A,增益!$E:$E,0))</f>
        <v>0</v>
      </c>
      <c r="AO89" cm="1">
        <f t="array" ref="AO89">$D$10*(1+$AN89)+VLOOKUP($R89,武学奇术!$A:$ZZ,3,FALSE)+SUM(_xlfn.XLOOKUP($S89:$AG89,增益!$A:$A,增益!$C:$C,0))-$I$2</f>
        <v>1825.28</v>
      </c>
      <c r="AP89" cm="1">
        <f t="array" ref="AP89">$E$10*(1+$AN89)+VLOOKUP($R89,武学奇术!$A:$ZZ,4,FALSE)+SUM(_xlfn.XLOOKUP($S89:$AG89,增益!$A:$A,增益!$D:$D,0))-$I$2</f>
        <v>7757.36</v>
      </c>
      <c r="AQ89" s="26" cm="1">
        <f t="array" ref="AQ89">IF($F$10-$I$3+VLOOKUP($R89,武学奇术!$A:$ZZ,6,FALSE)+SUM(_xlfn.XLOOKUP(S89:AG89,增益!$A:$A,增益!$F:$F,0))&gt;0,($F$10-$I$3+VLOOKUP($R89,武学奇术!$A:$ZZ,6,FALSE)+SUM(_xlfn.XLOOKUP(S89:AG89,增益!$A:$A,增益!$F:$F,0)))/200,($F$10-$I$3+VLOOKUP($R89,武学奇术!$A:$ZZ,6,FALSE)+SUM(_xlfn.XLOOKUP(S89:AG89,增益!$A:$A,增益!$F:$F,0)))/100)</f>
        <v>0.319</v>
      </c>
      <c r="AR89" s="26" cm="1">
        <f t="array" ref="AR89">$G$10+VLOOKUP($R89,武学奇术!$A:$ZZ,7,FALSE)+SUM(_xlfn.XLOOKUP(S89:AG89,增益!$A:$A,增益!$G:$G,0))</f>
        <v>0</v>
      </c>
      <c r="AS89" s="21" cm="1">
        <f t="array" ref="AS89">VLOOKUP($R89,武学奇术!$A:$ZZ,8,FALSE)+SUM(_xlfn.XLOOKUP(S89:AG89,增益!$A:$A,增益!$H:$H,0))</f>
        <v>0</v>
      </c>
      <c r="AT89">
        <f t="shared" si="12"/>
        <v>680.02</v>
      </c>
      <c r="AU89">
        <f t="shared" si="13"/>
        <v>1288.54</v>
      </c>
      <c r="AV89" s="26" cm="1">
        <f t="array" ref="AV89">IF($F$11-$I$4+VLOOKUP($R89,武学奇术!$A:$ZZ,9,FALSE)+SUM(_xlfn.XLOOKUP(S89:AG89,增益!$A:$A,增益!$I:$I,0))&gt;0,($F$11-$I$4+VLOOKUP($R89,武学奇术!$A:$ZZ,9,FALSE)+SUM(_xlfn.XLOOKUP(S89:AG89,增益!$A:$A,增益!$I:$I,0)))/200,($F$11-$I$4+VLOOKUP($R89,武学奇术!$A:$ZZ,9,FALSE)+SUM(_xlfn.XLOOKUP(S89:AG89,增益!$A:$A,增益!$I:$I,0)))/100)</f>
        <v>0.075</v>
      </c>
      <c r="AW89" s="26" cm="1">
        <f t="array" ref="AW89">$G$11+VLOOKUP($R89,武学奇术!$A:$ZZ,10,FALSE)+SUM(_xlfn.XLOOKUP(S89:AG89,增益!$A:$A,增益!$J:$J,0))</f>
        <v>0.15</v>
      </c>
      <c r="AX89">
        <f t="shared" si="14"/>
        <v>0</v>
      </c>
      <c r="AY89">
        <f t="shared" si="15"/>
        <v>0</v>
      </c>
      <c r="AZ89" s="26" cm="1">
        <f t="array" ref="AZ89">IF($F$12-$I$4+VLOOKUP($R89,武学奇术!$A:$ZZ,11,FALSE)+SUM(_xlfn.XLOOKUP(S89:AG89,增益!$A:$A,增益!$K:$K,0))&gt;0,($F$12-$I$4+VLOOKUP($R89,武学奇术!$A:$ZZ,11,FALSE)+SUM(_xlfn.XLOOKUP(S89:AG89,增益!$A:$A,增益!$K:$K,0)))/200,($F$12-$I$4+VLOOKUP($R89,武学奇术!$A:$ZZ,11,FALSE)+SUM(_xlfn.XLOOKUP(S89:AG89,增益!$A:$A,增益!$K:$K,0)))/100)</f>
        <v>-0.3</v>
      </c>
      <c r="BA89" s="26" cm="1">
        <f t="array" ref="BA89">$G$12+VLOOKUP($R89,武学奇术!$A:$ZZ,12,FALSE)+SUM(_xlfn.XLOOKUP(S89:AG89,增益!$A:$A,增益!$L:$L,0))</f>
        <v>0</v>
      </c>
      <c r="BB89">
        <f t="shared" si="16"/>
        <v>0</v>
      </c>
      <c r="BC89">
        <f t="shared" si="17"/>
        <v>0</v>
      </c>
      <c r="BD89" s="26" cm="1">
        <f t="array" ref="BD89">IF($F$13-$I$4+VLOOKUP($R89,武学奇术!$A:$ZZ,13,FALSE)+SUM(_xlfn.XLOOKUP(S89:AG89,增益!$A:$A,增益!$M:$M,0))&gt;0,($F$13-$I$4+VLOOKUP($R89,武学奇术!$A:$ZZ,13,FALSE)+SUM(_xlfn.XLOOKUP(S89:AG89,增益!$A:$A,增益!$K:$K,0)))/200,($F$13-$I$4+VLOOKUP($R89,武学奇术!$A:$ZZ,13,FALSE)+SUM(_xlfn.XLOOKUP(S89:AG89,增益!$A:$A,增益!$M:$M,0)))/100)</f>
        <v>-0.3</v>
      </c>
      <c r="BE89" s="26" cm="1">
        <f t="array" ref="BE89">$G$13+VLOOKUP($R89,武学奇术!$A:$ZZ,14,FALSE)+SUM(_xlfn.XLOOKUP(S89:AG89,增益!$A:$A,增益!$N:$N,0))</f>
        <v>0</v>
      </c>
      <c r="BF89">
        <f t="shared" si="18"/>
        <v>0</v>
      </c>
      <c r="BG89">
        <f t="shared" si="19"/>
        <v>0</v>
      </c>
      <c r="BH89" s="26" cm="1">
        <f t="array" ref="BH89">IF($F$14-$I$4+VLOOKUP($R89,武学奇术!$A:$ZZ,15,FALSE)+SUM(_xlfn.XLOOKUP(S89:AG89,增益!$A:$A,增益!$O:$O,0))&gt;0,($F$14-$I$4+VLOOKUP($R89,武学奇术!$A:$ZZ,15,FALSE)+SUM(_xlfn.XLOOKUP(S89:AG89,增益!$A:$A,增益!$O:$O,0)))/200,($F$14-$I$4+VLOOKUP($R89,武学奇术!$A:$ZZ,15,FALSE)+SUM(_xlfn.XLOOKUP(S89:AG89,增益!$A:$A,增益!$O:$O,0)))/100)</f>
        <v>-0.3</v>
      </c>
      <c r="BI89" s="26" cm="1">
        <f t="array" ref="BI89">$G$14+VLOOKUP($R89,武学奇术!$A:$ZZ,16,FALSE)+SUM(_xlfn.XLOOKUP(S89:AG89,增益!$A:$A,增益!$P:$P,0))</f>
        <v>0</v>
      </c>
      <c r="BJ89" s="21">
        <f>MIN(IF(VLOOKUP($R89,武学奇术!$A:$ZZ,23,FALSE)=1,100%,$B$8),100%)</f>
        <v>0.8229</v>
      </c>
      <c r="BK89" s="21" cm="1">
        <f t="array" ref="BK89">IF(VLOOKUP($R89,武学奇术!$A:$ZZ,23,FALSE)=1,100%,MIN(80%,$B$9+VLOOKUP($R89,武学奇术!$A:$ZZ,17,FALSE)+SUM(_xlfn.XLOOKUP(S89:AG89,增益!$A:$A,增益!$Q:$Q,0)))+$B$11+SUM(_xlfn.XLOOKUP(S89:AG89,增益!$A:$A,增益!$U:$U,0)))*IF(VLOOKUP($R89,武学奇术!$A:$ZZ,24,FALSE)=1,0,1)</f>
        <v>0.2285</v>
      </c>
      <c r="BL89" s="21" cm="1">
        <f t="array" ref="BL89">1+$B$13+VLOOKUP($R89,武学奇术!$A:$ZZ,18,FALSE)+SUM(_xlfn.XLOOKUP(S89:AG89,增益!$A:$A,增益!$R:$R,0))</f>
        <v>1.5</v>
      </c>
      <c r="BM89" s="21" cm="1">
        <f t="array" ref="BM89">IF(VLOOKUP($R89,武学奇术!$A:$ZZ,24,FALSE)=1,100%,MIN(40%,$B$10+VLOOKUP($R89,武学奇术!$A:$ZZ,19,FALSE)+SUM(_xlfn.XLOOKUP(S89:AG89,增益!$A:$A,增益!$S:$S,0)))+$B$12+SUM(_xlfn.XLOOKUP(S89:AG89,增益!$A:$A,增益!$V:$V,0)))*IF(VLOOKUP($R89,武学奇术!$A:$ZZ,23,FALSE)=1,0,1)</f>
        <v>0.4495</v>
      </c>
      <c r="BN89" s="21" cm="1">
        <f t="array" ref="BN89">1+$B$14+VLOOKUP($R89,武学奇术!$A:$ZZ,20,FALSE)+SUM(_xlfn.XLOOKUP(S89:AG89,增益!$A:$A,增益!$T:$T,0))</f>
        <v>1.782</v>
      </c>
      <c r="BO89" s="21">
        <f t="shared" si="20"/>
        <v>0.18803265</v>
      </c>
      <c r="BP89" s="21">
        <f t="shared" si="21"/>
        <v>0.2649738</v>
      </c>
      <c r="BQ89" s="21">
        <f>IF(VLOOKUP($R89,武学奇术!$A:$ZZ,22,FALSE)=1,0,(1-$BJ89))*(1-$BM89)</f>
        <v>0.09749355</v>
      </c>
      <c r="BR89" s="21" cm="1">
        <f t="array" ref="BR89">SUM(_xlfn.XLOOKUP(S89:AG89,增益!$A:$A,增益!$W:$W,0))+$I$5</f>
        <v>0.06</v>
      </c>
    </row>
    <row r="90" spans="11:70">
      <c r="K90" s="24">
        <f>$L90*VLOOKUP($R90,武学奇术!$A:$ZZ,31,FALSE)</f>
        <v>125098.967053718</v>
      </c>
      <c r="L90" s="24">
        <f t="shared" si="11"/>
        <v>208498.278422863</v>
      </c>
      <c r="M90" s="24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BL90*$Q90*(1+IF(VLOOKUP($R90,武学奇术!$A:$ZZ,30,FALSE)="流血",$B$21,0))*(1+$BR90)</f>
        <v>113257.891808962</v>
      </c>
      <c r="N90" s="24">
        <f>(($AP90*$AI90+$AJ90)*(1+$AQ90)*(1+$AR90)+($AU90*IF($G$1="鸣金",$AK90,$AI90)+IF($G$1="鸣金",$AL90*1.5,0))*(1+$AV90)*(1+$AW90)+($AY90*IF($G$1="裂石",$AK90,$AI90)+IF($G$1="裂石",$AL90*1.5,0))*(1+$AZ90)*(1+$BA90)+($BC90*IF($G$1="牵丝",$AK90,$AI90)+IF($G$1="牵丝",$AL90*1.5,0))*(1+$BD90)*(1+$BE90)+($BG90*IF($G$1="破竹",$AK90,$AI90)+IF($G$1="破竹",$AL90*1.5,0))*(1+$BH90)*(1+$BI90))*(1+$AM90)*$BN90*$Q90*(1+IF(VLOOKUP($R90,武学奇术!$A:$ZZ,30,FALSE)="流血",$B$21,0))*(1+$BR90)</f>
        <v>208498.278422863</v>
      </c>
      <c r="O90" s="24">
        <f>((($AO90+$AP90)/2*$AI90+$AJ90)*(1+$AQ90)*(1+$AR90)+(($AT90+$AU90)/2*IF($G$1="鸣金",$AK90,$AI90)+IF($G$1="鸣金",$AL90*1.5,0))*(1+$AV90)*(1+$AW90)+(($AX90+$AY90)/2*IF($G$1="裂石",$AK90,$AI90)+IF($G$1="裂石",$AL90*1.5,0))*(1+$AZ90)*(1+$BA90)+(($BB90+$BC90)/2*IF($G$1="牵丝",$AK90,$AI90)+IF($G$1="牵丝",$AL90*1.5,0))*(1+$BD90)*(1+$BE90)+(($BF90+$BG90)/2*IF($G$1="破竹",$AK90,$AI90)+IF($G$1="破竹",$AL90*1.5,0))*(1+$BH90)*(1+$BI90))*(1+$AM90)*$Q90*(1+IF(VLOOKUP($R90,武学奇术!$A:$ZZ,30,FALSE)="流血",$B$21,0))*(1+$BR90)</f>
        <v>75505.2612059748</v>
      </c>
      <c r="P90" s="24">
        <f>((($AO90*$AI90+$AJ90)*(1+$AQ90)*(1+$AR90)+($AT90*IF($G$1="鸣金",$AK90,$AI90)+IF($G$1="鸣金",$AL90*1.5,0))*(1+$AV90)*(1+$AW90)+($AX90*IF($G$1="裂石",$AK90,$AI90)+IF($G$1="裂石",$AL90*1.5,0))*(1+$AZ90)*(1+$BA90)+($BB90*IF($G$1="牵丝",$AK90,$AI90)+IF($G$1="牵丝",$AL90*1.5,0))*(1+$BD90)*(1+$BE90)+($BF90*IF($G$1="破竹",$AK90,$AI90)+IF($G$1="破竹",$AL90*1.5,0))*(1+$BH90)*(1+$BI90))*(1+$AM90))*$Q90*(1+IF(VLOOKUP($R90,武学奇术!$A:$ZZ,30,FALSE)="流血",$B$21,0))*(1+$BR90)</f>
        <v>34008.1215012524</v>
      </c>
      <c r="Q90" s="31">
        <v>1</v>
      </c>
      <c r="R90" s="32" t="s">
        <v>120</v>
      </c>
      <c r="S90" s="32" t="s">
        <v>87</v>
      </c>
      <c r="T90" s="32" t="s">
        <v>96</v>
      </c>
      <c r="U90" s="32" t="s">
        <v>97</v>
      </c>
      <c r="V90" s="32" t="s">
        <v>98</v>
      </c>
      <c r="W90" s="32" t="s">
        <v>111</v>
      </c>
      <c r="X90" s="32" t="s">
        <v>127</v>
      </c>
      <c r="Y90" s="32" t="s">
        <v>73</v>
      </c>
      <c r="Z90" s="32" t="s">
        <v>73</v>
      </c>
      <c r="AA90" s="32" t="s">
        <v>81</v>
      </c>
      <c r="AB90" s="32" t="s">
        <v>75</v>
      </c>
      <c r="AC90" s="32" t="s">
        <v>76</v>
      </c>
      <c r="AD90" s="32" t="s">
        <v>82</v>
      </c>
      <c r="AE90" s="32" t="s">
        <v>90</v>
      </c>
      <c r="AF90" s="32" t="s">
        <v>73</v>
      </c>
      <c r="AG90" s="32" t="s">
        <v>178</v>
      </c>
      <c r="AH90" t="str">
        <f>VLOOKUP($R90,武学奇术!$A:$ZZ,25,FALSE)</f>
        <v>剑</v>
      </c>
      <c r="AI90" s="21">
        <f>VLOOKUP($R90,武学奇术!$A:$ZZ,26,FALSE)</f>
        <v>2.52</v>
      </c>
      <c r="AJ90" s="22">
        <f>VLOOKUP($R90,武学奇术!$A:$ZZ,27,FALSE)*(1+IF(OR($AH90=$F$4,$AH90=$F$5),$B$22,0))</f>
        <v>0</v>
      </c>
      <c r="AK90" s="21">
        <f>VLOOKUP($R90,武学奇术!$A:$ZZ,28,FALSE)</f>
        <v>3.78</v>
      </c>
      <c r="AL90" s="22">
        <f>VLOOKUP($R90,武学奇术!$A:$ZZ,29,FALSE)*(1+IF(OR($AH90=$F$4,$AH90=$F$5),$B$22,0))</f>
        <v>0</v>
      </c>
      <c r="AM90" s="21" cm="1">
        <f t="array" ref="AM90">$G$3+IFERROR(VLOOKUP($AH90,$F$4:$G$7,2,FALSE),0)+VLOOKUP($R90,武学奇术!$A:$ZZ,2,FALSE)+SUM(_xlfn.XLOOKUP($S90:$AG90,增益!$A:$A,增益!$B:$B,0))</f>
        <v>1.6291</v>
      </c>
      <c r="AN90" s="21" cm="1">
        <f t="array" ref="AN90">VLOOKUP($R90,武学奇术!$A:$ZZ,5,FALSE)+SUM(_xlfn.XLOOKUP($S90:$AG90,增益!$A:$A,增益!$E:$E,0))</f>
        <v>0</v>
      </c>
      <c r="AO90" cm="1">
        <f t="array" ref="AO90">$D$10*(1+$AN90)+VLOOKUP($R90,武学奇术!$A:$ZZ,3,FALSE)+SUM(_xlfn.XLOOKUP($S90:$AG90,增益!$A:$A,增益!$C:$C,0))-$I$2</f>
        <v>1825.28</v>
      </c>
      <c r="AP90" cm="1">
        <f t="array" ref="AP90">$E$10*(1+$AN90)+VLOOKUP($R90,武学奇术!$A:$ZZ,4,FALSE)+SUM(_xlfn.XLOOKUP($S90:$AG90,增益!$A:$A,增益!$D:$D,0))-$I$2</f>
        <v>7757.36</v>
      </c>
      <c r="AQ90" s="26" cm="1">
        <f t="array" ref="AQ90">IF($F$10-$I$3+VLOOKUP($R90,武学奇术!$A:$ZZ,6,FALSE)+SUM(_xlfn.XLOOKUP(S90:AG90,增益!$A:$A,增益!$F:$F,0))&gt;0,($F$10-$I$3+VLOOKUP($R90,武学奇术!$A:$ZZ,6,FALSE)+SUM(_xlfn.XLOOKUP(S90:AG90,增益!$A:$A,增益!$F:$F,0)))/200,($F$10-$I$3+VLOOKUP($R90,武学奇术!$A:$ZZ,6,FALSE)+SUM(_xlfn.XLOOKUP(S90:AG90,增益!$A:$A,增益!$F:$F,0)))/100)</f>
        <v>0.319</v>
      </c>
      <c r="AR90" s="26" cm="1">
        <f t="array" ref="AR90">$G$10+VLOOKUP($R90,武学奇术!$A:$ZZ,7,FALSE)+SUM(_xlfn.XLOOKUP(S90:AG90,增益!$A:$A,增益!$G:$G,0))</f>
        <v>0</v>
      </c>
      <c r="AS90" s="21" cm="1">
        <f t="array" ref="AS90">VLOOKUP($R90,武学奇术!$A:$ZZ,8,FALSE)+SUM(_xlfn.XLOOKUP(S90:AG90,增益!$A:$A,增益!$H:$H,0))</f>
        <v>0</v>
      </c>
      <c r="AT90">
        <f t="shared" si="12"/>
        <v>680.02</v>
      </c>
      <c r="AU90">
        <f t="shared" si="13"/>
        <v>1288.54</v>
      </c>
      <c r="AV90" s="26" cm="1">
        <f t="array" ref="AV90">IF($F$11-$I$4+VLOOKUP($R90,武学奇术!$A:$ZZ,9,FALSE)+SUM(_xlfn.XLOOKUP(S90:AG90,增益!$A:$A,增益!$I:$I,0))&gt;0,($F$11-$I$4+VLOOKUP($R90,武学奇术!$A:$ZZ,9,FALSE)+SUM(_xlfn.XLOOKUP(S90:AG90,增益!$A:$A,增益!$I:$I,0)))/200,($F$11-$I$4+VLOOKUP($R90,武学奇术!$A:$ZZ,9,FALSE)+SUM(_xlfn.XLOOKUP(S90:AG90,增益!$A:$A,增益!$I:$I,0)))/100)</f>
        <v>0.075</v>
      </c>
      <c r="AW90" s="26" cm="1">
        <f t="array" ref="AW90">$G$11+VLOOKUP($R90,武学奇术!$A:$ZZ,10,FALSE)+SUM(_xlfn.XLOOKUP(S90:AG90,增益!$A:$A,增益!$J:$J,0))</f>
        <v>0.15</v>
      </c>
      <c r="AX90">
        <f t="shared" si="14"/>
        <v>0</v>
      </c>
      <c r="AY90">
        <f t="shared" si="15"/>
        <v>0</v>
      </c>
      <c r="AZ90" s="26" cm="1">
        <f t="array" ref="AZ90">IF($F$12-$I$4+VLOOKUP($R90,武学奇术!$A:$ZZ,11,FALSE)+SUM(_xlfn.XLOOKUP(S90:AG90,增益!$A:$A,增益!$K:$K,0))&gt;0,($F$12-$I$4+VLOOKUP($R90,武学奇术!$A:$ZZ,11,FALSE)+SUM(_xlfn.XLOOKUP(S90:AG90,增益!$A:$A,增益!$K:$K,0)))/200,($F$12-$I$4+VLOOKUP($R90,武学奇术!$A:$ZZ,11,FALSE)+SUM(_xlfn.XLOOKUP(S90:AG90,增益!$A:$A,增益!$K:$K,0)))/100)</f>
        <v>-0.3</v>
      </c>
      <c r="BA90" s="26" cm="1">
        <f t="array" ref="BA90">$G$12+VLOOKUP($R90,武学奇术!$A:$ZZ,12,FALSE)+SUM(_xlfn.XLOOKUP(S90:AG90,增益!$A:$A,增益!$L:$L,0))</f>
        <v>0</v>
      </c>
      <c r="BB90">
        <f t="shared" si="16"/>
        <v>0</v>
      </c>
      <c r="BC90">
        <f t="shared" si="17"/>
        <v>0</v>
      </c>
      <c r="BD90" s="26" cm="1">
        <f t="array" ref="BD90">IF($F$13-$I$4+VLOOKUP($R90,武学奇术!$A:$ZZ,13,FALSE)+SUM(_xlfn.XLOOKUP(S90:AG90,增益!$A:$A,增益!$M:$M,0))&gt;0,($F$13-$I$4+VLOOKUP($R90,武学奇术!$A:$ZZ,13,FALSE)+SUM(_xlfn.XLOOKUP(S90:AG90,增益!$A:$A,增益!$K:$K,0)))/200,($F$13-$I$4+VLOOKUP($R90,武学奇术!$A:$ZZ,13,FALSE)+SUM(_xlfn.XLOOKUP(S90:AG90,增益!$A:$A,增益!$M:$M,0)))/100)</f>
        <v>-0.3</v>
      </c>
      <c r="BE90" s="26" cm="1">
        <f t="array" ref="BE90">$G$13+VLOOKUP($R90,武学奇术!$A:$ZZ,14,FALSE)+SUM(_xlfn.XLOOKUP(S90:AG90,增益!$A:$A,增益!$N:$N,0))</f>
        <v>0</v>
      </c>
      <c r="BF90">
        <f t="shared" si="18"/>
        <v>0</v>
      </c>
      <c r="BG90">
        <f t="shared" si="19"/>
        <v>0</v>
      </c>
      <c r="BH90" s="26" cm="1">
        <f t="array" ref="BH90">IF($F$14-$I$4+VLOOKUP($R90,武学奇术!$A:$ZZ,15,FALSE)+SUM(_xlfn.XLOOKUP(S90:AG90,增益!$A:$A,增益!$O:$O,0))&gt;0,($F$14-$I$4+VLOOKUP($R90,武学奇术!$A:$ZZ,15,FALSE)+SUM(_xlfn.XLOOKUP(S90:AG90,增益!$A:$A,增益!$O:$O,0)))/200,($F$14-$I$4+VLOOKUP($R90,武学奇术!$A:$ZZ,15,FALSE)+SUM(_xlfn.XLOOKUP(S90:AG90,增益!$A:$A,增益!$O:$O,0)))/100)</f>
        <v>-0.3</v>
      </c>
      <c r="BI90" s="26" cm="1">
        <f t="array" ref="BI90">$G$14+VLOOKUP($R90,武学奇术!$A:$ZZ,16,FALSE)+SUM(_xlfn.XLOOKUP(S90:AG90,增益!$A:$A,增益!$P:$P,0))</f>
        <v>0</v>
      </c>
      <c r="BJ90" s="21">
        <f>MIN(IF(VLOOKUP($R90,武学奇术!$A:$ZZ,23,FALSE)=1,100%,$B$8),100%)</f>
        <v>0.8229</v>
      </c>
      <c r="BK90" s="21" cm="1">
        <f t="array" ref="BK90">IF(VLOOKUP($R90,武学奇术!$A:$ZZ,23,FALSE)=1,100%,MIN(80%,$B$9+VLOOKUP($R90,武学奇术!$A:$ZZ,17,FALSE)+SUM(_xlfn.XLOOKUP(S90:AG90,增益!$A:$A,增益!$Q:$Q,0)))+$B$11+SUM(_xlfn.XLOOKUP(S90:AG90,增益!$A:$A,增益!$U:$U,0)))*IF(VLOOKUP($R90,武学奇术!$A:$ZZ,24,FALSE)=1,0,1)</f>
        <v>0</v>
      </c>
      <c r="BL90" s="21" cm="1">
        <f t="array" ref="BL90">1+$B$13+VLOOKUP($R90,武学奇术!$A:$ZZ,18,FALSE)+SUM(_xlfn.XLOOKUP(S90:AG90,增益!$A:$A,增益!$R:$R,0))</f>
        <v>1.5</v>
      </c>
      <c r="BM90" s="21" cm="1">
        <f t="array" ref="BM90">IF(VLOOKUP($R90,武学奇术!$A:$ZZ,24,FALSE)=1,100%,MIN(40%,$B$10+VLOOKUP($R90,武学奇术!$A:$ZZ,19,FALSE)+SUM(_xlfn.XLOOKUP(S90:AG90,增益!$A:$A,增益!$S:$S,0)))+$B$12+SUM(_xlfn.XLOOKUP(S90:AG90,增益!$A:$A,增益!$V:$V,0)))*IF(VLOOKUP($R90,武学奇术!$A:$ZZ,23,FALSE)=1,0,1)</f>
        <v>1</v>
      </c>
      <c r="BN90" s="21" cm="1">
        <f t="array" ref="BN90">1+$B$14+VLOOKUP($R90,武学奇术!$A:$ZZ,20,FALSE)+SUM(_xlfn.XLOOKUP(S90:AG90,增益!$A:$A,增益!$T:$T,0))</f>
        <v>1.782</v>
      </c>
      <c r="BO90" s="21">
        <f t="shared" si="20"/>
        <v>0</v>
      </c>
      <c r="BP90" s="21">
        <f t="shared" si="21"/>
        <v>0</v>
      </c>
      <c r="BQ90" s="21">
        <f>IF(VLOOKUP($R90,武学奇术!$A:$ZZ,22,FALSE)=1,0,(1-$BJ90))*(1-$BM90)</f>
        <v>0</v>
      </c>
      <c r="BR90" s="21" cm="1">
        <f t="array" ref="BR90">SUM(_xlfn.XLOOKUP(S90:AG90,增益!$A:$A,增益!$W:$W,0))+$I$5</f>
        <v>0.06</v>
      </c>
    </row>
    <row r="91" spans="11:70">
      <c r="K91" s="24">
        <f>$L91*VLOOKUP($R91,武学奇术!$A:$ZZ,31,FALSE)</f>
        <v>26798.0152614747</v>
      </c>
      <c r="L91" s="24">
        <f t="shared" si="11"/>
        <v>26798.0152614747</v>
      </c>
      <c r="M91" s="24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BL91*$Q91*(1+IF(VLOOKUP($R91,武学奇术!$A:$ZZ,30,FALSE)="流血",$B$21,0))*(1+$BR91)</f>
        <v>24055.2938826464</v>
      </c>
      <c r="N91" s="24">
        <f>(($AP91*$AI91+$AJ91)*(1+$AQ91)*(1+$AR91)+($AU91*IF($G$1="鸣金",$AK91,$AI91)+IF($G$1="鸣金",$AL91*1.5,0))*(1+$AV91)*(1+$AW91)+($AY91*IF($G$1="裂石",$AK91,$AI91)+IF($G$1="裂石",$AL91*1.5,0))*(1+$AZ91)*(1+$BA91)+($BC91*IF($G$1="牵丝",$AK91,$AI91)+IF($G$1="牵丝",$AL91*1.5,0))*(1+$BD91)*(1+$BE91)+($BG91*IF($G$1="破竹",$AK91,$AI91)+IF($G$1="破竹",$AL91*1.5,0))*(1+$BH91)*(1+$BI91))*(1+$AM91)*$BN91*$Q91*(1+IF(VLOOKUP($R91,武学奇术!$A:$ZZ,30,FALSE)="流血",$B$21,0))*(1+$BR91)</f>
        <v>38334.7186900775</v>
      </c>
      <c r="O91" s="24">
        <f>((($AO91+$AP91)/2*$AI91+$AJ91)*(1+$AQ91)*(1+$AR91)+(($AT91+$AU91)/2*IF($G$1="鸣金",$AK91,$AI91)+IF($G$1="鸣金",$AL91*1.5,0))*(1+$AV91)*(1+$AW91)+(($AX91+$AY91)/2*IF($G$1="裂石",$AK91,$AI91)+IF($G$1="裂石",$AL91*1.5,0))*(1+$AZ91)*(1+$BA91)+(($BB91+$BC91)/2*IF($G$1="牵丝",$AK91,$AI91)+IF($G$1="牵丝",$AL91*1.5,0))*(1+$BD91)*(1+$BE91)+(($BF91+$BG91)/2*IF($G$1="破竹",$AK91,$AI91)+IF($G$1="破竹",$AL91*1.5,0))*(1+$BH91)*(1+$BI91))*(1+$AM91)*$Q91*(1+IF(VLOOKUP($R91,武学奇术!$A:$ZZ,30,FALSE)="流血",$B$21,0))*(1+$BR91)</f>
        <v>16036.8625884309</v>
      </c>
      <c r="P91" s="24">
        <f>((($AO91*$AI91+$AJ91)*(1+$AQ91)*(1+$AR91)+($AT91*IF($G$1="鸣金",$AK91,$AI91)+IF($G$1="鸣金",$AL91*1.5,0))*(1+$AV91)*(1+$AW91)+($AX91*IF($G$1="裂石",$AK91,$AI91)+IF($G$1="裂石",$AL91*1.5,0))*(1+$AZ91)*(1+$BA91)+($BB91*IF($G$1="牵丝",$AK91,$AI91)+IF($G$1="牵丝",$AL91*1.5,0))*(1+$BD91)*(1+$BE91)+($BF91*IF($G$1="破竹",$AK91,$AI91)+IF($G$1="破竹",$AL91*1.5,0))*(1+$BH91)*(1+$BI91))*(1+$AM91))*$Q91*(1+IF(VLOOKUP($R91,武学奇术!$A:$ZZ,30,FALSE)="流血",$B$21,0))*(1+$BR91)</f>
        <v>8144.43760502823</v>
      </c>
      <c r="Q91" s="31">
        <v>1</v>
      </c>
      <c r="R91" s="32" t="s">
        <v>124</v>
      </c>
      <c r="S91" s="32" t="s">
        <v>87</v>
      </c>
      <c r="T91" s="32" t="s">
        <v>104</v>
      </c>
      <c r="U91" s="32" t="s">
        <v>73</v>
      </c>
      <c r="V91" s="32" t="s">
        <v>73</v>
      </c>
      <c r="W91" s="32" t="s">
        <v>111</v>
      </c>
      <c r="X91" s="32" t="s">
        <v>127</v>
      </c>
      <c r="Y91" s="32" t="s">
        <v>73</v>
      </c>
      <c r="Z91" s="32" t="s">
        <v>73</v>
      </c>
      <c r="AA91" s="32" t="s">
        <v>81</v>
      </c>
      <c r="AB91" s="32" t="s">
        <v>75</v>
      </c>
      <c r="AC91" s="32" t="s">
        <v>76</v>
      </c>
      <c r="AD91" s="32" t="s">
        <v>82</v>
      </c>
      <c r="AE91" s="32" t="s">
        <v>90</v>
      </c>
      <c r="AF91" s="32" t="s">
        <v>73</v>
      </c>
      <c r="AG91" s="32" t="s">
        <v>178</v>
      </c>
      <c r="AH91" t="str">
        <f>VLOOKUP($R91,武学奇术!$A:$ZZ,25,FALSE)</f>
        <v>剑</v>
      </c>
      <c r="AI91" s="21">
        <f>VLOOKUP($R91,武学奇术!$A:$ZZ,26,FALSE)</f>
        <v>0.94015</v>
      </c>
      <c r="AJ91" s="22">
        <f>VLOOKUP($R91,武学奇术!$A:$ZZ,27,FALSE)*(1+IF(OR($AH91=$F$4,$AH91=$F$5),$B$22,0))</f>
        <v>390</v>
      </c>
      <c r="AK91" s="21">
        <f>VLOOKUP($R91,武学奇术!$A:$ZZ,28,FALSE)</f>
        <v>1.41025</v>
      </c>
      <c r="AL91" s="22">
        <f>VLOOKUP($R91,武学奇术!$A:$ZZ,29,FALSE)*(1+IF(OR($AH91=$F$4,$AH91=$F$5),$B$22,0))</f>
        <v>212.25</v>
      </c>
      <c r="AM91" s="21" cm="1">
        <f t="array" ref="AM91">$G$3+IFERROR(VLOOKUP($AH91,$F$4:$G$7,2,FALSE),0)+VLOOKUP($R91,武学奇术!$A:$ZZ,2,FALSE)+SUM(_xlfn.XLOOKUP($S91:$AG91,增益!$A:$A,增益!$B:$B,0))</f>
        <v>0.8791</v>
      </c>
      <c r="AN91" s="21" cm="1">
        <f t="array" ref="AN91">VLOOKUP($R91,武学奇术!$A:$ZZ,5,FALSE)+SUM(_xlfn.XLOOKUP($S91:$AG91,增益!$A:$A,增益!$E:$E,0))</f>
        <v>0</v>
      </c>
      <c r="AO91" cm="1">
        <f t="array" ref="AO91">$D$10*(1+$AN91)+VLOOKUP($R91,武学奇术!$A:$ZZ,3,FALSE)+SUM(_xlfn.XLOOKUP($S91:$AG91,增益!$A:$A,增益!$C:$C,0))-$I$2</f>
        <v>1825.28</v>
      </c>
      <c r="AP91" cm="1">
        <f t="array" ref="AP91">$E$10*(1+$AN91)+VLOOKUP($R91,武学奇术!$A:$ZZ,4,FALSE)+SUM(_xlfn.XLOOKUP($S91:$AG91,增益!$A:$A,增益!$D:$D,0))-$I$2</f>
        <v>7757.36</v>
      </c>
      <c r="AQ91" s="26" cm="1">
        <f t="array" ref="AQ91">IF($F$10-$I$3+VLOOKUP($R91,武学奇术!$A:$ZZ,6,FALSE)+SUM(_xlfn.XLOOKUP(S91:AG91,增益!$A:$A,增益!$F:$F,0))&gt;0,($F$10-$I$3+VLOOKUP($R91,武学奇术!$A:$ZZ,6,FALSE)+SUM(_xlfn.XLOOKUP(S91:AG91,增益!$A:$A,增益!$F:$F,0)))/200,($F$10-$I$3+VLOOKUP($R91,武学奇术!$A:$ZZ,6,FALSE)+SUM(_xlfn.XLOOKUP(S91:AG91,增益!$A:$A,增益!$F:$F,0)))/100)</f>
        <v>0.244</v>
      </c>
      <c r="AR91" s="26" cm="1">
        <f t="array" ref="AR91">$G$10+VLOOKUP($R91,武学奇术!$A:$ZZ,7,FALSE)+SUM(_xlfn.XLOOKUP(S91:AG91,增益!$A:$A,增益!$G:$G,0))</f>
        <v>0</v>
      </c>
      <c r="AS91" s="21" cm="1">
        <f t="array" ref="AS91">VLOOKUP($R91,武学奇术!$A:$ZZ,8,FALSE)+SUM(_xlfn.XLOOKUP(S91:AG91,增益!$A:$A,增益!$H:$H,0))</f>
        <v>0</v>
      </c>
      <c r="AT91">
        <f t="shared" si="12"/>
        <v>680.02</v>
      </c>
      <c r="AU91">
        <f t="shared" si="13"/>
        <v>1288.54</v>
      </c>
      <c r="AV91" s="26" cm="1">
        <f t="array" ref="AV91">IF($F$11-$I$4+VLOOKUP($R91,武学奇术!$A:$ZZ,9,FALSE)+SUM(_xlfn.XLOOKUP(S91:AG91,增益!$A:$A,增益!$I:$I,0))&gt;0,($F$11-$I$4+VLOOKUP($R91,武学奇术!$A:$ZZ,9,FALSE)+SUM(_xlfn.XLOOKUP(S91:AG91,增益!$A:$A,增益!$I:$I,0)))/200,($F$11-$I$4+VLOOKUP($R91,武学奇术!$A:$ZZ,9,FALSE)+SUM(_xlfn.XLOOKUP(S91:AG91,增益!$A:$A,增益!$I:$I,0)))/100)</f>
        <v>0</v>
      </c>
      <c r="AW91" s="26" cm="1">
        <f t="array" ref="AW91">$G$11+VLOOKUP($R91,武学奇术!$A:$ZZ,10,FALSE)+SUM(_xlfn.XLOOKUP(S91:AG91,增益!$A:$A,增益!$J:$J,0))</f>
        <v>0.15</v>
      </c>
      <c r="AX91">
        <f t="shared" si="14"/>
        <v>0</v>
      </c>
      <c r="AY91">
        <f t="shared" si="15"/>
        <v>0</v>
      </c>
      <c r="AZ91" s="26" cm="1">
        <f t="array" ref="AZ91">IF($F$12-$I$4+VLOOKUP($R91,武学奇术!$A:$ZZ,11,FALSE)+SUM(_xlfn.XLOOKUP(S91:AG91,增益!$A:$A,增益!$K:$K,0))&gt;0,($F$12-$I$4+VLOOKUP($R91,武学奇术!$A:$ZZ,11,FALSE)+SUM(_xlfn.XLOOKUP(S91:AG91,增益!$A:$A,增益!$K:$K,0)))/200,($F$12-$I$4+VLOOKUP($R91,武学奇术!$A:$ZZ,11,FALSE)+SUM(_xlfn.XLOOKUP(S91:AG91,增益!$A:$A,增益!$K:$K,0)))/100)</f>
        <v>-0.3</v>
      </c>
      <c r="BA91" s="26" cm="1">
        <f t="array" ref="BA91">$G$12+VLOOKUP($R91,武学奇术!$A:$ZZ,12,FALSE)+SUM(_xlfn.XLOOKUP(S91:AG91,增益!$A:$A,增益!$L:$L,0))</f>
        <v>0</v>
      </c>
      <c r="BB91">
        <f t="shared" si="16"/>
        <v>0</v>
      </c>
      <c r="BC91">
        <f t="shared" si="17"/>
        <v>0</v>
      </c>
      <c r="BD91" s="26" cm="1">
        <f t="array" ref="BD91">IF($F$13-$I$4+VLOOKUP($R91,武学奇术!$A:$ZZ,13,FALSE)+SUM(_xlfn.XLOOKUP(S91:AG91,增益!$A:$A,增益!$M:$M,0))&gt;0,($F$13-$I$4+VLOOKUP($R91,武学奇术!$A:$ZZ,13,FALSE)+SUM(_xlfn.XLOOKUP(S91:AG91,增益!$A:$A,增益!$K:$K,0)))/200,($F$13-$I$4+VLOOKUP($R91,武学奇术!$A:$ZZ,13,FALSE)+SUM(_xlfn.XLOOKUP(S91:AG91,增益!$A:$A,增益!$M:$M,0)))/100)</f>
        <v>-0.3</v>
      </c>
      <c r="BE91" s="26" cm="1">
        <f t="array" ref="BE91">$G$13+VLOOKUP($R91,武学奇术!$A:$ZZ,14,FALSE)+SUM(_xlfn.XLOOKUP(S91:AG91,增益!$A:$A,增益!$N:$N,0))</f>
        <v>0</v>
      </c>
      <c r="BF91">
        <f t="shared" si="18"/>
        <v>0</v>
      </c>
      <c r="BG91">
        <f t="shared" si="19"/>
        <v>0</v>
      </c>
      <c r="BH91" s="26" cm="1">
        <f t="array" ref="BH91">IF($F$14-$I$4+VLOOKUP($R91,武学奇术!$A:$ZZ,15,FALSE)+SUM(_xlfn.XLOOKUP(S91:AG91,增益!$A:$A,增益!$O:$O,0))&gt;0,($F$14-$I$4+VLOOKUP($R91,武学奇术!$A:$ZZ,15,FALSE)+SUM(_xlfn.XLOOKUP(S91:AG91,增益!$A:$A,增益!$O:$O,0)))/200,($F$14-$I$4+VLOOKUP($R91,武学奇术!$A:$ZZ,15,FALSE)+SUM(_xlfn.XLOOKUP(S91:AG91,增益!$A:$A,增益!$O:$O,0)))/100)</f>
        <v>-0.3</v>
      </c>
      <c r="BI91" s="26" cm="1">
        <f t="array" ref="BI91">$G$14+VLOOKUP($R91,武学奇术!$A:$ZZ,16,FALSE)+SUM(_xlfn.XLOOKUP(S91:AG91,增益!$A:$A,增益!$P:$P,0))</f>
        <v>0</v>
      </c>
      <c r="BJ91" s="21">
        <f>MIN(IF(VLOOKUP($R91,武学奇术!$A:$ZZ,23,FALSE)=1,100%,$B$8),100%)</f>
        <v>0.8229</v>
      </c>
      <c r="BK91" s="21" cm="1">
        <f t="array" ref="BK91">IF(VLOOKUP($R91,武学奇术!$A:$ZZ,23,FALSE)=1,100%,MIN(80%,$B$9+VLOOKUP($R91,武学奇术!$A:$ZZ,17,FALSE)+SUM(_xlfn.XLOOKUP(S91:AG91,增益!$A:$A,增益!$Q:$Q,0)))+$B$11+SUM(_xlfn.XLOOKUP(S91:AG91,增益!$A:$A,增益!$U:$U,0)))*IF(VLOOKUP($R91,武学奇术!$A:$ZZ,24,FALSE)=1,0,1)</f>
        <v>0.2285</v>
      </c>
      <c r="BL91" s="21" cm="1">
        <f t="array" ref="BL91">1+$B$13+VLOOKUP($R91,武学奇术!$A:$ZZ,18,FALSE)+SUM(_xlfn.XLOOKUP(S91:AG91,增益!$A:$A,增益!$R:$R,0))</f>
        <v>1.5</v>
      </c>
      <c r="BM91" s="21" cm="1">
        <f t="array" ref="BM91">IF(VLOOKUP($R91,武学奇术!$A:$ZZ,24,FALSE)=1,100%,MIN(40%,$B$10+VLOOKUP($R91,武学奇术!$A:$ZZ,19,FALSE)+SUM(_xlfn.XLOOKUP(S91:AG91,增益!$A:$A,增益!$S:$S,0)))+$B$12+SUM(_xlfn.XLOOKUP(S91:AG91,增益!$A:$A,增益!$V:$V,0)))*IF(VLOOKUP($R91,武学奇术!$A:$ZZ,23,FALSE)=1,0,1)</f>
        <v>0.4495</v>
      </c>
      <c r="BN91" s="21" cm="1">
        <f t="array" ref="BN91">1+$B$14+VLOOKUP($R91,武学奇术!$A:$ZZ,20,FALSE)+SUM(_xlfn.XLOOKUP(S91:AG91,增益!$A:$A,增益!$T:$T,0))</f>
        <v>1.602</v>
      </c>
      <c r="BO91" s="21">
        <f t="shared" si="20"/>
        <v>0.18803265</v>
      </c>
      <c r="BP91" s="21">
        <f t="shared" si="21"/>
        <v>0.2649738</v>
      </c>
      <c r="BQ91" s="21">
        <f>IF(VLOOKUP($R91,武学奇术!$A:$ZZ,22,FALSE)=1,0,(1-$BJ91))*(1-$BM91)</f>
        <v>0.09749355</v>
      </c>
      <c r="BR91" s="21" cm="1">
        <f t="array" ref="BR91">SUM(_xlfn.XLOOKUP(S91:AG91,增益!$A:$A,增益!$W:$W,0))+$I$5</f>
        <v>0.06</v>
      </c>
    </row>
    <row r="92" spans="11:70">
      <c r="K92" s="24">
        <f>$L92*VLOOKUP($R92,武学奇术!$A:$ZZ,31,FALSE)</f>
        <v>59324.9743243832</v>
      </c>
      <c r="L92" s="24">
        <f t="shared" si="11"/>
        <v>98874.9572073053</v>
      </c>
      <c r="M92" s="24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BL92*$Q92*(1+IF(VLOOKUP($R92,武学奇术!$A:$ZZ,30,FALSE)="流血",$B$21,0))*(1+$BR92)</f>
        <v>80948.957627409</v>
      </c>
      <c r="N92" s="24">
        <f>(($AP92*$AI92+$AJ92)*(1+$AQ92)*(1+$AR92)+($AU92*IF($G$1="鸣金",$AK92,$AI92)+IF($G$1="鸣金",$AL92*1.5,0))*(1+$AV92)*(1+$AW92)+($AY92*IF($G$1="裂石",$AK92,$AI92)+IF($G$1="裂石",$AL92*1.5,0))*(1+$AZ92)*(1+$BA92)+($BC92*IF($G$1="牵丝",$AK92,$AI92)+IF($G$1="牵丝",$AL92*1.5,0))*(1+$BD92)*(1+$BE92)+($BG92*IF($G$1="破竹",$AK92,$AI92)+IF($G$1="破竹",$AL92*1.5,0))*(1+$BH92)*(1+$BI92))*(1+$AM92)*$BN92*$Q92*(1+IF(VLOOKUP($R92,武学奇术!$A:$ZZ,30,FALSE)="流血",$B$21,0))*(1+$BR92)</f>
        <v>149020.240760869</v>
      </c>
      <c r="O92" s="24">
        <f>((($AO92+$AP92)/2*$AI92+$AJ92)*(1+$AQ92)*(1+$AR92)+(($AT92+$AU92)/2*IF($G$1="鸣金",$AK92,$AI92)+IF($G$1="鸣金",$AL92*1.5,0))*(1+$AV92)*(1+$AW92)+(($AX92+$AY92)/2*IF($G$1="裂石",$AK92,$AI92)+IF($G$1="裂石",$AL92*1.5,0))*(1+$AZ92)*(1+$BA92)+(($BB92+$BC92)/2*IF($G$1="牵丝",$AK92,$AI92)+IF($G$1="牵丝",$AL92*1.5,0))*(1+$BD92)*(1+$BE92)+(($BF92+$BG92)/2*IF($G$1="破竹",$AK92,$AI92)+IF($G$1="破竹",$AL92*1.5,0))*(1+$BH92)*(1+$BI92))*(1+$AM92)*$Q92*(1+IF(VLOOKUP($R92,武学奇术!$A:$ZZ,30,FALSE)="流血",$B$21,0))*(1+$BR92)</f>
        <v>53965.971751606</v>
      </c>
      <c r="P92" s="24">
        <f>((($AO92*$AI92+$AJ92)*(1+$AQ92)*(1+$AR92)+($AT92*IF($G$1="鸣金",$AK92,$AI92)+IF($G$1="鸣金",$AL92*1.5,0))*(1+$AV92)*(1+$AW92)+($AX92*IF($G$1="裂石",$AK92,$AI92)+IF($G$1="裂石",$AL92*1.5,0))*(1+$AZ92)*(1+$BA92)+($BB92*IF($G$1="牵丝",$AK92,$AI92)+IF($G$1="牵丝",$AL92*1.5,0))*(1+$BD92)*(1+$BE92)+($BF92*IF($G$1="破竹",$AK92,$AI92)+IF($G$1="破竹",$AL92*1.5,0))*(1+$BH92)*(1+$BI92))*(1+$AM92))*$Q92*(1+IF(VLOOKUP($R92,武学奇术!$A:$ZZ,30,FALSE)="流血",$B$21,0))*(1+$BR92)</f>
        <v>24306.6681042955</v>
      </c>
      <c r="Q92" s="31">
        <v>1</v>
      </c>
      <c r="R92" s="32" t="s">
        <v>95</v>
      </c>
      <c r="S92" s="32" t="s">
        <v>87</v>
      </c>
      <c r="T92" s="32" t="s">
        <v>104</v>
      </c>
      <c r="U92" s="32" t="s">
        <v>73</v>
      </c>
      <c r="V92" s="32" t="s">
        <v>73</v>
      </c>
      <c r="W92" s="32" t="s">
        <v>111</v>
      </c>
      <c r="X92" s="32" t="s">
        <v>127</v>
      </c>
      <c r="Y92" s="32" t="s">
        <v>73</v>
      </c>
      <c r="Z92" s="32" t="s">
        <v>73</v>
      </c>
      <c r="AA92" s="32" t="s">
        <v>81</v>
      </c>
      <c r="AB92" s="32" t="s">
        <v>75</v>
      </c>
      <c r="AC92" s="32" t="s">
        <v>76</v>
      </c>
      <c r="AD92" s="32" t="s">
        <v>82</v>
      </c>
      <c r="AE92" s="32" t="s">
        <v>90</v>
      </c>
      <c r="AF92" s="32" t="s">
        <v>73</v>
      </c>
      <c r="AG92" s="32" t="s">
        <v>178</v>
      </c>
      <c r="AH92" t="str">
        <f>VLOOKUP($R92,武学奇术!$A:$ZZ,25,FALSE)</f>
        <v>剑</v>
      </c>
      <c r="AI92" s="21">
        <f>VLOOKUP($R92,武学奇术!$A:$ZZ,26,FALSE)</f>
        <v>2.52</v>
      </c>
      <c r="AJ92" s="22">
        <f>VLOOKUP($R92,武学奇术!$A:$ZZ,27,FALSE)*(1+IF(OR($AH92=$F$4,$AH92=$F$5),$B$22,0))</f>
        <v>0</v>
      </c>
      <c r="AK92" s="21">
        <f>VLOOKUP($R92,武学奇术!$A:$ZZ,28,FALSE)</f>
        <v>3.78</v>
      </c>
      <c r="AL92" s="22">
        <f>VLOOKUP($R92,武学奇术!$A:$ZZ,29,FALSE)*(1+IF(OR($AH92=$F$4,$AH92=$F$5),$B$22,0))</f>
        <v>0</v>
      </c>
      <c r="AM92" s="21" cm="1">
        <f t="array" ref="AM92">$G$3+IFERROR(VLOOKUP($AH92,$F$4:$G$7,2,FALSE),0)+VLOOKUP($R92,武学奇术!$A:$ZZ,2,FALSE)+SUM(_xlfn.XLOOKUP($S92:$AG92,增益!$A:$A,增益!$B:$B,0))</f>
        <v>0.8791</v>
      </c>
      <c r="AN92" s="21" cm="1">
        <f t="array" ref="AN92">VLOOKUP($R92,武学奇术!$A:$ZZ,5,FALSE)+SUM(_xlfn.XLOOKUP($S92:$AG92,增益!$A:$A,增益!$E:$E,0))</f>
        <v>0</v>
      </c>
      <c r="AO92" cm="1">
        <f t="array" ref="AO92">$D$10*(1+$AN92)+VLOOKUP($R92,武学奇术!$A:$ZZ,3,FALSE)+SUM(_xlfn.XLOOKUP($S92:$AG92,增益!$A:$A,增益!$C:$C,0))-$I$2</f>
        <v>1825.28</v>
      </c>
      <c r="AP92" cm="1">
        <f t="array" ref="AP92">$E$10*(1+$AN92)+VLOOKUP($R92,武学奇术!$A:$ZZ,4,FALSE)+SUM(_xlfn.XLOOKUP($S92:$AG92,增益!$A:$A,增益!$D:$D,0))-$I$2</f>
        <v>7757.36</v>
      </c>
      <c r="AQ92" s="26" cm="1">
        <f t="array" ref="AQ92">IF($F$10-$I$3+VLOOKUP($R92,武学奇术!$A:$ZZ,6,FALSE)+SUM(_xlfn.XLOOKUP(S92:AG92,增益!$A:$A,增益!$F:$F,0))&gt;0,($F$10-$I$3+VLOOKUP($R92,武学奇术!$A:$ZZ,6,FALSE)+SUM(_xlfn.XLOOKUP(S92:AG92,增益!$A:$A,增益!$F:$F,0)))/200,($F$10-$I$3+VLOOKUP($R92,武学奇术!$A:$ZZ,6,FALSE)+SUM(_xlfn.XLOOKUP(S92:AG92,增益!$A:$A,增益!$F:$F,0)))/100)</f>
        <v>0.319</v>
      </c>
      <c r="AR92" s="26" cm="1">
        <f t="array" ref="AR92">$G$10+VLOOKUP($R92,武学奇术!$A:$ZZ,7,FALSE)+SUM(_xlfn.XLOOKUP(S92:AG92,增益!$A:$A,增益!$G:$G,0))</f>
        <v>0</v>
      </c>
      <c r="AS92" s="21" cm="1">
        <f t="array" ref="AS92">VLOOKUP($R92,武学奇术!$A:$ZZ,8,FALSE)+SUM(_xlfn.XLOOKUP(S92:AG92,增益!$A:$A,增益!$H:$H,0))</f>
        <v>0</v>
      </c>
      <c r="AT92">
        <f t="shared" si="12"/>
        <v>680.02</v>
      </c>
      <c r="AU92">
        <f t="shared" si="13"/>
        <v>1288.54</v>
      </c>
      <c r="AV92" s="26" cm="1">
        <f t="array" ref="AV92">IF($F$11-$I$4+VLOOKUP($R92,武学奇术!$A:$ZZ,9,FALSE)+SUM(_xlfn.XLOOKUP(S92:AG92,增益!$A:$A,增益!$I:$I,0))&gt;0,($F$11-$I$4+VLOOKUP($R92,武学奇术!$A:$ZZ,9,FALSE)+SUM(_xlfn.XLOOKUP(S92:AG92,增益!$A:$A,增益!$I:$I,0)))/200,($F$11-$I$4+VLOOKUP($R92,武学奇术!$A:$ZZ,9,FALSE)+SUM(_xlfn.XLOOKUP(S92:AG92,增益!$A:$A,增益!$I:$I,0)))/100)</f>
        <v>0.075</v>
      </c>
      <c r="AW92" s="26" cm="1">
        <f t="array" ref="AW92">$G$11+VLOOKUP($R92,武学奇术!$A:$ZZ,10,FALSE)+SUM(_xlfn.XLOOKUP(S92:AG92,增益!$A:$A,增益!$J:$J,0))</f>
        <v>0.15</v>
      </c>
      <c r="AX92">
        <f t="shared" si="14"/>
        <v>0</v>
      </c>
      <c r="AY92">
        <f t="shared" si="15"/>
        <v>0</v>
      </c>
      <c r="AZ92" s="26" cm="1">
        <f t="array" ref="AZ92">IF($F$12-$I$4+VLOOKUP($R92,武学奇术!$A:$ZZ,11,FALSE)+SUM(_xlfn.XLOOKUP(S92:AG92,增益!$A:$A,增益!$K:$K,0))&gt;0,($F$12-$I$4+VLOOKUP($R92,武学奇术!$A:$ZZ,11,FALSE)+SUM(_xlfn.XLOOKUP(S92:AG92,增益!$A:$A,增益!$K:$K,0)))/200,($F$12-$I$4+VLOOKUP($R92,武学奇术!$A:$ZZ,11,FALSE)+SUM(_xlfn.XLOOKUP(S92:AG92,增益!$A:$A,增益!$K:$K,0)))/100)</f>
        <v>-0.3</v>
      </c>
      <c r="BA92" s="26" cm="1">
        <f t="array" ref="BA92">$G$12+VLOOKUP($R92,武学奇术!$A:$ZZ,12,FALSE)+SUM(_xlfn.XLOOKUP(S92:AG92,增益!$A:$A,增益!$L:$L,0))</f>
        <v>0</v>
      </c>
      <c r="BB92">
        <f t="shared" si="16"/>
        <v>0</v>
      </c>
      <c r="BC92">
        <f t="shared" si="17"/>
        <v>0</v>
      </c>
      <c r="BD92" s="26" cm="1">
        <f t="array" ref="BD92">IF($F$13-$I$4+VLOOKUP($R92,武学奇术!$A:$ZZ,13,FALSE)+SUM(_xlfn.XLOOKUP(S92:AG92,增益!$A:$A,增益!$M:$M,0))&gt;0,($F$13-$I$4+VLOOKUP($R92,武学奇术!$A:$ZZ,13,FALSE)+SUM(_xlfn.XLOOKUP(S92:AG92,增益!$A:$A,增益!$K:$K,0)))/200,($F$13-$I$4+VLOOKUP($R92,武学奇术!$A:$ZZ,13,FALSE)+SUM(_xlfn.XLOOKUP(S92:AG92,增益!$A:$A,增益!$M:$M,0)))/100)</f>
        <v>-0.3</v>
      </c>
      <c r="BE92" s="26" cm="1">
        <f t="array" ref="BE92">$G$13+VLOOKUP($R92,武学奇术!$A:$ZZ,14,FALSE)+SUM(_xlfn.XLOOKUP(S92:AG92,增益!$A:$A,增益!$N:$N,0))</f>
        <v>0</v>
      </c>
      <c r="BF92">
        <f t="shared" si="18"/>
        <v>0</v>
      </c>
      <c r="BG92">
        <f t="shared" si="19"/>
        <v>0</v>
      </c>
      <c r="BH92" s="26" cm="1">
        <f t="array" ref="BH92">IF($F$14-$I$4+VLOOKUP($R92,武学奇术!$A:$ZZ,15,FALSE)+SUM(_xlfn.XLOOKUP(S92:AG92,增益!$A:$A,增益!$O:$O,0))&gt;0,($F$14-$I$4+VLOOKUP($R92,武学奇术!$A:$ZZ,15,FALSE)+SUM(_xlfn.XLOOKUP(S92:AG92,增益!$A:$A,增益!$O:$O,0)))/200,($F$14-$I$4+VLOOKUP($R92,武学奇术!$A:$ZZ,15,FALSE)+SUM(_xlfn.XLOOKUP(S92:AG92,增益!$A:$A,增益!$O:$O,0)))/100)</f>
        <v>-0.3</v>
      </c>
      <c r="BI92" s="26" cm="1">
        <f t="array" ref="BI92">$G$14+VLOOKUP($R92,武学奇术!$A:$ZZ,16,FALSE)+SUM(_xlfn.XLOOKUP(S92:AG92,增益!$A:$A,增益!$P:$P,0))</f>
        <v>0</v>
      </c>
      <c r="BJ92" s="21">
        <f>MIN(IF(VLOOKUP($R92,武学奇术!$A:$ZZ,23,FALSE)=1,100%,$B$8),100%)</f>
        <v>0.8229</v>
      </c>
      <c r="BK92" s="21" cm="1">
        <f t="array" ref="BK92">IF(VLOOKUP($R92,武学奇术!$A:$ZZ,23,FALSE)=1,100%,MIN(80%,$B$9+VLOOKUP($R92,武学奇术!$A:$ZZ,17,FALSE)+SUM(_xlfn.XLOOKUP(S92:AG92,增益!$A:$A,增益!$Q:$Q,0)))+$B$11+SUM(_xlfn.XLOOKUP(S92:AG92,增益!$A:$A,增益!$U:$U,0)))*IF(VLOOKUP($R92,武学奇术!$A:$ZZ,24,FALSE)=1,0,1)</f>
        <v>0.2285</v>
      </c>
      <c r="BL92" s="21" cm="1">
        <f t="array" ref="BL92">1+$B$13+VLOOKUP($R92,武学奇术!$A:$ZZ,18,FALSE)+SUM(_xlfn.XLOOKUP(S92:AG92,增益!$A:$A,增益!$R:$R,0))</f>
        <v>1.5</v>
      </c>
      <c r="BM92" s="21" cm="1">
        <f t="array" ref="BM92">IF(VLOOKUP($R92,武学奇术!$A:$ZZ,24,FALSE)=1,100%,MIN(40%,$B$10+VLOOKUP($R92,武学奇术!$A:$ZZ,19,FALSE)+SUM(_xlfn.XLOOKUP(S92:AG92,增益!$A:$A,增益!$S:$S,0)))+$B$12+SUM(_xlfn.XLOOKUP(S92:AG92,增益!$A:$A,增益!$V:$V,0)))*IF(VLOOKUP($R92,武学奇术!$A:$ZZ,23,FALSE)=1,0,1)</f>
        <v>0.4495</v>
      </c>
      <c r="BN92" s="21" cm="1">
        <f t="array" ref="BN92">1+$B$14+VLOOKUP($R92,武学奇术!$A:$ZZ,20,FALSE)+SUM(_xlfn.XLOOKUP(S92:AG92,增益!$A:$A,增益!$T:$T,0))</f>
        <v>1.782</v>
      </c>
      <c r="BO92" s="21">
        <f t="shared" si="20"/>
        <v>0.18803265</v>
      </c>
      <c r="BP92" s="21">
        <f t="shared" si="21"/>
        <v>0.2649738</v>
      </c>
      <c r="BQ92" s="21">
        <f>IF(VLOOKUP($R92,武学奇术!$A:$ZZ,22,FALSE)=1,0,(1-$BJ92))*(1-$BM92)</f>
        <v>0.09749355</v>
      </c>
      <c r="BR92" s="21" cm="1">
        <f t="array" ref="BR92">SUM(_xlfn.XLOOKUP(S92:AG92,增益!$A:$A,增益!$W:$W,0))+$I$5</f>
        <v>0.06</v>
      </c>
    </row>
    <row r="93" spans="11:70">
      <c r="K93" s="24">
        <f>$L93*VLOOKUP($R93,武学奇术!$A:$ZZ,31,FALSE)</f>
        <v>21180.5151934135</v>
      </c>
      <c r="L93" s="24">
        <f t="shared" si="11"/>
        <v>21180.5151934135</v>
      </c>
      <c r="M93" s="24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BL93*$Q93*(1+IF(VLOOKUP($R93,武学奇术!$A:$ZZ,30,FALSE)="流血",$B$21,0))*(1+$BR93)</f>
        <v>18609.2691879932</v>
      </c>
      <c r="N93" s="24">
        <f>(($AP93*$AI93+$AJ93)*(1+$AQ93)*(1+$AR93)+($AU93*IF($G$1="鸣金",$AK93,$AI93)+IF($G$1="鸣金",$AL93*1.5,0))*(1+$AV93)*(1+$AW93)+($AY93*IF($G$1="裂石",$AK93,$AI93)+IF($G$1="裂石",$AL93*1.5,0))*(1+$AZ93)*(1+$BA93)+($BC93*IF($G$1="牵丝",$AK93,$AI93)+IF($G$1="牵丝",$AL93*1.5,0))*(1+$BD93)*(1+$BE93)+($BG93*IF($G$1="破竹",$AK93,$AI93)+IF($G$1="破竹",$AL93*1.5,0))*(1+$BH93)*(1+$BI93))*(1+$AM93)*$BN93*$Q93*(1+IF(VLOOKUP($R93,武学奇术!$A:$ZZ,30,FALSE)="流血",$B$21,0))*(1+$BR93)</f>
        <v>30812.3901799296</v>
      </c>
      <c r="O93" s="24">
        <f>((($AO93+$AP93)/2*$AI93+$AJ93)*(1+$AQ93)*(1+$AR93)+(($AT93+$AU93)/2*IF($G$1="鸣金",$AK93,$AI93)+IF($G$1="鸣金",$AL93*1.5,0))*(1+$AV93)*(1+$AW93)+(($AX93+$AY93)/2*IF($G$1="裂石",$AK93,$AI93)+IF($G$1="裂石",$AL93*1.5,0))*(1+$AZ93)*(1+$BA93)+(($BB93+$BC93)/2*IF($G$1="牵丝",$AK93,$AI93)+IF($G$1="牵丝",$AL93*1.5,0))*(1+$BD93)*(1+$BE93)+(($BF93+$BG93)/2*IF($G$1="破竹",$AK93,$AI93)+IF($G$1="破竹",$AL93*1.5,0))*(1+$BH93)*(1+$BI93))*(1+$AM93)*$Q93*(1+IF(VLOOKUP($R93,武学奇术!$A:$ZZ,30,FALSE)="流血",$B$21,0))*(1+$BR93)</f>
        <v>12406.1794586621</v>
      </c>
      <c r="P93" s="24">
        <f>((($AO93*$AI93+$AJ93)*(1+$AQ93)*(1+$AR93)+($AT93*IF($G$1="鸣金",$AK93,$AI93)+IF($G$1="鸣金",$AL93*1.5,0))*(1+$AV93)*(1+$AW93)+($AX93*IF($G$1="裂石",$AK93,$AI93)+IF($G$1="裂石",$AL93*1.5,0))*(1+$AZ93)*(1+$BA93)+($BB93*IF($G$1="牵丝",$AK93,$AI93)+IF($G$1="牵丝",$AL93*1.5,0))*(1+$BD93)*(1+$BE93)+($BF93*IF($G$1="破竹",$AK93,$AI93)+IF($G$1="破竹",$AL93*1.5,0))*(1+$BH93)*(1+$BI93))*(1+$AM93))*$Q93*(1+IF(VLOOKUP($R93,武学奇术!$A:$ZZ,30,FALSE)="流血",$B$21,0))*(1+$BR93)</f>
        <v>5578.65718203738</v>
      </c>
      <c r="Q93" s="31">
        <v>1</v>
      </c>
      <c r="R93" s="32" t="s">
        <v>192</v>
      </c>
      <c r="S93" s="32" t="s">
        <v>87</v>
      </c>
      <c r="T93" s="32" t="s">
        <v>104</v>
      </c>
      <c r="U93" s="32" t="s">
        <v>73</v>
      </c>
      <c r="V93" s="32" t="s">
        <v>73</v>
      </c>
      <c r="W93" s="32" t="s">
        <v>111</v>
      </c>
      <c r="X93" s="32" t="s">
        <v>127</v>
      </c>
      <c r="Y93" s="32" t="s">
        <v>73</v>
      </c>
      <c r="Z93" s="32" t="s">
        <v>73</v>
      </c>
      <c r="AA93" s="32" t="s">
        <v>81</v>
      </c>
      <c r="AB93" s="32" t="s">
        <v>75</v>
      </c>
      <c r="AC93" s="32" t="s">
        <v>76</v>
      </c>
      <c r="AD93" s="32" t="s">
        <v>82</v>
      </c>
      <c r="AE93" s="32" t="s">
        <v>90</v>
      </c>
      <c r="AF93" s="32" t="s">
        <v>73</v>
      </c>
      <c r="AG93" s="32" t="s">
        <v>178</v>
      </c>
      <c r="AH93" t="str">
        <f>VLOOKUP($R93,武学奇术!$A:$ZZ,25,FALSE)</f>
        <v>剑</v>
      </c>
      <c r="AI93" s="21">
        <f>VLOOKUP($R93,武学奇术!$A:$ZZ,26,FALSE)</f>
        <v>0.8133</v>
      </c>
      <c r="AJ93" s="22">
        <f>VLOOKUP($R93,武学奇术!$A:$ZZ,27,FALSE)*(1+IF(OR($AH93=$F$4,$AH93=$F$5),$B$22,0))</f>
        <v>0</v>
      </c>
      <c r="AK93" s="21">
        <f>VLOOKUP($R93,武学奇术!$A:$ZZ,28,FALSE)</f>
        <v>1.21995</v>
      </c>
      <c r="AL93" s="22">
        <f>VLOOKUP($R93,武学奇术!$A:$ZZ,29,FALSE)*(1+IF(OR($AH93=$F$4,$AH93=$F$5),$B$22,0))</f>
        <v>0</v>
      </c>
      <c r="AM93" s="21" cm="1">
        <f t="array" ref="AM93">$G$3+IFERROR(VLOOKUP($AH93,$F$4:$G$7,2,FALSE),0)+VLOOKUP($R93,武学奇术!$A:$ZZ,2,FALSE)+SUM(_xlfn.XLOOKUP($S93:$AG93,增益!$A:$A,增益!$B:$B,0))</f>
        <v>0.8791</v>
      </c>
      <c r="AN93" s="21" cm="1">
        <f t="array" ref="AN93">VLOOKUP($R93,武学奇术!$A:$ZZ,5,FALSE)+SUM(_xlfn.XLOOKUP($S93:$AG93,增益!$A:$A,增益!$E:$E,0))</f>
        <v>0</v>
      </c>
      <c r="AO93" cm="1">
        <f t="array" ref="AO93">$D$10*(1+$AN93)+VLOOKUP($R93,武学奇术!$A:$ZZ,3,FALSE)+SUM(_xlfn.XLOOKUP($S93:$AG93,增益!$A:$A,增益!$C:$C,0))-$I$2</f>
        <v>1825.28</v>
      </c>
      <c r="AP93" cm="1">
        <f t="array" ref="AP93">$E$10*(1+$AN93)+VLOOKUP($R93,武学奇术!$A:$ZZ,4,FALSE)+SUM(_xlfn.XLOOKUP($S93:$AG93,增益!$A:$A,增益!$D:$D,0))-$I$2</f>
        <v>7757.36</v>
      </c>
      <c r="AQ93" s="26" cm="1">
        <f t="array" ref="AQ93">IF($F$10-$I$3+VLOOKUP($R93,武学奇术!$A:$ZZ,6,FALSE)+SUM(_xlfn.XLOOKUP(S93:AG93,增益!$A:$A,增益!$F:$F,0))&gt;0,($F$10-$I$3+VLOOKUP($R93,武学奇术!$A:$ZZ,6,FALSE)+SUM(_xlfn.XLOOKUP(S93:AG93,增益!$A:$A,增益!$F:$F,0)))/200,($F$10-$I$3+VLOOKUP($R93,武学奇术!$A:$ZZ,6,FALSE)+SUM(_xlfn.XLOOKUP(S93:AG93,增益!$A:$A,增益!$F:$F,0)))/100)</f>
        <v>0.244</v>
      </c>
      <c r="AR93" s="26" cm="1">
        <f t="array" ref="AR93">$G$10+VLOOKUP($R93,武学奇术!$A:$ZZ,7,FALSE)+SUM(_xlfn.XLOOKUP(S93:AG93,增益!$A:$A,增益!$G:$G,0))</f>
        <v>0</v>
      </c>
      <c r="AS93" s="21" cm="1">
        <f t="array" ref="AS93">VLOOKUP($R93,武学奇术!$A:$ZZ,8,FALSE)+SUM(_xlfn.XLOOKUP(S93:AG93,增益!$A:$A,增益!$H:$H,0))</f>
        <v>0</v>
      </c>
      <c r="AT93">
        <f t="shared" si="12"/>
        <v>680.02</v>
      </c>
      <c r="AU93">
        <f t="shared" si="13"/>
        <v>1288.54</v>
      </c>
      <c r="AV93" s="26" cm="1">
        <f t="array" ref="AV93">IF($F$11-$I$4+VLOOKUP($R93,武学奇术!$A:$ZZ,9,FALSE)+SUM(_xlfn.XLOOKUP(S93:AG93,增益!$A:$A,增益!$I:$I,0))&gt;0,($F$11-$I$4+VLOOKUP($R93,武学奇术!$A:$ZZ,9,FALSE)+SUM(_xlfn.XLOOKUP(S93:AG93,增益!$A:$A,增益!$I:$I,0)))/200,($F$11-$I$4+VLOOKUP($R93,武学奇术!$A:$ZZ,9,FALSE)+SUM(_xlfn.XLOOKUP(S93:AG93,增益!$A:$A,增益!$I:$I,0)))/100)</f>
        <v>0</v>
      </c>
      <c r="AW93" s="26" cm="1">
        <f t="array" ref="AW93">$G$11+VLOOKUP($R93,武学奇术!$A:$ZZ,10,FALSE)+SUM(_xlfn.XLOOKUP(S93:AG93,增益!$A:$A,增益!$J:$J,0))</f>
        <v>0.15</v>
      </c>
      <c r="AX93">
        <f t="shared" si="14"/>
        <v>0</v>
      </c>
      <c r="AY93">
        <f t="shared" si="15"/>
        <v>0</v>
      </c>
      <c r="AZ93" s="26" cm="1">
        <f t="array" ref="AZ93">IF($F$12-$I$4+VLOOKUP($R93,武学奇术!$A:$ZZ,11,FALSE)+SUM(_xlfn.XLOOKUP(S93:AG93,增益!$A:$A,增益!$K:$K,0))&gt;0,($F$12-$I$4+VLOOKUP($R93,武学奇术!$A:$ZZ,11,FALSE)+SUM(_xlfn.XLOOKUP(S93:AG93,增益!$A:$A,增益!$K:$K,0)))/200,($F$12-$I$4+VLOOKUP($R93,武学奇术!$A:$ZZ,11,FALSE)+SUM(_xlfn.XLOOKUP(S93:AG93,增益!$A:$A,增益!$K:$K,0)))/100)</f>
        <v>-0.3</v>
      </c>
      <c r="BA93" s="26" cm="1">
        <f t="array" ref="BA93">$G$12+VLOOKUP($R93,武学奇术!$A:$ZZ,12,FALSE)+SUM(_xlfn.XLOOKUP(S93:AG93,增益!$A:$A,增益!$L:$L,0))</f>
        <v>0</v>
      </c>
      <c r="BB93">
        <f t="shared" si="16"/>
        <v>0</v>
      </c>
      <c r="BC93">
        <f t="shared" si="17"/>
        <v>0</v>
      </c>
      <c r="BD93" s="26" cm="1">
        <f t="array" ref="BD93">IF($F$13-$I$4+VLOOKUP($R93,武学奇术!$A:$ZZ,13,FALSE)+SUM(_xlfn.XLOOKUP(S93:AG93,增益!$A:$A,增益!$M:$M,0))&gt;0,($F$13-$I$4+VLOOKUP($R93,武学奇术!$A:$ZZ,13,FALSE)+SUM(_xlfn.XLOOKUP(S93:AG93,增益!$A:$A,增益!$K:$K,0)))/200,($F$13-$I$4+VLOOKUP($R93,武学奇术!$A:$ZZ,13,FALSE)+SUM(_xlfn.XLOOKUP(S93:AG93,增益!$A:$A,增益!$M:$M,0)))/100)</f>
        <v>-0.3</v>
      </c>
      <c r="BE93" s="26" cm="1">
        <f t="array" ref="BE93">$G$13+VLOOKUP($R93,武学奇术!$A:$ZZ,14,FALSE)+SUM(_xlfn.XLOOKUP(S93:AG93,增益!$A:$A,增益!$N:$N,0))</f>
        <v>0</v>
      </c>
      <c r="BF93">
        <f t="shared" si="18"/>
        <v>0</v>
      </c>
      <c r="BG93">
        <f t="shared" si="19"/>
        <v>0</v>
      </c>
      <c r="BH93" s="26" cm="1">
        <f t="array" ref="BH93">IF($F$14-$I$4+VLOOKUP($R93,武学奇术!$A:$ZZ,15,FALSE)+SUM(_xlfn.XLOOKUP(S93:AG93,增益!$A:$A,增益!$O:$O,0))&gt;0,($F$14-$I$4+VLOOKUP($R93,武学奇术!$A:$ZZ,15,FALSE)+SUM(_xlfn.XLOOKUP(S93:AG93,增益!$A:$A,增益!$O:$O,0)))/200,($F$14-$I$4+VLOOKUP($R93,武学奇术!$A:$ZZ,15,FALSE)+SUM(_xlfn.XLOOKUP(S93:AG93,增益!$A:$A,增益!$O:$O,0)))/100)</f>
        <v>-0.3</v>
      </c>
      <c r="BI93" s="26" cm="1">
        <f t="array" ref="BI93">$G$14+VLOOKUP($R93,武学奇术!$A:$ZZ,16,FALSE)+SUM(_xlfn.XLOOKUP(S93:AG93,增益!$A:$A,增益!$P:$P,0))</f>
        <v>0</v>
      </c>
      <c r="BJ93" s="21">
        <f>MIN(IF(VLOOKUP($R93,武学奇术!$A:$ZZ,23,FALSE)=1,100%,$B$8),100%)</f>
        <v>0.8229</v>
      </c>
      <c r="BK93" s="21" cm="1">
        <f t="array" ref="BK93">IF(VLOOKUP($R93,武学奇术!$A:$ZZ,23,FALSE)=1,100%,MIN(80%,$B$9+VLOOKUP($R93,武学奇术!$A:$ZZ,17,FALSE)+SUM(_xlfn.XLOOKUP(S93:AG93,增益!$A:$A,增益!$Q:$Q,0)))+$B$11+SUM(_xlfn.XLOOKUP(S93:AG93,增益!$A:$A,增益!$U:$U,0)))*IF(VLOOKUP($R93,武学奇术!$A:$ZZ,24,FALSE)=1,0,1)</f>
        <v>0.2285</v>
      </c>
      <c r="BL93" s="21" cm="1">
        <f t="array" ref="BL93">1+$B$13+VLOOKUP($R93,武学奇术!$A:$ZZ,18,FALSE)+SUM(_xlfn.XLOOKUP(S93:AG93,增益!$A:$A,增益!$R:$R,0))</f>
        <v>1.5</v>
      </c>
      <c r="BM93" s="21" cm="1">
        <f t="array" ref="BM93">IF(VLOOKUP($R93,武学奇术!$A:$ZZ,24,FALSE)=1,100%,MIN(40%,$B$10+VLOOKUP($R93,武学奇术!$A:$ZZ,19,FALSE)+SUM(_xlfn.XLOOKUP(S93:AG93,增益!$A:$A,增益!$S:$S,0)))+$B$12+SUM(_xlfn.XLOOKUP(S93:AG93,增益!$A:$A,增益!$V:$V,0)))*IF(VLOOKUP($R93,武学奇术!$A:$ZZ,23,FALSE)=1,0,1)</f>
        <v>0.4495</v>
      </c>
      <c r="BN93" s="21" cm="1">
        <f t="array" ref="BN93">1+$B$14+VLOOKUP($R93,武学奇术!$A:$ZZ,20,FALSE)+SUM(_xlfn.XLOOKUP(S93:AG93,增益!$A:$A,增益!$T:$T,0))</f>
        <v>1.602</v>
      </c>
      <c r="BO93" s="21">
        <f t="shared" si="20"/>
        <v>0.18803265</v>
      </c>
      <c r="BP93" s="21">
        <f t="shared" si="21"/>
        <v>0.2649738</v>
      </c>
      <c r="BQ93" s="21">
        <f>IF(VLOOKUP($R93,武学奇术!$A:$ZZ,22,FALSE)=1,0,(1-$BJ93))*(1-$BM93)</f>
        <v>0.09749355</v>
      </c>
      <c r="BR93" s="21" cm="1">
        <f t="array" ref="BR93">SUM(_xlfn.XLOOKUP(S93:AG93,增益!$A:$A,增益!$W:$W,0))+$I$5</f>
        <v>0.06</v>
      </c>
    </row>
    <row r="94" spans="11:70">
      <c r="K94" s="24">
        <f>$L94*VLOOKUP($R94,武学奇术!$A:$ZZ,31,FALSE)</f>
        <v>26802.83933749</v>
      </c>
      <c r="L94" s="24">
        <f t="shared" si="11"/>
        <v>26802.83933749</v>
      </c>
      <c r="M94" s="24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BL94*$Q94*(1+IF(VLOOKUP($R94,武学奇术!$A:$ZZ,30,FALSE)="流血",$B$21,0))*(1+$BR94)</f>
        <v>23692.4578362717</v>
      </c>
      <c r="N94" s="24">
        <f>(($AP94*$AI94+$AJ94)*(1+$AQ94)*(1+$AR94)+($AU94*IF($G$1="鸣金",$AK94,$AI94)+IF($G$1="鸣金",$AL94*1.5,0))*(1+$AV94)*(1+$AW94)+($AY94*IF($G$1="裂石",$AK94,$AI94)+IF($G$1="裂石",$AL94*1.5,0))*(1+$AZ94)*(1+$BA94)+($BC94*IF($G$1="牵丝",$AK94,$AI94)+IF($G$1="牵丝",$AL94*1.5,0))*(1+$BD94)*(1+$BE94)+($BG94*IF($G$1="破竹",$AK94,$AI94)+IF($G$1="破竹",$AL94*1.5,0))*(1+$BH94)*(1+$BI94))*(1+$AM94)*$BN94*$Q94*(1+IF(VLOOKUP($R94,武学奇术!$A:$ZZ,30,FALSE)="流血",$B$21,0))*(1+$BR94)</f>
        <v>38808.9573887473</v>
      </c>
      <c r="O94" s="24">
        <f>((($AO94+$AP94)/2*$AI94+$AJ94)*(1+$AQ94)*(1+$AR94)+(($AT94+$AU94)/2*IF($G$1="鸣金",$AK94,$AI94)+IF($G$1="鸣金",$AL94*1.5,0))*(1+$AV94)*(1+$AW94)+(($AX94+$AY94)/2*IF($G$1="裂石",$AK94,$AI94)+IF($G$1="裂石",$AL94*1.5,0))*(1+$AZ94)*(1+$BA94)+(($BB94+$BC94)/2*IF($G$1="牵丝",$AK94,$AI94)+IF($G$1="牵丝",$AL94*1.5,0))*(1+$BD94)*(1+$BE94)+(($BF94+$BG94)/2*IF($G$1="破竹",$AK94,$AI94)+IF($G$1="破竹",$AL94*1.5,0))*(1+$BH94)*(1+$BI94))*(1+$AM94)*$Q94*(1+IF(VLOOKUP($R94,武学奇术!$A:$ZZ,30,FALSE)="流血",$B$21,0))*(1+$BR94)</f>
        <v>15794.9718908478</v>
      </c>
      <c r="P94" s="24">
        <f>((($AO94*$AI94+$AJ94)*(1+$AQ94)*(1+$AR94)+($AT94*IF($G$1="鸣金",$AK94,$AI94)+IF($G$1="鸣金",$AL94*1.5,0))*(1+$AV94)*(1+$AW94)+($AX94*IF($G$1="裂石",$AK94,$AI94)+IF($G$1="裂石",$AL94*1.5,0))*(1+$AZ94)*(1+$BA94)+($BB94*IF($G$1="牵丝",$AK94,$AI94)+IF($G$1="牵丝",$AL94*1.5,0))*(1+$BD94)*(1+$BE94)+($BF94*IF($G$1="破竹",$AK94,$AI94)+IF($G$1="破竹",$AL94*1.5,0))*(1+$BH94)*(1+$BI94))*(1+$AM94))*$Q94*(1+IF(VLOOKUP($R94,武学奇术!$A:$ZZ,30,FALSE)="流血",$B$21,0))*(1+$BR94)</f>
        <v>7364.62705963115</v>
      </c>
      <c r="Q94" s="31">
        <v>1</v>
      </c>
      <c r="R94" s="32" t="s">
        <v>143</v>
      </c>
      <c r="S94" s="32" t="s">
        <v>87</v>
      </c>
      <c r="T94" s="32" t="s">
        <v>104</v>
      </c>
      <c r="U94" s="32" t="s">
        <v>73</v>
      </c>
      <c r="V94" s="32" t="s">
        <v>73</v>
      </c>
      <c r="W94" s="32" t="s">
        <v>111</v>
      </c>
      <c r="X94" s="32" t="s">
        <v>127</v>
      </c>
      <c r="Y94" s="32" t="s">
        <v>73</v>
      </c>
      <c r="Z94" s="32" t="s">
        <v>73</v>
      </c>
      <c r="AA94" s="32" t="s">
        <v>81</v>
      </c>
      <c r="AB94" s="32" t="s">
        <v>75</v>
      </c>
      <c r="AC94" s="32" t="s">
        <v>76</v>
      </c>
      <c r="AD94" s="32" t="s">
        <v>82</v>
      </c>
      <c r="AE94" s="32" t="s">
        <v>90</v>
      </c>
      <c r="AF94" s="32" t="s">
        <v>73</v>
      </c>
      <c r="AG94" s="32" t="s">
        <v>178</v>
      </c>
      <c r="AH94" t="str">
        <f>VLOOKUP($R94,武学奇术!$A:$ZZ,25,FALSE)</f>
        <v>单体奇术</v>
      </c>
      <c r="AI94" s="21">
        <f>VLOOKUP($R94,武学奇术!$A:$ZZ,26,FALSE)</f>
        <v>1.0239</v>
      </c>
      <c r="AJ94" s="22">
        <f>VLOOKUP($R94,武学奇术!$A:$ZZ,27,FALSE)*(1+IF(OR($AH94=$F$4,$AH94=$F$5),$B$22,0))</f>
        <v>196</v>
      </c>
      <c r="AK94" s="21">
        <f>VLOOKUP($R94,武学奇术!$A:$ZZ,28,FALSE)</f>
        <v>1.53585</v>
      </c>
      <c r="AL94" s="22">
        <f>VLOOKUP($R94,武学奇术!$A:$ZZ,29,FALSE)*(1+IF(OR($AH94=$F$4,$AH94=$F$5),$B$22,0))</f>
        <v>0</v>
      </c>
      <c r="AM94" s="21" cm="1">
        <f t="array" ref="AM94">$G$3+IFERROR(VLOOKUP($AH94,$F$4:$G$7,2,FALSE),0)+VLOOKUP($R94,武学奇术!$A:$ZZ,2,FALSE)+SUM(_xlfn.XLOOKUP($S94:$AG94,增益!$A:$A,增益!$B:$B,0))</f>
        <v>0.843</v>
      </c>
      <c r="AN94" s="21" cm="1">
        <f t="array" ref="AN94">VLOOKUP($R94,武学奇术!$A:$ZZ,5,FALSE)+SUM(_xlfn.XLOOKUP($S94:$AG94,增益!$A:$A,增益!$E:$E,0))</f>
        <v>0</v>
      </c>
      <c r="AO94" cm="1">
        <f t="array" ref="AO94">$D$10*(1+$AN94)+VLOOKUP($R94,武学奇术!$A:$ZZ,3,FALSE)+SUM(_xlfn.XLOOKUP($S94:$AG94,增益!$A:$A,增益!$C:$C,0))-$I$2</f>
        <v>1825.28</v>
      </c>
      <c r="AP94" cm="1">
        <f t="array" ref="AP94">$E$10*(1+$AN94)+VLOOKUP($R94,武学奇术!$A:$ZZ,4,FALSE)+SUM(_xlfn.XLOOKUP($S94:$AG94,增益!$A:$A,增益!$D:$D,0))-$I$2</f>
        <v>7757.36</v>
      </c>
      <c r="AQ94" s="26" cm="1">
        <f t="array" ref="AQ94">IF($F$10-$I$3+VLOOKUP($R94,武学奇术!$A:$ZZ,6,FALSE)+SUM(_xlfn.XLOOKUP(S94:AG94,增益!$A:$A,增益!$F:$F,0))&gt;0,($F$10-$I$3+VLOOKUP($R94,武学奇术!$A:$ZZ,6,FALSE)+SUM(_xlfn.XLOOKUP(S94:AG94,增益!$A:$A,增益!$F:$F,0)))/200,($F$10-$I$3+VLOOKUP($R94,武学奇术!$A:$ZZ,6,FALSE)+SUM(_xlfn.XLOOKUP(S94:AG94,增益!$A:$A,增益!$F:$F,0)))/100)</f>
        <v>0.244</v>
      </c>
      <c r="AR94" s="26" cm="1">
        <f t="array" ref="AR94">$G$10+VLOOKUP($R94,武学奇术!$A:$ZZ,7,FALSE)+SUM(_xlfn.XLOOKUP(S94:AG94,增益!$A:$A,增益!$G:$G,0))</f>
        <v>0</v>
      </c>
      <c r="AS94" s="21" cm="1">
        <f t="array" ref="AS94">VLOOKUP($R94,武学奇术!$A:$ZZ,8,FALSE)+SUM(_xlfn.XLOOKUP(S94:AG94,增益!$A:$A,增益!$H:$H,0))</f>
        <v>0</v>
      </c>
      <c r="AT94">
        <f t="shared" si="12"/>
        <v>680.02</v>
      </c>
      <c r="AU94">
        <f t="shared" si="13"/>
        <v>1288.54</v>
      </c>
      <c r="AV94" s="26" cm="1">
        <f t="array" ref="AV94">IF($F$11-$I$4+VLOOKUP($R94,武学奇术!$A:$ZZ,9,FALSE)+SUM(_xlfn.XLOOKUP(S94:AG94,增益!$A:$A,增益!$I:$I,0))&gt;0,($F$11-$I$4+VLOOKUP($R94,武学奇术!$A:$ZZ,9,FALSE)+SUM(_xlfn.XLOOKUP(S94:AG94,增益!$A:$A,增益!$I:$I,0)))/200,($F$11-$I$4+VLOOKUP($R94,武学奇术!$A:$ZZ,9,FALSE)+SUM(_xlfn.XLOOKUP(S94:AG94,增益!$A:$A,增益!$I:$I,0)))/100)</f>
        <v>0</v>
      </c>
      <c r="AW94" s="26" cm="1">
        <f t="array" ref="AW94">$G$11+VLOOKUP($R94,武学奇术!$A:$ZZ,10,FALSE)+SUM(_xlfn.XLOOKUP(S94:AG94,增益!$A:$A,增益!$J:$J,0))</f>
        <v>0.15</v>
      </c>
      <c r="AX94">
        <f t="shared" si="14"/>
        <v>0</v>
      </c>
      <c r="AY94">
        <f t="shared" si="15"/>
        <v>0</v>
      </c>
      <c r="AZ94" s="26" cm="1">
        <f t="array" ref="AZ94">IF($F$12-$I$4+VLOOKUP($R94,武学奇术!$A:$ZZ,11,FALSE)+SUM(_xlfn.XLOOKUP(S94:AG94,增益!$A:$A,增益!$K:$K,0))&gt;0,($F$12-$I$4+VLOOKUP($R94,武学奇术!$A:$ZZ,11,FALSE)+SUM(_xlfn.XLOOKUP(S94:AG94,增益!$A:$A,增益!$K:$K,0)))/200,($F$12-$I$4+VLOOKUP($R94,武学奇术!$A:$ZZ,11,FALSE)+SUM(_xlfn.XLOOKUP(S94:AG94,增益!$A:$A,增益!$K:$K,0)))/100)</f>
        <v>-0.3</v>
      </c>
      <c r="BA94" s="26" cm="1">
        <f t="array" ref="BA94">$G$12+VLOOKUP($R94,武学奇术!$A:$ZZ,12,FALSE)+SUM(_xlfn.XLOOKUP(S94:AG94,增益!$A:$A,增益!$L:$L,0))</f>
        <v>0</v>
      </c>
      <c r="BB94">
        <f t="shared" si="16"/>
        <v>0</v>
      </c>
      <c r="BC94">
        <f t="shared" si="17"/>
        <v>0</v>
      </c>
      <c r="BD94" s="26" cm="1">
        <f t="array" ref="BD94">IF($F$13-$I$4+VLOOKUP($R94,武学奇术!$A:$ZZ,13,FALSE)+SUM(_xlfn.XLOOKUP(S94:AG94,增益!$A:$A,增益!$M:$M,0))&gt;0,($F$13-$I$4+VLOOKUP($R94,武学奇术!$A:$ZZ,13,FALSE)+SUM(_xlfn.XLOOKUP(S94:AG94,增益!$A:$A,增益!$K:$K,0)))/200,($F$13-$I$4+VLOOKUP($R94,武学奇术!$A:$ZZ,13,FALSE)+SUM(_xlfn.XLOOKUP(S94:AG94,增益!$A:$A,增益!$M:$M,0)))/100)</f>
        <v>-0.3</v>
      </c>
      <c r="BE94" s="26" cm="1">
        <f t="array" ref="BE94">$G$13+VLOOKUP($R94,武学奇术!$A:$ZZ,14,FALSE)+SUM(_xlfn.XLOOKUP(S94:AG94,增益!$A:$A,增益!$N:$N,0))</f>
        <v>0</v>
      </c>
      <c r="BF94">
        <f t="shared" si="18"/>
        <v>0</v>
      </c>
      <c r="BG94">
        <f t="shared" si="19"/>
        <v>0</v>
      </c>
      <c r="BH94" s="26" cm="1">
        <f t="array" ref="BH94">IF($F$14-$I$4+VLOOKUP($R94,武学奇术!$A:$ZZ,15,FALSE)+SUM(_xlfn.XLOOKUP(S94:AG94,增益!$A:$A,增益!$O:$O,0))&gt;0,($F$14-$I$4+VLOOKUP($R94,武学奇术!$A:$ZZ,15,FALSE)+SUM(_xlfn.XLOOKUP(S94:AG94,增益!$A:$A,增益!$O:$O,0)))/200,($F$14-$I$4+VLOOKUP($R94,武学奇术!$A:$ZZ,15,FALSE)+SUM(_xlfn.XLOOKUP(S94:AG94,增益!$A:$A,增益!$O:$O,0)))/100)</f>
        <v>-0.3</v>
      </c>
      <c r="BI94" s="26" cm="1">
        <f t="array" ref="BI94">$G$14+VLOOKUP($R94,武学奇术!$A:$ZZ,16,FALSE)+SUM(_xlfn.XLOOKUP(S94:AG94,增益!$A:$A,增益!$P:$P,0))</f>
        <v>0</v>
      </c>
      <c r="BJ94" s="21">
        <f>MIN(IF(VLOOKUP($R94,武学奇术!$A:$ZZ,23,FALSE)=1,100%,$B$8),100%)</f>
        <v>0.8229</v>
      </c>
      <c r="BK94" s="21" cm="1">
        <f t="array" ref="BK94">IF(VLOOKUP($R94,武学奇术!$A:$ZZ,23,FALSE)=1,100%,MIN(80%,$B$9+VLOOKUP($R94,武学奇术!$A:$ZZ,17,FALSE)+SUM(_xlfn.XLOOKUP(S94:AG94,增益!$A:$A,增益!$Q:$Q,0)))+$B$11+SUM(_xlfn.XLOOKUP(S94:AG94,增益!$A:$A,增益!$U:$U,0)))*IF(VLOOKUP($R94,武学奇术!$A:$ZZ,24,FALSE)=1,0,1)</f>
        <v>0.2285</v>
      </c>
      <c r="BL94" s="21" cm="1">
        <f t="array" ref="BL94">1+$B$13+VLOOKUP($R94,武学奇术!$A:$ZZ,18,FALSE)+SUM(_xlfn.XLOOKUP(S94:AG94,增益!$A:$A,增益!$R:$R,0))</f>
        <v>1.5</v>
      </c>
      <c r="BM94" s="21" cm="1">
        <f t="array" ref="BM94">IF(VLOOKUP($R94,武学奇术!$A:$ZZ,24,FALSE)=1,100%,MIN(40%,$B$10+VLOOKUP($R94,武学奇术!$A:$ZZ,19,FALSE)+SUM(_xlfn.XLOOKUP(S94:AG94,增益!$A:$A,增益!$S:$S,0)))+$B$12+SUM(_xlfn.XLOOKUP(S94:AG94,增益!$A:$A,增益!$V:$V,0)))*IF(VLOOKUP($R94,武学奇术!$A:$ZZ,23,FALSE)=1,0,1)</f>
        <v>0.4495</v>
      </c>
      <c r="BN94" s="21" cm="1">
        <f t="array" ref="BN94">1+$B$14+VLOOKUP($R94,武学奇术!$A:$ZZ,20,FALSE)+SUM(_xlfn.XLOOKUP(S94:AG94,增益!$A:$A,增益!$T:$T,0))</f>
        <v>1.602</v>
      </c>
      <c r="BO94" s="21">
        <f t="shared" si="20"/>
        <v>0.18803265</v>
      </c>
      <c r="BP94" s="21">
        <f t="shared" si="21"/>
        <v>0.2649738</v>
      </c>
      <c r="BQ94" s="21">
        <f>IF(VLOOKUP($R94,武学奇术!$A:$ZZ,22,FALSE)=1,0,(1-$BJ94))*(1-$BM94)</f>
        <v>0.09749355</v>
      </c>
      <c r="BR94" s="21" cm="1">
        <f t="array" ref="BR94">SUM(_xlfn.XLOOKUP(S94:AG94,增益!$A:$A,增益!$W:$W,0))+$I$5</f>
        <v>0.06</v>
      </c>
    </row>
    <row r="95" spans="11:70">
      <c r="K95" s="24">
        <f>$L95*VLOOKUP($R95,武学奇术!$A:$ZZ,31,FALSE)</f>
        <v>42119.11242134</v>
      </c>
      <c r="L95" s="24">
        <f t="shared" si="11"/>
        <v>42119.11242134</v>
      </c>
      <c r="M95" s="24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BL95*$Q95*(1+IF(VLOOKUP($R95,武学奇术!$A:$ZZ,30,FALSE)="流血",$B$21,0))*(1+$BR95)</f>
        <v>37231.3257656963</v>
      </c>
      <c r="N95" s="24">
        <f>(($AP95*$AI95+$AJ95)*(1+$AQ95)*(1+$AR95)+($AU95*IF($G$1="鸣金",$AK95,$AI95)+IF($G$1="鸣金",$AL95*1.5,0))*(1+$AV95)*(1+$AW95)+($AY95*IF($G$1="裂石",$AK95,$AI95)+IF($G$1="裂石",$AL95*1.5,0))*(1+$AZ95)*(1+$BA95)+($BC95*IF($G$1="牵丝",$AK95,$AI95)+IF($G$1="牵丝",$AL95*1.5,0))*(1+$BD95)*(1+$BE95)+($BG95*IF($G$1="破竹",$AK95,$AI95)+IF($G$1="破竹",$AL95*1.5,0))*(1+$BH95)*(1+$BI95))*(1+$AM95)*$BN95*$Q95*(1+IF(VLOOKUP($R95,武学奇术!$A:$ZZ,30,FALSE)="流血",$B$21,0))*(1+$BR95)</f>
        <v>60986.0352938268</v>
      </c>
      <c r="O95" s="24">
        <f>((($AO95+$AP95)/2*$AI95+$AJ95)*(1+$AQ95)*(1+$AR95)+(($AT95+$AU95)/2*IF($G$1="鸣金",$AK95,$AI95)+IF($G$1="鸣金",$AL95*1.5,0))*(1+$AV95)*(1+$AW95)+(($AX95+$AY95)/2*IF($G$1="裂石",$AK95,$AI95)+IF($G$1="裂石",$AL95*1.5,0))*(1+$AZ95)*(1+$BA95)+(($BB95+$BC95)/2*IF($G$1="牵丝",$AK95,$AI95)+IF($G$1="牵丝",$AL95*1.5,0))*(1+$BD95)*(1+$BE95)+(($BF95+$BG95)/2*IF($G$1="破竹",$AK95,$AI95)+IF($G$1="破竹",$AL95*1.5,0))*(1+$BH95)*(1+$BI95))*(1+$AM95)*$Q95*(1+IF(VLOOKUP($R95,武学奇术!$A:$ZZ,30,FALSE)="流血",$B$21,0))*(1+$BR95)</f>
        <v>24820.8838437975</v>
      </c>
      <c r="P95" s="24">
        <f>((($AO95*$AI95+$AJ95)*(1+$AQ95)*(1+$AR95)+($AT95*IF($G$1="鸣金",$AK95,$AI95)+IF($G$1="鸣金",$AL95*1.5,0))*(1+$AV95)*(1+$AW95)+($AX95*IF($G$1="裂石",$AK95,$AI95)+IF($G$1="裂石",$AL95*1.5,0))*(1+$AZ95)*(1+$BA95)+($BB95*IF($G$1="牵丝",$AK95,$AI95)+IF($G$1="牵丝",$AL95*1.5,0))*(1+$BD95)*(1+$BE95)+($BF95*IF($G$1="破竹",$AK95,$AI95)+IF($G$1="破竹",$AL95*1.5,0))*(1+$BH95)*(1+$BI95))*(1+$AM95))*$Q95*(1+IF(VLOOKUP($R95,武学奇术!$A:$ZZ,30,FALSE)="流血",$B$21,0))*(1+$BR95)</f>
        <v>11573.0814867044</v>
      </c>
      <c r="Q95" s="31">
        <v>1</v>
      </c>
      <c r="R95" s="32" t="s">
        <v>146</v>
      </c>
      <c r="S95" s="32" t="s">
        <v>87</v>
      </c>
      <c r="T95" s="32" t="s">
        <v>104</v>
      </c>
      <c r="U95" s="32" t="s">
        <v>73</v>
      </c>
      <c r="V95" s="32" t="s">
        <v>73</v>
      </c>
      <c r="W95" s="32" t="s">
        <v>111</v>
      </c>
      <c r="X95" s="32" t="s">
        <v>127</v>
      </c>
      <c r="Y95" s="32" t="s">
        <v>73</v>
      </c>
      <c r="Z95" s="32" t="s">
        <v>73</v>
      </c>
      <c r="AA95" s="32" t="s">
        <v>81</v>
      </c>
      <c r="AB95" s="32" t="s">
        <v>75</v>
      </c>
      <c r="AC95" s="32" t="s">
        <v>76</v>
      </c>
      <c r="AD95" s="32" t="s">
        <v>82</v>
      </c>
      <c r="AE95" s="32" t="s">
        <v>90</v>
      </c>
      <c r="AF95" s="32" t="s">
        <v>73</v>
      </c>
      <c r="AG95" s="32" t="s">
        <v>178</v>
      </c>
      <c r="AH95" t="str">
        <f>VLOOKUP($R95,武学奇术!$A:$ZZ,25,FALSE)</f>
        <v>单体奇术</v>
      </c>
      <c r="AI95" s="21">
        <f>VLOOKUP($R95,武学奇术!$A:$ZZ,26,FALSE)</f>
        <v>1.609</v>
      </c>
      <c r="AJ95" s="22">
        <f>VLOOKUP($R95,武学奇术!$A:$ZZ,27,FALSE)*(1+IF(OR($AH95=$F$4,$AH95=$F$5),$B$22,0))</f>
        <v>308</v>
      </c>
      <c r="AK95" s="21">
        <f>VLOOKUP($R95,武学奇术!$A:$ZZ,28,FALSE)</f>
        <v>2.4135</v>
      </c>
      <c r="AL95" s="22">
        <f>VLOOKUP($R95,武学奇术!$A:$ZZ,29,FALSE)*(1+IF(OR($AH95=$F$4,$AH95=$F$5),$B$22,0))</f>
        <v>0</v>
      </c>
      <c r="AM95" s="21" cm="1">
        <f t="array" ref="AM95">$G$3+IFERROR(VLOOKUP($AH95,$F$4:$G$7,2,FALSE),0)+VLOOKUP($R95,武学奇术!$A:$ZZ,2,FALSE)+SUM(_xlfn.XLOOKUP($S95:$AG95,增益!$A:$A,增益!$B:$B,0))</f>
        <v>0.843</v>
      </c>
      <c r="AN95" s="21" cm="1">
        <f t="array" ref="AN95">VLOOKUP($R95,武学奇术!$A:$ZZ,5,FALSE)+SUM(_xlfn.XLOOKUP($S95:$AG95,增益!$A:$A,增益!$E:$E,0))</f>
        <v>0</v>
      </c>
      <c r="AO95" cm="1">
        <f t="array" ref="AO95">$D$10*(1+$AN95)+VLOOKUP($R95,武学奇术!$A:$ZZ,3,FALSE)+SUM(_xlfn.XLOOKUP($S95:$AG95,增益!$A:$A,增益!$C:$C,0))-$I$2</f>
        <v>1825.28</v>
      </c>
      <c r="AP95" cm="1">
        <f t="array" ref="AP95">$E$10*(1+$AN95)+VLOOKUP($R95,武学奇术!$A:$ZZ,4,FALSE)+SUM(_xlfn.XLOOKUP($S95:$AG95,增益!$A:$A,增益!$D:$D,0))-$I$2</f>
        <v>7757.36</v>
      </c>
      <c r="AQ95" s="26" cm="1">
        <f t="array" ref="AQ95">IF($F$10-$I$3+VLOOKUP($R95,武学奇术!$A:$ZZ,6,FALSE)+SUM(_xlfn.XLOOKUP(S95:AG95,增益!$A:$A,增益!$F:$F,0))&gt;0,($F$10-$I$3+VLOOKUP($R95,武学奇术!$A:$ZZ,6,FALSE)+SUM(_xlfn.XLOOKUP(S95:AG95,增益!$A:$A,增益!$F:$F,0)))/200,($F$10-$I$3+VLOOKUP($R95,武学奇术!$A:$ZZ,6,FALSE)+SUM(_xlfn.XLOOKUP(S95:AG95,增益!$A:$A,增益!$F:$F,0)))/100)</f>
        <v>0.244</v>
      </c>
      <c r="AR95" s="26" cm="1">
        <f t="array" ref="AR95">$G$10+VLOOKUP($R95,武学奇术!$A:$ZZ,7,FALSE)+SUM(_xlfn.XLOOKUP(S95:AG95,增益!$A:$A,增益!$G:$G,0))</f>
        <v>0</v>
      </c>
      <c r="AS95" s="21" cm="1">
        <f t="array" ref="AS95">VLOOKUP($R95,武学奇术!$A:$ZZ,8,FALSE)+SUM(_xlfn.XLOOKUP(S95:AG95,增益!$A:$A,增益!$H:$H,0))</f>
        <v>0</v>
      </c>
      <c r="AT95">
        <f t="shared" si="12"/>
        <v>680.02</v>
      </c>
      <c r="AU95">
        <f t="shared" si="13"/>
        <v>1288.54</v>
      </c>
      <c r="AV95" s="26" cm="1">
        <f t="array" ref="AV95">IF($F$11-$I$4+VLOOKUP($R95,武学奇术!$A:$ZZ,9,FALSE)+SUM(_xlfn.XLOOKUP(S95:AG95,增益!$A:$A,增益!$I:$I,0))&gt;0,($F$11-$I$4+VLOOKUP($R95,武学奇术!$A:$ZZ,9,FALSE)+SUM(_xlfn.XLOOKUP(S95:AG95,增益!$A:$A,增益!$I:$I,0)))/200,($F$11-$I$4+VLOOKUP($R95,武学奇术!$A:$ZZ,9,FALSE)+SUM(_xlfn.XLOOKUP(S95:AG95,增益!$A:$A,增益!$I:$I,0)))/100)</f>
        <v>0</v>
      </c>
      <c r="AW95" s="26" cm="1">
        <f t="array" ref="AW95">$G$11+VLOOKUP($R95,武学奇术!$A:$ZZ,10,FALSE)+SUM(_xlfn.XLOOKUP(S95:AG95,增益!$A:$A,增益!$J:$J,0))</f>
        <v>0.15</v>
      </c>
      <c r="AX95">
        <f t="shared" si="14"/>
        <v>0</v>
      </c>
      <c r="AY95">
        <f t="shared" si="15"/>
        <v>0</v>
      </c>
      <c r="AZ95" s="26" cm="1">
        <f t="array" ref="AZ95">IF($F$12-$I$4+VLOOKUP($R95,武学奇术!$A:$ZZ,11,FALSE)+SUM(_xlfn.XLOOKUP(S95:AG95,增益!$A:$A,增益!$K:$K,0))&gt;0,($F$12-$I$4+VLOOKUP($R95,武学奇术!$A:$ZZ,11,FALSE)+SUM(_xlfn.XLOOKUP(S95:AG95,增益!$A:$A,增益!$K:$K,0)))/200,($F$12-$I$4+VLOOKUP($R95,武学奇术!$A:$ZZ,11,FALSE)+SUM(_xlfn.XLOOKUP(S95:AG95,增益!$A:$A,增益!$K:$K,0)))/100)</f>
        <v>-0.3</v>
      </c>
      <c r="BA95" s="26" cm="1">
        <f t="array" ref="BA95">$G$12+VLOOKUP($R95,武学奇术!$A:$ZZ,12,FALSE)+SUM(_xlfn.XLOOKUP(S95:AG95,增益!$A:$A,增益!$L:$L,0))</f>
        <v>0</v>
      </c>
      <c r="BB95">
        <f t="shared" si="16"/>
        <v>0</v>
      </c>
      <c r="BC95">
        <f t="shared" si="17"/>
        <v>0</v>
      </c>
      <c r="BD95" s="26" cm="1">
        <f t="array" ref="BD95">IF($F$13-$I$4+VLOOKUP($R95,武学奇术!$A:$ZZ,13,FALSE)+SUM(_xlfn.XLOOKUP(S95:AG95,增益!$A:$A,增益!$M:$M,0))&gt;0,($F$13-$I$4+VLOOKUP($R95,武学奇术!$A:$ZZ,13,FALSE)+SUM(_xlfn.XLOOKUP(S95:AG95,增益!$A:$A,增益!$K:$K,0)))/200,($F$13-$I$4+VLOOKUP($R95,武学奇术!$A:$ZZ,13,FALSE)+SUM(_xlfn.XLOOKUP(S95:AG95,增益!$A:$A,增益!$M:$M,0)))/100)</f>
        <v>-0.3</v>
      </c>
      <c r="BE95" s="26" cm="1">
        <f t="array" ref="BE95">$G$13+VLOOKUP($R95,武学奇术!$A:$ZZ,14,FALSE)+SUM(_xlfn.XLOOKUP(S95:AG95,增益!$A:$A,增益!$N:$N,0))</f>
        <v>0</v>
      </c>
      <c r="BF95">
        <f t="shared" si="18"/>
        <v>0</v>
      </c>
      <c r="BG95">
        <f t="shared" si="19"/>
        <v>0</v>
      </c>
      <c r="BH95" s="26" cm="1">
        <f t="array" ref="BH95">IF($F$14-$I$4+VLOOKUP($R95,武学奇术!$A:$ZZ,15,FALSE)+SUM(_xlfn.XLOOKUP(S95:AG95,增益!$A:$A,增益!$O:$O,0))&gt;0,($F$14-$I$4+VLOOKUP($R95,武学奇术!$A:$ZZ,15,FALSE)+SUM(_xlfn.XLOOKUP(S95:AG95,增益!$A:$A,增益!$O:$O,0)))/200,($F$14-$I$4+VLOOKUP($R95,武学奇术!$A:$ZZ,15,FALSE)+SUM(_xlfn.XLOOKUP(S95:AG95,增益!$A:$A,增益!$O:$O,0)))/100)</f>
        <v>-0.3</v>
      </c>
      <c r="BI95" s="26" cm="1">
        <f t="array" ref="BI95">$G$14+VLOOKUP($R95,武学奇术!$A:$ZZ,16,FALSE)+SUM(_xlfn.XLOOKUP(S95:AG95,增益!$A:$A,增益!$P:$P,0))</f>
        <v>0</v>
      </c>
      <c r="BJ95" s="21">
        <f>MIN(IF(VLOOKUP($R95,武学奇术!$A:$ZZ,23,FALSE)=1,100%,$B$8),100%)</f>
        <v>0.8229</v>
      </c>
      <c r="BK95" s="21" cm="1">
        <f t="array" ref="BK95">IF(VLOOKUP($R95,武学奇术!$A:$ZZ,23,FALSE)=1,100%,MIN(80%,$B$9+VLOOKUP($R95,武学奇术!$A:$ZZ,17,FALSE)+SUM(_xlfn.XLOOKUP(S95:AG95,增益!$A:$A,增益!$Q:$Q,0)))+$B$11+SUM(_xlfn.XLOOKUP(S95:AG95,增益!$A:$A,增益!$U:$U,0)))*IF(VLOOKUP($R95,武学奇术!$A:$ZZ,24,FALSE)=1,0,1)</f>
        <v>0.2285</v>
      </c>
      <c r="BL95" s="21" cm="1">
        <f t="array" ref="BL95">1+$B$13+VLOOKUP($R95,武学奇术!$A:$ZZ,18,FALSE)+SUM(_xlfn.XLOOKUP(S95:AG95,增益!$A:$A,增益!$R:$R,0))</f>
        <v>1.5</v>
      </c>
      <c r="BM95" s="21" cm="1">
        <f t="array" ref="BM95">IF(VLOOKUP($R95,武学奇术!$A:$ZZ,24,FALSE)=1,100%,MIN(40%,$B$10+VLOOKUP($R95,武学奇术!$A:$ZZ,19,FALSE)+SUM(_xlfn.XLOOKUP(S95:AG95,增益!$A:$A,增益!$S:$S,0)))+$B$12+SUM(_xlfn.XLOOKUP(S95:AG95,增益!$A:$A,增益!$V:$V,0)))*IF(VLOOKUP($R95,武学奇术!$A:$ZZ,23,FALSE)=1,0,1)</f>
        <v>0.4495</v>
      </c>
      <c r="BN95" s="21" cm="1">
        <f t="array" ref="BN95">1+$B$14+VLOOKUP($R95,武学奇术!$A:$ZZ,20,FALSE)+SUM(_xlfn.XLOOKUP(S95:AG95,增益!$A:$A,增益!$T:$T,0))</f>
        <v>1.602</v>
      </c>
      <c r="BO95" s="21">
        <f t="shared" si="20"/>
        <v>0.18803265</v>
      </c>
      <c r="BP95" s="21">
        <f t="shared" si="21"/>
        <v>0.2649738</v>
      </c>
      <c r="BQ95" s="21">
        <f>IF(VLOOKUP($R95,武学奇术!$A:$ZZ,22,FALSE)=1,0,(1-$BJ95))*(1-$BM95)</f>
        <v>0.09749355</v>
      </c>
      <c r="BR95" s="21" cm="1">
        <f t="array" ref="BR95">SUM(_xlfn.XLOOKUP(S95:AG95,增益!$A:$A,增益!$W:$W,0))+$I$5</f>
        <v>0.06</v>
      </c>
    </row>
    <row r="96" spans="11:70">
      <c r="K96" s="24">
        <f>$L96*VLOOKUP($R96,武学奇术!$A:$ZZ,31,FALSE)</f>
        <v>26697.5750483713</v>
      </c>
      <c r="L96" s="24">
        <f t="shared" si="11"/>
        <v>26697.5750483713</v>
      </c>
      <c r="M96" s="24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BL96*$Q96*(1+IF(VLOOKUP($R96,武学奇术!$A:$ZZ,30,FALSE)="流血",$B$21,0))*(1+$BR96)</f>
        <v>23576.7501853423</v>
      </c>
      <c r="N96" s="24">
        <f>(($AP96*$AI96+$AJ96)*(1+$AQ96)*(1+$AR96)+($AU96*IF($G$1="鸣金",$AK96,$AI96)+IF($G$1="鸣金",$AL96*1.5,0))*(1+$AV96)*(1+$AW96)+($AY96*IF($G$1="裂石",$AK96,$AI96)+IF($G$1="裂石",$AL96*1.5,0))*(1+$AZ96)*(1+$BA96)+($BC96*IF($G$1="牵丝",$AK96,$AI96)+IF($G$1="牵丝",$AL96*1.5,0))*(1+$BD96)*(1+$BE96)+($BG96*IF($G$1="破竹",$AK96,$AI96)+IF($G$1="破竹",$AL96*1.5,0))*(1+$BH96)*(1+$BI96))*(1+$AM96)*$BN96*$Q96*(1+IF(VLOOKUP($R96,武学奇术!$A:$ZZ,30,FALSE)="流血",$B$21,0))*(1+$BR96)</f>
        <v>38685.3816175547</v>
      </c>
      <c r="O96" s="24">
        <f>((($AO96+$AP96)/2*$AI96+$AJ96)*(1+$AQ96)*(1+$AR96)+(($AT96+$AU96)/2*IF($G$1="鸣金",$AK96,$AI96)+IF($G$1="鸣金",$AL96*1.5,0))*(1+$AV96)*(1+$AW96)+(($AX96+$AY96)/2*IF($G$1="裂石",$AK96,$AI96)+IF($G$1="裂石",$AL96*1.5,0))*(1+$AZ96)*(1+$BA96)+(($BB96+$BC96)/2*IF($G$1="牵丝",$AK96,$AI96)+IF($G$1="牵丝",$AL96*1.5,0))*(1+$BD96)*(1+$BE96)+(($BF96+$BG96)/2*IF($G$1="破竹",$AK96,$AI96)+IF($G$1="破竹",$AL96*1.5,0))*(1+$BH96)*(1+$BI96))*(1+$AM96)*$Q96*(1+IF(VLOOKUP($R96,武学奇术!$A:$ZZ,30,FALSE)="流血",$B$21,0))*(1+$BR96)</f>
        <v>15717.8334568948</v>
      </c>
      <c r="P96" s="24">
        <f>((($AO96*$AI96+$AJ96)*(1+$AQ96)*(1+$AR96)+($AT96*IF($G$1="鸣金",$AK96,$AI96)+IF($G$1="鸣金",$AL96*1.5,0))*(1+$AV96)*(1+$AW96)+($AX96*IF($G$1="裂石",$AK96,$AI96)+IF($G$1="裂石",$AL96*1.5,0))*(1+$AZ96)*(1+$BA96)+($BB96*IF($G$1="牵丝",$AK96,$AI96)+IF($G$1="牵丝",$AL96*1.5,0))*(1+$BD96)*(1+$BE96)+($BF96*IF($G$1="破竹",$AK96,$AI96)+IF($G$1="破竹",$AL96*1.5,0))*(1+$BH96)*(1+$BI96))*(1+$AM96))*$Q96*(1+IF(VLOOKUP($R96,武学奇术!$A:$ZZ,30,FALSE)="流血",$B$21,0))*(1+$BR96)</f>
        <v>7287.48862567818</v>
      </c>
      <c r="Q96" s="31">
        <v>1</v>
      </c>
      <c r="R96" s="32" t="s">
        <v>143</v>
      </c>
      <c r="S96" s="32" t="s">
        <v>87</v>
      </c>
      <c r="T96" s="32" t="s">
        <v>104</v>
      </c>
      <c r="U96" s="32" t="s">
        <v>73</v>
      </c>
      <c r="V96" s="32" t="s">
        <v>73</v>
      </c>
      <c r="W96" s="32" t="s">
        <v>73</v>
      </c>
      <c r="X96" s="32" t="s">
        <v>127</v>
      </c>
      <c r="Y96" s="32" t="s">
        <v>73</v>
      </c>
      <c r="Z96" s="32" t="s">
        <v>73</v>
      </c>
      <c r="AA96" s="32" t="s">
        <v>81</v>
      </c>
      <c r="AB96" s="32" t="s">
        <v>75</v>
      </c>
      <c r="AC96" s="32" t="s">
        <v>76</v>
      </c>
      <c r="AD96" s="32" t="s">
        <v>82</v>
      </c>
      <c r="AE96" s="32" t="s">
        <v>90</v>
      </c>
      <c r="AF96" s="32" t="s">
        <v>73</v>
      </c>
      <c r="AG96" s="32" t="s">
        <v>178</v>
      </c>
      <c r="AH96" t="str">
        <f>VLOOKUP($R96,武学奇术!$A:$ZZ,25,FALSE)</f>
        <v>单体奇术</v>
      </c>
      <c r="AI96" s="21">
        <f>VLOOKUP($R96,武学奇术!$A:$ZZ,26,FALSE)</f>
        <v>1.0239</v>
      </c>
      <c r="AJ96" s="22">
        <f>VLOOKUP($R96,武学奇术!$A:$ZZ,27,FALSE)*(1+IF(OR($AH96=$F$4,$AH96=$F$5),$B$22,0))</f>
        <v>196</v>
      </c>
      <c r="AK96" s="21">
        <f>VLOOKUP($R96,武学奇术!$A:$ZZ,28,FALSE)</f>
        <v>1.53585</v>
      </c>
      <c r="AL96" s="22">
        <f>VLOOKUP($R96,武学奇术!$A:$ZZ,29,FALSE)*(1+IF(OR($AH96=$F$4,$AH96=$F$5),$B$22,0))</f>
        <v>0</v>
      </c>
      <c r="AM96" s="21" cm="1">
        <f t="array" ref="AM96">$G$3+IFERROR(VLOOKUP($AH96,$F$4:$G$7,2,FALSE),0)+VLOOKUP($R96,武学奇术!$A:$ZZ,2,FALSE)+SUM(_xlfn.XLOOKUP($S96:$AG96,增益!$A:$A,增益!$B:$B,0))</f>
        <v>0.843</v>
      </c>
      <c r="AN96" s="21" cm="1">
        <f t="array" ref="AN96">VLOOKUP($R96,武学奇术!$A:$ZZ,5,FALSE)+SUM(_xlfn.XLOOKUP($S96:$AG96,增益!$A:$A,增益!$E:$E,0))</f>
        <v>0</v>
      </c>
      <c r="AO96" cm="1">
        <f t="array" ref="AO96">$D$10*(1+$AN96)+VLOOKUP($R96,武学奇术!$A:$ZZ,3,FALSE)+SUM(_xlfn.XLOOKUP($S96:$AG96,增益!$A:$A,增益!$C:$C,0))-$I$2</f>
        <v>1794.28</v>
      </c>
      <c r="AP96" cm="1">
        <f t="array" ref="AP96">$E$10*(1+$AN96)+VLOOKUP($R96,武学奇术!$A:$ZZ,4,FALSE)+SUM(_xlfn.XLOOKUP($S96:$AG96,增益!$A:$A,增益!$D:$D,0))-$I$2</f>
        <v>7726.36</v>
      </c>
      <c r="AQ96" s="26" cm="1">
        <f t="array" ref="AQ96">IF($F$10-$I$3+VLOOKUP($R96,武学奇术!$A:$ZZ,6,FALSE)+SUM(_xlfn.XLOOKUP(S96:AG96,增益!$A:$A,增益!$F:$F,0))&gt;0,($F$10-$I$3+VLOOKUP($R96,武学奇术!$A:$ZZ,6,FALSE)+SUM(_xlfn.XLOOKUP(S96:AG96,增益!$A:$A,增益!$F:$F,0)))/200,($F$10-$I$3+VLOOKUP($R96,武学奇术!$A:$ZZ,6,FALSE)+SUM(_xlfn.XLOOKUP(S96:AG96,增益!$A:$A,增益!$F:$F,0)))/100)</f>
        <v>0.244</v>
      </c>
      <c r="AR96" s="26" cm="1">
        <f t="array" ref="AR96">$G$10+VLOOKUP($R96,武学奇术!$A:$ZZ,7,FALSE)+SUM(_xlfn.XLOOKUP(S96:AG96,增益!$A:$A,增益!$G:$G,0))</f>
        <v>0</v>
      </c>
      <c r="AS96" s="21" cm="1">
        <f t="array" ref="AS96">VLOOKUP($R96,武学奇术!$A:$ZZ,8,FALSE)+SUM(_xlfn.XLOOKUP(S96:AG96,增益!$A:$A,增益!$H:$H,0))</f>
        <v>0</v>
      </c>
      <c r="AT96">
        <f t="shared" si="12"/>
        <v>680.02</v>
      </c>
      <c r="AU96">
        <f t="shared" si="13"/>
        <v>1288.54</v>
      </c>
      <c r="AV96" s="26" cm="1">
        <f t="array" ref="AV96">IF($F$11-$I$4+VLOOKUP($R96,武学奇术!$A:$ZZ,9,FALSE)+SUM(_xlfn.XLOOKUP(S96:AG96,增益!$A:$A,增益!$I:$I,0))&gt;0,($F$11-$I$4+VLOOKUP($R96,武学奇术!$A:$ZZ,9,FALSE)+SUM(_xlfn.XLOOKUP(S96:AG96,增益!$A:$A,增益!$I:$I,0)))/200,($F$11-$I$4+VLOOKUP($R96,武学奇术!$A:$ZZ,9,FALSE)+SUM(_xlfn.XLOOKUP(S96:AG96,增益!$A:$A,增益!$I:$I,0)))/100)</f>
        <v>0</v>
      </c>
      <c r="AW96" s="26" cm="1">
        <f t="array" ref="AW96">$G$11+VLOOKUP($R96,武学奇术!$A:$ZZ,10,FALSE)+SUM(_xlfn.XLOOKUP(S96:AG96,增益!$A:$A,增益!$J:$J,0))</f>
        <v>0.15</v>
      </c>
      <c r="AX96">
        <f t="shared" si="14"/>
        <v>0</v>
      </c>
      <c r="AY96">
        <f t="shared" si="15"/>
        <v>0</v>
      </c>
      <c r="AZ96" s="26" cm="1">
        <f t="array" ref="AZ96">IF($F$12-$I$4+VLOOKUP($R96,武学奇术!$A:$ZZ,11,FALSE)+SUM(_xlfn.XLOOKUP(S96:AG96,增益!$A:$A,增益!$K:$K,0))&gt;0,($F$12-$I$4+VLOOKUP($R96,武学奇术!$A:$ZZ,11,FALSE)+SUM(_xlfn.XLOOKUP(S96:AG96,增益!$A:$A,增益!$K:$K,0)))/200,($F$12-$I$4+VLOOKUP($R96,武学奇术!$A:$ZZ,11,FALSE)+SUM(_xlfn.XLOOKUP(S96:AG96,增益!$A:$A,增益!$K:$K,0)))/100)</f>
        <v>-0.3</v>
      </c>
      <c r="BA96" s="26" cm="1">
        <f t="array" ref="BA96">$G$12+VLOOKUP($R96,武学奇术!$A:$ZZ,12,FALSE)+SUM(_xlfn.XLOOKUP(S96:AG96,增益!$A:$A,增益!$L:$L,0))</f>
        <v>0</v>
      </c>
      <c r="BB96">
        <f t="shared" si="16"/>
        <v>0</v>
      </c>
      <c r="BC96">
        <f t="shared" si="17"/>
        <v>0</v>
      </c>
      <c r="BD96" s="26" cm="1">
        <f t="array" ref="BD96">IF($F$13-$I$4+VLOOKUP($R96,武学奇术!$A:$ZZ,13,FALSE)+SUM(_xlfn.XLOOKUP(S96:AG96,增益!$A:$A,增益!$M:$M,0))&gt;0,($F$13-$I$4+VLOOKUP($R96,武学奇术!$A:$ZZ,13,FALSE)+SUM(_xlfn.XLOOKUP(S96:AG96,增益!$A:$A,增益!$K:$K,0)))/200,($F$13-$I$4+VLOOKUP($R96,武学奇术!$A:$ZZ,13,FALSE)+SUM(_xlfn.XLOOKUP(S96:AG96,增益!$A:$A,增益!$M:$M,0)))/100)</f>
        <v>-0.3</v>
      </c>
      <c r="BE96" s="26" cm="1">
        <f t="array" ref="BE96">$G$13+VLOOKUP($R96,武学奇术!$A:$ZZ,14,FALSE)+SUM(_xlfn.XLOOKUP(S96:AG96,增益!$A:$A,增益!$N:$N,0))</f>
        <v>0</v>
      </c>
      <c r="BF96">
        <f t="shared" si="18"/>
        <v>0</v>
      </c>
      <c r="BG96">
        <f t="shared" si="19"/>
        <v>0</v>
      </c>
      <c r="BH96" s="26" cm="1">
        <f t="array" ref="BH96">IF($F$14-$I$4+VLOOKUP($R96,武学奇术!$A:$ZZ,15,FALSE)+SUM(_xlfn.XLOOKUP(S96:AG96,增益!$A:$A,增益!$O:$O,0))&gt;0,($F$14-$I$4+VLOOKUP($R96,武学奇术!$A:$ZZ,15,FALSE)+SUM(_xlfn.XLOOKUP(S96:AG96,增益!$A:$A,增益!$O:$O,0)))/200,($F$14-$I$4+VLOOKUP($R96,武学奇术!$A:$ZZ,15,FALSE)+SUM(_xlfn.XLOOKUP(S96:AG96,增益!$A:$A,增益!$O:$O,0)))/100)</f>
        <v>-0.3</v>
      </c>
      <c r="BI96" s="26" cm="1">
        <f t="array" ref="BI96">$G$14+VLOOKUP($R96,武学奇术!$A:$ZZ,16,FALSE)+SUM(_xlfn.XLOOKUP(S96:AG96,增益!$A:$A,增益!$P:$P,0))</f>
        <v>0</v>
      </c>
      <c r="BJ96" s="21">
        <f>MIN(IF(VLOOKUP($R96,武学奇术!$A:$ZZ,23,FALSE)=1,100%,$B$8),100%)</f>
        <v>0.8229</v>
      </c>
      <c r="BK96" s="21" cm="1">
        <f t="array" ref="BK96">IF(VLOOKUP($R96,武学奇术!$A:$ZZ,23,FALSE)=1,100%,MIN(80%,$B$9+VLOOKUP($R96,武学奇术!$A:$ZZ,17,FALSE)+SUM(_xlfn.XLOOKUP(S96:AG96,增益!$A:$A,增益!$Q:$Q,0)))+$B$11+SUM(_xlfn.XLOOKUP(S96:AG96,增益!$A:$A,增益!$U:$U,0)))*IF(VLOOKUP($R96,武学奇术!$A:$ZZ,24,FALSE)=1,0,1)</f>
        <v>0.2285</v>
      </c>
      <c r="BL96" s="21" cm="1">
        <f t="array" ref="BL96">1+$B$13+VLOOKUP($R96,武学奇术!$A:$ZZ,18,FALSE)+SUM(_xlfn.XLOOKUP(S96:AG96,增益!$A:$A,增益!$R:$R,0))</f>
        <v>1.5</v>
      </c>
      <c r="BM96" s="21" cm="1">
        <f t="array" ref="BM96">IF(VLOOKUP($R96,武学奇术!$A:$ZZ,24,FALSE)=1,100%,MIN(40%,$B$10+VLOOKUP($R96,武学奇术!$A:$ZZ,19,FALSE)+SUM(_xlfn.XLOOKUP(S96:AG96,增益!$A:$A,增益!$S:$S,0)))+$B$12+SUM(_xlfn.XLOOKUP(S96:AG96,增益!$A:$A,增益!$V:$V,0)))*IF(VLOOKUP($R96,武学奇术!$A:$ZZ,23,FALSE)=1,0,1)</f>
        <v>0.4495</v>
      </c>
      <c r="BN96" s="21" cm="1">
        <f t="array" ref="BN96">1+$B$14+VLOOKUP($R96,武学奇术!$A:$ZZ,20,FALSE)+SUM(_xlfn.XLOOKUP(S96:AG96,增益!$A:$A,增益!$T:$T,0))</f>
        <v>1.602</v>
      </c>
      <c r="BO96" s="21">
        <f t="shared" si="20"/>
        <v>0.18803265</v>
      </c>
      <c r="BP96" s="21">
        <f t="shared" si="21"/>
        <v>0.2649738</v>
      </c>
      <c r="BQ96" s="21">
        <f>IF(VLOOKUP($R96,武学奇术!$A:$ZZ,22,FALSE)=1,0,(1-$BJ96))*(1-$BM96)</f>
        <v>0.09749355</v>
      </c>
      <c r="BR96" s="21" cm="1">
        <f t="array" ref="BR96">SUM(_xlfn.XLOOKUP(S96:AG96,增益!$A:$A,增益!$W:$W,0))+$I$5</f>
        <v>0.06</v>
      </c>
    </row>
    <row r="97" spans="11:70">
      <c r="K97" s="24">
        <f>$L97*VLOOKUP($R97,武学奇术!$A:$ZZ,31,FALSE)</f>
        <v>41953.6956411935</v>
      </c>
      <c r="L97" s="24">
        <f t="shared" si="11"/>
        <v>41953.6956411935</v>
      </c>
      <c r="M97" s="24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BL97*$Q97*(1+IF(VLOOKUP($R97,武学奇术!$A:$ZZ,30,FALSE)="流血",$B$21,0))*(1+$BR97)</f>
        <v>37049.4978427102</v>
      </c>
      <c r="N97" s="24">
        <f>(($AP97*$AI97+$AJ97)*(1+$AQ97)*(1+$AR97)+($AU97*IF($G$1="鸣金",$AK97,$AI97)+IF($G$1="鸣金",$AL97*1.5,0))*(1+$AV97)*(1+$AW97)+($AY97*IF($G$1="裂石",$AK97,$AI97)+IF($G$1="裂石",$AL97*1.5,0))*(1+$AZ97)*(1+$BA97)+($BC97*IF($G$1="牵丝",$AK97,$AI97)+IF($G$1="牵丝",$AL97*1.5,0))*(1+$BD97)*(1+$BE97)+($BG97*IF($G$1="破竹",$AK97,$AI97)+IF($G$1="破竹",$AL97*1.5,0))*(1+$BH97)*(1+$BI97))*(1+$AM97)*$BN97*$Q97*(1+IF(VLOOKUP($R97,武学奇术!$A:$ZZ,30,FALSE)="流血",$B$21,0))*(1+$BR97)</f>
        <v>60791.8430720776</v>
      </c>
      <c r="O97" s="24">
        <f>((($AO97+$AP97)/2*$AI97+$AJ97)*(1+$AQ97)*(1+$AR97)+(($AT97+$AU97)/2*IF($G$1="鸣金",$AK97,$AI97)+IF($G$1="鸣金",$AL97*1.5,0))*(1+$AV97)*(1+$AW97)+(($AX97+$AY97)/2*IF($G$1="裂石",$AK97,$AI97)+IF($G$1="裂石",$AL97*1.5,0))*(1+$AZ97)*(1+$BA97)+(($BB97+$BC97)/2*IF($G$1="牵丝",$AK97,$AI97)+IF($G$1="牵丝",$AL97*1.5,0))*(1+$BD97)*(1+$BE97)+(($BF97+$BG97)/2*IF($G$1="破竹",$AK97,$AI97)+IF($G$1="破竹",$AL97*1.5,0))*(1+$BH97)*(1+$BI97))*(1+$AM97)*$Q97*(1+IF(VLOOKUP($R97,武学奇术!$A:$ZZ,30,FALSE)="流血",$B$21,0))*(1+$BR97)</f>
        <v>24699.6652284734</v>
      </c>
      <c r="P97" s="24">
        <f>((($AO97*$AI97+$AJ97)*(1+$AQ97)*(1+$AR97)+($AT97*IF($G$1="鸣金",$AK97,$AI97)+IF($G$1="鸣金",$AL97*1.5,0))*(1+$AV97)*(1+$AW97)+($AX97*IF($G$1="裂石",$AK97,$AI97)+IF($G$1="裂石",$AL97*1.5,0))*(1+$AZ97)*(1+$BA97)+($BB97*IF($G$1="牵丝",$AK97,$AI97)+IF($G$1="牵丝",$AL97*1.5,0))*(1+$BD97)*(1+$BE97)+($BF97*IF($G$1="破竹",$AK97,$AI97)+IF($G$1="破竹",$AL97*1.5,0))*(1+$BH97)*(1+$BI97))*(1+$AM97))*$Q97*(1+IF(VLOOKUP($R97,武学奇术!$A:$ZZ,30,FALSE)="流血",$B$21,0))*(1+$BR97)</f>
        <v>11451.8628713803</v>
      </c>
      <c r="Q97" s="31">
        <v>1</v>
      </c>
      <c r="R97" s="32" t="s">
        <v>146</v>
      </c>
      <c r="S97" s="32" t="s">
        <v>87</v>
      </c>
      <c r="T97" s="32" t="s">
        <v>104</v>
      </c>
      <c r="U97" s="32" t="s">
        <v>73</v>
      </c>
      <c r="V97" s="32" t="s">
        <v>73</v>
      </c>
      <c r="W97" s="32" t="s">
        <v>73</v>
      </c>
      <c r="X97" s="32" t="s">
        <v>127</v>
      </c>
      <c r="Y97" s="32" t="s">
        <v>73</v>
      </c>
      <c r="Z97" s="32" t="s">
        <v>73</v>
      </c>
      <c r="AA97" s="32" t="s">
        <v>81</v>
      </c>
      <c r="AB97" s="32" t="s">
        <v>75</v>
      </c>
      <c r="AC97" s="32" t="s">
        <v>76</v>
      </c>
      <c r="AD97" s="32" t="s">
        <v>82</v>
      </c>
      <c r="AE97" s="32" t="s">
        <v>90</v>
      </c>
      <c r="AF97" s="32" t="s">
        <v>73</v>
      </c>
      <c r="AG97" s="32" t="s">
        <v>178</v>
      </c>
      <c r="AH97" t="str">
        <f>VLOOKUP($R97,武学奇术!$A:$ZZ,25,FALSE)</f>
        <v>单体奇术</v>
      </c>
      <c r="AI97" s="21">
        <f>VLOOKUP($R97,武学奇术!$A:$ZZ,26,FALSE)</f>
        <v>1.609</v>
      </c>
      <c r="AJ97" s="22">
        <f>VLOOKUP($R97,武学奇术!$A:$ZZ,27,FALSE)*(1+IF(OR($AH97=$F$4,$AH97=$F$5),$B$22,0))</f>
        <v>308</v>
      </c>
      <c r="AK97" s="21">
        <f>VLOOKUP($R97,武学奇术!$A:$ZZ,28,FALSE)</f>
        <v>2.4135</v>
      </c>
      <c r="AL97" s="22">
        <f>VLOOKUP($R97,武学奇术!$A:$ZZ,29,FALSE)*(1+IF(OR($AH97=$F$4,$AH97=$F$5),$B$22,0))</f>
        <v>0</v>
      </c>
      <c r="AM97" s="21" cm="1">
        <f t="array" ref="AM97">$G$3+IFERROR(VLOOKUP($AH97,$F$4:$G$7,2,FALSE),0)+VLOOKUP($R97,武学奇术!$A:$ZZ,2,FALSE)+SUM(_xlfn.XLOOKUP($S97:$AG97,增益!$A:$A,增益!$B:$B,0))</f>
        <v>0.843</v>
      </c>
      <c r="AN97" s="21" cm="1">
        <f t="array" ref="AN97">VLOOKUP($R97,武学奇术!$A:$ZZ,5,FALSE)+SUM(_xlfn.XLOOKUP($S97:$AG97,增益!$A:$A,增益!$E:$E,0))</f>
        <v>0</v>
      </c>
      <c r="AO97" cm="1">
        <f t="array" ref="AO97">$D$10*(1+$AN97)+VLOOKUP($R97,武学奇术!$A:$ZZ,3,FALSE)+SUM(_xlfn.XLOOKUP($S97:$AG97,增益!$A:$A,增益!$C:$C,0))-$I$2</f>
        <v>1794.28</v>
      </c>
      <c r="AP97" cm="1">
        <f t="array" ref="AP97">$E$10*(1+$AN97)+VLOOKUP($R97,武学奇术!$A:$ZZ,4,FALSE)+SUM(_xlfn.XLOOKUP($S97:$AG97,增益!$A:$A,增益!$D:$D,0))-$I$2</f>
        <v>7726.36</v>
      </c>
      <c r="AQ97" s="26" cm="1">
        <f t="array" ref="AQ97">IF($F$10-$I$3+VLOOKUP($R97,武学奇术!$A:$ZZ,6,FALSE)+SUM(_xlfn.XLOOKUP(S97:AG97,增益!$A:$A,增益!$F:$F,0))&gt;0,($F$10-$I$3+VLOOKUP($R97,武学奇术!$A:$ZZ,6,FALSE)+SUM(_xlfn.XLOOKUP(S97:AG97,增益!$A:$A,增益!$F:$F,0)))/200,($F$10-$I$3+VLOOKUP($R97,武学奇术!$A:$ZZ,6,FALSE)+SUM(_xlfn.XLOOKUP(S97:AG97,增益!$A:$A,增益!$F:$F,0)))/100)</f>
        <v>0.244</v>
      </c>
      <c r="AR97" s="26" cm="1">
        <f t="array" ref="AR97">$G$10+VLOOKUP($R97,武学奇术!$A:$ZZ,7,FALSE)+SUM(_xlfn.XLOOKUP(S97:AG97,增益!$A:$A,增益!$G:$G,0))</f>
        <v>0</v>
      </c>
      <c r="AS97" s="21" cm="1">
        <f t="array" ref="AS97">VLOOKUP($R97,武学奇术!$A:$ZZ,8,FALSE)+SUM(_xlfn.XLOOKUP(S97:AG97,增益!$A:$A,增益!$H:$H,0))</f>
        <v>0</v>
      </c>
      <c r="AT97">
        <f t="shared" si="12"/>
        <v>680.02</v>
      </c>
      <c r="AU97">
        <f t="shared" si="13"/>
        <v>1288.54</v>
      </c>
      <c r="AV97" s="26" cm="1">
        <f t="array" ref="AV97">IF($F$11-$I$4+VLOOKUP($R97,武学奇术!$A:$ZZ,9,FALSE)+SUM(_xlfn.XLOOKUP(S97:AG97,增益!$A:$A,增益!$I:$I,0))&gt;0,($F$11-$I$4+VLOOKUP($R97,武学奇术!$A:$ZZ,9,FALSE)+SUM(_xlfn.XLOOKUP(S97:AG97,增益!$A:$A,增益!$I:$I,0)))/200,($F$11-$I$4+VLOOKUP($R97,武学奇术!$A:$ZZ,9,FALSE)+SUM(_xlfn.XLOOKUP(S97:AG97,增益!$A:$A,增益!$I:$I,0)))/100)</f>
        <v>0</v>
      </c>
      <c r="AW97" s="26" cm="1">
        <f t="array" ref="AW97">$G$11+VLOOKUP($R97,武学奇术!$A:$ZZ,10,FALSE)+SUM(_xlfn.XLOOKUP(S97:AG97,增益!$A:$A,增益!$J:$J,0))</f>
        <v>0.15</v>
      </c>
      <c r="AX97">
        <f t="shared" si="14"/>
        <v>0</v>
      </c>
      <c r="AY97">
        <f t="shared" si="15"/>
        <v>0</v>
      </c>
      <c r="AZ97" s="26" cm="1">
        <f t="array" ref="AZ97">IF($F$12-$I$4+VLOOKUP($R97,武学奇术!$A:$ZZ,11,FALSE)+SUM(_xlfn.XLOOKUP(S97:AG97,增益!$A:$A,增益!$K:$K,0))&gt;0,($F$12-$I$4+VLOOKUP($R97,武学奇术!$A:$ZZ,11,FALSE)+SUM(_xlfn.XLOOKUP(S97:AG97,增益!$A:$A,增益!$K:$K,0)))/200,($F$12-$I$4+VLOOKUP($R97,武学奇术!$A:$ZZ,11,FALSE)+SUM(_xlfn.XLOOKUP(S97:AG97,增益!$A:$A,增益!$K:$K,0)))/100)</f>
        <v>-0.3</v>
      </c>
      <c r="BA97" s="26" cm="1">
        <f t="array" ref="BA97">$G$12+VLOOKUP($R97,武学奇术!$A:$ZZ,12,FALSE)+SUM(_xlfn.XLOOKUP(S97:AG97,增益!$A:$A,增益!$L:$L,0))</f>
        <v>0</v>
      </c>
      <c r="BB97">
        <f t="shared" si="16"/>
        <v>0</v>
      </c>
      <c r="BC97">
        <f t="shared" si="17"/>
        <v>0</v>
      </c>
      <c r="BD97" s="26" cm="1">
        <f t="array" ref="BD97">IF($F$13-$I$4+VLOOKUP($R97,武学奇术!$A:$ZZ,13,FALSE)+SUM(_xlfn.XLOOKUP(S97:AG97,增益!$A:$A,增益!$M:$M,0))&gt;0,($F$13-$I$4+VLOOKUP($R97,武学奇术!$A:$ZZ,13,FALSE)+SUM(_xlfn.XLOOKUP(S97:AG97,增益!$A:$A,增益!$K:$K,0)))/200,($F$13-$I$4+VLOOKUP($R97,武学奇术!$A:$ZZ,13,FALSE)+SUM(_xlfn.XLOOKUP(S97:AG97,增益!$A:$A,增益!$M:$M,0)))/100)</f>
        <v>-0.3</v>
      </c>
      <c r="BE97" s="26" cm="1">
        <f t="array" ref="BE97">$G$13+VLOOKUP($R97,武学奇术!$A:$ZZ,14,FALSE)+SUM(_xlfn.XLOOKUP(S97:AG97,增益!$A:$A,增益!$N:$N,0))</f>
        <v>0</v>
      </c>
      <c r="BF97">
        <f t="shared" si="18"/>
        <v>0</v>
      </c>
      <c r="BG97">
        <f t="shared" si="19"/>
        <v>0</v>
      </c>
      <c r="BH97" s="26" cm="1">
        <f t="array" ref="BH97">IF($F$14-$I$4+VLOOKUP($R97,武学奇术!$A:$ZZ,15,FALSE)+SUM(_xlfn.XLOOKUP(S97:AG97,增益!$A:$A,增益!$O:$O,0))&gt;0,($F$14-$I$4+VLOOKUP($R97,武学奇术!$A:$ZZ,15,FALSE)+SUM(_xlfn.XLOOKUP(S97:AG97,增益!$A:$A,增益!$O:$O,0)))/200,($F$14-$I$4+VLOOKUP($R97,武学奇术!$A:$ZZ,15,FALSE)+SUM(_xlfn.XLOOKUP(S97:AG97,增益!$A:$A,增益!$O:$O,0)))/100)</f>
        <v>-0.3</v>
      </c>
      <c r="BI97" s="26" cm="1">
        <f t="array" ref="BI97">$G$14+VLOOKUP($R97,武学奇术!$A:$ZZ,16,FALSE)+SUM(_xlfn.XLOOKUP(S97:AG97,增益!$A:$A,增益!$P:$P,0))</f>
        <v>0</v>
      </c>
      <c r="BJ97" s="21">
        <f>MIN(IF(VLOOKUP($R97,武学奇术!$A:$ZZ,23,FALSE)=1,100%,$B$8),100%)</f>
        <v>0.8229</v>
      </c>
      <c r="BK97" s="21" cm="1">
        <f t="array" ref="BK97">IF(VLOOKUP($R97,武学奇术!$A:$ZZ,23,FALSE)=1,100%,MIN(80%,$B$9+VLOOKUP($R97,武学奇术!$A:$ZZ,17,FALSE)+SUM(_xlfn.XLOOKUP(S97:AG97,增益!$A:$A,增益!$Q:$Q,0)))+$B$11+SUM(_xlfn.XLOOKUP(S97:AG97,增益!$A:$A,增益!$U:$U,0)))*IF(VLOOKUP($R97,武学奇术!$A:$ZZ,24,FALSE)=1,0,1)</f>
        <v>0.2285</v>
      </c>
      <c r="BL97" s="21" cm="1">
        <f t="array" ref="BL97">1+$B$13+VLOOKUP($R97,武学奇术!$A:$ZZ,18,FALSE)+SUM(_xlfn.XLOOKUP(S97:AG97,增益!$A:$A,增益!$R:$R,0))</f>
        <v>1.5</v>
      </c>
      <c r="BM97" s="21" cm="1">
        <f t="array" ref="BM97">IF(VLOOKUP($R97,武学奇术!$A:$ZZ,24,FALSE)=1,100%,MIN(40%,$B$10+VLOOKUP($R97,武学奇术!$A:$ZZ,19,FALSE)+SUM(_xlfn.XLOOKUP(S97:AG97,增益!$A:$A,增益!$S:$S,0)))+$B$12+SUM(_xlfn.XLOOKUP(S97:AG97,增益!$A:$A,增益!$V:$V,0)))*IF(VLOOKUP($R97,武学奇术!$A:$ZZ,23,FALSE)=1,0,1)</f>
        <v>0.4495</v>
      </c>
      <c r="BN97" s="21" cm="1">
        <f t="array" ref="BN97">1+$B$14+VLOOKUP($R97,武学奇术!$A:$ZZ,20,FALSE)+SUM(_xlfn.XLOOKUP(S97:AG97,增益!$A:$A,增益!$T:$T,0))</f>
        <v>1.602</v>
      </c>
      <c r="BO97" s="21">
        <f t="shared" si="20"/>
        <v>0.18803265</v>
      </c>
      <c r="BP97" s="21">
        <f t="shared" si="21"/>
        <v>0.2649738</v>
      </c>
      <c r="BQ97" s="21">
        <f>IF(VLOOKUP($R97,武学奇术!$A:$ZZ,22,FALSE)=1,0,(1-$BJ97))*(1-$BM97)</f>
        <v>0.09749355</v>
      </c>
      <c r="BR97" s="21" cm="1">
        <f t="array" ref="BR97">SUM(_xlfn.XLOOKUP(S97:AG97,增益!$A:$A,增益!$W:$W,0))+$I$5</f>
        <v>0.06</v>
      </c>
    </row>
    <row r="98" spans="11:70">
      <c r="K98" s="24">
        <f>$L98*VLOOKUP($R98,武学奇术!$A:$ZZ,31,FALSE)</f>
        <v>26697.5750483713</v>
      </c>
      <c r="L98" s="24">
        <f t="shared" si="11"/>
        <v>26697.5750483713</v>
      </c>
      <c r="M98" s="24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BL98*$Q98*(1+IF(VLOOKUP($R98,武学奇术!$A:$ZZ,30,FALSE)="流血",$B$21,0))*(1+$BR98)</f>
        <v>23576.7501853423</v>
      </c>
      <c r="N98" s="24">
        <f>(($AP98*$AI98+$AJ98)*(1+$AQ98)*(1+$AR98)+($AU98*IF($G$1="鸣金",$AK98,$AI98)+IF($G$1="鸣金",$AL98*1.5,0))*(1+$AV98)*(1+$AW98)+($AY98*IF($G$1="裂石",$AK98,$AI98)+IF($G$1="裂石",$AL98*1.5,0))*(1+$AZ98)*(1+$BA98)+($BC98*IF($G$1="牵丝",$AK98,$AI98)+IF($G$1="牵丝",$AL98*1.5,0))*(1+$BD98)*(1+$BE98)+($BG98*IF($G$1="破竹",$AK98,$AI98)+IF($G$1="破竹",$AL98*1.5,0))*(1+$BH98)*(1+$BI98))*(1+$AM98)*$BN98*$Q98*(1+IF(VLOOKUP($R98,武学奇术!$A:$ZZ,30,FALSE)="流血",$B$21,0))*(1+$BR98)</f>
        <v>38685.3816175547</v>
      </c>
      <c r="O98" s="24">
        <f>((($AO98+$AP98)/2*$AI98+$AJ98)*(1+$AQ98)*(1+$AR98)+(($AT98+$AU98)/2*IF($G$1="鸣金",$AK98,$AI98)+IF($G$1="鸣金",$AL98*1.5,0))*(1+$AV98)*(1+$AW98)+(($AX98+$AY98)/2*IF($G$1="裂石",$AK98,$AI98)+IF($G$1="裂石",$AL98*1.5,0))*(1+$AZ98)*(1+$BA98)+(($BB98+$BC98)/2*IF($G$1="牵丝",$AK98,$AI98)+IF($G$1="牵丝",$AL98*1.5,0))*(1+$BD98)*(1+$BE98)+(($BF98+$BG98)/2*IF($G$1="破竹",$AK98,$AI98)+IF($G$1="破竹",$AL98*1.5,0))*(1+$BH98)*(1+$BI98))*(1+$AM98)*$Q98*(1+IF(VLOOKUP($R98,武学奇术!$A:$ZZ,30,FALSE)="流血",$B$21,0))*(1+$BR98)</f>
        <v>15717.8334568948</v>
      </c>
      <c r="P98" s="24">
        <f>((($AO98*$AI98+$AJ98)*(1+$AQ98)*(1+$AR98)+($AT98*IF($G$1="鸣金",$AK98,$AI98)+IF($G$1="鸣金",$AL98*1.5,0))*(1+$AV98)*(1+$AW98)+($AX98*IF($G$1="裂石",$AK98,$AI98)+IF($G$1="裂石",$AL98*1.5,0))*(1+$AZ98)*(1+$BA98)+($BB98*IF($G$1="牵丝",$AK98,$AI98)+IF($G$1="牵丝",$AL98*1.5,0))*(1+$BD98)*(1+$BE98)+($BF98*IF($G$1="破竹",$AK98,$AI98)+IF($G$1="破竹",$AL98*1.5,0))*(1+$BH98)*(1+$BI98))*(1+$AM98))*$Q98*(1+IF(VLOOKUP($R98,武学奇术!$A:$ZZ,30,FALSE)="流血",$B$21,0))*(1+$BR98)</f>
        <v>7287.48862567818</v>
      </c>
      <c r="Q98" s="31">
        <v>1</v>
      </c>
      <c r="R98" s="32" t="s">
        <v>143</v>
      </c>
      <c r="S98" s="32" t="s">
        <v>87</v>
      </c>
      <c r="T98" s="32" t="s">
        <v>104</v>
      </c>
      <c r="U98" s="32" t="s">
        <v>73</v>
      </c>
      <c r="V98" s="32" t="s">
        <v>73</v>
      </c>
      <c r="W98" s="32" t="s">
        <v>73</v>
      </c>
      <c r="X98" s="32" t="s">
        <v>127</v>
      </c>
      <c r="Y98" s="32" t="s">
        <v>73</v>
      </c>
      <c r="Z98" s="32" t="s">
        <v>73</v>
      </c>
      <c r="AA98" s="32" t="s">
        <v>81</v>
      </c>
      <c r="AB98" s="32" t="s">
        <v>75</v>
      </c>
      <c r="AC98" s="32" t="s">
        <v>76</v>
      </c>
      <c r="AD98" s="32" t="s">
        <v>82</v>
      </c>
      <c r="AE98" s="32" t="s">
        <v>90</v>
      </c>
      <c r="AF98" s="32" t="s">
        <v>73</v>
      </c>
      <c r="AG98" s="32" t="s">
        <v>178</v>
      </c>
      <c r="AH98" t="str">
        <f>VLOOKUP($R98,武学奇术!$A:$ZZ,25,FALSE)</f>
        <v>单体奇术</v>
      </c>
      <c r="AI98" s="21">
        <f>VLOOKUP($R98,武学奇术!$A:$ZZ,26,FALSE)</f>
        <v>1.0239</v>
      </c>
      <c r="AJ98" s="22">
        <f>VLOOKUP($R98,武学奇术!$A:$ZZ,27,FALSE)*(1+IF(OR($AH98=$F$4,$AH98=$F$5),$B$22,0))</f>
        <v>196</v>
      </c>
      <c r="AK98" s="21">
        <f>VLOOKUP($R98,武学奇术!$A:$ZZ,28,FALSE)</f>
        <v>1.53585</v>
      </c>
      <c r="AL98" s="22">
        <f>VLOOKUP($R98,武学奇术!$A:$ZZ,29,FALSE)*(1+IF(OR($AH98=$F$4,$AH98=$F$5),$B$22,0))</f>
        <v>0</v>
      </c>
      <c r="AM98" s="21" cm="1">
        <f t="array" ref="AM98">$G$3+IFERROR(VLOOKUP($AH98,$F$4:$G$7,2,FALSE),0)+VLOOKUP($R98,武学奇术!$A:$ZZ,2,FALSE)+SUM(_xlfn.XLOOKUP($S98:$AG98,增益!$A:$A,增益!$B:$B,0))</f>
        <v>0.843</v>
      </c>
      <c r="AN98" s="21" cm="1">
        <f t="array" ref="AN98">VLOOKUP($R98,武学奇术!$A:$ZZ,5,FALSE)+SUM(_xlfn.XLOOKUP($S98:$AG98,增益!$A:$A,增益!$E:$E,0))</f>
        <v>0</v>
      </c>
      <c r="AO98" cm="1">
        <f t="array" ref="AO98">$D$10*(1+$AN98)+VLOOKUP($R98,武学奇术!$A:$ZZ,3,FALSE)+SUM(_xlfn.XLOOKUP($S98:$AG98,增益!$A:$A,增益!$C:$C,0))-$I$2</f>
        <v>1794.28</v>
      </c>
      <c r="AP98" cm="1">
        <f t="array" ref="AP98">$E$10*(1+$AN98)+VLOOKUP($R98,武学奇术!$A:$ZZ,4,FALSE)+SUM(_xlfn.XLOOKUP($S98:$AG98,增益!$A:$A,增益!$D:$D,0))-$I$2</f>
        <v>7726.36</v>
      </c>
      <c r="AQ98" s="26" cm="1">
        <f t="array" ref="AQ98">IF($F$10-$I$3+VLOOKUP($R98,武学奇术!$A:$ZZ,6,FALSE)+SUM(_xlfn.XLOOKUP(S98:AG98,增益!$A:$A,增益!$F:$F,0))&gt;0,($F$10-$I$3+VLOOKUP($R98,武学奇术!$A:$ZZ,6,FALSE)+SUM(_xlfn.XLOOKUP(S98:AG98,增益!$A:$A,增益!$F:$F,0)))/200,($F$10-$I$3+VLOOKUP($R98,武学奇术!$A:$ZZ,6,FALSE)+SUM(_xlfn.XLOOKUP(S98:AG98,增益!$A:$A,增益!$F:$F,0)))/100)</f>
        <v>0.244</v>
      </c>
      <c r="AR98" s="26" cm="1">
        <f t="array" ref="AR98">$G$10+VLOOKUP($R98,武学奇术!$A:$ZZ,7,FALSE)+SUM(_xlfn.XLOOKUP(S98:AG98,增益!$A:$A,增益!$G:$G,0))</f>
        <v>0</v>
      </c>
      <c r="AS98" s="21" cm="1">
        <f t="array" ref="AS98">VLOOKUP($R98,武学奇术!$A:$ZZ,8,FALSE)+SUM(_xlfn.XLOOKUP(S98:AG98,增益!$A:$A,增益!$H:$H,0))</f>
        <v>0</v>
      </c>
      <c r="AT98">
        <f t="shared" si="12"/>
        <v>680.02</v>
      </c>
      <c r="AU98">
        <f t="shared" si="13"/>
        <v>1288.54</v>
      </c>
      <c r="AV98" s="26" cm="1">
        <f t="array" ref="AV98">IF($F$11-$I$4+VLOOKUP($R98,武学奇术!$A:$ZZ,9,FALSE)+SUM(_xlfn.XLOOKUP(S98:AG98,增益!$A:$A,增益!$I:$I,0))&gt;0,($F$11-$I$4+VLOOKUP($R98,武学奇术!$A:$ZZ,9,FALSE)+SUM(_xlfn.XLOOKUP(S98:AG98,增益!$A:$A,增益!$I:$I,0)))/200,($F$11-$I$4+VLOOKUP($R98,武学奇术!$A:$ZZ,9,FALSE)+SUM(_xlfn.XLOOKUP(S98:AG98,增益!$A:$A,增益!$I:$I,0)))/100)</f>
        <v>0</v>
      </c>
      <c r="AW98" s="26" cm="1">
        <f t="array" ref="AW98">$G$11+VLOOKUP($R98,武学奇术!$A:$ZZ,10,FALSE)+SUM(_xlfn.XLOOKUP(S98:AG98,增益!$A:$A,增益!$J:$J,0))</f>
        <v>0.15</v>
      </c>
      <c r="AX98">
        <f t="shared" si="14"/>
        <v>0</v>
      </c>
      <c r="AY98">
        <f t="shared" si="15"/>
        <v>0</v>
      </c>
      <c r="AZ98" s="26" cm="1">
        <f t="array" ref="AZ98">IF($F$12-$I$4+VLOOKUP($R98,武学奇术!$A:$ZZ,11,FALSE)+SUM(_xlfn.XLOOKUP(S98:AG98,增益!$A:$A,增益!$K:$K,0))&gt;0,($F$12-$I$4+VLOOKUP($R98,武学奇术!$A:$ZZ,11,FALSE)+SUM(_xlfn.XLOOKUP(S98:AG98,增益!$A:$A,增益!$K:$K,0)))/200,($F$12-$I$4+VLOOKUP($R98,武学奇术!$A:$ZZ,11,FALSE)+SUM(_xlfn.XLOOKUP(S98:AG98,增益!$A:$A,增益!$K:$K,0)))/100)</f>
        <v>-0.3</v>
      </c>
      <c r="BA98" s="26" cm="1">
        <f t="array" ref="BA98">$G$12+VLOOKUP($R98,武学奇术!$A:$ZZ,12,FALSE)+SUM(_xlfn.XLOOKUP(S98:AG98,增益!$A:$A,增益!$L:$L,0))</f>
        <v>0</v>
      </c>
      <c r="BB98">
        <f t="shared" si="16"/>
        <v>0</v>
      </c>
      <c r="BC98">
        <f t="shared" si="17"/>
        <v>0</v>
      </c>
      <c r="BD98" s="26" cm="1">
        <f t="array" ref="BD98">IF($F$13-$I$4+VLOOKUP($R98,武学奇术!$A:$ZZ,13,FALSE)+SUM(_xlfn.XLOOKUP(S98:AG98,增益!$A:$A,增益!$M:$M,0))&gt;0,($F$13-$I$4+VLOOKUP($R98,武学奇术!$A:$ZZ,13,FALSE)+SUM(_xlfn.XLOOKUP(S98:AG98,增益!$A:$A,增益!$K:$K,0)))/200,($F$13-$I$4+VLOOKUP($R98,武学奇术!$A:$ZZ,13,FALSE)+SUM(_xlfn.XLOOKUP(S98:AG98,增益!$A:$A,增益!$M:$M,0)))/100)</f>
        <v>-0.3</v>
      </c>
      <c r="BE98" s="26" cm="1">
        <f t="array" ref="BE98">$G$13+VLOOKUP($R98,武学奇术!$A:$ZZ,14,FALSE)+SUM(_xlfn.XLOOKUP(S98:AG98,增益!$A:$A,增益!$N:$N,0))</f>
        <v>0</v>
      </c>
      <c r="BF98">
        <f t="shared" si="18"/>
        <v>0</v>
      </c>
      <c r="BG98">
        <f t="shared" si="19"/>
        <v>0</v>
      </c>
      <c r="BH98" s="26" cm="1">
        <f t="array" ref="BH98">IF($F$14-$I$4+VLOOKUP($R98,武学奇术!$A:$ZZ,15,FALSE)+SUM(_xlfn.XLOOKUP(S98:AG98,增益!$A:$A,增益!$O:$O,0))&gt;0,($F$14-$I$4+VLOOKUP($R98,武学奇术!$A:$ZZ,15,FALSE)+SUM(_xlfn.XLOOKUP(S98:AG98,增益!$A:$A,增益!$O:$O,0)))/200,($F$14-$I$4+VLOOKUP($R98,武学奇术!$A:$ZZ,15,FALSE)+SUM(_xlfn.XLOOKUP(S98:AG98,增益!$A:$A,增益!$O:$O,0)))/100)</f>
        <v>-0.3</v>
      </c>
      <c r="BI98" s="26" cm="1">
        <f t="array" ref="BI98">$G$14+VLOOKUP($R98,武学奇术!$A:$ZZ,16,FALSE)+SUM(_xlfn.XLOOKUP(S98:AG98,增益!$A:$A,增益!$P:$P,0))</f>
        <v>0</v>
      </c>
      <c r="BJ98" s="21">
        <f>MIN(IF(VLOOKUP($R98,武学奇术!$A:$ZZ,23,FALSE)=1,100%,$B$8),100%)</f>
        <v>0.8229</v>
      </c>
      <c r="BK98" s="21" cm="1">
        <f t="array" ref="BK98">IF(VLOOKUP($R98,武学奇术!$A:$ZZ,23,FALSE)=1,100%,MIN(80%,$B$9+VLOOKUP($R98,武学奇术!$A:$ZZ,17,FALSE)+SUM(_xlfn.XLOOKUP(S98:AG98,增益!$A:$A,增益!$Q:$Q,0)))+$B$11+SUM(_xlfn.XLOOKUP(S98:AG98,增益!$A:$A,增益!$U:$U,0)))*IF(VLOOKUP($R98,武学奇术!$A:$ZZ,24,FALSE)=1,0,1)</f>
        <v>0.2285</v>
      </c>
      <c r="BL98" s="21" cm="1">
        <f t="array" ref="BL98">1+$B$13+VLOOKUP($R98,武学奇术!$A:$ZZ,18,FALSE)+SUM(_xlfn.XLOOKUP(S98:AG98,增益!$A:$A,增益!$R:$R,0))</f>
        <v>1.5</v>
      </c>
      <c r="BM98" s="21" cm="1">
        <f t="array" ref="BM98">IF(VLOOKUP($R98,武学奇术!$A:$ZZ,24,FALSE)=1,100%,MIN(40%,$B$10+VLOOKUP($R98,武学奇术!$A:$ZZ,19,FALSE)+SUM(_xlfn.XLOOKUP(S98:AG98,增益!$A:$A,增益!$S:$S,0)))+$B$12+SUM(_xlfn.XLOOKUP(S98:AG98,增益!$A:$A,增益!$V:$V,0)))*IF(VLOOKUP($R98,武学奇术!$A:$ZZ,23,FALSE)=1,0,1)</f>
        <v>0.4495</v>
      </c>
      <c r="BN98" s="21" cm="1">
        <f t="array" ref="BN98">1+$B$14+VLOOKUP($R98,武学奇术!$A:$ZZ,20,FALSE)+SUM(_xlfn.XLOOKUP(S98:AG98,增益!$A:$A,增益!$T:$T,0))</f>
        <v>1.602</v>
      </c>
      <c r="BO98" s="21">
        <f t="shared" si="20"/>
        <v>0.18803265</v>
      </c>
      <c r="BP98" s="21">
        <f t="shared" si="21"/>
        <v>0.2649738</v>
      </c>
      <c r="BQ98" s="21">
        <f>IF(VLOOKUP($R98,武学奇术!$A:$ZZ,22,FALSE)=1,0,(1-$BJ98))*(1-$BM98)</f>
        <v>0.09749355</v>
      </c>
      <c r="BR98" s="21" cm="1">
        <f t="array" ref="BR98">SUM(_xlfn.XLOOKUP(S98:AG98,增益!$A:$A,增益!$W:$W,0))+$I$5</f>
        <v>0.06</v>
      </c>
    </row>
    <row r="99" spans="11:70">
      <c r="K99" s="24">
        <f>$L99*VLOOKUP($R99,武学奇术!$A:$ZZ,31,FALSE)</f>
        <v>41953.6956411935</v>
      </c>
      <c r="L99" s="24">
        <f t="shared" si="11"/>
        <v>41953.6956411935</v>
      </c>
      <c r="M99" s="24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BL99*$Q99*(1+IF(VLOOKUP($R99,武学奇术!$A:$ZZ,30,FALSE)="流血",$B$21,0))*(1+$BR99)</f>
        <v>37049.4978427102</v>
      </c>
      <c r="N99" s="24">
        <f>(($AP99*$AI99+$AJ99)*(1+$AQ99)*(1+$AR99)+($AU99*IF($G$1="鸣金",$AK99,$AI99)+IF($G$1="鸣金",$AL99*1.5,0))*(1+$AV99)*(1+$AW99)+($AY99*IF($G$1="裂石",$AK99,$AI99)+IF($G$1="裂石",$AL99*1.5,0))*(1+$AZ99)*(1+$BA99)+($BC99*IF($G$1="牵丝",$AK99,$AI99)+IF($G$1="牵丝",$AL99*1.5,0))*(1+$BD99)*(1+$BE99)+($BG99*IF($G$1="破竹",$AK99,$AI99)+IF($G$1="破竹",$AL99*1.5,0))*(1+$BH99)*(1+$BI99))*(1+$AM99)*$BN99*$Q99*(1+IF(VLOOKUP($R99,武学奇术!$A:$ZZ,30,FALSE)="流血",$B$21,0))*(1+$BR99)</f>
        <v>60791.8430720776</v>
      </c>
      <c r="O99" s="24">
        <f>((($AO99+$AP99)/2*$AI99+$AJ99)*(1+$AQ99)*(1+$AR99)+(($AT99+$AU99)/2*IF($G$1="鸣金",$AK99,$AI99)+IF($G$1="鸣金",$AL99*1.5,0))*(1+$AV99)*(1+$AW99)+(($AX99+$AY99)/2*IF($G$1="裂石",$AK99,$AI99)+IF($G$1="裂石",$AL99*1.5,0))*(1+$AZ99)*(1+$BA99)+(($BB99+$BC99)/2*IF($G$1="牵丝",$AK99,$AI99)+IF($G$1="牵丝",$AL99*1.5,0))*(1+$BD99)*(1+$BE99)+(($BF99+$BG99)/2*IF($G$1="破竹",$AK99,$AI99)+IF($G$1="破竹",$AL99*1.5,0))*(1+$BH99)*(1+$BI99))*(1+$AM99)*$Q99*(1+IF(VLOOKUP($R99,武学奇术!$A:$ZZ,30,FALSE)="流血",$B$21,0))*(1+$BR99)</f>
        <v>24699.6652284734</v>
      </c>
      <c r="P99" s="24">
        <f>((($AO99*$AI99+$AJ99)*(1+$AQ99)*(1+$AR99)+($AT99*IF($G$1="鸣金",$AK99,$AI99)+IF($G$1="鸣金",$AL99*1.5,0))*(1+$AV99)*(1+$AW99)+($AX99*IF($G$1="裂石",$AK99,$AI99)+IF($G$1="裂石",$AL99*1.5,0))*(1+$AZ99)*(1+$BA99)+($BB99*IF($G$1="牵丝",$AK99,$AI99)+IF($G$1="牵丝",$AL99*1.5,0))*(1+$BD99)*(1+$BE99)+($BF99*IF($G$1="破竹",$AK99,$AI99)+IF($G$1="破竹",$AL99*1.5,0))*(1+$BH99)*(1+$BI99))*(1+$AM99))*$Q99*(1+IF(VLOOKUP($R99,武学奇术!$A:$ZZ,30,FALSE)="流血",$B$21,0))*(1+$BR99)</f>
        <v>11451.8628713803</v>
      </c>
      <c r="Q99" s="31">
        <v>1</v>
      </c>
      <c r="R99" s="32" t="s">
        <v>146</v>
      </c>
      <c r="S99" s="32" t="s">
        <v>87</v>
      </c>
      <c r="T99" s="32" t="s">
        <v>104</v>
      </c>
      <c r="U99" s="32" t="s">
        <v>73</v>
      </c>
      <c r="V99" s="32" t="s">
        <v>73</v>
      </c>
      <c r="W99" s="32" t="s">
        <v>73</v>
      </c>
      <c r="X99" s="32" t="s">
        <v>127</v>
      </c>
      <c r="Y99" s="32" t="s">
        <v>73</v>
      </c>
      <c r="Z99" s="32" t="s">
        <v>73</v>
      </c>
      <c r="AA99" s="32" t="s">
        <v>81</v>
      </c>
      <c r="AB99" s="32" t="s">
        <v>75</v>
      </c>
      <c r="AC99" s="32" t="s">
        <v>76</v>
      </c>
      <c r="AD99" s="32" t="s">
        <v>82</v>
      </c>
      <c r="AE99" s="32" t="s">
        <v>90</v>
      </c>
      <c r="AF99" s="32" t="s">
        <v>73</v>
      </c>
      <c r="AG99" s="32" t="s">
        <v>178</v>
      </c>
      <c r="AH99" t="str">
        <f>VLOOKUP($R99,武学奇术!$A:$ZZ,25,FALSE)</f>
        <v>单体奇术</v>
      </c>
      <c r="AI99" s="21">
        <f>VLOOKUP($R99,武学奇术!$A:$ZZ,26,FALSE)</f>
        <v>1.609</v>
      </c>
      <c r="AJ99" s="22">
        <f>VLOOKUP($R99,武学奇术!$A:$ZZ,27,FALSE)*(1+IF(OR($AH99=$F$4,$AH99=$F$5),$B$22,0))</f>
        <v>308</v>
      </c>
      <c r="AK99" s="21">
        <f>VLOOKUP($R99,武学奇术!$A:$ZZ,28,FALSE)</f>
        <v>2.4135</v>
      </c>
      <c r="AL99" s="22">
        <f>VLOOKUP($R99,武学奇术!$A:$ZZ,29,FALSE)*(1+IF(OR($AH99=$F$4,$AH99=$F$5),$B$22,0))</f>
        <v>0</v>
      </c>
      <c r="AM99" s="21" cm="1">
        <f t="array" ref="AM99">$G$3+IFERROR(VLOOKUP($AH99,$F$4:$G$7,2,FALSE),0)+VLOOKUP($R99,武学奇术!$A:$ZZ,2,FALSE)+SUM(_xlfn.XLOOKUP($S99:$AG99,增益!$A:$A,增益!$B:$B,0))</f>
        <v>0.843</v>
      </c>
      <c r="AN99" s="21" cm="1">
        <f t="array" ref="AN99">VLOOKUP($R99,武学奇术!$A:$ZZ,5,FALSE)+SUM(_xlfn.XLOOKUP($S99:$AG99,增益!$A:$A,增益!$E:$E,0))</f>
        <v>0</v>
      </c>
      <c r="AO99" cm="1">
        <f t="array" ref="AO99">$D$10*(1+$AN99)+VLOOKUP($R99,武学奇术!$A:$ZZ,3,FALSE)+SUM(_xlfn.XLOOKUP($S99:$AG99,增益!$A:$A,增益!$C:$C,0))-$I$2</f>
        <v>1794.28</v>
      </c>
      <c r="AP99" cm="1">
        <f t="array" ref="AP99">$E$10*(1+$AN99)+VLOOKUP($R99,武学奇术!$A:$ZZ,4,FALSE)+SUM(_xlfn.XLOOKUP($S99:$AG99,增益!$A:$A,增益!$D:$D,0))-$I$2</f>
        <v>7726.36</v>
      </c>
      <c r="AQ99" s="26" cm="1">
        <f t="array" ref="AQ99">IF($F$10-$I$3+VLOOKUP($R99,武学奇术!$A:$ZZ,6,FALSE)+SUM(_xlfn.XLOOKUP(S99:AG99,增益!$A:$A,增益!$F:$F,0))&gt;0,($F$10-$I$3+VLOOKUP($R99,武学奇术!$A:$ZZ,6,FALSE)+SUM(_xlfn.XLOOKUP(S99:AG99,增益!$A:$A,增益!$F:$F,0)))/200,($F$10-$I$3+VLOOKUP($R99,武学奇术!$A:$ZZ,6,FALSE)+SUM(_xlfn.XLOOKUP(S99:AG99,增益!$A:$A,增益!$F:$F,0)))/100)</f>
        <v>0.244</v>
      </c>
      <c r="AR99" s="26" cm="1">
        <f t="array" ref="AR99">$G$10+VLOOKUP($R99,武学奇术!$A:$ZZ,7,FALSE)+SUM(_xlfn.XLOOKUP(S99:AG99,增益!$A:$A,增益!$G:$G,0))</f>
        <v>0</v>
      </c>
      <c r="AS99" s="21" cm="1">
        <f t="array" ref="AS99">VLOOKUP($R99,武学奇术!$A:$ZZ,8,FALSE)+SUM(_xlfn.XLOOKUP(S99:AG99,增益!$A:$A,增益!$H:$H,0))</f>
        <v>0</v>
      </c>
      <c r="AT99">
        <f t="shared" si="12"/>
        <v>680.02</v>
      </c>
      <c r="AU99">
        <f t="shared" si="13"/>
        <v>1288.54</v>
      </c>
      <c r="AV99" s="26" cm="1">
        <f t="array" ref="AV99">IF($F$11-$I$4+VLOOKUP($R99,武学奇术!$A:$ZZ,9,FALSE)+SUM(_xlfn.XLOOKUP(S99:AG99,增益!$A:$A,增益!$I:$I,0))&gt;0,($F$11-$I$4+VLOOKUP($R99,武学奇术!$A:$ZZ,9,FALSE)+SUM(_xlfn.XLOOKUP(S99:AG99,增益!$A:$A,增益!$I:$I,0)))/200,($F$11-$I$4+VLOOKUP($R99,武学奇术!$A:$ZZ,9,FALSE)+SUM(_xlfn.XLOOKUP(S99:AG99,增益!$A:$A,增益!$I:$I,0)))/100)</f>
        <v>0</v>
      </c>
      <c r="AW99" s="26" cm="1">
        <f t="array" ref="AW99">$G$11+VLOOKUP($R99,武学奇术!$A:$ZZ,10,FALSE)+SUM(_xlfn.XLOOKUP(S99:AG99,增益!$A:$A,增益!$J:$J,0))</f>
        <v>0.15</v>
      </c>
      <c r="AX99">
        <f t="shared" si="14"/>
        <v>0</v>
      </c>
      <c r="AY99">
        <f t="shared" si="15"/>
        <v>0</v>
      </c>
      <c r="AZ99" s="26" cm="1">
        <f t="array" ref="AZ99">IF($F$12-$I$4+VLOOKUP($R99,武学奇术!$A:$ZZ,11,FALSE)+SUM(_xlfn.XLOOKUP(S99:AG99,增益!$A:$A,增益!$K:$K,0))&gt;0,($F$12-$I$4+VLOOKUP($R99,武学奇术!$A:$ZZ,11,FALSE)+SUM(_xlfn.XLOOKUP(S99:AG99,增益!$A:$A,增益!$K:$K,0)))/200,($F$12-$I$4+VLOOKUP($R99,武学奇术!$A:$ZZ,11,FALSE)+SUM(_xlfn.XLOOKUP(S99:AG99,增益!$A:$A,增益!$K:$K,0)))/100)</f>
        <v>-0.3</v>
      </c>
      <c r="BA99" s="26" cm="1">
        <f t="array" ref="BA99">$G$12+VLOOKUP($R99,武学奇术!$A:$ZZ,12,FALSE)+SUM(_xlfn.XLOOKUP(S99:AG99,增益!$A:$A,增益!$L:$L,0))</f>
        <v>0</v>
      </c>
      <c r="BB99">
        <f t="shared" si="16"/>
        <v>0</v>
      </c>
      <c r="BC99">
        <f t="shared" si="17"/>
        <v>0</v>
      </c>
      <c r="BD99" s="26" cm="1">
        <f t="array" ref="BD99">IF($F$13-$I$4+VLOOKUP($R99,武学奇术!$A:$ZZ,13,FALSE)+SUM(_xlfn.XLOOKUP(S99:AG99,增益!$A:$A,增益!$M:$M,0))&gt;0,($F$13-$I$4+VLOOKUP($R99,武学奇术!$A:$ZZ,13,FALSE)+SUM(_xlfn.XLOOKUP(S99:AG99,增益!$A:$A,增益!$K:$K,0)))/200,($F$13-$I$4+VLOOKUP($R99,武学奇术!$A:$ZZ,13,FALSE)+SUM(_xlfn.XLOOKUP(S99:AG99,增益!$A:$A,增益!$M:$M,0)))/100)</f>
        <v>-0.3</v>
      </c>
      <c r="BE99" s="26" cm="1">
        <f t="array" ref="BE99">$G$13+VLOOKUP($R99,武学奇术!$A:$ZZ,14,FALSE)+SUM(_xlfn.XLOOKUP(S99:AG99,增益!$A:$A,增益!$N:$N,0))</f>
        <v>0</v>
      </c>
      <c r="BF99">
        <f t="shared" si="18"/>
        <v>0</v>
      </c>
      <c r="BG99">
        <f t="shared" si="19"/>
        <v>0</v>
      </c>
      <c r="BH99" s="26" cm="1">
        <f t="array" ref="BH99">IF($F$14-$I$4+VLOOKUP($R99,武学奇术!$A:$ZZ,15,FALSE)+SUM(_xlfn.XLOOKUP(S99:AG99,增益!$A:$A,增益!$O:$O,0))&gt;0,($F$14-$I$4+VLOOKUP($R99,武学奇术!$A:$ZZ,15,FALSE)+SUM(_xlfn.XLOOKUP(S99:AG99,增益!$A:$A,增益!$O:$O,0)))/200,($F$14-$I$4+VLOOKUP($R99,武学奇术!$A:$ZZ,15,FALSE)+SUM(_xlfn.XLOOKUP(S99:AG99,增益!$A:$A,增益!$O:$O,0)))/100)</f>
        <v>-0.3</v>
      </c>
      <c r="BI99" s="26" cm="1">
        <f t="array" ref="BI99">$G$14+VLOOKUP($R99,武学奇术!$A:$ZZ,16,FALSE)+SUM(_xlfn.XLOOKUP(S99:AG99,增益!$A:$A,增益!$P:$P,0))</f>
        <v>0</v>
      </c>
      <c r="BJ99" s="21">
        <f>MIN(IF(VLOOKUP($R99,武学奇术!$A:$ZZ,23,FALSE)=1,100%,$B$8),100%)</f>
        <v>0.8229</v>
      </c>
      <c r="BK99" s="21" cm="1">
        <f t="array" ref="BK99">IF(VLOOKUP($R99,武学奇术!$A:$ZZ,23,FALSE)=1,100%,MIN(80%,$B$9+VLOOKUP($R99,武学奇术!$A:$ZZ,17,FALSE)+SUM(_xlfn.XLOOKUP(S99:AG99,增益!$A:$A,增益!$Q:$Q,0)))+$B$11+SUM(_xlfn.XLOOKUP(S99:AG99,增益!$A:$A,增益!$U:$U,0)))*IF(VLOOKUP($R99,武学奇术!$A:$ZZ,24,FALSE)=1,0,1)</f>
        <v>0.2285</v>
      </c>
      <c r="BL99" s="21" cm="1">
        <f t="array" ref="BL99">1+$B$13+VLOOKUP($R99,武学奇术!$A:$ZZ,18,FALSE)+SUM(_xlfn.XLOOKUP(S99:AG99,增益!$A:$A,增益!$R:$R,0))</f>
        <v>1.5</v>
      </c>
      <c r="BM99" s="21" cm="1">
        <f t="array" ref="BM99">IF(VLOOKUP($R99,武学奇术!$A:$ZZ,24,FALSE)=1,100%,MIN(40%,$B$10+VLOOKUP($R99,武学奇术!$A:$ZZ,19,FALSE)+SUM(_xlfn.XLOOKUP(S99:AG99,增益!$A:$A,增益!$S:$S,0)))+$B$12+SUM(_xlfn.XLOOKUP(S99:AG99,增益!$A:$A,增益!$V:$V,0)))*IF(VLOOKUP($R99,武学奇术!$A:$ZZ,23,FALSE)=1,0,1)</f>
        <v>0.4495</v>
      </c>
      <c r="BN99" s="21" cm="1">
        <f t="array" ref="BN99">1+$B$14+VLOOKUP($R99,武学奇术!$A:$ZZ,20,FALSE)+SUM(_xlfn.XLOOKUP(S99:AG99,增益!$A:$A,增益!$T:$T,0))</f>
        <v>1.602</v>
      </c>
      <c r="BO99" s="21">
        <f t="shared" si="20"/>
        <v>0.18803265</v>
      </c>
      <c r="BP99" s="21">
        <f t="shared" si="21"/>
        <v>0.2649738</v>
      </c>
      <c r="BQ99" s="21">
        <f>IF(VLOOKUP($R99,武学奇术!$A:$ZZ,22,FALSE)=1,0,(1-$BJ99))*(1-$BM99)</f>
        <v>0.09749355</v>
      </c>
      <c r="BR99" s="21" cm="1">
        <f t="array" ref="BR99">SUM(_xlfn.XLOOKUP(S99:AG99,增益!$A:$A,增益!$W:$W,0))+$I$5</f>
        <v>0.06</v>
      </c>
    </row>
    <row r="100" spans="11:70">
      <c r="K100" s="24">
        <f>$L100*VLOOKUP($R100,武学奇术!$A:$ZZ,31,FALSE)</f>
        <v>26697.5750483713</v>
      </c>
      <c r="L100" s="24">
        <f t="shared" si="11"/>
        <v>26697.5750483713</v>
      </c>
      <c r="M100" s="24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BL100*$Q100*(1+IF(VLOOKUP($R100,武学奇术!$A:$ZZ,30,FALSE)="流血",$B$21,0))*(1+$BR100)</f>
        <v>23576.7501853423</v>
      </c>
      <c r="N100" s="24">
        <f>(($AP100*$AI100+$AJ100)*(1+$AQ100)*(1+$AR100)+($AU100*IF($G$1="鸣金",$AK100,$AI100)+IF($G$1="鸣金",$AL100*1.5,0))*(1+$AV100)*(1+$AW100)+($AY100*IF($G$1="裂石",$AK100,$AI100)+IF($G$1="裂石",$AL100*1.5,0))*(1+$AZ100)*(1+$BA100)+($BC100*IF($G$1="牵丝",$AK100,$AI100)+IF($G$1="牵丝",$AL100*1.5,0))*(1+$BD100)*(1+$BE100)+($BG100*IF($G$1="破竹",$AK100,$AI100)+IF($G$1="破竹",$AL100*1.5,0))*(1+$BH100)*(1+$BI100))*(1+$AM100)*$BN100*$Q100*(1+IF(VLOOKUP($R100,武学奇术!$A:$ZZ,30,FALSE)="流血",$B$21,0))*(1+$BR100)</f>
        <v>38685.3816175547</v>
      </c>
      <c r="O100" s="24">
        <f>((($AO100+$AP100)/2*$AI100+$AJ100)*(1+$AQ100)*(1+$AR100)+(($AT100+$AU100)/2*IF($G$1="鸣金",$AK100,$AI100)+IF($G$1="鸣金",$AL100*1.5,0))*(1+$AV100)*(1+$AW100)+(($AX100+$AY100)/2*IF($G$1="裂石",$AK100,$AI100)+IF($G$1="裂石",$AL100*1.5,0))*(1+$AZ100)*(1+$BA100)+(($BB100+$BC100)/2*IF($G$1="牵丝",$AK100,$AI100)+IF($G$1="牵丝",$AL100*1.5,0))*(1+$BD100)*(1+$BE100)+(($BF100+$BG100)/2*IF($G$1="破竹",$AK100,$AI100)+IF($G$1="破竹",$AL100*1.5,0))*(1+$BH100)*(1+$BI100))*(1+$AM100)*$Q100*(1+IF(VLOOKUP($R100,武学奇术!$A:$ZZ,30,FALSE)="流血",$B$21,0))*(1+$BR100)</f>
        <v>15717.8334568948</v>
      </c>
      <c r="P100" s="24">
        <f>((($AO100*$AI100+$AJ100)*(1+$AQ100)*(1+$AR100)+($AT100*IF($G$1="鸣金",$AK100,$AI100)+IF($G$1="鸣金",$AL100*1.5,0))*(1+$AV100)*(1+$AW100)+($AX100*IF($G$1="裂石",$AK100,$AI100)+IF($G$1="裂石",$AL100*1.5,0))*(1+$AZ100)*(1+$BA100)+($BB100*IF($G$1="牵丝",$AK100,$AI100)+IF($G$1="牵丝",$AL100*1.5,0))*(1+$BD100)*(1+$BE100)+($BF100*IF($G$1="破竹",$AK100,$AI100)+IF($G$1="破竹",$AL100*1.5,0))*(1+$BH100)*(1+$BI100))*(1+$AM100))*$Q100*(1+IF(VLOOKUP($R100,武学奇术!$A:$ZZ,30,FALSE)="流血",$B$21,0))*(1+$BR100)</f>
        <v>7287.48862567818</v>
      </c>
      <c r="Q100" s="31">
        <v>1</v>
      </c>
      <c r="R100" s="32" t="s">
        <v>143</v>
      </c>
      <c r="S100" s="32" t="s">
        <v>87</v>
      </c>
      <c r="T100" s="32" t="s">
        <v>104</v>
      </c>
      <c r="U100" s="32" t="s">
        <v>73</v>
      </c>
      <c r="V100" s="32" t="s">
        <v>73</v>
      </c>
      <c r="W100" s="32" t="s">
        <v>73</v>
      </c>
      <c r="X100" s="32" t="s">
        <v>127</v>
      </c>
      <c r="Y100" s="32" t="s">
        <v>73</v>
      </c>
      <c r="Z100" s="32" t="s">
        <v>73</v>
      </c>
      <c r="AA100" s="32" t="s">
        <v>81</v>
      </c>
      <c r="AB100" s="32" t="s">
        <v>75</v>
      </c>
      <c r="AC100" s="32" t="s">
        <v>76</v>
      </c>
      <c r="AD100" s="32" t="s">
        <v>82</v>
      </c>
      <c r="AE100" s="32" t="s">
        <v>90</v>
      </c>
      <c r="AF100" s="32" t="s">
        <v>73</v>
      </c>
      <c r="AG100" s="32" t="s">
        <v>178</v>
      </c>
      <c r="AH100" t="str">
        <f>VLOOKUP($R100,武学奇术!$A:$ZZ,25,FALSE)</f>
        <v>单体奇术</v>
      </c>
      <c r="AI100" s="21">
        <f>VLOOKUP($R100,武学奇术!$A:$ZZ,26,FALSE)</f>
        <v>1.0239</v>
      </c>
      <c r="AJ100" s="22">
        <f>VLOOKUP($R100,武学奇术!$A:$ZZ,27,FALSE)*(1+IF(OR($AH100=$F$4,$AH100=$F$5),$B$22,0))</f>
        <v>196</v>
      </c>
      <c r="AK100" s="21">
        <f>VLOOKUP($R100,武学奇术!$A:$ZZ,28,FALSE)</f>
        <v>1.53585</v>
      </c>
      <c r="AL100" s="22">
        <f>VLOOKUP($R100,武学奇术!$A:$ZZ,29,FALSE)*(1+IF(OR($AH100=$F$4,$AH100=$F$5),$B$22,0))</f>
        <v>0</v>
      </c>
      <c r="AM100" s="21" cm="1">
        <f t="array" ref="AM100">$G$3+IFERROR(VLOOKUP($AH100,$F$4:$G$7,2,FALSE),0)+VLOOKUP($R100,武学奇术!$A:$ZZ,2,FALSE)+SUM(_xlfn.XLOOKUP($S100:$AG100,增益!$A:$A,增益!$B:$B,0))</f>
        <v>0.843</v>
      </c>
      <c r="AN100" s="21" cm="1">
        <f t="array" ref="AN100">VLOOKUP($R100,武学奇术!$A:$ZZ,5,FALSE)+SUM(_xlfn.XLOOKUP($S100:$AG100,增益!$A:$A,增益!$E:$E,0))</f>
        <v>0</v>
      </c>
      <c r="AO100" cm="1">
        <f t="array" ref="AO100">$D$10*(1+$AN100)+VLOOKUP($R100,武学奇术!$A:$ZZ,3,FALSE)+SUM(_xlfn.XLOOKUP($S100:$AG100,增益!$A:$A,增益!$C:$C,0))-$I$2</f>
        <v>1794.28</v>
      </c>
      <c r="AP100" cm="1">
        <f t="array" ref="AP100">$E$10*(1+$AN100)+VLOOKUP($R100,武学奇术!$A:$ZZ,4,FALSE)+SUM(_xlfn.XLOOKUP($S100:$AG100,增益!$A:$A,增益!$D:$D,0))-$I$2</f>
        <v>7726.36</v>
      </c>
      <c r="AQ100" s="26" cm="1">
        <f t="array" ref="AQ100">IF($F$10-$I$3+VLOOKUP($R100,武学奇术!$A:$ZZ,6,FALSE)+SUM(_xlfn.XLOOKUP(S100:AG100,增益!$A:$A,增益!$F:$F,0))&gt;0,($F$10-$I$3+VLOOKUP($R100,武学奇术!$A:$ZZ,6,FALSE)+SUM(_xlfn.XLOOKUP(S100:AG100,增益!$A:$A,增益!$F:$F,0)))/200,($F$10-$I$3+VLOOKUP($R100,武学奇术!$A:$ZZ,6,FALSE)+SUM(_xlfn.XLOOKUP(S100:AG100,增益!$A:$A,增益!$F:$F,0)))/100)</f>
        <v>0.244</v>
      </c>
      <c r="AR100" s="26" cm="1">
        <f t="array" ref="AR100">$G$10+VLOOKUP($R100,武学奇术!$A:$ZZ,7,FALSE)+SUM(_xlfn.XLOOKUP(S100:AG100,增益!$A:$A,增益!$G:$G,0))</f>
        <v>0</v>
      </c>
      <c r="AS100" s="21" cm="1">
        <f t="array" ref="AS100">VLOOKUP($R100,武学奇术!$A:$ZZ,8,FALSE)+SUM(_xlfn.XLOOKUP(S100:AG100,增益!$A:$A,增益!$H:$H,0))</f>
        <v>0</v>
      </c>
      <c r="AT100">
        <f t="shared" si="12"/>
        <v>680.02</v>
      </c>
      <c r="AU100">
        <f t="shared" si="13"/>
        <v>1288.54</v>
      </c>
      <c r="AV100" s="26" cm="1">
        <f t="array" ref="AV100">IF($F$11-$I$4+VLOOKUP($R100,武学奇术!$A:$ZZ,9,FALSE)+SUM(_xlfn.XLOOKUP(S100:AG100,增益!$A:$A,增益!$I:$I,0))&gt;0,($F$11-$I$4+VLOOKUP($R100,武学奇术!$A:$ZZ,9,FALSE)+SUM(_xlfn.XLOOKUP(S100:AG100,增益!$A:$A,增益!$I:$I,0)))/200,($F$11-$I$4+VLOOKUP($R100,武学奇术!$A:$ZZ,9,FALSE)+SUM(_xlfn.XLOOKUP(S100:AG100,增益!$A:$A,增益!$I:$I,0)))/100)</f>
        <v>0</v>
      </c>
      <c r="AW100" s="26" cm="1">
        <f t="array" ref="AW100">$G$11+VLOOKUP($R100,武学奇术!$A:$ZZ,10,FALSE)+SUM(_xlfn.XLOOKUP(S100:AG100,增益!$A:$A,增益!$J:$J,0))</f>
        <v>0.15</v>
      </c>
      <c r="AX100">
        <f t="shared" si="14"/>
        <v>0</v>
      </c>
      <c r="AY100">
        <f t="shared" si="15"/>
        <v>0</v>
      </c>
      <c r="AZ100" s="26" cm="1">
        <f t="array" ref="AZ100">IF($F$12-$I$4+VLOOKUP($R100,武学奇术!$A:$ZZ,11,FALSE)+SUM(_xlfn.XLOOKUP(S100:AG100,增益!$A:$A,增益!$K:$K,0))&gt;0,($F$12-$I$4+VLOOKUP($R100,武学奇术!$A:$ZZ,11,FALSE)+SUM(_xlfn.XLOOKUP(S100:AG100,增益!$A:$A,增益!$K:$K,0)))/200,($F$12-$I$4+VLOOKUP($R100,武学奇术!$A:$ZZ,11,FALSE)+SUM(_xlfn.XLOOKUP(S100:AG100,增益!$A:$A,增益!$K:$K,0)))/100)</f>
        <v>-0.3</v>
      </c>
      <c r="BA100" s="26" cm="1">
        <f t="array" ref="BA100">$G$12+VLOOKUP($R100,武学奇术!$A:$ZZ,12,FALSE)+SUM(_xlfn.XLOOKUP(S100:AG100,增益!$A:$A,增益!$L:$L,0))</f>
        <v>0</v>
      </c>
      <c r="BB100">
        <f t="shared" si="16"/>
        <v>0</v>
      </c>
      <c r="BC100">
        <f t="shared" si="17"/>
        <v>0</v>
      </c>
      <c r="BD100" s="26" cm="1">
        <f t="array" ref="BD100">IF($F$13-$I$4+VLOOKUP($R100,武学奇术!$A:$ZZ,13,FALSE)+SUM(_xlfn.XLOOKUP(S100:AG100,增益!$A:$A,增益!$M:$M,0))&gt;0,($F$13-$I$4+VLOOKUP($R100,武学奇术!$A:$ZZ,13,FALSE)+SUM(_xlfn.XLOOKUP(S100:AG100,增益!$A:$A,增益!$K:$K,0)))/200,($F$13-$I$4+VLOOKUP($R100,武学奇术!$A:$ZZ,13,FALSE)+SUM(_xlfn.XLOOKUP(S100:AG100,增益!$A:$A,增益!$M:$M,0)))/100)</f>
        <v>-0.3</v>
      </c>
      <c r="BE100" s="26" cm="1">
        <f t="array" ref="BE100">$G$13+VLOOKUP($R100,武学奇术!$A:$ZZ,14,FALSE)+SUM(_xlfn.XLOOKUP(S100:AG100,增益!$A:$A,增益!$N:$N,0))</f>
        <v>0</v>
      </c>
      <c r="BF100">
        <f t="shared" si="18"/>
        <v>0</v>
      </c>
      <c r="BG100">
        <f t="shared" si="19"/>
        <v>0</v>
      </c>
      <c r="BH100" s="26" cm="1">
        <f t="array" ref="BH100">IF($F$14-$I$4+VLOOKUP($R100,武学奇术!$A:$ZZ,15,FALSE)+SUM(_xlfn.XLOOKUP(S100:AG100,增益!$A:$A,增益!$O:$O,0))&gt;0,($F$14-$I$4+VLOOKUP($R100,武学奇术!$A:$ZZ,15,FALSE)+SUM(_xlfn.XLOOKUP(S100:AG100,增益!$A:$A,增益!$O:$O,0)))/200,($F$14-$I$4+VLOOKUP($R100,武学奇术!$A:$ZZ,15,FALSE)+SUM(_xlfn.XLOOKUP(S100:AG100,增益!$A:$A,增益!$O:$O,0)))/100)</f>
        <v>-0.3</v>
      </c>
      <c r="BI100" s="26" cm="1">
        <f t="array" ref="BI100">$G$14+VLOOKUP($R100,武学奇术!$A:$ZZ,16,FALSE)+SUM(_xlfn.XLOOKUP(S100:AG100,增益!$A:$A,增益!$P:$P,0))</f>
        <v>0</v>
      </c>
      <c r="BJ100" s="21">
        <f>MIN(IF(VLOOKUP($R100,武学奇术!$A:$ZZ,23,FALSE)=1,100%,$B$8),100%)</f>
        <v>0.8229</v>
      </c>
      <c r="BK100" s="21" cm="1">
        <f t="array" ref="BK100">IF(VLOOKUP($R100,武学奇术!$A:$ZZ,23,FALSE)=1,100%,MIN(80%,$B$9+VLOOKUP($R100,武学奇术!$A:$ZZ,17,FALSE)+SUM(_xlfn.XLOOKUP(S100:AG100,增益!$A:$A,增益!$Q:$Q,0)))+$B$11+SUM(_xlfn.XLOOKUP(S100:AG100,增益!$A:$A,增益!$U:$U,0)))*IF(VLOOKUP($R100,武学奇术!$A:$ZZ,24,FALSE)=1,0,1)</f>
        <v>0.2285</v>
      </c>
      <c r="BL100" s="21" cm="1">
        <f t="array" ref="BL100">1+$B$13+VLOOKUP($R100,武学奇术!$A:$ZZ,18,FALSE)+SUM(_xlfn.XLOOKUP(S100:AG100,增益!$A:$A,增益!$R:$R,0))</f>
        <v>1.5</v>
      </c>
      <c r="BM100" s="21" cm="1">
        <f t="array" ref="BM100">IF(VLOOKUP($R100,武学奇术!$A:$ZZ,24,FALSE)=1,100%,MIN(40%,$B$10+VLOOKUP($R100,武学奇术!$A:$ZZ,19,FALSE)+SUM(_xlfn.XLOOKUP(S100:AG100,增益!$A:$A,增益!$S:$S,0)))+$B$12+SUM(_xlfn.XLOOKUP(S100:AG100,增益!$A:$A,增益!$V:$V,0)))*IF(VLOOKUP($R100,武学奇术!$A:$ZZ,23,FALSE)=1,0,1)</f>
        <v>0.4495</v>
      </c>
      <c r="BN100" s="21" cm="1">
        <f t="array" ref="BN100">1+$B$14+VLOOKUP($R100,武学奇术!$A:$ZZ,20,FALSE)+SUM(_xlfn.XLOOKUP(S100:AG100,增益!$A:$A,增益!$T:$T,0))</f>
        <v>1.602</v>
      </c>
      <c r="BO100" s="21">
        <f t="shared" si="20"/>
        <v>0.18803265</v>
      </c>
      <c r="BP100" s="21">
        <f t="shared" si="21"/>
        <v>0.2649738</v>
      </c>
      <c r="BQ100" s="21">
        <f>IF(VLOOKUP($R100,武学奇术!$A:$ZZ,22,FALSE)=1,0,(1-$BJ100))*(1-$BM100)</f>
        <v>0.09749355</v>
      </c>
      <c r="BR100" s="21" cm="1">
        <f t="array" ref="BR100">SUM(_xlfn.XLOOKUP(S100:AG100,增益!$A:$A,增益!$W:$W,0))+$I$5</f>
        <v>0.06</v>
      </c>
    </row>
    <row r="101" spans="11:70">
      <c r="K101" s="24">
        <f>$L101*VLOOKUP($R101,武学奇术!$A:$ZZ,31,FALSE)</f>
        <v>41953.6956411935</v>
      </c>
      <c r="L101" s="24">
        <f t="shared" si="11"/>
        <v>41953.6956411935</v>
      </c>
      <c r="M101" s="24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BL101*$Q101*(1+IF(VLOOKUP($R101,武学奇术!$A:$ZZ,30,FALSE)="流血",$B$21,0))*(1+$BR101)</f>
        <v>37049.4978427102</v>
      </c>
      <c r="N101" s="24">
        <f>(($AP101*$AI101+$AJ101)*(1+$AQ101)*(1+$AR101)+($AU101*IF($G$1="鸣金",$AK101,$AI101)+IF($G$1="鸣金",$AL101*1.5,0))*(1+$AV101)*(1+$AW101)+($AY101*IF($G$1="裂石",$AK101,$AI101)+IF($G$1="裂石",$AL101*1.5,0))*(1+$AZ101)*(1+$BA101)+($BC101*IF($G$1="牵丝",$AK101,$AI101)+IF($G$1="牵丝",$AL101*1.5,0))*(1+$BD101)*(1+$BE101)+($BG101*IF($G$1="破竹",$AK101,$AI101)+IF($G$1="破竹",$AL101*1.5,0))*(1+$BH101)*(1+$BI101))*(1+$AM101)*$BN101*$Q101*(1+IF(VLOOKUP($R101,武学奇术!$A:$ZZ,30,FALSE)="流血",$B$21,0))*(1+$BR101)</f>
        <v>60791.8430720776</v>
      </c>
      <c r="O101" s="24">
        <f>((($AO101+$AP101)/2*$AI101+$AJ101)*(1+$AQ101)*(1+$AR101)+(($AT101+$AU101)/2*IF($G$1="鸣金",$AK101,$AI101)+IF($G$1="鸣金",$AL101*1.5,0))*(1+$AV101)*(1+$AW101)+(($AX101+$AY101)/2*IF($G$1="裂石",$AK101,$AI101)+IF($G$1="裂石",$AL101*1.5,0))*(1+$AZ101)*(1+$BA101)+(($BB101+$BC101)/2*IF($G$1="牵丝",$AK101,$AI101)+IF($G$1="牵丝",$AL101*1.5,0))*(1+$BD101)*(1+$BE101)+(($BF101+$BG101)/2*IF($G$1="破竹",$AK101,$AI101)+IF($G$1="破竹",$AL101*1.5,0))*(1+$BH101)*(1+$BI101))*(1+$AM101)*$Q101*(1+IF(VLOOKUP($R101,武学奇术!$A:$ZZ,30,FALSE)="流血",$B$21,0))*(1+$BR101)</f>
        <v>24699.6652284734</v>
      </c>
      <c r="P101" s="24">
        <f>((($AO101*$AI101+$AJ101)*(1+$AQ101)*(1+$AR101)+($AT101*IF($G$1="鸣金",$AK101,$AI101)+IF($G$1="鸣金",$AL101*1.5,0))*(1+$AV101)*(1+$AW101)+($AX101*IF($G$1="裂石",$AK101,$AI101)+IF($G$1="裂石",$AL101*1.5,0))*(1+$AZ101)*(1+$BA101)+($BB101*IF($G$1="牵丝",$AK101,$AI101)+IF($G$1="牵丝",$AL101*1.5,0))*(1+$BD101)*(1+$BE101)+($BF101*IF($G$1="破竹",$AK101,$AI101)+IF($G$1="破竹",$AL101*1.5,0))*(1+$BH101)*(1+$BI101))*(1+$AM101))*$Q101*(1+IF(VLOOKUP($R101,武学奇术!$A:$ZZ,30,FALSE)="流血",$B$21,0))*(1+$BR101)</f>
        <v>11451.8628713803</v>
      </c>
      <c r="Q101" s="31">
        <v>1</v>
      </c>
      <c r="R101" s="32" t="s">
        <v>146</v>
      </c>
      <c r="S101" s="32" t="s">
        <v>87</v>
      </c>
      <c r="T101" s="32" t="s">
        <v>104</v>
      </c>
      <c r="U101" s="32" t="s">
        <v>73</v>
      </c>
      <c r="V101" s="32" t="s">
        <v>73</v>
      </c>
      <c r="W101" s="32" t="s">
        <v>73</v>
      </c>
      <c r="X101" s="32" t="s">
        <v>127</v>
      </c>
      <c r="Y101" s="32" t="s">
        <v>73</v>
      </c>
      <c r="Z101" s="32" t="s">
        <v>73</v>
      </c>
      <c r="AA101" s="32" t="s">
        <v>81</v>
      </c>
      <c r="AB101" s="32" t="s">
        <v>75</v>
      </c>
      <c r="AC101" s="32" t="s">
        <v>76</v>
      </c>
      <c r="AD101" s="32" t="s">
        <v>82</v>
      </c>
      <c r="AE101" s="32" t="s">
        <v>90</v>
      </c>
      <c r="AF101" s="32" t="s">
        <v>73</v>
      </c>
      <c r="AG101" s="32" t="s">
        <v>178</v>
      </c>
      <c r="AH101" t="str">
        <f>VLOOKUP($R101,武学奇术!$A:$ZZ,25,FALSE)</f>
        <v>单体奇术</v>
      </c>
      <c r="AI101" s="21">
        <f>VLOOKUP($R101,武学奇术!$A:$ZZ,26,FALSE)</f>
        <v>1.609</v>
      </c>
      <c r="AJ101" s="22">
        <f>VLOOKUP($R101,武学奇术!$A:$ZZ,27,FALSE)*(1+IF(OR($AH101=$F$4,$AH101=$F$5),$B$22,0))</f>
        <v>308</v>
      </c>
      <c r="AK101" s="21">
        <f>VLOOKUP($R101,武学奇术!$A:$ZZ,28,FALSE)</f>
        <v>2.4135</v>
      </c>
      <c r="AL101" s="22">
        <f>VLOOKUP($R101,武学奇术!$A:$ZZ,29,FALSE)*(1+IF(OR($AH101=$F$4,$AH101=$F$5),$B$22,0))</f>
        <v>0</v>
      </c>
      <c r="AM101" s="21" cm="1">
        <f t="array" ref="AM101">$G$3+IFERROR(VLOOKUP($AH101,$F$4:$G$7,2,FALSE),0)+VLOOKUP($R101,武学奇术!$A:$ZZ,2,FALSE)+SUM(_xlfn.XLOOKUP($S101:$AG101,增益!$A:$A,增益!$B:$B,0))</f>
        <v>0.843</v>
      </c>
      <c r="AN101" s="21" cm="1">
        <f t="array" ref="AN101">VLOOKUP($R101,武学奇术!$A:$ZZ,5,FALSE)+SUM(_xlfn.XLOOKUP($S101:$AG101,增益!$A:$A,增益!$E:$E,0))</f>
        <v>0</v>
      </c>
      <c r="AO101" cm="1">
        <f t="array" ref="AO101">$D$10*(1+$AN101)+VLOOKUP($R101,武学奇术!$A:$ZZ,3,FALSE)+SUM(_xlfn.XLOOKUP($S101:$AG101,增益!$A:$A,增益!$C:$C,0))-$I$2</f>
        <v>1794.28</v>
      </c>
      <c r="AP101" cm="1">
        <f t="array" ref="AP101">$E$10*(1+$AN101)+VLOOKUP($R101,武学奇术!$A:$ZZ,4,FALSE)+SUM(_xlfn.XLOOKUP($S101:$AG101,增益!$A:$A,增益!$D:$D,0))-$I$2</f>
        <v>7726.36</v>
      </c>
      <c r="AQ101" s="26" cm="1">
        <f t="array" ref="AQ101">IF($F$10-$I$3+VLOOKUP($R101,武学奇术!$A:$ZZ,6,FALSE)+SUM(_xlfn.XLOOKUP(S101:AG101,增益!$A:$A,增益!$F:$F,0))&gt;0,($F$10-$I$3+VLOOKUP($R101,武学奇术!$A:$ZZ,6,FALSE)+SUM(_xlfn.XLOOKUP(S101:AG101,增益!$A:$A,增益!$F:$F,0)))/200,($F$10-$I$3+VLOOKUP($R101,武学奇术!$A:$ZZ,6,FALSE)+SUM(_xlfn.XLOOKUP(S101:AG101,增益!$A:$A,增益!$F:$F,0)))/100)</f>
        <v>0.244</v>
      </c>
      <c r="AR101" s="26" cm="1">
        <f t="array" ref="AR101">$G$10+VLOOKUP($R101,武学奇术!$A:$ZZ,7,FALSE)+SUM(_xlfn.XLOOKUP(S101:AG101,增益!$A:$A,增益!$G:$G,0))</f>
        <v>0</v>
      </c>
      <c r="AS101" s="21" cm="1">
        <f t="array" ref="AS101">VLOOKUP($R101,武学奇术!$A:$ZZ,8,FALSE)+SUM(_xlfn.XLOOKUP(S101:AG101,增益!$A:$A,增益!$H:$H,0))</f>
        <v>0</v>
      </c>
      <c r="AT101">
        <f t="shared" si="12"/>
        <v>680.02</v>
      </c>
      <c r="AU101">
        <f t="shared" si="13"/>
        <v>1288.54</v>
      </c>
      <c r="AV101" s="26" cm="1">
        <f t="array" ref="AV101">IF($F$11-$I$4+VLOOKUP($R101,武学奇术!$A:$ZZ,9,FALSE)+SUM(_xlfn.XLOOKUP(S101:AG101,增益!$A:$A,增益!$I:$I,0))&gt;0,($F$11-$I$4+VLOOKUP($R101,武学奇术!$A:$ZZ,9,FALSE)+SUM(_xlfn.XLOOKUP(S101:AG101,增益!$A:$A,增益!$I:$I,0)))/200,($F$11-$I$4+VLOOKUP($R101,武学奇术!$A:$ZZ,9,FALSE)+SUM(_xlfn.XLOOKUP(S101:AG101,增益!$A:$A,增益!$I:$I,0)))/100)</f>
        <v>0</v>
      </c>
      <c r="AW101" s="26" cm="1">
        <f t="array" ref="AW101">$G$11+VLOOKUP($R101,武学奇术!$A:$ZZ,10,FALSE)+SUM(_xlfn.XLOOKUP(S101:AG101,增益!$A:$A,增益!$J:$J,0))</f>
        <v>0.15</v>
      </c>
      <c r="AX101">
        <f t="shared" si="14"/>
        <v>0</v>
      </c>
      <c r="AY101">
        <f t="shared" si="15"/>
        <v>0</v>
      </c>
      <c r="AZ101" s="26" cm="1">
        <f t="array" ref="AZ101">IF($F$12-$I$4+VLOOKUP($R101,武学奇术!$A:$ZZ,11,FALSE)+SUM(_xlfn.XLOOKUP(S101:AG101,增益!$A:$A,增益!$K:$K,0))&gt;0,($F$12-$I$4+VLOOKUP($R101,武学奇术!$A:$ZZ,11,FALSE)+SUM(_xlfn.XLOOKUP(S101:AG101,增益!$A:$A,增益!$K:$K,0)))/200,($F$12-$I$4+VLOOKUP($R101,武学奇术!$A:$ZZ,11,FALSE)+SUM(_xlfn.XLOOKUP(S101:AG101,增益!$A:$A,增益!$K:$K,0)))/100)</f>
        <v>-0.3</v>
      </c>
      <c r="BA101" s="26" cm="1">
        <f t="array" ref="BA101">$G$12+VLOOKUP($R101,武学奇术!$A:$ZZ,12,FALSE)+SUM(_xlfn.XLOOKUP(S101:AG101,增益!$A:$A,增益!$L:$L,0))</f>
        <v>0</v>
      </c>
      <c r="BB101">
        <f t="shared" si="16"/>
        <v>0</v>
      </c>
      <c r="BC101">
        <f t="shared" si="17"/>
        <v>0</v>
      </c>
      <c r="BD101" s="26" cm="1">
        <f t="array" ref="BD101">IF($F$13-$I$4+VLOOKUP($R101,武学奇术!$A:$ZZ,13,FALSE)+SUM(_xlfn.XLOOKUP(S101:AG101,增益!$A:$A,增益!$M:$M,0))&gt;0,($F$13-$I$4+VLOOKUP($R101,武学奇术!$A:$ZZ,13,FALSE)+SUM(_xlfn.XLOOKUP(S101:AG101,增益!$A:$A,增益!$K:$K,0)))/200,($F$13-$I$4+VLOOKUP($R101,武学奇术!$A:$ZZ,13,FALSE)+SUM(_xlfn.XLOOKUP(S101:AG101,增益!$A:$A,增益!$M:$M,0)))/100)</f>
        <v>-0.3</v>
      </c>
      <c r="BE101" s="26" cm="1">
        <f t="array" ref="BE101">$G$13+VLOOKUP($R101,武学奇术!$A:$ZZ,14,FALSE)+SUM(_xlfn.XLOOKUP(S101:AG101,增益!$A:$A,增益!$N:$N,0))</f>
        <v>0</v>
      </c>
      <c r="BF101">
        <f t="shared" si="18"/>
        <v>0</v>
      </c>
      <c r="BG101">
        <f t="shared" si="19"/>
        <v>0</v>
      </c>
      <c r="BH101" s="26" cm="1">
        <f t="array" ref="BH101">IF($F$14-$I$4+VLOOKUP($R101,武学奇术!$A:$ZZ,15,FALSE)+SUM(_xlfn.XLOOKUP(S101:AG101,增益!$A:$A,增益!$O:$O,0))&gt;0,($F$14-$I$4+VLOOKUP($R101,武学奇术!$A:$ZZ,15,FALSE)+SUM(_xlfn.XLOOKUP(S101:AG101,增益!$A:$A,增益!$O:$O,0)))/200,($F$14-$I$4+VLOOKUP($R101,武学奇术!$A:$ZZ,15,FALSE)+SUM(_xlfn.XLOOKUP(S101:AG101,增益!$A:$A,增益!$O:$O,0)))/100)</f>
        <v>-0.3</v>
      </c>
      <c r="BI101" s="26" cm="1">
        <f t="array" ref="BI101">$G$14+VLOOKUP($R101,武学奇术!$A:$ZZ,16,FALSE)+SUM(_xlfn.XLOOKUP(S101:AG101,增益!$A:$A,增益!$P:$P,0))</f>
        <v>0</v>
      </c>
      <c r="BJ101" s="21">
        <f>MIN(IF(VLOOKUP($R101,武学奇术!$A:$ZZ,23,FALSE)=1,100%,$B$8),100%)</f>
        <v>0.8229</v>
      </c>
      <c r="BK101" s="21" cm="1">
        <f t="array" ref="BK101">IF(VLOOKUP($R101,武学奇术!$A:$ZZ,23,FALSE)=1,100%,MIN(80%,$B$9+VLOOKUP($R101,武学奇术!$A:$ZZ,17,FALSE)+SUM(_xlfn.XLOOKUP(S101:AG101,增益!$A:$A,增益!$Q:$Q,0)))+$B$11+SUM(_xlfn.XLOOKUP(S101:AG101,增益!$A:$A,增益!$U:$U,0)))*IF(VLOOKUP($R101,武学奇术!$A:$ZZ,24,FALSE)=1,0,1)</f>
        <v>0.2285</v>
      </c>
      <c r="BL101" s="21" cm="1">
        <f t="array" ref="BL101">1+$B$13+VLOOKUP($R101,武学奇术!$A:$ZZ,18,FALSE)+SUM(_xlfn.XLOOKUP(S101:AG101,增益!$A:$A,增益!$R:$R,0))</f>
        <v>1.5</v>
      </c>
      <c r="BM101" s="21" cm="1">
        <f t="array" ref="BM101">IF(VLOOKUP($R101,武学奇术!$A:$ZZ,24,FALSE)=1,100%,MIN(40%,$B$10+VLOOKUP($R101,武学奇术!$A:$ZZ,19,FALSE)+SUM(_xlfn.XLOOKUP(S101:AG101,增益!$A:$A,增益!$S:$S,0)))+$B$12+SUM(_xlfn.XLOOKUP(S101:AG101,增益!$A:$A,增益!$V:$V,0)))*IF(VLOOKUP($R101,武学奇术!$A:$ZZ,23,FALSE)=1,0,1)</f>
        <v>0.4495</v>
      </c>
      <c r="BN101" s="21" cm="1">
        <f t="array" ref="BN101">1+$B$14+VLOOKUP($R101,武学奇术!$A:$ZZ,20,FALSE)+SUM(_xlfn.XLOOKUP(S101:AG101,增益!$A:$A,增益!$T:$T,0))</f>
        <v>1.602</v>
      </c>
      <c r="BO101" s="21">
        <f t="shared" si="20"/>
        <v>0.18803265</v>
      </c>
      <c r="BP101" s="21">
        <f t="shared" si="21"/>
        <v>0.2649738</v>
      </c>
      <c r="BQ101" s="21">
        <f>IF(VLOOKUP($R101,武学奇术!$A:$ZZ,22,FALSE)=1,0,(1-$BJ101))*(1-$BM101)</f>
        <v>0.09749355</v>
      </c>
      <c r="BR101" s="21" cm="1">
        <f t="array" ref="BR101">SUM(_xlfn.XLOOKUP(S101:AG101,增益!$A:$A,增益!$W:$W,0))+$I$5</f>
        <v>0.06</v>
      </c>
    </row>
    <row r="102" spans="11:70">
      <c r="K102" s="24">
        <f>$L102*VLOOKUP($R102,武学奇术!$A:$ZZ,31,FALSE)</f>
        <v>56568.9748464377</v>
      </c>
      <c r="L102" s="24">
        <f t="shared" si="11"/>
        <v>56568.9748464377</v>
      </c>
      <c r="M102" s="24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BL102*$Q102*(1+IF(VLOOKUP($R102,武学奇术!$A:$ZZ,30,FALSE)="流血",$B$21,0))*(1+$BR102)</f>
        <v>49956.623177298</v>
      </c>
      <c r="N102" s="24">
        <f>(($AP102*$AI102+$AJ102)*(1+$AQ102)*(1+$AR102)+($AU102*IF($G$1="鸣金",$AK102,$AI102)+IF($G$1="鸣金",$AL102*1.5,0))*(1+$AV102)*(1+$AW102)+($AY102*IF($G$1="裂石",$AK102,$AI102)+IF($G$1="裂石",$AL102*1.5,0))*(1+$AZ102)*(1+$BA102)+($BC102*IF($G$1="牵丝",$AK102,$AI102)+IF($G$1="牵丝",$AL102*1.5,0))*(1+$BD102)*(1+$BE102)+($BG102*IF($G$1="破竹",$AK102,$AI102)+IF($G$1="破竹",$AL102*1.5,0))*(1+$BH102)*(1+$BI102))*(1+$AM102)*$BN102*$Q102*(1+IF(VLOOKUP($R102,武学奇术!$A:$ZZ,30,FALSE)="流血",$B$21,0))*(1+$BR102)</f>
        <v>81969.319510258</v>
      </c>
      <c r="O102" s="24">
        <f>((($AO102+$AP102)/2*$AI102+$AJ102)*(1+$AQ102)*(1+$AR102)+(($AT102+$AU102)/2*IF($G$1="鸣金",$AK102,$AI102)+IF($G$1="鸣金",$AL102*1.5,0))*(1+$AV102)*(1+$AW102)+(($AX102+$AY102)/2*IF($G$1="裂石",$AK102,$AI102)+IF($G$1="裂石",$AL102*1.5,0))*(1+$AZ102)*(1+$BA102)+(($BB102+$BC102)/2*IF($G$1="牵丝",$AK102,$AI102)+IF($G$1="牵丝",$AL102*1.5,0))*(1+$BD102)*(1+$BE102)+(($BF102+$BG102)/2*IF($G$1="破竹",$AK102,$AI102)+IF($G$1="破竹",$AL102*1.5,0))*(1+$BH102)*(1+$BI102))*(1+$AM102)*$Q102*(1+IF(VLOOKUP($R102,武学奇术!$A:$ZZ,30,FALSE)="流血",$B$21,0))*(1+$BR102)</f>
        <v>33304.415451532</v>
      </c>
      <c r="P102" s="24">
        <f>((($AO102*$AI102+$AJ102)*(1+$AQ102)*(1+$AR102)+($AT102*IF($G$1="鸣金",$AK102,$AI102)+IF($G$1="鸣金",$AL102*1.5,0))*(1+$AV102)*(1+$AW102)+($AX102*IF($G$1="裂石",$AK102,$AI102)+IF($G$1="裂石",$AL102*1.5,0))*(1+$AZ102)*(1+$BA102)+($BB102*IF($G$1="牵丝",$AK102,$AI102)+IF($G$1="牵丝",$AL102*1.5,0))*(1+$BD102)*(1+$BE102)+($BF102*IF($G$1="破竹",$AK102,$AI102)+IF($G$1="破竹",$AL102*1.5,0))*(1+$BH102)*(1+$BI102))*(1+$AM102))*$Q102*(1+IF(VLOOKUP($R102,武学奇术!$A:$ZZ,30,FALSE)="流血",$B$21,0))*(1+$BR102)</f>
        <v>15441.9647917919</v>
      </c>
      <c r="Q102" s="31">
        <v>1</v>
      </c>
      <c r="R102" s="32" t="s">
        <v>157</v>
      </c>
      <c r="S102" s="32" t="s">
        <v>73</v>
      </c>
      <c r="T102" s="32" t="s">
        <v>104</v>
      </c>
      <c r="U102" s="32" t="s">
        <v>73</v>
      </c>
      <c r="V102" s="32" t="s">
        <v>73</v>
      </c>
      <c r="W102" s="32" t="s">
        <v>73</v>
      </c>
      <c r="X102" s="32" t="s">
        <v>127</v>
      </c>
      <c r="Y102" s="32" t="s">
        <v>73</v>
      </c>
      <c r="Z102" s="32" t="s">
        <v>73</v>
      </c>
      <c r="AA102" s="32" t="s">
        <v>81</v>
      </c>
      <c r="AB102" s="32" t="s">
        <v>75</v>
      </c>
      <c r="AC102" s="32" t="s">
        <v>76</v>
      </c>
      <c r="AD102" s="32" t="s">
        <v>82</v>
      </c>
      <c r="AE102" s="32" t="s">
        <v>90</v>
      </c>
      <c r="AF102" s="32" t="s">
        <v>73</v>
      </c>
      <c r="AG102" s="32" t="s">
        <v>178</v>
      </c>
      <c r="AH102" t="str">
        <f>VLOOKUP($R102,武学奇术!$A:$ZZ,25,FALSE)</f>
        <v>单体奇术</v>
      </c>
      <c r="AI102" s="21">
        <f>VLOOKUP($R102,武学奇术!$A:$ZZ,26,FALSE)</f>
        <v>1.7065</v>
      </c>
      <c r="AJ102" s="22">
        <f>VLOOKUP($R102,武学奇术!$A:$ZZ,27,FALSE)*(1+IF(OR($AH102=$F$4,$AH102=$F$5),$B$22,0))</f>
        <v>327</v>
      </c>
      <c r="AK102" s="21">
        <f>VLOOKUP($R102,武学奇术!$A:$ZZ,28,FALSE)</f>
        <v>2.55975</v>
      </c>
      <c r="AL102" s="22">
        <f>VLOOKUP($R102,武学奇术!$A:$ZZ,29,FALSE)*(1+IF(OR($AH102=$F$4,$AH102=$F$5),$B$22,0))</f>
        <v>0</v>
      </c>
      <c r="AM102" s="21" cm="1">
        <f t="array" ref="AM102">$G$3+IFERROR(VLOOKUP($AH102,$F$4:$G$7,2,FALSE),0)+VLOOKUP($R102,武学奇术!$A:$ZZ,2,FALSE)+SUM(_xlfn.XLOOKUP($S102:$AG102,增益!$A:$A,增益!$B:$B,0))</f>
        <v>1.343</v>
      </c>
      <c r="AN102" s="21" cm="1">
        <f t="array" ref="AN102">VLOOKUP($R102,武学奇术!$A:$ZZ,5,FALSE)+SUM(_xlfn.XLOOKUP($S102:$AG102,增益!$A:$A,增益!$E:$E,0))</f>
        <v>0</v>
      </c>
      <c r="AO102" cm="1">
        <f t="array" ref="AO102">$D$10*(1+$AN102)+VLOOKUP($R102,武学奇术!$A:$ZZ,3,FALSE)+SUM(_xlfn.XLOOKUP($S102:$AG102,增益!$A:$A,增益!$C:$C,0))-$I$2</f>
        <v>1794.28</v>
      </c>
      <c r="AP102" cm="1">
        <f t="array" ref="AP102">$E$10*(1+$AN102)+VLOOKUP($R102,武学奇术!$A:$ZZ,4,FALSE)+SUM(_xlfn.XLOOKUP($S102:$AG102,增益!$A:$A,增益!$D:$D,0))-$I$2</f>
        <v>7726.36</v>
      </c>
      <c r="AQ102" s="26" cm="1">
        <f t="array" ref="AQ102">IF($F$10-$I$3+VLOOKUP($R102,武学奇术!$A:$ZZ,6,FALSE)+SUM(_xlfn.XLOOKUP(S102:AG102,增益!$A:$A,增益!$F:$F,0))&gt;0,($F$10-$I$3+VLOOKUP($R102,武学奇术!$A:$ZZ,6,FALSE)+SUM(_xlfn.XLOOKUP(S102:AG102,增益!$A:$A,增益!$F:$F,0)))/200,($F$10-$I$3+VLOOKUP($R102,武学奇术!$A:$ZZ,6,FALSE)+SUM(_xlfn.XLOOKUP(S102:AG102,增益!$A:$A,增益!$F:$F,0)))/100)</f>
        <v>0.244</v>
      </c>
      <c r="AR102" s="26" cm="1">
        <f t="array" ref="AR102">$G$10+VLOOKUP($R102,武学奇术!$A:$ZZ,7,FALSE)+SUM(_xlfn.XLOOKUP(S102:AG102,增益!$A:$A,增益!$G:$G,0))</f>
        <v>0</v>
      </c>
      <c r="AS102" s="21" cm="1">
        <f t="array" ref="AS102">VLOOKUP($R102,武学奇术!$A:$ZZ,8,FALSE)+SUM(_xlfn.XLOOKUP(S102:AG102,增益!$A:$A,增益!$H:$H,0))</f>
        <v>0</v>
      </c>
      <c r="AT102">
        <f t="shared" si="12"/>
        <v>680.02</v>
      </c>
      <c r="AU102">
        <f t="shared" si="13"/>
        <v>1288.54</v>
      </c>
      <c r="AV102" s="26" cm="1">
        <f t="array" ref="AV102">IF($F$11-$I$4+VLOOKUP($R102,武学奇术!$A:$ZZ,9,FALSE)+SUM(_xlfn.XLOOKUP(S102:AG102,增益!$A:$A,增益!$I:$I,0))&gt;0,($F$11-$I$4+VLOOKUP($R102,武学奇术!$A:$ZZ,9,FALSE)+SUM(_xlfn.XLOOKUP(S102:AG102,增益!$A:$A,增益!$I:$I,0)))/200,($F$11-$I$4+VLOOKUP($R102,武学奇术!$A:$ZZ,9,FALSE)+SUM(_xlfn.XLOOKUP(S102:AG102,增益!$A:$A,增益!$I:$I,0)))/100)</f>
        <v>0</v>
      </c>
      <c r="AW102" s="26" cm="1">
        <f t="array" ref="AW102">$G$11+VLOOKUP($R102,武学奇术!$A:$ZZ,10,FALSE)+SUM(_xlfn.XLOOKUP(S102:AG102,增益!$A:$A,增益!$J:$J,0))</f>
        <v>0.15</v>
      </c>
      <c r="AX102">
        <f t="shared" si="14"/>
        <v>0</v>
      </c>
      <c r="AY102">
        <f t="shared" si="15"/>
        <v>0</v>
      </c>
      <c r="AZ102" s="26" cm="1">
        <f t="array" ref="AZ102">IF($F$12-$I$4+VLOOKUP($R102,武学奇术!$A:$ZZ,11,FALSE)+SUM(_xlfn.XLOOKUP(S102:AG102,增益!$A:$A,增益!$K:$K,0))&gt;0,($F$12-$I$4+VLOOKUP($R102,武学奇术!$A:$ZZ,11,FALSE)+SUM(_xlfn.XLOOKUP(S102:AG102,增益!$A:$A,增益!$K:$K,0)))/200,($F$12-$I$4+VLOOKUP($R102,武学奇术!$A:$ZZ,11,FALSE)+SUM(_xlfn.XLOOKUP(S102:AG102,增益!$A:$A,增益!$K:$K,0)))/100)</f>
        <v>-0.3</v>
      </c>
      <c r="BA102" s="26" cm="1">
        <f t="array" ref="BA102">$G$12+VLOOKUP($R102,武学奇术!$A:$ZZ,12,FALSE)+SUM(_xlfn.XLOOKUP(S102:AG102,增益!$A:$A,增益!$L:$L,0))</f>
        <v>0</v>
      </c>
      <c r="BB102">
        <f t="shared" si="16"/>
        <v>0</v>
      </c>
      <c r="BC102">
        <f t="shared" si="17"/>
        <v>0</v>
      </c>
      <c r="BD102" s="26" cm="1">
        <f t="array" ref="BD102">IF($F$13-$I$4+VLOOKUP($R102,武学奇术!$A:$ZZ,13,FALSE)+SUM(_xlfn.XLOOKUP(S102:AG102,增益!$A:$A,增益!$M:$M,0))&gt;0,($F$13-$I$4+VLOOKUP($R102,武学奇术!$A:$ZZ,13,FALSE)+SUM(_xlfn.XLOOKUP(S102:AG102,增益!$A:$A,增益!$K:$K,0)))/200,($F$13-$I$4+VLOOKUP($R102,武学奇术!$A:$ZZ,13,FALSE)+SUM(_xlfn.XLOOKUP(S102:AG102,增益!$A:$A,增益!$M:$M,0)))/100)</f>
        <v>-0.3</v>
      </c>
      <c r="BE102" s="26" cm="1">
        <f t="array" ref="BE102">$G$13+VLOOKUP($R102,武学奇术!$A:$ZZ,14,FALSE)+SUM(_xlfn.XLOOKUP(S102:AG102,增益!$A:$A,增益!$N:$N,0))</f>
        <v>0</v>
      </c>
      <c r="BF102">
        <f t="shared" si="18"/>
        <v>0</v>
      </c>
      <c r="BG102">
        <f t="shared" si="19"/>
        <v>0</v>
      </c>
      <c r="BH102" s="26" cm="1">
        <f t="array" ref="BH102">IF($F$14-$I$4+VLOOKUP($R102,武学奇术!$A:$ZZ,15,FALSE)+SUM(_xlfn.XLOOKUP(S102:AG102,增益!$A:$A,增益!$O:$O,0))&gt;0,($F$14-$I$4+VLOOKUP($R102,武学奇术!$A:$ZZ,15,FALSE)+SUM(_xlfn.XLOOKUP(S102:AG102,增益!$A:$A,增益!$O:$O,0)))/200,($F$14-$I$4+VLOOKUP($R102,武学奇术!$A:$ZZ,15,FALSE)+SUM(_xlfn.XLOOKUP(S102:AG102,增益!$A:$A,增益!$O:$O,0)))/100)</f>
        <v>-0.3</v>
      </c>
      <c r="BI102" s="26" cm="1">
        <f t="array" ref="BI102">$G$14+VLOOKUP($R102,武学奇术!$A:$ZZ,16,FALSE)+SUM(_xlfn.XLOOKUP(S102:AG102,增益!$A:$A,增益!$P:$P,0))</f>
        <v>0</v>
      </c>
      <c r="BJ102" s="21">
        <f>MIN(IF(VLOOKUP($R102,武学奇术!$A:$ZZ,23,FALSE)=1,100%,$B$8),100%)</f>
        <v>0.8229</v>
      </c>
      <c r="BK102" s="21" cm="1">
        <f t="array" ref="BK102">IF(VLOOKUP($R102,武学奇术!$A:$ZZ,23,FALSE)=1,100%,MIN(80%,$B$9+VLOOKUP($R102,武学奇术!$A:$ZZ,17,FALSE)+SUM(_xlfn.XLOOKUP(S102:AG102,增益!$A:$A,增益!$Q:$Q,0)))+$B$11+SUM(_xlfn.XLOOKUP(S102:AG102,增益!$A:$A,增益!$U:$U,0)))*IF(VLOOKUP($R102,武学奇术!$A:$ZZ,24,FALSE)=1,0,1)</f>
        <v>0.2285</v>
      </c>
      <c r="BL102" s="21" cm="1">
        <f t="array" ref="BL102">1+$B$13+VLOOKUP($R102,武学奇术!$A:$ZZ,18,FALSE)+SUM(_xlfn.XLOOKUP(S102:AG102,增益!$A:$A,增益!$R:$R,0))</f>
        <v>1.5</v>
      </c>
      <c r="BM102" s="21" cm="1">
        <f t="array" ref="BM102">IF(VLOOKUP($R102,武学奇术!$A:$ZZ,24,FALSE)=1,100%,MIN(40%,$B$10+VLOOKUP($R102,武学奇术!$A:$ZZ,19,FALSE)+SUM(_xlfn.XLOOKUP(S102:AG102,增益!$A:$A,增益!$S:$S,0)))+$B$12+SUM(_xlfn.XLOOKUP(S102:AG102,增益!$A:$A,增益!$V:$V,0)))*IF(VLOOKUP($R102,武学奇术!$A:$ZZ,23,FALSE)=1,0,1)</f>
        <v>0.4495</v>
      </c>
      <c r="BN102" s="21" cm="1">
        <f t="array" ref="BN102">1+$B$14+VLOOKUP($R102,武学奇术!$A:$ZZ,20,FALSE)+SUM(_xlfn.XLOOKUP(S102:AG102,增益!$A:$A,增益!$T:$T,0))</f>
        <v>1.602</v>
      </c>
      <c r="BO102" s="21">
        <f t="shared" si="20"/>
        <v>0.18803265</v>
      </c>
      <c r="BP102" s="21">
        <f t="shared" si="21"/>
        <v>0.2649738</v>
      </c>
      <c r="BQ102" s="21">
        <f>IF(VLOOKUP($R102,武学奇术!$A:$ZZ,22,FALSE)=1,0,(1-$BJ102))*(1-$BM102)</f>
        <v>0.09749355</v>
      </c>
      <c r="BR102" s="21" cm="1">
        <f t="array" ref="BR102">SUM(_xlfn.XLOOKUP(S102:AG102,增益!$A:$A,增益!$W:$W,0))+$I$5</f>
        <v>0.06</v>
      </c>
    </row>
    <row r="103" spans="11:70">
      <c r="K103" s="24">
        <f>$L103*VLOOKUP($R103,武学奇术!$A:$ZZ,31,FALSE)</f>
        <v>35124.5536485955</v>
      </c>
      <c r="L103" s="24">
        <f t="shared" si="11"/>
        <v>35124.5536485955</v>
      </c>
      <c r="M103" s="24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BL103*$Q103*(1+IF(VLOOKUP($R103,武学奇术!$A:$ZZ,30,FALSE)="流血",$B$21,0))*(1+$BR103)</f>
        <v>31018.6517478577</v>
      </c>
      <c r="N103" s="24">
        <f>(($AP103*$AI103+$AJ103)*(1+$AQ103)*(1+$AR103)+($AU103*IF($G$1="鸣金",$AK103,$AI103)+IF($G$1="鸣金",$AL103*1.5,0))*(1+$AV103)*(1+$AW103)+($AY103*IF($G$1="裂石",$AK103,$AI103)+IF($G$1="裂石",$AL103*1.5,0))*(1+$AZ103)*(1+$BA103)+($BC103*IF($G$1="牵丝",$AK103,$AI103)+IF($G$1="牵丝",$AL103*1.5,0))*(1+$BD103)*(1+$BE103)+($BG103*IF($G$1="破竹",$AK103,$AI103)+IF($G$1="破竹",$AL103*1.5,0))*(1+$BH103)*(1+$BI103))*(1+$AM103)*$BN103*$Q103*(1+IF(VLOOKUP($R103,武学奇术!$A:$ZZ,30,FALSE)="流血",$B$21,0))*(1+$BR103)</f>
        <v>50896.2636246423</v>
      </c>
      <c r="O103" s="24">
        <f>((($AO103+$AP103)/2*$AI103+$AJ103)*(1+$AQ103)*(1+$AR103)+(($AT103+$AU103)/2*IF($G$1="鸣金",$AK103,$AI103)+IF($G$1="鸣金",$AL103*1.5,0))*(1+$AV103)*(1+$AW103)+(($AX103+$AY103)/2*IF($G$1="裂石",$AK103,$AI103)+IF($G$1="裂石",$AL103*1.5,0))*(1+$AZ103)*(1+$BA103)+(($BB103+$BC103)/2*IF($G$1="牵丝",$AK103,$AI103)+IF($G$1="牵丝",$AL103*1.5,0))*(1+$BD103)*(1+$BE103)+(($BF103+$BG103)/2*IF($G$1="破竹",$AK103,$AI103)+IF($G$1="破竹",$AL103*1.5,0))*(1+$BH103)*(1+$BI103))*(1+$AM103)*$Q103*(1+IF(VLOOKUP($R103,武学奇术!$A:$ZZ,30,FALSE)="流血",$B$21,0))*(1+$BR103)</f>
        <v>20679.1011652385</v>
      </c>
      <c r="P103" s="24">
        <f>((($AO103*$AI103+$AJ103)*(1+$AQ103)*(1+$AR103)+($AT103*IF($G$1="鸣金",$AK103,$AI103)+IF($G$1="鸣金",$AL103*1.5,0))*(1+$AV103)*(1+$AW103)+($AX103*IF($G$1="裂石",$AK103,$AI103)+IF($G$1="裂石",$AL103*1.5,0))*(1+$AZ103)*(1+$BA103)+($BB103*IF($G$1="牵丝",$AK103,$AI103)+IF($G$1="牵丝",$AL103*1.5,0))*(1+$BD103)*(1+$BE103)+($BF103*IF($G$1="破竹",$AK103,$AI103)+IF($G$1="破竹",$AL103*1.5,0))*(1+$BH103)*(1+$BI103))*(1+$AM103))*$Q103*(1+IF(VLOOKUP($R103,武学奇术!$A:$ZZ,30,FALSE)="流血",$B$21,0))*(1+$BR103)</f>
        <v>9587.7506297015</v>
      </c>
      <c r="Q103" s="31">
        <v>1</v>
      </c>
      <c r="R103" s="32" t="s">
        <v>146</v>
      </c>
      <c r="S103" s="32" t="s">
        <v>73</v>
      </c>
      <c r="T103" s="32" t="s">
        <v>104</v>
      </c>
      <c r="U103" s="32" t="s">
        <v>73</v>
      </c>
      <c r="V103" s="32" t="s">
        <v>73</v>
      </c>
      <c r="W103" s="32" t="s">
        <v>73</v>
      </c>
      <c r="X103" s="32" t="s">
        <v>127</v>
      </c>
      <c r="Y103" s="32" t="s">
        <v>73</v>
      </c>
      <c r="Z103" s="32" t="s">
        <v>73</v>
      </c>
      <c r="AA103" s="32" t="s">
        <v>81</v>
      </c>
      <c r="AB103" s="32" t="s">
        <v>75</v>
      </c>
      <c r="AC103" s="32" t="s">
        <v>76</v>
      </c>
      <c r="AD103" s="32" t="s">
        <v>82</v>
      </c>
      <c r="AE103" s="32" t="s">
        <v>90</v>
      </c>
      <c r="AF103" s="32" t="s">
        <v>73</v>
      </c>
      <c r="AG103" s="32" t="s">
        <v>178</v>
      </c>
      <c r="AH103" t="str">
        <f>VLOOKUP($R103,武学奇术!$A:$ZZ,25,FALSE)</f>
        <v>单体奇术</v>
      </c>
      <c r="AI103" s="21">
        <f>VLOOKUP($R103,武学奇术!$A:$ZZ,26,FALSE)</f>
        <v>1.609</v>
      </c>
      <c r="AJ103" s="22">
        <f>VLOOKUP($R103,武学奇术!$A:$ZZ,27,FALSE)*(1+IF(OR($AH103=$F$4,$AH103=$F$5),$B$22,0))</f>
        <v>308</v>
      </c>
      <c r="AK103" s="21">
        <f>VLOOKUP($R103,武学奇术!$A:$ZZ,28,FALSE)</f>
        <v>2.4135</v>
      </c>
      <c r="AL103" s="22">
        <f>VLOOKUP($R103,武学奇术!$A:$ZZ,29,FALSE)*(1+IF(OR($AH103=$F$4,$AH103=$F$5),$B$22,0))</f>
        <v>0</v>
      </c>
      <c r="AM103" s="21" cm="1">
        <f t="array" ref="AM103">$G$3+IFERROR(VLOOKUP($AH103,$F$4:$G$7,2,FALSE),0)+VLOOKUP($R103,武学奇术!$A:$ZZ,2,FALSE)+SUM(_xlfn.XLOOKUP($S103:$AG103,增益!$A:$A,增益!$B:$B,0))</f>
        <v>0.543</v>
      </c>
      <c r="AN103" s="21" cm="1">
        <f t="array" ref="AN103">VLOOKUP($R103,武学奇术!$A:$ZZ,5,FALSE)+SUM(_xlfn.XLOOKUP($S103:$AG103,增益!$A:$A,增益!$E:$E,0))</f>
        <v>0</v>
      </c>
      <c r="AO103" cm="1">
        <f t="array" ref="AO103">$D$10*(1+$AN103)+VLOOKUP($R103,武学奇术!$A:$ZZ,3,FALSE)+SUM(_xlfn.XLOOKUP($S103:$AG103,增益!$A:$A,增益!$C:$C,0))-$I$2</f>
        <v>1794.28</v>
      </c>
      <c r="AP103" cm="1">
        <f t="array" ref="AP103">$E$10*(1+$AN103)+VLOOKUP($R103,武学奇术!$A:$ZZ,4,FALSE)+SUM(_xlfn.XLOOKUP($S103:$AG103,增益!$A:$A,增益!$D:$D,0))-$I$2</f>
        <v>7726.36</v>
      </c>
      <c r="AQ103" s="26" cm="1">
        <f t="array" ref="AQ103">IF($F$10-$I$3+VLOOKUP($R103,武学奇术!$A:$ZZ,6,FALSE)+SUM(_xlfn.XLOOKUP(S103:AG103,增益!$A:$A,增益!$F:$F,0))&gt;0,($F$10-$I$3+VLOOKUP($R103,武学奇术!$A:$ZZ,6,FALSE)+SUM(_xlfn.XLOOKUP(S103:AG103,增益!$A:$A,增益!$F:$F,0)))/200,($F$10-$I$3+VLOOKUP($R103,武学奇术!$A:$ZZ,6,FALSE)+SUM(_xlfn.XLOOKUP(S103:AG103,增益!$A:$A,增益!$F:$F,0)))/100)</f>
        <v>0.244</v>
      </c>
      <c r="AR103" s="26" cm="1">
        <f t="array" ref="AR103">$G$10+VLOOKUP($R103,武学奇术!$A:$ZZ,7,FALSE)+SUM(_xlfn.XLOOKUP(S103:AG103,增益!$A:$A,增益!$G:$G,0))</f>
        <v>0</v>
      </c>
      <c r="AS103" s="21" cm="1">
        <f t="array" ref="AS103">VLOOKUP($R103,武学奇术!$A:$ZZ,8,FALSE)+SUM(_xlfn.XLOOKUP(S103:AG103,增益!$A:$A,增益!$H:$H,0))</f>
        <v>0</v>
      </c>
      <c r="AT103">
        <f t="shared" si="12"/>
        <v>680.02</v>
      </c>
      <c r="AU103">
        <f t="shared" si="13"/>
        <v>1288.54</v>
      </c>
      <c r="AV103" s="26" cm="1">
        <f t="array" ref="AV103">IF($F$11-$I$4+VLOOKUP($R103,武学奇术!$A:$ZZ,9,FALSE)+SUM(_xlfn.XLOOKUP(S103:AG103,增益!$A:$A,增益!$I:$I,0))&gt;0,($F$11-$I$4+VLOOKUP($R103,武学奇术!$A:$ZZ,9,FALSE)+SUM(_xlfn.XLOOKUP(S103:AG103,增益!$A:$A,增益!$I:$I,0)))/200,($F$11-$I$4+VLOOKUP($R103,武学奇术!$A:$ZZ,9,FALSE)+SUM(_xlfn.XLOOKUP(S103:AG103,增益!$A:$A,增益!$I:$I,0)))/100)</f>
        <v>0</v>
      </c>
      <c r="AW103" s="26" cm="1">
        <f t="array" ref="AW103">$G$11+VLOOKUP($R103,武学奇术!$A:$ZZ,10,FALSE)+SUM(_xlfn.XLOOKUP(S103:AG103,增益!$A:$A,增益!$J:$J,0))</f>
        <v>0.15</v>
      </c>
      <c r="AX103">
        <f t="shared" si="14"/>
        <v>0</v>
      </c>
      <c r="AY103">
        <f t="shared" si="15"/>
        <v>0</v>
      </c>
      <c r="AZ103" s="26" cm="1">
        <f t="array" ref="AZ103">IF($F$12-$I$4+VLOOKUP($R103,武学奇术!$A:$ZZ,11,FALSE)+SUM(_xlfn.XLOOKUP(S103:AG103,增益!$A:$A,增益!$K:$K,0))&gt;0,($F$12-$I$4+VLOOKUP($R103,武学奇术!$A:$ZZ,11,FALSE)+SUM(_xlfn.XLOOKUP(S103:AG103,增益!$A:$A,增益!$K:$K,0)))/200,($F$12-$I$4+VLOOKUP($R103,武学奇术!$A:$ZZ,11,FALSE)+SUM(_xlfn.XLOOKUP(S103:AG103,增益!$A:$A,增益!$K:$K,0)))/100)</f>
        <v>-0.3</v>
      </c>
      <c r="BA103" s="26" cm="1">
        <f t="array" ref="BA103">$G$12+VLOOKUP($R103,武学奇术!$A:$ZZ,12,FALSE)+SUM(_xlfn.XLOOKUP(S103:AG103,增益!$A:$A,增益!$L:$L,0))</f>
        <v>0</v>
      </c>
      <c r="BB103">
        <f t="shared" si="16"/>
        <v>0</v>
      </c>
      <c r="BC103">
        <f t="shared" si="17"/>
        <v>0</v>
      </c>
      <c r="BD103" s="26" cm="1">
        <f t="array" ref="BD103">IF($F$13-$I$4+VLOOKUP($R103,武学奇术!$A:$ZZ,13,FALSE)+SUM(_xlfn.XLOOKUP(S103:AG103,增益!$A:$A,增益!$M:$M,0))&gt;0,($F$13-$I$4+VLOOKUP($R103,武学奇术!$A:$ZZ,13,FALSE)+SUM(_xlfn.XLOOKUP(S103:AG103,增益!$A:$A,增益!$K:$K,0)))/200,($F$13-$I$4+VLOOKUP($R103,武学奇术!$A:$ZZ,13,FALSE)+SUM(_xlfn.XLOOKUP(S103:AG103,增益!$A:$A,增益!$M:$M,0)))/100)</f>
        <v>-0.3</v>
      </c>
      <c r="BE103" s="26" cm="1">
        <f t="array" ref="BE103">$G$13+VLOOKUP($R103,武学奇术!$A:$ZZ,14,FALSE)+SUM(_xlfn.XLOOKUP(S103:AG103,增益!$A:$A,增益!$N:$N,0))</f>
        <v>0</v>
      </c>
      <c r="BF103">
        <f t="shared" si="18"/>
        <v>0</v>
      </c>
      <c r="BG103">
        <f t="shared" si="19"/>
        <v>0</v>
      </c>
      <c r="BH103" s="26" cm="1">
        <f t="array" ref="BH103">IF($F$14-$I$4+VLOOKUP($R103,武学奇术!$A:$ZZ,15,FALSE)+SUM(_xlfn.XLOOKUP(S103:AG103,增益!$A:$A,增益!$O:$O,0))&gt;0,($F$14-$I$4+VLOOKUP($R103,武学奇术!$A:$ZZ,15,FALSE)+SUM(_xlfn.XLOOKUP(S103:AG103,增益!$A:$A,增益!$O:$O,0)))/200,($F$14-$I$4+VLOOKUP($R103,武学奇术!$A:$ZZ,15,FALSE)+SUM(_xlfn.XLOOKUP(S103:AG103,增益!$A:$A,增益!$O:$O,0)))/100)</f>
        <v>-0.3</v>
      </c>
      <c r="BI103" s="26" cm="1">
        <f t="array" ref="BI103">$G$14+VLOOKUP($R103,武学奇术!$A:$ZZ,16,FALSE)+SUM(_xlfn.XLOOKUP(S103:AG103,增益!$A:$A,增益!$P:$P,0))</f>
        <v>0</v>
      </c>
      <c r="BJ103" s="21">
        <f>MIN(IF(VLOOKUP($R103,武学奇术!$A:$ZZ,23,FALSE)=1,100%,$B$8),100%)</f>
        <v>0.8229</v>
      </c>
      <c r="BK103" s="21" cm="1">
        <f t="array" ref="BK103">IF(VLOOKUP($R103,武学奇术!$A:$ZZ,23,FALSE)=1,100%,MIN(80%,$B$9+VLOOKUP($R103,武学奇术!$A:$ZZ,17,FALSE)+SUM(_xlfn.XLOOKUP(S103:AG103,增益!$A:$A,增益!$Q:$Q,0)))+$B$11+SUM(_xlfn.XLOOKUP(S103:AG103,增益!$A:$A,增益!$U:$U,0)))*IF(VLOOKUP($R103,武学奇术!$A:$ZZ,24,FALSE)=1,0,1)</f>
        <v>0.2285</v>
      </c>
      <c r="BL103" s="21" cm="1">
        <f t="array" ref="BL103">1+$B$13+VLOOKUP($R103,武学奇术!$A:$ZZ,18,FALSE)+SUM(_xlfn.XLOOKUP(S103:AG103,增益!$A:$A,增益!$R:$R,0))</f>
        <v>1.5</v>
      </c>
      <c r="BM103" s="21" cm="1">
        <f t="array" ref="BM103">IF(VLOOKUP($R103,武学奇术!$A:$ZZ,24,FALSE)=1,100%,MIN(40%,$B$10+VLOOKUP($R103,武学奇术!$A:$ZZ,19,FALSE)+SUM(_xlfn.XLOOKUP(S103:AG103,增益!$A:$A,增益!$S:$S,0)))+$B$12+SUM(_xlfn.XLOOKUP(S103:AG103,增益!$A:$A,增益!$V:$V,0)))*IF(VLOOKUP($R103,武学奇术!$A:$ZZ,23,FALSE)=1,0,1)</f>
        <v>0.4495</v>
      </c>
      <c r="BN103" s="21" cm="1">
        <f t="array" ref="BN103">1+$B$14+VLOOKUP($R103,武学奇术!$A:$ZZ,20,FALSE)+SUM(_xlfn.XLOOKUP(S103:AG103,增益!$A:$A,增益!$T:$T,0))</f>
        <v>1.602</v>
      </c>
      <c r="BO103" s="21">
        <f t="shared" si="20"/>
        <v>0.18803265</v>
      </c>
      <c r="BP103" s="21">
        <f t="shared" si="21"/>
        <v>0.2649738</v>
      </c>
      <c r="BQ103" s="21">
        <f>IF(VLOOKUP($R103,武学奇术!$A:$ZZ,22,FALSE)=1,0,(1-$BJ103))*(1-$BM103)</f>
        <v>0.09749355</v>
      </c>
      <c r="BR103" s="21" cm="1">
        <f t="array" ref="BR103">SUM(_xlfn.XLOOKUP(S103:AG103,增益!$A:$A,增益!$W:$W,0))+$I$5</f>
        <v>0.06</v>
      </c>
    </row>
    <row r="104" spans="11:70">
      <c r="K104" s="24">
        <f>$L104*VLOOKUP($R104,武学奇术!$A:$ZZ,31,FALSE)</f>
        <v>0</v>
      </c>
      <c r="L104" s="24">
        <f t="shared" si="11"/>
        <v>0</v>
      </c>
      <c r="M104" s="24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BL104*$Q104*(1+IF(VLOOKUP($R104,武学奇术!$A:$ZZ,30,FALSE)="流血",$B$21,0))*(1+$BR104)</f>
        <v>0</v>
      </c>
      <c r="N104" s="24">
        <f>(($AP104*$AI104+$AJ104)*(1+$AQ104)*(1+$AR104)+($AU104*IF($G$1="鸣金",$AK104,$AI104)+IF($G$1="鸣金",$AL104*1.5,0))*(1+$AV104)*(1+$AW104)+($AY104*IF($G$1="裂石",$AK104,$AI104)+IF($G$1="裂石",$AL104*1.5,0))*(1+$AZ104)*(1+$BA104)+($BC104*IF($G$1="牵丝",$AK104,$AI104)+IF($G$1="牵丝",$AL104*1.5,0))*(1+$BD104)*(1+$BE104)+($BG104*IF($G$1="破竹",$AK104,$AI104)+IF($G$1="破竹",$AL104*1.5,0))*(1+$BH104)*(1+$BI104))*(1+$AM104)*$BN104*$Q104*(1+IF(VLOOKUP($R104,武学奇术!$A:$ZZ,30,FALSE)="流血",$B$21,0))*(1+$BR104)</f>
        <v>0</v>
      </c>
      <c r="O104" s="24">
        <f>((($AO104+$AP104)/2*$AI104+$AJ104)*(1+$AQ104)*(1+$AR104)+(($AT104+$AU104)/2*IF($G$1="鸣金",$AK104,$AI104)+IF($G$1="鸣金",$AL104*1.5,0))*(1+$AV104)*(1+$AW104)+(($AX104+$AY104)/2*IF($G$1="裂石",$AK104,$AI104)+IF($G$1="裂石",$AL104*1.5,0))*(1+$AZ104)*(1+$BA104)+(($BB104+$BC104)/2*IF($G$1="牵丝",$AK104,$AI104)+IF($G$1="牵丝",$AL104*1.5,0))*(1+$BD104)*(1+$BE104)+(($BF104+$BG104)/2*IF($G$1="破竹",$AK104,$AI104)+IF($G$1="破竹",$AL104*1.5,0))*(1+$BH104)*(1+$BI104))*(1+$AM104)*$Q104*(1+IF(VLOOKUP($R104,武学奇术!$A:$ZZ,30,FALSE)="流血",$B$21,0))*(1+$BR104)</f>
        <v>0</v>
      </c>
      <c r="P104" s="24">
        <f>((($AO104*$AI104+$AJ104)*(1+$AQ104)*(1+$AR104)+($AT104*IF($G$1="鸣金",$AK104,$AI104)+IF($G$1="鸣金",$AL104*1.5,0))*(1+$AV104)*(1+$AW104)+($AX104*IF($G$1="裂石",$AK104,$AI104)+IF($G$1="裂石",$AL104*1.5,0))*(1+$AZ104)*(1+$BA104)+($BB104*IF($G$1="牵丝",$AK104,$AI104)+IF($G$1="牵丝",$AL104*1.5,0))*(1+$BD104)*(1+$BE104)+($BF104*IF($G$1="破竹",$AK104,$AI104)+IF($G$1="破竹",$AL104*1.5,0))*(1+$BH104)*(1+$BI104))*(1+$AM104))*$Q104*(1+IF(VLOOKUP($R104,武学奇术!$A:$ZZ,30,FALSE)="流血",$B$21,0))*(1+$BR104)</f>
        <v>0</v>
      </c>
      <c r="Q104" s="31">
        <v>1</v>
      </c>
      <c r="R104" s="32" t="s">
        <v>73</v>
      </c>
      <c r="S104" s="32" t="s">
        <v>73</v>
      </c>
      <c r="T104" s="32" t="s">
        <v>73</v>
      </c>
      <c r="U104" s="32" t="s">
        <v>73</v>
      </c>
      <c r="V104" s="32" t="s">
        <v>73</v>
      </c>
      <c r="W104" s="32" t="s">
        <v>73</v>
      </c>
      <c r="X104" s="32" t="s">
        <v>73</v>
      </c>
      <c r="Y104" s="32" t="s">
        <v>73</v>
      </c>
      <c r="Z104" s="32" t="s">
        <v>73</v>
      </c>
      <c r="AA104" s="32" t="s">
        <v>73</v>
      </c>
      <c r="AB104" s="32" t="s">
        <v>73</v>
      </c>
      <c r="AC104" s="32" t="s">
        <v>73</v>
      </c>
      <c r="AD104" s="32" t="s">
        <v>73</v>
      </c>
      <c r="AE104" s="32" t="s">
        <v>73</v>
      </c>
      <c r="AF104" s="32" t="s">
        <v>73</v>
      </c>
      <c r="AG104" s="32" t="s">
        <v>73</v>
      </c>
      <c r="AH104" t="str">
        <f>VLOOKUP($R104,武学奇术!$A:$ZZ,25,FALSE)</f>
        <v>心法</v>
      </c>
      <c r="AI104" s="21">
        <f>VLOOKUP($R104,武学奇术!$A:$ZZ,26,FALSE)</f>
        <v>0</v>
      </c>
      <c r="AJ104" s="22">
        <f>VLOOKUP($R104,武学奇术!$A:$ZZ,27,FALSE)*(1+IF(OR($AH104=$F$4,$AH104=$F$5),$B$22,0))</f>
        <v>0</v>
      </c>
      <c r="AK104" s="21">
        <f>VLOOKUP($R104,武学奇术!$A:$ZZ,28,FALSE)</f>
        <v>0</v>
      </c>
      <c r="AL104" s="22">
        <f>VLOOKUP($R104,武学奇术!$A:$ZZ,29,FALSE)*(1+IF(OR($AH104=$F$4,$AH104=$F$5),$B$22,0))</f>
        <v>0</v>
      </c>
      <c r="AM104" s="21" cm="1">
        <f t="array" ref="AM104">$G$3+IFERROR(VLOOKUP($AH104,$F$4:$G$7,2,FALSE),0)+VLOOKUP($R104,武学奇术!$A:$ZZ,2,FALSE)+SUM(_xlfn.XLOOKUP($S104:$AG104,增益!$A:$A,增益!$B:$B,0))</f>
        <v>0.1042</v>
      </c>
      <c r="AN104" s="21" cm="1">
        <f t="array" ref="AN104">VLOOKUP($R104,武学奇术!$A:$ZZ,5,FALSE)+SUM(_xlfn.XLOOKUP($S104:$AG104,增益!$A:$A,增益!$E:$E,0))</f>
        <v>0</v>
      </c>
      <c r="AO104" cm="1">
        <f t="array" ref="AO104">$D$10*(1+$AN104)+VLOOKUP($R104,武学奇术!$A:$ZZ,3,FALSE)+SUM(_xlfn.XLOOKUP($S104:$AG104,增益!$A:$A,增益!$C:$C,0))-$I$2</f>
        <v>1794.28</v>
      </c>
      <c r="AP104" cm="1">
        <f t="array" ref="AP104">$E$10*(1+$AN104)+VLOOKUP($R104,武学奇术!$A:$ZZ,4,FALSE)+SUM(_xlfn.XLOOKUP($S104:$AG104,增益!$A:$A,增益!$D:$D,0))-$I$2</f>
        <v>7726.36</v>
      </c>
      <c r="AQ104" s="26" cm="1">
        <f t="array" ref="AQ104">IF($F$10-$I$3+VLOOKUP($R104,武学奇术!$A:$ZZ,6,FALSE)+SUM(_xlfn.XLOOKUP(S104:AG104,增益!$A:$A,增益!$F:$F,0))&gt;0,($F$10-$I$3+VLOOKUP($R104,武学奇术!$A:$ZZ,6,FALSE)+SUM(_xlfn.XLOOKUP(S104:AG104,增益!$A:$A,增益!$F:$F,0)))/200,($F$10-$I$3+VLOOKUP($R104,武学奇术!$A:$ZZ,6,FALSE)+SUM(_xlfn.XLOOKUP(S104:AG104,增益!$A:$A,增益!$F:$F,0)))/100)</f>
        <v>0.194</v>
      </c>
      <c r="AR104" s="26" cm="1">
        <f t="array" ref="AR104">$G$10+VLOOKUP($R104,武学奇术!$A:$ZZ,7,FALSE)+SUM(_xlfn.XLOOKUP(S104:AG104,增益!$A:$A,增益!$G:$G,0))</f>
        <v>0</v>
      </c>
      <c r="AS104" s="21" cm="1">
        <f t="array" ref="AS104">VLOOKUP($R104,武学奇术!$A:$ZZ,8,FALSE)+SUM(_xlfn.XLOOKUP(S104:AG104,增益!$A:$A,增益!$H:$H,0))</f>
        <v>0</v>
      </c>
      <c r="AT104">
        <f t="shared" si="12"/>
        <v>680.02</v>
      </c>
      <c r="AU104">
        <f t="shared" si="13"/>
        <v>1288.54</v>
      </c>
      <c r="AV104" s="26" cm="1">
        <f t="array" ref="AV104">IF($F$11-$I$4+VLOOKUP($R104,武学奇术!$A:$ZZ,9,FALSE)+SUM(_xlfn.XLOOKUP(S104:AG104,增益!$A:$A,增益!$I:$I,0))&gt;0,($F$11-$I$4+VLOOKUP($R104,武学奇术!$A:$ZZ,9,FALSE)+SUM(_xlfn.XLOOKUP(S104:AG104,增益!$A:$A,增益!$I:$I,0)))/200,($F$11-$I$4+VLOOKUP($R104,武学奇术!$A:$ZZ,9,FALSE)+SUM(_xlfn.XLOOKUP(S104:AG104,增益!$A:$A,增益!$I:$I,0)))/100)</f>
        <v>0</v>
      </c>
      <c r="AW104" s="26" cm="1">
        <f t="array" ref="AW104">$G$11+VLOOKUP($R104,武学奇术!$A:$ZZ,10,FALSE)+SUM(_xlfn.XLOOKUP(S104:AG104,增益!$A:$A,增益!$J:$J,0))</f>
        <v>0.15</v>
      </c>
      <c r="AX104">
        <f t="shared" si="14"/>
        <v>0</v>
      </c>
      <c r="AY104">
        <f t="shared" si="15"/>
        <v>0</v>
      </c>
      <c r="AZ104" s="26" cm="1">
        <f t="array" ref="AZ104">IF($F$12-$I$4+VLOOKUP($R104,武学奇术!$A:$ZZ,11,FALSE)+SUM(_xlfn.XLOOKUP(S104:AG104,增益!$A:$A,增益!$K:$K,0))&gt;0,($F$12-$I$4+VLOOKUP($R104,武学奇术!$A:$ZZ,11,FALSE)+SUM(_xlfn.XLOOKUP(S104:AG104,增益!$A:$A,增益!$K:$K,0)))/200,($F$12-$I$4+VLOOKUP($R104,武学奇术!$A:$ZZ,11,FALSE)+SUM(_xlfn.XLOOKUP(S104:AG104,增益!$A:$A,增益!$K:$K,0)))/100)</f>
        <v>-0.3</v>
      </c>
      <c r="BA104" s="26" cm="1">
        <f t="array" ref="BA104">$G$12+VLOOKUP($R104,武学奇术!$A:$ZZ,12,FALSE)+SUM(_xlfn.XLOOKUP(S104:AG104,增益!$A:$A,增益!$L:$L,0))</f>
        <v>0</v>
      </c>
      <c r="BB104">
        <f t="shared" si="16"/>
        <v>0</v>
      </c>
      <c r="BC104">
        <f t="shared" si="17"/>
        <v>0</v>
      </c>
      <c r="BD104" s="26" cm="1">
        <f t="array" ref="BD104">IF($F$13-$I$4+VLOOKUP($R104,武学奇术!$A:$ZZ,13,FALSE)+SUM(_xlfn.XLOOKUP(S104:AG104,增益!$A:$A,增益!$M:$M,0))&gt;0,($F$13-$I$4+VLOOKUP($R104,武学奇术!$A:$ZZ,13,FALSE)+SUM(_xlfn.XLOOKUP(S104:AG104,增益!$A:$A,增益!$K:$K,0)))/200,($F$13-$I$4+VLOOKUP($R104,武学奇术!$A:$ZZ,13,FALSE)+SUM(_xlfn.XLOOKUP(S104:AG104,增益!$A:$A,增益!$M:$M,0)))/100)</f>
        <v>-0.3</v>
      </c>
      <c r="BE104" s="26" cm="1">
        <f t="array" ref="BE104">$G$13+VLOOKUP($R104,武学奇术!$A:$ZZ,14,FALSE)+SUM(_xlfn.XLOOKUP(S104:AG104,增益!$A:$A,增益!$N:$N,0))</f>
        <v>0</v>
      </c>
      <c r="BF104">
        <f t="shared" si="18"/>
        <v>0</v>
      </c>
      <c r="BG104">
        <f t="shared" si="19"/>
        <v>0</v>
      </c>
      <c r="BH104" s="26" cm="1">
        <f t="array" ref="BH104">IF($F$14-$I$4+VLOOKUP($R104,武学奇术!$A:$ZZ,15,FALSE)+SUM(_xlfn.XLOOKUP(S104:AG104,增益!$A:$A,增益!$O:$O,0))&gt;0,($F$14-$I$4+VLOOKUP($R104,武学奇术!$A:$ZZ,15,FALSE)+SUM(_xlfn.XLOOKUP(S104:AG104,增益!$A:$A,增益!$O:$O,0)))/200,($F$14-$I$4+VLOOKUP($R104,武学奇术!$A:$ZZ,15,FALSE)+SUM(_xlfn.XLOOKUP(S104:AG104,增益!$A:$A,增益!$O:$O,0)))/100)</f>
        <v>-0.3</v>
      </c>
      <c r="BI104" s="26" cm="1">
        <f t="array" ref="BI104">$G$14+VLOOKUP($R104,武学奇术!$A:$ZZ,16,FALSE)+SUM(_xlfn.XLOOKUP(S104:AG104,增益!$A:$A,增益!$P:$P,0))</f>
        <v>0</v>
      </c>
      <c r="BJ104" s="21">
        <f>MIN(IF(VLOOKUP($R104,武学奇术!$A:$ZZ,23,FALSE)=1,100%,$B$8),100%)</f>
        <v>0.8229</v>
      </c>
      <c r="BK104" s="21" cm="1">
        <f t="array" ref="BK104">IF(VLOOKUP($R104,武学奇术!$A:$ZZ,23,FALSE)=1,100%,MIN(80%,$B$9+VLOOKUP($R104,武学奇术!$A:$ZZ,17,FALSE)+SUM(_xlfn.XLOOKUP(S104:AG104,增益!$A:$A,增益!$Q:$Q,0)))+$B$11+SUM(_xlfn.XLOOKUP(S104:AG104,增益!$A:$A,增益!$U:$U,0)))*IF(VLOOKUP($R104,武学奇术!$A:$ZZ,24,FALSE)=1,0,1)</f>
        <v>0.2285</v>
      </c>
      <c r="BL104" s="21" cm="1">
        <f t="array" ref="BL104">1+$B$13+VLOOKUP($R104,武学奇术!$A:$ZZ,18,FALSE)+SUM(_xlfn.XLOOKUP(S104:AG104,增益!$A:$A,增益!$R:$R,0))</f>
        <v>1.5</v>
      </c>
      <c r="BM104" s="21" cm="1">
        <f t="array" ref="BM104">IF(VLOOKUP($R104,武学奇术!$A:$ZZ,24,FALSE)=1,100%,MIN(40%,$B$10+VLOOKUP($R104,武学奇术!$A:$ZZ,19,FALSE)+SUM(_xlfn.XLOOKUP(S104:AG104,增益!$A:$A,增益!$S:$S,0)))+$B$12+SUM(_xlfn.XLOOKUP(S104:AG104,增益!$A:$A,增益!$V:$V,0)))*IF(VLOOKUP($R104,武学奇术!$A:$ZZ,23,FALSE)=1,0,1)</f>
        <v>0.4195</v>
      </c>
      <c r="BN104" s="21" cm="1">
        <f t="array" ref="BN104">1+$B$14+VLOOKUP($R104,武学奇术!$A:$ZZ,20,FALSE)+SUM(_xlfn.XLOOKUP(S104:AG104,增益!$A:$A,增益!$T:$T,0))</f>
        <v>1.402</v>
      </c>
      <c r="BO104" s="21">
        <f t="shared" si="20"/>
        <v>0.18803265</v>
      </c>
      <c r="BP104" s="21">
        <f t="shared" si="21"/>
        <v>0.2896608</v>
      </c>
      <c r="BQ104" s="21">
        <f>IF(VLOOKUP($R104,武学奇术!$A:$ZZ,22,FALSE)=1,0,(1-$BJ104))*(1-$BM104)</f>
        <v>0.10280655</v>
      </c>
      <c r="BR104" s="21" cm="1">
        <f t="array" ref="BR104">SUM(_xlfn.XLOOKUP(S104:AG104,增益!$A:$A,增益!$W:$W,0))+$I$5</f>
        <v>0.06</v>
      </c>
    </row>
    <row r="105" spans="11:70">
      <c r="K105" s="24">
        <f>$L105*VLOOKUP($R105,武学奇术!$A:$ZZ,31,FALSE)</f>
        <v>50939.2318805645</v>
      </c>
      <c r="L105" s="24">
        <f t="shared" si="11"/>
        <v>50939.2318805645</v>
      </c>
      <c r="M105" s="24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BL105*$Q105*(1+IF(VLOOKUP($R105,武学奇术!$A:$ZZ,30,FALSE)="流血",$B$21,0))*(1+$BR105)</f>
        <v>48812.2482049414</v>
      </c>
      <c r="N105" s="24">
        <f>(($AP105*$AI105+$AJ105)*(1+$AQ105)*(1+$AR105)+($AU105*IF($G$1="鸣金",$AK105,$AI105)+IF($G$1="鸣金",$AL105*1.5,0))*(1+$AV105)*(1+$AW105)+($AY105*IF($G$1="裂石",$AK105,$AI105)+IF($G$1="裂石",$AL105*1.5,0))*(1+$AZ105)*(1+$BA105)+($BC105*IF($G$1="牵丝",$AK105,$AI105)+IF($G$1="牵丝",$AL105*1.5,0))*(1+$BD105)*(1+$BE105)+($BG105*IF($G$1="破竹",$AK105,$AI105)+IF($G$1="破竹",$AL105*1.5,0))*(1+$BH105)*(1+$BI105))*(1+$AM105)*$BN105*$Q105*(1+IF(VLOOKUP($R105,武学奇术!$A:$ZZ,30,FALSE)="流血",$B$21,0))*(1+$BR105)</f>
        <v>73048.6263518084</v>
      </c>
      <c r="O105" s="24">
        <f>((($AO105+$AP105)/2*$AI105+$AJ105)*(1+$AQ105)*(1+$AR105)+(($AT105+$AU105)/2*IF($G$1="鸣金",$AK105,$AI105)+IF($G$1="鸣金",$AL105*1.5,0))*(1+$AV105)*(1+$AW105)+(($AX105+$AY105)/2*IF($G$1="裂石",$AK105,$AI105)+IF($G$1="裂石",$AL105*1.5,0))*(1+$AZ105)*(1+$BA105)+(($BB105+$BC105)/2*IF($G$1="牵丝",$AK105,$AI105)+IF($G$1="牵丝",$AL105*1.5,0))*(1+$BD105)*(1+$BE105)+(($BF105+$BG105)/2*IF($G$1="破竹",$AK105,$AI105)+IF($G$1="破竹",$AL105*1.5,0))*(1+$BH105)*(1+$BI105))*(1+$AM105)*$Q105*(1+IF(VLOOKUP($R105,武学奇术!$A:$ZZ,30,FALSE)="流血",$B$21,0))*(1+$BR105)</f>
        <v>32541.4988032943</v>
      </c>
      <c r="P105" s="24">
        <f>((($AO105*$AI105+$AJ105)*(1+$AQ105)*(1+$AR105)+($AT105*IF($G$1="鸣金",$AK105,$AI105)+IF($G$1="鸣金",$AL105*1.5,0))*(1+$AV105)*(1+$AW105)+($AX105*IF($G$1="裂石",$AK105,$AI105)+IF($G$1="裂石",$AL105*1.5,0))*(1+$AZ105)*(1+$BA105)+($BB105*IF($G$1="牵丝",$AK105,$AI105)+IF($G$1="牵丝",$AL105*1.5,0))*(1+$BD105)*(1+$BE105)+($BF105*IF($G$1="破竹",$AK105,$AI105)+IF($G$1="破竹",$AL105*1.5,0))*(1+$BH105)*(1+$BI105))*(1+$AM105))*$Q105*(1+IF(VLOOKUP($R105,武学奇术!$A:$ZZ,30,FALSE)="流血",$B$21,0))*(1+$BR105)</f>
        <v>16448.7590234938</v>
      </c>
      <c r="Q105" s="31">
        <v>1</v>
      </c>
      <c r="R105" s="32" t="s">
        <v>174</v>
      </c>
      <c r="S105" s="32" t="s">
        <v>73</v>
      </c>
      <c r="T105" s="32" t="s">
        <v>73</v>
      </c>
      <c r="U105" s="32" t="s">
        <v>73</v>
      </c>
      <c r="V105" s="32" t="s">
        <v>73</v>
      </c>
      <c r="W105" s="32" t="s">
        <v>73</v>
      </c>
      <c r="X105" s="32" t="s">
        <v>127</v>
      </c>
      <c r="Y105" s="32" t="s">
        <v>73</v>
      </c>
      <c r="Z105" s="32" t="s">
        <v>73</v>
      </c>
      <c r="AA105" s="32" t="s">
        <v>73</v>
      </c>
      <c r="AB105" s="32" t="s">
        <v>75</v>
      </c>
      <c r="AC105" s="32" t="s">
        <v>76</v>
      </c>
      <c r="AD105" s="32" t="s">
        <v>82</v>
      </c>
      <c r="AE105" s="32" t="s">
        <v>73</v>
      </c>
      <c r="AF105" s="32" t="s">
        <v>73</v>
      </c>
      <c r="AG105" s="32" t="s">
        <v>178</v>
      </c>
      <c r="AH105" t="str">
        <f>VLOOKUP($R105,武学奇术!$A:$ZZ,25,FALSE)</f>
        <v>剑</v>
      </c>
      <c r="AI105" s="21">
        <f>VLOOKUP($R105,武学奇术!$A:$ZZ,26,FALSE)</f>
        <v>2.7205</v>
      </c>
      <c r="AJ105" s="22">
        <f>VLOOKUP($R105,武学奇术!$A:$ZZ,27,FALSE)*(1+IF(OR($AH105=$F$4,$AH105=$F$5),$B$22,0))</f>
        <v>1123.5</v>
      </c>
      <c r="AK105" s="21">
        <f>VLOOKUP($R105,武学奇术!$A:$ZZ,28,FALSE)</f>
        <v>4.0806</v>
      </c>
      <c r="AL105" s="22">
        <f>VLOOKUP($R105,武学奇术!$A:$ZZ,29,FALSE)*(1+IF(OR($AH105=$F$4,$AH105=$F$5),$B$22,0))</f>
        <v>613.5</v>
      </c>
      <c r="AM105" s="21" cm="1">
        <f t="array" ref="AM105">$G$3+IFERROR(VLOOKUP($AH105,$F$4:$G$7,2,FALSE),0)+VLOOKUP($R105,武学奇术!$A:$ZZ,2,FALSE)+SUM(_xlfn.XLOOKUP($S105:$AG105,增益!$A:$A,增益!$B:$B,0))</f>
        <v>0.3241</v>
      </c>
      <c r="AN105" s="21" cm="1">
        <f t="array" ref="AN105">VLOOKUP($R105,武学奇术!$A:$ZZ,5,FALSE)+SUM(_xlfn.XLOOKUP($S105:$AG105,增益!$A:$A,增益!$E:$E,0))</f>
        <v>0</v>
      </c>
      <c r="AO105" cm="1">
        <f t="array" ref="AO105">$D$10*(1+$AN105)+VLOOKUP($R105,武学奇术!$A:$ZZ,3,FALSE)+SUM(_xlfn.XLOOKUP($S105:$AG105,增益!$A:$A,增益!$C:$C,0))-$I$2</f>
        <v>1794.28</v>
      </c>
      <c r="AP105" cm="1">
        <f t="array" ref="AP105">$E$10*(1+$AN105)+VLOOKUP($R105,武学奇术!$A:$ZZ,4,FALSE)+SUM(_xlfn.XLOOKUP($S105:$AG105,增益!$A:$A,增益!$D:$D,0))-$I$2</f>
        <v>7726.36</v>
      </c>
      <c r="AQ105" s="26" cm="1">
        <f t="array" ref="AQ105">IF($F$10-$I$3+VLOOKUP($R105,武学奇术!$A:$ZZ,6,FALSE)+SUM(_xlfn.XLOOKUP(S105:AG105,增益!$A:$A,增益!$F:$F,0))&gt;0,($F$10-$I$3+VLOOKUP($R105,武学奇术!$A:$ZZ,6,FALSE)+SUM(_xlfn.XLOOKUP(S105:AG105,增益!$A:$A,增益!$F:$F,0)))/200,($F$10-$I$3+VLOOKUP($R105,武学奇术!$A:$ZZ,6,FALSE)+SUM(_xlfn.XLOOKUP(S105:AG105,增益!$A:$A,增益!$F:$F,0)))/100)</f>
        <v>0.244</v>
      </c>
      <c r="AR105" s="26" cm="1">
        <f t="array" ref="AR105">$G$10+VLOOKUP($R105,武学奇术!$A:$ZZ,7,FALSE)+SUM(_xlfn.XLOOKUP(S105:AG105,增益!$A:$A,增益!$G:$G,0))</f>
        <v>0</v>
      </c>
      <c r="AS105" s="21" cm="1">
        <f t="array" ref="AS105">VLOOKUP($R105,武学奇术!$A:$ZZ,8,FALSE)+SUM(_xlfn.XLOOKUP(S105:AG105,增益!$A:$A,增益!$H:$H,0))</f>
        <v>0</v>
      </c>
      <c r="AT105">
        <f t="shared" si="12"/>
        <v>680.02</v>
      </c>
      <c r="AU105">
        <f t="shared" si="13"/>
        <v>1288.54</v>
      </c>
      <c r="AV105" s="26" cm="1">
        <f t="array" ref="AV105">IF($F$11-$I$4+VLOOKUP($R105,武学奇术!$A:$ZZ,9,FALSE)+SUM(_xlfn.XLOOKUP(S105:AG105,增益!$A:$A,增益!$I:$I,0))&gt;0,($F$11-$I$4+VLOOKUP($R105,武学奇术!$A:$ZZ,9,FALSE)+SUM(_xlfn.XLOOKUP(S105:AG105,增益!$A:$A,增益!$I:$I,0)))/200,($F$11-$I$4+VLOOKUP($R105,武学奇术!$A:$ZZ,9,FALSE)+SUM(_xlfn.XLOOKUP(S105:AG105,增益!$A:$A,增益!$I:$I,0)))/100)</f>
        <v>0</v>
      </c>
      <c r="AW105" s="26" cm="1">
        <f t="array" ref="AW105">$G$11+VLOOKUP($R105,武学奇术!$A:$ZZ,10,FALSE)+SUM(_xlfn.XLOOKUP(S105:AG105,增益!$A:$A,增益!$J:$J,0))</f>
        <v>0.15</v>
      </c>
      <c r="AX105">
        <f t="shared" si="14"/>
        <v>0</v>
      </c>
      <c r="AY105">
        <f t="shared" si="15"/>
        <v>0</v>
      </c>
      <c r="AZ105" s="26" cm="1">
        <f t="array" ref="AZ105">IF($F$12-$I$4+VLOOKUP($R105,武学奇术!$A:$ZZ,11,FALSE)+SUM(_xlfn.XLOOKUP(S105:AG105,增益!$A:$A,增益!$K:$K,0))&gt;0,($F$12-$I$4+VLOOKUP($R105,武学奇术!$A:$ZZ,11,FALSE)+SUM(_xlfn.XLOOKUP(S105:AG105,增益!$A:$A,增益!$K:$K,0)))/200,($F$12-$I$4+VLOOKUP($R105,武学奇术!$A:$ZZ,11,FALSE)+SUM(_xlfn.XLOOKUP(S105:AG105,增益!$A:$A,增益!$K:$K,0)))/100)</f>
        <v>-0.3</v>
      </c>
      <c r="BA105" s="26" cm="1">
        <f t="array" ref="BA105">$G$12+VLOOKUP($R105,武学奇术!$A:$ZZ,12,FALSE)+SUM(_xlfn.XLOOKUP(S105:AG105,增益!$A:$A,增益!$L:$L,0))</f>
        <v>0</v>
      </c>
      <c r="BB105">
        <f t="shared" si="16"/>
        <v>0</v>
      </c>
      <c r="BC105">
        <f t="shared" si="17"/>
        <v>0</v>
      </c>
      <c r="BD105" s="26" cm="1">
        <f t="array" ref="BD105">IF($F$13-$I$4+VLOOKUP($R105,武学奇术!$A:$ZZ,13,FALSE)+SUM(_xlfn.XLOOKUP(S105:AG105,增益!$A:$A,增益!$M:$M,0))&gt;0,($F$13-$I$4+VLOOKUP($R105,武学奇术!$A:$ZZ,13,FALSE)+SUM(_xlfn.XLOOKUP(S105:AG105,增益!$A:$A,增益!$K:$K,0)))/200,($F$13-$I$4+VLOOKUP($R105,武学奇术!$A:$ZZ,13,FALSE)+SUM(_xlfn.XLOOKUP(S105:AG105,增益!$A:$A,增益!$M:$M,0)))/100)</f>
        <v>-0.3</v>
      </c>
      <c r="BE105" s="26" cm="1">
        <f t="array" ref="BE105">$G$13+VLOOKUP($R105,武学奇术!$A:$ZZ,14,FALSE)+SUM(_xlfn.XLOOKUP(S105:AG105,增益!$A:$A,增益!$N:$N,0))</f>
        <v>0</v>
      </c>
      <c r="BF105">
        <f t="shared" si="18"/>
        <v>0</v>
      </c>
      <c r="BG105">
        <f t="shared" si="19"/>
        <v>0</v>
      </c>
      <c r="BH105" s="26" cm="1">
        <f t="array" ref="BH105">IF($F$14-$I$4+VLOOKUP($R105,武学奇术!$A:$ZZ,15,FALSE)+SUM(_xlfn.XLOOKUP(S105:AG105,增益!$A:$A,增益!$O:$O,0))&gt;0,($F$14-$I$4+VLOOKUP($R105,武学奇术!$A:$ZZ,15,FALSE)+SUM(_xlfn.XLOOKUP(S105:AG105,增益!$A:$A,增益!$O:$O,0)))/200,($F$14-$I$4+VLOOKUP($R105,武学奇术!$A:$ZZ,15,FALSE)+SUM(_xlfn.XLOOKUP(S105:AG105,增益!$A:$A,增益!$O:$O,0)))/100)</f>
        <v>-0.3</v>
      </c>
      <c r="BI105" s="26" cm="1">
        <f t="array" ref="BI105">$G$14+VLOOKUP($R105,武学奇术!$A:$ZZ,16,FALSE)+SUM(_xlfn.XLOOKUP(S105:AG105,增益!$A:$A,增益!$P:$P,0))</f>
        <v>0</v>
      </c>
      <c r="BJ105" s="21">
        <f>MIN(IF(VLOOKUP($R105,武学奇术!$A:$ZZ,23,FALSE)=1,100%,$B$8),100%)</f>
        <v>0.8229</v>
      </c>
      <c r="BK105" s="21" cm="1">
        <f t="array" ref="BK105">IF(VLOOKUP($R105,武学奇术!$A:$ZZ,23,FALSE)=1,100%,MIN(80%,$B$9+VLOOKUP($R105,武学奇术!$A:$ZZ,17,FALSE)+SUM(_xlfn.XLOOKUP(S105:AG105,增益!$A:$A,增益!$Q:$Q,0)))+$B$11+SUM(_xlfn.XLOOKUP(S105:AG105,增益!$A:$A,增益!$U:$U,0)))*IF(VLOOKUP($R105,武学奇术!$A:$ZZ,24,FALSE)=1,0,1)</f>
        <v>0.2285</v>
      </c>
      <c r="BL105" s="21" cm="1">
        <f t="array" ref="BL105">1+$B$13+VLOOKUP($R105,武学奇术!$A:$ZZ,18,FALSE)+SUM(_xlfn.XLOOKUP(S105:AG105,增益!$A:$A,增益!$R:$R,0))</f>
        <v>1.5</v>
      </c>
      <c r="BM105" s="21" cm="1">
        <f t="array" ref="BM105">IF(VLOOKUP($R105,武学奇术!$A:$ZZ,24,FALSE)=1,100%,MIN(40%,$B$10+VLOOKUP($R105,武学奇术!$A:$ZZ,19,FALSE)+SUM(_xlfn.XLOOKUP(S105:AG105,增益!$A:$A,增益!$S:$S,0)))+$B$12+SUM(_xlfn.XLOOKUP(S105:AG105,增益!$A:$A,增益!$V:$V,0)))*IF(VLOOKUP($R105,武学奇术!$A:$ZZ,23,FALSE)=1,0,1)</f>
        <v>0.4195</v>
      </c>
      <c r="BN105" s="21" cm="1">
        <f t="array" ref="BN105">1+$B$14+VLOOKUP($R105,武学奇术!$A:$ZZ,20,FALSE)+SUM(_xlfn.XLOOKUP(S105:AG105,增益!$A:$A,增益!$T:$T,0))</f>
        <v>1.502</v>
      </c>
      <c r="BO105" s="21">
        <f t="shared" si="20"/>
        <v>0.18803265</v>
      </c>
      <c r="BP105" s="21">
        <f t="shared" si="21"/>
        <v>0.2896608</v>
      </c>
      <c r="BQ105" s="21">
        <f>IF(VLOOKUP($R105,武学奇术!$A:$ZZ,22,FALSE)=1,0,(1-$BJ105))*(1-$BM105)</f>
        <v>0.10280655</v>
      </c>
      <c r="BR105" s="21" cm="1">
        <f t="array" ref="BR105">SUM(_xlfn.XLOOKUP(S105:AG105,增益!$A:$A,增益!$W:$W,0))+$I$5</f>
        <v>0.06</v>
      </c>
    </row>
    <row r="106" spans="11:70">
      <c r="K106" s="24">
        <f>$L106*VLOOKUP($R106,武学奇术!$A:$ZZ,31,FALSE)</f>
        <v>21895.5919465895</v>
      </c>
      <c r="L106" s="24">
        <f t="shared" si="11"/>
        <v>21895.5919465895</v>
      </c>
      <c r="M106" s="24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BL106*$Q106*(1+IF(VLOOKUP($R106,武学奇术!$A:$ZZ,30,FALSE)="流血",$B$21,0))*(1+$BR106)</f>
        <v>20692.1152259271</v>
      </c>
      <c r="N106" s="24">
        <f>(($AP106*$AI106+$AJ106)*(1+$AQ106)*(1+$AR106)+($AU106*IF($G$1="鸣金",$AK106,$AI106)+IF($G$1="鸣金",$AL106*1.5,0))*(1+$AV106)*(1+$AW106)+($AY106*IF($G$1="裂石",$AK106,$AI106)+IF($G$1="裂石",$AL106*1.5,0))*(1+$AZ106)*(1+$BA106)+($BC106*IF($G$1="牵丝",$AK106,$AI106)+IF($G$1="牵丝",$AL106*1.5,0))*(1+$BD106)*(1+$BE106)+($BG106*IF($G$1="破竹",$AK106,$AI106)+IF($G$1="破竹",$AL106*1.5,0))*(1+$BH106)*(1+$BI106))*(1+$AM106)*$BN106*$Q106*(1+IF(VLOOKUP($R106,武学奇术!$A:$ZZ,30,FALSE)="流血",$B$21,0))*(1+$BR106)</f>
        <v>31825.9761294897</v>
      </c>
      <c r="O106" s="24">
        <f>((($AO106+$AP106)/2*$AI106+$AJ106)*(1+$AQ106)*(1+$AR106)+(($AT106+$AU106)/2*IF($G$1="鸣金",$AK106,$AI106)+IF($G$1="鸣金",$AL106*1.5,0))*(1+$AV106)*(1+$AW106)+(($AX106+$AY106)/2*IF($G$1="裂石",$AK106,$AI106)+IF($G$1="裂石",$AL106*1.5,0))*(1+$AZ106)*(1+$BA106)+(($BB106+$BC106)/2*IF($G$1="牵丝",$AK106,$AI106)+IF($G$1="牵丝",$AL106*1.5,0))*(1+$BD106)*(1+$BE106)+(($BF106+$BG106)/2*IF($G$1="破竹",$AK106,$AI106)+IF($G$1="破竹",$AL106*1.5,0))*(1+$BH106)*(1+$BI106))*(1+$AM106)*$Q106*(1+IF(VLOOKUP($R106,武学奇术!$A:$ZZ,30,FALSE)="流血",$B$21,0))*(1+$BR106)</f>
        <v>13794.7434839514</v>
      </c>
      <c r="P106" s="24">
        <f>((($AO106*$AI106+$AJ106)*(1+$AQ106)*(1+$AR106)+($AT106*IF($G$1="鸣金",$AK106,$AI106)+IF($G$1="鸣金",$AL106*1.5,0))*(1+$AV106)*(1+$AW106)+($AX106*IF($G$1="裂石",$AK106,$AI106)+IF($G$1="裂石",$AL106*1.5,0))*(1+$AZ106)*(1+$BA106)+($BB106*IF($G$1="牵丝",$AK106,$AI106)+IF($G$1="牵丝",$AL106*1.5,0))*(1+$BD106)*(1+$BE106)+($BF106*IF($G$1="破竹",$AK106,$AI106)+IF($G$1="破竹",$AL106*1.5,0))*(1+$BH106)*(1+$BI106))*(1+$AM106))*$Q106*(1+IF(VLOOKUP($R106,武学奇术!$A:$ZZ,30,FALSE)="流血",$B$21,0))*(1+$BR106)</f>
        <v>6400.42163535307</v>
      </c>
      <c r="Q106" s="31">
        <v>1</v>
      </c>
      <c r="R106" s="32" t="s">
        <v>114</v>
      </c>
      <c r="S106" s="32" t="s">
        <v>73</v>
      </c>
      <c r="T106" s="32" t="s">
        <v>73</v>
      </c>
      <c r="U106" s="32" t="s">
        <v>73</v>
      </c>
      <c r="V106" s="32" t="s">
        <v>73</v>
      </c>
      <c r="W106" s="32" t="s">
        <v>73</v>
      </c>
      <c r="X106" s="32" t="s">
        <v>127</v>
      </c>
      <c r="Y106" s="32" t="s">
        <v>73</v>
      </c>
      <c r="Z106" s="32" t="s">
        <v>73</v>
      </c>
      <c r="AA106" s="32" t="s">
        <v>81</v>
      </c>
      <c r="AB106" s="32" t="s">
        <v>75</v>
      </c>
      <c r="AC106" s="32" t="s">
        <v>89</v>
      </c>
      <c r="AD106" s="32" t="s">
        <v>82</v>
      </c>
      <c r="AE106" s="32" t="s">
        <v>73</v>
      </c>
      <c r="AF106" s="32" t="s">
        <v>73</v>
      </c>
      <c r="AG106" s="32" t="s">
        <v>178</v>
      </c>
      <c r="AH106" t="str">
        <f>VLOOKUP($R106,武学奇术!$A:$ZZ,25,FALSE)</f>
        <v>单体奇术</v>
      </c>
      <c r="AI106" s="21">
        <f>VLOOKUP($R106,武学奇术!$A:$ZZ,26,FALSE)</f>
        <v>1.28505</v>
      </c>
      <c r="AJ106" s="22">
        <f>VLOOKUP($R106,武学奇术!$A:$ZZ,27,FALSE)*(1+IF(OR($AH106=$F$4,$AH106=$F$5),$B$22,0))</f>
        <v>251</v>
      </c>
      <c r="AK106" s="21">
        <f>VLOOKUP($R106,武学奇术!$A:$ZZ,28,FALSE)</f>
        <v>1.927575</v>
      </c>
      <c r="AL106" s="22">
        <f>VLOOKUP($R106,武学奇术!$A:$ZZ,29,FALSE)*(1+IF(OR($AH106=$F$4,$AH106=$F$5),$B$22,0))</f>
        <v>0</v>
      </c>
      <c r="AM106" s="21" cm="1">
        <f t="array" ref="AM106">$G$3+IFERROR(VLOOKUP($AH106,$F$4:$G$7,2,FALSE),0)+VLOOKUP($R106,武学奇术!$A:$ZZ,2,FALSE)+SUM(_xlfn.XLOOKUP($S106:$AG106,增益!$A:$A,增益!$B:$B,0))</f>
        <v>0.288</v>
      </c>
      <c r="AN106" s="21" cm="1">
        <f t="array" ref="AN106">VLOOKUP($R106,武学奇术!$A:$ZZ,5,FALSE)+SUM(_xlfn.XLOOKUP($S106:$AG106,增益!$A:$A,增益!$E:$E,0))</f>
        <v>0</v>
      </c>
      <c r="AO106" cm="1">
        <f t="array" ref="AO106">$D$10*(1+$AN106)+VLOOKUP($R106,武学奇术!$A:$ZZ,3,FALSE)+SUM(_xlfn.XLOOKUP($S106:$AG106,增益!$A:$A,增益!$C:$C,0))-$I$2</f>
        <v>1794.28</v>
      </c>
      <c r="AP106" cm="1">
        <f t="array" ref="AP106">$E$10*(1+$AN106)+VLOOKUP($R106,武学奇术!$A:$ZZ,4,FALSE)+SUM(_xlfn.XLOOKUP($S106:$AG106,增益!$A:$A,增益!$D:$D,0))-$I$2</f>
        <v>7726.36</v>
      </c>
      <c r="AQ106" s="26" cm="1">
        <f t="array" ref="AQ106">IF($F$10-$I$3+VLOOKUP($R106,武学奇术!$A:$ZZ,6,FALSE)+SUM(_xlfn.XLOOKUP(S106:AG106,增益!$A:$A,增益!$F:$F,0))&gt;0,($F$10-$I$3+VLOOKUP($R106,武学奇术!$A:$ZZ,6,FALSE)+SUM(_xlfn.XLOOKUP(S106:AG106,增益!$A:$A,增益!$F:$F,0)))/200,($F$10-$I$3+VLOOKUP($R106,武学奇术!$A:$ZZ,6,FALSE)+SUM(_xlfn.XLOOKUP(S106:AG106,增益!$A:$A,增益!$F:$F,0)))/100)</f>
        <v>0.244</v>
      </c>
      <c r="AR106" s="26" cm="1">
        <f t="array" ref="AR106">$G$10+VLOOKUP($R106,武学奇术!$A:$ZZ,7,FALSE)+SUM(_xlfn.XLOOKUP(S106:AG106,增益!$A:$A,增益!$G:$G,0))</f>
        <v>0</v>
      </c>
      <c r="AS106" s="21" cm="1">
        <f t="array" ref="AS106">VLOOKUP($R106,武学奇术!$A:$ZZ,8,FALSE)+SUM(_xlfn.XLOOKUP(S106:AG106,增益!$A:$A,增益!$H:$H,0))</f>
        <v>0</v>
      </c>
      <c r="AT106">
        <f t="shared" si="12"/>
        <v>680.02</v>
      </c>
      <c r="AU106">
        <f t="shared" si="13"/>
        <v>1288.54</v>
      </c>
      <c r="AV106" s="26" cm="1">
        <f t="array" ref="AV106">IF($F$11-$I$4+VLOOKUP($R106,武学奇术!$A:$ZZ,9,FALSE)+SUM(_xlfn.XLOOKUP(S106:AG106,增益!$A:$A,增益!$I:$I,0))&gt;0,($F$11-$I$4+VLOOKUP($R106,武学奇术!$A:$ZZ,9,FALSE)+SUM(_xlfn.XLOOKUP(S106:AG106,增益!$A:$A,增益!$I:$I,0)))/200,($F$11-$I$4+VLOOKUP($R106,武学奇术!$A:$ZZ,9,FALSE)+SUM(_xlfn.XLOOKUP(S106:AG106,增益!$A:$A,增益!$I:$I,0)))/100)</f>
        <v>0</v>
      </c>
      <c r="AW106" s="26" cm="1">
        <f t="array" ref="AW106">$G$11+VLOOKUP($R106,武学奇术!$A:$ZZ,10,FALSE)+SUM(_xlfn.XLOOKUP(S106:AG106,增益!$A:$A,增益!$J:$J,0))</f>
        <v>0.15</v>
      </c>
      <c r="AX106">
        <f t="shared" si="14"/>
        <v>0</v>
      </c>
      <c r="AY106">
        <f t="shared" si="15"/>
        <v>0</v>
      </c>
      <c r="AZ106" s="26" cm="1">
        <f t="array" ref="AZ106">IF($F$12-$I$4+VLOOKUP($R106,武学奇术!$A:$ZZ,11,FALSE)+SUM(_xlfn.XLOOKUP(S106:AG106,增益!$A:$A,增益!$K:$K,0))&gt;0,($F$12-$I$4+VLOOKUP($R106,武学奇术!$A:$ZZ,11,FALSE)+SUM(_xlfn.XLOOKUP(S106:AG106,增益!$A:$A,增益!$K:$K,0)))/200,($F$12-$I$4+VLOOKUP($R106,武学奇术!$A:$ZZ,11,FALSE)+SUM(_xlfn.XLOOKUP(S106:AG106,增益!$A:$A,增益!$K:$K,0)))/100)</f>
        <v>-0.3</v>
      </c>
      <c r="BA106" s="26" cm="1">
        <f t="array" ref="BA106">$G$12+VLOOKUP($R106,武学奇术!$A:$ZZ,12,FALSE)+SUM(_xlfn.XLOOKUP(S106:AG106,增益!$A:$A,增益!$L:$L,0))</f>
        <v>0</v>
      </c>
      <c r="BB106">
        <f t="shared" si="16"/>
        <v>0</v>
      </c>
      <c r="BC106">
        <f t="shared" si="17"/>
        <v>0</v>
      </c>
      <c r="BD106" s="26" cm="1">
        <f t="array" ref="BD106">IF($F$13-$I$4+VLOOKUP($R106,武学奇术!$A:$ZZ,13,FALSE)+SUM(_xlfn.XLOOKUP(S106:AG106,增益!$A:$A,增益!$M:$M,0))&gt;0,($F$13-$I$4+VLOOKUP($R106,武学奇术!$A:$ZZ,13,FALSE)+SUM(_xlfn.XLOOKUP(S106:AG106,增益!$A:$A,增益!$K:$K,0)))/200,($F$13-$I$4+VLOOKUP($R106,武学奇术!$A:$ZZ,13,FALSE)+SUM(_xlfn.XLOOKUP(S106:AG106,增益!$A:$A,增益!$M:$M,0)))/100)</f>
        <v>-0.3</v>
      </c>
      <c r="BE106" s="26" cm="1">
        <f t="array" ref="BE106">$G$13+VLOOKUP($R106,武学奇术!$A:$ZZ,14,FALSE)+SUM(_xlfn.XLOOKUP(S106:AG106,增益!$A:$A,增益!$N:$N,0))</f>
        <v>0</v>
      </c>
      <c r="BF106">
        <f t="shared" si="18"/>
        <v>0</v>
      </c>
      <c r="BG106">
        <f t="shared" si="19"/>
        <v>0</v>
      </c>
      <c r="BH106" s="26" cm="1">
        <f t="array" ref="BH106">IF($F$14-$I$4+VLOOKUP($R106,武学奇术!$A:$ZZ,15,FALSE)+SUM(_xlfn.XLOOKUP(S106:AG106,增益!$A:$A,增益!$O:$O,0))&gt;0,($F$14-$I$4+VLOOKUP($R106,武学奇术!$A:$ZZ,15,FALSE)+SUM(_xlfn.XLOOKUP(S106:AG106,增益!$A:$A,增益!$O:$O,0)))/200,($F$14-$I$4+VLOOKUP($R106,武学奇术!$A:$ZZ,15,FALSE)+SUM(_xlfn.XLOOKUP(S106:AG106,增益!$A:$A,增益!$O:$O,0)))/100)</f>
        <v>-0.3</v>
      </c>
      <c r="BI106" s="26" cm="1">
        <f t="array" ref="BI106">$G$14+VLOOKUP($R106,武学奇术!$A:$ZZ,16,FALSE)+SUM(_xlfn.XLOOKUP(S106:AG106,增益!$A:$A,增益!$P:$P,0))</f>
        <v>0</v>
      </c>
      <c r="BJ106" s="21">
        <f>MIN(IF(VLOOKUP($R106,武学奇术!$A:$ZZ,23,FALSE)=1,100%,$B$8),100%)</f>
        <v>0.8229</v>
      </c>
      <c r="BK106" s="21" cm="1">
        <f t="array" ref="BK106">IF(VLOOKUP($R106,武学奇术!$A:$ZZ,23,FALSE)=1,100%,MIN(80%,$B$9+VLOOKUP($R106,武学奇术!$A:$ZZ,17,FALSE)+SUM(_xlfn.XLOOKUP(S106:AG106,增益!$A:$A,增益!$Q:$Q,0)))+$B$11+SUM(_xlfn.XLOOKUP(S106:AG106,增益!$A:$A,增益!$U:$U,0)))*IF(VLOOKUP($R106,武学奇术!$A:$ZZ,24,FALSE)=1,0,1)</f>
        <v>0.2285</v>
      </c>
      <c r="BL106" s="21" cm="1">
        <f t="array" ref="BL106">1+$B$13+VLOOKUP($R106,武学奇术!$A:$ZZ,18,FALSE)+SUM(_xlfn.XLOOKUP(S106:AG106,增益!$A:$A,增益!$R:$R,0))</f>
        <v>1.5</v>
      </c>
      <c r="BM106" s="21" cm="1">
        <f t="array" ref="BM106">IF(VLOOKUP($R106,武学奇术!$A:$ZZ,24,FALSE)=1,100%,MIN(40%,$B$10+VLOOKUP($R106,武学奇术!$A:$ZZ,19,FALSE)+SUM(_xlfn.XLOOKUP(S106:AG106,增益!$A:$A,增益!$S:$S,0)))+$B$12+SUM(_xlfn.XLOOKUP(S106:AG106,增益!$A:$A,增益!$V:$V,0)))*IF(VLOOKUP($R106,武学奇术!$A:$ZZ,23,FALSE)=1,0,1)</f>
        <v>0.4195</v>
      </c>
      <c r="BN106" s="21" cm="1">
        <f t="array" ref="BN106">1+$B$14+VLOOKUP($R106,武学奇术!$A:$ZZ,20,FALSE)+SUM(_xlfn.XLOOKUP(S106:AG106,增益!$A:$A,增益!$T:$T,0))</f>
        <v>1.502</v>
      </c>
      <c r="BO106" s="21">
        <f t="shared" si="20"/>
        <v>0.18803265</v>
      </c>
      <c r="BP106" s="21">
        <f t="shared" si="21"/>
        <v>0.2896608</v>
      </c>
      <c r="BQ106" s="21">
        <f>IF(VLOOKUP($R106,武学奇术!$A:$ZZ,22,FALSE)=1,0,(1-$BJ106))*(1-$BM106)</f>
        <v>0.10280655</v>
      </c>
      <c r="BR106" s="21" cm="1">
        <f t="array" ref="BR106">SUM(_xlfn.XLOOKUP(S106:AG106,增益!$A:$A,增益!$W:$W,0))+$I$5</f>
        <v>0.06</v>
      </c>
    </row>
    <row r="107" spans="11:70">
      <c r="K107" s="24">
        <f>$L107*VLOOKUP($R107,武学奇术!$A:$ZZ,31,FALSE)</f>
        <v>37481.8269582046</v>
      </c>
      <c r="L107" s="24">
        <f t="shared" si="11"/>
        <v>37481.8269582046</v>
      </c>
      <c r="M107" s="24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BL107*$Q107*(1+IF(VLOOKUP($R107,武学奇术!$A:$ZZ,30,FALSE)="流血",$B$21,0))*(1+$BR107)</f>
        <v>35914.5528944432</v>
      </c>
      <c r="N107" s="24">
        <f>(($AP107*$AI107+$AJ107)*(1+$AQ107)*(1+$AR107)+($AU107*IF($G$1="鸣金",$AK107,$AI107)+IF($G$1="鸣金",$AL107*1.5,0))*(1+$AV107)*(1+$AW107)+($AY107*IF($G$1="裂石",$AK107,$AI107)+IF($G$1="裂石",$AL107*1.5,0))*(1+$AZ107)*(1+$BA107)+($BC107*IF($G$1="牵丝",$AK107,$AI107)+IF($G$1="牵丝",$AL107*1.5,0))*(1+$BD107)*(1+$BE107)+($BG107*IF($G$1="破竹",$AK107,$AI107)+IF($G$1="破竹",$AL107*1.5,0))*(1+$BH107)*(1+$BI107))*(1+$AM107)*$BN107*$Q107*(1+IF(VLOOKUP($R107,武学奇术!$A:$ZZ,30,FALSE)="流血",$B$21,0))*(1+$BR107)</f>
        <v>53753.5008854581</v>
      </c>
      <c r="O107" s="24">
        <f>((($AO107+$AP107)/2*$AI107+$AJ107)*(1+$AQ107)*(1+$AR107)+(($AT107+$AU107)/2*IF($G$1="鸣金",$AK107,$AI107)+IF($G$1="鸣金",$AL107*1.5,0))*(1+$AV107)*(1+$AW107)+(($AX107+$AY107)/2*IF($G$1="裂石",$AK107,$AI107)+IF($G$1="裂石",$AL107*1.5,0))*(1+$AZ107)*(1+$BA107)+(($BB107+$BC107)/2*IF($G$1="牵丝",$AK107,$AI107)+IF($G$1="牵丝",$AL107*1.5,0))*(1+$BD107)*(1+$BE107)+(($BF107+$BG107)/2*IF($G$1="破竹",$AK107,$AI107)+IF($G$1="破竹",$AL107*1.5,0))*(1+$BH107)*(1+$BI107))*(1+$AM107)*$Q107*(1+IF(VLOOKUP($R107,武学奇术!$A:$ZZ,30,FALSE)="流血",$B$21,0))*(1+$BR107)</f>
        <v>23943.0352629621</v>
      </c>
      <c r="P107" s="24">
        <f>((($AO107*$AI107+$AJ107)*(1+$AQ107)*(1+$AR107)+($AT107*IF($G$1="鸣金",$AK107,$AI107)+IF($G$1="鸣金",$AL107*1.5,0))*(1+$AV107)*(1+$AW107)+($AX107*IF($G$1="裂石",$AK107,$AI107)+IF($G$1="裂石",$AL107*1.5,0))*(1+$AZ107)*(1+$BA107)+($BB107*IF($G$1="牵丝",$AK107,$AI107)+IF($G$1="牵丝",$AL107*1.5,0))*(1+$BD107)*(1+$BE107)+($BF107*IF($G$1="破竹",$AK107,$AI107)+IF($G$1="破竹",$AL107*1.5,0))*(1+$BH107)*(1+$BI107))*(1+$AM107))*$Q107*(1+IF(VLOOKUP($R107,武学奇术!$A:$ZZ,30,FALSE)="流血",$B$21,0))*(1+$BR107)</f>
        <v>12098.1205356059</v>
      </c>
      <c r="Q107" s="31">
        <v>1</v>
      </c>
      <c r="R107" s="32" t="s">
        <v>80</v>
      </c>
      <c r="S107" s="32" t="s">
        <v>73</v>
      </c>
      <c r="T107" s="32" t="s">
        <v>73</v>
      </c>
      <c r="U107" s="32" t="s">
        <v>73</v>
      </c>
      <c r="V107" s="32" t="s">
        <v>73</v>
      </c>
      <c r="W107" s="32" t="s">
        <v>73</v>
      </c>
      <c r="X107" s="32" t="s">
        <v>127</v>
      </c>
      <c r="Y107" s="32" t="s">
        <v>73</v>
      </c>
      <c r="Z107" s="32" t="s">
        <v>73</v>
      </c>
      <c r="AA107" s="32" t="s">
        <v>81</v>
      </c>
      <c r="AB107" s="32" t="s">
        <v>75</v>
      </c>
      <c r="AC107" s="32" t="s">
        <v>89</v>
      </c>
      <c r="AD107" s="32" t="s">
        <v>82</v>
      </c>
      <c r="AE107" s="32" t="s">
        <v>73</v>
      </c>
      <c r="AF107" s="32" t="s">
        <v>73</v>
      </c>
      <c r="AG107" s="32" t="s">
        <v>178</v>
      </c>
      <c r="AH107" t="str">
        <f>VLOOKUP($R107,武学奇术!$A:$ZZ,25,FALSE)</f>
        <v>枪</v>
      </c>
      <c r="AI107" s="21">
        <f>VLOOKUP($R107,武学奇术!$A:$ZZ,26,FALSE)</f>
        <v>2.1401</v>
      </c>
      <c r="AJ107" s="22">
        <f>VLOOKUP($R107,武学奇术!$A:$ZZ,27,FALSE)*(1+IF(OR($AH107=$F$4,$AH107=$F$5),$B$22,0))</f>
        <v>882</v>
      </c>
      <c r="AK107" s="21">
        <f>VLOOKUP($R107,武学奇术!$A:$ZZ,28,FALSE)</f>
        <v>3.2101</v>
      </c>
      <c r="AL107" s="22">
        <f>VLOOKUP($R107,武学奇术!$A:$ZZ,29,FALSE)*(1+IF(OR($AH107=$F$4,$AH107=$F$5),$B$22,0))</f>
        <v>480</v>
      </c>
      <c r="AM107" s="21" cm="1">
        <f t="array" ref="AM107">$G$3+IFERROR(VLOOKUP($AH107,$F$4:$G$7,2,FALSE),0)+VLOOKUP($R107,武学奇术!$A:$ZZ,2,FALSE)+SUM(_xlfn.XLOOKUP($S107:$AG107,增益!$A:$A,增益!$B:$B,0))</f>
        <v>0.2389</v>
      </c>
      <c r="AN107" s="21" cm="1">
        <f t="array" ref="AN107">VLOOKUP($R107,武学奇术!$A:$ZZ,5,FALSE)+SUM(_xlfn.XLOOKUP($S107:$AG107,增益!$A:$A,增益!$E:$E,0))</f>
        <v>0</v>
      </c>
      <c r="AO107" cm="1">
        <f t="array" ref="AO107">$D$10*(1+$AN107)+VLOOKUP($R107,武学奇术!$A:$ZZ,3,FALSE)+SUM(_xlfn.XLOOKUP($S107:$AG107,增益!$A:$A,增益!$C:$C,0))-$I$2</f>
        <v>1794.28</v>
      </c>
      <c r="AP107" cm="1">
        <f t="array" ref="AP107">$E$10*(1+$AN107)+VLOOKUP($R107,武学奇术!$A:$ZZ,4,FALSE)+SUM(_xlfn.XLOOKUP($S107:$AG107,增益!$A:$A,增益!$D:$D,0))-$I$2</f>
        <v>7726.36</v>
      </c>
      <c r="AQ107" s="26" cm="1">
        <f t="array" ref="AQ107">IF($F$10-$I$3+VLOOKUP($R107,武学奇术!$A:$ZZ,6,FALSE)+SUM(_xlfn.XLOOKUP(S107:AG107,增益!$A:$A,增益!$F:$F,0))&gt;0,($F$10-$I$3+VLOOKUP($R107,武学奇术!$A:$ZZ,6,FALSE)+SUM(_xlfn.XLOOKUP(S107:AG107,增益!$A:$A,增益!$F:$F,0)))/200,($F$10-$I$3+VLOOKUP($R107,武学奇术!$A:$ZZ,6,FALSE)+SUM(_xlfn.XLOOKUP(S107:AG107,增益!$A:$A,增益!$F:$F,0)))/100)</f>
        <v>0.244</v>
      </c>
      <c r="AR107" s="26" cm="1">
        <f t="array" ref="AR107">$G$10+VLOOKUP($R107,武学奇术!$A:$ZZ,7,FALSE)+SUM(_xlfn.XLOOKUP(S107:AG107,增益!$A:$A,增益!$G:$G,0))</f>
        <v>0</v>
      </c>
      <c r="AS107" s="21" cm="1">
        <f t="array" ref="AS107">VLOOKUP($R107,武学奇术!$A:$ZZ,8,FALSE)+SUM(_xlfn.XLOOKUP(S107:AG107,增益!$A:$A,增益!$H:$H,0))</f>
        <v>0</v>
      </c>
      <c r="AT107">
        <f t="shared" si="12"/>
        <v>680.02</v>
      </c>
      <c r="AU107">
        <f t="shared" si="13"/>
        <v>1288.54</v>
      </c>
      <c r="AV107" s="26" cm="1">
        <f t="array" ref="AV107">IF($F$11-$I$4+VLOOKUP($R107,武学奇术!$A:$ZZ,9,FALSE)+SUM(_xlfn.XLOOKUP(S107:AG107,增益!$A:$A,增益!$I:$I,0))&gt;0,($F$11-$I$4+VLOOKUP($R107,武学奇术!$A:$ZZ,9,FALSE)+SUM(_xlfn.XLOOKUP(S107:AG107,增益!$A:$A,增益!$I:$I,0)))/200,($F$11-$I$4+VLOOKUP($R107,武学奇术!$A:$ZZ,9,FALSE)+SUM(_xlfn.XLOOKUP(S107:AG107,增益!$A:$A,增益!$I:$I,0)))/100)</f>
        <v>0</v>
      </c>
      <c r="AW107" s="26" cm="1">
        <f t="array" ref="AW107">$G$11+VLOOKUP($R107,武学奇术!$A:$ZZ,10,FALSE)+SUM(_xlfn.XLOOKUP(S107:AG107,增益!$A:$A,增益!$J:$J,0))</f>
        <v>0.15</v>
      </c>
      <c r="AX107">
        <f t="shared" si="14"/>
        <v>0</v>
      </c>
      <c r="AY107">
        <f t="shared" si="15"/>
        <v>0</v>
      </c>
      <c r="AZ107" s="26" cm="1">
        <f t="array" ref="AZ107">IF($F$12-$I$4+VLOOKUP($R107,武学奇术!$A:$ZZ,11,FALSE)+SUM(_xlfn.XLOOKUP(S107:AG107,增益!$A:$A,增益!$K:$K,0))&gt;0,($F$12-$I$4+VLOOKUP($R107,武学奇术!$A:$ZZ,11,FALSE)+SUM(_xlfn.XLOOKUP(S107:AG107,增益!$A:$A,增益!$K:$K,0)))/200,($F$12-$I$4+VLOOKUP($R107,武学奇术!$A:$ZZ,11,FALSE)+SUM(_xlfn.XLOOKUP(S107:AG107,增益!$A:$A,增益!$K:$K,0)))/100)</f>
        <v>-0.3</v>
      </c>
      <c r="BA107" s="26" cm="1">
        <f t="array" ref="BA107">$G$12+VLOOKUP($R107,武学奇术!$A:$ZZ,12,FALSE)+SUM(_xlfn.XLOOKUP(S107:AG107,增益!$A:$A,增益!$L:$L,0))</f>
        <v>0</v>
      </c>
      <c r="BB107">
        <f t="shared" si="16"/>
        <v>0</v>
      </c>
      <c r="BC107">
        <f t="shared" si="17"/>
        <v>0</v>
      </c>
      <c r="BD107" s="26" cm="1">
        <f t="array" ref="BD107">IF($F$13-$I$4+VLOOKUP($R107,武学奇术!$A:$ZZ,13,FALSE)+SUM(_xlfn.XLOOKUP(S107:AG107,增益!$A:$A,增益!$M:$M,0))&gt;0,($F$13-$I$4+VLOOKUP($R107,武学奇术!$A:$ZZ,13,FALSE)+SUM(_xlfn.XLOOKUP(S107:AG107,增益!$A:$A,增益!$K:$K,0)))/200,($F$13-$I$4+VLOOKUP($R107,武学奇术!$A:$ZZ,13,FALSE)+SUM(_xlfn.XLOOKUP(S107:AG107,增益!$A:$A,增益!$M:$M,0)))/100)</f>
        <v>-0.3</v>
      </c>
      <c r="BE107" s="26" cm="1">
        <f t="array" ref="BE107">$G$13+VLOOKUP($R107,武学奇术!$A:$ZZ,14,FALSE)+SUM(_xlfn.XLOOKUP(S107:AG107,增益!$A:$A,增益!$N:$N,0))</f>
        <v>0</v>
      </c>
      <c r="BF107">
        <f t="shared" si="18"/>
        <v>0</v>
      </c>
      <c r="BG107">
        <f t="shared" si="19"/>
        <v>0</v>
      </c>
      <c r="BH107" s="26" cm="1">
        <f t="array" ref="BH107">IF($F$14-$I$4+VLOOKUP($R107,武学奇术!$A:$ZZ,15,FALSE)+SUM(_xlfn.XLOOKUP(S107:AG107,增益!$A:$A,增益!$O:$O,0))&gt;0,($F$14-$I$4+VLOOKUP($R107,武学奇术!$A:$ZZ,15,FALSE)+SUM(_xlfn.XLOOKUP(S107:AG107,增益!$A:$A,增益!$O:$O,0)))/200,($F$14-$I$4+VLOOKUP($R107,武学奇术!$A:$ZZ,15,FALSE)+SUM(_xlfn.XLOOKUP(S107:AG107,增益!$A:$A,增益!$O:$O,0)))/100)</f>
        <v>-0.3</v>
      </c>
      <c r="BI107" s="26" cm="1">
        <f t="array" ref="BI107">$G$14+VLOOKUP($R107,武学奇术!$A:$ZZ,16,FALSE)+SUM(_xlfn.XLOOKUP(S107:AG107,增益!$A:$A,增益!$P:$P,0))</f>
        <v>0</v>
      </c>
      <c r="BJ107" s="21">
        <f>MIN(IF(VLOOKUP($R107,武学奇术!$A:$ZZ,23,FALSE)=1,100%,$B$8),100%)</f>
        <v>0.8229</v>
      </c>
      <c r="BK107" s="21" cm="1">
        <f t="array" ref="BK107">IF(VLOOKUP($R107,武学奇术!$A:$ZZ,23,FALSE)=1,100%,MIN(80%,$B$9+VLOOKUP($R107,武学奇术!$A:$ZZ,17,FALSE)+SUM(_xlfn.XLOOKUP(S107:AG107,增益!$A:$A,增益!$Q:$Q,0)))+$B$11+SUM(_xlfn.XLOOKUP(S107:AG107,增益!$A:$A,增益!$U:$U,0)))*IF(VLOOKUP($R107,武学奇术!$A:$ZZ,24,FALSE)=1,0,1)</f>
        <v>0.2285</v>
      </c>
      <c r="BL107" s="21" cm="1">
        <f t="array" ref="BL107">1+$B$13+VLOOKUP($R107,武学奇术!$A:$ZZ,18,FALSE)+SUM(_xlfn.XLOOKUP(S107:AG107,增益!$A:$A,增益!$R:$R,0))</f>
        <v>1.5</v>
      </c>
      <c r="BM107" s="21" cm="1">
        <f t="array" ref="BM107">IF(VLOOKUP($R107,武学奇术!$A:$ZZ,24,FALSE)=1,100%,MIN(40%,$B$10+VLOOKUP($R107,武学奇术!$A:$ZZ,19,FALSE)+SUM(_xlfn.XLOOKUP(S107:AG107,增益!$A:$A,增益!$S:$S,0)))+$B$12+SUM(_xlfn.XLOOKUP(S107:AG107,增益!$A:$A,增益!$V:$V,0)))*IF(VLOOKUP($R107,武学奇术!$A:$ZZ,23,FALSE)=1,0,1)</f>
        <v>0.4195</v>
      </c>
      <c r="BN107" s="21" cm="1">
        <f t="array" ref="BN107">1+$B$14+VLOOKUP($R107,武学奇术!$A:$ZZ,20,FALSE)+SUM(_xlfn.XLOOKUP(S107:AG107,增益!$A:$A,增益!$T:$T,0))</f>
        <v>1.502</v>
      </c>
      <c r="BO107" s="21">
        <f t="shared" si="20"/>
        <v>0.18803265</v>
      </c>
      <c r="BP107" s="21">
        <f t="shared" si="21"/>
        <v>0.2896608</v>
      </c>
      <c r="BQ107" s="21">
        <f>IF(VLOOKUP($R107,武学奇术!$A:$ZZ,22,FALSE)=1,0,(1-$BJ107))*(1-$BM107)</f>
        <v>0.10280655</v>
      </c>
      <c r="BR107" s="21" cm="1">
        <f t="array" ref="BR107">SUM(_xlfn.XLOOKUP(S107:AG107,增益!$A:$A,增益!$W:$W,0))+$I$5</f>
        <v>0.06</v>
      </c>
    </row>
    <row r="108" spans="11:70">
      <c r="K108" s="24">
        <f>$L108*VLOOKUP($R108,武学奇术!$A:$ZZ,31,FALSE)</f>
        <v>29182.8847708023</v>
      </c>
      <c r="L108" s="24">
        <f t="shared" si="11"/>
        <v>29182.8847708023</v>
      </c>
      <c r="M108" s="24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BL108*$Q108*(1+IF(VLOOKUP($R108,武学奇术!$A:$ZZ,30,FALSE)="流血",$B$21,0))*(1+$BR108)</f>
        <v>26174.1553151091</v>
      </c>
      <c r="N108" s="24">
        <f>(($AP108*$AI108+$AJ108)*(1+$AQ108)*(1+$AR108)+($AU108*IF($G$1="鸣金",$AK108,$AI108)+IF($G$1="鸣金",$AL108*1.5,0))*(1+$AV108)*(1+$AW108)+($AY108*IF($G$1="裂石",$AK108,$AI108)+IF($G$1="裂石",$AL108*1.5,0))*(1+$AZ108)*(1+$BA108)+($BC108*IF($G$1="牵丝",$AK108,$AI108)+IF($G$1="牵丝",$AL108*1.5,0))*(1+$BD108)*(1+$BE108)+($BG108*IF($G$1="破竹",$AK108,$AI108)+IF($G$1="破竹",$AL108*1.5,0))*(1+$BH108)*(1+$BI108))*(1+$AM108)*$BN108*$Q108*(1+IF(VLOOKUP($R108,武学奇术!$A:$ZZ,30,FALSE)="流血",$B$21,0))*(1+$BR108)</f>
        <v>41774.1909144968</v>
      </c>
      <c r="O108" s="24">
        <f>((($AO108+$AP108)/2*$AI108+$AJ108)*(1+$AQ108)*(1+$AR108)+(($AT108+$AU108)/2*IF($G$1="鸣金",$AK108,$AI108)+IF($G$1="鸣金",$AL108*1.5,0))*(1+$AV108)*(1+$AW108)+(($AX108+$AY108)/2*IF($G$1="裂石",$AK108,$AI108)+IF($G$1="裂石",$AL108*1.5,0))*(1+$AZ108)*(1+$BA108)+(($BB108+$BC108)/2*IF($G$1="牵丝",$AK108,$AI108)+IF($G$1="牵丝",$AL108*1.5,0))*(1+$BD108)*(1+$BE108)+(($BF108+$BG108)/2*IF($G$1="破竹",$AK108,$AI108)+IF($G$1="破竹",$AL108*1.5,0))*(1+$BH108)*(1+$BI108))*(1+$AM108)*$Q108*(1+IF(VLOOKUP($R108,武学奇术!$A:$ZZ,30,FALSE)="流血",$B$21,0))*(1+$BR108)</f>
        <v>17449.4368767394</v>
      </c>
      <c r="P108" s="24">
        <f>((($AO108*$AI108+$AJ108)*(1+$AQ108)*(1+$AR108)+($AT108*IF($G$1="鸣金",$AK108,$AI108)+IF($G$1="鸣金",$AL108*1.5,0))*(1+$AV108)*(1+$AW108)+($AX108*IF($G$1="裂石",$AK108,$AI108)+IF($G$1="裂石",$AL108*1.5,0))*(1+$AZ108)*(1+$BA108)+($BB108*IF($G$1="牵丝",$AK108,$AI108)+IF($G$1="牵丝",$AL108*1.5,0))*(1+$BD108)*(1+$BE108)+($BF108*IF($G$1="破竹",$AK108,$AI108)+IF($G$1="破竹",$AL108*1.5,0))*(1+$BH108)*(1+$BI108))*(1+$AM108))*$Q108*(1+IF(VLOOKUP($R108,武学奇术!$A:$ZZ,30,FALSE)="流血",$B$21,0))*(1+$BR108)</f>
        <v>8822.59977439212</v>
      </c>
      <c r="Q108" s="31">
        <v>1</v>
      </c>
      <c r="R108" s="32" t="s">
        <v>86</v>
      </c>
      <c r="S108" s="32" t="s">
        <v>87</v>
      </c>
      <c r="T108" s="32" t="s">
        <v>104</v>
      </c>
      <c r="U108" s="32" t="s">
        <v>73</v>
      </c>
      <c r="V108" s="32" t="s">
        <v>73</v>
      </c>
      <c r="W108" s="32" t="s">
        <v>73</v>
      </c>
      <c r="X108" s="32" t="s">
        <v>127</v>
      </c>
      <c r="Y108" s="32" t="s">
        <v>73</v>
      </c>
      <c r="Z108" s="32" t="s">
        <v>73</v>
      </c>
      <c r="AA108" s="32" t="s">
        <v>81</v>
      </c>
      <c r="AB108" s="32" t="s">
        <v>75</v>
      </c>
      <c r="AC108" s="32" t="s">
        <v>89</v>
      </c>
      <c r="AD108" s="32" t="s">
        <v>82</v>
      </c>
      <c r="AE108" s="32" t="s">
        <v>73</v>
      </c>
      <c r="AF108" s="32" t="s">
        <v>73</v>
      </c>
      <c r="AG108" s="32" t="s">
        <v>178</v>
      </c>
      <c r="AH108" t="str">
        <f>VLOOKUP($R108,武学奇术!$A:$ZZ,25,FALSE)</f>
        <v>剑</v>
      </c>
      <c r="AI108" s="21">
        <f>VLOOKUP($R108,武学奇术!$A:$ZZ,26,FALSE)</f>
        <v>1.1781</v>
      </c>
      <c r="AJ108" s="22">
        <f>VLOOKUP($R108,武学奇术!$A:$ZZ,27,FALSE)*(1+IF(OR($AH108=$F$4,$AH108=$F$5),$B$22,0))</f>
        <v>489</v>
      </c>
      <c r="AK108" s="21">
        <f>VLOOKUP($R108,武学奇术!$A:$ZZ,28,FALSE)</f>
        <v>1.7672</v>
      </c>
      <c r="AL108" s="22">
        <f>VLOOKUP($R108,武学奇术!$A:$ZZ,29,FALSE)*(1+IF(OR($AH108=$F$4,$AH108=$F$5),$B$22,0))</f>
        <v>265.5</v>
      </c>
      <c r="AM108" s="21" cm="1">
        <f t="array" ref="AM108">$G$3+IFERROR(VLOOKUP($AH108,$F$4:$G$7,2,FALSE),0)+VLOOKUP($R108,武学奇术!$A:$ZZ,2,FALSE)+SUM(_xlfn.XLOOKUP($S108:$AG108,增益!$A:$A,增益!$B:$B,0))</f>
        <v>0.6391</v>
      </c>
      <c r="AN108" s="21" cm="1">
        <f t="array" ref="AN108">VLOOKUP($R108,武学奇术!$A:$ZZ,5,FALSE)+SUM(_xlfn.XLOOKUP($S108:$AG108,增益!$A:$A,增益!$E:$E,0))</f>
        <v>0</v>
      </c>
      <c r="AO108" cm="1">
        <f t="array" ref="AO108">$D$10*(1+$AN108)+VLOOKUP($R108,武学奇术!$A:$ZZ,3,FALSE)+SUM(_xlfn.XLOOKUP($S108:$AG108,增益!$A:$A,增益!$C:$C,0))-$I$2</f>
        <v>1794.28</v>
      </c>
      <c r="AP108" cm="1">
        <f t="array" ref="AP108">$E$10*(1+$AN108)+VLOOKUP($R108,武学奇术!$A:$ZZ,4,FALSE)+SUM(_xlfn.XLOOKUP($S108:$AG108,增益!$A:$A,增益!$D:$D,0))-$I$2</f>
        <v>7726.36</v>
      </c>
      <c r="AQ108" s="26" cm="1">
        <f t="array" ref="AQ108">IF($F$10-$I$3+VLOOKUP($R108,武学奇术!$A:$ZZ,6,FALSE)+SUM(_xlfn.XLOOKUP(S108:AG108,增益!$A:$A,增益!$F:$F,0))&gt;0,($F$10-$I$3+VLOOKUP($R108,武学奇术!$A:$ZZ,6,FALSE)+SUM(_xlfn.XLOOKUP(S108:AG108,增益!$A:$A,增益!$F:$F,0)))/200,($F$10-$I$3+VLOOKUP($R108,武学奇术!$A:$ZZ,6,FALSE)+SUM(_xlfn.XLOOKUP(S108:AG108,增益!$A:$A,增益!$F:$F,0)))/100)</f>
        <v>0.244</v>
      </c>
      <c r="AR108" s="26" cm="1">
        <f t="array" ref="AR108">$G$10+VLOOKUP($R108,武学奇术!$A:$ZZ,7,FALSE)+SUM(_xlfn.XLOOKUP(S108:AG108,增益!$A:$A,增益!$G:$G,0))</f>
        <v>0</v>
      </c>
      <c r="AS108" s="21" cm="1">
        <f t="array" ref="AS108">VLOOKUP($R108,武学奇术!$A:$ZZ,8,FALSE)+SUM(_xlfn.XLOOKUP(S108:AG108,增益!$A:$A,增益!$H:$H,0))</f>
        <v>0</v>
      </c>
      <c r="AT108">
        <f t="shared" si="12"/>
        <v>680.02</v>
      </c>
      <c r="AU108">
        <f t="shared" si="13"/>
        <v>1288.54</v>
      </c>
      <c r="AV108" s="26" cm="1">
        <f t="array" ref="AV108">IF($F$11-$I$4+VLOOKUP($R108,武学奇术!$A:$ZZ,9,FALSE)+SUM(_xlfn.XLOOKUP(S108:AG108,增益!$A:$A,增益!$I:$I,0))&gt;0,($F$11-$I$4+VLOOKUP($R108,武学奇术!$A:$ZZ,9,FALSE)+SUM(_xlfn.XLOOKUP(S108:AG108,增益!$A:$A,增益!$I:$I,0)))/200,($F$11-$I$4+VLOOKUP($R108,武学奇术!$A:$ZZ,9,FALSE)+SUM(_xlfn.XLOOKUP(S108:AG108,增益!$A:$A,增益!$I:$I,0)))/100)</f>
        <v>0</v>
      </c>
      <c r="AW108" s="26" cm="1">
        <f t="array" ref="AW108">$G$11+VLOOKUP($R108,武学奇术!$A:$ZZ,10,FALSE)+SUM(_xlfn.XLOOKUP(S108:AG108,增益!$A:$A,增益!$J:$J,0))</f>
        <v>0.15</v>
      </c>
      <c r="AX108">
        <f t="shared" si="14"/>
        <v>0</v>
      </c>
      <c r="AY108">
        <f t="shared" si="15"/>
        <v>0</v>
      </c>
      <c r="AZ108" s="26" cm="1">
        <f t="array" ref="AZ108">IF($F$12-$I$4+VLOOKUP($R108,武学奇术!$A:$ZZ,11,FALSE)+SUM(_xlfn.XLOOKUP(S108:AG108,增益!$A:$A,增益!$K:$K,0))&gt;0,($F$12-$I$4+VLOOKUP($R108,武学奇术!$A:$ZZ,11,FALSE)+SUM(_xlfn.XLOOKUP(S108:AG108,增益!$A:$A,增益!$K:$K,0)))/200,($F$12-$I$4+VLOOKUP($R108,武学奇术!$A:$ZZ,11,FALSE)+SUM(_xlfn.XLOOKUP(S108:AG108,增益!$A:$A,增益!$K:$K,0)))/100)</f>
        <v>-0.3</v>
      </c>
      <c r="BA108" s="26" cm="1">
        <f t="array" ref="BA108">$G$12+VLOOKUP($R108,武学奇术!$A:$ZZ,12,FALSE)+SUM(_xlfn.XLOOKUP(S108:AG108,增益!$A:$A,增益!$L:$L,0))</f>
        <v>0</v>
      </c>
      <c r="BB108">
        <f t="shared" si="16"/>
        <v>0</v>
      </c>
      <c r="BC108">
        <f t="shared" si="17"/>
        <v>0</v>
      </c>
      <c r="BD108" s="26" cm="1">
        <f t="array" ref="BD108">IF($F$13-$I$4+VLOOKUP($R108,武学奇术!$A:$ZZ,13,FALSE)+SUM(_xlfn.XLOOKUP(S108:AG108,增益!$A:$A,增益!$M:$M,0))&gt;0,($F$13-$I$4+VLOOKUP($R108,武学奇术!$A:$ZZ,13,FALSE)+SUM(_xlfn.XLOOKUP(S108:AG108,增益!$A:$A,增益!$K:$K,0)))/200,($F$13-$I$4+VLOOKUP($R108,武学奇术!$A:$ZZ,13,FALSE)+SUM(_xlfn.XLOOKUP(S108:AG108,增益!$A:$A,增益!$M:$M,0)))/100)</f>
        <v>-0.3</v>
      </c>
      <c r="BE108" s="26" cm="1">
        <f t="array" ref="BE108">$G$13+VLOOKUP($R108,武学奇术!$A:$ZZ,14,FALSE)+SUM(_xlfn.XLOOKUP(S108:AG108,增益!$A:$A,增益!$N:$N,0))</f>
        <v>0</v>
      </c>
      <c r="BF108">
        <f t="shared" si="18"/>
        <v>0</v>
      </c>
      <c r="BG108">
        <f t="shared" si="19"/>
        <v>0</v>
      </c>
      <c r="BH108" s="26" cm="1">
        <f t="array" ref="BH108">IF($F$14-$I$4+VLOOKUP($R108,武学奇术!$A:$ZZ,15,FALSE)+SUM(_xlfn.XLOOKUP(S108:AG108,增益!$A:$A,增益!$O:$O,0))&gt;0,($F$14-$I$4+VLOOKUP($R108,武学奇术!$A:$ZZ,15,FALSE)+SUM(_xlfn.XLOOKUP(S108:AG108,增益!$A:$A,增益!$O:$O,0)))/200,($F$14-$I$4+VLOOKUP($R108,武学奇术!$A:$ZZ,15,FALSE)+SUM(_xlfn.XLOOKUP(S108:AG108,增益!$A:$A,增益!$O:$O,0)))/100)</f>
        <v>-0.3</v>
      </c>
      <c r="BI108" s="26" cm="1">
        <f t="array" ref="BI108">$G$14+VLOOKUP($R108,武学奇术!$A:$ZZ,16,FALSE)+SUM(_xlfn.XLOOKUP(S108:AG108,增益!$A:$A,增益!$P:$P,0))</f>
        <v>0</v>
      </c>
      <c r="BJ108" s="21">
        <f>MIN(IF(VLOOKUP($R108,武学奇术!$A:$ZZ,23,FALSE)=1,100%,$B$8),100%)</f>
        <v>0.8229</v>
      </c>
      <c r="BK108" s="21" cm="1">
        <f t="array" ref="BK108">IF(VLOOKUP($R108,武学奇术!$A:$ZZ,23,FALSE)=1,100%,MIN(80%,$B$9+VLOOKUP($R108,武学奇术!$A:$ZZ,17,FALSE)+SUM(_xlfn.XLOOKUP(S108:AG108,增益!$A:$A,增益!$Q:$Q,0)))+$B$11+SUM(_xlfn.XLOOKUP(S108:AG108,增益!$A:$A,增益!$U:$U,0)))*IF(VLOOKUP($R108,武学奇术!$A:$ZZ,24,FALSE)=1,0,1)</f>
        <v>0.2285</v>
      </c>
      <c r="BL108" s="21" cm="1">
        <f t="array" ref="BL108">1+$B$13+VLOOKUP($R108,武学奇术!$A:$ZZ,18,FALSE)+SUM(_xlfn.XLOOKUP(S108:AG108,增益!$A:$A,增益!$R:$R,0))</f>
        <v>1.5</v>
      </c>
      <c r="BM108" s="21" cm="1">
        <f t="array" ref="BM108">IF(VLOOKUP($R108,武学奇术!$A:$ZZ,24,FALSE)=1,100%,MIN(40%,$B$10+VLOOKUP($R108,武学奇术!$A:$ZZ,19,FALSE)+SUM(_xlfn.XLOOKUP(S108:AG108,增益!$A:$A,增益!$S:$S,0)))+$B$12+SUM(_xlfn.XLOOKUP(S108:AG108,增益!$A:$A,增益!$V:$V,0)))*IF(VLOOKUP($R108,武学奇术!$A:$ZZ,23,FALSE)=1,0,1)</f>
        <v>0.4495</v>
      </c>
      <c r="BN108" s="21" cm="1">
        <f t="array" ref="BN108">1+$B$14+VLOOKUP($R108,武学奇术!$A:$ZZ,20,FALSE)+SUM(_xlfn.XLOOKUP(S108:AG108,增益!$A:$A,增益!$T:$T,0))</f>
        <v>1.602</v>
      </c>
      <c r="BO108" s="21">
        <f t="shared" si="20"/>
        <v>0.18803265</v>
      </c>
      <c r="BP108" s="21">
        <f t="shared" si="21"/>
        <v>0.2649738</v>
      </c>
      <c r="BQ108" s="21">
        <f>IF(VLOOKUP($R108,武学奇术!$A:$ZZ,22,FALSE)=1,0,(1-$BJ108))*(1-$BM108)</f>
        <v>0.09749355</v>
      </c>
      <c r="BR108" s="21" cm="1">
        <f t="array" ref="BR108">SUM(_xlfn.XLOOKUP(S108:AG108,增益!$A:$A,增益!$W:$W,0))+$I$5</f>
        <v>0.06</v>
      </c>
    </row>
    <row r="109" spans="11:70">
      <c r="K109" s="24">
        <f>$L109*VLOOKUP($R109,武学奇术!$A:$ZZ,31,FALSE)</f>
        <v>113310.902151609</v>
      </c>
      <c r="L109" s="24">
        <f t="shared" si="11"/>
        <v>188851.503586015</v>
      </c>
      <c r="M109" s="24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BL109*$Q109*(1+IF(VLOOKUP($R109,武学奇术!$A:$ZZ,30,FALSE)="流血",$B$21,0))*(1+$BR109)</f>
        <v>102402.363859914</v>
      </c>
      <c r="N109" s="24">
        <f>(($AP109*$AI109+$AJ109)*(1+$AQ109)*(1+$AR109)+($AU109*IF($G$1="鸣金",$AK109,$AI109)+IF($G$1="鸣金",$AL109*1.5,0))*(1+$AV109)*(1+$AW109)+($AY109*IF($G$1="裂石",$AK109,$AI109)+IF($G$1="裂石",$AL109*1.5,0))*(1+$AZ109)*(1+$BA109)+($BC109*IF($G$1="牵丝",$AK109,$AI109)+IF($G$1="牵丝",$AL109*1.5,0))*(1+$BD109)*(1+$BE109)+($BG109*IF($G$1="破竹",$AK109,$AI109)+IF($G$1="破竹",$AL109*1.5,0))*(1+$BH109)*(1+$BI109))*(1+$AM109)*$BN109*$Q109*(1+IF(VLOOKUP($R109,武学奇术!$A:$ZZ,30,FALSE)="流血",$B$21,0))*(1+$BR109)</f>
        <v>188851.503586015</v>
      </c>
      <c r="O109" s="24">
        <f>((($AO109+$AP109)/2*$AI109+$AJ109)*(1+$AQ109)*(1+$AR109)+(($AT109+$AU109)/2*IF($G$1="鸣金",$AK109,$AI109)+IF($G$1="鸣金",$AL109*1.5,0))*(1+$AV109)*(1+$AW109)+(($AX109+$AY109)/2*IF($G$1="裂石",$AK109,$AI109)+IF($G$1="裂石",$AL109*1.5,0))*(1+$AZ109)*(1+$BA109)+(($BB109+$BC109)/2*IF($G$1="牵丝",$AK109,$AI109)+IF($G$1="牵丝",$AL109*1.5,0))*(1+$BD109)*(1+$BE109)+(($BF109+$BG109)/2*IF($G$1="破竹",$AK109,$AI109)+IF($G$1="破竹",$AL109*1.5,0))*(1+$BH109)*(1+$BI109))*(1+$AM109)*$Q109*(1+IF(VLOOKUP($R109,武学奇术!$A:$ZZ,30,FALSE)="流血",$B$21,0))*(1+$BR109)</f>
        <v>68268.242573276</v>
      </c>
      <c r="P109" s="24">
        <f>((($AO109*$AI109+$AJ109)*(1+$AQ109)*(1+$AR109)+($AT109*IF($G$1="鸣金",$AK109,$AI109)+IF($G$1="鸣金",$AL109*1.5,0))*(1+$AV109)*(1+$AW109)+($AX109*IF($G$1="裂石",$AK109,$AI109)+IF($G$1="裂石",$AL109*1.5,0))*(1+$AZ109)*(1+$BA109)+($BB109*IF($G$1="牵丝",$AK109,$AI109)+IF($G$1="牵丝",$AL109*1.5,0))*(1+$BD109)*(1+$BE109)+($BF109*IF($G$1="破竹",$AK109,$AI109)+IF($G$1="破竹",$AL109*1.5,0))*(1+$BH109)*(1+$BI109))*(1+$AM109))*$Q109*(1+IF(VLOOKUP($R109,武学奇术!$A:$ZZ,30,FALSE)="流血",$B$21,0))*(1+$BR109)</f>
        <v>30559.2104069253</v>
      </c>
      <c r="Q109" s="31">
        <v>1</v>
      </c>
      <c r="R109" s="32" t="s">
        <v>120</v>
      </c>
      <c r="S109" s="32" t="s">
        <v>87</v>
      </c>
      <c r="T109" s="32" t="s">
        <v>96</v>
      </c>
      <c r="U109" s="32" t="s">
        <v>97</v>
      </c>
      <c r="V109" s="32" t="s">
        <v>98</v>
      </c>
      <c r="W109" s="32" t="s">
        <v>73</v>
      </c>
      <c r="X109" s="32" t="s">
        <v>127</v>
      </c>
      <c r="Y109" s="32" t="s">
        <v>73</v>
      </c>
      <c r="Z109" s="32" t="s">
        <v>73</v>
      </c>
      <c r="AA109" s="32" t="s">
        <v>81</v>
      </c>
      <c r="AB109" s="32" t="s">
        <v>75</v>
      </c>
      <c r="AC109" s="32" t="s">
        <v>89</v>
      </c>
      <c r="AD109" s="32" t="s">
        <v>82</v>
      </c>
      <c r="AE109" s="32" t="s">
        <v>73</v>
      </c>
      <c r="AF109" s="32" t="s">
        <v>73</v>
      </c>
      <c r="AG109" s="32" t="s">
        <v>178</v>
      </c>
      <c r="AH109" t="str">
        <f>VLOOKUP($R109,武学奇术!$A:$ZZ,25,FALSE)</f>
        <v>剑</v>
      </c>
      <c r="AI109" s="21">
        <f>VLOOKUP($R109,武学奇术!$A:$ZZ,26,FALSE)</f>
        <v>2.52</v>
      </c>
      <c r="AJ109" s="22">
        <f>VLOOKUP($R109,武学奇术!$A:$ZZ,27,FALSE)*(1+IF(OR($AH109=$F$4,$AH109=$F$5),$B$22,0))</f>
        <v>0</v>
      </c>
      <c r="AK109" s="21">
        <f>VLOOKUP($R109,武学奇术!$A:$ZZ,28,FALSE)</f>
        <v>3.78</v>
      </c>
      <c r="AL109" s="22">
        <f>VLOOKUP($R109,武学奇术!$A:$ZZ,29,FALSE)*(1+IF(OR($AH109=$F$4,$AH109=$F$5),$B$22,0))</f>
        <v>0</v>
      </c>
      <c r="AM109" s="21" cm="1">
        <f t="array" ref="AM109">$G$3+IFERROR(VLOOKUP($AH109,$F$4:$G$7,2,FALSE),0)+VLOOKUP($R109,武学奇术!$A:$ZZ,2,FALSE)+SUM(_xlfn.XLOOKUP($S109:$AG109,增益!$A:$A,增益!$B:$B,0))</f>
        <v>1.3891</v>
      </c>
      <c r="AN109" s="21" cm="1">
        <f t="array" ref="AN109">VLOOKUP($R109,武学奇术!$A:$ZZ,5,FALSE)+SUM(_xlfn.XLOOKUP($S109:$AG109,增益!$A:$A,增益!$E:$E,0))</f>
        <v>0</v>
      </c>
      <c r="AO109" cm="1">
        <f t="array" ref="AO109">$D$10*(1+$AN109)+VLOOKUP($R109,武学奇术!$A:$ZZ,3,FALSE)+SUM(_xlfn.XLOOKUP($S109:$AG109,增益!$A:$A,增益!$C:$C,0))-$I$2</f>
        <v>1794.28</v>
      </c>
      <c r="AP109" cm="1">
        <f t="array" ref="AP109">$E$10*(1+$AN109)+VLOOKUP($R109,武学奇术!$A:$ZZ,4,FALSE)+SUM(_xlfn.XLOOKUP($S109:$AG109,增益!$A:$A,增益!$D:$D,0))-$I$2</f>
        <v>7726.36</v>
      </c>
      <c r="AQ109" s="26" cm="1">
        <f t="array" ref="AQ109">IF($F$10-$I$3+VLOOKUP($R109,武学奇术!$A:$ZZ,6,FALSE)+SUM(_xlfn.XLOOKUP(S109:AG109,增益!$A:$A,增益!$F:$F,0))&gt;0,($F$10-$I$3+VLOOKUP($R109,武学奇术!$A:$ZZ,6,FALSE)+SUM(_xlfn.XLOOKUP(S109:AG109,增益!$A:$A,增益!$F:$F,0)))/200,($F$10-$I$3+VLOOKUP($R109,武学奇术!$A:$ZZ,6,FALSE)+SUM(_xlfn.XLOOKUP(S109:AG109,增益!$A:$A,增益!$F:$F,0)))/100)</f>
        <v>0.319</v>
      </c>
      <c r="AR109" s="26" cm="1">
        <f t="array" ref="AR109">$G$10+VLOOKUP($R109,武学奇术!$A:$ZZ,7,FALSE)+SUM(_xlfn.XLOOKUP(S109:AG109,增益!$A:$A,增益!$G:$G,0))</f>
        <v>0</v>
      </c>
      <c r="AS109" s="21" cm="1">
        <f t="array" ref="AS109">VLOOKUP($R109,武学奇术!$A:$ZZ,8,FALSE)+SUM(_xlfn.XLOOKUP(S109:AG109,增益!$A:$A,增益!$H:$H,0))</f>
        <v>0</v>
      </c>
      <c r="AT109">
        <f t="shared" si="12"/>
        <v>680.02</v>
      </c>
      <c r="AU109">
        <f t="shared" si="13"/>
        <v>1288.54</v>
      </c>
      <c r="AV109" s="26" cm="1">
        <f t="array" ref="AV109">IF($F$11-$I$4+VLOOKUP($R109,武学奇术!$A:$ZZ,9,FALSE)+SUM(_xlfn.XLOOKUP(S109:AG109,增益!$A:$A,增益!$I:$I,0))&gt;0,($F$11-$I$4+VLOOKUP($R109,武学奇术!$A:$ZZ,9,FALSE)+SUM(_xlfn.XLOOKUP(S109:AG109,增益!$A:$A,增益!$I:$I,0)))/200,($F$11-$I$4+VLOOKUP($R109,武学奇术!$A:$ZZ,9,FALSE)+SUM(_xlfn.XLOOKUP(S109:AG109,增益!$A:$A,增益!$I:$I,0)))/100)</f>
        <v>0.075</v>
      </c>
      <c r="AW109" s="26" cm="1">
        <f t="array" ref="AW109">$G$11+VLOOKUP($R109,武学奇术!$A:$ZZ,10,FALSE)+SUM(_xlfn.XLOOKUP(S109:AG109,增益!$A:$A,增益!$J:$J,0))</f>
        <v>0.15</v>
      </c>
      <c r="AX109">
        <f t="shared" si="14"/>
        <v>0</v>
      </c>
      <c r="AY109">
        <f t="shared" si="15"/>
        <v>0</v>
      </c>
      <c r="AZ109" s="26" cm="1">
        <f t="array" ref="AZ109">IF($F$12-$I$4+VLOOKUP($R109,武学奇术!$A:$ZZ,11,FALSE)+SUM(_xlfn.XLOOKUP(S109:AG109,增益!$A:$A,增益!$K:$K,0))&gt;0,($F$12-$I$4+VLOOKUP($R109,武学奇术!$A:$ZZ,11,FALSE)+SUM(_xlfn.XLOOKUP(S109:AG109,增益!$A:$A,增益!$K:$K,0)))/200,($F$12-$I$4+VLOOKUP($R109,武学奇术!$A:$ZZ,11,FALSE)+SUM(_xlfn.XLOOKUP(S109:AG109,增益!$A:$A,增益!$K:$K,0)))/100)</f>
        <v>-0.3</v>
      </c>
      <c r="BA109" s="26" cm="1">
        <f t="array" ref="BA109">$G$12+VLOOKUP($R109,武学奇术!$A:$ZZ,12,FALSE)+SUM(_xlfn.XLOOKUP(S109:AG109,增益!$A:$A,增益!$L:$L,0))</f>
        <v>0</v>
      </c>
      <c r="BB109">
        <f t="shared" si="16"/>
        <v>0</v>
      </c>
      <c r="BC109">
        <f t="shared" si="17"/>
        <v>0</v>
      </c>
      <c r="BD109" s="26" cm="1">
        <f t="array" ref="BD109">IF($F$13-$I$4+VLOOKUP($R109,武学奇术!$A:$ZZ,13,FALSE)+SUM(_xlfn.XLOOKUP(S109:AG109,增益!$A:$A,增益!$M:$M,0))&gt;0,($F$13-$I$4+VLOOKUP($R109,武学奇术!$A:$ZZ,13,FALSE)+SUM(_xlfn.XLOOKUP(S109:AG109,增益!$A:$A,增益!$K:$K,0)))/200,($F$13-$I$4+VLOOKUP($R109,武学奇术!$A:$ZZ,13,FALSE)+SUM(_xlfn.XLOOKUP(S109:AG109,增益!$A:$A,增益!$M:$M,0)))/100)</f>
        <v>-0.3</v>
      </c>
      <c r="BE109" s="26" cm="1">
        <f t="array" ref="BE109">$G$13+VLOOKUP($R109,武学奇术!$A:$ZZ,14,FALSE)+SUM(_xlfn.XLOOKUP(S109:AG109,增益!$A:$A,增益!$N:$N,0))</f>
        <v>0</v>
      </c>
      <c r="BF109">
        <f t="shared" si="18"/>
        <v>0</v>
      </c>
      <c r="BG109">
        <f t="shared" si="19"/>
        <v>0</v>
      </c>
      <c r="BH109" s="26" cm="1">
        <f t="array" ref="BH109">IF($F$14-$I$4+VLOOKUP($R109,武学奇术!$A:$ZZ,15,FALSE)+SUM(_xlfn.XLOOKUP(S109:AG109,增益!$A:$A,增益!$O:$O,0))&gt;0,($F$14-$I$4+VLOOKUP($R109,武学奇术!$A:$ZZ,15,FALSE)+SUM(_xlfn.XLOOKUP(S109:AG109,增益!$A:$A,增益!$O:$O,0)))/200,($F$14-$I$4+VLOOKUP($R109,武学奇术!$A:$ZZ,15,FALSE)+SUM(_xlfn.XLOOKUP(S109:AG109,增益!$A:$A,增益!$O:$O,0)))/100)</f>
        <v>-0.3</v>
      </c>
      <c r="BI109" s="26" cm="1">
        <f t="array" ref="BI109">$G$14+VLOOKUP($R109,武学奇术!$A:$ZZ,16,FALSE)+SUM(_xlfn.XLOOKUP(S109:AG109,增益!$A:$A,增益!$P:$P,0))</f>
        <v>0</v>
      </c>
      <c r="BJ109" s="21">
        <f>MIN(IF(VLOOKUP($R109,武学奇术!$A:$ZZ,23,FALSE)=1,100%,$B$8),100%)</f>
        <v>0.8229</v>
      </c>
      <c r="BK109" s="21" cm="1">
        <f t="array" ref="BK109">IF(VLOOKUP($R109,武学奇术!$A:$ZZ,23,FALSE)=1,100%,MIN(80%,$B$9+VLOOKUP($R109,武学奇术!$A:$ZZ,17,FALSE)+SUM(_xlfn.XLOOKUP(S109:AG109,增益!$A:$A,增益!$Q:$Q,0)))+$B$11+SUM(_xlfn.XLOOKUP(S109:AG109,增益!$A:$A,增益!$U:$U,0)))*IF(VLOOKUP($R109,武学奇术!$A:$ZZ,24,FALSE)=1,0,1)</f>
        <v>0</v>
      </c>
      <c r="BL109" s="21" cm="1">
        <f t="array" ref="BL109">1+$B$13+VLOOKUP($R109,武学奇术!$A:$ZZ,18,FALSE)+SUM(_xlfn.XLOOKUP(S109:AG109,增益!$A:$A,增益!$R:$R,0))</f>
        <v>1.5</v>
      </c>
      <c r="BM109" s="21" cm="1">
        <f t="array" ref="BM109">IF(VLOOKUP($R109,武学奇术!$A:$ZZ,24,FALSE)=1,100%,MIN(40%,$B$10+VLOOKUP($R109,武学奇术!$A:$ZZ,19,FALSE)+SUM(_xlfn.XLOOKUP(S109:AG109,增益!$A:$A,增益!$S:$S,0)))+$B$12+SUM(_xlfn.XLOOKUP(S109:AG109,增益!$A:$A,增益!$V:$V,0)))*IF(VLOOKUP($R109,武学奇术!$A:$ZZ,23,FALSE)=1,0,1)</f>
        <v>1</v>
      </c>
      <c r="BN109" s="21" cm="1">
        <f t="array" ref="BN109">1+$B$14+VLOOKUP($R109,武学奇术!$A:$ZZ,20,FALSE)+SUM(_xlfn.XLOOKUP(S109:AG109,增益!$A:$A,增益!$T:$T,0))</f>
        <v>1.782</v>
      </c>
      <c r="BO109" s="21">
        <f t="shared" si="20"/>
        <v>0</v>
      </c>
      <c r="BP109" s="21">
        <f t="shared" si="21"/>
        <v>0</v>
      </c>
      <c r="BQ109" s="21">
        <f>IF(VLOOKUP($R109,武学奇术!$A:$ZZ,22,FALSE)=1,0,(1-$BJ109))*(1-$BM109)</f>
        <v>0</v>
      </c>
      <c r="BR109" s="21" cm="1">
        <f t="array" ref="BR109">SUM(_xlfn.XLOOKUP(S109:AG109,增益!$A:$A,增益!$W:$W,0))+$I$5</f>
        <v>0.06</v>
      </c>
    </row>
    <row r="110" spans="11:70">
      <c r="K110" s="24">
        <f>$L110*VLOOKUP($R110,武学奇术!$A:$ZZ,31,FALSE)</f>
        <v>75127.4161598929</v>
      </c>
      <c r="L110" s="24">
        <f t="shared" si="11"/>
        <v>125212.360266488</v>
      </c>
      <c r="M110" s="24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BL110*$Q110*(1+IF(VLOOKUP($R110,武学奇术!$A:$ZZ,30,FALSE)="流血",$B$21,0))*(1+$BR110)</f>
        <v>102402.363859914</v>
      </c>
      <c r="N110" s="24">
        <f>(($AP110*$AI110+$AJ110)*(1+$AQ110)*(1+$AR110)+($AU110*IF($G$1="鸣金",$AK110,$AI110)+IF($G$1="鸣金",$AL110*1.5,0))*(1+$AV110)*(1+$AW110)+($AY110*IF($G$1="裂石",$AK110,$AI110)+IF($G$1="裂石",$AL110*1.5,0))*(1+$AZ110)*(1+$BA110)+($BC110*IF($G$1="牵丝",$AK110,$AI110)+IF($G$1="牵丝",$AL110*1.5,0))*(1+$BD110)*(1+$BE110)+($BG110*IF($G$1="破竹",$AK110,$AI110)+IF($G$1="破竹",$AL110*1.5,0))*(1+$BH110)*(1+$BI110))*(1+$AM110)*$BN110*$Q110*(1+IF(VLOOKUP($R110,武学奇术!$A:$ZZ,30,FALSE)="流血",$B$21,0))*(1+$BR110)</f>
        <v>188851.503586015</v>
      </c>
      <c r="O110" s="24">
        <f>((($AO110+$AP110)/2*$AI110+$AJ110)*(1+$AQ110)*(1+$AR110)+(($AT110+$AU110)/2*IF($G$1="鸣金",$AK110,$AI110)+IF($G$1="鸣金",$AL110*1.5,0))*(1+$AV110)*(1+$AW110)+(($AX110+$AY110)/2*IF($G$1="裂石",$AK110,$AI110)+IF($G$1="裂石",$AL110*1.5,0))*(1+$AZ110)*(1+$BA110)+(($BB110+$BC110)/2*IF($G$1="牵丝",$AK110,$AI110)+IF($G$1="牵丝",$AL110*1.5,0))*(1+$BD110)*(1+$BE110)+(($BF110+$BG110)/2*IF($G$1="破竹",$AK110,$AI110)+IF($G$1="破竹",$AL110*1.5,0))*(1+$BH110)*(1+$BI110))*(1+$AM110)*$Q110*(1+IF(VLOOKUP($R110,武学奇术!$A:$ZZ,30,FALSE)="流血",$B$21,0))*(1+$BR110)</f>
        <v>68268.242573276</v>
      </c>
      <c r="P110" s="24">
        <f>((($AO110*$AI110+$AJ110)*(1+$AQ110)*(1+$AR110)+($AT110*IF($G$1="鸣金",$AK110,$AI110)+IF($G$1="鸣金",$AL110*1.5,0))*(1+$AV110)*(1+$AW110)+($AX110*IF($G$1="裂石",$AK110,$AI110)+IF($G$1="裂石",$AL110*1.5,0))*(1+$AZ110)*(1+$BA110)+($BB110*IF($G$1="牵丝",$AK110,$AI110)+IF($G$1="牵丝",$AL110*1.5,0))*(1+$BD110)*(1+$BE110)+($BF110*IF($G$1="破竹",$AK110,$AI110)+IF($G$1="破竹",$AL110*1.5,0))*(1+$BH110)*(1+$BI110))*(1+$AM110))*$Q110*(1+IF(VLOOKUP($R110,武学奇术!$A:$ZZ,30,FALSE)="流血",$B$21,0))*(1+$BR110)</f>
        <v>30559.2104069253</v>
      </c>
      <c r="Q110" s="31">
        <v>1</v>
      </c>
      <c r="R110" s="32" t="s">
        <v>95</v>
      </c>
      <c r="S110" s="32" t="s">
        <v>87</v>
      </c>
      <c r="T110" s="32" t="s">
        <v>96</v>
      </c>
      <c r="U110" s="32" t="s">
        <v>97</v>
      </c>
      <c r="V110" s="32" t="s">
        <v>98</v>
      </c>
      <c r="W110" s="32" t="s">
        <v>73</v>
      </c>
      <c r="X110" s="32" t="s">
        <v>127</v>
      </c>
      <c r="Y110" s="32" t="s">
        <v>73</v>
      </c>
      <c r="Z110" s="32" t="s">
        <v>73</v>
      </c>
      <c r="AA110" s="32" t="s">
        <v>81</v>
      </c>
      <c r="AB110" s="32" t="s">
        <v>75</v>
      </c>
      <c r="AC110" s="32" t="s">
        <v>89</v>
      </c>
      <c r="AD110" s="32" t="s">
        <v>82</v>
      </c>
      <c r="AE110" s="32" t="s">
        <v>73</v>
      </c>
      <c r="AF110" s="32" t="s">
        <v>73</v>
      </c>
      <c r="AG110" s="32" t="s">
        <v>178</v>
      </c>
      <c r="AH110" t="str">
        <f>VLOOKUP($R110,武学奇术!$A:$ZZ,25,FALSE)</f>
        <v>剑</v>
      </c>
      <c r="AI110" s="21">
        <f>VLOOKUP($R110,武学奇术!$A:$ZZ,26,FALSE)</f>
        <v>2.52</v>
      </c>
      <c r="AJ110" s="22">
        <f>VLOOKUP($R110,武学奇术!$A:$ZZ,27,FALSE)*(1+IF(OR($AH110=$F$4,$AH110=$F$5),$B$22,0))</f>
        <v>0</v>
      </c>
      <c r="AK110" s="21">
        <f>VLOOKUP($R110,武学奇术!$A:$ZZ,28,FALSE)</f>
        <v>3.78</v>
      </c>
      <c r="AL110" s="22">
        <f>VLOOKUP($R110,武学奇术!$A:$ZZ,29,FALSE)*(1+IF(OR($AH110=$F$4,$AH110=$F$5),$B$22,0))</f>
        <v>0</v>
      </c>
      <c r="AM110" s="21" cm="1">
        <f t="array" ref="AM110">$G$3+IFERROR(VLOOKUP($AH110,$F$4:$G$7,2,FALSE),0)+VLOOKUP($R110,武学奇术!$A:$ZZ,2,FALSE)+SUM(_xlfn.XLOOKUP($S110:$AG110,增益!$A:$A,增益!$B:$B,0))</f>
        <v>1.3891</v>
      </c>
      <c r="AN110" s="21" cm="1">
        <f t="array" ref="AN110">VLOOKUP($R110,武学奇术!$A:$ZZ,5,FALSE)+SUM(_xlfn.XLOOKUP($S110:$AG110,增益!$A:$A,增益!$E:$E,0))</f>
        <v>0</v>
      </c>
      <c r="AO110" cm="1">
        <f t="array" ref="AO110">$D$10*(1+$AN110)+VLOOKUP($R110,武学奇术!$A:$ZZ,3,FALSE)+SUM(_xlfn.XLOOKUP($S110:$AG110,增益!$A:$A,增益!$C:$C,0))-$I$2</f>
        <v>1794.28</v>
      </c>
      <c r="AP110" cm="1">
        <f t="array" ref="AP110">$E$10*(1+$AN110)+VLOOKUP($R110,武学奇术!$A:$ZZ,4,FALSE)+SUM(_xlfn.XLOOKUP($S110:$AG110,增益!$A:$A,增益!$D:$D,0))-$I$2</f>
        <v>7726.36</v>
      </c>
      <c r="AQ110" s="26" cm="1">
        <f t="array" ref="AQ110">IF($F$10-$I$3+VLOOKUP($R110,武学奇术!$A:$ZZ,6,FALSE)+SUM(_xlfn.XLOOKUP(S110:AG110,增益!$A:$A,增益!$F:$F,0))&gt;0,($F$10-$I$3+VLOOKUP($R110,武学奇术!$A:$ZZ,6,FALSE)+SUM(_xlfn.XLOOKUP(S110:AG110,增益!$A:$A,增益!$F:$F,0)))/200,($F$10-$I$3+VLOOKUP($R110,武学奇术!$A:$ZZ,6,FALSE)+SUM(_xlfn.XLOOKUP(S110:AG110,增益!$A:$A,增益!$F:$F,0)))/100)</f>
        <v>0.319</v>
      </c>
      <c r="AR110" s="26" cm="1">
        <f t="array" ref="AR110">$G$10+VLOOKUP($R110,武学奇术!$A:$ZZ,7,FALSE)+SUM(_xlfn.XLOOKUP(S110:AG110,增益!$A:$A,增益!$G:$G,0))</f>
        <v>0</v>
      </c>
      <c r="AS110" s="21" cm="1">
        <f t="array" ref="AS110">VLOOKUP($R110,武学奇术!$A:$ZZ,8,FALSE)+SUM(_xlfn.XLOOKUP(S110:AG110,增益!$A:$A,增益!$H:$H,0))</f>
        <v>0</v>
      </c>
      <c r="AT110">
        <f t="shared" si="12"/>
        <v>680.02</v>
      </c>
      <c r="AU110">
        <f t="shared" si="13"/>
        <v>1288.54</v>
      </c>
      <c r="AV110" s="26" cm="1">
        <f t="array" ref="AV110">IF($F$11-$I$4+VLOOKUP($R110,武学奇术!$A:$ZZ,9,FALSE)+SUM(_xlfn.XLOOKUP(S110:AG110,增益!$A:$A,增益!$I:$I,0))&gt;0,($F$11-$I$4+VLOOKUP($R110,武学奇术!$A:$ZZ,9,FALSE)+SUM(_xlfn.XLOOKUP(S110:AG110,增益!$A:$A,增益!$I:$I,0)))/200,($F$11-$I$4+VLOOKUP($R110,武学奇术!$A:$ZZ,9,FALSE)+SUM(_xlfn.XLOOKUP(S110:AG110,增益!$A:$A,增益!$I:$I,0)))/100)</f>
        <v>0.075</v>
      </c>
      <c r="AW110" s="26" cm="1">
        <f t="array" ref="AW110">$G$11+VLOOKUP($R110,武学奇术!$A:$ZZ,10,FALSE)+SUM(_xlfn.XLOOKUP(S110:AG110,增益!$A:$A,增益!$J:$J,0))</f>
        <v>0.15</v>
      </c>
      <c r="AX110">
        <f t="shared" si="14"/>
        <v>0</v>
      </c>
      <c r="AY110">
        <f t="shared" si="15"/>
        <v>0</v>
      </c>
      <c r="AZ110" s="26" cm="1">
        <f t="array" ref="AZ110">IF($F$12-$I$4+VLOOKUP($R110,武学奇术!$A:$ZZ,11,FALSE)+SUM(_xlfn.XLOOKUP(S110:AG110,增益!$A:$A,增益!$K:$K,0))&gt;0,($F$12-$I$4+VLOOKUP($R110,武学奇术!$A:$ZZ,11,FALSE)+SUM(_xlfn.XLOOKUP(S110:AG110,增益!$A:$A,增益!$K:$K,0)))/200,($F$12-$I$4+VLOOKUP($R110,武学奇术!$A:$ZZ,11,FALSE)+SUM(_xlfn.XLOOKUP(S110:AG110,增益!$A:$A,增益!$K:$K,0)))/100)</f>
        <v>-0.3</v>
      </c>
      <c r="BA110" s="26" cm="1">
        <f t="array" ref="BA110">$G$12+VLOOKUP($R110,武学奇术!$A:$ZZ,12,FALSE)+SUM(_xlfn.XLOOKUP(S110:AG110,增益!$A:$A,增益!$L:$L,0))</f>
        <v>0</v>
      </c>
      <c r="BB110">
        <f t="shared" si="16"/>
        <v>0</v>
      </c>
      <c r="BC110">
        <f t="shared" si="17"/>
        <v>0</v>
      </c>
      <c r="BD110" s="26" cm="1">
        <f t="array" ref="BD110">IF($F$13-$I$4+VLOOKUP($R110,武学奇术!$A:$ZZ,13,FALSE)+SUM(_xlfn.XLOOKUP(S110:AG110,增益!$A:$A,增益!$M:$M,0))&gt;0,($F$13-$I$4+VLOOKUP($R110,武学奇术!$A:$ZZ,13,FALSE)+SUM(_xlfn.XLOOKUP(S110:AG110,增益!$A:$A,增益!$K:$K,0)))/200,($F$13-$I$4+VLOOKUP($R110,武学奇术!$A:$ZZ,13,FALSE)+SUM(_xlfn.XLOOKUP(S110:AG110,增益!$A:$A,增益!$M:$M,0)))/100)</f>
        <v>-0.3</v>
      </c>
      <c r="BE110" s="26" cm="1">
        <f t="array" ref="BE110">$G$13+VLOOKUP($R110,武学奇术!$A:$ZZ,14,FALSE)+SUM(_xlfn.XLOOKUP(S110:AG110,增益!$A:$A,增益!$N:$N,0))</f>
        <v>0</v>
      </c>
      <c r="BF110">
        <f t="shared" si="18"/>
        <v>0</v>
      </c>
      <c r="BG110">
        <f t="shared" si="19"/>
        <v>0</v>
      </c>
      <c r="BH110" s="26" cm="1">
        <f t="array" ref="BH110">IF($F$14-$I$4+VLOOKUP($R110,武学奇术!$A:$ZZ,15,FALSE)+SUM(_xlfn.XLOOKUP(S110:AG110,增益!$A:$A,增益!$O:$O,0))&gt;0,($F$14-$I$4+VLOOKUP($R110,武学奇术!$A:$ZZ,15,FALSE)+SUM(_xlfn.XLOOKUP(S110:AG110,增益!$A:$A,增益!$O:$O,0)))/200,($F$14-$I$4+VLOOKUP($R110,武学奇术!$A:$ZZ,15,FALSE)+SUM(_xlfn.XLOOKUP(S110:AG110,增益!$A:$A,增益!$O:$O,0)))/100)</f>
        <v>-0.3</v>
      </c>
      <c r="BI110" s="26" cm="1">
        <f t="array" ref="BI110">$G$14+VLOOKUP($R110,武学奇术!$A:$ZZ,16,FALSE)+SUM(_xlfn.XLOOKUP(S110:AG110,增益!$A:$A,增益!$P:$P,0))</f>
        <v>0</v>
      </c>
      <c r="BJ110" s="21">
        <f>MIN(IF(VLOOKUP($R110,武学奇术!$A:$ZZ,23,FALSE)=1,100%,$B$8),100%)</f>
        <v>0.8229</v>
      </c>
      <c r="BK110" s="21" cm="1">
        <f t="array" ref="BK110">IF(VLOOKUP($R110,武学奇术!$A:$ZZ,23,FALSE)=1,100%,MIN(80%,$B$9+VLOOKUP($R110,武学奇术!$A:$ZZ,17,FALSE)+SUM(_xlfn.XLOOKUP(S110:AG110,增益!$A:$A,增益!$Q:$Q,0)))+$B$11+SUM(_xlfn.XLOOKUP(S110:AG110,增益!$A:$A,增益!$U:$U,0)))*IF(VLOOKUP($R110,武学奇术!$A:$ZZ,24,FALSE)=1,0,1)</f>
        <v>0.2285</v>
      </c>
      <c r="BL110" s="21" cm="1">
        <f t="array" ref="BL110">1+$B$13+VLOOKUP($R110,武学奇术!$A:$ZZ,18,FALSE)+SUM(_xlfn.XLOOKUP(S110:AG110,增益!$A:$A,增益!$R:$R,0))</f>
        <v>1.5</v>
      </c>
      <c r="BM110" s="21" cm="1">
        <f t="array" ref="BM110">IF(VLOOKUP($R110,武学奇术!$A:$ZZ,24,FALSE)=1,100%,MIN(40%,$B$10+VLOOKUP($R110,武学奇术!$A:$ZZ,19,FALSE)+SUM(_xlfn.XLOOKUP(S110:AG110,增益!$A:$A,增益!$S:$S,0)))+$B$12+SUM(_xlfn.XLOOKUP(S110:AG110,增益!$A:$A,增益!$V:$V,0)))*IF(VLOOKUP($R110,武学奇术!$A:$ZZ,23,FALSE)=1,0,1)</f>
        <v>0.4495</v>
      </c>
      <c r="BN110" s="21" cm="1">
        <f t="array" ref="BN110">1+$B$14+VLOOKUP($R110,武学奇术!$A:$ZZ,20,FALSE)+SUM(_xlfn.XLOOKUP(S110:AG110,增益!$A:$A,增益!$T:$T,0))</f>
        <v>1.782</v>
      </c>
      <c r="BO110" s="21">
        <f t="shared" si="20"/>
        <v>0.18803265</v>
      </c>
      <c r="BP110" s="21">
        <f t="shared" si="21"/>
        <v>0.2649738</v>
      </c>
      <c r="BQ110" s="21">
        <f>IF(VLOOKUP($R110,武学奇术!$A:$ZZ,22,FALSE)=1,0,(1-$BJ110))*(1-$BM110)</f>
        <v>0.09749355</v>
      </c>
      <c r="BR110" s="21" cm="1">
        <f t="array" ref="BR110">SUM(_xlfn.XLOOKUP(S110:AG110,增益!$A:$A,增益!$W:$W,0))+$I$5</f>
        <v>0.06</v>
      </c>
    </row>
    <row r="111" spans="11:70">
      <c r="K111" s="24">
        <f>$L111*VLOOKUP($R111,武学奇术!$A:$ZZ,31,FALSE)</f>
        <v>14140.6630595268</v>
      </c>
      <c r="L111" s="24">
        <f t="shared" si="11"/>
        <v>14140.6630595268</v>
      </c>
      <c r="M111" s="24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BL111*$Q111*(1+IF(VLOOKUP($R111,武学奇术!$A:$ZZ,30,FALSE)="流血",$B$21,0))*(1+$BR111)</f>
        <v>12411.4255420891</v>
      </c>
      <c r="N111" s="24">
        <f>(($AP111*$AI111+$AJ111)*(1+$AQ111)*(1+$AR111)+($AU111*IF($G$1="鸣金",$AK111,$AI111)+IF($G$1="鸣金",$AL111*1.5,0))*(1+$AV111)*(1+$AW111)+($AY111*IF($G$1="裂石",$AK111,$AI111)+IF($G$1="裂石",$AL111*1.5,0))*(1+$AZ111)*(1+$BA111)+($BC111*IF($G$1="牵丝",$AK111,$AI111)+IF($G$1="牵丝",$AL111*1.5,0))*(1+$BD111)*(1+$BE111)+($BG111*IF($G$1="破竹",$AK111,$AI111)+IF($G$1="破竹",$AL111*1.5,0))*(1+$BH111)*(1+$BI111))*(1+$AM111)*$BN111*$Q111*(1+IF(VLOOKUP($R111,武学奇术!$A:$ZZ,30,FALSE)="流血",$B$21,0))*(1+$BR111)</f>
        <v>20587.1996219769</v>
      </c>
      <c r="O111" s="24">
        <f>((($AO111+$AP111)/2*$AI111+$AJ111)*(1+$AQ111)*(1+$AR111)+(($AT111+$AU111)/2*IF($G$1="鸣金",$AK111,$AI111)+IF($G$1="鸣金",$AL111*1.5,0))*(1+$AV111)*(1+$AW111)+(($AX111+$AY111)/2*IF($G$1="裂石",$AK111,$AI111)+IF($G$1="裂石",$AL111*1.5,0))*(1+$AZ111)*(1+$BA111)+(($BB111+$BC111)/2*IF($G$1="牵丝",$AK111,$AI111)+IF($G$1="牵丝",$AL111*1.5,0))*(1+$BD111)*(1+$BE111)+(($BF111+$BG111)/2*IF($G$1="破竹",$AK111,$AI111)+IF($G$1="破竹",$AL111*1.5,0))*(1+$BH111)*(1+$BI111))*(1+$AM111)*$Q111*(1+IF(VLOOKUP($R111,武学奇术!$A:$ZZ,30,FALSE)="流血",$B$21,0))*(1+$BR111)</f>
        <v>8274.28369472605</v>
      </c>
      <c r="P111" s="24">
        <f>((($AO111*$AI111+$AJ111)*(1+$AQ111)*(1+$AR111)+($AT111*IF($G$1="鸣金",$AK111,$AI111)+IF($G$1="鸣金",$AL111*1.5,0))*(1+$AV111)*(1+$AW111)+($AX111*IF($G$1="裂石",$AK111,$AI111)+IF($G$1="裂石",$AL111*1.5,0))*(1+$AZ111)*(1+$BA111)+($BB111*IF($G$1="牵丝",$AK111,$AI111)+IF($G$1="牵丝",$AL111*1.5,0))*(1+$BD111)*(1+$BE111)+($BF111*IF($G$1="破竹",$AK111,$AI111)+IF($G$1="破竹",$AL111*1.5,0))*(1+$BH111)*(1+$BI111))*(1+$AM111))*$Q111*(1+IF(VLOOKUP($R111,武学奇术!$A:$ZZ,30,FALSE)="流血",$B$21,0))*(1+$BR111)</f>
        <v>3697.63129583358</v>
      </c>
      <c r="Q111" s="31">
        <v>1</v>
      </c>
      <c r="R111" s="32" t="s">
        <v>103</v>
      </c>
      <c r="S111" s="32" t="s">
        <v>87</v>
      </c>
      <c r="T111" s="32" t="s">
        <v>104</v>
      </c>
      <c r="U111" s="32" t="s">
        <v>73</v>
      </c>
      <c r="V111" s="32" t="s">
        <v>73</v>
      </c>
      <c r="W111" s="32" t="s">
        <v>73</v>
      </c>
      <c r="X111" s="32" t="s">
        <v>127</v>
      </c>
      <c r="Y111" s="32" t="s">
        <v>73</v>
      </c>
      <c r="Z111" s="32" t="s">
        <v>73</v>
      </c>
      <c r="AA111" s="32" t="s">
        <v>81</v>
      </c>
      <c r="AB111" s="32" t="s">
        <v>75</v>
      </c>
      <c r="AC111" s="32" t="s">
        <v>89</v>
      </c>
      <c r="AD111" s="32" t="s">
        <v>82</v>
      </c>
      <c r="AE111" s="32" t="s">
        <v>73</v>
      </c>
      <c r="AF111" s="32" t="s">
        <v>73</v>
      </c>
      <c r="AG111" s="32" t="s">
        <v>178</v>
      </c>
      <c r="AH111" t="str">
        <f>VLOOKUP($R111,武学奇术!$A:$ZZ,25,FALSE)</f>
        <v>剑</v>
      </c>
      <c r="AI111" s="21">
        <f>VLOOKUP($R111,武学奇术!$A:$ZZ,26,FALSE)</f>
        <v>0.625</v>
      </c>
      <c r="AJ111" s="22">
        <f>VLOOKUP($R111,武学奇术!$A:$ZZ,27,FALSE)*(1+IF(OR($AH111=$F$4,$AH111=$F$5),$B$22,0))</f>
        <v>0</v>
      </c>
      <c r="AK111" s="21">
        <f>VLOOKUP($R111,武学奇术!$A:$ZZ,28,FALSE)</f>
        <v>0.9375</v>
      </c>
      <c r="AL111" s="22">
        <f>VLOOKUP($R111,武学奇术!$A:$ZZ,29,FALSE)*(1+IF(OR($AH111=$F$4,$AH111=$F$5),$B$22,0))</f>
        <v>0</v>
      </c>
      <c r="AM111" s="21" cm="1">
        <f t="array" ref="AM111">$G$3+IFERROR(VLOOKUP($AH111,$F$4:$G$7,2,FALSE),0)+VLOOKUP($R111,武学奇术!$A:$ZZ,2,FALSE)+SUM(_xlfn.XLOOKUP($S111:$AG111,增益!$A:$A,增益!$B:$B,0))</f>
        <v>0.6391</v>
      </c>
      <c r="AN111" s="21" cm="1">
        <f t="array" ref="AN111">VLOOKUP($R111,武学奇术!$A:$ZZ,5,FALSE)+SUM(_xlfn.XLOOKUP($S111:$AG111,增益!$A:$A,增益!$E:$E,0))</f>
        <v>0</v>
      </c>
      <c r="AO111" cm="1">
        <f t="array" ref="AO111">$D$10*(1+$AN111)+VLOOKUP($R111,武学奇术!$A:$ZZ,3,FALSE)+SUM(_xlfn.XLOOKUP($S111:$AG111,增益!$A:$A,增益!$C:$C,0))-$I$2</f>
        <v>1794.28</v>
      </c>
      <c r="AP111" cm="1">
        <f t="array" ref="AP111">$E$10*(1+$AN111)+VLOOKUP($R111,武学奇术!$A:$ZZ,4,FALSE)+SUM(_xlfn.XLOOKUP($S111:$AG111,增益!$A:$A,增益!$D:$D,0))-$I$2</f>
        <v>7726.36</v>
      </c>
      <c r="AQ111" s="26" cm="1">
        <f t="array" ref="AQ111">IF($F$10-$I$3+VLOOKUP($R111,武学奇术!$A:$ZZ,6,FALSE)+SUM(_xlfn.XLOOKUP(S111:AG111,增益!$A:$A,增益!$F:$F,0))&gt;0,($F$10-$I$3+VLOOKUP($R111,武学奇术!$A:$ZZ,6,FALSE)+SUM(_xlfn.XLOOKUP(S111:AG111,增益!$A:$A,增益!$F:$F,0)))/200,($F$10-$I$3+VLOOKUP($R111,武学奇术!$A:$ZZ,6,FALSE)+SUM(_xlfn.XLOOKUP(S111:AG111,增益!$A:$A,增益!$F:$F,0)))/100)</f>
        <v>0.244</v>
      </c>
      <c r="AR111" s="26" cm="1">
        <f t="array" ref="AR111">$G$10+VLOOKUP($R111,武学奇术!$A:$ZZ,7,FALSE)+SUM(_xlfn.XLOOKUP(S111:AG111,增益!$A:$A,增益!$G:$G,0))</f>
        <v>0</v>
      </c>
      <c r="AS111" s="21" cm="1">
        <f t="array" ref="AS111">VLOOKUP($R111,武学奇术!$A:$ZZ,8,FALSE)+SUM(_xlfn.XLOOKUP(S111:AG111,增益!$A:$A,增益!$H:$H,0))</f>
        <v>0</v>
      </c>
      <c r="AT111">
        <f t="shared" si="12"/>
        <v>680.02</v>
      </c>
      <c r="AU111">
        <f t="shared" si="13"/>
        <v>1288.54</v>
      </c>
      <c r="AV111" s="26" cm="1">
        <f t="array" ref="AV111">IF($F$11-$I$4+VLOOKUP($R111,武学奇术!$A:$ZZ,9,FALSE)+SUM(_xlfn.XLOOKUP(S111:AG111,增益!$A:$A,增益!$I:$I,0))&gt;0,($F$11-$I$4+VLOOKUP($R111,武学奇术!$A:$ZZ,9,FALSE)+SUM(_xlfn.XLOOKUP(S111:AG111,增益!$A:$A,增益!$I:$I,0)))/200,($F$11-$I$4+VLOOKUP($R111,武学奇术!$A:$ZZ,9,FALSE)+SUM(_xlfn.XLOOKUP(S111:AG111,增益!$A:$A,增益!$I:$I,0)))/100)</f>
        <v>0</v>
      </c>
      <c r="AW111" s="26" cm="1">
        <f t="array" ref="AW111">$G$11+VLOOKUP($R111,武学奇术!$A:$ZZ,10,FALSE)+SUM(_xlfn.XLOOKUP(S111:AG111,增益!$A:$A,增益!$J:$J,0))</f>
        <v>0.15</v>
      </c>
      <c r="AX111">
        <f t="shared" si="14"/>
        <v>0</v>
      </c>
      <c r="AY111">
        <f t="shared" si="15"/>
        <v>0</v>
      </c>
      <c r="AZ111" s="26" cm="1">
        <f t="array" ref="AZ111">IF($F$12-$I$4+VLOOKUP($R111,武学奇术!$A:$ZZ,11,FALSE)+SUM(_xlfn.XLOOKUP(S111:AG111,增益!$A:$A,增益!$K:$K,0))&gt;0,($F$12-$I$4+VLOOKUP($R111,武学奇术!$A:$ZZ,11,FALSE)+SUM(_xlfn.XLOOKUP(S111:AG111,增益!$A:$A,增益!$K:$K,0)))/200,($F$12-$I$4+VLOOKUP($R111,武学奇术!$A:$ZZ,11,FALSE)+SUM(_xlfn.XLOOKUP(S111:AG111,增益!$A:$A,增益!$K:$K,0)))/100)</f>
        <v>-0.3</v>
      </c>
      <c r="BA111" s="26" cm="1">
        <f t="array" ref="BA111">$G$12+VLOOKUP($R111,武学奇术!$A:$ZZ,12,FALSE)+SUM(_xlfn.XLOOKUP(S111:AG111,增益!$A:$A,增益!$L:$L,0))</f>
        <v>0</v>
      </c>
      <c r="BB111">
        <f t="shared" si="16"/>
        <v>0</v>
      </c>
      <c r="BC111">
        <f t="shared" si="17"/>
        <v>0</v>
      </c>
      <c r="BD111" s="26" cm="1">
        <f t="array" ref="BD111">IF($F$13-$I$4+VLOOKUP($R111,武学奇术!$A:$ZZ,13,FALSE)+SUM(_xlfn.XLOOKUP(S111:AG111,增益!$A:$A,增益!$M:$M,0))&gt;0,($F$13-$I$4+VLOOKUP($R111,武学奇术!$A:$ZZ,13,FALSE)+SUM(_xlfn.XLOOKUP(S111:AG111,增益!$A:$A,增益!$K:$K,0)))/200,($F$13-$I$4+VLOOKUP($R111,武学奇术!$A:$ZZ,13,FALSE)+SUM(_xlfn.XLOOKUP(S111:AG111,增益!$A:$A,增益!$M:$M,0)))/100)</f>
        <v>-0.3</v>
      </c>
      <c r="BE111" s="26" cm="1">
        <f t="array" ref="BE111">$G$13+VLOOKUP($R111,武学奇术!$A:$ZZ,14,FALSE)+SUM(_xlfn.XLOOKUP(S111:AG111,增益!$A:$A,增益!$N:$N,0))</f>
        <v>0</v>
      </c>
      <c r="BF111">
        <f t="shared" si="18"/>
        <v>0</v>
      </c>
      <c r="BG111">
        <f t="shared" si="19"/>
        <v>0</v>
      </c>
      <c r="BH111" s="26" cm="1">
        <f t="array" ref="BH111">IF($F$14-$I$4+VLOOKUP($R111,武学奇术!$A:$ZZ,15,FALSE)+SUM(_xlfn.XLOOKUP(S111:AG111,增益!$A:$A,增益!$O:$O,0))&gt;0,($F$14-$I$4+VLOOKUP($R111,武学奇术!$A:$ZZ,15,FALSE)+SUM(_xlfn.XLOOKUP(S111:AG111,增益!$A:$A,增益!$O:$O,0)))/200,($F$14-$I$4+VLOOKUP($R111,武学奇术!$A:$ZZ,15,FALSE)+SUM(_xlfn.XLOOKUP(S111:AG111,增益!$A:$A,增益!$O:$O,0)))/100)</f>
        <v>-0.3</v>
      </c>
      <c r="BI111" s="26" cm="1">
        <f t="array" ref="BI111">$G$14+VLOOKUP($R111,武学奇术!$A:$ZZ,16,FALSE)+SUM(_xlfn.XLOOKUP(S111:AG111,增益!$A:$A,增益!$P:$P,0))</f>
        <v>0</v>
      </c>
      <c r="BJ111" s="21">
        <f>MIN(IF(VLOOKUP($R111,武学奇术!$A:$ZZ,23,FALSE)=1,100%,$B$8),100%)</f>
        <v>0.8229</v>
      </c>
      <c r="BK111" s="21" cm="1">
        <f t="array" ref="BK111">IF(VLOOKUP($R111,武学奇术!$A:$ZZ,23,FALSE)=1,100%,MIN(80%,$B$9+VLOOKUP($R111,武学奇术!$A:$ZZ,17,FALSE)+SUM(_xlfn.XLOOKUP(S111:AG111,增益!$A:$A,增益!$Q:$Q,0)))+$B$11+SUM(_xlfn.XLOOKUP(S111:AG111,增益!$A:$A,增益!$U:$U,0)))*IF(VLOOKUP($R111,武学奇术!$A:$ZZ,24,FALSE)=1,0,1)</f>
        <v>0.2285</v>
      </c>
      <c r="BL111" s="21" cm="1">
        <f t="array" ref="BL111">1+$B$13+VLOOKUP($R111,武学奇术!$A:$ZZ,18,FALSE)+SUM(_xlfn.XLOOKUP(S111:AG111,增益!$A:$A,增益!$R:$R,0))</f>
        <v>1.5</v>
      </c>
      <c r="BM111" s="21" cm="1">
        <f t="array" ref="BM111">IF(VLOOKUP($R111,武学奇术!$A:$ZZ,24,FALSE)=1,100%,MIN(40%,$B$10+VLOOKUP($R111,武学奇术!$A:$ZZ,19,FALSE)+SUM(_xlfn.XLOOKUP(S111:AG111,增益!$A:$A,增益!$S:$S,0)))+$B$12+SUM(_xlfn.XLOOKUP(S111:AG111,增益!$A:$A,增益!$V:$V,0)))*IF(VLOOKUP($R111,武学奇术!$A:$ZZ,23,FALSE)=1,0,1)</f>
        <v>0.4495</v>
      </c>
      <c r="BN111" s="21" cm="1">
        <f t="array" ref="BN111">1+$B$14+VLOOKUP($R111,武学奇术!$A:$ZZ,20,FALSE)+SUM(_xlfn.XLOOKUP(S111:AG111,增益!$A:$A,增益!$T:$T,0))</f>
        <v>1.602</v>
      </c>
      <c r="BO111" s="21">
        <f t="shared" si="20"/>
        <v>0.18803265</v>
      </c>
      <c r="BP111" s="21">
        <f t="shared" si="21"/>
        <v>0.2649738</v>
      </c>
      <c r="BQ111" s="21">
        <f>IF(VLOOKUP($R111,武学奇术!$A:$ZZ,22,FALSE)=1,0,(1-$BJ111))*(1-$BM111)</f>
        <v>0.09749355</v>
      </c>
      <c r="BR111" s="21" cm="1">
        <f t="array" ref="BR111">SUM(_xlfn.XLOOKUP(S111:AG111,增益!$A:$A,增益!$W:$W,0))+$I$5</f>
        <v>0.06</v>
      </c>
    </row>
    <row r="112" spans="11:70">
      <c r="K112" s="24">
        <f>$L112*VLOOKUP($R112,武学奇术!$A:$ZZ,31,FALSE)</f>
        <v>24128.0868674765</v>
      </c>
      <c r="L112" s="24">
        <f t="shared" si="11"/>
        <v>24128.0868674765</v>
      </c>
      <c r="M112" s="24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BL112*$Q112*(1+IF(VLOOKUP($R112,武学奇术!$A:$ZZ,30,FALSE)="流血",$B$21,0))*(1+$BR112)</f>
        <v>21641.1285473597</v>
      </c>
      <c r="N112" s="24">
        <f>(($AP112*$AI112+$AJ112)*(1+$AQ112)*(1+$AR112)+($AU112*IF($G$1="鸣金",$AK112,$AI112)+IF($G$1="鸣金",$AL112*1.5,0))*(1+$AV112)*(1+$AW112)+($AY112*IF($G$1="裂石",$AK112,$AI112)+IF($G$1="裂石",$AL112*1.5,0))*(1+$AZ112)*(1+$BA112)+($BC112*IF($G$1="牵丝",$AK112,$AI112)+IF($G$1="牵丝",$AL112*1.5,0))*(1+$BD112)*(1+$BE112)+($BG112*IF($G$1="破竹",$AK112,$AI112)+IF($G$1="破竹",$AL112*1.5,0))*(1+$BH112)*(1+$BI112))*(1+$AM112)*$BN112*$Q112*(1+IF(VLOOKUP($R112,武学奇术!$A:$ZZ,30,FALSE)="流血",$B$21,0))*(1+$BR112)</f>
        <v>34537.6429959112</v>
      </c>
      <c r="O112" s="24">
        <f>((($AO112+$AP112)/2*$AI112+$AJ112)*(1+$AQ112)*(1+$AR112)+(($AT112+$AU112)/2*IF($G$1="鸣金",$AK112,$AI112)+IF($G$1="鸣金",$AL112*1.5,0))*(1+$AV112)*(1+$AW112)+(($AX112+$AY112)/2*IF($G$1="裂石",$AK112,$AI112)+IF($G$1="裂石",$AL112*1.5,0))*(1+$AZ112)*(1+$BA112)+(($BB112+$BC112)/2*IF($G$1="牵丝",$AK112,$AI112)+IF($G$1="牵丝",$AL112*1.5,0))*(1+$BD112)*(1+$BE112)+(($BF112+$BG112)/2*IF($G$1="破竹",$AK112,$AI112)+IF($G$1="破竹",$AL112*1.5,0))*(1+$BH112)*(1+$BI112))*(1+$AM112)*$Q112*(1+IF(VLOOKUP($R112,武学奇术!$A:$ZZ,30,FALSE)="流血",$B$21,0))*(1+$BR112)</f>
        <v>14427.4190315731</v>
      </c>
      <c r="P112" s="24">
        <f>((($AO112*$AI112+$AJ112)*(1+$AQ112)*(1+$AR112)+($AT112*IF($G$1="鸣金",$AK112,$AI112)+IF($G$1="鸣金",$AL112*1.5,0))*(1+$AV112)*(1+$AW112)+($AX112*IF($G$1="裂石",$AK112,$AI112)+IF($G$1="裂石",$AL112*1.5,0))*(1+$AZ112)*(1+$BA112)+($BB112*IF($G$1="牵丝",$AK112,$AI112)+IF($G$1="牵丝",$AL112*1.5,0))*(1+$BD112)*(1+$BE112)+($BF112*IF($G$1="破竹",$AK112,$AI112)+IF($G$1="破竹",$AL112*1.5,0))*(1+$BH112)*(1+$BI112))*(1+$AM112))*$Q112*(1+IF(VLOOKUP($R112,武学奇术!$A:$ZZ,30,FALSE)="流血",$B$21,0))*(1+$BR112)</f>
        <v>7295.7600382329</v>
      </c>
      <c r="Q112" s="31">
        <v>1</v>
      </c>
      <c r="R112" s="32" t="s">
        <v>108</v>
      </c>
      <c r="S112" s="32" t="s">
        <v>87</v>
      </c>
      <c r="T112" s="32" t="s">
        <v>104</v>
      </c>
      <c r="U112" s="32" t="s">
        <v>73</v>
      </c>
      <c r="V112" s="32" t="s">
        <v>73</v>
      </c>
      <c r="W112" s="32" t="s">
        <v>73</v>
      </c>
      <c r="X112" s="32" t="s">
        <v>127</v>
      </c>
      <c r="Y112" s="32" t="s">
        <v>73</v>
      </c>
      <c r="Z112" s="32" t="s">
        <v>73</v>
      </c>
      <c r="AA112" s="32" t="s">
        <v>81</v>
      </c>
      <c r="AB112" s="32" t="s">
        <v>75</v>
      </c>
      <c r="AC112" s="32" t="s">
        <v>89</v>
      </c>
      <c r="AD112" s="32" t="s">
        <v>82</v>
      </c>
      <c r="AE112" s="32" t="s">
        <v>73</v>
      </c>
      <c r="AF112" s="32" t="s">
        <v>73</v>
      </c>
      <c r="AG112" s="32" t="s">
        <v>178</v>
      </c>
      <c r="AH112" t="str">
        <f>VLOOKUP($R112,武学奇术!$A:$ZZ,25,FALSE)</f>
        <v>枪</v>
      </c>
      <c r="AI112" s="21">
        <f>VLOOKUP($R112,武学奇术!$A:$ZZ,26,FALSE)</f>
        <v>1.02732</v>
      </c>
      <c r="AJ112" s="22">
        <f>VLOOKUP($R112,武学奇术!$A:$ZZ,27,FALSE)*(1+IF(OR($AH112=$F$4,$AH112=$F$5),$B$22,0))</f>
        <v>426.6</v>
      </c>
      <c r="AK112" s="21">
        <f>VLOOKUP($R112,武学奇术!$A:$ZZ,28,FALSE)</f>
        <v>1.54096</v>
      </c>
      <c r="AL112" s="22">
        <f>VLOOKUP($R112,武学奇术!$A:$ZZ,29,FALSE)*(1+IF(OR($AH112=$F$4,$AH112=$F$5),$B$22,0))</f>
        <v>232.2</v>
      </c>
      <c r="AM112" s="21" cm="1">
        <f t="array" ref="AM112">$G$3+IFERROR(VLOOKUP($AH112,$F$4:$G$7,2,FALSE),0)+VLOOKUP($R112,武学奇术!$A:$ZZ,2,FALSE)+SUM(_xlfn.XLOOKUP($S112:$AG112,增益!$A:$A,增益!$B:$B,0))</f>
        <v>0.5539</v>
      </c>
      <c r="AN112" s="21" cm="1">
        <f t="array" ref="AN112">VLOOKUP($R112,武学奇术!$A:$ZZ,5,FALSE)+SUM(_xlfn.XLOOKUP($S112:$AG112,增益!$A:$A,增益!$E:$E,0))</f>
        <v>0</v>
      </c>
      <c r="AO112" cm="1">
        <f t="array" ref="AO112">$D$10*(1+$AN112)+VLOOKUP($R112,武学奇术!$A:$ZZ,3,FALSE)+SUM(_xlfn.XLOOKUP($S112:$AG112,增益!$A:$A,增益!$C:$C,0))-$I$2</f>
        <v>1794.28</v>
      </c>
      <c r="AP112" cm="1">
        <f t="array" ref="AP112">$E$10*(1+$AN112)+VLOOKUP($R112,武学奇术!$A:$ZZ,4,FALSE)+SUM(_xlfn.XLOOKUP($S112:$AG112,增益!$A:$A,增益!$D:$D,0))-$I$2</f>
        <v>7726.36</v>
      </c>
      <c r="AQ112" s="26" cm="1">
        <f t="array" ref="AQ112">IF($F$10-$I$3+VLOOKUP($R112,武学奇术!$A:$ZZ,6,FALSE)+SUM(_xlfn.XLOOKUP(S112:AG112,增益!$A:$A,增益!$F:$F,0))&gt;0,($F$10-$I$3+VLOOKUP($R112,武学奇术!$A:$ZZ,6,FALSE)+SUM(_xlfn.XLOOKUP(S112:AG112,增益!$A:$A,增益!$F:$F,0)))/200,($F$10-$I$3+VLOOKUP($R112,武学奇术!$A:$ZZ,6,FALSE)+SUM(_xlfn.XLOOKUP(S112:AG112,增益!$A:$A,增益!$F:$F,0)))/100)</f>
        <v>0.244</v>
      </c>
      <c r="AR112" s="26" cm="1">
        <f t="array" ref="AR112">$G$10+VLOOKUP($R112,武学奇术!$A:$ZZ,7,FALSE)+SUM(_xlfn.XLOOKUP(S112:AG112,增益!$A:$A,增益!$G:$G,0))</f>
        <v>0</v>
      </c>
      <c r="AS112" s="21" cm="1">
        <f t="array" ref="AS112">VLOOKUP($R112,武学奇术!$A:$ZZ,8,FALSE)+SUM(_xlfn.XLOOKUP(S112:AG112,增益!$A:$A,增益!$H:$H,0))</f>
        <v>0</v>
      </c>
      <c r="AT112">
        <f t="shared" si="12"/>
        <v>680.02</v>
      </c>
      <c r="AU112">
        <f t="shared" si="13"/>
        <v>1288.54</v>
      </c>
      <c r="AV112" s="26" cm="1">
        <f t="array" ref="AV112">IF($F$11-$I$4+VLOOKUP($R112,武学奇术!$A:$ZZ,9,FALSE)+SUM(_xlfn.XLOOKUP(S112:AG112,增益!$A:$A,增益!$I:$I,0))&gt;0,($F$11-$I$4+VLOOKUP($R112,武学奇术!$A:$ZZ,9,FALSE)+SUM(_xlfn.XLOOKUP(S112:AG112,增益!$A:$A,增益!$I:$I,0)))/200,($F$11-$I$4+VLOOKUP($R112,武学奇术!$A:$ZZ,9,FALSE)+SUM(_xlfn.XLOOKUP(S112:AG112,增益!$A:$A,增益!$I:$I,0)))/100)</f>
        <v>0</v>
      </c>
      <c r="AW112" s="26" cm="1">
        <f t="array" ref="AW112">$G$11+VLOOKUP($R112,武学奇术!$A:$ZZ,10,FALSE)+SUM(_xlfn.XLOOKUP(S112:AG112,增益!$A:$A,增益!$J:$J,0))</f>
        <v>0.15</v>
      </c>
      <c r="AX112">
        <f t="shared" si="14"/>
        <v>0</v>
      </c>
      <c r="AY112">
        <f t="shared" si="15"/>
        <v>0</v>
      </c>
      <c r="AZ112" s="26" cm="1">
        <f t="array" ref="AZ112">IF($F$12-$I$4+VLOOKUP($R112,武学奇术!$A:$ZZ,11,FALSE)+SUM(_xlfn.XLOOKUP(S112:AG112,增益!$A:$A,增益!$K:$K,0))&gt;0,($F$12-$I$4+VLOOKUP($R112,武学奇术!$A:$ZZ,11,FALSE)+SUM(_xlfn.XLOOKUP(S112:AG112,增益!$A:$A,增益!$K:$K,0)))/200,($F$12-$I$4+VLOOKUP($R112,武学奇术!$A:$ZZ,11,FALSE)+SUM(_xlfn.XLOOKUP(S112:AG112,增益!$A:$A,增益!$K:$K,0)))/100)</f>
        <v>-0.3</v>
      </c>
      <c r="BA112" s="26" cm="1">
        <f t="array" ref="BA112">$G$12+VLOOKUP($R112,武学奇术!$A:$ZZ,12,FALSE)+SUM(_xlfn.XLOOKUP(S112:AG112,增益!$A:$A,增益!$L:$L,0))</f>
        <v>0</v>
      </c>
      <c r="BB112">
        <f t="shared" si="16"/>
        <v>0</v>
      </c>
      <c r="BC112">
        <f t="shared" si="17"/>
        <v>0</v>
      </c>
      <c r="BD112" s="26" cm="1">
        <f t="array" ref="BD112">IF($F$13-$I$4+VLOOKUP($R112,武学奇术!$A:$ZZ,13,FALSE)+SUM(_xlfn.XLOOKUP(S112:AG112,增益!$A:$A,增益!$M:$M,0))&gt;0,($F$13-$I$4+VLOOKUP($R112,武学奇术!$A:$ZZ,13,FALSE)+SUM(_xlfn.XLOOKUP(S112:AG112,增益!$A:$A,增益!$K:$K,0)))/200,($F$13-$I$4+VLOOKUP($R112,武学奇术!$A:$ZZ,13,FALSE)+SUM(_xlfn.XLOOKUP(S112:AG112,增益!$A:$A,增益!$M:$M,0)))/100)</f>
        <v>-0.3</v>
      </c>
      <c r="BE112" s="26" cm="1">
        <f t="array" ref="BE112">$G$13+VLOOKUP($R112,武学奇术!$A:$ZZ,14,FALSE)+SUM(_xlfn.XLOOKUP(S112:AG112,增益!$A:$A,增益!$N:$N,0))</f>
        <v>0</v>
      </c>
      <c r="BF112">
        <f t="shared" si="18"/>
        <v>0</v>
      </c>
      <c r="BG112">
        <f t="shared" si="19"/>
        <v>0</v>
      </c>
      <c r="BH112" s="26" cm="1">
        <f t="array" ref="BH112">IF($F$14-$I$4+VLOOKUP($R112,武学奇术!$A:$ZZ,15,FALSE)+SUM(_xlfn.XLOOKUP(S112:AG112,增益!$A:$A,增益!$O:$O,0))&gt;0,($F$14-$I$4+VLOOKUP($R112,武学奇术!$A:$ZZ,15,FALSE)+SUM(_xlfn.XLOOKUP(S112:AG112,增益!$A:$A,增益!$O:$O,0)))/200,($F$14-$I$4+VLOOKUP($R112,武学奇术!$A:$ZZ,15,FALSE)+SUM(_xlfn.XLOOKUP(S112:AG112,增益!$A:$A,增益!$O:$O,0)))/100)</f>
        <v>-0.3</v>
      </c>
      <c r="BI112" s="26" cm="1">
        <f t="array" ref="BI112">$G$14+VLOOKUP($R112,武学奇术!$A:$ZZ,16,FALSE)+SUM(_xlfn.XLOOKUP(S112:AG112,增益!$A:$A,增益!$P:$P,0))</f>
        <v>0</v>
      </c>
      <c r="BJ112" s="21">
        <f>MIN(IF(VLOOKUP($R112,武学奇术!$A:$ZZ,23,FALSE)=1,100%,$B$8),100%)</f>
        <v>0.8229</v>
      </c>
      <c r="BK112" s="21" cm="1">
        <f t="array" ref="BK112">IF(VLOOKUP($R112,武学奇术!$A:$ZZ,23,FALSE)=1,100%,MIN(80%,$B$9+VLOOKUP($R112,武学奇术!$A:$ZZ,17,FALSE)+SUM(_xlfn.XLOOKUP(S112:AG112,增益!$A:$A,增益!$Q:$Q,0)))+$B$11+SUM(_xlfn.XLOOKUP(S112:AG112,增益!$A:$A,增益!$U:$U,0)))*IF(VLOOKUP($R112,武学奇术!$A:$ZZ,24,FALSE)=1,0,1)</f>
        <v>0.2285</v>
      </c>
      <c r="BL112" s="21" cm="1">
        <f t="array" ref="BL112">1+$B$13+VLOOKUP($R112,武学奇术!$A:$ZZ,18,FALSE)+SUM(_xlfn.XLOOKUP(S112:AG112,增益!$A:$A,增益!$R:$R,0))</f>
        <v>1.5</v>
      </c>
      <c r="BM112" s="21" cm="1">
        <f t="array" ref="BM112">IF(VLOOKUP($R112,武学奇术!$A:$ZZ,24,FALSE)=1,100%,MIN(40%,$B$10+VLOOKUP($R112,武学奇术!$A:$ZZ,19,FALSE)+SUM(_xlfn.XLOOKUP(S112:AG112,增益!$A:$A,增益!$S:$S,0)))+$B$12+SUM(_xlfn.XLOOKUP(S112:AG112,增益!$A:$A,增益!$V:$V,0)))*IF(VLOOKUP($R112,武学奇术!$A:$ZZ,23,FALSE)=1,0,1)</f>
        <v>0.4495</v>
      </c>
      <c r="BN112" s="21" cm="1">
        <f t="array" ref="BN112">1+$B$14+VLOOKUP($R112,武学奇术!$A:$ZZ,20,FALSE)+SUM(_xlfn.XLOOKUP(S112:AG112,增益!$A:$A,增益!$T:$T,0))</f>
        <v>1.602</v>
      </c>
      <c r="BO112" s="21">
        <f t="shared" si="20"/>
        <v>0.18803265</v>
      </c>
      <c r="BP112" s="21">
        <f t="shared" si="21"/>
        <v>0.2649738</v>
      </c>
      <c r="BQ112" s="21">
        <f>IF(VLOOKUP($R112,武学奇术!$A:$ZZ,22,FALSE)=1,0,(1-$BJ112))*(1-$BM112)</f>
        <v>0.09749355</v>
      </c>
      <c r="BR112" s="21" cm="1">
        <f t="array" ref="BR112">SUM(_xlfn.XLOOKUP(S112:AG112,增益!$A:$A,增益!$W:$W,0))+$I$5</f>
        <v>0.06</v>
      </c>
    </row>
    <row r="113" spans="11:70">
      <c r="K113" s="24">
        <f>$L113*VLOOKUP($R113,武学奇术!$A:$ZZ,31,FALSE)</f>
        <v>75426.159415882</v>
      </c>
      <c r="L113" s="24">
        <f t="shared" si="11"/>
        <v>125710.265693137</v>
      </c>
      <c r="M113" s="24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BL113*$Q113*(1+IF(VLOOKUP($R113,武学奇术!$A:$ZZ,30,FALSE)="流血",$B$21,0))*(1+$BR113)</f>
        <v>102919.032870865</v>
      </c>
      <c r="N113" s="24">
        <f>(($AP113*$AI113+$AJ113)*(1+$AQ113)*(1+$AR113)+($AU113*IF($G$1="鸣金",$AK113,$AI113)+IF($G$1="鸣金",$AL113*1.5,0))*(1+$AV113)*(1+$AW113)+($AY113*IF($G$1="裂石",$AK113,$AI113)+IF($G$1="裂石",$AL113*1.5,0))*(1+$AZ113)*(1+$BA113)+($BC113*IF($G$1="牵丝",$AK113,$AI113)+IF($G$1="牵丝",$AL113*1.5,0))*(1+$BD113)*(1+$BE113)+($BG113*IF($G$1="破竹",$AK113,$AI113)+IF($G$1="破竹",$AL113*1.5,0))*(1+$BH113)*(1+$BI113))*(1+$AM113)*$BN113*$Q113*(1+IF(VLOOKUP($R113,武学奇术!$A:$ZZ,30,FALSE)="流血",$B$21,0))*(1+$BR113)</f>
        <v>189465.306371025</v>
      </c>
      <c r="O113" s="24">
        <f>((($AO113+$AP113)/2*$AI113+$AJ113)*(1+$AQ113)*(1+$AR113)+(($AT113+$AU113)/2*IF($G$1="鸣金",$AK113,$AI113)+IF($G$1="鸣金",$AL113*1.5,0))*(1+$AV113)*(1+$AW113)+(($AX113+$AY113)/2*IF($G$1="裂石",$AK113,$AI113)+IF($G$1="裂石",$AL113*1.5,0))*(1+$AZ113)*(1+$BA113)+(($BB113+$BC113)/2*IF($G$1="牵丝",$AK113,$AI113)+IF($G$1="牵丝",$AL113*1.5,0))*(1+$BD113)*(1+$BE113)+(($BF113+$BG113)/2*IF($G$1="破竹",$AK113,$AI113)+IF($G$1="破竹",$AL113*1.5,0))*(1+$BH113)*(1+$BI113))*(1+$AM113)*$Q113*(1+IF(VLOOKUP($R113,武学奇术!$A:$ZZ,30,FALSE)="流血",$B$21,0))*(1+$BR113)</f>
        <v>68612.6885805768</v>
      </c>
      <c r="P113" s="24">
        <f>((($AO113*$AI113+$AJ113)*(1+$AQ113)*(1+$AR113)+($AT113*IF($G$1="鸣金",$AK113,$AI113)+IF($G$1="鸣金",$AL113*1.5,0))*(1+$AV113)*(1+$AW113)+($AX113*IF($G$1="裂石",$AK113,$AI113)+IF($G$1="裂石",$AL113*1.5,0))*(1+$AZ113)*(1+$BA113)+($BB113*IF($G$1="牵丝",$AK113,$AI113)+IF($G$1="牵丝",$AL113*1.5,0))*(1+$BD113)*(1+$BE113)+($BF113*IF($G$1="破竹",$AK113,$AI113)+IF($G$1="破竹",$AL113*1.5,0))*(1+$BH113)*(1+$BI113))*(1+$AM113))*$Q113*(1+IF(VLOOKUP($R113,武学奇术!$A:$ZZ,30,FALSE)="流血",$B$21,0))*(1+$BR113)</f>
        <v>30903.6564142262</v>
      </c>
      <c r="Q113" s="31">
        <v>1</v>
      </c>
      <c r="R113" s="32" t="s">
        <v>95</v>
      </c>
      <c r="S113" s="32" t="s">
        <v>87</v>
      </c>
      <c r="T113" s="32" t="s">
        <v>96</v>
      </c>
      <c r="U113" s="32" t="s">
        <v>97</v>
      </c>
      <c r="V113" s="32" t="s">
        <v>98</v>
      </c>
      <c r="W113" s="32" t="s">
        <v>111</v>
      </c>
      <c r="X113" s="32" t="s">
        <v>127</v>
      </c>
      <c r="Y113" s="32" t="s">
        <v>73</v>
      </c>
      <c r="Z113" s="32" t="s">
        <v>73</v>
      </c>
      <c r="AA113" s="32" t="s">
        <v>81</v>
      </c>
      <c r="AB113" s="32" t="s">
        <v>75</v>
      </c>
      <c r="AC113" s="32" t="s">
        <v>89</v>
      </c>
      <c r="AD113" s="32" t="s">
        <v>82</v>
      </c>
      <c r="AE113" s="32" t="s">
        <v>73</v>
      </c>
      <c r="AF113" s="32" t="s">
        <v>73</v>
      </c>
      <c r="AG113" s="32" t="s">
        <v>178</v>
      </c>
      <c r="AH113" t="str">
        <f>VLOOKUP($R113,武学奇术!$A:$ZZ,25,FALSE)</f>
        <v>剑</v>
      </c>
      <c r="AI113" s="21">
        <f>VLOOKUP($R113,武学奇术!$A:$ZZ,26,FALSE)</f>
        <v>2.52</v>
      </c>
      <c r="AJ113" s="22">
        <f>VLOOKUP($R113,武学奇术!$A:$ZZ,27,FALSE)*(1+IF(OR($AH113=$F$4,$AH113=$F$5),$B$22,0))</f>
        <v>0</v>
      </c>
      <c r="AK113" s="21">
        <f>VLOOKUP($R113,武学奇术!$A:$ZZ,28,FALSE)</f>
        <v>3.78</v>
      </c>
      <c r="AL113" s="22">
        <f>VLOOKUP($R113,武学奇术!$A:$ZZ,29,FALSE)*(1+IF(OR($AH113=$F$4,$AH113=$F$5),$B$22,0))</f>
        <v>0</v>
      </c>
      <c r="AM113" s="21" cm="1">
        <f t="array" ref="AM113">$G$3+IFERROR(VLOOKUP($AH113,$F$4:$G$7,2,FALSE),0)+VLOOKUP($R113,武学奇术!$A:$ZZ,2,FALSE)+SUM(_xlfn.XLOOKUP($S113:$AG113,增益!$A:$A,增益!$B:$B,0))</f>
        <v>1.3891</v>
      </c>
      <c r="AN113" s="21" cm="1">
        <f t="array" ref="AN113">VLOOKUP($R113,武学奇术!$A:$ZZ,5,FALSE)+SUM(_xlfn.XLOOKUP($S113:$AG113,增益!$A:$A,增益!$E:$E,0))</f>
        <v>0</v>
      </c>
      <c r="AO113" cm="1">
        <f t="array" ref="AO113">$D$10*(1+$AN113)+VLOOKUP($R113,武学奇术!$A:$ZZ,3,FALSE)+SUM(_xlfn.XLOOKUP($S113:$AG113,增益!$A:$A,增益!$C:$C,0))-$I$2</f>
        <v>1825.28</v>
      </c>
      <c r="AP113" cm="1">
        <f t="array" ref="AP113">$E$10*(1+$AN113)+VLOOKUP($R113,武学奇术!$A:$ZZ,4,FALSE)+SUM(_xlfn.XLOOKUP($S113:$AG113,增益!$A:$A,增益!$D:$D,0))-$I$2</f>
        <v>7757.36</v>
      </c>
      <c r="AQ113" s="26" cm="1">
        <f t="array" ref="AQ113">IF($F$10-$I$3+VLOOKUP($R113,武学奇术!$A:$ZZ,6,FALSE)+SUM(_xlfn.XLOOKUP(S113:AG113,增益!$A:$A,增益!$F:$F,0))&gt;0,($F$10-$I$3+VLOOKUP($R113,武学奇术!$A:$ZZ,6,FALSE)+SUM(_xlfn.XLOOKUP(S113:AG113,增益!$A:$A,增益!$F:$F,0)))/200,($F$10-$I$3+VLOOKUP($R113,武学奇术!$A:$ZZ,6,FALSE)+SUM(_xlfn.XLOOKUP(S113:AG113,增益!$A:$A,增益!$F:$F,0)))/100)</f>
        <v>0.319</v>
      </c>
      <c r="AR113" s="26" cm="1">
        <f t="array" ref="AR113">$G$10+VLOOKUP($R113,武学奇术!$A:$ZZ,7,FALSE)+SUM(_xlfn.XLOOKUP(S113:AG113,增益!$A:$A,增益!$G:$G,0))</f>
        <v>0</v>
      </c>
      <c r="AS113" s="21" cm="1">
        <f t="array" ref="AS113">VLOOKUP($R113,武学奇术!$A:$ZZ,8,FALSE)+SUM(_xlfn.XLOOKUP(S113:AG113,增益!$A:$A,增益!$H:$H,0))</f>
        <v>0</v>
      </c>
      <c r="AT113">
        <f t="shared" si="12"/>
        <v>680.02</v>
      </c>
      <c r="AU113">
        <f t="shared" si="13"/>
        <v>1288.54</v>
      </c>
      <c r="AV113" s="26" cm="1">
        <f t="array" ref="AV113">IF($F$11-$I$4+VLOOKUP($R113,武学奇术!$A:$ZZ,9,FALSE)+SUM(_xlfn.XLOOKUP(S113:AG113,增益!$A:$A,增益!$I:$I,0))&gt;0,($F$11-$I$4+VLOOKUP($R113,武学奇术!$A:$ZZ,9,FALSE)+SUM(_xlfn.XLOOKUP(S113:AG113,增益!$A:$A,增益!$I:$I,0)))/200,($F$11-$I$4+VLOOKUP($R113,武学奇术!$A:$ZZ,9,FALSE)+SUM(_xlfn.XLOOKUP(S113:AG113,增益!$A:$A,增益!$I:$I,0)))/100)</f>
        <v>0.075</v>
      </c>
      <c r="AW113" s="26" cm="1">
        <f t="array" ref="AW113">$G$11+VLOOKUP($R113,武学奇术!$A:$ZZ,10,FALSE)+SUM(_xlfn.XLOOKUP(S113:AG113,增益!$A:$A,增益!$J:$J,0))</f>
        <v>0.15</v>
      </c>
      <c r="AX113">
        <f t="shared" si="14"/>
        <v>0</v>
      </c>
      <c r="AY113">
        <f t="shared" si="15"/>
        <v>0</v>
      </c>
      <c r="AZ113" s="26" cm="1">
        <f t="array" ref="AZ113">IF($F$12-$I$4+VLOOKUP($R113,武学奇术!$A:$ZZ,11,FALSE)+SUM(_xlfn.XLOOKUP(S113:AG113,增益!$A:$A,增益!$K:$K,0))&gt;0,($F$12-$I$4+VLOOKUP($R113,武学奇术!$A:$ZZ,11,FALSE)+SUM(_xlfn.XLOOKUP(S113:AG113,增益!$A:$A,增益!$K:$K,0)))/200,($F$12-$I$4+VLOOKUP($R113,武学奇术!$A:$ZZ,11,FALSE)+SUM(_xlfn.XLOOKUP(S113:AG113,增益!$A:$A,增益!$K:$K,0)))/100)</f>
        <v>-0.3</v>
      </c>
      <c r="BA113" s="26" cm="1">
        <f t="array" ref="BA113">$G$12+VLOOKUP($R113,武学奇术!$A:$ZZ,12,FALSE)+SUM(_xlfn.XLOOKUP(S113:AG113,增益!$A:$A,增益!$L:$L,0))</f>
        <v>0</v>
      </c>
      <c r="BB113">
        <f t="shared" si="16"/>
        <v>0</v>
      </c>
      <c r="BC113">
        <f t="shared" si="17"/>
        <v>0</v>
      </c>
      <c r="BD113" s="26" cm="1">
        <f t="array" ref="BD113">IF($F$13-$I$4+VLOOKUP($R113,武学奇术!$A:$ZZ,13,FALSE)+SUM(_xlfn.XLOOKUP(S113:AG113,增益!$A:$A,增益!$M:$M,0))&gt;0,($F$13-$I$4+VLOOKUP($R113,武学奇术!$A:$ZZ,13,FALSE)+SUM(_xlfn.XLOOKUP(S113:AG113,增益!$A:$A,增益!$K:$K,0)))/200,($F$13-$I$4+VLOOKUP($R113,武学奇术!$A:$ZZ,13,FALSE)+SUM(_xlfn.XLOOKUP(S113:AG113,增益!$A:$A,增益!$M:$M,0)))/100)</f>
        <v>-0.3</v>
      </c>
      <c r="BE113" s="26" cm="1">
        <f t="array" ref="BE113">$G$13+VLOOKUP($R113,武学奇术!$A:$ZZ,14,FALSE)+SUM(_xlfn.XLOOKUP(S113:AG113,增益!$A:$A,增益!$N:$N,0))</f>
        <v>0</v>
      </c>
      <c r="BF113">
        <f t="shared" si="18"/>
        <v>0</v>
      </c>
      <c r="BG113">
        <f t="shared" si="19"/>
        <v>0</v>
      </c>
      <c r="BH113" s="26" cm="1">
        <f t="array" ref="BH113">IF($F$14-$I$4+VLOOKUP($R113,武学奇术!$A:$ZZ,15,FALSE)+SUM(_xlfn.XLOOKUP(S113:AG113,增益!$A:$A,增益!$O:$O,0))&gt;0,($F$14-$I$4+VLOOKUP($R113,武学奇术!$A:$ZZ,15,FALSE)+SUM(_xlfn.XLOOKUP(S113:AG113,增益!$A:$A,增益!$O:$O,0)))/200,($F$14-$I$4+VLOOKUP($R113,武学奇术!$A:$ZZ,15,FALSE)+SUM(_xlfn.XLOOKUP(S113:AG113,增益!$A:$A,增益!$O:$O,0)))/100)</f>
        <v>-0.3</v>
      </c>
      <c r="BI113" s="26" cm="1">
        <f t="array" ref="BI113">$G$14+VLOOKUP($R113,武学奇术!$A:$ZZ,16,FALSE)+SUM(_xlfn.XLOOKUP(S113:AG113,增益!$A:$A,增益!$P:$P,0))</f>
        <v>0</v>
      </c>
      <c r="BJ113" s="21">
        <f>MIN(IF(VLOOKUP($R113,武学奇术!$A:$ZZ,23,FALSE)=1,100%,$B$8),100%)</f>
        <v>0.8229</v>
      </c>
      <c r="BK113" s="21" cm="1">
        <f t="array" ref="BK113">IF(VLOOKUP($R113,武学奇术!$A:$ZZ,23,FALSE)=1,100%,MIN(80%,$B$9+VLOOKUP($R113,武学奇术!$A:$ZZ,17,FALSE)+SUM(_xlfn.XLOOKUP(S113:AG113,增益!$A:$A,增益!$Q:$Q,0)))+$B$11+SUM(_xlfn.XLOOKUP(S113:AG113,增益!$A:$A,增益!$U:$U,0)))*IF(VLOOKUP($R113,武学奇术!$A:$ZZ,24,FALSE)=1,0,1)</f>
        <v>0.2285</v>
      </c>
      <c r="BL113" s="21" cm="1">
        <f t="array" ref="BL113">1+$B$13+VLOOKUP($R113,武学奇术!$A:$ZZ,18,FALSE)+SUM(_xlfn.XLOOKUP(S113:AG113,增益!$A:$A,增益!$R:$R,0))</f>
        <v>1.5</v>
      </c>
      <c r="BM113" s="21" cm="1">
        <f t="array" ref="BM113">IF(VLOOKUP($R113,武学奇术!$A:$ZZ,24,FALSE)=1,100%,MIN(40%,$B$10+VLOOKUP($R113,武学奇术!$A:$ZZ,19,FALSE)+SUM(_xlfn.XLOOKUP(S113:AG113,增益!$A:$A,增益!$S:$S,0)))+$B$12+SUM(_xlfn.XLOOKUP(S113:AG113,增益!$A:$A,增益!$V:$V,0)))*IF(VLOOKUP($R113,武学奇术!$A:$ZZ,23,FALSE)=1,0,1)</f>
        <v>0.4495</v>
      </c>
      <c r="BN113" s="21" cm="1">
        <f t="array" ref="BN113">1+$B$14+VLOOKUP($R113,武学奇术!$A:$ZZ,20,FALSE)+SUM(_xlfn.XLOOKUP(S113:AG113,增益!$A:$A,增益!$T:$T,0))</f>
        <v>1.782</v>
      </c>
      <c r="BO113" s="21">
        <f t="shared" si="20"/>
        <v>0.18803265</v>
      </c>
      <c r="BP113" s="21">
        <f t="shared" si="21"/>
        <v>0.2649738</v>
      </c>
      <c r="BQ113" s="21">
        <f>IF(VLOOKUP($R113,武学奇术!$A:$ZZ,22,FALSE)=1,0,(1-$BJ113))*(1-$BM113)</f>
        <v>0.09749355</v>
      </c>
      <c r="BR113" s="21" cm="1">
        <f t="array" ref="BR113">SUM(_xlfn.XLOOKUP(S113:AG113,增益!$A:$A,增益!$W:$W,0))+$I$5</f>
        <v>0.06</v>
      </c>
    </row>
    <row r="114" spans="11:70">
      <c r="K114" s="24">
        <f>$L114*VLOOKUP($R114,武学奇术!$A:$ZZ,31,FALSE)</f>
        <v>29290.6021528825</v>
      </c>
      <c r="L114" s="24">
        <f t="shared" si="11"/>
        <v>29290.6021528825</v>
      </c>
      <c r="M114" s="24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BL114*$Q114*(1+IF(VLOOKUP($R114,武学奇术!$A:$ZZ,30,FALSE)="流血",$B$21,0))*(1+$BR114)</f>
        <v>26292.5594324894</v>
      </c>
      <c r="N114" s="24">
        <f>(($AP114*$AI114+$AJ114)*(1+$AQ114)*(1+$AR114)+($AU114*IF($G$1="鸣金",$AK114,$AI114)+IF($G$1="鸣金",$AL114*1.5,0))*(1+$AV114)*(1+$AW114)+($AY114*IF($G$1="裂石",$AK114,$AI114)+IF($G$1="裂石",$AL114*1.5,0))*(1+$AZ114)*(1+$BA114)+($BC114*IF($G$1="牵丝",$AK114,$AI114)+IF($G$1="牵丝",$AL114*1.5,0))*(1+$BD114)*(1+$BE114)+($BG114*IF($G$1="破竹",$AK114,$AI114)+IF($G$1="破竹",$AL114*1.5,0))*(1+$BH114)*(1+$BI114))*(1+$AM114)*$BN114*$Q114*(1+IF(VLOOKUP($R114,武学奇术!$A:$ZZ,30,FALSE)="流血",$B$21,0))*(1+$BR114)</f>
        <v>41900.646511859</v>
      </c>
      <c r="O114" s="24">
        <f>((($AO114+$AP114)/2*$AI114+$AJ114)*(1+$AQ114)*(1+$AR114)+(($AT114+$AU114)/2*IF($G$1="鸣金",$AK114,$AI114)+IF($G$1="鸣金",$AL114*1.5,0))*(1+$AV114)*(1+$AW114)+(($AX114+$AY114)/2*IF($G$1="裂石",$AK114,$AI114)+IF($G$1="裂石",$AL114*1.5,0))*(1+$AZ114)*(1+$BA114)+(($BB114+$BC114)/2*IF($G$1="牵丝",$AK114,$AI114)+IF($G$1="牵丝",$AL114*1.5,0))*(1+$BD114)*(1+$BE114)+(($BF114+$BG114)/2*IF($G$1="破竹",$AK114,$AI114)+IF($G$1="破竹",$AL114*1.5,0))*(1+$BH114)*(1+$BI114))*(1+$AM114)*$Q114*(1+IF(VLOOKUP($R114,武学奇术!$A:$ZZ,30,FALSE)="流血",$B$21,0))*(1+$BR114)</f>
        <v>17528.372954993</v>
      </c>
      <c r="P114" s="24">
        <f>((($AO114*$AI114+$AJ114)*(1+$AQ114)*(1+$AR114)+($AT114*IF($G$1="鸣金",$AK114,$AI114)+IF($G$1="鸣金",$AL114*1.5,0))*(1+$AV114)*(1+$AW114)+($AX114*IF($G$1="裂石",$AK114,$AI114)+IF($G$1="裂石",$AL114*1.5,0))*(1+$AZ114)*(1+$BA114)+($BB114*IF($G$1="牵丝",$AK114,$AI114)+IF($G$1="牵丝",$AL114*1.5,0))*(1+$BD114)*(1+$BE114)+($BF114*IF($G$1="破竹",$AK114,$AI114)+IF($G$1="破竹",$AL114*1.5,0))*(1+$BH114)*(1+$BI114))*(1+$AM114))*$Q114*(1+IF(VLOOKUP($R114,武学奇术!$A:$ZZ,30,FALSE)="流血",$B$21,0))*(1+$BR114)</f>
        <v>8901.5358526457</v>
      </c>
      <c r="Q114" s="31">
        <v>1</v>
      </c>
      <c r="R114" s="32" t="s">
        <v>86</v>
      </c>
      <c r="S114" s="32" t="s">
        <v>87</v>
      </c>
      <c r="T114" s="32" t="s">
        <v>104</v>
      </c>
      <c r="U114" s="32" t="s">
        <v>73</v>
      </c>
      <c r="V114" s="32" t="s">
        <v>73</v>
      </c>
      <c r="W114" s="32" t="s">
        <v>111</v>
      </c>
      <c r="X114" s="32" t="s">
        <v>127</v>
      </c>
      <c r="Y114" s="32" t="s">
        <v>73</v>
      </c>
      <c r="Z114" s="32" t="s">
        <v>73</v>
      </c>
      <c r="AA114" s="32" t="s">
        <v>81</v>
      </c>
      <c r="AB114" s="32" t="s">
        <v>75</v>
      </c>
      <c r="AC114" s="32" t="s">
        <v>89</v>
      </c>
      <c r="AD114" s="32" t="s">
        <v>82</v>
      </c>
      <c r="AE114" s="32" t="s">
        <v>73</v>
      </c>
      <c r="AF114" s="32" t="s">
        <v>73</v>
      </c>
      <c r="AG114" s="32" t="s">
        <v>178</v>
      </c>
      <c r="AH114" t="str">
        <f>VLOOKUP($R114,武学奇术!$A:$ZZ,25,FALSE)</f>
        <v>剑</v>
      </c>
      <c r="AI114" s="21">
        <f>VLOOKUP($R114,武学奇术!$A:$ZZ,26,FALSE)</f>
        <v>1.1781</v>
      </c>
      <c r="AJ114" s="22">
        <f>VLOOKUP($R114,武学奇术!$A:$ZZ,27,FALSE)*(1+IF(OR($AH114=$F$4,$AH114=$F$5),$B$22,0))</f>
        <v>489</v>
      </c>
      <c r="AK114" s="21">
        <f>VLOOKUP($R114,武学奇术!$A:$ZZ,28,FALSE)</f>
        <v>1.7672</v>
      </c>
      <c r="AL114" s="22">
        <f>VLOOKUP($R114,武学奇术!$A:$ZZ,29,FALSE)*(1+IF(OR($AH114=$F$4,$AH114=$F$5),$B$22,0))</f>
        <v>265.5</v>
      </c>
      <c r="AM114" s="21" cm="1">
        <f t="array" ref="AM114">$G$3+IFERROR(VLOOKUP($AH114,$F$4:$G$7,2,FALSE),0)+VLOOKUP($R114,武学奇术!$A:$ZZ,2,FALSE)+SUM(_xlfn.XLOOKUP($S114:$AG114,增益!$A:$A,增益!$B:$B,0))</f>
        <v>0.6391</v>
      </c>
      <c r="AN114" s="21" cm="1">
        <f t="array" ref="AN114">VLOOKUP($R114,武学奇术!$A:$ZZ,5,FALSE)+SUM(_xlfn.XLOOKUP($S114:$AG114,增益!$A:$A,增益!$E:$E,0))</f>
        <v>0</v>
      </c>
      <c r="AO114" cm="1">
        <f t="array" ref="AO114">$D$10*(1+$AN114)+VLOOKUP($R114,武学奇术!$A:$ZZ,3,FALSE)+SUM(_xlfn.XLOOKUP($S114:$AG114,增益!$A:$A,增益!$C:$C,0))-$I$2</f>
        <v>1825.28</v>
      </c>
      <c r="AP114" cm="1">
        <f t="array" ref="AP114">$E$10*(1+$AN114)+VLOOKUP($R114,武学奇术!$A:$ZZ,4,FALSE)+SUM(_xlfn.XLOOKUP($S114:$AG114,增益!$A:$A,增益!$D:$D,0))-$I$2</f>
        <v>7757.36</v>
      </c>
      <c r="AQ114" s="26" cm="1">
        <f t="array" ref="AQ114">IF($F$10-$I$3+VLOOKUP($R114,武学奇术!$A:$ZZ,6,FALSE)+SUM(_xlfn.XLOOKUP(S114:AG114,增益!$A:$A,增益!$F:$F,0))&gt;0,($F$10-$I$3+VLOOKUP($R114,武学奇术!$A:$ZZ,6,FALSE)+SUM(_xlfn.XLOOKUP(S114:AG114,增益!$A:$A,增益!$F:$F,0)))/200,($F$10-$I$3+VLOOKUP($R114,武学奇术!$A:$ZZ,6,FALSE)+SUM(_xlfn.XLOOKUP(S114:AG114,增益!$A:$A,增益!$F:$F,0)))/100)</f>
        <v>0.244</v>
      </c>
      <c r="AR114" s="26" cm="1">
        <f t="array" ref="AR114">$G$10+VLOOKUP($R114,武学奇术!$A:$ZZ,7,FALSE)+SUM(_xlfn.XLOOKUP(S114:AG114,增益!$A:$A,增益!$G:$G,0))</f>
        <v>0</v>
      </c>
      <c r="AS114" s="21" cm="1">
        <f t="array" ref="AS114">VLOOKUP($R114,武学奇术!$A:$ZZ,8,FALSE)+SUM(_xlfn.XLOOKUP(S114:AG114,增益!$A:$A,增益!$H:$H,0))</f>
        <v>0</v>
      </c>
      <c r="AT114">
        <f t="shared" si="12"/>
        <v>680.02</v>
      </c>
      <c r="AU114">
        <f t="shared" si="13"/>
        <v>1288.54</v>
      </c>
      <c r="AV114" s="26" cm="1">
        <f t="array" ref="AV114">IF($F$11-$I$4+VLOOKUP($R114,武学奇术!$A:$ZZ,9,FALSE)+SUM(_xlfn.XLOOKUP(S114:AG114,增益!$A:$A,增益!$I:$I,0))&gt;0,($F$11-$I$4+VLOOKUP($R114,武学奇术!$A:$ZZ,9,FALSE)+SUM(_xlfn.XLOOKUP(S114:AG114,增益!$A:$A,增益!$I:$I,0)))/200,($F$11-$I$4+VLOOKUP($R114,武学奇术!$A:$ZZ,9,FALSE)+SUM(_xlfn.XLOOKUP(S114:AG114,增益!$A:$A,增益!$I:$I,0)))/100)</f>
        <v>0</v>
      </c>
      <c r="AW114" s="26" cm="1">
        <f t="array" ref="AW114">$G$11+VLOOKUP($R114,武学奇术!$A:$ZZ,10,FALSE)+SUM(_xlfn.XLOOKUP(S114:AG114,增益!$A:$A,增益!$J:$J,0))</f>
        <v>0.15</v>
      </c>
      <c r="AX114">
        <f t="shared" si="14"/>
        <v>0</v>
      </c>
      <c r="AY114">
        <f t="shared" si="15"/>
        <v>0</v>
      </c>
      <c r="AZ114" s="26" cm="1">
        <f t="array" ref="AZ114">IF($F$12-$I$4+VLOOKUP($R114,武学奇术!$A:$ZZ,11,FALSE)+SUM(_xlfn.XLOOKUP(S114:AG114,增益!$A:$A,增益!$K:$K,0))&gt;0,($F$12-$I$4+VLOOKUP($R114,武学奇术!$A:$ZZ,11,FALSE)+SUM(_xlfn.XLOOKUP(S114:AG114,增益!$A:$A,增益!$K:$K,0)))/200,($F$12-$I$4+VLOOKUP($R114,武学奇术!$A:$ZZ,11,FALSE)+SUM(_xlfn.XLOOKUP(S114:AG114,增益!$A:$A,增益!$K:$K,0)))/100)</f>
        <v>-0.3</v>
      </c>
      <c r="BA114" s="26" cm="1">
        <f t="array" ref="BA114">$G$12+VLOOKUP($R114,武学奇术!$A:$ZZ,12,FALSE)+SUM(_xlfn.XLOOKUP(S114:AG114,增益!$A:$A,增益!$L:$L,0))</f>
        <v>0</v>
      </c>
      <c r="BB114">
        <f t="shared" si="16"/>
        <v>0</v>
      </c>
      <c r="BC114">
        <f t="shared" si="17"/>
        <v>0</v>
      </c>
      <c r="BD114" s="26" cm="1">
        <f t="array" ref="BD114">IF($F$13-$I$4+VLOOKUP($R114,武学奇术!$A:$ZZ,13,FALSE)+SUM(_xlfn.XLOOKUP(S114:AG114,增益!$A:$A,增益!$M:$M,0))&gt;0,($F$13-$I$4+VLOOKUP($R114,武学奇术!$A:$ZZ,13,FALSE)+SUM(_xlfn.XLOOKUP(S114:AG114,增益!$A:$A,增益!$K:$K,0)))/200,($F$13-$I$4+VLOOKUP($R114,武学奇术!$A:$ZZ,13,FALSE)+SUM(_xlfn.XLOOKUP(S114:AG114,增益!$A:$A,增益!$M:$M,0)))/100)</f>
        <v>-0.3</v>
      </c>
      <c r="BE114" s="26" cm="1">
        <f t="array" ref="BE114">$G$13+VLOOKUP($R114,武学奇术!$A:$ZZ,14,FALSE)+SUM(_xlfn.XLOOKUP(S114:AG114,增益!$A:$A,增益!$N:$N,0))</f>
        <v>0</v>
      </c>
      <c r="BF114">
        <f t="shared" si="18"/>
        <v>0</v>
      </c>
      <c r="BG114">
        <f t="shared" si="19"/>
        <v>0</v>
      </c>
      <c r="BH114" s="26" cm="1">
        <f t="array" ref="BH114">IF($F$14-$I$4+VLOOKUP($R114,武学奇术!$A:$ZZ,15,FALSE)+SUM(_xlfn.XLOOKUP(S114:AG114,增益!$A:$A,增益!$O:$O,0))&gt;0,($F$14-$I$4+VLOOKUP($R114,武学奇术!$A:$ZZ,15,FALSE)+SUM(_xlfn.XLOOKUP(S114:AG114,增益!$A:$A,增益!$O:$O,0)))/200,($F$14-$I$4+VLOOKUP($R114,武学奇术!$A:$ZZ,15,FALSE)+SUM(_xlfn.XLOOKUP(S114:AG114,增益!$A:$A,增益!$O:$O,0)))/100)</f>
        <v>-0.3</v>
      </c>
      <c r="BI114" s="26" cm="1">
        <f t="array" ref="BI114">$G$14+VLOOKUP($R114,武学奇术!$A:$ZZ,16,FALSE)+SUM(_xlfn.XLOOKUP(S114:AG114,增益!$A:$A,增益!$P:$P,0))</f>
        <v>0</v>
      </c>
      <c r="BJ114" s="21">
        <f>MIN(IF(VLOOKUP($R114,武学奇术!$A:$ZZ,23,FALSE)=1,100%,$B$8),100%)</f>
        <v>0.8229</v>
      </c>
      <c r="BK114" s="21" cm="1">
        <f t="array" ref="BK114">IF(VLOOKUP($R114,武学奇术!$A:$ZZ,23,FALSE)=1,100%,MIN(80%,$B$9+VLOOKUP($R114,武学奇术!$A:$ZZ,17,FALSE)+SUM(_xlfn.XLOOKUP(S114:AG114,增益!$A:$A,增益!$Q:$Q,0)))+$B$11+SUM(_xlfn.XLOOKUP(S114:AG114,增益!$A:$A,增益!$U:$U,0)))*IF(VLOOKUP($R114,武学奇术!$A:$ZZ,24,FALSE)=1,0,1)</f>
        <v>0.2285</v>
      </c>
      <c r="BL114" s="21" cm="1">
        <f t="array" ref="BL114">1+$B$13+VLOOKUP($R114,武学奇术!$A:$ZZ,18,FALSE)+SUM(_xlfn.XLOOKUP(S114:AG114,增益!$A:$A,增益!$R:$R,0))</f>
        <v>1.5</v>
      </c>
      <c r="BM114" s="21" cm="1">
        <f t="array" ref="BM114">IF(VLOOKUP($R114,武学奇术!$A:$ZZ,24,FALSE)=1,100%,MIN(40%,$B$10+VLOOKUP($R114,武学奇术!$A:$ZZ,19,FALSE)+SUM(_xlfn.XLOOKUP(S114:AG114,增益!$A:$A,增益!$S:$S,0)))+$B$12+SUM(_xlfn.XLOOKUP(S114:AG114,增益!$A:$A,增益!$V:$V,0)))*IF(VLOOKUP($R114,武学奇术!$A:$ZZ,23,FALSE)=1,0,1)</f>
        <v>0.4495</v>
      </c>
      <c r="BN114" s="21" cm="1">
        <f t="array" ref="BN114">1+$B$14+VLOOKUP($R114,武学奇术!$A:$ZZ,20,FALSE)+SUM(_xlfn.XLOOKUP(S114:AG114,增益!$A:$A,增益!$T:$T,0))</f>
        <v>1.602</v>
      </c>
      <c r="BO114" s="21">
        <f t="shared" si="20"/>
        <v>0.18803265</v>
      </c>
      <c r="BP114" s="21">
        <f t="shared" si="21"/>
        <v>0.2649738</v>
      </c>
      <c r="BQ114" s="21">
        <f>IF(VLOOKUP($R114,武学奇术!$A:$ZZ,22,FALSE)=1,0,(1-$BJ114))*(1-$BM114)</f>
        <v>0.09749355</v>
      </c>
      <c r="BR114" s="21" cm="1">
        <f t="array" ref="BR114">SUM(_xlfn.XLOOKUP(S114:AG114,增益!$A:$A,增益!$W:$W,0))+$I$5</f>
        <v>0.06</v>
      </c>
    </row>
    <row r="115" spans="11:70">
      <c r="K115" s="24">
        <f>$L115*VLOOKUP($R115,武学奇术!$A:$ZZ,31,FALSE)</f>
        <v>75426.159415882</v>
      </c>
      <c r="L115" s="24">
        <f t="shared" si="11"/>
        <v>125710.265693137</v>
      </c>
      <c r="M115" s="24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BL115*$Q115*(1+IF(VLOOKUP($R115,武学奇术!$A:$ZZ,30,FALSE)="流血",$B$21,0))*(1+$BR115)</f>
        <v>102919.032870865</v>
      </c>
      <c r="N115" s="24">
        <f>(($AP115*$AI115+$AJ115)*(1+$AQ115)*(1+$AR115)+($AU115*IF($G$1="鸣金",$AK115,$AI115)+IF($G$1="鸣金",$AL115*1.5,0))*(1+$AV115)*(1+$AW115)+($AY115*IF($G$1="裂石",$AK115,$AI115)+IF($G$1="裂石",$AL115*1.5,0))*(1+$AZ115)*(1+$BA115)+($BC115*IF($G$1="牵丝",$AK115,$AI115)+IF($G$1="牵丝",$AL115*1.5,0))*(1+$BD115)*(1+$BE115)+($BG115*IF($G$1="破竹",$AK115,$AI115)+IF($G$1="破竹",$AL115*1.5,0))*(1+$BH115)*(1+$BI115))*(1+$AM115)*$BN115*$Q115*(1+IF(VLOOKUP($R115,武学奇术!$A:$ZZ,30,FALSE)="流血",$B$21,0))*(1+$BR115)</f>
        <v>189465.306371025</v>
      </c>
      <c r="O115" s="24">
        <f>((($AO115+$AP115)/2*$AI115+$AJ115)*(1+$AQ115)*(1+$AR115)+(($AT115+$AU115)/2*IF($G$1="鸣金",$AK115,$AI115)+IF($G$1="鸣金",$AL115*1.5,0))*(1+$AV115)*(1+$AW115)+(($AX115+$AY115)/2*IF($G$1="裂石",$AK115,$AI115)+IF($G$1="裂石",$AL115*1.5,0))*(1+$AZ115)*(1+$BA115)+(($BB115+$BC115)/2*IF($G$1="牵丝",$AK115,$AI115)+IF($G$1="牵丝",$AL115*1.5,0))*(1+$BD115)*(1+$BE115)+(($BF115+$BG115)/2*IF($G$1="破竹",$AK115,$AI115)+IF($G$1="破竹",$AL115*1.5,0))*(1+$BH115)*(1+$BI115))*(1+$AM115)*$Q115*(1+IF(VLOOKUP($R115,武学奇术!$A:$ZZ,30,FALSE)="流血",$B$21,0))*(1+$BR115)</f>
        <v>68612.6885805768</v>
      </c>
      <c r="P115" s="24">
        <f>((($AO115*$AI115+$AJ115)*(1+$AQ115)*(1+$AR115)+($AT115*IF($G$1="鸣金",$AK115,$AI115)+IF($G$1="鸣金",$AL115*1.5,0))*(1+$AV115)*(1+$AW115)+($AX115*IF($G$1="裂石",$AK115,$AI115)+IF($G$1="裂石",$AL115*1.5,0))*(1+$AZ115)*(1+$BA115)+($BB115*IF($G$1="牵丝",$AK115,$AI115)+IF($G$1="牵丝",$AL115*1.5,0))*(1+$BD115)*(1+$BE115)+($BF115*IF($G$1="破竹",$AK115,$AI115)+IF($G$1="破竹",$AL115*1.5,0))*(1+$BH115)*(1+$BI115))*(1+$AM115))*$Q115*(1+IF(VLOOKUP($R115,武学奇术!$A:$ZZ,30,FALSE)="流血",$B$21,0))*(1+$BR115)</f>
        <v>30903.6564142262</v>
      </c>
      <c r="Q115" s="31">
        <v>1</v>
      </c>
      <c r="R115" s="32" t="s">
        <v>95</v>
      </c>
      <c r="S115" s="32" t="s">
        <v>87</v>
      </c>
      <c r="T115" s="32" t="s">
        <v>96</v>
      </c>
      <c r="U115" s="32" t="s">
        <v>97</v>
      </c>
      <c r="V115" s="32" t="s">
        <v>98</v>
      </c>
      <c r="W115" s="32" t="s">
        <v>111</v>
      </c>
      <c r="X115" s="32" t="s">
        <v>127</v>
      </c>
      <c r="Y115" s="32" t="s">
        <v>73</v>
      </c>
      <c r="Z115" s="32" t="s">
        <v>73</v>
      </c>
      <c r="AA115" s="32" t="s">
        <v>81</v>
      </c>
      <c r="AB115" s="32" t="s">
        <v>75</v>
      </c>
      <c r="AC115" s="32" t="s">
        <v>89</v>
      </c>
      <c r="AD115" s="32" t="s">
        <v>82</v>
      </c>
      <c r="AE115" s="32" t="s">
        <v>73</v>
      </c>
      <c r="AF115" s="32" t="s">
        <v>73</v>
      </c>
      <c r="AG115" s="32" t="s">
        <v>178</v>
      </c>
      <c r="AH115" t="str">
        <f>VLOOKUP($R115,武学奇术!$A:$ZZ,25,FALSE)</f>
        <v>剑</v>
      </c>
      <c r="AI115" s="21">
        <f>VLOOKUP($R115,武学奇术!$A:$ZZ,26,FALSE)</f>
        <v>2.52</v>
      </c>
      <c r="AJ115" s="22">
        <f>VLOOKUP($R115,武学奇术!$A:$ZZ,27,FALSE)*(1+IF(OR($AH115=$F$4,$AH115=$F$5),$B$22,0))</f>
        <v>0</v>
      </c>
      <c r="AK115" s="21">
        <f>VLOOKUP($R115,武学奇术!$A:$ZZ,28,FALSE)</f>
        <v>3.78</v>
      </c>
      <c r="AL115" s="22">
        <f>VLOOKUP($R115,武学奇术!$A:$ZZ,29,FALSE)*(1+IF(OR($AH115=$F$4,$AH115=$F$5),$B$22,0))</f>
        <v>0</v>
      </c>
      <c r="AM115" s="21" cm="1">
        <f t="array" ref="AM115">$G$3+IFERROR(VLOOKUP($AH115,$F$4:$G$7,2,FALSE),0)+VLOOKUP($R115,武学奇术!$A:$ZZ,2,FALSE)+SUM(_xlfn.XLOOKUP($S115:$AG115,增益!$A:$A,增益!$B:$B,0))</f>
        <v>1.3891</v>
      </c>
      <c r="AN115" s="21" cm="1">
        <f t="array" ref="AN115">VLOOKUP($R115,武学奇术!$A:$ZZ,5,FALSE)+SUM(_xlfn.XLOOKUP($S115:$AG115,增益!$A:$A,增益!$E:$E,0))</f>
        <v>0</v>
      </c>
      <c r="AO115" cm="1">
        <f t="array" ref="AO115">$D$10*(1+$AN115)+VLOOKUP($R115,武学奇术!$A:$ZZ,3,FALSE)+SUM(_xlfn.XLOOKUP($S115:$AG115,增益!$A:$A,增益!$C:$C,0))-$I$2</f>
        <v>1825.28</v>
      </c>
      <c r="AP115" cm="1">
        <f t="array" ref="AP115">$E$10*(1+$AN115)+VLOOKUP($R115,武学奇术!$A:$ZZ,4,FALSE)+SUM(_xlfn.XLOOKUP($S115:$AG115,增益!$A:$A,增益!$D:$D,0))-$I$2</f>
        <v>7757.36</v>
      </c>
      <c r="AQ115" s="26" cm="1">
        <f t="array" ref="AQ115">IF($F$10-$I$3+VLOOKUP($R115,武学奇术!$A:$ZZ,6,FALSE)+SUM(_xlfn.XLOOKUP(S115:AG115,增益!$A:$A,增益!$F:$F,0))&gt;0,($F$10-$I$3+VLOOKUP($R115,武学奇术!$A:$ZZ,6,FALSE)+SUM(_xlfn.XLOOKUP(S115:AG115,增益!$A:$A,增益!$F:$F,0)))/200,($F$10-$I$3+VLOOKUP($R115,武学奇术!$A:$ZZ,6,FALSE)+SUM(_xlfn.XLOOKUP(S115:AG115,增益!$A:$A,增益!$F:$F,0)))/100)</f>
        <v>0.319</v>
      </c>
      <c r="AR115" s="26" cm="1">
        <f t="array" ref="AR115">$G$10+VLOOKUP($R115,武学奇术!$A:$ZZ,7,FALSE)+SUM(_xlfn.XLOOKUP(S115:AG115,增益!$A:$A,增益!$G:$G,0))</f>
        <v>0</v>
      </c>
      <c r="AS115" s="21" cm="1">
        <f t="array" ref="AS115">VLOOKUP($R115,武学奇术!$A:$ZZ,8,FALSE)+SUM(_xlfn.XLOOKUP(S115:AG115,增益!$A:$A,增益!$H:$H,0))</f>
        <v>0</v>
      </c>
      <c r="AT115">
        <f t="shared" si="12"/>
        <v>680.02</v>
      </c>
      <c r="AU115">
        <f t="shared" si="13"/>
        <v>1288.54</v>
      </c>
      <c r="AV115" s="26" cm="1">
        <f t="array" ref="AV115">IF($F$11-$I$4+VLOOKUP($R115,武学奇术!$A:$ZZ,9,FALSE)+SUM(_xlfn.XLOOKUP(S115:AG115,增益!$A:$A,增益!$I:$I,0))&gt;0,($F$11-$I$4+VLOOKUP($R115,武学奇术!$A:$ZZ,9,FALSE)+SUM(_xlfn.XLOOKUP(S115:AG115,增益!$A:$A,增益!$I:$I,0)))/200,($F$11-$I$4+VLOOKUP($R115,武学奇术!$A:$ZZ,9,FALSE)+SUM(_xlfn.XLOOKUP(S115:AG115,增益!$A:$A,增益!$I:$I,0)))/100)</f>
        <v>0.075</v>
      </c>
      <c r="AW115" s="26" cm="1">
        <f t="array" ref="AW115">$G$11+VLOOKUP($R115,武学奇术!$A:$ZZ,10,FALSE)+SUM(_xlfn.XLOOKUP(S115:AG115,增益!$A:$A,增益!$J:$J,0))</f>
        <v>0.15</v>
      </c>
      <c r="AX115">
        <f t="shared" si="14"/>
        <v>0</v>
      </c>
      <c r="AY115">
        <f t="shared" si="15"/>
        <v>0</v>
      </c>
      <c r="AZ115" s="26" cm="1">
        <f t="array" ref="AZ115">IF($F$12-$I$4+VLOOKUP($R115,武学奇术!$A:$ZZ,11,FALSE)+SUM(_xlfn.XLOOKUP(S115:AG115,增益!$A:$A,增益!$K:$K,0))&gt;0,($F$12-$I$4+VLOOKUP($R115,武学奇术!$A:$ZZ,11,FALSE)+SUM(_xlfn.XLOOKUP(S115:AG115,增益!$A:$A,增益!$K:$K,0)))/200,($F$12-$I$4+VLOOKUP($R115,武学奇术!$A:$ZZ,11,FALSE)+SUM(_xlfn.XLOOKUP(S115:AG115,增益!$A:$A,增益!$K:$K,0)))/100)</f>
        <v>-0.3</v>
      </c>
      <c r="BA115" s="26" cm="1">
        <f t="array" ref="BA115">$G$12+VLOOKUP($R115,武学奇术!$A:$ZZ,12,FALSE)+SUM(_xlfn.XLOOKUP(S115:AG115,增益!$A:$A,增益!$L:$L,0))</f>
        <v>0</v>
      </c>
      <c r="BB115">
        <f t="shared" si="16"/>
        <v>0</v>
      </c>
      <c r="BC115">
        <f t="shared" si="17"/>
        <v>0</v>
      </c>
      <c r="BD115" s="26" cm="1">
        <f t="array" ref="BD115">IF($F$13-$I$4+VLOOKUP($R115,武学奇术!$A:$ZZ,13,FALSE)+SUM(_xlfn.XLOOKUP(S115:AG115,增益!$A:$A,增益!$M:$M,0))&gt;0,($F$13-$I$4+VLOOKUP($R115,武学奇术!$A:$ZZ,13,FALSE)+SUM(_xlfn.XLOOKUP(S115:AG115,增益!$A:$A,增益!$K:$K,0)))/200,($F$13-$I$4+VLOOKUP($R115,武学奇术!$A:$ZZ,13,FALSE)+SUM(_xlfn.XLOOKUP(S115:AG115,增益!$A:$A,增益!$M:$M,0)))/100)</f>
        <v>-0.3</v>
      </c>
      <c r="BE115" s="26" cm="1">
        <f t="array" ref="BE115">$G$13+VLOOKUP($R115,武学奇术!$A:$ZZ,14,FALSE)+SUM(_xlfn.XLOOKUP(S115:AG115,增益!$A:$A,增益!$N:$N,0))</f>
        <v>0</v>
      </c>
      <c r="BF115">
        <f t="shared" si="18"/>
        <v>0</v>
      </c>
      <c r="BG115">
        <f t="shared" si="19"/>
        <v>0</v>
      </c>
      <c r="BH115" s="26" cm="1">
        <f t="array" ref="BH115">IF($F$14-$I$4+VLOOKUP($R115,武学奇术!$A:$ZZ,15,FALSE)+SUM(_xlfn.XLOOKUP(S115:AG115,增益!$A:$A,增益!$O:$O,0))&gt;0,($F$14-$I$4+VLOOKUP($R115,武学奇术!$A:$ZZ,15,FALSE)+SUM(_xlfn.XLOOKUP(S115:AG115,增益!$A:$A,增益!$O:$O,0)))/200,($F$14-$I$4+VLOOKUP($R115,武学奇术!$A:$ZZ,15,FALSE)+SUM(_xlfn.XLOOKUP(S115:AG115,增益!$A:$A,增益!$O:$O,0)))/100)</f>
        <v>-0.3</v>
      </c>
      <c r="BI115" s="26" cm="1">
        <f t="array" ref="BI115">$G$14+VLOOKUP($R115,武学奇术!$A:$ZZ,16,FALSE)+SUM(_xlfn.XLOOKUP(S115:AG115,增益!$A:$A,增益!$P:$P,0))</f>
        <v>0</v>
      </c>
      <c r="BJ115" s="21">
        <f>MIN(IF(VLOOKUP($R115,武学奇术!$A:$ZZ,23,FALSE)=1,100%,$B$8),100%)</f>
        <v>0.8229</v>
      </c>
      <c r="BK115" s="21" cm="1">
        <f t="array" ref="BK115">IF(VLOOKUP($R115,武学奇术!$A:$ZZ,23,FALSE)=1,100%,MIN(80%,$B$9+VLOOKUP($R115,武学奇术!$A:$ZZ,17,FALSE)+SUM(_xlfn.XLOOKUP(S115:AG115,增益!$A:$A,增益!$Q:$Q,0)))+$B$11+SUM(_xlfn.XLOOKUP(S115:AG115,增益!$A:$A,增益!$U:$U,0)))*IF(VLOOKUP($R115,武学奇术!$A:$ZZ,24,FALSE)=1,0,1)</f>
        <v>0.2285</v>
      </c>
      <c r="BL115" s="21" cm="1">
        <f t="array" ref="BL115">1+$B$13+VLOOKUP($R115,武学奇术!$A:$ZZ,18,FALSE)+SUM(_xlfn.XLOOKUP(S115:AG115,增益!$A:$A,增益!$R:$R,0))</f>
        <v>1.5</v>
      </c>
      <c r="BM115" s="21" cm="1">
        <f t="array" ref="BM115">IF(VLOOKUP($R115,武学奇术!$A:$ZZ,24,FALSE)=1,100%,MIN(40%,$B$10+VLOOKUP($R115,武学奇术!$A:$ZZ,19,FALSE)+SUM(_xlfn.XLOOKUP(S115:AG115,增益!$A:$A,增益!$S:$S,0)))+$B$12+SUM(_xlfn.XLOOKUP(S115:AG115,增益!$A:$A,增益!$V:$V,0)))*IF(VLOOKUP($R115,武学奇术!$A:$ZZ,23,FALSE)=1,0,1)</f>
        <v>0.4495</v>
      </c>
      <c r="BN115" s="21" cm="1">
        <f t="array" ref="BN115">1+$B$14+VLOOKUP($R115,武学奇术!$A:$ZZ,20,FALSE)+SUM(_xlfn.XLOOKUP(S115:AG115,增益!$A:$A,增益!$T:$T,0))</f>
        <v>1.782</v>
      </c>
      <c r="BO115" s="21">
        <f t="shared" si="20"/>
        <v>0.18803265</v>
      </c>
      <c r="BP115" s="21">
        <f t="shared" si="21"/>
        <v>0.2649738</v>
      </c>
      <c r="BQ115" s="21">
        <f>IF(VLOOKUP($R115,武学奇术!$A:$ZZ,22,FALSE)=1,0,(1-$BJ115))*(1-$BM115)</f>
        <v>0.09749355</v>
      </c>
      <c r="BR115" s="21" cm="1">
        <f t="array" ref="BR115">SUM(_xlfn.XLOOKUP(S115:AG115,增益!$A:$A,增益!$W:$W,0))+$I$5</f>
        <v>0.06</v>
      </c>
    </row>
    <row r="116" spans="11:70">
      <c r="K116" s="24">
        <f>$L116*VLOOKUP($R116,武学奇术!$A:$ZZ,31,FALSE)</f>
        <v>113679.183822615</v>
      </c>
      <c r="L116" s="24">
        <f t="shared" si="11"/>
        <v>189465.306371025</v>
      </c>
      <c r="M116" s="24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BL116*$Q116*(1+IF(VLOOKUP($R116,武学奇术!$A:$ZZ,30,FALSE)="流血",$B$21,0))*(1+$BR116)</f>
        <v>102919.032870865</v>
      </c>
      <c r="N116" s="24">
        <f>(($AP116*$AI116+$AJ116)*(1+$AQ116)*(1+$AR116)+($AU116*IF($G$1="鸣金",$AK116,$AI116)+IF($G$1="鸣金",$AL116*1.5,0))*(1+$AV116)*(1+$AW116)+($AY116*IF($G$1="裂石",$AK116,$AI116)+IF($G$1="裂石",$AL116*1.5,0))*(1+$AZ116)*(1+$BA116)+($BC116*IF($G$1="牵丝",$AK116,$AI116)+IF($G$1="牵丝",$AL116*1.5,0))*(1+$BD116)*(1+$BE116)+($BG116*IF($G$1="破竹",$AK116,$AI116)+IF($G$1="破竹",$AL116*1.5,0))*(1+$BH116)*(1+$BI116))*(1+$AM116)*$BN116*$Q116*(1+IF(VLOOKUP($R116,武学奇术!$A:$ZZ,30,FALSE)="流血",$B$21,0))*(1+$BR116)</f>
        <v>189465.306371025</v>
      </c>
      <c r="O116" s="24">
        <f>((($AO116+$AP116)/2*$AI116+$AJ116)*(1+$AQ116)*(1+$AR116)+(($AT116+$AU116)/2*IF($G$1="鸣金",$AK116,$AI116)+IF($G$1="鸣金",$AL116*1.5,0))*(1+$AV116)*(1+$AW116)+(($AX116+$AY116)/2*IF($G$1="裂石",$AK116,$AI116)+IF($G$1="裂石",$AL116*1.5,0))*(1+$AZ116)*(1+$BA116)+(($BB116+$BC116)/2*IF($G$1="牵丝",$AK116,$AI116)+IF($G$1="牵丝",$AL116*1.5,0))*(1+$BD116)*(1+$BE116)+(($BF116+$BG116)/2*IF($G$1="破竹",$AK116,$AI116)+IF($G$1="破竹",$AL116*1.5,0))*(1+$BH116)*(1+$BI116))*(1+$AM116)*$Q116*(1+IF(VLOOKUP($R116,武学奇术!$A:$ZZ,30,FALSE)="流血",$B$21,0))*(1+$BR116)</f>
        <v>68612.6885805768</v>
      </c>
      <c r="P116" s="24">
        <f>((($AO116*$AI116+$AJ116)*(1+$AQ116)*(1+$AR116)+($AT116*IF($G$1="鸣金",$AK116,$AI116)+IF($G$1="鸣金",$AL116*1.5,0))*(1+$AV116)*(1+$AW116)+($AX116*IF($G$1="裂石",$AK116,$AI116)+IF($G$1="裂石",$AL116*1.5,0))*(1+$AZ116)*(1+$BA116)+($BB116*IF($G$1="牵丝",$AK116,$AI116)+IF($G$1="牵丝",$AL116*1.5,0))*(1+$BD116)*(1+$BE116)+($BF116*IF($G$1="破竹",$AK116,$AI116)+IF($G$1="破竹",$AL116*1.5,0))*(1+$BH116)*(1+$BI116))*(1+$AM116))*$Q116*(1+IF(VLOOKUP($R116,武学奇术!$A:$ZZ,30,FALSE)="流血",$B$21,0))*(1+$BR116)</f>
        <v>30903.6564142262</v>
      </c>
      <c r="Q116" s="31">
        <v>1</v>
      </c>
      <c r="R116" s="32" t="s">
        <v>120</v>
      </c>
      <c r="S116" s="32" t="s">
        <v>87</v>
      </c>
      <c r="T116" s="32" t="s">
        <v>96</v>
      </c>
      <c r="U116" s="32" t="s">
        <v>97</v>
      </c>
      <c r="V116" s="32" t="s">
        <v>98</v>
      </c>
      <c r="W116" s="32" t="s">
        <v>111</v>
      </c>
      <c r="X116" s="32" t="s">
        <v>127</v>
      </c>
      <c r="Y116" s="32" t="s">
        <v>73</v>
      </c>
      <c r="Z116" s="32" t="s">
        <v>73</v>
      </c>
      <c r="AA116" s="32" t="s">
        <v>81</v>
      </c>
      <c r="AB116" s="32" t="s">
        <v>75</v>
      </c>
      <c r="AC116" s="32" t="s">
        <v>76</v>
      </c>
      <c r="AD116" s="32" t="s">
        <v>82</v>
      </c>
      <c r="AE116" s="32" t="s">
        <v>73</v>
      </c>
      <c r="AF116" s="32" t="s">
        <v>73</v>
      </c>
      <c r="AG116" s="32" t="s">
        <v>178</v>
      </c>
      <c r="AH116" t="str">
        <f>VLOOKUP($R116,武学奇术!$A:$ZZ,25,FALSE)</f>
        <v>剑</v>
      </c>
      <c r="AI116" s="21">
        <f>VLOOKUP($R116,武学奇术!$A:$ZZ,26,FALSE)</f>
        <v>2.52</v>
      </c>
      <c r="AJ116" s="22">
        <f>VLOOKUP($R116,武学奇术!$A:$ZZ,27,FALSE)*(1+IF(OR($AH116=$F$4,$AH116=$F$5),$B$22,0))</f>
        <v>0</v>
      </c>
      <c r="AK116" s="21">
        <f>VLOOKUP($R116,武学奇术!$A:$ZZ,28,FALSE)</f>
        <v>3.78</v>
      </c>
      <c r="AL116" s="22">
        <f>VLOOKUP($R116,武学奇术!$A:$ZZ,29,FALSE)*(1+IF(OR($AH116=$F$4,$AH116=$F$5),$B$22,0))</f>
        <v>0</v>
      </c>
      <c r="AM116" s="21" cm="1">
        <f t="array" ref="AM116">$G$3+IFERROR(VLOOKUP($AH116,$F$4:$G$7,2,FALSE),0)+VLOOKUP($R116,武学奇术!$A:$ZZ,2,FALSE)+SUM(_xlfn.XLOOKUP($S116:$AG116,增益!$A:$A,增益!$B:$B,0))</f>
        <v>1.3891</v>
      </c>
      <c r="AN116" s="21" cm="1">
        <f t="array" ref="AN116">VLOOKUP($R116,武学奇术!$A:$ZZ,5,FALSE)+SUM(_xlfn.XLOOKUP($S116:$AG116,增益!$A:$A,增益!$E:$E,0))</f>
        <v>0</v>
      </c>
      <c r="AO116" cm="1">
        <f t="array" ref="AO116">$D$10*(1+$AN116)+VLOOKUP($R116,武学奇术!$A:$ZZ,3,FALSE)+SUM(_xlfn.XLOOKUP($S116:$AG116,增益!$A:$A,增益!$C:$C,0))-$I$2</f>
        <v>1825.28</v>
      </c>
      <c r="AP116" cm="1">
        <f t="array" ref="AP116">$E$10*(1+$AN116)+VLOOKUP($R116,武学奇术!$A:$ZZ,4,FALSE)+SUM(_xlfn.XLOOKUP($S116:$AG116,增益!$A:$A,增益!$D:$D,0))-$I$2</f>
        <v>7757.36</v>
      </c>
      <c r="AQ116" s="26" cm="1">
        <f t="array" ref="AQ116">IF($F$10-$I$3+VLOOKUP($R116,武学奇术!$A:$ZZ,6,FALSE)+SUM(_xlfn.XLOOKUP(S116:AG116,增益!$A:$A,增益!$F:$F,0))&gt;0,($F$10-$I$3+VLOOKUP($R116,武学奇术!$A:$ZZ,6,FALSE)+SUM(_xlfn.XLOOKUP(S116:AG116,增益!$A:$A,增益!$F:$F,0)))/200,($F$10-$I$3+VLOOKUP($R116,武学奇术!$A:$ZZ,6,FALSE)+SUM(_xlfn.XLOOKUP(S116:AG116,增益!$A:$A,增益!$F:$F,0)))/100)</f>
        <v>0.319</v>
      </c>
      <c r="AR116" s="26" cm="1">
        <f t="array" ref="AR116">$G$10+VLOOKUP($R116,武学奇术!$A:$ZZ,7,FALSE)+SUM(_xlfn.XLOOKUP(S116:AG116,增益!$A:$A,增益!$G:$G,0))</f>
        <v>0</v>
      </c>
      <c r="AS116" s="21" cm="1">
        <f t="array" ref="AS116">VLOOKUP($R116,武学奇术!$A:$ZZ,8,FALSE)+SUM(_xlfn.XLOOKUP(S116:AG116,增益!$A:$A,增益!$H:$H,0))</f>
        <v>0</v>
      </c>
      <c r="AT116">
        <f t="shared" si="12"/>
        <v>680.02</v>
      </c>
      <c r="AU116">
        <f t="shared" si="13"/>
        <v>1288.54</v>
      </c>
      <c r="AV116" s="26" cm="1">
        <f t="array" ref="AV116">IF($F$11-$I$4+VLOOKUP($R116,武学奇术!$A:$ZZ,9,FALSE)+SUM(_xlfn.XLOOKUP(S116:AG116,增益!$A:$A,增益!$I:$I,0))&gt;0,($F$11-$I$4+VLOOKUP($R116,武学奇术!$A:$ZZ,9,FALSE)+SUM(_xlfn.XLOOKUP(S116:AG116,增益!$A:$A,增益!$I:$I,0)))/200,($F$11-$I$4+VLOOKUP($R116,武学奇术!$A:$ZZ,9,FALSE)+SUM(_xlfn.XLOOKUP(S116:AG116,增益!$A:$A,增益!$I:$I,0)))/100)</f>
        <v>0.075</v>
      </c>
      <c r="AW116" s="26" cm="1">
        <f t="array" ref="AW116">$G$11+VLOOKUP($R116,武学奇术!$A:$ZZ,10,FALSE)+SUM(_xlfn.XLOOKUP(S116:AG116,增益!$A:$A,增益!$J:$J,0))</f>
        <v>0.15</v>
      </c>
      <c r="AX116">
        <f t="shared" si="14"/>
        <v>0</v>
      </c>
      <c r="AY116">
        <f t="shared" si="15"/>
        <v>0</v>
      </c>
      <c r="AZ116" s="26" cm="1">
        <f t="array" ref="AZ116">IF($F$12-$I$4+VLOOKUP($R116,武学奇术!$A:$ZZ,11,FALSE)+SUM(_xlfn.XLOOKUP(S116:AG116,增益!$A:$A,增益!$K:$K,0))&gt;0,($F$12-$I$4+VLOOKUP($R116,武学奇术!$A:$ZZ,11,FALSE)+SUM(_xlfn.XLOOKUP(S116:AG116,增益!$A:$A,增益!$K:$K,0)))/200,($F$12-$I$4+VLOOKUP($R116,武学奇术!$A:$ZZ,11,FALSE)+SUM(_xlfn.XLOOKUP(S116:AG116,增益!$A:$A,增益!$K:$K,0)))/100)</f>
        <v>-0.3</v>
      </c>
      <c r="BA116" s="26" cm="1">
        <f t="array" ref="BA116">$G$12+VLOOKUP($R116,武学奇术!$A:$ZZ,12,FALSE)+SUM(_xlfn.XLOOKUP(S116:AG116,增益!$A:$A,增益!$L:$L,0))</f>
        <v>0</v>
      </c>
      <c r="BB116">
        <f t="shared" si="16"/>
        <v>0</v>
      </c>
      <c r="BC116">
        <f t="shared" si="17"/>
        <v>0</v>
      </c>
      <c r="BD116" s="26" cm="1">
        <f t="array" ref="BD116">IF($F$13-$I$4+VLOOKUP($R116,武学奇术!$A:$ZZ,13,FALSE)+SUM(_xlfn.XLOOKUP(S116:AG116,增益!$A:$A,增益!$M:$M,0))&gt;0,($F$13-$I$4+VLOOKUP($R116,武学奇术!$A:$ZZ,13,FALSE)+SUM(_xlfn.XLOOKUP(S116:AG116,增益!$A:$A,增益!$K:$K,0)))/200,($F$13-$I$4+VLOOKUP($R116,武学奇术!$A:$ZZ,13,FALSE)+SUM(_xlfn.XLOOKUP(S116:AG116,增益!$A:$A,增益!$M:$M,0)))/100)</f>
        <v>-0.3</v>
      </c>
      <c r="BE116" s="26" cm="1">
        <f t="array" ref="BE116">$G$13+VLOOKUP($R116,武学奇术!$A:$ZZ,14,FALSE)+SUM(_xlfn.XLOOKUP(S116:AG116,增益!$A:$A,增益!$N:$N,0))</f>
        <v>0</v>
      </c>
      <c r="BF116">
        <f t="shared" si="18"/>
        <v>0</v>
      </c>
      <c r="BG116">
        <f t="shared" si="19"/>
        <v>0</v>
      </c>
      <c r="BH116" s="26" cm="1">
        <f t="array" ref="BH116">IF($F$14-$I$4+VLOOKUP($R116,武学奇术!$A:$ZZ,15,FALSE)+SUM(_xlfn.XLOOKUP(S116:AG116,增益!$A:$A,增益!$O:$O,0))&gt;0,($F$14-$I$4+VLOOKUP($R116,武学奇术!$A:$ZZ,15,FALSE)+SUM(_xlfn.XLOOKUP(S116:AG116,增益!$A:$A,增益!$O:$O,0)))/200,($F$14-$I$4+VLOOKUP($R116,武学奇术!$A:$ZZ,15,FALSE)+SUM(_xlfn.XLOOKUP(S116:AG116,增益!$A:$A,增益!$O:$O,0)))/100)</f>
        <v>-0.3</v>
      </c>
      <c r="BI116" s="26" cm="1">
        <f t="array" ref="BI116">$G$14+VLOOKUP($R116,武学奇术!$A:$ZZ,16,FALSE)+SUM(_xlfn.XLOOKUP(S116:AG116,增益!$A:$A,增益!$P:$P,0))</f>
        <v>0</v>
      </c>
      <c r="BJ116" s="21">
        <f>MIN(IF(VLOOKUP($R116,武学奇术!$A:$ZZ,23,FALSE)=1,100%,$B$8),100%)</f>
        <v>0.8229</v>
      </c>
      <c r="BK116" s="21" cm="1">
        <f t="array" ref="BK116">IF(VLOOKUP($R116,武学奇术!$A:$ZZ,23,FALSE)=1,100%,MIN(80%,$B$9+VLOOKUP($R116,武学奇术!$A:$ZZ,17,FALSE)+SUM(_xlfn.XLOOKUP(S116:AG116,增益!$A:$A,增益!$Q:$Q,0)))+$B$11+SUM(_xlfn.XLOOKUP(S116:AG116,增益!$A:$A,增益!$U:$U,0)))*IF(VLOOKUP($R116,武学奇术!$A:$ZZ,24,FALSE)=1,0,1)</f>
        <v>0</v>
      </c>
      <c r="BL116" s="21" cm="1">
        <f t="array" ref="BL116">1+$B$13+VLOOKUP($R116,武学奇术!$A:$ZZ,18,FALSE)+SUM(_xlfn.XLOOKUP(S116:AG116,增益!$A:$A,增益!$R:$R,0))</f>
        <v>1.5</v>
      </c>
      <c r="BM116" s="21" cm="1">
        <f t="array" ref="BM116">IF(VLOOKUP($R116,武学奇术!$A:$ZZ,24,FALSE)=1,100%,MIN(40%,$B$10+VLOOKUP($R116,武学奇术!$A:$ZZ,19,FALSE)+SUM(_xlfn.XLOOKUP(S116:AG116,增益!$A:$A,增益!$S:$S,0)))+$B$12+SUM(_xlfn.XLOOKUP(S116:AG116,增益!$A:$A,增益!$V:$V,0)))*IF(VLOOKUP($R116,武学奇术!$A:$ZZ,23,FALSE)=1,0,1)</f>
        <v>1</v>
      </c>
      <c r="BN116" s="21" cm="1">
        <f t="array" ref="BN116">1+$B$14+VLOOKUP($R116,武学奇术!$A:$ZZ,20,FALSE)+SUM(_xlfn.XLOOKUP(S116:AG116,增益!$A:$A,增益!$T:$T,0))</f>
        <v>1.782</v>
      </c>
      <c r="BO116" s="21">
        <f t="shared" si="20"/>
        <v>0</v>
      </c>
      <c r="BP116" s="21">
        <f t="shared" si="21"/>
        <v>0</v>
      </c>
      <c r="BQ116" s="21">
        <f>IF(VLOOKUP($R116,武学奇术!$A:$ZZ,22,FALSE)=1,0,(1-$BJ116))*(1-$BM116)</f>
        <v>0</v>
      </c>
      <c r="BR116" s="21" cm="1">
        <f t="array" ref="BR116">SUM(_xlfn.XLOOKUP(S116:AG116,增益!$A:$A,增益!$W:$W,0))+$I$5</f>
        <v>0.06</v>
      </c>
    </row>
    <row r="117" spans="11:70">
      <c r="K117" s="24">
        <f>$L117*VLOOKUP($R117,武学奇术!$A:$ZZ,31,FALSE)</f>
        <v>23375.3535283291</v>
      </c>
      <c r="L117" s="24">
        <f t="shared" si="11"/>
        <v>23375.3535283291</v>
      </c>
      <c r="M117" s="24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BL117*$Q117*(1+IF(VLOOKUP($R117,武学奇术!$A:$ZZ,30,FALSE)="流血",$B$21,0))*(1+$BR117)</f>
        <v>20982.9344915362</v>
      </c>
      <c r="N117" s="24">
        <f>(($AP117*$AI117+$AJ117)*(1+$AQ117)*(1+$AR117)+($AU117*IF($G$1="鸣金",$AK117,$AI117)+IF($G$1="鸣金",$AL117*1.5,0))*(1+$AV117)*(1+$AW117)+($AY117*IF($G$1="裂石",$AK117,$AI117)+IF($G$1="裂石",$AL117*1.5,0))*(1+$AZ117)*(1+$BA117)+($BC117*IF($G$1="牵丝",$AK117,$AI117)+IF($G$1="牵丝",$AL117*1.5,0))*(1+$BD117)*(1+$BE117)+($BG117*IF($G$1="破竹",$AK117,$AI117)+IF($G$1="破竹",$AL117*1.5,0))*(1+$BH117)*(1+$BI117))*(1+$AM117)*$BN117*$Q117*(1+IF(VLOOKUP($R117,武学奇术!$A:$ZZ,30,FALSE)="流血",$B$21,0))*(1+$BR117)</f>
        <v>33438.580919007</v>
      </c>
      <c r="O117" s="24">
        <f>((($AO117+$AP117)/2*$AI117+$AJ117)*(1+$AQ117)*(1+$AR117)+(($AT117+$AU117)/2*IF($G$1="鸣金",$AK117,$AI117)+IF($G$1="鸣金",$AL117*1.5,0))*(1+$AV117)*(1+$AW117)+(($AX117+$AY117)/2*IF($G$1="裂石",$AK117,$AI117)+IF($G$1="裂石",$AL117*1.5,0))*(1+$AZ117)*(1+$BA117)+(($BB117+$BC117)/2*IF($G$1="牵丝",$AK117,$AI117)+IF($G$1="牵丝",$AL117*1.5,0))*(1+$BD117)*(1+$BE117)+(($BF117+$BG117)/2*IF($G$1="破竹",$AK117,$AI117)+IF($G$1="破竹",$AL117*1.5,0))*(1+$BH117)*(1+$BI117))*(1+$AM117)*$Q117*(1+IF(VLOOKUP($R117,武学奇术!$A:$ZZ,30,FALSE)="流血",$B$21,0))*(1+$BR117)</f>
        <v>13988.6229943575</v>
      </c>
      <c r="P117" s="24">
        <f>((($AO117*$AI117+$AJ117)*(1+$AQ117)*(1+$AR117)+($AT117*IF($G$1="鸣金",$AK117,$AI117)+IF($G$1="鸣金",$AL117*1.5,0))*(1+$AV117)*(1+$AW117)+($AX117*IF($G$1="裂石",$AK117,$AI117)+IF($G$1="裂石",$AL117*1.5,0))*(1+$AZ117)*(1+$BA117)+($BB117*IF($G$1="牵丝",$AK117,$AI117)+IF($G$1="牵丝",$AL117*1.5,0))*(1+$BD117)*(1+$BE117)+($BF117*IF($G$1="破竹",$AK117,$AI117)+IF($G$1="破竹",$AL117*1.5,0))*(1+$BH117)*(1+$BI117))*(1+$AM117))*$Q117*(1+IF(VLOOKUP($R117,武学奇术!$A:$ZZ,30,FALSE)="流血",$B$21,0))*(1+$BR117)</f>
        <v>7104.22419158202</v>
      </c>
      <c r="Q117" s="31">
        <v>1</v>
      </c>
      <c r="R117" s="32" t="s">
        <v>124</v>
      </c>
      <c r="S117" s="32" t="s">
        <v>87</v>
      </c>
      <c r="T117" s="32" t="s">
        <v>104</v>
      </c>
      <c r="U117" s="32" t="s">
        <v>73</v>
      </c>
      <c r="V117" s="32" t="s">
        <v>73</v>
      </c>
      <c r="W117" s="32" t="s">
        <v>111</v>
      </c>
      <c r="X117" s="32" t="s">
        <v>127</v>
      </c>
      <c r="Y117" s="32" t="s">
        <v>73</v>
      </c>
      <c r="Z117" s="32" t="s">
        <v>73</v>
      </c>
      <c r="AA117" s="32" t="s">
        <v>81</v>
      </c>
      <c r="AB117" s="32" t="s">
        <v>75</v>
      </c>
      <c r="AC117" s="32" t="s">
        <v>76</v>
      </c>
      <c r="AD117" s="32" t="s">
        <v>82</v>
      </c>
      <c r="AE117" s="32" t="s">
        <v>73</v>
      </c>
      <c r="AF117" s="32" t="s">
        <v>73</v>
      </c>
      <c r="AG117" s="32" t="s">
        <v>178</v>
      </c>
      <c r="AH117" t="str">
        <f>VLOOKUP($R117,武学奇术!$A:$ZZ,25,FALSE)</f>
        <v>剑</v>
      </c>
      <c r="AI117" s="21">
        <f>VLOOKUP($R117,武学奇术!$A:$ZZ,26,FALSE)</f>
        <v>0.94015</v>
      </c>
      <c r="AJ117" s="22">
        <f>VLOOKUP($R117,武学奇术!$A:$ZZ,27,FALSE)*(1+IF(OR($AH117=$F$4,$AH117=$F$5),$B$22,0))</f>
        <v>390</v>
      </c>
      <c r="AK117" s="21">
        <f>VLOOKUP($R117,武学奇术!$A:$ZZ,28,FALSE)</f>
        <v>1.41025</v>
      </c>
      <c r="AL117" s="22">
        <f>VLOOKUP($R117,武学奇术!$A:$ZZ,29,FALSE)*(1+IF(OR($AH117=$F$4,$AH117=$F$5),$B$22,0))</f>
        <v>212.25</v>
      </c>
      <c r="AM117" s="21" cm="1">
        <f t="array" ref="AM117">$G$3+IFERROR(VLOOKUP($AH117,$F$4:$G$7,2,FALSE),0)+VLOOKUP($R117,武学奇术!$A:$ZZ,2,FALSE)+SUM(_xlfn.XLOOKUP($S117:$AG117,增益!$A:$A,增益!$B:$B,0))</f>
        <v>0.6391</v>
      </c>
      <c r="AN117" s="21" cm="1">
        <f t="array" ref="AN117">VLOOKUP($R117,武学奇术!$A:$ZZ,5,FALSE)+SUM(_xlfn.XLOOKUP($S117:$AG117,增益!$A:$A,增益!$E:$E,0))</f>
        <v>0</v>
      </c>
      <c r="AO117" cm="1">
        <f t="array" ref="AO117">$D$10*(1+$AN117)+VLOOKUP($R117,武学奇术!$A:$ZZ,3,FALSE)+SUM(_xlfn.XLOOKUP($S117:$AG117,增益!$A:$A,增益!$C:$C,0))-$I$2</f>
        <v>1825.28</v>
      </c>
      <c r="AP117" cm="1">
        <f t="array" ref="AP117">$E$10*(1+$AN117)+VLOOKUP($R117,武学奇术!$A:$ZZ,4,FALSE)+SUM(_xlfn.XLOOKUP($S117:$AG117,增益!$A:$A,增益!$D:$D,0))-$I$2</f>
        <v>7757.36</v>
      </c>
      <c r="AQ117" s="26" cm="1">
        <f t="array" ref="AQ117">IF($F$10-$I$3+VLOOKUP($R117,武学奇术!$A:$ZZ,6,FALSE)+SUM(_xlfn.XLOOKUP(S117:AG117,增益!$A:$A,增益!$F:$F,0))&gt;0,($F$10-$I$3+VLOOKUP($R117,武学奇术!$A:$ZZ,6,FALSE)+SUM(_xlfn.XLOOKUP(S117:AG117,增益!$A:$A,增益!$F:$F,0)))/200,($F$10-$I$3+VLOOKUP($R117,武学奇术!$A:$ZZ,6,FALSE)+SUM(_xlfn.XLOOKUP(S117:AG117,增益!$A:$A,增益!$F:$F,0)))/100)</f>
        <v>0.244</v>
      </c>
      <c r="AR117" s="26" cm="1">
        <f t="array" ref="AR117">$G$10+VLOOKUP($R117,武学奇术!$A:$ZZ,7,FALSE)+SUM(_xlfn.XLOOKUP(S117:AG117,增益!$A:$A,增益!$G:$G,0))</f>
        <v>0</v>
      </c>
      <c r="AS117" s="21" cm="1">
        <f t="array" ref="AS117">VLOOKUP($R117,武学奇术!$A:$ZZ,8,FALSE)+SUM(_xlfn.XLOOKUP(S117:AG117,增益!$A:$A,增益!$H:$H,0))</f>
        <v>0</v>
      </c>
      <c r="AT117">
        <f t="shared" si="12"/>
        <v>680.02</v>
      </c>
      <c r="AU117">
        <f t="shared" si="13"/>
        <v>1288.54</v>
      </c>
      <c r="AV117" s="26" cm="1">
        <f t="array" ref="AV117">IF($F$11-$I$4+VLOOKUP($R117,武学奇术!$A:$ZZ,9,FALSE)+SUM(_xlfn.XLOOKUP(S117:AG117,增益!$A:$A,增益!$I:$I,0))&gt;0,($F$11-$I$4+VLOOKUP($R117,武学奇术!$A:$ZZ,9,FALSE)+SUM(_xlfn.XLOOKUP(S117:AG117,增益!$A:$A,增益!$I:$I,0)))/200,($F$11-$I$4+VLOOKUP($R117,武学奇术!$A:$ZZ,9,FALSE)+SUM(_xlfn.XLOOKUP(S117:AG117,增益!$A:$A,增益!$I:$I,0)))/100)</f>
        <v>0</v>
      </c>
      <c r="AW117" s="26" cm="1">
        <f t="array" ref="AW117">$G$11+VLOOKUP($R117,武学奇术!$A:$ZZ,10,FALSE)+SUM(_xlfn.XLOOKUP(S117:AG117,增益!$A:$A,增益!$J:$J,0))</f>
        <v>0.15</v>
      </c>
      <c r="AX117">
        <f t="shared" si="14"/>
        <v>0</v>
      </c>
      <c r="AY117">
        <f t="shared" si="15"/>
        <v>0</v>
      </c>
      <c r="AZ117" s="26" cm="1">
        <f t="array" ref="AZ117">IF($F$12-$I$4+VLOOKUP($R117,武学奇术!$A:$ZZ,11,FALSE)+SUM(_xlfn.XLOOKUP(S117:AG117,增益!$A:$A,增益!$K:$K,0))&gt;0,($F$12-$I$4+VLOOKUP($R117,武学奇术!$A:$ZZ,11,FALSE)+SUM(_xlfn.XLOOKUP(S117:AG117,增益!$A:$A,增益!$K:$K,0)))/200,($F$12-$I$4+VLOOKUP($R117,武学奇术!$A:$ZZ,11,FALSE)+SUM(_xlfn.XLOOKUP(S117:AG117,增益!$A:$A,增益!$K:$K,0)))/100)</f>
        <v>-0.3</v>
      </c>
      <c r="BA117" s="26" cm="1">
        <f t="array" ref="BA117">$G$12+VLOOKUP($R117,武学奇术!$A:$ZZ,12,FALSE)+SUM(_xlfn.XLOOKUP(S117:AG117,增益!$A:$A,增益!$L:$L,0))</f>
        <v>0</v>
      </c>
      <c r="BB117">
        <f t="shared" si="16"/>
        <v>0</v>
      </c>
      <c r="BC117">
        <f t="shared" si="17"/>
        <v>0</v>
      </c>
      <c r="BD117" s="26" cm="1">
        <f t="array" ref="BD117">IF($F$13-$I$4+VLOOKUP($R117,武学奇术!$A:$ZZ,13,FALSE)+SUM(_xlfn.XLOOKUP(S117:AG117,增益!$A:$A,增益!$M:$M,0))&gt;0,($F$13-$I$4+VLOOKUP($R117,武学奇术!$A:$ZZ,13,FALSE)+SUM(_xlfn.XLOOKUP(S117:AG117,增益!$A:$A,增益!$K:$K,0)))/200,($F$13-$I$4+VLOOKUP($R117,武学奇术!$A:$ZZ,13,FALSE)+SUM(_xlfn.XLOOKUP(S117:AG117,增益!$A:$A,增益!$M:$M,0)))/100)</f>
        <v>-0.3</v>
      </c>
      <c r="BE117" s="26" cm="1">
        <f t="array" ref="BE117">$G$13+VLOOKUP($R117,武学奇术!$A:$ZZ,14,FALSE)+SUM(_xlfn.XLOOKUP(S117:AG117,增益!$A:$A,增益!$N:$N,0))</f>
        <v>0</v>
      </c>
      <c r="BF117">
        <f t="shared" si="18"/>
        <v>0</v>
      </c>
      <c r="BG117">
        <f t="shared" si="19"/>
        <v>0</v>
      </c>
      <c r="BH117" s="26" cm="1">
        <f t="array" ref="BH117">IF($F$14-$I$4+VLOOKUP($R117,武学奇术!$A:$ZZ,15,FALSE)+SUM(_xlfn.XLOOKUP(S117:AG117,增益!$A:$A,增益!$O:$O,0))&gt;0,($F$14-$I$4+VLOOKUP($R117,武学奇术!$A:$ZZ,15,FALSE)+SUM(_xlfn.XLOOKUP(S117:AG117,增益!$A:$A,增益!$O:$O,0)))/200,($F$14-$I$4+VLOOKUP($R117,武学奇术!$A:$ZZ,15,FALSE)+SUM(_xlfn.XLOOKUP(S117:AG117,增益!$A:$A,增益!$O:$O,0)))/100)</f>
        <v>-0.3</v>
      </c>
      <c r="BI117" s="26" cm="1">
        <f t="array" ref="BI117">$G$14+VLOOKUP($R117,武学奇术!$A:$ZZ,16,FALSE)+SUM(_xlfn.XLOOKUP(S117:AG117,增益!$A:$A,增益!$P:$P,0))</f>
        <v>0</v>
      </c>
      <c r="BJ117" s="21">
        <f>MIN(IF(VLOOKUP($R117,武学奇术!$A:$ZZ,23,FALSE)=1,100%,$B$8),100%)</f>
        <v>0.8229</v>
      </c>
      <c r="BK117" s="21" cm="1">
        <f t="array" ref="BK117">IF(VLOOKUP($R117,武学奇术!$A:$ZZ,23,FALSE)=1,100%,MIN(80%,$B$9+VLOOKUP($R117,武学奇术!$A:$ZZ,17,FALSE)+SUM(_xlfn.XLOOKUP(S117:AG117,增益!$A:$A,增益!$Q:$Q,0)))+$B$11+SUM(_xlfn.XLOOKUP(S117:AG117,增益!$A:$A,增益!$U:$U,0)))*IF(VLOOKUP($R117,武学奇术!$A:$ZZ,24,FALSE)=1,0,1)</f>
        <v>0.2285</v>
      </c>
      <c r="BL117" s="21" cm="1">
        <f t="array" ref="BL117">1+$B$13+VLOOKUP($R117,武学奇术!$A:$ZZ,18,FALSE)+SUM(_xlfn.XLOOKUP(S117:AG117,增益!$A:$A,增益!$R:$R,0))</f>
        <v>1.5</v>
      </c>
      <c r="BM117" s="21" cm="1">
        <f t="array" ref="BM117">IF(VLOOKUP($R117,武学奇术!$A:$ZZ,24,FALSE)=1,100%,MIN(40%,$B$10+VLOOKUP($R117,武学奇术!$A:$ZZ,19,FALSE)+SUM(_xlfn.XLOOKUP(S117:AG117,增益!$A:$A,增益!$S:$S,0)))+$B$12+SUM(_xlfn.XLOOKUP(S117:AG117,增益!$A:$A,增益!$V:$V,0)))*IF(VLOOKUP($R117,武学奇术!$A:$ZZ,23,FALSE)=1,0,1)</f>
        <v>0.4495</v>
      </c>
      <c r="BN117" s="21" cm="1">
        <f t="array" ref="BN117">1+$B$14+VLOOKUP($R117,武学奇术!$A:$ZZ,20,FALSE)+SUM(_xlfn.XLOOKUP(S117:AG117,增益!$A:$A,增益!$T:$T,0))</f>
        <v>1.602</v>
      </c>
      <c r="BO117" s="21">
        <f t="shared" si="20"/>
        <v>0.18803265</v>
      </c>
      <c r="BP117" s="21">
        <f t="shared" si="21"/>
        <v>0.2649738</v>
      </c>
      <c r="BQ117" s="21">
        <f>IF(VLOOKUP($R117,武学奇术!$A:$ZZ,22,FALSE)=1,0,(1-$BJ117))*(1-$BM117)</f>
        <v>0.09749355</v>
      </c>
      <c r="BR117" s="21" cm="1">
        <f t="array" ref="BR117">SUM(_xlfn.XLOOKUP(S117:AG117,增益!$A:$A,增益!$W:$W,0))+$I$5</f>
        <v>0.06</v>
      </c>
    </row>
    <row r="118" spans="11:70">
      <c r="K118" s="24">
        <f>$L118*VLOOKUP($R118,武学奇术!$A:$ZZ,31,FALSE)</f>
        <v>29290.6021528825</v>
      </c>
      <c r="L118" s="24">
        <f t="shared" si="11"/>
        <v>29290.6021528825</v>
      </c>
      <c r="M118" s="24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BL118*$Q118*(1+IF(VLOOKUP($R118,武学奇术!$A:$ZZ,30,FALSE)="流血",$B$21,0))*(1+$BR118)</f>
        <v>26292.5594324894</v>
      </c>
      <c r="N118" s="24">
        <f>(($AP118*$AI118+$AJ118)*(1+$AQ118)*(1+$AR118)+($AU118*IF($G$1="鸣金",$AK118,$AI118)+IF($G$1="鸣金",$AL118*1.5,0))*(1+$AV118)*(1+$AW118)+($AY118*IF($G$1="裂石",$AK118,$AI118)+IF($G$1="裂石",$AL118*1.5,0))*(1+$AZ118)*(1+$BA118)+($BC118*IF($G$1="牵丝",$AK118,$AI118)+IF($G$1="牵丝",$AL118*1.5,0))*(1+$BD118)*(1+$BE118)+($BG118*IF($G$1="破竹",$AK118,$AI118)+IF($G$1="破竹",$AL118*1.5,0))*(1+$BH118)*(1+$BI118))*(1+$AM118)*$BN118*$Q118*(1+IF(VLOOKUP($R118,武学奇术!$A:$ZZ,30,FALSE)="流血",$B$21,0))*(1+$BR118)</f>
        <v>41900.646511859</v>
      </c>
      <c r="O118" s="24">
        <f>((($AO118+$AP118)/2*$AI118+$AJ118)*(1+$AQ118)*(1+$AR118)+(($AT118+$AU118)/2*IF($G$1="鸣金",$AK118,$AI118)+IF($G$1="鸣金",$AL118*1.5,0))*(1+$AV118)*(1+$AW118)+(($AX118+$AY118)/2*IF($G$1="裂石",$AK118,$AI118)+IF($G$1="裂石",$AL118*1.5,0))*(1+$AZ118)*(1+$BA118)+(($BB118+$BC118)/2*IF($G$1="牵丝",$AK118,$AI118)+IF($G$1="牵丝",$AL118*1.5,0))*(1+$BD118)*(1+$BE118)+(($BF118+$BG118)/2*IF($G$1="破竹",$AK118,$AI118)+IF($G$1="破竹",$AL118*1.5,0))*(1+$BH118)*(1+$BI118))*(1+$AM118)*$Q118*(1+IF(VLOOKUP($R118,武学奇术!$A:$ZZ,30,FALSE)="流血",$B$21,0))*(1+$BR118)</f>
        <v>17528.372954993</v>
      </c>
      <c r="P118" s="24">
        <f>((($AO118*$AI118+$AJ118)*(1+$AQ118)*(1+$AR118)+($AT118*IF($G$1="鸣金",$AK118,$AI118)+IF($G$1="鸣金",$AL118*1.5,0))*(1+$AV118)*(1+$AW118)+($AX118*IF($G$1="裂石",$AK118,$AI118)+IF($G$1="裂石",$AL118*1.5,0))*(1+$AZ118)*(1+$BA118)+($BB118*IF($G$1="牵丝",$AK118,$AI118)+IF($G$1="牵丝",$AL118*1.5,0))*(1+$BD118)*(1+$BE118)+($BF118*IF($G$1="破竹",$AK118,$AI118)+IF($G$1="破竹",$AL118*1.5,0))*(1+$BH118)*(1+$BI118))*(1+$AM118))*$Q118*(1+IF(VLOOKUP($R118,武学奇术!$A:$ZZ,30,FALSE)="流血",$B$21,0))*(1+$BR118)</f>
        <v>8901.5358526457</v>
      </c>
      <c r="Q118" s="31">
        <v>1</v>
      </c>
      <c r="R118" s="32" t="s">
        <v>86</v>
      </c>
      <c r="S118" s="32" t="s">
        <v>87</v>
      </c>
      <c r="T118" s="32" t="s">
        <v>104</v>
      </c>
      <c r="U118" s="32" t="s">
        <v>73</v>
      </c>
      <c r="V118" s="32" t="s">
        <v>73</v>
      </c>
      <c r="W118" s="32" t="s">
        <v>111</v>
      </c>
      <c r="X118" s="32" t="s">
        <v>127</v>
      </c>
      <c r="Y118" s="32" t="s">
        <v>73</v>
      </c>
      <c r="Z118" s="32" t="s">
        <v>73</v>
      </c>
      <c r="AA118" s="32" t="s">
        <v>81</v>
      </c>
      <c r="AB118" s="32" t="s">
        <v>75</v>
      </c>
      <c r="AC118" s="32" t="s">
        <v>76</v>
      </c>
      <c r="AD118" s="32" t="s">
        <v>82</v>
      </c>
      <c r="AE118" s="32" t="s">
        <v>73</v>
      </c>
      <c r="AF118" s="32" t="s">
        <v>73</v>
      </c>
      <c r="AG118" s="32" t="s">
        <v>178</v>
      </c>
      <c r="AH118" t="str">
        <f>VLOOKUP($R118,武学奇术!$A:$ZZ,25,FALSE)</f>
        <v>剑</v>
      </c>
      <c r="AI118" s="21">
        <f>VLOOKUP($R118,武学奇术!$A:$ZZ,26,FALSE)</f>
        <v>1.1781</v>
      </c>
      <c r="AJ118" s="22">
        <f>VLOOKUP($R118,武学奇术!$A:$ZZ,27,FALSE)*(1+IF(OR($AH118=$F$4,$AH118=$F$5),$B$22,0))</f>
        <v>489</v>
      </c>
      <c r="AK118" s="21">
        <f>VLOOKUP($R118,武学奇术!$A:$ZZ,28,FALSE)</f>
        <v>1.7672</v>
      </c>
      <c r="AL118" s="22">
        <f>VLOOKUP($R118,武学奇术!$A:$ZZ,29,FALSE)*(1+IF(OR($AH118=$F$4,$AH118=$F$5),$B$22,0))</f>
        <v>265.5</v>
      </c>
      <c r="AM118" s="21" cm="1">
        <f t="array" ref="AM118">$G$3+IFERROR(VLOOKUP($AH118,$F$4:$G$7,2,FALSE),0)+VLOOKUP($R118,武学奇术!$A:$ZZ,2,FALSE)+SUM(_xlfn.XLOOKUP($S118:$AG118,增益!$A:$A,增益!$B:$B,0))</f>
        <v>0.6391</v>
      </c>
      <c r="AN118" s="21" cm="1">
        <f t="array" ref="AN118">VLOOKUP($R118,武学奇术!$A:$ZZ,5,FALSE)+SUM(_xlfn.XLOOKUP($S118:$AG118,增益!$A:$A,增益!$E:$E,0))</f>
        <v>0</v>
      </c>
      <c r="AO118" cm="1">
        <f t="array" ref="AO118">$D$10*(1+$AN118)+VLOOKUP($R118,武学奇术!$A:$ZZ,3,FALSE)+SUM(_xlfn.XLOOKUP($S118:$AG118,增益!$A:$A,增益!$C:$C,0))-$I$2</f>
        <v>1825.28</v>
      </c>
      <c r="AP118" cm="1">
        <f t="array" ref="AP118">$E$10*(1+$AN118)+VLOOKUP($R118,武学奇术!$A:$ZZ,4,FALSE)+SUM(_xlfn.XLOOKUP($S118:$AG118,增益!$A:$A,增益!$D:$D,0))-$I$2</f>
        <v>7757.36</v>
      </c>
      <c r="AQ118" s="26" cm="1">
        <f t="array" ref="AQ118">IF($F$10-$I$3+VLOOKUP($R118,武学奇术!$A:$ZZ,6,FALSE)+SUM(_xlfn.XLOOKUP(S118:AG118,增益!$A:$A,增益!$F:$F,0))&gt;0,($F$10-$I$3+VLOOKUP($R118,武学奇术!$A:$ZZ,6,FALSE)+SUM(_xlfn.XLOOKUP(S118:AG118,增益!$A:$A,增益!$F:$F,0)))/200,($F$10-$I$3+VLOOKUP($R118,武学奇术!$A:$ZZ,6,FALSE)+SUM(_xlfn.XLOOKUP(S118:AG118,增益!$A:$A,增益!$F:$F,0)))/100)</f>
        <v>0.244</v>
      </c>
      <c r="AR118" s="26" cm="1">
        <f t="array" ref="AR118">$G$10+VLOOKUP($R118,武学奇术!$A:$ZZ,7,FALSE)+SUM(_xlfn.XLOOKUP(S118:AG118,增益!$A:$A,增益!$G:$G,0))</f>
        <v>0</v>
      </c>
      <c r="AS118" s="21" cm="1">
        <f t="array" ref="AS118">VLOOKUP($R118,武学奇术!$A:$ZZ,8,FALSE)+SUM(_xlfn.XLOOKUP(S118:AG118,增益!$A:$A,增益!$H:$H,0))</f>
        <v>0</v>
      </c>
      <c r="AT118">
        <f t="shared" si="12"/>
        <v>680.02</v>
      </c>
      <c r="AU118">
        <f t="shared" si="13"/>
        <v>1288.54</v>
      </c>
      <c r="AV118" s="26" cm="1">
        <f t="array" ref="AV118">IF($F$11-$I$4+VLOOKUP($R118,武学奇术!$A:$ZZ,9,FALSE)+SUM(_xlfn.XLOOKUP(S118:AG118,增益!$A:$A,增益!$I:$I,0))&gt;0,($F$11-$I$4+VLOOKUP($R118,武学奇术!$A:$ZZ,9,FALSE)+SUM(_xlfn.XLOOKUP(S118:AG118,增益!$A:$A,增益!$I:$I,0)))/200,($F$11-$I$4+VLOOKUP($R118,武学奇术!$A:$ZZ,9,FALSE)+SUM(_xlfn.XLOOKUP(S118:AG118,增益!$A:$A,增益!$I:$I,0)))/100)</f>
        <v>0</v>
      </c>
      <c r="AW118" s="26" cm="1">
        <f t="array" ref="AW118">$G$11+VLOOKUP($R118,武学奇术!$A:$ZZ,10,FALSE)+SUM(_xlfn.XLOOKUP(S118:AG118,增益!$A:$A,增益!$J:$J,0))</f>
        <v>0.15</v>
      </c>
      <c r="AX118">
        <f t="shared" si="14"/>
        <v>0</v>
      </c>
      <c r="AY118">
        <f t="shared" si="15"/>
        <v>0</v>
      </c>
      <c r="AZ118" s="26" cm="1">
        <f t="array" ref="AZ118">IF($F$12-$I$4+VLOOKUP($R118,武学奇术!$A:$ZZ,11,FALSE)+SUM(_xlfn.XLOOKUP(S118:AG118,增益!$A:$A,增益!$K:$K,0))&gt;0,($F$12-$I$4+VLOOKUP($R118,武学奇术!$A:$ZZ,11,FALSE)+SUM(_xlfn.XLOOKUP(S118:AG118,增益!$A:$A,增益!$K:$K,0)))/200,($F$12-$I$4+VLOOKUP($R118,武学奇术!$A:$ZZ,11,FALSE)+SUM(_xlfn.XLOOKUP(S118:AG118,增益!$A:$A,增益!$K:$K,0)))/100)</f>
        <v>-0.3</v>
      </c>
      <c r="BA118" s="26" cm="1">
        <f t="array" ref="BA118">$G$12+VLOOKUP($R118,武学奇术!$A:$ZZ,12,FALSE)+SUM(_xlfn.XLOOKUP(S118:AG118,增益!$A:$A,增益!$L:$L,0))</f>
        <v>0</v>
      </c>
      <c r="BB118">
        <f t="shared" si="16"/>
        <v>0</v>
      </c>
      <c r="BC118">
        <f t="shared" si="17"/>
        <v>0</v>
      </c>
      <c r="BD118" s="26" cm="1">
        <f t="array" ref="BD118">IF($F$13-$I$4+VLOOKUP($R118,武学奇术!$A:$ZZ,13,FALSE)+SUM(_xlfn.XLOOKUP(S118:AG118,增益!$A:$A,增益!$M:$M,0))&gt;0,($F$13-$I$4+VLOOKUP($R118,武学奇术!$A:$ZZ,13,FALSE)+SUM(_xlfn.XLOOKUP(S118:AG118,增益!$A:$A,增益!$K:$K,0)))/200,($F$13-$I$4+VLOOKUP($R118,武学奇术!$A:$ZZ,13,FALSE)+SUM(_xlfn.XLOOKUP(S118:AG118,增益!$A:$A,增益!$M:$M,0)))/100)</f>
        <v>-0.3</v>
      </c>
      <c r="BE118" s="26" cm="1">
        <f t="array" ref="BE118">$G$13+VLOOKUP($R118,武学奇术!$A:$ZZ,14,FALSE)+SUM(_xlfn.XLOOKUP(S118:AG118,增益!$A:$A,增益!$N:$N,0))</f>
        <v>0</v>
      </c>
      <c r="BF118">
        <f t="shared" si="18"/>
        <v>0</v>
      </c>
      <c r="BG118">
        <f t="shared" si="19"/>
        <v>0</v>
      </c>
      <c r="BH118" s="26" cm="1">
        <f t="array" ref="BH118">IF($F$14-$I$4+VLOOKUP($R118,武学奇术!$A:$ZZ,15,FALSE)+SUM(_xlfn.XLOOKUP(S118:AG118,增益!$A:$A,增益!$O:$O,0))&gt;0,($F$14-$I$4+VLOOKUP($R118,武学奇术!$A:$ZZ,15,FALSE)+SUM(_xlfn.XLOOKUP(S118:AG118,增益!$A:$A,增益!$O:$O,0)))/200,($F$14-$I$4+VLOOKUP($R118,武学奇术!$A:$ZZ,15,FALSE)+SUM(_xlfn.XLOOKUP(S118:AG118,增益!$A:$A,增益!$O:$O,0)))/100)</f>
        <v>-0.3</v>
      </c>
      <c r="BI118" s="26" cm="1">
        <f t="array" ref="BI118">$G$14+VLOOKUP($R118,武学奇术!$A:$ZZ,16,FALSE)+SUM(_xlfn.XLOOKUP(S118:AG118,增益!$A:$A,增益!$P:$P,0))</f>
        <v>0</v>
      </c>
      <c r="BJ118" s="21">
        <f>MIN(IF(VLOOKUP($R118,武学奇术!$A:$ZZ,23,FALSE)=1,100%,$B$8),100%)</f>
        <v>0.8229</v>
      </c>
      <c r="BK118" s="21" cm="1">
        <f t="array" ref="BK118">IF(VLOOKUP($R118,武学奇术!$A:$ZZ,23,FALSE)=1,100%,MIN(80%,$B$9+VLOOKUP($R118,武学奇术!$A:$ZZ,17,FALSE)+SUM(_xlfn.XLOOKUP(S118:AG118,增益!$A:$A,增益!$Q:$Q,0)))+$B$11+SUM(_xlfn.XLOOKUP(S118:AG118,增益!$A:$A,增益!$U:$U,0)))*IF(VLOOKUP($R118,武学奇术!$A:$ZZ,24,FALSE)=1,0,1)</f>
        <v>0.2285</v>
      </c>
      <c r="BL118" s="21" cm="1">
        <f t="array" ref="BL118">1+$B$13+VLOOKUP($R118,武学奇术!$A:$ZZ,18,FALSE)+SUM(_xlfn.XLOOKUP(S118:AG118,增益!$A:$A,增益!$R:$R,0))</f>
        <v>1.5</v>
      </c>
      <c r="BM118" s="21" cm="1">
        <f t="array" ref="BM118">IF(VLOOKUP($R118,武学奇术!$A:$ZZ,24,FALSE)=1,100%,MIN(40%,$B$10+VLOOKUP($R118,武学奇术!$A:$ZZ,19,FALSE)+SUM(_xlfn.XLOOKUP(S118:AG118,增益!$A:$A,增益!$S:$S,0)))+$B$12+SUM(_xlfn.XLOOKUP(S118:AG118,增益!$A:$A,增益!$V:$V,0)))*IF(VLOOKUP($R118,武学奇术!$A:$ZZ,23,FALSE)=1,0,1)</f>
        <v>0.4495</v>
      </c>
      <c r="BN118" s="21" cm="1">
        <f t="array" ref="BN118">1+$B$14+VLOOKUP($R118,武学奇术!$A:$ZZ,20,FALSE)+SUM(_xlfn.XLOOKUP(S118:AG118,增益!$A:$A,增益!$T:$T,0))</f>
        <v>1.602</v>
      </c>
      <c r="BO118" s="21">
        <f t="shared" si="20"/>
        <v>0.18803265</v>
      </c>
      <c r="BP118" s="21">
        <f t="shared" si="21"/>
        <v>0.2649738</v>
      </c>
      <c r="BQ118" s="21">
        <f>IF(VLOOKUP($R118,武学奇术!$A:$ZZ,22,FALSE)=1,0,(1-$BJ118))*(1-$BM118)</f>
        <v>0.09749355</v>
      </c>
      <c r="BR118" s="21" cm="1">
        <f t="array" ref="BR118">SUM(_xlfn.XLOOKUP(S118:AG118,增益!$A:$A,增益!$W:$W,0))+$I$5</f>
        <v>0.06</v>
      </c>
    </row>
    <row r="119" spans="11:70">
      <c r="K119" s="24">
        <f>$L119*VLOOKUP($R119,武学奇术!$A:$ZZ,31,FALSE)</f>
        <v>75426.159415882</v>
      </c>
      <c r="L119" s="24">
        <f t="shared" si="11"/>
        <v>125710.265693137</v>
      </c>
      <c r="M119" s="24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BL119*$Q119*(1+IF(VLOOKUP($R119,武学奇术!$A:$ZZ,30,FALSE)="流血",$B$21,0))*(1+$BR119)</f>
        <v>102919.032870865</v>
      </c>
      <c r="N119" s="24">
        <f>(($AP119*$AI119+$AJ119)*(1+$AQ119)*(1+$AR119)+($AU119*IF($G$1="鸣金",$AK119,$AI119)+IF($G$1="鸣金",$AL119*1.5,0))*(1+$AV119)*(1+$AW119)+($AY119*IF($G$1="裂石",$AK119,$AI119)+IF($G$1="裂石",$AL119*1.5,0))*(1+$AZ119)*(1+$BA119)+($BC119*IF($G$1="牵丝",$AK119,$AI119)+IF($G$1="牵丝",$AL119*1.5,0))*(1+$BD119)*(1+$BE119)+($BG119*IF($G$1="破竹",$AK119,$AI119)+IF($G$1="破竹",$AL119*1.5,0))*(1+$BH119)*(1+$BI119))*(1+$AM119)*$BN119*$Q119*(1+IF(VLOOKUP($R119,武学奇术!$A:$ZZ,30,FALSE)="流血",$B$21,0))*(1+$BR119)</f>
        <v>189465.306371025</v>
      </c>
      <c r="O119" s="24">
        <f>((($AO119+$AP119)/2*$AI119+$AJ119)*(1+$AQ119)*(1+$AR119)+(($AT119+$AU119)/2*IF($G$1="鸣金",$AK119,$AI119)+IF($G$1="鸣金",$AL119*1.5,0))*(1+$AV119)*(1+$AW119)+(($AX119+$AY119)/2*IF($G$1="裂石",$AK119,$AI119)+IF($G$1="裂石",$AL119*1.5,0))*(1+$AZ119)*(1+$BA119)+(($BB119+$BC119)/2*IF($G$1="牵丝",$AK119,$AI119)+IF($G$1="牵丝",$AL119*1.5,0))*(1+$BD119)*(1+$BE119)+(($BF119+$BG119)/2*IF($G$1="破竹",$AK119,$AI119)+IF($G$1="破竹",$AL119*1.5,0))*(1+$BH119)*(1+$BI119))*(1+$AM119)*$Q119*(1+IF(VLOOKUP($R119,武学奇术!$A:$ZZ,30,FALSE)="流血",$B$21,0))*(1+$BR119)</f>
        <v>68612.6885805768</v>
      </c>
      <c r="P119" s="24">
        <f>((($AO119*$AI119+$AJ119)*(1+$AQ119)*(1+$AR119)+($AT119*IF($G$1="鸣金",$AK119,$AI119)+IF($G$1="鸣金",$AL119*1.5,0))*(1+$AV119)*(1+$AW119)+($AX119*IF($G$1="裂石",$AK119,$AI119)+IF($G$1="裂石",$AL119*1.5,0))*(1+$AZ119)*(1+$BA119)+($BB119*IF($G$1="牵丝",$AK119,$AI119)+IF($G$1="牵丝",$AL119*1.5,0))*(1+$BD119)*(1+$BE119)+($BF119*IF($G$1="破竹",$AK119,$AI119)+IF($G$1="破竹",$AL119*1.5,0))*(1+$BH119)*(1+$BI119))*(1+$AM119))*$Q119*(1+IF(VLOOKUP($R119,武学奇术!$A:$ZZ,30,FALSE)="流血",$B$21,0))*(1+$BR119)</f>
        <v>30903.6564142262</v>
      </c>
      <c r="Q119" s="31">
        <v>1</v>
      </c>
      <c r="R119" s="32" t="s">
        <v>95</v>
      </c>
      <c r="S119" s="32" t="s">
        <v>87</v>
      </c>
      <c r="T119" s="32" t="s">
        <v>96</v>
      </c>
      <c r="U119" s="32" t="s">
        <v>97</v>
      </c>
      <c r="V119" s="32" t="s">
        <v>98</v>
      </c>
      <c r="W119" s="32" t="s">
        <v>111</v>
      </c>
      <c r="X119" s="32" t="s">
        <v>127</v>
      </c>
      <c r="Y119" s="32" t="s">
        <v>73</v>
      </c>
      <c r="Z119" s="32" t="s">
        <v>73</v>
      </c>
      <c r="AA119" s="32" t="s">
        <v>81</v>
      </c>
      <c r="AB119" s="32" t="s">
        <v>75</v>
      </c>
      <c r="AC119" s="32" t="s">
        <v>76</v>
      </c>
      <c r="AD119" s="32" t="s">
        <v>82</v>
      </c>
      <c r="AE119" s="32" t="s">
        <v>73</v>
      </c>
      <c r="AF119" s="32" t="s">
        <v>73</v>
      </c>
      <c r="AG119" s="32" t="s">
        <v>178</v>
      </c>
      <c r="AH119" t="str">
        <f>VLOOKUP($R119,武学奇术!$A:$ZZ,25,FALSE)</f>
        <v>剑</v>
      </c>
      <c r="AI119" s="21">
        <f>VLOOKUP($R119,武学奇术!$A:$ZZ,26,FALSE)</f>
        <v>2.52</v>
      </c>
      <c r="AJ119" s="22">
        <f>VLOOKUP($R119,武学奇术!$A:$ZZ,27,FALSE)*(1+IF(OR($AH119=$F$4,$AH119=$F$5),$B$22,0))</f>
        <v>0</v>
      </c>
      <c r="AK119" s="21">
        <f>VLOOKUP($R119,武学奇术!$A:$ZZ,28,FALSE)</f>
        <v>3.78</v>
      </c>
      <c r="AL119" s="22">
        <f>VLOOKUP($R119,武学奇术!$A:$ZZ,29,FALSE)*(1+IF(OR($AH119=$F$4,$AH119=$F$5),$B$22,0))</f>
        <v>0</v>
      </c>
      <c r="AM119" s="21" cm="1">
        <f t="array" ref="AM119">$G$3+IFERROR(VLOOKUP($AH119,$F$4:$G$7,2,FALSE),0)+VLOOKUP($R119,武学奇术!$A:$ZZ,2,FALSE)+SUM(_xlfn.XLOOKUP($S119:$AG119,增益!$A:$A,增益!$B:$B,0))</f>
        <v>1.3891</v>
      </c>
      <c r="AN119" s="21" cm="1">
        <f t="array" ref="AN119">VLOOKUP($R119,武学奇术!$A:$ZZ,5,FALSE)+SUM(_xlfn.XLOOKUP($S119:$AG119,增益!$A:$A,增益!$E:$E,0))</f>
        <v>0</v>
      </c>
      <c r="AO119" cm="1">
        <f t="array" ref="AO119">$D$10*(1+$AN119)+VLOOKUP($R119,武学奇术!$A:$ZZ,3,FALSE)+SUM(_xlfn.XLOOKUP($S119:$AG119,增益!$A:$A,增益!$C:$C,0))-$I$2</f>
        <v>1825.28</v>
      </c>
      <c r="AP119" cm="1">
        <f t="array" ref="AP119">$E$10*(1+$AN119)+VLOOKUP($R119,武学奇术!$A:$ZZ,4,FALSE)+SUM(_xlfn.XLOOKUP($S119:$AG119,增益!$A:$A,增益!$D:$D,0))-$I$2</f>
        <v>7757.36</v>
      </c>
      <c r="AQ119" s="26" cm="1">
        <f t="array" ref="AQ119">IF($F$10-$I$3+VLOOKUP($R119,武学奇术!$A:$ZZ,6,FALSE)+SUM(_xlfn.XLOOKUP(S119:AG119,增益!$A:$A,增益!$F:$F,0))&gt;0,($F$10-$I$3+VLOOKUP($R119,武学奇术!$A:$ZZ,6,FALSE)+SUM(_xlfn.XLOOKUP(S119:AG119,增益!$A:$A,增益!$F:$F,0)))/200,($F$10-$I$3+VLOOKUP($R119,武学奇术!$A:$ZZ,6,FALSE)+SUM(_xlfn.XLOOKUP(S119:AG119,增益!$A:$A,增益!$F:$F,0)))/100)</f>
        <v>0.319</v>
      </c>
      <c r="AR119" s="26" cm="1">
        <f t="array" ref="AR119">$G$10+VLOOKUP($R119,武学奇术!$A:$ZZ,7,FALSE)+SUM(_xlfn.XLOOKUP(S119:AG119,增益!$A:$A,增益!$G:$G,0))</f>
        <v>0</v>
      </c>
      <c r="AS119" s="21" cm="1">
        <f t="array" ref="AS119">VLOOKUP($R119,武学奇术!$A:$ZZ,8,FALSE)+SUM(_xlfn.XLOOKUP(S119:AG119,增益!$A:$A,增益!$H:$H,0))</f>
        <v>0</v>
      </c>
      <c r="AT119">
        <f t="shared" si="12"/>
        <v>680.02</v>
      </c>
      <c r="AU119">
        <f t="shared" si="13"/>
        <v>1288.54</v>
      </c>
      <c r="AV119" s="26" cm="1">
        <f t="array" ref="AV119">IF($F$11-$I$4+VLOOKUP($R119,武学奇术!$A:$ZZ,9,FALSE)+SUM(_xlfn.XLOOKUP(S119:AG119,增益!$A:$A,增益!$I:$I,0))&gt;0,($F$11-$I$4+VLOOKUP($R119,武学奇术!$A:$ZZ,9,FALSE)+SUM(_xlfn.XLOOKUP(S119:AG119,增益!$A:$A,增益!$I:$I,0)))/200,($F$11-$I$4+VLOOKUP($R119,武学奇术!$A:$ZZ,9,FALSE)+SUM(_xlfn.XLOOKUP(S119:AG119,增益!$A:$A,增益!$I:$I,0)))/100)</f>
        <v>0.075</v>
      </c>
      <c r="AW119" s="26" cm="1">
        <f t="array" ref="AW119">$G$11+VLOOKUP($R119,武学奇术!$A:$ZZ,10,FALSE)+SUM(_xlfn.XLOOKUP(S119:AG119,增益!$A:$A,增益!$J:$J,0))</f>
        <v>0.15</v>
      </c>
      <c r="AX119">
        <f t="shared" si="14"/>
        <v>0</v>
      </c>
      <c r="AY119">
        <f t="shared" si="15"/>
        <v>0</v>
      </c>
      <c r="AZ119" s="26" cm="1">
        <f t="array" ref="AZ119">IF($F$12-$I$4+VLOOKUP($R119,武学奇术!$A:$ZZ,11,FALSE)+SUM(_xlfn.XLOOKUP(S119:AG119,增益!$A:$A,增益!$K:$K,0))&gt;0,($F$12-$I$4+VLOOKUP($R119,武学奇术!$A:$ZZ,11,FALSE)+SUM(_xlfn.XLOOKUP(S119:AG119,增益!$A:$A,增益!$K:$K,0)))/200,($F$12-$I$4+VLOOKUP($R119,武学奇术!$A:$ZZ,11,FALSE)+SUM(_xlfn.XLOOKUP(S119:AG119,增益!$A:$A,增益!$K:$K,0)))/100)</f>
        <v>-0.3</v>
      </c>
      <c r="BA119" s="26" cm="1">
        <f t="array" ref="BA119">$G$12+VLOOKUP($R119,武学奇术!$A:$ZZ,12,FALSE)+SUM(_xlfn.XLOOKUP(S119:AG119,增益!$A:$A,增益!$L:$L,0))</f>
        <v>0</v>
      </c>
      <c r="BB119">
        <f t="shared" si="16"/>
        <v>0</v>
      </c>
      <c r="BC119">
        <f t="shared" si="17"/>
        <v>0</v>
      </c>
      <c r="BD119" s="26" cm="1">
        <f t="array" ref="BD119">IF($F$13-$I$4+VLOOKUP($R119,武学奇术!$A:$ZZ,13,FALSE)+SUM(_xlfn.XLOOKUP(S119:AG119,增益!$A:$A,增益!$M:$M,0))&gt;0,($F$13-$I$4+VLOOKUP($R119,武学奇术!$A:$ZZ,13,FALSE)+SUM(_xlfn.XLOOKUP(S119:AG119,增益!$A:$A,增益!$K:$K,0)))/200,($F$13-$I$4+VLOOKUP($R119,武学奇术!$A:$ZZ,13,FALSE)+SUM(_xlfn.XLOOKUP(S119:AG119,增益!$A:$A,增益!$M:$M,0)))/100)</f>
        <v>-0.3</v>
      </c>
      <c r="BE119" s="26" cm="1">
        <f t="array" ref="BE119">$G$13+VLOOKUP($R119,武学奇术!$A:$ZZ,14,FALSE)+SUM(_xlfn.XLOOKUP(S119:AG119,增益!$A:$A,增益!$N:$N,0))</f>
        <v>0</v>
      </c>
      <c r="BF119">
        <f t="shared" si="18"/>
        <v>0</v>
      </c>
      <c r="BG119">
        <f t="shared" si="19"/>
        <v>0</v>
      </c>
      <c r="BH119" s="26" cm="1">
        <f t="array" ref="BH119">IF($F$14-$I$4+VLOOKUP($R119,武学奇术!$A:$ZZ,15,FALSE)+SUM(_xlfn.XLOOKUP(S119:AG119,增益!$A:$A,增益!$O:$O,0))&gt;0,($F$14-$I$4+VLOOKUP($R119,武学奇术!$A:$ZZ,15,FALSE)+SUM(_xlfn.XLOOKUP(S119:AG119,增益!$A:$A,增益!$O:$O,0)))/200,($F$14-$I$4+VLOOKUP($R119,武学奇术!$A:$ZZ,15,FALSE)+SUM(_xlfn.XLOOKUP(S119:AG119,增益!$A:$A,增益!$O:$O,0)))/100)</f>
        <v>-0.3</v>
      </c>
      <c r="BI119" s="26" cm="1">
        <f t="array" ref="BI119">$G$14+VLOOKUP($R119,武学奇术!$A:$ZZ,16,FALSE)+SUM(_xlfn.XLOOKUP(S119:AG119,增益!$A:$A,增益!$P:$P,0))</f>
        <v>0</v>
      </c>
      <c r="BJ119" s="21">
        <f>MIN(IF(VLOOKUP($R119,武学奇术!$A:$ZZ,23,FALSE)=1,100%,$B$8),100%)</f>
        <v>0.8229</v>
      </c>
      <c r="BK119" s="21" cm="1">
        <f t="array" ref="BK119">IF(VLOOKUP($R119,武学奇术!$A:$ZZ,23,FALSE)=1,100%,MIN(80%,$B$9+VLOOKUP($R119,武学奇术!$A:$ZZ,17,FALSE)+SUM(_xlfn.XLOOKUP(S119:AG119,增益!$A:$A,增益!$Q:$Q,0)))+$B$11+SUM(_xlfn.XLOOKUP(S119:AG119,增益!$A:$A,增益!$U:$U,0)))*IF(VLOOKUP($R119,武学奇术!$A:$ZZ,24,FALSE)=1,0,1)</f>
        <v>0.2285</v>
      </c>
      <c r="BL119" s="21" cm="1">
        <f t="array" ref="BL119">1+$B$13+VLOOKUP($R119,武学奇术!$A:$ZZ,18,FALSE)+SUM(_xlfn.XLOOKUP(S119:AG119,增益!$A:$A,增益!$R:$R,0))</f>
        <v>1.5</v>
      </c>
      <c r="BM119" s="21" cm="1">
        <f t="array" ref="BM119">IF(VLOOKUP($R119,武学奇术!$A:$ZZ,24,FALSE)=1,100%,MIN(40%,$B$10+VLOOKUP($R119,武学奇术!$A:$ZZ,19,FALSE)+SUM(_xlfn.XLOOKUP(S119:AG119,增益!$A:$A,增益!$S:$S,0)))+$B$12+SUM(_xlfn.XLOOKUP(S119:AG119,增益!$A:$A,增益!$V:$V,0)))*IF(VLOOKUP($R119,武学奇术!$A:$ZZ,23,FALSE)=1,0,1)</f>
        <v>0.4495</v>
      </c>
      <c r="BN119" s="21" cm="1">
        <f t="array" ref="BN119">1+$B$14+VLOOKUP($R119,武学奇术!$A:$ZZ,20,FALSE)+SUM(_xlfn.XLOOKUP(S119:AG119,增益!$A:$A,增益!$T:$T,0))</f>
        <v>1.782</v>
      </c>
      <c r="BO119" s="21">
        <f t="shared" si="20"/>
        <v>0.18803265</v>
      </c>
      <c r="BP119" s="21">
        <f t="shared" si="21"/>
        <v>0.2649738</v>
      </c>
      <c r="BQ119" s="21">
        <f>IF(VLOOKUP($R119,武学奇术!$A:$ZZ,22,FALSE)=1,0,(1-$BJ119))*(1-$BM119)</f>
        <v>0.09749355</v>
      </c>
      <c r="BR119" s="21" cm="1">
        <f t="array" ref="BR119">SUM(_xlfn.XLOOKUP(S119:AG119,增益!$A:$A,增益!$W:$W,0))+$I$5</f>
        <v>0.06</v>
      </c>
    </row>
    <row r="120" spans="11:70">
      <c r="K120" s="24">
        <f>$L120*VLOOKUP($R120,武学奇术!$A:$ZZ,31,FALSE)</f>
        <v>75426.159415882</v>
      </c>
      <c r="L120" s="24">
        <f t="shared" si="11"/>
        <v>125710.265693137</v>
      </c>
      <c r="M120" s="24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BL120*$Q120*(1+IF(VLOOKUP($R120,武学奇术!$A:$ZZ,30,FALSE)="流血",$B$21,0))*(1+$BR120)</f>
        <v>102919.032870865</v>
      </c>
      <c r="N120" s="24">
        <f>(($AP120*$AI120+$AJ120)*(1+$AQ120)*(1+$AR120)+($AU120*IF($G$1="鸣金",$AK120,$AI120)+IF($G$1="鸣金",$AL120*1.5,0))*(1+$AV120)*(1+$AW120)+($AY120*IF($G$1="裂石",$AK120,$AI120)+IF($G$1="裂石",$AL120*1.5,0))*(1+$AZ120)*(1+$BA120)+($BC120*IF($G$1="牵丝",$AK120,$AI120)+IF($G$1="牵丝",$AL120*1.5,0))*(1+$BD120)*(1+$BE120)+($BG120*IF($G$1="破竹",$AK120,$AI120)+IF($G$1="破竹",$AL120*1.5,0))*(1+$BH120)*(1+$BI120))*(1+$AM120)*$BN120*$Q120*(1+IF(VLOOKUP($R120,武学奇术!$A:$ZZ,30,FALSE)="流血",$B$21,0))*(1+$BR120)</f>
        <v>189465.306371025</v>
      </c>
      <c r="O120" s="24">
        <f>((($AO120+$AP120)/2*$AI120+$AJ120)*(1+$AQ120)*(1+$AR120)+(($AT120+$AU120)/2*IF($G$1="鸣金",$AK120,$AI120)+IF($G$1="鸣金",$AL120*1.5,0))*(1+$AV120)*(1+$AW120)+(($AX120+$AY120)/2*IF($G$1="裂石",$AK120,$AI120)+IF($G$1="裂石",$AL120*1.5,0))*(1+$AZ120)*(1+$BA120)+(($BB120+$BC120)/2*IF($G$1="牵丝",$AK120,$AI120)+IF($G$1="牵丝",$AL120*1.5,0))*(1+$BD120)*(1+$BE120)+(($BF120+$BG120)/2*IF($G$1="破竹",$AK120,$AI120)+IF($G$1="破竹",$AL120*1.5,0))*(1+$BH120)*(1+$BI120))*(1+$AM120)*$Q120*(1+IF(VLOOKUP($R120,武学奇术!$A:$ZZ,30,FALSE)="流血",$B$21,0))*(1+$BR120)</f>
        <v>68612.6885805768</v>
      </c>
      <c r="P120" s="24">
        <f>((($AO120*$AI120+$AJ120)*(1+$AQ120)*(1+$AR120)+($AT120*IF($G$1="鸣金",$AK120,$AI120)+IF($G$1="鸣金",$AL120*1.5,0))*(1+$AV120)*(1+$AW120)+($AX120*IF($G$1="裂石",$AK120,$AI120)+IF($G$1="裂石",$AL120*1.5,0))*(1+$AZ120)*(1+$BA120)+($BB120*IF($G$1="牵丝",$AK120,$AI120)+IF($G$1="牵丝",$AL120*1.5,0))*(1+$BD120)*(1+$BE120)+($BF120*IF($G$1="破竹",$AK120,$AI120)+IF($G$1="破竹",$AL120*1.5,0))*(1+$BH120)*(1+$BI120))*(1+$AM120))*$Q120*(1+IF(VLOOKUP($R120,武学奇术!$A:$ZZ,30,FALSE)="流血",$B$21,0))*(1+$BR120)</f>
        <v>30903.6564142262</v>
      </c>
      <c r="Q120" s="31">
        <v>1</v>
      </c>
      <c r="R120" s="32" t="s">
        <v>95</v>
      </c>
      <c r="S120" s="32" t="s">
        <v>87</v>
      </c>
      <c r="T120" s="32" t="s">
        <v>96</v>
      </c>
      <c r="U120" s="32" t="s">
        <v>97</v>
      </c>
      <c r="V120" s="32" t="s">
        <v>98</v>
      </c>
      <c r="W120" s="32" t="s">
        <v>111</v>
      </c>
      <c r="X120" s="32" t="s">
        <v>127</v>
      </c>
      <c r="Y120" s="32" t="s">
        <v>73</v>
      </c>
      <c r="Z120" s="32" t="s">
        <v>73</v>
      </c>
      <c r="AA120" s="32" t="s">
        <v>81</v>
      </c>
      <c r="AB120" s="32" t="s">
        <v>75</v>
      </c>
      <c r="AC120" s="32" t="s">
        <v>76</v>
      </c>
      <c r="AD120" s="32" t="s">
        <v>82</v>
      </c>
      <c r="AE120" s="32" t="s">
        <v>73</v>
      </c>
      <c r="AF120" s="32" t="s">
        <v>73</v>
      </c>
      <c r="AG120" s="32" t="s">
        <v>178</v>
      </c>
      <c r="AH120" t="str">
        <f>VLOOKUP($R120,武学奇术!$A:$ZZ,25,FALSE)</f>
        <v>剑</v>
      </c>
      <c r="AI120" s="21">
        <f>VLOOKUP($R120,武学奇术!$A:$ZZ,26,FALSE)</f>
        <v>2.52</v>
      </c>
      <c r="AJ120" s="22">
        <f>VLOOKUP($R120,武学奇术!$A:$ZZ,27,FALSE)*(1+IF(OR($AH120=$F$4,$AH120=$F$5),$B$22,0))</f>
        <v>0</v>
      </c>
      <c r="AK120" s="21">
        <f>VLOOKUP($R120,武学奇术!$A:$ZZ,28,FALSE)</f>
        <v>3.78</v>
      </c>
      <c r="AL120" s="22">
        <f>VLOOKUP($R120,武学奇术!$A:$ZZ,29,FALSE)*(1+IF(OR($AH120=$F$4,$AH120=$F$5),$B$22,0))</f>
        <v>0</v>
      </c>
      <c r="AM120" s="21" cm="1">
        <f t="array" ref="AM120">$G$3+IFERROR(VLOOKUP($AH120,$F$4:$G$7,2,FALSE),0)+VLOOKUP($R120,武学奇术!$A:$ZZ,2,FALSE)+SUM(_xlfn.XLOOKUP($S120:$AG120,增益!$A:$A,增益!$B:$B,0))</f>
        <v>1.3891</v>
      </c>
      <c r="AN120" s="21" cm="1">
        <f t="array" ref="AN120">VLOOKUP($R120,武学奇术!$A:$ZZ,5,FALSE)+SUM(_xlfn.XLOOKUP($S120:$AG120,增益!$A:$A,增益!$E:$E,0))</f>
        <v>0</v>
      </c>
      <c r="AO120" cm="1">
        <f t="array" ref="AO120">$D$10*(1+$AN120)+VLOOKUP($R120,武学奇术!$A:$ZZ,3,FALSE)+SUM(_xlfn.XLOOKUP($S120:$AG120,增益!$A:$A,增益!$C:$C,0))-$I$2</f>
        <v>1825.28</v>
      </c>
      <c r="AP120" cm="1">
        <f t="array" ref="AP120">$E$10*(1+$AN120)+VLOOKUP($R120,武学奇术!$A:$ZZ,4,FALSE)+SUM(_xlfn.XLOOKUP($S120:$AG120,增益!$A:$A,增益!$D:$D,0))-$I$2</f>
        <v>7757.36</v>
      </c>
      <c r="AQ120" s="26" cm="1">
        <f t="array" ref="AQ120">IF($F$10-$I$3+VLOOKUP($R120,武学奇术!$A:$ZZ,6,FALSE)+SUM(_xlfn.XLOOKUP(S120:AG120,增益!$A:$A,增益!$F:$F,0))&gt;0,($F$10-$I$3+VLOOKUP($R120,武学奇术!$A:$ZZ,6,FALSE)+SUM(_xlfn.XLOOKUP(S120:AG120,增益!$A:$A,增益!$F:$F,0)))/200,($F$10-$I$3+VLOOKUP($R120,武学奇术!$A:$ZZ,6,FALSE)+SUM(_xlfn.XLOOKUP(S120:AG120,增益!$A:$A,增益!$F:$F,0)))/100)</f>
        <v>0.319</v>
      </c>
      <c r="AR120" s="26" cm="1">
        <f t="array" ref="AR120">$G$10+VLOOKUP($R120,武学奇术!$A:$ZZ,7,FALSE)+SUM(_xlfn.XLOOKUP(S120:AG120,增益!$A:$A,增益!$G:$G,0))</f>
        <v>0</v>
      </c>
      <c r="AS120" s="21" cm="1">
        <f t="array" ref="AS120">VLOOKUP($R120,武学奇术!$A:$ZZ,8,FALSE)+SUM(_xlfn.XLOOKUP(S120:AG120,增益!$A:$A,增益!$H:$H,0))</f>
        <v>0</v>
      </c>
      <c r="AT120">
        <f t="shared" si="12"/>
        <v>680.02</v>
      </c>
      <c r="AU120">
        <f t="shared" si="13"/>
        <v>1288.54</v>
      </c>
      <c r="AV120" s="26" cm="1">
        <f t="array" ref="AV120">IF($F$11-$I$4+VLOOKUP($R120,武学奇术!$A:$ZZ,9,FALSE)+SUM(_xlfn.XLOOKUP(S120:AG120,增益!$A:$A,增益!$I:$I,0))&gt;0,($F$11-$I$4+VLOOKUP($R120,武学奇术!$A:$ZZ,9,FALSE)+SUM(_xlfn.XLOOKUP(S120:AG120,增益!$A:$A,增益!$I:$I,0)))/200,($F$11-$I$4+VLOOKUP($R120,武学奇术!$A:$ZZ,9,FALSE)+SUM(_xlfn.XLOOKUP(S120:AG120,增益!$A:$A,增益!$I:$I,0)))/100)</f>
        <v>0.075</v>
      </c>
      <c r="AW120" s="26" cm="1">
        <f t="array" ref="AW120">$G$11+VLOOKUP($R120,武学奇术!$A:$ZZ,10,FALSE)+SUM(_xlfn.XLOOKUP(S120:AG120,增益!$A:$A,增益!$J:$J,0))</f>
        <v>0.15</v>
      </c>
      <c r="AX120">
        <f t="shared" si="14"/>
        <v>0</v>
      </c>
      <c r="AY120">
        <f t="shared" si="15"/>
        <v>0</v>
      </c>
      <c r="AZ120" s="26" cm="1">
        <f t="array" ref="AZ120">IF($F$12-$I$4+VLOOKUP($R120,武学奇术!$A:$ZZ,11,FALSE)+SUM(_xlfn.XLOOKUP(S120:AG120,增益!$A:$A,增益!$K:$K,0))&gt;0,($F$12-$I$4+VLOOKUP($R120,武学奇术!$A:$ZZ,11,FALSE)+SUM(_xlfn.XLOOKUP(S120:AG120,增益!$A:$A,增益!$K:$K,0)))/200,($F$12-$I$4+VLOOKUP($R120,武学奇术!$A:$ZZ,11,FALSE)+SUM(_xlfn.XLOOKUP(S120:AG120,增益!$A:$A,增益!$K:$K,0)))/100)</f>
        <v>-0.3</v>
      </c>
      <c r="BA120" s="26" cm="1">
        <f t="array" ref="BA120">$G$12+VLOOKUP($R120,武学奇术!$A:$ZZ,12,FALSE)+SUM(_xlfn.XLOOKUP(S120:AG120,增益!$A:$A,增益!$L:$L,0))</f>
        <v>0</v>
      </c>
      <c r="BB120">
        <f t="shared" si="16"/>
        <v>0</v>
      </c>
      <c r="BC120">
        <f t="shared" si="17"/>
        <v>0</v>
      </c>
      <c r="BD120" s="26" cm="1">
        <f t="array" ref="BD120">IF($F$13-$I$4+VLOOKUP($R120,武学奇术!$A:$ZZ,13,FALSE)+SUM(_xlfn.XLOOKUP(S120:AG120,增益!$A:$A,增益!$M:$M,0))&gt;0,($F$13-$I$4+VLOOKUP($R120,武学奇术!$A:$ZZ,13,FALSE)+SUM(_xlfn.XLOOKUP(S120:AG120,增益!$A:$A,增益!$K:$K,0)))/200,($F$13-$I$4+VLOOKUP($R120,武学奇术!$A:$ZZ,13,FALSE)+SUM(_xlfn.XLOOKUP(S120:AG120,增益!$A:$A,增益!$M:$M,0)))/100)</f>
        <v>-0.3</v>
      </c>
      <c r="BE120" s="26" cm="1">
        <f t="array" ref="BE120">$G$13+VLOOKUP($R120,武学奇术!$A:$ZZ,14,FALSE)+SUM(_xlfn.XLOOKUP(S120:AG120,增益!$A:$A,增益!$N:$N,0))</f>
        <v>0</v>
      </c>
      <c r="BF120">
        <f t="shared" si="18"/>
        <v>0</v>
      </c>
      <c r="BG120">
        <f t="shared" si="19"/>
        <v>0</v>
      </c>
      <c r="BH120" s="26" cm="1">
        <f t="array" ref="BH120">IF($F$14-$I$4+VLOOKUP($R120,武学奇术!$A:$ZZ,15,FALSE)+SUM(_xlfn.XLOOKUP(S120:AG120,增益!$A:$A,增益!$O:$O,0))&gt;0,($F$14-$I$4+VLOOKUP($R120,武学奇术!$A:$ZZ,15,FALSE)+SUM(_xlfn.XLOOKUP(S120:AG120,增益!$A:$A,增益!$O:$O,0)))/200,($F$14-$I$4+VLOOKUP($R120,武学奇术!$A:$ZZ,15,FALSE)+SUM(_xlfn.XLOOKUP(S120:AG120,增益!$A:$A,增益!$O:$O,0)))/100)</f>
        <v>-0.3</v>
      </c>
      <c r="BI120" s="26" cm="1">
        <f t="array" ref="BI120">$G$14+VLOOKUP($R120,武学奇术!$A:$ZZ,16,FALSE)+SUM(_xlfn.XLOOKUP(S120:AG120,增益!$A:$A,增益!$P:$P,0))</f>
        <v>0</v>
      </c>
      <c r="BJ120" s="21">
        <f>MIN(IF(VLOOKUP($R120,武学奇术!$A:$ZZ,23,FALSE)=1,100%,$B$8),100%)</f>
        <v>0.8229</v>
      </c>
      <c r="BK120" s="21" cm="1">
        <f t="array" ref="BK120">IF(VLOOKUP($R120,武学奇术!$A:$ZZ,23,FALSE)=1,100%,MIN(80%,$B$9+VLOOKUP($R120,武学奇术!$A:$ZZ,17,FALSE)+SUM(_xlfn.XLOOKUP(S120:AG120,增益!$A:$A,增益!$Q:$Q,0)))+$B$11+SUM(_xlfn.XLOOKUP(S120:AG120,增益!$A:$A,增益!$U:$U,0)))*IF(VLOOKUP($R120,武学奇术!$A:$ZZ,24,FALSE)=1,0,1)</f>
        <v>0.2285</v>
      </c>
      <c r="BL120" s="21" cm="1">
        <f t="array" ref="BL120">1+$B$13+VLOOKUP($R120,武学奇术!$A:$ZZ,18,FALSE)+SUM(_xlfn.XLOOKUP(S120:AG120,增益!$A:$A,增益!$R:$R,0))</f>
        <v>1.5</v>
      </c>
      <c r="BM120" s="21" cm="1">
        <f t="array" ref="BM120">IF(VLOOKUP($R120,武学奇术!$A:$ZZ,24,FALSE)=1,100%,MIN(40%,$B$10+VLOOKUP($R120,武学奇术!$A:$ZZ,19,FALSE)+SUM(_xlfn.XLOOKUP(S120:AG120,增益!$A:$A,增益!$S:$S,0)))+$B$12+SUM(_xlfn.XLOOKUP(S120:AG120,增益!$A:$A,增益!$V:$V,0)))*IF(VLOOKUP($R120,武学奇术!$A:$ZZ,23,FALSE)=1,0,1)</f>
        <v>0.4495</v>
      </c>
      <c r="BN120" s="21" cm="1">
        <f t="array" ref="BN120">1+$B$14+VLOOKUP($R120,武学奇术!$A:$ZZ,20,FALSE)+SUM(_xlfn.XLOOKUP(S120:AG120,增益!$A:$A,增益!$T:$T,0))</f>
        <v>1.782</v>
      </c>
      <c r="BO120" s="21">
        <f t="shared" si="20"/>
        <v>0.18803265</v>
      </c>
      <c r="BP120" s="21">
        <f t="shared" si="21"/>
        <v>0.2649738</v>
      </c>
      <c r="BQ120" s="21">
        <f>IF(VLOOKUP($R120,武学奇术!$A:$ZZ,22,FALSE)=1,0,(1-$BJ120))*(1-$BM120)</f>
        <v>0.09749355</v>
      </c>
      <c r="BR120" s="21" cm="1">
        <f t="array" ref="BR120">SUM(_xlfn.XLOOKUP(S120:AG120,增益!$A:$A,增益!$W:$W,0))+$I$5</f>
        <v>0.06</v>
      </c>
    </row>
    <row r="121" spans="11:70">
      <c r="K121" s="24">
        <f>$L121*VLOOKUP($R121,武学奇术!$A:$ZZ,31,FALSE)</f>
        <v>14197.8087719453</v>
      </c>
      <c r="L121" s="24">
        <f t="shared" si="11"/>
        <v>14197.8087719453</v>
      </c>
      <c r="M121" s="24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BL121*$Q121*(1+IF(VLOOKUP($R121,武学奇术!$A:$ZZ,30,FALSE)="流血",$B$21,0))*(1+$BR121)</f>
        <v>12474.2407304116</v>
      </c>
      <c r="N121" s="24">
        <f>(($AP121*$AI121+$AJ121)*(1+$AQ121)*(1+$AR121)+($AU121*IF($G$1="鸣金",$AK121,$AI121)+IF($G$1="鸣金",$AL121*1.5,0))*(1+$AV121)*(1+$AW121)+($AY121*IF($G$1="裂石",$AK121,$AI121)+IF($G$1="裂石",$AL121*1.5,0))*(1+$AZ121)*(1+$BA121)+($BC121*IF($G$1="牵丝",$AK121,$AI121)+IF($G$1="牵丝",$AL121*1.5,0))*(1+$BD121)*(1+$BE121)+($BG121*IF($G$1="破竹",$AK121,$AI121)+IF($G$1="破竹",$AL121*1.5,0))*(1+$BH121)*(1+$BI121))*(1+$AM121)*$BN121*$Q121*(1+IF(VLOOKUP($R121,武学奇术!$A:$ZZ,30,FALSE)="流血",$B$21,0))*(1+$BR121)</f>
        <v>20654.2862431053</v>
      </c>
      <c r="O121" s="24">
        <f>((($AO121+$AP121)/2*$AI121+$AJ121)*(1+$AQ121)*(1+$AR121)+(($AT121+$AU121)/2*IF($G$1="鸣金",$AK121,$AI121)+IF($G$1="鸣金",$AL121*1.5,0))*(1+$AV121)*(1+$AW121)+(($AX121+$AY121)/2*IF($G$1="裂石",$AK121,$AI121)+IF($G$1="裂石",$AL121*1.5,0))*(1+$AZ121)*(1+$BA121)+(($BB121+$BC121)/2*IF($G$1="牵丝",$AK121,$AI121)+IF($G$1="牵丝",$AL121*1.5,0))*(1+$BD121)*(1+$BE121)+(($BF121+$BG121)/2*IF($G$1="破竹",$AK121,$AI121)+IF($G$1="破竹",$AL121*1.5,0))*(1+$BH121)*(1+$BI121))*(1+$AM121)*$Q121*(1+IF(VLOOKUP($R121,武学奇术!$A:$ZZ,30,FALSE)="流血",$B$21,0))*(1+$BR121)</f>
        <v>8316.16048694105</v>
      </c>
      <c r="P121" s="24">
        <f>((($AO121*$AI121+$AJ121)*(1+$AQ121)*(1+$AR121)+($AT121*IF($G$1="鸣金",$AK121,$AI121)+IF($G$1="鸣金",$AL121*1.5,0))*(1+$AV121)*(1+$AW121)+($AX121*IF($G$1="裂石",$AK121,$AI121)+IF($G$1="裂石",$AL121*1.5,0))*(1+$AZ121)*(1+$BA121)+($BB121*IF($G$1="牵丝",$AK121,$AI121)+IF($G$1="牵丝",$AL121*1.5,0))*(1+$BD121)*(1+$BE121)+($BF121*IF($G$1="破竹",$AK121,$AI121)+IF($G$1="破竹",$AL121*1.5,0))*(1+$BH121)*(1+$BI121))*(1+$AM121))*$Q121*(1+IF(VLOOKUP($R121,武学奇术!$A:$ZZ,30,FALSE)="流血",$B$21,0))*(1+$BR121)</f>
        <v>3739.50808804858</v>
      </c>
      <c r="Q121" s="31">
        <v>1</v>
      </c>
      <c r="R121" s="32" t="s">
        <v>103</v>
      </c>
      <c r="S121" s="32" t="s">
        <v>87</v>
      </c>
      <c r="T121" s="32" t="s">
        <v>104</v>
      </c>
      <c r="U121" s="32" t="s">
        <v>73</v>
      </c>
      <c r="V121" s="32" t="s">
        <v>73</v>
      </c>
      <c r="W121" s="32" t="s">
        <v>111</v>
      </c>
      <c r="X121" s="32" t="s">
        <v>127</v>
      </c>
      <c r="Y121" s="32" t="s">
        <v>73</v>
      </c>
      <c r="Z121" s="32" t="s">
        <v>73</v>
      </c>
      <c r="AA121" s="32" t="s">
        <v>81</v>
      </c>
      <c r="AB121" s="32" t="s">
        <v>75</v>
      </c>
      <c r="AC121" s="32" t="s">
        <v>76</v>
      </c>
      <c r="AD121" s="32" t="s">
        <v>82</v>
      </c>
      <c r="AE121" s="32" t="s">
        <v>73</v>
      </c>
      <c r="AF121" s="32" t="s">
        <v>73</v>
      </c>
      <c r="AG121" s="32" t="s">
        <v>178</v>
      </c>
      <c r="AH121" t="str">
        <f>VLOOKUP($R121,武学奇术!$A:$ZZ,25,FALSE)</f>
        <v>剑</v>
      </c>
      <c r="AI121" s="21">
        <f>VLOOKUP($R121,武学奇术!$A:$ZZ,26,FALSE)</f>
        <v>0.625</v>
      </c>
      <c r="AJ121" s="22">
        <f>VLOOKUP($R121,武学奇术!$A:$ZZ,27,FALSE)*(1+IF(OR($AH121=$F$4,$AH121=$F$5),$B$22,0))</f>
        <v>0</v>
      </c>
      <c r="AK121" s="21">
        <f>VLOOKUP($R121,武学奇术!$A:$ZZ,28,FALSE)</f>
        <v>0.9375</v>
      </c>
      <c r="AL121" s="22">
        <f>VLOOKUP($R121,武学奇术!$A:$ZZ,29,FALSE)*(1+IF(OR($AH121=$F$4,$AH121=$F$5),$B$22,0))</f>
        <v>0</v>
      </c>
      <c r="AM121" s="21" cm="1">
        <f t="array" ref="AM121">$G$3+IFERROR(VLOOKUP($AH121,$F$4:$G$7,2,FALSE),0)+VLOOKUP($R121,武学奇术!$A:$ZZ,2,FALSE)+SUM(_xlfn.XLOOKUP($S121:$AG121,增益!$A:$A,增益!$B:$B,0))</f>
        <v>0.6391</v>
      </c>
      <c r="AN121" s="21" cm="1">
        <f t="array" ref="AN121">VLOOKUP($R121,武学奇术!$A:$ZZ,5,FALSE)+SUM(_xlfn.XLOOKUP($S121:$AG121,增益!$A:$A,增益!$E:$E,0))</f>
        <v>0</v>
      </c>
      <c r="AO121" cm="1">
        <f t="array" ref="AO121">$D$10*(1+$AN121)+VLOOKUP($R121,武学奇术!$A:$ZZ,3,FALSE)+SUM(_xlfn.XLOOKUP($S121:$AG121,增益!$A:$A,增益!$C:$C,0))-$I$2</f>
        <v>1825.28</v>
      </c>
      <c r="AP121" cm="1">
        <f t="array" ref="AP121">$E$10*(1+$AN121)+VLOOKUP($R121,武学奇术!$A:$ZZ,4,FALSE)+SUM(_xlfn.XLOOKUP($S121:$AG121,增益!$A:$A,增益!$D:$D,0))-$I$2</f>
        <v>7757.36</v>
      </c>
      <c r="AQ121" s="26" cm="1">
        <f t="array" ref="AQ121">IF($F$10-$I$3+VLOOKUP($R121,武学奇术!$A:$ZZ,6,FALSE)+SUM(_xlfn.XLOOKUP(S121:AG121,增益!$A:$A,增益!$F:$F,0))&gt;0,($F$10-$I$3+VLOOKUP($R121,武学奇术!$A:$ZZ,6,FALSE)+SUM(_xlfn.XLOOKUP(S121:AG121,增益!$A:$A,增益!$F:$F,0)))/200,($F$10-$I$3+VLOOKUP($R121,武学奇术!$A:$ZZ,6,FALSE)+SUM(_xlfn.XLOOKUP(S121:AG121,增益!$A:$A,增益!$F:$F,0)))/100)</f>
        <v>0.244</v>
      </c>
      <c r="AR121" s="26" cm="1">
        <f t="array" ref="AR121">$G$10+VLOOKUP($R121,武学奇术!$A:$ZZ,7,FALSE)+SUM(_xlfn.XLOOKUP(S121:AG121,增益!$A:$A,增益!$G:$G,0))</f>
        <v>0</v>
      </c>
      <c r="AS121" s="21" cm="1">
        <f t="array" ref="AS121">VLOOKUP($R121,武学奇术!$A:$ZZ,8,FALSE)+SUM(_xlfn.XLOOKUP(S121:AG121,增益!$A:$A,增益!$H:$H,0))</f>
        <v>0</v>
      </c>
      <c r="AT121">
        <f t="shared" si="12"/>
        <v>680.02</v>
      </c>
      <c r="AU121">
        <f t="shared" si="13"/>
        <v>1288.54</v>
      </c>
      <c r="AV121" s="26" cm="1">
        <f t="array" ref="AV121">IF($F$11-$I$4+VLOOKUP($R121,武学奇术!$A:$ZZ,9,FALSE)+SUM(_xlfn.XLOOKUP(S121:AG121,增益!$A:$A,增益!$I:$I,0))&gt;0,($F$11-$I$4+VLOOKUP($R121,武学奇术!$A:$ZZ,9,FALSE)+SUM(_xlfn.XLOOKUP(S121:AG121,增益!$A:$A,增益!$I:$I,0)))/200,($F$11-$I$4+VLOOKUP($R121,武学奇术!$A:$ZZ,9,FALSE)+SUM(_xlfn.XLOOKUP(S121:AG121,增益!$A:$A,增益!$I:$I,0)))/100)</f>
        <v>0</v>
      </c>
      <c r="AW121" s="26" cm="1">
        <f t="array" ref="AW121">$G$11+VLOOKUP($R121,武学奇术!$A:$ZZ,10,FALSE)+SUM(_xlfn.XLOOKUP(S121:AG121,增益!$A:$A,增益!$J:$J,0))</f>
        <v>0.15</v>
      </c>
      <c r="AX121">
        <f t="shared" si="14"/>
        <v>0</v>
      </c>
      <c r="AY121">
        <f t="shared" si="15"/>
        <v>0</v>
      </c>
      <c r="AZ121" s="26" cm="1">
        <f t="array" ref="AZ121">IF($F$12-$I$4+VLOOKUP($R121,武学奇术!$A:$ZZ,11,FALSE)+SUM(_xlfn.XLOOKUP(S121:AG121,增益!$A:$A,增益!$K:$K,0))&gt;0,($F$12-$I$4+VLOOKUP($R121,武学奇术!$A:$ZZ,11,FALSE)+SUM(_xlfn.XLOOKUP(S121:AG121,增益!$A:$A,增益!$K:$K,0)))/200,($F$12-$I$4+VLOOKUP($R121,武学奇术!$A:$ZZ,11,FALSE)+SUM(_xlfn.XLOOKUP(S121:AG121,增益!$A:$A,增益!$K:$K,0)))/100)</f>
        <v>-0.3</v>
      </c>
      <c r="BA121" s="26" cm="1">
        <f t="array" ref="BA121">$G$12+VLOOKUP($R121,武学奇术!$A:$ZZ,12,FALSE)+SUM(_xlfn.XLOOKUP(S121:AG121,增益!$A:$A,增益!$L:$L,0))</f>
        <v>0</v>
      </c>
      <c r="BB121">
        <f t="shared" si="16"/>
        <v>0</v>
      </c>
      <c r="BC121">
        <f t="shared" si="17"/>
        <v>0</v>
      </c>
      <c r="BD121" s="26" cm="1">
        <f t="array" ref="BD121">IF($F$13-$I$4+VLOOKUP($R121,武学奇术!$A:$ZZ,13,FALSE)+SUM(_xlfn.XLOOKUP(S121:AG121,增益!$A:$A,增益!$M:$M,0))&gt;0,($F$13-$I$4+VLOOKUP($R121,武学奇术!$A:$ZZ,13,FALSE)+SUM(_xlfn.XLOOKUP(S121:AG121,增益!$A:$A,增益!$K:$K,0)))/200,($F$13-$I$4+VLOOKUP($R121,武学奇术!$A:$ZZ,13,FALSE)+SUM(_xlfn.XLOOKUP(S121:AG121,增益!$A:$A,增益!$M:$M,0)))/100)</f>
        <v>-0.3</v>
      </c>
      <c r="BE121" s="26" cm="1">
        <f t="array" ref="BE121">$G$13+VLOOKUP($R121,武学奇术!$A:$ZZ,14,FALSE)+SUM(_xlfn.XLOOKUP(S121:AG121,增益!$A:$A,增益!$N:$N,0))</f>
        <v>0</v>
      </c>
      <c r="BF121">
        <f t="shared" si="18"/>
        <v>0</v>
      </c>
      <c r="BG121">
        <f t="shared" si="19"/>
        <v>0</v>
      </c>
      <c r="BH121" s="26" cm="1">
        <f t="array" ref="BH121">IF($F$14-$I$4+VLOOKUP($R121,武学奇术!$A:$ZZ,15,FALSE)+SUM(_xlfn.XLOOKUP(S121:AG121,增益!$A:$A,增益!$O:$O,0))&gt;0,($F$14-$I$4+VLOOKUP($R121,武学奇术!$A:$ZZ,15,FALSE)+SUM(_xlfn.XLOOKUP(S121:AG121,增益!$A:$A,增益!$O:$O,0)))/200,($F$14-$I$4+VLOOKUP($R121,武学奇术!$A:$ZZ,15,FALSE)+SUM(_xlfn.XLOOKUP(S121:AG121,增益!$A:$A,增益!$O:$O,0)))/100)</f>
        <v>-0.3</v>
      </c>
      <c r="BI121" s="26" cm="1">
        <f t="array" ref="BI121">$G$14+VLOOKUP($R121,武学奇术!$A:$ZZ,16,FALSE)+SUM(_xlfn.XLOOKUP(S121:AG121,增益!$A:$A,增益!$P:$P,0))</f>
        <v>0</v>
      </c>
      <c r="BJ121" s="21">
        <f>MIN(IF(VLOOKUP($R121,武学奇术!$A:$ZZ,23,FALSE)=1,100%,$B$8),100%)</f>
        <v>0.8229</v>
      </c>
      <c r="BK121" s="21" cm="1">
        <f t="array" ref="BK121">IF(VLOOKUP($R121,武学奇术!$A:$ZZ,23,FALSE)=1,100%,MIN(80%,$B$9+VLOOKUP($R121,武学奇术!$A:$ZZ,17,FALSE)+SUM(_xlfn.XLOOKUP(S121:AG121,增益!$A:$A,增益!$Q:$Q,0)))+$B$11+SUM(_xlfn.XLOOKUP(S121:AG121,增益!$A:$A,增益!$U:$U,0)))*IF(VLOOKUP($R121,武学奇术!$A:$ZZ,24,FALSE)=1,0,1)</f>
        <v>0.2285</v>
      </c>
      <c r="BL121" s="21" cm="1">
        <f t="array" ref="BL121">1+$B$13+VLOOKUP($R121,武学奇术!$A:$ZZ,18,FALSE)+SUM(_xlfn.XLOOKUP(S121:AG121,增益!$A:$A,增益!$R:$R,0))</f>
        <v>1.5</v>
      </c>
      <c r="BM121" s="21" cm="1">
        <f t="array" ref="BM121">IF(VLOOKUP($R121,武学奇术!$A:$ZZ,24,FALSE)=1,100%,MIN(40%,$B$10+VLOOKUP($R121,武学奇术!$A:$ZZ,19,FALSE)+SUM(_xlfn.XLOOKUP(S121:AG121,增益!$A:$A,增益!$S:$S,0)))+$B$12+SUM(_xlfn.XLOOKUP(S121:AG121,增益!$A:$A,增益!$V:$V,0)))*IF(VLOOKUP($R121,武学奇术!$A:$ZZ,23,FALSE)=1,0,1)</f>
        <v>0.4495</v>
      </c>
      <c r="BN121" s="21" cm="1">
        <f t="array" ref="BN121">1+$B$14+VLOOKUP($R121,武学奇术!$A:$ZZ,20,FALSE)+SUM(_xlfn.XLOOKUP(S121:AG121,增益!$A:$A,增益!$T:$T,0))</f>
        <v>1.602</v>
      </c>
      <c r="BO121" s="21">
        <f t="shared" si="20"/>
        <v>0.18803265</v>
      </c>
      <c r="BP121" s="21">
        <f t="shared" si="21"/>
        <v>0.2649738</v>
      </c>
      <c r="BQ121" s="21">
        <f>IF(VLOOKUP($R121,武学奇术!$A:$ZZ,22,FALSE)=1,0,(1-$BJ121))*(1-$BM121)</f>
        <v>0.09749355</v>
      </c>
      <c r="BR121" s="21" cm="1">
        <f t="array" ref="BR121">SUM(_xlfn.XLOOKUP(S121:AG121,增益!$A:$A,增益!$W:$W,0))+$I$5</f>
        <v>0.06</v>
      </c>
    </row>
    <row r="122" spans="11:70">
      <c r="K122" s="24">
        <f>$L122*VLOOKUP($R122,武学奇术!$A:$ZZ,31,FALSE)</f>
        <v>67622.6185650033</v>
      </c>
      <c r="L122" s="24">
        <f t="shared" si="11"/>
        <v>67622.6185650033</v>
      </c>
      <c r="M122" s="24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BL122*$Q122*(1+IF(VLOOKUP($R122,武学奇术!$A:$ZZ,30,FALSE)="流血",$B$21,0))*(1+$BR122)</f>
        <v>60697.979034065</v>
      </c>
      <c r="N122" s="24">
        <f>(($AP122*$AI122+$AJ122)*(1+$AQ122)*(1+$AR122)+($AU122*IF($G$1="鸣金",$AK122,$AI122)+IF($G$1="鸣金",$AL122*1.5,0))*(1+$AV122)*(1+$AW122)+($AY122*IF($G$1="裂石",$AK122,$AI122)+IF($G$1="裂石",$AL122*1.5,0))*(1+$AZ122)*(1+$BA122)+($BC122*IF($G$1="牵丝",$AK122,$AI122)+IF($G$1="牵丝",$AL122*1.5,0))*(1+$BD122)*(1+$BE122)+($BG122*IF($G$1="破竹",$AK122,$AI122)+IF($G$1="破竹",$AL122*1.5,0))*(1+$BH122)*(1+$BI122))*(1+$AM122)*$BN122*$Q122*(1+IF(VLOOKUP($R122,武学奇术!$A:$ZZ,30,FALSE)="流血",$B$21,0))*(1+$BR122)</f>
        <v>96739.1421268164</v>
      </c>
      <c r="O122" s="24">
        <f>((($AO122+$AP122)/2*$AI122+$AJ122)*(1+$AQ122)*(1+$AR122)+(($AT122+$AU122)/2*IF($G$1="鸣金",$AK122,$AI122)+IF($G$1="鸣金",$AL122*1.5,0))*(1+$AV122)*(1+$AW122)+(($AX122+$AY122)/2*IF($G$1="裂石",$AK122,$AI122)+IF($G$1="裂石",$AL122*1.5,0))*(1+$AZ122)*(1+$BA122)+(($BB122+$BC122)/2*IF($G$1="牵丝",$AK122,$AI122)+IF($G$1="牵丝",$AL122*1.5,0))*(1+$BD122)*(1+$BE122)+(($BF122+$BG122)/2*IF($G$1="破竹",$AK122,$AI122)+IF($G$1="破竹",$AL122*1.5,0))*(1+$BH122)*(1+$BI122))*(1+$AM122)*$Q122*(1+IF(VLOOKUP($R122,武学奇术!$A:$ZZ,30,FALSE)="流血",$B$21,0))*(1+$BR122)</f>
        <v>40465.3193560433</v>
      </c>
      <c r="P122" s="24">
        <f>((($AO122*$AI122+$AJ122)*(1+$AQ122)*(1+$AR122)+($AT122*IF($G$1="鸣金",$AK122,$AI122)+IF($G$1="鸣金",$AL122*1.5,0))*(1+$AV122)*(1+$AW122)+($AX122*IF($G$1="裂石",$AK122,$AI122)+IF($G$1="裂石",$AL122*1.5,0))*(1+$AZ122)*(1+$BA122)+($BB122*IF($G$1="牵丝",$AK122,$AI122)+IF($G$1="牵丝",$AL122*1.5,0))*(1+$BD122)*(1+$BE122)+($BF122*IF($G$1="破竹",$AK122,$AI122)+IF($G$1="破竹",$AL122*1.5,0))*(1+$BH122)*(1+$BI122))*(1+$AM122))*$Q122*(1+IF(VLOOKUP($R122,武学奇术!$A:$ZZ,30,FALSE)="流血",$B$21,0))*(1+$BR122)</f>
        <v>20544.1579837369</v>
      </c>
      <c r="Q122" s="31">
        <v>1</v>
      </c>
      <c r="R122" s="32" t="s">
        <v>174</v>
      </c>
      <c r="S122" s="32" t="s">
        <v>87</v>
      </c>
      <c r="T122" s="32" t="s">
        <v>104</v>
      </c>
      <c r="U122" s="32" t="s">
        <v>73</v>
      </c>
      <c r="V122" s="32" t="s">
        <v>73</v>
      </c>
      <c r="W122" s="32" t="s">
        <v>111</v>
      </c>
      <c r="X122" s="32" t="s">
        <v>127</v>
      </c>
      <c r="Y122" s="32" t="s">
        <v>73</v>
      </c>
      <c r="Z122" s="32" t="s">
        <v>73</v>
      </c>
      <c r="AA122" s="32" t="s">
        <v>81</v>
      </c>
      <c r="AB122" s="32" t="s">
        <v>75</v>
      </c>
      <c r="AC122" s="32" t="s">
        <v>76</v>
      </c>
      <c r="AD122" s="32" t="s">
        <v>82</v>
      </c>
      <c r="AE122" s="32" t="s">
        <v>73</v>
      </c>
      <c r="AF122" s="32" t="s">
        <v>73</v>
      </c>
      <c r="AG122" s="32" t="s">
        <v>178</v>
      </c>
      <c r="AH122" t="str">
        <f>VLOOKUP($R122,武学奇术!$A:$ZZ,25,FALSE)</f>
        <v>剑</v>
      </c>
      <c r="AI122" s="21">
        <f>VLOOKUP($R122,武学奇术!$A:$ZZ,26,FALSE)</f>
        <v>2.7205</v>
      </c>
      <c r="AJ122" s="22">
        <f>VLOOKUP($R122,武学奇术!$A:$ZZ,27,FALSE)*(1+IF(OR($AH122=$F$4,$AH122=$F$5),$B$22,0))</f>
        <v>1123.5</v>
      </c>
      <c r="AK122" s="21">
        <f>VLOOKUP($R122,武学奇术!$A:$ZZ,28,FALSE)</f>
        <v>4.0806</v>
      </c>
      <c r="AL122" s="22">
        <f>VLOOKUP($R122,武学奇术!$A:$ZZ,29,FALSE)*(1+IF(OR($AH122=$F$4,$AH122=$F$5),$B$22,0))</f>
        <v>613.5</v>
      </c>
      <c r="AM122" s="21" cm="1">
        <f t="array" ref="AM122">$G$3+IFERROR(VLOOKUP($AH122,$F$4:$G$7,2,FALSE),0)+VLOOKUP($R122,武学奇术!$A:$ZZ,2,FALSE)+SUM(_xlfn.XLOOKUP($S122:$AG122,增益!$A:$A,增益!$B:$B,0))</f>
        <v>0.6391</v>
      </c>
      <c r="AN122" s="21" cm="1">
        <f t="array" ref="AN122">VLOOKUP($R122,武学奇术!$A:$ZZ,5,FALSE)+SUM(_xlfn.XLOOKUP($S122:$AG122,增益!$A:$A,增益!$E:$E,0))</f>
        <v>0</v>
      </c>
      <c r="AO122" cm="1">
        <f t="array" ref="AO122">$D$10*(1+$AN122)+VLOOKUP($R122,武学奇术!$A:$ZZ,3,FALSE)+SUM(_xlfn.XLOOKUP($S122:$AG122,增益!$A:$A,增益!$C:$C,0))-$I$2</f>
        <v>1825.28</v>
      </c>
      <c r="AP122" cm="1">
        <f t="array" ref="AP122">$E$10*(1+$AN122)+VLOOKUP($R122,武学奇术!$A:$ZZ,4,FALSE)+SUM(_xlfn.XLOOKUP($S122:$AG122,增益!$A:$A,增益!$D:$D,0))-$I$2</f>
        <v>7757.36</v>
      </c>
      <c r="AQ122" s="26" cm="1">
        <f t="array" ref="AQ122">IF($F$10-$I$3+VLOOKUP($R122,武学奇术!$A:$ZZ,6,FALSE)+SUM(_xlfn.XLOOKUP(S122:AG122,增益!$A:$A,增益!$F:$F,0))&gt;0,($F$10-$I$3+VLOOKUP($R122,武学奇术!$A:$ZZ,6,FALSE)+SUM(_xlfn.XLOOKUP(S122:AG122,增益!$A:$A,增益!$F:$F,0)))/200,($F$10-$I$3+VLOOKUP($R122,武学奇术!$A:$ZZ,6,FALSE)+SUM(_xlfn.XLOOKUP(S122:AG122,增益!$A:$A,增益!$F:$F,0)))/100)</f>
        <v>0.244</v>
      </c>
      <c r="AR122" s="26" cm="1">
        <f t="array" ref="AR122">$G$10+VLOOKUP($R122,武学奇术!$A:$ZZ,7,FALSE)+SUM(_xlfn.XLOOKUP(S122:AG122,增益!$A:$A,增益!$G:$G,0))</f>
        <v>0</v>
      </c>
      <c r="AS122" s="21" cm="1">
        <f t="array" ref="AS122">VLOOKUP($R122,武学奇术!$A:$ZZ,8,FALSE)+SUM(_xlfn.XLOOKUP(S122:AG122,增益!$A:$A,增益!$H:$H,0))</f>
        <v>0</v>
      </c>
      <c r="AT122">
        <f t="shared" si="12"/>
        <v>680.02</v>
      </c>
      <c r="AU122">
        <f t="shared" si="13"/>
        <v>1288.54</v>
      </c>
      <c r="AV122" s="26" cm="1">
        <f t="array" ref="AV122">IF($F$11-$I$4+VLOOKUP($R122,武学奇术!$A:$ZZ,9,FALSE)+SUM(_xlfn.XLOOKUP(S122:AG122,增益!$A:$A,增益!$I:$I,0))&gt;0,($F$11-$I$4+VLOOKUP($R122,武学奇术!$A:$ZZ,9,FALSE)+SUM(_xlfn.XLOOKUP(S122:AG122,增益!$A:$A,增益!$I:$I,0)))/200,($F$11-$I$4+VLOOKUP($R122,武学奇术!$A:$ZZ,9,FALSE)+SUM(_xlfn.XLOOKUP(S122:AG122,增益!$A:$A,增益!$I:$I,0)))/100)</f>
        <v>0</v>
      </c>
      <c r="AW122" s="26" cm="1">
        <f t="array" ref="AW122">$G$11+VLOOKUP($R122,武学奇术!$A:$ZZ,10,FALSE)+SUM(_xlfn.XLOOKUP(S122:AG122,增益!$A:$A,增益!$J:$J,0))</f>
        <v>0.15</v>
      </c>
      <c r="AX122">
        <f t="shared" si="14"/>
        <v>0</v>
      </c>
      <c r="AY122">
        <f t="shared" si="15"/>
        <v>0</v>
      </c>
      <c r="AZ122" s="26" cm="1">
        <f t="array" ref="AZ122">IF($F$12-$I$4+VLOOKUP($R122,武学奇术!$A:$ZZ,11,FALSE)+SUM(_xlfn.XLOOKUP(S122:AG122,增益!$A:$A,增益!$K:$K,0))&gt;0,($F$12-$I$4+VLOOKUP($R122,武学奇术!$A:$ZZ,11,FALSE)+SUM(_xlfn.XLOOKUP(S122:AG122,增益!$A:$A,增益!$K:$K,0)))/200,($F$12-$I$4+VLOOKUP($R122,武学奇术!$A:$ZZ,11,FALSE)+SUM(_xlfn.XLOOKUP(S122:AG122,增益!$A:$A,增益!$K:$K,0)))/100)</f>
        <v>-0.3</v>
      </c>
      <c r="BA122" s="26" cm="1">
        <f t="array" ref="BA122">$G$12+VLOOKUP($R122,武学奇术!$A:$ZZ,12,FALSE)+SUM(_xlfn.XLOOKUP(S122:AG122,增益!$A:$A,增益!$L:$L,0))</f>
        <v>0</v>
      </c>
      <c r="BB122">
        <f t="shared" si="16"/>
        <v>0</v>
      </c>
      <c r="BC122">
        <f t="shared" si="17"/>
        <v>0</v>
      </c>
      <c r="BD122" s="26" cm="1">
        <f t="array" ref="BD122">IF($F$13-$I$4+VLOOKUP($R122,武学奇术!$A:$ZZ,13,FALSE)+SUM(_xlfn.XLOOKUP(S122:AG122,增益!$A:$A,增益!$M:$M,0))&gt;0,($F$13-$I$4+VLOOKUP($R122,武学奇术!$A:$ZZ,13,FALSE)+SUM(_xlfn.XLOOKUP(S122:AG122,增益!$A:$A,增益!$K:$K,0)))/200,($F$13-$I$4+VLOOKUP($R122,武学奇术!$A:$ZZ,13,FALSE)+SUM(_xlfn.XLOOKUP(S122:AG122,增益!$A:$A,增益!$M:$M,0)))/100)</f>
        <v>-0.3</v>
      </c>
      <c r="BE122" s="26" cm="1">
        <f t="array" ref="BE122">$G$13+VLOOKUP($R122,武学奇术!$A:$ZZ,14,FALSE)+SUM(_xlfn.XLOOKUP(S122:AG122,增益!$A:$A,增益!$N:$N,0))</f>
        <v>0</v>
      </c>
      <c r="BF122">
        <f t="shared" si="18"/>
        <v>0</v>
      </c>
      <c r="BG122">
        <f t="shared" si="19"/>
        <v>0</v>
      </c>
      <c r="BH122" s="26" cm="1">
        <f t="array" ref="BH122">IF($F$14-$I$4+VLOOKUP($R122,武学奇术!$A:$ZZ,15,FALSE)+SUM(_xlfn.XLOOKUP(S122:AG122,增益!$A:$A,增益!$O:$O,0))&gt;0,($F$14-$I$4+VLOOKUP($R122,武学奇术!$A:$ZZ,15,FALSE)+SUM(_xlfn.XLOOKUP(S122:AG122,增益!$A:$A,增益!$O:$O,0)))/200,($F$14-$I$4+VLOOKUP($R122,武学奇术!$A:$ZZ,15,FALSE)+SUM(_xlfn.XLOOKUP(S122:AG122,增益!$A:$A,增益!$O:$O,0)))/100)</f>
        <v>-0.3</v>
      </c>
      <c r="BI122" s="26" cm="1">
        <f t="array" ref="BI122">$G$14+VLOOKUP($R122,武学奇术!$A:$ZZ,16,FALSE)+SUM(_xlfn.XLOOKUP(S122:AG122,增益!$A:$A,增益!$P:$P,0))</f>
        <v>0</v>
      </c>
      <c r="BJ122" s="21">
        <f>MIN(IF(VLOOKUP($R122,武学奇术!$A:$ZZ,23,FALSE)=1,100%,$B$8),100%)</f>
        <v>0.8229</v>
      </c>
      <c r="BK122" s="21" cm="1">
        <f t="array" ref="BK122">IF(VLOOKUP($R122,武学奇术!$A:$ZZ,23,FALSE)=1,100%,MIN(80%,$B$9+VLOOKUP($R122,武学奇术!$A:$ZZ,17,FALSE)+SUM(_xlfn.XLOOKUP(S122:AG122,增益!$A:$A,增益!$Q:$Q,0)))+$B$11+SUM(_xlfn.XLOOKUP(S122:AG122,增益!$A:$A,增益!$U:$U,0)))*IF(VLOOKUP($R122,武学奇术!$A:$ZZ,24,FALSE)=1,0,1)</f>
        <v>0.2285</v>
      </c>
      <c r="BL122" s="21" cm="1">
        <f t="array" ref="BL122">1+$B$13+VLOOKUP($R122,武学奇术!$A:$ZZ,18,FALSE)+SUM(_xlfn.XLOOKUP(S122:AG122,增益!$A:$A,增益!$R:$R,0))</f>
        <v>1.5</v>
      </c>
      <c r="BM122" s="21" cm="1">
        <f t="array" ref="BM122">IF(VLOOKUP($R122,武学奇术!$A:$ZZ,24,FALSE)=1,100%,MIN(40%,$B$10+VLOOKUP($R122,武学奇术!$A:$ZZ,19,FALSE)+SUM(_xlfn.XLOOKUP(S122:AG122,增益!$A:$A,增益!$S:$S,0)))+$B$12+SUM(_xlfn.XLOOKUP(S122:AG122,增益!$A:$A,增益!$V:$V,0)))*IF(VLOOKUP($R122,武学奇术!$A:$ZZ,23,FALSE)=1,0,1)</f>
        <v>0.4495</v>
      </c>
      <c r="BN122" s="21" cm="1">
        <f t="array" ref="BN122">1+$B$14+VLOOKUP($R122,武学奇术!$A:$ZZ,20,FALSE)+SUM(_xlfn.XLOOKUP(S122:AG122,增益!$A:$A,增益!$T:$T,0))</f>
        <v>1.602</v>
      </c>
      <c r="BO122" s="21">
        <f t="shared" si="20"/>
        <v>0.18803265</v>
      </c>
      <c r="BP122" s="21">
        <f t="shared" si="21"/>
        <v>0.2649738</v>
      </c>
      <c r="BQ122" s="21">
        <f>IF(VLOOKUP($R122,武学奇术!$A:$ZZ,22,FALSE)=1,0,(1-$BJ122))*(1-$BM122)</f>
        <v>0.09749355</v>
      </c>
      <c r="BR122" s="21" cm="1">
        <f t="array" ref="BR122">SUM(_xlfn.XLOOKUP(S122:AG122,增益!$A:$A,增益!$W:$W,0))+$I$5</f>
        <v>0.06</v>
      </c>
    </row>
    <row r="123" spans="11:70">
      <c r="K123" s="24">
        <f>$L123*VLOOKUP($R123,武学奇术!$A:$ZZ,31,FALSE)</f>
        <v>75426.159415882</v>
      </c>
      <c r="L123" s="24">
        <f t="shared" si="11"/>
        <v>125710.265693137</v>
      </c>
      <c r="M123" s="24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BL123*$Q123*(1+IF(VLOOKUP($R123,武学奇术!$A:$ZZ,30,FALSE)="流血",$B$21,0))*(1+$BR123)</f>
        <v>102919.032870865</v>
      </c>
      <c r="N123" s="24">
        <f>(($AP123*$AI123+$AJ123)*(1+$AQ123)*(1+$AR123)+($AU123*IF($G$1="鸣金",$AK123,$AI123)+IF($G$1="鸣金",$AL123*1.5,0))*(1+$AV123)*(1+$AW123)+($AY123*IF($G$1="裂石",$AK123,$AI123)+IF($G$1="裂石",$AL123*1.5,0))*(1+$AZ123)*(1+$BA123)+($BC123*IF($G$1="牵丝",$AK123,$AI123)+IF($G$1="牵丝",$AL123*1.5,0))*(1+$BD123)*(1+$BE123)+($BG123*IF($G$1="破竹",$AK123,$AI123)+IF($G$1="破竹",$AL123*1.5,0))*(1+$BH123)*(1+$BI123))*(1+$AM123)*$BN123*$Q123*(1+IF(VLOOKUP($R123,武学奇术!$A:$ZZ,30,FALSE)="流血",$B$21,0))*(1+$BR123)</f>
        <v>189465.306371025</v>
      </c>
      <c r="O123" s="24">
        <f>((($AO123+$AP123)/2*$AI123+$AJ123)*(1+$AQ123)*(1+$AR123)+(($AT123+$AU123)/2*IF($G$1="鸣金",$AK123,$AI123)+IF($G$1="鸣金",$AL123*1.5,0))*(1+$AV123)*(1+$AW123)+(($AX123+$AY123)/2*IF($G$1="裂石",$AK123,$AI123)+IF($G$1="裂石",$AL123*1.5,0))*(1+$AZ123)*(1+$BA123)+(($BB123+$BC123)/2*IF($G$1="牵丝",$AK123,$AI123)+IF($G$1="牵丝",$AL123*1.5,0))*(1+$BD123)*(1+$BE123)+(($BF123+$BG123)/2*IF($G$1="破竹",$AK123,$AI123)+IF($G$1="破竹",$AL123*1.5,0))*(1+$BH123)*(1+$BI123))*(1+$AM123)*$Q123*(1+IF(VLOOKUP($R123,武学奇术!$A:$ZZ,30,FALSE)="流血",$B$21,0))*(1+$BR123)</f>
        <v>68612.6885805768</v>
      </c>
      <c r="P123" s="24">
        <f>((($AO123*$AI123+$AJ123)*(1+$AQ123)*(1+$AR123)+($AT123*IF($G$1="鸣金",$AK123,$AI123)+IF($G$1="鸣金",$AL123*1.5,0))*(1+$AV123)*(1+$AW123)+($AX123*IF($G$1="裂石",$AK123,$AI123)+IF($G$1="裂石",$AL123*1.5,0))*(1+$AZ123)*(1+$BA123)+($BB123*IF($G$1="牵丝",$AK123,$AI123)+IF($G$1="牵丝",$AL123*1.5,0))*(1+$BD123)*(1+$BE123)+($BF123*IF($G$1="破竹",$AK123,$AI123)+IF($G$1="破竹",$AL123*1.5,0))*(1+$BH123)*(1+$BI123))*(1+$AM123))*$Q123*(1+IF(VLOOKUP($R123,武学奇术!$A:$ZZ,30,FALSE)="流血",$B$21,0))*(1+$BR123)</f>
        <v>30903.6564142262</v>
      </c>
      <c r="Q123" s="31">
        <v>1</v>
      </c>
      <c r="R123" s="32" t="s">
        <v>95</v>
      </c>
      <c r="S123" s="32" t="s">
        <v>87</v>
      </c>
      <c r="T123" s="32" t="s">
        <v>96</v>
      </c>
      <c r="U123" s="32" t="s">
        <v>97</v>
      </c>
      <c r="V123" s="32" t="s">
        <v>98</v>
      </c>
      <c r="W123" s="32" t="s">
        <v>111</v>
      </c>
      <c r="X123" s="32" t="s">
        <v>127</v>
      </c>
      <c r="Y123" s="32" t="s">
        <v>73</v>
      </c>
      <c r="Z123" s="32" t="s">
        <v>73</v>
      </c>
      <c r="AA123" s="32" t="s">
        <v>81</v>
      </c>
      <c r="AB123" s="32" t="s">
        <v>75</v>
      </c>
      <c r="AC123" s="32" t="s">
        <v>76</v>
      </c>
      <c r="AD123" s="32" t="s">
        <v>82</v>
      </c>
      <c r="AE123" s="32" t="s">
        <v>73</v>
      </c>
      <c r="AF123" s="32" t="s">
        <v>73</v>
      </c>
      <c r="AG123" s="32" t="s">
        <v>178</v>
      </c>
      <c r="AH123" t="str">
        <f>VLOOKUP($R123,武学奇术!$A:$ZZ,25,FALSE)</f>
        <v>剑</v>
      </c>
      <c r="AI123" s="21">
        <f>VLOOKUP($R123,武学奇术!$A:$ZZ,26,FALSE)</f>
        <v>2.52</v>
      </c>
      <c r="AJ123" s="22">
        <f>VLOOKUP($R123,武学奇术!$A:$ZZ,27,FALSE)*(1+IF(OR($AH123=$F$4,$AH123=$F$5),$B$22,0))</f>
        <v>0</v>
      </c>
      <c r="AK123" s="21">
        <f>VLOOKUP($R123,武学奇术!$A:$ZZ,28,FALSE)</f>
        <v>3.78</v>
      </c>
      <c r="AL123" s="22">
        <f>VLOOKUP($R123,武学奇术!$A:$ZZ,29,FALSE)*(1+IF(OR($AH123=$F$4,$AH123=$F$5),$B$22,0))</f>
        <v>0</v>
      </c>
      <c r="AM123" s="21" cm="1">
        <f t="array" ref="AM123">$G$3+IFERROR(VLOOKUP($AH123,$F$4:$G$7,2,FALSE),0)+VLOOKUP($R123,武学奇术!$A:$ZZ,2,FALSE)+SUM(_xlfn.XLOOKUP($S123:$AG123,增益!$A:$A,增益!$B:$B,0))</f>
        <v>1.3891</v>
      </c>
      <c r="AN123" s="21" cm="1">
        <f t="array" ref="AN123">VLOOKUP($R123,武学奇术!$A:$ZZ,5,FALSE)+SUM(_xlfn.XLOOKUP($S123:$AG123,增益!$A:$A,增益!$E:$E,0))</f>
        <v>0</v>
      </c>
      <c r="AO123" cm="1">
        <f t="array" ref="AO123">$D$10*(1+$AN123)+VLOOKUP($R123,武学奇术!$A:$ZZ,3,FALSE)+SUM(_xlfn.XLOOKUP($S123:$AG123,增益!$A:$A,增益!$C:$C,0))-$I$2</f>
        <v>1825.28</v>
      </c>
      <c r="AP123" cm="1">
        <f t="array" ref="AP123">$E$10*(1+$AN123)+VLOOKUP($R123,武学奇术!$A:$ZZ,4,FALSE)+SUM(_xlfn.XLOOKUP($S123:$AG123,增益!$A:$A,增益!$D:$D,0))-$I$2</f>
        <v>7757.36</v>
      </c>
      <c r="AQ123" s="26" cm="1">
        <f t="array" ref="AQ123">IF($F$10-$I$3+VLOOKUP($R123,武学奇术!$A:$ZZ,6,FALSE)+SUM(_xlfn.XLOOKUP(S123:AG123,增益!$A:$A,增益!$F:$F,0))&gt;0,($F$10-$I$3+VLOOKUP($R123,武学奇术!$A:$ZZ,6,FALSE)+SUM(_xlfn.XLOOKUP(S123:AG123,增益!$A:$A,增益!$F:$F,0)))/200,($F$10-$I$3+VLOOKUP($R123,武学奇术!$A:$ZZ,6,FALSE)+SUM(_xlfn.XLOOKUP(S123:AG123,增益!$A:$A,增益!$F:$F,0)))/100)</f>
        <v>0.319</v>
      </c>
      <c r="AR123" s="26" cm="1">
        <f t="array" ref="AR123">$G$10+VLOOKUP($R123,武学奇术!$A:$ZZ,7,FALSE)+SUM(_xlfn.XLOOKUP(S123:AG123,增益!$A:$A,增益!$G:$G,0))</f>
        <v>0</v>
      </c>
      <c r="AS123" s="21" cm="1">
        <f t="array" ref="AS123">VLOOKUP($R123,武学奇术!$A:$ZZ,8,FALSE)+SUM(_xlfn.XLOOKUP(S123:AG123,增益!$A:$A,增益!$H:$H,0))</f>
        <v>0</v>
      </c>
      <c r="AT123">
        <f t="shared" si="12"/>
        <v>680.02</v>
      </c>
      <c r="AU123">
        <f t="shared" si="13"/>
        <v>1288.54</v>
      </c>
      <c r="AV123" s="26" cm="1">
        <f t="array" ref="AV123">IF($F$11-$I$4+VLOOKUP($R123,武学奇术!$A:$ZZ,9,FALSE)+SUM(_xlfn.XLOOKUP(S123:AG123,增益!$A:$A,增益!$I:$I,0))&gt;0,($F$11-$I$4+VLOOKUP($R123,武学奇术!$A:$ZZ,9,FALSE)+SUM(_xlfn.XLOOKUP(S123:AG123,增益!$A:$A,增益!$I:$I,0)))/200,($F$11-$I$4+VLOOKUP($R123,武学奇术!$A:$ZZ,9,FALSE)+SUM(_xlfn.XLOOKUP(S123:AG123,增益!$A:$A,增益!$I:$I,0)))/100)</f>
        <v>0.075</v>
      </c>
      <c r="AW123" s="26" cm="1">
        <f t="array" ref="AW123">$G$11+VLOOKUP($R123,武学奇术!$A:$ZZ,10,FALSE)+SUM(_xlfn.XLOOKUP(S123:AG123,增益!$A:$A,增益!$J:$J,0))</f>
        <v>0.15</v>
      </c>
      <c r="AX123">
        <f t="shared" si="14"/>
        <v>0</v>
      </c>
      <c r="AY123">
        <f t="shared" si="15"/>
        <v>0</v>
      </c>
      <c r="AZ123" s="26" cm="1">
        <f t="array" ref="AZ123">IF($F$12-$I$4+VLOOKUP($R123,武学奇术!$A:$ZZ,11,FALSE)+SUM(_xlfn.XLOOKUP(S123:AG123,增益!$A:$A,增益!$K:$K,0))&gt;0,($F$12-$I$4+VLOOKUP($R123,武学奇术!$A:$ZZ,11,FALSE)+SUM(_xlfn.XLOOKUP(S123:AG123,增益!$A:$A,增益!$K:$K,0)))/200,($F$12-$I$4+VLOOKUP($R123,武学奇术!$A:$ZZ,11,FALSE)+SUM(_xlfn.XLOOKUP(S123:AG123,增益!$A:$A,增益!$K:$K,0)))/100)</f>
        <v>-0.3</v>
      </c>
      <c r="BA123" s="26" cm="1">
        <f t="array" ref="BA123">$G$12+VLOOKUP($R123,武学奇术!$A:$ZZ,12,FALSE)+SUM(_xlfn.XLOOKUP(S123:AG123,增益!$A:$A,增益!$L:$L,0))</f>
        <v>0</v>
      </c>
      <c r="BB123">
        <f t="shared" si="16"/>
        <v>0</v>
      </c>
      <c r="BC123">
        <f t="shared" si="17"/>
        <v>0</v>
      </c>
      <c r="BD123" s="26" cm="1">
        <f t="array" ref="BD123">IF($F$13-$I$4+VLOOKUP($R123,武学奇术!$A:$ZZ,13,FALSE)+SUM(_xlfn.XLOOKUP(S123:AG123,增益!$A:$A,增益!$M:$M,0))&gt;0,($F$13-$I$4+VLOOKUP($R123,武学奇术!$A:$ZZ,13,FALSE)+SUM(_xlfn.XLOOKUP(S123:AG123,增益!$A:$A,增益!$K:$K,0)))/200,($F$13-$I$4+VLOOKUP($R123,武学奇术!$A:$ZZ,13,FALSE)+SUM(_xlfn.XLOOKUP(S123:AG123,增益!$A:$A,增益!$M:$M,0)))/100)</f>
        <v>-0.3</v>
      </c>
      <c r="BE123" s="26" cm="1">
        <f t="array" ref="BE123">$G$13+VLOOKUP($R123,武学奇术!$A:$ZZ,14,FALSE)+SUM(_xlfn.XLOOKUP(S123:AG123,增益!$A:$A,增益!$N:$N,0))</f>
        <v>0</v>
      </c>
      <c r="BF123">
        <f t="shared" si="18"/>
        <v>0</v>
      </c>
      <c r="BG123">
        <f t="shared" si="19"/>
        <v>0</v>
      </c>
      <c r="BH123" s="26" cm="1">
        <f t="array" ref="BH123">IF($F$14-$I$4+VLOOKUP($R123,武学奇术!$A:$ZZ,15,FALSE)+SUM(_xlfn.XLOOKUP(S123:AG123,增益!$A:$A,增益!$O:$O,0))&gt;0,($F$14-$I$4+VLOOKUP($R123,武学奇术!$A:$ZZ,15,FALSE)+SUM(_xlfn.XLOOKUP(S123:AG123,增益!$A:$A,增益!$O:$O,0)))/200,($F$14-$I$4+VLOOKUP($R123,武学奇术!$A:$ZZ,15,FALSE)+SUM(_xlfn.XLOOKUP(S123:AG123,增益!$A:$A,增益!$O:$O,0)))/100)</f>
        <v>-0.3</v>
      </c>
      <c r="BI123" s="26" cm="1">
        <f t="array" ref="BI123">$G$14+VLOOKUP($R123,武学奇术!$A:$ZZ,16,FALSE)+SUM(_xlfn.XLOOKUP(S123:AG123,增益!$A:$A,增益!$P:$P,0))</f>
        <v>0</v>
      </c>
      <c r="BJ123" s="21">
        <f>MIN(IF(VLOOKUP($R123,武学奇术!$A:$ZZ,23,FALSE)=1,100%,$B$8),100%)</f>
        <v>0.8229</v>
      </c>
      <c r="BK123" s="21" cm="1">
        <f t="array" ref="BK123">IF(VLOOKUP($R123,武学奇术!$A:$ZZ,23,FALSE)=1,100%,MIN(80%,$B$9+VLOOKUP($R123,武学奇术!$A:$ZZ,17,FALSE)+SUM(_xlfn.XLOOKUP(S123:AG123,增益!$A:$A,增益!$Q:$Q,0)))+$B$11+SUM(_xlfn.XLOOKUP(S123:AG123,增益!$A:$A,增益!$U:$U,0)))*IF(VLOOKUP($R123,武学奇术!$A:$ZZ,24,FALSE)=1,0,1)</f>
        <v>0.2285</v>
      </c>
      <c r="BL123" s="21" cm="1">
        <f t="array" ref="BL123">1+$B$13+VLOOKUP($R123,武学奇术!$A:$ZZ,18,FALSE)+SUM(_xlfn.XLOOKUP(S123:AG123,增益!$A:$A,增益!$R:$R,0))</f>
        <v>1.5</v>
      </c>
      <c r="BM123" s="21" cm="1">
        <f t="array" ref="BM123">IF(VLOOKUP($R123,武学奇术!$A:$ZZ,24,FALSE)=1,100%,MIN(40%,$B$10+VLOOKUP($R123,武学奇术!$A:$ZZ,19,FALSE)+SUM(_xlfn.XLOOKUP(S123:AG123,增益!$A:$A,增益!$S:$S,0)))+$B$12+SUM(_xlfn.XLOOKUP(S123:AG123,增益!$A:$A,增益!$V:$V,0)))*IF(VLOOKUP($R123,武学奇术!$A:$ZZ,23,FALSE)=1,0,1)</f>
        <v>0.4495</v>
      </c>
      <c r="BN123" s="21" cm="1">
        <f t="array" ref="BN123">1+$B$14+VLOOKUP($R123,武学奇术!$A:$ZZ,20,FALSE)+SUM(_xlfn.XLOOKUP(S123:AG123,增益!$A:$A,增益!$T:$T,0))</f>
        <v>1.782</v>
      </c>
      <c r="BO123" s="21">
        <f t="shared" si="20"/>
        <v>0.18803265</v>
      </c>
      <c r="BP123" s="21">
        <f t="shared" si="21"/>
        <v>0.2649738</v>
      </c>
      <c r="BQ123" s="21">
        <f>IF(VLOOKUP($R123,武学奇术!$A:$ZZ,22,FALSE)=1,0,(1-$BJ123))*(1-$BM123)</f>
        <v>0.09749355</v>
      </c>
      <c r="BR123" s="21" cm="1">
        <f t="array" ref="BR123">SUM(_xlfn.XLOOKUP(S123:AG123,增益!$A:$A,增益!$W:$W,0))+$I$5</f>
        <v>0.06</v>
      </c>
    </row>
    <row r="124" spans="11:70">
      <c r="K124" s="24">
        <f>$L124*VLOOKUP($R124,武学奇术!$A:$ZZ,31,FALSE)</f>
        <v>17982.376678195</v>
      </c>
      <c r="L124" s="24">
        <f t="shared" si="11"/>
        <v>17982.376678195</v>
      </c>
      <c r="M124" s="24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BL124*$Q124*(1+IF(VLOOKUP($R124,武学奇术!$A:$ZZ,30,FALSE)="流血",$B$21,0))*(1+$BR124)</f>
        <v>15799.3743395101</v>
      </c>
      <c r="N124" s="24">
        <f>(($AP124*$AI124+$AJ124)*(1+$AQ124)*(1+$AR124)+($AU124*IF($G$1="鸣金",$AK124,$AI124)+IF($G$1="鸣金",$AL124*1.5,0))*(1+$AV124)*(1+$AW124)+($AY124*IF($G$1="裂石",$AK124,$AI124)+IF($G$1="裂石",$AL124*1.5,0))*(1+$AZ124)*(1+$BA124)+($BC124*IF($G$1="牵丝",$AK124,$AI124)+IF($G$1="牵丝",$AL124*1.5,0))*(1+$BD124)*(1+$BE124)+($BG124*IF($G$1="破竹",$AK124,$AI124)+IF($G$1="破竹",$AL124*1.5,0))*(1+$BH124)*(1+$BI124))*(1+$AM124)*$BN124*$Q124*(1+IF(VLOOKUP($R124,武学奇术!$A:$ZZ,30,FALSE)="流血",$B$21,0))*(1+$BR124)</f>
        <v>26159.8927840675</v>
      </c>
      <c r="O124" s="24">
        <f>((($AO124+$AP124)/2*$AI124+$AJ124)*(1+$AQ124)*(1+$AR124)+(($AT124+$AU124)/2*IF($G$1="鸣金",$AK124,$AI124)+IF($G$1="鸣金",$AL124*1.5,0))*(1+$AV124)*(1+$AW124)+(($AX124+$AY124)/2*IF($G$1="裂石",$AK124,$AI124)+IF($G$1="裂石",$AL124*1.5,0))*(1+$AZ124)*(1+$BA124)+(($BB124+$BC124)/2*IF($G$1="牵丝",$AK124,$AI124)+IF($G$1="牵丝",$AL124*1.5,0))*(1+$BD124)*(1+$BE124)+(($BF124+$BG124)/2*IF($G$1="破竹",$AK124,$AI124)+IF($G$1="破竹",$AL124*1.5,0))*(1+$BH124)*(1+$BI124))*(1+$AM124)*$Q124*(1+IF(VLOOKUP($R124,武学奇术!$A:$ZZ,30,FALSE)="流血",$B$21,0))*(1+$BR124)</f>
        <v>10532.9162263401</v>
      </c>
      <c r="P124" s="24">
        <f>((($AO124*$AI124+$AJ124)*(1+$AQ124)*(1+$AR124)+($AT124*IF($G$1="鸣金",$AK124,$AI124)+IF($G$1="鸣金",$AL124*1.5,0))*(1+$AV124)*(1+$AW124)+($AX124*IF($G$1="裂石",$AK124,$AI124)+IF($G$1="裂石",$AL124*1.5,0))*(1+$AZ124)*(1+$BA124)+($BB124*IF($G$1="牵丝",$AK124,$AI124)+IF($G$1="牵丝",$AL124*1.5,0))*(1+$BD124)*(1+$BE124)+($BF124*IF($G$1="破竹",$AK124,$AI124)+IF($G$1="破竹",$AL124*1.5,0))*(1+$BH124)*(1+$BI124))*(1+$AM124))*$Q124*(1+IF(VLOOKUP($R124,武学奇术!$A:$ZZ,30,FALSE)="流血",$B$21,0))*(1+$BR124)</f>
        <v>4736.3113639988</v>
      </c>
      <c r="Q124" s="31">
        <v>1</v>
      </c>
      <c r="R124" s="32" t="s">
        <v>177</v>
      </c>
      <c r="S124" s="32" t="s">
        <v>87</v>
      </c>
      <c r="T124" s="32" t="s">
        <v>104</v>
      </c>
      <c r="U124" s="32" t="s">
        <v>73</v>
      </c>
      <c r="V124" s="32" t="s">
        <v>73</v>
      </c>
      <c r="W124" s="32" t="s">
        <v>111</v>
      </c>
      <c r="X124" s="32" t="s">
        <v>127</v>
      </c>
      <c r="Y124" s="32" t="s">
        <v>73</v>
      </c>
      <c r="Z124" s="32" t="s">
        <v>73</v>
      </c>
      <c r="AA124" s="32" t="s">
        <v>81</v>
      </c>
      <c r="AB124" s="32" t="s">
        <v>75</v>
      </c>
      <c r="AC124" s="32" t="s">
        <v>76</v>
      </c>
      <c r="AD124" s="32" t="s">
        <v>82</v>
      </c>
      <c r="AE124" s="32" t="s">
        <v>73</v>
      </c>
      <c r="AF124" s="32" t="s">
        <v>73</v>
      </c>
      <c r="AG124" s="32" t="s">
        <v>178</v>
      </c>
      <c r="AH124" t="str">
        <f>VLOOKUP($R124,武学奇术!$A:$ZZ,25,FALSE)</f>
        <v>剑</v>
      </c>
      <c r="AI124" s="21">
        <f>VLOOKUP($R124,武学奇术!$A:$ZZ,26,FALSE)</f>
        <v>0.7916</v>
      </c>
      <c r="AJ124" s="22">
        <f>VLOOKUP($R124,武学奇术!$A:$ZZ,27,FALSE)*(1+IF(OR($AH124=$F$4,$AH124=$F$5),$B$22,0))</f>
        <v>0</v>
      </c>
      <c r="AK124" s="21">
        <f>VLOOKUP($R124,武学奇术!$A:$ZZ,28,FALSE)</f>
        <v>1.1874</v>
      </c>
      <c r="AL124" s="22">
        <f>VLOOKUP($R124,武学奇术!$A:$ZZ,29,FALSE)*(1+IF(OR($AH124=$F$4,$AH124=$F$5),$B$22,0))</f>
        <v>0</v>
      </c>
      <c r="AM124" s="21" cm="1">
        <f t="array" ref="AM124">$G$3+IFERROR(VLOOKUP($AH124,$F$4:$G$7,2,FALSE),0)+VLOOKUP($R124,武学奇术!$A:$ZZ,2,FALSE)+SUM(_xlfn.XLOOKUP($S124:$AG124,增益!$A:$A,增益!$B:$B,0))</f>
        <v>0.6391</v>
      </c>
      <c r="AN124" s="21" cm="1">
        <f t="array" ref="AN124">VLOOKUP($R124,武学奇术!$A:$ZZ,5,FALSE)+SUM(_xlfn.XLOOKUP($S124:$AG124,增益!$A:$A,增益!$E:$E,0))</f>
        <v>0</v>
      </c>
      <c r="AO124" cm="1">
        <f t="array" ref="AO124">$D$10*(1+$AN124)+VLOOKUP($R124,武学奇术!$A:$ZZ,3,FALSE)+SUM(_xlfn.XLOOKUP($S124:$AG124,增益!$A:$A,增益!$C:$C,0))-$I$2</f>
        <v>1825.28</v>
      </c>
      <c r="AP124" cm="1">
        <f t="array" ref="AP124">$E$10*(1+$AN124)+VLOOKUP($R124,武学奇术!$A:$ZZ,4,FALSE)+SUM(_xlfn.XLOOKUP($S124:$AG124,增益!$A:$A,增益!$D:$D,0))-$I$2</f>
        <v>7757.36</v>
      </c>
      <c r="AQ124" s="26" cm="1">
        <f t="array" ref="AQ124">IF($F$10-$I$3+VLOOKUP($R124,武学奇术!$A:$ZZ,6,FALSE)+SUM(_xlfn.XLOOKUP(S124:AG124,增益!$A:$A,增益!$F:$F,0))&gt;0,($F$10-$I$3+VLOOKUP($R124,武学奇术!$A:$ZZ,6,FALSE)+SUM(_xlfn.XLOOKUP(S124:AG124,增益!$A:$A,增益!$F:$F,0)))/200,($F$10-$I$3+VLOOKUP($R124,武学奇术!$A:$ZZ,6,FALSE)+SUM(_xlfn.XLOOKUP(S124:AG124,增益!$A:$A,增益!$F:$F,0)))/100)</f>
        <v>0.244</v>
      </c>
      <c r="AR124" s="26" cm="1">
        <f t="array" ref="AR124">$G$10+VLOOKUP($R124,武学奇术!$A:$ZZ,7,FALSE)+SUM(_xlfn.XLOOKUP(S124:AG124,增益!$A:$A,增益!$G:$G,0))</f>
        <v>0</v>
      </c>
      <c r="AS124" s="21" cm="1">
        <f t="array" ref="AS124">VLOOKUP($R124,武学奇术!$A:$ZZ,8,FALSE)+SUM(_xlfn.XLOOKUP(S124:AG124,增益!$A:$A,增益!$H:$H,0))</f>
        <v>0</v>
      </c>
      <c r="AT124">
        <f t="shared" si="12"/>
        <v>680.02</v>
      </c>
      <c r="AU124">
        <f t="shared" si="13"/>
        <v>1288.54</v>
      </c>
      <c r="AV124" s="26" cm="1">
        <f t="array" ref="AV124">IF($F$11-$I$4+VLOOKUP($R124,武学奇术!$A:$ZZ,9,FALSE)+SUM(_xlfn.XLOOKUP(S124:AG124,增益!$A:$A,增益!$I:$I,0))&gt;0,($F$11-$I$4+VLOOKUP($R124,武学奇术!$A:$ZZ,9,FALSE)+SUM(_xlfn.XLOOKUP(S124:AG124,增益!$A:$A,增益!$I:$I,0)))/200,($F$11-$I$4+VLOOKUP($R124,武学奇术!$A:$ZZ,9,FALSE)+SUM(_xlfn.XLOOKUP(S124:AG124,增益!$A:$A,增益!$I:$I,0)))/100)</f>
        <v>0</v>
      </c>
      <c r="AW124" s="26" cm="1">
        <f t="array" ref="AW124">$G$11+VLOOKUP($R124,武学奇术!$A:$ZZ,10,FALSE)+SUM(_xlfn.XLOOKUP(S124:AG124,增益!$A:$A,增益!$J:$J,0))</f>
        <v>0.15</v>
      </c>
      <c r="AX124">
        <f t="shared" si="14"/>
        <v>0</v>
      </c>
      <c r="AY124">
        <f t="shared" si="15"/>
        <v>0</v>
      </c>
      <c r="AZ124" s="26" cm="1">
        <f t="array" ref="AZ124">IF($F$12-$I$4+VLOOKUP($R124,武学奇术!$A:$ZZ,11,FALSE)+SUM(_xlfn.XLOOKUP(S124:AG124,增益!$A:$A,增益!$K:$K,0))&gt;0,($F$12-$I$4+VLOOKUP($R124,武学奇术!$A:$ZZ,11,FALSE)+SUM(_xlfn.XLOOKUP(S124:AG124,增益!$A:$A,增益!$K:$K,0)))/200,($F$12-$I$4+VLOOKUP($R124,武学奇术!$A:$ZZ,11,FALSE)+SUM(_xlfn.XLOOKUP(S124:AG124,增益!$A:$A,增益!$K:$K,0)))/100)</f>
        <v>-0.3</v>
      </c>
      <c r="BA124" s="26" cm="1">
        <f t="array" ref="BA124">$G$12+VLOOKUP($R124,武学奇术!$A:$ZZ,12,FALSE)+SUM(_xlfn.XLOOKUP(S124:AG124,增益!$A:$A,增益!$L:$L,0))</f>
        <v>0</v>
      </c>
      <c r="BB124">
        <f t="shared" si="16"/>
        <v>0</v>
      </c>
      <c r="BC124">
        <f t="shared" si="17"/>
        <v>0</v>
      </c>
      <c r="BD124" s="26" cm="1">
        <f t="array" ref="BD124">IF($F$13-$I$4+VLOOKUP($R124,武学奇术!$A:$ZZ,13,FALSE)+SUM(_xlfn.XLOOKUP(S124:AG124,增益!$A:$A,增益!$M:$M,0))&gt;0,($F$13-$I$4+VLOOKUP($R124,武学奇术!$A:$ZZ,13,FALSE)+SUM(_xlfn.XLOOKUP(S124:AG124,增益!$A:$A,增益!$K:$K,0)))/200,($F$13-$I$4+VLOOKUP($R124,武学奇术!$A:$ZZ,13,FALSE)+SUM(_xlfn.XLOOKUP(S124:AG124,增益!$A:$A,增益!$M:$M,0)))/100)</f>
        <v>-0.3</v>
      </c>
      <c r="BE124" s="26" cm="1">
        <f t="array" ref="BE124">$G$13+VLOOKUP($R124,武学奇术!$A:$ZZ,14,FALSE)+SUM(_xlfn.XLOOKUP(S124:AG124,增益!$A:$A,增益!$N:$N,0))</f>
        <v>0</v>
      </c>
      <c r="BF124">
        <f t="shared" si="18"/>
        <v>0</v>
      </c>
      <c r="BG124">
        <f t="shared" si="19"/>
        <v>0</v>
      </c>
      <c r="BH124" s="26" cm="1">
        <f t="array" ref="BH124">IF($F$14-$I$4+VLOOKUP($R124,武学奇术!$A:$ZZ,15,FALSE)+SUM(_xlfn.XLOOKUP(S124:AG124,增益!$A:$A,增益!$O:$O,0))&gt;0,($F$14-$I$4+VLOOKUP($R124,武学奇术!$A:$ZZ,15,FALSE)+SUM(_xlfn.XLOOKUP(S124:AG124,增益!$A:$A,增益!$O:$O,0)))/200,($F$14-$I$4+VLOOKUP($R124,武学奇术!$A:$ZZ,15,FALSE)+SUM(_xlfn.XLOOKUP(S124:AG124,增益!$A:$A,增益!$O:$O,0)))/100)</f>
        <v>-0.3</v>
      </c>
      <c r="BI124" s="26" cm="1">
        <f t="array" ref="BI124">$G$14+VLOOKUP($R124,武学奇术!$A:$ZZ,16,FALSE)+SUM(_xlfn.XLOOKUP(S124:AG124,增益!$A:$A,增益!$P:$P,0))</f>
        <v>0</v>
      </c>
      <c r="BJ124" s="21">
        <f>MIN(IF(VLOOKUP($R124,武学奇术!$A:$ZZ,23,FALSE)=1,100%,$B$8),100%)</f>
        <v>0.8229</v>
      </c>
      <c r="BK124" s="21" cm="1">
        <f t="array" ref="BK124">IF(VLOOKUP($R124,武学奇术!$A:$ZZ,23,FALSE)=1,100%,MIN(80%,$B$9+VLOOKUP($R124,武学奇术!$A:$ZZ,17,FALSE)+SUM(_xlfn.XLOOKUP(S124:AG124,增益!$A:$A,增益!$Q:$Q,0)))+$B$11+SUM(_xlfn.XLOOKUP(S124:AG124,增益!$A:$A,增益!$U:$U,0)))*IF(VLOOKUP($R124,武学奇术!$A:$ZZ,24,FALSE)=1,0,1)</f>
        <v>0.2285</v>
      </c>
      <c r="BL124" s="21" cm="1">
        <f t="array" ref="BL124">1+$B$13+VLOOKUP($R124,武学奇术!$A:$ZZ,18,FALSE)+SUM(_xlfn.XLOOKUP(S124:AG124,增益!$A:$A,增益!$R:$R,0))</f>
        <v>1.5</v>
      </c>
      <c r="BM124" s="21" cm="1">
        <f t="array" ref="BM124">IF(VLOOKUP($R124,武学奇术!$A:$ZZ,24,FALSE)=1,100%,MIN(40%,$B$10+VLOOKUP($R124,武学奇术!$A:$ZZ,19,FALSE)+SUM(_xlfn.XLOOKUP(S124:AG124,增益!$A:$A,增益!$S:$S,0)))+$B$12+SUM(_xlfn.XLOOKUP(S124:AG124,增益!$A:$A,增益!$V:$V,0)))*IF(VLOOKUP($R124,武学奇术!$A:$ZZ,23,FALSE)=1,0,1)</f>
        <v>0.4495</v>
      </c>
      <c r="BN124" s="21" cm="1">
        <f t="array" ref="BN124">1+$B$14+VLOOKUP($R124,武学奇术!$A:$ZZ,20,FALSE)+SUM(_xlfn.XLOOKUP(S124:AG124,增益!$A:$A,增益!$T:$T,0))</f>
        <v>1.602</v>
      </c>
      <c r="BO124" s="21">
        <f t="shared" si="20"/>
        <v>0.18803265</v>
      </c>
      <c r="BP124" s="21">
        <f t="shared" si="21"/>
        <v>0.2649738</v>
      </c>
      <c r="BQ124" s="21">
        <f>IF(VLOOKUP($R124,武学奇术!$A:$ZZ,22,FALSE)=1,0,(1-$BJ124))*(1-$BM124)</f>
        <v>0.09749355</v>
      </c>
      <c r="BR124" s="21" cm="1">
        <f t="array" ref="BR124">SUM(_xlfn.XLOOKUP(S124:AG124,增益!$A:$A,增益!$W:$W,0))+$I$5</f>
        <v>0.06</v>
      </c>
    </row>
    <row r="125" spans="11:70">
      <c r="K125" s="24">
        <f>$L125*VLOOKUP($R125,武学奇术!$A:$ZZ,31,FALSE)</f>
        <v>29290.6021528825</v>
      </c>
      <c r="L125" s="24">
        <f t="shared" si="11"/>
        <v>29290.6021528825</v>
      </c>
      <c r="M125" s="24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BL125*$Q125*(1+IF(VLOOKUP($R125,武学奇术!$A:$ZZ,30,FALSE)="流血",$B$21,0))*(1+$BR125)</f>
        <v>26292.5594324894</v>
      </c>
      <c r="N125" s="24">
        <f>(($AP125*$AI125+$AJ125)*(1+$AQ125)*(1+$AR125)+($AU125*IF($G$1="鸣金",$AK125,$AI125)+IF($G$1="鸣金",$AL125*1.5,0))*(1+$AV125)*(1+$AW125)+($AY125*IF($G$1="裂石",$AK125,$AI125)+IF($G$1="裂石",$AL125*1.5,0))*(1+$AZ125)*(1+$BA125)+($BC125*IF($G$1="牵丝",$AK125,$AI125)+IF($G$1="牵丝",$AL125*1.5,0))*(1+$BD125)*(1+$BE125)+($BG125*IF($G$1="破竹",$AK125,$AI125)+IF($G$1="破竹",$AL125*1.5,0))*(1+$BH125)*(1+$BI125))*(1+$AM125)*$BN125*$Q125*(1+IF(VLOOKUP($R125,武学奇术!$A:$ZZ,30,FALSE)="流血",$B$21,0))*(1+$BR125)</f>
        <v>41900.646511859</v>
      </c>
      <c r="O125" s="24">
        <f>((($AO125+$AP125)/2*$AI125+$AJ125)*(1+$AQ125)*(1+$AR125)+(($AT125+$AU125)/2*IF($G$1="鸣金",$AK125,$AI125)+IF($G$1="鸣金",$AL125*1.5,0))*(1+$AV125)*(1+$AW125)+(($AX125+$AY125)/2*IF($G$1="裂石",$AK125,$AI125)+IF($G$1="裂石",$AL125*1.5,0))*(1+$AZ125)*(1+$BA125)+(($BB125+$BC125)/2*IF($G$1="牵丝",$AK125,$AI125)+IF($G$1="牵丝",$AL125*1.5,0))*(1+$BD125)*(1+$BE125)+(($BF125+$BG125)/2*IF($G$1="破竹",$AK125,$AI125)+IF($G$1="破竹",$AL125*1.5,0))*(1+$BH125)*(1+$BI125))*(1+$AM125)*$Q125*(1+IF(VLOOKUP($R125,武学奇术!$A:$ZZ,30,FALSE)="流血",$B$21,0))*(1+$BR125)</f>
        <v>17528.372954993</v>
      </c>
      <c r="P125" s="24">
        <f>((($AO125*$AI125+$AJ125)*(1+$AQ125)*(1+$AR125)+($AT125*IF($G$1="鸣金",$AK125,$AI125)+IF($G$1="鸣金",$AL125*1.5,0))*(1+$AV125)*(1+$AW125)+($AX125*IF($G$1="裂石",$AK125,$AI125)+IF($G$1="裂石",$AL125*1.5,0))*(1+$AZ125)*(1+$BA125)+($BB125*IF($G$1="牵丝",$AK125,$AI125)+IF($G$1="牵丝",$AL125*1.5,0))*(1+$BD125)*(1+$BE125)+($BF125*IF($G$1="破竹",$AK125,$AI125)+IF($G$1="破竹",$AL125*1.5,0))*(1+$BH125)*(1+$BI125))*(1+$AM125))*$Q125*(1+IF(VLOOKUP($R125,武学奇术!$A:$ZZ,30,FALSE)="流血",$B$21,0))*(1+$BR125)</f>
        <v>8901.5358526457</v>
      </c>
      <c r="Q125" s="31">
        <v>1</v>
      </c>
      <c r="R125" s="32" t="s">
        <v>86</v>
      </c>
      <c r="S125" s="32" t="s">
        <v>87</v>
      </c>
      <c r="T125" s="32" t="s">
        <v>104</v>
      </c>
      <c r="U125" s="32" t="s">
        <v>73</v>
      </c>
      <c r="V125" s="32" t="s">
        <v>73</v>
      </c>
      <c r="W125" s="32" t="s">
        <v>111</v>
      </c>
      <c r="X125" s="32" t="s">
        <v>127</v>
      </c>
      <c r="Y125" s="32" t="s">
        <v>73</v>
      </c>
      <c r="Z125" s="32" t="s">
        <v>73</v>
      </c>
      <c r="AA125" s="32" t="s">
        <v>81</v>
      </c>
      <c r="AB125" s="32" t="s">
        <v>75</v>
      </c>
      <c r="AC125" s="32" t="s">
        <v>76</v>
      </c>
      <c r="AD125" s="32" t="s">
        <v>82</v>
      </c>
      <c r="AE125" s="32" t="s">
        <v>73</v>
      </c>
      <c r="AF125" s="32" t="s">
        <v>73</v>
      </c>
      <c r="AG125" s="32" t="s">
        <v>178</v>
      </c>
      <c r="AH125" t="str">
        <f>VLOOKUP($R125,武学奇术!$A:$ZZ,25,FALSE)</f>
        <v>剑</v>
      </c>
      <c r="AI125" s="21">
        <f>VLOOKUP($R125,武学奇术!$A:$ZZ,26,FALSE)</f>
        <v>1.1781</v>
      </c>
      <c r="AJ125" s="22">
        <f>VLOOKUP($R125,武学奇术!$A:$ZZ,27,FALSE)*(1+IF(OR($AH125=$F$4,$AH125=$F$5),$B$22,0))</f>
        <v>489</v>
      </c>
      <c r="AK125" s="21">
        <f>VLOOKUP($R125,武学奇术!$A:$ZZ,28,FALSE)</f>
        <v>1.7672</v>
      </c>
      <c r="AL125" s="22">
        <f>VLOOKUP($R125,武学奇术!$A:$ZZ,29,FALSE)*(1+IF(OR($AH125=$F$4,$AH125=$F$5),$B$22,0))</f>
        <v>265.5</v>
      </c>
      <c r="AM125" s="21" cm="1">
        <f t="array" ref="AM125">$G$3+IFERROR(VLOOKUP($AH125,$F$4:$G$7,2,FALSE),0)+VLOOKUP($R125,武学奇术!$A:$ZZ,2,FALSE)+SUM(_xlfn.XLOOKUP($S125:$AG125,增益!$A:$A,增益!$B:$B,0))</f>
        <v>0.6391</v>
      </c>
      <c r="AN125" s="21" cm="1">
        <f t="array" ref="AN125">VLOOKUP($R125,武学奇术!$A:$ZZ,5,FALSE)+SUM(_xlfn.XLOOKUP($S125:$AG125,增益!$A:$A,增益!$E:$E,0))</f>
        <v>0</v>
      </c>
      <c r="AO125" cm="1">
        <f t="array" ref="AO125">$D$10*(1+$AN125)+VLOOKUP($R125,武学奇术!$A:$ZZ,3,FALSE)+SUM(_xlfn.XLOOKUP($S125:$AG125,增益!$A:$A,增益!$C:$C,0))-$I$2</f>
        <v>1825.28</v>
      </c>
      <c r="AP125" cm="1">
        <f t="array" ref="AP125">$E$10*(1+$AN125)+VLOOKUP($R125,武学奇术!$A:$ZZ,4,FALSE)+SUM(_xlfn.XLOOKUP($S125:$AG125,增益!$A:$A,增益!$D:$D,0))-$I$2</f>
        <v>7757.36</v>
      </c>
      <c r="AQ125" s="26" cm="1">
        <f t="array" ref="AQ125">IF($F$10-$I$3+VLOOKUP($R125,武学奇术!$A:$ZZ,6,FALSE)+SUM(_xlfn.XLOOKUP(S125:AG125,增益!$A:$A,增益!$F:$F,0))&gt;0,($F$10-$I$3+VLOOKUP($R125,武学奇术!$A:$ZZ,6,FALSE)+SUM(_xlfn.XLOOKUP(S125:AG125,增益!$A:$A,增益!$F:$F,0)))/200,($F$10-$I$3+VLOOKUP($R125,武学奇术!$A:$ZZ,6,FALSE)+SUM(_xlfn.XLOOKUP(S125:AG125,增益!$A:$A,增益!$F:$F,0)))/100)</f>
        <v>0.244</v>
      </c>
      <c r="AR125" s="26" cm="1">
        <f t="array" ref="AR125">$G$10+VLOOKUP($R125,武学奇术!$A:$ZZ,7,FALSE)+SUM(_xlfn.XLOOKUP(S125:AG125,增益!$A:$A,增益!$G:$G,0))</f>
        <v>0</v>
      </c>
      <c r="AS125" s="21" cm="1">
        <f t="array" ref="AS125">VLOOKUP($R125,武学奇术!$A:$ZZ,8,FALSE)+SUM(_xlfn.XLOOKUP(S125:AG125,增益!$A:$A,增益!$H:$H,0))</f>
        <v>0</v>
      </c>
      <c r="AT125">
        <f t="shared" si="12"/>
        <v>680.02</v>
      </c>
      <c r="AU125">
        <f t="shared" si="13"/>
        <v>1288.54</v>
      </c>
      <c r="AV125" s="26" cm="1">
        <f t="array" ref="AV125">IF($F$11-$I$4+VLOOKUP($R125,武学奇术!$A:$ZZ,9,FALSE)+SUM(_xlfn.XLOOKUP(S125:AG125,增益!$A:$A,增益!$I:$I,0))&gt;0,($F$11-$I$4+VLOOKUP($R125,武学奇术!$A:$ZZ,9,FALSE)+SUM(_xlfn.XLOOKUP(S125:AG125,增益!$A:$A,增益!$I:$I,0)))/200,($F$11-$I$4+VLOOKUP($R125,武学奇术!$A:$ZZ,9,FALSE)+SUM(_xlfn.XLOOKUP(S125:AG125,增益!$A:$A,增益!$I:$I,0)))/100)</f>
        <v>0</v>
      </c>
      <c r="AW125" s="26" cm="1">
        <f t="array" ref="AW125">$G$11+VLOOKUP($R125,武学奇术!$A:$ZZ,10,FALSE)+SUM(_xlfn.XLOOKUP(S125:AG125,增益!$A:$A,增益!$J:$J,0))</f>
        <v>0.15</v>
      </c>
      <c r="AX125">
        <f t="shared" si="14"/>
        <v>0</v>
      </c>
      <c r="AY125">
        <f t="shared" si="15"/>
        <v>0</v>
      </c>
      <c r="AZ125" s="26" cm="1">
        <f t="array" ref="AZ125">IF($F$12-$I$4+VLOOKUP($R125,武学奇术!$A:$ZZ,11,FALSE)+SUM(_xlfn.XLOOKUP(S125:AG125,增益!$A:$A,增益!$K:$K,0))&gt;0,($F$12-$I$4+VLOOKUP($R125,武学奇术!$A:$ZZ,11,FALSE)+SUM(_xlfn.XLOOKUP(S125:AG125,增益!$A:$A,增益!$K:$K,0)))/200,($F$12-$I$4+VLOOKUP($R125,武学奇术!$A:$ZZ,11,FALSE)+SUM(_xlfn.XLOOKUP(S125:AG125,增益!$A:$A,增益!$K:$K,0)))/100)</f>
        <v>-0.3</v>
      </c>
      <c r="BA125" s="26" cm="1">
        <f t="array" ref="BA125">$G$12+VLOOKUP($R125,武学奇术!$A:$ZZ,12,FALSE)+SUM(_xlfn.XLOOKUP(S125:AG125,增益!$A:$A,增益!$L:$L,0))</f>
        <v>0</v>
      </c>
      <c r="BB125">
        <f t="shared" si="16"/>
        <v>0</v>
      </c>
      <c r="BC125">
        <f t="shared" si="17"/>
        <v>0</v>
      </c>
      <c r="BD125" s="26" cm="1">
        <f t="array" ref="BD125">IF($F$13-$I$4+VLOOKUP($R125,武学奇术!$A:$ZZ,13,FALSE)+SUM(_xlfn.XLOOKUP(S125:AG125,增益!$A:$A,增益!$M:$M,0))&gt;0,($F$13-$I$4+VLOOKUP($R125,武学奇术!$A:$ZZ,13,FALSE)+SUM(_xlfn.XLOOKUP(S125:AG125,增益!$A:$A,增益!$K:$K,0)))/200,($F$13-$I$4+VLOOKUP($R125,武学奇术!$A:$ZZ,13,FALSE)+SUM(_xlfn.XLOOKUP(S125:AG125,增益!$A:$A,增益!$M:$M,0)))/100)</f>
        <v>-0.3</v>
      </c>
      <c r="BE125" s="26" cm="1">
        <f t="array" ref="BE125">$G$13+VLOOKUP($R125,武学奇术!$A:$ZZ,14,FALSE)+SUM(_xlfn.XLOOKUP(S125:AG125,增益!$A:$A,增益!$N:$N,0))</f>
        <v>0</v>
      </c>
      <c r="BF125">
        <f t="shared" si="18"/>
        <v>0</v>
      </c>
      <c r="BG125">
        <f t="shared" si="19"/>
        <v>0</v>
      </c>
      <c r="BH125" s="26" cm="1">
        <f t="array" ref="BH125">IF($F$14-$I$4+VLOOKUP($R125,武学奇术!$A:$ZZ,15,FALSE)+SUM(_xlfn.XLOOKUP(S125:AG125,增益!$A:$A,增益!$O:$O,0))&gt;0,($F$14-$I$4+VLOOKUP($R125,武学奇术!$A:$ZZ,15,FALSE)+SUM(_xlfn.XLOOKUP(S125:AG125,增益!$A:$A,增益!$O:$O,0)))/200,($F$14-$I$4+VLOOKUP($R125,武学奇术!$A:$ZZ,15,FALSE)+SUM(_xlfn.XLOOKUP(S125:AG125,增益!$A:$A,增益!$O:$O,0)))/100)</f>
        <v>-0.3</v>
      </c>
      <c r="BI125" s="26" cm="1">
        <f t="array" ref="BI125">$G$14+VLOOKUP($R125,武学奇术!$A:$ZZ,16,FALSE)+SUM(_xlfn.XLOOKUP(S125:AG125,增益!$A:$A,增益!$P:$P,0))</f>
        <v>0</v>
      </c>
      <c r="BJ125" s="21">
        <f>MIN(IF(VLOOKUP($R125,武学奇术!$A:$ZZ,23,FALSE)=1,100%,$B$8),100%)</f>
        <v>0.8229</v>
      </c>
      <c r="BK125" s="21" cm="1">
        <f t="array" ref="BK125">IF(VLOOKUP($R125,武学奇术!$A:$ZZ,23,FALSE)=1,100%,MIN(80%,$B$9+VLOOKUP($R125,武学奇术!$A:$ZZ,17,FALSE)+SUM(_xlfn.XLOOKUP(S125:AG125,增益!$A:$A,增益!$Q:$Q,0)))+$B$11+SUM(_xlfn.XLOOKUP(S125:AG125,增益!$A:$A,增益!$U:$U,0)))*IF(VLOOKUP($R125,武学奇术!$A:$ZZ,24,FALSE)=1,0,1)</f>
        <v>0.2285</v>
      </c>
      <c r="BL125" s="21" cm="1">
        <f t="array" ref="BL125">1+$B$13+VLOOKUP($R125,武学奇术!$A:$ZZ,18,FALSE)+SUM(_xlfn.XLOOKUP(S125:AG125,增益!$A:$A,增益!$R:$R,0))</f>
        <v>1.5</v>
      </c>
      <c r="BM125" s="21" cm="1">
        <f t="array" ref="BM125">IF(VLOOKUP($R125,武学奇术!$A:$ZZ,24,FALSE)=1,100%,MIN(40%,$B$10+VLOOKUP($R125,武学奇术!$A:$ZZ,19,FALSE)+SUM(_xlfn.XLOOKUP(S125:AG125,增益!$A:$A,增益!$S:$S,0)))+$B$12+SUM(_xlfn.XLOOKUP(S125:AG125,增益!$A:$A,增益!$V:$V,0)))*IF(VLOOKUP($R125,武学奇术!$A:$ZZ,23,FALSE)=1,0,1)</f>
        <v>0.4495</v>
      </c>
      <c r="BN125" s="21" cm="1">
        <f t="array" ref="BN125">1+$B$14+VLOOKUP($R125,武学奇术!$A:$ZZ,20,FALSE)+SUM(_xlfn.XLOOKUP(S125:AG125,增益!$A:$A,增益!$T:$T,0))</f>
        <v>1.602</v>
      </c>
      <c r="BO125" s="21">
        <f t="shared" si="20"/>
        <v>0.18803265</v>
      </c>
      <c r="BP125" s="21">
        <f t="shared" si="21"/>
        <v>0.2649738</v>
      </c>
      <c r="BQ125" s="21">
        <f>IF(VLOOKUP($R125,武学奇术!$A:$ZZ,22,FALSE)=1,0,(1-$BJ125))*(1-$BM125)</f>
        <v>0.09749355</v>
      </c>
      <c r="BR125" s="21" cm="1">
        <f t="array" ref="BR125">SUM(_xlfn.XLOOKUP(S125:AG125,增益!$A:$A,增益!$W:$W,0))+$I$5</f>
        <v>0.06</v>
      </c>
    </row>
    <row r="126" spans="11:70">
      <c r="K126" s="24">
        <f>$L126*VLOOKUP($R126,武学奇术!$A:$ZZ,31,FALSE)</f>
        <v>113679.183822615</v>
      </c>
      <c r="L126" s="24">
        <f t="shared" si="11"/>
        <v>189465.306371025</v>
      </c>
      <c r="M126" s="24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BL126*$Q126*(1+IF(VLOOKUP($R126,武学奇术!$A:$ZZ,30,FALSE)="流血",$B$21,0))*(1+$BR126)</f>
        <v>102919.032870865</v>
      </c>
      <c r="N126" s="24">
        <f>(($AP126*$AI126+$AJ126)*(1+$AQ126)*(1+$AR126)+($AU126*IF($G$1="鸣金",$AK126,$AI126)+IF($G$1="鸣金",$AL126*1.5,0))*(1+$AV126)*(1+$AW126)+($AY126*IF($G$1="裂石",$AK126,$AI126)+IF($G$1="裂石",$AL126*1.5,0))*(1+$AZ126)*(1+$BA126)+($BC126*IF($G$1="牵丝",$AK126,$AI126)+IF($G$1="牵丝",$AL126*1.5,0))*(1+$BD126)*(1+$BE126)+($BG126*IF($G$1="破竹",$AK126,$AI126)+IF($G$1="破竹",$AL126*1.5,0))*(1+$BH126)*(1+$BI126))*(1+$AM126)*$BN126*$Q126*(1+IF(VLOOKUP($R126,武学奇术!$A:$ZZ,30,FALSE)="流血",$B$21,0))*(1+$BR126)</f>
        <v>189465.306371025</v>
      </c>
      <c r="O126" s="24">
        <f>((($AO126+$AP126)/2*$AI126+$AJ126)*(1+$AQ126)*(1+$AR126)+(($AT126+$AU126)/2*IF($G$1="鸣金",$AK126,$AI126)+IF($G$1="鸣金",$AL126*1.5,0))*(1+$AV126)*(1+$AW126)+(($AX126+$AY126)/2*IF($G$1="裂石",$AK126,$AI126)+IF($G$1="裂石",$AL126*1.5,0))*(1+$AZ126)*(1+$BA126)+(($BB126+$BC126)/2*IF($G$1="牵丝",$AK126,$AI126)+IF($G$1="牵丝",$AL126*1.5,0))*(1+$BD126)*(1+$BE126)+(($BF126+$BG126)/2*IF($G$1="破竹",$AK126,$AI126)+IF($G$1="破竹",$AL126*1.5,0))*(1+$BH126)*(1+$BI126))*(1+$AM126)*$Q126*(1+IF(VLOOKUP($R126,武学奇术!$A:$ZZ,30,FALSE)="流血",$B$21,0))*(1+$BR126)</f>
        <v>68612.6885805768</v>
      </c>
      <c r="P126" s="24">
        <f>((($AO126*$AI126+$AJ126)*(1+$AQ126)*(1+$AR126)+($AT126*IF($G$1="鸣金",$AK126,$AI126)+IF($G$1="鸣金",$AL126*1.5,0))*(1+$AV126)*(1+$AW126)+($AX126*IF($G$1="裂石",$AK126,$AI126)+IF($G$1="裂石",$AL126*1.5,0))*(1+$AZ126)*(1+$BA126)+($BB126*IF($G$1="牵丝",$AK126,$AI126)+IF($G$1="牵丝",$AL126*1.5,0))*(1+$BD126)*(1+$BE126)+($BF126*IF($G$1="破竹",$AK126,$AI126)+IF($G$1="破竹",$AL126*1.5,0))*(1+$BH126)*(1+$BI126))*(1+$AM126))*$Q126*(1+IF(VLOOKUP($R126,武学奇术!$A:$ZZ,30,FALSE)="流血",$B$21,0))*(1+$BR126)</f>
        <v>30903.6564142262</v>
      </c>
      <c r="Q126" s="31">
        <v>1</v>
      </c>
      <c r="R126" s="32" t="s">
        <v>120</v>
      </c>
      <c r="S126" s="32" t="s">
        <v>87</v>
      </c>
      <c r="T126" s="32" t="s">
        <v>96</v>
      </c>
      <c r="U126" s="32" t="s">
        <v>97</v>
      </c>
      <c r="V126" s="32" t="s">
        <v>98</v>
      </c>
      <c r="W126" s="32" t="s">
        <v>111</v>
      </c>
      <c r="X126" s="32" t="s">
        <v>127</v>
      </c>
      <c r="Y126" s="32" t="s">
        <v>73</v>
      </c>
      <c r="Z126" s="32" t="s">
        <v>73</v>
      </c>
      <c r="AA126" s="32" t="s">
        <v>81</v>
      </c>
      <c r="AB126" s="32" t="s">
        <v>75</v>
      </c>
      <c r="AC126" s="32" t="s">
        <v>76</v>
      </c>
      <c r="AD126" s="32" t="s">
        <v>82</v>
      </c>
      <c r="AE126" s="32" t="s">
        <v>73</v>
      </c>
      <c r="AF126" s="32" t="s">
        <v>73</v>
      </c>
      <c r="AG126" s="32" t="s">
        <v>178</v>
      </c>
      <c r="AH126" t="str">
        <f>VLOOKUP($R126,武学奇术!$A:$ZZ,25,FALSE)</f>
        <v>剑</v>
      </c>
      <c r="AI126" s="21">
        <f>VLOOKUP($R126,武学奇术!$A:$ZZ,26,FALSE)</f>
        <v>2.52</v>
      </c>
      <c r="AJ126" s="22">
        <f>VLOOKUP($R126,武学奇术!$A:$ZZ,27,FALSE)*(1+IF(OR($AH126=$F$4,$AH126=$F$5),$B$22,0))</f>
        <v>0</v>
      </c>
      <c r="AK126" s="21">
        <f>VLOOKUP($R126,武学奇术!$A:$ZZ,28,FALSE)</f>
        <v>3.78</v>
      </c>
      <c r="AL126" s="22">
        <f>VLOOKUP($R126,武学奇术!$A:$ZZ,29,FALSE)*(1+IF(OR($AH126=$F$4,$AH126=$F$5),$B$22,0))</f>
        <v>0</v>
      </c>
      <c r="AM126" s="21" cm="1">
        <f t="array" ref="AM126">$G$3+IFERROR(VLOOKUP($AH126,$F$4:$G$7,2,FALSE),0)+VLOOKUP($R126,武学奇术!$A:$ZZ,2,FALSE)+SUM(_xlfn.XLOOKUP($S126:$AG126,增益!$A:$A,增益!$B:$B,0))</f>
        <v>1.3891</v>
      </c>
      <c r="AN126" s="21" cm="1">
        <f t="array" ref="AN126">VLOOKUP($R126,武学奇术!$A:$ZZ,5,FALSE)+SUM(_xlfn.XLOOKUP($S126:$AG126,增益!$A:$A,增益!$E:$E,0))</f>
        <v>0</v>
      </c>
      <c r="AO126" cm="1">
        <f t="array" ref="AO126">$D$10*(1+$AN126)+VLOOKUP($R126,武学奇术!$A:$ZZ,3,FALSE)+SUM(_xlfn.XLOOKUP($S126:$AG126,增益!$A:$A,增益!$C:$C,0))-$I$2</f>
        <v>1825.28</v>
      </c>
      <c r="AP126" cm="1">
        <f t="array" ref="AP126">$E$10*(1+$AN126)+VLOOKUP($R126,武学奇术!$A:$ZZ,4,FALSE)+SUM(_xlfn.XLOOKUP($S126:$AG126,增益!$A:$A,增益!$D:$D,0))-$I$2</f>
        <v>7757.36</v>
      </c>
      <c r="AQ126" s="26" cm="1">
        <f t="array" ref="AQ126">IF($F$10-$I$3+VLOOKUP($R126,武学奇术!$A:$ZZ,6,FALSE)+SUM(_xlfn.XLOOKUP(S126:AG126,增益!$A:$A,增益!$F:$F,0))&gt;0,($F$10-$I$3+VLOOKUP($R126,武学奇术!$A:$ZZ,6,FALSE)+SUM(_xlfn.XLOOKUP(S126:AG126,增益!$A:$A,增益!$F:$F,0)))/200,($F$10-$I$3+VLOOKUP($R126,武学奇术!$A:$ZZ,6,FALSE)+SUM(_xlfn.XLOOKUP(S126:AG126,增益!$A:$A,增益!$F:$F,0)))/100)</f>
        <v>0.319</v>
      </c>
      <c r="AR126" s="26" cm="1">
        <f t="array" ref="AR126">$G$10+VLOOKUP($R126,武学奇术!$A:$ZZ,7,FALSE)+SUM(_xlfn.XLOOKUP(S126:AG126,增益!$A:$A,增益!$G:$G,0))</f>
        <v>0</v>
      </c>
      <c r="AS126" s="21" cm="1">
        <f t="array" ref="AS126">VLOOKUP($R126,武学奇术!$A:$ZZ,8,FALSE)+SUM(_xlfn.XLOOKUP(S126:AG126,增益!$A:$A,增益!$H:$H,0))</f>
        <v>0</v>
      </c>
      <c r="AT126">
        <f t="shared" si="12"/>
        <v>680.02</v>
      </c>
      <c r="AU126">
        <f t="shared" si="13"/>
        <v>1288.54</v>
      </c>
      <c r="AV126" s="26" cm="1">
        <f t="array" ref="AV126">IF($F$11-$I$4+VLOOKUP($R126,武学奇术!$A:$ZZ,9,FALSE)+SUM(_xlfn.XLOOKUP(S126:AG126,增益!$A:$A,增益!$I:$I,0))&gt;0,($F$11-$I$4+VLOOKUP($R126,武学奇术!$A:$ZZ,9,FALSE)+SUM(_xlfn.XLOOKUP(S126:AG126,增益!$A:$A,增益!$I:$I,0)))/200,($F$11-$I$4+VLOOKUP($R126,武学奇术!$A:$ZZ,9,FALSE)+SUM(_xlfn.XLOOKUP(S126:AG126,增益!$A:$A,增益!$I:$I,0)))/100)</f>
        <v>0.075</v>
      </c>
      <c r="AW126" s="26" cm="1">
        <f t="array" ref="AW126">$G$11+VLOOKUP($R126,武学奇术!$A:$ZZ,10,FALSE)+SUM(_xlfn.XLOOKUP(S126:AG126,增益!$A:$A,增益!$J:$J,0))</f>
        <v>0.15</v>
      </c>
      <c r="AX126">
        <f t="shared" si="14"/>
        <v>0</v>
      </c>
      <c r="AY126">
        <f t="shared" si="15"/>
        <v>0</v>
      </c>
      <c r="AZ126" s="26" cm="1">
        <f t="array" ref="AZ126">IF($F$12-$I$4+VLOOKUP($R126,武学奇术!$A:$ZZ,11,FALSE)+SUM(_xlfn.XLOOKUP(S126:AG126,增益!$A:$A,增益!$K:$K,0))&gt;0,($F$12-$I$4+VLOOKUP($R126,武学奇术!$A:$ZZ,11,FALSE)+SUM(_xlfn.XLOOKUP(S126:AG126,增益!$A:$A,增益!$K:$K,0)))/200,($F$12-$I$4+VLOOKUP($R126,武学奇术!$A:$ZZ,11,FALSE)+SUM(_xlfn.XLOOKUP(S126:AG126,增益!$A:$A,增益!$K:$K,0)))/100)</f>
        <v>-0.3</v>
      </c>
      <c r="BA126" s="26" cm="1">
        <f t="array" ref="BA126">$G$12+VLOOKUP($R126,武学奇术!$A:$ZZ,12,FALSE)+SUM(_xlfn.XLOOKUP(S126:AG126,增益!$A:$A,增益!$L:$L,0))</f>
        <v>0</v>
      </c>
      <c r="BB126">
        <f t="shared" si="16"/>
        <v>0</v>
      </c>
      <c r="BC126">
        <f t="shared" si="17"/>
        <v>0</v>
      </c>
      <c r="BD126" s="26" cm="1">
        <f t="array" ref="BD126">IF($F$13-$I$4+VLOOKUP($R126,武学奇术!$A:$ZZ,13,FALSE)+SUM(_xlfn.XLOOKUP(S126:AG126,增益!$A:$A,增益!$M:$M,0))&gt;0,($F$13-$I$4+VLOOKUP($R126,武学奇术!$A:$ZZ,13,FALSE)+SUM(_xlfn.XLOOKUP(S126:AG126,增益!$A:$A,增益!$K:$K,0)))/200,($F$13-$I$4+VLOOKUP($R126,武学奇术!$A:$ZZ,13,FALSE)+SUM(_xlfn.XLOOKUP(S126:AG126,增益!$A:$A,增益!$M:$M,0)))/100)</f>
        <v>-0.3</v>
      </c>
      <c r="BE126" s="26" cm="1">
        <f t="array" ref="BE126">$G$13+VLOOKUP($R126,武学奇术!$A:$ZZ,14,FALSE)+SUM(_xlfn.XLOOKUP(S126:AG126,增益!$A:$A,增益!$N:$N,0))</f>
        <v>0</v>
      </c>
      <c r="BF126">
        <f t="shared" si="18"/>
        <v>0</v>
      </c>
      <c r="BG126">
        <f t="shared" si="19"/>
        <v>0</v>
      </c>
      <c r="BH126" s="26" cm="1">
        <f t="array" ref="BH126">IF($F$14-$I$4+VLOOKUP($R126,武学奇术!$A:$ZZ,15,FALSE)+SUM(_xlfn.XLOOKUP(S126:AG126,增益!$A:$A,增益!$O:$O,0))&gt;0,($F$14-$I$4+VLOOKUP($R126,武学奇术!$A:$ZZ,15,FALSE)+SUM(_xlfn.XLOOKUP(S126:AG126,增益!$A:$A,增益!$O:$O,0)))/200,($F$14-$I$4+VLOOKUP($R126,武学奇术!$A:$ZZ,15,FALSE)+SUM(_xlfn.XLOOKUP(S126:AG126,增益!$A:$A,增益!$O:$O,0)))/100)</f>
        <v>-0.3</v>
      </c>
      <c r="BI126" s="26" cm="1">
        <f t="array" ref="BI126">$G$14+VLOOKUP($R126,武学奇术!$A:$ZZ,16,FALSE)+SUM(_xlfn.XLOOKUP(S126:AG126,增益!$A:$A,增益!$P:$P,0))</f>
        <v>0</v>
      </c>
      <c r="BJ126" s="21">
        <f>MIN(IF(VLOOKUP($R126,武学奇术!$A:$ZZ,23,FALSE)=1,100%,$B$8),100%)</f>
        <v>0.8229</v>
      </c>
      <c r="BK126" s="21" cm="1">
        <f t="array" ref="BK126">IF(VLOOKUP($R126,武学奇术!$A:$ZZ,23,FALSE)=1,100%,MIN(80%,$B$9+VLOOKUP($R126,武学奇术!$A:$ZZ,17,FALSE)+SUM(_xlfn.XLOOKUP(S126:AG126,增益!$A:$A,增益!$Q:$Q,0)))+$B$11+SUM(_xlfn.XLOOKUP(S126:AG126,增益!$A:$A,增益!$U:$U,0)))*IF(VLOOKUP($R126,武学奇术!$A:$ZZ,24,FALSE)=1,0,1)</f>
        <v>0</v>
      </c>
      <c r="BL126" s="21" cm="1">
        <f t="array" ref="BL126">1+$B$13+VLOOKUP($R126,武学奇术!$A:$ZZ,18,FALSE)+SUM(_xlfn.XLOOKUP(S126:AG126,增益!$A:$A,增益!$R:$R,0))</f>
        <v>1.5</v>
      </c>
      <c r="BM126" s="21" cm="1">
        <f t="array" ref="BM126">IF(VLOOKUP($R126,武学奇术!$A:$ZZ,24,FALSE)=1,100%,MIN(40%,$B$10+VLOOKUP($R126,武学奇术!$A:$ZZ,19,FALSE)+SUM(_xlfn.XLOOKUP(S126:AG126,增益!$A:$A,增益!$S:$S,0)))+$B$12+SUM(_xlfn.XLOOKUP(S126:AG126,增益!$A:$A,增益!$V:$V,0)))*IF(VLOOKUP($R126,武学奇术!$A:$ZZ,23,FALSE)=1,0,1)</f>
        <v>1</v>
      </c>
      <c r="BN126" s="21" cm="1">
        <f t="array" ref="BN126">1+$B$14+VLOOKUP($R126,武学奇术!$A:$ZZ,20,FALSE)+SUM(_xlfn.XLOOKUP(S126:AG126,增益!$A:$A,增益!$T:$T,0))</f>
        <v>1.782</v>
      </c>
      <c r="BO126" s="21">
        <f t="shared" si="20"/>
        <v>0</v>
      </c>
      <c r="BP126" s="21">
        <f t="shared" si="21"/>
        <v>0</v>
      </c>
      <c r="BQ126" s="21">
        <f>IF(VLOOKUP($R126,武学奇术!$A:$ZZ,22,FALSE)=1,0,(1-$BJ126))*(1-$BM126)</f>
        <v>0</v>
      </c>
      <c r="BR126" s="21" cm="1">
        <f t="array" ref="BR126">SUM(_xlfn.XLOOKUP(S126:AG126,增益!$A:$A,增益!$W:$W,0))+$I$5</f>
        <v>0.06</v>
      </c>
    </row>
    <row r="127" spans="11:70">
      <c r="K127" s="24">
        <f>$L127*VLOOKUP($R127,武学奇术!$A:$ZZ,31,FALSE)</f>
        <v>14197.8087719453</v>
      </c>
      <c r="L127" s="24">
        <f t="shared" si="11"/>
        <v>14197.8087719453</v>
      </c>
      <c r="M127" s="24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BL127*$Q127*(1+IF(VLOOKUP($R127,武学奇术!$A:$ZZ,30,FALSE)="流血",$B$21,0))*(1+$BR127)</f>
        <v>12474.2407304116</v>
      </c>
      <c r="N127" s="24">
        <f>(($AP127*$AI127+$AJ127)*(1+$AQ127)*(1+$AR127)+($AU127*IF($G$1="鸣金",$AK127,$AI127)+IF($G$1="鸣金",$AL127*1.5,0))*(1+$AV127)*(1+$AW127)+($AY127*IF($G$1="裂石",$AK127,$AI127)+IF($G$1="裂石",$AL127*1.5,0))*(1+$AZ127)*(1+$BA127)+($BC127*IF($G$1="牵丝",$AK127,$AI127)+IF($G$1="牵丝",$AL127*1.5,0))*(1+$BD127)*(1+$BE127)+($BG127*IF($G$1="破竹",$AK127,$AI127)+IF($G$1="破竹",$AL127*1.5,0))*(1+$BH127)*(1+$BI127))*(1+$AM127)*$BN127*$Q127*(1+IF(VLOOKUP($R127,武学奇术!$A:$ZZ,30,FALSE)="流血",$B$21,0))*(1+$BR127)</f>
        <v>20654.2862431053</v>
      </c>
      <c r="O127" s="24">
        <f>((($AO127+$AP127)/2*$AI127+$AJ127)*(1+$AQ127)*(1+$AR127)+(($AT127+$AU127)/2*IF($G$1="鸣金",$AK127,$AI127)+IF($G$1="鸣金",$AL127*1.5,0))*(1+$AV127)*(1+$AW127)+(($AX127+$AY127)/2*IF($G$1="裂石",$AK127,$AI127)+IF($G$1="裂石",$AL127*1.5,0))*(1+$AZ127)*(1+$BA127)+(($BB127+$BC127)/2*IF($G$1="牵丝",$AK127,$AI127)+IF($G$1="牵丝",$AL127*1.5,0))*(1+$BD127)*(1+$BE127)+(($BF127+$BG127)/2*IF($G$1="破竹",$AK127,$AI127)+IF($G$1="破竹",$AL127*1.5,0))*(1+$BH127)*(1+$BI127))*(1+$AM127)*$Q127*(1+IF(VLOOKUP($R127,武学奇术!$A:$ZZ,30,FALSE)="流血",$B$21,0))*(1+$BR127)</f>
        <v>8316.16048694105</v>
      </c>
      <c r="P127" s="24">
        <f>((($AO127*$AI127+$AJ127)*(1+$AQ127)*(1+$AR127)+($AT127*IF($G$1="鸣金",$AK127,$AI127)+IF($G$1="鸣金",$AL127*1.5,0))*(1+$AV127)*(1+$AW127)+($AX127*IF($G$1="裂石",$AK127,$AI127)+IF($G$1="裂石",$AL127*1.5,0))*(1+$AZ127)*(1+$BA127)+($BB127*IF($G$1="牵丝",$AK127,$AI127)+IF($G$1="牵丝",$AL127*1.5,0))*(1+$BD127)*(1+$BE127)+($BF127*IF($G$1="破竹",$AK127,$AI127)+IF($G$1="破竹",$AL127*1.5,0))*(1+$BH127)*(1+$BI127))*(1+$AM127))*$Q127*(1+IF(VLOOKUP($R127,武学奇术!$A:$ZZ,30,FALSE)="流血",$B$21,0))*(1+$BR127)</f>
        <v>3739.50808804858</v>
      </c>
      <c r="Q127" s="31">
        <v>1</v>
      </c>
      <c r="R127" s="32" t="s">
        <v>103</v>
      </c>
      <c r="S127" s="32" t="s">
        <v>87</v>
      </c>
      <c r="T127" s="32" t="s">
        <v>104</v>
      </c>
      <c r="U127" s="32" t="s">
        <v>73</v>
      </c>
      <c r="V127" s="32" t="s">
        <v>73</v>
      </c>
      <c r="W127" s="32" t="s">
        <v>111</v>
      </c>
      <c r="X127" s="32" t="s">
        <v>127</v>
      </c>
      <c r="Y127" s="32" t="s">
        <v>73</v>
      </c>
      <c r="Z127" s="32" t="s">
        <v>73</v>
      </c>
      <c r="AA127" s="32" t="s">
        <v>81</v>
      </c>
      <c r="AB127" s="32" t="s">
        <v>75</v>
      </c>
      <c r="AC127" s="32" t="s">
        <v>76</v>
      </c>
      <c r="AD127" s="32" t="s">
        <v>82</v>
      </c>
      <c r="AE127" s="32" t="s">
        <v>73</v>
      </c>
      <c r="AF127" s="32" t="s">
        <v>73</v>
      </c>
      <c r="AG127" s="32" t="s">
        <v>178</v>
      </c>
      <c r="AH127" t="str">
        <f>VLOOKUP($R127,武学奇术!$A:$ZZ,25,FALSE)</f>
        <v>剑</v>
      </c>
      <c r="AI127" s="21">
        <f>VLOOKUP($R127,武学奇术!$A:$ZZ,26,FALSE)</f>
        <v>0.625</v>
      </c>
      <c r="AJ127" s="22">
        <f>VLOOKUP($R127,武学奇术!$A:$ZZ,27,FALSE)*(1+IF(OR($AH127=$F$4,$AH127=$F$5),$B$22,0))</f>
        <v>0</v>
      </c>
      <c r="AK127" s="21">
        <f>VLOOKUP($R127,武学奇术!$A:$ZZ,28,FALSE)</f>
        <v>0.9375</v>
      </c>
      <c r="AL127" s="22">
        <f>VLOOKUP($R127,武学奇术!$A:$ZZ,29,FALSE)*(1+IF(OR($AH127=$F$4,$AH127=$F$5),$B$22,0))</f>
        <v>0</v>
      </c>
      <c r="AM127" s="21" cm="1">
        <f t="array" ref="AM127">$G$3+IFERROR(VLOOKUP($AH127,$F$4:$G$7,2,FALSE),0)+VLOOKUP($R127,武学奇术!$A:$ZZ,2,FALSE)+SUM(_xlfn.XLOOKUP($S127:$AG127,增益!$A:$A,增益!$B:$B,0))</f>
        <v>0.6391</v>
      </c>
      <c r="AN127" s="21" cm="1">
        <f t="array" ref="AN127">VLOOKUP($R127,武学奇术!$A:$ZZ,5,FALSE)+SUM(_xlfn.XLOOKUP($S127:$AG127,增益!$A:$A,增益!$E:$E,0))</f>
        <v>0</v>
      </c>
      <c r="AO127" cm="1">
        <f t="array" ref="AO127">$D$10*(1+$AN127)+VLOOKUP($R127,武学奇术!$A:$ZZ,3,FALSE)+SUM(_xlfn.XLOOKUP($S127:$AG127,增益!$A:$A,增益!$C:$C,0))-$I$2</f>
        <v>1825.28</v>
      </c>
      <c r="AP127" cm="1">
        <f t="array" ref="AP127">$E$10*(1+$AN127)+VLOOKUP($R127,武学奇术!$A:$ZZ,4,FALSE)+SUM(_xlfn.XLOOKUP($S127:$AG127,增益!$A:$A,增益!$D:$D,0))-$I$2</f>
        <v>7757.36</v>
      </c>
      <c r="AQ127" s="26" cm="1">
        <f t="array" ref="AQ127">IF($F$10-$I$3+VLOOKUP($R127,武学奇术!$A:$ZZ,6,FALSE)+SUM(_xlfn.XLOOKUP(S127:AG127,增益!$A:$A,增益!$F:$F,0))&gt;0,($F$10-$I$3+VLOOKUP($R127,武学奇术!$A:$ZZ,6,FALSE)+SUM(_xlfn.XLOOKUP(S127:AG127,增益!$A:$A,增益!$F:$F,0)))/200,($F$10-$I$3+VLOOKUP($R127,武学奇术!$A:$ZZ,6,FALSE)+SUM(_xlfn.XLOOKUP(S127:AG127,增益!$A:$A,增益!$F:$F,0)))/100)</f>
        <v>0.244</v>
      </c>
      <c r="AR127" s="26" cm="1">
        <f t="array" ref="AR127">$G$10+VLOOKUP($R127,武学奇术!$A:$ZZ,7,FALSE)+SUM(_xlfn.XLOOKUP(S127:AG127,增益!$A:$A,增益!$G:$G,0))</f>
        <v>0</v>
      </c>
      <c r="AS127" s="21" cm="1">
        <f t="array" ref="AS127">VLOOKUP($R127,武学奇术!$A:$ZZ,8,FALSE)+SUM(_xlfn.XLOOKUP(S127:AG127,增益!$A:$A,增益!$H:$H,0))</f>
        <v>0</v>
      </c>
      <c r="AT127">
        <f t="shared" si="12"/>
        <v>680.02</v>
      </c>
      <c r="AU127">
        <f t="shared" si="13"/>
        <v>1288.54</v>
      </c>
      <c r="AV127" s="26" cm="1">
        <f t="array" ref="AV127">IF($F$11-$I$4+VLOOKUP($R127,武学奇术!$A:$ZZ,9,FALSE)+SUM(_xlfn.XLOOKUP(S127:AG127,增益!$A:$A,增益!$I:$I,0))&gt;0,($F$11-$I$4+VLOOKUP($R127,武学奇术!$A:$ZZ,9,FALSE)+SUM(_xlfn.XLOOKUP(S127:AG127,增益!$A:$A,增益!$I:$I,0)))/200,($F$11-$I$4+VLOOKUP($R127,武学奇术!$A:$ZZ,9,FALSE)+SUM(_xlfn.XLOOKUP(S127:AG127,增益!$A:$A,增益!$I:$I,0)))/100)</f>
        <v>0</v>
      </c>
      <c r="AW127" s="26" cm="1">
        <f t="array" ref="AW127">$G$11+VLOOKUP($R127,武学奇术!$A:$ZZ,10,FALSE)+SUM(_xlfn.XLOOKUP(S127:AG127,增益!$A:$A,增益!$J:$J,0))</f>
        <v>0.15</v>
      </c>
      <c r="AX127">
        <f t="shared" si="14"/>
        <v>0</v>
      </c>
      <c r="AY127">
        <f t="shared" si="15"/>
        <v>0</v>
      </c>
      <c r="AZ127" s="26" cm="1">
        <f t="array" ref="AZ127">IF($F$12-$I$4+VLOOKUP($R127,武学奇术!$A:$ZZ,11,FALSE)+SUM(_xlfn.XLOOKUP(S127:AG127,增益!$A:$A,增益!$K:$K,0))&gt;0,($F$12-$I$4+VLOOKUP($R127,武学奇术!$A:$ZZ,11,FALSE)+SUM(_xlfn.XLOOKUP(S127:AG127,增益!$A:$A,增益!$K:$K,0)))/200,($F$12-$I$4+VLOOKUP($R127,武学奇术!$A:$ZZ,11,FALSE)+SUM(_xlfn.XLOOKUP(S127:AG127,增益!$A:$A,增益!$K:$K,0)))/100)</f>
        <v>-0.3</v>
      </c>
      <c r="BA127" s="26" cm="1">
        <f t="array" ref="BA127">$G$12+VLOOKUP($R127,武学奇术!$A:$ZZ,12,FALSE)+SUM(_xlfn.XLOOKUP(S127:AG127,增益!$A:$A,增益!$L:$L,0))</f>
        <v>0</v>
      </c>
      <c r="BB127">
        <f t="shared" si="16"/>
        <v>0</v>
      </c>
      <c r="BC127">
        <f t="shared" si="17"/>
        <v>0</v>
      </c>
      <c r="BD127" s="26" cm="1">
        <f t="array" ref="BD127">IF($F$13-$I$4+VLOOKUP($R127,武学奇术!$A:$ZZ,13,FALSE)+SUM(_xlfn.XLOOKUP(S127:AG127,增益!$A:$A,增益!$M:$M,0))&gt;0,($F$13-$I$4+VLOOKUP($R127,武学奇术!$A:$ZZ,13,FALSE)+SUM(_xlfn.XLOOKUP(S127:AG127,增益!$A:$A,增益!$K:$K,0)))/200,($F$13-$I$4+VLOOKUP($R127,武学奇术!$A:$ZZ,13,FALSE)+SUM(_xlfn.XLOOKUP(S127:AG127,增益!$A:$A,增益!$M:$M,0)))/100)</f>
        <v>-0.3</v>
      </c>
      <c r="BE127" s="26" cm="1">
        <f t="array" ref="BE127">$G$13+VLOOKUP($R127,武学奇术!$A:$ZZ,14,FALSE)+SUM(_xlfn.XLOOKUP(S127:AG127,增益!$A:$A,增益!$N:$N,0))</f>
        <v>0</v>
      </c>
      <c r="BF127">
        <f t="shared" si="18"/>
        <v>0</v>
      </c>
      <c r="BG127">
        <f t="shared" si="19"/>
        <v>0</v>
      </c>
      <c r="BH127" s="26" cm="1">
        <f t="array" ref="BH127">IF($F$14-$I$4+VLOOKUP($R127,武学奇术!$A:$ZZ,15,FALSE)+SUM(_xlfn.XLOOKUP(S127:AG127,增益!$A:$A,增益!$O:$O,0))&gt;0,($F$14-$I$4+VLOOKUP($R127,武学奇术!$A:$ZZ,15,FALSE)+SUM(_xlfn.XLOOKUP(S127:AG127,增益!$A:$A,增益!$O:$O,0)))/200,($F$14-$I$4+VLOOKUP($R127,武学奇术!$A:$ZZ,15,FALSE)+SUM(_xlfn.XLOOKUP(S127:AG127,增益!$A:$A,增益!$O:$O,0)))/100)</f>
        <v>-0.3</v>
      </c>
      <c r="BI127" s="26" cm="1">
        <f t="array" ref="BI127">$G$14+VLOOKUP($R127,武学奇术!$A:$ZZ,16,FALSE)+SUM(_xlfn.XLOOKUP(S127:AG127,增益!$A:$A,增益!$P:$P,0))</f>
        <v>0</v>
      </c>
      <c r="BJ127" s="21">
        <f>MIN(IF(VLOOKUP($R127,武学奇术!$A:$ZZ,23,FALSE)=1,100%,$B$8),100%)</f>
        <v>0.8229</v>
      </c>
      <c r="BK127" s="21" cm="1">
        <f t="array" ref="BK127">IF(VLOOKUP($R127,武学奇术!$A:$ZZ,23,FALSE)=1,100%,MIN(80%,$B$9+VLOOKUP($R127,武学奇术!$A:$ZZ,17,FALSE)+SUM(_xlfn.XLOOKUP(S127:AG127,增益!$A:$A,增益!$Q:$Q,0)))+$B$11+SUM(_xlfn.XLOOKUP(S127:AG127,增益!$A:$A,增益!$U:$U,0)))*IF(VLOOKUP($R127,武学奇术!$A:$ZZ,24,FALSE)=1,0,1)</f>
        <v>0.2285</v>
      </c>
      <c r="BL127" s="21" cm="1">
        <f t="array" ref="BL127">1+$B$13+VLOOKUP($R127,武学奇术!$A:$ZZ,18,FALSE)+SUM(_xlfn.XLOOKUP(S127:AG127,增益!$A:$A,增益!$R:$R,0))</f>
        <v>1.5</v>
      </c>
      <c r="BM127" s="21" cm="1">
        <f t="array" ref="BM127">IF(VLOOKUP($R127,武学奇术!$A:$ZZ,24,FALSE)=1,100%,MIN(40%,$B$10+VLOOKUP($R127,武学奇术!$A:$ZZ,19,FALSE)+SUM(_xlfn.XLOOKUP(S127:AG127,增益!$A:$A,增益!$S:$S,0)))+$B$12+SUM(_xlfn.XLOOKUP(S127:AG127,增益!$A:$A,增益!$V:$V,0)))*IF(VLOOKUP($R127,武学奇术!$A:$ZZ,23,FALSE)=1,0,1)</f>
        <v>0.4495</v>
      </c>
      <c r="BN127" s="21" cm="1">
        <f t="array" ref="BN127">1+$B$14+VLOOKUP($R127,武学奇术!$A:$ZZ,20,FALSE)+SUM(_xlfn.XLOOKUP(S127:AG127,增益!$A:$A,增益!$T:$T,0))</f>
        <v>1.602</v>
      </c>
      <c r="BO127" s="21">
        <f t="shared" si="20"/>
        <v>0.18803265</v>
      </c>
      <c r="BP127" s="21">
        <f t="shared" si="21"/>
        <v>0.2649738</v>
      </c>
      <c r="BQ127" s="21">
        <f>IF(VLOOKUP($R127,武学奇术!$A:$ZZ,22,FALSE)=1,0,(1-$BJ127))*(1-$BM127)</f>
        <v>0.09749355</v>
      </c>
      <c r="BR127" s="21" cm="1">
        <f t="array" ref="BR127">SUM(_xlfn.XLOOKUP(S127:AG127,增益!$A:$A,增益!$W:$W,0))+$I$5</f>
        <v>0.06</v>
      </c>
    </row>
    <row r="128" spans="11:70">
      <c r="K128" s="24">
        <f>$L128*VLOOKUP($R128,武学奇术!$A:$ZZ,31,FALSE)</f>
        <v>29182.8847708023</v>
      </c>
      <c r="L128" s="24">
        <f t="shared" si="11"/>
        <v>29182.8847708023</v>
      </c>
      <c r="M128" s="24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BL128*$Q128*(1+IF(VLOOKUP($R128,武学奇术!$A:$ZZ,30,FALSE)="流血",$B$21,0))*(1+$BR128)</f>
        <v>26174.1553151091</v>
      </c>
      <c r="N128" s="24">
        <f>(($AP128*$AI128+$AJ128)*(1+$AQ128)*(1+$AR128)+($AU128*IF($G$1="鸣金",$AK128,$AI128)+IF($G$1="鸣金",$AL128*1.5,0))*(1+$AV128)*(1+$AW128)+($AY128*IF($G$1="裂石",$AK128,$AI128)+IF($G$1="裂石",$AL128*1.5,0))*(1+$AZ128)*(1+$BA128)+($BC128*IF($G$1="牵丝",$AK128,$AI128)+IF($G$1="牵丝",$AL128*1.5,0))*(1+$BD128)*(1+$BE128)+($BG128*IF($G$1="破竹",$AK128,$AI128)+IF($G$1="破竹",$AL128*1.5,0))*(1+$BH128)*(1+$BI128))*(1+$AM128)*$BN128*$Q128*(1+IF(VLOOKUP($R128,武学奇术!$A:$ZZ,30,FALSE)="流血",$B$21,0))*(1+$BR128)</f>
        <v>41774.1909144968</v>
      </c>
      <c r="O128" s="24">
        <f>((($AO128+$AP128)/2*$AI128+$AJ128)*(1+$AQ128)*(1+$AR128)+(($AT128+$AU128)/2*IF($G$1="鸣金",$AK128,$AI128)+IF($G$1="鸣金",$AL128*1.5,0))*(1+$AV128)*(1+$AW128)+(($AX128+$AY128)/2*IF($G$1="裂石",$AK128,$AI128)+IF($G$1="裂石",$AL128*1.5,0))*(1+$AZ128)*(1+$BA128)+(($BB128+$BC128)/2*IF($G$1="牵丝",$AK128,$AI128)+IF($G$1="牵丝",$AL128*1.5,0))*(1+$BD128)*(1+$BE128)+(($BF128+$BG128)/2*IF($G$1="破竹",$AK128,$AI128)+IF($G$1="破竹",$AL128*1.5,0))*(1+$BH128)*(1+$BI128))*(1+$AM128)*$Q128*(1+IF(VLOOKUP($R128,武学奇术!$A:$ZZ,30,FALSE)="流血",$B$21,0))*(1+$BR128)</f>
        <v>17449.4368767394</v>
      </c>
      <c r="P128" s="24">
        <f>((($AO128*$AI128+$AJ128)*(1+$AQ128)*(1+$AR128)+($AT128*IF($G$1="鸣金",$AK128,$AI128)+IF($G$1="鸣金",$AL128*1.5,0))*(1+$AV128)*(1+$AW128)+($AX128*IF($G$1="裂石",$AK128,$AI128)+IF($G$1="裂石",$AL128*1.5,0))*(1+$AZ128)*(1+$BA128)+($BB128*IF($G$1="牵丝",$AK128,$AI128)+IF($G$1="牵丝",$AL128*1.5,0))*(1+$BD128)*(1+$BE128)+($BF128*IF($G$1="破竹",$AK128,$AI128)+IF($G$1="破竹",$AL128*1.5,0))*(1+$BH128)*(1+$BI128))*(1+$AM128))*$Q128*(1+IF(VLOOKUP($R128,武学奇术!$A:$ZZ,30,FALSE)="流血",$B$21,0))*(1+$BR128)</f>
        <v>8822.59977439212</v>
      </c>
      <c r="Q128" s="31">
        <v>1</v>
      </c>
      <c r="R128" s="32" t="s">
        <v>86</v>
      </c>
      <c r="S128" s="32" t="s">
        <v>87</v>
      </c>
      <c r="T128" s="32" t="s">
        <v>104</v>
      </c>
      <c r="U128" s="32" t="s">
        <v>73</v>
      </c>
      <c r="V128" s="32" t="s">
        <v>73</v>
      </c>
      <c r="W128" s="32" t="s">
        <v>73</v>
      </c>
      <c r="X128" s="32" t="s">
        <v>127</v>
      </c>
      <c r="Y128" s="32" t="s">
        <v>73</v>
      </c>
      <c r="Z128" s="32" t="s">
        <v>73</v>
      </c>
      <c r="AA128" s="32" t="s">
        <v>73</v>
      </c>
      <c r="AB128" s="32" t="s">
        <v>75</v>
      </c>
      <c r="AC128" s="32" t="s">
        <v>76</v>
      </c>
      <c r="AD128" s="32" t="s">
        <v>82</v>
      </c>
      <c r="AE128" s="32" t="s">
        <v>73</v>
      </c>
      <c r="AF128" s="32" t="s">
        <v>73</v>
      </c>
      <c r="AG128" s="32" t="s">
        <v>178</v>
      </c>
      <c r="AH128" t="str">
        <f>VLOOKUP($R128,武学奇术!$A:$ZZ,25,FALSE)</f>
        <v>剑</v>
      </c>
      <c r="AI128" s="21">
        <f>VLOOKUP($R128,武学奇术!$A:$ZZ,26,FALSE)</f>
        <v>1.1781</v>
      </c>
      <c r="AJ128" s="22">
        <f>VLOOKUP($R128,武学奇术!$A:$ZZ,27,FALSE)*(1+IF(OR($AH128=$F$4,$AH128=$F$5),$B$22,0))</f>
        <v>489</v>
      </c>
      <c r="AK128" s="21">
        <f>VLOOKUP($R128,武学奇术!$A:$ZZ,28,FALSE)</f>
        <v>1.7672</v>
      </c>
      <c r="AL128" s="22">
        <f>VLOOKUP($R128,武学奇术!$A:$ZZ,29,FALSE)*(1+IF(OR($AH128=$F$4,$AH128=$F$5),$B$22,0))</f>
        <v>265.5</v>
      </c>
      <c r="AM128" s="21" cm="1">
        <f t="array" ref="AM128">$G$3+IFERROR(VLOOKUP($AH128,$F$4:$G$7,2,FALSE),0)+VLOOKUP($R128,武学奇术!$A:$ZZ,2,FALSE)+SUM(_xlfn.XLOOKUP($S128:$AG128,增益!$A:$A,增益!$B:$B,0))</f>
        <v>0.6391</v>
      </c>
      <c r="AN128" s="21" cm="1">
        <f t="array" ref="AN128">VLOOKUP($R128,武学奇术!$A:$ZZ,5,FALSE)+SUM(_xlfn.XLOOKUP($S128:$AG128,增益!$A:$A,增益!$E:$E,0))</f>
        <v>0</v>
      </c>
      <c r="AO128" cm="1">
        <f t="array" ref="AO128">$D$10*(1+$AN128)+VLOOKUP($R128,武学奇术!$A:$ZZ,3,FALSE)+SUM(_xlfn.XLOOKUP($S128:$AG128,增益!$A:$A,增益!$C:$C,0))-$I$2</f>
        <v>1794.28</v>
      </c>
      <c r="AP128" cm="1">
        <f t="array" ref="AP128">$E$10*(1+$AN128)+VLOOKUP($R128,武学奇术!$A:$ZZ,4,FALSE)+SUM(_xlfn.XLOOKUP($S128:$AG128,增益!$A:$A,增益!$D:$D,0))-$I$2</f>
        <v>7726.36</v>
      </c>
      <c r="AQ128" s="26" cm="1">
        <f t="array" ref="AQ128">IF($F$10-$I$3+VLOOKUP($R128,武学奇术!$A:$ZZ,6,FALSE)+SUM(_xlfn.XLOOKUP(S128:AG128,增益!$A:$A,增益!$F:$F,0))&gt;0,($F$10-$I$3+VLOOKUP($R128,武学奇术!$A:$ZZ,6,FALSE)+SUM(_xlfn.XLOOKUP(S128:AG128,增益!$A:$A,增益!$F:$F,0)))/200,($F$10-$I$3+VLOOKUP($R128,武学奇术!$A:$ZZ,6,FALSE)+SUM(_xlfn.XLOOKUP(S128:AG128,增益!$A:$A,增益!$F:$F,0)))/100)</f>
        <v>0.244</v>
      </c>
      <c r="AR128" s="26" cm="1">
        <f t="array" ref="AR128">$G$10+VLOOKUP($R128,武学奇术!$A:$ZZ,7,FALSE)+SUM(_xlfn.XLOOKUP(S128:AG128,增益!$A:$A,增益!$G:$G,0))</f>
        <v>0</v>
      </c>
      <c r="AS128" s="21" cm="1">
        <f t="array" ref="AS128">VLOOKUP($R128,武学奇术!$A:$ZZ,8,FALSE)+SUM(_xlfn.XLOOKUP(S128:AG128,增益!$A:$A,增益!$H:$H,0))</f>
        <v>0</v>
      </c>
      <c r="AT128">
        <f t="shared" si="12"/>
        <v>680.02</v>
      </c>
      <c r="AU128">
        <f t="shared" si="13"/>
        <v>1288.54</v>
      </c>
      <c r="AV128" s="26" cm="1">
        <f t="array" ref="AV128">IF($F$11-$I$4+VLOOKUP($R128,武学奇术!$A:$ZZ,9,FALSE)+SUM(_xlfn.XLOOKUP(S128:AG128,增益!$A:$A,增益!$I:$I,0))&gt;0,($F$11-$I$4+VLOOKUP($R128,武学奇术!$A:$ZZ,9,FALSE)+SUM(_xlfn.XLOOKUP(S128:AG128,增益!$A:$A,增益!$I:$I,0)))/200,($F$11-$I$4+VLOOKUP($R128,武学奇术!$A:$ZZ,9,FALSE)+SUM(_xlfn.XLOOKUP(S128:AG128,增益!$A:$A,增益!$I:$I,0)))/100)</f>
        <v>0</v>
      </c>
      <c r="AW128" s="26" cm="1">
        <f t="array" ref="AW128">$G$11+VLOOKUP($R128,武学奇术!$A:$ZZ,10,FALSE)+SUM(_xlfn.XLOOKUP(S128:AG128,增益!$A:$A,增益!$J:$J,0))</f>
        <v>0.15</v>
      </c>
      <c r="AX128">
        <f t="shared" si="14"/>
        <v>0</v>
      </c>
      <c r="AY128">
        <f t="shared" si="15"/>
        <v>0</v>
      </c>
      <c r="AZ128" s="26" cm="1">
        <f t="array" ref="AZ128">IF($F$12-$I$4+VLOOKUP($R128,武学奇术!$A:$ZZ,11,FALSE)+SUM(_xlfn.XLOOKUP(S128:AG128,增益!$A:$A,增益!$K:$K,0))&gt;0,($F$12-$I$4+VLOOKUP($R128,武学奇术!$A:$ZZ,11,FALSE)+SUM(_xlfn.XLOOKUP(S128:AG128,增益!$A:$A,增益!$K:$K,0)))/200,($F$12-$I$4+VLOOKUP($R128,武学奇术!$A:$ZZ,11,FALSE)+SUM(_xlfn.XLOOKUP(S128:AG128,增益!$A:$A,增益!$K:$K,0)))/100)</f>
        <v>-0.3</v>
      </c>
      <c r="BA128" s="26" cm="1">
        <f t="array" ref="BA128">$G$12+VLOOKUP($R128,武学奇术!$A:$ZZ,12,FALSE)+SUM(_xlfn.XLOOKUP(S128:AG128,增益!$A:$A,增益!$L:$L,0))</f>
        <v>0</v>
      </c>
      <c r="BB128">
        <f t="shared" si="16"/>
        <v>0</v>
      </c>
      <c r="BC128">
        <f t="shared" si="17"/>
        <v>0</v>
      </c>
      <c r="BD128" s="26" cm="1">
        <f t="array" ref="BD128">IF($F$13-$I$4+VLOOKUP($R128,武学奇术!$A:$ZZ,13,FALSE)+SUM(_xlfn.XLOOKUP(S128:AG128,增益!$A:$A,增益!$M:$M,0))&gt;0,($F$13-$I$4+VLOOKUP($R128,武学奇术!$A:$ZZ,13,FALSE)+SUM(_xlfn.XLOOKUP(S128:AG128,增益!$A:$A,增益!$K:$K,0)))/200,($F$13-$I$4+VLOOKUP($R128,武学奇术!$A:$ZZ,13,FALSE)+SUM(_xlfn.XLOOKUP(S128:AG128,增益!$A:$A,增益!$M:$M,0)))/100)</f>
        <v>-0.3</v>
      </c>
      <c r="BE128" s="26" cm="1">
        <f t="array" ref="BE128">$G$13+VLOOKUP($R128,武学奇术!$A:$ZZ,14,FALSE)+SUM(_xlfn.XLOOKUP(S128:AG128,增益!$A:$A,增益!$N:$N,0))</f>
        <v>0</v>
      </c>
      <c r="BF128">
        <f t="shared" si="18"/>
        <v>0</v>
      </c>
      <c r="BG128">
        <f t="shared" si="19"/>
        <v>0</v>
      </c>
      <c r="BH128" s="26" cm="1">
        <f t="array" ref="BH128">IF($F$14-$I$4+VLOOKUP($R128,武学奇术!$A:$ZZ,15,FALSE)+SUM(_xlfn.XLOOKUP(S128:AG128,增益!$A:$A,增益!$O:$O,0))&gt;0,($F$14-$I$4+VLOOKUP($R128,武学奇术!$A:$ZZ,15,FALSE)+SUM(_xlfn.XLOOKUP(S128:AG128,增益!$A:$A,增益!$O:$O,0)))/200,($F$14-$I$4+VLOOKUP($R128,武学奇术!$A:$ZZ,15,FALSE)+SUM(_xlfn.XLOOKUP(S128:AG128,增益!$A:$A,增益!$O:$O,0)))/100)</f>
        <v>-0.3</v>
      </c>
      <c r="BI128" s="26" cm="1">
        <f t="array" ref="BI128">$G$14+VLOOKUP($R128,武学奇术!$A:$ZZ,16,FALSE)+SUM(_xlfn.XLOOKUP(S128:AG128,增益!$A:$A,增益!$P:$P,0))</f>
        <v>0</v>
      </c>
      <c r="BJ128" s="21">
        <f>MIN(IF(VLOOKUP($R128,武学奇术!$A:$ZZ,23,FALSE)=1,100%,$B$8),100%)</f>
        <v>0.8229</v>
      </c>
      <c r="BK128" s="21" cm="1">
        <f t="array" ref="BK128">IF(VLOOKUP($R128,武学奇术!$A:$ZZ,23,FALSE)=1,100%,MIN(80%,$B$9+VLOOKUP($R128,武学奇术!$A:$ZZ,17,FALSE)+SUM(_xlfn.XLOOKUP(S128:AG128,增益!$A:$A,增益!$Q:$Q,0)))+$B$11+SUM(_xlfn.XLOOKUP(S128:AG128,增益!$A:$A,增益!$U:$U,0)))*IF(VLOOKUP($R128,武学奇术!$A:$ZZ,24,FALSE)=1,0,1)</f>
        <v>0.2285</v>
      </c>
      <c r="BL128" s="21" cm="1">
        <f t="array" ref="BL128">1+$B$13+VLOOKUP($R128,武学奇术!$A:$ZZ,18,FALSE)+SUM(_xlfn.XLOOKUP(S128:AG128,增益!$A:$A,增益!$R:$R,0))</f>
        <v>1.5</v>
      </c>
      <c r="BM128" s="21" cm="1">
        <f t="array" ref="BM128">IF(VLOOKUP($R128,武学奇术!$A:$ZZ,24,FALSE)=1,100%,MIN(40%,$B$10+VLOOKUP($R128,武学奇术!$A:$ZZ,19,FALSE)+SUM(_xlfn.XLOOKUP(S128:AG128,增益!$A:$A,增益!$S:$S,0)))+$B$12+SUM(_xlfn.XLOOKUP(S128:AG128,增益!$A:$A,增益!$V:$V,0)))*IF(VLOOKUP($R128,武学奇术!$A:$ZZ,23,FALSE)=1,0,1)</f>
        <v>0.4495</v>
      </c>
      <c r="BN128" s="21" cm="1">
        <f t="array" ref="BN128">1+$B$14+VLOOKUP($R128,武学奇术!$A:$ZZ,20,FALSE)+SUM(_xlfn.XLOOKUP(S128:AG128,增益!$A:$A,增益!$T:$T,0))</f>
        <v>1.602</v>
      </c>
      <c r="BO128" s="21">
        <f t="shared" si="20"/>
        <v>0.18803265</v>
      </c>
      <c r="BP128" s="21">
        <f t="shared" si="21"/>
        <v>0.2649738</v>
      </c>
      <c r="BQ128" s="21">
        <f>IF(VLOOKUP($R128,武学奇术!$A:$ZZ,22,FALSE)=1,0,(1-$BJ128))*(1-$BM128)</f>
        <v>0.09749355</v>
      </c>
      <c r="BR128" s="21" cm="1">
        <f t="array" ref="BR128">SUM(_xlfn.XLOOKUP(S128:AG128,增益!$A:$A,增益!$W:$W,0))+$I$5</f>
        <v>0.06</v>
      </c>
    </row>
    <row r="129" spans="11:70">
      <c r="K129" s="24">
        <f>$L129*VLOOKUP($R129,武学奇术!$A:$ZZ,31,FALSE)</f>
        <v>75127.4161598929</v>
      </c>
      <c r="L129" s="24">
        <f t="shared" si="11"/>
        <v>125212.360266488</v>
      </c>
      <c r="M129" s="24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BL129*$Q129*(1+IF(VLOOKUP($R129,武学奇术!$A:$ZZ,30,FALSE)="流血",$B$21,0))*(1+$BR129)</f>
        <v>102402.363859914</v>
      </c>
      <c r="N129" s="24">
        <f>(($AP129*$AI129+$AJ129)*(1+$AQ129)*(1+$AR129)+($AU129*IF($G$1="鸣金",$AK129,$AI129)+IF($G$1="鸣金",$AL129*1.5,0))*(1+$AV129)*(1+$AW129)+($AY129*IF($G$1="裂石",$AK129,$AI129)+IF($G$1="裂石",$AL129*1.5,0))*(1+$AZ129)*(1+$BA129)+($BC129*IF($G$1="牵丝",$AK129,$AI129)+IF($G$1="牵丝",$AL129*1.5,0))*(1+$BD129)*(1+$BE129)+($BG129*IF($G$1="破竹",$AK129,$AI129)+IF($G$1="破竹",$AL129*1.5,0))*(1+$BH129)*(1+$BI129))*(1+$AM129)*$BN129*$Q129*(1+IF(VLOOKUP($R129,武学奇术!$A:$ZZ,30,FALSE)="流血",$B$21,0))*(1+$BR129)</f>
        <v>188851.503586015</v>
      </c>
      <c r="O129" s="24">
        <f>((($AO129+$AP129)/2*$AI129+$AJ129)*(1+$AQ129)*(1+$AR129)+(($AT129+$AU129)/2*IF($G$1="鸣金",$AK129,$AI129)+IF($G$1="鸣金",$AL129*1.5,0))*(1+$AV129)*(1+$AW129)+(($AX129+$AY129)/2*IF($G$1="裂石",$AK129,$AI129)+IF($G$1="裂石",$AL129*1.5,0))*(1+$AZ129)*(1+$BA129)+(($BB129+$BC129)/2*IF($G$1="牵丝",$AK129,$AI129)+IF($G$1="牵丝",$AL129*1.5,0))*(1+$BD129)*(1+$BE129)+(($BF129+$BG129)/2*IF($G$1="破竹",$AK129,$AI129)+IF($G$1="破竹",$AL129*1.5,0))*(1+$BH129)*(1+$BI129))*(1+$AM129)*$Q129*(1+IF(VLOOKUP($R129,武学奇术!$A:$ZZ,30,FALSE)="流血",$B$21,0))*(1+$BR129)</f>
        <v>68268.242573276</v>
      </c>
      <c r="P129" s="24">
        <f>((($AO129*$AI129+$AJ129)*(1+$AQ129)*(1+$AR129)+($AT129*IF($G$1="鸣金",$AK129,$AI129)+IF($G$1="鸣金",$AL129*1.5,0))*(1+$AV129)*(1+$AW129)+($AX129*IF($G$1="裂石",$AK129,$AI129)+IF($G$1="裂石",$AL129*1.5,0))*(1+$AZ129)*(1+$BA129)+($BB129*IF($G$1="牵丝",$AK129,$AI129)+IF($G$1="牵丝",$AL129*1.5,0))*(1+$BD129)*(1+$BE129)+($BF129*IF($G$1="破竹",$AK129,$AI129)+IF($G$1="破竹",$AL129*1.5,0))*(1+$BH129)*(1+$BI129))*(1+$AM129))*$Q129*(1+IF(VLOOKUP($R129,武学奇术!$A:$ZZ,30,FALSE)="流血",$B$21,0))*(1+$BR129)</f>
        <v>30559.2104069253</v>
      </c>
      <c r="Q129" s="31">
        <v>1</v>
      </c>
      <c r="R129" s="32" t="s">
        <v>95</v>
      </c>
      <c r="S129" s="32" t="s">
        <v>87</v>
      </c>
      <c r="T129" s="32" t="s">
        <v>96</v>
      </c>
      <c r="U129" s="32" t="s">
        <v>97</v>
      </c>
      <c r="V129" s="32" t="s">
        <v>98</v>
      </c>
      <c r="W129" s="32" t="s">
        <v>73</v>
      </c>
      <c r="X129" s="32" t="s">
        <v>127</v>
      </c>
      <c r="Y129" s="32" t="s">
        <v>73</v>
      </c>
      <c r="Z129" s="32" t="s">
        <v>73</v>
      </c>
      <c r="AA129" s="32" t="s">
        <v>73</v>
      </c>
      <c r="AB129" s="32" t="s">
        <v>75</v>
      </c>
      <c r="AC129" s="32" t="s">
        <v>76</v>
      </c>
      <c r="AD129" s="32" t="s">
        <v>82</v>
      </c>
      <c r="AE129" s="32" t="s">
        <v>73</v>
      </c>
      <c r="AF129" s="32" t="s">
        <v>73</v>
      </c>
      <c r="AG129" s="32" t="s">
        <v>178</v>
      </c>
      <c r="AH129" t="str">
        <f>VLOOKUP($R129,武学奇术!$A:$ZZ,25,FALSE)</f>
        <v>剑</v>
      </c>
      <c r="AI129" s="21">
        <f>VLOOKUP($R129,武学奇术!$A:$ZZ,26,FALSE)</f>
        <v>2.52</v>
      </c>
      <c r="AJ129" s="22">
        <f>VLOOKUP($R129,武学奇术!$A:$ZZ,27,FALSE)*(1+IF(OR($AH129=$F$4,$AH129=$F$5),$B$22,0))</f>
        <v>0</v>
      </c>
      <c r="AK129" s="21">
        <f>VLOOKUP($R129,武学奇术!$A:$ZZ,28,FALSE)</f>
        <v>3.78</v>
      </c>
      <c r="AL129" s="22">
        <f>VLOOKUP($R129,武学奇术!$A:$ZZ,29,FALSE)*(1+IF(OR($AH129=$F$4,$AH129=$F$5),$B$22,0))</f>
        <v>0</v>
      </c>
      <c r="AM129" s="21" cm="1">
        <f t="array" ref="AM129">$G$3+IFERROR(VLOOKUP($AH129,$F$4:$G$7,2,FALSE),0)+VLOOKUP($R129,武学奇术!$A:$ZZ,2,FALSE)+SUM(_xlfn.XLOOKUP($S129:$AG129,增益!$A:$A,增益!$B:$B,0))</f>
        <v>1.3891</v>
      </c>
      <c r="AN129" s="21" cm="1">
        <f t="array" ref="AN129">VLOOKUP($R129,武学奇术!$A:$ZZ,5,FALSE)+SUM(_xlfn.XLOOKUP($S129:$AG129,增益!$A:$A,增益!$E:$E,0))</f>
        <v>0</v>
      </c>
      <c r="AO129" cm="1">
        <f t="array" ref="AO129">$D$10*(1+$AN129)+VLOOKUP($R129,武学奇术!$A:$ZZ,3,FALSE)+SUM(_xlfn.XLOOKUP($S129:$AG129,增益!$A:$A,增益!$C:$C,0))-$I$2</f>
        <v>1794.28</v>
      </c>
      <c r="AP129" cm="1">
        <f t="array" ref="AP129">$E$10*(1+$AN129)+VLOOKUP($R129,武学奇术!$A:$ZZ,4,FALSE)+SUM(_xlfn.XLOOKUP($S129:$AG129,增益!$A:$A,增益!$D:$D,0))-$I$2</f>
        <v>7726.36</v>
      </c>
      <c r="AQ129" s="26" cm="1">
        <f t="array" ref="AQ129">IF($F$10-$I$3+VLOOKUP($R129,武学奇术!$A:$ZZ,6,FALSE)+SUM(_xlfn.XLOOKUP(S129:AG129,增益!$A:$A,增益!$F:$F,0))&gt;0,($F$10-$I$3+VLOOKUP($R129,武学奇术!$A:$ZZ,6,FALSE)+SUM(_xlfn.XLOOKUP(S129:AG129,增益!$A:$A,增益!$F:$F,0)))/200,($F$10-$I$3+VLOOKUP($R129,武学奇术!$A:$ZZ,6,FALSE)+SUM(_xlfn.XLOOKUP(S129:AG129,增益!$A:$A,增益!$F:$F,0)))/100)</f>
        <v>0.319</v>
      </c>
      <c r="AR129" s="26" cm="1">
        <f t="array" ref="AR129">$G$10+VLOOKUP($R129,武学奇术!$A:$ZZ,7,FALSE)+SUM(_xlfn.XLOOKUP(S129:AG129,增益!$A:$A,增益!$G:$G,0))</f>
        <v>0</v>
      </c>
      <c r="AS129" s="21" cm="1">
        <f t="array" ref="AS129">VLOOKUP($R129,武学奇术!$A:$ZZ,8,FALSE)+SUM(_xlfn.XLOOKUP(S129:AG129,增益!$A:$A,增益!$H:$H,0))</f>
        <v>0</v>
      </c>
      <c r="AT129">
        <f t="shared" si="12"/>
        <v>680.02</v>
      </c>
      <c r="AU129">
        <f t="shared" si="13"/>
        <v>1288.54</v>
      </c>
      <c r="AV129" s="26" cm="1">
        <f t="array" ref="AV129">IF($F$11-$I$4+VLOOKUP($R129,武学奇术!$A:$ZZ,9,FALSE)+SUM(_xlfn.XLOOKUP(S129:AG129,增益!$A:$A,增益!$I:$I,0))&gt;0,($F$11-$I$4+VLOOKUP($R129,武学奇术!$A:$ZZ,9,FALSE)+SUM(_xlfn.XLOOKUP(S129:AG129,增益!$A:$A,增益!$I:$I,0)))/200,($F$11-$I$4+VLOOKUP($R129,武学奇术!$A:$ZZ,9,FALSE)+SUM(_xlfn.XLOOKUP(S129:AG129,增益!$A:$A,增益!$I:$I,0)))/100)</f>
        <v>0.075</v>
      </c>
      <c r="AW129" s="26" cm="1">
        <f t="array" ref="AW129">$G$11+VLOOKUP($R129,武学奇术!$A:$ZZ,10,FALSE)+SUM(_xlfn.XLOOKUP(S129:AG129,增益!$A:$A,增益!$J:$J,0))</f>
        <v>0.15</v>
      </c>
      <c r="AX129">
        <f t="shared" si="14"/>
        <v>0</v>
      </c>
      <c r="AY129">
        <f t="shared" si="15"/>
        <v>0</v>
      </c>
      <c r="AZ129" s="26" cm="1">
        <f t="array" ref="AZ129">IF($F$12-$I$4+VLOOKUP($R129,武学奇术!$A:$ZZ,11,FALSE)+SUM(_xlfn.XLOOKUP(S129:AG129,增益!$A:$A,增益!$K:$K,0))&gt;0,($F$12-$I$4+VLOOKUP($R129,武学奇术!$A:$ZZ,11,FALSE)+SUM(_xlfn.XLOOKUP(S129:AG129,增益!$A:$A,增益!$K:$K,0)))/200,($F$12-$I$4+VLOOKUP($R129,武学奇术!$A:$ZZ,11,FALSE)+SUM(_xlfn.XLOOKUP(S129:AG129,增益!$A:$A,增益!$K:$K,0)))/100)</f>
        <v>-0.3</v>
      </c>
      <c r="BA129" s="26" cm="1">
        <f t="array" ref="BA129">$G$12+VLOOKUP($R129,武学奇术!$A:$ZZ,12,FALSE)+SUM(_xlfn.XLOOKUP(S129:AG129,增益!$A:$A,增益!$L:$L,0))</f>
        <v>0</v>
      </c>
      <c r="BB129">
        <f t="shared" si="16"/>
        <v>0</v>
      </c>
      <c r="BC129">
        <f t="shared" si="17"/>
        <v>0</v>
      </c>
      <c r="BD129" s="26" cm="1">
        <f t="array" ref="BD129">IF($F$13-$I$4+VLOOKUP($R129,武学奇术!$A:$ZZ,13,FALSE)+SUM(_xlfn.XLOOKUP(S129:AG129,增益!$A:$A,增益!$M:$M,0))&gt;0,($F$13-$I$4+VLOOKUP($R129,武学奇术!$A:$ZZ,13,FALSE)+SUM(_xlfn.XLOOKUP(S129:AG129,增益!$A:$A,增益!$K:$K,0)))/200,($F$13-$I$4+VLOOKUP($R129,武学奇术!$A:$ZZ,13,FALSE)+SUM(_xlfn.XLOOKUP(S129:AG129,增益!$A:$A,增益!$M:$M,0)))/100)</f>
        <v>-0.3</v>
      </c>
      <c r="BE129" s="26" cm="1">
        <f t="array" ref="BE129">$G$13+VLOOKUP($R129,武学奇术!$A:$ZZ,14,FALSE)+SUM(_xlfn.XLOOKUP(S129:AG129,增益!$A:$A,增益!$N:$N,0))</f>
        <v>0</v>
      </c>
      <c r="BF129">
        <f t="shared" si="18"/>
        <v>0</v>
      </c>
      <c r="BG129">
        <f t="shared" si="19"/>
        <v>0</v>
      </c>
      <c r="BH129" s="26" cm="1">
        <f t="array" ref="BH129">IF($F$14-$I$4+VLOOKUP($R129,武学奇术!$A:$ZZ,15,FALSE)+SUM(_xlfn.XLOOKUP(S129:AG129,增益!$A:$A,增益!$O:$O,0))&gt;0,($F$14-$I$4+VLOOKUP($R129,武学奇术!$A:$ZZ,15,FALSE)+SUM(_xlfn.XLOOKUP(S129:AG129,增益!$A:$A,增益!$O:$O,0)))/200,($F$14-$I$4+VLOOKUP($R129,武学奇术!$A:$ZZ,15,FALSE)+SUM(_xlfn.XLOOKUP(S129:AG129,增益!$A:$A,增益!$O:$O,0)))/100)</f>
        <v>-0.3</v>
      </c>
      <c r="BI129" s="26" cm="1">
        <f t="array" ref="BI129">$G$14+VLOOKUP($R129,武学奇术!$A:$ZZ,16,FALSE)+SUM(_xlfn.XLOOKUP(S129:AG129,增益!$A:$A,增益!$P:$P,0))</f>
        <v>0</v>
      </c>
      <c r="BJ129" s="21">
        <f>MIN(IF(VLOOKUP($R129,武学奇术!$A:$ZZ,23,FALSE)=1,100%,$B$8),100%)</f>
        <v>0.8229</v>
      </c>
      <c r="BK129" s="21" cm="1">
        <f t="array" ref="BK129">IF(VLOOKUP($R129,武学奇术!$A:$ZZ,23,FALSE)=1,100%,MIN(80%,$B$9+VLOOKUP($R129,武学奇术!$A:$ZZ,17,FALSE)+SUM(_xlfn.XLOOKUP(S129:AG129,增益!$A:$A,增益!$Q:$Q,0)))+$B$11+SUM(_xlfn.XLOOKUP(S129:AG129,增益!$A:$A,增益!$U:$U,0)))*IF(VLOOKUP($R129,武学奇术!$A:$ZZ,24,FALSE)=1,0,1)</f>
        <v>0.2285</v>
      </c>
      <c r="BL129" s="21" cm="1">
        <f t="array" ref="BL129">1+$B$13+VLOOKUP($R129,武学奇术!$A:$ZZ,18,FALSE)+SUM(_xlfn.XLOOKUP(S129:AG129,增益!$A:$A,增益!$R:$R,0))</f>
        <v>1.5</v>
      </c>
      <c r="BM129" s="21" cm="1">
        <f t="array" ref="BM129">IF(VLOOKUP($R129,武学奇术!$A:$ZZ,24,FALSE)=1,100%,MIN(40%,$B$10+VLOOKUP($R129,武学奇术!$A:$ZZ,19,FALSE)+SUM(_xlfn.XLOOKUP(S129:AG129,增益!$A:$A,增益!$S:$S,0)))+$B$12+SUM(_xlfn.XLOOKUP(S129:AG129,增益!$A:$A,增益!$V:$V,0)))*IF(VLOOKUP($R129,武学奇术!$A:$ZZ,23,FALSE)=1,0,1)</f>
        <v>0.4495</v>
      </c>
      <c r="BN129" s="21" cm="1">
        <f t="array" ref="BN129">1+$B$14+VLOOKUP($R129,武学奇术!$A:$ZZ,20,FALSE)+SUM(_xlfn.XLOOKUP(S129:AG129,增益!$A:$A,增益!$T:$T,0))</f>
        <v>1.782</v>
      </c>
      <c r="BO129" s="21">
        <f t="shared" si="20"/>
        <v>0.18803265</v>
      </c>
      <c r="BP129" s="21">
        <f t="shared" si="21"/>
        <v>0.2649738</v>
      </c>
      <c r="BQ129" s="21">
        <f>IF(VLOOKUP($R129,武学奇术!$A:$ZZ,22,FALSE)=1,0,(1-$BJ129))*(1-$BM129)</f>
        <v>0.09749355</v>
      </c>
      <c r="BR129" s="21" cm="1">
        <f t="array" ref="BR129">SUM(_xlfn.XLOOKUP(S129:AG129,增益!$A:$A,增益!$W:$W,0))+$I$5</f>
        <v>0.06</v>
      </c>
    </row>
    <row r="130" spans="11:70">
      <c r="K130" s="24">
        <f>$L130*VLOOKUP($R130,武学奇术!$A:$ZZ,31,FALSE)</f>
        <v>75127.4161598929</v>
      </c>
      <c r="L130" s="24">
        <f t="shared" ref="L130:L193" si="22">($M130*$BO130+$N130*$BM130+$O130*$BP130+$P130*$BQ130)</f>
        <v>125212.360266488</v>
      </c>
      <c r="M130" s="24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BL130*$Q130*(1+IF(VLOOKUP($R130,武学奇术!$A:$ZZ,30,FALSE)="流血",$B$21,0))*(1+$BR130)</f>
        <v>102402.363859914</v>
      </c>
      <c r="N130" s="24">
        <f>(($AP130*$AI130+$AJ130)*(1+$AQ130)*(1+$AR130)+($AU130*IF($G$1="鸣金",$AK130,$AI130)+IF($G$1="鸣金",$AL130*1.5,0))*(1+$AV130)*(1+$AW130)+($AY130*IF($G$1="裂石",$AK130,$AI130)+IF($G$1="裂石",$AL130*1.5,0))*(1+$AZ130)*(1+$BA130)+($BC130*IF($G$1="牵丝",$AK130,$AI130)+IF($G$1="牵丝",$AL130*1.5,0))*(1+$BD130)*(1+$BE130)+($BG130*IF($G$1="破竹",$AK130,$AI130)+IF($G$1="破竹",$AL130*1.5,0))*(1+$BH130)*(1+$BI130))*(1+$AM130)*$BN130*$Q130*(1+IF(VLOOKUP($R130,武学奇术!$A:$ZZ,30,FALSE)="流血",$B$21,0))*(1+$BR130)</f>
        <v>188851.503586015</v>
      </c>
      <c r="O130" s="24">
        <f>((($AO130+$AP130)/2*$AI130+$AJ130)*(1+$AQ130)*(1+$AR130)+(($AT130+$AU130)/2*IF($G$1="鸣金",$AK130,$AI130)+IF($G$1="鸣金",$AL130*1.5,0))*(1+$AV130)*(1+$AW130)+(($AX130+$AY130)/2*IF($G$1="裂石",$AK130,$AI130)+IF($G$1="裂石",$AL130*1.5,0))*(1+$AZ130)*(1+$BA130)+(($BB130+$BC130)/2*IF($G$1="牵丝",$AK130,$AI130)+IF($G$1="牵丝",$AL130*1.5,0))*(1+$BD130)*(1+$BE130)+(($BF130+$BG130)/2*IF($G$1="破竹",$AK130,$AI130)+IF($G$1="破竹",$AL130*1.5,0))*(1+$BH130)*(1+$BI130))*(1+$AM130)*$Q130*(1+IF(VLOOKUP($R130,武学奇术!$A:$ZZ,30,FALSE)="流血",$B$21,0))*(1+$BR130)</f>
        <v>68268.242573276</v>
      </c>
      <c r="P130" s="24">
        <f>((($AO130*$AI130+$AJ130)*(1+$AQ130)*(1+$AR130)+($AT130*IF($G$1="鸣金",$AK130,$AI130)+IF($G$1="鸣金",$AL130*1.5,0))*(1+$AV130)*(1+$AW130)+($AX130*IF($G$1="裂石",$AK130,$AI130)+IF($G$1="裂石",$AL130*1.5,0))*(1+$AZ130)*(1+$BA130)+($BB130*IF($G$1="牵丝",$AK130,$AI130)+IF($G$1="牵丝",$AL130*1.5,0))*(1+$BD130)*(1+$BE130)+($BF130*IF($G$1="破竹",$AK130,$AI130)+IF($G$1="破竹",$AL130*1.5,0))*(1+$BH130)*(1+$BI130))*(1+$AM130))*$Q130*(1+IF(VLOOKUP($R130,武学奇术!$A:$ZZ,30,FALSE)="流血",$B$21,0))*(1+$BR130)</f>
        <v>30559.2104069253</v>
      </c>
      <c r="Q130" s="31">
        <v>1</v>
      </c>
      <c r="R130" s="32" t="s">
        <v>95</v>
      </c>
      <c r="S130" s="32" t="s">
        <v>87</v>
      </c>
      <c r="T130" s="32" t="s">
        <v>96</v>
      </c>
      <c r="U130" s="32" t="s">
        <v>97</v>
      </c>
      <c r="V130" s="32" t="s">
        <v>98</v>
      </c>
      <c r="W130" s="32" t="s">
        <v>73</v>
      </c>
      <c r="X130" s="32" t="s">
        <v>127</v>
      </c>
      <c r="Y130" s="32" t="s">
        <v>73</v>
      </c>
      <c r="Z130" s="32" t="s">
        <v>73</v>
      </c>
      <c r="AA130" s="32" t="s">
        <v>73</v>
      </c>
      <c r="AB130" s="32" t="s">
        <v>75</v>
      </c>
      <c r="AC130" s="32" t="s">
        <v>76</v>
      </c>
      <c r="AD130" s="32" t="s">
        <v>82</v>
      </c>
      <c r="AE130" s="32" t="s">
        <v>73</v>
      </c>
      <c r="AF130" s="32" t="s">
        <v>73</v>
      </c>
      <c r="AG130" s="32" t="s">
        <v>178</v>
      </c>
      <c r="AH130" t="str">
        <f>VLOOKUP($R130,武学奇术!$A:$ZZ,25,FALSE)</f>
        <v>剑</v>
      </c>
      <c r="AI130" s="21">
        <f>VLOOKUP($R130,武学奇术!$A:$ZZ,26,FALSE)</f>
        <v>2.52</v>
      </c>
      <c r="AJ130" s="22">
        <f>VLOOKUP($R130,武学奇术!$A:$ZZ,27,FALSE)*(1+IF(OR($AH130=$F$4,$AH130=$F$5),$B$22,0))</f>
        <v>0</v>
      </c>
      <c r="AK130" s="21">
        <f>VLOOKUP($R130,武学奇术!$A:$ZZ,28,FALSE)</f>
        <v>3.78</v>
      </c>
      <c r="AL130" s="22">
        <f>VLOOKUP($R130,武学奇术!$A:$ZZ,29,FALSE)*(1+IF(OR($AH130=$F$4,$AH130=$F$5),$B$22,0))</f>
        <v>0</v>
      </c>
      <c r="AM130" s="21" cm="1">
        <f t="array" ref="AM130">$G$3+IFERROR(VLOOKUP($AH130,$F$4:$G$7,2,FALSE),0)+VLOOKUP($R130,武学奇术!$A:$ZZ,2,FALSE)+SUM(_xlfn.XLOOKUP($S130:$AG130,增益!$A:$A,增益!$B:$B,0))</f>
        <v>1.3891</v>
      </c>
      <c r="AN130" s="21" cm="1">
        <f t="array" ref="AN130">VLOOKUP($R130,武学奇术!$A:$ZZ,5,FALSE)+SUM(_xlfn.XLOOKUP($S130:$AG130,增益!$A:$A,增益!$E:$E,0))</f>
        <v>0</v>
      </c>
      <c r="AO130" cm="1">
        <f t="array" ref="AO130">$D$10*(1+$AN130)+VLOOKUP($R130,武学奇术!$A:$ZZ,3,FALSE)+SUM(_xlfn.XLOOKUP($S130:$AG130,增益!$A:$A,增益!$C:$C,0))-$I$2</f>
        <v>1794.28</v>
      </c>
      <c r="AP130" cm="1">
        <f t="array" ref="AP130">$E$10*(1+$AN130)+VLOOKUP($R130,武学奇术!$A:$ZZ,4,FALSE)+SUM(_xlfn.XLOOKUP($S130:$AG130,增益!$A:$A,增益!$D:$D,0))-$I$2</f>
        <v>7726.36</v>
      </c>
      <c r="AQ130" s="26" cm="1">
        <f t="array" ref="AQ130">IF($F$10-$I$3+VLOOKUP($R130,武学奇术!$A:$ZZ,6,FALSE)+SUM(_xlfn.XLOOKUP(S130:AG130,增益!$A:$A,增益!$F:$F,0))&gt;0,($F$10-$I$3+VLOOKUP($R130,武学奇术!$A:$ZZ,6,FALSE)+SUM(_xlfn.XLOOKUP(S130:AG130,增益!$A:$A,增益!$F:$F,0)))/200,($F$10-$I$3+VLOOKUP($R130,武学奇术!$A:$ZZ,6,FALSE)+SUM(_xlfn.XLOOKUP(S130:AG130,增益!$A:$A,增益!$F:$F,0)))/100)</f>
        <v>0.319</v>
      </c>
      <c r="AR130" s="26" cm="1">
        <f t="array" ref="AR130">$G$10+VLOOKUP($R130,武学奇术!$A:$ZZ,7,FALSE)+SUM(_xlfn.XLOOKUP(S130:AG130,增益!$A:$A,增益!$G:$G,0))</f>
        <v>0</v>
      </c>
      <c r="AS130" s="21" cm="1">
        <f t="array" ref="AS130">VLOOKUP($R130,武学奇术!$A:$ZZ,8,FALSE)+SUM(_xlfn.XLOOKUP(S130:AG130,增益!$A:$A,增益!$H:$H,0))</f>
        <v>0</v>
      </c>
      <c r="AT130">
        <f t="shared" ref="AT130:AT193" si="23">$D$11*(1+$AS130)</f>
        <v>680.02</v>
      </c>
      <c r="AU130">
        <f t="shared" ref="AU130:AU193" si="24">$E$11*(1+$AS130)</f>
        <v>1288.54</v>
      </c>
      <c r="AV130" s="26" cm="1">
        <f t="array" ref="AV130">IF($F$11-$I$4+VLOOKUP($R130,武学奇术!$A:$ZZ,9,FALSE)+SUM(_xlfn.XLOOKUP(S130:AG130,增益!$A:$A,增益!$I:$I,0))&gt;0,($F$11-$I$4+VLOOKUP($R130,武学奇术!$A:$ZZ,9,FALSE)+SUM(_xlfn.XLOOKUP(S130:AG130,增益!$A:$A,增益!$I:$I,0)))/200,($F$11-$I$4+VLOOKUP($R130,武学奇术!$A:$ZZ,9,FALSE)+SUM(_xlfn.XLOOKUP(S130:AG130,增益!$A:$A,增益!$I:$I,0)))/100)</f>
        <v>0.075</v>
      </c>
      <c r="AW130" s="26" cm="1">
        <f t="array" ref="AW130">$G$11+VLOOKUP($R130,武学奇术!$A:$ZZ,10,FALSE)+SUM(_xlfn.XLOOKUP(S130:AG130,增益!$A:$A,增益!$J:$J,0))</f>
        <v>0.15</v>
      </c>
      <c r="AX130">
        <f t="shared" ref="AX130:AX193" si="25">$D$12*(1+$AS130)</f>
        <v>0</v>
      </c>
      <c r="AY130">
        <f t="shared" ref="AY130:AY193" si="26">$E$12*(1+$AS130)</f>
        <v>0</v>
      </c>
      <c r="AZ130" s="26" cm="1">
        <f t="array" ref="AZ130">IF($F$12-$I$4+VLOOKUP($R130,武学奇术!$A:$ZZ,11,FALSE)+SUM(_xlfn.XLOOKUP(S130:AG130,增益!$A:$A,增益!$K:$K,0))&gt;0,($F$12-$I$4+VLOOKUP($R130,武学奇术!$A:$ZZ,11,FALSE)+SUM(_xlfn.XLOOKUP(S130:AG130,增益!$A:$A,增益!$K:$K,0)))/200,($F$12-$I$4+VLOOKUP($R130,武学奇术!$A:$ZZ,11,FALSE)+SUM(_xlfn.XLOOKUP(S130:AG130,增益!$A:$A,增益!$K:$K,0)))/100)</f>
        <v>-0.3</v>
      </c>
      <c r="BA130" s="26" cm="1">
        <f t="array" ref="BA130">$G$12+VLOOKUP($R130,武学奇术!$A:$ZZ,12,FALSE)+SUM(_xlfn.XLOOKUP(S130:AG130,增益!$A:$A,增益!$L:$L,0))</f>
        <v>0</v>
      </c>
      <c r="BB130">
        <f t="shared" ref="BB130:BB193" si="27">$D$13*(1+$AS130)</f>
        <v>0</v>
      </c>
      <c r="BC130">
        <f t="shared" ref="BC130:BC193" si="28">$E$13*(1+$AS130)</f>
        <v>0</v>
      </c>
      <c r="BD130" s="26" cm="1">
        <f t="array" ref="BD130">IF($F$13-$I$4+VLOOKUP($R130,武学奇术!$A:$ZZ,13,FALSE)+SUM(_xlfn.XLOOKUP(S130:AG130,增益!$A:$A,增益!$M:$M,0))&gt;0,($F$13-$I$4+VLOOKUP($R130,武学奇术!$A:$ZZ,13,FALSE)+SUM(_xlfn.XLOOKUP(S130:AG130,增益!$A:$A,增益!$K:$K,0)))/200,($F$13-$I$4+VLOOKUP($R130,武学奇术!$A:$ZZ,13,FALSE)+SUM(_xlfn.XLOOKUP(S130:AG130,增益!$A:$A,增益!$M:$M,0)))/100)</f>
        <v>-0.3</v>
      </c>
      <c r="BE130" s="26" cm="1">
        <f t="array" ref="BE130">$G$13+VLOOKUP($R130,武学奇术!$A:$ZZ,14,FALSE)+SUM(_xlfn.XLOOKUP(S130:AG130,增益!$A:$A,增益!$N:$N,0))</f>
        <v>0</v>
      </c>
      <c r="BF130">
        <f t="shared" ref="BF130:BF193" si="29">$D$14*(1+$AS130)</f>
        <v>0</v>
      </c>
      <c r="BG130">
        <f t="shared" ref="BG130:BG193" si="30">$E$14*(1+$AS130)</f>
        <v>0</v>
      </c>
      <c r="BH130" s="26" cm="1">
        <f t="array" ref="BH130">IF($F$14-$I$4+VLOOKUP($R130,武学奇术!$A:$ZZ,15,FALSE)+SUM(_xlfn.XLOOKUP(S130:AG130,增益!$A:$A,增益!$O:$O,0))&gt;0,($F$14-$I$4+VLOOKUP($R130,武学奇术!$A:$ZZ,15,FALSE)+SUM(_xlfn.XLOOKUP(S130:AG130,增益!$A:$A,增益!$O:$O,0)))/200,($F$14-$I$4+VLOOKUP($R130,武学奇术!$A:$ZZ,15,FALSE)+SUM(_xlfn.XLOOKUP(S130:AG130,增益!$A:$A,增益!$O:$O,0)))/100)</f>
        <v>-0.3</v>
      </c>
      <c r="BI130" s="26" cm="1">
        <f t="array" ref="BI130">$G$14+VLOOKUP($R130,武学奇术!$A:$ZZ,16,FALSE)+SUM(_xlfn.XLOOKUP(S130:AG130,增益!$A:$A,增益!$P:$P,0))</f>
        <v>0</v>
      </c>
      <c r="BJ130" s="21">
        <f>MIN(IF(VLOOKUP($R130,武学奇术!$A:$ZZ,23,FALSE)=1,100%,$B$8),100%)</f>
        <v>0.8229</v>
      </c>
      <c r="BK130" s="21" cm="1">
        <f t="array" ref="BK130">IF(VLOOKUP($R130,武学奇术!$A:$ZZ,23,FALSE)=1,100%,MIN(80%,$B$9+VLOOKUP($R130,武学奇术!$A:$ZZ,17,FALSE)+SUM(_xlfn.XLOOKUP(S130:AG130,增益!$A:$A,增益!$Q:$Q,0)))+$B$11+SUM(_xlfn.XLOOKUP(S130:AG130,增益!$A:$A,增益!$U:$U,0)))*IF(VLOOKUP($R130,武学奇术!$A:$ZZ,24,FALSE)=1,0,1)</f>
        <v>0.2285</v>
      </c>
      <c r="BL130" s="21" cm="1">
        <f t="array" ref="BL130">1+$B$13+VLOOKUP($R130,武学奇术!$A:$ZZ,18,FALSE)+SUM(_xlfn.XLOOKUP(S130:AG130,增益!$A:$A,增益!$R:$R,0))</f>
        <v>1.5</v>
      </c>
      <c r="BM130" s="21" cm="1">
        <f t="array" ref="BM130">IF(VLOOKUP($R130,武学奇术!$A:$ZZ,24,FALSE)=1,100%,MIN(40%,$B$10+VLOOKUP($R130,武学奇术!$A:$ZZ,19,FALSE)+SUM(_xlfn.XLOOKUP(S130:AG130,增益!$A:$A,增益!$S:$S,0)))+$B$12+SUM(_xlfn.XLOOKUP(S130:AG130,增益!$A:$A,增益!$V:$V,0)))*IF(VLOOKUP($R130,武学奇术!$A:$ZZ,23,FALSE)=1,0,1)</f>
        <v>0.4495</v>
      </c>
      <c r="BN130" s="21" cm="1">
        <f t="array" ref="BN130">1+$B$14+VLOOKUP($R130,武学奇术!$A:$ZZ,20,FALSE)+SUM(_xlfn.XLOOKUP(S130:AG130,增益!$A:$A,增益!$T:$T,0))</f>
        <v>1.782</v>
      </c>
      <c r="BO130" s="21">
        <f t="shared" ref="BO130:BO193" si="31">MIN((1-BM130)*BJ130,BJ130*BK130)</f>
        <v>0.18803265</v>
      </c>
      <c r="BP130" s="21">
        <f t="shared" ref="BP130:BP193" si="32">1-BM130-BO130-BQ130</f>
        <v>0.2649738</v>
      </c>
      <c r="BQ130" s="21">
        <f>IF(VLOOKUP($R130,武学奇术!$A:$ZZ,22,FALSE)=1,0,(1-$BJ130))*(1-$BM130)</f>
        <v>0.09749355</v>
      </c>
      <c r="BR130" s="21" cm="1">
        <f t="array" ref="BR130">SUM(_xlfn.XLOOKUP(S130:AG130,增益!$A:$A,增益!$W:$W,0))+$I$5</f>
        <v>0.06</v>
      </c>
    </row>
    <row r="131" spans="11:70">
      <c r="K131" s="24">
        <f>$L131*VLOOKUP($R131,武学奇术!$A:$ZZ,31,FALSE)</f>
        <v>24128.0868674765</v>
      </c>
      <c r="L131" s="24">
        <f t="shared" si="22"/>
        <v>24128.0868674765</v>
      </c>
      <c r="M131" s="24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BL131*$Q131*(1+IF(VLOOKUP($R131,武学奇术!$A:$ZZ,30,FALSE)="流血",$B$21,0))*(1+$BR131)</f>
        <v>21641.1285473597</v>
      </c>
      <c r="N131" s="24">
        <f>(($AP131*$AI131+$AJ131)*(1+$AQ131)*(1+$AR131)+($AU131*IF($G$1="鸣金",$AK131,$AI131)+IF($G$1="鸣金",$AL131*1.5,0))*(1+$AV131)*(1+$AW131)+($AY131*IF($G$1="裂石",$AK131,$AI131)+IF($G$1="裂石",$AL131*1.5,0))*(1+$AZ131)*(1+$BA131)+($BC131*IF($G$1="牵丝",$AK131,$AI131)+IF($G$1="牵丝",$AL131*1.5,0))*(1+$BD131)*(1+$BE131)+($BG131*IF($G$1="破竹",$AK131,$AI131)+IF($G$1="破竹",$AL131*1.5,0))*(1+$BH131)*(1+$BI131))*(1+$AM131)*$BN131*$Q131*(1+IF(VLOOKUP($R131,武学奇术!$A:$ZZ,30,FALSE)="流血",$B$21,0))*(1+$BR131)</f>
        <v>34537.6429959112</v>
      </c>
      <c r="O131" s="24">
        <f>((($AO131+$AP131)/2*$AI131+$AJ131)*(1+$AQ131)*(1+$AR131)+(($AT131+$AU131)/2*IF($G$1="鸣金",$AK131,$AI131)+IF($G$1="鸣金",$AL131*1.5,0))*(1+$AV131)*(1+$AW131)+(($AX131+$AY131)/2*IF($G$1="裂石",$AK131,$AI131)+IF($G$1="裂石",$AL131*1.5,0))*(1+$AZ131)*(1+$BA131)+(($BB131+$BC131)/2*IF($G$1="牵丝",$AK131,$AI131)+IF($G$1="牵丝",$AL131*1.5,0))*(1+$BD131)*(1+$BE131)+(($BF131+$BG131)/2*IF($G$1="破竹",$AK131,$AI131)+IF($G$1="破竹",$AL131*1.5,0))*(1+$BH131)*(1+$BI131))*(1+$AM131)*$Q131*(1+IF(VLOOKUP($R131,武学奇术!$A:$ZZ,30,FALSE)="流血",$B$21,0))*(1+$BR131)</f>
        <v>14427.4190315731</v>
      </c>
      <c r="P131" s="24">
        <f>((($AO131*$AI131+$AJ131)*(1+$AQ131)*(1+$AR131)+($AT131*IF($G$1="鸣金",$AK131,$AI131)+IF($G$1="鸣金",$AL131*1.5,0))*(1+$AV131)*(1+$AW131)+($AX131*IF($G$1="裂石",$AK131,$AI131)+IF($G$1="裂石",$AL131*1.5,0))*(1+$AZ131)*(1+$BA131)+($BB131*IF($G$1="牵丝",$AK131,$AI131)+IF($G$1="牵丝",$AL131*1.5,0))*(1+$BD131)*(1+$BE131)+($BF131*IF($G$1="破竹",$AK131,$AI131)+IF($G$1="破竹",$AL131*1.5,0))*(1+$BH131)*(1+$BI131))*(1+$AM131))*$Q131*(1+IF(VLOOKUP($R131,武学奇术!$A:$ZZ,30,FALSE)="流血",$B$21,0))*(1+$BR131)</f>
        <v>7295.7600382329</v>
      </c>
      <c r="Q131" s="31">
        <v>1</v>
      </c>
      <c r="R131" s="32" t="s">
        <v>108</v>
      </c>
      <c r="S131" s="32" t="s">
        <v>87</v>
      </c>
      <c r="T131" s="32" t="s">
        <v>104</v>
      </c>
      <c r="U131" s="32" t="s">
        <v>73</v>
      </c>
      <c r="V131" s="32" t="s">
        <v>73</v>
      </c>
      <c r="W131" s="32" t="s">
        <v>73</v>
      </c>
      <c r="X131" s="32" t="s">
        <v>127</v>
      </c>
      <c r="Y131" s="32" t="s">
        <v>73</v>
      </c>
      <c r="Z131" s="32" t="s">
        <v>73</v>
      </c>
      <c r="AA131" s="32" t="s">
        <v>73</v>
      </c>
      <c r="AB131" s="32" t="s">
        <v>75</v>
      </c>
      <c r="AC131" s="32" t="s">
        <v>76</v>
      </c>
      <c r="AD131" s="32" t="s">
        <v>82</v>
      </c>
      <c r="AE131" s="32" t="s">
        <v>73</v>
      </c>
      <c r="AF131" s="32" t="s">
        <v>73</v>
      </c>
      <c r="AG131" s="32" t="s">
        <v>178</v>
      </c>
      <c r="AH131" t="str">
        <f>VLOOKUP($R131,武学奇术!$A:$ZZ,25,FALSE)</f>
        <v>枪</v>
      </c>
      <c r="AI131" s="21">
        <f>VLOOKUP($R131,武学奇术!$A:$ZZ,26,FALSE)</f>
        <v>1.02732</v>
      </c>
      <c r="AJ131" s="22">
        <f>VLOOKUP($R131,武学奇术!$A:$ZZ,27,FALSE)*(1+IF(OR($AH131=$F$4,$AH131=$F$5),$B$22,0))</f>
        <v>426.6</v>
      </c>
      <c r="AK131" s="21">
        <f>VLOOKUP($R131,武学奇术!$A:$ZZ,28,FALSE)</f>
        <v>1.54096</v>
      </c>
      <c r="AL131" s="22">
        <f>VLOOKUP($R131,武学奇术!$A:$ZZ,29,FALSE)*(1+IF(OR($AH131=$F$4,$AH131=$F$5),$B$22,0))</f>
        <v>232.2</v>
      </c>
      <c r="AM131" s="21" cm="1">
        <f t="array" ref="AM131">$G$3+IFERROR(VLOOKUP($AH131,$F$4:$G$7,2,FALSE),0)+VLOOKUP($R131,武学奇术!$A:$ZZ,2,FALSE)+SUM(_xlfn.XLOOKUP($S131:$AG131,增益!$A:$A,增益!$B:$B,0))</f>
        <v>0.5539</v>
      </c>
      <c r="AN131" s="21" cm="1">
        <f t="array" ref="AN131">VLOOKUP($R131,武学奇术!$A:$ZZ,5,FALSE)+SUM(_xlfn.XLOOKUP($S131:$AG131,增益!$A:$A,增益!$E:$E,0))</f>
        <v>0</v>
      </c>
      <c r="AO131" cm="1">
        <f t="array" ref="AO131">$D$10*(1+$AN131)+VLOOKUP($R131,武学奇术!$A:$ZZ,3,FALSE)+SUM(_xlfn.XLOOKUP($S131:$AG131,增益!$A:$A,增益!$C:$C,0))-$I$2</f>
        <v>1794.28</v>
      </c>
      <c r="AP131" cm="1">
        <f t="array" ref="AP131">$E$10*(1+$AN131)+VLOOKUP($R131,武学奇术!$A:$ZZ,4,FALSE)+SUM(_xlfn.XLOOKUP($S131:$AG131,增益!$A:$A,增益!$D:$D,0))-$I$2</f>
        <v>7726.36</v>
      </c>
      <c r="AQ131" s="26" cm="1">
        <f t="array" ref="AQ131">IF($F$10-$I$3+VLOOKUP($R131,武学奇术!$A:$ZZ,6,FALSE)+SUM(_xlfn.XLOOKUP(S131:AG131,增益!$A:$A,增益!$F:$F,0))&gt;0,($F$10-$I$3+VLOOKUP($R131,武学奇术!$A:$ZZ,6,FALSE)+SUM(_xlfn.XLOOKUP(S131:AG131,增益!$A:$A,增益!$F:$F,0)))/200,($F$10-$I$3+VLOOKUP($R131,武学奇术!$A:$ZZ,6,FALSE)+SUM(_xlfn.XLOOKUP(S131:AG131,增益!$A:$A,增益!$F:$F,0)))/100)</f>
        <v>0.244</v>
      </c>
      <c r="AR131" s="26" cm="1">
        <f t="array" ref="AR131">$G$10+VLOOKUP($R131,武学奇术!$A:$ZZ,7,FALSE)+SUM(_xlfn.XLOOKUP(S131:AG131,增益!$A:$A,增益!$G:$G,0))</f>
        <v>0</v>
      </c>
      <c r="AS131" s="21" cm="1">
        <f t="array" ref="AS131">VLOOKUP($R131,武学奇术!$A:$ZZ,8,FALSE)+SUM(_xlfn.XLOOKUP(S131:AG131,增益!$A:$A,增益!$H:$H,0))</f>
        <v>0</v>
      </c>
      <c r="AT131">
        <f t="shared" si="23"/>
        <v>680.02</v>
      </c>
      <c r="AU131">
        <f t="shared" si="24"/>
        <v>1288.54</v>
      </c>
      <c r="AV131" s="26" cm="1">
        <f t="array" ref="AV131">IF($F$11-$I$4+VLOOKUP($R131,武学奇术!$A:$ZZ,9,FALSE)+SUM(_xlfn.XLOOKUP(S131:AG131,增益!$A:$A,增益!$I:$I,0))&gt;0,($F$11-$I$4+VLOOKUP($R131,武学奇术!$A:$ZZ,9,FALSE)+SUM(_xlfn.XLOOKUP(S131:AG131,增益!$A:$A,增益!$I:$I,0)))/200,($F$11-$I$4+VLOOKUP($R131,武学奇术!$A:$ZZ,9,FALSE)+SUM(_xlfn.XLOOKUP(S131:AG131,增益!$A:$A,增益!$I:$I,0)))/100)</f>
        <v>0</v>
      </c>
      <c r="AW131" s="26" cm="1">
        <f t="array" ref="AW131">$G$11+VLOOKUP($R131,武学奇术!$A:$ZZ,10,FALSE)+SUM(_xlfn.XLOOKUP(S131:AG131,增益!$A:$A,增益!$J:$J,0))</f>
        <v>0.15</v>
      </c>
      <c r="AX131">
        <f t="shared" si="25"/>
        <v>0</v>
      </c>
      <c r="AY131">
        <f t="shared" si="26"/>
        <v>0</v>
      </c>
      <c r="AZ131" s="26" cm="1">
        <f t="array" ref="AZ131">IF($F$12-$I$4+VLOOKUP($R131,武学奇术!$A:$ZZ,11,FALSE)+SUM(_xlfn.XLOOKUP(S131:AG131,增益!$A:$A,增益!$K:$K,0))&gt;0,($F$12-$I$4+VLOOKUP($R131,武学奇术!$A:$ZZ,11,FALSE)+SUM(_xlfn.XLOOKUP(S131:AG131,增益!$A:$A,增益!$K:$K,0)))/200,($F$12-$I$4+VLOOKUP($R131,武学奇术!$A:$ZZ,11,FALSE)+SUM(_xlfn.XLOOKUP(S131:AG131,增益!$A:$A,增益!$K:$K,0)))/100)</f>
        <v>-0.3</v>
      </c>
      <c r="BA131" s="26" cm="1">
        <f t="array" ref="BA131">$G$12+VLOOKUP($R131,武学奇术!$A:$ZZ,12,FALSE)+SUM(_xlfn.XLOOKUP(S131:AG131,增益!$A:$A,增益!$L:$L,0))</f>
        <v>0</v>
      </c>
      <c r="BB131">
        <f t="shared" si="27"/>
        <v>0</v>
      </c>
      <c r="BC131">
        <f t="shared" si="28"/>
        <v>0</v>
      </c>
      <c r="BD131" s="26" cm="1">
        <f t="array" ref="BD131">IF($F$13-$I$4+VLOOKUP($R131,武学奇术!$A:$ZZ,13,FALSE)+SUM(_xlfn.XLOOKUP(S131:AG131,增益!$A:$A,增益!$M:$M,0))&gt;0,($F$13-$I$4+VLOOKUP($R131,武学奇术!$A:$ZZ,13,FALSE)+SUM(_xlfn.XLOOKUP(S131:AG131,增益!$A:$A,增益!$K:$K,0)))/200,($F$13-$I$4+VLOOKUP($R131,武学奇术!$A:$ZZ,13,FALSE)+SUM(_xlfn.XLOOKUP(S131:AG131,增益!$A:$A,增益!$M:$M,0)))/100)</f>
        <v>-0.3</v>
      </c>
      <c r="BE131" s="26" cm="1">
        <f t="array" ref="BE131">$G$13+VLOOKUP($R131,武学奇术!$A:$ZZ,14,FALSE)+SUM(_xlfn.XLOOKUP(S131:AG131,增益!$A:$A,增益!$N:$N,0))</f>
        <v>0</v>
      </c>
      <c r="BF131">
        <f t="shared" si="29"/>
        <v>0</v>
      </c>
      <c r="BG131">
        <f t="shared" si="30"/>
        <v>0</v>
      </c>
      <c r="BH131" s="26" cm="1">
        <f t="array" ref="BH131">IF($F$14-$I$4+VLOOKUP($R131,武学奇术!$A:$ZZ,15,FALSE)+SUM(_xlfn.XLOOKUP(S131:AG131,增益!$A:$A,增益!$O:$O,0))&gt;0,($F$14-$I$4+VLOOKUP($R131,武学奇术!$A:$ZZ,15,FALSE)+SUM(_xlfn.XLOOKUP(S131:AG131,增益!$A:$A,增益!$O:$O,0)))/200,($F$14-$I$4+VLOOKUP($R131,武学奇术!$A:$ZZ,15,FALSE)+SUM(_xlfn.XLOOKUP(S131:AG131,增益!$A:$A,增益!$O:$O,0)))/100)</f>
        <v>-0.3</v>
      </c>
      <c r="BI131" s="26" cm="1">
        <f t="array" ref="BI131">$G$14+VLOOKUP($R131,武学奇术!$A:$ZZ,16,FALSE)+SUM(_xlfn.XLOOKUP(S131:AG131,增益!$A:$A,增益!$P:$P,0))</f>
        <v>0</v>
      </c>
      <c r="BJ131" s="21">
        <f>MIN(IF(VLOOKUP($R131,武学奇术!$A:$ZZ,23,FALSE)=1,100%,$B$8),100%)</f>
        <v>0.8229</v>
      </c>
      <c r="BK131" s="21" cm="1">
        <f t="array" ref="BK131">IF(VLOOKUP($R131,武学奇术!$A:$ZZ,23,FALSE)=1,100%,MIN(80%,$B$9+VLOOKUP($R131,武学奇术!$A:$ZZ,17,FALSE)+SUM(_xlfn.XLOOKUP(S131:AG131,增益!$A:$A,增益!$Q:$Q,0)))+$B$11+SUM(_xlfn.XLOOKUP(S131:AG131,增益!$A:$A,增益!$U:$U,0)))*IF(VLOOKUP($R131,武学奇术!$A:$ZZ,24,FALSE)=1,0,1)</f>
        <v>0.2285</v>
      </c>
      <c r="BL131" s="21" cm="1">
        <f t="array" ref="BL131">1+$B$13+VLOOKUP($R131,武学奇术!$A:$ZZ,18,FALSE)+SUM(_xlfn.XLOOKUP(S131:AG131,增益!$A:$A,增益!$R:$R,0))</f>
        <v>1.5</v>
      </c>
      <c r="BM131" s="21" cm="1">
        <f t="array" ref="BM131">IF(VLOOKUP($R131,武学奇术!$A:$ZZ,24,FALSE)=1,100%,MIN(40%,$B$10+VLOOKUP($R131,武学奇术!$A:$ZZ,19,FALSE)+SUM(_xlfn.XLOOKUP(S131:AG131,增益!$A:$A,增益!$S:$S,0)))+$B$12+SUM(_xlfn.XLOOKUP(S131:AG131,增益!$A:$A,增益!$V:$V,0)))*IF(VLOOKUP($R131,武学奇术!$A:$ZZ,23,FALSE)=1,0,1)</f>
        <v>0.4495</v>
      </c>
      <c r="BN131" s="21" cm="1">
        <f t="array" ref="BN131">1+$B$14+VLOOKUP($R131,武学奇术!$A:$ZZ,20,FALSE)+SUM(_xlfn.XLOOKUP(S131:AG131,增益!$A:$A,增益!$T:$T,0))</f>
        <v>1.602</v>
      </c>
      <c r="BO131" s="21">
        <f t="shared" si="31"/>
        <v>0.18803265</v>
      </c>
      <c r="BP131" s="21">
        <f t="shared" si="32"/>
        <v>0.2649738</v>
      </c>
      <c r="BQ131" s="21">
        <f>IF(VLOOKUP($R131,武学奇术!$A:$ZZ,22,FALSE)=1,0,(1-$BJ131))*(1-$BM131)</f>
        <v>0.09749355</v>
      </c>
      <c r="BR131" s="21" cm="1">
        <f t="array" ref="BR131">SUM(_xlfn.XLOOKUP(S131:AG131,增益!$A:$A,增益!$W:$W,0))+$I$5</f>
        <v>0.06</v>
      </c>
    </row>
    <row r="132" spans="11:70">
      <c r="K132" s="24">
        <f>$L132*VLOOKUP($R132,武学奇术!$A:$ZZ,31,FALSE)</f>
        <v>75426.159415882</v>
      </c>
      <c r="L132" s="24">
        <f t="shared" si="22"/>
        <v>125710.265693137</v>
      </c>
      <c r="M132" s="24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BL132*$Q132*(1+IF(VLOOKUP($R132,武学奇术!$A:$ZZ,30,FALSE)="流血",$B$21,0))*(1+$BR132)</f>
        <v>102919.032870865</v>
      </c>
      <c r="N132" s="24">
        <f>(($AP132*$AI132+$AJ132)*(1+$AQ132)*(1+$AR132)+($AU132*IF($G$1="鸣金",$AK132,$AI132)+IF($G$1="鸣金",$AL132*1.5,0))*(1+$AV132)*(1+$AW132)+($AY132*IF($G$1="裂石",$AK132,$AI132)+IF($G$1="裂石",$AL132*1.5,0))*(1+$AZ132)*(1+$BA132)+($BC132*IF($G$1="牵丝",$AK132,$AI132)+IF($G$1="牵丝",$AL132*1.5,0))*(1+$BD132)*(1+$BE132)+($BG132*IF($G$1="破竹",$AK132,$AI132)+IF($G$1="破竹",$AL132*1.5,0))*(1+$BH132)*(1+$BI132))*(1+$AM132)*$BN132*$Q132*(1+IF(VLOOKUP($R132,武学奇术!$A:$ZZ,30,FALSE)="流血",$B$21,0))*(1+$BR132)</f>
        <v>189465.306371025</v>
      </c>
      <c r="O132" s="24">
        <f>((($AO132+$AP132)/2*$AI132+$AJ132)*(1+$AQ132)*(1+$AR132)+(($AT132+$AU132)/2*IF($G$1="鸣金",$AK132,$AI132)+IF($G$1="鸣金",$AL132*1.5,0))*(1+$AV132)*(1+$AW132)+(($AX132+$AY132)/2*IF($G$1="裂石",$AK132,$AI132)+IF($G$1="裂石",$AL132*1.5,0))*(1+$AZ132)*(1+$BA132)+(($BB132+$BC132)/2*IF($G$1="牵丝",$AK132,$AI132)+IF($G$1="牵丝",$AL132*1.5,0))*(1+$BD132)*(1+$BE132)+(($BF132+$BG132)/2*IF($G$1="破竹",$AK132,$AI132)+IF($G$1="破竹",$AL132*1.5,0))*(1+$BH132)*(1+$BI132))*(1+$AM132)*$Q132*(1+IF(VLOOKUP($R132,武学奇术!$A:$ZZ,30,FALSE)="流血",$B$21,0))*(1+$BR132)</f>
        <v>68612.6885805768</v>
      </c>
      <c r="P132" s="24">
        <f>((($AO132*$AI132+$AJ132)*(1+$AQ132)*(1+$AR132)+($AT132*IF($G$1="鸣金",$AK132,$AI132)+IF($G$1="鸣金",$AL132*1.5,0))*(1+$AV132)*(1+$AW132)+($AX132*IF($G$1="裂石",$AK132,$AI132)+IF($G$1="裂石",$AL132*1.5,0))*(1+$AZ132)*(1+$BA132)+($BB132*IF($G$1="牵丝",$AK132,$AI132)+IF($G$1="牵丝",$AL132*1.5,0))*(1+$BD132)*(1+$BE132)+($BF132*IF($G$1="破竹",$AK132,$AI132)+IF($G$1="破竹",$AL132*1.5,0))*(1+$BH132)*(1+$BI132))*(1+$AM132))*$Q132*(1+IF(VLOOKUP($R132,武学奇术!$A:$ZZ,30,FALSE)="流血",$B$21,0))*(1+$BR132)</f>
        <v>30903.6564142262</v>
      </c>
      <c r="Q132" s="31">
        <v>1</v>
      </c>
      <c r="R132" s="32" t="s">
        <v>95</v>
      </c>
      <c r="S132" s="32" t="s">
        <v>87</v>
      </c>
      <c r="T132" s="32" t="s">
        <v>96</v>
      </c>
      <c r="U132" s="32" t="s">
        <v>97</v>
      </c>
      <c r="V132" s="32" t="s">
        <v>98</v>
      </c>
      <c r="W132" s="32" t="s">
        <v>111</v>
      </c>
      <c r="X132" s="32" t="s">
        <v>127</v>
      </c>
      <c r="Y132" s="32" t="s">
        <v>73</v>
      </c>
      <c r="Z132" s="32" t="s">
        <v>73</v>
      </c>
      <c r="AA132" s="32" t="s">
        <v>73</v>
      </c>
      <c r="AB132" s="32" t="s">
        <v>75</v>
      </c>
      <c r="AC132" s="32" t="s">
        <v>76</v>
      </c>
      <c r="AD132" s="32" t="s">
        <v>82</v>
      </c>
      <c r="AE132" s="32" t="s">
        <v>73</v>
      </c>
      <c r="AF132" s="32" t="s">
        <v>73</v>
      </c>
      <c r="AG132" s="32" t="s">
        <v>178</v>
      </c>
      <c r="AH132" t="str">
        <f>VLOOKUP($R132,武学奇术!$A:$ZZ,25,FALSE)</f>
        <v>剑</v>
      </c>
      <c r="AI132" s="21">
        <f>VLOOKUP($R132,武学奇术!$A:$ZZ,26,FALSE)</f>
        <v>2.52</v>
      </c>
      <c r="AJ132" s="22">
        <f>VLOOKUP($R132,武学奇术!$A:$ZZ,27,FALSE)*(1+IF(OR($AH132=$F$4,$AH132=$F$5),$B$22,0))</f>
        <v>0</v>
      </c>
      <c r="AK132" s="21">
        <f>VLOOKUP($R132,武学奇术!$A:$ZZ,28,FALSE)</f>
        <v>3.78</v>
      </c>
      <c r="AL132" s="22">
        <f>VLOOKUP($R132,武学奇术!$A:$ZZ,29,FALSE)*(1+IF(OR($AH132=$F$4,$AH132=$F$5),$B$22,0))</f>
        <v>0</v>
      </c>
      <c r="AM132" s="21" cm="1">
        <f t="array" ref="AM132">$G$3+IFERROR(VLOOKUP($AH132,$F$4:$G$7,2,FALSE),0)+VLOOKUP($R132,武学奇术!$A:$ZZ,2,FALSE)+SUM(_xlfn.XLOOKUP($S132:$AG132,增益!$A:$A,增益!$B:$B,0))</f>
        <v>1.3891</v>
      </c>
      <c r="AN132" s="21" cm="1">
        <f t="array" ref="AN132">VLOOKUP($R132,武学奇术!$A:$ZZ,5,FALSE)+SUM(_xlfn.XLOOKUP($S132:$AG132,增益!$A:$A,增益!$E:$E,0))</f>
        <v>0</v>
      </c>
      <c r="AO132" cm="1">
        <f t="array" ref="AO132">$D$10*(1+$AN132)+VLOOKUP($R132,武学奇术!$A:$ZZ,3,FALSE)+SUM(_xlfn.XLOOKUP($S132:$AG132,增益!$A:$A,增益!$C:$C,0))-$I$2</f>
        <v>1825.28</v>
      </c>
      <c r="AP132" cm="1">
        <f t="array" ref="AP132">$E$10*(1+$AN132)+VLOOKUP($R132,武学奇术!$A:$ZZ,4,FALSE)+SUM(_xlfn.XLOOKUP($S132:$AG132,增益!$A:$A,增益!$D:$D,0))-$I$2</f>
        <v>7757.36</v>
      </c>
      <c r="AQ132" s="26" cm="1">
        <f t="array" ref="AQ132">IF($F$10-$I$3+VLOOKUP($R132,武学奇术!$A:$ZZ,6,FALSE)+SUM(_xlfn.XLOOKUP(S132:AG132,增益!$A:$A,增益!$F:$F,0))&gt;0,($F$10-$I$3+VLOOKUP($R132,武学奇术!$A:$ZZ,6,FALSE)+SUM(_xlfn.XLOOKUP(S132:AG132,增益!$A:$A,增益!$F:$F,0)))/200,($F$10-$I$3+VLOOKUP($R132,武学奇术!$A:$ZZ,6,FALSE)+SUM(_xlfn.XLOOKUP(S132:AG132,增益!$A:$A,增益!$F:$F,0)))/100)</f>
        <v>0.319</v>
      </c>
      <c r="AR132" s="26" cm="1">
        <f t="array" ref="AR132">$G$10+VLOOKUP($R132,武学奇术!$A:$ZZ,7,FALSE)+SUM(_xlfn.XLOOKUP(S132:AG132,增益!$A:$A,增益!$G:$G,0))</f>
        <v>0</v>
      </c>
      <c r="AS132" s="21" cm="1">
        <f t="array" ref="AS132">VLOOKUP($R132,武学奇术!$A:$ZZ,8,FALSE)+SUM(_xlfn.XLOOKUP(S132:AG132,增益!$A:$A,增益!$H:$H,0))</f>
        <v>0</v>
      </c>
      <c r="AT132">
        <f t="shared" si="23"/>
        <v>680.02</v>
      </c>
      <c r="AU132">
        <f t="shared" si="24"/>
        <v>1288.54</v>
      </c>
      <c r="AV132" s="26" cm="1">
        <f t="array" ref="AV132">IF($F$11-$I$4+VLOOKUP($R132,武学奇术!$A:$ZZ,9,FALSE)+SUM(_xlfn.XLOOKUP(S132:AG132,增益!$A:$A,增益!$I:$I,0))&gt;0,($F$11-$I$4+VLOOKUP($R132,武学奇术!$A:$ZZ,9,FALSE)+SUM(_xlfn.XLOOKUP(S132:AG132,增益!$A:$A,增益!$I:$I,0)))/200,($F$11-$I$4+VLOOKUP($R132,武学奇术!$A:$ZZ,9,FALSE)+SUM(_xlfn.XLOOKUP(S132:AG132,增益!$A:$A,增益!$I:$I,0)))/100)</f>
        <v>0.075</v>
      </c>
      <c r="AW132" s="26" cm="1">
        <f t="array" ref="AW132">$G$11+VLOOKUP($R132,武学奇术!$A:$ZZ,10,FALSE)+SUM(_xlfn.XLOOKUP(S132:AG132,增益!$A:$A,增益!$J:$J,0))</f>
        <v>0.15</v>
      </c>
      <c r="AX132">
        <f t="shared" si="25"/>
        <v>0</v>
      </c>
      <c r="AY132">
        <f t="shared" si="26"/>
        <v>0</v>
      </c>
      <c r="AZ132" s="26" cm="1">
        <f t="array" ref="AZ132">IF($F$12-$I$4+VLOOKUP($R132,武学奇术!$A:$ZZ,11,FALSE)+SUM(_xlfn.XLOOKUP(S132:AG132,增益!$A:$A,增益!$K:$K,0))&gt;0,($F$12-$I$4+VLOOKUP($R132,武学奇术!$A:$ZZ,11,FALSE)+SUM(_xlfn.XLOOKUP(S132:AG132,增益!$A:$A,增益!$K:$K,0)))/200,($F$12-$I$4+VLOOKUP($R132,武学奇术!$A:$ZZ,11,FALSE)+SUM(_xlfn.XLOOKUP(S132:AG132,增益!$A:$A,增益!$K:$K,0)))/100)</f>
        <v>-0.3</v>
      </c>
      <c r="BA132" s="26" cm="1">
        <f t="array" ref="BA132">$G$12+VLOOKUP($R132,武学奇术!$A:$ZZ,12,FALSE)+SUM(_xlfn.XLOOKUP(S132:AG132,增益!$A:$A,增益!$L:$L,0))</f>
        <v>0</v>
      </c>
      <c r="BB132">
        <f t="shared" si="27"/>
        <v>0</v>
      </c>
      <c r="BC132">
        <f t="shared" si="28"/>
        <v>0</v>
      </c>
      <c r="BD132" s="26" cm="1">
        <f t="array" ref="BD132">IF($F$13-$I$4+VLOOKUP($R132,武学奇术!$A:$ZZ,13,FALSE)+SUM(_xlfn.XLOOKUP(S132:AG132,增益!$A:$A,增益!$M:$M,0))&gt;0,($F$13-$I$4+VLOOKUP($R132,武学奇术!$A:$ZZ,13,FALSE)+SUM(_xlfn.XLOOKUP(S132:AG132,增益!$A:$A,增益!$K:$K,0)))/200,($F$13-$I$4+VLOOKUP($R132,武学奇术!$A:$ZZ,13,FALSE)+SUM(_xlfn.XLOOKUP(S132:AG132,增益!$A:$A,增益!$M:$M,0)))/100)</f>
        <v>-0.3</v>
      </c>
      <c r="BE132" s="26" cm="1">
        <f t="array" ref="BE132">$G$13+VLOOKUP($R132,武学奇术!$A:$ZZ,14,FALSE)+SUM(_xlfn.XLOOKUP(S132:AG132,增益!$A:$A,增益!$N:$N,0))</f>
        <v>0</v>
      </c>
      <c r="BF132">
        <f t="shared" si="29"/>
        <v>0</v>
      </c>
      <c r="BG132">
        <f t="shared" si="30"/>
        <v>0</v>
      </c>
      <c r="BH132" s="26" cm="1">
        <f t="array" ref="BH132">IF($F$14-$I$4+VLOOKUP($R132,武学奇术!$A:$ZZ,15,FALSE)+SUM(_xlfn.XLOOKUP(S132:AG132,增益!$A:$A,增益!$O:$O,0))&gt;0,($F$14-$I$4+VLOOKUP($R132,武学奇术!$A:$ZZ,15,FALSE)+SUM(_xlfn.XLOOKUP(S132:AG132,增益!$A:$A,增益!$O:$O,0)))/200,($F$14-$I$4+VLOOKUP($R132,武学奇术!$A:$ZZ,15,FALSE)+SUM(_xlfn.XLOOKUP(S132:AG132,增益!$A:$A,增益!$O:$O,0)))/100)</f>
        <v>-0.3</v>
      </c>
      <c r="BI132" s="26" cm="1">
        <f t="array" ref="BI132">$G$14+VLOOKUP($R132,武学奇术!$A:$ZZ,16,FALSE)+SUM(_xlfn.XLOOKUP(S132:AG132,增益!$A:$A,增益!$P:$P,0))</f>
        <v>0</v>
      </c>
      <c r="BJ132" s="21">
        <f>MIN(IF(VLOOKUP($R132,武学奇术!$A:$ZZ,23,FALSE)=1,100%,$B$8),100%)</f>
        <v>0.8229</v>
      </c>
      <c r="BK132" s="21" cm="1">
        <f t="array" ref="BK132">IF(VLOOKUP($R132,武学奇术!$A:$ZZ,23,FALSE)=1,100%,MIN(80%,$B$9+VLOOKUP($R132,武学奇术!$A:$ZZ,17,FALSE)+SUM(_xlfn.XLOOKUP(S132:AG132,增益!$A:$A,增益!$Q:$Q,0)))+$B$11+SUM(_xlfn.XLOOKUP(S132:AG132,增益!$A:$A,增益!$U:$U,0)))*IF(VLOOKUP($R132,武学奇术!$A:$ZZ,24,FALSE)=1,0,1)</f>
        <v>0.2285</v>
      </c>
      <c r="BL132" s="21" cm="1">
        <f t="array" ref="BL132">1+$B$13+VLOOKUP($R132,武学奇术!$A:$ZZ,18,FALSE)+SUM(_xlfn.XLOOKUP(S132:AG132,增益!$A:$A,增益!$R:$R,0))</f>
        <v>1.5</v>
      </c>
      <c r="BM132" s="21" cm="1">
        <f t="array" ref="BM132">IF(VLOOKUP($R132,武学奇术!$A:$ZZ,24,FALSE)=1,100%,MIN(40%,$B$10+VLOOKUP($R132,武学奇术!$A:$ZZ,19,FALSE)+SUM(_xlfn.XLOOKUP(S132:AG132,增益!$A:$A,增益!$S:$S,0)))+$B$12+SUM(_xlfn.XLOOKUP(S132:AG132,增益!$A:$A,增益!$V:$V,0)))*IF(VLOOKUP($R132,武学奇术!$A:$ZZ,23,FALSE)=1,0,1)</f>
        <v>0.4495</v>
      </c>
      <c r="BN132" s="21" cm="1">
        <f t="array" ref="BN132">1+$B$14+VLOOKUP($R132,武学奇术!$A:$ZZ,20,FALSE)+SUM(_xlfn.XLOOKUP(S132:AG132,增益!$A:$A,增益!$T:$T,0))</f>
        <v>1.782</v>
      </c>
      <c r="BO132" s="21">
        <f t="shared" si="31"/>
        <v>0.18803265</v>
      </c>
      <c r="BP132" s="21">
        <f t="shared" si="32"/>
        <v>0.2649738</v>
      </c>
      <c r="BQ132" s="21">
        <f>IF(VLOOKUP($R132,武学奇术!$A:$ZZ,22,FALSE)=1,0,(1-$BJ132))*(1-$BM132)</f>
        <v>0.09749355</v>
      </c>
      <c r="BR132" s="21" cm="1">
        <f t="array" ref="BR132">SUM(_xlfn.XLOOKUP(S132:AG132,增益!$A:$A,增益!$W:$W,0))+$I$5</f>
        <v>0.06</v>
      </c>
    </row>
    <row r="133" spans="11:70">
      <c r="K133" s="24">
        <f>$L133*VLOOKUP($R133,武学奇术!$A:$ZZ,31,FALSE)</f>
        <v>50415.6971566931</v>
      </c>
      <c r="L133" s="24">
        <f t="shared" si="22"/>
        <v>50415.6971566931</v>
      </c>
      <c r="M133" s="24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BL133*$Q133*(1+IF(VLOOKUP($R133,武学奇术!$A:$ZZ,30,FALSE)="流血",$B$21,0))*(1+$BR133)</f>
        <v>45250.0174076716</v>
      </c>
      <c r="N133" s="24">
        <f>(($AP133*$AI133+$AJ133)*(1+$AQ133)*(1+$AR133)+($AU133*IF($G$1="鸣金",$AK133,$AI133)+IF($G$1="鸣金",$AL133*1.5,0))*(1+$AV133)*(1+$AW133)+($AY133*IF($G$1="裂石",$AK133,$AI133)+IF($G$1="裂石",$AL133*1.5,0))*(1+$AZ133)*(1+$BA133)+($BC133*IF($G$1="牵丝",$AK133,$AI133)+IF($G$1="牵丝",$AL133*1.5,0))*(1+$BD133)*(1+$BE133)+($BG133*IF($G$1="破竹",$AK133,$AI133)+IF($G$1="破竹",$AL133*1.5,0))*(1+$BH133)*(1+$BI133))*(1+$AM133)*$BN133*$Q133*(1+IF(VLOOKUP($R133,武学奇术!$A:$ZZ,30,FALSE)="流血",$B$21,0))*(1+$BR133)</f>
        <v>72127.2546215262</v>
      </c>
      <c r="O133" s="24">
        <f>((($AO133+$AP133)/2*$AI133+$AJ133)*(1+$AQ133)*(1+$AR133)+(($AT133+$AU133)/2*IF($G$1="鸣金",$AK133,$AI133)+IF($G$1="鸣金",$AL133*1.5,0))*(1+$AV133)*(1+$AW133)+(($AX133+$AY133)/2*IF($G$1="裂石",$AK133,$AI133)+IF($G$1="裂石",$AL133*1.5,0))*(1+$AZ133)*(1+$BA133)+(($BB133+$BC133)/2*IF($G$1="牵丝",$AK133,$AI133)+IF($G$1="牵丝",$AL133*1.5,0))*(1+$BD133)*(1+$BE133)+(($BF133+$BG133)/2*IF($G$1="破竹",$AK133,$AI133)+IF($G$1="破竹",$AL133*1.5,0))*(1+$BH133)*(1+$BI133))*(1+$AM133)*$Q133*(1+IF(VLOOKUP($R133,武学奇术!$A:$ZZ,30,FALSE)="流血",$B$21,0))*(1+$BR133)</f>
        <v>30166.6782717811</v>
      </c>
      <c r="P133" s="24">
        <f>((($AO133*$AI133+$AJ133)*(1+$AQ133)*(1+$AR133)+($AT133*IF($G$1="鸣金",$AK133,$AI133)+IF($G$1="鸣金",$AL133*1.5,0))*(1+$AV133)*(1+$AW133)+($AX133*IF($G$1="裂石",$AK133,$AI133)+IF($G$1="裂石",$AL133*1.5,0))*(1+$AZ133)*(1+$BA133)+($BB133*IF($G$1="牵丝",$AK133,$AI133)+IF($G$1="牵丝",$AL133*1.5,0))*(1+$BD133)*(1+$BE133)+($BF133*IF($G$1="破竹",$AK133,$AI133)+IF($G$1="破竹",$AL133*1.5,0))*(1+$BH133)*(1+$BI133))*(1+$AM133))*$Q133*(1+IF(VLOOKUP($R133,武学奇术!$A:$ZZ,30,FALSE)="流血",$B$21,0))*(1+$BR133)</f>
        <v>15310.1014739453</v>
      </c>
      <c r="Q133" s="31">
        <v>1</v>
      </c>
      <c r="R133" s="32" t="s">
        <v>80</v>
      </c>
      <c r="S133" s="32" t="s">
        <v>87</v>
      </c>
      <c r="T133" s="32" t="s">
        <v>104</v>
      </c>
      <c r="U133" s="32" t="s">
        <v>73</v>
      </c>
      <c r="V133" s="32" t="s">
        <v>73</v>
      </c>
      <c r="W133" s="32" t="s">
        <v>111</v>
      </c>
      <c r="X133" s="32" t="s">
        <v>127</v>
      </c>
      <c r="Y133" s="32" t="s">
        <v>73</v>
      </c>
      <c r="Z133" s="32" t="s">
        <v>73</v>
      </c>
      <c r="AA133" s="32" t="s">
        <v>73</v>
      </c>
      <c r="AB133" s="32" t="s">
        <v>75</v>
      </c>
      <c r="AC133" s="32" t="s">
        <v>76</v>
      </c>
      <c r="AD133" s="32" t="s">
        <v>82</v>
      </c>
      <c r="AE133" s="32" t="s">
        <v>73</v>
      </c>
      <c r="AF133" s="32" t="s">
        <v>73</v>
      </c>
      <c r="AG133" s="32" t="s">
        <v>178</v>
      </c>
      <c r="AH133" t="str">
        <f>VLOOKUP($R133,武学奇术!$A:$ZZ,25,FALSE)</f>
        <v>枪</v>
      </c>
      <c r="AI133" s="21">
        <f>VLOOKUP($R133,武学奇术!$A:$ZZ,26,FALSE)</f>
        <v>2.1401</v>
      </c>
      <c r="AJ133" s="22">
        <f>VLOOKUP($R133,武学奇术!$A:$ZZ,27,FALSE)*(1+IF(OR($AH133=$F$4,$AH133=$F$5),$B$22,0))</f>
        <v>882</v>
      </c>
      <c r="AK133" s="21">
        <f>VLOOKUP($R133,武学奇术!$A:$ZZ,28,FALSE)</f>
        <v>3.2101</v>
      </c>
      <c r="AL133" s="22">
        <f>VLOOKUP($R133,武学奇术!$A:$ZZ,29,FALSE)*(1+IF(OR($AH133=$F$4,$AH133=$F$5),$B$22,0))</f>
        <v>480</v>
      </c>
      <c r="AM133" s="21" cm="1">
        <f t="array" ref="AM133">$G$3+IFERROR(VLOOKUP($AH133,$F$4:$G$7,2,FALSE),0)+VLOOKUP($R133,武学奇术!$A:$ZZ,2,FALSE)+SUM(_xlfn.XLOOKUP($S133:$AG133,增益!$A:$A,增益!$B:$B,0))</f>
        <v>0.5539</v>
      </c>
      <c r="AN133" s="21" cm="1">
        <f t="array" ref="AN133">VLOOKUP($R133,武学奇术!$A:$ZZ,5,FALSE)+SUM(_xlfn.XLOOKUP($S133:$AG133,增益!$A:$A,增益!$E:$E,0))</f>
        <v>0</v>
      </c>
      <c r="AO133" cm="1">
        <f t="array" ref="AO133">$D$10*(1+$AN133)+VLOOKUP($R133,武学奇术!$A:$ZZ,3,FALSE)+SUM(_xlfn.XLOOKUP($S133:$AG133,增益!$A:$A,增益!$C:$C,0))-$I$2</f>
        <v>1825.28</v>
      </c>
      <c r="AP133" cm="1">
        <f t="array" ref="AP133">$E$10*(1+$AN133)+VLOOKUP($R133,武学奇术!$A:$ZZ,4,FALSE)+SUM(_xlfn.XLOOKUP($S133:$AG133,增益!$A:$A,增益!$D:$D,0))-$I$2</f>
        <v>7757.36</v>
      </c>
      <c r="AQ133" s="26" cm="1">
        <f t="array" ref="AQ133">IF($F$10-$I$3+VLOOKUP($R133,武学奇术!$A:$ZZ,6,FALSE)+SUM(_xlfn.XLOOKUP(S133:AG133,增益!$A:$A,增益!$F:$F,0))&gt;0,($F$10-$I$3+VLOOKUP($R133,武学奇术!$A:$ZZ,6,FALSE)+SUM(_xlfn.XLOOKUP(S133:AG133,增益!$A:$A,增益!$F:$F,0)))/200,($F$10-$I$3+VLOOKUP($R133,武学奇术!$A:$ZZ,6,FALSE)+SUM(_xlfn.XLOOKUP(S133:AG133,增益!$A:$A,增益!$F:$F,0)))/100)</f>
        <v>0.244</v>
      </c>
      <c r="AR133" s="26" cm="1">
        <f t="array" ref="AR133">$G$10+VLOOKUP($R133,武学奇术!$A:$ZZ,7,FALSE)+SUM(_xlfn.XLOOKUP(S133:AG133,增益!$A:$A,增益!$G:$G,0))</f>
        <v>0</v>
      </c>
      <c r="AS133" s="21" cm="1">
        <f t="array" ref="AS133">VLOOKUP($R133,武学奇术!$A:$ZZ,8,FALSE)+SUM(_xlfn.XLOOKUP(S133:AG133,增益!$A:$A,增益!$H:$H,0))</f>
        <v>0</v>
      </c>
      <c r="AT133">
        <f t="shared" si="23"/>
        <v>680.02</v>
      </c>
      <c r="AU133">
        <f t="shared" si="24"/>
        <v>1288.54</v>
      </c>
      <c r="AV133" s="26" cm="1">
        <f t="array" ref="AV133">IF($F$11-$I$4+VLOOKUP($R133,武学奇术!$A:$ZZ,9,FALSE)+SUM(_xlfn.XLOOKUP(S133:AG133,增益!$A:$A,增益!$I:$I,0))&gt;0,($F$11-$I$4+VLOOKUP($R133,武学奇术!$A:$ZZ,9,FALSE)+SUM(_xlfn.XLOOKUP(S133:AG133,增益!$A:$A,增益!$I:$I,0)))/200,($F$11-$I$4+VLOOKUP($R133,武学奇术!$A:$ZZ,9,FALSE)+SUM(_xlfn.XLOOKUP(S133:AG133,增益!$A:$A,增益!$I:$I,0)))/100)</f>
        <v>0</v>
      </c>
      <c r="AW133" s="26" cm="1">
        <f t="array" ref="AW133">$G$11+VLOOKUP($R133,武学奇术!$A:$ZZ,10,FALSE)+SUM(_xlfn.XLOOKUP(S133:AG133,增益!$A:$A,增益!$J:$J,0))</f>
        <v>0.15</v>
      </c>
      <c r="AX133">
        <f t="shared" si="25"/>
        <v>0</v>
      </c>
      <c r="AY133">
        <f t="shared" si="26"/>
        <v>0</v>
      </c>
      <c r="AZ133" s="26" cm="1">
        <f t="array" ref="AZ133">IF($F$12-$I$4+VLOOKUP($R133,武学奇术!$A:$ZZ,11,FALSE)+SUM(_xlfn.XLOOKUP(S133:AG133,增益!$A:$A,增益!$K:$K,0))&gt;0,($F$12-$I$4+VLOOKUP($R133,武学奇术!$A:$ZZ,11,FALSE)+SUM(_xlfn.XLOOKUP(S133:AG133,增益!$A:$A,增益!$K:$K,0)))/200,($F$12-$I$4+VLOOKUP($R133,武学奇术!$A:$ZZ,11,FALSE)+SUM(_xlfn.XLOOKUP(S133:AG133,增益!$A:$A,增益!$K:$K,0)))/100)</f>
        <v>-0.3</v>
      </c>
      <c r="BA133" s="26" cm="1">
        <f t="array" ref="BA133">$G$12+VLOOKUP($R133,武学奇术!$A:$ZZ,12,FALSE)+SUM(_xlfn.XLOOKUP(S133:AG133,增益!$A:$A,增益!$L:$L,0))</f>
        <v>0</v>
      </c>
      <c r="BB133">
        <f t="shared" si="27"/>
        <v>0</v>
      </c>
      <c r="BC133">
        <f t="shared" si="28"/>
        <v>0</v>
      </c>
      <c r="BD133" s="26" cm="1">
        <f t="array" ref="BD133">IF($F$13-$I$4+VLOOKUP($R133,武学奇术!$A:$ZZ,13,FALSE)+SUM(_xlfn.XLOOKUP(S133:AG133,增益!$A:$A,增益!$M:$M,0))&gt;0,($F$13-$I$4+VLOOKUP($R133,武学奇术!$A:$ZZ,13,FALSE)+SUM(_xlfn.XLOOKUP(S133:AG133,增益!$A:$A,增益!$K:$K,0)))/200,($F$13-$I$4+VLOOKUP($R133,武学奇术!$A:$ZZ,13,FALSE)+SUM(_xlfn.XLOOKUP(S133:AG133,增益!$A:$A,增益!$M:$M,0)))/100)</f>
        <v>-0.3</v>
      </c>
      <c r="BE133" s="26" cm="1">
        <f t="array" ref="BE133">$G$13+VLOOKUP($R133,武学奇术!$A:$ZZ,14,FALSE)+SUM(_xlfn.XLOOKUP(S133:AG133,增益!$A:$A,增益!$N:$N,0))</f>
        <v>0</v>
      </c>
      <c r="BF133">
        <f t="shared" si="29"/>
        <v>0</v>
      </c>
      <c r="BG133">
        <f t="shared" si="30"/>
        <v>0</v>
      </c>
      <c r="BH133" s="26" cm="1">
        <f t="array" ref="BH133">IF($F$14-$I$4+VLOOKUP($R133,武学奇术!$A:$ZZ,15,FALSE)+SUM(_xlfn.XLOOKUP(S133:AG133,增益!$A:$A,增益!$O:$O,0))&gt;0,($F$14-$I$4+VLOOKUP($R133,武学奇术!$A:$ZZ,15,FALSE)+SUM(_xlfn.XLOOKUP(S133:AG133,增益!$A:$A,增益!$O:$O,0)))/200,($F$14-$I$4+VLOOKUP($R133,武学奇术!$A:$ZZ,15,FALSE)+SUM(_xlfn.XLOOKUP(S133:AG133,增益!$A:$A,增益!$O:$O,0)))/100)</f>
        <v>-0.3</v>
      </c>
      <c r="BI133" s="26" cm="1">
        <f t="array" ref="BI133">$G$14+VLOOKUP($R133,武学奇术!$A:$ZZ,16,FALSE)+SUM(_xlfn.XLOOKUP(S133:AG133,增益!$A:$A,增益!$P:$P,0))</f>
        <v>0</v>
      </c>
      <c r="BJ133" s="21">
        <f>MIN(IF(VLOOKUP($R133,武学奇术!$A:$ZZ,23,FALSE)=1,100%,$B$8),100%)</f>
        <v>0.8229</v>
      </c>
      <c r="BK133" s="21" cm="1">
        <f t="array" ref="BK133">IF(VLOOKUP($R133,武学奇术!$A:$ZZ,23,FALSE)=1,100%,MIN(80%,$B$9+VLOOKUP($R133,武学奇术!$A:$ZZ,17,FALSE)+SUM(_xlfn.XLOOKUP(S133:AG133,增益!$A:$A,增益!$Q:$Q,0)))+$B$11+SUM(_xlfn.XLOOKUP(S133:AG133,增益!$A:$A,增益!$U:$U,0)))*IF(VLOOKUP($R133,武学奇术!$A:$ZZ,24,FALSE)=1,0,1)</f>
        <v>0.2285</v>
      </c>
      <c r="BL133" s="21" cm="1">
        <f t="array" ref="BL133">1+$B$13+VLOOKUP($R133,武学奇术!$A:$ZZ,18,FALSE)+SUM(_xlfn.XLOOKUP(S133:AG133,增益!$A:$A,增益!$R:$R,0))</f>
        <v>1.5</v>
      </c>
      <c r="BM133" s="21" cm="1">
        <f t="array" ref="BM133">IF(VLOOKUP($R133,武学奇术!$A:$ZZ,24,FALSE)=1,100%,MIN(40%,$B$10+VLOOKUP($R133,武学奇术!$A:$ZZ,19,FALSE)+SUM(_xlfn.XLOOKUP(S133:AG133,增益!$A:$A,增益!$S:$S,0)))+$B$12+SUM(_xlfn.XLOOKUP(S133:AG133,增益!$A:$A,增益!$V:$V,0)))*IF(VLOOKUP($R133,武学奇术!$A:$ZZ,23,FALSE)=1,0,1)</f>
        <v>0.4495</v>
      </c>
      <c r="BN133" s="21" cm="1">
        <f t="array" ref="BN133">1+$B$14+VLOOKUP($R133,武学奇术!$A:$ZZ,20,FALSE)+SUM(_xlfn.XLOOKUP(S133:AG133,增益!$A:$A,增益!$T:$T,0))</f>
        <v>1.602</v>
      </c>
      <c r="BO133" s="21">
        <f t="shared" si="31"/>
        <v>0.18803265</v>
      </c>
      <c r="BP133" s="21">
        <f t="shared" si="32"/>
        <v>0.2649738</v>
      </c>
      <c r="BQ133" s="21">
        <f>IF(VLOOKUP($R133,武学奇术!$A:$ZZ,22,FALSE)=1,0,(1-$BJ133))*(1-$BM133)</f>
        <v>0.09749355</v>
      </c>
      <c r="BR133" s="21" cm="1">
        <f t="array" ref="BR133">SUM(_xlfn.XLOOKUP(S133:AG133,增益!$A:$A,增益!$W:$W,0))+$I$5</f>
        <v>0.06</v>
      </c>
    </row>
    <row r="134" spans="11:70">
      <c r="K134" s="24">
        <f>$L134*VLOOKUP($R134,武学奇术!$A:$ZZ,31,FALSE)</f>
        <v>954241.806235169</v>
      </c>
      <c r="L134" s="24">
        <f t="shared" si="22"/>
        <v>954241.806235169</v>
      </c>
      <c r="M134" s="24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BL134*$Q134*(1+IF(VLOOKUP($R134,武学奇术!$A:$ZZ,30,FALSE)="流血",$B$21,0))*(1+$BR134)</f>
        <v>818459.656045637</v>
      </c>
      <c r="N134" s="24">
        <f>(($AP134*$AI134+$AJ134)*(1+$AQ134)*(1+$AR134)+($AU134*IF($G$1="鸣金",$AK134,$AI134)+IF($G$1="鸣金",$AL134*1.5,0))*(1+$AV134)*(1+$AW134)+($AY134*IF($G$1="裂石",$AK134,$AI134)+IF($G$1="裂石",$AL134*1.5,0))*(1+$AZ134)*(1+$BA134)+($BC134*IF($G$1="牵丝",$AK134,$AI134)+IF($G$1="牵丝",$AL134*1.5,0))*(1+$BD134)*(1+$BE134)+($BG134*IF($G$1="破竹",$AK134,$AI134)+IF($G$1="破竹",$AL134*1.5,0))*(1+$BH134)*(1+$BI134))*(1+$AM134)*$BN134*$Q134*(1+IF(VLOOKUP($R134,武学奇术!$A:$ZZ,30,FALSE)="流血",$B$21,0))*(1+$BR134)</f>
        <v>1340529.62503145</v>
      </c>
      <c r="O134" s="24">
        <f>((($AO134+$AP134)/2*$AI134+$AJ134)*(1+$AQ134)*(1+$AR134)+(($AT134+$AU134)/2*IF($G$1="鸣金",$AK134,$AI134)+IF($G$1="鸣金",$AL134*1.5,0))*(1+$AV134)*(1+$AW134)+(($AX134+$AY134)/2*IF($G$1="裂石",$AK134,$AI134)+IF($G$1="裂石",$AL134*1.5,0))*(1+$AZ134)*(1+$BA134)+(($BB134+$BC134)/2*IF($G$1="牵丝",$AK134,$AI134)+IF($G$1="牵丝",$AL134*1.5,0))*(1+$BD134)*(1+$BE134)+(($BF134+$BG134)/2*IF($G$1="破竹",$AK134,$AI134)+IF($G$1="破竹",$AL134*1.5,0))*(1+$BH134)*(1+$BI134))*(1+$AM134)*$Q134*(1+IF(VLOOKUP($R134,武学奇术!$A:$ZZ,30,FALSE)="流血",$B$21,0))*(1+$BR134)</f>
        <v>545639.770697091</v>
      </c>
      <c r="P134" s="24">
        <f>((($AO134*$AI134+$AJ134)*(1+$AQ134)*(1+$AR134)+($AT134*IF($G$1="鸣金",$AK134,$AI134)+IF($G$1="鸣金",$AL134*1.5,0))*(1+$AV134)*(1+$AW134)+($AX134*IF($G$1="裂石",$AK134,$AI134)+IF($G$1="裂石",$AL134*1.5,0))*(1+$AZ134)*(1+$BA134)+($BB134*IF($G$1="牵丝",$AK134,$AI134)+IF($G$1="牵丝",$AL134*1.5,0))*(1+$BD134)*(1+$BE134)+($BF134*IF($G$1="破竹",$AK134,$AI134)+IF($G$1="破竹",$AL134*1.5,0))*(1+$BH134)*(1+$BI134))*(1+$AM134))*$Q134*(1+IF(VLOOKUP($R134,武学奇术!$A:$ZZ,30,FALSE)="流血",$B$21,0))*(1+$BR134)</f>
        <v>254494.507042466</v>
      </c>
      <c r="Q134" s="31">
        <v>1</v>
      </c>
      <c r="R134" s="32" t="s">
        <v>193</v>
      </c>
      <c r="S134" s="32" t="s">
        <v>87</v>
      </c>
      <c r="T134" s="32" t="s">
        <v>104</v>
      </c>
      <c r="U134" s="32" t="s">
        <v>73</v>
      </c>
      <c r="V134" s="32" t="s">
        <v>73</v>
      </c>
      <c r="W134" s="32" t="s">
        <v>111</v>
      </c>
      <c r="X134" s="32" t="s">
        <v>127</v>
      </c>
      <c r="Y134" s="32" t="s">
        <v>179</v>
      </c>
      <c r="Z134" s="32" t="s">
        <v>182</v>
      </c>
      <c r="AA134" s="32" t="s">
        <v>81</v>
      </c>
      <c r="AB134" s="32" t="s">
        <v>75</v>
      </c>
      <c r="AC134" s="32" t="s">
        <v>89</v>
      </c>
      <c r="AD134" s="32" t="s">
        <v>82</v>
      </c>
      <c r="AE134" s="32" t="s">
        <v>183</v>
      </c>
      <c r="AF134" s="32" t="s">
        <v>73</v>
      </c>
      <c r="AG134" s="32" t="s">
        <v>178</v>
      </c>
      <c r="AH134" t="str">
        <f>VLOOKUP($R134,武学奇术!$A:$ZZ,25,FALSE)</f>
        <v>单体奇术</v>
      </c>
      <c r="AI134" s="21">
        <f>VLOOKUP($R134,武学奇术!$A:$ZZ,26,FALSE)</f>
        <v>25.201792</v>
      </c>
      <c r="AJ134" s="22">
        <f>VLOOKUP($R134,武学奇术!$A:$ZZ,27,FALSE)*(1+IF(OR($AH134=$F$4,$AH134=$F$5),$B$22,0))</f>
        <v>4869.48</v>
      </c>
      <c r="AK134" s="21">
        <f>VLOOKUP($R134,武学奇术!$A:$ZZ,28,FALSE)</f>
        <v>37.802688</v>
      </c>
      <c r="AL134" s="22">
        <f>VLOOKUP($R134,武学奇术!$A:$ZZ,29,FALSE)*(1+IF(OR($AH134=$F$4,$AH134=$F$5),$B$22,0))</f>
        <v>0</v>
      </c>
      <c r="AM134" s="21" cm="1">
        <f t="array" ref="AM134">$G$3+IFERROR(VLOOKUP($AH134,$F$4:$G$7,2,FALSE),0)+VLOOKUP($R134,武学奇术!$A:$ZZ,2,FALSE)+SUM(_xlfn.XLOOKUP($S134:$AG134,增益!$A:$A,增益!$B:$B,0))</f>
        <v>1.363</v>
      </c>
      <c r="AN134" s="21" cm="1">
        <f t="array" ref="AN134">VLOOKUP($R134,武学奇术!$A:$ZZ,5,FALSE)+SUM(_xlfn.XLOOKUP($S134:$AG134,增益!$A:$A,增益!$E:$E,0))</f>
        <v>0</v>
      </c>
      <c r="AO134" cm="1">
        <f t="array" ref="AO134">$D$10*(1+$AN134)+VLOOKUP($R134,武学奇术!$A:$ZZ,3,FALSE)+SUM(_xlfn.XLOOKUP($S134:$AG134,增益!$A:$A,增益!$C:$C,0))-$I$2</f>
        <v>1825.28</v>
      </c>
      <c r="AP134" cm="1">
        <f t="array" ref="AP134">$E$10*(1+$AN134)+VLOOKUP($R134,武学奇术!$A:$ZZ,4,FALSE)+SUM(_xlfn.XLOOKUP($S134:$AG134,增益!$A:$A,增益!$D:$D,0))-$I$2</f>
        <v>7757.36</v>
      </c>
      <c r="AQ134" s="26" cm="1">
        <f t="array" ref="AQ134">IF($F$10-$I$3+VLOOKUP($R134,武学奇术!$A:$ZZ,6,FALSE)+SUM(_xlfn.XLOOKUP(S134:AG134,增益!$A:$A,增益!$F:$F,0))&gt;0,($F$10-$I$3+VLOOKUP($R134,武学奇术!$A:$ZZ,6,FALSE)+SUM(_xlfn.XLOOKUP(S134:AG134,增益!$A:$A,增益!$F:$F,0)))/200,($F$10-$I$3+VLOOKUP($R134,武学奇术!$A:$ZZ,6,FALSE)+SUM(_xlfn.XLOOKUP(S134:AG134,增益!$A:$A,增益!$F:$F,0)))/100)</f>
        <v>0.244</v>
      </c>
      <c r="AR134" s="26" cm="1">
        <f t="array" ref="AR134">$G$10+VLOOKUP($R134,武学奇术!$A:$ZZ,7,FALSE)+SUM(_xlfn.XLOOKUP(S134:AG134,增益!$A:$A,增益!$G:$G,0))</f>
        <v>0</v>
      </c>
      <c r="AS134" s="21" cm="1">
        <f t="array" ref="AS134">VLOOKUP($R134,武学奇术!$A:$ZZ,8,FALSE)+SUM(_xlfn.XLOOKUP(S134:AG134,增益!$A:$A,增益!$H:$H,0))</f>
        <v>0</v>
      </c>
      <c r="AT134">
        <f t="shared" si="23"/>
        <v>680.02</v>
      </c>
      <c r="AU134">
        <f t="shared" si="24"/>
        <v>1288.54</v>
      </c>
      <c r="AV134" s="26" cm="1">
        <f t="array" ref="AV134">IF($F$11-$I$4+VLOOKUP($R134,武学奇术!$A:$ZZ,9,FALSE)+SUM(_xlfn.XLOOKUP(S134:AG134,增益!$A:$A,增益!$I:$I,0))&gt;0,($F$11-$I$4+VLOOKUP($R134,武学奇术!$A:$ZZ,9,FALSE)+SUM(_xlfn.XLOOKUP(S134:AG134,增益!$A:$A,增益!$I:$I,0)))/200,($F$11-$I$4+VLOOKUP($R134,武学奇术!$A:$ZZ,9,FALSE)+SUM(_xlfn.XLOOKUP(S134:AG134,增益!$A:$A,增益!$I:$I,0)))/100)</f>
        <v>0</v>
      </c>
      <c r="AW134" s="26" cm="1">
        <f t="array" ref="AW134">$G$11+VLOOKUP($R134,武学奇术!$A:$ZZ,10,FALSE)+SUM(_xlfn.XLOOKUP(S134:AG134,增益!$A:$A,增益!$J:$J,0))</f>
        <v>0.15</v>
      </c>
      <c r="AX134">
        <f t="shared" si="25"/>
        <v>0</v>
      </c>
      <c r="AY134">
        <f t="shared" si="26"/>
        <v>0</v>
      </c>
      <c r="AZ134" s="26" cm="1">
        <f t="array" ref="AZ134">IF($F$12-$I$4+VLOOKUP($R134,武学奇术!$A:$ZZ,11,FALSE)+SUM(_xlfn.XLOOKUP(S134:AG134,增益!$A:$A,增益!$K:$K,0))&gt;0,($F$12-$I$4+VLOOKUP($R134,武学奇术!$A:$ZZ,11,FALSE)+SUM(_xlfn.XLOOKUP(S134:AG134,增益!$A:$A,增益!$K:$K,0)))/200,($F$12-$I$4+VLOOKUP($R134,武学奇术!$A:$ZZ,11,FALSE)+SUM(_xlfn.XLOOKUP(S134:AG134,增益!$A:$A,增益!$K:$K,0)))/100)</f>
        <v>-0.3</v>
      </c>
      <c r="BA134" s="26" cm="1">
        <f t="array" ref="BA134">$G$12+VLOOKUP($R134,武学奇术!$A:$ZZ,12,FALSE)+SUM(_xlfn.XLOOKUP(S134:AG134,增益!$A:$A,增益!$L:$L,0))</f>
        <v>0</v>
      </c>
      <c r="BB134">
        <f t="shared" si="27"/>
        <v>0</v>
      </c>
      <c r="BC134">
        <f t="shared" si="28"/>
        <v>0</v>
      </c>
      <c r="BD134" s="26" cm="1">
        <f t="array" ref="BD134">IF($F$13-$I$4+VLOOKUP($R134,武学奇术!$A:$ZZ,13,FALSE)+SUM(_xlfn.XLOOKUP(S134:AG134,增益!$A:$A,增益!$M:$M,0))&gt;0,($F$13-$I$4+VLOOKUP($R134,武学奇术!$A:$ZZ,13,FALSE)+SUM(_xlfn.XLOOKUP(S134:AG134,增益!$A:$A,增益!$K:$K,0)))/200,($F$13-$I$4+VLOOKUP($R134,武学奇术!$A:$ZZ,13,FALSE)+SUM(_xlfn.XLOOKUP(S134:AG134,增益!$A:$A,增益!$M:$M,0)))/100)</f>
        <v>-0.3</v>
      </c>
      <c r="BE134" s="26" cm="1">
        <f t="array" ref="BE134">$G$13+VLOOKUP($R134,武学奇术!$A:$ZZ,14,FALSE)+SUM(_xlfn.XLOOKUP(S134:AG134,增益!$A:$A,增益!$N:$N,0))</f>
        <v>0</v>
      </c>
      <c r="BF134">
        <f t="shared" si="29"/>
        <v>0</v>
      </c>
      <c r="BG134">
        <f t="shared" si="30"/>
        <v>0</v>
      </c>
      <c r="BH134" s="26" cm="1">
        <f t="array" ref="BH134">IF($F$14-$I$4+VLOOKUP($R134,武学奇术!$A:$ZZ,15,FALSE)+SUM(_xlfn.XLOOKUP(S134:AG134,增益!$A:$A,增益!$O:$O,0))&gt;0,($F$14-$I$4+VLOOKUP($R134,武学奇术!$A:$ZZ,15,FALSE)+SUM(_xlfn.XLOOKUP(S134:AG134,增益!$A:$A,增益!$O:$O,0)))/200,($F$14-$I$4+VLOOKUP($R134,武学奇术!$A:$ZZ,15,FALSE)+SUM(_xlfn.XLOOKUP(S134:AG134,增益!$A:$A,增益!$O:$O,0)))/100)</f>
        <v>-0.3</v>
      </c>
      <c r="BI134" s="26" cm="1">
        <f t="array" ref="BI134">$G$14+VLOOKUP($R134,武学奇术!$A:$ZZ,16,FALSE)+SUM(_xlfn.XLOOKUP(S134:AG134,增益!$A:$A,增益!$P:$P,0))</f>
        <v>0</v>
      </c>
      <c r="BJ134" s="21">
        <f>MIN(IF(VLOOKUP($R134,武学奇术!$A:$ZZ,23,FALSE)=1,100%,$B$8),100%)</f>
        <v>0.8229</v>
      </c>
      <c r="BK134" s="21" cm="1">
        <f t="array" ref="BK134">IF(VLOOKUP($R134,武学奇术!$A:$ZZ,23,FALSE)=1,100%,MIN(80%,$B$9+VLOOKUP($R134,武学奇术!$A:$ZZ,17,FALSE)+SUM(_xlfn.XLOOKUP(S134:AG134,增益!$A:$A,增益!$Q:$Q,0)))+$B$11+SUM(_xlfn.XLOOKUP(S134:AG134,增益!$A:$A,增益!$U:$U,0)))*IF(VLOOKUP($R134,武学奇术!$A:$ZZ,24,FALSE)=1,0,1)</f>
        <v>0.2285</v>
      </c>
      <c r="BL134" s="21" cm="1">
        <f t="array" ref="BL134">1+$B$13+VLOOKUP($R134,武学奇术!$A:$ZZ,18,FALSE)+SUM(_xlfn.XLOOKUP(S134:AG134,增益!$A:$A,增益!$R:$R,0))</f>
        <v>1.5</v>
      </c>
      <c r="BM134" s="21" cm="1">
        <f t="array" ref="BM134">IF(VLOOKUP($R134,武学奇术!$A:$ZZ,24,FALSE)=1,100%,MIN(40%,$B$10+VLOOKUP($R134,武学奇术!$A:$ZZ,19,FALSE)+SUM(_xlfn.XLOOKUP(S134:AG134,增益!$A:$A,增益!$S:$S,0)))+$B$12+SUM(_xlfn.XLOOKUP(S134:AG134,增益!$A:$A,增益!$V:$V,0)))*IF(VLOOKUP($R134,武学奇术!$A:$ZZ,23,FALSE)=1,0,1)</f>
        <v>0.4495</v>
      </c>
      <c r="BN134" s="21" cm="1">
        <f t="array" ref="BN134">1+$B$14+VLOOKUP($R134,武学奇术!$A:$ZZ,20,FALSE)+SUM(_xlfn.XLOOKUP(S134:AG134,增益!$A:$A,增益!$T:$T,0))</f>
        <v>1.602</v>
      </c>
      <c r="BO134" s="21">
        <f t="shared" si="31"/>
        <v>0.18803265</v>
      </c>
      <c r="BP134" s="21">
        <f t="shared" si="32"/>
        <v>0.36246735</v>
      </c>
      <c r="BQ134" s="21">
        <f>IF(VLOOKUP($R134,武学奇术!$A:$ZZ,22,FALSE)=1,0,(1-$BJ134))*(1-$BM134)</f>
        <v>0</v>
      </c>
      <c r="BR134" s="21" cm="1">
        <f t="array" ref="BR134">SUM(_xlfn.XLOOKUP(S134:AG134,增益!$A:$A,增益!$W:$W,0))+$I$5</f>
        <v>0.16</v>
      </c>
    </row>
    <row r="135" spans="11:70">
      <c r="K135" s="24">
        <f>$L135*VLOOKUP($R135,武学奇术!$A:$ZZ,31,FALSE)</f>
        <v>37586.3051244018</v>
      </c>
      <c r="L135" s="24">
        <f t="shared" si="22"/>
        <v>37586.3051244018</v>
      </c>
      <c r="M135" s="24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BL135*$Q135*(1+IF(VLOOKUP($R135,武学奇术!$A:$ZZ,30,FALSE)="流血",$B$21,0))*(1+$BR135)</f>
        <v>33711.1905068228</v>
      </c>
      <c r="N135" s="24">
        <f>(($AP135*$AI135+$AJ135)*(1+$AQ135)*(1+$AR135)+($AU135*IF($G$1="鸣金",$AK135,$AI135)+IF($G$1="鸣金",$AL135*1.5,0))*(1+$AV135)*(1+$AW135)+($AY135*IF($G$1="裂石",$AK135,$AI135)+IF($G$1="裂石",$AL135*1.5,0))*(1+$AZ135)*(1+$BA135)+($BC135*IF($G$1="牵丝",$AK135,$AI135)+IF($G$1="牵丝",$AL135*1.5,0))*(1+$BD135)*(1+$BE135)+($BG135*IF($G$1="破竹",$AK135,$AI135)+IF($G$1="破竹",$AL135*1.5,0))*(1+$BH135)*(1+$BI135))*(1+$AM135)*$BN135*$Q135*(1+IF(VLOOKUP($R135,武学奇术!$A:$ZZ,30,FALSE)="流血",$B$21,0))*(1+$BR135)</f>
        <v>53803.3679113254</v>
      </c>
      <c r="O135" s="24">
        <f>((($AO135+$AP135)/2*$AI135+$AJ135)*(1+$AQ135)*(1+$AR135)+(($AT135+$AU135)/2*IF($G$1="鸣金",$AK135,$AI135)+IF($G$1="鸣金",$AL135*1.5,0))*(1+$AV135)*(1+$AW135)+(($AX135+$AY135)/2*IF($G$1="裂石",$AK135,$AI135)+IF($G$1="裂石",$AL135*1.5,0))*(1+$AZ135)*(1+$BA135)+(($BB135+$BC135)/2*IF($G$1="牵丝",$AK135,$AI135)+IF($G$1="牵丝",$AL135*1.5,0))*(1+$BD135)*(1+$BE135)+(($BF135+$BG135)/2*IF($G$1="破竹",$AK135,$AI135)+IF($G$1="破竹",$AL135*1.5,0))*(1+$BH135)*(1+$BI135))*(1+$AM135)*$Q135*(1+IF(VLOOKUP($R135,武学奇术!$A:$ZZ,30,FALSE)="流血",$B$21,0))*(1+$BR135)</f>
        <v>22474.1270045485</v>
      </c>
      <c r="P135" s="24">
        <f>((($AO135*$AI135+$AJ135)*(1+$AQ135)*(1+$AR135)+($AT135*IF($G$1="鸣金",$AK135,$AI135)+IF($G$1="鸣金",$AL135*1.5,0))*(1+$AV135)*(1+$AW135)+($AX135*IF($G$1="裂石",$AK135,$AI135)+IF($G$1="裂石",$AL135*1.5,0))*(1+$AZ135)*(1+$BA135)+($BB135*IF($G$1="牵丝",$AK135,$AI135)+IF($G$1="牵丝",$AL135*1.5,0))*(1+$BD135)*(1+$BE135)+($BF135*IF($G$1="破竹",$AK135,$AI135)+IF($G$1="破竹",$AL135*1.5,0))*(1+$BH135)*(1+$BI135))*(1+$AM135))*$Q135*(1+IF(VLOOKUP($R135,武学奇术!$A:$ZZ,30,FALSE)="流血",$B$21,0))*(1+$BR135)</f>
        <v>11363.1304689438</v>
      </c>
      <c r="Q135" s="31">
        <v>1</v>
      </c>
      <c r="R135" s="32" t="s">
        <v>86</v>
      </c>
      <c r="S135" s="32" t="s">
        <v>87</v>
      </c>
      <c r="T135" s="32" t="s">
        <v>104</v>
      </c>
      <c r="U135" s="32" t="s">
        <v>73</v>
      </c>
      <c r="V135" s="32" t="s">
        <v>73</v>
      </c>
      <c r="W135" s="32" t="s">
        <v>73</v>
      </c>
      <c r="X135" s="32" t="s">
        <v>127</v>
      </c>
      <c r="Y135" s="32" t="s">
        <v>179</v>
      </c>
      <c r="Z135" s="32" t="s">
        <v>182</v>
      </c>
      <c r="AA135" s="32" t="s">
        <v>81</v>
      </c>
      <c r="AB135" s="32" t="s">
        <v>75</v>
      </c>
      <c r="AC135" s="32" t="s">
        <v>89</v>
      </c>
      <c r="AD135" s="32" t="s">
        <v>82</v>
      </c>
      <c r="AE135" s="32" t="s">
        <v>183</v>
      </c>
      <c r="AF135" s="32" t="s">
        <v>73</v>
      </c>
      <c r="AG135" s="32" t="s">
        <v>178</v>
      </c>
      <c r="AH135" t="str">
        <f>VLOOKUP($R135,武学奇术!$A:$ZZ,25,FALSE)</f>
        <v>剑</v>
      </c>
      <c r="AI135" s="21">
        <f>VLOOKUP($R135,武学奇术!$A:$ZZ,26,FALSE)</f>
        <v>1.1781</v>
      </c>
      <c r="AJ135" s="22">
        <f>VLOOKUP($R135,武学奇术!$A:$ZZ,27,FALSE)*(1+IF(OR($AH135=$F$4,$AH135=$F$5),$B$22,0))</f>
        <v>489</v>
      </c>
      <c r="AK135" s="21">
        <f>VLOOKUP($R135,武学奇术!$A:$ZZ,28,FALSE)</f>
        <v>1.7672</v>
      </c>
      <c r="AL135" s="22">
        <f>VLOOKUP($R135,武学奇术!$A:$ZZ,29,FALSE)*(1+IF(OR($AH135=$F$4,$AH135=$F$5),$B$22,0))</f>
        <v>265.5</v>
      </c>
      <c r="AM135" s="21" cm="1">
        <f t="array" ref="AM135">$G$3+IFERROR(VLOOKUP($AH135,$F$4:$G$7,2,FALSE),0)+VLOOKUP($R135,武学奇术!$A:$ZZ,2,FALSE)+SUM(_xlfn.XLOOKUP($S135:$AG135,增益!$A:$A,增益!$B:$B,0))</f>
        <v>0.9291</v>
      </c>
      <c r="AN135" s="21" cm="1">
        <f t="array" ref="AN135">VLOOKUP($R135,武学奇术!$A:$ZZ,5,FALSE)+SUM(_xlfn.XLOOKUP($S135:$AG135,增益!$A:$A,增益!$E:$E,0))</f>
        <v>0</v>
      </c>
      <c r="AO135" cm="1">
        <f t="array" ref="AO135">$D$10*(1+$AN135)+VLOOKUP($R135,武学奇术!$A:$ZZ,3,FALSE)+SUM(_xlfn.XLOOKUP($S135:$AG135,增益!$A:$A,增益!$C:$C,0))-$I$2</f>
        <v>1794.28</v>
      </c>
      <c r="AP135" cm="1">
        <f t="array" ref="AP135">$E$10*(1+$AN135)+VLOOKUP($R135,武学奇术!$A:$ZZ,4,FALSE)+SUM(_xlfn.XLOOKUP($S135:$AG135,增益!$A:$A,增益!$D:$D,0))-$I$2</f>
        <v>7726.36</v>
      </c>
      <c r="AQ135" s="26" cm="1">
        <f t="array" ref="AQ135">IF($F$10-$I$3+VLOOKUP($R135,武学奇术!$A:$ZZ,6,FALSE)+SUM(_xlfn.XLOOKUP(S135:AG135,增益!$A:$A,增益!$F:$F,0))&gt;0,($F$10-$I$3+VLOOKUP($R135,武学奇术!$A:$ZZ,6,FALSE)+SUM(_xlfn.XLOOKUP(S135:AG135,增益!$A:$A,增益!$F:$F,0)))/200,($F$10-$I$3+VLOOKUP($R135,武学奇术!$A:$ZZ,6,FALSE)+SUM(_xlfn.XLOOKUP(S135:AG135,增益!$A:$A,增益!$F:$F,0)))/100)</f>
        <v>0.244</v>
      </c>
      <c r="AR135" s="26" cm="1">
        <f t="array" ref="AR135">$G$10+VLOOKUP($R135,武学奇术!$A:$ZZ,7,FALSE)+SUM(_xlfn.XLOOKUP(S135:AG135,增益!$A:$A,增益!$G:$G,0))</f>
        <v>0</v>
      </c>
      <c r="AS135" s="21" cm="1">
        <f t="array" ref="AS135">VLOOKUP($R135,武学奇术!$A:$ZZ,8,FALSE)+SUM(_xlfn.XLOOKUP(S135:AG135,增益!$A:$A,增益!$H:$H,0))</f>
        <v>0</v>
      </c>
      <c r="AT135">
        <f t="shared" si="23"/>
        <v>680.02</v>
      </c>
      <c r="AU135">
        <f t="shared" si="24"/>
        <v>1288.54</v>
      </c>
      <c r="AV135" s="26" cm="1">
        <f t="array" ref="AV135">IF($F$11-$I$4+VLOOKUP($R135,武学奇术!$A:$ZZ,9,FALSE)+SUM(_xlfn.XLOOKUP(S135:AG135,增益!$A:$A,增益!$I:$I,0))&gt;0,($F$11-$I$4+VLOOKUP($R135,武学奇术!$A:$ZZ,9,FALSE)+SUM(_xlfn.XLOOKUP(S135:AG135,增益!$A:$A,增益!$I:$I,0)))/200,($F$11-$I$4+VLOOKUP($R135,武学奇术!$A:$ZZ,9,FALSE)+SUM(_xlfn.XLOOKUP(S135:AG135,增益!$A:$A,增益!$I:$I,0)))/100)</f>
        <v>0</v>
      </c>
      <c r="AW135" s="26" cm="1">
        <f t="array" ref="AW135">$G$11+VLOOKUP($R135,武学奇术!$A:$ZZ,10,FALSE)+SUM(_xlfn.XLOOKUP(S135:AG135,增益!$A:$A,增益!$J:$J,0))</f>
        <v>0.15</v>
      </c>
      <c r="AX135">
        <f t="shared" si="25"/>
        <v>0</v>
      </c>
      <c r="AY135">
        <f t="shared" si="26"/>
        <v>0</v>
      </c>
      <c r="AZ135" s="26" cm="1">
        <f t="array" ref="AZ135">IF($F$12-$I$4+VLOOKUP($R135,武学奇术!$A:$ZZ,11,FALSE)+SUM(_xlfn.XLOOKUP(S135:AG135,增益!$A:$A,增益!$K:$K,0))&gt;0,($F$12-$I$4+VLOOKUP($R135,武学奇术!$A:$ZZ,11,FALSE)+SUM(_xlfn.XLOOKUP(S135:AG135,增益!$A:$A,增益!$K:$K,0)))/200,($F$12-$I$4+VLOOKUP($R135,武学奇术!$A:$ZZ,11,FALSE)+SUM(_xlfn.XLOOKUP(S135:AG135,增益!$A:$A,增益!$K:$K,0)))/100)</f>
        <v>-0.3</v>
      </c>
      <c r="BA135" s="26" cm="1">
        <f t="array" ref="BA135">$G$12+VLOOKUP($R135,武学奇术!$A:$ZZ,12,FALSE)+SUM(_xlfn.XLOOKUP(S135:AG135,增益!$A:$A,增益!$L:$L,0))</f>
        <v>0</v>
      </c>
      <c r="BB135">
        <f t="shared" si="27"/>
        <v>0</v>
      </c>
      <c r="BC135">
        <f t="shared" si="28"/>
        <v>0</v>
      </c>
      <c r="BD135" s="26" cm="1">
        <f t="array" ref="BD135">IF($F$13-$I$4+VLOOKUP($R135,武学奇术!$A:$ZZ,13,FALSE)+SUM(_xlfn.XLOOKUP(S135:AG135,增益!$A:$A,增益!$M:$M,0))&gt;0,($F$13-$I$4+VLOOKUP($R135,武学奇术!$A:$ZZ,13,FALSE)+SUM(_xlfn.XLOOKUP(S135:AG135,增益!$A:$A,增益!$K:$K,0)))/200,($F$13-$I$4+VLOOKUP($R135,武学奇术!$A:$ZZ,13,FALSE)+SUM(_xlfn.XLOOKUP(S135:AG135,增益!$A:$A,增益!$M:$M,0)))/100)</f>
        <v>-0.3</v>
      </c>
      <c r="BE135" s="26" cm="1">
        <f t="array" ref="BE135">$G$13+VLOOKUP($R135,武学奇术!$A:$ZZ,14,FALSE)+SUM(_xlfn.XLOOKUP(S135:AG135,增益!$A:$A,增益!$N:$N,0))</f>
        <v>0</v>
      </c>
      <c r="BF135">
        <f t="shared" si="29"/>
        <v>0</v>
      </c>
      <c r="BG135">
        <f t="shared" si="30"/>
        <v>0</v>
      </c>
      <c r="BH135" s="26" cm="1">
        <f t="array" ref="BH135">IF($F$14-$I$4+VLOOKUP($R135,武学奇术!$A:$ZZ,15,FALSE)+SUM(_xlfn.XLOOKUP(S135:AG135,增益!$A:$A,增益!$O:$O,0))&gt;0,($F$14-$I$4+VLOOKUP($R135,武学奇术!$A:$ZZ,15,FALSE)+SUM(_xlfn.XLOOKUP(S135:AG135,增益!$A:$A,增益!$O:$O,0)))/200,($F$14-$I$4+VLOOKUP($R135,武学奇术!$A:$ZZ,15,FALSE)+SUM(_xlfn.XLOOKUP(S135:AG135,增益!$A:$A,增益!$O:$O,0)))/100)</f>
        <v>-0.3</v>
      </c>
      <c r="BI135" s="26" cm="1">
        <f t="array" ref="BI135">$G$14+VLOOKUP($R135,武学奇术!$A:$ZZ,16,FALSE)+SUM(_xlfn.XLOOKUP(S135:AG135,增益!$A:$A,增益!$P:$P,0))</f>
        <v>0</v>
      </c>
      <c r="BJ135" s="21">
        <f>MIN(IF(VLOOKUP($R135,武学奇术!$A:$ZZ,23,FALSE)=1,100%,$B$8),100%)</f>
        <v>0.8229</v>
      </c>
      <c r="BK135" s="21" cm="1">
        <f t="array" ref="BK135">IF(VLOOKUP($R135,武学奇术!$A:$ZZ,23,FALSE)=1,100%,MIN(80%,$B$9+VLOOKUP($R135,武学奇术!$A:$ZZ,17,FALSE)+SUM(_xlfn.XLOOKUP(S135:AG135,增益!$A:$A,增益!$Q:$Q,0)))+$B$11+SUM(_xlfn.XLOOKUP(S135:AG135,增益!$A:$A,增益!$U:$U,0)))*IF(VLOOKUP($R135,武学奇术!$A:$ZZ,24,FALSE)=1,0,1)</f>
        <v>0.2285</v>
      </c>
      <c r="BL135" s="21" cm="1">
        <f t="array" ref="BL135">1+$B$13+VLOOKUP($R135,武学奇术!$A:$ZZ,18,FALSE)+SUM(_xlfn.XLOOKUP(S135:AG135,增益!$A:$A,增益!$R:$R,0))</f>
        <v>1.5</v>
      </c>
      <c r="BM135" s="21" cm="1">
        <f t="array" ref="BM135">IF(VLOOKUP($R135,武学奇术!$A:$ZZ,24,FALSE)=1,100%,MIN(40%,$B$10+VLOOKUP($R135,武学奇术!$A:$ZZ,19,FALSE)+SUM(_xlfn.XLOOKUP(S135:AG135,增益!$A:$A,增益!$S:$S,0)))+$B$12+SUM(_xlfn.XLOOKUP(S135:AG135,增益!$A:$A,增益!$V:$V,0)))*IF(VLOOKUP($R135,武学奇术!$A:$ZZ,23,FALSE)=1,0,1)</f>
        <v>0.4495</v>
      </c>
      <c r="BN135" s="21" cm="1">
        <f t="array" ref="BN135">1+$B$14+VLOOKUP($R135,武学奇术!$A:$ZZ,20,FALSE)+SUM(_xlfn.XLOOKUP(S135:AG135,增益!$A:$A,增益!$T:$T,0))</f>
        <v>1.602</v>
      </c>
      <c r="BO135" s="21">
        <f t="shared" si="31"/>
        <v>0.18803265</v>
      </c>
      <c r="BP135" s="21">
        <f t="shared" si="32"/>
        <v>0.2649738</v>
      </c>
      <c r="BQ135" s="21">
        <f>IF(VLOOKUP($R135,武学奇术!$A:$ZZ,22,FALSE)=1,0,(1-$BJ135))*(1-$BM135)</f>
        <v>0.09749355</v>
      </c>
      <c r="BR135" s="21" cm="1">
        <f t="array" ref="BR135">SUM(_xlfn.XLOOKUP(S135:AG135,增益!$A:$A,增益!$W:$W,0))+$I$5</f>
        <v>0.16</v>
      </c>
    </row>
    <row r="136" spans="11:70">
      <c r="K136" s="24">
        <f>$L136*VLOOKUP($R136,武学奇术!$A:$ZZ,31,FALSE)</f>
        <v>139052.377040646</v>
      </c>
      <c r="L136" s="24">
        <f t="shared" si="22"/>
        <v>231753.961734409</v>
      </c>
      <c r="M136" s="24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BL136*$Q136*(1+IF(VLOOKUP($R136,武学奇术!$A:$ZZ,30,FALSE)="流血",$B$21,0))*(1+$BR136)</f>
        <v>125665.684756884</v>
      </c>
      <c r="N136" s="24">
        <f>(($AP136*$AI136+$AJ136)*(1+$AQ136)*(1+$AR136)+($AU136*IF($G$1="鸣金",$AK136,$AI136)+IF($G$1="鸣金",$AL136*1.5,0))*(1+$AV136)*(1+$AW136)+($AY136*IF($G$1="裂石",$AK136,$AI136)+IF($G$1="裂石",$AL136*1.5,0))*(1+$AZ136)*(1+$BA136)+($BC136*IF($G$1="牵丝",$AK136,$AI136)+IF($G$1="牵丝",$AL136*1.5,0))*(1+$BD136)*(1+$BE136)+($BG136*IF($G$1="破竹",$AK136,$AI136)+IF($G$1="破竹",$AL136*1.5,0))*(1+$BH136)*(1+$BI136))*(1+$AM136)*$BN136*$Q136*(1+IF(VLOOKUP($R136,武学奇术!$A:$ZZ,30,FALSE)="流血",$B$21,0))*(1+$BR136)</f>
        <v>231753.961734409</v>
      </c>
      <c r="O136" s="24">
        <f>((($AO136+$AP136)/2*$AI136+$AJ136)*(1+$AQ136)*(1+$AR136)+(($AT136+$AU136)/2*IF($G$1="鸣金",$AK136,$AI136)+IF($G$1="鸣金",$AL136*1.5,0))*(1+$AV136)*(1+$AW136)+(($AX136+$AY136)/2*IF($G$1="裂石",$AK136,$AI136)+IF($G$1="裂石",$AL136*1.5,0))*(1+$AZ136)*(1+$BA136)+(($BB136+$BC136)/2*IF($G$1="牵丝",$AK136,$AI136)+IF($G$1="牵丝",$AL136*1.5,0))*(1+$BD136)*(1+$BE136)+(($BF136+$BG136)/2*IF($G$1="破竹",$AK136,$AI136)+IF($G$1="破竹",$AL136*1.5,0))*(1+$BH136)*(1+$BI136))*(1+$AM136)*$Q136*(1+IF(VLOOKUP($R136,武学奇术!$A:$ZZ,30,FALSE)="流血",$B$21,0))*(1+$BR136)</f>
        <v>83777.1231712557</v>
      </c>
      <c r="P136" s="24">
        <f>((($AO136*$AI136+$AJ136)*(1+$AQ136)*(1+$AR136)+($AT136*IF($G$1="鸣金",$AK136,$AI136)+IF($G$1="鸣金",$AL136*1.5,0))*(1+$AV136)*(1+$AW136)+($AX136*IF($G$1="裂石",$AK136,$AI136)+IF($G$1="裂石",$AL136*1.5,0))*(1+$AZ136)*(1+$BA136)+($BB136*IF($G$1="牵丝",$AK136,$AI136)+IF($G$1="牵丝",$AL136*1.5,0))*(1+$BD136)*(1+$BE136)+($BF136*IF($G$1="破竹",$AK136,$AI136)+IF($G$1="破竹",$AL136*1.5,0))*(1+$BH136)*(1+$BI136))*(1+$AM136))*$Q136*(1+IF(VLOOKUP($R136,武学奇术!$A:$ZZ,30,FALSE)="流血",$B$21,0))*(1+$BR136)</f>
        <v>37501.5180964904</v>
      </c>
      <c r="Q136" s="31">
        <v>1</v>
      </c>
      <c r="R136" s="32" t="s">
        <v>120</v>
      </c>
      <c r="S136" s="32" t="s">
        <v>87</v>
      </c>
      <c r="T136" s="32" t="s">
        <v>96</v>
      </c>
      <c r="U136" s="32" t="s">
        <v>97</v>
      </c>
      <c r="V136" s="32" t="s">
        <v>98</v>
      </c>
      <c r="W136" s="32" t="s">
        <v>73</v>
      </c>
      <c r="X136" s="32" t="s">
        <v>127</v>
      </c>
      <c r="Y136" s="32" t="s">
        <v>179</v>
      </c>
      <c r="Z136" s="32" t="s">
        <v>182</v>
      </c>
      <c r="AA136" s="32" t="s">
        <v>81</v>
      </c>
      <c r="AB136" s="32" t="s">
        <v>75</v>
      </c>
      <c r="AC136" s="32" t="s">
        <v>89</v>
      </c>
      <c r="AD136" s="32" t="s">
        <v>82</v>
      </c>
      <c r="AE136" s="32" t="s">
        <v>183</v>
      </c>
      <c r="AF136" s="32" t="s">
        <v>73</v>
      </c>
      <c r="AG136" s="32" t="s">
        <v>178</v>
      </c>
      <c r="AH136" t="str">
        <f>VLOOKUP($R136,武学奇术!$A:$ZZ,25,FALSE)</f>
        <v>剑</v>
      </c>
      <c r="AI136" s="21">
        <f>VLOOKUP($R136,武学奇术!$A:$ZZ,26,FALSE)</f>
        <v>2.52</v>
      </c>
      <c r="AJ136" s="22">
        <f>VLOOKUP($R136,武学奇术!$A:$ZZ,27,FALSE)*(1+IF(OR($AH136=$F$4,$AH136=$F$5),$B$22,0))</f>
        <v>0</v>
      </c>
      <c r="AK136" s="21">
        <f>VLOOKUP($R136,武学奇术!$A:$ZZ,28,FALSE)</f>
        <v>3.78</v>
      </c>
      <c r="AL136" s="22">
        <f>VLOOKUP($R136,武学奇术!$A:$ZZ,29,FALSE)*(1+IF(OR($AH136=$F$4,$AH136=$F$5),$B$22,0))</f>
        <v>0</v>
      </c>
      <c r="AM136" s="21" cm="1">
        <f t="array" ref="AM136">$G$3+IFERROR(VLOOKUP($AH136,$F$4:$G$7,2,FALSE),0)+VLOOKUP($R136,武学奇术!$A:$ZZ,2,FALSE)+SUM(_xlfn.XLOOKUP($S136:$AG136,增益!$A:$A,增益!$B:$B,0))</f>
        <v>1.6791</v>
      </c>
      <c r="AN136" s="21" cm="1">
        <f t="array" ref="AN136">VLOOKUP($R136,武学奇术!$A:$ZZ,5,FALSE)+SUM(_xlfn.XLOOKUP($S136:$AG136,增益!$A:$A,增益!$E:$E,0))</f>
        <v>0</v>
      </c>
      <c r="AO136" cm="1">
        <f t="array" ref="AO136">$D$10*(1+$AN136)+VLOOKUP($R136,武学奇术!$A:$ZZ,3,FALSE)+SUM(_xlfn.XLOOKUP($S136:$AG136,增益!$A:$A,增益!$C:$C,0))-$I$2</f>
        <v>1794.28</v>
      </c>
      <c r="AP136" cm="1">
        <f t="array" ref="AP136">$E$10*(1+$AN136)+VLOOKUP($R136,武学奇术!$A:$ZZ,4,FALSE)+SUM(_xlfn.XLOOKUP($S136:$AG136,增益!$A:$A,增益!$D:$D,0))-$I$2</f>
        <v>7726.36</v>
      </c>
      <c r="AQ136" s="26" cm="1">
        <f t="array" ref="AQ136">IF($F$10-$I$3+VLOOKUP($R136,武学奇术!$A:$ZZ,6,FALSE)+SUM(_xlfn.XLOOKUP(S136:AG136,增益!$A:$A,增益!$F:$F,0))&gt;0,($F$10-$I$3+VLOOKUP($R136,武学奇术!$A:$ZZ,6,FALSE)+SUM(_xlfn.XLOOKUP(S136:AG136,增益!$A:$A,增益!$F:$F,0)))/200,($F$10-$I$3+VLOOKUP($R136,武学奇术!$A:$ZZ,6,FALSE)+SUM(_xlfn.XLOOKUP(S136:AG136,增益!$A:$A,增益!$F:$F,0)))/100)</f>
        <v>0.319</v>
      </c>
      <c r="AR136" s="26" cm="1">
        <f t="array" ref="AR136">$G$10+VLOOKUP($R136,武学奇术!$A:$ZZ,7,FALSE)+SUM(_xlfn.XLOOKUP(S136:AG136,增益!$A:$A,增益!$G:$G,0))</f>
        <v>0</v>
      </c>
      <c r="AS136" s="21" cm="1">
        <f t="array" ref="AS136">VLOOKUP($R136,武学奇术!$A:$ZZ,8,FALSE)+SUM(_xlfn.XLOOKUP(S136:AG136,增益!$A:$A,增益!$H:$H,0))</f>
        <v>0</v>
      </c>
      <c r="AT136">
        <f t="shared" si="23"/>
        <v>680.02</v>
      </c>
      <c r="AU136">
        <f t="shared" si="24"/>
        <v>1288.54</v>
      </c>
      <c r="AV136" s="26" cm="1">
        <f t="array" ref="AV136">IF($F$11-$I$4+VLOOKUP($R136,武学奇术!$A:$ZZ,9,FALSE)+SUM(_xlfn.XLOOKUP(S136:AG136,增益!$A:$A,增益!$I:$I,0))&gt;0,($F$11-$I$4+VLOOKUP($R136,武学奇术!$A:$ZZ,9,FALSE)+SUM(_xlfn.XLOOKUP(S136:AG136,增益!$A:$A,增益!$I:$I,0)))/200,($F$11-$I$4+VLOOKUP($R136,武学奇术!$A:$ZZ,9,FALSE)+SUM(_xlfn.XLOOKUP(S136:AG136,增益!$A:$A,增益!$I:$I,0)))/100)</f>
        <v>0.075</v>
      </c>
      <c r="AW136" s="26" cm="1">
        <f t="array" ref="AW136">$G$11+VLOOKUP($R136,武学奇术!$A:$ZZ,10,FALSE)+SUM(_xlfn.XLOOKUP(S136:AG136,增益!$A:$A,增益!$J:$J,0))</f>
        <v>0.15</v>
      </c>
      <c r="AX136">
        <f t="shared" si="25"/>
        <v>0</v>
      </c>
      <c r="AY136">
        <f t="shared" si="26"/>
        <v>0</v>
      </c>
      <c r="AZ136" s="26" cm="1">
        <f t="array" ref="AZ136">IF($F$12-$I$4+VLOOKUP($R136,武学奇术!$A:$ZZ,11,FALSE)+SUM(_xlfn.XLOOKUP(S136:AG136,增益!$A:$A,增益!$K:$K,0))&gt;0,($F$12-$I$4+VLOOKUP($R136,武学奇术!$A:$ZZ,11,FALSE)+SUM(_xlfn.XLOOKUP(S136:AG136,增益!$A:$A,增益!$K:$K,0)))/200,($F$12-$I$4+VLOOKUP($R136,武学奇术!$A:$ZZ,11,FALSE)+SUM(_xlfn.XLOOKUP(S136:AG136,增益!$A:$A,增益!$K:$K,0)))/100)</f>
        <v>-0.3</v>
      </c>
      <c r="BA136" s="26" cm="1">
        <f t="array" ref="BA136">$G$12+VLOOKUP($R136,武学奇术!$A:$ZZ,12,FALSE)+SUM(_xlfn.XLOOKUP(S136:AG136,增益!$A:$A,增益!$L:$L,0))</f>
        <v>0</v>
      </c>
      <c r="BB136">
        <f t="shared" si="27"/>
        <v>0</v>
      </c>
      <c r="BC136">
        <f t="shared" si="28"/>
        <v>0</v>
      </c>
      <c r="BD136" s="26" cm="1">
        <f t="array" ref="BD136">IF($F$13-$I$4+VLOOKUP($R136,武学奇术!$A:$ZZ,13,FALSE)+SUM(_xlfn.XLOOKUP(S136:AG136,增益!$A:$A,增益!$M:$M,0))&gt;0,($F$13-$I$4+VLOOKUP($R136,武学奇术!$A:$ZZ,13,FALSE)+SUM(_xlfn.XLOOKUP(S136:AG136,增益!$A:$A,增益!$K:$K,0)))/200,($F$13-$I$4+VLOOKUP($R136,武学奇术!$A:$ZZ,13,FALSE)+SUM(_xlfn.XLOOKUP(S136:AG136,增益!$A:$A,增益!$M:$M,0)))/100)</f>
        <v>-0.3</v>
      </c>
      <c r="BE136" s="26" cm="1">
        <f t="array" ref="BE136">$G$13+VLOOKUP($R136,武学奇术!$A:$ZZ,14,FALSE)+SUM(_xlfn.XLOOKUP(S136:AG136,增益!$A:$A,增益!$N:$N,0))</f>
        <v>0</v>
      </c>
      <c r="BF136">
        <f t="shared" si="29"/>
        <v>0</v>
      </c>
      <c r="BG136">
        <f t="shared" si="30"/>
        <v>0</v>
      </c>
      <c r="BH136" s="26" cm="1">
        <f t="array" ref="BH136">IF($F$14-$I$4+VLOOKUP($R136,武学奇术!$A:$ZZ,15,FALSE)+SUM(_xlfn.XLOOKUP(S136:AG136,增益!$A:$A,增益!$O:$O,0))&gt;0,($F$14-$I$4+VLOOKUP($R136,武学奇术!$A:$ZZ,15,FALSE)+SUM(_xlfn.XLOOKUP(S136:AG136,增益!$A:$A,增益!$O:$O,0)))/200,($F$14-$I$4+VLOOKUP($R136,武学奇术!$A:$ZZ,15,FALSE)+SUM(_xlfn.XLOOKUP(S136:AG136,增益!$A:$A,增益!$O:$O,0)))/100)</f>
        <v>-0.3</v>
      </c>
      <c r="BI136" s="26" cm="1">
        <f t="array" ref="BI136">$G$14+VLOOKUP($R136,武学奇术!$A:$ZZ,16,FALSE)+SUM(_xlfn.XLOOKUP(S136:AG136,增益!$A:$A,增益!$P:$P,0))</f>
        <v>0</v>
      </c>
      <c r="BJ136" s="21">
        <f>MIN(IF(VLOOKUP($R136,武学奇术!$A:$ZZ,23,FALSE)=1,100%,$B$8),100%)</f>
        <v>0.8229</v>
      </c>
      <c r="BK136" s="21" cm="1">
        <f t="array" ref="BK136">IF(VLOOKUP($R136,武学奇术!$A:$ZZ,23,FALSE)=1,100%,MIN(80%,$B$9+VLOOKUP($R136,武学奇术!$A:$ZZ,17,FALSE)+SUM(_xlfn.XLOOKUP(S136:AG136,增益!$A:$A,增益!$Q:$Q,0)))+$B$11+SUM(_xlfn.XLOOKUP(S136:AG136,增益!$A:$A,增益!$U:$U,0)))*IF(VLOOKUP($R136,武学奇术!$A:$ZZ,24,FALSE)=1,0,1)</f>
        <v>0</v>
      </c>
      <c r="BL136" s="21" cm="1">
        <f t="array" ref="BL136">1+$B$13+VLOOKUP($R136,武学奇术!$A:$ZZ,18,FALSE)+SUM(_xlfn.XLOOKUP(S136:AG136,增益!$A:$A,增益!$R:$R,0))</f>
        <v>1.5</v>
      </c>
      <c r="BM136" s="21" cm="1">
        <f t="array" ref="BM136">IF(VLOOKUP($R136,武学奇术!$A:$ZZ,24,FALSE)=1,100%,MIN(40%,$B$10+VLOOKUP($R136,武学奇术!$A:$ZZ,19,FALSE)+SUM(_xlfn.XLOOKUP(S136:AG136,增益!$A:$A,增益!$S:$S,0)))+$B$12+SUM(_xlfn.XLOOKUP(S136:AG136,增益!$A:$A,增益!$V:$V,0)))*IF(VLOOKUP($R136,武学奇术!$A:$ZZ,23,FALSE)=1,0,1)</f>
        <v>1</v>
      </c>
      <c r="BN136" s="21" cm="1">
        <f t="array" ref="BN136">1+$B$14+VLOOKUP($R136,武学奇术!$A:$ZZ,20,FALSE)+SUM(_xlfn.XLOOKUP(S136:AG136,增益!$A:$A,增益!$T:$T,0))</f>
        <v>1.782</v>
      </c>
      <c r="BO136" s="21">
        <f t="shared" si="31"/>
        <v>0</v>
      </c>
      <c r="BP136" s="21">
        <f t="shared" si="32"/>
        <v>0</v>
      </c>
      <c r="BQ136" s="21">
        <f>IF(VLOOKUP($R136,武学奇术!$A:$ZZ,22,FALSE)=1,0,(1-$BJ136))*(1-$BM136)</f>
        <v>0</v>
      </c>
      <c r="BR136" s="21" cm="1">
        <f t="array" ref="BR136">SUM(_xlfn.XLOOKUP(S136:AG136,增益!$A:$A,增益!$W:$W,0))+$I$5</f>
        <v>0.16</v>
      </c>
    </row>
    <row r="137" spans="11:70">
      <c r="K137" s="24">
        <f>$L137*VLOOKUP($R137,武学奇术!$A:$ZZ,31,FALSE)</f>
        <v>92194.5337967341</v>
      </c>
      <c r="L137" s="24">
        <f t="shared" si="22"/>
        <v>153657.55632789</v>
      </c>
      <c r="M137" s="24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BL137*$Q137*(1+IF(VLOOKUP($R137,武学奇术!$A:$ZZ,30,FALSE)="流血",$B$21,0))*(1+$BR137)</f>
        <v>125665.684756884</v>
      </c>
      <c r="N137" s="24">
        <f>(($AP137*$AI137+$AJ137)*(1+$AQ137)*(1+$AR137)+($AU137*IF($G$1="鸣金",$AK137,$AI137)+IF($G$1="鸣金",$AL137*1.5,0))*(1+$AV137)*(1+$AW137)+($AY137*IF($G$1="裂石",$AK137,$AI137)+IF($G$1="裂石",$AL137*1.5,0))*(1+$AZ137)*(1+$BA137)+($BC137*IF($G$1="牵丝",$AK137,$AI137)+IF($G$1="牵丝",$AL137*1.5,0))*(1+$BD137)*(1+$BE137)+($BG137*IF($G$1="破竹",$AK137,$AI137)+IF($G$1="破竹",$AL137*1.5,0))*(1+$BH137)*(1+$BI137))*(1+$AM137)*$BN137*$Q137*(1+IF(VLOOKUP($R137,武学奇术!$A:$ZZ,30,FALSE)="流血",$B$21,0))*(1+$BR137)</f>
        <v>231753.961734409</v>
      </c>
      <c r="O137" s="24">
        <f>((($AO137+$AP137)/2*$AI137+$AJ137)*(1+$AQ137)*(1+$AR137)+(($AT137+$AU137)/2*IF($G$1="鸣金",$AK137,$AI137)+IF($G$1="鸣金",$AL137*1.5,0))*(1+$AV137)*(1+$AW137)+(($AX137+$AY137)/2*IF($G$1="裂石",$AK137,$AI137)+IF($G$1="裂石",$AL137*1.5,0))*(1+$AZ137)*(1+$BA137)+(($BB137+$BC137)/2*IF($G$1="牵丝",$AK137,$AI137)+IF($G$1="牵丝",$AL137*1.5,0))*(1+$BD137)*(1+$BE137)+(($BF137+$BG137)/2*IF($G$1="破竹",$AK137,$AI137)+IF($G$1="破竹",$AL137*1.5,0))*(1+$BH137)*(1+$BI137))*(1+$AM137)*$Q137*(1+IF(VLOOKUP($R137,武学奇术!$A:$ZZ,30,FALSE)="流血",$B$21,0))*(1+$BR137)</f>
        <v>83777.1231712557</v>
      </c>
      <c r="P137" s="24">
        <f>((($AO137*$AI137+$AJ137)*(1+$AQ137)*(1+$AR137)+($AT137*IF($G$1="鸣金",$AK137,$AI137)+IF($G$1="鸣金",$AL137*1.5,0))*(1+$AV137)*(1+$AW137)+($AX137*IF($G$1="裂石",$AK137,$AI137)+IF($G$1="裂石",$AL137*1.5,0))*(1+$AZ137)*(1+$BA137)+($BB137*IF($G$1="牵丝",$AK137,$AI137)+IF($G$1="牵丝",$AL137*1.5,0))*(1+$BD137)*(1+$BE137)+($BF137*IF($G$1="破竹",$AK137,$AI137)+IF($G$1="破竹",$AL137*1.5,0))*(1+$BH137)*(1+$BI137))*(1+$AM137))*$Q137*(1+IF(VLOOKUP($R137,武学奇术!$A:$ZZ,30,FALSE)="流血",$B$21,0))*(1+$BR137)</f>
        <v>37501.5180964904</v>
      </c>
      <c r="Q137" s="31">
        <v>1</v>
      </c>
      <c r="R137" s="32" t="s">
        <v>95</v>
      </c>
      <c r="S137" s="32" t="s">
        <v>87</v>
      </c>
      <c r="T137" s="32" t="s">
        <v>96</v>
      </c>
      <c r="U137" s="32" t="s">
        <v>97</v>
      </c>
      <c r="V137" s="32" t="s">
        <v>98</v>
      </c>
      <c r="W137" s="32" t="s">
        <v>73</v>
      </c>
      <c r="X137" s="32" t="s">
        <v>127</v>
      </c>
      <c r="Y137" s="32" t="s">
        <v>179</v>
      </c>
      <c r="Z137" s="32" t="s">
        <v>182</v>
      </c>
      <c r="AA137" s="32" t="s">
        <v>81</v>
      </c>
      <c r="AB137" s="32" t="s">
        <v>75</v>
      </c>
      <c r="AC137" s="32" t="s">
        <v>76</v>
      </c>
      <c r="AD137" s="32" t="s">
        <v>82</v>
      </c>
      <c r="AE137" s="32" t="s">
        <v>183</v>
      </c>
      <c r="AF137" s="32" t="s">
        <v>73</v>
      </c>
      <c r="AG137" s="32" t="s">
        <v>178</v>
      </c>
      <c r="AH137" t="str">
        <f>VLOOKUP($R137,武学奇术!$A:$ZZ,25,FALSE)</f>
        <v>剑</v>
      </c>
      <c r="AI137" s="21">
        <f>VLOOKUP($R137,武学奇术!$A:$ZZ,26,FALSE)</f>
        <v>2.52</v>
      </c>
      <c r="AJ137" s="22">
        <f>VLOOKUP($R137,武学奇术!$A:$ZZ,27,FALSE)*(1+IF(OR($AH137=$F$4,$AH137=$F$5),$B$22,0))</f>
        <v>0</v>
      </c>
      <c r="AK137" s="21">
        <f>VLOOKUP($R137,武学奇术!$A:$ZZ,28,FALSE)</f>
        <v>3.78</v>
      </c>
      <c r="AL137" s="22">
        <f>VLOOKUP($R137,武学奇术!$A:$ZZ,29,FALSE)*(1+IF(OR($AH137=$F$4,$AH137=$F$5),$B$22,0))</f>
        <v>0</v>
      </c>
      <c r="AM137" s="21" cm="1">
        <f t="array" ref="AM137">$G$3+IFERROR(VLOOKUP($AH137,$F$4:$G$7,2,FALSE),0)+VLOOKUP($R137,武学奇术!$A:$ZZ,2,FALSE)+SUM(_xlfn.XLOOKUP($S137:$AG137,增益!$A:$A,增益!$B:$B,0))</f>
        <v>1.6791</v>
      </c>
      <c r="AN137" s="21" cm="1">
        <f t="array" ref="AN137">VLOOKUP($R137,武学奇术!$A:$ZZ,5,FALSE)+SUM(_xlfn.XLOOKUP($S137:$AG137,增益!$A:$A,增益!$E:$E,0))</f>
        <v>0</v>
      </c>
      <c r="AO137" cm="1">
        <f t="array" ref="AO137">$D$10*(1+$AN137)+VLOOKUP($R137,武学奇术!$A:$ZZ,3,FALSE)+SUM(_xlfn.XLOOKUP($S137:$AG137,增益!$A:$A,增益!$C:$C,0))-$I$2</f>
        <v>1794.28</v>
      </c>
      <c r="AP137" cm="1">
        <f t="array" ref="AP137">$E$10*(1+$AN137)+VLOOKUP($R137,武学奇术!$A:$ZZ,4,FALSE)+SUM(_xlfn.XLOOKUP($S137:$AG137,增益!$A:$A,增益!$D:$D,0))-$I$2</f>
        <v>7726.36</v>
      </c>
      <c r="AQ137" s="26" cm="1">
        <f t="array" ref="AQ137">IF($F$10-$I$3+VLOOKUP($R137,武学奇术!$A:$ZZ,6,FALSE)+SUM(_xlfn.XLOOKUP(S137:AG137,增益!$A:$A,增益!$F:$F,0))&gt;0,($F$10-$I$3+VLOOKUP($R137,武学奇术!$A:$ZZ,6,FALSE)+SUM(_xlfn.XLOOKUP(S137:AG137,增益!$A:$A,增益!$F:$F,0)))/200,($F$10-$I$3+VLOOKUP($R137,武学奇术!$A:$ZZ,6,FALSE)+SUM(_xlfn.XLOOKUP(S137:AG137,增益!$A:$A,增益!$F:$F,0)))/100)</f>
        <v>0.319</v>
      </c>
      <c r="AR137" s="26" cm="1">
        <f t="array" ref="AR137">$G$10+VLOOKUP($R137,武学奇术!$A:$ZZ,7,FALSE)+SUM(_xlfn.XLOOKUP(S137:AG137,增益!$A:$A,增益!$G:$G,0))</f>
        <v>0</v>
      </c>
      <c r="AS137" s="21" cm="1">
        <f t="array" ref="AS137">VLOOKUP($R137,武学奇术!$A:$ZZ,8,FALSE)+SUM(_xlfn.XLOOKUP(S137:AG137,增益!$A:$A,增益!$H:$H,0))</f>
        <v>0</v>
      </c>
      <c r="AT137">
        <f t="shared" si="23"/>
        <v>680.02</v>
      </c>
      <c r="AU137">
        <f t="shared" si="24"/>
        <v>1288.54</v>
      </c>
      <c r="AV137" s="26" cm="1">
        <f t="array" ref="AV137">IF($F$11-$I$4+VLOOKUP($R137,武学奇术!$A:$ZZ,9,FALSE)+SUM(_xlfn.XLOOKUP(S137:AG137,增益!$A:$A,增益!$I:$I,0))&gt;0,($F$11-$I$4+VLOOKUP($R137,武学奇术!$A:$ZZ,9,FALSE)+SUM(_xlfn.XLOOKUP(S137:AG137,增益!$A:$A,增益!$I:$I,0)))/200,($F$11-$I$4+VLOOKUP($R137,武学奇术!$A:$ZZ,9,FALSE)+SUM(_xlfn.XLOOKUP(S137:AG137,增益!$A:$A,增益!$I:$I,0)))/100)</f>
        <v>0.075</v>
      </c>
      <c r="AW137" s="26" cm="1">
        <f t="array" ref="AW137">$G$11+VLOOKUP($R137,武学奇术!$A:$ZZ,10,FALSE)+SUM(_xlfn.XLOOKUP(S137:AG137,增益!$A:$A,增益!$J:$J,0))</f>
        <v>0.15</v>
      </c>
      <c r="AX137">
        <f t="shared" si="25"/>
        <v>0</v>
      </c>
      <c r="AY137">
        <f t="shared" si="26"/>
        <v>0</v>
      </c>
      <c r="AZ137" s="26" cm="1">
        <f t="array" ref="AZ137">IF($F$12-$I$4+VLOOKUP($R137,武学奇术!$A:$ZZ,11,FALSE)+SUM(_xlfn.XLOOKUP(S137:AG137,增益!$A:$A,增益!$K:$K,0))&gt;0,($F$12-$I$4+VLOOKUP($R137,武学奇术!$A:$ZZ,11,FALSE)+SUM(_xlfn.XLOOKUP(S137:AG137,增益!$A:$A,增益!$K:$K,0)))/200,($F$12-$I$4+VLOOKUP($R137,武学奇术!$A:$ZZ,11,FALSE)+SUM(_xlfn.XLOOKUP(S137:AG137,增益!$A:$A,增益!$K:$K,0)))/100)</f>
        <v>-0.3</v>
      </c>
      <c r="BA137" s="26" cm="1">
        <f t="array" ref="BA137">$G$12+VLOOKUP($R137,武学奇术!$A:$ZZ,12,FALSE)+SUM(_xlfn.XLOOKUP(S137:AG137,增益!$A:$A,增益!$L:$L,0))</f>
        <v>0</v>
      </c>
      <c r="BB137">
        <f t="shared" si="27"/>
        <v>0</v>
      </c>
      <c r="BC137">
        <f t="shared" si="28"/>
        <v>0</v>
      </c>
      <c r="BD137" s="26" cm="1">
        <f t="array" ref="BD137">IF($F$13-$I$4+VLOOKUP($R137,武学奇术!$A:$ZZ,13,FALSE)+SUM(_xlfn.XLOOKUP(S137:AG137,增益!$A:$A,增益!$M:$M,0))&gt;0,($F$13-$I$4+VLOOKUP($R137,武学奇术!$A:$ZZ,13,FALSE)+SUM(_xlfn.XLOOKUP(S137:AG137,增益!$A:$A,增益!$K:$K,0)))/200,($F$13-$I$4+VLOOKUP($R137,武学奇术!$A:$ZZ,13,FALSE)+SUM(_xlfn.XLOOKUP(S137:AG137,增益!$A:$A,增益!$M:$M,0)))/100)</f>
        <v>-0.3</v>
      </c>
      <c r="BE137" s="26" cm="1">
        <f t="array" ref="BE137">$G$13+VLOOKUP($R137,武学奇术!$A:$ZZ,14,FALSE)+SUM(_xlfn.XLOOKUP(S137:AG137,增益!$A:$A,增益!$N:$N,0))</f>
        <v>0</v>
      </c>
      <c r="BF137">
        <f t="shared" si="29"/>
        <v>0</v>
      </c>
      <c r="BG137">
        <f t="shared" si="30"/>
        <v>0</v>
      </c>
      <c r="BH137" s="26" cm="1">
        <f t="array" ref="BH137">IF($F$14-$I$4+VLOOKUP($R137,武学奇术!$A:$ZZ,15,FALSE)+SUM(_xlfn.XLOOKUP(S137:AG137,增益!$A:$A,增益!$O:$O,0))&gt;0,($F$14-$I$4+VLOOKUP($R137,武学奇术!$A:$ZZ,15,FALSE)+SUM(_xlfn.XLOOKUP(S137:AG137,增益!$A:$A,增益!$O:$O,0)))/200,($F$14-$I$4+VLOOKUP($R137,武学奇术!$A:$ZZ,15,FALSE)+SUM(_xlfn.XLOOKUP(S137:AG137,增益!$A:$A,增益!$O:$O,0)))/100)</f>
        <v>-0.3</v>
      </c>
      <c r="BI137" s="26" cm="1">
        <f t="array" ref="BI137">$G$14+VLOOKUP($R137,武学奇术!$A:$ZZ,16,FALSE)+SUM(_xlfn.XLOOKUP(S137:AG137,增益!$A:$A,增益!$P:$P,0))</f>
        <v>0</v>
      </c>
      <c r="BJ137" s="21">
        <f>MIN(IF(VLOOKUP($R137,武学奇术!$A:$ZZ,23,FALSE)=1,100%,$B$8),100%)</f>
        <v>0.8229</v>
      </c>
      <c r="BK137" s="21" cm="1">
        <f t="array" ref="BK137">IF(VLOOKUP($R137,武学奇术!$A:$ZZ,23,FALSE)=1,100%,MIN(80%,$B$9+VLOOKUP($R137,武学奇术!$A:$ZZ,17,FALSE)+SUM(_xlfn.XLOOKUP(S137:AG137,增益!$A:$A,增益!$Q:$Q,0)))+$B$11+SUM(_xlfn.XLOOKUP(S137:AG137,增益!$A:$A,增益!$U:$U,0)))*IF(VLOOKUP($R137,武学奇术!$A:$ZZ,24,FALSE)=1,0,1)</f>
        <v>0.2285</v>
      </c>
      <c r="BL137" s="21" cm="1">
        <f t="array" ref="BL137">1+$B$13+VLOOKUP($R137,武学奇术!$A:$ZZ,18,FALSE)+SUM(_xlfn.XLOOKUP(S137:AG137,增益!$A:$A,增益!$R:$R,0))</f>
        <v>1.5</v>
      </c>
      <c r="BM137" s="21" cm="1">
        <f t="array" ref="BM137">IF(VLOOKUP($R137,武学奇术!$A:$ZZ,24,FALSE)=1,100%,MIN(40%,$B$10+VLOOKUP($R137,武学奇术!$A:$ZZ,19,FALSE)+SUM(_xlfn.XLOOKUP(S137:AG137,增益!$A:$A,增益!$S:$S,0)))+$B$12+SUM(_xlfn.XLOOKUP(S137:AG137,增益!$A:$A,增益!$V:$V,0)))*IF(VLOOKUP($R137,武学奇术!$A:$ZZ,23,FALSE)=1,0,1)</f>
        <v>0.4495</v>
      </c>
      <c r="BN137" s="21" cm="1">
        <f t="array" ref="BN137">1+$B$14+VLOOKUP($R137,武学奇术!$A:$ZZ,20,FALSE)+SUM(_xlfn.XLOOKUP(S137:AG137,增益!$A:$A,增益!$T:$T,0))</f>
        <v>1.782</v>
      </c>
      <c r="BO137" s="21">
        <f t="shared" si="31"/>
        <v>0.18803265</v>
      </c>
      <c r="BP137" s="21">
        <f t="shared" si="32"/>
        <v>0.2649738</v>
      </c>
      <c r="BQ137" s="21">
        <f>IF(VLOOKUP($R137,武学奇术!$A:$ZZ,22,FALSE)=1,0,(1-$BJ137))*(1-$BM137)</f>
        <v>0.09749355</v>
      </c>
      <c r="BR137" s="21" cm="1">
        <f t="array" ref="BR137">SUM(_xlfn.XLOOKUP(S137:AG137,增益!$A:$A,增益!$W:$W,0))+$I$5</f>
        <v>0.16</v>
      </c>
    </row>
    <row r="138" spans="11:70">
      <c r="K138" s="24">
        <f>$L138*VLOOKUP($R138,武学奇术!$A:$ZZ,31,FALSE)</f>
        <v>29995.7398189525</v>
      </c>
      <c r="L138" s="24">
        <f t="shared" si="22"/>
        <v>29995.7398189525</v>
      </c>
      <c r="M138" s="24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BL138*$Q138*(1+IF(VLOOKUP($R138,武学奇术!$A:$ZZ,30,FALSE)="流血",$B$21,0))*(1+$BR138)</f>
        <v>26903.4225888624</v>
      </c>
      <c r="N138" s="24">
        <f>(($AP138*$AI138+$AJ138)*(1+$AQ138)*(1+$AR138)+($AU138*IF($G$1="鸣金",$AK138,$AI138)+IF($G$1="鸣金",$AL138*1.5,0))*(1+$AV138)*(1+$AW138)+($AY138*IF($G$1="裂石",$AK138,$AI138)+IF($G$1="裂石",$AL138*1.5,0))*(1+$AZ138)*(1+$BA138)+($BC138*IF($G$1="牵丝",$AK138,$AI138)+IF($G$1="牵丝",$AL138*1.5,0))*(1+$BD138)*(1+$BE138)+($BG138*IF($G$1="破竹",$AK138,$AI138)+IF($G$1="破竹",$AL138*1.5,0))*(1+$BH138)*(1+$BI138))*(1+$AM138)*$BN138*$Q138*(1+IF(VLOOKUP($R138,武学奇术!$A:$ZZ,30,FALSE)="流血",$B$21,0))*(1+$BR138)</f>
        <v>42937.4860145152</v>
      </c>
      <c r="O138" s="24">
        <f>((($AO138+$AP138)/2*$AI138+$AJ138)*(1+$AQ138)*(1+$AR138)+(($AT138+$AU138)/2*IF($G$1="鸣金",$AK138,$AI138)+IF($G$1="鸣金",$AL138*1.5,0))*(1+$AV138)*(1+$AW138)+(($AX138+$AY138)/2*IF($G$1="裂石",$AK138,$AI138)+IF($G$1="裂石",$AL138*1.5,0))*(1+$AZ138)*(1+$BA138)+(($BB138+$BC138)/2*IF($G$1="牵丝",$AK138,$AI138)+IF($G$1="牵丝",$AL138*1.5,0))*(1+$BD138)*(1+$BE138)+(($BF138+$BG138)/2*IF($G$1="破竹",$AK138,$AI138)+IF($G$1="破竹",$AL138*1.5,0))*(1+$BH138)*(1+$BI138))*(1+$AM138)*$Q138*(1+IF(VLOOKUP($R138,武学奇术!$A:$ZZ,30,FALSE)="流血",$B$21,0))*(1+$BR138)</f>
        <v>17935.6150592416</v>
      </c>
      <c r="P138" s="24">
        <f>((($AO138*$AI138+$AJ138)*(1+$AQ138)*(1+$AR138)+($AT138*IF($G$1="鸣金",$AK138,$AI138)+IF($G$1="鸣金",$AL138*1.5,0))*(1+$AV138)*(1+$AW138)+($AX138*IF($G$1="裂石",$AK138,$AI138)+IF($G$1="裂石",$AL138*1.5,0))*(1+$AZ138)*(1+$BA138)+($BB138*IF($G$1="牵丝",$AK138,$AI138)+IF($G$1="牵丝",$AL138*1.5,0))*(1+$BD138)*(1+$BE138)+($BF138*IF($G$1="破竹",$AK138,$AI138)+IF($G$1="破竹",$AL138*1.5,0))*(1+$BH138)*(1+$BI138))*(1+$AM138))*$Q138*(1+IF(VLOOKUP($R138,武学奇术!$A:$ZZ,30,FALSE)="流血",$B$21,0))*(1+$BR138)</f>
        <v>9068.80439156988</v>
      </c>
      <c r="Q138" s="31">
        <v>1</v>
      </c>
      <c r="R138" s="32" t="s">
        <v>124</v>
      </c>
      <c r="S138" s="32" t="s">
        <v>87</v>
      </c>
      <c r="T138" s="32" t="s">
        <v>104</v>
      </c>
      <c r="U138" s="32" t="s">
        <v>73</v>
      </c>
      <c r="V138" s="32" t="s">
        <v>73</v>
      </c>
      <c r="W138" s="32" t="s">
        <v>73</v>
      </c>
      <c r="X138" s="32" t="s">
        <v>127</v>
      </c>
      <c r="Y138" s="32" t="s">
        <v>179</v>
      </c>
      <c r="Z138" s="32" t="s">
        <v>182</v>
      </c>
      <c r="AA138" s="32" t="s">
        <v>81</v>
      </c>
      <c r="AB138" s="32" t="s">
        <v>75</v>
      </c>
      <c r="AC138" s="32" t="s">
        <v>76</v>
      </c>
      <c r="AD138" s="32" t="s">
        <v>82</v>
      </c>
      <c r="AE138" s="32" t="s">
        <v>183</v>
      </c>
      <c r="AF138" s="32" t="s">
        <v>73</v>
      </c>
      <c r="AG138" s="32" t="s">
        <v>178</v>
      </c>
      <c r="AH138" t="str">
        <f>VLOOKUP($R138,武学奇术!$A:$ZZ,25,FALSE)</f>
        <v>剑</v>
      </c>
      <c r="AI138" s="21">
        <f>VLOOKUP($R138,武学奇术!$A:$ZZ,26,FALSE)</f>
        <v>0.94015</v>
      </c>
      <c r="AJ138" s="22">
        <f>VLOOKUP($R138,武学奇术!$A:$ZZ,27,FALSE)*(1+IF(OR($AH138=$F$4,$AH138=$F$5),$B$22,0))</f>
        <v>390</v>
      </c>
      <c r="AK138" s="21">
        <f>VLOOKUP($R138,武学奇术!$A:$ZZ,28,FALSE)</f>
        <v>1.41025</v>
      </c>
      <c r="AL138" s="22">
        <f>VLOOKUP($R138,武学奇术!$A:$ZZ,29,FALSE)*(1+IF(OR($AH138=$F$4,$AH138=$F$5),$B$22,0))</f>
        <v>212.25</v>
      </c>
      <c r="AM138" s="21" cm="1">
        <f t="array" ref="AM138">$G$3+IFERROR(VLOOKUP($AH138,$F$4:$G$7,2,FALSE),0)+VLOOKUP($R138,武学奇术!$A:$ZZ,2,FALSE)+SUM(_xlfn.XLOOKUP($S138:$AG138,增益!$A:$A,增益!$B:$B,0))</f>
        <v>0.9291</v>
      </c>
      <c r="AN138" s="21" cm="1">
        <f t="array" ref="AN138">VLOOKUP($R138,武学奇术!$A:$ZZ,5,FALSE)+SUM(_xlfn.XLOOKUP($S138:$AG138,增益!$A:$A,增益!$E:$E,0))</f>
        <v>0</v>
      </c>
      <c r="AO138" cm="1">
        <f t="array" ref="AO138">$D$10*(1+$AN138)+VLOOKUP($R138,武学奇术!$A:$ZZ,3,FALSE)+SUM(_xlfn.XLOOKUP($S138:$AG138,增益!$A:$A,增益!$C:$C,0))-$I$2</f>
        <v>1794.28</v>
      </c>
      <c r="AP138" cm="1">
        <f t="array" ref="AP138">$E$10*(1+$AN138)+VLOOKUP($R138,武学奇术!$A:$ZZ,4,FALSE)+SUM(_xlfn.XLOOKUP($S138:$AG138,增益!$A:$A,增益!$D:$D,0))-$I$2</f>
        <v>7726.36</v>
      </c>
      <c r="AQ138" s="26" cm="1">
        <f t="array" ref="AQ138">IF($F$10-$I$3+VLOOKUP($R138,武学奇术!$A:$ZZ,6,FALSE)+SUM(_xlfn.XLOOKUP(S138:AG138,增益!$A:$A,增益!$F:$F,0))&gt;0,($F$10-$I$3+VLOOKUP($R138,武学奇术!$A:$ZZ,6,FALSE)+SUM(_xlfn.XLOOKUP(S138:AG138,增益!$A:$A,增益!$F:$F,0)))/200,($F$10-$I$3+VLOOKUP($R138,武学奇术!$A:$ZZ,6,FALSE)+SUM(_xlfn.XLOOKUP(S138:AG138,增益!$A:$A,增益!$F:$F,0)))/100)</f>
        <v>0.244</v>
      </c>
      <c r="AR138" s="26" cm="1">
        <f t="array" ref="AR138">$G$10+VLOOKUP($R138,武学奇术!$A:$ZZ,7,FALSE)+SUM(_xlfn.XLOOKUP(S138:AG138,增益!$A:$A,增益!$G:$G,0))</f>
        <v>0</v>
      </c>
      <c r="AS138" s="21" cm="1">
        <f t="array" ref="AS138">VLOOKUP($R138,武学奇术!$A:$ZZ,8,FALSE)+SUM(_xlfn.XLOOKUP(S138:AG138,增益!$A:$A,增益!$H:$H,0))</f>
        <v>0</v>
      </c>
      <c r="AT138">
        <f t="shared" si="23"/>
        <v>680.02</v>
      </c>
      <c r="AU138">
        <f t="shared" si="24"/>
        <v>1288.54</v>
      </c>
      <c r="AV138" s="26" cm="1">
        <f t="array" ref="AV138">IF($F$11-$I$4+VLOOKUP($R138,武学奇术!$A:$ZZ,9,FALSE)+SUM(_xlfn.XLOOKUP(S138:AG138,增益!$A:$A,增益!$I:$I,0))&gt;0,($F$11-$I$4+VLOOKUP($R138,武学奇术!$A:$ZZ,9,FALSE)+SUM(_xlfn.XLOOKUP(S138:AG138,增益!$A:$A,增益!$I:$I,0)))/200,($F$11-$I$4+VLOOKUP($R138,武学奇术!$A:$ZZ,9,FALSE)+SUM(_xlfn.XLOOKUP(S138:AG138,增益!$A:$A,增益!$I:$I,0)))/100)</f>
        <v>0</v>
      </c>
      <c r="AW138" s="26" cm="1">
        <f t="array" ref="AW138">$G$11+VLOOKUP($R138,武学奇术!$A:$ZZ,10,FALSE)+SUM(_xlfn.XLOOKUP(S138:AG138,增益!$A:$A,增益!$J:$J,0))</f>
        <v>0.15</v>
      </c>
      <c r="AX138">
        <f t="shared" si="25"/>
        <v>0</v>
      </c>
      <c r="AY138">
        <f t="shared" si="26"/>
        <v>0</v>
      </c>
      <c r="AZ138" s="26" cm="1">
        <f t="array" ref="AZ138">IF($F$12-$I$4+VLOOKUP($R138,武学奇术!$A:$ZZ,11,FALSE)+SUM(_xlfn.XLOOKUP(S138:AG138,增益!$A:$A,增益!$K:$K,0))&gt;0,($F$12-$I$4+VLOOKUP($R138,武学奇术!$A:$ZZ,11,FALSE)+SUM(_xlfn.XLOOKUP(S138:AG138,增益!$A:$A,增益!$K:$K,0)))/200,($F$12-$I$4+VLOOKUP($R138,武学奇术!$A:$ZZ,11,FALSE)+SUM(_xlfn.XLOOKUP(S138:AG138,增益!$A:$A,增益!$K:$K,0)))/100)</f>
        <v>-0.3</v>
      </c>
      <c r="BA138" s="26" cm="1">
        <f t="array" ref="BA138">$G$12+VLOOKUP($R138,武学奇术!$A:$ZZ,12,FALSE)+SUM(_xlfn.XLOOKUP(S138:AG138,增益!$A:$A,增益!$L:$L,0))</f>
        <v>0</v>
      </c>
      <c r="BB138">
        <f t="shared" si="27"/>
        <v>0</v>
      </c>
      <c r="BC138">
        <f t="shared" si="28"/>
        <v>0</v>
      </c>
      <c r="BD138" s="26" cm="1">
        <f t="array" ref="BD138">IF($F$13-$I$4+VLOOKUP($R138,武学奇术!$A:$ZZ,13,FALSE)+SUM(_xlfn.XLOOKUP(S138:AG138,增益!$A:$A,增益!$M:$M,0))&gt;0,($F$13-$I$4+VLOOKUP($R138,武学奇术!$A:$ZZ,13,FALSE)+SUM(_xlfn.XLOOKUP(S138:AG138,增益!$A:$A,增益!$K:$K,0)))/200,($F$13-$I$4+VLOOKUP($R138,武学奇术!$A:$ZZ,13,FALSE)+SUM(_xlfn.XLOOKUP(S138:AG138,增益!$A:$A,增益!$M:$M,0)))/100)</f>
        <v>-0.3</v>
      </c>
      <c r="BE138" s="26" cm="1">
        <f t="array" ref="BE138">$G$13+VLOOKUP($R138,武学奇术!$A:$ZZ,14,FALSE)+SUM(_xlfn.XLOOKUP(S138:AG138,增益!$A:$A,增益!$N:$N,0))</f>
        <v>0</v>
      </c>
      <c r="BF138">
        <f t="shared" si="29"/>
        <v>0</v>
      </c>
      <c r="BG138">
        <f t="shared" si="30"/>
        <v>0</v>
      </c>
      <c r="BH138" s="26" cm="1">
        <f t="array" ref="BH138">IF($F$14-$I$4+VLOOKUP($R138,武学奇术!$A:$ZZ,15,FALSE)+SUM(_xlfn.XLOOKUP(S138:AG138,增益!$A:$A,增益!$O:$O,0))&gt;0,($F$14-$I$4+VLOOKUP($R138,武学奇术!$A:$ZZ,15,FALSE)+SUM(_xlfn.XLOOKUP(S138:AG138,增益!$A:$A,增益!$O:$O,0)))/200,($F$14-$I$4+VLOOKUP($R138,武学奇术!$A:$ZZ,15,FALSE)+SUM(_xlfn.XLOOKUP(S138:AG138,增益!$A:$A,增益!$O:$O,0)))/100)</f>
        <v>-0.3</v>
      </c>
      <c r="BI138" s="26" cm="1">
        <f t="array" ref="BI138">$G$14+VLOOKUP($R138,武学奇术!$A:$ZZ,16,FALSE)+SUM(_xlfn.XLOOKUP(S138:AG138,增益!$A:$A,增益!$P:$P,0))</f>
        <v>0</v>
      </c>
      <c r="BJ138" s="21">
        <f>MIN(IF(VLOOKUP($R138,武学奇术!$A:$ZZ,23,FALSE)=1,100%,$B$8),100%)</f>
        <v>0.8229</v>
      </c>
      <c r="BK138" s="21" cm="1">
        <f t="array" ref="BK138">IF(VLOOKUP($R138,武学奇术!$A:$ZZ,23,FALSE)=1,100%,MIN(80%,$B$9+VLOOKUP($R138,武学奇术!$A:$ZZ,17,FALSE)+SUM(_xlfn.XLOOKUP(S138:AG138,增益!$A:$A,增益!$Q:$Q,0)))+$B$11+SUM(_xlfn.XLOOKUP(S138:AG138,增益!$A:$A,增益!$U:$U,0)))*IF(VLOOKUP($R138,武学奇术!$A:$ZZ,24,FALSE)=1,0,1)</f>
        <v>0.2285</v>
      </c>
      <c r="BL138" s="21" cm="1">
        <f t="array" ref="BL138">1+$B$13+VLOOKUP($R138,武学奇术!$A:$ZZ,18,FALSE)+SUM(_xlfn.XLOOKUP(S138:AG138,增益!$A:$A,增益!$R:$R,0))</f>
        <v>1.5</v>
      </c>
      <c r="BM138" s="21" cm="1">
        <f t="array" ref="BM138">IF(VLOOKUP($R138,武学奇术!$A:$ZZ,24,FALSE)=1,100%,MIN(40%,$B$10+VLOOKUP($R138,武学奇术!$A:$ZZ,19,FALSE)+SUM(_xlfn.XLOOKUP(S138:AG138,增益!$A:$A,增益!$S:$S,0)))+$B$12+SUM(_xlfn.XLOOKUP(S138:AG138,增益!$A:$A,增益!$V:$V,0)))*IF(VLOOKUP($R138,武学奇术!$A:$ZZ,23,FALSE)=1,0,1)</f>
        <v>0.4495</v>
      </c>
      <c r="BN138" s="21" cm="1">
        <f t="array" ref="BN138">1+$B$14+VLOOKUP($R138,武学奇术!$A:$ZZ,20,FALSE)+SUM(_xlfn.XLOOKUP(S138:AG138,增益!$A:$A,增益!$T:$T,0))</f>
        <v>1.602</v>
      </c>
      <c r="BO138" s="21">
        <f t="shared" si="31"/>
        <v>0.18803265</v>
      </c>
      <c r="BP138" s="21">
        <f t="shared" si="32"/>
        <v>0.2649738</v>
      </c>
      <c r="BQ138" s="21">
        <f>IF(VLOOKUP($R138,武学奇术!$A:$ZZ,22,FALSE)=1,0,(1-$BJ138))*(1-$BM138)</f>
        <v>0.09749355</v>
      </c>
      <c r="BR138" s="21" cm="1">
        <f t="array" ref="BR138">SUM(_xlfn.XLOOKUP(S138:AG138,增益!$A:$A,增益!$W:$W,0))+$I$5</f>
        <v>0.16</v>
      </c>
    </row>
    <row r="139" spans="11:70">
      <c r="K139" s="24">
        <f>$L139*VLOOKUP($R139,武学奇术!$A:$ZZ,31,FALSE)</f>
        <v>92194.5337967341</v>
      </c>
      <c r="L139" s="24">
        <f t="shared" si="22"/>
        <v>153657.55632789</v>
      </c>
      <c r="M139" s="24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BL139*$Q139*(1+IF(VLOOKUP($R139,武学奇术!$A:$ZZ,30,FALSE)="流血",$B$21,0))*(1+$BR139)</f>
        <v>125665.684756884</v>
      </c>
      <c r="N139" s="24">
        <f>(($AP139*$AI139+$AJ139)*(1+$AQ139)*(1+$AR139)+($AU139*IF($G$1="鸣金",$AK139,$AI139)+IF($G$1="鸣金",$AL139*1.5,0))*(1+$AV139)*(1+$AW139)+($AY139*IF($G$1="裂石",$AK139,$AI139)+IF($G$1="裂石",$AL139*1.5,0))*(1+$AZ139)*(1+$BA139)+($BC139*IF($G$1="牵丝",$AK139,$AI139)+IF($G$1="牵丝",$AL139*1.5,0))*(1+$BD139)*(1+$BE139)+($BG139*IF($G$1="破竹",$AK139,$AI139)+IF($G$1="破竹",$AL139*1.5,0))*(1+$BH139)*(1+$BI139))*(1+$AM139)*$BN139*$Q139*(1+IF(VLOOKUP($R139,武学奇术!$A:$ZZ,30,FALSE)="流血",$B$21,0))*(1+$BR139)</f>
        <v>231753.961734409</v>
      </c>
      <c r="O139" s="24">
        <f>((($AO139+$AP139)/2*$AI139+$AJ139)*(1+$AQ139)*(1+$AR139)+(($AT139+$AU139)/2*IF($G$1="鸣金",$AK139,$AI139)+IF($G$1="鸣金",$AL139*1.5,0))*(1+$AV139)*(1+$AW139)+(($AX139+$AY139)/2*IF($G$1="裂石",$AK139,$AI139)+IF($G$1="裂石",$AL139*1.5,0))*(1+$AZ139)*(1+$BA139)+(($BB139+$BC139)/2*IF($G$1="牵丝",$AK139,$AI139)+IF($G$1="牵丝",$AL139*1.5,0))*(1+$BD139)*(1+$BE139)+(($BF139+$BG139)/2*IF($G$1="破竹",$AK139,$AI139)+IF($G$1="破竹",$AL139*1.5,0))*(1+$BH139)*(1+$BI139))*(1+$AM139)*$Q139*(1+IF(VLOOKUP($R139,武学奇术!$A:$ZZ,30,FALSE)="流血",$B$21,0))*(1+$BR139)</f>
        <v>83777.1231712557</v>
      </c>
      <c r="P139" s="24">
        <f>((($AO139*$AI139+$AJ139)*(1+$AQ139)*(1+$AR139)+($AT139*IF($G$1="鸣金",$AK139,$AI139)+IF($G$1="鸣金",$AL139*1.5,0))*(1+$AV139)*(1+$AW139)+($AX139*IF($G$1="裂石",$AK139,$AI139)+IF($G$1="裂石",$AL139*1.5,0))*(1+$AZ139)*(1+$BA139)+($BB139*IF($G$1="牵丝",$AK139,$AI139)+IF($G$1="牵丝",$AL139*1.5,0))*(1+$BD139)*(1+$BE139)+($BF139*IF($G$1="破竹",$AK139,$AI139)+IF($G$1="破竹",$AL139*1.5,0))*(1+$BH139)*(1+$BI139))*(1+$AM139))*$Q139*(1+IF(VLOOKUP($R139,武学奇术!$A:$ZZ,30,FALSE)="流血",$B$21,0))*(1+$BR139)</f>
        <v>37501.5180964904</v>
      </c>
      <c r="Q139" s="31">
        <v>1</v>
      </c>
      <c r="R139" s="32" t="s">
        <v>95</v>
      </c>
      <c r="S139" s="32" t="s">
        <v>87</v>
      </c>
      <c r="T139" s="32" t="s">
        <v>96</v>
      </c>
      <c r="U139" s="32" t="s">
        <v>97</v>
      </c>
      <c r="V139" s="32" t="s">
        <v>98</v>
      </c>
      <c r="W139" s="32" t="s">
        <v>73</v>
      </c>
      <c r="X139" s="32" t="s">
        <v>127</v>
      </c>
      <c r="Y139" s="32" t="s">
        <v>179</v>
      </c>
      <c r="Z139" s="32" t="s">
        <v>182</v>
      </c>
      <c r="AA139" s="32" t="s">
        <v>81</v>
      </c>
      <c r="AB139" s="32" t="s">
        <v>75</v>
      </c>
      <c r="AC139" s="32" t="s">
        <v>89</v>
      </c>
      <c r="AD139" s="32" t="s">
        <v>82</v>
      </c>
      <c r="AE139" s="32" t="s">
        <v>183</v>
      </c>
      <c r="AF139" s="32" t="s">
        <v>73</v>
      </c>
      <c r="AG139" s="32" t="s">
        <v>178</v>
      </c>
      <c r="AH139" t="str">
        <f>VLOOKUP($R139,武学奇术!$A:$ZZ,25,FALSE)</f>
        <v>剑</v>
      </c>
      <c r="AI139" s="21">
        <f>VLOOKUP($R139,武学奇术!$A:$ZZ,26,FALSE)</f>
        <v>2.52</v>
      </c>
      <c r="AJ139" s="22">
        <f>VLOOKUP($R139,武学奇术!$A:$ZZ,27,FALSE)*(1+IF(OR($AH139=$F$4,$AH139=$F$5),$B$22,0))</f>
        <v>0</v>
      </c>
      <c r="AK139" s="21">
        <f>VLOOKUP($R139,武学奇术!$A:$ZZ,28,FALSE)</f>
        <v>3.78</v>
      </c>
      <c r="AL139" s="22">
        <f>VLOOKUP($R139,武学奇术!$A:$ZZ,29,FALSE)*(1+IF(OR($AH139=$F$4,$AH139=$F$5),$B$22,0))</f>
        <v>0</v>
      </c>
      <c r="AM139" s="21" cm="1">
        <f t="array" ref="AM139">$G$3+IFERROR(VLOOKUP($AH139,$F$4:$G$7,2,FALSE),0)+VLOOKUP($R139,武学奇术!$A:$ZZ,2,FALSE)+SUM(_xlfn.XLOOKUP($S139:$AG139,增益!$A:$A,增益!$B:$B,0))</f>
        <v>1.6791</v>
      </c>
      <c r="AN139" s="21" cm="1">
        <f t="array" ref="AN139">VLOOKUP($R139,武学奇术!$A:$ZZ,5,FALSE)+SUM(_xlfn.XLOOKUP($S139:$AG139,增益!$A:$A,增益!$E:$E,0))</f>
        <v>0</v>
      </c>
      <c r="AO139" cm="1">
        <f t="array" ref="AO139">$D$10*(1+$AN139)+VLOOKUP($R139,武学奇术!$A:$ZZ,3,FALSE)+SUM(_xlfn.XLOOKUP($S139:$AG139,增益!$A:$A,增益!$C:$C,0))-$I$2</f>
        <v>1794.28</v>
      </c>
      <c r="AP139" cm="1">
        <f t="array" ref="AP139">$E$10*(1+$AN139)+VLOOKUP($R139,武学奇术!$A:$ZZ,4,FALSE)+SUM(_xlfn.XLOOKUP($S139:$AG139,增益!$A:$A,增益!$D:$D,0))-$I$2</f>
        <v>7726.36</v>
      </c>
      <c r="AQ139" s="26" cm="1">
        <f t="array" ref="AQ139">IF($F$10-$I$3+VLOOKUP($R139,武学奇术!$A:$ZZ,6,FALSE)+SUM(_xlfn.XLOOKUP(S139:AG139,增益!$A:$A,增益!$F:$F,0))&gt;0,($F$10-$I$3+VLOOKUP($R139,武学奇术!$A:$ZZ,6,FALSE)+SUM(_xlfn.XLOOKUP(S139:AG139,增益!$A:$A,增益!$F:$F,0)))/200,($F$10-$I$3+VLOOKUP($R139,武学奇术!$A:$ZZ,6,FALSE)+SUM(_xlfn.XLOOKUP(S139:AG139,增益!$A:$A,增益!$F:$F,0)))/100)</f>
        <v>0.319</v>
      </c>
      <c r="AR139" s="26" cm="1">
        <f t="array" ref="AR139">$G$10+VLOOKUP($R139,武学奇术!$A:$ZZ,7,FALSE)+SUM(_xlfn.XLOOKUP(S139:AG139,增益!$A:$A,增益!$G:$G,0))</f>
        <v>0</v>
      </c>
      <c r="AS139" s="21" cm="1">
        <f t="array" ref="AS139">VLOOKUP($R139,武学奇术!$A:$ZZ,8,FALSE)+SUM(_xlfn.XLOOKUP(S139:AG139,增益!$A:$A,增益!$H:$H,0))</f>
        <v>0</v>
      </c>
      <c r="AT139">
        <f t="shared" si="23"/>
        <v>680.02</v>
      </c>
      <c r="AU139">
        <f t="shared" si="24"/>
        <v>1288.54</v>
      </c>
      <c r="AV139" s="26" cm="1">
        <f t="array" ref="AV139">IF($F$11-$I$4+VLOOKUP($R139,武学奇术!$A:$ZZ,9,FALSE)+SUM(_xlfn.XLOOKUP(S139:AG139,增益!$A:$A,增益!$I:$I,0))&gt;0,($F$11-$I$4+VLOOKUP($R139,武学奇术!$A:$ZZ,9,FALSE)+SUM(_xlfn.XLOOKUP(S139:AG139,增益!$A:$A,增益!$I:$I,0)))/200,($F$11-$I$4+VLOOKUP($R139,武学奇术!$A:$ZZ,9,FALSE)+SUM(_xlfn.XLOOKUP(S139:AG139,增益!$A:$A,增益!$I:$I,0)))/100)</f>
        <v>0.075</v>
      </c>
      <c r="AW139" s="26" cm="1">
        <f t="array" ref="AW139">$G$11+VLOOKUP($R139,武学奇术!$A:$ZZ,10,FALSE)+SUM(_xlfn.XLOOKUP(S139:AG139,增益!$A:$A,增益!$J:$J,0))</f>
        <v>0.15</v>
      </c>
      <c r="AX139">
        <f t="shared" si="25"/>
        <v>0</v>
      </c>
      <c r="AY139">
        <f t="shared" si="26"/>
        <v>0</v>
      </c>
      <c r="AZ139" s="26" cm="1">
        <f t="array" ref="AZ139">IF($F$12-$I$4+VLOOKUP($R139,武学奇术!$A:$ZZ,11,FALSE)+SUM(_xlfn.XLOOKUP(S139:AG139,增益!$A:$A,增益!$K:$K,0))&gt;0,($F$12-$I$4+VLOOKUP($R139,武学奇术!$A:$ZZ,11,FALSE)+SUM(_xlfn.XLOOKUP(S139:AG139,增益!$A:$A,增益!$K:$K,0)))/200,($F$12-$I$4+VLOOKUP($R139,武学奇术!$A:$ZZ,11,FALSE)+SUM(_xlfn.XLOOKUP(S139:AG139,增益!$A:$A,增益!$K:$K,0)))/100)</f>
        <v>-0.3</v>
      </c>
      <c r="BA139" s="26" cm="1">
        <f t="array" ref="BA139">$G$12+VLOOKUP($R139,武学奇术!$A:$ZZ,12,FALSE)+SUM(_xlfn.XLOOKUP(S139:AG139,增益!$A:$A,增益!$L:$L,0))</f>
        <v>0</v>
      </c>
      <c r="BB139">
        <f t="shared" si="27"/>
        <v>0</v>
      </c>
      <c r="BC139">
        <f t="shared" si="28"/>
        <v>0</v>
      </c>
      <c r="BD139" s="26" cm="1">
        <f t="array" ref="BD139">IF($F$13-$I$4+VLOOKUP($R139,武学奇术!$A:$ZZ,13,FALSE)+SUM(_xlfn.XLOOKUP(S139:AG139,增益!$A:$A,增益!$M:$M,0))&gt;0,($F$13-$I$4+VLOOKUP($R139,武学奇术!$A:$ZZ,13,FALSE)+SUM(_xlfn.XLOOKUP(S139:AG139,增益!$A:$A,增益!$K:$K,0)))/200,($F$13-$I$4+VLOOKUP($R139,武学奇术!$A:$ZZ,13,FALSE)+SUM(_xlfn.XLOOKUP(S139:AG139,增益!$A:$A,增益!$M:$M,0)))/100)</f>
        <v>-0.3</v>
      </c>
      <c r="BE139" s="26" cm="1">
        <f t="array" ref="BE139">$G$13+VLOOKUP($R139,武学奇术!$A:$ZZ,14,FALSE)+SUM(_xlfn.XLOOKUP(S139:AG139,增益!$A:$A,增益!$N:$N,0))</f>
        <v>0</v>
      </c>
      <c r="BF139">
        <f t="shared" si="29"/>
        <v>0</v>
      </c>
      <c r="BG139">
        <f t="shared" si="30"/>
        <v>0</v>
      </c>
      <c r="BH139" s="26" cm="1">
        <f t="array" ref="BH139">IF($F$14-$I$4+VLOOKUP($R139,武学奇术!$A:$ZZ,15,FALSE)+SUM(_xlfn.XLOOKUP(S139:AG139,增益!$A:$A,增益!$O:$O,0))&gt;0,($F$14-$I$4+VLOOKUP($R139,武学奇术!$A:$ZZ,15,FALSE)+SUM(_xlfn.XLOOKUP(S139:AG139,增益!$A:$A,增益!$O:$O,0)))/200,($F$14-$I$4+VLOOKUP($R139,武学奇术!$A:$ZZ,15,FALSE)+SUM(_xlfn.XLOOKUP(S139:AG139,增益!$A:$A,增益!$O:$O,0)))/100)</f>
        <v>-0.3</v>
      </c>
      <c r="BI139" s="26" cm="1">
        <f t="array" ref="BI139">$G$14+VLOOKUP($R139,武学奇术!$A:$ZZ,16,FALSE)+SUM(_xlfn.XLOOKUP(S139:AG139,增益!$A:$A,增益!$P:$P,0))</f>
        <v>0</v>
      </c>
      <c r="BJ139" s="21">
        <f>MIN(IF(VLOOKUP($R139,武学奇术!$A:$ZZ,23,FALSE)=1,100%,$B$8),100%)</f>
        <v>0.8229</v>
      </c>
      <c r="BK139" s="21" cm="1">
        <f t="array" ref="BK139">IF(VLOOKUP($R139,武学奇术!$A:$ZZ,23,FALSE)=1,100%,MIN(80%,$B$9+VLOOKUP($R139,武学奇术!$A:$ZZ,17,FALSE)+SUM(_xlfn.XLOOKUP(S139:AG139,增益!$A:$A,增益!$Q:$Q,0)))+$B$11+SUM(_xlfn.XLOOKUP(S139:AG139,增益!$A:$A,增益!$U:$U,0)))*IF(VLOOKUP($R139,武学奇术!$A:$ZZ,24,FALSE)=1,0,1)</f>
        <v>0.2285</v>
      </c>
      <c r="BL139" s="21" cm="1">
        <f t="array" ref="BL139">1+$B$13+VLOOKUP($R139,武学奇术!$A:$ZZ,18,FALSE)+SUM(_xlfn.XLOOKUP(S139:AG139,增益!$A:$A,增益!$R:$R,0))</f>
        <v>1.5</v>
      </c>
      <c r="BM139" s="21" cm="1">
        <f t="array" ref="BM139">IF(VLOOKUP($R139,武学奇术!$A:$ZZ,24,FALSE)=1,100%,MIN(40%,$B$10+VLOOKUP($R139,武学奇术!$A:$ZZ,19,FALSE)+SUM(_xlfn.XLOOKUP(S139:AG139,增益!$A:$A,增益!$S:$S,0)))+$B$12+SUM(_xlfn.XLOOKUP(S139:AG139,增益!$A:$A,增益!$V:$V,0)))*IF(VLOOKUP($R139,武学奇术!$A:$ZZ,23,FALSE)=1,0,1)</f>
        <v>0.4495</v>
      </c>
      <c r="BN139" s="21" cm="1">
        <f t="array" ref="BN139">1+$B$14+VLOOKUP($R139,武学奇术!$A:$ZZ,20,FALSE)+SUM(_xlfn.XLOOKUP(S139:AG139,增益!$A:$A,增益!$T:$T,0))</f>
        <v>1.782</v>
      </c>
      <c r="BO139" s="21">
        <f t="shared" si="31"/>
        <v>0.18803265</v>
      </c>
      <c r="BP139" s="21">
        <f t="shared" si="32"/>
        <v>0.2649738</v>
      </c>
      <c r="BQ139" s="21">
        <f>IF(VLOOKUP($R139,武学奇术!$A:$ZZ,22,FALSE)=1,0,(1-$BJ139))*(1-$BM139)</f>
        <v>0.09749355</v>
      </c>
      <c r="BR139" s="21" cm="1">
        <f t="array" ref="BR139">SUM(_xlfn.XLOOKUP(S139:AG139,增益!$A:$A,增益!$W:$W,0))+$I$5</f>
        <v>0.16</v>
      </c>
    </row>
    <row r="140" spans="11:70">
      <c r="K140" s="24">
        <f>$L140*VLOOKUP($R140,武学奇术!$A:$ZZ,31,FALSE)</f>
        <v>23699.6506249287</v>
      </c>
      <c r="L140" s="24">
        <f t="shared" si="22"/>
        <v>23699.6506249287</v>
      </c>
      <c r="M140" s="24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BL140*$Q140*(1+IF(VLOOKUP($R140,武学奇术!$A:$ZZ,30,FALSE)="流血",$B$21,0))*(1+$BR140)</f>
        <v>20801.4608555895</v>
      </c>
      <c r="N140" s="24">
        <f>(($AP140*$AI140+$AJ140)*(1+$AQ140)*(1+$AR140)+($AU140*IF($G$1="鸣金",$AK140,$AI140)+IF($G$1="鸣金",$AL140*1.5,0))*(1+$AV140)*(1+$AW140)+($AY140*IF($G$1="裂石",$AK140,$AI140)+IF($G$1="裂石",$AL140*1.5,0))*(1+$AZ140)*(1+$BA140)+($BC140*IF($G$1="牵丝",$AK140,$AI140)+IF($G$1="牵丝",$AL140*1.5,0))*(1+$BD140)*(1+$BE140)+($BG140*IF($G$1="破竹",$AK140,$AI140)+IF($G$1="破竹",$AL140*1.5,0))*(1+$BH140)*(1+$BI140))*(1+$AM140)*$BN140*$Q140*(1+IF(VLOOKUP($R140,武学奇术!$A:$ZZ,30,FALSE)="流血",$B$21,0))*(1+$BR140)</f>
        <v>34504.0000127718</v>
      </c>
      <c r="O140" s="24">
        <f>((($AO140+$AP140)/2*$AI140+$AJ140)*(1+$AQ140)*(1+$AR140)+(($AT140+$AU140)/2*IF($G$1="鸣金",$AK140,$AI140)+IF($G$1="鸣金",$AL140*1.5,0))*(1+$AV140)*(1+$AW140)+(($AX140+$AY140)/2*IF($G$1="裂石",$AK140,$AI140)+IF($G$1="裂石",$AL140*1.5,0))*(1+$AZ140)*(1+$BA140)+(($BB140+$BC140)/2*IF($G$1="牵丝",$AK140,$AI140)+IF($G$1="牵丝",$AL140*1.5,0))*(1+$BD140)*(1+$BE140)+(($BF140+$BG140)/2*IF($G$1="破竹",$AK140,$AI140)+IF($G$1="破竹",$AL140*1.5,0))*(1+$BH140)*(1+$BI140))*(1+$AM140)*$Q140*(1+IF(VLOOKUP($R140,武学奇术!$A:$ZZ,30,FALSE)="流血",$B$21,0))*(1+$BR140)</f>
        <v>13867.640570393</v>
      </c>
      <c r="P140" s="24">
        <f>((($AO140*$AI140+$AJ140)*(1+$AQ140)*(1+$AR140)+($AT140*IF($G$1="鸣金",$AK140,$AI140)+IF($G$1="鸣金",$AL140*1.5,0))*(1+$AV140)*(1+$AW140)+($AX140*IF($G$1="裂石",$AK140,$AI140)+IF($G$1="裂石",$AL140*1.5,0))*(1+$AZ140)*(1+$BA140)+($BB140*IF($G$1="牵丝",$AK140,$AI140)+IF($G$1="牵丝",$AL140*1.5,0))*(1+$BD140)*(1+$BE140)+($BF140*IF($G$1="破竹",$AK140,$AI140)+IF($G$1="破竹",$AL140*1.5,0))*(1+$BH140)*(1+$BI140))*(1+$AM140))*$Q140*(1+IF(VLOOKUP($R140,武学奇术!$A:$ZZ,30,FALSE)="流血",$B$21,0))*(1+$BR140)</f>
        <v>6197.20372956757</v>
      </c>
      <c r="Q140" s="31">
        <v>1</v>
      </c>
      <c r="R140" s="32" t="s">
        <v>192</v>
      </c>
      <c r="S140" s="32" t="s">
        <v>87</v>
      </c>
      <c r="T140" s="32" t="s">
        <v>104</v>
      </c>
      <c r="U140" s="32" t="s">
        <v>73</v>
      </c>
      <c r="V140" s="32" t="s">
        <v>73</v>
      </c>
      <c r="W140" s="32" t="s">
        <v>73</v>
      </c>
      <c r="X140" s="32" t="s">
        <v>127</v>
      </c>
      <c r="Y140" s="32" t="s">
        <v>179</v>
      </c>
      <c r="Z140" s="32" t="s">
        <v>182</v>
      </c>
      <c r="AA140" s="32" t="s">
        <v>81</v>
      </c>
      <c r="AB140" s="32" t="s">
        <v>75</v>
      </c>
      <c r="AC140" s="32" t="s">
        <v>89</v>
      </c>
      <c r="AD140" s="32" t="s">
        <v>82</v>
      </c>
      <c r="AE140" s="32" t="s">
        <v>183</v>
      </c>
      <c r="AF140" s="32" t="s">
        <v>73</v>
      </c>
      <c r="AG140" s="32" t="s">
        <v>178</v>
      </c>
      <c r="AH140" t="str">
        <f>VLOOKUP($R140,武学奇术!$A:$ZZ,25,FALSE)</f>
        <v>剑</v>
      </c>
      <c r="AI140" s="21">
        <f>VLOOKUP($R140,武学奇术!$A:$ZZ,26,FALSE)</f>
        <v>0.8133</v>
      </c>
      <c r="AJ140" s="22">
        <f>VLOOKUP($R140,武学奇术!$A:$ZZ,27,FALSE)*(1+IF(OR($AH140=$F$4,$AH140=$F$5),$B$22,0))</f>
        <v>0</v>
      </c>
      <c r="AK140" s="21">
        <f>VLOOKUP($R140,武学奇术!$A:$ZZ,28,FALSE)</f>
        <v>1.21995</v>
      </c>
      <c r="AL140" s="22">
        <f>VLOOKUP($R140,武学奇术!$A:$ZZ,29,FALSE)*(1+IF(OR($AH140=$F$4,$AH140=$F$5),$B$22,0))</f>
        <v>0</v>
      </c>
      <c r="AM140" s="21" cm="1">
        <f t="array" ref="AM140">$G$3+IFERROR(VLOOKUP($AH140,$F$4:$G$7,2,FALSE),0)+VLOOKUP($R140,武学奇术!$A:$ZZ,2,FALSE)+SUM(_xlfn.XLOOKUP($S140:$AG140,增益!$A:$A,增益!$B:$B,0))</f>
        <v>0.9291</v>
      </c>
      <c r="AN140" s="21" cm="1">
        <f t="array" ref="AN140">VLOOKUP($R140,武学奇术!$A:$ZZ,5,FALSE)+SUM(_xlfn.XLOOKUP($S140:$AG140,增益!$A:$A,增益!$E:$E,0))</f>
        <v>0</v>
      </c>
      <c r="AO140" cm="1">
        <f t="array" ref="AO140">$D$10*(1+$AN140)+VLOOKUP($R140,武学奇术!$A:$ZZ,3,FALSE)+SUM(_xlfn.XLOOKUP($S140:$AG140,增益!$A:$A,增益!$C:$C,0))-$I$2</f>
        <v>1794.28</v>
      </c>
      <c r="AP140" cm="1">
        <f t="array" ref="AP140">$E$10*(1+$AN140)+VLOOKUP($R140,武学奇术!$A:$ZZ,4,FALSE)+SUM(_xlfn.XLOOKUP($S140:$AG140,增益!$A:$A,增益!$D:$D,0))-$I$2</f>
        <v>7726.36</v>
      </c>
      <c r="AQ140" s="26" cm="1">
        <f t="array" ref="AQ140">IF($F$10-$I$3+VLOOKUP($R140,武学奇术!$A:$ZZ,6,FALSE)+SUM(_xlfn.XLOOKUP(S140:AG140,增益!$A:$A,增益!$F:$F,0))&gt;0,($F$10-$I$3+VLOOKUP($R140,武学奇术!$A:$ZZ,6,FALSE)+SUM(_xlfn.XLOOKUP(S140:AG140,增益!$A:$A,增益!$F:$F,0)))/200,($F$10-$I$3+VLOOKUP($R140,武学奇术!$A:$ZZ,6,FALSE)+SUM(_xlfn.XLOOKUP(S140:AG140,增益!$A:$A,增益!$F:$F,0)))/100)</f>
        <v>0.244</v>
      </c>
      <c r="AR140" s="26" cm="1">
        <f t="array" ref="AR140">$G$10+VLOOKUP($R140,武学奇术!$A:$ZZ,7,FALSE)+SUM(_xlfn.XLOOKUP(S140:AG140,增益!$A:$A,增益!$G:$G,0))</f>
        <v>0</v>
      </c>
      <c r="AS140" s="21" cm="1">
        <f t="array" ref="AS140">VLOOKUP($R140,武学奇术!$A:$ZZ,8,FALSE)+SUM(_xlfn.XLOOKUP(S140:AG140,增益!$A:$A,增益!$H:$H,0))</f>
        <v>0</v>
      </c>
      <c r="AT140">
        <f t="shared" si="23"/>
        <v>680.02</v>
      </c>
      <c r="AU140">
        <f t="shared" si="24"/>
        <v>1288.54</v>
      </c>
      <c r="AV140" s="26" cm="1">
        <f t="array" ref="AV140">IF($F$11-$I$4+VLOOKUP($R140,武学奇术!$A:$ZZ,9,FALSE)+SUM(_xlfn.XLOOKUP(S140:AG140,增益!$A:$A,增益!$I:$I,0))&gt;0,($F$11-$I$4+VLOOKUP($R140,武学奇术!$A:$ZZ,9,FALSE)+SUM(_xlfn.XLOOKUP(S140:AG140,增益!$A:$A,增益!$I:$I,0)))/200,($F$11-$I$4+VLOOKUP($R140,武学奇术!$A:$ZZ,9,FALSE)+SUM(_xlfn.XLOOKUP(S140:AG140,增益!$A:$A,增益!$I:$I,0)))/100)</f>
        <v>0</v>
      </c>
      <c r="AW140" s="26" cm="1">
        <f t="array" ref="AW140">$G$11+VLOOKUP($R140,武学奇术!$A:$ZZ,10,FALSE)+SUM(_xlfn.XLOOKUP(S140:AG140,增益!$A:$A,增益!$J:$J,0))</f>
        <v>0.15</v>
      </c>
      <c r="AX140">
        <f t="shared" si="25"/>
        <v>0</v>
      </c>
      <c r="AY140">
        <f t="shared" si="26"/>
        <v>0</v>
      </c>
      <c r="AZ140" s="26" cm="1">
        <f t="array" ref="AZ140">IF($F$12-$I$4+VLOOKUP($R140,武学奇术!$A:$ZZ,11,FALSE)+SUM(_xlfn.XLOOKUP(S140:AG140,增益!$A:$A,增益!$K:$K,0))&gt;0,($F$12-$I$4+VLOOKUP($R140,武学奇术!$A:$ZZ,11,FALSE)+SUM(_xlfn.XLOOKUP(S140:AG140,增益!$A:$A,增益!$K:$K,0)))/200,($F$12-$I$4+VLOOKUP($R140,武学奇术!$A:$ZZ,11,FALSE)+SUM(_xlfn.XLOOKUP(S140:AG140,增益!$A:$A,增益!$K:$K,0)))/100)</f>
        <v>-0.3</v>
      </c>
      <c r="BA140" s="26" cm="1">
        <f t="array" ref="BA140">$G$12+VLOOKUP($R140,武学奇术!$A:$ZZ,12,FALSE)+SUM(_xlfn.XLOOKUP(S140:AG140,增益!$A:$A,增益!$L:$L,0))</f>
        <v>0</v>
      </c>
      <c r="BB140">
        <f t="shared" si="27"/>
        <v>0</v>
      </c>
      <c r="BC140">
        <f t="shared" si="28"/>
        <v>0</v>
      </c>
      <c r="BD140" s="26" cm="1">
        <f t="array" ref="BD140">IF($F$13-$I$4+VLOOKUP($R140,武学奇术!$A:$ZZ,13,FALSE)+SUM(_xlfn.XLOOKUP(S140:AG140,增益!$A:$A,增益!$M:$M,0))&gt;0,($F$13-$I$4+VLOOKUP($R140,武学奇术!$A:$ZZ,13,FALSE)+SUM(_xlfn.XLOOKUP(S140:AG140,增益!$A:$A,增益!$K:$K,0)))/200,($F$13-$I$4+VLOOKUP($R140,武学奇术!$A:$ZZ,13,FALSE)+SUM(_xlfn.XLOOKUP(S140:AG140,增益!$A:$A,增益!$M:$M,0)))/100)</f>
        <v>-0.3</v>
      </c>
      <c r="BE140" s="26" cm="1">
        <f t="array" ref="BE140">$G$13+VLOOKUP($R140,武学奇术!$A:$ZZ,14,FALSE)+SUM(_xlfn.XLOOKUP(S140:AG140,增益!$A:$A,增益!$N:$N,0))</f>
        <v>0</v>
      </c>
      <c r="BF140">
        <f t="shared" si="29"/>
        <v>0</v>
      </c>
      <c r="BG140">
        <f t="shared" si="30"/>
        <v>0</v>
      </c>
      <c r="BH140" s="26" cm="1">
        <f t="array" ref="BH140">IF($F$14-$I$4+VLOOKUP($R140,武学奇术!$A:$ZZ,15,FALSE)+SUM(_xlfn.XLOOKUP(S140:AG140,增益!$A:$A,增益!$O:$O,0))&gt;0,($F$14-$I$4+VLOOKUP($R140,武学奇术!$A:$ZZ,15,FALSE)+SUM(_xlfn.XLOOKUP(S140:AG140,增益!$A:$A,增益!$O:$O,0)))/200,($F$14-$I$4+VLOOKUP($R140,武学奇术!$A:$ZZ,15,FALSE)+SUM(_xlfn.XLOOKUP(S140:AG140,增益!$A:$A,增益!$O:$O,0)))/100)</f>
        <v>-0.3</v>
      </c>
      <c r="BI140" s="26" cm="1">
        <f t="array" ref="BI140">$G$14+VLOOKUP($R140,武学奇术!$A:$ZZ,16,FALSE)+SUM(_xlfn.XLOOKUP(S140:AG140,增益!$A:$A,增益!$P:$P,0))</f>
        <v>0</v>
      </c>
      <c r="BJ140" s="21">
        <f>MIN(IF(VLOOKUP($R140,武学奇术!$A:$ZZ,23,FALSE)=1,100%,$B$8),100%)</f>
        <v>0.8229</v>
      </c>
      <c r="BK140" s="21" cm="1">
        <f t="array" ref="BK140">IF(VLOOKUP($R140,武学奇术!$A:$ZZ,23,FALSE)=1,100%,MIN(80%,$B$9+VLOOKUP($R140,武学奇术!$A:$ZZ,17,FALSE)+SUM(_xlfn.XLOOKUP(S140:AG140,增益!$A:$A,增益!$Q:$Q,0)))+$B$11+SUM(_xlfn.XLOOKUP(S140:AG140,增益!$A:$A,增益!$U:$U,0)))*IF(VLOOKUP($R140,武学奇术!$A:$ZZ,24,FALSE)=1,0,1)</f>
        <v>0.2285</v>
      </c>
      <c r="BL140" s="21" cm="1">
        <f t="array" ref="BL140">1+$B$13+VLOOKUP($R140,武学奇术!$A:$ZZ,18,FALSE)+SUM(_xlfn.XLOOKUP(S140:AG140,增益!$A:$A,增益!$R:$R,0))</f>
        <v>1.5</v>
      </c>
      <c r="BM140" s="21" cm="1">
        <f t="array" ref="BM140">IF(VLOOKUP($R140,武学奇术!$A:$ZZ,24,FALSE)=1,100%,MIN(40%,$B$10+VLOOKUP($R140,武学奇术!$A:$ZZ,19,FALSE)+SUM(_xlfn.XLOOKUP(S140:AG140,增益!$A:$A,增益!$S:$S,0)))+$B$12+SUM(_xlfn.XLOOKUP(S140:AG140,增益!$A:$A,增益!$V:$V,0)))*IF(VLOOKUP($R140,武学奇术!$A:$ZZ,23,FALSE)=1,0,1)</f>
        <v>0.4495</v>
      </c>
      <c r="BN140" s="21" cm="1">
        <f t="array" ref="BN140">1+$B$14+VLOOKUP($R140,武学奇术!$A:$ZZ,20,FALSE)+SUM(_xlfn.XLOOKUP(S140:AG140,增益!$A:$A,增益!$T:$T,0))</f>
        <v>1.602</v>
      </c>
      <c r="BO140" s="21">
        <f t="shared" si="31"/>
        <v>0.18803265</v>
      </c>
      <c r="BP140" s="21">
        <f t="shared" si="32"/>
        <v>0.2649738</v>
      </c>
      <c r="BQ140" s="21">
        <f>IF(VLOOKUP($R140,武学奇术!$A:$ZZ,22,FALSE)=1,0,(1-$BJ140))*(1-$BM140)</f>
        <v>0.09749355</v>
      </c>
      <c r="BR140" s="21" cm="1">
        <f t="array" ref="BR140">SUM(_xlfn.XLOOKUP(S140:AG140,增益!$A:$A,增益!$W:$W,0))+$I$5</f>
        <v>0.16</v>
      </c>
    </row>
    <row r="141" spans="11:70">
      <c r="K141" s="24">
        <f>$L141*VLOOKUP($R141,武学奇术!$A:$ZZ,31,FALSE)</f>
        <v>31332.0859595699</v>
      </c>
      <c r="L141" s="24">
        <f t="shared" si="22"/>
        <v>31332.0859595699</v>
      </c>
      <c r="M141" s="24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BL141*$Q141*(1+IF(VLOOKUP($R141,武学奇术!$A:$ZZ,30,FALSE)="流血",$B$21,0))*(1+$BR141)</f>
        <v>28102.5886400455</v>
      </c>
      <c r="N141" s="24">
        <f>(($AP141*$AI141+$AJ141)*(1+$AQ141)*(1+$AR141)+($AU141*IF($G$1="鸣金",$AK141,$AI141)+IF($G$1="鸣金",$AL141*1.5,0))*(1+$AV141)*(1+$AW141)+($AY141*IF($G$1="裂石",$AK141,$AI141)+IF($G$1="裂石",$AL141*1.5,0))*(1+$AZ141)*(1+$BA141)+($BC141*IF($G$1="牵丝",$AK141,$AI141)+IF($G$1="牵丝",$AL141*1.5,0))*(1+$BD141)*(1+$BE141)+($BG141*IF($G$1="破竹",$AK141,$AI141)+IF($G$1="破竹",$AL141*1.5,0))*(1+$BH141)*(1+$BI141))*(1+$AM141)*$BN141*$Q141*(1+IF(VLOOKUP($R141,武学奇术!$A:$ZZ,30,FALSE)="流血",$B$21,0))*(1+$BR141)</f>
        <v>44849.6561344653</v>
      </c>
      <c r="O141" s="24">
        <f>((($AO141+$AP141)/2*$AI141+$AJ141)*(1+$AQ141)*(1+$AR141)+(($AT141+$AU141)/2*IF($G$1="鸣金",$AK141,$AI141)+IF($G$1="鸣金",$AL141*1.5,0))*(1+$AV141)*(1+$AW141)+(($AX141+$AY141)/2*IF($G$1="裂石",$AK141,$AI141)+IF($G$1="裂石",$AL141*1.5,0))*(1+$AZ141)*(1+$BA141)+(($BB141+$BC141)/2*IF($G$1="牵丝",$AK141,$AI141)+IF($G$1="牵丝",$AL141*1.5,0))*(1+$BD141)*(1+$BE141)+(($BF141+$BG141)/2*IF($G$1="破竹",$AK141,$AI141)+IF($G$1="破竹",$AL141*1.5,0))*(1+$BH141)*(1+$BI141))*(1+$AM141)*$Q141*(1+IF(VLOOKUP($R141,武学奇术!$A:$ZZ,30,FALSE)="流血",$B$21,0))*(1+$BR141)</f>
        <v>18735.0590933637</v>
      </c>
      <c r="P141" s="24">
        <f>((($AO141*$AI141+$AJ141)*(1+$AQ141)*(1+$AR141)+($AT141*IF($G$1="鸣金",$AK141,$AI141)+IF($G$1="鸣金",$AL141*1.5,0))*(1+$AV141)*(1+$AW141)+($AX141*IF($G$1="裂石",$AK141,$AI141)+IF($G$1="裂石",$AL141*1.5,0))*(1+$AZ141)*(1+$BA141)+($BB141*IF($G$1="牵丝",$AK141,$AI141)+IF($G$1="牵丝",$AL141*1.5,0))*(1+$BD141)*(1+$BE141)+($BF141*IF($G$1="破竹",$AK141,$AI141)+IF($G$1="破竹",$AL141*1.5,0))*(1+$BH141)*(1+$BI141))*(1+$AM141))*$Q141*(1+IF(VLOOKUP($R141,武学奇术!$A:$ZZ,30,FALSE)="流血",$B$21,0))*(1+$BR141)</f>
        <v>9474.07815272908</v>
      </c>
      <c r="Q141" s="31">
        <v>1</v>
      </c>
      <c r="R141" s="32" t="s">
        <v>108</v>
      </c>
      <c r="S141" s="32" t="s">
        <v>87</v>
      </c>
      <c r="T141" s="32" t="s">
        <v>104</v>
      </c>
      <c r="U141" s="32" t="s">
        <v>73</v>
      </c>
      <c r="V141" s="32" t="s">
        <v>73</v>
      </c>
      <c r="W141" s="32" t="s">
        <v>73</v>
      </c>
      <c r="X141" s="32" t="s">
        <v>127</v>
      </c>
      <c r="Y141" s="32" t="s">
        <v>179</v>
      </c>
      <c r="Z141" s="32" t="s">
        <v>182</v>
      </c>
      <c r="AA141" s="32" t="s">
        <v>81</v>
      </c>
      <c r="AB141" s="32" t="s">
        <v>75</v>
      </c>
      <c r="AC141" s="32" t="s">
        <v>89</v>
      </c>
      <c r="AD141" s="32" t="s">
        <v>82</v>
      </c>
      <c r="AE141" s="32" t="s">
        <v>183</v>
      </c>
      <c r="AF141" s="32" t="s">
        <v>73</v>
      </c>
      <c r="AG141" s="32" t="s">
        <v>178</v>
      </c>
      <c r="AH141" t="str">
        <f>VLOOKUP($R141,武学奇术!$A:$ZZ,25,FALSE)</f>
        <v>枪</v>
      </c>
      <c r="AI141" s="21">
        <f>VLOOKUP($R141,武学奇术!$A:$ZZ,26,FALSE)</f>
        <v>1.02732</v>
      </c>
      <c r="AJ141" s="22">
        <f>VLOOKUP($R141,武学奇术!$A:$ZZ,27,FALSE)*(1+IF(OR($AH141=$F$4,$AH141=$F$5),$B$22,0))</f>
        <v>426.6</v>
      </c>
      <c r="AK141" s="21">
        <f>VLOOKUP($R141,武学奇术!$A:$ZZ,28,FALSE)</f>
        <v>1.54096</v>
      </c>
      <c r="AL141" s="22">
        <f>VLOOKUP($R141,武学奇术!$A:$ZZ,29,FALSE)*(1+IF(OR($AH141=$F$4,$AH141=$F$5),$B$22,0))</f>
        <v>232.2</v>
      </c>
      <c r="AM141" s="21" cm="1">
        <f t="array" ref="AM141">$G$3+IFERROR(VLOOKUP($AH141,$F$4:$G$7,2,FALSE),0)+VLOOKUP($R141,武学奇术!$A:$ZZ,2,FALSE)+SUM(_xlfn.XLOOKUP($S141:$AG141,增益!$A:$A,增益!$B:$B,0))</f>
        <v>0.8439</v>
      </c>
      <c r="AN141" s="21" cm="1">
        <f t="array" ref="AN141">VLOOKUP($R141,武学奇术!$A:$ZZ,5,FALSE)+SUM(_xlfn.XLOOKUP($S141:$AG141,增益!$A:$A,增益!$E:$E,0))</f>
        <v>0</v>
      </c>
      <c r="AO141" cm="1">
        <f t="array" ref="AO141">$D$10*(1+$AN141)+VLOOKUP($R141,武学奇术!$A:$ZZ,3,FALSE)+SUM(_xlfn.XLOOKUP($S141:$AG141,增益!$A:$A,增益!$C:$C,0))-$I$2</f>
        <v>1794.28</v>
      </c>
      <c r="AP141" cm="1">
        <f t="array" ref="AP141">$E$10*(1+$AN141)+VLOOKUP($R141,武学奇术!$A:$ZZ,4,FALSE)+SUM(_xlfn.XLOOKUP($S141:$AG141,增益!$A:$A,增益!$D:$D,0))-$I$2</f>
        <v>7726.36</v>
      </c>
      <c r="AQ141" s="26" cm="1">
        <f t="array" ref="AQ141">IF($F$10-$I$3+VLOOKUP($R141,武学奇术!$A:$ZZ,6,FALSE)+SUM(_xlfn.XLOOKUP(S141:AG141,增益!$A:$A,增益!$F:$F,0))&gt;0,($F$10-$I$3+VLOOKUP($R141,武学奇术!$A:$ZZ,6,FALSE)+SUM(_xlfn.XLOOKUP(S141:AG141,增益!$A:$A,增益!$F:$F,0)))/200,($F$10-$I$3+VLOOKUP($R141,武学奇术!$A:$ZZ,6,FALSE)+SUM(_xlfn.XLOOKUP(S141:AG141,增益!$A:$A,增益!$F:$F,0)))/100)</f>
        <v>0.244</v>
      </c>
      <c r="AR141" s="26" cm="1">
        <f t="array" ref="AR141">$G$10+VLOOKUP($R141,武学奇术!$A:$ZZ,7,FALSE)+SUM(_xlfn.XLOOKUP(S141:AG141,增益!$A:$A,增益!$G:$G,0))</f>
        <v>0</v>
      </c>
      <c r="AS141" s="21" cm="1">
        <f t="array" ref="AS141">VLOOKUP($R141,武学奇术!$A:$ZZ,8,FALSE)+SUM(_xlfn.XLOOKUP(S141:AG141,增益!$A:$A,增益!$H:$H,0))</f>
        <v>0</v>
      </c>
      <c r="AT141">
        <f t="shared" si="23"/>
        <v>680.02</v>
      </c>
      <c r="AU141">
        <f t="shared" si="24"/>
        <v>1288.54</v>
      </c>
      <c r="AV141" s="26" cm="1">
        <f t="array" ref="AV141">IF($F$11-$I$4+VLOOKUP($R141,武学奇术!$A:$ZZ,9,FALSE)+SUM(_xlfn.XLOOKUP(S141:AG141,增益!$A:$A,增益!$I:$I,0))&gt;0,($F$11-$I$4+VLOOKUP($R141,武学奇术!$A:$ZZ,9,FALSE)+SUM(_xlfn.XLOOKUP(S141:AG141,增益!$A:$A,增益!$I:$I,0)))/200,($F$11-$I$4+VLOOKUP($R141,武学奇术!$A:$ZZ,9,FALSE)+SUM(_xlfn.XLOOKUP(S141:AG141,增益!$A:$A,增益!$I:$I,0)))/100)</f>
        <v>0</v>
      </c>
      <c r="AW141" s="26" cm="1">
        <f t="array" ref="AW141">$G$11+VLOOKUP($R141,武学奇术!$A:$ZZ,10,FALSE)+SUM(_xlfn.XLOOKUP(S141:AG141,增益!$A:$A,增益!$J:$J,0))</f>
        <v>0.15</v>
      </c>
      <c r="AX141">
        <f t="shared" si="25"/>
        <v>0</v>
      </c>
      <c r="AY141">
        <f t="shared" si="26"/>
        <v>0</v>
      </c>
      <c r="AZ141" s="26" cm="1">
        <f t="array" ref="AZ141">IF($F$12-$I$4+VLOOKUP($R141,武学奇术!$A:$ZZ,11,FALSE)+SUM(_xlfn.XLOOKUP(S141:AG141,增益!$A:$A,增益!$K:$K,0))&gt;0,($F$12-$I$4+VLOOKUP($R141,武学奇术!$A:$ZZ,11,FALSE)+SUM(_xlfn.XLOOKUP(S141:AG141,增益!$A:$A,增益!$K:$K,0)))/200,($F$12-$I$4+VLOOKUP($R141,武学奇术!$A:$ZZ,11,FALSE)+SUM(_xlfn.XLOOKUP(S141:AG141,增益!$A:$A,增益!$K:$K,0)))/100)</f>
        <v>-0.3</v>
      </c>
      <c r="BA141" s="26" cm="1">
        <f t="array" ref="BA141">$G$12+VLOOKUP($R141,武学奇术!$A:$ZZ,12,FALSE)+SUM(_xlfn.XLOOKUP(S141:AG141,增益!$A:$A,增益!$L:$L,0))</f>
        <v>0</v>
      </c>
      <c r="BB141">
        <f t="shared" si="27"/>
        <v>0</v>
      </c>
      <c r="BC141">
        <f t="shared" si="28"/>
        <v>0</v>
      </c>
      <c r="BD141" s="26" cm="1">
        <f t="array" ref="BD141">IF($F$13-$I$4+VLOOKUP($R141,武学奇术!$A:$ZZ,13,FALSE)+SUM(_xlfn.XLOOKUP(S141:AG141,增益!$A:$A,增益!$M:$M,0))&gt;0,($F$13-$I$4+VLOOKUP($R141,武学奇术!$A:$ZZ,13,FALSE)+SUM(_xlfn.XLOOKUP(S141:AG141,增益!$A:$A,增益!$K:$K,0)))/200,($F$13-$I$4+VLOOKUP($R141,武学奇术!$A:$ZZ,13,FALSE)+SUM(_xlfn.XLOOKUP(S141:AG141,增益!$A:$A,增益!$M:$M,0)))/100)</f>
        <v>-0.3</v>
      </c>
      <c r="BE141" s="26" cm="1">
        <f t="array" ref="BE141">$G$13+VLOOKUP($R141,武学奇术!$A:$ZZ,14,FALSE)+SUM(_xlfn.XLOOKUP(S141:AG141,增益!$A:$A,增益!$N:$N,0))</f>
        <v>0</v>
      </c>
      <c r="BF141">
        <f t="shared" si="29"/>
        <v>0</v>
      </c>
      <c r="BG141">
        <f t="shared" si="30"/>
        <v>0</v>
      </c>
      <c r="BH141" s="26" cm="1">
        <f t="array" ref="BH141">IF($F$14-$I$4+VLOOKUP($R141,武学奇术!$A:$ZZ,15,FALSE)+SUM(_xlfn.XLOOKUP(S141:AG141,增益!$A:$A,增益!$O:$O,0))&gt;0,($F$14-$I$4+VLOOKUP($R141,武学奇术!$A:$ZZ,15,FALSE)+SUM(_xlfn.XLOOKUP(S141:AG141,增益!$A:$A,增益!$O:$O,0)))/200,($F$14-$I$4+VLOOKUP($R141,武学奇术!$A:$ZZ,15,FALSE)+SUM(_xlfn.XLOOKUP(S141:AG141,增益!$A:$A,增益!$O:$O,0)))/100)</f>
        <v>-0.3</v>
      </c>
      <c r="BI141" s="26" cm="1">
        <f t="array" ref="BI141">$G$14+VLOOKUP($R141,武学奇术!$A:$ZZ,16,FALSE)+SUM(_xlfn.XLOOKUP(S141:AG141,增益!$A:$A,增益!$P:$P,0))</f>
        <v>0</v>
      </c>
      <c r="BJ141" s="21">
        <f>MIN(IF(VLOOKUP($R141,武学奇术!$A:$ZZ,23,FALSE)=1,100%,$B$8),100%)</f>
        <v>0.8229</v>
      </c>
      <c r="BK141" s="21" cm="1">
        <f t="array" ref="BK141">IF(VLOOKUP($R141,武学奇术!$A:$ZZ,23,FALSE)=1,100%,MIN(80%,$B$9+VLOOKUP($R141,武学奇术!$A:$ZZ,17,FALSE)+SUM(_xlfn.XLOOKUP(S141:AG141,增益!$A:$A,增益!$Q:$Q,0)))+$B$11+SUM(_xlfn.XLOOKUP(S141:AG141,增益!$A:$A,增益!$U:$U,0)))*IF(VLOOKUP($R141,武学奇术!$A:$ZZ,24,FALSE)=1,0,1)</f>
        <v>0.2285</v>
      </c>
      <c r="BL141" s="21" cm="1">
        <f t="array" ref="BL141">1+$B$13+VLOOKUP($R141,武学奇术!$A:$ZZ,18,FALSE)+SUM(_xlfn.XLOOKUP(S141:AG141,增益!$A:$A,增益!$R:$R,0))</f>
        <v>1.5</v>
      </c>
      <c r="BM141" s="21" cm="1">
        <f t="array" ref="BM141">IF(VLOOKUP($R141,武学奇术!$A:$ZZ,24,FALSE)=1,100%,MIN(40%,$B$10+VLOOKUP($R141,武学奇术!$A:$ZZ,19,FALSE)+SUM(_xlfn.XLOOKUP(S141:AG141,增益!$A:$A,增益!$S:$S,0)))+$B$12+SUM(_xlfn.XLOOKUP(S141:AG141,增益!$A:$A,增益!$V:$V,0)))*IF(VLOOKUP($R141,武学奇术!$A:$ZZ,23,FALSE)=1,0,1)</f>
        <v>0.4495</v>
      </c>
      <c r="BN141" s="21" cm="1">
        <f t="array" ref="BN141">1+$B$14+VLOOKUP($R141,武学奇术!$A:$ZZ,20,FALSE)+SUM(_xlfn.XLOOKUP(S141:AG141,增益!$A:$A,增益!$T:$T,0))</f>
        <v>1.602</v>
      </c>
      <c r="BO141" s="21">
        <f t="shared" si="31"/>
        <v>0.18803265</v>
      </c>
      <c r="BP141" s="21">
        <f t="shared" si="32"/>
        <v>0.2649738</v>
      </c>
      <c r="BQ141" s="21">
        <f>IF(VLOOKUP($R141,武学奇术!$A:$ZZ,22,FALSE)=1,0,(1-$BJ141))*(1-$BM141)</f>
        <v>0.09749355</v>
      </c>
      <c r="BR141" s="21" cm="1">
        <f t="array" ref="BR141">SUM(_xlfn.XLOOKUP(S141:AG141,增益!$A:$A,增益!$W:$W,0))+$I$5</f>
        <v>0.16</v>
      </c>
    </row>
    <row r="142" spans="11:70">
      <c r="K142" s="24">
        <f>$L142*VLOOKUP($R142,武学奇术!$A:$ZZ,31,FALSE)</f>
        <v>92561.1442382834</v>
      </c>
      <c r="L142" s="24">
        <f t="shared" si="22"/>
        <v>154268.573730472</v>
      </c>
      <c r="M142" s="24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BL142*$Q142*(1+IF(VLOOKUP($R142,武学奇术!$A:$ZZ,30,FALSE)="流血",$B$21,0))*(1+$BR142)</f>
        <v>126299.728372739</v>
      </c>
      <c r="N142" s="24">
        <f>(($AP142*$AI142+$AJ142)*(1+$AQ142)*(1+$AR142)+($AU142*IF($G$1="鸣金",$AK142,$AI142)+IF($G$1="鸣金",$AL142*1.5,0))*(1+$AV142)*(1+$AW142)+($AY142*IF($G$1="裂石",$AK142,$AI142)+IF($G$1="裂石",$AL142*1.5,0))*(1+$AZ142)*(1+$BA142)+($BC142*IF($G$1="牵丝",$AK142,$AI142)+IF($G$1="牵丝",$AL142*1.5,0))*(1+$BD142)*(1+$BE142)+($BG142*IF($G$1="破竹",$AK142,$AI142)+IF($G$1="破竹",$AL142*1.5,0))*(1+$BH142)*(1+$BI142))*(1+$AM142)*$BN142*$Q142*(1+IF(VLOOKUP($R142,武学奇术!$A:$ZZ,30,FALSE)="流血",$B$21,0))*(1+$BR142)</f>
        <v>232507.205550045</v>
      </c>
      <c r="O142" s="24">
        <f>((($AO142+$AP142)/2*$AI142+$AJ142)*(1+$AQ142)*(1+$AR142)+(($AT142+$AU142)/2*IF($G$1="鸣金",$AK142,$AI142)+IF($G$1="鸣金",$AL142*1.5,0))*(1+$AV142)*(1+$AW142)+(($AX142+$AY142)/2*IF($G$1="裂石",$AK142,$AI142)+IF($G$1="裂石",$AL142*1.5,0))*(1+$AZ142)*(1+$BA142)+(($BB142+$BC142)/2*IF($G$1="牵丝",$AK142,$AI142)+IF($G$1="牵丝",$AL142*1.5,0))*(1+$BD142)*(1+$BE142)+(($BF142+$BG142)/2*IF($G$1="破竹",$AK142,$AI142)+IF($G$1="破竹",$AL142*1.5,0))*(1+$BH142)*(1+$BI142))*(1+$AM142)*$Q142*(1+IF(VLOOKUP($R142,武学奇术!$A:$ZZ,30,FALSE)="流血",$B$21,0))*(1+$BR142)</f>
        <v>84199.8189151591</v>
      </c>
      <c r="P142" s="24">
        <f>((($AO142*$AI142+$AJ142)*(1+$AQ142)*(1+$AR142)+($AT142*IF($G$1="鸣金",$AK142,$AI142)+IF($G$1="鸣金",$AL142*1.5,0))*(1+$AV142)*(1+$AW142)+($AX142*IF($G$1="裂石",$AK142,$AI142)+IF($G$1="裂石",$AL142*1.5,0))*(1+$AZ142)*(1+$BA142)+($BB142*IF($G$1="牵丝",$AK142,$AI142)+IF($G$1="牵丝",$AL142*1.5,0))*(1+$BD142)*(1+$BE142)+($BF142*IF($G$1="破竹",$AK142,$AI142)+IF($G$1="破竹",$AL142*1.5,0))*(1+$BH142)*(1+$BI142))*(1+$AM142))*$Q142*(1+IF(VLOOKUP($R142,武学奇术!$A:$ZZ,30,FALSE)="流血",$B$21,0))*(1+$BR142)</f>
        <v>37924.2138403938</v>
      </c>
      <c r="Q142" s="31">
        <v>1</v>
      </c>
      <c r="R142" s="32" t="s">
        <v>95</v>
      </c>
      <c r="S142" s="32" t="s">
        <v>87</v>
      </c>
      <c r="T142" s="32" t="s">
        <v>96</v>
      </c>
      <c r="U142" s="32" t="s">
        <v>97</v>
      </c>
      <c r="V142" s="32" t="s">
        <v>98</v>
      </c>
      <c r="W142" s="32" t="s">
        <v>111</v>
      </c>
      <c r="X142" s="32" t="s">
        <v>127</v>
      </c>
      <c r="Y142" s="32" t="s">
        <v>179</v>
      </c>
      <c r="Z142" s="32" t="s">
        <v>182</v>
      </c>
      <c r="AA142" s="32" t="s">
        <v>81</v>
      </c>
      <c r="AB142" s="32" t="s">
        <v>75</v>
      </c>
      <c r="AC142" s="32" t="s">
        <v>89</v>
      </c>
      <c r="AD142" s="32" t="s">
        <v>82</v>
      </c>
      <c r="AE142" s="32" t="s">
        <v>183</v>
      </c>
      <c r="AF142" s="32" t="s">
        <v>73</v>
      </c>
      <c r="AG142" s="32" t="s">
        <v>178</v>
      </c>
      <c r="AH142" t="str">
        <f>VLOOKUP($R142,武学奇术!$A:$ZZ,25,FALSE)</f>
        <v>剑</v>
      </c>
      <c r="AI142" s="21">
        <f>VLOOKUP($R142,武学奇术!$A:$ZZ,26,FALSE)</f>
        <v>2.52</v>
      </c>
      <c r="AJ142" s="22">
        <f>VLOOKUP($R142,武学奇术!$A:$ZZ,27,FALSE)*(1+IF(OR($AH142=$F$4,$AH142=$F$5),$B$22,0))</f>
        <v>0</v>
      </c>
      <c r="AK142" s="21">
        <f>VLOOKUP($R142,武学奇术!$A:$ZZ,28,FALSE)</f>
        <v>3.78</v>
      </c>
      <c r="AL142" s="22">
        <f>VLOOKUP($R142,武学奇术!$A:$ZZ,29,FALSE)*(1+IF(OR($AH142=$F$4,$AH142=$F$5),$B$22,0))</f>
        <v>0</v>
      </c>
      <c r="AM142" s="21" cm="1">
        <f t="array" ref="AM142">$G$3+IFERROR(VLOOKUP($AH142,$F$4:$G$7,2,FALSE),0)+VLOOKUP($R142,武学奇术!$A:$ZZ,2,FALSE)+SUM(_xlfn.XLOOKUP($S142:$AG142,增益!$A:$A,增益!$B:$B,0))</f>
        <v>1.6791</v>
      </c>
      <c r="AN142" s="21" cm="1">
        <f t="array" ref="AN142">VLOOKUP($R142,武学奇术!$A:$ZZ,5,FALSE)+SUM(_xlfn.XLOOKUP($S142:$AG142,增益!$A:$A,增益!$E:$E,0))</f>
        <v>0</v>
      </c>
      <c r="AO142" cm="1">
        <f t="array" ref="AO142">$D$10*(1+$AN142)+VLOOKUP($R142,武学奇术!$A:$ZZ,3,FALSE)+SUM(_xlfn.XLOOKUP($S142:$AG142,增益!$A:$A,增益!$C:$C,0))-$I$2</f>
        <v>1825.28</v>
      </c>
      <c r="AP142" cm="1">
        <f t="array" ref="AP142">$E$10*(1+$AN142)+VLOOKUP($R142,武学奇术!$A:$ZZ,4,FALSE)+SUM(_xlfn.XLOOKUP($S142:$AG142,增益!$A:$A,增益!$D:$D,0))-$I$2</f>
        <v>7757.36</v>
      </c>
      <c r="AQ142" s="26" cm="1">
        <f t="array" ref="AQ142">IF($F$10-$I$3+VLOOKUP($R142,武学奇术!$A:$ZZ,6,FALSE)+SUM(_xlfn.XLOOKUP(S142:AG142,增益!$A:$A,增益!$F:$F,0))&gt;0,($F$10-$I$3+VLOOKUP($R142,武学奇术!$A:$ZZ,6,FALSE)+SUM(_xlfn.XLOOKUP(S142:AG142,增益!$A:$A,增益!$F:$F,0)))/200,($F$10-$I$3+VLOOKUP($R142,武学奇术!$A:$ZZ,6,FALSE)+SUM(_xlfn.XLOOKUP(S142:AG142,增益!$A:$A,增益!$F:$F,0)))/100)</f>
        <v>0.319</v>
      </c>
      <c r="AR142" s="26" cm="1">
        <f t="array" ref="AR142">$G$10+VLOOKUP($R142,武学奇术!$A:$ZZ,7,FALSE)+SUM(_xlfn.XLOOKUP(S142:AG142,增益!$A:$A,增益!$G:$G,0))</f>
        <v>0</v>
      </c>
      <c r="AS142" s="21" cm="1">
        <f t="array" ref="AS142">VLOOKUP($R142,武学奇术!$A:$ZZ,8,FALSE)+SUM(_xlfn.XLOOKUP(S142:AG142,增益!$A:$A,增益!$H:$H,0))</f>
        <v>0</v>
      </c>
      <c r="AT142">
        <f t="shared" si="23"/>
        <v>680.02</v>
      </c>
      <c r="AU142">
        <f t="shared" si="24"/>
        <v>1288.54</v>
      </c>
      <c r="AV142" s="26" cm="1">
        <f t="array" ref="AV142">IF($F$11-$I$4+VLOOKUP($R142,武学奇术!$A:$ZZ,9,FALSE)+SUM(_xlfn.XLOOKUP(S142:AG142,增益!$A:$A,增益!$I:$I,0))&gt;0,($F$11-$I$4+VLOOKUP($R142,武学奇术!$A:$ZZ,9,FALSE)+SUM(_xlfn.XLOOKUP(S142:AG142,增益!$A:$A,增益!$I:$I,0)))/200,($F$11-$I$4+VLOOKUP($R142,武学奇术!$A:$ZZ,9,FALSE)+SUM(_xlfn.XLOOKUP(S142:AG142,增益!$A:$A,增益!$I:$I,0)))/100)</f>
        <v>0.075</v>
      </c>
      <c r="AW142" s="26" cm="1">
        <f t="array" ref="AW142">$G$11+VLOOKUP($R142,武学奇术!$A:$ZZ,10,FALSE)+SUM(_xlfn.XLOOKUP(S142:AG142,增益!$A:$A,增益!$J:$J,0))</f>
        <v>0.15</v>
      </c>
      <c r="AX142">
        <f t="shared" si="25"/>
        <v>0</v>
      </c>
      <c r="AY142">
        <f t="shared" si="26"/>
        <v>0</v>
      </c>
      <c r="AZ142" s="26" cm="1">
        <f t="array" ref="AZ142">IF($F$12-$I$4+VLOOKUP($R142,武学奇术!$A:$ZZ,11,FALSE)+SUM(_xlfn.XLOOKUP(S142:AG142,增益!$A:$A,增益!$K:$K,0))&gt;0,($F$12-$I$4+VLOOKUP($R142,武学奇术!$A:$ZZ,11,FALSE)+SUM(_xlfn.XLOOKUP(S142:AG142,增益!$A:$A,增益!$K:$K,0)))/200,($F$12-$I$4+VLOOKUP($R142,武学奇术!$A:$ZZ,11,FALSE)+SUM(_xlfn.XLOOKUP(S142:AG142,增益!$A:$A,增益!$K:$K,0)))/100)</f>
        <v>-0.3</v>
      </c>
      <c r="BA142" s="26" cm="1">
        <f t="array" ref="BA142">$G$12+VLOOKUP($R142,武学奇术!$A:$ZZ,12,FALSE)+SUM(_xlfn.XLOOKUP(S142:AG142,增益!$A:$A,增益!$L:$L,0))</f>
        <v>0</v>
      </c>
      <c r="BB142">
        <f t="shared" si="27"/>
        <v>0</v>
      </c>
      <c r="BC142">
        <f t="shared" si="28"/>
        <v>0</v>
      </c>
      <c r="BD142" s="26" cm="1">
        <f t="array" ref="BD142">IF($F$13-$I$4+VLOOKUP($R142,武学奇术!$A:$ZZ,13,FALSE)+SUM(_xlfn.XLOOKUP(S142:AG142,增益!$A:$A,增益!$M:$M,0))&gt;0,($F$13-$I$4+VLOOKUP($R142,武学奇术!$A:$ZZ,13,FALSE)+SUM(_xlfn.XLOOKUP(S142:AG142,增益!$A:$A,增益!$K:$K,0)))/200,($F$13-$I$4+VLOOKUP($R142,武学奇术!$A:$ZZ,13,FALSE)+SUM(_xlfn.XLOOKUP(S142:AG142,增益!$A:$A,增益!$M:$M,0)))/100)</f>
        <v>-0.3</v>
      </c>
      <c r="BE142" s="26" cm="1">
        <f t="array" ref="BE142">$G$13+VLOOKUP($R142,武学奇术!$A:$ZZ,14,FALSE)+SUM(_xlfn.XLOOKUP(S142:AG142,增益!$A:$A,增益!$N:$N,0))</f>
        <v>0</v>
      </c>
      <c r="BF142">
        <f t="shared" si="29"/>
        <v>0</v>
      </c>
      <c r="BG142">
        <f t="shared" si="30"/>
        <v>0</v>
      </c>
      <c r="BH142" s="26" cm="1">
        <f t="array" ref="BH142">IF($F$14-$I$4+VLOOKUP($R142,武学奇术!$A:$ZZ,15,FALSE)+SUM(_xlfn.XLOOKUP(S142:AG142,增益!$A:$A,增益!$O:$O,0))&gt;0,($F$14-$I$4+VLOOKUP($R142,武学奇术!$A:$ZZ,15,FALSE)+SUM(_xlfn.XLOOKUP(S142:AG142,增益!$A:$A,增益!$O:$O,0)))/200,($F$14-$I$4+VLOOKUP($R142,武学奇术!$A:$ZZ,15,FALSE)+SUM(_xlfn.XLOOKUP(S142:AG142,增益!$A:$A,增益!$O:$O,0)))/100)</f>
        <v>-0.3</v>
      </c>
      <c r="BI142" s="26" cm="1">
        <f t="array" ref="BI142">$G$14+VLOOKUP($R142,武学奇术!$A:$ZZ,16,FALSE)+SUM(_xlfn.XLOOKUP(S142:AG142,增益!$A:$A,增益!$P:$P,0))</f>
        <v>0</v>
      </c>
      <c r="BJ142" s="21">
        <f>MIN(IF(VLOOKUP($R142,武学奇术!$A:$ZZ,23,FALSE)=1,100%,$B$8),100%)</f>
        <v>0.8229</v>
      </c>
      <c r="BK142" s="21" cm="1">
        <f t="array" ref="BK142">IF(VLOOKUP($R142,武学奇术!$A:$ZZ,23,FALSE)=1,100%,MIN(80%,$B$9+VLOOKUP($R142,武学奇术!$A:$ZZ,17,FALSE)+SUM(_xlfn.XLOOKUP(S142:AG142,增益!$A:$A,增益!$Q:$Q,0)))+$B$11+SUM(_xlfn.XLOOKUP(S142:AG142,增益!$A:$A,增益!$U:$U,0)))*IF(VLOOKUP($R142,武学奇术!$A:$ZZ,24,FALSE)=1,0,1)</f>
        <v>0.2285</v>
      </c>
      <c r="BL142" s="21" cm="1">
        <f t="array" ref="BL142">1+$B$13+VLOOKUP($R142,武学奇术!$A:$ZZ,18,FALSE)+SUM(_xlfn.XLOOKUP(S142:AG142,增益!$A:$A,增益!$R:$R,0))</f>
        <v>1.5</v>
      </c>
      <c r="BM142" s="21" cm="1">
        <f t="array" ref="BM142">IF(VLOOKUP($R142,武学奇术!$A:$ZZ,24,FALSE)=1,100%,MIN(40%,$B$10+VLOOKUP($R142,武学奇术!$A:$ZZ,19,FALSE)+SUM(_xlfn.XLOOKUP(S142:AG142,增益!$A:$A,增益!$S:$S,0)))+$B$12+SUM(_xlfn.XLOOKUP(S142:AG142,增益!$A:$A,增益!$V:$V,0)))*IF(VLOOKUP($R142,武学奇术!$A:$ZZ,23,FALSE)=1,0,1)</f>
        <v>0.4495</v>
      </c>
      <c r="BN142" s="21" cm="1">
        <f t="array" ref="BN142">1+$B$14+VLOOKUP($R142,武学奇术!$A:$ZZ,20,FALSE)+SUM(_xlfn.XLOOKUP(S142:AG142,增益!$A:$A,增益!$T:$T,0))</f>
        <v>1.782</v>
      </c>
      <c r="BO142" s="21">
        <f t="shared" si="31"/>
        <v>0.18803265</v>
      </c>
      <c r="BP142" s="21">
        <f t="shared" si="32"/>
        <v>0.2649738</v>
      </c>
      <c r="BQ142" s="21">
        <f>IF(VLOOKUP($R142,武学奇术!$A:$ZZ,22,FALSE)=1,0,(1-$BJ142))*(1-$BM142)</f>
        <v>0.09749355</v>
      </c>
      <c r="BR142" s="21" cm="1">
        <f t="array" ref="BR142">SUM(_xlfn.XLOOKUP(S142:AG142,增益!$A:$A,增益!$W:$W,0))+$I$5</f>
        <v>0.16</v>
      </c>
    </row>
    <row r="143" spans="11:70">
      <c r="K143" s="24">
        <f>$L143*VLOOKUP($R143,武学奇术!$A:$ZZ,31,FALSE)</f>
        <v>36747.2518779626</v>
      </c>
      <c r="L143" s="24">
        <f t="shared" si="22"/>
        <v>36747.2518779626</v>
      </c>
      <c r="M143" s="24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BL143*$Q143*(1+IF(VLOOKUP($R143,武学奇术!$A:$ZZ,30,FALSE)="流血",$B$21,0))*(1+$BR143)</f>
        <v>32985.9829763489</v>
      </c>
      <c r="N143" s="24">
        <f>(($AP143*$AI143+$AJ143)*(1+$AQ143)*(1+$AR143)+($AU143*IF($G$1="鸣金",$AK143,$AI143)+IF($G$1="鸣金",$AL143*1.5,0))*(1+$AV143)*(1+$AW143)+($AY143*IF($G$1="裂石",$AK143,$AI143)+IF($G$1="裂石",$AL143*1.5,0))*(1+$AZ143)*(1+$BA143)+($BC143*IF($G$1="牵丝",$AK143,$AI143)+IF($G$1="牵丝",$AL143*1.5,0))*(1+$BD143)*(1+$BE143)+($BG143*IF($G$1="破竹",$AK143,$AI143)+IF($G$1="破竹",$AL143*1.5,0))*(1+$BH143)*(1+$BI143))*(1+$AM143)*$BN143*$Q143*(1+IF(VLOOKUP($R143,武学奇术!$A:$ZZ,30,FALSE)="流血",$B$21,0))*(1+$BR143)</f>
        <v>52567.4959901509</v>
      </c>
      <c r="O143" s="24">
        <f>((($AO143+$AP143)/2*$AI143+$AJ143)*(1+$AQ143)*(1+$AR143)+(($AT143+$AU143)/2*IF($G$1="鸣金",$AK143,$AI143)+IF($G$1="鸣金",$AL143*1.5,0))*(1+$AV143)*(1+$AW143)+(($AX143+$AY143)/2*IF($G$1="裂石",$AK143,$AI143)+IF($G$1="裂石",$AL143*1.5,0))*(1+$AZ143)*(1+$BA143)+(($BB143+$BC143)/2*IF($G$1="牵丝",$AK143,$AI143)+IF($G$1="牵丝",$AL143*1.5,0))*(1+$BD143)*(1+$BE143)+(($BF143+$BG143)/2*IF($G$1="破竹",$AK143,$AI143)+IF($G$1="破竹",$AL143*1.5,0))*(1+$BH143)*(1+$BI143))*(1+$AM143)*$Q143*(1+IF(VLOOKUP($R143,武学奇术!$A:$ZZ,30,FALSE)="流血",$B$21,0))*(1+$BR143)</f>
        <v>21990.6553175659</v>
      </c>
      <c r="P143" s="24">
        <f>((($AO143*$AI143+$AJ143)*(1+$AQ143)*(1+$AR143)+($AT143*IF($G$1="鸣金",$AK143,$AI143)+IF($G$1="鸣金",$AL143*1.5,0))*(1+$AV143)*(1+$AW143)+($AX143*IF($G$1="裂石",$AK143,$AI143)+IF($G$1="裂石",$AL143*1.5,0))*(1+$AZ143)*(1+$BA143)+($BB143*IF($G$1="牵丝",$AK143,$AI143)+IF($G$1="牵丝",$AL143*1.5,0))*(1+$BD143)*(1+$BE143)+($BF143*IF($G$1="破竹",$AK143,$AI143)+IF($G$1="破竹",$AL143*1.5,0))*(1+$BH143)*(1+$BI143))*(1+$AM143))*$Q143*(1+IF(VLOOKUP($R143,武学奇术!$A:$ZZ,30,FALSE)="流血",$B$21,0))*(1+$BR143)</f>
        <v>11167.6427261737</v>
      </c>
      <c r="Q143" s="31">
        <v>1</v>
      </c>
      <c r="R143" s="32" t="s">
        <v>86</v>
      </c>
      <c r="S143" s="32" t="s">
        <v>87</v>
      </c>
      <c r="T143" s="32" t="s">
        <v>104</v>
      </c>
      <c r="U143" s="32" t="s">
        <v>73</v>
      </c>
      <c r="V143" s="32" t="s">
        <v>73</v>
      </c>
      <c r="W143" s="32" t="s">
        <v>111</v>
      </c>
      <c r="X143" s="32" t="s">
        <v>127</v>
      </c>
      <c r="Y143" s="32" t="s">
        <v>179</v>
      </c>
      <c r="Z143" s="32" t="s">
        <v>182</v>
      </c>
      <c r="AA143" s="32" t="s">
        <v>81</v>
      </c>
      <c r="AB143" s="32" t="s">
        <v>75</v>
      </c>
      <c r="AC143" s="32" t="s">
        <v>89</v>
      </c>
      <c r="AD143" s="32" t="s">
        <v>82</v>
      </c>
      <c r="AE143" s="32" t="s">
        <v>90</v>
      </c>
      <c r="AF143" s="32" t="s">
        <v>73</v>
      </c>
      <c r="AG143" s="32" t="s">
        <v>178</v>
      </c>
      <c r="AH143" t="str">
        <f>VLOOKUP($R143,武学奇术!$A:$ZZ,25,FALSE)</f>
        <v>剑</v>
      </c>
      <c r="AI143" s="21">
        <f>VLOOKUP($R143,武学奇术!$A:$ZZ,26,FALSE)</f>
        <v>1.1781</v>
      </c>
      <c r="AJ143" s="22">
        <f>VLOOKUP($R143,武学奇术!$A:$ZZ,27,FALSE)*(1+IF(OR($AH143=$F$4,$AH143=$F$5),$B$22,0))</f>
        <v>489</v>
      </c>
      <c r="AK143" s="21">
        <f>VLOOKUP($R143,武学奇术!$A:$ZZ,28,FALSE)</f>
        <v>1.7672</v>
      </c>
      <c r="AL143" s="22">
        <f>VLOOKUP($R143,武学奇术!$A:$ZZ,29,FALSE)*(1+IF(OR($AH143=$F$4,$AH143=$F$5),$B$22,0))</f>
        <v>265.5</v>
      </c>
      <c r="AM143" s="21" cm="1">
        <f t="array" ref="AM143">$G$3+IFERROR(VLOOKUP($AH143,$F$4:$G$7,2,FALSE),0)+VLOOKUP($R143,武学奇术!$A:$ZZ,2,FALSE)+SUM(_xlfn.XLOOKUP($S143:$AG143,增益!$A:$A,增益!$B:$B,0))</f>
        <v>0.8791</v>
      </c>
      <c r="AN143" s="21" cm="1">
        <f t="array" ref="AN143">VLOOKUP($R143,武学奇术!$A:$ZZ,5,FALSE)+SUM(_xlfn.XLOOKUP($S143:$AG143,增益!$A:$A,增益!$E:$E,0))</f>
        <v>0</v>
      </c>
      <c r="AO143" cm="1">
        <f t="array" ref="AO143">$D$10*(1+$AN143)+VLOOKUP($R143,武学奇术!$A:$ZZ,3,FALSE)+SUM(_xlfn.XLOOKUP($S143:$AG143,增益!$A:$A,增益!$C:$C,0))-$I$2</f>
        <v>1825.28</v>
      </c>
      <c r="AP143" cm="1">
        <f t="array" ref="AP143">$E$10*(1+$AN143)+VLOOKUP($R143,武学奇术!$A:$ZZ,4,FALSE)+SUM(_xlfn.XLOOKUP($S143:$AG143,增益!$A:$A,增益!$D:$D,0))-$I$2</f>
        <v>7757.36</v>
      </c>
      <c r="AQ143" s="26" cm="1">
        <f t="array" ref="AQ143">IF($F$10-$I$3+VLOOKUP($R143,武学奇术!$A:$ZZ,6,FALSE)+SUM(_xlfn.XLOOKUP(S143:AG143,增益!$A:$A,增益!$F:$F,0))&gt;0,($F$10-$I$3+VLOOKUP($R143,武学奇术!$A:$ZZ,6,FALSE)+SUM(_xlfn.XLOOKUP(S143:AG143,增益!$A:$A,增益!$F:$F,0)))/200,($F$10-$I$3+VLOOKUP($R143,武学奇术!$A:$ZZ,6,FALSE)+SUM(_xlfn.XLOOKUP(S143:AG143,增益!$A:$A,增益!$F:$F,0)))/100)</f>
        <v>0.244</v>
      </c>
      <c r="AR143" s="26" cm="1">
        <f t="array" ref="AR143">$G$10+VLOOKUP($R143,武学奇术!$A:$ZZ,7,FALSE)+SUM(_xlfn.XLOOKUP(S143:AG143,增益!$A:$A,增益!$G:$G,0))</f>
        <v>0</v>
      </c>
      <c r="AS143" s="21" cm="1">
        <f t="array" ref="AS143">VLOOKUP($R143,武学奇术!$A:$ZZ,8,FALSE)+SUM(_xlfn.XLOOKUP(S143:AG143,增益!$A:$A,增益!$H:$H,0))</f>
        <v>0</v>
      </c>
      <c r="AT143">
        <f t="shared" si="23"/>
        <v>680.02</v>
      </c>
      <c r="AU143">
        <f t="shared" si="24"/>
        <v>1288.54</v>
      </c>
      <c r="AV143" s="26" cm="1">
        <f t="array" ref="AV143">IF($F$11-$I$4+VLOOKUP($R143,武学奇术!$A:$ZZ,9,FALSE)+SUM(_xlfn.XLOOKUP(S143:AG143,增益!$A:$A,增益!$I:$I,0))&gt;0,($F$11-$I$4+VLOOKUP($R143,武学奇术!$A:$ZZ,9,FALSE)+SUM(_xlfn.XLOOKUP(S143:AG143,增益!$A:$A,增益!$I:$I,0)))/200,($F$11-$I$4+VLOOKUP($R143,武学奇术!$A:$ZZ,9,FALSE)+SUM(_xlfn.XLOOKUP(S143:AG143,增益!$A:$A,增益!$I:$I,0)))/100)</f>
        <v>0</v>
      </c>
      <c r="AW143" s="26" cm="1">
        <f t="array" ref="AW143">$G$11+VLOOKUP($R143,武学奇术!$A:$ZZ,10,FALSE)+SUM(_xlfn.XLOOKUP(S143:AG143,增益!$A:$A,增益!$J:$J,0))</f>
        <v>0.15</v>
      </c>
      <c r="AX143">
        <f t="shared" si="25"/>
        <v>0</v>
      </c>
      <c r="AY143">
        <f t="shared" si="26"/>
        <v>0</v>
      </c>
      <c r="AZ143" s="26" cm="1">
        <f t="array" ref="AZ143">IF($F$12-$I$4+VLOOKUP($R143,武学奇术!$A:$ZZ,11,FALSE)+SUM(_xlfn.XLOOKUP(S143:AG143,增益!$A:$A,增益!$K:$K,0))&gt;0,($F$12-$I$4+VLOOKUP($R143,武学奇术!$A:$ZZ,11,FALSE)+SUM(_xlfn.XLOOKUP(S143:AG143,增益!$A:$A,增益!$K:$K,0)))/200,($F$12-$I$4+VLOOKUP($R143,武学奇术!$A:$ZZ,11,FALSE)+SUM(_xlfn.XLOOKUP(S143:AG143,增益!$A:$A,增益!$K:$K,0)))/100)</f>
        <v>-0.3</v>
      </c>
      <c r="BA143" s="26" cm="1">
        <f t="array" ref="BA143">$G$12+VLOOKUP($R143,武学奇术!$A:$ZZ,12,FALSE)+SUM(_xlfn.XLOOKUP(S143:AG143,增益!$A:$A,增益!$L:$L,0))</f>
        <v>0</v>
      </c>
      <c r="BB143">
        <f t="shared" si="27"/>
        <v>0</v>
      </c>
      <c r="BC143">
        <f t="shared" si="28"/>
        <v>0</v>
      </c>
      <c r="BD143" s="26" cm="1">
        <f t="array" ref="BD143">IF($F$13-$I$4+VLOOKUP($R143,武学奇术!$A:$ZZ,13,FALSE)+SUM(_xlfn.XLOOKUP(S143:AG143,增益!$A:$A,增益!$M:$M,0))&gt;0,($F$13-$I$4+VLOOKUP($R143,武学奇术!$A:$ZZ,13,FALSE)+SUM(_xlfn.XLOOKUP(S143:AG143,增益!$A:$A,增益!$K:$K,0)))/200,($F$13-$I$4+VLOOKUP($R143,武学奇术!$A:$ZZ,13,FALSE)+SUM(_xlfn.XLOOKUP(S143:AG143,增益!$A:$A,增益!$M:$M,0)))/100)</f>
        <v>-0.3</v>
      </c>
      <c r="BE143" s="26" cm="1">
        <f t="array" ref="BE143">$G$13+VLOOKUP($R143,武学奇术!$A:$ZZ,14,FALSE)+SUM(_xlfn.XLOOKUP(S143:AG143,增益!$A:$A,增益!$N:$N,0))</f>
        <v>0</v>
      </c>
      <c r="BF143">
        <f t="shared" si="29"/>
        <v>0</v>
      </c>
      <c r="BG143">
        <f t="shared" si="30"/>
        <v>0</v>
      </c>
      <c r="BH143" s="26" cm="1">
        <f t="array" ref="BH143">IF($F$14-$I$4+VLOOKUP($R143,武学奇术!$A:$ZZ,15,FALSE)+SUM(_xlfn.XLOOKUP(S143:AG143,增益!$A:$A,增益!$O:$O,0))&gt;0,($F$14-$I$4+VLOOKUP($R143,武学奇术!$A:$ZZ,15,FALSE)+SUM(_xlfn.XLOOKUP(S143:AG143,增益!$A:$A,增益!$O:$O,0)))/200,($F$14-$I$4+VLOOKUP($R143,武学奇术!$A:$ZZ,15,FALSE)+SUM(_xlfn.XLOOKUP(S143:AG143,增益!$A:$A,增益!$O:$O,0)))/100)</f>
        <v>-0.3</v>
      </c>
      <c r="BI143" s="26" cm="1">
        <f t="array" ref="BI143">$G$14+VLOOKUP($R143,武学奇术!$A:$ZZ,16,FALSE)+SUM(_xlfn.XLOOKUP(S143:AG143,增益!$A:$A,增益!$P:$P,0))</f>
        <v>0</v>
      </c>
      <c r="BJ143" s="21">
        <f>MIN(IF(VLOOKUP($R143,武学奇术!$A:$ZZ,23,FALSE)=1,100%,$B$8),100%)</f>
        <v>0.8229</v>
      </c>
      <c r="BK143" s="21" cm="1">
        <f t="array" ref="BK143">IF(VLOOKUP($R143,武学奇术!$A:$ZZ,23,FALSE)=1,100%,MIN(80%,$B$9+VLOOKUP($R143,武学奇术!$A:$ZZ,17,FALSE)+SUM(_xlfn.XLOOKUP(S143:AG143,增益!$A:$A,增益!$Q:$Q,0)))+$B$11+SUM(_xlfn.XLOOKUP(S143:AG143,增益!$A:$A,增益!$U:$U,0)))*IF(VLOOKUP($R143,武学奇术!$A:$ZZ,24,FALSE)=1,0,1)</f>
        <v>0.2285</v>
      </c>
      <c r="BL143" s="21" cm="1">
        <f t="array" ref="BL143">1+$B$13+VLOOKUP($R143,武学奇术!$A:$ZZ,18,FALSE)+SUM(_xlfn.XLOOKUP(S143:AG143,增益!$A:$A,增益!$R:$R,0))</f>
        <v>1.5</v>
      </c>
      <c r="BM143" s="21" cm="1">
        <f t="array" ref="BM143">IF(VLOOKUP($R143,武学奇术!$A:$ZZ,24,FALSE)=1,100%,MIN(40%,$B$10+VLOOKUP($R143,武学奇术!$A:$ZZ,19,FALSE)+SUM(_xlfn.XLOOKUP(S143:AG143,增益!$A:$A,增益!$S:$S,0)))+$B$12+SUM(_xlfn.XLOOKUP(S143:AG143,增益!$A:$A,增益!$V:$V,0)))*IF(VLOOKUP($R143,武学奇术!$A:$ZZ,23,FALSE)=1,0,1)</f>
        <v>0.4495</v>
      </c>
      <c r="BN143" s="21" cm="1">
        <f t="array" ref="BN143">1+$B$14+VLOOKUP($R143,武学奇术!$A:$ZZ,20,FALSE)+SUM(_xlfn.XLOOKUP(S143:AG143,增益!$A:$A,增益!$T:$T,0))</f>
        <v>1.602</v>
      </c>
      <c r="BO143" s="21">
        <f t="shared" si="31"/>
        <v>0.18803265</v>
      </c>
      <c r="BP143" s="21">
        <f t="shared" si="32"/>
        <v>0.2649738</v>
      </c>
      <c r="BQ143" s="21">
        <f>IF(VLOOKUP($R143,武学奇术!$A:$ZZ,22,FALSE)=1,0,(1-$BJ143))*(1-$BM143)</f>
        <v>0.09749355</v>
      </c>
      <c r="BR143" s="21" cm="1">
        <f t="array" ref="BR143">SUM(_xlfn.XLOOKUP(S143:AG143,增益!$A:$A,增益!$W:$W,0))+$I$5</f>
        <v>0.16</v>
      </c>
    </row>
    <row r="144" spans="11:70">
      <c r="K144" s="24">
        <f>$L144*VLOOKUP($R144,武学奇术!$A:$ZZ,31,FALSE)</f>
        <v>90833.6770993509</v>
      </c>
      <c r="L144" s="24">
        <f t="shared" si="22"/>
        <v>151389.461832251</v>
      </c>
      <c r="M144" s="24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BL144*$Q144*(1+IF(VLOOKUP($R144,武学奇术!$A:$ZZ,30,FALSE)="流血",$B$21,0))*(1+$BR144)</f>
        <v>123942.598583393</v>
      </c>
      <c r="N144" s="24">
        <f>(($AP144*$AI144+$AJ144)*(1+$AQ144)*(1+$AR144)+($AU144*IF($G$1="鸣金",$AK144,$AI144)+IF($G$1="鸣金",$AL144*1.5,0))*(1+$AV144)*(1+$AW144)+($AY144*IF($G$1="裂石",$AK144,$AI144)+IF($G$1="裂石",$AL144*1.5,0))*(1+$AZ144)*(1+$BA144)+($BC144*IF($G$1="牵丝",$AK144,$AI144)+IF($G$1="牵丝",$AL144*1.5,0))*(1+$BD144)*(1+$BE144)+($BG144*IF($G$1="破竹",$AK144,$AI144)+IF($G$1="破竹",$AL144*1.5,0))*(1+$BH144)*(1+$BI144))*(1+$AM144)*$BN144*$Q144*(1+IF(VLOOKUP($R144,武学奇术!$A:$ZZ,30,FALSE)="流血",$B$21,0))*(1+$BR144)</f>
        <v>228167.92733068</v>
      </c>
      <c r="O144" s="24">
        <f>((($AO144+$AP144)/2*$AI144+$AJ144)*(1+$AQ144)*(1+$AR144)+(($AT144+$AU144)/2*IF($G$1="鸣金",$AK144,$AI144)+IF($G$1="鸣金",$AL144*1.5,0))*(1+$AV144)*(1+$AW144)+(($AX144+$AY144)/2*IF($G$1="裂石",$AK144,$AI144)+IF($G$1="裂石",$AL144*1.5,0))*(1+$AZ144)*(1+$BA144)+(($BB144+$BC144)/2*IF($G$1="牵丝",$AK144,$AI144)+IF($G$1="牵丝",$AL144*1.5,0))*(1+$BD144)*(1+$BE144)+(($BF144+$BG144)/2*IF($G$1="破竹",$AK144,$AI144)+IF($G$1="破竹",$AL144*1.5,0))*(1+$BH144)*(1+$BI144))*(1+$AM144)*$Q144*(1+IF(VLOOKUP($R144,武学奇术!$A:$ZZ,30,FALSE)="流血",$B$21,0))*(1+$BR144)</f>
        <v>82628.3990555951</v>
      </c>
      <c r="P144" s="24">
        <f>((($AO144*$AI144+$AJ144)*(1+$AQ144)*(1+$AR144)+($AT144*IF($G$1="鸣金",$AK144,$AI144)+IF($G$1="鸣金",$AL144*1.5,0))*(1+$AV144)*(1+$AW144)+($AX144*IF($G$1="裂石",$AK144,$AI144)+IF($G$1="裂石",$AL144*1.5,0))*(1+$AZ144)*(1+$BA144)+($BB144*IF($G$1="牵丝",$AK144,$AI144)+IF($G$1="牵丝",$AL144*1.5,0))*(1+$BD144)*(1+$BE144)+($BF144*IF($G$1="破竹",$AK144,$AI144)+IF($G$1="破竹",$AL144*1.5,0))*(1+$BH144)*(1+$BI144))*(1+$AM144))*$Q144*(1+IF(VLOOKUP($R144,武学奇术!$A:$ZZ,30,FALSE)="流血",$B$21,0))*(1+$BR144)</f>
        <v>37216.4348504271</v>
      </c>
      <c r="Q144" s="31">
        <v>1</v>
      </c>
      <c r="R144" s="32" t="s">
        <v>95</v>
      </c>
      <c r="S144" s="32" t="s">
        <v>87</v>
      </c>
      <c r="T144" s="32" t="s">
        <v>96</v>
      </c>
      <c r="U144" s="32" t="s">
        <v>97</v>
      </c>
      <c r="V144" s="32" t="s">
        <v>98</v>
      </c>
      <c r="W144" s="32" t="s">
        <v>111</v>
      </c>
      <c r="X144" s="32" t="s">
        <v>127</v>
      </c>
      <c r="Y144" s="32" t="s">
        <v>179</v>
      </c>
      <c r="Z144" s="32" t="s">
        <v>182</v>
      </c>
      <c r="AA144" s="32" t="s">
        <v>81</v>
      </c>
      <c r="AB144" s="32" t="s">
        <v>75</v>
      </c>
      <c r="AC144" s="32" t="s">
        <v>89</v>
      </c>
      <c r="AD144" s="32" t="s">
        <v>82</v>
      </c>
      <c r="AE144" s="32" t="s">
        <v>90</v>
      </c>
      <c r="AF144" s="32" t="s">
        <v>73</v>
      </c>
      <c r="AG144" s="32" t="s">
        <v>178</v>
      </c>
      <c r="AH144" t="str">
        <f>VLOOKUP($R144,武学奇术!$A:$ZZ,25,FALSE)</f>
        <v>剑</v>
      </c>
      <c r="AI144" s="21">
        <f>VLOOKUP($R144,武学奇术!$A:$ZZ,26,FALSE)</f>
        <v>2.52</v>
      </c>
      <c r="AJ144" s="22">
        <f>VLOOKUP($R144,武学奇术!$A:$ZZ,27,FALSE)*(1+IF(OR($AH144=$F$4,$AH144=$F$5),$B$22,0))</f>
        <v>0</v>
      </c>
      <c r="AK144" s="21">
        <f>VLOOKUP($R144,武学奇术!$A:$ZZ,28,FALSE)</f>
        <v>3.78</v>
      </c>
      <c r="AL144" s="22">
        <f>VLOOKUP($R144,武学奇术!$A:$ZZ,29,FALSE)*(1+IF(OR($AH144=$F$4,$AH144=$F$5),$B$22,0))</f>
        <v>0</v>
      </c>
      <c r="AM144" s="21" cm="1">
        <f t="array" ref="AM144">$G$3+IFERROR(VLOOKUP($AH144,$F$4:$G$7,2,FALSE),0)+VLOOKUP($R144,武学奇术!$A:$ZZ,2,FALSE)+SUM(_xlfn.XLOOKUP($S144:$AG144,增益!$A:$A,增益!$B:$B,0))</f>
        <v>1.6291</v>
      </c>
      <c r="AN144" s="21" cm="1">
        <f t="array" ref="AN144">VLOOKUP($R144,武学奇术!$A:$ZZ,5,FALSE)+SUM(_xlfn.XLOOKUP($S144:$AG144,增益!$A:$A,增益!$E:$E,0))</f>
        <v>0</v>
      </c>
      <c r="AO144" cm="1">
        <f t="array" ref="AO144">$D$10*(1+$AN144)+VLOOKUP($R144,武学奇术!$A:$ZZ,3,FALSE)+SUM(_xlfn.XLOOKUP($S144:$AG144,增益!$A:$A,增益!$C:$C,0))-$I$2</f>
        <v>1825.28</v>
      </c>
      <c r="AP144" cm="1">
        <f t="array" ref="AP144">$E$10*(1+$AN144)+VLOOKUP($R144,武学奇术!$A:$ZZ,4,FALSE)+SUM(_xlfn.XLOOKUP($S144:$AG144,增益!$A:$A,增益!$D:$D,0))-$I$2</f>
        <v>7757.36</v>
      </c>
      <c r="AQ144" s="26" cm="1">
        <f t="array" ref="AQ144">IF($F$10-$I$3+VLOOKUP($R144,武学奇术!$A:$ZZ,6,FALSE)+SUM(_xlfn.XLOOKUP(S144:AG144,增益!$A:$A,增益!$F:$F,0))&gt;0,($F$10-$I$3+VLOOKUP($R144,武学奇术!$A:$ZZ,6,FALSE)+SUM(_xlfn.XLOOKUP(S144:AG144,增益!$A:$A,增益!$F:$F,0)))/200,($F$10-$I$3+VLOOKUP($R144,武学奇术!$A:$ZZ,6,FALSE)+SUM(_xlfn.XLOOKUP(S144:AG144,增益!$A:$A,增益!$F:$F,0)))/100)</f>
        <v>0.319</v>
      </c>
      <c r="AR144" s="26" cm="1">
        <f t="array" ref="AR144">$G$10+VLOOKUP($R144,武学奇术!$A:$ZZ,7,FALSE)+SUM(_xlfn.XLOOKUP(S144:AG144,增益!$A:$A,增益!$G:$G,0))</f>
        <v>0</v>
      </c>
      <c r="AS144" s="21" cm="1">
        <f t="array" ref="AS144">VLOOKUP($R144,武学奇术!$A:$ZZ,8,FALSE)+SUM(_xlfn.XLOOKUP(S144:AG144,增益!$A:$A,增益!$H:$H,0))</f>
        <v>0</v>
      </c>
      <c r="AT144">
        <f t="shared" si="23"/>
        <v>680.02</v>
      </c>
      <c r="AU144">
        <f t="shared" si="24"/>
        <v>1288.54</v>
      </c>
      <c r="AV144" s="26" cm="1">
        <f t="array" ref="AV144">IF($F$11-$I$4+VLOOKUP($R144,武学奇术!$A:$ZZ,9,FALSE)+SUM(_xlfn.XLOOKUP(S144:AG144,增益!$A:$A,增益!$I:$I,0))&gt;0,($F$11-$I$4+VLOOKUP($R144,武学奇术!$A:$ZZ,9,FALSE)+SUM(_xlfn.XLOOKUP(S144:AG144,增益!$A:$A,增益!$I:$I,0)))/200,($F$11-$I$4+VLOOKUP($R144,武学奇术!$A:$ZZ,9,FALSE)+SUM(_xlfn.XLOOKUP(S144:AG144,增益!$A:$A,增益!$I:$I,0)))/100)</f>
        <v>0.075</v>
      </c>
      <c r="AW144" s="26" cm="1">
        <f t="array" ref="AW144">$G$11+VLOOKUP($R144,武学奇术!$A:$ZZ,10,FALSE)+SUM(_xlfn.XLOOKUP(S144:AG144,增益!$A:$A,增益!$J:$J,0))</f>
        <v>0.15</v>
      </c>
      <c r="AX144">
        <f t="shared" si="25"/>
        <v>0</v>
      </c>
      <c r="AY144">
        <f t="shared" si="26"/>
        <v>0</v>
      </c>
      <c r="AZ144" s="26" cm="1">
        <f t="array" ref="AZ144">IF($F$12-$I$4+VLOOKUP($R144,武学奇术!$A:$ZZ,11,FALSE)+SUM(_xlfn.XLOOKUP(S144:AG144,增益!$A:$A,增益!$K:$K,0))&gt;0,($F$12-$I$4+VLOOKUP($R144,武学奇术!$A:$ZZ,11,FALSE)+SUM(_xlfn.XLOOKUP(S144:AG144,增益!$A:$A,增益!$K:$K,0)))/200,($F$12-$I$4+VLOOKUP($R144,武学奇术!$A:$ZZ,11,FALSE)+SUM(_xlfn.XLOOKUP(S144:AG144,增益!$A:$A,增益!$K:$K,0)))/100)</f>
        <v>-0.3</v>
      </c>
      <c r="BA144" s="26" cm="1">
        <f t="array" ref="BA144">$G$12+VLOOKUP($R144,武学奇术!$A:$ZZ,12,FALSE)+SUM(_xlfn.XLOOKUP(S144:AG144,增益!$A:$A,增益!$L:$L,0))</f>
        <v>0</v>
      </c>
      <c r="BB144">
        <f t="shared" si="27"/>
        <v>0</v>
      </c>
      <c r="BC144">
        <f t="shared" si="28"/>
        <v>0</v>
      </c>
      <c r="BD144" s="26" cm="1">
        <f t="array" ref="BD144">IF($F$13-$I$4+VLOOKUP($R144,武学奇术!$A:$ZZ,13,FALSE)+SUM(_xlfn.XLOOKUP(S144:AG144,增益!$A:$A,增益!$M:$M,0))&gt;0,($F$13-$I$4+VLOOKUP($R144,武学奇术!$A:$ZZ,13,FALSE)+SUM(_xlfn.XLOOKUP(S144:AG144,增益!$A:$A,增益!$K:$K,0)))/200,($F$13-$I$4+VLOOKUP($R144,武学奇术!$A:$ZZ,13,FALSE)+SUM(_xlfn.XLOOKUP(S144:AG144,增益!$A:$A,增益!$M:$M,0)))/100)</f>
        <v>-0.3</v>
      </c>
      <c r="BE144" s="26" cm="1">
        <f t="array" ref="BE144">$G$13+VLOOKUP($R144,武学奇术!$A:$ZZ,14,FALSE)+SUM(_xlfn.XLOOKUP(S144:AG144,增益!$A:$A,增益!$N:$N,0))</f>
        <v>0</v>
      </c>
      <c r="BF144">
        <f t="shared" si="29"/>
        <v>0</v>
      </c>
      <c r="BG144">
        <f t="shared" si="30"/>
        <v>0</v>
      </c>
      <c r="BH144" s="26" cm="1">
        <f t="array" ref="BH144">IF($F$14-$I$4+VLOOKUP($R144,武学奇术!$A:$ZZ,15,FALSE)+SUM(_xlfn.XLOOKUP(S144:AG144,增益!$A:$A,增益!$O:$O,0))&gt;0,($F$14-$I$4+VLOOKUP($R144,武学奇术!$A:$ZZ,15,FALSE)+SUM(_xlfn.XLOOKUP(S144:AG144,增益!$A:$A,增益!$O:$O,0)))/200,($F$14-$I$4+VLOOKUP($R144,武学奇术!$A:$ZZ,15,FALSE)+SUM(_xlfn.XLOOKUP(S144:AG144,增益!$A:$A,增益!$O:$O,0)))/100)</f>
        <v>-0.3</v>
      </c>
      <c r="BI144" s="26" cm="1">
        <f t="array" ref="BI144">$G$14+VLOOKUP($R144,武学奇术!$A:$ZZ,16,FALSE)+SUM(_xlfn.XLOOKUP(S144:AG144,增益!$A:$A,增益!$P:$P,0))</f>
        <v>0</v>
      </c>
      <c r="BJ144" s="21">
        <f>MIN(IF(VLOOKUP($R144,武学奇术!$A:$ZZ,23,FALSE)=1,100%,$B$8),100%)</f>
        <v>0.8229</v>
      </c>
      <c r="BK144" s="21" cm="1">
        <f t="array" ref="BK144">IF(VLOOKUP($R144,武学奇术!$A:$ZZ,23,FALSE)=1,100%,MIN(80%,$B$9+VLOOKUP($R144,武学奇术!$A:$ZZ,17,FALSE)+SUM(_xlfn.XLOOKUP(S144:AG144,增益!$A:$A,增益!$Q:$Q,0)))+$B$11+SUM(_xlfn.XLOOKUP(S144:AG144,增益!$A:$A,增益!$U:$U,0)))*IF(VLOOKUP($R144,武学奇术!$A:$ZZ,24,FALSE)=1,0,1)</f>
        <v>0.2285</v>
      </c>
      <c r="BL144" s="21" cm="1">
        <f t="array" ref="BL144">1+$B$13+VLOOKUP($R144,武学奇术!$A:$ZZ,18,FALSE)+SUM(_xlfn.XLOOKUP(S144:AG144,增益!$A:$A,增益!$R:$R,0))</f>
        <v>1.5</v>
      </c>
      <c r="BM144" s="21" cm="1">
        <f t="array" ref="BM144">IF(VLOOKUP($R144,武学奇术!$A:$ZZ,24,FALSE)=1,100%,MIN(40%,$B$10+VLOOKUP($R144,武学奇术!$A:$ZZ,19,FALSE)+SUM(_xlfn.XLOOKUP(S144:AG144,增益!$A:$A,增益!$S:$S,0)))+$B$12+SUM(_xlfn.XLOOKUP(S144:AG144,增益!$A:$A,增益!$V:$V,0)))*IF(VLOOKUP($R144,武学奇术!$A:$ZZ,23,FALSE)=1,0,1)</f>
        <v>0.4495</v>
      </c>
      <c r="BN144" s="21" cm="1">
        <f t="array" ref="BN144">1+$B$14+VLOOKUP($R144,武学奇术!$A:$ZZ,20,FALSE)+SUM(_xlfn.XLOOKUP(S144:AG144,增益!$A:$A,增益!$T:$T,0))</f>
        <v>1.782</v>
      </c>
      <c r="BO144" s="21">
        <f t="shared" si="31"/>
        <v>0.18803265</v>
      </c>
      <c r="BP144" s="21">
        <f t="shared" si="32"/>
        <v>0.2649738</v>
      </c>
      <c r="BQ144" s="21">
        <f>IF(VLOOKUP($R144,武学奇术!$A:$ZZ,22,FALSE)=1,0,(1-$BJ144))*(1-$BM144)</f>
        <v>0.09749355</v>
      </c>
      <c r="BR144" s="21" cm="1">
        <f t="array" ref="BR144">SUM(_xlfn.XLOOKUP(S144:AG144,增益!$A:$A,增益!$W:$W,0))+$I$5</f>
        <v>0.16</v>
      </c>
    </row>
    <row r="145" spans="11:70">
      <c r="K145" s="24">
        <f>$L145*VLOOKUP($R145,武学奇术!$A:$ZZ,31,FALSE)</f>
        <v>90833.6770993509</v>
      </c>
      <c r="L145" s="24">
        <f t="shared" si="22"/>
        <v>151389.461832251</v>
      </c>
      <c r="M145" s="24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BL145*$Q145*(1+IF(VLOOKUP($R145,武学奇术!$A:$ZZ,30,FALSE)="流血",$B$21,0))*(1+$BR145)</f>
        <v>123942.598583393</v>
      </c>
      <c r="N145" s="24">
        <f>(($AP145*$AI145+$AJ145)*(1+$AQ145)*(1+$AR145)+($AU145*IF($G$1="鸣金",$AK145,$AI145)+IF($G$1="鸣金",$AL145*1.5,0))*(1+$AV145)*(1+$AW145)+($AY145*IF($G$1="裂石",$AK145,$AI145)+IF($G$1="裂石",$AL145*1.5,0))*(1+$AZ145)*(1+$BA145)+($BC145*IF($G$1="牵丝",$AK145,$AI145)+IF($G$1="牵丝",$AL145*1.5,0))*(1+$BD145)*(1+$BE145)+($BG145*IF($G$1="破竹",$AK145,$AI145)+IF($G$1="破竹",$AL145*1.5,0))*(1+$BH145)*(1+$BI145))*(1+$AM145)*$BN145*$Q145*(1+IF(VLOOKUP($R145,武学奇术!$A:$ZZ,30,FALSE)="流血",$B$21,0))*(1+$BR145)</f>
        <v>228167.92733068</v>
      </c>
      <c r="O145" s="24">
        <f>((($AO145+$AP145)/2*$AI145+$AJ145)*(1+$AQ145)*(1+$AR145)+(($AT145+$AU145)/2*IF($G$1="鸣金",$AK145,$AI145)+IF($G$1="鸣金",$AL145*1.5,0))*(1+$AV145)*(1+$AW145)+(($AX145+$AY145)/2*IF($G$1="裂石",$AK145,$AI145)+IF($G$1="裂石",$AL145*1.5,0))*(1+$AZ145)*(1+$BA145)+(($BB145+$BC145)/2*IF($G$1="牵丝",$AK145,$AI145)+IF($G$1="牵丝",$AL145*1.5,0))*(1+$BD145)*(1+$BE145)+(($BF145+$BG145)/2*IF($G$1="破竹",$AK145,$AI145)+IF($G$1="破竹",$AL145*1.5,0))*(1+$BH145)*(1+$BI145))*(1+$AM145)*$Q145*(1+IF(VLOOKUP($R145,武学奇术!$A:$ZZ,30,FALSE)="流血",$B$21,0))*(1+$BR145)</f>
        <v>82628.3990555951</v>
      </c>
      <c r="P145" s="24">
        <f>((($AO145*$AI145+$AJ145)*(1+$AQ145)*(1+$AR145)+($AT145*IF($G$1="鸣金",$AK145,$AI145)+IF($G$1="鸣金",$AL145*1.5,0))*(1+$AV145)*(1+$AW145)+($AX145*IF($G$1="裂石",$AK145,$AI145)+IF($G$1="裂石",$AL145*1.5,0))*(1+$AZ145)*(1+$BA145)+($BB145*IF($G$1="牵丝",$AK145,$AI145)+IF($G$1="牵丝",$AL145*1.5,0))*(1+$BD145)*(1+$BE145)+($BF145*IF($G$1="破竹",$AK145,$AI145)+IF($G$1="破竹",$AL145*1.5,0))*(1+$BH145)*(1+$BI145))*(1+$AM145))*$Q145*(1+IF(VLOOKUP($R145,武学奇术!$A:$ZZ,30,FALSE)="流血",$B$21,0))*(1+$BR145)</f>
        <v>37216.4348504271</v>
      </c>
      <c r="Q145" s="31">
        <v>1</v>
      </c>
      <c r="R145" s="32" t="s">
        <v>95</v>
      </c>
      <c r="S145" s="32" t="s">
        <v>87</v>
      </c>
      <c r="T145" s="32" t="s">
        <v>96</v>
      </c>
      <c r="U145" s="32" t="s">
        <v>97</v>
      </c>
      <c r="V145" s="32" t="s">
        <v>98</v>
      </c>
      <c r="W145" s="32" t="s">
        <v>111</v>
      </c>
      <c r="X145" s="32" t="s">
        <v>127</v>
      </c>
      <c r="Y145" s="32" t="s">
        <v>179</v>
      </c>
      <c r="Z145" s="32" t="s">
        <v>182</v>
      </c>
      <c r="AA145" s="32" t="s">
        <v>81</v>
      </c>
      <c r="AB145" s="32" t="s">
        <v>75</v>
      </c>
      <c r="AC145" s="32" t="s">
        <v>89</v>
      </c>
      <c r="AD145" s="32" t="s">
        <v>82</v>
      </c>
      <c r="AE145" s="32" t="s">
        <v>90</v>
      </c>
      <c r="AF145" s="32" t="s">
        <v>73</v>
      </c>
      <c r="AG145" s="32" t="s">
        <v>178</v>
      </c>
      <c r="AH145" t="str">
        <f>VLOOKUP($R145,武学奇术!$A:$ZZ,25,FALSE)</f>
        <v>剑</v>
      </c>
      <c r="AI145" s="21">
        <f>VLOOKUP($R145,武学奇术!$A:$ZZ,26,FALSE)</f>
        <v>2.52</v>
      </c>
      <c r="AJ145" s="22">
        <f>VLOOKUP($R145,武学奇术!$A:$ZZ,27,FALSE)*(1+IF(OR($AH145=$F$4,$AH145=$F$5),$B$22,0))</f>
        <v>0</v>
      </c>
      <c r="AK145" s="21">
        <f>VLOOKUP($R145,武学奇术!$A:$ZZ,28,FALSE)</f>
        <v>3.78</v>
      </c>
      <c r="AL145" s="22">
        <f>VLOOKUP($R145,武学奇术!$A:$ZZ,29,FALSE)*(1+IF(OR($AH145=$F$4,$AH145=$F$5),$B$22,0))</f>
        <v>0</v>
      </c>
      <c r="AM145" s="21" cm="1">
        <f t="array" ref="AM145">$G$3+IFERROR(VLOOKUP($AH145,$F$4:$G$7,2,FALSE),0)+VLOOKUP($R145,武学奇术!$A:$ZZ,2,FALSE)+SUM(_xlfn.XLOOKUP($S145:$AG145,增益!$A:$A,增益!$B:$B,0))</f>
        <v>1.6291</v>
      </c>
      <c r="AN145" s="21" cm="1">
        <f t="array" ref="AN145">VLOOKUP($R145,武学奇术!$A:$ZZ,5,FALSE)+SUM(_xlfn.XLOOKUP($S145:$AG145,增益!$A:$A,增益!$E:$E,0))</f>
        <v>0</v>
      </c>
      <c r="AO145" cm="1">
        <f t="array" ref="AO145">$D$10*(1+$AN145)+VLOOKUP($R145,武学奇术!$A:$ZZ,3,FALSE)+SUM(_xlfn.XLOOKUP($S145:$AG145,增益!$A:$A,增益!$C:$C,0))-$I$2</f>
        <v>1825.28</v>
      </c>
      <c r="AP145" cm="1">
        <f t="array" ref="AP145">$E$10*(1+$AN145)+VLOOKUP($R145,武学奇术!$A:$ZZ,4,FALSE)+SUM(_xlfn.XLOOKUP($S145:$AG145,增益!$A:$A,增益!$D:$D,0))-$I$2</f>
        <v>7757.36</v>
      </c>
      <c r="AQ145" s="26" cm="1">
        <f t="array" ref="AQ145">IF($F$10-$I$3+VLOOKUP($R145,武学奇术!$A:$ZZ,6,FALSE)+SUM(_xlfn.XLOOKUP(S145:AG145,增益!$A:$A,增益!$F:$F,0))&gt;0,($F$10-$I$3+VLOOKUP($R145,武学奇术!$A:$ZZ,6,FALSE)+SUM(_xlfn.XLOOKUP(S145:AG145,增益!$A:$A,增益!$F:$F,0)))/200,($F$10-$I$3+VLOOKUP($R145,武学奇术!$A:$ZZ,6,FALSE)+SUM(_xlfn.XLOOKUP(S145:AG145,增益!$A:$A,增益!$F:$F,0)))/100)</f>
        <v>0.319</v>
      </c>
      <c r="AR145" s="26" cm="1">
        <f t="array" ref="AR145">$G$10+VLOOKUP($R145,武学奇术!$A:$ZZ,7,FALSE)+SUM(_xlfn.XLOOKUP(S145:AG145,增益!$A:$A,增益!$G:$G,0))</f>
        <v>0</v>
      </c>
      <c r="AS145" s="21" cm="1">
        <f t="array" ref="AS145">VLOOKUP($R145,武学奇术!$A:$ZZ,8,FALSE)+SUM(_xlfn.XLOOKUP(S145:AG145,增益!$A:$A,增益!$H:$H,0))</f>
        <v>0</v>
      </c>
      <c r="AT145">
        <f t="shared" si="23"/>
        <v>680.02</v>
      </c>
      <c r="AU145">
        <f t="shared" si="24"/>
        <v>1288.54</v>
      </c>
      <c r="AV145" s="26" cm="1">
        <f t="array" ref="AV145">IF($F$11-$I$4+VLOOKUP($R145,武学奇术!$A:$ZZ,9,FALSE)+SUM(_xlfn.XLOOKUP(S145:AG145,增益!$A:$A,增益!$I:$I,0))&gt;0,($F$11-$I$4+VLOOKUP($R145,武学奇术!$A:$ZZ,9,FALSE)+SUM(_xlfn.XLOOKUP(S145:AG145,增益!$A:$A,增益!$I:$I,0)))/200,($F$11-$I$4+VLOOKUP($R145,武学奇术!$A:$ZZ,9,FALSE)+SUM(_xlfn.XLOOKUP(S145:AG145,增益!$A:$A,增益!$I:$I,0)))/100)</f>
        <v>0.075</v>
      </c>
      <c r="AW145" s="26" cm="1">
        <f t="array" ref="AW145">$G$11+VLOOKUP($R145,武学奇术!$A:$ZZ,10,FALSE)+SUM(_xlfn.XLOOKUP(S145:AG145,增益!$A:$A,增益!$J:$J,0))</f>
        <v>0.15</v>
      </c>
      <c r="AX145">
        <f t="shared" si="25"/>
        <v>0</v>
      </c>
      <c r="AY145">
        <f t="shared" si="26"/>
        <v>0</v>
      </c>
      <c r="AZ145" s="26" cm="1">
        <f t="array" ref="AZ145">IF($F$12-$I$4+VLOOKUP($R145,武学奇术!$A:$ZZ,11,FALSE)+SUM(_xlfn.XLOOKUP(S145:AG145,增益!$A:$A,增益!$K:$K,0))&gt;0,($F$12-$I$4+VLOOKUP($R145,武学奇术!$A:$ZZ,11,FALSE)+SUM(_xlfn.XLOOKUP(S145:AG145,增益!$A:$A,增益!$K:$K,0)))/200,($F$12-$I$4+VLOOKUP($R145,武学奇术!$A:$ZZ,11,FALSE)+SUM(_xlfn.XLOOKUP(S145:AG145,增益!$A:$A,增益!$K:$K,0)))/100)</f>
        <v>-0.3</v>
      </c>
      <c r="BA145" s="26" cm="1">
        <f t="array" ref="BA145">$G$12+VLOOKUP($R145,武学奇术!$A:$ZZ,12,FALSE)+SUM(_xlfn.XLOOKUP(S145:AG145,增益!$A:$A,增益!$L:$L,0))</f>
        <v>0</v>
      </c>
      <c r="BB145">
        <f t="shared" si="27"/>
        <v>0</v>
      </c>
      <c r="BC145">
        <f t="shared" si="28"/>
        <v>0</v>
      </c>
      <c r="BD145" s="26" cm="1">
        <f t="array" ref="BD145">IF($F$13-$I$4+VLOOKUP($R145,武学奇术!$A:$ZZ,13,FALSE)+SUM(_xlfn.XLOOKUP(S145:AG145,增益!$A:$A,增益!$M:$M,0))&gt;0,($F$13-$I$4+VLOOKUP($R145,武学奇术!$A:$ZZ,13,FALSE)+SUM(_xlfn.XLOOKUP(S145:AG145,增益!$A:$A,增益!$K:$K,0)))/200,($F$13-$I$4+VLOOKUP($R145,武学奇术!$A:$ZZ,13,FALSE)+SUM(_xlfn.XLOOKUP(S145:AG145,增益!$A:$A,增益!$M:$M,0)))/100)</f>
        <v>-0.3</v>
      </c>
      <c r="BE145" s="26" cm="1">
        <f t="array" ref="BE145">$G$13+VLOOKUP($R145,武学奇术!$A:$ZZ,14,FALSE)+SUM(_xlfn.XLOOKUP(S145:AG145,增益!$A:$A,增益!$N:$N,0))</f>
        <v>0</v>
      </c>
      <c r="BF145">
        <f t="shared" si="29"/>
        <v>0</v>
      </c>
      <c r="BG145">
        <f t="shared" si="30"/>
        <v>0</v>
      </c>
      <c r="BH145" s="26" cm="1">
        <f t="array" ref="BH145">IF($F$14-$I$4+VLOOKUP($R145,武学奇术!$A:$ZZ,15,FALSE)+SUM(_xlfn.XLOOKUP(S145:AG145,增益!$A:$A,增益!$O:$O,0))&gt;0,($F$14-$I$4+VLOOKUP($R145,武学奇术!$A:$ZZ,15,FALSE)+SUM(_xlfn.XLOOKUP(S145:AG145,增益!$A:$A,增益!$O:$O,0)))/200,($F$14-$I$4+VLOOKUP($R145,武学奇术!$A:$ZZ,15,FALSE)+SUM(_xlfn.XLOOKUP(S145:AG145,增益!$A:$A,增益!$O:$O,0)))/100)</f>
        <v>-0.3</v>
      </c>
      <c r="BI145" s="26" cm="1">
        <f t="array" ref="BI145">$G$14+VLOOKUP($R145,武学奇术!$A:$ZZ,16,FALSE)+SUM(_xlfn.XLOOKUP(S145:AG145,增益!$A:$A,增益!$P:$P,0))</f>
        <v>0</v>
      </c>
      <c r="BJ145" s="21">
        <f>MIN(IF(VLOOKUP($R145,武学奇术!$A:$ZZ,23,FALSE)=1,100%,$B$8),100%)</f>
        <v>0.8229</v>
      </c>
      <c r="BK145" s="21" cm="1">
        <f t="array" ref="BK145">IF(VLOOKUP($R145,武学奇术!$A:$ZZ,23,FALSE)=1,100%,MIN(80%,$B$9+VLOOKUP($R145,武学奇术!$A:$ZZ,17,FALSE)+SUM(_xlfn.XLOOKUP(S145:AG145,增益!$A:$A,增益!$Q:$Q,0)))+$B$11+SUM(_xlfn.XLOOKUP(S145:AG145,增益!$A:$A,增益!$U:$U,0)))*IF(VLOOKUP($R145,武学奇术!$A:$ZZ,24,FALSE)=1,0,1)</f>
        <v>0.2285</v>
      </c>
      <c r="BL145" s="21" cm="1">
        <f t="array" ref="BL145">1+$B$13+VLOOKUP($R145,武学奇术!$A:$ZZ,18,FALSE)+SUM(_xlfn.XLOOKUP(S145:AG145,增益!$A:$A,增益!$R:$R,0))</f>
        <v>1.5</v>
      </c>
      <c r="BM145" s="21" cm="1">
        <f t="array" ref="BM145">IF(VLOOKUP($R145,武学奇术!$A:$ZZ,24,FALSE)=1,100%,MIN(40%,$B$10+VLOOKUP($R145,武学奇术!$A:$ZZ,19,FALSE)+SUM(_xlfn.XLOOKUP(S145:AG145,增益!$A:$A,增益!$S:$S,0)))+$B$12+SUM(_xlfn.XLOOKUP(S145:AG145,增益!$A:$A,增益!$V:$V,0)))*IF(VLOOKUP($R145,武学奇术!$A:$ZZ,23,FALSE)=1,0,1)</f>
        <v>0.4495</v>
      </c>
      <c r="BN145" s="21" cm="1">
        <f t="array" ref="BN145">1+$B$14+VLOOKUP($R145,武学奇术!$A:$ZZ,20,FALSE)+SUM(_xlfn.XLOOKUP(S145:AG145,增益!$A:$A,增益!$T:$T,0))</f>
        <v>1.782</v>
      </c>
      <c r="BO145" s="21">
        <f t="shared" si="31"/>
        <v>0.18803265</v>
      </c>
      <c r="BP145" s="21">
        <f t="shared" si="32"/>
        <v>0.2649738</v>
      </c>
      <c r="BQ145" s="21">
        <f>IF(VLOOKUP($R145,武学奇术!$A:$ZZ,22,FALSE)=1,0,(1-$BJ145))*(1-$BM145)</f>
        <v>0.09749355</v>
      </c>
      <c r="BR145" s="21" cm="1">
        <f t="array" ref="BR145">SUM(_xlfn.XLOOKUP(S145:AG145,增益!$A:$A,增益!$W:$W,0))+$I$5</f>
        <v>0.16</v>
      </c>
    </row>
    <row r="146" spans="11:70">
      <c r="K146" s="24">
        <f>$L146*VLOOKUP($R146,武学奇术!$A:$ZZ,31,FALSE)</f>
        <v>0</v>
      </c>
      <c r="L146" s="24">
        <f t="shared" si="22"/>
        <v>0</v>
      </c>
      <c r="M146" s="24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BL146*$Q146*(1+IF(VLOOKUP($R146,武学奇术!$A:$ZZ,30,FALSE)="流血",$B$21,0))*(1+$BR146)</f>
        <v>0</v>
      </c>
      <c r="N146" s="24">
        <f>(($AP146*$AI146+$AJ146)*(1+$AQ146)*(1+$AR146)+($AU146*IF($G$1="鸣金",$AK146,$AI146)+IF($G$1="鸣金",$AL146*1.5,0))*(1+$AV146)*(1+$AW146)+($AY146*IF($G$1="裂石",$AK146,$AI146)+IF($G$1="裂石",$AL146*1.5,0))*(1+$AZ146)*(1+$BA146)+($BC146*IF($G$1="牵丝",$AK146,$AI146)+IF($G$1="牵丝",$AL146*1.5,0))*(1+$BD146)*(1+$BE146)+($BG146*IF($G$1="破竹",$AK146,$AI146)+IF($G$1="破竹",$AL146*1.5,0))*(1+$BH146)*(1+$BI146))*(1+$AM146)*$BN146*$Q146*(1+IF(VLOOKUP($R146,武学奇术!$A:$ZZ,30,FALSE)="流血",$B$21,0))*(1+$BR146)</f>
        <v>0</v>
      </c>
      <c r="O146" s="24">
        <f>((($AO146+$AP146)/2*$AI146+$AJ146)*(1+$AQ146)*(1+$AR146)+(($AT146+$AU146)/2*IF($G$1="鸣金",$AK146,$AI146)+IF($G$1="鸣金",$AL146*1.5,0))*(1+$AV146)*(1+$AW146)+(($AX146+$AY146)/2*IF($G$1="裂石",$AK146,$AI146)+IF($G$1="裂石",$AL146*1.5,0))*(1+$AZ146)*(1+$BA146)+(($BB146+$BC146)/2*IF($G$1="牵丝",$AK146,$AI146)+IF($G$1="牵丝",$AL146*1.5,0))*(1+$BD146)*(1+$BE146)+(($BF146+$BG146)/2*IF($G$1="破竹",$AK146,$AI146)+IF($G$1="破竹",$AL146*1.5,0))*(1+$BH146)*(1+$BI146))*(1+$AM146)*$Q146*(1+IF(VLOOKUP($R146,武学奇术!$A:$ZZ,30,FALSE)="流血",$B$21,0))*(1+$BR146)</f>
        <v>0</v>
      </c>
      <c r="P146" s="24">
        <f>((($AO146*$AI146+$AJ146)*(1+$AQ146)*(1+$AR146)+($AT146*IF($G$1="鸣金",$AK146,$AI146)+IF($G$1="鸣金",$AL146*1.5,0))*(1+$AV146)*(1+$AW146)+($AX146*IF($G$1="裂石",$AK146,$AI146)+IF($G$1="裂石",$AL146*1.5,0))*(1+$AZ146)*(1+$BA146)+($BB146*IF($G$1="牵丝",$AK146,$AI146)+IF($G$1="牵丝",$AL146*1.5,0))*(1+$BD146)*(1+$BE146)+($BF146*IF($G$1="破竹",$AK146,$AI146)+IF($G$1="破竹",$AL146*1.5,0))*(1+$BH146)*(1+$BI146))*(1+$AM146))*$Q146*(1+IF(VLOOKUP($R146,武学奇术!$A:$ZZ,30,FALSE)="流血",$B$21,0))*(1+$BR146)</f>
        <v>0</v>
      </c>
      <c r="Q146" s="31"/>
      <c r="R146" s="32" t="s">
        <v>73</v>
      </c>
      <c r="S146" s="32" t="s">
        <v>73</v>
      </c>
      <c r="T146" s="32" t="s">
        <v>73</v>
      </c>
      <c r="U146" s="32" t="s">
        <v>73</v>
      </c>
      <c r="V146" s="32" t="s">
        <v>73</v>
      </c>
      <c r="W146" s="32" t="s">
        <v>73</v>
      </c>
      <c r="X146" s="32" t="s">
        <v>73</v>
      </c>
      <c r="Y146" s="32" t="s">
        <v>73</v>
      </c>
      <c r="Z146" s="32" t="s">
        <v>73</v>
      </c>
      <c r="AA146" s="32" t="s">
        <v>73</v>
      </c>
      <c r="AB146" s="32" t="s">
        <v>73</v>
      </c>
      <c r="AC146" s="32" t="s">
        <v>73</v>
      </c>
      <c r="AD146" s="32" t="s">
        <v>73</v>
      </c>
      <c r="AE146" s="32" t="s">
        <v>73</v>
      </c>
      <c r="AF146" s="32" t="s">
        <v>73</v>
      </c>
      <c r="AG146" s="32" t="s">
        <v>73</v>
      </c>
      <c r="AH146" t="str">
        <f>VLOOKUP($R146,武学奇术!$A:$ZZ,25,FALSE)</f>
        <v>心法</v>
      </c>
      <c r="AI146" s="21">
        <f>VLOOKUP($R146,武学奇术!$A:$ZZ,26,FALSE)</f>
        <v>0</v>
      </c>
      <c r="AJ146" s="22">
        <f>VLOOKUP($R146,武学奇术!$A:$ZZ,27,FALSE)*(1+IF(OR($AH146=$F$4,$AH146=$F$5),$B$22,0))</f>
        <v>0</v>
      </c>
      <c r="AK146" s="21">
        <f>VLOOKUP($R146,武学奇术!$A:$ZZ,28,FALSE)</f>
        <v>0</v>
      </c>
      <c r="AL146" s="22">
        <f>VLOOKUP($R146,武学奇术!$A:$ZZ,29,FALSE)*(1+IF(OR($AH146=$F$4,$AH146=$F$5),$B$22,0))</f>
        <v>0</v>
      </c>
      <c r="AM146" s="21" cm="1">
        <f t="array" ref="AM146">$G$3+IFERROR(VLOOKUP($AH146,$F$4:$G$7,2,FALSE),0)+VLOOKUP($R146,武学奇术!$A:$ZZ,2,FALSE)+SUM(_xlfn.XLOOKUP($S146:$AG146,增益!$A:$A,增益!$B:$B,0))</f>
        <v>0.1042</v>
      </c>
      <c r="AN146" s="21" cm="1">
        <f t="array" ref="AN146">VLOOKUP($R146,武学奇术!$A:$ZZ,5,FALSE)+SUM(_xlfn.XLOOKUP($S146:$AG146,增益!$A:$A,增益!$E:$E,0))</f>
        <v>0</v>
      </c>
      <c r="AO146" cm="1">
        <f t="array" ref="AO146">$D$10*(1+$AN146)+VLOOKUP($R146,武学奇术!$A:$ZZ,3,FALSE)+SUM(_xlfn.XLOOKUP($S146:$AG146,增益!$A:$A,增益!$C:$C,0))-$I$2</f>
        <v>1794.28</v>
      </c>
      <c r="AP146" cm="1">
        <f t="array" ref="AP146">$E$10*(1+$AN146)+VLOOKUP($R146,武学奇术!$A:$ZZ,4,FALSE)+SUM(_xlfn.XLOOKUP($S146:$AG146,增益!$A:$A,增益!$D:$D,0))-$I$2</f>
        <v>7726.36</v>
      </c>
      <c r="AQ146" s="26" cm="1">
        <f t="array" ref="AQ146">IF($F$10-$I$3+VLOOKUP($R146,武学奇术!$A:$ZZ,6,FALSE)+SUM(_xlfn.XLOOKUP(S146:AG146,增益!$A:$A,增益!$F:$F,0))&gt;0,($F$10-$I$3+VLOOKUP($R146,武学奇术!$A:$ZZ,6,FALSE)+SUM(_xlfn.XLOOKUP(S146:AG146,增益!$A:$A,增益!$F:$F,0)))/200,($F$10-$I$3+VLOOKUP($R146,武学奇术!$A:$ZZ,6,FALSE)+SUM(_xlfn.XLOOKUP(S146:AG146,增益!$A:$A,增益!$F:$F,0)))/100)</f>
        <v>0.194</v>
      </c>
      <c r="AR146" s="26" cm="1">
        <f t="array" ref="AR146">$G$10+VLOOKUP($R146,武学奇术!$A:$ZZ,7,FALSE)+SUM(_xlfn.XLOOKUP(S146:AG146,增益!$A:$A,增益!$G:$G,0))</f>
        <v>0</v>
      </c>
      <c r="AS146" s="21" cm="1">
        <f t="array" ref="AS146">VLOOKUP($R146,武学奇术!$A:$ZZ,8,FALSE)+SUM(_xlfn.XLOOKUP(S146:AG146,增益!$A:$A,增益!$H:$H,0))</f>
        <v>0</v>
      </c>
      <c r="AT146">
        <f t="shared" si="23"/>
        <v>680.02</v>
      </c>
      <c r="AU146">
        <f t="shared" si="24"/>
        <v>1288.54</v>
      </c>
      <c r="AV146" s="26" cm="1">
        <f t="array" ref="AV146">IF($F$11-$I$4+VLOOKUP($R146,武学奇术!$A:$ZZ,9,FALSE)+SUM(_xlfn.XLOOKUP(S146:AG146,增益!$A:$A,增益!$I:$I,0))&gt;0,($F$11-$I$4+VLOOKUP($R146,武学奇术!$A:$ZZ,9,FALSE)+SUM(_xlfn.XLOOKUP(S146:AG146,增益!$A:$A,增益!$I:$I,0)))/200,($F$11-$I$4+VLOOKUP($R146,武学奇术!$A:$ZZ,9,FALSE)+SUM(_xlfn.XLOOKUP(S146:AG146,增益!$A:$A,增益!$I:$I,0)))/100)</f>
        <v>0</v>
      </c>
      <c r="AW146" s="26" cm="1">
        <f t="array" ref="AW146">$G$11+VLOOKUP($R146,武学奇术!$A:$ZZ,10,FALSE)+SUM(_xlfn.XLOOKUP(S146:AG146,增益!$A:$A,增益!$J:$J,0))</f>
        <v>0.15</v>
      </c>
      <c r="AX146">
        <f t="shared" si="25"/>
        <v>0</v>
      </c>
      <c r="AY146">
        <f t="shared" si="26"/>
        <v>0</v>
      </c>
      <c r="AZ146" s="26" cm="1">
        <f t="array" ref="AZ146">IF($F$12-$I$4+VLOOKUP($R146,武学奇术!$A:$ZZ,11,FALSE)+SUM(_xlfn.XLOOKUP(S146:AG146,增益!$A:$A,增益!$K:$K,0))&gt;0,($F$12-$I$4+VLOOKUP($R146,武学奇术!$A:$ZZ,11,FALSE)+SUM(_xlfn.XLOOKUP(S146:AG146,增益!$A:$A,增益!$K:$K,0)))/200,($F$12-$I$4+VLOOKUP($R146,武学奇术!$A:$ZZ,11,FALSE)+SUM(_xlfn.XLOOKUP(S146:AG146,增益!$A:$A,增益!$K:$K,0)))/100)</f>
        <v>-0.3</v>
      </c>
      <c r="BA146" s="26" cm="1">
        <f t="array" ref="BA146">$G$12+VLOOKUP($R146,武学奇术!$A:$ZZ,12,FALSE)+SUM(_xlfn.XLOOKUP(S146:AG146,增益!$A:$A,增益!$L:$L,0))</f>
        <v>0</v>
      </c>
      <c r="BB146">
        <f t="shared" si="27"/>
        <v>0</v>
      </c>
      <c r="BC146">
        <f t="shared" si="28"/>
        <v>0</v>
      </c>
      <c r="BD146" s="26" cm="1">
        <f t="array" ref="BD146">IF($F$13-$I$4+VLOOKUP($R146,武学奇术!$A:$ZZ,13,FALSE)+SUM(_xlfn.XLOOKUP(S146:AG146,增益!$A:$A,增益!$M:$M,0))&gt;0,($F$13-$I$4+VLOOKUP($R146,武学奇术!$A:$ZZ,13,FALSE)+SUM(_xlfn.XLOOKUP(S146:AG146,增益!$A:$A,增益!$K:$K,0)))/200,($F$13-$I$4+VLOOKUP($R146,武学奇术!$A:$ZZ,13,FALSE)+SUM(_xlfn.XLOOKUP(S146:AG146,增益!$A:$A,增益!$M:$M,0)))/100)</f>
        <v>-0.3</v>
      </c>
      <c r="BE146" s="26" cm="1">
        <f t="array" ref="BE146">$G$13+VLOOKUP($R146,武学奇术!$A:$ZZ,14,FALSE)+SUM(_xlfn.XLOOKUP(S146:AG146,增益!$A:$A,增益!$N:$N,0))</f>
        <v>0</v>
      </c>
      <c r="BF146">
        <f t="shared" si="29"/>
        <v>0</v>
      </c>
      <c r="BG146">
        <f t="shared" si="30"/>
        <v>0</v>
      </c>
      <c r="BH146" s="26" cm="1">
        <f t="array" ref="BH146">IF($F$14-$I$4+VLOOKUP($R146,武学奇术!$A:$ZZ,15,FALSE)+SUM(_xlfn.XLOOKUP(S146:AG146,增益!$A:$A,增益!$O:$O,0))&gt;0,($F$14-$I$4+VLOOKUP($R146,武学奇术!$A:$ZZ,15,FALSE)+SUM(_xlfn.XLOOKUP(S146:AG146,增益!$A:$A,增益!$O:$O,0)))/200,($F$14-$I$4+VLOOKUP($R146,武学奇术!$A:$ZZ,15,FALSE)+SUM(_xlfn.XLOOKUP(S146:AG146,增益!$A:$A,增益!$O:$O,0)))/100)</f>
        <v>-0.3</v>
      </c>
      <c r="BI146" s="26" cm="1">
        <f t="array" ref="BI146">$G$14+VLOOKUP($R146,武学奇术!$A:$ZZ,16,FALSE)+SUM(_xlfn.XLOOKUP(S146:AG146,增益!$A:$A,增益!$P:$P,0))</f>
        <v>0</v>
      </c>
      <c r="BJ146" s="21">
        <f>MIN(IF(VLOOKUP($R146,武学奇术!$A:$ZZ,23,FALSE)=1,100%,$B$8),100%)</f>
        <v>0.8229</v>
      </c>
      <c r="BK146" s="21" cm="1">
        <f t="array" ref="BK146">IF(VLOOKUP($R146,武学奇术!$A:$ZZ,23,FALSE)=1,100%,MIN(80%,$B$9+VLOOKUP($R146,武学奇术!$A:$ZZ,17,FALSE)+SUM(_xlfn.XLOOKUP(S146:AG146,增益!$A:$A,增益!$Q:$Q,0)))+$B$11+SUM(_xlfn.XLOOKUP(S146:AG146,增益!$A:$A,增益!$U:$U,0)))*IF(VLOOKUP($R146,武学奇术!$A:$ZZ,24,FALSE)=1,0,1)</f>
        <v>0.2285</v>
      </c>
      <c r="BL146" s="21" cm="1">
        <f t="array" ref="BL146">1+$B$13+VLOOKUP($R146,武学奇术!$A:$ZZ,18,FALSE)+SUM(_xlfn.XLOOKUP(S146:AG146,增益!$A:$A,增益!$R:$R,0))</f>
        <v>1.5</v>
      </c>
      <c r="BM146" s="21" cm="1">
        <f t="array" ref="BM146">IF(VLOOKUP($R146,武学奇术!$A:$ZZ,24,FALSE)=1,100%,MIN(40%,$B$10+VLOOKUP($R146,武学奇术!$A:$ZZ,19,FALSE)+SUM(_xlfn.XLOOKUP(S146:AG146,增益!$A:$A,增益!$S:$S,0)))+$B$12+SUM(_xlfn.XLOOKUP(S146:AG146,增益!$A:$A,增益!$V:$V,0)))*IF(VLOOKUP($R146,武学奇术!$A:$ZZ,23,FALSE)=1,0,1)</f>
        <v>0.4195</v>
      </c>
      <c r="BN146" s="21" cm="1">
        <f t="array" ref="BN146">1+$B$14+VLOOKUP($R146,武学奇术!$A:$ZZ,20,FALSE)+SUM(_xlfn.XLOOKUP(S146:AG146,增益!$A:$A,增益!$T:$T,0))</f>
        <v>1.402</v>
      </c>
      <c r="BO146" s="21">
        <f t="shared" si="31"/>
        <v>0.18803265</v>
      </c>
      <c r="BP146" s="21">
        <f t="shared" si="32"/>
        <v>0.2896608</v>
      </c>
      <c r="BQ146" s="21">
        <f>IF(VLOOKUP($R146,武学奇术!$A:$ZZ,22,FALSE)=1,0,(1-$BJ146))*(1-$BM146)</f>
        <v>0.10280655</v>
      </c>
      <c r="BR146" s="21" cm="1">
        <f t="array" ref="BR146">SUM(_xlfn.XLOOKUP(S146:AG146,增益!$A:$A,增益!$W:$W,0))+$I$5</f>
        <v>0.06</v>
      </c>
    </row>
    <row r="147" spans="11:70">
      <c r="K147" s="24">
        <f>$L147*VLOOKUP($R147,武学奇术!$A:$ZZ,31,FALSE)</f>
        <v>7760.11619272743</v>
      </c>
      <c r="L147" s="24">
        <f t="shared" si="22"/>
        <v>15520.2323854549</v>
      </c>
      <c r="M147" s="24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BL147*$Q147*(1+IF(VLOOKUP($R147,武学奇术!$A:$ZZ,30,FALSE)="流血",$B$21,0))*(1+$BR147)</f>
        <v>14185.5036807332</v>
      </c>
      <c r="N147" s="24">
        <f>(($AP147*$AI147+$AJ147)*(1+$AQ147)*(1+$AR147)+($AU147*IF($G$1="鸣金",$AK147,$AI147)+IF($G$1="鸣金",$AL147*1.5,0))*(1+$AV147)*(1+$AW147)+($AY147*IF($G$1="裂石",$AK147,$AI147)+IF($G$1="裂石",$AL147*1.5,0))*(1+$AZ147)*(1+$BA147)+($BC147*IF($G$1="牵丝",$AK147,$AI147)+IF($G$1="牵丝",$AL147*1.5,0))*(1+$BD147)*(1+$BE147)+($BG147*IF($G$1="破竹",$AK147,$AI147)+IF($G$1="破竹",$AL147*1.5,0))*(1+$BH147)*(1+$BI147))*(1+$AM147)*$BN147*$Q147*(1+IF(VLOOKUP($R147,武学奇术!$A:$ZZ,30,FALSE)="流血",$B$21,0))*(1+$BR147)</f>
        <v>22060.3973236636</v>
      </c>
      <c r="O147" s="24">
        <f>((($AO147+$AP147)/2*$AI147+$AJ147)*(1+$AQ147)*(1+$AR147)+(($AT147+$AU147)/2*IF($G$1="鸣金",$AK147,$AI147)+IF($G$1="鸣金",$AL147*1.5,0))*(1+$AV147)*(1+$AW147)+(($AX147+$AY147)/2*IF($G$1="裂石",$AK147,$AI147)+IF($G$1="裂石",$AL147*1.5,0))*(1+$AZ147)*(1+$BA147)+(($BB147+$BC147)/2*IF($G$1="牵丝",$AK147,$AI147)+IF($G$1="牵丝",$AL147*1.5,0))*(1+$BD147)*(1+$BE147)+(($BF147+$BG147)/2*IF($G$1="破竹",$AK147,$AI147)+IF($G$1="破竹",$AL147*1.5,0))*(1+$BH147)*(1+$BI147))*(1+$AM147)*$Q147*(1+IF(VLOOKUP($R147,武学奇术!$A:$ZZ,30,FALSE)="流血",$B$21,0))*(1+$BR147)</f>
        <v>9457.00245382212</v>
      </c>
      <c r="P147" s="24">
        <f>((($AO147*$AI147+$AJ147)*(1+$AQ147)*(1+$AR147)+($AT147*IF($G$1="鸣金",$AK147,$AI147)+IF($G$1="鸣金",$AL147*1.5,0))*(1+$AV147)*(1+$AW147)+($AX147*IF($G$1="裂石",$AK147,$AI147)+IF($G$1="裂石",$AL147*1.5,0))*(1+$AZ147)*(1+$BA147)+($BB147*IF($G$1="牵丝",$AK147,$AI147)+IF($G$1="牵丝",$AL147*1.5,0))*(1+$BD147)*(1+$BE147)+($BF147*IF($G$1="破竹",$AK147,$AI147)+IF($G$1="破竹",$AL147*1.5,0))*(1+$BH147)*(1+$BI147))*(1+$AM147))*$Q147*(1+IF(VLOOKUP($R147,武学奇术!$A:$ZZ,30,FALSE)="流血",$B$21,0))*(1+$BR147)</f>
        <v>4419.6571259993</v>
      </c>
      <c r="Q147" s="31">
        <v>2</v>
      </c>
      <c r="R147" s="32" t="s">
        <v>194</v>
      </c>
      <c r="S147" s="32" t="s">
        <v>87</v>
      </c>
      <c r="T147" s="32" t="s">
        <v>96</v>
      </c>
      <c r="U147" s="32" t="s">
        <v>97</v>
      </c>
      <c r="V147" s="32" t="s">
        <v>73</v>
      </c>
      <c r="W147" s="32" t="s">
        <v>111</v>
      </c>
      <c r="X147" s="32" t="s">
        <v>109</v>
      </c>
      <c r="Y147" s="32" t="s">
        <v>73</v>
      </c>
      <c r="Z147" s="32" t="s">
        <v>73</v>
      </c>
      <c r="AA147" s="32" t="s">
        <v>81</v>
      </c>
      <c r="AB147" s="32" t="s">
        <v>75</v>
      </c>
      <c r="AC147" s="32" t="s">
        <v>89</v>
      </c>
      <c r="AD147" s="32" t="s">
        <v>82</v>
      </c>
      <c r="AE147" s="32" t="s">
        <v>90</v>
      </c>
      <c r="AF147" s="32" t="s">
        <v>73</v>
      </c>
      <c r="AG147" s="32" t="s">
        <v>91</v>
      </c>
      <c r="AH147" t="str">
        <f>VLOOKUP($R147,武学奇术!$A:$ZZ,25,FALSE)</f>
        <v>单体奇术</v>
      </c>
      <c r="AI147" s="21">
        <f>VLOOKUP($R147,武学奇术!$A:$ZZ,26,FALSE)</f>
        <v>0.236</v>
      </c>
      <c r="AJ147" s="22">
        <f>VLOOKUP($R147,武学奇术!$A:$ZZ,27,FALSE)*(1+IF(OR($AH147=$F$4,$AH147=$F$5),$B$22,0))</f>
        <v>46</v>
      </c>
      <c r="AK147" s="21">
        <f>VLOOKUP($R147,武学奇术!$A:$ZZ,28,FALSE)</f>
        <v>0.354</v>
      </c>
      <c r="AL147" s="22">
        <f>VLOOKUP($R147,武学奇术!$A:$ZZ,29,FALSE)*(1+IF(OR($AH147=$F$4,$AH147=$F$5),$B$22,0))</f>
        <v>0</v>
      </c>
      <c r="AM147" s="21" cm="1">
        <f t="array" ref="AM147">$G$3+IFERROR(VLOOKUP($AH147,$F$4:$G$7,2,FALSE),0)+VLOOKUP($R147,武学奇术!$A:$ZZ,2,FALSE)+SUM(_xlfn.XLOOKUP($S147:$AG147,增益!$A:$A,增益!$B:$B,0))</f>
        <v>1.423</v>
      </c>
      <c r="AN147" s="21" cm="1">
        <f t="array" ref="AN147">VLOOKUP($R147,武学奇术!$A:$ZZ,5,FALSE)+SUM(_xlfn.XLOOKUP($S147:$AG147,增益!$A:$A,增益!$E:$E,0))</f>
        <v>0</v>
      </c>
      <c r="AO147" cm="1">
        <f t="array" ref="AO147">$D$10*(1+$AN147)+VLOOKUP($R147,武学奇术!$A:$ZZ,3,FALSE)+SUM(_xlfn.XLOOKUP($S147:$AG147,增益!$A:$A,增益!$C:$C,0))-$I$2</f>
        <v>1825.28</v>
      </c>
      <c r="AP147" cm="1">
        <f t="array" ref="AP147">$E$10*(1+$AN147)+VLOOKUP($R147,武学奇术!$A:$ZZ,4,FALSE)+SUM(_xlfn.XLOOKUP($S147:$AG147,增益!$A:$A,增益!$D:$D,0))-$I$2</f>
        <v>7757.36</v>
      </c>
      <c r="AQ147" s="26" cm="1">
        <f t="array" ref="AQ147">IF($F$10-$I$3+VLOOKUP($R147,武学奇术!$A:$ZZ,6,FALSE)+SUM(_xlfn.XLOOKUP(S147:AG147,增益!$A:$A,增益!$F:$F,0))&gt;0,($F$10-$I$3+VLOOKUP($R147,武学奇术!$A:$ZZ,6,FALSE)+SUM(_xlfn.XLOOKUP(S147:AG147,增益!$A:$A,增益!$F:$F,0)))/200,($F$10-$I$3+VLOOKUP($R147,武学奇术!$A:$ZZ,6,FALSE)+SUM(_xlfn.XLOOKUP(S147:AG147,增益!$A:$A,增益!$F:$F,0)))/100)</f>
        <v>0.224</v>
      </c>
      <c r="AR147" s="26" cm="1">
        <f t="array" ref="AR147">$G$10+VLOOKUP($R147,武学奇术!$A:$ZZ,7,FALSE)+SUM(_xlfn.XLOOKUP(S147:AG147,增益!$A:$A,增益!$G:$G,0))</f>
        <v>0</v>
      </c>
      <c r="AS147" s="21" cm="1">
        <f t="array" ref="AS147">VLOOKUP($R147,武学奇术!$A:$ZZ,8,FALSE)+SUM(_xlfn.XLOOKUP(S147:AG147,增益!$A:$A,增益!$H:$H,0))</f>
        <v>0</v>
      </c>
      <c r="AT147">
        <f t="shared" si="23"/>
        <v>680.02</v>
      </c>
      <c r="AU147">
        <f t="shared" si="24"/>
        <v>1288.54</v>
      </c>
      <c r="AV147" s="26" cm="1">
        <f t="array" ref="AV147">IF($F$11-$I$4+VLOOKUP($R147,武学奇术!$A:$ZZ,9,FALSE)+SUM(_xlfn.XLOOKUP(S147:AG147,增益!$A:$A,增益!$I:$I,0))&gt;0,($F$11-$I$4+VLOOKUP($R147,武学奇术!$A:$ZZ,9,FALSE)+SUM(_xlfn.XLOOKUP(S147:AG147,增益!$A:$A,增益!$I:$I,0)))/200,($F$11-$I$4+VLOOKUP($R147,武学奇术!$A:$ZZ,9,FALSE)+SUM(_xlfn.XLOOKUP(S147:AG147,增益!$A:$A,增益!$I:$I,0)))/100)</f>
        <v>0</v>
      </c>
      <c r="AW147" s="26" cm="1">
        <f t="array" ref="AW147">$G$11+VLOOKUP($R147,武学奇术!$A:$ZZ,10,FALSE)+SUM(_xlfn.XLOOKUP(S147:AG147,增益!$A:$A,增益!$J:$J,0))</f>
        <v>0.15</v>
      </c>
      <c r="AX147">
        <f t="shared" si="25"/>
        <v>0</v>
      </c>
      <c r="AY147">
        <f t="shared" si="26"/>
        <v>0</v>
      </c>
      <c r="AZ147" s="26" cm="1">
        <f t="array" ref="AZ147">IF($F$12-$I$4+VLOOKUP($R147,武学奇术!$A:$ZZ,11,FALSE)+SUM(_xlfn.XLOOKUP(S147:AG147,增益!$A:$A,增益!$K:$K,0))&gt;0,($F$12-$I$4+VLOOKUP($R147,武学奇术!$A:$ZZ,11,FALSE)+SUM(_xlfn.XLOOKUP(S147:AG147,增益!$A:$A,增益!$K:$K,0)))/200,($F$12-$I$4+VLOOKUP($R147,武学奇术!$A:$ZZ,11,FALSE)+SUM(_xlfn.XLOOKUP(S147:AG147,增益!$A:$A,增益!$K:$K,0)))/100)</f>
        <v>-0.3</v>
      </c>
      <c r="BA147" s="26" cm="1">
        <f t="array" ref="BA147">$G$12+VLOOKUP($R147,武学奇术!$A:$ZZ,12,FALSE)+SUM(_xlfn.XLOOKUP(S147:AG147,增益!$A:$A,增益!$L:$L,0))</f>
        <v>0</v>
      </c>
      <c r="BB147">
        <f t="shared" si="27"/>
        <v>0</v>
      </c>
      <c r="BC147">
        <f t="shared" si="28"/>
        <v>0</v>
      </c>
      <c r="BD147" s="26" cm="1">
        <f t="array" ref="BD147">IF($F$13-$I$4+VLOOKUP($R147,武学奇术!$A:$ZZ,13,FALSE)+SUM(_xlfn.XLOOKUP(S147:AG147,增益!$A:$A,增益!$M:$M,0))&gt;0,($F$13-$I$4+VLOOKUP($R147,武学奇术!$A:$ZZ,13,FALSE)+SUM(_xlfn.XLOOKUP(S147:AG147,增益!$A:$A,增益!$K:$K,0)))/200,($F$13-$I$4+VLOOKUP($R147,武学奇术!$A:$ZZ,13,FALSE)+SUM(_xlfn.XLOOKUP(S147:AG147,增益!$A:$A,增益!$M:$M,0)))/100)</f>
        <v>-0.3</v>
      </c>
      <c r="BE147" s="26" cm="1">
        <f t="array" ref="BE147">$G$13+VLOOKUP($R147,武学奇术!$A:$ZZ,14,FALSE)+SUM(_xlfn.XLOOKUP(S147:AG147,增益!$A:$A,增益!$N:$N,0))</f>
        <v>0</v>
      </c>
      <c r="BF147">
        <f t="shared" si="29"/>
        <v>0</v>
      </c>
      <c r="BG147">
        <f t="shared" si="30"/>
        <v>0</v>
      </c>
      <c r="BH147" s="26" cm="1">
        <f t="array" ref="BH147">IF($F$14-$I$4+VLOOKUP($R147,武学奇术!$A:$ZZ,15,FALSE)+SUM(_xlfn.XLOOKUP(S147:AG147,增益!$A:$A,增益!$O:$O,0))&gt;0,($F$14-$I$4+VLOOKUP($R147,武学奇术!$A:$ZZ,15,FALSE)+SUM(_xlfn.XLOOKUP(S147:AG147,增益!$A:$A,增益!$O:$O,0)))/200,($F$14-$I$4+VLOOKUP($R147,武学奇术!$A:$ZZ,15,FALSE)+SUM(_xlfn.XLOOKUP(S147:AG147,增益!$A:$A,增益!$O:$O,0)))/100)</f>
        <v>-0.3</v>
      </c>
      <c r="BI147" s="26" cm="1">
        <f t="array" ref="BI147">$G$14+VLOOKUP($R147,武学奇术!$A:$ZZ,16,FALSE)+SUM(_xlfn.XLOOKUP(S147:AG147,增益!$A:$A,增益!$P:$P,0))</f>
        <v>0</v>
      </c>
      <c r="BJ147" s="21">
        <f>MIN(IF(VLOOKUP($R147,武学奇术!$A:$ZZ,23,FALSE)=1,100%,$B$8),100%)</f>
        <v>0.8229</v>
      </c>
      <c r="BK147" s="21" cm="1">
        <f t="array" ref="BK147">IF(VLOOKUP($R147,武学奇术!$A:$ZZ,23,FALSE)=1,100%,MIN(80%,$B$9+VLOOKUP($R147,武学奇术!$A:$ZZ,17,FALSE)+SUM(_xlfn.XLOOKUP(S147:AG147,增益!$A:$A,增益!$Q:$Q,0)))+$B$11+SUM(_xlfn.XLOOKUP(S147:AG147,增益!$A:$A,增益!$U:$U,0)))*IF(VLOOKUP($R147,武学奇术!$A:$ZZ,24,FALSE)=1,0,1)</f>
        <v>0.2285</v>
      </c>
      <c r="BL147" s="21" cm="1">
        <f t="array" ref="BL147">1+$B$13+VLOOKUP($R147,武学奇术!$A:$ZZ,18,FALSE)+SUM(_xlfn.XLOOKUP(S147:AG147,增益!$A:$A,增益!$R:$R,0))</f>
        <v>1.5</v>
      </c>
      <c r="BM147" s="21" cm="1">
        <f t="array" ref="BM147">IF(VLOOKUP($R147,武学奇术!$A:$ZZ,24,FALSE)=1,100%,MIN(40%,$B$10+VLOOKUP($R147,武学奇术!$A:$ZZ,19,FALSE)+SUM(_xlfn.XLOOKUP(S147:AG147,增益!$A:$A,增益!$S:$S,0)))+$B$12+SUM(_xlfn.XLOOKUP(S147:AG147,增益!$A:$A,增益!$V:$V,0)))*IF(VLOOKUP($R147,武学奇术!$A:$ZZ,23,FALSE)=1,0,1)</f>
        <v>0.4495</v>
      </c>
      <c r="BN147" s="21" cm="1">
        <f t="array" ref="BN147">1+$B$14+VLOOKUP($R147,武学奇术!$A:$ZZ,20,FALSE)+SUM(_xlfn.XLOOKUP(S147:AG147,增益!$A:$A,增益!$T:$T,0))</f>
        <v>1.522</v>
      </c>
      <c r="BO147" s="21">
        <f t="shared" si="31"/>
        <v>0.18803265</v>
      </c>
      <c r="BP147" s="21">
        <f t="shared" si="32"/>
        <v>0.2649738</v>
      </c>
      <c r="BQ147" s="21">
        <f>IF(VLOOKUP($R147,武学奇术!$A:$ZZ,22,FALSE)=1,0,(1-$BJ147))*(1-$BM147)</f>
        <v>0.09749355</v>
      </c>
      <c r="BR147" s="21" cm="1">
        <f t="array" ref="BR147">SUM(_xlfn.XLOOKUP(S147:AG147,增益!$A:$A,增益!$W:$W,0))+$I$5</f>
        <v>0.06</v>
      </c>
    </row>
    <row r="148" spans="11:70">
      <c r="K148" s="24">
        <f>$L148*VLOOKUP($R148,武学奇术!$A:$ZZ,31,FALSE)</f>
        <v>15751.9676516949</v>
      </c>
      <c r="L148" s="24">
        <f t="shared" si="22"/>
        <v>31503.9353033898</v>
      </c>
      <c r="M148" s="24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BL148*$Q148*(1+IF(VLOOKUP($R148,武学奇术!$A:$ZZ,30,FALSE)="流血",$B$21,0))*(1+$BR148)</f>
        <v>28670.1868937727</v>
      </c>
      <c r="N148" s="24">
        <f>(($AP148*$AI148+$AJ148)*(1+$AQ148)*(1+$AR148)+($AU148*IF($G$1="鸣金",$AK148,$AI148)+IF($G$1="鸣金",$AL148*1.5,0))*(1+$AV148)*(1+$AW148)+($AY148*IF($G$1="裂石",$AK148,$AI148)+IF($G$1="裂石",$AL148*1.5,0))*(1+$AZ148)*(1+$BA148)+($BC148*IF($G$1="牵丝",$AK148,$AI148)+IF($G$1="牵丝",$AL148*1.5,0))*(1+$BD148)*(1+$BE148)+($BG148*IF($G$1="破竹",$AK148,$AI148)+IF($G$1="破竹",$AL148*1.5,0))*(1+$BH148)*(1+$BI148))*(1+$AM148)*$BN148*$Q148*(1+IF(VLOOKUP($R148,武学奇术!$A:$ZZ,30,FALSE)="流血",$B$21,0))*(1+$BR148)</f>
        <v>44890.5689106456</v>
      </c>
      <c r="O148" s="24">
        <f>((($AO148+$AP148)/2*$AI148+$AJ148)*(1+$AQ148)*(1+$AR148)+(($AT148+$AU148)/2*IF($G$1="鸣金",$AK148,$AI148)+IF($G$1="鸣金",$AL148*1.5,0))*(1+$AV148)*(1+$AW148)+(($AX148+$AY148)/2*IF($G$1="裂石",$AK148,$AI148)+IF($G$1="裂石",$AL148*1.5,0))*(1+$AZ148)*(1+$BA148)+(($BB148+$BC148)/2*IF($G$1="牵丝",$AK148,$AI148)+IF($G$1="牵丝",$AL148*1.5,0))*(1+$BD148)*(1+$BE148)+(($BF148+$BG148)/2*IF($G$1="破竹",$AK148,$AI148)+IF($G$1="破竹",$AL148*1.5,0))*(1+$BH148)*(1+$BI148))*(1+$AM148)*$Q148*(1+IF(VLOOKUP($R148,武学奇术!$A:$ZZ,30,FALSE)="流血",$B$21,0))*(1+$BR148)</f>
        <v>19113.4579291818</v>
      </c>
      <c r="P148" s="24">
        <f>((($AO148*$AI148+$AJ148)*(1+$AQ148)*(1+$AR148)+($AT148*IF($G$1="鸣金",$AK148,$AI148)+IF($G$1="鸣金",$AL148*1.5,0))*(1+$AV148)*(1+$AW148)+($AX148*IF($G$1="裂石",$AK148,$AI148)+IF($G$1="裂石",$AL148*1.5,0))*(1+$AZ148)*(1+$BA148)+($BB148*IF($G$1="牵丝",$AK148,$AI148)+IF($G$1="牵丝",$AL148*1.5,0))*(1+$BD148)*(1+$BE148)+($BF148*IF($G$1="破竹",$AK148,$AI148)+IF($G$1="破竹",$AL148*1.5,0))*(1+$BH148)*(1+$BI148))*(1+$AM148))*$Q148*(1+IF(VLOOKUP($R148,武学奇术!$A:$ZZ,30,FALSE)="流血",$B$21,0))*(1+$BR148)</f>
        <v>8924.97792713274</v>
      </c>
      <c r="Q148" s="31">
        <v>4</v>
      </c>
      <c r="R148" s="32" t="s">
        <v>194</v>
      </c>
      <c r="S148" s="32" t="s">
        <v>87</v>
      </c>
      <c r="T148" s="32" t="s">
        <v>96</v>
      </c>
      <c r="U148" s="32" t="s">
        <v>97</v>
      </c>
      <c r="V148" s="32" t="s">
        <v>73</v>
      </c>
      <c r="W148" s="32" t="s">
        <v>111</v>
      </c>
      <c r="X148" s="32" t="s">
        <v>116</v>
      </c>
      <c r="Y148" s="32" t="s">
        <v>73</v>
      </c>
      <c r="Z148" s="32" t="s">
        <v>73</v>
      </c>
      <c r="AA148" s="32" t="s">
        <v>81</v>
      </c>
      <c r="AB148" s="32" t="s">
        <v>75</v>
      </c>
      <c r="AC148" s="32" t="s">
        <v>89</v>
      </c>
      <c r="AD148" s="32" t="s">
        <v>82</v>
      </c>
      <c r="AE148" s="32" t="s">
        <v>90</v>
      </c>
      <c r="AF148" s="32" t="s">
        <v>73</v>
      </c>
      <c r="AG148" s="32" t="s">
        <v>117</v>
      </c>
      <c r="AH148" t="str">
        <f>VLOOKUP($R148,武学奇术!$A:$ZZ,25,FALSE)</f>
        <v>单体奇术</v>
      </c>
      <c r="AI148" s="21">
        <f>VLOOKUP($R148,武学奇术!$A:$ZZ,26,FALSE)</f>
        <v>0.236</v>
      </c>
      <c r="AJ148" s="22">
        <f>VLOOKUP($R148,武学奇术!$A:$ZZ,27,FALSE)*(1+IF(OR($AH148=$F$4,$AH148=$F$5),$B$22,0))</f>
        <v>46</v>
      </c>
      <c r="AK148" s="21">
        <f>VLOOKUP($R148,武学奇术!$A:$ZZ,28,FALSE)</f>
        <v>0.354</v>
      </c>
      <c r="AL148" s="22">
        <f>VLOOKUP($R148,武学奇术!$A:$ZZ,29,FALSE)*(1+IF(OR($AH148=$F$4,$AH148=$F$5),$B$22,0))</f>
        <v>0</v>
      </c>
      <c r="AM148" s="21" cm="1">
        <f t="array" ref="AM148">$G$3+IFERROR(VLOOKUP($AH148,$F$4:$G$7,2,FALSE),0)+VLOOKUP($R148,武学奇术!$A:$ZZ,2,FALSE)+SUM(_xlfn.XLOOKUP($S148:$AG148,增益!$A:$A,增益!$B:$B,0))</f>
        <v>1.433</v>
      </c>
      <c r="AN148" s="21" cm="1">
        <f t="array" ref="AN148">VLOOKUP($R148,武学奇术!$A:$ZZ,5,FALSE)+SUM(_xlfn.XLOOKUP($S148:$AG148,增益!$A:$A,增益!$E:$E,0))</f>
        <v>0</v>
      </c>
      <c r="AO148" cm="1">
        <f t="array" ref="AO148">$D$10*(1+$AN148)+VLOOKUP($R148,武学奇术!$A:$ZZ,3,FALSE)+SUM(_xlfn.XLOOKUP($S148:$AG148,增益!$A:$A,增益!$C:$C,0))-$I$2</f>
        <v>1825.28</v>
      </c>
      <c r="AP148" cm="1">
        <f t="array" ref="AP148">$E$10*(1+$AN148)+VLOOKUP($R148,武学奇术!$A:$ZZ,4,FALSE)+SUM(_xlfn.XLOOKUP($S148:$AG148,增益!$A:$A,增益!$D:$D,0))-$I$2</f>
        <v>7757.36</v>
      </c>
      <c r="AQ148" s="26" cm="1">
        <f t="array" ref="AQ148">IF($F$10-$I$3+VLOOKUP($R148,武学奇术!$A:$ZZ,6,FALSE)+SUM(_xlfn.XLOOKUP(S148:AG148,增益!$A:$A,增益!$F:$F,0))&gt;0,($F$10-$I$3+VLOOKUP($R148,武学奇术!$A:$ZZ,6,FALSE)+SUM(_xlfn.XLOOKUP(S148:AG148,增益!$A:$A,增益!$F:$F,0)))/200,($F$10-$I$3+VLOOKUP($R148,武学奇术!$A:$ZZ,6,FALSE)+SUM(_xlfn.XLOOKUP(S148:AG148,增益!$A:$A,增益!$F:$F,0)))/100)</f>
        <v>0.234</v>
      </c>
      <c r="AR148" s="26" cm="1">
        <f t="array" ref="AR148">$G$10+VLOOKUP($R148,武学奇术!$A:$ZZ,7,FALSE)+SUM(_xlfn.XLOOKUP(S148:AG148,增益!$A:$A,增益!$G:$G,0))</f>
        <v>0</v>
      </c>
      <c r="AS148" s="21" cm="1">
        <f t="array" ref="AS148">VLOOKUP($R148,武学奇术!$A:$ZZ,8,FALSE)+SUM(_xlfn.XLOOKUP(S148:AG148,增益!$A:$A,增益!$H:$H,0))</f>
        <v>0</v>
      </c>
      <c r="AT148">
        <f t="shared" si="23"/>
        <v>680.02</v>
      </c>
      <c r="AU148">
        <f t="shared" si="24"/>
        <v>1288.54</v>
      </c>
      <c r="AV148" s="26" cm="1">
        <f t="array" ref="AV148">IF($F$11-$I$4+VLOOKUP($R148,武学奇术!$A:$ZZ,9,FALSE)+SUM(_xlfn.XLOOKUP(S148:AG148,增益!$A:$A,增益!$I:$I,0))&gt;0,($F$11-$I$4+VLOOKUP($R148,武学奇术!$A:$ZZ,9,FALSE)+SUM(_xlfn.XLOOKUP(S148:AG148,增益!$A:$A,增益!$I:$I,0)))/200,($F$11-$I$4+VLOOKUP($R148,武学奇术!$A:$ZZ,9,FALSE)+SUM(_xlfn.XLOOKUP(S148:AG148,增益!$A:$A,增益!$I:$I,0)))/100)</f>
        <v>0</v>
      </c>
      <c r="AW148" s="26" cm="1">
        <f t="array" ref="AW148">$G$11+VLOOKUP($R148,武学奇术!$A:$ZZ,10,FALSE)+SUM(_xlfn.XLOOKUP(S148:AG148,增益!$A:$A,增益!$J:$J,0))</f>
        <v>0.15</v>
      </c>
      <c r="AX148">
        <f t="shared" si="25"/>
        <v>0</v>
      </c>
      <c r="AY148">
        <f t="shared" si="26"/>
        <v>0</v>
      </c>
      <c r="AZ148" s="26" cm="1">
        <f t="array" ref="AZ148">IF($F$12-$I$4+VLOOKUP($R148,武学奇术!$A:$ZZ,11,FALSE)+SUM(_xlfn.XLOOKUP(S148:AG148,增益!$A:$A,增益!$K:$K,0))&gt;0,($F$12-$I$4+VLOOKUP($R148,武学奇术!$A:$ZZ,11,FALSE)+SUM(_xlfn.XLOOKUP(S148:AG148,增益!$A:$A,增益!$K:$K,0)))/200,($F$12-$I$4+VLOOKUP($R148,武学奇术!$A:$ZZ,11,FALSE)+SUM(_xlfn.XLOOKUP(S148:AG148,增益!$A:$A,增益!$K:$K,0)))/100)</f>
        <v>-0.3</v>
      </c>
      <c r="BA148" s="26" cm="1">
        <f t="array" ref="BA148">$G$12+VLOOKUP($R148,武学奇术!$A:$ZZ,12,FALSE)+SUM(_xlfn.XLOOKUP(S148:AG148,增益!$A:$A,增益!$L:$L,0))</f>
        <v>0</v>
      </c>
      <c r="BB148">
        <f t="shared" si="27"/>
        <v>0</v>
      </c>
      <c r="BC148">
        <f t="shared" si="28"/>
        <v>0</v>
      </c>
      <c r="BD148" s="26" cm="1">
        <f t="array" ref="BD148">IF($F$13-$I$4+VLOOKUP($R148,武学奇术!$A:$ZZ,13,FALSE)+SUM(_xlfn.XLOOKUP(S148:AG148,增益!$A:$A,增益!$M:$M,0))&gt;0,($F$13-$I$4+VLOOKUP($R148,武学奇术!$A:$ZZ,13,FALSE)+SUM(_xlfn.XLOOKUP(S148:AG148,增益!$A:$A,增益!$K:$K,0)))/200,($F$13-$I$4+VLOOKUP($R148,武学奇术!$A:$ZZ,13,FALSE)+SUM(_xlfn.XLOOKUP(S148:AG148,增益!$A:$A,增益!$M:$M,0)))/100)</f>
        <v>-0.3</v>
      </c>
      <c r="BE148" s="26" cm="1">
        <f t="array" ref="BE148">$G$13+VLOOKUP($R148,武学奇术!$A:$ZZ,14,FALSE)+SUM(_xlfn.XLOOKUP(S148:AG148,增益!$A:$A,增益!$N:$N,0))</f>
        <v>0</v>
      </c>
      <c r="BF148">
        <f t="shared" si="29"/>
        <v>0</v>
      </c>
      <c r="BG148">
        <f t="shared" si="30"/>
        <v>0</v>
      </c>
      <c r="BH148" s="26" cm="1">
        <f t="array" ref="BH148">IF($F$14-$I$4+VLOOKUP($R148,武学奇术!$A:$ZZ,15,FALSE)+SUM(_xlfn.XLOOKUP(S148:AG148,增益!$A:$A,增益!$O:$O,0))&gt;0,($F$14-$I$4+VLOOKUP($R148,武学奇术!$A:$ZZ,15,FALSE)+SUM(_xlfn.XLOOKUP(S148:AG148,增益!$A:$A,增益!$O:$O,0)))/200,($F$14-$I$4+VLOOKUP($R148,武学奇术!$A:$ZZ,15,FALSE)+SUM(_xlfn.XLOOKUP(S148:AG148,增益!$A:$A,增益!$O:$O,0)))/100)</f>
        <v>-0.3</v>
      </c>
      <c r="BI148" s="26" cm="1">
        <f t="array" ref="BI148">$G$14+VLOOKUP($R148,武学奇术!$A:$ZZ,16,FALSE)+SUM(_xlfn.XLOOKUP(S148:AG148,增益!$A:$A,增益!$P:$P,0))</f>
        <v>0</v>
      </c>
      <c r="BJ148" s="21">
        <f>MIN(IF(VLOOKUP($R148,武学奇术!$A:$ZZ,23,FALSE)=1,100%,$B$8),100%)</f>
        <v>0.8229</v>
      </c>
      <c r="BK148" s="21" cm="1">
        <f t="array" ref="BK148">IF(VLOOKUP($R148,武学奇术!$A:$ZZ,23,FALSE)=1,100%,MIN(80%,$B$9+VLOOKUP($R148,武学奇术!$A:$ZZ,17,FALSE)+SUM(_xlfn.XLOOKUP(S148:AG148,增益!$A:$A,增益!$Q:$Q,0)))+$B$11+SUM(_xlfn.XLOOKUP(S148:AG148,增益!$A:$A,增益!$U:$U,0)))*IF(VLOOKUP($R148,武学奇术!$A:$ZZ,24,FALSE)=1,0,1)</f>
        <v>0.2285</v>
      </c>
      <c r="BL148" s="21" cm="1">
        <f t="array" ref="BL148">1+$B$13+VLOOKUP($R148,武学奇术!$A:$ZZ,18,FALSE)+SUM(_xlfn.XLOOKUP(S148:AG148,增益!$A:$A,增益!$R:$R,0))</f>
        <v>1.5</v>
      </c>
      <c r="BM148" s="21" cm="1">
        <f t="array" ref="BM148">IF(VLOOKUP($R148,武学奇术!$A:$ZZ,24,FALSE)=1,100%,MIN(40%,$B$10+VLOOKUP($R148,武学奇术!$A:$ZZ,19,FALSE)+SUM(_xlfn.XLOOKUP(S148:AG148,增益!$A:$A,增益!$S:$S,0)))+$B$12+SUM(_xlfn.XLOOKUP(S148:AG148,增益!$A:$A,增益!$V:$V,0)))*IF(VLOOKUP($R148,武学奇术!$A:$ZZ,23,FALSE)=1,0,1)</f>
        <v>0.4495</v>
      </c>
      <c r="BN148" s="21" cm="1">
        <f t="array" ref="BN148">1+$B$14+VLOOKUP($R148,武学奇术!$A:$ZZ,20,FALSE)+SUM(_xlfn.XLOOKUP(S148:AG148,增益!$A:$A,增益!$T:$T,0))</f>
        <v>1.532</v>
      </c>
      <c r="BO148" s="21">
        <f t="shared" si="31"/>
        <v>0.18803265</v>
      </c>
      <c r="BP148" s="21">
        <f t="shared" si="32"/>
        <v>0.2649738</v>
      </c>
      <c r="BQ148" s="21">
        <f>IF(VLOOKUP($R148,武学奇术!$A:$ZZ,22,FALSE)=1,0,(1-$BJ148))*(1-$BM148)</f>
        <v>0.09749355</v>
      </c>
      <c r="BR148" s="21" cm="1">
        <f t="array" ref="BR148">SUM(_xlfn.XLOOKUP(S148:AG148,增益!$A:$A,增益!$W:$W,0))+$I$5</f>
        <v>0.06</v>
      </c>
    </row>
    <row r="149" spans="11:70">
      <c r="K149" s="24">
        <f>$L149*VLOOKUP($R149,武学奇术!$A:$ZZ,31,FALSE)</f>
        <v>3979.84785926032</v>
      </c>
      <c r="L149" s="24">
        <f t="shared" si="22"/>
        <v>7959.69571852064</v>
      </c>
      <c r="M149" s="24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BL149*$Q149*(1+IF(VLOOKUP($R149,武学奇术!$A:$ZZ,30,FALSE)="流血",$B$21,0))*(1+$BR149)</f>
        <v>7242.71581350311</v>
      </c>
      <c r="N149" s="24">
        <f>(($AP149*$AI149+$AJ149)*(1+$AQ149)*(1+$AR149)+($AU149*IF($G$1="鸣金",$AK149,$AI149)+IF($G$1="鸣金",$AL149*1.5,0))*(1+$AV149)*(1+$AW149)+($AY149*IF($G$1="裂石",$AK149,$AI149)+IF($G$1="裂石",$AL149*1.5,0))*(1+$AZ149)*(1+$BA149)+($BC149*IF($G$1="牵丝",$AK149,$AI149)+IF($G$1="牵丝",$AL149*1.5,0))*(1+$BD149)*(1+$BE149)+($BG149*IF($G$1="破竹",$AK149,$AI149)+IF($G$1="破竹",$AL149*1.5,0))*(1+$BH149)*(1+$BI149))*(1+$AM149)*$BN149*$Q149*(1+IF(VLOOKUP($R149,武学奇术!$A:$ZZ,30,FALSE)="流血",$B$21,0))*(1+$BR149)</f>
        <v>11343.2235887196</v>
      </c>
      <c r="O149" s="24">
        <f>((($AO149+$AP149)/2*$AI149+$AJ149)*(1+$AQ149)*(1+$AR149)+(($AT149+$AU149)/2*IF($G$1="鸣金",$AK149,$AI149)+IF($G$1="鸣金",$AL149*1.5,0))*(1+$AV149)*(1+$AW149)+(($AX149+$AY149)/2*IF($G$1="裂石",$AK149,$AI149)+IF($G$1="裂石",$AL149*1.5,0))*(1+$AZ149)*(1+$BA149)+(($BB149+$BC149)/2*IF($G$1="牵丝",$AK149,$AI149)+IF($G$1="牵丝",$AL149*1.5,0))*(1+$BD149)*(1+$BE149)+(($BF149+$BG149)/2*IF($G$1="破竹",$AK149,$AI149)+IF($G$1="破竹",$AL149*1.5,0))*(1+$BH149)*(1+$BI149))*(1+$AM149)*$Q149*(1+IF(VLOOKUP($R149,武学奇术!$A:$ZZ,30,FALSE)="流血",$B$21,0))*(1+$BR149)</f>
        <v>4828.47720900207</v>
      </c>
      <c r="P149" s="24">
        <f>((($AO149*$AI149+$AJ149)*(1+$AQ149)*(1+$AR149)+($AT149*IF($G$1="鸣金",$AK149,$AI149)+IF($G$1="鸣金",$AL149*1.5,0))*(1+$AV149)*(1+$AW149)+($AX149*IF($G$1="裂石",$AK149,$AI149)+IF($G$1="裂石",$AL149*1.5,0))*(1+$AZ149)*(1+$BA149)+($BB149*IF($G$1="牵丝",$AK149,$AI149)+IF($G$1="牵丝",$AL149*1.5,0))*(1+$BD149)*(1+$BE149)+($BF149*IF($G$1="破竹",$AK149,$AI149)+IF($G$1="破竹",$AL149*1.5,0))*(1+$BH149)*(1+$BI149))*(1+$AM149))*$Q149*(1+IF(VLOOKUP($R149,武学奇术!$A:$ZZ,30,FALSE)="流血",$B$21,0))*(1+$BR149)</f>
        <v>2252.76147497568</v>
      </c>
      <c r="Q149" s="31">
        <v>1</v>
      </c>
      <c r="R149" s="32" t="s">
        <v>194</v>
      </c>
      <c r="S149" s="32" t="s">
        <v>87</v>
      </c>
      <c r="T149" s="32" t="s">
        <v>96</v>
      </c>
      <c r="U149" s="32" t="s">
        <v>97</v>
      </c>
      <c r="V149" s="32" t="s">
        <v>73</v>
      </c>
      <c r="W149" s="32" t="s">
        <v>111</v>
      </c>
      <c r="X149" s="32" t="s">
        <v>127</v>
      </c>
      <c r="Y149" s="32" t="s">
        <v>73</v>
      </c>
      <c r="Z149" s="32" t="s">
        <v>73</v>
      </c>
      <c r="AA149" s="32" t="s">
        <v>81</v>
      </c>
      <c r="AB149" s="32" t="s">
        <v>75</v>
      </c>
      <c r="AC149" s="32" t="s">
        <v>89</v>
      </c>
      <c r="AD149" s="32" t="s">
        <v>82</v>
      </c>
      <c r="AE149" s="32" t="s">
        <v>90</v>
      </c>
      <c r="AF149" s="32" t="s">
        <v>73</v>
      </c>
      <c r="AG149" s="32" t="s">
        <v>117</v>
      </c>
      <c r="AH149" t="str">
        <f>VLOOKUP($R149,武学奇术!$A:$ZZ,25,FALSE)</f>
        <v>单体奇术</v>
      </c>
      <c r="AI149" s="21">
        <f>VLOOKUP($R149,武学奇术!$A:$ZZ,26,FALSE)</f>
        <v>0.236</v>
      </c>
      <c r="AJ149" s="22">
        <f>VLOOKUP($R149,武学奇术!$A:$ZZ,27,FALSE)*(1+IF(OR($AH149=$F$4,$AH149=$F$5),$B$22,0))</f>
        <v>46</v>
      </c>
      <c r="AK149" s="21">
        <f>VLOOKUP($R149,武学奇术!$A:$ZZ,28,FALSE)</f>
        <v>0.354</v>
      </c>
      <c r="AL149" s="22">
        <f>VLOOKUP($R149,武学奇术!$A:$ZZ,29,FALSE)*(1+IF(OR($AH149=$F$4,$AH149=$F$5),$B$22,0))</f>
        <v>0</v>
      </c>
      <c r="AM149" s="21" cm="1">
        <f t="array" ref="AM149">$G$3+IFERROR(VLOOKUP($AH149,$F$4:$G$7,2,FALSE),0)+VLOOKUP($R149,武学奇术!$A:$ZZ,2,FALSE)+SUM(_xlfn.XLOOKUP($S149:$AG149,增益!$A:$A,增益!$B:$B,0))</f>
        <v>1.443</v>
      </c>
      <c r="AN149" s="21" cm="1">
        <f t="array" ref="AN149">VLOOKUP($R149,武学奇术!$A:$ZZ,5,FALSE)+SUM(_xlfn.XLOOKUP($S149:$AG149,增益!$A:$A,增益!$E:$E,0))</f>
        <v>0</v>
      </c>
      <c r="AO149" cm="1">
        <f t="array" ref="AO149">$D$10*(1+$AN149)+VLOOKUP($R149,武学奇术!$A:$ZZ,3,FALSE)+SUM(_xlfn.XLOOKUP($S149:$AG149,增益!$A:$A,增益!$C:$C,0))-$I$2</f>
        <v>1825.28</v>
      </c>
      <c r="AP149" cm="1">
        <f t="array" ref="AP149">$E$10*(1+$AN149)+VLOOKUP($R149,武学奇术!$A:$ZZ,4,FALSE)+SUM(_xlfn.XLOOKUP($S149:$AG149,增益!$A:$A,增益!$D:$D,0))-$I$2</f>
        <v>7757.36</v>
      </c>
      <c r="AQ149" s="26" cm="1">
        <f t="array" ref="AQ149">IF($F$10-$I$3+VLOOKUP($R149,武学奇术!$A:$ZZ,6,FALSE)+SUM(_xlfn.XLOOKUP(S149:AG149,增益!$A:$A,增益!$F:$F,0))&gt;0,($F$10-$I$3+VLOOKUP($R149,武学奇术!$A:$ZZ,6,FALSE)+SUM(_xlfn.XLOOKUP(S149:AG149,增益!$A:$A,增益!$F:$F,0)))/200,($F$10-$I$3+VLOOKUP($R149,武学奇术!$A:$ZZ,6,FALSE)+SUM(_xlfn.XLOOKUP(S149:AG149,增益!$A:$A,增益!$F:$F,0)))/100)</f>
        <v>0.244</v>
      </c>
      <c r="AR149" s="26" cm="1">
        <f t="array" ref="AR149">$G$10+VLOOKUP($R149,武学奇术!$A:$ZZ,7,FALSE)+SUM(_xlfn.XLOOKUP(S149:AG149,增益!$A:$A,增益!$G:$G,0))</f>
        <v>0</v>
      </c>
      <c r="AS149" s="21" cm="1">
        <f t="array" ref="AS149">VLOOKUP($R149,武学奇术!$A:$ZZ,8,FALSE)+SUM(_xlfn.XLOOKUP(S149:AG149,增益!$A:$A,增益!$H:$H,0))</f>
        <v>0</v>
      </c>
      <c r="AT149">
        <f t="shared" si="23"/>
        <v>680.02</v>
      </c>
      <c r="AU149">
        <f t="shared" si="24"/>
        <v>1288.54</v>
      </c>
      <c r="AV149" s="26" cm="1">
        <f t="array" ref="AV149">IF($F$11-$I$4+VLOOKUP($R149,武学奇术!$A:$ZZ,9,FALSE)+SUM(_xlfn.XLOOKUP(S149:AG149,增益!$A:$A,增益!$I:$I,0))&gt;0,($F$11-$I$4+VLOOKUP($R149,武学奇术!$A:$ZZ,9,FALSE)+SUM(_xlfn.XLOOKUP(S149:AG149,增益!$A:$A,增益!$I:$I,0)))/200,($F$11-$I$4+VLOOKUP($R149,武学奇术!$A:$ZZ,9,FALSE)+SUM(_xlfn.XLOOKUP(S149:AG149,增益!$A:$A,增益!$I:$I,0)))/100)</f>
        <v>0</v>
      </c>
      <c r="AW149" s="26" cm="1">
        <f t="array" ref="AW149">$G$11+VLOOKUP($R149,武学奇术!$A:$ZZ,10,FALSE)+SUM(_xlfn.XLOOKUP(S149:AG149,增益!$A:$A,增益!$J:$J,0))</f>
        <v>0.15</v>
      </c>
      <c r="AX149">
        <f t="shared" si="25"/>
        <v>0</v>
      </c>
      <c r="AY149">
        <f t="shared" si="26"/>
        <v>0</v>
      </c>
      <c r="AZ149" s="26" cm="1">
        <f t="array" ref="AZ149">IF($F$12-$I$4+VLOOKUP($R149,武学奇术!$A:$ZZ,11,FALSE)+SUM(_xlfn.XLOOKUP(S149:AG149,增益!$A:$A,增益!$K:$K,0))&gt;0,($F$12-$I$4+VLOOKUP($R149,武学奇术!$A:$ZZ,11,FALSE)+SUM(_xlfn.XLOOKUP(S149:AG149,增益!$A:$A,增益!$K:$K,0)))/200,($F$12-$I$4+VLOOKUP($R149,武学奇术!$A:$ZZ,11,FALSE)+SUM(_xlfn.XLOOKUP(S149:AG149,增益!$A:$A,增益!$K:$K,0)))/100)</f>
        <v>-0.3</v>
      </c>
      <c r="BA149" s="26" cm="1">
        <f t="array" ref="BA149">$G$12+VLOOKUP($R149,武学奇术!$A:$ZZ,12,FALSE)+SUM(_xlfn.XLOOKUP(S149:AG149,增益!$A:$A,增益!$L:$L,0))</f>
        <v>0</v>
      </c>
      <c r="BB149">
        <f t="shared" si="27"/>
        <v>0</v>
      </c>
      <c r="BC149">
        <f t="shared" si="28"/>
        <v>0</v>
      </c>
      <c r="BD149" s="26" cm="1">
        <f t="array" ref="BD149">IF($F$13-$I$4+VLOOKUP($R149,武学奇术!$A:$ZZ,13,FALSE)+SUM(_xlfn.XLOOKUP(S149:AG149,增益!$A:$A,增益!$M:$M,0))&gt;0,($F$13-$I$4+VLOOKUP($R149,武学奇术!$A:$ZZ,13,FALSE)+SUM(_xlfn.XLOOKUP(S149:AG149,增益!$A:$A,增益!$K:$K,0)))/200,($F$13-$I$4+VLOOKUP($R149,武学奇术!$A:$ZZ,13,FALSE)+SUM(_xlfn.XLOOKUP(S149:AG149,增益!$A:$A,增益!$M:$M,0)))/100)</f>
        <v>-0.3</v>
      </c>
      <c r="BE149" s="26" cm="1">
        <f t="array" ref="BE149">$G$13+VLOOKUP($R149,武学奇术!$A:$ZZ,14,FALSE)+SUM(_xlfn.XLOOKUP(S149:AG149,增益!$A:$A,增益!$N:$N,0))</f>
        <v>0</v>
      </c>
      <c r="BF149">
        <f t="shared" si="29"/>
        <v>0</v>
      </c>
      <c r="BG149">
        <f t="shared" si="30"/>
        <v>0</v>
      </c>
      <c r="BH149" s="26" cm="1">
        <f t="array" ref="BH149">IF($F$14-$I$4+VLOOKUP($R149,武学奇术!$A:$ZZ,15,FALSE)+SUM(_xlfn.XLOOKUP(S149:AG149,增益!$A:$A,增益!$O:$O,0))&gt;0,($F$14-$I$4+VLOOKUP($R149,武学奇术!$A:$ZZ,15,FALSE)+SUM(_xlfn.XLOOKUP(S149:AG149,增益!$A:$A,增益!$O:$O,0)))/200,($F$14-$I$4+VLOOKUP($R149,武学奇术!$A:$ZZ,15,FALSE)+SUM(_xlfn.XLOOKUP(S149:AG149,增益!$A:$A,增益!$O:$O,0)))/100)</f>
        <v>-0.3</v>
      </c>
      <c r="BI149" s="26" cm="1">
        <f t="array" ref="BI149">$G$14+VLOOKUP($R149,武学奇术!$A:$ZZ,16,FALSE)+SUM(_xlfn.XLOOKUP(S149:AG149,增益!$A:$A,增益!$P:$P,0))</f>
        <v>0</v>
      </c>
      <c r="BJ149" s="21">
        <f>MIN(IF(VLOOKUP($R149,武学奇术!$A:$ZZ,23,FALSE)=1,100%,$B$8),100%)</f>
        <v>0.8229</v>
      </c>
      <c r="BK149" s="21" cm="1">
        <f t="array" ref="BK149">IF(VLOOKUP($R149,武学奇术!$A:$ZZ,23,FALSE)=1,100%,MIN(80%,$B$9+VLOOKUP($R149,武学奇术!$A:$ZZ,17,FALSE)+SUM(_xlfn.XLOOKUP(S149:AG149,增益!$A:$A,增益!$Q:$Q,0)))+$B$11+SUM(_xlfn.XLOOKUP(S149:AG149,增益!$A:$A,增益!$U:$U,0)))*IF(VLOOKUP($R149,武学奇术!$A:$ZZ,24,FALSE)=1,0,1)</f>
        <v>0.2285</v>
      </c>
      <c r="BL149" s="21" cm="1">
        <f t="array" ref="BL149">1+$B$13+VLOOKUP($R149,武学奇术!$A:$ZZ,18,FALSE)+SUM(_xlfn.XLOOKUP(S149:AG149,增益!$A:$A,增益!$R:$R,0))</f>
        <v>1.5</v>
      </c>
      <c r="BM149" s="21" cm="1">
        <f t="array" ref="BM149">IF(VLOOKUP($R149,武学奇术!$A:$ZZ,24,FALSE)=1,100%,MIN(40%,$B$10+VLOOKUP($R149,武学奇术!$A:$ZZ,19,FALSE)+SUM(_xlfn.XLOOKUP(S149:AG149,增益!$A:$A,增益!$S:$S,0)))+$B$12+SUM(_xlfn.XLOOKUP(S149:AG149,增益!$A:$A,增益!$V:$V,0)))*IF(VLOOKUP($R149,武学奇术!$A:$ZZ,23,FALSE)=1,0,1)</f>
        <v>0.4495</v>
      </c>
      <c r="BN149" s="21" cm="1">
        <f t="array" ref="BN149">1+$B$14+VLOOKUP($R149,武学奇术!$A:$ZZ,20,FALSE)+SUM(_xlfn.XLOOKUP(S149:AG149,增益!$A:$A,增益!$T:$T,0))</f>
        <v>1.532</v>
      </c>
      <c r="BO149" s="21">
        <f t="shared" si="31"/>
        <v>0.18803265</v>
      </c>
      <c r="BP149" s="21">
        <f t="shared" si="32"/>
        <v>0.2649738</v>
      </c>
      <c r="BQ149" s="21">
        <f>IF(VLOOKUP($R149,武学奇术!$A:$ZZ,22,FALSE)=1,0,(1-$BJ149))*(1-$BM149)</f>
        <v>0.09749355</v>
      </c>
      <c r="BR149" s="21" cm="1">
        <f t="array" ref="BR149">SUM(_xlfn.XLOOKUP(S149:AG149,增益!$A:$A,增益!$W:$W,0))+$I$5</f>
        <v>0.06</v>
      </c>
    </row>
    <row r="150" spans="11:70">
      <c r="K150" s="24">
        <f>$L150*VLOOKUP($R150,武学奇术!$A:$ZZ,31,FALSE)</f>
        <v>3979.84785926032</v>
      </c>
      <c r="L150" s="24">
        <f t="shared" si="22"/>
        <v>7959.69571852064</v>
      </c>
      <c r="M150" s="24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BL150*$Q150*(1+IF(VLOOKUP($R150,武学奇术!$A:$ZZ,30,FALSE)="流血",$B$21,0))*(1+$BR150)</f>
        <v>7242.71581350311</v>
      </c>
      <c r="N150" s="24">
        <f>(($AP150*$AI150+$AJ150)*(1+$AQ150)*(1+$AR150)+($AU150*IF($G$1="鸣金",$AK150,$AI150)+IF($G$1="鸣金",$AL150*1.5,0))*(1+$AV150)*(1+$AW150)+($AY150*IF($G$1="裂石",$AK150,$AI150)+IF($G$1="裂石",$AL150*1.5,0))*(1+$AZ150)*(1+$BA150)+($BC150*IF($G$1="牵丝",$AK150,$AI150)+IF($G$1="牵丝",$AL150*1.5,0))*(1+$BD150)*(1+$BE150)+($BG150*IF($G$1="破竹",$AK150,$AI150)+IF($G$1="破竹",$AL150*1.5,0))*(1+$BH150)*(1+$BI150))*(1+$AM150)*$BN150*$Q150*(1+IF(VLOOKUP($R150,武学奇术!$A:$ZZ,30,FALSE)="流血",$B$21,0))*(1+$BR150)</f>
        <v>11343.2235887196</v>
      </c>
      <c r="O150" s="24">
        <f>((($AO150+$AP150)/2*$AI150+$AJ150)*(1+$AQ150)*(1+$AR150)+(($AT150+$AU150)/2*IF($G$1="鸣金",$AK150,$AI150)+IF($G$1="鸣金",$AL150*1.5,0))*(1+$AV150)*(1+$AW150)+(($AX150+$AY150)/2*IF($G$1="裂石",$AK150,$AI150)+IF($G$1="裂石",$AL150*1.5,0))*(1+$AZ150)*(1+$BA150)+(($BB150+$BC150)/2*IF($G$1="牵丝",$AK150,$AI150)+IF($G$1="牵丝",$AL150*1.5,0))*(1+$BD150)*(1+$BE150)+(($BF150+$BG150)/2*IF($G$1="破竹",$AK150,$AI150)+IF($G$1="破竹",$AL150*1.5,0))*(1+$BH150)*(1+$BI150))*(1+$AM150)*$Q150*(1+IF(VLOOKUP($R150,武学奇术!$A:$ZZ,30,FALSE)="流血",$B$21,0))*(1+$BR150)</f>
        <v>4828.47720900207</v>
      </c>
      <c r="P150" s="24">
        <f>((($AO150*$AI150+$AJ150)*(1+$AQ150)*(1+$AR150)+($AT150*IF($G$1="鸣金",$AK150,$AI150)+IF($G$1="鸣金",$AL150*1.5,0))*(1+$AV150)*(1+$AW150)+($AX150*IF($G$1="裂石",$AK150,$AI150)+IF($G$1="裂石",$AL150*1.5,0))*(1+$AZ150)*(1+$BA150)+($BB150*IF($G$1="牵丝",$AK150,$AI150)+IF($G$1="牵丝",$AL150*1.5,0))*(1+$BD150)*(1+$BE150)+($BF150*IF($G$1="破竹",$AK150,$AI150)+IF($G$1="破竹",$AL150*1.5,0))*(1+$BH150)*(1+$BI150))*(1+$AM150))*$Q150*(1+IF(VLOOKUP($R150,武学奇术!$A:$ZZ,30,FALSE)="流血",$B$21,0))*(1+$BR150)</f>
        <v>2252.76147497568</v>
      </c>
      <c r="Q150" s="31">
        <v>1</v>
      </c>
      <c r="R150" s="32" t="s">
        <v>194</v>
      </c>
      <c r="S150" s="32" t="s">
        <v>87</v>
      </c>
      <c r="T150" s="32" t="s">
        <v>96</v>
      </c>
      <c r="U150" s="32" t="s">
        <v>97</v>
      </c>
      <c r="V150" s="32" t="s">
        <v>73</v>
      </c>
      <c r="W150" s="32" t="s">
        <v>111</v>
      </c>
      <c r="X150" s="32" t="s">
        <v>127</v>
      </c>
      <c r="Y150" s="32" t="s">
        <v>73</v>
      </c>
      <c r="Z150" s="32" t="s">
        <v>73</v>
      </c>
      <c r="AA150" s="32" t="s">
        <v>81</v>
      </c>
      <c r="AB150" s="32" t="s">
        <v>75</v>
      </c>
      <c r="AC150" s="32" t="s">
        <v>76</v>
      </c>
      <c r="AD150" s="32" t="s">
        <v>82</v>
      </c>
      <c r="AE150" s="32" t="s">
        <v>90</v>
      </c>
      <c r="AF150" s="32" t="s">
        <v>73</v>
      </c>
      <c r="AG150" s="32" t="s">
        <v>117</v>
      </c>
      <c r="AH150" t="str">
        <f>VLOOKUP($R150,武学奇术!$A:$ZZ,25,FALSE)</f>
        <v>单体奇术</v>
      </c>
      <c r="AI150" s="21">
        <f>VLOOKUP($R150,武学奇术!$A:$ZZ,26,FALSE)</f>
        <v>0.236</v>
      </c>
      <c r="AJ150" s="22">
        <f>VLOOKUP($R150,武学奇术!$A:$ZZ,27,FALSE)*(1+IF(OR($AH150=$F$4,$AH150=$F$5),$B$22,0))</f>
        <v>46</v>
      </c>
      <c r="AK150" s="21">
        <f>VLOOKUP($R150,武学奇术!$A:$ZZ,28,FALSE)</f>
        <v>0.354</v>
      </c>
      <c r="AL150" s="22">
        <f>VLOOKUP($R150,武学奇术!$A:$ZZ,29,FALSE)*(1+IF(OR($AH150=$F$4,$AH150=$F$5),$B$22,0))</f>
        <v>0</v>
      </c>
      <c r="AM150" s="21" cm="1">
        <f t="array" ref="AM150">$G$3+IFERROR(VLOOKUP($AH150,$F$4:$G$7,2,FALSE),0)+VLOOKUP($R150,武学奇术!$A:$ZZ,2,FALSE)+SUM(_xlfn.XLOOKUP($S150:$AG150,增益!$A:$A,增益!$B:$B,0))</f>
        <v>1.443</v>
      </c>
      <c r="AN150" s="21" cm="1">
        <f t="array" ref="AN150">VLOOKUP($R150,武学奇术!$A:$ZZ,5,FALSE)+SUM(_xlfn.XLOOKUP($S150:$AG150,增益!$A:$A,增益!$E:$E,0))</f>
        <v>0</v>
      </c>
      <c r="AO150" cm="1">
        <f t="array" ref="AO150">$D$10*(1+$AN150)+VLOOKUP($R150,武学奇术!$A:$ZZ,3,FALSE)+SUM(_xlfn.XLOOKUP($S150:$AG150,增益!$A:$A,增益!$C:$C,0))-$I$2</f>
        <v>1825.28</v>
      </c>
      <c r="AP150" cm="1">
        <f t="array" ref="AP150">$E$10*(1+$AN150)+VLOOKUP($R150,武学奇术!$A:$ZZ,4,FALSE)+SUM(_xlfn.XLOOKUP($S150:$AG150,增益!$A:$A,增益!$D:$D,0))-$I$2</f>
        <v>7757.36</v>
      </c>
      <c r="AQ150" s="26" cm="1">
        <f t="array" ref="AQ150">IF($F$10-$I$3+VLOOKUP($R150,武学奇术!$A:$ZZ,6,FALSE)+SUM(_xlfn.XLOOKUP(S150:AG150,增益!$A:$A,增益!$F:$F,0))&gt;0,($F$10-$I$3+VLOOKUP($R150,武学奇术!$A:$ZZ,6,FALSE)+SUM(_xlfn.XLOOKUP(S150:AG150,增益!$A:$A,增益!$F:$F,0)))/200,($F$10-$I$3+VLOOKUP($R150,武学奇术!$A:$ZZ,6,FALSE)+SUM(_xlfn.XLOOKUP(S150:AG150,增益!$A:$A,增益!$F:$F,0)))/100)</f>
        <v>0.244</v>
      </c>
      <c r="AR150" s="26" cm="1">
        <f t="array" ref="AR150">$G$10+VLOOKUP($R150,武学奇术!$A:$ZZ,7,FALSE)+SUM(_xlfn.XLOOKUP(S150:AG150,增益!$A:$A,增益!$G:$G,0))</f>
        <v>0</v>
      </c>
      <c r="AS150" s="21" cm="1">
        <f t="array" ref="AS150">VLOOKUP($R150,武学奇术!$A:$ZZ,8,FALSE)+SUM(_xlfn.XLOOKUP(S150:AG150,增益!$A:$A,增益!$H:$H,0))</f>
        <v>0</v>
      </c>
      <c r="AT150">
        <f t="shared" si="23"/>
        <v>680.02</v>
      </c>
      <c r="AU150">
        <f t="shared" si="24"/>
        <v>1288.54</v>
      </c>
      <c r="AV150" s="26" cm="1">
        <f t="array" ref="AV150">IF($F$11-$I$4+VLOOKUP($R150,武学奇术!$A:$ZZ,9,FALSE)+SUM(_xlfn.XLOOKUP(S150:AG150,增益!$A:$A,增益!$I:$I,0))&gt;0,($F$11-$I$4+VLOOKUP($R150,武学奇术!$A:$ZZ,9,FALSE)+SUM(_xlfn.XLOOKUP(S150:AG150,增益!$A:$A,增益!$I:$I,0)))/200,($F$11-$I$4+VLOOKUP($R150,武学奇术!$A:$ZZ,9,FALSE)+SUM(_xlfn.XLOOKUP(S150:AG150,增益!$A:$A,增益!$I:$I,0)))/100)</f>
        <v>0</v>
      </c>
      <c r="AW150" s="26" cm="1">
        <f t="array" ref="AW150">$G$11+VLOOKUP($R150,武学奇术!$A:$ZZ,10,FALSE)+SUM(_xlfn.XLOOKUP(S150:AG150,增益!$A:$A,增益!$J:$J,0))</f>
        <v>0.15</v>
      </c>
      <c r="AX150">
        <f t="shared" si="25"/>
        <v>0</v>
      </c>
      <c r="AY150">
        <f t="shared" si="26"/>
        <v>0</v>
      </c>
      <c r="AZ150" s="26" cm="1">
        <f t="array" ref="AZ150">IF($F$12-$I$4+VLOOKUP($R150,武学奇术!$A:$ZZ,11,FALSE)+SUM(_xlfn.XLOOKUP(S150:AG150,增益!$A:$A,增益!$K:$K,0))&gt;0,($F$12-$I$4+VLOOKUP($R150,武学奇术!$A:$ZZ,11,FALSE)+SUM(_xlfn.XLOOKUP(S150:AG150,增益!$A:$A,增益!$K:$K,0)))/200,($F$12-$I$4+VLOOKUP($R150,武学奇术!$A:$ZZ,11,FALSE)+SUM(_xlfn.XLOOKUP(S150:AG150,增益!$A:$A,增益!$K:$K,0)))/100)</f>
        <v>-0.3</v>
      </c>
      <c r="BA150" s="26" cm="1">
        <f t="array" ref="BA150">$G$12+VLOOKUP($R150,武学奇术!$A:$ZZ,12,FALSE)+SUM(_xlfn.XLOOKUP(S150:AG150,增益!$A:$A,增益!$L:$L,0))</f>
        <v>0</v>
      </c>
      <c r="BB150">
        <f t="shared" si="27"/>
        <v>0</v>
      </c>
      <c r="BC150">
        <f t="shared" si="28"/>
        <v>0</v>
      </c>
      <c r="BD150" s="26" cm="1">
        <f t="array" ref="BD150">IF($F$13-$I$4+VLOOKUP($R150,武学奇术!$A:$ZZ,13,FALSE)+SUM(_xlfn.XLOOKUP(S150:AG150,增益!$A:$A,增益!$M:$M,0))&gt;0,($F$13-$I$4+VLOOKUP($R150,武学奇术!$A:$ZZ,13,FALSE)+SUM(_xlfn.XLOOKUP(S150:AG150,增益!$A:$A,增益!$K:$K,0)))/200,($F$13-$I$4+VLOOKUP($R150,武学奇术!$A:$ZZ,13,FALSE)+SUM(_xlfn.XLOOKUP(S150:AG150,增益!$A:$A,增益!$M:$M,0)))/100)</f>
        <v>-0.3</v>
      </c>
      <c r="BE150" s="26" cm="1">
        <f t="array" ref="BE150">$G$13+VLOOKUP($R150,武学奇术!$A:$ZZ,14,FALSE)+SUM(_xlfn.XLOOKUP(S150:AG150,增益!$A:$A,增益!$N:$N,0))</f>
        <v>0</v>
      </c>
      <c r="BF150">
        <f t="shared" si="29"/>
        <v>0</v>
      </c>
      <c r="BG150">
        <f t="shared" si="30"/>
        <v>0</v>
      </c>
      <c r="BH150" s="26" cm="1">
        <f t="array" ref="BH150">IF($F$14-$I$4+VLOOKUP($R150,武学奇术!$A:$ZZ,15,FALSE)+SUM(_xlfn.XLOOKUP(S150:AG150,增益!$A:$A,增益!$O:$O,0))&gt;0,($F$14-$I$4+VLOOKUP($R150,武学奇术!$A:$ZZ,15,FALSE)+SUM(_xlfn.XLOOKUP(S150:AG150,增益!$A:$A,增益!$O:$O,0)))/200,($F$14-$I$4+VLOOKUP($R150,武学奇术!$A:$ZZ,15,FALSE)+SUM(_xlfn.XLOOKUP(S150:AG150,增益!$A:$A,增益!$O:$O,0)))/100)</f>
        <v>-0.3</v>
      </c>
      <c r="BI150" s="26" cm="1">
        <f t="array" ref="BI150">$G$14+VLOOKUP($R150,武学奇术!$A:$ZZ,16,FALSE)+SUM(_xlfn.XLOOKUP(S150:AG150,增益!$A:$A,增益!$P:$P,0))</f>
        <v>0</v>
      </c>
      <c r="BJ150" s="21">
        <f>MIN(IF(VLOOKUP($R150,武学奇术!$A:$ZZ,23,FALSE)=1,100%,$B$8),100%)</f>
        <v>0.8229</v>
      </c>
      <c r="BK150" s="21" cm="1">
        <f t="array" ref="BK150">IF(VLOOKUP($R150,武学奇术!$A:$ZZ,23,FALSE)=1,100%,MIN(80%,$B$9+VLOOKUP($R150,武学奇术!$A:$ZZ,17,FALSE)+SUM(_xlfn.XLOOKUP(S150:AG150,增益!$A:$A,增益!$Q:$Q,0)))+$B$11+SUM(_xlfn.XLOOKUP(S150:AG150,增益!$A:$A,增益!$U:$U,0)))*IF(VLOOKUP($R150,武学奇术!$A:$ZZ,24,FALSE)=1,0,1)</f>
        <v>0.2285</v>
      </c>
      <c r="BL150" s="21" cm="1">
        <f t="array" ref="BL150">1+$B$13+VLOOKUP($R150,武学奇术!$A:$ZZ,18,FALSE)+SUM(_xlfn.XLOOKUP(S150:AG150,增益!$A:$A,增益!$R:$R,0))</f>
        <v>1.5</v>
      </c>
      <c r="BM150" s="21" cm="1">
        <f t="array" ref="BM150">IF(VLOOKUP($R150,武学奇术!$A:$ZZ,24,FALSE)=1,100%,MIN(40%,$B$10+VLOOKUP($R150,武学奇术!$A:$ZZ,19,FALSE)+SUM(_xlfn.XLOOKUP(S150:AG150,增益!$A:$A,增益!$S:$S,0)))+$B$12+SUM(_xlfn.XLOOKUP(S150:AG150,增益!$A:$A,增益!$V:$V,0)))*IF(VLOOKUP($R150,武学奇术!$A:$ZZ,23,FALSE)=1,0,1)</f>
        <v>0.4495</v>
      </c>
      <c r="BN150" s="21" cm="1">
        <f t="array" ref="BN150">1+$B$14+VLOOKUP($R150,武学奇术!$A:$ZZ,20,FALSE)+SUM(_xlfn.XLOOKUP(S150:AG150,增益!$A:$A,增益!$T:$T,0))</f>
        <v>1.532</v>
      </c>
      <c r="BO150" s="21">
        <f t="shared" si="31"/>
        <v>0.18803265</v>
      </c>
      <c r="BP150" s="21">
        <f t="shared" si="32"/>
        <v>0.2649738</v>
      </c>
      <c r="BQ150" s="21">
        <f>IF(VLOOKUP($R150,武学奇术!$A:$ZZ,22,FALSE)=1,0,(1-$BJ150))*(1-$BM150)</f>
        <v>0.09749355</v>
      </c>
      <c r="BR150" s="21" cm="1">
        <f t="array" ref="BR150">SUM(_xlfn.XLOOKUP(S150:AG150,增益!$A:$A,增益!$W:$W,0))+$I$5</f>
        <v>0.06</v>
      </c>
    </row>
    <row r="151" spans="11:70">
      <c r="K151" s="24">
        <f>$L151*VLOOKUP($R151,武学奇术!$A:$ZZ,31,FALSE)</f>
        <v>23978.9326973987</v>
      </c>
      <c r="L151" s="24">
        <f t="shared" si="22"/>
        <v>47957.8653947973</v>
      </c>
      <c r="M151" s="24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BL151*$Q151*(1+IF(VLOOKUP($R151,武学奇术!$A:$ZZ,30,FALSE)="流血",$B$21,0))*(1+$BR151)</f>
        <v>43456.2948810186</v>
      </c>
      <c r="N151" s="24">
        <f>(($AP151*$AI151+$AJ151)*(1+$AQ151)*(1+$AR151)+($AU151*IF($G$1="鸣金",$AK151,$AI151)+IF($G$1="鸣金",$AL151*1.5,0))*(1+$AV151)*(1+$AW151)+($AY151*IF($G$1="裂石",$AK151,$AI151)+IF($G$1="裂石",$AL151*1.5,0))*(1+$AZ151)*(1+$BA151)+($BC151*IF($G$1="牵丝",$AK151,$AI151)+IF($G$1="牵丝",$AL151*1.5,0))*(1+$BD151)*(1+$BE151)+($BG151*IF($G$1="破竹",$AK151,$AI151)+IF($G$1="破竹",$AL151*1.5,0))*(1+$BH151)*(1+$BI151))*(1+$AM151)*$BN151*$Q151*(1+IF(VLOOKUP($R151,武学奇术!$A:$ZZ,30,FALSE)="流血",$B$21,0))*(1+$BR151)</f>
        <v>68503.5931088993</v>
      </c>
      <c r="O151" s="24">
        <f>((($AO151+$AP151)/2*$AI151+$AJ151)*(1+$AQ151)*(1+$AR151)+(($AT151+$AU151)/2*IF($G$1="鸣金",$AK151,$AI151)+IF($G$1="鸣金",$AL151*1.5,0))*(1+$AV151)*(1+$AW151)+(($AX151+$AY151)/2*IF($G$1="裂石",$AK151,$AI151)+IF($G$1="裂石",$AL151*1.5,0))*(1+$AZ151)*(1+$BA151)+(($BB151+$BC151)/2*IF($G$1="牵丝",$AK151,$AI151)+IF($G$1="牵丝",$AL151*1.5,0))*(1+$BD151)*(1+$BE151)+(($BF151+$BG151)/2*IF($G$1="破竹",$AK151,$AI151)+IF($G$1="破竹",$AL151*1.5,0))*(1+$BH151)*(1+$BI151))*(1+$AM151)*$Q151*(1+IF(VLOOKUP($R151,武学奇术!$A:$ZZ,30,FALSE)="流血",$B$21,0))*(1+$BR151)</f>
        <v>28970.8632540124</v>
      </c>
      <c r="P151" s="24">
        <f>((($AO151*$AI151+$AJ151)*(1+$AQ151)*(1+$AR151)+($AT151*IF($G$1="鸣金",$AK151,$AI151)+IF($G$1="鸣金",$AL151*1.5,0))*(1+$AV151)*(1+$AW151)+($AX151*IF($G$1="裂石",$AK151,$AI151)+IF($G$1="裂石",$AL151*1.5,0))*(1+$AZ151)*(1+$BA151)+($BB151*IF($G$1="牵丝",$AK151,$AI151)+IF($G$1="牵丝",$AL151*1.5,0))*(1+$BD151)*(1+$BE151)+($BF151*IF($G$1="破竹",$AK151,$AI151)+IF($G$1="破竹",$AL151*1.5,0))*(1+$BH151)*(1+$BI151))*(1+$AM151))*$Q151*(1+IF(VLOOKUP($R151,武学奇术!$A:$ZZ,30,FALSE)="流血",$B$21,0))*(1+$BR151)</f>
        <v>13516.5688498541</v>
      </c>
      <c r="Q151" s="31">
        <v>6</v>
      </c>
      <c r="R151" s="32" t="s">
        <v>194</v>
      </c>
      <c r="S151" s="32" t="s">
        <v>87</v>
      </c>
      <c r="T151" s="32" t="s">
        <v>96</v>
      </c>
      <c r="U151" s="32" t="s">
        <v>97</v>
      </c>
      <c r="V151" s="32" t="s">
        <v>73</v>
      </c>
      <c r="W151" s="32" t="s">
        <v>111</v>
      </c>
      <c r="X151" s="32" t="s">
        <v>127</v>
      </c>
      <c r="Y151" s="32" t="s">
        <v>73</v>
      </c>
      <c r="Z151" s="32" t="s">
        <v>73</v>
      </c>
      <c r="AA151" s="32" t="s">
        <v>81</v>
      </c>
      <c r="AB151" s="32" t="s">
        <v>75</v>
      </c>
      <c r="AC151" s="32" t="s">
        <v>76</v>
      </c>
      <c r="AD151" s="32" t="s">
        <v>82</v>
      </c>
      <c r="AE151" s="32" t="s">
        <v>90</v>
      </c>
      <c r="AF151" s="32" t="s">
        <v>73</v>
      </c>
      <c r="AG151" s="32" t="s">
        <v>128</v>
      </c>
      <c r="AH151" t="str">
        <f>VLOOKUP($R151,武学奇术!$A:$ZZ,25,FALSE)</f>
        <v>单体奇术</v>
      </c>
      <c r="AI151" s="21">
        <f>VLOOKUP($R151,武学奇术!$A:$ZZ,26,FALSE)</f>
        <v>0.236</v>
      </c>
      <c r="AJ151" s="22">
        <f>VLOOKUP($R151,武学奇术!$A:$ZZ,27,FALSE)*(1+IF(OR($AH151=$F$4,$AH151=$F$5),$B$22,0))</f>
        <v>46</v>
      </c>
      <c r="AK151" s="21">
        <f>VLOOKUP($R151,武学奇术!$A:$ZZ,28,FALSE)</f>
        <v>0.354</v>
      </c>
      <c r="AL151" s="22">
        <f>VLOOKUP($R151,武学奇术!$A:$ZZ,29,FALSE)*(1+IF(OR($AH151=$F$4,$AH151=$F$5),$B$22,0))</f>
        <v>0</v>
      </c>
      <c r="AM151" s="21" cm="1">
        <f t="array" ref="AM151">$G$3+IFERROR(VLOOKUP($AH151,$F$4:$G$7,2,FALSE),0)+VLOOKUP($R151,武学奇术!$A:$ZZ,2,FALSE)+SUM(_xlfn.XLOOKUP($S151:$AG151,增益!$A:$A,增益!$B:$B,0))</f>
        <v>1.443</v>
      </c>
      <c r="AN151" s="21" cm="1">
        <f t="array" ref="AN151">VLOOKUP($R151,武学奇术!$A:$ZZ,5,FALSE)+SUM(_xlfn.XLOOKUP($S151:$AG151,增益!$A:$A,增益!$E:$E,0))</f>
        <v>0</v>
      </c>
      <c r="AO151" cm="1">
        <f t="array" ref="AO151">$D$10*(1+$AN151)+VLOOKUP($R151,武学奇术!$A:$ZZ,3,FALSE)+SUM(_xlfn.XLOOKUP($S151:$AG151,增益!$A:$A,增益!$C:$C,0))-$I$2</f>
        <v>1825.28</v>
      </c>
      <c r="AP151" cm="1">
        <f t="array" ref="AP151">$E$10*(1+$AN151)+VLOOKUP($R151,武学奇术!$A:$ZZ,4,FALSE)+SUM(_xlfn.XLOOKUP($S151:$AG151,增益!$A:$A,增益!$D:$D,0))-$I$2</f>
        <v>7757.36</v>
      </c>
      <c r="AQ151" s="26" cm="1">
        <f t="array" ref="AQ151">IF($F$10-$I$3+VLOOKUP($R151,武学奇术!$A:$ZZ,6,FALSE)+SUM(_xlfn.XLOOKUP(S151:AG151,增益!$A:$A,增益!$F:$F,0))&gt;0,($F$10-$I$3+VLOOKUP($R151,武学奇术!$A:$ZZ,6,FALSE)+SUM(_xlfn.XLOOKUP(S151:AG151,增益!$A:$A,增益!$F:$F,0)))/200,($F$10-$I$3+VLOOKUP($R151,武学奇术!$A:$ZZ,6,FALSE)+SUM(_xlfn.XLOOKUP(S151:AG151,增益!$A:$A,增益!$F:$F,0)))/100)</f>
        <v>0.244</v>
      </c>
      <c r="AR151" s="26" cm="1">
        <f t="array" ref="AR151">$G$10+VLOOKUP($R151,武学奇术!$A:$ZZ,7,FALSE)+SUM(_xlfn.XLOOKUP(S151:AG151,增益!$A:$A,增益!$G:$G,0))</f>
        <v>0</v>
      </c>
      <c r="AS151" s="21" cm="1">
        <f t="array" ref="AS151">VLOOKUP($R151,武学奇术!$A:$ZZ,8,FALSE)+SUM(_xlfn.XLOOKUP(S151:AG151,增益!$A:$A,增益!$H:$H,0))</f>
        <v>0</v>
      </c>
      <c r="AT151">
        <f t="shared" si="23"/>
        <v>680.02</v>
      </c>
      <c r="AU151">
        <f t="shared" si="24"/>
        <v>1288.54</v>
      </c>
      <c r="AV151" s="26" cm="1">
        <f t="array" ref="AV151">IF($F$11-$I$4+VLOOKUP($R151,武学奇术!$A:$ZZ,9,FALSE)+SUM(_xlfn.XLOOKUP(S151:AG151,增益!$A:$A,增益!$I:$I,0))&gt;0,($F$11-$I$4+VLOOKUP($R151,武学奇术!$A:$ZZ,9,FALSE)+SUM(_xlfn.XLOOKUP(S151:AG151,增益!$A:$A,增益!$I:$I,0)))/200,($F$11-$I$4+VLOOKUP($R151,武学奇术!$A:$ZZ,9,FALSE)+SUM(_xlfn.XLOOKUP(S151:AG151,增益!$A:$A,增益!$I:$I,0)))/100)</f>
        <v>0</v>
      </c>
      <c r="AW151" s="26" cm="1">
        <f t="array" ref="AW151">$G$11+VLOOKUP($R151,武学奇术!$A:$ZZ,10,FALSE)+SUM(_xlfn.XLOOKUP(S151:AG151,增益!$A:$A,增益!$J:$J,0))</f>
        <v>0.15</v>
      </c>
      <c r="AX151">
        <f t="shared" si="25"/>
        <v>0</v>
      </c>
      <c r="AY151">
        <f t="shared" si="26"/>
        <v>0</v>
      </c>
      <c r="AZ151" s="26" cm="1">
        <f t="array" ref="AZ151">IF($F$12-$I$4+VLOOKUP($R151,武学奇术!$A:$ZZ,11,FALSE)+SUM(_xlfn.XLOOKUP(S151:AG151,增益!$A:$A,增益!$K:$K,0))&gt;0,($F$12-$I$4+VLOOKUP($R151,武学奇术!$A:$ZZ,11,FALSE)+SUM(_xlfn.XLOOKUP(S151:AG151,增益!$A:$A,增益!$K:$K,0)))/200,($F$12-$I$4+VLOOKUP($R151,武学奇术!$A:$ZZ,11,FALSE)+SUM(_xlfn.XLOOKUP(S151:AG151,增益!$A:$A,增益!$K:$K,0)))/100)</f>
        <v>-0.3</v>
      </c>
      <c r="BA151" s="26" cm="1">
        <f t="array" ref="BA151">$G$12+VLOOKUP($R151,武学奇术!$A:$ZZ,12,FALSE)+SUM(_xlfn.XLOOKUP(S151:AG151,增益!$A:$A,增益!$L:$L,0))</f>
        <v>0</v>
      </c>
      <c r="BB151">
        <f t="shared" si="27"/>
        <v>0</v>
      </c>
      <c r="BC151">
        <f t="shared" si="28"/>
        <v>0</v>
      </c>
      <c r="BD151" s="26" cm="1">
        <f t="array" ref="BD151">IF($F$13-$I$4+VLOOKUP($R151,武学奇术!$A:$ZZ,13,FALSE)+SUM(_xlfn.XLOOKUP(S151:AG151,增益!$A:$A,增益!$M:$M,0))&gt;0,($F$13-$I$4+VLOOKUP($R151,武学奇术!$A:$ZZ,13,FALSE)+SUM(_xlfn.XLOOKUP(S151:AG151,增益!$A:$A,增益!$K:$K,0)))/200,($F$13-$I$4+VLOOKUP($R151,武学奇术!$A:$ZZ,13,FALSE)+SUM(_xlfn.XLOOKUP(S151:AG151,增益!$A:$A,增益!$M:$M,0)))/100)</f>
        <v>-0.3</v>
      </c>
      <c r="BE151" s="26" cm="1">
        <f t="array" ref="BE151">$G$13+VLOOKUP($R151,武学奇术!$A:$ZZ,14,FALSE)+SUM(_xlfn.XLOOKUP(S151:AG151,增益!$A:$A,增益!$N:$N,0))</f>
        <v>0</v>
      </c>
      <c r="BF151">
        <f t="shared" si="29"/>
        <v>0</v>
      </c>
      <c r="BG151">
        <f t="shared" si="30"/>
        <v>0</v>
      </c>
      <c r="BH151" s="26" cm="1">
        <f t="array" ref="BH151">IF($F$14-$I$4+VLOOKUP($R151,武学奇术!$A:$ZZ,15,FALSE)+SUM(_xlfn.XLOOKUP(S151:AG151,增益!$A:$A,增益!$O:$O,0))&gt;0,($F$14-$I$4+VLOOKUP($R151,武学奇术!$A:$ZZ,15,FALSE)+SUM(_xlfn.XLOOKUP(S151:AG151,增益!$A:$A,增益!$O:$O,0)))/200,($F$14-$I$4+VLOOKUP($R151,武学奇术!$A:$ZZ,15,FALSE)+SUM(_xlfn.XLOOKUP(S151:AG151,增益!$A:$A,增益!$O:$O,0)))/100)</f>
        <v>-0.3</v>
      </c>
      <c r="BI151" s="26" cm="1">
        <f t="array" ref="BI151">$G$14+VLOOKUP($R151,武学奇术!$A:$ZZ,16,FALSE)+SUM(_xlfn.XLOOKUP(S151:AG151,增益!$A:$A,增益!$P:$P,0))</f>
        <v>0</v>
      </c>
      <c r="BJ151" s="21">
        <f>MIN(IF(VLOOKUP($R151,武学奇术!$A:$ZZ,23,FALSE)=1,100%,$B$8),100%)</f>
        <v>0.8229</v>
      </c>
      <c r="BK151" s="21" cm="1">
        <f t="array" ref="BK151">IF(VLOOKUP($R151,武学奇术!$A:$ZZ,23,FALSE)=1,100%,MIN(80%,$B$9+VLOOKUP($R151,武学奇术!$A:$ZZ,17,FALSE)+SUM(_xlfn.XLOOKUP(S151:AG151,增益!$A:$A,增益!$Q:$Q,0)))+$B$11+SUM(_xlfn.XLOOKUP(S151:AG151,增益!$A:$A,增益!$U:$U,0)))*IF(VLOOKUP($R151,武学奇术!$A:$ZZ,24,FALSE)=1,0,1)</f>
        <v>0.2285</v>
      </c>
      <c r="BL151" s="21" cm="1">
        <f t="array" ref="BL151">1+$B$13+VLOOKUP($R151,武学奇术!$A:$ZZ,18,FALSE)+SUM(_xlfn.XLOOKUP(S151:AG151,增益!$A:$A,增益!$R:$R,0))</f>
        <v>1.5</v>
      </c>
      <c r="BM151" s="21" cm="1">
        <f t="array" ref="BM151">IF(VLOOKUP($R151,武学奇术!$A:$ZZ,24,FALSE)=1,100%,MIN(40%,$B$10+VLOOKUP($R151,武学奇术!$A:$ZZ,19,FALSE)+SUM(_xlfn.XLOOKUP(S151:AG151,增益!$A:$A,增益!$S:$S,0)))+$B$12+SUM(_xlfn.XLOOKUP(S151:AG151,增益!$A:$A,增益!$V:$V,0)))*IF(VLOOKUP($R151,武学奇术!$A:$ZZ,23,FALSE)=1,0,1)</f>
        <v>0.4495</v>
      </c>
      <c r="BN151" s="21" cm="1">
        <f t="array" ref="BN151">1+$B$14+VLOOKUP($R151,武学奇术!$A:$ZZ,20,FALSE)+SUM(_xlfn.XLOOKUP(S151:AG151,增益!$A:$A,增益!$T:$T,0))</f>
        <v>1.542</v>
      </c>
      <c r="BO151" s="21">
        <f t="shared" si="31"/>
        <v>0.18803265</v>
      </c>
      <c r="BP151" s="21">
        <f t="shared" si="32"/>
        <v>0.2649738</v>
      </c>
      <c r="BQ151" s="21">
        <f>IF(VLOOKUP($R151,武学奇术!$A:$ZZ,22,FALSE)=1,0,(1-$BJ151))*(1-$BM151)</f>
        <v>0.09749355</v>
      </c>
      <c r="BR151" s="21" cm="1">
        <f t="array" ref="BR151">SUM(_xlfn.XLOOKUP(S151:AG151,增益!$A:$A,增益!$W:$W,0))+$I$5</f>
        <v>0.06</v>
      </c>
    </row>
    <row r="152" spans="11:70">
      <c r="K152" s="24">
        <f>$L152*VLOOKUP($R152,武学奇术!$A:$ZZ,31,FALSE)</f>
        <v>16052.5188261569</v>
      </c>
      <c r="L152" s="24">
        <f t="shared" si="22"/>
        <v>32105.0376523139</v>
      </c>
      <c r="M152" s="24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BL152*$Q152*(1+IF(VLOOKUP($R152,武学奇术!$A:$ZZ,30,FALSE)="流血",$B$21,0))*(1+$BR152)</f>
        <v>28970.8632540124</v>
      </c>
      <c r="N152" s="24">
        <f>(($AP152*$AI152+$AJ152)*(1+$AQ152)*(1+$AR152)+($AU152*IF($G$1="鸣金",$AK152,$AI152)+IF($G$1="鸣金",$AL152*1.5,0))*(1+$AV152)*(1+$AW152)+($AY152*IF($G$1="裂石",$AK152,$AI152)+IF($G$1="裂石",$AL152*1.5,0))*(1+$AZ152)*(1+$BA152)+($BC152*IF($G$1="牵丝",$AK152,$AI152)+IF($G$1="牵丝",$AL152*1.5,0))*(1+$BD152)*(1+$BE152)+($BG152*IF($G$1="破竹",$AK152,$AI152)+IF($G$1="破竹",$AL152*1.5,0))*(1+$BH152)*(1+$BI152))*(1+$AM152)*$BN152*$Q152*(1+IF(VLOOKUP($R152,武学奇术!$A:$ZZ,30,FALSE)="流血",$B$21,0))*(1+$BR152)</f>
        <v>45965.2297903207</v>
      </c>
      <c r="O152" s="24">
        <f>((($AO152+$AP152)/2*$AI152+$AJ152)*(1+$AQ152)*(1+$AR152)+(($AT152+$AU152)/2*IF($G$1="鸣金",$AK152,$AI152)+IF($G$1="鸣金",$AL152*1.5,0))*(1+$AV152)*(1+$AW152)+(($AX152+$AY152)/2*IF($G$1="裂石",$AK152,$AI152)+IF($G$1="裂石",$AL152*1.5,0))*(1+$AZ152)*(1+$BA152)+(($BB152+$BC152)/2*IF($G$1="牵丝",$AK152,$AI152)+IF($G$1="牵丝",$AL152*1.5,0))*(1+$BD152)*(1+$BE152)+(($BF152+$BG152)/2*IF($G$1="破竹",$AK152,$AI152)+IF($G$1="破竹",$AL152*1.5,0))*(1+$BH152)*(1+$BI152))*(1+$AM152)*$Q152*(1+IF(VLOOKUP($R152,武学奇术!$A:$ZZ,30,FALSE)="流血",$B$21,0))*(1+$BR152)</f>
        <v>19313.9088360083</v>
      </c>
      <c r="P152" s="24">
        <f>((($AO152*$AI152+$AJ152)*(1+$AQ152)*(1+$AR152)+($AT152*IF($G$1="鸣金",$AK152,$AI152)+IF($G$1="鸣金",$AL152*1.5,0))*(1+$AV152)*(1+$AW152)+($AX152*IF($G$1="裂石",$AK152,$AI152)+IF($G$1="裂石",$AL152*1.5,0))*(1+$AZ152)*(1+$BA152)+($BB152*IF($G$1="牵丝",$AK152,$AI152)+IF($G$1="牵丝",$AL152*1.5,0))*(1+$BD152)*(1+$BE152)+($BF152*IF($G$1="破竹",$AK152,$AI152)+IF($G$1="破竹",$AL152*1.5,0))*(1+$BH152)*(1+$BI152))*(1+$AM152))*$Q152*(1+IF(VLOOKUP($R152,武学奇术!$A:$ZZ,30,FALSE)="流血",$B$21,0))*(1+$BR152)</f>
        <v>9011.04589990273</v>
      </c>
      <c r="Q152" s="31">
        <v>4</v>
      </c>
      <c r="R152" s="32" t="s">
        <v>194</v>
      </c>
      <c r="S152" s="32" t="s">
        <v>87</v>
      </c>
      <c r="T152" s="32" t="s">
        <v>96</v>
      </c>
      <c r="U152" s="32" t="s">
        <v>97</v>
      </c>
      <c r="V152" s="32" t="s">
        <v>73</v>
      </c>
      <c r="W152" s="32" t="s">
        <v>111</v>
      </c>
      <c r="X152" s="32" t="s">
        <v>127</v>
      </c>
      <c r="Y152" s="32" t="s">
        <v>73</v>
      </c>
      <c r="Z152" s="32" t="s">
        <v>73</v>
      </c>
      <c r="AA152" s="32" t="s">
        <v>81</v>
      </c>
      <c r="AB152" s="32" t="s">
        <v>75</v>
      </c>
      <c r="AC152" s="32" t="s">
        <v>76</v>
      </c>
      <c r="AD152" s="32" t="s">
        <v>82</v>
      </c>
      <c r="AE152" s="32" t="s">
        <v>90</v>
      </c>
      <c r="AF152" s="32" t="s">
        <v>73</v>
      </c>
      <c r="AG152" s="32" t="s">
        <v>144</v>
      </c>
      <c r="AH152" t="str">
        <f>VLOOKUP($R152,武学奇术!$A:$ZZ,25,FALSE)</f>
        <v>单体奇术</v>
      </c>
      <c r="AI152" s="21">
        <f>VLOOKUP($R152,武学奇术!$A:$ZZ,26,FALSE)</f>
        <v>0.236</v>
      </c>
      <c r="AJ152" s="22">
        <f>VLOOKUP($R152,武学奇术!$A:$ZZ,27,FALSE)*(1+IF(OR($AH152=$F$4,$AH152=$F$5),$B$22,0))</f>
        <v>46</v>
      </c>
      <c r="AK152" s="21">
        <f>VLOOKUP($R152,武学奇术!$A:$ZZ,28,FALSE)</f>
        <v>0.354</v>
      </c>
      <c r="AL152" s="22">
        <f>VLOOKUP($R152,武学奇术!$A:$ZZ,29,FALSE)*(1+IF(OR($AH152=$F$4,$AH152=$F$5),$B$22,0))</f>
        <v>0</v>
      </c>
      <c r="AM152" s="21" cm="1">
        <f t="array" ref="AM152">$G$3+IFERROR(VLOOKUP($AH152,$F$4:$G$7,2,FALSE),0)+VLOOKUP($R152,武学奇术!$A:$ZZ,2,FALSE)+SUM(_xlfn.XLOOKUP($S152:$AG152,增益!$A:$A,增益!$B:$B,0))</f>
        <v>1.443</v>
      </c>
      <c r="AN152" s="21" cm="1">
        <f t="array" ref="AN152">VLOOKUP($R152,武学奇术!$A:$ZZ,5,FALSE)+SUM(_xlfn.XLOOKUP($S152:$AG152,增益!$A:$A,增益!$E:$E,0))</f>
        <v>0</v>
      </c>
      <c r="AO152" cm="1">
        <f t="array" ref="AO152">$D$10*(1+$AN152)+VLOOKUP($R152,武学奇术!$A:$ZZ,3,FALSE)+SUM(_xlfn.XLOOKUP($S152:$AG152,增益!$A:$A,增益!$C:$C,0))-$I$2</f>
        <v>1825.28</v>
      </c>
      <c r="AP152" cm="1">
        <f t="array" ref="AP152">$E$10*(1+$AN152)+VLOOKUP($R152,武学奇术!$A:$ZZ,4,FALSE)+SUM(_xlfn.XLOOKUP($S152:$AG152,增益!$A:$A,增益!$D:$D,0))-$I$2</f>
        <v>7757.36</v>
      </c>
      <c r="AQ152" s="26" cm="1">
        <f t="array" ref="AQ152">IF($F$10-$I$3+VLOOKUP($R152,武学奇术!$A:$ZZ,6,FALSE)+SUM(_xlfn.XLOOKUP(S152:AG152,增益!$A:$A,增益!$F:$F,0))&gt;0,($F$10-$I$3+VLOOKUP($R152,武学奇术!$A:$ZZ,6,FALSE)+SUM(_xlfn.XLOOKUP(S152:AG152,增益!$A:$A,增益!$F:$F,0)))/200,($F$10-$I$3+VLOOKUP($R152,武学奇术!$A:$ZZ,6,FALSE)+SUM(_xlfn.XLOOKUP(S152:AG152,增益!$A:$A,增益!$F:$F,0)))/100)</f>
        <v>0.244</v>
      </c>
      <c r="AR152" s="26" cm="1">
        <f t="array" ref="AR152">$G$10+VLOOKUP($R152,武学奇术!$A:$ZZ,7,FALSE)+SUM(_xlfn.XLOOKUP(S152:AG152,增益!$A:$A,增益!$G:$G,0))</f>
        <v>0</v>
      </c>
      <c r="AS152" s="21" cm="1">
        <f t="array" ref="AS152">VLOOKUP($R152,武学奇术!$A:$ZZ,8,FALSE)+SUM(_xlfn.XLOOKUP(S152:AG152,增益!$A:$A,增益!$H:$H,0))</f>
        <v>0</v>
      </c>
      <c r="AT152">
        <f t="shared" si="23"/>
        <v>680.02</v>
      </c>
      <c r="AU152">
        <f t="shared" si="24"/>
        <v>1288.54</v>
      </c>
      <c r="AV152" s="26" cm="1">
        <f t="array" ref="AV152">IF($F$11-$I$4+VLOOKUP($R152,武学奇术!$A:$ZZ,9,FALSE)+SUM(_xlfn.XLOOKUP(S152:AG152,增益!$A:$A,增益!$I:$I,0))&gt;0,($F$11-$I$4+VLOOKUP($R152,武学奇术!$A:$ZZ,9,FALSE)+SUM(_xlfn.XLOOKUP(S152:AG152,增益!$A:$A,增益!$I:$I,0)))/200,($F$11-$I$4+VLOOKUP($R152,武学奇术!$A:$ZZ,9,FALSE)+SUM(_xlfn.XLOOKUP(S152:AG152,增益!$A:$A,增益!$I:$I,0)))/100)</f>
        <v>0</v>
      </c>
      <c r="AW152" s="26" cm="1">
        <f t="array" ref="AW152">$G$11+VLOOKUP($R152,武学奇术!$A:$ZZ,10,FALSE)+SUM(_xlfn.XLOOKUP(S152:AG152,增益!$A:$A,增益!$J:$J,0))</f>
        <v>0.15</v>
      </c>
      <c r="AX152">
        <f t="shared" si="25"/>
        <v>0</v>
      </c>
      <c r="AY152">
        <f t="shared" si="26"/>
        <v>0</v>
      </c>
      <c r="AZ152" s="26" cm="1">
        <f t="array" ref="AZ152">IF($F$12-$I$4+VLOOKUP($R152,武学奇术!$A:$ZZ,11,FALSE)+SUM(_xlfn.XLOOKUP(S152:AG152,增益!$A:$A,增益!$K:$K,0))&gt;0,($F$12-$I$4+VLOOKUP($R152,武学奇术!$A:$ZZ,11,FALSE)+SUM(_xlfn.XLOOKUP(S152:AG152,增益!$A:$A,增益!$K:$K,0)))/200,($F$12-$I$4+VLOOKUP($R152,武学奇术!$A:$ZZ,11,FALSE)+SUM(_xlfn.XLOOKUP(S152:AG152,增益!$A:$A,增益!$K:$K,0)))/100)</f>
        <v>-0.3</v>
      </c>
      <c r="BA152" s="26" cm="1">
        <f t="array" ref="BA152">$G$12+VLOOKUP($R152,武学奇术!$A:$ZZ,12,FALSE)+SUM(_xlfn.XLOOKUP(S152:AG152,增益!$A:$A,增益!$L:$L,0))</f>
        <v>0</v>
      </c>
      <c r="BB152">
        <f t="shared" si="27"/>
        <v>0</v>
      </c>
      <c r="BC152">
        <f t="shared" si="28"/>
        <v>0</v>
      </c>
      <c r="BD152" s="26" cm="1">
        <f t="array" ref="BD152">IF($F$13-$I$4+VLOOKUP($R152,武学奇术!$A:$ZZ,13,FALSE)+SUM(_xlfn.XLOOKUP(S152:AG152,增益!$A:$A,增益!$M:$M,0))&gt;0,($F$13-$I$4+VLOOKUP($R152,武学奇术!$A:$ZZ,13,FALSE)+SUM(_xlfn.XLOOKUP(S152:AG152,增益!$A:$A,增益!$K:$K,0)))/200,($F$13-$I$4+VLOOKUP($R152,武学奇术!$A:$ZZ,13,FALSE)+SUM(_xlfn.XLOOKUP(S152:AG152,增益!$A:$A,增益!$M:$M,0)))/100)</f>
        <v>-0.3</v>
      </c>
      <c r="BE152" s="26" cm="1">
        <f t="array" ref="BE152">$G$13+VLOOKUP($R152,武学奇术!$A:$ZZ,14,FALSE)+SUM(_xlfn.XLOOKUP(S152:AG152,增益!$A:$A,增益!$N:$N,0))</f>
        <v>0</v>
      </c>
      <c r="BF152">
        <f t="shared" si="29"/>
        <v>0</v>
      </c>
      <c r="BG152">
        <f t="shared" si="30"/>
        <v>0</v>
      </c>
      <c r="BH152" s="26" cm="1">
        <f t="array" ref="BH152">IF($F$14-$I$4+VLOOKUP($R152,武学奇术!$A:$ZZ,15,FALSE)+SUM(_xlfn.XLOOKUP(S152:AG152,增益!$A:$A,增益!$O:$O,0))&gt;0,($F$14-$I$4+VLOOKUP($R152,武学奇术!$A:$ZZ,15,FALSE)+SUM(_xlfn.XLOOKUP(S152:AG152,增益!$A:$A,增益!$O:$O,0)))/200,($F$14-$I$4+VLOOKUP($R152,武学奇术!$A:$ZZ,15,FALSE)+SUM(_xlfn.XLOOKUP(S152:AG152,增益!$A:$A,增益!$O:$O,0)))/100)</f>
        <v>-0.3</v>
      </c>
      <c r="BI152" s="26" cm="1">
        <f t="array" ref="BI152">$G$14+VLOOKUP($R152,武学奇术!$A:$ZZ,16,FALSE)+SUM(_xlfn.XLOOKUP(S152:AG152,增益!$A:$A,增益!$P:$P,0))</f>
        <v>0</v>
      </c>
      <c r="BJ152" s="21">
        <f>MIN(IF(VLOOKUP($R152,武学奇术!$A:$ZZ,23,FALSE)=1,100%,$B$8),100%)</f>
        <v>0.8229</v>
      </c>
      <c r="BK152" s="21" cm="1">
        <f t="array" ref="BK152">IF(VLOOKUP($R152,武学奇术!$A:$ZZ,23,FALSE)=1,100%,MIN(80%,$B$9+VLOOKUP($R152,武学奇术!$A:$ZZ,17,FALSE)+SUM(_xlfn.XLOOKUP(S152:AG152,增益!$A:$A,增益!$Q:$Q,0)))+$B$11+SUM(_xlfn.XLOOKUP(S152:AG152,增益!$A:$A,增益!$U:$U,0)))*IF(VLOOKUP($R152,武学奇术!$A:$ZZ,24,FALSE)=1,0,1)</f>
        <v>0.2285</v>
      </c>
      <c r="BL152" s="21" cm="1">
        <f t="array" ref="BL152">1+$B$13+VLOOKUP($R152,武学奇术!$A:$ZZ,18,FALSE)+SUM(_xlfn.XLOOKUP(S152:AG152,增益!$A:$A,增益!$R:$R,0))</f>
        <v>1.5</v>
      </c>
      <c r="BM152" s="21" cm="1">
        <f t="array" ref="BM152">IF(VLOOKUP($R152,武学奇术!$A:$ZZ,24,FALSE)=1,100%,MIN(40%,$B$10+VLOOKUP($R152,武学奇术!$A:$ZZ,19,FALSE)+SUM(_xlfn.XLOOKUP(S152:AG152,增益!$A:$A,增益!$S:$S,0)))+$B$12+SUM(_xlfn.XLOOKUP(S152:AG152,增益!$A:$A,增益!$V:$V,0)))*IF(VLOOKUP($R152,武学奇术!$A:$ZZ,23,FALSE)=1,0,1)</f>
        <v>0.4495</v>
      </c>
      <c r="BN152" s="21" cm="1">
        <f t="array" ref="BN152">1+$B$14+VLOOKUP($R152,武学奇术!$A:$ZZ,20,FALSE)+SUM(_xlfn.XLOOKUP(S152:AG152,增益!$A:$A,增益!$T:$T,0))</f>
        <v>1.552</v>
      </c>
      <c r="BO152" s="21">
        <f t="shared" si="31"/>
        <v>0.18803265</v>
      </c>
      <c r="BP152" s="21">
        <f t="shared" si="32"/>
        <v>0.2649738</v>
      </c>
      <c r="BQ152" s="21">
        <f>IF(VLOOKUP($R152,武学奇术!$A:$ZZ,22,FALSE)=1,0,(1-$BJ152))*(1-$BM152)</f>
        <v>0.09749355</v>
      </c>
      <c r="BR152" s="21" cm="1">
        <f t="array" ref="BR152">SUM(_xlfn.XLOOKUP(S152:AG152,增益!$A:$A,增益!$W:$W,0))+$I$5</f>
        <v>0.06</v>
      </c>
    </row>
    <row r="153" spans="11:70">
      <c r="K153" s="24">
        <f>$L153*VLOOKUP($R153,武学奇术!$A:$ZZ,31,FALSE)</f>
        <v>7209.23661245786</v>
      </c>
      <c r="L153" s="24">
        <f t="shared" si="22"/>
        <v>14418.4732249157</v>
      </c>
      <c r="M153" s="24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BL153*$Q153*(1+IF(VLOOKUP($R153,武学奇术!$A:$ZZ,30,FALSE)="流血",$B$21,0))*(1+$BR153)</f>
        <v>12998.6265732488</v>
      </c>
      <c r="N153" s="24">
        <f>(($AP153*$AI153+$AJ153)*(1+$AQ153)*(1+$AR153)+($AU153*IF($G$1="鸣金",$AK153,$AI153)+IF($G$1="鸣金",$AL153*1.5,0))*(1+$AV153)*(1+$AW153)+($AY153*IF($G$1="裂石",$AK153,$AI153)+IF($G$1="裂石",$AL153*1.5,0))*(1+$AZ153)*(1+$BA153)+($BC153*IF($G$1="牵丝",$AK153,$AI153)+IF($G$1="牵丝",$AL153*1.5,0))*(1+$BD153)*(1+$BE153)+($BG153*IF($G$1="破竹",$AK153,$AI153)+IF($G$1="破竹",$AL153*1.5,0))*(1+$BH153)*(1+$BI153))*(1+$AM153)*$BN153*$Q153*(1+IF(VLOOKUP($R153,武学奇术!$A:$ZZ,30,FALSE)="流血",$B$21,0))*(1+$BR153)</f>
        <v>20658.8373876877</v>
      </c>
      <c r="O153" s="24">
        <f>((($AO153+$AP153)/2*$AI153+$AJ153)*(1+$AQ153)*(1+$AR153)+(($AT153+$AU153)/2*IF($G$1="鸣金",$AK153,$AI153)+IF($G$1="鸣金",$AL153*1.5,0))*(1+$AV153)*(1+$AW153)+(($AX153+$AY153)/2*IF($G$1="裂石",$AK153,$AI153)+IF($G$1="裂石",$AL153*1.5,0))*(1+$AZ153)*(1+$BA153)+(($BB153+$BC153)/2*IF($G$1="牵丝",$AK153,$AI153)+IF($G$1="牵丝",$AL153*1.5,0))*(1+$BD153)*(1+$BE153)+(($BF153+$BG153)/2*IF($G$1="破竹",$AK153,$AI153)+IF($G$1="破竹",$AL153*1.5,0))*(1+$BH153)*(1+$BI153))*(1+$AM153)*$Q153*(1+IF(VLOOKUP($R153,武学奇术!$A:$ZZ,30,FALSE)="流血",$B$21,0))*(1+$BR153)</f>
        <v>8665.75104883256</v>
      </c>
      <c r="P153" s="24">
        <f>((($AO153*$AI153+$AJ153)*(1+$AQ153)*(1+$AR153)+($AT153*IF($G$1="鸣金",$AK153,$AI153)+IF($G$1="鸣金",$AL153*1.5,0))*(1+$AV153)*(1+$AW153)+($AX153*IF($G$1="裂石",$AK153,$AI153)+IF($G$1="裂石",$AL153*1.5,0))*(1+$AZ153)*(1+$BA153)+($BB153*IF($G$1="牵丝",$AK153,$AI153)+IF($G$1="牵丝",$AL153*1.5,0))*(1+$BD153)*(1+$BE153)+($BF153*IF($G$1="破竹",$AK153,$AI153)+IF($G$1="破竹",$AL153*1.5,0))*(1+$BH153)*(1+$BI153))*(1+$AM153))*$Q153*(1+IF(VLOOKUP($R153,武学奇术!$A:$ZZ,30,FALSE)="流血",$B$21,0))*(1+$BR153)</f>
        <v>4020.39553343335</v>
      </c>
      <c r="Q153" s="31">
        <v>2</v>
      </c>
      <c r="R153" s="32" t="s">
        <v>194</v>
      </c>
      <c r="S153" s="32" t="s">
        <v>87</v>
      </c>
      <c r="T153" s="32" t="s">
        <v>96</v>
      </c>
      <c r="U153" s="32" t="s">
        <v>97</v>
      </c>
      <c r="V153" s="32" t="s">
        <v>73</v>
      </c>
      <c r="W153" s="32" t="s">
        <v>73</v>
      </c>
      <c r="X153" s="32" t="s">
        <v>127</v>
      </c>
      <c r="Y153" s="32" t="s">
        <v>73</v>
      </c>
      <c r="Z153" s="32" t="s">
        <v>73</v>
      </c>
      <c r="AA153" s="32" t="s">
        <v>81</v>
      </c>
      <c r="AB153" s="32" t="s">
        <v>75</v>
      </c>
      <c r="AC153" s="32" t="s">
        <v>76</v>
      </c>
      <c r="AD153" s="32" t="s">
        <v>82</v>
      </c>
      <c r="AE153" s="32" t="s">
        <v>73</v>
      </c>
      <c r="AF153" s="32" t="s">
        <v>73</v>
      </c>
      <c r="AG153" s="32" t="s">
        <v>144</v>
      </c>
      <c r="AH153" t="str">
        <f>VLOOKUP($R153,武学奇术!$A:$ZZ,25,FALSE)</f>
        <v>单体奇术</v>
      </c>
      <c r="AI153" s="21">
        <f>VLOOKUP($R153,武学奇术!$A:$ZZ,26,FALSE)</f>
        <v>0.236</v>
      </c>
      <c r="AJ153" s="22">
        <f>VLOOKUP($R153,武学奇术!$A:$ZZ,27,FALSE)*(1+IF(OR($AH153=$F$4,$AH153=$F$5),$B$22,0))</f>
        <v>46</v>
      </c>
      <c r="AK153" s="21">
        <f>VLOOKUP($R153,武学奇术!$A:$ZZ,28,FALSE)</f>
        <v>0.354</v>
      </c>
      <c r="AL153" s="22">
        <f>VLOOKUP($R153,武学奇术!$A:$ZZ,29,FALSE)*(1+IF(OR($AH153=$F$4,$AH153=$F$5),$B$22,0))</f>
        <v>0</v>
      </c>
      <c r="AM153" s="21" cm="1">
        <f t="array" ref="AM153">$G$3+IFERROR(VLOOKUP($AH153,$F$4:$G$7,2,FALSE),0)+VLOOKUP($R153,武学奇术!$A:$ZZ,2,FALSE)+SUM(_xlfn.XLOOKUP($S153:$AG153,增益!$A:$A,增益!$B:$B,0))</f>
        <v>1.203</v>
      </c>
      <c r="AN153" s="21" cm="1">
        <f t="array" ref="AN153">VLOOKUP($R153,武学奇术!$A:$ZZ,5,FALSE)+SUM(_xlfn.XLOOKUP($S153:$AG153,增益!$A:$A,增益!$E:$E,0))</f>
        <v>0</v>
      </c>
      <c r="AO153" cm="1">
        <f t="array" ref="AO153">$D$10*(1+$AN153)+VLOOKUP($R153,武学奇术!$A:$ZZ,3,FALSE)+SUM(_xlfn.XLOOKUP($S153:$AG153,增益!$A:$A,增益!$C:$C,0))-$I$2</f>
        <v>1794.28</v>
      </c>
      <c r="AP153" cm="1">
        <f t="array" ref="AP153">$E$10*(1+$AN153)+VLOOKUP($R153,武学奇术!$A:$ZZ,4,FALSE)+SUM(_xlfn.XLOOKUP($S153:$AG153,增益!$A:$A,增益!$D:$D,0))-$I$2</f>
        <v>7726.36</v>
      </c>
      <c r="AQ153" s="26" cm="1">
        <f t="array" ref="AQ153">IF($F$10-$I$3+VLOOKUP($R153,武学奇术!$A:$ZZ,6,FALSE)+SUM(_xlfn.XLOOKUP(S153:AG153,增益!$A:$A,增益!$F:$F,0))&gt;0,($F$10-$I$3+VLOOKUP($R153,武学奇术!$A:$ZZ,6,FALSE)+SUM(_xlfn.XLOOKUP(S153:AG153,增益!$A:$A,增益!$F:$F,0)))/200,($F$10-$I$3+VLOOKUP($R153,武学奇术!$A:$ZZ,6,FALSE)+SUM(_xlfn.XLOOKUP(S153:AG153,增益!$A:$A,增益!$F:$F,0)))/100)</f>
        <v>0.244</v>
      </c>
      <c r="AR153" s="26" cm="1">
        <f t="array" ref="AR153">$G$10+VLOOKUP($R153,武学奇术!$A:$ZZ,7,FALSE)+SUM(_xlfn.XLOOKUP(S153:AG153,增益!$A:$A,增益!$G:$G,0))</f>
        <v>0</v>
      </c>
      <c r="AS153" s="21" cm="1">
        <f t="array" ref="AS153">VLOOKUP($R153,武学奇术!$A:$ZZ,8,FALSE)+SUM(_xlfn.XLOOKUP(S153:AG153,增益!$A:$A,增益!$H:$H,0))</f>
        <v>0</v>
      </c>
      <c r="AT153">
        <f t="shared" si="23"/>
        <v>680.02</v>
      </c>
      <c r="AU153">
        <f t="shared" si="24"/>
        <v>1288.54</v>
      </c>
      <c r="AV153" s="26" cm="1">
        <f t="array" ref="AV153">IF($F$11-$I$4+VLOOKUP($R153,武学奇术!$A:$ZZ,9,FALSE)+SUM(_xlfn.XLOOKUP(S153:AG153,增益!$A:$A,增益!$I:$I,0))&gt;0,($F$11-$I$4+VLOOKUP($R153,武学奇术!$A:$ZZ,9,FALSE)+SUM(_xlfn.XLOOKUP(S153:AG153,增益!$A:$A,增益!$I:$I,0)))/200,($F$11-$I$4+VLOOKUP($R153,武学奇术!$A:$ZZ,9,FALSE)+SUM(_xlfn.XLOOKUP(S153:AG153,增益!$A:$A,增益!$I:$I,0)))/100)</f>
        <v>0</v>
      </c>
      <c r="AW153" s="26" cm="1">
        <f t="array" ref="AW153">$G$11+VLOOKUP($R153,武学奇术!$A:$ZZ,10,FALSE)+SUM(_xlfn.XLOOKUP(S153:AG153,增益!$A:$A,增益!$J:$J,0))</f>
        <v>0.15</v>
      </c>
      <c r="AX153">
        <f t="shared" si="25"/>
        <v>0</v>
      </c>
      <c r="AY153">
        <f t="shared" si="26"/>
        <v>0</v>
      </c>
      <c r="AZ153" s="26" cm="1">
        <f t="array" ref="AZ153">IF($F$12-$I$4+VLOOKUP($R153,武学奇术!$A:$ZZ,11,FALSE)+SUM(_xlfn.XLOOKUP(S153:AG153,增益!$A:$A,增益!$K:$K,0))&gt;0,($F$12-$I$4+VLOOKUP($R153,武学奇术!$A:$ZZ,11,FALSE)+SUM(_xlfn.XLOOKUP(S153:AG153,增益!$A:$A,增益!$K:$K,0)))/200,($F$12-$I$4+VLOOKUP($R153,武学奇术!$A:$ZZ,11,FALSE)+SUM(_xlfn.XLOOKUP(S153:AG153,增益!$A:$A,增益!$K:$K,0)))/100)</f>
        <v>-0.3</v>
      </c>
      <c r="BA153" s="26" cm="1">
        <f t="array" ref="BA153">$G$12+VLOOKUP($R153,武学奇术!$A:$ZZ,12,FALSE)+SUM(_xlfn.XLOOKUP(S153:AG153,增益!$A:$A,增益!$L:$L,0))</f>
        <v>0</v>
      </c>
      <c r="BB153">
        <f t="shared" si="27"/>
        <v>0</v>
      </c>
      <c r="BC153">
        <f t="shared" si="28"/>
        <v>0</v>
      </c>
      <c r="BD153" s="26" cm="1">
        <f t="array" ref="BD153">IF($F$13-$I$4+VLOOKUP($R153,武学奇术!$A:$ZZ,13,FALSE)+SUM(_xlfn.XLOOKUP(S153:AG153,增益!$A:$A,增益!$M:$M,0))&gt;0,($F$13-$I$4+VLOOKUP($R153,武学奇术!$A:$ZZ,13,FALSE)+SUM(_xlfn.XLOOKUP(S153:AG153,增益!$A:$A,增益!$K:$K,0)))/200,($F$13-$I$4+VLOOKUP($R153,武学奇术!$A:$ZZ,13,FALSE)+SUM(_xlfn.XLOOKUP(S153:AG153,增益!$A:$A,增益!$M:$M,0)))/100)</f>
        <v>-0.3</v>
      </c>
      <c r="BE153" s="26" cm="1">
        <f t="array" ref="BE153">$G$13+VLOOKUP($R153,武学奇术!$A:$ZZ,14,FALSE)+SUM(_xlfn.XLOOKUP(S153:AG153,增益!$A:$A,增益!$N:$N,0))</f>
        <v>0</v>
      </c>
      <c r="BF153">
        <f t="shared" si="29"/>
        <v>0</v>
      </c>
      <c r="BG153">
        <f t="shared" si="30"/>
        <v>0</v>
      </c>
      <c r="BH153" s="26" cm="1">
        <f t="array" ref="BH153">IF($F$14-$I$4+VLOOKUP($R153,武学奇术!$A:$ZZ,15,FALSE)+SUM(_xlfn.XLOOKUP(S153:AG153,增益!$A:$A,增益!$O:$O,0))&gt;0,($F$14-$I$4+VLOOKUP($R153,武学奇术!$A:$ZZ,15,FALSE)+SUM(_xlfn.XLOOKUP(S153:AG153,增益!$A:$A,增益!$O:$O,0)))/200,($F$14-$I$4+VLOOKUP($R153,武学奇术!$A:$ZZ,15,FALSE)+SUM(_xlfn.XLOOKUP(S153:AG153,增益!$A:$A,增益!$O:$O,0)))/100)</f>
        <v>-0.3</v>
      </c>
      <c r="BI153" s="26" cm="1">
        <f t="array" ref="BI153">$G$14+VLOOKUP($R153,武学奇术!$A:$ZZ,16,FALSE)+SUM(_xlfn.XLOOKUP(S153:AG153,增益!$A:$A,增益!$P:$P,0))</f>
        <v>0</v>
      </c>
      <c r="BJ153" s="21">
        <f>MIN(IF(VLOOKUP($R153,武学奇术!$A:$ZZ,23,FALSE)=1,100%,$B$8),100%)</f>
        <v>0.8229</v>
      </c>
      <c r="BK153" s="21" cm="1">
        <f t="array" ref="BK153">IF(VLOOKUP($R153,武学奇术!$A:$ZZ,23,FALSE)=1,100%,MIN(80%,$B$9+VLOOKUP($R153,武学奇术!$A:$ZZ,17,FALSE)+SUM(_xlfn.XLOOKUP(S153:AG153,增益!$A:$A,增益!$Q:$Q,0)))+$B$11+SUM(_xlfn.XLOOKUP(S153:AG153,增益!$A:$A,增益!$U:$U,0)))*IF(VLOOKUP($R153,武学奇术!$A:$ZZ,24,FALSE)=1,0,1)</f>
        <v>0.2285</v>
      </c>
      <c r="BL153" s="21" cm="1">
        <f t="array" ref="BL153">1+$B$13+VLOOKUP($R153,武学奇术!$A:$ZZ,18,FALSE)+SUM(_xlfn.XLOOKUP(S153:AG153,增益!$A:$A,增益!$R:$R,0))</f>
        <v>1.5</v>
      </c>
      <c r="BM153" s="21" cm="1">
        <f t="array" ref="BM153">IF(VLOOKUP($R153,武学奇术!$A:$ZZ,24,FALSE)=1,100%,MIN(40%,$B$10+VLOOKUP($R153,武学奇术!$A:$ZZ,19,FALSE)+SUM(_xlfn.XLOOKUP(S153:AG153,增益!$A:$A,增益!$S:$S,0)))+$B$12+SUM(_xlfn.XLOOKUP(S153:AG153,增益!$A:$A,增益!$V:$V,0)))*IF(VLOOKUP($R153,武学奇术!$A:$ZZ,23,FALSE)=1,0,1)</f>
        <v>0.4495</v>
      </c>
      <c r="BN153" s="21" cm="1">
        <f t="array" ref="BN153">1+$B$14+VLOOKUP($R153,武学奇术!$A:$ZZ,20,FALSE)+SUM(_xlfn.XLOOKUP(S153:AG153,增益!$A:$A,增益!$T:$T,0))</f>
        <v>1.552</v>
      </c>
      <c r="BO153" s="21">
        <f t="shared" si="31"/>
        <v>0.18803265</v>
      </c>
      <c r="BP153" s="21">
        <f t="shared" si="32"/>
        <v>0.2649738</v>
      </c>
      <c r="BQ153" s="21">
        <f>IF(VLOOKUP($R153,武学奇术!$A:$ZZ,22,FALSE)=1,0,(1-$BJ153))*(1-$BM153)</f>
        <v>0.09749355</v>
      </c>
      <c r="BR153" s="21" cm="1">
        <f t="array" ref="BR153">SUM(_xlfn.XLOOKUP(S153:AG153,增益!$A:$A,增益!$W:$W,0))+$I$5</f>
        <v>0.06</v>
      </c>
    </row>
    <row r="154" spans="11:70">
      <c r="K154" s="24">
        <f>$L154*VLOOKUP($R154,武学奇术!$A:$ZZ,31,FALSE)</f>
        <v>7239.15332446098</v>
      </c>
      <c r="L154" s="24">
        <f t="shared" si="22"/>
        <v>14478.306648922</v>
      </c>
      <c r="M154" s="24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BL154*$Q154*(1+IF(VLOOKUP($R154,武学奇术!$A:$ZZ,30,FALSE)="流血",$B$21,0))*(1+$BR154)</f>
        <v>12998.6265732488</v>
      </c>
      <c r="N154" s="24">
        <f>(($AP154*$AI154+$AJ154)*(1+$AQ154)*(1+$AR154)+($AU154*IF($G$1="鸣金",$AK154,$AI154)+IF($G$1="鸣金",$AL154*1.5,0))*(1+$AV154)*(1+$AW154)+($AY154*IF($G$1="裂石",$AK154,$AI154)+IF($G$1="裂石",$AL154*1.5,0))*(1+$AZ154)*(1+$BA154)+($BC154*IF($G$1="牵丝",$AK154,$AI154)+IF($G$1="牵丝",$AL154*1.5,0))*(1+$BD154)*(1+$BE154)+($BG154*IF($G$1="破竹",$AK154,$AI154)+IF($G$1="破竹",$AL154*1.5,0))*(1+$BH154)*(1+$BI154))*(1+$AM154)*$BN154*$Q154*(1+IF(VLOOKUP($R154,武学奇术!$A:$ZZ,30,FALSE)="流血",$B$21,0))*(1+$BR154)</f>
        <v>20791.94845333</v>
      </c>
      <c r="O154" s="24">
        <f>((($AO154+$AP154)/2*$AI154+$AJ154)*(1+$AQ154)*(1+$AR154)+(($AT154+$AU154)/2*IF($G$1="鸣金",$AK154,$AI154)+IF($G$1="鸣金",$AL154*1.5,0))*(1+$AV154)*(1+$AW154)+(($AX154+$AY154)/2*IF($G$1="裂石",$AK154,$AI154)+IF($G$1="裂石",$AL154*1.5,0))*(1+$AZ154)*(1+$BA154)+(($BB154+$BC154)/2*IF($G$1="牵丝",$AK154,$AI154)+IF($G$1="牵丝",$AL154*1.5,0))*(1+$BD154)*(1+$BE154)+(($BF154+$BG154)/2*IF($G$1="破竹",$AK154,$AI154)+IF($G$1="破竹",$AL154*1.5,0))*(1+$BH154)*(1+$BI154))*(1+$AM154)*$Q154*(1+IF(VLOOKUP($R154,武学奇术!$A:$ZZ,30,FALSE)="流血",$B$21,0))*(1+$BR154)</f>
        <v>8665.75104883256</v>
      </c>
      <c r="P154" s="24">
        <f>((($AO154*$AI154+$AJ154)*(1+$AQ154)*(1+$AR154)+($AT154*IF($G$1="鸣金",$AK154,$AI154)+IF($G$1="鸣金",$AL154*1.5,0))*(1+$AV154)*(1+$AW154)+($AX154*IF($G$1="裂石",$AK154,$AI154)+IF($G$1="裂石",$AL154*1.5,0))*(1+$AZ154)*(1+$BA154)+($BB154*IF($G$1="牵丝",$AK154,$AI154)+IF($G$1="牵丝",$AL154*1.5,0))*(1+$BD154)*(1+$BE154)+($BF154*IF($G$1="破竹",$AK154,$AI154)+IF($G$1="破竹",$AL154*1.5,0))*(1+$BH154)*(1+$BI154))*(1+$AM154))*$Q154*(1+IF(VLOOKUP($R154,武学奇术!$A:$ZZ,30,FALSE)="流血",$B$21,0))*(1+$BR154)</f>
        <v>4020.39553343335</v>
      </c>
      <c r="Q154" s="31">
        <v>2</v>
      </c>
      <c r="R154" s="32" t="s">
        <v>194</v>
      </c>
      <c r="S154" s="32" t="s">
        <v>87</v>
      </c>
      <c r="T154" s="32" t="s">
        <v>96</v>
      </c>
      <c r="U154" s="32" t="s">
        <v>97</v>
      </c>
      <c r="V154" s="32" t="s">
        <v>73</v>
      </c>
      <c r="W154" s="32" t="s">
        <v>73</v>
      </c>
      <c r="X154" s="32" t="s">
        <v>127</v>
      </c>
      <c r="Y154" s="32" t="s">
        <v>73</v>
      </c>
      <c r="Z154" s="32" t="s">
        <v>73</v>
      </c>
      <c r="AA154" s="32" t="s">
        <v>73</v>
      </c>
      <c r="AB154" s="32" t="s">
        <v>75</v>
      </c>
      <c r="AC154" s="32" t="s">
        <v>76</v>
      </c>
      <c r="AD154" s="32" t="s">
        <v>82</v>
      </c>
      <c r="AE154" s="32" t="s">
        <v>73</v>
      </c>
      <c r="AF154" s="32" t="s">
        <v>73</v>
      </c>
      <c r="AG154" s="32" t="s">
        <v>158</v>
      </c>
      <c r="AH154" t="str">
        <f>VLOOKUP($R154,武学奇术!$A:$ZZ,25,FALSE)</f>
        <v>单体奇术</v>
      </c>
      <c r="AI154" s="21">
        <f>VLOOKUP($R154,武学奇术!$A:$ZZ,26,FALSE)</f>
        <v>0.236</v>
      </c>
      <c r="AJ154" s="22">
        <f>VLOOKUP($R154,武学奇术!$A:$ZZ,27,FALSE)*(1+IF(OR($AH154=$F$4,$AH154=$F$5),$B$22,0))</f>
        <v>46</v>
      </c>
      <c r="AK154" s="21">
        <f>VLOOKUP($R154,武学奇术!$A:$ZZ,28,FALSE)</f>
        <v>0.354</v>
      </c>
      <c r="AL154" s="22">
        <f>VLOOKUP($R154,武学奇术!$A:$ZZ,29,FALSE)*(1+IF(OR($AH154=$F$4,$AH154=$F$5),$B$22,0))</f>
        <v>0</v>
      </c>
      <c r="AM154" s="21" cm="1">
        <f t="array" ref="AM154">$G$3+IFERROR(VLOOKUP($AH154,$F$4:$G$7,2,FALSE),0)+VLOOKUP($R154,武学奇术!$A:$ZZ,2,FALSE)+SUM(_xlfn.XLOOKUP($S154:$AG154,增益!$A:$A,增益!$B:$B,0))</f>
        <v>1.203</v>
      </c>
      <c r="AN154" s="21" cm="1">
        <f t="array" ref="AN154">VLOOKUP($R154,武学奇术!$A:$ZZ,5,FALSE)+SUM(_xlfn.XLOOKUP($S154:$AG154,增益!$A:$A,增益!$E:$E,0))</f>
        <v>0</v>
      </c>
      <c r="AO154" cm="1">
        <f t="array" ref="AO154">$D$10*(1+$AN154)+VLOOKUP($R154,武学奇术!$A:$ZZ,3,FALSE)+SUM(_xlfn.XLOOKUP($S154:$AG154,增益!$A:$A,增益!$C:$C,0))-$I$2</f>
        <v>1794.28</v>
      </c>
      <c r="AP154" cm="1">
        <f t="array" ref="AP154">$E$10*(1+$AN154)+VLOOKUP($R154,武学奇术!$A:$ZZ,4,FALSE)+SUM(_xlfn.XLOOKUP($S154:$AG154,增益!$A:$A,增益!$D:$D,0))-$I$2</f>
        <v>7726.36</v>
      </c>
      <c r="AQ154" s="26" cm="1">
        <f t="array" ref="AQ154">IF($F$10-$I$3+VLOOKUP($R154,武学奇术!$A:$ZZ,6,FALSE)+SUM(_xlfn.XLOOKUP(S154:AG154,增益!$A:$A,增益!$F:$F,0))&gt;0,($F$10-$I$3+VLOOKUP($R154,武学奇术!$A:$ZZ,6,FALSE)+SUM(_xlfn.XLOOKUP(S154:AG154,增益!$A:$A,增益!$F:$F,0)))/200,($F$10-$I$3+VLOOKUP($R154,武学奇术!$A:$ZZ,6,FALSE)+SUM(_xlfn.XLOOKUP(S154:AG154,增益!$A:$A,增益!$F:$F,0)))/100)</f>
        <v>0.244</v>
      </c>
      <c r="AR154" s="26" cm="1">
        <f t="array" ref="AR154">$G$10+VLOOKUP($R154,武学奇术!$A:$ZZ,7,FALSE)+SUM(_xlfn.XLOOKUP(S154:AG154,增益!$A:$A,增益!$G:$G,0))</f>
        <v>0</v>
      </c>
      <c r="AS154" s="21" cm="1">
        <f t="array" ref="AS154">VLOOKUP($R154,武学奇术!$A:$ZZ,8,FALSE)+SUM(_xlfn.XLOOKUP(S154:AG154,增益!$A:$A,增益!$H:$H,0))</f>
        <v>0</v>
      </c>
      <c r="AT154">
        <f t="shared" si="23"/>
        <v>680.02</v>
      </c>
      <c r="AU154">
        <f t="shared" si="24"/>
        <v>1288.54</v>
      </c>
      <c r="AV154" s="26" cm="1">
        <f t="array" ref="AV154">IF($F$11-$I$4+VLOOKUP($R154,武学奇术!$A:$ZZ,9,FALSE)+SUM(_xlfn.XLOOKUP(S154:AG154,增益!$A:$A,增益!$I:$I,0))&gt;0,($F$11-$I$4+VLOOKUP($R154,武学奇术!$A:$ZZ,9,FALSE)+SUM(_xlfn.XLOOKUP(S154:AG154,增益!$A:$A,增益!$I:$I,0)))/200,($F$11-$I$4+VLOOKUP($R154,武学奇术!$A:$ZZ,9,FALSE)+SUM(_xlfn.XLOOKUP(S154:AG154,增益!$A:$A,增益!$I:$I,0)))/100)</f>
        <v>0</v>
      </c>
      <c r="AW154" s="26" cm="1">
        <f t="array" ref="AW154">$G$11+VLOOKUP($R154,武学奇术!$A:$ZZ,10,FALSE)+SUM(_xlfn.XLOOKUP(S154:AG154,增益!$A:$A,增益!$J:$J,0))</f>
        <v>0.15</v>
      </c>
      <c r="AX154">
        <f t="shared" si="25"/>
        <v>0</v>
      </c>
      <c r="AY154">
        <f t="shared" si="26"/>
        <v>0</v>
      </c>
      <c r="AZ154" s="26" cm="1">
        <f t="array" ref="AZ154">IF($F$12-$I$4+VLOOKUP($R154,武学奇术!$A:$ZZ,11,FALSE)+SUM(_xlfn.XLOOKUP(S154:AG154,增益!$A:$A,增益!$K:$K,0))&gt;0,($F$12-$I$4+VLOOKUP($R154,武学奇术!$A:$ZZ,11,FALSE)+SUM(_xlfn.XLOOKUP(S154:AG154,增益!$A:$A,增益!$K:$K,0)))/200,($F$12-$I$4+VLOOKUP($R154,武学奇术!$A:$ZZ,11,FALSE)+SUM(_xlfn.XLOOKUP(S154:AG154,增益!$A:$A,增益!$K:$K,0)))/100)</f>
        <v>-0.3</v>
      </c>
      <c r="BA154" s="26" cm="1">
        <f t="array" ref="BA154">$G$12+VLOOKUP($R154,武学奇术!$A:$ZZ,12,FALSE)+SUM(_xlfn.XLOOKUP(S154:AG154,增益!$A:$A,增益!$L:$L,0))</f>
        <v>0</v>
      </c>
      <c r="BB154">
        <f t="shared" si="27"/>
        <v>0</v>
      </c>
      <c r="BC154">
        <f t="shared" si="28"/>
        <v>0</v>
      </c>
      <c r="BD154" s="26" cm="1">
        <f t="array" ref="BD154">IF($F$13-$I$4+VLOOKUP($R154,武学奇术!$A:$ZZ,13,FALSE)+SUM(_xlfn.XLOOKUP(S154:AG154,增益!$A:$A,增益!$M:$M,0))&gt;0,($F$13-$I$4+VLOOKUP($R154,武学奇术!$A:$ZZ,13,FALSE)+SUM(_xlfn.XLOOKUP(S154:AG154,增益!$A:$A,增益!$K:$K,0)))/200,($F$13-$I$4+VLOOKUP($R154,武学奇术!$A:$ZZ,13,FALSE)+SUM(_xlfn.XLOOKUP(S154:AG154,增益!$A:$A,增益!$M:$M,0)))/100)</f>
        <v>-0.3</v>
      </c>
      <c r="BE154" s="26" cm="1">
        <f t="array" ref="BE154">$G$13+VLOOKUP($R154,武学奇术!$A:$ZZ,14,FALSE)+SUM(_xlfn.XLOOKUP(S154:AG154,增益!$A:$A,增益!$N:$N,0))</f>
        <v>0</v>
      </c>
      <c r="BF154">
        <f t="shared" si="29"/>
        <v>0</v>
      </c>
      <c r="BG154">
        <f t="shared" si="30"/>
        <v>0</v>
      </c>
      <c r="BH154" s="26" cm="1">
        <f t="array" ref="BH154">IF($F$14-$I$4+VLOOKUP($R154,武学奇术!$A:$ZZ,15,FALSE)+SUM(_xlfn.XLOOKUP(S154:AG154,增益!$A:$A,增益!$O:$O,0))&gt;0,($F$14-$I$4+VLOOKUP($R154,武学奇术!$A:$ZZ,15,FALSE)+SUM(_xlfn.XLOOKUP(S154:AG154,增益!$A:$A,增益!$O:$O,0)))/200,($F$14-$I$4+VLOOKUP($R154,武学奇术!$A:$ZZ,15,FALSE)+SUM(_xlfn.XLOOKUP(S154:AG154,增益!$A:$A,增益!$O:$O,0)))/100)</f>
        <v>-0.3</v>
      </c>
      <c r="BI154" s="26" cm="1">
        <f t="array" ref="BI154">$G$14+VLOOKUP($R154,武学奇术!$A:$ZZ,16,FALSE)+SUM(_xlfn.XLOOKUP(S154:AG154,增益!$A:$A,增益!$P:$P,0))</f>
        <v>0</v>
      </c>
      <c r="BJ154" s="21">
        <f>MIN(IF(VLOOKUP($R154,武学奇术!$A:$ZZ,23,FALSE)=1,100%,$B$8),100%)</f>
        <v>0.8229</v>
      </c>
      <c r="BK154" s="21" cm="1">
        <f t="array" ref="BK154">IF(VLOOKUP($R154,武学奇术!$A:$ZZ,23,FALSE)=1,100%,MIN(80%,$B$9+VLOOKUP($R154,武学奇术!$A:$ZZ,17,FALSE)+SUM(_xlfn.XLOOKUP(S154:AG154,增益!$A:$A,增益!$Q:$Q,0)))+$B$11+SUM(_xlfn.XLOOKUP(S154:AG154,增益!$A:$A,增益!$U:$U,0)))*IF(VLOOKUP($R154,武学奇术!$A:$ZZ,24,FALSE)=1,0,1)</f>
        <v>0.2285</v>
      </c>
      <c r="BL154" s="21" cm="1">
        <f t="array" ref="BL154">1+$B$13+VLOOKUP($R154,武学奇术!$A:$ZZ,18,FALSE)+SUM(_xlfn.XLOOKUP(S154:AG154,增益!$A:$A,增益!$R:$R,0))</f>
        <v>1.5</v>
      </c>
      <c r="BM154" s="21" cm="1">
        <f t="array" ref="BM154">IF(VLOOKUP($R154,武学奇术!$A:$ZZ,24,FALSE)=1,100%,MIN(40%,$B$10+VLOOKUP($R154,武学奇术!$A:$ZZ,19,FALSE)+SUM(_xlfn.XLOOKUP(S154:AG154,增益!$A:$A,增益!$S:$S,0)))+$B$12+SUM(_xlfn.XLOOKUP(S154:AG154,增益!$A:$A,增益!$V:$V,0)))*IF(VLOOKUP($R154,武学奇术!$A:$ZZ,23,FALSE)=1,0,1)</f>
        <v>0.4495</v>
      </c>
      <c r="BN154" s="21" cm="1">
        <f t="array" ref="BN154">1+$B$14+VLOOKUP($R154,武学奇术!$A:$ZZ,20,FALSE)+SUM(_xlfn.XLOOKUP(S154:AG154,增益!$A:$A,增益!$T:$T,0))</f>
        <v>1.562</v>
      </c>
      <c r="BO154" s="21">
        <f t="shared" si="31"/>
        <v>0.18803265</v>
      </c>
      <c r="BP154" s="21">
        <f t="shared" si="32"/>
        <v>0.2649738</v>
      </c>
      <c r="BQ154" s="21">
        <f>IF(VLOOKUP($R154,武学奇术!$A:$ZZ,22,FALSE)=1,0,(1-$BJ154))*(1-$BM154)</f>
        <v>0.09749355</v>
      </c>
      <c r="BR154" s="21" cm="1">
        <f t="array" ref="BR154">SUM(_xlfn.XLOOKUP(S154:AG154,增益!$A:$A,增益!$W:$W,0))+$I$5</f>
        <v>0.06</v>
      </c>
    </row>
    <row r="155" spans="11:70">
      <c r="K155" s="24">
        <f>$L155*VLOOKUP($R155,武学奇术!$A:$ZZ,31,FALSE)</f>
        <v>14535.5459652618</v>
      </c>
      <c r="L155" s="24">
        <f t="shared" si="22"/>
        <v>29071.0919305236</v>
      </c>
      <c r="M155" s="24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BL155*$Q155*(1+IF(VLOOKUP($R155,武学奇术!$A:$ZZ,30,FALSE)="流血",$B$21,0))*(1+$BR155)</f>
        <v>26124.76944273</v>
      </c>
      <c r="N155" s="24">
        <f>(($AP155*$AI155+$AJ155)*(1+$AQ155)*(1+$AR155)+($AU155*IF($G$1="鸣金",$AK155,$AI155)+IF($G$1="鸣金",$AL155*1.5,0))*(1+$AV155)*(1+$AW155)+($AY155*IF($G$1="裂石",$AK155,$AI155)+IF($G$1="裂石",$AL155*1.5,0))*(1+$AZ155)*(1+$BA155)+($BC155*IF($G$1="牵丝",$AK155,$AI155)+IF($G$1="牵丝",$AL155*1.5,0))*(1+$BD155)*(1+$BE155)+($BG155*IF($G$1="破竹",$AK155,$AI155)+IF($G$1="破竹",$AL155*1.5,0))*(1+$BH155)*(1+$BI155))*(1+$AM155)*$BN155*$Q155*(1+IF(VLOOKUP($R155,武学奇术!$A:$ZZ,30,FALSE)="流血",$B$21,0))*(1+$BR155)</f>
        <v>41716.68387647</v>
      </c>
      <c r="O155" s="24">
        <f>((($AO155+$AP155)/2*$AI155+$AJ155)*(1+$AQ155)*(1+$AR155)+(($AT155+$AU155)/2*IF($G$1="鸣金",$AK155,$AI155)+IF($G$1="鸣金",$AL155*1.5,0))*(1+$AV155)*(1+$AW155)+(($AX155+$AY155)/2*IF($G$1="裂石",$AK155,$AI155)+IF($G$1="裂石",$AL155*1.5,0))*(1+$AZ155)*(1+$BA155)+(($BB155+$BC155)/2*IF($G$1="牵丝",$AK155,$AI155)+IF($G$1="牵丝",$AL155*1.5,0))*(1+$BD155)*(1+$BE155)+(($BF155+$BG155)/2*IF($G$1="破竹",$AK155,$AI155)+IF($G$1="破竹",$AL155*1.5,0))*(1+$BH155)*(1+$BI155))*(1+$AM155)*$Q155*(1+IF(VLOOKUP($R155,武学奇术!$A:$ZZ,30,FALSE)="流血",$B$21,0))*(1+$BR155)</f>
        <v>17416.51296182</v>
      </c>
      <c r="P155" s="24">
        <f>((($AO155*$AI155+$AJ155)*(1+$AQ155)*(1+$AR155)+($AT155*IF($G$1="鸣金",$AK155,$AI155)+IF($G$1="鸣金",$AL155*1.5,0))*(1+$AV155)*(1+$AW155)+($AX155*IF($G$1="裂石",$AK155,$AI155)+IF($G$1="裂石",$AL155*1.5,0))*(1+$AZ155)*(1+$BA155)+($BB155*IF($G$1="牵丝",$AK155,$AI155)+IF($G$1="牵丝",$AL155*1.5,0))*(1+$BD155)*(1+$BE155)+($BF155*IF($G$1="破竹",$AK155,$AI155)+IF($G$1="破竹",$AL155*1.5,0))*(1+$BH155)*(1+$BI155))*(1+$AM155))*$Q155*(1+IF(VLOOKUP($R155,武学奇术!$A:$ZZ,30,FALSE)="流血",$B$21,0))*(1+$BR155)</f>
        <v>8125.80193102158</v>
      </c>
      <c r="Q155" s="31">
        <v>4</v>
      </c>
      <c r="R155" s="32" t="s">
        <v>194</v>
      </c>
      <c r="S155" s="32" t="s">
        <v>87</v>
      </c>
      <c r="T155" s="32" t="s">
        <v>96</v>
      </c>
      <c r="U155" s="32" t="s">
        <v>97</v>
      </c>
      <c r="V155" s="32" t="s">
        <v>73</v>
      </c>
      <c r="W155" s="32" t="s">
        <v>111</v>
      </c>
      <c r="X155" s="32" t="s">
        <v>127</v>
      </c>
      <c r="Y155" s="32" t="s">
        <v>73</v>
      </c>
      <c r="Z155" s="32" t="s">
        <v>73</v>
      </c>
      <c r="AA155" s="32" t="s">
        <v>73</v>
      </c>
      <c r="AB155" s="32" t="s">
        <v>75</v>
      </c>
      <c r="AC155" s="32" t="s">
        <v>76</v>
      </c>
      <c r="AD155" s="32" t="s">
        <v>82</v>
      </c>
      <c r="AE155" s="32" t="s">
        <v>73</v>
      </c>
      <c r="AF155" s="32" t="s">
        <v>73</v>
      </c>
      <c r="AG155" s="32" t="s">
        <v>158</v>
      </c>
      <c r="AH155" t="str">
        <f>VLOOKUP($R155,武学奇术!$A:$ZZ,25,FALSE)</f>
        <v>单体奇术</v>
      </c>
      <c r="AI155" s="21">
        <f>VLOOKUP($R155,武学奇术!$A:$ZZ,26,FALSE)</f>
        <v>0.236</v>
      </c>
      <c r="AJ155" s="22">
        <f>VLOOKUP($R155,武学奇术!$A:$ZZ,27,FALSE)*(1+IF(OR($AH155=$F$4,$AH155=$F$5),$B$22,0))</f>
        <v>46</v>
      </c>
      <c r="AK155" s="21">
        <f>VLOOKUP($R155,武学奇术!$A:$ZZ,28,FALSE)</f>
        <v>0.354</v>
      </c>
      <c r="AL155" s="22">
        <f>VLOOKUP($R155,武学奇术!$A:$ZZ,29,FALSE)*(1+IF(OR($AH155=$F$4,$AH155=$F$5),$B$22,0))</f>
        <v>0</v>
      </c>
      <c r="AM155" s="21" cm="1">
        <f t="array" ref="AM155">$G$3+IFERROR(VLOOKUP($AH155,$F$4:$G$7,2,FALSE),0)+VLOOKUP($R155,武学奇术!$A:$ZZ,2,FALSE)+SUM(_xlfn.XLOOKUP($S155:$AG155,增益!$A:$A,增益!$B:$B,0))</f>
        <v>1.203</v>
      </c>
      <c r="AN155" s="21" cm="1">
        <f t="array" ref="AN155">VLOOKUP($R155,武学奇术!$A:$ZZ,5,FALSE)+SUM(_xlfn.XLOOKUP($S155:$AG155,增益!$A:$A,增益!$E:$E,0))</f>
        <v>0</v>
      </c>
      <c r="AO155" cm="1">
        <f t="array" ref="AO155">$D$10*(1+$AN155)+VLOOKUP($R155,武学奇术!$A:$ZZ,3,FALSE)+SUM(_xlfn.XLOOKUP($S155:$AG155,增益!$A:$A,增益!$C:$C,0))-$I$2</f>
        <v>1825.28</v>
      </c>
      <c r="AP155" cm="1">
        <f t="array" ref="AP155">$E$10*(1+$AN155)+VLOOKUP($R155,武学奇术!$A:$ZZ,4,FALSE)+SUM(_xlfn.XLOOKUP($S155:$AG155,增益!$A:$A,增益!$D:$D,0))-$I$2</f>
        <v>7757.36</v>
      </c>
      <c r="AQ155" s="26" cm="1">
        <f t="array" ref="AQ155">IF($F$10-$I$3+VLOOKUP($R155,武学奇术!$A:$ZZ,6,FALSE)+SUM(_xlfn.XLOOKUP(S155:AG155,增益!$A:$A,增益!$F:$F,0))&gt;0,($F$10-$I$3+VLOOKUP($R155,武学奇术!$A:$ZZ,6,FALSE)+SUM(_xlfn.XLOOKUP(S155:AG155,增益!$A:$A,增益!$F:$F,0)))/200,($F$10-$I$3+VLOOKUP($R155,武学奇术!$A:$ZZ,6,FALSE)+SUM(_xlfn.XLOOKUP(S155:AG155,增益!$A:$A,增益!$F:$F,0)))/100)</f>
        <v>0.244</v>
      </c>
      <c r="AR155" s="26" cm="1">
        <f t="array" ref="AR155">$G$10+VLOOKUP($R155,武学奇术!$A:$ZZ,7,FALSE)+SUM(_xlfn.XLOOKUP(S155:AG155,增益!$A:$A,增益!$G:$G,0))</f>
        <v>0</v>
      </c>
      <c r="AS155" s="21" cm="1">
        <f t="array" ref="AS155">VLOOKUP($R155,武学奇术!$A:$ZZ,8,FALSE)+SUM(_xlfn.XLOOKUP(S155:AG155,增益!$A:$A,增益!$H:$H,0))</f>
        <v>0</v>
      </c>
      <c r="AT155">
        <f t="shared" si="23"/>
        <v>680.02</v>
      </c>
      <c r="AU155">
        <f t="shared" si="24"/>
        <v>1288.54</v>
      </c>
      <c r="AV155" s="26" cm="1">
        <f t="array" ref="AV155">IF($F$11-$I$4+VLOOKUP($R155,武学奇术!$A:$ZZ,9,FALSE)+SUM(_xlfn.XLOOKUP(S155:AG155,增益!$A:$A,增益!$I:$I,0))&gt;0,($F$11-$I$4+VLOOKUP($R155,武学奇术!$A:$ZZ,9,FALSE)+SUM(_xlfn.XLOOKUP(S155:AG155,增益!$A:$A,增益!$I:$I,0)))/200,($F$11-$I$4+VLOOKUP($R155,武学奇术!$A:$ZZ,9,FALSE)+SUM(_xlfn.XLOOKUP(S155:AG155,增益!$A:$A,增益!$I:$I,0)))/100)</f>
        <v>0</v>
      </c>
      <c r="AW155" s="26" cm="1">
        <f t="array" ref="AW155">$G$11+VLOOKUP($R155,武学奇术!$A:$ZZ,10,FALSE)+SUM(_xlfn.XLOOKUP(S155:AG155,增益!$A:$A,增益!$J:$J,0))</f>
        <v>0.15</v>
      </c>
      <c r="AX155">
        <f t="shared" si="25"/>
        <v>0</v>
      </c>
      <c r="AY155">
        <f t="shared" si="26"/>
        <v>0</v>
      </c>
      <c r="AZ155" s="26" cm="1">
        <f t="array" ref="AZ155">IF($F$12-$I$4+VLOOKUP($R155,武学奇术!$A:$ZZ,11,FALSE)+SUM(_xlfn.XLOOKUP(S155:AG155,增益!$A:$A,增益!$K:$K,0))&gt;0,($F$12-$I$4+VLOOKUP($R155,武学奇术!$A:$ZZ,11,FALSE)+SUM(_xlfn.XLOOKUP(S155:AG155,增益!$A:$A,增益!$K:$K,0)))/200,($F$12-$I$4+VLOOKUP($R155,武学奇术!$A:$ZZ,11,FALSE)+SUM(_xlfn.XLOOKUP(S155:AG155,增益!$A:$A,增益!$K:$K,0)))/100)</f>
        <v>-0.3</v>
      </c>
      <c r="BA155" s="26" cm="1">
        <f t="array" ref="BA155">$G$12+VLOOKUP($R155,武学奇术!$A:$ZZ,12,FALSE)+SUM(_xlfn.XLOOKUP(S155:AG155,增益!$A:$A,增益!$L:$L,0))</f>
        <v>0</v>
      </c>
      <c r="BB155">
        <f t="shared" si="27"/>
        <v>0</v>
      </c>
      <c r="BC155">
        <f t="shared" si="28"/>
        <v>0</v>
      </c>
      <c r="BD155" s="26" cm="1">
        <f t="array" ref="BD155">IF($F$13-$I$4+VLOOKUP($R155,武学奇术!$A:$ZZ,13,FALSE)+SUM(_xlfn.XLOOKUP(S155:AG155,增益!$A:$A,增益!$M:$M,0))&gt;0,($F$13-$I$4+VLOOKUP($R155,武学奇术!$A:$ZZ,13,FALSE)+SUM(_xlfn.XLOOKUP(S155:AG155,增益!$A:$A,增益!$K:$K,0)))/200,($F$13-$I$4+VLOOKUP($R155,武学奇术!$A:$ZZ,13,FALSE)+SUM(_xlfn.XLOOKUP(S155:AG155,增益!$A:$A,增益!$M:$M,0)))/100)</f>
        <v>-0.3</v>
      </c>
      <c r="BE155" s="26" cm="1">
        <f t="array" ref="BE155">$G$13+VLOOKUP($R155,武学奇术!$A:$ZZ,14,FALSE)+SUM(_xlfn.XLOOKUP(S155:AG155,增益!$A:$A,增益!$N:$N,0))</f>
        <v>0</v>
      </c>
      <c r="BF155">
        <f t="shared" si="29"/>
        <v>0</v>
      </c>
      <c r="BG155">
        <f t="shared" si="30"/>
        <v>0</v>
      </c>
      <c r="BH155" s="26" cm="1">
        <f t="array" ref="BH155">IF($F$14-$I$4+VLOOKUP($R155,武学奇术!$A:$ZZ,15,FALSE)+SUM(_xlfn.XLOOKUP(S155:AG155,增益!$A:$A,增益!$O:$O,0))&gt;0,($F$14-$I$4+VLOOKUP($R155,武学奇术!$A:$ZZ,15,FALSE)+SUM(_xlfn.XLOOKUP(S155:AG155,增益!$A:$A,增益!$O:$O,0)))/200,($F$14-$I$4+VLOOKUP($R155,武学奇术!$A:$ZZ,15,FALSE)+SUM(_xlfn.XLOOKUP(S155:AG155,增益!$A:$A,增益!$O:$O,0)))/100)</f>
        <v>-0.3</v>
      </c>
      <c r="BI155" s="26" cm="1">
        <f t="array" ref="BI155">$G$14+VLOOKUP($R155,武学奇术!$A:$ZZ,16,FALSE)+SUM(_xlfn.XLOOKUP(S155:AG155,增益!$A:$A,增益!$P:$P,0))</f>
        <v>0</v>
      </c>
      <c r="BJ155" s="21">
        <f>MIN(IF(VLOOKUP($R155,武学奇术!$A:$ZZ,23,FALSE)=1,100%,$B$8),100%)</f>
        <v>0.8229</v>
      </c>
      <c r="BK155" s="21" cm="1">
        <f t="array" ref="BK155">IF(VLOOKUP($R155,武学奇术!$A:$ZZ,23,FALSE)=1,100%,MIN(80%,$B$9+VLOOKUP($R155,武学奇术!$A:$ZZ,17,FALSE)+SUM(_xlfn.XLOOKUP(S155:AG155,增益!$A:$A,增益!$Q:$Q,0)))+$B$11+SUM(_xlfn.XLOOKUP(S155:AG155,增益!$A:$A,增益!$U:$U,0)))*IF(VLOOKUP($R155,武学奇术!$A:$ZZ,24,FALSE)=1,0,1)</f>
        <v>0.2285</v>
      </c>
      <c r="BL155" s="21" cm="1">
        <f t="array" ref="BL155">1+$B$13+VLOOKUP($R155,武学奇术!$A:$ZZ,18,FALSE)+SUM(_xlfn.XLOOKUP(S155:AG155,增益!$A:$A,增益!$R:$R,0))</f>
        <v>1.5</v>
      </c>
      <c r="BM155" s="21" cm="1">
        <f t="array" ref="BM155">IF(VLOOKUP($R155,武学奇术!$A:$ZZ,24,FALSE)=1,100%,MIN(40%,$B$10+VLOOKUP($R155,武学奇术!$A:$ZZ,19,FALSE)+SUM(_xlfn.XLOOKUP(S155:AG155,增益!$A:$A,增益!$S:$S,0)))+$B$12+SUM(_xlfn.XLOOKUP(S155:AG155,增益!$A:$A,增益!$V:$V,0)))*IF(VLOOKUP($R155,武学奇术!$A:$ZZ,23,FALSE)=1,0,1)</f>
        <v>0.4495</v>
      </c>
      <c r="BN155" s="21" cm="1">
        <f t="array" ref="BN155">1+$B$14+VLOOKUP($R155,武学奇术!$A:$ZZ,20,FALSE)+SUM(_xlfn.XLOOKUP(S155:AG155,增益!$A:$A,增益!$T:$T,0))</f>
        <v>1.562</v>
      </c>
      <c r="BO155" s="21">
        <f t="shared" si="31"/>
        <v>0.18803265</v>
      </c>
      <c r="BP155" s="21">
        <f t="shared" si="32"/>
        <v>0.2649738</v>
      </c>
      <c r="BQ155" s="21">
        <f>IF(VLOOKUP($R155,武学奇术!$A:$ZZ,22,FALSE)=1,0,(1-$BJ155))*(1-$BM155)</f>
        <v>0.09749355</v>
      </c>
      <c r="BR155" s="21" cm="1">
        <f t="array" ref="BR155">SUM(_xlfn.XLOOKUP(S155:AG155,增益!$A:$A,增益!$W:$W,0))+$I$5</f>
        <v>0.06</v>
      </c>
    </row>
    <row r="156" spans="11:70">
      <c r="K156" s="24">
        <f>$L156*VLOOKUP($R156,武学奇术!$A:$ZZ,31,FALSE)</f>
        <v>14595.5704511852</v>
      </c>
      <c r="L156" s="24">
        <f t="shared" si="22"/>
        <v>29191.1409023705</v>
      </c>
      <c r="M156" s="24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BL156*$Q156*(1+IF(VLOOKUP($R156,武学奇术!$A:$ZZ,30,FALSE)="流血",$B$21,0))*(1+$BR156)</f>
        <v>26124.76944273</v>
      </c>
      <c r="N156" s="24">
        <f>(($AP156*$AI156+$AJ156)*(1+$AQ156)*(1+$AR156)+($AU156*IF($G$1="鸣金",$AK156,$AI156)+IF($G$1="鸣金",$AL156*1.5,0))*(1+$AV156)*(1+$AW156)+($AY156*IF($G$1="裂石",$AK156,$AI156)+IF($G$1="裂石",$AL156*1.5,0))*(1+$AZ156)*(1+$BA156)+($BC156*IF($G$1="牵丝",$AK156,$AI156)+IF($G$1="牵丝",$AL156*1.5,0))*(1+$BD156)*(1+$BE156)+($BG156*IF($G$1="破竹",$AK156,$AI156)+IF($G$1="破竹",$AL156*1.5,0))*(1+$BH156)*(1+$BI156))*(1+$AM156)*$BN156*$Q156*(1+IF(VLOOKUP($R156,武学奇术!$A:$ZZ,30,FALSE)="流血",$B$21,0))*(1+$BR156)</f>
        <v>41983.7561163962</v>
      </c>
      <c r="O156" s="24">
        <f>((($AO156+$AP156)/2*$AI156+$AJ156)*(1+$AQ156)*(1+$AR156)+(($AT156+$AU156)/2*IF($G$1="鸣金",$AK156,$AI156)+IF($G$1="鸣金",$AL156*1.5,0))*(1+$AV156)*(1+$AW156)+(($AX156+$AY156)/2*IF($G$1="裂石",$AK156,$AI156)+IF($G$1="裂石",$AL156*1.5,0))*(1+$AZ156)*(1+$BA156)+(($BB156+$BC156)/2*IF($G$1="牵丝",$AK156,$AI156)+IF($G$1="牵丝",$AL156*1.5,0))*(1+$BD156)*(1+$BE156)+(($BF156+$BG156)/2*IF($G$1="破竹",$AK156,$AI156)+IF($G$1="破竹",$AL156*1.5,0))*(1+$BH156)*(1+$BI156))*(1+$AM156)*$Q156*(1+IF(VLOOKUP($R156,武学奇术!$A:$ZZ,30,FALSE)="流血",$B$21,0))*(1+$BR156)</f>
        <v>17416.51296182</v>
      </c>
      <c r="P156" s="24">
        <f>((($AO156*$AI156+$AJ156)*(1+$AQ156)*(1+$AR156)+($AT156*IF($G$1="鸣金",$AK156,$AI156)+IF($G$1="鸣金",$AL156*1.5,0))*(1+$AV156)*(1+$AW156)+($AX156*IF($G$1="裂石",$AK156,$AI156)+IF($G$1="裂石",$AL156*1.5,0))*(1+$AZ156)*(1+$BA156)+($BB156*IF($G$1="牵丝",$AK156,$AI156)+IF($G$1="牵丝",$AL156*1.5,0))*(1+$BD156)*(1+$BE156)+($BF156*IF($G$1="破竹",$AK156,$AI156)+IF($G$1="破竹",$AL156*1.5,0))*(1+$BH156)*(1+$BI156))*(1+$AM156))*$Q156*(1+IF(VLOOKUP($R156,武学奇术!$A:$ZZ,30,FALSE)="流血",$B$21,0))*(1+$BR156)</f>
        <v>8125.80193102158</v>
      </c>
      <c r="Q156" s="31">
        <v>4</v>
      </c>
      <c r="R156" s="32" t="s">
        <v>194</v>
      </c>
      <c r="S156" s="32" t="s">
        <v>87</v>
      </c>
      <c r="T156" s="32" t="s">
        <v>96</v>
      </c>
      <c r="U156" s="32" t="s">
        <v>97</v>
      </c>
      <c r="V156" s="32" t="s">
        <v>73</v>
      </c>
      <c r="W156" s="32" t="s">
        <v>111</v>
      </c>
      <c r="X156" s="32" t="s">
        <v>127</v>
      </c>
      <c r="Y156" s="32" t="s">
        <v>73</v>
      </c>
      <c r="Z156" s="32" t="s">
        <v>73</v>
      </c>
      <c r="AA156" s="32" t="s">
        <v>73</v>
      </c>
      <c r="AB156" s="32" t="s">
        <v>75</v>
      </c>
      <c r="AC156" s="32" t="s">
        <v>76</v>
      </c>
      <c r="AD156" s="32" t="s">
        <v>82</v>
      </c>
      <c r="AE156" s="32" t="s">
        <v>73</v>
      </c>
      <c r="AF156" s="32" t="s">
        <v>73</v>
      </c>
      <c r="AG156" s="32" t="s">
        <v>169</v>
      </c>
      <c r="AH156" t="str">
        <f>VLOOKUP($R156,武学奇术!$A:$ZZ,25,FALSE)</f>
        <v>单体奇术</v>
      </c>
      <c r="AI156" s="21">
        <f>VLOOKUP($R156,武学奇术!$A:$ZZ,26,FALSE)</f>
        <v>0.236</v>
      </c>
      <c r="AJ156" s="22">
        <f>VLOOKUP($R156,武学奇术!$A:$ZZ,27,FALSE)*(1+IF(OR($AH156=$F$4,$AH156=$F$5),$B$22,0))</f>
        <v>46</v>
      </c>
      <c r="AK156" s="21">
        <f>VLOOKUP($R156,武学奇术!$A:$ZZ,28,FALSE)</f>
        <v>0.354</v>
      </c>
      <c r="AL156" s="22">
        <f>VLOOKUP($R156,武学奇术!$A:$ZZ,29,FALSE)*(1+IF(OR($AH156=$F$4,$AH156=$F$5),$B$22,0))</f>
        <v>0</v>
      </c>
      <c r="AM156" s="21" cm="1">
        <f t="array" ref="AM156">$G$3+IFERROR(VLOOKUP($AH156,$F$4:$G$7,2,FALSE),0)+VLOOKUP($R156,武学奇术!$A:$ZZ,2,FALSE)+SUM(_xlfn.XLOOKUP($S156:$AG156,增益!$A:$A,增益!$B:$B,0))</f>
        <v>1.203</v>
      </c>
      <c r="AN156" s="21" cm="1">
        <f t="array" ref="AN156">VLOOKUP($R156,武学奇术!$A:$ZZ,5,FALSE)+SUM(_xlfn.XLOOKUP($S156:$AG156,增益!$A:$A,增益!$E:$E,0))</f>
        <v>0</v>
      </c>
      <c r="AO156" cm="1">
        <f t="array" ref="AO156">$D$10*(1+$AN156)+VLOOKUP($R156,武学奇术!$A:$ZZ,3,FALSE)+SUM(_xlfn.XLOOKUP($S156:$AG156,增益!$A:$A,增益!$C:$C,0))-$I$2</f>
        <v>1825.28</v>
      </c>
      <c r="AP156" cm="1">
        <f t="array" ref="AP156">$E$10*(1+$AN156)+VLOOKUP($R156,武学奇术!$A:$ZZ,4,FALSE)+SUM(_xlfn.XLOOKUP($S156:$AG156,增益!$A:$A,增益!$D:$D,0))-$I$2</f>
        <v>7757.36</v>
      </c>
      <c r="AQ156" s="26" cm="1">
        <f t="array" ref="AQ156">IF($F$10-$I$3+VLOOKUP($R156,武学奇术!$A:$ZZ,6,FALSE)+SUM(_xlfn.XLOOKUP(S156:AG156,增益!$A:$A,增益!$F:$F,0))&gt;0,($F$10-$I$3+VLOOKUP($R156,武学奇术!$A:$ZZ,6,FALSE)+SUM(_xlfn.XLOOKUP(S156:AG156,增益!$A:$A,增益!$F:$F,0)))/200,($F$10-$I$3+VLOOKUP($R156,武学奇术!$A:$ZZ,6,FALSE)+SUM(_xlfn.XLOOKUP(S156:AG156,增益!$A:$A,增益!$F:$F,0)))/100)</f>
        <v>0.244</v>
      </c>
      <c r="AR156" s="26" cm="1">
        <f t="array" ref="AR156">$G$10+VLOOKUP($R156,武学奇术!$A:$ZZ,7,FALSE)+SUM(_xlfn.XLOOKUP(S156:AG156,增益!$A:$A,增益!$G:$G,0))</f>
        <v>0</v>
      </c>
      <c r="AS156" s="21" cm="1">
        <f t="array" ref="AS156">VLOOKUP($R156,武学奇术!$A:$ZZ,8,FALSE)+SUM(_xlfn.XLOOKUP(S156:AG156,增益!$A:$A,增益!$H:$H,0))</f>
        <v>0</v>
      </c>
      <c r="AT156">
        <f t="shared" si="23"/>
        <v>680.02</v>
      </c>
      <c r="AU156">
        <f t="shared" si="24"/>
        <v>1288.54</v>
      </c>
      <c r="AV156" s="26" cm="1">
        <f t="array" ref="AV156">IF($F$11-$I$4+VLOOKUP($R156,武学奇术!$A:$ZZ,9,FALSE)+SUM(_xlfn.XLOOKUP(S156:AG156,增益!$A:$A,增益!$I:$I,0))&gt;0,($F$11-$I$4+VLOOKUP($R156,武学奇术!$A:$ZZ,9,FALSE)+SUM(_xlfn.XLOOKUP(S156:AG156,增益!$A:$A,增益!$I:$I,0)))/200,($F$11-$I$4+VLOOKUP($R156,武学奇术!$A:$ZZ,9,FALSE)+SUM(_xlfn.XLOOKUP(S156:AG156,增益!$A:$A,增益!$I:$I,0)))/100)</f>
        <v>0</v>
      </c>
      <c r="AW156" s="26" cm="1">
        <f t="array" ref="AW156">$G$11+VLOOKUP($R156,武学奇术!$A:$ZZ,10,FALSE)+SUM(_xlfn.XLOOKUP(S156:AG156,增益!$A:$A,增益!$J:$J,0))</f>
        <v>0.15</v>
      </c>
      <c r="AX156">
        <f t="shared" si="25"/>
        <v>0</v>
      </c>
      <c r="AY156">
        <f t="shared" si="26"/>
        <v>0</v>
      </c>
      <c r="AZ156" s="26" cm="1">
        <f t="array" ref="AZ156">IF($F$12-$I$4+VLOOKUP($R156,武学奇术!$A:$ZZ,11,FALSE)+SUM(_xlfn.XLOOKUP(S156:AG156,增益!$A:$A,增益!$K:$K,0))&gt;0,($F$12-$I$4+VLOOKUP($R156,武学奇术!$A:$ZZ,11,FALSE)+SUM(_xlfn.XLOOKUP(S156:AG156,增益!$A:$A,增益!$K:$K,0)))/200,($F$12-$I$4+VLOOKUP($R156,武学奇术!$A:$ZZ,11,FALSE)+SUM(_xlfn.XLOOKUP(S156:AG156,增益!$A:$A,增益!$K:$K,0)))/100)</f>
        <v>-0.3</v>
      </c>
      <c r="BA156" s="26" cm="1">
        <f t="array" ref="BA156">$G$12+VLOOKUP($R156,武学奇术!$A:$ZZ,12,FALSE)+SUM(_xlfn.XLOOKUP(S156:AG156,增益!$A:$A,增益!$L:$L,0))</f>
        <v>0</v>
      </c>
      <c r="BB156">
        <f t="shared" si="27"/>
        <v>0</v>
      </c>
      <c r="BC156">
        <f t="shared" si="28"/>
        <v>0</v>
      </c>
      <c r="BD156" s="26" cm="1">
        <f t="array" ref="BD156">IF($F$13-$I$4+VLOOKUP($R156,武学奇术!$A:$ZZ,13,FALSE)+SUM(_xlfn.XLOOKUP(S156:AG156,增益!$A:$A,增益!$M:$M,0))&gt;0,($F$13-$I$4+VLOOKUP($R156,武学奇术!$A:$ZZ,13,FALSE)+SUM(_xlfn.XLOOKUP(S156:AG156,增益!$A:$A,增益!$K:$K,0)))/200,($F$13-$I$4+VLOOKUP($R156,武学奇术!$A:$ZZ,13,FALSE)+SUM(_xlfn.XLOOKUP(S156:AG156,增益!$A:$A,增益!$M:$M,0)))/100)</f>
        <v>-0.3</v>
      </c>
      <c r="BE156" s="26" cm="1">
        <f t="array" ref="BE156">$G$13+VLOOKUP($R156,武学奇术!$A:$ZZ,14,FALSE)+SUM(_xlfn.XLOOKUP(S156:AG156,增益!$A:$A,增益!$N:$N,0))</f>
        <v>0</v>
      </c>
      <c r="BF156">
        <f t="shared" si="29"/>
        <v>0</v>
      </c>
      <c r="BG156">
        <f t="shared" si="30"/>
        <v>0</v>
      </c>
      <c r="BH156" s="26" cm="1">
        <f t="array" ref="BH156">IF($F$14-$I$4+VLOOKUP($R156,武学奇术!$A:$ZZ,15,FALSE)+SUM(_xlfn.XLOOKUP(S156:AG156,增益!$A:$A,增益!$O:$O,0))&gt;0,($F$14-$I$4+VLOOKUP($R156,武学奇术!$A:$ZZ,15,FALSE)+SUM(_xlfn.XLOOKUP(S156:AG156,增益!$A:$A,增益!$O:$O,0)))/200,($F$14-$I$4+VLOOKUP($R156,武学奇术!$A:$ZZ,15,FALSE)+SUM(_xlfn.XLOOKUP(S156:AG156,增益!$A:$A,增益!$O:$O,0)))/100)</f>
        <v>-0.3</v>
      </c>
      <c r="BI156" s="26" cm="1">
        <f t="array" ref="BI156">$G$14+VLOOKUP($R156,武学奇术!$A:$ZZ,16,FALSE)+SUM(_xlfn.XLOOKUP(S156:AG156,增益!$A:$A,增益!$P:$P,0))</f>
        <v>0</v>
      </c>
      <c r="BJ156" s="21">
        <f>MIN(IF(VLOOKUP($R156,武学奇术!$A:$ZZ,23,FALSE)=1,100%,$B$8),100%)</f>
        <v>0.8229</v>
      </c>
      <c r="BK156" s="21" cm="1">
        <f t="array" ref="BK156">IF(VLOOKUP($R156,武学奇术!$A:$ZZ,23,FALSE)=1,100%,MIN(80%,$B$9+VLOOKUP($R156,武学奇术!$A:$ZZ,17,FALSE)+SUM(_xlfn.XLOOKUP(S156:AG156,增益!$A:$A,增益!$Q:$Q,0)))+$B$11+SUM(_xlfn.XLOOKUP(S156:AG156,增益!$A:$A,增益!$U:$U,0)))*IF(VLOOKUP($R156,武学奇术!$A:$ZZ,24,FALSE)=1,0,1)</f>
        <v>0.2285</v>
      </c>
      <c r="BL156" s="21" cm="1">
        <f t="array" ref="BL156">1+$B$13+VLOOKUP($R156,武学奇术!$A:$ZZ,18,FALSE)+SUM(_xlfn.XLOOKUP(S156:AG156,增益!$A:$A,增益!$R:$R,0))</f>
        <v>1.5</v>
      </c>
      <c r="BM156" s="21" cm="1">
        <f t="array" ref="BM156">IF(VLOOKUP($R156,武学奇术!$A:$ZZ,24,FALSE)=1,100%,MIN(40%,$B$10+VLOOKUP($R156,武学奇术!$A:$ZZ,19,FALSE)+SUM(_xlfn.XLOOKUP(S156:AG156,增益!$A:$A,增益!$S:$S,0)))+$B$12+SUM(_xlfn.XLOOKUP(S156:AG156,增益!$A:$A,增益!$V:$V,0)))*IF(VLOOKUP($R156,武学奇术!$A:$ZZ,23,FALSE)=1,0,1)</f>
        <v>0.4495</v>
      </c>
      <c r="BN156" s="21" cm="1">
        <f t="array" ref="BN156">1+$B$14+VLOOKUP($R156,武学奇术!$A:$ZZ,20,FALSE)+SUM(_xlfn.XLOOKUP(S156:AG156,增益!$A:$A,增益!$T:$T,0))</f>
        <v>1.572</v>
      </c>
      <c r="BO156" s="21">
        <f t="shared" si="31"/>
        <v>0.18803265</v>
      </c>
      <c r="BP156" s="21">
        <f t="shared" si="32"/>
        <v>0.2649738</v>
      </c>
      <c r="BQ156" s="21">
        <f>IF(VLOOKUP($R156,武学奇术!$A:$ZZ,22,FALSE)=1,0,(1-$BJ156))*(1-$BM156)</f>
        <v>0.09749355</v>
      </c>
      <c r="BR156" s="21" cm="1">
        <f t="array" ref="BR156">SUM(_xlfn.XLOOKUP(S156:AG156,增益!$A:$A,增益!$W:$W,0))+$I$5</f>
        <v>0.06</v>
      </c>
    </row>
    <row r="157" spans="11:70">
      <c r="K157" s="24">
        <f>$L157*VLOOKUP($R157,武学奇术!$A:$ZZ,31,FALSE)</f>
        <v>7297.78522559262</v>
      </c>
      <c r="L157" s="24">
        <f t="shared" si="22"/>
        <v>14595.5704511852</v>
      </c>
      <c r="M157" s="24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BL157*$Q157*(1+IF(VLOOKUP($R157,武学奇术!$A:$ZZ,30,FALSE)="流血",$B$21,0))*(1+$BR157)</f>
        <v>13062.384721365</v>
      </c>
      <c r="N157" s="24">
        <f>(($AP157*$AI157+$AJ157)*(1+$AQ157)*(1+$AR157)+($AU157*IF($G$1="鸣金",$AK157,$AI157)+IF($G$1="鸣金",$AL157*1.5,0))*(1+$AV157)*(1+$AW157)+($AY157*IF($G$1="裂石",$AK157,$AI157)+IF($G$1="裂石",$AL157*1.5,0))*(1+$AZ157)*(1+$BA157)+($BC157*IF($G$1="牵丝",$AK157,$AI157)+IF($G$1="牵丝",$AL157*1.5,0))*(1+$BD157)*(1+$BE157)+($BG157*IF($G$1="破竹",$AK157,$AI157)+IF($G$1="破竹",$AL157*1.5,0))*(1+$BH157)*(1+$BI157))*(1+$AM157)*$BN157*$Q157*(1+IF(VLOOKUP($R157,武学奇术!$A:$ZZ,30,FALSE)="流血",$B$21,0))*(1+$BR157)</f>
        <v>20991.8780581981</v>
      </c>
      <c r="O157" s="24">
        <f>((($AO157+$AP157)/2*$AI157+$AJ157)*(1+$AQ157)*(1+$AR157)+(($AT157+$AU157)/2*IF($G$1="鸣金",$AK157,$AI157)+IF($G$1="鸣金",$AL157*1.5,0))*(1+$AV157)*(1+$AW157)+(($AX157+$AY157)/2*IF($G$1="裂石",$AK157,$AI157)+IF($G$1="裂石",$AL157*1.5,0))*(1+$AZ157)*(1+$BA157)+(($BB157+$BC157)/2*IF($G$1="牵丝",$AK157,$AI157)+IF($G$1="牵丝",$AL157*1.5,0))*(1+$BD157)*(1+$BE157)+(($BF157+$BG157)/2*IF($G$1="破竹",$AK157,$AI157)+IF($G$1="破竹",$AL157*1.5,0))*(1+$BH157)*(1+$BI157))*(1+$AM157)*$Q157*(1+IF(VLOOKUP($R157,武学奇术!$A:$ZZ,30,FALSE)="流血",$B$21,0))*(1+$BR157)</f>
        <v>8708.25648091</v>
      </c>
      <c r="P157" s="24">
        <f>((($AO157*$AI157+$AJ157)*(1+$AQ157)*(1+$AR157)+($AT157*IF($G$1="鸣金",$AK157,$AI157)+IF($G$1="鸣金",$AL157*1.5,0))*(1+$AV157)*(1+$AW157)+($AX157*IF($G$1="裂石",$AK157,$AI157)+IF($G$1="裂石",$AL157*1.5,0))*(1+$AZ157)*(1+$BA157)+($BB157*IF($G$1="牵丝",$AK157,$AI157)+IF($G$1="牵丝",$AL157*1.5,0))*(1+$BD157)*(1+$BE157)+($BF157*IF($G$1="破竹",$AK157,$AI157)+IF($G$1="破竹",$AL157*1.5,0))*(1+$BH157)*(1+$BI157))*(1+$AM157))*$Q157*(1+IF(VLOOKUP($R157,武学奇术!$A:$ZZ,30,FALSE)="流血",$B$21,0))*(1+$BR157)</f>
        <v>4062.90096551079</v>
      </c>
      <c r="Q157" s="31">
        <v>2</v>
      </c>
      <c r="R157" s="32" t="s">
        <v>194</v>
      </c>
      <c r="S157" s="32" t="s">
        <v>87</v>
      </c>
      <c r="T157" s="32" t="s">
        <v>96</v>
      </c>
      <c r="U157" s="32" t="s">
        <v>97</v>
      </c>
      <c r="V157" s="32" t="s">
        <v>73</v>
      </c>
      <c r="W157" s="32" t="s">
        <v>111</v>
      </c>
      <c r="X157" s="32" t="s">
        <v>127</v>
      </c>
      <c r="Y157" s="32" t="s">
        <v>73</v>
      </c>
      <c r="Z157" s="32" t="s">
        <v>73</v>
      </c>
      <c r="AA157" s="32" t="s">
        <v>81</v>
      </c>
      <c r="AB157" s="32" t="s">
        <v>75</v>
      </c>
      <c r="AC157" s="32" t="s">
        <v>76</v>
      </c>
      <c r="AD157" s="32" t="s">
        <v>82</v>
      </c>
      <c r="AE157" s="32" t="s">
        <v>73</v>
      </c>
      <c r="AF157" s="32" t="s">
        <v>73</v>
      </c>
      <c r="AG157" s="32" t="s">
        <v>169</v>
      </c>
      <c r="AH157" t="str">
        <f>VLOOKUP($R157,武学奇术!$A:$ZZ,25,FALSE)</f>
        <v>单体奇术</v>
      </c>
      <c r="AI157" s="21">
        <f>VLOOKUP($R157,武学奇术!$A:$ZZ,26,FALSE)</f>
        <v>0.236</v>
      </c>
      <c r="AJ157" s="22">
        <f>VLOOKUP($R157,武学奇术!$A:$ZZ,27,FALSE)*(1+IF(OR($AH157=$F$4,$AH157=$F$5),$B$22,0))</f>
        <v>46</v>
      </c>
      <c r="AK157" s="21">
        <f>VLOOKUP($R157,武学奇术!$A:$ZZ,28,FALSE)</f>
        <v>0.354</v>
      </c>
      <c r="AL157" s="22">
        <f>VLOOKUP($R157,武学奇术!$A:$ZZ,29,FALSE)*(1+IF(OR($AH157=$F$4,$AH157=$F$5),$B$22,0))</f>
        <v>0</v>
      </c>
      <c r="AM157" s="21" cm="1">
        <f t="array" ref="AM157">$G$3+IFERROR(VLOOKUP($AH157,$F$4:$G$7,2,FALSE),0)+VLOOKUP($R157,武学奇术!$A:$ZZ,2,FALSE)+SUM(_xlfn.XLOOKUP($S157:$AG157,增益!$A:$A,增益!$B:$B,0))</f>
        <v>1.203</v>
      </c>
      <c r="AN157" s="21" cm="1">
        <f t="array" ref="AN157">VLOOKUP($R157,武学奇术!$A:$ZZ,5,FALSE)+SUM(_xlfn.XLOOKUP($S157:$AG157,增益!$A:$A,增益!$E:$E,0))</f>
        <v>0</v>
      </c>
      <c r="AO157" cm="1">
        <f t="array" ref="AO157">$D$10*(1+$AN157)+VLOOKUP($R157,武学奇术!$A:$ZZ,3,FALSE)+SUM(_xlfn.XLOOKUP($S157:$AG157,增益!$A:$A,增益!$C:$C,0))-$I$2</f>
        <v>1825.28</v>
      </c>
      <c r="AP157" cm="1">
        <f t="array" ref="AP157">$E$10*(1+$AN157)+VLOOKUP($R157,武学奇术!$A:$ZZ,4,FALSE)+SUM(_xlfn.XLOOKUP($S157:$AG157,增益!$A:$A,增益!$D:$D,0))-$I$2</f>
        <v>7757.36</v>
      </c>
      <c r="AQ157" s="26" cm="1">
        <f t="array" ref="AQ157">IF($F$10-$I$3+VLOOKUP($R157,武学奇术!$A:$ZZ,6,FALSE)+SUM(_xlfn.XLOOKUP(S157:AG157,增益!$A:$A,增益!$F:$F,0))&gt;0,($F$10-$I$3+VLOOKUP($R157,武学奇术!$A:$ZZ,6,FALSE)+SUM(_xlfn.XLOOKUP(S157:AG157,增益!$A:$A,增益!$F:$F,0)))/200,($F$10-$I$3+VLOOKUP($R157,武学奇术!$A:$ZZ,6,FALSE)+SUM(_xlfn.XLOOKUP(S157:AG157,增益!$A:$A,增益!$F:$F,0)))/100)</f>
        <v>0.244</v>
      </c>
      <c r="AR157" s="26" cm="1">
        <f t="array" ref="AR157">$G$10+VLOOKUP($R157,武学奇术!$A:$ZZ,7,FALSE)+SUM(_xlfn.XLOOKUP(S157:AG157,增益!$A:$A,增益!$G:$G,0))</f>
        <v>0</v>
      </c>
      <c r="AS157" s="21" cm="1">
        <f t="array" ref="AS157">VLOOKUP($R157,武学奇术!$A:$ZZ,8,FALSE)+SUM(_xlfn.XLOOKUP(S157:AG157,增益!$A:$A,增益!$H:$H,0))</f>
        <v>0</v>
      </c>
      <c r="AT157">
        <f t="shared" si="23"/>
        <v>680.02</v>
      </c>
      <c r="AU157">
        <f t="shared" si="24"/>
        <v>1288.54</v>
      </c>
      <c r="AV157" s="26" cm="1">
        <f t="array" ref="AV157">IF($F$11-$I$4+VLOOKUP($R157,武学奇术!$A:$ZZ,9,FALSE)+SUM(_xlfn.XLOOKUP(S157:AG157,增益!$A:$A,增益!$I:$I,0))&gt;0,($F$11-$I$4+VLOOKUP($R157,武学奇术!$A:$ZZ,9,FALSE)+SUM(_xlfn.XLOOKUP(S157:AG157,增益!$A:$A,增益!$I:$I,0)))/200,($F$11-$I$4+VLOOKUP($R157,武学奇术!$A:$ZZ,9,FALSE)+SUM(_xlfn.XLOOKUP(S157:AG157,增益!$A:$A,增益!$I:$I,0)))/100)</f>
        <v>0</v>
      </c>
      <c r="AW157" s="26" cm="1">
        <f t="array" ref="AW157">$G$11+VLOOKUP($R157,武学奇术!$A:$ZZ,10,FALSE)+SUM(_xlfn.XLOOKUP(S157:AG157,增益!$A:$A,增益!$J:$J,0))</f>
        <v>0.15</v>
      </c>
      <c r="AX157">
        <f t="shared" si="25"/>
        <v>0</v>
      </c>
      <c r="AY157">
        <f t="shared" si="26"/>
        <v>0</v>
      </c>
      <c r="AZ157" s="26" cm="1">
        <f t="array" ref="AZ157">IF($F$12-$I$4+VLOOKUP($R157,武学奇术!$A:$ZZ,11,FALSE)+SUM(_xlfn.XLOOKUP(S157:AG157,增益!$A:$A,增益!$K:$K,0))&gt;0,($F$12-$I$4+VLOOKUP($R157,武学奇术!$A:$ZZ,11,FALSE)+SUM(_xlfn.XLOOKUP(S157:AG157,增益!$A:$A,增益!$K:$K,0)))/200,($F$12-$I$4+VLOOKUP($R157,武学奇术!$A:$ZZ,11,FALSE)+SUM(_xlfn.XLOOKUP(S157:AG157,增益!$A:$A,增益!$K:$K,0)))/100)</f>
        <v>-0.3</v>
      </c>
      <c r="BA157" s="26" cm="1">
        <f t="array" ref="BA157">$G$12+VLOOKUP($R157,武学奇术!$A:$ZZ,12,FALSE)+SUM(_xlfn.XLOOKUP(S157:AG157,增益!$A:$A,增益!$L:$L,0))</f>
        <v>0</v>
      </c>
      <c r="BB157">
        <f t="shared" si="27"/>
        <v>0</v>
      </c>
      <c r="BC157">
        <f t="shared" si="28"/>
        <v>0</v>
      </c>
      <c r="BD157" s="26" cm="1">
        <f t="array" ref="BD157">IF($F$13-$I$4+VLOOKUP($R157,武学奇术!$A:$ZZ,13,FALSE)+SUM(_xlfn.XLOOKUP(S157:AG157,增益!$A:$A,增益!$M:$M,0))&gt;0,($F$13-$I$4+VLOOKUP($R157,武学奇术!$A:$ZZ,13,FALSE)+SUM(_xlfn.XLOOKUP(S157:AG157,增益!$A:$A,增益!$K:$K,0)))/200,($F$13-$I$4+VLOOKUP($R157,武学奇术!$A:$ZZ,13,FALSE)+SUM(_xlfn.XLOOKUP(S157:AG157,增益!$A:$A,增益!$M:$M,0)))/100)</f>
        <v>-0.3</v>
      </c>
      <c r="BE157" s="26" cm="1">
        <f t="array" ref="BE157">$G$13+VLOOKUP($R157,武学奇术!$A:$ZZ,14,FALSE)+SUM(_xlfn.XLOOKUP(S157:AG157,增益!$A:$A,增益!$N:$N,0))</f>
        <v>0</v>
      </c>
      <c r="BF157">
        <f t="shared" si="29"/>
        <v>0</v>
      </c>
      <c r="BG157">
        <f t="shared" si="30"/>
        <v>0</v>
      </c>
      <c r="BH157" s="26" cm="1">
        <f t="array" ref="BH157">IF($F$14-$I$4+VLOOKUP($R157,武学奇术!$A:$ZZ,15,FALSE)+SUM(_xlfn.XLOOKUP(S157:AG157,增益!$A:$A,增益!$O:$O,0))&gt;0,($F$14-$I$4+VLOOKUP($R157,武学奇术!$A:$ZZ,15,FALSE)+SUM(_xlfn.XLOOKUP(S157:AG157,增益!$A:$A,增益!$O:$O,0)))/200,($F$14-$I$4+VLOOKUP($R157,武学奇术!$A:$ZZ,15,FALSE)+SUM(_xlfn.XLOOKUP(S157:AG157,增益!$A:$A,增益!$O:$O,0)))/100)</f>
        <v>-0.3</v>
      </c>
      <c r="BI157" s="26" cm="1">
        <f t="array" ref="BI157">$G$14+VLOOKUP($R157,武学奇术!$A:$ZZ,16,FALSE)+SUM(_xlfn.XLOOKUP(S157:AG157,增益!$A:$A,增益!$P:$P,0))</f>
        <v>0</v>
      </c>
      <c r="BJ157" s="21">
        <f>MIN(IF(VLOOKUP($R157,武学奇术!$A:$ZZ,23,FALSE)=1,100%,$B$8),100%)</f>
        <v>0.8229</v>
      </c>
      <c r="BK157" s="21" cm="1">
        <f t="array" ref="BK157">IF(VLOOKUP($R157,武学奇术!$A:$ZZ,23,FALSE)=1,100%,MIN(80%,$B$9+VLOOKUP($R157,武学奇术!$A:$ZZ,17,FALSE)+SUM(_xlfn.XLOOKUP(S157:AG157,增益!$A:$A,增益!$Q:$Q,0)))+$B$11+SUM(_xlfn.XLOOKUP(S157:AG157,增益!$A:$A,增益!$U:$U,0)))*IF(VLOOKUP($R157,武学奇术!$A:$ZZ,24,FALSE)=1,0,1)</f>
        <v>0.2285</v>
      </c>
      <c r="BL157" s="21" cm="1">
        <f t="array" ref="BL157">1+$B$13+VLOOKUP($R157,武学奇术!$A:$ZZ,18,FALSE)+SUM(_xlfn.XLOOKUP(S157:AG157,增益!$A:$A,增益!$R:$R,0))</f>
        <v>1.5</v>
      </c>
      <c r="BM157" s="21" cm="1">
        <f t="array" ref="BM157">IF(VLOOKUP($R157,武学奇术!$A:$ZZ,24,FALSE)=1,100%,MIN(40%,$B$10+VLOOKUP($R157,武学奇术!$A:$ZZ,19,FALSE)+SUM(_xlfn.XLOOKUP(S157:AG157,增益!$A:$A,增益!$S:$S,0)))+$B$12+SUM(_xlfn.XLOOKUP(S157:AG157,增益!$A:$A,增益!$V:$V,0)))*IF(VLOOKUP($R157,武学奇术!$A:$ZZ,23,FALSE)=1,0,1)</f>
        <v>0.4495</v>
      </c>
      <c r="BN157" s="21" cm="1">
        <f t="array" ref="BN157">1+$B$14+VLOOKUP($R157,武学奇术!$A:$ZZ,20,FALSE)+SUM(_xlfn.XLOOKUP(S157:AG157,增益!$A:$A,增益!$T:$T,0))</f>
        <v>1.572</v>
      </c>
      <c r="BO157" s="21">
        <f t="shared" si="31"/>
        <v>0.18803265</v>
      </c>
      <c r="BP157" s="21">
        <f t="shared" si="32"/>
        <v>0.2649738</v>
      </c>
      <c r="BQ157" s="21">
        <f>IF(VLOOKUP($R157,武学奇术!$A:$ZZ,22,FALSE)=1,0,(1-$BJ157))*(1-$BM157)</f>
        <v>0.09749355</v>
      </c>
      <c r="BR157" s="21" cm="1">
        <f t="array" ref="BR157">SUM(_xlfn.XLOOKUP(S157:AG157,增益!$A:$A,增益!$W:$W,0))+$I$5</f>
        <v>0.06</v>
      </c>
    </row>
    <row r="158" spans="11:70">
      <c r="K158" s="24">
        <f>$L158*VLOOKUP($R158,武学奇术!$A:$ZZ,31,FALSE)</f>
        <v>14655.5949371086</v>
      </c>
      <c r="L158" s="24">
        <f t="shared" si="22"/>
        <v>29311.1898742173</v>
      </c>
      <c r="M158" s="24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BL158*$Q158*(1+IF(VLOOKUP($R158,武学奇术!$A:$ZZ,30,FALSE)="流血",$B$21,0))*(1+$BR158)</f>
        <v>26124.76944273</v>
      </c>
      <c r="N158" s="24">
        <f>(($AP158*$AI158+$AJ158)*(1+$AQ158)*(1+$AR158)+($AU158*IF($G$1="鸣金",$AK158,$AI158)+IF($G$1="鸣金",$AL158*1.5,0))*(1+$AV158)*(1+$AW158)+($AY158*IF($G$1="裂石",$AK158,$AI158)+IF($G$1="裂石",$AL158*1.5,0))*(1+$AZ158)*(1+$BA158)+($BC158*IF($G$1="牵丝",$AK158,$AI158)+IF($G$1="牵丝",$AL158*1.5,0))*(1+$BD158)*(1+$BE158)+($BG158*IF($G$1="破竹",$AK158,$AI158)+IF($G$1="破竹",$AL158*1.5,0))*(1+$BH158)*(1+$BI158))*(1+$AM158)*$BN158*$Q158*(1+IF(VLOOKUP($R158,武学奇术!$A:$ZZ,30,FALSE)="流血",$B$21,0))*(1+$BR158)</f>
        <v>42250.8283563223</v>
      </c>
      <c r="O158" s="24">
        <f>((($AO158+$AP158)/2*$AI158+$AJ158)*(1+$AQ158)*(1+$AR158)+(($AT158+$AU158)/2*IF($G$1="鸣金",$AK158,$AI158)+IF($G$1="鸣金",$AL158*1.5,0))*(1+$AV158)*(1+$AW158)+(($AX158+$AY158)/2*IF($G$1="裂石",$AK158,$AI158)+IF($G$1="裂石",$AL158*1.5,0))*(1+$AZ158)*(1+$BA158)+(($BB158+$BC158)/2*IF($G$1="牵丝",$AK158,$AI158)+IF($G$1="牵丝",$AL158*1.5,0))*(1+$BD158)*(1+$BE158)+(($BF158+$BG158)/2*IF($G$1="破竹",$AK158,$AI158)+IF($G$1="破竹",$AL158*1.5,0))*(1+$BH158)*(1+$BI158))*(1+$AM158)*$Q158*(1+IF(VLOOKUP($R158,武学奇术!$A:$ZZ,30,FALSE)="流血",$B$21,0))*(1+$BR158)</f>
        <v>17416.51296182</v>
      </c>
      <c r="P158" s="24">
        <f>((($AO158*$AI158+$AJ158)*(1+$AQ158)*(1+$AR158)+($AT158*IF($G$1="鸣金",$AK158,$AI158)+IF($G$1="鸣金",$AL158*1.5,0))*(1+$AV158)*(1+$AW158)+($AX158*IF($G$1="裂石",$AK158,$AI158)+IF($G$1="裂石",$AL158*1.5,0))*(1+$AZ158)*(1+$BA158)+($BB158*IF($G$1="牵丝",$AK158,$AI158)+IF($G$1="牵丝",$AL158*1.5,0))*(1+$BD158)*(1+$BE158)+($BF158*IF($G$1="破竹",$AK158,$AI158)+IF($G$1="破竹",$AL158*1.5,0))*(1+$BH158)*(1+$BI158))*(1+$AM158))*$Q158*(1+IF(VLOOKUP($R158,武学奇术!$A:$ZZ,30,FALSE)="流血",$B$21,0))*(1+$BR158)</f>
        <v>8125.80193102158</v>
      </c>
      <c r="Q158" s="31">
        <v>4</v>
      </c>
      <c r="R158" s="32" t="s">
        <v>194</v>
      </c>
      <c r="S158" s="32" t="s">
        <v>87</v>
      </c>
      <c r="T158" s="32" t="s">
        <v>96</v>
      </c>
      <c r="U158" s="32" t="s">
        <v>97</v>
      </c>
      <c r="V158" s="32" t="s">
        <v>73</v>
      </c>
      <c r="W158" s="32" t="s">
        <v>111</v>
      </c>
      <c r="X158" s="32" t="s">
        <v>127</v>
      </c>
      <c r="Y158" s="32" t="s">
        <v>73</v>
      </c>
      <c r="Z158" s="32" t="s">
        <v>73</v>
      </c>
      <c r="AA158" s="32" t="s">
        <v>81</v>
      </c>
      <c r="AB158" s="32" t="s">
        <v>75</v>
      </c>
      <c r="AC158" s="32" t="s">
        <v>76</v>
      </c>
      <c r="AD158" s="32" t="s">
        <v>82</v>
      </c>
      <c r="AE158" s="32" t="s">
        <v>73</v>
      </c>
      <c r="AF158" s="32" t="s">
        <v>73</v>
      </c>
      <c r="AG158" s="32" t="s">
        <v>172</v>
      </c>
      <c r="AH158" t="str">
        <f>VLOOKUP($R158,武学奇术!$A:$ZZ,25,FALSE)</f>
        <v>单体奇术</v>
      </c>
      <c r="AI158" s="21">
        <f>VLOOKUP($R158,武学奇术!$A:$ZZ,26,FALSE)</f>
        <v>0.236</v>
      </c>
      <c r="AJ158" s="22">
        <f>VLOOKUP($R158,武学奇术!$A:$ZZ,27,FALSE)*(1+IF(OR($AH158=$F$4,$AH158=$F$5),$B$22,0))</f>
        <v>46</v>
      </c>
      <c r="AK158" s="21">
        <f>VLOOKUP($R158,武学奇术!$A:$ZZ,28,FALSE)</f>
        <v>0.354</v>
      </c>
      <c r="AL158" s="22">
        <f>VLOOKUP($R158,武学奇术!$A:$ZZ,29,FALSE)*(1+IF(OR($AH158=$F$4,$AH158=$F$5),$B$22,0))</f>
        <v>0</v>
      </c>
      <c r="AM158" s="21" cm="1">
        <f t="array" ref="AM158">$G$3+IFERROR(VLOOKUP($AH158,$F$4:$G$7,2,FALSE),0)+VLOOKUP($R158,武学奇术!$A:$ZZ,2,FALSE)+SUM(_xlfn.XLOOKUP($S158:$AG158,增益!$A:$A,增益!$B:$B,0))</f>
        <v>1.203</v>
      </c>
      <c r="AN158" s="21" cm="1">
        <f t="array" ref="AN158">VLOOKUP($R158,武学奇术!$A:$ZZ,5,FALSE)+SUM(_xlfn.XLOOKUP($S158:$AG158,增益!$A:$A,增益!$E:$E,0))</f>
        <v>0</v>
      </c>
      <c r="AO158" cm="1">
        <f t="array" ref="AO158">$D$10*(1+$AN158)+VLOOKUP($R158,武学奇术!$A:$ZZ,3,FALSE)+SUM(_xlfn.XLOOKUP($S158:$AG158,增益!$A:$A,增益!$C:$C,0))-$I$2</f>
        <v>1825.28</v>
      </c>
      <c r="AP158" cm="1">
        <f t="array" ref="AP158">$E$10*(1+$AN158)+VLOOKUP($R158,武学奇术!$A:$ZZ,4,FALSE)+SUM(_xlfn.XLOOKUP($S158:$AG158,增益!$A:$A,增益!$D:$D,0))-$I$2</f>
        <v>7757.36</v>
      </c>
      <c r="AQ158" s="26" cm="1">
        <f t="array" ref="AQ158">IF($F$10-$I$3+VLOOKUP($R158,武学奇术!$A:$ZZ,6,FALSE)+SUM(_xlfn.XLOOKUP(S158:AG158,增益!$A:$A,增益!$F:$F,0))&gt;0,($F$10-$I$3+VLOOKUP($R158,武学奇术!$A:$ZZ,6,FALSE)+SUM(_xlfn.XLOOKUP(S158:AG158,增益!$A:$A,增益!$F:$F,0)))/200,($F$10-$I$3+VLOOKUP($R158,武学奇术!$A:$ZZ,6,FALSE)+SUM(_xlfn.XLOOKUP(S158:AG158,增益!$A:$A,增益!$F:$F,0)))/100)</f>
        <v>0.244</v>
      </c>
      <c r="AR158" s="26" cm="1">
        <f t="array" ref="AR158">$G$10+VLOOKUP($R158,武学奇术!$A:$ZZ,7,FALSE)+SUM(_xlfn.XLOOKUP(S158:AG158,增益!$A:$A,增益!$G:$G,0))</f>
        <v>0</v>
      </c>
      <c r="AS158" s="21" cm="1">
        <f t="array" ref="AS158">VLOOKUP($R158,武学奇术!$A:$ZZ,8,FALSE)+SUM(_xlfn.XLOOKUP(S158:AG158,增益!$A:$A,增益!$H:$H,0))</f>
        <v>0</v>
      </c>
      <c r="AT158">
        <f t="shared" si="23"/>
        <v>680.02</v>
      </c>
      <c r="AU158">
        <f t="shared" si="24"/>
        <v>1288.54</v>
      </c>
      <c r="AV158" s="26" cm="1">
        <f t="array" ref="AV158">IF($F$11-$I$4+VLOOKUP($R158,武学奇术!$A:$ZZ,9,FALSE)+SUM(_xlfn.XLOOKUP(S158:AG158,增益!$A:$A,增益!$I:$I,0))&gt;0,($F$11-$I$4+VLOOKUP($R158,武学奇术!$A:$ZZ,9,FALSE)+SUM(_xlfn.XLOOKUP(S158:AG158,增益!$A:$A,增益!$I:$I,0)))/200,($F$11-$I$4+VLOOKUP($R158,武学奇术!$A:$ZZ,9,FALSE)+SUM(_xlfn.XLOOKUP(S158:AG158,增益!$A:$A,增益!$I:$I,0)))/100)</f>
        <v>0</v>
      </c>
      <c r="AW158" s="26" cm="1">
        <f t="array" ref="AW158">$G$11+VLOOKUP($R158,武学奇术!$A:$ZZ,10,FALSE)+SUM(_xlfn.XLOOKUP(S158:AG158,增益!$A:$A,增益!$J:$J,0))</f>
        <v>0.15</v>
      </c>
      <c r="AX158">
        <f t="shared" si="25"/>
        <v>0</v>
      </c>
      <c r="AY158">
        <f t="shared" si="26"/>
        <v>0</v>
      </c>
      <c r="AZ158" s="26" cm="1">
        <f t="array" ref="AZ158">IF($F$12-$I$4+VLOOKUP($R158,武学奇术!$A:$ZZ,11,FALSE)+SUM(_xlfn.XLOOKUP(S158:AG158,增益!$A:$A,增益!$K:$K,0))&gt;0,($F$12-$I$4+VLOOKUP($R158,武学奇术!$A:$ZZ,11,FALSE)+SUM(_xlfn.XLOOKUP(S158:AG158,增益!$A:$A,增益!$K:$K,0)))/200,($F$12-$I$4+VLOOKUP($R158,武学奇术!$A:$ZZ,11,FALSE)+SUM(_xlfn.XLOOKUP(S158:AG158,增益!$A:$A,增益!$K:$K,0)))/100)</f>
        <v>-0.3</v>
      </c>
      <c r="BA158" s="26" cm="1">
        <f t="array" ref="BA158">$G$12+VLOOKUP($R158,武学奇术!$A:$ZZ,12,FALSE)+SUM(_xlfn.XLOOKUP(S158:AG158,增益!$A:$A,增益!$L:$L,0))</f>
        <v>0</v>
      </c>
      <c r="BB158">
        <f t="shared" si="27"/>
        <v>0</v>
      </c>
      <c r="BC158">
        <f t="shared" si="28"/>
        <v>0</v>
      </c>
      <c r="BD158" s="26" cm="1">
        <f t="array" ref="BD158">IF($F$13-$I$4+VLOOKUP($R158,武学奇术!$A:$ZZ,13,FALSE)+SUM(_xlfn.XLOOKUP(S158:AG158,增益!$A:$A,增益!$M:$M,0))&gt;0,($F$13-$I$4+VLOOKUP($R158,武学奇术!$A:$ZZ,13,FALSE)+SUM(_xlfn.XLOOKUP(S158:AG158,增益!$A:$A,增益!$K:$K,0)))/200,($F$13-$I$4+VLOOKUP($R158,武学奇术!$A:$ZZ,13,FALSE)+SUM(_xlfn.XLOOKUP(S158:AG158,增益!$A:$A,增益!$M:$M,0)))/100)</f>
        <v>-0.3</v>
      </c>
      <c r="BE158" s="26" cm="1">
        <f t="array" ref="BE158">$G$13+VLOOKUP($R158,武学奇术!$A:$ZZ,14,FALSE)+SUM(_xlfn.XLOOKUP(S158:AG158,增益!$A:$A,增益!$N:$N,0))</f>
        <v>0</v>
      </c>
      <c r="BF158">
        <f t="shared" si="29"/>
        <v>0</v>
      </c>
      <c r="BG158">
        <f t="shared" si="30"/>
        <v>0</v>
      </c>
      <c r="BH158" s="26" cm="1">
        <f t="array" ref="BH158">IF($F$14-$I$4+VLOOKUP($R158,武学奇术!$A:$ZZ,15,FALSE)+SUM(_xlfn.XLOOKUP(S158:AG158,增益!$A:$A,增益!$O:$O,0))&gt;0,($F$14-$I$4+VLOOKUP($R158,武学奇术!$A:$ZZ,15,FALSE)+SUM(_xlfn.XLOOKUP(S158:AG158,增益!$A:$A,增益!$O:$O,0)))/200,($F$14-$I$4+VLOOKUP($R158,武学奇术!$A:$ZZ,15,FALSE)+SUM(_xlfn.XLOOKUP(S158:AG158,增益!$A:$A,增益!$O:$O,0)))/100)</f>
        <v>-0.3</v>
      </c>
      <c r="BI158" s="26" cm="1">
        <f t="array" ref="BI158">$G$14+VLOOKUP($R158,武学奇术!$A:$ZZ,16,FALSE)+SUM(_xlfn.XLOOKUP(S158:AG158,增益!$A:$A,增益!$P:$P,0))</f>
        <v>0</v>
      </c>
      <c r="BJ158" s="21">
        <f>MIN(IF(VLOOKUP($R158,武学奇术!$A:$ZZ,23,FALSE)=1,100%,$B$8),100%)</f>
        <v>0.8229</v>
      </c>
      <c r="BK158" s="21" cm="1">
        <f t="array" ref="BK158">IF(VLOOKUP($R158,武学奇术!$A:$ZZ,23,FALSE)=1,100%,MIN(80%,$B$9+VLOOKUP($R158,武学奇术!$A:$ZZ,17,FALSE)+SUM(_xlfn.XLOOKUP(S158:AG158,增益!$A:$A,增益!$Q:$Q,0)))+$B$11+SUM(_xlfn.XLOOKUP(S158:AG158,增益!$A:$A,增益!$U:$U,0)))*IF(VLOOKUP($R158,武学奇术!$A:$ZZ,24,FALSE)=1,0,1)</f>
        <v>0.2285</v>
      </c>
      <c r="BL158" s="21" cm="1">
        <f t="array" ref="BL158">1+$B$13+VLOOKUP($R158,武学奇术!$A:$ZZ,18,FALSE)+SUM(_xlfn.XLOOKUP(S158:AG158,增益!$A:$A,增益!$R:$R,0))</f>
        <v>1.5</v>
      </c>
      <c r="BM158" s="21" cm="1">
        <f t="array" ref="BM158">IF(VLOOKUP($R158,武学奇术!$A:$ZZ,24,FALSE)=1,100%,MIN(40%,$B$10+VLOOKUP($R158,武学奇术!$A:$ZZ,19,FALSE)+SUM(_xlfn.XLOOKUP(S158:AG158,增益!$A:$A,增益!$S:$S,0)))+$B$12+SUM(_xlfn.XLOOKUP(S158:AG158,增益!$A:$A,增益!$V:$V,0)))*IF(VLOOKUP($R158,武学奇术!$A:$ZZ,23,FALSE)=1,0,1)</f>
        <v>0.4495</v>
      </c>
      <c r="BN158" s="21" cm="1">
        <f t="array" ref="BN158">1+$B$14+VLOOKUP($R158,武学奇术!$A:$ZZ,20,FALSE)+SUM(_xlfn.XLOOKUP(S158:AG158,增益!$A:$A,增益!$T:$T,0))</f>
        <v>1.582</v>
      </c>
      <c r="BO158" s="21">
        <f t="shared" si="31"/>
        <v>0.18803265</v>
      </c>
      <c r="BP158" s="21">
        <f t="shared" si="32"/>
        <v>0.2649738</v>
      </c>
      <c r="BQ158" s="21">
        <f>IF(VLOOKUP($R158,武学奇术!$A:$ZZ,22,FALSE)=1,0,(1-$BJ158))*(1-$BM158)</f>
        <v>0.09749355</v>
      </c>
      <c r="BR158" s="21" cm="1">
        <f t="array" ref="BR158">SUM(_xlfn.XLOOKUP(S158:AG158,增益!$A:$A,增益!$W:$W,0))+$I$5</f>
        <v>0.06</v>
      </c>
    </row>
    <row r="159" spans="11:70">
      <c r="K159" s="24">
        <f>$L159*VLOOKUP($R159,武学奇术!$A:$ZZ,31,FALSE)</f>
        <v>7327.79746855432</v>
      </c>
      <c r="L159" s="24">
        <f t="shared" si="22"/>
        <v>14655.5949371086</v>
      </c>
      <c r="M159" s="24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BL159*$Q159*(1+IF(VLOOKUP($R159,武学奇术!$A:$ZZ,30,FALSE)="流血",$B$21,0))*(1+$BR159)</f>
        <v>13062.384721365</v>
      </c>
      <c r="N159" s="24">
        <f>(($AP159*$AI159+$AJ159)*(1+$AQ159)*(1+$AR159)+($AU159*IF($G$1="鸣金",$AK159,$AI159)+IF($G$1="鸣金",$AL159*1.5,0))*(1+$AV159)*(1+$AW159)+($AY159*IF($G$1="裂石",$AK159,$AI159)+IF($G$1="裂石",$AL159*1.5,0))*(1+$AZ159)*(1+$BA159)+($BC159*IF($G$1="牵丝",$AK159,$AI159)+IF($G$1="牵丝",$AL159*1.5,0))*(1+$BD159)*(1+$BE159)+($BG159*IF($G$1="破竹",$AK159,$AI159)+IF($G$1="破竹",$AL159*1.5,0))*(1+$BH159)*(1+$BI159))*(1+$AM159)*$BN159*$Q159*(1+IF(VLOOKUP($R159,武学奇术!$A:$ZZ,30,FALSE)="流血",$B$21,0))*(1+$BR159)</f>
        <v>21125.4141781612</v>
      </c>
      <c r="O159" s="24">
        <f>((($AO159+$AP159)/2*$AI159+$AJ159)*(1+$AQ159)*(1+$AR159)+(($AT159+$AU159)/2*IF($G$1="鸣金",$AK159,$AI159)+IF($G$1="鸣金",$AL159*1.5,0))*(1+$AV159)*(1+$AW159)+(($AX159+$AY159)/2*IF($G$1="裂石",$AK159,$AI159)+IF($G$1="裂石",$AL159*1.5,0))*(1+$AZ159)*(1+$BA159)+(($BB159+$BC159)/2*IF($G$1="牵丝",$AK159,$AI159)+IF($G$1="牵丝",$AL159*1.5,0))*(1+$BD159)*(1+$BE159)+(($BF159+$BG159)/2*IF($G$1="破竹",$AK159,$AI159)+IF($G$1="破竹",$AL159*1.5,0))*(1+$BH159)*(1+$BI159))*(1+$AM159)*$Q159*(1+IF(VLOOKUP($R159,武学奇术!$A:$ZZ,30,FALSE)="流血",$B$21,0))*(1+$BR159)</f>
        <v>8708.25648091</v>
      </c>
      <c r="P159" s="24">
        <f>((($AO159*$AI159+$AJ159)*(1+$AQ159)*(1+$AR159)+($AT159*IF($G$1="鸣金",$AK159,$AI159)+IF($G$1="鸣金",$AL159*1.5,0))*(1+$AV159)*(1+$AW159)+($AX159*IF($G$1="裂石",$AK159,$AI159)+IF($G$1="裂石",$AL159*1.5,0))*(1+$AZ159)*(1+$BA159)+($BB159*IF($G$1="牵丝",$AK159,$AI159)+IF($G$1="牵丝",$AL159*1.5,0))*(1+$BD159)*(1+$BE159)+($BF159*IF($G$1="破竹",$AK159,$AI159)+IF($G$1="破竹",$AL159*1.5,0))*(1+$BH159)*(1+$BI159))*(1+$AM159))*$Q159*(1+IF(VLOOKUP($R159,武学奇术!$A:$ZZ,30,FALSE)="流血",$B$21,0))*(1+$BR159)</f>
        <v>4062.90096551079</v>
      </c>
      <c r="Q159" s="31">
        <v>2</v>
      </c>
      <c r="R159" s="32" t="s">
        <v>194</v>
      </c>
      <c r="S159" s="32" t="s">
        <v>87</v>
      </c>
      <c r="T159" s="32" t="s">
        <v>96</v>
      </c>
      <c r="U159" s="32" t="s">
        <v>97</v>
      </c>
      <c r="V159" s="32" t="s">
        <v>73</v>
      </c>
      <c r="W159" s="32" t="s">
        <v>111</v>
      </c>
      <c r="X159" s="32" t="s">
        <v>127</v>
      </c>
      <c r="Y159" s="32" t="s">
        <v>73</v>
      </c>
      <c r="Z159" s="32" t="s">
        <v>73</v>
      </c>
      <c r="AA159" s="32" t="s">
        <v>81</v>
      </c>
      <c r="AB159" s="32" t="s">
        <v>75</v>
      </c>
      <c r="AC159" s="32" t="s">
        <v>89</v>
      </c>
      <c r="AD159" s="32" t="s">
        <v>82</v>
      </c>
      <c r="AE159" s="32" t="s">
        <v>73</v>
      </c>
      <c r="AF159" s="32" t="s">
        <v>73</v>
      </c>
      <c r="AG159" s="32" t="s">
        <v>172</v>
      </c>
      <c r="AH159" t="str">
        <f>VLOOKUP($R159,武学奇术!$A:$ZZ,25,FALSE)</f>
        <v>单体奇术</v>
      </c>
      <c r="AI159" s="21">
        <f>VLOOKUP($R159,武学奇术!$A:$ZZ,26,FALSE)</f>
        <v>0.236</v>
      </c>
      <c r="AJ159" s="22">
        <f>VLOOKUP($R159,武学奇术!$A:$ZZ,27,FALSE)*(1+IF(OR($AH159=$F$4,$AH159=$F$5),$B$22,0))</f>
        <v>46</v>
      </c>
      <c r="AK159" s="21">
        <f>VLOOKUP($R159,武学奇术!$A:$ZZ,28,FALSE)</f>
        <v>0.354</v>
      </c>
      <c r="AL159" s="22">
        <f>VLOOKUP($R159,武学奇术!$A:$ZZ,29,FALSE)*(1+IF(OR($AH159=$F$4,$AH159=$F$5),$B$22,0))</f>
        <v>0</v>
      </c>
      <c r="AM159" s="21" cm="1">
        <f t="array" ref="AM159">$G$3+IFERROR(VLOOKUP($AH159,$F$4:$G$7,2,FALSE),0)+VLOOKUP($R159,武学奇术!$A:$ZZ,2,FALSE)+SUM(_xlfn.XLOOKUP($S159:$AG159,增益!$A:$A,增益!$B:$B,0))</f>
        <v>1.203</v>
      </c>
      <c r="AN159" s="21" cm="1">
        <f t="array" ref="AN159">VLOOKUP($R159,武学奇术!$A:$ZZ,5,FALSE)+SUM(_xlfn.XLOOKUP($S159:$AG159,增益!$A:$A,增益!$E:$E,0))</f>
        <v>0</v>
      </c>
      <c r="AO159" cm="1">
        <f t="array" ref="AO159">$D$10*(1+$AN159)+VLOOKUP($R159,武学奇术!$A:$ZZ,3,FALSE)+SUM(_xlfn.XLOOKUP($S159:$AG159,增益!$A:$A,增益!$C:$C,0))-$I$2</f>
        <v>1825.28</v>
      </c>
      <c r="AP159" cm="1">
        <f t="array" ref="AP159">$E$10*(1+$AN159)+VLOOKUP($R159,武学奇术!$A:$ZZ,4,FALSE)+SUM(_xlfn.XLOOKUP($S159:$AG159,增益!$A:$A,增益!$D:$D,0))-$I$2</f>
        <v>7757.36</v>
      </c>
      <c r="AQ159" s="26" cm="1">
        <f t="array" ref="AQ159">IF($F$10-$I$3+VLOOKUP($R159,武学奇术!$A:$ZZ,6,FALSE)+SUM(_xlfn.XLOOKUP(S159:AG159,增益!$A:$A,增益!$F:$F,0))&gt;0,($F$10-$I$3+VLOOKUP($R159,武学奇术!$A:$ZZ,6,FALSE)+SUM(_xlfn.XLOOKUP(S159:AG159,增益!$A:$A,增益!$F:$F,0)))/200,($F$10-$I$3+VLOOKUP($R159,武学奇术!$A:$ZZ,6,FALSE)+SUM(_xlfn.XLOOKUP(S159:AG159,增益!$A:$A,增益!$F:$F,0)))/100)</f>
        <v>0.244</v>
      </c>
      <c r="AR159" s="26" cm="1">
        <f t="array" ref="AR159">$G$10+VLOOKUP($R159,武学奇术!$A:$ZZ,7,FALSE)+SUM(_xlfn.XLOOKUP(S159:AG159,增益!$A:$A,增益!$G:$G,0))</f>
        <v>0</v>
      </c>
      <c r="AS159" s="21" cm="1">
        <f t="array" ref="AS159">VLOOKUP($R159,武学奇术!$A:$ZZ,8,FALSE)+SUM(_xlfn.XLOOKUP(S159:AG159,增益!$A:$A,增益!$H:$H,0))</f>
        <v>0</v>
      </c>
      <c r="AT159">
        <f t="shared" si="23"/>
        <v>680.02</v>
      </c>
      <c r="AU159">
        <f t="shared" si="24"/>
        <v>1288.54</v>
      </c>
      <c r="AV159" s="26" cm="1">
        <f t="array" ref="AV159">IF($F$11-$I$4+VLOOKUP($R159,武学奇术!$A:$ZZ,9,FALSE)+SUM(_xlfn.XLOOKUP(S159:AG159,增益!$A:$A,增益!$I:$I,0))&gt;0,($F$11-$I$4+VLOOKUP($R159,武学奇术!$A:$ZZ,9,FALSE)+SUM(_xlfn.XLOOKUP(S159:AG159,增益!$A:$A,增益!$I:$I,0)))/200,($F$11-$I$4+VLOOKUP($R159,武学奇术!$A:$ZZ,9,FALSE)+SUM(_xlfn.XLOOKUP(S159:AG159,增益!$A:$A,增益!$I:$I,0)))/100)</f>
        <v>0</v>
      </c>
      <c r="AW159" s="26" cm="1">
        <f t="array" ref="AW159">$G$11+VLOOKUP($R159,武学奇术!$A:$ZZ,10,FALSE)+SUM(_xlfn.XLOOKUP(S159:AG159,增益!$A:$A,增益!$J:$J,0))</f>
        <v>0.15</v>
      </c>
      <c r="AX159">
        <f t="shared" si="25"/>
        <v>0</v>
      </c>
      <c r="AY159">
        <f t="shared" si="26"/>
        <v>0</v>
      </c>
      <c r="AZ159" s="26" cm="1">
        <f t="array" ref="AZ159">IF($F$12-$I$4+VLOOKUP($R159,武学奇术!$A:$ZZ,11,FALSE)+SUM(_xlfn.XLOOKUP(S159:AG159,增益!$A:$A,增益!$K:$K,0))&gt;0,($F$12-$I$4+VLOOKUP($R159,武学奇术!$A:$ZZ,11,FALSE)+SUM(_xlfn.XLOOKUP(S159:AG159,增益!$A:$A,增益!$K:$K,0)))/200,($F$12-$I$4+VLOOKUP($R159,武学奇术!$A:$ZZ,11,FALSE)+SUM(_xlfn.XLOOKUP(S159:AG159,增益!$A:$A,增益!$K:$K,0)))/100)</f>
        <v>-0.3</v>
      </c>
      <c r="BA159" s="26" cm="1">
        <f t="array" ref="BA159">$G$12+VLOOKUP($R159,武学奇术!$A:$ZZ,12,FALSE)+SUM(_xlfn.XLOOKUP(S159:AG159,增益!$A:$A,增益!$L:$L,0))</f>
        <v>0</v>
      </c>
      <c r="BB159">
        <f t="shared" si="27"/>
        <v>0</v>
      </c>
      <c r="BC159">
        <f t="shared" si="28"/>
        <v>0</v>
      </c>
      <c r="BD159" s="26" cm="1">
        <f t="array" ref="BD159">IF($F$13-$I$4+VLOOKUP($R159,武学奇术!$A:$ZZ,13,FALSE)+SUM(_xlfn.XLOOKUP(S159:AG159,增益!$A:$A,增益!$M:$M,0))&gt;0,($F$13-$I$4+VLOOKUP($R159,武学奇术!$A:$ZZ,13,FALSE)+SUM(_xlfn.XLOOKUP(S159:AG159,增益!$A:$A,增益!$K:$K,0)))/200,($F$13-$I$4+VLOOKUP($R159,武学奇术!$A:$ZZ,13,FALSE)+SUM(_xlfn.XLOOKUP(S159:AG159,增益!$A:$A,增益!$M:$M,0)))/100)</f>
        <v>-0.3</v>
      </c>
      <c r="BE159" s="26" cm="1">
        <f t="array" ref="BE159">$G$13+VLOOKUP($R159,武学奇术!$A:$ZZ,14,FALSE)+SUM(_xlfn.XLOOKUP(S159:AG159,增益!$A:$A,增益!$N:$N,0))</f>
        <v>0</v>
      </c>
      <c r="BF159">
        <f t="shared" si="29"/>
        <v>0</v>
      </c>
      <c r="BG159">
        <f t="shared" si="30"/>
        <v>0</v>
      </c>
      <c r="BH159" s="26" cm="1">
        <f t="array" ref="BH159">IF($F$14-$I$4+VLOOKUP($R159,武学奇术!$A:$ZZ,15,FALSE)+SUM(_xlfn.XLOOKUP(S159:AG159,增益!$A:$A,增益!$O:$O,0))&gt;0,($F$14-$I$4+VLOOKUP($R159,武学奇术!$A:$ZZ,15,FALSE)+SUM(_xlfn.XLOOKUP(S159:AG159,增益!$A:$A,增益!$O:$O,0)))/200,($F$14-$I$4+VLOOKUP($R159,武学奇术!$A:$ZZ,15,FALSE)+SUM(_xlfn.XLOOKUP(S159:AG159,增益!$A:$A,增益!$O:$O,0)))/100)</f>
        <v>-0.3</v>
      </c>
      <c r="BI159" s="26" cm="1">
        <f t="array" ref="BI159">$G$14+VLOOKUP($R159,武学奇术!$A:$ZZ,16,FALSE)+SUM(_xlfn.XLOOKUP(S159:AG159,增益!$A:$A,增益!$P:$P,0))</f>
        <v>0</v>
      </c>
      <c r="BJ159" s="21">
        <f>MIN(IF(VLOOKUP($R159,武学奇术!$A:$ZZ,23,FALSE)=1,100%,$B$8),100%)</f>
        <v>0.8229</v>
      </c>
      <c r="BK159" s="21" cm="1">
        <f t="array" ref="BK159">IF(VLOOKUP($R159,武学奇术!$A:$ZZ,23,FALSE)=1,100%,MIN(80%,$B$9+VLOOKUP($R159,武学奇术!$A:$ZZ,17,FALSE)+SUM(_xlfn.XLOOKUP(S159:AG159,增益!$A:$A,增益!$Q:$Q,0)))+$B$11+SUM(_xlfn.XLOOKUP(S159:AG159,增益!$A:$A,增益!$U:$U,0)))*IF(VLOOKUP($R159,武学奇术!$A:$ZZ,24,FALSE)=1,0,1)</f>
        <v>0.2285</v>
      </c>
      <c r="BL159" s="21" cm="1">
        <f t="array" ref="BL159">1+$B$13+VLOOKUP($R159,武学奇术!$A:$ZZ,18,FALSE)+SUM(_xlfn.XLOOKUP(S159:AG159,增益!$A:$A,增益!$R:$R,0))</f>
        <v>1.5</v>
      </c>
      <c r="BM159" s="21" cm="1">
        <f t="array" ref="BM159">IF(VLOOKUP($R159,武学奇术!$A:$ZZ,24,FALSE)=1,100%,MIN(40%,$B$10+VLOOKUP($R159,武学奇术!$A:$ZZ,19,FALSE)+SUM(_xlfn.XLOOKUP(S159:AG159,增益!$A:$A,增益!$S:$S,0)))+$B$12+SUM(_xlfn.XLOOKUP(S159:AG159,增益!$A:$A,增益!$V:$V,0)))*IF(VLOOKUP($R159,武学奇术!$A:$ZZ,23,FALSE)=1,0,1)</f>
        <v>0.4495</v>
      </c>
      <c r="BN159" s="21" cm="1">
        <f t="array" ref="BN159">1+$B$14+VLOOKUP($R159,武学奇术!$A:$ZZ,20,FALSE)+SUM(_xlfn.XLOOKUP(S159:AG159,增益!$A:$A,增益!$T:$T,0))</f>
        <v>1.582</v>
      </c>
      <c r="BO159" s="21">
        <f t="shared" si="31"/>
        <v>0.18803265</v>
      </c>
      <c r="BP159" s="21">
        <f t="shared" si="32"/>
        <v>0.2649738</v>
      </c>
      <c r="BQ159" s="21">
        <f>IF(VLOOKUP($R159,武学奇术!$A:$ZZ,22,FALSE)=1,0,(1-$BJ159))*(1-$BM159)</f>
        <v>0.09749355</v>
      </c>
      <c r="BR159" s="21" cm="1">
        <f t="array" ref="BR159">SUM(_xlfn.XLOOKUP(S159:AG159,增益!$A:$A,增益!$W:$W,0))+$I$5</f>
        <v>0.06</v>
      </c>
    </row>
    <row r="160" spans="11:70">
      <c r="K160" s="24">
        <f>$L160*VLOOKUP($R160,武学奇术!$A:$ZZ,31,FALSE)</f>
        <v>14715.6194230321</v>
      </c>
      <c r="L160" s="24">
        <f t="shared" si="22"/>
        <v>29431.2388460641</v>
      </c>
      <c r="M160" s="24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BL160*$Q160*(1+IF(VLOOKUP($R160,武学奇术!$A:$ZZ,30,FALSE)="流血",$B$21,0))*(1+$BR160)</f>
        <v>26124.76944273</v>
      </c>
      <c r="N160" s="24">
        <f>(($AP160*$AI160+$AJ160)*(1+$AQ160)*(1+$AR160)+($AU160*IF($G$1="鸣金",$AK160,$AI160)+IF($G$1="鸣金",$AL160*1.5,0))*(1+$AV160)*(1+$AW160)+($AY160*IF($G$1="裂石",$AK160,$AI160)+IF($G$1="裂石",$AL160*1.5,0))*(1+$AZ160)*(1+$BA160)+($BC160*IF($G$1="牵丝",$AK160,$AI160)+IF($G$1="牵丝",$AL160*1.5,0))*(1+$BD160)*(1+$BE160)+($BG160*IF($G$1="破竹",$AK160,$AI160)+IF($G$1="破竹",$AL160*1.5,0))*(1+$BH160)*(1+$BI160))*(1+$AM160)*$BN160*$Q160*(1+IF(VLOOKUP($R160,武学奇术!$A:$ZZ,30,FALSE)="流血",$B$21,0))*(1+$BR160)</f>
        <v>42517.9005962485</v>
      </c>
      <c r="O160" s="24">
        <f>((($AO160+$AP160)/2*$AI160+$AJ160)*(1+$AQ160)*(1+$AR160)+(($AT160+$AU160)/2*IF($G$1="鸣金",$AK160,$AI160)+IF($G$1="鸣金",$AL160*1.5,0))*(1+$AV160)*(1+$AW160)+(($AX160+$AY160)/2*IF($G$1="裂石",$AK160,$AI160)+IF($G$1="裂石",$AL160*1.5,0))*(1+$AZ160)*(1+$BA160)+(($BB160+$BC160)/2*IF($G$1="牵丝",$AK160,$AI160)+IF($G$1="牵丝",$AL160*1.5,0))*(1+$BD160)*(1+$BE160)+(($BF160+$BG160)/2*IF($G$1="破竹",$AK160,$AI160)+IF($G$1="破竹",$AL160*1.5,0))*(1+$BH160)*(1+$BI160))*(1+$AM160)*$Q160*(1+IF(VLOOKUP($R160,武学奇术!$A:$ZZ,30,FALSE)="流血",$B$21,0))*(1+$BR160)</f>
        <v>17416.51296182</v>
      </c>
      <c r="P160" s="24">
        <f>((($AO160*$AI160+$AJ160)*(1+$AQ160)*(1+$AR160)+($AT160*IF($G$1="鸣金",$AK160,$AI160)+IF($G$1="鸣金",$AL160*1.5,0))*(1+$AV160)*(1+$AW160)+($AX160*IF($G$1="裂石",$AK160,$AI160)+IF($G$1="裂石",$AL160*1.5,0))*(1+$AZ160)*(1+$BA160)+($BB160*IF($G$1="牵丝",$AK160,$AI160)+IF($G$1="牵丝",$AL160*1.5,0))*(1+$BD160)*(1+$BE160)+($BF160*IF($G$1="破竹",$AK160,$AI160)+IF($G$1="破竹",$AL160*1.5,0))*(1+$BH160)*(1+$BI160))*(1+$AM160))*$Q160*(1+IF(VLOOKUP($R160,武学奇术!$A:$ZZ,30,FALSE)="流血",$B$21,0))*(1+$BR160)</f>
        <v>8125.80193102158</v>
      </c>
      <c r="Q160" s="31">
        <v>4</v>
      </c>
      <c r="R160" s="32" t="s">
        <v>194</v>
      </c>
      <c r="S160" s="32" t="s">
        <v>87</v>
      </c>
      <c r="T160" s="32" t="s">
        <v>96</v>
      </c>
      <c r="U160" s="32" t="s">
        <v>97</v>
      </c>
      <c r="V160" s="32" t="s">
        <v>73</v>
      </c>
      <c r="W160" s="32" t="s">
        <v>111</v>
      </c>
      <c r="X160" s="32" t="s">
        <v>127</v>
      </c>
      <c r="Y160" s="32" t="s">
        <v>73</v>
      </c>
      <c r="Z160" s="32" t="s">
        <v>73</v>
      </c>
      <c r="AA160" s="32" t="s">
        <v>81</v>
      </c>
      <c r="AB160" s="32" t="s">
        <v>75</v>
      </c>
      <c r="AC160" s="32" t="s">
        <v>89</v>
      </c>
      <c r="AD160" s="32" t="s">
        <v>82</v>
      </c>
      <c r="AE160" s="32" t="s">
        <v>73</v>
      </c>
      <c r="AF160" s="32" t="s">
        <v>73</v>
      </c>
      <c r="AG160" s="32" t="s">
        <v>175</v>
      </c>
      <c r="AH160" t="str">
        <f>VLOOKUP($R160,武学奇术!$A:$ZZ,25,FALSE)</f>
        <v>单体奇术</v>
      </c>
      <c r="AI160" s="21">
        <f>VLOOKUP($R160,武学奇术!$A:$ZZ,26,FALSE)</f>
        <v>0.236</v>
      </c>
      <c r="AJ160" s="22">
        <f>VLOOKUP($R160,武学奇术!$A:$ZZ,27,FALSE)*(1+IF(OR($AH160=$F$4,$AH160=$F$5),$B$22,0))</f>
        <v>46</v>
      </c>
      <c r="AK160" s="21">
        <f>VLOOKUP($R160,武学奇术!$A:$ZZ,28,FALSE)</f>
        <v>0.354</v>
      </c>
      <c r="AL160" s="22">
        <f>VLOOKUP($R160,武学奇术!$A:$ZZ,29,FALSE)*(1+IF(OR($AH160=$F$4,$AH160=$F$5),$B$22,0))</f>
        <v>0</v>
      </c>
      <c r="AM160" s="21" cm="1">
        <f t="array" ref="AM160">$G$3+IFERROR(VLOOKUP($AH160,$F$4:$G$7,2,FALSE),0)+VLOOKUP($R160,武学奇术!$A:$ZZ,2,FALSE)+SUM(_xlfn.XLOOKUP($S160:$AG160,增益!$A:$A,增益!$B:$B,0))</f>
        <v>1.203</v>
      </c>
      <c r="AN160" s="21" cm="1">
        <f t="array" ref="AN160">VLOOKUP($R160,武学奇术!$A:$ZZ,5,FALSE)+SUM(_xlfn.XLOOKUP($S160:$AG160,增益!$A:$A,增益!$E:$E,0))</f>
        <v>0</v>
      </c>
      <c r="AO160" cm="1">
        <f t="array" ref="AO160">$D$10*(1+$AN160)+VLOOKUP($R160,武学奇术!$A:$ZZ,3,FALSE)+SUM(_xlfn.XLOOKUP($S160:$AG160,增益!$A:$A,增益!$C:$C,0))-$I$2</f>
        <v>1825.28</v>
      </c>
      <c r="AP160" cm="1">
        <f t="array" ref="AP160">$E$10*(1+$AN160)+VLOOKUP($R160,武学奇术!$A:$ZZ,4,FALSE)+SUM(_xlfn.XLOOKUP($S160:$AG160,增益!$A:$A,增益!$D:$D,0))-$I$2</f>
        <v>7757.36</v>
      </c>
      <c r="AQ160" s="26" cm="1">
        <f t="array" ref="AQ160">IF($F$10-$I$3+VLOOKUP($R160,武学奇术!$A:$ZZ,6,FALSE)+SUM(_xlfn.XLOOKUP(S160:AG160,增益!$A:$A,增益!$F:$F,0))&gt;0,($F$10-$I$3+VLOOKUP($R160,武学奇术!$A:$ZZ,6,FALSE)+SUM(_xlfn.XLOOKUP(S160:AG160,增益!$A:$A,增益!$F:$F,0)))/200,($F$10-$I$3+VLOOKUP($R160,武学奇术!$A:$ZZ,6,FALSE)+SUM(_xlfn.XLOOKUP(S160:AG160,增益!$A:$A,增益!$F:$F,0)))/100)</f>
        <v>0.244</v>
      </c>
      <c r="AR160" s="26" cm="1">
        <f t="array" ref="AR160">$G$10+VLOOKUP($R160,武学奇术!$A:$ZZ,7,FALSE)+SUM(_xlfn.XLOOKUP(S160:AG160,增益!$A:$A,增益!$G:$G,0))</f>
        <v>0</v>
      </c>
      <c r="AS160" s="21" cm="1">
        <f t="array" ref="AS160">VLOOKUP($R160,武学奇术!$A:$ZZ,8,FALSE)+SUM(_xlfn.XLOOKUP(S160:AG160,增益!$A:$A,增益!$H:$H,0))</f>
        <v>0</v>
      </c>
      <c r="AT160">
        <f t="shared" si="23"/>
        <v>680.02</v>
      </c>
      <c r="AU160">
        <f t="shared" si="24"/>
        <v>1288.54</v>
      </c>
      <c r="AV160" s="26" cm="1">
        <f t="array" ref="AV160">IF($F$11-$I$4+VLOOKUP($R160,武学奇术!$A:$ZZ,9,FALSE)+SUM(_xlfn.XLOOKUP(S160:AG160,增益!$A:$A,增益!$I:$I,0))&gt;0,($F$11-$I$4+VLOOKUP($R160,武学奇术!$A:$ZZ,9,FALSE)+SUM(_xlfn.XLOOKUP(S160:AG160,增益!$A:$A,增益!$I:$I,0)))/200,($F$11-$I$4+VLOOKUP($R160,武学奇术!$A:$ZZ,9,FALSE)+SUM(_xlfn.XLOOKUP(S160:AG160,增益!$A:$A,增益!$I:$I,0)))/100)</f>
        <v>0</v>
      </c>
      <c r="AW160" s="26" cm="1">
        <f t="array" ref="AW160">$G$11+VLOOKUP($R160,武学奇术!$A:$ZZ,10,FALSE)+SUM(_xlfn.XLOOKUP(S160:AG160,增益!$A:$A,增益!$J:$J,0))</f>
        <v>0.15</v>
      </c>
      <c r="AX160">
        <f t="shared" si="25"/>
        <v>0</v>
      </c>
      <c r="AY160">
        <f t="shared" si="26"/>
        <v>0</v>
      </c>
      <c r="AZ160" s="26" cm="1">
        <f t="array" ref="AZ160">IF($F$12-$I$4+VLOOKUP($R160,武学奇术!$A:$ZZ,11,FALSE)+SUM(_xlfn.XLOOKUP(S160:AG160,增益!$A:$A,增益!$K:$K,0))&gt;0,($F$12-$I$4+VLOOKUP($R160,武学奇术!$A:$ZZ,11,FALSE)+SUM(_xlfn.XLOOKUP(S160:AG160,增益!$A:$A,增益!$K:$K,0)))/200,($F$12-$I$4+VLOOKUP($R160,武学奇术!$A:$ZZ,11,FALSE)+SUM(_xlfn.XLOOKUP(S160:AG160,增益!$A:$A,增益!$K:$K,0)))/100)</f>
        <v>-0.3</v>
      </c>
      <c r="BA160" s="26" cm="1">
        <f t="array" ref="BA160">$G$12+VLOOKUP($R160,武学奇术!$A:$ZZ,12,FALSE)+SUM(_xlfn.XLOOKUP(S160:AG160,增益!$A:$A,增益!$L:$L,0))</f>
        <v>0</v>
      </c>
      <c r="BB160">
        <f t="shared" si="27"/>
        <v>0</v>
      </c>
      <c r="BC160">
        <f t="shared" si="28"/>
        <v>0</v>
      </c>
      <c r="BD160" s="26" cm="1">
        <f t="array" ref="BD160">IF($F$13-$I$4+VLOOKUP($R160,武学奇术!$A:$ZZ,13,FALSE)+SUM(_xlfn.XLOOKUP(S160:AG160,增益!$A:$A,增益!$M:$M,0))&gt;0,($F$13-$I$4+VLOOKUP($R160,武学奇术!$A:$ZZ,13,FALSE)+SUM(_xlfn.XLOOKUP(S160:AG160,增益!$A:$A,增益!$K:$K,0)))/200,($F$13-$I$4+VLOOKUP($R160,武学奇术!$A:$ZZ,13,FALSE)+SUM(_xlfn.XLOOKUP(S160:AG160,增益!$A:$A,增益!$M:$M,0)))/100)</f>
        <v>-0.3</v>
      </c>
      <c r="BE160" s="26" cm="1">
        <f t="array" ref="BE160">$G$13+VLOOKUP($R160,武学奇术!$A:$ZZ,14,FALSE)+SUM(_xlfn.XLOOKUP(S160:AG160,增益!$A:$A,增益!$N:$N,0))</f>
        <v>0</v>
      </c>
      <c r="BF160">
        <f t="shared" si="29"/>
        <v>0</v>
      </c>
      <c r="BG160">
        <f t="shared" si="30"/>
        <v>0</v>
      </c>
      <c r="BH160" s="26" cm="1">
        <f t="array" ref="BH160">IF($F$14-$I$4+VLOOKUP($R160,武学奇术!$A:$ZZ,15,FALSE)+SUM(_xlfn.XLOOKUP(S160:AG160,增益!$A:$A,增益!$O:$O,0))&gt;0,($F$14-$I$4+VLOOKUP($R160,武学奇术!$A:$ZZ,15,FALSE)+SUM(_xlfn.XLOOKUP(S160:AG160,增益!$A:$A,增益!$O:$O,0)))/200,($F$14-$I$4+VLOOKUP($R160,武学奇术!$A:$ZZ,15,FALSE)+SUM(_xlfn.XLOOKUP(S160:AG160,增益!$A:$A,增益!$O:$O,0)))/100)</f>
        <v>-0.3</v>
      </c>
      <c r="BI160" s="26" cm="1">
        <f t="array" ref="BI160">$G$14+VLOOKUP($R160,武学奇术!$A:$ZZ,16,FALSE)+SUM(_xlfn.XLOOKUP(S160:AG160,增益!$A:$A,增益!$P:$P,0))</f>
        <v>0</v>
      </c>
      <c r="BJ160" s="21">
        <f>MIN(IF(VLOOKUP($R160,武学奇术!$A:$ZZ,23,FALSE)=1,100%,$B$8),100%)</f>
        <v>0.8229</v>
      </c>
      <c r="BK160" s="21" cm="1">
        <f t="array" ref="BK160">IF(VLOOKUP($R160,武学奇术!$A:$ZZ,23,FALSE)=1,100%,MIN(80%,$B$9+VLOOKUP($R160,武学奇术!$A:$ZZ,17,FALSE)+SUM(_xlfn.XLOOKUP(S160:AG160,增益!$A:$A,增益!$Q:$Q,0)))+$B$11+SUM(_xlfn.XLOOKUP(S160:AG160,增益!$A:$A,增益!$U:$U,0)))*IF(VLOOKUP($R160,武学奇术!$A:$ZZ,24,FALSE)=1,0,1)</f>
        <v>0.2285</v>
      </c>
      <c r="BL160" s="21" cm="1">
        <f t="array" ref="BL160">1+$B$13+VLOOKUP($R160,武学奇术!$A:$ZZ,18,FALSE)+SUM(_xlfn.XLOOKUP(S160:AG160,增益!$A:$A,增益!$R:$R,0))</f>
        <v>1.5</v>
      </c>
      <c r="BM160" s="21" cm="1">
        <f t="array" ref="BM160">IF(VLOOKUP($R160,武学奇术!$A:$ZZ,24,FALSE)=1,100%,MIN(40%,$B$10+VLOOKUP($R160,武学奇术!$A:$ZZ,19,FALSE)+SUM(_xlfn.XLOOKUP(S160:AG160,增益!$A:$A,增益!$S:$S,0)))+$B$12+SUM(_xlfn.XLOOKUP(S160:AG160,增益!$A:$A,增益!$V:$V,0)))*IF(VLOOKUP($R160,武学奇术!$A:$ZZ,23,FALSE)=1,0,1)</f>
        <v>0.4495</v>
      </c>
      <c r="BN160" s="21" cm="1">
        <f t="array" ref="BN160">1+$B$14+VLOOKUP($R160,武学奇术!$A:$ZZ,20,FALSE)+SUM(_xlfn.XLOOKUP(S160:AG160,增益!$A:$A,增益!$T:$T,0))</f>
        <v>1.592</v>
      </c>
      <c r="BO160" s="21">
        <f t="shared" si="31"/>
        <v>0.18803265</v>
      </c>
      <c r="BP160" s="21">
        <f t="shared" si="32"/>
        <v>0.2649738</v>
      </c>
      <c r="BQ160" s="21">
        <f>IF(VLOOKUP($R160,武学奇术!$A:$ZZ,22,FALSE)=1,0,(1-$BJ160))*(1-$BM160)</f>
        <v>0.09749355</v>
      </c>
      <c r="BR160" s="21" cm="1">
        <f t="array" ref="BR160">SUM(_xlfn.XLOOKUP(S160:AG160,增益!$A:$A,增益!$W:$W,0))+$I$5</f>
        <v>0.06</v>
      </c>
    </row>
    <row r="161" spans="11:70">
      <c r="K161" s="24">
        <f>$L161*VLOOKUP($R161,武学奇术!$A:$ZZ,31,FALSE)</f>
        <v>7328.90346047031</v>
      </c>
      <c r="L161" s="24">
        <f t="shared" si="22"/>
        <v>14657.8069209406</v>
      </c>
      <c r="M161" s="24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BL161*$Q161*(1+IF(VLOOKUP($R161,武学奇术!$A:$ZZ,30,FALSE)="流血",$B$21,0))*(1+$BR161)</f>
        <v>12998.6265732488</v>
      </c>
      <c r="N161" s="24">
        <f>(($AP161*$AI161+$AJ161)*(1+$AQ161)*(1+$AR161)+($AU161*IF($G$1="鸣金",$AK161,$AI161)+IF($G$1="鸣金",$AL161*1.5,0))*(1+$AV161)*(1+$AW161)+($AY161*IF($G$1="裂石",$AK161,$AI161)+IF($G$1="裂石",$AL161*1.5,0))*(1+$AZ161)*(1+$BA161)+($BC161*IF($G$1="牵丝",$AK161,$AI161)+IF($G$1="牵丝",$AL161*1.5,0))*(1+$BD161)*(1+$BE161)+($BG161*IF($G$1="破竹",$AK161,$AI161)+IF($G$1="破竹",$AL161*1.5,0))*(1+$BH161)*(1+$BI161))*(1+$AM161)*$BN161*$Q161*(1+IF(VLOOKUP($R161,武学奇术!$A:$ZZ,30,FALSE)="流血",$B$21,0))*(1+$BR161)</f>
        <v>21191.281650257</v>
      </c>
      <c r="O161" s="24">
        <f>((($AO161+$AP161)/2*$AI161+$AJ161)*(1+$AQ161)*(1+$AR161)+(($AT161+$AU161)/2*IF($G$1="鸣金",$AK161,$AI161)+IF($G$1="鸣金",$AL161*1.5,0))*(1+$AV161)*(1+$AW161)+(($AX161+$AY161)/2*IF($G$1="裂石",$AK161,$AI161)+IF($G$1="裂石",$AL161*1.5,0))*(1+$AZ161)*(1+$BA161)+(($BB161+$BC161)/2*IF($G$1="牵丝",$AK161,$AI161)+IF($G$1="牵丝",$AL161*1.5,0))*(1+$BD161)*(1+$BE161)+(($BF161+$BG161)/2*IF($G$1="破竹",$AK161,$AI161)+IF($G$1="破竹",$AL161*1.5,0))*(1+$BH161)*(1+$BI161))*(1+$AM161)*$Q161*(1+IF(VLOOKUP($R161,武学奇术!$A:$ZZ,30,FALSE)="流血",$B$21,0))*(1+$BR161)</f>
        <v>8665.75104883256</v>
      </c>
      <c r="P161" s="24">
        <f>((($AO161*$AI161+$AJ161)*(1+$AQ161)*(1+$AR161)+($AT161*IF($G$1="鸣金",$AK161,$AI161)+IF($G$1="鸣金",$AL161*1.5,0))*(1+$AV161)*(1+$AW161)+($AX161*IF($G$1="裂石",$AK161,$AI161)+IF($G$1="裂石",$AL161*1.5,0))*(1+$AZ161)*(1+$BA161)+($BB161*IF($G$1="牵丝",$AK161,$AI161)+IF($G$1="牵丝",$AL161*1.5,0))*(1+$BD161)*(1+$BE161)+($BF161*IF($G$1="破竹",$AK161,$AI161)+IF($G$1="破竹",$AL161*1.5,0))*(1+$BH161)*(1+$BI161))*(1+$AM161))*$Q161*(1+IF(VLOOKUP($R161,武学奇术!$A:$ZZ,30,FALSE)="流血",$B$21,0))*(1+$BR161)</f>
        <v>4020.39553343335</v>
      </c>
      <c r="Q161" s="31">
        <v>2</v>
      </c>
      <c r="R161" s="32" t="s">
        <v>194</v>
      </c>
      <c r="S161" s="32" t="s">
        <v>87</v>
      </c>
      <c r="T161" s="32" t="s">
        <v>96</v>
      </c>
      <c r="U161" s="32" t="s">
        <v>97</v>
      </c>
      <c r="V161" s="32" t="s">
        <v>73</v>
      </c>
      <c r="W161" s="32" t="s">
        <v>73</v>
      </c>
      <c r="X161" s="32" t="s">
        <v>127</v>
      </c>
      <c r="Y161" s="32" t="s">
        <v>73</v>
      </c>
      <c r="Z161" s="32" t="s">
        <v>73</v>
      </c>
      <c r="AA161" s="32" t="s">
        <v>81</v>
      </c>
      <c r="AB161" s="32" t="s">
        <v>75</v>
      </c>
      <c r="AC161" s="32" t="s">
        <v>89</v>
      </c>
      <c r="AD161" s="32" t="s">
        <v>82</v>
      </c>
      <c r="AE161" s="32" t="s">
        <v>73</v>
      </c>
      <c r="AF161" s="32" t="s">
        <v>73</v>
      </c>
      <c r="AG161" s="32" t="s">
        <v>175</v>
      </c>
      <c r="AH161" t="str">
        <f>VLOOKUP($R161,武学奇术!$A:$ZZ,25,FALSE)</f>
        <v>单体奇术</v>
      </c>
      <c r="AI161" s="21">
        <f>VLOOKUP($R161,武学奇术!$A:$ZZ,26,FALSE)</f>
        <v>0.236</v>
      </c>
      <c r="AJ161" s="22">
        <f>VLOOKUP($R161,武学奇术!$A:$ZZ,27,FALSE)*(1+IF(OR($AH161=$F$4,$AH161=$F$5),$B$22,0))</f>
        <v>46</v>
      </c>
      <c r="AK161" s="21">
        <f>VLOOKUP($R161,武学奇术!$A:$ZZ,28,FALSE)</f>
        <v>0.354</v>
      </c>
      <c r="AL161" s="22">
        <f>VLOOKUP($R161,武学奇术!$A:$ZZ,29,FALSE)*(1+IF(OR($AH161=$F$4,$AH161=$F$5),$B$22,0))</f>
        <v>0</v>
      </c>
      <c r="AM161" s="21" cm="1">
        <f t="array" ref="AM161">$G$3+IFERROR(VLOOKUP($AH161,$F$4:$G$7,2,FALSE),0)+VLOOKUP($R161,武学奇术!$A:$ZZ,2,FALSE)+SUM(_xlfn.XLOOKUP($S161:$AG161,增益!$A:$A,增益!$B:$B,0))</f>
        <v>1.203</v>
      </c>
      <c r="AN161" s="21" cm="1">
        <f t="array" ref="AN161">VLOOKUP($R161,武学奇术!$A:$ZZ,5,FALSE)+SUM(_xlfn.XLOOKUP($S161:$AG161,增益!$A:$A,增益!$E:$E,0))</f>
        <v>0</v>
      </c>
      <c r="AO161" cm="1">
        <f t="array" ref="AO161">$D$10*(1+$AN161)+VLOOKUP($R161,武学奇术!$A:$ZZ,3,FALSE)+SUM(_xlfn.XLOOKUP($S161:$AG161,增益!$A:$A,增益!$C:$C,0))-$I$2</f>
        <v>1794.28</v>
      </c>
      <c r="AP161" cm="1">
        <f t="array" ref="AP161">$E$10*(1+$AN161)+VLOOKUP($R161,武学奇术!$A:$ZZ,4,FALSE)+SUM(_xlfn.XLOOKUP($S161:$AG161,增益!$A:$A,增益!$D:$D,0))-$I$2</f>
        <v>7726.36</v>
      </c>
      <c r="AQ161" s="26" cm="1">
        <f t="array" ref="AQ161">IF($F$10-$I$3+VLOOKUP($R161,武学奇术!$A:$ZZ,6,FALSE)+SUM(_xlfn.XLOOKUP(S161:AG161,增益!$A:$A,增益!$F:$F,0))&gt;0,($F$10-$I$3+VLOOKUP($R161,武学奇术!$A:$ZZ,6,FALSE)+SUM(_xlfn.XLOOKUP(S161:AG161,增益!$A:$A,增益!$F:$F,0)))/200,($F$10-$I$3+VLOOKUP($R161,武学奇术!$A:$ZZ,6,FALSE)+SUM(_xlfn.XLOOKUP(S161:AG161,增益!$A:$A,增益!$F:$F,0)))/100)</f>
        <v>0.244</v>
      </c>
      <c r="AR161" s="26" cm="1">
        <f t="array" ref="AR161">$G$10+VLOOKUP($R161,武学奇术!$A:$ZZ,7,FALSE)+SUM(_xlfn.XLOOKUP(S161:AG161,增益!$A:$A,增益!$G:$G,0))</f>
        <v>0</v>
      </c>
      <c r="AS161" s="21" cm="1">
        <f t="array" ref="AS161">VLOOKUP($R161,武学奇术!$A:$ZZ,8,FALSE)+SUM(_xlfn.XLOOKUP(S161:AG161,增益!$A:$A,增益!$H:$H,0))</f>
        <v>0</v>
      </c>
      <c r="AT161">
        <f t="shared" si="23"/>
        <v>680.02</v>
      </c>
      <c r="AU161">
        <f t="shared" si="24"/>
        <v>1288.54</v>
      </c>
      <c r="AV161" s="26" cm="1">
        <f t="array" ref="AV161">IF($F$11-$I$4+VLOOKUP($R161,武学奇术!$A:$ZZ,9,FALSE)+SUM(_xlfn.XLOOKUP(S161:AG161,增益!$A:$A,增益!$I:$I,0))&gt;0,($F$11-$I$4+VLOOKUP($R161,武学奇术!$A:$ZZ,9,FALSE)+SUM(_xlfn.XLOOKUP(S161:AG161,增益!$A:$A,增益!$I:$I,0)))/200,($F$11-$I$4+VLOOKUP($R161,武学奇术!$A:$ZZ,9,FALSE)+SUM(_xlfn.XLOOKUP(S161:AG161,增益!$A:$A,增益!$I:$I,0)))/100)</f>
        <v>0</v>
      </c>
      <c r="AW161" s="26" cm="1">
        <f t="array" ref="AW161">$G$11+VLOOKUP($R161,武学奇术!$A:$ZZ,10,FALSE)+SUM(_xlfn.XLOOKUP(S161:AG161,增益!$A:$A,增益!$J:$J,0))</f>
        <v>0.15</v>
      </c>
      <c r="AX161">
        <f t="shared" si="25"/>
        <v>0</v>
      </c>
      <c r="AY161">
        <f t="shared" si="26"/>
        <v>0</v>
      </c>
      <c r="AZ161" s="26" cm="1">
        <f t="array" ref="AZ161">IF($F$12-$I$4+VLOOKUP($R161,武学奇术!$A:$ZZ,11,FALSE)+SUM(_xlfn.XLOOKUP(S161:AG161,增益!$A:$A,增益!$K:$K,0))&gt;0,($F$12-$I$4+VLOOKUP($R161,武学奇术!$A:$ZZ,11,FALSE)+SUM(_xlfn.XLOOKUP(S161:AG161,增益!$A:$A,增益!$K:$K,0)))/200,($F$12-$I$4+VLOOKUP($R161,武学奇术!$A:$ZZ,11,FALSE)+SUM(_xlfn.XLOOKUP(S161:AG161,增益!$A:$A,增益!$K:$K,0)))/100)</f>
        <v>-0.3</v>
      </c>
      <c r="BA161" s="26" cm="1">
        <f t="array" ref="BA161">$G$12+VLOOKUP($R161,武学奇术!$A:$ZZ,12,FALSE)+SUM(_xlfn.XLOOKUP(S161:AG161,增益!$A:$A,增益!$L:$L,0))</f>
        <v>0</v>
      </c>
      <c r="BB161">
        <f t="shared" si="27"/>
        <v>0</v>
      </c>
      <c r="BC161">
        <f t="shared" si="28"/>
        <v>0</v>
      </c>
      <c r="BD161" s="26" cm="1">
        <f t="array" ref="BD161">IF($F$13-$I$4+VLOOKUP($R161,武学奇术!$A:$ZZ,13,FALSE)+SUM(_xlfn.XLOOKUP(S161:AG161,增益!$A:$A,增益!$M:$M,0))&gt;0,($F$13-$I$4+VLOOKUP($R161,武学奇术!$A:$ZZ,13,FALSE)+SUM(_xlfn.XLOOKUP(S161:AG161,增益!$A:$A,增益!$K:$K,0)))/200,($F$13-$I$4+VLOOKUP($R161,武学奇术!$A:$ZZ,13,FALSE)+SUM(_xlfn.XLOOKUP(S161:AG161,增益!$A:$A,增益!$M:$M,0)))/100)</f>
        <v>-0.3</v>
      </c>
      <c r="BE161" s="26" cm="1">
        <f t="array" ref="BE161">$G$13+VLOOKUP($R161,武学奇术!$A:$ZZ,14,FALSE)+SUM(_xlfn.XLOOKUP(S161:AG161,增益!$A:$A,增益!$N:$N,0))</f>
        <v>0</v>
      </c>
      <c r="BF161">
        <f t="shared" si="29"/>
        <v>0</v>
      </c>
      <c r="BG161">
        <f t="shared" si="30"/>
        <v>0</v>
      </c>
      <c r="BH161" s="26" cm="1">
        <f t="array" ref="BH161">IF($F$14-$I$4+VLOOKUP($R161,武学奇术!$A:$ZZ,15,FALSE)+SUM(_xlfn.XLOOKUP(S161:AG161,增益!$A:$A,增益!$O:$O,0))&gt;0,($F$14-$I$4+VLOOKUP($R161,武学奇术!$A:$ZZ,15,FALSE)+SUM(_xlfn.XLOOKUP(S161:AG161,增益!$A:$A,增益!$O:$O,0)))/200,($F$14-$I$4+VLOOKUP($R161,武学奇术!$A:$ZZ,15,FALSE)+SUM(_xlfn.XLOOKUP(S161:AG161,增益!$A:$A,增益!$O:$O,0)))/100)</f>
        <v>-0.3</v>
      </c>
      <c r="BI161" s="26" cm="1">
        <f t="array" ref="BI161">$G$14+VLOOKUP($R161,武学奇术!$A:$ZZ,16,FALSE)+SUM(_xlfn.XLOOKUP(S161:AG161,增益!$A:$A,增益!$P:$P,0))</f>
        <v>0</v>
      </c>
      <c r="BJ161" s="21">
        <f>MIN(IF(VLOOKUP($R161,武学奇术!$A:$ZZ,23,FALSE)=1,100%,$B$8),100%)</f>
        <v>0.8229</v>
      </c>
      <c r="BK161" s="21" cm="1">
        <f t="array" ref="BK161">IF(VLOOKUP($R161,武学奇术!$A:$ZZ,23,FALSE)=1,100%,MIN(80%,$B$9+VLOOKUP($R161,武学奇术!$A:$ZZ,17,FALSE)+SUM(_xlfn.XLOOKUP(S161:AG161,增益!$A:$A,增益!$Q:$Q,0)))+$B$11+SUM(_xlfn.XLOOKUP(S161:AG161,增益!$A:$A,增益!$U:$U,0)))*IF(VLOOKUP($R161,武学奇术!$A:$ZZ,24,FALSE)=1,0,1)</f>
        <v>0.2285</v>
      </c>
      <c r="BL161" s="21" cm="1">
        <f t="array" ref="BL161">1+$B$13+VLOOKUP($R161,武学奇术!$A:$ZZ,18,FALSE)+SUM(_xlfn.XLOOKUP(S161:AG161,增益!$A:$A,增益!$R:$R,0))</f>
        <v>1.5</v>
      </c>
      <c r="BM161" s="21" cm="1">
        <f t="array" ref="BM161">IF(VLOOKUP($R161,武学奇术!$A:$ZZ,24,FALSE)=1,100%,MIN(40%,$B$10+VLOOKUP($R161,武学奇术!$A:$ZZ,19,FALSE)+SUM(_xlfn.XLOOKUP(S161:AG161,增益!$A:$A,增益!$S:$S,0)))+$B$12+SUM(_xlfn.XLOOKUP(S161:AG161,增益!$A:$A,增益!$V:$V,0)))*IF(VLOOKUP($R161,武学奇术!$A:$ZZ,23,FALSE)=1,0,1)</f>
        <v>0.4495</v>
      </c>
      <c r="BN161" s="21" cm="1">
        <f t="array" ref="BN161">1+$B$14+VLOOKUP($R161,武学奇术!$A:$ZZ,20,FALSE)+SUM(_xlfn.XLOOKUP(S161:AG161,增益!$A:$A,增益!$T:$T,0))</f>
        <v>1.592</v>
      </c>
      <c r="BO161" s="21">
        <f t="shared" si="31"/>
        <v>0.18803265</v>
      </c>
      <c r="BP161" s="21">
        <f t="shared" si="32"/>
        <v>0.2649738</v>
      </c>
      <c r="BQ161" s="21">
        <f>IF(VLOOKUP($R161,武学奇术!$A:$ZZ,22,FALSE)=1,0,(1-$BJ161))*(1-$BM161)</f>
        <v>0.09749355</v>
      </c>
      <c r="BR161" s="21" cm="1">
        <f t="array" ref="BR161">SUM(_xlfn.XLOOKUP(S161:AG161,增益!$A:$A,增益!$W:$W,0))+$I$5</f>
        <v>0.06</v>
      </c>
    </row>
    <row r="162" spans="11:70">
      <c r="K162" s="24">
        <f>$L162*VLOOKUP($R162,武学奇术!$A:$ZZ,31,FALSE)</f>
        <v>18397.0504311836</v>
      </c>
      <c r="L162" s="24">
        <f t="shared" si="22"/>
        <v>36794.1008623671</v>
      </c>
      <c r="M162" s="24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BL162*$Q162*(1+IF(VLOOKUP($R162,武学奇术!$A:$ZZ,30,FALSE)="流血",$B$21,0))*(1+$BR162)</f>
        <v>32496.5664331221</v>
      </c>
      <c r="N162" s="24">
        <f>(($AP162*$AI162+$AJ162)*(1+$AQ162)*(1+$AR162)+($AU162*IF($G$1="鸣金",$AK162,$AI162)+IF($G$1="鸣金",$AL162*1.5,0))*(1+$AV162)*(1+$AW162)+($AY162*IF($G$1="裂石",$AK162,$AI162)+IF($G$1="裂石",$AL162*1.5,0))*(1+$AZ162)*(1+$BA162)+($BC162*IF($G$1="牵丝",$AK162,$AI162)+IF($G$1="牵丝",$AL162*1.5,0))*(1+$BD162)*(1+$BE162)+($BG162*IF($G$1="破竹",$AK162,$AI162)+IF($G$1="破竹",$AL162*1.5,0))*(1+$BH162)*(1+$BI162))*(1+$AM162)*$BN162*$Q162*(1+IF(VLOOKUP($R162,武学奇术!$A:$ZZ,30,FALSE)="流血",$B$21,0))*(1+$BR162)</f>
        <v>53310.9817897482</v>
      </c>
      <c r="O162" s="24">
        <f>((($AO162+$AP162)/2*$AI162+$AJ162)*(1+$AQ162)*(1+$AR162)+(($AT162+$AU162)/2*IF($G$1="鸣金",$AK162,$AI162)+IF($G$1="鸣金",$AL162*1.5,0))*(1+$AV162)*(1+$AW162)+(($AX162+$AY162)/2*IF($G$1="裂石",$AK162,$AI162)+IF($G$1="裂石",$AL162*1.5,0))*(1+$AZ162)*(1+$BA162)+(($BB162+$BC162)/2*IF($G$1="牵丝",$AK162,$AI162)+IF($G$1="牵丝",$AL162*1.5,0))*(1+$BD162)*(1+$BE162)+(($BF162+$BG162)/2*IF($G$1="破竹",$AK162,$AI162)+IF($G$1="破竹",$AL162*1.5,0))*(1+$BH162)*(1+$BI162))*(1+$AM162)*$Q162*(1+IF(VLOOKUP($R162,武学奇术!$A:$ZZ,30,FALSE)="流血",$B$21,0))*(1+$BR162)</f>
        <v>21664.3776220814</v>
      </c>
      <c r="P162" s="24">
        <f>((($AO162*$AI162+$AJ162)*(1+$AQ162)*(1+$AR162)+($AT162*IF($G$1="鸣金",$AK162,$AI162)+IF($G$1="鸣金",$AL162*1.5,0))*(1+$AV162)*(1+$AW162)+($AX162*IF($G$1="裂石",$AK162,$AI162)+IF($G$1="裂石",$AL162*1.5,0))*(1+$AZ162)*(1+$BA162)+($BB162*IF($G$1="牵丝",$AK162,$AI162)+IF($G$1="牵丝",$AL162*1.5,0))*(1+$BD162)*(1+$BE162)+($BF162*IF($G$1="破竹",$AK162,$AI162)+IF($G$1="破竹",$AL162*1.5,0))*(1+$BH162)*(1+$BI162))*(1+$AM162))*$Q162*(1+IF(VLOOKUP($R162,武学奇术!$A:$ZZ,30,FALSE)="流血",$B$21,0))*(1+$BR162)</f>
        <v>10050.9888335834</v>
      </c>
      <c r="Q162" s="31">
        <v>5</v>
      </c>
      <c r="R162" s="32" t="s">
        <v>194</v>
      </c>
      <c r="S162" s="32" t="s">
        <v>87</v>
      </c>
      <c r="T162" s="32" t="s">
        <v>96</v>
      </c>
      <c r="U162" s="32" t="s">
        <v>97</v>
      </c>
      <c r="V162" s="32" t="s">
        <v>73</v>
      </c>
      <c r="W162" s="32" t="s">
        <v>73</v>
      </c>
      <c r="X162" s="32" t="s">
        <v>127</v>
      </c>
      <c r="Y162" s="32" t="s">
        <v>73</v>
      </c>
      <c r="Z162" s="32" t="s">
        <v>73</v>
      </c>
      <c r="AA162" s="32" t="s">
        <v>81</v>
      </c>
      <c r="AB162" s="32" t="s">
        <v>75</v>
      </c>
      <c r="AC162" s="32" t="s">
        <v>89</v>
      </c>
      <c r="AD162" s="32" t="s">
        <v>82</v>
      </c>
      <c r="AE162" s="32" t="s">
        <v>73</v>
      </c>
      <c r="AF162" s="32" t="s">
        <v>73</v>
      </c>
      <c r="AG162" s="32" t="s">
        <v>178</v>
      </c>
      <c r="AH162" t="str">
        <f>VLOOKUP($R162,武学奇术!$A:$ZZ,25,FALSE)</f>
        <v>单体奇术</v>
      </c>
      <c r="AI162" s="21">
        <f>VLOOKUP($R162,武学奇术!$A:$ZZ,26,FALSE)</f>
        <v>0.236</v>
      </c>
      <c r="AJ162" s="22">
        <f>VLOOKUP($R162,武学奇术!$A:$ZZ,27,FALSE)*(1+IF(OR($AH162=$F$4,$AH162=$F$5),$B$22,0))</f>
        <v>46</v>
      </c>
      <c r="AK162" s="21">
        <f>VLOOKUP($R162,武学奇术!$A:$ZZ,28,FALSE)</f>
        <v>0.354</v>
      </c>
      <c r="AL162" s="22">
        <f>VLOOKUP($R162,武学奇术!$A:$ZZ,29,FALSE)*(1+IF(OR($AH162=$F$4,$AH162=$F$5),$B$22,0))</f>
        <v>0</v>
      </c>
      <c r="AM162" s="21" cm="1">
        <f t="array" ref="AM162">$G$3+IFERROR(VLOOKUP($AH162,$F$4:$G$7,2,FALSE),0)+VLOOKUP($R162,武学奇术!$A:$ZZ,2,FALSE)+SUM(_xlfn.XLOOKUP($S162:$AG162,增益!$A:$A,增益!$B:$B,0))</f>
        <v>1.203</v>
      </c>
      <c r="AN162" s="21" cm="1">
        <f t="array" ref="AN162">VLOOKUP($R162,武学奇术!$A:$ZZ,5,FALSE)+SUM(_xlfn.XLOOKUP($S162:$AG162,增益!$A:$A,增益!$E:$E,0))</f>
        <v>0</v>
      </c>
      <c r="AO162" cm="1">
        <f t="array" ref="AO162">$D$10*(1+$AN162)+VLOOKUP($R162,武学奇术!$A:$ZZ,3,FALSE)+SUM(_xlfn.XLOOKUP($S162:$AG162,增益!$A:$A,增益!$C:$C,0))-$I$2</f>
        <v>1794.28</v>
      </c>
      <c r="AP162" cm="1">
        <f t="array" ref="AP162">$E$10*(1+$AN162)+VLOOKUP($R162,武学奇术!$A:$ZZ,4,FALSE)+SUM(_xlfn.XLOOKUP($S162:$AG162,增益!$A:$A,增益!$D:$D,0))-$I$2</f>
        <v>7726.36</v>
      </c>
      <c r="AQ162" s="26" cm="1">
        <f t="array" ref="AQ162">IF($F$10-$I$3+VLOOKUP($R162,武学奇术!$A:$ZZ,6,FALSE)+SUM(_xlfn.XLOOKUP(S162:AG162,增益!$A:$A,增益!$F:$F,0))&gt;0,($F$10-$I$3+VLOOKUP($R162,武学奇术!$A:$ZZ,6,FALSE)+SUM(_xlfn.XLOOKUP(S162:AG162,增益!$A:$A,增益!$F:$F,0)))/200,($F$10-$I$3+VLOOKUP($R162,武学奇术!$A:$ZZ,6,FALSE)+SUM(_xlfn.XLOOKUP(S162:AG162,增益!$A:$A,增益!$F:$F,0)))/100)</f>
        <v>0.244</v>
      </c>
      <c r="AR162" s="26" cm="1">
        <f t="array" ref="AR162">$G$10+VLOOKUP($R162,武学奇术!$A:$ZZ,7,FALSE)+SUM(_xlfn.XLOOKUP(S162:AG162,增益!$A:$A,增益!$G:$G,0))</f>
        <v>0</v>
      </c>
      <c r="AS162" s="21" cm="1">
        <f t="array" ref="AS162">VLOOKUP($R162,武学奇术!$A:$ZZ,8,FALSE)+SUM(_xlfn.XLOOKUP(S162:AG162,增益!$A:$A,增益!$H:$H,0))</f>
        <v>0</v>
      </c>
      <c r="AT162">
        <f t="shared" si="23"/>
        <v>680.02</v>
      </c>
      <c r="AU162">
        <f t="shared" si="24"/>
        <v>1288.54</v>
      </c>
      <c r="AV162" s="26" cm="1">
        <f t="array" ref="AV162">IF($F$11-$I$4+VLOOKUP($R162,武学奇术!$A:$ZZ,9,FALSE)+SUM(_xlfn.XLOOKUP(S162:AG162,增益!$A:$A,增益!$I:$I,0))&gt;0,($F$11-$I$4+VLOOKUP($R162,武学奇术!$A:$ZZ,9,FALSE)+SUM(_xlfn.XLOOKUP(S162:AG162,增益!$A:$A,增益!$I:$I,0)))/200,($F$11-$I$4+VLOOKUP($R162,武学奇术!$A:$ZZ,9,FALSE)+SUM(_xlfn.XLOOKUP(S162:AG162,增益!$A:$A,增益!$I:$I,0)))/100)</f>
        <v>0</v>
      </c>
      <c r="AW162" s="26" cm="1">
        <f t="array" ref="AW162">$G$11+VLOOKUP($R162,武学奇术!$A:$ZZ,10,FALSE)+SUM(_xlfn.XLOOKUP(S162:AG162,增益!$A:$A,增益!$J:$J,0))</f>
        <v>0.15</v>
      </c>
      <c r="AX162">
        <f t="shared" si="25"/>
        <v>0</v>
      </c>
      <c r="AY162">
        <f t="shared" si="26"/>
        <v>0</v>
      </c>
      <c r="AZ162" s="26" cm="1">
        <f t="array" ref="AZ162">IF($F$12-$I$4+VLOOKUP($R162,武学奇术!$A:$ZZ,11,FALSE)+SUM(_xlfn.XLOOKUP(S162:AG162,增益!$A:$A,增益!$K:$K,0))&gt;0,($F$12-$I$4+VLOOKUP($R162,武学奇术!$A:$ZZ,11,FALSE)+SUM(_xlfn.XLOOKUP(S162:AG162,增益!$A:$A,增益!$K:$K,0)))/200,($F$12-$I$4+VLOOKUP($R162,武学奇术!$A:$ZZ,11,FALSE)+SUM(_xlfn.XLOOKUP(S162:AG162,增益!$A:$A,增益!$K:$K,0)))/100)</f>
        <v>-0.3</v>
      </c>
      <c r="BA162" s="26" cm="1">
        <f t="array" ref="BA162">$G$12+VLOOKUP($R162,武学奇术!$A:$ZZ,12,FALSE)+SUM(_xlfn.XLOOKUP(S162:AG162,增益!$A:$A,增益!$L:$L,0))</f>
        <v>0</v>
      </c>
      <c r="BB162">
        <f t="shared" si="27"/>
        <v>0</v>
      </c>
      <c r="BC162">
        <f t="shared" si="28"/>
        <v>0</v>
      </c>
      <c r="BD162" s="26" cm="1">
        <f t="array" ref="BD162">IF($F$13-$I$4+VLOOKUP($R162,武学奇术!$A:$ZZ,13,FALSE)+SUM(_xlfn.XLOOKUP(S162:AG162,增益!$A:$A,增益!$M:$M,0))&gt;0,($F$13-$I$4+VLOOKUP($R162,武学奇术!$A:$ZZ,13,FALSE)+SUM(_xlfn.XLOOKUP(S162:AG162,增益!$A:$A,增益!$K:$K,0)))/200,($F$13-$I$4+VLOOKUP($R162,武学奇术!$A:$ZZ,13,FALSE)+SUM(_xlfn.XLOOKUP(S162:AG162,增益!$A:$A,增益!$M:$M,0)))/100)</f>
        <v>-0.3</v>
      </c>
      <c r="BE162" s="26" cm="1">
        <f t="array" ref="BE162">$G$13+VLOOKUP($R162,武学奇术!$A:$ZZ,14,FALSE)+SUM(_xlfn.XLOOKUP(S162:AG162,增益!$A:$A,增益!$N:$N,0))</f>
        <v>0</v>
      </c>
      <c r="BF162">
        <f t="shared" si="29"/>
        <v>0</v>
      </c>
      <c r="BG162">
        <f t="shared" si="30"/>
        <v>0</v>
      </c>
      <c r="BH162" s="26" cm="1">
        <f t="array" ref="BH162">IF($F$14-$I$4+VLOOKUP($R162,武学奇术!$A:$ZZ,15,FALSE)+SUM(_xlfn.XLOOKUP(S162:AG162,增益!$A:$A,增益!$O:$O,0))&gt;0,($F$14-$I$4+VLOOKUP($R162,武学奇术!$A:$ZZ,15,FALSE)+SUM(_xlfn.XLOOKUP(S162:AG162,增益!$A:$A,增益!$O:$O,0)))/200,($F$14-$I$4+VLOOKUP($R162,武学奇术!$A:$ZZ,15,FALSE)+SUM(_xlfn.XLOOKUP(S162:AG162,增益!$A:$A,增益!$O:$O,0)))/100)</f>
        <v>-0.3</v>
      </c>
      <c r="BI162" s="26" cm="1">
        <f t="array" ref="BI162">$G$14+VLOOKUP($R162,武学奇术!$A:$ZZ,16,FALSE)+SUM(_xlfn.XLOOKUP(S162:AG162,增益!$A:$A,增益!$P:$P,0))</f>
        <v>0</v>
      </c>
      <c r="BJ162" s="21">
        <f>MIN(IF(VLOOKUP($R162,武学奇术!$A:$ZZ,23,FALSE)=1,100%,$B$8),100%)</f>
        <v>0.8229</v>
      </c>
      <c r="BK162" s="21" cm="1">
        <f t="array" ref="BK162">IF(VLOOKUP($R162,武学奇术!$A:$ZZ,23,FALSE)=1,100%,MIN(80%,$B$9+VLOOKUP($R162,武学奇术!$A:$ZZ,17,FALSE)+SUM(_xlfn.XLOOKUP(S162:AG162,增益!$A:$A,增益!$Q:$Q,0)))+$B$11+SUM(_xlfn.XLOOKUP(S162:AG162,增益!$A:$A,增益!$U:$U,0)))*IF(VLOOKUP($R162,武学奇术!$A:$ZZ,24,FALSE)=1,0,1)</f>
        <v>0.2285</v>
      </c>
      <c r="BL162" s="21" cm="1">
        <f t="array" ref="BL162">1+$B$13+VLOOKUP($R162,武学奇术!$A:$ZZ,18,FALSE)+SUM(_xlfn.XLOOKUP(S162:AG162,增益!$A:$A,增益!$R:$R,0))</f>
        <v>1.5</v>
      </c>
      <c r="BM162" s="21" cm="1">
        <f t="array" ref="BM162">IF(VLOOKUP($R162,武学奇术!$A:$ZZ,24,FALSE)=1,100%,MIN(40%,$B$10+VLOOKUP($R162,武学奇术!$A:$ZZ,19,FALSE)+SUM(_xlfn.XLOOKUP(S162:AG162,增益!$A:$A,增益!$S:$S,0)))+$B$12+SUM(_xlfn.XLOOKUP(S162:AG162,增益!$A:$A,增益!$V:$V,0)))*IF(VLOOKUP($R162,武学奇术!$A:$ZZ,23,FALSE)=1,0,1)</f>
        <v>0.4495</v>
      </c>
      <c r="BN162" s="21" cm="1">
        <f t="array" ref="BN162">1+$B$14+VLOOKUP($R162,武学奇术!$A:$ZZ,20,FALSE)+SUM(_xlfn.XLOOKUP(S162:AG162,增益!$A:$A,增益!$T:$T,0))</f>
        <v>1.602</v>
      </c>
      <c r="BO162" s="21">
        <f t="shared" si="31"/>
        <v>0.18803265</v>
      </c>
      <c r="BP162" s="21">
        <f t="shared" si="32"/>
        <v>0.2649738</v>
      </c>
      <c r="BQ162" s="21">
        <f>IF(VLOOKUP($R162,武学奇术!$A:$ZZ,22,FALSE)=1,0,(1-$BJ162))*(1-$BM162)</f>
        <v>0.09749355</v>
      </c>
      <c r="BR162" s="21" cm="1">
        <f t="array" ref="BR162">SUM(_xlfn.XLOOKUP(S162:AG162,增益!$A:$A,增益!$W:$W,0))+$I$5</f>
        <v>0.06</v>
      </c>
    </row>
    <row r="163" spans="11:70">
      <c r="K163" s="24">
        <f>$L163*VLOOKUP($R163,武学奇术!$A:$ZZ,31,FALSE)</f>
        <v>3679.41008623671</v>
      </c>
      <c r="L163" s="24">
        <f t="shared" si="22"/>
        <v>7358.82017247342</v>
      </c>
      <c r="M163" s="24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BL163*$Q163*(1+IF(VLOOKUP($R163,武学奇术!$A:$ZZ,30,FALSE)="流血",$B$21,0))*(1+$BR163)</f>
        <v>6499.31328662442</v>
      </c>
      <c r="N163" s="24">
        <f>(($AP163*$AI163+$AJ163)*(1+$AQ163)*(1+$AR163)+($AU163*IF($G$1="鸣金",$AK163,$AI163)+IF($G$1="鸣金",$AL163*1.5,0))*(1+$AV163)*(1+$AW163)+($AY163*IF($G$1="裂石",$AK163,$AI163)+IF($G$1="裂石",$AL163*1.5,0))*(1+$AZ163)*(1+$BA163)+($BC163*IF($G$1="牵丝",$AK163,$AI163)+IF($G$1="牵丝",$AL163*1.5,0))*(1+$BD163)*(1+$BE163)+($BG163*IF($G$1="破竹",$AK163,$AI163)+IF($G$1="破竹",$AL163*1.5,0))*(1+$BH163)*(1+$BI163))*(1+$AM163)*$BN163*$Q163*(1+IF(VLOOKUP($R163,武学奇术!$A:$ZZ,30,FALSE)="流血",$B$21,0))*(1+$BR163)</f>
        <v>10662.1963579496</v>
      </c>
      <c r="O163" s="24">
        <f>((($AO163+$AP163)/2*$AI163+$AJ163)*(1+$AQ163)*(1+$AR163)+(($AT163+$AU163)/2*IF($G$1="鸣金",$AK163,$AI163)+IF($G$1="鸣金",$AL163*1.5,0))*(1+$AV163)*(1+$AW163)+(($AX163+$AY163)/2*IF($G$1="裂石",$AK163,$AI163)+IF($G$1="裂石",$AL163*1.5,0))*(1+$AZ163)*(1+$BA163)+(($BB163+$BC163)/2*IF($G$1="牵丝",$AK163,$AI163)+IF($G$1="牵丝",$AL163*1.5,0))*(1+$BD163)*(1+$BE163)+(($BF163+$BG163)/2*IF($G$1="破竹",$AK163,$AI163)+IF($G$1="破竹",$AL163*1.5,0))*(1+$BH163)*(1+$BI163))*(1+$AM163)*$Q163*(1+IF(VLOOKUP($R163,武学奇术!$A:$ZZ,30,FALSE)="流血",$B$21,0))*(1+$BR163)</f>
        <v>4332.87552441628</v>
      </c>
      <c r="P163" s="24">
        <f>((($AO163*$AI163+$AJ163)*(1+$AQ163)*(1+$AR163)+($AT163*IF($G$1="鸣金",$AK163,$AI163)+IF($G$1="鸣金",$AL163*1.5,0))*(1+$AV163)*(1+$AW163)+($AX163*IF($G$1="裂石",$AK163,$AI163)+IF($G$1="裂石",$AL163*1.5,0))*(1+$AZ163)*(1+$BA163)+($BB163*IF($G$1="牵丝",$AK163,$AI163)+IF($G$1="牵丝",$AL163*1.5,0))*(1+$BD163)*(1+$BE163)+($BF163*IF($G$1="破竹",$AK163,$AI163)+IF($G$1="破竹",$AL163*1.5,0))*(1+$BH163)*(1+$BI163))*(1+$AM163))*$Q163*(1+IF(VLOOKUP($R163,武学奇术!$A:$ZZ,30,FALSE)="流血",$B$21,0))*(1+$BR163)</f>
        <v>2010.19776671667</v>
      </c>
      <c r="Q163" s="31">
        <v>1</v>
      </c>
      <c r="R163" s="32" t="s">
        <v>194</v>
      </c>
      <c r="S163" s="32" t="s">
        <v>87</v>
      </c>
      <c r="T163" s="32" t="s">
        <v>96</v>
      </c>
      <c r="U163" s="32" t="s">
        <v>97</v>
      </c>
      <c r="V163" s="32" t="s">
        <v>73</v>
      </c>
      <c r="W163" s="32" t="s">
        <v>73</v>
      </c>
      <c r="X163" s="32" t="s">
        <v>127</v>
      </c>
      <c r="Y163" s="32" t="s">
        <v>73</v>
      </c>
      <c r="Z163" s="32" t="s">
        <v>73</v>
      </c>
      <c r="AA163" s="32" t="s">
        <v>81</v>
      </c>
      <c r="AB163" s="32" t="s">
        <v>75</v>
      </c>
      <c r="AC163" s="32" t="s">
        <v>76</v>
      </c>
      <c r="AD163" s="32" t="s">
        <v>82</v>
      </c>
      <c r="AE163" s="32" t="s">
        <v>73</v>
      </c>
      <c r="AF163" s="32" t="s">
        <v>73</v>
      </c>
      <c r="AG163" s="32" t="s">
        <v>178</v>
      </c>
      <c r="AH163" t="str">
        <f>VLOOKUP($R163,武学奇术!$A:$ZZ,25,FALSE)</f>
        <v>单体奇术</v>
      </c>
      <c r="AI163" s="21">
        <f>VLOOKUP($R163,武学奇术!$A:$ZZ,26,FALSE)</f>
        <v>0.236</v>
      </c>
      <c r="AJ163" s="22">
        <f>VLOOKUP($R163,武学奇术!$A:$ZZ,27,FALSE)*(1+IF(OR($AH163=$F$4,$AH163=$F$5),$B$22,0))</f>
        <v>46</v>
      </c>
      <c r="AK163" s="21">
        <f>VLOOKUP($R163,武学奇术!$A:$ZZ,28,FALSE)</f>
        <v>0.354</v>
      </c>
      <c r="AL163" s="22">
        <f>VLOOKUP($R163,武学奇术!$A:$ZZ,29,FALSE)*(1+IF(OR($AH163=$F$4,$AH163=$F$5),$B$22,0))</f>
        <v>0</v>
      </c>
      <c r="AM163" s="21" cm="1">
        <f t="array" ref="AM163">$G$3+IFERROR(VLOOKUP($AH163,$F$4:$G$7,2,FALSE),0)+VLOOKUP($R163,武学奇术!$A:$ZZ,2,FALSE)+SUM(_xlfn.XLOOKUP($S163:$AG163,增益!$A:$A,增益!$B:$B,0))</f>
        <v>1.203</v>
      </c>
      <c r="AN163" s="21" cm="1">
        <f t="array" ref="AN163">VLOOKUP($R163,武学奇术!$A:$ZZ,5,FALSE)+SUM(_xlfn.XLOOKUP($S163:$AG163,增益!$A:$A,增益!$E:$E,0))</f>
        <v>0</v>
      </c>
      <c r="AO163" cm="1">
        <f t="array" ref="AO163">$D$10*(1+$AN163)+VLOOKUP($R163,武学奇术!$A:$ZZ,3,FALSE)+SUM(_xlfn.XLOOKUP($S163:$AG163,增益!$A:$A,增益!$C:$C,0))-$I$2</f>
        <v>1794.28</v>
      </c>
      <c r="AP163" cm="1">
        <f t="array" ref="AP163">$E$10*(1+$AN163)+VLOOKUP($R163,武学奇术!$A:$ZZ,4,FALSE)+SUM(_xlfn.XLOOKUP($S163:$AG163,增益!$A:$A,增益!$D:$D,0))-$I$2</f>
        <v>7726.36</v>
      </c>
      <c r="AQ163" s="26" cm="1">
        <f t="array" ref="AQ163">IF($F$10-$I$3+VLOOKUP($R163,武学奇术!$A:$ZZ,6,FALSE)+SUM(_xlfn.XLOOKUP(S163:AG163,增益!$A:$A,增益!$F:$F,0))&gt;0,($F$10-$I$3+VLOOKUP($R163,武学奇术!$A:$ZZ,6,FALSE)+SUM(_xlfn.XLOOKUP(S163:AG163,增益!$A:$A,增益!$F:$F,0)))/200,($F$10-$I$3+VLOOKUP($R163,武学奇术!$A:$ZZ,6,FALSE)+SUM(_xlfn.XLOOKUP(S163:AG163,增益!$A:$A,增益!$F:$F,0)))/100)</f>
        <v>0.244</v>
      </c>
      <c r="AR163" s="26" cm="1">
        <f t="array" ref="AR163">$G$10+VLOOKUP($R163,武学奇术!$A:$ZZ,7,FALSE)+SUM(_xlfn.XLOOKUP(S163:AG163,增益!$A:$A,增益!$G:$G,0))</f>
        <v>0</v>
      </c>
      <c r="AS163" s="21" cm="1">
        <f t="array" ref="AS163">VLOOKUP($R163,武学奇术!$A:$ZZ,8,FALSE)+SUM(_xlfn.XLOOKUP(S163:AG163,增益!$A:$A,增益!$H:$H,0))</f>
        <v>0</v>
      </c>
      <c r="AT163">
        <f t="shared" si="23"/>
        <v>680.02</v>
      </c>
      <c r="AU163">
        <f t="shared" si="24"/>
        <v>1288.54</v>
      </c>
      <c r="AV163" s="26" cm="1">
        <f t="array" ref="AV163">IF($F$11-$I$4+VLOOKUP($R163,武学奇术!$A:$ZZ,9,FALSE)+SUM(_xlfn.XLOOKUP(S163:AG163,增益!$A:$A,增益!$I:$I,0))&gt;0,($F$11-$I$4+VLOOKUP($R163,武学奇术!$A:$ZZ,9,FALSE)+SUM(_xlfn.XLOOKUP(S163:AG163,增益!$A:$A,增益!$I:$I,0)))/200,($F$11-$I$4+VLOOKUP($R163,武学奇术!$A:$ZZ,9,FALSE)+SUM(_xlfn.XLOOKUP(S163:AG163,增益!$A:$A,增益!$I:$I,0)))/100)</f>
        <v>0</v>
      </c>
      <c r="AW163" s="26" cm="1">
        <f t="array" ref="AW163">$G$11+VLOOKUP($R163,武学奇术!$A:$ZZ,10,FALSE)+SUM(_xlfn.XLOOKUP(S163:AG163,增益!$A:$A,增益!$J:$J,0))</f>
        <v>0.15</v>
      </c>
      <c r="AX163">
        <f t="shared" si="25"/>
        <v>0</v>
      </c>
      <c r="AY163">
        <f t="shared" si="26"/>
        <v>0</v>
      </c>
      <c r="AZ163" s="26" cm="1">
        <f t="array" ref="AZ163">IF($F$12-$I$4+VLOOKUP($R163,武学奇术!$A:$ZZ,11,FALSE)+SUM(_xlfn.XLOOKUP(S163:AG163,增益!$A:$A,增益!$K:$K,0))&gt;0,($F$12-$I$4+VLOOKUP($R163,武学奇术!$A:$ZZ,11,FALSE)+SUM(_xlfn.XLOOKUP(S163:AG163,增益!$A:$A,增益!$K:$K,0)))/200,($F$12-$I$4+VLOOKUP($R163,武学奇术!$A:$ZZ,11,FALSE)+SUM(_xlfn.XLOOKUP(S163:AG163,增益!$A:$A,增益!$K:$K,0)))/100)</f>
        <v>-0.3</v>
      </c>
      <c r="BA163" s="26" cm="1">
        <f t="array" ref="BA163">$G$12+VLOOKUP($R163,武学奇术!$A:$ZZ,12,FALSE)+SUM(_xlfn.XLOOKUP(S163:AG163,增益!$A:$A,增益!$L:$L,0))</f>
        <v>0</v>
      </c>
      <c r="BB163">
        <f t="shared" si="27"/>
        <v>0</v>
      </c>
      <c r="BC163">
        <f t="shared" si="28"/>
        <v>0</v>
      </c>
      <c r="BD163" s="26" cm="1">
        <f t="array" ref="BD163">IF($F$13-$I$4+VLOOKUP($R163,武学奇术!$A:$ZZ,13,FALSE)+SUM(_xlfn.XLOOKUP(S163:AG163,增益!$A:$A,增益!$M:$M,0))&gt;0,($F$13-$I$4+VLOOKUP($R163,武学奇术!$A:$ZZ,13,FALSE)+SUM(_xlfn.XLOOKUP(S163:AG163,增益!$A:$A,增益!$K:$K,0)))/200,($F$13-$I$4+VLOOKUP($R163,武学奇术!$A:$ZZ,13,FALSE)+SUM(_xlfn.XLOOKUP(S163:AG163,增益!$A:$A,增益!$M:$M,0)))/100)</f>
        <v>-0.3</v>
      </c>
      <c r="BE163" s="26" cm="1">
        <f t="array" ref="BE163">$G$13+VLOOKUP($R163,武学奇术!$A:$ZZ,14,FALSE)+SUM(_xlfn.XLOOKUP(S163:AG163,增益!$A:$A,增益!$N:$N,0))</f>
        <v>0</v>
      </c>
      <c r="BF163">
        <f t="shared" si="29"/>
        <v>0</v>
      </c>
      <c r="BG163">
        <f t="shared" si="30"/>
        <v>0</v>
      </c>
      <c r="BH163" s="26" cm="1">
        <f t="array" ref="BH163">IF($F$14-$I$4+VLOOKUP($R163,武学奇术!$A:$ZZ,15,FALSE)+SUM(_xlfn.XLOOKUP(S163:AG163,增益!$A:$A,增益!$O:$O,0))&gt;0,($F$14-$I$4+VLOOKUP($R163,武学奇术!$A:$ZZ,15,FALSE)+SUM(_xlfn.XLOOKUP(S163:AG163,增益!$A:$A,增益!$O:$O,0)))/200,($F$14-$I$4+VLOOKUP($R163,武学奇术!$A:$ZZ,15,FALSE)+SUM(_xlfn.XLOOKUP(S163:AG163,增益!$A:$A,增益!$O:$O,0)))/100)</f>
        <v>-0.3</v>
      </c>
      <c r="BI163" s="26" cm="1">
        <f t="array" ref="BI163">$G$14+VLOOKUP($R163,武学奇术!$A:$ZZ,16,FALSE)+SUM(_xlfn.XLOOKUP(S163:AG163,增益!$A:$A,增益!$P:$P,0))</f>
        <v>0</v>
      </c>
      <c r="BJ163" s="21">
        <f>MIN(IF(VLOOKUP($R163,武学奇术!$A:$ZZ,23,FALSE)=1,100%,$B$8),100%)</f>
        <v>0.8229</v>
      </c>
      <c r="BK163" s="21" cm="1">
        <f t="array" ref="BK163">IF(VLOOKUP($R163,武学奇术!$A:$ZZ,23,FALSE)=1,100%,MIN(80%,$B$9+VLOOKUP($R163,武学奇术!$A:$ZZ,17,FALSE)+SUM(_xlfn.XLOOKUP(S163:AG163,增益!$A:$A,增益!$Q:$Q,0)))+$B$11+SUM(_xlfn.XLOOKUP(S163:AG163,增益!$A:$A,增益!$U:$U,0)))*IF(VLOOKUP($R163,武学奇术!$A:$ZZ,24,FALSE)=1,0,1)</f>
        <v>0.2285</v>
      </c>
      <c r="BL163" s="21" cm="1">
        <f t="array" ref="BL163">1+$B$13+VLOOKUP($R163,武学奇术!$A:$ZZ,18,FALSE)+SUM(_xlfn.XLOOKUP(S163:AG163,增益!$A:$A,增益!$R:$R,0))</f>
        <v>1.5</v>
      </c>
      <c r="BM163" s="21" cm="1">
        <f t="array" ref="BM163">IF(VLOOKUP($R163,武学奇术!$A:$ZZ,24,FALSE)=1,100%,MIN(40%,$B$10+VLOOKUP($R163,武学奇术!$A:$ZZ,19,FALSE)+SUM(_xlfn.XLOOKUP(S163:AG163,增益!$A:$A,增益!$S:$S,0)))+$B$12+SUM(_xlfn.XLOOKUP(S163:AG163,增益!$A:$A,增益!$V:$V,0)))*IF(VLOOKUP($R163,武学奇术!$A:$ZZ,23,FALSE)=1,0,1)</f>
        <v>0.4495</v>
      </c>
      <c r="BN163" s="21" cm="1">
        <f t="array" ref="BN163">1+$B$14+VLOOKUP($R163,武学奇术!$A:$ZZ,20,FALSE)+SUM(_xlfn.XLOOKUP(S163:AG163,增益!$A:$A,增益!$T:$T,0))</f>
        <v>1.602</v>
      </c>
      <c r="BO163" s="21">
        <f t="shared" si="31"/>
        <v>0.18803265</v>
      </c>
      <c r="BP163" s="21">
        <f t="shared" si="32"/>
        <v>0.2649738</v>
      </c>
      <c r="BQ163" s="21">
        <f>IF(VLOOKUP($R163,武学奇术!$A:$ZZ,22,FALSE)=1,0,(1-$BJ163))*(1-$BM163)</f>
        <v>0.09749355</v>
      </c>
      <c r="BR163" s="21" cm="1">
        <f t="array" ref="BR163">SUM(_xlfn.XLOOKUP(S163:AG163,增益!$A:$A,增益!$W:$W,0))+$I$5</f>
        <v>0.06</v>
      </c>
    </row>
    <row r="164" spans="11:70">
      <c r="K164" s="24">
        <f>$L164*VLOOKUP($R164,武学奇术!$A:$ZZ,31,FALSE)</f>
        <v>22163.4658634332</v>
      </c>
      <c r="L164" s="24">
        <f t="shared" si="22"/>
        <v>44326.9317268664</v>
      </c>
      <c r="M164" s="24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BL164*$Q164*(1+IF(VLOOKUP($R164,武学奇术!$A:$ZZ,30,FALSE)="流血",$B$21,0))*(1+$BR164)</f>
        <v>39187.154164095</v>
      </c>
      <c r="N164" s="24">
        <f>(($AP164*$AI164+$AJ164)*(1+$AQ164)*(1+$AR164)+($AU164*IF($G$1="鸣金",$AK164,$AI164)+IF($G$1="鸣金",$AL164*1.5,0))*(1+$AV164)*(1+$AW164)+($AY164*IF($G$1="裂石",$AK164,$AI164)+IF($G$1="裂石",$AL164*1.5,0))*(1+$AZ164)*(1+$BA164)+($BC164*IF($G$1="牵丝",$AK164,$AI164)+IF($G$1="牵丝",$AL164*1.5,0))*(1+$BD164)*(1+$BE164)+($BG164*IF($G$1="破竹",$AK164,$AI164)+IF($G$1="破竹",$AL164*1.5,0))*(1+$BH164)*(1+$BI164))*(1+$AM164)*$BN164*$Q164*(1+IF(VLOOKUP($R164,武学奇术!$A:$ZZ,30,FALSE)="流血",$B$21,0))*(1+$BR164)</f>
        <v>64177.4592542621</v>
      </c>
      <c r="O164" s="24">
        <f>((($AO164+$AP164)/2*$AI164+$AJ164)*(1+$AQ164)*(1+$AR164)+(($AT164+$AU164)/2*IF($G$1="鸣金",$AK164,$AI164)+IF($G$1="鸣金",$AL164*1.5,0))*(1+$AV164)*(1+$AW164)+(($AX164+$AY164)/2*IF($G$1="裂石",$AK164,$AI164)+IF($G$1="裂石",$AL164*1.5,0))*(1+$AZ164)*(1+$BA164)+(($BB164+$BC164)/2*IF($G$1="牵丝",$AK164,$AI164)+IF($G$1="牵丝",$AL164*1.5,0))*(1+$BD164)*(1+$BE164)+(($BF164+$BG164)/2*IF($G$1="破竹",$AK164,$AI164)+IF($G$1="破竹",$AL164*1.5,0))*(1+$BH164)*(1+$BI164))*(1+$AM164)*$Q164*(1+IF(VLOOKUP($R164,武学奇术!$A:$ZZ,30,FALSE)="流血",$B$21,0))*(1+$BR164)</f>
        <v>26124.76944273</v>
      </c>
      <c r="P164" s="24">
        <f>((($AO164*$AI164+$AJ164)*(1+$AQ164)*(1+$AR164)+($AT164*IF($G$1="鸣金",$AK164,$AI164)+IF($G$1="鸣金",$AL164*1.5,0))*(1+$AV164)*(1+$AW164)+($AX164*IF($G$1="裂石",$AK164,$AI164)+IF($G$1="裂石",$AL164*1.5,0))*(1+$AZ164)*(1+$BA164)+($BB164*IF($G$1="牵丝",$AK164,$AI164)+IF($G$1="牵丝",$AL164*1.5,0))*(1+$BD164)*(1+$BE164)+($BF164*IF($G$1="破竹",$AK164,$AI164)+IF($G$1="破竹",$AL164*1.5,0))*(1+$BH164)*(1+$BI164))*(1+$AM164))*$Q164*(1+IF(VLOOKUP($R164,武学奇术!$A:$ZZ,30,FALSE)="流血",$B$21,0))*(1+$BR164)</f>
        <v>12188.7028965324</v>
      </c>
      <c r="Q164" s="31">
        <v>6</v>
      </c>
      <c r="R164" s="32" t="s">
        <v>194</v>
      </c>
      <c r="S164" s="32" t="s">
        <v>87</v>
      </c>
      <c r="T164" s="32" t="s">
        <v>96</v>
      </c>
      <c r="U164" s="32" t="s">
        <v>97</v>
      </c>
      <c r="V164" s="32" t="s">
        <v>73</v>
      </c>
      <c r="W164" s="32" t="s">
        <v>111</v>
      </c>
      <c r="X164" s="32" t="s">
        <v>127</v>
      </c>
      <c r="Y164" s="32" t="s">
        <v>73</v>
      </c>
      <c r="Z164" s="32" t="s">
        <v>73</v>
      </c>
      <c r="AA164" s="32" t="s">
        <v>81</v>
      </c>
      <c r="AB164" s="32" t="s">
        <v>75</v>
      </c>
      <c r="AC164" s="32" t="s">
        <v>76</v>
      </c>
      <c r="AD164" s="32" t="s">
        <v>82</v>
      </c>
      <c r="AE164" s="32" t="s">
        <v>73</v>
      </c>
      <c r="AF164" s="32" t="s">
        <v>73</v>
      </c>
      <c r="AG164" s="32" t="s">
        <v>178</v>
      </c>
      <c r="AH164" t="str">
        <f>VLOOKUP($R164,武学奇术!$A:$ZZ,25,FALSE)</f>
        <v>单体奇术</v>
      </c>
      <c r="AI164" s="21">
        <f>VLOOKUP($R164,武学奇术!$A:$ZZ,26,FALSE)</f>
        <v>0.236</v>
      </c>
      <c r="AJ164" s="22">
        <f>VLOOKUP($R164,武学奇术!$A:$ZZ,27,FALSE)*(1+IF(OR($AH164=$F$4,$AH164=$F$5),$B$22,0))</f>
        <v>46</v>
      </c>
      <c r="AK164" s="21">
        <f>VLOOKUP($R164,武学奇术!$A:$ZZ,28,FALSE)</f>
        <v>0.354</v>
      </c>
      <c r="AL164" s="22">
        <f>VLOOKUP($R164,武学奇术!$A:$ZZ,29,FALSE)*(1+IF(OR($AH164=$F$4,$AH164=$F$5),$B$22,0))</f>
        <v>0</v>
      </c>
      <c r="AM164" s="21" cm="1">
        <f t="array" ref="AM164">$G$3+IFERROR(VLOOKUP($AH164,$F$4:$G$7,2,FALSE),0)+VLOOKUP($R164,武学奇术!$A:$ZZ,2,FALSE)+SUM(_xlfn.XLOOKUP($S164:$AG164,增益!$A:$A,增益!$B:$B,0))</f>
        <v>1.203</v>
      </c>
      <c r="AN164" s="21" cm="1">
        <f t="array" ref="AN164">VLOOKUP($R164,武学奇术!$A:$ZZ,5,FALSE)+SUM(_xlfn.XLOOKUP($S164:$AG164,增益!$A:$A,增益!$E:$E,0))</f>
        <v>0</v>
      </c>
      <c r="AO164" cm="1">
        <f t="array" ref="AO164">$D$10*(1+$AN164)+VLOOKUP($R164,武学奇术!$A:$ZZ,3,FALSE)+SUM(_xlfn.XLOOKUP($S164:$AG164,增益!$A:$A,增益!$C:$C,0))-$I$2</f>
        <v>1825.28</v>
      </c>
      <c r="AP164" cm="1">
        <f t="array" ref="AP164">$E$10*(1+$AN164)+VLOOKUP($R164,武学奇术!$A:$ZZ,4,FALSE)+SUM(_xlfn.XLOOKUP($S164:$AG164,增益!$A:$A,增益!$D:$D,0))-$I$2</f>
        <v>7757.36</v>
      </c>
      <c r="AQ164" s="26" cm="1">
        <f t="array" ref="AQ164">IF($F$10-$I$3+VLOOKUP($R164,武学奇术!$A:$ZZ,6,FALSE)+SUM(_xlfn.XLOOKUP(S164:AG164,增益!$A:$A,增益!$F:$F,0))&gt;0,($F$10-$I$3+VLOOKUP($R164,武学奇术!$A:$ZZ,6,FALSE)+SUM(_xlfn.XLOOKUP(S164:AG164,增益!$A:$A,增益!$F:$F,0)))/200,($F$10-$I$3+VLOOKUP($R164,武学奇术!$A:$ZZ,6,FALSE)+SUM(_xlfn.XLOOKUP(S164:AG164,增益!$A:$A,增益!$F:$F,0)))/100)</f>
        <v>0.244</v>
      </c>
      <c r="AR164" s="26" cm="1">
        <f t="array" ref="AR164">$G$10+VLOOKUP($R164,武学奇术!$A:$ZZ,7,FALSE)+SUM(_xlfn.XLOOKUP(S164:AG164,增益!$A:$A,增益!$G:$G,0))</f>
        <v>0</v>
      </c>
      <c r="AS164" s="21" cm="1">
        <f t="array" ref="AS164">VLOOKUP($R164,武学奇术!$A:$ZZ,8,FALSE)+SUM(_xlfn.XLOOKUP(S164:AG164,增益!$A:$A,增益!$H:$H,0))</f>
        <v>0</v>
      </c>
      <c r="AT164">
        <f t="shared" si="23"/>
        <v>680.02</v>
      </c>
      <c r="AU164">
        <f t="shared" si="24"/>
        <v>1288.54</v>
      </c>
      <c r="AV164" s="26" cm="1">
        <f t="array" ref="AV164">IF($F$11-$I$4+VLOOKUP($R164,武学奇术!$A:$ZZ,9,FALSE)+SUM(_xlfn.XLOOKUP(S164:AG164,增益!$A:$A,增益!$I:$I,0))&gt;0,($F$11-$I$4+VLOOKUP($R164,武学奇术!$A:$ZZ,9,FALSE)+SUM(_xlfn.XLOOKUP(S164:AG164,增益!$A:$A,增益!$I:$I,0)))/200,($F$11-$I$4+VLOOKUP($R164,武学奇术!$A:$ZZ,9,FALSE)+SUM(_xlfn.XLOOKUP(S164:AG164,增益!$A:$A,增益!$I:$I,0)))/100)</f>
        <v>0</v>
      </c>
      <c r="AW164" s="26" cm="1">
        <f t="array" ref="AW164">$G$11+VLOOKUP($R164,武学奇术!$A:$ZZ,10,FALSE)+SUM(_xlfn.XLOOKUP(S164:AG164,增益!$A:$A,增益!$J:$J,0))</f>
        <v>0.15</v>
      </c>
      <c r="AX164">
        <f t="shared" si="25"/>
        <v>0</v>
      </c>
      <c r="AY164">
        <f t="shared" si="26"/>
        <v>0</v>
      </c>
      <c r="AZ164" s="26" cm="1">
        <f t="array" ref="AZ164">IF($F$12-$I$4+VLOOKUP($R164,武学奇术!$A:$ZZ,11,FALSE)+SUM(_xlfn.XLOOKUP(S164:AG164,增益!$A:$A,增益!$K:$K,0))&gt;0,($F$12-$I$4+VLOOKUP($R164,武学奇术!$A:$ZZ,11,FALSE)+SUM(_xlfn.XLOOKUP(S164:AG164,增益!$A:$A,增益!$K:$K,0)))/200,($F$12-$I$4+VLOOKUP($R164,武学奇术!$A:$ZZ,11,FALSE)+SUM(_xlfn.XLOOKUP(S164:AG164,增益!$A:$A,增益!$K:$K,0)))/100)</f>
        <v>-0.3</v>
      </c>
      <c r="BA164" s="26" cm="1">
        <f t="array" ref="BA164">$G$12+VLOOKUP($R164,武学奇术!$A:$ZZ,12,FALSE)+SUM(_xlfn.XLOOKUP(S164:AG164,增益!$A:$A,增益!$L:$L,0))</f>
        <v>0</v>
      </c>
      <c r="BB164">
        <f t="shared" si="27"/>
        <v>0</v>
      </c>
      <c r="BC164">
        <f t="shared" si="28"/>
        <v>0</v>
      </c>
      <c r="BD164" s="26" cm="1">
        <f t="array" ref="BD164">IF($F$13-$I$4+VLOOKUP($R164,武学奇术!$A:$ZZ,13,FALSE)+SUM(_xlfn.XLOOKUP(S164:AG164,增益!$A:$A,增益!$M:$M,0))&gt;0,($F$13-$I$4+VLOOKUP($R164,武学奇术!$A:$ZZ,13,FALSE)+SUM(_xlfn.XLOOKUP(S164:AG164,增益!$A:$A,增益!$K:$K,0)))/200,($F$13-$I$4+VLOOKUP($R164,武学奇术!$A:$ZZ,13,FALSE)+SUM(_xlfn.XLOOKUP(S164:AG164,增益!$A:$A,增益!$M:$M,0)))/100)</f>
        <v>-0.3</v>
      </c>
      <c r="BE164" s="26" cm="1">
        <f t="array" ref="BE164">$G$13+VLOOKUP($R164,武学奇术!$A:$ZZ,14,FALSE)+SUM(_xlfn.XLOOKUP(S164:AG164,增益!$A:$A,增益!$N:$N,0))</f>
        <v>0</v>
      </c>
      <c r="BF164">
        <f t="shared" si="29"/>
        <v>0</v>
      </c>
      <c r="BG164">
        <f t="shared" si="30"/>
        <v>0</v>
      </c>
      <c r="BH164" s="26" cm="1">
        <f t="array" ref="BH164">IF($F$14-$I$4+VLOOKUP($R164,武学奇术!$A:$ZZ,15,FALSE)+SUM(_xlfn.XLOOKUP(S164:AG164,增益!$A:$A,增益!$O:$O,0))&gt;0,($F$14-$I$4+VLOOKUP($R164,武学奇术!$A:$ZZ,15,FALSE)+SUM(_xlfn.XLOOKUP(S164:AG164,增益!$A:$A,增益!$O:$O,0)))/200,($F$14-$I$4+VLOOKUP($R164,武学奇术!$A:$ZZ,15,FALSE)+SUM(_xlfn.XLOOKUP(S164:AG164,增益!$A:$A,增益!$O:$O,0)))/100)</f>
        <v>-0.3</v>
      </c>
      <c r="BI164" s="26" cm="1">
        <f t="array" ref="BI164">$G$14+VLOOKUP($R164,武学奇术!$A:$ZZ,16,FALSE)+SUM(_xlfn.XLOOKUP(S164:AG164,增益!$A:$A,增益!$P:$P,0))</f>
        <v>0</v>
      </c>
      <c r="BJ164" s="21">
        <f>MIN(IF(VLOOKUP($R164,武学奇术!$A:$ZZ,23,FALSE)=1,100%,$B$8),100%)</f>
        <v>0.8229</v>
      </c>
      <c r="BK164" s="21" cm="1">
        <f t="array" ref="BK164">IF(VLOOKUP($R164,武学奇术!$A:$ZZ,23,FALSE)=1,100%,MIN(80%,$B$9+VLOOKUP($R164,武学奇术!$A:$ZZ,17,FALSE)+SUM(_xlfn.XLOOKUP(S164:AG164,增益!$A:$A,增益!$Q:$Q,0)))+$B$11+SUM(_xlfn.XLOOKUP(S164:AG164,增益!$A:$A,增益!$U:$U,0)))*IF(VLOOKUP($R164,武学奇术!$A:$ZZ,24,FALSE)=1,0,1)</f>
        <v>0.2285</v>
      </c>
      <c r="BL164" s="21" cm="1">
        <f t="array" ref="BL164">1+$B$13+VLOOKUP($R164,武学奇术!$A:$ZZ,18,FALSE)+SUM(_xlfn.XLOOKUP(S164:AG164,增益!$A:$A,增益!$R:$R,0))</f>
        <v>1.5</v>
      </c>
      <c r="BM164" s="21" cm="1">
        <f t="array" ref="BM164">IF(VLOOKUP($R164,武学奇术!$A:$ZZ,24,FALSE)=1,100%,MIN(40%,$B$10+VLOOKUP($R164,武学奇术!$A:$ZZ,19,FALSE)+SUM(_xlfn.XLOOKUP(S164:AG164,增益!$A:$A,增益!$S:$S,0)))+$B$12+SUM(_xlfn.XLOOKUP(S164:AG164,增益!$A:$A,增益!$V:$V,0)))*IF(VLOOKUP($R164,武学奇术!$A:$ZZ,23,FALSE)=1,0,1)</f>
        <v>0.4495</v>
      </c>
      <c r="BN164" s="21" cm="1">
        <f t="array" ref="BN164">1+$B$14+VLOOKUP($R164,武学奇术!$A:$ZZ,20,FALSE)+SUM(_xlfn.XLOOKUP(S164:AG164,增益!$A:$A,增益!$T:$T,0))</f>
        <v>1.602</v>
      </c>
      <c r="BO164" s="21">
        <f t="shared" si="31"/>
        <v>0.18803265</v>
      </c>
      <c r="BP164" s="21">
        <f t="shared" si="32"/>
        <v>0.2649738</v>
      </c>
      <c r="BQ164" s="21">
        <f>IF(VLOOKUP($R164,武学奇术!$A:$ZZ,22,FALSE)=1,0,(1-$BJ164))*(1-$BM164)</f>
        <v>0.09749355</v>
      </c>
      <c r="BR164" s="21" cm="1">
        <f t="array" ref="BR164">SUM(_xlfn.XLOOKUP(S164:AG164,增益!$A:$A,增益!$W:$W,0))+$I$5</f>
        <v>0.06</v>
      </c>
    </row>
    <row r="165" spans="11:70">
      <c r="K165" s="24">
        <f>$L165*VLOOKUP($R165,武学奇术!$A:$ZZ,31,FALSE)</f>
        <v>18298.1136817848</v>
      </c>
      <c r="L165" s="24">
        <f t="shared" si="22"/>
        <v>36596.2273635695</v>
      </c>
      <c r="M165" s="24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BL165*$Q165*(1+IF(VLOOKUP($R165,武学奇术!$A:$ZZ,30,FALSE)="流血",$B$21,0))*(1+$BR165)</f>
        <v>32352.837150045</v>
      </c>
      <c r="N165" s="24">
        <f>(($AP165*$AI165+$AJ165)*(1+$AQ165)*(1+$AR165)+($AU165*IF($G$1="鸣金",$AK165,$AI165)+IF($G$1="鸣金",$AL165*1.5,0))*(1+$AV165)*(1+$AW165)+($AY165*IF($G$1="裂石",$AK165,$AI165)+IF($G$1="裂石",$AL165*1.5,0))*(1+$AZ165)*(1+$BA165)+($BC165*IF($G$1="牵丝",$AK165,$AI165)+IF($G$1="牵丝",$AL165*1.5,0))*(1+$BD165)*(1+$BE165)+($BG165*IF($G$1="破竹",$AK165,$AI165)+IF($G$1="破竹",$AL165*1.5,0))*(1+$BH165)*(1+$BI165))*(1+$AM165)*$BN165*$Q165*(1+IF(VLOOKUP($R165,武学奇术!$A:$ZZ,30,FALSE)="流血",$B$21,0))*(1+$BR165)</f>
        <v>52984.7837192323</v>
      </c>
      <c r="O165" s="24">
        <f>((($AO165+$AP165)/2*$AI165+$AJ165)*(1+$AQ165)*(1+$AR165)+(($AT165+$AU165)/2*IF($G$1="鸣金",$AK165,$AI165)+IF($G$1="鸣金",$AL165*1.5,0))*(1+$AV165)*(1+$AW165)+(($AX165+$AY165)/2*IF($G$1="裂石",$AK165,$AI165)+IF($G$1="裂石",$AL165*1.5,0))*(1+$AZ165)*(1+$BA165)+(($BB165+$BC165)/2*IF($G$1="牵丝",$AK165,$AI165)+IF($G$1="牵丝",$AL165*1.5,0))*(1+$BD165)*(1+$BE165)+(($BF165+$BG165)/2*IF($G$1="破竹",$AK165,$AI165)+IF($G$1="破竹",$AL165*1.5,0))*(1+$BH165)*(1+$BI165))*(1+$AM165)*$Q165*(1+IF(VLOOKUP($R165,武学奇术!$A:$ZZ,30,FALSE)="流血",$B$21,0))*(1+$BR165)</f>
        <v>21568.55810003</v>
      </c>
      <c r="P165" s="24">
        <f>((($AO165*$AI165+$AJ165)*(1+$AQ165)*(1+$AR165)+($AT165*IF($G$1="鸣金",$AK165,$AI165)+IF($G$1="鸣金",$AL165*1.5,0))*(1+$AV165)*(1+$AW165)+($AX165*IF($G$1="裂石",$AK165,$AI165)+IF($G$1="裂石",$AL165*1.5,0))*(1+$AZ165)*(1+$BA165)+($BB165*IF($G$1="牵丝",$AK165,$AI165)+IF($G$1="牵丝",$AL165*1.5,0))*(1+$BD165)*(1+$BE165)+($BF165*IF($G$1="破竹",$AK165,$AI165)+IF($G$1="破竹",$AL165*1.5,0))*(1+$BH165)*(1+$BI165))*(1+$AM165))*$Q165*(1+IF(VLOOKUP($R165,武学奇术!$A:$ZZ,30,FALSE)="流血",$B$21,0))*(1+$BR165)</f>
        <v>10062.9690594655</v>
      </c>
      <c r="Q165" s="31">
        <v>4</v>
      </c>
      <c r="R165" s="32" t="s">
        <v>194</v>
      </c>
      <c r="S165" s="32" t="s">
        <v>87</v>
      </c>
      <c r="T165" s="32" t="s">
        <v>96</v>
      </c>
      <c r="U165" s="32" t="s">
        <v>97</v>
      </c>
      <c r="V165" s="32" t="s">
        <v>73</v>
      </c>
      <c r="W165" s="32" t="s">
        <v>111</v>
      </c>
      <c r="X165" s="32" t="s">
        <v>127</v>
      </c>
      <c r="Y165" s="32" t="s">
        <v>179</v>
      </c>
      <c r="Z165" s="32" t="s">
        <v>182</v>
      </c>
      <c r="AA165" s="32" t="s">
        <v>81</v>
      </c>
      <c r="AB165" s="32" t="s">
        <v>75</v>
      </c>
      <c r="AC165" s="32" t="s">
        <v>76</v>
      </c>
      <c r="AD165" s="32" t="s">
        <v>82</v>
      </c>
      <c r="AE165" s="32" t="s">
        <v>183</v>
      </c>
      <c r="AF165" s="32" t="s">
        <v>73</v>
      </c>
      <c r="AG165" s="32" t="s">
        <v>178</v>
      </c>
      <c r="AH165" t="str">
        <f>VLOOKUP($R165,武学奇术!$A:$ZZ,25,FALSE)</f>
        <v>单体奇术</v>
      </c>
      <c r="AI165" s="21">
        <f>VLOOKUP($R165,武学奇术!$A:$ZZ,26,FALSE)</f>
        <v>0.236</v>
      </c>
      <c r="AJ165" s="22">
        <f>VLOOKUP($R165,武学奇术!$A:$ZZ,27,FALSE)*(1+IF(OR($AH165=$F$4,$AH165=$F$5),$B$22,0))</f>
        <v>46</v>
      </c>
      <c r="AK165" s="21">
        <f>VLOOKUP($R165,武学奇术!$A:$ZZ,28,FALSE)</f>
        <v>0.354</v>
      </c>
      <c r="AL165" s="22">
        <f>VLOOKUP($R165,武学奇术!$A:$ZZ,29,FALSE)*(1+IF(OR($AH165=$F$4,$AH165=$F$5),$B$22,0))</f>
        <v>0</v>
      </c>
      <c r="AM165" s="21" cm="1">
        <f t="array" ref="AM165">$G$3+IFERROR(VLOOKUP($AH165,$F$4:$G$7,2,FALSE),0)+VLOOKUP($R165,武学奇术!$A:$ZZ,2,FALSE)+SUM(_xlfn.XLOOKUP($S165:$AG165,增益!$A:$A,增益!$B:$B,0))</f>
        <v>1.493</v>
      </c>
      <c r="AN165" s="21" cm="1">
        <f t="array" ref="AN165">VLOOKUP($R165,武学奇术!$A:$ZZ,5,FALSE)+SUM(_xlfn.XLOOKUP($S165:$AG165,增益!$A:$A,增益!$E:$E,0))</f>
        <v>0</v>
      </c>
      <c r="AO165" cm="1">
        <f t="array" ref="AO165">$D$10*(1+$AN165)+VLOOKUP($R165,武学奇术!$A:$ZZ,3,FALSE)+SUM(_xlfn.XLOOKUP($S165:$AG165,增益!$A:$A,增益!$C:$C,0))-$I$2</f>
        <v>1825.28</v>
      </c>
      <c r="AP165" cm="1">
        <f t="array" ref="AP165">$E$10*(1+$AN165)+VLOOKUP($R165,武学奇术!$A:$ZZ,4,FALSE)+SUM(_xlfn.XLOOKUP($S165:$AG165,增益!$A:$A,增益!$D:$D,0))-$I$2</f>
        <v>7757.36</v>
      </c>
      <c r="AQ165" s="26" cm="1">
        <f t="array" ref="AQ165">IF($F$10-$I$3+VLOOKUP($R165,武学奇术!$A:$ZZ,6,FALSE)+SUM(_xlfn.XLOOKUP(S165:AG165,增益!$A:$A,增益!$F:$F,0))&gt;0,($F$10-$I$3+VLOOKUP($R165,武学奇术!$A:$ZZ,6,FALSE)+SUM(_xlfn.XLOOKUP(S165:AG165,增益!$A:$A,增益!$F:$F,0)))/200,($F$10-$I$3+VLOOKUP($R165,武学奇术!$A:$ZZ,6,FALSE)+SUM(_xlfn.XLOOKUP(S165:AG165,增益!$A:$A,增益!$F:$F,0)))/100)</f>
        <v>0.244</v>
      </c>
      <c r="AR165" s="26" cm="1">
        <f t="array" ref="AR165">$G$10+VLOOKUP($R165,武学奇术!$A:$ZZ,7,FALSE)+SUM(_xlfn.XLOOKUP(S165:AG165,增益!$A:$A,增益!$G:$G,0))</f>
        <v>0</v>
      </c>
      <c r="AS165" s="21" cm="1">
        <f t="array" ref="AS165">VLOOKUP($R165,武学奇术!$A:$ZZ,8,FALSE)+SUM(_xlfn.XLOOKUP(S165:AG165,增益!$A:$A,增益!$H:$H,0))</f>
        <v>0</v>
      </c>
      <c r="AT165">
        <f t="shared" si="23"/>
        <v>680.02</v>
      </c>
      <c r="AU165">
        <f t="shared" si="24"/>
        <v>1288.54</v>
      </c>
      <c r="AV165" s="26" cm="1">
        <f t="array" ref="AV165">IF($F$11-$I$4+VLOOKUP($R165,武学奇术!$A:$ZZ,9,FALSE)+SUM(_xlfn.XLOOKUP(S165:AG165,增益!$A:$A,增益!$I:$I,0))&gt;0,($F$11-$I$4+VLOOKUP($R165,武学奇术!$A:$ZZ,9,FALSE)+SUM(_xlfn.XLOOKUP(S165:AG165,增益!$A:$A,增益!$I:$I,0)))/200,($F$11-$I$4+VLOOKUP($R165,武学奇术!$A:$ZZ,9,FALSE)+SUM(_xlfn.XLOOKUP(S165:AG165,增益!$A:$A,增益!$I:$I,0)))/100)</f>
        <v>0</v>
      </c>
      <c r="AW165" s="26" cm="1">
        <f t="array" ref="AW165">$G$11+VLOOKUP($R165,武学奇术!$A:$ZZ,10,FALSE)+SUM(_xlfn.XLOOKUP(S165:AG165,增益!$A:$A,增益!$J:$J,0))</f>
        <v>0.15</v>
      </c>
      <c r="AX165">
        <f t="shared" si="25"/>
        <v>0</v>
      </c>
      <c r="AY165">
        <f t="shared" si="26"/>
        <v>0</v>
      </c>
      <c r="AZ165" s="26" cm="1">
        <f t="array" ref="AZ165">IF($F$12-$I$4+VLOOKUP($R165,武学奇术!$A:$ZZ,11,FALSE)+SUM(_xlfn.XLOOKUP(S165:AG165,增益!$A:$A,增益!$K:$K,0))&gt;0,($F$12-$I$4+VLOOKUP($R165,武学奇术!$A:$ZZ,11,FALSE)+SUM(_xlfn.XLOOKUP(S165:AG165,增益!$A:$A,增益!$K:$K,0)))/200,($F$12-$I$4+VLOOKUP($R165,武学奇术!$A:$ZZ,11,FALSE)+SUM(_xlfn.XLOOKUP(S165:AG165,增益!$A:$A,增益!$K:$K,0)))/100)</f>
        <v>-0.3</v>
      </c>
      <c r="BA165" s="26" cm="1">
        <f t="array" ref="BA165">$G$12+VLOOKUP($R165,武学奇术!$A:$ZZ,12,FALSE)+SUM(_xlfn.XLOOKUP(S165:AG165,增益!$A:$A,增益!$L:$L,0))</f>
        <v>0</v>
      </c>
      <c r="BB165">
        <f t="shared" si="27"/>
        <v>0</v>
      </c>
      <c r="BC165">
        <f t="shared" si="28"/>
        <v>0</v>
      </c>
      <c r="BD165" s="26" cm="1">
        <f t="array" ref="BD165">IF($F$13-$I$4+VLOOKUP($R165,武学奇术!$A:$ZZ,13,FALSE)+SUM(_xlfn.XLOOKUP(S165:AG165,增益!$A:$A,增益!$M:$M,0))&gt;0,($F$13-$I$4+VLOOKUP($R165,武学奇术!$A:$ZZ,13,FALSE)+SUM(_xlfn.XLOOKUP(S165:AG165,增益!$A:$A,增益!$K:$K,0)))/200,($F$13-$I$4+VLOOKUP($R165,武学奇术!$A:$ZZ,13,FALSE)+SUM(_xlfn.XLOOKUP(S165:AG165,增益!$A:$A,增益!$M:$M,0)))/100)</f>
        <v>-0.3</v>
      </c>
      <c r="BE165" s="26" cm="1">
        <f t="array" ref="BE165">$G$13+VLOOKUP($R165,武学奇术!$A:$ZZ,14,FALSE)+SUM(_xlfn.XLOOKUP(S165:AG165,增益!$A:$A,增益!$N:$N,0))</f>
        <v>0</v>
      </c>
      <c r="BF165">
        <f t="shared" si="29"/>
        <v>0</v>
      </c>
      <c r="BG165">
        <f t="shared" si="30"/>
        <v>0</v>
      </c>
      <c r="BH165" s="26" cm="1">
        <f t="array" ref="BH165">IF($F$14-$I$4+VLOOKUP($R165,武学奇术!$A:$ZZ,15,FALSE)+SUM(_xlfn.XLOOKUP(S165:AG165,增益!$A:$A,增益!$O:$O,0))&gt;0,($F$14-$I$4+VLOOKUP($R165,武学奇术!$A:$ZZ,15,FALSE)+SUM(_xlfn.XLOOKUP(S165:AG165,增益!$A:$A,增益!$O:$O,0)))/200,($F$14-$I$4+VLOOKUP($R165,武学奇术!$A:$ZZ,15,FALSE)+SUM(_xlfn.XLOOKUP(S165:AG165,增益!$A:$A,增益!$O:$O,0)))/100)</f>
        <v>-0.3</v>
      </c>
      <c r="BI165" s="26" cm="1">
        <f t="array" ref="BI165">$G$14+VLOOKUP($R165,武学奇术!$A:$ZZ,16,FALSE)+SUM(_xlfn.XLOOKUP(S165:AG165,增益!$A:$A,增益!$P:$P,0))</f>
        <v>0</v>
      </c>
      <c r="BJ165" s="21">
        <f>MIN(IF(VLOOKUP($R165,武学奇术!$A:$ZZ,23,FALSE)=1,100%,$B$8),100%)</f>
        <v>0.8229</v>
      </c>
      <c r="BK165" s="21" cm="1">
        <f t="array" ref="BK165">IF(VLOOKUP($R165,武学奇术!$A:$ZZ,23,FALSE)=1,100%,MIN(80%,$B$9+VLOOKUP($R165,武学奇术!$A:$ZZ,17,FALSE)+SUM(_xlfn.XLOOKUP(S165:AG165,增益!$A:$A,增益!$Q:$Q,0)))+$B$11+SUM(_xlfn.XLOOKUP(S165:AG165,增益!$A:$A,增益!$U:$U,0)))*IF(VLOOKUP($R165,武学奇术!$A:$ZZ,24,FALSE)=1,0,1)</f>
        <v>0.2285</v>
      </c>
      <c r="BL165" s="21" cm="1">
        <f t="array" ref="BL165">1+$B$13+VLOOKUP($R165,武学奇术!$A:$ZZ,18,FALSE)+SUM(_xlfn.XLOOKUP(S165:AG165,增益!$A:$A,增益!$R:$R,0))</f>
        <v>1.5</v>
      </c>
      <c r="BM165" s="21" cm="1">
        <f t="array" ref="BM165">IF(VLOOKUP($R165,武学奇术!$A:$ZZ,24,FALSE)=1,100%,MIN(40%,$B$10+VLOOKUP($R165,武学奇术!$A:$ZZ,19,FALSE)+SUM(_xlfn.XLOOKUP(S165:AG165,增益!$A:$A,增益!$S:$S,0)))+$B$12+SUM(_xlfn.XLOOKUP(S165:AG165,增益!$A:$A,增益!$V:$V,0)))*IF(VLOOKUP($R165,武学奇术!$A:$ZZ,23,FALSE)=1,0,1)</f>
        <v>0.4495</v>
      </c>
      <c r="BN165" s="21" cm="1">
        <f t="array" ref="BN165">1+$B$14+VLOOKUP($R165,武学奇术!$A:$ZZ,20,FALSE)+SUM(_xlfn.XLOOKUP(S165:AG165,增益!$A:$A,增益!$T:$T,0))</f>
        <v>1.602</v>
      </c>
      <c r="BO165" s="21">
        <f t="shared" si="31"/>
        <v>0.18803265</v>
      </c>
      <c r="BP165" s="21">
        <f t="shared" si="32"/>
        <v>0.2649738</v>
      </c>
      <c r="BQ165" s="21">
        <f>IF(VLOOKUP($R165,武学奇术!$A:$ZZ,22,FALSE)=1,0,(1-$BJ165))*(1-$BM165)</f>
        <v>0.09749355</v>
      </c>
      <c r="BR165" s="21" cm="1">
        <f t="array" ref="BR165">SUM(_xlfn.XLOOKUP(S165:AG165,增益!$A:$A,增益!$W:$W,0))+$I$5</f>
        <v>0.16</v>
      </c>
    </row>
    <row r="166" spans="11:70">
      <c r="K166" s="24">
        <f>$L166*VLOOKUP($R166,武学奇术!$A:$ZZ,31,FALSE)</f>
        <v>18298.1136817848</v>
      </c>
      <c r="L166" s="24">
        <f t="shared" si="22"/>
        <v>36596.2273635695</v>
      </c>
      <c r="M166" s="24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BL166*$Q166*(1+IF(VLOOKUP($R166,武学奇术!$A:$ZZ,30,FALSE)="流血",$B$21,0))*(1+$BR166)</f>
        <v>32352.837150045</v>
      </c>
      <c r="N166" s="24">
        <f>(($AP166*$AI166+$AJ166)*(1+$AQ166)*(1+$AR166)+($AU166*IF($G$1="鸣金",$AK166,$AI166)+IF($G$1="鸣金",$AL166*1.5,0))*(1+$AV166)*(1+$AW166)+($AY166*IF($G$1="裂石",$AK166,$AI166)+IF($G$1="裂石",$AL166*1.5,0))*(1+$AZ166)*(1+$BA166)+($BC166*IF($G$1="牵丝",$AK166,$AI166)+IF($G$1="牵丝",$AL166*1.5,0))*(1+$BD166)*(1+$BE166)+($BG166*IF($G$1="破竹",$AK166,$AI166)+IF($G$1="破竹",$AL166*1.5,0))*(1+$BH166)*(1+$BI166))*(1+$AM166)*$BN166*$Q166*(1+IF(VLOOKUP($R166,武学奇术!$A:$ZZ,30,FALSE)="流血",$B$21,0))*(1+$BR166)</f>
        <v>52984.7837192323</v>
      </c>
      <c r="O166" s="24">
        <f>((($AO166+$AP166)/2*$AI166+$AJ166)*(1+$AQ166)*(1+$AR166)+(($AT166+$AU166)/2*IF($G$1="鸣金",$AK166,$AI166)+IF($G$1="鸣金",$AL166*1.5,0))*(1+$AV166)*(1+$AW166)+(($AX166+$AY166)/2*IF($G$1="裂石",$AK166,$AI166)+IF($G$1="裂石",$AL166*1.5,0))*(1+$AZ166)*(1+$BA166)+(($BB166+$BC166)/2*IF($G$1="牵丝",$AK166,$AI166)+IF($G$1="牵丝",$AL166*1.5,0))*(1+$BD166)*(1+$BE166)+(($BF166+$BG166)/2*IF($G$1="破竹",$AK166,$AI166)+IF($G$1="破竹",$AL166*1.5,0))*(1+$BH166)*(1+$BI166))*(1+$AM166)*$Q166*(1+IF(VLOOKUP($R166,武学奇术!$A:$ZZ,30,FALSE)="流血",$B$21,0))*(1+$BR166)</f>
        <v>21568.55810003</v>
      </c>
      <c r="P166" s="24">
        <f>((($AO166*$AI166+$AJ166)*(1+$AQ166)*(1+$AR166)+($AT166*IF($G$1="鸣金",$AK166,$AI166)+IF($G$1="鸣金",$AL166*1.5,0))*(1+$AV166)*(1+$AW166)+($AX166*IF($G$1="裂石",$AK166,$AI166)+IF($G$1="裂石",$AL166*1.5,0))*(1+$AZ166)*(1+$BA166)+($BB166*IF($G$1="牵丝",$AK166,$AI166)+IF($G$1="牵丝",$AL166*1.5,0))*(1+$BD166)*(1+$BE166)+($BF166*IF($G$1="破竹",$AK166,$AI166)+IF($G$1="破竹",$AL166*1.5,0))*(1+$BH166)*(1+$BI166))*(1+$AM166))*$Q166*(1+IF(VLOOKUP($R166,武学奇术!$A:$ZZ,30,FALSE)="流血",$B$21,0))*(1+$BR166)</f>
        <v>10062.9690594655</v>
      </c>
      <c r="Q166" s="31">
        <v>4</v>
      </c>
      <c r="R166" s="32" t="s">
        <v>194</v>
      </c>
      <c r="S166" s="32" t="s">
        <v>87</v>
      </c>
      <c r="T166" s="32" t="s">
        <v>96</v>
      </c>
      <c r="U166" s="32" t="s">
        <v>97</v>
      </c>
      <c r="V166" s="32" t="s">
        <v>73</v>
      </c>
      <c r="W166" s="32" t="s">
        <v>111</v>
      </c>
      <c r="X166" s="32" t="s">
        <v>127</v>
      </c>
      <c r="Y166" s="32" t="s">
        <v>179</v>
      </c>
      <c r="Z166" s="32" t="s">
        <v>182</v>
      </c>
      <c r="AA166" s="32" t="s">
        <v>73</v>
      </c>
      <c r="AB166" s="32" t="s">
        <v>75</v>
      </c>
      <c r="AC166" s="32" t="s">
        <v>76</v>
      </c>
      <c r="AD166" s="32" t="s">
        <v>82</v>
      </c>
      <c r="AE166" s="32" t="s">
        <v>183</v>
      </c>
      <c r="AF166" s="32" t="s">
        <v>73</v>
      </c>
      <c r="AG166" s="32" t="s">
        <v>178</v>
      </c>
      <c r="AH166" t="str">
        <f>VLOOKUP($R166,武学奇术!$A:$ZZ,25,FALSE)</f>
        <v>单体奇术</v>
      </c>
      <c r="AI166" s="21">
        <f>VLOOKUP($R166,武学奇术!$A:$ZZ,26,FALSE)</f>
        <v>0.236</v>
      </c>
      <c r="AJ166" s="22">
        <f>VLOOKUP($R166,武学奇术!$A:$ZZ,27,FALSE)*(1+IF(OR($AH166=$F$4,$AH166=$F$5),$B$22,0))</f>
        <v>46</v>
      </c>
      <c r="AK166" s="21">
        <f>VLOOKUP($R166,武学奇术!$A:$ZZ,28,FALSE)</f>
        <v>0.354</v>
      </c>
      <c r="AL166" s="22">
        <f>VLOOKUP($R166,武学奇术!$A:$ZZ,29,FALSE)*(1+IF(OR($AH166=$F$4,$AH166=$F$5),$B$22,0))</f>
        <v>0</v>
      </c>
      <c r="AM166" s="21" cm="1">
        <f t="array" ref="AM166">$G$3+IFERROR(VLOOKUP($AH166,$F$4:$G$7,2,FALSE),0)+VLOOKUP($R166,武学奇术!$A:$ZZ,2,FALSE)+SUM(_xlfn.XLOOKUP($S166:$AG166,增益!$A:$A,增益!$B:$B,0))</f>
        <v>1.493</v>
      </c>
      <c r="AN166" s="21" cm="1">
        <f t="array" ref="AN166">VLOOKUP($R166,武学奇术!$A:$ZZ,5,FALSE)+SUM(_xlfn.XLOOKUP($S166:$AG166,增益!$A:$A,增益!$E:$E,0))</f>
        <v>0</v>
      </c>
      <c r="AO166" cm="1">
        <f t="array" ref="AO166">$D$10*(1+$AN166)+VLOOKUP($R166,武学奇术!$A:$ZZ,3,FALSE)+SUM(_xlfn.XLOOKUP($S166:$AG166,增益!$A:$A,增益!$C:$C,0))-$I$2</f>
        <v>1825.28</v>
      </c>
      <c r="AP166" cm="1">
        <f t="array" ref="AP166">$E$10*(1+$AN166)+VLOOKUP($R166,武学奇术!$A:$ZZ,4,FALSE)+SUM(_xlfn.XLOOKUP($S166:$AG166,增益!$A:$A,增益!$D:$D,0))-$I$2</f>
        <v>7757.36</v>
      </c>
      <c r="AQ166" s="26" cm="1">
        <f t="array" ref="AQ166">IF($F$10-$I$3+VLOOKUP($R166,武学奇术!$A:$ZZ,6,FALSE)+SUM(_xlfn.XLOOKUP(S166:AG166,增益!$A:$A,增益!$F:$F,0))&gt;0,($F$10-$I$3+VLOOKUP($R166,武学奇术!$A:$ZZ,6,FALSE)+SUM(_xlfn.XLOOKUP(S166:AG166,增益!$A:$A,增益!$F:$F,0)))/200,($F$10-$I$3+VLOOKUP($R166,武学奇术!$A:$ZZ,6,FALSE)+SUM(_xlfn.XLOOKUP(S166:AG166,增益!$A:$A,增益!$F:$F,0)))/100)</f>
        <v>0.244</v>
      </c>
      <c r="AR166" s="26" cm="1">
        <f t="array" ref="AR166">$G$10+VLOOKUP($R166,武学奇术!$A:$ZZ,7,FALSE)+SUM(_xlfn.XLOOKUP(S166:AG166,增益!$A:$A,增益!$G:$G,0))</f>
        <v>0</v>
      </c>
      <c r="AS166" s="21" cm="1">
        <f t="array" ref="AS166">VLOOKUP($R166,武学奇术!$A:$ZZ,8,FALSE)+SUM(_xlfn.XLOOKUP(S166:AG166,增益!$A:$A,增益!$H:$H,0))</f>
        <v>0</v>
      </c>
      <c r="AT166">
        <f t="shared" si="23"/>
        <v>680.02</v>
      </c>
      <c r="AU166">
        <f t="shared" si="24"/>
        <v>1288.54</v>
      </c>
      <c r="AV166" s="26" cm="1">
        <f t="array" ref="AV166">IF($F$11-$I$4+VLOOKUP($R166,武学奇术!$A:$ZZ,9,FALSE)+SUM(_xlfn.XLOOKUP(S166:AG166,增益!$A:$A,增益!$I:$I,0))&gt;0,($F$11-$I$4+VLOOKUP($R166,武学奇术!$A:$ZZ,9,FALSE)+SUM(_xlfn.XLOOKUP(S166:AG166,增益!$A:$A,增益!$I:$I,0)))/200,($F$11-$I$4+VLOOKUP($R166,武学奇术!$A:$ZZ,9,FALSE)+SUM(_xlfn.XLOOKUP(S166:AG166,增益!$A:$A,增益!$I:$I,0)))/100)</f>
        <v>0</v>
      </c>
      <c r="AW166" s="26" cm="1">
        <f t="array" ref="AW166">$G$11+VLOOKUP($R166,武学奇术!$A:$ZZ,10,FALSE)+SUM(_xlfn.XLOOKUP(S166:AG166,增益!$A:$A,增益!$J:$J,0))</f>
        <v>0.15</v>
      </c>
      <c r="AX166">
        <f t="shared" si="25"/>
        <v>0</v>
      </c>
      <c r="AY166">
        <f t="shared" si="26"/>
        <v>0</v>
      </c>
      <c r="AZ166" s="26" cm="1">
        <f t="array" ref="AZ166">IF($F$12-$I$4+VLOOKUP($R166,武学奇术!$A:$ZZ,11,FALSE)+SUM(_xlfn.XLOOKUP(S166:AG166,增益!$A:$A,增益!$K:$K,0))&gt;0,($F$12-$I$4+VLOOKUP($R166,武学奇术!$A:$ZZ,11,FALSE)+SUM(_xlfn.XLOOKUP(S166:AG166,增益!$A:$A,增益!$K:$K,0)))/200,($F$12-$I$4+VLOOKUP($R166,武学奇术!$A:$ZZ,11,FALSE)+SUM(_xlfn.XLOOKUP(S166:AG166,增益!$A:$A,增益!$K:$K,0)))/100)</f>
        <v>-0.3</v>
      </c>
      <c r="BA166" s="26" cm="1">
        <f t="array" ref="BA166">$G$12+VLOOKUP($R166,武学奇术!$A:$ZZ,12,FALSE)+SUM(_xlfn.XLOOKUP(S166:AG166,增益!$A:$A,增益!$L:$L,0))</f>
        <v>0</v>
      </c>
      <c r="BB166">
        <f t="shared" si="27"/>
        <v>0</v>
      </c>
      <c r="BC166">
        <f t="shared" si="28"/>
        <v>0</v>
      </c>
      <c r="BD166" s="26" cm="1">
        <f t="array" ref="BD166">IF($F$13-$I$4+VLOOKUP($R166,武学奇术!$A:$ZZ,13,FALSE)+SUM(_xlfn.XLOOKUP(S166:AG166,增益!$A:$A,增益!$M:$M,0))&gt;0,($F$13-$I$4+VLOOKUP($R166,武学奇术!$A:$ZZ,13,FALSE)+SUM(_xlfn.XLOOKUP(S166:AG166,增益!$A:$A,增益!$K:$K,0)))/200,($F$13-$I$4+VLOOKUP($R166,武学奇术!$A:$ZZ,13,FALSE)+SUM(_xlfn.XLOOKUP(S166:AG166,增益!$A:$A,增益!$M:$M,0)))/100)</f>
        <v>-0.3</v>
      </c>
      <c r="BE166" s="26" cm="1">
        <f t="array" ref="BE166">$G$13+VLOOKUP($R166,武学奇术!$A:$ZZ,14,FALSE)+SUM(_xlfn.XLOOKUP(S166:AG166,增益!$A:$A,增益!$N:$N,0))</f>
        <v>0</v>
      </c>
      <c r="BF166">
        <f t="shared" si="29"/>
        <v>0</v>
      </c>
      <c r="BG166">
        <f t="shared" si="30"/>
        <v>0</v>
      </c>
      <c r="BH166" s="26" cm="1">
        <f t="array" ref="BH166">IF($F$14-$I$4+VLOOKUP($R166,武学奇术!$A:$ZZ,15,FALSE)+SUM(_xlfn.XLOOKUP(S166:AG166,增益!$A:$A,增益!$O:$O,0))&gt;0,($F$14-$I$4+VLOOKUP($R166,武学奇术!$A:$ZZ,15,FALSE)+SUM(_xlfn.XLOOKUP(S166:AG166,增益!$A:$A,增益!$O:$O,0)))/200,($F$14-$I$4+VLOOKUP($R166,武学奇术!$A:$ZZ,15,FALSE)+SUM(_xlfn.XLOOKUP(S166:AG166,增益!$A:$A,增益!$O:$O,0)))/100)</f>
        <v>-0.3</v>
      </c>
      <c r="BI166" s="26" cm="1">
        <f t="array" ref="BI166">$G$14+VLOOKUP($R166,武学奇术!$A:$ZZ,16,FALSE)+SUM(_xlfn.XLOOKUP(S166:AG166,增益!$A:$A,增益!$P:$P,0))</f>
        <v>0</v>
      </c>
      <c r="BJ166" s="21">
        <f>MIN(IF(VLOOKUP($R166,武学奇术!$A:$ZZ,23,FALSE)=1,100%,$B$8),100%)</f>
        <v>0.8229</v>
      </c>
      <c r="BK166" s="21" cm="1">
        <f t="array" ref="BK166">IF(VLOOKUP($R166,武学奇术!$A:$ZZ,23,FALSE)=1,100%,MIN(80%,$B$9+VLOOKUP($R166,武学奇术!$A:$ZZ,17,FALSE)+SUM(_xlfn.XLOOKUP(S166:AG166,增益!$A:$A,增益!$Q:$Q,0)))+$B$11+SUM(_xlfn.XLOOKUP(S166:AG166,增益!$A:$A,增益!$U:$U,0)))*IF(VLOOKUP($R166,武学奇术!$A:$ZZ,24,FALSE)=1,0,1)</f>
        <v>0.2285</v>
      </c>
      <c r="BL166" s="21" cm="1">
        <f t="array" ref="BL166">1+$B$13+VLOOKUP($R166,武学奇术!$A:$ZZ,18,FALSE)+SUM(_xlfn.XLOOKUP(S166:AG166,增益!$A:$A,增益!$R:$R,0))</f>
        <v>1.5</v>
      </c>
      <c r="BM166" s="21" cm="1">
        <f t="array" ref="BM166">IF(VLOOKUP($R166,武学奇术!$A:$ZZ,24,FALSE)=1,100%,MIN(40%,$B$10+VLOOKUP($R166,武学奇术!$A:$ZZ,19,FALSE)+SUM(_xlfn.XLOOKUP(S166:AG166,增益!$A:$A,增益!$S:$S,0)))+$B$12+SUM(_xlfn.XLOOKUP(S166:AG166,增益!$A:$A,增益!$V:$V,0)))*IF(VLOOKUP($R166,武学奇术!$A:$ZZ,23,FALSE)=1,0,1)</f>
        <v>0.4495</v>
      </c>
      <c r="BN166" s="21" cm="1">
        <f t="array" ref="BN166">1+$B$14+VLOOKUP($R166,武学奇术!$A:$ZZ,20,FALSE)+SUM(_xlfn.XLOOKUP(S166:AG166,增益!$A:$A,增益!$T:$T,0))</f>
        <v>1.602</v>
      </c>
      <c r="BO166" s="21">
        <f t="shared" si="31"/>
        <v>0.18803265</v>
      </c>
      <c r="BP166" s="21">
        <f t="shared" si="32"/>
        <v>0.2649738</v>
      </c>
      <c r="BQ166" s="21">
        <f>IF(VLOOKUP($R166,武学奇术!$A:$ZZ,22,FALSE)=1,0,(1-$BJ166))*(1-$BM166)</f>
        <v>0.09749355</v>
      </c>
      <c r="BR166" s="21" cm="1">
        <f t="array" ref="BR166">SUM(_xlfn.XLOOKUP(S166:AG166,增益!$A:$A,增益!$W:$W,0))+$I$5</f>
        <v>0.16</v>
      </c>
    </row>
    <row r="167" spans="11:70">
      <c r="K167" s="24">
        <f>$L167*VLOOKUP($R167,武学奇术!$A:$ZZ,31,FALSE)</f>
        <v>9149.05684089238</v>
      </c>
      <c r="L167" s="24">
        <f t="shared" si="22"/>
        <v>18298.1136817848</v>
      </c>
      <c r="M167" s="24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BL167*$Q167*(1+IF(VLOOKUP($R167,武学奇术!$A:$ZZ,30,FALSE)="流血",$B$21,0))*(1+$BR167)</f>
        <v>16176.4185750225</v>
      </c>
      <c r="N167" s="24">
        <f>(($AP167*$AI167+$AJ167)*(1+$AQ167)*(1+$AR167)+($AU167*IF($G$1="鸣金",$AK167,$AI167)+IF($G$1="鸣金",$AL167*1.5,0))*(1+$AV167)*(1+$AW167)+($AY167*IF($G$1="裂石",$AK167,$AI167)+IF($G$1="裂石",$AL167*1.5,0))*(1+$AZ167)*(1+$BA167)+($BC167*IF($G$1="牵丝",$AK167,$AI167)+IF($G$1="牵丝",$AL167*1.5,0))*(1+$BD167)*(1+$BE167)+($BG167*IF($G$1="破竹",$AK167,$AI167)+IF($G$1="破竹",$AL167*1.5,0))*(1+$BH167)*(1+$BI167))*(1+$AM167)*$BN167*$Q167*(1+IF(VLOOKUP($R167,武学奇术!$A:$ZZ,30,FALSE)="流血",$B$21,0))*(1+$BR167)</f>
        <v>26492.3918596162</v>
      </c>
      <c r="O167" s="24">
        <f>((($AO167+$AP167)/2*$AI167+$AJ167)*(1+$AQ167)*(1+$AR167)+(($AT167+$AU167)/2*IF($G$1="鸣金",$AK167,$AI167)+IF($G$1="鸣金",$AL167*1.5,0))*(1+$AV167)*(1+$AW167)+(($AX167+$AY167)/2*IF($G$1="裂石",$AK167,$AI167)+IF($G$1="裂石",$AL167*1.5,0))*(1+$AZ167)*(1+$BA167)+(($BB167+$BC167)/2*IF($G$1="牵丝",$AK167,$AI167)+IF($G$1="牵丝",$AL167*1.5,0))*(1+$BD167)*(1+$BE167)+(($BF167+$BG167)/2*IF($G$1="破竹",$AK167,$AI167)+IF($G$1="破竹",$AL167*1.5,0))*(1+$BH167)*(1+$BI167))*(1+$AM167)*$Q167*(1+IF(VLOOKUP($R167,武学奇术!$A:$ZZ,30,FALSE)="流血",$B$21,0))*(1+$BR167)</f>
        <v>10784.279050015</v>
      </c>
      <c r="P167" s="24">
        <f>((($AO167*$AI167+$AJ167)*(1+$AQ167)*(1+$AR167)+($AT167*IF($G$1="鸣金",$AK167,$AI167)+IF($G$1="鸣金",$AL167*1.5,0))*(1+$AV167)*(1+$AW167)+($AX167*IF($G$1="裂石",$AK167,$AI167)+IF($G$1="裂石",$AL167*1.5,0))*(1+$AZ167)*(1+$BA167)+($BB167*IF($G$1="牵丝",$AK167,$AI167)+IF($G$1="牵丝",$AL167*1.5,0))*(1+$BD167)*(1+$BE167)+($BF167*IF($G$1="破竹",$AK167,$AI167)+IF($G$1="破竹",$AL167*1.5,0))*(1+$BH167)*(1+$BI167))*(1+$AM167))*$Q167*(1+IF(VLOOKUP($R167,武学奇术!$A:$ZZ,30,FALSE)="流血",$B$21,0))*(1+$BR167)</f>
        <v>5031.48452973276</v>
      </c>
      <c r="Q167" s="31">
        <v>2</v>
      </c>
      <c r="R167" s="32" t="s">
        <v>194</v>
      </c>
      <c r="S167" s="32" t="s">
        <v>87</v>
      </c>
      <c r="T167" s="32" t="s">
        <v>96</v>
      </c>
      <c r="U167" s="32" t="s">
        <v>97</v>
      </c>
      <c r="V167" s="32" t="s">
        <v>73</v>
      </c>
      <c r="W167" s="32" t="s">
        <v>111</v>
      </c>
      <c r="X167" s="32" t="s">
        <v>127</v>
      </c>
      <c r="Y167" s="32" t="s">
        <v>179</v>
      </c>
      <c r="Z167" s="32" t="s">
        <v>182</v>
      </c>
      <c r="AA167" s="32" t="s">
        <v>73</v>
      </c>
      <c r="AB167" s="32" t="s">
        <v>75</v>
      </c>
      <c r="AC167" s="32" t="s">
        <v>89</v>
      </c>
      <c r="AD167" s="32" t="s">
        <v>82</v>
      </c>
      <c r="AE167" s="32" t="s">
        <v>183</v>
      </c>
      <c r="AF167" s="32" t="s">
        <v>73</v>
      </c>
      <c r="AG167" s="32" t="s">
        <v>178</v>
      </c>
      <c r="AH167" t="str">
        <f>VLOOKUP($R167,武学奇术!$A:$ZZ,25,FALSE)</f>
        <v>单体奇术</v>
      </c>
      <c r="AI167" s="21">
        <f>VLOOKUP($R167,武学奇术!$A:$ZZ,26,FALSE)</f>
        <v>0.236</v>
      </c>
      <c r="AJ167" s="22">
        <f>VLOOKUP($R167,武学奇术!$A:$ZZ,27,FALSE)*(1+IF(OR($AH167=$F$4,$AH167=$F$5),$B$22,0))</f>
        <v>46</v>
      </c>
      <c r="AK167" s="21">
        <f>VLOOKUP($R167,武学奇术!$A:$ZZ,28,FALSE)</f>
        <v>0.354</v>
      </c>
      <c r="AL167" s="22">
        <f>VLOOKUP($R167,武学奇术!$A:$ZZ,29,FALSE)*(1+IF(OR($AH167=$F$4,$AH167=$F$5),$B$22,0))</f>
        <v>0</v>
      </c>
      <c r="AM167" s="21" cm="1">
        <f t="array" ref="AM167">$G$3+IFERROR(VLOOKUP($AH167,$F$4:$G$7,2,FALSE),0)+VLOOKUP($R167,武学奇术!$A:$ZZ,2,FALSE)+SUM(_xlfn.XLOOKUP($S167:$AG167,增益!$A:$A,增益!$B:$B,0))</f>
        <v>1.493</v>
      </c>
      <c r="AN167" s="21" cm="1">
        <f t="array" ref="AN167">VLOOKUP($R167,武学奇术!$A:$ZZ,5,FALSE)+SUM(_xlfn.XLOOKUP($S167:$AG167,增益!$A:$A,增益!$E:$E,0))</f>
        <v>0</v>
      </c>
      <c r="AO167" cm="1">
        <f t="array" ref="AO167">$D$10*(1+$AN167)+VLOOKUP($R167,武学奇术!$A:$ZZ,3,FALSE)+SUM(_xlfn.XLOOKUP($S167:$AG167,增益!$A:$A,增益!$C:$C,0))-$I$2</f>
        <v>1825.28</v>
      </c>
      <c r="AP167" cm="1">
        <f t="array" ref="AP167">$E$10*(1+$AN167)+VLOOKUP($R167,武学奇术!$A:$ZZ,4,FALSE)+SUM(_xlfn.XLOOKUP($S167:$AG167,增益!$A:$A,增益!$D:$D,0))-$I$2</f>
        <v>7757.36</v>
      </c>
      <c r="AQ167" s="26" cm="1">
        <f t="array" ref="AQ167">IF($F$10-$I$3+VLOOKUP($R167,武学奇术!$A:$ZZ,6,FALSE)+SUM(_xlfn.XLOOKUP(S167:AG167,增益!$A:$A,增益!$F:$F,0))&gt;0,($F$10-$I$3+VLOOKUP($R167,武学奇术!$A:$ZZ,6,FALSE)+SUM(_xlfn.XLOOKUP(S167:AG167,增益!$A:$A,增益!$F:$F,0)))/200,($F$10-$I$3+VLOOKUP($R167,武学奇术!$A:$ZZ,6,FALSE)+SUM(_xlfn.XLOOKUP(S167:AG167,增益!$A:$A,增益!$F:$F,0)))/100)</f>
        <v>0.244</v>
      </c>
      <c r="AR167" s="26" cm="1">
        <f t="array" ref="AR167">$G$10+VLOOKUP($R167,武学奇术!$A:$ZZ,7,FALSE)+SUM(_xlfn.XLOOKUP(S167:AG167,增益!$A:$A,增益!$G:$G,0))</f>
        <v>0</v>
      </c>
      <c r="AS167" s="21" cm="1">
        <f t="array" ref="AS167">VLOOKUP($R167,武学奇术!$A:$ZZ,8,FALSE)+SUM(_xlfn.XLOOKUP(S167:AG167,增益!$A:$A,增益!$H:$H,0))</f>
        <v>0</v>
      </c>
      <c r="AT167">
        <f t="shared" si="23"/>
        <v>680.02</v>
      </c>
      <c r="AU167">
        <f t="shared" si="24"/>
        <v>1288.54</v>
      </c>
      <c r="AV167" s="26" cm="1">
        <f t="array" ref="AV167">IF($F$11-$I$4+VLOOKUP($R167,武学奇术!$A:$ZZ,9,FALSE)+SUM(_xlfn.XLOOKUP(S167:AG167,增益!$A:$A,增益!$I:$I,0))&gt;0,($F$11-$I$4+VLOOKUP($R167,武学奇术!$A:$ZZ,9,FALSE)+SUM(_xlfn.XLOOKUP(S167:AG167,增益!$A:$A,增益!$I:$I,0)))/200,($F$11-$I$4+VLOOKUP($R167,武学奇术!$A:$ZZ,9,FALSE)+SUM(_xlfn.XLOOKUP(S167:AG167,增益!$A:$A,增益!$I:$I,0)))/100)</f>
        <v>0</v>
      </c>
      <c r="AW167" s="26" cm="1">
        <f t="array" ref="AW167">$G$11+VLOOKUP($R167,武学奇术!$A:$ZZ,10,FALSE)+SUM(_xlfn.XLOOKUP(S167:AG167,增益!$A:$A,增益!$J:$J,0))</f>
        <v>0.15</v>
      </c>
      <c r="AX167">
        <f t="shared" si="25"/>
        <v>0</v>
      </c>
      <c r="AY167">
        <f t="shared" si="26"/>
        <v>0</v>
      </c>
      <c r="AZ167" s="26" cm="1">
        <f t="array" ref="AZ167">IF($F$12-$I$4+VLOOKUP($R167,武学奇术!$A:$ZZ,11,FALSE)+SUM(_xlfn.XLOOKUP(S167:AG167,增益!$A:$A,增益!$K:$K,0))&gt;0,($F$12-$I$4+VLOOKUP($R167,武学奇术!$A:$ZZ,11,FALSE)+SUM(_xlfn.XLOOKUP(S167:AG167,增益!$A:$A,增益!$K:$K,0)))/200,($F$12-$I$4+VLOOKUP($R167,武学奇术!$A:$ZZ,11,FALSE)+SUM(_xlfn.XLOOKUP(S167:AG167,增益!$A:$A,增益!$K:$K,0)))/100)</f>
        <v>-0.3</v>
      </c>
      <c r="BA167" s="26" cm="1">
        <f t="array" ref="BA167">$G$12+VLOOKUP($R167,武学奇术!$A:$ZZ,12,FALSE)+SUM(_xlfn.XLOOKUP(S167:AG167,增益!$A:$A,增益!$L:$L,0))</f>
        <v>0</v>
      </c>
      <c r="BB167">
        <f t="shared" si="27"/>
        <v>0</v>
      </c>
      <c r="BC167">
        <f t="shared" si="28"/>
        <v>0</v>
      </c>
      <c r="BD167" s="26" cm="1">
        <f t="array" ref="BD167">IF($F$13-$I$4+VLOOKUP($R167,武学奇术!$A:$ZZ,13,FALSE)+SUM(_xlfn.XLOOKUP(S167:AG167,增益!$A:$A,增益!$M:$M,0))&gt;0,($F$13-$I$4+VLOOKUP($R167,武学奇术!$A:$ZZ,13,FALSE)+SUM(_xlfn.XLOOKUP(S167:AG167,增益!$A:$A,增益!$K:$K,0)))/200,($F$13-$I$4+VLOOKUP($R167,武学奇术!$A:$ZZ,13,FALSE)+SUM(_xlfn.XLOOKUP(S167:AG167,增益!$A:$A,增益!$M:$M,0)))/100)</f>
        <v>-0.3</v>
      </c>
      <c r="BE167" s="26" cm="1">
        <f t="array" ref="BE167">$G$13+VLOOKUP($R167,武学奇术!$A:$ZZ,14,FALSE)+SUM(_xlfn.XLOOKUP(S167:AG167,增益!$A:$A,增益!$N:$N,0))</f>
        <v>0</v>
      </c>
      <c r="BF167">
        <f t="shared" si="29"/>
        <v>0</v>
      </c>
      <c r="BG167">
        <f t="shared" si="30"/>
        <v>0</v>
      </c>
      <c r="BH167" s="26" cm="1">
        <f t="array" ref="BH167">IF($F$14-$I$4+VLOOKUP($R167,武学奇术!$A:$ZZ,15,FALSE)+SUM(_xlfn.XLOOKUP(S167:AG167,增益!$A:$A,增益!$O:$O,0))&gt;0,($F$14-$I$4+VLOOKUP($R167,武学奇术!$A:$ZZ,15,FALSE)+SUM(_xlfn.XLOOKUP(S167:AG167,增益!$A:$A,增益!$O:$O,0)))/200,($F$14-$I$4+VLOOKUP($R167,武学奇术!$A:$ZZ,15,FALSE)+SUM(_xlfn.XLOOKUP(S167:AG167,增益!$A:$A,增益!$O:$O,0)))/100)</f>
        <v>-0.3</v>
      </c>
      <c r="BI167" s="26" cm="1">
        <f t="array" ref="BI167">$G$14+VLOOKUP($R167,武学奇术!$A:$ZZ,16,FALSE)+SUM(_xlfn.XLOOKUP(S167:AG167,增益!$A:$A,增益!$P:$P,0))</f>
        <v>0</v>
      </c>
      <c r="BJ167" s="21">
        <f>MIN(IF(VLOOKUP($R167,武学奇术!$A:$ZZ,23,FALSE)=1,100%,$B$8),100%)</f>
        <v>0.8229</v>
      </c>
      <c r="BK167" s="21" cm="1">
        <f t="array" ref="BK167">IF(VLOOKUP($R167,武学奇术!$A:$ZZ,23,FALSE)=1,100%,MIN(80%,$B$9+VLOOKUP($R167,武学奇术!$A:$ZZ,17,FALSE)+SUM(_xlfn.XLOOKUP(S167:AG167,增益!$A:$A,增益!$Q:$Q,0)))+$B$11+SUM(_xlfn.XLOOKUP(S167:AG167,增益!$A:$A,增益!$U:$U,0)))*IF(VLOOKUP($R167,武学奇术!$A:$ZZ,24,FALSE)=1,0,1)</f>
        <v>0.2285</v>
      </c>
      <c r="BL167" s="21" cm="1">
        <f t="array" ref="BL167">1+$B$13+VLOOKUP($R167,武学奇术!$A:$ZZ,18,FALSE)+SUM(_xlfn.XLOOKUP(S167:AG167,增益!$A:$A,增益!$R:$R,0))</f>
        <v>1.5</v>
      </c>
      <c r="BM167" s="21" cm="1">
        <f t="array" ref="BM167">IF(VLOOKUP($R167,武学奇术!$A:$ZZ,24,FALSE)=1,100%,MIN(40%,$B$10+VLOOKUP($R167,武学奇术!$A:$ZZ,19,FALSE)+SUM(_xlfn.XLOOKUP(S167:AG167,增益!$A:$A,增益!$S:$S,0)))+$B$12+SUM(_xlfn.XLOOKUP(S167:AG167,增益!$A:$A,增益!$V:$V,0)))*IF(VLOOKUP($R167,武学奇术!$A:$ZZ,23,FALSE)=1,0,1)</f>
        <v>0.4495</v>
      </c>
      <c r="BN167" s="21" cm="1">
        <f t="array" ref="BN167">1+$B$14+VLOOKUP($R167,武学奇术!$A:$ZZ,20,FALSE)+SUM(_xlfn.XLOOKUP(S167:AG167,增益!$A:$A,增益!$T:$T,0))</f>
        <v>1.602</v>
      </c>
      <c r="BO167" s="21">
        <f t="shared" si="31"/>
        <v>0.18803265</v>
      </c>
      <c r="BP167" s="21">
        <f t="shared" si="32"/>
        <v>0.2649738</v>
      </c>
      <c r="BQ167" s="21">
        <f>IF(VLOOKUP($R167,武学奇术!$A:$ZZ,22,FALSE)=1,0,(1-$BJ167))*(1-$BM167)</f>
        <v>0.09749355</v>
      </c>
      <c r="BR167" s="21" cm="1">
        <f t="array" ref="BR167">SUM(_xlfn.XLOOKUP(S167:AG167,增益!$A:$A,增益!$W:$W,0))+$I$5</f>
        <v>0.16</v>
      </c>
    </row>
    <row r="168" spans="11:70">
      <c r="K168" s="24">
        <f>$L168*VLOOKUP($R168,武学奇术!$A:$ZZ,31,FALSE)</f>
        <v>17931.1238365825</v>
      </c>
      <c r="L168" s="24">
        <f t="shared" si="22"/>
        <v>35862.247673165</v>
      </c>
      <c r="M168" s="24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BL168*$Q168*(1+IF(VLOOKUP($R168,武学奇术!$A:$ZZ,30,FALSE)="流血",$B$21,0))*(1+$BR168)</f>
        <v>31703.9635609947</v>
      </c>
      <c r="N168" s="24">
        <f>(($AP168*$AI168+$AJ168)*(1+$AQ168)*(1+$AR168)+($AU168*IF($G$1="鸣金",$AK168,$AI168)+IF($G$1="鸣金",$AL168*1.5,0))*(1+$AV168)*(1+$AW168)+($AY168*IF($G$1="裂石",$AK168,$AI168)+IF($G$1="裂石",$AL168*1.5,0))*(1+$AZ168)*(1+$BA168)+($BC168*IF($G$1="牵丝",$AK168,$AI168)+IF($G$1="牵丝",$AL168*1.5,0))*(1+$BD168)*(1+$BE168)+($BG168*IF($G$1="破竹",$AK168,$AI168)+IF($G$1="破竹",$AL168*1.5,0))*(1+$BH168)*(1+$BI168))*(1+$AM168)*$BN168*$Q168*(1+IF(VLOOKUP($R168,武学奇术!$A:$ZZ,30,FALSE)="流血",$B$21,0))*(1+$BR168)</f>
        <v>51922.1125656175</v>
      </c>
      <c r="O168" s="24">
        <f>((($AO168+$AP168)/2*$AI168+$AJ168)*(1+$AQ168)*(1+$AR168)+(($AT168+$AU168)/2*IF($G$1="鸣金",$AK168,$AI168)+IF($G$1="鸣金",$AL168*1.5,0))*(1+$AV168)*(1+$AW168)+(($AX168+$AY168)/2*IF($G$1="裂石",$AK168,$AI168)+IF($G$1="裂石",$AL168*1.5,0))*(1+$AZ168)*(1+$BA168)+(($BB168+$BC168)/2*IF($G$1="牵丝",$AK168,$AI168)+IF($G$1="牵丝",$AL168*1.5,0))*(1+$BD168)*(1+$BE168)+(($BF168+$BG168)/2*IF($G$1="破竹",$AK168,$AI168)+IF($G$1="破竹",$AL168*1.5,0))*(1+$BH168)*(1+$BI168))*(1+$AM168)*$Q168*(1+IF(VLOOKUP($R168,武学奇术!$A:$ZZ,30,FALSE)="流血",$B$21,0))*(1+$BR168)</f>
        <v>21135.9757073298</v>
      </c>
      <c r="P168" s="24">
        <f>((($AO168*$AI168+$AJ168)*(1+$AQ168)*(1+$AR168)+($AT168*IF($G$1="鸣金",$AK168,$AI168)+IF($G$1="鸣金",$AL168*1.5,0))*(1+$AV168)*(1+$AW168)+($AX168*IF($G$1="裂石",$AK168,$AI168)+IF($G$1="裂石",$AL168*1.5,0))*(1+$AZ168)*(1+$BA168)+($BB168*IF($G$1="牵丝",$AK168,$AI168)+IF($G$1="牵丝",$AL168*1.5,0))*(1+$BD168)*(1+$BE168)+($BF168*IF($G$1="破竹",$AK168,$AI168)+IF($G$1="破竹",$AL168*1.5,0))*(1+$BH168)*(1+$BI168))*(1+$AM168))*$Q168*(1+IF(VLOOKUP($R168,武学奇术!$A:$ZZ,30,FALSE)="流血",$B$21,0))*(1+$BR168)</f>
        <v>9861.14456970487</v>
      </c>
      <c r="Q168" s="31">
        <v>4</v>
      </c>
      <c r="R168" s="32" t="s">
        <v>194</v>
      </c>
      <c r="S168" s="32" t="s">
        <v>87</v>
      </c>
      <c r="T168" s="32" t="s">
        <v>96</v>
      </c>
      <c r="U168" s="32" t="s">
        <v>97</v>
      </c>
      <c r="V168" s="32" t="s">
        <v>73</v>
      </c>
      <c r="W168" s="32" t="s">
        <v>111</v>
      </c>
      <c r="X168" s="32" t="s">
        <v>127</v>
      </c>
      <c r="Y168" s="32" t="s">
        <v>179</v>
      </c>
      <c r="Z168" s="32" t="s">
        <v>182</v>
      </c>
      <c r="AA168" s="32" t="s">
        <v>73</v>
      </c>
      <c r="AB168" s="32" t="s">
        <v>75</v>
      </c>
      <c r="AC168" s="32" t="s">
        <v>89</v>
      </c>
      <c r="AD168" s="32" t="s">
        <v>82</v>
      </c>
      <c r="AE168" s="32" t="s">
        <v>90</v>
      </c>
      <c r="AF168" s="32" t="s">
        <v>73</v>
      </c>
      <c r="AG168" s="32" t="s">
        <v>178</v>
      </c>
      <c r="AH168" t="str">
        <f>VLOOKUP($R168,武学奇术!$A:$ZZ,25,FALSE)</f>
        <v>单体奇术</v>
      </c>
      <c r="AI168" s="21">
        <f>VLOOKUP($R168,武学奇术!$A:$ZZ,26,FALSE)</f>
        <v>0.236</v>
      </c>
      <c r="AJ168" s="22">
        <f>VLOOKUP($R168,武学奇术!$A:$ZZ,27,FALSE)*(1+IF(OR($AH168=$F$4,$AH168=$F$5),$B$22,0))</f>
        <v>46</v>
      </c>
      <c r="AK168" s="21">
        <f>VLOOKUP($R168,武学奇术!$A:$ZZ,28,FALSE)</f>
        <v>0.354</v>
      </c>
      <c r="AL168" s="22">
        <f>VLOOKUP($R168,武学奇术!$A:$ZZ,29,FALSE)*(1+IF(OR($AH168=$F$4,$AH168=$F$5),$B$22,0))</f>
        <v>0</v>
      </c>
      <c r="AM168" s="21" cm="1">
        <f t="array" ref="AM168">$G$3+IFERROR(VLOOKUP($AH168,$F$4:$G$7,2,FALSE),0)+VLOOKUP($R168,武学奇术!$A:$ZZ,2,FALSE)+SUM(_xlfn.XLOOKUP($S168:$AG168,增益!$A:$A,增益!$B:$B,0))</f>
        <v>1.443</v>
      </c>
      <c r="AN168" s="21" cm="1">
        <f t="array" ref="AN168">VLOOKUP($R168,武学奇术!$A:$ZZ,5,FALSE)+SUM(_xlfn.XLOOKUP($S168:$AG168,增益!$A:$A,增益!$E:$E,0))</f>
        <v>0</v>
      </c>
      <c r="AO168" cm="1">
        <f t="array" ref="AO168">$D$10*(1+$AN168)+VLOOKUP($R168,武学奇术!$A:$ZZ,3,FALSE)+SUM(_xlfn.XLOOKUP($S168:$AG168,增益!$A:$A,增益!$C:$C,0))-$I$2</f>
        <v>1825.28</v>
      </c>
      <c r="AP168" cm="1">
        <f t="array" ref="AP168">$E$10*(1+$AN168)+VLOOKUP($R168,武学奇术!$A:$ZZ,4,FALSE)+SUM(_xlfn.XLOOKUP($S168:$AG168,增益!$A:$A,增益!$D:$D,0))-$I$2</f>
        <v>7757.36</v>
      </c>
      <c r="AQ168" s="26" cm="1">
        <f t="array" ref="AQ168">IF($F$10-$I$3+VLOOKUP($R168,武学奇术!$A:$ZZ,6,FALSE)+SUM(_xlfn.XLOOKUP(S168:AG168,增益!$A:$A,增益!$F:$F,0))&gt;0,($F$10-$I$3+VLOOKUP($R168,武学奇术!$A:$ZZ,6,FALSE)+SUM(_xlfn.XLOOKUP(S168:AG168,增益!$A:$A,增益!$F:$F,0)))/200,($F$10-$I$3+VLOOKUP($R168,武学奇术!$A:$ZZ,6,FALSE)+SUM(_xlfn.XLOOKUP(S168:AG168,增益!$A:$A,增益!$F:$F,0)))/100)</f>
        <v>0.244</v>
      </c>
      <c r="AR168" s="26" cm="1">
        <f t="array" ref="AR168">$G$10+VLOOKUP($R168,武学奇术!$A:$ZZ,7,FALSE)+SUM(_xlfn.XLOOKUP(S168:AG168,增益!$A:$A,增益!$G:$G,0))</f>
        <v>0</v>
      </c>
      <c r="AS168" s="21" cm="1">
        <f t="array" ref="AS168">VLOOKUP($R168,武学奇术!$A:$ZZ,8,FALSE)+SUM(_xlfn.XLOOKUP(S168:AG168,增益!$A:$A,增益!$H:$H,0))</f>
        <v>0</v>
      </c>
      <c r="AT168">
        <f t="shared" si="23"/>
        <v>680.02</v>
      </c>
      <c r="AU168">
        <f t="shared" si="24"/>
        <v>1288.54</v>
      </c>
      <c r="AV168" s="26" cm="1">
        <f t="array" ref="AV168">IF($F$11-$I$4+VLOOKUP($R168,武学奇术!$A:$ZZ,9,FALSE)+SUM(_xlfn.XLOOKUP(S168:AG168,增益!$A:$A,增益!$I:$I,0))&gt;0,($F$11-$I$4+VLOOKUP($R168,武学奇术!$A:$ZZ,9,FALSE)+SUM(_xlfn.XLOOKUP(S168:AG168,增益!$A:$A,增益!$I:$I,0)))/200,($F$11-$I$4+VLOOKUP($R168,武学奇术!$A:$ZZ,9,FALSE)+SUM(_xlfn.XLOOKUP(S168:AG168,增益!$A:$A,增益!$I:$I,0)))/100)</f>
        <v>0</v>
      </c>
      <c r="AW168" s="26" cm="1">
        <f t="array" ref="AW168">$G$11+VLOOKUP($R168,武学奇术!$A:$ZZ,10,FALSE)+SUM(_xlfn.XLOOKUP(S168:AG168,增益!$A:$A,增益!$J:$J,0))</f>
        <v>0.15</v>
      </c>
      <c r="AX168">
        <f t="shared" si="25"/>
        <v>0</v>
      </c>
      <c r="AY168">
        <f t="shared" si="26"/>
        <v>0</v>
      </c>
      <c r="AZ168" s="26" cm="1">
        <f t="array" ref="AZ168">IF($F$12-$I$4+VLOOKUP($R168,武学奇术!$A:$ZZ,11,FALSE)+SUM(_xlfn.XLOOKUP(S168:AG168,增益!$A:$A,增益!$K:$K,0))&gt;0,($F$12-$I$4+VLOOKUP($R168,武学奇术!$A:$ZZ,11,FALSE)+SUM(_xlfn.XLOOKUP(S168:AG168,增益!$A:$A,增益!$K:$K,0)))/200,($F$12-$I$4+VLOOKUP($R168,武学奇术!$A:$ZZ,11,FALSE)+SUM(_xlfn.XLOOKUP(S168:AG168,增益!$A:$A,增益!$K:$K,0)))/100)</f>
        <v>-0.3</v>
      </c>
      <c r="BA168" s="26" cm="1">
        <f t="array" ref="BA168">$G$12+VLOOKUP($R168,武学奇术!$A:$ZZ,12,FALSE)+SUM(_xlfn.XLOOKUP(S168:AG168,增益!$A:$A,增益!$L:$L,0))</f>
        <v>0</v>
      </c>
      <c r="BB168">
        <f t="shared" si="27"/>
        <v>0</v>
      </c>
      <c r="BC168">
        <f t="shared" si="28"/>
        <v>0</v>
      </c>
      <c r="BD168" s="26" cm="1">
        <f t="array" ref="BD168">IF($F$13-$I$4+VLOOKUP($R168,武学奇术!$A:$ZZ,13,FALSE)+SUM(_xlfn.XLOOKUP(S168:AG168,增益!$A:$A,增益!$M:$M,0))&gt;0,($F$13-$I$4+VLOOKUP($R168,武学奇术!$A:$ZZ,13,FALSE)+SUM(_xlfn.XLOOKUP(S168:AG168,增益!$A:$A,增益!$K:$K,0)))/200,($F$13-$I$4+VLOOKUP($R168,武学奇术!$A:$ZZ,13,FALSE)+SUM(_xlfn.XLOOKUP(S168:AG168,增益!$A:$A,增益!$M:$M,0)))/100)</f>
        <v>-0.3</v>
      </c>
      <c r="BE168" s="26" cm="1">
        <f t="array" ref="BE168">$G$13+VLOOKUP($R168,武学奇术!$A:$ZZ,14,FALSE)+SUM(_xlfn.XLOOKUP(S168:AG168,增益!$A:$A,增益!$N:$N,0))</f>
        <v>0</v>
      </c>
      <c r="BF168">
        <f t="shared" si="29"/>
        <v>0</v>
      </c>
      <c r="BG168">
        <f t="shared" si="30"/>
        <v>0</v>
      </c>
      <c r="BH168" s="26" cm="1">
        <f t="array" ref="BH168">IF($F$14-$I$4+VLOOKUP($R168,武学奇术!$A:$ZZ,15,FALSE)+SUM(_xlfn.XLOOKUP(S168:AG168,增益!$A:$A,增益!$O:$O,0))&gt;0,($F$14-$I$4+VLOOKUP($R168,武学奇术!$A:$ZZ,15,FALSE)+SUM(_xlfn.XLOOKUP(S168:AG168,增益!$A:$A,增益!$O:$O,0)))/200,($F$14-$I$4+VLOOKUP($R168,武学奇术!$A:$ZZ,15,FALSE)+SUM(_xlfn.XLOOKUP(S168:AG168,增益!$A:$A,增益!$O:$O,0)))/100)</f>
        <v>-0.3</v>
      </c>
      <c r="BI168" s="26" cm="1">
        <f t="array" ref="BI168">$G$14+VLOOKUP($R168,武学奇术!$A:$ZZ,16,FALSE)+SUM(_xlfn.XLOOKUP(S168:AG168,增益!$A:$A,增益!$P:$P,0))</f>
        <v>0</v>
      </c>
      <c r="BJ168" s="21">
        <f>MIN(IF(VLOOKUP($R168,武学奇术!$A:$ZZ,23,FALSE)=1,100%,$B$8),100%)</f>
        <v>0.8229</v>
      </c>
      <c r="BK168" s="21" cm="1">
        <f t="array" ref="BK168">IF(VLOOKUP($R168,武学奇术!$A:$ZZ,23,FALSE)=1,100%,MIN(80%,$B$9+VLOOKUP($R168,武学奇术!$A:$ZZ,17,FALSE)+SUM(_xlfn.XLOOKUP(S168:AG168,增益!$A:$A,增益!$Q:$Q,0)))+$B$11+SUM(_xlfn.XLOOKUP(S168:AG168,增益!$A:$A,增益!$U:$U,0)))*IF(VLOOKUP($R168,武学奇术!$A:$ZZ,24,FALSE)=1,0,1)</f>
        <v>0.2285</v>
      </c>
      <c r="BL168" s="21" cm="1">
        <f t="array" ref="BL168">1+$B$13+VLOOKUP($R168,武学奇术!$A:$ZZ,18,FALSE)+SUM(_xlfn.XLOOKUP(S168:AG168,增益!$A:$A,增益!$R:$R,0))</f>
        <v>1.5</v>
      </c>
      <c r="BM168" s="21" cm="1">
        <f t="array" ref="BM168">IF(VLOOKUP($R168,武学奇术!$A:$ZZ,24,FALSE)=1,100%,MIN(40%,$B$10+VLOOKUP($R168,武学奇术!$A:$ZZ,19,FALSE)+SUM(_xlfn.XLOOKUP(S168:AG168,增益!$A:$A,增益!$S:$S,0)))+$B$12+SUM(_xlfn.XLOOKUP(S168:AG168,增益!$A:$A,增益!$V:$V,0)))*IF(VLOOKUP($R168,武学奇术!$A:$ZZ,23,FALSE)=1,0,1)</f>
        <v>0.4495</v>
      </c>
      <c r="BN168" s="21" cm="1">
        <f t="array" ref="BN168">1+$B$14+VLOOKUP($R168,武学奇术!$A:$ZZ,20,FALSE)+SUM(_xlfn.XLOOKUP(S168:AG168,增益!$A:$A,增益!$T:$T,0))</f>
        <v>1.602</v>
      </c>
      <c r="BO168" s="21">
        <f t="shared" si="31"/>
        <v>0.18803265</v>
      </c>
      <c r="BP168" s="21">
        <f t="shared" si="32"/>
        <v>0.2649738</v>
      </c>
      <c r="BQ168" s="21">
        <f>IF(VLOOKUP($R168,武学奇术!$A:$ZZ,22,FALSE)=1,0,(1-$BJ168))*(1-$BM168)</f>
        <v>0.09749355</v>
      </c>
      <c r="BR168" s="21" cm="1">
        <f t="array" ref="BR168">SUM(_xlfn.XLOOKUP(S168:AG168,增益!$A:$A,增益!$W:$W,0))+$I$5</f>
        <v>0.16</v>
      </c>
    </row>
    <row r="169" spans="11:70">
      <c r="K169" s="24">
        <f>$L169*VLOOKUP($R169,武学奇术!$A:$ZZ,31,FALSE)</f>
        <v>26791.099585945</v>
      </c>
      <c r="L169" s="24">
        <f t="shared" si="22"/>
        <v>53582.1991718899</v>
      </c>
      <c r="M169" s="24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BL169*$Q169*(1+IF(VLOOKUP($R169,武学奇术!$A:$ZZ,30,FALSE)="流血",$B$21,0))*(1+$BR169)</f>
        <v>47323.8224120604</v>
      </c>
      <c r="N169" s="24">
        <f>(($AP169*$AI169+$AJ169)*(1+$AQ169)*(1+$AR169)+($AU169*IF($G$1="鸣金",$AK169,$AI169)+IF($G$1="鸣金",$AL169*1.5,0))*(1+$AV169)*(1+$AW169)+($AY169*IF($G$1="裂石",$AK169,$AI169)+IF($G$1="裂石",$AL169*1.5,0))*(1+$AZ169)*(1+$BA169)+($BC169*IF($G$1="牵丝",$AK169,$AI169)+IF($G$1="牵丝",$AL169*1.5,0))*(1+$BD169)*(1+$BE169)+($BG169*IF($G$1="破竹",$AK169,$AI169)+IF($G$1="破竹",$AL169*1.5,0))*(1+$BH169)*(1+$BI169))*(1+$AM169)*$BN169*$Q169*(1+IF(VLOOKUP($R169,武学奇术!$A:$ZZ,30,FALSE)="流血",$B$21,0))*(1+$BR169)</f>
        <v>77635.2615597933</v>
      </c>
      <c r="O169" s="24">
        <f>((($AO169+$AP169)/2*$AI169+$AJ169)*(1+$AQ169)*(1+$AR169)+(($AT169+$AU169)/2*IF($G$1="鸣金",$AK169,$AI169)+IF($G$1="鸣金",$AL169*1.5,0))*(1+$AV169)*(1+$AW169)+(($AX169+$AY169)/2*IF($G$1="裂石",$AK169,$AI169)+IF($G$1="裂石",$AL169*1.5,0))*(1+$AZ169)*(1+$BA169)+(($BB169+$BC169)/2*IF($G$1="牵丝",$AK169,$AI169)+IF($G$1="牵丝",$AL169*1.5,0))*(1+$BD169)*(1+$BE169)+(($BF169+$BG169)/2*IF($G$1="破竹",$AK169,$AI169)+IF($G$1="破竹",$AL169*1.5,0))*(1+$BH169)*(1+$BI169))*(1+$AM169)*$Q169*(1+IF(VLOOKUP($R169,武学奇术!$A:$ZZ,30,FALSE)="流血",$B$21,0))*(1+$BR169)</f>
        <v>31549.2149413736</v>
      </c>
      <c r="P169" s="24">
        <f>((($AO169*$AI169+$AJ169)*(1+$AQ169)*(1+$AR169)+($AT169*IF($G$1="鸣金",$AK169,$AI169)+IF($G$1="鸣金",$AL169*1.5,0))*(1+$AV169)*(1+$AW169)+($AX169*IF($G$1="裂石",$AK169,$AI169)+IF($G$1="裂石",$AL169*1.5,0))*(1+$AZ169)*(1+$BA169)+($BB169*IF($G$1="牵丝",$AK169,$AI169)+IF($G$1="牵丝",$AL169*1.5,0))*(1+$BD169)*(1+$BE169)+($BF169*IF($G$1="破竹",$AK169,$AI169)+IF($G$1="破竹",$AL169*1.5,0))*(1+$BH169)*(1+$BI169))*(1+$AM169))*$Q169*(1+IF(VLOOKUP($R169,武学奇术!$A:$ZZ,30,FALSE)="流血",$B$21,0))*(1+$BR169)</f>
        <v>14636.9682349362</v>
      </c>
      <c r="Q169" s="31">
        <v>6</v>
      </c>
      <c r="R169" s="32" t="s">
        <v>194</v>
      </c>
      <c r="S169" s="32" t="s">
        <v>87</v>
      </c>
      <c r="T169" s="32" t="s">
        <v>96</v>
      </c>
      <c r="U169" s="32" t="s">
        <v>97</v>
      </c>
      <c r="V169" s="32" t="s">
        <v>73</v>
      </c>
      <c r="W169" s="32" t="s">
        <v>73</v>
      </c>
      <c r="X169" s="32" t="s">
        <v>127</v>
      </c>
      <c r="Y169" s="32" t="s">
        <v>179</v>
      </c>
      <c r="Z169" s="32" t="s">
        <v>182</v>
      </c>
      <c r="AA169" s="32" t="s">
        <v>73</v>
      </c>
      <c r="AB169" s="32" t="s">
        <v>75</v>
      </c>
      <c r="AC169" s="32" t="s">
        <v>89</v>
      </c>
      <c r="AD169" s="32" t="s">
        <v>82</v>
      </c>
      <c r="AE169" s="32" t="s">
        <v>90</v>
      </c>
      <c r="AF169" s="32" t="s">
        <v>73</v>
      </c>
      <c r="AG169" s="32" t="s">
        <v>178</v>
      </c>
      <c r="AH169" t="str">
        <f>VLOOKUP($R169,武学奇术!$A:$ZZ,25,FALSE)</f>
        <v>单体奇术</v>
      </c>
      <c r="AI169" s="21">
        <f>VLOOKUP($R169,武学奇术!$A:$ZZ,26,FALSE)</f>
        <v>0.236</v>
      </c>
      <c r="AJ169" s="22">
        <f>VLOOKUP($R169,武学奇术!$A:$ZZ,27,FALSE)*(1+IF(OR($AH169=$F$4,$AH169=$F$5),$B$22,0))</f>
        <v>46</v>
      </c>
      <c r="AK169" s="21">
        <f>VLOOKUP($R169,武学奇术!$A:$ZZ,28,FALSE)</f>
        <v>0.354</v>
      </c>
      <c r="AL169" s="22">
        <f>VLOOKUP($R169,武学奇术!$A:$ZZ,29,FALSE)*(1+IF(OR($AH169=$F$4,$AH169=$F$5),$B$22,0))</f>
        <v>0</v>
      </c>
      <c r="AM169" s="21" cm="1">
        <f t="array" ref="AM169">$G$3+IFERROR(VLOOKUP($AH169,$F$4:$G$7,2,FALSE),0)+VLOOKUP($R169,武学奇术!$A:$ZZ,2,FALSE)+SUM(_xlfn.XLOOKUP($S169:$AG169,增益!$A:$A,增益!$B:$B,0))</f>
        <v>1.443</v>
      </c>
      <c r="AN169" s="21" cm="1">
        <f t="array" ref="AN169">VLOOKUP($R169,武学奇术!$A:$ZZ,5,FALSE)+SUM(_xlfn.XLOOKUP($S169:$AG169,增益!$A:$A,增益!$E:$E,0))</f>
        <v>0</v>
      </c>
      <c r="AO169" cm="1">
        <f t="array" ref="AO169">$D$10*(1+$AN169)+VLOOKUP($R169,武学奇术!$A:$ZZ,3,FALSE)+SUM(_xlfn.XLOOKUP($S169:$AG169,增益!$A:$A,增益!$C:$C,0))-$I$2</f>
        <v>1794.28</v>
      </c>
      <c r="AP169" cm="1">
        <f t="array" ref="AP169">$E$10*(1+$AN169)+VLOOKUP($R169,武学奇术!$A:$ZZ,4,FALSE)+SUM(_xlfn.XLOOKUP($S169:$AG169,增益!$A:$A,增益!$D:$D,0))-$I$2</f>
        <v>7726.36</v>
      </c>
      <c r="AQ169" s="26" cm="1">
        <f t="array" ref="AQ169">IF($F$10-$I$3+VLOOKUP($R169,武学奇术!$A:$ZZ,6,FALSE)+SUM(_xlfn.XLOOKUP(S169:AG169,增益!$A:$A,增益!$F:$F,0))&gt;0,($F$10-$I$3+VLOOKUP($R169,武学奇术!$A:$ZZ,6,FALSE)+SUM(_xlfn.XLOOKUP(S169:AG169,增益!$A:$A,增益!$F:$F,0)))/200,($F$10-$I$3+VLOOKUP($R169,武学奇术!$A:$ZZ,6,FALSE)+SUM(_xlfn.XLOOKUP(S169:AG169,增益!$A:$A,增益!$F:$F,0)))/100)</f>
        <v>0.244</v>
      </c>
      <c r="AR169" s="26" cm="1">
        <f t="array" ref="AR169">$G$10+VLOOKUP($R169,武学奇术!$A:$ZZ,7,FALSE)+SUM(_xlfn.XLOOKUP(S169:AG169,增益!$A:$A,增益!$G:$G,0))</f>
        <v>0</v>
      </c>
      <c r="AS169" s="21" cm="1">
        <f t="array" ref="AS169">VLOOKUP($R169,武学奇术!$A:$ZZ,8,FALSE)+SUM(_xlfn.XLOOKUP(S169:AG169,增益!$A:$A,增益!$H:$H,0))</f>
        <v>0</v>
      </c>
      <c r="AT169">
        <f t="shared" si="23"/>
        <v>680.02</v>
      </c>
      <c r="AU169">
        <f t="shared" si="24"/>
        <v>1288.54</v>
      </c>
      <c r="AV169" s="26" cm="1">
        <f t="array" ref="AV169">IF($F$11-$I$4+VLOOKUP($R169,武学奇术!$A:$ZZ,9,FALSE)+SUM(_xlfn.XLOOKUP(S169:AG169,增益!$A:$A,增益!$I:$I,0))&gt;0,($F$11-$I$4+VLOOKUP($R169,武学奇术!$A:$ZZ,9,FALSE)+SUM(_xlfn.XLOOKUP(S169:AG169,增益!$A:$A,增益!$I:$I,0)))/200,($F$11-$I$4+VLOOKUP($R169,武学奇术!$A:$ZZ,9,FALSE)+SUM(_xlfn.XLOOKUP(S169:AG169,增益!$A:$A,增益!$I:$I,0)))/100)</f>
        <v>0</v>
      </c>
      <c r="AW169" s="26" cm="1">
        <f t="array" ref="AW169">$G$11+VLOOKUP($R169,武学奇术!$A:$ZZ,10,FALSE)+SUM(_xlfn.XLOOKUP(S169:AG169,增益!$A:$A,增益!$J:$J,0))</f>
        <v>0.15</v>
      </c>
      <c r="AX169">
        <f t="shared" si="25"/>
        <v>0</v>
      </c>
      <c r="AY169">
        <f t="shared" si="26"/>
        <v>0</v>
      </c>
      <c r="AZ169" s="26" cm="1">
        <f t="array" ref="AZ169">IF($F$12-$I$4+VLOOKUP($R169,武学奇术!$A:$ZZ,11,FALSE)+SUM(_xlfn.XLOOKUP(S169:AG169,增益!$A:$A,增益!$K:$K,0))&gt;0,($F$12-$I$4+VLOOKUP($R169,武学奇术!$A:$ZZ,11,FALSE)+SUM(_xlfn.XLOOKUP(S169:AG169,增益!$A:$A,增益!$K:$K,0)))/200,($F$12-$I$4+VLOOKUP($R169,武学奇术!$A:$ZZ,11,FALSE)+SUM(_xlfn.XLOOKUP(S169:AG169,增益!$A:$A,增益!$K:$K,0)))/100)</f>
        <v>-0.3</v>
      </c>
      <c r="BA169" s="26" cm="1">
        <f t="array" ref="BA169">$G$12+VLOOKUP($R169,武学奇术!$A:$ZZ,12,FALSE)+SUM(_xlfn.XLOOKUP(S169:AG169,增益!$A:$A,增益!$L:$L,0))</f>
        <v>0</v>
      </c>
      <c r="BB169">
        <f t="shared" si="27"/>
        <v>0</v>
      </c>
      <c r="BC169">
        <f t="shared" si="28"/>
        <v>0</v>
      </c>
      <c r="BD169" s="26" cm="1">
        <f t="array" ref="BD169">IF($F$13-$I$4+VLOOKUP($R169,武学奇术!$A:$ZZ,13,FALSE)+SUM(_xlfn.XLOOKUP(S169:AG169,增益!$A:$A,增益!$M:$M,0))&gt;0,($F$13-$I$4+VLOOKUP($R169,武学奇术!$A:$ZZ,13,FALSE)+SUM(_xlfn.XLOOKUP(S169:AG169,增益!$A:$A,增益!$K:$K,0)))/200,($F$13-$I$4+VLOOKUP($R169,武学奇术!$A:$ZZ,13,FALSE)+SUM(_xlfn.XLOOKUP(S169:AG169,增益!$A:$A,增益!$M:$M,0)))/100)</f>
        <v>-0.3</v>
      </c>
      <c r="BE169" s="26" cm="1">
        <f t="array" ref="BE169">$G$13+VLOOKUP($R169,武学奇术!$A:$ZZ,14,FALSE)+SUM(_xlfn.XLOOKUP(S169:AG169,增益!$A:$A,增益!$N:$N,0))</f>
        <v>0</v>
      </c>
      <c r="BF169">
        <f t="shared" si="29"/>
        <v>0</v>
      </c>
      <c r="BG169">
        <f t="shared" si="30"/>
        <v>0</v>
      </c>
      <c r="BH169" s="26" cm="1">
        <f t="array" ref="BH169">IF($F$14-$I$4+VLOOKUP($R169,武学奇术!$A:$ZZ,15,FALSE)+SUM(_xlfn.XLOOKUP(S169:AG169,增益!$A:$A,增益!$O:$O,0))&gt;0,($F$14-$I$4+VLOOKUP($R169,武学奇术!$A:$ZZ,15,FALSE)+SUM(_xlfn.XLOOKUP(S169:AG169,增益!$A:$A,增益!$O:$O,0)))/200,($F$14-$I$4+VLOOKUP($R169,武学奇术!$A:$ZZ,15,FALSE)+SUM(_xlfn.XLOOKUP(S169:AG169,增益!$A:$A,增益!$O:$O,0)))/100)</f>
        <v>-0.3</v>
      </c>
      <c r="BI169" s="26" cm="1">
        <f t="array" ref="BI169">$G$14+VLOOKUP($R169,武学奇术!$A:$ZZ,16,FALSE)+SUM(_xlfn.XLOOKUP(S169:AG169,增益!$A:$A,增益!$P:$P,0))</f>
        <v>0</v>
      </c>
      <c r="BJ169" s="21">
        <f>MIN(IF(VLOOKUP($R169,武学奇术!$A:$ZZ,23,FALSE)=1,100%,$B$8),100%)</f>
        <v>0.8229</v>
      </c>
      <c r="BK169" s="21" cm="1">
        <f t="array" ref="BK169">IF(VLOOKUP($R169,武学奇术!$A:$ZZ,23,FALSE)=1,100%,MIN(80%,$B$9+VLOOKUP($R169,武学奇术!$A:$ZZ,17,FALSE)+SUM(_xlfn.XLOOKUP(S169:AG169,增益!$A:$A,增益!$Q:$Q,0)))+$B$11+SUM(_xlfn.XLOOKUP(S169:AG169,增益!$A:$A,增益!$U:$U,0)))*IF(VLOOKUP($R169,武学奇术!$A:$ZZ,24,FALSE)=1,0,1)</f>
        <v>0.2285</v>
      </c>
      <c r="BL169" s="21" cm="1">
        <f t="array" ref="BL169">1+$B$13+VLOOKUP($R169,武学奇术!$A:$ZZ,18,FALSE)+SUM(_xlfn.XLOOKUP(S169:AG169,增益!$A:$A,增益!$R:$R,0))</f>
        <v>1.5</v>
      </c>
      <c r="BM169" s="21" cm="1">
        <f t="array" ref="BM169">IF(VLOOKUP($R169,武学奇术!$A:$ZZ,24,FALSE)=1,100%,MIN(40%,$B$10+VLOOKUP($R169,武学奇术!$A:$ZZ,19,FALSE)+SUM(_xlfn.XLOOKUP(S169:AG169,增益!$A:$A,增益!$S:$S,0)))+$B$12+SUM(_xlfn.XLOOKUP(S169:AG169,增益!$A:$A,增益!$V:$V,0)))*IF(VLOOKUP($R169,武学奇术!$A:$ZZ,23,FALSE)=1,0,1)</f>
        <v>0.4495</v>
      </c>
      <c r="BN169" s="21" cm="1">
        <f t="array" ref="BN169">1+$B$14+VLOOKUP($R169,武学奇术!$A:$ZZ,20,FALSE)+SUM(_xlfn.XLOOKUP(S169:AG169,增益!$A:$A,增益!$T:$T,0))</f>
        <v>1.602</v>
      </c>
      <c r="BO169" s="21">
        <f t="shared" si="31"/>
        <v>0.18803265</v>
      </c>
      <c r="BP169" s="21">
        <f t="shared" si="32"/>
        <v>0.2649738</v>
      </c>
      <c r="BQ169" s="21">
        <f>IF(VLOOKUP($R169,武学奇术!$A:$ZZ,22,FALSE)=1,0,(1-$BJ169))*(1-$BM169)</f>
        <v>0.09749355</v>
      </c>
      <c r="BR169" s="21" cm="1">
        <f t="array" ref="BR169">SUM(_xlfn.XLOOKUP(S169:AG169,增益!$A:$A,增益!$W:$W,0))+$I$5</f>
        <v>0.16</v>
      </c>
    </row>
    <row r="170" spans="11:70">
      <c r="K170" s="24">
        <f>$L170*VLOOKUP($R170,武学奇术!$A:$ZZ,31,FALSE)</f>
        <v>4096.33432473652</v>
      </c>
      <c r="L170" s="24">
        <f t="shared" si="22"/>
        <v>8192.66864947303</v>
      </c>
      <c r="M170" s="24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BL170*$Q170*(1+IF(VLOOKUP($R170,武学奇术!$A:$ZZ,30,FALSE)="流血",$B$21,0))*(1+$BR170)</f>
        <v>7242.71581350311</v>
      </c>
      <c r="N170" s="24">
        <f>(($AP170*$AI170+$AJ170)*(1+$AQ170)*(1+$AR170)+($AU170*IF($G$1="鸣金",$AK170,$AI170)+IF($G$1="鸣金",$AL170*1.5,0))*(1+$AV170)*(1+$AW170)+($AY170*IF($G$1="裂石",$AK170,$AI170)+IF($G$1="裂石",$AL170*1.5,0))*(1+$AZ170)*(1+$BA170)+($BC170*IF($G$1="牵丝",$AK170,$AI170)+IF($G$1="牵丝",$AL170*1.5,0))*(1+$BD170)*(1+$BE170)+($BG170*IF($G$1="破竹",$AK170,$AI170)+IF($G$1="破竹",$AL170*1.5,0))*(1+$BH170)*(1+$BI170))*(1+$AM170)*$BN170*$Q170*(1+IF(VLOOKUP($R170,武学奇术!$A:$ZZ,30,FALSE)="流血",$B$21,0))*(1+$BR170)</f>
        <v>11861.5170947316</v>
      </c>
      <c r="O170" s="24">
        <f>((($AO170+$AP170)/2*$AI170+$AJ170)*(1+$AQ170)*(1+$AR170)+(($AT170+$AU170)/2*IF($G$1="鸣金",$AK170,$AI170)+IF($G$1="鸣金",$AL170*1.5,0))*(1+$AV170)*(1+$AW170)+(($AX170+$AY170)/2*IF($G$1="裂石",$AK170,$AI170)+IF($G$1="裂石",$AL170*1.5,0))*(1+$AZ170)*(1+$BA170)+(($BB170+$BC170)/2*IF($G$1="牵丝",$AK170,$AI170)+IF($G$1="牵丝",$AL170*1.5,0))*(1+$BD170)*(1+$BE170)+(($BF170+$BG170)/2*IF($G$1="破竹",$AK170,$AI170)+IF($G$1="破竹",$AL170*1.5,0))*(1+$BH170)*(1+$BI170))*(1+$AM170)*$Q170*(1+IF(VLOOKUP($R170,武学奇术!$A:$ZZ,30,FALSE)="流血",$B$21,0))*(1+$BR170)</f>
        <v>4828.47720900207</v>
      </c>
      <c r="P170" s="24">
        <f>((($AO170*$AI170+$AJ170)*(1+$AQ170)*(1+$AR170)+($AT170*IF($G$1="鸣金",$AK170,$AI170)+IF($G$1="鸣金",$AL170*1.5,0))*(1+$AV170)*(1+$AW170)+($AX170*IF($G$1="裂石",$AK170,$AI170)+IF($G$1="裂石",$AL170*1.5,0))*(1+$AZ170)*(1+$BA170)+($BB170*IF($G$1="牵丝",$AK170,$AI170)+IF($G$1="牵丝",$AL170*1.5,0))*(1+$BD170)*(1+$BE170)+($BF170*IF($G$1="破竹",$AK170,$AI170)+IF($G$1="破竹",$AL170*1.5,0))*(1+$BH170)*(1+$BI170))*(1+$AM170))*$Q170*(1+IF(VLOOKUP($R170,武学奇术!$A:$ZZ,30,FALSE)="流血",$B$21,0))*(1+$BR170)</f>
        <v>2252.76147497568</v>
      </c>
      <c r="Q170" s="31">
        <v>1</v>
      </c>
      <c r="R170" s="32" t="s">
        <v>194</v>
      </c>
      <c r="S170" s="32" t="s">
        <v>87</v>
      </c>
      <c r="T170" s="32" t="s">
        <v>96</v>
      </c>
      <c r="U170" s="32" t="s">
        <v>97</v>
      </c>
      <c r="V170" s="32" t="s">
        <v>73</v>
      </c>
      <c r="W170" s="32" t="s">
        <v>111</v>
      </c>
      <c r="X170" s="32" t="s">
        <v>127</v>
      </c>
      <c r="Y170" s="32" t="s">
        <v>73</v>
      </c>
      <c r="Z170" s="32" t="s">
        <v>73</v>
      </c>
      <c r="AA170" s="32" t="s">
        <v>73</v>
      </c>
      <c r="AB170" s="32" t="s">
        <v>75</v>
      </c>
      <c r="AC170" s="32" t="s">
        <v>89</v>
      </c>
      <c r="AD170" s="32" t="s">
        <v>82</v>
      </c>
      <c r="AE170" s="32" t="s">
        <v>90</v>
      </c>
      <c r="AF170" s="32" t="s">
        <v>73</v>
      </c>
      <c r="AG170" s="32" t="s">
        <v>178</v>
      </c>
      <c r="AH170" t="str">
        <f>VLOOKUP($R170,武学奇术!$A:$ZZ,25,FALSE)</f>
        <v>单体奇术</v>
      </c>
      <c r="AI170" s="21">
        <f>VLOOKUP($R170,武学奇术!$A:$ZZ,26,FALSE)</f>
        <v>0.236</v>
      </c>
      <c r="AJ170" s="22">
        <f>VLOOKUP($R170,武学奇术!$A:$ZZ,27,FALSE)*(1+IF(OR($AH170=$F$4,$AH170=$F$5),$B$22,0))</f>
        <v>46</v>
      </c>
      <c r="AK170" s="21">
        <f>VLOOKUP($R170,武学奇术!$A:$ZZ,28,FALSE)</f>
        <v>0.354</v>
      </c>
      <c r="AL170" s="22">
        <f>VLOOKUP($R170,武学奇术!$A:$ZZ,29,FALSE)*(1+IF(OR($AH170=$F$4,$AH170=$F$5),$B$22,0))</f>
        <v>0</v>
      </c>
      <c r="AM170" s="21" cm="1">
        <f t="array" ref="AM170">$G$3+IFERROR(VLOOKUP($AH170,$F$4:$G$7,2,FALSE),0)+VLOOKUP($R170,武学奇术!$A:$ZZ,2,FALSE)+SUM(_xlfn.XLOOKUP($S170:$AG170,增益!$A:$A,增益!$B:$B,0))</f>
        <v>1.443</v>
      </c>
      <c r="AN170" s="21" cm="1">
        <f t="array" ref="AN170">VLOOKUP($R170,武学奇术!$A:$ZZ,5,FALSE)+SUM(_xlfn.XLOOKUP($S170:$AG170,增益!$A:$A,增益!$E:$E,0))</f>
        <v>0</v>
      </c>
      <c r="AO170" cm="1">
        <f t="array" ref="AO170">$D$10*(1+$AN170)+VLOOKUP($R170,武学奇术!$A:$ZZ,3,FALSE)+SUM(_xlfn.XLOOKUP($S170:$AG170,增益!$A:$A,增益!$C:$C,0))-$I$2</f>
        <v>1825.28</v>
      </c>
      <c r="AP170" cm="1">
        <f t="array" ref="AP170">$E$10*(1+$AN170)+VLOOKUP($R170,武学奇术!$A:$ZZ,4,FALSE)+SUM(_xlfn.XLOOKUP($S170:$AG170,增益!$A:$A,增益!$D:$D,0))-$I$2</f>
        <v>7757.36</v>
      </c>
      <c r="AQ170" s="26" cm="1">
        <f t="array" ref="AQ170">IF($F$10-$I$3+VLOOKUP($R170,武学奇术!$A:$ZZ,6,FALSE)+SUM(_xlfn.XLOOKUP(S170:AG170,增益!$A:$A,增益!$F:$F,0))&gt;0,($F$10-$I$3+VLOOKUP($R170,武学奇术!$A:$ZZ,6,FALSE)+SUM(_xlfn.XLOOKUP(S170:AG170,增益!$A:$A,增益!$F:$F,0)))/200,($F$10-$I$3+VLOOKUP($R170,武学奇术!$A:$ZZ,6,FALSE)+SUM(_xlfn.XLOOKUP(S170:AG170,增益!$A:$A,增益!$F:$F,0)))/100)</f>
        <v>0.244</v>
      </c>
      <c r="AR170" s="26" cm="1">
        <f t="array" ref="AR170">$G$10+VLOOKUP($R170,武学奇术!$A:$ZZ,7,FALSE)+SUM(_xlfn.XLOOKUP(S170:AG170,增益!$A:$A,增益!$G:$G,0))</f>
        <v>0</v>
      </c>
      <c r="AS170" s="21" cm="1">
        <f t="array" ref="AS170">VLOOKUP($R170,武学奇术!$A:$ZZ,8,FALSE)+SUM(_xlfn.XLOOKUP(S170:AG170,增益!$A:$A,增益!$H:$H,0))</f>
        <v>0</v>
      </c>
      <c r="AT170">
        <f t="shared" si="23"/>
        <v>680.02</v>
      </c>
      <c r="AU170">
        <f t="shared" si="24"/>
        <v>1288.54</v>
      </c>
      <c r="AV170" s="26" cm="1">
        <f t="array" ref="AV170">IF($F$11-$I$4+VLOOKUP($R170,武学奇术!$A:$ZZ,9,FALSE)+SUM(_xlfn.XLOOKUP(S170:AG170,增益!$A:$A,增益!$I:$I,0))&gt;0,($F$11-$I$4+VLOOKUP($R170,武学奇术!$A:$ZZ,9,FALSE)+SUM(_xlfn.XLOOKUP(S170:AG170,增益!$A:$A,增益!$I:$I,0)))/200,($F$11-$I$4+VLOOKUP($R170,武学奇术!$A:$ZZ,9,FALSE)+SUM(_xlfn.XLOOKUP(S170:AG170,增益!$A:$A,增益!$I:$I,0)))/100)</f>
        <v>0</v>
      </c>
      <c r="AW170" s="26" cm="1">
        <f t="array" ref="AW170">$G$11+VLOOKUP($R170,武学奇术!$A:$ZZ,10,FALSE)+SUM(_xlfn.XLOOKUP(S170:AG170,增益!$A:$A,增益!$J:$J,0))</f>
        <v>0.15</v>
      </c>
      <c r="AX170">
        <f t="shared" si="25"/>
        <v>0</v>
      </c>
      <c r="AY170">
        <f t="shared" si="26"/>
        <v>0</v>
      </c>
      <c r="AZ170" s="26" cm="1">
        <f t="array" ref="AZ170">IF($F$12-$I$4+VLOOKUP($R170,武学奇术!$A:$ZZ,11,FALSE)+SUM(_xlfn.XLOOKUP(S170:AG170,增益!$A:$A,增益!$K:$K,0))&gt;0,($F$12-$I$4+VLOOKUP($R170,武学奇术!$A:$ZZ,11,FALSE)+SUM(_xlfn.XLOOKUP(S170:AG170,增益!$A:$A,增益!$K:$K,0)))/200,($F$12-$I$4+VLOOKUP($R170,武学奇术!$A:$ZZ,11,FALSE)+SUM(_xlfn.XLOOKUP(S170:AG170,增益!$A:$A,增益!$K:$K,0)))/100)</f>
        <v>-0.3</v>
      </c>
      <c r="BA170" s="26" cm="1">
        <f t="array" ref="BA170">$G$12+VLOOKUP($R170,武学奇术!$A:$ZZ,12,FALSE)+SUM(_xlfn.XLOOKUP(S170:AG170,增益!$A:$A,增益!$L:$L,0))</f>
        <v>0</v>
      </c>
      <c r="BB170">
        <f t="shared" si="27"/>
        <v>0</v>
      </c>
      <c r="BC170">
        <f t="shared" si="28"/>
        <v>0</v>
      </c>
      <c r="BD170" s="26" cm="1">
        <f t="array" ref="BD170">IF($F$13-$I$4+VLOOKUP($R170,武学奇术!$A:$ZZ,13,FALSE)+SUM(_xlfn.XLOOKUP(S170:AG170,增益!$A:$A,增益!$M:$M,0))&gt;0,($F$13-$I$4+VLOOKUP($R170,武学奇术!$A:$ZZ,13,FALSE)+SUM(_xlfn.XLOOKUP(S170:AG170,增益!$A:$A,增益!$K:$K,0)))/200,($F$13-$I$4+VLOOKUP($R170,武学奇术!$A:$ZZ,13,FALSE)+SUM(_xlfn.XLOOKUP(S170:AG170,增益!$A:$A,增益!$M:$M,0)))/100)</f>
        <v>-0.3</v>
      </c>
      <c r="BE170" s="26" cm="1">
        <f t="array" ref="BE170">$G$13+VLOOKUP($R170,武学奇术!$A:$ZZ,14,FALSE)+SUM(_xlfn.XLOOKUP(S170:AG170,增益!$A:$A,增益!$N:$N,0))</f>
        <v>0</v>
      </c>
      <c r="BF170">
        <f t="shared" si="29"/>
        <v>0</v>
      </c>
      <c r="BG170">
        <f t="shared" si="30"/>
        <v>0</v>
      </c>
      <c r="BH170" s="26" cm="1">
        <f t="array" ref="BH170">IF($F$14-$I$4+VLOOKUP($R170,武学奇术!$A:$ZZ,15,FALSE)+SUM(_xlfn.XLOOKUP(S170:AG170,增益!$A:$A,增益!$O:$O,0))&gt;0,($F$14-$I$4+VLOOKUP($R170,武学奇术!$A:$ZZ,15,FALSE)+SUM(_xlfn.XLOOKUP(S170:AG170,增益!$A:$A,增益!$O:$O,0)))/200,($F$14-$I$4+VLOOKUP($R170,武学奇术!$A:$ZZ,15,FALSE)+SUM(_xlfn.XLOOKUP(S170:AG170,增益!$A:$A,增益!$O:$O,0)))/100)</f>
        <v>-0.3</v>
      </c>
      <c r="BI170" s="26" cm="1">
        <f t="array" ref="BI170">$G$14+VLOOKUP($R170,武学奇术!$A:$ZZ,16,FALSE)+SUM(_xlfn.XLOOKUP(S170:AG170,增益!$A:$A,增益!$P:$P,0))</f>
        <v>0</v>
      </c>
      <c r="BJ170" s="21">
        <f>MIN(IF(VLOOKUP($R170,武学奇术!$A:$ZZ,23,FALSE)=1,100%,$B$8),100%)</f>
        <v>0.8229</v>
      </c>
      <c r="BK170" s="21" cm="1">
        <f t="array" ref="BK170">IF(VLOOKUP($R170,武学奇术!$A:$ZZ,23,FALSE)=1,100%,MIN(80%,$B$9+VLOOKUP($R170,武学奇术!$A:$ZZ,17,FALSE)+SUM(_xlfn.XLOOKUP(S170:AG170,增益!$A:$A,增益!$Q:$Q,0)))+$B$11+SUM(_xlfn.XLOOKUP(S170:AG170,增益!$A:$A,增益!$U:$U,0)))*IF(VLOOKUP($R170,武学奇术!$A:$ZZ,24,FALSE)=1,0,1)</f>
        <v>0.2285</v>
      </c>
      <c r="BL170" s="21" cm="1">
        <f t="array" ref="BL170">1+$B$13+VLOOKUP($R170,武学奇术!$A:$ZZ,18,FALSE)+SUM(_xlfn.XLOOKUP(S170:AG170,增益!$A:$A,增益!$R:$R,0))</f>
        <v>1.5</v>
      </c>
      <c r="BM170" s="21" cm="1">
        <f t="array" ref="BM170">IF(VLOOKUP($R170,武学奇术!$A:$ZZ,24,FALSE)=1,100%,MIN(40%,$B$10+VLOOKUP($R170,武学奇术!$A:$ZZ,19,FALSE)+SUM(_xlfn.XLOOKUP(S170:AG170,增益!$A:$A,增益!$S:$S,0)))+$B$12+SUM(_xlfn.XLOOKUP(S170:AG170,增益!$A:$A,增益!$V:$V,0)))*IF(VLOOKUP($R170,武学奇术!$A:$ZZ,23,FALSE)=1,0,1)</f>
        <v>0.4495</v>
      </c>
      <c r="BN170" s="21" cm="1">
        <f t="array" ref="BN170">1+$B$14+VLOOKUP($R170,武学奇术!$A:$ZZ,20,FALSE)+SUM(_xlfn.XLOOKUP(S170:AG170,增益!$A:$A,增益!$T:$T,0))</f>
        <v>1.602</v>
      </c>
      <c r="BO170" s="21">
        <f t="shared" si="31"/>
        <v>0.18803265</v>
      </c>
      <c r="BP170" s="21">
        <f t="shared" si="32"/>
        <v>0.2649738</v>
      </c>
      <c r="BQ170" s="21">
        <f>IF(VLOOKUP($R170,武学奇术!$A:$ZZ,22,FALSE)=1,0,(1-$BJ170))*(1-$BM170)</f>
        <v>0.09749355</v>
      </c>
      <c r="BR170" s="21" cm="1">
        <f t="array" ref="BR170">SUM(_xlfn.XLOOKUP(S170:AG170,增益!$A:$A,增益!$W:$W,0))+$I$5</f>
        <v>0.06</v>
      </c>
    </row>
    <row r="171" spans="11:70">
      <c r="K171" s="24">
        <f>$L171*VLOOKUP($R171,武学奇术!$A:$ZZ,31,FALSE)</f>
        <v>25755.870603657</v>
      </c>
      <c r="L171" s="24">
        <f t="shared" si="22"/>
        <v>51511.7412073139</v>
      </c>
      <c r="M171" s="24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BL171*$Q171*(1+IF(VLOOKUP($R171,武学奇术!$A:$ZZ,30,FALSE)="流血",$B$21,0))*(1+$BR171)</f>
        <v>45495.1930063709</v>
      </c>
      <c r="N171" s="24">
        <f>(($AP171*$AI171+$AJ171)*(1+$AQ171)*(1+$AR171)+($AU171*IF($G$1="鸣金",$AK171,$AI171)+IF($G$1="鸣金",$AL171*1.5,0))*(1+$AV171)*(1+$AW171)+($AY171*IF($G$1="裂石",$AK171,$AI171)+IF($G$1="裂石",$AL171*1.5,0))*(1+$AZ171)*(1+$BA171)+($BC171*IF($G$1="牵丝",$AK171,$AI171)+IF($G$1="牵丝",$AL171*1.5,0))*(1+$BD171)*(1+$BE171)+($BG171*IF($G$1="破竹",$AK171,$AI171)+IF($G$1="破竹",$AL171*1.5,0))*(1+$BH171)*(1+$BI171))*(1+$AM171)*$BN171*$Q171*(1+IF(VLOOKUP($R171,武学奇术!$A:$ZZ,30,FALSE)="流血",$B$21,0))*(1+$BR171)</f>
        <v>74635.3745056475</v>
      </c>
      <c r="O171" s="24">
        <f>((($AO171+$AP171)/2*$AI171+$AJ171)*(1+$AQ171)*(1+$AR171)+(($AT171+$AU171)/2*IF($G$1="鸣金",$AK171,$AI171)+IF($G$1="鸣金",$AL171*1.5,0))*(1+$AV171)*(1+$AW171)+(($AX171+$AY171)/2*IF($G$1="裂石",$AK171,$AI171)+IF($G$1="裂石",$AL171*1.5,0))*(1+$AZ171)*(1+$BA171)+(($BB171+$BC171)/2*IF($G$1="牵丝",$AK171,$AI171)+IF($G$1="牵丝",$AL171*1.5,0))*(1+$BD171)*(1+$BE171)+(($BF171+$BG171)/2*IF($G$1="破竹",$AK171,$AI171)+IF($G$1="破竹",$AL171*1.5,0))*(1+$BH171)*(1+$BI171))*(1+$AM171)*$Q171*(1+IF(VLOOKUP($R171,武学奇术!$A:$ZZ,30,FALSE)="流血",$B$21,0))*(1+$BR171)</f>
        <v>30330.1286709139</v>
      </c>
      <c r="P171" s="24">
        <f>((($AO171*$AI171+$AJ171)*(1+$AQ171)*(1+$AR171)+($AT171*IF($G$1="鸣金",$AK171,$AI171)+IF($G$1="鸣金",$AL171*1.5,0))*(1+$AV171)*(1+$AW171)+($AX171*IF($G$1="裂石",$AK171,$AI171)+IF($G$1="裂石",$AL171*1.5,0))*(1+$AZ171)*(1+$BA171)+($BB171*IF($G$1="牵丝",$AK171,$AI171)+IF($G$1="牵丝",$AL171*1.5,0))*(1+$BD171)*(1+$BE171)+($BF171*IF($G$1="破竹",$AK171,$AI171)+IF($G$1="破竹",$AL171*1.5,0))*(1+$BH171)*(1+$BI171))*(1+$AM171))*$Q171*(1+IF(VLOOKUP($R171,武学奇术!$A:$ZZ,30,FALSE)="流血",$B$21,0))*(1+$BR171)</f>
        <v>14071.3843670167</v>
      </c>
      <c r="Q171" s="31">
        <v>7</v>
      </c>
      <c r="R171" s="32" t="s">
        <v>194</v>
      </c>
      <c r="S171" s="32" t="s">
        <v>87</v>
      </c>
      <c r="T171" s="32" t="s">
        <v>96</v>
      </c>
      <c r="U171" s="32" t="s">
        <v>97</v>
      </c>
      <c r="V171" s="32" t="s">
        <v>73</v>
      </c>
      <c r="W171" s="32" t="s">
        <v>73</v>
      </c>
      <c r="X171" s="32" t="s">
        <v>127</v>
      </c>
      <c r="Y171" s="32" t="s">
        <v>73</v>
      </c>
      <c r="Z171" s="32" t="s">
        <v>73</v>
      </c>
      <c r="AA171" s="32" t="s">
        <v>81</v>
      </c>
      <c r="AB171" s="32" t="s">
        <v>75</v>
      </c>
      <c r="AC171" s="32" t="s">
        <v>76</v>
      </c>
      <c r="AD171" s="32" t="s">
        <v>82</v>
      </c>
      <c r="AE171" s="32" t="s">
        <v>73</v>
      </c>
      <c r="AF171" s="32" t="s">
        <v>73</v>
      </c>
      <c r="AG171" s="32" t="s">
        <v>178</v>
      </c>
      <c r="AH171" t="str">
        <f>VLOOKUP($R171,武学奇术!$A:$ZZ,25,FALSE)</f>
        <v>单体奇术</v>
      </c>
      <c r="AI171" s="21">
        <f>VLOOKUP($R171,武学奇术!$A:$ZZ,26,FALSE)</f>
        <v>0.236</v>
      </c>
      <c r="AJ171" s="22">
        <f>VLOOKUP($R171,武学奇术!$A:$ZZ,27,FALSE)*(1+IF(OR($AH171=$F$4,$AH171=$F$5),$B$22,0))</f>
        <v>46</v>
      </c>
      <c r="AK171" s="21">
        <f>VLOOKUP($R171,武学奇术!$A:$ZZ,28,FALSE)</f>
        <v>0.354</v>
      </c>
      <c r="AL171" s="22">
        <f>VLOOKUP($R171,武学奇术!$A:$ZZ,29,FALSE)*(1+IF(OR($AH171=$F$4,$AH171=$F$5),$B$22,0))</f>
        <v>0</v>
      </c>
      <c r="AM171" s="21" cm="1">
        <f t="array" ref="AM171">$G$3+IFERROR(VLOOKUP($AH171,$F$4:$G$7,2,FALSE),0)+VLOOKUP($R171,武学奇术!$A:$ZZ,2,FALSE)+SUM(_xlfn.XLOOKUP($S171:$AG171,增益!$A:$A,增益!$B:$B,0))</f>
        <v>1.203</v>
      </c>
      <c r="AN171" s="21" cm="1">
        <f t="array" ref="AN171">VLOOKUP($R171,武学奇术!$A:$ZZ,5,FALSE)+SUM(_xlfn.XLOOKUP($S171:$AG171,增益!$A:$A,增益!$E:$E,0))</f>
        <v>0</v>
      </c>
      <c r="AO171" cm="1">
        <f t="array" ref="AO171">$D$10*(1+$AN171)+VLOOKUP($R171,武学奇术!$A:$ZZ,3,FALSE)+SUM(_xlfn.XLOOKUP($S171:$AG171,增益!$A:$A,增益!$C:$C,0))-$I$2</f>
        <v>1794.28</v>
      </c>
      <c r="AP171" cm="1">
        <f t="array" ref="AP171">$E$10*(1+$AN171)+VLOOKUP($R171,武学奇术!$A:$ZZ,4,FALSE)+SUM(_xlfn.XLOOKUP($S171:$AG171,增益!$A:$A,增益!$D:$D,0))-$I$2</f>
        <v>7726.36</v>
      </c>
      <c r="AQ171" s="26" cm="1">
        <f t="array" ref="AQ171">IF($F$10-$I$3+VLOOKUP($R171,武学奇术!$A:$ZZ,6,FALSE)+SUM(_xlfn.XLOOKUP(S171:AG171,增益!$A:$A,增益!$F:$F,0))&gt;0,($F$10-$I$3+VLOOKUP($R171,武学奇术!$A:$ZZ,6,FALSE)+SUM(_xlfn.XLOOKUP(S171:AG171,增益!$A:$A,增益!$F:$F,0)))/200,($F$10-$I$3+VLOOKUP($R171,武学奇术!$A:$ZZ,6,FALSE)+SUM(_xlfn.XLOOKUP(S171:AG171,增益!$A:$A,增益!$F:$F,0)))/100)</f>
        <v>0.244</v>
      </c>
      <c r="AR171" s="26" cm="1">
        <f t="array" ref="AR171">$G$10+VLOOKUP($R171,武学奇术!$A:$ZZ,7,FALSE)+SUM(_xlfn.XLOOKUP(S171:AG171,增益!$A:$A,增益!$G:$G,0))</f>
        <v>0</v>
      </c>
      <c r="AS171" s="21" cm="1">
        <f t="array" ref="AS171">VLOOKUP($R171,武学奇术!$A:$ZZ,8,FALSE)+SUM(_xlfn.XLOOKUP(S171:AG171,增益!$A:$A,增益!$H:$H,0))</f>
        <v>0</v>
      </c>
      <c r="AT171">
        <f t="shared" si="23"/>
        <v>680.02</v>
      </c>
      <c r="AU171">
        <f t="shared" si="24"/>
        <v>1288.54</v>
      </c>
      <c r="AV171" s="26" cm="1">
        <f t="array" ref="AV171">IF($F$11-$I$4+VLOOKUP($R171,武学奇术!$A:$ZZ,9,FALSE)+SUM(_xlfn.XLOOKUP(S171:AG171,增益!$A:$A,增益!$I:$I,0))&gt;0,($F$11-$I$4+VLOOKUP($R171,武学奇术!$A:$ZZ,9,FALSE)+SUM(_xlfn.XLOOKUP(S171:AG171,增益!$A:$A,增益!$I:$I,0)))/200,($F$11-$I$4+VLOOKUP($R171,武学奇术!$A:$ZZ,9,FALSE)+SUM(_xlfn.XLOOKUP(S171:AG171,增益!$A:$A,增益!$I:$I,0)))/100)</f>
        <v>0</v>
      </c>
      <c r="AW171" s="26" cm="1">
        <f t="array" ref="AW171">$G$11+VLOOKUP($R171,武学奇术!$A:$ZZ,10,FALSE)+SUM(_xlfn.XLOOKUP(S171:AG171,增益!$A:$A,增益!$J:$J,0))</f>
        <v>0.15</v>
      </c>
      <c r="AX171">
        <f t="shared" si="25"/>
        <v>0</v>
      </c>
      <c r="AY171">
        <f t="shared" si="26"/>
        <v>0</v>
      </c>
      <c r="AZ171" s="26" cm="1">
        <f t="array" ref="AZ171">IF($F$12-$I$4+VLOOKUP($R171,武学奇术!$A:$ZZ,11,FALSE)+SUM(_xlfn.XLOOKUP(S171:AG171,增益!$A:$A,增益!$K:$K,0))&gt;0,($F$12-$I$4+VLOOKUP($R171,武学奇术!$A:$ZZ,11,FALSE)+SUM(_xlfn.XLOOKUP(S171:AG171,增益!$A:$A,增益!$K:$K,0)))/200,($F$12-$I$4+VLOOKUP($R171,武学奇术!$A:$ZZ,11,FALSE)+SUM(_xlfn.XLOOKUP(S171:AG171,增益!$A:$A,增益!$K:$K,0)))/100)</f>
        <v>-0.3</v>
      </c>
      <c r="BA171" s="26" cm="1">
        <f t="array" ref="BA171">$G$12+VLOOKUP($R171,武学奇术!$A:$ZZ,12,FALSE)+SUM(_xlfn.XLOOKUP(S171:AG171,增益!$A:$A,增益!$L:$L,0))</f>
        <v>0</v>
      </c>
      <c r="BB171">
        <f t="shared" si="27"/>
        <v>0</v>
      </c>
      <c r="BC171">
        <f t="shared" si="28"/>
        <v>0</v>
      </c>
      <c r="BD171" s="26" cm="1">
        <f t="array" ref="BD171">IF($F$13-$I$4+VLOOKUP($R171,武学奇术!$A:$ZZ,13,FALSE)+SUM(_xlfn.XLOOKUP(S171:AG171,增益!$A:$A,增益!$M:$M,0))&gt;0,($F$13-$I$4+VLOOKUP($R171,武学奇术!$A:$ZZ,13,FALSE)+SUM(_xlfn.XLOOKUP(S171:AG171,增益!$A:$A,增益!$K:$K,0)))/200,($F$13-$I$4+VLOOKUP($R171,武学奇术!$A:$ZZ,13,FALSE)+SUM(_xlfn.XLOOKUP(S171:AG171,增益!$A:$A,增益!$M:$M,0)))/100)</f>
        <v>-0.3</v>
      </c>
      <c r="BE171" s="26" cm="1">
        <f t="array" ref="BE171">$G$13+VLOOKUP($R171,武学奇术!$A:$ZZ,14,FALSE)+SUM(_xlfn.XLOOKUP(S171:AG171,增益!$A:$A,增益!$N:$N,0))</f>
        <v>0</v>
      </c>
      <c r="BF171">
        <f t="shared" si="29"/>
        <v>0</v>
      </c>
      <c r="BG171">
        <f t="shared" si="30"/>
        <v>0</v>
      </c>
      <c r="BH171" s="26" cm="1">
        <f t="array" ref="BH171">IF($F$14-$I$4+VLOOKUP($R171,武学奇术!$A:$ZZ,15,FALSE)+SUM(_xlfn.XLOOKUP(S171:AG171,增益!$A:$A,增益!$O:$O,0))&gt;0,($F$14-$I$4+VLOOKUP($R171,武学奇术!$A:$ZZ,15,FALSE)+SUM(_xlfn.XLOOKUP(S171:AG171,增益!$A:$A,增益!$O:$O,0)))/200,($F$14-$I$4+VLOOKUP($R171,武学奇术!$A:$ZZ,15,FALSE)+SUM(_xlfn.XLOOKUP(S171:AG171,增益!$A:$A,增益!$O:$O,0)))/100)</f>
        <v>-0.3</v>
      </c>
      <c r="BI171" s="26" cm="1">
        <f t="array" ref="BI171">$G$14+VLOOKUP($R171,武学奇术!$A:$ZZ,16,FALSE)+SUM(_xlfn.XLOOKUP(S171:AG171,增益!$A:$A,增益!$P:$P,0))</f>
        <v>0</v>
      </c>
      <c r="BJ171" s="21">
        <f>MIN(IF(VLOOKUP($R171,武学奇术!$A:$ZZ,23,FALSE)=1,100%,$B$8),100%)</f>
        <v>0.8229</v>
      </c>
      <c r="BK171" s="21" cm="1">
        <f t="array" ref="BK171">IF(VLOOKUP($R171,武学奇术!$A:$ZZ,23,FALSE)=1,100%,MIN(80%,$B$9+VLOOKUP($R171,武学奇术!$A:$ZZ,17,FALSE)+SUM(_xlfn.XLOOKUP(S171:AG171,增益!$A:$A,增益!$Q:$Q,0)))+$B$11+SUM(_xlfn.XLOOKUP(S171:AG171,增益!$A:$A,增益!$U:$U,0)))*IF(VLOOKUP($R171,武学奇术!$A:$ZZ,24,FALSE)=1,0,1)</f>
        <v>0.2285</v>
      </c>
      <c r="BL171" s="21" cm="1">
        <f t="array" ref="BL171">1+$B$13+VLOOKUP($R171,武学奇术!$A:$ZZ,18,FALSE)+SUM(_xlfn.XLOOKUP(S171:AG171,增益!$A:$A,增益!$R:$R,0))</f>
        <v>1.5</v>
      </c>
      <c r="BM171" s="21" cm="1">
        <f t="array" ref="BM171">IF(VLOOKUP($R171,武学奇术!$A:$ZZ,24,FALSE)=1,100%,MIN(40%,$B$10+VLOOKUP($R171,武学奇术!$A:$ZZ,19,FALSE)+SUM(_xlfn.XLOOKUP(S171:AG171,增益!$A:$A,增益!$S:$S,0)))+$B$12+SUM(_xlfn.XLOOKUP(S171:AG171,增益!$A:$A,增益!$V:$V,0)))*IF(VLOOKUP($R171,武学奇术!$A:$ZZ,23,FALSE)=1,0,1)</f>
        <v>0.4495</v>
      </c>
      <c r="BN171" s="21" cm="1">
        <f t="array" ref="BN171">1+$B$14+VLOOKUP($R171,武学奇术!$A:$ZZ,20,FALSE)+SUM(_xlfn.XLOOKUP(S171:AG171,增益!$A:$A,增益!$T:$T,0))</f>
        <v>1.602</v>
      </c>
      <c r="BO171" s="21">
        <f t="shared" si="31"/>
        <v>0.18803265</v>
      </c>
      <c r="BP171" s="21">
        <f t="shared" si="32"/>
        <v>0.2649738</v>
      </c>
      <c r="BQ171" s="21">
        <f>IF(VLOOKUP($R171,武学奇术!$A:$ZZ,22,FALSE)=1,0,(1-$BJ171))*(1-$BM171)</f>
        <v>0.09749355</v>
      </c>
      <c r="BR171" s="21" cm="1">
        <f t="array" ref="BR171">SUM(_xlfn.XLOOKUP(S171:AG171,增益!$A:$A,增益!$W:$W,0))+$I$5</f>
        <v>0.06</v>
      </c>
    </row>
    <row r="172" spans="11:70">
      <c r="K172" s="24">
        <f>$L172*VLOOKUP($R172,武学奇术!$A:$ZZ,31,FALSE)</f>
        <v>53252.3462215747</v>
      </c>
      <c r="L172" s="24">
        <f t="shared" si="22"/>
        <v>106504.692443149</v>
      </c>
      <c r="M172" s="24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BL172*$Q172*(1+IF(VLOOKUP($R172,武学奇术!$A:$ZZ,30,FALSE)="流血",$B$21,0))*(1+$BR172)</f>
        <v>94155.3055755404</v>
      </c>
      <c r="N172" s="24">
        <f>(($AP172*$AI172+$AJ172)*(1+$AQ172)*(1+$AR172)+($AU172*IF($G$1="鸣金",$AK172,$AI172)+IF($G$1="鸣金",$AL172*1.5,0))*(1+$AV172)*(1+$AW172)+($AY172*IF($G$1="裂石",$AK172,$AI172)+IF($G$1="裂石",$AL172*1.5,0))*(1+$AZ172)*(1+$BA172)+($BC172*IF($G$1="牵丝",$AK172,$AI172)+IF($G$1="牵丝",$AL172*1.5,0))*(1+$BD172)*(1+$BE172)+($BG172*IF($G$1="破竹",$AK172,$AI172)+IF($G$1="破竹",$AL172*1.5,0))*(1+$BH172)*(1+$BI172))*(1+$AM172)*$BN172*$Q172*(1+IF(VLOOKUP($R172,武学奇术!$A:$ZZ,30,FALSE)="流血",$B$21,0))*(1+$BR172)</f>
        <v>154199.722231511</v>
      </c>
      <c r="O172" s="24">
        <f>((($AO172+$AP172)/2*$AI172+$AJ172)*(1+$AQ172)*(1+$AR172)+(($AT172+$AU172)/2*IF($G$1="鸣金",$AK172,$AI172)+IF($G$1="鸣金",$AL172*1.5,0))*(1+$AV172)*(1+$AW172)+(($AX172+$AY172)/2*IF($G$1="裂石",$AK172,$AI172)+IF($G$1="裂石",$AL172*1.5,0))*(1+$AZ172)*(1+$BA172)+(($BB172+$BC172)/2*IF($G$1="牵丝",$AK172,$AI172)+IF($G$1="牵丝",$AL172*1.5,0))*(1+$BD172)*(1+$BE172)+(($BF172+$BG172)/2*IF($G$1="破竹",$AK172,$AI172)+IF($G$1="破竹",$AL172*1.5,0))*(1+$BH172)*(1+$BI172))*(1+$AM172)*$Q172*(1+IF(VLOOKUP($R172,武学奇术!$A:$ZZ,30,FALSE)="流血",$B$21,0))*(1+$BR172)</f>
        <v>62770.2037170269</v>
      </c>
      <c r="P172" s="24">
        <f>((($AO172*$AI172+$AJ172)*(1+$AQ172)*(1+$AR172)+($AT172*IF($G$1="鸣金",$AK172,$AI172)+IF($G$1="鸣金",$AL172*1.5,0))*(1+$AV172)*(1+$AW172)+($AX172*IF($G$1="裂石",$AK172,$AI172)+IF($G$1="裂石",$AL172*1.5,0))*(1+$AZ172)*(1+$BA172)+($BB172*IF($G$1="牵丝",$AK172,$AI172)+IF($G$1="牵丝",$AL172*1.5,0))*(1+$BD172)*(1+$BE172)+($BF172*IF($G$1="破竹",$AK172,$AI172)+IF($G$1="破竹",$AL172*1.5,0))*(1+$BH172)*(1+$BI172))*(1+$AM172))*$Q172*(1+IF(VLOOKUP($R172,武学奇术!$A:$ZZ,30,FALSE)="流血",$B$21,0))*(1+$BR172)</f>
        <v>29285.8991746839</v>
      </c>
      <c r="Q172" s="31">
        <v>13</v>
      </c>
      <c r="R172" s="32" t="s">
        <v>194</v>
      </c>
      <c r="S172" s="32" t="s">
        <v>87</v>
      </c>
      <c r="T172" s="32" t="s">
        <v>96</v>
      </c>
      <c r="U172" s="32" t="s">
        <v>97</v>
      </c>
      <c r="V172" s="32" t="s">
        <v>73</v>
      </c>
      <c r="W172" s="32" t="s">
        <v>111</v>
      </c>
      <c r="X172" s="32" t="s">
        <v>127</v>
      </c>
      <c r="Y172" s="32" t="s">
        <v>73</v>
      </c>
      <c r="Z172" s="32" t="s">
        <v>73</v>
      </c>
      <c r="AA172" s="32" t="s">
        <v>81</v>
      </c>
      <c r="AB172" s="32" t="s">
        <v>75</v>
      </c>
      <c r="AC172" s="32" t="s">
        <v>89</v>
      </c>
      <c r="AD172" s="32" t="s">
        <v>82</v>
      </c>
      <c r="AE172" s="32" t="s">
        <v>90</v>
      </c>
      <c r="AF172" s="32" t="s">
        <v>73</v>
      </c>
      <c r="AG172" s="32" t="s">
        <v>178</v>
      </c>
      <c r="AH172" t="str">
        <f>VLOOKUP($R172,武学奇术!$A:$ZZ,25,FALSE)</f>
        <v>单体奇术</v>
      </c>
      <c r="AI172" s="21">
        <f>VLOOKUP($R172,武学奇术!$A:$ZZ,26,FALSE)</f>
        <v>0.236</v>
      </c>
      <c r="AJ172" s="22">
        <f>VLOOKUP($R172,武学奇术!$A:$ZZ,27,FALSE)*(1+IF(OR($AH172=$F$4,$AH172=$F$5),$B$22,0))</f>
        <v>46</v>
      </c>
      <c r="AK172" s="21">
        <f>VLOOKUP($R172,武学奇术!$A:$ZZ,28,FALSE)</f>
        <v>0.354</v>
      </c>
      <c r="AL172" s="22">
        <f>VLOOKUP($R172,武学奇术!$A:$ZZ,29,FALSE)*(1+IF(OR($AH172=$F$4,$AH172=$F$5),$B$22,0))</f>
        <v>0</v>
      </c>
      <c r="AM172" s="21" cm="1">
        <f t="array" ref="AM172">$G$3+IFERROR(VLOOKUP($AH172,$F$4:$G$7,2,FALSE),0)+VLOOKUP($R172,武学奇术!$A:$ZZ,2,FALSE)+SUM(_xlfn.XLOOKUP($S172:$AG172,增益!$A:$A,增益!$B:$B,0))</f>
        <v>1.443</v>
      </c>
      <c r="AN172" s="21" cm="1">
        <f t="array" ref="AN172">VLOOKUP($R172,武学奇术!$A:$ZZ,5,FALSE)+SUM(_xlfn.XLOOKUP($S172:$AG172,增益!$A:$A,增益!$E:$E,0))</f>
        <v>0</v>
      </c>
      <c r="AO172" cm="1">
        <f t="array" ref="AO172">$D$10*(1+$AN172)+VLOOKUP($R172,武学奇术!$A:$ZZ,3,FALSE)+SUM(_xlfn.XLOOKUP($S172:$AG172,增益!$A:$A,增益!$C:$C,0))-$I$2</f>
        <v>1825.28</v>
      </c>
      <c r="AP172" cm="1">
        <f t="array" ref="AP172">$E$10*(1+$AN172)+VLOOKUP($R172,武学奇术!$A:$ZZ,4,FALSE)+SUM(_xlfn.XLOOKUP($S172:$AG172,增益!$A:$A,增益!$D:$D,0))-$I$2</f>
        <v>7757.36</v>
      </c>
      <c r="AQ172" s="26" cm="1">
        <f t="array" ref="AQ172">IF($F$10-$I$3+VLOOKUP($R172,武学奇术!$A:$ZZ,6,FALSE)+SUM(_xlfn.XLOOKUP(S172:AG172,增益!$A:$A,增益!$F:$F,0))&gt;0,($F$10-$I$3+VLOOKUP($R172,武学奇术!$A:$ZZ,6,FALSE)+SUM(_xlfn.XLOOKUP(S172:AG172,增益!$A:$A,增益!$F:$F,0)))/200,($F$10-$I$3+VLOOKUP($R172,武学奇术!$A:$ZZ,6,FALSE)+SUM(_xlfn.XLOOKUP(S172:AG172,增益!$A:$A,增益!$F:$F,0)))/100)</f>
        <v>0.244</v>
      </c>
      <c r="AR172" s="26" cm="1">
        <f t="array" ref="AR172">$G$10+VLOOKUP($R172,武学奇术!$A:$ZZ,7,FALSE)+SUM(_xlfn.XLOOKUP(S172:AG172,增益!$A:$A,增益!$G:$G,0))</f>
        <v>0</v>
      </c>
      <c r="AS172" s="21" cm="1">
        <f t="array" ref="AS172">VLOOKUP($R172,武学奇术!$A:$ZZ,8,FALSE)+SUM(_xlfn.XLOOKUP(S172:AG172,增益!$A:$A,增益!$H:$H,0))</f>
        <v>0</v>
      </c>
      <c r="AT172">
        <f t="shared" si="23"/>
        <v>680.02</v>
      </c>
      <c r="AU172">
        <f t="shared" si="24"/>
        <v>1288.54</v>
      </c>
      <c r="AV172" s="26" cm="1">
        <f t="array" ref="AV172">IF($F$11-$I$4+VLOOKUP($R172,武学奇术!$A:$ZZ,9,FALSE)+SUM(_xlfn.XLOOKUP(S172:AG172,增益!$A:$A,增益!$I:$I,0))&gt;0,($F$11-$I$4+VLOOKUP($R172,武学奇术!$A:$ZZ,9,FALSE)+SUM(_xlfn.XLOOKUP(S172:AG172,增益!$A:$A,增益!$I:$I,0)))/200,($F$11-$I$4+VLOOKUP($R172,武学奇术!$A:$ZZ,9,FALSE)+SUM(_xlfn.XLOOKUP(S172:AG172,增益!$A:$A,增益!$I:$I,0)))/100)</f>
        <v>0</v>
      </c>
      <c r="AW172" s="26" cm="1">
        <f t="array" ref="AW172">$G$11+VLOOKUP($R172,武学奇术!$A:$ZZ,10,FALSE)+SUM(_xlfn.XLOOKUP(S172:AG172,增益!$A:$A,增益!$J:$J,0))</f>
        <v>0.15</v>
      </c>
      <c r="AX172">
        <f t="shared" si="25"/>
        <v>0</v>
      </c>
      <c r="AY172">
        <f t="shared" si="26"/>
        <v>0</v>
      </c>
      <c r="AZ172" s="26" cm="1">
        <f t="array" ref="AZ172">IF($F$12-$I$4+VLOOKUP($R172,武学奇术!$A:$ZZ,11,FALSE)+SUM(_xlfn.XLOOKUP(S172:AG172,增益!$A:$A,增益!$K:$K,0))&gt;0,($F$12-$I$4+VLOOKUP($R172,武学奇术!$A:$ZZ,11,FALSE)+SUM(_xlfn.XLOOKUP(S172:AG172,增益!$A:$A,增益!$K:$K,0)))/200,($F$12-$I$4+VLOOKUP($R172,武学奇术!$A:$ZZ,11,FALSE)+SUM(_xlfn.XLOOKUP(S172:AG172,增益!$A:$A,增益!$K:$K,0)))/100)</f>
        <v>-0.3</v>
      </c>
      <c r="BA172" s="26" cm="1">
        <f t="array" ref="BA172">$G$12+VLOOKUP($R172,武学奇术!$A:$ZZ,12,FALSE)+SUM(_xlfn.XLOOKUP(S172:AG172,增益!$A:$A,增益!$L:$L,0))</f>
        <v>0</v>
      </c>
      <c r="BB172">
        <f t="shared" si="27"/>
        <v>0</v>
      </c>
      <c r="BC172">
        <f t="shared" si="28"/>
        <v>0</v>
      </c>
      <c r="BD172" s="26" cm="1">
        <f t="array" ref="BD172">IF($F$13-$I$4+VLOOKUP($R172,武学奇术!$A:$ZZ,13,FALSE)+SUM(_xlfn.XLOOKUP(S172:AG172,增益!$A:$A,增益!$M:$M,0))&gt;0,($F$13-$I$4+VLOOKUP($R172,武学奇术!$A:$ZZ,13,FALSE)+SUM(_xlfn.XLOOKUP(S172:AG172,增益!$A:$A,增益!$K:$K,0)))/200,($F$13-$I$4+VLOOKUP($R172,武学奇术!$A:$ZZ,13,FALSE)+SUM(_xlfn.XLOOKUP(S172:AG172,增益!$A:$A,增益!$M:$M,0)))/100)</f>
        <v>-0.3</v>
      </c>
      <c r="BE172" s="26" cm="1">
        <f t="array" ref="BE172">$G$13+VLOOKUP($R172,武学奇术!$A:$ZZ,14,FALSE)+SUM(_xlfn.XLOOKUP(S172:AG172,增益!$A:$A,增益!$N:$N,0))</f>
        <v>0</v>
      </c>
      <c r="BF172">
        <f t="shared" si="29"/>
        <v>0</v>
      </c>
      <c r="BG172">
        <f t="shared" si="30"/>
        <v>0</v>
      </c>
      <c r="BH172" s="26" cm="1">
        <f t="array" ref="BH172">IF($F$14-$I$4+VLOOKUP($R172,武学奇术!$A:$ZZ,15,FALSE)+SUM(_xlfn.XLOOKUP(S172:AG172,增益!$A:$A,增益!$O:$O,0))&gt;0,($F$14-$I$4+VLOOKUP($R172,武学奇术!$A:$ZZ,15,FALSE)+SUM(_xlfn.XLOOKUP(S172:AG172,增益!$A:$A,增益!$O:$O,0)))/200,($F$14-$I$4+VLOOKUP($R172,武学奇术!$A:$ZZ,15,FALSE)+SUM(_xlfn.XLOOKUP(S172:AG172,增益!$A:$A,增益!$O:$O,0)))/100)</f>
        <v>-0.3</v>
      </c>
      <c r="BI172" s="26" cm="1">
        <f t="array" ref="BI172">$G$14+VLOOKUP($R172,武学奇术!$A:$ZZ,16,FALSE)+SUM(_xlfn.XLOOKUP(S172:AG172,增益!$A:$A,增益!$P:$P,0))</f>
        <v>0</v>
      </c>
      <c r="BJ172" s="21">
        <f>MIN(IF(VLOOKUP($R172,武学奇术!$A:$ZZ,23,FALSE)=1,100%,$B$8),100%)</f>
        <v>0.8229</v>
      </c>
      <c r="BK172" s="21" cm="1">
        <f t="array" ref="BK172">IF(VLOOKUP($R172,武学奇术!$A:$ZZ,23,FALSE)=1,100%,MIN(80%,$B$9+VLOOKUP($R172,武学奇术!$A:$ZZ,17,FALSE)+SUM(_xlfn.XLOOKUP(S172:AG172,增益!$A:$A,增益!$Q:$Q,0)))+$B$11+SUM(_xlfn.XLOOKUP(S172:AG172,增益!$A:$A,增益!$U:$U,0)))*IF(VLOOKUP($R172,武学奇术!$A:$ZZ,24,FALSE)=1,0,1)</f>
        <v>0.2285</v>
      </c>
      <c r="BL172" s="21" cm="1">
        <f t="array" ref="BL172">1+$B$13+VLOOKUP($R172,武学奇术!$A:$ZZ,18,FALSE)+SUM(_xlfn.XLOOKUP(S172:AG172,增益!$A:$A,增益!$R:$R,0))</f>
        <v>1.5</v>
      </c>
      <c r="BM172" s="21" cm="1">
        <f t="array" ref="BM172">IF(VLOOKUP($R172,武学奇术!$A:$ZZ,24,FALSE)=1,100%,MIN(40%,$B$10+VLOOKUP($R172,武学奇术!$A:$ZZ,19,FALSE)+SUM(_xlfn.XLOOKUP(S172:AG172,增益!$A:$A,增益!$S:$S,0)))+$B$12+SUM(_xlfn.XLOOKUP(S172:AG172,增益!$A:$A,增益!$V:$V,0)))*IF(VLOOKUP($R172,武学奇术!$A:$ZZ,23,FALSE)=1,0,1)</f>
        <v>0.4495</v>
      </c>
      <c r="BN172" s="21" cm="1">
        <f t="array" ref="BN172">1+$B$14+VLOOKUP($R172,武学奇术!$A:$ZZ,20,FALSE)+SUM(_xlfn.XLOOKUP(S172:AG172,增益!$A:$A,增益!$T:$T,0))</f>
        <v>1.602</v>
      </c>
      <c r="BO172" s="21">
        <f t="shared" si="31"/>
        <v>0.18803265</v>
      </c>
      <c r="BP172" s="21">
        <f t="shared" si="32"/>
        <v>0.2649738</v>
      </c>
      <c r="BQ172" s="21">
        <f>IF(VLOOKUP($R172,武学奇术!$A:$ZZ,22,FALSE)=1,0,(1-$BJ172))*(1-$BM172)</f>
        <v>0.09749355</v>
      </c>
      <c r="BR172" s="21" cm="1">
        <f t="array" ref="BR172">SUM(_xlfn.XLOOKUP(S172:AG172,增益!$A:$A,增益!$W:$W,0))+$I$5</f>
        <v>0.06</v>
      </c>
    </row>
    <row r="173" spans="11:70">
      <c r="K173" s="24">
        <f>$L173*VLOOKUP($R173,武学奇术!$A:$ZZ,31,FALSE)</f>
        <v>24578.0059484191</v>
      </c>
      <c r="L173" s="24">
        <f t="shared" si="22"/>
        <v>49156.0118968382</v>
      </c>
      <c r="M173" s="24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BL173*$Q173*(1+IF(VLOOKUP($R173,武学奇术!$A:$ZZ,30,FALSE)="流血",$B$21,0))*(1+$BR173)</f>
        <v>43456.2948810186</v>
      </c>
      <c r="N173" s="24">
        <f>(($AP173*$AI173+$AJ173)*(1+$AQ173)*(1+$AR173)+($AU173*IF($G$1="鸣金",$AK173,$AI173)+IF($G$1="鸣金",$AL173*1.5,0))*(1+$AV173)*(1+$AW173)+($AY173*IF($G$1="裂石",$AK173,$AI173)+IF($G$1="裂石",$AL173*1.5,0))*(1+$AZ173)*(1+$BA173)+($BC173*IF($G$1="牵丝",$AK173,$AI173)+IF($G$1="牵丝",$AL173*1.5,0))*(1+$BD173)*(1+$BE173)+($BG173*IF($G$1="破竹",$AK173,$AI173)+IF($G$1="破竹",$AL173*1.5,0))*(1+$BH173)*(1+$BI173))*(1+$AM173)*$BN173*$Q173*(1+IF(VLOOKUP($R173,武学奇术!$A:$ZZ,30,FALSE)="流血",$B$21,0))*(1+$BR173)</f>
        <v>71169.1025683896</v>
      </c>
      <c r="O173" s="24">
        <f>((($AO173+$AP173)/2*$AI173+$AJ173)*(1+$AQ173)*(1+$AR173)+(($AT173+$AU173)/2*IF($G$1="鸣金",$AK173,$AI173)+IF($G$1="鸣金",$AL173*1.5,0))*(1+$AV173)*(1+$AW173)+(($AX173+$AY173)/2*IF($G$1="裂石",$AK173,$AI173)+IF($G$1="裂石",$AL173*1.5,0))*(1+$AZ173)*(1+$BA173)+(($BB173+$BC173)/2*IF($G$1="牵丝",$AK173,$AI173)+IF($G$1="牵丝",$AL173*1.5,0))*(1+$BD173)*(1+$BE173)+(($BF173+$BG173)/2*IF($G$1="破竹",$AK173,$AI173)+IF($G$1="破竹",$AL173*1.5,0))*(1+$BH173)*(1+$BI173))*(1+$AM173)*$Q173*(1+IF(VLOOKUP($R173,武学奇术!$A:$ZZ,30,FALSE)="流血",$B$21,0))*(1+$BR173)</f>
        <v>28970.8632540124</v>
      </c>
      <c r="P173" s="24">
        <f>((($AO173*$AI173+$AJ173)*(1+$AQ173)*(1+$AR173)+($AT173*IF($G$1="鸣金",$AK173,$AI173)+IF($G$1="鸣金",$AL173*1.5,0))*(1+$AV173)*(1+$AW173)+($AX173*IF($G$1="裂石",$AK173,$AI173)+IF($G$1="裂石",$AL173*1.5,0))*(1+$AZ173)*(1+$BA173)+($BB173*IF($G$1="牵丝",$AK173,$AI173)+IF($G$1="牵丝",$AL173*1.5,0))*(1+$BD173)*(1+$BE173)+($BF173*IF($G$1="破竹",$AK173,$AI173)+IF($G$1="破竹",$AL173*1.5,0))*(1+$BH173)*(1+$BI173))*(1+$AM173))*$Q173*(1+IF(VLOOKUP($R173,武学奇术!$A:$ZZ,30,FALSE)="流血",$B$21,0))*(1+$BR173)</f>
        <v>13516.5688498541</v>
      </c>
      <c r="Q173" s="31">
        <v>6</v>
      </c>
      <c r="R173" s="32" t="s">
        <v>194</v>
      </c>
      <c r="S173" s="32" t="s">
        <v>87</v>
      </c>
      <c r="T173" s="32" t="s">
        <v>96</v>
      </c>
      <c r="U173" s="32" t="s">
        <v>97</v>
      </c>
      <c r="V173" s="32" t="s">
        <v>73</v>
      </c>
      <c r="W173" s="32" t="s">
        <v>111</v>
      </c>
      <c r="X173" s="32" t="s">
        <v>127</v>
      </c>
      <c r="Y173" s="32" t="s">
        <v>73</v>
      </c>
      <c r="Z173" s="32" t="s">
        <v>73</v>
      </c>
      <c r="AA173" s="32" t="s">
        <v>81</v>
      </c>
      <c r="AB173" s="32" t="s">
        <v>75</v>
      </c>
      <c r="AC173" s="32" t="s">
        <v>76</v>
      </c>
      <c r="AD173" s="32" t="s">
        <v>82</v>
      </c>
      <c r="AE173" s="32" t="s">
        <v>90</v>
      </c>
      <c r="AF173" s="32" t="s">
        <v>73</v>
      </c>
      <c r="AG173" s="32" t="s">
        <v>178</v>
      </c>
      <c r="AH173" t="str">
        <f>VLOOKUP($R173,武学奇术!$A:$ZZ,25,FALSE)</f>
        <v>单体奇术</v>
      </c>
      <c r="AI173" s="21">
        <f>VLOOKUP($R173,武学奇术!$A:$ZZ,26,FALSE)</f>
        <v>0.236</v>
      </c>
      <c r="AJ173" s="22">
        <f>VLOOKUP($R173,武学奇术!$A:$ZZ,27,FALSE)*(1+IF(OR($AH173=$F$4,$AH173=$F$5),$B$22,0))</f>
        <v>46</v>
      </c>
      <c r="AK173" s="21">
        <f>VLOOKUP($R173,武学奇术!$A:$ZZ,28,FALSE)</f>
        <v>0.354</v>
      </c>
      <c r="AL173" s="22">
        <f>VLOOKUP($R173,武学奇术!$A:$ZZ,29,FALSE)*(1+IF(OR($AH173=$F$4,$AH173=$F$5),$B$22,0))</f>
        <v>0</v>
      </c>
      <c r="AM173" s="21" cm="1">
        <f t="array" ref="AM173">$G$3+IFERROR(VLOOKUP($AH173,$F$4:$G$7,2,FALSE),0)+VLOOKUP($R173,武学奇术!$A:$ZZ,2,FALSE)+SUM(_xlfn.XLOOKUP($S173:$AG173,增益!$A:$A,增益!$B:$B,0))</f>
        <v>1.443</v>
      </c>
      <c r="AN173" s="21" cm="1">
        <f t="array" ref="AN173">VLOOKUP($R173,武学奇术!$A:$ZZ,5,FALSE)+SUM(_xlfn.XLOOKUP($S173:$AG173,增益!$A:$A,增益!$E:$E,0))</f>
        <v>0</v>
      </c>
      <c r="AO173" cm="1">
        <f t="array" ref="AO173">$D$10*(1+$AN173)+VLOOKUP($R173,武学奇术!$A:$ZZ,3,FALSE)+SUM(_xlfn.XLOOKUP($S173:$AG173,增益!$A:$A,增益!$C:$C,0))-$I$2</f>
        <v>1825.28</v>
      </c>
      <c r="AP173" cm="1">
        <f t="array" ref="AP173">$E$10*(1+$AN173)+VLOOKUP($R173,武学奇术!$A:$ZZ,4,FALSE)+SUM(_xlfn.XLOOKUP($S173:$AG173,增益!$A:$A,增益!$D:$D,0))-$I$2</f>
        <v>7757.36</v>
      </c>
      <c r="AQ173" s="26" cm="1">
        <f t="array" ref="AQ173">IF($F$10-$I$3+VLOOKUP($R173,武学奇术!$A:$ZZ,6,FALSE)+SUM(_xlfn.XLOOKUP(S173:AG173,增益!$A:$A,增益!$F:$F,0))&gt;0,($F$10-$I$3+VLOOKUP($R173,武学奇术!$A:$ZZ,6,FALSE)+SUM(_xlfn.XLOOKUP(S173:AG173,增益!$A:$A,增益!$F:$F,0)))/200,($F$10-$I$3+VLOOKUP($R173,武学奇术!$A:$ZZ,6,FALSE)+SUM(_xlfn.XLOOKUP(S173:AG173,增益!$A:$A,增益!$F:$F,0)))/100)</f>
        <v>0.244</v>
      </c>
      <c r="AR173" s="26" cm="1">
        <f t="array" ref="AR173">$G$10+VLOOKUP($R173,武学奇术!$A:$ZZ,7,FALSE)+SUM(_xlfn.XLOOKUP(S173:AG173,增益!$A:$A,增益!$G:$G,0))</f>
        <v>0</v>
      </c>
      <c r="AS173" s="21" cm="1">
        <f t="array" ref="AS173">VLOOKUP($R173,武学奇术!$A:$ZZ,8,FALSE)+SUM(_xlfn.XLOOKUP(S173:AG173,增益!$A:$A,增益!$H:$H,0))</f>
        <v>0</v>
      </c>
      <c r="AT173">
        <f t="shared" si="23"/>
        <v>680.02</v>
      </c>
      <c r="AU173">
        <f t="shared" si="24"/>
        <v>1288.54</v>
      </c>
      <c r="AV173" s="26" cm="1">
        <f t="array" ref="AV173">IF($F$11-$I$4+VLOOKUP($R173,武学奇术!$A:$ZZ,9,FALSE)+SUM(_xlfn.XLOOKUP(S173:AG173,增益!$A:$A,增益!$I:$I,0))&gt;0,($F$11-$I$4+VLOOKUP($R173,武学奇术!$A:$ZZ,9,FALSE)+SUM(_xlfn.XLOOKUP(S173:AG173,增益!$A:$A,增益!$I:$I,0)))/200,($F$11-$I$4+VLOOKUP($R173,武学奇术!$A:$ZZ,9,FALSE)+SUM(_xlfn.XLOOKUP(S173:AG173,增益!$A:$A,增益!$I:$I,0)))/100)</f>
        <v>0</v>
      </c>
      <c r="AW173" s="26" cm="1">
        <f t="array" ref="AW173">$G$11+VLOOKUP($R173,武学奇术!$A:$ZZ,10,FALSE)+SUM(_xlfn.XLOOKUP(S173:AG173,增益!$A:$A,增益!$J:$J,0))</f>
        <v>0.15</v>
      </c>
      <c r="AX173">
        <f t="shared" si="25"/>
        <v>0</v>
      </c>
      <c r="AY173">
        <f t="shared" si="26"/>
        <v>0</v>
      </c>
      <c r="AZ173" s="26" cm="1">
        <f t="array" ref="AZ173">IF($F$12-$I$4+VLOOKUP($R173,武学奇术!$A:$ZZ,11,FALSE)+SUM(_xlfn.XLOOKUP(S173:AG173,增益!$A:$A,增益!$K:$K,0))&gt;0,($F$12-$I$4+VLOOKUP($R173,武学奇术!$A:$ZZ,11,FALSE)+SUM(_xlfn.XLOOKUP(S173:AG173,增益!$A:$A,增益!$K:$K,0)))/200,($F$12-$I$4+VLOOKUP($R173,武学奇术!$A:$ZZ,11,FALSE)+SUM(_xlfn.XLOOKUP(S173:AG173,增益!$A:$A,增益!$K:$K,0)))/100)</f>
        <v>-0.3</v>
      </c>
      <c r="BA173" s="26" cm="1">
        <f t="array" ref="BA173">$G$12+VLOOKUP($R173,武学奇术!$A:$ZZ,12,FALSE)+SUM(_xlfn.XLOOKUP(S173:AG173,增益!$A:$A,增益!$L:$L,0))</f>
        <v>0</v>
      </c>
      <c r="BB173">
        <f t="shared" si="27"/>
        <v>0</v>
      </c>
      <c r="BC173">
        <f t="shared" si="28"/>
        <v>0</v>
      </c>
      <c r="BD173" s="26" cm="1">
        <f t="array" ref="BD173">IF($F$13-$I$4+VLOOKUP($R173,武学奇术!$A:$ZZ,13,FALSE)+SUM(_xlfn.XLOOKUP(S173:AG173,增益!$A:$A,增益!$M:$M,0))&gt;0,($F$13-$I$4+VLOOKUP($R173,武学奇术!$A:$ZZ,13,FALSE)+SUM(_xlfn.XLOOKUP(S173:AG173,增益!$A:$A,增益!$K:$K,0)))/200,($F$13-$I$4+VLOOKUP($R173,武学奇术!$A:$ZZ,13,FALSE)+SUM(_xlfn.XLOOKUP(S173:AG173,增益!$A:$A,增益!$M:$M,0)))/100)</f>
        <v>-0.3</v>
      </c>
      <c r="BE173" s="26" cm="1">
        <f t="array" ref="BE173">$G$13+VLOOKUP($R173,武学奇术!$A:$ZZ,14,FALSE)+SUM(_xlfn.XLOOKUP(S173:AG173,增益!$A:$A,增益!$N:$N,0))</f>
        <v>0</v>
      </c>
      <c r="BF173">
        <f t="shared" si="29"/>
        <v>0</v>
      </c>
      <c r="BG173">
        <f t="shared" si="30"/>
        <v>0</v>
      </c>
      <c r="BH173" s="26" cm="1">
        <f t="array" ref="BH173">IF($F$14-$I$4+VLOOKUP($R173,武学奇术!$A:$ZZ,15,FALSE)+SUM(_xlfn.XLOOKUP(S173:AG173,增益!$A:$A,增益!$O:$O,0))&gt;0,($F$14-$I$4+VLOOKUP($R173,武学奇术!$A:$ZZ,15,FALSE)+SUM(_xlfn.XLOOKUP(S173:AG173,增益!$A:$A,增益!$O:$O,0)))/200,($F$14-$I$4+VLOOKUP($R173,武学奇术!$A:$ZZ,15,FALSE)+SUM(_xlfn.XLOOKUP(S173:AG173,增益!$A:$A,增益!$O:$O,0)))/100)</f>
        <v>-0.3</v>
      </c>
      <c r="BI173" s="26" cm="1">
        <f t="array" ref="BI173">$G$14+VLOOKUP($R173,武学奇术!$A:$ZZ,16,FALSE)+SUM(_xlfn.XLOOKUP(S173:AG173,增益!$A:$A,增益!$P:$P,0))</f>
        <v>0</v>
      </c>
      <c r="BJ173" s="21">
        <f>MIN(IF(VLOOKUP($R173,武学奇术!$A:$ZZ,23,FALSE)=1,100%,$B$8),100%)</f>
        <v>0.8229</v>
      </c>
      <c r="BK173" s="21" cm="1">
        <f t="array" ref="BK173">IF(VLOOKUP($R173,武学奇术!$A:$ZZ,23,FALSE)=1,100%,MIN(80%,$B$9+VLOOKUP($R173,武学奇术!$A:$ZZ,17,FALSE)+SUM(_xlfn.XLOOKUP(S173:AG173,增益!$A:$A,增益!$Q:$Q,0)))+$B$11+SUM(_xlfn.XLOOKUP(S173:AG173,增益!$A:$A,增益!$U:$U,0)))*IF(VLOOKUP($R173,武学奇术!$A:$ZZ,24,FALSE)=1,0,1)</f>
        <v>0.2285</v>
      </c>
      <c r="BL173" s="21" cm="1">
        <f t="array" ref="BL173">1+$B$13+VLOOKUP($R173,武学奇术!$A:$ZZ,18,FALSE)+SUM(_xlfn.XLOOKUP(S173:AG173,增益!$A:$A,增益!$R:$R,0))</f>
        <v>1.5</v>
      </c>
      <c r="BM173" s="21" cm="1">
        <f t="array" ref="BM173">IF(VLOOKUP($R173,武学奇术!$A:$ZZ,24,FALSE)=1,100%,MIN(40%,$B$10+VLOOKUP($R173,武学奇术!$A:$ZZ,19,FALSE)+SUM(_xlfn.XLOOKUP(S173:AG173,增益!$A:$A,增益!$S:$S,0)))+$B$12+SUM(_xlfn.XLOOKUP(S173:AG173,增益!$A:$A,增益!$V:$V,0)))*IF(VLOOKUP($R173,武学奇术!$A:$ZZ,23,FALSE)=1,0,1)</f>
        <v>0.4495</v>
      </c>
      <c r="BN173" s="21" cm="1">
        <f t="array" ref="BN173">1+$B$14+VLOOKUP($R173,武学奇术!$A:$ZZ,20,FALSE)+SUM(_xlfn.XLOOKUP(S173:AG173,增益!$A:$A,增益!$T:$T,0))</f>
        <v>1.602</v>
      </c>
      <c r="BO173" s="21">
        <f t="shared" si="31"/>
        <v>0.18803265</v>
      </c>
      <c r="BP173" s="21">
        <f t="shared" si="32"/>
        <v>0.2649738</v>
      </c>
      <c r="BQ173" s="21">
        <f>IF(VLOOKUP($R173,武学奇术!$A:$ZZ,22,FALSE)=1,0,(1-$BJ173))*(1-$BM173)</f>
        <v>0.09749355</v>
      </c>
      <c r="BR173" s="21" cm="1">
        <f t="array" ref="BR173">SUM(_xlfn.XLOOKUP(S173:AG173,增益!$A:$A,增益!$W:$W,0))+$I$5</f>
        <v>0.06</v>
      </c>
    </row>
    <row r="174" spans="11:70">
      <c r="K174" s="24">
        <f>$L174*VLOOKUP($R174,武学奇术!$A:$ZZ,31,FALSE)</f>
        <v>12240.7610177162</v>
      </c>
      <c r="L174" s="24">
        <f t="shared" si="22"/>
        <v>24481.5220354325</v>
      </c>
      <c r="M174" s="24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BL174*$Q174*(1+IF(VLOOKUP($R174,武学奇术!$A:$ZZ,30,FALSE)="流血",$B$21,0))*(1+$BR174)</f>
        <v>21622.0912744759</v>
      </c>
      <c r="N174" s="24">
        <f>(($AP174*$AI174+$AJ174)*(1+$AQ174)*(1+$AR174)+($AU174*IF($G$1="鸣金",$AK174,$AI174)+IF($G$1="鸣金",$AL174*1.5,0))*(1+$AV174)*(1+$AW174)+($AY174*IF($G$1="裂石",$AK174,$AI174)+IF($G$1="裂石",$AL174*1.5,0))*(1+$AZ174)*(1+$BA174)+($BC174*IF($G$1="牵丝",$AK174,$AI174)+IF($G$1="牵丝",$AL174*1.5,0))*(1+$BD174)*(1+$BE174)+($BG174*IF($G$1="破竹",$AK174,$AI174)+IF($G$1="破竹",$AL174*1.5,0))*(1+$BH174)*(1+$BI174))*(1+$AM174)*$BN174*$Q174*(1+IF(VLOOKUP($R174,武学奇术!$A:$ZZ,30,FALSE)="流血",$B$21,0))*(1+$BR174)</f>
        <v>35471.2832988711</v>
      </c>
      <c r="O174" s="24">
        <f>((($AO174+$AP174)/2*$AI174+$AJ174)*(1+$AQ174)*(1+$AR174)+(($AT174+$AU174)/2*IF($G$1="鸣金",$AK174,$AI174)+IF($G$1="鸣金",$AL174*1.5,0))*(1+$AV174)*(1+$AW174)+(($AX174+$AY174)/2*IF($G$1="裂石",$AK174,$AI174)+IF($G$1="裂石",$AL174*1.5,0))*(1+$AZ174)*(1+$BA174)+(($BB174+$BC174)/2*IF($G$1="牵丝",$AK174,$AI174)+IF($G$1="牵丝",$AL174*1.5,0))*(1+$BD174)*(1+$BE174)+(($BF174+$BG174)/2*IF($G$1="破竹",$AK174,$AI174)+IF($G$1="破竹",$AL174*1.5,0))*(1+$BH174)*(1+$BI174))*(1+$AM174)*$Q174*(1+IF(VLOOKUP($R174,武学奇术!$A:$ZZ,30,FALSE)="流血",$B$21,0))*(1+$BR174)</f>
        <v>14414.7275163173</v>
      </c>
      <c r="P174" s="24">
        <f>((($AO174*$AI174+$AJ174)*(1+$AQ174)*(1+$AR174)+($AT174*IF($G$1="鸣金",$AK174,$AI174)+IF($G$1="鸣金",$AL174*1.5,0))*(1+$AV174)*(1+$AW174)+($AX174*IF($G$1="裂石",$AK174,$AI174)+IF($G$1="裂石",$AL174*1.5,0))*(1+$AZ174)*(1+$BA174)+($BB174*IF($G$1="牵丝",$AK174,$AI174)+IF($G$1="牵丝",$AL174*1.5,0))*(1+$BD174)*(1+$BE174)+($BF174*IF($G$1="破竹",$AK174,$AI174)+IF($G$1="破竹",$AL174*1.5,0))*(1+$BH174)*(1+$BI174))*(1+$AM174))*$Q174*(1+IF(VLOOKUP($R174,武学奇术!$A:$ZZ,30,FALSE)="流血",$B$21,0))*(1+$BR174)</f>
        <v>6687.58031423808</v>
      </c>
      <c r="Q174" s="31">
        <v>3</v>
      </c>
      <c r="R174" s="32" t="s">
        <v>194</v>
      </c>
      <c r="S174" s="32" t="s">
        <v>87</v>
      </c>
      <c r="T174" s="32" t="s">
        <v>96</v>
      </c>
      <c r="U174" s="32" t="s">
        <v>97</v>
      </c>
      <c r="V174" s="32" t="s">
        <v>73</v>
      </c>
      <c r="W174" s="32" t="s">
        <v>73</v>
      </c>
      <c r="X174" s="32" t="s">
        <v>127</v>
      </c>
      <c r="Y174" s="32" t="s">
        <v>73</v>
      </c>
      <c r="Z174" s="32" t="s">
        <v>73</v>
      </c>
      <c r="AA174" s="32" t="s">
        <v>81</v>
      </c>
      <c r="AB174" s="32" t="s">
        <v>75</v>
      </c>
      <c r="AC174" s="32" t="s">
        <v>76</v>
      </c>
      <c r="AD174" s="32" t="s">
        <v>82</v>
      </c>
      <c r="AE174" s="32" t="s">
        <v>90</v>
      </c>
      <c r="AF174" s="32" t="s">
        <v>73</v>
      </c>
      <c r="AG174" s="32" t="s">
        <v>178</v>
      </c>
      <c r="AH174" t="str">
        <f>VLOOKUP($R174,武学奇术!$A:$ZZ,25,FALSE)</f>
        <v>单体奇术</v>
      </c>
      <c r="AI174" s="21">
        <f>VLOOKUP($R174,武学奇术!$A:$ZZ,26,FALSE)</f>
        <v>0.236</v>
      </c>
      <c r="AJ174" s="22">
        <f>VLOOKUP($R174,武学奇术!$A:$ZZ,27,FALSE)*(1+IF(OR($AH174=$F$4,$AH174=$F$5),$B$22,0))</f>
        <v>46</v>
      </c>
      <c r="AK174" s="21">
        <f>VLOOKUP($R174,武学奇术!$A:$ZZ,28,FALSE)</f>
        <v>0.354</v>
      </c>
      <c r="AL174" s="22">
        <f>VLOOKUP($R174,武学奇术!$A:$ZZ,29,FALSE)*(1+IF(OR($AH174=$F$4,$AH174=$F$5),$B$22,0))</f>
        <v>0</v>
      </c>
      <c r="AM174" s="21" cm="1">
        <f t="array" ref="AM174">$G$3+IFERROR(VLOOKUP($AH174,$F$4:$G$7,2,FALSE),0)+VLOOKUP($R174,武学奇术!$A:$ZZ,2,FALSE)+SUM(_xlfn.XLOOKUP($S174:$AG174,增益!$A:$A,增益!$B:$B,0))</f>
        <v>1.443</v>
      </c>
      <c r="AN174" s="21" cm="1">
        <f t="array" ref="AN174">VLOOKUP($R174,武学奇术!$A:$ZZ,5,FALSE)+SUM(_xlfn.XLOOKUP($S174:$AG174,增益!$A:$A,增益!$E:$E,0))</f>
        <v>0</v>
      </c>
      <c r="AO174" cm="1">
        <f t="array" ref="AO174">$D$10*(1+$AN174)+VLOOKUP($R174,武学奇术!$A:$ZZ,3,FALSE)+SUM(_xlfn.XLOOKUP($S174:$AG174,增益!$A:$A,增益!$C:$C,0))-$I$2</f>
        <v>1794.28</v>
      </c>
      <c r="AP174" cm="1">
        <f t="array" ref="AP174">$E$10*(1+$AN174)+VLOOKUP($R174,武学奇术!$A:$ZZ,4,FALSE)+SUM(_xlfn.XLOOKUP($S174:$AG174,增益!$A:$A,增益!$D:$D,0))-$I$2</f>
        <v>7726.36</v>
      </c>
      <c r="AQ174" s="26" cm="1">
        <f t="array" ref="AQ174">IF($F$10-$I$3+VLOOKUP($R174,武学奇术!$A:$ZZ,6,FALSE)+SUM(_xlfn.XLOOKUP(S174:AG174,增益!$A:$A,增益!$F:$F,0))&gt;0,($F$10-$I$3+VLOOKUP($R174,武学奇术!$A:$ZZ,6,FALSE)+SUM(_xlfn.XLOOKUP(S174:AG174,增益!$A:$A,增益!$F:$F,0)))/200,($F$10-$I$3+VLOOKUP($R174,武学奇术!$A:$ZZ,6,FALSE)+SUM(_xlfn.XLOOKUP(S174:AG174,增益!$A:$A,增益!$F:$F,0)))/100)</f>
        <v>0.244</v>
      </c>
      <c r="AR174" s="26" cm="1">
        <f t="array" ref="AR174">$G$10+VLOOKUP($R174,武学奇术!$A:$ZZ,7,FALSE)+SUM(_xlfn.XLOOKUP(S174:AG174,增益!$A:$A,增益!$G:$G,0))</f>
        <v>0</v>
      </c>
      <c r="AS174" s="21" cm="1">
        <f t="array" ref="AS174">VLOOKUP($R174,武学奇术!$A:$ZZ,8,FALSE)+SUM(_xlfn.XLOOKUP(S174:AG174,增益!$A:$A,增益!$H:$H,0))</f>
        <v>0</v>
      </c>
      <c r="AT174">
        <f t="shared" si="23"/>
        <v>680.02</v>
      </c>
      <c r="AU174">
        <f t="shared" si="24"/>
        <v>1288.54</v>
      </c>
      <c r="AV174" s="26" cm="1">
        <f t="array" ref="AV174">IF($F$11-$I$4+VLOOKUP($R174,武学奇术!$A:$ZZ,9,FALSE)+SUM(_xlfn.XLOOKUP(S174:AG174,增益!$A:$A,增益!$I:$I,0))&gt;0,($F$11-$I$4+VLOOKUP($R174,武学奇术!$A:$ZZ,9,FALSE)+SUM(_xlfn.XLOOKUP(S174:AG174,增益!$A:$A,增益!$I:$I,0)))/200,($F$11-$I$4+VLOOKUP($R174,武学奇术!$A:$ZZ,9,FALSE)+SUM(_xlfn.XLOOKUP(S174:AG174,增益!$A:$A,增益!$I:$I,0)))/100)</f>
        <v>0</v>
      </c>
      <c r="AW174" s="26" cm="1">
        <f t="array" ref="AW174">$G$11+VLOOKUP($R174,武学奇术!$A:$ZZ,10,FALSE)+SUM(_xlfn.XLOOKUP(S174:AG174,增益!$A:$A,增益!$J:$J,0))</f>
        <v>0.15</v>
      </c>
      <c r="AX174">
        <f t="shared" si="25"/>
        <v>0</v>
      </c>
      <c r="AY174">
        <f t="shared" si="26"/>
        <v>0</v>
      </c>
      <c r="AZ174" s="26" cm="1">
        <f t="array" ref="AZ174">IF($F$12-$I$4+VLOOKUP($R174,武学奇术!$A:$ZZ,11,FALSE)+SUM(_xlfn.XLOOKUP(S174:AG174,增益!$A:$A,增益!$K:$K,0))&gt;0,($F$12-$I$4+VLOOKUP($R174,武学奇术!$A:$ZZ,11,FALSE)+SUM(_xlfn.XLOOKUP(S174:AG174,增益!$A:$A,增益!$K:$K,0)))/200,($F$12-$I$4+VLOOKUP($R174,武学奇术!$A:$ZZ,11,FALSE)+SUM(_xlfn.XLOOKUP(S174:AG174,增益!$A:$A,增益!$K:$K,0)))/100)</f>
        <v>-0.3</v>
      </c>
      <c r="BA174" s="26" cm="1">
        <f t="array" ref="BA174">$G$12+VLOOKUP($R174,武学奇术!$A:$ZZ,12,FALSE)+SUM(_xlfn.XLOOKUP(S174:AG174,增益!$A:$A,增益!$L:$L,0))</f>
        <v>0</v>
      </c>
      <c r="BB174">
        <f t="shared" si="27"/>
        <v>0</v>
      </c>
      <c r="BC174">
        <f t="shared" si="28"/>
        <v>0</v>
      </c>
      <c r="BD174" s="26" cm="1">
        <f t="array" ref="BD174">IF($F$13-$I$4+VLOOKUP($R174,武学奇术!$A:$ZZ,13,FALSE)+SUM(_xlfn.XLOOKUP(S174:AG174,增益!$A:$A,增益!$M:$M,0))&gt;0,($F$13-$I$4+VLOOKUP($R174,武学奇术!$A:$ZZ,13,FALSE)+SUM(_xlfn.XLOOKUP(S174:AG174,增益!$A:$A,增益!$K:$K,0)))/200,($F$13-$I$4+VLOOKUP($R174,武学奇术!$A:$ZZ,13,FALSE)+SUM(_xlfn.XLOOKUP(S174:AG174,增益!$A:$A,增益!$M:$M,0)))/100)</f>
        <v>-0.3</v>
      </c>
      <c r="BE174" s="26" cm="1">
        <f t="array" ref="BE174">$G$13+VLOOKUP($R174,武学奇术!$A:$ZZ,14,FALSE)+SUM(_xlfn.XLOOKUP(S174:AG174,增益!$A:$A,增益!$N:$N,0))</f>
        <v>0</v>
      </c>
      <c r="BF174">
        <f t="shared" si="29"/>
        <v>0</v>
      </c>
      <c r="BG174">
        <f t="shared" si="30"/>
        <v>0</v>
      </c>
      <c r="BH174" s="26" cm="1">
        <f t="array" ref="BH174">IF($F$14-$I$4+VLOOKUP($R174,武学奇术!$A:$ZZ,15,FALSE)+SUM(_xlfn.XLOOKUP(S174:AG174,增益!$A:$A,增益!$O:$O,0))&gt;0,($F$14-$I$4+VLOOKUP($R174,武学奇术!$A:$ZZ,15,FALSE)+SUM(_xlfn.XLOOKUP(S174:AG174,增益!$A:$A,增益!$O:$O,0)))/200,($F$14-$I$4+VLOOKUP($R174,武学奇术!$A:$ZZ,15,FALSE)+SUM(_xlfn.XLOOKUP(S174:AG174,增益!$A:$A,增益!$O:$O,0)))/100)</f>
        <v>-0.3</v>
      </c>
      <c r="BI174" s="26" cm="1">
        <f t="array" ref="BI174">$G$14+VLOOKUP($R174,武学奇术!$A:$ZZ,16,FALSE)+SUM(_xlfn.XLOOKUP(S174:AG174,增益!$A:$A,增益!$P:$P,0))</f>
        <v>0</v>
      </c>
      <c r="BJ174" s="21">
        <f>MIN(IF(VLOOKUP($R174,武学奇术!$A:$ZZ,23,FALSE)=1,100%,$B$8),100%)</f>
        <v>0.8229</v>
      </c>
      <c r="BK174" s="21" cm="1">
        <f t="array" ref="BK174">IF(VLOOKUP($R174,武学奇术!$A:$ZZ,23,FALSE)=1,100%,MIN(80%,$B$9+VLOOKUP($R174,武学奇术!$A:$ZZ,17,FALSE)+SUM(_xlfn.XLOOKUP(S174:AG174,增益!$A:$A,增益!$Q:$Q,0)))+$B$11+SUM(_xlfn.XLOOKUP(S174:AG174,增益!$A:$A,增益!$U:$U,0)))*IF(VLOOKUP($R174,武学奇术!$A:$ZZ,24,FALSE)=1,0,1)</f>
        <v>0.2285</v>
      </c>
      <c r="BL174" s="21" cm="1">
        <f t="array" ref="BL174">1+$B$13+VLOOKUP($R174,武学奇术!$A:$ZZ,18,FALSE)+SUM(_xlfn.XLOOKUP(S174:AG174,增益!$A:$A,增益!$R:$R,0))</f>
        <v>1.5</v>
      </c>
      <c r="BM174" s="21" cm="1">
        <f t="array" ref="BM174">IF(VLOOKUP($R174,武学奇术!$A:$ZZ,24,FALSE)=1,100%,MIN(40%,$B$10+VLOOKUP($R174,武学奇术!$A:$ZZ,19,FALSE)+SUM(_xlfn.XLOOKUP(S174:AG174,增益!$A:$A,增益!$S:$S,0)))+$B$12+SUM(_xlfn.XLOOKUP(S174:AG174,增益!$A:$A,增益!$V:$V,0)))*IF(VLOOKUP($R174,武学奇术!$A:$ZZ,23,FALSE)=1,0,1)</f>
        <v>0.4495</v>
      </c>
      <c r="BN174" s="21" cm="1">
        <f t="array" ref="BN174">1+$B$14+VLOOKUP($R174,武学奇术!$A:$ZZ,20,FALSE)+SUM(_xlfn.XLOOKUP(S174:AG174,增益!$A:$A,增益!$T:$T,0))</f>
        <v>1.602</v>
      </c>
      <c r="BO174" s="21">
        <f t="shared" si="31"/>
        <v>0.18803265</v>
      </c>
      <c r="BP174" s="21">
        <f t="shared" si="32"/>
        <v>0.2649738</v>
      </c>
      <c r="BQ174" s="21">
        <f>IF(VLOOKUP($R174,武学奇术!$A:$ZZ,22,FALSE)=1,0,(1-$BJ174))*(1-$BM174)</f>
        <v>0.09749355</v>
      </c>
      <c r="BR174" s="21" cm="1">
        <f t="array" ref="BR174">SUM(_xlfn.XLOOKUP(S174:AG174,增益!$A:$A,增益!$W:$W,0))+$I$5</f>
        <v>0.06</v>
      </c>
    </row>
    <row r="175" spans="11:70">
      <c r="K175" s="24">
        <f>$L175*VLOOKUP($R175,武学奇术!$A:$ZZ,31,FALSE)</f>
        <v>0</v>
      </c>
      <c r="L175" s="24">
        <f t="shared" si="22"/>
        <v>0</v>
      </c>
      <c r="M175" s="24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BL175*$Q175*(1+IF(VLOOKUP($R175,武学奇术!$A:$ZZ,30,FALSE)="流血",$B$21,0))*(1+$BR175)</f>
        <v>0</v>
      </c>
      <c r="N175" s="24">
        <f>(($AP175*$AI175+$AJ175)*(1+$AQ175)*(1+$AR175)+($AU175*IF($G$1="鸣金",$AK175,$AI175)+IF($G$1="鸣金",$AL175*1.5,0))*(1+$AV175)*(1+$AW175)+($AY175*IF($G$1="裂石",$AK175,$AI175)+IF($G$1="裂石",$AL175*1.5,0))*(1+$AZ175)*(1+$BA175)+($BC175*IF($G$1="牵丝",$AK175,$AI175)+IF($G$1="牵丝",$AL175*1.5,0))*(1+$BD175)*(1+$BE175)+($BG175*IF($G$1="破竹",$AK175,$AI175)+IF($G$1="破竹",$AL175*1.5,0))*(1+$BH175)*(1+$BI175))*(1+$AM175)*$BN175*$Q175*(1+IF(VLOOKUP($R175,武学奇术!$A:$ZZ,30,FALSE)="流血",$B$21,0))*(1+$BR175)</f>
        <v>0</v>
      </c>
      <c r="O175" s="24">
        <f>((($AO175+$AP175)/2*$AI175+$AJ175)*(1+$AQ175)*(1+$AR175)+(($AT175+$AU175)/2*IF($G$1="鸣金",$AK175,$AI175)+IF($G$1="鸣金",$AL175*1.5,0))*(1+$AV175)*(1+$AW175)+(($AX175+$AY175)/2*IF($G$1="裂石",$AK175,$AI175)+IF($G$1="裂石",$AL175*1.5,0))*(1+$AZ175)*(1+$BA175)+(($BB175+$BC175)/2*IF($G$1="牵丝",$AK175,$AI175)+IF($G$1="牵丝",$AL175*1.5,0))*(1+$BD175)*(1+$BE175)+(($BF175+$BG175)/2*IF($G$1="破竹",$AK175,$AI175)+IF($G$1="破竹",$AL175*1.5,0))*(1+$BH175)*(1+$BI175))*(1+$AM175)*$Q175*(1+IF(VLOOKUP($R175,武学奇术!$A:$ZZ,30,FALSE)="流血",$B$21,0))*(1+$BR175)</f>
        <v>0</v>
      </c>
      <c r="P175" s="24">
        <f>((($AO175*$AI175+$AJ175)*(1+$AQ175)*(1+$AR175)+($AT175*IF($G$1="鸣金",$AK175,$AI175)+IF($G$1="鸣金",$AL175*1.5,0))*(1+$AV175)*(1+$AW175)+($AX175*IF($G$1="裂石",$AK175,$AI175)+IF($G$1="裂石",$AL175*1.5,0))*(1+$AZ175)*(1+$BA175)+($BB175*IF($G$1="牵丝",$AK175,$AI175)+IF($G$1="牵丝",$AL175*1.5,0))*(1+$BD175)*(1+$BE175)+($BF175*IF($G$1="破竹",$AK175,$AI175)+IF($G$1="破竹",$AL175*1.5,0))*(1+$BH175)*(1+$BI175))*(1+$AM175))*$Q175*(1+IF(VLOOKUP($R175,武学奇术!$A:$ZZ,30,FALSE)="流血",$B$21,0))*(1+$BR175)</f>
        <v>0</v>
      </c>
      <c r="Q175" s="31"/>
      <c r="R175" s="32" t="s">
        <v>73</v>
      </c>
      <c r="S175" s="32" t="s">
        <v>73</v>
      </c>
      <c r="T175" s="32" t="s">
        <v>73</v>
      </c>
      <c r="U175" s="32" t="s">
        <v>73</v>
      </c>
      <c r="V175" s="32" t="s">
        <v>73</v>
      </c>
      <c r="W175" s="32" t="s">
        <v>73</v>
      </c>
      <c r="X175" s="32" t="s">
        <v>73</v>
      </c>
      <c r="Y175" s="32" t="s">
        <v>73</v>
      </c>
      <c r="Z175" s="32" t="s">
        <v>73</v>
      </c>
      <c r="AA175" s="32" t="s">
        <v>73</v>
      </c>
      <c r="AB175" s="32" t="s">
        <v>73</v>
      </c>
      <c r="AC175" s="32" t="s">
        <v>73</v>
      </c>
      <c r="AD175" s="32" t="s">
        <v>73</v>
      </c>
      <c r="AE175" s="32" t="s">
        <v>73</v>
      </c>
      <c r="AF175" s="32" t="s">
        <v>73</v>
      </c>
      <c r="AG175" s="32" t="s">
        <v>73</v>
      </c>
      <c r="AH175" t="str">
        <f>VLOOKUP($R175,武学奇术!$A:$ZZ,25,FALSE)</f>
        <v>心法</v>
      </c>
      <c r="AI175" s="21">
        <f>VLOOKUP($R175,武学奇术!$A:$ZZ,26,FALSE)</f>
        <v>0</v>
      </c>
      <c r="AJ175" s="22">
        <f>VLOOKUP($R175,武学奇术!$A:$ZZ,27,FALSE)*(1+IF(OR($AH175=$F$4,$AH175=$F$5),$B$22,0))</f>
        <v>0</v>
      </c>
      <c r="AK175" s="21">
        <f>VLOOKUP($R175,武学奇术!$A:$ZZ,28,FALSE)</f>
        <v>0</v>
      </c>
      <c r="AL175" s="22">
        <f>VLOOKUP($R175,武学奇术!$A:$ZZ,29,FALSE)*(1+IF(OR($AH175=$F$4,$AH175=$F$5),$B$22,0))</f>
        <v>0</v>
      </c>
      <c r="AM175" s="21" cm="1">
        <f t="array" ref="AM175">$G$3+IFERROR(VLOOKUP($AH175,$F$4:$G$7,2,FALSE),0)+VLOOKUP($R175,武学奇术!$A:$ZZ,2,FALSE)+SUM(_xlfn.XLOOKUP($S175:$AG175,增益!$A:$A,增益!$B:$B,0))</f>
        <v>0.1042</v>
      </c>
      <c r="AN175" s="21" cm="1">
        <f t="array" ref="AN175">VLOOKUP($R175,武学奇术!$A:$ZZ,5,FALSE)+SUM(_xlfn.XLOOKUP($S175:$AG175,增益!$A:$A,增益!$E:$E,0))</f>
        <v>0</v>
      </c>
      <c r="AO175" cm="1">
        <f t="array" ref="AO175">$D$10*(1+$AN175)+VLOOKUP($R175,武学奇术!$A:$ZZ,3,FALSE)+SUM(_xlfn.XLOOKUP($S175:$AG175,增益!$A:$A,增益!$C:$C,0))-$I$2</f>
        <v>1794.28</v>
      </c>
      <c r="AP175" cm="1">
        <f t="array" ref="AP175">$E$10*(1+$AN175)+VLOOKUP($R175,武学奇术!$A:$ZZ,4,FALSE)+SUM(_xlfn.XLOOKUP($S175:$AG175,增益!$A:$A,增益!$D:$D,0))-$I$2</f>
        <v>7726.36</v>
      </c>
      <c r="AQ175" s="26" cm="1">
        <f t="array" ref="AQ175">IF($F$10-$I$3+VLOOKUP($R175,武学奇术!$A:$ZZ,6,FALSE)+SUM(_xlfn.XLOOKUP(S175:AG175,增益!$A:$A,增益!$F:$F,0))&gt;0,($F$10-$I$3+VLOOKUP($R175,武学奇术!$A:$ZZ,6,FALSE)+SUM(_xlfn.XLOOKUP(S175:AG175,增益!$A:$A,增益!$F:$F,0)))/200,($F$10-$I$3+VLOOKUP($R175,武学奇术!$A:$ZZ,6,FALSE)+SUM(_xlfn.XLOOKUP(S175:AG175,增益!$A:$A,增益!$F:$F,0)))/100)</f>
        <v>0.194</v>
      </c>
      <c r="AR175" s="26" cm="1">
        <f t="array" ref="AR175">$G$10+VLOOKUP($R175,武学奇术!$A:$ZZ,7,FALSE)+SUM(_xlfn.XLOOKUP(S175:AG175,增益!$A:$A,增益!$G:$G,0))</f>
        <v>0</v>
      </c>
      <c r="AS175" s="21" cm="1">
        <f t="array" ref="AS175">VLOOKUP($R175,武学奇术!$A:$ZZ,8,FALSE)+SUM(_xlfn.XLOOKUP(S175:AG175,增益!$A:$A,增益!$H:$H,0))</f>
        <v>0</v>
      </c>
      <c r="AT175">
        <f t="shared" si="23"/>
        <v>680.02</v>
      </c>
      <c r="AU175">
        <f t="shared" si="24"/>
        <v>1288.54</v>
      </c>
      <c r="AV175" s="26" cm="1">
        <f t="array" ref="AV175">IF($F$11-$I$4+VLOOKUP($R175,武学奇术!$A:$ZZ,9,FALSE)+SUM(_xlfn.XLOOKUP(S175:AG175,增益!$A:$A,增益!$I:$I,0))&gt;0,($F$11-$I$4+VLOOKUP($R175,武学奇术!$A:$ZZ,9,FALSE)+SUM(_xlfn.XLOOKUP(S175:AG175,增益!$A:$A,增益!$I:$I,0)))/200,($F$11-$I$4+VLOOKUP($R175,武学奇术!$A:$ZZ,9,FALSE)+SUM(_xlfn.XLOOKUP(S175:AG175,增益!$A:$A,增益!$I:$I,0)))/100)</f>
        <v>0</v>
      </c>
      <c r="AW175" s="26" cm="1">
        <f t="array" ref="AW175">$G$11+VLOOKUP($R175,武学奇术!$A:$ZZ,10,FALSE)+SUM(_xlfn.XLOOKUP(S175:AG175,增益!$A:$A,增益!$J:$J,0))</f>
        <v>0.15</v>
      </c>
      <c r="AX175">
        <f t="shared" si="25"/>
        <v>0</v>
      </c>
      <c r="AY175">
        <f t="shared" si="26"/>
        <v>0</v>
      </c>
      <c r="AZ175" s="26" cm="1">
        <f t="array" ref="AZ175">IF($F$12-$I$4+VLOOKUP($R175,武学奇术!$A:$ZZ,11,FALSE)+SUM(_xlfn.XLOOKUP(S175:AG175,增益!$A:$A,增益!$K:$K,0))&gt;0,($F$12-$I$4+VLOOKUP($R175,武学奇术!$A:$ZZ,11,FALSE)+SUM(_xlfn.XLOOKUP(S175:AG175,增益!$A:$A,增益!$K:$K,0)))/200,($F$12-$I$4+VLOOKUP($R175,武学奇术!$A:$ZZ,11,FALSE)+SUM(_xlfn.XLOOKUP(S175:AG175,增益!$A:$A,增益!$K:$K,0)))/100)</f>
        <v>-0.3</v>
      </c>
      <c r="BA175" s="26" cm="1">
        <f t="array" ref="BA175">$G$12+VLOOKUP($R175,武学奇术!$A:$ZZ,12,FALSE)+SUM(_xlfn.XLOOKUP(S175:AG175,增益!$A:$A,增益!$L:$L,0))</f>
        <v>0</v>
      </c>
      <c r="BB175">
        <f t="shared" si="27"/>
        <v>0</v>
      </c>
      <c r="BC175">
        <f t="shared" si="28"/>
        <v>0</v>
      </c>
      <c r="BD175" s="26" cm="1">
        <f t="array" ref="BD175">IF($F$13-$I$4+VLOOKUP($R175,武学奇术!$A:$ZZ,13,FALSE)+SUM(_xlfn.XLOOKUP(S175:AG175,增益!$A:$A,增益!$M:$M,0))&gt;0,($F$13-$I$4+VLOOKUP($R175,武学奇术!$A:$ZZ,13,FALSE)+SUM(_xlfn.XLOOKUP(S175:AG175,增益!$A:$A,增益!$K:$K,0)))/200,($F$13-$I$4+VLOOKUP($R175,武学奇术!$A:$ZZ,13,FALSE)+SUM(_xlfn.XLOOKUP(S175:AG175,增益!$A:$A,增益!$M:$M,0)))/100)</f>
        <v>-0.3</v>
      </c>
      <c r="BE175" s="26" cm="1">
        <f t="array" ref="BE175">$G$13+VLOOKUP($R175,武学奇术!$A:$ZZ,14,FALSE)+SUM(_xlfn.XLOOKUP(S175:AG175,增益!$A:$A,增益!$N:$N,0))</f>
        <v>0</v>
      </c>
      <c r="BF175">
        <f t="shared" si="29"/>
        <v>0</v>
      </c>
      <c r="BG175">
        <f t="shared" si="30"/>
        <v>0</v>
      </c>
      <c r="BH175" s="26" cm="1">
        <f t="array" ref="BH175">IF($F$14-$I$4+VLOOKUP($R175,武学奇术!$A:$ZZ,15,FALSE)+SUM(_xlfn.XLOOKUP(S175:AG175,增益!$A:$A,增益!$O:$O,0))&gt;0,($F$14-$I$4+VLOOKUP($R175,武学奇术!$A:$ZZ,15,FALSE)+SUM(_xlfn.XLOOKUP(S175:AG175,增益!$A:$A,增益!$O:$O,0)))/200,($F$14-$I$4+VLOOKUP($R175,武学奇术!$A:$ZZ,15,FALSE)+SUM(_xlfn.XLOOKUP(S175:AG175,增益!$A:$A,增益!$O:$O,0)))/100)</f>
        <v>-0.3</v>
      </c>
      <c r="BI175" s="26" cm="1">
        <f t="array" ref="BI175">$G$14+VLOOKUP($R175,武学奇术!$A:$ZZ,16,FALSE)+SUM(_xlfn.XLOOKUP(S175:AG175,增益!$A:$A,增益!$P:$P,0))</f>
        <v>0</v>
      </c>
      <c r="BJ175" s="21">
        <f>MIN(IF(VLOOKUP($R175,武学奇术!$A:$ZZ,23,FALSE)=1,100%,$B$8),100%)</f>
        <v>0.8229</v>
      </c>
      <c r="BK175" s="21" cm="1">
        <f t="array" ref="BK175">IF(VLOOKUP($R175,武学奇术!$A:$ZZ,23,FALSE)=1,100%,MIN(80%,$B$9+VLOOKUP($R175,武学奇术!$A:$ZZ,17,FALSE)+SUM(_xlfn.XLOOKUP(S175:AG175,增益!$A:$A,增益!$Q:$Q,0)))+$B$11+SUM(_xlfn.XLOOKUP(S175:AG175,增益!$A:$A,增益!$U:$U,0)))*IF(VLOOKUP($R175,武学奇术!$A:$ZZ,24,FALSE)=1,0,1)</f>
        <v>0.2285</v>
      </c>
      <c r="BL175" s="21" cm="1">
        <f t="array" ref="BL175">1+$B$13+VLOOKUP($R175,武学奇术!$A:$ZZ,18,FALSE)+SUM(_xlfn.XLOOKUP(S175:AG175,增益!$A:$A,增益!$R:$R,0))</f>
        <v>1.5</v>
      </c>
      <c r="BM175" s="21" cm="1">
        <f t="array" ref="BM175">IF(VLOOKUP($R175,武学奇术!$A:$ZZ,24,FALSE)=1,100%,MIN(40%,$B$10+VLOOKUP($R175,武学奇术!$A:$ZZ,19,FALSE)+SUM(_xlfn.XLOOKUP(S175:AG175,增益!$A:$A,增益!$S:$S,0)))+$B$12+SUM(_xlfn.XLOOKUP(S175:AG175,增益!$A:$A,增益!$V:$V,0)))*IF(VLOOKUP($R175,武学奇术!$A:$ZZ,23,FALSE)=1,0,1)</f>
        <v>0.4195</v>
      </c>
      <c r="BN175" s="21" cm="1">
        <f t="array" ref="BN175">1+$B$14+VLOOKUP($R175,武学奇术!$A:$ZZ,20,FALSE)+SUM(_xlfn.XLOOKUP(S175:AG175,增益!$A:$A,增益!$T:$T,0))</f>
        <v>1.402</v>
      </c>
      <c r="BO175" s="21">
        <f t="shared" si="31"/>
        <v>0.18803265</v>
      </c>
      <c r="BP175" s="21">
        <f t="shared" si="32"/>
        <v>0.2896608</v>
      </c>
      <c r="BQ175" s="21">
        <f>IF(VLOOKUP($R175,武学奇术!$A:$ZZ,22,FALSE)=1,0,(1-$BJ175))*(1-$BM175)</f>
        <v>0.10280655</v>
      </c>
      <c r="BR175" s="21" cm="1">
        <f t="array" ref="BR175">SUM(_xlfn.XLOOKUP(S175:AG175,增益!$A:$A,增益!$W:$W,0))+$I$5</f>
        <v>0.06</v>
      </c>
    </row>
    <row r="176" spans="11:70">
      <c r="K176" s="24">
        <f>$L176*VLOOKUP($R176,武学奇术!$A:$ZZ,31,FALSE)</f>
        <v>2844.31928137136</v>
      </c>
      <c r="L176" s="24">
        <f t="shared" si="22"/>
        <v>5688.63856274273</v>
      </c>
      <c r="M176" s="24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BL176*$Q176*(1+IF(VLOOKUP($R176,武学奇术!$A:$ZZ,30,FALSE)="流血",$B$21,0))*(1+$BR176)</f>
        <v>5024.20813759482</v>
      </c>
      <c r="N176" s="24">
        <f>(($AP176*$AI176+$AJ176)*(1+$AQ176)*(1+$AR176)+($AU176*IF($G$1="鸣金",$AK176,$AI176)+IF($G$1="鸣金",$AL176*1.5,0))*(1+$AV176)*(1+$AW176)+($AY176*IF($G$1="裂石",$AK176,$AI176)+IF($G$1="裂石",$AL176*1.5,0))*(1+$AZ176)*(1+$BA176)+($BC176*IF($G$1="牵丝",$AK176,$AI176)+IF($G$1="牵丝",$AL176*1.5,0))*(1+$BD176)*(1+$BE176)+($BG176*IF($G$1="破竹",$AK176,$AI176)+IF($G$1="破竹",$AL176*1.5,0))*(1+$BH176)*(1+$BI176))*(1+$AM176)*$BN176*$Q176*(1+IF(VLOOKUP($R176,武学奇术!$A:$ZZ,30,FALSE)="流血",$B$21,0))*(1+$BR176)</f>
        <v>8242.26981279539</v>
      </c>
      <c r="O176" s="24">
        <f>((($AO176+$AP176)/2*$AI176+$AJ176)*(1+$AQ176)*(1+$AR176)+(($AT176+$AU176)/2*IF($G$1="鸣金",$AK176,$AI176)+IF($G$1="鸣金",$AL176*1.5,0))*(1+$AV176)*(1+$AW176)+(($AX176+$AY176)/2*IF($G$1="裂石",$AK176,$AI176)+IF($G$1="裂石",$AL176*1.5,0))*(1+$AZ176)*(1+$BA176)+(($BB176+$BC176)/2*IF($G$1="牵丝",$AK176,$AI176)+IF($G$1="牵丝",$AL176*1.5,0))*(1+$BD176)*(1+$BE176)+(($BF176+$BG176)/2*IF($G$1="破竹",$AK176,$AI176)+IF($G$1="破竹",$AL176*1.5,0))*(1+$BH176)*(1+$BI176))*(1+$AM176)*$Q176*(1+IF(VLOOKUP($R176,武学奇术!$A:$ZZ,30,FALSE)="流血",$B$21,0))*(1+$BR176)</f>
        <v>3349.47209172988</v>
      </c>
      <c r="P176" s="24">
        <f>((($AO176*$AI176+$AJ176)*(1+$AQ176)*(1+$AR176)+($AT176*IF($G$1="鸣金",$AK176,$AI176)+IF($G$1="鸣金",$AL176*1.5,0))*(1+$AV176)*(1+$AW176)+($AX176*IF($G$1="裂石",$AK176,$AI176)+IF($G$1="裂石",$AL176*1.5,0))*(1+$AZ176)*(1+$BA176)+($BB176*IF($G$1="牵丝",$AK176,$AI176)+IF($G$1="牵丝",$AL176*1.5,0))*(1+$BD176)*(1+$BE176)+($BF176*IF($G$1="破竹",$AK176,$AI176)+IF($G$1="破竹",$AL176*1.5,0))*(1+$BH176)*(1+$BI176))*(1+$AM176))*$Q176*(1+IF(VLOOKUP($R176,武学奇术!$A:$ZZ,30,FALSE)="流血",$B$21,0))*(1+$BR176)</f>
        <v>1553.95678471107</v>
      </c>
      <c r="Q176" s="31">
        <v>1</v>
      </c>
      <c r="R176" s="32" t="s">
        <v>194</v>
      </c>
      <c r="S176" s="32" t="s">
        <v>87</v>
      </c>
      <c r="T176" s="32" t="s">
        <v>96</v>
      </c>
      <c r="U176" s="32" t="s">
        <v>73</v>
      </c>
      <c r="V176" s="32" t="s">
        <v>73</v>
      </c>
      <c r="W176" s="32" t="s">
        <v>73</v>
      </c>
      <c r="X176" s="32" t="s">
        <v>127</v>
      </c>
      <c r="Y176" s="32" t="s">
        <v>73</v>
      </c>
      <c r="Z176" s="32" t="s">
        <v>73</v>
      </c>
      <c r="AA176" s="32" t="s">
        <v>81</v>
      </c>
      <c r="AB176" s="32" t="s">
        <v>75</v>
      </c>
      <c r="AC176" s="32" t="s">
        <v>89</v>
      </c>
      <c r="AD176" s="32" t="s">
        <v>82</v>
      </c>
      <c r="AE176" s="32" t="s">
        <v>73</v>
      </c>
      <c r="AF176" s="32" t="s">
        <v>73</v>
      </c>
      <c r="AG176" s="32" t="s">
        <v>178</v>
      </c>
      <c r="AH176" t="str">
        <f>VLOOKUP($R176,武学奇术!$A:$ZZ,25,FALSE)</f>
        <v>单体奇术</v>
      </c>
      <c r="AI176" s="21">
        <f>VLOOKUP($R176,武学奇术!$A:$ZZ,26,FALSE)</f>
        <v>0.236</v>
      </c>
      <c r="AJ176" s="22">
        <f>VLOOKUP($R176,武学奇术!$A:$ZZ,27,FALSE)*(1+IF(OR($AH176=$F$4,$AH176=$F$5),$B$22,0))</f>
        <v>46</v>
      </c>
      <c r="AK176" s="21">
        <f>VLOOKUP($R176,武学奇术!$A:$ZZ,28,FALSE)</f>
        <v>0.354</v>
      </c>
      <c r="AL176" s="22">
        <f>VLOOKUP($R176,武学奇术!$A:$ZZ,29,FALSE)*(1+IF(OR($AH176=$F$4,$AH176=$F$5),$B$22,0))</f>
        <v>0</v>
      </c>
      <c r="AM176" s="21" cm="1">
        <f t="array" ref="AM176">$G$3+IFERROR(VLOOKUP($AH176,$F$4:$G$7,2,FALSE),0)+VLOOKUP($R176,武学奇术!$A:$ZZ,2,FALSE)+SUM(_xlfn.XLOOKUP($S176:$AG176,增益!$A:$A,增益!$B:$B,0))</f>
        <v>0.703</v>
      </c>
      <c r="AN176" s="21" cm="1">
        <f t="array" ref="AN176">VLOOKUP($R176,武学奇术!$A:$ZZ,5,FALSE)+SUM(_xlfn.XLOOKUP($S176:$AG176,增益!$A:$A,增益!$E:$E,0))</f>
        <v>0</v>
      </c>
      <c r="AO176" cm="1">
        <f t="array" ref="AO176">$D$10*(1+$AN176)+VLOOKUP($R176,武学奇术!$A:$ZZ,3,FALSE)+SUM(_xlfn.XLOOKUP($S176:$AG176,增益!$A:$A,增益!$C:$C,0))-$I$2</f>
        <v>1794.28</v>
      </c>
      <c r="AP176" cm="1">
        <f t="array" ref="AP176">$E$10*(1+$AN176)+VLOOKUP($R176,武学奇术!$A:$ZZ,4,FALSE)+SUM(_xlfn.XLOOKUP($S176:$AG176,增益!$A:$A,增益!$D:$D,0))-$I$2</f>
        <v>7726.36</v>
      </c>
      <c r="AQ176" s="26" cm="1">
        <f t="array" ref="AQ176">IF($F$10-$I$3+VLOOKUP($R176,武学奇术!$A:$ZZ,6,FALSE)+SUM(_xlfn.XLOOKUP(S176:AG176,增益!$A:$A,增益!$F:$F,0))&gt;0,($F$10-$I$3+VLOOKUP($R176,武学奇术!$A:$ZZ,6,FALSE)+SUM(_xlfn.XLOOKUP(S176:AG176,增益!$A:$A,增益!$F:$F,0)))/200,($F$10-$I$3+VLOOKUP($R176,武学奇术!$A:$ZZ,6,FALSE)+SUM(_xlfn.XLOOKUP(S176:AG176,增益!$A:$A,增益!$F:$F,0)))/100)</f>
        <v>0.244</v>
      </c>
      <c r="AR176" s="26" cm="1">
        <f t="array" ref="AR176">$G$10+VLOOKUP($R176,武学奇术!$A:$ZZ,7,FALSE)+SUM(_xlfn.XLOOKUP(S176:AG176,增益!$A:$A,增益!$G:$G,0))</f>
        <v>0</v>
      </c>
      <c r="AS176" s="21" cm="1">
        <f t="array" ref="AS176">VLOOKUP($R176,武学奇术!$A:$ZZ,8,FALSE)+SUM(_xlfn.XLOOKUP(S176:AG176,增益!$A:$A,增益!$H:$H,0))</f>
        <v>0</v>
      </c>
      <c r="AT176">
        <f t="shared" si="23"/>
        <v>680.02</v>
      </c>
      <c r="AU176">
        <f t="shared" si="24"/>
        <v>1288.54</v>
      </c>
      <c r="AV176" s="26" cm="1">
        <f t="array" ref="AV176">IF($F$11-$I$4+VLOOKUP($R176,武学奇术!$A:$ZZ,9,FALSE)+SUM(_xlfn.XLOOKUP(S176:AG176,增益!$A:$A,增益!$I:$I,0))&gt;0,($F$11-$I$4+VLOOKUP($R176,武学奇术!$A:$ZZ,9,FALSE)+SUM(_xlfn.XLOOKUP(S176:AG176,增益!$A:$A,增益!$I:$I,0)))/200,($F$11-$I$4+VLOOKUP($R176,武学奇术!$A:$ZZ,9,FALSE)+SUM(_xlfn.XLOOKUP(S176:AG176,增益!$A:$A,增益!$I:$I,0)))/100)</f>
        <v>0</v>
      </c>
      <c r="AW176" s="26" cm="1">
        <f t="array" ref="AW176">$G$11+VLOOKUP($R176,武学奇术!$A:$ZZ,10,FALSE)+SUM(_xlfn.XLOOKUP(S176:AG176,增益!$A:$A,增益!$J:$J,0))</f>
        <v>0.15</v>
      </c>
      <c r="AX176">
        <f t="shared" si="25"/>
        <v>0</v>
      </c>
      <c r="AY176">
        <f t="shared" si="26"/>
        <v>0</v>
      </c>
      <c r="AZ176" s="26" cm="1">
        <f t="array" ref="AZ176">IF($F$12-$I$4+VLOOKUP($R176,武学奇术!$A:$ZZ,11,FALSE)+SUM(_xlfn.XLOOKUP(S176:AG176,增益!$A:$A,增益!$K:$K,0))&gt;0,($F$12-$I$4+VLOOKUP($R176,武学奇术!$A:$ZZ,11,FALSE)+SUM(_xlfn.XLOOKUP(S176:AG176,增益!$A:$A,增益!$K:$K,0)))/200,($F$12-$I$4+VLOOKUP($R176,武学奇术!$A:$ZZ,11,FALSE)+SUM(_xlfn.XLOOKUP(S176:AG176,增益!$A:$A,增益!$K:$K,0)))/100)</f>
        <v>-0.3</v>
      </c>
      <c r="BA176" s="26" cm="1">
        <f t="array" ref="BA176">$G$12+VLOOKUP($R176,武学奇术!$A:$ZZ,12,FALSE)+SUM(_xlfn.XLOOKUP(S176:AG176,增益!$A:$A,增益!$L:$L,0))</f>
        <v>0</v>
      </c>
      <c r="BB176">
        <f t="shared" si="27"/>
        <v>0</v>
      </c>
      <c r="BC176">
        <f t="shared" si="28"/>
        <v>0</v>
      </c>
      <c r="BD176" s="26" cm="1">
        <f t="array" ref="BD176">IF($F$13-$I$4+VLOOKUP($R176,武学奇术!$A:$ZZ,13,FALSE)+SUM(_xlfn.XLOOKUP(S176:AG176,增益!$A:$A,增益!$M:$M,0))&gt;0,($F$13-$I$4+VLOOKUP($R176,武学奇术!$A:$ZZ,13,FALSE)+SUM(_xlfn.XLOOKUP(S176:AG176,增益!$A:$A,增益!$K:$K,0)))/200,($F$13-$I$4+VLOOKUP($R176,武学奇术!$A:$ZZ,13,FALSE)+SUM(_xlfn.XLOOKUP(S176:AG176,增益!$A:$A,增益!$M:$M,0)))/100)</f>
        <v>-0.3</v>
      </c>
      <c r="BE176" s="26" cm="1">
        <f t="array" ref="BE176">$G$13+VLOOKUP($R176,武学奇术!$A:$ZZ,14,FALSE)+SUM(_xlfn.XLOOKUP(S176:AG176,增益!$A:$A,增益!$N:$N,0))</f>
        <v>0</v>
      </c>
      <c r="BF176">
        <f t="shared" si="29"/>
        <v>0</v>
      </c>
      <c r="BG176">
        <f t="shared" si="30"/>
        <v>0</v>
      </c>
      <c r="BH176" s="26" cm="1">
        <f t="array" ref="BH176">IF($F$14-$I$4+VLOOKUP($R176,武学奇术!$A:$ZZ,15,FALSE)+SUM(_xlfn.XLOOKUP(S176:AG176,增益!$A:$A,增益!$O:$O,0))&gt;0,($F$14-$I$4+VLOOKUP($R176,武学奇术!$A:$ZZ,15,FALSE)+SUM(_xlfn.XLOOKUP(S176:AG176,增益!$A:$A,增益!$O:$O,0)))/200,($F$14-$I$4+VLOOKUP($R176,武学奇术!$A:$ZZ,15,FALSE)+SUM(_xlfn.XLOOKUP(S176:AG176,增益!$A:$A,增益!$O:$O,0)))/100)</f>
        <v>-0.3</v>
      </c>
      <c r="BI176" s="26" cm="1">
        <f t="array" ref="BI176">$G$14+VLOOKUP($R176,武学奇术!$A:$ZZ,16,FALSE)+SUM(_xlfn.XLOOKUP(S176:AG176,增益!$A:$A,增益!$P:$P,0))</f>
        <v>0</v>
      </c>
      <c r="BJ176" s="21">
        <f>MIN(IF(VLOOKUP($R176,武学奇术!$A:$ZZ,23,FALSE)=1,100%,$B$8),100%)</f>
        <v>0.8229</v>
      </c>
      <c r="BK176" s="21" cm="1">
        <f t="array" ref="BK176">IF(VLOOKUP($R176,武学奇术!$A:$ZZ,23,FALSE)=1,100%,MIN(80%,$B$9+VLOOKUP($R176,武学奇术!$A:$ZZ,17,FALSE)+SUM(_xlfn.XLOOKUP(S176:AG176,增益!$A:$A,增益!$Q:$Q,0)))+$B$11+SUM(_xlfn.XLOOKUP(S176:AG176,增益!$A:$A,增益!$U:$U,0)))*IF(VLOOKUP($R176,武学奇术!$A:$ZZ,24,FALSE)=1,0,1)</f>
        <v>0.2285</v>
      </c>
      <c r="BL176" s="21" cm="1">
        <f t="array" ref="BL176">1+$B$13+VLOOKUP($R176,武学奇术!$A:$ZZ,18,FALSE)+SUM(_xlfn.XLOOKUP(S176:AG176,增益!$A:$A,增益!$R:$R,0))</f>
        <v>1.5</v>
      </c>
      <c r="BM176" s="21" cm="1">
        <f t="array" ref="BM176">IF(VLOOKUP($R176,武学奇术!$A:$ZZ,24,FALSE)=1,100%,MIN(40%,$B$10+VLOOKUP($R176,武学奇术!$A:$ZZ,19,FALSE)+SUM(_xlfn.XLOOKUP(S176:AG176,增益!$A:$A,增益!$S:$S,0)))+$B$12+SUM(_xlfn.XLOOKUP(S176:AG176,增益!$A:$A,增益!$V:$V,0)))*IF(VLOOKUP($R176,武学奇术!$A:$ZZ,23,FALSE)=1,0,1)</f>
        <v>0.4495</v>
      </c>
      <c r="BN176" s="21" cm="1">
        <f t="array" ref="BN176">1+$B$14+VLOOKUP($R176,武学奇术!$A:$ZZ,20,FALSE)+SUM(_xlfn.XLOOKUP(S176:AG176,增益!$A:$A,增益!$T:$T,0))</f>
        <v>1.602</v>
      </c>
      <c r="BO176" s="21">
        <f t="shared" si="31"/>
        <v>0.18803265</v>
      </c>
      <c r="BP176" s="21">
        <f t="shared" si="32"/>
        <v>0.2649738</v>
      </c>
      <c r="BQ176" s="21">
        <f>IF(VLOOKUP($R176,武学奇术!$A:$ZZ,22,FALSE)=1,0,(1-$BJ176))*(1-$BM176)</f>
        <v>0.09749355</v>
      </c>
      <c r="BR176" s="21" cm="1">
        <f t="array" ref="BR176">SUM(_xlfn.XLOOKUP(S176:AG176,增益!$A:$A,增益!$W:$W,0))+$I$5</f>
        <v>0.06</v>
      </c>
    </row>
    <row r="177" spans="11:70">
      <c r="K177" s="24">
        <f>$L177*VLOOKUP($R177,武学奇术!$A:$ZZ,31,FALSE)</f>
        <v>6022.67488468887</v>
      </c>
      <c r="L177" s="24">
        <f t="shared" si="22"/>
        <v>12045.3497693777</v>
      </c>
      <c r="M177" s="24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BL177*$Q177*(1+IF(VLOOKUP($R177,武学奇术!$A:$ZZ,30,FALSE)="流血",$B$21,0))*(1+$BR177)</f>
        <v>10638.4583348015</v>
      </c>
      <c r="N177" s="24">
        <f>(($AP177*$AI177+$AJ177)*(1+$AQ177)*(1+$AR177)+($AU177*IF($G$1="鸣金",$AK177,$AI177)+IF($G$1="鸣金",$AL177*1.5,0))*(1+$AV177)*(1+$AW177)+($AY177*IF($G$1="裂石",$AK177,$AI177)+IF($G$1="裂石",$AL177*1.5,0))*(1+$AZ177)*(1+$BA177)+($BC177*IF($G$1="牵丝",$AK177,$AI177)+IF($G$1="牵丝",$AL177*1.5,0))*(1+$BD177)*(1+$BE177)+($BG177*IF($G$1="破竹",$AK177,$AI177)+IF($G$1="破竹",$AL177*1.5,0))*(1+$BH177)*(1+$BI177))*(1+$AM177)*$BN177*$Q177*(1+IF(VLOOKUP($R177,武学奇术!$A:$ZZ,30,FALSE)="流血",$B$21,0))*(1+$BR177)</f>
        <v>17452.5102436525</v>
      </c>
      <c r="O177" s="24">
        <f>((($AO177+$AP177)/2*$AI177+$AJ177)*(1+$AQ177)*(1+$AR177)+(($AT177+$AU177)/2*IF($G$1="鸣金",$AK177,$AI177)+IF($G$1="鸣金",$AL177*1.5,0))*(1+$AV177)*(1+$AW177)+(($AX177+$AY177)/2*IF($G$1="裂石",$AK177,$AI177)+IF($G$1="裂石",$AL177*1.5,0))*(1+$AZ177)*(1+$BA177)+(($BB177+$BC177)/2*IF($G$1="牵丝",$AK177,$AI177)+IF($G$1="牵丝",$AL177*1.5,0))*(1+$BD177)*(1+$BE177)+(($BF177+$BG177)/2*IF($G$1="破竹",$AK177,$AI177)+IF($G$1="破竹",$AL177*1.5,0))*(1+$BH177)*(1+$BI177))*(1+$AM177)*$Q177*(1+IF(VLOOKUP($R177,武学奇术!$A:$ZZ,30,FALSE)="流血",$B$21,0))*(1+$BR177)</f>
        <v>7092.30555653432</v>
      </c>
      <c r="P177" s="24">
        <f>((($AO177*$AI177+$AJ177)*(1+$AQ177)*(1+$AR177)+($AT177*IF($G$1="鸣金",$AK177,$AI177)+IF($G$1="鸣金",$AL177*1.5,0))*(1+$AV177)*(1+$AW177)+($AX177*IF($G$1="裂石",$AK177,$AI177)+IF($G$1="裂石",$AL177*1.5,0))*(1+$AZ177)*(1+$BA177)+($BB177*IF($G$1="牵丝",$AK177,$AI177)+IF($G$1="牵丝",$AL177*1.5,0))*(1+$BD177)*(1+$BE177)+($BF177*IF($G$1="破竹",$AK177,$AI177)+IF($G$1="破竹",$AL177*1.5,0))*(1+$BH177)*(1+$BI177))*(1+$AM177))*$Q177*(1+IF(VLOOKUP($R177,武学奇术!$A:$ZZ,30,FALSE)="流血",$B$21,0))*(1+$BR177)</f>
        <v>3290.40996222439</v>
      </c>
      <c r="Q177" s="31">
        <v>2</v>
      </c>
      <c r="R177" s="32" t="s">
        <v>194</v>
      </c>
      <c r="S177" s="32" t="s">
        <v>87</v>
      </c>
      <c r="T177" s="32" t="s">
        <v>96</v>
      </c>
      <c r="U177" s="32" t="s">
        <v>195</v>
      </c>
      <c r="V177" s="32" t="s">
        <v>73</v>
      </c>
      <c r="W177" s="32" t="s">
        <v>73</v>
      </c>
      <c r="X177" s="32" t="s">
        <v>127</v>
      </c>
      <c r="Y177" s="32" t="s">
        <v>73</v>
      </c>
      <c r="Z177" s="32" t="s">
        <v>73</v>
      </c>
      <c r="AA177" s="32" t="s">
        <v>81</v>
      </c>
      <c r="AB177" s="32" t="s">
        <v>75</v>
      </c>
      <c r="AC177" s="32" t="s">
        <v>89</v>
      </c>
      <c r="AD177" s="32" t="s">
        <v>82</v>
      </c>
      <c r="AE177" s="32" t="s">
        <v>73</v>
      </c>
      <c r="AF177" s="32" t="s">
        <v>73</v>
      </c>
      <c r="AG177" s="32" t="s">
        <v>178</v>
      </c>
      <c r="AH177" t="str">
        <f>VLOOKUP($R177,武学奇术!$A:$ZZ,25,FALSE)</f>
        <v>单体奇术</v>
      </c>
      <c r="AI177" s="21">
        <f>VLOOKUP($R177,武学奇术!$A:$ZZ,26,FALSE)</f>
        <v>0.236</v>
      </c>
      <c r="AJ177" s="22">
        <f>VLOOKUP($R177,武学奇术!$A:$ZZ,27,FALSE)*(1+IF(OR($AH177=$F$4,$AH177=$F$5),$B$22,0))</f>
        <v>46</v>
      </c>
      <c r="AK177" s="21">
        <f>VLOOKUP($R177,武学奇术!$A:$ZZ,28,FALSE)</f>
        <v>0.354</v>
      </c>
      <c r="AL177" s="22">
        <f>VLOOKUP($R177,武学奇术!$A:$ZZ,29,FALSE)*(1+IF(OR($AH177=$F$4,$AH177=$F$5),$B$22,0))</f>
        <v>0</v>
      </c>
      <c r="AM177" s="21" cm="1">
        <f t="array" ref="AM177">$G$3+IFERROR(VLOOKUP($AH177,$F$4:$G$7,2,FALSE),0)+VLOOKUP($R177,武学奇术!$A:$ZZ,2,FALSE)+SUM(_xlfn.XLOOKUP($S177:$AG177,增益!$A:$A,增益!$B:$B,0))</f>
        <v>0.803</v>
      </c>
      <c r="AN177" s="21" cm="1">
        <f t="array" ref="AN177">VLOOKUP($R177,武学奇术!$A:$ZZ,5,FALSE)+SUM(_xlfn.XLOOKUP($S177:$AG177,增益!$A:$A,增益!$E:$E,0))</f>
        <v>0</v>
      </c>
      <c r="AO177" cm="1">
        <f t="array" ref="AO177">$D$10*(1+$AN177)+VLOOKUP($R177,武学奇术!$A:$ZZ,3,FALSE)+SUM(_xlfn.XLOOKUP($S177:$AG177,增益!$A:$A,增益!$C:$C,0))-$I$2</f>
        <v>1794.28</v>
      </c>
      <c r="AP177" cm="1">
        <f t="array" ref="AP177">$E$10*(1+$AN177)+VLOOKUP($R177,武学奇术!$A:$ZZ,4,FALSE)+SUM(_xlfn.XLOOKUP($S177:$AG177,增益!$A:$A,增益!$D:$D,0))-$I$2</f>
        <v>7726.36</v>
      </c>
      <c r="AQ177" s="26" cm="1">
        <f t="array" ref="AQ177">IF($F$10-$I$3+VLOOKUP($R177,武学奇术!$A:$ZZ,6,FALSE)+SUM(_xlfn.XLOOKUP(S177:AG177,增益!$A:$A,增益!$F:$F,0))&gt;0,($F$10-$I$3+VLOOKUP($R177,武学奇术!$A:$ZZ,6,FALSE)+SUM(_xlfn.XLOOKUP(S177:AG177,增益!$A:$A,增益!$F:$F,0)))/200,($F$10-$I$3+VLOOKUP($R177,武学奇术!$A:$ZZ,6,FALSE)+SUM(_xlfn.XLOOKUP(S177:AG177,增益!$A:$A,增益!$F:$F,0)))/100)</f>
        <v>0.244</v>
      </c>
      <c r="AR177" s="26" cm="1">
        <f t="array" ref="AR177">$G$10+VLOOKUP($R177,武学奇术!$A:$ZZ,7,FALSE)+SUM(_xlfn.XLOOKUP(S177:AG177,增益!$A:$A,增益!$G:$G,0))</f>
        <v>0</v>
      </c>
      <c r="AS177" s="21" cm="1">
        <f t="array" ref="AS177">VLOOKUP($R177,武学奇术!$A:$ZZ,8,FALSE)+SUM(_xlfn.XLOOKUP(S177:AG177,增益!$A:$A,增益!$H:$H,0))</f>
        <v>0</v>
      </c>
      <c r="AT177">
        <f t="shared" si="23"/>
        <v>680.02</v>
      </c>
      <c r="AU177">
        <f t="shared" si="24"/>
        <v>1288.54</v>
      </c>
      <c r="AV177" s="26" cm="1">
        <f t="array" ref="AV177">IF($F$11-$I$4+VLOOKUP($R177,武学奇术!$A:$ZZ,9,FALSE)+SUM(_xlfn.XLOOKUP(S177:AG177,增益!$A:$A,增益!$I:$I,0))&gt;0,($F$11-$I$4+VLOOKUP($R177,武学奇术!$A:$ZZ,9,FALSE)+SUM(_xlfn.XLOOKUP(S177:AG177,增益!$A:$A,增益!$I:$I,0)))/200,($F$11-$I$4+VLOOKUP($R177,武学奇术!$A:$ZZ,9,FALSE)+SUM(_xlfn.XLOOKUP(S177:AG177,增益!$A:$A,增益!$I:$I,0)))/100)</f>
        <v>0</v>
      </c>
      <c r="AW177" s="26" cm="1">
        <f t="array" ref="AW177">$G$11+VLOOKUP($R177,武学奇术!$A:$ZZ,10,FALSE)+SUM(_xlfn.XLOOKUP(S177:AG177,增益!$A:$A,增益!$J:$J,0))</f>
        <v>0.15</v>
      </c>
      <c r="AX177">
        <f t="shared" si="25"/>
        <v>0</v>
      </c>
      <c r="AY177">
        <f t="shared" si="26"/>
        <v>0</v>
      </c>
      <c r="AZ177" s="26" cm="1">
        <f t="array" ref="AZ177">IF($F$12-$I$4+VLOOKUP($R177,武学奇术!$A:$ZZ,11,FALSE)+SUM(_xlfn.XLOOKUP(S177:AG177,增益!$A:$A,增益!$K:$K,0))&gt;0,($F$12-$I$4+VLOOKUP($R177,武学奇术!$A:$ZZ,11,FALSE)+SUM(_xlfn.XLOOKUP(S177:AG177,增益!$A:$A,增益!$K:$K,0)))/200,($F$12-$I$4+VLOOKUP($R177,武学奇术!$A:$ZZ,11,FALSE)+SUM(_xlfn.XLOOKUP(S177:AG177,增益!$A:$A,增益!$K:$K,0)))/100)</f>
        <v>-0.3</v>
      </c>
      <c r="BA177" s="26" cm="1">
        <f t="array" ref="BA177">$G$12+VLOOKUP($R177,武学奇术!$A:$ZZ,12,FALSE)+SUM(_xlfn.XLOOKUP(S177:AG177,增益!$A:$A,增益!$L:$L,0))</f>
        <v>0</v>
      </c>
      <c r="BB177">
        <f t="shared" si="27"/>
        <v>0</v>
      </c>
      <c r="BC177">
        <f t="shared" si="28"/>
        <v>0</v>
      </c>
      <c r="BD177" s="26" cm="1">
        <f t="array" ref="BD177">IF($F$13-$I$4+VLOOKUP($R177,武学奇术!$A:$ZZ,13,FALSE)+SUM(_xlfn.XLOOKUP(S177:AG177,增益!$A:$A,增益!$M:$M,0))&gt;0,($F$13-$I$4+VLOOKUP($R177,武学奇术!$A:$ZZ,13,FALSE)+SUM(_xlfn.XLOOKUP(S177:AG177,增益!$A:$A,增益!$K:$K,0)))/200,($F$13-$I$4+VLOOKUP($R177,武学奇术!$A:$ZZ,13,FALSE)+SUM(_xlfn.XLOOKUP(S177:AG177,增益!$A:$A,增益!$M:$M,0)))/100)</f>
        <v>-0.3</v>
      </c>
      <c r="BE177" s="26" cm="1">
        <f t="array" ref="BE177">$G$13+VLOOKUP($R177,武学奇术!$A:$ZZ,14,FALSE)+SUM(_xlfn.XLOOKUP(S177:AG177,增益!$A:$A,增益!$N:$N,0))</f>
        <v>0</v>
      </c>
      <c r="BF177">
        <f t="shared" si="29"/>
        <v>0</v>
      </c>
      <c r="BG177">
        <f t="shared" si="30"/>
        <v>0</v>
      </c>
      <c r="BH177" s="26" cm="1">
        <f t="array" ref="BH177">IF($F$14-$I$4+VLOOKUP($R177,武学奇术!$A:$ZZ,15,FALSE)+SUM(_xlfn.XLOOKUP(S177:AG177,增益!$A:$A,增益!$O:$O,0))&gt;0,($F$14-$I$4+VLOOKUP($R177,武学奇术!$A:$ZZ,15,FALSE)+SUM(_xlfn.XLOOKUP(S177:AG177,增益!$A:$A,增益!$O:$O,0)))/200,($F$14-$I$4+VLOOKUP($R177,武学奇术!$A:$ZZ,15,FALSE)+SUM(_xlfn.XLOOKUP(S177:AG177,增益!$A:$A,增益!$O:$O,0)))/100)</f>
        <v>-0.3</v>
      </c>
      <c r="BI177" s="26" cm="1">
        <f t="array" ref="BI177">$G$14+VLOOKUP($R177,武学奇术!$A:$ZZ,16,FALSE)+SUM(_xlfn.XLOOKUP(S177:AG177,增益!$A:$A,增益!$P:$P,0))</f>
        <v>0</v>
      </c>
      <c r="BJ177" s="21">
        <f>MIN(IF(VLOOKUP($R177,武学奇术!$A:$ZZ,23,FALSE)=1,100%,$B$8),100%)</f>
        <v>0.8229</v>
      </c>
      <c r="BK177" s="21" cm="1">
        <f t="array" ref="BK177">IF(VLOOKUP($R177,武学奇术!$A:$ZZ,23,FALSE)=1,100%,MIN(80%,$B$9+VLOOKUP($R177,武学奇术!$A:$ZZ,17,FALSE)+SUM(_xlfn.XLOOKUP(S177:AG177,增益!$A:$A,增益!$Q:$Q,0)))+$B$11+SUM(_xlfn.XLOOKUP(S177:AG177,增益!$A:$A,增益!$U:$U,0)))*IF(VLOOKUP($R177,武学奇术!$A:$ZZ,24,FALSE)=1,0,1)</f>
        <v>0.2285</v>
      </c>
      <c r="BL177" s="21" cm="1">
        <f t="array" ref="BL177">1+$B$13+VLOOKUP($R177,武学奇术!$A:$ZZ,18,FALSE)+SUM(_xlfn.XLOOKUP(S177:AG177,增益!$A:$A,增益!$R:$R,0))</f>
        <v>1.5</v>
      </c>
      <c r="BM177" s="21" cm="1">
        <f t="array" ref="BM177">IF(VLOOKUP($R177,武学奇术!$A:$ZZ,24,FALSE)=1,100%,MIN(40%,$B$10+VLOOKUP($R177,武学奇术!$A:$ZZ,19,FALSE)+SUM(_xlfn.XLOOKUP(S177:AG177,增益!$A:$A,增益!$S:$S,0)))+$B$12+SUM(_xlfn.XLOOKUP(S177:AG177,增益!$A:$A,增益!$V:$V,0)))*IF(VLOOKUP($R177,武学奇术!$A:$ZZ,23,FALSE)=1,0,1)</f>
        <v>0.4495</v>
      </c>
      <c r="BN177" s="21" cm="1">
        <f t="array" ref="BN177">1+$B$14+VLOOKUP($R177,武学奇术!$A:$ZZ,20,FALSE)+SUM(_xlfn.XLOOKUP(S177:AG177,增益!$A:$A,增益!$T:$T,0))</f>
        <v>1.602</v>
      </c>
      <c r="BO177" s="21">
        <f t="shared" si="31"/>
        <v>0.18803265</v>
      </c>
      <c r="BP177" s="21">
        <f t="shared" si="32"/>
        <v>0.2649738</v>
      </c>
      <c r="BQ177" s="21">
        <f>IF(VLOOKUP($R177,武学奇术!$A:$ZZ,22,FALSE)=1,0,(1-$BJ177))*(1-$BM177)</f>
        <v>0.09749355</v>
      </c>
      <c r="BR177" s="21" cm="1">
        <f t="array" ref="BR177">SUM(_xlfn.XLOOKUP(S177:AG177,增益!$A:$A,增益!$W:$W,0))+$I$5</f>
        <v>0.06</v>
      </c>
    </row>
    <row r="178" spans="11:70">
      <c r="K178" s="24">
        <f>$L178*VLOOKUP($R178,武学奇术!$A:$ZZ,31,FALSE)</f>
        <v>6690.74752858114</v>
      </c>
      <c r="L178" s="24">
        <f t="shared" si="22"/>
        <v>13381.4950571623</v>
      </c>
      <c r="M178" s="24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BL178*$Q178*(1+IF(VLOOKUP($R178,武学奇术!$A:$ZZ,30,FALSE)="流血",$B$21,0))*(1+$BR178)</f>
        <v>11818.5424540252</v>
      </c>
      <c r="N178" s="24">
        <f>(($AP178*$AI178+$AJ178)*(1+$AQ178)*(1+$AR178)+($AU178*IF($G$1="鸣金",$AK178,$AI178)+IF($G$1="鸣金",$AL178*1.5,0))*(1+$AV178)*(1+$AW178)+($AY178*IF($G$1="裂石",$AK178,$AI178)+IF($G$1="裂石",$AL178*1.5,0))*(1+$AZ178)*(1+$BA178)+($BC178*IF($G$1="牵丝",$AK178,$AI178)+IF($G$1="牵丝",$AL178*1.5,0))*(1+$BD178)*(1+$BE178)+($BG178*IF($G$1="破竹",$AK178,$AI178)+IF($G$1="破竹",$AL178*1.5,0))*(1+$BH178)*(1+$BI178))*(1+$AM178)*$BN178*$Q178*(1+IF(VLOOKUP($R178,武学奇术!$A:$ZZ,30,FALSE)="流血",$B$21,0))*(1+$BR178)</f>
        <v>19388.4514797759</v>
      </c>
      <c r="O178" s="24">
        <f>((($AO178+$AP178)/2*$AI178+$AJ178)*(1+$AQ178)*(1+$AR178)+(($AT178+$AU178)/2*IF($G$1="鸣金",$AK178,$AI178)+IF($G$1="鸣金",$AL178*1.5,0))*(1+$AV178)*(1+$AW178)+(($AX178+$AY178)/2*IF($G$1="裂石",$AK178,$AI178)+IF($G$1="裂石",$AL178*1.5,0))*(1+$AZ178)*(1+$BA178)+(($BB178+$BC178)/2*IF($G$1="牵丝",$AK178,$AI178)+IF($G$1="牵丝",$AL178*1.5,0))*(1+$BD178)*(1+$BE178)+(($BF178+$BG178)/2*IF($G$1="破竹",$AK178,$AI178)+IF($G$1="破竹",$AL178*1.5,0))*(1+$BH178)*(1+$BI178))*(1+$AM178)*$Q178*(1+IF(VLOOKUP($R178,武学奇术!$A:$ZZ,30,FALSE)="流血",$B$21,0))*(1+$BR178)</f>
        <v>7879.02830268344</v>
      </c>
      <c r="P178" s="24">
        <f>((($AO178*$AI178+$AJ178)*(1+$AQ178)*(1+$AR178)+($AT178*IF($G$1="鸣金",$AK178,$AI178)+IF($G$1="鸣金",$AL178*1.5,0))*(1+$AV178)*(1+$AW178)+($AX178*IF($G$1="裂石",$AK178,$AI178)+IF($G$1="裂石",$AL178*1.5,0))*(1+$AZ178)*(1+$BA178)+($BB178*IF($G$1="牵丝",$AK178,$AI178)+IF($G$1="牵丝",$AL178*1.5,0))*(1+$BD178)*(1+$BE178)+($BF178*IF($G$1="破竹",$AK178,$AI178)+IF($G$1="破竹",$AL178*1.5,0))*(1+$BH178)*(1+$BI178))*(1+$AM178))*$Q178*(1+IF(VLOOKUP($R178,武学奇术!$A:$ZZ,30,FALSE)="流血",$B$21,0))*(1+$BR178)</f>
        <v>3655.40274782887</v>
      </c>
      <c r="Q178" s="31">
        <v>2</v>
      </c>
      <c r="R178" s="32" t="s">
        <v>194</v>
      </c>
      <c r="S178" s="32" t="s">
        <v>87</v>
      </c>
      <c r="T178" s="32" t="s">
        <v>96</v>
      </c>
      <c r="U178" s="32" t="s">
        <v>196</v>
      </c>
      <c r="V178" s="32" t="s">
        <v>73</v>
      </c>
      <c r="W178" s="32" t="s">
        <v>73</v>
      </c>
      <c r="X178" s="32" t="s">
        <v>127</v>
      </c>
      <c r="Y178" s="32" t="s">
        <v>73</v>
      </c>
      <c r="Z178" s="32" t="s">
        <v>73</v>
      </c>
      <c r="AA178" s="32" t="s">
        <v>81</v>
      </c>
      <c r="AB178" s="32" t="s">
        <v>75</v>
      </c>
      <c r="AC178" s="32" t="s">
        <v>89</v>
      </c>
      <c r="AD178" s="32" t="s">
        <v>82</v>
      </c>
      <c r="AE178" s="32" t="s">
        <v>73</v>
      </c>
      <c r="AF178" s="32" t="s">
        <v>73</v>
      </c>
      <c r="AG178" s="32" t="s">
        <v>178</v>
      </c>
      <c r="AH178" t="str">
        <f>VLOOKUP($R178,武学奇术!$A:$ZZ,25,FALSE)</f>
        <v>单体奇术</v>
      </c>
      <c r="AI178" s="21">
        <f>VLOOKUP($R178,武学奇术!$A:$ZZ,26,FALSE)</f>
        <v>0.236</v>
      </c>
      <c r="AJ178" s="22">
        <f>VLOOKUP($R178,武学奇术!$A:$ZZ,27,FALSE)*(1+IF(OR($AH178=$F$4,$AH178=$F$5),$B$22,0))</f>
        <v>46</v>
      </c>
      <c r="AK178" s="21">
        <f>VLOOKUP($R178,武学奇术!$A:$ZZ,28,FALSE)</f>
        <v>0.354</v>
      </c>
      <c r="AL178" s="22">
        <f>VLOOKUP($R178,武学奇术!$A:$ZZ,29,FALSE)*(1+IF(OR($AH178=$F$4,$AH178=$F$5),$B$22,0))</f>
        <v>0</v>
      </c>
      <c r="AM178" s="21" cm="1">
        <f t="array" ref="AM178">$G$3+IFERROR(VLOOKUP($AH178,$F$4:$G$7,2,FALSE),0)+VLOOKUP($R178,武学奇术!$A:$ZZ,2,FALSE)+SUM(_xlfn.XLOOKUP($S178:$AG178,增益!$A:$A,增益!$B:$B,0))</f>
        <v>1.003</v>
      </c>
      <c r="AN178" s="21" cm="1">
        <f t="array" ref="AN178">VLOOKUP($R178,武学奇术!$A:$ZZ,5,FALSE)+SUM(_xlfn.XLOOKUP($S178:$AG178,增益!$A:$A,增益!$E:$E,0))</f>
        <v>0</v>
      </c>
      <c r="AO178" cm="1">
        <f t="array" ref="AO178">$D$10*(1+$AN178)+VLOOKUP($R178,武学奇术!$A:$ZZ,3,FALSE)+SUM(_xlfn.XLOOKUP($S178:$AG178,增益!$A:$A,增益!$C:$C,0))-$I$2</f>
        <v>1794.28</v>
      </c>
      <c r="AP178" cm="1">
        <f t="array" ref="AP178">$E$10*(1+$AN178)+VLOOKUP($R178,武学奇术!$A:$ZZ,4,FALSE)+SUM(_xlfn.XLOOKUP($S178:$AG178,增益!$A:$A,增益!$D:$D,0))-$I$2</f>
        <v>7726.36</v>
      </c>
      <c r="AQ178" s="26" cm="1">
        <f t="array" ref="AQ178">IF($F$10-$I$3+VLOOKUP($R178,武学奇术!$A:$ZZ,6,FALSE)+SUM(_xlfn.XLOOKUP(S178:AG178,增益!$A:$A,增益!$F:$F,0))&gt;0,($F$10-$I$3+VLOOKUP($R178,武学奇术!$A:$ZZ,6,FALSE)+SUM(_xlfn.XLOOKUP(S178:AG178,增益!$A:$A,增益!$F:$F,0)))/200,($F$10-$I$3+VLOOKUP($R178,武学奇术!$A:$ZZ,6,FALSE)+SUM(_xlfn.XLOOKUP(S178:AG178,增益!$A:$A,增益!$F:$F,0)))/100)</f>
        <v>0.244</v>
      </c>
      <c r="AR178" s="26" cm="1">
        <f t="array" ref="AR178">$G$10+VLOOKUP($R178,武学奇术!$A:$ZZ,7,FALSE)+SUM(_xlfn.XLOOKUP(S178:AG178,增益!$A:$A,增益!$G:$G,0))</f>
        <v>0</v>
      </c>
      <c r="AS178" s="21" cm="1">
        <f t="array" ref="AS178">VLOOKUP($R178,武学奇术!$A:$ZZ,8,FALSE)+SUM(_xlfn.XLOOKUP(S178:AG178,增益!$A:$A,增益!$H:$H,0))</f>
        <v>0</v>
      </c>
      <c r="AT178">
        <f t="shared" si="23"/>
        <v>680.02</v>
      </c>
      <c r="AU178">
        <f t="shared" si="24"/>
        <v>1288.54</v>
      </c>
      <c r="AV178" s="26" cm="1">
        <f t="array" ref="AV178">IF($F$11-$I$4+VLOOKUP($R178,武学奇术!$A:$ZZ,9,FALSE)+SUM(_xlfn.XLOOKUP(S178:AG178,增益!$A:$A,增益!$I:$I,0))&gt;0,($F$11-$I$4+VLOOKUP($R178,武学奇术!$A:$ZZ,9,FALSE)+SUM(_xlfn.XLOOKUP(S178:AG178,增益!$A:$A,增益!$I:$I,0)))/200,($F$11-$I$4+VLOOKUP($R178,武学奇术!$A:$ZZ,9,FALSE)+SUM(_xlfn.XLOOKUP(S178:AG178,增益!$A:$A,增益!$I:$I,0)))/100)</f>
        <v>0</v>
      </c>
      <c r="AW178" s="26" cm="1">
        <f t="array" ref="AW178">$G$11+VLOOKUP($R178,武学奇术!$A:$ZZ,10,FALSE)+SUM(_xlfn.XLOOKUP(S178:AG178,增益!$A:$A,增益!$J:$J,0))</f>
        <v>0.15</v>
      </c>
      <c r="AX178">
        <f t="shared" si="25"/>
        <v>0</v>
      </c>
      <c r="AY178">
        <f t="shared" si="26"/>
        <v>0</v>
      </c>
      <c r="AZ178" s="26" cm="1">
        <f t="array" ref="AZ178">IF($F$12-$I$4+VLOOKUP($R178,武学奇术!$A:$ZZ,11,FALSE)+SUM(_xlfn.XLOOKUP(S178:AG178,增益!$A:$A,增益!$K:$K,0))&gt;0,($F$12-$I$4+VLOOKUP($R178,武学奇术!$A:$ZZ,11,FALSE)+SUM(_xlfn.XLOOKUP(S178:AG178,增益!$A:$A,增益!$K:$K,0)))/200,($F$12-$I$4+VLOOKUP($R178,武学奇术!$A:$ZZ,11,FALSE)+SUM(_xlfn.XLOOKUP(S178:AG178,增益!$A:$A,增益!$K:$K,0)))/100)</f>
        <v>-0.3</v>
      </c>
      <c r="BA178" s="26" cm="1">
        <f t="array" ref="BA178">$G$12+VLOOKUP($R178,武学奇术!$A:$ZZ,12,FALSE)+SUM(_xlfn.XLOOKUP(S178:AG178,增益!$A:$A,增益!$L:$L,0))</f>
        <v>0</v>
      </c>
      <c r="BB178">
        <f t="shared" si="27"/>
        <v>0</v>
      </c>
      <c r="BC178">
        <f t="shared" si="28"/>
        <v>0</v>
      </c>
      <c r="BD178" s="26" cm="1">
        <f t="array" ref="BD178">IF($F$13-$I$4+VLOOKUP($R178,武学奇术!$A:$ZZ,13,FALSE)+SUM(_xlfn.XLOOKUP(S178:AG178,增益!$A:$A,增益!$M:$M,0))&gt;0,($F$13-$I$4+VLOOKUP($R178,武学奇术!$A:$ZZ,13,FALSE)+SUM(_xlfn.XLOOKUP(S178:AG178,增益!$A:$A,增益!$K:$K,0)))/200,($F$13-$I$4+VLOOKUP($R178,武学奇术!$A:$ZZ,13,FALSE)+SUM(_xlfn.XLOOKUP(S178:AG178,增益!$A:$A,增益!$M:$M,0)))/100)</f>
        <v>-0.3</v>
      </c>
      <c r="BE178" s="26" cm="1">
        <f t="array" ref="BE178">$G$13+VLOOKUP($R178,武学奇术!$A:$ZZ,14,FALSE)+SUM(_xlfn.XLOOKUP(S178:AG178,增益!$A:$A,增益!$N:$N,0))</f>
        <v>0</v>
      </c>
      <c r="BF178">
        <f t="shared" si="29"/>
        <v>0</v>
      </c>
      <c r="BG178">
        <f t="shared" si="30"/>
        <v>0</v>
      </c>
      <c r="BH178" s="26" cm="1">
        <f t="array" ref="BH178">IF($F$14-$I$4+VLOOKUP($R178,武学奇术!$A:$ZZ,15,FALSE)+SUM(_xlfn.XLOOKUP(S178:AG178,增益!$A:$A,增益!$O:$O,0))&gt;0,($F$14-$I$4+VLOOKUP($R178,武学奇术!$A:$ZZ,15,FALSE)+SUM(_xlfn.XLOOKUP(S178:AG178,增益!$A:$A,增益!$O:$O,0)))/200,($F$14-$I$4+VLOOKUP($R178,武学奇术!$A:$ZZ,15,FALSE)+SUM(_xlfn.XLOOKUP(S178:AG178,增益!$A:$A,增益!$O:$O,0)))/100)</f>
        <v>-0.3</v>
      </c>
      <c r="BI178" s="26" cm="1">
        <f t="array" ref="BI178">$G$14+VLOOKUP($R178,武学奇术!$A:$ZZ,16,FALSE)+SUM(_xlfn.XLOOKUP(S178:AG178,增益!$A:$A,增益!$P:$P,0))</f>
        <v>0</v>
      </c>
      <c r="BJ178" s="21">
        <f>MIN(IF(VLOOKUP($R178,武学奇术!$A:$ZZ,23,FALSE)=1,100%,$B$8),100%)</f>
        <v>0.8229</v>
      </c>
      <c r="BK178" s="21" cm="1">
        <f t="array" ref="BK178">IF(VLOOKUP($R178,武学奇术!$A:$ZZ,23,FALSE)=1,100%,MIN(80%,$B$9+VLOOKUP($R178,武学奇术!$A:$ZZ,17,FALSE)+SUM(_xlfn.XLOOKUP(S178:AG178,增益!$A:$A,增益!$Q:$Q,0)))+$B$11+SUM(_xlfn.XLOOKUP(S178:AG178,增益!$A:$A,增益!$U:$U,0)))*IF(VLOOKUP($R178,武学奇术!$A:$ZZ,24,FALSE)=1,0,1)</f>
        <v>0.2285</v>
      </c>
      <c r="BL178" s="21" cm="1">
        <f t="array" ref="BL178">1+$B$13+VLOOKUP($R178,武学奇术!$A:$ZZ,18,FALSE)+SUM(_xlfn.XLOOKUP(S178:AG178,增益!$A:$A,增益!$R:$R,0))</f>
        <v>1.5</v>
      </c>
      <c r="BM178" s="21" cm="1">
        <f t="array" ref="BM178">IF(VLOOKUP($R178,武学奇术!$A:$ZZ,24,FALSE)=1,100%,MIN(40%,$B$10+VLOOKUP($R178,武学奇术!$A:$ZZ,19,FALSE)+SUM(_xlfn.XLOOKUP(S178:AG178,增益!$A:$A,增益!$S:$S,0)))+$B$12+SUM(_xlfn.XLOOKUP(S178:AG178,增益!$A:$A,增益!$V:$V,0)))*IF(VLOOKUP($R178,武学奇术!$A:$ZZ,23,FALSE)=1,0,1)</f>
        <v>0.4495</v>
      </c>
      <c r="BN178" s="21" cm="1">
        <f t="array" ref="BN178">1+$B$14+VLOOKUP($R178,武学奇术!$A:$ZZ,20,FALSE)+SUM(_xlfn.XLOOKUP(S178:AG178,增益!$A:$A,增益!$T:$T,0))</f>
        <v>1.602</v>
      </c>
      <c r="BO178" s="21">
        <f t="shared" si="31"/>
        <v>0.18803265</v>
      </c>
      <c r="BP178" s="21">
        <f t="shared" si="32"/>
        <v>0.2649738</v>
      </c>
      <c r="BQ178" s="21">
        <f>IF(VLOOKUP($R178,武学奇术!$A:$ZZ,22,FALSE)=1,0,(1-$BJ178))*(1-$BM178)</f>
        <v>0.09749355</v>
      </c>
      <c r="BR178" s="21" cm="1">
        <f t="array" ref="BR178">SUM(_xlfn.XLOOKUP(S178:AG178,增益!$A:$A,增益!$W:$W,0))+$I$5</f>
        <v>0.06</v>
      </c>
    </row>
    <row r="179" spans="11:70">
      <c r="K179" s="24">
        <f>$L179*VLOOKUP($R179,武学奇术!$A:$ZZ,31,FALSE)</f>
        <v>14717.6403449468</v>
      </c>
      <c r="L179" s="24">
        <f t="shared" si="22"/>
        <v>29435.2806898937</v>
      </c>
      <c r="M179" s="24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BL179*$Q179*(1+IF(VLOOKUP($R179,武学奇术!$A:$ZZ,30,FALSE)="流血",$B$21,0))*(1+$BR179)</f>
        <v>25997.2531464977</v>
      </c>
      <c r="N179" s="24">
        <f>(($AP179*$AI179+$AJ179)*(1+$AQ179)*(1+$AR179)+($AU179*IF($G$1="鸣金",$AK179,$AI179)+IF($G$1="鸣金",$AL179*1.5,0))*(1+$AV179)*(1+$AW179)+($AY179*IF($G$1="裂石",$AK179,$AI179)+IF($G$1="裂石",$AL179*1.5,0))*(1+$AZ179)*(1+$BA179)+($BC179*IF($G$1="牵丝",$AK179,$AI179)+IF($G$1="牵丝",$AL179*1.5,0))*(1+$BD179)*(1+$BE179)+($BG179*IF($G$1="破竹",$AK179,$AI179)+IF($G$1="破竹",$AL179*1.5,0))*(1+$BH179)*(1+$BI179))*(1+$AM179)*$BN179*$Q179*(1+IF(VLOOKUP($R179,武学奇术!$A:$ZZ,30,FALSE)="流血",$B$21,0))*(1+$BR179)</f>
        <v>42648.7854317986</v>
      </c>
      <c r="O179" s="24">
        <f>((($AO179+$AP179)/2*$AI179+$AJ179)*(1+$AQ179)*(1+$AR179)+(($AT179+$AU179)/2*IF($G$1="鸣金",$AK179,$AI179)+IF($G$1="鸣金",$AL179*1.5,0))*(1+$AV179)*(1+$AW179)+(($AX179+$AY179)/2*IF($G$1="裂石",$AK179,$AI179)+IF($G$1="裂石",$AL179*1.5,0))*(1+$AZ179)*(1+$BA179)+(($BB179+$BC179)/2*IF($G$1="牵丝",$AK179,$AI179)+IF($G$1="牵丝",$AL179*1.5,0))*(1+$BD179)*(1+$BE179)+(($BF179+$BG179)/2*IF($G$1="破竹",$AK179,$AI179)+IF($G$1="破竹",$AL179*1.5,0))*(1+$BH179)*(1+$BI179))*(1+$AM179)*$Q179*(1+IF(VLOOKUP($R179,武学奇术!$A:$ZZ,30,FALSE)="流血",$B$21,0))*(1+$BR179)</f>
        <v>17331.5020976651</v>
      </c>
      <c r="P179" s="24">
        <f>((($AO179*$AI179+$AJ179)*(1+$AQ179)*(1+$AR179)+($AT179*IF($G$1="鸣金",$AK179,$AI179)+IF($G$1="鸣金",$AL179*1.5,0))*(1+$AV179)*(1+$AW179)+($AX179*IF($G$1="裂石",$AK179,$AI179)+IF($G$1="裂石",$AL179*1.5,0))*(1+$AZ179)*(1+$BA179)+($BB179*IF($G$1="牵丝",$AK179,$AI179)+IF($G$1="牵丝",$AL179*1.5,0))*(1+$BD179)*(1+$BE179)+($BF179*IF($G$1="破竹",$AK179,$AI179)+IF($G$1="破竹",$AL179*1.5,0))*(1+$BH179)*(1+$BI179))*(1+$AM179))*$Q179*(1+IF(VLOOKUP($R179,武学奇术!$A:$ZZ,30,FALSE)="流血",$B$21,0))*(1+$BR179)</f>
        <v>8040.7910668667</v>
      </c>
      <c r="Q179" s="31">
        <v>4</v>
      </c>
      <c r="R179" s="32" t="s">
        <v>194</v>
      </c>
      <c r="S179" s="32" t="s">
        <v>87</v>
      </c>
      <c r="T179" s="32" t="s">
        <v>96</v>
      </c>
      <c r="U179" s="32" t="s">
        <v>97</v>
      </c>
      <c r="V179" s="32" t="s">
        <v>73</v>
      </c>
      <c r="W179" s="32" t="s">
        <v>73</v>
      </c>
      <c r="X179" s="32" t="s">
        <v>127</v>
      </c>
      <c r="Y179" s="32" t="s">
        <v>73</v>
      </c>
      <c r="Z179" s="32" t="s">
        <v>73</v>
      </c>
      <c r="AA179" s="32" t="s">
        <v>81</v>
      </c>
      <c r="AB179" s="32" t="s">
        <v>75</v>
      </c>
      <c r="AC179" s="32" t="s">
        <v>89</v>
      </c>
      <c r="AD179" s="32" t="s">
        <v>82</v>
      </c>
      <c r="AE179" s="32" t="s">
        <v>73</v>
      </c>
      <c r="AF179" s="32" t="s">
        <v>73</v>
      </c>
      <c r="AG179" s="32" t="s">
        <v>178</v>
      </c>
      <c r="AH179" t="str">
        <f>VLOOKUP($R179,武学奇术!$A:$ZZ,25,FALSE)</f>
        <v>单体奇术</v>
      </c>
      <c r="AI179" s="21">
        <f>VLOOKUP($R179,武学奇术!$A:$ZZ,26,FALSE)</f>
        <v>0.236</v>
      </c>
      <c r="AJ179" s="22">
        <f>VLOOKUP($R179,武学奇术!$A:$ZZ,27,FALSE)*(1+IF(OR($AH179=$F$4,$AH179=$F$5),$B$22,0))</f>
        <v>46</v>
      </c>
      <c r="AK179" s="21">
        <f>VLOOKUP($R179,武学奇术!$A:$ZZ,28,FALSE)</f>
        <v>0.354</v>
      </c>
      <c r="AL179" s="22">
        <f>VLOOKUP($R179,武学奇术!$A:$ZZ,29,FALSE)*(1+IF(OR($AH179=$F$4,$AH179=$F$5),$B$22,0))</f>
        <v>0</v>
      </c>
      <c r="AM179" s="21" cm="1">
        <f t="array" ref="AM179">$G$3+IFERROR(VLOOKUP($AH179,$F$4:$G$7,2,FALSE),0)+VLOOKUP($R179,武学奇术!$A:$ZZ,2,FALSE)+SUM(_xlfn.XLOOKUP($S179:$AG179,增益!$A:$A,增益!$B:$B,0))</f>
        <v>1.203</v>
      </c>
      <c r="AN179" s="21" cm="1">
        <f t="array" ref="AN179">VLOOKUP($R179,武学奇术!$A:$ZZ,5,FALSE)+SUM(_xlfn.XLOOKUP($S179:$AG179,增益!$A:$A,增益!$E:$E,0))</f>
        <v>0</v>
      </c>
      <c r="AO179" cm="1">
        <f t="array" ref="AO179">$D$10*(1+$AN179)+VLOOKUP($R179,武学奇术!$A:$ZZ,3,FALSE)+SUM(_xlfn.XLOOKUP($S179:$AG179,增益!$A:$A,增益!$C:$C,0))-$I$2</f>
        <v>1794.28</v>
      </c>
      <c r="AP179" cm="1">
        <f t="array" ref="AP179">$E$10*(1+$AN179)+VLOOKUP($R179,武学奇术!$A:$ZZ,4,FALSE)+SUM(_xlfn.XLOOKUP($S179:$AG179,增益!$A:$A,增益!$D:$D,0))-$I$2</f>
        <v>7726.36</v>
      </c>
      <c r="AQ179" s="26" cm="1">
        <f t="array" ref="AQ179">IF($F$10-$I$3+VLOOKUP($R179,武学奇术!$A:$ZZ,6,FALSE)+SUM(_xlfn.XLOOKUP(S179:AG179,增益!$A:$A,增益!$F:$F,0))&gt;0,($F$10-$I$3+VLOOKUP($R179,武学奇术!$A:$ZZ,6,FALSE)+SUM(_xlfn.XLOOKUP(S179:AG179,增益!$A:$A,增益!$F:$F,0)))/200,($F$10-$I$3+VLOOKUP($R179,武学奇术!$A:$ZZ,6,FALSE)+SUM(_xlfn.XLOOKUP(S179:AG179,增益!$A:$A,增益!$F:$F,0)))/100)</f>
        <v>0.244</v>
      </c>
      <c r="AR179" s="26" cm="1">
        <f t="array" ref="AR179">$G$10+VLOOKUP($R179,武学奇术!$A:$ZZ,7,FALSE)+SUM(_xlfn.XLOOKUP(S179:AG179,增益!$A:$A,增益!$G:$G,0))</f>
        <v>0</v>
      </c>
      <c r="AS179" s="21" cm="1">
        <f t="array" ref="AS179">VLOOKUP($R179,武学奇术!$A:$ZZ,8,FALSE)+SUM(_xlfn.XLOOKUP(S179:AG179,增益!$A:$A,增益!$H:$H,0))</f>
        <v>0</v>
      </c>
      <c r="AT179">
        <f t="shared" si="23"/>
        <v>680.02</v>
      </c>
      <c r="AU179">
        <f t="shared" si="24"/>
        <v>1288.54</v>
      </c>
      <c r="AV179" s="26" cm="1">
        <f t="array" ref="AV179">IF($F$11-$I$4+VLOOKUP($R179,武学奇术!$A:$ZZ,9,FALSE)+SUM(_xlfn.XLOOKUP(S179:AG179,增益!$A:$A,增益!$I:$I,0))&gt;0,($F$11-$I$4+VLOOKUP($R179,武学奇术!$A:$ZZ,9,FALSE)+SUM(_xlfn.XLOOKUP(S179:AG179,增益!$A:$A,增益!$I:$I,0)))/200,($F$11-$I$4+VLOOKUP($R179,武学奇术!$A:$ZZ,9,FALSE)+SUM(_xlfn.XLOOKUP(S179:AG179,增益!$A:$A,增益!$I:$I,0)))/100)</f>
        <v>0</v>
      </c>
      <c r="AW179" s="26" cm="1">
        <f t="array" ref="AW179">$G$11+VLOOKUP($R179,武学奇术!$A:$ZZ,10,FALSE)+SUM(_xlfn.XLOOKUP(S179:AG179,增益!$A:$A,增益!$J:$J,0))</f>
        <v>0.15</v>
      </c>
      <c r="AX179">
        <f t="shared" si="25"/>
        <v>0</v>
      </c>
      <c r="AY179">
        <f t="shared" si="26"/>
        <v>0</v>
      </c>
      <c r="AZ179" s="26" cm="1">
        <f t="array" ref="AZ179">IF($F$12-$I$4+VLOOKUP($R179,武学奇术!$A:$ZZ,11,FALSE)+SUM(_xlfn.XLOOKUP(S179:AG179,增益!$A:$A,增益!$K:$K,0))&gt;0,($F$12-$I$4+VLOOKUP($R179,武学奇术!$A:$ZZ,11,FALSE)+SUM(_xlfn.XLOOKUP(S179:AG179,增益!$A:$A,增益!$K:$K,0)))/200,($F$12-$I$4+VLOOKUP($R179,武学奇术!$A:$ZZ,11,FALSE)+SUM(_xlfn.XLOOKUP(S179:AG179,增益!$A:$A,增益!$K:$K,0)))/100)</f>
        <v>-0.3</v>
      </c>
      <c r="BA179" s="26" cm="1">
        <f t="array" ref="BA179">$G$12+VLOOKUP($R179,武学奇术!$A:$ZZ,12,FALSE)+SUM(_xlfn.XLOOKUP(S179:AG179,增益!$A:$A,增益!$L:$L,0))</f>
        <v>0</v>
      </c>
      <c r="BB179">
        <f t="shared" si="27"/>
        <v>0</v>
      </c>
      <c r="BC179">
        <f t="shared" si="28"/>
        <v>0</v>
      </c>
      <c r="BD179" s="26" cm="1">
        <f t="array" ref="BD179">IF($F$13-$I$4+VLOOKUP($R179,武学奇术!$A:$ZZ,13,FALSE)+SUM(_xlfn.XLOOKUP(S179:AG179,增益!$A:$A,增益!$M:$M,0))&gt;0,($F$13-$I$4+VLOOKUP($R179,武学奇术!$A:$ZZ,13,FALSE)+SUM(_xlfn.XLOOKUP(S179:AG179,增益!$A:$A,增益!$K:$K,0)))/200,($F$13-$I$4+VLOOKUP($R179,武学奇术!$A:$ZZ,13,FALSE)+SUM(_xlfn.XLOOKUP(S179:AG179,增益!$A:$A,增益!$M:$M,0)))/100)</f>
        <v>-0.3</v>
      </c>
      <c r="BE179" s="26" cm="1">
        <f t="array" ref="BE179">$G$13+VLOOKUP($R179,武学奇术!$A:$ZZ,14,FALSE)+SUM(_xlfn.XLOOKUP(S179:AG179,增益!$A:$A,增益!$N:$N,0))</f>
        <v>0</v>
      </c>
      <c r="BF179">
        <f t="shared" si="29"/>
        <v>0</v>
      </c>
      <c r="BG179">
        <f t="shared" si="30"/>
        <v>0</v>
      </c>
      <c r="BH179" s="26" cm="1">
        <f t="array" ref="BH179">IF($F$14-$I$4+VLOOKUP($R179,武学奇术!$A:$ZZ,15,FALSE)+SUM(_xlfn.XLOOKUP(S179:AG179,增益!$A:$A,增益!$O:$O,0))&gt;0,($F$14-$I$4+VLOOKUP($R179,武学奇术!$A:$ZZ,15,FALSE)+SUM(_xlfn.XLOOKUP(S179:AG179,增益!$A:$A,增益!$O:$O,0)))/200,($F$14-$I$4+VLOOKUP($R179,武学奇术!$A:$ZZ,15,FALSE)+SUM(_xlfn.XLOOKUP(S179:AG179,增益!$A:$A,增益!$O:$O,0)))/100)</f>
        <v>-0.3</v>
      </c>
      <c r="BI179" s="26" cm="1">
        <f t="array" ref="BI179">$G$14+VLOOKUP($R179,武学奇术!$A:$ZZ,16,FALSE)+SUM(_xlfn.XLOOKUP(S179:AG179,增益!$A:$A,增益!$P:$P,0))</f>
        <v>0</v>
      </c>
      <c r="BJ179" s="21">
        <f>MIN(IF(VLOOKUP($R179,武学奇术!$A:$ZZ,23,FALSE)=1,100%,$B$8),100%)</f>
        <v>0.8229</v>
      </c>
      <c r="BK179" s="21" cm="1">
        <f t="array" ref="BK179">IF(VLOOKUP($R179,武学奇术!$A:$ZZ,23,FALSE)=1,100%,MIN(80%,$B$9+VLOOKUP($R179,武学奇术!$A:$ZZ,17,FALSE)+SUM(_xlfn.XLOOKUP(S179:AG179,增益!$A:$A,增益!$Q:$Q,0)))+$B$11+SUM(_xlfn.XLOOKUP(S179:AG179,增益!$A:$A,增益!$U:$U,0)))*IF(VLOOKUP($R179,武学奇术!$A:$ZZ,24,FALSE)=1,0,1)</f>
        <v>0.2285</v>
      </c>
      <c r="BL179" s="21" cm="1">
        <f t="array" ref="BL179">1+$B$13+VLOOKUP($R179,武学奇术!$A:$ZZ,18,FALSE)+SUM(_xlfn.XLOOKUP(S179:AG179,增益!$A:$A,增益!$R:$R,0))</f>
        <v>1.5</v>
      </c>
      <c r="BM179" s="21" cm="1">
        <f t="array" ref="BM179">IF(VLOOKUP($R179,武学奇术!$A:$ZZ,24,FALSE)=1,100%,MIN(40%,$B$10+VLOOKUP($R179,武学奇术!$A:$ZZ,19,FALSE)+SUM(_xlfn.XLOOKUP(S179:AG179,增益!$A:$A,增益!$S:$S,0)))+$B$12+SUM(_xlfn.XLOOKUP(S179:AG179,增益!$A:$A,增益!$V:$V,0)))*IF(VLOOKUP($R179,武学奇术!$A:$ZZ,23,FALSE)=1,0,1)</f>
        <v>0.4495</v>
      </c>
      <c r="BN179" s="21" cm="1">
        <f t="array" ref="BN179">1+$B$14+VLOOKUP($R179,武学奇术!$A:$ZZ,20,FALSE)+SUM(_xlfn.XLOOKUP(S179:AG179,增益!$A:$A,增益!$T:$T,0))</f>
        <v>1.602</v>
      </c>
      <c r="BO179" s="21">
        <f t="shared" si="31"/>
        <v>0.18803265</v>
      </c>
      <c r="BP179" s="21">
        <f t="shared" si="32"/>
        <v>0.2649738</v>
      </c>
      <c r="BQ179" s="21">
        <f>IF(VLOOKUP($R179,武学奇术!$A:$ZZ,22,FALSE)=1,0,(1-$BJ179))*(1-$BM179)</f>
        <v>0.09749355</v>
      </c>
      <c r="BR179" s="21" cm="1">
        <f t="array" ref="BR179">SUM(_xlfn.XLOOKUP(S179:AG179,增益!$A:$A,增益!$W:$W,0))+$I$5</f>
        <v>0.06</v>
      </c>
    </row>
    <row r="180" spans="11:70">
      <c r="K180" s="24">
        <f>$L180*VLOOKUP($R180,武学奇术!$A:$ZZ,31,FALSE)</f>
        <v>11081.7329317166</v>
      </c>
      <c r="L180" s="24">
        <f t="shared" si="22"/>
        <v>22163.4658634332</v>
      </c>
      <c r="M180" s="24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BL180*$Q180*(1+IF(VLOOKUP($R180,武学奇术!$A:$ZZ,30,FALSE)="流血",$B$21,0))*(1+$BR180)</f>
        <v>19593.5770820475</v>
      </c>
      <c r="N180" s="24">
        <f>(($AP180*$AI180+$AJ180)*(1+$AQ180)*(1+$AR180)+($AU180*IF($G$1="鸣金",$AK180,$AI180)+IF($G$1="鸣金",$AL180*1.5,0))*(1+$AV180)*(1+$AW180)+($AY180*IF($G$1="裂石",$AK180,$AI180)+IF($G$1="裂石",$AL180*1.5,0))*(1+$AZ180)*(1+$BA180)+($BC180*IF($G$1="牵丝",$AK180,$AI180)+IF($G$1="牵丝",$AL180*1.5,0))*(1+$BD180)*(1+$BE180)+($BG180*IF($G$1="破竹",$AK180,$AI180)+IF($G$1="破竹",$AL180*1.5,0))*(1+$BH180)*(1+$BI180))*(1+$AM180)*$BN180*$Q180*(1+IF(VLOOKUP($R180,武学奇术!$A:$ZZ,30,FALSE)="流血",$B$21,0))*(1+$BR180)</f>
        <v>32088.729627131</v>
      </c>
      <c r="O180" s="24">
        <f>((($AO180+$AP180)/2*$AI180+$AJ180)*(1+$AQ180)*(1+$AR180)+(($AT180+$AU180)/2*IF($G$1="鸣金",$AK180,$AI180)+IF($G$1="鸣金",$AL180*1.5,0))*(1+$AV180)*(1+$AW180)+(($AX180+$AY180)/2*IF($G$1="裂石",$AK180,$AI180)+IF($G$1="裂石",$AL180*1.5,0))*(1+$AZ180)*(1+$BA180)+(($BB180+$BC180)/2*IF($G$1="牵丝",$AK180,$AI180)+IF($G$1="牵丝",$AL180*1.5,0))*(1+$BD180)*(1+$BE180)+(($BF180+$BG180)/2*IF($G$1="破竹",$AK180,$AI180)+IF($G$1="破竹",$AL180*1.5,0))*(1+$BH180)*(1+$BI180))*(1+$AM180)*$Q180*(1+IF(VLOOKUP($R180,武学奇术!$A:$ZZ,30,FALSE)="流血",$B$21,0))*(1+$BR180)</f>
        <v>13062.384721365</v>
      </c>
      <c r="P180" s="24">
        <f>((($AO180*$AI180+$AJ180)*(1+$AQ180)*(1+$AR180)+($AT180*IF($G$1="鸣金",$AK180,$AI180)+IF($G$1="鸣金",$AL180*1.5,0))*(1+$AV180)*(1+$AW180)+($AX180*IF($G$1="裂石",$AK180,$AI180)+IF($G$1="裂石",$AL180*1.5,0))*(1+$AZ180)*(1+$BA180)+($BB180*IF($G$1="牵丝",$AK180,$AI180)+IF($G$1="牵丝",$AL180*1.5,0))*(1+$BD180)*(1+$BE180)+($BF180*IF($G$1="破竹",$AK180,$AI180)+IF($G$1="破竹",$AL180*1.5,0))*(1+$BH180)*(1+$BI180))*(1+$AM180))*$Q180*(1+IF(VLOOKUP($R180,武学奇术!$A:$ZZ,30,FALSE)="流血",$B$21,0))*(1+$BR180)</f>
        <v>6094.35144826618</v>
      </c>
      <c r="Q180" s="31">
        <v>3</v>
      </c>
      <c r="R180" s="32" t="s">
        <v>194</v>
      </c>
      <c r="S180" s="32" t="s">
        <v>87</v>
      </c>
      <c r="T180" s="32" t="s">
        <v>96</v>
      </c>
      <c r="U180" s="32" t="s">
        <v>97</v>
      </c>
      <c r="V180" s="32" t="s">
        <v>73</v>
      </c>
      <c r="W180" s="32" t="s">
        <v>111</v>
      </c>
      <c r="X180" s="32" t="s">
        <v>127</v>
      </c>
      <c r="Y180" s="32" t="s">
        <v>73</v>
      </c>
      <c r="Z180" s="32" t="s">
        <v>73</v>
      </c>
      <c r="AA180" s="32" t="s">
        <v>81</v>
      </c>
      <c r="AB180" s="32" t="s">
        <v>75</v>
      </c>
      <c r="AC180" s="32" t="s">
        <v>89</v>
      </c>
      <c r="AD180" s="32" t="s">
        <v>82</v>
      </c>
      <c r="AE180" s="32" t="s">
        <v>73</v>
      </c>
      <c r="AF180" s="32" t="s">
        <v>73</v>
      </c>
      <c r="AG180" s="32" t="s">
        <v>178</v>
      </c>
      <c r="AH180" t="str">
        <f>VLOOKUP($R180,武学奇术!$A:$ZZ,25,FALSE)</f>
        <v>单体奇术</v>
      </c>
      <c r="AI180" s="21">
        <f>VLOOKUP($R180,武学奇术!$A:$ZZ,26,FALSE)</f>
        <v>0.236</v>
      </c>
      <c r="AJ180" s="22">
        <f>VLOOKUP($R180,武学奇术!$A:$ZZ,27,FALSE)*(1+IF(OR($AH180=$F$4,$AH180=$F$5),$B$22,0))</f>
        <v>46</v>
      </c>
      <c r="AK180" s="21">
        <f>VLOOKUP($R180,武学奇术!$A:$ZZ,28,FALSE)</f>
        <v>0.354</v>
      </c>
      <c r="AL180" s="22">
        <f>VLOOKUP($R180,武学奇术!$A:$ZZ,29,FALSE)*(1+IF(OR($AH180=$F$4,$AH180=$F$5),$B$22,0))</f>
        <v>0</v>
      </c>
      <c r="AM180" s="21" cm="1">
        <f t="array" ref="AM180">$G$3+IFERROR(VLOOKUP($AH180,$F$4:$G$7,2,FALSE),0)+VLOOKUP($R180,武学奇术!$A:$ZZ,2,FALSE)+SUM(_xlfn.XLOOKUP($S180:$AG180,增益!$A:$A,增益!$B:$B,0))</f>
        <v>1.203</v>
      </c>
      <c r="AN180" s="21" cm="1">
        <f t="array" ref="AN180">VLOOKUP($R180,武学奇术!$A:$ZZ,5,FALSE)+SUM(_xlfn.XLOOKUP($S180:$AG180,增益!$A:$A,增益!$E:$E,0))</f>
        <v>0</v>
      </c>
      <c r="AO180" cm="1">
        <f t="array" ref="AO180">$D$10*(1+$AN180)+VLOOKUP($R180,武学奇术!$A:$ZZ,3,FALSE)+SUM(_xlfn.XLOOKUP($S180:$AG180,增益!$A:$A,增益!$C:$C,0))-$I$2</f>
        <v>1825.28</v>
      </c>
      <c r="AP180" cm="1">
        <f t="array" ref="AP180">$E$10*(1+$AN180)+VLOOKUP($R180,武学奇术!$A:$ZZ,4,FALSE)+SUM(_xlfn.XLOOKUP($S180:$AG180,增益!$A:$A,增益!$D:$D,0))-$I$2</f>
        <v>7757.36</v>
      </c>
      <c r="AQ180" s="26" cm="1">
        <f t="array" ref="AQ180">IF($F$10-$I$3+VLOOKUP($R180,武学奇术!$A:$ZZ,6,FALSE)+SUM(_xlfn.XLOOKUP(S180:AG180,增益!$A:$A,增益!$F:$F,0))&gt;0,($F$10-$I$3+VLOOKUP($R180,武学奇术!$A:$ZZ,6,FALSE)+SUM(_xlfn.XLOOKUP(S180:AG180,增益!$A:$A,增益!$F:$F,0)))/200,($F$10-$I$3+VLOOKUP($R180,武学奇术!$A:$ZZ,6,FALSE)+SUM(_xlfn.XLOOKUP(S180:AG180,增益!$A:$A,增益!$F:$F,0)))/100)</f>
        <v>0.244</v>
      </c>
      <c r="AR180" s="26" cm="1">
        <f t="array" ref="AR180">$G$10+VLOOKUP($R180,武学奇术!$A:$ZZ,7,FALSE)+SUM(_xlfn.XLOOKUP(S180:AG180,增益!$A:$A,增益!$G:$G,0))</f>
        <v>0</v>
      </c>
      <c r="AS180" s="21" cm="1">
        <f t="array" ref="AS180">VLOOKUP($R180,武学奇术!$A:$ZZ,8,FALSE)+SUM(_xlfn.XLOOKUP(S180:AG180,增益!$A:$A,增益!$H:$H,0))</f>
        <v>0</v>
      </c>
      <c r="AT180">
        <f t="shared" si="23"/>
        <v>680.02</v>
      </c>
      <c r="AU180">
        <f t="shared" si="24"/>
        <v>1288.54</v>
      </c>
      <c r="AV180" s="26" cm="1">
        <f t="array" ref="AV180">IF($F$11-$I$4+VLOOKUP($R180,武学奇术!$A:$ZZ,9,FALSE)+SUM(_xlfn.XLOOKUP(S180:AG180,增益!$A:$A,增益!$I:$I,0))&gt;0,($F$11-$I$4+VLOOKUP($R180,武学奇术!$A:$ZZ,9,FALSE)+SUM(_xlfn.XLOOKUP(S180:AG180,增益!$A:$A,增益!$I:$I,0)))/200,($F$11-$I$4+VLOOKUP($R180,武学奇术!$A:$ZZ,9,FALSE)+SUM(_xlfn.XLOOKUP(S180:AG180,增益!$A:$A,增益!$I:$I,0)))/100)</f>
        <v>0</v>
      </c>
      <c r="AW180" s="26" cm="1">
        <f t="array" ref="AW180">$G$11+VLOOKUP($R180,武学奇术!$A:$ZZ,10,FALSE)+SUM(_xlfn.XLOOKUP(S180:AG180,增益!$A:$A,增益!$J:$J,0))</f>
        <v>0.15</v>
      </c>
      <c r="AX180">
        <f t="shared" si="25"/>
        <v>0</v>
      </c>
      <c r="AY180">
        <f t="shared" si="26"/>
        <v>0</v>
      </c>
      <c r="AZ180" s="26" cm="1">
        <f t="array" ref="AZ180">IF($F$12-$I$4+VLOOKUP($R180,武学奇术!$A:$ZZ,11,FALSE)+SUM(_xlfn.XLOOKUP(S180:AG180,增益!$A:$A,增益!$K:$K,0))&gt;0,($F$12-$I$4+VLOOKUP($R180,武学奇术!$A:$ZZ,11,FALSE)+SUM(_xlfn.XLOOKUP(S180:AG180,增益!$A:$A,增益!$K:$K,0)))/200,($F$12-$I$4+VLOOKUP($R180,武学奇术!$A:$ZZ,11,FALSE)+SUM(_xlfn.XLOOKUP(S180:AG180,增益!$A:$A,增益!$K:$K,0)))/100)</f>
        <v>-0.3</v>
      </c>
      <c r="BA180" s="26" cm="1">
        <f t="array" ref="BA180">$G$12+VLOOKUP($R180,武学奇术!$A:$ZZ,12,FALSE)+SUM(_xlfn.XLOOKUP(S180:AG180,增益!$A:$A,增益!$L:$L,0))</f>
        <v>0</v>
      </c>
      <c r="BB180">
        <f t="shared" si="27"/>
        <v>0</v>
      </c>
      <c r="BC180">
        <f t="shared" si="28"/>
        <v>0</v>
      </c>
      <c r="BD180" s="26" cm="1">
        <f t="array" ref="BD180">IF($F$13-$I$4+VLOOKUP($R180,武学奇术!$A:$ZZ,13,FALSE)+SUM(_xlfn.XLOOKUP(S180:AG180,增益!$A:$A,增益!$M:$M,0))&gt;0,($F$13-$I$4+VLOOKUP($R180,武学奇术!$A:$ZZ,13,FALSE)+SUM(_xlfn.XLOOKUP(S180:AG180,增益!$A:$A,增益!$K:$K,0)))/200,($F$13-$I$4+VLOOKUP($R180,武学奇术!$A:$ZZ,13,FALSE)+SUM(_xlfn.XLOOKUP(S180:AG180,增益!$A:$A,增益!$M:$M,0)))/100)</f>
        <v>-0.3</v>
      </c>
      <c r="BE180" s="26" cm="1">
        <f t="array" ref="BE180">$G$13+VLOOKUP($R180,武学奇术!$A:$ZZ,14,FALSE)+SUM(_xlfn.XLOOKUP(S180:AG180,增益!$A:$A,增益!$N:$N,0))</f>
        <v>0</v>
      </c>
      <c r="BF180">
        <f t="shared" si="29"/>
        <v>0</v>
      </c>
      <c r="BG180">
        <f t="shared" si="30"/>
        <v>0</v>
      </c>
      <c r="BH180" s="26" cm="1">
        <f t="array" ref="BH180">IF($F$14-$I$4+VLOOKUP($R180,武学奇术!$A:$ZZ,15,FALSE)+SUM(_xlfn.XLOOKUP(S180:AG180,增益!$A:$A,增益!$O:$O,0))&gt;0,($F$14-$I$4+VLOOKUP($R180,武学奇术!$A:$ZZ,15,FALSE)+SUM(_xlfn.XLOOKUP(S180:AG180,增益!$A:$A,增益!$O:$O,0)))/200,($F$14-$I$4+VLOOKUP($R180,武学奇术!$A:$ZZ,15,FALSE)+SUM(_xlfn.XLOOKUP(S180:AG180,增益!$A:$A,增益!$O:$O,0)))/100)</f>
        <v>-0.3</v>
      </c>
      <c r="BI180" s="26" cm="1">
        <f t="array" ref="BI180">$G$14+VLOOKUP($R180,武学奇术!$A:$ZZ,16,FALSE)+SUM(_xlfn.XLOOKUP(S180:AG180,增益!$A:$A,增益!$P:$P,0))</f>
        <v>0</v>
      </c>
      <c r="BJ180" s="21">
        <f>MIN(IF(VLOOKUP($R180,武学奇术!$A:$ZZ,23,FALSE)=1,100%,$B$8),100%)</f>
        <v>0.8229</v>
      </c>
      <c r="BK180" s="21" cm="1">
        <f t="array" ref="BK180">IF(VLOOKUP($R180,武学奇术!$A:$ZZ,23,FALSE)=1,100%,MIN(80%,$B$9+VLOOKUP($R180,武学奇术!$A:$ZZ,17,FALSE)+SUM(_xlfn.XLOOKUP(S180:AG180,增益!$A:$A,增益!$Q:$Q,0)))+$B$11+SUM(_xlfn.XLOOKUP(S180:AG180,增益!$A:$A,增益!$U:$U,0)))*IF(VLOOKUP($R180,武学奇术!$A:$ZZ,24,FALSE)=1,0,1)</f>
        <v>0.2285</v>
      </c>
      <c r="BL180" s="21" cm="1">
        <f t="array" ref="BL180">1+$B$13+VLOOKUP($R180,武学奇术!$A:$ZZ,18,FALSE)+SUM(_xlfn.XLOOKUP(S180:AG180,增益!$A:$A,增益!$R:$R,0))</f>
        <v>1.5</v>
      </c>
      <c r="BM180" s="21" cm="1">
        <f t="array" ref="BM180">IF(VLOOKUP($R180,武学奇术!$A:$ZZ,24,FALSE)=1,100%,MIN(40%,$B$10+VLOOKUP($R180,武学奇术!$A:$ZZ,19,FALSE)+SUM(_xlfn.XLOOKUP(S180:AG180,增益!$A:$A,增益!$S:$S,0)))+$B$12+SUM(_xlfn.XLOOKUP(S180:AG180,增益!$A:$A,增益!$V:$V,0)))*IF(VLOOKUP($R180,武学奇术!$A:$ZZ,23,FALSE)=1,0,1)</f>
        <v>0.4495</v>
      </c>
      <c r="BN180" s="21" cm="1">
        <f t="array" ref="BN180">1+$B$14+VLOOKUP($R180,武学奇术!$A:$ZZ,20,FALSE)+SUM(_xlfn.XLOOKUP(S180:AG180,增益!$A:$A,增益!$T:$T,0))</f>
        <v>1.602</v>
      </c>
      <c r="BO180" s="21">
        <f t="shared" si="31"/>
        <v>0.18803265</v>
      </c>
      <c r="BP180" s="21">
        <f t="shared" si="32"/>
        <v>0.2649738</v>
      </c>
      <c r="BQ180" s="21">
        <f>IF(VLOOKUP($R180,武学奇术!$A:$ZZ,22,FALSE)=1,0,(1-$BJ180))*(1-$BM180)</f>
        <v>0.09749355</v>
      </c>
      <c r="BR180" s="21" cm="1">
        <f t="array" ref="BR180">SUM(_xlfn.XLOOKUP(S180:AG180,增益!$A:$A,增益!$W:$W,0))+$I$5</f>
        <v>0.06</v>
      </c>
    </row>
    <row r="181" spans="11:70">
      <c r="K181" s="24">
        <f>$L181*VLOOKUP($R181,武学奇术!$A:$ZZ,31,FALSE)</f>
        <v>62796.4866130607</v>
      </c>
      <c r="L181" s="24">
        <f t="shared" si="22"/>
        <v>125592.973226121</v>
      </c>
      <c r="M181" s="24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BL181*$Q181*(1+IF(VLOOKUP($R181,武学奇术!$A:$ZZ,30,FALSE)="流血",$B$21,0))*(1+$BR181)</f>
        <v>111030.270131602</v>
      </c>
      <c r="N181" s="24">
        <f>(($AP181*$AI181+$AJ181)*(1+$AQ181)*(1+$AR181)+($AU181*IF($G$1="鸣金",$AK181,$AI181)+IF($G$1="鸣金",$AL181*1.5,0))*(1+$AV181)*(1+$AW181)+($AY181*IF($G$1="裂石",$AK181,$AI181)+IF($G$1="裂石",$AL181*1.5,0))*(1+$AZ181)*(1+$BA181)+($BC181*IF($G$1="牵丝",$AK181,$AI181)+IF($G$1="牵丝",$AL181*1.5,0))*(1+$BD181)*(1+$BE181)+($BG181*IF($G$1="破竹",$AK181,$AI181)+IF($G$1="破竹",$AL181*1.5,0))*(1+$BH181)*(1+$BI181))*(1+$AM181)*$BN181*$Q181*(1+IF(VLOOKUP($R181,武学奇术!$A:$ZZ,30,FALSE)="流血",$B$21,0))*(1+$BR181)</f>
        <v>181836.134553743</v>
      </c>
      <c r="O181" s="24">
        <f>((($AO181+$AP181)/2*$AI181+$AJ181)*(1+$AQ181)*(1+$AR181)+(($AT181+$AU181)/2*IF($G$1="鸣金",$AK181,$AI181)+IF($G$1="鸣金",$AL181*1.5,0))*(1+$AV181)*(1+$AW181)+(($AX181+$AY181)/2*IF($G$1="裂石",$AK181,$AI181)+IF($G$1="裂石",$AL181*1.5,0))*(1+$AZ181)*(1+$BA181)+(($BB181+$BC181)/2*IF($G$1="牵丝",$AK181,$AI181)+IF($G$1="牵丝",$AL181*1.5,0))*(1+$BD181)*(1+$BE181)+(($BF181+$BG181)/2*IF($G$1="破竹",$AK181,$AI181)+IF($G$1="破竹",$AL181*1.5,0))*(1+$BH181)*(1+$BI181))*(1+$AM181)*$Q181*(1+IF(VLOOKUP($R181,武学奇术!$A:$ZZ,30,FALSE)="流血",$B$21,0))*(1+$BR181)</f>
        <v>74020.180087735</v>
      </c>
      <c r="P181" s="24">
        <f>((($AO181*$AI181+$AJ181)*(1+$AQ181)*(1+$AR181)+($AT181*IF($G$1="鸣金",$AK181,$AI181)+IF($G$1="鸣金",$AL181*1.5,0))*(1+$AV181)*(1+$AW181)+($AX181*IF($G$1="裂石",$AK181,$AI181)+IF($G$1="裂石",$AL181*1.5,0))*(1+$AZ181)*(1+$BA181)+($BB181*IF($G$1="牵丝",$AK181,$AI181)+IF($G$1="牵丝",$AL181*1.5,0))*(1+$BD181)*(1+$BE181)+($BF181*IF($G$1="破竹",$AK181,$AI181)+IF($G$1="破竹",$AL181*1.5,0))*(1+$BH181)*(1+$BI181))*(1+$AM181))*$Q181*(1+IF(VLOOKUP($R181,武学奇术!$A:$ZZ,30,FALSE)="流血",$B$21,0))*(1+$BR181)</f>
        <v>34534.6582068417</v>
      </c>
      <c r="Q181" s="31">
        <v>17</v>
      </c>
      <c r="R181" s="32" t="s">
        <v>194</v>
      </c>
      <c r="S181" s="32" t="s">
        <v>87</v>
      </c>
      <c r="T181" s="32" t="s">
        <v>96</v>
      </c>
      <c r="U181" s="32" t="s">
        <v>97</v>
      </c>
      <c r="V181" s="32" t="s">
        <v>73</v>
      </c>
      <c r="W181" s="32" t="s">
        <v>111</v>
      </c>
      <c r="X181" s="32" t="s">
        <v>127</v>
      </c>
      <c r="Y181" s="32" t="s">
        <v>73</v>
      </c>
      <c r="Z181" s="32" t="s">
        <v>73</v>
      </c>
      <c r="AA181" s="32" t="s">
        <v>81</v>
      </c>
      <c r="AB181" s="32" t="s">
        <v>75</v>
      </c>
      <c r="AC181" s="32" t="s">
        <v>76</v>
      </c>
      <c r="AD181" s="32" t="s">
        <v>82</v>
      </c>
      <c r="AE181" s="32" t="s">
        <v>73</v>
      </c>
      <c r="AF181" s="32" t="s">
        <v>73</v>
      </c>
      <c r="AG181" s="32" t="s">
        <v>178</v>
      </c>
      <c r="AH181" t="str">
        <f>VLOOKUP($R181,武学奇术!$A:$ZZ,25,FALSE)</f>
        <v>单体奇术</v>
      </c>
      <c r="AI181" s="21">
        <f>VLOOKUP($R181,武学奇术!$A:$ZZ,26,FALSE)</f>
        <v>0.236</v>
      </c>
      <c r="AJ181" s="22">
        <f>VLOOKUP($R181,武学奇术!$A:$ZZ,27,FALSE)*(1+IF(OR($AH181=$F$4,$AH181=$F$5),$B$22,0))</f>
        <v>46</v>
      </c>
      <c r="AK181" s="21">
        <f>VLOOKUP($R181,武学奇术!$A:$ZZ,28,FALSE)</f>
        <v>0.354</v>
      </c>
      <c r="AL181" s="22">
        <f>VLOOKUP($R181,武学奇术!$A:$ZZ,29,FALSE)*(1+IF(OR($AH181=$F$4,$AH181=$F$5),$B$22,0))</f>
        <v>0</v>
      </c>
      <c r="AM181" s="21" cm="1">
        <f t="array" ref="AM181">$G$3+IFERROR(VLOOKUP($AH181,$F$4:$G$7,2,FALSE),0)+VLOOKUP($R181,武学奇术!$A:$ZZ,2,FALSE)+SUM(_xlfn.XLOOKUP($S181:$AG181,增益!$A:$A,增益!$B:$B,0))</f>
        <v>1.203</v>
      </c>
      <c r="AN181" s="21" cm="1">
        <f t="array" ref="AN181">VLOOKUP($R181,武学奇术!$A:$ZZ,5,FALSE)+SUM(_xlfn.XLOOKUP($S181:$AG181,增益!$A:$A,增益!$E:$E,0))</f>
        <v>0</v>
      </c>
      <c r="AO181" cm="1">
        <f t="array" ref="AO181">$D$10*(1+$AN181)+VLOOKUP($R181,武学奇术!$A:$ZZ,3,FALSE)+SUM(_xlfn.XLOOKUP($S181:$AG181,增益!$A:$A,增益!$C:$C,0))-$I$2</f>
        <v>1825.28</v>
      </c>
      <c r="AP181" cm="1">
        <f t="array" ref="AP181">$E$10*(1+$AN181)+VLOOKUP($R181,武学奇术!$A:$ZZ,4,FALSE)+SUM(_xlfn.XLOOKUP($S181:$AG181,增益!$A:$A,增益!$D:$D,0))-$I$2</f>
        <v>7757.36</v>
      </c>
      <c r="AQ181" s="26" cm="1">
        <f t="array" ref="AQ181">IF($F$10-$I$3+VLOOKUP($R181,武学奇术!$A:$ZZ,6,FALSE)+SUM(_xlfn.XLOOKUP(S181:AG181,增益!$A:$A,增益!$F:$F,0))&gt;0,($F$10-$I$3+VLOOKUP($R181,武学奇术!$A:$ZZ,6,FALSE)+SUM(_xlfn.XLOOKUP(S181:AG181,增益!$A:$A,增益!$F:$F,0)))/200,($F$10-$I$3+VLOOKUP($R181,武学奇术!$A:$ZZ,6,FALSE)+SUM(_xlfn.XLOOKUP(S181:AG181,增益!$A:$A,增益!$F:$F,0)))/100)</f>
        <v>0.244</v>
      </c>
      <c r="AR181" s="26" cm="1">
        <f t="array" ref="AR181">$G$10+VLOOKUP($R181,武学奇术!$A:$ZZ,7,FALSE)+SUM(_xlfn.XLOOKUP(S181:AG181,增益!$A:$A,增益!$G:$G,0))</f>
        <v>0</v>
      </c>
      <c r="AS181" s="21" cm="1">
        <f t="array" ref="AS181">VLOOKUP($R181,武学奇术!$A:$ZZ,8,FALSE)+SUM(_xlfn.XLOOKUP(S181:AG181,增益!$A:$A,增益!$H:$H,0))</f>
        <v>0</v>
      </c>
      <c r="AT181">
        <f t="shared" si="23"/>
        <v>680.02</v>
      </c>
      <c r="AU181">
        <f t="shared" si="24"/>
        <v>1288.54</v>
      </c>
      <c r="AV181" s="26" cm="1">
        <f t="array" ref="AV181">IF($F$11-$I$4+VLOOKUP($R181,武学奇术!$A:$ZZ,9,FALSE)+SUM(_xlfn.XLOOKUP(S181:AG181,增益!$A:$A,增益!$I:$I,0))&gt;0,($F$11-$I$4+VLOOKUP($R181,武学奇术!$A:$ZZ,9,FALSE)+SUM(_xlfn.XLOOKUP(S181:AG181,增益!$A:$A,增益!$I:$I,0)))/200,($F$11-$I$4+VLOOKUP($R181,武学奇术!$A:$ZZ,9,FALSE)+SUM(_xlfn.XLOOKUP(S181:AG181,增益!$A:$A,增益!$I:$I,0)))/100)</f>
        <v>0</v>
      </c>
      <c r="AW181" s="26" cm="1">
        <f t="array" ref="AW181">$G$11+VLOOKUP($R181,武学奇术!$A:$ZZ,10,FALSE)+SUM(_xlfn.XLOOKUP(S181:AG181,增益!$A:$A,增益!$J:$J,0))</f>
        <v>0.15</v>
      </c>
      <c r="AX181">
        <f t="shared" si="25"/>
        <v>0</v>
      </c>
      <c r="AY181">
        <f t="shared" si="26"/>
        <v>0</v>
      </c>
      <c r="AZ181" s="26" cm="1">
        <f t="array" ref="AZ181">IF($F$12-$I$4+VLOOKUP($R181,武学奇术!$A:$ZZ,11,FALSE)+SUM(_xlfn.XLOOKUP(S181:AG181,增益!$A:$A,增益!$K:$K,0))&gt;0,($F$12-$I$4+VLOOKUP($R181,武学奇术!$A:$ZZ,11,FALSE)+SUM(_xlfn.XLOOKUP(S181:AG181,增益!$A:$A,增益!$K:$K,0)))/200,($F$12-$I$4+VLOOKUP($R181,武学奇术!$A:$ZZ,11,FALSE)+SUM(_xlfn.XLOOKUP(S181:AG181,增益!$A:$A,增益!$K:$K,0)))/100)</f>
        <v>-0.3</v>
      </c>
      <c r="BA181" s="26" cm="1">
        <f t="array" ref="BA181">$G$12+VLOOKUP($R181,武学奇术!$A:$ZZ,12,FALSE)+SUM(_xlfn.XLOOKUP(S181:AG181,增益!$A:$A,增益!$L:$L,0))</f>
        <v>0</v>
      </c>
      <c r="BB181">
        <f t="shared" si="27"/>
        <v>0</v>
      </c>
      <c r="BC181">
        <f t="shared" si="28"/>
        <v>0</v>
      </c>
      <c r="BD181" s="26" cm="1">
        <f t="array" ref="BD181">IF($F$13-$I$4+VLOOKUP($R181,武学奇术!$A:$ZZ,13,FALSE)+SUM(_xlfn.XLOOKUP(S181:AG181,增益!$A:$A,增益!$M:$M,0))&gt;0,($F$13-$I$4+VLOOKUP($R181,武学奇术!$A:$ZZ,13,FALSE)+SUM(_xlfn.XLOOKUP(S181:AG181,增益!$A:$A,增益!$K:$K,0)))/200,($F$13-$I$4+VLOOKUP($R181,武学奇术!$A:$ZZ,13,FALSE)+SUM(_xlfn.XLOOKUP(S181:AG181,增益!$A:$A,增益!$M:$M,0)))/100)</f>
        <v>-0.3</v>
      </c>
      <c r="BE181" s="26" cm="1">
        <f t="array" ref="BE181">$G$13+VLOOKUP($R181,武学奇术!$A:$ZZ,14,FALSE)+SUM(_xlfn.XLOOKUP(S181:AG181,增益!$A:$A,增益!$N:$N,0))</f>
        <v>0</v>
      </c>
      <c r="BF181">
        <f t="shared" si="29"/>
        <v>0</v>
      </c>
      <c r="BG181">
        <f t="shared" si="30"/>
        <v>0</v>
      </c>
      <c r="BH181" s="26" cm="1">
        <f t="array" ref="BH181">IF($F$14-$I$4+VLOOKUP($R181,武学奇术!$A:$ZZ,15,FALSE)+SUM(_xlfn.XLOOKUP(S181:AG181,增益!$A:$A,增益!$O:$O,0))&gt;0,($F$14-$I$4+VLOOKUP($R181,武学奇术!$A:$ZZ,15,FALSE)+SUM(_xlfn.XLOOKUP(S181:AG181,增益!$A:$A,增益!$O:$O,0)))/200,($F$14-$I$4+VLOOKUP($R181,武学奇术!$A:$ZZ,15,FALSE)+SUM(_xlfn.XLOOKUP(S181:AG181,增益!$A:$A,增益!$O:$O,0)))/100)</f>
        <v>-0.3</v>
      </c>
      <c r="BI181" s="26" cm="1">
        <f t="array" ref="BI181">$G$14+VLOOKUP($R181,武学奇术!$A:$ZZ,16,FALSE)+SUM(_xlfn.XLOOKUP(S181:AG181,增益!$A:$A,增益!$P:$P,0))</f>
        <v>0</v>
      </c>
      <c r="BJ181" s="21">
        <f>MIN(IF(VLOOKUP($R181,武学奇术!$A:$ZZ,23,FALSE)=1,100%,$B$8),100%)</f>
        <v>0.8229</v>
      </c>
      <c r="BK181" s="21" cm="1">
        <f t="array" ref="BK181">IF(VLOOKUP($R181,武学奇术!$A:$ZZ,23,FALSE)=1,100%,MIN(80%,$B$9+VLOOKUP($R181,武学奇术!$A:$ZZ,17,FALSE)+SUM(_xlfn.XLOOKUP(S181:AG181,增益!$A:$A,增益!$Q:$Q,0)))+$B$11+SUM(_xlfn.XLOOKUP(S181:AG181,增益!$A:$A,增益!$U:$U,0)))*IF(VLOOKUP($R181,武学奇术!$A:$ZZ,24,FALSE)=1,0,1)</f>
        <v>0.2285</v>
      </c>
      <c r="BL181" s="21" cm="1">
        <f t="array" ref="BL181">1+$B$13+VLOOKUP($R181,武学奇术!$A:$ZZ,18,FALSE)+SUM(_xlfn.XLOOKUP(S181:AG181,增益!$A:$A,增益!$R:$R,0))</f>
        <v>1.5</v>
      </c>
      <c r="BM181" s="21" cm="1">
        <f t="array" ref="BM181">IF(VLOOKUP($R181,武学奇术!$A:$ZZ,24,FALSE)=1,100%,MIN(40%,$B$10+VLOOKUP($R181,武学奇术!$A:$ZZ,19,FALSE)+SUM(_xlfn.XLOOKUP(S181:AG181,增益!$A:$A,增益!$S:$S,0)))+$B$12+SUM(_xlfn.XLOOKUP(S181:AG181,增益!$A:$A,增益!$V:$V,0)))*IF(VLOOKUP($R181,武学奇术!$A:$ZZ,23,FALSE)=1,0,1)</f>
        <v>0.4495</v>
      </c>
      <c r="BN181" s="21" cm="1">
        <f t="array" ref="BN181">1+$B$14+VLOOKUP($R181,武学奇术!$A:$ZZ,20,FALSE)+SUM(_xlfn.XLOOKUP(S181:AG181,增益!$A:$A,增益!$T:$T,0))</f>
        <v>1.602</v>
      </c>
      <c r="BO181" s="21">
        <f t="shared" si="31"/>
        <v>0.18803265</v>
      </c>
      <c r="BP181" s="21">
        <f t="shared" si="32"/>
        <v>0.2649738</v>
      </c>
      <c r="BQ181" s="21">
        <f>IF(VLOOKUP($R181,武学奇术!$A:$ZZ,22,FALSE)=1,0,(1-$BJ181))*(1-$BM181)</f>
        <v>0.09749355</v>
      </c>
      <c r="BR181" s="21" cm="1">
        <f t="array" ref="BR181">SUM(_xlfn.XLOOKUP(S181:AG181,增益!$A:$A,增益!$W:$W,0))+$I$5</f>
        <v>0.06</v>
      </c>
    </row>
    <row r="182" spans="11:70">
      <c r="K182" s="24">
        <f>$L182*VLOOKUP($R182,武学奇术!$A:$ZZ,31,FALSE)</f>
        <v>14717.6403449468</v>
      </c>
      <c r="L182" s="24">
        <f t="shared" si="22"/>
        <v>29435.2806898937</v>
      </c>
      <c r="M182" s="24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BL182*$Q182*(1+IF(VLOOKUP($R182,武学奇术!$A:$ZZ,30,FALSE)="流血",$B$21,0))*(1+$BR182)</f>
        <v>25997.2531464977</v>
      </c>
      <c r="N182" s="24">
        <f>(($AP182*$AI182+$AJ182)*(1+$AQ182)*(1+$AR182)+($AU182*IF($G$1="鸣金",$AK182,$AI182)+IF($G$1="鸣金",$AL182*1.5,0))*(1+$AV182)*(1+$AW182)+($AY182*IF($G$1="裂石",$AK182,$AI182)+IF($G$1="裂石",$AL182*1.5,0))*(1+$AZ182)*(1+$BA182)+($BC182*IF($G$1="牵丝",$AK182,$AI182)+IF($G$1="牵丝",$AL182*1.5,0))*(1+$BD182)*(1+$BE182)+($BG182*IF($G$1="破竹",$AK182,$AI182)+IF($G$1="破竹",$AL182*1.5,0))*(1+$BH182)*(1+$BI182))*(1+$AM182)*$BN182*$Q182*(1+IF(VLOOKUP($R182,武学奇术!$A:$ZZ,30,FALSE)="流血",$B$21,0))*(1+$BR182)</f>
        <v>42648.7854317986</v>
      </c>
      <c r="O182" s="24">
        <f>((($AO182+$AP182)/2*$AI182+$AJ182)*(1+$AQ182)*(1+$AR182)+(($AT182+$AU182)/2*IF($G$1="鸣金",$AK182,$AI182)+IF($G$1="鸣金",$AL182*1.5,0))*(1+$AV182)*(1+$AW182)+(($AX182+$AY182)/2*IF($G$1="裂石",$AK182,$AI182)+IF($G$1="裂石",$AL182*1.5,0))*(1+$AZ182)*(1+$BA182)+(($BB182+$BC182)/2*IF($G$1="牵丝",$AK182,$AI182)+IF($G$1="牵丝",$AL182*1.5,0))*(1+$BD182)*(1+$BE182)+(($BF182+$BG182)/2*IF($G$1="破竹",$AK182,$AI182)+IF($G$1="破竹",$AL182*1.5,0))*(1+$BH182)*(1+$BI182))*(1+$AM182)*$Q182*(1+IF(VLOOKUP($R182,武学奇术!$A:$ZZ,30,FALSE)="流血",$B$21,0))*(1+$BR182)</f>
        <v>17331.5020976651</v>
      </c>
      <c r="P182" s="24">
        <f>((($AO182*$AI182+$AJ182)*(1+$AQ182)*(1+$AR182)+($AT182*IF($G$1="鸣金",$AK182,$AI182)+IF($G$1="鸣金",$AL182*1.5,0))*(1+$AV182)*(1+$AW182)+($AX182*IF($G$1="裂石",$AK182,$AI182)+IF($G$1="裂石",$AL182*1.5,0))*(1+$AZ182)*(1+$BA182)+($BB182*IF($G$1="牵丝",$AK182,$AI182)+IF($G$1="牵丝",$AL182*1.5,0))*(1+$BD182)*(1+$BE182)+($BF182*IF($G$1="破竹",$AK182,$AI182)+IF($G$1="破竹",$AL182*1.5,0))*(1+$BH182)*(1+$BI182))*(1+$AM182))*$Q182*(1+IF(VLOOKUP($R182,武学奇术!$A:$ZZ,30,FALSE)="流血",$B$21,0))*(1+$BR182)</f>
        <v>8040.7910668667</v>
      </c>
      <c r="Q182" s="31">
        <v>4</v>
      </c>
      <c r="R182" s="32" t="s">
        <v>194</v>
      </c>
      <c r="S182" s="32" t="s">
        <v>87</v>
      </c>
      <c r="T182" s="32" t="s">
        <v>96</v>
      </c>
      <c r="U182" s="32" t="s">
        <v>97</v>
      </c>
      <c r="V182" s="32" t="s">
        <v>73</v>
      </c>
      <c r="W182" s="32" t="s">
        <v>73</v>
      </c>
      <c r="X182" s="32" t="s">
        <v>127</v>
      </c>
      <c r="Y182" s="32" t="s">
        <v>73</v>
      </c>
      <c r="Z182" s="32" t="s">
        <v>73</v>
      </c>
      <c r="AA182" s="32" t="s">
        <v>73</v>
      </c>
      <c r="AB182" s="32" t="s">
        <v>75</v>
      </c>
      <c r="AC182" s="32" t="s">
        <v>76</v>
      </c>
      <c r="AD182" s="32" t="s">
        <v>82</v>
      </c>
      <c r="AE182" s="32" t="s">
        <v>73</v>
      </c>
      <c r="AF182" s="32" t="s">
        <v>73</v>
      </c>
      <c r="AG182" s="32" t="s">
        <v>178</v>
      </c>
      <c r="AH182" t="str">
        <f>VLOOKUP($R182,武学奇术!$A:$ZZ,25,FALSE)</f>
        <v>单体奇术</v>
      </c>
      <c r="AI182" s="21">
        <f>VLOOKUP($R182,武学奇术!$A:$ZZ,26,FALSE)</f>
        <v>0.236</v>
      </c>
      <c r="AJ182" s="22">
        <f>VLOOKUP($R182,武学奇术!$A:$ZZ,27,FALSE)*(1+IF(OR($AH182=$F$4,$AH182=$F$5),$B$22,0))</f>
        <v>46</v>
      </c>
      <c r="AK182" s="21">
        <f>VLOOKUP($R182,武学奇术!$A:$ZZ,28,FALSE)</f>
        <v>0.354</v>
      </c>
      <c r="AL182" s="22">
        <f>VLOOKUP($R182,武学奇术!$A:$ZZ,29,FALSE)*(1+IF(OR($AH182=$F$4,$AH182=$F$5),$B$22,0))</f>
        <v>0</v>
      </c>
      <c r="AM182" s="21" cm="1">
        <f t="array" ref="AM182">$G$3+IFERROR(VLOOKUP($AH182,$F$4:$G$7,2,FALSE),0)+VLOOKUP($R182,武学奇术!$A:$ZZ,2,FALSE)+SUM(_xlfn.XLOOKUP($S182:$AG182,增益!$A:$A,增益!$B:$B,0))</f>
        <v>1.203</v>
      </c>
      <c r="AN182" s="21" cm="1">
        <f t="array" ref="AN182">VLOOKUP($R182,武学奇术!$A:$ZZ,5,FALSE)+SUM(_xlfn.XLOOKUP($S182:$AG182,增益!$A:$A,增益!$E:$E,0))</f>
        <v>0</v>
      </c>
      <c r="AO182" cm="1">
        <f t="array" ref="AO182">$D$10*(1+$AN182)+VLOOKUP($R182,武学奇术!$A:$ZZ,3,FALSE)+SUM(_xlfn.XLOOKUP($S182:$AG182,增益!$A:$A,增益!$C:$C,0))-$I$2</f>
        <v>1794.28</v>
      </c>
      <c r="AP182" cm="1">
        <f t="array" ref="AP182">$E$10*(1+$AN182)+VLOOKUP($R182,武学奇术!$A:$ZZ,4,FALSE)+SUM(_xlfn.XLOOKUP($S182:$AG182,增益!$A:$A,增益!$D:$D,0))-$I$2</f>
        <v>7726.36</v>
      </c>
      <c r="AQ182" s="26" cm="1">
        <f t="array" ref="AQ182">IF($F$10-$I$3+VLOOKUP($R182,武学奇术!$A:$ZZ,6,FALSE)+SUM(_xlfn.XLOOKUP(S182:AG182,增益!$A:$A,增益!$F:$F,0))&gt;0,($F$10-$I$3+VLOOKUP($R182,武学奇术!$A:$ZZ,6,FALSE)+SUM(_xlfn.XLOOKUP(S182:AG182,增益!$A:$A,增益!$F:$F,0)))/200,($F$10-$I$3+VLOOKUP($R182,武学奇术!$A:$ZZ,6,FALSE)+SUM(_xlfn.XLOOKUP(S182:AG182,增益!$A:$A,增益!$F:$F,0)))/100)</f>
        <v>0.244</v>
      </c>
      <c r="AR182" s="26" cm="1">
        <f t="array" ref="AR182">$G$10+VLOOKUP($R182,武学奇术!$A:$ZZ,7,FALSE)+SUM(_xlfn.XLOOKUP(S182:AG182,增益!$A:$A,增益!$G:$G,0))</f>
        <v>0</v>
      </c>
      <c r="AS182" s="21" cm="1">
        <f t="array" ref="AS182">VLOOKUP($R182,武学奇术!$A:$ZZ,8,FALSE)+SUM(_xlfn.XLOOKUP(S182:AG182,增益!$A:$A,增益!$H:$H,0))</f>
        <v>0</v>
      </c>
      <c r="AT182">
        <f t="shared" si="23"/>
        <v>680.02</v>
      </c>
      <c r="AU182">
        <f t="shared" si="24"/>
        <v>1288.54</v>
      </c>
      <c r="AV182" s="26" cm="1">
        <f t="array" ref="AV182">IF($F$11-$I$4+VLOOKUP($R182,武学奇术!$A:$ZZ,9,FALSE)+SUM(_xlfn.XLOOKUP(S182:AG182,增益!$A:$A,增益!$I:$I,0))&gt;0,($F$11-$I$4+VLOOKUP($R182,武学奇术!$A:$ZZ,9,FALSE)+SUM(_xlfn.XLOOKUP(S182:AG182,增益!$A:$A,增益!$I:$I,0)))/200,($F$11-$I$4+VLOOKUP($R182,武学奇术!$A:$ZZ,9,FALSE)+SUM(_xlfn.XLOOKUP(S182:AG182,增益!$A:$A,增益!$I:$I,0)))/100)</f>
        <v>0</v>
      </c>
      <c r="AW182" s="26" cm="1">
        <f t="array" ref="AW182">$G$11+VLOOKUP($R182,武学奇术!$A:$ZZ,10,FALSE)+SUM(_xlfn.XLOOKUP(S182:AG182,增益!$A:$A,增益!$J:$J,0))</f>
        <v>0.15</v>
      </c>
      <c r="AX182">
        <f t="shared" si="25"/>
        <v>0</v>
      </c>
      <c r="AY182">
        <f t="shared" si="26"/>
        <v>0</v>
      </c>
      <c r="AZ182" s="26" cm="1">
        <f t="array" ref="AZ182">IF($F$12-$I$4+VLOOKUP($R182,武学奇术!$A:$ZZ,11,FALSE)+SUM(_xlfn.XLOOKUP(S182:AG182,增益!$A:$A,增益!$K:$K,0))&gt;0,($F$12-$I$4+VLOOKUP($R182,武学奇术!$A:$ZZ,11,FALSE)+SUM(_xlfn.XLOOKUP(S182:AG182,增益!$A:$A,增益!$K:$K,0)))/200,($F$12-$I$4+VLOOKUP($R182,武学奇术!$A:$ZZ,11,FALSE)+SUM(_xlfn.XLOOKUP(S182:AG182,增益!$A:$A,增益!$K:$K,0)))/100)</f>
        <v>-0.3</v>
      </c>
      <c r="BA182" s="26" cm="1">
        <f t="array" ref="BA182">$G$12+VLOOKUP($R182,武学奇术!$A:$ZZ,12,FALSE)+SUM(_xlfn.XLOOKUP(S182:AG182,增益!$A:$A,增益!$L:$L,0))</f>
        <v>0</v>
      </c>
      <c r="BB182">
        <f t="shared" si="27"/>
        <v>0</v>
      </c>
      <c r="BC182">
        <f t="shared" si="28"/>
        <v>0</v>
      </c>
      <c r="BD182" s="26" cm="1">
        <f t="array" ref="BD182">IF($F$13-$I$4+VLOOKUP($R182,武学奇术!$A:$ZZ,13,FALSE)+SUM(_xlfn.XLOOKUP(S182:AG182,增益!$A:$A,增益!$M:$M,0))&gt;0,($F$13-$I$4+VLOOKUP($R182,武学奇术!$A:$ZZ,13,FALSE)+SUM(_xlfn.XLOOKUP(S182:AG182,增益!$A:$A,增益!$K:$K,0)))/200,($F$13-$I$4+VLOOKUP($R182,武学奇术!$A:$ZZ,13,FALSE)+SUM(_xlfn.XLOOKUP(S182:AG182,增益!$A:$A,增益!$M:$M,0)))/100)</f>
        <v>-0.3</v>
      </c>
      <c r="BE182" s="26" cm="1">
        <f t="array" ref="BE182">$G$13+VLOOKUP($R182,武学奇术!$A:$ZZ,14,FALSE)+SUM(_xlfn.XLOOKUP(S182:AG182,增益!$A:$A,增益!$N:$N,0))</f>
        <v>0</v>
      </c>
      <c r="BF182">
        <f t="shared" si="29"/>
        <v>0</v>
      </c>
      <c r="BG182">
        <f t="shared" si="30"/>
        <v>0</v>
      </c>
      <c r="BH182" s="26" cm="1">
        <f t="array" ref="BH182">IF($F$14-$I$4+VLOOKUP($R182,武学奇术!$A:$ZZ,15,FALSE)+SUM(_xlfn.XLOOKUP(S182:AG182,增益!$A:$A,增益!$O:$O,0))&gt;0,($F$14-$I$4+VLOOKUP($R182,武学奇术!$A:$ZZ,15,FALSE)+SUM(_xlfn.XLOOKUP(S182:AG182,增益!$A:$A,增益!$O:$O,0)))/200,($F$14-$I$4+VLOOKUP($R182,武学奇术!$A:$ZZ,15,FALSE)+SUM(_xlfn.XLOOKUP(S182:AG182,增益!$A:$A,增益!$O:$O,0)))/100)</f>
        <v>-0.3</v>
      </c>
      <c r="BI182" s="26" cm="1">
        <f t="array" ref="BI182">$G$14+VLOOKUP($R182,武学奇术!$A:$ZZ,16,FALSE)+SUM(_xlfn.XLOOKUP(S182:AG182,增益!$A:$A,增益!$P:$P,0))</f>
        <v>0</v>
      </c>
      <c r="BJ182" s="21">
        <f>MIN(IF(VLOOKUP($R182,武学奇术!$A:$ZZ,23,FALSE)=1,100%,$B$8),100%)</f>
        <v>0.8229</v>
      </c>
      <c r="BK182" s="21" cm="1">
        <f t="array" ref="BK182">IF(VLOOKUP($R182,武学奇术!$A:$ZZ,23,FALSE)=1,100%,MIN(80%,$B$9+VLOOKUP($R182,武学奇术!$A:$ZZ,17,FALSE)+SUM(_xlfn.XLOOKUP(S182:AG182,增益!$A:$A,增益!$Q:$Q,0)))+$B$11+SUM(_xlfn.XLOOKUP(S182:AG182,增益!$A:$A,增益!$U:$U,0)))*IF(VLOOKUP($R182,武学奇术!$A:$ZZ,24,FALSE)=1,0,1)</f>
        <v>0.2285</v>
      </c>
      <c r="BL182" s="21" cm="1">
        <f t="array" ref="BL182">1+$B$13+VLOOKUP($R182,武学奇术!$A:$ZZ,18,FALSE)+SUM(_xlfn.XLOOKUP(S182:AG182,增益!$A:$A,增益!$R:$R,0))</f>
        <v>1.5</v>
      </c>
      <c r="BM182" s="21" cm="1">
        <f t="array" ref="BM182">IF(VLOOKUP($R182,武学奇术!$A:$ZZ,24,FALSE)=1,100%,MIN(40%,$B$10+VLOOKUP($R182,武学奇术!$A:$ZZ,19,FALSE)+SUM(_xlfn.XLOOKUP(S182:AG182,增益!$A:$A,增益!$S:$S,0)))+$B$12+SUM(_xlfn.XLOOKUP(S182:AG182,增益!$A:$A,增益!$V:$V,0)))*IF(VLOOKUP($R182,武学奇术!$A:$ZZ,23,FALSE)=1,0,1)</f>
        <v>0.4495</v>
      </c>
      <c r="BN182" s="21" cm="1">
        <f t="array" ref="BN182">1+$B$14+VLOOKUP($R182,武学奇术!$A:$ZZ,20,FALSE)+SUM(_xlfn.XLOOKUP(S182:AG182,增益!$A:$A,增益!$T:$T,0))</f>
        <v>1.602</v>
      </c>
      <c r="BO182" s="21">
        <f t="shared" si="31"/>
        <v>0.18803265</v>
      </c>
      <c r="BP182" s="21">
        <f t="shared" si="32"/>
        <v>0.2649738</v>
      </c>
      <c r="BQ182" s="21">
        <f>IF(VLOOKUP($R182,武学奇术!$A:$ZZ,22,FALSE)=1,0,(1-$BJ182))*(1-$BM182)</f>
        <v>0.09749355</v>
      </c>
      <c r="BR182" s="21" cm="1">
        <f t="array" ref="BR182">SUM(_xlfn.XLOOKUP(S182:AG182,增益!$A:$A,增益!$W:$W,0))+$I$5</f>
        <v>0.06</v>
      </c>
    </row>
    <row r="183" spans="11:70">
      <c r="K183" s="24">
        <f>$L183*VLOOKUP($R183,武学奇术!$A:$ZZ,31,FALSE)</f>
        <v>14775.6439089555</v>
      </c>
      <c r="L183" s="24">
        <f t="shared" si="22"/>
        <v>29551.2878179109</v>
      </c>
      <c r="M183" s="24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BL183*$Q183*(1+IF(VLOOKUP($R183,武学奇术!$A:$ZZ,30,FALSE)="流血",$B$21,0))*(1+$BR183)</f>
        <v>26124.76944273</v>
      </c>
      <c r="N183" s="24">
        <f>(($AP183*$AI183+$AJ183)*(1+$AQ183)*(1+$AR183)+($AU183*IF($G$1="鸣金",$AK183,$AI183)+IF($G$1="鸣金",$AL183*1.5,0))*(1+$AV183)*(1+$AW183)+($AY183*IF($G$1="裂石",$AK183,$AI183)+IF($G$1="裂石",$AL183*1.5,0))*(1+$AZ183)*(1+$BA183)+($BC183*IF($G$1="牵丝",$AK183,$AI183)+IF($G$1="牵丝",$AL183*1.5,0))*(1+$BD183)*(1+$BE183)+($BG183*IF($G$1="破竹",$AK183,$AI183)+IF($G$1="破竹",$AL183*1.5,0))*(1+$BH183)*(1+$BI183))*(1+$AM183)*$BN183*$Q183*(1+IF(VLOOKUP($R183,武学奇术!$A:$ZZ,30,FALSE)="流血",$B$21,0))*(1+$BR183)</f>
        <v>42784.9728361747</v>
      </c>
      <c r="O183" s="24">
        <f>((($AO183+$AP183)/2*$AI183+$AJ183)*(1+$AQ183)*(1+$AR183)+(($AT183+$AU183)/2*IF($G$1="鸣金",$AK183,$AI183)+IF($G$1="鸣金",$AL183*1.5,0))*(1+$AV183)*(1+$AW183)+(($AX183+$AY183)/2*IF($G$1="裂石",$AK183,$AI183)+IF($G$1="裂石",$AL183*1.5,0))*(1+$AZ183)*(1+$BA183)+(($BB183+$BC183)/2*IF($G$1="牵丝",$AK183,$AI183)+IF($G$1="牵丝",$AL183*1.5,0))*(1+$BD183)*(1+$BE183)+(($BF183+$BG183)/2*IF($G$1="破竹",$AK183,$AI183)+IF($G$1="破竹",$AL183*1.5,0))*(1+$BH183)*(1+$BI183))*(1+$AM183)*$Q183*(1+IF(VLOOKUP($R183,武学奇术!$A:$ZZ,30,FALSE)="流血",$B$21,0))*(1+$BR183)</f>
        <v>17416.51296182</v>
      </c>
      <c r="P183" s="24">
        <f>((($AO183*$AI183+$AJ183)*(1+$AQ183)*(1+$AR183)+($AT183*IF($G$1="鸣金",$AK183,$AI183)+IF($G$1="鸣金",$AL183*1.5,0))*(1+$AV183)*(1+$AW183)+($AX183*IF($G$1="裂石",$AK183,$AI183)+IF($G$1="裂石",$AL183*1.5,0))*(1+$AZ183)*(1+$BA183)+($BB183*IF($G$1="牵丝",$AK183,$AI183)+IF($G$1="牵丝",$AL183*1.5,0))*(1+$BD183)*(1+$BE183)+($BF183*IF($G$1="破竹",$AK183,$AI183)+IF($G$1="破竹",$AL183*1.5,0))*(1+$BH183)*(1+$BI183))*(1+$AM183))*$Q183*(1+IF(VLOOKUP($R183,武学奇术!$A:$ZZ,30,FALSE)="流血",$B$21,0))*(1+$BR183)</f>
        <v>8125.80193102158</v>
      </c>
      <c r="Q183" s="31">
        <v>4</v>
      </c>
      <c r="R183" s="32" t="s">
        <v>194</v>
      </c>
      <c r="S183" s="32" t="s">
        <v>87</v>
      </c>
      <c r="T183" s="32" t="s">
        <v>96</v>
      </c>
      <c r="U183" s="32" t="s">
        <v>97</v>
      </c>
      <c r="V183" s="32" t="s">
        <v>73</v>
      </c>
      <c r="W183" s="32" t="s">
        <v>111</v>
      </c>
      <c r="X183" s="32" t="s">
        <v>127</v>
      </c>
      <c r="Y183" s="32" t="s">
        <v>73</v>
      </c>
      <c r="Z183" s="32" t="s">
        <v>73</v>
      </c>
      <c r="AA183" s="32" t="s">
        <v>73</v>
      </c>
      <c r="AB183" s="32" t="s">
        <v>75</v>
      </c>
      <c r="AC183" s="32" t="s">
        <v>76</v>
      </c>
      <c r="AD183" s="32" t="s">
        <v>82</v>
      </c>
      <c r="AE183" s="32" t="s">
        <v>73</v>
      </c>
      <c r="AF183" s="32" t="s">
        <v>73</v>
      </c>
      <c r="AG183" s="32" t="s">
        <v>178</v>
      </c>
      <c r="AH183" t="str">
        <f>VLOOKUP($R183,武学奇术!$A:$ZZ,25,FALSE)</f>
        <v>单体奇术</v>
      </c>
      <c r="AI183" s="21">
        <f>VLOOKUP($R183,武学奇术!$A:$ZZ,26,FALSE)</f>
        <v>0.236</v>
      </c>
      <c r="AJ183" s="22">
        <f>VLOOKUP($R183,武学奇术!$A:$ZZ,27,FALSE)*(1+IF(OR($AH183=$F$4,$AH183=$F$5),$B$22,0))</f>
        <v>46</v>
      </c>
      <c r="AK183" s="21">
        <f>VLOOKUP($R183,武学奇术!$A:$ZZ,28,FALSE)</f>
        <v>0.354</v>
      </c>
      <c r="AL183" s="22">
        <f>VLOOKUP($R183,武学奇术!$A:$ZZ,29,FALSE)*(1+IF(OR($AH183=$F$4,$AH183=$F$5),$B$22,0))</f>
        <v>0</v>
      </c>
      <c r="AM183" s="21" cm="1">
        <f t="array" ref="AM183">$G$3+IFERROR(VLOOKUP($AH183,$F$4:$G$7,2,FALSE),0)+VLOOKUP($R183,武学奇术!$A:$ZZ,2,FALSE)+SUM(_xlfn.XLOOKUP($S183:$AG183,增益!$A:$A,增益!$B:$B,0))</f>
        <v>1.203</v>
      </c>
      <c r="AN183" s="21" cm="1">
        <f t="array" ref="AN183">VLOOKUP($R183,武学奇术!$A:$ZZ,5,FALSE)+SUM(_xlfn.XLOOKUP($S183:$AG183,增益!$A:$A,增益!$E:$E,0))</f>
        <v>0</v>
      </c>
      <c r="AO183" cm="1">
        <f t="array" ref="AO183">$D$10*(1+$AN183)+VLOOKUP($R183,武学奇术!$A:$ZZ,3,FALSE)+SUM(_xlfn.XLOOKUP($S183:$AG183,增益!$A:$A,增益!$C:$C,0))-$I$2</f>
        <v>1825.28</v>
      </c>
      <c r="AP183" cm="1">
        <f t="array" ref="AP183">$E$10*(1+$AN183)+VLOOKUP($R183,武学奇术!$A:$ZZ,4,FALSE)+SUM(_xlfn.XLOOKUP($S183:$AG183,增益!$A:$A,增益!$D:$D,0))-$I$2</f>
        <v>7757.36</v>
      </c>
      <c r="AQ183" s="26" cm="1">
        <f t="array" ref="AQ183">IF($F$10-$I$3+VLOOKUP($R183,武学奇术!$A:$ZZ,6,FALSE)+SUM(_xlfn.XLOOKUP(S183:AG183,增益!$A:$A,增益!$F:$F,0))&gt;0,($F$10-$I$3+VLOOKUP($R183,武学奇术!$A:$ZZ,6,FALSE)+SUM(_xlfn.XLOOKUP(S183:AG183,增益!$A:$A,增益!$F:$F,0)))/200,($F$10-$I$3+VLOOKUP($R183,武学奇术!$A:$ZZ,6,FALSE)+SUM(_xlfn.XLOOKUP(S183:AG183,增益!$A:$A,增益!$F:$F,0)))/100)</f>
        <v>0.244</v>
      </c>
      <c r="AR183" s="26" cm="1">
        <f t="array" ref="AR183">$G$10+VLOOKUP($R183,武学奇术!$A:$ZZ,7,FALSE)+SUM(_xlfn.XLOOKUP(S183:AG183,增益!$A:$A,增益!$G:$G,0))</f>
        <v>0</v>
      </c>
      <c r="AS183" s="21" cm="1">
        <f t="array" ref="AS183">VLOOKUP($R183,武学奇术!$A:$ZZ,8,FALSE)+SUM(_xlfn.XLOOKUP(S183:AG183,增益!$A:$A,增益!$H:$H,0))</f>
        <v>0</v>
      </c>
      <c r="AT183">
        <f t="shared" si="23"/>
        <v>680.02</v>
      </c>
      <c r="AU183">
        <f t="shared" si="24"/>
        <v>1288.54</v>
      </c>
      <c r="AV183" s="26" cm="1">
        <f t="array" ref="AV183">IF($F$11-$I$4+VLOOKUP($R183,武学奇术!$A:$ZZ,9,FALSE)+SUM(_xlfn.XLOOKUP(S183:AG183,增益!$A:$A,增益!$I:$I,0))&gt;0,($F$11-$I$4+VLOOKUP($R183,武学奇术!$A:$ZZ,9,FALSE)+SUM(_xlfn.XLOOKUP(S183:AG183,增益!$A:$A,增益!$I:$I,0)))/200,($F$11-$I$4+VLOOKUP($R183,武学奇术!$A:$ZZ,9,FALSE)+SUM(_xlfn.XLOOKUP(S183:AG183,增益!$A:$A,增益!$I:$I,0)))/100)</f>
        <v>0</v>
      </c>
      <c r="AW183" s="26" cm="1">
        <f t="array" ref="AW183">$G$11+VLOOKUP($R183,武学奇术!$A:$ZZ,10,FALSE)+SUM(_xlfn.XLOOKUP(S183:AG183,增益!$A:$A,增益!$J:$J,0))</f>
        <v>0.15</v>
      </c>
      <c r="AX183">
        <f t="shared" si="25"/>
        <v>0</v>
      </c>
      <c r="AY183">
        <f t="shared" si="26"/>
        <v>0</v>
      </c>
      <c r="AZ183" s="26" cm="1">
        <f t="array" ref="AZ183">IF($F$12-$I$4+VLOOKUP($R183,武学奇术!$A:$ZZ,11,FALSE)+SUM(_xlfn.XLOOKUP(S183:AG183,增益!$A:$A,增益!$K:$K,0))&gt;0,($F$12-$I$4+VLOOKUP($R183,武学奇术!$A:$ZZ,11,FALSE)+SUM(_xlfn.XLOOKUP(S183:AG183,增益!$A:$A,增益!$K:$K,0)))/200,($F$12-$I$4+VLOOKUP($R183,武学奇术!$A:$ZZ,11,FALSE)+SUM(_xlfn.XLOOKUP(S183:AG183,增益!$A:$A,增益!$K:$K,0)))/100)</f>
        <v>-0.3</v>
      </c>
      <c r="BA183" s="26" cm="1">
        <f t="array" ref="BA183">$G$12+VLOOKUP($R183,武学奇术!$A:$ZZ,12,FALSE)+SUM(_xlfn.XLOOKUP(S183:AG183,增益!$A:$A,增益!$L:$L,0))</f>
        <v>0</v>
      </c>
      <c r="BB183">
        <f t="shared" si="27"/>
        <v>0</v>
      </c>
      <c r="BC183">
        <f t="shared" si="28"/>
        <v>0</v>
      </c>
      <c r="BD183" s="26" cm="1">
        <f t="array" ref="BD183">IF($F$13-$I$4+VLOOKUP($R183,武学奇术!$A:$ZZ,13,FALSE)+SUM(_xlfn.XLOOKUP(S183:AG183,增益!$A:$A,增益!$M:$M,0))&gt;0,($F$13-$I$4+VLOOKUP($R183,武学奇术!$A:$ZZ,13,FALSE)+SUM(_xlfn.XLOOKUP(S183:AG183,增益!$A:$A,增益!$K:$K,0)))/200,($F$13-$I$4+VLOOKUP($R183,武学奇术!$A:$ZZ,13,FALSE)+SUM(_xlfn.XLOOKUP(S183:AG183,增益!$A:$A,增益!$M:$M,0)))/100)</f>
        <v>-0.3</v>
      </c>
      <c r="BE183" s="26" cm="1">
        <f t="array" ref="BE183">$G$13+VLOOKUP($R183,武学奇术!$A:$ZZ,14,FALSE)+SUM(_xlfn.XLOOKUP(S183:AG183,增益!$A:$A,增益!$N:$N,0))</f>
        <v>0</v>
      </c>
      <c r="BF183">
        <f t="shared" si="29"/>
        <v>0</v>
      </c>
      <c r="BG183">
        <f t="shared" si="30"/>
        <v>0</v>
      </c>
      <c r="BH183" s="26" cm="1">
        <f t="array" ref="BH183">IF($F$14-$I$4+VLOOKUP($R183,武学奇术!$A:$ZZ,15,FALSE)+SUM(_xlfn.XLOOKUP(S183:AG183,增益!$A:$A,增益!$O:$O,0))&gt;0,($F$14-$I$4+VLOOKUP($R183,武学奇术!$A:$ZZ,15,FALSE)+SUM(_xlfn.XLOOKUP(S183:AG183,增益!$A:$A,增益!$O:$O,0)))/200,($F$14-$I$4+VLOOKUP($R183,武学奇术!$A:$ZZ,15,FALSE)+SUM(_xlfn.XLOOKUP(S183:AG183,增益!$A:$A,增益!$O:$O,0)))/100)</f>
        <v>-0.3</v>
      </c>
      <c r="BI183" s="26" cm="1">
        <f t="array" ref="BI183">$G$14+VLOOKUP($R183,武学奇术!$A:$ZZ,16,FALSE)+SUM(_xlfn.XLOOKUP(S183:AG183,增益!$A:$A,增益!$P:$P,0))</f>
        <v>0</v>
      </c>
      <c r="BJ183" s="21">
        <f>MIN(IF(VLOOKUP($R183,武学奇术!$A:$ZZ,23,FALSE)=1,100%,$B$8),100%)</f>
        <v>0.8229</v>
      </c>
      <c r="BK183" s="21" cm="1">
        <f t="array" ref="BK183">IF(VLOOKUP($R183,武学奇术!$A:$ZZ,23,FALSE)=1,100%,MIN(80%,$B$9+VLOOKUP($R183,武学奇术!$A:$ZZ,17,FALSE)+SUM(_xlfn.XLOOKUP(S183:AG183,增益!$A:$A,增益!$Q:$Q,0)))+$B$11+SUM(_xlfn.XLOOKUP(S183:AG183,增益!$A:$A,增益!$U:$U,0)))*IF(VLOOKUP($R183,武学奇术!$A:$ZZ,24,FALSE)=1,0,1)</f>
        <v>0.2285</v>
      </c>
      <c r="BL183" s="21" cm="1">
        <f t="array" ref="BL183">1+$B$13+VLOOKUP($R183,武学奇术!$A:$ZZ,18,FALSE)+SUM(_xlfn.XLOOKUP(S183:AG183,增益!$A:$A,增益!$R:$R,0))</f>
        <v>1.5</v>
      </c>
      <c r="BM183" s="21" cm="1">
        <f t="array" ref="BM183">IF(VLOOKUP($R183,武学奇术!$A:$ZZ,24,FALSE)=1,100%,MIN(40%,$B$10+VLOOKUP($R183,武学奇术!$A:$ZZ,19,FALSE)+SUM(_xlfn.XLOOKUP(S183:AG183,增益!$A:$A,增益!$S:$S,0)))+$B$12+SUM(_xlfn.XLOOKUP(S183:AG183,增益!$A:$A,增益!$V:$V,0)))*IF(VLOOKUP($R183,武学奇术!$A:$ZZ,23,FALSE)=1,0,1)</f>
        <v>0.4495</v>
      </c>
      <c r="BN183" s="21" cm="1">
        <f t="array" ref="BN183">1+$B$14+VLOOKUP($R183,武学奇术!$A:$ZZ,20,FALSE)+SUM(_xlfn.XLOOKUP(S183:AG183,增益!$A:$A,增益!$T:$T,0))</f>
        <v>1.602</v>
      </c>
      <c r="BO183" s="21">
        <f t="shared" si="31"/>
        <v>0.18803265</v>
      </c>
      <c r="BP183" s="21">
        <f t="shared" si="32"/>
        <v>0.2649738</v>
      </c>
      <c r="BQ183" s="21">
        <f>IF(VLOOKUP($R183,武学奇术!$A:$ZZ,22,FALSE)=1,0,(1-$BJ183))*(1-$BM183)</f>
        <v>0.09749355</v>
      </c>
      <c r="BR183" s="21" cm="1">
        <f t="array" ref="BR183">SUM(_xlfn.XLOOKUP(S183:AG183,增益!$A:$A,增益!$W:$W,0))+$I$5</f>
        <v>0.06</v>
      </c>
    </row>
    <row r="184" spans="11:70">
      <c r="K184" s="24">
        <f>$L184*VLOOKUP($R184,武学奇术!$A:$ZZ,31,FALSE)</f>
        <v>7387.82195447773</v>
      </c>
      <c r="L184" s="24">
        <f t="shared" si="22"/>
        <v>14775.6439089555</v>
      </c>
      <c r="M184" s="24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BL184*$Q184*(1+IF(VLOOKUP($R184,武学奇术!$A:$ZZ,30,FALSE)="流血",$B$21,0))*(1+$BR184)</f>
        <v>13062.384721365</v>
      </c>
      <c r="N184" s="24">
        <f>(($AP184*$AI184+$AJ184)*(1+$AQ184)*(1+$AR184)+($AU184*IF($G$1="鸣金",$AK184,$AI184)+IF($G$1="鸣金",$AL184*1.5,0))*(1+$AV184)*(1+$AW184)+($AY184*IF($G$1="裂石",$AK184,$AI184)+IF($G$1="裂石",$AL184*1.5,0))*(1+$AZ184)*(1+$BA184)+($BC184*IF($G$1="牵丝",$AK184,$AI184)+IF($G$1="牵丝",$AL184*1.5,0))*(1+$BD184)*(1+$BE184)+($BG184*IF($G$1="破竹",$AK184,$AI184)+IF($G$1="破竹",$AL184*1.5,0))*(1+$BH184)*(1+$BI184))*(1+$AM184)*$BN184*$Q184*(1+IF(VLOOKUP($R184,武学奇术!$A:$ZZ,30,FALSE)="流血",$B$21,0))*(1+$BR184)</f>
        <v>21392.4864180874</v>
      </c>
      <c r="O184" s="24">
        <f>((($AO184+$AP184)/2*$AI184+$AJ184)*(1+$AQ184)*(1+$AR184)+(($AT184+$AU184)/2*IF($G$1="鸣金",$AK184,$AI184)+IF($G$1="鸣金",$AL184*1.5,0))*(1+$AV184)*(1+$AW184)+(($AX184+$AY184)/2*IF($G$1="裂石",$AK184,$AI184)+IF($G$1="裂石",$AL184*1.5,0))*(1+$AZ184)*(1+$BA184)+(($BB184+$BC184)/2*IF($G$1="牵丝",$AK184,$AI184)+IF($G$1="牵丝",$AL184*1.5,0))*(1+$BD184)*(1+$BE184)+(($BF184+$BG184)/2*IF($G$1="破竹",$AK184,$AI184)+IF($G$1="破竹",$AL184*1.5,0))*(1+$BH184)*(1+$BI184))*(1+$AM184)*$Q184*(1+IF(VLOOKUP($R184,武学奇术!$A:$ZZ,30,FALSE)="流血",$B$21,0))*(1+$BR184)</f>
        <v>8708.25648091</v>
      </c>
      <c r="P184" s="24">
        <f>((($AO184*$AI184+$AJ184)*(1+$AQ184)*(1+$AR184)+($AT184*IF($G$1="鸣金",$AK184,$AI184)+IF($G$1="鸣金",$AL184*1.5,0))*(1+$AV184)*(1+$AW184)+($AX184*IF($G$1="裂石",$AK184,$AI184)+IF($G$1="裂石",$AL184*1.5,0))*(1+$AZ184)*(1+$BA184)+($BB184*IF($G$1="牵丝",$AK184,$AI184)+IF($G$1="牵丝",$AL184*1.5,0))*(1+$BD184)*(1+$BE184)+($BF184*IF($G$1="破竹",$AK184,$AI184)+IF($G$1="破竹",$AL184*1.5,0))*(1+$BH184)*(1+$BI184))*(1+$AM184))*$Q184*(1+IF(VLOOKUP($R184,武学奇术!$A:$ZZ,30,FALSE)="流血",$B$21,0))*(1+$BR184)</f>
        <v>4062.90096551079</v>
      </c>
      <c r="Q184" s="31">
        <v>2</v>
      </c>
      <c r="R184" s="32" t="s">
        <v>194</v>
      </c>
      <c r="S184" s="32" t="s">
        <v>87</v>
      </c>
      <c r="T184" s="32" t="s">
        <v>96</v>
      </c>
      <c r="U184" s="32" t="s">
        <v>97</v>
      </c>
      <c r="V184" s="32" t="s">
        <v>73</v>
      </c>
      <c r="W184" s="32" t="s">
        <v>111</v>
      </c>
      <c r="X184" s="32" t="s">
        <v>127</v>
      </c>
      <c r="Y184" s="32" t="s">
        <v>73</v>
      </c>
      <c r="Z184" s="32" t="s">
        <v>73</v>
      </c>
      <c r="AA184" s="32" t="s">
        <v>73</v>
      </c>
      <c r="AB184" s="32" t="s">
        <v>75</v>
      </c>
      <c r="AC184" s="32" t="s">
        <v>89</v>
      </c>
      <c r="AD184" s="32" t="s">
        <v>82</v>
      </c>
      <c r="AE184" s="32" t="s">
        <v>73</v>
      </c>
      <c r="AF184" s="32" t="s">
        <v>73</v>
      </c>
      <c r="AG184" s="32" t="s">
        <v>178</v>
      </c>
      <c r="AH184" t="str">
        <f>VLOOKUP($R184,武学奇术!$A:$ZZ,25,FALSE)</f>
        <v>单体奇术</v>
      </c>
      <c r="AI184" s="21">
        <f>VLOOKUP($R184,武学奇术!$A:$ZZ,26,FALSE)</f>
        <v>0.236</v>
      </c>
      <c r="AJ184" s="22">
        <f>VLOOKUP($R184,武学奇术!$A:$ZZ,27,FALSE)*(1+IF(OR($AH184=$F$4,$AH184=$F$5),$B$22,0))</f>
        <v>46</v>
      </c>
      <c r="AK184" s="21">
        <f>VLOOKUP($R184,武学奇术!$A:$ZZ,28,FALSE)</f>
        <v>0.354</v>
      </c>
      <c r="AL184" s="22">
        <f>VLOOKUP($R184,武学奇术!$A:$ZZ,29,FALSE)*(1+IF(OR($AH184=$F$4,$AH184=$F$5),$B$22,0))</f>
        <v>0</v>
      </c>
      <c r="AM184" s="21" cm="1">
        <f t="array" ref="AM184">$G$3+IFERROR(VLOOKUP($AH184,$F$4:$G$7,2,FALSE),0)+VLOOKUP($R184,武学奇术!$A:$ZZ,2,FALSE)+SUM(_xlfn.XLOOKUP($S184:$AG184,增益!$A:$A,增益!$B:$B,0))</f>
        <v>1.203</v>
      </c>
      <c r="AN184" s="21" cm="1">
        <f t="array" ref="AN184">VLOOKUP($R184,武学奇术!$A:$ZZ,5,FALSE)+SUM(_xlfn.XLOOKUP($S184:$AG184,增益!$A:$A,增益!$E:$E,0))</f>
        <v>0</v>
      </c>
      <c r="AO184" cm="1">
        <f t="array" ref="AO184">$D$10*(1+$AN184)+VLOOKUP($R184,武学奇术!$A:$ZZ,3,FALSE)+SUM(_xlfn.XLOOKUP($S184:$AG184,增益!$A:$A,增益!$C:$C,0))-$I$2</f>
        <v>1825.28</v>
      </c>
      <c r="AP184" cm="1">
        <f t="array" ref="AP184">$E$10*(1+$AN184)+VLOOKUP($R184,武学奇术!$A:$ZZ,4,FALSE)+SUM(_xlfn.XLOOKUP($S184:$AG184,增益!$A:$A,增益!$D:$D,0))-$I$2</f>
        <v>7757.36</v>
      </c>
      <c r="AQ184" s="26" cm="1">
        <f t="array" ref="AQ184">IF($F$10-$I$3+VLOOKUP($R184,武学奇术!$A:$ZZ,6,FALSE)+SUM(_xlfn.XLOOKUP(S184:AG184,增益!$A:$A,增益!$F:$F,0))&gt;0,($F$10-$I$3+VLOOKUP($R184,武学奇术!$A:$ZZ,6,FALSE)+SUM(_xlfn.XLOOKUP(S184:AG184,增益!$A:$A,增益!$F:$F,0)))/200,($F$10-$I$3+VLOOKUP($R184,武学奇术!$A:$ZZ,6,FALSE)+SUM(_xlfn.XLOOKUP(S184:AG184,增益!$A:$A,增益!$F:$F,0)))/100)</f>
        <v>0.244</v>
      </c>
      <c r="AR184" s="26" cm="1">
        <f t="array" ref="AR184">$G$10+VLOOKUP($R184,武学奇术!$A:$ZZ,7,FALSE)+SUM(_xlfn.XLOOKUP(S184:AG184,增益!$A:$A,增益!$G:$G,0))</f>
        <v>0</v>
      </c>
      <c r="AS184" s="21" cm="1">
        <f t="array" ref="AS184">VLOOKUP($R184,武学奇术!$A:$ZZ,8,FALSE)+SUM(_xlfn.XLOOKUP(S184:AG184,增益!$A:$A,增益!$H:$H,0))</f>
        <v>0</v>
      </c>
      <c r="AT184">
        <f t="shared" si="23"/>
        <v>680.02</v>
      </c>
      <c r="AU184">
        <f t="shared" si="24"/>
        <v>1288.54</v>
      </c>
      <c r="AV184" s="26" cm="1">
        <f t="array" ref="AV184">IF($F$11-$I$4+VLOOKUP($R184,武学奇术!$A:$ZZ,9,FALSE)+SUM(_xlfn.XLOOKUP(S184:AG184,增益!$A:$A,增益!$I:$I,0))&gt;0,($F$11-$I$4+VLOOKUP($R184,武学奇术!$A:$ZZ,9,FALSE)+SUM(_xlfn.XLOOKUP(S184:AG184,增益!$A:$A,增益!$I:$I,0)))/200,($F$11-$I$4+VLOOKUP($R184,武学奇术!$A:$ZZ,9,FALSE)+SUM(_xlfn.XLOOKUP(S184:AG184,增益!$A:$A,增益!$I:$I,0)))/100)</f>
        <v>0</v>
      </c>
      <c r="AW184" s="26" cm="1">
        <f t="array" ref="AW184">$G$11+VLOOKUP($R184,武学奇术!$A:$ZZ,10,FALSE)+SUM(_xlfn.XLOOKUP(S184:AG184,增益!$A:$A,增益!$J:$J,0))</f>
        <v>0.15</v>
      </c>
      <c r="AX184">
        <f t="shared" si="25"/>
        <v>0</v>
      </c>
      <c r="AY184">
        <f t="shared" si="26"/>
        <v>0</v>
      </c>
      <c r="AZ184" s="26" cm="1">
        <f t="array" ref="AZ184">IF($F$12-$I$4+VLOOKUP($R184,武学奇术!$A:$ZZ,11,FALSE)+SUM(_xlfn.XLOOKUP(S184:AG184,增益!$A:$A,增益!$K:$K,0))&gt;0,($F$12-$I$4+VLOOKUP($R184,武学奇术!$A:$ZZ,11,FALSE)+SUM(_xlfn.XLOOKUP(S184:AG184,增益!$A:$A,增益!$K:$K,0)))/200,($F$12-$I$4+VLOOKUP($R184,武学奇术!$A:$ZZ,11,FALSE)+SUM(_xlfn.XLOOKUP(S184:AG184,增益!$A:$A,增益!$K:$K,0)))/100)</f>
        <v>-0.3</v>
      </c>
      <c r="BA184" s="26" cm="1">
        <f t="array" ref="BA184">$G$12+VLOOKUP($R184,武学奇术!$A:$ZZ,12,FALSE)+SUM(_xlfn.XLOOKUP(S184:AG184,增益!$A:$A,增益!$L:$L,0))</f>
        <v>0</v>
      </c>
      <c r="BB184">
        <f t="shared" si="27"/>
        <v>0</v>
      </c>
      <c r="BC184">
        <f t="shared" si="28"/>
        <v>0</v>
      </c>
      <c r="BD184" s="26" cm="1">
        <f t="array" ref="BD184">IF($F$13-$I$4+VLOOKUP($R184,武学奇术!$A:$ZZ,13,FALSE)+SUM(_xlfn.XLOOKUP(S184:AG184,增益!$A:$A,增益!$M:$M,0))&gt;0,($F$13-$I$4+VLOOKUP($R184,武学奇术!$A:$ZZ,13,FALSE)+SUM(_xlfn.XLOOKUP(S184:AG184,增益!$A:$A,增益!$K:$K,0)))/200,($F$13-$I$4+VLOOKUP($R184,武学奇术!$A:$ZZ,13,FALSE)+SUM(_xlfn.XLOOKUP(S184:AG184,增益!$A:$A,增益!$M:$M,0)))/100)</f>
        <v>-0.3</v>
      </c>
      <c r="BE184" s="26" cm="1">
        <f t="array" ref="BE184">$G$13+VLOOKUP($R184,武学奇术!$A:$ZZ,14,FALSE)+SUM(_xlfn.XLOOKUP(S184:AG184,增益!$A:$A,增益!$N:$N,0))</f>
        <v>0</v>
      </c>
      <c r="BF184">
        <f t="shared" si="29"/>
        <v>0</v>
      </c>
      <c r="BG184">
        <f t="shared" si="30"/>
        <v>0</v>
      </c>
      <c r="BH184" s="26" cm="1">
        <f t="array" ref="BH184">IF($F$14-$I$4+VLOOKUP($R184,武学奇术!$A:$ZZ,15,FALSE)+SUM(_xlfn.XLOOKUP(S184:AG184,增益!$A:$A,增益!$O:$O,0))&gt;0,($F$14-$I$4+VLOOKUP($R184,武学奇术!$A:$ZZ,15,FALSE)+SUM(_xlfn.XLOOKUP(S184:AG184,增益!$A:$A,增益!$O:$O,0)))/200,($F$14-$I$4+VLOOKUP($R184,武学奇术!$A:$ZZ,15,FALSE)+SUM(_xlfn.XLOOKUP(S184:AG184,增益!$A:$A,增益!$O:$O,0)))/100)</f>
        <v>-0.3</v>
      </c>
      <c r="BI184" s="26" cm="1">
        <f t="array" ref="BI184">$G$14+VLOOKUP($R184,武学奇术!$A:$ZZ,16,FALSE)+SUM(_xlfn.XLOOKUP(S184:AG184,增益!$A:$A,增益!$P:$P,0))</f>
        <v>0</v>
      </c>
      <c r="BJ184" s="21">
        <f>MIN(IF(VLOOKUP($R184,武学奇术!$A:$ZZ,23,FALSE)=1,100%,$B$8),100%)</f>
        <v>0.8229</v>
      </c>
      <c r="BK184" s="21" cm="1">
        <f t="array" ref="BK184">IF(VLOOKUP($R184,武学奇术!$A:$ZZ,23,FALSE)=1,100%,MIN(80%,$B$9+VLOOKUP($R184,武学奇术!$A:$ZZ,17,FALSE)+SUM(_xlfn.XLOOKUP(S184:AG184,增益!$A:$A,增益!$Q:$Q,0)))+$B$11+SUM(_xlfn.XLOOKUP(S184:AG184,增益!$A:$A,增益!$U:$U,0)))*IF(VLOOKUP($R184,武学奇术!$A:$ZZ,24,FALSE)=1,0,1)</f>
        <v>0.2285</v>
      </c>
      <c r="BL184" s="21" cm="1">
        <f t="array" ref="BL184">1+$B$13+VLOOKUP($R184,武学奇术!$A:$ZZ,18,FALSE)+SUM(_xlfn.XLOOKUP(S184:AG184,增益!$A:$A,增益!$R:$R,0))</f>
        <v>1.5</v>
      </c>
      <c r="BM184" s="21" cm="1">
        <f t="array" ref="BM184">IF(VLOOKUP($R184,武学奇术!$A:$ZZ,24,FALSE)=1,100%,MIN(40%,$B$10+VLOOKUP($R184,武学奇术!$A:$ZZ,19,FALSE)+SUM(_xlfn.XLOOKUP(S184:AG184,增益!$A:$A,增益!$S:$S,0)))+$B$12+SUM(_xlfn.XLOOKUP(S184:AG184,增益!$A:$A,增益!$V:$V,0)))*IF(VLOOKUP($R184,武学奇术!$A:$ZZ,23,FALSE)=1,0,1)</f>
        <v>0.4495</v>
      </c>
      <c r="BN184" s="21" cm="1">
        <f t="array" ref="BN184">1+$B$14+VLOOKUP($R184,武学奇术!$A:$ZZ,20,FALSE)+SUM(_xlfn.XLOOKUP(S184:AG184,增益!$A:$A,增益!$T:$T,0))</f>
        <v>1.602</v>
      </c>
      <c r="BO184" s="21">
        <f t="shared" si="31"/>
        <v>0.18803265</v>
      </c>
      <c r="BP184" s="21">
        <f t="shared" si="32"/>
        <v>0.2649738</v>
      </c>
      <c r="BQ184" s="21">
        <f>IF(VLOOKUP($R184,武学奇术!$A:$ZZ,22,FALSE)=1,0,(1-$BJ184))*(1-$BM184)</f>
        <v>0.09749355</v>
      </c>
      <c r="BR184" s="21" cm="1">
        <f t="array" ref="BR184">SUM(_xlfn.XLOOKUP(S184:AG184,增益!$A:$A,增益!$W:$W,0))+$I$5</f>
        <v>0.06</v>
      </c>
    </row>
    <row r="185" spans="11:70">
      <c r="K185" s="24">
        <f>$L185*VLOOKUP($R185,武学奇术!$A:$ZZ,31,FALSE)</f>
        <v>40963.3432473652</v>
      </c>
      <c r="L185" s="24">
        <f t="shared" si="22"/>
        <v>81926.6864947303</v>
      </c>
      <c r="M185" s="24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BL185*$Q185*(1+IF(VLOOKUP($R185,武学奇术!$A:$ZZ,30,FALSE)="流血",$B$21,0))*(1+$BR185)</f>
        <v>72427.1581350311</v>
      </c>
      <c r="N185" s="24">
        <f>(($AP185*$AI185+$AJ185)*(1+$AQ185)*(1+$AR185)+($AU185*IF($G$1="鸣金",$AK185,$AI185)+IF($G$1="鸣金",$AL185*1.5,0))*(1+$AV185)*(1+$AW185)+($AY185*IF($G$1="裂石",$AK185,$AI185)+IF($G$1="裂石",$AL185*1.5,0))*(1+$AZ185)*(1+$BA185)+($BC185*IF($G$1="牵丝",$AK185,$AI185)+IF($G$1="牵丝",$AL185*1.5,0))*(1+$BD185)*(1+$BE185)+($BG185*IF($G$1="破竹",$AK185,$AI185)+IF($G$1="破竹",$AL185*1.5,0))*(1+$BH185)*(1+$BI185))*(1+$AM185)*$BN185*$Q185*(1+IF(VLOOKUP($R185,武学奇术!$A:$ZZ,30,FALSE)="流血",$B$21,0))*(1+$BR185)</f>
        <v>118615.170947316</v>
      </c>
      <c r="O185" s="24">
        <f>((($AO185+$AP185)/2*$AI185+$AJ185)*(1+$AQ185)*(1+$AR185)+(($AT185+$AU185)/2*IF($G$1="鸣金",$AK185,$AI185)+IF($G$1="鸣金",$AL185*1.5,0))*(1+$AV185)*(1+$AW185)+(($AX185+$AY185)/2*IF($G$1="裂石",$AK185,$AI185)+IF($G$1="裂石",$AL185*1.5,0))*(1+$AZ185)*(1+$BA185)+(($BB185+$BC185)/2*IF($G$1="牵丝",$AK185,$AI185)+IF($G$1="牵丝",$AL185*1.5,0))*(1+$BD185)*(1+$BE185)+(($BF185+$BG185)/2*IF($G$1="破竹",$AK185,$AI185)+IF($G$1="破竹",$AL185*1.5,0))*(1+$BH185)*(1+$BI185))*(1+$AM185)*$Q185*(1+IF(VLOOKUP($R185,武学奇术!$A:$ZZ,30,FALSE)="流血",$B$21,0))*(1+$BR185)</f>
        <v>48284.7720900207</v>
      </c>
      <c r="P185" s="24">
        <f>((($AO185*$AI185+$AJ185)*(1+$AQ185)*(1+$AR185)+($AT185*IF($G$1="鸣金",$AK185,$AI185)+IF($G$1="鸣金",$AL185*1.5,0))*(1+$AV185)*(1+$AW185)+($AX185*IF($G$1="裂石",$AK185,$AI185)+IF($G$1="裂石",$AL185*1.5,0))*(1+$AZ185)*(1+$BA185)+($BB185*IF($G$1="牵丝",$AK185,$AI185)+IF($G$1="牵丝",$AL185*1.5,0))*(1+$BD185)*(1+$BE185)+($BF185*IF($G$1="破竹",$AK185,$AI185)+IF($G$1="破竹",$AL185*1.5,0))*(1+$BH185)*(1+$BI185))*(1+$AM185))*$Q185*(1+IF(VLOOKUP($R185,武学奇术!$A:$ZZ,30,FALSE)="流血",$B$21,0))*(1+$BR185)</f>
        <v>22527.6147497568</v>
      </c>
      <c r="Q185" s="31">
        <v>10</v>
      </c>
      <c r="R185" s="32" t="s">
        <v>194</v>
      </c>
      <c r="S185" s="32" t="s">
        <v>87</v>
      </c>
      <c r="T185" s="32" t="s">
        <v>96</v>
      </c>
      <c r="U185" s="32" t="s">
        <v>97</v>
      </c>
      <c r="V185" s="32" t="s">
        <v>73</v>
      </c>
      <c r="W185" s="32" t="s">
        <v>111</v>
      </c>
      <c r="X185" s="32" t="s">
        <v>127</v>
      </c>
      <c r="Y185" s="32" t="s">
        <v>73</v>
      </c>
      <c r="Z185" s="32" t="s">
        <v>73</v>
      </c>
      <c r="AA185" s="32" t="s">
        <v>81</v>
      </c>
      <c r="AB185" s="32" t="s">
        <v>75</v>
      </c>
      <c r="AC185" s="32" t="s">
        <v>89</v>
      </c>
      <c r="AD185" s="32" t="s">
        <v>82</v>
      </c>
      <c r="AE185" s="32" t="s">
        <v>90</v>
      </c>
      <c r="AF185" s="32" t="s">
        <v>73</v>
      </c>
      <c r="AG185" s="32" t="s">
        <v>178</v>
      </c>
      <c r="AH185" t="str">
        <f>VLOOKUP($R185,武学奇术!$A:$ZZ,25,FALSE)</f>
        <v>单体奇术</v>
      </c>
      <c r="AI185" s="21">
        <f>VLOOKUP($R185,武学奇术!$A:$ZZ,26,FALSE)</f>
        <v>0.236</v>
      </c>
      <c r="AJ185" s="22">
        <f>VLOOKUP($R185,武学奇术!$A:$ZZ,27,FALSE)*(1+IF(OR($AH185=$F$4,$AH185=$F$5),$B$22,0))</f>
        <v>46</v>
      </c>
      <c r="AK185" s="21">
        <f>VLOOKUP($R185,武学奇术!$A:$ZZ,28,FALSE)</f>
        <v>0.354</v>
      </c>
      <c r="AL185" s="22">
        <f>VLOOKUP($R185,武学奇术!$A:$ZZ,29,FALSE)*(1+IF(OR($AH185=$F$4,$AH185=$F$5),$B$22,0))</f>
        <v>0</v>
      </c>
      <c r="AM185" s="21" cm="1">
        <f t="array" ref="AM185">$G$3+IFERROR(VLOOKUP($AH185,$F$4:$G$7,2,FALSE),0)+VLOOKUP($R185,武学奇术!$A:$ZZ,2,FALSE)+SUM(_xlfn.XLOOKUP($S185:$AG185,增益!$A:$A,增益!$B:$B,0))</f>
        <v>1.443</v>
      </c>
      <c r="AN185" s="21" cm="1">
        <f t="array" ref="AN185">VLOOKUP($R185,武学奇术!$A:$ZZ,5,FALSE)+SUM(_xlfn.XLOOKUP($S185:$AG185,增益!$A:$A,增益!$E:$E,0))</f>
        <v>0</v>
      </c>
      <c r="AO185" cm="1">
        <f t="array" ref="AO185">$D$10*(1+$AN185)+VLOOKUP($R185,武学奇术!$A:$ZZ,3,FALSE)+SUM(_xlfn.XLOOKUP($S185:$AG185,增益!$A:$A,增益!$C:$C,0))-$I$2</f>
        <v>1825.28</v>
      </c>
      <c r="AP185" cm="1">
        <f t="array" ref="AP185">$E$10*(1+$AN185)+VLOOKUP($R185,武学奇术!$A:$ZZ,4,FALSE)+SUM(_xlfn.XLOOKUP($S185:$AG185,增益!$A:$A,增益!$D:$D,0))-$I$2</f>
        <v>7757.36</v>
      </c>
      <c r="AQ185" s="26" cm="1">
        <f t="array" ref="AQ185">IF($F$10-$I$3+VLOOKUP($R185,武学奇术!$A:$ZZ,6,FALSE)+SUM(_xlfn.XLOOKUP(S185:AG185,增益!$A:$A,增益!$F:$F,0))&gt;0,($F$10-$I$3+VLOOKUP($R185,武学奇术!$A:$ZZ,6,FALSE)+SUM(_xlfn.XLOOKUP(S185:AG185,增益!$A:$A,增益!$F:$F,0)))/200,($F$10-$I$3+VLOOKUP($R185,武学奇术!$A:$ZZ,6,FALSE)+SUM(_xlfn.XLOOKUP(S185:AG185,增益!$A:$A,增益!$F:$F,0)))/100)</f>
        <v>0.244</v>
      </c>
      <c r="AR185" s="26" cm="1">
        <f t="array" ref="AR185">$G$10+VLOOKUP($R185,武学奇术!$A:$ZZ,7,FALSE)+SUM(_xlfn.XLOOKUP(S185:AG185,增益!$A:$A,增益!$G:$G,0))</f>
        <v>0</v>
      </c>
      <c r="AS185" s="21" cm="1">
        <f t="array" ref="AS185">VLOOKUP($R185,武学奇术!$A:$ZZ,8,FALSE)+SUM(_xlfn.XLOOKUP(S185:AG185,增益!$A:$A,增益!$H:$H,0))</f>
        <v>0</v>
      </c>
      <c r="AT185">
        <f t="shared" si="23"/>
        <v>680.02</v>
      </c>
      <c r="AU185">
        <f t="shared" si="24"/>
        <v>1288.54</v>
      </c>
      <c r="AV185" s="26" cm="1">
        <f t="array" ref="AV185">IF($F$11-$I$4+VLOOKUP($R185,武学奇术!$A:$ZZ,9,FALSE)+SUM(_xlfn.XLOOKUP(S185:AG185,增益!$A:$A,增益!$I:$I,0))&gt;0,($F$11-$I$4+VLOOKUP($R185,武学奇术!$A:$ZZ,9,FALSE)+SUM(_xlfn.XLOOKUP(S185:AG185,增益!$A:$A,增益!$I:$I,0)))/200,($F$11-$I$4+VLOOKUP($R185,武学奇术!$A:$ZZ,9,FALSE)+SUM(_xlfn.XLOOKUP(S185:AG185,增益!$A:$A,增益!$I:$I,0)))/100)</f>
        <v>0</v>
      </c>
      <c r="AW185" s="26" cm="1">
        <f t="array" ref="AW185">$G$11+VLOOKUP($R185,武学奇术!$A:$ZZ,10,FALSE)+SUM(_xlfn.XLOOKUP(S185:AG185,增益!$A:$A,增益!$J:$J,0))</f>
        <v>0.15</v>
      </c>
      <c r="AX185">
        <f t="shared" si="25"/>
        <v>0</v>
      </c>
      <c r="AY185">
        <f t="shared" si="26"/>
        <v>0</v>
      </c>
      <c r="AZ185" s="26" cm="1">
        <f t="array" ref="AZ185">IF($F$12-$I$4+VLOOKUP($R185,武学奇术!$A:$ZZ,11,FALSE)+SUM(_xlfn.XLOOKUP(S185:AG185,增益!$A:$A,增益!$K:$K,0))&gt;0,($F$12-$I$4+VLOOKUP($R185,武学奇术!$A:$ZZ,11,FALSE)+SUM(_xlfn.XLOOKUP(S185:AG185,增益!$A:$A,增益!$K:$K,0)))/200,($F$12-$I$4+VLOOKUP($R185,武学奇术!$A:$ZZ,11,FALSE)+SUM(_xlfn.XLOOKUP(S185:AG185,增益!$A:$A,增益!$K:$K,0)))/100)</f>
        <v>-0.3</v>
      </c>
      <c r="BA185" s="26" cm="1">
        <f t="array" ref="BA185">$G$12+VLOOKUP($R185,武学奇术!$A:$ZZ,12,FALSE)+SUM(_xlfn.XLOOKUP(S185:AG185,增益!$A:$A,增益!$L:$L,0))</f>
        <v>0</v>
      </c>
      <c r="BB185">
        <f t="shared" si="27"/>
        <v>0</v>
      </c>
      <c r="BC185">
        <f t="shared" si="28"/>
        <v>0</v>
      </c>
      <c r="BD185" s="26" cm="1">
        <f t="array" ref="BD185">IF($F$13-$I$4+VLOOKUP($R185,武学奇术!$A:$ZZ,13,FALSE)+SUM(_xlfn.XLOOKUP(S185:AG185,增益!$A:$A,增益!$M:$M,0))&gt;0,($F$13-$I$4+VLOOKUP($R185,武学奇术!$A:$ZZ,13,FALSE)+SUM(_xlfn.XLOOKUP(S185:AG185,增益!$A:$A,增益!$K:$K,0)))/200,($F$13-$I$4+VLOOKUP($R185,武学奇术!$A:$ZZ,13,FALSE)+SUM(_xlfn.XLOOKUP(S185:AG185,增益!$A:$A,增益!$M:$M,0)))/100)</f>
        <v>-0.3</v>
      </c>
      <c r="BE185" s="26" cm="1">
        <f t="array" ref="BE185">$G$13+VLOOKUP($R185,武学奇术!$A:$ZZ,14,FALSE)+SUM(_xlfn.XLOOKUP(S185:AG185,增益!$A:$A,增益!$N:$N,0))</f>
        <v>0</v>
      </c>
      <c r="BF185">
        <f t="shared" si="29"/>
        <v>0</v>
      </c>
      <c r="BG185">
        <f t="shared" si="30"/>
        <v>0</v>
      </c>
      <c r="BH185" s="26" cm="1">
        <f t="array" ref="BH185">IF($F$14-$I$4+VLOOKUP($R185,武学奇术!$A:$ZZ,15,FALSE)+SUM(_xlfn.XLOOKUP(S185:AG185,增益!$A:$A,增益!$O:$O,0))&gt;0,($F$14-$I$4+VLOOKUP($R185,武学奇术!$A:$ZZ,15,FALSE)+SUM(_xlfn.XLOOKUP(S185:AG185,增益!$A:$A,增益!$O:$O,0)))/200,($F$14-$I$4+VLOOKUP($R185,武学奇术!$A:$ZZ,15,FALSE)+SUM(_xlfn.XLOOKUP(S185:AG185,增益!$A:$A,增益!$O:$O,0)))/100)</f>
        <v>-0.3</v>
      </c>
      <c r="BI185" s="26" cm="1">
        <f t="array" ref="BI185">$G$14+VLOOKUP($R185,武学奇术!$A:$ZZ,16,FALSE)+SUM(_xlfn.XLOOKUP(S185:AG185,增益!$A:$A,增益!$P:$P,0))</f>
        <v>0</v>
      </c>
      <c r="BJ185" s="21">
        <f>MIN(IF(VLOOKUP($R185,武学奇术!$A:$ZZ,23,FALSE)=1,100%,$B$8),100%)</f>
        <v>0.8229</v>
      </c>
      <c r="BK185" s="21" cm="1">
        <f t="array" ref="BK185">IF(VLOOKUP($R185,武学奇术!$A:$ZZ,23,FALSE)=1,100%,MIN(80%,$B$9+VLOOKUP($R185,武学奇术!$A:$ZZ,17,FALSE)+SUM(_xlfn.XLOOKUP(S185:AG185,增益!$A:$A,增益!$Q:$Q,0)))+$B$11+SUM(_xlfn.XLOOKUP(S185:AG185,增益!$A:$A,增益!$U:$U,0)))*IF(VLOOKUP($R185,武学奇术!$A:$ZZ,24,FALSE)=1,0,1)</f>
        <v>0.2285</v>
      </c>
      <c r="BL185" s="21" cm="1">
        <f t="array" ref="BL185">1+$B$13+VLOOKUP($R185,武学奇术!$A:$ZZ,18,FALSE)+SUM(_xlfn.XLOOKUP(S185:AG185,增益!$A:$A,增益!$R:$R,0))</f>
        <v>1.5</v>
      </c>
      <c r="BM185" s="21" cm="1">
        <f t="array" ref="BM185">IF(VLOOKUP($R185,武学奇术!$A:$ZZ,24,FALSE)=1,100%,MIN(40%,$B$10+VLOOKUP($R185,武学奇术!$A:$ZZ,19,FALSE)+SUM(_xlfn.XLOOKUP(S185:AG185,增益!$A:$A,增益!$S:$S,0)))+$B$12+SUM(_xlfn.XLOOKUP(S185:AG185,增益!$A:$A,增益!$V:$V,0)))*IF(VLOOKUP($R185,武学奇术!$A:$ZZ,23,FALSE)=1,0,1)</f>
        <v>0.4495</v>
      </c>
      <c r="BN185" s="21" cm="1">
        <f t="array" ref="BN185">1+$B$14+VLOOKUP($R185,武学奇术!$A:$ZZ,20,FALSE)+SUM(_xlfn.XLOOKUP(S185:AG185,增益!$A:$A,增益!$T:$T,0))</f>
        <v>1.602</v>
      </c>
      <c r="BO185" s="21">
        <f t="shared" si="31"/>
        <v>0.18803265</v>
      </c>
      <c r="BP185" s="21">
        <f t="shared" si="32"/>
        <v>0.2649738</v>
      </c>
      <c r="BQ185" s="21">
        <f>IF(VLOOKUP($R185,武学奇术!$A:$ZZ,22,FALSE)=1,0,(1-$BJ185))*(1-$BM185)</f>
        <v>0.09749355</v>
      </c>
      <c r="BR185" s="21" cm="1">
        <f t="array" ref="BR185">SUM(_xlfn.XLOOKUP(S185:AG185,增益!$A:$A,增益!$W:$W,0))+$I$5</f>
        <v>0.06</v>
      </c>
    </row>
    <row r="186" spans="11:70">
      <c r="K186" s="24">
        <f>$L186*VLOOKUP($R186,武学奇术!$A:$ZZ,31,FALSE)</f>
        <v>4574.52842044619</v>
      </c>
      <c r="L186" s="24">
        <f t="shared" si="22"/>
        <v>9149.05684089238</v>
      </c>
      <c r="M186" s="24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BL186*$Q186*(1+IF(VLOOKUP($R186,武学奇术!$A:$ZZ,30,FALSE)="流血",$B$21,0))*(1+$BR186)</f>
        <v>8088.20928751124</v>
      </c>
      <c r="N186" s="24">
        <f>(($AP186*$AI186+$AJ186)*(1+$AQ186)*(1+$AR186)+($AU186*IF($G$1="鸣金",$AK186,$AI186)+IF($G$1="鸣金",$AL186*1.5,0))*(1+$AV186)*(1+$AW186)+($AY186*IF($G$1="裂石",$AK186,$AI186)+IF($G$1="裂石",$AL186*1.5,0))*(1+$AZ186)*(1+$BA186)+($BC186*IF($G$1="牵丝",$AK186,$AI186)+IF($G$1="牵丝",$AL186*1.5,0))*(1+$BD186)*(1+$BE186)+($BG186*IF($G$1="破竹",$AK186,$AI186)+IF($G$1="破竹",$AL186*1.5,0))*(1+$BH186)*(1+$BI186))*(1+$AM186)*$BN186*$Q186*(1+IF(VLOOKUP($R186,武学奇术!$A:$ZZ,30,FALSE)="流血",$B$21,0))*(1+$BR186)</f>
        <v>13246.1959298081</v>
      </c>
      <c r="O186" s="24">
        <f>((($AO186+$AP186)/2*$AI186+$AJ186)*(1+$AQ186)*(1+$AR186)+(($AT186+$AU186)/2*IF($G$1="鸣金",$AK186,$AI186)+IF($G$1="鸣金",$AL186*1.5,0))*(1+$AV186)*(1+$AW186)+(($AX186+$AY186)/2*IF($G$1="裂石",$AK186,$AI186)+IF($G$1="裂石",$AL186*1.5,0))*(1+$AZ186)*(1+$BA186)+(($BB186+$BC186)/2*IF($G$1="牵丝",$AK186,$AI186)+IF($G$1="牵丝",$AL186*1.5,0))*(1+$BD186)*(1+$BE186)+(($BF186+$BG186)/2*IF($G$1="破竹",$AK186,$AI186)+IF($G$1="破竹",$AL186*1.5,0))*(1+$BH186)*(1+$BI186))*(1+$AM186)*$Q186*(1+IF(VLOOKUP($R186,武学奇术!$A:$ZZ,30,FALSE)="流血",$B$21,0))*(1+$BR186)</f>
        <v>5392.13952500749</v>
      </c>
      <c r="P186" s="24">
        <f>((($AO186*$AI186+$AJ186)*(1+$AQ186)*(1+$AR186)+($AT186*IF($G$1="鸣金",$AK186,$AI186)+IF($G$1="鸣金",$AL186*1.5,0))*(1+$AV186)*(1+$AW186)+($AX186*IF($G$1="裂石",$AK186,$AI186)+IF($G$1="裂石",$AL186*1.5,0))*(1+$AZ186)*(1+$BA186)+($BB186*IF($G$1="牵丝",$AK186,$AI186)+IF($G$1="牵丝",$AL186*1.5,0))*(1+$BD186)*(1+$BE186)+($BF186*IF($G$1="破竹",$AK186,$AI186)+IF($G$1="破竹",$AL186*1.5,0))*(1+$BH186)*(1+$BI186))*(1+$AM186))*$Q186*(1+IF(VLOOKUP($R186,武学奇术!$A:$ZZ,30,FALSE)="流血",$B$21,0))*(1+$BR186)</f>
        <v>2515.74226486638</v>
      </c>
      <c r="Q186" s="31">
        <v>1</v>
      </c>
      <c r="R186" s="32" t="s">
        <v>194</v>
      </c>
      <c r="S186" s="32" t="s">
        <v>87</v>
      </c>
      <c r="T186" s="32" t="s">
        <v>96</v>
      </c>
      <c r="U186" s="32" t="s">
        <v>97</v>
      </c>
      <c r="V186" s="32" t="s">
        <v>73</v>
      </c>
      <c r="W186" s="32" t="s">
        <v>111</v>
      </c>
      <c r="X186" s="32" t="s">
        <v>127</v>
      </c>
      <c r="Y186" s="32" t="s">
        <v>179</v>
      </c>
      <c r="Z186" s="32" t="s">
        <v>182</v>
      </c>
      <c r="AA186" s="32" t="s">
        <v>81</v>
      </c>
      <c r="AB186" s="32" t="s">
        <v>75</v>
      </c>
      <c r="AC186" s="32" t="s">
        <v>89</v>
      </c>
      <c r="AD186" s="32" t="s">
        <v>82</v>
      </c>
      <c r="AE186" s="32" t="s">
        <v>183</v>
      </c>
      <c r="AF186" s="32" t="s">
        <v>73</v>
      </c>
      <c r="AG186" s="32" t="s">
        <v>178</v>
      </c>
      <c r="AH186" t="str">
        <f>VLOOKUP($R186,武学奇术!$A:$ZZ,25,FALSE)</f>
        <v>单体奇术</v>
      </c>
      <c r="AI186" s="21">
        <f>VLOOKUP($R186,武学奇术!$A:$ZZ,26,FALSE)</f>
        <v>0.236</v>
      </c>
      <c r="AJ186" s="22">
        <f>VLOOKUP($R186,武学奇术!$A:$ZZ,27,FALSE)*(1+IF(OR($AH186=$F$4,$AH186=$F$5),$B$22,0))</f>
        <v>46</v>
      </c>
      <c r="AK186" s="21">
        <f>VLOOKUP($R186,武学奇术!$A:$ZZ,28,FALSE)</f>
        <v>0.354</v>
      </c>
      <c r="AL186" s="22">
        <f>VLOOKUP($R186,武学奇术!$A:$ZZ,29,FALSE)*(1+IF(OR($AH186=$F$4,$AH186=$F$5),$B$22,0))</f>
        <v>0</v>
      </c>
      <c r="AM186" s="21" cm="1">
        <f t="array" ref="AM186">$G$3+IFERROR(VLOOKUP($AH186,$F$4:$G$7,2,FALSE),0)+VLOOKUP($R186,武学奇术!$A:$ZZ,2,FALSE)+SUM(_xlfn.XLOOKUP($S186:$AG186,增益!$A:$A,增益!$B:$B,0))</f>
        <v>1.493</v>
      </c>
      <c r="AN186" s="21" cm="1">
        <f t="array" ref="AN186">VLOOKUP($R186,武学奇术!$A:$ZZ,5,FALSE)+SUM(_xlfn.XLOOKUP($S186:$AG186,增益!$A:$A,增益!$E:$E,0))</f>
        <v>0</v>
      </c>
      <c r="AO186" cm="1">
        <f t="array" ref="AO186">$D$10*(1+$AN186)+VLOOKUP($R186,武学奇术!$A:$ZZ,3,FALSE)+SUM(_xlfn.XLOOKUP($S186:$AG186,增益!$A:$A,增益!$C:$C,0))-$I$2</f>
        <v>1825.28</v>
      </c>
      <c r="AP186" cm="1">
        <f t="array" ref="AP186">$E$10*(1+$AN186)+VLOOKUP($R186,武学奇术!$A:$ZZ,4,FALSE)+SUM(_xlfn.XLOOKUP($S186:$AG186,增益!$A:$A,增益!$D:$D,0))-$I$2</f>
        <v>7757.36</v>
      </c>
      <c r="AQ186" s="26" cm="1">
        <f t="array" ref="AQ186">IF($F$10-$I$3+VLOOKUP($R186,武学奇术!$A:$ZZ,6,FALSE)+SUM(_xlfn.XLOOKUP(S186:AG186,增益!$A:$A,增益!$F:$F,0))&gt;0,($F$10-$I$3+VLOOKUP($R186,武学奇术!$A:$ZZ,6,FALSE)+SUM(_xlfn.XLOOKUP(S186:AG186,增益!$A:$A,增益!$F:$F,0)))/200,($F$10-$I$3+VLOOKUP($R186,武学奇术!$A:$ZZ,6,FALSE)+SUM(_xlfn.XLOOKUP(S186:AG186,增益!$A:$A,增益!$F:$F,0)))/100)</f>
        <v>0.244</v>
      </c>
      <c r="AR186" s="26" cm="1">
        <f t="array" ref="AR186">$G$10+VLOOKUP($R186,武学奇术!$A:$ZZ,7,FALSE)+SUM(_xlfn.XLOOKUP(S186:AG186,增益!$A:$A,增益!$G:$G,0))</f>
        <v>0</v>
      </c>
      <c r="AS186" s="21" cm="1">
        <f t="array" ref="AS186">VLOOKUP($R186,武学奇术!$A:$ZZ,8,FALSE)+SUM(_xlfn.XLOOKUP(S186:AG186,增益!$A:$A,增益!$H:$H,0))</f>
        <v>0</v>
      </c>
      <c r="AT186">
        <f t="shared" si="23"/>
        <v>680.02</v>
      </c>
      <c r="AU186">
        <f t="shared" si="24"/>
        <v>1288.54</v>
      </c>
      <c r="AV186" s="26" cm="1">
        <f t="array" ref="AV186">IF($F$11-$I$4+VLOOKUP($R186,武学奇术!$A:$ZZ,9,FALSE)+SUM(_xlfn.XLOOKUP(S186:AG186,增益!$A:$A,增益!$I:$I,0))&gt;0,($F$11-$I$4+VLOOKUP($R186,武学奇术!$A:$ZZ,9,FALSE)+SUM(_xlfn.XLOOKUP(S186:AG186,增益!$A:$A,增益!$I:$I,0)))/200,($F$11-$I$4+VLOOKUP($R186,武学奇术!$A:$ZZ,9,FALSE)+SUM(_xlfn.XLOOKUP(S186:AG186,增益!$A:$A,增益!$I:$I,0)))/100)</f>
        <v>0</v>
      </c>
      <c r="AW186" s="26" cm="1">
        <f t="array" ref="AW186">$G$11+VLOOKUP($R186,武学奇术!$A:$ZZ,10,FALSE)+SUM(_xlfn.XLOOKUP(S186:AG186,增益!$A:$A,增益!$J:$J,0))</f>
        <v>0.15</v>
      </c>
      <c r="AX186">
        <f t="shared" si="25"/>
        <v>0</v>
      </c>
      <c r="AY186">
        <f t="shared" si="26"/>
        <v>0</v>
      </c>
      <c r="AZ186" s="26" cm="1">
        <f t="array" ref="AZ186">IF($F$12-$I$4+VLOOKUP($R186,武学奇术!$A:$ZZ,11,FALSE)+SUM(_xlfn.XLOOKUP(S186:AG186,增益!$A:$A,增益!$K:$K,0))&gt;0,($F$12-$I$4+VLOOKUP($R186,武学奇术!$A:$ZZ,11,FALSE)+SUM(_xlfn.XLOOKUP(S186:AG186,增益!$A:$A,增益!$K:$K,0)))/200,($F$12-$I$4+VLOOKUP($R186,武学奇术!$A:$ZZ,11,FALSE)+SUM(_xlfn.XLOOKUP(S186:AG186,增益!$A:$A,增益!$K:$K,0)))/100)</f>
        <v>-0.3</v>
      </c>
      <c r="BA186" s="26" cm="1">
        <f t="array" ref="BA186">$G$12+VLOOKUP($R186,武学奇术!$A:$ZZ,12,FALSE)+SUM(_xlfn.XLOOKUP(S186:AG186,增益!$A:$A,增益!$L:$L,0))</f>
        <v>0</v>
      </c>
      <c r="BB186">
        <f t="shared" si="27"/>
        <v>0</v>
      </c>
      <c r="BC186">
        <f t="shared" si="28"/>
        <v>0</v>
      </c>
      <c r="BD186" s="26" cm="1">
        <f t="array" ref="BD186">IF($F$13-$I$4+VLOOKUP($R186,武学奇术!$A:$ZZ,13,FALSE)+SUM(_xlfn.XLOOKUP(S186:AG186,增益!$A:$A,增益!$M:$M,0))&gt;0,($F$13-$I$4+VLOOKUP($R186,武学奇术!$A:$ZZ,13,FALSE)+SUM(_xlfn.XLOOKUP(S186:AG186,增益!$A:$A,增益!$K:$K,0)))/200,($F$13-$I$4+VLOOKUP($R186,武学奇术!$A:$ZZ,13,FALSE)+SUM(_xlfn.XLOOKUP(S186:AG186,增益!$A:$A,增益!$M:$M,0)))/100)</f>
        <v>-0.3</v>
      </c>
      <c r="BE186" s="26" cm="1">
        <f t="array" ref="BE186">$G$13+VLOOKUP($R186,武学奇术!$A:$ZZ,14,FALSE)+SUM(_xlfn.XLOOKUP(S186:AG186,增益!$A:$A,增益!$N:$N,0))</f>
        <v>0</v>
      </c>
      <c r="BF186">
        <f t="shared" si="29"/>
        <v>0</v>
      </c>
      <c r="BG186">
        <f t="shared" si="30"/>
        <v>0</v>
      </c>
      <c r="BH186" s="26" cm="1">
        <f t="array" ref="BH186">IF($F$14-$I$4+VLOOKUP($R186,武学奇术!$A:$ZZ,15,FALSE)+SUM(_xlfn.XLOOKUP(S186:AG186,增益!$A:$A,增益!$O:$O,0))&gt;0,($F$14-$I$4+VLOOKUP($R186,武学奇术!$A:$ZZ,15,FALSE)+SUM(_xlfn.XLOOKUP(S186:AG186,增益!$A:$A,增益!$O:$O,0)))/200,($F$14-$I$4+VLOOKUP($R186,武学奇术!$A:$ZZ,15,FALSE)+SUM(_xlfn.XLOOKUP(S186:AG186,增益!$A:$A,增益!$O:$O,0)))/100)</f>
        <v>-0.3</v>
      </c>
      <c r="BI186" s="26" cm="1">
        <f t="array" ref="BI186">$G$14+VLOOKUP($R186,武学奇术!$A:$ZZ,16,FALSE)+SUM(_xlfn.XLOOKUP(S186:AG186,增益!$A:$A,增益!$P:$P,0))</f>
        <v>0</v>
      </c>
      <c r="BJ186" s="21">
        <f>MIN(IF(VLOOKUP($R186,武学奇术!$A:$ZZ,23,FALSE)=1,100%,$B$8),100%)</f>
        <v>0.8229</v>
      </c>
      <c r="BK186" s="21" cm="1">
        <f t="array" ref="BK186">IF(VLOOKUP($R186,武学奇术!$A:$ZZ,23,FALSE)=1,100%,MIN(80%,$B$9+VLOOKUP($R186,武学奇术!$A:$ZZ,17,FALSE)+SUM(_xlfn.XLOOKUP(S186:AG186,增益!$A:$A,增益!$Q:$Q,0)))+$B$11+SUM(_xlfn.XLOOKUP(S186:AG186,增益!$A:$A,增益!$U:$U,0)))*IF(VLOOKUP($R186,武学奇术!$A:$ZZ,24,FALSE)=1,0,1)</f>
        <v>0.2285</v>
      </c>
      <c r="BL186" s="21" cm="1">
        <f t="array" ref="BL186">1+$B$13+VLOOKUP($R186,武学奇术!$A:$ZZ,18,FALSE)+SUM(_xlfn.XLOOKUP(S186:AG186,增益!$A:$A,增益!$R:$R,0))</f>
        <v>1.5</v>
      </c>
      <c r="BM186" s="21" cm="1">
        <f t="array" ref="BM186">IF(VLOOKUP($R186,武学奇术!$A:$ZZ,24,FALSE)=1,100%,MIN(40%,$B$10+VLOOKUP($R186,武学奇术!$A:$ZZ,19,FALSE)+SUM(_xlfn.XLOOKUP(S186:AG186,增益!$A:$A,增益!$S:$S,0)))+$B$12+SUM(_xlfn.XLOOKUP(S186:AG186,增益!$A:$A,增益!$V:$V,0)))*IF(VLOOKUP($R186,武学奇术!$A:$ZZ,23,FALSE)=1,0,1)</f>
        <v>0.4495</v>
      </c>
      <c r="BN186" s="21" cm="1">
        <f t="array" ref="BN186">1+$B$14+VLOOKUP($R186,武学奇术!$A:$ZZ,20,FALSE)+SUM(_xlfn.XLOOKUP(S186:AG186,增益!$A:$A,增益!$T:$T,0))</f>
        <v>1.602</v>
      </c>
      <c r="BO186" s="21">
        <f t="shared" si="31"/>
        <v>0.18803265</v>
      </c>
      <c r="BP186" s="21">
        <f t="shared" si="32"/>
        <v>0.2649738</v>
      </c>
      <c r="BQ186" s="21">
        <f>IF(VLOOKUP($R186,武学奇术!$A:$ZZ,22,FALSE)=1,0,(1-$BJ186))*(1-$BM186)</f>
        <v>0.09749355</v>
      </c>
      <c r="BR186" s="21" cm="1">
        <f t="array" ref="BR186">SUM(_xlfn.XLOOKUP(S186:AG186,增益!$A:$A,增益!$W:$W,0))+$I$5</f>
        <v>0.16</v>
      </c>
    </row>
    <row r="187" spans="11:70">
      <c r="K187" s="24">
        <f>$L187*VLOOKUP($R187,武学奇术!$A:$ZZ,31,FALSE)</f>
        <v>13723.5852613386</v>
      </c>
      <c r="L187" s="24">
        <f t="shared" si="22"/>
        <v>27447.1705226771</v>
      </c>
      <c r="M187" s="24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BL187*$Q187*(1+IF(VLOOKUP($R187,武学奇术!$A:$ZZ,30,FALSE)="流血",$B$21,0))*(1+$BR187)</f>
        <v>24264.6278625337</v>
      </c>
      <c r="N187" s="24">
        <f>(($AP187*$AI187+$AJ187)*(1+$AQ187)*(1+$AR187)+($AU187*IF($G$1="鸣金",$AK187,$AI187)+IF($G$1="鸣金",$AL187*1.5,0))*(1+$AV187)*(1+$AW187)+($AY187*IF($G$1="裂石",$AK187,$AI187)+IF($G$1="裂石",$AL187*1.5,0))*(1+$AZ187)*(1+$BA187)+($BC187*IF($G$1="牵丝",$AK187,$AI187)+IF($G$1="牵丝",$AL187*1.5,0))*(1+$BD187)*(1+$BE187)+($BG187*IF($G$1="破竹",$AK187,$AI187)+IF($G$1="破竹",$AL187*1.5,0))*(1+$BH187)*(1+$BI187))*(1+$AM187)*$BN187*$Q187*(1+IF(VLOOKUP($R187,武学奇术!$A:$ZZ,30,FALSE)="流血",$B$21,0))*(1+$BR187)</f>
        <v>39738.5877894242</v>
      </c>
      <c r="O187" s="24">
        <f>((($AO187+$AP187)/2*$AI187+$AJ187)*(1+$AQ187)*(1+$AR187)+(($AT187+$AU187)/2*IF($G$1="鸣金",$AK187,$AI187)+IF($G$1="鸣金",$AL187*1.5,0))*(1+$AV187)*(1+$AW187)+(($AX187+$AY187)/2*IF($G$1="裂石",$AK187,$AI187)+IF($G$1="裂石",$AL187*1.5,0))*(1+$AZ187)*(1+$BA187)+(($BB187+$BC187)/2*IF($G$1="牵丝",$AK187,$AI187)+IF($G$1="牵丝",$AL187*1.5,0))*(1+$BD187)*(1+$BE187)+(($BF187+$BG187)/2*IF($G$1="破竹",$AK187,$AI187)+IF($G$1="破竹",$AL187*1.5,0))*(1+$BH187)*(1+$BI187))*(1+$AM187)*$Q187*(1+IF(VLOOKUP($R187,武学奇术!$A:$ZZ,30,FALSE)="流血",$B$21,0))*(1+$BR187)</f>
        <v>16176.4185750225</v>
      </c>
      <c r="P187" s="24">
        <f>((($AO187*$AI187+$AJ187)*(1+$AQ187)*(1+$AR187)+($AT187*IF($G$1="鸣金",$AK187,$AI187)+IF($G$1="鸣金",$AL187*1.5,0))*(1+$AV187)*(1+$AW187)+($AX187*IF($G$1="裂石",$AK187,$AI187)+IF($G$1="裂石",$AL187*1.5,0))*(1+$AZ187)*(1+$BA187)+($BB187*IF($G$1="牵丝",$AK187,$AI187)+IF($G$1="牵丝",$AL187*1.5,0))*(1+$BD187)*(1+$BE187)+($BF187*IF($G$1="破竹",$AK187,$AI187)+IF($G$1="破竹",$AL187*1.5,0))*(1+$BH187)*(1+$BI187))*(1+$AM187))*$Q187*(1+IF(VLOOKUP($R187,武学奇术!$A:$ZZ,30,FALSE)="流血",$B$21,0))*(1+$BR187)</f>
        <v>7547.22679459913</v>
      </c>
      <c r="Q187" s="31">
        <v>3</v>
      </c>
      <c r="R187" s="32" t="s">
        <v>194</v>
      </c>
      <c r="S187" s="32" t="s">
        <v>87</v>
      </c>
      <c r="T187" s="32" t="s">
        <v>96</v>
      </c>
      <c r="U187" s="32" t="s">
        <v>97</v>
      </c>
      <c r="V187" s="32" t="s">
        <v>73</v>
      </c>
      <c r="W187" s="32" t="s">
        <v>111</v>
      </c>
      <c r="X187" s="32" t="s">
        <v>127</v>
      </c>
      <c r="Y187" s="32" t="s">
        <v>179</v>
      </c>
      <c r="Z187" s="32" t="s">
        <v>182</v>
      </c>
      <c r="AA187" s="32" t="s">
        <v>81</v>
      </c>
      <c r="AB187" s="32" t="s">
        <v>75</v>
      </c>
      <c r="AC187" s="32" t="s">
        <v>76</v>
      </c>
      <c r="AD187" s="32" t="s">
        <v>82</v>
      </c>
      <c r="AE187" s="32" t="s">
        <v>183</v>
      </c>
      <c r="AF187" s="32" t="s">
        <v>73</v>
      </c>
      <c r="AG187" s="32" t="s">
        <v>178</v>
      </c>
      <c r="AH187" t="str">
        <f>VLOOKUP($R187,武学奇术!$A:$ZZ,25,FALSE)</f>
        <v>单体奇术</v>
      </c>
      <c r="AI187" s="21">
        <f>VLOOKUP($R187,武学奇术!$A:$ZZ,26,FALSE)</f>
        <v>0.236</v>
      </c>
      <c r="AJ187" s="22">
        <f>VLOOKUP($R187,武学奇术!$A:$ZZ,27,FALSE)*(1+IF(OR($AH187=$F$4,$AH187=$F$5),$B$22,0))</f>
        <v>46</v>
      </c>
      <c r="AK187" s="21">
        <f>VLOOKUP($R187,武学奇术!$A:$ZZ,28,FALSE)</f>
        <v>0.354</v>
      </c>
      <c r="AL187" s="22">
        <f>VLOOKUP($R187,武学奇术!$A:$ZZ,29,FALSE)*(1+IF(OR($AH187=$F$4,$AH187=$F$5),$B$22,0))</f>
        <v>0</v>
      </c>
      <c r="AM187" s="21" cm="1">
        <f t="array" ref="AM187">$G$3+IFERROR(VLOOKUP($AH187,$F$4:$G$7,2,FALSE),0)+VLOOKUP($R187,武学奇术!$A:$ZZ,2,FALSE)+SUM(_xlfn.XLOOKUP($S187:$AG187,增益!$A:$A,增益!$B:$B,0))</f>
        <v>1.493</v>
      </c>
      <c r="AN187" s="21" cm="1">
        <f t="array" ref="AN187">VLOOKUP($R187,武学奇术!$A:$ZZ,5,FALSE)+SUM(_xlfn.XLOOKUP($S187:$AG187,增益!$A:$A,增益!$E:$E,0))</f>
        <v>0</v>
      </c>
      <c r="AO187" cm="1">
        <f t="array" ref="AO187">$D$10*(1+$AN187)+VLOOKUP($R187,武学奇术!$A:$ZZ,3,FALSE)+SUM(_xlfn.XLOOKUP($S187:$AG187,增益!$A:$A,增益!$C:$C,0))-$I$2</f>
        <v>1825.28</v>
      </c>
      <c r="AP187" cm="1">
        <f t="array" ref="AP187">$E$10*(1+$AN187)+VLOOKUP($R187,武学奇术!$A:$ZZ,4,FALSE)+SUM(_xlfn.XLOOKUP($S187:$AG187,增益!$A:$A,增益!$D:$D,0))-$I$2</f>
        <v>7757.36</v>
      </c>
      <c r="AQ187" s="26" cm="1">
        <f t="array" ref="AQ187">IF($F$10-$I$3+VLOOKUP($R187,武学奇术!$A:$ZZ,6,FALSE)+SUM(_xlfn.XLOOKUP(S187:AG187,增益!$A:$A,增益!$F:$F,0))&gt;0,($F$10-$I$3+VLOOKUP($R187,武学奇术!$A:$ZZ,6,FALSE)+SUM(_xlfn.XLOOKUP(S187:AG187,增益!$A:$A,增益!$F:$F,0)))/200,($F$10-$I$3+VLOOKUP($R187,武学奇术!$A:$ZZ,6,FALSE)+SUM(_xlfn.XLOOKUP(S187:AG187,增益!$A:$A,增益!$F:$F,0)))/100)</f>
        <v>0.244</v>
      </c>
      <c r="AR187" s="26" cm="1">
        <f t="array" ref="AR187">$G$10+VLOOKUP($R187,武学奇术!$A:$ZZ,7,FALSE)+SUM(_xlfn.XLOOKUP(S187:AG187,增益!$A:$A,增益!$G:$G,0))</f>
        <v>0</v>
      </c>
      <c r="AS187" s="21" cm="1">
        <f t="array" ref="AS187">VLOOKUP($R187,武学奇术!$A:$ZZ,8,FALSE)+SUM(_xlfn.XLOOKUP(S187:AG187,增益!$A:$A,增益!$H:$H,0))</f>
        <v>0</v>
      </c>
      <c r="AT187">
        <f t="shared" si="23"/>
        <v>680.02</v>
      </c>
      <c r="AU187">
        <f t="shared" si="24"/>
        <v>1288.54</v>
      </c>
      <c r="AV187" s="26" cm="1">
        <f t="array" ref="AV187">IF($F$11-$I$4+VLOOKUP($R187,武学奇术!$A:$ZZ,9,FALSE)+SUM(_xlfn.XLOOKUP(S187:AG187,增益!$A:$A,增益!$I:$I,0))&gt;0,($F$11-$I$4+VLOOKUP($R187,武学奇术!$A:$ZZ,9,FALSE)+SUM(_xlfn.XLOOKUP(S187:AG187,增益!$A:$A,增益!$I:$I,0)))/200,($F$11-$I$4+VLOOKUP($R187,武学奇术!$A:$ZZ,9,FALSE)+SUM(_xlfn.XLOOKUP(S187:AG187,增益!$A:$A,增益!$I:$I,0)))/100)</f>
        <v>0</v>
      </c>
      <c r="AW187" s="26" cm="1">
        <f t="array" ref="AW187">$G$11+VLOOKUP($R187,武学奇术!$A:$ZZ,10,FALSE)+SUM(_xlfn.XLOOKUP(S187:AG187,增益!$A:$A,增益!$J:$J,0))</f>
        <v>0.15</v>
      </c>
      <c r="AX187">
        <f t="shared" si="25"/>
        <v>0</v>
      </c>
      <c r="AY187">
        <f t="shared" si="26"/>
        <v>0</v>
      </c>
      <c r="AZ187" s="26" cm="1">
        <f t="array" ref="AZ187">IF($F$12-$I$4+VLOOKUP($R187,武学奇术!$A:$ZZ,11,FALSE)+SUM(_xlfn.XLOOKUP(S187:AG187,增益!$A:$A,增益!$K:$K,0))&gt;0,($F$12-$I$4+VLOOKUP($R187,武学奇术!$A:$ZZ,11,FALSE)+SUM(_xlfn.XLOOKUP(S187:AG187,增益!$A:$A,增益!$K:$K,0)))/200,($F$12-$I$4+VLOOKUP($R187,武学奇术!$A:$ZZ,11,FALSE)+SUM(_xlfn.XLOOKUP(S187:AG187,增益!$A:$A,增益!$K:$K,0)))/100)</f>
        <v>-0.3</v>
      </c>
      <c r="BA187" s="26" cm="1">
        <f t="array" ref="BA187">$G$12+VLOOKUP($R187,武学奇术!$A:$ZZ,12,FALSE)+SUM(_xlfn.XLOOKUP(S187:AG187,增益!$A:$A,增益!$L:$L,0))</f>
        <v>0</v>
      </c>
      <c r="BB187">
        <f t="shared" si="27"/>
        <v>0</v>
      </c>
      <c r="BC187">
        <f t="shared" si="28"/>
        <v>0</v>
      </c>
      <c r="BD187" s="26" cm="1">
        <f t="array" ref="BD187">IF($F$13-$I$4+VLOOKUP($R187,武学奇术!$A:$ZZ,13,FALSE)+SUM(_xlfn.XLOOKUP(S187:AG187,增益!$A:$A,增益!$M:$M,0))&gt;0,($F$13-$I$4+VLOOKUP($R187,武学奇术!$A:$ZZ,13,FALSE)+SUM(_xlfn.XLOOKUP(S187:AG187,增益!$A:$A,增益!$K:$K,0)))/200,($F$13-$I$4+VLOOKUP($R187,武学奇术!$A:$ZZ,13,FALSE)+SUM(_xlfn.XLOOKUP(S187:AG187,增益!$A:$A,增益!$M:$M,0)))/100)</f>
        <v>-0.3</v>
      </c>
      <c r="BE187" s="26" cm="1">
        <f t="array" ref="BE187">$G$13+VLOOKUP($R187,武学奇术!$A:$ZZ,14,FALSE)+SUM(_xlfn.XLOOKUP(S187:AG187,增益!$A:$A,增益!$N:$N,0))</f>
        <v>0</v>
      </c>
      <c r="BF187">
        <f t="shared" si="29"/>
        <v>0</v>
      </c>
      <c r="BG187">
        <f t="shared" si="30"/>
        <v>0</v>
      </c>
      <c r="BH187" s="26" cm="1">
        <f t="array" ref="BH187">IF($F$14-$I$4+VLOOKUP($R187,武学奇术!$A:$ZZ,15,FALSE)+SUM(_xlfn.XLOOKUP(S187:AG187,增益!$A:$A,增益!$O:$O,0))&gt;0,($F$14-$I$4+VLOOKUP($R187,武学奇术!$A:$ZZ,15,FALSE)+SUM(_xlfn.XLOOKUP(S187:AG187,增益!$A:$A,增益!$O:$O,0)))/200,($F$14-$I$4+VLOOKUP($R187,武学奇术!$A:$ZZ,15,FALSE)+SUM(_xlfn.XLOOKUP(S187:AG187,增益!$A:$A,增益!$O:$O,0)))/100)</f>
        <v>-0.3</v>
      </c>
      <c r="BI187" s="26" cm="1">
        <f t="array" ref="BI187">$G$14+VLOOKUP($R187,武学奇术!$A:$ZZ,16,FALSE)+SUM(_xlfn.XLOOKUP(S187:AG187,增益!$A:$A,增益!$P:$P,0))</f>
        <v>0</v>
      </c>
      <c r="BJ187" s="21">
        <f>MIN(IF(VLOOKUP($R187,武学奇术!$A:$ZZ,23,FALSE)=1,100%,$B$8),100%)</f>
        <v>0.8229</v>
      </c>
      <c r="BK187" s="21" cm="1">
        <f t="array" ref="BK187">IF(VLOOKUP($R187,武学奇术!$A:$ZZ,23,FALSE)=1,100%,MIN(80%,$B$9+VLOOKUP($R187,武学奇术!$A:$ZZ,17,FALSE)+SUM(_xlfn.XLOOKUP(S187:AG187,增益!$A:$A,增益!$Q:$Q,0)))+$B$11+SUM(_xlfn.XLOOKUP(S187:AG187,增益!$A:$A,增益!$U:$U,0)))*IF(VLOOKUP($R187,武学奇术!$A:$ZZ,24,FALSE)=1,0,1)</f>
        <v>0.2285</v>
      </c>
      <c r="BL187" s="21" cm="1">
        <f t="array" ref="BL187">1+$B$13+VLOOKUP($R187,武学奇术!$A:$ZZ,18,FALSE)+SUM(_xlfn.XLOOKUP(S187:AG187,增益!$A:$A,增益!$R:$R,0))</f>
        <v>1.5</v>
      </c>
      <c r="BM187" s="21" cm="1">
        <f t="array" ref="BM187">IF(VLOOKUP($R187,武学奇术!$A:$ZZ,24,FALSE)=1,100%,MIN(40%,$B$10+VLOOKUP($R187,武学奇术!$A:$ZZ,19,FALSE)+SUM(_xlfn.XLOOKUP(S187:AG187,增益!$A:$A,增益!$S:$S,0)))+$B$12+SUM(_xlfn.XLOOKUP(S187:AG187,增益!$A:$A,增益!$V:$V,0)))*IF(VLOOKUP($R187,武学奇术!$A:$ZZ,23,FALSE)=1,0,1)</f>
        <v>0.4495</v>
      </c>
      <c r="BN187" s="21" cm="1">
        <f t="array" ref="BN187">1+$B$14+VLOOKUP($R187,武学奇术!$A:$ZZ,20,FALSE)+SUM(_xlfn.XLOOKUP(S187:AG187,增益!$A:$A,增益!$T:$T,0))</f>
        <v>1.602</v>
      </c>
      <c r="BO187" s="21">
        <f t="shared" si="31"/>
        <v>0.18803265</v>
      </c>
      <c r="BP187" s="21">
        <f t="shared" si="32"/>
        <v>0.2649738</v>
      </c>
      <c r="BQ187" s="21">
        <f>IF(VLOOKUP($R187,武学奇术!$A:$ZZ,22,FALSE)=1,0,(1-$BJ187))*(1-$BM187)</f>
        <v>0.09749355</v>
      </c>
      <c r="BR187" s="21" cm="1">
        <f t="array" ref="BR187">SUM(_xlfn.XLOOKUP(S187:AG187,增益!$A:$A,增益!$W:$W,0))+$I$5</f>
        <v>0.16</v>
      </c>
    </row>
    <row r="188" spans="11:70">
      <c r="K188" s="24">
        <f>$L188*VLOOKUP($R188,武学奇术!$A:$ZZ,31,FALSE)</f>
        <v>9113.14111990186</v>
      </c>
      <c r="L188" s="24">
        <f t="shared" si="22"/>
        <v>18226.2822398037</v>
      </c>
      <c r="M188" s="24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BL188*$Q188*(1+IF(VLOOKUP($R188,武学奇术!$A:$ZZ,30,FALSE)="流血",$B$21,0))*(1+$BR188)</f>
        <v>16097.4606731159</v>
      </c>
      <c r="N188" s="24">
        <f>(($AP188*$AI188+$AJ188)*(1+$AQ188)*(1+$AR188)+($AU188*IF($G$1="鸣金",$AK188,$AI188)+IF($G$1="鸣金",$AL188*1.5,0))*(1+$AV188)*(1+$AW188)+($AY188*IF($G$1="裂石",$AK188,$AI188)+IF($G$1="裂石",$AL188*1.5,0))*(1+$AZ188)*(1+$BA188)+($BC188*IF($G$1="牵丝",$AK188,$AI188)+IF($G$1="牵丝",$AL188*1.5,0))*(1+$BD188)*(1+$BE188)+($BG188*IF($G$1="破竹",$AK188,$AI188)+IF($G$1="破竹",$AL188*1.5,0))*(1+$BH188)*(1+$BI188))*(1+$AM188)*$BN188*$Q188*(1+IF(VLOOKUP($R188,武学奇术!$A:$ZZ,30,FALSE)="流血",$B$21,0))*(1+$BR188)</f>
        <v>26408.0648203799</v>
      </c>
      <c r="O188" s="24">
        <f>((($AO188+$AP188)/2*$AI188+$AJ188)*(1+$AQ188)*(1+$AR188)+(($AT188+$AU188)/2*IF($G$1="鸣金",$AK188,$AI188)+IF($G$1="鸣金",$AL188*1.5,0))*(1+$AV188)*(1+$AW188)+(($AX188+$AY188)/2*IF($G$1="裂石",$AK188,$AI188)+IF($G$1="裂石",$AL188*1.5,0))*(1+$AZ188)*(1+$BA188)+(($BB188+$BC188)/2*IF($G$1="牵丝",$AK188,$AI188)+IF($G$1="牵丝",$AL188*1.5,0))*(1+$BD188)*(1+$BE188)+(($BF188+$BG188)/2*IF($G$1="破竹",$AK188,$AI188)+IF($G$1="破竹",$AL188*1.5,0))*(1+$BH188)*(1+$BI188))*(1+$AM188)*$Q188*(1+IF(VLOOKUP($R188,武学奇术!$A:$ZZ,30,FALSE)="流血",$B$21,0))*(1+$BR188)</f>
        <v>10731.6404487439</v>
      </c>
      <c r="P188" s="24">
        <f>((($AO188*$AI188+$AJ188)*(1+$AQ188)*(1+$AR188)+($AT188*IF($G$1="鸣金",$AK188,$AI188)+IF($G$1="鸣金",$AL188*1.5,0))*(1+$AV188)*(1+$AW188)+($AX188*IF($G$1="裂石",$AK188,$AI188)+IF($G$1="裂石",$AL188*1.5,0))*(1+$AZ188)*(1+$BA188)+($BB188*IF($G$1="牵丝",$AK188,$AI188)+IF($G$1="牵丝",$AL188*1.5,0))*(1+$BD188)*(1+$BE188)+($BF188*IF($G$1="破竹",$AK188,$AI188)+IF($G$1="破竹",$AL188*1.5,0))*(1+$BH188)*(1+$BI188))*(1+$AM188))*$Q188*(1+IF(VLOOKUP($R188,武学奇术!$A:$ZZ,30,FALSE)="流血",$B$21,0))*(1+$BR188)</f>
        <v>4978.84592846172</v>
      </c>
      <c r="Q188" s="31">
        <v>2</v>
      </c>
      <c r="R188" s="32" t="s">
        <v>194</v>
      </c>
      <c r="S188" s="32" t="s">
        <v>87</v>
      </c>
      <c r="T188" s="32" t="s">
        <v>96</v>
      </c>
      <c r="U188" s="32" t="s">
        <v>97</v>
      </c>
      <c r="V188" s="32" t="s">
        <v>73</v>
      </c>
      <c r="W188" s="32" t="s">
        <v>73</v>
      </c>
      <c r="X188" s="32" t="s">
        <v>127</v>
      </c>
      <c r="Y188" s="32" t="s">
        <v>179</v>
      </c>
      <c r="Z188" s="32" t="s">
        <v>182</v>
      </c>
      <c r="AA188" s="32" t="s">
        <v>81</v>
      </c>
      <c r="AB188" s="32" t="s">
        <v>75</v>
      </c>
      <c r="AC188" s="32" t="s">
        <v>76</v>
      </c>
      <c r="AD188" s="32" t="s">
        <v>82</v>
      </c>
      <c r="AE188" s="32" t="s">
        <v>183</v>
      </c>
      <c r="AF188" s="32" t="s">
        <v>73</v>
      </c>
      <c r="AG188" s="32" t="s">
        <v>178</v>
      </c>
      <c r="AH188" t="str">
        <f>VLOOKUP($R188,武学奇术!$A:$ZZ,25,FALSE)</f>
        <v>单体奇术</v>
      </c>
      <c r="AI188" s="21">
        <f>VLOOKUP($R188,武学奇术!$A:$ZZ,26,FALSE)</f>
        <v>0.236</v>
      </c>
      <c r="AJ188" s="22">
        <f>VLOOKUP($R188,武学奇术!$A:$ZZ,27,FALSE)*(1+IF(OR($AH188=$F$4,$AH188=$F$5),$B$22,0))</f>
        <v>46</v>
      </c>
      <c r="AK188" s="21">
        <f>VLOOKUP($R188,武学奇术!$A:$ZZ,28,FALSE)</f>
        <v>0.354</v>
      </c>
      <c r="AL188" s="22">
        <f>VLOOKUP($R188,武学奇术!$A:$ZZ,29,FALSE)*(1+IF(OR($AH188=$F$4,$AH188=$F$5),$B$22,0))</f>
        <v>0</v>
      </c>
      <c r="AM188" s="21" cm="1">
        <f t="array" ref="AM188">$G$3+IFERROR(VLOOKUP($AH188,$F$4:$G$7,2,FALSE),0)+VLOOKUP($R188,武学奇术!$A:$ZZ,2,FALSE)+SUM(_xlfn.XLOOKUP($S188:$AG188,增益!$A:$A,增益!$B:$B,0))</f>
        <v>1.493</v>
      </c>
      <c r="AN188" s="21" cm="1">
        <f t="array" ref="AN188">VLOOKUP($R188,武学奇术!$A:$ZZ,5,FALSE)+SUM(_xlfn.XLOOKUP($S188:$AG188,增益!$A:$A,增益!$E:$E,0))</f>
        <v>0</v>
      </c>
      <c r="AO188" cm="1">
        <f t="array" ref="AO188">$D$10*(1+$AN188)+VLOOKUP($R188,武学奇术!$A:$ZZ,3,FALSE)+SUM(_xlfn.XLOOKUP($S188:$AG188,增益!$A:$A,增益!$C:$C,0))-$I$2</f>
        <v>1794.28</v>
      </c>
      <c r="AP188" cm="1">
        <f t="array" ref="AP188">$E$10*(1+$AN188)+VLOOKUP($R188,武学奇术!$A:$ZZ,4,FALSE)+SUM(_xlfn.XLOOKUP($S188:$AG188,增益!$A:$A,增益!$D:$D,0))-$I$2</f>
        <v>7726.36</v>
      </c>
      <c r="AQ188" s="26" cm="1">
        <f t="array" ref="AQ188">IF($F$10-$I$3+VLOOKUP($R188,武学奇术!$A:$ZZ,6,FALSE)+SUM(_xlfn.XLOOKUP(S188:AG188,增益!$A:$A,增益!$F:$F,0))&gt;0,($F$10-$I$3+VLOOKUP($R188,武学奇术!$A:$ZZ,6,FALSE)+SUM(_xlfn.XLOOKUP(S188:AG188,增益!$A:$A,增益!$F:$F,0)))/200,($F$10-$I$3+VLOOKUP($R188,武学奇术!$A:$ZZ,6,FALSE)+SUM(_xlfn.XLOOKUP(S188:AG188,增益!$A:$A,增益!$F:$F,0)))/100)</f>
        <v>0.244</v>
      </c>
      <c r="AR188" s="26" cm="1">
        <f t="array" ref="AR188">$G$10+VLOOKUP($R188,武学奇术!$A:$ZZ,7,FALSE)+SUM(_xlfn.XLOOKUP(S188:AG188,增益!$A:$A,增益!$G:$G,0))</f>
        <v>0</v>
      </c>
      <c r="AS188" s="21" cm="1">
        <f t="array" ref="AS188">VLOOKUP($R188,武学奇术!$A:$ZZ,8,FALSE)+SUM(_xlfn.XLOOKUP(S188:AG188,增益!$A:$A,增益!$H:$H,0))</f>
        <v>0</v>
      </c>
      <c r="AT188">
        <f t="shared" si="23"/>
        <v>680.02</v>
      </c>
      <c r="AU188">
        <f t="shared" si="24"/>
        <v>1288.54</v>
      </c>
      <c r="AV188" s="26" cm="1">
        <f t="array" ref="AV188">IF($F$11-$I$4+VLOOKUP($R188,武学奇术!$A:$ZZ,9,FALSE)+SUM(_xlfn.XLOOKUP(S188:AG188,增益!$A:$A,增益!$I:$I,0))&gt;0,($F$11-$I$4+VLOOKUP($R188,武学奇术!$A:$ZZ,9,FALSE)+SUM(_xlfn.XLOOKUP(S188:AG188,增益!$A:$A,增益!$I:$I,0)))/200,($F$11-$I$4+VLOOKUP($R188,武学奇术!$A:$ZZ,9,FALSE)+SUM(_xlfn.XLOOKUP(S188:AG188,增益!$A:$A,增益!$I:$I,0)))/100)</f>
        <v>0</v>
      </c>
      <c r="AW188" s="26" cm="1">
        <f t="array" ref="AW188">$G$11+VLOOKUP($R188,武学奇术!$A:$ZZ,10,FALSE)+SUM(_xlfn.XLOOKUP(S188:AG188,增益!$A:$A,增益!$J:$J,0))</f>
        <v>0.15</v>
      </c>
      <c r="AX188">
        <f t="shared" si="25"/>
        <v>0</v>
      </c>
      <c r="AY188">
        <f t="shared" si="26"/>
        <v>0</v>
      </c>
      <c r="AZ188" s="26" cm="1">
        <f t="array" ref="AZ188">IF($F$12-$I$4+VLOOKUP($R188,武学奇术!$A:$ZZ,11,FALSE)+SUM(_xlfn.XLOOKUP(S188:AG188,增益!$A:$A,增益!$K:$K,0))&gt;0,($F$12-$I$4+VLOOKUP($R188,武学奇术!$A:$ZZ,11,FALSE)+SUM(_xlfn.XLOOKUP(S188:AG188,增益!$A:$A,增益!$K:$K,0)))/200,($F$12-$I$4+VLOOKUP($R188,武学奇术!$A:$ZZ,11,FALSE)+SUM(_xlfn.XLOOKUP(S188:AG188,增益!$A:$A,增益!$K:$K,0)))/100)</f>
        <v>-0.3</v>
      </c>
      <c r="BA188" s="26" cm="1">
        <f t="array" ref="BA188">$G$12+VLOOKUP($R188,武学奇术!$A:$ZZ,12,FALSE)+SUM(_xlfn.XLOOKUP(S188:AG188,增益!$A:$A,增益!$L:$L,0))</f>
        <v>0</v>
      </c>
      <c r="BB188">
        <f t="shared" si="27"/>
        <v>0</v>
      </c>
      <c r="BC188">
        <f t="shared" si="28"/>
        <v>0</v>
      </c>
      <c r="BD188" s="26" cm="1">
        <f t="array" ref="BD188">IF($F$13-$I$4+VLOOKUP($R188,武学奇术!$A:$ZZ,13,FALSE)+SUM(_xlfn.XLOOKUP(S188:AG188,增益!$A:$A,增益!$M:$M,0))&gt;0,($F$13-$I$4+VLOOKUP($R188,武学奇术!$A:$ZZ,13,FALSE)+SUM(_xlfn.XLOOKUP(S188:AG188,增益!$A:$A,增益!$K:$K,0)))/200,($F$13-$I$4+VLOOKUP($R188,武学奇术!$A:$ZZ,13,FALSE)+SUM(_xlfn.XLOOKUP(S188:AG188,增益!$A:$A,增益!$M:$M,0)))/100)</f>
        <v>-0.3</v>
      </c>
      <c r="BE188" s="26" cm="1">
        <f t="array" ref="BE188">$G$13+VLOOKUP($R188,武学奇术!$A:$ZZ,14,FALSE)+SUM(_xlfn.XLOOKUP(S188:AG188,增益!$A:$A,增益!$N:$N,0))</f>
        <v>0</v>
      </c>
      <c r="BF188">
        <f t="shared" si="29"/>
        <v>0</v>
      </c>
      <c r="BG188">
        <f t="shared" si="30"/>
        <v>0</v>
      </c>
      <c r="BH188" s="26" cm="1">
        <f t="array" ref="BH188">IF($F$14-$I$4+VLOOKUP($R188,武学奇术!$A:$ZZ,15,FALSE)+SUM(_xlfn.XLOOKUP(S188:AG188,增益!$A:$A,增益!$O:$O,0))&gt;0,($F$14-$I$4+VLOOKUP($R188,武学奇术!$A:$ZZ,15,FALSE)+SUM(_xlfn.XLOOKUP(S188:AG188,增益!$A:$A,增益!$O:$O,0)))/200,($F$14-$I$4+VLOOKUP($R188,武学奇术!$A:$ZZ,15,FALSE)+SUM(_xlfn.XLOOKUP(S188:AG188,增益!$A:$A,增益!$O:$O,0)))/100)</f>
        <v>-0.3</v>
      </c>
      <c r="BI188" s="26" cm="1">
        <f t="array" ref="BI188">$G$14+VLOOKUP($R188,武学奇术!$A:$ZZ,16,FALSE)+SUM(_xlfn.XLOOKUP(S188:AG188,增益!$A:$A,增益!$P:$P,0))</f>
        <v>0</v>
      </c>
      <c r="BJ188" s="21">
        <f>MIN(IF(VLOOKUP($R188,武学奇术!$A:$ZZ,23,FALSE)=1,100%,$B$8),100%)</f>
        <v>0.8229</v>
      </c>
      <c r="BK188" s="21" cm="1">
        <f t="array" ref="BK188">IF(VLOOKUP($R188,武学奇术!$A:$ZZ,23,FALSE)=1,100%,MIN(80%,$B$9+VLOOKUP($R188,武学奇术!$A:$ZZ,17,FALSE)+SUM(_xlfn.XLOOKUP(S188:AG188,增益!$A:$A,增益!$Q:$Q,0)))+$B$11+SUM(_xlfn.XLOOKUP(S188:AG188,增益!$A:$A,增益!$U:$U,0)))*IF(VLOOKUP($R188,武学奇术!$A:$ZZ,24,FALSE)=1,0,1)</f>
        <v>0.2285</v>
      </c>
      <c r="BL188" s="21" cm="1">
        <f t="array" ref="BL188">1+$B$13+VLOOKUP($R188,武学奇术!$A:$ZZ,18,FALSE)+SUM(_xlfn.XLOOKUP(S188:AG188,增益!$A:$A,增益!$R:$R,0))</f>
        <v>1.5</v>
      </c>
      <c r="BM188" s="21" cm="1">
        <f t="array" ref="BM188">IF(VLOOKUP($R188,武学奇术!$A:$ZZ,24,FALSE)=1,100%,MIN(40%,$B$10+VLOOKUP($R188,武学奇术!$A:$ZZ,19,FALSE)+SUM(_xlfn.XLOOKUP(S188:AG188,增益!$A:$A,增益!$S:$S,0)))+$B$12+SUM(_xlfn.XLOOKUP(S188:AG188,增益!$A:$A,增益!$V:$V,0)))*IF(VLOOKUP($R188,武学奇术!$A:$ZZ,23,FALSE)=1,0,1)</f>
        <v>0.4495</v>
      </c>
      <c r="BN188" s="21" cm="1">
        <f t="array" ref="BN188">1+$B$14+VLOOKUP($R188,武学奇术!$A:$ZZ,20,FALSE)+SUM(_xlfn.XLOOKUP(S188:AG188,增益!$A:$A,增益!$T:$T,0))</f>
        <v>1.602</v>
      </c>
      <c r="BO188" s="21">
        <f t="shared" si="31"/>
        <v>0.18803265</v>
      </c>
      <c r="BP188" s="21">
        <f t="shared" si="32"/>
        <v>0.2649738</v>
      </c>
      <c r="BQ188" s="21">
        <f>IF(VLOOKUP($R188,武学奇术!$A:$ZZ,22,FALSE)=1,0,(1-$BJ188))*(1-$BM188)</f>
        <v>0.09749355</v>
      </c>
      <c r="BR188" s="21" cm="1">
        <f t="array" ref="BR188">SUM(_xlfn.XLOOKUP(S188:AG188,增益!$A:$A,增益!$W:$W,0))+$I$5</f>
        <v>0.16</v>
      </c>
    </row>
    <row r="189" spans="11:70">
      <c r="K189" s="24">
        <f>$L189*VLOOKUP($R189,武学奇术!$A:$ZZ,31,FALSE)</f>
        <v>9113.14111990186</v>
      </c>
      <c r="L189" s="24">
        <f t="shared" si="22"/>
        <v>18226.2822398037</v>
      </c>
      <c r="M189" s="24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BL189*$Q189*(1+IF(VLOOKUP($R189,武学奇术!$A:$ZZ,30,FALSE)="流血",$B$21,0))*(1+$BR189)</f>
        <v>16097.4606731159</v>
      </c>
      <c r="N189" s="24">
        <f>(($AP189*$AI189+$AJ189)*(1+$AQ189)*(1+$AR189)+($AU189*IF($G$1="鸣金",$AK189,$AI189)+IF($G$1="鸣金",$AL189*1.5,0))*(1+$AV189)*(1+$AW189)+($AY189*IF($G$1="裂石",$AK189,$AI189)+IF($G$1="裂石",$AL189*1.5,0))*(1+$AZ189)*(1+$BA189)+($BC189*IF($G$1="牵丝",$AK189,$AI189)+IF($G$1="牵丝",$AL189*1.5,0))*(1+$BD189)*(1+$BE189)+($BG189*IF($G$1="破竹",$AK189,$AI189)+IF($G$1="破竹",$AL189*1.5,0))*(1+$BH189)*(1+$BI189))*(1+$AM189)*$BN189*$Q189*(1+IF(VLOOKUP($R189,武学奇术!$A:$ZZ,30,FALSE)="流血",$B$21,0))*(1+$BR189)</f>
        <v>26408.0648203799</v>
      </c>
      <c r="O189" s="24">
        <f>((($AO189+$AP189)/2*$AI189+$AJ189)*(1+$AQ189)*(1+$AR189)+(($AT189+$AU189)/2*IF($G$1="鸣金",$AK189,$AI189)+IF($G$1="鸣金",$AL189*1.5,0))*(1+$AV189)*(1+$AW189)+(($AX189+$AY189)/2*IF($G$1="裂石",$AK189,$AI189)+IF($G$1="裂石",$AL189*1.5,0))*(1+$AZ189)*(1+$BA189)+(($BB189+$BC189)/2*IF($G$1="牵丝",$AK189,$AI189)+IF($G$1="牵丝",$AL189*1.5,0))*(1+$BD189)*(1+$BE189)+(($BF189+$BG189)/2*IF($G$1="破竹",$AK189,$AI189)+IF($G$1="破竹",$AL189*1.5,0))*(1+$BH189)*(1+$BI189))*(1+$AM189)*$Q189*(1+IF(VLOOKUP($R189,武学奇术!$A:$ZZ,30,FALSE)="流血",$B$21,0))*(1+$BR189)</f>
        <v>10731.6404487439</v>
      </c>
      <c r="P189" s="24">
        <f>((($AO189*$AI189+$AJ189)*(1+$AQ189)*(1+$AR189)+($AT189*IF($G$1="鸣金",$AK189,$AI189)+IF($G$1="鸣金",$AL189*1.5,0))*(1+$AV189)*(1+$AW189)+($AX189*IF($G$1="裂石",$AK189,$AI189)+IF($G$1="裂石",$AL189*1.5,0))*(1+$AZ189)*(1+$BA189)+($BB189*IF($G$1="牵丝",$AK189,$AI189)+IF($G$1="牵丝",$AL189*1.5,0))*(1+$BD189)*(1+$BE189)+($BF189*IF($G$1="破竹",$AK189,$AI189)+IF($G$1="破竹",$AL189*1.5,0))*(1+$BH189)*(1+$BI189))*(1+$AM189))*$Q189*(1+IF(VLOOKUP($R189,武学奇术!$A:$ZZ,30,FALSE)="流血",$B$21,0))*(1+$BR189)</f>
        <v>4978.84592846172</v>
      </c>
      <c r="Q189" s="31">
        <v>2</v>
      </c>
      <c r="R189" s="32" t="s">
        <v>194</v>
      </c>
      <c r="S189" s="32" t="s">
        <v>87</v>
      </c>
      <c r="T189" s="32" t="s">
        <v>96</v>
      </c>
      <c r="U189" s="32" t="s">
        <v>97</v>
      </c>
      <c r="V189" s="32" t="s">
        <v>73</v>
      </c>
      <c r="W189" s="32" t="s">
        <v>73</v>
      </c>
      <c r="X189" s="32" t="s">
        <v>127</v>
      </c>
      <c r="Y189" s="32" t="s">
        <v>179</v>
      </c>
      <c r="Z189" s="32" t="s">
        <v>182</v>
      </c>
      <c r="AA189" s="32" t="s">
        <v>81</v>
      </c>
      <c r="AB189" s="32" t="s">
        <v>75</v>
      </c>
      <c r="AC189" s="32" t="s">
        <v>89</v>
      </c>
      <c r="AD189" s="32" t="s">
        <v>82</v>
      </c>
      <c r="AE189" s="32" t="s">
        <v>183</v>
      </c>
      <c r="AF189" s="32" t="s">
        <v>73</v>
      </c>
      <c r="AG189" s="32" t="s">
        <v>178</v>
      </c>
      <c r="AH189" t="str">
        <f>VLOOKUP($R189,武学奇术!$A:$ZZ,25,FALSE)</f>
        <v>单体奇术</v>
      </c>
      <c r="AI189" s="21">
        <f>VLOOKUP($R189,武学奇术!$A:$ZZ,26,FALSE)</f>
        <v>0.236</v>
      </c>
      <c r="AJ189" s="22">
        <f>VLOOKUP($R189,武学奇术!$A:$ZZ,27,FALSE)*(1+IF(OR($AH189=$F$4,$AH189=$F$5),$B$22,0))</f>
        <v>46</v>
      </c>
      <c r="AK189" s="21">
        <f>VLOOKUP($R189,武学奇术!$A:$ZZ,28,FALSE)</f>
        <v>0.354</v>
      </c>
      <c r="AL189" s="22">
        <f>VLOOKUP($R189,武学奇术!$A:$ZZ,29,FALSE)*(1+IF(OR($AH189=$F$4,$AH189=$F$5),$B$22,0))</f>
        <v>0</v>
      </c>
      <c r="AM189" s="21" cm="1">
        <f t="array" ref="AM189">$G$3+IFERROR(VLOOKUP($AH189,$F$4:$G$7,2,FALSE),0)+VLOOKUP($R189,武学奇术!$A:$ZZ,2,FALSE)+SUM(_xlfn.XLOOKUP($S189:$AG189,增益!$A:$A,增益!$B:$B,0))</f>
        <v>1.493</v>
      </c>
      <c r="AN189" s="21" cm="1">
        <f t="array" ref="AN189">VLOOKUP($R189,武学奇术!$A:$ZZ,5,FALSE)+SUM(_xlfn.XLOOKUP($S189:$AG189,增益!$A:$A,增益!$E:$E,0))</f>
        <v>0</v>
      </c>
      <c r="AO189" cm="1">
        <f t="array" ref="AO189">$D$10*(1+$AN189)+VLOOKUP($R189,武学奇术!$A:$ZZ,3,FALSE)+SUM(_xlfn.XLOOKUP($S189:$AG189,增益!$A:$A,增益!$C:$C,0))-$I$2</f>
        <v>1794.28</v>
      </c>
      <c r="AP189" cm="1">
        <f t="array" ref="AP189">$E$10*(1+$AN189)+VLOOKUP($R189,武学奇术!$A:$ZZ,4,FALSE)+SUM(_xlfn.XLOOKUP($S189:$AG189,增益!$A:$A,增益!$D:$D,0))-$I$2</f>
        <v>7726.36</v>
      </c>
      <c r="AQ189" s="26" cm="1">
        <f t="array" ref="AQ189">IF($F$10-$I$3+VLOOKUP($R189,武学奇术!$A:$ZZ,6,FALSE)+SUM(_xlfn.XLOOKUP(S189:AG189,增益!$A:$A,增益!$F:$F,0))&gt;0,($F$10-$I$3+VLOOKUP($R189,武学奇术!$A:$ZZ,6,FALSE)+SUM(_xlfn.XLOOKUP(S189:AG189,增益!$A:$A,增益!$F:$F,0)))/200,($F$10-$I$3+VLOOKUP($R189,武学奇术!$A:$ZZ,6,FALSE)+SUM(_xlfn.XLOOKUP(S189:AG189,增益!$A:$A,增益!$F:$F,0)))/100)</f>
        <v>0.244</v>
      </c>
      <c r="AR189" s="26" cm="1">
        <f t="array" ref="AR189">$G$10+VLOOKUP($R189,武学奇术!$A:$ZZ,7,FALSE)+SUM(_xlfn.XLOOKUP(S189:AG189,增益!$A:$A,增益!$G:$G,0))</f>
        <v>0</v>
      </c>
      <c r="AS189" s="21" cm="1">
        <f t="array" ref="AS189">VLOOKUP($R189,武学奇术!$A:$ZZ,8,FALSE)+SUM(_xlfn.XLOOKUP(S189:AG189,增益!$A:$A,增益!$H:$H,0))</f>
        <v>0</v>
      </c>
      <c r="AT189">
        <f t="shared" si="23"/>
        <v>680.02</v>
      </c>
      <c r="AU189">
        <f t="shared" si="24"/>
        <v>1288.54</v>
      </c>
      <c r="AV189" s="26" cm="1">
        <f t="array" ref="AV189">IF($F$11-$I$4+VLOOKUP($R189,武学奇术!$A:$ZZ,9,FALSE)+SUM(_xlfn.XLOOKUP(S189:AG189,增益!$A:$A,增益!$I:$I,0))&gt;0,($F$11-$I$4+VLOOKUP($R189,武学奇术!$A:$ZZ,9,FALSE)+SUM(_xlfn.XLOOKUP(S189:AG189,增益!$A:$A,增益!$I:$I,0)))/200,($F$11-$I$4+VLOOKUP($R189,武学奇术!$A:$ZZ,9,FALSE)+SUM(_xlfn.XLOOKUP(S189:AG189,增益!$A:$A,增益!$I:$I,0)))/100)</f>
        <v>0</v>
      </c>
      <c r="AW189" s="26" cm="1">
        <f t="array" ref="AW189">$G$11+VLOOKUP($R189,武学奇术!$A:$ZZ,10,FALSE)+SUM(_xlfn.XLOOKUP(S189:AG189,增益!$A:$A,增益!$J:$J,0))</f>
        <v>0.15</v>
      </c>
      <c r="AX189">
        <f t="shared" si="25"/>
        <v>0</v>
      </c>
      <c r="AY189">
        <f t="shared" si="26"/>
        <v>0</v>
      </c>
      <c r="AZ189" s="26" cm="1">
        <f t="array" ref="AZ189">IF($F$12-$I$4+VLOOKUP($R189,武学奇术!$A:$ZZ,11,FALSE)+SUM(_xlfn.XLOOKUP(S189:AG189,增益!$A:$A,增益!$K:$K,0))&gt;0,($F$12-$I$4+VLOOKUP($R189,武学奇术!$A:$ZZ,11,FALSE)+SUM(_xlfn.XLOOKUP(S189:AG189,增益!$A:$A,增益!$K:$K,0)))/200,($F$12-$I$4+VLOOKUP($R189,武学奇术!$A:$ZZ,11,FALSE)+SUM(_xlfn.XLOOKUP(S189:AG189,增益!$A:$A,增益!$K:$K,0)))/100)</f>
        <v>-0.3</v>
      </c>
      <c r="BA189" s="26" cm="1">
        <f t="array" ref="BA189">$G$12+VLOOKUP($R189,武学奇术!$A:$ZZ,12,FALSE)+SUM(_xlfn.XLOOKUP(S189:AG189,增益!$A:$A,增益!$L:$L,0))</f>
        <v>0</v>
      </c>
      <c r="BB189">
        <f t="shared" si="27"/>
        <v>0</v>
      </c>
      <c r="BC189">
        <f t="shared" si="28"/>
        <v>0</v>
      </c>
      <c r="BD189" s="26" cm="1">
        <f t="array" ref="BD189">IF($F$13-$I$4+VLOOKUP($R189,武学奇术!$A:$ZZ,13,FALSE)+SUM(_xlfn.XLOOKUP(S189:AG189,增益!$A:$A,增益!$M:$M,0))&gt;0,($F$13-$I$4+VLOOKUP($R189,武学奇术!$A:$ZZ,13,FALSE)+SUM(_xlfn.XLOOKUP(S189:AG189,增益!$A:$A,增益!$K:$K,0)))/200,($F$13-$I$4+VLOOKUP($R189,武学奇术!$A:$ZZ,13,FALSE)+SUM(_xlfn.XLOOKUP(S189:AG189,增益!$A:$A,增益!$M:$M,0)))/100)</f>
        <v>-0.3</v>
      </c>
      <c r="BE189" s="26" cm="1">
        <f t="array" ref="BE189">$G$13+VLOOKUP($R189,武学奇术!$A:$ZZ,14,FALSE)+SUM(_xlfn.XLOOKUP(S189:AG189,增益!$A:$A,增益!$N:$N,0))</f>
        <v>0</v>
      </c>
      <c r="BF189">
        <f t="shared" si="29"/>
        <v>0</v>
      </c>
      <c r="BG189">
        <f t="shared" si="30"/>
        <v>0</v>
      </c>
      <c r="BH189" s="26" cm="1">
        <f t="array" ref="BH189">IF($F$14-$I$4+VLOOKUP($R189,武学奇术!$A:$ZZ,15,FALSE)+SUM(_xlfn.XLOOKUP(S189:AG189,增益!$A:$A,增益!$O:$O,0))&gt;0,($F$14-$I$4+VLOOKUP($R189,武学奇术!$A:$ZZ,15,FALSE)+SUM(_xlfn.XLOOKUP(S189:AG189,增益!$A:$A,增益!$O:$O,0)))/200,($F$14-$I$4+VLOOKUP($R189,武学奇术!$A:$ZZ,15,FALSE)+SUM(_xlfn.XLOOKUP(S189:AG189,增益!$A:$A,增益!$O:$O,0)))/100)</f>
        <v>-0.3</v>
      </c>
      <c r="BI189" s="26" cm="1">
        <f t="array" ref="BI189">$G$14+VLOOKUP($R189,武学奇术!$A:$ZZ,16,FALSE)+SUM(_xlfn.XLOOKUP(S189:AG189,增益!$A:$A,增益!$P:$P,0))</f>
        <v>0</v>
      </c>
      <c r="BJ189" s="21">
        <f>MIN(IF(VLOOKUP($R189,武学奇术!$A:$ZZ,23,FALSE)=1,100%,$B$8),100%)</f>
        <v>0.8229</v>
      </c>
      <c r="BK189" s="21" cm="1">
        <f t="array" ref="BK189">IF(VLOOKUP($R189,武学奇术!$A:$ZZ,23,FALSE)=1,100%,MIN(80%,$B$9+VLOOKUP($R189,武学奇术!$A:$ZZ,17,FALSE)+SUM(_xlfn.XLOOKUP(S189:AG189,增益!$A:$A,增益!$Q:$Q,0)))+$B$11+SUM(_xlfn.XLOOKUP(S189:AG189,增益!$A:$A,增益!$U:$U,0)))*IF(VLOOKUP($R189,武学奇术!$A:$ZZ,24,FALSE)=1,0,1)</f>
        <v>0.2285</v>
      </c>
      <c r="BL189" s="21" cm="1">
        <f t="array" ref="BL189">1+$B$13+VLOOKUP($R189,武学奇术!$A:$ZZ,18,FALSE)+SUM(_xlfn.XLOOKUP(S189:AG189,增益!$A:$A,增益!$R:$R,0))</f>
        <v>1.5</v>
      </c>
      <c r="BM189" s="21" cm="1">
        <f t="array" ref="BM189">IF(VLOOKUP($R189,武学奇术!$A:$ZZ,24,FALSE)=1,100%,MIN(40%,$B$10+VLOOKUP($R189,武学奇术!$A:$ZZ,19,FALSE)+SUM(_xlfn.XLOOKUP(S189:AG189,增益!$A:$A,增益!$S:$S,0)))+$B$12+SUM(_xlfn.XLOOKUP(S189:AG189,增益!$A:$A,增益!$V:$V,0)))*IF(VLOOKUP($R189,武学奇术!$A:$ZZ,23,FALSE)=1,0,1)</f>
        <v>0.4495</v>
      </c>
      <c r="BN189" s="21" cm="1">
        <f t="array" ref="BN189">1+$B$14+VLOOKUP($R189,武学奇术!$A:$ZZ,20,FALSE)+SUM(_xlfn.XLOOKUP(S189:AG189,增益!$A:$A,增益!$T:$T,0))</f>
        <v>1.602</v>
      </c>
      <c r="BO189" s="21">
        <f t="shared" si="31"/>
        <v>0.18803265</v>
      </c>
      <c r="BP189" s="21">
        <f t="shared" si="32"/>
        <v>0.2649738</v>
      </c>
      <c r="BQ189" s="21">
        <f>IF(VLOOKUP($R189,武学奇术!$A:$ZZ,22,FALSE)=1,0,(1-$BJ189))*(1-$BM189)</f>
        <v>0.09749355</v>
      </c>
      <c r="BR189" s="21" cm="1">
        <f t="array" ref="BR189">SUM(_xlfn.XLOOKUP(S189:AG189,增益!$A:$A,增益!$W:$W,0))+$I$5</f>
        <v>0.16</v>
      </c>
    </row>
    <row r="190" spans="11:70">
      <c r="K190" s="24">
        <f>$L190*VLOOKUP($R190,武学奇术!$A:$ZZ,31,FALSE)</f>
        <v>9149.05684089238</v>
      </c>
      <c r="L190" s="24">
        <f t="shared" si="22"/>
        <v>18298.1136817848</v>
      </c>
      <c r="M190" s="24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BL190*$Q190*(1+IF(VLOOKUP($R190,武学奇术!$A:$ZZ,30,FALSE)="流血",$B$21,0))*(1+$BR190)</f>
        <v>16176.4185750225</v>
      </c>
      <c r="N190" s="24">
        <f>(($AP190*$AI190+$AJ190)*(1+$AQ190)*(1+$AR190)+($AU190*IF($G$1="鸣金",$AK190,$AI190)+IF($G$1="鸣金",$AL190*1.5,0))*(1+$AV190)*(1+$AW190)+($AY190*IF($G$1="裂石",$AK190,$AI190)+IF($G$1="裂石",$AL190*1.5,0))*(1+$AZ190)*(1+$BA190)+($BC190*IF($G$1="牵丝",$AK190,$AI190)+IF($G$1="牵丝",$AL190*1.5,0))*(1+$BD190)*(1+$BE190)+($BG190*IF($G$1="破竹",$AK190,$AI190)+IF($G$1="破竹",$AL190*1.5,0))*(1+$BH190)*(1+$BI190))*(1+$AM190)*$BN190*$Q190*(1+IF(VLOOKUP($R190,武学奇术!$A:$ZZ,30,FALSE)="流血",$B$21,0))*(1+$BR190)</f>
        <v>26492.3918596162</v>
      </c>
      <c r="O190" s="24">
        <f>((($AO190+$AP190)/2*$AI190+$AJ190)*(1+$AQ190)*(1+$AR190)+(($AT190+$AU190)/2*IF($G$1="鸣金",$AK190,$AI190)+IF($G$1="鸣金",$AL190*1.5,0))*(1+$AV190)*(1+$AW190)+(($AX190+$AY190)/2*IF($G$1="裂石",$AK190,$AI190)+IF($G$1="裂石",$AL190*1.5,0))*(1+$AZ190)*(1+$BA190)+(($BB190+$BC190)/2*IF($G$1="牵丝",$AK190,$AI190)+IF($G$1="牵丝",$AL190*1.5,0))*(1+$BD190)*(1+$BE190)+(($BF190+$BG190)/2*IF($G$1="破竹",$AK190,$AI190)+IF($G$1="破竹",$AL190*1.5,0))*(1+$BH190)*(1+$BI190))*(1+$AM190)*$Q190*(1+IF(VLOOKUP($R190,武学奇术!$A:$ZZ,30,FALSE)="流血",$B$21,0))*(1+$BR190)</f>
        <v>10784.279050015</v>
      </c>
      <c r="P190" s="24">
        <f>((($AO190*$AI190+$AJ190)*(1+$AQ190)*(1+$AR190)+($AT190*IF($G$1="鸣金",$AK190,$AI190)+IF($G$1="鸣金",$AL190*1.5,0))*(1+$AV190)*(1+$AW190)+($AX190*IF($G$1="裂石",$AK190,$AI190)+IF($G$1="裂石",$AL190*1.5,0))*(1+$AZ190)*(1+$BA190)+($BB190*IF($G$1="牵丝",$AK190,$AI190)+IF($G$1="牵丝",$AL190*1.5,0))*(1+$BD190)*(1+$BE190)+($BF190*IF($G$1="破竹",$AK190,$AI190)+IF($G$1="破竹",$AL190*1.5,0))*(1+$BH190)*(1+$BI190))*(1+$AM190))*$Q190*(1+IF(VLOOKUP($R190,武学奇术!$A:$ZZ,30,FALSE)="流血",$B$21,0))*(1+$BR190)</f>
        <v>5031.48452973276</v>
      </c>
      <c r="Q190" s="31">
        <v>2</v>
      </c>
      <c r="R190" s="32" t="s">
        <v>194</v>
      </c>
      <c r="S190" s="32" t="s">
        <v>87</v>
      </c>
      <c r="T190" s="32" t="s">
        <v>96</v>
      </c>
      <c r="U190" s="32" t="s">
        <v>97</v>
      </c>
      <c r="V190" s="32" t="s">
        <v>73</v>
      </c>
      <c r="W190" s="32" t="s">
        <v>111</v>
      </c>
      <c r="X190" s="32" t="s">
        <v>127</v>
      </c>
      <c r="Y190" s="32" t="s">
        <v>179</v>
      </c>
      <c r="Z190" s="32" t="s">
        <v>182</v>
      </c>
      <c r="AA190" s="32" t="s">
        <v>81</v>
      </c>
      <c r="AB190" s="32" t="s">
        <v>75</v>
      </c>
      <c r="AC190" s="32" t="s">
        <v>89</v>
      </c>
      <c r="AD190" s="32" t="s">
        <v>82</v>
      </c>
      <c r="AE190" s="32" t="s">
        <v>183</v>
      </c>
      <c r="AF190" s="32" t="s">
        <v>73</v>
      </c>
      <c r="AG190" s="32" t="s">
        <v>178</v>
      </c>
      <c r="AH190" t="str">
        <f>VLOOKUP($R190,武学奇术!$A:$ZZ,25,FALSE)</f>
        <v>单体奇术</v>
      </c>
      <c r="AI190" s="21">
        <f>VLOOKUP($R190,武学奇术!$A:$ZZ,26,FALSE)</f>
        <v>0.236</v>
      </c>
      <c r="AJ190" s="22">
        <f>VLOOKUP($R190,武学奇术!$A:$ZZ,27,FALSE)*(1+IF(OR($AH190=$F$4,$AH190=$F$5),$B$22,0))</f>
        <v>46</v>
      </c>
      <c r="AK190" s="21">
        <f>VLOOKUP($R190,武学奇术!$A:$ZZ,28,FALSE)</f>
        <v>0.354</v>
      </c>
      <c r="AL190" s="22">
        <f>VLOOKUP($R190,武学奇术!$A:$ZZ,29,FALSE)*(1+IF(OR($AH190=$F$4,$AH190=$F$5),$B$22,0))</f>
        <v>0</v>
      </c>
      <c r="AM190" s="21" cm="1">
        <f t="array" ref="AM190">$G$3+IFERROR(VLOOKUP($AH190,$F$4:$G$7,2,FALSE),0)+VLOOKUP($R190,武学奇术!$A:$ZZ,2,FALSE)+SUM(_xlfn.XLOOKUP($S190:$AG190,增益!$A:$A,增益!$B:$B,0))</f>
        <v>1.493</v>
      </c>
      <c r="AN190" s="21" cm="1">
        <f t="array" ref="AN190">VLOOKUP($R190,武学奇术!$A:$ZZ,5,FALSE)+SUM(_xlfn.XLOOKUP($S190:$AG190,增益!$A:$A,增益!$E:$E,0))</f>
        <v>0</v>
      </c>
      <c r="AO190" cm="1">
        <f t="array" ref="AO190">$D$10*(1+$AN190)+VLOOKUP($R190,武学奇术!$A:$ZZ,3,FALSE)+SUM(_xlfn.XLOOKUP($S190:$AG190,增益!$A:$A,增益!$C:$C,0))-$I$2</f>
        <v>1825.28</v>
      </c>
      <c r="AP190" cm="1">
        <f t="array" ref="AP190">$E$10*(1+$AN190)+VLOOKUP($R190,武学奇术!$A:$ZZ,4,FALSE)+SUM(_xlfn.XLOOKUP($S190:$AG190,增益!$A:$A,增益!$D:$D,0))-$I$2</f>
        <v>7757.36</v>
      </c>
      <c r="AQ190" s="26" cm="1">
        <f t="array" ref="AQ190">IF($F$10-$I$3+VLOOKUP($R190,武学奇术!$A:$ZZ,6,FALSE)+SUM(_xlfn.XLOOKUP(S190:AG190,增益!$A:$A,增益!$F:$F,0))&gt;0,($F$10-$I$3+VLOOKUP($R190,武学奇术!$A:$ZZ,6,FALSE)+SUM(_xlfn.XLOOKUP(S190:AG190,增益!$A:$A,增益!$F:$F,0)))/200,($F$10-$I$3+VLOOKUP($R190,武学奇术!$A:$ZZ,6,FALSE)+SUM(_xlfn.XLOOKUP(S190:AG190,增益!$A:$A,增益!$F:$F,0)))/100)</f>
        <v>0.244</v>
      </c>
      <c r="AR190" s="26" cm="1">
        <f t="array" ref="AR190">$G$10+VLOOKUP($R190,武学奇术!$A:$ZZ,7,FALSE)+SUM(_xlfn.XLOOKUP(S190:AG190,增益!$A:$A,增益!$G:$G,0))</f>
        <v>0</v>
      </c>
      <c r="AS190" s="21" cm="1">
        <f t="array" ref="AS190">VLOOKUP($R190,武学奇术!$A:$ZZ,8,FALSE)+SUM(_xlfn.XLOOKUP(S190:AG190,增益!$A:$A,增益!$H:$H,0))</f>
        <v>0</v>
      </c>
      <c r="AT190">
        <f t="shared" si="23"/>
        <v>680.02</v>
      </c>
      <c r="AU190">
        <f t="shared" si="24"/>
        <v>1288.54</v>
      </c>
      <c r="AV190" s="26" cm="1">
        <f t="array" ref="AV190">IF($F$11-$I$4+VLOOKUP($R190,武学奇术!$A:$ZZ,9,FALSE)+SUM(_xlfn.XLOOKUP(S190:AG190,增益!$A:$A,增益!$I:$I,0))&gt;0,($F$11-$I$4+VLOOKUP($R190,武学奇术!$A:$ZZ,9,FALSE)+SUM(_xlfn.XLOOKUP(S190:AG190,增益!$A:$A,增益!$I:$I,0)))/200,($F$11-$I$4+VLOOKUP($R190,武学奇术!$A:$ZZ,9,FALSE)+SUM(_xlfn.XLOOKUP(S190:AG190,增益!$A:$A,增益!$I:$I,0)))/100)</f>
        <v>0</v>
      </c>
      <c r="AW190" s="26" cm="1">
        <f t="array" ref="AW190">$G$11+VLOOKUP($R190,武学奇术!$A:$ZZ,10,FALSE)+SUM(_xlfn.XLOOKUP(S190:AG190,增益!$A:$A,增益!$J:$J,0))</f>
        <v>0.15</v>
      </c>
      <c r="AX190">
        <f t="shared" si="25"/>
        <v>0</v>
      </c>
      <c r="AY190">
        <f t="shared" si="26"/>
        <v>0</v>
      </c>
      <c r="AZ190" s="26" cm="1">
        <f t="array" ref="AZ190">IF($F$12-$I$4+VLOOKUP($R190,武学奇术!$A:$ZZ,11,FALSE)+SUM(_xlfn.XLOOKUP(S190:AG190,增益!$A:$A,增益!$K:$K,0))&gt;0,($F$12-$I$4+VLOOKUP($R190,武学奇术!$A:$ZZ,11,FALSE)+SUM(_xlfn.XLOOKUP(S190:AG190,增益!$A:$A,增益!$K:$K,0)))/200,($F$12-$I$4+VLOOKUP($R190,武学奇术!$A:$ZZ,11,FALSE)+SUM(_xlfn.XLOOKUP(S190:AG190,增益!$A:$A,增益!$K:$K,0)))/100)</f>
        <v>-0.3</v>
      </c>
      <c r="BA190" s="26" cm="1">
        <f t="array" ref="BA190">$G$12+VLOOKUP($R190,武学奇术!$A:$ZZ,12,FALSE)+SUM(_xlfn.XLOOKUP(S190:AG190,增益!$A:$A,增益!$L:$L,0))</f>
        <v>0</v>
      </c>
      <c r="BB190">
        <f t="shared" si="27"/>
        <v>0</v>
      </c>
      <c r="BC190">
        <f t="shared" si="28"/>
        <v>0</v>
      </c>
      <c r="BD190" s="26" cm="1">
        <f t="array" ref="BD190">IF($F$13-$I$4+VLOOKUP($R190,武学奇术!$A:$ZZ,13,FALSE)+SUM(_xlfn.XLOOKUP(S190:AG190,增益!$A:$A,增益!$M:$M,0))&gt;0,($F$13-$I$4+VLOOKUP($R190,武学奇术!$A:$ZZ,13,FALSE)+SUM(_xlfn.XLOOKUP(S190:AG190,增益!$A:$A,增益!$K:$K,0)))/200,($F$13-$I$4+VLOOKUP($R190,武学奇术!$A:$ZZ,13,FALSE)+SUM(_xlfn.XLOOKUP(S190:AG190,增益!$A:$A,增益!$M:$M,0)))/100)</f>
        <v>-0.3</v>
      </c>
      <c r="BE190" s="26" cm="1">
        <f t="array" ref="BE190">$G$13+VLOOKUP($R190,武学奇术!$A:$ZZ,14,FALSE)+SUM(_xlfn.XLOOKUP(S190:AG190,增益!$A:$A,增益!$N:$N,0))</f>
        <v>0</v>
      </c>
      <c r="BF190">
        <f t="shared" si="29"/>
        <v>0</v>
      </c>
      <c r="BG190">
        <f t="shared" si="30"/>
        <v>0</v>
      </c>
      <c r="BH190" s="26" cm="1">
        <f t="array" ref="BH190">IF($F$14-$I$4+VLOOKUP($R190,武学奇术!$A:$ZZ,15,FALSE)+SUM(_xlfn.XLOOKUP(S190:AG190,增益!$A:$A,增益!$O:$O,0))&gt;0,($F$14-$I$4+VLOOKUP($R190,武学奇术!$A:$ZZ,15,FALSE)+SUM(_xlfn.XLOOKUP(S190:AG190,增益!$A:$A,增益!$O:$O,0)))/200,($F$14-$I$4+VLOOKUP($R190,武学奇术!$A:$ZZ,15,FALSE)+SUM(_xlfn.XLOOKUP(S190:AG190,增益!$A:$A,增益!$O:$O,0)))/100)</f>
        <v>-0.3</v>
      </c>
      <c r="BI190" s="26" cm="1">
        <f t="array" ref="BI190">$G$14+VLOOKUP($R190,武学奇术!$A:$ZZ,16,FALSE)+SUM(_xlfn.XLOOKUP(S190:AG190,增益!$A:$A,增益!$P:$P,0))</f>
        <v>0</v>
      </c>
      <c r="BJ190" s="21">
        <f>MIN(IF(VLOOKUP($R190,武学奇术!$A:$ZZ,23,FALSE)=1,100%,$B$8),100%)</f>
        <v>0.8229</v>
      </c>
      <c r="BK190" s="21" cm="1">
        <f t="array" ref="BK190">IF(VLOOKUP($R190,武学奇术!$A:$ZZ,23,FALSE)=1,100%,MIN(80%,$B$9+VLOOKUP($R190,武学奇术!$A:$ZZ,17,FALSE)+SUM(_xlfn.XLOOKUP(S190:AG190,增益!$A:$A,增益!$Q:$Q,0)))+$B$11+SUM(_xlfn.XLOOKUP(S190:AG190,增益!$A:$A,增益!$U:$U,0)))*IF(VLOOKUP($R190,武学奇术!$A:$ZZ,24,FALSE)=1,0,1)</f>
        <v>0.2285</v>
      </c>
      <c r="BL190" s="21" cm="1">
        <f t="array" ref="BL190">1+$B$13+VLOOKUP($R190,武学奇术!$A:$ZZ,18,FALSE)+SUM(_xlfn.XLOOKUP(S190:AG190,增益!$A:$A,增益!$R:$R,0))</f>
        <v>1.5</v>
      </c>
      <c r="BM190" s="21" cm="1">
        <f t="array" ref="BM190">IF(VLOOKUP($R190,武学奇术!$A:$ZZ,24,FALSE)=1,100%,MIN(40%,$B$10+VLOOKUP($R190,武学奇术!$A:$ZZ,19,FALSE)+SUM(_xlfn.XLOOKUP(S190:AG190,增益!$A:$A,增益!$S:$S,0)))+$B$12+SUM(_xlfn.XLOOKUP(S190:AG190,增益!$A:$A,增益!$V:$V,0)))*IF(VLOOKUP($R190,武学奇术!$A:$ZZ,23,FALSE)=1,0,1)</f>
        <v>0.4495</v>
      </c>
      <c r="BN190" s="21" cm="1">
        <f t="array" ref="BN190">1+$B$14+VLOOKUP($R190,武学奇术!$A:$ZZ,20,FALSE)+SUM(_xlfn.XLOOKUP(S190:AG190,增益!$A:$A,增益!$T:$T,0))</f>
        <v>1.602</v>
      </c>
      <c r="BO190" s="21">
        <f t="shared" si="31"/>
        <v>0.18803265</v>
      </c>
      <c r="BP190" s="21">
        <f t="shared" si="32"/>
        <v>0.2649738</v>
      </c>
      <c r="BQ190" s="21">
        <f>IF(VLOOKUP($R190,武学奇术!$A:$ZZ,22,FALSE)=1,0,(1-$BJ190))*(1-$BM190)</f>
        <v>0.09749355</v>
      </c>
      <c r="BR190" s="21" cm="1">
        <f t="array" ref="BR190">SUM(_xlfn.XLOOKUP(S190:AG190,增益!$A:$A,增益!$W:$W,0))+$I$5</f>
        <v>0.16</v>
      </c>
    </row>
    <row r="191" spans="11:70">
      <c r="K191" s="24">
        <f>$L191*VLOOKUP($R191,武学奇术!$A:$ZZ,31,FALSE)</f>
        <v>13448.3428774369</v>
      </c>
      <c r="L191" s="24">
        <f t="shared" si="22"/>
        <v>26896.6857548737</v>
      </c>
      <c r="M191" s="24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BL191*$Q191*(1+IF(VLOOKUP($R191,武学奇术!$A:$ZZ,30,FALSE)="流血",$B$21,0))*(1+$BR191)</f>
        <v>23777.972670746</v>
      </c>
      <c r="N191" s="24">
        <f>(($AP191*$AI191+$AJ191)*(1+$AQ191)*(1+$AR191)+($AU191*IF($G$1="鸣金",$AK191,$AI191)+IF($G$1="鸣金",$AL191*1.5,0))*(1+$AV191)*(1+$AW191)+($AY191*IF($G$1="裂石",$AK191,$AI191)+IF($G$1="裂石",$AL191*1.5,0))*(1+$AZ191)*(1+$BA191)+($BC191*IF($G$1="牵丝",$AK191,$AI191)+IF($G$1="牵丝",$AL191*1.5,0))*(1+$BD191)*(1+$BE191)+($BG191*IF($G$1="破竹",$AK191,$AI191)+IF($G$1="破竹",$AL191*1.5,0))*(1+$BH191)*(1+$BI191))*(1+$AM191)*$BN191*$Q191*(1+IF(VLOOKUP($R191,武学奇术!$A:$ZZ,30,FALSE)="流血",$B$21,0))*(1+$BR191)</f>
        <v>38941.5844242132</v>
      </c>
      <c r="O191" s="24">
        <f>((($AO191+$AP191)/2*$AI191+$AJ191)*(1+$AQ191)*(1+$AR191)+(($AT191+$AU191)/2*IF($G$1="鸣金",$AK191,$AI191)+IF($G$1="鸣金",$AL191*1.5,0))*(1+$AV191)*(1+$AW191)+(($AX191+$AY191)/2*IF($G$1="裂石",$AK191,$AI191)+IF($G$1="裂石",$AL191*1.5,0))*(1+$AZ191)*(1+$BA191)+(($BB191+$BC191)/2*IF($G$1="牵丝",$AK191,$AI191)+IF($G$1="牵丝",$AL191*1.5,0))*(1+$BD191)*(1+$BE191)+(($BF191+$BG191)/2*IF($G$1="破竹",$AK191,$AI191)+IF($G$1="破竹",$AL191*1.5,0))*(1+$BH191)*(1+$BI191))*(1+$AM191)*$Q191*(1+IF(VLOOKUP($R191,武学奇术!$A:$ZZ,30,FALSE)="流血",$B$21,0))*(1+$BR191)</f>
        <v>15851.9817804974</v>
      </c>
      <c r="P191" s="24">
        <f>((($AO191*$AI191+$AJ191)*(1+$AQ191)*(1+$AR191)+($AT191*IF($G$1="鸣金",$AK191,$AI191)+IF($G$1="鸣金",$AL191*1.5,0))*(1+$AV191)*(1+$AW191)+($AX191*IF($G$1="裂石",$AK191,$AI191)+IF($G$1="裂石",$AL191*1.5,0))*(1+$AZ191)*(1+$BA191)+($BB191*IF($G$1="牵丝",$AK191,$AI191)+IF($G$1="牵丝",$AL191*1.5,0))*(1+$BD191)*(1+$BE191)+($BF191*IF($G$1="破竹",$AK191,$AI191)+IF($G$1="破竹",$AL191*1.5,0))*(1+$BH191)*(1+$BI191))*(1+$AM191))*$Q191*(1+IF(VLOOKUP($R191,武学奇术!$A:$ZZ,30,FALSE)="流血",$B$21,0))*(1+$BR191)</f>
        <v>7395.85842727865</v>
      </c>
      <c r="Q191" s="31">
        <v>3</v>
      </c>
      <c r="R191" s="32" t="s">
        <v>194</v>
      </c>
      <c r="S191" s="32" t="s">
        <v>87</v>
      </c>
      <c r="T191" s="32" t="s">
        <v>96</v>
      </c>
      <c r="U191" s="32" t="s">
        <v>97</v>
      </c>
      <c r="V191" s="32" t="s">
        <v>73</v>
      </c>
      <c r="W191" s="32" t="s">
        <v>111</v>
      </c>
      <c r="X191" s="32" t="s">
        <v>127</v>
      </c>
      <c r="Y191" s="32" t="s">
        <v>179</v>
      </c>
      <c r="Z191" s="32" t="s">
        <v>182</v>
      </c>
      <c r="AA191" s="32" t="s">
        <v>81</v>
      </c>
      <c r="AB191" s="32" t="s">
        <v>75</v>
      </c>
      <c r="AC191" s="32" t="s">
        <v>89</v>
      </c>
      <c r="AD191" s="32" t="s">
        <v>82</v>
      </c>
      <c r="AE191" s="32" t="s">
        <v>90</v>
      </c>
      <c r="AF191" s="32" t="s">
        <v>73</v>
      </c>
      <c r="AG191" s="32" t="s">
        <v>178</v>
      </c>
      <c r="AH191" t="str">
        <f>VLOOKUP($R191,武学奇术!$A:$ZZ,25,FALSE)</f>
        <v>单体奇术</v>
      </c>
      <c r="AI191" s="21">
        <f>VLOOKUP($R191,武学奇术!$A:$ZZ,26,FALSE)</f>
        <v>0.236</v>
      </c>
      <c r="AJ191" s="22">
        <f>VLOOKUP($R191,武学奇术!$A:$ZZ,27,FALSE)*(1+IF(OR($AH191=$F$4,$AH191=$F$5),$B$22,0))</f>
        <v>46</v>
      </c>
      <c r="AK191" s="21">
        <f>VLOOKUP($R191,武学奇术!$A:$ZZ,28,FALSE)</f>
        <v>0.354</v>
      </c>
      <c r="AL191" s="22">
        <f>VLOOKUP($R191,武学奇术!$A:$ZZ,29,FALSE)*(1+IF(OR($AH191=$F$4,$AH191=$F$5),$B$22,0))</f>
        <v>0</v>
      </c>
      <c r="AM191" s="21" cm="1">
        <f t="array" ref="AM191">$G$3+IFERROR(VLOOKUP($AH191,$F$4:$G$7,2,FALSE),0)+VLOOKUP($R191,武学奇术!$A:$ZZ,2,FALSE)+SUM(_xlfn.XLOOKUP($S191:$AG191,增益!$A:$A,增益!$B:$B,0))</f>
        <v>1.443</v>
      </c>
      <c r="AN191" s="21" cm="1">
        <f t="array" ref="AN191">VLOOKUP($R191,武学奇术!$A:$ZZ,5,FALSE)+SUM(_xlfn.XLOOKUP($S191:$AG191,增益!$A:$A,增益!$E:$E,0))</f>
        <v>0</v>
      </c>
      <c r="AO191" cm="1">
        <f t="array" ref="AO191">$D$10*(1+$AN191)+VLOOKUP($R191,武学奇术!$A:$ZZ,3,FALSE)+SUM(_xlfn.XLOOKUP($S191:$AG191,增益!$A:$A,增益!$C:$C,0))-$I$2</f>
        <v>1825.28</v>
      </c>
      <c r="AP191" cm="1">
        <f t="array" ref="AP191">$E$10*(1+$AN191)+VLOOKUP($R191,武学奇术!$A:$ZZ,4,FALSE)+SUM(_xlfn.XLOOKUP($S191:$AG191,增益!$A:$A,增益!$D:$D,0))-$I$2</f>
        <v>7757.36</v>
      </c>
      <c r="AQ191" s="26" cm="1">
        <f t="array" ref="AQ191">IF($F$10-$I$3+VLOOKUP($R191,武学奇术!$A:$ZZ,6,FALSE)+SUM(_xlfn.XLOOKUP(S191:AG191,增益!$A:$A,增益!$F:$F,0))&gt;0,($F$10-$I$3+VLOOKUP($R191,武学奇术!$A:$ZZ,6,FALSE)+SUM(_xlfn.XLOOKUP(S191:AG191,增益!$A:$A,增益!$F:$F,0)))/200,($F$10-$I$3+VLOOKUP($R191,武学奇术!$A:$ZZ,6,FALSE)+SUM(_xlfn.XLOOKUP(S191:AG191,增益!$A:$A,增益!$F:$F,0)))/100)</f>
        <v>0.244</v>
      </c>
      <c r="AR191" s="26" cm="1">
        <f t="array" ref="AR191">$G$10+VLOOKUP($R191,武学奇术!$A:$ZZ,7,FALSE)+SUM(_xlfn.XLOOKUP(S191:AG191,增益!$A:$A,增益!$G:$G,0))</f>
        <v>0</v>
      </c>
      <c r="AS191" s="21" cm="1">
        <f t="array" ref="AS191">VLOOKUP($R191,武学奇术!$A:$ZZ,8,FALSE)+SUM(_xlfn.XLOOKUP(S191:AG191,增益!$A:$A,增益!$H:$H,0))</f>
        <v>0</v>
      </c>
      <c r="AT191">
        <f t="shared" si="23"/>
        <v>680.02</v>
      </c>
      <c r="AU191">
        <f t="shared" si="24"/>
        <v>1288.54</v>
      </c>
      <c r="AV191" s="26" cm="1">
        <f t="array" ref="AV191">IF($F$11-$I$4+VLOOKUP($R191,武学奇术!$A:$ZZ,9,FALSE)+SUM(_xlfn.XLOOKUP(S191:AG191,增益!$A:$A,增益!$I:$I,0))&gt;0,($F$11-$I$4+VLOOKUP($R191,武学奇术!$A:$ZZ,9,FALSE)+SUM(_xlfn.XLOOKUP(S191:AG191,增益!$A:$A,增益!$I:$I,0)))/200,($F$11-$I$4+VLOOKUP($R191,武学奇术!$A:$ZZ,9,FALSE)+SUM(_xlfn.XLOOKUP(S191:AG191,增益!$A:$A,增益!$I:$I,0)))/100)</f>
        <v>0</v>
      </c>
      <c r="AW191" s="26" cm="1">
        <f t="array" ref="AW191">$G$11+VLOOKUP($R191,武学奇术!$A:$ZZ,10,FALSE)+SUM(_xlfn.XLOOKUP(S191:AG191,增益!$A:$A,增益!$J:$J,0))</f>
        <v>0.15</v>
      </c>
      <c r="AX191">
        <f t="shared" si="25"/>
        <v>0</v>
      </c>
      <c r="AY191">
        <f t="shared" si="26"/>
        <v>0</v>
      </c>
      <c r="AZ191" s="26" cm="1">
        <f t="array" ref="AZ191">IF($F$12-$I$4+VLOOKUP($R191,武学奇术!$A:$ZZ,11,FALSE)+SUM(_xlfn.XLOOKUP(S191:AG191,增益!$A:$A,增益!$K:$K,0))&gt;0,($F$12-$I$4+VLOOKUP($R191,武学奇术!$A:$ZZ,11,FALSE)+SUM(_xlfn.XLOOKUP(S191:AG191,增益!$A:$A,增益!$K:$K,0)))/200,($F$12-$I$4+VLOOKUP($R191,武学奇术!$A:$ZZ,11,FALSE)+SUM(_xlfn.XLOOKUP(S191:AG191,增益!$A:$A,增益!$K:$K,0)))/100)</f>
        <v>-0.3</v>
      </c>
      <c r="BA191" s="26" cm="1">
        <f t="array" ref="BA191">$G$12+VLOOKUP($R191,武学奇术!$A:$ZZ,12,FALSE)+SUM(_xlfn.XLOOKUP(S191:AG191,增益!$A:$A,增益!$L:$L,0))</f>
        <v>0</v>
      </c>
      <c r="BB191">
        <f t="shared" si="27"/>
        <v>0</v>
      </c>
      <c r="BC191">
        <f t="shared" si="28"/>
        <v>0</v>
      </c>
      <c r="BD191" s="26" cm="1">
        <f t="array" ref="BD191">IF($F$13-$I$4+VLOOKUP($R191,武学奇术!$A:$ZZ,13,FALSE)+SUM(_xlfn.XLOOKUP(S191:AG191,增益!$A:$A,增益!$M:$M,0))&gt;0,($F$13-$I$4+VLOOKUP($R191,武学奇术!$A:$ZZ,13,FALSE)+SUM(_xlfn.XLOOKUP(S191:AG191,增益!$A:$A,增益!$K:$K,0)))/200,($F$13-$I$4+VLOOKUP($R191,武学奇术!$A:$ZZ,13,FALSE)+SUM(_xlfn.XLOOKUP(S191:AG191,增益!$A:$A,增益!$M:$M,0)))/100)</f>
        <v>-0.3</v>
      </c>
      <c r="BE191" s="26" cm="1">
        <f t="array" ref="BE191">$G$13+VLOOKUP($R191,武学奇术!$A:$ZZ,14,FALSE)+SUM(_xlfn.XLOOKUP(S191:AG191,增益!$A:$A,增益!$N:$N,0))</f>
        <v>0</v>
      </c>
      <c r="BF191">
        <f t="shared" si="29"/>
        <v>0</v>
      </c>
      <c r="BG191">
        <f t="shared" si="30"/>
        <v>0</v>
      </c>
      <c r="BH191" s="26" cm="1">
        <f t="array" ref="BH191">IF($F$14-$I$4+VLOOKUP($R191,武学奇术!$A:$ZZ,15,FALSE)+SUM(_xlfn.XLOOKUP(S191:AG191,增益!$A:$A,增益!$O:$O,0))&gt;0,($F$14-$I$4+VLOOKUP($R191,武学奇术!$A:$ZZ,15,FALSE)+SUM(_xlfn.XLOOKUP(S191:AG191,增益!$A:$A,增益!$O:$O,0)))/200,($F$14-$I$4+VLOOKUP($R191,武学奇术!$A:$ZZ,15,FALSE)+SUM(_xlfn.XLOOKUP(S191:AG191,增益!$A:$A,增益!$O:$O,0)))/100)</f>
        <v>-0.3</v>
      </c>
      <c r="BI191" s="26" cm="1">
        <f t="array" ref="BI191">$G$14+VLOOKUP($R191,武学奇术!$A:$ZZ,16,FALSE)+SUM(_xlfn.XLOOKUP(S191:AG191,增益!$A:$A,增益!$P:$P,0))</f>
        <v>0</v>
      </c>
      <c r="BJ191" s="21">
        <f>MIN(IF(VLOOKUP($R191,武学奇术!$A:$ZZ,23,FALSE)=1,100%,$B$8),100%)</f>
        <v>0.8229</v>
      </c>
      <c r="BK191" s="21" cm="1">
        <f t="array" ref="BK191">IF(VLOOKUP($R191,武学奇术!$A:$ZZ,23,FALSE)=1,100%,MIN(80%,$B$9+VLOOKUP($R191,武学奇术!$A:$ZZ,17,FALSE)+SUM(_xlfn.XLOOKUP(S191:AG191,增益!$A:$A,增益!$Q:$Q,0)))+$B$11+SUM(_xlfn.XLOOKUP(S191:AG191,增益!$A:$A,增益!$U:$U,0)))*IF(VLOOKUP($R191,武学奇术!$A:$ZZ,24,FALSE)=1,0,1)</f>
        <v>0.2285</v>
      </c>
      <c r="BL191" s="21" cm="1">
        <f t="array" ref="BL191">1+$B$13+VLOOKUP($R191,武学奇术!$A:$ZZ,18,FALSE)+SUM(_xlfn.XLOOKUP(S191:AG191,增益!$A:$A,增益!$R:$R,0))</f>
        <v>1.5</v>
      </c>
      <c r="BM191" s="21" cm="1">
        <f t="array" ref="BM191">IF(VLOOKUP($R191,武学奇术!$A:$ZZ,24,FALSE)=1,100%,MIN(40%,$B$10+VLOOKUP($R191,武学奇术!$A:$ZZ,19,FALSE)+SUM(_xlfn.XLOOKUP(S191:AG191,增益!$A:$A,增益!$S:$S,0)))+$B$12+SUM(_xlfn.XLOOKUP(S191:AG191,增益!$A:$A,增益!$V:$V,0)))*IF(VLOOKUP($R191,武学奇术!$A:$ZZ,23,FALSE)=1,0,1)</f>
        <v>0.4495</v>
      </c>
      <c r="BN191" s="21" cm="1">
        <f t="array" ref="BN191">1+$B$14+VLOOKUP($R191,武学奇术!$A:$ZZ,20,FALSE)+SUM(_xlfn.XLOOKUP(S191:AG191,增益!$A:$A,增益!$T:$T,0))</f>
        <v>1.602</v>
      </c>
      <c r="BO191" s="21">
        <f t="shared" si="31"/>
        <v>0.18803265</v>
      </c>
      <c r="BP191" s="21">
        <f t="shared" si="32"/>
        <v>0.2649738</v>
      </c>
      <c r="BQ191" s="21">
        <f>IF(VLOOKUP($R191,武学奇术!$A:$ZZ,22,FALSE)=1,0,(1-$BJ191))*(1-$BM191)</f>
        <v>0.09749355</v>
      </c>
      <c r="BR191" s="21" cm="1">
        <f t="array" ref="BR191">SUM(_xlfn.XLOOKUP(S191:AG191,增益!$A:$A,增益!$W:$W,0))+$I$5</f>
        <v>0.16</v>
      </c>
    </row>
    <row r="192" spans="11:70">
      <c r="K192" s="24">
        <f>$L192*VLOOKUP($R192,武学奇术!$A:$ZZ,31,FALSE)</f>
        <v>0</v>
      </c>
      <c r="L192" s="24">
        <f t="shared" si="22"/>
        <v>0</v>
      </c>
      <c r="M192" s="24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BL192*$Q192*(1+IF(VLOOKUP($R192,武学奇术!$A:$ZZ,30,FALSE)="流血",$B$21,0))*(1+$BR192)</f>
        <v>0</v>
      </c>
      <c r="N192" s="24">
        <f>(($AP192*$AI192+$AJ192)*(1+$AQ192)*(1+$AR192)+($AU192*IF($G$1="鸣金",$AK192,$AI192)+IF($G$1="鸣金",$AL192*1.5,0))*(1+$AV192)*(1+$AW192)+($AY192*IF($G$1="裂石",$AK192,$AI192)+IF($G$1="裂石",$AL192*1.5,0))*(1+$AZ192)*(1+$BA192)+($BC192*IF($G$1="牵丝",$AK192,$AI192)+IF($G$1="牵丝",$AL192*1.5,0))*(1+$BD192)*(1+$BE192)+($BG192*IF($G$1="破竹",$AK192,$AI192)+IF($G$1="破竹",$AL192*1.5,0))*(1+$BH192)*(1+$BI192))*(1+$AM192)*$BN192*$Q192*(1+IF(VLOOKUP($R192,武学奇术!$A:$ZZ,30,FALSE)="流血",$B$21,0))*(1+$BR192)</f>
        <v>0</v>
      </c>
      <c r="O192" s="24">
        <f>((($AO192+$AP192)/2*$AI192+$AJ192)*(1+$AQ192)*(1+$AR192)+(($AT192+$AU192)/2*IF($G$1="鸣金",$AK192,$AI192)+IF($G$1="鸣金",$AL192*1.5,0))*(1+$AV192)*(1+$AW192)+(($AX192+$AY192)/2*IF($G$1="裂石",$AK192,$AI192)+IF($G$1="裂石",$AL192*1.5,0))*(1+$AZ192)*(1+$BA192)+(($BB192+$BC192)/2*IF($G$1="牵丝",$AK192,$AI192)+IF($G$1="牵丝",$AL192*1.5,0))*(1+$BD192)*(1+$BE192)+(($BF192+$BG192)/2*IF($G$1="破竹",$AK192,$AI192)+IF($G$1="破竹",$AL192*1.5,0))*(1+$BH192)*(1+$BI192))*(1+$AM192)*$Q192*(1+IF(VLOOKUP($R192,武学奇术!$A:$ZZ,30,FALSE)="流血",$B$21,0))*(1+$BR192)</f>
        <v>0</v>
      </c>
      <c r="P192" s="24">
        <f>((($AO192*$AI192+$AJ192)*(1+$AQ192)*(1+$AR192)+($AT192*IF($G$1="鸣金",$AK192,$AI192)+IF($G$1="鸣金",$AL192*1.5,0))*(1+$AV192)*(1+$AW192)+($AX192*IF($G$1="裂石",$AK192,$AI192)+IF($G$1="裂石",$AL192*1.5,0))*(1+$AZ192)*(1+$BA192)+($BB192*IF($G$1="牵丝",$AK192,$AI192)+IF($G$1="牵丝",$AL192*1.5,0))*(1+$BD192)*(1+$BE192)+($BF192*IF($G$1="破竹",$AK192,$AI192)+IF($G$1="破竹",$AL192*1.5,0))*(1+$BH192)*(1+$BI192))*(1+$AM192))*$Q192*(1+IF(VLOOKUP($R192,武学奇术!$A:$ZZ,30,FALSE)="流血",$B$21,0))*(1+$BR192)</f>
        <v>0</v>
      </c>
      <c r="Q192" s="31"/>
      <c r="R192" s="32" t="s">
        <v>73</v>
      </c>
      <c r="S192" s="32" t="s">
        <v>73</v>
      </c>
      <c r="T192" s="32" t="s">
        <v>73</v>
      </c>
      <c r="U192" s="32" t="s">
        <v>73</v>
      </c>
      <c r="V192" s="32" t="s">
        <v>73</v>
      </c>
      <c r="W192" s="32" t="s">
        <v>73</v>
      </c>
      <c r="X192" s="32" t="s">
        <v>73</v>
      </c>
      <c r="Y192" s="32" t="s">
        <v>73</v>
      </c>
      <c r="Z192" s="32" t="s">
        <v>73</v>
      </c>
      <c r="AA192" s="32" t="s">
        <v>73</v>
      </c>
      <c r="AB192" s="32" t="s">
        <v>73</v>
      </c>
      <c r="AC192" s="32" t="s">
        <v>73</v>
      </c>
      <c r="AD192" s="32" t="s">
        <v>73</v>
      </c>
      <c r="AE192" s="32" t="s">
        <v>73</v>
      </c>
      <c r="AF192" s="32" t="s">
        <v>73</v>
      </c>
      <c r="AG192" s="32" t="s">
        <v>73</v>
      </c>
      <c r="AH192" t="str">
        <f>VLOOKUP($R192,武学奇术!$A:$ZZ,25,FALSE)</f>
        <v>心法</v>
      </c>
      <c r="AI192" s="21">
        <f>VLOOKUP($R192,武学奇术!$A:$ZZ,26,FALSE)</f>
        <v>0</v>
      </c>
      <c r="AJ192" s="22">
        <f>VLOOKUP($R192,武学奇术!$A:$ZZ,27,FALSE)*(1+IF(OR($AH192=$F$4,$AH192=$F$5),$B$22,0))</f>
        <v>0</v>
      </c>
      <c r="AK192" s="21">
        <f>VLOOKUP($R192,武学奇术!$A:$ZZ,28,FALSE)</f>
        <v>0</v>
      </c>
      <c r="AL192" s="22">
        <f>VLOOKUP($R192,武学奇术!$A:$ZZ,29,FALSE)*(1+IF(OR($AH192=$F$4,$AH192=$F$5),$B$22,0))</f>
        <v>0</v>
      </c>
      <c r="AM192" s="21" cm="1">
        <f t="array" ref="AM192">$G$3+IFERROR(VLOOKUP($AH192,$F$4:$G$7,2,FALSE),0)+VLOOKUP($R192,武学奇术!$A:$ZZ,2,FALSE)+SUM(_xlfn.XLOOKUP($S192:$AG192,增益!$A:$A,增益!$B:$B,0))</f>
        <v>0.1042</v>
      </c>
      <c r="AN192" s="21" cm="1">
        <f t="array" ref="AN192">VLOOKUP($R192,武学奇术!$A:$ZZ,5,FALSE)+SUM(_xlfn.XLOOKUP($S192:$AG192,增益!$A:$A,增益!$E:$E,0))</f>
        <v>0</v>
      </c>
      <c r="AO192" cm="1">
        <f t="array" ref="AO192">$D$10*(1+$AN192)+VLOOKUP($R192,武学奇术!$A:$ZZ,3,FALSE)+SUM(_xlfn.XLOOKUP($S192:$AG192,增益!$A:$A,增益!$C:$C,0))-$I$2</f>
        <v>1794.28</v>
      </c>
      <c r="AP192" cm="1">
        <f t="array" ref="AP192">$E$10*(1+$AN192)+VLOOKUP($R192,武学奇术!$A:$ZZ,4,FALSE)+SUM(_xlfn.XLOOKUP($S192:$AG192,增益!$A:$A,增益!$D:$D,0))-$I$2</f>
        <v>7726.36</v>
      </c>
      <c r="AQ192" s="26" cm="1">
        <f t="array" ref="AQ192">IF($F$10-$I$3+VLOOKUP($R192,武学奇术!$A:$ZZ,6,FALSE)+SUM(_xlfn.XLOOKUP(S192:AG192,增益!$A:$A,增益!$F:$F,0))&gt;0,($F$10-$I$3+VLOOKUP($R192,武学奇术!$A:$ZZ,6,FALSE)+SUM(_xlfn.XLOOKUP(S192:AG192,增益!$A:$A,增益!$F:$F,0)))/200,($F$10-$I$3+VLOOKUP($R192,武学奇术!$A:$ZZ,6,FALSE)+SUM(_xlfn.XLOOKUP(S192:AG192,增益!$A:$A,增益!$F:$F,0)))/100)</f>
        <v>0.194</v>
      </c>
      <c r="AR192" s="26" cm="1">
        <f t="array" ref="AR192">$G$10+VLOOKUP($R192,武学奇术!$A:$ZZ,7,FALSE)+SUM(_xlfn.XLOOKUP(S192:AG192,增益!$A:$A,增益!$G:$G,0))</f>
        <v>0</v>
      </c>
      <c r="AS192" s="21" cm="1">
        <f t="array" ref="AS192">VLOOKUP($R192,武学奇术!$A:$ZZ,8,FALSE)+SUM(_xlfn.XLOOKUP(S192:AG192,增益!$A:$A,增益!$H:$H,0))</f>
        <v>0</v>
      </c>
      <c r="AT192">
        <f t="shared" si="23"/>
        <v>680.02</v>
      </c>
      <c r="AU192">
        <f t="shared" si="24"/>
        <v>1288.54</v>
      </c>
      <c r="AV192" s="26" cm="1">
        <f t="array" ref="AV192">IF($F$11-$I$4+VLOOKUP($R192,武学奇术!$A:$ZZ,9,FALSE)+SUM(_xlfn.XLOOKUP(S192:AG192,增益!$A:$A,增益!$I:$I,0))&gt;0,($F$11-$I$4+VLOOKUP($R192,武学奇术!$A:$ZZ,9,FALSE)+SUM(_xlfn.XLOOKUP(S192:AG192,增益!$A:$A,增益!$I:$I,0)))/200,($F$11-$I$4+VLOOKUP($R192,武学奇术!$A:$ZZ,9,FALSE)+SUM(_xlfn.XLOOKUP(S192:AG192,增益!$A:$A,增益!$I:$I,0)))/100)</f>
        <v>0</v>
      </c>
      <c r="AW192" s="26" cm="1">
        <f t="array" ref="AW192">$G$11+VLOOKUP($R192,武学奇术!$A:$ZZ,10,FALSE)+SUM(_xlfn.XLOOKUP(S192:AG192,增益!$A:$A,增益!$J:$J,0))</f>
        <v>0.15</v>
      </c>
      <c r="AX192">
        <f t="shared" si="25"/>
        <v>0</v>
      </c>
      <c r="AY192">
        <f t="shared" si="26"/>
        <v>0</v>
      </c>
      <c r="AZ192" s="26" cm="1">
        <f t="array" ref="AZ192">IF($F$12-$I$4+VLOOKUP($R192,武学奇术!$A:$ZZ,11,FALSE)+SUM(_xlfn.XLOOKUP(S192:AG192,增益!$A:$A,增益!$K:$K,0))&gt;0,($F$12-$I$4+VLOOKUP($R192,武学奇术!$A:$ZZ,11,FALSE)+SUM(_xlfn.XLOOKUP(S192:AG192,增益!$A:$A,增益!$K:$K,0)))/200,($F$12-$I$4+VLOOKUP($R192,武学奇术!$A:$ZZ,11,FALSE)+SUM(_xlfn.XLOOKUP(S192:AG192,增益!$A:$A,增益!$K:$K,0)))/100)</f>
        <v>-0.3</v>
      </c>
      <c r="BA192" s="26" cm="1">
        <f t="array" ref="BA192">$G$12+VLOOKUP($R192,武学奇术!$A:$ZZ,12,FALSE)+SUM(_xlfn.XLOOKUP(S192:AG192,增益!$A:$A,增益!$L:$L,0))</f>
        <v>0</v>
      </c>
      <c r="BB192">
        <f t="shared" si="27"/>
        <v>0</v>
      </c>
      <c r="BC192">
        <f t="shared" si="28"/>
        <v>0</v>
      </c>
      <c r="BD192" s="26" cm="1">
        <f t="array" ref="BD192">IF($F$13-$I$4+VLOOKUP($R192,武学奇术!$A:$ZZ,13,FALSE)+SUM(_xlfn.XLOOKUP(S192:AG192,增益!$A:$A,增益!$M:$M,0))&gt;0,($F$13-$I$4+VLOOKUP($R192,武学奇术!$A:$ZZ,13,FALSE)+SUM(_xlfn.XLOOKUP(S192:AG192,增益!$A:$A,增益!$K:$K,0)))/200,($F$13-$I$4+VLOOKUP($R192,武学奇术!$A:$ZZ,13,FALSE)+SUM(_xlfn.XLOOKUP(S192:AG192,增益!$A:$A,增益!$M:$M,0)))/100)</f>
        <v>-0.3</v>
      </c>
      <c r="BE192" s="26" cm="1">
        <f t="array" ref="BE192">$G$13+VLOOKUP($R192,武学奇术!$A:$ZZ,14,FALSE)+SUM(_xlfn.XLOOKUP(S192:AG192,增益!$A:$A,增益!$N:$N,0))</f>
        <v>0</v>
      </c>
      <c r="BF192">
        <f t="shared" si="29"/>
        <v>0</v>
      </c>
      <c r="BG192">
        <f t="shared" si="30"/>
        <v>0</v>
      </c>
      <c r="BH192" s="26" cm="1">
        <f t="array" ref="BH192">IF($F$14-$I$4+VLOOKUP($R192,武学奇术!$A:$ZZ,15,FALSE)+SUM(_xlfn.XLOOKUP(S192:AG192,增益!$A:$A,增益!$O:$O,0))&gt;0,($F$14-$I$4+VLOOKUP($R192,武学奇术!$A:$ZZ,15,FALSE)+SUM(_xlfn.XLOOKUP(S192:AG192,增益!$A:$A,增益!$O:$O,0)))/200,($F$14-$I$4+VLOOKUP($R192,武学奇术!$A:$ZZ,15,FALSE)+SUM(_xlfn.XLOOKUP(S192:AG192,增益!$A:$A,增益!$O:$O,0)))/100)</f>
        <v>-0.3</v>
      </c>
      <c r="BI192" s="26" cm="1">
        <f t="array" ref="BI192">$G$14+VLOOKUP($R192,武学奇术!$A:$ZZ,16,FALSE)+SUM(_xlfn.XLOOKUP(S192:AG192,增益!$A:$A,增益!$P:$P,0))</f>
        <v>0</v>
      </c>
      <c r="BJ192" s="21">
        <f>MIN(IF(VLOOKUP($R192,武学奇术!$A:$ZZ,23,FALSE)=1,100%,$B$8),100%)</f>
        <v>0.8229</v>
      </c>
      <c r="BK192" s="21" cm="1">
        <f t="array" ref="BK192">IF(VLOOKUP($R192,武学奇术!$A:$ZZ,23,FALSE)=1,100%,MIN(80%,$B$9+VLOOKUP($R192,武学奇术!$A:$ZZ,17,FALSE)+SUM(_xlfn.XLOOKUP(S192:AG192,增益!$A:$A,增益!$Q:$Q,0)))+$B$11+SUM(_xlfn.XLOOKUP(S192:AG192,增益!$A:$A,增益!$U:$U,0)))*IF(VLOOKUP($R192,武学奇术!$A:$ZZ,24,FALSE)=1,0,1)</f>
        <v>0.2285</v>
      </c>
      <c r="BL192" s="21" cm="1">
        <f t="array" ref="BL192">1+$B$13+VLOOKUP($R192,武学奇术!$A:$ZZ,18,FALSE)+SUM(_xlfn.XLOOKUP(S192:AG192,增益!$A:$A,增益!$R:$R,0))</f>
        <v>1.5</v>
      </c>
      <c r="BM192" s="21" cm="1">
        <f t="array" ref="BM192">IF(VLOOKUP($R192,武学奇术!$A:$ZZ,24,FALSE)=1,100%,MIN(40%,$B$10+VLOOKUP($R192,武学奇术!$A:$ZZ,19,FALSE)+SUM(_xlfn.XLOOKUP(S192:AG192,增益!$A:$A,增益!$S:$S,0)))+$B$12+SUM(_xlfn.XLOOKUP(S192:AG192,增益!$A:$A,增益!$V:$V,0)))*IF(VLOOKUP($R192,武学奇术!$A:$ZZ,23,FALSE)=1,0,1)</f>
        <v>0.4195</v>
      </c>
      <c r="BN192" s="21" cm="1">
        <f t="array" ref="BN192">1+$B$14+VLOOKUP($R192,武学奇术!$A:$ZZ,20,FALSE)+SUM(_xlfn.XLOOKUP(S192:AG192,增益!$A:$A,增益!$T:$T,0))</f>
        <v>1.402</v>
      </c>
      <c r="BO192" s="21">
        <f t="shared" si="31"/>
        <v>0.18803265</v>
      </c>
      <c r="BP192" s="21">
        <f t="shared" si="32"/>
        <v>0.2896608</v>
      </c>
      <c r="BQ192" s="21">
        <f>IF(VLOOKUP($R192,武学奇术!$A:$ZZ,22,FALSE)=1,0,(1-$BJ192))*(1-$BM192)</f>
        <v>0.10280655</v>
      </c>
      <c r="BR192" s="21" cm="1">
        <f t="array" ref="BR192">SUM(_xlfn.XLOOKUP(S192:AG192,增益!$A:$A,增益!$W:$W,0))+$I$5</f>
        <v>0.06</v>
      </c>
    </row>
    <row r="193" spans="11:70">
      <c r="K193" s="24">
        <f>$L193*VLOOKUP($R193,武学奇术!$A:$ZZ,31,FALSE)</f>
        <v>4214.78780167623</v>
      </c>
      <c r="L193" s="24">
        <f t="shared" si="22"/>
        <v>7024.64633612704</v>
      </c>
      <c r="M193" s="24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BL193*$Q193*(1+IF(VLOOKUP($R193,武学奇术!$A:$ZZ,30,FALSE)="流血",$B$21,0))*(1+$BR193)</f>
        <v>6372.50050698588</v>
      </c>
      <c r="N193" s="24">
        <f>(($AP193*$AI193+$AJ193)*(1+$AQ193)*(1+$AR193)+($AU193*IF($G$1="鸣金",$AK193,$AI193)+IF($G$1="鸣金",$AL193*1.5,0))*(1+$AV193)*(1+$AW193)+($AY193*IF($G$1="裂石",$AK193,$AI193)+IF($G$1="裂石",$AL193*1.5,0))*(1+$AZ193)*(1+$BA193)+($BC193*IF($G$1="牵丝",$AK193,$AI193)+IF($G$1="牵丝",$AL193*1.5,0))*(1+$BD193)*(1+$BE193)+($BG193*IF($G$1="破竹",$AK193,$AI193)+IF($G$1="破竹",$AL193*1.5,0))*(1+$BH193)*(1+$BI193))*(1+$AM193)*$BN193*$Q193*(1+IF(VLOOKUP($R193,武学奇术!$A:$ZZ,30,FALSE)="流血",$B$21,0))*(1+$BR193)</f>
        <v>10487.6809020297</v>
      </c>
      <c r="O193" s="24">
        <f>((($AO193+$AP193)/2*$AI193+$AJ193)*(1+$AQ193)*(1+$AR193)+(($AT193+$AU193)/2*IF($G$1="鸣金",$AK193,$AI193)+IF($G$1="鸣金",$AL193*1.5,0))*(1+$AV193)*(1+$AW193)+(($AX193+$AY193)/2*IF($G$1="裂石",$AK193,$AI193)+IF($G$1="裂石",$AL193*1.5,0))*(1+$AZ193)*(1+$BA193)+(($BB193+$BC193)/2*IF($G$1="牵丝",$AK193,$AI193)+IF($G$1="牵丝",$AL193*1.5,0))*(1+$BD193)*(1+$BE193)+(($BF193+$BG193)/2*IF($G$1="破竹",$AK193,$AI193)+IF($G$1="破竹",$AL193*1.5,0))*(1+$BH193)*(1+$BI193))*(1+$AM193)*$Q193*(1+IF(VLOOKUP($R193,武学奇术!$A:$ZZ,30,FALSE)="流血",$B$21,0))*(1+$BR193)</f>
        <v>4248.33367132392</v>
      </c>
      <c r="P193" s="24">
        <f>((($AO193*$AI193+$AJ193)*(1+$AQ193)*(1+$AR193)+($AT193*IF($G$1="鸣金",$AK193,$AI193)+IF($G$1="鸣金",$AL193*1.5,0))*(1+$AV193)*(1+$AW193)+($AX193*IF($G$1="裂石",$AK193,$AI193)+IF($G$1="裂石",$AL193*1.5,0))*(1+$AZ193)*(1+$BA193)+($BB193*IF($G$1="牵丝",$AK193,$AI193)+IF($G$1="牵丝",$AL193*1.5,0))*(1+$BD193)*(1+$BE193)+($BF193*IF($G$1="破竹",$AK193,$AI193)+IF($G$1="破竹",$AL193*1.5,0))*(1+$BH193)*(1+$BI193))*(1+$AM193))*$Q193*(1+IF(VLOOKUP($R193,武学奇术!$A:$ZZ,30,FALSE)="流血",$B$21,0))*(1+$BR193)</f>
        <v>1908.92808257892</v>
      </c>
      <c r="Q193" s="31">
        <v>1</v>
      </c>
      <c r="R193" s="32" t="s">
        <v>197</v>
      </c>
      <c r="S193" s="32" t="s">
        <v>72</v>
      </c>
      <c r="T193" s="32" t="s">
        <v>73</v>
      </c>
      <c r="U193" s="32" t="s">
        <v>73</v>
      </c>
      <c r="V193" s="32" t="s">
        <v>73</v>
      </c>
      <c r="W193" s="32" t="s">
        <v>73</v>
      </c>
      <c r="X193" s="32" t="s">
        <v>74</v>
      </c>
      <c r="Y193" s="32" t="s">
        <v>73</v>
      </c>
      <c r="Z193" s="32" t="s">
        <v>73</v>
      </c>
      <c r="AA193" s="32" t="s">
        <v>73</v>
      </c>
      <c r="AB193" s="32" t="s">
        <v>75</v>
      </c>
      <c r="AC193" s="32" t="s">
        <v>76</v>
      </c>
      <c r="AD193" s="32" t="s">
        <v>82</v>
      </c>
      <c r="AE193" s="32" t="s">
        <v>73</v>
      </c>
      <c r="AF193" s="32" t="s">
        <v>73</v>
      </c>
      <c r="AG193" s="32" t="s">
        <v>78</v>
      </c>
      <c r="AH193" t="str">
        <f>VLOOKUP($R193,武学奇术!$A:$ZZ,25,FALSE)</f>
        <v>剑</v>
      </c>
      <c r="AI193" s="21">
        <f>VLOOKUP($R193,武学奇术!$A:$ZZ,26,FALSE)</f>
        <v>0.2772</v>
      </c>
      <c r="AJ193" s="22">
        <f>VLOOKUP($R193,武学奇术!$A:$ZZ,27,FALSE)*(1+IF(OR($AH193=$F$4,$AH193=$F$5),$B$22,0))</f>
        <v>0</v>
      </c>
      <c r="AK193" s="21">
        <f>VLOOKUP($R193,武学奇术!$A:$ZZ,28,FALSE)</f>
        <v>0.4158</v>
      </c>
      <c r="AL193" s="22">
        <f>VLOOKUP($R193,武学奇术!$A:$ZZ,29,FALSE)*(1+IF(OR($AH193=$F$4,$AH193=$F$5),$B$22,0))</f>
        <v>0</v>
      </c>
      <c r="AM193" s="21" cm="1">
        <f t="array" ref="AM193">$G$3+IFERROR(VLOOKUP($AH193,$F$4:$G$7,2,FALSE),0)+VLOOKUP($R193,武学奇术!$A:$ZZ,2,FALSE)+SUM(_xlfn.XLOOKUP($S193:$AG193,增益!$A:$A,增益!$B:$B,0))</f>
        <v>0.3841</v>
      </c>
      <c r="AN193" s="21" cm="1">
        <f t="array" ref="AN193">VLOOKUP($R193,武学奇术!$A:$ZZ,5,FALSE)+SUM(_xlfn.XLOOKUP($S193:$AG193,增益!$A:$A,增益!$E:$E,0))</f>
        <v>0</v>
      </c>
      <c r="AO193" cm="1">
        <f t="array" ref="AO193">$D$10*(1+$AN193)+VLOOKUP($R193,武学奇术!$A:$ZZ,3,FALSE)+SUM(_xlfn.XLOOKUP($S193:$AG193,增益!$A:$A,增益!$C:$C,0))-$I$2</f>
        <v>1794.28</v>
      </c>
      <c r="AP193" cm="1">
        <f t="array" ref="AP193">$E$10*(1+$AN193)+VLOOKUP($R193,武学奇术!$A:$ZZ,4,FALSE)+SUM(_xlfn.XLOOKUP($S193:$AG193,增益!$A:$A,增益!$D:$D,0))-$I$2</f>
        <v>7726.36</v>
      </c>
      <c r="AQ193" s="26" cm="1">
        <f t="array" ref="AQ193">IF($F$10-$I$3+VLOOKUP($R193,武学奇术!$A:$ZZ,6,FALSE)+SUM(_xlfn.XLOOKUP(S193:AG193,增益!$A:$A,增益!$F:$F,0))&gt;0,($F$10-$I$3+VLOOKUP($R193,武学奇术!$A:$ZZ,6,FALSE)+SUM(_xlfn.XLOOKUP(S193:AG193,增益!$A:$A,增益!$F:$F,0)))/200,($F$10-$I$3+VLOOKUP($R193,武学奇术!$A:$ZZ,6,FALSE)+SUM(_xlfn.XLOOKUP(S193:AG193,增益!$A:$A,增益!$F:$F,0)))/100)</f>
        <v>0.279</v>
      </c>
      <c r="AR193" s="26" cm="1">
        <f t="array" ref="AR193">$G$10+VLOOKUP($R193,武学奇术!$A:$ZZ,7,FALSE)+SUM(_xlfn.XLOOKUP(S193:AG193,增益!$A:$A,增益!$G:$G,0))</f>
        <v>0</v>
      </c>
      <c r="AS193" s="21" cm="1">
        <f t="array" ref="AS193">VLOOKUP($R193,武学奇术!$A:$ZZ,8,FALSE)+SUM(_xlfn.XLOOKUP(S193:AG193,增益!$A:$A,增益!$H:$H,0))</f>
        <v>0</v>
      </c>
      <c r="AT193">
        <f t="shared" si="23"/>
        <v>680.02</v>
      </c>
      <c r="AU193">
        <f t="shared" si="24"/>
        <v>1288.54</v>
      </c>
      <c r="AV193" s="26" cm="1">
        <f t="array" ref="AV193">IF($F$11-$I$4+VLOOKUP($R193,武学奇术!$A:$ZZ,9,FALSE)+SUM(_xlfn.XLOOKUP(S193:AG193,增益!$A:$A,增益!$I:$I,0))&gt;0,($F$11-$I$4+VLOOKUP($R193,武学奇术!$A:$ZZ,9,FALSE)+SUM(_xlfn.XLOOKUP(S193:AG193,增益!$A:$A,增益!$I:$I,0)))/200,($F$11-$I$4+VLOOKUP($R193,武学奇术!$A:$ZZ,9,FALSE)+SUM(_xlfn.XLOOKUP(S193:AG193,增益!$A:$A,增益!$I:$I,0)))/100)</f>
        <v>0.075</v>
      </c>
      <c r="AW193" s="26" cm="1">
        <f t="array" ref="AW193">$G$11+VLOOKUP($R193,武学奇术!$A:$ZZ,10,FALSE)+SUM(_xlfn.XLOOKUP(S193:AG193,增益!$A:$A,增益!$J:$J,0))</f>
        <v>0.15</v>
      </c>
      <c r="AX193">
        <f t="shared" si="25"/>
        <v>0</v>
      </c>
      <c r="AY193">
        <f t="shared" si="26"/>
        <v>0</v>
      </c>
      <c r="AZ193" s="26" cm="1">
        <f t="array" ref="AZ193">IF($F$12-$I$4+VLOOKUP($R193,武学奇术!$A:$ZZ,11,FALSE)+SUM(_xlfn.XLOOKUP(S193:AG193,增益!$A:$A,增益!$K:$K,0))&gt;0,($F$12-$I$4+VLOOKUP($R193,武学奇术!$A:$ZZ,11,FALSE)+SUM(_xlfn.XLOOKUP(S193:AG193,增益!$A:$A,增益!$K:$K,0)))/200,($F$12-$I$4+VLOOKUP($R193,武学奇术!$A:$ZZ,11,FALSE)+SUM(_xlfn.XLOOKUP(S193:AG193,增益!$A:$A,增益!$K:$K,0)))/100)</f>
        <v>-0.3</v>
      </c>
      <c r="BA193" s="26" cm="1">
        <f t="array" ref="BA193">$G$12+VLOOKUP($R193,武学奇术!$A:$ZZ,12,FALSE)+SUM(_xlfn.XLOOKUP(S193:AG193,增益!$A:$A,增益!$L:$L,0))</f>
        <v>0</v>
      </c>
      <c r="BB193">
        <f t="shared" si="27"/>
        <v>0</v>
      </c>
      <c r="BC193">
        <f t="shared" si="28"/>
        <v>0</v>
      </c>
      <c r="BD193" s="26" cm="1">
        <f t="array" ref="BD193">IF($F$13-$I$4+VLOOKUP($R193,武学奇术!$A:$ZZ,13,FALSE)+SUM(_xlfn.XLOOKUP(S193:AG193,增益!$A:$A,增益!$M:$M,0))&gt;0,($F$13-$I$4+VLOOKUP($R193,武学奇术!$A:$ZZ,13,FALSE)+SUM(_xlfn.XLOOKUP(S193:AG193,增益!$A:$A,增益!$K:$K,0)))/200,($F$13-$I$4+VLOOKUP($R193,武学奇术!$A:$ZZ,13,FALSE)+SUM(_xlfn.XLOOKUP(S193:AG193,增益!$A:$A,增益!$M:$M,0)))/100)</f>
        <v>-0.3</v>
      </c>
      <c r="BE193" s="26" cm="1">
        <f t="array" ref="BE193">$G$13+VLOOKUP($R193,武学奇术!$A:$ZZ,14,FALSE)+SUM(_xlfn.XLOOKUP(S193:AG193,增益!$A:$A,增益!$N:$N,0))</f>
        <v>0</v>
      </c>
      <c r="BF193">
        <f t="shared" si="29"/>
        <v>0</v>
      </c>
      <c r="BG193">
        <f t="shared" si="30"/>
        <v>0</v>
      </c>
      <c r="BH193" s="26" cm="1">
        <f t="array" ref="BH193">IF($F$14-$I$4+VLOOKUP($R193,武学奇术!$A:$ZZ,15,FALSE)+SUM(_xlfn.XLOOKUP(S193:AG193,增益!$A:$A,增益!$O:$O,0))&gt;0,($F$14-$I$4+VLOOKUP($R193,武学奇术!$A:$ZZ,15,FALSE)+SUM(_xlfn.XLOOKUP(S193:AG193,增益!$A:$A,增益!$O:$O,0)))/200,($F$14-$I$4+VLOOKUP($R193,武学奇术!$A:$ZZ,15,FALSE)+SUM(_xlfn.XLOOKUP(S193:AG193,增益!$A:$A,增益!$O:$O,0)))/100)</f>
        <v>-0.3</v>
      </c>
      <c r="BI193" s="26" cm="1">
        <f t="array" ref="BI193">$G$14+VLOOKUP($R193,武学奇术!$A:$ZZ,16,FALSE)+SUM(_xlfn.XLOOKUP(S193:AG193,增益!$A:$A,增益!$P:$P,0))</f>
        <v>0</v>
      </c>
      <c r="BJ193" s="21">
        <f>MIN(IF(VLOOKUP($R193,武学奇术!$A:$ZZ,23,FALSE)=1,100%,$B$8),100%)</f>
        <v>0.8229</v>
      </c>
      <c r="BK193" s="21" cm="1">
        <f t="array" ref="BK193">IF(VLOOKUP($R193,武学奇术!$A:$ZZ,23,FALSE)=1,100%,MIN(80%,$B$9+VLOOKUP($R193,武学奇术!$A:$ZZ,17,FALSE)+SUM(_xlfn.XLOOKUP(S193:AG193,增益!$A:$A,增益!$Q:$Q,0)))+$B$11+SUM(_xlfn.XLOOKUP(S193:AG193,增益!$A:$A,增益!$U:$U,0)))*IF(VLOOKUP($R193,武学奇术!$A:$ZZ,24,FALSE)=1,0,1)</f>
        <v>0.2285</v>
      </c>
      <c r="BL193" s="21" cm="1">
        <f t="array" ref="BL193">1+$B$13+VLOOKUP($R193,武学奇术!$A:$ZZ,18,FALSE)+SUM(_xlfn.XLOOKUP(S193:AG193,增益!$A:$A,增益!$R:$R,0))</f>
        <v>1.5</v>
      </c>
      <c r="BM193" s="21" cm="1">
        <f t="array" ref="BM193">IF(VLOOKUP($R193,武学奇术!$A:$ZZ,24,FALSE)=1,100%,MIN(40%,$B$10+VLOOKUP($R193,武学奇术!$A:$ZZ,19,FALSE)+SUM(_xlfn.XLOOKUP(S193:AG193,增益!$A:$A,增益!$S:$S,0)))+$B$12+SUM(_xlfn.XLOOKUP(S193:AG193,增益!$A:$A,增益!$V:$V,0)))*IF(VLOOKUP($R193,武学奇术!$A:$ZZ,23,FALSE)=1,0,1)</f>
        <v>0.4195</v>
      </c>
      <c r="BN193" s="21" cm="1">
        <f t="array" ref="BN193">1+$B$14+VLOOKUP($R193,武学奇术!$A:$ZZ,20,FALSE)+SUM(_xlfn.XLOOKUP(S193:AG193,增益!$A:$A,增益!$T:$T,0))</f>
        <v>1.592</v>
      </c>
      <c r="BO193" s="21">
        <f t="shared" si="31"/>
        <v>0.18803265</v>
      </c>
      <c r="BP193" s="21">
        <f t="shared" si="32"/>
        <v>0.2896608</v>
      </c>
      <c r="BQ193" s="21">
        <f>IF(VLOOKUP($R193,武学奇术!$A:$ZZ,22,FALSE)=1,0,(1-$BJ193))*(1-$BM193)</f>
        <v>0.10280655</v>
      </c>
      <c r="BR193" s="21" cm="1">
        <f t="array" ref="BR193">SUM(_xlfn.XLOOKUP(S193:AG193,增益!$A:$A,增益!$W:$W,0))+$I$5</f>
        <v>0.06</v>
      </c>
    </row>
    <row r="194" spans="11:70">
      <c r="K194" s="24">
        <f>$L194*VLOOKUP($R194,武学奇术!$A:$ZZ,31,FALSE)</f>
        <v>4214.78780167623</v>
      </c>
      <c r="L194" s="24">
        <f t="shared" ref="L194:L257" si="33">($M194*$BO194+$N194*$BM194+$O194*$BP194+$P194*$BQ194)</f>
        <v>7024.64633612704</v>
      </c>
      <c r="M194" s="24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BL194*$Q194*(1+IF(VLOOKUP($R194,武学奇术!$A:$ZZ,30,FALSE)="流血",$B$21,0))*(1+$BR194)</f>
        <v>6372.50050698588</v>
      </c>
      <c r="N194" s="24">
        <f>(($AP194*$AI194+$AJ194)*(1+$AQ194)*(1+$AR194)+($AU194*IF($G$1="鸣金",$AK194,$AI194)+IF($G$1="鸣金",$AL194*1.5,0))*(1+$AV194)*(1+$AW194)+($AY194*IF($G$1="裂石",$AK194,$AI194)+IF($G$1="裂石",$AL194*1.5,0))*(1+$AZ194)*(1+$BA194)+($BC194*IF($G$1="牵丝",$AK194,$AI194)+IF($G$1="牵丝",$AL194*1.5,0))*(1+$BD194)*(1+$BE194)+($BG194*IF($G$1="破竹",$AK194,$AI194)+IF($G$1="破竹",$AL194*1.5,0))*(1+$BH194)*(1+$BI194))*(1+$AM194)*$BN194*$Q194*(1+IF(VLOOKUP($R194,武学奇术!$A:$ZZ,30,FALSE)="流血",$B$21,0))*(1+$BR194)</f>
        <v>10487.6809020297</v>
      </c>
      <c r="O194" s="24">
        <f>((($AO194+$AP194)/2*$AI194+$AJ194)*(1+$AQ194)*(1+$AR194)+(($AT194+$AU194)/2*IF($G$1="鸣金",$AK194,$AI194)+IF($G$1="鸣金",$AL194*1.5,0))*(1+$AV194)*(1+$AW194)+(($AX194+$AY194)/2*IF($G$1="裂石",$AK194,$AI194)+IF($G$1="裂石",$AL194*1.5,0))*(1+$AZ194)*(1+$BA194)+(($BB194+$BC194)/2*IF($G$1="牵丝",$AK194,$AI194)+IF($G$1="牵丝",$AL194*1.5,0))*(1+$BD194)*(1+$BE194)+(($BF194+$BG194)/2*IF($G$1="破竹",$AK194,$AI194)+IF($G$1="破竹",$AL194*1.5,0))*(1+$BH194)*(1+$BI194))*(1+$AM194)*$Q194*(1+IF(VLOOKUP($R194,武学奇术!$A:$ZZ,30,FALSE)="流血",$B$21,0))*(1+$BR194)</f>
        <v>4248.33367132392</v>
      </c>
      <c r="P194" s="24">
        <f>((($AO194*$AI194+$AJ194)*(1+$AQ194)*(1+$AR194)+($AT194*IF($G$1="鸣金",$AK194,$AI194)+IF($G$1="鸣金",$AL194*1.5,0))*(1+$AV194)*(1+$AW194)+($AX194*IF($G$1="裂石",$AK194,$AI194)+IF($G$1="裂石",$AL194*1.5,0))*(1+$AZ194)*(1+$BA194)+($BB194*IF($G$1="牵丝",$AK194,$AI194)+IF($G$1="牵丝",$AL194*1.5,0))*(1+$BD194)*(1+$BE194)+($BF194*IF($G$1="破竹",$AK194,$AI194)+IF($G$1="破竹",$AL194*1.5,0))*(1+$BH194)*(1+$BI194))*(1+$AM194))*$Q194*(1+IF(VLOOKUP($R194,武学奇术!$A:$ZZ,30,FALSE)="流血",$B$21,0))*(1+$BR194)</f>
        <v>1908.92808257892</v>
      </c>
      <c r="Q194" s="31">
        <v>1</v>
      </c>
      <c r="R194" s="32" t="s">
        <v>197</v>
      </c>
      <c r="S194" s="32" t="s">
        <v>72</v>
      </c>
      <c r="T194" s="32" t="s">
        <v>73</v>
      </c>
      <c r="U194" s="32" t="s">
        <v>73</v>
      </c>
      <c r="V194" s="32" t="s">
        <v>73</v>
      </c>
      <c r="W194" s="32" t="s">
        <v>73</v>
      </c>
      <c r="X194" s="32" t="s">
        <v>74</v>
      </c>
      <c r="Y194" s="32" t="s">
        <v>73</v>
      </c>
      <c r="Z194" s="32" t="s">
        <v>73</v>
      </c>
      <c r="AA194" s="32" t="s">
        <v>81</v>
      </c>
      <c r="AB194" s="32" t="s">
        <v>75</v>
      </c>
      <c r="AC194" s="32" t="s">
        <v>76</v>
      </c>
      <c r="AD194" s="32" t="s">
        <v>82</v>
      </c>
      <c r="AE194" s="32" t="s">
        <v>73</v>
      </c>
      <c r="AF194" s="32" t="s">
        <v>73</v>
      </c>
      <c r="AG194" s="32" t="s">
        <v>78</v>
      </c>
      <c r="AH194" t="str">
        <f>VLOOKUP($R194,武学奇术!$A:$ZZ,25,FALSE)</f>
        <v>剑</v>
      </c>
      <c r="AI194" s="21">
        <f>VLOOKUP($R194,武学奇术!$A:$ZZ,26,FALSE)</f>
        <v>0.2772</v>
      </c>
      <c r="AJ194" s="22">
        <f>VLOOKUP($R194,武学奇术!$A:$ZZ,27,FALSE)*(1+IF(OR($AH194=$F$4,$AH194=$F$5),$B$22,0))</f>
        <v>0</v>
      </c>
      <c r="AK194" s="21">
        <f>VLOOKUP($R194,武学奇术!$A:$ZZ,28,FALSE)</f>
        <v>0.4158</v>
      </c>
      <c r="AL194" s="22">
        <f>VLOOKUP($R194,武学奇术!$A:$ZZ,29,FALSE)*(1+IF(OR($AH194=$F$4,$AH194=$F$5),$B$22,0))</f>
        <v>0</v>
      </c>
      <c r="AM194" s="21" cm="1">
        <f t="array" ref="AM194">$G$3+IFERROR(VLOOKUP($AH194,$F$4:$G$7,2,FALSE),0)+VLOOKUP($R194,武学奇术!$A:$ZZ,2,FALSE)+SUM(_xlfn.XLOOKUP($S194:$AG194,增益!$A:$A,增益!$B:$B,0))</f>
        <v>0.3841</v>
      </c>
      <c r="AN194" s="21" cm="1">
        <f t="array" ref="AN194">VLOOKUP($R194,武学奇术!$A:$ZZ,5,FALSE)+SUM(_xlfn.XLOOKUP($S194:$AG194,增益!$A:$A,增益!$E:$E,0))</f>
        <v>0</v>
      </c>
      <c r="AO194" cm="1">
        <f t="array" ref="AO194">$D$10*(1+$AN194)+VLOOKUP($R194,武学奇术!$A:$ZZ,3,FALSE)+SUM(_xlfn.XLOOKUP($S194:$AG194,增益!$A:$A,增益!$C:$C,0))-$I$2</f>
        <v>1794.28</v>
      </c>
      <c r="AP194" cm="1">
        <f t="array" ref="AP194">$E$10*(1+$AN194)+VLOOKUP($R194,武学奇术!$A:$ZZ,4,FALSE)+SUM(_xlfn.XLOOKUP($S194:$AG194,增益!$A:$A,增益!$D:$D,0))-$I$2</f>
        <v>7726.36</v>
      </c>
      <c r="AQ194" s="26" cm="1">
        <f t="array" ref="AQ194">IF($F$10-$I$3+VLOOKUP($R194,武学奇术!$A:$ZZ,6,FALSE)+SUM(_xlfn.XLOOKUP(S194:AG194,增益!$A:$A,增益!$F:$F,0))&gt;0,($F$10-$I$3+VLOOKUP($R194,武学奇术!$A:$ZZ,6,FALSE)+SUM(_xlfn.XLOOKUP(S194:AG194,增益!$A:$A,增益!$F:$F,0)))/200,($F$10-$I$3+VLOOKUP($R194,武学奇术!$A:$ZZ,6,FALSE)+SUM(_xlfn.XLOOKUP(S194:AG194,增益!$A:$A,增益!$F:$F,0)))/100)</f>
        <v>0.279</v>
      </c>
      <c r="AR194" s="26" cm="1">
        <f t="array" ref="AR194">$G$10+VLOOKUP($R194,武学奇术!$A:$ZZ,7,FALSE)+SUM(_xlfn.XLOOKUP(S194:AG194,增益!$A:$A,增益!$G:$G,0))</f>
        <v>0</v>
      </c>
      <c r="AS194" s="21" cm="1">
        <f t="array" ref="AS194">VLOOKUP($R194,武学奇术!$A:$ZZ,8,FALSE)+SUM(_xlfn.XLOOKUP(S194:AG194,增益!$A:$A,增益!$H:$H,0))</f>
        <v>0</v>
      </c>
      <c r="AT194">
        <f t="shared" ref="AT194:AT257" si="34">$D$11*(1+$AS194)</f>
        <v>680.02</v>
      </c>
      <c r="AU194">
        <f t="shared" ref="AU194:AU257" si="35">$E$11*(1+$AS194)</f>
        <v>1288.54</v>
      </c>
      <c r="AV194" s="26" cm="1">
        <f t="array" ref="AV194">IF($F$11-$I$4+VLOOKUP($R194,武学奇术!$A:$ZZ,9,FALSE)+SUM(_xlfn.XLOOKUP(S194:AG194,增益!$A:$A,增益!$I:$I,0))&gt;0,($F$11-$I$4+VLOOKUP($R194,武学奇术!$A:$ZZ,9,FALSE)+SUM(_xlfn.XLOOKUP(S194:AG194,增益!$A:$A,增益!$I:$I,0)))/200,($F$11-$I$4+VLOOKUP($R194,武学奇术!$A:$ZZ,9,FALSE)+SUM(_xlfn.XLOOKUP(S194:AG194,增益!$A:$A,增益!$I:$I,0)))/100)</f>
        <v>0.075</v>
      </c>
      <c r="AW194" s="26" cm="1">
        <f t="array" ref="AW194">$G$11+VLOOKUP($R194,武学奇术!$A:$ZZ,10,FALSE)+SUM(_xlfn.XLOOKUP(S194:AG194,增益!$A:$A,增益!$J:$J,0))</f>
        <v>0.15</v>
      </c>
      <c r="AX194">
        <f t="shared" ref="AX194:AX257" si="36">$D$12*(1+$AS194)</f>
        <v>0</v>
      </c>
      <c r="AY194">
        <f t="shared" ref="AY194:AY257" si="37">$E$12*(1+$AS194)</f>
        <v>0</v>
      </c>
      <c r="AZ194" s="26" cm="1">
        <f t="array" ref="AZ194">IF($F$12-$I$4+VLOOKUP($R194,武学奇术!$A:$ZZ,11,FALSE)+SUM(_xlfn.XLOOKUP(S194:AG194,增益!$A:$A,增益!$K:$K,0))&gt;0,($F$12-$I$4+VLOOKUP($R194,武学奇术!$A:$ZZ,11,FALSE)+SUM(_xlfn.XLOOKUP(S194:AG194,增益!$A:$A,增益!$K:$K,0)))/200,($F$12-$I$4+VLOOKUP($R194,武学奇术!$A:$ZZ,11,FALSE)+SUM(_xlfn.XLOOKUP(S194:AG194,增益!$A:$A,增益!$K:$K,0)))/100)</f>
        <v>-0.3</v>
      </c>
      <c r="BA194" s="26" cm="1">
        <f t="array" ref="BA194">$G$12+VLOOKUP($R194,武学奇术!$A:$ZZ,12,FALSE)+SUM(_xlfn.XLOOKUP(S194:AG194,增益!$A:$A,增益!$L:$L,0))</f>
        <v>0</v>
      </c>
      <c r="BB194">
        <f t="shared" ref="BB194:BB257" si="38">$D$13*(1+$AS194)</f>
        <v>0</v>
      </c>
      <c r="BC194">
        <f t="shared" ref="BC194:BC257" si="39">$E$13*(1+$AS194)</f>
        <v>0</v>
      </c>
      <c r="BD194" s="26" cm="1">
        <f t="array" ref="BD194">IF($F$13-$I$4+VLOOKUP($R194,武学奇术!$A:$ZZ,13,FALSE)+SUM(_xlfn.XLOOKUP(S194:AG194,增益!$A:$A,增益!$M:$M,0))&gt;0,($F$13-$I$4+VLOOKUP($R194,武学奇术!$A:$ZZ,13,FALSE)+SUM(_xlfn.XLOOKUP(S194:AG194,增益!$A:$A,增益!$K:$K,0)))/200,($F$13-$I$4+VLOOKUP($R194,武学奇术!$A:$ZZ,13,FALSE)+SUM(_xlfn.XLOOKUP(S194:AG194,增益!$A:$A,增益!$M:$M,0)))/100)</f>
        <v>-0.3</v>
      </c>
      <c r="BE194" s="26" cm="1">
        <f t="array" ref="BE194">$G$13+VLOOKUP($R194,武学奇术!$A:$ZZ,14,FALSE)+SUM(_xlfn.XLOOKUP(S194:AG194,增益!$A:$A,增益!$N:$N,0))</f>
        <v>0</v>
      </c>
      <c r="BF194">
        <f t="shared" ref="BF194:BF257" si="40">$D$14*(1+$AS194)</f>
        <v>0</v>
      </c>
      <c r="BG194">
        <f t="shared" ref="BG194:BG257" si="41">$E$14*(1+$AS194)</f>
        <v>0</v>
      </c>
      <c r="BH194" s="26" cm="1">
        <f t="array" ref="BH194">IF($F$14-$I$4+VLOOKUP($R194,武学奇术!$A:$ZZ,15,FALSE)+SUM(_xlfn.XLOOKUP(S194:AG194,增益!$A:$A,增益!$O:$O,0))&gt;0,($F$14-$I$4+VLOOKUP($R194,武学奇术!$A:$ZZ,15,FALSE)+SUM(_xlfn.XLOOKUP(S194:AG194,增益!$A:$A,增益!$O:$O,0)))/200,($F$14-$I$4+VLOOKUP($R194,武学奇术!$A:$ZZ,15,FALSE)+SUM(_xlfn.XLOOKUP(S194:AG194,增益!$A:$A,增益!$O:$O,0)))/100)</f>
        <v>-0.3</v>
      </c>
      <c r="BI194" s="26" cm="1">
        <f t="array" ref="BI194">$G$14+VLOOKUP($R194,武学奇术!$A:$ZZ,16,FALSE)+SUM(_xlfn.XLOOKUP(S194:AG194,增益!$A:$A,增益!$P:$P,0))</f>
        <v>0</v>
      </c>
      <c r="BJ194" s="21">
        <f>MIN(IF(VLOOKUP($R194,武学奇术!$A:$ZZ,23,FALSE)=1,100%,$B$8),100%)</f>
        <v>0.8229</v>
      </c>
      <c r="BK194" s="21" cm="1">
        <f t="array" ref="BK194">IF(VLOOKUP($R194,武学奇术!$A:$ZZ,23,FALSE)=1,100%,MIN(80%,$B$9+VLOOKUP($R194,武学奇术!$A:$ZZ,17,FALSE)+SUM(_xlfn.XLOOKUP(S194:AG194,增益!$A:$A,增益!$Q:$Q,0)))+$B$11+SUM(_xlfn.XLOOKUP(S194:AG194,增益!$A:$A,增益!$U:$U,0)))*IF(VLOOKUP($R194,武学奇术!$A:$ZZ,24,FALSE)=1,0,1)</f>
        <v>0.2285</v>
      </c>
      <c r="BL194" s="21" cm="1">
        <f t="array" ref="BL194">1+$B$13+VLOOKUP($R194,武学奇术!$A:$ZZ,18,FALSE)+SUM(_xlfn.XLOOKUP(S194:AG194,增益!$A:$A,增益!$R:$R,0))</f>
        <v>1.5</v>
      </c>
      <c r="BM194" s="21" cm="1">
        <f t="array" ref="BM194">IF(VLOOKUP($R194,武学奇术!$A:$ZZ,24,FALSE)=1,100%,MIN(40%,$B$10+VLOOKUP($R194,武学奇术!$A:$ZZ,19,FALSE)+SUM(_xlfn.XLOOKUP(S194:AG194,增益!$A:$A,增益!$S:$S,0)))+$B$12+SUM(_xlfn.XLOOKUP(S194:AG194,增益!$A:$A,增益!$V:$V,0)))*IF(VLOOKUP($R194,武学奇术!$A:$ZZ,23,FALSE)=1,0,1)</f>
        <v>0.4195</v>
      </c>
      <c r="BN194" s="21" cm="1">
        <f t="array" ref="BN194">1+$B$14+VLOOKUP($R194,武学奇术!$A:$ZZ,20,FALSE)+SUM(_xlfn.XLOOKUP(S194:AG194,增益!$A:$A,增益!$T:$T,0))</f>
        <v>1.592</v>
      </c>
      <c r="BO194" s="21">
        <f t="shared" ref="BO194:BO257" si="42">MIN((1-BM194)*BJ194,BJ194*BK194)</f>
        <v>0.18803265</v>
      </c>
      <c r="BP194" s="21">
        <f t="shared" ref="BP194:BP257" si="43">1-BM194-BO194-BQ194</f>
        <v>0.2896608</v>
      </c>
      <c r="BQ194" s="21">
        <f>IF(VLOOKUP($R194,武学奇术!$A:$ZZ,22,FALSE)=1,0,(1-$BJ194))*(1-$BM194)</f>
        <v>0.10280655</v>
      </c>
      <c r="BR194" s="21" cm="1">
        <f t="array" ref="BR194">SUM(_xlfn.XLOOKUP(S194:AG194,增益!$A:$A,增益!$W:$W,0))+$I$5</f>
        <v>0.06</v>
      </c>
    </row>
    <row r="195" spans="11:70">
      <c r="K195" s="24">
        <f>$L195*VLOOKUP($R195,武学奇术!$A:$ZZ,31,FALSE)</f>
        <v>4577.79935190709</v>
      </c>
      <c r="L195" s="24">
        <f t="shared" si="33"/>
        <v>7629.66558651182</v>
      </c>
      <c r="M195" s="24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BL195*$Q195*(1+IF(VLOOKUP($R195,武学奇术!$A:$ZZ,30,FALSE)="流血",$B$21,0))*(1+$BR195)</f>
        <v>6920.32779072423</v>
      </c>
      <c r="N195" s="24">
        <f>(($AP195*$AI195+$AJ195)*(1+$AQ195)*(1+$AR195)+($AU195*IF($G$1="鸣金",$AK195,$AI195)+IF($G$1="鸣金",$AL195*1.5,0))*(1+$AV195)*(1+$AW195)+($AY195*IF($G$1="裂石",$AK195,$AI195)+IF($G$1="裂石",$AL195*1.5,0))*(1+$AZ195)*(1+$BA195)+($BC195*IF($G$1="牵丝",$AK195,$AI195)+IF($G$1="牵丝",$AL195*1.5,0))*(1+$BD195)*(1+$BE195)+($BG195*IF($G$1="破竹",$AK195,$AI195)+IF($G$1="破竹",$AL195*1.5,0))*(1+$BH195)*(1+$BI195))*(1+$AM195)*$BN195*$Q195*(1+IF(VLOOKUP($R195,武学奇术!$A:$ZZ,30,FALSE)="流血",$B$21,0))*(1+$BR195)</f>
        <v>11392.4596237872</v>
      </c>
      <c r="O195" s="24">
        <f>((($AO195+$AP195)/2*$AI195+$AJ195)*(1+$AQ195)*(1+$AR195)+(($AT195+$AU195)/2*IF($G$1="鸣金",$AK195,$AI195)+IF($G$1="鸣金",$AL195*1.5,0))*(1+$AV195)*(1+$AW195)+(($AX195+$AY195)/2*IF($G$1="裂石",$AK195,$AI195)+IF($G$1="裂石",$AL195*1.5,0))*(1+$AZ195)*(1+$BA195)+(($BB195+$BC195)/2*IF($G$1="牵丝",$AK195,$AI195)+IF($G$1="牵丝",$AL195*1.5,0))*(1+$BD195)*(1+$BE195)+(($BF195+$BG195)/2*IF($G$1="破竹",$AK195,$AI195)+IF($G$1="破竹",$AL195*1.5,0))*(1+$BH195)*(1+$BI195))*(1+$AM195)*$Q195*(1+IF(VLOOKUP($R195,武学奇术!$A:$ZZ,30,FALSE)="流血",$B$21,0))*(1+$BR195)</f>
        <v>4613.55186048282</v>
      </c>
      <c r="P195" s="24">
        <f>((($AO195*$AI195+$AJ195)*(1+$AQ195)*(1+$AR195)+($AT195*IF($G$1="鸣金",$AK195,$AI195)+IF($G$1="鸣金",$AL195*1.5,0))*(1+$AV195)*(1+$AW195)+($AX195*IF($G$1="裂石",$AK195,$AI195)+IF($G$1="裂石",$AL195*1.5,0))*(1+$AZ195)*(1+$BA195)+($BB195*IF($G$1="牵丝",$AK195,$AI195)+IF($G$1="牵丝",$AL195*1.5,0))*(1+$BD195)*(1+$BE195)+($BF195*IF($G$1="破竹",$AK195,$AI195)+IF($G$1="破竹",$AL195*1.5,0))*(1+$BH195)*(1+$BI195))*(1+$AM195))*$Q195*(1+IF(VLOOKUP($R195,武学奇术!$A:$ZZ,30,FALSE)="流血",$B$21,0))*(1+$BR195)</f>
        <v>2071.03611808424</v>
      </c>
      <c r="Q195" s="31">
        <v>1</v>
      </c>
      <c r="R195" s="32" t="s">
        <v>197</v>
      </c>
      <c r="S195" s="32" t="s">
        <v>72</v>
      </c>
      <c r="T195" s="32" t="s">
        <v>73</v>
      </c>
      <c r="U195" s="32" t="s">
        <v>195</v>
      </c>
      <c r="V195" s="32" t="s">
        <v>73</v>
      </c>
      <c r="W195" s="32" t="s">
        <v>73</v>
      </c>
      <c r="X195" s="32" t="s">
        <v>88</v>
      </c>
      <c r="Y195" s="32" t="s">
        <v>73</v>
      </c>
      <c r="Z195" s="32" t="s">
        <v>73</v>
      </c>
      <c r="AA195" s="32" t="s">
        <v>81</v>
      </c>
      <c r="AB195" s="32" t="s">
        <v>75</v>
      </c>
      <c r="AC195" s="32" t="s">
        <v>76</v>
      </c>
      <c r="AD195" s="32" t="s">
        <v>82</v>
      </c>
      <c r="AE195" s="32" t="s">
        <v>73</v>
      </c>
      <c r="AF195" s="32" t="s">
        <v>73</v>
      </c>
      <c r="AG195" s="32" t="s">
        <v>78</v>
      </c>
      <c r="AH195" t="str">
        <f>VLOOKUP($R195,武学奇术!$A:$ZZ,25,FALSE)</f>
        <v>剑</v>
      </c>
      <c r="AI195" s="21">
        <f>VLOOKUP($R195,武学奇术!$A:$ZZ,26,FALSE)</f>
        <v>0.2772</v>
      </c>
      <c r="AJ195" s="22">
        <f>VLOOKUP($R195,武学奇术!$A:$ZZ,27,FALSE)*(1+IF(OR($AH195=$F$4,$AH195=$F$5),$B$22,0))</f>
        <v>0</v>
      </c>
      <c r="AK195" s="21">
        <f>VLOOKUP($R195,武学奇术!$A:$ZZ,28,FALSE)</f>
        <v>0.4158</v>
      </c>
      <c r="AL195" s="22">
        <f>VLOOKUP($R195,武学奇术!$A:$ZZ,29,FALSE)*(1+IF(OR($AH195=$F$4,$AH195=$F$5),$B$22,0))</f>
        <v>0</v>
      </c>
      <c r="AM195" s="21" cm="1">
        <f t="array" ref="AM195">$G$3+IFERROR(VLOOKUP($AH195,$F$4:$G$7,2,FALSE),0)+VLOOKUP($R195,武学奇术!$A:$ZZ,2,FALSE)+SUM(_xlfn.XLOOKUP($S195:$AG195,增益!$A:$A,增益!$B:$B,0))</f>
        <v>0.4941</v>
      </c>
      <c r="AN195" s="21" cm="1">
        <f t="array" ref="AN195">VLOOKUP($R195,武学奇术!$A:$ZZ,5,FALSE)+SUM(_xlfn.XLOOKUP($S195:$AG195,增益!$A:$A,增益!$E:$E,0))</f>
        <v>0</v>
      </c>
      <c r="AO195" cm="1">
        <f t="array" ref="AO195">$D$10*(1+$AN195)+VLOOKUP($R195,武学奇术!$A:$ZZ,3,FALSE)+SUM(_xlfn.XLOOKUP($S195:$AG195,增益!$A:$A,增益!$C:$C,0))-$I$2</f>
        <v>1794.28</v>
      </c>
      <c r="AP195" cm="1">
        <f t="array" ref="AP195">$E$10*(1+$AN195)+VLOOKUP($R195,武学奇术!$A:$ZZ,4,FALSE)+SUM(_xlfn.XLOOKUP($S195:$AG195,增益!$A:$A,增益!$D:$D,0))-$I$2</f>
        <v>7726.36</v>
      </c>
      <c r="AQ195" s="26" cm="1">
        <f t="array" ref="AQ195">IF($F$10-$I$3+VLOOKUP($R195,武学奇术!$A:$ZZ,6,FALSE)+SUM(_xlfn.XLOOKUP(S195:AG195,增益!$A:$A,增益!$F:$F,0))&gt;0,($F$10-$I$3+VLOOKUP($R195,武学奇术!$A:$ZZ,6,FALSE)+SUM(_xlfn.XLOOKUP(S195:AG195,增益!$A:$A,增益!$F:$F,0)))/200,($F$10-$I$3+VLOOKUP($R195,武学奇术!$A:$ZZ,6,FALSE)+SUM(_xlfn.XLOOKUP(S195:AG195,增益!$A:$A,增益!$F:$F,0)))/100)</f>
        <v>0.289</v>
      </c>
      <c r="AR195" s="26" cm="1">
        <f t="array" ref="AR195">$G$10+VLOOKUP($R195,武学奇术!$A:$ZZ,7,FALSE)+SUM(_xlfn.XLOOKUP(S195:AG195,增益!$A:$A,增益!$G:$G,0))</f>
        <v>0</v>
      </c>
      <c r="AS195" s="21" cm="1">
        <f t="array" ref="AS195">VLOOKUP($R195,武学奇术!$A:$ZZ,8,FALSE)+SUM(_xlfn.XLOOKUP(S195:AG195,增益!$A:$A,增益!$H:$H,0))</f>
        <v>0</v>
      </c>
      <c r="AT195">
        <f t="shared" si="34"/>
        <v>680.02</v>
      </c>
      <c r="AU195">
        <f t="shared" si="35"/>
        <v>1288.54</v>
      </c>
      <c r="AV195" s="26" cm="1">
        <f t="array" ref="AV195">IF($F$11-$I$4+VLOOKUP($R195,武学奇术!$A:$ZZ,9,FALSE)+SUM(_xlfn.XLOOKUP(S195:AG195,增益!$A:$A,增益!$I:$I,0))&gt;0,($F$11-$I$4+VLOOKUP($R195,武学奇术!$A:$ZZ,9,FALSE)+SUM(_xlfn.XLOOKUP(S195:AG195,增益!$A:$A,增益!$I:$I,0)))/200,($F$11-$I$4+VLOOKUP($R195,武学奇术!$A:$ZZ,9,FALSE)+SUM(_xlfn.XLOOKUP(S195:AG195,增益!$A:$A,增益!$I:$I,0)))/100)</f>
        <v>0.075</v>
      </c>
      <c r="AW195" s="26" cm="1">
        <f t="array" ref="AW195">$G$11+VLOOKUP($R195,武学奇术!$A:$ZZ,10,FALSE)+SUM(_xlfn.XLOOKUP(S195:AG195,增益!$A:$A,增益!$J:$J,0))</f>
        <v>0.15</v>
      </c>
      <c r="AX195">
        <f t="shared" si="36"/>
        <v>0</v>
      </c>
      <c r="AY195">
        <f t="shared" si="37"/>
        <v>0</v>
      </c>
      <c r="AZ195" s="26" cm="1">
        <f t="array" ref="AZ195">IF($F$12-$I$4+VLOOKUP($R195,武学奇术!$A:$ZZ,11,FALSE)+SUM(_xlfn.XLOOKUP(S195:AG195,增益!$A:$A,增益!$K:$K,0))&gt;0,($F$12-$I$4+VLOOKUP($R195,武学奇术!$A:$ZZ,11,FALSE)+SUM(_xlfn.XLOOKUP(S195:AG195,增益!$A:$A,增益!$K:$K,0)))/200,($F$12-$I$4+VLOOKUP($R195,武学奇术!$A:$ZZ,11,FALSE)+SUM(_xlfn.XLOOKUP(S195:AG195,增益!$A:$A,增益!$K:$K,0)))/100)</f>
        <v>-0.3</v>
      </c>
      <c r="BA195" s="26" cm="1">
        <f t="array" ref="BA195">$G$12+VLOOKUP($R195,武学奇术!$A:$ZZ,12,FALSE)+SUM(_xlfn.XLOOKUP(S195:AG195,增益!$A:$A,增益!$L:$L,0))</f>
        <v>0</v>
      </c>
      <c r="BB195">
        <f t="shared" si="38"/>
        <v>0</v>
      </c>
      <c r="BC195">
        <f t="shared" si="39"/>
        <v>0</v>
      </c>
      <c r="BD195" s="26" cm="1">
        <f t="array" ref="BD195">IF($F$13-$I$4+VLOOKUP($R195,武学奇术!$A:$ZZ,13,FALSE)+SUM(_xlfn.XLOOKUP(S195:AG195,增益!$A:$A,增益!$M:$M,0))&gt;0,($F$13-$I$4+VLOOKUP($R195,武学奇术!$A:$ZZ,13,FALSE)+SUM(_xlfn.XLOOKUP(S195:AG195,增益!$A:$A,增益!$K:$K,0)))/200,($F$13-$I$4+VLOOKUP($R195,武学奇术!$A:$ZZ,13,FALSE)+SUM(_xlfn.XLOOKUP(S195:AG195,增益!$A:$A,增益!$M:$M,0)))/100)</f>
        <v>-0.3</v>
      </c>
      <c r="BE195" s="26" cm="1">
        <f t="array" ref="BE195">$G$13+VLOOKUP($R195,武学奇术!$A:$ZZ,14,FALSE)+SUM(_xlfn.XLOOKUP(S195:AG195,增益!$A:$A,增益!$N:$N,0))</f>
        <v>0</v>
      </c>
      <c r="BF195">
        <f t="shared" si="40"/>
        <v>0</v>
      </c>
      <c r="BG195">
        <f t="shared" si="41"/>
        <v>0</v>
      </c>
      <c r="BH195" s="26" cm="1">
        <f t="array" ref="BH195">IF($F$14-$I$4+VLOOKUP($R195,武学奇术!$A:$ZZ,15,FALSE)+SUM(_xlfn.XLOOKUP(S195:AG195,增益!$A:$A,增益!$O:$O,0))&gt;0,($F$14-$I$4+VLOOKUP($R195,武学奇术!$A:$ZZ,15,FALSE)+SUM(_xlfn.XLOOKUP(S195:AG195,增益!$A:$A,增益!$O:$O,0)))/200,($F$14-$I$4+VLOOKUP($R195,武学奇术!$A:$ZZ,15,FALSE)+SUM(_xlfn.XLOOKUP(S195:AG195,增益!$A:$A,增益!$O:$O,0)))/100)</f>
        <v>-0.3</v>
      </c>
      <c r="BI195" s="26" cm="1">
        <f t="array" ref="BI195">$G$14+VLOOKUP($R195,武学奇术!$A:$ZZ,16,FALSE)+SUM(_xlfn.XLOOKUP(S195:AG195,增益!$A:$A,增益!$P:$P,0))</f>
        <v>0</v>
      </c>
      <c r="BJ195" s="21">
        <f>MIN(IF(VLOOKUP($R195,武学奇术!$A:$ZZ,23,FALSE)=1,100%,$B$8),100%)</f>
        <v>0.8229</v>
      </c>
      <c r="BK195" s="21" cm="1">
        <f t="array" ref="BK195">IF(VLOOKUP($R195,武学奇术!$A:$ZZ,23,FALSE)=1,100%,MIN(80%,$B$9+VLOOKUP($R195,武学奇术!$A:$ZZ,17,FALSE)+SUM(_xlfn.XLOOKUP(S195:AG195,增益!$A:$A,增益!$Q:$Q,0)))+$B$11+SUM(_xlfn.XLOOKUP(S195:AG195,增益!$A:$A,增益!$U:$U,0)))*IF(VLOOKUP($R195,武学奇术!$A:$ZZ,24,FALSE)=1,0,1)</f>
        <v>0.2285</v>
      </c>
      <c r="BL195" s="21" cm="1">
        <f t="array" ref="BL195">1+$B$13+VLOOKUP($R195,武学奇术!$A:$ZZ,18,FALSE)+SUM(_xlfn.XLOOKUP(S195:AG195,增益!$A:$A,增益!$R:$R,0))</f>
        <v>1.5</v>
      </c>
      <c r="BM195" s="21" cm="1">
        <f t="array" ref="BM195">IF(VLOOKUP($R195,武学奇术!$A:$ZZ,24,FALSE)=1,100%,MIN(40%,$B$10+VLOOKUP($R195,武学奇术!$A:$ZZ,19,FALSE)+SUM(_xlfn.XLOOKUP(S195:AG195,增益!$A:$A,增益!$S:$S,0)))+$B$12+SUM(_xlfn.XLOOKUP(S195:AG195,增益!$A:$A,增益!$V:$V,0)))*IF(VLOOKUP($R195,武学奇术!$A:$ZZ,23,FALSE)=1,0,1)</f>
        <v>0.4195</v>
      </c>
      <c r="BN195" s="21" cm="1">
        <f t="array" ref="BN195">1+$B$14+VLOOKUP($R195,武学奇术!$A:$ZZ,20,FALSE)+SUM(_xlfn.XLOOKUP(S195:AG195,增益!$A:$A,增益!$T:$T,0))</f>
        <v>1.592</v>
      </c>
      <c r="BO195" s="21">
        <f t="shared" si="42"/>
        <v>0.18803265</v>
      </c>
      <c r="BP195" s="21">
        <f t="shared" si="43"/>
        <v>0.2896608</v>
      </c>
      <c r="BQ195" s="21">
        <f>IF(VLOOKUP($R195,武学奇术!$A:$ZZ,22,FALSE)=1,0,(1-$BJ195))*(1-$BM195)</f>
        <v>0.10280655</v>
      </c>
      <c r="BR195" s="21" cm="1">
        <f t="array" ref="BR195">SUM(_xlfn.XLOOKUP(S195:AG195,增益!$A:$A,增益!$W:$W,0))+$I$5</f>
        <v>0.06</v>
      </c>
    </row>
    <row r="196" spans="11:70">
      <c r="K196" s="24">
        <f>$L196*VLOOKUP($R196,武学奇术!$A:$ZZ,31,FALSE)</f>
        <v>7406.51583269737</v>
      </c>
      <c r="L196" s="24">
        <f t="shared" si="33"/>
        <v>12344.1930544956</v>
      </c>
      <c r="M196" s="24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BL196*$Q196*(1+IF(VLOOKUP($R196,武学奇术!$A:$ZZ,30,FALSE)="流血",$B$21,0))*(1+$BR196)</f>
        <v>10417.31425883</v>
      </c>
      <c r="N196" s="24">
        <f>(($AP196*$AI196+$AJ196)*(1+$AQ196)*(1+$AR196)+($AU196*IF($G$1="鸣金",$AK196,$AI196)+IF($G$1="鸣金",$AL196*1.5,0))*(1+$AV196)*(1+$AW196)+($AY196*IF($G$1="裂石",$AK196,$AI196)+IF($G$1="裂石",$AL196*1.5,0))*(1+$AZ196)*(1+$BA196)+($BC196*IF($G$1="牵丝",$AK196,$AI196)+IF($G$1="牵丝",$AL196*1.5,0))*(1+$BD196)*(1+$BE196)+($BG196*IF($G$1="破竹",$AK196,$AI196)+IF($G$1="破竹",$AL196*1.5,0))*(1+$BH196)*(1+$BI196))*(1+$AM196)*$BN196*$Q196*(1+IF(VLOOKUP($R196,武学奇术!$A:$ZZ,30,FALSE)="流血",$B$21,0))*(1+$BR196)</f>
        <v>18334.2475208354</v>
      </c>
      <c r="O196" s="24">
        <f>((($AO196+$AP196)/2*$AI196+$AJ196)*(1+$AQ196)*(1+$AR196)+(($AT196+$AU196)/2*IF($G$1="鸣金",$AK196,$AI196)+IF($G$1="鸣金",$AL196*1.5,0))*(1+$AV196)*(1+$AW196)+(($AX196+$AY196)/2*IF($G$1="裂石",$AK196,$AI196)+IF($G$1="裂石",$AL196*1.5,0))*(1+$AZ196)*(1+$BA196)+(($BB196+$BC196)/2*IF($G$1="牵丝",$AK196,$AI196)+IF($G$1="牵丝",$AL196*1.5,0))*(1+$BD196)*(1+$BE196)+(($BF196+$BG196)/2*IF($G$1="破竹",$AK196,$AI196)+IF($G$1="破竹",$AL196*1.5,0))*(1+$BH196)*(1+$BI196))*(1+$AM196)*$Q196*(1+IF(VLOOKUP($R196,武学奇术!$A:$ZZ,30,FALSE)="流血",$B$21,0))*(1+$BR196)</f>
        <v>6944.87617255331</v>
      </c>
      <c r="P196" s="24">
        <f>((($AO196*$AI196+$AJ196)*(1+$AQ196)*(1+$AR196)+($AT196*IF($G$1="鸣金",$AK196,$AI196)+IF($G$1="鸣金",$AL196*1.5,0))*(1+$AV196)*(1+$AW196)+($AX196*IF($G$1="裂石",$AK196,$AI196)+IF($G$1="裂石",$AL196*1.5,0))*(1+$AZ196)*(1+$BA196)+($BB196*IF($G$1="牵丝",$AK196,$AI196)+IF($G$1="牵丝",$AL196*1.5,0))*(1+$BD196)*(1+$BE196)+($BF196*IF($G$1="破竹",$AK196,$AI196)+IF($G$1="破竹",$AL196*1.5,0))*(1+$BH196)*(1+$BI196))*(1+$AM196))*$Q196*(1+IF(VLOOKUP($R196,武学奇术!$A:$ZZ,30,FALSE)="流血",$B$21,0))*(1+$BR196)</f>
        <v>3117.57401324093</v>
      </c>
      <c r="Q196" s="31">
        <v>1</v>
      </c>
      <c r="R196" s="32" t="s">
        <v>197</v>
      </c>
      <c r="S196" s="32" t="s">
        <v>87</v>
      </c>
      <c r="T196" s="32" t="s">
        <v>96</v>
      </c>
      <c r="U196" s="32" t="s">
        <v>196</v>
      </c>
      <c r="V196" s="32" t="s">
        <v>73</v>
      </c>
      <c r="W196" s="32" t="s">
        <v>73</v>
      </c>
      <c r="X196" s="32" t="s">
        <v>88</v>
      </c>
      <c r="Y196" s="32" t="s">
        <v>73</v>
      </c>
      <c r="Z196" s="32" t="s">
        <v>73</v>
      </c>
      <c r="AA196" s="32" t="s">
        <v>81</v>
      </c>
      <c r="AB196" s="32" t="s">
        <v>75</v>
      </c>
      <c r="AC196" s="32" t="s">
        <v>89</v>
      </c>
      <c r="AD196" s="32" t="s">
        <v>82</v>
      </c>
      <c r="AE196" s="32" t="s">
        <v>90</v>
      </c>
      <c r="AF196" s="32" t="s">
        <v>73</v>
      </c>
      <c r="AG196" s="32" t="s">
        <v>91</v>
      </c>
      <c r="AH196" t="str">
        <f>VLOOKUP($R196,武学奇术!$A:$ZZ,25,FALSE)</f>
        <v>剑</v>
      </c>
      <c r="AI196" s="21">
        <f>VLOOKUP($R196,武学奇术!$A:$ZZ,26,FALSE)</f>
        <v>0.2772</v>
      </c>
      <c r="AJ196" s="22">
        <f>VLOOKUP($R196,武学奇术!$A:$ZZ,27,FALSE)*(1+IF(OR($AH196=$F$4,$AH196=$F$5),$B$22,0))</f>
        <v>0</v>
      </c>
      <c r="AK196" s="21">
        <f>VLOOKUP($R196,武学奇术!$A:$ZZ,28,FALSE)</f>
        <v>0.4158</v>
      </c>
      <c r="AL196" s="22">
        <f>VLOOKUP($R196,武学奇术!$A:$ZZ,29,FALSE)*(1+IF(OR($AH196=$F$4,$AH196=$F$5),$B$22,0))</f>
        <v>0</v>
      </c>
      <c r="AM196" s="21" cm="1">
        <f t="array" ref="AM196">$G$3+IFERROR(VLOOKUP($AH196,$F$4:$G$7,2,FALSE),0)+VLOOKUP($R196,武学奇术!$A:$ZZ,2,FALSE)+SUM(_xlfn.XLOOKUP($S196:$AG196,增益!$A:$A,增益!$B:$B,0))</f>
        <v>1.2491</v>
      </c>
      <c r="AN196" s="21" cm="1">
        <f t="array" ref="AN196">VLOOKUP($R196,武学奇术!$A:$ZZ,5,FALSE)+SUM(_xlfn.XLOOKUP($S196:$AG196,增益!$A:$A,增益!$E:$E,0))</f>
        <v>0</v>
      </c>
      <c r="AO196" cm="1">
        <f t="array" ref="AO196">$D$10*(1+$AN196)+VLOOKUP($R196,武学奇术!$A:$ZZ,3,FALSE)+SUM(_xlfn.XLOOKUP($S196:$AG196,增益!$A:$A,增益!$C:$C,0))-$I$2</f>
        <v>1794.28</v>
      </c>
      <c r="AP196" cm="1">
        <f t="array" ref="AP196">$E$10*(1+$AN196)+VLOOKUP($R196,武学奇术!$A:$ZZ,4,FALSE)+SUM(_xlfn.XLOOKUP($S196:$AG196,增益!$A:$A,增益!$D:$D,0))-$I$2</f>
        <v>7726.36</v>
      </c>
      <c r="AQ196" s="26" cm="1">
        <f t="array" ref="AQ196">IF($F$10-$I$3+VLOOKUP($R196,武学奇术!$A:$ZZ,6,FALSE)+SUM(_xlfn.XLOOKUP(S196:AG196,增益!$A:$A,增益!$F:$F,0))&gt;0,($F$10-$I$3+VLOOKUP($R196,武学奇术!$A:$ZZ,6,FALSE)+SUM(_xlfn.XLOOKUP(S196:AG196,增益!$A:$A,增益!$F:$F,0)))/200,($F$10-$I$3+VLOOKUP($R196,武学奇术!$A:$ZZ,6,FALSE)+SUM(_xlfn.XLOOKUP(S196:AG196,增益!$A:$A,增益!$F:$F,0)))/100)</f>
        <v>0.289</v>
      </c>
      <c r="AR196" s="26" cm="1">
        <f t="array" ref="AR196">$G$10+VLOOKUP($R196,武学奇术!$A:$ZZ,7,FALSE)+SUM(_xlfn.XLOOKUP(S196:AG196,增益!$A:$A,增益!$G:$G,0))</f>
        <v>0</v>
      </c>
      <c r="AS196" s="21" cm="1">
        <f t="array" ref="AS196">VLOOKUP($R196,武学奇术!$A:$ZZ,8,FALSE)+SUM(_xlfn.XLOOKUP(S196:AG196,增益!$A:$A,增益!$H:$H,0))</f>
        <v>0</v>
      </c>
      <c r="AT196">
        <f t="shared" si="34"/>
        <v>680.02</v>
      </c>
      <c r="AU196">
        <f t="shared" si="35"/>
        <v>1288.54</v>
      </c>
      <c r="AV196" s="26" cm="1">
        <f t="array" ref="AV196">IF($F$11-$I$4+VLOOKUP($R196,武学奇术!$A:$ZZ,9,FALSE)+SUM(_xlfn.XLOOKUP(S196:AG196,增益!$A:$A,增益!$I:$I,0))&gt;0,($F$11-$I$4+VLOOKUP($R196,武学奇术!$A:$ZZ,9,FALSE)+SUM(_xlfn.XLOOKUP(S196:AG196,增益!$A:$A,增益!$I:$I,0)))/200,($F$11-$I$4+VLOOKUP($R196,武学奇术!$A:$ZZ,9,FALSE)+SUM(_xlfn.XLOOKUP(S196:AG196,增益!$A:$A,增益!$I:$I,0)))/100)</f>
        <v>0.075</v>
      </c>
      <c r="AW196" s="26" cm="1">
        <f t="array" ref="AW196">$G$11+VLOOKUP($R196,武学奇术!$A:$ZZ,10,FALSE)+SUM(_xlfn.XLOOKUP(S196:AG196,增益!$A:$A,增益!$J:$J,0))</f>
        <v>0.15</v>
      </c>
      <c r="AX196">
        <f t="shared" si="36"/>
        <v>0</v>
      </c>
      <c r="AY196">
        <f t="shared" si="37"/>
        <v>0</v>
      </c>
      <c r="AZ196" s="26" cm="1">
        <f t="array" ref="AZ196">IF($F$12-$I$4+VLOOKUP($R196,武学奇术!$A:$ZZ,11,FALSE)+SUM(_xlfn.XLOOKUP(S196:AG196,增益!$A:$A,增益!$K:$K,0))&gt;0,($F$12-$I$4+VLOOKUP($R196,武学奇术!$A:$ZZ,11,FALSE)+SUM(_xlfn.XLOOKUP(S196:AG196,增益!$A:$A,增益!$K:$K,0)))/200,($F$12-$I$4+VLOOKUP($R196,武学奇术!$A:$ZZ,11,FALSE)+SUM(_xlfn.XLOOKUP(S196:AG196,增益!$A:$A,增益!$K:$K,0)))/100)</f>
        <v>-0.3</v>
      </c>
      <c r="BA196" s="26" cm="1">
        <f t="array" ref="BA196">$G$12+VLOOKUP($R196,武学奇术!$A:$ZZ,12,FALSE)+SUM(_xlfn.XLOOKUP(S196:AG196,增益!$A:$A,增益!$L:$L,0))</f>
        <v>0</v>
      </c>
      <c r="BB196">
        <f t="shared" si="38"/>
        <v>0</v>
      </c>
      <c r="BC196">
        <f t="shared" si="39"/>
        <v>0</v>
      </c>
      <c r="BD196" s="26" cm="1">
        <f t="array" ref="BD196">IF($F$13-$I$4+VLOOKUP($R196,武学奇术!$A:$ZZ,13,FALSE)+SUM(_xlfn.XLOOKUP(S196:AG196,增益!$A:$A,增益!$M:$M,0))&gt;0,($F$13-$I$4+VLOOKUP($R196,武学奇术!$A:$ZZ,13,FALSE)+SUM(_xlfn.XLOOKUP(S196:AG196,增益!$A:$A,增益!$K:$K,0)))/200,($F$13-$I$4+VLOOKUP($R196,武学奇术!$A:$ZZ,13,FALSE)+SUM(_xlfn.XLOOKUP(S196:AG196,增益!$A:$A,增益!$M:$M,0)))/100)</f>
        <v>-0.3</v>
      </c>
      <c r="BE196" s="26" cm="1">
        <f t="array" ref="BE196">$G$13+VLOOKUP($R196,武学奇术!$A:$ZZ,14,FALSE)+SUM(_xlfn.XLOOKUP(S196:AG196,增益!$A:$A,增益!$N:$N,0))</f>
        <v>0</v>
      </c>
      <c r="BF196">
        <f t="shared" si="40"/>
        <v>0</v>
      </c>
      <c r="BG196">
        <f t="shared" si="41"/>
        <v>0</v>
      </c>
      <c r="BH196" s="26" cm="1">
        <f t="array" ref="BH196">IF($F$14-$I$4+VLOOKUP($R196,武学奇术!$A:$ZZ,15,FALSE)+SUM(_xlfn.XLOOKUP(S196:AG196,增益!$A:$A,增益!$O:$O,0))&gt;0,($F$14-$I$4+VLOOKUP($R196,武学奇术!$A:$ZZ,15,FALSE)+SUM(_xlfn.XLOOKUP(S196:AG196,增益!$A:$A,增益!$O:$O,0)))/200,($F$14-$I$4+VLOOKUP($R196,武学奇术!$A:$ZZ,15,FALSE)+SUM(_xlfn.XLOOKUP(S196:AG196,增益!$A:$A,增益!$O:$O,0)))/100)</f>
        <v>-0.3</v>
      </c>
      <c r="BI196" s="26" cm="1">
        <f t="array" ref="BI196">$G$14+VLOOKUP($R196,武学奇术!$A:$ZZ,16,FALSE)+SUM(_xlfn.XLOOKUP(S196:AG196,增益!$A:$A,增益!$P:$P,0))</f>
        <v>0</v>
      </c>
      <c r="BJ196" s="21">
        <f>MIN(IF(VLOOKUP($R196,武学奇术!$A:$ZZ,23,FALSE)=1,100%,$B$8),100%)</f>
        <v>0.8229</v>
      </c>
      <c r="BK196" s="21" cm="1">
        <f t="array" ref="BK196">IF(VLOOKUP($R196,武学奇术!$A:$ZZ,23,FALSE)=1,100%,MIN(80%,$B$9+VLOOKUP($R196,武学奇术!$A:$ZZ,17,FALSE)+SUM(_xlfn.XLOOKUP(S196:AG196,增益!$A:$A,增益!$Q:$Q,0)))+$B$11+SUM(_xlfn.XLOOKUP(S196:AG196,增益!$A:$A,增益!$U:$U,0)))*IF(VLOOKUP($R196,武学奇术!$A:$ZZ,24,FALSE)=1,0,1)</f>
        <v>0.2285</v>
      </c>
      <c r="BL196" s="21" cm="1">
        <f t="array" ref="BL196">1+$B$13+VLOOKUP($R196,武学奇术!$A:$ZZ,18,FALSE)+SUM(_xlfn.XLOOKUP(S196:AG196,增益!$A:$A,增益!$R:$R,0))</f>
        <v>1.5</v>
      </c>
      <c r="BM196" s="21" cm="1">
        <f t="array" ref="BM196">IF(VLOOKUP($R196,武学奇术!$A:$ZZ,24,FALSE)=1,100%,MIN(40%,$B$10+VLOOKUP($R196,武学奇术!$A:$ZZ,19,FALSE)+SUM(_xlfn.XLOOKUP(S196:AG196,增益!$A:$A,增益!$S:$S,0)))+$B$12+SUM(_xlfn.XLOOKUP(S196:AG196,增益!$A:$A,增益!$V:$V,0)))*IF(VLOOKUP($R196,武学奇术!$A:$ZZ,23,FALSE)=1,0,1)</f>
        <v>0.4495</v>
      </c>
      <c r="BN196" s="21" cm="1">
        <f t="array" ref="BN196">1+$B$14+VLOOKUP($R196,武学奇术!$A:$ZZ,20,FALSE)+SUM(_xlfn.XLOOKUP(S196:AG196,增益!$A:$A,增益!$T:$T,0))</f>
        <v>1.702</v>
      </c>
      <c r="BO196" s="21">
        <f t="shared" si="42"/>
        <v>0.18803265</v>
      </c>
      <c r="BP196" s="21">
        <f t="shared" si="43"/>
        <v>0.2649738</v>
      </c>
      <c r="BQ196" s="21">
        <f>IF(VLOOKUP($R196,武学奇术!$A:$ZZ,22,FALSE)=1,0,(1-$BJ196))*(1-$BM196)</f>
        <v>0.09749355</v>
      </c>
      <c r="BR196" s="21" cm="1">
        <f t="array" ref="BR196">SUM(_xlfn.XLOOKUP(S196:AG196,增益!$A:$A,增益!$W:$W,0))+$I$5</f>
        <v>0.06</v>
      </c>
    </row>
    <row r="197" spans="11:70">
      <c r="K197" s="24">
        <f>$L197*VLOOKUP($R197,武学奇术!$A:$ZZ,31,FALSE)</f>
        <v>5092.37333951617</v>
      </c>
      <c r="L197" s="24">
        <f t="shared" si="33"/>
        <v>8487.28889919361</v>
      </c>
      <c r="M197" s="24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BL197*$Q197*(1+IF(VLOOKUP($R197,武学奇术!$A:$ZZ,30,FALSE)="流血",$B$21,0))*(1+$BR197)</f>
        <v>7161.30663673199</v>
      </c>
      <c r="N197" s="24">
        <f>(($AP197*$AI197+$AJ197)*(1+$AQ197)*(1+$AR197)+($AU197*IF($G$1="鸣金",$AK197,$AI197)+IF($G$1="鸣金",$AL197*1.5,0))*(1+$AV197)*(1+$AW197)+($AY197*IF($G$1="裂石",$AK197,$AI197)+IF($G$1="裂石",$AL197*1.5,0))*(1+$AZ197)*(1+$BA197)+($BC197*IF($G$1="牵丝",$AK197,$AI197)+IF($G$1="牵丝",$AL197*1.5,0))*(1+$BD197)*(1+$BE197)+($BG197*IF($G$1="破竹",$AK197,$AI197)+IF($G$1="破竹",$AL197*1.5,0))*(1+$BH197)*(1+$BI197))*(1+$AM197)*$BN197*$Q197*(1+IF(VLOOKUP($R197,武学奇术!$A:$ZZ,30,FALSE)="流血",$B$21,0))*(1+$BR197)</f>
        <v>12607.2209952973</v>
      </c>
      <c r="O197" s="24">
        <f>((($AO197+$AP197)/2*$AI197+$AJ197)*(1+$AQ197)*(1+$AR197)+(($AT197+$AU197)/2*IF($G$1="鸣金",$AK197,$AI197)+IF($G$1="鸣金",$AL197*1.5,0))*(1+$AV197)*(1+$AW197)+(($AX197+$AY197)/2*IF($G$1="裂石",$AK197,$AI197)+IF($G$1="裂石",$AL197*1.5,0))*(1+$AZ197)*(1+$BA197)+(($BB197+$BC197)/2*IF($G$1="牵丝",$AK197,$AI197)+IF($G$1="牵丝",$AL197*1.5,0))*(1+$BD197)*(1+$BE197)+(($BF197+$BG197)/2*IF($G$1="破竹",$AK197,$AI197)+IF($G$1="破竹",$AL197*1.5,0))*(1+$BH197)*(1+$BI197))*(1+$AM197)*$Q197*(1+IF(VLOOKUP($R197,武学奇术!$A:$ZZ,30,FALSE)="流血",$B$21,0))*(1+$BR197)</f>
        <v>4774.20442448799</v>
      </c>
      <c r="P197" s="24">
        <f>((($AO197*$AI197+$AJ197)*(1+$AQ197)*(1+$AR197)+($AT197*IF($G$1="鸣金",$AK197,$AI197)+IF($G$1="鸣金",$AL197*1.5,0))*(1+$AV197)*(1+$AW197)+($AX197*IF($G$1="裂石",$AK197,$AI197)+IF($G$1="裂石",$AL197*1.5,0))*(1+$AZ197)*(1+$BA197)+($BB197*IF($G$1="牵丝",$AK197,$AI197)+IF($G$1="牵丝",$AL197*1.5,0))*(1+$BD197)*(1+$BE197)+($BF197*IF($G$1="破竹",$AK197,$AI197)+IF($G$1="破竹",$AL197*1.5,0))*(1+$BH197)*(1+$BI197))*(1+$AM197))*$Q197*(1+IF(VLOOKUP($R197,武学奇术!$A:$ZZ,30,FALSE)="流血",$B$21,0))*(1+$BR197)</f>
        <v>2141.11096689768</v>
      </c>
      <c r="Q197" s="31">
        <v>1</v>
      </c>
      <c r="R197" s="32" t="s">
        <v>198</v>
      </c>
      <c r="S197" s="32" t="s">
        <v>87</v>
      </c>
      <c r="T197" s="32" t="s">
        <v>96</v>
      </c>
      <c r="U197" s="32" t="s">
        <v>97</v>
      </c>
      <c r="V197" s="32" t="s">
        <v>73</v>
      </c>
      <c r="W197" s="32" t="s">
        <v>73</v>
      </c>
      <c r="X197" s="32" t="s">
        <v>109</v>
      </c>
      <c r="Y197" s="32" t="s">
        <v>73</v>
      </c>
      <c r="Z197" s="32" t="s">
        <v>73</v>
      </c>
      <c r="AA197" s="32" t="s">
        <v>81</v>
      </c>
      <c r="AB197" s="32" t="s">
        <v>75</v>
      </c>
      <c r="AC197" s="32" t="s">
        <v>89</v>
      </c>
      <c r="AD197" s="32" t="s">
        <v>82</v>
      </c>
      <c r="AE197" s="32" t="s">
        <v>90</v>
      </c>
      <c r="AF197" s="32" t="s">
        <v>73</v>
      </c>
      <c r="AG197" s="32" t="s">
        <v>91</v>
      </c>
      <c r="AH197" t="str">
        <f>VLOOKUP($R197,武学奇术!$A:$ZZ,25,FALSE)</f>
        <v>剑</v>
      </c>
      <c r="AI197" s="21">
        <f>VLOOKUP($R197,武学奇术!$A:$ZZ,26,FALSE)</f>
        <v>0.17325</v>
      </c>
      <c r="AJ197" s="22">
        <f>VLOOKUP($R197,武学奇术!$A:$ZZ,27,FALSE)*(1+IF(OR($AH197=$F$4,$AH197=$F$5),$B$22,0))</f>
        <v>0</v>
      </c>
      <c r="AK197" s="21">
        <f>VLOOKUP($R197,武学奇术!$A:$ZZ,28,FALSE)</f>
        <v>0.259875</v>
      </c>
      <c r="AL197" s="22">
        <f>VLOOKUP($R197,武学奇术!$A:$ZZ,29,FALSE)*(1+IF(OR($AH197=$F$4,$AH197=$F$5),$B$22,0))</f>
        <v>0</v>
      </c>
      <c r="AM197" s="21" cm="1">
        <f t="array" ref="AM197">$G$3+IFERROR(VLOOKUP($AH197,$F$4:$G$7,2,FALSE),0)+VLOOKUP($R197,武学奇术!$A:$ZZ,2,FALSE)+SUM(_xlfn.XLOOKUP($S197:$AG197,增益!$A:$A,增益!$B:$B,0))</f>
        <v>1.4591</v>
      </c>
      <c r="AN197" s="21" cm="1">
        <f t="array" ref="AN197">VLOOKUP($R197,武学奇术!$A:$ZZ,5,FALSE)+SUM(_xlfn.XLOOKUP($S197:$AG197,增益!$A:$A,增益!$E:$E,0))</f>
        <v>0</v>
      </c>
      <c r="AO197" cm="1">
        <f t="array" ref="AO197">$D$10*(1+$AN197)+VLOOKUP($R197,武学奇术!$A:$ZZ,3,FALSE)+SUM(_xlfn.XLOOKUP($S197:$AG197,增益!$A:$A,增益!$C:$C,0))-$I$2</f>
        <v>1794.28</v>
      </c>
      <c r="AP197" cm="1">
        <f t="array" ref="AP197">$E$10*(1+$AN197)+VLOOKUP($R197,武学奇术!$A:$ZZ,4,FALSE)+SUM(_xlfn.XLOOKUP($S197:$AG197,增益!$A:$A,增益!$D:$D,0))-$I$2</f>
        <v>7726.36</v>
      </c>
      <c r="AQ197" s="26" cm="1">
        <f t="array" ref="AQ197">IF($F$10-$I$3+VLOOKUP($R197,武学奇术!$A:$ZZ,6,FALSE)+SUM(_xlfn.XLOOKUP(S197:AG197,增益!$A:$A,增益!$F:$F,0))&gt;0,($F$10-$I$3+VLOOKUP($R197,武学奇术!$A:$ZZ,6,FALSE)+SUM(_xlfn.XLOOKUP(S197:AG197,增益!$A:$A,增益!$F:$F,0)))/200,($F$10-$I$3+VLOOKUP($R197,武学奇术!$A:$ZZ,6,FALSE)+SUM(_xlfn.XLOOKUP(S197:AG197,增益!$A:$A,增益!$F:$F,0)))/100)</f>
        <v>0.299</v>
      </c>
      <c r="AR197" s="26" cm="1">
        <f t="array" ref="AR197">$G$10+VLOOKUP($R197,武学奇术!$A:$ZZ,7,FALSE)+SUM(_xlfn.XLOOKUP(S197:AG197,增益!$A:$A,增益!$G:$G,0))</f>
        <v>0</v>
      </c>
      <c r="AS197" s="21" cm="1">
        <f t="array" ref="AS197">VLOOKUP($R197,武学奇术!$A:$ZZ,8,FALSE)+SUM(_xlfn.XLOOKUP(S197:AG197,增益!$A:$A,增益!$H:$H,0))</f>
        <v>0</v>
      </c>
      <c r="AT197">
        <f t="shared" si="34"/>
        <v>680.02</v>
      </c>
      <c r="AU197">
        <f t="shared" si="35"/>
        <v>1288.54</v>
      </c>
      <c r="AV197" s="26" cm="1">
        <f t="array" ref="AV197">IF($F$11-$I$4+VLOOKUP($R197,武学奇术!$A:$ZZ,9,FALSE)+SUM(_xlfn.XLOOKUP(S197:AG197,增益!$A:$A,增益!$I:$I,0))&gt;0,($F$11-$I$4+VLOOKUP($R197,武学奇术!$A:$ZZ,9,FALSE)+SUM(_xlfn.XLOOKUP(S197:AG197,增益!$A:$A,增益!$I:$I,0)))/200,($F$11-$I$4+VLOOKUP($R197,武学奇术!$A:$ZZ,9,FALSE)+SUM(_xlfn.XLOOKUP(S197:AG197,增益!$A:$A,增益!$I:$I,0)))/100)</f>
        <v>0.075</v>
      </c>
      <c r="AW197" s="26" cm="1">
        <f t="array" ref="AW197">$G$11+VLOOKUP($R197,武学奇术!$A:$ZZ,10,FALSE)+SUM(_xlfn.XLOOKUP(S197:AG197,增益!$A:$A,增益!$J:$J,0))</f>
        <v>0.15</v>
      </c>
      <c r="AX197">
        <f t="shared" si="36"/>
        <v>0</v>
      </c>
      <c r="AY197">
        <f t="shared" si="37"/>
        <v>0</v>
      </c>
      <c r="AZ197" s="26" cm="1">
        <f t="array" ref="AZ197">IF($F$12-$I$4+VLOOKUP($R197,武学奇术!$A:$ZZ,11,FALSE)+SUM(_xlfn.XLOOKUP(S197:AG197,增益!$A:$A,增益!$K:$K,0))&gt;0,($F$12-$I$4+VLOOKUP($R197,武学奇术!$A:$ZZ,11,FALSE)+SUM(_xlfn.XLOOKUP(S197:AG197,增益!$A:$A,增益!$K:$K,0)))/200,($F$12-$I$4+VLOOKUP($R197,武学奇术!$A:$ZZ,11,FALSE)+SUM(_xlfn.XLOOKUP(S197:AG197,增益!$A:$A,增益!$K:$K,0)))/100)</f>
        <v>-0.3</v>
      </c>
      <c r="BA197" s="26" cm="1">
        <f t="array" ref="BA197">$G$12+VLOOKUP($R197,武学奇术!$A:$ZZ,12,FALSE)+SUM(_xlfn.XLOOKUP(S197:AG197,增益!$A:$A,增益!$L:$L,0))</f>
        <v>0</v>
      </c>
      <c r="BB197">
        <f t="shared" si="38"/>
        <v>0</v>
      </c>
      <c r="BC197">
        <f t="shared" si="39"/>
        <v>0</v>
      </c>
      <c r="BD197" s="26" cm="1">
        <f t="array" ref="BD197">IF($F$13-$I$4+VLOOKUP($R197,武学奇术!$A:$ZZ,13,FALSE)+SUM(_xlfn.XLOOKUP(S197:AG197,增益!$A:$A,增益!$M:$M,0))&gt;0,($F$13-$I$4+VLOOKUP($R197,武学奇术!$A:$ZZ,13,FALSE)+SUM(_xlfn.XLOOKUP(S197:AG197,增益!$A:$A,增益!$K:$K,0)))/200,($F$13-$I$4+VLOOKUP($R197,武学奇术!$A:$ZZ,13,FALSE)+SUM(_xlfn.XLOOKUP(S197:AG197,增益!$A:$A,增益!$M:$M,0)))/100)</f>
        <v>-0.3</v>
      </c>
      <c r="BE197" s="26" cm="1">
        <f t="array" ref="BE197">$G$13+VLOOKUP($R197,武学奇术!$A:$ZZ,14,FALSE)+SUM(_xlfn.XLOOKUP(S197:AG197,增益!$A:$A,增益!$N:$N,0))</f>
        <v>0</v>
      </c>
      <c r="BF197">
        <f t="shared" si="40"/>
        <v>0</v>
      </c>
      <c r="BG197">
        <f t="shared" si="41"/>
        <v>0</v>
      </c>
      <c r="BH197" s="26" cm="1">
        <f t="array" ref="BH197">IF($F$14-$I$4+VLOOKUP($R197,武学奇术!$A:$ZZ,15,FALSE)+SUM(_xlfn.XLOOKUP(S197:AG197,增益!$A:$A,增益!$O:$O,0))&gt;0,($F$14-$I$4+VLOOKUP($R197,武学奇术!$A:$ZZ,15,FALSE)+SUM(_xlfn.XLOOKUP(S197:AG197,增益!$A:$A,增益!$O:$O,0)))/200,($F$14-$I$4+VLOOKUP($R197,武学奇术!$A:$ZZ,15,FALSE)+SUM(_xlfn.XLOOKUP(S197:AG197,增益!$A:$A,增益!$O:$O,0)))/100)</f>
        <v>-0.3</v>
      </c>
      <c r="BI197" s="26" cm="1">
        <f t="array" ref="BI197">$G$14+VLOOKUP($R197,武学奇术!$A:$ZZ,16,FALSE)+SUM(_xlfn.XLOOKUP(S197:AG197,增益!$A:$A,增益!$P:$P,0))</f>
        <v>0</v>
      </c>
      <c r="BJ197" s="21">
        <f>MIN(IF(VLOOKUP($R197,武学奇术!$A:$ZZ,23,FALSE)=1,100%,$B$8),100%)</f>
        <v>0.8229</v>
      </c>
      <c r="BK197" s="21" cm="1">
        <f t="array" ref="BK197">IF(VLOOKUP($R197,武学奇术!$A:$ZZ,23,FALSE)=1,100%,MIN(80%,$B$9+VLOOKUP($R197,武学奇术!$A:$ZZ,17,FALSE)+SUM(_xlfn.XLOOKUP(S197:AG197,增益!$A:$A,增益!$Q:$Q,0)))+$B$11+SUM(_xlfn.XLOOKUP(S197:AG197,增益!$A:$A,增益!$U:$U,0)))*IF(VLOOKUP($R197,武学奇术!$A:$ZZ,24,FALSE)=1,0,1)</f>
        <v>0.2285</v>
      </c>
      <c r="BL197" s="21" cm="1">
        <f t="array" ref="BL197">1+$B$13+VLOOKUP($R197,武学奇术!$A:$ZZ,18,FALSE)+SUM(_xlfn.XLOOKUP(S197:AG197,增益!$A:$A,增益!$R:$R,0))</f>
        <v>1.5</v>
      </c>
      <c r="BM197" s="21" cm="1">
        <f t="array" ref="BM197">IF(VLOOKUP($R197,武学奇术!$A:$ZZ,24,FALSE)=1,100%,MIN(40%,$B$10+VLOOKUP($R197,武学奇术!$A:$ZZ,19,FALSE)+SUM(_xlfn.XLOOKUP(S197:AG197,增益!$A:$A,增益!$S:$S,0)))+$B$12+SUM(_xlfn.XLOOKUP(S197:AG197,增益!$A:$A,增益!$V:$V,0)))*IF(VLOOKUP($R197,武学奇术!$A:$ZZ,23,FALSE)=1,0,1)</f>
        <v>0.4495</v>
      </c>
      <c r="BN197" s="21" cm="1">
        <f t="array" ref="BN197">1+$B$14+VLOOKUP($R197,武学奇术!$A:$ZZ,20,FALSE)+SUM(_xlfn.XLOOKUP(S197:AG197,增益!$A:$A,增益!$T:$T,0))</f>
        <v>1.702</v>
      </c>
      <c r="BO197" s="21">
        <f t="shared" si="42"/>
        <v>0.18803265</v>
      </c>
      <c r="BP197" s="21">
        <f t="shared" si="43"/>
        <v>0.2649738</v>
      </c>
      <c r="BQ197" s="21">
        <f>IF(VLOOKUP($R197,武学奇术!$A:$ZZ,22,FALSE)=1,0,(1-$BJ197))*(1-$BM197)</f>
        <v>0.09749355</v>
      </c>
      <c r="BR197" s="21" cm="1">
        <f t="array" ref="BR197">SUM(_xlfn.XLOOKUP(S197:AG197,增益!$A:$A,增益!$W:$W,0))+$I$5</f>
        <v>0.06</v>
      </c>
    </row>
    <row r="198" spans="11:70">
      <c r="K198" s="24">
        <f>$L198*VLOOKUP($R198,武学奇术!$A:$ZZ,31,FALSE)</f>
        <v>10225.3504648436</v>
      </c>
      <c r="L198" s="24">
        <f t="shared" si="33"/>
        <v>17042.2507747393</v>
      </c>
      <c r="M198" s="24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BL198*$Q198*(1+IF(VLOOKUP($R198,武学奇术!$A:$ZZ,30,FALSE)="流血",$B$21,0))*(1+$BR198)</f>
        <v>14394.6280022089</v>
      </c>
      <c r="N198" s="24">
        <f>(($AP198*$AI198+$AJ198)*(1+$AQ198)*(1+$AR198)+($AU198*IF($G$1="鸣金",$AK198,$AI198)+IF($G$1="鸣金",$AL198*1.5,0))*(1+$AV198)*(1+$AW198)+($AY198*IF($G$1="裂石",$AK198,$AI198)+IF($G$1="裂石",$AL198*1.5,0))*(1+$AZ198)*(1+$BA198)+($BC198*IF($G$1="牵丝",$AK198,$AI198)+IF($G$1="牵丝",$AL198*1.5,0))*(1+$BD198)*(1+$BE198)+($BG198*IF($G$1="破竹",$AK198,$AI198)+IF($G$1="破竹",$AL198*1.5,0))*(1+$BH198)*(1+$BI198))*(1+$AM198)*$BN198*$Q198*(1+IF(VLOOKUP($R198,武学奇术!$A:$ZZ,30,FALSE)="流血",$B$21,0))*(1+$BR198)</f>
        <v>25296.1547028104</v>
      </c>
      <c r="O198" s="24">
        <f>((($AO198+$AP198)/2*$AI198+$AJ198)*(1+$AQ198)*(1+$AR198)+(($AT198+$AU198)/2*IF($G$1="鸣金",$AK198,$AI198)+IF($G$1="鸣金",$AL198*1.5,0))*(1+$AV198)*(1+$AW198)+(($AX198+$AY198)/2*IF($G$1="裂石",$AK198,$AI198)+IF($G$1="裂石",$AL198*1.5,0))*(1+$AZ198)*(1+$BA198)+(($BB198+$BC198)/2*IF($G$1="牵丝",$AK198,$AI198)+IF($G$1="牵丝",$AL198*1.5,0))*(1+$BD198)*(1+$BE198)+(($BF198+$BG198)/2*IF($G$1="破竹",$AK198,$AI198)+IF($G$1="破竹",$AL198*1.5,0))*(1+$BH198)*(1+$BI198))*(1+$AM198)*$Q198*(1+IF(VLOOKUP($R198,武学奇术!$A:$ZZ,30,FALSE)="流血",$B$21,0))*(1+$BR198)</f>
        <v>9596.41866813926</v>
      </c>
      <c r="P198" s="24">
        <f>((($AO198*$AI198+$AJ198)*(1+$AQ198)*(1+$AR198)+($AT198*IF($G$1="鸣金",$AK198,$AI198)+IF($G$1="鸣金",$AL198*1.5,0))*(1+$AV198)*(1+$AW198)+($AX198*IF($G$1="裂石",$AK198,$AI198)+IF($G$1="裂石",$AL198*1.5,0))*(1+$AZ198)*(1+$BA198)+($BB198*IF($G$1="牵丝",$AK198,$AI198)+IF($G$1="牵丝",$AL198*1.5,0))*(1+$BD198)*(1+$BE198)+($BF198*IF($G$1="破竹",$AK198,$AI198)+IF($G$1="破竹",$AL198*1.5,0))*(1+$BH198)*(1+$BI198))*(1+$AM198))*$Q198*(1+IF(VLOOKUP($R198,武学奇术!$A:$ZZ,30,FALSE)="流血",$B$21,0))*(1+$BR198)</f>
        <v>4330.23175295864</v>
      </c>
      <c r="Q198" s="31">
        <v>1</v>
      </c>
      <c r="R198" s="32" t="s">
        <v>199</v>
      </c>
      <c r="S198" s="32" t="s">
        <v>87</v>
      </c>
      <c r="T198" s="32" t="s">
        <v>96</v>
      </c>
      <c r="U198" s="32" t="s">
        <v>97</v>
      </c>
      <c r="V198" s="32" t="s">
        <v>73</v>
      </c>
      <c r="W198" s="32" t="s">
        <v>111</v>
      </c>
      <c r="X198" s="32" t="s">
        <v>109</v>
      </c>
      <c r="Y198" s="32" t="s">
        <v>73</v>
      </c>
      <c r="Z198" s="32" t="s">
        <v>73</v>
      </c>
      <c r="AA198" s="32" t="s">
        <v>81</v>
      </c>
      <c r="AB198" s="32" t="s">
        <v>75</v>
      </c>
      <c r="AC198" s="32" t="s">
        <v>89</v>
      </c>
      <c r="AD198" s="32" t="s">
        <v>82</v>
      </c>
      <c r="AE198" s="32" t="s">
        <v>90</v>
      </c>
      <c r="AF198" s="32" t="s">
        <v>73</v>
      </c>
      <c r="AG198" s="32" t="s">
        <v>91</v>
      </c>
      <c r="AH198" t="str">
        <f>VLOOKUP($R198,武学奇术!$A:$ZZ,25,FALSE)</f>
        <v>剑</v>
      </c>
      <c r="AI198" s="21">
        <f>VLOOKUP($R198,武学奇术!$A:$ZZ,26,FALSE)</f>
        <v>0.3465</v>
      </c>
      <c r="AJ198" s="22">
        <f>VLOOKUP($R198,武学奇术!$A:$ZZ,27,FALSE)*(1+IF(OR($AH198=$F$4,$AH198=$F$5),$B$22,0))</f>
        <v>0</v>
      </c>
      <c r="AK198" s="21">
        <f>VLOOKUP($R198,武学奇术!$A:$ZZ,28,FALSE)</f>
        <v>0.51975</v>
      </c>
      <c r="AL198" s="22">
        <f>VLOOKUP($R198,武学奇术!$A:$ZZ,29,FALSE)*(1+IF(OR($AH198=$F$4,$AH198=$F$5),$B$22,0))</f>
        <v>0</v>
      </c>
      <c r="AM198" s="21" cm="1">
        <f t="array" ref="AM198">$G$3+IFERROR(VLOOKUP($AH198,$F$4:$G$7,2,FALSE),0)+VLOOKUP($R198,武学奇术!$A:$ZZ,2,FALSE)+SUM(_xlfn.XLOOKUP($S198:$AG198,增益!$A:$A,增益!$B:$B,0))</f>
        <v>1.4591</v>
      </c>
      <c r="AN198" s="21" cm="1">
        <f t="array" ref="AN198">VLOOKUP($R198,武学奇术!$A:$ZZ,5,FALSE)+SUM(_xlfn.XLOOKUP($S198:$AG198,增益!$A:$A,增益!$E:$E,0))</f>
        <v>0</v>
      </c>
      <c r="AO198" cm="1">
        <f t="array" ref="AO198">$D$10*(1+$AN198)+VLOOKUP($R198,武学奇术!$A:$ZZ,3,FALSE)+SUM(_xlfn.XLOOKUP($S198:$AG198,增益!$A:$A,增益!$C:$C,0))-$I$2</f>
        <v>1825.28</v>
      </c>
      <c r="AP198" cm="1">
        <f t="array" ref="AP198">$E$10*(1+$AN198)+VLOOKUP($R198,武学奇术!$A:$ZZ,4,FALSE)+SUM(_xlfn.XLOOKUP($S198:$AG198,增益!$A:$A,增益!$D:$D,0))-$I$2</f>
        <v>7757.36</v>
      </c>
      <c r="AQ198" s="26" cm="1">
        <f t="array" ref="AQ198">IF($F$10-$I$3+VLOOKUP($R198,武学奇术!$A:$ZZ,6,FALSE)+SUM(_xlfn.XLOOKUP(S198:AG198,增益!$A:$A,增益!$F:$F,0))&gt;0,($F$10-$I$3+VLOOKUP($R198,武学奇术!$A:$ZZ,6,FALSE)+SUM(_xlfn.XLOOKUP(S198:AG198,增益!$A:$A,增益!$F:$F,0)))/200,($F$10-$I$3+VLOOKUP($R198,武学奇术!$A:$ZZ,6,FALSE)+SUM(_xlfn.XLOOKUP(S198:AG198,增益!$A:$A,增益!$F:$F,0)))/100)</f>
        <v>0.299</v>
      </c>
      <c r="AR198" s="26" cm="1">
        <f t="array" ref="AR198">$G$10+VLOOKUP($R198,武学奇术!$A:$ZZ,7,FALSE)+SUM(_xlfn.XLOOKUP(S198:AG198,增益!$A:$A,增益!$G:$G,0))</f>
        <v>0</v>
      </c>
      <c r="AS198" s="21" cm="1">
        <f t="array" ref="AS198">VLOOKUP($R198,武学奇术!$A:$ZZ,8,FALSE)+SUM(_xlfn.XLOOKUP(S198:AG198,增益!$A:$A,增益!$H:$H,0))</f>
        <v>0</v>
      </c>
      <c r="AT198">
        <f t="shared" si="34"/>
        <v>680.02</v>
      </c>
      <c r="AU198">
        <f t="shared" si="35"/>
        <v>1288.54</v>
      </c>
      <c r="AV198" s="26" cm="1">
        <f t="array" ref="AV198">IF($F$11-$I$4+VLOOKUP($R198,武学奇术!$A:$ZZ,9,FALSE)+SUM(_xlfn.XLOOKUP(S198:AG198,增益!$A:$A,增益!$I:$I,0))&gt;0,($F$11-$I$4+VLOOKUP($R198,武学奇术!$A:$ZZ,9,FALSE)+SUM(_xlfn.XLOOKUP(S198:AG198,增益!$A:$A,增益!$I:$I,0)))/200,($F$11-$I$4+VLOOKUP($R198,武学奇术!$A:$ZZ,9,FALSE)+SUM(_xlfn.XLOOKUP(S198:AG198,增益!$A:$A,增益!$I:$I,0)))/100)</f>
        <v>0.075</v>
      </c>
      <c r="AW198" s="26" cm="1">
        <f t="array" ref="AW198">$G$11+VLOOKUP($R198,武学奇术!$A:$ZZ,10,FALSE)+SUM(_xlfn.XLOOKUP(S198:AG198,增益!$A:$A,增益!$J:$J,0))</f>
        <v>0.15</v>
      </c>
      <c r="AX198">
        <f t="shared" si="36"/>
        <v>0</v>
      </c>
      <c r="AY198">
        <f t="shared" si="37"/>
        <v>0</v>
      </c>
      <c r="AZ198" s="26" cm="1">
        <f t="array" ref="AZ198">IF($F$12-$I$4+VLOOKUP($R198,武学奇术!$A:$ZZ,11,FALSE)+SUM(_xlfn.XLOOKUP(S198:AG198,增益!$A:$A,增益!$K:$K,0))&gt;0,($F$12-$I$4+VLOOKUP($R198,武学奇术!$A:$ZZ,11,FALSE)+SUM(_xlfn.XLOOKUP(S198:AG198,增益!$A:$A,增益!$K:$K,0)))/200,($F$12-$I$4+VLOOKUP($R198,武学奇术!$A:$ZZ,11,FALSE)+SUM(_xlfn.XLOOKUP(S198:AG198,增益!$A:$A,增益!$K:$K,0)))/100)</f>
        <v>-0.3</v>
      </c>
      <c r="BA198" s="26" cm="1">
        <f t="array" ref="BA198">$G$12+VLOOKUP($R198,武学奇术!$A:$ZZ,12,FALSE)+SUM(_xlfn.XLOOKUP(S198:AG198,增益!$A:$A,增益!$L:$L,0))</f>
        <v>0</v>
      </c>
      <c r="BB198">
        <f t="shared" si="38"/>
        <v>0</v>
      </c>
      <c r="BC198">
        <f t="shared" si="39"/>
        <v>0</v>
      </c>
      <c r="BD198" s="26" cm="1">
        <f t="array" ref="BD198">IF($F$13-$I$4+VLOOKUP($R198,武学奇术!$A:$ZZ,13,FALSE)+SUM(_xlfn.XLOOKUP(S198:AG198,增益!$A:$A,增益!$M:$M,0))&gt;0,($F$13-$I$4+VLOOKUP($R198,武学奇术!$A:$ZZ,13,FALSE)+SUM(_xlfn.XLOOKUP(S198:AG198,增益!$A:$A,增益!$K:$K,0)))/200,($F$13-$I$4+VLOOKUP($R198,武学奇术!$A:$ZZ,13,FALSE)+SUM(_xlfn.XLOOKUP(S198:AG198,增益!$A:$A,增益!$M:$M,0)))/100)</f>
        <v>-0.3</v>
      </c>
      <c r="BE198" s="26" cm="1">
        <f t="array" ref="BE198">$G$13+VLOOKUP($R198,武学奇术!$A:$ZZ,14,FALSE)+SUM(_xlfn.XLOOKUP(S198:AG198,增益!$A:$A,增益!$N:$N,0))</f>
        <v>0</v>
      </c>
      <c r="BF198">
        <f t="shared" si="40"/>
        <v>0</v>
      </c>
      <c r="BG198">
        <f t="shared" si="41"/>
        <v>0</v>
      </c>
      <c r="BH198" s="26" cm="1">
        <f t="array" ref="BH198">IF($F$14-$I$4+VLOOKUP($R198,武学奇术!$A:$ZZ,15,FALSE)+SUM(_xlfn.XLOOKUP(S198:AG198,增益!$A:$A,增益!$O:$O,0))&gt;0,($F$14-$I$4+VLOOKUP($R198,武学奇术!$A:$ZZ,15,FALSE)+SUM(_xlfn.XLOOKUP(S198:AG198,增益!$A:$A,增益!$O:$O,0)))/200,($F$14-$I$4+VLOOKUP($R198,武学奇术!$A:$ZZ,15,FALSE)+SUM(_xlfn.XLOOKUP(S198:AG198,增益!$A:$A,增益!$O:$O,0)))/100)</f>
        <v>-0.3</v>
      </c>
      <c r="BI198" s="26" cm="1">
        <f t="array" ref="BI198">$G$14+VLOOKUP($R198,武学奇术!$A:$ZZ,16,FALSE)+SUM(_xlfn.XLOOKUP(S198:AG198,增益!$A:$A,增益!$P:$P,0))</f>
        <v>0</v>
      </c>
      <c r="BJ198" s="21">
        <f>MIN(IF(VLOOKUP($R198,武学奇术!$A:$ZZ,23,FALSE)=1,100%,$B$8),100%)</f>
        <v>0.8229</v>
      </c>
      <c r="BK198" s="21" cm="1">
        <f t="array" ref="BK198">IF(VLOOKUP($R198,武学奇术!$A:$ZZ,23,FALSE)=1,100%,MIN(80%,$B$9+VLOOKUP($R198,武学奇术!$A:$ZZ,17,FALSE)+SUM(_xlfn.XLOOKUP(S198:AG198,增益!$A:$A,增益!$Q:$Q,0)))+$B$11+SUM(_xlfn.XLOOKUP(S198:AG198,增益!$A:$A,增益!$U:$U,0)))*IF(VLOOKUP($R198,武学奇术!$A:$ZZ,24,FALSE)=1,0,1)</f>
        <v>0.2285</v>
      </c>
      <c r="BL198" s="21" cm="1">
        <f t="array" ref="BL198">1+$B$13+VLOOKUP($R198,武学奇术!$A:$ZZ,18,FALSE)+SUM(_xlfn.XLOOKUP(S198:AG198,增益!$A:$A,增益!$R:$R,0))</f>
        <v>1.5</v>
      </c>
      <c r="BM198" s="21" cm="1">
        <f t="array" ref="BM198">IF(VLOOKUP($R198,武学奇术!$A:$ZZ,24,FALSE)=1,100%,MIN(40%,$B$10+VLOOKUP($R198,武学奇术!$A:$ZZ,19,FALSE)+SUM(_xlfn.XLOOKUP(S198:AG198,增益!$A:$A,增益!$S:$S,0)))+$B$12+SUM(_xlfn.XLOOKUP(S198:AG198,增益!$A:$A,增益!$V:$V,0)))*IF(VLOOKUP($R198,武学奇术!$A:$ZZ,23,FALSE)=1,0,1)</f>
        <v>0.4495</v>
      </c>
      <c r="BN198" s="21" cm="1">
        <f t="array" ref="BN198">1+$B$14+VLOOKUP($R198,武学奇术!$A:$ZZ,20,FALSE)+SUM(_xlfn.XLOOKUP(S198:AG198,增益!$A:$A,增益!$T:$T,0))</f>
        <v>1.702</v>
      </c>
      <c r="BO198" s="21">
        <f t="shared" si="42"/>
        <v>0.18803265</v>
      </c>
      <c r="BP198" s="21">
        <f t="shared" si="43"/>
        <v>0.2649738</v>
      </c>
      <c r="BQ198" s="21">
        <f>IF(VLOOKUP($R198,武学奇术!$A:$ZZ,22,FALSE)=1,0,(1-$BJ198))*(1-$BM198)</f>
        <v>0.09749355</v>
      </c>
      <c r="BR198" s="21" cm="1">
        <f t="array" ref="BR198">SUM(_xlfn.XLOOKUP(S198:AG198,增益!$A:$A,增益!$W:$W,0))+$I$5</f>
        <v>0.06</v>
      </c>
    </row>
    <row r="199" spans="11:70">
      <c r="K199" s="24">
        <f>$L199*VLOOKUP($R199,武学奇术!$A:$ZZ,31,FALSE)</f>
        <v>10370.1592751702</v>
      </c>
      <c r="L199" s="24">
        <f t="shared" si="33"/>
        <v>17283.5987919504</v>
      </c>
      <c r="M199" s="24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BL199*$Q199*(1+IF(VLOOKUP($R199,武学奇术!$A:$ZZ,30,FALSE)="流血",$B$21,0))*(1+$BR199)</f>
        <v>14539.1977767975</v>
      </c>
      <c r="N199" s="24">
        <f>(($AP199*$AI199+$AJ199)*(1+$AQ199)*(1+$AR199)+($AU199*IF($G$1="鸣金",$AK199,$AI199)+IF($G$1="鸣金",$AL199*1.5,0))*(1+$AV199)*(1+$AW199)+($AY199*IF($G$1="裂石",$AK199,$AI199)+IF($G$1="裂石",$AL199*1.5,0))*(1+$AZ199)*(1+$BA199)+($BC199*IF($G$1="牵丝",$AK199,$AI199)+IF($G$1="牵丝",$AL199*1.5,0))*(1+$BD199)*(1+$BE199)+($BG199*IF($G$1="破竹",$AK199,$AI199)+IF($G$1="破竹",$AL199*1.5,0))*(1+$BH199)*(1+$BI199))*(1+$AM199)*$BN199*$Q199*(1+IF(VLOOKUP($R199,武学奇术!$A:$ZZ,30,FALSE)="流血",$B$21,0))*(1+$BR199)</f>
        <v>25707.2315581803</v>
      </c>
      <c r="O199" s="24">
        <f>((($AO199+$AP199)/2*$AI199+$AJ199)*(1+$AQ199)*(1+$AR199)+(($AT199+$AU199)/2*IF($G$1="鸣金",$AK199,$AI199)+IF($G$1="鸣金",$AL199*1.5,0))*(1+$AV199)*(1+$AW199)+(($AX199+$AY199)/2*IF($G$1="裂石",$AK199,$AI199)+IF($G$1="裂石",$AL199*1.5,0))*(1+$AZ199)*(1+$BA199)+(($BB199+$BC199)/2*IF($G$1="牵丝",$AK199,$AI199)+IF($G$1="牵丝",$AL199*1.5,0))*(1+$BD199)*(1+$BE199)+(($BF199+$BG199)/2*IF($G$1="破竹",$AK199,$AI199)+IF($G$1="破竹",$AL199*1.5,0))*(1+$BH199)*(1+$BI199))*(1+$AM199)*$Q199*(1+IF(VLOOKUP($R199,武学奇术!$A:$ZZ,30,FALSE)="流血",$B$21,0))*(1+$BR199)</f>
        <v>9692.79851786502</v>
      </c>
      <c r="P199" s="24">
        <f>((($AO199*$AI199+$AJ199)*(1+$AQ199)*(1+$AR199)+($AT199*IF($G$1="鸣金",$AK199,$AI199)+IF($G$1="鸣金",$AL199*1.5,0))*(1+$AV199)*(1+$AW199)+($AX199*IF($G$1="裂石",$AK199,$AI199)+IF($G$1="裂石",$AL199*1.5,0))*(1+$AZ199)*(1+$BA199)+($BB199*IF($G$1="牵丝",$AK199,$AI199)+IF($G$1="牵丝",$AL199*1.5,0))*(1+$BD199)*(1+$BE199)+($BF199*IF($G$1="破竹",$AK199,$AI199)+IF($G$1="破竹",$AL199*1.5,0))*(1+$BH199)*(1+$BI199))*(1+$AM199))*$Q199*(1+IF(VLOOKUP($R199,武学奇术!$A:$ZZ,30,FALSE)="流血",$B$21,0))*(1+$BR199)</f>
        <v>4369.69075174623</v>
      </c>
      <c r="Q199" s="31">
        <v>1</v>
      </c>
      <c r="R199" s="32" t="s">
        <v>199</v>
      </c>
      <c r="S199" s="32" t="s">
        <v>87</v>
      </c>
      <c r="T199" s="32" t="s">
        <v>96</v>
      </c>
      <c r="U199" s="32" t="s">
        <v>97</v>
      </c>
      <c r="V199" s="32" t="s">
        <v>73</v>
      </c>
      <c r="W199" s="32" t="s">
        <v>111</v>
      </c>
      <c r="X199" s="32" t="s">
        <v>116</v>
      </c>
      <c r="Y199" s="32" t="s">
        <v>73</v>
      </c>
      <c r="Z199" s="32" t="s">
        <v>73</v>
      </c>
      <c r="AA199" s="32" t="s">
        <v>81</v>
      </c>
      <c r="AB199" s="32" t="s">
        <v>75</v>
      </c>
      <c r="AC199" s="32" t="s">
        <v>89</v>
      </c>
      <c r="AD199" s="32" t="s">
        <v>82</v>
      </c>
      <c r="AE199" s="32" t="s">
        <v>90</v>
      </c>
      <c r="AF199" s="32" t="s">
        <v>73</v>
      </c>
      <c r="AG199" s="32" t="s">
        <v>117</v>
      </c>
      <c r="AH199" t="str">
        <f>VLOOKUP($R199,武学奇术!$A:$ZZ,25,FALSE)</f>
        <v>剑</v>
      </c>
      <c r="AI199" s="21">
        <f>VLOOKUP($R199,武学奇术!$A:$ZZ,26,FALSE)</f>
        <v>0.3465</v>
      </c>
      <c r="AJ199" s="22">
        <f>VLOOKUP($R199,武学奇术!$A:$ZZ,27,FALSE)*(1+IF(OR($AH199=$F$4,$AH199=$F$5),$B$22,0))</f>
        <v>0</v>
      </c>
      <c r="AK199" s="21">
        <f>VLOOKUP($R199,武学奇术!$A:$ZZ,28,FALSE)</f>
        <v>0.51975</v>
      </c>
      <c r="AL199" s="22">
        <f>VLOOKUP($R199,武学奇术!$A:$ZZ,29,FALSE)*(1+IF(OR($AH199=$F$4,$AH199=$F$5),$B$22,0))</f>
        <v>0</v>
      </c>
      <c r="AM199" s="21" cm="1">
        <f t="array" ref="AM199">$G$3+IFERROR(VLOOKUP($AH199,$F$4:$G$7,2,FALSE),0)+VLOOKUP($R199,武学奇术!$A:$ZZ,2,FALSE)+SUM(_xlfn.XLOOKUP($S199:$AG199,增益!$A:$A,增益!$B:$B,0))</f>
        <v>1.4691</v>
      </c>
      <c r="AN199" s="21" cm="1">
        <f t="array" ref="AN199">VLOOKUP($R199,武学奇术!$A:$ZZ,5,FALSE)+SUM(_xlfn.XLOOKUP($S199:$AG199,增益!$A:$A,增益!$E:$E,0))</f>
        <v>0</v>
      </c>
      <c r="AO199" cm="1">
        <f t="array" ref="AO199">$D$10*(1+$AN199)+VLOOKUP($R199,武学奇术!$A:$ZZ,3,FALSE)+SUM(_xlfn.XLOOKUP($S199:$AG199,增益!$A:$A,增益!$C:$C,0))-$I$2</f>
        <v>1825.28</v>
      </c>
      <c r="AP199" cm="1">
        <f t="array" ref="AP199">$E$10*(1+$AN199)+VLOOKUP($R199,武学奇术!$A:$ZZ,4,FALSE)+SUM(_xlfn.XLOOKUP($S199:$AG199,增益!$A:$A,增益!$D:$D,0))-$I$2</f>
        <v>7757.36</v>
      </c>
      <c r="AQ199" s="26" cm="1">
        <f t="array" ref="AQ199">IF($F$10-$I$3+VLOOKUP($R199,武学奇术!$A:$ZZ,6,FALSE)+SUM(_xlfn.XLOOKUP(S199:AG199,增益!$A:$A,增益!$F:$F,0))&gt;0,($F$10-$I$3+VLOOKUP($R199,武学奇术!$A:$ZZ,6,FALSE)+SUM(_xlfn.XLOOKUP(S199:AG199,增益!$A:$A,增益!$F:$F,0)))/200,($F$10-$I$3+VLOOKUP($R199,武学奇术!$A:$ZZ,6,FALSE)+SUM(_xlfn.XLOOKUP(S199:AG199,增益!$A:$A,增益!$F:$F,0)))/100)</f>
        <v>0.309</v>
      </c>
      <c r="AR199" s="26" cm="1">
        <f t="array" ref="AR199">$G$10+VLOOKUP($R199,武学奇术!$A:$ZZ,7,FALSE)+SUM(_xlfn.XLOOKUP(S199:AG199,增益!$A:$A,增益!$G:$G,0))</f>
        <v>0</v>
      </c>
      <c r="AS199" s="21" cm="1">
        <f t="array" ref="AS199">VLOOKUP($R199,武学奇术!$A:$ZZ,8,FALSE)+SUM(_xlfn.XLOOKUP(S199:AG199,增益!$A:$A,增益!$H:$H,0))</f>
        <v>0</v>
      </c>
      <c r="AT199">
        <f t="shared" si="34"/>
        <v>680.02</v>
      </c>
      <c r="AU199">
        <f t="shared" si="35"/>
        <v>1288.54</v>
      </c>
      <c r="AV199" s="26" cm="1">
        <f t="array" ref="AV199">IF($F$11-$I$4+VLOOKUP($R199,武学奇术!$A:$ZZ,9,FALSE)+SUM(_xlfn.XLOOKUP(S199:AG199,增益!$A:$A,增益!$I:$I,0))&gt;0,($F$11-$I$4+VLOOKUP($R199,武学奇术!$A:$ZZ,9,FALSE)+SUM(_xlfn.XLOOKUP(S199:AG199,增益!$A:$A,增益!$I:$I,0)))/200,($F$11-$I$4+VLOOKUP($R199,武学奇术!$A:$ZZ,9,FALSE)+SUM(_xlfn.XLOOKUP(S199:AG199,增益!$A:$A,增益!$I:$I,0)))/100)</f>
        <v>0.075</v>
      </c>
      <c r="AW199" s="26" cm="1">
        <f t="array" ref="AW199">$G$11+VLOOKUP($R199,武学奇术!$A:$ZZ,10,FALSE)+SUM(_xlfn.XLOOKUP(S199:AG199,增益!$A:$A,增益!$J:$J,0))</f>
        <v>0.15</v>
      </c>
      <c r="AX199">
        <f t="shared" si="36"/>
        <v>0</v>
      </c>
      <c r="AY199">
        <f t="shared" si="37"/>
        <v>0</v>
      </c>
      <c r="AZ199" s="26" cm="1">
        <f t="array" ref="AZ199">IF($F$12-$I$4+VLOOKUP($R199,武学奇术!$A:$ZZ,11,FALSE)+SUM(_xlfn.XLOOKUP(S199:AG199,增益!$A:$A,增益!$K:$K,0))&gt;0,($F$12-$I$4+VLOOKUP($R199,武学奇术!$A:$ZZ,11,FALSE)+SUM(_xlfn.XLOOKUP(S199:AG199,增益!$A:$A,增益!$K:$K,0)))/200,($F$12-$I$4+VLOOKUP($R199,武学奇术!$A:$ZZ,11,FALSE)+SUM(_xlfn.XLOOKUP(S199:AG199,增益!$A:$A,增益!$K:$K,0)))/100)</f>
        <v>-0.3</v>
      </c>
      <c r="BA199" s="26" cm="1">
        <f t="array" ref="BA199">$G$12+VLOOKUP($R199,武学奇术!$A:$ZZ,12,FALSE)+SUM(_xlfn.XLOOKUP(S199:AG199,增益!$A:$A,增益!$L:$L,0))</f>
        <v>0</v>
      </c>
      <c r="BB199">
        <f t="shared" si="38"/>
        <v>0</v>
      </c>
      <c r="BC199">
        <f t="shared" si="39"/>
        <v>0</v>
      </c>
      <c r="BD199" s="26" cm="1">
        <f t="array" ref="BD199">IF($F$13-$I$4+VLOOKUP($R199,武学奇术!$A:$ZZ,13,FALSE)+SUM(_xlfn.XLOOKUP(S199:AG199,增益!$A:$A,增益!$M:$M,0))&gt;0,($F$13-$I$4+VLOOKUP($R199,武学奇术!$A:$ZZ,13,FALSE)+SUM(_xlfn.XLOOKUP(S199:AG199,增益!$A:$A,增益!$K:$K,0)))/200,($F$13-$I$4+VLOOKUP($R199,武学奇术!$A:$ZZ,13,FALSE)+SUM(_xlfn.XLOOKUP(S199:AG199,增益!$A:$A,增益!$M:$M,0)))/100)</f>
        <v>-0.3</v>
      </c>
      <c r="BE199" s="26" cm="1">
        <f t="array" ref="BE199">$G$13+VLOOKUP($R199,武学奇术!$A:$ZZ,14,FALSE)+SUM(_xlfn.XLOOKUP(S199:AG199,增益!$A:$A,增益!$N:$N,0))</f>
        <v>0</v>
      </c>
      <c r="BF199">
        <f t="shared" si="40"/>
        <v>0</v>
      </c>
      <c r="BG199">
        <f t="shared" si="41"/>
        <v>0</v>
      </c>
      <c r="BH199" s="26" cm="1">
        <f t="array" ref="BH199">IF($F$14-$I$4+VLOOKUP($R199,武学奇术!$A:$ZZ,15,FALSE)+SUM(_xlfn.XLOOKUP(S199:AG199,增益!$A:$A,增益!$O:$O,0))&gt;0,($F$14-$I$4+VLOOKUP($R199,武学奇术!$A:$ZZ,15,FALSE)+SUM(_xlfn.XLOOKUP(S199:AG199,增益!$A:$A,增益!$O:$O,0)))/200,($F$14-$I$4+VLOOKUP($R199,武学奇术!$A:$ZZ,15,FALSE)+SUM(_xlfn.XLOOKUP(S199:AG199,增益!$A:$A,增益!$O:$O,0)))/100)</f>
        <v>-0.3</v>
      </c>
      <c r="BI199" s="26" cm="1">
        <f t="array" ref="BI199">$G$14+VLOOKUP($R199,武学奇术!$A:$ZZ,16,FALSE)+SUM(_xlfn.XLOOKUP(S199:AG199,增益!$A:$A,增益!$P:$P,0))</f>
        <v>0</v>
      </c>
      <c r="BJ199" s="21">
        <f>MIN(IF(VLOOKUP($R199,武学奇术!$A:$ZZ,23,FALSE)=1,100%,$B$8),100%)</f>
        <v>0.8229</v>
      </c>
      <c r="BK199" s="21" cm="1">
        <f t="array" ref="BK199">IF(VLOOKUP($R199,武学奇术!$A:$ZZ,23,FALSE)=1,100%,MIN(80%,$B$9+VLOOKUP($R199,武学奇术!$A:$ZZ,17,FALSE)+SUM(_xlfn.XLOOKUP(S199:AG199,增益!$A:$A,增益!$Q:$Q,0)))+$B$11+SUM(_xlfn.XLOOKUP(S199:AG199,增益!$A:$A,增益!$U:$U,0)))*IF(VLOOKUP($R199,武学奇术!$A:$ZZ,24,FALSE)=1,0,1)</f>
        <v>0.2285</v>
      </c>
      <c r="BL199" s="21" cm="1">
        <f t="array" ref="BL199">1+$B$13+VLOOKUP($R199,武学奇术!$A:$ZZ,18,FALSE)+SUM(_xlfn.XLOOKUP(S199:AG199,增益!$A:$A,增益!$R:$R,0))</f>
        <v>1.5</v>
      </c>
      <c r="BM199" s="21" cm="1">
        <f t="array" ref="BM199">IF(VLOOKUP($R199,武学奇术!$A:$ZZ,24,FALSE)=1,100%,MIN(40%,$B$10+VLOOKUP($R199,武学奇术!$A:$ZZ,19,FALSE)+SUM(_xlfn.XLOOKUP(S199:AG199,增益!$A:$A,增益!$S:$S,0)))+$B$12+SUM(_xlfn.XLOOKUP(S199:AG199,增益!$A:$A,增益!$V:$V,0)))*IF(VLOOKUP($R199,武学奇术!$A:$ZZ,23,FALSE)=1,0,1)</f>
        <v>0.4495</v>
      </c>
      <c r="BN199" s="21" cm="1">
        <f t="array" ref="BN199">1+$B$14+VLOOKUP($R199,武学奇术!$A:$ZZ,20,FALSE)+SUM(_xlfn.XLOOKUP(S199:AG199,增益!$A:$A,增益!$T:$T,0))</f>
        <v>1.712</v>
      </c>
      <c r="BO199" s="21">
        <f t="shared" si="42"/>
        <v>0.18803265</v>
      </c>
      <c r="BP199" s="21">
        <f t="shared" si="43"/>
        <v>0.2649738</v>
      </c>
      <c r="BQ199" s="21">
        <f>IF(VLOOKUP($R199,武学奇术!$A:$ZZ,22,FALSE)=1,0,(1-$BJ199))*(1-$BM199)</f>
        <v>0.09749355</v>
      </c>
      <c r="BR199" s="21" cm="1">
        <f t="array" ref="BR199">SUM(_xlfn.XLOOKUP(S199:AG199,增益!$A:$A,增益!$W:$W,0))+$I$5</f>
        <v>0.06</v>
      </c>
    </row>
    <row r="200" spans="11:70">
      <c r="K200" s="24">
        <f>$L200*VLOOKUP($R200,武学奇术!$A:$ZZ,31,FALSE)</f>
        <v>8296.12742013617</v>
      </c>
      <c r="L200" s="24">
        <f t="shared" si="33"/>
        <v>13826.8790335603</v>
      </c>
      <c r="M200" s="24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BL200*$Q200*(1+IF(VLOOKUP($R200,武学奇术!$A:$ZZ,30,FALSE)="流血",$B$21,0))*(1+$BR200)</f>
        <v>11631.358221438</v>
      </c>
      <c r="N200" s="24">
        <f>(($AP200*$AI200+$AJ200)*(1+$AQ200)*(1+$AR200)+($AU200*IF($G$1="鸣金",$AK200,$AI200)+IF($G$1="鸣金",$AL200*1.5,0))*(1+$AV200)*(1+$AW200)+($AY200*IF($G$1="裂石",$AK200,$AI200)+IF($G$1="裂石",$AL200*1.5,0))*(1+$AZ200)*(1+$BA200)+($BC200*IF($G$1="牵丝",$AK200,$AI200)+IF($G$1="牵丝",$AL200*1.5,0))*(1+$BD200)*(1+$BE200)+($BG200*IF($G$1="破竹",$AK200,$AI200)+IF($G$1="破竹",$AL200*1.5,0))*(1+$BH200)*(1+$BI200))*(1+$AM200)*$BN200*$Q200*(1+IF(VLOOKUP($R200,武学奇术!$A:$ZZ,30,FALSE)="流血",$B$21,0))*(1+$BR200)</f>
        <v>20565.7852465442</v>
      </c>
      <c r="O200" s="24">
        <f>((($AO200+$AP200)/2*$AI200+$AJ200)*(1+$AQ200)*(1+$AR200)+(($AT200+$AU200)/2*IF($G$1="鸣金",$AK200,$AI200)+IF($G$1="鸣金",$AL200*1.5,0))*(1+$AV200)*(1+$AW200)+(($AX200+$AY200)/2*IF($G$1="裂石",$AK200,$AI200)+IF($G$1="裂石",$AL200*1.5,0))*(1+$AZ200)*(1+$BA200)+(($BB200+$BC200)/2*IF($G$1="牵丝",$AK200,$AI200)+IF($G$1="牵丝",$AL200*1.5,0))*(1+$BD200)*(1+$BE200)+(($BF200+$BG200)/2*IF($G$1="破竹",$AK200,$AI200)+IF($G$1="破竹",$AL200*1.5,0))*(1+$BH200)*(1+$BI200))*(1+$AM200)*$Q200*(1+IF(VLOOKUP($R200,武学奇术!$A:$ZZ,30,FALSE)="流血",$B$21,0))*(1+$BR200)</f>
        <v>7754.23881429202</v>
      </c>
      <c r="P200" s="24">
        <f>((($AO200*$AI200+$AJ200)*(1+$AQ200)*(1+$AR200)+($AT200*IF($G$1="鸣金",$AK200,$AI200)+IF($G$1="鸣金",$AL200*1.5,0))*(1+$AV200)*(1+$AW200)+($AX200*IF($G$1="裂石",$AK200,$AI200)+IF($G$1="裂石",$AL200*1.5,0))*(1+$AZ200)*(1+$BA200)+($BB200*IF($G$1="牵丝",$AK200,$AI200)+IF($G$1="牵丝",$AL200*1.5,0))*(1+$BD200)*(1+$BE200)+($BF200*IF($G$1="破竹",$AK200,$AI200)+IF($G$1="破竹",$AL200*1.5,0))*(1+$BH200)*(1+$BI200))*(1+$AM200))*$Q200*(1+IF(VLOOKUP($R200,武学奇术!$A:$ZZ,30,FALSE)="流血",$B$21,0))*(1+$BR200)</f>
        <v>3495.75260139698</v>
      </c>
      <c r="Q200" s="31">
        <v>1</v>
      </c>
      <c r="R200" s="32" t="s">
        <v>197</v>
      </c>
      <c r="S200" s="32" t="s">
        <v>87</v>
      </c>
      <c r="T200" s="32" t="s">
        <v>96</v>
      </c>
      <c r="U200" s="32" t="s">
        <v>97</v>
      </c>
      <c r="V200" s="32" t="s">
        <v>73</v>
      </c>
      <c r="W200" s="32" t="s">
        <v>111</v>
      </c>
      <c r="X200" s="32" t="s">
        <v>116</v>
      </c>
      <c r="Y200" s="32" t="s">
        <v>73</v>
      </c>
      <c r="Z200" s="32" t="s">
        <v>73</v>
      </c>
      <c r="AA200" s="32" t="s">
        <v>81</v>
      </c>
      <c r="AB200" s="32" t="s">
        <v>75</v>
      </c>
      <c r="AC200" s="32" t="s">
        <v>89</v>
      </c>
      <c r="AD200" s="32" t="s">
        <v>82</v>
      </c>
      <c r="AE200" s="32" t="s">
        <v>90</v>
      </c>
      <c r="AF200" s="32" t="s">
        <v>73</v>
      </c>
      <c r="AG200" s="32" t="s">
        <v>117</v>
      </c>
      <c r="AH200" t="str">
        <f>VLOOKUP($R200,武学奇术!$A:$ZZ,25,FALSE)</f>
        <v>剑</v>
      </c>
      <c r="AI200" s="21">
        <f>VLOOKUP($R200,武学奇术!$A:$ZZ,26,FALSE)</f>
        <v>0.2772</v>
      </c>
      <c r="AJ200" s="22">
        <f>VLOOKUP($R200,武学奇术!$A:$ZZ,27,FALSE)*(1+IF(OR($AH200=$F$4,$AH200=$F$5),$B$22,0))</f>
        <v>0</v>
      </c>
      <c r="AK200" s="21">
        <f>VLOOKUP($R200,武学奇术!$A:$ZZ,28,FALSE)</f>
        <v>0.4158</v>
      </c>
      <c r="AL200" s="22">
        <f>VLOOKUP($R200,武学奇术!$A:$ZZ,29,FALSE)*(1+IF(OR($AH200=$F$4,$AH200=$F$5),$B$22,0))</f>
        <v>0</v>
      </c>
      <c r="AM200" s="21" cm="1">
        <f t="array" ref="AM200">$G$3+IFERROR(VLOOKUP($AH200,$F$4:$G$7,2,FALSE),0)+VLOOKUP($R200,武学奇术!$A:$ZZ,2,FALSE)+SUM(_xlfn.XLOOKUP($S200:$AG200,增益!$A:$A,增益!$B:$B,0))</f>
        <v>1.4691</v>
      </c>
      <c r="AN200" s="21" cm="1">
        <f t="array" ref="AN200">VLOOKUP($R200,武学奇术!$A:$ZZ,5,FALSE)+SUM(_xlfn.XLOOKUP($S200:$AG200,增益!$A:$A,增益!$E:$E,0))</f>
        <v>0</v>
      </c>
      <c r="AO200" cm="1">
        <f t="array" ref="AO200">$D$10*(1+$AN200)+VLOOKUP($R200,武学奇术!$A:$ZZ,3,FALSE)+SUM(_xlfn.XLOOKUP($S200:$AG200,增益!$A:$A,增益!$C:$C,0))-$I$2</f>
        <v>1825.28</v>
      </c>
      <c r="AP200" cm="1">
        <f t="array" ref="AP200">$E$10*(1+$AN200)+VLOOKUP($R200,武学奇术!$A:$ZZ,4,FALSE)+SUM(_xlfn.XLOOKUP($S200:$AG200,增益!$A:$A,增益!$D:$D,0))-$I$2</f>
        <v>7757.36</v>
      </c>
      <c r="AQ200" s="26" cm="1">
        <f t="array" ref="AQ200">IF($F$10-$I$3+VLOOKUP($R200,武学奇术!$A:$ZZ,6,FALSE)+SUM(_xlfn.XLOOKUP(S200:AG200,增益!$A:$A,增益!$F:$F,0))&gt;0,($F$10-$I$3+VLOOKUP($R200,武学奇术!$A:$ZZ,6,FALSE)+SUM(_xlfn.XLOOKUP(S200:AG200,增益!$A:$A,增益!$F:$F,0)))/200,($F$10-$I$3+VLOOKUP($R200,武学奇术!$A:$ZZ,6,FALSE)+SUM(_xlfn.XLOOKUP(S200:AG200,增益!$A:$A,增益!$F:$F,0)))/100)</f>
        <v>0.309</v>
      </c>
      <c r="AR200" s="26" cm="1">
        <f t="array" ref="AR200">$G$10+VLOOKUP($R200,武学奇术!$A:$ZZ,7,FALSE)+SUM(_xlfn.XLOOKUP(S200:AG200,增益!$A:$A,增益!$G:$G,0))</f>
        <v>0</v>
      </c>
      <c r="AS200" s="21" cm="1">
        <f t="array" ref="AS200">VLOOKUP($R200,武学奇术!$A:$ZZ,8,FALSE)+SUM(_xlfn.XLOOKUP(S200:AG200,增益!$A:$A,增益!$H:$H,0))</f>
        <v>0</v>
      </c>
      <c r="AT200">
        <f t="shared" si="34"/>
        <v>680.02</v>
      </c>
      <c r="AU200">
        <f t="shared" si="35"/>
        <v>1288.54</v>
      </c>
      <c r="AV200" s="26" cm="1">
        <f t="array" ref="AV200">IF($F$11-$I$4+VLOOKUP($R200,武学奇术!$A:$ZZ,9,FALSE)+SUM(_xlfn.XLOOKUP(S200:AG200,增益!$A:$A,增益!$I:$I,0))&gt;0,($F$11-$I$4+VLOOKUP($R200,武学奇术!$A:$ZZ,9,FALSE)+SUM(_xlfn.XLOOKUP(S200:AG200,增益!$A:$A,增益!$I:$I,0)))/200,($F$11-$I$4+VLOOKUP($R200,武学奇术!$A:$ZZ,9,FALSE)+SUM(_xlfn.XLOOKUP(S200:AG200,增益!$A:$A,增益!$I:$I,0)))/100)</f>
        <v>0.075</v>
      </c>
      <c r="AW200" s="26" cm="1">
        <f t="array" ref="AW200">$G$11+VLOOKUP($R200,武学奇术!$A:$ZZ,10,FALSE)+SUM(_xlfn.XLOOKUP(S200:AG200,增益!$A:$A,增益!$J:$J,0))</f>
        <v>0.15</v>
      </c>
      <c r="AX200">
        <f t="shared" si="36"/>
        <v>0</v>
      </c>
      <c r="AY200">
        <f t="shared" si="37"/>
        <v>0</v>
      </c>
      <c r="AZ200" s="26" cm="1">
        <f t="array" ref="AZ200">IF($F$12-$I$4+VLOOKUP($R200,武学奇术!$A:$ZZ,11,FALSE)+SUM(_xlfn.XLOOKUP(S200:AG200,增益!$A:$A,增益!$K:$K,0))&gt;0,($F$12-$I$4+VLOOKUP($R200,武学奇术!$A:$ZZ,11,FALSE)+SUM(_xlfn.XLOOKUP(S200:AG200,增益!$A:$A,增益!$K:$K,0)))/200,($F$12-$I$4+VLOOKUP($R200,武学奇术!$A:$ZZ,11,FALSE)+SUM(_xlfn.XLOOKUP(S200:AG200,增益!$A:$A,增益!$K:$K,0)))/100)</f>
        <v>-0.3</v>
      </c>
      <c r="BA200" s="26" cm="1">
        <f t="array" ref="BA200">$G$12+VLOOKUP($R200,武学奇术!$A:$ZZ,12,FALSE)+SUM(_xlfn.XLOOKUP(S200:AG200,增益!$A:$A,增益!$L:$L,0))</f>
        <v>0</v>
      </c>
      <c r="BB200">
        <f t="shared" si="38"/>
        <v>0</v>
      </c>
      <c r="BC200">
        <f t="shared" si="39"/>
        <v>0</v>
      </c>
      <c r="BD200" s="26" cm="1">
        <f t="array" ref="BD200">IF($F$13-$I$4+VLOOKUP($R200,武学奇术!$A:$ZZ,13,FALSE)+SUM(_xlfn.XLOOKUP(S200:AG200,增益!$A:$A,增益!$M:$M,0))&gt;0,($F$13-$I$4+VLOOKUP($R200,武学奇术!$A:$ZZ,13,FALSE)+SUM(_xlfn.XLOOKUP(S200:AG200,增益!$A:$A,增益!$K:$K,0)))/200,($F$13-$I$4+VLOOKUP($R200,武学奇术!$A:$ZZ,13,FALSE)+SUM(_xlfn.XLOOKUP(S200:AG200,增益!$A:$A,增益!$M:$M,0)))/100)</f>
        <v>-0.3</v>
      </c>
      <c r="BE200" s="26" cm="1">
        <f t="array" ref="BE200">$G$13+VLOOKUP($R200,武学奇术!$A:$ZZ,14,FALSE)+SUM(_xlfn.XLOOKUP(S200:AG200,增益!$A:$A,增益!$N:$N,0))</f>
        <v>0</v>
      </c>
      <c r="BF200">
        <f t="shared" si="40"/>
        <v>0</v>
      </c>
      <c r="BG200">
        <f t="shared" si="41"/>
        <v>0</v>
      </c>
      <c r="BH200" s="26" cm="1">
        <f t="array" ref="BH200">IF($F$14-$I$4+VLOOKUP($R200,武学奇术!$A:$ZZ,15,FALSE)+SUM(_xlfn.XLOOKUP(S200:AG200,增益!$A:$A,增益!$O:$O,0))&gt;0,($F$14-$I$4+VLOOKUP($R200,武学奇术!$A:$ZZ,15,FALSE)+SUM(_xlfn.XLOOKUP(S200:AG200,增益!$A:$A,增益!$O:$O,0)))/200,($F$14-$I$4+VLOOKUP($R200,武学奇术!$A:$ZZ,15,FALSE)+SUM(_xlfn.XLOOKUP(S200:AG200,增益!$A:$A,增益!$O:$O,0)))/100)</f>
        <v>-0.3</v>
      </c>
      <c r="BI200" s="26" cm="1">
        <f t="array" ref="BI200">$G$14+VLOOKUP($R200,武学奇术!$A:$ZZ,16,FALSE)+SUM(_xlfn.XLOOKUP(S200:AG200,增益!$A:$A,增益!$P:$P,0))</f>
        <v>0</v>
      </c>
      <c r="BJ200" s="21">
        <f>MIN(IF(VLOOKUP($R200,武学奇术!$A:$ZZ,23,FALSE)=1,100%,$B$8),100%)</f>
        <v>0.8229</v>
      </c>
      <c r="BK200" s="21" cm="1">
        <f t="array" ref="BK200">IF(VLOOKUP($R200,武学奇术!$A:$ZZ,23,FALSE)=1,100%,MIN(80%,$B$9+VLOOKUP($R200,武学奇术!$A:$ZZ,17,FALSE)+SUM(_xlfn.XLOOKUP(S200:AG200,增益!$A:$A,增益!$Q:$Q,0)))+$B$11+SUM(_xlfn.XLOOKUP(S200:AG200,增益!$A:$A,增益!$U:$U,0)))*IF(VLOOKUP($R200,武学奇术!$A:$ZZ,24,FALSE)=1,0,1)</f>
        <v>0.2285</v>
      </c>
      <c r="BL200" s="21" cm="1">
        <f t="array" ref="BL200">1+$B$13+VLOOKUP($R200,武学奇术!$A:$ZZ,18,FALSE)+SUM(_xlfn.XLOOKUP(S200:AG200,增益!$A:$A,增益!$R:$R,0))</f>
        <v>1.5</v>
      </c>
      <c r="BM200" s="21" cm="1">
        <f t="array" ref="BM200">IF(VLOOKUP($R200,武学奇术!$A:$ZZ,24,FALSE)=1,100%,MIN(40%,$B$10+VLOOKUP($R200,武学奇术!$A:$ZZ,19,FALSE)+SUM(_xlfn.XLOOKUP(S200:AG200,增益!$A:$A,增益!$S:$S,0)))+$B$12+SUM(_xlfn.XLOOKUP(S200:AG200,增益!$A:$A,增益!$V:$V,0)))*IF(VLOOKUP($R200,武学奇术!$A:$ZZ,23,FALSE)=1,0,1)</f>
        <v>0.4495</v>
      </c>
      <c r="BN200" s="21" cm="1">
        <f t="array" ref="BN200">1+$B$14+VLOOKUP($R200,武学奇术!$A:$ZZ,20,FALSE)+SUM(_xlfn.XLOOKUP(S200:AG200,增益!$A:$A,增益!$T:$T,0))</f>
        <v>1.712</v>
      </c>
      <c r="BO200" s="21">
        <f t="shared" si="42"/>
        <v>0.18803265</v>
      </c>
      <c r="BP200" s="21">
        <f t="shared" si="43"/>
        <v>0.2649738</v>
      </c>
      <c r="BQ200" s="21">
        <f>IF(VLOOKUP($R200,武学奇术!$A:$ZZ,22,FALSE)=1,0,(1-$BJ200))*(1-$BM200)</f>
        <v>0.09749355</v>
      </c>
      <c r="BR200" s="21" cm="1">
        <f t="array" ref="BR200">SUM(_xlfn.XLOOKUP(S200:AG200,增益!$A:$A,增益!$W:$W,0))+$I$5</f>
        <v>0.06</v>
      </c>
    </row>
    <row r="201" spans="11:70">
      <c r="K201" s="24">
        <f>$L201*VLOOKUP($R201,武学奇术!$A:$ZZ,31,FALSE)</f>
        <v>5237.69689052352</v>
      </c>
      <c r="L201" s="24">
        <f t="shared" si="33"/>
        <v>8729.4948175392</v>
      </c>
      <c r="M201" s="24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BL201*$Q201*(1+IF(VLOOKUP($R201,武学奇术!$A:$ZZ,30,FALSE)="流血",$B$21,0))*(1+$BR201)</f>
        <v>7342.2322168698</v>
      </c>
      <c r="N201" s="24">
        <f>(($AP201*$AI201+$AJ201)*(1+$AQ201)*(1+$AR201)+($AU201*IF($G$1="鸣金",$AK201,$AI201)+IF($G$1="鸣金",$AL201*1.5,0))*(1+$AV201)*(1+$AW201)+($AY201*IF($G$1="裂石",$AK201,$AI201)+IF($G$1="裂石",$AL201*1.5,0))*(1+$AZ201)*(1+$BA201)+($BC201*IF($G$1="牵丝",$AK201,$AI201)+IF($G$1="牵丝",$AL201*1.5,0))*(1+$BD201)*(1+$BE201)+($BG201*IF($G$1="破竹",$AK201,$AI201)+IF($G$1="破竹",$AL201*1.5,0))*(1+$BH201)*(1+$BI201))*(1+$AM201)*$BN201*$Q201*(1+IF(VLOOKUP($R201,武学奇术!$A:$ZZ,30,FALSE)="流血",$B$21,0))*(1+$BR201)</f>
        <v>12985.4850526418</v>
      </c>
      <c r="O201" s="24">
        <f>((($AO201+$AP201)/2*$AI201+$AJ201)*(1+$AQ201)*(1+$AR201)+(($AT201+$AU201)/2*IF($G$1="鸣金",$AK201,$AI201)+IF($G$1="鸣金",$AL201*1.5,0))*(1+$AV201)*(1+$AW201)+(($AX201+$AY201)/2*IF($G$1="裂石",$AK201,$AI201)+IF($G$1="裂石",$AL201*1.5,0))*(1+$AZ201)*(1+$BA201)+(($BB201+$BC201)/2*IF($G$1="牵丝",$AK201,$AI201)+IF($G$1="牵丝",$AL201*1.5,0))*(1+$BD201)*(1+$BE201)+(($BF201+$BG201)/2*IF($G$1="破竹",$AK201,$AI201)+IF($G$1="破竹",$AL201*1.5,0))*(1+$BH201)*(1+$BI201))*(1+$AM201)*$Q201*(1+IF(VLOOKUP($R201,武学奇术!$A:$ZZ,30,FALSE)="流血",$B$21,0))*(1+$BR201)</f>
        <v>4894.8214779132</v>
      </c>
      <c r="P201" s="24">
        <f>((($AO201*$AI201+$AJ201)*(1+$AQ201)*(1+$AR201)+($AT201*IF($G$1="鸣金",$AK201,$AI201)+IF($G$1="鸣金",$AL201*1.5,0))*(1+$AV201)*(1+$AW201)+($AX201*IF($G$1="裂石",$AK201,$AI201)+IF($G$1="裂石",$AL201*1.5,0))*(1+$AZ201)*(1+$BA201)+($BB201*IF($G$1="牵丝",$AK201,$AI201)+IF($G$1="牵丝",$AL201*1.5,0))*(1+$BD201)*(1+$BE201)+($BF201*IF($G$1="破竹",$AK201,$AI201)+IF($G$1="破竹",$AL201*1.5,0))*(1+$BH201)*(1+$BI201))*(1+$AM201))*$Q201*(1+IF(VLOOKUP($R201,武学奇术!$A:$ZZ,30,FALSE)="流血",$B$21,0))*(1+$BR201)</f>
        <v>2204.66336900294</v>
      </c>
      <c r="Q201" s="31">
        <v>1</v>
      </c>
      <c r="R201" s="32" t="s">
        <v>198</v>
      </c>
      <c r="S201" s="32" t="s">
        <v>87</v>
      </c>
      <c r="T201" s="32" t="s">
        <v>96</v>
      </c>
      <c r="U201" s="32" t="s">
        <v>97</v>
      </c>
      <c r="V201" s="32" t="s">
        <v>73</v>
      </c>
      <c r="W201" s="32" t="s">
        <v>111</v>
      </c>
      <c r="X201" s="32" t="s">
        <v>127</v>
      </c>
      <c r="Y201" s="32" t="s">
        <v>73</v>
      </c>
      <c r="Z201" s="32" t="s">
        <v>73</v>
      </c>
      <c r="AA201" s="32" t="s">
        <v>81</v>
      </c>
      <c r="AB201" s="32" t="s">
        <v>75</v>
      </c>
      <c r="AC201" s="32" t="s">
        <v>89</v>
      </c>
      <c r="AD201" s="32" t="s">
        <v>82</v>
      </c>
      <c r="AE201" s="32" t="s">
        <v>90</v>
      </c>
      <c r="AF201" s="32" t="s">
        <v>73</v>
      </c>
      <c r="AG201" s="32" t="s">
        <v>117</v>
      </c>
      <c r="AH201" t="str">
        <f>VLOOKUP($R201,武学奇术!$A:$ZZ,25,FALSE)</f>
        <v>剑</v>
      </c>
      <c r="AI201" s="21">
        <f>VLOOKUP($R201,武学奇术!$A:$ZZ,26,FALSE)</f>
        <v>0.17325</v>
      </c>
      <c r="AJ201" s="22">
        <f>VLOOKUP($R201,武学奇术!$A:$ZZ,27,FALSE)*(1+IF(OR($AH201=$F$4,$AH201=$F$5),$B$22,0))</f>
        <v>0</v>
      </c>
      <c r="AK201" s="21">
        <f>VLOOKUP($R201,武学奇术!$A:$ZZ,28,FALSE)</f>
        <v>0.259875</v>
      </c>
      <c r="AL201" s="22">
        <f>VLOOKUP($R201,武学奇术!$A:$ZZ,29,FALSE)*(1+IF(OR($AH201=$F$4,$AH201=$F$5),$B$22,0))</f>
        <v>0</v>
      </c>
      <c r="AM201" s="21" cm="1">
        <f t="array" ref="AM201">$G$3+IFERROR(VLOOKUP($AH201,$F$4:$G$7,2,FALSE),0)+VLOOKUP($R201,武学奇术!$A:$ZZ,2,FALSE)+SUM(_xlfn.XLOOKUP($S201:$AG201,增益!$A:$A,增益!$B:$B,0))</f>
        <v>1.4791</v>
      </c>
      <c r="AN201" s="21" cm="1">
        <f t="array" ref="AN201">VLOOKUP($R201,武学奇术!$A:$ZZ,5,FALSE)+SUM(_xlfn.XLOOKUP($S201:$AG201,增益!$A:$A,增益!$E:$E,0))</f>
        <v>0</v>
      </c>
      <c r="AO201" cm="1">
        <f t="array" ref="AO201">$D$10*(1+$AN201)+VLOOKUP($R201,武学奇术!$A:$ZZ,3,FALSE)+SUM(_xlfn.XLOOKUP($S201:$AG201,增益!$A:$A,增益!$C:$C,0))-$I$2</f>
        <v>1825.28</v>
      </c>
      <c r="AP201" cm="1">
        <f t="array" ref="AP201">$E$10*(1+$AN201)+VLOOKUP($R201,武学奇术!$A:$ZZ,4,FALSE)+SUM(_xlfn.XLOOKUP($S201:$AG201,增益!$A:$A,增益!$D:$D,0))-$I$2</f>
        <v>7757.36</v>
      </c>
      <c r="AQ201" s="26" cm="1">
        <f t="array" ref="AQ201">IF($F$10-$I$3+VLOOKUP($R201,武学奇术!$A:$ZZ,6,FALSE)+SUM(_xlfn.XLOOKUP(S201:AG201,增益!$A:$A,增益!$F:$F,0))&gt;0,($F$10-$I$3+VLOOKUP($R201,武学奇术!$A:$ZZ,6,FALSE)+SUM(_xlfn.XLOOKUP(S201:AG201,增益!$A:$A,增益!$F:$F,0)))/200,($F$10-$I$3+VLOOKUP($R201,武学奇术!$A:$ZZ,6,FALSE)+SUM(_xlfn.XLOOKUP(S201:AG201,增益!$A:$A,增益!$F:$F,0)))/100)</f>
        <v>0.319</v>
      </c>
      <c r="AR201" s="26" cm="1">
        <f t="array" ref="AR201">$G$10+VLOOKUP($R201,武学奇术!$A:$ZZ,7,FALSE)+SUM(_xlfn.XLOOKUP(S201:AG201,增益!$A:$A,增益!$G:$G,0))</f>
        <v>0</v>
      </c>
      <c r="AS201" s="21" cm="1">
        <f t="array" ref="AS201">VLOOKUP($R201,武学奇术!$A:$ZZ,8,FALSE)+SUM(_xlfn.XLOOKUP(S201:AG201,增益!$A:$A,增益!$H:$H,0))</f>
        <v>0</v>
      </c>
      <c r="AT201">
        <f t="shared" si="34"/>
        <v>680.02</v>
      </c>
      <c r="AU201">
        <f t="shared" si="35"/>
        <v>1288.54</v>
      </c>
      <c r="AV201" s="26" cm="1">
        <f t="array" ref="AV201">IF($F$11-$I$4+VLOOKUP($R201,武学奇术!$A:$ZZ,9,FALSE)+SUM(_xlfn.XLOOKUP(S201:AG201,增益!$A:$A,增益!$I:$I,0))&gt;0,($F$11-$I$4+VLOOKUP($R201,武学奇术!$A:$ZZ,9,FALSE)+SUM(_xlfn.XLOOKUP(S201:AG201,增益!$A:$A,增益!$I:$I,0)))/200,($F$11-$I$4+VLOOKUP($R201,武学奇术!$A:$ZZ,9,FALSE)+SUM(_xlfn.XLOOKUP(S201:AG201,增益!$A:$A,增益!$I:$I,0)))/100)</f>
        <v>0.075</v>
      </c>
      <c r="AW201" s="26" cm="1">
        <f t="array" ref="AW201">$G$11+VLOOKUP($R201,武学奇术!$A:$ZZ,10,FALSE)+SUM(_xlfn.XLOOKUP(S201:AG201,增益!$A:$A,增益!$J:$J,0))</f>
        <v>0.15</v>
      </c>
      <c r="AX201">
        <f t="shared" si="36"/>
        <v>0</v>
      </c>
      <c r="AY201">
        <f t="shared" si="37"/>
        <v>0</v>
      </c>
      <c r="AZ201" s="26" cm="1">
        <f t="array" ref="AZ201">IF($F$12-$I$4+VLOOKUP($R201,武学奇术!$A:$ZZ,11,FALSE)+SUM(_xlfn.XLOOKUP(S201:AG201,增益!$A:$A,增益!$K:$K,0))&gt;0,($F$12-$I$4+VLOOKUP($R201,武学奇术!$A:$ZZ,11,FALSE)+SUM(_xlfn.XLOOKUP(S201:AG201,增益!$A:$A,增益!$K:$K,0)))/200,($F$12-$I$4+VLOOKUP($R201,武学奇术!$A:$ZZ,11,FALSE)+SUM(_xlfn.XLOOKUP(S201:AG201,增益!$A:$A,增益!$K:$K,0)))/100)</f>
        <v>-0.3</v>
      </c>
      <c r="BA201" s="26" cm="1">
        <f t="array" ref="BA201">$G$12+VLOOKUP($R201,武学奇术!$A:$ZZ,12,FALSE)+SUM(_xlfn.XLOOKUP(S201:AG201,增益!$A:$A,增益!$L:$L,0))</f>
        <v>0</v>
      </c>
      <c r="BB201">
        <f t="shared" si="38"/>
        <v>0</v>
      </c>
      <c r="BC201">
        <f t="shared" si="39"/>
        <v>0</v>
      </c>
      <c r="BD201" s="26" cm="1">
        <f t="array" ref="BD201">IF($F$13-$I$4+VLOOKUP($R201,武学奇术!$A:$ZZ,13,FALSE)+SUM(_xlfn.XLOOKUP(S201:AG201,增益!$A:$A,增益!$M:$M,0))&gt;0,($F$13-$I$4+VLOOKUP($R201,武学奇术!$A:$ZZ,13,FALSE)+SUM(_xlfn.XLOOKUP(S201:AG201,增益!$A:$A,增益!$K:$K,0)))/200,($F$13-$I$4+VLOOKUP($R201,武学奇术!$A:$ZZ,13,FALSE)+SUM(_xlfn.XLOOKUP(S201:AG201,增益!$A:$A,增益!$M:$M,0)))/100)</f>
        <v>-0.3</v>
      </c>
      <c r="BE201" s="26" cm="1">
        <f t="array" ref="BE201">$G$13+VLOOKUP($R201,武学奇术!$A:$ZZ,14,FALSE)+SUM(_xlfn.XLOOKUP(S201:AG201,增益!$A:$A,增益!$N:$N,0))</f>
        <v>0</v>
      </c>
      <c r="BF201">
        <f t="shared" si="40"/>
        <v>0</v>
      </c>
      <c r="BG201">
        <f t="shared" si="41"/>
        <v>0</v>
      </c>
      <c r="BH201" s="26" cm="1">
        <f t="array" ref="BH201">IF($F$14-$I$4+VLOOKUP($R201,武学奇术!$A:$ZZ,15,FALSE)+SUM(_xlfn.XLOOKUP(S201:AG201,增益!$A:$A,增益!$O:$O,0))&gt;0,($F$14-$I$4+VLOOKUP($R201,武学奇术!$A:$ZZ,15,FALSE)+SUM(_xlfn.XLOOKUP(S201:AG201,增益!$A:$A,增益!$O:$O,0)))/200,($F$14-$I$4+VLOOKUP($R201,武学奇术!$A:$ZZ,15,FALSE)+SUM(_xlfn.XLOOKUP(S201:AG201,增益!$A:$A,增益!$O:$O,0)))/100)</f>
        <v>-0.3</v>
      </c>
      <c r="BI201" s="26" cm="1">
        <f t="array" ref="BI201">$G$14+VLOOKUP($R201,武学奇术!$A:$ZZ,16,FALSE)+SUM(_xlfn.XLOOKUP(S201:AG201,增益!$A:$A,增益!$P:$P,0))</f>
        <v>0</v>
      </c>
      <c r="BJ201" s="21">
        <f>MIN(IF(VLOOKUP($R201,武学奇术!$A:$ZZ,23,FALSE)=1,100%,$B$8),100%)</f>
        <v>0.8229</v>
      </c>
      <c r="BK201" s="21" cm="1">
        <f t="array" ref="BK201">IF(VLOOKUP($R201,武学奇术!$A:$ZZ,23,FALSE)=1,100%,MIN(80%,$B$9+VLOOKUP($R201,武学奇术!$A:$ZZ,17,FALSE)+SUM(_xlfn.XLOOKUP(S201:AG201,增益!$A:$A,增益!$Q:$Q,0)))+$B$11+SUM(_xlfn.XLOOKUP(S201:AG201,增益!$A:$A,增益!$U:$U,0)))*IF(VLOOKUP($R201,武学奇术!$A:$ZZ,24,FALSE)=1,0,1)</f>
        <v>0.2285</v>
      </c>
      <c r="BL201" s="21" cm="1">
        <f t="array" ref="BL201">1+$B$13+VLOOKUP($R201,武学奇术!$A:$ZZ,18,FALSE)+SUM(_xlfn.XLOOKUP(S201:AG201,增益!$A:$A,增益!$R:$R,0))</f>
        <v>1.5</v>
      </c>
      <c r="BM201" s="21" cm="1">
        <f t="array" ref="BM201">IF(VLOOKUP($R201,武学奇术!$A:$ZZ,24,FALSE)=1,100%,MIN(40%,$B$10+VLOOKUP($R201,武学奇术!$A:$ZZ,19,FALSE)+SUM(_xlfn.XLOOKUP(S201:AG201,增益!$A:$A,增益!$S:$S,0)))+$B$12+SUM(_xlfn.XLOOKUP(S201:AG201,增益!$A:$A,增益!$V:$V,0)))*IF(VLOOKUP($R201,武学奇术!$A:$ZZ,23,FALSE)=1,0,1)</f>
        <v>0.4495</v>
      </c>
      <c r="BN201" s="21" cm="1">
        <f t="array" ref="BN201">1+$B$14+VLOOKUP($R201,武学奇术!$A:$ZZ,20,FALSE)+SUM(_xlfn.XLOOKUP(S201:AG201,增益!$A:$A,增益!$T:$T,0))</f>
        <v>1.712</v>
      </c>
      <c r="BO201" s="21">
        <f t="shared" si="42"/>
        <v>0.18803265</v>
      </c>
      <c r="BP201" s="21">
        <f t="shared" si="43"/>
        <v>0.2649738</v>
      </c>
      <c r="BQ201" s="21">
        <f>IF(VLOOKUP($R201,武学奇术!$A:$ZZ,22,FALSE)=1,0,(1-$BJ201))*(1-$BM201)</f>
        <v>0.09749355</v>
      </c>
      <c r="BR201" s="21" cm="1">
        <f t="array" ref="BR201">SUM(_xlfn.XLOOKUP(S201:AG201,增益!$A:$A,增益!$W:$W,0))+$I$5</f>
        <v>0.06</v>
      </c>
    </row>
    <row r="202" spans="11:70">
      <c r="K202" s="24">
        <f>$L202*VLOOKUP($R202,武学奇术!$A:$ZZ,31,FALSE)</f>
        <v>10516.3071609384</v>
      </c>
      <c r="L202" s="24">
        <f t="shared" si="33"/>
        <v>17527.1786015639</v>
      </c>
      <c r="M202" s="24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BL202*$Q202*(1+IF(VLOOKUP($R202,武学奇术!$A:$ZZ,30,FALSE)="流血",$B$21,0))*(1+$BR202)</f>
        <v>14684.4644337396</v>
      </c>
      <c r="N202" s="24">
        <f>(($AP202*$AI202+$AJ202)*(1+$AQ202)*(1+$AR202)+($AU202*IF($G$1="鸣金",$AK202,$AI202)+IF($G$1="鸣金",$AL202*1.5,0))*(1+$AV202)*(1+$AW202)+($AY202*IF($G$1="裂石",$AK202,$AI202)+IF($G$1="裂石",$AL202*1.5,0))*(1+$AZ202)*(1+$BA202)+($BC202*IF($G$1="牵丝",$AK202,$AI202)+IF($G$1="牵丝",$AL202*1.5,0))*(1+$BD202)*(1+$BE202)+($BG202*IF($G$1="破竹",$AK202,$AI202)+IF($G$1="破竹",$AL202*1.5,0))*(1+$BH202)*(1+$BI202))*(1+$AM202)*$BN202*$Q202*(1+IF(VLOOKUP($R202,武学奇术!$A:$ZZ,30,FALSE)="流血",$B$21,0))*(1+$BR202)</f>
        <v>26122.66969702</v>
      </c>
      <c r="O202" s="24">
        <f>((($AO202+$AP202)/2*$AI202+$AJ202)*(1+$AQ202)*(1+$AR202)+(($AT202+$AU202)/2*IF($G$1="鸣金",$AK202,$AI202)+IF($G$1="鸣金",$AL202*1.5,0))*(1+$AV202)*(1+$AW202)+(($AX202+$AY202)/2*IF($G$1="裂石",$AK202,$AI202)+IF($G$1="裂石",$AL202*1.5,0))*(1+$AZ202)*(1+$BA202)+(($BB202+$BC202)/2*IF($G$1="牵丝",$AK202,$AI202)+IF($G$1="牵丝",$AL202*1.5,0))*(1+$BD202)*(1+$BE202)+(($BF202+$BG202)/2*IF($G$1="破竹",$AK202,$AI202)+IF($G$1="破竹",$AL202*1.5,0))*(1+$BH202)*(1+$BI202))*(1+$AM202)*$Q202*(1+IF(VLOOKUP($R202,武学奇术!$A:$ZZ,30,FALSE)="流血",$B$21,0))*(1+$BR202)</f>
        <v>9789.6429558264</v>
      </c>
      <c r="P202" s="24">
        <f>((($AO202*$AI202+$AJ202)*(1+$AQ202)*(1+$AR202)+($AT202*IF($G$1="鸣金",$AK202,$AI202)+IF($G$1="鸣金",$AL202*1.5,0))*(1+$AV202)*(1+$AW202)+($AX202*IF($G$1="裂石",$AK202,$AI202)+IF($G$1="裂石",$AL202*1.5,0))*(1+$AZ202)*(1+$BA202)+($BB202*IF($G$1="牵丝",$AK202,$AI202)+IF($G$1="牵丝",$AL202*1.5,0))*(1+$BD202)*(1+$BE202)+($BF202*IF($G$1="破竹",$AK202,$AI202)+IF($G$1="破竹",$AL202*1.5,0))*(1+$BH202)*(1+$BI202))*(1+$AM202))*$Q202*(1+IF(VLOOKUP($R202,武学奇术!$A:$ZZ,30,FALSE)="流血",$B$21,0))*(1+$BR202)</f>
        <v>4409.32673800589</v>
      </c>
      <c r="Q202" s="31">
        <v>1</v>
      </c>
      <c r="R202" s="32" t="s">
        <v>199</v>
      </c>
      <c r="S202" s="32" t="s">
        <v>87</v>
      </c>
      <c r="T202" s="32" t="s">
        <v>96</v>
      </c>
      <c r="U202" s="32" t="s">
        <v>97</v>
      </c>
      <c r="V202" s="32" t="s">
        <v>73</v>
      </c>
      <c r="W202" s="32" t="s">
        <v>111</v>
      </c>
      <c r="X202" s="32" t="s">
        <v>127</v>
      </c>
      <c r="Y202" s="32" t="s">
        <v>73</v>
      </c>
      <c r="Z202" s="32" t="s">
        <v>73</v>
      </c>
      <c r="AA202" s="32" t="s">
        <v>81</v>
      </c>
      <c r="AB202" s="32" t="s">
        <v>75</v>
      </c>
      <c r="AC202" s="32" t="s">
        <v>76</v>
      </c>
      <c r="AD202" s="32" t="s">
        <v>82</v>
      </c>
      <c r="AE202" s="32" t="s">
        <v>90</v>
      </c>
      <c r="AF202" s="32" t="s">
        <v>73</v>
      </c>
      <c r="AG202" s="32" t="s">
        <v>128</v>
      </c>
      <c r="AH202" t="str">
        <f>VLOOKUP($R202,武学奇术!$A:$ZZ,25,FALSE)</f>
        <v>剑</v>
      </c>
      <c r="AI202" s="21">
        <f>VLOOKUP($R202,武学奇术!$A:$ZZ,26,FALSE)</f>
        <v>0.3465</v>
      </c>
      <c r="AJ202" s="22">
        <f>VLOOKUP($R202,武学奇术!$A:$ZZ,27,FALSE)*(1+IF(OR($AH202=$F$4,$AH202=$F$5),$B$22,0))</f>
        <v>0</v>
      </c>
      <c r="AK202" s="21">
        <f>VLOOKUP($R202,武学奇术!$A:$ZZ,28,FALSE)</f>
        <v>0.51975</v>
      </c>
      <c r="AL202" s="22">
        <f>VLOOKUP($R202,武学奇术!$A:$ZZ,29,FALSE)*(1+IF(OR($AH202=$F$4,$AH202=$F$5),$B$22,0))</f>
        <v>0</v>
      </c>
      <c r="AM202" s="21" cm="1">
        <f t="array" ref="AM202">$G$3+IFERROR(VLOOKUP($AH202,$F$4:$G$7,2,FALSE),0)+VLOOKUP($R202,武学奇术!$A:$ZZ,2,FALSE)+SUM(_xlfn.XLOOKUP($S202:$AG202,增益!$A:$A,增益!$B:$B,0))</f>
        <v>1.4791</v>
      </c>
      <c r="AN202" s="21" cm="1">
        <f t="array" ref="AN202">VLOOKUP($R202,武学奇术!$A:$ZZ,5,FALSE)+SUM(_xlfn.XLOOKUP($S202:$AG202,增益!$A:$A,增益!$E:$E,0))</f>
        <v>0</v>
      </c>
      <c r="AO202" cm="1">
        <f t="array" ref="AO202">$D$10*(1+$AN202)+VLOOKUP($R202,武学奇术!$A:$ZZ,3,FALSE)+SUM(_xlfn.XLOOKUP($S202:$AG202,增益!$A:$A,增益!$C:$C,0))-$I$2</f>
        <v>1825.28</v>
      </c>
      <c r="AP202" cm="1">
        <f t="array" ref="AP202">$E$10*(1+$AN202)+VLOOKUP($R202,武学奇术!$A:$ZZ,4,FALSE)+SUM(_xlfn.XLOOKUP($S202:$AG202,增益!$A:$A,增益!$D:$D,0))-$I$2</f>
        <v>7757.36</v>
      </c>
      <c r="AQ202" s="26" cm="1">
        <f t="array" ref="AQ202">IF($F$10-$I$3+VLOOKUP($R202,武学奇术!$A:$ZZ,6,FALSE)+SUM(_xlfn.XLOOKUP(S202:AG202,增益!$A:$A,增益!$F:$F,0))&gt;0,($F$10-$I$3+VLOOKUP($R202,武学奇术!$A:$ZZ,6,FALSE)+SUM(_xlfn.XLOOKUP(S202:AG202,增益!$A:$A,增益!$F:$F,0)))/200,($F$10-$I$3+VLOOKUP($R202,武学奇术!$A:$ZZ,6,FALSE)+SUM(_xlfn.XLOOKUP(S202:AG202,增益!$A:$A,增益!$F:$F,0)))/100)</f>
        <v>0.319</v>
      </c>
      <c r="AR202" s="26" cm="1">
        <f t="array" ref="AR202">$G$10+VLOOKUP($R202,武学奇术!$A:$ZZ,7,FALSE)+SUM(_xlfn.XLOOKUP(S202:AG202,增益!$A:$A,增益!$G:$G,0))</f>
        <v>0</v>
      </c>
      <c r="AS202" s="21" cm="1">
        <f t="array" ref="AS202">VLOOKUP($R202,武学奇术!$A:$ZZ,8,FALSE)+SUM(_xlfn.XLOOKUP(S202:AG202,增益!$A:$A,增益!$H:$H,0))</f>
        <v>0</v>
      </c>
      <c r="AT202">
        <f t="shared" si="34"/>
        <v>680.02</v>
      </c>
      <c r="AU202">
        <f t="shared" si="35"/>
        <v>1288.54</v>
      </c>
      <c r="AV202" s="26" cm="1">
        <f t="array" ref="AV202">IF($F$11-$I$4+VLOOKUP($R202,武学奇术!$A:$ZZ,9,FALSE)+SUM(_xlfn.XLOOKUP(S202:AG202,增益!$A:$A,增益!$I:$I,0))&gt;0,($F$11-$I$4+VLOOKUP($R202,武学奇术!$A:$ZZ,9,FALSE)+SUM(_xlfn.XLOOKUP(S202:AG202,增益!$A:$A,增益!$I:$I,0)))/200,($F$11-$I$4+VLOOKUP($R202,武学奇术!$A:$ZZ,9,FALSE)+SUM(_xlfn.XLOOKUP(S202:AG202,增益!$A:$A,增益!$I:$I,0)))/100)</f>
        <v>0.075</v>
      </c>
      <c r="AW202" s="26" cm="1">
        <f t="array" ref="AW202">$G$11+VLOOKUP($R202,武学奇术!$A:$ZZ,10,FALSE)+SUM(_xlfn.XLOOKUP(S202:AG202,增益!$A:$A,增益!$J:$J,0))</f>
        <v>0.15</v>
      </c>
      <c r="AX202">
        <f t="shared" si="36"/>
        <v>0</v>
      </c>
      <c r="AY202">
        <f t="shared" si="37"/>
        <v>0</v>
      </c>
      <c r="AZ202" s="26" cm="1">
        <f t="array" ref="AZ202">IF($F$12-$I$4+VLOOKUP($R202,武学奇术!$A:$ZZ,11,FALSE)+SUM(_xlfn.XLOOKUP(S202:AG202,增益!$A:$A,增益!$K:$K,0))&gt;0,($F$12-$I$4+VLOOKUP($R202,武学奇术!$A:$ZZ,11,FALSE)+SUM(_xlfn.XLOOKUP(S202:AG202,增益!$A:$A,增益!$K:$K,0)))/200,($F$12-$I$4+VLOOKUP($R202,武学奇术!$A:$ZZ,11,FALSE)+SUM(_xlfn.XLOOKUP(S202:AG202,增益!$A:$A,增益!$K:$K,0)))/100)</f>
        <v>-0.3</v>
      </c>
      <c r="BA202" s="26" cm="1">
        <f t="array" ref="BA202">$G$12+VLOOKUP($R202,武学奇术!$A:$ZZ,12,FALSE)+SUM(_xlfn.XLOOKUP(S202:AG202,增益!$A:$A,增益!$L:$L,0))</f>
        <v>0</v>
      </c>
      <c r="BB202">
        <f t="shared" si="38"/>
        <v>0</v>
      </c>
      <c r="BC202">
        <f t="shared" si="39"/>
        <v>0</v>
      </c>
      <c r="BD202" s="26" cm="1">
        <f t="array" ref="BD202">IF($F$13-$I$4+VLOOKUP($R202,武学奇术!$A:$ZZ,13,FALSE)+SUM(_xlfn.XLOOKUP(S202:AG202,增益!$A:$A,增益!$M:$M,0))&gt;0,($F$13-$I$4+VLOOKUP($R202,武学奇术!$A:$ZZ,13,FALSE)+SUM(_xlfn.XLOOKUP(S202:AG202,增益!$A:$A,增益!$K:$K,0)))/200,($F$13-$I$4+VLOOKUP($R202,武学奇术!$A:$ZZ,13,FALSE)+SUM(_xlfn.XLOOKUP(S202:AG202,增益!$A:$A,增益!$M:$M,0)))/100)</f>
        <v>-0.3</v>
      </c>
      <c r="BE202" s="26" cm="1">
        <f t="array" ref="BE202">$G$13+VLOOKUP($R202,武学奇术!$A:$ZZ,14,FALSE)+SUM(_xlfn.XLOOKUP(S202:AG202,增益!$A:$A,增益!$N:$N,0))</f>
        <v>0</v>
      </c>
      <c r="BF202">
        <f t="shared" si="40"/>
        <v>0</v>
      </c>
      <c r="BG202">
        <f t="shared" si="41"/>
        <v>0</v>
      </c>
      <c r="BH202" s="26" cm="1">
        <f t="array" ref="BH202">IF($F$14-$I$4+VLOOKUP($R202,武学奇术!$A:$ZZ,15,FALSE)+SUM(_xlfn.XLOOKUP(S202:AG202,增益!$A:$A,增益!$O:$O,0))&gt;0,($F$14-$I$4+VLOOKUP($R202,武学奇术!$A:$ZZ,15,FALSE)+SUM(_xlfn.XLOOKUP(S202:AG202,增益!$A:$A,增益!$O:$O,0)))/200,($F$14-$I$4+VLOOKUP($R202,武学奇术!$A:$ZZ,15,FALSE)+SUM(_xlfn.XLOOKUP(S202:AG202,增益!$A:$A,增益!$O:$O,0)))/100)</f>
        <v>-0.3</v>
      </c>
      <c r="BI202" s="26" cm="1">
        <f t="array" ref="BI202">$G$14+VLOOKUP($R202,武学奇术!$A:$ZZ,16,FALSE)+SUM(_xlfn.XLOOKUP(S202:AG202,增益!$A:$A,增益!$P:$P,0))</f>
        <v>0</v>
      </c>
      <c r="BJ202" s="21">
        <f>MIN(IF(VLOOKUP($R202,武学奇术!$A:$ZZ,23,FALSE)=1,100%,$B$8),100%)</f>
        <v>0.8229</v>
      </c>
      <c r="BK202" s="21" cm="1">
        <f t="array" ref="BK202">IF(VLOOKUP($R202,武学奇术!$A:$ZZ,23,FALSE)=1,100%,MIN(80%,$B$9+VLOOKUP($R202,武学奇术!$A:$ZZ,17,FALSE)+SUM(_xlfn.XLOOKUP(S202:AG202,增益!$A:$A,增益!$Q:$Q,0)))+$B$11+SUM(_xlfn.XLOOKUP(S202:AG202,增益!$A:$A,增益!$U:$U,0)))*IF(VLOOKUP($R202,武学奇术!$A:$ZZ,24,FALSE)=1,0,1)</f>
        <v>0.2285</v>
      </c>
      <c r="BL202" s="21" cm="1">
        <f t="array" ref="BL202">1+$B$13+VLOOKUP($R202,武学奇术!$A:$ZZ,18,FALSE)+SUM(_xlfn.XLOOKUP(S202:AG202,增益!$A:$A,增益!$R:$R,0))</f>
        <v>1.5</v>
      </c>
      <c r="BM202" s="21" cm="1">
        <f t="array" ref="BM202">IF(VLOOKUP($R202,武学奇术!$A:$ZZ,24,FALSE)=1,100%,MIN(40%,$B$10+VLOOKUP($R202,武学奇术!$A:$ZZ,19,FALSE)+SUM(_xlfn.XLOOKUP(S202:AG202,增益!$A:$A,增益!$S:$S,0)))+$B$12+SUM(_xlfn.XLOOKUP(S202:AG202,增益!$A:$A,增益!$V:$V,0)))*IF(VLOOKUP($R202,武学奇术!$A:$ZZ,23,FALSE)=1,0,1)</f>
        <v>0.4495</v>
      </c>
      <c r="BN202" s="21" cm="1">
        <f t="array" ref="BN202">1+$B$14+VLOOKUP($R202,武学奇术!$A:$ZZ,20,FALSE)+SUM(_xlfn.XLOOKUP(S202:AG202,增益!$A:$A,增益!$T:$T,0))</f>
        <v>1.722</v>
      </c>
      <c r="BO202" s="21">
        <f t="shared" si="42"/>
        <v>0.18803265</v>
      </c>
      <c r="BP202" s="21">
        <f t="shared" si="43"/>
        <v>0.2649738</v>
      </c>
      <c r="BQ202" s="21">
        <f>IF(VLOOKUP($R202,武学奇术!$A:$ZZ,22,FALSE)=1,0,(1-$BJ202))*(1-$BM202)</f>
        <v>0.09749355</v>
      </c>
      <c r="BR202" s="21" cm="1">
        <f t="array" ref="BR202">SUM(_xlfn.XLOOKUP(S202:AG202,增益!$A:$A,增益!$W:$W,0))+$I$5</f>
        <v>0.06</v>
      </c>
    </row>
    <row r="203" spans="11:70">
      <c r="K203" s="24">
        <f>$L203*VLOOKUP($R203,武学奇术!$A:$ZZ,31,FALSE)</f>
        <v>8413.04572875069</v>
      </c>
      <c r="L203" s="24">
        <f t="shared" si="33"/>
        <v>14021.7428812512</v>
      </c>
      <c r="M203" s="24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BL203*$Q203*(1+IF(VLOOKUP($R203,武学奇术!$A:$ZZ,30,FALSE)="流血",$B$21,0))*(1+$BR203)</f>
        <v>11747.5715469917</v>
      </c>
      <c r="N203" s="24">
        <f>(($AP203*$AI203+$AJ203)*(1+$AQ203)*(1+$AR203)+($AU203*IF($G$1="鸣金",$AK203,$AI203)+IF($G$1="鸣金",$AL203*1.5,0))*(1+$AV203)*(1+$AW203)+($AY203*IF($G$1="裂石",$AK203,$AI203)+IF($G$1="裂石",$AL203*1.5,0))*(1+$AZ203)*(1+$BA203)+($BC203*IF($G$1="牵丝",$AK203,$AI203)+IF($G$1="牵丝",$AL203*1.5,0))*(1+$BD203)*(1+$BE203)+($BG203*IF($G$1="破竹",$AK203,$AI203)+IF($G$1="破竹",$AL203*1.5,0))*(1+$BH203)*(1+$BI203))*(1+$AM203)*$BN203*$Q203*(1+IF(VLOOKUP($R203,武学奇术!$A:$ZZ,30,FALSE)="流血",$B$21,0))*(1+$BR203)</f>
        <v>20898.135757616</v>
      </c>
      <c r="O203" s="24">
        <f>((($AO203+$AP203)/2*$AI203+$AJ203)*(1+$AQ203)*(1+$AR203)+(($AT203+$AU203)/2*IF($G$1="鸣金",$AK203,$AI203)+IF($G$1="鸣金",$AL203*1.5,0))*(1+$AV203)*(1+$AW203)+(($AX203+$AY203)/2*IF($G$1="裂石",$AK203,$AI203)+IF($G$1="裂石",$AL203*1.5,0))*(1+$AZ203)*(1+$BA203)+(($BB203+$BC203)/2*IF($G$1="牵丝",$AK203,$AI203)+IF($G$1="牵丝",$AL203*1.5,0))*(1+$BD203)*(1+$BE203)+(($BF203+$BG203)/2*IF($G$1="破竹",$AK203,$AI203)+IF($G$1="破竹",$AL203*1.5,0))*(1+$BH203)*(1+$BI203))*(1+$AM203)*$Q203*(1+IF(VLOOKUP($R203,武学奇术!$A:$ZZ,30,FALSE)="流血",$B$21,0))*(1+$BR203)</f>
        <v>7831.71436466112</v>
      </c>
      <c r="P203" s="24">
        <f>((($AO203*$AI203+$AJ203)*(1+$AQ203)*(1+$AR203)+($AT203*IF($G$1="鸣金",$AK203,$AI203)+IF($G$1="鸣金",$AL203*1.5,0))*(1+$AV203)*(1+$AW203)+($AX203*IF($G$1="裂石",$AK203,$AI203)+IF($G$1="裂石",$AL203*1.5,0))*(1+$AZ203)*(1+$BA203)+($BB203*IF($G$1="牵丝",$AK203,$AI203)+IF($G$1="牵丝",$AL203*1.5,0))*(1+$BD203)*(1+$BE203)+($BF203*IF($G$1="破竹",$AK203,$AI203)+IF($G$1="破竹",$AL203*1.5,0))*(1+$BH203)*(1+$BI203))*(1+$AM203))*$Q203*(1+IF(VLOOKUP($R203,武学奇术!$A:$ZZ,30,FALSE)="流血",$B$21,0))*(1+$BR203)</f>
        <v>3527.46139040471</v>
      </c>
      <c r="Q203" s="31">
        <v>1</v>
      </c>
      <c r="R203" s="32" t="s">
        <v>197</v>
      </c>
      <c r="S203" s="32" t="s">
        <v>87</v>
      </c>
      <c r="T203" s="32" t="s">
        <v>96</v>
      </c>
      <c r="U203" s="32" t="s">
        <v>97</v>
      </c>
      <c r="V203" s="32" t="s">
        <v>73</v>
      </c>
      <c r="W203" s="32" t="s">
        <v>111</v>
      </c>
      <c r="X203" s="32" t="s">
        <v>127</v>
      </c>
      <c r="Y203" s="32" t="s">
        <v>73</v>
      </c>
      <c r="Z203" s="32" t="s">
        <v>73</v>
      </c>
      <c r="AA203" s="32" t="s">
        <v>81</v>
      </c>
      <c r="AB203" s="32" t="s">
        <v>75</v>
      </c>
      <c r="AC203" s="32" t="s">
        <v>76</v>
      </c>
      <c r="AD203" s="32" t="s">
        <v>82</v>
      </c>
      <c r="AE203" s="32" t="s">
        <v>90</v>
      </c>
      <c r="AF203" s="32" t="s">
        <v>73</v>
      </c>
      <c r="AG203" s="32" t="s">
        <v>128</v>
      </c>
      <c r="AH203" t="str">
        <f>VLOOKUP($R203,武学奇术!$A:$ZZ,25,FALSE)</f>
        <v>剑</v>
      </c>
      <c r="AI203" s="21">
        <f>VLOOKUP($R203,武学奇术!$A:$ZZ,26,FALSE)</f>
        <v>0.2772</v>
      </c>
      <c r="AJ203" s="22">
        <f>VLOOKUP($R203,武学奇术!$A:$ZZ,27,FALSE)*(1+IF(OR($AH203=$F$4,$AH203=$F$5),$B$22,0))</f>
        <v>0</v>
      </c>
      <c r="AK203" s="21">
        <f>VLOOKUP($R203,武学奇术!$A:$ZZ,28,FALSE)</f>
        <v>0.4158</v>
      </c>
      <c r="AL203" s="22">
        <f>VLOOKUP($R203,武学奇术!$A:$ZZ,29,FALSE)*(1+IF(OR($AH203=$F$4,$AH203=$F$5),$B$22,0))</f>
        <v>0</v>
      </c>
      <c r="AM203" s="21" cm="1">
        <f t="array" ref="AM203">$G$3+IFERROR(VLOOKUP($AH203,$F$4:$G$7,2,FALSE),0)+VLOOKUP($R203,武学奇术!$A:$ZZ,2,FALSE)+SUM(_xlfn.XLOOKUP($S203:$AG203,增益!$A:$A,增益!$B:$B,0))</f>
        <v>1.4791</v>
      </c>
      <c r="AN203" s="21" cm="1">
        <f t="array" ref="AN203">VLOOKUP($R203,武学奇术!$A:$ZZ,5,FALSE)+SUM(_xlfn.XLOOKUP($S203:$AG203,增益!$A:$A,增益!$E:$E,0))</f>
        <v>0</v>
      </c>
      <c r="AO203" cm="1">
        <f t="array" ref="AO203">$D$10*(1+$AN203)+VLOOKUP($R203,武学奇术!$A:$ZZ,3,FALSE)+SUM(_xlfn.XLOOKUP($S203:$AG203,增益!$A:$A,增益!$C:$C,0))-$I$2</f>
        <v>1825.28</v>
      </c>
      <c r="AP203" cm="1">
        <f t="array" ref="AP203">$E$10*(1+$AN203)+VLOOKUP($R203,武学奇术!$A:$ZZ,4,FALSE)+SUM(_xlfn.XLOOKUP($S203:$AG203,增益!$A:$A,增益!$D:$D,0))-$I$2</f>
        <v>7757.36</v>
      </c>
      <c r="AQ203" s="26" cm="1">
        <f t="array" ref="AQ203">IF($F$10-$I$3+VLOOKUP($R203,武学奇术!$A:$ZZ,6,FALSE)+SUM(_xlfn.XLOOKUP(S203:AG203,增益!$A:$A,增益!$F:$F,0))&gt;0,($F$10-$I$3+VLOOKUP($R203,武学奇术!$A:$ZZ,6,FALSE)+SUM(_xlfn.XLOOKUP(S203:AG203,增益!$A:$A,增益!$F:$F,0)))/200,($F$10-$I$3+VLOOKUP($R203,武学奇术!$A:$ZZ,6,FALSE)+SUM(_xlfn.XLOOKUP(S203:AG203,增益!$A:$A,增益!$F:$F,0)))/100)</f>
        <v>0.319</v>
      </c>
      <c r="AR203" s="26" cm="1">
        <f t="array" ref="AR203">$G$10+VLOOKUP($R203,武学奇术!$A:$ZZ,7,FALSE)+SUM(_xlfn.XLOOKUP(S203:AG203,增益!$A:$A,增益!$G:$G,0))</f>
        <v>0</v>
      </c>
      <c r="AS203" s="21" cm="1">
        <f t="array" ref="AS203">VLOOKUP($R203,武学奇术!$A:$ZZ,8,FALSE)+SUM(_xlfn.XLOOKUP(S203:AG203,增益!$A:$A,增益!$H:$H,0))</f>
        <v>0</v>
      </c>
      <c r="AT203">
        <f t="shared" si="34"/>
        <v>680.02</v>
      </c>
      <c r="AU203">
        <f t="shared" si="35"/>
        <v>1288.54</v>
      </c>
      <c r="AV203" s="26" cm="1">
        <f t="array" ref="AV203">IF($F$11-$I$4+VLOOKUP($R203,武学奇术!$A:$ZZ,9,FALSE)+SUM(_xlfn.XLOOKUP(S203:AG203,增益!$A:$A,增益!$I:$I,0))&gt;0,($F$11-$I$4+VLOOKUP($R203,武学奇术!$A:$ZZ,9,FALSE)+SUM(_xlfn.XLOOKUP(S203:AG203,增益!$A:$A,增益!$I:$I,0)))/200,($F$11-$I$4+VLOOKUP($R203,武学奇术!$A:$ZZ,9,FALSE)+SUM(_xlfn.XLOOKUP(S203:AG203,增益!$A:$A,增益!$I:$I,0)))/100)</f>
        <v>0.075</v>
      </c>
      <c r="AW203" s="26" cm="1">
        <f t="array" ref="AW203">$G$11+VLOOKUP($R203,武学奇术!$A:$ZZ,10,FALSE)+SUM(_xlfn.XLOOKUP(S203:AG203,增益!$A:$A,增益!$J:$J,0))</f>
        <v>0.15</v>
      </c>
      <c r="AX203">
        <f t="shared" si="36"/>
        <v>0</v>
      </c>
      <c r="AY203">
        <f t="shared" si="37"/>
        <v>0</v>
      </c>
      <c r="AZ203" s="26" cm="1">
        <f t="array" ref="AZ203">IF($F$12-$I$4+VLOOKUP($R203,武学奇术!$A:$ZZ,11,FALSE)+SUM(_xlfn.XLOOKUP(S203:AG203,增益!$A:$A,增益!$K:$K,0))&gt;0,($F$12-$I$4+VLOOKUP($R203,武学奇术!$A:$ZZ,11,FALSE)+SUM(_xlfn.XLOOKUP(S203:AG203,增益!$A:$A,增益!$K:$K,0)))/200,($F$12-$I$4+VLOOKUP($R203,武学奇术!$A:$ZZ,11,FALSE)+SUM(_xlfn.XLOOKUP(S203:AG203,增益!$A:$A,增益!$K:$K,0)))/100)</f>
        <v>-0.3</v>
      </c>
      <c r="BA203" s="26" cm="1">
        <f t="array" ref="BA203">$G$12+VLOOKUP($R203,武学奇术!$A:$ZZ,12,FALSE)+SUM(_xlfn.XLOOKUP(S203:AG203,增益!$A:$A,增益!$L:$L,0))</f>
        <v>0</v>
      </c>
      <c r="BB203">
        <f t="shared" si="38"/>
        <v>0</v>
      </c>
      <c r="BC203">
        <f t="shared" si="39"/>
        <v>0</v>
      </c>
      <c r="BD203" s="26" cm="1">
        <f t="array" ref="BD203">IF($F$13-$I$4+VLOOKUP($R203,武学奇术!$A:$ZZ,13,FALSE)+SUM(_xlfn.XLOOKUP(S203:AG203,增益!$A:$A,增益!$M:$M,0))&gt;0,($F$13-$I$4+VLOOKUP($R203,武学奇术!$A:$ZZ,13,FALSE)+SUM(_xlfn.XLOOKUP(S203:AG203,增益!$A:$A,增益!$K:$K,0)))/200,($F$13-$I$4+VLOOKUP($R203,武学奇术!$A:$ZZ,13,FALSE)+SUM(_xlfn.XLOOKUP(S203:AG203,增益!$A:$A,增益!$M:$M,0)))/100)</f>
        <v>-0.3</v>
      </c>
      <c r="BE203" s="26" cm="1">
        <f t="array" ref="BE203">$G$13+VLOOKUP($R203,武学奇术!$A:$ZZ,14,FALSE)+SUM(_xlfn.XLOOKUP(S203:AG203,增益!$A:$A,增益!$N:$N,0))</f>
        <v>0</v>
      </c>
      <c r="BF203">
        <f t="shared" si="40"/>
        <v>0</v>
      </c>
      <c r="BG203">
        <f t="shared" si="41"/>
        <v>0</v>
      </c>
      <c r="BH203" s="26" cm="1">
        <f t="array" ref="BH203">IF($F$14-$I$4+VLOOKUP($R203,武学奇术!$A:$ZZ,15,FALSE)+SUM(_xlfn.XLOOKUP(S203:AG203,增益!$A:$A,增益!$O:$O,0))&gt;0,($F$14-$I$4+VLOOKUP($R203,武学奇术!$A:$ZZ,15,FALSE)+SUM(_xlfn.XLOOKUP(S203:AG203,增益!$A:$A,增益!$O:$O,0)))/200,($F$14-$I$4+VLOOKUP($R203,武学奇术!$A:$ZZ,15,FALSE)+SUM(_xlfn.XLOOKUP(S203:AG203,增益!$A:$A,增益!$O:$O,0)))/100)</f>
        <v>-0.3</v>
      </c>
      <c r="BI203" s="26" cm="1">
        <f t="array" ref="BI203">$G$14+VLOOKUP($R203,武学奇术!$A:$ZZ,16,FALSE)+SUM(_xlfn.XLOOKUP(S203:AG203,增益!$A:$A,增益!$P:$P,0))</f>
        <v>0</v>
      </c>
      <c r="BJ203" s="21">
        <f>MIN(IF(VLOOKUP($R203,武学奇术!$A:$ZZ,23,FALSE)=1,100%,$B$8),100%)</f>
        <v>0.8229</v>
      </c>
      <c r="BK203" s="21" cm="1">
        <f t="array" ref="BK203">IF(VLOOKUP($R203,武学奇术!$A:$ZZ,23,FALSE)=1,100%,MIN(80%,$B$9+VLOOKUP($R203,武学奇术!$A:$ZZ,17,FALSE)+SUM(_xlfn.XLOOKUP(S203:AG203,增益!$A:$A,增益!$Q:$Q,0)))+$B$11+SUM(_xlfn.XLOOKUP(S203:AG203,增益!$A:$A,增益!$U:$U,0)))*IF(VLOOKUP($R203,武学奇术!$A:$ZZ,24,FALSE)=1,0,1)</f>
        <v>0.2285</v>
      </c>
      <c r="BL203" s="21" cm="1">
        <f t="array" ref="BL203">1+$B$13+VLOOKUP($R203,武学奇术!$A:$ZZ,18,FALSE)+SUM(_xlfn.XLOOKUP(S203:AG203,增益!$A:$A,增益!$R:$R,0))</f>
        <v>1.5</v>
      </c>
      <c r="BM203" s="21" cm="1">
        <f t="array" ref="BM203">IF(VLOOKUP($R203,武学奇术!$A:$ZZ,24,FALSE)=1,100%,MIN(40%,$B$10+VLOOKUP($R203,武学奇术!$A:$ZZ,19,FALSE)+SUM(_xlfn.XLOOKUP(S203:AG203,增益!$A:$A,增益!$S:$S,0)))+$B$12+SUM(_xlfn.XLOOKUP(S203:AG203,增益!$A:$A,增益!$V:$V,0)))*IF(VLOOKUP($R203,武学奇术!$A:$ZZ,23,FALSE)=1,0,1)</f>
        <v>0.4495</v>
      </c>
      <c r="BN203" s="21" cm="1">
        <f t="array" ref="BN203">1+$B$14+VLOOKUP($R203,武学奇术!$A:$ZZ,20,FALSE)+SUM(_xlfn.XLOOKUP(S203:AG203,增益!$A:$A,增益!$T:$T,0))</f>
        <v>1.722</v>
      </c>
      <c r="BO203" s="21">
        <f t="shared" si="42"/>
        <v>0.18803265</v>
      </c>
      <c r="BP203" s="21">
        <f t="shared" si="43"/>
        <v>0.2649738</v>
      </c>
      <c r="BQ203" s="21">
        <f>IF(VLOOKUP($R203,武学奇术!$A:$ZZ,22,FALSE)=1,0,(1-$BJ203))*(1-$BM203)</f>
        <v>0.09749355</v>
      </c>
      <c r="BR203" s="21" cm="1">
        <f t="array" ref="BR203">SUM(_xlfn.XLOOKUP(S203:AG203,增益!$A:$A,增益!$W:$W,0))+$I$5</f>
        <v>0.06</v>
      </c>
    </row>
    <row r="204" spans="11:70">
      <c r="K204" s="24">
        <f>$L204*VLOOKUP($R204,武学奇术!$A:$ZZ,31,FALSE)</f>
        <v>5258.15358046918</v>
      </c>
      <c r="L204" s="24">
        <f t="shared" si="33"/>
        <v>8763.58930078197</v>
      </c>
      <c r="M204" s="24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BL204*$Q204*(1+IF(VLOOKUP($R204,武学奇术!$A:$ZZ,30,FALSE)="流血",$B$21,0))*(1+$BR204)</f>
        <v>7342.2322168698</v>
      </c>
      <c r="N204" s="24">
        <f>(($AP204*$AI204+$AJ204)*(1+$AQ204)*(1+$AR204)+($AU204*IF($G$1="鸣金",$AK204,$AI204)+IF($G$1="鸣金",$AL204*1.5,0))*(1+$AV204)*(1+$AW204)+($AY204*IF($G$1="裂石",$AK204,$AI204)+IF($G$1="裂石",$AL204*1.5,0))*(1+$AZ204)*(1+$BA204)+($BC204*IF($G$1="牵丝",$AK204,$AI204)+IF($G$1="牵丝",$AL204*1.5,0))*(1+$BD204)*(1+$BE204)+($BG204*IF($G$1="破竹",$AK204,$AI204)+IF($G$1="破竹",$AL204*1.5,0))*(1+$BH204)*(1+$BI204))*(1+$AM204)*$BN204*$Q204*(1+IF(VLOOKUP($R204,武学奇术!$A:$ZZ,30,FALSE)="流血",$B$21,0))*(1+$BR204)</f>
        <v>13061.33484851</v>
      </c>
      <c r="O204" s="24">
        <f>((($AO204+$AP204)/2*$AI204+$AJ204)*(1+$AQ204)*(1+$AR204)+(($AT204+$AU204)/2*IF($G$1="鸣金",$AK204,$AI204)+IF($G$1="鸣金",$AL204*1.5,0))*(1+$AV204)*(1+$AW204)+(($AX204+$AY204)/2*IF($G$1="裂石",$AK204,$AI204)+IF($G$1="裂石",$AL204*1.5,0))*(1+$AZ204)*(1+$BA204)+(($BB204+$BC204)/2*IF($G$1="牵丝",$AK204,$AI204)+IF($G$1="牵丝",$AL204*1.5,0))*(1+$BD204)*(1+$BE204)+(($BF204+$BG204)/2*IF($G$1="破竹",$AK204,$AI204)+IF($G$1="破竹",$AL204*1.5,0))*(1+$BH204)*(1+$BI204))*(1+$AM204)*$Q204*(1+IF(VLOOKUP($R204,武学奇术!$A:$ZZ,30,FALSE)="流血",$B$21,0))*(1+$BR204)</f>
        <v>4894.8214779132</v>
      </c>
      <c r="P204" s="24">
        <f>((($AO204*$AI204+$AJ204)*(1+$AQ204)*(1+$AR204)+($AT204*IF($G$1="鸣金",$AK204,$AI204)+IF($G$1="鸣金",$AL204*1.5,0))*(1+$AV204)*(1+$AW204)+($AX204*IF($G$1="裂石",$AK204,$AI204)+IF($G$1="裂石",$AL204*1.5,0))*(1+$AZ204)*(1+$BA204)+($BB204*IF($G$1="牵丝",$AK204,$AI204)+IF($G$1="牵丝",$AL204*1.5,0))*(1+$BD204)*(1+$BE204)+($BF204*IF($G$1="破竹",$AK204,$AI204)+IF($G$1="破竹",$AL204*1.5,0))*(1+$BH204)*(1+$BI204))*(1+$AM204))*$Q204*(1+IF(VLOOKUP($R204,武学奇术!$A:$ZZ,30,FALSE)="流血",$B$21,0))*(1+$BR204)</f>
        <v>2204.66336900294</v>
      </c>
      <c r="Q204" s="31">
        <v>1</v>
      </c>
      <c r="R204" s="32" t="s">
        <v>198</v>
      </c>
      <c r="S204" s="32" t="s">
        <v>87</v>
      </c>
      <c r="T204" s="32" t="s">
        <v>96</v>
      </c>
      <c r="U204" s="32" t="s">
        <v>97</v>
      </c>
      <c r="V204" s="32" t="s">
        <v>73</v>
      </c>
      <c r="W204" s="32" t="s">
        <v>111</v>
      </c>
      <c r="X204" s="32" t="s">
        <v>127</v>
      </c>
      <c r="Y204" s="32" t="s">
        <v>73</v>
      </c>
      <c r="Z204" s="32" t="s">
        <v>73</v>
      </c>
      <c r="AA204" s="32" t="s">
        <v>81</v>
      </c>
      <c r="AB204" s="32" t="s">
        <v>75</v>
      </c>
      <c r="AC204" s="32" t="s">
        <v>76</v>
      </c>
      <c r="AD204" s="32" t="s">
        <v>82</v>
      </c>
      <c r="AE204" s="32" t="s">
        <v>90</v>
      </c>
      <c r="AF204" s="32" t="s">
        <v>73</v>
      </c>
      <c r="AG204" s="32" t="s">
        <v>128</v>
      </c>
      <c r="AH204" t="str">
        <f>VLOOKUP($R204,武学奇术!$A:$ZZ,25,FALSE)</f>
        <v>剑</v>
      </c>
      <c r="AI204" s="21">
        <f>VLOOKUP($R204,武学奇术!$A:$ZZ,26,FALSE)</f>
        <v>0.17325</v>
      </c>
      <c r="AJ204" s="22">
        <f>VLOOKUP($R204,武学奇术!$A:$ZZ,27,FALSE)*(1+IF(OR($AH204=$F$4,$AH204=$F$5),$B$22,0))</f>
        <v>0</v>
      </c>
      <c r="AK204" s="21">
        <f>VLOOKUP($R204,武学奇术!$A:$ZZ,28,FALSE)</f>
        <v>0.259875</v>
      </c>
      <c r="AL204" s="22">
        <f>VLOOKUP($R204,武学奇术!$A:$ZZ,29,FALSE)*(1+IF(OR($AH204=$F$4,$AH204=$F$5),$B$22,0))</f>
        <v>0</v>
      </c>
      <c r="AM204" s="21" cm="1">
        <f t="array" ref="AM204">$G$3+IFERROR(VLOOKUP($AH204,$F$4:$G$7,2,FALSE),0)+VLOOKUP($R204,武学奇术!$A:$ZZ,2,FALSE)+SUM(_xlfn.XLOOKUP($S204:$AG204,增益!$A:$A,增益!$B:$B,0))</f>
        <v>1.4791</v>
      </c>
      <c r="AN204" s="21" cm="1">
        <f t="array" ref="AN204">VLOOKUP($R204,武学奇术!$A:$ZZ,5,FALSE)+SUM(_xlfn.XLOOKUP($S204:$AG204,增益!$A:$A,增益!$E:$E,0))</f>
        <v>0</v>
      </c>
      <c r="AO204" cm="1">
        <f t="array" ref="AO204">$D$10*(1+$AN204)+VLOOKUP($R204,武学奇术!$A:$ZZ,3,FALSE)+SUM(_xlfn.XLOOKUP($S204:$AG204,增益!$A:$A,增益!$C:$C,0))-$I$2</f>
        <v>1825.28</v>
      </c>
      <c r="AP204" cm="1">
        <f t="array" ref="AP204">$E$10*(1+$AN204)+VLOOKUP($R204,武学奇术!$A:$ZZ,4,FALSE)+SUM(_xlfn.XLOOKUP($S204:$AG204,增益!$A:$A,增益!$D:$D,0))-$I$2</f>
        <v>7757.36</v>
      </c>
      <c r="AQ204" s="26" cm="1">
        <f t="array" ref="AQ204">IF($F$10-$I$3+VLOOKUP($R204,武学奇术!$A:$ZZ,6,FALSE)+SUM(_xlfn.XLOOKUP(S204:AG204,增益!$A:$A,增益!$F:$F,0))&gt;0,($F$10-$I$3+VLOOKUP($R204,武学奇术!$A:$ZZ,6,FALSE)+SUM(_xlfn.XLOOKUP(S204:AG204,增益!$A:$A,增益!$F:$F,0)))/200,($F$10-$I$3+VLOOKUP($R204,武学奇术!$A:$ZZ,6,FALSE)+SUM(_xlfn.XLOOKUP(S204:AG204,增益!$A:$A,增益!$F:$F,0)))/100)</f>
        <v>0.319</v>
      </c>
      <c r="AR204" s="26" cm="1">
        <f t="array" ref="AR204">$G$10+VLOOKUP($R204,武学奇术!$A:$ZZ,7,FALSE)+SUM(_xlfn.XLOOKUP(S204:AG204,增益!$A:$A,增益!$G:$G,0))</f>
        <v>0</v>
      </c>
      <c r="AS204" s="21" cm="1">
        <f t="array" ref="AS204">VLOOKUP($R204,武学奇术!$A:$ZZ,8,FALSE)+SUM(_xlfn.XLOOKUP(S204:AG204,增益!$A:$A,增益!$H:$H,0))</f>
        <v>0</v>
      </c>
      <c r="AT204">
        <f t="shared" si="34"/>
        <v>680.02</v>
      </c>
      <c r="AU204">
        <f t="shared" si="35"/>
        <v>1288.54</v>
      </c>
      <c r="AV204" s="26" cm="1">
        <f t="array" ref="AV204">IF($F$11-$I$4+VLOOKUP($R204,武学奇术!$A:$ZZ,9,FALSE)+SUM(_xlfn.XLOOKUP(S204:AG204,增益!$A:$A,增益!$I:$I,0))&gt;0,($F$11-$I$4+VLOOKUP($R204,武学奇术!$A:$ZZ,9,FALSE)+SUM(_xlfn.XLOOKUP(S204:AG204,增益!$A:$A,增益!$I:$I,0)))/200,($F$11-$I$4+VLOOKUP($R204,武学奇术!$A:$ZZ,9,FALSE)+SUM(_xlfn.XLOOKUP(S204:AG204,增益!$A:$A,增益!$I:$I,0)))/100)</f>
        <v>0.075</v>
      </c>
      <c r="AW204" s="26" cm="1">
        <f t="array" ref="AW204">$G$11+VLOOKUP($R204,武学奇术!$A:$ZZ,10,FALSE)+SUM(_xlfn.XLOOKUP(S204:AG204,增益!$A:$A,增益!$J:$J,0))</f>
        <v>0.15</v>
      </c>
      <c r="AX204">
        <f t="shared" si="36"/>
        <v>0</v>
      </c>
      <c r="AY204">
        <f t="shared" si="37"/>
        <v>0</v>
      </c>
      <c r="AZ204" s="26" cm="1">
        <f t="array" ref="AZ204">IF($F$12-$I$4+VLOOKUP($R204,武学奇术!$A:$ZZ,11,FALSE)+SUM(_xlfn.XLOOKUP(S204:AG204,增益!$A:$A,增益!$K:$K,0))&gt;0,($F$12-$I$4+VLOOKUP($R204,武学奇术!$A:$ZZ,11,FALSE)+SUM(_xlfn.XLOOKUP(S204:AG204,增益!$A:$A,增益!$K:$K,0)))/200,($F$12-$I$4+VLOOKUP($R204,武学奇术!$A:$ZZ,11,FALSE)+SUM(_xlfn.XLOOKUP(S204:AG204,增益!$A:$A,增益!$K:$K,0)))/100)</f>
        <v>-0.3</v>
      </c>
      <c r="BA204" s="26" cm="1">
        <f t="array" ref="BA204">$G$12+VLOOKUP($R204,武学奇术!$A:$ZZ,12,FALSE)+SUM(_xlfn.XLOOKUP(S204:AG204,增益!$A:$A,增益!$L:$L,0))</f>
        <v>0</v>
      </c>
      <c r="BB204">
        <f t="shared" si="38"/>
        <v>0</v>
      </c>
      <c r="BC204">
        <f t="shared" si="39"/>
        <v>0</v>
      </c>
      <c r="BD204" s="26" cm="1">
        <f t="array" ref="BD204">IF($F$13-$I$4+VLOOKUP($R204,武学奇术!$A:$ZZ,13,FALSE)+SUM(_xlfn.XLOOKUP(S204:AG204,增益!$A:$A,增益!$M:$M,0))&gt;0,($F$13-$I$4+VLOOKUP($R204,武学奇术!$A:$ZZ,13,FALSE)+SUM(_xlfn.XLOOKUP(S204:AG204,增益!$A:$A,增益!$K:$K,0)))/200,($F$13-$I$4+VLOOKUP($R204,武学奇术!$A:$ZZ,13,FALSE)+SUM(_xlfn.XLOOKUP(S204:AG204,增益!$A:$A,增益!$M:$M,0)))/100)</f>
        <v>-0.3</v>
      </c>
      <c r="BE204" s="26" cm="1">
        <f t="array" ref="BE204">$G$13+VLOOKUP($R204,武学奇术!$A:$ZZ,14,FALSE)+SUM(_xlfn.XLOOKUP(S204:AG204,增益!$A:$A,增益!$N:$N,0))</f>
        <v>0</v>
      </c>
      <c r="BF204">
        <f t="shared" si="40"/>
        <v>0</v>
      </c>
      <c r="BG204">
        <f t="shared" si="41"/>
        <v>0</v>
      </c>
      <c r="BH204" s="26" cm="1">
        <f t="array" ref="BH204">IF($F$14-$I$4+VLOOKUP($R204,武学奇术!$A:$ZZ,15,FALSE)+SUM(_xlfn.XLOOKUP(S204:AG204,增益!$A:$A,增益!$O:$O,0))&gt;0,($F$14-$I$4+VLOOKUP($R204,武学奇术!$A:$ZZ,15,FALSE)+SUM(_xlfn.XLOOKUP(S204:AG204,增益!$A:$A,增益!$O:$O,0)))/200,($F$14-$I$4+VLOOKUP($R204,武学奇术!$A:$ZZ,15,FALSE)+SUM(_xlfn.XLOOKUP(S204:AG204,增益!$A:$A,增益!$O:$O,0)))/100)</f>
        <v>-0.3</v>
      </c>
      <c r="BI204" s="26" cm="1">
        <f t="array" ref="BI204">$G$14+VLOOKUP($R204,武学奇术!$A:$ZZ,16,FALSE)+SUM(_xlfn.XLOOKUP(S204:AG204,增益!$A:$A,增益!$P:$P,0))</f>
        <v>0</v>
      </c>
      <c r="BJ204" s="21">
        <f>MIN(IF(VLOOKUP($R204,武学奇术!$A:$ZZ,23,FALSE)=1,100%,$B$8),100%)</f>
        <v>0.8229</v>
      </c>
      <c r="BK204" s="21" cm="1">
        <f t="array" ref="BK204">IF(VLOOKUP($R204,武学奇术!$A:$ZZ,23,FALSE)=1,100%,MIN(80%,$B$9+VLOOKUP($R204,武学奇术!$A:$ZZ,17,FALSE)+SUM(_xlfn.XLOOKUP(S204:AG204,增益!$A:$A,增益!$Q:$Q,0)))+$B$11+SUM(_xlfn.XLOOKUP(S204:AG204,增益!$A:$A,增益!$U:$U,0)))*IF(VLOOKUP($R204,武学奇术!$A:$ZZ,24,FALSE)=1,0,1)</f>
        <v>0.2285</v>
      </c>
      <c r="BL204" s="21" cm="1">
        <f t="array" ref="BL204">1+$B$13+VLOOKUP($R204,武学奇术!$A:$ZZ,18,FALSE)+SUM(_xlfn.XLOOKUP(S204:AG204,增益!$A:$A,增益!$R:$R,0))</f>
        <v>1.5</v>
      </c>
      <c r="BM204" s="21" cm="1">
        <f t="array" ref="BM204">IF(VLOOKUP($R204,武学奇术!$A:$ZZ,24,FALSE)=1,100%,MIN(40%,$B$10+VLOOKUP($R204,武学奇术!$A:$ZZ,19,FALSE)+SUM(_xlfn.XLOOKUP(S204:AG204,增益!$A:$A,增益!$S:$S,0)))+$B$12+SUM(_xlfn.XLOOKUP(S204:AG204,增益!$A:$A,增益!$V:$V,0)))*IF(VLOOKUP($R204,武学奇术!$A:$ZZ,23,FALSE)=1,0,1)</f>
        <v>0.4495</v>
      </c>
      <c r="BN204" s="21" cm="1">
        <f t="array" ref="BN204">1+$B$14+VLOOKUP($R204,武学奇术!$A:$ZZ,20,FALSE)+SUM(_xlfn.XLOOKUP(S204:AG204,增益!$A:$A,增益!$T:$T,0))</f>
        <v>1.722</v>
      </c>
      <c r="BO204" s="21">
        <f t="shared" si="42"/>
        <v>0.18803265</v>
      </c>
      <c r="BP204" s="21">
        <f t="shared" si="43"/>
        <v>0.2649738</v>
      </c>
      <c r="BQ204" s="21">
        <f>IF(VLOOKUP($R204,武学奇术!$A:$ZZ,22,FALSE)=1,0,(1-$BJ204))*(1-$BM204)</f>
        <v>0.09749355</v>
      </c>
      <c r="BR204" s="21" cm="1">
        <f t="array" ref="BR204">SUM(_xlfn.XLOOKUP(S204:AG204,增益!$A:$A,增益!$W:$W,0))+$I$5</f>
        <v>0.06</v>
      </c>
    </row>
    <row r="205" spans="11:70">
      <c r="K205" s="24">
        <f>$L205*VLOOKUP($R205,武学奇术!$A:$ZZ,31,FALSE)</f>
        <v>10557.2205408297</v>
      </c>
      <c r="L205" s="24">
        <f t="shared" si="33"/>
        <v>17595.3675680495</v>
      </c>
      <c r="M205" s="24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BL205*$Q205*(1+IF(VLOOKUP($R205,武学奇术!$A:$ZZ,30,FALSE)="流血",$B$21,0))*(1+$BR205)</f>
        <v>14684.4644337396</v>
      </c>
      <c r="N205" s="24">
        <f>(($AP205*$AI205+$AJ205)*(1+$AQ205)*(1+$AR205)+($AU205*IF($G$1="鸣金",$AK205,$AI205)+IF($G$1="鸣金",$AL205*1.5,0))*(1+$AV205)*(1+$AW205)+($AY205*IF($G$1="裂石",$AK205,$AI205)+IF($G$1="裂石",$AL205*1.5,0))*(1+$AZ205)*(1+$BA205)+($BC205*IF($G$1="牵丝",$AK205,$AI205)+IF($G$1="牵丝",$AL205*1.5,0))*(1+$BD205)*(1+$BE205)+($BG205*IF($G$1="破竹",$AK205,$AI205)+IF($G$1="破竹",$AL205*1.5,0))*(1+$BH205)*(1+$BI205))*(1+$AM205)*$BN205*$Q205*(1+IF(VLOOKUP($R205,武学奇术!$A:$ZZ,30,FALSE)="流血",$B$21,0))*(1+$BR205)</f>
        <v>26274.3692887564</v>
      </c>
      <c r="O205" s="24">
        <f>((($AO205+$AP205)/2*$AI205+$AJ205)*(1+$AQ205)*(1+$AR205)+(($AT205+$AU205)/2*IF($G$1="鸣金",$AK205,$AI205)+IF($G$1="鸣金",$AL205*1.5,0))*(1+$AV205)*(1+$AW205)+(($AX205+$AY205)/2*IF($G$1="裂石",$AK205,$AI205)+IF($G$1="裂石",$AL205*1.5,0))*(1+$AZ205)*(1+$BA205)+(($BB205+$BC205)/2*IF($G$1="牵丝",$AK205,$AI205)+IF($G$1="牵丝",$AL205*1.5,0))*(1+$BD205)*(1+$BE205)+(($BF205+$BG205)/2*IF($G$1="破竹",$AK205,$AI205)+IF($G$1="破竹",$AL205*1.5,0))*(1+$BH205)*(1+$BI205))*(1+$AM205)*$Q205*(1+IF(VLOOKUP($R205,武学奇术!$A:$ZZ,30,FALSE)="流血",$B$21,0))*(1+$BR205)</f>
        <v>9789.6429558264</v>
      </c>
      <c r="P205" s="24">
        <f>((($AO205*$AI205+$AJ205)*(1+$AQ205)*(1+$AR205)+($AT205*IF($G$1="鸣金",$AK205,$AI205)+IF($G$1="鸣金",$AL205*1.5,0))*(1+$AV205)*(1+$AW205)+($AX205*IF($G$1="裂石",$AK205,$AI205)+IF($G$1="裂石",$AL205*1.5,0))*(1+$AZ205)*(1+$BA205)+($BB205*IF($G$1="牵丝",$AK205,$AI205)+IF($G$1="牵丝",$AL205*1.5,0))*(1+$BD205)*(1+$BE205)+($BF205*IF($G$1="破竹",$AK205,$AI205)+IF($G$1="破竹",$AL205*1.5,0))*(1+$BH205)*(1+$BI205))*(1+$AM205))*$Q205*(1+IF(VLOOKUP($R205,武学奇术!$A:$ZZ,30,FALSE)="流血",$B$21,0))*(1+$BR205)</f>
        <v>4409.32673800589</v>
      </c>
      <c r="Q205" s="31">
        <v>1</v>
      </c>
      <c r="R205" s="32" t="s">
        <v>199</v>
      </c>
      <c r="S205" s="32" t="s">
        <v>87</v>
      </c>
      <c r="T205" s="32" t="s">
        <v>96</v>
      </c>
      <c r="U205" s="32" t="s">
        <v>97</v>
      </c>
      <c r="V205" s="32" t="s">
        <v>73</v>
      </c>
      <c r="W205" s="32" t="s">
        <v>111</v>
      </c>
      <c r="X205" s="32" t="s">
        <v>127</v>
      </c>
      <c r="Y205" s="32" t="s">
        <v>73</v>
      </c>
      <c r="Z205" s="32" t="s">
        <v>73</v>
      </c>
      <c r="AA205" s="32" t="s">
        <v>81</v>
      </c>
      <c r="AB205" s="32" t="s">
        <v>75</v>
      </c>
      <c r="AC205" s="32" t="s">
        <v>76</v>
      </c>
      <c r="AD205" s="32" t="s">
        <v>82</v>
      </c>
      <c r="AE205" s="32" t="s">
        <v>90</v>
      </c>
      <c r="AF205" s="32" t="s">
        <v>73</v>
      </c>
      <c r="AG205" s="32" t="s">
        <v>144</v>
      </c>
      <c r="AH205" t="str">
        <f>VLOOKUP($R205,武学奇术!$A:$ZZ,25,FALSE)</f>
        <v>剑</v>
      </c>
      <c r="AI205" s="21">
        <f>VLOOKUP($R205,武学奇术!$A:$ZZ,26,FALSE)</f>
        <v>0.3465</v>
      </c>
      <c r="AJ205" s="22">
        <f>VLOOKUP($R205,武学奇术!$A:$ZZ,27,FALSE)*(1+IF(OR($AH205=$F$4,$AH205=$F$5),$B$22,0))</f>
        <v>0</v>
      </c>
      <c r="AK205" s="21">
        <f>VLOOKUP($R205,武学奇术!$A:$ZZ,28,FALSE)</f>
        <v>0.51975</v>
      </c>
      <c r="AL205" s="22">
        <f>VLOOKUP($R205,武学奇术!$A:$ZZ,29,FALSE)*(1+IF(OR($AH205=$F$4,$AH205=$F$5),$B$22,0))</f>
        <v>0</v>
      </c>
      <c r="AM205" s="21" cm="1">
        <f t="array" ref="AM205">$G$3+IFERROR(VLOOKUP($AH205,$F$4:$G$7,2,FALSE),0)+VLOOKUP($R205,武学奇术!$A:$ZZ,2,FALSE)+SUM(_xlfn.XLOOKUP($S205:$AG205,增益!$A:$A,增益!$B:$B,0))</f>
        <v>1.4791</v>
      </c>
      <c r="AN205" s="21" cm="1">
        <f t="array" ref="AN205">VLOOKUP($R205,武学奇术!$A:$ZZ,5,FALSE)+SUM(_xlfn.XLOOKUP($S205:$AG205,增益!$A:$A,增益!$E:$E,0))</f>
        <v>0</v>
      </c>
      <c r="AO205" cm="1">
        <f t="array" ref="AO205">$D$10*(1+$AN205)+VLOOKUP($R205,武学奇术!$A:$ZZ,3,FALSE)+SUM(_xlfn.XLOOKUP($S205:$AG205,增益!$A:$A,增益!$C:$C,0))-$I$2</f>
        <v>1825.28</v>
      </c>
      <c r="AP205" cm="1">
        <f t="array" ref="AP205">$E$10*(1+$AN205)+VLOOKUP($R205,武学奇术!$A:$ZZ,4,FALSE)+SUM(_xlfn.XLOOKUP($S205:$AG205,增益!$A:$A,增益!$D:$D,0))-$I$2</f>
        <v>7757.36</v>
      </c>
      <c r="AQ205" s="26" cm="1">
        <f t="array" ref="AQ205">IF($F$10-$I$3+VLOOKUP($R205,武学奇术!$A:$ZZ,6,FALSE)+SUM(_xlfn.XLOOKUP(S205:AG205,增益!$A:$A,增益!$F:$F,0))&gt;0,($F$10-$I$3+VLOOKUP($R205,武学奇术!$A:$ZZ,6,FALSE)+SUM(_xlfn.XLOOKUP(S205:AG205,增益!$A:$A,增益!$F:$F,0)))/200,($F$10-$I$3+VLOOKUP($R205,武学奇术!$A:$ZZ,6,FALSE)+SUM(_xlfn.XLOOKUP(S205:AG205,增益!$A:$A,增益!$F:$F,0)))/100)</f>
        <v>0.319</v>
      </c>
      <c r="AR205" s="26" cm="1">
        <f t="array" ref="AR205">$G$10+VLOOKUP($R205,武学奇术!$A:$ZZ,7,FALSE)+SUM(_xlfn.XLOOKUP(S205:AG205,增益!$A:$A,增益!$G:$G,0))</f>
        <v>0</v>
      </c>
      <c r="AS205" s="21" cm="1">
        <f t="array" ref="AS205">VLOOKUP($R205,武学奇术!$A:$ZZ,8,FALSE)+SUM(_xlfn.XLOOKUP(S205:AG205,增益!$A:$A,增益!$H:$H,0))</f>
        <v>0</v>
      </c>
      <c r="AT205">
        <f t="shared" si="34"/>
        <v>680.02</v>
      </c>
      <c r="AU205">
        <f t="shared" si="35"/>
        <v>1288.54</v>
      </c>
      <c r="AV205" s="26" cm="1">
        <f t="array" ref="AV205">IF($F$11-$I$4+VLOOKUP($R205,武学奇术!$A:$ZZ,9,FALSE)+SUM(_xlfn.XLOOKUP(S205:AG205,增益!$A:$A,增益!$I:$I,0))&gt;0,($F$11-$I$4+VLOOKUP($R205,武学奇术!$A:$ZZ,9,FALSE)+SUM(_xlfn.XLOOKUP(S205:AG205,增益!$A:$A,增益!$I:$I,0)))/200,($F$11-$I$4+VLOOKUP($R205,武学奇术!$A:$ZZ,9,FALSE)+SUM(_xlfn.XLOOKUP(S205:AG205,增益!$A:$A,增益!$I:$I,0)))/100)</f>
        <v>0.075</v>
      </c>
      <c r="AW205" s="26" cm="1">
        <f t="array" ref="AW205">$G$11+VLOOKUP($R205,武学奇术!$A:$ZZ,10,FALSE)+SUM(_xlfn.XLOOKUP(S205:AG205,增益!$A:$A,增益!$J:$J,0))</f>
        <v>0.15</v>
      </c>
      <c r="AX205">
        <f t="shared" si="36"/>
        <v>0</v>
      </c>
      <c r="AY205">
        <f t="shared" si="37"/>
        <v>0</v>
      </c>
      <c r="AZ205" s="26" cm="1">
        <f t="array" ref="AZ205">IF($F$12-$I$4+VLOOKUP($R205,武学奇术!$A:$ZZ,11,FALSE)+SUM(_xlfn.XLOOKUP(S205:AG205,增益!$A:$A,增益!$K:$K,0))&gt;0,($F$12-$I$4+VLOOKUP($R205,武学奇术!$A:$ZZ,11,FALSE)+SUM(_xlfn.XLOOKUP(S205:AG205,增益!$A:$A,增益!$K:$K,0)))/200,($F$12-$I$4+VLOOKUP($R205,武学奇术!$A:$ZZ,11,FALSE)+SUM(_xlfn.XLOOKUP(S205:AG205,增益!$A:$A,增益!$K:$K,0)))/100)</f>
        <v>-0.3</v>
      </c>
      <c r="BA205" s="26" cm="1">
        <f t="array" ref="BA205">$G$12+VLOOKUP($R205,武学奇术!$A:$ZZ,12,FALSE)+SUM(_xlfn.XLOOKUP(S205:AG205,增益!$A:$A,增益!$L:$L,0))</f>
        <v>0</v>
      </c>
      <c r="BB205">
        <f t="shared" si="38"/>
        <v>0</v>
      </c>
      <c r="BC205">
        <f t="shared" si="39"/>
        <v>0</v>
      </c>
      <c r="BD205" s="26" cm="1">
        <f t="array" ref="BD205">IF($F$13-$I$4+VLOOKUP($R205,武学奇术!$A:$ZZ,13,FALSE)+SUM(_xlfn.XLOOKUP(S205:AG205,增益!$A:$A,增益!$M:$M,0))&gt;0,($F$13-$I$4+VLOOKUP($R205,武学奇术!$A:$ZZ,13,FALSE)+SUM(_xlfn.XLOOKUP(S205:AG205,增益!$A:$A,增益!$K:$K,0)))/200,($F$13-$I$4+VLOOKUP($R205,武学奇术!$A:$ZZ,13,FALSE)+SUM(_xlfn.XLOOKUP(S205:AG205,增益!$A:$A,增益!$M:$M,0)))/100)</f>
        <v>-0.3</v>
      </c>
      <c r="BE205" s="26" cm="1">
        <f t="array" ref="BE205">$G$13+VLOOKUP($R205,武学奇术!$A:$ZZ,14,FALSE)+SUM(_xlfn.XLOOKUP(S205:AG205,增益!$A:$A,增益!$N:$N,0))</f>
        <v>0</v>
      </c>
      <c r="BF205">
        <f t="shared" si="40"/>
        <v>0</v>
      </c>
      <c r="BG205">
        <f t="shared" si="41"/>
        <v>0</v>
      </c>
      <c r="BH205" s="26" cm="1">
        <f t="array" ref="BH205">IF($F$14-$I$4+VLOOKUP($R205,武学奇术!$A:$ZZ,15,FALSE)+SUM(_xlfn.XLOOKUP(S205:AG205,增益!$A:$A,增益!$O:$O,0))&gt;0,($F$14-$I$4+VLOOKUP($R205,武学奇术!$A:$ZZ,15,FALSE)+SUM(_xlfn.XLOOKUP(S205:AG205,增益!$A:$A,增益!$O:$O,0)))/200,($F$14-$I$4+VLOOKUP($R205,武学奇术!$A:$ZZ,15,FALSE)+SUM(_xlfn.XLOOKUP(S205:AG205,增益!$A:$A,增益!$O:$O,0)))/100)</f>
        <v>-0.3</v>
      </c>
      <c r="BI205" s="26" cm="1">
        <f t="array" ref="BI205">$G$14+VLOOKUP($R205,武学奇术!$A:$ZZ,16,FALSE)+SUM(_xlfn.XLOOKUP(S205:AG205,增益!$A:$A,增益!$P:$P,0))</f>
        <v>0</v>
      </c>
      <c r="BJ205" s="21">
        <f>MIN(IF(VLOOKUP($R205,武学奇术!$A:$ZZ,23,FALSE)=1,100%,$B$8),100%)</f>
        <v>0.8229</v>
      </c>
      <c r="BK205" s="21" cm="1">
        <f t="array" ref="BK205">IF(VLOOKUP($R205,武学奇术!$A:$ZZ,23,FALSE)=1,100%,MIN(80%,$B$9+VLOOKUP($R205,武学奇术!$A:$ZZ,17,FALSE)+SUM(_xlfn.XLOOKUP(S205:AG205,增益!$A:$A,增益!$Q:$Q,0)))+$B$11+SUM(_xlfn.XLOOKUP(S205:AG205,增益!$A:$A,增益!$U:$U,0)))*IF(VLOOKUP($R205,武学奇术!$A:$ZZ,24,FALSE)=1,0,1)</f>
        <v>0.2285</v>
      </c>
      <c r="BL205" s="21" cm="1">
        <f t="array" ref="BL205">1+$B$13+VLOOKUP($R205,武学奇术!$A:$ZZ,18,FALSE)+SUM(_xlfn.XLOOKUP(S205:AG205,增益!$A:$A,增益!$R:$R,0))</f>
        <v>1.5</v>
      </c>
      <c r="BM205" s="21" cm="1">
        <f t="array" ref="BM205">IF(VLOOKUP($R205,武学奇术!$A:$ZZ,24,FALSE)=1,100%,MIN(40%,$B$10+VLOOKUP($R205,武学奇术!$A:$ZZ,19,FALSE)+SUM(_xlfn.XLOOKUP(S205:AG205,增益!$A:$A,增益!$S:$S,0)))+$B$12+SUM(_xlfn.XLOOKUP(S205:AG205,增益!$A:$A,增益!$V:$V,0)))*IF(VLOOKUP($R205,武学奇术!$A:$ZZ,23,FALSE)=1,0,1)</f>
        <v>0.4495</v>
      </c>
      <c r="BN205" s="21" cm="1">
        <f t="array" ref="BN205">1+$B$14+VLOOKUP($R205,武学奇术!$A:$ZZ,20,FALSE)+SUM(_xlfn.XLOOKUP(S205:AG205,增益!$A:$A,增益!$T:$T,0))</f>
        <v>1.732</v>
      </c>
      <c r="BO205" s="21">
        <f t="shared" si="42"/>
        <v>0.18803265</v>
      </c>
      <c r="BP205" s="21">
        <f t="shared" si="43"/>
        <v>0.2649738</v>
      </c>
      <c r="BQ205" s="21">
        <f>IF(VLOOKUP($R205,武学奇术!$A:$ZZ,22,FALSE)=1,0,(1-$BJ205))*(1-$BM205)</f>
        <v>0.09749355</v>
      </c>
      <c r="BR205" s="21" cm="1">
        <f t="array" ref="BR205">SUM(_xlfn.XLOOKUP(S205:AG205,增益!$A:$A,增益!$W:$W,0))+$I$5</f>
        <v>0.06</v>
      </c>
    </row>
    <row r="206" spans="11:70">
      <c r="K206" s="24">
        <f>$L206*VLOOKUP($R206,武学奇术!$A:$ZZ,31,FALSE)</f>
        <v>10557.2205408297</v>
      </c>
      <c r="L206" s="24">
        <f t="shared" si="33"/>
        <v>17595.3675680495</v>
      </c>
      <c r="M206" s="24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BL206*$Q206*(1+IF(VLOOKUP($R206,武学奇术!$A:$ZZ,30,FALSE)="流血",$B$21,0))*(1+$BR206)</f>
        <v>14684.4644337396</v>
      </c>
      <c r="N206" s="24">
        <f>(($AP206*$AI206+$AJ206)*(1+$AQ206)*(1+$AR206)+($AU206*IF($G$1="鸣金",$AK206,$AI206)+IF($G$1="鸣金",$AL206*1.5,0))*(1+$AV206)*(1+$AW206)+($AY206*IF($G$1="裂石",$AK206,$AI206)+IF($G$1="裂石",$AL206*1.5,0))*(1+$AZ206)*(1+$BA206)+($BC206*IF($G$1="牵丝",$AK206,$AI206)+IF($G$1="牵丝",$AL206*1.5,0))*(1+$BD206)*(1+$BE206)+($BG206*IF($G$1="破竹",$AK206,$AI206)+IF($G$1="破竹",$AL206*1.5,0))*(1+$BH206)*(1+$BI206))*(1+$AM206)*$BN206*$Q206*(1+IF(VLOOKUP($R206,武学奇术!$A:$ZZ,30,FALSE)="流血",$B$21,0))*(1+$BR206)</f>
        <v>26274.3692887564</v>
      </c>
      <c r="O206" s="24">
        <f>((($AO206+$AP206)/2*$AI206+$AJ206)*(1+$AQ206)*(1+$AR206)+(($AT206+$AU206)/2*IF($G$1="鸣金",$AK206,$AI206)+IF($G$1="鸣金",$AL206*1.5,0))*(1+$AV206)*(1+$AW206)+(($AX206+$AY206)/2*IF($G$1="裂石",$AK206,$AI206)+IF($G$1="裂石",$AL206*1.5,0))*(1+$AZ206)*(1+$BA206)+(($BB206+$BC206)/2*IF($G$1="牵丝",$AK206,$AI206)+IF($G$1="牵丝",$AL206*1.5,0))*(1+$BD206)*(1+$BE206)+(($BF206+$BG206)/2*IF($G$1="破竹",$AK206,$AI206)+IF($G$1="破竹",$AL206*1.5,0))*(1+$BH206)*(1+$BI206))*(1+$AM206)*$Q206*(1+IF(VLOOKUP($R206,武学奇术!$A:$ZZ,30,FALSE)="流血",$B$21,0))*(1+$BR206)</f>
        <v>9789.6429558264</v>
      </c>
      <c r="P206" s="24">
        <f>((($AO206*$AI206+$AJ206)*(1+$AQ206)*(1+$AR206)+($AT206*IF($G$1="鸣金",$AK206,$AI206)+IF($G$1="鸣金",$AL206*1.5,0))*(1+$AV206)*(1+$AW206)+($AX206*IF($G$1="裂石",$AK206,$AI206)+IF($G$1="裂石",$AL206*1.5,0))*(1+$AZ206)*(1+$BA206)+($BB206*IF($G$1="牵丝",$AK206,$AI206)+IF($G$1="牵丝",$AL206*1.5,0))*(1+$BD206)*(1+$BE206)+($BF206*IF($G$1="破竹",$AK206,$AI206)+IF($G$1="破竹",$AL206*1.5,0))*(1+$BH206)*(1+$BI206))*(1+$AM206))*$Q206*(1+IF(VLOOKUP($R206,武学奇术!$A:$ZZ,30,FALSE)="流血",$B$21,0))*(1+$BR206)</f>
        <v>4409.32673800589</v>
      </c>
      <c r="Q206" s="31">
        <v>1</v>
      </c>
      <c r="R206" s="32" t="s">
        <v>199</v>
      </c>
      <c r="S206" s="32" t="s">
        <v>87</v>
      </c>
      <c r="T206" s="32" t="s">
        <v>96</v>
      </c>
      <c r="U206" s="32" t="s">
        <v>97</v>
      </c>
      <c r="V206" s="32" t="s">
        <v>73</v>
      </c>
      <c r="W206" s="32" t="s">
        <v>111</v>
      </c>
      <c r="X206" s="32" t="s">
        <v>127</v>
      </c>
      <c r="Y206" s="32" t="s">
        <v>73</v>
      </c>
      <c r="Z206" s="32" t="s">
        <v>73</v>
      </c>
      <c r="AA206" s="32" t="s">
        <v>81</v>
      </c>
      <c r="AB206" s="32" t="s">
        <v>75</v>
      </c>
      <c r="AC206" s="32" t="s">
        <v>76</v>
      </c>
      <c r="AD206" s="32" t="s">
        <v>82</v>
      </c>
      <c r="AE206" s="32" t="s">
        <v>90</v>
      </c>
      <c r="AF206" s="32" t="s">
        <v>73</v>
      </c>
      <c r="AG206" s="32" t="s">
        <v>144</v>
      </c>
      <c r="AH206" t="str">
        <f>VLOOKUP($R206,武学奇术!$A:$ZZ,25,FALSE)</f>
        <v>剑</v>
      </c>
      <c r="AI206" s="21">
        <f>VLOOKUP($R206,武学奇术!$A:$ZZ,26,FALSE)</f>
        <v>0.3465</v>
      </c>
      <c r="AJ206" s="22">
        <f>VLOOKUP($R206,武学奇术!$A:$ZZ,27,FALSE)*(1+IF(OR($AH206=$F$4,$AH206=$F$5),$B$22,0))</f>
        <v>0</v>
      </c>
      <c r="AK206" s="21">
        <f>VLOOKUP($R206,武学奇术!$A:$ZZ,28,FALSE)</f>
        <v>0.51975</v>
      </c>
      <c r="AL206" s="22">
        <f>VLOOKUP($R206,武学奇术!$A:$ZZ,29,FALSE)*(1+IF(OR($AH206=$F$4,$AH206=$F$5),$B$22,0))</f>
        <v>0</v>
      </c>
      <c r="AM206" s="21" cm="1">
        <f t="array" ref="AM206">$G$3+IFERROR(VLOOKUP($AH206,$F$4:$G$7,2,FALSE),0)+VLOOKUP($R206,武学奇术!$A:$ZZ,2,FALSE)+SUM(_xlfn.XLOOKUP($S206:$AG206,增益!$A:$A,增益!$B:$B,0))</f>
        <v>1.4791</v>
      </c>
      <c r="AN206" s="21" cm="1">
        <f t="array" ref="AN206">VLOOKUP($R206,武学奇术!$A:$ZZ,5,FALSE)+SUM(_xlfn.XLOOKUP($S206:$AG206,增益!$A:$A,增益!$E:$E,0))</f>
        <v>0</v>
      </c>
      <c r="AO206" cm="1">
        <f t="array" ref="AO206">$D$10*(1+$AN206)+VLOOKUP($R206,武学奇术!$A:$ZZ,3,FALSE)+SUM(_xlfn.XLOOKUP($S206:$AG206,增益!$A:$A,增益!$C:$C,0))-$I$2</f>
        <v>1825.28</v>
      </c>
      <c r="AP206" cm="1">
        <f t="array" ref="AP206">$E$10*(1+$AN206)+VLOOKUP($R206,武学奇术!$A:$ZZ,4,FALSE)+SUM(_xlfn.XLOOKUP($S206:$AG206,增益!$A:$A,增益!$D:$D,0))-$I$2</f>
        <v>7757.36</v>
      </c>
      <c r="AQ206" s="26" cm="1">
        <f t="array" ref="AQ206">IF($F$10-$I$3+VLOOKUP($R206,武学奇术!$A:$ZZ,6,FALSE)+SUM(_xlfn.XLOOKUP(S206:AG206,增益!$A:$A,增益!$F:$F,0))&gt;0,($F$10-$I$3+VLOOKUP($R206,武学奇术!$A:$ZZ,6,FALSE)+SUM(_xlfn.XLOOKUP(S206:AG206,增益!$A:$A,增益!$F:$F,0)))/200,($F$10-$I$3+VLOOKUP($R206,武学奇术!$A:$ZZ,6,FALSE)+SUM(_xlfn.XLOOKUP(S206:AG206,增益!$A:$A,增益!$F:$F,0)))/100)</f>
        <v>0.319</v>
      </c>
      <c r="AR206" s="26" cm="1">
        <f t="array" ref="AR206">$G$10+VLOOKUP($R206,武学奇术!$A:$ZZ,7,FALSE)+SUM(_xlfn.XLOOKUP(S206:AG206,增益!$A:$A,增益!$G:$G,0))</f>
        <v>0</v>
      </c>
      <c r="AS206" s="21" cm="1">
        <f t="array" ref="AS206">VLOOKUP($R206,武学奇术!$A:$ZZ,8,FALSE)+SUM(_xlfn.XLOOKUP(S206:AG206,增益!$A:$A,增益!$H:$H,0))</f>
        <v>0</v>
      </c>
      <c r="AT206">
        <f t="shared" si="34"/>
        <v>680.02</v>
      </c>
      <c r="AU206">
        <f t="shared" si="35"/>
        <v>1288.54</v>
      </c>
      <c r="AV206" s="26" cm="1">
        <f t="array" ref="AV206">IF($F$11-$I$4+VLOOKUP($R206,武学奇术!$A:$ZZ,9,FALSE)+SUM(_xlfn.XLOOKUP(S206:AG206,增益!$A:$A,增益!$I:$I,0))&gt;0,($F$11-$I$4+VLOOKUP($R206,武学奇术!$A:$ZZ,9,FALSE)+SUM(_xlfn.XLOOKUP(S206:AG206,增益!$A:$A,增益!$I:$I,0)))/200,($F$11-$I$4+VLOOKUP($R206,武学奇术!$A:$ZZ,9,FALSE)+SUM(_xlfn.XLOOKUP(S206:AG206,增益!$A:$A,增益!$I:$I,0)))/100)</f>
        <v>0.075</v>
      </c>
      <c r="AW206" s="26" cm="1">
        <f t="array" ref="AW206">$G$11+VLOOKUP($R206,武学奇术!$A:$ZZ,10,FALSE)+SUM(_xlfn.XLOOKUP(S206:AG206,增益!$A:$A,增益!$J:$J,0))</f>
        <v>0.15</v>
      </c>
      <c r="AX206">
        <f t="shared" si="36"/>
        <v>0</v>
      </c>
      <c r="AY206">
        <f t="shared" si="37"/>
        <v>0</v>
      </c>
      <c r="AZ206" s="26" cm="1">
        <f t="array" ref="AZ206">IF($F$12-$I$4+VLOOKUP($R206,武学奇术!$A:$ZZ,11,FALSE)+SUM(_xlfn.XLOOKUP(S206:AG206,增益!$A:$A,增益!$K:$K,0))&gt;0,($F$12-$I$4+VLOOKUP($R206,武学奇术!$A:$ZZ,11,FALSE)+SUM(_xlfn.XLOOKUP(S206:AG206,增益!$A:$A,增益!$K:$K,0)))/200,($F$12-$I$4+VLOOKUP($R206,武学奇术!$A:$ZZ,11,FALSE)+SUM(_xlfn.XLOOKUP(S206:AG206,增益!$A:$A,增益!$K:$K,0)))/100)</f>
        <v>-0.3</v>
      </c>
      <c r="BA206" s="26" cm="1">
        <f t="array" ref="BA206">$G$12+VLOOKUP($R206,武学奇术!$A:$ZZ,12,FALSE)+SUM(_xlfn.XLOOKUP(S206:AG206,增益!$A:$A,增益!$L:$L,0))</f>
        <v>0</v>
      </c>
      <c r="BB206">
        <f t="shared" si="38"/>
        <v>0</v>
      </c>
      <c r="BC206">
        <f t="shared" si="39"/>
        <v>0</v>
      </c>
      <c r="BD206" s="26" cm="1">
        <f t="array" ref="BD206">IF($F$13-$I$4+VLOOKUP($R206,武学奇术!$A:$ZZ,13,FALSE)+SUM(_xlfn.XLOOKUP(S206:AG206,增益!$A:$A,增益!$M:$M,0))&gt;0,($F$13-$I$4+VLOOKUP($R206,武学奇术!$A:$ZZ,13,FALSE)+SUM(_xlfn.XLOOKUP(S206:AG206,增益!$A:$A,增益!$K:$K,0)))/200,($F$13-$I$4+VLOOKUP($R206,武学奇术!$A:$ZZ,13,FALSE)+SUM(_xlfn.XLOOKUP(S206:AG206,增益!$A:$A,增益!$M:$M,0)))/100)</f>
        <v>-0.3</v>
      </c>
      <c r="BE206" s="26" cm="1">
        <f t="array" ref="BE206">$G$13+VLOOKUP($R206,武学奇术!$A:$ZZ,14,FALSE)+SUM(_xlfn.XLOOKUP(S206:AG206,增益!$A:$A,增益!$N:$N,0))</f>
        <v>0</v>
      </c>
      <c r="BF206">
        <f t="shared" si="40"/>
        <v>0</v>
      </c>
      <c r="BG206">
        <f t="shared" si="41"/>
        <v>0</v>
      </c>
      <c r="BH206" s="26" cm="1">
        <f t="array" ref="BH206">IF($F$14-$I$4+VLOOKUP($R206,武学奇术!$A:$ZZ,15,FALSE)+SUM(_xlfn.XLOOKUP(S206:AG206,增益!$A:$A,增益!$O:$O,0))&gt;0,($F$14-$I$4+VLOOKUP($R206,武学奇术!$A:$ZZ,15,FALSE)+SUM(_xlfn.XLOOKUP(S206:AG206,增益!$A:$A,增益!$O:$O,0)))/200,($F$14-$I$4+VLOOKUP($R206,武学奇术!$A:$ZZ,15,FALSE)+SUM(_xlfn.XLOOKUP(S206:AG206,增益!$A:$A,增益!$O:$O,0)))/100)</f>
        <v>-0.3</v>
      </c>
      <c r="BI206" s="26" cm="1">
        <f t="array" ref="BI206">$G$14+VLOOKUP($R206,武学奇术!$A:$ZZ,16,FALSE)+SUM(_xlfn.XLOOKUP(S206:AG206,增益!$A:$A,增益!$P:$P,0))</f>
        <v>0</v>
      </c>
      <c r="BJ206" s="21">
        <f>MIN(IF(VLOOKUP($R206,武学奇术!$A:$ZZ,23,FALSE)=1,100%,$B$8),100%)</f>
        <v>0.8229</v>
      </c>
      <c r="BK206" s="21" cm="1">
        <f t="array" ref="BK206">IF(VLOOKUP($R206,武学奇术!$A:$ZZ,23,FALSE)=1,100%,MIN(80%,$B$9+VLOOKUP($R206,武学奇术!$A:$ZZ,17,FALSE)+SUM(_xlfn.XLOOKUP(S206:AG206,增益!$A:$A,增益!$Q:$Q,0)))+$B$11+SUM(_xlfn.XLOOKUP(S206:AG206,增益!$A:$A,增益!$U:$U,0)))*IF(VLOOKUP($R206,武学奇术!$A:$ZZ,24,FALSE)=1,0,1)</f>
        <v>0.2285</v>
      </c>
      <c r="BL206" s="21" cm="1">
        <f t="array" ref="BL206">1+$B$13+VLOOKUP($R206,武学奇术!$A:$ZZ,18,FALSE)+SUM(_xlfn.XLOOKUP(S206:AG206,增益!$A:$A,增益!$R:$R,0))</f>
        <v>1.5</v>
      </c>
      <c r="BM206" s="21" cm="1">
        <f t="array" ref="BM206">IF(VLOOKUP($R206,武学奇术!$A:$ZZ,24,FALSE)=1,100%,MIN(40%,$B$10+VLOOKUP($R206,武学奇术!$A:$ZZ,19,FALSE)+SUM(_xlfn.XLOOKUP(S206:AG206,增益!$A:$A,增益!$S:$S,0)))+$B$12+SUM(_xlfn.XLOOKUP(S206:AG206,增益!$A:$A,增益!$V:$V,0)))*IF(VLOOKUP($R206,武学奇术!$A:$ZZ,23,FALSE)=1,0,1)</f>
        <v>0.4495</v>
      </c>
      <c r="BN206" s="21" cm="1">
        <f t="array" ref="BN206">1+$B$14+VLOOKUP($R206,武学奇术!$A:$ZZ,20,FALSE)+SUM(_xlfn.XLOOKUP(S206:AG206,增益!$A:$A,增益!$T:$T,0))</f>
        <v>1.732</v>
      </c>
      <c r="BO206" s="21">
        <f t="shared" si="42"/>
        <v>0.18803265</v>
      </c>
      <c r="BP206" s="21">
        <f t="shared" si="43"/>
        <v>0.2649738</v>
      </c>
      <c r="BQ206" s="21">
        <f>IF(VLOOKUP($R206,武学奇术!$A:$ZZ,22,FALSE)=1,0,(1-$BJ206))*(1-$BM206)</f>
        <v>0.09749355</v>
      </c>
      <c r="BR206" s="21" cm="1">
        <f t="array" ref="BR206">SUM(_xlfn.XLOOKUP(S206:AG206,增益!$A:$A,增益!$W:$W,0))+$I$5</f>
        <v>0.06</v>
      </c>
    </row>
    <row r="207" spans="11:70">
      <c r="K207" s="24">
        <f>$L207*VLOOKUP($R207,武学奇术!$A:$ZZ,31,FALSE)</f>
        <v>10557.2205408297</v>
      </c>
      <c r="L207" s="24">
        <f t="shared" si="33"/>
        <v>17595.3675680495</v>
      </c>
      <c r="M207" s="24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BL207*$Q207*(1+IF(VLOOKUP($R207,武学奇术!$A:$ZZ,30,FALSE)="流血",$B$21,0))*(1+$BR207)</f>
        <v>14684.4644337396</v>
      </c>
      <c r="N207" s="24">
        <f>(($AP207*$AI207+$AJ207)*(1+$AQ207)*(1+$AR207)+($AU207*IF($G$1="鸣金",$AK207,$AI207)+IF($G$1="鸣金",$AL207*1.5,0))*(1+$AV207)*(1+$AW207)+($AY207*IF($G$1="裂石",$AK207,$AI207)+IF($G$1="裂石",$AL207*1.5,0))*(1+$AZ207)*(1+$BA207)+($BC207*IF($G$1="牵丝",$AK207,$AI207)+IF($G$1="牵丝",$AL207*1.5,0))*(1+$BD207)*(1+$BE207)+($BG207*IF($G$1="破竹",$AK207,$AI207)+IF($G$1="破竹",$AL207*1.5,0))*(1+$BH207)*(1+$BI207))*(1+$AM207)*$BN207*$Q207*(1+IF(VLOOKUP($R207,武学奇术!$A:$ZZ,30,FALSE)="流血",$B$21,0))*(1+$BR207)</f>
        <v>26274.3692887564</v>
      </c>
      <c r="O207" s="24">
        <f>((($AO207+$AP207)/2*$AI207+$AJ207)*(1+$AQ207)*(1+$AR207)+(($AT207+$AU207)/2*IF($G$1="鸣金",$AK207,$AI207)+IF($G$1="鸣金",$AL207*1.5,0))*(1+$AV207)*(1+$AW207)+(($AX207+$AY207)/2*IF($G$1="裂石",$AK207,$AI207)+IF($G$1="裂石",$AL207*1.5,0))*(1+$AZ207)*(1+$BA207)+(($BB207+$BC207)/2*IF($G$1="牵丝",$AK207,$AI207)+IF($G$1="牵丝",$AL207*1.5,0))*(1+$BD207)*(1+$BE207)+(($BF207+$BG207)/2*IF($G$1="破竹",$AK207,$AI207)+IF($G$1="破竹",$AL207*1.5,0))*(1+$BH207)*(1+$BI207))*(1+$AM207)*$Q207*(1+IF(VLOOKUP($R207,武学奇术!$A:$ZZ,30,FALSE)="流血",$B$21,0))*(1+$BR207)</f>
        <v>9789.6429558264</v>
      </c>
      <c r="P207" s="24">
        <f>((($AO207*$AI207+$AJ207)*(1+$AQ207)*(1+$AR207)+($AT207*IF($G$1="鸣金",$AK207,$AI207)+IF($G$1="鸣金",$AL207*1.5,0))*(1+$AV207)*(1+$AW207)+($AX207*IF($G$1="裂石",$AK207,$AI207)+IF($G$1="裂石",$AL207*1.5,0))*(1+$AZ207)*(1+$BA207)+($BB207*IF($G$1="牵丝",$AK207,$AI207)+IF($G$1="牵丝",$AL207*1.5,0))*(1+$BD207)*(1+$BE207)+($BF207*IF($G$1="破竹",$AK207,$AI207)+IF($G$1="破竹",$AL207*1.5,0))*(1+$BH207)*(1+$BI207))*(1+$AM207))*$Q207*(1+IF(VLOOKUP($R207,武学奇术!$A:$ZZ,30,FALSE)="流血",$B$21,0))*(1+$BR207)</f>
        <v>4409.32673800589</v>
      </c>
      <c r="Q207" s="31">
        <v>1</v>
      </c>
      <c r="R207" s="32" t="s">
        <v>199</v>
      </c>
      <c r="S207" s="32" t="s">
        <v>87</v>
      </c>
      <c r="T207" s="32" t="s">
        <v>96</v>
      </c>
      <c r="U207" s="32" t="s">
        <v>97</v>
      </c>
      <c r="V207" s="32" t="s">
        <v>73</v>
      </c>
      <c r="W207" s="32" t="s">
        <v>111</v>
      </c>
      <c r="X207" s="32" t="s">
        <v>127</v>
      </c>
      <c r="Y207" s="32" t="s">
        <v>73</v>
      </c>
      <c r="Z207" s="32" t="s">
        <v>73</v>
      </c>
      <c r="AA207" s="32" t="s">
        <v>81</v>
      </c>
      <c r="AB207" s="32" t="s">
        <v>75</v>
      </c>
      <c r="AC207" s="32" t="s">
        <v>76</v>
      </c>
      <c r="AD207" s="32" t="s">
        <v>82</v>
      </c>
      <c r="AE207" s="32" t="s">
        <v>90</v>
      </c>
      <c r="AF207" s="32" t="s">
        <v>73</v>
      </c>
      <c r="AG207" s="32" t="s">
        <v>144</v>
      </c>
      <c r="AH207" t="str">
        <f>VLOOKUP($R207,武学奇术!$A:$ZZ,25,FALSE)</f>
        <v>剑</v>
      </c>
      <c r="AI207" s="21">
        <f>VLOOKUP($R207,武学奇术!$A:$ZZ,26,FALSE)</f>
        <v>0.3465</v>
      </c>
      <c r="AJ207" s="22">
        <f>VLOOKUP($R207,武学奇术!$A:$ZZ,27,FALSE)*(1+IF(OR($AH207=$F$4,$AH207=$F$5),$B$22,0))</f>
        <v>0</v>
      </c>
      <c r="AK207" s="21">
        <f>VLOOKUP($R207,武学奇术!$A:$ZZ,28,FALSE)</f>
        <v>0.51975</v>
      </c>
      <c r="AL207" s="22">
        <f>VLOOKUP($R207,武学奇术!$A:$ZZ,29,FALSE)*(1+IF(OR($AH207=$F$4,$AH207=$F$5),$B$22,0))</f>
        <v>0</v>
      </c>
      <c r="AM207" s="21" cm="1">
        <f t="array" ref="AM207">$G$3+IFERROR(VLOOKUP($AH207,$F$4:$G$7,2,FALSE),0)+VLOOKUP($R207,武学奇术!$A:$ZZ,2,FALSE)+SUM(_xlfn.XLOOKUP($S207:$AG207,增益!$A:$A,增益!$B:$B,0))</f>
        <v>1.4791</v>
      </c>
      <c r="AN207" s="21" cm="1">
        <f t="array" ref="AN207">VLOOKUP($R207,武学奇术!$A:$ZZ,5,FALSE)+SUM(_xlfn.XLOOKUP($S207:$AG207,增益!$A:$A,增益!$E:$E,0))</f>
        <v>0</v>
      </c>
      <c r="AO207" cm="1">
        <f t="array" ref="AO207">$D$10*(1+$AN207)+VLOOKUP($R207,武学奇术!$A:$ZZ,3,FALSE)+SUM(_xlfn.XLOOKUP($S207:$AG207,增益!$A:$A,增益!$C:$C,0))-$I$2</f>
        <v>1825.28</v>
      </c>
      <c r="AP207" cm="1">
        <f t="array" ref="AP207">$E$10*(1+$AN207)+VLOOKUP($R207,武学奇术!$A:$ZZ,4,FALSE)+SUM(_xlfn.XLOOKUP($S207:$AG207,增益!$A:$A,增益!$D:$D,0))-$I$2</f>
        <v>7757.36</v>
      </c>
      <c r="AQ207" s="26" cm="1">
        <f t="array" ref="AQ207">IF($F$10-$I$3+VLOOKUP($R207,武学奇术!$A:$ZZ,6,FALSE)+SUM(_xlfn.XLOOKUP(S207:AG207,增益!$A:$A,增益!$F:$F,0))&gt;0,($F$10-$I$3+VLOOKUP($R207,武学奇术!$A:$ZZ,6,FALSE)+SUM(_xlfn.XLOOKUP(S207:AG207,增益!$A:$A,增益!$F:$F,0)))/200,($F$10-$I$3+VLOOKUP($R207,武学奇术!$A:$ZZ,6,FALSE)+SUM(_xlfn.XLOOKUP(S207:AG207,增益!$A:$A,增益!$F:$F,0)))/100)</f>
        <v>0.319</v>
      </c>
      <c r="AR207" s="26" cm="1">
        <f t="array" ref="AR207">$G$10+VLOOKUP($R207,武学奇术!$A:$ZZ,7,FALSE)+SUM(_xlfn.XLOOKUP(S207:AG207,增益!$A:$A,增益!$G:$G,0))</f>
        <v>0</v>
      </c>
      <c r="AS207" s="21" cm="1">
        <f t="array" ref="AS207">VLOOKUP($R207,武学奇术!$A:$ZZ,8,FALSE)+SUM(_xlfn.XLOOKUP(S207:AG207,增益!$A:$A,增益!$H:$H,0))</f>
        <v>0</v>
      </c>
      <c r="AT207">
        <f t="shared" si="34"/>
        <v>680.02</v>
      </c>
      <c r="AU207">
        <f t="shared" si="35"/>
        <v>1288.54</v>
      </c>
      <c r="AV207" s="26" cm="1">
        <f t="array" ref="AV207">IF($F$11-$I$4+VLOOKUP($R207,武学奇术!$A:$ZZ,9,FALSE)+SUM(_xlfn.XLOOKUP(S207:AG207,增益!$A:$A,增益!$I:$I,0))&gt;0,($F$11-$I$4+VLOOKUP($R207,武学奇术!$A:$ZZ,9,FALSE)+SUM(_xlfn.XLOOKUP(S207:AG207,增益!$A:$A,增益!$I:$I,0)))/200,($F$11-$I$4+VLOOKUP($R207,武学奇术!$A:$ZZ,9,FALSE)+SUM(_xlfn.XLOOKUP(S207:AG207,增益!$A:$A,增益!$I:$I,0)))/100)</f>
        <v>0.075</v>
      </c>
      <c r="AW207" s="26" cm="1">
        <f t="array" ref="AW207">$G$11+VLOOKUP($R207,武学奇术!$A:$ZZ,10,FALSE)+SUM(_xlfn.XLOOKUP(S207:AG207,增益!$A:$A,增益!$J:$J,0))</f>
        <v>0.15</v>
      </c>
      <c r="AX207">
        <f t="shared" si="36"/>
        <v>0</v>
      </c>
      <c r="AY207">
        <f t="shared" si="37"/>
        <v>0</v>
      </c>
      <c r="AZ207" s="26" cm="1">
        <f t="array" ref="AZ207">IF($F$12-$I$4+VLOOKUP($R207,武学奇术!$A:$ZZ,11,FALSE)+SUM(_xlfn.XLOOKUP(S207:AG207,增益!$A:$A,增益!$K:$K,0))&gt;0,($F$12-$I$4+VLOOKUP($R207,武学奇术!$A:$ZZ,11,FALSE)+SUM(_xlfn.XLOOKUP(S207:AG207,增益!$A:$A,增益!$K:$K,0)))/200,($F$12-$I$4+VLOOKUP($R207,武学奇术!$A:$ZZ,11,FALSE)+SUM(_xlfn.XLOOKUP(S207:AG207,增益!$A:$A,增益!$K:$K,0)))/100)</f>
        <v>-0.3</v>
      </c>
      <c r="BA207" s="26" cm="1">
        <f t="array" ref="BA207">$G$12+VLOOKUP($R207,武学奇术!$A:$ZZ,12,FALSE)+SUM(_xlfn.XLOOKUP(S207:AG207,增益!$A:$A,增益!$L:$L,0))</f>
        <v>0</v>
      </c>
      <c r="BB207">
        <f t="shared" si="38"/>
        <v>0</v>
      </c>
      <c r="BC207">
        <f t="shared" si="39"/>
        <v>0</v>
      </c>
      <c r="BD207" s="26" cm="1">
        <f t="array" ref="BD207">IF($F$13-$I$4+VLOOKUP($R207,武学奇术!$A:$ZZ,13,FALSE)+SUM(_xlfn.XLOOKUP(S207:AG207,增益!$A:$A,增益!$M:$M,0))&gt;0,($F$13-$I$4+VLOOKUP($R207,武学奇术!$A:$ZZ,13,FALSE)+SUM(_xlfn.XLOOKUP(S207:AG207,增益!$A:$A,增益!$K:$K,0)))/200,($F$13-$I$4+VLOOKUP($R207,武学奇术!$A:$ZZ,13,FALSE)+SUM(_xlfn.XLOOKUP(S207:AG207,增益!$A:$A,增益!$M:$M,0)))/100)</f>
        <v>-0.3</v>
      </c>
      <c r="BE207" s="26" cm="1">
        <f t="array" ref="BE207">$G$13+VLOOKUP($R207,武学奇术!$A:$ZZ,14,FALSE)+SUM(_xlfn.XLOOKUP(S207:AG207,增益!$A:$A,增益!$N:$N,0))</f>
        <v>0</v>
      </c>
      <c r="BF207">
        <f t="shared" si="40"/>
        <v>0</v>
      </c>
      <c r="BG207">
        <f t="shared" si="41"/>
        <v>0</v>
      </c>
      <c r="BH207" s="26" cm="1">
        <f t="array" ref="BH207">IF($F$14-$I$4+VLOOKUP($R207,武学奇术!$A:$ZZ,15,FALSE)+SUM(_xlfn.XLOOKUP(S207:AG207,增益!$A:$A,增益!$O:$O,0))&gt;0,($F$14-$I$4+VLOOKUP($R207,武学奇术!$A:$ZZ,15,FALSE)+SUM(_xlfn.XLOOKUP(S207:AG207,增益!$A:$A,增益!$O:$O,0)))/200,($F$14-$I$4+VLOOKUP($R207,武学奇术!$A:$ZZ,15,FALSE)+SUM(_xlfn.XLOOKUP(S207:AG207,增益!$A:$A,增益!$O:$O,0)))/100)</f>
        <v>-0.3</v>
      </c>
      <c r="BI207" s="26" cm="1">
        <f t="array" ref="BI207">$G$14+VLOOKUP($R207,武学奇术!$A:$ZZ,16,FALSE)+SUM(_xlfn.XLOOKUP(S207:AG207,增益!$A:$A,增益!$P:$P,0))</f>
        <v>0</v>
      </c>
      <c r="BJ207" s="21">
        <f>MIN(IF(VLOOKUP($R207,武学奇术!$A:$ZZ,23,FALSE)=1,100%,$B$8),100%)</f>
        <v>0.8229</v>
      </c>
      <c r="BK207" s="21" cm="1">
        <f t="array" ref="BK207">IF(VLOOKUP($R207,武学奇术!$A:$ZZ,23,FALSE)=1,100%,MIN(80%,$B$9+VLOOKUP($R207,武学奇术!$A:$ZZ,17,FALSE)+SUM(_xlfn.XLOOKUP(S207:AG207,增益!$A:$A,增益!$Q:$Q,0)))+$B$11+SUM(_xlfn.XLOOKUP(S207:AG207,增益!$A:$A,增益!$U:$U,0)))*IF(VLOOKUP($R207,武学奇术!$A:$ZZ,24,FALSE)=1,0,1)</f>
        <v>0.2285</v>
      </c>
      <c r="BL207" s="21" cm="1">
        <f t="array" ref="BL207">1+$B$13+VLOOKUP($R207,武学奇术!$A:$ZZ,18,FALSE)+SUM(_xlfn.XLOOKUP(S207:AG207,增益!$A:$A,增益!$R:$R,0))</f>
        <v>1.5</v>
      </c>
      <c r="BM207" s="21" cm="1">
        <f t="array" ref="BM207">IF(VLOOKUP($R207,武学奇术!$A:$ZZ,24,FALSE)=1,100%,MIN(40%,$B$10+VLOOKUP($R207,武学奇术!$A:$ZZ,19,FALSE)+SUM(_xlfn.XLOOKUP(S207:AG207,增益!$A:$A,增益!$S:$S,0)))+$B$12+SUM(_xlfn.XLOOKUP(S207:AG207,增益!$A:$A,增益!$V:$V,0)))*IF(VLOOKUP($R207,武学奇术!$A:$ZZ,23,FALSE)=1,0,1)</f>
        <v>0.4495</v>
      </c>
      <c r="BN207" s="21" cm="1">
        <f t="array" ref="BN207">1+$B$14+VLOOKUP($R207,武学奇术!$A:$ZZ,20,FALSE)+SUM(_xlfn.XLOOKUP(S207:AG207,增益!$A:$A,增益!$T:$T,0))</f>
        <v>1.732</v>
      </c>
      <c r="BO207" s="21">
        <f t="shared" si="42"/>
        <v>0.18803265</v>
      </c>
      <c r="BP207" s="21">
        <f t="shared" si="43"/>
        <v>0.2649738</v>
      </c>
      <c r="BQ207" s="21">
        <f>IF(VLOOKUP($R207,武学奇术!$A:$ZZ,22,FALSE)=1,0,(1-$BJ207))*(1-$BM207)</f>
        <v>0.09749355</v>
      </c>
      <c r="BR207" s="21" cm="1">
        <f t="array" ref="BR207">SUM(_xlfn.XLOOKUP(S207:AG207,增益!$A:$A,增益!$W:$W,0))+$I$5</f>
        <v>0.06</v>
      </c>
    </row>
    <row r="208" spans="11:70">
      <c r="K208" s="24">
        <f>$L208*VLOOKUP($R208,武学奇术!$A:$ZZ,31,FALSE)</f>
        <v>9534.11641457545</v>
      </c>
      <c r="L208" s="24">
        <f t="shared" si="33"/>
        <v>15890.1940242924</v>
      </c>
      <c r="M208" s="24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BL208*$Q208*(1+IF(VLOOKUP($R208,武学奇术!$A:$ZZ,30,FALSE)="流血",$B$21,0))*(1+$BR208)</f>
        <v>13196.289722626</v>
      </c>
      <c r="N208" s="24">
        <f>(($AP208*$AI208+$AJ208)*(1+$AQ208)*(1+$AR208)+($AU208*IF($G$1="鸣金",$AK208,$AI208)+IF($G$1="鸣金",$AL208*1.5,0))*(1+$AV208)*(1+$AW208)+($AY208*IF($G$1="裂石",$AK208,$AI208)+IF($G$1="裂石",$AL208*1.5,0))*(1+$AZ208)*(1+$BA208)+($BC208*IF($G$1="牵丝",$AK208,$AI208)+IF($G$1="牵丝",$AL208*1.5,0))*(1+$BD208)*(1+$BE208)+($BG208*IF($G$1="破竹",$AK208,$AI208)+IF($G$1="破竹",$AL208*1.5,0))*(1+$BH208)*(1+$BI208))*(1+$AM208)*$BN208*$Q208*(1+IF(VLOOKUP($R208,武学奇术!$A:$ZZ,30,FALSE)="流血",$B$21,0))*(1+$BR208)</f>
        <v>23790.4555245245</v>
      </c>
      <c r="O208" s="24">
        <f>((($AO208+$AP208)/2*$AI208+$AJ208)*(1+$AQ208)*(1+$AR208)+(($AT208+$AU208)/2*IF($G$1="鸣金",$AK208,$AI208)+IF($G$1="鸣金",$AL208*1.5,0))*(1+$AV208)*(1+$AW208)+(($AX208+$AY208)/2*IF($G$1="裂石",$AK208,$AI208)+IF($G$1="裂石",$AL208*1.5,0))*(1+$AZ208)*(1+$BA208)+(($BB208+$BC208)/2*IF($G$1="牵丝",$AK208,$AI208)+IF($G$1="牵丝",$AL208*1.5,0))*(1+$BD208)*(1+$BE208)+(($BF208+$BG208)/2*IF($G$1="破竹",$AK208,$AI208)+IF($G$1="破竹",$AL208*1.5,0))*(1+$BH208)*(1+$BI208))*(1+$AM208)*$Q208*(1+IF(VLOOKUP($R208,武学奇术!$A:$ZZ,30,FALSE)="流血",$B$21,0))*(1+$BR208)</f>
        <v>8797.52648175068</v>
      </c>
      <c r="P208" s="24">
        <f>((($AO208*$AI208+$AJ208)*(1+$AQ208)*(1+$AR208)+($AT208*IF($G$1="鸣金",$AK208,$AI208)+IF($G$1="鸣金",$AL208*1.5,0))*(1+$AV208)*(1+$AW208)+($AX208*IF($G$1="裂石",$AK208,$AI208)+IF($G$1="裂石",$AL208*1.5,0))*(1+$AZ208)*(1+$BA208)+($BB208*IF($G$1="牵丝",$AK208,$AI208)+IF($G$1="牵丝",$AL208*1.5,0))*(1+$BD208)*(1+$BE208)+($BF208*IF($G$1="破竹",$AK208,$AI208)+IF($G$1="破竹",$AL208*1.5,0))*(1+$BH208)*(1+$BI208))*(1+$AM208))*$Q208*(1+IF(VLOOKUP($R208,武学奇术!$A:$ZZ,30,FALSE)="流血",$B$21,0))*(1+$BR208)</f>
        <v>3938.0750504563</v>
      </c>
      <c r="Q208" s="31">
        <v>1</v>
      </c>
      <c r="R208" s="32" t="s">
        <v>199</v>
      </c>
      <c r="S208" s="32" t="s">
        <v>87</v>
      </c>
      <c r="T208" s="32" t="s">
        <v>96</v>
      </c>
      <c r="U208" s="32" t="s">
        <v>97</v>
      </c>
      <c r="V208" s="32" t="s">
        <v>73</v>
      </c>
      <c r="W208" s="32" t="s">
        <v>73</v>
      </c>
      <c r="X208" s="32" t="s">
        <v>127</v>
      </c>
      <c r="Y208" s="32" t="s">
        <v>73</v>
      </c>
      <c r="Z208" s="32" t="s">
        <v>73</v>
      </c>
      <c r="AA208" s="32" t="s">
        <v>81</v>
      </c>
      <c r="AB208" s="32" t="s">
        <v>75</v>
      </c>
      <c r="AC208" s="32" t="s">
        <v>76</v>
      </c>
      <c r="AD208" s="32" t="s">
        <v>82</v>
      </c>
      <c r="AE208" s="32" t="s">
        <v>73</v>
      </c>
      <c r="AF208" s="32" t="s">
        <v>73</v>
      </c>
      <c r="AG208" s="32" t="s">
        <v>158</v>
      </c>
      <c r="AH208" t="str">
        <f>VLOOKUP($R208,武学奇术!$A:$ZZ,25,FALSE)</f>
        <v>剑</v>
      </c>
      <c r="AI208" s="21">
        <f>VLOOKUP($R208,武学奇术!$A:$ZZ,26,FALSE)</f>
        <v>0.3465</v>
      </c>
      <c r="AJ208" s="22">
        <f>VLOOKUP($R208,武学奇术!$A:$ZZ,27,FALSE)*(1+IF(OR($AH208=$F$4,$AH208=$F$5),$B$22,0))</f>
        <v>0</v>
      </c>
      <c r="AK208" s="21">
        <f>VLOOKUP($R208,武学奇术!$A:$ZZ,28,FALSE)</f>
        <v>0.51975</v>
      </c>
      <c r="AL208" s="22">
        <f>VLOOKUP($R208,武学奇术!$A:$ZZ,29,FALSE)*(1+IF(OR($AH208=$F$4,$AH208=$F$5),$B$22,0))</f>
        <v>0</v>
      </c>
      <c r="AM208" s="21" cm="1">
        <f t="array" ref="AM208">$G$3+IFERROR(VLOOKUP($AH208,$F$4:$G$7,2,FALSE),0)+VLOOKUP($R208,武学奇术!$A:$ZZ,2,FALSE)+SUM(_xlfn.XLOOKUP($S208:$AG208,增益!$A:$A,增益!$B:$B,0))</f>
        <v>1.2391</v>
      </c>
      <c r="AN208" s="21" cm="1">
        <f t="array" ref="AN208">VLOOKUP($R208,武学奇术!$A:$ZZ,5,FALSE)+SUM(_xlfn.XLOOKUP($S208:$AG208,增益!$A:$A,增益!$E:$E,0))</f>
        <v>0</v>
      </c>
      <c r="AO208" cm="1">
        <f t="array" ref="AO208">$D$10*(1+$AN208)+VLOOKUP($R208,武学奇术!$A:$ZZ,3,FALSE)+SUM(_xlfn.XLOOKUP($S208:$AG208,增益!$A:$A,增益!$C:$C,0))-$I$2</f>
        <v>1794.28</v>
      </c>
      <c r="AP208" cm="1">
        <f t="array" ref="AP208">$E$10*(1+$AN208)+VLOOKUP($R208,武学奇术!$A:$ZZ,4,FALSE)+SUM(_xlfn.XLOOKUP($S208:$AG208,增益!$A:$A,增益!$D:$D,0))-$I$2</f>
        <v>7726.36</v>
      </c>
      <c r="AQ208" s="26" cm="1">
        <f t="array" ref="AQ208">IF($F$10-$I$3+VLOOKUP($R208,武学奇术!$A:$ZZ,6,FALSE)+SUM(_xlfn.XLOOKUP(S208:AG208,增益!$A:$A,增益!$F:$F,0))&gt;0,($F$10-$I$3+VLOOKUP($R208,武学奇术!$A:$ZZ,6,FALSE)+SUM(_xlfn.XLOOKUP(S208:AG208,增益!$A:$A,增益!$F:$F,0)))/200,($F$10-$I$3+VLOOKUP($R208,武学奇术!$A:$ZZ,6,FALSE)+SUM(_xlfn.XLOOKUP(S208:AG208,增益!$A:$A,增益!$F:$F,0)))/100)</f>
        <v>0.319</v>
      </c>
      <c r="AR208" s="26" cm="1">
        <f t="array" ref="AR208">$G$10+VLOOKUP($R208,武学奇术!$A:$ZZ,7,FALSE)+SUM(_xlfn.XLOOKUP(S208:AG208,增益!$A:$A,增益!$G:$G,0))</f>
        <v>0</v>
      </c>
      <c r="AS208" s="21" cm="1">
        <f t="array" ref="AS208">VLOOKUP($R208,武学奇术!$A:$ZZ,8,FALSE)+SUM(_xlfn.XLOOKUP(S208:AG208,增益!$A:$A,增益!$H:$H,0))</f>
        <v>0</v>
      </c>
      <c r="AT208">
        <f t="shared" si="34"/>
        <v>680.02</v>
      </c>
      <c r="AU208">
        <f t="shared" si="35"/>
        <v>1288.54</v>
      </c>
      <c r="AV208" s="26" cm="1">
        <f t="array" ref="AV208">IF($F$11-$I$4+VLOOKUP($R208,武学奇术!$A:$ZZ,9,FALSE)+SUM(_xlfn.XLOOKUP(S208:AG208,增益!$A:$A,增益!$I:$I,0))&gt;0,($F$11-$I$4+VLOOKUP($R208,武学奇术!$A:$ZZ,9,FALSE)+SUM(_xlfn.XLOOKUP(S208:AG208,增益!$A:$A,增益!$I:$I,0)))/200,($F$11-$I$4+VLOOKUP($R208,武学奇术!$A:$ZZ,9,FALSE)+SUM(_xlfn.XLOOKUP(S208:AG208,增益!$A:$A,增益!$I:$I,0)))/100)</f>
        <v>0.075</v>
      </c>
      <c r="AW208" s="26" cm="1">
        <f t="array" ref="AW208">$G$11+VLOOKUP($R208,武学奇术!$A:$ZZ,10,FALSE)+SUM(_xlfn.XLOOKUP(S208:AG208,增益!$A:$A,增益!$J:$J,0))</f>
        <v>0.15</v>
      </c>
      <c r="AX208">
        <f t="shared" si="36"/>
        <v>0</v>
      </c>
      <c r="AY208">
        <f t="shared" si="37"/>
        <v>0</v>
      </c>
      <c r="AZ208" s="26" cm="1">
        <f t="array" ref="AZ208">IF($F$12-$I$4+VLOOKUP($R208,武学奇术!$A:$ZZ,11,FALSE)+SUM(_xlfn.XLOOKUP(S208:AG208,增益!$A:$A,增益!$K:$K,0))&gt;0,($F$12-$I$4+VLOOKUP($R208,武学奇术!$A:$ZZ,11,FALSE)+SUM(_xlfn.XLOOKUP(S208:AG208,增益!$A:$A,增益!$K:$K,0)))/200,($F$12-$I$4+VLOOKUP($R208,武学奇术!$A:$ZZ,11,FALSE)+SUM(_xlfn.XLOOKUP(S208:AG208,增益!$A:$A,增益!$K:$K,0)))/100)</f>
        <v>-0.3</v>
      </c>
      <c r="BA208" s="26" cm="1">
        <f t="array" ref="BA208">$G$12+VLOOKUP($R208,武学奇术!$A:$ZZ,12,FALSE)+SUM(_xlfn.XLOOKUP(S208:AG208,增益!$A:$A,增益!$L:$L,0))</f>
        <v>0</v>
      </c>
      <c r="BB208">
        <f t="shared" si="38"/>
        <v>0</v>
      </c>
      <c r="BC208">
        <f t="shared" si="39"/>
        <v>0</v>
      </c>
      <c r="BD208" s="26" cm="1">
        <f t="array" ref="BD208">IF($F$13-$I$4+VLOOKUP($R208,武学奇术!$A:$ZZ,13,FALSE)+SUM(_xlfn.XLOOKUP(S208:AG208,增益!$A:$A,增益!$M:$M,0))&gt;0,($F$13-$I$4+VLOOKUP($R208,武学奇术!$A:$ZZ,13,FALSE)+SUM(_xlfn.XLOOKUP(S208:AG208,增益!$A:$A,增益!$K:$K,0)))/200,($F$13-$I$4+VLOOKUP($R208,武学奇术!$A:$ZZ,13,FALSE)+SUM(_xlfn.XLOOKUP(S208:AG208,增益!$A:$A,增益!$M:$M,0)))/100)</f>
        <v>-0.3</v>
      </c>
      <c r="BE208" s="26" cm="1">
        <f t="array" ref="BE208">$G$13+VLOOKUP($R208,武学奇术!$A:$ZZ,14,FALSE)+SUM(_xlfn.XLOOKUP(S208:AG208,增益!$A:$A,增益!$N:$N,0))</f>
        <v>0</v>
      </c>
      <c r="BF208">
        <f t="shared" si="40"/>
        <v>0</v>
      </c>
      <c r="BG208">
        <f t="shared" si="41"/>
        <v>0</v>
      </c>
      <c r="BH208" s="26" cm="1">
        <f t="array" ref="BH208">IF($F$14-$I$4+VLOOKUP($R208,武学奇术!$A:$ZZ,15,FALSE)+SUM(_xlfn.XLOOKUP(S208:AG208,增益!$A:$A,增益!$O:$O,0))&gt;0,($F$14-$I$4+VLOOKUP($R208,武学奇术!$A:$ZZ,15,FALSE)+SUM(_xlfn.XLOOKUP(S208:AG208,增益!$A:$A,增益!$O:$O,0)))/200,($F$14-$I$4+VLOOKUP($R208,武学奇术!$A:$ZZ,15,FALSE)+SUM(_xlfn.XLOOKUP(S208:AG208,增益!$A:$A,增益!$O:$O,0)))/100)</f>
        <v>-0.3</v>
      </c>
      <c r="BI208" s="26" cm="1">
        <f t="array" ref="BI208">$G$14+VLOOKUP($R208,武学奇术!$A:$ZZ,16,FALSE)+SUM(_xlfn.XLOOKUP(S208:AG208,增益!$A:$A,增益!$P:$P,0))</f>
        <v>0</v>
      </c>
      <c r="BJ208" s="21">
        <f>MIN(IF(VLOOKUP($R208,武学奇术!$A:$ZZ,23,FALSE)=1,100%,$B$8),100%)</f>
        <v>0.8229</v>
      </c>
      <c r="BK208" s="21" cm="1">
        <f t="array" ref="BK208">IF(VLOOKUP($R208,武学奇术!$A:$ZZ,23,FALSE)=1,100%,MIN(80%,$B$9+VLOOKUP($R208,武学奇术!$A:$ZZ,17,FALSE)+SUM(_xlfn.XLOOKUP(S208:AG208,增益!$A:$A,增益!$Q:$Q,0)))+$B$11+SUM(_xlfn.XLOOKUP(S208:AG208,增益!$A:$A,增益!$U:$U,0)))*IF(VLOOKUP($R208,武学奇术!$A:$ZZ,24,FALSE)=1,0,1)</f>
        <v>0.2285</v>
      </c>
      <c r="BL208" s="21" cm="1">
        <f t="array" ref="BL208">1+$B$13+VLOOKUP($R208,武学奇术!$A:$ZZ,18,FALSE)+SUM(_xlfn.XLOOKUP(S208:AG208,增益!$A:$A,增益!$R:$R,0))</f>
        <v>1.5</v>
      </c>
      <c r="BM208" s="21" cm="1">
        <f t="array" ref="BM208">IF(VLOOKUP($R208,武学奇术!$A:$ZZ,24,FALSE)=1,100%,MIN(40%,$B$10+VLOOKUP($R208,武学奇术!$A:$ZZ,19,FALSE)+SUM(_xlfn.XLOOKUP(S208:AG208,增益!$A:$A,增益!$S:$S,0)))+$B$12+SUM(_xlfn.XLOOKUP(S208:AG208,增益!$A:$A,增益!$V:$V,0)))*IF(VLOOKUP($R208,武学奇术!$A:$ZZ,23,FALSE)=1,0,1)</f>
        <v>0.4495</v>
      </c>
      <c r="BN208" s="21" cm="1">
        <f t="array" ref="BN208">1+$B$14+VLOOKUP($R208,武学奇术!$A:$ZZ,20,FALSE)+SUM(_xlfn.XLOOKUP(S208:AG208,增益!$A:$A,增益!$T:$T,0))</f>
        <v>1.742</v>
      </c>
      <c r="BO208" s="21">
        <f t="shared" si="42"/>
        <v>0.18803265</v>
      </c>
      <c r="BP208" s="21">
        <f t="shared" si="43"/>
        <v>0.2649738</v>
      </c>
      <c r="BQ208" s="21">
        <f>IF(VLOOKUP($R208,武学奇术!$A:$ZZ,22,FALSE)=1,0,(1-$BJ208))*(1-$BM208)</f>
        <v>0.09749355</v>
      </c>
      <c r="BR208" s="21" cm="1">
        <f t="array" ref="BR208">SUM(_xlfn.XLOOKUP(S208:AG208,增益!$A:$A,增益!$W:$W,0))+$I$5</f>
        <v>0.06</v>
      </c>
    </row>
    <row r="209" spans="11:70">
      <c r="K209" s="24">
        <f>$L209*VLOOKUP($R209,武学奇术!$A:$ZZ,31,FALSE)</f>
        <v>7627.29313166036</v>
      </c>
      <c r="L209" s="24">
        <f t="shared" si="33"/>
        <v>12712.1552194339</v>
      </c>
      <c r="M209" s="24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BL209*$Q209*(1+IF(VLOOKUP($R209,武学奇术!$A:$ZZ,30,FALSE)="流血",$B$21,0))*(1+$BR209)</f>
        <v>10557.0317781008</v>
      </c>
      <c r="N209" s="24">
        <f>(($AP209*$AI209+$AJ209)*(1+$AQ209)*(1+$AR209)+($AU209*IF($G$1="鸣金",$AK209,$AI209)+IF($G$1="鸣金",$AL209*1.5,0))*(1+$AV209)*(1+$AW209)+($AY209*IF($G$1="裂石",$AK209,$AI209)+IF($G$1="裂石",$AL209*1.5,0))*(1+$AZ209)*(1+$BA209)+($BC209*IF($G$1="牵丝",$AK209,$AI209)+IF($G$1="牵丝",$AL209*1.5,0))*(1+$BD209)*(1+$BE209)+($BG209*IF($G$1="破竹",$AK209,$AI209)+IF($G$1="破竹",$AL209*1.5,0))*(1+$BH209)*(1+$BI209))*(1+$AM209)*$BN209*$Q209*(1+IF(VLOOKUP($R209,武学奇术!$A:$ZZ,30,FALSE)="流血",$B$21,0))*(1+$BR209)</f>
        <v>19032.3644196196</v>
      </c>
      <c r="O209" s="24">
        <f>((($AO209+$AP209)/2*$AI209+$AJ209)*(1+$AQ209)*(1+$AR209)+(($AT209+$AU209)/2*IF($G$1="鸣金",$AK209,$AI209)+IF($G$1="鸣金",$AL209*1.5,0))*(1+$AV209)*(1+$AW209)+(($AX209+$AY209)/2*IF($G$1="裂石",$AK209,$AI209)+IF($G$1="裂石",$AL209*1.5,0))*(1+$AZ209)*(1+$BA209)+(($BB209+$BC209)/2*IF($G$1="牵丝",$AK209,$AI209)+IF($G$1="牵丝",$AL209*1.5,0))*(1+$BD209)*(1+$BE209)+(($BF209+$BG209)/2*IF($G$1="破竹",$AK209,$AI209)+IF($G$1="破竹",$AL209*1.5,0))*(1+$BH209)*(1+$BI209))*(1+$AM209)*$Q209*(1+IF(VLOOKUP($R209,武学奇术!$A:$ZZ,30,FALSE)="流血",$B$21,0))*(1+$BR209)</f>
        <v>7038.02118540055</v>
      </c>
      <c r="P209" s="24">
        <f>((($AO209*$AI209+$AJ209)*(1+$AQ209)*(1+$AR209)+($AT209*IF($G$1="鸣金",$AK209,$AI209)+IF($G$1="鸣金",$AL209*1.5,0))*(1+$AV209)*(1+$AW209)+($AX209*IF($G$1="裂石",$AK209,$AI209)+IF($G$1="裂石",$AL209*1.5,0))*(1+$AZ209)*(1+$BA209)+($BB209*IF($G$1="牵丝",$AK209,$AI209)+IF($G$1="牵丝",$AL209*1.5,0))*(1+$BD209)*(1+$BE209)+($BF209*IF($G$1="破竹",$AK209,$AI209)+IF($G$1="破竹",$AL209*1.5,0))*(1+$BH209)*(1+$BI209))*(1+$AM209))*$Q209*(1+IF(VLOOKUP($R209,武学奇术!$A:$ZZ,30,FALSE)="流血",$B$21,0))*(1+$BR209)</f>
        <v>3150.46004036504</v>
      </c>
      <c r="Q209" s="31">
        <v>1</v>
      </c>
      <c r="R209" s="32" t="s">
        <v>197</v>
      </c>
      <c r="S209" s="32" t="s">
        <v>87</v>
      </c>
      <c r="T209" s="32" t="s">
        <v>96</v>
      </c>
      <c r="U209" s="32" t="s">
        <v>97</v>
      </c>
      <c r="V209" s="32" t="s">
        <v>73</v>
      </c>
      <c r="W209" s="32" t="s">
        <v>73</v>
      </c>
      <c r="X209" s="32" t="s">
        <v>127</v>
      </c>
      <c r="Y209" s="32" t="s">
        <v>73</v>
      </c>
      <c r="Z209" s="32" t="s">
        <v>73</v>
      </c>
      <c r="AA209" s="32" t="s">
        <v>73</v>
      </c>
      <c r="AB209" s="32" t="s">
        <v>75</v>
      </c>
      <c r="AC209" s="32" t="s">
        <v>76</v>
      </c>
      <c r="AD209" s="32" t="s">
        <v>82</v>
      </c>
      <c r="AE209" s="32" t="s">
        <v>73</v>
      </c>
      <c r="AF209" s="32" t="s">
        <v>73</v>
      </c>
      <c r="AG209" s="32" t="s">
        <v>158</v>
      </c>
      <c r="AH209" t="str">
        <f>VLOOKUP($R209,武学奇术!$A:$ZZ,25,FALSE)</f>
        <v>剑</v>
      </c>
      <c r="AI209" s="21">
        <f>VLOOKUP($R209,武学奇术!$A:$ZZ,26,FALSE)</f>
        <v>0.2772</v>
      </c>
      <c r="AJ209" s="22">
        <f>VLOOKUP($R209,武学奇术!$A:$ZZ,27,FALSE)*(1+IF(OR($AH209=$F$4,$AH209=$F$5),$B$22,0))</f>
        <v>0</v>
      </c>
      <c r="AK209" s="21">
        <f>VLOOKUP($R209,武学奇术!$A:$ZZ,28,FALSE)</f>
        <v>0.4158</v>
      </c>
      <c r="AL209" s="22">
        <f>VLOOKUP($R209,武学奇术!$A:$ZZ,29,FALSE)*(1+IF(OR($AH209=$F$4,$AH209=$F$5),$B$22,0))</f>
        <v>0</v>
      </c>
      <c r="AM209" s="21" cm="1">
        <f t="array" ref="AM209">$G$3+IFERROR(VLOOKUP($AH209,$F$4:$G$7,2,FALSE),0)+VLOOKUP($R209,武学奇术!$A:$ZZ,2,FALSE)+SUM(_xlfn.XLOOKUP($S209:$AG209,增益!$A:$A,增益!$B:$B,0))</f>
        <v>1.2391</v>
      </c>
      <c r="AN209" s="21" cm="1">
        <f t="array" ref="AN209">VLOOKUP($R209,武学奇术!$A:$ZZ,5,FALSE)+SUM(_xlfn.XLOOKUP($S209:$AG209,增益!$A:$A,增益!$E:$E,0))</f>
        <v>0</v>
      </c>
      <c r="AO209" cm="1">
        <f t="array" ref="AO209">$D$10*(1+$AN209)+VLOOKUP($R209,武学奇术!$A:$ZZ,3,FALSE)+SUM(_xlfn.XLOOKUP($S209:$AG209,增益!$A:$A,增益!$C:$C,0))-$I$2</f>
        <v>1794.28</v>
      </c>
      <c r="AP209" cm="1">
        <f t="array" ref="AP209">$E$10*(1+$AN209)+VLOOKUP($R209,武学奇术!$A:$ZZ,4,FALSE)+SUM(_xlfn.XLOOKUP($S209:$AG209,增益!$A:$A,增益!$D:$D,0))-$I$2</f>
        <v>7726.36</v>
      </c>
      <c r="AQ209" s="26" cm="1">
        <f t="array" ref="AQ209">IF($F$10-$I$3+VLOOKUP($R209,武学奇术!$A:$ZZ,6,FALSE)+SUM(_xlfn.XLOOKUP(S209:AG209,增益!$A:$A,增益!$F:$F,0))&gt;0,($F$10-$I$3+VLOOKUP($R209,武学奇术!$A:$ZZ,6,FALSE)+SUM(_xlfn.XLOOKUP(S209:AG209,增益!$A:$A,增益!$F:$F,0)))/200,($F$10-$I$3+VLOOKUP($R209,武学奇术!$A:$ZZ,6,FALSE)+SUM(_xlfn.XLOOKUP(S209:AG209,增益!$A:$A,增益!$F:$F,0)))/100)</f>
        <v>0.319</v>
      </c>
      <c r="AR209" s="26" cm="1">
        <f t="array" ref="AR209">$G$10+VLOOKUP($R209,武学奇术!$A:$ZZ,7,FALSE)+SUM(_xlfn.XLOOKUP(S209:AG209,增益!$A:$A,增益!$G:$G,0))</f>
        <v>0</v>
      </c>
      <c r="AS209" s="21" cm="1">
        <f t="array" ref="AS209">VLOOKUP($R209,武学奇术!$A:$ZZ,8,FALSE)+SUM(_xlfn.XLOOKUP(S209:AG209,增益!$A:$A,增益!$H:$H,0))</f>
        <v>0</v>
      </c>
      <c r="AT209">
        <f t="shared" si="34"/>
        <v>680.02</v>
      </c>
      <c r="AU209">
        <f t="shared" si="35"/>
        <v>1288.54</v>
      </c>
      <c r="AV209" s="26" cm="1">
        <f t="array" ref="AV209">IF($F$11-$I$4+VLOOKUP($R209,武学奇术!$A:$ZZ,9,FALSE)+SUM(_xlfn.XLOOKUP(S209:AG209,增益!$A:$A,增益!$I:$I,0))&gt;0,($F$11-$I$4+VLOOKUP($R209,武学奇术!$A:$ZZ,9,FALSE)+SUM(_xlfn.XLOOKUP(S209:AG209,增益!$A:$A,增益!$I:$I,0)))/200,($F$11-$I$4+VLOOKUP($R209,武学奇术!$A:$ZZ,9,FALSE)+SUM(_xlfn.XLOOKUP(S209:AG209,增益!$A:$A,增益!$I:$I,0)))/100)</f>
        <v>0.075</v>
      </c>
      <c r="AW209" s="26" cm="1">
        <f t="array" ref="AW209">$G$11+VLOOKUP($R209,武学奇术!$A:$ZZ,10,FALSE)+SUM(_xlfn.XLOOKUP(S209:AG209,增益!$A:$A,增益!$J:$J,0))</f>
        <v>0.15</v>
      </c>
      <c r="AX209">
        <f t="shared" si="36"/>
        <v>0</v>
      </c>
      <c r="AY209">
        <f t="shared" si="37"/>
        <v>0</v>
      </c>
      <c r="AZ209" s="26" cm="1">
        <f t="array" ref="AZ209">IF($F$12-$I$4+VLOOKUP($R209,武学奇术!$A:$ZZ,11,FALSE)+SUM(_xlfn.XLOOKUP(S209:AG209,增益!$A:$A,增益!$K:$K,0))&gt;0,($F$12-$I$4+VLOOKUP($R209,武学奇术!$A:$ZZ,11,FALSE)+SUM(_xlfn.XLOOKUP(S209:AG209,增益!$A:$A,增益!$K:$K,0)))/200,($F$12-$I$4+VLOOKUP($R209,武学奇术!$A:$ZZ,11,FALSE)+SUM(_xlfn.XLOOKUP(S209:AG209,增益!$A:$A,增益!$K:$K,0)))/100)</f>
        <v>-0.3</v>
      </c>
      <c r="BA209" s="26" cm="1">
        <f t="array" ref="BA209">$G$12+VLOOKUP($R209,武学奇术!$A:$ZZ,12,FALSE)+SUM(_xlfn.XLOOKUP(S209:AG209,增益!$A:$A,增益!$L:$L,0))</f>
        <v>0</v>
      </c>
      <c r="BB209">
        <f t="shared" si="38"/>
        <v>0</v>
      </c>
      <c r="BC209">
        <f t="shared" si="39"/>
        <v>0</v>
      </c>
      <c r="BD209" s="26" cm="1">
        <f t="array" ref="BD209">IF($F$13-$I$4+VLOOKUP($R209,武学奇术!$A:$ZZ,13,FALSE)+SUM(_xlfn.XLOOKUP(S209:AG209,增益!$A:$A,增益!$M:$M,0))&gt;0,($F$13-$I$4+VLOOKUP($R209,武学奇术!$A:$ZZ,13,FALSE)+SUM(_xlfn.XLOOKUP(S209:AG209,增益!$A:$A,增益!$K:$K,0)))/200,($F$13-$I$4+VLOOKUP($R209,武学奇术!$A:$ZZ,13,FALSE)+SUM(_xlfn.XLOOKUP(S209:AG209,增益!$A:$A,增益!$M:$M,0)))/100)</f>
        <v>-0.3</v>
      </c>
      <c r="BE209" s="26" cm="1">
        <f t="array" ref="BE209">$G$13+VLOOKUP($R209,武学奇术!$A:$ZZ,14,FALSE)+SUM(_xlfn.XLOOKUP(S209:AG209,增益!$A:$A,增益!$N:$N,0))</f>
        <v>0</v>
      </c>
      <c r="BF209">
        <f t="shared" si="40"/>
        <v>0</v>
      </c>
      <c r="BG209">
        <f t="shared" si="41"/>
        <v>0</v>
      </c>
      <c r="BH209" s="26" cm="1">
        <f t="array" ref="BH209">IF($F$14-$I$4+VLOOKUP($R209,武学奇术!$A:$ZZ,15,FALSE)+SUM(_xlfn.XLOOKUP(S209:AG209,增益!$A:$A,增益!$O:$O,0))&gt;0,($F$14-$I$4+VLOOKUP($R209,武学奇术!$A:$ZZ,15,FALSE)+SUM(_xlfn.XLOOKUP(S209:AG209,增益!$A:$A,增益!$O:$O,0)))/200,($F$14-$I$4+VLOOKUP($R209,武学奇术!$A:$ZZ,15,FALSE)+SUM(_xlfn.XLOOKUP(S209:AG209,增益!$A:$A,增益!$O:$O,0)))/100)</f>
        <v>-0.3</v>
      </c>
      <c r="BI209" s="26" cm="1">
        <f t="array" ref="BI209">$G$14+VLOOKUP($R209,武学奇术!$A:$ZZ,16,FALSE)+SUM(_xlfn.XLOOKUP(S209:AG209,增益!$A:$A,增益!$P:$P,0))</f>
        <v>0</v>
      </c>
      <c r="BJ209" s="21">
        <f>MIN(IF(VLOOKUP($R209,武学奇术!$A:$ZZ,23,FALSE)=1,100%,$B$8),100%)</f>
        <v>0.8229</v>
      </c>
      <c r="BK209" s="21" cm="1">
        <f t="array" ref="BK209">IF(VLOOKUP($R209,武学奇术!$A:$ZZ,23,FALSE)=1,100%,MIN(80%,$B$9+VLOOKUP($R209,武学奇术!$A:$ZZ,17,FALSE)+SUM(_xlfn.XLOOKUP(S209:AG209,增益!$A:$A,增益!$Q:$Q,0)))+$B$11+SUM(_xlfn.XLOOKUP(S209:AG209,增益!$A:$A,增益!$U:$U,0)))*IF(VLOOKUP($R209,武学奇术!$A:$ZZ,24,FALSE)=1,0,1)</f>
        <v>0.2285</v>
      </c>
      <c r="BL209" s="21" cm="1">
        <f t="array" ref="BL209">1+$B$13+VLOOKUP($R209,武学奇术!$A:$ZZ,18,FALSE)+SUM(_xlfn.XLOOKUP(S209:AG209,增益!$A:$A,增益!$R:$R,0))</f>
        <v>1.5</v>
      </c>
      <c r="BM209" s="21" cm="1">
        <f t="array" ref="BM209">IF(VLOOKUP($R209,武学奇术!$A:$ZZ,24,FALSE)=1,100%,MIN(40%,$B$10+VLOOKUP($R209,武学奇术!$A:$ZZ,19,FALSE)+SUM(_xlfn.XLOOKUP(S209:AG209,增益!$A:$A,增益!$S:$S,0)))+$B$12+SUM(_xlfn.XLOOKUP(S209:AG209,增益!$A:$A,增益!$V:$V,0)))*IF(VLOOKUP($R209,武学奇术!$A:$ZZ,23,FALSE)=1,0,1)</f>
        <v>0.4495</v>
      </c>
      <c r="BN209" s="21" cm="1">
        <f t="array" ref="BN209">1+$B$14+VLOOKUP($R209,武学奇术!$A:$ZZ,20,FALSE)+SUM(_xlfn.XLOOKUP(S209:AG209,增益!$A:$A,增益!$T:$T,0))</f>
        <v>1.742</v>
      </c>
      <c r="BO209" s="21">
        <f t="shared" si="42"/>
        <v>0.18803265</v>
      </c>
      <c r="BP209" s="21">
        <f t="shared" si="43"/>
        <v>0.2649738</v>
      </c>
      <c r="BQ209" s="21">
        <f>IF(VLOOKUP($R209,武学奇术!$A:$ZZ,22,FALSE)=1,0,(1-$BJ209))*(1-$BM209)</f>
        <v>0.09749355</v>
      </c>
      <c r="BR209" s="21" cm="1">
        <f t="array" ref="BR209">SUM(_xlfn.XLOOKUP(S209:AG209,增益!$A:$A,增益!$W:$W,0))+$I$5</f>
        <v>0.06</v>
      </c>
    </row>
    <row r="210" spans="11:70">
      <c r="K210" s="24">
        <f>$L210*VLOOKUP($R210,武学奇术!$A:$ZZ,31,FALSE)</f>
        <v>4767.05820728773</v>
      </c>
      <c r="L210" s="24">
        <f t="shared" si="33"/>
        <v>7945.09701214621</v>
      </c>
      <c r="M210" s="24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BL210*$Q210*(1+IF(VLOOKUP($R210,武学奇术!$A:$ZZ,30,FALSE)="流血",$B$21,0))*(1+$BR210)</f>
        <v>6598.14486131301</v>
      </c>
      <c r="N210" s="24">
        <f>(($AP210*$AI210+$AJ210)*(1+$AQ210)*(1+$AR210)+($AU210*IF($G$1="鸣金",$AK210,$AI210)+IF($G$1="鸣金",$AL210*1.5,0))*(1+$AV210)*(1+$AW210)+($AY210*IF($G$1="裂石",$AK210,$AI210)+IF($G$1="裂石",$AL210*1.5,0))*(1+$AZ210)*(1+$BA210)+($BC210*IF($G$1="牵丝",$AK210,$AI210)+IF($G$1="牵丝",$AL210*1.5,0))*(1+$BD210)*(1+$BE210)+($BG210*IF($G$1="破竹",$AK210,$AI210)+IF($G$1="破竹",$AL210*1.5,0))*(1+$BH210)*(1+$BI210))*(1+$AM210)*$BN210*$Q210*(1+IF(VLOOKUP($R210,武学奇术!$A:$ZZ,30,FALSE)="流血",$B$21,0))*(1+$BR210)</f>
        <v>11895.2277622622</v>
      </c>
      <c r="O210" s="24">
        <f>((($AO210+$AP210)/2*$AI210+$AJ210)*(1+$AQ210)*(1+$AR210)+(($AT210+$AU210)/2*IF($G$1="鸣金",$AK210,$AI210)+IF($G$1="鸣金",$AL210*1.5,0))*(1+$AV210)*(1+$AW210)+(($AX210+$AY210)/2*IF($G$1="裂石",$AK210,$AI210)+IF($G$1="裂石",$AL210*1.5,0))*(1+$AZ210)*(1+$BA210)+(($BB210+$BC210)/2*IF($G$1="牵丝",$AK210,$AI210)+IF($G$1="牵丝",$AL210*1.5,0))*(1+$BD210)*(1+$BE210)+(($BF210+$BG210)/2*IF($G$1="破竹",$AK210,$AI210)+IF($G$1="破竹",$AL210*1.5,0))*(1+$BH210)*(1+$BI210))*(1+$AM210)*$Q210*(1+IF(VLOOKUP($R210,武学奇术!$A:$ZZ,30,FALSE)="流血",$B$21,0))*(1+$BR210)</f>
        <v>4398.76324087534</v>
      </c>
      <c r="P210" s="24">
        <f>((($AO210*$AI210+$AJ210)*(1+$AQ210)*(1+$AR210)+($AT210*IF($G$1="鸣金",$AK210,$AI210)+IF($G$1="鸣金",$AL210*1.5,0))*(1+$AV210)*(1+$AW210)+($AX210*IF($G$1="裂石",$AK210,$AI210)+IF($G$1="裂石",$AL210*1.5,0))*(1+$AZ210)*(1+$BA210)+($BB210*IF($G$1="牵丝",$AK210,$AI210)+IF($G$1="牵丝",$AL210*1.5,0))*(1+$BD210)*(1+$BE210)+($BF210*IF($G$1="破竹",$AK210,$AI210)+IF($G$1="破竹",$AL210*1.5,0))*(1+$BH210)*(1+$BI210))*(1+$AM210))*$Q210*(1+IF(VLOOKUP($R210,武学奇术!$A:$ZZ,30,FALSE)="流血",$B$21,0))*(1+$BR210)</f>
        <v>1969.03752522815</v>
      </c>
      <c r="Q210" s="31">
        <v>1</v>
      </c>
      <c r="R210" s="32" t="s">
        <v>198</v>
      </c>
      <c r="S210" s="32" t="s">
        <v>87</v>
      </c>
      <c r="T210" s="32" t="s">
        <v>96</v>
      </c>
      <c r="U210" s="32" t="s">
        <v>97</v>
      </c>
      <c r="V210" s="32" t="s">
        <v>73</v>
      </c>
      <c r="W210" s="32" t="s">
        <v>73</v>
      </c>
      <c r="X210" s="32" t="s">
        <v>127</v>
      </c>
      <c r="Y210" s="32" t="s">
        <v>73</v>
      </c>
      <c r="Z210" s="32" t="s">
        <v>73</v>
      </c>
      <c r="AA210" s="32" t="s">
        <v>73</v>
      </c>
      <c r="AB210" s="32" t="s">
        <v>75</v>
      </c>
      <c r="AC210" s="32" t="s">
        <v>76</v>
      </c>
      <c r="AD210" s="32" t="s">
        <v>82</v>
      </c>
      <c r="AE210" s="32" t="s">
        <v>73</v>
      </c>
      <c r="AF210" s="32" t="s">
        <v>73</v>
      </c>
      <c r="AG210" s="32" t="s">
        <v>158</v>
      </c>
      <c r="AH210" t="str">
        <f>VLOOKUP($R210,武学奇术!$A:$ZZ,25,FALSE)</f>
        <v>剑</v>
      </c>
      <c r="AI210" s="21">
        <f>VLOOKUP($R210,武学奇术!$A:$ZZ,26,FALSE)</f>
        <v>0.17325</v>
      </c>
      <c r="AJ210" s="22">
        <f>VLOOKUP($R210,武学奇术!$A:$ZZ,27,FALSE)*(1+IF(OR($AH210=$F$4,$AH210=$F$5),$B$22,0))</f>
        <v>0</v>
      </c>
      <c r="AK210" s="21">
        <f>VLOOKUP($R210,武学奇术!$A:$ZZ,28,FALSE)</f>
        <v>0.259875</v>
      </c>
      <c r="AL210" s="22">
        <f>VLOOKUP($R210,武学奇术!$A:$ZZ,29,FALSE)*(1+IF(OR($AH210=$F$4,$AH210=$F$5),$B$22,0))</f>
        <v>0</v>
      </c>
      <c r="AM210" s="21" cm="1">
        <f t="array" ref="AM210">$G$3+IFERROR(VLOOKUP($AH210,$F$4:$G$7,2,FALSE),0)+VLOOKUP($R210,武学奇术!$A:$ZZ,2,FALSE)+SUM(_xlfn.XLOOKUP($S210:$AG210,增益!$A:$A,增益!$B:$B,0))</f>
        <v>1.2391</v>
      </c>
      <c r="AN210" s="21" cm="1">
        <f t="array" ref="AN210">VLOOKUP($R210,武学奇术!$A:$ZZ,5,FALSE)+SUM(_xlfn.XLOOKUP($S210:$AG210,增益!$A:$A,增益!$E:$E,0))</f>
        <v>0</v>
      </c>
      <c r="AO210" cm="1">
        <f t="array" ref="AO210">$D$10*(1+$AN210)+VLOOKUP($R210,武学奇术!$A:$ZZ,3,FALSE)+SUM(_xlfn.XLOOKUP($S210:$AG210,增益!$A:$A,增益!$C:$C,0))-$I$2</f>
        <v>1794.28</v>
      </c>
      <c r="AP210" cm="1">
        <f t="array" ref="AP210">$E$10*(1+$AN210)+VLOOKUP($R210,武学奇术!$A:$ZZ,4,FALSE)+SUM(_xlfn.XLOOKUP($S210:$AG210,增益!$A:$A,增益!$D:$D,0))-$I$2</f>
        <v>7726.36</v>
      </c>
      <c r="AQ210" s="26" cm="1">
        <f t="array" ref="AQ210">IF($F$10-$I$3+VLOOKUP($R210,武学奇术!$A:$ZZ,6,FALSE)+SUM(_xlfn.XLOOKUP(S210:AG210,增益!$A:$A,增益!$F:$F,0))&gt;0,($F$10-$I$3+VLOOKUP($R210,武学奇术!$A:$ZZ,6,FALSE)+SUM(_xlfn.XLOOKUP(S210:AG210,增益!$A:$A,增益!$F:$F,0)))/200,($F$10-$I$3+VLOOKUP($R210,武学奇术!$A:$ZZ,6,FALSE)+SUM(_xlfn.XLOOKUP(S210:AG210,增益!$A:$A,增益!$F:$F,0)))/100)</f>
        <v>0.319</v>
      </c>
      <c r="AR210" s="26" cm="1">
        <f t="array" ref="AR210">$G$10+VLOOKUP($R210,武学奇术!$A:$ZZ,7,FALSE)+SUM(_xlfn.XLOOKUP(S210:AG210,增益!$A:$A,增益!$G:$G,0))</f>
        <v>0</v>
      </c>
      <c r="AS210" s="21" cm="1">
        <f t="array" ref="AS210">VLOOKUP($R210,武学奇术!$A:$ZZ,8,FALSE)+SUM(_xlfn.XLOOKUP(S210:AG210,增益!$A:$A,增益!$H:$H,0))</f>
        <v>0</v>
      </c>
      <c r="AT210">
        <f t="shared" si="34"/>
        <v>680.02</v>
      </c>
      <c r="AU210">
        <f t="shared" si="35"/>
        <v>1288.54</v>
      </c>
      <c r="AV210" s="26" cm="1">
        <f t="array" ref="AV210">IF($F$11-$I$4+VLOOKUP($R210,武学奇术!$A:$ZZ,9,FALSE)+SUM(_xlfn.XLOOKUP(S210:AG210,增益!$A:$A,增益!$I:$I,0))&gt;0,($F$11-$I$4+VLOOKUP($R210,武学奇术!$A:$ZZ,9,FALSE)+SUM(_xlfn.XLOOKUP(S210:AG210,增益!$A:$A,增益!$I:$I,0)))/200,($F$11-$I$4+VLOOKUP($R210,武学奇术!$A:$ZZ,9,FALSE)+SUM(_xlfn.XLOOKUP(S210:AG210,增益!$A:$A,增益!$I:$I,0)))/100)</f>
        <v>0.075</v>
      </c>
      <c r="AW210" s="26" cm="1">
        <f t="array" ref="AW210">$G$11+VLOOKUP($R210,武学奇术!$A:$ZZ,10,FALSE)+SUM(_xlfn.XLOOKUP(S210:AG210,增益!$A:$A,增益!$J:$J,0))</f>
        <v>0.15</v>
      </c>
      <c r="AX210">
        <f t="shared" si="36"/>
        <v>0</v>
      </c>
      <c r="AY210">
        <f t="shared" si="37"/>
        <v>0</v>
      </c>
      <c r="AZ210" s="26" cm="1">
        <f t="array" ref="AZ210">IF($F$12-$I$4+VLOOKUP($R210,武学奇术!$A:$ZZ,11,FALSE)+SUM(_xlfn.XLOOKUP(S210:AG210,增益!$A:$A,增益!$K:$K,0))&gt;0,($F$12-$I$4+VLOOKUP($R210,武学奇术!$A:$ZZ,11,FALSE)+SUM(_xlfn.XLOOKUP(S210:AG210,增益!$A:$A,增益!$K:$K,0)))/200,($F$12-$I$4+VLOOKUP($R210,武学奇术!$A:$ZZ,11,FALSE)+SUM(_xlfn.XLOOKUP(S210:AG210,增益!$A:$A,增益!$K:$K,0)))/100)</f>
        <v>-0.3</v>
      </c>
      <c r="BA210" s="26" cm="1">
        <f t="array" ref="BA210">$G$12+VLOOKUP($R210,武学奇术!$A:$ZZ,12,FALSE)+SUM(_xlfn.XLOOKUP(S210:AG210,增益!$A:$A,增益!$L:$L,0))</f>
        <v>0</v>
      </c>
      <c r="BB210">
        <f t="shared" si="38"/>
        <v>0</v>
      </c>
      <c r="BC210">
        <f t="shared" si="39"/>
        <v>0</v>
      </c>
      <c r="BD210" s="26" cm="1">
        <f t="array" ref="BD210">IF($F$13-$I$4+VLOOKUP($R210,武学奇术!$A:$ZZ,13,FALSE)+SUM(_xlfn.XLOOKUP(S210:AG210,增益!$A:$A,增益!$M:$M,0))&gt;0,($F$13-$I$4+VLOOKUP($R210,武学奇术!$A:$ZZ,13,FALSE)+SUM(_xlfn.XLOOKUP(S210:AG210,增益!$A:$A,增益!$K:$K,0)))/200,($F$13-$I$4+VLOOKUP($R210,武学奇术!$A:$ZZ,13,FALSE)+SUM(_xlfn.XLOOKUP(S210:AG210,增益!$A:$A,增益!$M:$M,0)))/100)</f>
        <v>-0.3</v>
      </c>
      <c r="BE210" s="26" cm="1">
        <f t="array" ref="BE210">$G$13+VLOOKUP($R210,武学奇术!$A:$ZZ,14,FALSE)+SUM(_xlfn.XLOOKUP(S210:AG210,增益!$A:$A,增益!$N:$N,0))</f>
        <v>0</v>
      </c>
      <c r="BF210">
        <f t="shared" si="40"/>
        <v>0</v>
      </c>
      <c r="BG210">
        <f t="shared" si="41"/>
        <v>0</v>
      </c>
      <c r="BH210" s="26" cm="1">
        <f t="array" ref="BH210">IF($F$14-$I$4+VLOOKUP($R210,武学奇术!$A:$ZZ,15,FALSE)+SUM(_xlfn.XLOOKUP(S210:AG210,增益!$A:$A,增益!$O:$O,0))&gt;0,($F$14-$I$4+VLOOKUP($R210,武学奇术!$A:$ZZ,15,FALSE)+SUM(_xlfn.XLOOKUP(S210:AG210,增益!$A:$A,增益!$O:$O,0)))/200,($F$14-$I$4+VLOOKUP($R210,武学奇术!$A:$ZZ,15,FALSE)+SUM(_xlfn.XLOOKUP(S210:AG210,增益!$A:$A,增益!$O:$O,0)))/100)</f>
        <v>-0.3</v>
      </c>
      <c r="BI210" s="26" cm="1">
        <f t="array" ref="BI210">$G$14+VLOOKUP($R210,武学奇术!$A:$ZZ,16,FALSE)+SUM(_xlfn.XLOOKUP(S210:AG210,增益!$A:$A,增益!$P:$P,0))</f>
        <v>0</v>
      </c>
      <c r="BJ210" s="21">
        <f>MIN(IF(VLOOKUP($R210,武学奇术!$A:$ZZ,23,FALSE)=1,100%,$B$8),100%)</f>
        <v>0.8229</v>
      </c>
      <c r="BK210" s="21" cm="1">
        <f t="array" ref="BK210">IF(VLOOKUP($R210,武学奇术!$A:$ZZ,23,FALSE)=1,100%,MIN(80%,$B$9+VLOOKUP($R210,武学奇术!$A:$ZZ,17,FALSE)+SUM(_xlfn.XLOOKUP(S210:AG210,增益!$A:$A,增益!$Q:$Q,0)))+$B$11+SUM(_xlfn.XLOOKUP(S210:AG210,增益!$A:$A,增益!$U:$U,0)))*IF(VLOOKUP($R210,武学奇术!$A:$ZZ,24,FALSE)=1,0,1)</f>
        <v>0.2285</v>
      </c>
      <c r="BL210" s="21" cm="1">
        <f t="array" ref="BL210">1+$B$13+VLOOKUP($R210,武学奇术!$A:$ZZ,18,FALSE)+SUM(_xlfn.XLOOKUP(S210:AG210,增益!$A:$A,增益!$R:$R,0))</f>
        <v>1.5</v>
      </c>
      <c r="BM210" s="21" cm="1">
        <f t="array" ref="BM210">IF(VLOOKUP($R210,武学奇术!$A:$ZZ,24,FALSE)=1,100%,MIN(40%,$B$10+VLOOKUP($R210,武学奇术!$A:$ZZ,19,FALSE)+SUM(_xlfn.XLOOKUP(S210:AG210,增益!$A:$A,增益!$S:$S,0)))+$B$12+SUM(_xlfn.XLOOKUP(S210:AG210,增益!$A:$A,增益!$V:$V,0)))*IF(VLOOKUP($R210,武学奇术!$A:$ZZ,23,FALSE)=1,0,1)</f>
        <v>0.4495</v>
      </c>
      <c r="BN210" s="21" cm="1">
        <f t="array" ref="BN210">1+$B$14+VLOOKUP($R210,武学奇术!$A:$ZZ,20,FALSE)+SUM(_xlfn.XLOOKUP(S210:AG210,增益!$A:$A,增益!$T:$T,0))</f>
        <v>1.742</v>
      </c>
      <c r="BO210" s="21">
        <f t="shared" si="42"/>
        <v>0.18803265</v>
      </c>
      <c r="BP210" s="21">
        <f t="shared" si="43"/>
        <v>0.2649738</v>
      </c>
      <c r="BQ210" s="21">
        <f>IF(VLOOKUP($R210,武学奇术!$A:$ZZ,22,FALSE)=1,0,(1-$BJ210))*(1-$BM210)</f>
        <v>0.09749355</v>
      </c>
      <c r="BR210" s="21" cm="1">
        <f t="array" ref="BR210">SUM(_xlfn.XLOOKUP(S210:AG210,增益!$A:$A,增益!$W:$W,0))+$I$5</f>
        <v>0.06</v>
      </c>
    </row>
    <row r="211" spans="11:70">
      <c r="K211" s="24">
        <f>$L211*VLOOKUP($R211,武学奇术!$A:$ZZ,31,FALSE)</f>
        <v>9609.08830252959</v>
      </c>
      <c r="L211" s="24">
        <f t="shared" si="33"/>
        <v>16015.1471708826</v>
      </c>
      <c r="M211" s="24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BL211*$Q211*(1+IF(VLOOKUP($R211,武学奇术!$A:$ZZ,30,FALSE)="流血",$B$21,0))*(1+$BR211)</f>
        <v>13262.8713297513</v>
      </c>
      <c r="N211" s="24">
        <f>(($AP211*$AI211+$AJ211)*(1+$AQ211)*(1+$AR211)+($AU211*IF($G$1="鸣金",$AK211,$AI211)+IF($G$1="鸣金",$AL211*1.5,0))*(1+$AV211)*(1+$AW211)+($AY211*IF($G$1="裂石",$AK211,$AI211)+IF($G$1="裂石",$AL211*1.5,0))*(1+$AZ211)*(1+$BA211)+($BC211*IF($G$1="牵丝",$AK211,$AI211)+IF($G$1="牵丝",$AL211*1.5,0))*(1+$BD211)*(1+$BE211)+($BG211*IF($G$1="破竹",$AK211,$AI211)+IF($G$1="破竹",$AL211*1.5,0))*(1+$BH211)*(1+$BI211))*(1+$AM211)*$BN211*$Q211*(1+IF(VLOOKUP($R211,武学奇术!$A:$ZZ,30,FALSE)="流血",$B$21,0))*(1+$BR211)</f>
        <v>24004.7926207772</v>
      </c>
      <c r="O211" s="24">
        <f>((($AO211+$AP211)/2*$AI211+$AJ211)*(1+$AQ211)*(1+$AR211)+(($AT211+$AU211)/2*IF($G$1="鸣金",$AK211,$AI211)+IF($G$1="鸣金",$AL211*1.5,0))*(1+$AV211)*(1+$AW211)+(($AX211+$AY211)/2*IF($G$1="裂石",$AK211,$AI211)+IF($G$1="裂石",$AL211*1.5,0))*(1+$AZ211)*(1+$BA211)+(($BB211+$BC211)/2*IF($G$1="牵丝",$AK211,$AI211)+IF($G$1="牵丝",$AL211*1.5,0))*(1+$BD211)*(1+$BE211)+(($BF211+$BG211)/2*IF($G$1="破竹",$AK211,$AI211)+IF($G$1="破竹",$AL211*1.5,0))*(1+$BH211)*(1+$BI211))*(1+$AM211)*$Q211*(1+IF(VLOOKUP($R211,武学奇术!$A:$ZZ,30,FALSE)="流血",$B$21,0))*(1+$BR211)</f>
        <v>8841.91421983417</v>
      </c>
      <c r="P211" s="24">
        <f>((($AO211*$AI211+$AJ211)*(1+$AQ211)*(1+$AR211)+($AT211*IF($G$1="鸣金",$AK211,$AI211)+IF($G$1="鸣金",$AL211*1.5,0))*(1+$AV211)*(1+$AW211)+($AX211*IF($G$1="裂石",$AK211,$AI211)+IF($G$1="裂石",$AL211*1.5,0))*(1+$AZ211)*(1+$BA211)+($BB211*IF($G$1="牵丝",$AK211,$AI211)+IF($G$1="牵丝",$AL211*1.5,0))*(1+$BD211)*(1+$BE211)+($BF211*IF($G$1="破竹",$AK211,$AI211)+IF($G$1="破竹",$AL211*1.5,0))*(1+$BH211)*(1+$BI211))*(1+$AM211))*$Q211*(1+IF(VLOOKUP($R211,武学奇术!$A:$ZZ,30,FALSE)="流血",$B$21,0))*(1+$BR211)</f>
        <v>3982.46278853979</v>
      </c>
      <c r="Q211" s="31">
        <v>1</v>
      </c>
      <c r="R211" s="32" t="s">
        <v>199</v>
      </c>
      <c r="S211" s="32" t="s">
        <v>87</v>
      </c>
      <c r="T211" s="32" t="s">
        <v>96</v>
      </c>
      <c r="U211" s="32" t="s">
        <v>97</v>
      </c>
      <c r="V211" s="32" t="s">
        <v>73</v>
      </c>
      <c r="W211" s="32" t="s">
        <v>111</v>
      </c>
      <c r="X211" s="32" t="s">
        <v>127</v>
      </c>
      <c r="Y211" s="32" t="s">
        <v>73</v>
      </c>
      <c r="Z211" s="32" t="s">
        <v>73</v>
      </c>
      <c r="AA211" s="32" t="s">
        <v>73</v>
      </c>
      <c r="AB211" s="32" t="s">
        <v>75</v>
      </c>
      <c r="AC211" s="32" t="s">
        <v>76</v>
      </c>
      <c r="AD211" s="32" t="s">
        <v>82</v>
      </c>
      <c r="AE211" s="32" t="s">
        <v>73</v>
      </c>
      <c r="AF211" s="32" t="s">
        <v>73</v>
      </c>
      <c r="AG211" s="32" t="s">
        <v>169</v>
      </c>
      <c r="AH211" t="str">
        <f>VLOOKUP($R211,武学奇术!$A:$ZZ,25,FALSE)</f>
        <v>剑</v>
      </c>
      <c r="AI211" s="21">
        <f>VLOOKUP($R211,武学奇术!$A:$ZZ,26,FALSE)</f>
        <v>0.3465</v>
      </c>
      <c r="AJ211" s="22">
        <f>VLOOKUP($R211,武学奇术!$A:$ZZ,27,FALSE)*(1+IF(OR($AH211=$F$4,$AH211=$F$5),$B$22,0))</f>
        <v>0</v>
      </c>
      <c r="AK211" s="21">
        <f>VLOOKUP($R211,武学奇术!$A:$ZZ,28,FALSE)</f>
        <v>0.51975</v>
      </c>
      <c r="AL211" s="22">
        <f>VLOOKUP($R211,武学奇术!$A:$ZZ,29,FALSE)*(1+IF(OR($AH211=$F$4,$AH211=$F$5),$B$22,0))</f>
        <v>0</v>
      </c>
      <c r="AM211" s="21" cm="1">
        <f t="array" ref="AM211">$G$3+IFERROR(VLOOKUP($AH211,$F$4:$G$7,2,FALSE),0)+VLOOKUP($R211,武学奇术!$A:$ZZ,2,FALSE)+SUM(_xlfn.XLOOKUP($S211:$AG211,增益!$A:$A,增益!$B:$B,0))</f>
        <v>1.2391</v>
      </c>
      <c r="AN211" s="21" cm="1">
        <f t="array" ref="AN211">VLOOKUP($R211,武学奇术!$A:$ZZ,5,FALSE)+SUM(_xlfn.XLOOKUP($S211:$AG211,增益!$A:$A,增益!$E:$E,0))</f>
        <v>0</v>
      </c>
      <c r="AO211" cm="1">
        <f t="array" ref="AO211">$D$10*(1+$AN211)+VLOOKUP($R211,武学奇术!$A:$ZZ,3,FALSE)+SUM(_xlfn.XLOOKUP($S211:$AG211,增益!$A:$A,增益!$C:$C,0))-$I$2</f>
        <v>1825.28</v>
      </c>
      <c r="AP211" cm="1">
        <f t="array" ref="AP211">$E$10*(1+$AN211)+VLOOKUP($R211,武学奇术!$A:$ZZ,4,FALSE)+SUM(_xlfn.XLOOKUP($S211:$AG211,增益!$A:$A,增益!$D:$D,0))-$I$2</f>
        <v>7757.36</v>
      </c>
      <c r="AQ211" s="26" cm="1">
        <f t="array" ref="AQ211">IF($F$10-$I$3+VLOOKUP($R211,武学奇术!$A:$ZZ,6,FALSE)+SUM(_xlfn.XLOOKUP(S211:AG211,增益!$A:$A,增益!$F:$F,0))&gt;0,($F$10-$I$3+VLOOKUP($R211,武学奇术!$A:$ZZ,6,FALSE)+SUM(_xlfn.XLOOKUP(S211:AG211,增益!$A:$A,增益!$F:$F,0)))/200,($F$10-$I$3+VLOOKUP($R211,武学奇术!$A:$ZZ,6,FALSE)+SUM(_xlfn.XLOOKUP(S211:AG211,增益!$A:$A,增益!$F:$F,0)))/100)</f>
        <v>0.319</v>
      </c>
      <c r="AR211" s="26" cm="1">
        <f t="array" ref="AR211">$G$10+VLOOKUP($R211,武学奇术!$A:$ZZ,7,FALSE)+SUM(_xlfn.XLOOKUP(S211:AG211,增益!$A:$A,增益!$G:$G,0))</f>
        <v>0</v>
      </c>
      <c r="AS211" s="21" cm="1">
        <f t="array" ref="AS211">VLOOKUP($R211,武学奇术!$A:$ZZ,8,FALSE)+SUM(_xlfn.XLOOKUP(S211:AG211,增益!$A:$A,增益!$H:$H,0))</f>
        <v>0</v>
      </c>
      <c r="AT211">
        <f t="shared" si="34"/>
        <v>680.02</v>
      </c>
      <c r="AU211">
        <f t="shared" si="35"/>
        <v>1288.54</v>
      </c>
      <c r="AV211" s="26" cm="1">
        <f t="array" ref="AV211">IF($F$11-$I$4+VLOOKUP($R211,武学奇术!$A:$ZZ,9,FALSE)+SUM(_xlfn.XLOOKUP(S211:AG211,增益!$A:$A,增益!$I:$I,0))&gt;0,($F$11-$I$4+VLOOKUP($R211,武学奇术!$A:$ZZ,9,FALSE)+SUM(_xlfn.XLOOKUP(S211:AG211,增益!$A:$A,增益!$I:$I,0)))/200,($F$11-$I$4+VLOOKUP($R211,武学奇术!$A:$ZZ,9,FALSE)+SUM(_xlfn.XLOOKUP(S211:AG211,增益!$A:$A,增益!$I:$I,0)))/100)</f>
        <v>0.075</v>
      </c>
      <c r="AW211" s="26" cm="1">
        <f t="array" ref="AW211">$G$11+VLOOKUP($R211,武学奇术!$A:$ZZ,10,FALSE)+SUM(_xlfn.XLOOKUP(S211:AG211,增益!$A:$A,增益!$J:$J,0))</f>
        <v>0.15</v>
      </c>
      <c r="AX211">
        <f t="shared" si="36"/>
        <v>0</v>
      </c>
      <c r="AY211">
        <f t="shared" si="37"/>
        <v>0</v>
      </c>
      <c r="AZ211" s="26" cm="1">
        <f t="array" ref="AZ211">IF($F$12-$I$4+VLOOKUP($R211,武学奇术!$A:$ZZ,11,FALSE)+SUM(_xlfn.XLOOKUP(S211:AG211,增益!$A:$A,增益!$K:$K,0))&gt;0,($F$12-$I$4+VLOOKUP($R211,武学奇术!$A:$ZZ,11,FALSE)+SUM(_xlfn.XLOOKUP(S211:AG211,增益!$A:$A,增益!$K:$K,0)))/200,($F$12-$I$4+VLOOKUP($R211,武学奇术!$A:$ZZ,11,FALSE)+SUM(_xlfn.XLOOKUP(S211:AG211,增益!$A:$A,增益!$K:$K,0)))/100)</f>
        <v>-0.3</v>
      </c>
      <c r="BA211" s="26" cm="1">
        <f t="array" ref="BA211">$G$12+VLOOKUP($R211,武学奇术!$A:$ZZ,12,FALSE)+SUM(_xlfn.XLOOKUP(S211:AG211,增益!$A:$A,增益!$L:$L,0))</f>
        <v>0</v>
      </c>
      <c r="BB211">
        <f t="shared" si="38"/>
        <v>0</v>
      </c>
      <c r="BC211">
        <f t="shared" si="39"/>
        <v>0</v>
      </c>
      <c r="BD211" s="26" cm="1">
        <f t="array" ref="BD211">IF($F$13-$I$4+VLOOKUP($R211,武学奇术!$A:$ZZ,13,FALSE)+SUM(_xlfn.XLOOKUP(S211:AG211,增益!$A:$A,增益!$M:$M,0))&gt;0,($F$13-$I$4+VLOOKUP($R211,武学奇术!$A:$ZZ,13,FALSE)+SUM(_xlfn.XLOOKUP(S211:AG211,增益!$A:$A,增益!$K:$K,0)))/200,($F$13-$I$4+VLOOKUP($R211,武学奇术!$A:$ZZ,13,FALSE)+SUM(_xlfn.XLOOKUP(S211:AG211,增益!$A:$A,增益!$M:$M,0)))/100)</f>
        <v>-0.3</v>
      </c>
      <c r="BE211" s="26" cm="1">
        <f t="array" ref="BE211">$G$13+VLOOKUP($R211,武学奇术!$A:$ZZ,14,FALSE)+SUM(_xlfn.XLOOKUP(S211:AG211,增益!$A:$A,增益!$N:$N,0))</f>
        <v>0</v>
      </c>
      <c r="BF211">
        <f t="shared" si="40"/>
        <v>0</v>
      </c>
      <c r="BG211">
        <f t="shared" si="41"/>
        <v>0</v>
      </c>
      <c r="BH211" s="26" cm="1">
        <f t="array" ref="BH211">IF($F$14-$I$4+VLOOKUP($R211,武学奇术!$A:$ZZ,15,FALSE)+SUM(_xlfn.XLOOKUP(S211:AG211,增益!$A:$A,增益!$O:$O,0))&gt;0,($F$14-$I$4+VLOOKUP($R211,武学奇术!$A:$ZZ,15,FALSE)+SUM(_xlfn.XLOOKUP(S211:AG211,增益!$A:$A,增益!$O:$O,0)))/200,($F$14-$I$4+VLOOKUP($R211,武学奇术!$A:$ZZ,15,FALSE)+SUM(_xlfn.XLOOKUP(S211:AG211,增益!$A:$A,增益!$O:$O,0)))/100)</f>
        <v>-0.3</v>
      </c>
      <c r="BI211" s="26" cm="1">
        <f t="array" ref="BI211">$G$14+VLOOKUP($R211,武学奇术!$A:$ZZ,16,FALSE)+SUM(_xlfn.XLOOKUP(S211:AG211,增益!$A:$A,增益!$P:$P,0))</f>
        <v>0</v>
      </c>
      <c r="BJ211" s="21">
        <f>MIN(IF(VLOOKUP($R211,武学奇术!$A:$ZZ,23,FALSE)=1,100%,$B$8),100%)</f>
        <v>0.8229</v>
      </c>
      <c r="BK211" s="21" cm="1">
        <f t="array" ref="BK211">IF(VLOOKUP($R211,武学奇术!$A:$ZZ,23,FALSE)=1,100%,MIN(80%,$B$9+VLOOKUP($R211,武学奇术!$A:$ZZ,17,FALSE)+SUM(_xlfn.XLOOKUP(S211:AG211,增益!$A:$A,增益!$Q:$Q,0)))+$B$11+SUM(_xlfn.XLOOKUP(S211:AG211,增益!$A:$A,增益!$U:$U,0)))*IF(VLOOKUP($R211,武学奇术!$A:$ZZ,24,FALSE)=1,0,1)</f>
        <v>0.2285</v>
      </c>
      <c r="BL211" s="21" cm="1">
        <f t="array" ref="BL211">1+$B$13+VLOOKUP($R211,武学奇术!$A:$ZZ,18,FALSE)+SUM(_xlfn.XLOOKUP(S211:AG211,增益!$A:$A,增益!$R:$R,0))</f>
        <v>1.5</v>
      </c>
      <c r="BM211" s="21" cm="1">
        <f t="array" ref="BM211">IF(VLOOKUP($R211,武学奇术!$A:$ZZ,24,FALSE)=1,100%,MIN(40%,$B$10+VLOOKUP($R211,武学奇术!$A:$ZZ,19,FALSE)+SUM(_xlfn.XLOOKUP(S211:AG211,增益!$A:$A,增益!$S:$S,0)))+$B$12+SUM(_xlfn.XLOOKUP(S211:AG211,增益!$A:$A,增益!$V:$V,0)))*IF(VLOOKUP($R211,武学奇术!$A:$ZZ,23,FALSE)=1,0,1)</f>
        <v>0.4495</v>
      </c>
      <c r="BN211" s="21" cm="1">
        <f t="array" ref="BN211">1+$B$14+VLOOKUP($R211,武学奇术!$A:$ZZ,20,FALSE)+SUM(_xlfn.XLOOKUP(S211:AG211,增益!$A:$A,增益!$T:$T,0))</f>
        <v>1.752</v>
      </c>
      <c r="BO211" s="21">
        <f t="shared" si="42"/>
        <v>0.18803265</v>
      </c>
      <c r="BP211" s="21">
        <f t="shared" si="43"/>
        <v>0.2649738</v>
      </c>
      <c r="BQ211" s="21">
        <f>IF(VLOOKUP($R211,武学奇术!$A:$ZZ,22,FALSE)=1,0,(1-$BJ211))*(1-$BM211)</f>
        <v>0.09749355</v>
      </c>
      <c r="BR211" s="21" cm="1">
        <f t="array" ref="BR211">SUM(_xlfn.XLOOKUP(S211:AG211,增益!$A:$A,增益!$W:$W,0))+$I$5</f>
        <v>0.06</v>
      </c>
    </row>
    <row r="212" spans="11:70">
      <c r="K212" s="24">
        <f>$L212*VLOOKUP($R212,武学奇术!$A:$ZZ,31,FALSE)</f>
        <v>9609.08830252959</v>
      </c>
      <c r="L212" s="24">
        <f t="shared" si="33"/>
        <v>16015.1471708826</v>
      </c>
      <c r="M212" s="24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BL212*$Q212*(1+IF(VLOOKUP($R212,武学奇术!$A:$ZZ,30,FALSE)="流血",$B$21,0))*(1+$BR212)</f>
        <v>13262.8713297513</v>
      </c>
      <c r="N212" s="24">
        <f>(($AP212*$AI212+$AJ212)*(1+$AQ212)*(1+$AR212)+($AU212*IF($G$1="鸣金",$AK212,$AI212)+IF($G$1="鸣金",$AL212*1.5,0))*(1+$AV212)*(1+$AW212)+($AY212*IF($G$1="裂石",$AK212,$AI212)+IF($G$1="裂石",$AL212*1.5,0))*(1+$AZ212)*(1+$BA212)+($BC212*IF($G$1="牵丝",$AK212,$AI212)+IF($G$1="牵丝",$AL212*1.5,0))*(1+$BD212)*(1+$BE212)+($BG212*IF($G$1="破竹",$AK212,$AI212)+IF($G$1="破竹",$AL212*1.5,0))*(1+$BH212)*(1+$BI212))*(1+$AM212)*$BN212*$Q212*(1+IF(VLOOKUP($R212,武学奇术!$A:$ZZ,30,FALSE)="流血",$B$21,0))*(1+$BR212)</f>
        <v>24004.7926207772</v>
      </c>
      <c r="O212" s="24">
        <f>((($AO212+$AP212)/2*$AI212+$AJ212)*(1+$AQ212)*(1+$AR212)+(($AT212+$AU212)/2*IF($G$1="鸣金",$AK212,$AI212)+IF($G$1="鸣金",$AL212*1.5,0))*(1+$AV212)*(1+$AW212)+(($AX212+$AY212)/2*IF($G$1="裂石",$AK212,$AI212)+IF($G$1="裂石",$AL212*1.5,0))*(1+$AZ212)*(1+$BA212)+(($BB212+$BC212)/2*IF($G$1="牵丝",$AK212,$AI212)+IF($G$1="牵丝",$AL212*1.5,0))*(1+$BD212)*(1+$BE212)+(($BF212+$BG212)/2*IF($G$1="破竹",$AK212,$AI212)+IF($G$1="破竹",$AL212*1.5,0))*(1+$BH212)*(1+$BI212))*(1+$AM212)*$Q212*(1+IF(VLOOKUP($R212,武学奇术!$A:$ZZ,30,FALSE)="流血",$B$21,0))*(1+$BR212)</f>
        <v>8841.91421983417</v>
      </c>
      <c r="P212" s="24">
        <f>((($AO212*$AI212+$AJ212)*(1+$AQ212)*(1+$AR212)+($AT212*IF($G$1="鸣金",$AK212,$AI212)+IF($G$1="鸣金",$AL212*1.5,0))*(1+$AV212)*(1+$AW212)+($AX212*IF($G$1="裂石",$AK212,$AI212)+IF($G$1="裂石",$AL212*1.5,0))*(1+$AZ212)*(1+$BA212)+($BB212*IF($G$1="牵丝",$AK212,$AI212)+IF($G$1="牵丝",$AL212*1.5,0))*(1+$BD212)*(1+$BE212)+($BF212*IF($G$1="破竹",$AK212,$AI212)+IF($G$1="破竹",$AL212*1.5,0))*(1+$BH212)*(1+$BI212))*(1+$AM212))*$Q212*(1+IF(VLOOKUP($R212,武学奇术!$A:$ZZ,30,FALSE)="流血",$B$21,0))*(1+$BR212)</f>
        <v>3982.46278853979</v>
      </c>
      <c r="Q212" s="31">
        <v>1</v>
      </c>
      <c r="R212" s="32" t="s">
        <v>199</v>
      </c>
      <c r="S212" s="32" t="s">
        <v>87</v>
      </c>
      <c r="T212" s="32" t="s">
        <v>96</v>
      </c>
      <c r="U212" s="32" t="s">
        <v>97</v>
      </c>
      <c r="V212" s="32" t="s">
        <v>73</v>
      </c>
      <c r="W212" s="32" t="s">
        <v>111</v>
      </c>
      <c r="X212" s="32" t="s">
        <v>127</v>
      </c>
      <c r="Y212" s="32" t="s">
        <v>73</v>
      </c>
      <c r="Z212" s="32" t="s">
        <v>73</v>
      </c>
      <c r="AA212" s="32" t="s">
        <v>73</v>
      </c>
      <c r="AB212" s="32" t="s">
        <v>75</v>
      </c>
      <c r="AC212" s="32" t="s">
        <v>76</v>
      </c>
      <c r="AD212" s="32" t="s">
        <v>82</v>
      </c>
      <c r="AE212" s="32" t="s">
        <v>73</v>
      </c>
      <c r="AF212" s="32" t="s">
        <v>73</v>
      </c>
      <c r="AG212" s="32" t="s">
        <v>169</v>
      </c>
      <c r="AH212" t="str">
        <f>VLOOKUP($R212,武学奇术!$A:$ZZ,25,FALSE)</f>
        <v>剑</v>
      </c>
      <c r="AI212" s="21">
        <f>VLOOKUP($R212,武学奇术!$A:$ZZ,26,FALSE)</f>
        <v>0.3465</v>
      </c>
      <c r="AJ212" s="22">
        <f>VLOOKUP($R212,武学奇术!$A:$ZZ,27,FALSE)*(1+IF(OR($AH212=$F$4,$AH212=$F$5),$B$22,0))</f>
        <v>0</v>
      </c>
      <c r="AK212" s="21">
        <f>VLOOKUP($R212,武学奇术!$A:$ZZ,28,FALSE)</f>
        <v>0.51975</v>
      </c>
      <c r="AL212" s="22">
        <f>VLOOKUP($R212,武学奇术!$A:$ZZ,29,FALSE)*(1+IF(OR($AH212=$F$4,$AH212=$F$5),$B$22,0))</f>
        <v>0</v>
      </c>
      <c r="AM212" s="21" cm="1">
        <f t="array" ref="AM212">$G$3+IFERROR(VLOOKUP($AH212,$F$4:$G$7,2,FALSE),0)+VLOOKUP($R212,武学奇术!$A:$ZZ,2,FALSE)+SUM(_xlfn.XLOOKUP($S212:$AG212,增益!$A:$A,增益!$B:$B,0))</f>
        <v>1.2391</v>
      </c>
      <c r="AN212" s="21" cm="1">
        <f t="array" ref="AN212">VLOOKUP($R212,武学奇术!$A:$ZZ,5,FALSE)+SUM(_xlfn.XLOOKUP($S212:$AG212,增益!$A:$A,增益!$E:$E,0))</f>
        <v>0</v>
      </c>
      <c r="AO212" cm="1">
        <f t="array" ref="AO212">$D$10*(1+$AN212)+VLOOKUP($R212,武学奇术!$A:$ZZ,3,FALSE)+SUM(_xlfn.XLOOKUP($S212:$AG212,增益!$A:$A,增益!$C:$C,0))-$I$2</f>
        <v>1825.28</v>
      </c>
      <c r="AP212" cm="1">
        <f t="array" ref="AP212">$E$10*(1+$AN212)+VLOOKUP($R212,武学奇术!$A:$ZZ,4,FALSE)+SUM(_xlfn.XLOOKUP($S212:$AG212,增益!$A:$A,增益!$D:$D,0))-$I$2</f>
        <v>7757.36</v>
      </c>
      <c r="AQ212" s="26" cm="1">
        <f t="array" ref="AQ212">IF($F$10-$I$3+VLOOKUP($R212,武学奇术!$A:$ZZ,6,FALSE)+SUM(_xlfn.XLOOKUP(S212:AG212,增益!$A:$A,增益!$F:$F,0))&gt;0,($F$10-$I$3+VLOOKUP($R212,武学奇术!$A:$ZZ,6,FALSE)+SUM(_xlfn.XLOOKUP(S212:AG212,增益!$A:$A,增益!$F:$F,0)))/200,($F$10-$I$3+VLOOKUP($R212,武学奇术!$A:$ZZ,6,FALSE)+SUM(_xlfn.XLOOKUP(S212:AG212,增益!$A:$A,增益!$F:$F,0)))/100)</f>
        <v>0.319</v>
      </c>
      <c r="AR212" s="26" cm="1">
        <f t="array" ref="AR212">$G$10+VLOOKUP($R212,武学奇术!$A:$ZZ,7,FALSE)+SUM(_xlfn.XLOOKUP(S212:AG212,增益!$A:$A,增益!$G:$G,0))</f>
        <v>0</v>
      </c>
      <c r="AS212" s="21" cm="1">
        <f t="array" ref="AS212">VLOOKUP($R212,武学奇术!$A:$ZZ,8,FALSE)+SUM(_xlfn.XLOOKUP(S212:AG212,增益!$A:$A,增益!$H:$H,0))</f>
        <v>0</v>
      </c>
      <c r="AT212">
        <f t="shared" si="34"/>
        <v>680.02</v>
      </c>
      <c r="AU212">
        <f t="shared" si="35"/>
        <v>1288.54</v>
      </c>
      <c r="AV212" s="26" cm="1">
        <f t="array" ref="AV212">IF($F$11-$I$4+VLOOKUP($R212,武学奇术!$A:$ZZ,9,FALSE)+SUM(_xlfn.XLOOKUP(S212:AG212,增益!$A:$A,增益!$I:$I,0))&gt;0,($F$11-$I$4+VLOOKUP($R212,武学奇术!$A:$ZZ,9,FALSE)+SUM(_xlfn.XLOOKUP(S212:AG212,增益!$A:$A,增益!$I:$I,0)))/200,($F$11-$I$4+VLOOKUP($R212,武学奇术!$A:$ZZ,9,FALSE)+SUM(_xlfn.XLOOKUP(S212:AG212,增益!$A:$A,增益!$I:$I,0)))/100)</f>
        <v>0.075</v>
      </c>
      <c r="AW212" s="26" cm="1">
        <f t="array" ref="AW212">$G$11+VLOOKUP($R212,武学奇术!$A:$ZZ,10,FALSE)+SUM(_xlfn.XLOOKUP(S212:AG212,增益!$A:$A,增益!$J:$J,0))</f>
        <v>0.15</v>
      </c>
      <c r="AX212">
        <f t="shared" si="36"/>
        <v>0</v>
      </c>
      <c r="AY212">
        <f t="shared" si="37"/>
        <v>0</v>
      </c>
      <c r="AZ212" s="26" cm="1">
        <f t="array" ref="AZ212">IF($F$12-$I$4+VLOOKUP($R212,武学奇术!$A:$ZZ,11,FALSE)+SUM(_xlfn.XLOOKUP(S212:AG212,增益!$A:$A,增益!$K:$K,0))&gt;0,($F$12-$I$4+VLOOKUP($R212,武学奇术!$A:$ZZ,11,FALSE)+SUM(_xlfn.XLOOKUP(S212:AG212,增益!$A:$A,增益!$K:$K,0)))/200,($F$12-$I$4+VLOOKUP($R212,武学奇术!$A:$ZZ,11,FALSE)+SUM(_xlfn.XLOOKUP(S212:AG212,增益!$A:$A,增益!$K:$K,0)))/100)</f>
        <v>-0.3</v>
      </c>
      <c r="BA212" s="26" cm="1">
        <f t="array" ref="BA212">$G$12+VLOOKUP($R212,武学奇术!$A:$ZZ,12,FALSE)+SUM(_xlfn.XLOOKUP(S212:AG212,增益!$A:$A,增益!$L:$L,0))</f>
        <v>0</v>
      </c>
      <c r="BB212">
        <f t="shared" si="38"/>
        <v>0</v>
      </c>
      <c r="BC212">
        <f t="shared" si="39"/>
        <v>0</v>
      </c>
      <c r="BD212" s="26" cm="1">
        <f t="array" ref="BD212">IF($F$13-$I$4+VLOOKUP($R212,武学奇术!$A:$ZZ,13,FALSE)+SUM(_xlfn.XLOOKUP(S212:AG212,增益!$A:$A,增益!$M:$M,0))&gt;0,($F$13-$I$4+VLOOKUP($R212,武学奇术!$A:$ZZ,13,FALSE)+SUM(_xlfn.XLOOKUP(S212:AG212,增益!$A:$A,增益!$K:$K,0)))/200,($F$13-$I$4+VLOOKUP($R212,武学奇术!$A:$ZZ,13,FALSE)+SUM(_xlfn.XLOOKUP(S212:AG212,增益!$A:$A,增益!$M:$M,0)))/100)</f>
        <v>-0.3</v>
      </c>
      <c r="BE212" s="26" cm="1">
        <f t="array" ref="BE212">$G$13+VLOOKUP($R212,武学奇术!$A:$ZZ,14,FALSE)+SUM(_xlfn.XLOOKUP(S212:AG212,增益!$A:$A,增益!$N:$N,0))</f>
        <v>0</v>
      </c>
      <c r="BF212">
        <f t="shared" si="40"/>
        <v>0</v>
      </c>
      <c r="BG212">
        <f t="shared" si="41"/>
        <v>0</v>
      </c>
      <c r="BH212" s="26" cm="1">
        <f t="array" ref="BH212">IF($F$14-$I$4+VLOOKUP($R212,武学奇术!$A:$ZZ,15,FALSE)+SUM(_xlfn.XLOOKUP(S212:AG212,增益!$A:$A,增益!$O:$O,0))&gt;0,($F$14-$I$4+VLOOKUP($R212,武学奇术!$A:$ZZ,15,FALSE)+SUM(_xlfn.XLOOKUP(S212:AG212,增益!$A:$A,增益!$O:$O,0)))/200,($F$14-$I$4+VLOOKUP($R212,武学奇术!$A:$ZZ,15,FALSE)+SUM(_xlfn.XLOOKUP(S212:AG212,增益!$A:$A,增益!$O:$O,0)))/100)</f>
        <v>-0.3</v>
      </c>
      <c r="BI212" s="26" cm="1">
        <f t="array" ref="BI212">$G$14+VLOOKUP($R212,武学奇术!$A:$ZZ,16,FALSE)+SUM(_xlfn.XLOOKUP(S212:AG212,增益!$A:$A,增益!$P:$P,0))</f>
        <v>0</v>
      </c>
      <c r="BJ212" s="21">
        <f>MIN(IF(VLOOKUP($R212,武学奇术!$A:$ZZ,23,FALSE)=1,100%,$B$8),100%)</f>
        <v>0.8229</v>
      </c>
      <c r="BK212" s="21" cm="1">
        <f t="array" ref="BK212">IF(VLOOKUP($R212,武学奇术!$A:$ZZ,23,FALSE)=1,100%,MIN(80%,$B$9+VLOOKUP($R212,武学奇术!$A:$ZZ,17,FALSE)+SUM(_xlfn.XLOOKUP(S212:AG212,增益!$A:$A,增益!$Q:$Q,0)))+$B$11+SUM(_xlfn.XLOOKUP(S212:AG212,增益!$A:$A,增益!$U:$U,0)))*IF(VLOOKUP($R212,武学奇术!$A:$ZZ,24,FALSE)=1,0,1)</f>
        <v>0.2285</v>
      </c>
      <c r="BL212" s="21" cm="1">
        <f t="array" ref="BL212">1+$B$13+VLOOKUP($R212,武学奇术!$A:$ZZ,18,FALSE)+SUM(_xlfn.XLOOKUP(S212:AG212,增益!$A:$A,增益!$R:$R,0))</f>
        <v>1.5</v>
      </c>
      <c r="BM212" s="21" cm="1">
        <f t="array" ref="BM212">IF(VLOOKUP($R212,武学奇术!$A:$ZZ,24,FALSE)=1,100%,MIN(40%,$B$10+VLOOKUP($R212,武学奇术!$A:$ZZ,19,FALSE)+SUM(_xlfn.XLOOKUP(S212:AG212,增益!$A:$A,增益!$S:$S,0)))+$B$12+SUM(_xlfn.XLOOKUP(S212:AG212,增益!$A:$A,增益!$V:$V,0)))*IF(VLOOKUP($R212,武学奇术!$A:$ZZ,23,FALSE)=1,0,1)</f>
        <v>0.4495</v>
      </c>
      <c r="BN212" s="21" cm="1">
        <f t="array" ref="BN212">1+$B$14+VLOOKUP($R212,武学奇术!$A:$ZZ,20,FALSE)+SUM(_xlfn.XLOOKUP(S212:AG212,增益!$A:$A,增益!$T:$T,0))</f>
        <v>1.752</v>
      </c>
      <c r="BO212" s="21">
        <f t="shared" si="42"/>
        <v>0.18803265</v>
      </c>
      <c r="BP212" s="21">
        <f t="shared" si="43"/>
        <v>0.2649738</v>
      </c>
      <c r="BQ212" s="21">
        <f>IF(VLOOKUP($R212,武学奇术!$A:$ZZ,22,FALSE)=1,0,(1-$BJ212))*(1-$BM212)</f>
        <v>0.09749355</v>
      </c>
      <c r="BR212" s="21" cm="1">
        <f t="array" ref="BR212">SUM(_xlfn.XLOOKUP(S212:AG212,增益!$A:$A,增益!$W:$W,0))+$I$5</f>
        <v>0.06</v>
      </c>
    </row>
    <row r="213" spans="11:70">
      <c r="K213" s="24">
        <f>$L213*VLOOKUP($R213,武学奇术!$A:$ZZ,31,FALSE)</f>
        <v>9609.08830252959</v>
      </c>
      <c r="L213" s="24">
        <f t="shared" si="33"/>
        <v>16015.1471708826</v>
      </c>
      <c r="M213" s="24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BL213*$Q213*(1+IF(VLOOKUP($R213,武学奇术!$A:$ZZ,30,FALSE)="流血",$B$21,0))*(1+$BR213)</f>
        <v>13262.8713297513</v>
      </c>
      <c r="N213" s="24">
        <f>(($AP213*$AI213+$AJ213)*(1+$AQ213)*(1+$AR213)+($AU213*IF($G$1="鸣金",$AK213,$AI213)+IF($G$1="鸣金",$AL213*1.5,0))*(1+$AV213)*(1+$AW213)+($AY213*IF($G$1="裂石",$AK213,$AI213)+IF($G$1="裂石",$AL213*1.5,0))*(1+$AZ213)*(1+$BA213)+($BC213*IF($G$1="牵丝",$AK213,$AI213)+IF($G$1="牵丝",$AL213*1.5,0))*(1+$BD213)*(1+$BE213)+($BG213*IF($G$1="破竹",$AK213,$AI213)+IF($G$1="破竹",$AL213*1.5,0))*(1+$BH213)*(1+$BI213))*(1+$AM213)*$BN213*$Q213*(1+IF(VLOOKUP($R213,武学奇术!$A:$ZZ,30,FALSE)="流血",$B$21,0))*(1+$BR213)</f>
        <v>24004.7926207772</v>
      </c>
      <c r="O213" s="24">
        <f>((($AO213+$AP213)/2*$AI213+$AJ213)*(1+$AQ213)*(1+$AR213)+(($AT213+$AU213)/2*IF($G$1="鸣金",$AK213,$AI213)+IF($G$1="鸣金",$AL213*1.5,0))*(1+$AV213)*(1+$AW213)+(($AX213+$AY213)/2*IF($G$1="裂石",$AK213,$AI213)+IF($G$1="裂石",$AL213*1.5,0))*(1+$AZ213)*(1+$BA213)+(($BB213+$BC213)/2*IF($G$1="牵丝",$AK213,$AI213)+IF($G$1="牵丝",$AL213*1.5,0))*(1+$BD213)*(1+$BE213)+(($BF213+$BG213)/2*IF($G$1="破竹",$AK213,$AI213)+IF($G$1="破竹",$AL213*1.5,0))*(1+$BH213)*(1+$BI213))*(1+$AM213)*$Q213*(1+IF(VLOOKUP($R213,武学奇术!$A:$ZZ,30,FALSE)="流血",$B$21,0))*(1+$BR213)</f>
        <v>8841.91421983417</v>
      </c>
      <c r="P213" s="24">
        <f>((($AO213*$AI213+$AJ213)*(1+$AQ213)*(1+$AR213)+($AT213*IF($G$1="鸣金",$AK213,$AI213)+IF($G$1="鸣金",$AL213*1.5,0))*(1+$AV213)*(1+$AW213)+($AX213*IF($G$1="裂石",$AK213,$AI213)+IF($G$1="裂石",$AL213*1.5,0))*(1+$AZ213)*(1+$BA213)+($BB213*IF($G$1="牵丝",$AK213,$AI213)+IF($G$1="牵丝",$AL213*1.5,0))*(1+$BD213)*(1+$BE213)+($BF213*IF($G$1="破竹",$AK213,$AI213)+IF($G$1="破竹",$AL213*1.5,0))*(1+$BH213)*(1+$BI213))*(1+$AM213))*$Q213*(1+IF(VLOOKUP($R213,武学奇术!$A:$ZZ,30,FALSE)="流血",$B$21,0))*(1+$BR213)</f>
        <v>3982.46278853979</v>
      </c>
      <c r="Q213" s="31">
        <v>1</v>
      </c>
      <c r="R213" s="32" t="s">
        <v>199</v>
      </c>
      <c r="S213" s="32" t="s">
        <v>87</v>
      </c>
      <c r="T213" s="32" t="s">
        <v>96</v>
      </c>
      <c r="U213" s="32" t="s">
        <v>97</v>
      </c>
      <c r="V213" s="32" t="s">
        <v>73</v>
      </c>
      <c r="W213" s="32" t="s">
        <v>111</v>
      </c>
      <c r="X213" s="32" t="s">
        <v>127</v>
      </c>
      <c r="Y213" s="32" t="s">
        <v>73</v>
      </c>
      <c r="Z213" s="32" t="s">
        <v>73</v>
      </c>
      <c r="AA213" s="32" t="s">
        <v>73</v>
      </c>
      <c r="AB213" s="32" t="s">
        <v>75</v>
      </c>
      <c r="AC213" s="32" t="s">
        <v>76</v>
      </c>
      <c r="AD213" s="32" t="s">
        <v>82</v>
      </c>
      <c r="AE213" s="32" t="s">
        <v>73</v>
      </c>
      <c r="AF213" s="32" t="s">
        <v>73</v>
      </c>
      <c r="AG213" s="32" t="s">
        <v>169</v>
      </c>
      <c r="AH213" t="str">
        <f>VLOOKUP($R213,武学奇术!$A:$ZZ,25,FALSE)</f>
        <v>剑</v>
      </c>
      <c r="AI213" s="21">
        <f>VLOOKUP($R213,武学奇术!$A:$ZZ,26,FALSE)</f>
        <v>0.3465</v>
      </c>
      <c r="AJ213" s="22">
        <f>VLOOKUP($R213,武学奇术!$A:$ZZ,27,FALSE)*(1+IF(OR($AH213=$F$4,$AH213=$F$5),$B$22,0))</f>
        <v>0</v>
      </c>
      <c r="AK213" s="21">
        <f>VLOOKUP($R213,武学奇术!$A:$ZZ,28,FALSE)</f>
        <v>0.51975</v>
      </c>
      <c r="AL213" s="22">
        <f>VLOOKUP($R213,武学奇术!$A:$ZZ,29,FALSE)*(1+IF(OR($AH213=$F$4,$AH213=$F$5),$B$22,0))</f>
        <v>0</v>
      </c>
      <c r="AM213" s="21" cm="1">
        <f t="array" ref="AM213">$G$3+IFERROR(VLOOKUP($AH213,$F$4:$G$7,2,FALSE),0)+VLOOKUP($R213,武学奇术!$A:$ZZ,2,FALSE)+SUM(_xlfn.XLOOKUP($S213:$AG213,增益!$A:$A,增益!$B:$B,0))</f>
        <v>1.2391</v>
      </c>
      <c r="AN213" s="21" cm="1">
        <f t="array" ref="AN213">VLOOKUP($R213,武学奇术!$A:$ZZ,5,FALSE)+SUM(_xlfn.XLOOKUP($S213:$AG213,增益!$A:$A,增益!$E:$E,0))</f>
        <v>0</v>
      </c>
      <c r="AO213" cm="1">
        <f t="array" ref="AO213">$D$10*(1+$AN213)+VLOOKUP($R213,武学奇术!$A:$ZZ,3,FALSE)+SUM(_xlfn.XLOOKUP($S213:$AG213,增益!$A:$A,增益!$C:$C,0))-$I$2</f>
        <v>1825.28</v>
      </c>
      <c r="AP213" cm="1">
        <f t="array" ref="AP213">$E$10*(1+$AN213)+VLOOKUP($R213,武学奇术!$A:$ZZ,4,FALSE)+SUM(_xlfn.XLOOKUP($S213:$AG213,增益!$A:$A,增益!$D:$D,0))-$I$2</f>
        <v>7757.36</v>
      </c>
      <c r="AQ213" s="26" cm="1">
        <f t="array" ref="AQ213">IF($F$10-$I$3+VLOOKUP($R213,武学奇术!$A:$ZZ,6,FALSE)+SUM(_xlfn.XLOOKUP(S213:AG213,增益!$A:$A,增益!$F:$F,0))&gt;0,($F$10-$I$3+VLOOKUP($R213,武学奇术!$A:$ZZ,6,FALSE)+SUM(_xlfn.XLOOKUP(S213:AG213,增益!$A:$A,增益!$F:$F,0)))/200,($F$10-$I$3+VLOOKUP($R213,武学奇术!$A:$ZZ,6,FALSE)+SUM(_xlfn.XLOOKUP(S213:AG213,增益!$A:$A,增益!$F:$F,0)))/100)</f>
        <v>0.319</v>
      </c>
      <c r="AR213" s="26" cm="1">
        <f t="array" ref="AR213">$G$10+VLOOKUP($R213,武学奇术!$A:$ZZ,7,FALSE)+SUM(_xlfn.XLOOKUP(S213:AG213,增益!$A:$A,增益!$G:$G,0))</f>
        <v>0</v>
      </c>
      <c r="AS213" s="21" cm="1">
        <f t="array" ref="AS213">VLOOKUP($R213,武学奇术!$A:$ZZ,8,FALSE)+SUM(_xlfn.XLOOKUP(S213:AG213,增益!$A:$A,增益!$H:$H,0))</f>
        <v>0</v>
      </c>
      <c r="AT213">
        <f t="shared" si="34"/>
        <v>680.02</v>
      </c>
      <c r="AU213">
        <f t="shared" si="35"/>
        <v>1288.54</v>
      </c>
      <c r="AV213" s="26" cm="1">
        <f t="array" ref="AV213">IF($F$11-$I$4+VLOOKUP($R213,武学奇术!$A:$ZZ,9,FALSE)+SUM(_xlfn.XLOOKUP(S213:AG213,增益!$A:$A,增益!$I:$I,0))&gt;0,($F$11-$I$4+VLOOKUP($R213,武学奇术!$A:$ZZ,9,FALSE)+SUM(_xlfn.XLOOKUP(S213:AG213,增益!$A:$A,增益!$I:$I,0)))/200,($F$11-$I$4+VLOOKUP($R213,武学奇术!$A:$ZZ,9,FALSE)+SUM(_xlfn.XLOOKUP(S213:AG213,增益!$A:$A,增益!$I:$I,0)))/100)</f>
        <v>0.075</v>
      </c>
      <c r="AW213" s="26" cm="1">
        <f t="array" ref="AW213">$G$11+VLOOKUP($R213,武学奇术!$A:$ZZ,10,FALSE)+SUM(_xlfn.XLOOKUP(S213:AG213,增益!$A:$A,增益!$J:$J,0))</f>
        <v>0.15</v>
      </c>
      <c r="AX213">
        <f t="shared" si="36"/>
        <v>0</v>
      </c>
      <c r="AY213">
        <f t="shared" si="37"/>
        <v>0</v>
      </c>
      <c r="AZ213" s="26" cm="1">
        <f t="array" ref="AZ213">IF($F$12-$I$4+VLOOKUP($R213,武学奇术!$A:$ZZ,11,FALSE)+SUM(_xlfn.XLOOKUP(S213:AG213,增益!$A:$A,增益!$K:$K,0))&gt;0,($F$12-$I$4+VLOOKUP($R213,武学奇术!$A:$ZZ,11,FALSE)+SUM(_xlfn.XLOOKUP(S213:AG213,增益!$A:$A,增益!$K:$K,0)))/200,($F$12-$I$4+VLOOKUP($R213,武学奇术!$A:$ZZ,11,FALSE)+SUM(_xlfn.XLOOKUP(S213:AG213,增益!$A:$A,增益!$K:$K,0)))/100)</f>
        <v>-0.3</v>
      </c>
      <c r="BA213" s="26" cm="1">
        <f t="array" ref="BA213">$G$12+VLOOKUP($R213,武学奇术!$A:$ZZ,12,FALSE)+SUM(_xlfn.XLOOKUP(S213:AG213,增益!$A:$A,增益!$L:$L,0))</f>
        <v>0</v>
      </c>
      <c r="BB213">
        <f t="shared" si="38"/>
        <v>0</v>
      </c>
      <c r="BC213">
        <f t="shared" si="39"/>
        <v>0</v>
      </c>
      <c r="BD213" s="26" cm="1">
        <f t="array" ref="BD213">IF($F$13-$I$4+VLOOKUP($R213,武学奇术!$A:$ZZ,13,FALSE)+SUM(_xlfn.XLOOKUP(S213:AG213,增益!$A:$A,增益!$M:$M,0))&gt;0,($F$13-$I$4+VLOOKUP($R213,武学奇术!$A:$ZZ,13,FALSE)+SUM(_xlfn.XLOOKUP(S213:AG213,增益!$A:$A,增益!$K:$K,0)))/200,($F$13-$I$4+VLOOKUP($R213,武学奇术!$A:$ZZ,13,FALSE)+SUM(_xlfn.XLOOKUP(S213:AG213,增益!$A:$A,增益!$M:$M,0)))/100)</f>
        <v>-0.3</v>
      </c>
      <c r="BE213" s="26" cm="1">
        <f t="array" ref="BE213">$G$13+VLOOKUP($R213,武学奇术!$A:$ZZ,14,FALSE)+SUM(_xlfn.XLOOKUP(S213:AG213,增益!$A:$A,增益!$N:$N,0))</f>
        <v>0</v>
      </c>
      <c r="BF213">
        <f t="shared" si="40"/>
        <v>0</v>
      </c>
      <c r="BG213">
        <f t="shared" si="41"/>
        <v>0</v>
      </c>
      <c r="BH213" s="26" cm="1">
        <f t="array" ref="BH213">IF($F$14-$I$4+VLOOKUP($R213,武学奇术!$A:$ZZ,15,FALSE)+SUM(_xlfn.XLOOKUP(S213:AG213,增益!$A:$A,增益!$O:$O,0))&gt;0,($F$14-$I$4+VLOOKUP($R213,武学奇术!$A:$ZZ,15,FALSE)+SUM(_xlfn.XLOOKUP(S213:AG213,增益!$A:$A,增益!$O:$O,0)))/200,($F$14-$I$4+VLOOKUP($R213,武学奇术!$A:$ZZ,15,FALSE)+SUM(_xlfn.XLOOKUP(S213:AG213,增益!$A:$A,增益!$O:$O,0)))/100)</f>
        <v>-0.3</v>
      </c>
      <c r="BI213" s="26" cm="1">
        <f t="array" ref="BI213">$G$14+VLOOKUP($R213,武学奇术!$A:$ZZ,16,FALSE)+SUM(_xlfn.XLOOKUP(S213:AG213,增益!$A:$A,增益!$P:$P,0))</f>
        <v>0</v>
      </c>
      <c r="BJ213" s="21">
        <f>MIN(IF(VLOOKUP($R213,武学奇术!$A:$ZZ,23,FALSE)=1,100%,$B$8),100%)</f>
        <v>0.8229</v>
      </c>
      <c r="BK213" s="21" cm="1">
        <f t="array" ref="BK213">IF(VLOOKUP($R213,武学奇术!$A:$ZZ,23,FALSE)=1,100%,MIN(80%,$B$9+VLOOKUP($R213,武学奇术!$A:$ZZ,17,FALSE)+SUM(_xlfn.XLOOKUP(S213:AG213,增益!$A:$A,增益!$Q:$Q,0)))+$B$11+SUM(_xlfn.XLOOKUP(S213:AG213,增益!$A:$A,增益!$U:$U,0)))*IF(VLOOKUP($R213,武学奇术!$A:$ZZ,24,FALSE)=1,0,1)</f>
        <v>0.2285</v>
      </c>
      <c r="BL213" s="21" cm="1">
        <f t="array" ref="BL213">1+$B$13+VLOOKUP($R213,武学奇术!$A:$ZZ,18,FALSE)+SUM(_xlfn.XLOOKUP(S213:AG213,增益!$A:$A,增益!$R:$R,0))</f>
        <v>1.5</v>
      </c>
      <c r="BM213" s="21" cm="1">
        <f t="array" ref="BM213">IF(VLOOKUP($R213,武学奇术!$A:$ZZ,24,FALSE)=1,100%,MIN(40%,$B$10+VLOOKUP($R213,武学奇术!$A:$ZZ,19,FALSE)+SUM(_xlfn.XLOOKUP(S213:AG213,增益!$A:$A,增益!$S:$S,0)))+$B$12+SUM(_xlfn.XLOOKUP(S213:AG213,增益!$A:$A,增益!$V:$V,0)))*IF(VLOOKUP($R213,武学奇术!$A:$ZZ,23,FALSE)=1,0,1)</f>
        <v>0.4495</v>
      </c>
      <c r="BN213" s="21" cm="1">
        <f t="array" ref="BN213">1+$B$14+VLOOKUP($R213,武学奇术!$A:$ZZ,20,FALSE)+SUM(_xlfn.XLOOKUP(S213:AG213,增益!$A:$A,增益!$T:$T,0))</f>
        <v>1.752</v>
      </c>
      <c r="BO213" s="21">
        <f t="shared" si="42"/>
        <v>0.18803265</v>
      </c>
      <c r="BP213" s="21">
        <f t="shared" si="43"/>
        <v>0.2649738</v>
      </c>
      <c r="BQ213" s="21">
        <f>IF(VLOOKUP($R213,武学奇术!$A:$ZZ,22,FALSE)=1,0,(1-$BJ213))*(1-$BM213)</f>
        <v>0.09749355</v>
      </c>
      <c r="BR213" s="21" cm="1">
        <f t="array" ref="BR213">SUM(_xlfn.XLOOKUP(S213:AG213,增益!$A:$A,增益!$W:$W,0))+$I$5</f>
        <v>0.06</v>
      </c>
    </row>
    <row r="214" spans="11:70">
      <c r="K214" s="24">
        <f>$L214*VLOOKUP($R214,武学奇术!$A:$ZZ,31,FALSE)</f>
        <v>7716.83270855255</v>
      </c>
      <c r="L214" s="24">
        <f t="shared" si="33"/>
        <v>12861.3878475876</v>
      </c>
      <c r="M214" s="24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BL214*$Q214*(1+IF(VLOOKUP($R214,武学奇术!$A:$ZZ,30,FALSE)="流血",$B$21,0))*(1+$BR214)</f>
        <v>10610.297063801</v>
      </c>
      <c r="N214" s="24">
        <f>(($AP214*$AI214+$AJ214)*(1+$AQ214)*(1+$AR214)+($AU214*IF($G$1="鸣金",$AK214,$AI214)+IF($G$1="鸣金",$AL214*1.5,0))*(1+$AV214)*(1+$AW214)+($AY214*IF($G$1="裂石",$AK214,$AI214)+IF($G$1="裂石",$AL214*1.5,0))*(1+$AZ214)*(1+$BA214)+($BC214*IF($G$1="牵丝",$AK214,$AI214)+IF($G$1="牵丝",$AL214*1.5,0))*(1+$BD214)*(1+$BE214)+($BG214*IF($G$1="破竹",$AK214,$AI214)+IF($G$1="破竹",$AL214*1.5,0))*(1+$BH214)*(1+$BI214))*(1+$AM214)*$BN214*$Q214*(1+IF(VLOOKUP($R214,武学奇术!$A:$ZZ,30,FALSE)="流血",$B$21,0))*(1+$BR214)</f>
        <v>19313.4450218308</v>
      </c>
      <c r="O214" s="24">
        <f>((($AO214+$AP214)/2*$AI214+$AJ214)*(1+$AQ214)*(1+$AR214)+(($AT214+$AU214)/2*IF($G$1="鸣金",$AK214,$AI214)+IF($G$1="鸣金",$AL214*1.5,0))*(1+$AV214)*(1+$AW214)+(($AX214+$AY214)/2*IF($G$1="裂石",$AK214,$AI214)+IF($G$1="裂石",$AL214*1.5,0))*(1+$AZ214)*(1+$BA214)+(($BB214+$BC214)/2*IF($G$1="牵丝",$AK214,$AI214)+IF($G$1="牵丝",$AL214*1.5,0))*(1+$BD214)*(1+$BE214)+(($BF214+$BG214)/2*IF($G$1="破竹",$AK214,$AI214)+IF($G$1="破竹",$AL214*1.5,0))*(1+$BH214)*(1+$BI214))*(1+$AM214)*$Q214*(1+IF(VLOOKUP($R214,武学奇术!$A:$ZZ,30,FALSE)="流血",$B$21,0))*(1+$BR214)</f>
        <v>7073.53137586733</v>
      </c>
      <c r="P214" s="24">
        <f>((($AO214*$AI214+$AJ214)*(1+$AQ214)*(1+$AR214)+($AT214*IF($G$1="鸣金",$AK214,$AI214)+IF($G$1="鸣金",$AL214*1.5,0))*(1+$AV214)*(1+$AW214)+($AX214*IF($G$1="裂石",$AK214,$AI214)+IF($G$1="裂石",$AL214*1.5,0))*(1+$AZ214)*(1+$BA214)+($BB214*IF($G$1="牵丝",$AK214,$AI214)+IF($G$1="牵丝",$AL214*1.5,0))*(1+$BD214)*(1+$BE214)+($BF214*IF($G$1="破竹",$AK214,$AI214)+IF($G$1="破竹",$AL214*1.5,0))*(1+$BH214)*(1+$BI214))*(1+$AM214))*$Q214*(1+IF(VLOOKUP($R214,武学奇术!$A:$ZZ,30,FALSE)="流血",$B$21,0))*(1+$BR214)</f>
        <v>3185.97023083183</v>
      </c>
      <c r="Q214" s="31">
        <v>1</v>
      </c>
      <c r="R214" s="32" t="s">
        <v>197</v>
      </c>
      <c r="S214" s="32" t="s">
        <v>87</v>
      </c>
      <c r="T214" s="32" t="s">
        <v>96</v>
      </c>
      <c r="U214" s="32" t="s">
        <v>97</v>
      </c>
      <c r="V214" s="32" t="s">
        <v>73</v>
      </c>
      <c r="W214" s="32" t="s">
        <v>111</v>
      </c>
      <c r="X214" s="32" t="s">
        <v>127</v>
      </c>
      <c r="Y214" s="32" t="s">
        <v>73</v>
      </c>
      <c r="Z214" s="32" t="s">
        <v>73</v>
      </c>
      <c r="AA214" s="32" t="s">
        <v>81</v>
      </c>
      <c r="AB214" s="32" t="s">
        <v>75</v>
      </c>
      <c r="AC214" s="32" t="s">
        <v>76</v>
      </c>
      <c r="AD214" s="32" t="s">
        <v>82</v>
      </c>
      <c r="AE214" s="32" t="s">
        <v>73</v>
      </c>
      <c r="AF214" s="32" t="s">
        <v>73</v>
      </c>
      <c r="AG214" s="32" t="s">
        <v>172</v>
      </c>
      <c r="AH214" t="str">
        <f>VLOOKUP($R214,武学奇术!$A:$ZZ,25,FALSE)</f>
        <v>剑</v>
      </c>
      <c r="AI214" s="21">
        <f>VLOOKUP($R214,武学奇术!$A:$ZZ,26,FALSE)</f>
        <v>0.2772</v>
      </c>
      <c r="AJ214" s="22">
        <f>VLOOKUP($R214,武学奇术!$A:$ZZ,27,FALSE)*(1+IF(OR($AH214=$F$4,$AH214=$F$5),$B$22,0))</f>
        <v>0</v>
      </c>
      <c r="AK214" s="21">
        <f>VLOOKUP($R214,武学奇术!$A:$ZZ,28,FALSE)</f>
        <v>0.4158</v>
      </c>
      <c r="AL214" s="22">
        <f>VLOOKUP($R214,武学奇术!$A:$ZZ,29,FALSE)*(1+IF(OR($AH214=$F$4,$AH214=$F$5),$B$22,0))</f>
        <v>0</v>
      </c>
      <c r="AM214" s="21" cm="1">
        <f t="array" ref="AM214">$G$3+IFERROR(VLOOKUP($AH214,$F$4:$G$7,2,FALSE),0)+VLOOKUP($R214,武学奇术!$A:$ZZ,2,FALSE)+SUM(_xlfn.XLOOKUP($S214:$AG214,增益!$A:$A,增益!$B:$B,0))</f>
        <v>1.2391</v>
      </c>
      <c r="AN214" s="21" cm="1">
        <f t="array" ref="AN214">VLOOKUP($R214,武学奇术!$A:$ZZ,5,FALSE)+SUM(_xlfn.XLOOKUP($S214:$AG214,增益!$A:$A,增益!$E:$E,0))</f>
        <v>0</v>
      </c>
      <c r="AO214" cm="1">
        <f t="array" ref="AO214">$D$10*(1+$AN214)+VLOOKUP($R214,武学奇术!$A:$ZZ,3,FALSE)+SUM(_xlfn.XLOOKUP($S214:$AG214,增益!$A:$A,增益!$C:$C,0))-$I$2</f>
        <v>1825.28</v>
      </c>
      <c r="AP214" cm="1">
        <f t="array" ref="AP214">$E$10*(1+$AN214)+VLOOKUP($R214,武学奇术!$A:$ZZ,4,FALSE)+SUM(_xlfn.XLOOKUP($S214:$AG214,增益!$A:$A,增益!$D:$D,0))-$I$2</f>
        <v>7757.36</v>
      </c>
      <c r="AQ214" s="26" cm="1">
        <f t="array" ref="AQ214">IF($F$10-$I$3+VLOOKUP($R214,武学奇术!$A:$ZZ,6,FALSE)+SUM(_xlfn.XLOOKUP(S214:AG214,增益!$A:$A,增益!$F:$F,0))&gt;0,($F$10-$I$3+VLOOKUP($R214,武学奇术!$A:$ZZ,6,FALSE)+SUM(_xlfn.XLOOKUP(S214:AG214,增益!$A:$A,增益!$F:$F,0)))/200,($F$10-$I$3+VLOOKUP($R214,武学奇术!$A:$ZZ,6,FALSE)+SUM(_xlfn.XLOOKUP(S214:AG214,增益!$A:$A,增益!$F:$F,0)))/100)</f>
        <v>0.319</v>
      </c>
      <c r="AR214" s="26" cm="1">
        <f t="array" ref="AR214">$G$10+VLOOKUP($R214,武学奇术!$A:$ZZ,7,FALSE)+SUM(_xlfn.XLOOKUP(S214:AG214,增益!$A:$A,增益!$G:$G,0))</f>
        <v>0</v>
      </c>
      <c r="AS214" s="21" cm="1">
        <f t="array" ref="AS214">VLOOKUP($R214,武学奇术!$A:$ZZ,8,FALSE)+SUM(_xlfn.XLOOKUP(S214:AG214,增益!$A:$A,增益!$H:$H,0))</f>
        <v>0</v>
      </c>
      <c r="AT214">
        <f t="shared" si="34"/>
        <v>680.02</v>
      </c>
      <c r="AU214">
        <f t="shared" si="35"/>
        <v>1288.54</v>
      </c>
      <c r="AV214" s="26" cm="1">
        <f t="array" ref="AV214">IF($F$11-$I$4+VLOOKUP($R214,武学奇术!$A:$ZZ,9,FALSE)+SUM(_xlfn.XLOOKUP(S214:AG214,增益!$A:$A,增益!$I:$I,0))&gt;0,($F$11-$I$4+VLOOKUP($R214,武学奇术!$A:$ZZ,9,FALSE)+SUM(_xlfn.XLOOKUP(S214:AG214,增益!$A:$A,增益!$I:$I,0)))/200,($F$11-$I$4+VLOOKUP($R214,武学奇术!$A:$ZZ,9,FALSE)+SUM(_xlfn.XLOOKUP(S214:AG214,增益!$A:$A,增益!$I:$I,0)))/100)</f>
        <v>0.075</v>
      </c>
      <c r="AW214" s="26" cm="1">
        <f t="array" ref="AW214">$G$11+VLOOKUP($R214,武学奇术!$A:$ZZ,10,FALSE)+SUM(_xlfn.XLOOKUP(S214:AG214,增益!$A:$A,增益!$J:$J,0))</f>
        <v>0.15</v>
      </c>
      <c r="AX214">
        <f t="shared" si="36"/>
        <v>0</v>
      </c>
      <c r="AY214">
        <f t="shared" si="37"/>
        <v>0</v>
      </c>
      <c r="AZ214" s="26" cm="1">
        <f t="array" ref="AZ214">IF($F$12-$I$4+VLOOKUP($R214,武学奇术!$A:$ZZ,11,FALSE)+SUM(_xlfn.XLOOKUP(S214:AG214,增益!$A:$A,增益!$K:$K,0))&gt;0,($F$12-$I$4+VLOOKUP($R214,武学奇术!$A:$ZZ,11,FALSE)+SUM(_xlfn.XLOOKUP(S214:AG214,增益!$A:$A,增益!$K:$K,0)))/200,($F$12-$I$4+VLOOKUP($R214,武学奇术!$A:$ZZ,11,FALSE)+SUM(_xlfn.XLOOKUP(S214:AG214,增益!$A:$A,增益!$K:$K,0)))/100)</f>
        <v>-0.3</v>
      </c>
      <c r="BA214" s="26" cm="1">
        <f t="array" ref="BA214">$G$12+VLOOKUP($R214,武学奇术!$A:$ZZ,12,FALSE)+SUM(_xlfn.XLOOKUP(S214:AG214,增益!$A:$A,增益!$L:$L,0))</f>
        <v>0</v>
      </c>
      <c r="BB214">
        <f t="shared" si="38"/>
        <v>0</v>
      </c>
      <c r="BC214">
        <f t="shared" si="39"/>
        <v>0</v>
      </c>
      <c r="BD214" s="26" cm="1">
        <f t="array" ref="BD214">IF($F$13-$I$4+VLOOKUP($R214,武学奇术!$A:$ZZ,13,FALSE)+SUM(_xlfn.XLOOKUP(S214:AG214,增益!$A:$A,增益!$M:$M,0))&gt;0,($F$13-$I$4+VLOOKUP($R214,武学奇术!$A:$ZZ,13,FALSE)+SUM(_xlfn.XLOOKUP(S214:AG214,增益!$A:$A,增益!$K:$K,0)))/200,($F$13-$I$4+VLOOKUP($R214,武学奇术!$A:$ZZ,13,FALSE)+SUM(_xlfn.XLOOKUP(S214:AG214,增益!$A:$A,增益!$M:$M,0)))/100)</f>
        <v>-0.3</v>
      </c>
      <c r="BE214" s="26" cm="1">
        <f t="array" ref="BE214">$G$13+VLOOKUP($R214,武学奇术!$A:$ZZ,14,FALSE)+SUM(_xlfn.XLOOKUP(S214:AG214,增益!$A:$A,增益!$N:$N,0))</f>
        <v>0</v>
      </c>
      <c r="BF214">
        <f t="shared" si="40"/>
        <v>0</v>
      </c>
      <c r="BG214">
        <f t="shared" si="41"/>
        <v>0</v>
      </c>
      <c r="BH214" s="26" cm="1">
        <f t="array" ref="BH214">IF($F$14-$I$4+VLOOKUP($R214,武学奇术!$A:$ZZ,15,FALSE)+SUM(_xlfn.XLOOKUP(S214:AG214,增益!$A:$A,增益!$O:$O,0))&gt;0,($F$14-$I$4+VLOOKUP($R214,武学奇术!$A:$ZZ,15,FALSE)+SUM(_xlfn.XLOOKUP(S214:AG214,增益!$A:$A,增益!$O:$O,0)))/200,($F$14-$I$4+VLOOKUP($R214,武学奇术!$A:$ZZ,15,FALSE)+SUM(_xlfn.XLOOKUP(S214:AG214,增益!$A:$A,增益!$O:$O,0)))/100)</f>
        <v>-0.3</v>
      </c>
      <c r="BI214" s="26" cm="1">
        <f t="array" ref="BI214">$G$14+VLOOKUP($R214,武学奇术!$A:$ZZ,16,FALSE)+SUM(_xlfn.XLOOKUP(S214:AG214,增益!$A:$A,增益!$P:$P,0))</f>
        <v>0</v>
      </c>
      <c r="BJ214" s="21">
        <f>MIN(IF(VLOOKUP($R214,武学奇术!$A:$ZZ,23,FALSE)=1,100%,$B$8),100%)</f>
        <v>0.8229</v>
      </c>
      <c r="BK214" s="21" cm="1">
        <f t="array" ref="BK214">IF(VLOOKUP($R214,武学奇术!$A:$ZZ,23,FALSE)=1,100%,MIN(80%,$B$9+VLOOKUP($R214,武学奇术!$A:$ZZ,17,FALSE)+SUM(_xlfn.XLOOKUP(S214:AG214,增益!$A:$A,增益!$Q:$Q,0)))+$B$11+SUM(_xlfn.XLOOKUP(S214:AG214,增益!$A:$A,增益!$U:$U,0)))*IF(VLOOKUP($R214,武学奇术!$A:$ZZ,24,FALSE)=1,0,1)</f>
        <v>0.2285</v>
      </c>
      <c r="BL214" s="21" cm="1">
        <f t="array" ref="BL214">1+$B$13+VLOOKUP($R214,武学奇术!$A:$ZZ,18,FALSE)+SUM(_xlfn.XLOOKUP(S214:AG214,增益!$A:$A,增益!$R:$R,0))</f>
        <v>1.5</v>
      </c>
      <c r="BM214" s="21" cm="1">
        <f t="array" ref="BM214">IF(VLOOKUP($R214,武学奇术!$A:$ZZ,24,FALSE)=1,100%,MIN(40%,$B$10+VLOOKUP($R214,武学奇术!$A:$ZZ,19,FALSE)+SUM(_xlfn.XLOOKUP(S214:AG214,增益!$A:$A,增益!$S:$S,0)))+$B$12+SUM(_xlfn.XLOOKUP(S214:AG214,增益!$A:$A,增益!$V:$V,0)))*IF(VLOOKUP($R214,武学奇术!$A:$ZZ,23,FALSE)=1,0,1)</f>
        <v>0.4495</v>
      </c>
      <c r="BN214" s="21" cm="1">
        <f t="array" ref="BN214">1+$B$14+VLOOKUP($R214,武学奇术!$A:$ZZ,20,FALSE)+SUM(_xlfn.XLOOKUP(S214:AG214,增益!$A:$A,增益!$T:$T,0))</f>
        <v>1.762</v>
      </c>
      <c r="BO214" s="21">
        <f t="shared" si="42"/>
        <v>0.18803265</v>
      </c>
      <c r="BP214" s="21">
        <f t="shared" si="43"/>
        <v>0.2649738</v>
      </c>
      <c r="BQ214" s="21">
        <f>IF(VLOOKUP($R214,武学奇术!$A:$ZZ,22,FALSE)=1,0,(1-$BJ214))*(1-$BM214)</f>
        <v>0.09749355</v>
      </c>
      <c r="BR214" s="21" cm="1">
        <f t="array" ref="BR214">SUM(_xlfn.XLOOKUP(S214:AG214,增益!$A:$A,增益!$W:$W,0))+$I$5</f>
        <v>0.06</v>
      </c>
    </row>
    <row r="215" spans="11:70">
      <c r="K215" s="24">
        <f>$L215*VLOOKUP($R215,武学奇术!$A:$ZZ,31,FALSE)</f>
        <v>4823.02044284534</v>
      </c>
      <c r="L215" s="24">
        <f t="shared" si="33"/>
        <v>8038.36740474224</v>
      </c>
      <c r="M215" s="24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BL215*$Q215*(1+IF(VLOOKUP($R215,武学奇术!$A:$ZZ,30,FALSE)="流血",$B$21,0))*(1+$BR215)</f>
        <v>6631.43566487563</v>
      </c>
      <c r="N215" s="24">
        <f>(($AP215*$AI215+$AJ215)*(1+$AQ215)*(1+$AR215)+($AU215*IF($G$1="鸣金",$AK215,$AI215)+IF($G$1="鸣金",$AL215*1.5,0))*(1+$AV215)*(1+$AW215)+($AY215*IF($G$1="裂石",$AK215,$AI215)+IF($G$1="裂石",$AL215*1.5,0))*(1+$AZ215)*(1+$BA215)+($BC215*IF($G$1="牵丝",$AK215,$AI215)+IF($G$1="牵丝",$AL215*1.5,0))*(1+$BD215)*(1+$BE215)+($BG215*IF($G$1="破竹",$AK215,$AI215)+IF($G$1="破竹",$AL215*1.5,0))*(1+$BH215)*(1+$BI215))*(1+$AM215)*$BN215*$Q215*(1+IF(VLOOKUP($R215,武学奇术!$A:$ZZ,30,FALSE)="流血",$B$21,0))*(1+$BR215)</f>
        <v>12070.9031386443</v>
      </c>
      <c r="O215" s="24">
        <f>((($AO215+$AP215)/2*$AI215+$AJ215)*(1+$AQ215)*(1+$AR215)+(($AT215+$AU215)/2*IF($G$1="鸣金",$AK215,$AI215)+IF($G$1="鸣金",$AL215*1.5,0))*(1+$AV215)*(1+$AW215)+(($AX215+$AY215)/2*IF($G$1="裂石",$AK215,$AI215)+IF($G$1="裂石",$AL215*1.5,0))*(1+$AZ215)*(1+$BA215)+(($BB215+$BC215)/2*IF($G$1="牵丝",$AK215,$AI215)+IF($G$1="牵丝",$AL215*1.5,0))*(1+$BD215)*(1+$BE215)+(($BF215+$BG215)/2*IF($G$1="破竹",$AK215,$AI215)+IF($G$1="破竹",$AL215*1.5,0))*(1+$BH215)*(1+$BI215))*(1+$AM215)*$Q215*(1+IF(VLOOKUP($R215,武学奇术!$A:$ZZ,30,FALSE)="流血",$B$21,0))*(1+$BR215)</f>
        <v>4420.95710991708</v>
      </c>
      <c r="P215" s="24">
        <f>((($AO215*$AI215+$AJ215)*(1+$AQ215)*(1+$AR215)+($AT215*IF($G$1="鸣金",$AK215,$AI215)+IF($G$1="鸣金",$AL215*1.5,0))*(1+$AV215)*(1+$AW215)+($AX215*IF($G$1="裂石",$AK215,$AI215)+IF($G$1="裂石",$AL215*1.5,0))*(1+$AZ215)*(1+$BA215)+($BB215*IF($G$1="牵丝",$AK215,$AI215)+IF($G$1="牵丝",$AL215*1.5,0))*(1+$BD215)*(1+$BE215)+($BF215*IF($G$1="破竹",$AK215,$AI215)+IF($G$1="破竹",$AL215*1.5,0))*(1+$BH215)*(1+$BI215))*(1+$AM215))*$Q215*(1+IF(VLOOKUP($R215,武学奇术!$A:$ZZ,30,FALSE)="流血",$B$21,0))*(1+$BR215)</f>
        <v>1991.23139426989</v>
      </c>
      <c r="Q215" s="31">
        <v>1</v>
      </c>
      <c r="R215" s="32" t="s">
        <v>198</v>
      </c>
      <c r="S215" s="32" t="s">
        <v>87</v>
      </c>
      <c r="T215" s="32" t="s">
        <v>96</v>
      </c>
      <c r="U215" s="32" t="s">
        <v>97</v>
      </c>
      <c r="V215" s="32" t="s">
        <v>73</v>
      </c>
      <c r="W215" s="32" t="s">
        <v>111</v>
      </c>
      <c r="X215" s="32" t="s">
        <v>127</v>
      </c>
      <c r="Y215" s="32" t="s">
        <v>73</v>
      </c>
      <c r="Z215" s="32" t="s">
        <v>73</v>
      </c>
      <c r="AA215" s="32" t="s">
        <v>81</v>
      </c>
      <c r="AB215" s="32" t="s">
        <v>75</v>
      </c>
      <c r="AC215" s="32" t="s">
        <v>76</v>
      </c>
      <c r="AD215" s="32" t="s">
        <v>82</v>
      </c>
      <c r="AE215" s="32" t="s">
        <v>73</v>
      </c>
      <c r="AF215" s="32" t="s">
        <v>73</v>
      </c>
      <c r="AG215" s="32" t="s">
        <v>172</v>
      </c>
      <c r="AH215" t="str">
        <f>VLOOKUP($R215,武学奇术!$A:$ZZ,25,FALSE)</f>
        <v>剑</v>
      </c>
      <c r="AI215" s="21">
        <f>VLOOKUP($R215,武学奇术!$A:$ZZ,26,FALSE)</f>
        <v>0.17325</v>
      </c>
      <c r="AJ215" s="22">
        <f>VLOOKUP($R215,武学奇术!$A:$ZZ,27,FALSE)*(1+IF(OR($AH215=$F$4,$AH215=$F$5),$B$22,0))</f>
        <v>0</v>
      </c>
      <c r="AK215" s="21">
        <f>VLOOKUP($R215,武学奇术!$A:$ZZ,28,FALSE)</f>
        <v>0.259875</v>
      </c>
      <c r="AL215" s="22">
        <f>VLOOKUP($R215,武学奇术!$A:$ZZ,29,FALSE)*(1+IF(OR($AH215=$F$4,$AH215=$F$5),$B$22,0))</f>
        <v>0</v>
      </c>
      <c r="AM215" s="21" cm="1">
        <f t="array" ref="AM215">$G$3+IFERROR(VLOOKUP($AH215,$F$4:$G$7,2,FALSE),0)+VLOOKUP($R215,武学奇术!$A:$ZZ,2,FALSE)+SUM(_xlfn.XLOOKUP($S215:$AG215,增益!$A:$A,增益!$B:$B,0))</f>
        <v>1.2391</v>
      </c>
      <c r="AN215" s="21" cm="1">
        <f t="array" ref="AN215">VLOOKUP($R215,武学奇术!$A:$ZZ,5,FALSE)+SUM(_xlfn.XLOOKUP($S215:$AG215,增益!$A:$A,增益!$E:$E,0))</f>
        <v>0</v>
      </c>
      <c r="AO215" cm="1">
        <f t="array" ref="AO215">$D$10*(1+$AN215)+VLOOKUP($R215,武学奇术!$A:$ZZ,3,FALSE)+SUM(_xlfn.XLOOKUP($S215:$AG215,增益!$A:$A,增益!$C:$C,0))-$I$2</f>
        <v>1825.28</v>
      </c>
      <c r="AP215" cm="1">
        <f t="array" ref="AP215">$E$10*(1+$AN215)+VLOOKUP($R215,武学奇术!$A:$ZZ,4,FALSE)+SUM(_xlfn.XLOOKUP($S215:$AG215,增益!$A:$A,增益!$D:$D,0))-$I$2</f>
        <v>7757.36</v>
      </c>
      <c r="AQ215" s="26" cm="1">
        <f t="array" ref="AQ215">IF($F$10-$I$3+VLOOKUP($R215,武学奇术!$A:$ZZ,6,FALSE)+SUM(_xlfn.XLOOKUP(S215:AG215,增益!$A:$A,增益!$F:$F,0))&gt;0,($F$10-$I$3+VLOOKUP($R215,武学奇术!$A:$ZZ,6,FALSE)+SUM(_xlfn.XLOOKUP(S215:AG215,增益!$A:$A,增益!$F:$F,0)))/200,($F$10-$I$3+VLOOKUP($R215,武学奇术!$A:$ZZ,6,FALSE)+SUM(_xlfn.XLOOKUP(S215:AG215,增益!$A:$A,增益!$F:$F,0)))/100)</f>
        <v>0.319</v>
      </c>
      <c r="AR215" s="26" cm="1">
        <f t="array" ref="AR215">$G$10+VLOOKUP($R215,武学奇术!$A:$ZZ,7,FALSE)+SUM(_xlfn.XLOOKUP(S215:AG215,增益!$A:$A,增益!$G:$G,0))</f>
        <v>0</v>
      </c>
      <c r="AS215" s="21" cm="1">
        <f t="array" ref="AS215">VLOOKUP($R215,武学奇术!$A:$ZZ,8,FALSE)+SUM(_xlfn.XLOOKUP(S215:AG215,增益!$A:$A,增益!$H:$H,0))</f>
        <v>0</v>
      </c>
      <c r="AT215">
        <f t="shared" si="34"/>
        <v>680.02</v>
      </c>
      <c r="AU215">
        <f t="shared" si="35"/>
        <v>1288.54</v>
      </c>
      <c r="AV215" s="26" cm="1">
        <f t="array" ref="AV215">IF($F$11-$I$4+VLOOKUP($R215,武学奇术!$A:$ZZ,9,FALSE)+SUM(_xlfn.XLOOKUP(S215:AG215,增益!$A:$A,增益!$I:$I,0))&gt;0,($F$11-$I$4+VLOOKUP($R215,武学奇术!$A:$ZZ,9,FALSE)+SUM(_xlfn.XLOOKUP(S215:AG215,增益!$A:$A,增益!$I:$I,0)))/200,($F$11-$I$4+VLOOKUP($R215,武学奇术!$A:$ZZ,9,FALSE)+SUM(_xlfn.XLOOKUP(S215:AG215,增益!$A:$A,增益!$I:$I,0)))/100)</f>
        <v>0.075</v>
      </c>
      <c r="AW215" s="26" cm="1">
        <f t="array" ref="AW215">$G$11+VLOOKUP($R215,武学奇术!$A:$ZZ,10,FALSE)+SUM(_xlfn.XLOOKUP(S215:AG215,增益!$A:$A,增益!$J:$J,0))</f>
        <v>0.15</v>
      </c>
      <c r="AX215">
        <f t="shared" si="36"/>
        <v>0</v>
      </c>
      <c r="AY215">
        <f t="shared" si="37"/>
        <v>0</v>
      </c>
      <c r="AZ215" s="26" cm="1">
        <f t="array" ref="AZ215">IF($F$12-$I$4+VLOOKUP($R215,武学奇术!$A:$ZZ,11,FALSE)+SUM(_xlfn.XLOOKUP(S215:AG215,增益!$A:$A,增益!$K:$K,0))&gt;0,($F$12-$I$4+VLOOKUP($R215,武学奇术!$A:$ZZ,11,FALSE)+SUM(_xlfn.XLOOKUP(S215:AG215,增益!$A:$A,增益!$K:$K,0)))/200,($F$12-$I$4+VLOOKUP($R215,武学奇术!$A:$ZZ,11,FALSE)+SUM(_xlfn.XLOOKUP(S215:AG215,增益!$A:$A,增益!$K:$K,0)))/100)</f>
        <v>-0.3</v>
      </c>
      <c r="BA215" s="26" cm="1">
        <f t="array" ref="BA215">$G$12+VLOOKUP($R215,武学奇术!$A:$ZZ,12,FALSE)+SUM(_xlfn.XLOOKUP(S215:AG215,增益!$A:$A,增益!$L:$L,0))</f>
        <v>0</v>
      </c>
      <c r="BB215">
        <f t="shared" si="38"/>
        <v>0</v>
      </c>
      <c r="BC215">
        <f t="shared" si="39"/>
        <v>0</v>
      </c>
      <c r="BD215" s="26" cm="1">
        <f t="array" ref="BD215">IF($F$13-$I$4+VLOOKUP($R215,武学奇术!$A:$ZZ,13,FALSE)+SUM(_xlfn.XLOOKUP(S215:AG215,增益!$A:$A,增益!$M:$M,0))&gt;0,($F$13-$I$4+VLOOKUP($R215,武学奇术!$A:$ZZ,13,FALSE)+SUM(_xlfn.XLOOKUP(S215:AG215,增益!$A:$A,增益!$K:$K,0)))/200,($F$13-$I$4+VLOOKUP($R215,武学奇术!$A:$ZZ,13,FALSE)+SUM(_xlfn.XLOOKUP(S215:AG215,增益!$A:$A,增益!$M:$M,0)))/100)</f>
        <v>-0.3</v>
      </c>
      <c r="BE215" s="26" cm="1">
        <f t="array" ref="BE215">$G$13+VLOOKUP($R215,武学奇术!$A:$ZZ,14,FALSE)+SUM(_xlfn.XLOOKUP(S215:AG215,增益!$A:$A,增益!$N:$N,0))</f>
        <v>0</v>
      </c>
      <c r="BF215">
        <f t="shared" si="40"/>
        <v>0</v>
      </c>
      <c r="BG215">
        <f t="shared" si="41"/>
        <v>0</v>
      </c>
      <c r="BH215" s="26" cm="1">
        <f t="array" ref="BH215">IF($F$14-$I$4+VLOOKUP($R215,武学奇术!$A:$ZZ,15,FALSE)+SUM(_xlfn.XLOOKUP(S215:AG215,增益!$A:$A,增益!$O:$O,0))&gt;0,($F$14-$I$4+VLOOKUP($R215,武学奇术!$A:$ZZ,15,FALSE)+SUM(_xlfn.XLOOKUP(S215:AG215,增益!$A:$A,增益!$O:$O,0)))/200,($F$14-$I$4+VLOOKUP($R215,武学奇术!$A:$ZZ,15,FALSE)+SUM(_xlfn.XLOOKUP(S215:AG215,增益!$A:$A,增益!$O:$O,0)))/100)</f>
        <v>-0.3</v>
      </c>
      <c r="BI215" s="26" cm="1">
        <f t="array" ref="BI215">$G$14+VLOOKUP($R215,武学奇术!$A:$ZZ,16,FALSE)+SUM(_xlfn.XLOOKUP(S215:AG215,增益!$A:$A,增益!$P:$P,0))</f>
        <v>0</v>
      </c>
      <c r="BJ215" s="21">
        <f>MIN(IF(VLOOKUP($R215,武学奇术!$A:$ZZ,23,FALSE)=1,100%,$B$8),100%)</f>
        <v>0.8229</v>
      </c>
      <c r="BK215" s="21" cm="1">
        <f t="array" ref="BK215">IF(VLOOKUP($R215,武学奇术!$A:$ZZ,23,FALSE)=1,100%,MIN(80%,$B$9+VLOOKUP($R215,武学奇术!$A:$ZZ,17,FALSE)+SUM(_xlfn.XLOOKUP(S215:AG215,增益!$A:$A,增益!$Q:$Q,0)))+$B$11+SUM(_xlfn.XLOOKUP(S215:AG215,增益!$A:$A,增益!$U:$U,0)))*IF(VLOOKUP($R215,武学奇术!$A:$ZZ,24,FALSE)=1,0,1)</f>
        <v>0.2285</v>
      </c>
      <c r="BL215" s="21" cm="1">
        <f t="array" ref="BL215">1+$B$13+VLOOKUP($R215,武学奇术!$A:$ZZ,18,FALSE)+SUM(_xlfn.XLOOKUP(S215:AG215,增益!$A:$A,增益!$R:$R,0))</f>
        <v>1.5</v>
      </c>
      <c r="BM215" s="21" cm="1">
        <f t="array" ref="BM215">IF(VLOOKUP($R215,武学奇术!$A:$ZZ,24,FALSE)=1,100%,MIN(40%,$B$10+VLOOKUP($R215,武学奇术!$A:$ZZ,19,FALSE)+SUM(_xlfn.XLOOKUP(S215:AG215,增益!$A:$A,增益!$S:$S,0)))+$B$12+SUM(_xlfn.XLOOKUP(S215:AG215,增益!$A:$A,增益!$V:$V,0)))*IF(VLOOKUP($R215,武学奇术!$A:$ZZ,23,FALSE)=1,0,1)</f>
        <v>0.4495</v>
      </c>
      <c r="BN215" s="21" cm="1">
        <f t="array" ref="BN215">1+$B$14+VLOOKUP($R215,武学奇术!$A:$ZZ,20,FALSE)+SUM(_xlfn.XLOOKUP(S215:AG215,增益!$A:$A,增益!$T:$T,0))</f>
        <v>1.762</v>
      </c>
      <c r="BO215" s="21">
        <f t="shared" si="42"/>
        <v>0.18803265</v>
      </c>
      <c r="BP215" s="21">
        <f t="shared" si="43"/>
        <v>0.2649738</v>
      </c>
      <c r="BQ215" s="21">
        <f>IF(VLOOKUP($R215,武学奇术!$A:$ZZ,22,FALSE)=1,0,(1-$BJ215))*(1-$BM215)</f>
        <v>0.09749355</v>
      </c>
      <c r="BR215" s="21" cm="1">
        <f t="array" ref="BR215">SUM(_xlfn.XLOOKUP(S215:AG215,增益!$A:$A,增益!$W:$W,0))+$I$5</f>
        <v>0.06</v>
      </c>
    </row>
    <row r="216" spans="11:70">
      <c r="K216" s="24">
        <f>$L216*VLOOKUP($R216,武学奇术!$A:$ZZ,31,FALSE)</f>
        <v>9646.04088569068</v>
      </c>
      <c r="L216" s="24">
        <f t="shared" si="33"/>
        <v>16076.7348094845</v>
      </c>
      <c r="M216" s="24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BL216*$Q216*(1+IF(VLOOKUP($R216,武学奇术!$A:$ZZ,30,FALSE)="流血",$B$21,0))*(1+$BR216)</f>
        <v>13262.8713297513</v>
      </c>
      <c r="N216" s="24">
        <f>(($AP216*$AI216+$AJ216)*(1+$AQ216)*(1+$AR216)+($AU216*IF($G$1="鸣金",$AK216,$AI216)+IF($G$1="鸣金",$AL216*1.5,0))*(1+$AV216)*(1+$AW216)+($AY216*IF($G$1="裂石",$AK216,$AI216)+IF($G$1="裂石",$AL216*1.5,0))*(1+$AZ216)*(1+$BA216)+($BC216*IF($G$1="牵丝",$AK216,$AI216)+IF($G$1="牵丝",$AL216*1.5,0))*(1+$BD216)*(1+$BE216)+($BG216*IF($G$1="破竹",$AK216,$AI216)+IF($G$1="破竹",$AL216*1.5,0))*(1+$BH216)*(1+$BI216))*(1+$AM216)*$BN216*$Q216*(1+IF(VLOOKUP($R216,武学奇术!$A:$ZZ,30,FALSE)="流血",$B$21,0))*(1+$BR216)</f>
        <v>24141.8062772885</v>
      </c>
      <c r="O216" s="24">
        <f>((($AO216+$AP216)/2*$AI216+$AJ216)*(1+$AQ216)*(1+$AR216)+(($AT216+$AU216)/2*IF($G$1="鸣金",$AK216,$AI216)+IF($G$1="鸣金",$AL216*1.5,0))*(1+$AV216)*(1+$AW216)+(($AX216+$AY216)/2*IF($G$1="裂石",$AK216,$AI216)+IF($G$1="裂石",$AL216*1.5,0))*(1+$AZ216)*(1+$BA216)+(($BB216+$BC216)/2*IF($G$1="牵丝",$AK216,$AI216)+IF($G$1="牵丝",$AL216*1.5,0))*(1+$BD216)*(1+$BE216)+(($BF216+$BG216)/2*IF($G$1="破竹",$AK216,$AI216)+IF($G$1="破竹",$AL216*1.5,0))*(1+$BH216)*(1+$BI216))*(1+$AM216)*$Q216*(1+IF(VLOOKUP($R216,武学奇术!$A:$ZZ,30,FALSE)="流血",$B$21,0))*(1+$BR216)</f>
        <v>8841.91421983417</v>
      </c>
      <c r="P216" s="24">
        <f>((($AO216*$AI216+$AJ216)*(1+$AQ216)*(1+$AR216)+($AT216*IF($G$1="鸣金",$AK216,$AI216)+IF($G$1="鸣金",$AL216*1.5,0))*(1+$AV216)*(1+$AW216)+($AX216*IF($G$1="裂石",$AK216,$AI216)+IF($G$1="裂石",$AL216*1.5,0))*(1+$AZ216)*(1+$BA216)+($BB216*IF($G$1="牵丝",$AK216,$AI216)+IF($G$1="牵丝",$AL216*1.5,0))*(1+$BD216)*(1+$BE216)+($BF216*IF($G$1="破竹",$AK216,$AI216)+IF($G$1="破竹",$AL216*1.5,0))*(1+$BH216)*(1+$BI216))*(1+$AM216))*$Q216*(1+IF(VLOOKUP($R216,武学奇术!$A:$ZZ,30,FALSE)="流血",$B$21,0))*(1+$BR216)</f>
        <v>3982.46278853979</v>
      </c>
      <c r="Q216" s="31">
        <v>1</v>
      </c>
      <c r="R216" s="32" t="s">
        <v>199</v>
      </c>
      <c r="S216" s="32" t="s">
        <v>87</v>
      </c>
      <c r="T216" s="32" t="s">
        <v>96</v>
      </c>
      <c r="U216" s="32" t="s">
        <v>97</v>
      </c>
      <c r="V216" s="32" t="s">
        <v>73</v>
      </c>
      <c r="W216" s="32" t="s">
        <v>111</v>
      </c>
      <c r="X216" s="32" t="s">
        <v>127</v>
      </c>
      <c r="Y216" s="32" t="s">
        <v>73</v>
      </c>
      <c r="Z216" s="32" t="s">
        <v>73</v>
      </c>
      <c r="AA216" s="32" t="s">
        <v>81</v>
      </c>
      <c r="AB216" s="32" t="s">
        <v>75</v>
      </c>
      <c r="AC216" s="32" t="s">
        <v>89</v>
      </c>
      <c r="AD216" s="32" t="s">
        <v>82</v>
      </c>
      <c r="AE216" s="32" t="s">
        <v>73</v>
      </c>
      <c r="AF216" s="32" t="s">
        <v>73</v>
      </c>
      <c r="AG216" s="32" t="s">
        <v>172</v>
      </c>
      <c r="AH216" t="str">
        <f>VLOOKUP($R216,武学奇术!$A:$ZZ,25,FALSE)</f>
        <v>剑</v>
      </c>
      <c r="AI216" s="21">
        <f>VLOOKUP($R216,武学奇术!$A:$ZZ,26,FALSE)</f>
        <v>0.3465</v>
      </c>
      <c r="AJ216" s="22">
        <f>VLOOKUP($R216,武学奇术!$A:$ZZ,27,FALSE)*(1+IF(OR($AH216=$F$4,$AH216=$F$5),$B$22,0))</f>
        <v>0</v>
      </c>
      <c r="AK216" s="21">
        <f>VLOOKUP($R216,武学奇术!$A:$ZZ,28,FALSE)</f>
        <v>0.51975</v>
      </c>
      <c r="AL216" s="22">
        <f>VLOOKUP($R216,武学奇术!$A:$ZZ,29,FALSE)*(1+IF(OR($AH216=$F$4,$AH216=$F$5),$B$22,0))</f>
        <v>0</v>
      </c>
      <c r="AM216" s="21" cm="1">
        <f t="array" ref="AM216">$G$3+IFERROR(VLOOKUP($AH216,$F$4:$G$7,2,FALSE),0)+VLOOKUP($R216,武学奇术!$A:$ZZ,2,FALSE)+SUM(_xlfn.XLOOKUP($S216:$AG216,增益!$A:$A,增益!$B:$B,0))</f>
        <v>1.2391</v>
      </c>
      <c r="AN216" s="21" cm="1">
        <f t="array" ref="AN216">VLOOKUP($R216,武学奇术!$A:$ZZ,5,FALSE)+SUM(_xlfn.XLOOKUP($S216:$AG216,增益!$A:$A,增益!$E:$E,0))</f>
        <v>0</v>
      </c>
      <c r="AO216" cm="1">
        <f t="array" ref="AO216">$D$10*(1+$AN216)+VLOOKUP($R216,武学奇术!$A:$ZZ,3,FALSE)+SUM(_xlfn.XLOOKUP($S216:$AG216,增益!$A:$A,增益!$C:$C,0))-$I$2</f>
        <v>1825.28</v>
      </c>
      <c r="AP216" cm="1">
        <f t="array" ref="AP216">$E$10*(1+$AN216)+VLOOKUP($R216,武学奇术!$A:$ZZ,4,FALSE)+SUM(_xlfn.XLOOKUP($S216:$AG216,增益!$A:$A,增益!$D:$D,0))-$I$2</f>
        <v>7757.36</v>
      </c>
      <c r="AQ216" s="26" cm="1">
        <f t="array" ref="AQ216">IF($F$10-$I$3+VLOOKUP($R216,武学奇术!$A:$ZZ,6,FALSE)+SUM(_xlfn.XLOOKUP(S216:AG216,增益!$A:$A,增益!$F:$F,0))&gt;0,($F$10-$I$3+VLOOKUP($R216,武学奇术!$A:$ZZ,6,FALSE)+SUM(_xlfn.XLOOKUP(S216:AG216,增益!$A:$A,增益!$F:$F,0)))/200,($F$10-$I$3+VLOOKUP($R216,武学奇术!$A:$ZZ,6,FALSE)+SUM(_xlfn.XLOOKUP(S216:AG216,增益!$A:$A,增益!$F:$F,0)))/100)</f>
        <v>0.319</v>
      </c>
      <c r="AR216" s="26" cm="1">
        <f t="array" ref="AR216">$G$10+VLOOKUP($R216,武学奇术!$A:$ZZ,7,FALSE)+SUM(_xlfn.XLOOKUP(S216:AG216,增益!$A:$A,增益!$G:$G,0))</f>
        <v>0</v>
      </c>
      <c r="AS216" s="21" cm="1">
        <f t="array" ref="AS216">VLOOKUP($R216,武学奇术!$A:$ZZ,8,FALSE)+SUM(_xlfn.XLOOKUP(S216:AG216,增益!$A:$A,增益!$H:$H,0))</f>
        <v>0</v>
      </c>
      <c r="AT216">
        <f t="shared" si="34"/>
        <v>680.02</v>
      </c>
      <c r="AU216">
        <f t="shared" si="35"/>
        <v>1288.54</v>
      </c>
      <c r="AV216" s="26" cm="1">
        <f t="array" ref="AV216">IF($F$11-$I$4+VLOOKUP($R216,武学奇术!$A:$ZZ,9,FALSE)+SUM(_xlfn.XLOOKUP(S216:AG216,增益!$A:$A,增益!$I:$I,0))&gt;0,($F$11-$I$4+VLOOKUP($R216,武学奇术!$A:$ZZ,9,FALSE)+SUM(_xlfn.XLOOKUP(S216:AG216,增益!$A:$A,增益!$I:$I,0)))/200,($F$11-$I$4+VLOOKUP($R216,武学奇术!$A:$ZZ,9,FALSE)+SUM(_xlfn.XLOOKUP(S216:AG216,增益!$A:$A,增益!$I:$I,0)))/100)</f>
        <v>0.075</v>
      </c>
      <c r="AW216" s="26" cm="1">
        <f t="array" ref="AW216">$G$11+VLOOKUP($R216,武学奇术!$A:$ZZ,10,FALSE)+SUM(_xlfn.XLOOKUP(S216:AG216,增益!$A:$A,增益!$J:$J,0))</f>
        <v>0.15</v>
      </c>
      <c r="AX216">
        <f t="shared" si="36"/>
        <v>0</v>
      </c>
      <c r="AY216">
        <f t="shared" si="37"/>
        <v>0</v>
      </c>
      <c r="AZ216" s="26" cm="1">
        <f t="array" ref="AZ216">IF($F$12-$I$4+VLOOKUP($R216,武学奇术!$A:$ZZ,11,FALSE)+SUM(_xlfn.XLOOKUP(S216:AG216,增益!$A:$A,增益!$K:$K,0))&gt;0,($F$12-$I$4+VLOOKUP($R216,武学奇术!$A:$ZZ,11,FALSE)+SUM(_xlfn.XLOOKUP(S216:AG216,增益!$A:$A,增益!$K:$K,0)))/200,($F$12-$I$4+VLOOKUP($R216,武学奇术!$A:$ZZ,11,FALSE)+SUM(_xlfn.XLOOKUP(S216:AG216,增益!$A:$A,增益!$K:$K,0)))/100)</f>
        <v>-0.3</v>
      </c>
      <c r="BA216" s="26" cm="1">
        <f t="array" ref="BA216">$G$12+VLOOKUP($R216,武学奇术!$A:$ZZ,12,FALSE)+SUM(_xlfn.XLOOKUP(S216:AG216,增益!$A:$A,增益!$L:$L,0))</f>
        <v>0</v>
      </c>
      <c r="BB216">
        <f t="shared" si="38"/>
        <v>0</v>
      </c>
      <c r="BC216">
        <f t="shared" si="39"/>
        <v>0</v>
      </c>
      <c r="BD216" s="26" cm="1">
        <f t="array" ref="BD216">IF($F$13-$I$4+VLOOKUP($R216,武学奇术!$A:$ZZ,13,FALSE)+SUM(_xlfn.XLOOKUP(S216:AG216,增益!$A:$A,增益!$M:$M,0))&gt;0,($F$13-$I$4+VLOOKUP($R216,武学奇术!$A:$ZZ,13,FALSE)+SUM(_xlfn.XLOOKUP(S216:AG216,增益!$A:$A,增益!$K:$K,0)))/200,($F$13-$I$4+VLOOKUP($R216,武学奇术!$A:$ZZ,13,FALSE)+SUM(_xlfn.XLOOKUP(S216:AG216,增益!$A:$A,增益!$M:$M,0)))/100)</f>
        <v>-0.3</v>
      </c>
      <c r="BE216" s="26" cm="1">
        <f t="array" ref="BE216">$G$13+VLOOKUP($R216,武学奇术!$A:$ZZ,14,FALSE)+SUM(_xlfn.XLOOKUP(S216:AG216,增益!$A:$A,增益!$N:$N,0))</f>
        <v>0</v>
      </c>
      <c r="BF216">
        <f t="shared" si="40"/>
        <v>0</v>
      </c>
      <c r="BG216">
        <f t="shared" si="41"/>
        <v>0</v>
      </c>
      <c r="BH216" s="26" cm="1">
        <f t="array" ref="BH216">IF($F$14-$I$4+VLOOKUP($R216,武学奇术!$A:$ZZ,15,FALSE)+SUM(_xlfn.XLOOKUP(S216:AG216,增益!$A:$A,增益!$O:$O,0))&gt;0,($F$14-$I$4+VLOOKUP($R216,武学奇术!$A:$ZZ,15,FALSE)+SUM(_xlfn.XLOOKUP(S216:AG216,增益!$A:$A,增益!$O:$O,0)))/200,($F$14-$I$4+VLOOKUP($R216,武学奇术!$A:$ZZ,15,FALSE)+SUM(_xlfn.XLOOKUP(S216:AG216,增益!$A:$A,增益!$O:$O,0)))/100)</f>
        <v>-0.3</v>
      </c>
      <c r="BI216" s="26" cm="1">
        <f t="array" ref="BI216">$G$14+VLOOKUP($R216,武学奇术!$A:$ZZ,16,FALSE)+SUM(_xlfn.XLOOKUP(S216:AG216,增益!$A:$A,增益!$P:$P,0))</f>
        <v>0</v>
      </c>
      <c r="BJ216" s="21">
        <f>MIN(IF(VLOOKUP($R216,武学奇术!$A:$ZZ,23,FALSE)=1,100%,$B$8),100%)</f>
        <v>0.8229</v>
      </c>
      <c r="BK216" s="21" cm="1">
        <f t="array" ref="BK216">IF(VLOOKUP($R216,武学奇术!$A:$ZZ,23,FALSE)=1,100%,MIN(80%,$B$9+VLOOKUP($R216,武学奇术!$A:$ZZ,17,FALSE)+SUM(_xlfn.XLOOKUP(S216:AG216,增益!$A:$A,增益!$Q:$Q,0)))+$B$11+SUM(_xlfn.XLOOKUP(S216:AG216,增益!$A:$A,增益!$U:$U,0)))*IF(VLOOKUP($R216,武学奇术!$A:$ZZ,24,FALSE)=1,0,1)</f>
        <v>0.2285</v>
      </c>
      <c r="BL216" s="21" cm="1">
        <f t="array" ref="BL216">1+$B$13+VLOOKUP($R216,武学奇术!$A:$ZZ,18,FALSE)+SUM(_xlfn.XLOOKUP(S216:AG216,增益!$A:$A,增益!$R:$R,0))</f>
        <v>1.5</v>
      </c>
      <c r="BM216" s="21" cm="1">
        <f t="array" ref="BM216">IF(VLOOKUP($R216,武学奇术!$A:$ZZ,24,FALSE)=1,100%,MIN(40%,$B$10+VLOOKUP($R216,武学奇术!$A:$ZZ,19,FALSE)+SUM(_xlfn.XLOOKUP(S216:AG216,增益!$A:$A,增益!$S:$S,0)))+$B$12+SUM(_xlfn.XLOOKUP(S216:AG216,增益!$A:$A,增益!$V:$V,0)))*IF(VLOOKUP($R216,武学奇术!$A:$ZZ,23,FALSE)=1,0,1)</f>
        <v>0.4495</v>
      </c>
      <c r="BN216" s="21" cm="1">
        <f t="array" ref="BN216">1+$B$14+VLOOKUP($R216,武学奇术!$A:$ZZ,20,FALSE)+SUM(_xlfn.XLOOKUP(S216:AG216,增益!$A:$A,增益!$T:$T,0))</f>
        <v>1.762</v>
      </c>
      <c r="BO216" s="21">
        <f t="shared" si="42"/>
        <v>0.18803265</v>
      </c>
      <c r="BP216" s="21">
        <f t="shared" si="43"/>
        <v>0.2649738</v>
      </c>
      <c r="BQ216" s="21">
        <f>IF(VLOOKUP($R216,武学奇术!$A:$ZZ,22,FALSE)=1,0,(1-$BJ216))*(1-$BM216)</f>
        <v>0.09749355</v>
      </c>
      <c r="BR216" s="21" cm="1">
        <f t="array" ref="BR216">SUM(_xlfn.XLOOKUP(S216:AG216,增益!$A:$A,增益!$W:$W,0))+$I$5</f>
        <v>0.06</v>
      </c>
    </row>
    <row r="217" spans="11:70">
      <c r="K217" s="24">
        <f>$L217*VLOOKUP($R217,武学奇术!$A:$ZZ,31,FALSE)</f>
        <v>4841.49673442589</v>
      </c>
      <c r="L217" s="24">
        <f t="shared" si="33"/>
        <v>8069.16122404315</v>
      </c>
      <c r="M217" s="24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BL217*$Q217*(1+IF(VLOOKUP($R217,武学奇术!$A:$ZZ,30,FALSE)="流血",$B$21,0))*(1+$BR217)</f>
        <v>6631.43566487563</v>
      </c>
      <c r="N217" s="24">
        <f>(($AP217*$AI217+$AJ217)*(1+$AQ217)*(1+$AR217)+($AU217*IF($G$1="鸣金",$AK217,$AI217)+IF($G$1="鸣金",$AL217*1.5,0))*(1+$AV217)*(1+$AW217)+($AY217*IF($G$1="裂石",$AK217,$AI217)+IF($G$1="裂石",$AL217*1.5,0))*(1+$AZ217)*(1+$BA217)+($BC217*IF($G$1="牵丝",$AK217,$AI217)+IF($G$1="牵丝",$AL217*1.5,0))*(1+$BD217)*(1+$BE217)+($BG217*IF($G$1="破竹",$AK217,$AI217)+IF($G$1="破竹",$AL217*1.5,0))*(1+$BH217)*(1+$BI217))*(1+$AM217)*$BN217*$Q217*(1+IF(VLOOKUP($R217,武学奇术!$A:$ZZ,30,FALSE)="流血",$B$21,0))*(1+$BR217)</f>
        <v>12139.4099668999</v>
      </c>
      <c r="O217" s="24">
        <f>((($AO217+$AP217)/2*$AI217+$AJ217)*(1+$AQ217)*(1+$AR217)+(($AT217+$AU217)/2*IF($G$1="鸣金",$AK217,$AI217)+IF($G$1="鸣金",$AL217*1.5,0))*(1+$AV217)*(1+$AW217)+(($AX217+$AY217)/2*IF($G$1="裂石",$AK217,$AI217)+IF($G$1="裂石",$AL217*1.5,0))*(1+$AZ217)*(1+$BA217)+(($BB217+$BC217)/2*IF($G$1="牵丝",$AK217,$AI217)+IF($G$1="牵丝",$AL217*1.5,0))*(1+$BD217)*(1+$BE217)+(($BF217+$BG217)/2*IF($G$1="破竹",$AK217,$AI217)+IF($G$1="破竹",$AL217*1.5,0))*(1+$BH217)*(1+$BI217))*(1+$AM217)*$Q217*(1+IF(VLOOKUP($R217,武学奇术!$A:$ZZ,30,FALSE)="流血",$B$21,0))*(1+$BR217)</f>
        <v>4420.95710991708</v>
      </c>
      <c r="P217" s="24">
        <f>((($AO217*$AI217+$AJ217)*(1+$AQ217)*(1+$AR217)+($AT217*IF($G$1="鸣金",$AK217,$AI217)+IF($G$1="鸣金",$AL217*1.5,0))*(1+$AV217)*(1+$AW217)+($AX217*IF($G$1="裂石",$AK217,$AI217)+IF($G$1="裂石",$AL217*1.5,0))*(1+$AZ217)*(1+$BA217)+($BB217*IF($G$1="牵丝",$AK217,$AI217)+IF($G$1="牵丝",$AL217*1.5,0))*(1+$BD217)*(1+$BE217)+($BF217*IF($G$1="破竹",$AK217,$AI217)+IF($G$1="破竹",$AL217*1.5,0))*(1+$BH217)*(1+$BI217))*(1+$AM217))*$Q217*(1+IF(VLOOKUP($R217,武学奇术!$A:$ZZ,30,FALSE)="流血",$B$21,0))*(1+$BR217)</f>
        <v>1991.23139426989</v>
      </c>
      <c r="Q217" s="31">
        <v>1</v>
      </c>
      <c r="R217" s="32" t="s">
        <v>198</v>
      </c>
      <c r="S217" s="32" t="s">
        <v>87</v>
      </c>
      <c r="T217" s="32" t="s">
        <v>96</v>
      </c>
      <c r="U217" s="32" t="s">
        <v>97</v>
      </c>
      <c r="V217" s="32" t="s">
        <v>73</v>
      </c>
      <c r="W217" s="32" t="s">
        <v>111</v>
      </c>
      <c r="X217" s="32" t="s">
        <v>127</v>
      </c>
      <c r="Y217" s="32" t="s">
        <v>73</v>
      </c>
      <c r="Z217" s="32" t="s">
        <v>73</v>
      </c>
      <c r="AA217" s="32" t="s">
        <v>81</v>
      </c>
      <c r="AB217" s="32" t="s">
        <v>75</v>
      </c>
      <c r="AC217" s="32" t="s">
        <v>89</v>
      </c>
      <c r="AD217" s="32" t="s">
        <v>82</v>
      </c>
      <c r="AE217" s="32" t="s">
        <v>73</v>
      </c>
      <c r="AF217" s="32" t="s">
        <v>73</v>
      </c>
      <c r="AG217" s="32" t="s">
        <v>175</v>
      </c>
      <c r="AH217" t="str">
        <f>VLOOKUP($R217,武学奇术!$A:$ZZ,25,FALSE)</f>
        <v>剑</v>
      </c>
      <c r="AI217" s="21">
        <f>VLOOKUP($R217,武学奇术!$A:$ZZ,26,FALSE)</f>
        <v>0.17325</v>
      </c>
      <c r="AJ217" s="22">
        <f>VLOOKUP($R217,武学奇术!$A:$ZZ,27,FALSE)*(1+IF(OR($AH217=$F$4,$AH217=$F$5),$B$22,0))</f>
        <v>0</v>
      </c>
      <c r="AK217" s="21">
        <f>VLOOKUP($R217,武学奇术!$A:$ZZ,28,FALSE)</f>
        <v>0.259875</v>
      </c>
      <c r="AL217" s="22">
        <f>VLOOKUP($R217,武学奇术!$A:$ZZ,29,FALSE)*(1+IF(OR($AH217=$F$4,$AH217=$F$5),$B$22,0))</f>
        <v>0</v>
      </c>
      <c r="AM217" s="21" cm="1">
        <f t="array" ref="AM217">$G$3+IFERROR(VLOOKUP($AH217,$F$4:$G$7,2,FALSE),0)+VLOOKUP($R217,武学奇术!$A:$ZZ,2,FALSE)+SUM(_xlfn.XLOOKUP($S217:$AG217,增益!$A:$A,增益!$B:$B,0))</f>
        <v>1.2391</v>
      </c>
      <c r="AN217" s="21" cm="1">
        <f t="array" ref="AN217">VLOOKUP($R217,武学奇术!$A:$ZZ,5,FALSE)+SUM(_xlfn.XLOOKUP($S217:$AG217,增益!$A:$A,增益!$E:$E,0))</f>
        <v>0</v>
      </c>
      <c r="AO217" cm="1">
        <f t="array" ref="AO217">$D$10*(1+$AN217)+VLOOKUP($R217,武学奇术!$A:$ZZ,3,FALSE)+SUM(_xlfn.XLOOKUP($S217:$AG217,增益!$A:$A,增益!$C:$C,0))-$I$2</f>
        <v>1825.28</v>
      </c>
      <c r="AP217" cm="1">
        <f t="array" ref="AP217">$E$10*(1+$AN217)+VLOOKUP($R217,武学奇术!$A:$ZZ,4,FALSE)+SUM(_xlfn.XLOOKUP($S217:$AG217,增益!$A:$A,增益!$D:$D,0))-$I$2</f>
        <v>7757.36</v>
      </c>
      <c r="AQ217" s="26" cm="1">
        <f t="array" ref="AQ217">IF($F$10-$I$3+VLOOKUP($R217,武学奇术!$A:$ZZ,6,FALSE)+SUM(_xlfn.XLOOKUP(S217:AG217,增益!$A:$A,增益!$F:$F,0))&gt;0,($F$10-$I$3+VLOOKUP($R217,武学奇术!$A:$ZZ,6,FALSE)+SUM(_xlfn.XLOOKUP(S217:AG217,增益!$A:$A,增益!$F:$F,0)))/200,($F$10-$I$3+VLOOKUP($R217,武学奇术!$A:$ZZ,6,FALSE)+SUM(_xlfn.XLOOKUP(S217:AG217,增益!$A:$A,增益!$F:$F,0)))/100)</f>
        <v>0.319</v>
      </c>
      <c r="AR217" s="26" cm="1">
        <f t="array" ref="AR217">$G$10+VLOOKUP($R217,武学奇术!$A:$ZZ,7,FALSE)+SUM(_xlfn.XLOOKUP(S217:AG217,增益!$A:$A,增益!$G:$G,0))</f>
        <v>0</v>
      </c>
      <c r="AS217" s="21" cm="1">
        <f t="array" ref="AS217">VLOOKUP($R217,武学奇术!$A:$ZZ,8,FALSE)+SUM(_xlfn.XLOOKUP(S217:AG217,增益!$A:$A,增益!$H:$H,0))</f>
        <v>0</v>
      </c>
      <c r="AT217">
        <f t="shared" si="34"/>
        <v>680.02</v>
      </c>
      <c r="AU217">
        <f t="shared" si="35"/>
        <v>1288.54</v>
      </c>
      <c r="AV217" s="26" cm="1">
        <f t="array" ref="AV217">IF($F$11-$I$4+VLOOKUP($R217,武学奇术!$A:$ZZ,9,FALSE)+SUM(_xlfn.XLOOKUP(S217:AG217,增益!$A:$A,增益!$I:$I,0))&gt;0,($F$11-$I$4+VLOOKUP($R217,武学奇术!$A:$ZZ,9,FALSE)+SUM(_xlfn.XLOOKUP(S217:AG217,增益!$A:$A,增益!$I:$I,0)))/200,($F$11-$I$4+VLOOKUP($R217,武学奇术!$A:$ZZ,9,FALSE)+SUM(_xlfn.XLOOKUP(S217:AG217,增益!$A:$A,增益!$I:$I,0)))/100)</f>
        <v>0.075</v>
      </c>
      <c r="AW217" s="26" cm="1">
        <f t="array" ref="AW217">$G$11+VLOOKUP($R217,武学奇术!$A:$ZZ,10,FALSE)+SUM(_xlfn.XLOOKUP(S217:AG217,增益!$A:$A,增益!$J:$J,0))</f>
        <v>0.15</v>
      </c>
      <c r="AX217">
        <f t="shared" si="36"/>
        <v>0</v>
      </c>
      <c r="AY217">
        <f t="shared" si="37"/>
        <v>0</v>
      </c>
      <c r="AZ217" s="26" cm="1">
        <f t="array" ref="AZ217">IF($F$12-$I$4+VLOOKUP($R217,武学奇术!$A:$ZZ,11,FALSE)+SUM(_xlfn.XLOOKUP(S217:AG217,增益!$A:$A,增益!$K:$K,0))&gt;0,($F$12-$I$4+VLOOKUP($R217,武学奇术!$A:$ZZ,11,FALSE)+SUM(_xlfn.XLOOKUP(S217:AG217,增益!$A:$A,增益!$K:$K,0)))/200,($F$12-$I$4+VLOOKUP($R217,武学奇术!$A:$ZZ,11,FALSE)+SUM(_xlfn.XLOOKUP(S217:AG217,增益!$A:$A,增益!$K:$K,0)))/100)</f>
        <v>-0.3</v>
      </c>
      <c r="BA217" s="26" cm="1">
        <f t="array" ref="BA217">$G$12+VLOOKUP($R217,武学奇术!$A:$ZZ,12,FALSE)+SUM(_xlfn.XLOOKUP(S217:AG217,增益!$A:$A,增益!$L:$L,0))</f>
        <v>0</v>
      </c>
      <c r="BB217">
        <f t="shared" si="38"/>
        <v>0</v>
      </c>
      <c r="BC217">
        <f t="shared" si="39"/>
        <v>0</v>
      </c>
      <c r="BD217" s="26" cm="1">
        <f t="array" ref="BD217">IF($F$13-$I$4+VLOOKUP($R217,武学奇术!$A:$ZZ,13,FALSE)+SUM(_xlfn.XLOOKUP(S217:AG217,增益!$A:$A,增益!$M:$M,0))&gt;0,($F$13-$I$4+VLOOKUP($R217,武学奇术!$A:$ZZ,13,FALSE)+SUM(_xlfn.XLOOKUP(S217:AG217,增益!$A:$A,增益!$K:$K,0)))/200,($F$13-$I$4+VLOOKUP($R217,武学奇术!$A:$ZZ,13,FALSE)+SUM(_xlfn.XLOOKUP(S217:AG217,增益!$A:$A,增益!$M:$M,0)))/100)</f>
        <v>-0.3</v>
      </c>
      <c r="BE217" s="26" cm="1">
        <f t="array" ref="BE217">$G$13+VLOOKUP($R217,武学奇术!$A:$ZZ,14,FALSE)+SUM(_xlfn.XLOOKUP(S217:AG217,增益!$A:$A,增益!$N:$N,0))</f>
        <v>0</v>
      </c>
      <c r="BF217">
        <f t="shared" si="40"/>
        <v>0</v>
      </c>
      <c r="BG217">
        <f t="shared" si="41"/>
        <v>0</v>
      </c>
      <c r="BH217" s="26" cm="1">
        <f t="array" ref="BH217">IF($F$14-$I$4+VLOOKUP($R217,武学奇术!$A:$ZZ,15,FALSE)+SUM(_xlfn.XLOOKUP(S217:AG217,增益!$A:$A,增益!$O:$O,0))&gt;0,($F$14-$I$4+VLOOKUP($R217,武学奇术!$A:$ZZ,15,FALSE)+SUM(_xlfn.XLOOKUP(S217:AG217,增益!$A:$A,增益!$O:$O,0)))/200,($F$14-$I$4+VLOOKUP($R217,武学奇术!$A:$ZZ,15,FALSE)+SUM(_xlfn.XLOOKUP(S217:AG217,增益!$A:$A,增益!$O:$O,0)))/100)</f>
        <v>-0.3</v>
      </c>
      <c r="BI217" s="26" cm="1">
        <f t="array" ref="BI217">$G$14+VLOOKUP($R217,武学奇术!$A:$ZZ,16,FALSE)+SUM(_xlfn.XLOOKUP(S217:AG217,增益!$A:$A,增益!$P:$P,0))</f>
        <v>0</v>
      </c>
      <c r="BJ217" s="21">
        <f>MIN(IF(VLOOKUP($R217,武学奇术!$A:$ZZ,23,FALSE)=1,100%,$B$8),100%)</f>
        <v>0.8229</v>
      </c>
      <c r="BK217" s="21" cm="1">
        <f t="array" ref="BK217">IF(VLOOKUP($R217,武学奇术!$A:$ZZ,23,FALSE)=1,100%,MIN(80%,$B$9+VLOOKUP($R217,武学奇术!$A:$ZZ,17,FALSE)+SUM(_xlfn.XLOOKUP(S217:AG217,增益!$A:$A,增益!$Q:$Q,0)))+$B$11+SUM(_xlfn.XLOOKUP(S217:AG217,增益!$A:$A,增益!$U:$U,0)))*IF(VLOOKUP($R217,武学奇术!$A:$ZZ,24,FALSE)=1,0,1)</f>
        <v>0.2285</v>
      </c>
      <c r="BL217" s="21" cm="1">
        <f t="array" ref="BL217">1+$B$13+VLOOKUP($R217,武学奇术!$A:$ZZ,18,FALSE)+SUM(_xlfn.XLOOKUP(S217:AG217,增益!$A:$A,增益!$R:$R,0))</f>
        <v>1.5</v>
      </c>
      <c r="BM217" s="21" cm="1">
        <f t="array" ref="BM217">IF(VLOOKUP($R217,武学奇术!$A:$ZZ,24,FALSE)=1,100%,MIN(40%,$B$10+VLOOKUP($R217,武学奇术!$A:$ZZ,19,FALSE)+SUM(_xlfn.XLOOKUP(S217:AG217,增益!$A:$A,增益!$S:$S,0)))+$B$12+SUM(_xlfn.XLOOKUP(S217:AG217,增益!$A:$A,增益!$V:$V,0)))*IF(VLOOKUP($R217,武学奇术!$A:$ZZ,23,FALSE)=1,0,1)</f>
        <v>0.4495</v>
      </c>
      <c r="BN217" s="21" cm="1">
        <f t="array" ref="BN217">1+$B$14+VLOOKUP($R217,武学奇术!$A:$ZZ,20,FALSE)+SUM(_xlfn.XLOOKUP(S217:AG217,增益!$A:$A,增益!$T:$T,0))</f>
        <v>1.772</v>
      </c>
      <c r="BO217" s="21">
        <f t="shared" si="42"/>
        <v>0.18803265</v>
      </c>
      <c r="BP217" s="21">
        <f t="shared" si="43"/>
        <v>0.2649738</v>
      </c>
      <c r="BQ217" s="21">
        <f>IF(VLOOKUP($R217,武学奇术!$A:$ZZ,22,FALSE)=1,0,(1-$BJ217))*(1-$BM217)</f>
        <v>0.09749355</v>
      </c>
      <c r="BR217" s="21" cm="1">
        <f t="array" ref="BR217">SUM(_xlfn.XLOOKUP(S217:AG217,增益!$A:$A,增益!$W:$W,0))+$I$5</f>
        <v>0.06</v>
      </c>
    </row>
    <row r="218" spans="11:70">
      <c r="K218" s="24">
        <f>$L218*VLOOKUP($R218,武学奇术!$A:$ZZ,31,FALSE)</f>
        <v>5809.79608131107</v>
      </c>
      <c r="L218" s="24">
        <f t="shared" si="33"/>
        <v>9682.99346885178</v>
      </c>
      <c r="M218" s="24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BL218*$Q218*(1+IF(VLOOKUP($R218,武学奇术!$A:$ZZ,30,FALSE)="流血",$B$21,0))*(1+$BR218)</f>
        <v>7957.72279785075</v>
      </c>
      <c r="N218" s="24">
        <f>(($AP218*$AI218+$AJ218)*(1+$AQ218)*(1+$AR218)+($AU218*IF($G$1="鸣金",$AK218,$AI218)+IF($G$1="鸣金",$AL218*1.5,0))*(1+$AV218)*(1+$AW218)+($AY218*IF($G$1="裂石",$AK218,$AI218)+IF($G$1="裂石",$AL218*1.5,0))*(1+$AZ218)*(1+$BA218)+($BC218*IF($G$1="牵丝",$AK218,$AI218)+IF($G$1="牵丝",$AL218*1.5,0))*(1+$BD218)*(1+$BE218)+($BG218*IF($G$1="破竹",$AK218,$AI218)+IF($G$1="破竹",$AL218*1.5,0))*(1+$BH218)*(1+$BI218))*(1+$AM218)*$BN218*$Q218*(1+IF(VLOOKUP($R218,武学奇术!$A:$ZZ,30,FALSE)="流血",$B$21,0))*(1+$BR218)</f>
        <v>14567.2919602799</v>
      </c>
      <c r="O218" s="24">
        <f>((($AO218+$AP218)/2*$AI218+$AJ218)*(1+$AQ218)*(1+$AR218)+(($AT218+$AU218)/2*IF($G$1="鸣金",$AK218,$AI218)+IF($G$1="鸣金",$AL218*1.5,0))*(1+$AV218)*(1+$AW218)+(($AX218+$AY218)/2*IF($G$1="裂石",$AK218,$AI218)+IF($G$1="裂石",$AL218*1.5,0))*(1+$AZ218)*(1+$BA218)+(($BB218+$BC218)/2*IF($G$1="牵丝",$AK218,$AI218)+IF($G$1="牵丝",$AL218*1.5,0))*(1+$BD218)*(1+$BE218)+(($BF218+$BG218)/2*IF($G$1="破竹",$AK218,$AI218)+IF($G$1="破竹",$AL218*1.5,0))*(1+$BH218)*(1+$BI218))*(1+$AM218)*$Q218*(1+IF(VLOOKUP($R218,武学奇术!$A:$ZZ,30,FALSE)="流血",$B$21,0))*(1+$BR218)</f>
        <v>5305.1485319005</v>
      </c>
      <c r="P218" s="24">
        <f>((($AO218*$AI218+$AJ218)*(1+$AQ218)*(1+$AR218)+($AT218*IF($G$1="鸣金",$AK218,$AI218)+IF($G$1="鸣金",$AL218*1.5,0))*(1+$AV218)*(1+$AW218)+($AX218*IF($G$1="裂石",$AK218,$AI218)+IF($G$1="裂石",$AL218*1.5,0))*(1+$AZ218)*(1+$BA218)+($BB218*IF($G$1="牵丝",$AK218,$AI218)+IF($G$1="牵丝",$AL218*1.5,0))*(1+$BD218)*(1+$BE218)+($BF218*IF($G$1="破竹",$AK218,$AI218)+IF($G$1="破竹",$AL218*1.5,0))*(1+$BH218)*(1+$BI218))*(1+$AM218))*$Q218*(1+IF(VLOOKUP($R218,武学奇术!$A:$ZZ,30,FALSE)="流血",$B$21,0))*(1+$BR218)</f>
        <v>2389.47767312387</v>
      </c>
      <c r="Q218" s="31">
        <v>1</v>
      </c>
      <c r="R218" s="32" t="s">
        <v>200</v>
      </c>
      <c r="S218" s="32" t="s">
        <v>87</v>
      </c>
      <c r="T218" s="32" t="s">
        <v>96</v>
      </c>
      <c r="U218" s="32" t="s">
        <v>97</v>
      </c>
      <c r="V218" s="32" t="s">
        <v>73</v>
      </c>
      <c r="W218" s="32" t="s">
        <v>111</v>
      </c>
      <c r="X218" s="32" t="s">
        <v>127</v>
      </c>
      <c r="Y218" s="32" t="s">
        <v>73</v>
      </c>
      <c r="Z218" s="32" t="s">
        <v>73</v>
      </c>
      <c r="AA218" s="32" t="s">
        <v>81</v>
      </c>
      <c r="AB218" s="32" t="s">
        <v>75</v>
      </c>
      <c r="AC218" s="32" t="s">
        <v>89</v>
      </c>
      <c r="AD218" s="32" t="s">
        <v>82</v>
      </c>
      <c r="AE218" s="32" t="s">
        <v>73</v>
      </c>
      <c r="AF218" s="32" t="s">
        <v>73</v>
      </c>
      <c r="AG218" s="32" t="s">
        <v>175</v>
      </c>
      <c r="AH218" t="str">
        <f>VLOOKUP($R218,武学奇术!$A:$ZZ,25,FALSE)</f>
        <v>剑</v>
      </c>
      <c r="AI218" s="21">
        <f>VLOOKUP($R218,武学奇术!$A:$ZZ,26,FALSE)</f>
        <v>0.2079</v>
      </c>
      <c r="AJ218" s="22">
        <f>VLOOKUP($R218,武学奇术!$A:$ZZ,27,FALSE)*(1+IF(OR($AH218=$F$4,$AH218=$F$5),$B$22,0))</f>
        <v>0</v>
      </c>
      <c r="AK218" s="21">
        <f>VLOOKUP($R218,武学奇术!$A:$ZZ,28,FALSE)</f>
        <v>0.31185</v>
      </c>
      <c r="AL218" s="22">
        <f>VLOOKUP($R218,武学奇术!$A:$ZZ,29,FALSE)*(1+IF(OR($AH218=$F$4,$AH218=$F$5),$B$22,0))</f>
        <v>0</v>
      </c>
      <c r="AM218" s="21" cm="1">
        <f t="array" ref="AM218">$G$3+IFERROR(VLOOKUP($AH218,$F$4:$G$7,2,FALSE),0)+VLOOKUP($R218,武学奇术!$A:$ZZ,2,FALSE)+SUM(_xlfn.XLOOKUP($S218:$AG218,增益!$A:$A,增益!$B:$B,0))</f>
        <v>1.2391</v>
      </c>
      <c r="AN218" s="21" cm="1">
        <f t="array" ref="AN218">VLOOKUP($R218,武学奇术!$A:$ZZ,5,FALSE)+SUM(_xlfn.XLOOKUP($S218:$AG218,增益!$A:$A,增益!$E:$E,0))</f>
        <v>0</v>
      </c>
      <c r="AO218" cm="1">
        <f t="array" ref="AO218">$D$10*(1+$AN218)+VLOOKUP($R218,武学奇术!$A:$ZZ,3,FALSE)+SUM(_xlfn.XLOOKUP($S218:$AG218,增益!$A:$A,增益!$C:$C,0))-$I$2</f>
        <v>1825.28</v>
      </c>
      <c r="AP218" cm="1">
        <f t="array" ref="AP218">$E$10*(1+$AN218)+VLOOKUP($R218,武学奇术!$A:$ZZ,4,FALSE)+SUM(_xlfn.XLOOKUP($S218:$AG218,增益!$A:$A,增益!$D:$D,0))-$I$2</f>
        <v>7757.36</v>
      </c>
      <c r="AQ218" s="26" cm="1">
        <f t="array" ref="AQ218">IF($F$10-$I$3+VLOOKUP($R218,武学奇术!$A:$ZZ,6,FALSE)+SUM(_xlfn.XLOOKUP(S218:AG218,增益!$A:$A,增益!$F:$F,0))&gt;0,($F$10-$I$3+VLOOKUP($R218,武学奇术!$A:$ZZ,6,FALSE)+SUM(_xlfn.XLOOKUP(S218:AG218,增益!$A:$A,增益!$F:$F,0)))/200,($F$10-$I$3+VLOOKUP($R218,武学奇术!$A:$ZZ,6,FALSE)+SUM(_xlfn.XLOOKUP(S218:AG218,增益!$A:$A,增益!$F:$F,0)))/100)</f>
        <v>0.319</v>
      </c>
      <c r="AR218" s="26" cm="1">
        <f t="array" ref="AR218">$G$10+VLOOKUP($R218,武学奇术!$A:$ZZ,7,FALSE)+SUM(_xlfn.XLOOKUP(S218:AG218,增益!$A:$A,增益!$G:$G,0))</f>
        <v>0</v>
      </c>
      <c r="AS218" s="21" cm="1">
        <f t="array" ref="AS218">VLOOKUP($R218,武学奇术!$A:$ZZ,8,FALSE)+SUM(_xlfn.XLOOKUP(S218:AG218,增益!$A:$A,增益!$H:$H,0))</f>
        <v>0</v>
      </c>
      <c r="AT218">
        <f t="shared" si="34"/>
        <v>680.02</v>
      </c>
      <c r="AU218">
        <f t="shared" si="35"/>
        <v>1288.54</v>
      </c>
      <c r="AV218" s="26" cm="1">
        <f t="array" ref="AV218">IF($F$11-$I$4+VLOOKUP($R218,武学奇术!$A:$ZZ,9,FALSE)+SUM(_xlfn.XLOOKUP(S218:AG218,增益!$A:$A,增益!$I:$I,0))&gt;0,($F$11-$I$4+VLOOKUP($R218,武学奇术!$A:$ZZ,9,FALSE)+SUM(_xlfn.XLOOKUP(S218:AG218,增益!$A:$A,增益!$I:$I,0)))/200,($F$11-$I$4+VLOOKUP($R218,武学奇术!$A:$ZZ,9,FALSE)+SUM(_xlfn.XLOOKUP(S218:AG218,增益!$A:$A,增益!$I:$I,0)))/100)</f>
        <v>0.075</v>
      </c>
      <c r="AW218" s="26" cm="1">
        <f t="array" ref="AW218">$G$11+VLOOKUP($R218,武学奇术!$A:$ZZ,10,FALSE)+SUM(_xlfn.XLOOKUP(S218:AG218,增益!$A:$A,增益!$J:$J,0))</f>
        <v>0.15</v>
      </c>
      <c r="AX218">
        <f t="shared" si="36"/>
        <v>0</v>
      </c>
      <c r="AY218">
        <f t="shared" si="37"/>
        <v>0</v>
      </c>
      <c r="AZ218" s="26" cm="1">
        <f t="array" ref="AZ218">IF($F$12-$I$4+VLOOKUP($R218,武学奇术!$A:$ZZ,11,FALSE)+SUM(_xlfn.XLOOKUP(S218:AG218,增益!$A:$A,增益!$K:$K,0))&gt;0,($F$12-$I$4+VLOOKUP($R218,武学奇术!$A:$ZZ,11,FALSE)+SUM(_xlfn.XLOOKUP(S218:AG218,增益!$A:$A,增益!$K:$K,0)))/200,($F$12-$I$4+VLOOKUP($R218,武学奇术!$A:$ZZ,11,FALSE)+SUM(_xlfn.XLOOKUP(S218:AG218,增益!$A:$A,增益!$K:$K,0)))/100)</f>
        <v>-0.3</v>
      </c>
      <c r="BA218" s="26" cm="1">
        <f t="array" ref="BA218">$G$12+VLOOKUP($R218,武学奇术!$A:$ZZ,12,FALSE)+SUM(_xlfn.XLOOKUP(S218:AG218,增益!$A:$A,增益!$L:$L,0))</f>
        <v>0</v>
      </c>
      <c r="BB218">
        <f t="shared" si="38"/>
        <v>0</v>
      </c>
      <c r="BC218">
        <f t="shared" si="39"/>
        <v>0</v>
      </c>
      <c r="BD218" s="26" cm="1">
        <f t="array" ref="BD218">IF($F$13-$I$4+VLOOKUP($R218,武学奇术!$A:$ZZ,13,FALSE)+SUM(_xlfn.XLOOKUP(S218:AG218,增益!$A:$A,增益!$M:$M,0))&gt;0,($F$13-$I$4+VLOOKUP($R218,武学奇术!$A:$ZZ,13,FALSE)+SUM(_xlfn.XLOOKUP(S218:AG218,增益!$A:$A,增益!$K:$K,0)))/200,($F$13-$I$4+VLOOKUP($R218,武学奇术!$A:$ZZ,13,FALSE)+SUM(_xlfn.XLOOKUP(S218:AG218,增益!$A:$A,增益!$M:$M,0)))/100)</f>
        <v>-0.3</v>
      </c>
      <c r="BE218" s="26" cm="1">
        <f t="array" ref="BE218">$G$13+VLOOKUP($R218,武学奇术!$A:$ZZ,14,FALSE)+SUM(_xlfn.XLOOKUP(S218:AG218,增益!$A:$A,增益!$N:$N,0))</f>
        <v>0</v>
      </c>
      <c r="BF218">
        <f t="shared" si="40"/>
        <v>0</v>
      </c>
      <c r="BG218">
        <f t="shared" si="41"/>
        <v>0</v>
      </c>
      <c r="BH218" s="26" cm="1">
        <f t="array" ref="BH218">IF($F$14-$I$4+VLOOKUP($R218,武学奇术!$A:$ZZ,15,FALSE)+SUM(_xlfn.XLOOKUP(S218:AG218,增益!$A:$A,增益!$O:$O,0))&gt;0,($F$14-$I$4+VLOOKUP($R218,武学奇术!$A:$ZZ,15,FALSE)+SUM(_xlfn.XLOOKUP(S218:AG218,增益!$A:$A,增益!$O:$O,0)))/200,($F$14-$I$4+VLOOKUP($R218,武学奇术!$A:$ZZ,15,FALSE)+SUM(_xlfn.XLOOKUP(S218:AG218,增益!$A:$A,增益!$O:$O,0)))/100)</f>
        <v>-0.3</v>
      </c>
      <c r="BI218" s="26" cm="1">
        <f t="array" ref="BI218">$G$14+VLOOKUP($R218,武学奇术!$A:$ZZ,16,FALSE)+SUM(_xlfn.XLOOKUP(S218:AG218,增益!$A:$A,增益!$P:$P,0))</f>
        <v>0</v>
      </c>
      <c r="BJ218" s="21">
        <f>MIN(IF(VLOOKUP($R218,武学奇术!$A:$ZZ,23,FALSE)=1,100%,$B$8),100%)</f>
        <v>0.8229</v>
      </c>
      <c r="BK218" s="21" cm="1">
        <f t="array" ref="BK218">IF(VLOOKUP($R218,武学奇术!$A:$ZZ,23,FALSE)=1,100%,MIN(80%,$B$9+VLOOKUP($R218,武学奇术!$A:$ZZ,17,FALSE)+SUM(_xlfn.XLOOKUP(S218:AG218,增益!$A:$A,增益!$Q:$Q,0)))+$B$11+SUM(_xlfn.XLOOKUP(S218:AG218,增益!$A:$A,增益!$U:$U,0)))*IF(VLOOKUP($R218,武学奇术!$A:$ZZ,24,FALSE)=1,0,1)</f>
        <v>0.2285</v>
      </c>
      <c r="BL218" s="21" cm="1">
        <f t="array" ref="BL218">1+$B$13+VLOOKUP($R218,武学奇术!$A:$ZZ,18,FALSE)+SUM(_xlfn.XLOOKUP(S218:AG218,增益!$A:$A,增益!$R:$R,0))</f>
        <v>1.5</v>
      </c>
      <c r="BM218" s="21" cm="1">
        <f t="array" ref="BM218">IF(VLOOKUP($R218,武学奇术!$A:$ZZ,24,FALSE)=1,100%,MIN(40%,$B$10+VLOOKUP($R218,武学奇术!$A:$ZZ,19,FALSE)+SUM(_xlfn.XLOOKUP(S218:AG218,增益!$A:$A,增益!$S:$S,0)))+$B$12+SUM(_xlfn.XLOOKUP(S218:AG218,增益!$A:$A,增益!$V:$V,0)))*IF(VLOOKUP($R218,武学奇术!$A:$ZZ,23,FALSE)=1,0,1)</f>
        <v>0.4495</v>
      </c>
      <c r="BN218" s="21" cm="1">
        <f t="array" ref="BN218">1+$B$14+VLOOKUP($R218,武学奇术!$A:$ZZ,20,FALSE)+SUM(_xlfn.XLOOKUP(S218:AG218,增益!$A:$A,增益!$T:$T,0))</f>
        <v>1.772</v>
      </c>
      <c r="BO218" s="21">
        <f t="shared" si="42"/>
        <v>0.18803265</v>
      </c>
      <c r="BP218" s="21">
        <f t="shared" si="43"/>
        <v>0.2649738</v>
      </c>
      <c r="BQ218" s="21">
        <f>IF(VLOOKUP($R218,武学奇术!$A:$ZZ,22,FALSE)=1,0,(1-$BJ218))*(1-$BM218)</f>
        <v>0.09749355</v>
      </c>
      <c r="BR218" s="21" cm="1">
        <f t="array" ref="BR218">SUM(_xlfn.XLOOKUP(S218:AG218,增益!$A:$A,增益!$W:$W,0))+$I$5</f>
        <v>0.06</v>
      </c>
    </row>
    <row r="219" spans="11:70">
      <c r="K219" s="24">
        <f>$L219*VLOOKUP($R219,武学奇术!$A:$ZZ,31,FALSE)</f>
        <v>5809.79608131107</v>
      </c>
      <c r="L219" s="24">
        <f t="shared" si="33"/>
        <v>9682.99346885178</v>
      </c>
      <c r="M219" s="24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BL219*$Q219*(1+IF(VLOOKUP($R219,武学奇术!$A:$ZZ,30,FALSE)="流血",$B$21,0))*(1+$BR219)</f>
        <v>7957.72279785075</v>
      </c>
      <c r="N219" s="24">
        <f>(($AP219*$AI219+$AJ219)*(1+$AQ219)*(1+$AR219)+($AU219*IF($G$1="鸣金",$AK219,$AI219)+IF($G$1="鸣金",$AL219*1.5,0))*(1+$AV219)*(1+$AW219)+($AY219*IF($G$1="裂石",$AK219,$AI219)+IF($G$1="裂石",$AL219*1.5,0))*(1+$AZ219)*(1+$BA219)+($BC219*IF($G$1="牵丝",$AK219,$AI219)+IF($G$1="牵丝",$AL219*1.5,0))*(1+$BD219)*(1+$BE219)+($BG219*IF($G$1="破竹",$AK219,$AI219)+IF($G$1="破竹",$AL219*1.5,0))*(1+$BH219)*(1+$BI219))*(1+$AM219)*$BN219*$Q219*(1+IF(VLOOKUP($R219,武学奇术!$A:$ZZ,30,FALSE)="流血",$B$21,0))*(1+$BR219)</f>
        <v>14567.2919602799</v>
      </c>
      <c r="O219" s="24">
        <f>((($AO219+$AP219)/2*$AI219+$AJ219)*(1+$AQ219)*(1+$AR219)+(($AT219+$AU219)/2*IF($G$1="鸣金",$AK219,$AI219)+IF($G$1="鸣金",$AL219*1.5,0))*(1+$AV219)*(1+$AW219)+(($AX219+$AY219)/2*IF($G$1="裂石",$AK219,$AI219)+IF($G$1="裂石",$AL219*1.5,0))*(1+$AZ219)*(1+$BA219)+(($BB219+$BC219)/2*IF($G$1="牵丝",$AK219,$AI219)+IF($G$1="牵丝",$AL219*1.5,0))*(1+$BD219)*(1+$BE219)+(($BF219+$BG219)/2*IF($G$1="破竹",$AK219,$AI219)+IF($G$1="破竹",$AL219*1.5,0))*(1+$BH219)*(1+$BI219))*(1+$AM219)*$Q219*(1+IF(VLOOKUP($R219,武学奇术!$A:$ZZ,30,FALSE)="流血",$B$21,0))*(1+$BR219)</f>
        <v>5305.1485319005</v>
      </c>
      <c r="P219" s="24">
        <f>((($AO219*$AI219+$AJ219)*(1+$AQ219)*(1+$AR219)+($AT219*IF($G$1="鸣金",$AK219,$AI219)+IF($G$1="鸣金",$AL219*1.5,0))*(1+$AV219)*(1+$AW219)+($AX219*IF($G$1="裂石",$AK219,$AI219)+IF($G$1="裂石",$AL219*1.5,0))*(1+$AZ219)*(1+$BA219)+($BB219*IF($G$1="牵丝",$AK219,$AI219)+IF($G$1="牵丝",$AL219*1.5,0))*(1+$BD219)*(1+$BE219)+($BF219*IF($G$1="破竹",$AK219,$AI219)+IF($G$1="破竹",$AL219*1.5,0))*(1+$BH219)*(1+$BI219))*(1+$AM219))*$Q219*(1+IF(VLOOKUP($R219,武学奇术!$A:$ZZ,30,FALSE)="流血",$B$21,0))*(1+$BR219)</f>
        <v>2389.47767312387</v>
      </c>
      <c r="Q219" s="31">
        <v>1</v>
      </c>
      <c r="R219" s="32" t="s">
        <v>200</v>
      </c>
      <c r="S219" s="32" t="s">
        <v>87</v>
      </c>
      <c r="T219" s="32" t="s">
        <v>96</v>
      </c>
      <c r="U219" s="32" t="s">
        <v>97</v>
      </c>
      <c r="V219" s="32" t="s">
        <v>73</v>
      </c>
      <c r="W219" s="32" t="s">
        <v>111</v>
      </c>
      <c r="X219" s="32" t="s">
        <v>127</v>
      </c>
      <c r="Y219" s="32" t="s">
        <v>73</v>
      </c>
      <c r="Z219" s="32" t="s">
        <v>73</v>
      </c>
      <c r="AA219" s="32" t="s">
        <v>81</v>
      </c>
      <c r="AB219" s="32" t="s">
        <v>75</v>
      </c>
      <c r="AC219" s="32" t="s">
        <v>89</v>
      </c>
      <c r="AD219" s="32" t="s">
        <v>82</v>
      </c>
      <c r="AE219" s="32" t="s">
        <v>73</v>
      </c>
      <c r="AF219" s="32" t="s">
        <v>73</v>
      </c>
      <c r="AG219" s="32" t="s">
        <v>175</v>
      </c>
      <c r="AH219" t="str">
        <f>VLOOKUP($R219,武学奇术!$A:$ZZ,25,FALSE)</f>
        <v>剑</v>
      </c>
      <c r="AI219" s="21">
        <f>VLOOKUP($R219,武学奇术!$A:$ZZ,26,FALSE)</f>
        <v>0.2079</v>
      </c>
      <c r="AJ219" s="22">
        <f>VLOOKUP($R219,武学奇术!$A:$ZZ,27,FALSE)*(1+IF(OR($AH219=$F$4,$AH219=$F$5),$B$22,0))</f>
        <v>0</v>
      </c>
      <c r="AK219" s="21">
        <f>VLOOKUP($R219,武学奇术!$A:$ZZ,28,FALSE)</f>
        <v>0.31185</v>
      </c>
      <c r="AL219" s="22">
        <f>VLOOKUP($R219,武学奇术!$A:$ZZ,29,FALSE)*(1+IF(OR($AH219=$F$4,$AH219=$F$5),$B$22,0))</f>
        <v>0</v>
      </c>
      <c r="AM219" s="21" cm="1">
        <f t="array" ref="AM219">$G$3+IFERROR(VLOOKUP($AH219,$F$4:$G$7,2,FALSE),0)+VLOOKUP($R219,武学奇术!$A:$ZZ,2,FALSE)+SUM(_xlfn.XLOOKUP($S219:$AG219,增益!$A:$A,增益!$B:$B,0))</f>
        <v>1.2391</v>
      </c>
      <c r="AN219" s="21" cm="1">
        <f t="array" ref="AN219">VLOOKUP($R219,武学奇术!$A:$ZZ,5,FALSE)+SUM(_xlfn.XLOOKUP($S219:$AG219,增益!$A:$A,增益!$E:$E,0))</f>
        <v>0</v>
      </c>
      <c r="AO219" cm="1">
        <f t="array" ref="AO219">$D$10*(1+$AN219)+VLOOKUP($R219,武学奇术!$A:$ZZ,3,FALSE)+SUM(_xlfn.XLOOKUP($S219:$AG219,增益!$A:$A,增益!$C:$C,0))-$I$2</f>
        <v>1825.28</v>
      </c>
      <c r="AP219" cm="1">
        <f t="array" ref="AP219">$E$10*(1+$AN219)+VLOOKUP($R219,武学奇术!$A:$ZZ,4,FALSE)+SUM(_xlfn.XLOOKUP($S219:$AG219,增益!$A:$A,增益!$D:$D,0))-$I$2</f>
        <v>7757.36</v>
      </c>
      <c r="AQ219" s="26" cm="1">
        <f t="array" ref="AQ219">IF($F$10-$I$3+VLOOKUP($R219,武学奇术!$A:$ZZ,6,FALSE)+SUM(_xlfn.XLOOKUP(S219:AG219,增益!$A:$A,增益!$F:$F,0))&gt;0,($F$10-$I$3+VLOOKUP($R219,武学奇术!$A:$ZZ,6,FALSE)+SUM(_xlfn.XLOOKUP(S219:AG219,增益!$A:$A,增益!$F:$F,0)))/200,($F$10-$I$3+VLOOKUP($R219,武学奇术!$A:$ZZ,6,FALSE)+SUM(_xlfn.XLOOKUP(S219:AG219,增益!$A:$A,增益!$F:$F,0)))/100)</f>
        <v>0.319</v>
      </c>
      <c r="AR219" s="26" cm="1">
        <f t="array" ref="AR219">$G$10+VLOOKUP($R219,武学奇术!$A:$ZZ,7,FALSE)+SUM(_xlfn.XLOOKUP(S219:AG219,增益!$A:$A,增益!$G:$G,0))</f>
        <v>0</v>
      </c>
      <c r="AS219" s="21" cm="1">
        <f t="array" ref="AS219">VLOOKUP($R219,武学奇术!$A:$ZZ,8,FALSE)+SUM(_xlfn.XLOOKUP(S219:AG219,增益!$A:$A,增益!$H:$H,0))</f>
        <v>0</v>
      </c>
      <c r="AT219">
        <f t="shared" si="34"/>
        <v>680.02</v>
      </c>
      <c r="AU219">
        <f t="shared" si="35"/>
        <v>1288.54</v>
      </c>
      <c r="AV219" s="26" cm="1">
        <f t="array" ref="AV219">IF($F$11-$I$4+VLOOKUP($R219,武学奇术!$A:$ZZ,9,FALSE)+SUM(_xlfn.XLOOKUP(S219:AG219,增益!$A:$A,增益!$I:$I,0))&gt;0,($F$11-$I$4+VLOOKUP($R219,武学奇术!$A:$ZZ,9,FALSE)+SUM(_xlfn.XLOOKUP(S219:AG219,增益!$A:$A,增益!$I:$I,0)))/200,($F$11-$I$4+VLOOKUP($R219,武学奇术!$A:$ZZ,9,FALSE)+SUM(_xlfn.XLOOKUP(S219:AG219,增益!$A:$A,增益!$I:$I,0)))/100)</f>
        <v>0.075</v>
      </c>
      <c r="AW219" s="26" cm="1">
        <f t="array" ref="AW219">$G$11+VLOOKUP($R219,武学奇术!$A:$ZZ,10,FALSE)+SUM(_xlfn.XLOOKUP(S219:AG219,增益!$A:$A,增益!$J:$J,0))</f>
        <v>0.15</v>
      </c>
      <c r="AX219">
        <f t="shared" si="36"/>
        <v>0</v>
      </c>
      <c r="AY219">
        <f t="shared" si="37"/>
        <v>0</v>
      </c>
      <c r="AZ219" s="26" cm="1">
        <f t="array" ref="AZ219">IF($F$12-$I$4+VLOOKUP($R219,武学奇术!$A:$ZZ,11,FALSE)+SUM(_xlfn.XLOOKUP(S219:AG219,增益!$A:$A,增益!$K:$K,0))&gt;0,($F$12-$I$4+VLOOKUP($R219,武学奇术!$A:$ZZ,11,FALSE)+SUM(_xlfn.XLOOKUP(S219:AG219,增益!$A:$A,增益!$K:$K,0)))/200,($F$12-$I$4+VLOOKUP($R219,武学奇术!$A:$ZZ,11,FALSE)+SUM(_xlfn.XLOOKUP(S219:AG219,增益!$A:$A,增益!$K:$K,0)))/100)</f>
        <v>-0.3</v>
      </c>
      <c r="BA219" s="26" cm="1">
        <f t="array" ref="BA219">$G$12+VLOOKUP($R219,武学奇术!$A:$ZZ,12,FALSE)+SUM(_xlfn.XLOOKUP(S219:AG219,增益!$A:$A,增益!$L:$L,0))</f>
        <v>0</v>
      </c>
      <c r="BB219">
        <f t="shared" si="38"/>
        <v>0</v>
      </c>
      <c r="BC219">
        <f t="shared" si="39"/>
        <v>0</v>
      </c>
      <c r="BD219" s="26" cm="1">
        <f t="array" ref="BD219">IF($F$13-$I$4+VLOOKUP($R219,武学奇术!$A:$ZZ,13,FALSE)+SUM(_xlfn.XLOOKUP(S219:AG219,增益!$A:$A,增益!$M:$M,0))&gt;0,($F$13-$I$4+VLOOKUP($R219,武学奇术!$A:$ZZ,13,FALSE)+SUM(_xlfn.XLOOKUP(S219:AG219,增益!$A:$A,增益!$K:$K,0)))/200,($F$13-$I$4+VLOOKUP($R219,武学奇术!$A:$ZZ,13,FALSE)+SUM(_xlfn.XLOOKUP(S219:AG219,增益!$A:$A,增益!$M:$M,0)))/100)</f>
        <v>-0.3</v>
      </c>
      <c r="BE219" s="26" cm="1">
        <f t="array" ref="BE219">$G$13+VLOOKUP($R219,武学奇术!$A:$ZZ,14,FALSE)+SUM(_xlfn.XLOOKUP(S219:AG219,增益!$A:$A,增益!$N:$N,0))</f>
        <v>0</v>
      </c>
      <c r="BF219">
        <f t="shared" si="40"/>
        <v>0</v>
      </c>
      <c r="BG219">
        <f t="shared" si="41"/>
        <v>0</v>
      </c>
      <c r="BH219" s="26" cm="1">
        <f t="array" ref="BH219">IF($F$14-$I$4+VLOOKUP($R219,武学奇术!$A:$ZZ,15,FALSE)+SUM(_xlfn.XLOOKUP(S219:AG219,增益!$A:$A,增益!$O:$O,0))&gt;0,($F$14-$I$4+VLOOKUP($R219,武学奇术!$A:$ZZ,15,FALSE)+SUM(_xlfn.XLOOKUP(S219:AG219,增益!$A:$A,增益!$O:$O,0)))/200,($F$14-$I$4+VLOOKUP($R219,武学奇术!$A:$ZZ,15,FALSE)+SUM(_xlfn.XLOOKUP(S219:AG219,增益!$A:$A,增益!$O:$O,0)))/100)</f>
        <v>-0.3</v>
      </c>
      <c r="BI219" s="26" cm="1">
        <f t="array" ref="BI219">$G$14+VLOOKUP($R219,武学奇术!$A:$ZZ,16,FALSE)+SUM(_xlfn.XLOOKUP(S219:AG219,增益!$A:$A,增益!$P:$P,0))</f>
        <v>0</v>
      </c>
      <c r="BJ219" s="21">
        <f>MIN(IF(VLOOKUP($R219,武学奇术!$A:$ZZ,23,FALSE)=1,100%,$B$8),100%)</f>
        <v>0.8229</v>
      </c>
      <c r="BK219" s="21" cm="1">
        <f t="array" ref="BK219">IF(VLOOKUP($R219,武学奇术!$A:$ZZ,23,FALSE)=1,100%,MIN(80%,$B$9+VLOOKUP($R219,武学奇术!$A:$ZZ,17,FALSE)+SUM(_xlfn.XLOOKUP(S219:AG219,增益!$A:$A,增益!$Q:$Q,0)))+$B$11+SUM(_xlfn.XLOOKUP(S219:AG219,增益!$A:$A,增益!$U:$U,0)))*IF(VLOOKUP($R219,武学奇术!$A:$ZZ,24,FALSE)=1,0,1)</f>
        <v>0.2285</v>
      </c>
      <c r="BL219" s="21" cm="1">
        <f t="array" ref="BL219">1+$B$13+VLOOKUP($R219,武学奇术!$A:$ZZ,18,FALSE)+SUM(_xlfn.XLOOKUP(S219:AG219,增益!$A:$A,增益!$R:$R,0))</f>
        <v>1.5</v>
      </c>
      <c r="BM219" s="21" cm="1">
        <f t="array" ref="BM219">IF(VLOOKUP($R219,武学奇术!$A:$ZZ,24,FALSE)=1,100%,MIN(40%,$B$10+VLOOKUP($R219,武学奇术!$A:$ZZ,19,FALSE)+SUM(_xlfn.XLOOKUP(S219:AG219,增益!$A:$A,增益!$S:$S,0)))+$B$12+SUM(_xlfn.XLOOKUP(S219:AG219,增益!$A:$A,增益!$V:$V,0)))*IF(VLOOKUP($R219,武学奇术!$A:$ZZ,23,FALSE)=1,0,1)</f>
        <v>0.4495</v>
      </c>
      <c r="BN219" s="21" cm="1">
        <f t="array" ref="BN219">1+$B$14+VLOOKUP($R219,武学奇术!$A:$ZZ,20,FALSE)+SUM(_xlfn.XLOOKUP(S219:AG219,增益!$A:$A,增益!$T:$T,0))</f>
        <v>1.772</v>
      </c>
      <c r="BO219" s="21">
        <f t="shared" si="42"/>
        <v>0.18803265</v>
      </c>
      <c r="BP219" s="21">
        <f t="shared" si="43"/>
        <v>0.2649738</v>
      </c>
      <c r="BQ219" s="21">
        <f>IF(VLOOKUP($R219,武学奇术!$A:$ZZ,22,FALSE)=1,0,(1-$BJ219))*(1-$BM219)</f>
        <v>0.09749355</v>
      </c>
      <c r="BR219" s="21" cm="1">
        <f t="array" ref="BR219">SUM(_xlfn.XLOOKUP(S219:AG219,增益!$A:$A,增益!$W:$W,0))+$I$5</f>
        <v>0.06</v>
      </c>
    </row>
    <row r="220" spans="11:70">
      <c r="K220" s="24">
        <f>$L220*VLOOKUP($R220,武学奇术!$A:$ZZ,31,FALSE)</f>
        <v>7775.9568416103</v>
      </c>
      <c r="L220" s="24">
        <f t="shared" si="33"/>
        <v>12959.9280693505</v>
      </c>
      <c r="M220" s="24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BL220*$Q220*(1+IF(VLOOKUP($R220,武学奇术!$A:$ZZ,30,FALSE)="流血",$B$21,0))*(1+$BR220)</f>
        <v>10610.297063801</v>
      </c>
      <c r="N220" s="24">
        <f>(($AP220*$AI220+$AJ220)*(1+$AQ220)*(1+$AR220)+($AU220*IF($G$1="鸣金",$AK220,$AI220)+IF($G$1="鸣金",$AL220*1.5,0))*(1+$AV220)*(1+$AW220)+($AY220*IF($G$1="裂石",$AK220,$AI220)+IF($G$1="裂石",$AL220*1.5,0))*(1+$AZ220)*(1+$BA220)+($BC220*IF($G$1="牵丝",$AK220,$AI220)+IF($G$1="牵丝",$AL220*1.5,0))*(1+$BD220)*(1+$BE220)+($BG220*IF($G$1="破竹",$AK220,$AI220)+IF($G$1="破竹",$AL220*1.5,0))*(1+$BH220)*(1+$BI220))*(1+$AM220)*$BN220*$Q220*(1+IF(VLOOKUP($R220,武学奇术!$A:$ZZ,30,FALSE)="流血",$B$21,0))*(1+$BR220)</f>
        <v>19532.6668722489</v>
      </c>
      <c r="O220" s="24">
        <f>((($AO220+$AP220)/2*$AI220+$AJ220)*(1+$AQ220)*(1+$AR220)+(($AT220+$AU220)/2*IF($G$1="鸣金",$AK220,$AI220)+IF($G$1="鸣金",$AL220*1.5,0))*(1+$AV220)*(1+$AW220)+(($AX220+$AY220)/2*IF($G$1="裂石",$AK220,$AI220)+IF($G$1="裂石",$AL220*1.5,0))*(1+$AZ220)*(1+$BA220)+(($BB220+$BC220)/2*IF($G$1="牵丝",$AK220,$AI220)+IF($G$1="牵丝",$AL220*1.5,0))*(1+$BD220)*(1+$BE220)+(($BF220+$BG220)/2*IF($G$1="破竹",$AK220,$AI220)+IF($G$1="破竹",$AL220*1.5,0))*(1+$BH220)*(1+$BI220))*(1+$AM220)*$Q220*(1+IF(VLOOKUP($R220,武学奇术!$A:$ZZ,30,FALSE)="流血",$B$21,0))*(1+$BR220)</f>
        <v>7073.53137586733</v>
      </c>
      <c r="P220" s="24">
        <f>((($AO220*$AI220+$AJ220)*(1+$AQ220)*(1+$AR220)+($AT220*IF($G$1="鸣金",$AK220,$AI220)+IF($G$1="鸣金",$AL220*1.5,0))*(1+$AV220)*(1+$AW220)+($AX220*IF($G$1="裂石",$AK220,$AI220)+IF($G$1="裂石",$AL220*1.5,0))*(1+$AZ220)*(1+$BA220)+($BB220*IF($G$1="牵丝",$AK220,$AI220)+IF($G$1="牵丝",$AL220*1.5,0))*(1+$BD220)*(1+$BE220)+($BF220*IF($G$1="破竹",$AK220,$AI220)+IF($G$1="破竹",$AL220*1.5,0))*(1+$BH220)*(1+$BI220))*(1+$AM220))*$Q220*(1+IF(VLOOKUP($R220,武学奇术!$A:$ZZ,30,FALSE)="流血",$B$21,0))*(1+$BR220)</f>
        <v>3185.97023083183</v>
      </c>
      <c r="Q220" s="31">
        <v>1</v>
      </c>
      <c r="R220" s="32" t="s">
        <v>197</v>
      </c>
      <c r="S220" s="32" t="s">
        <v>87</v>
      </c>
      <c r="T220" s="32" t="s">
        <v>96</v>
      </c>
      <c r="U220" s="32" t="s">
        <v>97</v>
      </c>
      <c r="V220" s="32" t="s">
        <v>73</v>
      </c>
      <c r="W220" s="32" t="s">
        <v>111</v>
      </c>
      <c r="X220" s="32" t="s">
        <v>127</v>
      </c>
      <c r="Y220" s="32" t="s">
        <v>73</v>
      </c>
      <c r="Z220" s="32" t="s">
        <v>73</v>
      </c>
      <c r="AA220" s="32" t="s">
        <v>81</v>
      </c>
      <c r="AB220" s="32" t="s">
        <v>75</v>
      </c>
      <c r="AC220" s="32" t="s">
        <v>89</v>
      </c>
      <c r="AD220" s="32" t="s">
        <v>82</v>
      </c>
      <c r="AE220" s="32" t="s">
        <v>73</v>
      </c>
      <c r="AF220" s="32" t="s">
        <v>73</v>
      </c>
      <c r="AG220" s="32" t="s">
        <v>178</v>
      </c>
      <c r="AH220" t="str">
        <f>VLOOKUP($R220,武学奇术!$A:$ZZ,25,FALSE)</f>
        <v>剑</v>
      </c>
      <c r="AI220" s="21">
        <f>VLOOKUP($R220,武学奇术!$A:$ZZ,26,FALSE)</f>
        <v>0.2772</v>
      </c>
      <c r="AJ220" s="22">
        <f>VLOOKUP($R220,武学奇术!$A:$ZZ,27,FALSE)*(1+IF(OR($AH220=$F$4,$AH220=$F$5),$B$22,0))</f>
        <v>0</v>
      </c>
      <c r="AK220" s="21">
        <f>VLOOKUP($R220,武学奇术!$A:$ZZ,28,FALSE)</f>
        <v>0.4158</v>
      </c>
      <c r="AL220" s="22">
        <f>VLOOKUP($R220,武学奇术!$A:$ZZ,29,FALSE)*(1+IF(OR($AH220=$F$4,$AH220=$F$5),$B$22,0))</f>
        <v>0</v>
      </c>
      <c r="AM220" s="21" cm="1">
        <f t="array" ref="AM220">$G$3+IFERROR(VLOOKUP($AH220,$F$4:$G$7,2,FALSE),0)+VLOOKUP($R220,武学奇术!$A:$ZZ,2,FALSE)+SUM(_xlfn.XLOOKUP($S220:$AG220,增益!$A:$A,增益!$B:$B,0))</f>
        <v>1.2391</v>
      </c>
      <c r="AN220" s="21" cm="1">
        <f t="array" ref="AN220">VLOOKUP($R220,武学奇术!$A:$ZZ,5,FALSE)+SUM(_xlfn.XLOOKUP($S220:$AG220,增益!$A:$A,增益!$E:$E,0))</f>
        <v>0</v>
      </c>
      <c r="AO220" cm="1">
        <f t="array" ref="AO220">$D$10*(1+$AN220)+VLOOKUP($R220,武学奇术!$A:$ZZ,3,FALSE)+SUM(_xlfn.XLOOKUP($S220:$AG220,增益!$A:$A,增益!$C:$C,0))-$I$2</f>
        <v>1825.28</v>
      </c>
      <c r="AP220" cm="1">
        <f t="array" ref="AP220">$E$10*(1+$AN220)+VLOOKUP($R220,武学奇术!$A:$ZZ,4,FALSE)+SUM(_xlfn.XLOOKUP($S220:$AG220,增益!$A:$A,增益!$D:$D,0))-$I$2</f>
        <v>7757.36</v>
      </c>
      <c r="AQ220" s="26" cm="1">
        <f t="array" ref="AQ220">IF($F$10-$I$3+VLOOKUP($R220,武学奇术!$A:$ZZ,6,FALSE)+SUM(_xlfn.XLOOKUP(S220:AG220,增益!$A:$A,增益!$F:$F,0))&gt;0,($F$10-$I$3+VLOOKUP($R220,武学奇术!$A:$ZZ,6,FALSE)+SUM(_xlfn.XLOOKUP(S220:AG220,增益!$A:$A,增益!$F:$F,0)))/200,($F$10-$I$3+VLOOKUP($R220,武学奇术!$A:$ZZ,6,FALSE)+SUM(_xlfn.XLOOKUP(S220:AG220,增益!$A:$A,增益!$F:$F,0)))/100)</f>
        <v>0.319</v>
      </c>
      <c r="AR220" s="26" cm="1">
        <f t="array" ref="AR220">$G$10+VLOOKUP($R220,武学奇术!$A:$ZZ,7,FALSE)+SUM(_xlfn.XLOOKUP(S220:AG220,增益!$A:$A,增益!$G:$G,0))</f>
        <v>0</v>
      </c>
      <c r="AS220" s="21" cm="1">
        <f t="array" ref="AS220">VLOOKUP($R220,武学奇术!$A:$ZZ,8,FALSE)+SUM(_xlfn.XLOOKUP(S220:AG220,增益!$A:$A,增益!$H:$H,0))</f>
        <v>0</v>
      </c>
      <c r="AT220">
        <f t="shared" si="34"/>
        <v>680.02</v>
      </c>
      <c r="AU220">
        <f t="shared" si="35"/>
        <v>1288.54</v>
      </c>
      <c r="AV220" s="26" cm="1">
        <f t="array" ref="AV220">IF($F$11-$I$4+VLOOKUP($R220,武学奇术!$A:$ZZ,9,FALSE)+SUM(_xlfn.XLOOKUP(S220:AG220,增益!$A:$A,增益!$I:$I,0))&gt;0,($F$11-$I$4+VLOOKUP($R220,武学奇术!$A:$ZZ,9,FALSE)+SUM(_xlfn.XLOOKUP(S220:AG220,增益!$A:$A,增益!$I:$I,0)))/200,($F$11-$I$4+VLOOKUP($R220,武学奇术!$A:$ZZ,9,FALSE)+SUM(_xlfn.XLOOKUP(S220:AG220,增益!$A:$A,增益!$I:$I,0)))/100)</f>
        <v>0.075</v>
      </c>
      <c r="AW220" s="26" cm="1">
        <f t="array" ref="AW220">$G$11+VLOOKUP($R220,武学奇术!$A:$ZZ,10,FALSE)+SUM(_xlfn.XLOOKUP(S220:AG220,增益!$A:$A,增益!$J:$J,0))</f>
        <v>0.15</v>
      </c>
      <c r="AX220">
        <f t="shared" si="36"/>
        <v>0</v>
      </c>
      <c r="AY220">
        <f t="shared" si="37"/>
        <v>0</v>
      </c>
      <c r="AZ220" s="26" cm="1">
        <f t="array" ref="AZ220">IF($F$12-$I$4+VLOOKUP($R220,武学奇术!$A:$ZZ,11,FALSE)+SUM(_xlfn.XLOOKUP(S220:AG220,增益!$A:$A,增益!$K:$K,0))&gt;0,($F$12-$I$4+VLOOKUP($R220,武学奇术!$A:$ZZ,11,FALSE)+SUM(_xlfn.XLOOKUP(S220:AG220,增益!$A:$A,增益!$K:$K,0)))/200,($F$12-$I$4+VLOOKUP($R220,武学奇术!$A:$ZZ,11,FALSE)+SUM(_xlfn.XLOOKUP(S220:AG220,增益!$A:$A,增益!$K:$K,0)))/100)</f>
        <v>-0.3</v>
      </c>
      <c r="BA220" s="26" cm="1">
        <f t="array" ref="BA220">$G$12+VLOOKUP($R220,武学奇术!$A:$ZZ,12,FALSE)+SUM(_xlfn.XLOOKUP(S220:AG220,增益!$A:$A,增益!$L:$L,0))</f>
        <v>0</v>
      </c>
      <c r="BB220">
        <f t="shared" si="38"/>
        <v>0</v>
      </c>
      <c r="BC220">
        <f t="shared" si="39"/>
        <v>0</v>
      </c>
      <c r="BD220" s="26" cm="1">
        <f t="array" ref="BD220">IF($F$13-$I$4+VLOOKUP($R220,武学奇术!$A:$ZZ,13,FALSE)+SUM(_xlfn.XLOOKUP(S220:AG220,增益!$A:$A,增益!$M:$M,0))&gt;0,($F$13-$I$4+VLOOKUP($R220,武学奇术!$A:$ZZ,13,FALSE)+SUM(_xlfn.XLOOKUP(S220:AG220,增益!$A:$A,增益!$K:$K,0)))/200,($F$13-$I$4+VLOOKUP($R220,武学奇术!$A:$ZZ,13,FALSE)+SUM(_xlfn.XLOOKUP(S220:AG220,增益!$A:$A,增益!$M:$M,0)))/100)</f>
        <v>-0.3</v>
      </c>
      <c r="BE220" s="26" cm="1">
        <f t="array" ref="BE220">$G$13+VLOOKUP($R220,武学奇术!$A:$ZZ,14,FALSE)+SUM(_xlfn.XLOOKUP(S220:AG220,增益!$A:$A,增益!$N:$N,0))</f>
        <v>0</v>
      </c>
      <c r="BF220">
        <f t="shared" si="40"/>
        <v>0</v>
      </c>
      <c r="BG220">
        <f t="shared" si="41"/>
        <v>0</v>
      </c>
      <c r="BH220" s="26" cm="1">
        <f t="array" ref="BH220">IF($F$14-$I$4+VLOOKUP($R220,武学奇术!$A:$ZZ,15,FALSE)+SUM(_xlfn.XLOOKUP(S220:AG220,增益!$A:$A,增益!$O:$O,0))&gt;0,($F$14-$I$4+VLOOKUP($R220,武学奇术!$A:$ZZ,15,FALSE)+SUM(_xlfn.XLOOKUP(S220:AG220,增益!$A:$A,增益!$O:$O,0)))/200,($F$14-$I$4+VLOOKUP($R220,武学奇术!$A:$ZZ,15,FALSE)+SUM(_xlfn.XLOOKUP(S220:AG220,增益!$A:$A,增益!$O:$O,0)))/100)</f>
        <v>-0.3</v>
      </c>
      <c r="BI220" s="26" cm="1">
        <f t="array" ref="BI220">$G$14+VLOOKUP($R220,武学奇术!$A:$ZZ,16,FALSE)+SUM(_xlfn.XLOOKUP(S220:AG220,增益!$A:$A,增益!$P:$P,0))</f>
        <v>0</v>
      </c>
      <c r="BJ220" s="21">
        <f>MIN(IF(VLOOKUP($R220,武学奇术!$A:$ZZ,23,FALSE)=1,100%,$B$8),100%)</f>
        <v>0.8229</v>
      </c>
      <c r="BK220" s="21" cm="1">
        <f t="array" ref="BK220">IF(VLOOKUP($R220,武学奇术!$A:$ZZ,23,FALSE)=1,100%,MIN(80%,$B$9+VLOOKUP($R220,武学奇术!$A:$ZZ,17,FALSE)+SUM(_xlfn.XLOOKUP(S220:AG220,增益!$A:$A,增益!$Q:$Q,0)))+$B$11+SUM(_xlfn.XLOOKUP(S220:AG220,增益!$A:$A,增益!$U:$U,0)))*IF(VLOOKUP($R220,武学奇术!$A:$ZZ,24,FALSE)=1,0,1)</f>
        <v>0.2285</v>
      </c>
      <c r="BL220" s="21" cm="1">
        <f t="array" ref="BL220">1+$B$13+VLOOKUP($R220,武学奇术!$A:$ZZ,18,FALSE)+SUM(_xlfn.XLOOKUP(S220:AG220,增益!$A:$A,增益!$R:$R,0))</f>
        <v>1.5</v>
      </c>
      <c r="BM220" s="21" cm="1">
        <f t="array" ref="BM220">IF(VLOOKUP($R220,武学奇术!$A:$ZZ,24,FALSE)=1,100%,MIN(40%,$B$10+VLOOKUP($R220,武学奇术!$A:$ZZ,19,FALSE)+SUM(_xlfn.XLOOKUP(S220:AG220,增益!$A:$A,增益!$S:$S,0)))+$B$12+SUM(_xlfn.XLOOKUP(S220:AG220,增益!$A:$A,增益!$V:$V,0)))*IF(VLOOKUP($R220,武学奇术!$A:$ZZ,23,FALSE)=1,0,1)</f>
        <v>0.4495</v>
      </c>
      <c r="BN220" s="21" cm="1">
        <f t="array" ref="BN220">1+$B$14+VLOOKUP($R220,武学奇术!$A:$ZZ,20,FALSE)+SUM(_xlfn.XLOOKUP(S220:AG220,增益!$A:$A,增益!$T:$T,0))</f>
        <v>1.782</v>
      </c>
      <c r="BO220" s="21">
        <f t="shared" si="42"/>
        <v>0.18803265</v>
      </c>
      <c r="BP220" s="21">
        <f t="shared" si="43"/>
        <v>0.2649738</v>
      </c>
      <c r="BQ220" s="21">
        <f>IF(VLOOKUP($R220,武学奇术!$A:$ZZ,22,FALSE)=1,0,(1-$BJ220))*(1-$BM220)</f>
        <v>0.09749355</v>
      </c>
      <c r="BR220" s="21" cm="1">
        <f t="array" ref="BR220">SUM(_xlfn.XLOOKUP(S220:AG220,增益!$A:$A,增益!$W:$W,0))+$I$5</f>
        <v>0.06</v>
      </c>
    </row>
    <row r="221" spans="11:70">
      <c r="K221" s="24">
        <f>$L221*VLOOKUP($R221,武学奇术!$A:$ZZ,31,FALSE)</f>
        <v>7745.15831384111</v>
      </c>
      <c r="L221" s="24">
        <f t="shared" si="33"/>
        <v>12908.5971897352</v>
      </c>
      <c r="M221" s="24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BL221*$Q221*(1+IF(VLOOKUP($R221,武学奇术!$A:$ZZ,30,FALSE)="流血",$B$21,0))*(1+$BR221)</f>
        <v>10557.0317781008</v>
      </c>
      <c r="N221" s="24">
        <f>(($AP221*$AI221+$AJ221)*(1+$AQ221)*(1+$AR221)+($AU221*IF($G$1="鸣金",$AK221,$AI221)+IF($G$1="鸣金",$AL221*1.5,0))*(1+$AV221)*(1+$AW221)+($AY221*IF($G$1="裂石",$AK221,$AI221)+IF($G$1="裂石",$AL221*1.5,0))*(1+$AZ221)*(1+$BA221)+($BC221*IF($G$1="牵丝",$AK221,$AI221)+IF($G$1="牵丝",$AL221*1.5,0))*(1+$BD221)*(1+$BE221)+($BG221*IF($G$1="破竹",$AK221,$AI221)+IF($G$1="破竹",$AL221*1.5,0))*(1+$BH221)*(1+$BI221))*(1+$AM221)*$BN221*$Q221*(1+IF(VLOOKUP($R221,武学奇术!$A:$ZZ,30,FALSE)="流血",$B$21,0))*(1+$BR221)</f>
        <v>19469.387712837</v>
      </c>
      <c r="O221" s="24">
        <f>((($AO221+$AP221)/2*$AI221+$AJ221)*(1+$AQ221)*(1+$AR221)+(($AT221+$AU221)/2*IF($G$1="鸣金",$AK221,$AI221)+IF($G$1="鸣金",$AL221*1.5,0))*(1+$AV221)*(1+$AW221)+(($AX221+$AY221)/2*IF($G$1="裂石",$AK221,$AI221)+IF($G$1="裂石",$AL221*1.5,0))*(1+$AZ221)*(1+$BA221)+(($BB221+$BC221)/2*IF($G$1="牵丝",$AK221,$AI221)+IF($G$1="牵丝",$AL221*1.5,0))*(1+$BD221)*(1+$BE221)+(($BF221+$BG221)/2*IF($G$1="破竹",$AK221,$AI221)+IF($G$1="破竹",$AL221*1.5,0))*(1+$BH221)*(1+$BI221))*(1+$AM221)*$Q221*(1+IF(VLOOKUP($R221,武学奇术!$A:$ZZ,30,FALSE)="流血",$B$21,0))*(1+$BR221)</f>
        <v>7038.02118540055</v>
      </c>
      <c r="P221" s="24">
        <f>((($AO221*$AI221+$AJ221)*(1+$AQ221)*(1+$AR221)+($AT221*IF($G$1="鸣金",$AK221,$AI221)+IF($G$1="鸣金",$AL221*1.5,0))*(1+$AV221)*(1+$AW221)+($AX221*IF($G$1="裂石",$AK221,$AI221)+IF($G$1="裂石",$AL221*1.5,0))*(1+$AZ221)*(1+$BA221)+($BB221*IF($G$1="牵丝",$AK221,$AI221)+IF($G$1="牵丝",$AL221*1.5,0))*(1+$BD221)*(1+$BE221)+($BF221*IF($G$1="破竹",$AK221,$AI221)+IF($G$1="破竹",$AL221*1.5,0))*(1+$BH221)*(1+$BI221))*(1+$AM221))*$Q221*(1+IF(VLOOKUP($R221,武学奇术!$A:$ZZ,30,FALSE)="流血",$B$21,0))*(1+$BR221)</f>
        <v>3150.46004036504</v>
      </c>
      <c r="Q221" s="31">
        <v>1</v>
      </c>
      <c r="R221" s="32" t="s">
        <v>197</v>
      </c>
      <c r="S221" s="32" t="s">
        <v>87</v>
      </c>
      <c r="T221" s="32" t="s">
        <v>96</v>
      </c>
      <c r="U221" s="32" t="s">
        <v>97</v>
      </c>
      <c r="V221" s="32" t="s">
        <v>73</v>
      </c>
      <c r="W221" s="32" t="s">
        <v>73</v>
      </c>
      <c r="X221" s="32" t="s">
        <v>127</v>
      </c>
      <c r="Y221" s="32" t="s">
        <v>73</v>
      </c>
      <c r="Z221" s="32" t="s">
        <v>73</v>
      </c>
      <c r="AA221" s="32" t="s">
        <v>81</v>
      </c>
      <c r="AB221" s="32" t="s">
        <v>75</v>
      </c>
      <c r="AC221" s="32" t="s">
        <v>89</v>
      </c>
      <c r="AD221" s="32" t="s">
        <v>82</v>
      </c>
      <c r="AE221" s="32" t="s">
        <v>73</v>
      </c>
      <c r="AF221" s="32" t="s">
        <v>73</v>
      </c>
      <c r="AG221" s="32" t="s">
        <v>178</v>
      </c>
      <c r="AH221" t="str">
        <f>VLOOKUP($R221,武学奇术!$A:$ZZ,25,FALSE)</f>
        <v>剑</v>
      </c>
      <c r="AI221" s="21">
        <f>VLOOKUP($R221,武学奇术!$A:$ZZ,26,FALSE)</f>
        <v>0.2772</v>
      </c>
      <c r="AJ221" s="22">
        <f>VLOOKUP($R221,武学奇术!$A:$ZZ,27,FALSE)*(1+IF(OR($AH221=$F$4,$AH221=$F$5),$B$22,0))</f>
        <v>0</v>
      </c>
      <c r="AK221" s="21">
        <f>VLOOKUP($R221,武学奇术!$A:$ZZ,28,FALSE)</f>
        <v>0.4158</v>
      </c>
      <c r="AL221" s="22">
        <f>VLOOKUP($R221,武学奇术!$A:$ZZ,29,FALSE)*(1+IF(OR($AH221=$F$4,$AH221=$F$5),$B$22,0))</f>
        <v>0</v>
      </c>
      <c r="AM221" s="21" cm="1">
        <f t="array" ref="AM221">$G$3+IFERROR(VLOOKUP($AH221,$F$4:$G$7,2,FALSE),0)+VLOOKUP($R221,武学奇术!$A:$ZZ,2,FALSE)+SUM(_xlfn.XLOOKUP($S221:$AG221,增益!$A:$A,增益!$B:$B,0))</f>
        <v>1.2391</v>
      </c>
      <c r="AN221" s="21" cm="1">
        <f t="array" ref="AN221">VLOOKUP($R221,武学奇术!$A:$ZZ,5,FALSE)+SUM(_xlfn.XLOOKUP($S221:$AG221,增益!$A:$A,增益!$E:$E,0))</f>
        <v>0</v>
      </c>
      <c r="AO221" cm="1">
        <f t="array" ref="AO221">$D$10*(1+$AN221)+VLOOKUP($R221,武学奇术!$A:$ZZ,3,FALSE)+SUM(_xlfn.XLOOKUP($S221:$AG221,增益!$A:$A,增益!$C:$C,0))-$I$2</f>
        <v>1794.28</v>
      </c>
      <c r="AP221" cm="1">
        <f t="array" ref="AP221">$E$10*(1+$AN221)+VLOOKUP($R221,武学奇术!$A:$ZZ,4,FALSE)+SUM(_xlfn.XLOOKUP($S221:$AG221,增益!$A:$A,增益!$D:$D,0))-$I$2</f>
        <v>7726.36</v>
      </c>
      <c r="AQ221" s="26" cm="1">
        <f t="array" ref="AQ221">IF($F$10-$I$3+VLOOKUP($R221,武学奇术!$A:$ZZ,6,FALSE)+SUM(_xlfn.XLOOKUP(S221:AG221,增益!$A:$A,增益!$F:$F,0))&gt;0,($F$10-$I$3+VLOOKUP($R221,武学奇术!$A:$ZZ,6,FALSE)+SUM(_xlfn.XLOOKUP(S221:AG221,增益!$A:$A,增益!$F:$F,0)))/200,($F$10-$I$3+VLOOKUP($R221,武学奇术!$A:$ZZ,6,FALSE)+SUM(_xlfn.XLOOKUP(S221:AG221,增益!$A:$A,增益!$F:$F,0)))/100)</f>
        <v>0.319</v>
      </c>
      <c r="AR221" s="26" cm="1">
        <f t="array" ref="AR221">$G$10+VLOOKUP($R221,武学奇术!$A:$ZZ,7,FALSE)+SUM(_xlfn.XLOOKUP(S221:AG221,增益!$A:$A,增益!$G:$G,0))</f>
        <v>0</v>
      </c>
      <c r="AS221" s="21" cm="1">
        <f t="array" ref="AS221">VLOOKUP($R221,武学奇术!$A:$ZZ,8,FALSE)+SUM(_xlfn.XLOOKUP(S221:AG221,增益!$A:$A,增益!$H:$H,0))</f>
        <v>0</v>
      </c>
      <c r="AT221">
        <f t="shared" si="34"/>
        <v>680.02</v>
      </c>
      <c r="AU221">
        <f t="shared" si="35"/>
        <v>1288.54</v>
      </c>
      <c r="AV221" s="26" cm="1">
        <f t="array" ref="AV221">IF($F$11-$I$4+VLOOKUP($R221,武学奇术!$A:$ZZ,9,FALSE)+SUM(_xlfn.XLOOKUP(S221:AG221,增益!$A:$A,增益!$I:$I,0))&gt;0,($F$11-$I$4+VLOOKUP($R221,武学奇术!$A:$ZZ,9,FALSE)+SUM(_xlfn.XLOOKUP(S221:AG221,增益!$A:$A,增益!$I:$I,0)))/200,($F$11-$I$4+VLOOKUP($R221,武学奇术!$A:$ZZ,9,FALSE)+SUM(_xlfn.XLOOKUP(S221:AG221,增益!$A:$A,增益!$I:$I,0)))/100)</f>
        <v>0.075</v>
      </c>
      <c r="AW221" s="26" cm="1">
        <f t="array" ref="AW221">$G$11+VLOOKUP($R221,武学奇术!$A:$ZZ,10,FALSE)+SUM(_xlfn.XLOOKUP(S221:AG221,增益!$A:$A,增益!$J:$J,0))</f>
        <v>0.15</v>
      </c>
      <c r="AX221">
        <f t="shared" si="36"/>
        <v>0</v>
      </c>
      <c r="AY221">
        <f t="shared" si="37"/>
        <v>0</v>
      </c>
      <c r="AZ221" s="26" cm="1">
        <f t="array" ref="AZ221">IF($F$12-$I$4+VLOOKUP($R221,武学奇术!$A:$ZZ,11,FALSE)+SUM(_xlfn.XLOOKUP(S221:AG221,增益!$A:$A,增益!$K:$K,0))&gt;0,($F$12-$I$4+VLOOKUP($R221,武学奇术!$A:$ZZ,11,FALSE)+SUM(_xlfn.XLOOKUP(S221:AG221,增益!$A:$A,增益!$K:$K,0)))/200,($F$12-$I$4+VLOOKUP($R221,武学奇术!$A:$ZZ,11,FALSE)+SUM(_xlfn.XLOOKUP(S221:AG221,增益!$A:$A,增益!$K:$K,0)))/100)</f>
        <v>-0.3</v>
      </c>
      <c r="BA221" s="26" cm="1">
        <f t="array" ref="BA221">$G$12+VLOOKUP($R221,武学奇术!$A:$ZZ,12,FALSE)+SUM(_xlfn.XLOOKUP(S221:AG221,增益!$A:$A,增益!$L:$L,0))</f>
        <v>0</v>
      </c>
      <c r="BB221">
        <f t="shared" si="38"/>
        <v>0</v>
      </c>
      <c r="BC221">
        <f t="shared" si="39"/>
        <v>0</v>
      </c>
      <c r="BD221" s="26" cm="1">
        <f t="array" ref="BD221">IF($F$13-$I$4+VLOOKUP($R221,武学奇术!$A:$ZZ,13,FALSE)+SUM(_xlfn.XLOOKUP(S221:AG221,增益!$A:$A,增益!$M:$M,0))&gt;0,($F$13-$I$4+VLOOKUP($R221,武学奇术!$A:$ZZ,13,FALSE)+SUM(_xlfn.XLOOKUP(S221:AG221,增益!$A:$A,增益!$K:$K,0)))/200,($F$13-$I$4+VLOOKUP($R221,武学奇术!$A:$ZZ,13,FALSE)+SUM(_xlfn.XLOOKUP(S221:AG221,增益!$A:$A,增益!$M:$M,0)))/100)</f>
        <v>-0.3</v>
      </c>
      <c r="BE221" s="26" cm="1">
        <f t="array" ref="BE221">$G$13+VLOOKUP($R221,武学奇术!$A:$ZZ,14,FALSE)+SUM(_xlfn.XLOOKUP(S221:AG221,增益!$A:$A,增益!$N:$N,0))</f>
        <v>0</v>
      </c>
      <c r="BF221">
        <f t="shared" si="40"/>
        <v>0</v>
      </c>
      <c r="BG221">
        <f t="shared" si="41"/>
        <v>0</v>
      </c>
      <c r="BH221" s="26" cm="1">
        <f t="array" ref="BH221">IF($F$14-$I$4+VLOOKUP($R221,武学奇术!$A:$ZZ,15,FALSE)+SUM(_xlfn.XLOOKUP(S221:AG221,增益!$A:$A,增益!$O:$O,0))&gt;0,($F$14-$I$4+VLOOKUP($R221,武学奇术!$A:$ZZ,15,FALSE)+SUM(_xlfn.XLOOKUP(S221:AG221,增益!$A:$A,增益!$O:$O,0)))/200,($F$14-$I$4+VLOOKUP($R221,武学奇术!$A:$ZZ,15,FALSE)+SUM(_xlfn.XLOOKUP(S221:AG221,增益!$A:$A,增益!$O:$O,0)))/100)</f>
        <v>-0.3</v>
      </c>
      <c r="BI221" s="26" cm="1">
        <f t="array" ref="BI221">$G$14+VLOOKUP($R221,武学奇术!$A:$ZZ,16,FALSE)+SUM(_xlfn.XLOOKUP(S221:AG221,增益!$A:$A,增益!$P:$P,0))</f>
        <v>0</v>
      </c>
      <c r="BJ221" s="21">
        <f>MIN(IF(VLOOKUP($R221,武学奇术!$A:$ZZ,23,FALSE)=1,100%,$B$8),100%)</f>
        <v>0.8229</v>
      </c>
      <c r="BK221" s="21" cm="1">
        <f t="array" ref="BK221">IF(VLOOKUP($R221,武学奇术!$A:$ZZ,23,FALSE)=1,100%,MIN(80%,$B$9+VLOOKUP($R221,武学奇术!$A:$ZZ,17,FALSE)+SUM(_xlfn.XLOOKUP(S221:AG221,增益!$A:$A,增益!$Q:$Q,0)))+$B$11+SUM(_xlfn.XLOOKUP(S221:AG221,增益!$A:$A,增益!$U:$U,0)))*IF(VLOOKUP($R221,武学奇术!$A:$ZZ,24,FALSE)=1,0,1)</f>
        <v>0.2285</v>
      </c>
      <c r="BL221" s="21" cm="1">
        <f t="array" ref="BL221">1+$B$13+VLOOKUP($R221,武学奇术!$A:$ZZ,18,FALSE)+SUM(_xlfn.XLOOKUP(S221:AG221,增益!$A:$A,增益!$R:$R,0))</f>
        <v>1.5</v>
      </c>
      <c r="BM221" s="21" cm="1">
        <f t="array" ref="BM221">IF(VLOOKUP($R221,武学奇术!$A:$ZZ,24,FALSE)=1,100%,MIN(40%,$B$10+VLOOKUP($R221,武学奇术!$A:$ZZ,19,FALSE)+SUM(_xlfn.XLOOKUP(S221:AG221,增益!$A:$A,增益!$S:$S,0)))+$B$12+SUM(_xlfn.XLOOKUP(S221:AG221,增益!$A:$A,增益!$V:$V,0)))*IF(VLOOKUP($R221,武学奇术!$A:$ZZ,23,FALSE)=1,0,1)</f>
        <v>0.4495</v>
      </c>
      <c r="BN221" s="21" cm="1">
        <f t="array" ref="BN221">1+$B$14+VLOOKUP($R221,武学奇术!$A:$ZZ,20,FALSE)+SUM(_xlfn.XLOOKUP(S221:AG221,增益!$A:$A,增益!$T:$T,0))</f>
        <v>1.782</v>
      </c>
      <c r="BO221" s="21">
        <f t="shared" si="42"/>
        <v>0.18803265</v>
      </c>
      <c r="BP221" s="21">
        <f t="shared" si="43"/>
        <v>0.2649738</v>
      </c>
      <c r="BQ221" s="21">
        <f>IF(VLOOKUP($R221,武学奇术!$A:$ZZ,22,FALSE)=1,0,(1-$BJ221))*(1-$BM221)</f>
        <v>0.09749355</v>
      </c>
      <c r="BR221" s="21" cm="1">
        <f t="array" ref="BR221">SUM(_xlfn.XLOOKUP(S221:AG221,增益!$A:$A,增益!$W:$W,0))+$I$5</f>
        <v>0.06</v>
      </c>
    </row>
    <row r="222" spans="11:70">
      <c r="K222" s="24">
        <f>$L222*VLOOKUP($R222,武学奇术!$A:$ZZ,31,FALSE)</f>
        <v>4840.72394615069</v>
      </c>
      <c r="L222" s="24">
        <f t="shared" si="33"/>
        <v>8067.87324358449</v>
      </c>
      <c r="M222" s="24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BL222*$Q222*(1+IF(VLOOKUP($R222,武学奇术!$A:$ZZ,30,FALSE)="流血",$B$21,0))*(1+$BR222)</f>
        <v>6598.14486131301</v>
      </c>
      <c r="N222" s="24">
        <f>(($AP222*$AI222+$AJ222)*(1+$AQ222)*(1+$AR222)+($AU222*IF($G$1="鸣金",$AK222,$AI222)+IF($G$1="鸣金",$AL222*1.5,0))*(1+$AV222)*(1+$AW222)+($AY222*IF($G$1="裂石",$AK222,$AI222)+IF($G$1="裂石",$AL222*1.5,0))*(1+$AZ222)*(1+$BA222)+($BC222*IF($G$1="牵丝",$AK222,$AI222)+IF($G$1="牵丝",$AL222*1.5,0))*(1+$BD222)*(1+$BE222)+($BG222*IF($G$1="破竹",$AK222,$AI222)+IF($G$1="破竹",$AL222*1.5,0))*(1+$BH222)*(1+$BI222))*(1+$AM222)*$BN222*$Q222*(1+IF(VLOOKUP($R222,武学奇术!$A:$ZZ,30,FALSE)="流血",$B$21,0))*(1+$BR222)</f>
        <v>12168.3673205232</v>
      </c>
      <c r="O222" s="24">
        <f>((($AO222+$AP222)/2*$AI222+$AJ222)*(1+$AQ222)*(1+$AR222)+(($AT222+$AU222)/2*IF($G$1="鸣金",$AK222,$AI222)+IF($G$1="鸣金",$AL222*1.5,0))*(1+$AV222)*(1+$AW222)+(($AX222+$AY222)/2*IF($G$1="裂石",$AK222,$AI222)+IF($G$1="裂石",$AL222*1.5,0))*(1+$AZ222)*(1+$BA222)+(($BB222+$BC222)/2*IF($G$1="牵丝",$AK222,$AI222)+IF($G$1="牵丝",$AL222*1.5,0))*(1+$BD222)*(1+$BE222)+(($BF222+$BG222)/2*IF($G$1="破竹",$AK222,$AI222)+IF($G$1="破竹",$AL222*1.5,0))*(1+$BH222)*(1+$BI222))*(1+$AM222)*$Q222*(1+IF(VLOOKUP($R222,武学奇术!$A:$ZZ,30,FALSE)="流血",$B$21,0))*(1+$BR222)</f>
        <v>4398.76324087534</v>
      </c>
      <c r="P222" s="24">
        <f>((($AO222*$AI222+$AJ222)*(1+$AQ222)*(1+$AR222)+($AT222*IF($G$1="鸣金",$AK222,$AI222)+IF($G$1="鸣金",$AL222*1.5,0))*(1+$AV222)*(1+$AW222)+($AX222*IF($G$1="裂石",$AK222,$AI222)+IF($G$1="裂石",$AL222*1.5,0))*(1+$AZ222)*(1+$BA222)+($BB222*IF($G$1="牵丝",$AK222,$AI222)+IF($G$1="牵丝",$AL222*1.5,0))*(1+$BD222)*(1+$BE222)+($BF222*IF($G$1="破竹",$AK222,$AI222)+IF($G$1="破竹",$AL222*1.5,0))*(1+$BH222)*(1+$BI222))*(1+$AM222))*$Q222*(1+IF(VLOOKUP($R222,武学奇术!$A:$ZZ,30,FALSE)="流血",$B$21,0))*(1+$BR222)</f>
        <v>1969.03752522815</v>
      </c>
      <c r="Q222" s="31">
        <v>1</v>
      </c>
      <c r="R222" s="32" t="s">
        <v>198</v>
      </c>
      <c r="S222" s="32" t="s">
        <v>87</v>
      </c>
      <c r="T222" s="32" t="s">
        <v>96</v>
      </c>
      <c r="U222" s="32" t="s">
        <v>97</v>
      </c>
      <c r="V222" s="32" t="s">
        <v>73</v>
      </c>
      <c r="W222" s="32" t="s">
        <v>73</v>
      </c>
      <c r="X222" s="32" t="s">
        <v>127</v>
      </c>
      <c r="Y222" s="32" t="s">
        <v>73</v>
      </c>
      <c r="Z222" s="32" t="s">
        <v>73</v>
      </c>
      <c r="AA222" s="32" t="s">
        <v>81</v>
      </c>
      <c r="AB222" s="32" t="s">
        <v>75</v>
      </c>
      <c r="AC222" s="32" t="s">
        <v>89</v>
      </c>
      <c r="AD222" s="32" t="s">
        <v>82</v>
      </c>
      <c r="AE222" s="32" t="s">
        <v>73</v>
      </c>
      <c r="AF222" s="32" t="s">
        <v>73</v>
      </c>
      <c r="AG222" s="32" t="s">
        <v>178</v>
      </c>
      <c r="AH222" t="str">
        <f>VLOOKUP($R222,武学奇术!$A:$ZZ,25,FALSE)</f>
        <v>剑</v>
      </c>
      <c r="AI222" s="21">
        <f>VLOOKUP($R222,武学奇术!$A:$ZZ,26,FALSE)</f>
        <v>0.17325</v>
      </c>
      <c r="AJ222" s="22">
        <f>VLOOKUP($R222,武学奇术!$A:$ZZ,27,FALSE)*(1+IF(OR($AH222=$F$4,$AH222=$F$5),$B$22,0))</f>
        <v>0</v>
      </c>
      <c r="AK222" s="21">
        <f>VLOOKUP($R222,武学奇术!$A:$ZZ,28,FALSE)</f>
        <v>0.259875</v>
      </c>
      <c r="AL222" s="22">
        <f>VLOOKUP($R222,武学奇术!$A:$ZZ,29,FALSE)*(1+IF(OR($AH222=$F$4,$AH222=$F$5),$B$22,0))</f>
        <v>0</v>
      </c>
      <c r="AM222" s="21" cm="1">
        <f t="array" ref="AM222">$G$3+IFERROR(VLOOKUP($AH222,$F$4:$G$7,2,FALSE),0)+VLOOKUP($R222,武学奇术!$A:$ZZ,2,FALSE)+SUM(_xlfn.XLOOKUP($S222:$AG222,增益!$A:$A,增益!$B:$B,0))</f>
        <v>1.2391</v>
      </c>
      <c r="AN222" s="21" cm="1">
        <f t="array" ref="AN222">VLOOKUP($R222,武学奇术!$A:$ZZ,5,FALSE)+SUM(_xlfn.XLOOKUP($S222:$AG222,增益!$A:$A,增益!$E:$E,0))</f>
        <v>0</v>
      </c>
      <c r="AO222" cm="1">
        <f t="array" ref="AO222">$D$10*(1+$AN222)+VLOOKUP($R222,武学奇术!$A:$ZZ,3,FALSE)+SUM(_xlfn.XLOOKUP($S222:$AG222,增益!$A:$A,增益!$C:$C,0))-$I$2</f>
        <v>1794.28</v>
      </c>
      <c r="AP222" cm="1">
        <f t="array" ref="AP222">$E$10*(1+$AN222)+VLOOKUP($R222,武学奇术!$A:$ZZ,4,FALSE)+SUM(_xlfn.XLOOKUP($S222:$AG222,增益!$A:$A,增益!$D:$D,0))-$I$2</f>
        <v>7726.36</v>
      </c>
      <c r="AQ222" s="26" cm="1">
        <f t="array" ref="AQ222">IF($F$10-$I$3+VLOOKUP($R222,武学奇术!$A:$ZZ,6,FALSE)+SUM(_xlfn.XLOOKUP(S222:AG222,增益!$A:$A,增益!$F:$F,0))&gt;0,($F$10-$I$3+VLOOKUP($R222,武学奇术!$A:$ZZ,6,FALSE)+SUM(_xlfn.XLOOKUP(S222:AG222,增益!$A:$A,增益!$F:$F,0)))/200,($F$10-$I$3+VLOOKUP($R222,武学奇术!$A:$ZZ,6,FALSE)+SUM(_xlfn.XLOOKUP(S222:AG222,增益!$A:$A,增益!$F:$F,0)))/100)</f>
        <v>0.319</v>
      </c>
      <c r="AR222" s="26" cm="1">
        <f t="array" ref="AR222">$G$10+VLOOKUP($R222,武学奇术!$A:$ZZ,7,FALSE)+SUM(_xlfn.XLOOKUP(S222:AG222,增益!$A:$A,增益!$G:$G,0))</f>
        <v>0</v>
      </c>
      <c r="AS222" s="21" cm="1">
        <f t="array" ref="AS222">VLOOKUP($R222,武学奇术!$A:$ZZ,8,FALSE)+SUM(_xlfn.XLOOKUP(S222:AG222,增益!$A:$A,增益!$H:$H,0))</f>
        <v>0</v>
      </c>
      <c r="AT222">
        <f t="shared" si="34"/>
        <v>680.02</v>
      </c>
      <c r="AU222">
        <f t="shared" si="35"/>
        <v>1288.54</v>
      </c>
      <c r="AV222" s="26" cm="1">
        <f t="array" ref="AV222">IF($F$11-$I$4+VLOOKUP($R222,武学奇术!$A:$ZZ,9,FALSE)+SUM(_xlfn.XLOOKUP(S222:AG222,增益!$A:$A,增益!$I:$I,0))&gt;0,($F$11-$I$4+VLOOKUP($R222,武学奇术!$A:$ZZ,9,FALSE)+SUM(_xlfn.XLOOKUP(S222:AG222,增益!$A:$A,增益!$I:$I,0)))/200,($F$11-$I$4+VLOOKUP($R222,武学奇术!$A:$ZZ,9,FALSE)+SUM(_xlfn.XLOOKUP(S222:AG222,增益!$A:$A,增益!$I:$I,0)))/100)</f>
        <v>0.075</v>
      </c>
      <c r="AW222" s="26" cm="1">
        <f t="array" ref="AW222">$G$11+VLOOKUP($R222,武学奇术!$A:$ZZ,10,FALSE)+SUM(_xlfn.XLOOKUP(S222:AG222,增益!$A:$A,增益!$J:$J,0))</f>
        <v>0.15</v>
      </c>
      <c r="AX222">
        <f t="shared" si="36"/>
        <v>0</v>
      </c>
      <c r="AY222">
        <f t="shared" si="37"/>
        <v>0</v>
      </c>
      <c r="AZ222" s="26" cm="1">
        <f t="array" ref="AZ222">IF($F$12-$I$4+VLOOKUP($R222,武学奇术!$A:$ZZ,11,FALSE)+SUM(_xlfn.XLOOKUP(S222:AG222,增益!$A:$A,增益!$K:$K,0))&gt;0,($F$12-$I$4+VLOOKUP($R222,武学奇术!$A:$ZZ,11,FALSE)+SUM(_xlfn.XLOOKUP(S222:AG222,增益!$A:$A,增益!$K:$K,0)))/200,($F$12-$I$4+VLOOKUP($R222,武学奇术!$A:$ZZ,11,FALSE)+SUM(_xlfn.XLOOKUP(S222:AG222,增益!$A:$A,增益!$K:$K,0)))/100)</f>
        <v>-0.3</v>
      </c>
      <c r="BA222" s="26" cm="1">
        <f t="array" ref="BA222">$G$12+VLOOKUP($R222,武学奇术!$A:$ZZ,12,FALSE)+SUM(_xlfn.XLOOKUP(S222:AG222,增益!$A:$A,增益!$L:$L,0))</f>
        <v>0</v>
      </c>
      <c r="BB222">
        <f t="shared" si="38"/>
        <v>0</v>
      </c>
      <c r="BC222">
        <f t="shared" si="39"/>
        <v>0</v>
      </c>
      <c r="BD222" s="26" cm="1">
        <f t="array" ref="BD222">IF($F$13-$I$4+VLOOKUP($R222,武学奇术!$A:$ZZ,13,FALSE)+SUM(_xlfn.XLOOKUP(S222:AG222,增益!$A:$A,增益!$M:$M,0))&gt;0,($F$13-$I$4+VLOOKUP($R222,武学奇术!$A:$ZZ,13,FALSE)+SUM(_xlfn.XLOOKUP(S222:AG222,增益!$A:$A,增益!$K:$K,0)))/200,($F$13-$I$4+VLOOKUP($R222,武学奇术!$A:$ZZ,13,FALSE)+SUM(_xlfn.XLOOKUP(S222:AG222,增益!$A:$A,增益!$M:$M,0)))/100)</f>
        <v>-0.3</v>
      </c>
      <c r="BE222" s="26" cm="1">
        <f t="array" ref="BE222">$G$13+VLOOKUP($R222,武学奇术!$A:$ZZ,14,FALSE)+SUM(_xlfn.XLOOKUP(S222:AG222,增益!$A:$A,增益!$N:$N,0))</f>
        <v>0</v>
      </c>
      <c r="BF222">
        <f t="shared" si="40"/>
        <v>0</v>
      </c>
      <c r="BG222">
        <f t="shared" si="41"/>
        <v>0</v>
      </c>
      <c r="BH222" s="26" cm="1">
        <f t="array" ref="BH222">IF($F$14-$I$4+VLOOKUP($R222,武学奇术!$A:$ZZ,15,FALSE)+SUM(_xlfn.XLOOKUP(S222:AG222,增益!$A:$A,增益!$O:$O,0))&gt;0,($F$14-$I$4+VLOOKUP($R222,武学奇术!$A:$ZZ,15,FALSE)+SUM(_xlfn.XLOOKUP(S222:AG222,增益!$A:$A,增益!$O:$O,0)))/200,($F$14-$I$4+VLOOKUP($R222,武学奇术!$A:$ZZ,15,FALSE)+SUM(_xlfn.XLOOKUP(S222:AG222,增益!$A:$A,增益!$O:$O,0)))/100)</f>
        <v>-0.3</v>
      </c>
      <c r="BI222" s="26" cm="1">
        <f t="array" ref="BI222">$G$14+VLOOKUP($R222,武学奇术!$A:$ZZ,16,FALSE)+SUM(_xlfn.XLOOKUP(S222:AG222,增益!$A:$A,增益!$P:$P,0))</f>
        <v>0</v>
      </c>
      <c r="BJ222" s="21">
        <f>MIN(IF(VLOOKUP($R222,武学奇术!$A:$ZZ,23,FALSE)=1,100%,$B$8),100%)</f>
        <v>0.8229</v>
      </c>
      <c r="BK222" s="21" cm="1">
        <f t="array" ref="BK222">IF(VLOOKUP($R222,武学奇术!$A:$ZZ,23,FALSE)=1,100%,MIN(80%,$B$9+VLOOKUP($R222,武学奇术!$A:$ZZ,17,FALSE)+SUM(_xlfn.XLOOKUP(S222:AG222,增益!$A:$A,增益!$Q:$Q,0)))+$B$11+SUM(_xlfn.XLOOKUP(S222:AG222,增益!$A:$A,增益!$U:$U,0)))*IF(VLOOKUP($R222,武学奇术!$A:$ZZ,24,FALSE)=1,0,1)</f>
        <v>0.2285</v>
      </c>
      <c r="BL222" s="21" cm="1">
        <f t="array" ref="BL222">1+$B$13+VLOOKUP($R222,武学奇术!$A:$ZZ,18,FALSE)+SUM(_xlfn.XLOOKUP(S222:AG222,增益!$A:$A,增益!$R:$R,0))</f>
        <v>1.5</v>
      </c>
      <c r="BM222" s="21" cm="1">
        <f t="array" ref="BM222">IF(VLOOKUP($R222,武学奇术!$A:$ZZ,24,FALSE)=1,100%,MIN(40%,$B$10+VLOOKUP($R222,武学奇术!$A:$ZZ,19,FALSE)+SUM(_xlfn.XLOOKUP(S222:AG222,增益!$A:$A,增益!$S:$S,0)))+$B$12+SUM(_xlfn.XLOOKUP(S222:AG222,增益!$A:$A,增益!$V:$V,0)))*IF(VLOOKUP($R222,武学奇术!$A:$ZZ,23,FALSE)=1,0,1)</f>
        <v>0.4495</v>
      </c>
      <c r="BN222" s="21" cm="1">
        <f t="array" ref="BN222">1+$B$14+VLOOKUP($R222,武学奇术!$A:$ZZ,20,FALSE)+SUM(_xlfn.XLOOKUP(S222:AG222,增益!$A:$A,增益!$T:$T,0))</f>
        <v>1.782</v>
      </c>
      <c r="BO222" s="21">
        <f t="shared" si="42"/>
        <v>0.18803265</v>
      </c>
      <c r="BP222" s="21">
        <f t="shared" si="43"/>
        <v>0.2649738</v>
      </c>
      <c r="BQ222" s="21">
        <f>IF(VLOOKUP($R222,武学奇术!$A:$ZZ,22,FALSE)=1,0,(1-$BJ222))*(1-$BM222)</f>
        <v>0.09749355</v>
      </c>
      <c r="BR222" s="21" cm="1">
        <f t="array" ref="BR222">SUM(_xlfn.XLOOKUP(S222:AG222,增益!$A:$A,增益!$W:$W,0))+$I$5</f>
        <v>0.06</v>
      </c>
    </row>
    <row r="223" spans="11:70">
      <c r="K223" s="24">
        <f>$L223*VLOOKUP($R223,武学奇术!$A:$ZZ,31,FALSE)</f>
        <v>9719.94605201287</v>
      </c>
      <c r="L223" s="24">
        <f t="shared" si="33"/>
        <v>16199.9100866881</v>
      </c>
      <c r="M223" s="24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BL223*$Q223*(1+IF(VLOOKUP($R223,武学奇术!$A:$ZZ,30,FALSE)="流血",$B$21,0))*(1+$BR223)</f>
        <v>13262.8713297513</v>
      </c>
      <c r="N223" s="24">
        <f>(($AP223*$AI223+$AJ223)*(1+$AQ223)*(1+$AR223)+($AU223*IF($G$1="鸣金",$AK223,$AI223)+IF($G$1="鸣金",$AL223*1.5,0))*(1+$AV223)*(1+$AW223)+($AY223*IF($G$1="裂石",$AK223,$AI223)+IF($G$1="裂石",$AL223*1.5,0))*(1+$AZ223)*(1+$BA223)+($BC223*IF($G$1="牵丝",$AK223,$AI223)+IF($G$1="牵丝",$AL223*1.5,0))*(1+$BD223)*(1+$BE223)+($BG223*IF($G$1="破竹",$AK223,$AI223)+IF($G$1="破竹",$AL223*1.5,0))*(1+$BH223)*(1+$BI223))*(1+$AM223)*$BN223*$Q223*(1+IF(VLOOKUP($R223,武学奇术!$A:$ZZ,30,FALSE)="流血",$B$21,0))*(1+$BR223)</f>
        <v>24415.8335903111</v>
      </c>
      <c r="O223" s="24">
        <f>((($AO223+$AP223)/2*$AI223+$AJ223)*(1+$AQ223)*(1+$AR223)+(($AT223+$AU223)/2*IF($G$1="鸣金",$AK223,$AI223)+IF($G$1="鸣金",$AL223*1.5,0))*(1+$AV223)*(1+$AW223)+(($AX223+$AY223)/2*IF($G$1="裂石",$AK223,$AI223)+IF($G$1="裂石",$AL223*1.5,0))*(1+$AZ223)*(1+$BA223)+(($BB223+$BC223)/2*IF($G$1="牵丝",$AK223,$AI223)+IF($G$1="牵丝",$AL223*1.5,0))*(1+$BD223)*(1+$BE223)+(($BF223+$BG223)/2*IF($G$1="破竹",$AK223,$AI223)+IF($G$1="破竹",$AL223*1.5,0))*(1+$BH223)*(1+$BI223))*(1+$AM223)*$Q223*(1+IF(VLOOKUP($R223,武学奇术!$A:$ZZ,30,FALSE)="流血",$B$21,0))*(1+$BR223)</f>
        <v>8841.91421983417</v>
      </c>
      <c r="P223" s="24">
        <f>((($AO223*$AI223+$AJ223)*(1+$AQ223)*(1+$AR223)+($AT223*IF($G$1="鸣金",$AK223,$AI223)+IF($G$1="鸣金",$AL223*1.5,0))*(1+$AV223)*(1+$AW223)+($AX223*IF($G$1="裂石",$AK223,$AI223)+IF($G$1="裂石",$AL223*1.5,0))*(1+$AZ223)*(1+$BA223)+($BB223*IF($G$1="牵丝",$AK223,$AI223)+IF($G$1="牵丝",$AL223*1.5,0))*(1+$BD223)*(1+$BE223)+($BF223*IF($G$1="破竹",$AK223,$AI223)+IF($G$1="破竹",$AL223*1.5,0))*(1+$BH223)*(1+$BI223))*(1+$AM223))*$Q223*(1+IF(VLOOKUP($R223,武学奇术!$A:$ZZ,30,FALSE)="流血",$B$21,0))*(1+$BR223)</f>
        <v>3982.46278853979</v>
      </c>
      <c r="Q223" s="31">
        <v>1</v>
      </c>
      <c r="R223" s="32" t="s">
        <v>199</v>
      </c>
      <c r="S223" s="32" t="s">
        <v>87</v>
      </c>
      <c r="T223" s="32" t="s">
        <v>96</v>
      </c>
      <c r="U223" s="32" t="s">
        <v>97</v>
      </c>
      <c r="V223" s="32" t="s">
        <v>73</v>
      </c>
      <c r="W223" s="32" t="s">
        <v>111</v>
      </c>
      <c r="X223" s="32" t="s">
        <v>127</v>
      </c>
      <c r="Y223" s="32" t="s">
        <v>73</v>
      </c>
      <c r="Z223" s="32" t="s">
        <v>73</v>
      </c>
      <c r="AA223" s="32" t="s">
        <v>81</v>
      </c>
      <c r="AB223" s="32" t="s">
        <v>75</v>
      </c>
      <c r="AC223" s="32" t="s">
        <v>76</v>
      </c>
      <c r="AD223" s="32" t="s">
        <v>82</v>
      </c>
      <c r="AE223" s="32" t="s">
        <v>73</v>
      </c>
      <c r="AF223" s="32" t="s">
        <v>73</v>
      </c>
      <c r="AG223" s="32" t="s">
        <v>178</v>
      </c>
      <c r="AH223" t="str">
        <f>VLOOKUP($R223,武学奇术!$A:$ZZ,25,FALSE)</f>
        <v>剑</v>
      </c>
      <c r="AI223" s="21">
        <f>VLOOKUP($R223,武学奇术!$A:$ZZ,26,FALSE)</f>
        <v>0.3465</v>
      </c>
      <c r="AJ223" s="22">
        <f>VLOOKUP($R223,武学奇术!$A:$ZZ,27,FALSE)*(1+IF(OR($AH223=$F$4,$AH223=$F$5),$B$22,0))</f>
        <v>0</v>
      </c>
      <c r="AK223" s="21">
        <f>VLOOKUP($R223,武学奇术!$A:$ZZ,28,FALSE)</f>
        <v>0.51975</v>
      </c>
      <c r="AL223" s="22">
        <f>VLOOKUP($R223,武学奇术!$A:$ZZ,29,FALSE)*(1+IF(OR($AH223=$F$4,$AH223=$F$5),$B$22,0))</f>
        <v>0</v>
      </c>
      <c r="AM223" s="21" cm="1">
        <f t="array" ref="AM223">$G$3+IFERROR(VLOOKUP($AH223,$F$4:$G$7,2,FALSE),0)+VLOOKUP($R223,武学奇术!$A:$ZZ,2,FALSE)+SUM(_xlfn.XLOOKUP($S223:$AG223,增益!$A:$A,增益!$B:$B,0))</f>
        <v>1.2391</v>
      </c>
      <c r="AN223" s="21" cm="1">
        <f t="array" ref="AN223">VLOOKUP($R223,武学奇术!$A:$ZZ,5,FALSE)+SUM(_xlfn.XLOOKUP($S223:$AG223,增益!$A:$A,增益!$E:$E,0))</f>
        <v>0</v>
      </c>
      <c r="AO223" cm="1">
        <f t="array" ref="AO223">$D$10*(1+$AN223)+VLOOKUP($R223,武学奇术!$A:$ZZ,3,FALSE)+SUM(_xlfn.XLOOKUP($S223:$AG223,增益!$A:$A,增益!$C:$C,0))-$I$2</f>
        <v>1825.28</v>
      </c>
      <c r="AP223" cm="1">
        <f t="array" ref="AP223">$E$10*(1+$AN223)+VLOOKUP($R223,武学奇术!$A:$ZZ,4,FALSE)+SUM(_xlfn.XLOOKUP($S223:$AG223,增益!$A:$A,增益!$D:$D,0))-$I$2</f>
        <v>7757.36</v>
      </c>
      <c r="AQ223" s="26" cm="1">
        <f t="array" ref="AQ223">IF($F$10-$I$3+VLOOKUP($R223,武学奇术!$A:$ZZ,6,FALSE)+SUM(_xlfn.XLOOKUP(S223:AG223,增益!$A:$A,增益!$F:$F,0))&gt;0,($F$10-$I$3+VLOOKUP($R223,武学奇术!$A:$ZZ,6,FALSE)+SUM(_xlfn.XLOOKUP(S223:AG223,增益!$A:$A,增益!$F:$F,0)))/200,($F$10-$I$3+VLOOKUP($R223,武学奇术!$A:$ZZ,6,FALSE)+SUM(_xlfn.XLOOKUP(S223:AG223,增益!$A:$A,增益!$F:$F,0)))/100)</f>
        <v>0.319</v>
      </c>
      <c r="AR223" s="26" cm="1">
        <f t="array" ref="AR223">$G$10+VLOOKUP($R223,武学奇术!$A:$ZZ,7,FALSE)+SUM(_xlfn.XLOOKUP(S223:AG223,增益!$A:$A,增益!$G:$G,0))</f>
        <v>0</v>
      </c>
      <c r="AS223" s="21" cm="1">
        <f t="array" ref="AS223">VLOOKUP($R223,武学奇术!$A:$ZZ,8,FALSE)+SUM(_xlfn.XLOOKUP(S223:AG223,增益!$A:$A,增益!$H:$H,0))</f>
        <v>0</v>
      </c>
      <c r="AT223">
        <f t="shared" si="34"/>
        <v>680.02</v>
      </c>
      <c r="AU223">
        <f t="shared" si="35"/>
        <v>1288.54</v>
      </c>
      <c r="AV223" s="26" cm="1">
        <f t="array" ref="AV223">IF($F$11-$I$4+VLOOKUP($R223,武学奇术!$A:$ZZ,9,FALSE)+SUM(_xlfn.XLOOKUP(S223:AG223,增益!$A:$A,增益!$I:$I,0))&gt;0,($F$11-$I$4+VLOOKUP($R223,武学奇术!$A:$ZZ,9,FALSE)+SUM(_xlfn.XLOOKUP(S223:AG223,增益!$A:$A,增益!$I:$I,0)))/200,($F$11-$I$4+VLOOKUP($R223,武学奇术!$A:$ZZ,9,FALSE)+SUM(_xlfn.XLOOKUP(S223:AG223,增益!$A:$A,增益!$I:$I,0)))/100)</f>
        <v>0.075</v>
      </c>
      <c r="AW223" s="26" cm="1">
        <f t="array" ref="AW223">$G$11+VLOOKUP($R223,武学奇术!$A:$ZZ,10,FALSE)+SUM(_xlfn.XLOOKUP(S223:AG223,增益!$A:$A,增益!$J:$J,0))</f>
        <v>0.15</v>
      </c>
      <c r="AX223">
        <f t="shared" si="36"/>
        <v>0</v>
      </c>
      <c r="AY223">
        <f t="shared" si="37"/>
        <v>0</v>
      </c>
      <c r="AZ223" s="26" cm="1">
        <f t="array" ref="AZ223">IF($F$12-$I$4+VLOOKUP($R223,武学奇术!$A:$ZZ,11,FALSE)+SUM(_xlfn.XLOOKUP(S223:AG223,增益!$A:$A,增益!$K:$K,0))&gt;0,($F$12-$I$4+VLOOKUP($R223,武学奇术!$A:$ZZ,11,FALSE)+SUM(_xlfn.XLOOKUP(S223:AG223,增益!$A:$A,增益!$K:$K,0)))/200,($F$12-$I$4+VLOOKUP($R223,武学奇术!$A:$ZZ,11,FALSE)+SUM(_xlfn.XLOOKUP(S223:AG223,增益!$A:$A,增益!$K:$K,0)))/100)</f>
        <v>-0.3</v>
      </c>
      <c r="BA223" s="26" cm="1">
        <f t="array" ref="BA223">$G$12+VLOOKUP($R223,武学奇术!$A:$ZZ,12,FALSE)+SUM(_xlfn.XLOOKUP(S223:AG223,增益!$A:$A,增益!$L:$L,0))</f>
        <v>0</v>
      </c>
      <c r="BB223">
        <f t="shared" si="38"/>
        <v>0</v>
      </c>
      <c r="BC223">
        <f t="shared" si="39"/>
        <v>0</v>
      </c>
      <c r="BD223" s="26" cm="1">
        <f t="array" ref="BD223">IF($F$13-$I$4+VLOOKUP($R223,武学奇术!$A:$ZZ,13,FALSE)+SUM(_xlfn.XLOOKUP(S223:AG223,增益!$A:$A,增益!$M:$M,0))&gt;0,($F$13-$I$4+VLOOKUP($R223,武学奇术!$A:$ZZ,13,FALSE)+SUM(_xlfn.XLOOKUP(S223:AG223,增益!$A:$A,增益!$K:$K,0)))/200,($F$13-$I$4+VLOOKUP($R223,武学奇术!$A:$ZZ,13,FALSE)+SUM(_xlfn.XLOOKUP(S223:AG223,增益!$A:$A,增益!$M:$M,0)))/100)</f>
        <v>-0.3</v>
      </c>
      <c r="BE223" s="26" cm="1">
        <f t="array" ref="BE223">$G$13+VLOOKUP($R223,武学奇术!$A:$ZZ,14,FALSE)+SUM(_xlfn.XLOOKUP(S223:AG223,增益!$A:$A,增益!$N:$N,0))</f>
        <v>0</v>
      </c>
      <c r="BF223">
        <f t="shared" si="40"/>
        <v>0</v>
      </c>
      <c r="BG223">
        <f t="shared" si="41"/>
        <v>0</v>
      </c>
      <c r="BH223" s="26" cm="1">
        <f t="array" ref="BH223">IF($F$14-$I$4+VLOOKUP($R223,武学奇术!$A:$ZZ,15,FALSE)+SUM(_xlfn.XLOOKUP(S223:AG223,增益!$A:$A,增益!$O:$O,0))&gt;0,($F$14-$I$4+VLOOKUP($R223,武学奇术!$A:$ZZ,15,FALSE)+SUM(_xlfn.XLOOKUP(S223:AG223,增益!$A:$A,增益!$O:$O,0)))/200,($F$14-$I$4+VLOOKUP($R223,武学奇术!$A:$ZZ,15,FALSE)+SUM(_xlfn.XLOOKUP(S223:AG223,增益!$A:$A,增益!$O:$O,0)))/100)</f>
        <v>-0.3</v>
      </c>
      <c r="BI223" s="26" cm="1">
        <f t="array" ref="BI223">$G$14+VLOOKUP($R223,武学奇术!$A:$ZZ,16,FALSE)+SUM(_xlfn.XLOOKUP(S223:AG223,增益!$A:$A,增益!$P:$P,0))</f>
        <v>0</v>
      </c>
      <c r="BJ223" s="21">
        <f>MIN(IF(VLOOKUP($R223,武学奇术!$A:$ZZ,23,FALSE)=1,100%,$B$8),100%)</f>
        <v>0.8229</v>
      </c>
      <c r="BK223" s="21" cm="1">
        <f t="array" ref="BK223">IF(VLOOKUP($R223,武学奇术!$A:$ZZ,23,FALSE)=1,100%,MIN(80%,$B$9+VLOOKUP($R223,武学奇术!$A:$ZZ,17,FALSE)+SUM(_xlfn.XLOOKUP(S223:AG223,增益!$A:$A,增益!$Q:$Q,0)))+$B$11+SUM(_xlfn.XLOOKUP(S223:AG223,增益!$A:$A,增益!$U:$U,0)))*IF(VLOOKUP($R223,武学奇术!$A:$ZZ,24,FALSE)=1,0,1)</f>
        <v>0.2285</v>
      </c>
      <c r="BL223" s="21" cm="1">
        <f t="array" ref="BL223">1+$B$13+VLOOKUP($R223,武学奇术!$A:$ZZ,18,FALSE)+SUM(_xlfn.XLOOKUP(S223:AG223,增益!$A:$A,增益!$R:$R,0))</f>
        <v>1.5</v>
      </c>
      <c r="BM223" s="21" cm="1">
        <f t="array" ref="BM223">IF(VLOOKUP($R223,武学奇术!$A:$ZZ,24,FALSE)=1,100%,MIN(40%,$B$10+VLOOKUP($R223,武学奇术!$A:$ZZ,19,FALSE)+SUM(_xlfn.XLOOKUP(S223:AG223,增益!$A:$A,增益!$S:$S,0)))+$B$12+SUM(_xlfn.XLOOKUP(S223:AG223,增益!$A:$A,增益!$V:$V,0)))*IF(VLOOKUP($R223,武学奇术!$A:$ZZ,23,FALSE)=1,0,1)</f>
        <v>0.4495</v>
      </c>
      <c r="BN223" s="21" cm="1">
        <f t="array" ref="BN223">1+$B$14+VLOOKUP($R223,武学奇术!$A:$ZZ,20,FALSE)+SUM(_xlfn.XLOOKUP(S223:AG223,增益!$A:$A,增益!$T:$T,0))</f>
        <v>1.782</v>
      </c>
      <c r="BO223" s="21">
        <f t="shared" si="42"/>
        <v>0.18803265</v>
      </c>
      <c r="BP223" s="21">
        <f t="shared" si="43"/>
        <v>0.2649738</v>
      </c>
      <c r="BQ223" s="21">
        <f>IF(VLOOKUP($R223,武学奇术!$A:$ZZ,22,FALSE)=1,0,(1-$BJ223))*(1-$BM223)</f>
        <v>0.09749355</v>
      </c>
      <c r="BR223" s="21" cm="1">
        <f t="array" ref="BR223">SUM(_xlfn.XLOOKUP(S223:AG223,增益!$A:$A,增益!$W:$W,0))+$I$5</f>
        <v>0.06</v>
      </c>
    </row>
    <row r="224" spans="11:70">
      <c r="K224" s="24">
        <f>$L224*VLOOKUP($R224,武学奇术!$A:$ZZ,31,FALSE)</f>
        <v>9719.94605201287</v>
      </c>
      <c r="L224" s="24">
        <f t="shared" si="33"/>
        <v>16199.9100866881</v>
      </c>
      <c r="M224" s="24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BL224*$Q224*(1+IF(VLOOKUP($R224,武学奇术!$A:$ZZ,30,FALSE)="流血",$B$21,0))*(1+$BR224)</f>
        <v>13262.8713297513</v>
      </c>
      <c r="N224" s="24">
        <f>(($AP224*$AI224+$AJ224)*(1+$AQ224)*(1+$AR224)+($AU224*IF($G$1="鸣金",$AK224,$AI224)+IF($G$1="鸣金",$AL224*1.5,0))*(1+$AV224)*(1+$AW224)+($AY224*IF($G$1="裂石",$AK224,$AI224)+IF($G$1="裂石",$AL224*1.5,0))*(1+$AZ224)*(1+$BA224)+($BC224*IF($G$1="牵丝",$AK224,$AI224)+IF($G$1="牵丝",$AL224*1.5,0))*(1+$BD224)*(1+$BE224)+($BG224*IF($G$1="破竹",$AK224,$AI224)+IF($G$1="破竹",$AL224*1.5,0))*(1+$BH224)*(1+$BI224))*(1+$AM224)*$BN224*$Q224*(1+IF(VLOOKUP($R224,武学奇术!$A:$ZZ,30,FALSE)="流血",$B$21,0))*(1+$BR224)</f>
        <v>24415.8335903111</v>
      </c>
      <c r="O224" s="24">
        <f>((($AO224+$AP224)/2*$AI224+$AJ224)*(1+$AQ224)*(1+$AR224)+(($AT224+$AU224)/2*IF($G$1="鸣金",$AK224,$AI224)+IF($G$1="鸣金",$AL224*1.5,0))*(1+$AV224)*(1+$AW224)+(($AX224+$AY224)/2*IF($G$1="裂石",$AK224,$AI224)+IF($G$1="裂石",$AL224*1.5,0))*(1+$AZ224)*(1+$BA224)+(($BB224+$BC224)/2*IF($G$1="牵丝",$AK224,$AI224)+IF($G$1="牵丝",$AL224*1.5,0))*(1+$BD224)*(1+$BE224)+(($BF224+$BG224)/2*IF($G$1="破竹",$AK224,$AI224)+IF($G$1="破竹",$AL224*1.5,0))*(1+$BH224)*(1+$BI224))*(1+$AM224)*$Q224*(1+IF(VLOOKUP($R224,武学奇术!$A:$ZZ,30,FALSE)="流血",$B$21,0))*(1+$BR224)</f>
        <v>8841.91421983417</v>
      </c>
      <c r="P224" s="24">
        <f>((($AO224*$AI224+$AJ224)*(1+$AQ224)*(1+$AR224)+($AT224*IF($G$1="鸣金",$AK224,$AI224)+IF($G$1="鸣金",$AL224*1.5,0))*(1+$AV224)*(1+$AW224)+($AX224*IF($G$1="裂石",$AK224,$AI224)+IF($G$1="裂石",$AL224*1.5,0))*(1+$AZ224)*(1+$BA224)+($BB224*IF($G$1="牵丝",$AK224,$AI224)+IF($G$1="牵丝",$AL224*1.5,0))*(1+$BD224)*(1+$BE224)+($BF224*IF($G$1="破竹",$AK224,$AI224)+IF($G$1="破竹",$AL224*1.5,0))*(1+$BH224)*(1+$BI224))*(1+$AM224))*$Q224*(1+IF(VLOOKUP($R224,武学奇术!$A:$ZZ,30,FALSE)="流血",$B$21,0))*(1+$BR224)</f>
        <v>3982.46278853979</v>
      </c>
      <c r="Q224" s="31">
        <v>1</v>
      </c>
      <c r="R224" s="32" t="s">
        <v>199</v>
      </c>
      <c r="S224" s="32" t="s">
        <v>87</v>
      </c>
      <c r="T224" s="32" t="s">
        <v>96</v>
      </c>
      <c r="U224" s="32" t="s">
        <v>97</v>
      </c>
      <c r="V224" s="32" t="s">
        <v>73</v>
      </c>
      <c r="W224" s="32" t="s">
        <v>111</v>
      </c>
      <c r="X224" s="32" t="s">
        <v>127</v>
      </c>
      <c r="Y224" s="32" t="s">
        <v>73</v>
      </c>
      <c r="Z224" s="32" t="s">
        <v>73</v>
      </c>
      <c r="AA224" s="32" t="s">
        <v>81</v>
      </c>
      <c r="AB224" s="32" t="s">
        <v>75</v>
      </c>
      <c r="AC224" s="32" t="s">
        <v>76</v>
      </c>
      <c r="AD224" s="32" t="s">
        <v>82</v>
      </c>
      <c r="AE224" s="32" t="s">
        <v>73</v>
      </c>
      <c r="AF224" s="32" t="s">
        <v>73</v>
      </c>
      <c r="AG224" s="32" t="s">
        <v>178</v>
      </c>
      <c r="AH224" t="str">
        <f>VLOOKUP($R224,武学奇术!$A:$ZZ,25,FALSE)</f>
        <v>剑</v>
      </c>
      <c r="AI224" s="21">
        <f>VLOOKUP($R224,武学奇术!$A:$ZZ,26,FALSE)</f>
        <v>0.3465</v>
      </c>
      <c r="AJ224" s="22">
        <f>VLOOKUP($R224,武学奇术!$A:$ZZ,27,FALSE)*(1+IF(OR($AH224=$F$4,$AH224=$F$5),$B$22,0))</f>
        <v>0</v>
      </c>
      <c r="AK224" s="21">
        <f>VLOOKUP($R224,武学奇术!$A:$ZZ,28,FALSE)</f>
        <v>0.51975</v>
      </c>
      <c r="AL224" s="22">
        <f>VLOOKUP($R224,武学奇术!$A:$ZZ,29,FALSE)*(1+IF(OR($AH224=$F$4,$AH224=$F$5),$B$22,0))</f>
        <v>0</v>
      </c>
      <c r="AM224" s="21" cm="1">
        <f t="array" ref="AM224">$G$3+IFERROR(VLOOKUP($AH224,$F$4:$G$7,2,FALSE),0)+VLOOKUP($R224,武学奇术!$A:$ZZ,2,FALSE)+SUM(_xlfn.XLOOKUP($S224:$AG224,增益!$A:$A,增益!$B:$B,0))</f>
        <v>1.2391</v>
      </c>
      <c r="AN224" s="21" cm="1">
        <f t="array" ref="AN224">VLOOKUP($R224,武学奇术!$A:$ZZ,5,FALSE)+SUM(_xlfn.XLOOKUP($S224:$AG224,增益!$A:$A,增益!$E:$E,0))</f>
        <v>0</v>
      </c>
      <c r="AO224" cm="1">
        <f t="array" ref="AO224">$D$10*(1+$AN224)+VLOOKUP($R224,武学奇术!$A:$ZZ,3,FALSE)+SUM(_xlfn.XLOOKUP($S224:$AG224,增益!$A:$A,增益!$C:$C,0))-$I$2</f>
        <v>1825.28</v>
      </c>
      <c r="AP224" cm="1">
        <f t="array" ref="AP224">$E$10*(1+$AN224)+VLOOKUP($R224,武学奇术!$A:$ZZ,4,FALSE)+SUM(_xlfn.XLOOKUP($S224:$AG224,增益!$A:$A,增益!$D:$D,0))-$I$2</f>
        <v>7757.36</v>
      </c>
      <c r="AQ224" s="26" cm="1">
        <f t="array" ref="AQ224">IF($F$10-$I$3+VLOOKUP($R224,武学奇术!$A:$ZZ,6,FALSE)+SUM(_xlfn.XLOOKUP(S224:AG224,增益!$A:$A,增益!$F:$F,0))&gt;0,($F$10-$I$3+VLOOKUP($R224,武学奇术!$A:$ZZ,6,FALSE)+SUM(_xlfn.XLOOKUP(S224:AG224,增益!$A:$A,增益!$F:$F,0)))/200,($F$10-$I$3+VLOOKUP($R224,武学奇术!$A:$ZZ,6,FALSE)+SUM(_xlfn.XLOOKUP(S224:AG224,增益!$A:$A,增益!$F:$F,0)))/100)</f>
        <v>0.319</v>
      </c>
      <c r="AR224" s="26" cm="1">
        <f t="array" ref="AR224">$G$10+VLOOKUP($R224,武学奇术!$A:$ZZ,7,FALSE)+SUM(_xlfn.XLOOKUP(S224:AG224,增益!$A:$A,增益!$G:$G,0))</f>
        <v>0</v>
      </c>
      <c r="AS224" s="21" cm="1">
        <f t="array" ref="AS224">VLOOKUP($R224,武学奇术!$A:$ZZ,8,FALSE)+SUM(_xlfn.XLOOKUP(S224:AG224,增益!$A:$A,增益!$H:$H,0))</f>
        <v>0</v>
      </c>
      <c r="AT224">
        <f t="shared" si="34"/>
        <v>680.02</v>
      </c>
      <c r="AU224">
        <f t="shared" si="35"/>
        <v>1288.54</v>
      </c>
      <c r="AV224" s="26" cm="1">
        <f t="array" ref="AV224">IF($F$11-$I$4+VLOOKUP($R224,武学奇术!$A:$ZZ,9,FALSE)+SUM(_xlfn.XLOOKUP(S224:AG224,增益!$A:$A,增益!$I:$I,0))&gt;0,($F$11-$I$4+VLOOKUP($R224,武学奇术!$A:$ZZ,9,FALSE)+SUM(_xlfn.XLOOKUP(S224:AG224,增益!$A:$A,增益!$I:$I,0)))/200,($F$11-$I$4+VLOOKUP($R224,武学奇术!$A:$ZZ,9,FALSE)+SUM(_xlfn.XLOOKUP(S224:AG224,增益!$A:$A,增益!$I:$I,0)))/100)</f>
        <v>0.075</v>
      </c>
      <c r="AW224" s="26" cm="1">
        <f t="array" ref="AW224">$G$11+VLOOKUP($R224,武学奇术!$A:$ZZ,10,FALSE)+SUM(_xlfn.XLOOKUP(S224:AG224,增益!$A:$A,增益!$J:$J,0))</f>
        <v>0.15</v>
      </c>
      <c r="AX224">
        <f t="shared" si="36"/>
        <v>0</v>
      </c>
      <c r="AY224">
        <f t="shared" si="37"/>
        <v>0</v>
      </c>
      <c r="AZ224" s="26" cm="1">
        <f t="array" ref="AZ224">IF($F$12-$I$4+VLOOKUP($R224,武学奇术!$A:$ZZ,11,FALSE)+SUM(_xlfn.XLOOKUP(S224:AG224,增益!$A:$A,增益!$K:$K,0))&gt;0,($F$12-$I$4+VLOOKUP($R224,武学奇术!$A:$ZZ,11,FALSE)+SUM(_xlfn.XLOOKUP(S224:AG224,增益!$A:$A,增益!$K:$K,0)))/200,($F$12-$I$4+VLOOKUP($R224,武学奇术!$A:$ZZ,11,FALSE)+SUM(_xlfn.XLOOKUP(S224:AG224,增益!$A:$A,增益!$K:$K,0)))/100)</f>
        <v>-0.3</v>
      </c>
      <c r="BA224" s="26" cm="1">
        <f t="array" ref="BA224">$G$12+VLOOKUP($R224,武学奇术!$A:$ZZ,12,FALSE)+SUM(_xlfn.XLOOKUP(S224:AG224,增益!$A:$A,增益!$L:$L,0))</f>
        <v>0</v>
      </c>
      <c r="BB224">
        <f t="shared" si="38"/>
        <v>0</v>
      </c>
      <c r="BC224">
        <f t="shared" si="39"/>
        <v>0</v>
      </c>
      <c r="BD224" s="26" cm="1">
        <f t="array" ref="BD224">IF($F$13-$I$4+VLOOKUP($R224,武学奇术!$A:$ZZ,13,FALSE)+SUM(_xlfn.XLOOKUP(S224:AG224,增益!$A:$A,增益!$M:$M,0))&gt;0,($F$13-$I$4+VLOOKUP($R224,武学奇术!$A:$ZZ,13,FALSE)+SUM(_xlfn.XLOOKUP(S224:AG224,增益!$A:$A,增益!$K:$K,0)))/200,($F$13-$I$4+VLOOKUP($R224,武学奇术!$A:$ZZ,13,FALSE)+SUM(_xlfn.XLOOKUP(S224:AG224,增益!$A:$A,增益!$M:$M,0)))/100)</f>
        <v>-0.3</v>
      </c>
      <c r="BE224" s="26" cm="1">
        <f t="array" ref="BE224">$G$13+VLOOKUP($R224,武学奇术!$A:$ZZ,14,FALSE)+SUM(_xlfn.XLOOKUP(S224:AG224,增益!$A:$A,增益!$N:$N,0))</f>
        <v>0</v>
      </c>
      <c r="BF224">
        <f t="shared" si="40"/>
        <v>0</v>
      </c>
      <c r="BG224">
        <f t="shared" si="41"/>
        <v>0</v>
      </c>
      <c r="BH224" s="26" cm="1">
        <f t="array" ref="BH224">IF($F$14-$I$4+VLOOKUP($R224,武学奇术!$A:$ZZ,15,FALSE)+SUM(_xlfn.XLOOKUP(S224:AG224,增益!$A:$A,增益!$O:$O,0))&gt;0,($F$14-$I$4+VLOOKUP($R224,武学奇术!$A:$ZZ,15,FALSE)+SUM(_xlfn.XLOOKUP(S224:AG224,增益!$A:$A,增益!$O:$O,0)))/200,($F$14-$I$4+VLOOKUP($R224,武学奇术!$A:$ZZ,15,FALSE)+SUM(_xlfn.XLOOKUP(S224:AG224,增益!$A:$A,增益!$O:$O,0)))/100)</f>
        <v>-0.3</v>
      </c>
      <c r="BI224" s="26" cm="1">
        <f t="array" ref="BI224">$G$14+VLOOKUP($R224,武学奇术!$A:$ZZ,16,FALSE)+SUM(_xlfn.XLOOKUP(S224:AG224,增益!$A:$A,增益!$P:$P,0))</f>
        <v>0</v>
      </c>
      <c r="BJ224" s="21">
        <f>MIN(IF(VLOOKUP($R224,武学奇术!$A:$ZZ,23,FALSE)=1,100%,$B$8),100%)</f>
        <v>0.8229</v>
      </c>
      <c r="BK224" s="21" cm="1">
        <f t="array" ref="BK224">IF(VLOOKUP($R224,武学奇术!$A:$ZZ,23,FALSE)=1,100%,MIN(80%,$B$9+VLOOKUP($R224,武学奇术!$A:$ZZ,17,FALSE)+SUM(_xlfn.XLOOKUP(S224:AG224,增益!$A:$A,增益!$Q:$Q,0)))+$B$11+SUM(_xlfn.XLOOKUP(S224:AG224,增益!$A:$A,增益!$U:$U,0)))*IF(VLOOKUP($R224,武学奇术!$A:$ZZ,24,FALSE)=1,0,1)</f>
        <v>0.2285</v>
      </c>
      <c r="BL224" s="21" cm="1">
        <f t="array" ref="BL224">1+$B$13+VLOOKUP($R224,武学奇术!$A:$ZZ,18,FALSE)+SUM(_xlfn.XLOOKUP(S224:AG224,增益!$A:$A,增益!$R:$R,0))</f>
        <v>1.5</v>
      </c>
      <c r="BM224" s="21" cm="1">
        <f t="array" ref="BM224">IF(VLOOKUP($R224,武学奇术!$A:$ZZ,24,FALSE)=1,100%,MIN(40%,$B$10+VLOOKUP($R224,武学奇术!$A:$ZZ,19,FALSE)+SUM(_xlfn.XLOOKUP(S224:AG224,增益!$A:$A,增益!$S:$S,0)))+$B$12+SUM(_xlfn.XLOOKUP(S224:AG224,增益!$A:$A,增益!$V:$V,0)))*IF(VLOOKUP($R224,武学奇术!$A:$ZZ,23,FALSE)=1,0,1)</f>
        <v>0.4495</v>
      </c>
      <c r="BN224" s="21" cm="1">
        <f t="array" ref="BN224">1+$B$14+VLOOKUP($R224,武学奇术!$A:$ZZ,20,FALSE)+SUM(_xlfn.XLOOKUP(S224:AG224,增益!$A:$A,增益!$T:$T,0))</f>
        <v>1.782</v>
      </c>
      <c r="BO224" s="21">
        <f t="shared" si="42"/>
        <v>0.18803265</v>
      </c>
      <c r="BP224" s="21">
        <f t="shared" si="43"/>
        <v>0.2649738</v>
      </c>
      <c r="BQ224" s="21">
        <f>IF(VLOOKUP($R224,武学奇术!$A:$ZZ,22,FALSE)=1,0,(1-$BJ224))*(1-$BM224)</f>
        <v>0.09749355</v>
      </c>
      <c r="BR224" s="21" cm="1">
        <f t="array" ref="BR224">SUM(_xlfn.XLOOKUP(S224:AG224,增益!$A:$A,增益!$W:$W,0))+$I$5</f>
        <v>0.06</v>
      </c>
    </row>
    <row r="225" spans="11:70">
      <c r="K225" s="24">
        <f>$L225*VLOOKUP($R225,武学奇术!$A:$ZZ,31,FALSE)</f>
        <v>10761.7874402863</v>
      </c>
      <c r="L225" s="24">
        <f t="shared" si="33"/>
        <v>17936.3124004772</v>
      </c>
      <c r="M225" s="24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BL225*$Q225*(1+IF(VLOOKUP($R225,武学奇术!$A:$ZZ,30,FALSE)="流血",$B$21,0))*(1+$BR225)</f>
        <v>14684.4644337396</v>
      </c>
      <c r="N225" s="24">
        <f>(($AP225*$AI225+$AJ225)*(1+$AQ225)*(1+$AR225)+($AU225*IF($G$1="鸣金",$AK225,$AI225)+IF($G$1="鸣金",$AL225*1.5,0))*(1+$AV225)*(1+$AW225)+($AY225*IF($G$1="裂石",$AK225,$AI225)+IF($G$1="裂石",$AL225*1.5,0))*(1+$AZ225)*(1+$BA225)+($BC225*IF($G$1="牵丝",$AK225,$AI225)+IF($G$1="牵丝",$AL225*1.5,0))*(1+$BD225)*(1+$BE225)+($BG225*IF($G$1="破竹",$AK225,$AI225)+IF($G$1="破竹",$AL225*1.5,0))*(1+$BH225)*(1+$BI225))*(1+$AM225)*$BN225*$Q225*(1+IF(VLOOKUP($R225,武学奇术!$A:$ZZ,30,FALSE)="流血",$B$21,0))*(1+$BR225)</f>
        <v>27032.8672474388</v>
      </c>
      <c r="O225" s="24">
        <f>((($AO225+$AP225)/2*$AI225+$AJ225)*(1+$AQ225)*(1+$AR225)+(($AT225+$AU225)/2*IF($G$1="鸣金",$AK225,$AI225)+IF($G$1="鸣金",$AL225*1.5,0))*(1+$AV225)*(1+$AW225)+(($AX225+$AY225)/2*IF($G$1="裂石",$AK225,$AI225)+IF($G$1="裂石",$AL225*1.5,0))*(1+$AZ225)*(1+$BA225)+(($BB225+$BC225)/2*IF($G$1="牵丝",$AK225,$AI225)+IF($G$1="牵丝",$AL225*1.5,0))*(1+$BD225)*(1+$BE225)+(($BF225+$BG225)/2*IF($G$1="破竹",$AK225,$AI225)+IF($G$1="破竹",$AL225*1.5,0))*(1+$BH225)*(1+$BI225))*(1+$AM225)*$Q225*(1+IF(VLOOKUP($R225,武学奇术!$A:$ZZ,30,FALSE)="流血",$B$21,0))*(1+$BR225)</f>
        <v>9789.6429558264</v>
      </c>
      <c r="P225" s="24">
        <f>((($AO225*$AI225+$AJ225)*(1+$AQ225)*(1+$AR225)+($AT225*IF($G$1="鸣金",$AK225,$AI225)+IF($G$1="鸣金",$AL225*1.5,0))*(1+$AV225)*(1+$AW225)+($AX225*IF($G$1="裂石",$AK225,$AI225)+IF($G$1="裂石",$AL225*1.5,0))*(1+$AZ225)*(1+$BA225)+($BB225*IF($G$1="牵丝",$AK225,$AI225)+IF($G$1="牵丝",$AL225*1.5,0))*(1+$BD225)*(1+$BE225)+($BF225*IF($G$1="破竹",$AK225,$AI225)+IF($G$1="破竹",$AL225*1.5,0))*(1+$BH225)*(1+$BI225))*(1+$AM225))*$Q225*(1+IF(VLOOKUP($R225,武学奇术!$A:$ZZ,30,FALSE)="流血",$B$21,0))*(1+$BR225)</f>
        <v>4409.32673800589</v>
      </c>
      <c r="Q225" s="31">
        <v>1</v>
      </c>
      <c r="R225" s="32" t="s">
        <v>199</v>
      </c>
      <c r="S225" s="32" t="s">
        <v>87</v>
      </c>
      <c r="T225" s="32" t="s">
        <v>96</v>
      </c>
      <c r="U225" s="32" t="s">
        <v>97</v>
      </c>
      <c r="V225" s="32" t="s">
        <v>73</v>
      </c>
      <c r="W225" s="32" t="s">
        <v>111</v>
      </c>
      <c r="X225" s="32" t="s">
        <v>127</v>
      </c>
      <c r="Y225" s="32" t="s">
        <v>73</v>
      </c>
      <c r="Z225" s="32" t="s">
        <v>73</v>
      </c>
      <c r="AA225" s="32" t="s">
        <v>81</v>
      </c>
      <c r="AB225" s="32" t="s">
        <v>75</v>
      </c>
      <c r="AC225" s="32" t="s">
        <v>76</v>
      </c>
      <c r="AD225" s="32" t="s">
        <v>82</v>
      </c>
      <c r="AE225" s="32" t="s">
        <v>90</v>
      </c>
      <c r="AF225" s="32" t="s">
        <v>73</v>
      </c>
      <c r="AG225" s="32" t="s">
        <v>178</v>
      </c>
      <c r="AH225" t="str">
        <f>VLOOKUP($R225,武学奇术!$A:$ZZ,25,FALSE)</f>
        <v>剑</v>
      </c>
      <c r="AI225" s="21">
        <f>VLOOKUP($R225,武学奇术!$A:$ZZ,26,FALSE)</f>
        <v>0.3465</v>
      </c>
      <c r="AJ225" s="22">
        <f>VLOOKUP($R225,武学奇术!$A:$ZZ,27,FALSE)*(1+IF(OR($AH225=$F$4,$AH225=$F$5),$B$22,0))</f>
        <v>0</v>
      </c>
      <c r="AK225" s="21">
        <f>VLOOKUP($R225,武学奇术!$A:$ZZ,28,FALSE)</f>
        <v>0.51975</v>
      </c>
      <c r="AL225" s="22">
        <f>VLOOKUP($R225,武学奇术!$A:$ZZ,29,FALSE)*(1+IF(OR($AH225=$F$4,$AH225=$F$5),$B$22,0))</f>
        <v>0</v>
      </c>
      <c r="AM225" s="21" cm="1">
        <f t="array" ref="AM225">$G$3+IFERROR(VLOOKUP($AH225,$F$4:$G$7,2,FALSE),0)+VLOOKUP($R225,武学奇术!$A:$ZZ,2,FALSE)+SUM(_xlfn.XLOOKUP($S225:$AG225,增益!$A:$A,增益!$B:$B,0))</f>
        <v>1.4791</v>
      </c>
      <c r="AN225" s="21" cm="1">
        <f t="array" ref="AN225">VLOOKUP($R225,武学奇术!$A:$ZZ,5,FALSE)+SUM(_xlfn.XLOOKUP($S225:$AG225,增益!$A:$A,增益!$E:$E,0))</f>
        <v>0</v>
      </c>
      <c r="AO225" cm="1">
        <f t="array" ref="AO225">$D$10*(1+$AN225)+VLOOKUP($R225,武学奇术!$A:$ZZ,3,FALSE)+SUM(_xlfn.XLOOKUP($S225:$AG225,增益!$A:$A,增益!$C:$C,0))-$I$2</f>
        <v>1825.28</v>
      </c>
      <c r="AP225" cm="1">
        <f t="array" ref="AP225">$E$10*(1+$AN225)+VLOOKUP($R225,武学奇术!$A:$ZZ,4,FALSE)+SUM(_xlfn.XLOOKUP($S225:$AG225,增益!$A:$A,增益!$D:$D,0))-$I$2</f>
        <v>7757.36</v>
      </c>
      <c r="AQ225" s="26" cm="1">
        <f t="array" ref="AQ225">IF($F$10-$I$3+VLOOKUP($R225,武学奇术!$A:$ZZ,6,FALSE)+SUM(_xlfn.XLOOKUP(S225:AG225,增益!$A:$A,增益!$F:$F,0))&gt;0,($F$10-$I$3+VLOOKUP($R225,武学奇术!$A:$ZZ,6,FALSE)+SUM(_xlfn.XLOOKUP(S225:AG225,增益!$A:$A,增益!$F:$F,0)))/200,($F$10-$I$3+VLOOKUP($R225,武学奇术!$A:$ZZ,6,FALSE)+SUM(_xlfn.XLOOKUP(S225:AG225,增益!$A:$A,增益!$F:$F,0)))/100)</f>
        <v>0.319</v>
      </c>
      <c r="AR225" s="26" cm="1">
        <f t="array" ref="AR225">$G$10+VLOOKUP($R225,武学奇术!$A:$ZZ,7,FALSE)+SUM(_xlfn.XLOOKUP(S225:AG225,增益!$A:$A,增益!$G:$G,0))</f>
        <v>0</v>
      </c>
      <c r="AS225" s="21" cm="1">
        <f t="array" ref="AS225">VLOOKUP($R225,武学奇术!$A:$ZZ,8,FALSE)+SUM(_xlfn.XLOOKUP(S225:AG225,增益!$A:$A,增益!$H:$H,0))</f>
        <v>0</v>
      </c>
      <c r="AT225">
        <f t="shared" si="34"/>
        <v>680.02</v>
      </c>
      <c r="AU225">
        <f t="shared" si="35"/>
        <v>1288.54</v>
      </c>
      <c r="AV225" s="26" cm="1">
        <f t="array" ref="AV225">IF($F$11-$I$4+VLOOKUP($R225,武学奇术!$A:$ZZ,9,FALSE)+SUM(_xlfn.XLOOKUP(S225:AG225,增益!$A:$A,增益!$I:$I,0))&gt;0,($F$11-$I$4+VLOOKUP($R225,武学奇术!$A:$ZZ,9,FALSE)+SUM(_xlfn.XLOOKUP(S225:AG225,增益!$A:$A,增益!$I:$I,0)))/200,($F$11-$I$4+VLOOKUP($R225,武学奇术!$A:$ZZ,9,FALSE)+SUM(_xlfn.XLOOKUP(S225:AG225,增益!$A:$A,增益!$I:$I,0)))/100)</f>
        <v>0.075</v>
      </c>
      <c r="AW225" s="26" cm="1">
        <f t="array" ref="AW225">$G$11+VLOOKUP($R225,武学奇术!$A:$ZZ,10,FALSE)+SUM(_xlfn.XLOOKUP(S225:AG225,增益!$A:$A,增益!$J:$J,0))</f>
        <v>0.15</v>
      </c>
      <c r="AX225">
        <f t="shared" si="36"/>
        <v>0</v>
      </c>
      <c r="AY225">
        <f t="shared" si="37"/>
        <v>0</v>
      </c>
      <c r="AZ225" s="26" cm="1">
        <f t="array" ref="AZ225">IF($F$12-$I$4+VLOOKUP($R225,武学奇术!$A:$ZZ,11,FALSE)+SUM(_xlfn.XLOOKUP(S225:AG225,增益!$A:$A,增益!$K:$K,0))&gt;0,($F$12-$I$4+VLOOKUP($R225,武学奇术!$A:$ZZ,11,FALSE)+SUM(_xlfn.XLOOKUP(S225:AG225,增益!$A:$A,增益!$K:$K,0)))/200,($F$12-$I$4+VLOOKUP($R225,武学奇术!$A:$ZZ,11,FALSE)+SUM(_xlfn.XLOOKUP(S225:AG225,增益!$A:$A,增益!$K:$K,0)))/100)</f>
        <v>-0.3</v>
      </c>
      <c r="BA225" s="26" cm="1">
        <f t="array" ref="BA225">$G$12+VLOOKUP($R225,武学奇术!$A:$ZZ,12,FALSE)+SUM(_xlfn.XLOOKUP(S225:AG225,增益!$A:$A,增益!$L:$L,0))</f>
        <v>0</v>
      </c>
      <c r="BB225">
        <f t="shared" si="38"/>
        <v>0</v>
      </c>
      <c r="BC225">
        <f t="shared" si="39"/>
        <v>0</v>
      </c>
      <c r="BD225" s="26" cm="1">
        <f t="array" ref="BD225">IF($F$13-$I$4+VLOOKUP($R225,武学奇术!$A:$ZZ,13,FALSE)+SUM(_xlfn.XLOOKUP(S225:AG225,增益!$A:$A,增益!$M:$M,0))&gt;0,($F$13-$I$4+VLOOKUP($R225,武学奇术!$A:$ZZ,13,FALSE)+SUM(_xlfn.XLOOKUP(S225:AG225,增益!$A:$A,增益!$K:$K,0)))/200,($F$13-$I$4+VLOOKUP($R225,武学奇术!$A:$ZZ,13,FALSE)+SUM(_xlfn.XLOOKUP(S225:AG225,增益!$A:$A,增益!$M:$M,0)))/100)</f>
        <v>-0.3</v>
      </c>
      <c r="BE225" s="26" cm="1">
        <f t="array" ref="BE225">$G$13+VLOOKUP($R225,武学奇术!$A:$ZZ,14,FALSE)+SUM(_xlfn.XLOOKUP(S225:AG225,增益!$A:$A,增益!$N:$N,0))</f>
        <v>0</v>
      </c>
      <c r="BF225">
        <f t="shared" si="40"/>
        <v>0</v>
      </c>
      <c r="BG225">
        <f t="shared" si="41"/>
        <v>0</v>
      </c>
      <c r="BH225" s="26" cm="1">
        <f t="array" ref="BH225">IF($F$14-$I$4+VLOOKUP($R225,武学奇术!$A:$ZZ,15,FALSE)+SUM(_xlfn.XLOOKUP(S225:AG225,增益!$A:$A,增益!$O:$O,0))&gt;0,($F$14-$I$4+VLOOKUP($R225,武学奇术!$A:$ZZ,15,FALSE)+SUM(_xlfn.XLOOKUP(S225:AG225,增益!$A:$A,增益!$O:$O,0)))/200,($F$14-$I$4+VLOOKUP($R225,武学奇术!$A:$ZZ,15,FALSE)+SUM(_xlfn.XLOOKUP(S225:AG225,增益!$A:$A,增益!$O:$O,0)))/100)</f>
        <v>-0.3</v>
      </c>
      <c r="BI225" s="26" cm="1">
        <f t="array" ref="BI225">$G$14+VLOOKUP($R225,武学奇术!$A:$ZZ,16,FALSE)+SUM(_xlfn.XLOOKUP(S225:AG225,增益!$A:$A,增益!$P:$P,0))</f>
        <v>0</v>
      </c>
      <c r="BJ225" s="21">
        <f>MIN(IF(VLOOKUP($R225,武学奇术!$A:$ZZ,23,FALSE)=1,100%,$B$8),100%)</f>
        <v>0.8229</v>
      </c>
      <c r="BK225" s="21" cm="1">
        <f t="array" ref="BK225">IF(VLOOKUP($R225,武学奇术!$A:$ZZ,23,FALSE)=1,100%,MIN(80%,$B$9+VLOOKUP($R225,武学奇术!$A:$ZZ,17,FALSE)+SUM(_xlfn.XLOOKUP(S225:AG225,增益!$A:$A,增益!$Q:$Q,0)))+$B$11+SUM(_xlfn.XLOOKUP(S225:AG225,增益!$A:$A,增益!$U:$U,0)))*IF(VLOOKUP($R225,武学奇术!$A:$ZZ,24,FALSE)=1,0,1)</f>
        <v>0.2285</v>
      </c>
      <c r="BL225" s="21" cm="1">
        <f t="array" ref="BL225">1+$B$13+VLOOKUP($R225,武学奇术!$A:$ZZ,18,FALSE)+SUM(_xlfn.XLOOKUP(S225:AG225,增益!$A:$A,增益!$R:$R,0))</f>
        <v>1.5</v>
      </c>
      <c r="BM225" s="21" cm="1">
        <f t="array" ref="BM225">IF(VLOOKUP($R225,武学奇术!$A:$ZZ,24,FALSE)=1,100%,MIN(40%,$B$10+VLOOKUP($R225,武学奇术!$A:$ZZ,19,FALSE)+SUM(_xlfn.XLOOKUP(S225:AG225,增益!$A:$A,增益!$S:$S,0)))+$B$12+SUM(_xlfn.XLOOKUP(S225:AG225,增益!$A:$A,增益!$V:$V,0)))*IF(VLOOKUP($R225,武学奇术!$A:$ZZ,23,FALSE)=1,0,1)</f>
        <v>0.4495</v>
      </c>
      <c r="BN225" s="21" cm="1">
        <f t="array" ref="BN225">1+$B$14+VLOOKUP($R225,武学奇术!$A:$ZZ,20,FALSE)+SUM(_xlfn.XLOOKUP(S225:AG225,增益!$A:$A,增益!$T:$T,0))</f>
        <v>1.782</v>
      </c>
      <c r="BO225" s="21">
        <f t="shared" si="42"/>
        <v>0.18803265</v>
      </c>
      <c r="BP225" s="21">
        <f t="shared" si="43"/>
        <v>0.2649738</v>
      </c>
      <c r="BQ225" s="21">
        <f>IF(VLOOKUP($R225,武学奇术!$A:$ZZ,22,FALSE)=1,0,(1-$BJ225))*(1-$BM225)</f>
        <v>0.09749355</v>
      </c>
      <c r="BR225" s="21" cm="1">
        <f t="array" ref="BR225">SUM(_xlfn.XLOOKUP(S225:AG225,增益!$A:$A,增益!$W:$W,0))+$I$5</f>
        <v>0.06</v>
      </c>
    </row>
    <row r="226" spans="11:70">
      <c r="K226" s="24">
        <f>$L226*VLOOKUP($R226,武学奇术!$A:$ZZ,31,FALSE)</f>
        <v>9611.66171036344</v>
      </c>
      <c r="L226" s="24">
        <f t="shared" si="33"/>
        <v>16019.4361839391</v>
      </c>
      <c r="M226" s="24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BL226*$Q226*(1+IF(VLOOKUP($R226,武学奇术!$A:$ZZ,30,FALSE)="流血",$B$21,0))*(1+$BR226)</f>
        <v>13115.1172905171</v>
      </c>
      <c r="N226" s="24">
        <f>(($AP226*$AI226+$AJ226)*(1+$AQ226)*(1+$AR226)+($AU226*IF($G$1="鸣金",$AK226,$AI226)+IF($G$1="鸣金",$AL226*1.5,0))*(1+$AV226)*(1+$AW226)+($AY226*IF($G$1="裂石",$AK226,$AI226)+IF($G$1="裂石",$AL226*1.5,0))*(1+$AZ226)*(1+$BA226)+($BC226*IF($G$1="牵丝",$AK226,$AI226)+IF($G$1="牵丝",$AL226*1.5,0))*(1+$BD226)*(1+$BE226)+($BG226*IF($G$1="破竹",$AK226,$AI226)+IF($G$1="破竹",$AL226*1.5,0))*(1+$BH226)*(1+$BI226))*(1+$AM226)*$BN226*$Q226*(1+IF(VLOOKUP($R226,武学奇术!$A:$ZZ,30,FALSE)="流血",$B$21,0))*(1+$BR226)</f>
        <v>24143.8307981144</v>
      </c>
      <c r="O226" s="24">
        <f>((($AO226+$AP226)/2*$AI226+$AJ226)*(1+$AQ226)*(1+$AR226)+(($AT226+$AU226)/2*IF($G$1="鸣金",$AK226,$AI226)+IF($G$1="鸣金",$AL226*1.5,0))*(1+$AV226)*(1+$AW226)+(($AX226+$AY226)/2*IF($G$1="裂石",$AK226,$AI226)+IF($G$1="裂石",$AL226*1.5,0))*(1+$AZ226)*(1+$BA226)+(($BB226+$BC226)/2*IF($G$1="牵丝",$AK226,$AI226)+IF($G$1="牵丝",$AL226*1.5,0))*(1+$BD226)*(1+$BE226)+(($BF226+$BG226)/2*IF($G$1="破竹",$AK226,$AI226)+IF($G$1="破竹",$AL226*1.5,0))*(1+$BH226)*(1+$BI226))*(1+$AM226)*$Q226*(1+IF(VLOOKUP($R226,武学奇术!$A:$ZZ,30,FALSE)="流血",$B$21,0))*(1+$BR226)</f>
        <v>8743.41152701138</v>
      </c>
      <c r="P226" s="24">
        <f>((($AO226*$AI226+$AJ226)*(1+$AQ226)*(1+$AR226)+($AT226*IF($G$1="鸣金",$AK226,$AI226)+IF($G$1="鸣金",$AL226*1.5,0))*(1+$AV226)*(1+$AW226)+($AX226*IF($G$1="裂石",$AK226,$AI226)+IF($G$1="裂石",$AL226*1.5,0))*(1+$AZ226)*(1+$BA226)+($BB226*IF($G$1="牵丝",$AK226,$AI226)+IF($G$1="牵丝",$AL226*1.5,0))*(1+$BD226)*(1+$BE226)+($BF226*IF($G$1="破竹",$AK226,$AI226)+IF($G$1="破竹",$AL226*1.5,0))*(1+$BH226)*(1+$BI226))*(1+$AM226))*$Q226*(1+IF(VLOOKUP($R226,武学奇术!$A:$ZZ,30,FALSE)="流血",$B$21,0))*(1+$BR226)</f>
        <v>3938.09645575432</v>
      </c>
      <c r="Q226" s="31">
        <v>1</v>
      </c>
      <c r="R226" s="32" t="s">
        <v>197</v>
      </c>
      <c r="S226" s="32" t="s">
        <v>87</v>
      </c>
      <c r="T226" s="32" t="s">
        <v>96</v>
      </c>
      <c r="U226" s="32" t="s">
        <v>97</v>
      </c>
      <c r="V226" s="32" t="s">
        <v>73</v>
      </c>
      <c r="W226" s="32" t="s">
        <v>111</v>
      </c>
      <c r="X226" s="32" t="s">
        <v>127</v>
      </c>
      <c r="Y226" s="32" t="s">
        <v>179</v>
      </c>
      <c r="Z226" s="32" t="s">
        <v>182</v>
      </c>
      <c r="AA226" s="32" t="s">
        <v>81</v>
      </c>
      <c r="AB226" s="32" t="s">
        <v>75</v>
      </c>
      <c r="AC226" s="32" t="s">
        <v>76</v>
      </c>
      <c r="AD226" s="32" t="s">
        <v>82</v>
      </c>
      <c r="AE226" s="32" t="s">
        <v>183</v>
      </c>
      <c r="AF226" s="32" t="s">
        <v>73</v>
      </c>
      <c r="AG226" s="32" t="s">
        <v>178</v>
      </c>
      <c r="AH226" t="str">
        <f>VLOOKUP($R226,武学奇术!$A:$ZZ,25,FALSE)</f>
        <v>剑</v>
      </c>
      <c r="AI226" s="21">
        <f>VLOOKUP($R226,武学奇术!$A:$ZZ,26,FALSE)</f>
        <v>0.2772</v>
      </c>
      <c r="AJ226" s="22">
        <f>VLOOKUP($R226,武学奇术!$A:$ZZ,27,FALSE)*(1+IF(OR($AH226=$F$4,$AH226=$F$5),$B$22,0))</f>
        <v>0</v>
      </c>
      <c r="AK226" s="21">
        <f>VLOOKUP($R226,武学奇术!$A:$ZZ,28,FALSE)</f>
        <v>0.4158</v>
      </c>
      <c r="AL226" s="22">
        <f>VLOOKUP($R226,武学奇术!$A:$ZZ,29,FALSE)*(1+IF(OR($AH226=$F$4,$AH226=$F$5),$B$22,0))</f>
        <v>0</v>
      </c>
      <c r="AM226" s="21" cm="1">
        <f t="array" ref="AM226">$G$3+IFERROR(VLOOKUP($AH226,$F$4:$G$7,2,FALSE),0)+VLOOKUP($R226,武学奇术!$A:$ZZ,2,FALSE)+SUM(_xlfn.XLOOKUP($S226:$AG226,增益!$A:$A,增益!$B:$B,0))</f>
        <v>1.5291</v>
      </c>
      <c r="AN226" s="21" cm="1">
        <f t="array" ref="AN226">VLOOKUP($R226,武学奇术!$A:$ZZ,5,FALSE)+SUM(_xlfn.XLOOKUP($S226:$AG226,增益!$A:$A,增益!$E:$E,0))</f>
        <v>0</v>
      </c>
      <c r="AO226" cm="1">
        <f t="array" ref="AO226">$D$10*(1+$AN226)+VLOOKUP($R226,武学奇术!$A:$ZZ,3,FALSE)+SUM(_xlfn.XLOOKUP($S226:$AG226,增益!$A:$A,增益!$C:$C,0))-$I$2</f>
        <v>1825.28</v>
      </c>
      <c r="AP226" cm="1">
        <f t="array" ref="AP226">$E$10*(1+$AN226)+VLOOKUP($R226,武学奇术!$A:$ZZ,4,FALSE)+SUM(_xlfn.XLOOKUP($S226:$AG226,增益!$A:$A,增益!$D:$D,0))-$I$2</f>
        <v>7757.36</v>
      </c>
      <c r="AQ226" s="26" cm="1">
        <f t="array" ref="AQ226">IF($F$10-$I$3+VLOOKUP($R226,武学奇术!$A:$ZZ,6,FALSE)+SUM(_xlfn.XLOOKUP(S226:AG226,增益!$A:$A,增益!$F:$F,0))&gt;0,($F$10-$I$3+VLOOKUP($R226,武学奇术!$A:$ZZ,6,FALSE)+SUM(_xlfn.XLOOKUP(S226:AG226,增益!$A:$A,增益!$F:$F,0)))/200,($F$10-$I$3+VLOOKUP($R226,武学奇术!$A:$ZZ,6,FALSE)+SUM(_xlfn.XLOOKUP(S226:AG226,增益!$A:$A,增益!$F:$F,0)))/100)</f>
        <v>0.319</v>
      </c>
      <c r="AR226" s="26" cm="1">
        <f t="array" ref="AR226">$G$10+VLOOKUP($R226,武学奇术!$A:$ZZ,7,FALSE)+SUM(_xlfn.XLOOKUP(S226:AG226,增益!$A:$A,增益!$G:$G,0))</f>
        <v>0</v>
      </c>
      <c r="AS226" s="21" cm="1">
        <f t="array" ref="AS226">VLOOKUP($R226,武学奇术!$A:$ZZ,8,FALSE)+SUM(_xlfn.XLOOKUP(S226:AG226,增益!$A:$A,增益!$H:$H,0))</f>
        <v>0</v>
      </c>
      <c r="AT226">
        <f t="shared" si="34"/>
        <v>680.02</v>
      </c>
      <c r="AU226">
        <f t="shared" si="35"/>
        <v>1288.54</v>
      </c>
      <c r="AV226" s="26" cm="1">
        <f t="array" ref="AV226">IF($F$11-$I$4+VLOOKUP($R226,武学奇术!$A:$ZZ,9,FALSE)+SUM(_xlfn.XLOOKUP(S226:AG226,增益!$A:$A,增益!$I:$I,0))&gt;0,($F$11-$I$4+VLOOKUP($R226,武学奇术!$A:$ZZ,9,FALSE)+SUM(_xlfn.XLOOKUP(S226:AG226,增益!$A:$A,增益!$I:$I,0)))/200,($F$11-$I$4+VLOOKUP($R226,武学奇术!$A:$ZZ,9,FALSE)+SUM(_xlfn.XLOOKUP(S226:AG226,增益!$A:$A,增益!$I:$I,0)))/100)</f>
        <v>0.075</v>
      </c>
      <c r="AW226" s="26" cm="1">
        <f t="array" ref="AW226">$G$11+VLOOKUP($R226,武学奇术!$A:$ZZ,10,FALSE)+SUM(_xlfn.XLOOKUP(S226:AG226,增益!$A:$A,增益!$J:$J,0))</f>
        <v>0.15</v>
      </c>
      <c r="AX226">
        <f t="shared" si="36"/>
        <v>0</v>
      </c>
      <c r="AY226">
        <f t="shared" si="37"/>
        <v>0</v>
      </c>
      <c r="AZ226" s="26" cm="1">
        <f t="array" ref="AZ226">IF($F$12-$I$4+VLOOKUP($R226,武学奇术!$A:$ZZ,11,FALSE)+SUM(_xlfn.XLOOKUP(S226:AG226,增益!$A:$A,增益!$K:$K,0))&gt;0,($F$12-$I$4+VLOOKUP($R226,武学奇术!$A:$ZZ,11,FALSE)+SUM(_xlfn.XLOOKUP(S226:AG226,增益!$A:$A,增益!$K:$K,0)))/200,($F$12-$I$4+VLOOKUP($R226,武学奇术!$A:$ZZ,11,FALSE)+SUM(_xlfn.XLOOKUP(S226:AG226,增益!$A:$A,增益!$K:$K,0)))/100)</f>
        <v>-0.3</v>
      </c>
      <c r="BA226" s="26" cm="1">
        <f t="array" ref="BA226">$G$12+VLOOKUP($R226,武学奇术!$A:$ZZ,12,FALSE)+SUM(_xlfn.XLOOKUP(S226:AG226,增益!$A:$A,增益!$L:$L,0))</f>
        <v>0</v>
      </c>
      <c r="BB226">
        <f t="shared" si="38"/>
        <v>0</v>
      </c>
      <c r="BC226">
        <f t="shared" si="39"/>
        <v>0</v>
      </c>
      <c r="BD226" s="26" cm="1">
        <f t="array" ref="BD226">IF($F$13-$I$4+VLOOKUP($R226,武学奇术!$A:$ZZ,13,FALSE)+SUM(_xlfn.XLOOKUP(S226:AG226,增益!$A:$A,增益!$M:$M,0))&gt;0,($F$13-$I$4+VLOOKUP($R226,武学奇术!$A:$ZZ,13,FALSE)+SUM(_xlfn.XLOOKUP(S226:AG226,增益!$A:$A,增益!$K:$K,0)))/200,($F$13-$I$4+VLOOKUP($R226,武学奇术!$A:$ZZ,13,FALSE)+SUM(_xlfn.XLOOKUP(S226:AG226,增益!$A:$A,增益!$M:$M,0)))/100)</f>
        <v>-0.3</v>
      </c>
      <c r="BE226" s="26" cm="1">
        <f t="array" ref="BE226">$G$13+VLOOKUP($R226,武学奇术!$A:$ZZ,14,FALSE)+SUM(_xlfn.XLOOKUP(S226:AG226,增益!$A:$A,增益!$N:$N,0))</f>
        <v>0</v>
      </c>
      <c r="BF226">
        <f t="shared" si="40"/>
        <v>0</v>
      </c>
      <c r="BG226">
        <f t="shared" si="41"/>
        <v>0</v>
      </c>
      <c r="BH226" s="26" cm="1">
        <f t="array" ref="BH226">IF($F$14-$I$4+VLOOKUP($R226,武学奇术!$A:$ZZ,15,FALSE)+SUM(_xlfn.XLOOKUP(S226:AG226,增益!$A:$A,增益!$O:$O,0))&gt;0,($F$14-$I$4+VLOOKUP($R226,武学奇术!$A:$ZZ,15,FALSE)+SUM(_xlfn.XLOOKUP(S226:AG226,增益!$A:$A,增益!$O:$O,0)))/200,($F$14-$I$4+VLOOKUP($R226,武学奇术!$A:$ZZ,15,FALSE)+SUM(_xlfn.XLOOKUP(S226:AG226,增益!$A:$A,增益!$O:$O,0)))/100)</f>
        <v>-0.3</v>
      </c>
      <c r="BI226" s="26" cm="1">
        <f t="array" ref="BI226">$G$14+VLOOKUP($R226,武学奇术!$A:$ZZ,16,FALSE)+SUM(_xlfn.XLOOKUP(S226:AG226,增益!$A:$A,增益!$P:$P,0))</f>
        <v>0</v>
      </c>
      <c r="BJ226" s="21">
        <f>MIN(IF(VLOOKUP($R226,武学奇术!$A:$ZZ,23,FALSE)=1,100%,$B$8),100%)</f>
        <v>0.8229</v>
      </c>
      <c r="BK226" s="21" cm="1">
        <f t="array" ref="BK226">IF(VLOOKUP($R226,武学奇术!$A:$ZZ,23,FALSE)=1,100%,MIN(80%,$B$9+VLOOKUP($R226,武学奇术!$A:$ZZ,17,FALSE)+SUM(_xlfn.XLOOKUP(S226:AG226,增益!$A:$A,增益!$Q:$Q,0)))+$B$11+SUM(_xlfn.XLOOKUP(S226:AG226,增益!$A:$A,增益!$U:$U,0)))*IF(VLOOKUP($R226,武学奇术!$A:$ZZ,24,FALSE)=1,0,1)</f>
        <v>0.2285</v>
      </c>
      <c r="BL226" s="21" cm="1">
        <f t="array" ref="BL226">1+$B$13+VLOOKUP($R226,武学奇术!$A:$ZZ,18,FALSE)+SUM(_xlfn.XLOOKUP(S226:AG226,增益!$A:$A,增益!$R:$R,0))</f>
        <v>1.5</v>
      </c>
      <c r="BM226" s="21" cm="1">
        <f t="array" ref="BM226">IF(VLOOKUP($R226,武学奇术!$A:$ZZ,24,FALSE)=1,100%,MIN(40%,$B$10+VLOOKUP($R226,武学奇术!$A:$ZZ,19,FALSE)+SUM(_xlfn.XLOOKUP(S226:AG226,增益!$A:$A,增益!$S:$S,0)))+$B$12+SUM(_xlfn.XLOOKUP(S226:AG226,增益!$A:$A,增益!$V:$V,0)))*IF(VLOOKUP($R226,武学奇术!$A:$ZZ,23,FALSE)=1,0,1)</f>
        <v>0.4495</v>
      </c>
      <c r="BN226" s="21" cm="1">
        <f t="array" ref="BN226">1+$B$14+VLOOKUP($R226,武学奇术!$A:$ZZ,20,FALSE)+SUM(_xlfn.XLOOKUP(S226:AG226,增益!$A:$A,增益!$T:$T,0))</f>
        <v>1.782</v>
      </c>
      <c r="BO226" s="21">
        <f t="shared" si="42"/>
        <v>0.18803265</v>
      </c>
      <c r="BP226" s="21">
        <f t="shared" si="43"/>
        <v>0.2649738</v>
      </c>
      <c r="BQ226" s="21">
        <f>IF(VLOOKUP($R226,武学奇术!$A:$ZZ,22,FALSE)=1,0,(1-$BJ226))*(1-$BM226)</f>
        <v>0.09749355</v>
      </c>
      <c r="BR226" s="21" cm="1">
        <f t="array" ref="BR226">SUM(_xlfn.XLOOKUP(S226:AG226,增益!$A:$A,增益!$W:$W,0))+$I$5</f>
        <v>0.16</v>
      </c>
    </row>
    <row r="227" spans="11:70">
      <c r="K227" s="24">
        <f>$L227*VLOOKUP($R227,武学奇术!$A:$ZZ,31,FALSE)</f>
        <v>6007.28856897715</v>
      </c>
      <c r="L227" s="24">
        <f t="shared" si="33"/>
        <v>10012.1476149619</v>
      </c>
      <c r="M227" s="24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BL227*$Q227*(1+IF(VLOOKUP($R227,武学奇术!$A:$ZZ,30,FALSE)="流血",$B$21,0))*(1+$BR227)</f>
        <v>8196.94830657317</v>
      </c>
      <c r="N227" s="24">
        <f>(($AP227*$AI227+$AJ227)*(1+$AQ227)*(1+$AR227)+($AU227*IF($G$1="鸣金",$AK227,$AI227)+IF($G$1="鸣金",$AL227*1.5,0))*(1+$AV227)*(1+$AW227)+($AY227*IF($G$1="裂石",$AK227,$AI227)+IF($G$1="裂石",$AL227*1.5,0))*(1+$AZ227)*(1+$BA227)+($BC227*IF($G$1="牵丝",$AK227,$AI227)+IF($G$1="牵丝",$AL227*1.5,0))*(1+$BD227)*(1+$BE227)+($BG227*IF($G$1="破竹",$AK227,$AI227)+IF($G$1="破竹",$AL227*1.5,0))*(1+$BH227)*(1+$BI227))*(1+$AM227)*$BN227*$Q227*(1+IF(VLOOKUP($R227,武学奇术!$A:$ZZ,30,FALSE)="流血",$B$21,0))*(1+$BR227)</f>
        <v>15089.8942488215</v>
      </c>
      <c r="O227" s="24">
        <f>((($AO227+$AP227)/2*$AI227+$AJ227)*(1+$AQ227)*(1+$AR227)+(($AT227+$AU227)/2*IF($G$1="鸣金",$AK227,$AI227)+IF($G$1="鸣金",$AL227*1.5,0))*(1+$AV227)*(1+$AW227)+(($AX227+$AY227)/2*IF($G$1="裂石",$AK227,$AI227)+IF($G$1="裂石",$AL227*1.5,0))*(1+$AZ227)*(1+$BA227)+(($BB227+$BC227)/2*IF($G$1="牵丝",$AK227,$AI227)+IF($G$1="牵丝",$AL227*1.5,0))*(1+$BD227)*(1+$BE227)+(($BF227+$BG227)/2*IF($G$1="破竹",$AK227,$AI227)+IF($G$1="破竹",$AL227*1.5,0))*(1+$BH227)*(1+$BI227))*(1+$AM227)*$Q227*(1+IF(VLOOKUP($R227,武学奇术!$A:$ZZ,30,FALSE)="流血",$B$21,0))*(1+$BR227)</f>
        <v>5464.63220438211</v>
      </c>
      <c r="P227" s="24">
        <f>((($AO227*$AI227+$AJ227)*(1+$AQ227)*(1+$AR227)+($AT227*IF($G$1="鸣金",$AK227,$AI227)+IF($G$1="鸣金",$AL227*1.5,0))*(1+$AV227)*(1+$AW227)+($AX227*IF($G$1="裂石",$AK227,$AI227)+IF($G$1="裂石",$AL227*1.5,0))*(1+$AZ227)*(1+$BA227)+($BB227*IF($G$1="牵丝",$AK227,$AI227)+IF($G$1="牵丝",$AL227*1.5,0))*(1+$BD227)*(1+$BE227)+($BF227*IF($G$1="破竹",$AK227,$AI227)+IF($G$1="破竹",$AL227*1.5,0))*(1+$BH227)*(1+$BI227))*(1+$AM227))*$Q227*(1+IF(VLOOKUP($R227,武学奇术!$A:$ZZ,30,FALSE)="流血",$B$21,0))*(1+$BR227)</f>
        <v>2461.31028484645</v>
      </c>
      <c r="Q227" s="31">
        <v>1</v>
      </c>
      <c r="R227" s="32" t="s">
        <v>198</v>
      </c>
      <c r="S227" s="32" t="s">
        <v>87</v>
      </c>
      <c r="T227" s="32" t="s">
        <v>96</v>
      </c>
      <c r="U227" s="32" t="s">
        <v>97</v>
      </c>
      <c r="V227" s="32" t="s">
        <v>73</v>
      </c>
      <c r="W227" s="32" t="s">
        <v>111</v>
      </c>
      <c r="X227" s="32" t="s">
        <v>127</v>
      </c>
      <c r="Y227" s="32" t="s">
        <v>179</v>
      </c>
      <c r="Z227" s="32" t="s">
        <v>182</v>
      </c>
      <c r="AA227" s="32" t="s">
        <v>81</v>
      </c>
      <c r="AB227" s="32" t="s">
        <v>75</v>
      </c>
      <c r="AC227" s="32" t="s">
        <v>76</v>
      </c>
      <c r="AD227" s="32" t="s">
        <v>82</v>
      </c>
      <c r="AE227" s="32" t="s">
        <v>183</v>
      </c>
      <c r="AF227" s="32" t="s">
        <v>73</v>
      </c>
      <c r="AG227" s="32" t="s">
        <v>178</v>
      </c>
      <c r="AH227" t="str">
        <f>VLOOKUP($R227,武学奇术!$A:$ZZ,25,FALSE)</f>
        <v>剑</v>
      </c>
      <c r="AI227" s="21">
        <f>VLOOKUP($R227,武学奇术!$A:$ZZ,26,FALSE)</f>
        <v>0.17325</v>
      </c>
      <c r="AJ227" s="22">
        <f>VLOOKUP($R227,武学奇术!$A:$ZZ,27,FALSE)*(1+IF(OR($AH227=$F$4,$AH227=$F$5),$B$22,0))</f>
        <v>0</v>
      </c>
      <c r="AK227" s="21">
        <f>VLOOKUP($R227,武学奇术!$A:$ZZ,28,FALSE)</f>
        <v>0.259875</v>
      </c>
      <c r="AL227" s="22">
        <f>VLOOKUP($R227,武学奇术!$A:$ZZ,29,FALSE)*(1+IF(OR($AH227=$F$4,$AH227=$F$5),$B$22,0))</f>
        <v>0</v>
      </c>
      <c r="AM227" s="21" cm="1">
        <f t="array" ref="AM227">$G$3+IFERROR(VLOOKUP($AH227,$F$4:$G$7,2,FALSE),0)+VLOOKUP($R227,武学奇术!$A:$ZZ,2,FALSE)+SUM(_xlfn.XLOOKUP($S227:$AG227,增益!$A:$A,增益!$B:$B,0))</f>
        <v>1.5291</v>
      </c>
      <c r="AN227" s="21" cm="1">
        <f t="array" ref="AN227">VLOOKUP($R227,武学奇术!$A:$ZZ,5,FALSE)+SUM(_xlfn.XLOOKUP($S227:$AG227,增益!$A:$A,增益!$E:$E,0))</f>
        <v>0</v>
      </c>
      <c r="AO227" cm="1">
        <f t="array" ref="AO227">$D$10*(1+$AN227)+VLOOKUP($R227,武学奇术!$A:$ZZ,3,FALSE)+SUM(_xlfn.XLOOKUP($S227:$AG227,增益!$A:$A,增益!$C:$C,0))-$I$2</f>
        <v>1825.28</v>
      </c>
      <c r="AP227" cm="1">
        <f t="array" ref="AP227">$E$10*(1+$AN227)+VLOOKUP($R227,武学奇术!$A:$ZZ,4,FALSE)+SUM(_xlfn.XLOOKUP($S227:$AG227,增益!$A:$A,增益!$D:$D,0))-$I$2</f>
        <v>7757.36</v>
      </c>
      <c r="AQ227" s="26" cm="1">
        <f t="array" ref="AQ227">IF($F$10-$I$3+VLOOKUP($R227,武学奇术!$A:$ZZ,6,FALSE)+SUM(_xlfn.XLOOKUP(S227:AG227,增益!$A:$A,增益!$F:$F,0))&gt;0,($F$10-$I$3+VLOOKUP($R227,武学奇术!$A:$ZZ,6,FALSE)+SUM(_xlfn.XLOOKUP(S227:AG227,增益!$A:$A,增益!$F:$F,0)))/200,($F$10-$I$3+VLOOKUP($R227,武学奇术!$A:$ZZ,6,FALSE)+SUM(_xlfn.XLOOKUP(S227:AG227,增益!$A:$A,增益!$F:$F,0)))/100)</f>
        <v>0.319</v>
      </c>
      <c r="AR227" s="26" cm="1">
        <f t="array" ref="AR227">$G$10+VLOOKUP($R227,武学奇术!$A:$ZZ,7,FALSE)+SUM(_xlfn.XLOOKUP(S227:AG227,增益!$A:$A,增益!$G:$G,0))</f>
        <v>0</v>
      </c>
      <c r="AS227" s="21" cm="1">
        <f t="array" ref="AS227">VLOOKUP($R227,武学奇术!$A:$ZZ,8,FALSE)+SUM(_xlfn.XLOOKUP(S227:AG227,增益!$A:$A,增益!$H:$H,0))</f>
        <v>0</v>
      </c>
      <c r="AT227">
        <f t="shared" si="34"/>
        <v>680.02</v>
      </c>
      <c r="AU227">
        <f t="shared" si="35"/>
        <v>1288.54</v>
      </c>
      <c r="AV227" s="26" cm="1">
        <f t="array" ref="AV227">IF($F$11-$I$4+VLOOKUP($R227,武学奇术!$A:$ZZ,9,FALSE)+SUM(_xlfn.XLOOKUP(S227:AG227,增益!$A:$A,增益!$I:$I,0))&gt;0,($F$11-$I$4+VLOOKUP($R227,武学奇术!$A:$ZZ,9,FALSE)+SUM(_xlfn.XLOOKUP(S227:AG227,增益!$A:$A,增益!$I:$I,0)))/200,($F$11-$I$4+VLOOKUP($R227,武学奇术!$A:$ZZ,9,FALSE)+SUM(_xlfn.XLOOKUP(S227:AG227,增益!$A:$A,增益!$I:$I,0)))/100)</f>
        <v>0.075</v>
      </c>
      <c r="AW227" s="26" cm="1">
        <f t="array" ref="AW227">$G$11+VLOOKUP($R227,武学奇术!$A:$ZZ,10,FALSE)+SUM(_xlfn.XLOOKUP(S227:AG227,增益!$A:$A,增益!$J:$J,0))</f>
        <v>0.15</v>
      </c>
      <c r="AX227">
        <f t="shared" si="36"/>
        <v>0</v>
      </c>
      <c r="AY227">
        <f t="shared" si="37"/>
        <v>0</v>
      </c>
      <c r="AZ227" s="26" cm="1">
        <f t="array" ref="AZ227">IF($F$12-$I$4+VLOOKUP($R227,武学奇术!$A:$ZZ,11,FALSE)+SUM(_xlfn.XLOOKUP(S227:AG227,增益!$A:$A,增益!$K:$K,0))&gt;0,($F$12-$I$4+VLOOKUP($R227,武学奇术!$A:$ZZ,11,FALSE)+SUM(_xlfn.XLOOKUP(S227:AG227,增益!$A:$A,增益!$K:$K,0)))/200,($F$12-$I$4+VLOOKUP($R227,武学奇术!$A:$ZZ,11,FALSE)+SUM(_xlfn.XLOOKUP(S227:AG227,增益!$A:$A,增益!$K:$K,0)))/100)</f>
        <v>-0.3</v>
      </c>
      <c r="BA227" s="26" cm="1">
        <f t="array" ref="BA227">$G$12+VLOOKUP($R227,武学奇术!$A:$ZZ,12,FALSE)+SUM(_xlfn.XLOOKUP(S227:AG227,增益!$A:$A,增益!$L:$L,0))</f>
        <v>0</v>
      </c>
      <c r="BB227">
        <f t="shared" si="38"/>
        <v>0</v>
      </c>
      <c r="BC227">
        <f t="shared" si="39"/>
        <v>0</v>
      </c>
      <c r="BD227" s="26" cm="1">
        <f t="array" ref="BD227">IF($F$13-$I$4+VLOOKUP($R227,武学奇术!$A:$ZZ,13,FALSE)+SUM(_xlfn.XLOOKUP(S227:AG227,增益!$A:$A,增益!$M:$M,0))&gt;0,($F$13-$I$4+VLOOKUP($R227,武学奇术!$A:$ZZ,13,FALSE)+SUM(_xlfn.XLOOKUP(S227:AG227,增益!$A:$A,增益!$K:$K,0)))/200,($F$13-$I$4+VLOOKUP($R227,武学奇术!$A:$ZZ,13,FALSE)+SUM(_xlfn.XLOOKUP(S227:AG227,增益!$A:$A,增益!$M:$M,0)))/100)</f>
        <v>-0.3</v>
      </c>
      <c r="BE227" s="26" cm="1">
        <f t="array" ref="BE227">$G$13+VLOOKUP($R227,武学奇术!$A:$ZZ,14,FALSE)+SUM(_xlfn.XLOOKUP(S227:AG227,增益!$A:$A,增益!$N:$N,0))</f>
        <v>0</v>
      </c>
      <c r="BF227">
        <f t="shared" si="40"/>
        <v>0</v>
      </c>
      <c r="BG227">
        <f t="shared" si="41"/>
        <v>0</v>
      </c>
      <c r="BH227" s="26" cm="1">
        <f t="array" ref="BH227">IF($F$14-$I$4+VLOOKUP($R227,武学奇术!$A:$ZZ,15,FALSE)+SUM(_xlfn.XLOOKUP(S227:AG227,增益!$A:$A,增益!$O:$O,0))&gt;0,($F$14-$I$4+VLOOKUP($R227,武学奇术!$A:$ZZ,15,FALSE)+SUM(_xlfn.XLOOKUP(S227:AG227,增益!$A:$A,增益!$O:$O,0)))/200,($F$14-$I$4+VLOOKUP($R227,武学奇术!$A:$ZZ,15,FALSE)+SUM(_xlfn.XLOOKUP(S227:AG227,增益!$A:$A,增益!$O:$O,0)))/100)</f>
        <v>-0.3</v>
      </c>
      <c r="BI227" s="26" cm="1">
        <f t="array" ref="BI227">$G$14+VLOOKUP($R227,武学奇术!$A:$ZZ,16,FALSE)+SUM(_xlfn.XLOOKUP(S227:AG227,增益!$A:$A,增益!$P:$P,0))</f>
        <v>0</v>
      </c>
      <c r="BJ227" s="21">
        <f>MIN(IF(VLOOKUP($R227,武学奇术!$A:$ZZ,23,FALSE)=1,100%,$B$8),100%)</f>
        <v>0.8229</v>
      </c>
      <c r="BK227" s="21" cm="1">
        <f t="array" ref="BK227">IF(VLOOKUP($R227,武学奇术!$A:$ZZ,23,FALSE)=1,100%,MIN(80%,$B$9+VLOOKUP($R227,武学奇术!$A:$ZZ,17,FALSE)+SUM(_xlfn.XLOOKUP(S227:AG227,增益!$A:$A,增益!$Q:$Q,0)))+$B$11+SUM(_xlfn.XLOOKUP(S227:AG227,增益!$A:$A,增益!$U:$U,0)))*IF(VLOOKUP($R227,武学奇术!$A:$ZZ,24,FALSE)=1,0,1)</f>
        <v>0.2285</v>
      </c>
      <c r="BL227" s="21" cm="1">
        <f t="array" ref="BL227">1+$B$13+VLOOKUP($R227,武学奇术!$A:$ZZ,18,FALSE)+SUM(_xlfn.XLOOKUP(S227:AG227,增益!$A:$A,增益!$R:$R,0))</f>
        <v>1.5</v>
      </c>
      <c r="BM227" s="21" cm="1">
        <f t="array" ref="BM227">IF(VLOOKUP($R227,武学奇术!$A:$ZZ,24,FALSE)=1,100%,MIN(40%,$B$10+VLOOKUP($R227,武学奇术!$A:$ZZ,19,FALSE)+SUM(_xlfn.XLOOKUP(S227:AG227,增益!$A:$A,增益!$S:$S,0)))+$B$12+SUM(_xlfn.XLOOKUP(S227:AG227,增益!$A:$A,增益!$V:$V,0)))*IF(VLOOKUP($R227,武学奇术!$A:$ZZ,23,FALSE)=1,0,1)</f>
        <v>0.4495</v>
      </c>
      <c r="BN227" s="21" cm="1">
        <f t="array" ref="BN227">1+$B$14+VLOOKUP($R227,武学奇术!$A:$ZZ,20,FALSE)+SUM(_xlfn.XLOOKUP(S227:AG227,增益!$A:$A,增益!$T:$T,0))</f>
        <v>1.782</v>
      </c>
      <c r="BO227" s="21">
        <f t="shared" si="42"/>
        <v>0.18803265</v>
      </c>
      <c r="BP227" s="21">
        <f t="shared" si="43"/>
        <v>0.2649738</v>
      </c>
      <c r="BQ227" s="21">
        <f>IF(VLOOKUP($R227,武学奇术!$A:$ZZ,22,FALSE)=1,0,(1-$BJ227))*(1-$BM227)</f>
        <v>0.09749355</v>
      </c>
      <c r="BR227" s="21" cm="1">
        <f t="array" ref="BR227">SUM(_xlfn.XLOOKUP(S227:AG227,增益!$A:$A,增益!$W:$W,0))+$I$5</f>
        <v>0.16</v>
      </c>
    </row>
    <row r="228" spans="11:70">
      <c r="K228" s="24">
        <f>$L228*VLOOKUP($R228,武学奇术!$A:$ZZ,31,FALSE)</f>
        <v>12014.5771379543</v>
      </c>
      <c r="L228" s="24">
        <f t="shared" si="33"/>
        <v>20024.2952299238</v>
      </c>
      <c r="M228" s="24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BL228*$Q228*(1+IF(VLOOKUP($R228,武学奇术!$A:$ZZ,30,FALSE)="流血",$B$21,0))*(1+$BR228)</f>
        <v>16393.8966131463</v>
      </c>
      <c r="N228" s="24">
        <f>(($AP228*$AI228+$AJ228)*(1+$AQ228)*(1+$AR228)+($AU228*IF($G$1="鸣金",$AK228,$AI228)+IF($G$1="鸣金",$AL228*1.5,0))*(1+$AV228)*(1+$AW228)+($AY228*IF($G$1="裂石",$AK228,$AI228)+IF($G$1="裂石",$AL228*1.5,0))*(1+$AZ228)*(1+$BA228)+($BC228*IF($G$1="牵丝",$AK228,$AI228)+IF($G$1="牵丝",$AL228*1.5,0))*(1+$BD228)*(1+$BE228)+($BG228*IF($G$1="破竹",$AK228,$AI228)+IF($G$1="破竹",$AL228*1.5,0))*(1+$BH228)*(1+$BI228))*(1+$AM228)*$BN228*$Q228*(1+IF(VLOOKUP($R228,武学奇术!$A:$ZZ,30,FALSE)="流血",$B$21,0))*(1+$BR228)</f>
        <v>30179.7884976429</v>
      </c>
      <c r="O228" s="24">
        <f>((($AO228+$AP228)/2*$AI228+$AJ228)*(1+$AQ228)*(1+$AR228)+(($AT228+$AU228)/2*IF($G$1="鸣金",$AK228,$AI228)+IF($G$1="鸣金",$AL228*1.5,0))*(1+$AV228)*(1+$AW228)+(($AX228+$AY228)/2*IF($G$1="裂石",$AK228,$AI228)+IF($G$1="裂石",$AL228*1.5,0))*(1+$AZ228)*(1+$BA228)+(($BB228+$BC228)/2*IF($G$1="牵丝",$AK228,$AI228)+IF($G$1="牵丝",$AL228*1.5,0))*(1+$BD228)*(1+$BE228)+(($BF228+$BG228)/2*IF($G$1="破竹",$AK228,$AI228)+IF($G$1="破竹",$AL228*1.5,0))*(1+$BH228)*(1+$BI228))*(1+$AM228)*$Q228*(1+IF(VLOOKUP($R228,武学奇术!$A:$ZZ,30,FALSE)="流血",$B$21,0))*(1+$BR228)</f>
        <v>10929.2644087642</v>
      </c>
      <c r="P228" s="24">
        <f>((($AO228*$AI228+$AJ228)*(1+$AQ228)*(1+$AR228)+($AT228*IF($G$1="鸣金",$AK228,$AI228)+IF($G$1="鸣金",$AL228*1.5,0))*(1+$AV228)*(1+$AW228)+($AX228*IF($G$1="裂石",$AK228,$AI228)+IF($G$1="裂石",$AL228*1.5,0))*(1+$AZ228)*(1+$BA228)+($BB228*IF($G$1="牵丝",$AK228,$AI228)+IF($G$1="牵丝",$AL228*1.5,0))*(1+$BD228)*(1+$BE228)+($BF228*IF($G$1="破竹",$AK228,$AI228)+IF($G$1="破竹",$AL228*1.5,0))*(1+$BH228)*(1+$BI228))*(1+$AM228))*$Q228*(1+IF(VLOOKUP($R228,武学奇术!$A:$ZZ,30,FALSE)="流血",$B$21,0))*(1+$BR228)</f>
        <v>4922.6205696929</v>
      </c>
      <c r="Q228" s="31">
        <v>1</v>
      </c>
      <c r="R228" s="32" t="s">
        <v>199</v>
      </c>
      <c r="S228" s="32" t="s">
        <v>87</v>
      </c>
      <c r="T228" s="32" t="s">
        <v>96</v>
      </c>
      <c r="U228" s="32" t="s">
        <v>97</v>
      </c>
      <c r="V228" s="32" t="s">
        <v>73</v>
      </c>
      <c r="W228" s="32" t="s">
        <v>111</v>
      </c>
      <c r="X228" s="32" t="s">
        <v>127</v>
      </c>
      <c r="Y228" s="32" t="s">
        <v>179</v>
      </c>
      <c r="Z228" s="32" t="s">
        <v>182</v>
      </c>
      <c r="AA228" s="32" t="s">
        <v>81</v>
      </c>
      <c r="AB228" s="32" t="s">
        <v>75</v>
      </c>
      <c r="AC228" s="32" t="s">
        <v>76</v>
      </c>
      <c r="AD228" s="32" t="s">
        <v>82</v>
      </c>
      <c r="AE228" s="32" t="s">
        <v>183</v>
      </c>
      <c r="AF228" s="32" t="s">
        <v>73</v>
      </c>
      <c r="AG228" s="32" t="s">
        <v>178</v>
      </c>
      <c r="AH228" t="str">
        <f>VLOOKUP($R228,武学奇术!$A:$ZZ,25,FALSE)</f>
        <v>剑</v>
      </c>
      <c r="AI228" s="21">
        <f>VLOOKUP($R228,武学奇术!$A:$ZZ,26,FALSE)</f>
        <v>0.3465</v>
      </c>
      <c r="AJ228" s="22">
        <f>VLOOKUP($R228,武学奇术!$A:$ZZ,27,FALSE)*(1+IF(OR($AH228=$F$4,$AH228=$F$5),$B$22,0))</f>
        <v>0</v>
      </c>
      <c r="AK228" s="21">
        <f>VLOOKUP($R228,武学奇术!$A:$ZZ,28,FALSE)</f>
        <v>0.51975</v>
      </c>
      <c r="AL228" s="22">
        <f>VLOOKUP($R228,武学奇术!$A:$ZZ,29,FALSE)*(1+IF(OR($AH228=$F$4,$AH228=$F$5),$B$22,0))</f>
        <v>0</v>
      </c>
      <c r="AM228" s="21" cm="1">
        <f t="array" ref="AM228">$G$3+IFERROR(VLOOKUP($AH228,$F$4:$G$7,2,FALSE),0)+VLOOKUP($R228,武学奇术!$A:$ZZ,2,FALSE)+SUM(_xlfn.XLOOKUP($S228:$AG228,增益!$A:$A,增益!$B:$B,0))</f>
        <v>1.5291</v>
      </c>
      <c r="AN228" s="21" cm="1">
        <f t="array" ref="AN228">VLOOKUP($R228,武学奇术!$A:$ZZ,5,FALSE)+SUM(_xlfn.XLOOKUP($S228:$AG228,增益!$A:$A,增益!$E:$E,0))</f>
        <v>0</v>
      </c>
      <c r="AO228" cm="1">
        <f t="array" ref="AO228">$D$10*(1+$AN228)+VLOOKUP($R228,武学奇术!$A:$ZZ,3,FALSE)+SUM(_xlfn.XLOOKUP($S228:$AG228,增益!$A:$A,增益!$C:$C,0))-$I$2</f>
        <v>1825.28</v>
      </c>
      <c r="AP228" cm="1">
        <f t="array" ref="AP228">$E$10*(1+$AN228)+VLOOKUP($R228,武学奇术!$A:$ZZ,4,FALSE)+SUM(_xlfn.XLOOKUP($S228:$AG228,增益!$A:$A,增益!$D:$D,0))-$I$2</f>
        <v>7757.36</v>
      </c>
      <c r="AQ228" s="26" cm="1">
        <f t="array" ref="AQ228">IF($F$10-$I$3+VLOOKUP($R228,武学奇术!$A:$ZZ,6,FALSE)+SUM(_xlfn.XLOOKUP(S228:AG228,增益!$A:$A,增益!$F:$F,0))&gt;0,($F$10-$I$3+VLOOKUP($R228,武学奇术!$A:$ZZ,6,FALSE)+SUM(_xlfn.XLOOKUP(S228:AG228,增益!$A:$A,增益!$F:$F,0)))/200,($F$10-$I$3+VLOOKUP($R228,武学奇术!$A:$ZZ,6,FALSE)+SUM(_xlfn.XLOOKUP(S228:AG228,增益!$A:$A,增益!$F:$F,0)))/100)</f>
        <v>0.319</v>
      </c>
      <c r="AR228" s="26" cm="1">
        <f t="array" ref="AR228">$G$10+VLOOKUP($R228,武学奇术!$A:$ZZ,7,FALSE)+SUM(_xlfn.XLOOKUP(S228:AG228,增益!$A:$A,增益!$G:$G,0))</f>
        <v>0</v>
      </c>
      <c r="AS228" s="21" cm="1">
        <f t="array" ref="AS228">VLOOKUP($R228,武学奇术!$A:$ZZ,8,FALSE)+SUM(_xlfn.XLOOKUP(S228:AG228,增益!$A:$A,增益!$H:$H,0))</f>
        <v>0</v>
      </c>
      <c r="AT228">
        <f t="shared" si="34"/>
        <v>680.02</v>
      </c>
      <c r="AU228">
        <f t="shared" si="35"/>
        <v>1288.54</v>
      </c>
      <c r="AV228" s="26" cm="1">
        <f t="array" ref="AV228">IF($F$11-$I$4+VLOOKUP($R228,武学奇术!$A:$ZZ,9,FALSE)+SUM(_xlfn.XLOOKUP(S228:AG228,增益!$A:$A,增益!$I:$I,0))&gt;0,($F$11-$I$4+VLOOKUP($R228,武学奇术!$A:$ZZ,9,FALSE)+SUM(_xlfn.XLOOKUP(S228:AG228,增益!$A:$A,增益!$I:$I,0)))/200,($F$11-$I$4+VLOOKUP($R228,武学奇术!$A:$ZZ,9,FALSE)+SUM(_xlfn.XLOOKUP(S228:AG228,增益!$A:$A,增益!$I:$I,0)))/100)</f>
        <v>0.075</v>
      </c>
      <c r="AW228" s="26" cm="1">
        <f t="array" ref="AW228">$G$11+VLOOKUP($R228,武学奇术!$A:$ZZ,10,FALSE)+SUM(_xlfn.XLOOKUP(S228:AG228,增益!$A:$A,增益!$J:$J,0))</f>
        <v>0.15</v>
      </c>
      <c r="AX228">
        <f t="shared" si="36"/>
        <v>0</v>
      </c>
      <c r="AY228">
        <f t="shared" si="37"/>
        <v>0</v>
      </c>
      <c r="AZ228" s="26" cm="1">
        <f t="array" ref="AZ228">IF($F$12-$I$4+VLOOKUP($R228,武学奇术!$A:$ZZ,11,FALSE)+SUM(_xlfn.XLOOKUP(S228:AG228,增益!$A:$A,增益!$K:$K,0))&gt;0,($F$12-$I$4+VLOOKUP($R228,武学奇术!$A:$ZZ,11,FALSE)+SUM(_xlfn.XLOOKUP(S228:AG228,增益!$A:$A,增益!$K:$K,0)))/200,($F$12-$I$4+VLOOKUP($R228,武学奇术!$A:$ZZ,11,FALSE)+SUM(_xlfn.XLOOKUP(S228:AG228,增益!$A:$A,增益!$K:$K,0)))/100)</f>
        <v>-0.3</v>
      </c>
      <c r="BA228" s="26" cm="1">
        <f t="array" ref="BA228">$G$12+VLOOKUP($R228,武学奇术!$A:$ZZ,12,FALSE)+SUM(_xlfn.XLOOKUP(S228:AG228,增益!$A:$A,增益!$L:$L,0))</f>
        <v>0</v>
      </c>
      <c r="BB228">
        <f t="shared" si="38"/>
        <v>0</v>
      </c>
      <c r="BC228">
        <f t="shared" si="39"/>
        <v>0</v>
      </c>
      <c r="BD228" s="26" cm="1">
        <f t="array" ref="BD228">IF($F$13-$I$4+VLOOKUP($R228,武学奇术!$A:$ZZ,13,FALSE)+SUM(_xlfn.XLOOKUP(S228:AG228,增益!$A:$A,增益!$M:$M,0))&gt;0,($F$13-$I$4+VLOOKUP($R228,武学奇术!$A:$ZZ,13,FALSE)+SUM(_xlfn.XLOOKUP(S228:AG228,增益!$A:$A,增益!$K:$K,0)))/200,($F$13-$I$4+VLOOKUP($R228,武学奇术!$A:$ZZ,13,FALSE)+SUM(_xlfn.XLOOKUP(S228:AG228,增益!$A:$A,增益!$M:$M,0)))/100)</f>
        <v>-0.3</v>
      </c>
      <c r="BE228" s="26" cm="1">
        <f t="array" ref="BE228">$G$13+VLOOKUP($R228,武学奇术!$A:$ZZ,14,FALSE)+SUM(_xlfn.XLOOKUP(S228:AG228,增益!$A:$A,增益!$N:$N,0))</f>
        <v>0</v>
      </c>
      <c r="BF228">
        <f t="shared" si="40"/>
        <v>0</v>
      </c>
      <c r="BG228">
        <f t="shared" si="41"/>
        <v>0</v>
      </c>
      <c r="BH228" s="26" cm="1">
        <f t="array" ref="BH228">IF($F$14-$I$4+VLOOKUP($R228,武学奇术!$A:$ZZ,15,FALSE)+SUM(_xlfn.XLOOKUP(S228:AG228,增益!$A:$A,增益!$O:$O,0))&gt;0,($F$14-$I$4+VLOOKUP($R228,武学奇术!$A:$ZZ,15,FALSE)+SUM(_xlfn.XLOOKUP(S228:AG228,增益!$A:$A,增益!$O:$O,0)))/200,($F$14-$I$4+VLOOKUP($R228,武学奇术!$A:$ZZ,15,FALSE)+SUM(_xlfn.XLOOKUP(S228:AG228,增益!$A:$A,增益!$O:$O,0)))/100)</f>
        <v>-0.3</v>
      </c>
      <c r="BI228" s="26" cm="1">
        <f t="array" ref="BI228">$G$14+VLOOKUP($R228,武学奇术!$A:$ZZ,16,FALSE)+SUM(_xlfn.XLOOKUP(S228:AG228,增益!$A:$A,增益!$P:$P,0))</f>
        <v>0</v>
      </c>
      <c r="BJ228" s="21">
        <f>MIN(IF(VLOOKUP($R228,武学奇术!$A:$ZZ,23,FALSE)=1,100%,$B$8),100%)</f>
        <v>0.8229</v>
      </c>
      <c r="BK228" s="21" cm="1">
        <f t="array" ref="BK228">IF(VLOOKUP($R228,武学奇术!$A:$ZZ,23,FALSE)=1,100%,MIN(80%,$B$9+VLOOKUP($R228,武学奇术!$A:$ZZ,17,FALSE)+SUM(_xlfn.XLOOKUP(S228:AG228,增益!$A:$A,增益!$Q:$Q,0)))+$B$11+SUM(_xlfn.XLOOKUP(S228:AG228,增益!$A:$A,增益!$U:$U,0)))*IF(VLOOKUP($R228,武学奇术!$A:$ZZ,24,FALSE)=1,0,1)</f>
        <v>0.2285</v>
      </c>
      <c r="BL228" s="21" cm="1">
        <f t="array" ref="BL228">1+$B$13+VLOOKUP($R228,武学奇术!$A:$ZZ,18,FALSE)+SUM(_xlfn.XLOOKUP(S228:AG228,增益!$A:$A,增益!$R:$R,0))</f>
        <v>1.5</v>
      </c>
      <c r="BM228" s="21" cm="1">
        <f t="array" ref="BM228">IF(VLOOKUP($R228,武学奇术!$A:$ZZ,24,FALSE)=1,100%,MIN(40%,$B$10+VLOOKUP($R228,武学奇术!$A:$ZZ,19,FALSE)+SUM(_xlfn.XLOOKUP(S228:AG228,增益!$A:$A,增益!$S:$S,0)))+$B$12+SUM(_xlfn.XLOOKUP(S228:AG228,增益!$A:$A,增益!$V:$V,0)))*IF(VLOOKUP($R228,武学奇术!$A:$ZZ,23,FALSE)=1,0,1)</f>
        <v>0.4495</v>
      </c>
      <c r="BN228" s="21" cm="1">
        <f t="array" ref="BN228">1+$B$14+VLOOKUP($R228,武学奇术!$A:$ZZ,20,FALSE)+SUM(_xlfn.XLOOKUP(S228:AG228,增益!$A:$A,增益!$T:$T,0))</f>
        <v>1.782</v>
      </c>
      <c r="BO228" s="21">
        <f t="shared" si="42"/>
        <v>0.18803265</v>
      </c>
      <c r="BP228" s="21">
        <f t="shared" si="43"/>
        <v>0.2649738</v>
      </c>
      <c r="BQ228" s="21">
        <f>IF(VLOOKUP($R228,武学奇术!$A:$ZZ,22,FALSE)=1,0,(1-$BJ228))*(1-$BM228)</f>
        <v>0.09749355</v>
      </c>
      <c r="BR228" s="21" cm="1">
        <f t="array" ref="BR228">SUM(_xlfn.XLOOKUP(S228:AG228,增益!$A:$A,增益!$W:$W,0))+$I$5</f>
        <v>0.16</v>
      </c>
    </row>
    <row r="229" spans="11:70">
      <c r="K229" s="24">
        <f>$L229*VLOOKUP($R229,武学奇术!$A:$ZZ,31,FALSE)</f>
        <v>9611.66171036344</v>
      </c>
      <c r="L229" s="24">
        <f t="shared" si="33"/>
        <v>16019.4361839391</v>
      </c>
      <c r="M229" s="24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BL229*$Q229*(1+IF(VLOOKUP($R229,武学奇术!$A:$ZZ,30,FALSE)="流血",$B$21,0))*(1+$BR229)</f>
        <v>13115.1172905171</v>
      </c>
      <c r="N229" s="24">
        <f>(($AP229*$AI229+$AJ229)*(1+$AQ229)*(1+$AR229)+($AU229*IF($G$1="鸣金",$AK229,$AI229)+IF($G$1="鸣金",$AL229*1.5,0))*(1+$AV229)*(1+$AW229)+($AY229*IF($G$1="裂石",$AK229,$AI229)+IF($G$1="裂石",$AL229*1.5,0))*(1+$AZ229)*(1+$BA229)+($BC229*IF($G$1="牵丝",$AK229,$AI229)+IF($G$1="牵丝",$AL229*1.5,0))*(1+$BD229)*(1+$BE229)+($BG229*IF($G$1="破竹",$AK229,$AI229)+IF($G$1="破竹",$AL229*1.5,0))*(1+$BH229)*(1+$BI229))*(1+$AM229)*$BN229*$Q229*(1+IF(VLOOKUP($R229,武学奇术!$A:$ZZ,30,FALSE)="流血",$B$21,0))*(1+$BR229)</f>
        <v>24143.8307981144</v>
      </c>
      <c r="O229" s="24">
        <f>((($AO229+$AP229)/2*$AI229+$AJ229)*(1+$AQ229)*(1+$AR229)+(($AT229+$AU229)/2*IF($G$1="鸣金",$AK229,$AI229)+IF($G$1="鸣金",$AL229*1.5,0))*(1+$AV229)*(1+$AW229)+(($AX229+$AY229)/2*IF($G$1="裂石",$AK229,$AI229)+IF($G$1="裂石",$AL229*1.5,0))*(1+$AZ229)*(1+$BA229)+(($BB229+$BC229)/2*IF($G$1="牵丝",$AK229,$AI229)+IF($G$1="牵丝",$AL229*1.5,0))*(1+$BD229)*(1+$BE229)+(($BF229+$BG229)/2*IF($G$1="破竹",$AK229,$AI229)+IF($G$1="破竹",$AL229*1.5,0))*(1+$BH229)*(1+$BI229))*(1+$AM229)*$Q229*(1+IF(VLOOKUP($R229,武学奇术!$A:$ZZ,30,FALSE)="流血",$B$21,0))*(1+$BR229)</f>
        <v>8743.41152701138</v>
      </c>
      <c r="P229" s="24">
        <f>((($AO229*$AI229+$AJ229)*(1+$AQ229)*(1+$AR229)+($AT229*IF($G$1="鸣金",$AK229,$AI229)+IF($G$1="鸣金",$AL229*1.5,0))*(1+$AV229)*(1+$AW229)+($AX229*IF($G$1="裂石",$AK229,$AI229)+IF($G$1="裂石",$AL229*1.5,0))*(1+$AZ229)*(1+$BA229)+($BB229*IF($G$1="牵丝",$AK229,$AI229)+IF($G$1="牵丝",$AL229*1.5,0))*(1+$BD229)*(1+$BE229)+($BF229*IF($G$1="破竹",$AK229,$AI229)+IF($G$1="破竹",$AL229*1.5,0))*(1+$BH229)*(1+$BI229))*(1+$AM229))*$Q229*(1+IF(VLOOKUP($R229,武学奇术!$A:$ZZ,30,FALSE)="流血",$B$21,0))*(1+$BR229)</f>
        <v>3938.09645575432</v>
      </c>
      <c r="Q229" s="31">
        <v>1</v>
      </c>
      <c r="R229" s="32" t="s">
        <v>197</v>
      </c>
      <c r="S229" s="32" t="s">
        <v>87</v>
      </c>
      <c r="T229" s="32" t="s">
        <v>96</v>
      </c>
      <c r="U229" s="32" t="s">
        <v>97</v>
      </c>
      <c r="V229" s="32" t="s">
        <v>73</v>
      </c>
      <c r="W229" s="32" t="s">
        <v>111</v>
      </c>
      <c r="X229" s="32" t="s">
        <v>127</v>
      </c>
      <c r="Y229" s="32" t="s">
        <v>179</v>
      </c>
      <c r="Z229" s="32" t="s">
        <v>182</v>
      </c>
      <c r="AA229" s="32" t="s">
        <v>73</v>
      </c>
      <c r="AB229" s="32" t="s">
        <v>75</v>
      </c>
      <c r="AC229" s="32" t="s">
        <v>76</v>
      </c>
      <c r="AD229" s="32" t="s">
        <v>82</v>
      </c>
      <c r="AE229" s="32" t="s">
        <v>183</v>
      </c>
      <c r="AF229" s="32" t="s">
        <v>73</v>
      </c>
      <c r="AG229" s="32" t="s">
        <v>178</v>
      </c>
      <c r="AH229" t="str">
        <f>VLOOKUP($R229,武学奇术!$A:$ZZ,25,FALSE)</f>
        <v>剑</v>
      </c>
      <c r="AI229" s="21">
        <f>VLOOKUP($R229,武学奇术!$A:$ZZ,26,FALSE)</f>
        <v>0.2772</v>
      </c>
      <c r="AJ229" s="22">
        <f>VLOOKUP($R229,武学奇术!$A:$ZZ,27,FALSE)*(1+IF(OR($AH229=$F$4,$AH229=$F$5),$B$22,0))</f>
        <v>0</v>
      </c>
      <c r="AK229" s="21">
        <f>VLOOKUP($R229,武学奇术!$A:$ZZ,28,FALSE)</f>
        <v>0.4158</v>
      </c>
      <c r="AL229" s="22">
        <f>VLOOKUP($R229,武学奇术!$A:$ZZ,29,FALSE)*(1+IF(OR($AH229=$F$4,$AH229=$F$5),$B$22,0))</f>
        <v>0</v>
      </c>
      <c r="AM229" s="21" cm="1">
        <f t="array" ref="AM229">$G$3+IFERROR(VLOOKUP($AH229,$F$4:$G$7,2,FALSE),0)+VLOOKUP($R229,武学奇术!$A:$ZZ,2,FALSE)+SUM(_xlfn.XLOOKUP($S229:$AG229,增益!$A:$A,增益!$B:$B,0))</f>
        <v>1.5291</v>
      </c>
      <c r="AN229" s="21" cm="1">
        <f t="array" ref="AN229">VLOOKUP($R229,武学奇术!$A:$ZZ,5,FALSE)+SUM(_xlfn.XLOOKUP($S229:$AG229,增益!$A:$A,增益!$E:$E,0))</f>
        <v>0</v>
      </c>
      <c r="AO229" cm="1">
        <f t="array" ref="AO229">$D$10*(1+$AN229)+VLOOKUP($R229,武学奇术!$A:$ZZ,3,FALSE)+SUM(_xlfn.XLOOKUP($S229:$AG229,增益!$A:$A,增益!$C:$C,0))-$I$2</f>
        <v>1825.28</v>
      </c>
      <c r="AP229" cm="1">
        <f t="array" ref="AP229">$E$10*(1+$AN229)+VLOOKUP($R229,武学奇术!$A:$ZZ,4,FALSE)+SUM(_xlfn.XLOOKUP($S229:$AG229,增益!$A:$A,增益!$D:$D,0))-$I$2</f>
        <v>7757.36</v>
      </c>
      <c r="AQ229" s="26" cm="1">
        <f t="array" ref="AQ229">IF($F$10-$I$3+VLOOKUP($R229,武学奇术!$A:$ZZ,6,FALSE)+SUM(_xlfn.XLOOKUP(S229:AG229,增益!$A:$A,增益!$F:$F,0))&gt;0,($F$10-$I$3+VLOOKUP($R229,武学奇术!$A:$ZZ,6,FALSE)+SUM(_xlfn.XLOOKUP(S229:AG229,增益!$A:$A,增益!$F:$F,0)))/200,($F$10-$I$3+VLOOKUP($R229,武学奇术!$A:$ZZ,6,FALSE)+SUM(_xlfn.XLOOKUP(S229:AG229,增益!$A:$A,增益!$F:$F,0)))/100)</f>
        <v>0.319</v>
      </c>
      <c r="AR229" s="26" cm="1">
        <f t="array" ref="AR229">$G$10+VLOOKUP($R229,武学奇术!$A:$ZZ,7,FALSE)+SUM(_xlfn.XLOOKUP(S229:AG229,增益!$A:$A,增益!$G:$G,0))</f>
        <v>0</v>
      </c>
      <c r="AS229" s="21" cm="1">
        <f t="array" ref="AS229">VLOOKUP($R229,武学奇术!$A:$ZZ,8,FALSE)+SUM(_xlfn.XLOOKUP(S229:AG229,增益!$A:$A,增益!$H:$H,0))</f>
        <v>0</v>
      </c>
      <c r="AT229">
        <f t="shared" si="34"/>
        <v>680.02</v>
      </c>
      <c r="AU229">
        <f t="shared" si="35"/>
        <v>1288.54</v>
      </c>
      <c r="AV229" s="26" cm="1">
        <f t="array" ref="AV229">IF($F$11-$I$4+VLOOKUP($R229,武学奇术!$A:$ZZ,9,FALSE)+SUM(_xlfn.XLOOKUP(S229:AG229,增益!$A:$A,增益!$I:$I,0))&gt;0,($F$11-$I$4+VLOOKUP($R229,武学奇术!$A:$ZZ,9,FALSE)+SUM(_xlfn.XLOOKUP(S229:AG229,增益!$A:$A,增益!$I:$I,0)))/200,($F$11-$I$4+VLOOKUP($R229,武学奇术!$A:$ZZ,9,FALSE)+SUM(_xlfn.XLOOKUP(S229:AG229,增益!$A:$A,增益!$I:$I,0)))/100)</f>
        <v>0.075</v>
      </c>
      <c r="AW229" s="26" cm="1">
        <f t="array" ref="AW229">$G$11+VLOOKUP($R229,武学奇术!$A:$ZZ,10,FALSE)+SUM(_xlfn.XLOOKUP(S229:AG229,增益!$A:$A,增益!$J:$J,0))</f>
        <v>0.15</v>
      </c>
      <c r="AX229">
        <f t="shared" si="36"/>
        <v>0</v>
      </c>
      <c r="AY229">
        <f t="shared" si="37"/>
        <v>0</v>
      </c>
      <c r="AZ229" s="26" cm="1">
        <f t="array" ref="AZ229">IF($F$12-$I$4+VLOOKUP($R229,武学奇术!$A:$ZZ,11,FALSE)+SUM(_xlfn.XLOOKUP(S229:AG229,增益!$A:$A,增益!$K:$K,0))&gt;0,($F$12-$I$4+VLOOKUP($R229,武学奇术!$A:$ZZ,11,FALSE)+SUM(_xlfn.XLOOKUP(S229:AG229,增益!$A:$A,增益!$K:$K,0)))/200,($F$12-$I$4+VLOOKUP($R229,武学奇术!$A:$ZZ,11,FALSE)+SUM(_xlfn.XLOOKUP(S229:AG229,增益!$A:$A,增益!$K:$K,0)))/100)</f>
        <v>-0.3</v>
      </c>
      <c r="BA229" s="26" cm="1">
        <f t="array" ref="BA229">$G$12+VLOOKUP($R229,武学奇术!$A:$ZZ,12,FALSE)+SUM(_xlfn.XLOOKUP(S229:AG229,增益!$A:$A,增益!$L:$L,0))</f>
        <v>0</v>
      </c>
      <c r="BB229">
        <f t="shared" si="38"/>
        <v>0</v>
      </c>
      <c r="BC229">
        <f t="shared" si="39"/>
        <v>0</v>
      </c>
      <c r="BD229" s="26" cm="1">
        <f t="array" ref="BD229">IF($F$13-$I$4+VLOOKUP($R229,武学奇术!$A:$ZZ,13,FALSE)+SUM(_xlfn.XLOOKUP(S229:AG229,增益!$A:$A,增益!$M:$M,0))&gt;0,($F$13-$I$4+VLOOKUP($R229,武学奇术!$A:$ZZ,13,FALSE)+SUM(_xlfn.XLOOKUP(S229:AG229,增益!$A:$A,增益!$K:$K,0)))/200,($F$13-$I$4+VLOOKUP($R229,武学奇术!$A:$ZZ,13,FALSE)+SUM(_xlfn.XLOOKUP(S229:AG229,增益!$A:$A,增益!$M:$M,0)))/100)</f>
        <v>-0.3</v>
      </c>
      <c r="BE229" s="26" cm="1">
        <f t="array" ref="BE229">$G$13+VLOOKUP($R229,武学奇术!$A:$ZZ,14,FALSE)+SUM(_xlfn.XLOOKUP(S229:AG229,增益!$A:$A,增益!$N:$N,0))</f>
        <v>0</v>
      </c>
      <c r="BF229">
        <f t="shared" si="40"/>
        <v>0</v>
      </c>
      <c r="BG229">
        <f t="shared" si="41"/>
        <v>0</v>
      </c>
      <c r="BH229" s="26" cm="1">
        <f t="array" ref="BH229">IF($F$14-$I$4+VLOOKUP($R229,武学奇术!$A:$ZZ,15,FALSE)+SUM(_xlfn.XLOOKUP(S229:AG229,增益!$A:$A,增益!$O:$O,0))&gt;0,($F$14-$I$4+VLOOKUP($R229,武学奇术!$A:$ZZ,15,FALSE)+SUM(_xlfn.XLOOKUP(S229:AG229,增益!$A:$A,增益!$O:$O,0)))/200,($F$14-$I$4+VLOOKUP($R229,武学奇术!$A:$ZZ,15,FALSE)+SUM(_xlfn.XLOOKUP(S229:AG229,增益!$A:$A,增益!$O:$O,0)))/100)</f>
        <v>-0.3</v>
      </c>
      <c r="BI229" s="26" cm="1">
        <f t="array" ref="BI229">$G$14+VLOOKUP($R229,武学奇术!$A:$ZZ,16,FALSE)+SUM(_xlfn.XLOOKUP(S229:AG229,增益!$A:$A,增益!$P:$P,0))</f>
        <v>0</v>
      </c>
      <c r="BJ229" s="21">
        <f>MIN(IF(VLOOKUP($R229,武学奇术!$A:$ZZ,23,FALSE)=1,100%,$B$8),100%)</f>
        <v>0.8229</v>
      </c>
      <c r="BK229" s="21" cm="1">
        <f t="array" ref="BK229">IF(VLOOKUP($R229,武学奇术!$A:$ZZ,23,FALSE)=1,100%,MIN(80%,$B$9+VLOOKUP($R229,武学奇术!$A:$ZZ,17,FALSE)+SUM(_xlfn.XLOOKUP(S229:AG229,增益!$A:$A,增益!$Q:$Q,0)))+$B$11+SUM(_xlfn.XLOOKUP(S229:AG229,增益!$A:$A,增益!$U:$U,0)))*IF(VLOOKUP($R229,武学奇术!$A:$ZZ,24,FALSE)=1,0,1)</f>
        <v>0.2285</v>
      </c>
      <c r="BL229" s="21" cm="1">
        <f t="array" ref="BL229">1+$B$13+VLOOKUP($R229,武学奇术!$A:$ZZ,18,FALSE)+SUM(_xlfn.XLOOKUP(S229:AG229,增益!$A:$A,增益!$R:$R,0))</f>
        <v>1.5</v>
      </c>
      <c r="BM229" s="21" cm="1">
        <f t="array" ref="BM229">IF(VLOOKUP($R229,武学奇术!$A:$ZZ,24,FALSE)=1,100%,MIN(40%,$B$10+VLOOKUP($R229,武学奇术!$A:$ZZ,19,FALSE)+SUM(_xlfn.XLOOKUP(S229:AG229,增益!$A:$A,增益!$S:$S,0)))+$B$12+SUM(_xlfn.XLOOKUP(S229:AG229,增益!$A:$A,增益!$V:$V,0)))*IF(VLOOKUP($R229,武学奇术!$A:$ZZ,23,FALSE)=1,0,1)</f>
        <v>0.4495</v>
      </c>
      <c r="BN229" s="21" cm="1">
        <f t="array" ref="BN229">1+$B$14+VLOOKUP($R229,武学奇术!$A:$ZZ,20,FALSE)+SUM(_xlfn.XLOOKUP(S229:AG229,增益!$A:$A,增益!$T:$T,0))</f>
        <v>1.782</v>
      </c>
      <c r="BO229" s="21">
        <f t="shared" si="42"/>
        <v>0.18803265</v>
      </c>
      <c r="BP229" s="21">
        <f t="shared" si="43"/>
        <v>0.2649738</v>
      </c>
      <c r="BQ229" s="21">
        <f>IF(VLOOKUP($R229,武学奇术!$A:$ZZ,22,FALSE)=1,0,(1-$BJ229))*(1-$BM229)</f>
        <v>0.09749355</v>
      </c>
      <c r="BR229" s="21" cm="1">
        <f t="array" ref="BR229">SUM(_xlfn.XLOOKUP(S229:AG229,增益!$A:$A,增益!$W:$W,0))+$I$5</f>
        <v>0.16</v>
      </c>
    </row>
    <row r="230" spans="11:70">
      <c r="K230" s="24">
        <f>$L230*VLOOKUP($R230,武学奇术!$A:$ZZ,31,FALSE)</f>
        <v>6007.28856897715</v>
      </c>
      <c r="L230" s="24">
        <f t="shared" si="33"/>
        <v>10012.1476149619</v>
      </c>
      <c r="M230" s="24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BL230*$Q230*(1+IF(VLOOKUP($R230,武学奇术!$A:$ZZ,30,FALSE)="流血",$B$21,0))*(1+$BR230)</f>
        <v>8196.94830657317</v>
      </c>
      <c r="N230" s="24">
        <f>(($AP230*$AI230+$AJ230)*(1+$AQ230)*(1+$AR230)+($AU230*IF($G$1="鸣金",$AK230,$AI230)+IF($G$1="鸣金",$AL230*1.5,0))*(1+$AV230)*(1+$AW230)+($AY230*IF($G$1="裂石",$AK230,$AI230)+IF($G$1="裂石",$AL230*1.5,0))*(1+$AZ230)*(1+$BA230)+($BC230*IF($G$1="牵丝",$AK230,$AI230)+IF($G$1="牵丝",$AL230*1.5,0))*(1+$BD230)*(1+$BE230)+($BG230*IF($G$1="破竹",$AK230,$AI230)+IF($G$1="破竹",$AL230*1.5,0))*(1+$BH230)*(1+$BI230))*(1+$AM230)*$BN230*$Q230*(1+IF(VLOOKUP($R230,武学奇术!$A:$ZZ,30,FALSE)="流血",$B$21,0))*(1+$BR230)</f>
        <v>15089.8942488215</v>
      </c>
      <c r="O230" s="24">
        <f>((($AO230+$AP230)/2*$AI230+$AJ230)*(1+$AQ230)*(1+$AR230)+(($AT230+$AU230)/2*IF($G$1="鸣金",$AK230,$AI230)+IF($G$1="鸣金",$AL230*1.5,0))*(1+$AV230)*(1+$AW230)+(($AX230+$AY230)/2*IF($G$1="裂石",$AK230,$AI230)+IF($G$1="裂石",$AL230*1.5,0))*(1+$AZ230)*(1+$BA230)+(($BB230+$BC230)/2*IF($G$1="牵丝",$AK230,$AI230)+IF($G$1="牵丝",$AL230*1.5,0))*(1+$BD230)*(1+$BE230)+(($BF230+$BG230)/2*IF($G$1="破竹",$AK230,$AI230)+IF($G$1="破竹",$AL230*1.5,0))*(1+$BH230)*(1+$BI230))*(1+$AM230)*$Q230*(1+IF(VLOOKUP($R230,武学奇术!$A:$ZZ,30,FALSE)="流血",$B$21,0))*(1+$BR230)</f>
        <v>5464.63220438211</v>
      </c>
      <c r="P230" s="24">
        <f>((($AO230*$AI230+$AJ230)*(1+$AQ230)*(1+$AR230)+($AT230*IF($G$1="鸣金",$AK230,$AI230)+IF($G$1="鸣金",$AL230*1.5,0))*(1+$AV230)*(1+$AW230)+($AX230*IF($G$1="裂石",$AK230,$AI230)+IF($G$1="裂石",$AL230*1.5,0))*(1+$AZ230)*(1+$BA230)+($BB230*IF($G$1="牵丝",$AK230,$AI230)+IF($G$1="牵丝",$AL230*1.5,0))*(1+$BD230)*(1+$BE230)+($BF230*IF($G$1="破竹",$AK230,$AI230)+IF($G$1="破竹",$AL230*1.5,0))*(1+$BH230)*(1+$BI230))*(1+$AM230))*$Q230*(1+IF(VLOOKUP($R230,武学奇术!$A:$ZZ,30,FALSE)="流血",$B$21,0))*(1+$BR230)</f>
        <v>2461.31028484645</v>
      </c>
      <c r="Q230" s="31">
        <v>1</v>
      </c>
      <c r="R230" s="32" t="s">
        <v>198</v>
      </c>
      <c r="S230" s="32" t="s">
        <v>87</v>
      </c>
      <c r="T230" s="32" t="s">
        <v>96</v>
      </c>
      <c r="U230" s="32" t="s">
        <v>97</v>
      </c>
      <c r="V230" s="32" t="s">
        <v>73</v>
      </c>
      <c r="W230" s="32" t="s">
        <v>111</v>
      </c>
      <c r="X230" s="32" t="s">
        <v>127</v>
      </c>
      <c r="Y230" s="32" t="s">
        <v>179</v>
      </c>
      <c r="Z230" s="32" t="s">
        <v>182</v>
      </c>
      <c r="AA230" s="32" t="s">
        <v>73</v>
      </c>
      <c r="AB230" s="32" t="s">
        <v>75</v>
      </c>
      <c r="AC230" s="32" t="s">
        <v>89</v>
      </c>
      <c r="AD230" s="32" t="s">
        <v>82</v>
      </c>
      <c r="AE230" s="32" t="s">
        <v>183</v>
      </c>
      <c r="AF230" s="32" t="s">
        <v>73</v>
      </c>
      <c r="AG230" s="32" t="s">
        <v>178</v>
      </c>
      <c r="AH230" t="str">
        <f>VLOOKUP($R230,武学奇术!$A:$ZZ,25,FALSE)</f>
        <v>剑</v>
      </c>
      <c r="AI230" s="21">
        <f>VLOOKUP($R230,武学奇术!$A:$ZZ,26,FALSE)</f>
        <v>0.17325</v>
      </c>
      <c r="AJ230" s="22">
        <f>VLOOKUP($R230,武学奇术!$A:$ZZ,27,FALSE)*(1+IF(OR($AH230=$F$4,$AH230=$F$5),$B$22,0))</f>
        <v>0</v>
      </c>
      <c r="AK230" s="21">
        <f>VLOOKUP($R230,武学奇术!$A:$ZZ,28,FALSE)</f>
        <v>0.259875</v>
      </c>
      <c r="AL230" s="22">
        <f>VLOOKUP($R230,武学奇术!$A:$ZZ,29,FALSE)*(1+IF(OR($AH230=$F$4,$AH230=$F$5),$B$22,0))</f>
        <v>0</v>
      </c>
      <c r="AM230" s="21" cm="1">
        <f t="array" ref="AM230">$G$3+IFERROR(VLOOKUP($AH230,$F$4:$G$7,2,FALSE),0)+VLOOKUP($R230,武学奇术!$A:$ZZ,2,FALSE)+SUM(_xlfn.XLOOKUP($S230:$AG230,增益!$A:$A,增益!$B:$B,0))</f>
        <v>1.5291</v>
      </c>
      <c r="AN230" s="21" cm="1">
        <f t="array" ref="AN230">VLOOKUP($R230,武学奇术!$A:$ZZ,5,FALSE)+SUM(_xlfn.XLOOKUP($S230:$AG230,增益!$A:$A,增益!$E:$E,0))</f>
        <v>0</v>
      </c>
      <c r="AO230" cm="1">
        <f t="array" ref="AO230">$D$10*(1+$AN230)+VLOOKUP($R230,武学奇术!$A:$ZZ,3,FALSE)+SUM(_xlfn.XLOOKUP($S230:$AG230,增益!$A:$A,增益!$C:$C,0))-$I$2</f>
        <v>1825.28</v>
      </c>
      <c r="AP230" cm="1">
        <f t="array" ref="AP230">$E$10*(1+$AN230)+VLOOKUP($R230,武学奇术!$A:$ZZ,4,FALSE)+SUM(_xlfn.XLOOKUP($S230:$AG230,增益!$A:$A,增益!$D:$D,0))-$I$2</f>
        <v>7757.36</v>
      </c>
      <c r="AQ230" s="26" cm="1">
        <f t="array" ref="AQ230">IF($F$10-$I$3+VLOOKUP($R230,武学奇术!$A:$ZZ,6,FALSE)+SUM(_xlfn.XLOOKUP(S230:AG230,增益!$A:$A,增益!$F:$F,0))&gt;0,($F$10-$I$3+VLOOKUP($R230,武学奇术!$A:$ZZ,6,FALSE)+SUM(_xlfn.XLOOKUP(S230:AG230,增益!$A:$A,增益!$F:$F,0)))/200,($F$10-$I$3+VLOOKUP($R230,武学奇术!$A:$ZZ,6,FALSE)+SUM(_xlfn.XLOOKUP(S230:AG230,增益!$A:$A,增益!$F:$F,0)))/100)</f>
        <v>0.319</v>
      </c>
      <c r="AR230" s="26" cm="1">
        <f t="array" ref="AR230">$G$10+VLOOKUP($R230,武学奇术!$A:$ZZ,7,FALSE)+SUM(_xlfn.XLOOKUP(S230:AG230,增益!$A:$A,增益!$G:$G,0))</f>
        <v>0</v>
      </c>
      <c r="AS230" s="21" cm="1">
        <f t="array" ref="AS230">VLOOKUP($R230,武学奇术!$A:$ZZ,8,FALSE)+SUM(_xlfn.XLOOKUP(S230:AG230,增益!$A:$A,增益!$H:$H,0))</f>
        <v>0</v>
      </c>
      <c r="AT230">
        <f t="shared" si="34"/>
        <v>680.02</v>
      </c>
      <c r="AU230">
        <f t="shared" si="35"/>
        <v>1288.54</v>
      </c>
      <c r="AV230" s="26" cm="1">
        <f t="array" ref="AV230">IF($F$11-$I$4+VLOOKUP($R230,武学奇术!$A:$ZZ,9,FALSE)+SUM(_xlfn.XLOOKUP(S230:AG230,增益!$A:$A,增益!$I:$I,0))&gt;0,($F$11-$I$4+VLOOKUP($R230,武学奇术!$A:$ZZ,9,FALSE)+SUM(_xlfn.XLOOKUP(S230:AG230,增益!$A:$A,增益!$I:$I,0)))/200,($F$11-$I$4+VLOOKUP($R230,武学奇术!$A:$ZZ,9,FALSE)+SUM(_xlfn.XLOOKUP(S230:AG230,增益!$A:$A,增益!$I:$I,0)))/100)</f>
        <v>0.075</v>
      </c>
      <c r="AW230" s="26" cm="1">
        <f t="array" ref="AW230">$G$11+VLOOKUP($R230,武学奇术!$A:$ZZ,10,FALSE)+SUM(_xlfn.XLOOKUP(S230:AG230,增益!$A:$A,增益!$J:$J,0))</f>
        <v>0.15</v>
      </c>
      <c r="AX230">
        <f t="shared" si="36"/>
        <v>0</v>
      </c>
      <c r="AY230">
        <f t="shared" si="37"/>
        <v>0</v>
      </c>
      <c r="AZ230" s="26" cm="1">
        <f t="array" ref="AZ230">IF($F$12-$I$4+VLOOKUP($R230,武学奇术!$A:$ZZ,11,FALSE)+SUM(_xlfn.XLOOKUP(S230:AG230,增益!$A:$A,增益!$K:$K,0))&gt;0,($F$12-$I$4+VLOOKUP($R230,武学奇术!$A:$ZZ,11,FALSE)+SUM(_xlfn.XLOOKUP(S230:AG230,增益!$A:$A,增益!$K:$K,0)))/200,($F$12-$I$4+VLOOKUP($R230,武学奇术!$A:$ZZ,11,FALSE)+SUM(_xlfn.XLOOKUP(S230:AG230,增益!$A:$A,增益!$K:$K,0)))/100)</f>
        <v>-0.3</v>
      </c>
      <c r="BA230" s="26" cm="1">
        <f t="array" ref="BA230">$G$12+VLOOKUP($R230,武学奇术!$A:$ZZ,12,FALSE)+SUM(_xlfn.XLOOKUP(S230:AG230,增益!$A:$A,增益!$L:$L,0))</f>
        <v>0</v>
      </c>
      <c r="BB230">
        <f t="shared" si="38"/>
        <v>0</v>
      </c>
      <c r="BC230">
        <f t="shared" si="39"/>
        <v>0</v>
      </c>
      <c r="BD230" s="26" cm="1">
        <f t="array" ref="BD230">IF($F$13-$I$4+VLOOKUP($R230,武学奇术!$A:$ZZ,13,FALSE)+SUM(_xlfn.XLOOKUP(S230:AG230,增益!$A:$A,增益!$M:$M,0))&gt;0,($F$13-$I$4+VLOOKUP($R230,武学奇术!$A:$ZZ,13,FALSE)+SUM(_xlfn.XLOOKUP(S230:AG230,增益!$A:$A,增益!$K:$K,0)))/200,($F$13-$I$4+VLOOKUP($R230,武学奇术!$A:$ZZ,13,FALSE)+SUM(_xlfn.XLOOKUP(S230:AG230,增益!$A:$A,增益!$M:$M,0)))/100)</f>
        <v>-0.3</v>
      </c>
      <c r="BE230" s="26" cm="1">
        <f t="array" ref="BE230">$G$13+VLOOKUP($R230,武学奇术!$A:$ZZ,14,FALSE)+SUM(_xlfn.XLOOKUP(S230:AG230,增益!$A:$A,增益!$N:$N,0))</f>
        <v>0</v>
      </c>
      <c r="BF230">
        <f t="shared" si="40"/>
        <v>0</v>
      </c>
      <c r="BG230">
        <f t="shared" si="41"/>
        <v>0</v>
      </c>
      <c r="BH230" s="26" cm="1">
        <f t="array" ref="BH230">IF($F$14-$I$4+VLOOKUP($R230,武学奇术!$A:$ZZ,15,FALSE)+SUM(_xlfn.XLOOKUP(S230:AG230,增益!$A:$A,增益!$O:$O,0))&gt;0,($F$14-$I$4+VLOOKUP($R230,武学奇术!$A:$ZZ,15,FALSE)+SUM(_xlfn.XLOOKUP(S230:AG230,增益!$A:$A,增益!$O:$O,0)))/200,($F$14-$I$4+VLOOKUP($R230,武学奇术!$A:$ZZ,15,FALSE)+SUM(_xlfn.XLOOKUP(S230:AG230,增益!$A:$A,增益!$O:$O,0)))/100)</f>
        <v>-0.3</v>
      </c>
      <c r="BI230" s="26" cm="1">
        <f t="array" ref="BI230">$G$14+VLOOKUP($R230,武学奇术!$A:$ZZ,16,FALSE)+SUM(_xlfn.XLOOKUP(S230:AG230,增益!$A:$A,增益!$P:$P,0))</f>
        <v>0</v>
      </c>
      <c r="BJ230" s="21">
        <f>MIN(IF(VLOOKUP($R230,武学奇术!$A:$ZZ,23,FALSE)=1,100%,$B$8),100%)</f>
        <v>0.8229</v>
      </c>
      <c r="BK230" s="21" cm="1">
        <f t="array" ref="BK230">IF(VLOOKUP($R230,武学奇术!$A:$ZZ,23,FALSE)=1,100%,MIN(80%,$B$9+VLOOKUP($R230,武学奇术!$A:$ZZ,17,FALSE)+SUM(_xlfn.XLOOKUP(S230:AG230,增益!$A:$A,增益!$Q:$Q,0)))+$B$11+SUM(_xlfn.XLOOKUP(S230:AG230,增益!$A:$A,增益!$U:$U,0)))*IF(VLOOKUP($R230,武学奇术!$A:$ZZ,24,FALSE)=1,0,1)</f>
        <v>0.2285</v>
      </c>
      <c r="BL230" s="21" cm="1">
        <f t="array" ref="BL230">1+$B$13+VLOOKUP($R230,武学奇术!$A:$ZZ,18,FALSE)+SUM(_xlfn.XLOOKUP(S230:AG230,增益!$A:$A,增益!$R:$R,0))</f>
        <v>1.5</v>
      </c>
      <c r="BM230" s="21" cm="1">
        <f t="array" ref="BM230">IF(VLOOKUP($R230,武学奇术!$A:$ZZ,24,FALSE)=1,100%,MIN(40%,$B$10+VLOOKUP($R230,武学奇术!$A:$ZZ,19,FALSE)+SUM(_xlfn.XLOOKUP(S230:AG230,增益!$A:$A,增益!$S:$S,0)))+$B$12+SUM(_xlfn.XLOOKUP(S230:AG230,增益!$A:$A,增益!$V:$V,0)))*IF(VLOOKUP($R230,武学奇术!$A:$ZZ,23,FALSE)=1,0,1)</f>
        <v>0.4495</v>
      </c>
      <c r="BN230" s="21" cm="1">
        <f t="array" ref="BN230">1+$B$14+VLOOKUP($R230,武学奇术!$A:$ZZ,20,FALSE)+SUM(_xlfn.XLOOKUP(S230:AG230,增益!$A:$A,增益!$T:$T,0))</f>
        <v>1.782</v>
      </c>
      <c r="BO230" s="21">
        <f t="shared" si="42"/>
        <v>0.18803265</v>
      </c>
      <c r="BP230" s="21">
        <f t="shared" si="43"/>
        <v>0.2649738</v>
      </c>
      <c r="BQ230" s="21">
        <f>IF(VLOOKUP($R230,武学奇术!$A:$ZZ,22,FALSE)=1,0,(1-$BJ230))*(1-$BM230)</f>
        <v>0.09749355</v>
      </c>
      <c r="BR230" s="21" cm="1">
        <f t="array" ref="BR230">SUM(_xlfn.XLOOKUP(S230:AG230,增益!$A:$A,增益!$W:$W,0))+$I$5</f>
        <v>0.16</v>
      </c>
    </row>
    <row r="231" spans="11:70">
      <c r="K231" s="24">
        <f>$L231*VLOOKUP($R231,武学奇术!$A:$ZZ,31,FALSE)</f>
        <v>11777.0504063511</v>
      </c>
      <c r="L231" s="24">
        <f t="shared" si="33"/>
        <v>19628.4173439184</v>
      </c>
      <c r="M231" s="24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BL231*$Q231*(1+IF(VLOOKUP($R231,武学奇术!$A:$ZZ,30,FALSE)="流血",$B$21,0))*(1+$BR231)</f>
        <v>16069.7912671112</v>
      </c>
      <c r="N231" s="24">
        <f>(($AP231*$AI231+$AJ231)*(1+$AQ231)*(1+$AR231)+($AU231*IF($G$1="鸣金",$AK231,$AI231)+IF($G$1="鸣金",$AL231*1.5,0))*(1+$AV231)*(1+$AW231)+($AY231*IF($G$1="裂石",$AK231,$AI231)+IF($G$1="裂石",$AL231*1.5,0))*(1+$AZ231)*(1+$BA231)+($BC231*IF($G$1="牵丝",$AK231,$AI231)+IF($G$1="牵丝",$AL231*1.5,0))*(1+$BD231)*(1+$BE231)+($BG231*IF($G$1="破竹",$AK231,$AI231)+IF($G$1="破竹",$AL231*1.5,0))*(1+$BH231)*(1+$BI231))*(1+$AM231)*$BN231*$Q231*(1+IF(VLOOKUP($R231,武学奇术!$A:$ZZ,30,FALSE)="流血",$B$21,0))*(1+$BR231)</f>
        <v>29583.1377424802</v>
      </c>
      <c r="O231" s="24">
        <f>((($AO231+$AP231)/2*$AI231+$AJ231)*(1+$AQ231)*(1+$AR231)+(($AT231+$AU231)/2*IF($G$1="鸣金",$AK231,$AI231)+IF($G$1="鸣金",$AL231*1.5,0))*(1+$AV231)*(1+$AW231)+(($AX231+$AY231)/2*IF($G$1="裂石",$AK231,$AI231)+IF($G$1="裂石",$AL231*1.5,0))*(1+$AZ231)*(1+$BA231)+(($BB231+$BC231)/2*IF($G$1="牵丝",$AK231,$AI231)+IF($G$1="牵丝",$AL231*1.5,0))*(1+$BD231)*(1+$BE231)+(($BF231+$BG231)/2*IF($G$1="破竹",$AK231,$AI231)+IF($G$1="破竹",$AL231*1.5,0))*(1+$BH231)*(1+$BI231))*(1+$AM231)*$Q231*(1+IF(VLOOKUP($R231,武学奇术!$A:$ZZ,30,FALSE)="流血",$B$21,0))*(1+$BR231)</f>
        <v>10713.1941780742</v>
      </c>
      <c r="P231" s="24">
        <f>((($AO231*$AI231+$AJ231)*(1+$AQ231)*(1+$AR231)+($AT231*IF($G$1="鸣金",$AK231,$AI231)+IF($G$1="鸣金",$AL231*1.5,0))*(1+$AV231)*(1+$AW231)+($AX231*IF($G$1="裂石",$AK231,$AI231)+IF($G$1="裂石",$AL231*1.5,0))*(1+$AZ231)*(1+$BA231)+($BB231*IF($G$1="牵丝",$AK231,$AI231)+IF($G$1="牵丝",$AL231*1.5,0))*(1+$BD231)*(1+$BE231)+($BF231*IF($G$1="破竹",$AK231,$AI231)+IF($G$1="破竹",$AL231*1.5,0))*(1+$BH231)*(1+$BI231))*(1+$AM231))*$Q231*(1+IF(VLOOKUP($R231,武学奇术!$A:$ZZ,30,FALSE)="流血",$B$21,0))*(1+$BR231)</f>
        <v>4825.30095857248</v>
      </c>
      <c r="Q231" s="31">
        <v>1</v>
      </c>
      <c r="R231" s="32" t="s">
        <v>199</v>
      </c>
      <c r="S231" s="32" t="s">
        <v>87</v>
      </c>
      <c r="T231" s="32" t="s">
        <v>96</v>
      </c>
      <c r="U231" s="32" t="s">
        <v>97</v>
      </c>
      <c r="V231" s="32" t="s">
        <v>73</v>
      </c>
      <c r="W231" s="32" t="s">
        <v>111</v>
      </c>
      <c r="X231" s="32" t="s">
        <v>127</v>
      </c>
      <c r="Y231" s="32" t="s">
        <v>179</v>
      </c>
      <c r="Z231" s="32" t="s">
        <v>182</v>
      </c>
      <c r="AA231" s="32" t="s">
        <v>73</v>
      </c>
      <c r="AB231" s="32" t="s">
        <v>75</v>
      </c>
      <c r="AC231" s="32" t="s">
        <v>89</v>
      </c>
      <c r="AD231" s="32" t="s">
        <v>82</v>
      </c>
      <c r="AE231" s="32" t="s">
        <v>90</v>
      </c>
      <c r="AF231" s="32" t="s">
        <v>73</v>
      </c>
      <c r="AG231" s="32" t="s">
        <v>178</v>
      </c>
      <c r="AH231" t="str">
        <f>VLOOKUP($R231,武学奇术!$A:$ZZ,25,FALSE)</f>
        <v>剑</v>
      </c>
      <c r="AI231" s="21">
        <f>VLOOKUP($R231,武学奇术!$A:$ZZ,26,FALSE)</f>
        <v>0.3465</v>
      </c>
      <c r="AJ231" s="22">
        <f>VLOOKUP($R231,武学奇术!$A:$ZZ,27,FALSE)*(1+IF(OR($AH231=$F$4,$AH231=$F$5),$B$22,0))</f>
        <v>0</v>
      </c>
      <c r="AK231" s="21">
        <f>VLOOKUP($R231,武学奇术!$A:$ZZ,28,FALSE)</f>
        <v>0.51975</v>
      </c>
      <c r="AL231" s="22">
        <f>VLOOKUP($R231,武学奇术!$A:$ZZ,29,FALSE)*(1+IF(OR($AH231=$F$4,$AH231=$F$5),$B$22,0))</f>
        <v>0</v>
      </c>
      <c r="AM231" s="21" cm="1">
        <f t="array" ref="AM231">$G$3+IFERROR(VLOOKUP($AH231,$F$4:$G$7,2,FALSE),0)+VLOOKUP($R231,武学奇术!$A:$ZZ,2,FALSE)+SUM(_xlfn.XLOOKUP($S231:$AG231,增益!$A:$A,增益!$B:$B,0))</f>
        <v>1.4791</v>
      </c>
      <c r="AN231" s="21" cm="1">
        <f t="array" ref="AN231">VLOOKUP($R231,武学奇术!$A:$ZZ,5,FALSE)+SUM(_xlfn.XLOOKUP($S231:$AG231,增益!$A:$A,增益!$E:$E,0))</f>
        <v>0</v>
      </c>
      <c r="AO231" cm="1">
        <f t="array" ref="AO231">$D$10*(1+$AN231)+VLOOKUP($R231,武学奇术!$A:$ZZ,3,FALSE)+SUM(_xlfn.XLOOKUP($S231:$AG231,增益!$A:$A,增益!$C:$C,0))-$I$2</f>
        <v>1825.28</v>
      </c>
      <c r="AP231" cm="1">
        <f t="array" ref="AP231">$E$10*(1+$AN231)+VLOOKUP($R231,武学奇术!$A:$ZZ,4,FALSE)+SUM(_xlfn.XLOOKUP($S231:$AG231,增益!$A:$A,增益!$D:$D,0))-$I$2</f>
        <v>7757.36</v>
      </c>
      <c r="AQ231" s="26" cm="1">
        <f t="array" ref="AQ231">IF($F$10-$I$3+VLOOKUP($R231,武学奇术!$A:$ZZ,6,FALSE)+SUM(_xlfn.XLOOKUP(S231:AG231,增益!$A:$A,增益!$F:$F,0))&gt;0,($F$10-$I$3+VLOOKUP($R231,武学奇术!$A:$ZZ,6,FALSE)+SUM(_xlfn.XLOOKUP(S231:AG231,增益!$A:$A,增益!$F:$F,0)))/200,($F$10-$I$3+VLOOKUP($R231,武学奇术!$A:$ZZ,6,FALSE)+SUM(_xlfn.XLOOKUP(S231:AG231,增益!$A:$A,增益!$F:$F,0)))/100)</f>
        <v>0.319</v>
      </c>
      <c r="AR231" s="26" cm="1">
        <f t="array" ref="AR231">$G$10+VLOOKUP($R231,武学奇术!$A:$ZZ,7,FALSE)+SUM(_xlfn.XLOOKUP(S231:AG231,增益!$A:$A,增益!$G:$G,0))</f>
        <v>0</v>
      </c>
      <c r="AS231" s="21" cm="1">
        <f t="array" ref="AS231">VLOOKUP($R231,武学奇术!$A:$ZZ,8,FALSE)+SUM(_xlfn.XLOOKUP(S231:AG231,增益!$A:$A,增益!$H:$H,0))</f>
        <v>0</v>
      </c>
      <c r="AT231">
        <f t="shared" si="34"/>
        <v>680.02</v>
      </c>
      <c r="AU231">
        <f t="shared" si="35"/>
        <v>1288.54</v>
      </c>
      <c r="AV231" s="26" cm="1">
        <f t="array" ref="AV231">IF($F$11-$I$4+VLOOKUP($R231,武学奇术!$A:$ZZ,9,FALSE)+SUM(_xlfn.XLOOKUP(S231:AG231,增益!$A:$A,增益!$I:$I,0))&gt;0,($F$11-$I$4+VLOOKUP($R231,武学奇术!$A:$ZZ,9,FALSE)+SUM(_xlfn.XLOOKUP(S231:AG231,增益!$A:$A,增益!$I:$I,0)))/200,($F$11-$I$4+VLOOKUP($R231,武学奇术!$A:$ZZ,9,FALSE)+SUM(_xlfn.XLOOKUP(S231:AG231,增益!$A:$A,增益!$I:$I,0)))/100)</f>
        <v>0.075</v>
      </c>
      <c r="AW231" s="26" cm="1">
        <f t="array" ref="AW231">$G$11+VLOOKUP($R231,武学奇术!$A:$ZZ,10,FALSE)+SUM(_xlfn.XLOOKUP(S231:AG231,增益!$A:$A,增益!$J:$J,0))</f>
        <v>0.15</v>
      </c>
      <c r="AX231">
        <f t="shared" si="36"/>
        <v>0</v>
      </c>
      <c r="AY231">
        <f t="shared" si="37"/>
        <v>0</v>
      </c>
      <c r="AZ231" s="26" cm="1">
        <f t="array" ref="AZ231">IF($F$12-$I$4+VLOOKUP($R231,武学奇术!$A:$ZZ,11,FALSE)+SUM(_xlfn.XLOOKUP(S231:AG231,增益!$A:$A,增益!$K:$K,0))&gt;0,($F$12-$I$4+VLOOKUP($R231,武学奇术!$A:$ZZ,11,FALSE)+SUM(_xlfn.XLOOKUP(S231:AG231,增益!$A:$A,增益!$K:$K,0)))/200,($F$12-$I$4+VLOOKUP($R231,武学奇术!$A:$ZZ,11,FALSE)+SUM(_xlfn.XLOOKUP(S231:AG231,增益!$A:$A,增益!$K:$K,0)))/100)</f>
        <v>-0.3</v>
      </c>
      <c r="BA231" s="26" cm="1">
        <f t="array" ref="BA231">$G$12+VLOOKUP($R231,武学奇术!$A:$ZZ,12,FALSE)+SUM(_xlfn.XLOOKUP(S231:AG231,增益!$A:$A,增益!$L:$L,0))</f>
        <v>0</v>
      </c>
      <c r="BB231">
        <f t="shared" si="38"/>
        <v>0</v>
      </c>
      <c r="BC231">
        <f t="shared" si="39"/>
        <v>0</v>
      </c>
      <c r="BD231" s="26" cm="1">
        <f t="array" ref="BD231">IF($F$13-$I$4+VLOOKUP($R231,武学奇术!$A:$ZZ,13,FALSE)+SUM(_xlfn.XLOOKUP(S231:AG231,增益!$A:$A,增益!$M:$M,0))&gt;0,($F$13-$I$4+VLOOKUP($R231,武学奇术!$A:$ZZ,13,FALSE)+SUM(_xlfn.XLOOKUP(S231:AG231,增益!$A:$A,增益!$K:$K,0)))/200,($F$13-$I$4+VLOOKUP($R231,武学奇术!$A:$ZZ,13,FALSE)+SUM(_xlfn.XLOOKUP(S231:AG231,增益!$A:$A,增益!$M:$M,0)))/100)</f>
        <v>-0.3</v>
      </c>
      <c r="BE231" s="26" cm="1">
        <f t="array" ref="BE231">$G$13+VLOOKUP($R231,武学奇术!$A:$ZZ,14,FALSE)+SUM(_xlfn.XLOOKUP(S231:AG231,增益!$A:$A,增益!$N:$N,0))</f>
        <v>0</v>
      </c>
      <c r="BF231">
        <f t="shared" si="40"/>
        <v>0</v>
      </c>
      <c r="BG231">
        <f t="shared" si="41"/>
        <v>0</v>
      </c>
      <c r="BH231" s="26" cm="1">
        <f t="array" ref="BH231">IF($F$14-$I$4+VLOOKUP($R231,武学奇术!$A:$ZZ,15,FALSE)+SUM(_xlfn.XLOOKUP(S231:AG231,增益!$A:$A,增益!$O:$O,0))&gt;0,($F$14-$I$4+VLOOKUP($R231,武学奇术!$A:$ZZ,15,FALSE)+SUM(_xlfn.XLOOKUP(S231:AG231,增益!$A:$A,增益!$O:$O,0)))/200,($F$14-$I$4+VLOOKUP($R231,武学奇术!$A:$ZZ,15,FALSE)+SUM(_xlfn.XLOOKUP(S231:AG231,增益!$A:$A,增益!$O:$O,0)))/100)</f>
        <v>-0.3</v>
      </c>
      <c r="BI231" s="26" cm="1">
        <f t="array" ref="BI231">$G$14+VLOOKUP($R231,武学奇术!$A:$ZZ,16,FALSE)+SUM(_xlfn.XLOOKUP(S231:AG231,增益!$A:$A,增益!$P:$P,0))</f>
        <v>0</v>
      </c>
      <c r="BJ231" s="21">
        <f>MIN(IF(VLOOKUP($R231,武学奇术!$A:$ZZ,23,FALSE)=1,100%,$B$8),100%)</f>
        <v>0.8229</v>
      </c>
      <c r="BK231" s="21" cm="1">
        <f t="array" ref="BK231">IF(VLOOKUP($R231,武学奇术!$A:$ZZ,23,FALSE)=1,100%,MIN(80%,$B$9+VLOOKUP($R231,武学奇术!$A:$ZZ,17,FALSE)+SUM(_xlfn.XLOOKUP(S231:AG231,增益!$A:$A,增益!$Q:$Q,0)))+$B$11+SUM(_xlfn.XLOOKUP(S231:AG231,增益!$A:$A,增益!$U:$U,0)))*IF(VLOOKUP($R231,武学奇术!$A:$ZZ,24,FALSE)=1,0,1)</f>
        <v>0.2285</v>
      </c>
      <c r="BL231" s="21" cm="1">
        <f t="array" ref="BL231">1+$B$13+VLOOKUP($R231,武学奇术!$A:$ZZ,18,FALSE)+SUM(_xlfn.XLOOKUP(S231:AG231,增益!$A:$A,增益!$R:$R,0))</f>
        <v>1.5</v>
      </c>
      <c r="BM231" s="21" cm="1">
        <f t="array" ref="BM231">IF(VLOOKUP($R231,武学奇术!$A:$ZZ,24,FALSE)=1,100%,MIN(40%,$B$10+VLOOKUP($R231,武学奇术!$A:$ZZ,19,FALSE)+SUM(_xlfn.XLOOKUP(S231:AG231,增益!$A:$A,增益!$S:$S,0)))+$B$12+SUM(_xlfn.XLOOKUP(S231:AG231,增益!$A:$A,增益!$V:$V,0)))*IF(VLOOKUP($R231,武学奇术!$A:$ZZ,23,FALSE)=1,0,1)</f>
        <v>0.4495</v>
      </c>
      <c r="BN231" s="21" cm="1">
        <f t="array" ref="BN231">1+$B$14+VLOOKUP($R231,武学奇术!$A:$ZZ,20,FALSE)+SUM(_xlfn.XLOOKUP(S231:AG231,增益!$A:$A,增益!$T:$T,0))</f>
        <v>1.782</v>
      </c>
      <c r="BO231" s="21">
        <f t="shared" si="42"/>
        <v>0.18803265</v>
      </c>
      <c r="BP231" s="21">
        <f t="shared" si="43"/>
        <v>0.2649738</v>
      </c>
      <c r="BQ231" s="21">
        <f>IF(VLOOKUP($R231,武学奇术!$A:$ZZ,22,FALSE)=1,0,(1-$BJ231))*(1-$BM231)</f>
        <v>0.09749355</v>
      </c>
      <c r="BR231" s="21" cm="1">
        <f t="array" ref="BR231">SUM(_xlfn.XLOOKUP(S231:AG231,增益!$A:$A,增益!$W:$W,0))+$I$5</f>
        <v>0.16</v>
      </c>
    </row>
    <row r="232" spans="11:70">
      <c r="K232" s="24">
        <f>$L232*VLOOKUP($R232,武学奇术!$A:$ZZ,31,FALSE)</f>
        <v>9421.64032508086</v>
      </c>
      <c r="L232" s="24">
        <f t="shared" si="33"/>
        <v>15702.7338751348</v>
      </c>
      <c r="M232" s="24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BL232*$Q232*(1+IF(VLOOKUP($R232,武学奇术!$A:$ZZ,30,FALSE)="流血",$B$21,0))*(1+$BR232)</f>
        <v>12855.833013689</v>
      </c>
      <c r="N232" s="24">
        <f>(($AP232*$AI232+$AJ232)*(1+$AQ232)*(1+$AR232)+($AU232*IF($G$1="鸣金",$AK232,$AI232)+IF($G$1="鸣金",$AL232*1.5,0))*(1+$AV232)*(1+$AW232)+($AY232*IF($G$1="裂石",$AK232,$AI232)+IF($G$1="裂石",$AL232*1.5,0))*(1+$AZ232)*(1+$BA232)+($BC232*IF($G$1="牵丝",$AK232,$AI232)+IF($G$1="牵丝",$AL232*1.5,0))*(1+$BD232)*(1+$BE232)+($BG232*IF($G$1="破竹",$AK232,$AI232)+IF($G$1="破竹",$AL232*1.5,0))*(1+$BH232)*(1+$BI232))*(1+$AM232)*$BN232*$Q232*(1+IF(VLOOKUP($R232,武学奇术!$A:$ZZ,30,FALSE)="流血",$B$21,0))*(1+$BR232)</f>
        <v>23666.5101939841</v>
      </c>
      <c r="O232" s="24">
        <f>((($AO232+$AP232)/2*$AI232+$AJ232)*(1+$AQ232)*(1+$AR232)+(($AT232+$AU232)/2*IF($G$1="鸣金",$AK232,$AI232)+IF($G$1="鸣金",$AL232*1.5,0))*(1+$AV232)*(1+$AW232)+(($AX232+$AY232)/2*IF($G$1="裂石",$AK232,$AI232)+IF($G$1="裂石",$AL232*1.5,0))*(1+$AZ232)*(1+$BA232)+(($BB232+$BC232)/2*IF($G$1="牵丝",$AK232,$AI232)+IF($G$1="牵丝",$AL232*1.5,0))*(1+$BD232)*(1+$BE232)+(($BF232+$BG232)/2*IF($G$1="破竹",$AK232,$AI232)+IF($G$1="破竹",$AL232*1.5,0))*(1+$BH232)*(1+$BI232))*(1+$AM232)*$Q232*(1+IF(VLOOKUP($R232,武学奇术!$A:$ZZ,30,FALSE)="流血",$B$21,0))*(1+$BR232)</f>
        <v>8570.55534245933</v>
      </c>
      <c r="P232" s="24">
        <f>((($AO232*$AI232+$AJ232)*(1+$AQ232)*(1+$AR232)+($AT232*IF($G$1="鸣金",$AK232,$AI232)+IF($G$1="鸣金",$AL232*1.5,0))*(1+$AV232)*(1+$AW232)+($AX232*IF($G$1="裂石",$AK232,$AI232)+IF($G$1="裂石",$AL232*1.5,0))*(1+$AZ232)*(1+$BA232)+($BB232*IF($G$1="牵丝",$AK232,$AI232)+IF($G$1="牵丝",$AL232*1.5,0))*(1+$BD232)*(1+$BE232)+($BF232*IF($G$1="破竹",$AK232,$AI232)+IF($G$1="破竹",$AL232*1.5,0))*(1+$BH232)*(1+$BI232))*(1+$AM232))*$Q232*(1+IF(VLOOKUP($R232,武学奇术!$A:$ZZ,30,FALSE)="流血",$B$21,0))*(1+$BR232)</f>
        <v>3860.24076685798</v>
      </c>
      <c r="Q232" s="31">
        <v>1</v>
      </c>
      <c r="R232" s="32" t="s">
        <v>197</v>
      </c>
      <c r="S232" s="32" t="s">
        <v>87</v>
      </c>
      <c r="T232" s="32" t="s">
        <v>96</v>
      </c>
      <c r="U232" s="32" t="s">
        <v>97</v>
      </c>
      <c r="V232" s="32" t="s">
        <v>73</v>
      </c>
      <c r="W232" s="32" t="s">
        <v>111</v>
      </c>
      <c r="X232" s="32" t="s">
        <v>127</v>
      </c>
      <c r="Y232" s="32" t="s">
        <v>179</v>
      </c>
      <c r="Z232" s="32" t="s">
        <v>182</v>
      </c>
      <c r="AA232" s="32" t="s">
        <v>73</v>
      </c>
      <c r="AB232" s="32" t="s">
        <v>75</v>
      </c>
      <c r="AC232" s="32" t="s">
        <v>89</v>
      </c>
      <c r="AD232" s="32" t="s">
        <v>82</v>
      </c>
      <c r="AE232" s="32" t="s">
        <v>90</v>
      </c>
      <c r="AF232" s="32" t="s">
        <v>73</v>
      </c>
      <c r="AG232" s="32" t="s">
        <v>178</v>
      </c>
      <c r="AH232" t="str">
        <f>VLOOKUP($R232,武学奇术!$A:$ZZ,25,FALSE)</f>
        <v>剑</v>
      </c>
      <c r="AI232" s="21">
        <f>VLOOKUP($R232,武学奇术!$A:$ZZ,26,FALSE)</f>
        <v>0.2772</v>
      </c>
      <c r="AJ232" s="22">
        <f>VLOOKUP($R232,武学奇术!$A:$ZZ,27,FALSE)*(1+IF(OR($AH232=$F$4,$AH232=$F$5),$B$22,0))</f>
        <v>0</v>
      </c>
      <c r="AK232" s="21">
        <f>VLOOKUP($R232,武学奇术!$A:$ZZ,28,FALSE)</f>
        <v>0.4158</v>
      </c>
      <c r="AL232" s="22">
        <f>VLOOKUP($R232,武学奇术!$A:$ZZ,29,FALSE)*(1+IF(OR($AH232=$F$4,$AH232=$F$5),$B$22,0))</f>
        <v>0</v>
      </c>
      <c r="AM232" s="21" cm="1">
        <f t="array" ref="AM232">$G$3+IFERROR(VLOOKUP($AH232,$F$4:$G$7,2,FALSE),0)+VLOOKUP($R232,武学奇术!$A:$ZZ,2,FALSE)+SUM(_xlfn.XLOOKUP($S232:$AG232,增益!$A:$A,增益!$B:$B,0))</f>
        <v>1.4791</v>
      </c>
      <c r="AN232" s="21" cm="1">
        <f t="array" ref="AN232">VLOOKUP($R232,武学奇术!$A:$ZZ,5,FALSE)+SUM(_xlfn.XLOOKUP($S232:$AG232,增益!$A:$A,增益!$E:$E,0))</f>
        <v>0</v>
      </c>
      <c r="AO232" cm="1">
        <f t="array" ref="AO232">$D$10*(1+$AN232)+VLOOKUP($R232,武学奇术!$A:$ZZ,3,FALSE)+SUM(_xlfn.XLOOKUP($S232:$AG232,增益!$A:$A,增益!$C:$C,0))-$I$2</f>
        <v>1825.28</v>
      </c>
      <c r="AP232" cm="1">
        <f t="array" ref="AP232">$E$10*(1+$AN232)+VLOOKUP($R232,武学奇术!$A:$ZZ,4,FALSE)+SUM(_xlfn.XLOOKUP($S232:$AG232,增益!$A:$A,增益!$D:$D,0))-$I$2</f>
        <v>7757.36</v>
      </c>
      <c r="AQ232" s="26" cm="1">
        <f t="array" ref="AQ232">IF($F$10-$I$3+VLOOKUP($R232,武学奇术!$A:$ZZ,6,FALSE)+SUM(_xlfn.XLOOKUP(S232:AG232,增益!$A:$A,增益!$F:$F,0))&gt;0,($F$10-$I$3+VLOOKUP($R232,武学奇术!$A:$ZZ,6,FALSE)+SUM(_xlfn.XLOOKUP(S232:AG232,增益!$A:$A,增益!$F:$F,0)))/200,($F$10-$I$3+VLOOKUP($R232,武学奇术!$A:$ZZ,6,FALSE)+SUM(_xlfn.XLOOKUP(S232:AG232,增益!$A:$A,增益!$F:$F,0)))/100)</f>
        <v>0.319</v>
      </c>
      <c r="AR232" s="26" cm="1">
        <f t="array" ref="AR232">$G$10+VLOOKUP($R232,武学奇术!$A:$ZZ,7,FALSE)+SUM(_xlfn.XLOOKUP(S232:AG232,增益!$A:$A,增益!$G:$G,0))</f>
        <v>0</v>
      </c>
      <c r="AS232" s="21" cm="1">
        <f t="array" ref="AS232">VLOOKUP($R232,武学奇术!$A:$ZZ,8,FALSE)+SUM(_xlfn.XLOOKUP(S232:AG232,增益!$A:$A,增益!$H:$H,0))</f>
        <v>0</v>
      </c>
      <c r="AT232">
        <f t="shared" si="34"/>
        <v>680.02</v>
      </c>
      <c r="AU232">
        <f t="shared" si="35"/>
        <v>1288.54</v>
      </c>
      <c r="AV232" s="26" cm="1">
        <f t="array" ref="AV232">IF($F$11-$I$4+VLOOKUP($R232,武学奇术!$A:$ZZ,9,FALSE)+SUM(_xlfn.XLOOKUP(S232:AG232,增益!$A:$A,增益!$I:$I,0))&gt;0,($F$11-$I$4+VLOOKUP($R232,武学奇术!$A:$ZZ,9,FALSE)+SUM(_xlfn.XLOOKUP(S232:AG232,增益!$A:$A,增益!$I:$I,0)))/200,($F$11-$I$4+VLOOKUP($R232,武学奇术!$A:$ZZ,9,FALSE)+SUM(_xlfn.XLOOKUP(S232:AG232,增益!$A:$A,增益!$I:$I,0)))/100)</f>
        <v>0.075</v>
      </c>
      <c r="AW232" s="26" cm="1">
        <f t="array" ref="AW232">$G$11+VLOOKUP($R232,武学奇术!$A:$ZZ,10,FALSE)+SUM(_xlfn.XLOOKUP(S232:AG232,增益!$A:$A,增益!$J:$J,0))</f>
        <v>0.15</v>
      </c>
      <c r="AX232">
        <f t="shared" si="36"/>
        <v>0</v>
      </c>
      <c r="AY232">
        <f t="shared" si="37"/>
        <v>0</v>
      </c>
      <c r="AZ232" s="26" cm="1">
        <f t="array" ref="AZ232">IF($F$12-$I$4+VLOOKUP($R232,武学奇术!$A:$ZZ,11,FALSE)+SUM(_xlfn.XLOOKUP(S232:AG232,增益!$A:$A,增益!$K:$K,0))&gt;0,($F$12-$I$4+VLOOKUP($R232,武学奇术!$A:$ZZ,11,FALSE)+SUM(_xlfn.XLOOKUP(S232:AG232,增益!$A:$A,增益!$K:$K,0)))/200,($F$12-$I$4+VLOOKUP($R232,武学奇术!$A:$ZZ,11,FALSE)+SUM(_xlfn.XLOOKUP(S232:AG232,增益!$A:$A,增益!$K:$K,0)))/100)</f>
        <v>-0.3</v>
      </c>
      <c r="BA232" s="26" cm="1">
        <f t="array" ref="BA232">$G$12+VLOOKUP($R232,武学奇术!$A:$ZZ,12,FALSE)+SUM(_xlfn.XLOOKUP(S232:AG232,增益!$A:$A,增益!$L:$L,0))</f>
        <v>0</v>
      </c>
      <c r="BB232">
        <f t="shared" si="38"/>
        <v>0</v>
      </c>
      <c r="BC232">
        <f t="shared" si="39"/>
        <v>0</v>
      </c>
      <c r="BD232" s="26" cm="1">
        <f t="array" ref="BD232">IF($F$13-$I$4+VLOOKUP($R232,武学奇术!$A:$ZZ,13,FALSE)+SUM(_xlfn.XLOOKUP(S232:AG232,增益!$A:$A,增益!$M:$M,0))&gt;0,($F$13-$I$4+VLOOKUP($R232,武学奇术!$A:$ZZ,13,FALSE)+SUM(_xlfn.XLOOKUP(S232:AG232,增益!$A:$A,增益!$K:$K,0)))/200,($F$13-$I$4+VLOOKUP($R232,武学奇术!$A:$ZZ,13,FALSE)+SUM(_xlfn.XLOOKUP(S232:AG232,增益!$A:$A,增益!$M:$M,0)))/100)</f>
        <v>-0.3</v>
      </c>
      <c r="BE232" s="26" cm="1">
        <f t="array" ref="BE232">$G$13+VLOOKUP($R232,武学奇术!$A:$ZZ,14,FALSE)+SUM(_xlfn.XLOOKUP(S232:AG232,增益!$A:$A,增益!$N:$N,0))</f>
        <v>0</v>
      </c>
      <c r="BF232">
        <f t="shared" si="40"/>
        <v>0</v>
      </c>
      <c r="BG232">
        <f t="shared" si="41"/>
        <v>0</v>
      </c>
      <c r="BH232" s="26" cm="1">
        <f t="array" ref="BH232">IF($F$14-$I$4+VLOOKUP($R232,武学奇术!$A:$ZZ,15,FALSE)+SUM(_xlfn.XLOOKUP(S232:AG232,增益!$A:$A,增益!$O:$O,0))&gt;0,($F$14-$I$4+VLOOKUP($R232,武学奇术!$A:$ZZ,15,FALSE)+SUM(_xlfn.XLOOKUP(S232:AG232,增益!$A:$A,增益!$O:$O,0)))/200,($F$14-$I$4+VLOOKUP($R232,武学奇术!$A:$ZZ,15,FALSE)+SUM(_xlfn.XLOOKUP(S232:AG232,增益!$A:$A,增益!$O:$O,0)))/100)</f>
        <v>-0.3</v>
      </c>
      <c r="BI232" s="26" cm="1">
        <f t="array" ref="BI232">$G$14+VLOOKUP($R232,武学奇术!$A:$ZZ,16,FALSE)+SUM(_xlfn.XLOOKUP(S232:AG232,增益!$A:$A,增益!$P:$P,0))</f>
        <v>0</v>
      </c>
      <c r="BJ232" s="21">
        <f>MIN(IF(VLOOKUP($R232,武学奇术!$A:$ZZ,23,FALSE)=1,100%,$B$8),100%)</f>
        <v>0.8229</v>
      </c>
      <c r="BK232" s="21" cm="1">
        <f t="array" ref="BK232">IF(VLOOKUP($R232,武学奇术!$A:$ZZ,23,FALSE)=1,100%,MIN(80%,$B$9+VLOOKUP($R232,武学奇术!$A:$ZZ,17,FALSE)+SUM(_xlfn.XLOOKUP(S232:AG232,增益!$A:$A,增益!$Q:$Q,0)))+$B$11+SUM(_xlfn.XLOOKUP(S232:AG232,增益!$A:$A,增益!$U:$U,0)))*IF(VLOOKUP($R232,武学奇术!$A:$ZZ,24,FALSE)=1,0,1)</f>
        <v>0.2285</v>
      </c>
      <c r="BL232" s="21" cm="1">
        <f t="array" ref="BL232">1+$B$13+VLOOKUP($R232,武学奇术!$A:$ZZ,18,FALSE)+SUM(_xlfn.XLOOKUP(S232:AG232,增益!$A:$A,增益!$R:$R,0))</f>
        <v>1.5</v>
      </c>
      <c r="BM232" s="21" cm="1">
        <f t="array" ref="BM232">IF(VLOOKUP($R232,武学奇术!$A:$ZZ,24,FALSE)=1,100%,MIN(40%,$B$10+VLOOKUP($R232,武学奇术!$A:$ZZ,19,FALSE)+SUM(_xlfn.XLOOKUP(S232:AG232,增益!$A:$A,增益!$S:$S,0)))+$B$12+SUM(_xlfn.XLOOKUP(S232:AG232,增益!$A:$A,增益!$V:$V,0)))*IF(VLOOKUP($R232,武学奇术!$A:$ZZ,23,FALSE)=1,0,1)</f>
        <v>0.4495</v>
      </c>
      <c r="BN232" s="21" cm="1">
        <f t="array" ref="BN232">1+$B$14+VLOOKUP($R232,武学奇术!$A:$ZZ,20,FALSE)+SUM(_xlfn.XLOOKUP(S232:AG232,增益!$A:$A,增益!$T:$T,0))</f>
        <v>1.782</v>
      </c>
      <c r="BO232" s="21">
        <f t="shared" si="42"/>
        <v>0.18803265</v>
      </c>
      <c r="BP232" s="21">
        <f t="shared" si="43"/>
        <v>0.2649738</v>
      </c>
      <c r="BQ232" s="21">
        <f>IF(VLOOKUP($R232,武学奇术!$A:$ZZ,22,FALSE)=1,0,(1-$BJ232))*(1-$BM232)</f>
        <v>0.09749355</v>
      </c>
      <c r="BR232" s="21" cm="1">
        <f t="array" ref="BR232">SUM(_xlfn.XLOOKUP(S232:AG232,增益!$A:$A,增益!$W:$W,0))+$I$5</f>
        <v>0.16</v>
      </c>
    </row>
    <row r="233" spans="11:70">
      <c r="K233" s="24">
        <f>$L233*VLOOKUP($R233,武学奇术!$A:$ZZ,31,FALSE)</f>
        <v>5865.20229762402</v>
      </c>
      <c r="L233" s="24">
        <f t="shared" si="33"/>
        <v>9775.33716270669</v>
      </c>
      <c r="M233" s="24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BL233*$Q233*(1+IF(VLOOKUP($R233,武学奇术!$A:$ZZ,30,FALSE)="流血",$B$21,0))*(1+$BR233)</f>
        <v>7994.55925004827</v>
      </c>
      <c r="N233" s="24">
        <f>(($AP233*$AI233+$AJ233)*(1+$AQ233)*(1+$AR233)+($AU233*IF($G$1="鸣金",$AK233,$AI233)+IF($G$1="鸣金",$AL233*1.5,0))*(1+$AV233)*(1+$AW233)+($AY233*IF($G$1="裂石",$AK233,$AI233)+IF($G$1="裂石",$AL233*1.5,0))*(1+$AZ233)*(1+$BA233)+($BC233*IF($G$1="牵丝",$AK233,$AI233)+IF($G$1="牵丝",$AL233*1.5,0))*(1+$BD233)*(1+$BE233)+($BG233*IF($G$1="破竹",$AK233,$AI233)+IF($G$1="破竹",$AL233*1.5,0))*(1+$BH233)*(1+$BI233))*(1+$AM233)*$BN233*$Q233*(1+IF(VLOOKUP($R233,武学奇术!$A:$ZZ,30,FALSE)="流血",$B$21,0))*(1+$BR233)</f>
        <v>14743.6492476333</v>
      </c>
      <c r="O233" s="24">
        <f>((($AO233+$AP233)/2*$AI233+$AJ233)*(1+$AQ233)*(1+$AR233)+(($AT233+$AU233)/2*IF($G$1="鸣金",$AK233,$AI233)+IF($G$1="鸣金",$AL233*1.5,0))*(1+$AV233)*(1+$AW233)+(($AX233+$AY233)/2*IF($G$1="裂石",$AK233,$AI233)+IF($G$1="裂石",$AL233*1.5,0))*(1+$AZ233)*(1+$BA233)+(($BB233+$BC233)/2*IF($G$1="牵丝",$AK233,$AI233)+IF($G$1="牵丝",$AL233*1.5,0))*(1+$BD233)*(1+$BE233)+(($BF233+$BG233)/2*IF($G$1="破竹",$AK233,$AI233)+IF($G$1="破竹",$AL233*1.5,0))*(1+$BH233)*(1+$BI233))*(1+$AM233)*$Q233*(1+IF(VLOOKUP($R233,武学奇术!$A:$ZZ,30,FALSE)="流血",$B$21,0))*(1+$BR233)</f>
        <v>5329.70616669884</v>
      </c>
      <c r="P233" s="24">
        <f>((($AO233*$AI233+$AJ233)*(1+$AQ233)*(1+$AR233)+($AT233*IF($G$1="鸣金",$AK233,$AI233)+IF($G$1="鸣金",$AL233*1.5,0))*(1+$AV233)*(1+$AW233)+($AX233*IF($G$1="裂石",$AK233,$AI233)+IF($G$1="裂石",$AL233*1.5,0))*(1+$AZ233)*(1+$BA233)+($BB233*IF($G$1="牵丝",$AK233,$AI233)+IF($G$1="牵丝",$AL233*1.5,0))*(1+$BD233)*(1+$BE233)+($BF233*IF($G$1="破竹",$AK233,$AI233)+IF($G$1="破竹",$AL233*1.5,0))*(1+$BH233)*(1+$BI233))*(1+$AM233))*$Q233*(1+IF(VLOOKUP($R233,武学奇术!$A:$ZZ,30,FALSE)="流血",$B$21,0))*(1+$BR233)</f>
        <v>2385.759556948</v>
      </c>
      <c r="Q233" s="31">
        <v>1</v>
      </c>
      <c r="R233" s="32" t="s">
        <v>198</v>
      </c>
      <c r="S233" s="32" t="s">
        <v>87</v>
      </c>
      <c r="T233" s="32" t="s">
        <v>96</v>
      </c>
      <c r="U233" s="32" t="s">
        <v>97</v>
      </c>
      <c r="V233" s="32" t="s">
        <v>73</v>
      </c>
      <c r="W233" s="32" t="s">
        <v>73</v>
      </c>
      <c r="X233" s="32" t="s">
        <v>127</v>
      </c>
      <c r="Y233" s="32" t="s">
        <v>179</v>
      </c>
      <c r="Z233" s="32" t="s">
        <v>182</v>
      </c>
      <c r="AA233" s="32" t="s">
        <v>73</v>
      </c>
      <c r="AB233" s="32" t="s">
        <v>75</v>
      </c>
      <c r="AC233" s="32" t="s">
        <v>89</v>
      </c>
      <c r="AD233" s="32" t="s">
        <v>82</v>
      </c>
      <c r="AE233" s="32" t="s">
        <v>90</v>
      </c>
      <c r="AF233" s="32" t="s">
        <v>73</v>
      </c>
      <c r="AG233" s="32" t="s">
        <v>178</v>
      </c>
      <c r="AH233" t="str">
        <f>VLOOKUP($R233,武学奇术!$A:$ZZ,25,FALSE)</f>
        <v>剑</v>
      </c>
      <c r="AI233" s="21">
        <f>VLOOKUP($R233,武学奇术!$A:$ZZ,26,FALSE)</f>
        <v>0.17325</v>
      </c>
      <c r="AJ233" s="22">
        <f>VLOOKUP($R233,武学奇术!$A:$ZZ,27,FALSE)*(1+IF(OR($AH233=$F$4,$AH233=$F$5),$B$22,0))</f>
        <v>0</v>
      </c>
      <c r="AK233" s="21">
        <f>VLOOKUP($R233,武学奇术!$A:$ZZ,28,FALSE)</f>
        <v>0.259875</v>
      </c>
      <c r="AL233" s="22">
        <f>VLOOKUP($R233,武学奇术!$A:$ZZ,29,FALSE)*(1+IF(OR($AH233=$F$4,$AH233=$F$5),$B$22,0))</f>
        <v>0</v>
      </c>
      <c r="AM233" s="21" cm="1">
        <f t="array" ref="AM233">$G$3+IFERROR(VLOOKUP($AH233,$F$4:$G$7,2,FALSE),0)+VLOOKUP($R233,武学奇术!$A:$ZZ,2,FALSE)+SUM(_xlfn.XLOOKUP($S233:$AG233,增益!$A:$A,增益!$B:$B,0))</f>
        <v>1.4791</v>
      </c>
      <c r="AN233" s="21" cm="1">
        <f t="array" ref="AN233">VLOOKUP($R233,武学奇术!$A:$ZZ,5,FALSE)+SUM(_xlfn.XLOOKUP($S233:$AG233,增益!$A:$A,增益!$E:$E,0))</f>
        <v>0</v>
      </c>
      <c r="AO233" cm="1">
        <f t="array" ref="AO233">$D$10*(1+$AN233)+VLOOKUP($R233,武学奇术!$A:$ZZ,3,FALSE)+SUM(_xlfn.XLOOKUP($S233:$AG233,增益!$A:$A,增益!$C:$C,0))-$I$2</f>
        <v>1794.28</v>
      </c>
      <c r="AP233" cm="1">
        <f t="array" ref="AP233">$E$10*(1+$AN233)+VLOOKUP($R233,武学奇术!$A:$ZZ,4,FALSE)+SUM(_xlfn.XLOOKUP($S233:$AG233,增益!$A:$A,增益!$D:$D,0))-$I$2</f>
        <v>7726.36</v>
      </c>
      <c r="AQ233" s="26" cm="1">
        <f t="array" ref="AQ233">IF($F$10-$I$3+VLOOKUP($R233,武学奇术!$A:$ZZ,6,FALSE)+SUM(_xlfn.XLOOKUP(S233:AG233,增益!$A:$A,增益!$F:$F,0))&gt;0,($F$10-$I$3+VLOOKUP($R233,武学奇术!$A:$ZZ,6,FALSE)+SUM(_xlfn.XLOOKUP(S233:AG233,增益!$A:$A,增益!$F:$F,0)))/200,($F$10-$I$3+VLOOKUP($R233,武学奇术!$A:$ZZ,6,FALSE)+SUM(_xlfn.XLOOKUP(S233:AG233,增益!$A:$A,增益!$F:$F,0)))/100)</f>
        <v>0.319</v>
      </c>
      <c r="AR233" s="26" cm="1">
        <f t="array" ref="AR233">$G$10+VLOOKUP($R233,武学奇术!$A:$ZZ,7,FALSE)+SUM(_xlfn.XLOOKUP(S233:AG233,增益!$A:$A,增益!$G:$G,0))</f>
        <v>0</v>
      </c>
      <c r="AS233" s="21" cm="1">
        <f t="array" ref="AS233">VLOOKUP($R233,武学奇术!$A:$ZZ,8,FALSE)+SUM(_xlfn.XLOOKUP(S233:AG233,增益!$A:$A,增益!$H:$H,0))</f>
        <v>0</v>
      </c>
      <c r="AT233">
        <f t="shared" si="34"/>
        <v>680.02</v>
      </c>
      <c r="AU233">
        <f t="shared" si="35"/>
        <v>1288.54</v>
      </c>
      <c r="AV233" s="26" cm="1">
        <f t="array" ref="AV233">IF($F$11-$I$4+VLOOKUP($R233,武学奇术!$A:$ZZ,9,FALSE)+SUM(_xlfn.XLOOKUP(S233:AG233,增益!$A:$A,增益!$I:$I,0))&gt;0,($F$11-$I$4+VLOOKUP($R233,武学奇术!$A:$ZZ,9,FALSE)+SUM(_xlfn.XLOOKUP(S233:AG233,增益!$A:$A,增益!$I:$I,0)))/200,($F$11-$I$4+VLOOKUP($R233,武学奇术!$A:$ZZ,9,FALSE)+SUM(_xlfn.XLOOKUP(S233:AG233,增益!$A:$A,增益!$I:$I,0)))/100)</f>
        <v>0.075</v>
      </c>
      <c r="AW233" s="26" cm="1">
        <f t="array" ref="AW233">$G$11+VLOOKUP($R233,武学奇术!$A:$ZZ,10,FALSE)+SUM(_xlfn.XLOOKUP(S233:AG233,增益!$A:$A,增益!$J:$J,0))</f>
        <v>0.15</v>
      </c>
      <c r="AX233">
        <f t="shared" si="36"/>
        <v>0</v>
      </c>
      <c r="AY233">
        <f t="shared" si="37"/>
        <v>0</v>
      </c>
      <c r="AZ233" s="26" cm="1">
        <f t="array" ref="AZ233">IF($F$12-$I$4+VLOOKUP($R233,武学奇术!$A:$ZZ,11,FALSE)+SUM(_xlfn.XLOOKUP(S233:AG233,增益!$A:$A,增益!$K:$K,0))&gt;0,($F$12-$I$4+VLOOKUP($R233,武学奇术!$A:$ZZ,11,FALSE)+SUM(_xlfn.XLOOKUP(S233:AG233,增益!$A:$A,增益!$K:$K,0)))/200,($F$12-$I$4+VLOOKUP($R233,武学奇术!$A:$ZZ,11,FALSE)+SUM(_xlfn.XLOOKUP(S233:AG233,增益!$A:$A,增益!$K:$K,0)))/100)</f>
        <v>-0.3</v>
      </c>
      <c r="BA233" s="26" cm="1">
        <f t="array" ref="BA233">$G$12+VLOOKUP($R233,武学奇术!$A:$ZZ,12,FALSE)+SUM(_xlfn.XLOOKUP(S233:AG233,增益!$A:$A,增益!$L:$L,0))</f>
        <v>0</v>
      </c>
      <c r="BB233">
        <f t="shared" si="38"/>
        <v>0</v>
      </c>
      <c r="BC233">
        <f t="shared" si="39"/>
        <v>0</v>
      </c>
      <c r="BD233" s="26" cm="1">
        <f t="array" ref="BD233">IF($F$13-$I$4+VLOOKUP($R233,武学奇术!$A:$ZZ,13,FALSE)+SUM(_xlfn.XLOOKUP(S233:AG233,增益!$A:$A,增益!$M:$M,0))&gt;0,($F$13-$I$4+VLOOKUP($R233,武学奇术!$A:$ZZ,13,FALSE)+SUM(_xlfn.XLOOKUP(S233:AG233,增益!$A:$A,增益!$K:$K,0)))/200,($F$13-$I$4+VLOOKUP($R233,武学奇术!$A:$ZZ,13,FALSE)+SUM(_xlfn.XLOOKUP(S233:AG233,增益!$A:$A,增益!$M:$M,0)))/100)</f>
        <v>-0.3</v>
      </c>
      <c r="BE233" s="26" cm="1">
        <f t="array" ref="BE233">$G$13+VLOOKUP($R233,武学奇术!$A:$ZZ,14,FALSE)+SUM(_xlfn.XLOOKUP(S233:AG233,增益!$A:$A,增益!$N:$N,0))</f>
        <v>0</v>
      </c>
      <c r="BF233">
        <f t="shared" si="40"/>
        <v>0</v>
      </c>
      <c r="BG233">
        <f t="shared" si="41"/>
        <v>0</v>
      </c>
      <c r="BH233" s="26" cm="1">
        <f t="array" ref="BH233">IF($F$14-$I$4+VLOOKUP($R233,武学奇术!$A:$ZZ,15,FALSE)+SUM(_xlfn.XLOOKUP(S233:AG233,增益!$A:$A,增益!$O:$O,0))&gt;0,($F$14-$I$4+VLOOKUP($R233,武学奇术!$A:$ZZ,15,FALSE)+SUM(_xlfn.XLOOKUP(S233:AG233,增益!$A:$A,增益!$O:$O,0)))/200,($F$14-$I$4+VLOOKUP($R233,武学奇术!$A:$ZZ,15,FALSE)+SUM(_xlfn.XLOOKUP(S233:AG233,增益!$A:$A,增益!$O:$O,0)))/100)</f>
        <v>-0.3</v>
      </c>
      <c r="BI233" s="26" cm="1">
        <f t="array" ref="BI233">$G$14+VLOOKUP($R233,武学奇术!$A:$ZZ,16,FALSE)+SUM(_xlfn.XLOOKUP(S233:AG233,增益!$A:$A,增益!$P:$P,0))</f>
        <v>0</v>
      </c>
      <c r="BJ233" s="21">
        <f>MIN(IF(VLOOKUP($R233,武学奇术!$A:$ZZ,23,FALSE)=1,100%,$B$8),100%)</f>
        <v>0.8229</v>
      </c>
      <c r="BK233" s="21" cm="1">
        <f t="array" ref="BK233">IF(VLOOKUP($R233,武学奇术!$A:$ZZ,23,FALSE)=1,100%,MIN(80%,$B$9+VLOOKUP($R233,武学奇术!$A:$ZZ,17,FALSE)+SUM(_xlfn.XLOOKUP(S233:AG233,增益!$A:$A,增益!$Q:$Q,0)))+$B$11+SUM(_xlfn.XLOOKUP(S233:AG233,增益!$A:$A,增益!$U:$U,0)))*IF(VLOOKUP($R233,武学奇术!$A:$ZZ,24,FALSE)=1,0,1)</f>
        <v>0.2285</v>
      </c>
      <c r="BL233" s="21" cm="1">
        <f t="array" ref="BL233">1+$B$13+VLOOKUP($R233,武学奇术!$A:$ZZ,18,FALSE)+SUM(_xlfn.XLOOKUP(S233:AG233,增益!$A:$A,增益!$R:$R,0))</f>
        <v>1.5</v>
      </c>
      <c r="BM233" s="21" cm="1">
        <f t="array" ref="BM233">IF(VLOOKUP($R233,武学奇术!$A:$ZZ,24,FALSE)=1,100%,MIN(40%,$B$10+VLOOKUP($R233,武学奇术!$A:$ZZ,19,FALSE)+SUM(_xlfn.XLOOKUP(S233:AG233,增益!$A:$A,增益!$S:$S,0)))+$B$12+SUM(_xlfn.XLOOKUP(S233:AG233,增益!$A:$A,增益!$V:$V,0)))*IF(VLOOKUP($R233,武学奇术!$A:$ZZ,23,FALSE)=1,0,1)</f>
        <v>0.4495</v>
      </c>
      <c r="BN233" s="21" cm="1">
        <f t="array" ref="BN233">1+$B$14+VLOOKUP($R233,武学奇术!$A:$ZZ,20,FALSE)+SUM(_xlfn.XLOOKUP(S233:AG233,增益!$A:$A,增益!$T:$T,0))</f>
        <v>1.782</v>
      </c>
      <c r="BO233" s="21">
        <f t="shared" si="42"/>
        <v>0.18803265</v>
      </c>
      <c r="BP233" s="21">
        <f t="shared" si="43"/>
        <v>0.2649738</v>
      </c>
      <c r="BQ233" s="21">
        <f>IF(VLOOKUP($R233,武学奇术!$A:$ZZ,22,FALSE)=1,0,(1-$BJ233))*(1-$BM233)</f>
        <v>0.09749355</v>
      </c>
      <c r="BR233" s="21" cm="1">
        <f t="array" ref="BR233">SUM(_xlfn.XLOOKUP(S233:AG233,增益!$A:$A,增益!$W:$W,0))+$I$5</f>
        <v>0.16</v>
      </c>
    </row>
    <row r="234" spans="11:70">
      <c r="K234" s="24">
        <f>$L234*VLOOKUP($R234,武学奇术!$A:$ZZ,31,FALSE)</f>
        <v>11730.404595248</v>
      </c>
      <c r="L234" s="24">
        <f t="shared" si="33"/>
        <v>19550.6743254134</v>
      </c>
      <c r="M234" s="24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BL234*$Q234*(1+IF(VLOOKUP($R234,武学奇术!$A:$ZZ,30,FALSE)="流血",$B$21,0))*(1+$BR234)</f>
        <v>15989.1185000965</v>
      </c>
      <c r="N234" s="24">
        <f>(($AP234*$AI234+$AJ234)*(1+$AQ234)*(1+$AR234)+($AU234*IF($G$1="鸣金",$AK234,$AI234)+IF($G$1="鸣金",$AL234*1.5,0))*(1+$AV234)*(1+$AW234)+($AY234*IF($G$1="裂石",$AK234,$AI234)+IF($G$1="裂石",$AL234*1.5,0))*(1+$AZ234)*(1+$BA234)+($BC234*IF($G$1="牵丝",$AK234,$AI234)+IF($G$1="牵丝",$AL234*1.5,0))*(1+$BD234)*(1+$BE234)+($BG234*IF($G$1="破竹",$AK234,$AI234)+IF($G$1="破竹",$AL234*1.5,0))*(1+$BH234)*(1+$BI234))*(1+$AM234)*$BN234*$Q234*(1+IF(VLOOKUP($R234,武学奇术!$A:$ZZ,30,FALSE)="流血",$B$21,0))*(1+$BR234)</f>
        <v>29487.2984952667</v>
      </c>
      <c r="O234" s="24">
        <f>((($AO234+$AP234)/2*$AI234+$AJ234)*(1+$AQ234)*(1+$AR234)+(($AT234+$AU234)/2*IF($G$1="鸣金",$AK234,$AI234)+IF($G$1="鸣金",$AL234*1.5,0))*(1+$AV234)*(1+$AW234)+(($AX234+$AY234)/2*IF($G$1="裂石",$AK234,$AI234)+IF($G$1="裂石",$AL234*1.5,0))*(1+$AZ234)*(1+$BA234)+(($BB234+$BC234)/2*IF($G$1="牵丝",$AK234,$AI234)+IF($G$1="牵丝",$AL234*1.5,0))*(1+$BD234)*(1+$BE234)+(($BF234+$BG234)/2*IF($G$1="破竹",$AK234,$AI234)+IF($G$1="破竹",$AL234*1.5,0))*(1+$BH234)*(1+$BI234))*(1+$AM234)*$Q234*(1+IF(VLOOKUP($R234,武学奇术!$A:$ZZ,30,FALSE)="流血",$B$21,0))*(1+$BR234)</f>
        <v>10659.4123333977</v>
      </c>
      <c r="P234" s="24">
        <f>((($AO234*$AI234+$AJ234)*(1+$AQ234)*(1+$AR234)+($AT234*IF($G$1="鸣金",$AK234,$AI234)+IF($G$1="鸣金",$AL234*1.5,0))*(1+$AV234)*(1+$AW234)+($AX234*IF($G$1="裂石",$AK234,$AI234)+IF($G$1="裂石",$AL234*1.5,0))*(1+$AZ234)*(1+$BA234)+($BB234*IF($G$1="牵丝",$AK234,$AI234)+IF($G$1="牵丝",$AL234*1.5,0))*(1+$BD234)*(1+$BE234)+($BF234*IF($G$1="破竹",$AK234,$AI234)+IF($G$1="破竹",$AL234*1.5,0))*(1+$BH234)*(1+$BI234))*(1+$AM234))*$Q234*(1+IF(VLOOKUP($R234,武学奇术!$A:$ZZ,30,FALSE)="流血",$B$21,0))*(1+$BR234)</f>
        <v>4771.519113896</v>
      </c>
      <c r="Q234" s="31">
        <v>1</v>
      </c>
      <c r="R234" s="32" t="s">
        <v>199</v>
      </c>
      <c r="S234" s="32" t="s">
        <v>87</v>
      </c>
      <c r="T234" s="32" t="s">
        <v>96</v>
      </c>
      <c r="U234" s="32" t="s">
        <v>97</v>
      </c>
      <c r="V234" s="32" t="s">
        <v>73</v>
      </c>
      <c r="W234" s="32" t="s">
        <v>73</v>
      </c>
      <c r="X234" s="32" t="s">
        <v>127</v>
      </c>
      <c r="Y234" s="32" t="s">
        <v>179</v>
      </c>
      <c r="Z234" s="32" t="s">
        <v>182</v>
      </c>
      <c r="AA234" s="32" t="s">
        <v>73</v>
      </c>
      <c r="AB234" s="32" t="s">
        <v>75</v>
      </c>
      <c r="AC234" s="32" t="s">
        <v>89</v>
      </c>
      <c r="AD234" s="32" t="s">
        <v>82</v>
      </c>
      <c r="AE234" s="32" t="s">
        <v>90</v>
      </c>
      <c r="AF234" s="32" t="s">
        <v>73</v>
      </c>
      <c r="AG234" s="32" t="s">
        <v>178</v>
      </c>
      <c r="AH234" t="str">
        <f>VLOOKUP($R234,武学奇术!$A:$ZZ,25,FALSE)</f>
        <v>剑</v>
      </c>
      <c r="AI234" s="21">
        <f>VLOOKUP($R234,武学奇术!$A:$ZZ,26,FALSE)</f>
        <v>0.3465</v>
      </c>
      <c r="AJ234" s="22">
        <f>VLOOKUP($R234,武学奇术!$A:$ZZ,27,FALSE)*(1+IF(OR($AH234=$F$4,$AH234=$F$5),$B$22,0))</f>
        <v>0</v>
      </c>
      <c r="AK234" s="21">
        <f>VLOOKUP($R234,武学奇术!$A:$ZZ,28,FALSE)</f>
        <v>0.51975</v>
      </c>
      <c r="AL234" s="22">
        <f>VLOOKUP($R234,武学奇术!$A:$ZZ,29,FALSE)*(1+IF(OR($AH234=$F$4,$AH234=$F$5),$B$22,0))</f>
        <v>0</v>
      </c>
      <c r="AM234" s="21" cm="1">
        <f t="array" ref="AM234">$G$3+IFERROR(VLOOKUP($AH234,$F$4:$G$7,2,FALSE),0)+VLOOKUP($R234,武学奇术!$A:$ZZ,2,FALSE)+SUM(_xlfn.XLOOKUP($S234:$AG234,增益!$A:$A,增益!$B:$B,0))</f>
        <v>1.4791</v>
      </c>
      <c r="AN234" s="21" cm="1">
        <f t="array" ref="AN234">VLOOKUP($R234,武学奇术!$A:$ZZ,5,FALSE)+SUM(_xlfn.XLOOKUP($S234:$AG234,增益!$A:$A,增益!$E:$E,0))</f>
        <v>0</v>
      </c>
      <c r="AO234" cm="1">
        <f t="array" ref="AO234">$D$10*(1+$AN234)+VLOOKUP($R234,武学奇术!$A:$ZZ,3,FALSE)+SUM(_xlfn.XLOOKUP($S234:$AG234,增益!$A:$A,增益!$C:$C,0))-$I$2</f>
        <v>1794.28</v>
      </c>
      <c r="AP234" cm="1">
        <f t="array" ref="AP234">$E$10*(1+$AN234)+VLOOKUP($R234,武学奇术!$A:$ZZ,4,FALSE)+SUM(_xlfn.XLOOKUP($S234:$AG234,增益!$A:$A,增益!$D:$D,0))-$I$2</f>
        <v>7726.36</v>
      </c>
      <c r="AQ234" s="26" cm="1">
        <f t="array" ref="AQ234">IF($F$10-$I$3+VLOOKUP($R234,武学奇术!$A:$ZZ,6,FALSE)+SUM(_xlfn.XLOOKUP(S234:AG234,增益!$A:$A,增益!$F:$F,0))&gt;0,($F$10-$I$3+VLOOKUP($R234,武学奇术!$A:$ZZ,6,FALSE)+SUM(_xlfn.XLOOKUP(S234:AG234,增益!$A:$A,增益!$F:$F,0)))/200,($F$10-$I$3+VLOOKUP($R234,武学奇术!$A:$ZZ,6,FALSE)+SUM(_xlfn.XLOOKUP(S234:AG234,增益!$A:$A,增益!$F:$F,0)))/100)</f>
        <v>0.319</v>
      </c>
      <c r="AR234" s="26" cm="1">
        <f t="array" ref="AR234">$G$10+VLOOKUP($R234,武学奇术!$A:$ZZ,7,FALSE)+SUM(_xlfn.XLOOKUP(S234:AG234,增益!$A:$A,增益!$G:$G,0))</f>
        <v>0</v>
      </c>
      <c r="AS234" s="21" cm="1">
        <f t="array" ref="AS234">VLOOKUP($R234,武学奇术!$A:$ZZ,8,FALSE)+SUM(_xlfn.XLOOKUP(S234:AG234,增益!$A:$A,增益!$H:$H,0))</f>
        <v>0</v>
      </c>
      <c r="AT234">
        <f t="shared" si="34"/>
        <v>680.02</v>
      </c>
      <c r="AU234">
        <f t="shared" si="35"/>
        <v>1288.54</v>
      </c>
      <c r="AV234" s="26" cm="1">
        <f t="array" ref="AV234">IF($F$11-$I$4+VLOOKUP($R234,武学奇术!$A:$ZZ,9,FALSE)+SUM(_xlfn.XLOOKUP(S234:AG234,增益!$A:$A,增益!$I:$I,0))&gt;0,($F$11-$I$4+VLOOKUP($R234,武学奇术!$A:$ZZ,9,FALSE)+SUM(_xlfn.XLOOKUP(S234:AG234,增益!$A:$A,增益!$I:$I,0)))/200,($F$11-$I$4+VLOOKUP($R234,武学奇术!$A:$ZZ,9,FALSE)+SUM(_xlfn.XLOOKUP(S234:AG234,增益!$A:$A,增益!$I:$I,0)))/100)</f>
        <v>0.075</v>
      </c>
      <c r="AW234" s="26" cm="1">
        <f t="array" ref="AW234">$G$11+VLOOKUP($R234,武学奇术!$A:$ZZ,10,FALSE)+SUM(_xlfn.XLOOKUP(S234:AG234,增益!$A:$A,增益!$J:$J,0))</f>
        <v>0.15</v>
      </c>
      <c r="AX234">
        <f t="shared" si="36"/>
        <v>0</v>
      </c>
      <c r="AY234">
        <f t="shared" si="37"/>
        <v>0</v>
      </c>
      <c r="AZ234" s="26" cm="1">
        <f t="array" ref="AZ234">IF($F$12-$I$4+VLOOKUP($R234,武学奇术!$A:$ZZ,11,FALSE)+SUM(_xlfn.XLOOKUP(S234:AG234,增益!$A:$A,增益!$K:$K,0))&gt;0,($F$12-$I$4+VLOOKUP($R234,武学奇术!$A:$ZZ,11,FALSE)+SUM(_xlfn.XLOOKUP(S234:AG234,增益!$A:$A,增益!$K:$K,0)))/200,($F$12-$I$4+VLOOKUP($R234,武学奇术!$A:$ZZ,11,FALSE)+SUM(_xlfn.XLOOKUP(S234:AG234,增益!$A:$A,增益!$K:$K,0)))/100)</f>
        <v>-0.3</v>
      </c>
      <c r="BA234" s="26" cm="1">
        <f t="array" ref="BA234">$G$12+VLOOKUP($R234,武学奇术!$A:$ZZ,12,FALSE)+SUM(_xlfn.XLOOKUP(S234:AG234,增益!$A:$A,增益!$L:$L,0))</f>
        <v>0</v>
      </c>
      <c r="BB234">
        <f t="shared" si="38"/>
        <v>0</v>
      </c>
      <c r="BC234">
        <f t="shared" si="39"/>
        <v>0</v>
      </c>
      <c r="BD234" s="26" cm="1">
        <f t="array" ref="BD234">IF($F$13-$I$4+VLOOKUP($R234,武学奇术!$A:$ZZ,13,FALSE)+SUM(_xlfn.XLOOKUP(S234:AG234,增益!$A:$A,增益!$M:$M,0))&gt;0,($F$13-$I$4+VLOOKUP($R234,武学奇术!$A:$ZZ,13,FALSE)+SUM(_xlfn.XLOOKUP(S234:AG234,增益!$A:$A,增益!$K:$K,0)))/200,($F$13-$I$4+VLOOKUP($R234,武学奇术!$A:$ZZ,13,FALSE)+SUM(_xlfn.XLOOKUP(S234:AG234,增益!$A:$A,增益!$M:$M,0)))/100)</f>
        <v>-0.3</v>
      </c>
      <c r="BE234" s="26" cm="1">
        <f t="array" ref="BE234">$G$13+VLOOKUP($R234,武学奇术!$A:$ZZ,14,FALSE)+SUM(_xlfn.XLOOKUP(S234:AG234,增益!$A:$A,增益!$N:$N,0))</f>
        <v>0</v>
      </c>
      <c r="BF234">
        <f t="shared" si="40"/>
        <v>0</v>
      </c>
      <c r="BG234">
        <f t="shared" si="41"/>
        <v>0</v>
      </c>
      <c r="BH234" s="26" cm="1">
        <f t="array" ref="BH234">IF($F$14-$I$4+VLOOKUP($R234,武学奇术!$A:$ZZ,15,FALSE)+SUM(_xlfn.XLOOKUP(S234:AG234,增益!$A:$A,增益!$O:$O,0))&gt;0,($F$14-$I$4+VLOOKUP($R234,武学奇术!$A:$ZZ,15,FALSE)+SUM(_xlfn.XLOOKUP(S234:AG234,增益!$A:$A,增益!$O:$O,0)))/200,($F$14-$I$4+VLOOKUP($R234,武学奇术!$A:$ZZ,15,FALSE)+SUM(_xlfn.XLOOKUP(S234:AG234,增益!$A:$A,增益!$O:$O,0)))/100)</f>
        <v>-0.3</v>
      </c>
      <c r="BI234" s="26" cm="1">
        <f t="array" ref="BI234">$G$14+VLOOKUP($R234,武学奇术!$A:$ZZ,16,FALSE)+SUM(_xlfn.XLOOKUP(S234:AG234,增益!$A:$A,增益!$P:$P,0))</f>
        <v>0</v>
      </c>
      <c r="BJ234" s="21">
        <f>MIN(IF(VLOOKUP($R234,武学奇术!$A:$ZZ,23,FALSE)=1,100%,$B$8),100%)</f>
        <v>0.8229</v>
      </c>
      <c r="BK234" s="21" cm="1">
        <f t="array" ref="BK234">IF(VLOOKUP($R234,武学奇术!$A:$ZZ,23,FALSE)=1,100%,MIN(80%,$B$9+VLOOKUP($R234,武学奇术!$A:$ZZ,17,FALSE)+SUM(_xlfn.XLOOKUP(S234:AG234,增益!$A:$A,增益!$Q:$Q,0)))+$B$11+SUM(_xlfn.XLOOKUP(S234:AG234,增益!$A:$A,增益!$U:$U,0)))*IF(VLOOKUP($R234,武学奇术!$A:$ZZ,24,FALSE)=1,0,1)</f>
        <v>0.2285</v>
      </c>
      <c r="BL234" s="21" cm="1">
        <f t="array" ref="BL234">1+$B$13+VLOOKUP($R234,武学奇术!$A:$ZZ,18,FALSE)+SUM(_xlfn.XLOOKUP(S234:AG234,增益!$A:$A,增益!$R:$R,0))</f>
        <v>1.5</v>
      </c>
      <c r="BM234" s="21" cm="1">
        <f t="array" ref="BM234">IF(VLOOKUP($R234,武学奇术!$A:$ZZ,24,FALSE)=1,100%,MIN(40%,$B$10+VLOOKUP($R234,武学奇术!$A:$ZZ,19,FALSE)+SUM(_xlfn.XLOOKUP(S234:AG234,增益!$A:$A,增益!$S:$S,0)))+$B$12+SUM(_xlfn.XLOOKUP(S234:AG234,增益!$A:$A,增益!$V:$V,0)))*IF(VLOOKUP($R234,武学奇术!$A:$ZZ,23,FALSE)=1,0,1)</f>
        <v>0.4495</v>
      </c>
      <c r="BN234" s="21" cm="1">
        <f t="array" ref="BN234">1+$B$14+VLOOKUP($R234,武学奇术!$A:$ZZ,20,FALSE)+SUM(_xlfn.XLOOKUP(S234:AG234,增益!$A:$A,增益!$T:$T,0))</f>
        <v>1.782</v>
      </c>
      <c r="BO234" s="21">
        <f t="shared" si="42"/>
        <v>0.18803265</v>
      </c>
      <c r="BP234" s="21">
        <f t="shared" si="43"/>
        <v>0.2649738</v>
      </c>
      <c r="BQ234" s="21">
        <f>IF(VLOOKUP($R234,武学奇术!$A:$ZZ,22,FALSE)=1,0,(1-$BJ234))*(1-$BM234)</f>
        <v>0.09749355</v>
      </c>
      <c r="BR234" s="21" cm="1">
        <f t="array" ref="BR234">SUM(_xlfn.XLOOKUP(S234:AG234,增益!$A:$A,增益!$W:$W,0))+$I$5</f>
        <v>0.16</v>
      </c>
    </row>
    <row r="235" spans="11:70">
      <c r="K235" s="24">
        <f>$L235*VLOOKUP($R235,武学奇术!$A:$ZZ,31,FALSE)</f>
        <v>5865.20229762402</v>
      </c>
      <c r="L235" s="24">
        <f t="shared" si="33"/>
        <v>9775.33716270669</v>
      </c>
      <c r="M235" s="24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BL235*$Q235*(1+IF(VLOOKUP($R235,武学奇术!$A:$ZZ,30,FALSE)="流血",$B$21,0))*(1+$BR235)</f>
        <v>7994.55925004827</v>
      </c>
      <c r="N235" s="24">
        <f>(($AP235*$AI235+$AJ235)*(1+$AQ235)*(1+$AR235)+($AU235*IF($G$1="鸣金",$AK235,$AI235)+IF($G$1="鸣金",$AL235*1.5,0))*(1+$AV235)*(1+$AW235)+($AY235*IF($G$1="裂石",$AK235,$AI235)+IF($G$1="裂石",$AL235*1.5,0))*(1+$AZ235)*(1+$BA235)+($BC235*IF($G$1="牵丝",$AK235,$AI235)+IF($G$1="牵丝",$AL235*1.5,0))*(1+$BD235)*(1+$BE235)+($BG235*IF($G$1="破竹",$AK235,$AI235)+IF($G$1="破竹",$AL235*1.5,0))*(1+$BH235)*(1+$BI235))*(1+$AM235)*$BN235*$Q235*(1+IF(VLOOKUP($R235,武学奇术!$A:$ZZ,30,FALSE)="流血",$B$21,0))*(1+$BR235)</f>
        <v>14743.6492476333</v>
      </c>
      <c r="O235" s="24">
        <f>((($AO235+$AP235)/2*$AI235+$AJ235)*(1+$AQ235)*(1+$AR235)+(($AT235+$AU235)/2*IF($G$1="鸣金",$AK235,$AI235)+IF($G$1="鸣金",$AL235*1.5,0))*(1+$AV235)*(1+$AW235)+(($AX235+$AY235)/2*IF($G$1="裂石",$AK235,$AI235)+IF($G$1="裂石",$AL235*1.5,0))*(1+$AZ235)*(1+$BA235)+(($BB235+$BC235)/2*IF($G$1="牵丝",$AK235,$AI235)+IF($G$1="牵丝",$AL235*1.5,0))*(1+$BD235)*(1+$BE235)+(($BF235+$BG235)/2*IF($G$1="破竹",$AK235,$AI235)+IF($G$1="破竹",$AL235*1.5,0))*(1+$BH235)*(1+$BI235))*(1+$AM235)*$Q235*(1+IF(VLOOKUP($R235,武学奇术!$A:$ZZ,30,FALSE)="流血",$B$21,0))*(1+$BR235)</f>
        <v>5329.70616669884</v>
      </c>
      <c r="P235" s="24">
        <f>((($AO235*$AI235+$AJ235)*(1+$AQ235)*(1+$AR235)+($AT235*IF($G$1="鸣金",$AK235,$AI235)+IF($G$1="鸣金",$AL235*1.5,0))*(1+$AV235)*(1+$AW235)+($AX235*IF($G$1="裂石",$AK235,$AI235)+IF($G$1="裂石",$AL235*1.5,0))*(1+$AZ235)*(1+$BA235)+($BB235*IF($G$1="牵丝",$AK235,$AI235)+IF($G$1="牵丝",$AL235*1.5,0))*(1+$BD235)*(1+$BE235)+($BF235*IF($G$1="破竹",$AK235,$AI235)+IF($G$1="破竹",$AL235*1.5,0))*(1+$BH235)*(1+$BI235))*(1+$AM235))*$Q235*(1+IF(VLOOKUP($R235,武学奇术!$A:$ZZ,30,FALSE)="流血",$B$21,0))*(1+$BR235)</f>
        <v>2385.759556948</v>
      </c>
      <c r="Q235" s="31">
        <v>1</v>
      </c>
      <c r="R235" s="32" t="s">
        <v>198</v>
      </c>
      <c r="S235" s="32" t="s">
        <v>87</v>
      </c>
      <c r="T235" s="32" t="s">
        <v>96</v>
      </c>
      <c r="U235" s="32" t="s">
        <v>97</v>
      </c>
      <c r="V235" s="32" t="s">
        <v>73</v>
      </c>
      <c r="W235" s="32" t="s">
        <v>73</v>
      </c>
      <c r="X235" s="32" t="s">
        <v>127</v>
      </c>
      <c r="Y235" s="32" t="s">
        <v>179</v>
      </c>
      <c r="Z235" s="32" t="s">
        <v>182</v>
      </c>
      <c r="AA235" s="32" t="s">
        <v>73</v>
      </c>
      <c r="AB235" s="32" t="s">
        <v>75</v>
      </c>
      <c r="AC235" s="32" t="s">
        <v>89</v>
      </c>
      <c r="AD235" s="32" t="s">
        <v>82</v>
      </c>
      <c r="AE235" s="32" t="s">
        <v>90</v>
      </c>
      <c r="AF235" s="32" t="s">
        <v>73</v>
      </c>
      <c r="AG235" s="32" t="s">
        <v>178</v>
      </c>
      <c r="AH235" t="str">
        <f>VLOOKUP($R235,武学奇术!$A:$ZZ,25,FALSE)</f>
        <v>剑</v>
      </c>
      <c r="AI235" s="21">
        <f>VLOOKUP($R235,武学奇术!$A:$ZZ,26,FALSE)</f>
        <v>0.17325</v>
      </c>
      <c r="AJ235" s="22">
        <f>VLOOKUP($R235,武学奇术!$A:$ZZ,27,FALSE)*(1+IF(OR($AH235=$F$4,$AH235=$F$5),$B$22,0))</f>
        <v>0</v>
      </c>
      <c r="AK235" s="21">
        <f>VLOOKUP($R235,武学奇术!$A:$ZZ,28,FALSE)</f>
        <v>0.259875</v>
      </c>
      <c r="AL235" s="22">
        <f>VLOOKUP($R235,武学奇术!$A:$ZZ,29,FALSE)*(1+IF(OR($AH235=$F$4,$AH235=$F$5),$B$22,0))</f>
        <v>0</v>
      </c>
      <c r="AM235" s="21" cm="1">
        <f t="array" ref="AM235">$G$3+IFERROR(VLOOKUP($AH235,$F$4:$G$7,2,FALSE),0)+VLOOKUP($R235,武学奇术!$A:$ZZ,2,FALSE)+SUM(_xlfn.XLOOKUP($S235:$AG235,增益!$A:$A,增益!$B:$B,0))</f>
        <v>1.4791</v>
      </c>
      <c r="AN235" s="21" cm="1">
        <f t="array" ref="AN235">VLOOKUP($R235,武学奇术!$A:$ZZ,5,FALSE)+SUM(_xlfn.XLOOKUP($S235:$AG235,增益!$A:$A,增益!$E:$E,0))</f>
        <v>0</v>
      </c>
      <c r="AO235" cm="1">
        <f t="array" ref="AO235">$D$10*(1+$AN235)+VLOOKUP($R235,武学奇术!$A:$ZZ,3,FALSE)+SUM(_xlfn.XLOOKUP($S235:$AG235,增益!$A:$A,增益!$C:$C,0))-$I$2</f>
        <v>1794.28</v>
      </c>
      <c r="AP235" cm="1">
        <f t="array" ref="AP235">$E$10*(1+$AN235)+VLOOKUP($R235,武学奇术!$A:$ZZ,4,FALSE)+SUM(_xlfn.XLOOKUP($S235:$AG235,增益!$A:$A,增益!$D:$D,0))-$I$2</f>
        <v>7726.36</v>
      </c>
      <c r="AQ235" s="26" cm="1">
        <f t="array" ref="AQ235">IF($F$10-$I$3+VLOOKUP($R235,武学奇术!$A:$ZZ,6,FALSE)+SUM(_xlfn.XLOOKUP(S235:AG235,增益!$A:$A,增益!$F:$F,0))&gt;0,($F$10-$I$3+VLOOKUP($R235,武学奇术!$A:$ZZ,6,FALSE)+SUM(_xlfn.XLOOKUP(S235:AG235,增益!$A:$A,增益!$F:$F,0)))/200,($F$10-$I$3+VLOOKUP($R235,武学奇术!$A:$ZZ,6,FALSE)+SUM(_xlfn.XLOOKUP(S235:AG235,增益!$A:$A,增益!$F:$F,0)))/100)</f>
        <v>0.319</v>
      </c>
      <c r="AR235" s="26" cm="1">
        <f t="array" ref="AR235">$G$10+VLOOKUP($R235,武学奇术!$A:$ZZ,7,FALSE)+SUM(_xlfn.XLOOKUP(S235:AG235,增益!$A:$A,增益!$G:$G,0))</f>
        <v>0</v>
      </c>
      <c r="AS235" s="21" cm="1">
        <f t="array" ref="AS235">VLOOKUP($R235,武学奇术!$A:$ZZ,8,FALSE)+SUM(_xlfn.XLOOKUP(S235:AG235,增益!$A:$A,增益!$H:$H,0))</f>
        <v>0</v>
      </c>
      <c r="AT235">
        <f t="shared" si="34"/>
        <v>680.02</v>
      </c>
      <c r="AU235">
        <f t="shared" si="35"/>
        <v>1288.54</v>
      </c>
      <c r="AV235" s="26" cm="1">
        <f t="array" ref="AV235">IF($F$11-$I$4+VLOOKUP($R235,武学奇术!$A:$ZZ,9,FALSE)+SUM(_xlfn.XLOOKUP(S235:AG235,增益!$A:$A,增益!$I:$I,0))&gt;0,($F$11-$I$4+VLOOKUP($R235,武学奇术!$A:$ZZ,9,FALSE)+SUM(_xlfn.XLOOKUP(S235:AG235,增益!$A:$A,增益!$I:$I,0)))/200,($F$11-$I$4+VLOOKUP($R235,武学奇术!$A:$ZZ,9,FALSE)+SUM(_xlfn.XLOOKUP(S235:AG235,增益!$A:$A,增益!$I:$I,0)))/100)</f>
        <v>0.075</v>
      </c>
      <c r="AW235" s="26" cm="1">
        <f t="array" ref="AW235">$G$11+VLOOKUP($R235,武学奇术!$A:$ZZ,10,FALSE)+SUM(_xlfn.XLOOKUP(S235:AG235,增益!$A:$A,增益!$J:$J,0))</f>
        <v>0.15</v>
      </c>
      <c r="AX235">
        <f t="shared" si="36"/>
        <v>0</v>
      </c>
      <c r="AY235">
        <f t="shared" si="37"/>
        <v>0</v>
      </c>
      <c r="AZ235" s="26" cm="1">
        <f t="array" ref="AZ235">IF($F$12-$I$4+VLOOKUP($R235,武学奇术!$A:$ZZ,11,FALSE)+SUM(_xlfn.XLOOKUP(S235:AG235,增益!$A:$A,增益!$K:$K,0))&gt;0,($F$12-$I$4+VLOOKUP($R235,武学奇术!$A:$ZZ,11,FALSE)+SUM(_xlfn.XLOOKUP(S235:AG235,增益!$A:$A,增益!$K:$K,0)))/200,($F$12-$I$4+VLOOKUP($R235,武学奇术!$A:$ZZ,11,FALSE)+SUM(_xlfn.XLOOKUP(S235:AG235,增益!$A:$A,增益!$K:$K,0)))/100)</f>
        <v>-0.3</v>
      </c>
      <c r="BA235" s="26" cm="1">
        <f t="array" ref="BA235">$G$12+VLOOKUP($R235,武学奇术!$A:$ZZ,12,FALSE)+SUM(_xlfn.XLOOKUP(S235:AG235,增益!$A:$A,增益!$L:$L,0))</f>
        <v>0</v>
      </c>
      <c r="BB235">
        <f t="shared" si="38"/>
        <v>0</v>
      </c>
      <c r="BC235">
        <f t="shared" si="39"/>
        <v>0</v>
      </c>
      <c r="BD235" s="26" cm="1">
        <f t="array" ref="BD235">IF($F$13-$I$4+VLOOKUP($R235,武学奇术!$A:$ZZ,13,FALSE)+SUM(_xlfn.XLOOKUP(S235:AG235,增益!$A:$A,增益!$M:$M,0))&gt;0,($F$13-$I$4+VLOOKUP($R235,武学奇术!$A:$ZZ,13,FALSE)+SUM(_xlfn.XLOOKUP(S235:AG235,增益!$A:$A,增益!$K:$K,0)))/200,($F$13-$I$4+VLOOKUP($R235,武学奇术!$A:$ZZ,13,FALSE)+SUM(_xlfn.XLOOKUP(S235:AG235,增益!$A:$A,增益!$M:$M,0)))/100)</f>
        <v>-0.3</v>
      </c>
      <c r="BE235" s="26" cm="1">
        <f t="array" ref="BE235">$G$13+VLOOKUP($R235,武学奇术!$A:$ZZ,14,FALSE)+SUM(_xlfn.XLOOKUP(S235:AG235,增益!$A:$A,增益!$N:$N,0))</f>
        <v>0</v>
      </c>
      <c r="BF235">
        <f t="shared" si="40"/>
        <v>0</v>
      </c>
      <c r="BG235">
        <f t="shared" si="41"/>
        <v>0</v>
      </c>
      <c r="BH235" s="26" cm="1">
        <f t="array" ref="BH235">IF($F$14-$I$4+VLOOKUP($R235,武学奇术!$A:$ZZ,15,FALSE)+SUM(_xlfn.XLOOKUP(S235:AG235,增益!$A:$A,增益!$O:$O,0))&gt;0,($F$14-$I$4+VLOOKUP($R235,武学奇术!$A:$ZZ,15,FALSE)+SUM(_xlfn.XLOOKUP(S235:AG235,增益!$A:$A,增益!$O:$O,0)))/200,($F$14-$I$4+VLOOKUP($R235,武学奇术!$A:$ZZ,15,FALSE)+SUM(_xlfn.XLOOKUP(S235:AG235,增益!$A:$A,增益!$O:$O,0)))/100)</f>
        <v>-0.3</v>
      </c>
      <c r="BI235" s="26" cm="1">
        <f t="array" ref="BI235">$G$14+VLOOKUP($R235,武学奇术!$A:$ZZ,16,FALSE)+SUM(_xlfn.XLOOKUP(S235:AG235,增益!$A:$A,增益!$P:$P,0))</f>
        <v>0</v>
      </c>
      <c r="BJ235" s="21">
        <f>MIN(IF(VLOOKUP($R235,武学奇术!$A:$ZZ,23,FALSE)=1,100%,$B$8),100%)</f>
        <v>0.8229</v>
      </c>
      <c r="BK235" s="21" cm="1">
        <f t="array" ref="BK235">IF(VLOOKUP($R235,武学奇术!$A:$ZZ,23,FALSE)=1,100%,MIN(80%,$B$9+VLOOKUP($R235,武学奇术!$A:$ZZ,17,FALSE)+SUM(_xlfn.XLOOKUP(S235:AG235,增益!$A:$A,增益!$Q:$Q,0)))+$B$11+SUM(_xlfn.XLOOKUP(S235:AG235,增益!$A:$A,增益!$U:$U,0)))*IF(VLOOKUP($R235,武学奇术!$A:$ZZ,24,FALSE)=1,0,1)</f>
        <v>0.2285</v>
      </c>
      <c r="BL235" s="21" cm="1">
        <f t="array" ref="BL235">1+$B$13+VLOOKUP($R235,武学奇术!$A:$ZZ,18,FALSE)+SUM(_xlfn.XLOOKUP(S235:AG235,增益!$A:$A,增益!$R:$R,0))</f>
        <v>1.5</v>
      </c>
      <c r="BM235" s="21" cm="1">
        <f t="array" ref="BM235">IF(VLOOKUP($R235,武学奇术!$A:$ZZ,24,FALSE)=1,100%,MIN(40%,$B$10+VLOOKUP($R235,武学奇术!$A:$ZZ,19,FALSE)+SUM(_xlfn.XLOOKUP(S235:AG235,增益!$A:$A,增益!$S:$S,0)))+$B$12+SUM(_xlfn.XLOOKUP(S235:AG235,增益!$A:$A,增益!$V:$V,0)))*IF(VLOOKUP($R235,武学奇术!$A:$ZZ,23,FALSE)=1,0,1)</f>
        <v>0.4495</v>
      </c>
      <c r="BN235" s="21" cm="1">
        <f t="array" ref="BN235">1+$B$14+VLOOKUP($R235,武学奇术!$A:$ZZ,20,FALSE)+SUM(_xlfn.XLOOKUP(S235:AG235,增益!$A:$A,增益!$T:$T,0))</f>
        <v>1.782</v>
      </c>
      <c r="BO235" s="21">
        <f t="shared" si="42"/>
        <v>0.18803265</v>
      </c>
      <c r="BP235" s="21">
        <f t="shared" si="43"/>
        <v>0.2649738</v>
      </c>
      <c r="BQ235" s="21">
        <f>IF(VLOOKUP($R235,武学奇术!$A:$ZZ,22,FALSE)=1,0,(1-$BJ235))*(1-$BM235)</f>
        <v>0.09749355</v>
      </c>
      <c r="BR235" s="21" cm="1">
        <f t="array" ref="BR235">SUM(_xlfn.XLOOKUP(S235:AG235,增益!$A:$A,增益!$W:$W,0))+$I$5</f>
        <v>0.16</v>
      </c>
    </row>
    <row r="236" spans="11:70">
      <c r="K236" s="24">
        <f>$L236*VLOOKUP($R236,武学奇术!$A:$ZZ,31,FALSE)</f>
        <v>10761.7874402863</v>
      </c>
      <c r="L236" s="24">
        <f t="shared" si="33"/>
        <v>17936.3124004772</v>
      </c>
      <c r="M236" s="24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BL236*$Q236*(1+IF(VLOOKUP($R236,武学奇术!$A:$ZZ,30,FALSE)="流血",$B$21,0))*(1+$BR236)</f>
        <v>14684.4644337396</v>
      </c>
      <c r="N236" s="24">
        <f>(($AP236*$AI236+$AJ236)*(1+$AQ236)*(1+$AR236)+($AU236*IF($G$1="鸣金",$AK236,$AI236)+IF($G$1="鸣金",$AL236*1.5,0))*(1+$AV236)*(1+$AW236)+($AY236*IF($G$1="裂石",$AK236,$AI236)+IF($G$1="裂石",$AL236*1.5,0))*(1+$AZ236)*(1+$BA236)+($BC236*IF($G$1="牵丝",$AK236,$AI236)+IF($G$1="牵丝",$AL236*1.5,0))*(1+$BD236)*(1+$BE236)+($BG236*IF($G$1="破竹",$AK236,$AI236)+IF($G$1="破竹",$AL236*1.5,0))*(1+$BH236)*(1+$BI236))*(1+$AM236)*$BN236*$Q236*(1+IF(VLOOKUP($R236,武学奇术!$A:$ZZ,30,FALSE)="流血",$B$21,0))*(1+$BR236)</f>
        <v>27032.8672474388</v>
      </c>
      <c r="O236" s="24">
        <f>((($AO236+$AP236)/2*$AI236+$AJ236)*(1+$AQ236)*(1+$AR236)+(($AT236+$AU236)/2*IF($G$1="鸣金",$AK236,$AI236)+IF($G$1="鸣金",$AL236*1.5,0))*(1+$AV236)*(1+$AW236)+(($AX236+$AY236)/2*IF($G$1="裂石",$AK236,$AI236)+IF($G$1="裂石",$AL236*1.5,0))*(1+$AZ236)*(1+$BA236)+(($BB236+$BC236)/2*IF($G$1="牵丝",$AK236,$AI236)+IF($G$1="牵丝",$AL236*1.5,0))*(1+$BD236)*(1+$BE236)+(($BF236+$BG236)/2*IF($G$1="破竹",$AK236,$AI236)+IF($G$1="破竹",$AL236*1.5,0))*(1+$BH236)*(1+$BI236))*(1+$AM236)*$Q236*(1+IF(VLOOKUP($R236,武学奇术!$A:$ZZ,30,FALSE)="流血",$B$21,0))*(1+$BR236)</f>
        <v>9789.6429558264</v>
      </c>
      <c r="P236" s="24">
        <f>((($AO236*$AI236+$AJ236)*(1+$AQ236)*(1+$AR236)+($AT236*IF($G$1="鸣金",$AK236,$AI236)+IF($G$1="鸣金",$AL236*1.5,0))*(1+$AV236)*(1+$AW236)+($AX236*IF($G$1="裂石",$AK236,$AI236)+IF($G$1="裂石",$AL236*1.5,0))*(1+$AZ236)*(1+$BA236)+($BB236*IF($G$1="牵丝",$AK236,$AI236)+IF($G$1="牵丝",$AL236*1.5,0))*(1+$BD236)*(1+$BE236)+($BF236*IF($G$1="破竹",$AK236,$AI236)+IF($G$1="破竹",$AL236*1.5,0))*(1+$BH236)*(1+$BI236))*(1+$AM236))*$Q236*(1+IF(VLOOKUP($R236,武学奇术!$A:$ZZ,30,FALSE)="流血",$B$21,0))*(1+$BR236)</f>
        <v>4409.32673800589</v>
      </c>
      <c r="Q236" s="31">
        <v>1</v>
      </c>
      <c r="R236" s="32" t="s">
        <v>199</v>
      </c>
      <c r="S236" s="32" t="s">
        <v>87</v>
      </c>
      <c r="T236" s="32" t="s">
        <v>96</v>
      </c>
      <c r="U236" s="32" t="s">
        <v>97</v>
      </c>
      <c r="V236" s="32" t="s">
        <v>73</v>
      </c>
      <c r="W236" s="32" t="s">
        <v>111</v>
      </c>
      <c r="X236" s="32" t="s">
        <v>127</v>
      </c>
      <c r="Y236" s="32" t="s">
        <v>73</v>
      </c>
      <c r="Z236" s="32" t="s">
        <v>73</v>
      </c>
      <c r="AA236" s="32" t="s">
        <v>73</v>
      </c>
      <c r="AB236" s="32" t="s">
        <v>75</v>
      </c>
      <c r="AC236" s="32" t="s">
        <v>89</v>
      </c>
      <c r="AD236" s="32" t="s">
        <v>82</v>
      </c>
      <c r="AE236" s="32" t="s">
        <v>90</v>
      </c>
      <c r="AF236" s="32" t="s">
        <v>73</v>
      </c>
      <c r="AG236" s="32" t="s">
        <v>178</v>
      </c>
      <c r="AH236" t="str">
        <f>VLOOKUP($R236,武学奇术!$A:$ZZ,25,FALSE)</f>
        <v>剑</v>
      </c>
      <c r="AI236" s="21">
        <f>VLOOKUP($R236,武学奇术!$A:$ZZ,26,FALSE)</f>
        <v>0.3465</v>
      </c>
      <c r="AJ236" s="22">
        <f>VLOOKUP($R236,武学奇术!$A:$ZZ,27,FALSE)*(1+IF(OR($AH236=$F$4,$AH236=$F$5),$B$22,0))</f>
        <v>0</v>
      </c>
      <c r="AK236" s="21">
        <f>VLOOKUP($R236,武学奇术!$A:$ZZ,28,FALSE)</f>
        <v>0.51975</v>
      </c>
      <c r="AL236" s="22">
        <f>VLOOKUP($R236,武学奇术!$A:$ZZ,29,FALSE)*(1+IF(OR($AH236=$F$4,$AH236=$F$5),$B$22,0))</f>
        <v>0</v>
      </c>
      <c r="AM236" s="21" cm="1">
        <f t="array" ref="AM236">$G$3+IFERROR(VLOOKUP($AH236,$F$4:$G$7,2,FALSE),0)+VLOOKUP($R236,武学奇术!$A:$ZZ,2,FALSE)+SUM(_xlfn.XLOOKUP($S236:$AG236,增益!$A:$A,增益!$B:$B,0))</f>
        <v>1.4791</v>
      </c>
      <c r="AN236" s="21" cm="1">
        <f t="array" ref="AN236">VLOOKUP($R236,武学奇术!$A:$ZZ,5,FALSE)+SUM(_xlfn.XLOOKUP($S236:$AG236,增益!$A:$A,增益!$E:$E,0))</f>
        <v>0</v>
      </c>
      <c r="AO236" cm="1">
        <f t="array" ref="AO236">$D$10*(1+$AN236)+VLOOKUP($R236,武学奇术!$A:$ZZ,3,FALSE)+SUM(_xlfn.XLOOKUP($S236:$AG236,增益!$A:$A,增益!$C:$C,0))-$I$2</f>
        <v>1825.28</v>
      </c>
      <c r="AP236" cm="1">
        <f t="array" ref="AP236">$E$10*(1+$AN236)+VLOOKUP($R236,武学奇术!$A:$ZZ,4,FALSE)+SUM(_xlfn.XLOOKUP($S236:$AG236,增益!$A:$A,增益!$D:$D,0))-$I$2</f>
        <v>7757.36</v>
      </c>
      <c r="AQ236" s="26" cm="1">
        <f t="array" ref="AQ236">IF($F$10-$I$3+VLOOKUP($R236,武学奇术!$A:$ZZ,6,FALSE)+SUM(_xlfn.XLOOKUP(S236:AG236,增益!$A:$A,增益!$F:$F,0))&gt;0,($F$10-$I$3+VLOOKUP($R236,武学奇术!$A:$ZZ,6,FALSE)+SUM(_xlfn.XLOOKUP(S236:AG236,增益!$A:$A,增益!$F:$F,0)))/200,($F$10-$I$3+VLOOKUP($R236,武学奇术!$A:$ZZ,6,FALSE)+SUM(_xlfn.XLOOKUP(S236:AG236,增益!$A:$A,增益!$F:$F,0)))/100)</f>
        <v>0.319</v>
      </c>
      <c r="AR236" s="26" cm="1">
        <f t="array" ref="AR236">$G$10+VLOOKUP($R236,武学奇术!$A:$ZZ,7,FALSE)+SUM(_xlfn.XLOOKUP(S236:AG236,增益!$A:$A,增益!$G:$G,0))</f>
        <v>0</v>
      </c>
      <c r="AS236" s="21" cm="1">
        <f t="array" ref="AS236">VLOOKUP($R236,武学奇术!$A:$ZZ,8,FALSE)+SUM(_xlfn.XLOOKUP(S236:AG236,增益!$A:$A,增益!$H:$H,0))</f>
        <v>0</v>
      </c>
      <c r="AT236">
        <f t="shared" si="34"/>
        <v>680.02</v>
      </c>
      <c r="AU236">
        <f t="shared" si="35"/>
        <v>1288.54</v>
      </c>
      <c r="AV236" s="26" cm="1">
        <f t="array" ref="AV236">IF($F$11-$I$4+VLOOKUP($R236,武学奇术!$A:$ZZ,9,FALSE)+SUM(_xlfn.XLOOKUP(S236:AG236,增益!$A:$A,增益!$I:$I,0))&gt;0,($F$11-$I$4+VLOOKUP($R236,武学奇术!$A:$ZZ,9,FALSE)+SUM(_xlfn.XLOOKUP(S236:AG236,增益!$A:$A,增益!$I:$I,0)))/200,($F$11-$I$4+VLOOKUP($R236,武学奇术!$A:$ZZ,9,FALSE)+SUM(_xlfn.XLOOKUP(S236:AG236,增益!$A:$A,增益!$I:$I,0)))/100)</f>
        <v>0.075</v>
      </c>
      <c r="AW236" s="26" cm="1">
        <f t="array" ref="AW236">$G$11+VLOOKUP($R236,武学奇术!$A:$ZZ,10,FALSE)+SUM(_xlfn.XLOOKUP(S236:AG236,增益!$A:$A,增益!$J:$J,0))</f>
        <v>0.15</v>
      </c>
      <c r="AX236">
        <f t="shared" si="36"/>
        <v>0</v>
      </c>
      <c r="AY236">
        <f t="shared" si="37"/>
        <v>0</v>
      </c>
      <c r="AZ236" s="26" cm="1">
        <f t="array" ref="AZ236">IF($F$12-$I$4+VLOOKUP($R236,武学奇术!$A:$ZZ,11,FALSE)+SUM(_xlfn.XLOOKUP(S236:AG236,增益!$A:$A,增益!$K:$K,0))&gt;0,($F$12-$I$4+VLOOKUP($R236,武学奇术!$A:$ZZ,11,FALSE)+SUM(_xlfn.XLOOKUP(S236:AG236,增益!$A:$A,增益!$K:$K,0)))/200,($F$12-$I$4+VLOOKUP($R236,武学奇术!$A:$ZZ,11,FALSE)+SUM(_xlfn.XLOOKUP(S236:AG236,增益!$A:$A,增益!$K:$K,0)))/100)</f>
        <v>-0.3</v>
      </c>
      <c r="BA236" s="26" cm="1">
        <f t="array" ref="BA236">$G$12+VLOOKUP($R236,武学奇术!$A:$ZZ,12,FALSE)+SUM(_xlfn.XLOOKUP(S236:AG236,增益!$A:$A,增益!$L:$L,0))</f>
        <v>0</v>
      </c>
      <c r="BB236">
        <f t="shared" si="38"/>
        <v>0</v>
      </c>
      <c r="BC236">
        <f t="shared" si="39"/>
        <v>0</v>
      </c>
      <c r="BD236" s="26" cm="1">
        <f t="array" ref="BD236">IF($F$13-$I$4+VLOOKUP($R236,武学奇术!$A:$ZZ,13,FALSE)+SUM(_xlfn.XLOOKUP(S236:AG236,增益!$A:$A,增益!$M:$M,0))&gt;0,($F$13-$I$4+VLOOKUP($R236,武学奇术!$A:$ZZ,13,FALSE)+SUM(_xlfn.XLOOKUP(S236:AG236,增益!$A:$A,增益!$K:$K,0)))/200,($F$13-$I$4+VLOOKUP($R236,武学奇术!$A:$ZZ,13,FALSE)+SUM(_xlfn.XLOOKUP(S236:AG236,增益!$A:$A,增益!$M:$M,0)))/100)</f>
        <v>-0.3</v>
      </c>
      <c r="BE236" s="26" cm="1">
        <f t="array" ref="BE236">$G$13+VLOOKUP($R236,武学奇术!$A:$ZZ,14,FALSE)+SUM(_xlfn.XLOOKUP(S236:AG236,增益!$A:$A,增益!$N:$N,0))</f>
        <v>0</v>
      </c>
      <c r="BF236">
        <f t="shared" si="40"/>
        <v>0</v>
      </c>
      <c r="BG236">
        <f t="shared" si="41"/>
        <v>0</v>
      </c>
      <c r="BH236" s="26" cm="1">
        <f t="array" ref="BH236">IF($F$14-$I$4+VLOOKUP($R236,武学奇术!$A:$ZZ,15,FALSE)+SUM(_xlfn.XLOOKUP(S236:AG236,增益!$A:$A,增益!$O:$O,0))&gt;0,($F$14-$I$4+VLOOKUP($R236,武学奇术!$A:$ZZ,15,FALSE)+SUM(_xlfn.XLOOKUP(S236:AG236,增益!$A:$A,增益!$O:$O,0)))/200,($F$14-$I$4+VLOOKUP($R236,武学奇术!$A:$ZZ,15,FALSE)+SUM(_xlfn.XLOOKUP(S236:AG236,增益!$A:$A,增益!$O:$O,0)))/100)</f>
        <v>-0.3</v>
      </c>
      <c r="BI236" s="26" cm="1">
        <f t="array" ref="BI236">$G$14+VLOOKUP($R236,武学奇术!$A:$ZZ,16,FALSE)+SUM(_xlfn.XLOOKUP(S236:AG236,增益!$A:$A,增益!$P:$P,0))</f>
        <v>0</v>
      </c>
      <c r="BJ236" s="21">
        <f>MIN(IF(VLOOKUP($R236,武学奇术!$A:$ZZ,23,FALSE)=1,100%,$B$8),100%)</f>
        <v>0.8229</v>
      </c>
      <c r="BK236" s="21" cm="1">
        <f t="array" ref="BK236">IF(VLOOKUP($R236,武学奇术!$A:$ZZ,23,FALSE)=1,100%,MIN(80%,$B$9+VLOOKUP($R236,武学奇术!$A:$ZZ,17,FALSE)+SUM(_xlfn.XLOOKUP(S236:AG236,增益!$A:$A,增益!$Q:$Q,0)))+$B$11+SUM(_xlfn.XLOOKUP(S236:AG236,增益!$A:$A,增益!$U:$U,0)))*IF(VLOOKUP($R236,武学奇术!$A:$ZZ,24,FALSE)=1,0,1)</f>
        <v>0.2285</v>
      </c>
      <c r="BL236" s="21" cm="1">
        <f t="array" ref="BL236">1+$B$13+VLOOKUP($R236,武学奇术!$A:$ZZ,18,FALSE)+SUM(_xlfn.XLOOKUP(S236:AG236,增益!$A:$A,增益!$R:$R,0))</f>
        <v>1.5</v>
      </c>
      <c r="BM236" s="21" cm="1">
        <f t="array" ref="BM236">IF(VLOOKUP($R236,武学奇术!$A:$ZZ,24,FALSE)=1,100%,MIN(40%,$B$10+VLOOKUP($R236,武学奇术!$A:$ZZ,19,FALSE)+SUM(_xlfn.XLOOKUP(S236:AG236,增益!$A:$A,增益!$S:$S,0)))+$B$12+SUM(_xlfn.XLOOKUP(S236:AG236,增益!$A:$A,增益!$V:$V,0)))*IF(VLOOKUP($R236,武学奇术!$A:$ZZ,23,FALSE)=1,0,1)</f>
        <v>0.4495</v>
      </c>
      <c r="BN236" s="21" cm="1">
        <f t="array" ref="BN236">1+$B$14+VLOOKUP($R236,武学奇术!$A:$ZZ,20,FALSE)+SUM(_xlfn.XLOOKUP(S236:AG236,增益!$A:$A,增益!$T:$T,0))</f>
        <v>1.782</v>
      </c>
      <c r="BO236" s="21">
        <f t="shared" si="42"/>
        <v>0.18803265</v>
      </c>
      <c r="BP236" s="21">
        <f t="shared" si="43"/>
        <v>0.2649738</v>
      </c>
      <c r="BQ236" s="21">
        <f>IF(VLOOKUP($R236,武学奇术!$A:$ZZ,22,FALSE)=1,0,(1-$BJ236))*(1-$BM236)</f>
        <v>0.09749355</v>
      </c>
      <c r="BR236" s="21" cm="1">
        <f t="array" ref="BR236">SUM(_xlfn.XLOOKUP(S236:AG236,增益!$A:$A,增益!$W:$W,0))+$I$5</f>
        <v>0.06</v>
      </c>
    </row>
    <row r="237" spans="11:70">
      <c r="K237" s="24">
        <f>$L237*VLOOKUP($R237,武学奇术!$A:$ZZ,31,FALSE)</f>
        <v>0</v>
      </c>
      <c r="L237" s="24">
        <f t="shared" si="33"/>
        <v>0</v>
      </c>
      <c r="M237" s="24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BL237*$Q237*(1+IF(VLOOKUP($R237,武学奇术!$A:$ZZ,30,FALSE)="流血",$B$21,0))*(1+$BR237)</f>
        <v>0</v>
      </c>
      <c r="N237" s="24">
        <f>(($AP237*$AI237+$AJ237)*(1+$AQ237)*(1+$AR237)+($AU237*IF($G$1="鸣金",$AK237,$AI237)+IF($G$1="鸣金",$AL237*1.5,0))*(1+$AV237)*(1+$AW237)+($AY237*IF($G$1="裂石",$AK237,$AI237)+IF($G$1="裂石",$AL237*1.5,0))*(1+$AZ237)*(1+$BA237)+($BC237*IF($G$1="牵丝",$AK237,$AI237)+IF($G$1="牵丝",$AL237*1.5,0))*(1+$BD237)*(1+$BE237)+($BG237*IF($G$1="破竹",$AK237,$AI237)+IF($G$1="破竹",$AL237*1.5,0))*(1+$BH237)*(1+$BI237))*(1+$AM237)*$BN237*$Q237*(1+IF(VLOOKUP($R237,武学奇术!$A:$ZZ,30,FALSE)="流血",$B$21,0))*(1+$BR237)</f>
        <v>0</v>
      </c>
      <c r="O237" s="24">
        <f>((($AO237+$AP237)/2*$AI237+$AJ237)*(1+$AQ237)*(1+$AR237)+(($AT237+$AU237)/2*IF($G$1="鸣金",$AK237,$AI237)+IF($G$1="鸣金",$AL237*1.5,0))*(1+$AV237)*(1+$AW237)+(($AX237+$AY237)/2*IF($G$1="裂石",$AK237,$AI237)+IF($G$1="裂石",$AL237*1.5,0))*(1+$AZ237)*(1+$BA237)+(($BB237+$BC237)/2*IF($G$1="牵丝",$AK237,$AI237)+IF($G$1="牵丝",$AL237*1.5,0))*(1+$BD237)*(1+$BE237)+(($BF237+$BG237)/2*IF($G$1="破竹",$AK237,$AI237)+IF($G$1="破竹",$AL237*1.5,0))*(1+$BH237)*(1+$BI237))*(1+$AM237)*$Q237*(1+IF(VLOOKUP($R237,武学奇术!$A:$ZZ,30,FALSE)="流血",$B$21,0))*(1+$BR237)</f>
        <v>0</v>
      </c>
      <c r="P237" s="24">
        <f>((($AO237*$AI237+$AJ237)*(1+$AQ237)*(1+$AR237)+($AT237*IF($G$1="鸣金",$AK237,$AI237)+IF($G$1="鸣金",$AL237*1.5,0))*(1+$AV237)*(1+$AW237)+($AX237*IF($G$1="裂石",$AK237,$AI237)+IF($G$1="裂石",$AL237*1.5,0))*(1+$AZ237)*(1+$BA237)+($BB237*IF($G$1="牵丝",$AK237,$AI237)+IF($G$1="牵丝",$AL237*1.5,0))*(1+$BD237)*(1+$BE237)+($BF237*IF($G$1="破竹",$AK237,$AI237)+IF($G$1="破竹",$AL237*1.5,0))*(1+$BH237)*(1+$BI237))*(1+$AM237))*$Q237*(1+IF(VLOOKUP($R237,武学奇术!$A:$ZZ,30,FALSE)="流血",$B$21,0))*(1+$BR237)</f>
        <v>0</v>
      </c>
      <c r="Q237" s="31"/>
      <c r="R237" s="32" t="s">
        <v>73</v>
      </c>
      <c r="S237" s="32" t="s">
        <v>73</v>
      </c>
      <c r="T237" s="32" t="s">
        <v>73</v>
      </c>
      <c r="U237" s="32" t="s">
        <v>73</v>
      </c>
      <c r="V237" s="32" t="s">
        <v>73</v>
      </c>
      <c r="W237" s="32" t="s">
        <v>73</v>
      </c>
      <c r="X237" s="32" t="s">
        <v>73</v>
      </c>
      <c r="Y237" s="32" t="s">
        <v>73</v>
      </c>
      <c r="Z237" s="32" t="s">
        <v>73</v>
      </c>
      <c r="AA237" s="32" t="s">
        <v>73</v>
      </c>
      <c r="AB237" s="32" t="s">
        <v>73</v>
      </c>
      <c r="AC237" s="32" t="s">
        <v>73</v>
      </c>
      <c r="AD237" s="32" t="s">
        <v>73</v>
      </c>
      <c r="AE237" s="32" t="s">
        <v>73</v>
      </c>
      <c r="AF237" s="32" t="s">
        <v>73</v>
      </c>
      <c r="AG237" s="32" t="s">
        <v>73</v>
      </c>
      <c r="AH237" t="str">
        <f>VLOOKUP($R237,武学奇术!$A:$ZZ,25,FALSE)</f>
        <v>心法</v>
      </c>
      <c r="AI237" s="21">
        <f>VLOOKUP($R237,武学奇术!$A:$ZZ,26,FALSE)</f>
        <v>0</v>
      </c>
      <c r="AJ237" s="22">
        <f>VLOOKUP($R237,武学奇术!$A:$ZZ,27,FALSE)*(1+IF(OR($AH237=$F$4,$AH237=$F$5),$B$22,0))</f>
        <v>0</v>
      </c>
      <c r="AK237" s="21">
        <f>VLOOKUP($R237,武学奇术!$A:$ZZ,28,FALSE)</f>
        <v>0</v>
      </c>
      <c r="AL237" s="22">
        <f>VLOOKUP($R237,武学奇术!$A:$ZZ,29,FALSE)*(1+IF(OR($AH237=$F$4,$AH237=$F$5),$B$22,0))</f>
        <v>0</v>
      </c>
      <c r="AM237" s="21" cm="1">
        <f t="array" ref="AM237">$G$3+IFERROR(VLOOKUP($AH237,$F$4:$G$7,2,FALSE),0)+VLOOKUP($R237,武学奇术!$A:$ZZ,2,FALSE)+SUM(_xlfn.XLOOKUP($S237:$AG237,增益!$A:$A,增益!$B:$B,0))</f>
        <v>0.1042</v>
      </c>
      <c r="AN237" s="21" cm="1">
        <f t="array" ref="AN237">VLOOKUP($R237,武学奇术!$A:$ZZ,5,FALSE)+SUM(_xlfn.XLOOKUP($S237:$AG237,增益!$A:$A,增益!$E:$E,0))</f>
        <v>0</v>
      </c>
      <c r="AO237" cm="1">
        <f t="array" ref="AO237">$D$10*(1+$AN237)+VLOOKUP($R237,武学奇术!$A:$ZZ,3,FALSE)+SUM(_xlfn.XLOOKUP($S237:$AG237,增益!$A:$A,增益!$C:$C,0))-$I$2</f>
        <v>1794.28</v>
      </c>
      <c r="AP237" cm="1">
        <f t="array" ref="AP237">$E$10*(1+$AN237)+VLOOKUP($R237,武学奇术!$A:$ZZ,4,FALSE)+SUM(_xlfn.XLOOKUP($S237:$AG237,增益!$A:$A,增益!$D:$D,0))-$I$2</f>
        <v>7726.36</v>
      </c>
      <c r="AQ237" s="26" cm="1">
        <f t="array" ref="AQ237">IF($F$10-$I$3+VLOOKUP($R237,武学奇术!$A:$ZZ,6,FALSE)+SUM(_xlfn.XLOOKUP(S237:AG237,增益!$A:$A,增益!$F:$F,0))&gt;0,($F$10-$I$3+VLOOKUP($R237,武学奇术!$A:$ZZ,6,FALSE)+SUM(_xlfn.XLOOKUP(S237:AG237,增益!$A:$A,增益!$F:$F,0)))/200,($F$10-$I$3+VLOOKUP($R237,武学奇术!$A:$ZZ,6,FALSE)+SUM(_xlfn.XLOOKUP(S237:AG237,增益!$A:$A,增益!$F:$F,0)))/100)</f>
        <v>0.194</v>
      </c>
      <c r="AR237" s="26" cm="1">
        <f t="array" ref="AR237">$G$10+VLOOKUP($R237,武学奇术!$A:$ZZ,7,FALSE)+SUM(_xlfn.XLOOKUP(S237:AG237,增益!$A:$A,增益!$G:$G,0))</f>
        <v>0</v>
      </c>
      <c r="AS237" s="21" cm="1">
        <f t="array" ref="AS237">VLOOKUP($R237,武学奇术!$A:$ZZ,8,FALSE)+SUM(_xlfn.XLOOKUP(S237:AG237,增益!$A:$A,增益!$H:$H,0))</f>
        <v>0</v>
      </c>
      <c r="AT237">
        <f t="shared" si="34"/>
        <v>680.02</v>
      </c>
      <c r="AU237">
        <f t="shared" si="35"/>
        <v>1288.54</v>
      </c>
      <c r="AV237" s="26" cm="1">
        <f t="array" ref="AV237">IF($F$11-$I$4+VLOOKUP($R237,武学奇术!$A:$ZZ,9,FALSE)+SUM(_xlfn.XLOOKUP(S237:AG237,增益!$A:$A,增益!$I:$I,0))&gt;0,($F$11-$I$4+VLOOKUP($R237,武学奇术!$A:$ZZ,9,FALSE)+SUM(_xlfn.XLOOKUP(S237:AG237,增益!$A:$A,增益!$I:$I,0)))/200,($F$11-$I$4+VLOOKUP($R237,武学奇术!$A:$ZZ,9,FALSE)+SUM(_xlfn.XLOOKUP(S237:AG237,增益!$A:$A,增益!$I:$I,0)))/100)</f>
        <v>0</v>
      </c>
      <c r="AW237" s="26" cm="1">
        <f t="array" ref="AW237">$G$11+VLOOKUP($R237,武学奇术!$A:$ZZ,10,FALSE)+SUM(_xlfn.XLOOKUP(S237:AG237,增益!$A:$A,增益!$J:$J,0))</f>
        <v>0.15</v>
      </c>
      <c r="AX237">
        <f t="shared" si="36"/>
        <v>0</v>
      </c>
      <c r="AY237">
        <f t="shared" si="37"/>
        <v>0</v>
      </c>
      <c r="AZ237" s="26" cm="1">
        <f t="array" ref="AZ237">IF($F$12-$I$4+VLOOKUP($R237,武学奇术!$A:$ZZ,11,FALSE)+SUM(_xlfn.XLOOKUP(S237:AG237,增益!$A:$A,增益!$K:$K,0))&gt;0,($F$12-$I$4+VLOOKUP($R237,武学奇术!$A:$ZZ,11,FALSE)+SUM(_xlfn.XLOOKUP(S237:AG237,增益!$A:$A,增益!$K:$K,0)))/200,($F$12-$I$4+VLOOKUP($R237,武学奇术!$A:$ZZ,11,FALSE)+SUM(_xlfn.XLOOKUP(S237:AG237,增益!$A:$A,增益!$K:$K,0)))/100)</f>
        <v>-0.3</v>
      </c>
      <c r="BA237" s="26" cm="1">
        <f t="array" ref="BA237">$G$12+VLOOKUP($R237,武学奇术!$A:$ZZ,12,FALSE)+SUM(_xlfn.XLOOKUP(S237:AG237,增益!$A:$A,增益!$L:$L,0))</f>
        <v>0</v>
      </c>
      <c r="BB237">
        <f t="shared" si="38"/>
        <v>0</v>
      </c>
      <c r="BC237">
        <f t="shared" si="39"/>
        <v>0</v>
      </c>
      <c r="BD237" s="26" cm="1">
        <f t="array" ref="BD237">IF($F$13-$I$4+VLOOKUP($R237,武学奇术!$A:$ZZ,13,FALSE)+SUM(_xlfn.XLOOKUP(S237:AG237,增益!$A:$A,增益!$M:$M,0))&gt;0,($F$13-$I$4+VLOOKUP($R237,武学奇术!$A:$ZZ,13,FALSE)+SUM(_xlfn.XLOOKUP(S237:AG237,增益!$A:$A,增益!$K:$K,0)))/200,($F$13-$I$4+VLOOKUP($R237,武学奇术!$A:$ZZ,13,FALSE)+SUM(_xlfn.XLOOKUP(S237:AG237,增益!$A:$A,增益!$M:$M,0)))/100)</f>
        <v>-0.3</v>
      </c>
      <c r="BE237" s="26" cm="1">
        <f t="array" ref="BE237">$G$13+VLOOKUP($R237,武学奇术!$A:$ZZ,14,FALSE)+SUM(_xlfn.XLOOKUP(S237:AG237,增益!$A:$A,增益!$N:$N,0))</f>
        <v>0</v>
      </c>
      <c r="BF237">
        <f t="shared" si="40"/>
        <v>0</v>
      </c>
      <c r="BG237">
        <f t="shared" si="41"/>
        <v>0</v>
      </c>
      <c r="BH237" s="26" cm="1">
        <f t="array" ref="BH237">IF($F$14-$I$4+VLOOKUP($R237,武学奇术!$A:$ZZ,15,FALSE)+SUM(_xlfn.XLOOKUP(S237:AG237,增益!$A:$A,增益!$O:$O,0))&gt;0,($F$14-$I$4+VLOOKUP($R237,武学奇术!$A:$ZZ,15,FALSE)+SUM(_xlfn.XLOOKUP(S237:AG237,增益!$A:$A,增益!$O:$O,0)))/200,($F$14-$I$4+VLOOKUP($R237,武学奇术!$A:$ZZ,15,FALSE)+SUM(_xlfn.XLOOKUP(S237:AG237,增益!$A:$A,增益!$O:$O,0)))/100)</f>
        <v>-0.3</v>
      </c>
      <c r="BI237" s="26" cm="1">
        <f t="array" ref="BI237">$G$14+VLOOKUP($R237,武学奇术!$A:$ZZ,16,FALSE)+SUM(_xlfn.XLOOKUP(S237:AG237,增益!$A:$A,增益!$P:$P,0))</f>
        <v>0</v>
      </c>
      <c r="BJ237" s="21">
        <f>MIN(IF(VLOOKUP($R237,武学奇术!$A:$ZZ,23,FALSE)=1,100%,$B$8),100%)</f>
        <v>0.8229</v>
      </c>
      <c r="BK237" s="21" cm="1">
        <f t="array" ref="BK237">IF(VLOOKUP($R237,武学奇术!$A:$ZZ,23,FALSE)=1,100%,MIN(80%,$B$9+VLOOKUP($R237,武学奇术!$A:$ZZ,17,FALSE)+SUM(_xlfn.XLOOKUP(S237:AG237,增益!$A:$A,增益!$Q:$Q,0)))+$B$11+SUM(_xlfn.XLOOKUP(S237:AG237,增益!$A:$A,增益!$U:$U,0)))*IF(VLOOKUP($R237,武学奇术!$A:$ZZ,24,FALSE)=1,0,1)</f>
        <v>0.2285</v>
      </c>
      <c r="BL237" s="21" cm="1">
        <f t="array" ref="BL237">1+$B$13+VLOOKUP($R237,武学奇术!$A:$ZZ,18,FALSE)+SUM(_xlfn.XLOOKUP(S237:AG237,增益!$A:$A,增益!$R:$R,0))</f>
        <v>1.5</v>
      </c>
      <c r="BM237" s="21" cm="1">
        <f t="array" ref="BM237">IF(VLOOKUP($R237,武学奇术!$A:$ZZ,24,FALSE)=1,100%,MIN(40%,$B$10+VLOOKUP($R237,武学奇术!$A:$ZZ,19,FALSE)+SUM(_xlfn.XLOOKUP(S237:AG237,增益!$A:$A,增益!$S:$S,0)))+$B$12+SUM(_xlfn.XLOOKUP(S237:AG237,增益!$A:$A,增益!$V:$V,0)))*IF(VLOOKUP($R237,武学奇术!$A:$ZZ,23,FALSE)=1,0,1)</f>
        <v>0.4195</v>
      </c>
      <c r="BN237" s="21" cm="1">
        <f t="array" ref="BN237">1+$B$14+VLOOKUP($R237,武学奇术!$A:$ZZ,20,FALSE)+SUM(_xlfn.XLOOKUP(S237:AG237,增益!$A:$A,增益!$T:$T,0))</f>
        <v>1.402</v>
      </c>
      <c r="BO237" s="21">
        <f t="shared" si="42"/>
        <v>0.18803265</v>
      </c>
      <c r="BP237" s="21">
        <f t="shared" si="43"/>
        <v>0.2896608</v>
      </c>
      <c r="BQ237" s="21">
        <f>IF(VLOOKUP($R237,武学奇术!$A:$ZZ,22,FALSE)=1,0,(1-$BJ237))*(1-$BM237)</f>
        <v>0.10280655</v>
      </c>
      <c r="BR237" s="21" cm="1">
        <f t="array" ref="BR237">SUM(_xlfn.XLOOKUP(S237:AG237,增益!$A:$A,增益!$W:$W,0))+$I$5</f>
        <v>0.06</v>
      </c>
    </row>
    <row r="238" spans="11:70">
      <c r="K238" s="24">
        <f>$L238*VLOOKUP($R238,武学奇术!$A:$ZZ,31,FALSE)</f>
        <v>7745.15831384111</v>
      </c>
      <c r="L238" s="24">
        <f t="shared" si="33"/>
        <v>12908.5971897352</v>
      </c>
      <c r="M238" s="24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BL238*$Q238*(1+IF(VLOOKUP($R238,武学奇术!$A:$ZZ,30,FALSE)="流血",$B$21,0))*(1+$BR238)</f>
        <v>10557.0317781008</v>
      </c>
      <c r="N238" s="24">
        <f>(($AP238*$AI238+$AJ238)*(1+$AQ238)*(1+$AR238)+($AU238*IF($G$1="鸣金",$AK238,$AI238)+IF($G$1="鸣金",$AL238*1.5,0))*(1+$AV238)*(1+$AW238)+($AY238*IF($G$1="裂石",$AK238,$AI238)+IF($G$1="裂石",$AL238*1.5,0))*(1+$AZ238)*(1+$BA238)+($BC238*IF($G$1="牵丝",$AK238,$AI238)+IF($G$1="牵丝",$AL238*1.5,0))*(1+$BD238)*(1+$BE238)+($BG238*IF($G$1="破竹",$AK238,$AI238)+IF($G$1="破竹",$AL238*1.5,0))*(1+$BH238)*(1+$BI238))*(1+$AM238)*$BN238*$Q238*(1+IF(VLOOKUP($R238,武学奇术!$A:$ZZ,30,FALSE)="流血",$B$21,0))*(1+$BR238)</f>
        <v>19469.387712837</v>
      </c>
      <c r="O238" s="24">
        <f>((($AO238+$AP238)/2*$AI238+$AJ238)*(1+$AQ238)*(1+$AR238)+(($AT238+$AU238)/2*IF($G$1="鸣金",$AK238,$AI238)+IF($G$1="鸣金",$AL238*1.5,0))*(1+$AV238)*(1+$AW238)+(($AX238+$AY238)/2*IF($G$1="裂石",$AK238,$AI238)+IF($G$1="裂石",$AL238*1.5,0))*(1+$AZ238)*(1+$BA238)+(($BB238+$BC238)/2*IF($G$1="牵丝",$AK238,$AI238)+IF($G$1="牵丝",$AL238*1.5,0))*(1+$BD238)*(1+$BE238)+(($BF238+$BG238)/2*IF($G$1="破竹",$AK238,$AI238)+IF($G$1="破竹",$AL238*1.5,0))*(1+$BH238)*(1+$BI238))*(1+$AM238)*$Q238*(1+IF(VLOOKUP($R238,武学奇术!$A:$ZZ,30,FALSE)="流血",$B$21,0))*(1+$BR238)</f>
        <v>7038.02118540055</v>
      </c>
      <c r="P238" s="24">
        <f>((($AO238*$AI238+$AJ238)*(1+$AQ238)*(1+$AR238)+($AT238*IF($G$1="鸣金",$AK238,$AI238)+IF($G$1="鸣金",$AL238*1.5,0))*(1+$AV238)*(1+$AW238)+($AX238*IF($G$1="裂石",$AK238,$AI238)+IF($G$1="裂石",$AL238*1.5,0))*(1+$AZ238)*(1+$BA238)+($BB238*IF($G$1="牵丝",$AK238,$AI238)+IF($G$1="牵丝",$AL238*1.5,0))*(1+$BD238)*(1+$BE238)+($BF238*IF($G$1="破竹",$AK238,$AI238)+IF($G$1="破竹",$AL238*1.5,0))*(1+$BH238)*(1+$BI238))*(1+$AM238))*$Q238*(1+IF(VLOOKUP($R238,武学奇术!$A:$ZZ,30,FALSE)="流血",$B$21,0))*(1+$BR238)</f>
        <v>3150.46004036504</v>
      </c>
      <c r="Q238" s="31">
        <v>1</v>
      </c>
      <c r="R238" s="32" t="s">
        <v>197</v>
      </c>
      <c r="S238" s="32" t="s">
        <v>87</v>
      </c>
      <c r="T238" s="32" t="s">
        <v>96</v>
      </c>
      <c r="U238" s="32" t="s">
        <v>97</v>
      </c>
      <c r="V238" s="32" t="s">
        <v>73</v>
      </c>
      <c r="W238" s="32" t="s">
        <v>73</v>
      </c>
      <c r="X238" s="32" t="s">
        <v>127</v>
      </c>
      <c r="Y238" s="32" t="s">
        <v>73</v>
      </c>
      <c r="Z238" s="32" t="s">
        <v>73</v>
      </c>
      <c r="AA238" s="32" t="s">
        <v>81</v>
      </c>
      <c r="AB238" s="32" t="s">
        <v>75</v>
      </c>
      <c r="AC238" s="32" t="s">
        <v>76</v>
      </c>
      <c r="AD238" s="32" t="s">
        <v>82</v>
      </c>
      <c r="AE238" s="32" t="s">
        <v>73</v>
      </c>
      <c r="AF238" s="32" t="s">
        <v>73</v>
      </c>
      <c r="AG238" s="32" t="s">
        <v>178</v>
      </c>
      <c r="AH238" t="str">
        <f>VLOOKUP($R238,武学奇术!$A:$ZZ,25,FALSE)</f>
        <v>剑</v>
      </c>
      <c r="AI238" s="21">
        <f>VLOOKUP($R238,武学奇术!$A:$ZZ,26,FALSE)</f>
        <v>0.2772</v>
      </c>
      <c r="AJ238" s="22">
        <f>VLOOKUP($R238,武学奇术!$A:$ZZ,27,FALSE)*(1+IF(OR($AH238=$F$4,$AH238=$F$5),$B$22,0))</f>
        <v>0</v>
      </c>
      <c r="AK238" s="21">
        <f>VLOOKUP($R238,武学奇术!$A:$ZZ,28,FALSE)</f>
        <v>0.4158</v>
      </c>
      <c r="AL238" s="22">
        <f>VLOOKUP($R238,武学奇术!$A:$ZZ,29,FALSE)*(1+IF(OR($AH238=$F$4,$AH238=$F$5),$B$22,0))</f>
        <v>0</v>
      </c>
      <c r="AM238" s="21" cm="1">
        <f t="array" ref="AM238">$G$3+IFERROR(VLOOKUP($AH238,$F$4:$G$7,2,FALSE),0)+VLOOKUP($R238,武学奇术!$A:$ZZ,2,FALSE)+SUM(_xlfn.XLOOKUP($S238:$AG238,增益!$A:$A,增益!$B:$B,0))</f>
        <v>1.2391</v>
      </c>
      <c r="AN238" s="21" cm="1">
        <f t="array" ref="AN238">VLOOKUP($R238,武学奇术!$A:$ZZ,5,FALSE)+SUM(_xlfn.XLOOKUP($S238:$AG238,增益!$A:$A,增益!$E:$E,0))</f>
        <v>0</v>
      </c>
      <c r="AO238" cm="1">
        <f t="array" ref="AO238">$D$10*(1+$AN238)+VLOOKUP($R238,武学奇术!$A:$ZZ,3,FALSE)+SUM(_xlfn.XLOOKUP($S238:$AG238,增益!$A:$A,增益!$C:$C,0))-$I$2</f>
        <v>1794.28</v>
      </c>
      <c r="AP238" cm="1">
        <f t="array" ref="AP238">$E$10*(1+$AN238)+VLOOKUP($R238,武学奇术!$A:$ZZ,4,FALSE)+SUM(_xlfn.XLOOKUP($S238:$AG238,增益!$A:$A,增益!$D:$D,0))-$I$2</f>
        <v>7726.36</v>
      </c>
      <c r="AQ238" s="26" cm="1">
        <f t="array" ref="AQ238">IF($F$10-$I$3+VLOOKUP($R238,武学奇术!$A:$ZZ,6,FALSE)+SUM(_xlfn.XLOOKUP(S238:AG238,增益!$A:$A,增益!$F:$F,0))&gt;0,($F$10-$I$3+VLOOKUP($R238,武学奇术!$A:$ZZ,6,FALSE)+SUM(_xlfn.XLOOKUP(S238:AG238,增益!$A:$A,增益!$F:$F,0)))/200,($F$10-$I$3+VLOOKUP($R238,武学奇术!$A:$ZZ,6,FALSE)+SUM(_xlfn.XLOOKUP(S238:AG238,增益!$A:$A,增益!$F:$F,0)))/100)</f>
        <v>0.319</v>
      </c>
      <c r="AR238" s="26" cm="1">
        <f t="array" ref="AR238">$G$10+VLOOKUP($R238,武学奇术!$A:$ZZ,7,FALSE)+SUM(_xlfn.XLOOKUP(S238:AG238,增益!$A:$A,增益!$G:$G,0))</f>
        <v>0</v>
      </c>
      <c r="AS238" s="21" cm="1">
        <f t="array" ref="AS238">VLOOKUP($R238,武学奇术!$A:$ZZ,8,FALSE)+SUM(_xlfn.XLOOKUP(S238:AG238,增益!$A:$A,增益!$H:$H,0))</f>
        <v>0</v>
      </c>
      <c r="AT238">
        <f t="shared" si="34"/>
        <v>680.02</v>
      </c>
      <c r="AU238">
        <f t="shared" si="35"/>
        <v>1288.54</v>
      </c>
      <c r="AV238" s="26" cm="1">
        <f t="array" ref="AV238">IF($F$11-$I$4+VLOOKUP($R238,武学奇术!$A:$ZZ,9,FALSE)+SUM(_xlfn.XLOOKUP(S238:AG238,增益!$A:$A,增益!$I:$I,0))&gt;0,($F$11-$I$4+VLOOKUP($R238,武学奇术!$A:$ZZ,9,FALSE)+SUM(_xlfn.XLOOKUP(S238:AG238,增益!$A:$A,增益!$I:$I,0)))/200,($F$11-$I$4+VLOOKUP($R238,武学奇术!$A:$ZZ,9,FALSE)+SUM(_xlfn.XLOOKUP(S238:AG238,增益!$A:$A,增益!$I:$I,0)))/100)</f>
        <v>0.075</v>
      </c>
      <c r="AW238" s="26" cm="1">
        <f t="array" ref="AW238">$G$11+VLOOKUP($R238,武学奇术!$A:$ZZ,10,FALSE)+SUM(_xlfn.XLOOKUP(S238:AG238,增益!$A:$A,增益!$J:$J,0))</f>
        <v>0.15</v>
      </c>
      <c r="AX238">
        <f t="shared" si="36"/>
        <v>0</v>
      </c>
      <c r="AY238">
        <f t="shared" si="37"/>
        <v>0</v>
      </c>
      <c r="AZ238" s="26" cm="1">
        <f t="array" ref="AZ238">IF($F$12-$I$4+VLOOKUP($R238,武学奇术!$A:$ZZ,11,FALSE)+SUM(_xlfn.XLOOKUP(S238:AG238,增益!$A:$A,增益!$K:$K,0))&gt;0,($F$12-$I$4+VLOOKUP($R238,武学奇术!$A:$ZZ,11,FALSE)+SUM(_xlfn.XLOOKUP(S238:AG238,增益!$A:$A,增益!$K:$K,0)))/200,($F$12-$I$4+VLOOKUP($R238,武学奇术!$A:$ZZ,11,FALSE)+SUM(_xlfn.XLOOKUP(S238:AG238,增益!$A:$A,增益!$K:$K,0)))/100)</f>
        <v>-0.3</v>
      </c>
      <c r="BA238" s="26" cm="1">
        <f t="array" ref="BA238">$G$12+VLOOKUP($R238,武学奇术!$A:$ZZ,12,FALSE)+SUM(_xlfn.XLOOKUP(S238:AG238,增益!$A:$A,增益!$L:$L,0))</f>
        <v>0</v>
      </c>
      <c r="BB238">
        <f t="shared" si="38"/>
        <v>0</v>
      </c>
      <c r="BC238">
        <f t="shared" si="39"/>
        <v>0</v>
      </c>
      <c r="BD238" s="26" cm="1">
        <f t="array" ref="BD238">IF($F$13-$I$4+VLOOKUP($R238,武学奇术!$A:$ZZ,13,FALSE)+SUM(_xlfn.XLOOKUP(S238:AG238,增益!$A:$A,增益!$M:$M,0))&gt;0,($F$13-$I$4+VLOOKUP($R238,武学奇术!$A:$ZZ,13,FALSE)+SUM(_xlfn.XLOOKUP(S238:AG238,增益!$A:$A,增益!$K:$K,0)))/200,($F$13-$I$4+VLOOKUP($R238,武学奇术!$A:$ZZ,13,FALSE)+SUM(_xlfn.XLOOKUP(S238:AG238,增益!$A:$A,增益!$M:$M,0)))/100)</f>
        <v>-0.3</v>
      </c>
      <c r="BE238" s="26" cm="1">
        <f t="array" ref="BE238">$G$13+VLOOKUP($R238,武学奇术!$A:$ZZ,14,FALSE)+SUM(_xlfn.XLOOKUP(S238:AG238,增益!$A:$A,增益!$N:$N,0))</f>
        <v>0</v>
      </c>
      <c r="BF238">
        <f t="shared" si="40"/>
        <v>0</v>
      </c>
      <c r="BG238">
        <f t="shared" si="41"/>
        <v>0</v>
      </c>
      <c r="BH238" s="26" cm="1">
        <f t="array" ref="BH238">IF($F$14-$I$4+VLOOKUP($R238,武学奇术!$A:$ZZ,15,FALSE)+SUM(_xlfn.XLOOKUP(S238:AG238,增益!$A:$A,增益!$O:$O,0))&gt;0,($F$14-$I$4+VLOOKUP($R238,武学奇术!$A:$ZZ,15,FALSE)+SUM(_xlfn.XLOOKUP(S238:AG238,增益!$A:$A,增益!$O:$O,0)))/200,($F$14-$I$4+VLOOKUP($R238,武学奇术!$A:$ZZ,15,FALSE)+SUM(_xlfn.XLOOKUP(S238:AG238,增益!$A:$A,增益!$O:$O,0)))/100)</f>
        <v>-0.3</v>
      </c>
      <c r="BI238" s="26" cm="1">
        <f t="array" ref="BI238">$G$14+VLOOKUP($R238,武学奇术!$A:$ZZ,16,FALSE)+SUM(_xlfn.XLOOKUP(S238:AG238,增益!$A:$A,增益!$P:$P,0))</f>
        <v>0</v>
      </c>
      <c r="BJ238" s="21">
        <f>MIN(IF(VLOOKUP($R238,武学奇术!$A:$ZZ,23,FALSE)=1,100%,$B$8),100%)</f>
        <v>0.8229</v>
      </c>
      <c r="BK238" s="21" cm="1">
        <f t="array" ref="BK238">IF(VLOOKUP($R238,武学奇术!$A:$ZZ,23,FALSE)=1,100%,MIN(80%,$B$9+VLOOKUP($R238,武学奇术!$A:$ZZ,17,FALSE)+SUM(_xlfn.XLOOKUP(S238:AG238,增益!$A:$A,增益!$Q:$Q,0)))+$B$11+SUM(_xlfn.XLOOKUP(S238:AG238,增益!$A:$A,增益!$U:$U,0)))*IF(VLOOKUP($R238,武学奇术!$A:$ZZ,24,FALSE)=1,0,1)</f>
        <v>0.2285</v>
      </c>
      <c r="BL238" s="21" cm="1">
        <f t="array" ref="BL238">1+$B$13+VLOOKUP($R238,武学奇术!$A:$ZZ,18,FALSE)+SUM(_xlfn.XLOOKUP(S238:AG238,增益!$A:$A,增益!$R:$R,0))</f>
        <v>1.5</v>
      </c>
      <c r="BM238" s="21" cm="1">
        <f t="array" ref="BM238">IF(VLOOKUP($R238,武学奇术!$A:$ZZ,24,FALSE)=1,100%,MIN(40%,$B$10+VLOOKUP($R238,武学奇术!$A:$ZZ,19,FALSE)+SUM(_xlfn.XLOOKUP(S238:AG238,增益!$A:$A,增益!$S:$S,0)))+$B$12+SUM(_xlfn.XLOOKUP(S238:AG238,增益!$A:$A,增益!$V:$V,0)))*IF(VLOOKUP($R238,武学奇术!$A:$ZZ,23,FALSE)=1,0,1)</f>
        <v>0.4495</v>
      </c>
      <c r="BN238" s="21" cm="1">
        <f t="array" ref="BN238">1+$B$14+VLOOKUP($R238,武学奇术!$A:$ZZ,20,FALSE)+SUM(_xlfn.XLOOKUP(S238:AG238,增益!$A:$A,增益!$T:$T,0))</f>
        <v>1.782</v>
      </c>
      <c r="BO238" s="21">
        <f t="shared" si="42"/>
        <v>0.18803265</v>
      </c>
      <c r="BP238" s="21">
        <f t="shared" si="43"/>
        <v>0.2649738</v>
      </c>
      <c r="BQ238" s="21">
        <f>IF(VLOOKUP($R238,武学奇术!$A:$ZZ,22,FALSE)=1,0,(1-$BJ238))*(1-$BM238)</f>
        <v>0.09749355</v>
      </c>
      <c r="BR238" s="21" cm="1">
        <f t="array" ref="BR238">SUM(_xlfn.XLOOKUP(S238:AG238,增益!$A:$A,增益!$W:$W,0))+$I$5</f>
        <v>0.06</v>
      </c>
    </row>
    <row r="239" spans="11:70">
      <c r="K239" s="24">
        <f>$L239*VLOOKUP($R239,武学奇术!$A:$ZZ,31,FALSE)</f>
        <v>7745.15831384111</v>
      </c>
      <c r="L239" s="24">
        <f t="shared" si="33"/>
        <v>12908.5971897352</v>
      </c>
      <c r="M239" s="24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BL239*$Q239*(1+IF(VLOOKUP($R239,武学奇术!$A:$ZZ,30,FALSE)="流血",$B$21,0))*(1+$BR239)</f>
        <v>10557.0317781008</v>
      </c>
      <c r="N239" s="24">
        <f>(($AP239*$AI239+$AJ239)*(1+$AQ239)*(1+$AR239)+($AU239*IF($G$1="鸣金",$AK239,$AI239)+IF($G$1="鸣金",$AL239*1.5,0))*(1+$AV239)*(1+$AW239)+($AY239*IF($G$1="裂石",$AK239,$AI239)+IF($G$1="裂石",$AL239*1.5,0))*(1+$AZ239)*(1+$BA239)+($BC239*IF($G$1="牵丝",$AK239,$AI239)+IF($G$1="牵丝",$AL239*1.5,0))*(1+$BD239)*(1+$BE239)+($BG239*IF($G$1="破竹",$AK239,$AI239)+IF($G$1="破竹",$AL239*1.5,0))*(1+$BH239)*(1+$BI239))*(1+$AM239)*$BN239*$Q239*(1+IF(VLOOKUP($R239,武学奇术!$A:$ZZ,30,FALSE)="流血",$B$21,0))*(1+$BR239)</f>
        <v>19469.387712837</v>
      </c>
      <c r="O239" s="24">
        <f>((($AO239+$AP239)/2*$AI239+$AJ239)*(1+$AQ239)*(1+$AR239)+(($AT239+$AU239)/2*IF($G$1="鸣金",$AK239,$AI239)+IF($G$1="鸣金",$AL239*1.5,0))*(1+$AV239)*(1+$AW239)+(($AX239+$AY239)/2*IF($G$1="裂石",$AK239,$AI239)+IF($G$1="裂石",$AL239*1.5,0))*(1+$AZ239)*(1+$BA239)+(($BB239+$BC239)/2*IF($G$1="牵丝",$AK239,$AI239)+IF($G$1="牵丝",$AL239*1.5,0))*(1+$BD239)*(1+$BE239)+(($BF239+$BG239)/2*IF($G$1="破竹",$AK239,$AI239)+IF($G$1="破竹",$AL239*1.5,0))*(1+$BH239)*(1+$BI239))*(1+$AM239)*$Q239*(1+IF(VLOOKUP($R239,武学奇术!$A:$ZZ,30,FALSE)="流血",$B$21,0))*(1+$BR239)</f>
        <v>7038.02118540055</v>
      </c>
      <c r="P239" s="24">
        <f>((($AO239*$AI239+$AJ239)*(1+$AQ239)*(1+$AR239)+($AT239*IF($G$1="鸣金",$AK239,$AI239)+IF($G$1="鸣金",$AL239*1.5,0))*(1+$AV239)*(1+$AW239)+($AX239*IF($G$1="裂石",$AK239,$AI239)+IF($G$1="裂石",$AL239*1.5,0))*(1+$AZ239)*(1+$BA239)+($BB239*IF($G$1="牵丝",$AK239,$AI239)+IF($G$1="牵丝",$AL239*1.5,0))*(1+$BD239)*(1+$BE239)+($BF239*IF($G$1="破竹",$AK239,$AI239)+IF($G$1="破竹",$AL239*1.5,0))*(1+$BH239)*(1+$BI239))*(1+$AM239))*$Q239*(1+IF(VLOOKUP($R239,武学奇术!$A:$ZZ,30,FALSE)="流血",$B$21,0))*(1+$BR239)</f>
        <v>3150.46004036504</v>
      </c>
      <c r="Q239" s="31">
        <v>1</v>
      </c>
      <c r="R239" s="32" t="s">
        <v>197</v>
      </c>
      <c r="S239" s="32" t="s">
        <v>87</v>
      </c>
      <c r="T239" s="32" t="s">
        <v>96</v>
      </c>
      <c r="U239" s="32" t="s">
        <v>97</v>
      </c>
      <c r="V239" s="32" t="s">
        <v>73</v>
      </c>
      <c r="W239" s="32" t="s">
        <v>73</v>
      </c>
      <c r="X239" s="32" t="s">
        <v>127</v>
      </c>
      <c r="Y239" s="32" t="s">
        <v>73</v>
      </c>
      <c r="Z239" s="32" t="s">
        <v>73</v>
      </c>
      <c r="AA239" s="32" t="s">
        <v>81</v>
      </c>
      <c r="AB239" s="32" t="s">
        <v>75</v>
      </c>
      <c r="AC239" s="32" t="s">
        <v>76</v>
      </c>
      <c r="AD239" s="32" t="s">
        <v>82</v>
      </c>
      <c r="AE239" s="32" t="s">
        <v>73</v>
      </c>
      <c r="AF239" s="32" t="s">
        <v>73</v>
      </c>
      <c r="AG239" s="32" t="s">
        <v>178</v>
      </c>
      <c r="AH239" t="str">
        <f>VLOOKUP($R239,武学奇术!$A:$ZZ,25,FALSE)</f>
        <v>剑</v>
      </c>
      <c r="AI239" s="21">
        <f>VLOOKUP($R239,武学奇术!$A:$ZZ,26,FALSE)</f>
        <v>0.2772</v>
      </c>
      <c r="AJ239" s="22">
        <f>VLOOKUP($R239,武学奇术!$A:$ZZ,27,FALSE)*(1+IF(OR($AH239=$F$4,$AH239=$F$5),$B$22,0))</f>
        <v>0</v>
      </c>
      <c r="AK239" s="21">
        <f>VLOOKUP($R239,武学奇术!$A:$ZZ,28,FALSE)</f>
        <v>0.4158</v>
      </c>
      <c r="AL239" s="22">
        <f>VLOOKUP($R239,武学奇术!$A:$ZZ,29,FALSE)*(1+IF(OR($AH239=$F$4,$AH239=$F$5),$B$22,0))</f>
        <v>0</v>
      </c>
      <c r="AM239" s="21" cm="1">
        <f t="array" ref="AM239">$G$3+IFERROR(VLOOKUP($AH239,$F$4:$G$7,2,FALSE),0)+VLOOKUP($R239,武学奇术!$A:$ZZ,2,FALSE)+SUM(_xlfn.XLOOKUP($S239:$AG239,增益!$A:$A,增益!$B:$B,0))</f>
        <v>1.2391</v>
      </c>
      <c r="AN239" s="21" cm="1">
        <f t="array" ref="AN239">VLOOKUP($R239,武学奇术!$A:$ZZ,5,FALSE)+SUM(_xlfn.XLOOKUP($S239:$AG239,增益!$A:$A,增益!$E:$E,0))</f>
        <v>0</v>
      </c>
      <c r="AO239" cm="1">
        <f t="array" ref="AO239">$D$10*(1+$AN239)+VLOOKUP($R239,武学奇术!$A:$ZZ,3,FALSE)+SUM(_xlfn.XLOOKUP($S239:$AG239,增益!$A:$A,增益!$C:$C,0))-$I$2</f>
        <v>1794.28</v>
      </c>
      <c r="AP239" cm="1">
        <f t="array" ref="AP239">$E$10*(1+$AN239)+VLOOKUP($R239,武学奇术!$A:$ZZ,4,FALSE)+SUM(_xlfn.XLOOKUP($S239:$AG239,增益!$A:$A,增益!$D:$D,0))-$I$2</f>
        <v>7726.36</v>
      </c>
      <c r="AQ239" s="26" cm="1">
        <f t="array" ref="AQ239">IF($F$10-$I$3+VLOOKUP($R239,武学奇术!$A:$ZZ,6,FALSE)+SUM(_xlfn.XLOOKUP(S239:AG239,增益!$A:$A,增益!$F:$F,0))&gt;0,($F$10-$I$3+VLOOKUP($R239,武学奇术!$A:$ZZ,6,FALSE)+SUM(_xlfn.XLOOKUP(S239:AG239,增益!$A:$A,增益!$F:$F,0)))/200,($F$10-$I$3+VLOOKUP($R239,武学奇术!$A:$ZZ,6,FALSE)+SUM(_xlfn.XLOOKUP(S239:AG239,增益!$A:$A,增益!$F:$F,0)))/100)</f>
        <v>0.319</v>
      </c>
      <c r="AR239" s="26" cm="1">
        <f t="array" ref="AR239">$G$10+VLOOKUP($R239,武学奇术!$A:$ZZ,7,FALSE)+SUM(_xlfn.XLOOKUP(S239:AG239,增益!$A:$A,增益!$G:$G,0))</f>
        <v>0</v>
      </c>
      <c r="AS239" s="21" cm="1">
        <f t="array" ref="AS239">VLOOKUP($R239,武学奇术!$A:$ZZ,8,FALSE)+SUM(_xlfn.XLOOKUP(S239:AG239,增益!$A:$A,增益!$H:$H,0))</f>
        <v>0</v>
      </c>
      <c r="AT239">
        <f t="shared" si="34"/>
        <v>680.02</v>
      </c>
      <c r="AU239">
        <f t="shared" si="35"/>
        <v>1288.54</v>
      </c>
      <c r="AV239" s="26" cm="1">
        <f t="array" ref="AV239">IF($F$11-$I$4+VLOOKUP($R239,武学奇术!$A:$ZZ,9,FALSE)+SUM(_xlfn.XLOOKUP(S239:AG239,增益!$A:$A,增益!$I:$I,0))&gt;0,($F$11-$I$4+VLOOKUP($R239,武学奇术!$A:$ZZ,9,FALSE)+SUM(_xlfn.XLOOKUP(S239:AG239,增益!$A:$A,增益!$I:$I,0)))/200,($F$11-$I$4+VLOOKUP($R239,武学奇术!$A:$ZZ,9,FALSE)+SUM(_xlfn.XLOOKUP(S239:AG239,增益!$A:$A,增益!$I:$I,0)))/100)</f>
        <v>0.075</v>
      </c>
      <c r="AW239" s="26" cm="1">
        <f t="array" ref="AW239">$G$11+VLOOKUP($R239,武学奇术!$A:$ZZ,10,FALSE)+SUM(_xlfn.XLOOKUP(S239:AG239,增益!$A:$A,增益!$J:$J,0))</f>
        <v>0.15</v>
      </c>
      <c r="AX239">
        <f t="shared" si="36"/>
        <v>0</v>
      </c>
      <c r="AY239">
        <f t="shared" si="37"/>
        <v>0</v>
      </c>
      <c r="AZ239" s="26" cm="1">
        <f t="array" ref="AZ239">IF($F$12-$I$4+VLOOKUP($R239,武学奇术!$A:$ZZ,11,FALSE)+SUM(_xlfn.XLOOKUP(S239:AG239,增益!$A:$A,增益!$K:$K,0))&gt;0,($F$12-$I$4+VLOOKUP($R239,武学奇术!$A:$ZZ,11,FALSE)+SUM(_xlfn.XLOOKUP(S239:AG239,增益!$A:$A,增益!$K:$K,0)))/200,($F$12-$I$4+VLOOKUP($R239,武学奇术!$A:$ZZ,11,FALSE)+SUM(_xlfn.XLOOKUP(S239:AG239,增益!$A:$A,增益!$K:$K,0)))/100)</f>
        <v>-0.3</v>
      </c>
      <c r="BA239" s="26" cm="1">
        <f t="array" ref="BA239">$G$12+VLOOKUP($R239,武学奇术!$A:$ZZ,12,FALSE)+SUM(_xlfn.XLOOKUP(S239:AG239,增益!$A:$A,增益!$L:$L,0))</f>
        <v>0</v>
      </c>
      <c r="BB239">
        <f t="shared" si="38"/>
        <v>0</v>
      </c>
      <c r="BC239">
        <f t="shared" si="39"/>
        <v>0</v>
      </c>
      <c r="BD239" s="26" cm="1">
        <f t="array" ref="BD239">IF($F$13-$I$4+VLOOKUP($R239,武学奇术!$A:$ZZ,13,FALSE)+SUM(_xlfn.XLOOKUP(S239:AG239,增益!$A:$A,增益!$M:$M,0))&gt;0,($F$13-$I$4+VLOOKUP($R239,武学奇术!$A:$ZZ,13,FALSE)+SUM(_xlfn.XLOOKUP(S239:AG239,增益!$A:$A,增益!$K:$K,0)))/200,($F$13-$I$4+VLOOKUP($R239,武学奇术!$A:$ZZ,13,FALSE)+SUM(_xlfn.XLOOKUP(S239:AG239,增益!$A:$A,增益!$M:$M,0)))/100)</f>
        <v>-0.3</v>
      </c>
      <c r="BE239" s="26" cm="1">
        <f t="array" ref="BE239">$G$13+VLOOKUP($R239,武学奇术!$A:$ZZ,14,FALSE)+SUM(_xlfn.XLOOKUP(S239:AG239,增益!$A:$A,增益!$N:$N,0))</f>
        <v>0</v>
      </c>
      <c r="BF239">
        <f t="shared" si="40"/>
        <v>0</v>
      </c>
      <c r="BG239">
        <f t="shared" si="41"/>
        <v>0</v>
      </c>
      <c r="BH239" s="26" cm="1">
        <f t="array" ref="BH239">IF($F$14-$I$4+VLOOKUP($R239,武学奇术!$A:$ZZ,15,FALSE)+SUM(_xlfn.XLOOKUP(S239:AG239,增益!$A:$A,增益!$O:$O,0))&gt;0,($F$14-$I$4+VLOOKUP($R239,武学奇术!$A:$ZZ,15,FALSE)+SUM(_xlfn.XLOOKUP(S239:AG239,增益!$A:$A,增益!$O:$O,0)))/200,($F$14-$I$4+VLOOKUP($R239,武学奇术!$A:$ZZ,15,FALSE)+SUM(_xlfn.XLOOKUP(S239:AG239,增益!$A:$A,增益!$O:$O,0)))/100)</f>
        <v>-0.3</v>
      </c>
      <c r="BI239" s="26" cm="1">
        <f t="array" ref="BI239">$G$14+VLOOKUP($R239,武学奇术!$A:$ZZ,16,FALSE)+SUM(_xlfn.XLOOKUP(S239:AG239,增益!$A:$A,增益!$P:$P,0))</f>
        <v>0</v>
      </c>
      <c r="BJ239" s="21">
        <f>MIN(IF(VLOOKUP($R239,武学奇术!$A:$ZZ,23,FALSE)=1,100%,$B$8),100%)</f>
        <v>0.8229</v>
      </c>
      <c r="BK239" s="21" cm="1">
        <f t="array" ref="BK239">IF(VLOOKUP($R239,武学奇术!$A:$ZZ,23,FALSE)=1,100%,MIN(80%,$B$9+VLOOKUP($R239,武学奇术!$A:$ZZ,17,FALSE)+SUM(_xlfn.XLOOKUP(S239:AG239,增益!$A:$A,增益!$Q:$Q,0)))+$B$11+SUM(_xlfn.XLOOKUP(S239:AG239,增益!$A:$A,增益!$U:$U,0)))*IF(VLOOKUP($R239,武学奇术!$A:$ZZ,24,FALSE)=1,0,1)</f>
        <v>0.2285</v>
      </c>
      <c r="BL239" s="21" cm="1">
        <f t="array" ref="BL239">1+$B$13+VLOOKUP($R239,武学奇术!$A:$ZZ,18,FALSE)+SUM(_xlfn.XLOOKUP(S239:AG239,增益!$A:$A,增益!$R:$R,0))</f>
        <v>1.5</v>
      </c>
      <c r="BM239" s="21" cm="1">
        <f t="array" ref="BM239">IF(VLOOKUP($R239,武学奇术!$A:$ZZ,24,FALSE)=1,100%,MIN(40%,$B$10+VLOOKUP($R239,武学奇术!$A:$ZZ,19,FALSE)+SUM(_xlfn.XLOOKUP(S239:AG239,增益!$A:$A,增益!$S:$S,0)))+$B$12+SUM(_xlfn.XLOOKUP(S239:AG239,增益!$A:$A,增益!$V:$V,0)))*IF(VLOOKUP($R239,武学奇术!$A:$ZZ,23,FALSE)=1,0,1)</f>
        <v>0.4495</v>
      </c>
      <c r="BN239" s="21" cm="1">
        <f t="array" ref="BN239">1+$B$14+VLOOKUP($R239,武学奇术!$A:$ZZ,20,FALSE)+SUM(_xlfn.XLOOKUP(S239:AG239,增益!$A:$A,增益!$T:$T,0))</f>
        <v>1.782</v>
      </c>
      <c r="BO239" s="21">
        <f t="shared" si="42"/>
        <v>0.18803265</v>
      </c>
      <c r="BP239" s="21">
        <f t="shared" si="43"/>
        <v>0.2649738</v>
      </c>
      <c r="BQ239" s="21">
        <f>IF(VLOOKUP($R239,武学奇术!$A:$ZZ,22,FALSE)=1,0,(1-$BJ239))*(1-$BM239)</f>
        <v>0.09749355</v>
      </c>
      <c r="BR239" s="21" cm="1">
        <f t="array" ref="BR239">SUM(_xlfn.XLOOKUP(S239:AG239,增益!$A:$A,增益!$W:$W,0))+$I$5</f>
        <v>0.06</v>
      </c>
    </row>
    <row r="240" spans="11:70">
      <c r="K240" s="24">
        <f>$L240*VLOOKUP($R240,武学奇术!$A:$ZZ,31,FALSE)</f>
        <v>4840.72394615069</v>
      </c>
      <c r="L240" s="24">
        <f t="shared" si="33"/>
        <v>8067.87324358449</v>
      </c>
      <c r="M240" s="24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BL240*$Q240*(1+IF(VLOOKUP($R240,武学奇术!$A:$ZZ,30,FALSE)="流血",$B$21,0))*(1+$BR240)</f>
        <v>6598.14486131301</v>
      </c>
      <c r="N240" s="24">
        <f>(($AP240*$AI240+$AJ240)*(1+$AQ240)*(1+$AR240)+($AU240*IF($G$1="鸣金",$AK240,$AI240)+IF($G$1="鸣金",$AL240*1.5,0))*(1+$AV240)*(1+$AW240)+($AY240*IF($G$1="裂石",$AK240,$AI240)+IF($G$1="裂石",$AL240*1.5,0))*(1+$AZ240)*(1+$BA240)+($BC240*IF($G$1="牵丝",$AK240,$AI240)+IF($G$1="牵丝",$AL240*1.5,0))*(1+$BD240)*(1+$BE240)+($BG240*IF($G$1="破竹",$AK240,$AI240)+IF($G$1="破竹",$AL240*1.5,0))*(1+$BH240)*(1+$BI240))*(1+$AM240)*$BN240*$Q240*(1+IF(VLOOKUP($R240,武学奇术!$A:$ZZ,30,FALSE)="流血",$B$21,0))*(1+$BR240)</f>
        <v>12168.3673205232</v>
      </c>
      <c r="O240" s="24">
        <f>((($AO240+$AP240)/2*$AI240+$AJ240)*(1+$AQ240)*(1+$AR240)+(($AT240+$AU240)/2*IF($G$1="鸣金",$AK240,$AI240)+IF($G$1="鸣金",$AL240*1.5,0))*(1+$AV240)*(1+$AW240)+(($AX240+$AY240)/2*IF($G$1="裂石",$AK240,$AI240)+IF($G$1="裂石",$AL240*1.5,0))*(1+$AZ240)*(1+$BA240)+(($BB240+$BC240)/2*IF($G$1="牵丝",$AK240,$AI240)+IF($G$1="牵丝",$AL240*1.5,0))*(1+$BD240)*(1+$BE240)+(($BF240+$BG240)/2*IF($G$1="破竹",$AK240,$AI240)+IF($G$1="破竹",$AL240*1.5,0))*(1+$BH240)*(1+$BI240))*(1+$AM240)*$Q240*(1+IF(VLOOKUP($R240,武学奇术!$A:$ZZ,30,FALSE)="流血",$B$21,0))*(1+$BR240)</f>
        <v>4398.76324087534</v>
      </c>
      <c r="P240" s="24">
        <f>((($AO240*$AI240+$AJ240)*(1+$AQ240)*(1+$AR240)+($AT240*IF($G$1="鸣金",$AK240,$AI240)+IF($G$1="鸣金",$AL240*1.5,0))*(1+$AV240)*(1+$AW240)+($AX240*IF($G$1="裂石",$AK240,$AI240)+IF($G$1="裂石",$AL240*1.5,0))*(1+$AZ240)*(1+$BA240)+($BB240*IF($G$1="牵丝",$AK240,$AI240)+IF($G$1="牵丝",$AL240*1.5,0))*(1+$BD240)*(1+$BE240)+($BF240*IF($G$1="破竹",$AK240,$AI240)+IF($G$1="破竹",$AL240*1.5,0))*(1+$BH240)*(1+$BI240))*(1+$AM240))*$Q240*(1+IF(VLOOKUP($R240,武学奇术!$A:$ZZ,30,FALSE)="流血",$B$21,0))*(1+$BR240)</f>
        <v>1969.03752522815</v>
      </c>
      <c r="Q240" s="31">
        <v>1</v>
      </c>
      <c r="R240" s="32" t="s">
        <v>198</v>
      </c>
      <c r="S240" s="32" t="s">
        <v>87</v>
      </c>
      <c r="T240" s="32" t="s">
        <v>96</v>
      </c>
      <c r="U240" s="32" t="s">
        <v>97</v>
      </c>
      <c r="V240" s="32" t="s">
        <v>73</v>
      </c>
      <c r="W240" s="32" t="s">
        <v>73</v>
      </c>
      <c r="X240" s="32" t="s">
        <v>127</v>
      </c>
      <c r="Y240" s="32" t="s">
        <v>73</v>
      </c>
      <c r="Z240" s="32" t="s">
        <v>73</v>
      </c>
      <c r="AA240" s="32" t="s">
        <v>81</v>
      </c>
      <c r="AB240" s="32" t="s">
        <v>75</v>
      </c>
      <c r="AC240" s="32" t="s">
        <v>76</v>
      </c>
      <c r="AD240" s="32" t="s">
        <v>82</v>
      </c>
      <c r="AE240" s="32" t="s">
        <v>73</v>
      </c>
      <c r="AF240" s="32" t="s">
        <v>73</v>
      </c>
      <c r="AG240" s="32" t="s">
        <v>178</v>
      </c>
      <c r="AH240" t="str">
        <f>VLOOKUP($R240,武学奇术!$A:$ZZ,25,FALSE)</f>
        <v>剑</v>
      </c>
      <c r="AI240" s="21">
        <f>VLOOKUP($R240,武学奇术!$A:$ZZ,26,FALSE)</f>
        <v>0.17325</v>
      </c>
      <c r="AJ240" s="22">
        <f>VLOOKUP($R240,武学奇术!$A:$ZZ,27,FALSE)*(1+IF(OR($AH240=$F$4,$AH240=$F$5),$B$22,0))</f>
        <v>0</v>
      </c>
      <c r="AK240" s="21">
        <f>VLOOKUP($R240,武学奇术!$A:$ZZ,28,FALSE)</f>
        <v>0.259875</v>
      </c>
      <c r="AL240" s="22">
        <f>VLOOKUP($R240,武学奇术!$A:$ZZ,29,FALSE)*(1+IF(OR($AH240=$F$4,$AH240=$F$5),$B$22,0))</f>
        <v>0</v>
      </c>
      <c r="AM240" s="21" cm="1">
        <f t="array" ref="AM240">$G$3+IFERROR(VLOOKUP($AH240,$F$4:$G$7,2,FALSE),0)+VLOOKUP($R240,武学奇术!$A:$ZZ,2,FALSE)+SUM(_xlfn.XLOOKUP($S240:$AG240,增益!$A:$A,增益!$B:$B,0))</f>
        <v>1.2391</v>
      </c>
      <c r="AN240" s="21" cm="1">
        <f t="array" ref="AN240">VLOOKUP($R240,武学奇术!$A:$ZZ,5,FALSE)+SUM(_xlfn.XLOOKUP($S240:$AG240,增益!$A:$A,增益!$E:$E,0))</f>
        <v>0</v>
      </c>
      <c r="AO240" cm="1">
        <f t="array" ref="AO240">$D$10*(1+$AN240)+VLOOKUP($R240,武学奇术!$A:$ZZ,3,FALSE)+SUM(_xlfn.XLOOKUP($S240:$AG240,增益!$A:$A,增益!$C:$C,0))-$I$2</f>
        <v>1794.28</v>
      </c>
      <c r="AP240" cm="1">
        <f t="array" ref="AP240">$E$10*(1+$AN240)+VLOOKUP($R240,武学奇术!$A:$ZZ,4,FALSE)+SUM(_xlfn.XLOOKUP($S240:$AG240,增益!$A:$A,增益!$D:$D,0))-$I$2</f>
        <v>7726.36</v>
      </c>
      <c r="AQ240" s="26" cm="1">
        <f t="array" ref="AQ240">IF($F$10-$I$3+VLOOKUP($R240,武学奇术!$A:$ZZ,6,FALSE)+SUM(_xlfn.XLOOKUP(S240:AG240,增益!$A:$A,增益!$F:$F,0))&gt;0,($F$10-$I$3+VLOOKUP($R240,武学奇术!$A:$ZZ,6,FALSE)+SUM(_xlfn.XLOOKUP(S240:AG240,增益!$A:$A,增益!$F:$F,0)))/200,($F$10-$I$3+VLOOKUP($R240,武学奇术!$A:$ZZ,6,FALSE)+SUM(_xlfn.XLOOKUP(S240:AG240,增益!$A:$A,增益!$F:$F,0)))/100)</f>
        <v>0.319</v>
      </c>
      <c r="AR240" s="26" cm="1">
        <f t="array" ref="AR240">$G$10+VLOOKUP($R240,武学奇术!$A:$ZZ,7,FALSE)+SUM(_xlfn.XLOOKUP(S240:AG240,增益!$A:$A,增益!$G:$G,0))</f>
        <v>0</v>
      </c>
      <c r="AS240" s="21" cm="1">
        <f t="array" ref="AS240">VLOOKUP($R240,武学奇术!$A:$ZZ,8,FALSE)+SUM(_xlfn.XLOOKUP(S240:AG240,增益!$A:$A,增益!$H:$H,0))</f>
        <v>0</v>
      </c>
      <c r="AT240">
        <f t="shared" si="34"/>
        <v>680.02</v>
      </c>
      <c r="AU240">
        <f t="shared" si="35"/>
        <v>1288.54</v>
      </c>
      <c r="AV240" s="26" cm="1">
        <f t="array" ref="AV240">IF($F$11-$I$4+VLOOKUP($R240,武学奇术!$A:$ZZ,9,FALSE)+SUM(_xlfn.XLOOKUP(S240:AG240,增益!$A:$A,增益!$I:$I,0))&gt;0,($F$11-$I$4+VLOOKUP($R240,武学奇术!$A:$ZZ,9,FALSE)+SUM(_xlfn.XLOOKUP(S240:AG240,增益!$A:$A,增益!$I:$I,0)))/200,($F$11-$I$4+VLOOKUP($R240,武学奇术!$A:$ZZ,9,FALSE)+SUM(_xlfn.XLOOKUP(S240:AG240,增益!$A:$A,增益!$I:$I,0)))/100)</f>
        <v>0.075</v>
      </c>
      <c r="AW240" s="26" cm="1">
        <f t="array" ref="AW240">$G$11+VLOOKUP($R240,武学奇术!$A:$ZZ,10,FALSE)+SUM(_xlfn.XLOOKUP(S240:AG240,增益!$A:$A,增益!$J:$J,0))</f>
        <v>0.15</v>
      </c>
      <c r="AX240">
        <f t="shared" si="36"/>
        <v>0</v>
      </c>
      <c r="AY240">
        <f t="shared" si="37"/>
        <v>0</v>
      </c>
      <c r="AZ240" s="26" cm="1">
        <f t="array" ref="AZ240">IF($F$12-$I$4+VLOOKUP($R240,武学奇术!$A:$ZZ,11,FALSE)+SUM(_xlfn.XLOOKUP(S240:AG240,增益!$A:$A,增益!$K:$K,0))&gt;0,($F$12-$I$4+VLOOKUP($R240,武学奇术!$A:$ZZ,11,FALSE)+SUM(_xlfn.XLOOKUP(S240:AG240,增益!$A:$A,增益!$K:$K,0)))/200,($F$12-$I$4+VLOOKUP($R240,武学奇术!$A:$ZZ,11,FALSE)+SUM(_xlfn.XLOOKUP(S240:AG240,增益!$A:$A,增益!$K:$K,0)))/100)</f>
        <v>-0.3</v>
      </c>
      <c r="BA240" s="26" cm="1">
        <f t="array" ref="BA240">$G$12+VLOOKUP($R240,武学奇术!$A:$ZZ,12,FALSE)+SUM(_xlfn.XLOOKUP(S240:AG240,增益!$A:$A,增益!$L:$L,0))</f>
        <v>0</v>
      </c>
      <c r="BB240">
        <f t="shared" si="38"/>
        <v>0</v>
      </c>
      <c r="BC240">
        <f t="shared" si="39"/>
        <v>0</v>
      </c>
      <c r="BD240" s="26" cm="1">
        <f t="array" ref="BD240">IF($F$13-$I$4+VLOOKUP($R240,武学奇术!$A:$ZZ,13,FALSE)+SUM(_xlfn.XLOOKUP(S240:AG240,增益!$A:$A,增益!$M:$M,0))&gt;0,($F$13-$I$4+VLOOKUP($R240,武学奇术!$A:$ZZ,13,FALSE)+SUM(_xlfn.XLOOKUP(S240:AG240,增益!$A:$A,增益!$K:$K,0)))/200,($F$13-$I$4+VLOOKUP($R240,武学奇术!$A:$ZZ,13,FALSE)+SUM(_xlfn.XLOOKUP(S240:AG240,增益!$A:$A,增益!$M:$M,0)))/100)</f>
        <v>-0.3</v>
      </c>
      <c r="BE240" s="26" cm="1">
        <f t="array" ref="BE240">$G$13+VLOOKUP($R240,武学奇术!$A:$ZZ,14,FALSE)+SUM(_xlfn.XLOOKUP(S240:AG240,增益!$A:$A,增益!$N:$N,0))</f>
        <v>0</v>
      </c>
      <c r="BF240">
        <f t="shared" si="40"/>
        <v>0</v>
      </c>
      <c r="BG240">
        <f t="shared" si="41"/>
        <v>0</v>
      </c>
      <c r="BH240" s="26" cm="1">
        <f t="array" ref="BH240">IF($F$14-$I$4+VLOOKUP($R240,武学奇术!$A:$ZZ,15,FALSE)+SUM(_xlfn.XLOOKUP(S240:AG240,增益!$A:$A,增益!$O:$O,0))&gt;0,($F$14-$I$4+VLOOKUP($R240,武学奇术!$A:$ZZ,15,FALSE)+SUM(_xlfn.XLOOKUP(S240:AG240,增益!$A:$A,增益!$O:$O,0)))/200,($F$14-$I$4+VLOOKUP($R240,武学奇术!$A:$ZZ,15,FALSE)+SUM(_xlfn.XLOOKUP(S240:AG240,增益!$A:$A,增益!$O:$O,0)))/100)</f>
        <v>-0.3</v>
      </c>
      <c r="BI240" s="26" cm="1">
        <f t="array" ref="BI240">$G$14+VLOOKUP($R240,武学奇术!$A:$ZZ,16,FALSE)+SUM(_xlfn.XLOOKUP(S240:AG240,增益!$A:$A,增益!$P:$P,0))</f>
        <v>0</v>
      </c>
      <c r="BJ240" s="21">
        <f>MIN(IF(VLOOKUP($R240,武学奇术!$A:$ZZ,23,FALSE)=1,100%,$B$8),100%)</f>
        <v>0.8229</v>
      </c>
      <c r="BK240" s="21" cm="1">
        <f t="array" ref="BK240">IF(VLOOKUP($R240,武学奇术!$A:$ZZ,23,FALSE)=1,100%,MIN(80%,$B$9+VLOOKUP($R240,武学奇术!$A:$ZZ,17,FALSE)+SUM(_xlfn.XLOOKUP(S240:AG240,增益!$A:$A,增益!$Q:$Q,0)))+$B$11+SUM(_xlfn.XLOOKUP(S240:AG240,增益!$A:$A,增益!$U:$U,0)))*IF(VLOOKUP($R240,武学奇术!$A:$ZZ,24,FALSE)=1,0,1)</f>
        <v>0.2285</v>
      </c>
      <c r="BL240" s="21" cm="1">
        <f t="array" ref="BL240">1+$B$13+VLOOKUP($R240,武学奇术!$A:$ZZ,18,FALSE)+SUM(_xlfn.XLOOKUP(S240:AG240,增益!$A:$A,增益!$R:$R,0))</f>
        <v>1.5</v>
      </c>
      <c r="BM240" s="21" cm="1">
        <f t="array" ref="BM240">IF(VLOOKUP($R240,武学奇术!$A:$ZZ,24,FALSE)=1,100%,MIN(40%,$B$10+VLOOKUP($R240,武学奇术!$A:$ZZ,19,FALSE)+SUM(_xlfn.XLOOKUP(S240:AG240,增益!$A:$A,增益!$S:$S,0)))+$B$12+SUM(_xlfn.XLOOKUP(S240:AG240,增益!$A:$A,增益!$V:$V,0)))*IF(VLOOKUP($R240,武学奇术!$A:$ZZ,23,FALSE)=1,0,1)</f>
        <v>0.4495</v>
      </c>
      <c r="BN240" s="21" cm="1">
        <f t="array" ref="BN240">1+$B$14+VLOOKUP($R240,武学奇术!$A:$ZZ,20,FALSE)+SUM(_xlfn.XLOOKUP(S240:AG240,增益!$A:$A,增益!$T:$T,0))</f>
        <v>1.782</v>
      </c>
      <c r="BO240" s="21">
        <f t="shared" si="42"/>
        <v>0.18803265</v>
      </c>
      <c r="BP240" s="21">
        <f t="shared" si="43"/>
        <v>0.2649738</v>
      </c>
      <c r="BQ240" s="21">
        <f>IF(VLOOKUP($R240,武学奇术!$A:$ZZ,22,FALSE)=1,0,(1-$BJ240))*(1-$BM240)</f>
        <v>0.09749355</v>
      </c>
      <c r="BR240" s="21" cm="1">
        <f t="array" ref="BR240">SUM(_xlfn.XLOOKUP(S240:AG240,增益!$A:$A,增益!$W:$W,0))+$I$5</f>
        <v>0.06</v>
      </c>
    </row>
    <row r="241" spans="11:70">
      <c r="K241" s="24">
        <f>$L241*VLOOKUP($R241,武学奇术!$A:$ZZ,31,FALSE)</f>
        <v>10761.7874402863</v>
      </c>
      <c r="L241" s="24">
        <f t="shared" si="33"/>
        <v>17936.3124004772</v>
      </c>
      <c r="M241" s="24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BL241*$Q241*(1+IF(VLOOKUP($R241,武学奇术!$A:$ZZ,30,FALSE)="流血",$B$21,0))*(1+$BR241)</f>
        <v>14684.4644337396</v>
      </c>
      <c r="N241" s="24">
        <f>(($AP241*$AI241+$AJ241)*(1+$AQ241)*(1+$AR241)+($AU241*IF($G$1="鸣金",$AK241,$AI241)+IF($G$1="鸣金",$AL241*1.5,0))*(1+$AV241)*(1+$AW241)+($AY241*IF($G$1="裂石",$AK241,$AI241)+IF($G$1="裂石",$AL241*1.5,0))*(1+$AZ241)*(1+$BA241)+($BC241*IF($G$1="牵丝",$AK241,$AI241)+IF($G$1="牵丝",$AL241*1.5,0))*(1+$BD241)*(1+$BE241)+($BG241*IF($G$1="破竹",$AK241,$AI241)+IF($G$1="破竹",$AL241*1.5,0))*(1+$BH241)*(1+$BI241))*(1+$AM241)*$BN241*$Q241*(1+IF(VLOOKUP($R241,武学奇术!$A:$ZZ,30,FALSE)="流血",$B$21,0))*(1+$BR241)</f>
        <v>27032.8672474388</v>
      </c>
      <c r="O241" s="24">
        <f>((($AO241+$AP241)/2*$AI241+$AJ241)*(1+$AQ241)*(1+$AR241)+(($AT241+$AU241)/2*IF($G$1="鸣金",$AK241,$AI241)+IF($G$1="鸣金",$AL241*1.5,0))*(1+$AV241)*(1+$AW241)+(($AX241+$AY241)/2*IF($G$1="裂石",$AK241,$AI241)+IF($G$1="裂石",$AL241*1.5,0))*(1+$AZ241)*(1+$BA241)+(($BB241+$BC241)/2*IF($G$1="牵丝",$AK241,$AI241)+IF($G$1="牵丝",$AL241*1.5,0))*(1+$BD241)*(1+$BE241)+(($BF241+$BG241)/2*IF($G$1="破竹",$AK241,$AI241)+IF($G$1="破竹",$AL241*1.5,0))*(1+$BH241)*(1+$BI241))*(1+$AM241)*$Q241*(1+IF(VLOOKUP($R241,武学奇术!$A:$ZZ,30,FALSE)="流血",$B$21,0))*(1+$BR241)</f>
        <v>9789.6429558264</v>
      </c>
      <c r="P241" s="24">
        <f>((($AO241*$AI241+$AJ241)*(1+$AQ241)*(1+$AR241)+($AT241*IF($G$1="鸣金",$AK241,$AI241)+IF($G$1="鸣金",$AL241*1.5,0))*(1+$AV241)*(1+$AW241)+($AX241*IF($G$1="裂石",$AK241,$AI241)+IF($G$1="裂石",$AL241*1.5,0))*(1+$AZ241)*(1+$BA241)+($BB241*IF($G$1="牵丝",$AK241,$AI241)+IF($G$1="牵丝",$AL241*1.5,0))*(1+$BD241)*(1+$BE241)+($BF241*IF($G$1="破竹",$AK241,$AI241)+IF($G$1="破竹",$AL241*1.5,0))*(1+$BH241)*(1+$BI241))*(1+$AM241))*$Q241*(1+IF(VLOOKUP($R241,武学奇术!$A:$ZZ,30,FALSE)="流血",$B$21,0))*(1+$BR241)</f>
        <v>4409.32673800589</v>
      </c>
      <c r="Q241" s="31">
        <v>1</v>
      </c>
      <c r="R241" s="32" t="s">
        <v>199</v>
      </c>
      <c r="S241" s="32" t="s">
        <v>87</v>
      </c>
      <c r="T241" s="32" t="s">
        <v>96</v>
      </c>
      <c r="U241" s="32" t="s">
        <v>97</v>
      </c>
      <c r="V241" s="32" t="s">
        <v>73</v>
      </c>
      <c r="W241" s="32" t="s">
        <v>111</v>
      </c>
      <c r="X241" s="32" t="s">
        <v>127</v>
      </c>
      <c r="Y241" s="32" t="s">
        <v>73</v>
      </c>
      <c r="Z241" s="32" t="s">
        <v>73</v>
      </c>
      <c r="AA241" s="32" t="s">
        <v>81</v>
      </c>
      <c r="AB241" s="32" t="s">
        <v>75</v>
      </c>
      <c r="AC241" s="32" t="s">
        <v>89</v>
      </c>
      <c r="AD241" s="32" t="s">
        <v>82</v>
      </c>
      <c r="AE241" s="32" t="s">
        <v>90</v>
      </c>
      <c r="AF241" s="32" t="s">
        <v>73</v>
      </c>
      <c r="AG241" s="32" t="s">
        <v>178</v>
      </c>
      <c r="AH241" t="str">
        <f>VLOOKUP($R241,武学奇术!$A:$ZZ,25,FALSE)</f>
        <v>剑</v>
      </c>
      <c r="AI241" s="21">
        <f>VLOOKUP($R241,武学奇术!$A:$ZZ,26,FALSE)</f>
        <v>0.3465</v>
      </c>
      <c r="AJ241" s="22">
        <f>VLOOKUP($R241,武学奇术!$A:$ZZ,27,FALSE)*(1+IF(OR($AH241=$F$4,$AH241=$F$5),$B$22,0))</f>
        <v>0</v>
      </c>
      <c r="AK241" s="21">
        <f>VLOOKUP($R241,武学奇术!$A:$ZZ,28,FALSE)</f>
        <v>0.51975</v>
      </c>
      <c r="AL241" s="22">
        <f>VLOOKUP($R241,武学奇术!$A:$ZZ,29,FALSE)*(1+IF(OR($AH241=$F$4,$AH241=$F$5),$B$22,0))</f>
        <v>0</v>
      </c>
      <c r="AM241" s="21" cm="1">
        <f t="array" ref="AM241">$G$3+IFERROR(VLOOKUP($AH241,$F$4:$G$7,2,FALSE),0)+VLOOKUP($R241,武学奇术!$A:$ZZ,2,FALSE)+SUM(_xlfn.XLOOKUP($S241:$AG241,增益!$A:$A,增益!$B:$B,0))</f>
        <v>1.4791</v>
      </c>
      <c r="AN241" s="21" cm="1">
        <f t="array" ref="AN241">VLOOKUP($R241,武学奇术!$A:$ZZ,5,FALSE)+SUM(_xlfn.XLOOKUP($S241:$AG241,增益!$A:$A,增益!$E:$E,0))</f>
        <v>0</v>
      </c>
      <c r="AO241" cm="1">
        <f t="array" ref="AO241">$D$10*(1+$AN241)+VLOOKUP($R241,武学奇术!$A:$ZZ,3,FALSE)+SUM(_xlfn.XLOOKUP($S241:$AG241,增益!$A:$A,增益!$C:$C,0))-$I$2</f>
        <v>1825.28</v>
      </c>
      <c r="AP241" cm="1">
        <f t="array" ref="AP241">$E$10*(1+$AN241)+VLOOKUP($R241,武学奇术!$A:$ZZ,4,FALSE)+SUM(_xlfn.XLOOKUP($S241:$AG241,增益!$A:$A,增益!$D:$D,0))-$I$2</f>
        <v>7757.36</v>
      </c>
      <c r="AQ241" s="26" cm="1">
        <f t="array" ref="AQ241">IF($F$10-$I$3+VLOOKUP($R241,武学奇术!$A:$ZZ,6,FALSE)+SUM(_xlfn.XLOOKUP(S241:AG241,增益!$A:$A,增益!$F:$F,0))&gt;0,($F$10-$I$3+VLOOKUP($R241,武学奇术!$A:$ZZ,6,FALSE)+SUM(_xlfn.XLOOKUP(S241:AG241,增益!$A:$A,增益!$F:$F,0)))/200,($F$10-$I$3+VLOOKUP($R241,武学奇术!$A:$ZZ,6,FALSE)+SUM(_xlfn.XLOOKUP(S241:AG241,增益!$A:$A,增益!$F:$F,0)))/100)</f>
        <v>0.319</v>
      </c>
      <c r="AR241" s="26" cm="1">
        <f t="array" ref="AR241">$G$10+VLOOKUP($R241,武学奇术!$A:$ZZ,7,FALSE)+SUM(_xlfn.XLOOKUP(S241:AG241,增益!$A:$A,增益!$G:$G,0))</f>
        <v>0</v>
      </c>
      <c r="AS241" s="21" cm="1">
        <f t="array" ref="AS241">VLOOKUP($R241,武学奇术!$A:$ZZ,8,FALSE)+SUM(_xlfn.XLOOKUP(S241:AG241,增益!$A:$A,增益!$H:$H,0))</f>
        <v>0</v>
      </c>
      <c r="AT241">
        <f t="shared" si="34"/>
        <v>680.02</v>
      </c>
      <c r="AU241">
        <f t="shared" si="35"/>
        <v>1288.54</v>
      </c>
      <c r="AV241" s="26" cm="1">
        <f t="array" ref="AV241">IF($F$11-$I$4+VLOOKUP($R241,武学奇术!$A:$ZZ,9,FALSE)+SUM(_xlfn.XLOOKUP(S241:AG241,增益!$A:$A,增益!$I:$I,0))&gt;0,($F$11-$I$4+VLOOKUP($R241,武学奇术!$A:$ZZ,9,FALSE)+SUM(_xlfn.XLOOKUP(S241:AG241,增益!$A:$A,增益!$I:$I,0)))/200,($F$11-$I$4+VLOOKUP($R241,武学奇术!$A:$ZZ,9,FALSE)+SUM(_xlfn.XLOOKUP(S241:AG241,增益!$A:$A,增益!$I:$I,0)))/100)</f>
        <v>0.075</v>
      </c>
      <c r="AW241" s="26" cm="1">
        <f t="array" ref="AW241">$G$11+VLOOKUP($R241,武学奇术!$A:$ZZ,10,FALSE)+SUM(_xlfn.XLOOKUP(S241:AG241,增益!$A:$A,增益!$J:$J,0))</f>
        <v>0.15</v>
      </c>
      <c r="AX241">
        <f t="shared" si="36"/>
        <v>0</v>
      </c>
      <c r="AY241">
        <f t="shared" si="37"/>
        <v>0</v>
      </c>
      <c r="AZ241" s="26" cm="1">
        <f t="array" ref="AZ241">IF($F$12-$I$4+VLOOKUP($R241,武学奇术!$A:$ZZ,11,FALSE)+SUM(_xlfn.XLOOKUP(S241:AG241,增益!$A:$A,增益!$K:$K,0))&gt;0,($F$12-$I$4+VLOOKUP($R241,武学奇术!$A:$ZZ,11,FALSE)+SUM(_xlfn.XLOOKUP(S241:AG241,增益!$A:$A,增益!$K:$K,0)))/200,($F$12-$I$4+VLOOKUP($R241,武学奇术!$A:$ZZ,11,FALSE)+SUM(_xlfn.XLOOKUP(S241:AG241,增益!$A:$A,增益!$K:$K,0)))/100)</f>
        <v>-0.3</v>
      </c>
      <c r="BA241" s="26" cm="1">
        <f t="array" ref="BA241">$G$12+VLOOKUP($R241,武学奇术!$A:$ZZ,12,FALSE)+SUM(_xlfn.XLOOKUP(S241:AG241,增益!$A:$A,增益!$L:$L,0))</f>
        <v>0</v>
      </c>
      <c r="BB241">
        <f t="shared" si="38"/>
        <v>0</v>
      </c>
      <c r="BC241">
        <f t="shared" si="39"/>
        <v>0</v>
      </c>
      <c r="BD241" s="26" cm="1">
        <f t="array" ref="BD241">IF($F$13-$I$4+VLOOKUP($R241,武学奇术!$A:$ZZ,13,FALSE)+SUM(_xlfn.XLOOKUP(S241:AG241,增益!$A:$A,增益!$M:$M,0))&gt;0,($F$13-$I$4+VLOOKUP($R241,武学奇术!$A:$ZZ,13,FALSE)+SUM(_xlfn.XLOOKUP(S241:AG241,增益!$A:$A,增益!$K:$K,0)))/200,($F$13-$I$4+VLOOKUP($R241,武学奇术!$A:$ZZ,13,FALSE)+SUM(_xlfn.XLOOKUP(S241:AG241,增益!$A:$A,增益!$M:$M,0)))/100)</f>
        <v>-0.3</v>
      </c>
      <c r="BE241" s="26" cm="1">
        <f t="array" ref="BE241">$G$13+VLOOKUP($R241,武学奇术!$A:$ZZ,14,FALSE)+SUM(_xlfn.XLOOKUP(S241:AG241,增益!$A:$A,增益!$N:$N,0))</f>
        <v>0</v>
      </c>
      <c r="BF241">
        <f t="shared" si="40"/>
        <v>0</v>
      </c>
      <c r="BG241">
        <f t="shared" si="41"/>
        <v>0</v>
      </c>
      <c r="BH241" s="26" cm="1">
        <f t="array" ref="BH241">IF($F$14-$I$4+VLOOKUP($R241,武学奇术!$A:$ZZ,15,FALSE)+SUM(_xlfn.XLOOKUP(S241:AG241,增益!$A:$A,增益!$O:$O,0))&gt;0,($F$14-$I$4+VLOOKUP($R241,武学奇术!$A:$ZZ,15,FALSE)+SUM(_xlfn.XLOOKUP(S241:AG241,增益!$A:$A,增益!$O:$O,0)))/200,($F$14-$I$4+VLOOKUP($R241,武学奇术!$A:$ZZ,15,FALSE)+SUM(_xlfn.XLOOKUP(S241:AG241,增益!$A:$A,增益!$O:$O,0)))/100)</f>
        <v>-0.3</v>
      </c>
      <c r="BI241" s="26" cm="1">
        <f t="array" ref="BI241">$G$14+VLOOKUP($R241,武学奇术!$A:$ZZ,16,FALSE)+SUM(_xlfn.XLOOKUP(S241:AG241,增益!$A:$A,增益!$P:$P,0))</f>
        <v>0</v>
      </c>
      <c r="BJ241" s="21">
        <f>MIN(IF(VLOOKUP($R241,武学奇术!$A:$ZZ,23,FALSE)=1,100%,$B$8),100%)</f>
        <v>0.8229</v>
      </c>
      <c r="BK241" s="21" cm="1">
        <f t="array" ref="BK241">IF(VLOOKUP($R241,武学奇术!$A:$ZZ,23,FALSE)=1,100%,MIN(80%,$B$9+VLOOKUP($R241,武学奇术!$A:$ZZ,17,FALSE)+SUM(_xlfn.XLOOKUP(S241:AG241,增益!$A:$A,增益!$Q:$Q,0)))+$B$11+SUM(_xlfn.XLOOKUP(S241:AG241,增益!$A:$A,增益!$U:$U,0)))*IF(VLOOKUP($R241,武学奇术!$A:$ZZ,24,FALSE)=1,0,1)</f>
        <v>0.2285</v>
      </c>
      <c r="BL241" s="21" cm="1">
        <f t="array" ref="BL241">1+$B$13+VLOOKUP($R241,武学奇术!$A:$ZZ,18,FALSE)+SUM(_xlfn.XLOOKUP(S241:AG241,增益!$A:$A,增益!$R:$R,0))</f>
        <v>1.5</v>
      </c>
      <c r="BM241" s="21" cm="1">
        <f t="array" ref="BM241">IF(VLOOKUP($R241,武学奇术!$A:$ZZ,24,FALSE)=1,100%,MIN(40%,$B$10+VLOOKUP($R241,武学奇术!$A:$ZZ,19,FALSE)+SUM(_xlfn.XLOOKUP(S241:AG241,增益!$A:$A,增益!$S:$S,0)))+$B$12+SUM(_xlfn.XLOOKUP(S241:AG241,增益!$A:$A,增益!$V:$V,0)))*IF(VLOOKUP($R241,武学奇术!$A:$ZZ,23,FALSE)=1,0,1)</f>
        <v>0.4495</v>
      </c>
      <c r="BN241" s="21" cm="1">
        <f t="array" ref="BN241">1+$B$14+VLOOKUP($R241,武学奇术!$A:$ZZ,20,FALSE)+SUM(_xlfn.XLOOKUP(S241:AG241,增益!$A:$A,增益!$T:$T,0))</f>
        <v>1.782</v>
      </c>
      <c r="BO241" s="21">
        <f t="shared" si="42"/>
        <v>0.18803265</v>
      </c>
      <c r="BP241" s="21">
        <f t="shared" si="43"/>
        <v>0.2649738</v>
      </c>
      <c r="BQ241" s="21">
        <f>IF(VLOOKUP($R241,武学奇术!$A:$ZZ,22,FALSE)=1,0,(1-$BJ241))*(1-$BM241)</f>
        <v>0.09749355</v>
      </c>
      <c r="BR241" s="21" cm="1">
        <f t="array" ref="BR241">SUM(_xlfn.XLOOKUP(S241:AG241,增益!$A:$A,增益!$W:$W,0))+$I$5</f>
        <v>0.06</v>
      </c>
    </row>
    <row r="242" spans="11:70">
      <c r="K242" s="24">
        <f>$L242*VLOOKUP($R242,武学奇术!$A:$ZZ,31,FALSE)</f>
        <v>8609.42995222906</v>
      </c>
      <c r="L242" s="24">
        <f t="shared" si="33"/>
        <v>14349.0499203818</v>
      </c>
      <c r="M242" s="24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BL242*$Q242*(1+IF(VLOOKUP($R242,武学奇术!$A:$ZZ,30,FALSE)="流血",$B$21,0))*(1+$BR242)</f>
        <v>11747.5715469917</v>
      </c>
      <c r="N242" s="24">
        <f>(($AP242*$AI242+$AJ242)*(1+$AQ242)*(1+$AR242)+($AU242*IF($G$1="鸣金",$AK242,$AI242)+IF($G$1="鸣金",$AL242*1.5,0))*(1+$AV242)*(1+$AW242)+($AY242*IF($G$1="裂石",$AK242,$AI242)+IF($G$1="裂石",$AL242*1.5,0))*(1+$AZ242)*(1+$BA242)+($BC242*IF($G$1="牵丝",$AK242,$AI242)+IF($G$1="牵丝",$AL242*1.5,0))*(1+$BD242)*(1+$BE242)+($BG242*IF($G$1="破竹",$AK242,$AI242)+IF($G$1="破竹",$AL242*1.5,0))*(1+$BH242)*(1+$BI242))*(1+$AM242)*$BN242*$Q242*(1+IF(VLOOKUP($R242,武学奇术!$A:$ZZ,30,FALSE)="流血",$B$21,0))*(1+$BR242)</f>
        <v>21626.293797951</v>
      </c>
      <c r="O242" s="24">
        <f>((($AO242+$AP242)/2*$AI242+$AJ242)*(1+$AQ242)*(1+$AR242)+(($AT242+$AU242)/2*IF($G$1="鸣金",$AK242,$AI242)+IF($G$1="鸣金",$AL242*1.5,0))*(1+$AV242)*(1+$AW242)+(($AX242+$AY242)/2*IF($G$1="裂石",$AK242,$AI242)+IF($G$1="裂石",$AL242*1.5,0))*(1+$AZ242)*(1+$BA242)+(($BB242+$BC242)/2*IF($G$1="牵丝",$AK242,$AI242)+IF($G$1="牵丝",$AL242*1.5,0))*(1+$BD242)*(1+$BE242)+(($BF242+$BG242)/2*IF($G$1="破竹",$AK242,$AI242)+IF($G$1="破竹",$AL242*1.5,0))*(1+$BH242)*(1+$BI242))*(1+$AM242)*$Q242*(1+IF(VLOOKUP($R242,武学奇术!$A:$ZZ,30,FALSE)="流血",$B$21,0))*(1+$BR242)</f>
        <v>7831.71436466112</v>
      </c>
      <c r="P242" s="24">
        <f>((($AO242*$AI242+$AJ242)*(1+$AQ242)*(1+$AR242)+($AT242*IF($G$1="鸣金",$AK242,$AI242)+IF($G$1="鸣金",$AL242*1.5,0))*(1+$AV242)*(1+$AW242)+($AX242*IF($G$1="裂石",$AK242,$AI242)+IF($G$1="裂石",$AL242*1.5,0))*(1+$AZ242)*(1+$BA242)+($BB242*IF($G$1="牵丝",$AK242,$AI242)+IF($G$1="牵丝",$AL242*1.5,0))*(1+$BD242)*(1+$BE242)+($BF242*IF($G$1="破竹",$AK242,$AI242)+IF($G$1="破竹",$AL242*1.5,0))*(1+$BH242)*(1+$BI242))*(1+$AM242))*$Q242*(1+IF(VLOOKUP($R242,武学奇术!$A:$ZZ,30,FALSE)="流血",$B$21,0))*(1+$BR242)</f>
        <v>3527.46139040471</v>
      </c>
      <c r="Q242" s="31">
        <v>1</v>
      </c>
      <c r="R242" s="32" t="s">
        <v>197</v>
      </c>
      <c r="S242" s="32" t="s">
        <v>87</v>
      </c>
      <c r="T242" s="32" t="s">
        <v>96</v>
      </c>
      <c r="U242" s="32" t="s">
        <v>97</v>
      </c>
      <c r="V242" s="32" t="s">
        <v>73</v>
      </c>
      <c r="W242" s="32" t="s">
        <v>111</v>
      </c>
      <c r="X242" s="32" t="s">
        <v>127</v>
      </c>
      <c r="Y242" s="32" t="s">
        <v>73</v>
      </c>
      <c r="Z242" s="32" t="s">
        <v>73</v>
      </c>
      <c r="AA242" s="32" t="s">
        <v>81</v>
      </c>
      <c r="AB242" s="32" t="s">
        <v>75</v>
      </c>
      <c r="AC242" s="32" t="s">
        <v>89</v>
      </c>
      <c r="AD242" s="32" t="s">
        <v>82</v>
      </c>
      <c r="AE242" s="32" t="s">
        <v>90</v>
      </c>
      <c r="AF242" s="32" t="s">
        <v>73</v>
      </c>
      <c r="AG242" s="32" t="s">
        <v>178</v>
      </c>
      <c r="AH242" t="str">
        <f>VLOOKUP($R242,武学奇术!$A:$ZZ,25,FALSE)</f>
        <v>剑</v>
      </c>
      <c r="AI242" s="21">
        <f>VLOOKUP($R242,武学奇术!$A:$ZZ,26,FALSE)</f>
        <v>0.2772</v>
      </c>
      <c r="AJ242" s="22">
        <f>VLOOKUP($R242,武学奇术!$A:$ZZ,27,FALSE)*(1+IF(OR($AH242=$F$4,$AH242=$F$5),$B$22,0))</f>
        <v>0</v>
      </c>
      <c r="AK242" s="21">
        <f>VLOOKUP($R242,武学奇术!$A:$ZZ,28,FALSE)</f>
        <v>0.4158</v>
      </c>
      <c r="AL242" s="22">
        <f>VLOOKUP($R242,武学奇术!$A:$ZZ,29,FALSE)*(1+IF(OR($AH242=$F$4,$AH242=$F$5),$B$22,0))</f>
        <v>0</v>
      </c>
      <c r="AM242" s="21" cm="1">
        <f t="array" ref="AM242">$G$3+IFERROR(VLOOKUP($AH242,$F$4:$G$7,2,FALSE),0)+VLOOKUP($R242,武学奇术!$A:$ZZ,2,FALSE)+SUM(_xlfn.XLOOKUP($S242:$AG242,增益!$A:$A,增益!$B:$B,0))</f>
        <v>1.4791</v>
      </c>
      <c r="AN242" s="21" cm="1">
        <f t="array" ref="AN242">VLOOKUP($R242,武学奇术!$A:$ZZ,5,FALSE)+SUM(_xlfn.XLOOKUP($S242:$AG242,增益!$A:$A,增益!$E:$E,0))</f>
        <v>0</v>
      </c>
      <c r="AO242" cm="1">
        <f t="array" ref="AO242">$D$10*(1+$AN242)+VLOOKUP($R242,武学奇术!$A:$ZZ,3,FALSE)+SUM(_xlfn.XLOOKUP($S242:$AG242,增益!$A:$A,增益!$C:$C,0))-$I$2</f>
        <v>1825.28</v>
      </c>
      <c r="AP242" cm="1">
        <f t="array" ref="AP242">$E$10*(1+$AN242)+VLOOKUP($R242,武学奇术!$A:$ZZ,4,FALSE)+SUM(_xlfn.XLOOKUP($S242:$AG242,增益!$A:$A,增益!$D:$D,0))-$I$2</f>
        <v>7757.36</v>
      </c>
      <c r="AQ242" s="26" cm="1">
        <f t="array" ref="AQ242">IF($F$10-$I$3+VLOOKUP($R242,武学奇术!$A:$ZZ,6,FALSE)+SUM(_xlfn.XLOOKUP(S242:AG242,增益!$A:$A,增益!$F:$F,0))&gt;0,($F$10-$I$3+VLOOKUP($R242,武学奇术!$A:$ZZ,6,FALSE)+SUM(_xlfn.XLOOKUP(S242:AG242,增益!$A:$A,增益!$F:$F,0)))/200,($F$10-$I$3+VLOOKUP($R242,武学奇术!$A:$ZZ,6,FALSE)+SUM(_xlfn.XLOOKUP(S242:AG242,增益!$A:$A,增益!$F:$F,0)))/100)</f>
        <v>0.319</v>
      </c>
      <c r="AR242" s="26" cm="1">
        <f t="array" ref="AR242">$G$10+VLOOKUP($R242,武学奇术!$A:$ZZ,7,FALSE)+SUM(_xlfn.XLOOKUP(S242:AG242,增益!$A:$A,增益!$G:$G,0))</f>
        <v>0</v>
      </c>
      <c r="AS242" s="21" cm="1">
        <f t="array" ref="AS242">VLOOKUP($R242,武学奇术!$A:$ZZ,8,FALSE)+SUM(_xlfn.XLOOKUP(S242:AG242,增益!$A:$A,增益!$H:$H,0))</f>
        <v>0</v>
      </c>
      <c r="AT242">
        <f t="shared" si="34"/>
        <v>680.02</v>
      </c>
      <c r="AU242">
        <f t="shared" si="35"/>
        <v>1288.54</v>
      </c>
      <c r="AV242" s="26" cm="1">
        <f t="array" ref="AV242">IF($F$11-$I$4+VLOOKUP($R242,武学奇术!$A:$ZZ,9,FALSE)+SUM(_xlfn.XLOOKUP(S242:AG242,增益!$A:$A,增益!$I:$I,0))&gt;0,($F$11-$I$4+VLOOKUP($R242,武学奇术!$A:$ZZ,9,FALSE)+SUM(_xlfn.XLOOKUP(S242:AG242,增益!$A:$A,增益!$I:$I,0)))/200,($F$11-$I$4+VLOOKUP($R242,武学奇术!$A:$ZZ,9,FALSE)+SUM(_xlfn.XLOOKUP(S242:AG242,增益!$A:$A,增益!$I:$I,0)))/100)</f>
        <v>0.075</v>
      </c>
      <c r="AW242" s="26" cm="1">
        <f t="array" ref="AW242">$G$11+VLOOKUP($R242,武学奇术!$A:$ZZ,10,FALSE)+SUM(_xlfn.XLOOKUP(S242:AG242,增益!$A:$A,增益!$J:$J,0))</f>
        <v>0.15</v>
      </c>
      <c r="AX242">
        <f t="shared" si="36"/>
        <v>0</v>
      </c>
      <c r="AY242">
        <f t="shared" si="37"/>
        <v>0</v>
      </c>
      <c r="AZ242" s="26" cm="1">
        <f t="array" ref="AZ242">IF($F$12-$I$4+VLOOKUP($R242,武学奇术!$A:$ZZ,11,FALSE)+SUM(_xlfn.XLOOKUP(S242:AG242,增益!$A:$A,增益!$K:$K,0))&gt;0,($F$12-$I$4+VLOOKUP($R242,武学奇术!$A:$ZZ,11,FALSE)+SUM(_xlfn.XLOOKUP(S242:AG242,增益!$A:$A,增益!$K:$K,0)))/200,($F$12-$I$4+VLOOKUP($R242,武学奇术!$A:$ZZ,11,FALSE)+SUM(_xlfn.XLOOKUP(S242:AG242,增益!$A:$A,增益!$K:$K,0)))/100)</f>
        <v>-0.3</v>
      </c>
      <c r="BA242" s="26" cm="1">
        <f t="array" ref="BA242">$G$12+VLOOKUP($R242,武学奇术!$A:$ZZ,12,FALSE)+SUM(_xlfn.XLOOKUP(S242:AG242,增益!$A:$A,增益!$L:$L,0))</f>
        <v>0</v>
      </c>
      <c r="BB242">
        <f t="shared" si="38"/>
        <v>0</v>
      </c>
      <c r="BC242">
        <f t="shared" si="39"/>
        <v>0</v>
      </c>
      <c r="BD242" s="26" cm="1">
        <f t="array" ref="BD242">IF($F$13-$I$4+VLOOKUP($R242,武学奇术!$A:$ZZ,13,FALSE)+SUM(_xlfn.XLOOKUP(S242:AG242,增益!$A:$A,增益!$M:$M,0))&gt;0,($F$13-$I$4+VLOOKUP($R242,武学奇术!$A:$ZZ,13,FALSE)+SUM(_xlfn.XLOOKUP(S242:AG242,增益!$A:$A,增益!$K:$K,0)))/200,($F$13-$I$4+VLOOKUP($R242,武学奇术!$A:$ZZ,13,FALSE)+SUM(_xlfn.XLOOKUP(S242:AG242,增益!$A:$A,增益!$M:$M,0)))/100)</f>
        <v>-0.3</v>
      </c>
      <c r="BE242" s="26" cm="1">
        <f t="array" ref="BE242">$G$13+VLOOKUP($R242,武学奇术!$A:$ZZ,14,FALSE)+SUM(_xlfn.XLOOKUP(S242:AG242,增益!$A:$A,增益!$N:$N,0))</f>
        <v>0</v>
      </c>
      <c r="BF242">
        <f t="shared" si="40"/>
        <v>0</v>
      </c>
      <c r="BG242">
        <f t="shared" si="41"/>
        <v>0</v>
      </c>
      <c r="BH242" s="26" cm="1">
        <f t="array" ref="BH242">IF($F$14-$I$4+VLOOKUP($R242,武学奇术!$A:$ZZ,15,FALSE)+SUM(_xlfn.XLOOKUP(S242:AG242,增益!$A:$A,增益!$O:$O,0))&gt;0,($F$14-$I$4+VLOOKUP($R242,武学奇术!$A:$ZZ,15,FALSE)+SUM(_xlfn.XLOOKUP(S242:AG242,增益!$A:$A,增益!$O:$O,0)))/200,($F$14-$I$4+VLOOKUP($R242,武学奇术!$A:$ZZ,15,FALSE)+SUM(_xlfn.XLOOKUP(S242:AG242,增益!$A:$A,增益!$O:$O,0)))/100)</f>
        <v>-0.3</v>
      </c>
      <c r="BI242" s="26" cm="1">
        <f t="array" ref="BI242">$G$14+VLOOKUP($R242,武学奇术!$A:$ZZ,16,FALSE)+SUM(_xlfn.XLOOKUP(S242:AG242,增益!$A:$A,增益!$P:$P,0))</f>
        <v>0</v>
      </c>
      <c r="BJ242" s="21">
        <f>MIN(IF(VLOOKUP($R242,武学奇术!$A:$ZZ,23,FALSE)=1,100%,$B$8),100%)</f>
        <v>0.8229</v>
      </c>
      <c r="BK242" s="21" cm="1">
        <f t="array" ref="BK242">IF(VLOOKUP($R242,武学奇术!$A:$ZZ,23,FALSE)=1,100%,MIN(80%,$B$9+VLOOKUP($R242,武学奇术!$A:$ZZ,17,FALSE)+SUM(_xlfn.XLOOKUP(S242:AG242,增益!$A:$A,增益!$Q:$Q,0)))+$B$11+SUM(_xlfn.XLOOKUP(S242:AG242,增益!$A:$A,增益!$U:$U,0)))*IF(VLOOKUP($R242,武学奇术!$A:$ZZ,24,FALSE)=1,0,1)</f>
        <v>0.2285</v>
      </c>
      <c r="BL242" s="21" cm="1">
        <f t="array" ref="BL242">1+$B$13+VLOOKUP($R242,武学奇术!$A:$ZZ,18,FALSE)+SUM(_xlfn.XLOOKUP(S242:AG242,增益!$A:$A,增益!$R:$R,0))</f>
        <v>1.5</v>
      </c>
      <c r="BM242" s="21" cm="1">
        <f t="array" ref="BM242">IF(VLOOKUP($R242,武学奇术!$A:$ZZ,24,FALSE)=1,100%,MIN(40%,$B$10+VLOOKUP($R242,武学奇术!$A:$ZZ,19,FALSE)+SUM(_xlfn.XLOOKUP(S242:AG242,增益!$A:$A,增益!$S:$S,0)))+$B$12+SUM(_xlfn.XLOOKUP(S242:AG242,增益!$A:$A,增益!$V:$V,0)))*IF(VLOOKUP($R242,武学奇术!$A:$ZZ,23,FALSE)=1,0,1)</f>
        <v>0.4495</v>
      </c>
      <c r="BN242" s="21" cm="1">
        <f t="array" ref="BN242">1+$B$14+VLOOKUP($R242,武学奇术!$A:$ZZ,20,FALSE)+SUM(_xlfn.XLOOKUP(S242:AG242,增益!$A:$A,增益!$T:$T,0))</f>
        <v>1.782</v>
      </c>
      <c r="BO242" s="21">
        <f t="shared" si="42"/>
        <v>0.18803265</v>
      </c>
      <c r="BP242" s="21">
        <f t="shared" si="43"/>
        <v>0.2649738</v>
      </c>
      <c r="BQ242" s="21">
        <f>IF(VLOOKUP($R242,武学奇术!$A:$ZZ,22,FALSE)=1,0,(1-$BJ242))*(1-$BM242)</f>
        <v>0.09749355</v>
      </c>
      <c r="BR242" s="21" cm="1">
        <f t="array" ref="BR242">SUM(_xlfn.XLOOKUP(S242:AG242,增益!$A:$A,增益!$W:$W,0))+$I$5</f>
        <v>0.06</v>
      </c>
    </row>
    <row r="243" spans="11:70">
      <c r="K243" s="24">
        <f>$L243*VLOOKUP($R243,武学奇术!$A:$ZZ,31,FALSE)</f>
        <v>5380.89372014316</v>
      </c>
      <c r="L243" s="24">
        <f t="shared" si="33"/>
        <v>8968.1562002386</v>
      </c>
      <c r="M243" s="24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BL243*$Q243*(1+IF(VLOOKUP($R243,武学奇术!$A:$ZZ,30,FALSE)="流血",$B$21,0))*(1+$BR243)</f>
        <v>7342.2322168698</v>
      </c>
      <c r="N243" s="24">
        <f>(($AP243*$AI243+$AJ243)*(1+$AQ243)*(1+$AR243)+($AU243*IF($G$1="鸣金",$AK243,$AI243)+IF($G$1="鸣金",$AL243*1.5,0))*(1+$AV243)*(1+$AW243)+($AY243*IF($G$1="裂石",$AK243,$AI243)+IF($G$1="裂石",$AL243*1.5,0))*(1+$AZ243)*(1+$BA243)+($BC243*IF($G$1="牵丝",$AK243,$AI243)+IF($G$1="牵丝",$AL243*1.5,0))*(1+$BD243)*(1+$BE243)+($BG243*IF($G$1="破竹",$AK243,$AI243)+IF($G$1="破竹",$AL243*1.5,0))*(1+$BH243)*(1+$BI243))*(1+$AM243)*$BN243*$Q243*(1+IF(VLOOKUP($R243,武学奇术!$A:$ZZ,30,FALSE)="流血",$B$21,0))*(1+$BR243)</f>
        <v>13516.4336237194</v>
      </c>
      <c r="O243" s="24">
        <f>((($AO243+$AP243)/2*$AI243+$AJ243)*(1+$AQ243)*(1+$AR243)+(($AT243+$AU243)/2*IF($G$1="鸣金",$AK243,$AI243)+IF($G$1="鸣金",$AL243*1.5,0))*(1+$AV243)*(1+$AW243)+(($AX243+$AY243)/2*IF($G$1="裂石",$AK243,$AI243)+IF($G$1="裂石",$AL243*1.5,0))*(1+$AZ243)*(1+$BA243)+(($BB243+$BC243)/2*IF($G$1="牵丝",$AK243,$AI243)+IF($G$1="牵丝",$AL243*1.5,0))*(1+$BD243)*(1+$BE243)+(($BF243+$BG243)/2*IF($G$1="破竹",$AK243,$AI243)+IF($G$1="破竹",$AL243*1.5,0))*(1+$BH243)*(1+$BI243))*(1+$AM243)*$Q243*(1+IF(VLOOKUP($R243,武学奇术!$A:$ZZ,30,FALSE)="流血",$B$21,0))*(1+$BR243)</f>
        <v>4894.8214779132</v>
      </c>
      <c r="P243" s="24">
        <f>((($AO243*$AI243+$AJ243)*(1+$AQ243)*(1+$AR243)+($AT243*IF($G$1="鸣金",$AK243,$AI243)+IF($G$1="鸣金",$AL243*1.5,0))*(1+$AV243)*(1+$AW243)+($AX243*IF($G$1="裂石",$AK243,$AI243)+IF($G$1="裂石",$AL243*1.5,0))*(1+$AZ243)*(1+$BA243)+($BB243*IF($G$1="牵丝",$AK243,$AI243)+IF($G$1="牵丝",$AL243*1.5,0))*(1+$BD243)*(1+$BE243)+($BF243*IF($G$1="破竹",$AK243,$AI243)+IF($G$1="破竹",$AL243*1.5,0))*(1+$BH243)*(1+$BI243))*(1+$AM243))*$Q243*(1+IF(VLOOKUP($R243,武学奇术!$A:$ZZ,30,FALSE)="流血",$B$21,0))*(1+$BR243)</f>
        <v>2204.66336900294</v>
      </c>
      <c r="Q243" s="31">
        <v>1</v>
      </c>
      <c r="R243" s="32" t="s">
        <v>198</v>
      </c>
      <c r="S243" s="32" t="s">
        <v>87</v>
      </c>
      <c r="T243" s="32" t="s">
        <v>96</v>
      </c>
      <c r="U243" s="32" t="s">
        <v>97</v>
      </c>
      <c r="V243" s="32" t="s">
        <v>73</v>
      </c>
      <c r="W243" s="32" t="s">
        <v>111</v>
      </c>
      <c r="X243" s="32" t="s">
        <v>127</v>
      </c>
      <c r="Y243" s="32" t="s">
        <v>73</v>
      </c>
      <c r="Z243" s="32" t="s">
        <v>73</v>
      </c>
      <c r="AA243" s="32" t="s">
        <v>81</v>
      </c>
      <c r="AB243" s="32" t="s">
        <v>75</v>
      </c>
      <c r="AC243" s="32" t="s">
        <v>89</v>
      </c>
      <c r="AD243" s="32" t="s">
        <v>82</v>
      </c>
      <c r="AE243" s="32" t="s">
        <v>90</v>
      </c>
      <c r="AF243" s="32" t="s">
        <v>73</v>
      </c>
      <c r="AG243" s="32" t="s">
        <v>178</v>
      </c>
      <c r="AH243" t="str">
        <f>VLOOKUP($R243,武学奇术!$A:$ZZ,25,FALSE)</f>
        <v>剑</v>
      </c>
      <c r="AI243" s="21">
        <f>VLOOKUP($R243,武学奇术!$A:$ZZ,26,FALSE)</f>
        <v>0.17325</v>
      </c>
      <c r="AJ243" s="22">
        <f>VLOOKUP($R243,武学奇术!$A:$ZZ,27,FALSE)*(1+IF(OR($AH243=$F$4,$AH243=$F$5),$B$22,0))</f>
        <v>0</v>
      </c>
      <c r="AK243" s="21">
        <f>VLOOKUP($R243,武学奇术!$A:$ZZ,28,FALSE)</f>
        <v>0.259875</v>
      </c>
      <c r="AL243" s="22">
        <f>VLOOKUP($R243,武学奇术!$A:$ZZ,29,FALSE)*(1+IF(OR($AH243=$F$4,$AH243=$F$5),$B$22,0))</f>
        <v>0</v>
      </c>
      <c r="AM243" s="21" cm="1">
        <f t="array" ref="AM243">$G$3+IFERROR(VLOOKUP($AH243,$F$4:$G$7,2,FALSE),0)+VLOOKUP($R243,武学奇术!$A:$ZZ,2,FALSE)+SUM(_xlfn.XLOOKUP($S243:$AG243,增益!$A:$A,增益!$B:$B,0))</f>
        <v>1.4791</v>
      </c>
      <c r="AN243" s="21" cm="1">
        <f t="array" ref="AN243">VLOOKUP($R243,武学奇术!$A:$ZZ,5,FALSE)+SUM(_xlfn.XLOOKUP($S243:$AG243,增益!$A:$A,增益!$E:$E,0))</f>
        <v>0</v>
      </c>
      <c r="AO243" cm="1">
        <f t="array" ref="AO243">$D$10*(1+$AN243)+VLOOKUP($R243,武学奇术!$A:$ZZ,3,FALSE)+SUM(_xlfn.XLOOKUP($S243:$AG243,增益!$A:$A,增益!$C:$C,0))-$I$2</f>
        <v>1825.28</v>
      </c>
      <c r="AP243" cm="1">
        <f t="array" ref="AP243">$E$10*(1+$AN243)+VLOOKUP($R243,武学奇术!$A:$ZZ,4,FALSE)+SUM(_xlfn.XLOOKUP($S243:$AG243,增益!$A:$A,增益!$D:$D,0))-$I$2</f>
        <v>7757.36</v>
      </c>
      <c r="AQ243" s="26" cm="1">
        <f t="array" ref="AQ243">IF($F$10-$I$3+VLOOKUP($R243,武学奇术!$A:$ZZ,6,FALSE)+SUM(_xlfn.XLOOKUP(S243:AG243,增益!$A:$A,增益!$F:$F,0))&gt;0,($F$10-$I$3+VLOOKUP($R243,武学奇术!$A:$ZZ,6,FALSE)+SUM(_xlfn.XLOOKUP(S243:AG243,增益!$A:$A,增益!$F:$F,0)))/200,($F$10-$I$3+VLOOKUP($R243,武学奇术!$A:$ZZ,6,FALSE)+SUM(_xlfn.XLOOKUP(S243:AG243,增益!$A:$A,增益!$F:$F,0)))/100)</f>
        <v>0.319</v>
      </c>
      <c r="AR243" s="26" cm="1">
        <f t="array" ref="AR243">$G$10+VLOOKUP($R243,武学奇术!$A:$ZZ,7,FALSE)+SUM(_xlfn.XLOOKUP(S243:AG243,增益!$A:$A,增益!$G:$G,0))</f>
        <v>0</v>
      </c>
      <c r="AS243" s="21" cm="1">
        <f t="array" ref="AS243">VLOOKUP($R243,武学奇术!$A:$ZZ,8,FALSE)+SUM(_xlfn.XLOOKUP(S243:AG243,增益!$A:$A,增益!$H:$H,0))</f>
        <v>0</v>
      </c>
      <c r="AT243">
        <f t="shared" si="34"/>
        <v>680.02</v>
      </c>
      <c r="AU243">
        <f t="shared" si="35"/>
        <v>1288.54</v>
      </c>
      <c r="AV243" s="26" cm="1">
        <f t="array" ref="AV243">IF($F$11-$I$4+VLOOKUP($R243,武学奇术!$A:$ZZ,9,FALSE)+SUM(_xlfn.XLOOKUP(S243:AG243,增益!$A:$A,增益!$I:$I,0))&gt;0,($F$11-$I$4+VLOOKUP($R243,武学奇术!$A:$ZZ,9,FALSE)+SUM(_xlfn.XLOOKUP(S243:AG243,增益!$A:$A,增益!$I:$I,0)))/200,($F$11-$I$4+VLOOKUP($R243,武学奇术!$A:$ZZ,9,FALSE)+SUM(_xlfn.XLOOKUP(S243:AG243,增益!$A:$A,增益!$I:$I,0)))/100)</f>
        <v>0.075</v>
      </c>
      <c r="AW243" s="26" cm="1">
        <f t="array" ref="AW243">$G$11+VLOOKUP($R243,武学奇术!$A:$ZZ,10,FALSE)+SUM(_xlfn.XLOOKUP(S243:AG243,增益!$A:$A,增益!$J:$J,0))</f>
        <v>0.15</v>
      </c>
      <c r="AX243">
        <f t="shared" si="36"/>
        <v>0</v>
      </c>
      <c r="AY243">
        <f t="shared" si="37"/>
        <v>0</v>
      </c>
      <c r="AZ243" s="26" cm="1">
        <f t="array" ref="AZ243">IF($F$12-$I$4+VLOOKUP($R243,武学奇术!$A:$ZZ,11,FALSE)+SUM(_xlfn.XLOOKUP(S243:AG243,增益!$A:$A,增益!$K:$K,0))&gt;0,($F$12-$I$4+VLOOKUP($R243,武学奇术!$A:$ZZ,11,FALSE)+SUM(_xlfn.XLOOKUP(S243:AG243,增益!$A:$A,增益!$K:$K,0)))/200,($F$12-$I$4+VLOOKUP($R243,武学奇术!$A:$ZZ,11,FALSE)+SUM(_xlfn.XLOOKUP(S243:AG243,增益!$A:$A,增益!$K:$K,0)))/100)</f>
        <v>-0.3</v>
      </c>
      <c r="BA243" s="26" cm="1">
        <f t="array" ref="BA243">$G$12+VLOOKUP($R243,武学奇术!$A:$ZZ,12,FALSE)+SUM(_xlfn.XLOOKUP(S243:AG243,增益!$A:$A,增益!$L:$L,0))</f>
        <v>0</v>
      </c>
      <c r="BB243">
        <f t="shared" si="38"/>
        <v>0</v>
      </c>
      <c r="BC243">
        <f t="shared" si="39"/>
        <v>0</v>
      </c>
      <c r="BD243" s="26" cm="1">
        <f t="array" ref="BD243">IF($F$13-$I$4+VLOOKUP($R243,武学奇术!$A:$ZZ,13,FALSE)+SUM(_xlfn.XLOOKUP(S243:AG243,增益!$A:$A,增益!$M:$M,0))&gt;0,($F$13-$I$4+VLOOKUP($R243,武学奇术!$A:$ZZ,13,FALSE)+SUM(_xlfn.XLOOKUP(S243:AG243,增益!$A:$A,增益!$K:$K,0)))/200,($F$13-$I$4+VLOOKUP($R243,武学奇术!$A:$ZZ,13,FALSE)+SUM(_xlfn.XLOOKUP(S243:AG243,增益!$A:$A,增益!$M:$M,0)))/100)</f>
        <v>-0.3</v>
      </c>
      <c r="BE243" s="26" cm="1">
        <f t="array" ref="BE243">$G$13+VLOOKUP($R243,武学奇术!$A:$ZZ,14,FALSE)+SUM(_xlfn.XLOOKUP(S243:AG243,增益!$A:$A,增益!$N:$N,0))</f>
        <v>0</v>
      </c>
      <c r="BF243">
        <f t="shared" si="40"/>
        <v>0</v>
      </c>
      <c r="BG243">
        <f t="shared" si="41"/>
        <v>0</v>
      </c>
      <c r="BH243" s="26" cm="1">
        <f t="array" ref="BH243">IF($F$14-$I$4+VLOOKUP($R243,武学奇术!$A:$ZZ,15,FALSE)+SUM(_xlfn.XLOOKUP(S243:AG243,增益!$A:$A,增益!$O:$O,0))&gt;0,($F$14-$I$4+VLOOKUP($R243,武学奇术!$A:$ZZ,15,FALSE)+SUM(_xlfn.XLOOKUP(S243:AG243,增益!$A:$A,增益!$O:$O,0)))/200,($F$14-$I$4+VLOOKUP($R243,武学奇术!$A:$ZZ,15,FALSE)+SUM(_xlfn.XLOOKUP(S243:AG243,增益!$A:$A,增益!$O:$O,0)))/100)</f>
        <v>-0.3</v>
      </c>
      <c r="BI243" s="26" cm="1">
        <f t="array" ref="BI243">$G$14+VLOOKUP($R243,武学奇术!$A:$ZZ,16,FALSE)+SUM(_xlfn.XLOOKUP(S243:AG243,增益!$A:$A,增益!$P:$P,0))</f>
        <v>0</v>
      </c>
      <c r="BJ243" s="21">
        <f>MIN(IF(VLOOKUP($R243,武学奇术!$A:$ZZ,23,FALSE)=1,100%,$B$8),100%)</f>
        <v>0.8229</v>
      </c>
      <c r="BK243" s="21" cm="1">
        <f t="array" ref="BK243">IF(VLOOKUP($R243,武学奇术!$A:$ZZ,23,FALSE)=1,100%,MIN(80%,$B$9+VLOOKUP($R243,武学奇术!$A:$ZZ,17,FALSE)+SUM(_xlfn.XLOOKUP(S243:AG243,增益!$A:$A,增益!$Q:$Q,0)))+$B$11+SUM(_xlfn.XLOOKUP(S243:AG243,增益!$A:$A,增益!$U:$U,0)))*IF(VLOOKUP($R243,武学奇术!$A:$ZZ,24,FALSE)=1,0,1)</f>
        <v>0.2285</v>
      </c>
      <c r="BL243" s="21" cm="1">
        <f t="array" ref="BL243">1+$B$13+VLOOKUP($R243,武学奇术!$A:$ZZ,18,FALSE)+SUM(_xlfn.XLOOKUP(S243:AG243,增益!$A:$A,增益!$R:$R,0))</f>
        <v>1.5</v>
      </c>
      <c r="BM243" s="21" cm="1">
        <f t="array" ref="BM243">IF(VLOOKUP($R243,武学奇术!$A:$ZZ,24,FALSE)=1,100%,MIN(40%,$B$10+VLOOKUP($R243,武学奇术!$A:$ZZ,19,FALSE)+SUM(_xlfn.XLOOKUP(S243:AG243,增益!$A:$A,增益!$S:$S,0)))+$B$12+SUM(_xlfn.XLOOKUP(S243:AG243,增益!$A:$A,增益!$V:$V,0)))*IF(VLOOKUP($R243,武学奇术!$A:$ZZ,23,FALSE)=1,0,1)</f>
        <v>0.4495</v>
      </c>
      <c r="BN243" s="21" cm="1">
        <f t="array" ref="BN243">1+$B$14+VLOOKUP($R243,武学奇术!$A:$ZZ,20,FALSE)+SUM(_xlfn.XLOOKUP(S243:AG243,增益!$A:$A,增益!$T:$T,0))</f>
        <v>1.782</v>
      </c>
      <c r="BO243" s="21">
        <f t="shared" si="42"/>
        <v>0.18803265</v>
      </c>
      <c r="BP243" s="21">
        <f t="shared" si="43"/>
        <v>0.2649738</v>
      </c>
      <c r="BQ243" s="21">
        <f>IF(VLOOKUP($R243,武学奇术!$A:$ZZ,22,FALSE)=1,0,(1-$BJ243))*(1-$BM243)</f>
        <v>0.09749355</v>
      </c>
      <c r="BR243" s="21" cm="1">
        <f t="array" ref="BR243">SUM(_xlfn.XLOOKUP(S243:AG243,增益!$A:$A,增益!$W:$W,0))+$I$5</f>
        <v>0.06</v>
      </c>
    </row>
    <row r="244" spans="11:70">
      <c r="K244" s="24">
        <f>$L244*VLOOKUP($R244,武学奇术!$A:$ZZ,31,FALSE)</f>
        <v>10761.7874402863</v>
      </c>
      <c r="L244" s="24">
        <f t="shared" si="33"/>
        <v>17936.3124004772</v>
      </c>
      <c r="M244" s="24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BL244*$Q244*(1+IF(VLOOKUP($R244,武学奇术!$A:$ZZ,30,FALSE)="流血",$B$21,0))*(1+$BR244)</f>
        <v>14684.4644337396</v>
      </c>
      <c r="N244" s="24">
        <f>(($AP244*$AI244+$AJ244)*(1+$AQ244)*(1+$AR244)+($AU244*IF($G$1="鸣金",$AK244,$AI244)+IF($G$1="鸣金",$AL244*1.5,0))*(1+$AV244)*(1+$AW244)+($AY244*IF($G$1="裂石",$AK244,$AI244)+IF($G$1="裂石",$AL244*1.5,0))*(1+$AZ244)*(1+$BA244)+($BC244*IF($G$1="牵丝",$AK244,$AI244)+IF($G$1="牵丝",$AL244*1.5,0))*(1+$BD244)*(1+$BE244)+($BG244*IF($G$1="破竹",$AK244,$AI244)+IF($G$1="破竹",$AL244*1.5,0))*(1+$BH244)*(1+$BI244))*(1+$AM244)*$BN244*$Q244*(1+IF(VLOOKUP($R244,武学奇术!$A:$ZZ,30,FALSE)="流血",$B$21,0))*(1+$BR244)</f>
        <v>27032.8672474388</v>
      </c>
      <c r="O244" s="24">
        <f>((($AO244+$AP244)/2*$AI244+$AJ244)*(1+$AQ244)*(1+$AR244)+(($AT244+$AU244)/2*IF($G$1="鸣金",$AK244,$AI244)+IF($G$1="鸣金",$AL244*1.5,0))*(1+$AV244)*(1+$AW244)+(($AX244+$AY244)/2*IF($G$1="裂石",$AK244,$AI244)+IF($G$1="裂石",$AL244*1.5,0))*(1+$AZ244)*(1+$BA244)+(($BB244+$BC244)/2*IF($G$1="牵丝",$AK244,$AI244)+IF($G$1="牵丝",$AL244*1.5,0))*(1+$BD244)*(1+$BE244)+(($BF244+$BG244)/2*IF($G$1="破竹",$AK244,$AI244)+IF($G$1="破竹",$AL244*1.5,0))*(1+$BH244)*(1+$BI244))*(1+$AM244)*$Q244*(1+IF(VLOOKUP($R244,武学奇术!$A:$ZZ,30,FALSE)="流血",$B$21,0))*(1+$BR244)</f>
        <v>9789.6429558264</v>
      </c>
      <c r="P244" s="24">
        <f>((($AO244*$AI244+$AJ244)*(1+$AQ244)*(1+$AR244)+($AT244*IF($G$1="鸣金",$AK244,$AI244)+IF($G$1="鸣金",$AL244*1.5,0))*(1+$AV244)*(1+$AW244)+($AX244*IF($G$1="裂石",$AK244,$AI244)+IF($G$1="裂石",$AL244*1.5,0))*(1+$AZ244)*(1+$BA244)+($BB244*IF($G$1="牵丝",$AK244,$AI244)+IF($G$1="牵丝",$AL244*1.5,0))*(1+$BD244)*(1+$BE244)+($BF244*IF($G$1="破竹",$AK244,$AI244)+IF($G$1="破竹",$AL244*1.5,0))*(1+$BH244)*(1+$BI244))*(1+$AM244))*$Q244*(1+IF(VLOOKUP($R244,武学奇术!$A:$ZZ,30,FALSE)="流血",$B$21,0))*(1+$BR244)</f>
        <v>4409.32673800589</v>
      </c>
      <c r="Q244" s="31">
        <v>1</v>
      </c>
      <c r="R244" s="32" t="s">
        <v>199</v>
      </c>
      <c r="S244" s="32" t="s">
        <v>87</v>
      </c>
      <c r="T244" s="32" t="s">
        <v>96</v>
      </c>
      <c r="U244" s="32" t="s">
        <v>97</v>
      </c>
      <c r="V244" s="32" t="s">
        <v>73</v>
      </c>
      <c r="W244" s="32" t="s">
        <v>111</v>
      </c>
      <c r="X244" s="32" t="s">
        <v>127</v>
      </c>
      <c r="Y244" s="32" t="s">
        <v>73</v>
      </c>
      <c r="Z244" s="32" t="s">
        <v>73</v>
      </c>
      <c r="AA244" s="32" t="s">
        <v>81</v>
      </c>
      <c r="AB244" s="32" t="s">
        <v>75</v>
      </c>
      <c r="AC244" s="32" t="s">
        <v>89</v>
      </c>
      <c r="AD244" s="32" t="s">
        <v>82</v>
      </c>
      <c r="AE244" s="32" t="s">
        <v>90</v>
      </c>
      <c r="AF244" s="32" t="s">
        <v>73</v>
      </c>
      <c r="AG244" s="32" t="s">
        <v>178</v>
      </c>
      <c r="AH244" t="str">
        <f>VLOOKUP($R244,武学奇术!$A:$ZZ,25,FALSE)</f>
        <v>剑</v>
      </c>
      <c r="AI244" s="21">
        <f>VLOOKUP($R244,武学奇术!$A:$ZZ,26,FALSE)</f>
        <v>0.3465</v>
      </c>
      <c r="AJ244" s="22">
        <f>VLOOKUP($R244,武学奇术!$A:$ZZ,27,FALSE)*(1+IF(OR($AH244=$F$4,$AH244=$F$5),$B$22,0))</f>
        <v>0</v>
      </c>
      <c r="AK244" s="21">
        <f>VLOOKUP($R244,武学奇术!$A:$ZZ,28,FALSE)</f>
        <v>0.51975</v>
      </c>
      <c r="AL244" s="22">
        <f>VLOOKUP($R244,武学奇术!$A:$ZZ,29,FALSE)*(1+IF(OR($AH244=$F$4,$AH244=$F$5),$B$22,0))</f>
        <v>0</v>
      </c>
      <c r="AM244" s="21" cm="1">
        <f t="array" ref="AM244">$G$3+IFERROR(VLOOKUP($AH244,$F$4:$G$7,2,FALSE),0)+VLOOKUP($R244,武学奇术!$A:$ZZ,2,FALSE)+SUM(_xlfn.XLOOKUP($S244:$AG244,增益!$A:$A,增益!$B:$B,0))</f>
        <v>1.4791</v>
      </c>
      <c r="AN244" s="21" cm="1">
        <f t="array" ref="AN244">VLOOKUP($R244,武学奇术!$A:$ZZ,5,FALSE)+SUM(_xlfn.XLOOKUP($S244:$AG244,增益!$A:$A,增益!$E:$E,0))</f>
        <v>0</v>
      </c>
      <c r="AO244" cm="1">
        <f t="array" ref="AO244">$D$10*(1+$AN244)+VLOOKUP($R244,武学奇术!$A:$ZZ,3,FALSE)+SUM(_xlfn.XLOOKUP($S244:$AG244,增益!$A:$A,增益!$C:$C,0))-$I$2</f>
        <v>1825.28</v>
      </c>
      <c r="AP244" cm="1">
        <f t="array" ref="AP244">$E$10*(1+$AN244)+VLOOKUP($R244,武学奇术!$A:$ZZ,4,FALSE)+SUM(_xlfn.XLOOKUP($S244:$AG244,增益!$A:$A,增益!$D:$D,0))-$I$2</f>
        <v>7757.36</v>
      </c>
      <c r="AQ244" s="26" cm="1">
        <f t="array" ref="AQ244">IF($F$10-$I$3+VLOOKUP($R244,武学奇术!$A:$ZZ,6,FALSE)+SUM(_xlfn.XLOOKUP(S244:AG244,增益!$A:$A,增益!$F:$F,0))&gt;0,($F$10-$I$3+VLOOKUP($R244,武学奇术!$A:$ZZ,6,FALSE)+SUM(_xlfn.XLOOKUP(S244:AG244,增益!$A:$A,增益!$F:$F,0)))/200,($F$10-$I$3+VLOOKUP($R244,武学奇术!$A:$ZZ,6,FALSE)+SUM(_xlfn.XLOOKUP(S244:AG244,增益!$A:$A,增益!$F:$F,0)))/100)</f>
        <v>0.319</v>
      </c>
      <c r="AR244" s="26" cm="1">
        <f t="array" ref="AR244">$G$10+VLOOKUP($R244,武学奇术!$A:$ZZ,7,FALSE)+SUM(_xlfn.XLOOKUP(S244:AG244,增益!$A:$A,增益!$G:$G,0))</f>
        <v>0</v>
      </c>
      <c r="AS244" s="21" cm="1">
        <f t="array" ref="AS244">VLOOKUP($R244,武学奇术!$A:$ZZ,8,FALSE)+SUM(_xlfn.XLOOKUP(S244:AG244,增益!$A:$A,增益!$H:$H,0))</f>
        <v>0</v>
      </c>
      <c r="AT244">
        <f t="shared" si="34"/>
        <v>680.02</v>
      </c>
      <c r="AU244">
        <f t="shared" si="35"/>
        <v>1288.54</v>
      </c>
      <c r="AV244" s="26" cm="1">
        <f t="array" ref="AV244">IF($F$11-$I$4+VLOOKUP($R244,武学奇术!$A:$ZZ,9,FALSE)+SUM(_xlfn.XLOOKUP(S244:AG244,增益!$A:$A,增益!$I:$I,0))&gt;0,($F$11-$I$4+VLOOKUP($R244,武学奇术!$A:$ZZ,9,FALSE)+SUM(_xlfn.XLOOKUP(S244:AG244,增益!$A:$A,增益!$I:$I,0)))/200,($F$11-$I$4+VLOOKUP($R244,武学奇术!$A:$ZZ,9,FALSE)+SUM(_xlfn.XLOOKUP(S244:AG244,增益!$A:$A,增益!$I:$I,0)))/100)</f>
        <v>0.075</v>
      </c>
      <c r="AW244" s="26" cm="1">
        <f t="array" ref="AW244">$G$11+VLOOKUP($R244,武学奇术!$A:$ZZ,10,FALSE)+SUM(_xlfn.XLOOKUP(S244:AG244,增益!$A:$A,增益!$J:$J,0))</f>
        <v>0.15</v>
      </c>
      <c r="AX244">
        <f t="shared" si="36"/>
        <v>0</v>
      </c>
      <c r="AY244">
        <f t="shared" si="37"/>
        <v>0</v>
      </c>
      <c r="AZ244" s="26" cm="1">
        <f t="array" ref="AZ244">IF($F$12-$I$4+VLOOKUP($R244,武学奇术!$A:$ZZ,11,FALSE)+SUM(_xlfn.XLOOKUP(S244:AG244,增益!$A:$A,增益!$K:$K,0))&gt;0,($F$12-$I$4+VLOOKUP($R244,武学奇术!$A:$ZZ,11,FALSE)+SUM(_xlfn.XLOOKUP(S244:AG244,增益!$A:$A,增益!$K:$K,0)))/200,($F$12-$I$4+VLOOKUP($R244,武学奇术!$A:$ZZ,11,FALSE)+SUM(_xlfn.XLOOKUP(S244:AG244,增益!$A:$A,增益!$K:$K,0)))/100)</f>
        <v>-0.3</v>
      </c>
      <c r="BA244" s="26" cm="1">
        <f t="array" ref="BA244">$G$12+VLOOKUP($R244,武学奇术!$A:$ZZ,12,FALSE)+SUM(_xlfn.XLOOKUP(S244:AG244,增益!$A:$A,增益!$L:$L,0))</f>
        <v>0</v>
      </c>
      <c r="BB244">
        <f t="shared" si="38"/>
        <v>0</v>
      </c>
      <c r="BC244">
        <f t="shared" si="39"/>
        <v>0</v>
      </c>
      <c r="BD244" s="26" cm="1">
        <f t="array" ref="BD244">IF($F$13-$I$4+VLOOKUP($R244,武学奇术!$A:$ZZ,13,FALSE)+SUM(_xlfn.XLOOKUP(S244:AG244,增益!$A:$A,增益!$M:$M,0))&gt;0,($F$13-$I$4+VLOOKUP($R244,武学奇术!$A:$ZZ,13,FALSE)+SUM(_xlfn.XLOOKUP(S244:AG244,增益!$A:$A,增益!$K:$K,0)))/200,($F$13-$I$4+VLOOKUP($R244,武学奇术!$A:$ZZ,13,FALSE)+SUM(_xlfn.XLOOKUP(S244:AG244,增益!$A:$A,增益!$M:$M,0)))/100)</f>
        <v>-0.3</v>
      </c>
      <c r="BE244" s="26" cm="1">
        <f t="array" ref="BE244">$G$13+VLOOKUP($R244,武学奇术!$A:$ZZ,14,FALSE)+SUM(_xlfn.XLOOKUP(S244:AG244,增益!$A:$A,增益!$N:$N,0))</f>
        <v>0</v>
      </c>
      <c r="BF244">
        <f t="shared" si="40"/>
        <v>0</v>
      </c>
      <c r="BG244">
        <f t="shared" si="41"/>
        <v>0</v>
      </c>
      <c r="BH244" s="26" cm="1">
        <f t="array" ref="BH244">IF($F$14-$I$4+VLOOKUP($R244,武学奇术!$A:$ZZ,15,FALSE)+SUM(_xlfn.XLOOKUP(S244:AG244,增益!$A:$A,增益!$O:$O,0))&gt;0,($F$14-$I$4+VLOOKUP($R244,武学奇术!$A:$ZZ,15,FALSE)+SUM(_xlfn.XLOOKUP(S244:AG244,增益!$A:$A,增益!$O:$O,0)))/200,($F$14-$I$4+VLOOKUP($R244,武学奇术!$A:$ZZ,15,FALSE)+SUM(_xlfn.XLOOKUP(S244:AG244,增益!$A:$A,增益!$O:$O,0)))/100)</f>
        <v>-0.3</v>
      </c>
      <c r="BI244" s="26" cm="1">
        <f t="array" ref="BI244">$G$14+VLOOKUP($R244,武学奇术!$A:$ZZ,16,FALSE)+SUM(_xlfn.XLOOKUP(S244:AG244,增益!$A:$A,增益!$P:$P,0))</f>
        <v>0</v>
      </c>
      <c r="BJ244" s="21">
        <f>MIN(IF(VLOOKUP($R244,武学奇术!$A:$ZZ,23,FALSE)=1,100%,$B$8),100%)</f>
        <v>0.8229</v>
      </c>
      <c r="BK244" s="21" cm="1">
        <f t="array" ref="BK244">IF(VLOOKUP($R244,武学奇术!$A:$ZZ,23,FALSE)=1,100%,MIN(80%,$B$9+VLOOKUP($R244,武学奇术!$A:$ZZ,17,FALSE)+SUM(_xlfn.XLOOKUP(S244:AG244,增益!$A:$A,增益!$Q:$Q,0)))+$B$11+SUM(_xlfn.XLOOKUP(S244:AG244,增益!$A:$A,增益!$U:$U,0)))*IF(VLOOKUP($R244,武学奇术!$A:$ZZ,24,FALSE)=1,0,1)</f>
        <v>0.2285</v>
      </c>
      <c r="BL244" s="21" cm="1">
        <f t="array" ref="BL244">1+$B$13+VLOOKUP($R244,武学奇术!$A:$ZZ,18,FALSE)+SUM(_xlfn.XLOOKUP(S244:AG244,增益!$A:$A,增益!$R:$R,0))</f>
        <v>1.5</v>
      </c>
      <c r="BM244" s="21" cm="1">
        <f t="array" ref="BM244">IF(VLOOKUP($R244,武学奇术!$A:$ZZ,24,FALSE)=1,100%,MIN(40%,$B$10+VLOOKUP($R244,武学奇术!$A:$ZZ,19,FALSE)+SUM(_xlfn.XLOOKUP(S244:AG244,增益!$A:$A,增益!$S:$S,0)))+$B$12+SUM(_xlfn.XLOOKUP(S244:AG244,增益!$A:$A,增益!$V:$V,0)))*IF(VLOOKUP($R244,武学奇术!$A:$ZZ,23,FALSE)=1,0,1)</f>
        <v>0.4495</v>
      </c>
      <c r="BN244" s="21" cm="1">
        <f t="array" ref="BN244">1+$B$14+VLOOKUP($R244,武学奇术!$A:$ZZ,20,FALSE)+SUM(_xlfn.XLOOKUP(S244:AG244,增益!$A:$A,增益!$T:$T,0))</f>
        <v>1.782</v>
      </c>
      <c r="BO244" s="21">
        <f t="shared" si="42"/>
        <v>0.18803265</v>
      </c>
      <c r="BP244" s="21">
        <f t="shared" si="43"/>
        <v>0.2649738</v>
      </c>
      <c r="BQ244" s="21">
        <f>IF(VLOOKUP($R244,武学奇术!$A:$ZZ,22,FALSE)=1,0,(1-$BJ244))*(1-$BM244)</f>
        <v>0.09749355</v>
      </c>
      <c r="BR244" s="21" cm="1">
        <f t="array" ref="BR244">SUM(_xlfn.XLOOKUP(S244:AG244,增益!$A:$A,增益!$W:$W,0))+$I$5</f>
        <v>0.06</v>
      </c>
    </row>
    <row r="245" spans="11:70">
      <c r="K245" s="24">
        <f>$L245*VLOOKUP($R245,武学奇术!$A:$ZZ,31,FALSE)</f>
        <v>8609.42995222906</v>
      </c>
      <c r="L245" s="24">
        <f t="shared" si="33"/>
        <v>14349.0499203818</v>
      </c>
      <c r="M245" s="24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BL245*$Q245*(1+IF(VLOOKUP($R245,武学奇术!$A:$ZZ,30,FALSE)="流血",$B$21,0))*(1+$BR245)</f>
        <v>11747.5715469917</v>
      </c>
      <c r="N245" s="24">
        <f>(($AP245*$AI245+$AJ245)*(1+$AQ245)*(1+$AR245)+($AU245*IF($G$1="鸣金",$AK245,$AI245)+IF($G$1="鸣金",$AL245*1.5,0))*(1+$AV245)*(1+$AW245)+($AY245*IF($G$1="裂石",$AK245,$AI245)+IF($G$1="裂石",$AL245*1.5,0))*(1+$AZ245)*(1+$BA245)+($BC245*IF($G$1="牵丝",$AK245,$AI245)+IF($G$1="牵丝",$AL245*1.5,0))*(1+$BD245)*(1+$BE245)+($BG245*IF($G$1="破竹",$AK245,$AI245)+IF($G$1="破竹",$AL245*1.5,0))*(1+$BH245)*(1+$BI245))*(1+$AM245)*$BN245*$Q245*(1+IF(VLOOKUP($R245,武学奇术!$A:$ZZ,30,FALSE)="流血",$B$21,0))*(1+$BR245)</f>
        <v>21626.293797951</v>
      </c>
      <c r="O245" s="24">
        <f>((($AO245+$AP245)/2*$AI245+$AJ245)*(1+$AQ245)*(1+$AR245)+(($AT245+$AU245)/2*IF($G$1="鸣金",$AK245,$AI245)+IF($G$1="鸣金",$AL245*1.5,0))*(1+$AV245)*(1+$AW245)+(($AX245+$AY245)/2*IF($G$1="裂石",$AK245,$AI245)+IF($G$1="裂石",$AL245*1.5,0))*(1+$AZ245)*(1+$BA245)+(($BB245+$BC245)/2*IF($G$1="牵丝",$AK245,$AI245)+IF($G$1="牵丝",$AL245*1.5,0))*(1+$BD245)*(1+$BE245)+(($BF245+$BG245)/2*IF($G$1="破竹",$AK245,$AI245)+IF($G$1="破竹",$AL245*1.5,0))*(1+$BH245)*(1+$BI245))*(1+$AM245)*$Q245*(1+IF(VLOOKUP($R245,武学奇术!$A:$ZZ,30,FALSE)="流血",$B$21,0))*(1+$BR245)</f>
        <v>7831.71436466112</v>
      </c>
      <c r="P245" s="24">
        <f>((($AO245*$AI245+$AJ245)*(1+$AQ245)*(1+$AR245)+($AT245*IF($G$1="鸣金",$AK245,$AI245)+IF($G$1="鸣金",$AL245*1.5,0))*(1+$AV245)*(1+$AW245)+($AX245*IF($G$1="裂石",$AK245,$AI245)+IF($G$1="裂石",$AL245*1.5,0))*(1+$AZ245)*(1+$BA245)+($BB245*IF($G$1="牵丝",$AK245,$AI245)+IF($G$1="牵丝",$AL245*1.5,0))*(1+$BD245)*(1+$BE245)+($BF245*IF($G$1="破竹",$AK245,$AI245)+IF($G$1="破竹",$AL245*1.5,0))*(1+$BH245)*(1+$BI245))*(1+$AM245))*$Q245*(1+IF(VLOOKUP($R245,武学奇术!$A:$ZZ,30,FALSE)="流血",$B$21,0))*(1+$BR245)</f>
        <v>3527.46139040471</v>
      </c>
      <c r="Q245" s="31">
        <v>1</v>
      </c>
      <c r="R245" s="32" t="s">
        <v>197</v>
      </c>
      <c r="S245" s="32" t="s">
        <v>87</v>
      </c>
      <c r="T245" s="32" t="s">
        <v>96</v>
      </c>
      <c r="U245" s="32" t="s">
        <v>97</v>
      </c>
      <c r="V245" s="32" t="s">
        <v>73</v>
      </c>
      <c r="W245" s="32" t="s">
        <v>111</v>
      </c>
      <c r="X245" s="32" t="s">
        <v>127</v>
      </c>
      <c r="Y245" s="32" t="s">
        <v>73</v>
      </c>
      <c r="Z245" s="32" t="s">
        <v>73</v>
      </c>
      <c r="AA245" s="32" t="s">
        <v>81</v>
      </c>
      <c r="AB245" s="32" t="s">
        <v>75</v>
      </c>
      <c r="AC245" s="32" t="s">
        <v>89</v>
      </c>
      <c r="AD245" s="32" t="s">
        <v>82</v>
      </c>
      <c r="AE245" s="32" t="s">
        <v>90</v>
      </c>
      <c r="AF245" s="32" t="s">
        <v>73</v>
      </c>
      <c r="AG245" s="32" t="s">
        <v>178</v>
      </c>
      <c r="AH245" t="str">
        <f>VLOOKUP($R245,武学奇术!$A:$ZZ,25,FALSE)</f>
        <v>剑</v>
      </c>
      <c r="AI245" s="21">
        <f>VLOOKUP($R245,武学奇术!$A:$ZZ,26,FALSE)</f>
        <v>0.2772</v>
      </c>
      <c r="AJ245" s="22">
        <f>VLOOKUP($R245,武学奇术!$A:$ZZ,27,FALSE)*(1+IF(OR($AH245=$F$4,$AH245=$F$5),$B$22,0))</f>
        <v>0</v>
      </c>
      <c r="AK245" s="21">
        <f>VLOOKUP($R245,武学奇术!$A:$ZZ,28,FALSE)</f>
        <v>0.4158</v>
      </c>
      <c r="AL245" s="22">
        <f>VLOOKUP($R245,武学奇术!$A:$ZZ,29,FALSE)*(1+IF(OR($AH245=$F$4,$AH245=$F$5),$B$22,0))</f>
        <v>0</v>
      </c>
      <c r="AM245" s="21" cm="1">
        <f t="array" ref="AM245">$G$3+IFERROR(VLOOKUP($AH245,$F$4:$G$7,2,FALSE),0)+VLOOKUP($R245,武学奇术!$A:$ZZ,2,FALSE)+SUM(_xlfn.XLOOKUP($S245:$AG245,增益!$A:$A,增益!$B:$B,0))</f>
        <v>1.4791</v>
      </c>
      <c r="AN245" s="21" cm="1">
        <f t="array" ref="AN245">VLOOKUP($R245,武学奇术!$A:$ZZ,5,FALSE)+SUM(_xlfn.XLOOKUP($S245:$AG245,增益!$A:$A,增益!$E:$E,0))</f>
        <v>0</v>
      </c>
      <c r="AO245" cm="1">
        <f t="array" ref="AO245">$D$10*(1+$AN245)+VLOOKUP($R245,武学奇术!$A:$ZZ,3,FALSE)+SUM(_xlfn.XLOOKUP($S245:$AG245,增益!$A:$A,增益!$C:$C,0))-$I$2</f>
        <v>1825.28</v>
      </c>
      <c r="AP245" cm="1">
        <f t="array" ref="AP245">$E$10*(1+$AN245)+VLOOKUP($R245,武学奇术!$A:$ZZ,4,FALSE)+SUM(_xlfn.XLOOKUP($S245:$AG245,增益!$A:$A,增益!$D:$D,0))-$I$2</f>
        <v>7757.36</v>
      </c>
      <c r="AQ245" s="26" cm="1">
        <f t="array" ref="AQ245">IF($F$10-$I$3+VLOOKUP($R245,武学奇术!$A:$ZZ,6,FALSE)+SUM(_xlfn.XLOOKUP(S245:AG245,增益!$A:$A,增益!$F:$F,0))&gt;0,($F$10-$I$3+VLOOKUP($R245,武学奇术!$A:$ZZ,6,FALSE)+SUM(_xlfn.XLOOKUP(S245:AG245,增益!$A:$A,增益!$F:$F,0)))/200,($F$10-$I$3+VLOOKUP($R245,武学奇术!$A:$ZZ,6,FALSE)+SUM(_xlfn.XLOOKUP(S245:AG245,增益!$A:$A,增益!$F:$F,0)))/100)</f>
        <v>0.319</v>
      </c>
      <c r="AR245" s="26" cm="1">
        <f t="array" ref="AR245">$G$10+VLOOKUP($R245,武学奇术!$A:$ZZ,7,FALSE)+SUM(_xlfn.XLOOKUP(S245:AG245,增益!$A:$A,增益!$G:$G,0))</f>
        <v>0</v>
      </c>
      <c r="AS245" s="21" cm="1">
        <f t="array" ref="AS245">VLOOKUP($R245,武学奇术!$A:$ZZ,8,FALSE)+SUM(_xlfn.XLOOKUP(S245:AG245,增益!$A:$A,增益!$H:$H,0))</f>
        <v>0</v>
      </c>
      <c r="AT245">
        <f t="shared" si="34"/>
        <v>680.02</v>
      </c>
      <c r="AU245">
        <f t="shared" si="35"/>
        <v>1288.54</v>
      </c>
      <c r="AV245" s="26" cm="1">
        <f t="array" ref="AV245">IF($F$11-$I$4+VLOOKUP($R245,武学奇术!$A:$ZZ,9,FALSE)+SUM(_xlfn.XLOOKUP(S245:AG245,增益!$A:$A,增益!$I:$I,0))&gt;0,($F$11-$I$4+VLOOKUP($R245,武学奇术!$A:$ZZ,9,FALSE)+SUM(_xlfn.XLOOKUP(S245:AG245,增益!$A:$A,增益!$I:$I,0)))/200,($F$11-$I$4+VLOOKUP($R245,武学奇术!$A:$ZZ,9,FALSE)+SUM(_xlfn.XLOOKUP(S245:AG245,增益!$A:$A,增益!$I:$I,0)))/100)</f>
        <v>0.075</v>
      </c>
      <c r="AW245" s="26" cm="1">
        <f t="array" ref="AW245">$G$11+VLOOKUP($R245,武学奇术!$A:$ZZ,10,FALSE)+SUM(_xlfn.XLOOKUP(S245:AG245,增益!$A:$A,增益!$J:$J,0))</f>
        <v>0.15</v>
      </c>
      <c r="AX245">
        <f t="shared" si="36"/>
        <v>0</v>
      </c>
      <c r="AY245">
        <f t="shared" si="37"/>
        <v>0</v>
      </c>
      <c r="AZ245" s="26" cm="1">
        <f t="array" ref="AZ245">IF($F$12-$I$4+VLOOKUP($R245,武学奇术!$A:$ZZ,11,FALSE)+SUM(_xlfn.XLOOKUP(S245:AG245,增益!$A:$A,增益!$K:$K,0))&gt;0,($F$12-$I$4+VLOOKUP($R245,武学奇术!$A:$ZZ,11,FALSE)+SUM(_xlfn.XLOOKUP(S245:AG245,增益!$A:$A,增益!$K:$K,0)))/200,($F$12-$I$4+VLOOKUP($R245,武学奇术!$A:$ZZ,11,FALSE)+SUM(_xlfn.XLOOKUP(S245:AG245,增益!$A:$A,增益!$K:$K,0)))/100)</f>
        <v>-0.3</v>
      </c>
      <c r="BA245" s="26" cm="1">
        <f t="array" ref="BA245">$G$12+VLOOKUP($R245,武学奇术!$A:$ZZ,12,FALSE)+SUM(_xlfn.XLOOKUP(S245:AG245,增益!$A:$A,增益!$L:$L,0))</f>
        <v>0</v>
      </c>
      <c r="BB245">
        <f t="shared" si="38"/>
        <v>0</v>
      </c>
      <c r="BC245">
        <f t="shared" si="39"/>
        <v>0</v>
      </c>
      <c r="BD245" s="26" cm="1">
        <f t="array" ref="BD245">IF($F$13-$I$4+VLOOKUP($R245,武学奇术!$A:$ZZ,13,FALSE)+SUM(_xlfn.XLOOKUP(S245:AG245,增益!$A:$A,增益!$M:$M,0))&gt;0,($F$13-$I$4+VLOOKUP($R245,武学奇术!$A:$ZZ,13,FALSE)+SUM(_xlfn.XLOOKUP(S245:AG245,增益!$A:$A,增益!$K:$K,0)))/200,($F$13-$I$4+VLOOKUP($R245,武学奇术!$A:$ZZ,13,FALSE)+SUM(_xlfn.XLOOKUP(S245:AG245,增益!$A:$A,增益!$M:$M,0)))/100)</f>
        <v>-0.3</v>
      </c>
      <c r="BE245" s="26" cm="1">
        <f t="array" ref="BE245">$G$13+VLOOKUP($R245,武学奇术!$A:$ZZ,14,FALSE)+SUM(_xlfn.XLOOKUP(S245:AG245,增益!$A:$A,增益!$N:$N,0))</f>
        <v>0</v>
      </c>
      <c r="BF245">
        <f t="shared" si="40"/>
        <v>0</v>
      </c>
      <c r="BG245">
        <f t="shared" si="41"/>
        <v>0</v>
      </c>
      <c r="BH245" s="26" cm="1">
        <f t="array" ref="BH245">IF($F$14-$I$4+VLOOKUP($R245,武学奇术!$A:$ZZ,15,FALSE)+SUM(_xlfn.XLOOKUP(S245:AG245,增益!$A:$A,增益!$O:$O,0))&gt;0,($F$14-$I$4+VLOOKUP($R245,武学奇术!$A:$ZZ,15,FALSE)+SUM(_xlfn.XLOOKUP(S245:AG245,增益!$A:$A,增益!$O:$O,0)))/200,($F$14-$I$4+VLOOKUP($R245,武学奇术!$A:$ZZ,15,FALSE)+SUM(_xlfn.XLOOKUP(S245:AG245,增益!$A:$A,增益!$O:$O,0)))/100)</f>
        <v>-0.3</v>
      </c>
      <c r="BI245" s="26" cm="1">
        <f t="array" ref="BI245">$G$14+VLOOKUP($R245,武学奇术!$A:$ZZ,16,FALSE)+SUM(_xlfn.XLOOKUP(S245:AG245,增益!$A:$A,增益!$P:$P,0))</f>
        <v>0</v>
      </c>
      <c r="BJ245" s="21">
        <f>MIN(IF(VLOOKUP($R245,武学奇术!$A:$ZZ,23,FALSE)=1,100%,$B$8),100%)</f>
        <v>0.8229</v>
      </c>
      <c r="BK245" s="21" cm="1">
        <f t="array" ref="BK245">IF(VLOOKUP($R245,武学奇术!$A:$ZZ,23,FALSE)=1,100%,MIN(80%,$B$9+VLOOKUP($R245,武学奇术!$A:$ZZ,17,FALSE)+SUM(_xlfn.XLOOKUP(S245:AG245,增益!$A:$A,增益!$Q:$Q,0)))+$B$11+SUM(_xlfn.XLOOKUP(S245:AG245,增益!$A:$A,增益!$U:$U,0)))*IF(VLOOKUP($R245,武学奇术!$A:$ZZ,24,FALSE)=1,0,1)</f>
        <v>0.2285</v>
      </c>
      <c r="BL245" s="21" cm="1">
        <f t="array" ref="BL245">1+$B$13+VLOOKUP($R245,武学奇术!$A:$ZZ,18,FALSE)+SUM(_xlfn.XLOOKUP(S245:AG245,增益!$A:$A,增益!$R:$R,0))</f>
        <v>1.5</v>
      </c>
      <c r="BM245" s="21" cm="1">
        <f t="array" ref="BM245">IF(VLOOKUP($R245,武学奇术!$A:$ZZ,24,FALSE)=1,100%,MIN(40%,$B$10+VLOOKUP($R245,武学奇术!$A:$ZZ,19,FALSE)+SUM(_xlfn.XLOOKUP(S245:AG245,增益!$A:$A,增益!$S:$S,0)))+$B$12+SUM(_xlfn.XLOOKUP(S245:AG245,增益!$A:$A,增益!$V:$V,0)))*IF(VLOOKUP($R245,武学奇术!$A:$ZZ,23,FALSE)=1,0,1)</f>
        <v>0.4495</v>
      </c>
      <c r="BN245" s="21" cm="1">
        <f t="array" ref="BN245">1+$B$14+VLOOKUP($R245,武学奇术!$A:$ZZ,20,FALSE)+SUM(_xlfn.XLOOKUP(S245:AG245,增益!$A:$A,增益!$T:$T,0))</f>
        <v>1.782</v>
      </c>
      <c r="BO245" s="21">
        <f t="shared" si="42"/>
        <v>0.18803265</v>
      </c>
      <c r="BP245" s="21">
        <f t="shared" si="43"/>
        <v>0.2649738</v>
      </c>
      <c r="BQ245" s="21">
        <f>IF(VLOOKUP($R245,武学奇术!$A:$ZZ,22,FALSE)=1,0,(1-$BJ245))*(1-$BM245)</f>
        <v>0.09749355</v>
      </c>
      <c r="BR245" s="21" cm="1">
        <f t="array" ref="BR245">SUM(_xlfn.XLOOKUP(S245:AG245,增益!$A:$A,增益!$W:$W,0))+$I$5</f>
        <v>0.06</v>
      </c>
    </row>
    <row r="246" spans="11:70">
      <c r="K246" s="24">
        <f>$L246*VLOOKUP($R246,武学奇术!$A:$ZZ,31,FALSE)</f>
        <v>5380.89372014316</v>
      </c>
      <c r="L246" s="24">
        <f t="shared" si="33"/>
        <v>8968.1562002386</v>
      </c>
      <c r="M246" s="24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BL246*$Q246*(1+IF(VLOOKUP($R246,武学奇术!$A:$ZZ,30,FALSE)="流血",$B$21,0))*(1+$BR246)</f>
        <v>7342.2322168698</v>
      </c>
      <c r="N246" s="24">
        <f>(($AP246*$AI246+$AJ246)*(1+$AQ246)*(1+$AR246)+($AU246*IF($G$1="鸣金",$AK246,$AI246)+IF($G$1="鸣金",$AL246*1.5,0))*(1+$AV246)*(1+$AW246)+($AY246*IF($G$1="裂石",$AK246,$AI246)+IF($G$1="裂石",$AL246*1.5,0))*(1+$AZ246)*(1+$BA246)+($BC246*IF($G$1="牵丝",$AK246,$AI246)+IF($G$1="牵丝",$AL246*1.5,0))*(1+$BD246)*(1+$BE246)+($BG246*IF($G$1="破竹",$AK246,$AI246)+IF($G$1="破竹",$AL246*1.5,0))*(1+$BH246)*(1+$BI246))*(1+$AM246)*$BN246*$Q246*(1+IF(VLOOKUP($R246,武学奇术!$A:$ZZ,30,FALSE)="流血",$B$21,0))*(1+$BR246)</f>
        <v>13516.4336237194</v>
      </c>
      <c r="O246" s="24">
        <f>((($AO246+$AP246)/2*$AI246+$AJ246)*(1+$AQ246)*(1+$AR246)+(($AT246+$AU246)/2*IF($G$1="鸣金",$AK246,$AI246)+IF($G$1="鸣金",$AL246*1.5,0))*(1+$AV246)*(1+$AW246)+(($AX246+$AY246)/2*IF($G$1="裂石",$AK246,$AI246)+IF($G$1="裂石",$AL246*1.5,0))*(1+$AZ246)*(1+$BA246)+(($BB246+$BC246)/2*IF($G$1="牵丝",$AK246,$AI246)+IF($G$1="牵丝",$AL246*1.5,0))*(1+$BD246)*(1+$BE246)+(($BF246+$BG246)/2*IF($G$1="破竹",$AK246,$AI246)+IF($G$1="破竹",$AL246*1.5,0))*(1+$BH246)*(1+$BI246))*(1+$AM246)*$Q246*(1+IF(VLOOKUP($R246,武学奇术!$A:$ZZ,30,FALSE)="流血",$B$21,0))*(1+$BR246)</f>
        <v>4894.8214779132</v>
      </c>
      <c r="P246" s="24">
        <f>((($AO246*$AI246+$AJ246)*(1+$AQ246)*(1+$AR246)+($AT246*IF($G$1="鸣金",$AK246,$AI246)+IF($G$1="鸣金",$AL246*1.5,0))*(1+$AV246)*(1+$AW246)+($AX246*IF($G$1="裂石",$AK246,$AI246)+IF($G$1="裂石",$AL246*1.5,0))*(1+$AZ246)*(1+$BA246)+($BB246*IF($G$1="牵丝",$AK246,$AI246)+IF($G$1="牵丝",$AL246*1.5,0))*(1+$BD246)*(1+$BE246)+($BF246*IF($G$1="破竹",$AK246,$AI246)+IF($G$1="破竹",$AL246*1.5,0))*(1+$BH246)*(1+$BI246))*(1+$AM246))*$Q246*(1+IF(VLOOKUP($R246,武学奇术!$A:$ZZ,30,FALSE)="流血",$B$21,0))*(1+$BR246)</f>
        <v>2204.66336900294</v>
      </c>
      <c r="Q246" s="31">
        <v>1</v>
      </c>
      <c r="R246" s="32" t="s">
        <v>198</v>
      </c>
      <c r="S246" s="32" t="s">
        <v>87</v>
      </c>
      <c r="T246" s="32" t="s">
        <v>96</v>
      </c>
      <c r="U246" s="32" t="s">
        <v>97</v>
      </c>
      <c r="V246" s="32" t="s">
        <v>73</v>
      </c>
      <c r="W246" s="32" t="s">
        <v>111</v>
      </c>
      <c r="X246" s="32" t="s">
        <v>127</v>
      </c>
      <c r="Y246" s="32" t="s">
        <v>73</v>
      </c>
      <c r="Z246" s="32" t="s">
        <v>73</v>
      </c>
      <c r="AA246" s="32" t="s">
        <v>81</v>
      </c>
      <c r="AB246" s="32" t="s">
        <v>75</v>
      </c>
      <c r="AC246" s="32" t="s">
        <v>89</v>
      </c>
      <c r="AD246" s="32" t="s">
        <v>82</v>
      </c>
      <c r="AE246" s="32" t="s">
        <v>90</v>
      </c>
      <c r="AF246" s="32" t="s">
        <v>73</v>
      </c>
      <c r="AG246" s="32" t="s">
        <v>178</v>
      </c>
      <c r="AH246" t="str">
        <f>VLOOKUP($R246,武学奇术!$A:$ZZ,25,FALSE)</f>
        <v>剑</v>
      </c>
      <c r="AI246" s="21">
        <f>VLOOKUP($R246,武学奇术!$A:$ZZ,26,FALSE)</f>
        <v>0.17325</v>
      </c>
      <c r="AJ246" s="22">
        <f>VLOOKUP($R246,武学奇术!$A:$ZZ,27,FALSE)*(1+IF(OR($AH246=$F$4,$AH246=$F$5),$B$22,0))</f>
        <v>0</v>
      </c>
      <c r="AK246" s="21">
        <f>VLOOKUP($R246,武学奇术!$A:$ZZ,28,FALSE)</f>
        <v>0.259875</v>
      </c>
      <c r="AL246" s="22">
        <f>VLOOKUP($R246,武学奇术!$A:$ZZ,29,FALSE)*(1+IF(OR($AH246=$F$4,$AH246=$F$5),$B$22,0))</f>
        <v>0</v>
      </c>
      <c r="AM246" s="21" cm="1">
        <f t="array" ref="AM246">$G$3+IFERROR(VLOOKUP($AH246,$F$4:$G$7,2,FALSE),0)+VLOOKUP($R246,武学奇术!$A:$ZZ,2,FALSE)+SUM(_xlfn.XLOOKUP($S246:$AG246,增益!$A:$A,增益!$B:$B,0))</f>
        <v>1.4791</v>
      </c>
      <c r="AN246" s="21" cm="1">
        <f t="array" ref="AN246">VLOOKUP($R246,武学奇术!$A:$ZZ,5,FALSE)+SUM(_xlfn.XLOOKUP($S246:$AG246,增益!$A:$A,增益!$E:$E,0))</f>
        <v>0</v>
      </c>
      <c r="AO246" cm="1">
        <f t="array" ref="AO246">$D$10*(1+$AN246)+VLOOKUP($R246,武学奇术!$A:$ZZ,3,FALSE)+SUM(_xlfn.XLOOKUP($S246:$AG246,增益!$A:$A,增益!$C:$C,0))-$I$2</f>
        <v>1825.28</v>
      </c>
      <c r="AP246" cm="1">
        <f t="array" ref="AP246">$E$10*(1+$AN246)+VLOOKUP($R246,武学奇术!$A:$ZZ,4,FALSE)+SUM(_xlfn.XLOOKUP($S246:$AG246,增益!$A:$A,增益!$D:$D,0))-$I$2</f>
        <v>7757.36</v>
      </c>
      <c r="AQ246" s="26" cm="1">
        <f t="array" ref="AQ246">IF($F$10-$I$3+VLOOKUP($R246,武学奇术!$A:$ZZ,6,FALSE)+SUM(_xlfn.XLOOKUP(S246:AG246,增益!$A:$A,增益!$F:$F,0))&gt;0,($F$10-$I$3+VLOOKUP($R246,武学奇术!$A:$ZZ,6,FALSE)+SUM(_xlfn.XLOOKUP(S246:AG246,增益!$A:$A,增益!$F:$F,0)))/200,($F$10-$I$3+VLOOKUP($R246,武学奇术!$A:$ZZ,6,FALSE)+SUM(_xlfn.XLOOKUP(S246:AG246,增益!$A:$A,增益!$F:$F,0)))/100)</f>
        <v>0.319</v>
      </c>
      <c r="AR246" s="26" cm="1">
        <f t="array" ref="AR246">$G$10+VLOOKUP($R246,武学奇术!$A:$ZZ,7,FALSE)+SUM(_xlfn.XLOOKUP(S246:AG246,增益!$A:$A,增益!$G:$G,0))</f>
        <v>0</v>
      </c>
      <c r="AS246" s="21" cm="1">
        <f t="array" ref="AS246">VLOOKUP($R246,武学奇术!$A:$ZZ,8,FALSE)+SUM(_xlfn.XLOOKUP(S246:AG246,增益!$A:$A,增益!$H:$H,0))</f>
        <v>0</v>
      </c>
      <c r="AT246">
        <f t="shared" si="34"/>
        <v>680.02</v>
      </c>
      <c r="AU246">
        <f t="shared" si="35"/>
        <v>1288.54</v>
      </c>
      <c r="AV246" s="26" cm="1">
        <f t="array" ref="AV246">IF($F$11-$I$4+VLOOKUP($R246,武学奇术!$A:$ZZ,9,FALSE)+SUM(_xlfn.XLOOKUP(S246:AG246,增益!$A:$A,增益!$I:$I,0))&gt;0,($F$11-$I$4+VLOOKUP($R246,武学奇术!$A:$ZZ,9,FALSE)+SUM(_xlfn.XLOOKUP(S246:AG246,增益!$A:$A,增益!$I:$I,0)))/200,($F$11-$I$4+VLOOKUP($R246,武学奇术!$A:$ZZ,9,FALSE)+SUM(_xlfn.XLOOKUP(S246:AG246,增益!$A:$A,增益!$I:$I,0)))/100)</f>
        <v>0.075</v>
      </c>
      <c r="AW246" s="26" cm="1">
        <f t="array" ref="AW246">$G$11+VLOOKUP($R246,武学奇术!$A:$ZZ,10,FALSE)+SUM(_xlfn.XLOOKUP(S246:AG246,增益!$A:$A,增益!$J:$J,0))</f>
        <v>0.15</v>
      </c>
      <c r="AX246">
        <f t="shared" si="36"/>
        <v>0</v>
      </c>
      <c r="AY246">
        <f t="shared" si="37"/>
        <v>0</v>
      </c>
      <c r="AZ246" s="26" cm="1">
        <f t="array" ref="AZ246">IF($F$12-$I$4+VLOOKUP($R246,武学奇术!$A:$ZZ,11,FALSE)+SUM(_xlfn.XLOOKUP(S246:AG246,增益!$A:$A,增益!$K:$K,0))&gt;0,($F$12-$I$4+VLOOKUP($R246,武学奇术!$A:$ZZ,11,FALSE)+SUM(_xlfn.XLOOKUP(S246:AG246,增益!$A:$A,增益!$K:$K,0)))/200,($F$12-$I$4+VLOOKUP($R246,武学奇术!$A:$ZZ,11,FALSE)+SUM(_xlfn.XLOOKUP(S246:AG246,增益!$A:$A,增益!$K:$K,0)))/100)</f>
        <v>-0.3</v>
      </c>
      <c r="BA246" s="26" cm="1">
        <f t="array" ref="BA246">$G$12+VLOOKUP($R246,武学奇术!$A:$ZZ,12,FALSE)+SUM(_xlfn.XLOOKUP(S246:AG246,增益!$A:$A,增益!$L:$L,0))</f>
        <v>0</v>
      </c>
      <c r="BB246">
        <f t="shared" si="38"/>
        <v>0</v>
      </c>
      <c r="BC246">
        <f t="shared" si="39"/>
        <v>0</v>
      </c>
      <c r="BD246" s="26" cm="1">
        <f t="array" ref="BD246">IF($F$13-$I$4+VLOOKUP($R246,武学奇术!$A:$ZZ,13,FALSE)+SUM(_xlfn.XLOOKUP(S246:AG246,增益!$A:$A,增益!$M:$M,0))&gt;0,($F$13-$I$4+VLOOKUP($R246,武学奇术!$A:$ZZ,13,FALSE)+SUM(_xlfn.XLOOKUP(S246:AG246,增益!$A:$A,增益!$K:$K,0)))/200,($F$13-$I$4+VLOOKUP($R246,武学奇术!$A:$ZZ,13,FALSE)+SUM(_xlfn.XLOOKUP(S246:AG246,增益!$A:$A,增益!$M:$M,0)))/100)</f>
        <v>-0.3</v>
      </c>
      <c r="BE246" s="26" cm="1">
        <f t="array" ref="BE246">$G$13+VLOOKUP($R246,武学奇术!$A:$ZZ,14,FALSE)+SUM(_xlfn.XLOOKUP(S246:AG246,增益!$A:$A,增益!$N:$N,0))</f>
        <v>0</v>
      </c>
      <c r="BF246">
        <f t="shared" si="40"/>
        <v>0</v>
      </c>
      <c r="BG246">
        <f t="shared" si="41"/>
        <v>0</v>
      </c>
      <c r="BH246" s="26" cm="1">
        <f t="array" ref="BH246">IF($F$14-$I$4+VLOOKUP($R246,武学奇术!$A:$ZZ,15,FALSE)+SUM(_xlfn.XLOOKUP(S246:AG246,增益!$A:$A,增益!$O:$O,0))&gt;0,($F$14-$I$4+VLOOKUP($R246,武学奇术!$A:$ZZ,15,FALSE)+SUM(_xlfn.XLOOKUP(S246:AG246,增益!$A:$A,增益!$O:$O,0)))/200,($F$14-$I$4+VLOOKUP($R246,武学奇术!$A:$ZZ,15,FALSE)+SUM(_xlfn.XLOOKUP(S246:AG246,增益!$A:$A,增益!$O:$O,0)))/100)</f>
        <v>-0.3</v>
      </c>
      <c r="BI246" s="26" cm="1">
        <f t="array" ref="BI246">$G$14+VLOOKUP($R246,武学奇术!$A:$ZZ,16,FALSE)+SUM(_xlfn.XLOOKUP(S246:AG246,增益!$A:$A,增益!$P:$P,0))</f>
        <v>0</v>
      </c>
      <c r="BJ246" s="21">
        <f>MIN(IF(VLOOKUP($R246,武学奇术!$A:$ZZ,23,FALSE)=1,100%,$B$8),100%)</f>
        <v>0.8229</v>
      </c>
      <c r="BK246" s="21" cm="1">
        <f t="array" ref="BK246">IF(VLOOKUP($R246,武学奇术!$A:$ZZ,23,FALSE)=1,100%,MIN(80%,$B$9+VLOOKUP($R246,武学奇术!$A:$ZZ,17,FALSE)+SUM(_xlfn.XLOOKUP(S246:AG246,增益!$A:$A,增益!$Q:$Q,0)))+$B$11+SUM(_xlfn.XLOOKUP(S246:AG246,增益!$A:$A,增益!$U:$U,0)))*IF(VLOOKUP($R246,武学奇术!$A:$ZZ,24,FALSE)=1,0,1)</f>
        <v>0.2285</v>
      </c>
      <c r="BL246" s="21" cm="1">
        <f t="array" ref="BL246">1+$B$13+VLOOKUP($R246,武学奇术!$A:$ZZ,18,FALSE)+SUM(_xlfn.XLOOKUP(S246:AG246,增益!$A:$A,增益!$R:$R,0))</f>
        <v>1.5</v>
      </c>
      <c r="BM246" s="21" cm="1">
        <f t="array" ref="BM246">IF(VLOOKUP($R246,武学奇术!$A:$ZZ,24,FALSE)=1,100%,MIN(40%,$B$10+VLOOKUP($R246,武学奇术!$A:$ZZ,19,FALSE)+SUM(_xlfn.XLOOKUP(S246:AG246,增益!$A:$A,增益!$S:$S,0)))+$B$12+SUM(_xlfn.XLOOKUP(S246:AG246,增益!$A:$A,增益!$V:$V,0)))*IF(VLOOKUP($R246,武学奇术!$A:$ZZ,23,FALSE)=1,0,1)</f>
        <v>0.4495</v>
      </c>
      <c r="BN246" s="21" cm="1">
        <f t="array" ref="BN246">1+$B$14+VLOOKUP($R246,武学奇术!$A:$ZZ,20,FALSE)+SUM(_xlfn.XLOOKUP(S246:AG246,增益!$A:$A,增益!$T:$T,0))</f>
        <v>1.782</v>
      </c>
      <c r="BO246" s="21">
        <f t="shared" si="42"/>
        <v>0.18803265</v>
      </c>
      <c r="BP246" s="21">
        <f t="shared" si="43"/>
        <v>0.2649738</v>
      </c>
      <c r="BQ246" s="21">
        <f>IF(VLOOKUP($R246,武学奇术!$A:$ZZ,22,FALSE)=1,0,(1-$BJ246))*(1-$BM246)</f>
        <v>0.09749355</v>
      </c>
      <c r="BR246" s="21" cm="1">
        <f t="array" ref="BR246">SUM(_xlfn.XLOOKUP(S246:AG246,增益!$A:$A,增益!$W:$W,0))+$I$5</f>
        <v>0.06</v>
      </c>
    </row>
    <row r="247" spans="11:70">
      <c r="K247" s="24">
        <f>$L247*VLOOKUP($R247,武学奇术!$A:$ZZ,31,FALSE)</f>
        <v>10761.7874402863</v>
      </c>
      <c r="L247" s="24">
        <f t="shared" si="33"/>
        <v>17936.3124004772</v>
      </c>
      <c r="M247" s="24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BL247*$Q247*(1+IF(VLOOKUP($R247,武学奇术!$A:$ZZ,30,FALSE)="流血",$B$21,0))*(1+$BR247)</f>
        <v>14684.4644337396</v>
      </c>
      <c r="N247" s="24">
        <f>(($AP247*$AI247+$AJ247)*(1+$AQ247)*(1+$AR247)+($AU247*IF($G$1="鸣金",$AK247,$AI247)+IF($G$1="鸣金",$AL247*1.5,0))*(1+$AV247)*(1+$AW247)+($AY247*IF($G$1="裂石",$AK247,$AI247)+IF($G$1="裂石",$AL247*1.5,0))*(1+$AZ247)*(1+$BA247)+($BC247*IF($G$1="牵丝",$AK247,$AI247)+IF($G$1="牵丝",$AL247*1.5,0))*(1+$BD247)*(1+$BE247)+($BG247*IF($G$1="破竹",$AK247,$AI247)+IF($G$1="破竹",$AL247*1.5,0))*(1+$BH247)*(1+$BI247))*(1+$AM247)*$BN247*$Q247*(1+IF(VLOOKUP($R247,武学奇术!$A:$ZZ,30,FALSE)="流血",$B$21,0))*(1+$BR247)</f>
        <v>27032.8672474388</v>
      </c>
      <c r="O247" s="24">
        <f>((($AO247+$AP247)/2*$AI247+$AJ247)*(1+$AQ247)*(1+$AR247)+(($AT247+$AU247)/2*IF($G$1="鸣金",$AK247,$AI247)+IF($G$1="鸣金",$AL247*1.5,0))*(1+$AV247)*(1+$AW247)+(($AX247+$AY247)/2*IF($G$1="裂石",$AK247,$AI247)+IF($G$1="裂石",$AL247*1.5,0))*(1+$AZ247)*(1+$BA247)+(($BB247+$BC247)/2*IF($G$1="牵丝",$AK247,$AI247)+IF($G$1="牵丝",$AL247*1.5,0))*(1+$BD247)*(1+$BE247)+(($BF247+$BG247)/2*IF($G$1="破竹",$AK247,$AI247)+IF($G$1="破竹",$AL247*1.5,0))*(1+$BH247)*(1+$BI247))*(1+$AM247)*$Q247*(1+IF(VLOOKUP($R247,武学奇术!$A:$ZZ,30,FALSE)="流血",$B$21,0))*(1+$BR247)</f>
        <v>9789.6429558264</v>
      </c>
      <c r="P247" s="24">
        <f>((($AO247*$AI247+$AJ247)*(1+$AQ247)*(1+$AR247)+($AT247*IF($G$1="鸣金",$AK247,$AI247)+IF($G$1="鸣金",$AL247*1.5,0))*(1+$AV247)*(1+$AW247)+($AX247*IF($G$1="裂石",$AK247,$AI247)+IF($G$1="裂石",$AL247*1.5,0))*(1+$AZ247)*(1+$BA247)+($BB247*IF($G$1="牵丝",$AK247,$AI247)+IF($G$1="牵丝",$AL247*1.5,0))*(1+$BD247)*(1+$BE247)+($BF247*IF($G$1="破竹",$AK247,$AI247)+IF($G$1="破竹",$AL247*1.5,0))*(1+$BH247)*(1+$BI247))*(1+$AM247))*$Q247*(1+IF(VLOOKUP($R247,武学奇术!$A:$ZZ,30,FALSE)="流血",$B$21,0))*(1+$BR247)</f>
        <v>4409.32673800589</v>
      </c>
      <c r="Q247" s="31">
        <v>1</v>
      </c>
      <c r="R247" s="32" t="s">
        <v>199</v>
      </c>
      <c r="S247" s="32" t="s">
        <v>87</v>
      </c>
      <c r="T247" s="32" t="s">
        <v>96</v>
      </c>
      <c r="U247" s="32" t="s">
        <v>97</v>
      </c>
      <c r="V247" s="32" t="s">
        <v>73</v>
      </c>
      <c r="W247" s="32" t="s">
        <v>111</v>
      </c>
      <c r="X247" s="32" t="s">
        <v>127</v>
      </c>
      <c r="Y247" s="32" t="s">
        <v>73</v>
      </c>
      <c r="Z247" s="32" t="s">
        <v>73</v>
      </c>
      <c r="AA247" s="32" t="s">
        <v>81</v>
      </c>
      <c r="AB247" s="32" t="s">
        <v>75</v>
      </c>
      <c r="AC247" s="32" t="s">
        <v>76</v>
      </c>
      <c r="AD247" s="32" t="s">
        <v>82</v>
      </c>
      <c r="AE247" s="32" t="s">
        <v>90</v>
      </c>
      <c r="AF247" s="32" t="s">
        <v>73</v>
      </c>
      <c r="AG247" s="32" t="s">
        <v>178</v>
      </c>
      <c r="AH247" t="str">
        <f>VLOOKUP($R247,武学奇术!$A:$ZZ,25,FALSE)</f>
        <v>剑</v>
      </c>
      <c r="AI247" s="21">
        <f>VLOOKUP($R247,武学奇术!$A:$ZZ,26,FALSE)</f>
        <v>0.3465</v>
      </c>
      <c r="AJ247" s="22">
        <f>VLOOKUP($R247,武学奇术!$A:$ZZ,27,FALSE)*(1+IF(OR($AH247=$F$4,$AH247=$F$5),$B$22,0))</f>
        <v>0</v>
      </c>
      <c r="AK247" s="21">
        <f>VLOOKUP($R247,武学奇术!$A:$ZZ,28,FALSE)</f>
        <v>0.51975</v>
      </c>
      <c r="AL247" s="22">
        <f>VLOOKUP($R247,武学奇术!$A:$ZZ,29,FALSE)*(1+IF(OR($AH247=$F$4,$AH247=$F$5),$B$22,0))</f>
        <v>0</v>
      </c>
      <c r="AM247" s="21" cm="1">
        <f t="array" ref="AM247">$G$3+IFERROR(VLOOKUP($AH247,$F$4:$G$7,2,FALSE),0)+VLOOKUP($R247,武学奇术!$A:$ZZ,2,FALSE)+SUM(_xlfn.XLOOKUP($S247:$AG247,增益!$A:$A,增益!$B:$B,0))</f>
        <v>1.4791</v>
      </c>
      <c r="AN247" s="21" cm="1">
        <f t="array" ref="AN247">VLOOKUP($R247,武学奇术!$A:$ZZ,5,FALSE)+SUM(_xlfn.XLOOKUP($S247:$AG247,增益!$A:$A,增益!$E:$E,0))</f>
        <v>0</v>
      </c>
      <c r="AO247" cm="1">
        <f t="array" ref="AO247">$D$10*(1+$AN247)+VLOOKUP($R247,武学奇术!$A:$ZZ,3,FALSE)+SUM(_xlfn.XLOOKUP($S247:$AG247,增益!$A:$A,增益!$C:$C,0))-$I$2</f>
        <v>1825.28</v>
      </c>
      <c r="AP247" cm="1">
        <f t="array" ref="AP247">$E$10*(1+$AN247)+VLOOKUP($R247,武学奇术!$A:$ZZ,4,FALSE)+SUM(_xlfn.XLOOKUP($S247:$AG247,增益!$A:$A,增益!$D:$D,0))-$I$2</f>
        <v>7757.36</v>
      </c>
      <c r="AQ247" s="26" cm="1">
        <f t="array" ref="AQ247">IF($F$10-$I$3+VLOOKUP($R247,武学奇术!$A:$ZZ,6,FALSE)+SUM(_xlfn.XLOOKUP(S247:AG247,增益!$A:$A,增益!$F:$F,0))&gt;0,($F$10-$I$3+VLOOKUP($R247,武学奇术!$A:$ZZ,6,FALSE)+SUM(_xlfn.XLOOKUP(S247:AG247,增益!$A:$A,增益!$F:$F,0)))/200,($F$10-$I$3+VLOOKUP($R247,武学奇术!$A:$ZZ,6,FALSE)+SUM(_xlfn.XLOOKUP(S247:AG247,增益!$A:$A,增益!$F:$F,0)))/100)</f>
        <v>0.319</v>
      </c>
      <c r="AR247" s="26" cm="1">
        <f t="array" ref="AR247">$G$10+VLOOKUP($R247,武学奇术!$A:$ZZ,7,FALSE)+SUM(_xlfn.XLOOKUP(S247:AG247,增益!$A:$A,增益!$G:$G,0))</f>
        <v>0</v>
      </c>
      <c r="AS247" s="21" cm="1">
        <f t="array" ref="AS247">VLOOKUP($R247,武学奇术!$A:$ZZ,8,FALSE)+SUM(_xlfn.XLOOKUP(S247:AG247,增益!$A:$A,增益!$H:$H,0))</f>
        <v>0</v>
      </c>
      <c r="AT247">
        <f t="shared" si="34"/>
        <v>680.02</v>
      </c>
      <c r="AU247">
        <f t="shared" si="35"/>
        <v>1288.54</v>
      </c>
      <c r="AV247" s="26" cm="1">
        <f t="array" ref="AV247">IF($F$11-$I$4+VLOOKUP($R247,武学奇术!$A:$ZZ,9,FALSE)+SUM(_xlfn.XLOOKUP(S247:AG247,增益!$A:$A,增益!$I:$I,0))&gt;0,($F$11-$I$4+VLOOKUP($R247,武学奇术!$A:$ZZ,9,FALSE)+SUM(_xlfn.XLOOKUP(S247:AG247,增益!$A:$A,增益!$I:$I,0)))/200,($F$11-$I$4+VLOOKUP($R247,武学奇术!$A:$ZZ,9,FALSE)+SUM(_xlfn.XLOOKUP(S247:AG247,增益!$A:$A,增益!$I:$I,0)))/100)</f>
        <v>0.075</v>
      </c>
      <c r="AW247" s="26" cm="1">
        <f t="array" ref="AW247">$G$11+VLOOKUP($R247,武学奇术!$A:$ZZ,10,FALSE)+SUM(_xlfn.XLOOKUP(S247:AG247,增益!$A:$A,增益!$J:$J,0))</f>
        <v>0.15</v>
      </c>
      <c r="AX247">
        <f t="shared" si="36"/>
        <v>0</v>
      </c>
      <c r="AY247">
        <f t="shared" si="37"/>
        <v>0</v>
      </c>
      <c r="AZ247" s="26" cm="1">
        <f t="array" ref="AZ247">IF($F$12-$I$4+VLOOKUP($R247,武学奇术!$A:$ZZ,11,FALSE)+SUM(_xlfn.XLOOKUP(S247:AG247,增益!$A:$A,增益!$K:$K,0))&gt;0,($F$12-$I$4+VLOOKUP($R247,武学奇术!$A:$ZZ,11,FALSE)+SUM(_xlfn.XLOOKUP(S247:AG247,增益!$A:$A,增益!$K:$K,0)))/200,($F$12-$I$4+VLOOKUP($R247,武学奇术!$A:$ZZ,11,FALSE)+SUM(_xlfn.XLOOKUP(S247:AG247,增益!$A:$A,增益!$K:$K,0)))/100)</f>
        <v>-0.3</v>
      </c>
      <c r="BA247" s="26" cm="1">
        <f t="array" ref="BA247">$G$12+VLOOKUP($R247,武学奇术!$A:$ZZ,12,FALSE)+SUM(_xlfn.XLOOKUP(S247:AG247,增益!$A:$A,增益!$L:$L,0))</f>
        <v>0</v>
      </c>
      <c r="BB247">
        <f t="shared" si="38"/>
        <v>0</v>
      </c>
      <c r="BC247">
        <f t="shared" si="39"/>
        <v>0</v>
      </c>
      <c r="BD247" s="26" cm="1">
        <f t="array" ref="BD247">IF($F$13-$I$4+VLOOKUP($R247,武学奇术!$A:$ZZ,13,FALSE)+SUM(_xlfn.XLOOKUP(S247:AG247,增益!$A:$A,增益!$M:$M,0))&gt;0,($F$13-$I$4+VLOOKUP($R247,武学奇术!$A:$ZZ,13,FALSE)+SUM(_xlfn.XLOOKUP(S247:AG247,增益!$A:$A,增益!$K:$K,0)))/200,($F$13-$I$4+VLOOKUP($R247,武学奇术!$A:$ZZ,13,FALSE)+SUM(_xlfn.XLOOKUP(S247:AG247,增益!$A:$A,增益!$M:$M,0)))/100)</f>
        <v>-0.3</v>
      </c>
      <c r="BE247" s="26" cm="1">
        <f t="array" ref="BE247">$G$13+VLOOKUP($R247,武学奇术!$A:$ZZ,14,FALSE)+SUM(_xlfn.XLOOKUP(S247:AG247,增益!$A:$A,增益!$N:$N,0))</f>
        <v>0</v>
      </c>
      <c r="BF247">
        <f t="shared" si="40"/>
        <v>0</v>
      </c>
      <c r="BG247">
        <f t="shared" si="41"/>
        <v>0</v>
      </c>
      <c r="BH247" s="26" cm="1">
        <f t="array" ref="BH247">IF($F$14-$I$4+VLOOKUP($R247,武学奇术!$A:$ZZ,15,FALSE)+SUM(_xlfn.XLOOKUP(S247:AG247,增益!$A:$A,增益!$O:$O,0))&gt;0,($F$14-$I$4+VLOOKUP($R247,武学奇术!$A:$ZZ,15,FALSE)+SUM(_xlfn.XLOOKUP(S247:AG247,增益!$A:$A,增益!$O:$O,0)))/200,($F$14-$I$4+VLOOKUP($R247,武学奇术!$A:$ZZ,15,FALSE)+SUM(_xlfn.XLOOKUP(S247:AG247,增益!$A:$A,增益!$O:$O,0)))/100)</f>
        <v>-0.3</v>
      </c>
      <c r="BI247" s="26" cm="1">
        <f t="array" ref="BI247">$G$14+VLOOKUP($R247,武学奇术!$A:$ZZ,16,FALSE)+SUM(_xlfn.XLOOKUP(S247:AG247,增益!$A:$A,增益!$P:$P,0))</f>
        <v>0</v>
      </c>
      <c r="BJ247" s="21">
        <f>MIN(IF(VLOOKUP($R247,武学奇术!$A:$ZZ,23,FALSE)=1,100%,$B$8),100%)</f>
        <v>0.8229</v>
      </c>
      <c r="BK247" s="21" cm="1">
        <f t="array" ref="BK247">IF(VLOOKUP($R247,武学奇术!$A:$ZZ,23,FALSE)=1,100%,MIN(80%,$B$9+VLOOKUP($R247,武学奇术!$A:$ZZ,17,FALSE)+SUM(_xlfn.XLOOKUP(S247:AG247,增益!$A:$A,增益!$Q:$Q,0)))+$B$11+SUM(_xlfn.XLOOKUP(S247:AG247,增益!$A:$A,增益!$U:$U,0)))*IF(VLOOKUP($R247,武学奇术!$A:$ZZ,24,FALSE)=1,0,1)</f>
        <v>0.2285</v>
      </c>
      <c r="BL247" s="21" cm="1">
        <f t="array" ref="BL247">1+$B$13+VLOOKUP($R247,武学奇术!$A:$ZZ,18,FALSE)+SUM(_xlfn.XLOOKUP(S247:AG247,增益!$A:$A,增益!$R:$R,0))</f>
        <v>1.5</v>
      </c>
      <c r="BM247" s="21" cm="1">
        <f t="array" ref="BM247">IF(VLOOKUP($R247,武学奇术!$A:$ZZ,24,FALSE)=1,100%,MIN(40%,$B$10+VLOOKUP($R247,武学奇术!$A:$ZZ,19,FALSE)+SUM(_xlfn.XLOOKUP(S247:AG247,增益!$A:$A,增益!$S:$S,0)))+$B$12+SUM(_xlfn.XLOOKUP(S247:AG247,增益!$A:$A,增益!$V:$V,0)))*IF(VLOOKUP($R247,武学奇术!$A:$ZZ,23,FALSE)=1,0,1)</f>
        <v>0.4495</v>
      </c>
      <c r="BN247" s="21" cm="1">
        <f t="array" ref="BN247">1+$B$14+VLOOKUP($R247,武学奇术!$A:$ZZ,20,FALSE)+SUM(_xlfn.XLOOKUP(S247:AG247,增益!$A:$A,增益!$T:$T,0))</f>
        <v>1.782</v>
      </c>
      <c r="BO247" s="21">
        <f t="shared" si="42"/>
        <v>0.18803265</v>
      </c>
      <c r="BP247" s="21">
        <f t="shared" si="43"/>
        <v>0.2649738</v>
      </c>
      <c r="BQ247" s="21">
        <f>IF(VLOOKUP($R247,武学奇术!$A:$ZZ,22,FALSE)=1,0,(1-$BJ247))*(1-$BM247)</f>
        <v>0.09749355</v>
      </c>
      <c r="BR247" s="21" cm="1">
        <f t="array" ref="BR247">SUM(_xlfn.XLOOKUP(S247:AG247,增益!$A:$A,增益!$W:$W,0))+$I$5</f>
        <v>0.06</v>
      </c>
    </row>
    <row r="248" spans="11:70">
      <c r="K248" s="24">
        <f>$L248*VLOOKUP($R248,武学奇术!$A:$ZZ,31,FALSE)</f>
        <v>8609.42995222906</v>
      </c>
      <c r="L248" s="24">
        <f t="shared" si="33"/>
        <v>14349.0499203818</v>
      </c>
      <c r="M248" s="24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BL248*$Q248*(1+IF(VLOOKUP($R248,武学奇术!$A:$ZZ,30,FALSE)="流血",$B$21,0))*(1+$BR248)</f>
        <v>11747.5715469917</v>
      </c>
      <c r="N248" s="24">
        <f>(($AP248*$AI248+$AJ248)*(1+$AQ248)*(1+$AR248)+($AU248*IF($G$1="鸣金",$AK248,$AI248)+IF($G$1="鸣金",$AL248*1.5,0))*(1+$AV248)*(1+$AW248)+($AY248*IF($G$1="裂石",$AK248,$AI248)+IF($G$1="裂石",$AL248*1.5,0))*(1+$AZ248)*(1+$BA248)+($BC248*IF($G$1="牵丝",$AK248,$AI248)+IF($G$1="牵丝",$AL248*1.5,0))*(1+$BD248)*(1+$BE248)+($BG248*IF($G$1="破竹",$AK248,$AI248)+IF($G$1="破竹",$AL248*1.5,0))*(1+$BH248)*(1+$BI248))*(1+$AM248)*$BN248*$Q248*(1+IF(VLOOKUP($R248,武学奇术!$A:$ZZ,30,FALSE)="流血",$B$21,0))*(1+$BR248)</f>
        <v>21626.293797951</v>
      </c>
      <c r="O248" s="24">
        <f>((($AO248+$AP248)/2*$AI248+$AJ248)*(1+$AQ248)*(1+$AR248)+(($AT248+$AU248)/2*IF($G$1="鸣金",$AK248,$AI248)+IF($G$1="鸣金",$AL248*1.5,0))*(1+$AV248)*(1+$AW248)+(($AX248+$AY248)/2*IF($G$1="裂石",$AK248,$AI248)+IF($G$1="裂石",$AL248*1.5,0))*(1+$AZ248)*(1+$BA248)+(($BB248+$BC248)/2*IF($G$1="牵丝",$AK248,$AI248)+IF($G$1="牵丝",$AL248*1.5,0))*(1+$BD248)*(1+$BE248)+(($BF248+$BG248)/2*IF($G$1="破竹",$AK248,$AI248)+IF($G$1="破竹",$AL248*1.5,0))*(1+$BH248)*(1+$BI248))*(1+$AM248)*$Q248*(1+IF(VLOOKUP($R248,武学奇术!$A:$ZZ,30,FALSE)="流血",$B$21,0))*(1+$BR248)</f>
        <v>7831.71436466112</v>
      </c>
      <c r="P248" s="24">
        <f>((($AO248*$AI248+$AJ248)*(1+$AQ248)*(1+$AR248)+($AT248*IF($G$1="鸣金",$AK248,$AI248)+IF($G$1="鸣金",$AL248*1.5,0))*(1+$AV248)*(1+$AW248)+($AX248*IF($G$1="裂石",$AK248,$AI248)+IF($G$1="裂石",$AL248*1.5,0))*(1+$AZ248)*(1+$BA248)+($BB248*IF($G$1="牵丝",$AK248,$AI248)+IF($G$1="牵丝",$AL248*1.5,0))*(1+$BD248)*(1+$BE248)+($BF248*IF($G$1="破竹",$AK248,$AI248)+IF($G$1="破竹",$AL248*1.5,0))*(1+$BH248)*(1+$BI248))*(1+$AM248))*$Q248*(1+IF(VLOOKUP($R248,武学奇术!$A:$ZZ,30,FALSE)="流血",$B$21,0))*(1+$BR248)</f>
        <v>3527.46139040471</v>
      </c>
      <c r="Q248" s="31">
        <v>1</v>
      </c>
      <c r="R248" s="32" t="s">
        <v>197</v>
      </c>
      <c r="S248" s="32" t="s">
        <v>87</v>
      </c>
      <c r="T248" s="32" t="s">
        <v>96</v>
      </c>
      <c r="U248" s="32" t="s">
        <v>97</v>
      </c>
      <c r="V248" s="32" t="s">
        <v>73</v>
      </c>
      <c r="W248" s="32" t="s">
        <v>111</v>
      </c>
      <c r="X248" s="32" t="s">
        <v>127</v>
      </c>
      <c r="Y248" s="32" t="s">
        <v>73</v>
      </c>
      <c r="Z248" s="32" t="s">
        <v>73</v>
      </c>
      <c r="AA248" s="32" t="s">
        <v>81</v>
      </c>
      <c r="AB248" s="32" t="s">
        <v>75</v>
      </c>
      <c r="AC248" s="32" t="s">
        <v>76</v>
      </c>
      <c r="AD248" s="32" t="s">
        <v>82</v>
      </c>
      <c r="AE248" s="32" t="s">
        <v>90</v>
      </c>
      <c r="AF248" s="32" t="s">
        <v>73</v>
      </c>
      <c r="AG248" s="32" t="s">
        <v>178</v>
      </c>
      <c r="AH248" t="str">
        <f>VLOOKUP($R248,武学奇术!$A:$ZZ,25,FALSE)</f>
        <v>剑</v>
      </c>
      <c r="AI248" s="21">
        <f>VLOOKUP($R248,武学奇术!$A:$ZZ,26,FALSE)</f>
        <v>0.2772</v>
      </c>
      <c r="AJ248" s="22">
        <f>VLOOKUP($R248,武学奇术!$A:$ZZ,27,FALSE)*(1+IF(OR($AH248=$F$4,$AH248=$F$5),$B$22,0))</f>
        <v>0</v>
      </c>
      <c r="AK248" s="21">
        <f>VLOOKUP($R248,武学奇术!$A:$ZZ,28,FALSE)</f>
        <v>0.4158</v>
      </c>
      <c r="AL248" s="22">
        <f>VLOOKUP($R248,武学奇术!$A:$ZZ,29,FALSE)*(1+IF(OR($AH248=$F$4,$AH248=$F$5),$B$22,0))</f>
        <v>0</v>
      </c>
      <c r="AM248" s="21" cm="1">
        <f t="array" ref="AM248">$G$3+IFERROR(VLOOKUP($AH248,$F$4:$G$7,2,FALSE),0)+VLOOKUP($R248,武学奇术!$A:$ZZ,2,FALSE)+SUM(_xlfn.XLOOKUP($S248:$AG248,增益!$A:$A,增益!$B:$B,0))</f>
        <v>1.4791</v>
      </c>
      <c r="AN248" s="21" cm="1">
        <f t="array" ref="AN248">VLOOKUP($R248,武学奇术!$A:$ZZ,5,FALSE)+SUM(_xlfn.XLOOKUP($S248:$AG248,增益!$A:$A,增益!$E:$E,0))</f>
        <v>0</v>
      </c>
      <c r="AO248" cm="1">
        <f t="array" ref="AO248">$D$10*(1+$AN248)+VLOOKUP($R248,武学奇术!$A:$ZZ,3,FALSE)+SUM(_xlfn.XLOOKUP($S248:$AG248,增益!$A:$A,增益!$C:$C,0))-$I$2</f>
        <v>1825.28</v>
      </c>
      <c r="AP248" cm="1">
        <f t="array" ref="AP248">$E$10*(1+$AN248)+VLOOKUP($R248,武学奇术!$A:$ZZ,4,FALSE)+SUM(_xlfn.XLOOKUP($S248:$AG248,增益!$A:$A,增益!$D:$D,0))-$I$2</f>
        <v>7757.36</v>
      </c>
      <c r="AQ248" s="26" cm="1">
        <f t="array" ref="AQ248">IF($F$10-$I$3+VLOOKUP($R248,武学奇术!$A:$ZZ,6,FALSE)+SUM(_xlfn.XLOOKUP(S248:AG248,增益!$A:$A,增益!$F:$F,0))&gt;0,($F$10-$I$3+VLOOKUP($R248,武学奇术!$A:$ZZ,6,FALSE)+SUM(_xlfn.XLOOKUP(S248:AG248,增益!$A:$A,增益!$F:$F,0)))/200,($F$10-$I$3+VLOOKUP($R248,武学奇术!$A:$ZZ,6,FALSE)+SUM(_xlfn.XLOOKUP(S248:AG248,增益!$A:$A,增益!$F:$F,0)))/100)</f>
        <v>0.319</v>
      </c>
      <c r="AR248" s="26" cm="1">
        <f t="array" ref="AR248">$G$10+VLOOKUP($R248,武学奇术!$A:$ZZ,7,FALSE)+SUM(_xlfn.XLOOKUP(S248:AG248,增益!$A:$A,增益!$G:$G,0))</f>
        <v>0</v>
      </c>
      <c r="AS248" s="21" cm="1">
        <f t="array" ref="AS248">VLOOKUP($R248,武学奇术!$A:$ZZ,8,FALSE)+SUM(_xlfn.XLOOKUP(S248:AG248,增益!$A:$A,增益!$H:$H,0))</f>
        <v>0</v>
      </c>
      <c r="AT248">
        <f t="shared" si="34"/>
        <v>680.02</v>
      </c>
      <c r="AU248">
        <f t="shared" si="35"/>
        <v>1288.54</v>
      </c>
      <c r="AV248" s="26" cm="1">
        <f t="array" ref="AV248">IF($F$11-$I$4+VLOOKUP($R248,武学奇术!$A:$ZZ,9,FALSE)+SUM(_xlfn.XLOOKUP(S248:AG248,增益!$A:$A,增益!$I:$I,0))&gt;0,($F$11-$I$4+VLOOKUP($R248,武学奇术!$A:$ZZ,9,FALSE)+SUM(_xlfn.XLOOKUP(S248:AG248,增益!$A:$A,增益!$I:$I,0)))/200,($F$11-$I$4+VLOOKUP($R248,武学奇术!$A:$ZZ,9,FALSE)+SUM(_xlfn.XLOOKUP(S248:AG248,增益!$A:$A,增益!$I:$I,0)))/100)</f>
        <v>0.075</v>
      </c>
      <c r="AW248" s="26" cm="1">
        <f t="array" ref="AW248">$G$11+VLOOKUP($R248,武学奇术!$A:$ZZ,10,FALSE)+SUM(_xlfn.XLOOKUP(S248:AG248,增益!$A:$A,增益!$J:$J,0))</f>
        <v>0.15</v>
      </c>
      <c r="AX248">
        <f t="shared" si="36"/>
        <v>0</v>
      </c>
      <c r="AY248">
        <f t="shared" si="37"/>
        <v>0</v>
      </c>
      <c r="AZ248" s="26" cm="1">
        <f t="array" ref="AZ248">IF($F$12-$I$4+VLOOKUP($R248,武学奇术!$A:$ZZ,11,FALSE)+SUM(_xlfn.XLOOKUP(S248:AG248,增益!$A:$A,增益!$K:$K,0))&gt;0,($F$12-$I$4+VLOOKUP($R248,武学奇术!$A:$ZZ,11,FALSE)+SUM(_xlfn.XLOOKUP(S248:AG248,增益!$A:$A,增益!$K:$K,0)))/200,($F$12-$I$4+VLOOKUP($R248,武学奇术!$A:$ZZ,11,FALSE)+SUM(_xlfn.XLOOKUP(S248:AG248,增益!$A:$A,增益!$K:$K,0)))/100)</f>
        <v>-0.3</v>
      </c>
      <c r="BA248" s="26" cm="1">
        <f t="array" ref="BA248">$G$12+VLOOKUP($R248,武学奇术!$A:$ZZ,12,FALSE)+SUM(_xlfn.XLOOKUP(S248:AG248,增益!$A:$A,增益!$L:$L,0))</f>
        <v>0</v>
      </c>
      <c r="BB248">
        <f t="shared" si="38"/>
        <v>0</v>
      </c>
      <c r="BC248">
        <f t="shared" si="39"/>
        <v>0</v>
      </c>
      <c r="BD248" s="26" cm="1">
        <f t="array" ref="BD248">IF($F$13-$I$4+VLOOKUP($R248,武学奇术!$A:$ZZ,13,FALSE)+SUM(_xlfn.XLOOKUP(S248:AG248,增益!$A:$A,增益!$M:$M,0))&gt;0,($F$13-$I$4+VLOOKUP($R248,武学奇术!$A:$ZZ,13,FALSE)+SUM(_xlfn.XLOOKUP(S248:AG248,增益!$A:$A,增益!$K:$K,0)))/200,($F$13-$I$4+VLOOKUP($R248,武学奇术!$A:$ZZ,13,FALSE)+SUM(_xlfn.XLOOKUP(S248:AG248,增益!$A:$A,增益!$M:$M,0)))/100)</f>
        <v>-0.3</v>
      </c>
      <c r="BE248" s="26" cm="1">
        <f t="array" ref="BE248">$G$13+VLOOKUP($R248,武学奇术!$A:$ZZ,14,FALSE)+SUM(_xlfn.XLOOKUP(S248:AG248,增益!$A:$A,增益!$N:$N,0))</f>
        <v>0</v>
      </c>
      <c r="BF248">
        <f t="shared" si="40"/>
        <v>0</v>
      </c>
      <c r="BG248">
        <f t="shared" si="41"/>
        <v>0</v>
      </c>
      <c r="BH248" s="26" cm="1">
        <f t="array" ref="BH248">IF($F$14-$I$4+VLOOKUP($R248,武学奇术!$A:$ZZ,15,FALSE)+SUM(_xlfn.XLOOKUP(S248:AG248,增益!$A:$A,增益!$O:$O,0))&gt;0,($F$14-$I$4+VLOOKUP($R248,武学奇术!$A:$ZZ,15,FALSE)+SUM(_xlfn.XLOOKUP(S248:AG248,增益!$A:$A,增益!$O:$O,0)))/200,($F$14-$I$4+VLOOKUP($R248,武学奇术!$A:$ZZ,15,FALSE)+SUM(_xlfn.XLOOKUP(S248:AG248,增益!$A:$A,增益!$O:$O,0)))/100)</f>
        <v>-0.3</v>
      </c>
      <c r="BI248" s="26" cm="1">
        <f t="array" ref="BI248">$G$14+VLOOKUP($R248,武学奇术!$A:$ZZ,16,FALSE)+SUM(_xlfn.XLOOKUP(S248:AG248,增益!$A:$A,增益!$P:$P,0))</f>
        <v>0</v>
      </c>
      <c r="BJ248" s="21">
        <f>MIN(IF(VLOOKUP($R248,武学奇术!$A:$ZZ,23,FALSE)=1,100%,$B$8),100%)</f>
        <v>0.8229</v>
      </c>
      <c r="BK248" s="21" cm="1">
        <f t="array" ref="BK248">IF(VLOOKUP($R248,武学奇术!$A:$ZZ,23,FALSE)=1,100%,MIN(80%,$B$9+VLOOKUP($R248,武学奇术!$A:$ZZ,17,FALSE)+SUM(_xlfn.XLOOKUP(S248:AG248,增益!$A:$A,增益!$Q:$Q,0)))+$B$11+SUM(_xlfn.XLOOKUP(S248:AG248,增益!$A:$A,增益!$U:$U,0)))*IF(VLOOKUP($R248,武学奇术!$A:$ZZ,24,FALSE)=1,0,1)</f>
        <v>0.2285</v>
      </c>
      <c r="BL248" s="21" cm="1">
        <f t="array" ref="BL248">1+$B$13+VLOOKUP($R248,武学奇术!$A:$ZZ,18,FALSE)+SUM(_xlfn.XLOOKUP(S248:AG248,增益!$A:$A,增益!$R:$R,0))</f>
        <v>1.5</v>
      </c>
      <c r="BM248" s="21" cm="1">
        <f t="array" ref="BM248">IF(VLOOKUP($R248,武学奇术!$A:$ZZ,24,FALSE)=1,100%,MIN(40%,$B$10+VLOOKUP($R248,武学奇术!$A:$ZZ,19,FALSE)+SUM(_xlfn.XLOOKUP(S248:AG248,增益!$A:$A,增益!$S:$S,0)))+$B$12+SUM(_xlfn.XLOOKUP(S248:AG248,增益!$A:$A,增益!$V:$V,0)))*IF(VLOOKUP($R248,武学奇术!$A:$ZZ,23,FALSE)=1,0,1)</f>
        <v>0.4495</v>
      </c>
      <c r="BN248" s="21" cm="1">
        <f t="array" ref="BN248">1+$B$14+VLOOKUP($R248,武学奇术!$A:$ZZ,20,FALSE)+SUM(_xlfn.XLOOKUP(S248:AG248,增益!$A:$A,增益!$T:$T,0))</f>
        <v>1.782</v>
      </c>
      <c r="BO248" s="21">
        <f t="shared" si="42"/>
        <v>0.18803265</v>
      </c>
      <c r="BP248" s="21">
        <f t="shared" si="43"/>
        <v>0.2649738</v>
      </c>
      <c r="BQ248" s="21">
        <f>IF(VLOOKUP($R248,武学奇术!$A:$ZZ,22,FALSE)=1,0,(1-$BJ248))*(1-$BM248)</f>
        <v>0.09749355</v>
      </c>
      <c r="BR248" s="21" cm="1">
        <f t="array" ref="BR248">SUM(_xlfn.XLOOKUP(S248:AG248,增益!$A:$A,增益!$W:$W,0))+$I$5</f>
        <v>0.06</v>
      </c>
    </row>
    <row r="249" spans="11:70">
      <c r="K249" s="24">
        <f>$L249*VLOOKUP($R249,武学奇术!$A:$ZZ,31,FALSE)</f>
        <v>5380.89372014316</v>
      </c>
      <c r="L249" s="24">
        <f t="shared" si="33"/>
        <v>8968.1562002386</v>
      </c>
      <c r="M249" s="24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BL249*$Q249*(1+IF(VLOOKUP($R249,武学奇术!$A:$ZZ,30,FALSE)="流血",$B$21,0))*(1+$BR249)</f>
        <v>7342.2322168698</v>
      </c>
      <c r="N249" s="24">
        <f>(($AP249*$AI249+$AJ249)*(1+$AQ249)*(1+$AR249)+($AU249*IF($G$1="鸣金",$AK249,$AI249)+IF($G$1="鸣金",$AL249*1.5,0))*(1+$AV249)*(1+$AW249)+($AY249*IF($G$1="裂石",$AK249,$AI249)+IF($G$1="裂石",$AL249*1.5,0))*(1+$AZ249)*(1+$BA249)+($BC249*IF($G$1="牵丝",$AK249,$AI249)+IF($G$1="牵丝",$AL249*1.5,0))*(1+$BD249)*(1+$BE249)+($BG249*IF($G$1="破竹",$AK249,$AI249)+IF($G$1="破竹",$AL249*1.5,0))*(1+$BH249)*(1+$BI249))*(1+$AM249)*$BN249*$Q249*(1+IF(VLOOKUP($R249,武学奇术!$A:$ZZ,30,FALSE)="流血",$B$21,0))*(1+$BR249)</f>
        <v>13516.4336237194</v>
      </c>
      <c r="O249" s="24">
        <f>((($AO249+$AP249)/2*$AI249+$AJ249)*(1+$AQ249)*(1+$AR249)+(($AT249+$AU249)/2*IF($G$1="鸣金",$AK249,$AI249)+IF($G$1="鸣金",$AL249*1.5,0))*(1+$AV249)*(1+$AW249)+(($AX249+$AY249)/2*IF($G$1="裂石",$AK249,$AI249)+IF($G$1="裂石",$AL249*1.5,0))*(1+$AZ249)*(1+$BA249)+(($BB249+$BC249)/2*IF($G$1="牵丝",$AK249,$AI249)+IF($G$1="牵丝",$AL249*1.5,0))*(1+$BD249)*(1+$BE249)+(($BF249+$BG249)/2*IF($G$1="破竹",$AK249,$AI249)+IF($G$1="破竹",$AL249*1.5,0))*(1+$BH249)*(1+$BI249))*(1+$AM249)*$Q249*(1+IF(VLOOKUP($R249,武学奇术!$A:$ZZ,30,FALSE)="流血",$B$21,0))*(1+$BR249)</f>
        <v>4894.8214779132</v>
      </c>
      <c r="P249" s="24">
        <f>((($AO249*$AI249+$AJ249)*(1+$AQ249)*(1+$AR249)+($AT249*IF($G$1="鸣金",$AK249,$AI249)+IF($G$1="鸣金",$AL249*1.5,0))*(1+$AV249)*(1+$AW249)+($AX249*IF($G$1="裂石",$AK249,$AI249)+IF($G$1="裂石",$AL249*1.5,0))*(1+$AZ249)*(1+$BA249)+($BB249*IF($G$1="牵丝",$AK249,$AI249)+IF($G$1="牵丝",$AL249*1.5,0))*(1+$BD249)*(1+$BE249)+($BF249*IF($G$1="破竹",$AK249,$AI249)+IF($G$1="破竹",$AL249*1.5,0))*(1+$BH249)*(1+$BI249))*(1+$AM249))*$Q249*(1+IF(VLOOKUP($R249,武学奇术!$A:$ZZ,30,FALSE)="流血",$B$21,0))*(1+$BR249)</f>
        <v>2204.66336900294</v>
      </c>
      <c r="Q249" s="31">
        <v>1</v>
      </c>
      <c r="R249" s="32" t="s">
        <v>198</v>
      </c>
      <c r="S249" s="32" t="s">
        <v>87</v>
      </c>
      <c r="T249" s="32" t="s">
        <v>96</v>
      </c>
      <c r="U249" s="32" t="s">
        <v>97</v>
      </c>
      <c r="V249" s="32" t="s">
        <v>73</v>
      </c>
      <c r="W249" s="32" t="s">
        <v>111</v>
      </c>
      <c r="X249" s="32" t="s">
        <v>127</v>
      </c>
      <c r="Y249" s="32" t="s">
        <v>73</v>
      </c>
      <c r="Z249" s="32" t="s">
        <v>73</v>
      </c>
      <c r="AA249" s="32" t="s">
        <v>81</v>
      </c>
      <c r="AB249" s="32" t="s">
        <v>75</v>
      </c>
      <c r="AC249" s="32" t="s">
        <v>76</v>
      </c>
      <c r="AD249" s="32" t="s">
        <v>82</v>
      </c>
      <c r="AE249" s="32" t="s">
        <v>90</v>
      </c>
      <c r="AF249" s="32" t="s">
        <v>73</v>
      </c>
      <c r="AG249" s="32" t="s">
        <v>178</v>
      </c>
      <c r="AH249" t="str">
        <f>VLOOKUP($R249,武学奇术!$A:$ZZ,25,FALSE)</f>
        <v>剑</v>
      </c>
      <c r="AI249" s="21">
        <f>VLOOKUP($R249,武学奇术!$A:$ZZ,26,FALSE)</f>
        <v>0.17325</v>
      </c>
      <c r="AJ249" s="22">
        <f>VLOOKUP($R249,武学奇术!$A:$ZZ,27,FALSE)*(1+IF(OR($AH249=$F$4,$AH249=$F$5),$B$22,0))</f>
        <v>0</v>
      </c>
      <c r="AK249" s="21">
        <f>VLOOKUP($R249,武学奇术!$A:$ZZ,28,FALSE)</f>
        <v>0.259875</v>
      </c>
      <c r="AL249" s="22">
        <f>VLOOKUP($R249,武学奇术!$A:$ZZ,29,FALSE)*(1+IF(OR($AH249=$F$4,$AH249=$F$5),$B$22,0))</f>
        <v>0</v>
      </c>
      <c r="AM249" s="21" cm="1">
        <f t="array" ref="AM249">$G$3+IFERROR(VLOOKUP($AH249,$F$4:$G$7,2,FALSE),0)+VLOOKUP($R249,武学奇术!$A:$ZZ,2,FALSE)+SUM(_xlfn.XLOOKUP($S249:$AG249,增益!$A:$A,增益!$B:$B,0))</f>
        <v>1.4791</v>
      </c>
      <c r="AN249" s="21" cm="1">
        <f t="array" ref="AN249">VLOOKUP($R249,武学奇术!$A:$ZZ,5,FALSE)+SUM(_xlfn.XLOOKUP($S249:$AG249,增益!$A:$A,增益!$E:$E,0))</f>
        <v>0</v>
      </c>
      <c r="AO249" cm="1">
        <f t="array" ref="AO249">$D$10*(1+$AN249)+VLOOKUP($R249,武学奇术!$A:$ZZ,3,FALSE)+SUM(_xlfn.XLOOKUP($S249:$AG249,增益!$A:$A,增益!$C:$C,0))-$I$2</f>
        <v>1825.28</v>
      </c>
      <c r="AP249" cm="1">
        <f t="array" ref="AP249">$E$10*(1+$AN249)+VLOOKUP($R249,武学奇术!$A:$ZZ,4,FALSE)+SUM(_xlfn.XLOOKUP($S249:$AG249,增益!$A:$A,增益!$D:$D,0))-$I$2</f>
        <v>7757.36</v>
      </c>
      <c r="AQ249" s="26" cm="1">
        <f t="array" ref="AQ249">IF($F$10-$I$3+VLOOKUP($R249,武学奇术!$A:$ZZ,6,FALSE)+SUM(_xlfn.XLOOKUP(S249:AG249,增益!$A:$A,增益!$F:$F,0))&gt;0,($F$10-$I$3+VLOOKUP($R249,武学奇术!$A:$ZZ,6,FALSE)+SUM(_xlfn.XLOOKUP(S249:AG249,增益!$A:$A,增益!$F:$F,0)))/200,($F$10-$I$3+VLOOKUP($R249,武学奇术!$A:$ZZ,6,FALSE)+SUM(_xlfn.XLOOKUP(S249:AG249,增益!$A:$A,增益!$F:$F,0)))/100)</f>
        <v>0.319</v>
      </c>
      <c r="AR249" s="26" cm="1">
        <f t="array" ref="AR249">$G$10+VLOOKUP($R249,武学奇术!$A:$ZZ,7,FALSE)+SUM(_xlfn.XLOOKUP(S249:AG249,增益!$A:$A,增益!$G:$G,0))</f>
        <v>0</v>
      </c>
      <c r="AS249" s="21" cm="1">
        <f t="array" ref="AS249">VLOOKUP($R249,武学奇术!$A:$ZZ,8,FALSE)+SUM(_xlfn.XLOOKUP(S249:AG249,增益!$A:$A,增益!$H:$H,0))</f>
        <v>0</v>
      </c>
      <c r="AT249">
        <f t="shared" si="34"/>
        <v>680.02</v>
      </c>
      <c r="AU249">
        <f t="shared" si="35"/>
        <v>1288.54</v>
      </c>
      <c r="AV249" s="26" cm="1">
        <f t="array" ref="AV249">IF($F$11-$I$4+VLOOKUP($R249,武学奇术!$A:$ZZ,9,FALSE)+SUM(_xlfn.XLOOKUP(S249:AG249,增益!$A:$A,增益!$I:$I,0))&gt;0,($F$11-$I$4+VLOOKUP($R249,武学奇术!$A:$ZZ,9,FALSE)+SUM(_xlfn.XLOOKUP(S249:AG249,增益!$A:$A,增益!$I:$I,0)))/200,($F$11-$I$4+VLOOKUP($R249,武学奇术!$A:$ZZ,9,FALSE)+SUM(_xlfn.XLOOKUP(S249:AG249,增益!$A:$A,增益!$I:$I,0)))/100)</f>
        <v>0.075</v>
      </c>
      <c r="AW249" s="26" cm="1">
        <f t="array" ref="AW249">$G$11+VLOOKUP($R249,武学奇术!$A:$ZZ,10,FALSE)+SUM(_xlfn.XLOOKUP(S249:AG249,增益!$A:$A,增益!$J:$J,0))</f>
        <v>0.15</v>
      </c>
      <c r="AX249">
        <f t="shared" si="36"/>
        <v>0</v>
      </c>
      <c r="AY249">
        <f t="shared" si="37"/>
        <v>0</v>
      </c>
      <c r="AZ249" s="26" cm="1">
        <f t="array" ref="AZ249">IF($F$12-$I$4+VLOOKUP($R249,武学奇术!$A:$ZZ,11,FALSE)+SUM(_xlfn.XLOOKUP(S249:AG249,增益!$A:$A,增益!$K:$K,0))&gt;0,($F$12-$I$4+VLOOKUP($R249,武学奇术!$A:$ZZ,11,FALSE)+SUM(_xlfn.XLOOKUP(S249:AG249,增益!$A:$A,增益!$K:$K,0)))/200,($F$12-$I$4+VLOOKUP($R249,武学奇术!$A:$ZZ,11,FALSE)+SUM(_xlfn.XLOOKUP(S249:AG249,增益!$A:$A,增益!$K:$K,0)))/100)</f>
        <v>-0.3</v>
      </c>
      <c r="BA249" s="26" cm="1">
        <f t="array" ref="BA249">$G$12+VLOOKUP($R249,武学奇术!$A:$ZZ,12,FALSE)+SUM(_xlfn.XLOOKUP(S249:AG249,增益!$A:$A,增益!$L:$L,0))</f>
        <v>0</v>
      </c>
      <c r="BB249">
        <f t="shared" si="38"/>
        <v>0</v>
      </c>
      <c r="BC249">
        <f t="shared" si="39"/>
        <v>0</v>
      </c>
      <c r="BD249" s="26" cm="1">
        <f t="array" ref="BD249">IF($F$13-$I$4+VLOOKUP($R249,武学奇术!$A:$ZZ,13,FALSE)+SUM(_xlfn.XLOOKUP(S249:AG249,增益!$A:$A,增益!$M:$M,0))&gt;0,($F$13-$I$4+VLOOKUP($R249,武学奇术!$A:$ZZ,13,FALSE)+SUM(_xlfn.XLOOKUP(S249:AG249,增益!$A:$A,增益!$K:$K,0)))/200,($F$13-$I$4+VLOOKUP($R249,武学奇术!$A:$ZZ,13,FALSE)+SUM(_xlfn.XLOOKUP(S249:AG249,增益!$A:$A,增益!$M:$M,0)))/100)</f>
        <v>-0.3</v>
      </c>
      <c r="BE249" s="26" cm="1">
        <f t="array" ref="BE249">$G$13+VLOOKUP($R249,武学奇术!$A:$ZZ,14,FALSE)+SUM(_xlfn.XLOOKUP(S249:AG249,增益!$A:$A,增益!$N:$N,0))</f>
        <v>0</v>
      </c>
      <c r="BF249">
        <f t="shared" si="40"/>
        <v>0</v>
      </c>
      <c r="BG249">
        <f t="shared" si="41"/>
        <v>0</v>
      </c>
      <c r="BH249" s="26" cm="1">
        <f t="array" ref="BH249">IF($F$14-$I$4+VLOOKUP($R249,武学奇术!$A:$ZZ,15,FALSE)+SUM(_xlfn.XLOOKUP(S249:AG249,增益!$A:$A,增益!$O:$O,0))&gt;0,($F$14-$I$4+VLOOKUP($R249,武学奇术!$A:$ZZ,15,FALSE)+SUM(_xlfn.XLOOKUP(S249:AG249,增益!$A:$A,增益!$O:$O,0)))/200,($F$14-$I$4+VLOOKUP($R249,武学奇术!$A:$ZZ,15,FALSE)+SUM(_xlfn.XLOOKUP(S249:AG249,增益!$A:$A,增益!$O:$O,0)))/100)</f>
        <v>-0.3</v>
      </c>
      <c r="BI249" s="26" cm="1">
        <f t="array" ref="BI249">$G$14+VLOOKUP($R249,武学奇术!$A:$ZZ,16,FALSE)+SUM(_xlfn.XLOOKUP(S249:AG249,增益!$A:$A,增益!$P:$P,0))</f>
        <v>0</v>
      </c>
      <c r="BJ249" s="21">
        <f>MIN(IF(VLOOKUP($R249,武学奇术!$A:$ZZ,23,FALSE)=1,100%,$B$8),100%)</f>
        <v>0.8229</v>
      </c>
      <c r="BK249" s="21" cm="1">
        <f t="array" ref="BK249">IF(VLOOKUP($R249,武学奇术!$A:$ZZ,23,FALSE)=1,100%,MIN(80%,$B$9+VLOOKUP($R249,武学奇术!$A:$ZZ,17,FALSE)+SUM(_xlfn.XLOOKUP(S249:AG249,增益!$A:$A,增益!$Q:$Q,0)))+$B$11+SUM(_xlfn.XLOOKUP(S249:AG249,增益!$A:$A,增益!$U:$U,0)))*IF(VLOOKUP($R249,武学奇术!$A:$ZZ,24,FALSE)=1,0,1)</f>
        <v>0.2285</v>
      </c>
      <c r="BL249" s="21" cm="1">
        <f t="array" ref="BL249">1+$B$13+VLOOKUP($R249,武学奇术!$A:$ZZ,18,FALSE)+SUM(_xlfn.XLOOKUP(S249:AG249,增益!$A:$A,增益!$R:$R,0))</f>
        <v>1.5</v>
      </c>
      <c r="BM249" s="21" cm="1">
        <f t="array" ref="BM249">IF(VLOOKUP($R249,武学奇术!$A:$ZZ,24,FALSE)=1,100%,MIN(40%,$B$10+VLOOKUP($R249,武学奇术!$A:$ZZ,19,FALSE)+SUM(_xlfn.XLOOKUP(S249:AG249,增益!$A:$A,增益!$S:$S,0)))+$B$12+SUM(_xlfn.XLOOKUP(S249:AG249,增益!$A:$A,增益!$V:$V,0)))*IF(VLOOKUP($R249,武学奇术!$A:$ZZ,23,FALSE)=1,0,1)</f>
        <v>0.4495</v>
      </c>
      <c r="BN249" s="21" cm="1">
        <f t="array" ref="BN249">1+$B$14+VLOOKUP($R249,武学奇术!$A:$ZZ,20,FALSE)+SUM(_xlfn.XLOOKUP(S249:AG249,增益!$A:$A,增益!$T:$T,0))</f>
        <v>1.782</v>
      </c>
      <c r="BO249" s="21">
        <f t="shared" si="42"/>
        <v>0.18803265</v>
      </c>
      <c r="BP249" s="21">
        <f t="shared" si="43"/>
        <v>0.2649738</v>
      </c>
      <c r="BQ249" s="21">
        <f>IF(VLOOKUP($R249,武学奇术!$A:$ZZ,22,FALSE)=1,0,(1-$BJ249))*(1-$BM249)</f>
        <v>0.09749355</v>
      </c>
      <c r="BR249" s="21" cm="1">
        <f t="array" ref="BR249">SUM(_xlfn.XLOOKUP(S249:AG249,增益!$A:$A,增益!$W:$W,0))+$I$5</f>
        <v>0.06</v>
      </c>
    </row>
    <row r="250" spans="11:70">
      <c r="K250" s="24">
        <f>$L250*VLOOKUP($R250,武学奇术!$A:$ZZ,31,FALSE)</f>
        <v>5380.89372014316</v>
      </c>
      <c r="L250" s="24">
        <f t="shared" si="33"/>
        <v>8968.1562002386</v>
      </c>
      <c r="M250" s="24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BL250*$Q250*(1+IF(VLOOKUP($R250,武学奇术!$A:$ZZ,30,FALSE)="流血",$B$21,0))*(1+$BR250)</f>
        <v>7342.2322168698</v>
      </c>
      <c r="N250" s="24">
        <f>(($AP250*$AI250+$AJ250)*(1+$AQ250)*(1+$AR250)+($AU250*IF($G$1="鸣金",$AK250,$AI250)+IF($G$1="鸣金",$AL250*1.5,0))*(1+$AV250)*(1+$AW250)+($AY250*IF($G$1="裂石",$AK250,$AI250)+IF($G$1="裂石",$AL250*1.5,0))*(1+$AZ250)*(1+$BA250)+($BC250*IF($G$1="牵丝",$AK250,$AI250)+IF($G$1="牵丝",$AL250*1.5,0))*(1+$BD250)*(1+$BE250)+($BG250*IF($G$1="破竹",$AK250,$AI250)+IF($G$1="破竹",$AL250*1.5,0))*(1+$BH250)*(1+$BI250))*(1+$AM250)*$BN250*$Q250*(1+IF(VLOOKUP($R250,武学奇术!$A:$ZZ,30,FALSE)="流血",$B$21,0))*(1+$BR250)</f>
        <v>13516.4336237194</v>
      </c>
      <c r="O250" s="24">
        <f>((($AO250+$AP250)/2*$AI250+$AJ250)*(1+$AQ250)*(1+$AR250)+(($AT250+$AU250)/2*IF($G$1="鸣金",$AK250,$AI250)+IF($G$1="鸣金",$AL250*1.5,0))*(1+$AV250)*(1+$AW250)+(($AX250+$AY250)/2*IF($G$1="裂石",$AK250,$AI250)+IF($G$1="裂石",$AL250*1.5,0))*(1+$AZ250)*(1+$BA250)+(($BB250+$BC250)/2*IF($G$1="牵丝",$AK250,$AI250)+IF($G$1="牵丝",$AL250*1.5,0))*(1+$BD250)*(1+$BE250)+(($BF250+$BG250)/2*IF($G$1="破竹",$AK250,$AI250)+IF($G$1="破竹",$AL250*1.5,0))*(1+$BH250)*(1+$BI250))*(1+$AM250)*$Q250*(1+IF(VLOOKUP($R250,武学奇术!$A:$ZZ,30,FALSE)="流血",$B$21,0))*(1+$BR250)</f>
        <v>4894.8214779132</v>
      </c>
      <c r="P250" s="24">
        <f>((($AO250*$AI250+$AJ250)*(1+$AQ250)*(1+$AR250)+($AT250*IF($G$1="鸣金",$AK250,$AI250)+IF($G$1="鸣金",$AL250*1.5,0))*(1+$AV250)*(1+$AW250)+($AX250*IF($G$1="裂石",$AK250,$AI250)+IF($G$1="裂石",$AL250*1.5,0))*(1+$AZ250)*(1+$BA250)+($BB250*IF($G$1="牵丝",$AK250,$AI250)+IF($G$1="牵丝",$AL250*1.5,0))*(1+$BD250)*(1+$BE250)+($BF250*IF($G$1="破竹",$AK250,$AI250)+IF($G$1="破竹",$AL250*1.5,0))*(1+$BH250)*(1+$BI250))*(1+$AM250))*$Q250*(1+IF(VLOOKUP($R250,武学奇术!$A:$ZZ,30,FALSE)="流血",$B$21,0))*(1+$BR250)</f>
        <v>2204.66336900294</v>
      </c>
      <c r="Q250" s="31">
        <v>1</v>
      </c>
      <c r="R250" s="32" t="s">
        <v>198</v>
      </c>
      <c r="S250" s="32" t="s">
        <v>87</v>
      </c>
      <c r="T250" s="32" t="s">
        <v>96</v>
      </c>
      <c r="U250" s="32" t="s">
        <v>97</v>
      </c>
      <c r="V250" s="32" t="s">
        <v>73</v>
      </c>
      <c r="W250" s="32" t="s">
        <v>111</v>
      </c>
      <c r="X250" s="32" t="s">
        <v>127</v>
      </c>
      <c r="Y250" s="32" t="s">
        <v>73</v>
      </c>
      <c r="Z250" s="32" t="s">
        <v>73</v>
      </c>
      <c r="AA250" s="32" t="s">
        <v>81</v>
      </c>
      <c r="AB250" s="32" t="s">
        <v>75</v>
      </c>
      <c r="AC250" s="32" t="s">
        <v>76</v>
      </c>
      <c r="AD250" s="32" t="s">
        <v>82</v>
      </c>
      <c r="AE250" s="32" t="s">
        <v>90</v>
      </c>
      <c r="AF250" s="32" t="s">
        <v>73</v>
      </c>
      <c r="AG250" s="32" t="s">
        <v>178</v>
      </c>
      <c r="AH250" t="str">
        <f>VLOOKUP($R250,武学奇术!$A:$ZZ,25,FALSE)</f>
        <v>剑</v>
      </c>
      <c r="AI250" s="21">
        <f>VLOOKUP($R250,武学奇术!$A:$ZZ,26,FALSE)</f>
        <v>0.17325</v>
      </c>
      <c r="AJ250" s="22">
        <f>VLOOKUP($R250,武学奇术!$A:$ZZ,27,FALSE)*(1+IF(OR($AH250=$F$4,$AH250=$F$5),$B$22,0))</f>
        <v>0</v>
      </c>
      <c r="AK250" s="21">
        <f>VLOOKUP($R250,武学奇术!$A:$ZZ,28,FALSE)</f>
        <v>0.259875</v>
      </c>
      <c r="AL250" s="22">
        <f>VLOOKUP($R250,武学奇术!$A:$ZZ,29,FALSE)*(1+IF(OR($AH250=$F$4,$AH250=$F$5),$B$22,0))</f>
        <v>0</v>
      </c>
      <c r="AM250" s="21" cm="1">
        <f t="array" ref="AM250">$G$3+IFERROR(VLOOKUP($AH250,$F$4:$G$7,2,FALSE),0)+VLOOKUP($R250,武学奇术!$A:$ZZ,2,FALSE)+SUM(_xlfn.XLOOKUP($S250:$AG250,增益!$A:$A,增益!$B:$B,0))</f>
        <v>1.4791</v>
      </c>
      <c r="AN250" s="21" cm="1">
        <f t="array" ref="AN250">VLOOKUP($R250,武学奇术!$A:$ZZ,5,FALSE)+SUM(_xlfn.XLOOKUP($S250:$AG250,增益!$A:$A,增益!$E:$E,0))</f>
        <v>0</v>
      </c>
      <c r="AO250" cm="1">
        <f t="array" ref="AO250">$D$10*(1+$AN250)+VLOOKUP($R250,武学奇术!$A:$ZZ,3,FALSE)+SUM(_xlfn.XLOOKUP($S250:$AG250,增益!$A:$A,增益!$C:$C,0))-$I$2</f>
        <v>1825.28</v>
      </c>
      <c r="AP250" cm="1">
        <f t="array" ref="AP250">$E$10*(1+$AN250)+VLOOKUP($R250,武学奇术!$A:$ZZ,4,FALSE)+SUM(_xlfn.XLOOKUP($S250:$AG250,增益!$A:$A,增益!$D:$D,0))-$I$2</f>
        <v>7757.36</v>
      </c>
      <c r="AQ250" s="26" cm="1">
        <f t="array" ref="AQ250">IF($F$10-$I$3+VLOOKUP($R250,武学奇术!$A:$ZZ,6,FALSE)+SUM(_xlfn.XLOOKUP(S250:AG250,增益!$A:$A,增益!$F:$F,0))&gt;0,($F$10-$I$3+VLOOKUP($R250,武学奇术!$A:$ZZ,6,FALSE)+SUM(_xlfn.XLOOKUP(S250:AG250,增益!$A:$A,增益!$F:$F,0)))/200,($F$10-$I$3+VLOOKUP($R250,武学奇术!$A:$ZZ,6,FALSE)+SUM(_xlfn.XLOOKUP(S250:AG250,增益!$A:$A,增益!$F:$F,0)))/100)</f>
        <v>0.319</v>
      </c>
      <c r="AR250" s="26" cm="1">
        <f t="array" ref="AR250">$G$10+VLOOKUP($R250,武学奇术!$A:$ZZ,7,FALSE)+SUM(_xlfn.XLOOKUP(S250:AG250,增益!$A:$A,增益!$G:$G,0))</f>
        <v>0</v>
      </c>
      <c r="AS250" s="21" cm="1">
        <f t="array" ref="AS250">VLOOKUP($R250,武学奇术!$A:$ZZ,8,FALSE)+SUM(_xlfn.XLOOKUP(S250:AG250,增益!$A:$A,增益!$H:$H,0))</f>
        <v>0</v>
      </c>
      <c r="AT250">
        <f t="shared" si="34"/>
        <v>680.02</v>
      </c>
      <c r="AU250">
        <f t="shared" si="35"/>
        <v>1288.54</v>
      </c>
      <c r="AV250" s="26" cm="1">
        <f t="array" ref="AV250">IF($F$11-$I$4+VLOOKUP($R250,武学奇术!$A:$ZZ,9,FALSE)+SUM(_xlfn.XLOOKUP(S250:AG250,增益!$A:$A,增益!$I:$I,0))&gt;0,($F$11-$I$4+VLOOKUP($R250,武学奇术!$A:$ZZ,9,FALSE)+SUM(_xlfn.XLOOKUP(S250:AG250,增益!$A:$A,增益!$I:$I,0)))/200,($F$11-$I$4+VLOOKUP($R250,武学奇术!$A:$ZZ,9,FALSE)+SUM(_xlfn.XLOOKUP(S250:AG250,增益!$A:$A,增益!$I:$I,0)))/100)</f>
        <v>0.075</v>
      </c>
      <c r="AW250" s="26" cm="1">
        <f t="array" ref="AW250">$G$11+VLOOKUP($R250,武学奇术!$A:$ZZ,10,FALSE)+SUM(_xlfn.XLOOKUP(S250:AG250,增益!$A:$A,增益!$J:$J,0))</f>
        <v>0.15</v>
      </c>
      <c r="AX250">
        <f t="shared" si="36"/>
        <v>0</v>
      </c>
      <c r="AY250">
        <f t="shared" si="37"/>
        <v>0</v>
      </c>
      <c r="AZ250" s="26" cm="1">
        <f t="array" ref="AZ250">IF($F$12-$I$4+VLOOKUP($R250,武学奇术!$A:$ZZ,11,FALSE)+SUM(_xlfn.XLOOKUP(S250:AG250,增益!$A:$A,增益!$K:$K,0))&gt;0,($F$12-$I$4+VLOOKUP($R250,武学奇术!$A:$ZZ,11,FALSE)+SUM(_xlfn.XLOOKUP(S250:AG250,增益!$A:$A,增益!$K:$K,0)))/200,($F$12-$I$4+VLOOKUP($R250,武学奇术!$A:$ZZ,11,FALSE)+SUM(_xlfn.XLOOKUP(S250:AG250,增益!$A:$A,增益!$K:$K,0)))/100)</f>
        <v>-0.3</v>
      </c>
      <c r="BA250" s="26" cm="1">
        <f t="array" ref="BA250">$G$12+VLOOKUP($R250,武学奇术!$A:$ZZ,12,FALSE)+SUM(_xlfn.XLOOKUP(S250:AG250,增益!$A:$A,增益!$L:$L,0))</f>
        <v>0</v>
      </c>
      <c r="BB250">
        <f t="shared" si="38"/>
        <v>0</v>
      </c>
      <c r="BC250">
        <f t="shared" si="39"/>
        <v>0</v>
      </c>
      <c r="BD250" s="26" cm="1">
        <f t="array" ref="BD250">IF($F$13-$I$4+VLOOKUP($R250,武学奇术!$A:$ZZ,13,FALSE)+SUM(_xlfn.XLOOKUP(S250:AG250,增益!$A:$A,增益!$M:$M,0))&gt;0,($F$13-$I$4+VLOOKUP($R250,武学奇术!$A:$ZZ,13,FALSE)+SUM(_xlfn.XLOOKUP(S250:AG250,增益!$A:$A,增益!$K:$K,0)))/200,($F$13-$I$4+VLOOKUP($R250,武学奇术!$A:$ZZ,13,FALSE)+SUM(_xlfn.XLOOKUP(S250:AG250,增益!$A:$A,增益!$M:$M,0)))/100)</f>
        <v>-0.3</v>
      </c>
      <c r="BE250" s="26" cm="1">
        <f t="array" ref="BE250">$G$13+VLOOKUP($R250,武学奇术!$A:$ZZ,14,FALSE)+SUM(_xlfn.XLOOKUP(S250:AG250,增益!$A:$A,增益!$N:$N,0))</f>
        <v>0</v>
      </c>
      <c r="BF250">
        <f t="shared" si="40"/>
        <v>0</v>
      </c>
      <c r="BG250">
        <f t="shared" si="41"/>
        <v>0</v>
      </c>
      <c r="BH250" s="26" cm="1">
        <f t="array" ref="BH250">IF($F$14-$I$4+VLOOKUP($R250,武学奇术!$A:$ZZ,15,FALSE)+SUM(_xlfn.XLOOKUP(S250:AG250,增益!$A:$A,增益!$O:$O,0))&gt;0,($F$14-$I$4+VLOOKUP($R250,武学奇术!$A:$ZZ,15,FALSE)+SUM(_xlfn.XLOOKUP(S250:AG250,增益!$A:$A,增益!$O:$O,0)))/200,($F$14-$I$4+VLOOKUP($R250,武学奇术!$A:$ZZ,15,FALSE)+SUM(_xlfn.XLOOKUP(S250:AG250,增益!$A:$A,增益!$O:$O,0)))/100)</f>
        <v>-0.3</v>
      </c>
      <c r="BI250" s="26" cm="1">
        <f t="array" ref="BI250">$G$14+VLOOKUP($R250,武学奇术!$A:$ZZ,16,FALSE)+SUM(_xlfn.XLOOKUP(S250:AG250,增益!$A:$A,增益!$P:$P,0))</f>
        <v>0</v>
      </c>
      <c r="BJ250" s="21">
        <f>MIN(IF(VLOOKUP($R250,武学奇术!$A:$ZZ,23,FALSE)=1,100%,$B$8),100%)</f>
        <v>0.8229</v>
      </c>
      <c r="BK250" s="21" cm="1">
        <f t="array" ref="BK250">IF(VLOOKUP($R250,武学奇术!$A:$ZZ,23,FALSE)=1,100%,MIN(80%,$B$9+VLOOKUP($R250,武学奇术!$A:$ZZ,17,FALSE)+SUM(_xlfn.XLOOKUP(S250:AG250,增益!$A:$A,增益!$Q:$Q,0)))+$B$11+SUM(_xlfn.XLOOKUP(S250:AG250,增益!$A:$A,增益!$U:$U,0)))*IF(VLOOKUP($R250,武学奇术!$A:$ZZ,24,FALSE)=1,0,1)</f>
        <v>0.2285</v>
      </c>
      <c r="BL250" s="21" cm="1">
        <f t="array" ref="BL250">1+$B$13+VLOOKUP($R250,武学奇术!$A:$ZZ,18,FALSE)+SUM(_xlfn.XLOOKUP(S250:AG250,增益!$A:$A,增益!$R:$R,0))</f>
        <v>1.5</v>
      </c>
      <c r="BM250" s="21" cm="1">
        <f t="array" ref="BM250">IF(VLOOKUP($R250,武学奇术!$A:$ZZ,24,FALSE)=1,100%,MIN(40%,$B$10+VLOOKUP($R250,武学奇术!$A:$ZZ,19,FALSE)+SUM(_xlfn.XLOOKUP(S250:AG250,增益!$A:$A,增益!$S:$S,0)))+$B$12+SUM(_xlfn.XLOOKUP(S250:AG250,增益!$A:$A,增益!$V:$V,0)))*IF(VLOOKUP($R250,武学奇术!$A:$ZZ,23,FALSE)=1,0,1)</f>
        <v>0.4495</v>
      </c>
      <c r="BN250" s="21" cm="1">
        <f t="array" ref="BN250">1+$B$14+VLOOKUP($R250,武学奇术!$A:$ZZ,20,FALSE)+SUM(_xlfn.XLOOKUP(S250:AG250,增益!$A:$A,增益!$T:$T,0))</f>
        <v>1.782</v>
      </c>
      <c r="BO250" s="21">
        <f t="shared" si="42"/>
        <v>0.18803265</v>
      </c>
      <c r="BP250" s="21">
        <f t="shared" si="43"/>
        <v>0.2649738</v>
      </c>
      <c r="BQ250" s="21">
        <f>IF(VLOOKUP($R250,武学奇术!$A:$ZZ,22,FALSE)=1,0,(1-$BJ250))*(1-$BM250)</f>
        <v>0.09749355</v>
      </c>
      <c r="BR250" s="21" cm="1">
        <f t="array" ref="BR250">SUM(_xlfn.XLOOKUP(S250:AG250,增益!$A:$A,增益!$W:$W,0))+$I$5</f>
        <v>0.06</v>
      </c>
    </row>
    <row r="251" spans="11:70">
      <c r="K251" s="24">
        <f>$L251*VLOOKUP($R251,武学奇术!$A:$ZZ,31,FALSE)</f>
        <v>5359.58140989781</v>
      </c>
      <c r="L251" s="24">
        <f t="shared" si="33"/>
        <v>8932.63568316301</v>
      </c>
      <c r="M251" s="24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BL251*$Q251*(1+IF(VLOOKUP($R251,武学奇术!$A:$ZZ,30,FALSE)="流血",$B$21,0))*(1+$BR251)</f>
        <v>7305.37310780273</v>
      </c>
      <c r="N251" s="24">
        <f>(($AP251*$AI251+$AJ251)*(1+$AQ251)*(1+$AR251)+($AU251*IF($G$1="鸣金",$AK251,$AI251)+IF($G$1="鸣金",$AL251*1.5,0))*(1+$AV251)*(1+$AW251)+($AY251*IF($G$1="裂石",$AK251,$AI251)+IF($G$1="裂石",$AL251*1.5,0))*(1+$AZ251)*(1+$BA251)+($BC251*IF($G$1="牵丝",$AK251,$AI251)+IF($G$1="牵丝",$AL251*1.5,0))*(1+$BD251)*(1+$BE251)+($BG251*IF($G$1="破竹",$AK251,$AI251)+IF($G$1="破竹",$AL251*1.5,0))*(1+$BH251)*(1+$BI251))*(1+$AM251)*$BN251*$Q251*(1+IF(VLOOKUP($R251,武学奇术!$A:$ZZ,30,FALSE)="流血",$B$21,0))*(1+$BR251)</f>
        <v>13472.6450021477</v>
      </c>
      <c r="O251" s="24">
        <f>((($AO251+$AP251)/2*$AI251+$AJ251)*(1+$AQ251)*(1+$AR251)+(($AT251+$AU251)/2*IF($G$1="鸣金",$AK251,$AI251)+IF($G$1="鸣金",$AL251*1.5,0))*(1+$AV251)*(1+$AW251)+(($AX251+$AY251)/2*IF($G$1="裂石",$AK251,$AI251)+IF($G$1="裂石",$AL251*1.5,0))*(1+$AZ251)*(1+$BA251)+(($BB251+$BC251)/2*IF($G$1="牵丝",$AK251,$AI251)+IF($G$1="牵丝",$AL251*1.5,0))*(1+$BD251)*(1+$BE251)+(($BF251+$BG251)/2*IF($G$1="破竹",$AK251,$AI251)+IF($G$1="破竹",$AL251*1.5,0))*(1+$BH251)*(1+$BI251))*(1+$AM251)*$Q251*(1+IF(VLOOKUP($R251,武学奇术!$A:$ZZ,30,FALSE)="流血",$B$21,0))*(1+$BR251)</f>
        <v>4870.24873853515</v>
      </c>
      <c r="P251" s="24">
        <f>((($AO251*$AI251+$AJ251)*(1+$AQ251)*(1+$AR251)+($AT251*IF($G$1="鸣金",$AK251,$AI251)+IF($G$1="鸣金",$AL251*1.5,0))*(1+$AV251)*(1+$AW251)+($AX251*IF($G$1="裂石",$AK251,$AI251)+IF($G$1="裂石",$AL251*1.5,0))*(1+$AZ251)*(1+$BA251)+($BB251*IF($G$1="牵丝",$AK251,$AI251)+IF($G$1="牵丝",$AL251*1.5,0))*(1+$BD251)*(1+$BE251)+($BF251*IF($G$1="破竹",$AK251,$AI251)+IF($G$1="破竹",$AL251*1.5,0))*(1+$BH251)*(1+$BI251))*(1+$AM251))*$Q251*(1+IF(VLOOKUP($R251,武学奇术!$A:$ZZ,30,FALSE)="流血",$B$21,0))*(1+$BR251)</f>
        <v>2180.0906296249</v>
      </c>
      <c r="Q251" s="31">
        <v>1</v>
      </c>
      <c r="R251" s="32" t="s">
        <v>198</v>
      </c>
      <c r="S251" s="32" t="s">
        <v>87</v>
      </c>
      <c r="T251" s="32" t="s">
        <v>96</v>
      </c>
      <c r="U251" s="32" t="s">
        <v>97</v>
      </c>
      <c r="V251" s="32" t="s">
        <v>73</v>
      </c>
      <c r="W251" s="32" t="s">
        <v>73</v>
      </c>
      <c r="X251" s="32" t="s">
        <v>127</v>
      </c>
      <c r="Y251" s="32" t="s">
        <v>73</v>
      </c>
      <c r="Z251" s="32" t="s">
        <v>73</v>
      </c>
      <c r="AA251" s="32" t="s">
        <v>81</v>
      </c>
      <c r="AB251" s="32" t="s">
        <v>75</v>
      </c>
      <c r="AC251" s="32" t="s">
        <v>76</v>
      </c>
      <c r="AD251" s="32" t="s">
        <v>82</v>
      </c>
      <c r="AE251" s="32" t="s">
        <v>90</v>
      </c>
      <c r="AF251" s="32" t="s">
        <v>73</v>
      </c>
      <c r="AG251" s="32" t="s">
        <v>178</v>
      </c>
      <c r="AH251" t="str">
        <f>VLOOKUP($R251,武学奇术!$A:$ZZ,25,FALSE)</f>
        <v>剑</v>
      </c>
      <c r="AI251" s="21">
        <f>VLOOKUP($R251,武学奇术!$A:$ZZ,26,FALSE)</f>
        <v>0.17325</v>
      </c>
      <c r="AJ251" s="22">
        <f>VLOOKUP($R251,武学奇术!$A:$ZZ,27,FALSE)*(1+IF(OR($AH251=$F$4,$AH251=$F$5),$B$22,0))</f>
        <v>0</v>
      </c>
      <c r="AK251" s="21">
        <f>VLOOKUP($R251,武学奇术!$A:$ZZ,28,FALSE)</f>
        <v>0.259875</v>
      </c>
      <c r="AL251" s="22">
        <f>VLOOKUP($R251,武学奇术!$A:$ZZ,29,FALSE)*(1+IF(OR($AH251=$F$4,$AH251=$F$5),$B$22,0))</f>
        <v>0</v>
      </c>
      <c r="AM251" s="21" cm="1">
        <f t="array" ref="AM251">$G$3+IFERROR(VLOOKUP($AH251,$F$4:$G$7,2,FALSE),0)+VLOOKUP($R251,武学奇术!$A:$ZZ,2,FALSE)+SUM(_xlfn.XLOOKUP($S251:$AG251,增益!$A:$A,增益!$B:$B,0))</f>
        <v>1.4791</v>
      </c>
      <c r="AN251" s="21" cm="1">
        <f t="array" ref="AN251">VLOOKUP($R251,武学奇术!$A:$ZZ,5,FALSE)+SUM(_xlfn.XLOOKUP($S251:$AG251,增益!$A:$A,增益!$E:$E,0))</f>
        <v>0</v>
      </c>
      <c r="AO251" cm="1">
        <f t="array" ref="AO251">$D$10*(1+$AN251)+VLOOKUP($R251,武学奇术!$A:$ZZ,3,FALSE)+SUM(_xlfn.XLOOKUP($S251:$AG251,增益!$A:$A,增益!$C:$C,0))-$I$2</f>
        <v>1794.28</v>
      </c>
      <c r="AP251" cm="1">
        <f t="array" ref="AP251">$E$10*(1+$AN251)+VLOOKUP($R251,武学奇术!$A:$ZZ,4,FALSE)+SUM(_xlfn.XLOOKUP($S251:$AG251,增益!$A:$A,增益!$D:$D,0))-$I$2</f>
        <v>7726.36</v>
      </c>
      <c r="AQ251" s="26" cm="1">
        <f t="array" ref="AQ251">IF($F$10-$I$3+VLOOKUP($R251,武学奇术!$A:$ZZ,6,FALSE)+SUM(_xlfn.XLOOKUP(S251:AG251,增益!$A:$A,增益!$F:$F,0))&gt;0,($F$10-$I$3+VLOOKUP($R251,武学奇术!$A:$ZZ,6,FALSE)+SUM(_xlfn.XLOOKUP(S251:AG251,增益!$A:$A,增益!$F:$F,0)))/200,($F$10-$I$3+VLOOKUP($R251,武学奇术!$A:$ZZ,6,FALSE)+SUM(_xlfn.XLOOKUP(S251:AG251,增益!$A:$A,增益!$F:$F,0)))/100)</f>
        <v>0.319</v>
      </c>
      <c r="AR251" s="26" cm="1">
        <f t="array" ref="AR251">$G$10+VLOOKUP($R251,武学奇术!$A:$ZZ,7,FALSE)+SUM(_xlfn.XLOOKUP(S251:AG251,增益!$A:$A,增益!$G:$G,0))</f>
        <v>0</v>
      </c>
      <c r="AS251" s="21" cm="1">
        <f t="array" ref="AS251">VLOOKUP($R251,武学奇术!$A:$ZZ,8,FALSE)+SUM(_xlfn.XLOOKUP(S251:AG251,增益!$A:$A,增益!$H:$H,0))</f>
        <v>0</v>
      </c>
      <c r="AT251">
        <f t="shared" si="34"/>
        <v>680.02</v>
      </c>
      <c r="AU251">
        <f t="shared" si="35"/>
        <v>1288.54</v>
      </c>
      <c r="AV251" s="26" cm="1">
        <f t="array" ref="AV251">IF($F$11-$I$4+VLOOKUP($R251,武学奇术!$A:$ZZ,9,FALSE)+SUM(_xlfn.XLOOKUP(S251:AG251,增益!$A:$A,增益!$I:$I,0))&gt;0,($F$11-$I$4+VLOOKUP($R251,武学奇术!$A:$ZZ,9,FALSE)+SUM(_xlfn.XLOOKUP(S251:AG251,增益!$A:$A,增益!$I:$I,0)))/200,($F$11-$I$4+VLOOKUP($R251,武学奇术!$A:$ZZ,9,FALSE)+SUM(_xlfn.XLOOKUP(S251:AG251,增益!$A:$A,增益!$I:$I,0)))/100)</f>
        <v>0.075</v>
      </c>
      <c r="AW251" s="26" cm="1">
        <f t="array" ref="AW251">$G$11+VLOOKUP($R251,武学奇术!$A:$ZZ,10,FALSE)+SUM(_xlfn.XLOOKUP(S251:AG251,增益!$A:$A,增益!$J:$J,0))</f>
        <v>0.15</v>
      </c>
      <c r="AX251">
        <f t="shared" si="36"/>
        <v>0</v>
      </c>
      <c r="AY251">
        <f t="shared" si="37"/>
        <v>0</v>
      </c>
      <c r="AZ251" s="26" cm="1">
        <f t="array" ref="AZ251">IF($F$12-$I$4+VLOOKUP($R251,武学奇术!$A:$ZZ,11,FALSE)+SUM(_xlfn.XLOOKUP(S251:AG251,增益!$A:$A,增益!$K:$K,0))&gt;0,($F$12-$I$4+VLOOKUP($R251,武学奇术!$A:$ZZ,11,FALSE)+SUM(_xlfn.XLOOKUP(S251:AG251,增益!$A:$A,增益!$K:$K,0)))/200,($F$12-$I$4+VLOOKUP($R251,武学奇术!$A:$ZZ,11,FALSE)+SUM(_xlfn.XLOOKUP(S251:AG251,增益!$A:$A,增益!$K:$K,0)))/100)</f>
        <v>-0.3</v>
      </c>
      <c r="BA251" s="26" cm="1">
        <f t="array" ref="BA251">$G$12+VLOOKUP($R251,武学奇术!$A:$ZZ,12,FALSE)+SUM(_xlfn.XLOOKUP(S251:AG251,增益!$A:$A,增益!$L:$L,0))</f>
        <v>0</v>
      </c>
      <c r="BB251">
        <f t="shared" si="38"/>
        <v>0</v>
      </c>
      <c r="BC251">
        <f t="shared" si="39"/>
        <v>0</v>
      </c>
      <c r="BD251" s="26" cm="1">
        <f t="array" ref="BD251">IF($F$13-$I$4+VLOOKUP($R251,武学奇术!$A:$ZZ,13,FALSE)+SUM(_xlfn.XLOOKUP(S251:AG251,增益!$A:$A,增益!$M:$M,0))&gt;0,($F$13-$I$4+VLOOKUP($R251,武学奇术!$A:$ZZ,13,FALSE)+SUM(_xlfn.XLOOKUP(S251:AG251,增益!$A:$A,增益!$K:$K,0)))/200,($F$13-$I$4+VLOOKUP($R251,武学奇术!$A:$ZZ,13,FALSE)+SUM(_xlfn.XLOOKUP(S251:AG251,增益!$A:$A,增益!$M:$M,0)))/100)</f>
        <v>-0.3</v>
      </c>
      <c r="BE251" s="26" cm="1">
        <f t="array" ref="BE251">$G$13+VLOOKUP($R251,武学奇术!$A:$ZZ,14,FALSE)+SUM(_xlfn.XLOOKUP(S251:AG251,增益!$A:$A,增益!$N:$N,0))</f>
        <v>0</v>
      </c>
      <c r="BF251">
        <f t="shared" si="40"/>
        <v>0</v>
      </c>
      <c r="BG251">
        <f t="shared" si="41"/>
        <v>0</v>
      </c>
      <c r="BH251" s="26" cm="1">
        <f t="array" ref="BH251">IF($F$14-$I$4+VLOOKUP($R251,武学奇术!$A:$ZZ,15,FALSE)+SUM(_xlfn.XLOOKUP(S251:AG251,增益!$A:$A,增益!$O:$O,0))&gt;0,($F$14-$I$4+VLOOKUP($R251,武学奇术!$A:$ZZ,15,FALSE)+SUM(_xlfn.XLOOKUP(S251:AG251,增益!$A:$A,增益!$O:$O,0)))/200,($F$14-$I$4+VLOOKUP($R251,武学奇术!$A:$ZZ,15,FALSE)+SUM(_xlfn.XLOOKUP(S251:AG251,增益!$A:$A,增益!$O:$O,0)))/100)</f>
        <v>-0.3</v>
      </c>
      <c r="BI251" s="26" cm="1">
        <f t="array" ref="BI251">$G$14+VLOOKUP($R251,武学奇术!$A:$ZZ,16,FALSE)+SUM(_xlfn.XLOOKUP(S251:AG251,增益!$A:$A,增益!$P:$P,0))</f>
        <v>0</v>
      </c>
      <c r="BJ251" s="21">
        <f>MIN(IF(VLOOKUP($R251,武学奇术!$A:$ZZ,23,FALSE)=1,100%,$B$8),100%)</f>
        <v>0.8229</v>
      </c>
      <c r="BK251" s="21" cm="1">
        <f t="array" ref="BK251">IF(VLOOKUP($R251,武学奇术!$A:$ZZ,23,FALSE)=1,100%,MIN(80%,$B$9+VLOOKUP($R251,武学奇术!$A:$ZZ,17,FALSE)+SUM(_xlfn.XLOOKUP(S251:AG251,增益!$A:$A,增益!$Q:$Q,0)))+$B$11+SUM(_xlfn.XLOOKUP(S251:AG251,增益!$A:$A,增益!$U:$U,0)))*IF(VLOOKUP($R251,武学奇术!$A:$ZZ,24,FALSE)=1,0,1)</f>
        <v>0.2285</v>
      </c>
      <c r="BL251" s="21" cm="1">
        <f t="array" ref="BL251">1+$B$13+VLOOKUP($R251,武学奇术!$A:$ZZ,18,FALSE)+SUM(_xlfn.XLOOKUP(S251:AG251,增益!$A:$A,增益!$R:$R,0))</f>
        <v>1.5</v>
      </c>
      <c r="BM251" s="21" cm="1">
        <f t="array" ref="BM251">IF(VLOOKUP($R251,武学奇术!$A:$ZZ,24,FALSE)=1,100%,MIN(40%,$B$10+VLOOKUP($R251,武学奇术!$A:$ZZ,19,FALSE)+SUM(_xlfn.XLOOKUP(S251:AG251,增益!$A:$A,增益!$S:$S,0)))+$B$12+SUM(_xlfn.XLOOKUP(S251:AG251,增益!$A:$A,增益!$V:$V,0)))*IF(VLOOKUP($R251,武学奇术!$A:$ZZ,23,FALSE)=1,0,1)</f>
        <v>0.4495</v>
      </c>
      <c r="BN251" s="21" cm="1">
        <f t="array" ref="BN251">1+$B$14+VLOOKUP($R251,武学奇术!$A:$ZZ,20,FALSE)+SUM(_xlfn.XLOOKUP(S251:AG251,增益!$A:$A,增益!$T:$T,0))</f>
        <v>1.782</v>
      </c>
      <c r="BO251" s="21">
        <f t="shared" si="42"/>
        <v>0.18803265</v>
      </c>
      <c r="BP251" s="21">
        <f t="shared" si="43"/>
        <v>0.2649738</v>
      </c>
      <c r="BQ251" s="21">
        <f>IF(VLOOKUP($R251,武学奇术!$A:$ZZ,22,FALSE)=1,0,(1-$BJ251))*(1-$BM251)</f>
        <v>0.09749355</v>
      </c>
      <c r="BR251" s="21" cm="1">
        <f t="array" ref="BR251">SUM(_xlfn.XLOOKUP(S251:AG251,增益!$A:$A,增益!$W:$W,0))+$I$5</f>
        <v>0.06</v>
      </c>
    </row>
    <row r="252" spans="11:70">
      <c r="K252" s="24">
        <f>$L252*VLOOKUP($R252,武学奇术!$A:$ZZ,31,FALSE)</f>
        <v>5359.58140989781</v>
      </c>
      <c r="L252" s="24">
        <f t="shared" si="33"/>
        <v>8932.63568316301</v>
      </c>
      <c r="M252" s="24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BL252*$Q252*(1+IF(VLOOKUP($R252,武学奇术!$A:$ZZ,30,FALSE)="流血",$B$21,0))*(1+$BR252)</f>
        <v>7305.37310780273</v>
      </c>
      <c r="N252" s="24">
        <f>(($AP252*$AI252+$AJ252)*(1+$AQ252)*(1+$AR252)+($AU252*IF($G$1="鸣金",$AK252,$AI252)+IF($G$1="鸣金",$AL252*1.5,0))*(1+$AV252)*(1+$AW252)+($AY252*IF($G$1="裂石",$AK252,$AI252)+IF($G$1="裂石",$AL252*1.5,0))*(1+$AZ252)*(1+$BA252)+($BC252*IF($G$1="牵丝",$AK252,$AI252)+IF($G$1="牵丝",$AL252*1.5,0))*(1+$BD252)*(1+$BE252)+($BG252*IF($G$1="破竹",$AK252,$AI252)+IF($G$1="破竹",$AL252*1.5,0))*(1+$BH252)*(1+$BI252))*(1+$AM252)*$BN252*$Q252*(1+IF(VLOOKUP($R252,武学奇术!$A:$ZZ,30,FALSE)="流血",$B$21,0))*(1+$BR252)</f>
        <v>13472.6450021477</v>
      </c>
      <c r="O252" s="24">
        <f>((($AO252+$AP252)/2*$AI252+$AJ252)*(1+$AQ252)*(1+$AR252)+(($AT252+$AU252)/2*IF($G$1="鸣金",$AK252,$AI252)+IF($G$1="鸣金",$AL252*1.5,0))*(1+$AV252)*(1+$AW252)+(($AX252+$AY252)/2*IF($G$1="裂石",$AK252,$AI252)+IF($G$1="裂石",$AL252*1.5,0))*(1+$AZ252)*(1+$BA252)+(($BB252+$BC252)/2*IF($G$1="牵丝",$AK252,$AI252)+IF($G$1="牵丝",$AL252*1.5,0))*(1+$BD252)*(1+$BE252)+(($BF252+$BG252)/2*IF($G$1="破竹",$AK252,$AI252)+IF($G$1="破竹",$AL252*1.5,0))*(1+$BH252)*(1+$BI252))*(1+$AM252)*$Q252*(1+IF(VLOOKUP($R252,武学奇术!$A:$ZZ,30,FALSE)="流血",$B$21,0))*(1+$BR252)</f>
        <v>4870.24873853515</v>
      </c>
      <c r="P252" s="24">
        <f>((($AO252*$AI252+$AJ252)*(1+$AQ252)*(1+$AR252)+($AT252*IF($G$1="鸣金",$AK252,$AI252)+IF($G$1="鸣金",$AL252*1.5,0))*(1+$AV252)*(1+$AW252)+($AX252*IF($G$1="裂石",$AK252,$AI252)+IF($G$1="裂石",$AL252*1.5,0))*(1+$AZ252)*(1+$BA252)+($BB252*IF($G$1="牵丝",$AK252,$AI252)+IF($G$1="牵丝",$AL252*1.5,0))*(1+$BD252)*(1+$BE252)+($BF252*IF($G$1="破竹",$AK252,$AI252)+IF($G$1="破竹",$AL252*1.5,0))*(1+$BH252)*(1+$BI252))*(1+$AM252))*$Q252*(1+IF(VLOOKUP($R252,武学奇术!$A:$ZZ,30,FALSE)="流血",$B$21,0))*(1+$BR252)</f>
        <v>2180.0906296249</v>
      </c>
      <c r="Q252" s="31">
        <v>1</v>
      </c>
      <c r="R252" s="32" t="s">
        <v>198</v>
      </c>
      <c r="S252" s="32" t="s">
        <v>87</v>
      </c>
      <c r="T252" s="32" t="s">
        <v>96</v>
      </c>
      <c r="U252" s="32" t="s">
        <v>97</v>
      </c>
      <c r="V252" s="32" t="s">
        <v>73</v>
      </c>
      <c r="W252" s="32" t="s">
        <v>73</v>
      </c>
      <c r="X252" s="32" t="s">
        <v>127</v>
      </c>
      <c r="Y252" s="32" t="s">
        <v>73</v>
      </c>
      <c r="Z252" s="32" t="s">
        <v>73</v>
      </c>
      <c r="AA252" s="32" t="s">
        <v>81</v>
      </c>
      <c r="AB252" s="32" t="s">
        <v>75</v>
      </c>
      <c r="AC252" s="32" t="s">
        <v>76</v>
      </c>
      <c r="AD252" s="32" t="s">
        <v>82</v>
      </c>
      <c r="AE252" s="32" t="s">
        <v>90</v>
      </c>
      <c r="AF252" s="32" t="s">
        <v>73</v>
      </c>
      <c r="AG252" s="32" t="s">
        <v>178</v>
      </c>
      <c r="AH252" t="str">
        <f>VLOOKUP($R252,武学奇术!$A:$ZZ,25,FALSE)</f>
        <v>剑</v>
      </c>
      <c r="AI252" s="21">
        <f>VLOOKUP($R252,武学奇术!$A:$ZZ,26,FALSE)</f>
        <v>0.17325</v>
      </c>
      <c r="AJ252" s="22">
        <f>VLOOKUP($R252,武学奇术!$A:$ZZ,27,FALSE)*(1+IF(OR($AH252=$F$4,$AH252=$F$5),$B$22,0))</f>
        <v>0</v>
      </c>
      <c r="AK252" s="21">
        <f>VLOOKUP($R252,武学奇术!$A:$ZZ,28,FALSE)</f>
        <v>0.259875</v>
      </c>
      <c r="AL252" s="22">
        <f>VLOOKUP($R252,武学奇术!$A:$ZZ,29,FALSE)*(1+IF(OR($AH252=$F$4,$AH252=$F$5),$B$22,0))</f>
        <v>0</v>
      </c>
      <c r="AM252" s="21" cm="1">
        <f t="array" ref="AM252">$G$3+IFERROR(VLOOKUP($AH252,$F$4:$G$7,2,FALSE),0)+VLOOKUP($R252,武学奇术!$A:$ZZ,2,FALSE)+SUM(_xlfn.XLOOKUP($S252:$AG252,增益!$A:$A,增益!$B:$B,0))</f>
        <v>1.4791</v>
      </c>
      <c r="AN252" s="21" cm="1">
        <f t="array" ref="AN252">VLOOKUP($R252,武学奇术!$A:$ZZ,5,FALSE)+SUM(_xlfn.XLOOKUP($S252:$AG252,增益!$A:$A,增益!$E:$E,0))</f>
        <v>0</v>
      </c>
      <c r="AO252" cm="1">
        <f t="array" ref="AO252">$D$10*(1+$AN252)+VLOOKUP($R252,武学奇术!$A:$ZZ,3,FALSE)+SUM(_xlfn.XLOOKUP($S252:$AG252,增益!$A:$A,增益!$C:$C,0))-$I$2</f>
        <v>1794.28</v>
      </c>
      <c r="AP252" cm="1">
        <f t="array" ref="AP252">$E$10*(1+$AN252)+VLOOKUP($R252,武学奇术!$A:$ZZ,4,FALSE)+SUM(_xlfn.XLOOKUP($S252:$AG252,增益!$A:$A,增益!$D:$D,0))-$I$2</f>
        <v>7726.36</v>
      </c>
      <c r="AQ252" s="26" cm="1">
        <f t="array" ref="AQ252">IF($F$10-$I$3+VLOOKUP($R252,武学奇术!$A:$ZZ,6,FALSE)+SUM(_xlfn.XLOOKUP(S252:AG252,增益!$A:$A,增益!$F:$F,0))&gt;0,($F$10-$I$3+VLOOKUP($R252,武学奇术!$A:$ZZ,6,FALSE)+SUM(_xlfn.XLOOKUP(S252:AG252,增益!$A:$A,增益!$F:$F,0)))/200,($F$10-$I$3+VLOOKUP($R252,武学奇术!$A:$ZZ,6,FALSE)+SUM(_xlfn.XLOOKUP(S252:AG252,增益!$A:$A,增益!$F:$F,0)))/100)</f>
        <v>0.319</v>
      </c>
      <c r="AR252" s="26" cm="1">
        <f t="array" ref="AR252">$G$10+VLOOKUP($R252,武学奇术!$A:$ZZ,7,FALSE)+SUM(_xlfn.XLOOKUP(S252:AG252,增益!$A:$A,增益!$G:$G,0))</f>
        <v>0</v>
      </c>
      <c r="AS252" s="21" cm="1">
        <f t="array" ref="AS252">VLOOKUP($R252,武学奇术!$A:$ZZ,8,FALSE)+SUM(_xlfn.XLOOKUP(S252:AG252,增益!$A:$A,增益!$H:$H,0))</f>
        <v>0</v>
      </c>
      <c r="AT252">
        <f t="shared" si="34"/>
        <v>680.02</v>
      </c>
      <c r="AU252">
        <f t="shared" si="35"/>
        <v>1288.54</v>
      </c>
      <c r="AV252" s="26" cm="1">
        <f t="array" ref="AV252">IF($F$11-$I$4+VLOOKUP($R252,武学奇术!$A:$ZZ,9,FALSE)+SUM(_xlfn.XLOOKUP(S252:AG252,增益!$A:$A,增益!$I:$I,0))&gt;0,($F$11-$I$4+VLOOKUP($R252,武学奇术!$A:$ZZ,9,FALSE)+SUM(_xlfn.XLOOKUP(S252:AG252,增益!$A:$A,增益!$I:$I,0)))/200,($F$11-$I$4+VLOOKUP($R252,武学奇术!$A:$ZZ,9,FALSE)+SUM(_xlfn.XLOOKUP(S252:AG252,增益!$A:$A,增益!$I:$I,0)))/100)</f>
        <v>0.075</v>
      </c>
      <c r="AW252" s="26" cm="1">
        <f t="array" ref="AW252">$G$11+VLOOKUP($R252,武学奇术!$A:$ZZ,10,FALSE)+SUM(_xlfn.XLOOKUP(S252:AG252,增益!$A:$A,增益!$J:$J,0))</f>
        <v>0.15</v>
      </c>
      <c r="AX252">
        <f t="shared" si="36"/>
        <v>0</v>
      </c>
      <c r="AY252">
        <f t="shared" si="37"/>
        <v>0</v>
      </c>
      <c r="AZ252" s="26" cm="1">
        <f t="array" ref="AZ252">IF($F$12-$I$4+VLOOKUP($R252,武学奇术!$A:$ZZ,11,FALSE)+SUM(_xlfn.XLOOKUP(S252:AG252,增益!$A:$A,增益!$K:$K,0))&gt;0,($F$12-$I$4+VLOOKUP($R252,武学奇术!$A:$ZZ,11,FALSE)+SUM(_xlfn.XLOOKUP(S252:AG252,增益!$A:$A,增益!$K:$K,0)))/200,($F$12-$I$4+VLOOKUP($R252,武学奇术!$A:$ZZ,11,FALSE)+SUM(_xlfn.XLOOKUP(S252:AG252,增益!$A:$A,增益!$K:$K,0)))/100)</f>
        <v>-0.3</v>
      </c>
      <c r="BA252" s="26" cm="1">
        <f t="array" ref="BA252">$G$12+VLOOKUP($R252,武学奇术!$A:$ZZ,12,FALSE)+SUM(_xlfn.XLOOKUP(S252:AG252,增益!$A:$A,增益!$L:$L,0))</f>
        <v>0</v>
      </c>
      <c r="BB252">
        <f t="shared" si="38"/>
        <v>0</v>
      </c>
      <c r="BC252">
        <f t="shared" si="39"/>
        <v>0</v>
      </c>
      <c r="BD252" s="26" cm="1">
        <f t="array" ref="BD252">IF($F$13-$I$4+VLOOKUP($R252,武学奇术!$A:$ZZ,13,FALSE)+SUM(_xlfn.XLOOKUP(S252:AG252,增益!$A:$A,增益!$M:$M,0))&gt;0,($F$13-$I$4+VLOOKUP($R252,武学奇术!$A:$ZZ,13,FALSE)+SUM(_xlfn.XLOOKUP(S252:AG252,增益!$A:$A,增益!$K:$K,0)))/200,($F$13-$I$4+VLOOKUP($R252,武学奇术!$A:$ZZ,13,FALSE)+SUM(_xlfn.XLOOKUP(S252:AG252,增益!$A:$A,增益!$M:$M,0)))/100)</f>
        <v>-0.3</v>
      </c>
      <c r="BE252" s="26" cm="1">
        <f t="array" ref="BE252">$G$13+VLOOKUP($R252,武学奇术!$A:$ZZ,14,FALSE)+SUM(_xlfn.XLOOKUP(S252:AG252,增益!$A:$A,增益!$N:$N,0))</f>
        <v>0</v>
      </c>
      <c r="BF252">
        <f t="shared" si="40"/>
        <v>0</v>
      </c>
      <c r="BG252">
        <f t="shared" si="41"/>
        <v>0</v>
      </c>
      <c r="BH252" s="26" cm="1">
        <f t="array" ref="BH252">IF($F$14-$I$4+VLOOKUP($R252,武学奇术!$A:$ZZ,15,FALSE)+SUM(_xlfn.XLOOKUP(S252:AG252,增益!$A:$A,增益!$O:$O,0))&gt;0,($F$14-$I$4+VLOOKUP($R252,武学奇术!$A:$ZZ,15,FALSE)+SUM(_xlfn.XLOOKUP(S252:AG252,增益!$A:$A,增益!$O:$O,0)))/200,($F$14-$I$4+VLOOKUP($R252,武学奇术!$A:$ZZ,15,FALSE)+SUM(_xlfn.XLOOKUP(S252:AG252,增益!$A:$A,增益!$O:$O,0)))/100)</f>
        <v>-0.3</v>
      </c>
      <c r="BI252" s="26" cm="1">
        <f t="array" ref="BI252">$G$14+VLOOKUP($R252,武学奇术!$A:$ZZ,16,FALSE)+SUM(_xlfn.XLOOKUP(S252:AG252,增益!$A:$A,增益!$P:$P,0))</f>
        <v>0</v>
      </c>
      <c r="BJ252" s="21">
        <f>MIN(IF(VLOOKUP($R252,武学奇术!$A:$ZZ,23,FALSE)=1,100%,$B$8),100%)</f>
        <v>0.8229</v>
      </c>
      <c r="BK252" s="21" cm="1">
        <f t="array" ref="BK252">IF(VLOOKUP($R252,武学奇术!$A:$ZZ,23,FALSE)=1,100%,MIN(80%,$B$9+VLOOKUP($R252,武学奇术!$A:$ZZ,17,FALSE)+SUM(_xlfn.XLOOKUP(S252:AG252,增益!$A:$A,增益!$Q:$Q,0)))+$B$11+SUM(_xlfn.XLOOKUP(S252:AG252,增益!$A:$A,增益!$U:$U,0)))*IF(VLOOKUP($R252,武学奇术!$A:$ZZ,24,FALSE)=1,0,1)</f>
        <v>0.2285</v>
      </c>
      <c r="BL252" s="21" cm="1">
        <f t="array" ref="BL252">1+$B$13+VLOOKUP($R252,武学奇术!$A:$ZZ,18,FALSE)+SUM(_xlfn.XLOOKUP(S252:AG252,增益!$A:$A,增益!$R:$R,0))</f>
        <v>1.5</v>
      </c>
      <c r="BM252" s="21" cm="1">
        <f t="array" ref="BM252">IF(VLOOKUP($R252,武学奇术!$A:$ZZ,24,FALSE)=1,100%,MIN(40%,$B$10+VLOOKUP($R252,武学奇术!$A:$ZZ,19,FALSE)+SUM(_xlfn.XLOOKUP(S252:AG252,增益!$A:$A,增益!$S:$S,0)))+$B$12+SUM(_xlfn.XLOOKUP(S252:AG252,增益!$A:$A,增益!$V:$V,0)))*IF(VLOOKUP($R252,武学奇术!$A:$ZZ,23,FALSE)=1,0,1)</f>
        <v>0.4495</v>
      </c>
      <c r="BN252" s="21" cm="1">
        <f t="array" ref="BN252">1+$B$14+VLOOKUP($R252,武学奇术!$A:$ZZ,20,FALSE)+SUM(_xlfn.XLOOKUP(S252:AG252,增益!$A:$A,增益!$T:$T,0))</f>
        <v>1.782</v>
      </c>
      <c r="BO252" s="21">
        <f t="shared" si="42"/>
        <v>0.18803265</v>
      </c>
      <c r="BP252" s="21">
        <f t="shared" si="43"/>
        <v>0.2649738</v>
      </c>
      <c r="BQ252" s="21">
        <f>IF(VLOOKUP($R252,武学奇术!$A:$ZZ,22,FALSE)=1,0,(1-$BJ252))*(1-$BM252)</f>
        <v>0.09749355</v>
      </c>
      <c r="BR252" s="21" cm="1">
        <f t="array" ref="BR252">SUM(_xlfn.XLOOKUP(S252:AG252,增益!$A:$A,增益!$W:$W,0))+$I$5</f>
        <v>0.06</v>
      </c>
    </row>
    <row r="253" spans="11:70">
      <c r="K253" s="24">
        <f>$L253*VLOOKUP($R253,武学奇术!$A:$ZZ,31,FALSE)</f>
        <v>0</v>
      </c>
      <c r="L253" s="24">
        <f t="shared" si="33"/>
        <v>0</v>
      </c>
      <c r="M253" s="24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BL253*$Q253*(1+IF(VLOOKUP($R253,武学奇术!$A:$ZZ,30,FALSE)="流血",$B$21,0))*(1+$BR253)</f>
        <v>0</v>
      </c>
      <c r="N253" s="24">
        <f>(($AP253*$AI253+$AJ253)*(1+$AQ253)*(1+$AR253)+($AU253*IF($G$1="鸣金",$AK253,$AI253)+IF($G$1="鸣金",$AL253*1.5,0))*(1+$AV253)*(1+$AW253)+($AY253*IF($G$1="裂石",$AK253,$AI253)+IF($G$1="裂石",$AL253*1.5,0))*(1+$AZ253)*(1+$BA253)+($BC253*IF($G$1="牵丝",$AK253,$AI253)+IF($G$1="牵丝",$AL253*1.5,0))*(1+$BD253)*(1+$BE253)+($BG253*IF($G$1="破竹",$AK253,$AI253)+IF($G$1="破竹",$AL253*1.5,0))*(1+$BH253)*(1+$BI253))*(1+$AM253)*$BN253*$Q253*(1+IF(VLOOKUP($R253,武学奇术!$A:$ZZ,30,FALSE)="流血",$B$21,0))*(1+$BR253)</f>
        <v>0</v>
      </c>
      <c r="O253" s="24">
        <f>((($AO253+$AP253)/2*$AI253+$AJ253)*(1+$AQ253)*(1+$AR253)+(($AT253+$AU253)/2*IF($G$1="鸣金",$AK253,$AI253)+IF($G$1="鸣金",$AL253*1.5,0))*(1+$AV253)*(1+$AW253)+(($AX253+$AY253)/2*IF($G$1="裂石",$AK253,$AI253)+IF($G$1="裂石",$AL253*1.5,0))*(1+$AZ253)*(1+$BA253)+(($BB253+$BC253)/2*IF($G$1="牵丝",$AK253,$AI253)+IF($G$1="牵丝",$AL253*1.5,0))*(1+$BD253)*(1+$BE253)+(($BF253+$BG253)/2*IF($G$1="破竹",$AK253,$AI253)+IF($G$1="破竹",$AL253*1.5,0))*(1+$BH253)*(1+$BI253))*(1+$AM253)*$Q253*(1+IF(VLOOKUP($R253,武学奇术!$A:$ZZ,30,FALSE)="流血",$B$21,0))*(1+$BR253)</f>
        <v>0</v>
      </c>
      <c r="P253" s="24">
        <f>((($AO253*$AI253+$AJ253)*(1+$AQ253)*(1+$AR253)+($AT253*IF($G$1="鸣金",$AK253,$AI253)+IF($G$1="鸣金",$AL253*1.5,0))*(1+$AV253)*(1+$AW253)+($AX253*IF($G$1="裂石",$AK253,$AI253)+IF($G$1="裂石",$AL253*1.5,0))*(1+$AZ253)*(1+$BA253)+($BB253*IF($G$1="牵丝",$AK253,$AI253)+IF($G$1="牵丝",$AL253*1.5,0))*(1+$BD253)*(1+$BE253)+($BF253*IF($G$1="破竹",$AK253,$AI253)+IF($G$1="破竹",$AL253*1.5,0))*(1+$BH253)*(1+$BI253))*(1+$AM253))*$Q253*(1+IF(VLOOKUP($R253,武学奇术!$A:$ZZ,30,FALSE)="流血",$B$21,0))*(1+$BR253)</f>
        <v>0</v>
      </c>
      <c r="Q253" s="31"/>
      <c r="R253" s="32" t="s">
        <v>73</v>
      </c>
      <c r="S253" s="32" t="s">
        <v>73</v>
      </c>
      <c r="T253" s="32" t="s">
        <v>73</v>
      </c>
      <c r="U253" s="32" t="s">
        <v>73</v>
      </c>
      <c r="V253" s="32" t="s">
        <v>73</v>
      </c>
      <c r="W253" s="32" t="s">
        <v>73</v>
      </c>
      <c r="X253" s="32" t="s">
        <v>73</v>
      </c>
      <c r="Y253" s="32" t="s">
        <v>73</v>
      </c>
      <c r="Z253" s="32" t="s">
        <v>73</v>
      </c>
      <c r="AA253" s="32" t="s">
        <v>73</v>
      </c>
      <c r="AB253" s="32" t="s">
        <v>73</v>
      </c>
      <c r="AC253" s="32" t="s">
        <v>73</v>
      </c>
      <c r="AD253" s="32" t="s">
        <v>73</v>
      </c>
      <c r="AE253" s="32" t="s">
        <v>73</v>
      </c>
      <c r="AF253" s="32" t="s">
        <v>73</v>
      </c>
      <c r="AG253" s="32" t="s">
        <v>73</v>
      </c>
      <c r="AH253" t="str">
        <f>VLOOKUP($R253,武学奇术!$A:$ZZ,25,FALSE)</f>
        <v>心法</v>
      </c>
      <c r="AI253" s="21">
        <f>VLOOKUP($R253,武学奇术!$A:$ZZ,26,FALSE)</f>
        <v>0</v>
      </c>
      <c r="AJ253" s="22">
        <f>VLOOKUP($R253,武学奇术!$A:$ZZ,27,FALSE)*(1+IF(OR($AH253=$F$4,$AH253=$F$5),$B$22,0))</f>
        <v>0</v>
      </c>
      <c r="AK253" s="21">
        <f>VLOOKUP($R253,武学奇术!$A:$ZZ,28,FALSE)</f>
        <v>0</v>
      </c>
      <c r="AL253" s="22">
        <f>VLOOKUP($R253,武学奇术!$A:$ZZ,29,FALSE)*(1+IF(OR($AH253=$F$4,$AH253=$F$5),$B$22,0))</f>
        <v>0</v>
      </c>
      <c r="AM253" s="21" cm="1">
        <f t="array" ref="AM253">$G$3+IFERROR(VLOOKUP($AH253,$F$4:$G$7,2,FALSE),0)+VLOOKUP($R253,武学奇术!$A:$ZZ,2,FALSE)+SUM(_xlfn.XLOOKUP($S253:$AG253,增益!$A:$A,增益!$B:$B,0))</f>
        <v>0.1042</v>
      </c>
      <c r="AN253" s="21" cm="1">
        <f t="array" ref="AN253">VLOOKUP($R253,武学奇术!$A:$ZZ,5,FALSE)+SUM(_xlfn.XLOOKUP($S253:$AG253,增益!$A:$A,增益!$E:$E,0))</f>
        <v>0</v>
      </c>
      <c r="AO253" cm="1">
        <f t="array" ref="AO253">$D$10*(1+$AN253)+VLOOKUP($R253,武学奇术!$A:$ZZ,3,FALSE)+SUM(_xlfn.XLOOKUP($S253:$AG253,增益!$A:$A,增益!$C:$C,0))-$I$2</f>
        <v>1794.28</v>
      </c>
      <c r="AP253" cm="1">
        <f t="array" ref="AP253">$E$10*(1+$AN253)+VLOOKUP($R253,武学奇术!$A:$ZZ,4,FALSE)+SUM(_xlfn.XLOOKUP($S253:$AG253,增益!$A:$A,增益!$D:$D,0))-$I$2</f>
        <v>7726.36</v>
      </c>
      <c r="AQ253" s="26" cm="1">
        <f t="array" ref="AQ253">IF($F$10-$I$3+VLOOKUP($R253,武学奇术!$A:$ZZ,6,FALSE)+SUM(_xlfn.XLOOKUP(S253:AG253,增益!$A:$A,增益!$F:$F,0))&gt;0,($F$10-$I$3+VLOOKUP($R253,武学奇术!$A:$ZZ,6,FALSE)+SUM(_xlfn.XLOOKUP(S253:AG253,增益!$A:$A,增益!$F:$F,0)))/200,($F$10-$I$3+VLOOKUP($R253,武学奇术!$A:$ZZ,6,FALSE)+SUM(_xlfn.XLOOKUP(S253:AG253,增益!$A:$A,增益!$F:$F,0)))/100)</f>
        <v>0.194</v>
      </c>
      <c r="AR253" s="26" cm="1">
        <f t="array" ref="AR253">$G$10+VLOOKUP($R253,武学奇术!$A:$ZZ,7,FALSE)+SUM(_xlfn.XLOOKUP(S253:AG253,增益!$A:$A,增益!$G:$G,0))</f>
        <v>0</v>
      </c>
      <c r="AS253" s="21" cm="1">
        <f t="array" ref="AS253">VLOOKUP($R253,武学奇术!$A:$ZZ,8,FALSE)+SUM(_xlfn.XLOOKUP(S253:AG253,增益!$A:$A,增益!$H:$H,0))</f>
        <v>0</v>
      </c>
      <c r="AT253">
        <f t="shared" si="34"/>
        <v>680.02</v>
      </c>
      <c r="AU253">
        <f t="shared" si="35"/>
        <v>1288.54</v>
      </c>
      <c r="AV253" s="26" cm="1">
        <f t="array" ref="AV253">IF($F$11-$I$4+VLOOKUP($R253,武学奇术!$A:$ZZ,9,FALSE)+SUM(_xlfn.XLOOKUP(S253:AG253,增益!$A:$A,增益!$I:$I,0))&gt;0,($F$11-$I$4+VLOOKUP($R253,武学奇术!$A:$ZZ,9,FALSE)+SUM(_xlfn.XLOOKUP(S253:AG253,增益!$A:$A,增益!$I:$I,0)))/200,($F$11-$I$4+VLOOKUP($R253,武学奇术!$A:$ZZ,9,FALSE)+SUM(_xlfn.XLOOKUP(S253:AG253,增益!$A:$A,增益!$I:$I,0)))/100)</f>
        <v>0</v>
      </c>
      <c r="AW253" s="26" cm="1">
        <f t="array" ref="AW253">$G$11+VLOOKUP($R253,武学奇术!$A:$ZZ,10,FALSE)+SUM(_xlfn.XLOOKUP(S253:AG253,增益!$A:$A,增益!$J:$J,0))</f>
        <v>0.15</v>
      </c>
      <c r="AX253">
        <f t="shared" si="36"/>
        <v>0</v>
      </c>
      <c r="AY253">
        <f t="shared" si="37"/>
        <v>0</v>
      </c>
      <c r="AZ253" s="26" cm="1">
        <f t="array" ref="AZ253">IF($F$12-$I$4+VLOOKUP($R253,武学奇术!$A:$ZZ,11,FALSE)+SUM(_xlfn.XLOOKUP(S253:AG253,增益!$A:$A,增益!$K:$K,0))&gt;0,($F$12-$I$4+VLOOKUP($R253,武学奇术!$A:$ZZ,11,FALSE)+SUM(_xlfn.XLOOKUP(S253:AG253,增益!$A:$A,增益!$K:$K,0)))/200,($F$12-$I$4+VLOOKUP($R253,武学奇术!$A:$ZZ,11,FALSE)+SUM(_xlfn.XLOOKUP(S253:AG253,增益!$A:$A,增益!$K:$K,0)))/100)</f>
        <v>-0.3</v>
      </c>
      <c r="BA253" s="26" cm="1">
        <f t="array" ref="BA253">$G$12+VLOOKUP($R253,武学奇术!$A:$ZZ,12,FALSE)+SUM(_xlfn.XLOOKUP(S253:AG253,增益!$A:$A,增益!$L:$L,0))</f>
        <v>0</v>
      </c>
      <c r="BB253">
        <f t="shared" si="38"/>
        <v>0</v>
      </c>
      <c r="BC253">
        <f t="shared" si="39"/>
        <v>0</v>
      </c>
      <c r="BD253" s="26" cm="1">
        <f t="array" ref="BD253">IF($F$13-$I$4+VLOOKUP($R253,武学奇术!$A:$ZZ,13,FALSE)+SUM(_xlfn.XLOOKUP(S253:AG253,增益!$A:$A,增益!$M:$M,0))&gt;0,($F$13-$I$4+VLOOKUP($R253,武学奇术!$A:$ZZ,13,FALSE)+SUM(_xlfn.XLOOKUP(S253:AG253,增益!$A:$A,增益!$K:$K,0)))/200,($F$13-$I$4+VLOOKUP($R253,武学奇术!$A:$ZZ,13,FALSE)+SUM(_xlfn.XLOOKUP(S253:AG253,增益!$A:$A,增益!$M:$M,0)))/100)</f>
        <v>-0.3</v>
      </c>
      <c r="BE253" s="26" cm="1">
        <f t="array" ref="BE253">$G$13+VLOOKUP($R253,武学奇术!$A:$ZZ,14,FALSE)+SUM(_xlfn.XLOOKUP(S253:AG253,增益!$A:$A,增益!$N:$N,0))</f>
        <v>0</v>
      </c>
      <c r="BF253">
        <f t="shared" si="40"/>
        <v>0</v>
      </c>
      <c r="BG253">
        <f t="shared" si="41"/>
        <v>0</v>
      </c>
      <c r="BH253" s="26" cm="1">
        <f t="array" ref="BH253">IF($F$14-$I$4+VLOOKUP($R253,武学奇术!$A:$ZZ,15,FALSE)+SUM(_xlfn.XLOOKUP(S253:AG253,增益!$A:$A,增益!$O:$O,0))&gt;0,($F$14-$I$4+VLOOKUP($R253,武学奇术!$A:$ZZ,15,FALSE)+SUM(_xlfn.XLOOKUP(S253:AG253,增益!$A:$A,增益!$O:$O,0)))/200,($F$14-$I$4+VLOOKUP($R253,武学奇术!$A:$ZZ,15,FALSE)+SUM(_xlfn.XLOOKUP(S253:AG253,增益!$A:$A,增益!$O:$O,0)))/100)</f>
        <v>-0.3</v>
      </c>
      <c r="BI253" s="26" cm="1">
        <f t="array" ref="BI253">$G$14+VLOOKUP($R253,武学奇术!$A:$ZZ,16,FALSE)+SUM(_xlfn.XLOOKUP(S253:AG253,增益!$A:$A,增益!$P:$P,0))</f>
        <v>0</v>
      </c>
      <c r="BJ253" s="21">
        <f>MIN(IF(VLOOKUP($R253,武学奇术!$A:$ZZ,23,FALSE)=1,100%,$B$8),100%)</f>
        <v>0.8229</v>
      </c>
      <c r="BK253" s="21" cm="1">
        <f t="array" ref="BK253">IF(VLOOKUP($R253,武学奇术!$A:$ZZ,23,FALSE)=1,100%,MIN(80%,$B$9+VLOOKUP($R253,武学奇术!$A:$ZZ,17,FALSE)+SUM(_xlfn.XLOOKUP(S253:AG253,增益!$A:$A,增益!$Q:$Q,0)))+$B$11+SUM(_xlfn.XLOOKUP(S253:AG253,增益!$A:$A,增益!$U:$U,0)))*IF(VLOOKUP($R253,武学奇术!$A:$ZZ,24,FALSE)=1,0,1)</f>
        <v>0.2285</v>
      </c>
      <c r="BL253" s="21" cm="1">
        <f t="array" ref="BL253">1+$B$13+VLOOKUP($R253,武学奇术!$A:$ZZ,18,FALSE)+SUM(_xlfn.XLOOKUP(S253:AG253,增益!$A:$A,增益!$R:$R,0))</f>
        <v>1.5</v>
      </c>
      <c r="BM253" s="21" cm="1">
        <f t="array" ref="BM253">IF(VLOOKUP($R253,武学奇术!$A:$ZZ,24,FALSE)=1,100%,MIN(40%,$B$10+VLOOKUP($R253,武学奇术!$A:$ZZ,19,FALSE)+SUM(_xlfn.XLOOKUP(S253:AG253,增益!$A:$A,增益!$S:$S,0)))+$B$12+SUM(_xlfn.XLOOKUP(S253:AG253,增益!$A:$A,增益!$V:$V,0)))*IF(VLOOKUP($R253,武学奇术!$A:$ZZ,23,FALSE)=1,0,1)</f>
        <v>0.4195</v>
      </c>
      <c r="BN253" s="21" cm="1">
        <f t="array" ref="BN253">1+$B$14+VLOOKUP($R253,武学奇术!$A:$ZZ,20,FALSE)+SUM(_xlfn.XLOOKUP(S253:AG253,增益!$A:$A,增益!$T:$T,0))</f>
        <v>1.402</v>
      </c>
      <c r="BO253" s="21">
        <f t="shared" si="42"/>
        <v>0.18803265</v>
      </c>
      <c r="BP253" s="21">
        <f t="shared" si="43"/>
        <v>0.2896608</v>
      </c>
      <c r="BQ253" s="21">
        <f>IF(VLOOKUP($R253,武学奇术!$A:$ZZ,22,FALSE)=1,0,(1-$BJ253))*(1-$BM253)</f>
        <v>0.10280655</v>
      </c>
      <c r="BR253" s="21" cm="1">
        <f t="array" ref="BR253">SUM(_xlfn.XLOOKUP(S253:AG253,增益!$A:$A,增益!$W:$W,0))+$I$5</f>
        <v>0.06</v>
      </c>
    </row>
    <row r="254" spans="11:70">
      <c r="K254" s="24">
        <f>$L254*VLOOKUP($R254,武学奇术!$A:$ZZ,31,FALSE)</f>
        <v>6654.77935377654</v>
      </c>
      <c r="L254" s="24">
        <f t="shared" si="33"/>
        <v>11091.2989229609</v>
      </c>
      <c r="M254" s="24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BL254*$Q254*(1+IF(VLOOKUP($R254,武学奇术!$A:$ZZ,30,FALSE)="流血",$B$21,0))*(1+$BR254)</f>
        <v>9070.79161810268</v>
      </c>
      <c r="N254" s="24">
        <f>(($AP254*$AI254+$AJ254)*(1+$AQ254)*(1+$AR254)+($AU254*IF($G$1="鸣金",$AK254,$AI254)+IF($G$1="鸣金",$AL254*1.5,0))*(1+$AV254)*(1+$AW254)+($AY254*IF($G$1="裂石",$AK254,$AI254)+IF($G$1="裂石",$AL254*1.5,0))*(1+$AZ254)*(1+$BA254)+($BC254*IF($G$1="牵丝",$AK254,$AI254)+IF($G$1="牵丝",$AL254*1.5,0))*(1+$BD254)*(1+$BE254)+($BG254*IF($G$1="破竹",$AK254,$AI254)+IF($G$1="破竹",$AL254*1.5,0))*(1+$BH254)*(1+$BI254))*(1+$AM254)*$BN254*$Q254*(1+IF(VLOOKUP($R254,武学奇术!$A:$ZZ,30,FALSE)="流血",$B$21,0))*(1+$BR254)</f>
        <v>16728.448164903</v>
      </c>
      <c r="O254" s="24">
        <f>((($AO254+$AP254)/2*$AI254+$AJ254)*(1+$AQ254)*(1+$AR254)+(($AT254+$AU254)/2*IF($G$1="鸣金",$AK254,$AI254)+IF($G$1="鸣金",$AL254*1.5,0))*(1+$AV254)*(1+$AW254)+(($AX254+$AY254)/2*IF($G$1="裂石",$AK254,$AI254)+IF($G$1="裂石",$AL254*1.5,0))*(1+$AZ254)*(1+$BA254)+(($BB254+$BC254)/2*IF($G$1="牵丝",$AK254,$AI254)+IF($G$1="牵丝",$AL254*1.5,0))*(1+$BD254)*(1+$BE254)+(($BF254+$BG254)/2*IF($G$1="破竹",$AK254,$AI254)+IF($G$1="破竹",$AL254*1.5,0))*(1+$BH254)*(1+$BI254))*(1+$AM254)*$Q254*(1+IF(VLOOKUP($R254,武学奇术!$A:$ZZ,30,FALSE)="流血",$B$21,0))*(1+$BR254)</f>
        <v>6047.19441206845</v>
      </c>
      <c r="P254" s="24">
        <f>((($AO254*$AI254+$AJ254)*(1+$AQ254)*(1+$AR254)+($AT254*IF($G$1="鸣金",$AK254,$AI254)+IF($G$1="鸣金",$AL254*1.5,0))*(1+$AV254)*(1+$AW254)+($AX254*IF($G$1="裂石",$AK254,$AI254)+IF($G$1="裂石",$AL254*1.5,0))*(1+$AZ254)*(1+$BA254)+($BB254*IF($G$1="牵丝",$AK254,$AI254)+IF($G$1="牵丝",$AL254*1.5,0))*(1+$BD254)*(1+$BE254)+($BF254*IF($G$1="破竹",$AK254,$AI254)+IF($G$1="破竹",$AL254*1.5,0))*(1+$BH254)*(1+$BI254))*(1+$AM254))*$Q254*(1+IF(VLOOKUP($R254,武学奇术!$A:$ZZ,30,FALSE)="流血",$B$21,0))*(1+$BR254)</f>
        <v>2706.93194147528</v>
      </c>
      <c r="Q254" s="31">
        <v>1</v>
      </c>
      <c r="R254" s="32" t="s">
        <v>199</v>
      </c>
      <c r="S254" s="32" t="s">
        <v>72</v>
      </c>
      <c r="T254" s="32" t="s">
        <v>96</v>
      </c>
      <c r="U254" s="32" t="s">
        <v>73</v>
      </c>
      <c r="V254" s="32" t="s">
        <v>73</v>
      </c>
      <c r="W254" s="32" t="s">
        <v>73</v>
      </c>
      <c r="X254" s="32" t="s">
        <v>127</v>
      </c>
      <c r="Y254" s="32" t="s">
        <v>73</v>
      </c>
      <c r="Z254" s="32" t="s">
        <v>73</v>
      </c>
      <c r="AA254" s="32" t="s">
        <v>73</v>
      </c>
      <c r="AB254" s="32" t="s">
        <v>75</v>
      </c>
      <c r="AC254" s="32" t="s">
        <v>76</v>
      </c>
      <c r="AD254" s="32" t="s">
        <v>82</v>
      </c>
      <c r="AE254" s="32" t="s">
        <v>73</v>
      </c>
      <c r="AF254" s="32" t="s">
        <v>73</v>
      </c>
      <c r="AG254" s="32" t="s">
        <v>178</v>
      </c>
      <c r="AH254" t="str">
        <f>VLOOKUP($R254,武学奇术!$A:$ZZ,25,FALSE)</f>
        <v>剑</v>
      </c>
      <c r="AI254" s="21">
        <f>VLOOKUP($R254,武学奇术!$A:$ZZ,26,FALSE)</f>
        <v>0.3465</v>
      </c>
      <c r="AJ254" s="22">
        <f>VLOOKUP($R254,武学奇术!$A:$ZZ,27,FALSE)*(1+IF(OR($AH254=$F$4,$AH254=$F$5),$B$22,0))</f>
        <v>0</v>
      </c>
      <c r="AK254" s="21">
        <f>VLOOKUP($R254,武学奇术!$A:$ZZ,28,FALSE)</f>
        <v>0.51975</v>
      </c>
      <c r="AL254" s="22">
        <f>VLOOKUP($R254,武学奇术!$A:$ZZ,29,FALSE)*(1+IF(OR($AH254=$F$4,$AH254=$F$5),$B$22,0))</f>
        <v>0</v>
      </c>
      <c r="AM254" s="21" cm="1">
        <f t="array" ref="AM254">$G$3+IFERROR(VLOOKUP($AH254,$F$4:$G$7,2,FALSE),0)+VLOOKUP($R254,武学奇术!$A:$ZZ,2,FALSE)+SUM(_xlfn.XLOOKUP($S254:$AG254,增益!$A:$A,增益!$B:$B,0))</f>
        <v>0.5391</v>
      </c>
      <c r="AN254" s="21" cm="1">
        <f t="array" ref="AN254">VLOOKUP($R254,武学奇术!$A:$ZZ,5,FALSE)+SUM(_xlfn.XLOOKUP($S254:$AG254,增益!$A:$A,增益!$E:$E,0))</f>
        <v>0</v>
      </c>
      <c r="AO254" cm="1">
        <f t="array" ref="AO254">$D$10*(1+$AN254)+VLOOKUP($R254,武学奇术!$A:$ZZ,3,FALSE)+SUM(_xlfn.XLOOKUP($S254:$AG254,增益!$A:$A,增益!$C:$C,0))-$I$2</f>
        <v>1794.28</v>
      </c>
      <c r="AP254" cm="1">
        <f t="array" ref="AP254">$E$10*(1+$AN254)+VLOOKUP($R254,武学奇术!$A:$ZZ,4,FALSE)+SUM(_xlfn.XLOOKUP($S254:$AG254,增益!$A:$A,增益!$D:$D,0))-$I$2</f>
        <v>7726.36</v>
      </c>
      <c r="AQ254" s="26" cm="1">
        <f t="array" ref="AQ254">IF($F$10-$I$3+VLOOKUP($R254,武学奇术!$A:$ZZ,6,FALSE)+SUM(_xlfn.XLOOKUP(S254:AG254,增益!$A:$A,增益!$F:$F,0))&gt;0,($F$10-$I$3+VLOOKUP($R254,武学奇术!$A:$ZZ,6,FALSE)+SUM(_xlfn.XLOOKUP(S254:AG254,增益!$A:$A,增益!$F:$F,0)))/200,($F$10-$I$3+VLOOKUP($R254,武学奇术!$A:$ZZ,6,FALSE)+SUM(_xlfn.XLOOKUP(S254:AG254,增益!$A:$A,增益!$F:$F,0)))/100)</f>
        <v>0.319</v>
      </c>
      <c r="AR254" s="26" cm="1">
        <f t="array" ref="AR254">$G$10+VLOOKUP($R254,武学奇术!$A:$ZZ,7,FALSE)+SUM(_xlfn.XLOOKUP(S254:AG254,增益!$A:$A,增益!$G:$G,0))</f>
        <v>0</v>
      </c>
      <c r="AS254" s="21" cm="1">
        <f t="array" ref="AS254">VLOOKUP($R254,武学奇术!$A:$ZZ,8,FALSE)+SUM(_xlfn.XLOOKUP(S254:AG254,增益!$A:$A,增益!$H:$H,0))</f>
        <v>0</v>
      </c>
      <c r="AT254">
        <f t="shared" si="34"/>
        <v>680.02</v>
      </c>
      <c r="AU254">
        <f t="shared" si="35"/>
        <v>1288.54</v>
      </c>
      <c r="AV254" s="26" cm="1">
        <f t="array" ref="AV254">IF($F$11-$I$4+VLOOKUP($R254,武学奇术!$A:$ZZ,9,FALSE)+SUM(_xlfn.XLOOKUP(S254:AG254,增益!$A:$A,增益!$I:$I,0))&gt;0,($F$11-$I$4+VLOOKUP($R254,武学奇术!$A:$ZZ,9,FALSE)+SUM(_xlfn.XLOOKUP(S254:AG254,增益!$A:$A,增益!$I:$I,0)))/200,($F$11-$I$4+VLOOKUP($R254,武学奇术!$A:$ZZ,9,FALSE)+SUM(_xlfn.XLOOKUP(S254:AG254,增益!$A:$A,增益!$I:$I,0)))/100)</f>
        <v>0.075</v>
      </c>
      <c r="AW254" s="26" cm="1">
        <f t="array" ref="AW254">$G$11+VLOOKUP($R254,武学奇术!$A:$ZZ,10,FALSE)+SUM(_xlfn.XLOOKUP(S254:AG254,增益!$A:$A,增益!$J:$J,0))</f>
        <v>0.15</v>
      </c>
      <c r="AX254">
        <f t="shared" si="36"/>
        <v>0</v>
      </c>
      <c r="AY254">
        <f t="shared" si="37"/>
        <v>0</v>
      </c>
      <c r="AZ254" s="26" cm="1">
        <f t="array" ref="AZ254">IF($F$12-$I$4+VLOOKUP($R254,武学奇术!$A:$ZZ,11,FALSE)+SUM(_xlfn.XLOOKUP(S254:AG254,增益!$A:$A,增益!$K:$K,0))&gt;0,($F$12-$I$4+VLOOKUP($R254,武学奇术!$A:$ZZ,11,FALSE)+SUM(_xlfn.XLOOKUP(S254:AG254,增益!$A:$A,增益!$K:$K,0)))/200,($F$12-$I$4+VLOOKUP($R254,武学奇术!$A:$ZZ,11,FALSE)+SUM(_xlfn.XLOOKUP(S254:AG254,增益!$A:$A,增益!$K:$K,0)))/100)</f>
        <v>-0.3</v>
      </c>
      <c r="BA254" s="26" cm="1">
        <f t="array" ref="BA254">$G$12+VLOOKUP($R254,武学奇术!$A:$ZZ,12,FALSE)+SUM(_xlfn.XLOOKUP(S254:AG254,增益!$A:$A,增益!$L:$L,0))</f>
        <v>0</v>
      </c>
      <c r="BB254">
        <f t="shared" si="38"/>
        <v>0</v>
      </c>
      <c r="BC254">
        <f t="shared" si="39"/>
        <v>0</v>
      </c>
      <c r="BD254" s="26" cm="1">
        <f t="array" ref="BD254">IF($F$13-$I$4+VLOOKUP($R254,武学奇术!$A:$ZZ,13,FALSE)+SUM(_xlfn.XLOOKUP(S254:AG254,增益!$A:$A,增益!$M:$M,0))&gt;0,($F$13-$I$4+VLOOKUP($R254,武学奇术!$A:$ZZ,13,FALSE)+SUM(_xlfn.XLOOKUP(S254:AG254,增益!$A:$A,增益!$K:$K,0)))/200,($F$13-$I$4+VLOOKUP($R254,武学奇术!$A:$ZZ,13,FALSE)+SUM(_xlfn.XLOOKUP(S254:AG254,增益!$A:$A,增益!$M:$M,0)))/100)</f>
        <v>-0.3</v>
      </c>
      <c r="BE254" s="26" cm="1">
        <f t="array" ref="BE254">$G$13+VLOOKUP($R254,武学奇术!$A:$ZZ,14,FALSE)+SUM(_xlfn.XLOOKUP(S254:AG254,增益!$A:$A,增益!$N:$N,0))</f>
        <v>0</v>
      </c>
      <c r="BF254">
        <f t="shared" si="40"/>
        <v>0</v>
      </c>
      <c r="BG254">
        <f t="shared" si="41"/>
        <v>0</v>
      </c>
      <c r="BH254" s="26" cm="1">
        <f t="array" ref="BH254">IF($F$14-$I$4+VLOOKUP($R254,武学奇术!$A:$ZZ,15,FALSE)+SUM(_xlfn.XLOOKUP(S254:AG254,增益!$A:$A,增益!$O:$O,0))&gt;0,($F$14-$I$4+VLOOKUP($R254,武学奇术!$A:$ZZ,15,FALSE)+SUM(_xlfn.XLOOKUP(S254:AG254,增益!$A:$A,增益!$O:$O,0)))/200,($F$14-$I$4+VLOOKUP($R254,武学奇术!$A:$ZZ,15,FALSE)+SUM(_xlfn.XLOOKUP(S254:AG254,增益!$A:$A,增益!$O:$O,0)))/100)</f>
        <v>-0.3</v>
      </c>
      <c r="BI254" s="26" cm="1">
        <f t="array" ref="BI254">$G$14+VLOOKUP($R254,武学奇术!$A:$ZZ,16,FALSE)+SUM(_xlfn.XLOOKUP(S254:AG254,增益!$A:$A,增益!$P:$P,0))</f>
        <v>0</v>
      </c>
      <c r="BJ254" s="21">
        <f>MIN(IF(VLOOKUP($R254,武学奇术!$A:$ZZ,23,FALSE)=1,100%,$B$8),100%)</f>
        <v>0.8229</v>
      </c>
      <c r="BK254" s="21" cm="1">
        <f t="array" ref="BK254">IF(VLOOKUP($R254,武学奇术!$A:$ZZ,23,FALSE)=1,100%,MIN(80%,$B$9+VLOOKUP($R254,武学奇术!$A:$ZZ,17,FALSE)+SUM(_xlfn.XLOOKUP(S254:AG254,增益!$A:$A,增益!$Q:$Q,0)))+$B$11+SUM(_xlfn.XLOOKUP(S254:AG254,增益!$A:$A,增益!$U:$U,0)))*IF(VLOOKUP($R254,武学奇术!$A:$ZZ,24,FALSE)=1,0,1)</f>
        <v>0.2285</v>
      </c>
      <c r="BL254" s="21" cm="1">
        <f t="array" ref="BL254">1+$B$13+VLOOKUP($R254,武学奇术!$A:$ZZ,18,FALSE)+SUM(_xlfn.XLOOKUP(S254:AG254,增益!$A:$A,增益!$R:$R,0))</f>
        <v>1.5</v>
      </c>
      <c r="BM254" s="21" cm="1">
        <f t="array" ref="BM254">IF(VLOOKUP($R254,武学奇术!$A:$ZZ,24,FALSE)=1,100%,MIN(40%,$B$10+VLOOKUP($R254,武学奇术!$A:$ZZ,19,FALSE)+SUM(_xlfn.XLOOKUP(S254:AG254,增益!$A:$A,增益!$S:$S,0)))+$B$12+SUM(_xlfn.XLOOKUP(S254:AG254,增益!$A:$A,增益!$V:$V,0)))*IF(VLOOKUP($R254,武学奇术!$A:$ZZ,23,FALSE)=1,0,1)</f>
        <v>0.4495</v>
      </c>
      <c r="BN254" s="21" cm="1">
        <f t="array" ref="BN254">1+$B$14+VLOOKUP($R254,武学奇术!$A:$ZZ,20,FALSE)+SUM(_xlfn.XLOOKUP(S254:AG254,增益!$A:$A,增益!$T:$T,0))</f>
        <v>1.782</v>
      </c>
      <c r="BO254" s="21">
        <f t="shared" si="42"/>
        <v>0.18803265</v>
      </c>
      <c r="BP254" s="21">
        <f t="shared" si="43"/>
        <v>0.2649738</v>
      </c>
      <c r="BQ254" s="21">
        <f>IF(VLOOKUP($R254,武学奇术!$A:$ZZ,22,FALSE)=1,0,(1-$BJ254))*(1-$BM254)</f>
        <v>0.09749355</v>
      </c>
      <c r="BR254" s="21" cm="1">
        <f t="array" ref="BR254">SUM(_xlfn.XLOOKUP(S254:AG254,增益!$A:$A,增益!$W:$W,0))+$I$5</f>
        <v>0.06</v>
      </c>
    </row>
    <row r="255" spans="11:70">
      <c r="K255" s="24">
        <f>$L255*VLOOKUP($R255,武学奇术!$A:$ZZ,31,FALSE)</f>
        <v>6654.77935377654</v>
      </c>
      <c r="L255" s="24">
        <f t="shared" si="33"/>
        <v>11091.2989229609</v>
      </c>
      <c r="M255" s="24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BL255*$Q255*(1+IF(VLOOKUP($R255,武学奇术!$A:$ZZ,30,FALSE)="流血",$B$21,0))*(1+$BR255)</f>
        <v>9070.79161810268</v>
      </c>
      <c r="N255" s="24">
        <f>(($AP255*$AI255+$AJ255)*(1+$AQ255)*(1+$AR255)+($AU255*IF($G$1="鸣金",$AK255,$AI255)+IF($G$1="鸣金",$AL255*1.5,0))*(1+$AV255)*(1+$AW255)+($AY255*IF($G$1="裂石",$AK255,$AI255)+IF($G$1="裂石",$AL255*1.5,0))*(1+$AZ255)*(1+$BA255)+($BC255*IF($G$1="牵丝",$AK255,$AI255)+IF($G$1="牵丝",$AL255*1.5,0))*(1+$BD255)*(1+$BE255)+($BG255*IF($G$1="破竹",$AK255,$AI255)+IF($G$1="破竹",$AL255*1.5,0))*(1+$BH255)*(1+$BI255))*(1+$AM255)*$BN255*$Q255*(1+IF(VLOOKUP($R255,武学奇术!$A:$ZZ,30,FALSE)="流血",$B$21,0))*(1+$BR255)</f>
        <v>16728.448164903</v>
      </c>
      <c r="O255" s="24">
        <f>((($AO255+$AP255)/2*$AI255+$AJ255)*(1+$AQ255)*(1+$AR255)+(($AT255+$AU255)/2*IF($G$1="鸣金",$AK255,$AI255)+IF($G$1="鸣金",$AL255*1.5,0))*(1+$AV255)*(1+$AW255)+(($AX255+$AY255)/2*IF($G$1="裂石",$AK255,$AI255)+IF($G$1="裂石",$AL255*1.5,0))*(1+$AZ255)*(1+$BA255)+(($BB255+$BC255)/2*IF($G$1="牵丝",$AK255,$AI255)+IF($G$1="牵丝",$AL255*1.5,0))*(1+$BD255)*(1+$BE255)+(($BF255+$BG255)/2*IF($G$1="破竹",$AK255,$AI255)+IF($G$1="破竹",$AL255*1.5,0))*(1+$BH255)*(1+$BI255))*(1+$AM255)*$Q255*(1+IF(VLOOKUP($R255,武学奇术!$A:$ZZ,30,FALSE)="流血",$B$21,0))*(1+$BR255)</f>
        <v>6047.19441206845</v>
      </c>
      <c r="P255" s="24">
        <f>((($AO255*$AI255+$AJ255)*(1+$AQ255)*(1+$AR255)+($AT255*IF($G$1="鸣金",$AK255,$AI255)+IF($G$1="鸣金",$AL255*1.5,0))*(1+$AV255)*(1+$AW255)+($AX255*IF($G$1="裂石",$AK255,$AI255)+IF($G$1="裂石",$AL255*1.5,0))*(1+$AZ255)*(1+$BA255)+($BB255*IF($G$1="牵丝",$AK255,$AI255)+IF($G$1="牵丝",$AL255*1.5,0))*(1+$BD255)*(1+$BE255)+($BF255*IF($G$1="破竹",$AK255,$AI255)+IF($G$1="破竹",$AL255*1.5,0))*(1+$BH255)*(1+$BI255))*(1+$AM255))*$Q255*(1+IF(VLOOKUP($R255,武学奇术!$A:$ZZ,30,FALSE)="流血",$B$21,0))*(1+$BR255)</f>
        <v>2706.93194147528</v>
      </c>
      <c r="Q255" s="31">
        <v>1</v>
      </c>
      <c r="R255" s="32" t="s">
        <v>199</v>
      </c>
      <c r="S255" s="32" t="s">
        <v>72</v>
      </c>
      <c r="T255" s="32" t="s">
        <v>96</v>
      </c>
      <c r="U255" s="32" t="s">
        <v>73</v>
      </c>
      <c r="V255" s="32" t="s">
        <v>73</v>
      </c>
      <c r="W255" s="32" t="s">
        <v>73</v>
      </c>
      <c r="X255" s="32" t="s">
        <v>127</v>
      </c>
      <c r="Y255" s="32" t="s">
        <v>73</v>
      </c>
      <c r="Z255" s="32" t="s">
        <v>73</v>
      </c>
      <c r="AA255" s="32" t="s">
        <v>81</v>
      </c>
      <c r="AB255" s="32" t="s">
        <v>75</v>
      </c>
      <c r="AC255" s="32" t="s">
        <v>89</v>
      </c>
      <c r="AD255" s="32" t="s">
        <v>82</v>
      </c>
      <c r="AE255" s="32" t="s">
        <v>73</v>
      </c>
      <c r="AF255" s="32" t="s">
        <v>73</v>
      </c>
      <c r="AG255" s="32" t="s">
        <v>178</v>
      </c>
      <c r="AH255" t="str">
        <f>VLOOKUP($R255,武学奇术!$A:$ZZ,25,FALSE)</f>
        <v>剑</v>
      </c>
      <c r="AI255" s="21">
        <f>VLOOKUP($R255,武学奇术!$A:$ZZ,26,FALSE)</f>
        <v>0.3465</v>
      </c>
      <c r="AJ255" s="22">
        <f>VLOOKUP($R255,武学奇术!$A:$ZZ,27,FALSE)*(1+IF(OR($AH255=$F$4,$AH255=$F$5),$B$22,0))</f>
        <v>0</v>
      </c>
      <c r="AK255" s="21">
        <f>VLOOKUP($R255,武学奇术!$A:$ZZ,28,FALSE)</f>
        <v>0.51975</v>
      </c>
      <c r="AL255" s="22">
        <f>VLOOKUP($R255,武学奇术!$A:$ZZ,29,FALSE)*(1+IF(OR($AH255=$F$4,$AH255=$F$5),$B$22,0))</f>
        <v>0</v>
      </c>
      <c r="AM255" s="21" cm="1">
        <f t="array" ref="AM255">$G$3+IFERROR(VLOOKUP($AH255,$F$4:$G$7,2,FALSE),0)+VLOOKUP($R255,武学奇术!$A:$ZZ,2,FALSE)+SUM(_xlfn.XLOOKUP($S255:$AG255,增益!$A:$A,增益!$B:$B,0))</f>
        <v>0.5391</v>
      </c>
      <c r="AN255" s="21" cm="1">
        <f t="array" ref="AN255">VLOOKUP($R255,武学奇术!$A:$ZZ,5,FALSE)+SUM(_xlfn.XLOOKUP($S255:$AG255,增益!$A:$A,增益!$E:$E,0))</f>
        <v>0</v>
      </c>
      <c r="AO255" cm="1">
        <f t="array" ref="AO255">$D$10*(1+$AN255)+VLOOKUP($R255,武学奇术!$A:$ZZ,3,FALSE)+SUM(_xlfn.XLOOKUP($S255:$AG255,增益!$A:$A,增益!$C:$C,0))-$I$2</f>
        <v>1794.28</v>
      </c>
      <c r="AP255" cm="1">
        <f t="array" ref="AP255">$E$10*(1+$AN255)+VLOOKUP($R255,武学奇术!$A:$ZZ,4,FALSE)+SUM(_xlfn.XLOOKUP($S255:$AG255,增益!$A:$A,增益!$D:$D,0))-$I$2</f>
        <v>7726.36</v>
      </c>
      <c r="AQ255" s="26" cm="1">
        <f t="array" ref="AQ255">IF($F$10-$I$3+VLOOKUP($R255,武学奇术!$A:$ZZ,6,FALSE)+SUM(_xlfn.XLOOKUP(S255:AG255,增益!$A:$A,增益!$F:$F,0))&gt;0,($F$10-$I$3+VLOOKUP($R255,武学奇术!$A:$ZZ,6,FALSE)+SUM(_xlfn.XLOOKUP(S255:AG255,增益!$A:$A,增益!$F:$F,0)))/200,($F$10-$I$3+VLOOKUP($R255,武学奇术!$A:$ZZ,6,FALSE)+SUM(_xlfn.XLOOKUP(S255:AG255,增益!$A:$A,增益!$F:$F,0)))/100)</f>
        <v>0.319</v>
      </c>
      <c r="AR255" s="26" cm="1">
        <f t="array" ref="AR255">$G$10+VLOOKUP($R255,武学奇术!$A:$ZZ,7,FALSE)+SUM(_xlfn.XLOOKUP(S255:AG255,增益!$A:$A,增益!$G:$G,0))</f>
        <v>0</v>
      </c>
      <c r="AS255" s="21" cm="1">
        <f t="array" ref="AS255">VLOOKUP($R255,武学奇术!$A:$ZZ,8,FALSE)+SUM(_xlfn.XLOOKUP(S255:AG255,增益!$A:$A,增益!$H:$H,0))</f>
        <v>0</v>
      </c>
      <c r="AT255">
        <f t="shared" si="34"/>
        <v>680.02</v>
      </c>
      <c r="AU255">
        <f t="shared" si="35"/>
        <v>1288.54</v>
      </c>
      <c r="AV255" s="26" cm="1">
        <f t="array" ref="AV255">IF($F$11-$I$4+VLOOKUP($R255,武学奇术!$A:$ZZ,9,FALSE)+SUM(_xlfn.XLOOKUP(S255:AG255,增益!$A:$A,增益!$I:$I,0))&gt;0,($F$11-$I$4+VLOOKUP($R255,武学奇术!$A:$ZZ,9,FALSE)+SUM(_xlfn.XLOOKUP(S255:AG255,增益!$A:$A,增益!$I:$I,0)))/200,($F$11-$I$4+VLOOKUP($R255,武学奇术!$A:$ZZ,9,FALSE)+SUM(_xlfn.XLOOKUP(S255:AG255,增益!$A:$A,增益!$I:$I,0)))/100)</f>
        <v>0.075</v>
      </c>
      <c r="AW255" s="26" cm="1">
        <f t="array" ref="AW255">$G$11+VLOOKUP($R255,武学奇术!$A:$ZZ,10,FALSE)+SUM(_xlfn.XLOOKUP(S255:AG255,增益!$A:$A,增益!$J:$J,0))</f>
        <v>0.15</v>
      </c>
      <c r="AX255">
        <f t="shared" si="36"/>
        <v>0</v>
      </c>
      <c r="AY255">
        <f t="shared" si="37"/>
        <v>0</v>
      </c>
      <c r="AZ255" s="26" cm="1">
        <f t="array" ref="AZ255">IF($F$12-$I$4+VLOOKUP($R255,武学奇术!$A:$ZZ,11,FALSE)+SUM(_xlfn.XLOOKUP(S255:AG255,增益!$A:$A,增益!$K:$K,0))&gt;0,($F$12-$I$4+VLOOKUP($R255,武学奇术!$A:$ZZ,11,FALSE)+SUM(_xlfn.XLOOKUP(S255:AG255,增益!$A:$A,增益!$K:$K,0)))/200,($F$12-$I$4+VLOOKUP($R255,武学奇术!$A:$ZZ,11,FALSE)+SUM(_xlfn.XLOOKUP(S255:AG255,增益!$A:$A,增益!$K:$K,0)))/100)</f>
        <v>-0.3</v>
      </c>
      <c r="BA255" s="26" cm="1">
        <f t="array" ref="BA255">$G$12+VLOOKUP($R255,武学奇术!$A:$ZZ,12,FALSE)+SUM(_xlfn.XLOOKUP(S255:AG255,增益!$A:$A,增益!$L:$L,0))</f>
        <v>0</v>
      </c>
      <c r="BB255">
        <f t="shared" si="38"/>
        <v>0</v>
      </c>
      <c r="BC255">
        <f t="shared" si="39"/>
        <v>0</v>
      </c>
      <c r="BD255" s="26" cm="1">
        <f t="array" ref="BD255">IF($F$13-$I$4+VLOOKUP($R255,武学奇术!$A:$ZZ,13,FALSE)+SUM(_xlfn.XLOOKUP(S255:AG255,增益!$A:$A,增益!$M:$M,0))&gt;0,($F$13-$I$4+VLOOKUP($R255,武学奇术!$A:$ZZ,13,FALSE)+SUM(_xlfn.XLOOKUP(S255:AG255,增益!$A:$A,增益!$K:$K,0)))/200,($F$13-$I$4+VLOOKUP($R255,武学奇术!$A:$ZZ,13,FALSE)+SUM(_xlfn.XLOOKUP(S255:AG255,增益!$A:$A,增益!$M:$M,0)))/100)</f>
        <v>-0.3</v>
      </c>
      <c r="BE255" s="26" cm="1">
        <f t="array" ref="BE255">$G$13+VLOOKUP($R255,武学奇术!$A:$ZZ,14,FALSE)+SUM(_xlfn.XLOOKUP(S255:AG255,增益!$A:$A,增益!$N:$N,0))</f>
        <v>0</v>
      </c>
      <c r="BF255">
        <f t="shared" si="40"/>
        <v>0</v>
      </c>
      <c r="BG255">
        <f t="shared" si="41"/>
        <v>0</v>
      </c>
      <c r="BH255" s="26" cm="1">
        <f t="array" ref="BH255">IF($F$14-$I$4+VLOOKUP($R255,武学奇术!$A:$ZZ,15,FALSE)+SUM(_xlfn.XLOOKUP(S255:AG255,增益!$A:$A,增益!$O:$O,0))&gt;0,($F$14-$I$4+VLOOKUP($R255,武学奇术!$A:$ZZ,15,FALSE)+SUM(_xlfn.XLOOKUP(S255:AG255,增益!$A:$A,增益!$O:$O,0)))/200,($F$14-$I$4+VLOOKUP($R255,武学奇术!$A:$ZZ,15,FALSE)+SUM(_xlfn.XLOOKUP(S255:AG255,增益!$A:$A,增益!$O:$O,0)))/100)</f>
        <v>-0.3</v>
      </c>
      <c r="BI255" s="26" cm="1">
        <f t="array" ref="BI255">$G$14+VLOOKUP($R255,武学奇术!$A:$ZZ,16,FALSE)+SUM(_xlfn.XLOOKUP(S255:AG255,增益!$A:$A,增益!$P:$P,0))</f>
        <v>0</v>
      </c>
      <c r="BJ255" s="21">
        <f>MIN(IF(VLOOKUP($R255,武学奇术!$A:$ZZ,23,FALSE)=1,100%,$B$8),100%)</f>
        <v>0.8229</v>
      </c>
      <c r="BK255" s="21" cm="1">
        <f t="array" ref="BK255">IF(VLOOKUP($R255,武学奇术!$A:$ZZ,23,FALSE)=1,100%,MIN(80%,$B$9+VLOOKUP($R255,武学奇术!$A:$ZZ,17,FALSE)+SUM(_xlfn.XLOOKUP(S255:AG255,增益!$A:$A,增益!$Q:$Q,0)))+$B$11+SUM(_xlfn.XLOOKUP(S255:AG255,增益!$A:$A,增益!$U:$U,0)))*IF(VLOOKUP($R255,武学奇术!$A:$ZZ,24,FALSE)=1,0,1)</f>
        <v>0.2285</v>
      </c>
      <c r="BL255" s="21" cm="1">
        <f t="array" ref="BL255">1+$B$13+VLOOKUP($R255,武学奇术!$A:$ZZ,18,FALSE)+SUM(_xlfn.XLOOKUP(S255:AG255,增益!$A:$A,增益!$R:$R,0))</f>
        <v>1.5</v>
      </c>
      <c r="BM255" s="21" cm="1">
        <f t="array" ref="BM255">IF(VLOOKUP($R255,武学奇术!$A:$ZZ,24,FALSE)=1,100%,MIN(40%,$B$10+VLOOKUP($R255,武学奇术!$A:$ZZ,19,FALSE)+SUM(_xlfn.XLOOKUP(S255:AG255,增益!$A:$A,增益!$S:$S,0)))+$B$12+SUM(_xlfn.XLOOKUP(S255:AG255,增益!$A:$A,增益!$V:$V,0)))*IF(VLOOKUP($R255,武学奇术!$A:$ZZ,23,FALSE)=1,0,1)</f>
        <v>0.4495</v>
      </c>
      <c r="BN255" s="21" cm="1">
        <f t="array" ref="BN255">1+$B$14+VLOOKUP($R255,武学奇术!$A:$ZZ,20,FALSE)+SUM(_xlfn.XLOOKUP(S255:AG255,增益!$A:$A,增益!$T:$T,0))</f>
        <v>1.782</v>
      </c>
      <c r="BO255" s="21">
        <f t="shared" si="42"/>
        <v>0.18803265</v>
      </c>
      <c r="BP255" s="21">
        <f t="shared" si="43"/>
        <v>0.2649738</v>
      </c>
      <c r="BQ255" s="21">
        <f>IF(VLOOKUP($R255,武学奇术!$A:$ZZ,22,FALSE)=1,0,(1-$BJ255))*(1-$BM255)</f>
        <v>0.09749355</v>
      </c>
      <c r="BR255" s="21" cm="1">
        <f t="array" ref="BR255">SUM(_xlfn.XLOOKUP(S255:AG255,增益!$A:$A,增益!$W:$W,0))+$I$5</f>
        <v>0.06</v>
      </c>
    </row>
    <row r="256" spans="11:70">
      <c r="K256" s="24">
        <f>$L256*VLOOKUP($R256,武学奇术!$A:$ZZ,31,FALSE)</f>
        <v>6654.77935377654</v>
      </c>
      <c r="L256" s="24">
        <f t="shared" si="33"/>
        <v>11091.2989229609</v>
      </c>
      <c r="M256" s="24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BL256*$Q256*(1+IF(VLOOKUP($R256,武学奇术!$A:$ZZ,30,FALSE)="流血",$B$21,0))*(1+$BR256)</f>
        <v>9070.79161810268</v>
      </c>
      <c r="N256" s="24">
        <f>(($AP256*$AI256+$AJ256)*(1+$AQ256)*(1+$AR256)+($AU256*IF($G$1="鸣金",$AK256,$AI256)+IF($G$1="鸣金",$AL256*1.5,0))*(1+$AV256)*(1+$AW256)+($AY256*IF($G$1="裂石",$AK256,$AI256)+IF($G$1="裂石",$AL256*1.5,0))*(1+$AZ256)*(1+$BA256)+($BC256*IF($G$1="牵丝",$AK256,$AI256)+IF($G$1="牵丝",$AL256*1.5,0))*(1+$BD256)*(1+$BE256)+($BG256*IF($G$1="破竹",$AK256,$AI256)+IF($G$1="破竹",$AL256*1.5,0))*(1+$BH256)*(1+$BI256))*(1+$AM256)*$BN256*$Q256*(1+IF(VLOOKUP($R256,武学奇术!$A:$ZZ,30,FALSE)="流血",$B$21,0))*(1+$BR256)</f>
        <v>16728.448164903</v>
      </c>
      <c r="O256" s="24">
        <f>((($AO256+$AP256)/2*$AI256+$AJ256)*(1+$AQ256)*(1+$AR256)+(($AT256+$AU256)/2*IF($G$1="鸣金",$AK256,$AI256)+IF($G$1="鸣金",$AL256*1.5,0))*(1+$AV256)*(1+$AW256)+(($AX256+$AY256)/2*IF($G$1="裂石",$AK256,$AI256)+IF($G$1="裂石",$AL256*1.5,0))*(1+$AZ256)*(1+$BA256)+(($BB256+$BC256)/2*IF($G$1="牵丝",$AK256,$AI256)+IF($G$1="牵丝",$AL256*1.5,0))*(1+$BD256)*(1+$BE256)+(($BF256+$BG256)/2*IF($G$1="破竹",$AK256,$AI256)+IF($G$1="破竹",$AL256*1.5,0))*(1+$BH256)*(1+$BI256))*(1+$AM256)*$Q256*(1+IF(VLOOKUP($R256,武学奇术!$A:$ZZ,30,FALSE)="流血",$B$21,0))*(1+$BR256)</f>
        <v>6047.19441206845</v>
      </c>
      <c r="P256" s="24">
        <f>((($AO256*$AI256+$AJ256)*(1+$AQ256)*(1+$AR256)+($AT256*IF($G$1="鸣金",$AK256,$AI256)+IF($G$1="鸣金",$AL256*1.5,0))*(1+$AV256)*(1+$AW256)+($AX256*IF($G$1="裂石",$AK256,$AI256)+IF($G$1="裂石",$AL256*1.5,0))*(1+$AZ256)*(1+$BA256)+($BB256*IF($G$1="牵丝",$AK256,$AI256)+IF($G$1="牵丝",$AL256*1.5,0))*(1+$BD256)*(1+$BE256)+($BF256*IF($G$1="破竹",$AK256,$AI256)+IF($G$1="破竹",$AL256*1.5,0))*(1+$BH256)*(1+$BI256))*(1+$AM256))*$Q256*(1+IF(VLOOKUP($R256,武学奇术!$A:$ZZ,30,FALSE)="流血",$B$21,0))*(1+$BR256)</f>
        <v>2706.93194147528</v>
      </c>
      <c r="Q256" s="31">
        <v>1</v>
      </c>
      <c r="R256" s="32" t="s">
        <v>199</v>
      </c>
      <c r="S256" s="32" t="s">
        <v>72</v>
      </c>
      <c r="T256" s="32" t="s">
        <v>96</v>
      </c>
      <c r="U256" s="32" t="s">
        <v>73</v>
      </c>
      <c r="V256" s="32" t="s">
        <v>73</v>
      </c>
      <c r="W256" s="32" t="s">
        <v>73</v>
      </c>
      <c r="X256" s="32" t="s">
        <v>127</v>
      </c>
      <c r="Y256" s="32" t="s">
        <v>73</v>
      </c>
      <c r="Z256" s="32" t="s">
        <v>73</v>
      </c>
      <c r="AA256" s="32" t="s">
        <v>81</v>
      </c>
      <c r="AB256" s="32" t="s">
        <v>75</v>
      </c>
      <c r="AC256" s="32" t="s">
        <v>89</v>
      </c>
      <c r="AD256" s="32" t="s">
        <v>82</v>
      </c>
      <c r="AE256" s="32" t="s">
        <v>73</v>
      </c>
      <c r="AF256" s="32" t="s">
        <v>73</v>
      </c>
      <c r="AG256" s="32" t="s">
        <v>178</v>
      </c>
      <c r="AH256" t="str">
        <f>VLOOKUP($R256,武学奇术!$A:$ZZ,25,FALSE)</f>
        <v>剑</v>
      </c>
      <c r="AI256" s="21">
        <f>VLOOKUP($R256,武学奇术!$A:$ZZ,26,FALSE)</f>
        <v>0.3465</v>
      </c>
      <c r="AJ256" s="22">
        <f>VLOOKUP($R256,武学奇术!$A:$ZZ,27,FALSE)*(1+IF(OR($AH256=$F$4,$AH256=$F$5),$B$22,0))</f>
        <v>0</v>
      </c>
      <c r="AK256" s="21">
        <f>VLOOKUP($R256,武学奇术!$A:$ZZ,28,FALSE)</f>
        <v>0.51975</v>
      </c>
      <c r="AL256" s="22">
        <f>VLOOKUP($R256,武学奇术!$A:$ZZ,29,FALSE)*(1+IF(OR($AH256=$F$4,$AH256=$F$5),$B$22,0))</f>
        <v>0</v>
      </c>
      <c r="AM256" s="21" cm="1">
        <f t="array" ref="AM256">$G$3+IFERROR(VLOOKUP($AH256,$F$4:$G$7,2,FALSE),0)+VLOOKUP($R256,武学奇术!$A:$ZZ,2,FALSE)+SUM(_xlfn.XLOOKUP($S256:$AG256,增益!$A:$A,增益!$B:$B,0))</f>
        <v>0.5391</v>
      </c>
      <c r="AN256" s="21" cm="1">
        <f t="array" ref="AN256">VLOOKUP($R256,武学奇术!$A:$ZZ,5,FALSE)+SUM(_xlfn.XLOOKUP($S256:$AG256,增益!$A:$A,增益!$E:$E,0))</f>
        <v>0</v>
      </c>
      <c r="AO256" cm="1">
        <f t="array" ref="AO256">$D$10*(1+$AN256)+VLOOKUP($R256,武学奇术!$A:$ZZ,3,FALSE)+SUM(_xlfn.XLOOKUP($S256:$AG256,增益!$A:$A,增益!$C:$C,0))-$I$2</f>
        <v>1794.28</v>
      </c>
      <c r="AP256" cm="1">
        <f t="array" ref="AP256">$E$10*(1+$AN256)+VLOOKUP($R256,武学奇术!$A:$ZZ,4,FALSE)+SUM(_xlfn.XLOOKUP($S256:$AG256,增益!$A:$A,增益!$D:$D,0))-$I$2</f>
        <v>7726.36</v>
      </c>
      <c r="AQ256" s="26" cm="1">
        <f t="array" ref="AQ256">IF($F$10-$I$3+VLOOKUP($R256,武学奇术!$A:$ZZ,6,FALSE)+SUM(_xlfn.XLOOKUP(S256:AG256,增益!$A:$A,增益!$F:$F,0))&gt;0,($F$10-$I$3+VLOOKUP($R256,武学奇术!$A:$ZZ,6,FALSE)+SUM(_xlfn.XLOOKUP(S256:AG256,增益!$A:$A,增益!$F:$F,0)))/200,($F$10-$I$3+VLOOKUP($R256,武学奇术!$A:$ZZ,6,FALSE)+SUM(_xlfn.XLOOKUP(S256:AG256,增益!$A:$A,增益!$F:$F,0)))/100)</f>
        <v>0.319</v>
      </c>
      <c r="AR256" s="26" cm="1">
        <f t="array" ref="AR256">$G$10+VLOOKUP($R256,武学奇术!$A:$ZZ,7,FALSE)+SUM(_xlfn.XLOOKUP(S256:AG256,增益!$A:$A,增益!$G:$G,0))</f>
        <v>0</v>
      </c>
      <c r="AS256" s="21" cm="1">
        <f t="array" ref="AS256">VLOOKUP($R256,武学奇术!$A:$ZZ,8,FALSE)+SUM(_xlfn.XLOOKUP(S256:AG256,增益!$A:$A,增益!$H:$H,0))</f>
        <v>0</v>
      </c>
      <c r="AT256">
        <f t="shared" si="34"/>
        <v>680.02</v>
      </c>
      <c r="AU256">
        <f t="shared" si="35"/>
        <v>1288.54</v>
      </c>
      <c r="AV256" s="26" cm="1">
        <f t="array" ref="AV256">IF($F$11-$I$4+VLOOKUP($R256,武学奇术!$A:$ZZ,9,FALSE)+SUM(_xlfn.XLOOKUP(S256:AG256,增益!$A:$A,增益!$I:$I,0))&gt;0,($F$11-$I$4+VLOOKUP($R256,武学奇术!$A:$ZZ,9,FALSE)+SUM(_xlfn.XLOOKUP(S256:AG256,增益!$A:$A,增益!$I:$I,0)))/200,($F$11-$I$4+VLOOKUP($R256,武学奇术!$A:$ZZ,9,FALSE)+SUM(_xlfn.XLOOKUP(S256:AG256,增益!$A:$A,增益!$I:$I,0)))/100)</f>
        <v>0.075</v>
      </c>
      <c r="AW256" s="26" cm="1">
        <f t="array" ref="AW256">$G$11+VLOOKUP($R256,武学奇术!$A:$ZZ,10,FALSE)+SUM(_xlfn.XLOOKUP(S256:AG256,增益!$A:$A,增益!$J:$J,0))</f>
        <v>0.15</v>
      </c>
      <c r="AX256">
        <f t="shared" si="36"/>
        <v>0</v>
      </c>
      <c r="AY256">
        <f t="shared" si="37"/>
        <v>0</v>
      </c>
      <c r="AZ256" s="26" cm="1">
        <f t="array" ref="AZ256">IF($F$12-$I$4+VLOOKUP($R256,武学奇术!$A:$ZZ,11,FALSE)+SUM(_xlfn.XLOOKUP(S256:AG256,增益!$A:$A,增益!$K:$K,0))&gt;0,($F$12-$I$4+VLOOKUP($R256,武学奇术!$A:$ZZ,11,FALSE)+SUM(_xlfn.XLOOKUP(S256:AG256,增益!$A:$A,增益!$K:$K,0)))/200,($F$12-$I$4+VLOOKUP($R256,武学奇术!$A:$ZZ,11,FALSE)+SUM(_xlfn.XLOOKUP(S256:AG256,增益!$A:$A,增益!$K:$K,0)))/100)</f>
        <v>-0.3</v>
      </c>
      <c r="BA256" s="26" cm="1">
        <f t="array" ref="BA256">$G$12+VLOOKUP($R256,武学奇术!$A:$ZZ,12,FALSE)+SUM(_xlfn.XLOOKUP(S256:AG256,增益!$A:$A,增益!$L:$L,0))</f>
        <v>0</v>
      </c>
      <c r="BB256">
        <f t="shared" si="38"/>
        <v>0</v>
      </c>
      <c r="BC256">
        <f t="shared" si="39"/>
        <v>0</v>
      </c>
      <c r="BD256" s="26" cm="1">
        <f t="array" ref="BD256">IF($F$13-$I$4+VLOOKUP($R256,武学奇术!$A:$ZZ,13,FALSE)+SUM(_xlfn.XLOOKUP(S256:AG256,增益!$A:$A,增益!$M:$M,0))&gt;0,($F$13-$I$4+VLOOKUP($R256,武学奇术!$A:$ZZ,13,FALSE)+SUM(_xlfn.XLOOKUP(S256:AG256,增益!$A:$A,增益!$K:$K,0)))/200,($F$13-$I$4+VLOOKUP($R256,武学奇术!$A:$ZZ,13,FALSE)+SUM(_xlfn.XLOOKUP(S256:AG256,增益!$A:$A,增益!$M:$M,0)))/100)</f>
        <v>-0.3</v>
      </c>
      <c r="BE256" s="26" cm="1">
        <f t="array" ref="BE256">$G$13+VLOOKUP($R256,武学奇术!$A:$ZZ,14,FALSE)+SUM(_xlfn.XLOOKUP(S256:AG256,增益!$A:$A,增益!$N:$N,0))</f>
        <v>0</v>
      </c>
      <c r="BF256">
        <f t="shared" si="40"/>
        <v>0</v>
      </c>
      <c r="BG256">
        <f t="shared" si="41"/>
        <v>0</v>
      </c>
      <c r="BH256" s="26" cm="1">
        <f t="array" ref="BH256">IF($F$14-$I$4+VLOOKUP($R256,武学奇术!$A:$ZZ,15,FALSE)+SUM(_xlfn.XLOOKUP(S256:AG256,增益!$A:$A,增益!$O:$O,0))&gt;0,($F$14-$I$4+VLOOKUP($R256,武学奇术!$A:$ZZ,15,FALSE)+SUM(_xlfn.XLOOKUP(S256:AG256,增益!$A:$A,增益!$O:$O,0)))/200,($F$14-$I$4+VLOOKUP($R256,武学奇术!$A:$ZZ,15,FALSE)+SUM(_xlfn.XLOOKUP(S256:AG256,增益!$A:$A,增益!$O:$O,0)))/100)</f>
        <v>-0.3</v>
      </c>
      <c r="BI256" s="26" cm="1">
        <f t="array" ref="BI256">$G$14+VLOOKUP($R256,武学奇术!$A:$ZZ,16,FALSE)+SUM(_xlfn.XLOOKUP(S256:AG256,增益!$A:$A,增益!$P:$P,0))</f>
        <v>0</v>
      </c>
      <c r="BJ256" s="21">
        <f>MIN(IF(VLOOKUP($R256,武学奇术!$A:$ZZ,23,FALSE)=1,100%,$B$8),100%)</f>
        <v>0.8229</v>
      </c>
      <c r="BK256" s="21" cm="1">
        <f t="array" ref="BK256">IF(VLOOKUP($R256,武学奇术!$A:$ZZ,23,FALSE)=1,100%,MIN(80%,$B$9+VLOOKUP($R256,武学奇术!$A:$ZZ,17,FALSE)+SUM(_xlfn.XLOOKUP(S256:AG256,增益!$A:$A,增益!$Q:$Q,0)))+$B$11+SUM(_xlfn.XLOOKUP(S256:AG256,增益!$A:$A,增益!$U:$U,0)))*IF(VLOOKUP($R256,武学奇术!$A:$ZZ,24,FALSE)=1,0,1)</f>
        <v>0.2285</v>
      </c>
      <c r="BL256" s="21" cm="1">
        <f t="array" ref="BL256">1+$B$13+VLOOKUP($R256,武学奇术!$A:$ZZ,18,FALSE)+SUM(_xlfn.XLOOKUP(S256:AG256,增益!$A:$A,增益!$R:$R,0))</f>
        <v>1.5</v>
      </c>
      <c r="BM256" s="21" cm="1">
        <f t="array" ref="BM256">IF(VLOOKUP($R256,武学奇术!$A:$ZZ,24,FALSE)=1,100%,MIN(40%,$B$10+VLOOKUP($R256,武学奇术!$A:$ZZ,19,FALSE)+SUM(_xlfn.XLOOKUP(S256:AG256,增益!$A:$A,增益!$S:$S,0)))+$B$12+SUM(_xlfn.XLOOKUP(S256:AG256,增益!$A:$A,增益!$V:$V,0)))*IF(VLOOKUP($R256,武学奇术!$A:$ZZ,23,FALSE)=1,0,1)</f>
        <v>0.4495</v>
      </c>
      <c r="BN256" s="21" cm="1">
        <f t="array" ref="BN256">1+$B$14+VLOOKUP($R256,武学奇术!$A:$ZZ,20,FALSE)+SUM(_xlfn.XLOOKUP(S256:AG256,增益!$A:$A,增益!$T:$T,0))</f>
        <v>1.782</v>
      </c>
      <c r="BO256" s="21">
        <f t="shared" si="42"/>
        <v>0.18803265</v>
      </c>
      <c r="BP256" s="21">
        <f t="shared" si="43"/>
        <v>0.2649738</v>
      </c>
      <c r="BQ256" s="21">
        <f>IF(VLOOKUP($R256,武学奇术!$A:$ZZ,22,FALSE)=1,0,(1-$BJ256))*(1-$BM256)</f>
        <v>0.09749355</v>
      </c>
      <c r="BR256" s="21" cm="1">
        <f t="array" ref="BR256">SUM(_xlfn.XLOOKUP(S256:AG256,增益!$A:$A,增益!$W:$W,0))+$I$5</f>
        <v>0.06</v>
      </c>
    </row>
    <row r="257" spans="11:70">
      <c r="K257" s="24">
        <f>$L257*VLOOKUP($R257,武学奇术!$A:$ZZ,31,FALSE)</f>
        <v>7087.16057356581</v>
      </c>
      <c r="L257" s="24">
        <f t="shared" si="33"/>
        <v>11811.9342892763</v>
      </c>
      <c r="M257" s="24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BL257*$Q257*(1+IF(VLOOKUP($R257,武学奇术!$A:$ZZ,30,FALSE)="流血",$B$21,0))*(1+$BR257)</f>
        <v>9660.14849017745</v>
      </c>
      <c r="N257" s="24">
        <f>(($AP257*$AI257+$AJ257)*(1+$AQ257)*(1+$AR257)+($AU257*IF($G$1="鸣金",$AK257,$AI257)+IF($G$1="鸣金",$AL257*1.5,0))*(1+$AV257)*(1+$AW257)+($AY257*IF($G$1="裂石",$AK257,$AI257)+IF($G$1="裂石",$AL257*1.5,0))*(1+$AZ257)*(1+$BA257)+($BC257*IF($G$1="牵丝",$AK257,$AI257)+IF($G$1="牵丝",$AL257*1.5,0))*(1+$BD257)*(1+$BE257)+($BG257*IF($G$1="破竹",$AK257,$AI257)+IF($G$1="破竹",$AL257*1.5,0))*(1+$BH257)*(1+$BI257))*(1+$AM257)*$BN257*$Q257*(1+IF(VLOOKUP($R257,武学奇术!$A:$ZZ,30,FALSE)="流血",$B$21,0))*(1+$BR257)</f>
        <v>17815.3462329235</v>
      </c>
      <c r="O257" s="24">
        <f>((($AO257+$AP257)/2*$AI257+$AJ257)*(1+$AQ257)*(1+$AR257)+(($AT257+$AU257)/2*IF($G$1="鸣金",$AK257,$AI257)+IF($G$1="鸣金",$AL257*1.5,0))*(1+$AV257)*(1+$AW257)+(($AX257+$AY257)/2*IF($G$1="裂石",$AK257,$AI257)+IF($G$1="裂石",$AL257*1.5,0))*(1+$AZ257)*(1+$BA257)+(($BB257+$BC257)/2*IF($G$1="牵丝",$AK257,$AI257)+IF($G$1="牵丝",$AL257*1.5,0))*(1+$BD257)*(1+$BE257)+(($BF257+$BG257)/2*IF($G$1="破竹",$AK257,$AI257)+IF($G$1="破竹",$AL257*1.5,0))*(1+$BH257)*(1+$BI257))*(1+$AM257)*$Q257*(1+IF(VLOOKUP($R257,武学奇术!$A:$ZZ,30,FALSE)="流血",$B$21,0))*(1+$BR257)</f>
        <v>6440.09899345163</v>
      </c>
      <c r="P257" s="24">
        <f>((($AO257*$AI257+$AJ257)*(1+$AQ257)*(1+$AR257)+($AT257*IF($G$1="鸣金",$AK257,$AI257)+IF($G$1="鸣金",$AL257*1.5,0))*(1+$AV257)*(1+$AW257)+($AX257*IF($G$1="裂石",$AK257,$AI257)+IF($G$1="裂石",$AL257*1.5,0))*(1+$AZ257)*(1+$BA257)+($BB257*IF($G$1="牵丝",$AK257,$AI257)+IF($G$1="牵丝",$AL257*1.5,0))*(1+$BD257)*(1+$BE257)+($BF257*IF($G$1="破竹",$AK257,$AI257)+IF($G$1="破竹",$AL257*1.5,0))*(1+$BH257)*(1+$BI257))*(1+$AM257))*$Q257*(1+IF(VLOOKUP($R257,武学奇术!$A:$ZZ,30,FALSE)="流血",$B$21,0))*(1+$BR257)</f>
        <v>2882.80952847257</v>
      </c>
      <c r="Q257" s="31">
        <v>1</v>
      </c>
      <c r="R257" s="32" t="s">
        <v>199</v>
      </c>
      <c r="S257" s="32" t="s">
        <v>72</v>
      </c>
      <c r="T257" s="32" t="s">
        <v>96</v>
      </c>
      <c r="U257" s="32" t="s">
        <v>195</v>
      </c>
      <c r="V257" s="32" t="s">
        <v>73</v>
      </c>
      <c r="W257" s="32" t="s">
        <v>73</v>
      </c>
      <c r="X257" s="32" t="s">
        <v>127</v>
      </c>
      <c r="Y257" s="32" t="s">
        <v>73</v>
      </c>
      <c r="Z257" s="32" t="s">
        <v>73</v>
      </c>
      <c r="AA257" s="32" t="s">
        <v>81</v>
      </c>
      <c r="AB257" s="32" t="s">
        <v>75</v>
      </c>
      <c r="AC257" s="32" t="s">
        <v>89</v>
      </c>
      <c r="AD257" s="32" t="s">
        <v>82</v>
      </c>
      <c r="AE257" s="32" t="s">
        <v>73</v>
      </c>
      <c r="AF257" s="32" t="s">
        <v>73</v>
      </c>
      <c r="AG257" s="32" t="s">
        <v>178</v>
      </c>
      <c r="AH257" t="str">
        <f>VLOOKUP($R257,武学奇术!$A:$ZZ,25,FALSE)</f>
        <v>剑</v>
      </c>
      <c r="AI257" s="21">
        <f>VLOOKUP($R257,武学奇术!$A:$ZZ,26,FALSE)</f>
        <v>0.3465</v>
      </c>
      <c r="AJ257" s="22">
        <f>VLOOKUP($R257,武学奇术!$A:$ZZ,27,FALSE)*(1+IF(OR($AH257=$F$4,$AH257=$F$5),$B$22,0))</f>
        <v>0</v>
      </c>
      <c r="AK257" s="21">
        <f>VLOOKUP($R257,武学奇术!$A:$ZZ,28,FALSE)</f>
        <v>0.51975</v>
      </c>
      <c r="AL257" s="22">
        <f>VLOOKUP($R257,武学奇术!$A:$ZZ,29,FALSE)*(1+IF(OR($AH257=$F$4,$AH257=$F$5),$B$22,0))</f>
        <v>0</v>
      </c>
      <c r="AM257" s="21" cm="1">
        <f t="array" ref="AM257">$G$3+IFERROR(VLOOKUP($AH257,$F$4:$G$7,2,FALSE),0)+VLOOKUP($R257,武学奇术!$A:$ZZ,2,FALSE)+SUM(_xlfn.XLOOKUP($S257:$AG257,增益!$A:$A,增益!$B:$B,0))</f>
        <v>0.6391</v>
      </c>
      <c r="AN257" s="21" cm="1">
        <f t="array" ref="AN257">VLOOKUP($R257,武学奇术!$A:$ZZ,5,FALSE)+SUM(_xlfn.XLOOKUP($S257:$AG257,增益!$A:$A,增益!$E:$E,0))</f>
        <v>0</v>
      </c>
      <c r="AO257" cm="1">
        <f t="array" ref="AO257">$D$10*(1+$AN257)+VLOOKUP($R257,武学奇术!$A:$ZZ,3,FALSE)+SUM(_xlfn.XLOOKUP($S257:$AG257,增益!$A:$A,增益!$C:$C,0))-$I$2</f>
        <v>1794.28</v>
      </c>
      <c r="AP257" cm="1">
        <f t="array" ref="AP257">$E$10*(1+$AN257)+VLOOKUP($R257,武学奇术!$A:$ZZ,4,FALSE)+SUM(_xlfn.XLOOKUP($S257:$AG257,增益!$A:$A,增益!$D:$D,0))-$I$2</f>
        <v>7726.36</v>
      </c>
      <c r="AQ257" s="26" cm="1">
        <f t="array" ref="AQ257">IF($F$10-$I$3+VLOOKUP($R257,武学奇术!$A:$ZZ,6,FALSE)+SUM(_xlfn.XLOOKUP(S257:AG257,增益!$A:$A,增益!$F:$F,0))&gt;0,($F$10-$I$3+VLOOKUP($R257,武学奇术!$A:$ZZ,6,FALSE)+SUM(_xlfn.XLOOKUP(S257:AG257,增益!$A:$A,增益!$F:$F,0)))/200,($F$10-$I$3+VLOOKUP($R257,武学奇术!$A:$ZZ,6,FALSE)+SUM(_xlfn.XLOOKUP(S257:AG257,增益!$A:$A,增益!$F:$F,0)))/100)</f>
        <v>0.319</v>
      </c>
      <c r="AR257" s="26" cm="1">
        <f t="array" ref="AR257">$G$10+VLOOKUP($R257,武学奇术!$A:$ZZ,7,FALSE)+SUM(_xlfn.XLOOKUP(S257:AG257,增益!$A:$A,增益!$G:$G,0))</f>
        <v>0</v>
      </c>
      <c r="AS257" s="21" cm="1">
        <f t="array" ref="AS257">VLOOKUP($R257,武学奇术!$A:$ZZ,8,FALSE)+SUM(_xlfn.XLOOKUP(S257:AG257,增益!$A:$A,增益!$H:$H,0))</f>
        <v>0</v>
      </c>
      <c r="AT257">
        <f t="shared" si="34"/>
        <v>680.02</v>
      </c>
      <c r="AU257">
        <f t="shared" si="35"/>
        <v>1288.54</v>
      </c>
      <c r="AV257" s="26" cm="1">
        <f t="array" ref="AV257">IF($F$11-$I$4+VLOOKUP($R257,武学奇术!$A:$ZZ,9,FALSE)+SUM(_xlfn.XLOOKUP(S257:AG257,增益!$A:$A,增益!$I:$I,0))&gt;0,($F$11-$I$4+VLOOKUP($R257,武学奇术!$A:$ZZ,9,FALSE)+SUM(_xlfn.XLOOKUP(S257:AG257,增益!$A:$A,增益!$I:$I,0)))/200,($F$11-$I$4+VLOOKUP($R257,武学奇术!$A:$ZZ,9,FALSE)+SUM(_xlfn.XLOOKUP(S257:AG257,增益!$A:$A,增益!$I:$I,0)))/100)</f>
        <v>0.075</v>
      </c>
      <c r="AW257" s="26" cm="1">
        <f t="array" ref="AW257">$G$11+VLOOKUP($R257,武学奇术!$A:$ZZ,10,FALSE)+SUM(_xlfn.XLOOKUP(S257:AG257,增益!$A:$A,增益!$J:$J,0))</f>
        <v>0.15</v>
      </c>
      <c r="AX257">
        <f t="shared" si="36"/>
        <v>0</v>
      </c>
      <c r="AY257">
        <f t="shared" si="37"/>
        <v>0</v>
      </c>
      <c r="AZ257" s="26" cm="1">
        <f t="array" ref="AZ257">IF($F$12-$I$4+VLOOKUP($R257,武学奇术!$A:$ZZ,11,FALSE)+SUM(_xlfn.XLOOKUP(S257:AG257,增益!$A:$A,增益!$K:$K,0))&gt;0,($F$12-$I$4+VLOOKUP($R257,武学奇术!$A:$ZZ,11,FALSE)+SUM(_xlfn.XLOOKUP(S257:AG257,增益!$A:$A,增益!$K:$K,0)))/200,($F$12-$I$4+VLOOKUP($R257,武学奇术!$A:$ZZ,11,FALSE)+SUM(_xlfn.XLOOKUP(S257:AG257,增益!$A:$A,增益!$K:$K,0)))/100)</f>
        <v>-0.3</v>
      </c>
      <c r="BA257" s="26" cm="1">
        <f t="array" ref="BA257">$G$12+VLOOKUP($R257,武学奇术!$A:$ZZ,12,FALSE)+SUM(_xlfn.XLOOKUP(S257:AG257,增益!$A:$A,增益!$L:$L,0))</f>
        <v>0</v>
      </c>
      <c r="BB257">
        <f t="shared" si="38"/>
        <v>0</v>
      </c>
      <c r="BC257">
        <f t="shared" si="39"/>
        <v>0</v>
      </c>
      <c r="BD257" s="26" cm="1">
        <f t="array" ref="BD257">IF($F$13-$I$4+VLOOKUP($R257,武学奇术!$A:$ZZ,13,FALSE)+SUM(_xlfn.XLOOKUP(S257:AG257,增益!$A:$A,增益!$M:$M,0))&gt;0,($F$13-$I$4+VLOOKUP($R257,武学奇术!$A:$ZZ,13,FALSE)+SUM(_xlfn.XLOOKUP(S257:AG257,增益!$A:$A,增益!$K:$K,0)))/200,($F$13-$I$4+VLOOKUP($R257,武学奇术!$A:$ZZ,13,FALSE)+SUM(_xlfn.XLOOKUP(S257:AG257,增益!$A:$A,增益!$M:$M,0)))/100)</f>
        <v>-0.3</v>
      </c>
      <c r="BE257" s="26" cm="1">
        <f t="array" ref="BE257">$G$13+VLOOKUP($R257,武学奇术!$A:$ZZ,14,FALSE)+SUM(_xlfn.XLOOKUP(S257:AG257,增益!$A:$A,增益!$N:$N,0))</f>
        <v>0</v>
      </c>
      <c r="BF257">
        <f t="shared" si="40"/>
        <v>0</v>
      </c>
      <c r="BG257">
        <f t="shared" si="41"/>
        <v>0</v>
      </c>
      <c r="BH257" s="26" cm="1">
        <f t="array" ref="BH257">IF($F$14-$I$4+VLOOKUP($R257,武学奇术!$A:$ZZ,15,FALSE)+SUM(_xlfn.XLOOKUP(S257:AG257,增益!$A:$A,增益!$O:$O,0))&gt;0,($F$14-$I$4+VLOOKUP($R257,武学奇术!$A:$ZZ,15,FALSE)+SUM(_xlfn.XLOOKUP(S257:AG257,增益!$A:$A,增益!$O:$O,0)))/200,($F$14-$I$4+VLOOKUP($R257,武学奇术!$A:$ZZ,15,FALSE)+SUM(_xlfn.XLOOKUP(S257:AG257,增益!$A:$A,增益!$O:$O,0)))/100)</f>
        <v>-0.3</v>
      </c>
      <c r="BI257" s="26" cm="1">
        <f t="array" ref="BI257">$G$14+VLOOKUP($R257,武学奇术!$A:$ZZ,16,FALSE)+SUM(_xlfn.XLOOKUP(S257:AG257,增益!$A:$A,增益!$P:$P,0))</f>
        <v>0</v>
      </c>
      <c r="BJ257" s="21">
        <f>MIN(IF(VLOOKUP($R257,武学奇术!$A:$ZZ,23,FALSE)=1,100%,$B$8),100%)</f>
        <v>0.8229</v>
      </c>
      <c r="BK257" s="21" cm="1">
        <f t="array" ref="BK257">IF(VLOOKUP($R257,武学奇术!$A:$ZZ,23,FALSE)=1,100%,MIN(80%,$B$9+VLOOKUP($R257,武学奇术!$A:$ZZ,17,FALSE)+SUM(_xlfn.XLOOKUP(S257:AG257,增益!$A:$A,增益!$Q:$Q,0)))+$B$11+SUM(_xlfn.XLOOKUP(S257:AG257,增益!$A:$A,增益!$U:$U,0)))*IF(VLOOKUP($R257,武学奇术!$A:$ZZ,24,FALSE)=1,0,1)</f>
        <v>0.2285</v>
      </c>
      <c r="BL257" s="21" cm="1">
        <f t="array" ref="BL257">1+$B$13+VLOOKUP($R257,武学奇术!$A:$ZZ,18,FALSE)+SUM(_xlfn.XLOOKUP(S257:AG257,增益!$A:$A,增益!$R:$R,0))</f>
        <v>1.5</v>
      </c>
      <c r="BM257" s="21" cm="1">
        <f t="array" ref="BM257">IF(VLOOKUP($R257,武学奇术!$A:$ZZ,24,FALSE)=1,100%,MIN(40%,$B$10+VLOOKUP($R257,武学奇术!$A:$ZZ,19,FALSE)+SUM(_xlfn.XLOOKUP(S257:AG257,增益!$A:$A,增益!$S:$S,0)))+$B$12+SUM(_xlfn.XLOOKUP(S257:AG257,增益!$A:$A,增益!$V:$V,0)))*IF(VLOOKUP($R257,武学奇术!$A:$ZZ,23,FALSE)=1,0,1)</f>
        <v>0.4495</v>
      </c>
      <c r="BN257" s="21" cm="1">
        <f t="array" ref="BN257">1+$B$14+VLOOKUP($R257,武学奇术!$A:$ZZ,20,FALSE)+SUM(_xlfn.XLOOKUP(S257:AG257,增益!$A:$A,增益!$T:$T,0))</f>
        <v>1.782</v>
      </c>
      <c r="BO257" s="21">
        <f t="shared" si="42"/>
        <v>0.18803265</v>
      </c>
      <c r="BP257" s="21">
        <f t="shared" si="43"/>
        <v>0.2649738</v>
      </c>
      <c r="BQ257" s="21">
        <f>IF(VLOOKUP($R257,武学奇术!$A:$ZZ,22,FALSE)=1,0,(1-$BJ257))*(1-$BM257)</f>
        <v>0.09749355</v>
      </c>
      <c r="BR257" s="21" cm="1">
        <f t="array" ref="BR257">SUM(_xlfn.XLOOKUP(S257:AG257,增益!$A:$A,增益!$W:$W,0))+$I$5</f>
        <v>0.06</v>
      </c>
    </row>
    <row r="258" spans="11:70">
      <c r="K258" s="24">
        <f>$L258*VLOOKUP($R258,武学奇术!$A:$ZZ,31,FALSE)</f>
        <v>4840.72394615069</v>
      </c>
      <c r="L258" s="24">
        <f t="shared" ref="L258:L298" si="44">($M258*$BO258+$N258*$BM258+$O258*$BP258+$P258*$BQ258)</f>
        <v>8067.87324358449</v>
      </c>
      <c r="M258" s="24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BL258*$Q258*(1+IF(VLOOKUP($R258,武学奇术!$A:$ZZ,30,FALSE)="流血",$B$21,0))*(1+$BR258)</f>
        <v>6598.14486131301</v>
      </c>
      <c r="N258" s="24">
        <f>(($AP258*$AI258+$AJ258)*(1+$AQ258)*(1+$AR258)+($AU258*IF($G$1="鸣金",$AK258,$AI258)+IF($G$1="鸣金",$AL258*1.5,0))*(1+$AV258)*(1+$AW258)+($AY258*IF($G$1="裂石",$AK258,$AI258)+IF($G$1="裂石",$AL258*1.5,0))*(1+$AZ258)*(1+$BA258)+($BC258*IF($G$1="牵丝",$AK258,$AI258)+IF($G$1="牵丝",$AL258*1.5,0))*(1+$BD258)*(1+$BE258)+($BG258*IF($G$1="破竹",$AK258,$AI258)+IF($G$1="破竹",$AL258*1.5,0))*(1+$BH258)*(1+$BI258))*(1+$AM258)*$BN258*$Q258*(1+IF(VLOOKUP($R258,武学奇术!$A:$ZZ,30,FALSE)="流血",$B$21,0))*(1+$BR258)</f>
        <v>12168.3673205232</v>
      </c>
      <c r="O258" s="24">
        <f>((($AO258+$AP258)/2*$AI258+$AJ258)*(1+$AQ258)*(1+$AR258)+(($AT258+$AU258)/2*IF($G$1="鸣金",$AK258,$AI258)+IF($G$1="鸣金",$AL258*1.5,0))*(1+$AV258)*(1+$AW258)+(($AX258+$AY258)/2*IF($G$1="裂石",$AK258,$AI258)+IF($G$1="裂石",$AL258*1.5,0))*(1+$AZ258)*(1+$BA258)+(($BB258+$BC258)/2*IF($G$1="牵丝",$AK258,$AI258)+IF($G$1="牵丝",$AL258*1.5,0))*(1+$BD258)*(1+$BE258)+(($BF258+$BG258)/2*IF($G$1="破竹",$AK258,$AI258)+IF($G$1="破竹",$AL258*1.5,0))*(1+$BH258)*(1+$BI258))*(1+$AM258)*$Q258*(1+IF(VLOOKUP($R258,武学奇术!$A:$ZZ,30,FALSE)="流血",$B$21,0))*(1+$BR258)</f>
        <v>4398.76324087534</v>
      </c>
      <c r="P258" s="24">
        <f>((($AO258*$AI258+$AJ258)*(1+$AQ258)*(1+$AR258)+($AT258*IF($G$1="鸣金",$AK258,$AI258)+IF($G$1="鸣金",$AL258*1.5,0))*(1+$AV258)*(1+$AW258)+($AX258*IF($G$1="裂石",$AK258,$AI258)+IF($G$1="裂石",$AL258*1.5,0))*(1+$AZ258)*(1+$BA258)+($BB258*IF($G$1="牵丝",$AK258,$AI258)+IF($G$1="牵丝",$AL258*1.5,0))*(1+$BD258)*(1+$BE258)+($BF258*IF($G$1="破竹",$AK258,$AI258)+IF($G$1="破竹",$AL258*1.5,0))*(1+$BH258)*(1+$BI258))*(1+$AM258))*$Q258*(1+IF(VLOOKUP($R258,武学奇术!$A:$ZZ,30,FALSE)="流血",$B$21,0))*(1+$BR258)</f>
        <v>1969.03752522815</v>
      </c>
      <c r="Q258" s="31">
        <v>1</v>
      </c>
      <c r="R258" s="32" t="s">
        <v>198</v>
      </c>
      <c r="S258" s="32" t="s">
        <v>87</v>
      </c>
      <c r="T258" s="32" t="s">
        <v>96</v>
      </c>
      <c r="U258" s="32" t="s">
        <v>97</v>
      </c>
      <c r="V258" s="32" t="s">
        <v>73</v>
      </c>
      <c r="W258" s="32" t="s">
        <v>73</v>
      </c>
      <c r="X258" s="32" t="s">
        <v>127</v>
      </c>
      <c r="Y258" s="32" t="s">
        <v>73</v>
      </c>
      <c r="Z258" s="32" t="s">
        <v>73</v>
      </c>
      <c r="AA258" s="32" t="s">
        <v>81</v>
      </c>
      <c r="AB258" s="32" t="s">
        <v>75</v>
      </c>
      <c r="AC258" s="32" t="s">
        <v>89</v>
      </c>
      <c r="AD258" s="32" t="s">
        <v>82</v>
      </c>
      <c r="AE258" s="32" t="s">
        <v>73</v>
      </c>
      <c r="AF258" s="32" t="s">
        <v>73</v>
      </c>
      <c r="AG258" s="32" t="s">
        <v>178</v>
      </c>
      <c r="AH258" t="str">
        <f>VLOOKUP($R258,武学奇术!$A:$ZZ,25,FALSE)</f>
        <v>剑</v>
      </c>
      <c r="AI258" s="21">
        <f>VLOOKUP($R258,武学奇术!$A:$ZZ,26,FALSE)</f>
        <v>0.17325</v>
      </c>
      <c r="AJ258" s="22">
        <f>VLOOKUP($R258,武学奇术!$A:$ZZ,27,FALSE)*(1+IF(OR($AH258=$F$4,$AH258=$F$5),$B$22,0))</f>
        <v>0</v>
      </c>
      <c r="AK258" s="21">
        <f>VLOOKUP($R258,武学奇术!$A:$ZZ,28,FALSE)</f>
        <v>0.259875</v>
      </c>
      <c r="AL258" s="22">
        <f>VLOOKUP($R258,武学奇术!$A:$ZZ,29,FALSE)*(1+IF(OR($AH258=$F$4,$AH258=$F$5),$B$22,0))</f>
        <v>0</v>
      </c>
      <c r="AM258" s="21" cm="1">
        <f t="array" ref="AM258">$G$3+IFERROR(VLOOKUP($AH258,$F$4:$G$7,2,FALSE),0)+VLOOKUP($R258,武学奇术!$A:$ZZ,2,FALSE)+SUM(_xlfn.XLOOKUP($S258:$AG258,增益!$A:$A,增益!$B:$B,0))</f>
        <v>1.2391</v>
      </c>
      <c r="AN258" s="21" cm="1">
        <f t="array" ref="AN258">VLOOKUP($R258,武学奇术!$A:$ZZ,5,FALSE)+SUM(_xlfn.XLOOKUP($S258:$AG258,增益!$A:$A,增益!$E:$E,0))</f>
        <v>0</v>
      </c>
      <c r="AO258" cm="1">
        <f t="array" ref="AO258">$D$10*(1+$AN258)+VLOOKUP($R258,武学奇术!$A:$ZZ,3,FALSE)+SUM(_xlfn.XLOOKUP($S258:$AG258,增益!$A:$A,增益!$C:$C,0))-$I$2</f>
        <v>1794.28</v>
      </c>
      <c r="AP258" cm="1">
        <f t="array" ref="AP258">$E$10*(1+$AN258)+VLOOKUP($R258,武学奇术!$A:$ZZ,4,FALSE)+SUM(_xlfn.XLOOKUP($S258:$AG258,增益!$A:$A,增益!$D:$D,0))-$I$2</f>
        <v>7726.36</v>
      </c>
      <c r="AQ258" s="26" cm="1">
        <f t="array" ref="AQ258">IF($F$10-$I$3+VLOOKUP($R258,武学奇术!$A:$ZZ,6,FALSE)+SUM(_xlfn.XLOOKUP(S258:AG258,增益!$A:$A,增益!$F:$F,0))&gt;0,($F$10-$I$3+VLOOKUP($R258,武学奇术!$A:$ZZ,6,FALSE)+SUM(_xlfn.XLOOKUP(S258:AG258,增益!$A:$A,增益!$F:$F,0)))/200,($F$10-$I$3+VLOOKUP($R258,武学奇术!$A:$ZZ,6,FALSE)+SUM(_xlfn.XLOOKUP(S258:AG258,增益!$A:$A,增益!$F:$F,0)))/100)</f>
        <v>0.319</v>
      </c>
      <c r="AR258" s="26" cm="1">
        <f t="array" ref="AR258">$G$10+VLOOKUP($R258,武学奇术!$A:$ZZ,7,FALSE)+SUM(_xlfn.XLOOKUP(S258:AG258,增益!$A:$A,增益!$G:$G,0))</f>
        <v>0</v>
      </c>
      <c r="AS258" s="21" cm="1">
        <f t="array" ref="AS258">VLOOKUP($R258,武学奇术!$A:$ZZ,8,FALSE)+SUM(_xlfn.XLOOKUP(S258:AG258,增益!$A:$A,增益!$H:$H,0))</f>
        <v>0</v>
      </c>
      <c r="AT258">
        <f t="shared" ref="AT258:AT298" si="45">$D$11*(1+$AS258)</f>
        <v>680.02</v>
      </c>
      <c r="AU258">
        <f t="shared" ref="AU258:AU298" si="46">$E$11*(1+$AS258)</f>
        <v>1288.54</v>
      </c>
      <c r="AV258" s="26" cm="1">
        <f t="array" ref="AV258">IF($F$11-$I$4+VLOOKUP($R258,武学奇术!$A:$ZZ,9,FALSE)+SUM(_xlfn.XLOOKUP(S258:AG258,增益!$A:$A,增益!$I:$I,0))&gt;0,($F$11-$I$4+VLOOKUP($R258,武学奇术!$A:$ZZ,9,FALSE)+SUM(_xlfn.XLOOKUP(S258:AG258,增益!$A:$A,增益!$I:$I,0)))/200,($F$11-$I$4+VLOOKUP($R258,武学奇术!$A:$ZZ,9,FALSE)+SUM(_xlfn.XLOOKUP(S258:AG258,增益!$A:$A,增益!$I:$I,0)))/100)</f>
        <v>0.075</v>
      </c>
      <c r="AW258" s="26" cm="1">
        <f t="array" ref="AW258">$G$11+VLOOKUP($R258,武学奇术!$A:$ZZ,10,FALSE)+SUM(_xlfn.XLOOKUP(S258:AG258,增益!$A:$A,增益!$J:$J,0))</f>
        <v>0.15</v>
      </c>
      <c r="AX258">
        <f t="shared" ref="AX258:AX298" si="47">$D$12*(1+$AS258)</f>
        <v>0</v>
      </c>
      <c r="AY258">
        <f t="shared" ref="AY258:AY298" si="48">$E$12*(1+$AS258)</f>
        <v>0</v>
      </c>
      <c r="AZ258" s="26" cm="1">
        <f t="array" ref="AZ258">IF($F$12-$I$4+VLOOKUP($R258,武学奇术!$A:$ZZ,11,FALSE)+SUM(_xlfn.XLOOKUP(S258:AG258,增益!$A:$A,增益!$K:$K,0))&gt;0,($F$12-$I$4+VLOOKUP($R258,武学奇术!$A:$ZZ,11,FALSE)+SUM(_xlfn.XLOOKUP(S258:AG258,增益!$A:$A,增益!$K:$K,0)))/200,($F$12-$I$4+VLOOKUP($R258,武学奇术!$A:$ZZ,11,FALSE)+SUM(_xlfn.XLOOKUP(S258:AG258,增益!$A:$A,增益!$K:$K,0)))/100)</f>
        <v>-0.3</v>
      </c>
      <c r="BA258" s="26" cm="1">
        <f t="array" ref="BA258">$G$12+VLOOKUP($R258,武学奇术!$A:$ZZ,12,FALSE)+SUM(_xlfn.XLOOKUP(S258:AG258,增益!$A:$A,增益!$L:$L,0))</f>
        <v>0</v>
      </c>
      <c r="BB258">
        <f t="shared" ref="BB258:BB298" si="49">$D$13*(1+$AS258)</f>
        <v>0</v>
      </c>
      <c r="BC258">
        <f t="shared" ref="BC258:BC298" si="50">$E$13*(1+$AS258)</f>
        <v>0</v>
      </c>
      <c r="BD258" s="26" cm="1">
        <f t="array" ref="BD258">IF($F$13-$I$4+VLOOKUP($R258,武学奇术!$A:$ZZ,13,FALSE)+SUM(_xlfn.XLOOKUP(S258:AG258,增益!$A:$A,增益!$M:$M,0))&gt;0,($F$13-$I$4+VLOOKUP($R258,武学奇术!$A:$ZZ,13,FALSE)+SUM(_xlfn.XLOOKUP(S258:AG258,增益!$A:$A,增益!$K:$K,0)))/200,($F$13-$I$4+VLOOKUP($R258,武学奇术!$A:$ZZ,13,FALSE)+SUM(_xlfn.XLOOKUP(S258:AG258,增益!$A:$A,增益!$M:$M,0)))/100)</f>
        <v>-0.3</v>
      </c>
      <c r="BE258" s="26" cm="1">
        <f t="array" ref="BE258">$G$13+VLOOKUP($R258,武学奇术!$A:$ZZ,14,FALSE)+SUM(_xlfn.XLOOKUP(S258:AG258,增益!$A:$A,增益!$N:$N,0))</f>
        <v>0</v>
      </c>
      <c r="BF258">
        <f t="shared" ref="BF258:BF298" si="51">$D$14*(1+$AS258)</f>
        <v>0</v>
      </c>
      <c r="BG258">
        <f t="shared" ref="BG258:BG298" si="52">$E$14*(1+$AS258)</f>
        <v>0</v>
      </c>
      <c r="BH258" s="26" cm="1">
        <f t="array" ref="BH258">IF($F$14-$I$4+VLOOKUP($R258,武学奇术!$A:$ZZ,15,FALSE)+SUM(_xlfn.XLOOKUP(S258:AG258,增益!$A:$A,增益!$O:$O,0))&gt;0,($F$14-$I$4+VLOOKUP($R258,武学奇术!$A:$ZZ,15,FALSE)+SUM(_xlfn.XLOOKUP(S258:AG258,增益!$A:$A,增益!$O:$O,0)))/200,($F$14-$I$4+VLOOKUP($R258,武学奇术!$A:$ZZ,15,FALSE)+SUM(_xlfn.XLOOKUP(S258:AG258,增益!$A:$A,增益!$O:$O,0)))/100)</f>
        <v>-0.3</v>
      </c>
      <c r="BI258" s="26" cm="1">
        <f t="array" ref="BI258">$G$14+VLOOKUP($R258,武学奇术!$A:$ZZ,16,FALSE)+SUM(_xlfn.XLOOKUP(S258:AG258,增益!$A:$A,增益!$P:$P,0))</f>
        <v>0</v>
      </c>
      <c r="BJ258" s="21">
        <f>MIN(IF(VLOOKUP($R258,武学奇术!$A:$ZZ,23,FALSE)=1,100%,$B$8),100%)</f>
        <v>0.8229</v>
      </c>
      <c r="BK258" s="21" cm="1">
        <f t="array" ref="BK258">IF(VLOOKUP($R258,武学奇术!$A:$ZZ,23,FALSE)=1,100%,MIN(80%,$B$9+VLOOKUP($R258,武学奇术!$A:$ZZ,17,FALSE)+SUM(_xlfn.XLOOKUP(S258:AG258,增益!$A:$A,增益!$Q:$Q,0)))+$B$11+SUM(_xlfn.XLOOKUP(S258:AG258,增益!$A:$A,增益!$U:$U,0)))*IF(VLOOKUP($R258,武学奇术!$A:$ZZ,24,FALSE)=1,0,1)</f>
        <v>0.2285</v>
      </c>
      <c r="BL258" s="21" cm="1">
        <f t="array" ref="BL258">1+$B$13+VLOOKUP($R258,武学奇术!$A:$ZZ,18,FALSE)+SUM(_xlfn.XLOOKUP(S258:AG258,增益!$A:$A,增益!$R:$R,0))</f>
        <v>1.5</v>
      </c>
      <c r="BM258" s="21" cm="1">
        <f t="array" ref="BM258">IF(VLOOKUP($R258,武学奇术!$A:$ZZ,24,FALSE)=1,100%,MIN(40%,$B$10+VLOOKUP($R258,武学奇术!$A:$ZZ,19,FALSE)+SUM(_xlfn.XLOOKUP(S258:AG258,增益!$A:$A,增益!$S:$S,0)))+$B$12+SUM(_xlfn.XLOOKUP(S258:AG258,增益!$A:$A,增益!$V:$V,0)))*IF(VLOOKUP($R258,武学奇术!$A:$ZZ,23,FALSE)=1,0,1)</f>
        <v>0.4495</v>
      </c>
      <c r="BN258" s="21" cm="1">
        <f t="array" ref="BN258">1+$B$14+VLOOKUP($R258,武学奇术!$A:$ZZ,20,FALSE)+SUM(_xlfn.XLOOKUP(S258:AG258,增益!$A:$A,增益!$T:$T,0))</f>
        <v>1.782</v>
      </c>
      <c r="BO258" s="21">
        <f t="shared" ref="BO258:BO298" si="53">MIN((1-BM258)*BJ258,BJ258*BK258)</f>
        <v>0.18803265</v>
      </c>
      <c r="BP258" s="21">
        <f t="shared" ref="BP258:BP298" si="54">1-BM258-BO258-BQ258</f>
        <v>0.2649738</v>
      </c>
      <c r="BQ258" s="21">
        <f>IF(VLOOKUP($R258,武学奇术!$A:$ZZ,22,FALSE)=1,0,(1-$BJ258))*(1-$BM258)</f>
        <v>0.09749355</v>
      </c>
      <c r="BR258" s="21" cm="1">
        <f t="array" ref="BR258">SUM(_xlfn.XLOOKUP(S258:AG258,增益!$A:$A,增益!$W:$W,0))+$I$5</f>
        <v>0.06</v>
      </c>
    </row>
    <row r="259" spans="11:70">
      <c r="K259" s="24">
        <f>$L259*VLOOKUP($R259,武学奇术!$A:$ZZ,31,FALSE)</f>
        <v>9719.94605201287</v>
      </c>
      <c r="L259" s="24">
        <f t="shared" si="44"/>
        <v>16199.9100866881</v>
      </c>
      <c r="M259" s="24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BL259*$Q259*(1+IF(VLOOKUP($R259,武学奇术!$A:$ZZ,30,FALSE)="流血",$B$21,0))*(1+$BR259)</f>
        <v>13262.8713297513</v>
      </c>
      <c r="N259" s="24">
        <f>(($AP259*$AI259+$AJ259)*(1+$AQ259)*(1+$AR259)+($AU259*IF($G$1="鸣金",$AK259,$AI259)+IF($G$1="鸣金",$AL259*1.5,0))*(1+$AV259)*(1+$AW259)+($AY259*IF($G$1="裂石",$AK259,$AI259)+IF($G$1="裂石",$AL259*1.5,0))*(1+$AZ259)*(1+$BA259)+($BC259*IF($G$1="牵丝",$AK259,$AI259)+IF($G$1="牵丝",$AL259*1.5,0))*(1+$BD259)*(1+$BE259)+($BG259*IF($G$1="破竹",$AK259,$AI259)+IF($G$1="破竹",$AL259*1.5,0))*(1+$BH259)*(1+$BI259))*(1+$AM259)*$BN259*$Q259*(1+IF(VLOOKUP($R259,武学奇术!$A:$ZZ,30,FALSE)="流血",$B$21,0))*(1+$BR259)</f>
        <v>24415.8335903111</v>
      </c>
      <c r="O259" s="24">
        <f>((($AO259+$AP259)/2*$AI259+$AJ259)*(1+$AQ259)*(1+$AR259)+(($AT259+$AU259)/2*IF($G$1="鸣金",$AK259,$AI259)+IF($G$1="鸣金",$AL259*1.5,0))*(1+$AV259)*(1+$AW259)+(($AX259+$AY259)/2*IF($G$1="裂石",$AK259,$AI259)+IF($G$1="裂石",$AL259*1.5,0))*(1+$AZ259)*(1+$BA259)+(($BB259+$BC259)/2*IF($G$1="牵丝",$AK259,$AI259)+IF($G$1="牵丝",$AL259*1.5,0))*(1+$BD259)*(1+$BE259)+(($BF259+$BG259)/2*IF($G$1="破竹",$AK259,$AI259)+IF($G$1="破竹",$AL259*1.5,0))*(1+$BH259)*(1+$BI259))*(1+$AM259)*$Q259*(1+IF(VLOOKUP($R259,武学奇术!$A:$ZZ,30,FALSE)="流血",$B$21,0))*(1+$BR259)</f>
        <v>8841.91421983417</v>
      </c>
      <c r="P259" s="24">
        <f>((($AO259*$AI259+$AJ259)*(1+$AQ259)*(1+$AR259)+($AT259*IF($G$1="鸣金",$AK259,$AI259)+IF($G$1="鸣金",$AL259*1.5,0))*(1+$AV259)*(1+$AW259)+($AX259*IF($G$1="裂石",$AK259,$AI259)+IF($G$1="裂石",$AL259*1.5,0))*(1+$AZ259)*(1+$BA259)+($BB259*IF($G$1="牵丝",$AK259,$AI259)+IF($G$1="牵丝",$AL259*1.5,0))*(1+$BD259)*(1+$BE259)+($BF259*IF($G$1="破竹",$AK259,$AI259)+IF($G$1="破竹",$AL259*1.5,0))*(1+$BH259)*(1+$BI259))*(1+$AM259))*$Q259*(1+IF(VLOOKUP($R259,武学奇术!$A:$ZZ,30,FALSE)="流血",$B$21,0))*(1+$BR259)</f>
        <v>3982.46278853979</v>
      </c>
      <c r="Q259" s="31">
        <v>1</v>
      </c>
      <c r="R259" s="32" t="s">
        <v>199</v>
      </c>
      <c r="S259" s="32" t="s">
        <v>87</v>
      </c>
      <c r="T259" s="32" t="s">
        <v>96</v>
      </c>
      <c r="U259" s="32" t="s">
        <v>97</v>
      </c>
      <c r="V259" s="32" t="s">
        <v>73</v>
      </c>
      <c r="W259" s="32" t="s">
        <v>111</v>
      </c>
      <c r="X259" s="32" t="s">
        <v>127</v>
      </c>
      <c r="Y259" s="32" t="s">
        <v>73</v>
      </c>
      <c r="Z259" s="32" t="s">
        <v>73</v>
      </c>
      <c r="AA259" s="32" t="s">
        <v>81</v>
      </c>
      <c r="AB259" s="32" t="s">
        <v>75</v>
      </c>
      <c r="AC259" s="32" t="s">
        <v>89</v>
      </c>
      <c r="AD259" s="32" t="s">
        <v>82</v>
      </c>
      <c r="AE259" s="32" t="s">
        <v>73</v>
      </c>
      <c r="AF259" s="32" t="s">
        <v>73</v>
      </c>
      <c r="AG259" s="32" t="s">
        <v>178</v>
      </c>
      <c r="AH259" t="str">
        <f>VLOOKUP($R259,武学奇术!$A:$ZZ,25,FALSE)</f>
        <v>剑</v>
      </c>
      <c r="AI259" s="21">
        <f>VLOOKUP($R259,武学奇术!$A:$ZZ,26,FALSE)</f>
        <v>0.3465</v>
      </c>
      <c r="AJ259" s="22">
        <f>VLOOKUP($R259,武学奇术!$A:$ZZ,27,FALSE)*(1+IF(OR($AH259=$F$4,$AH259=$F$5),$B$22,0))</f>
        <v>0</v>
      </c>
      <c r="AK259" s="21">
        <f>VLOOKUP($R259,武学奇术!$A:$ZZ,28,FALSE)</f>
        <v>0.51975</v>
      </c>
      <c r="AL259" s="22">
        <f>VLOOKUP($R259,武学奇术!$A:$ZZ,29,FALSE)*(1+IF(OR($AH259=$F$4,$AH259=$F$5),$B$22,0))</f>
        <v>0</v>
      </c>
      <c r="AM259" s="21" cm="1">
        <f t="array" ref="AM259">$G$3+IFERROR(VLOOKUP($AH259,$F$4:$G$7,2,FALSE),0)+VLOOKUP($R259,武学奇术!$A:$ZZ,2,FALSE)+SUM(_xlfn.XLOOKUP($S259:$AG259,增益!$A:$A,增益!$B:$B,0))</f>
        <v>1.2391</v>
      </c>
      <c r="AN259" s="21" cm="1">
        <f t="array" ref="AN259">VLOOKUP($R259,武学奇术!$A:$ZZ,5,FALSE)+SUM(_xlfn.XLOOKUP($S259:$AG259,增益!$A:$A,增益!$E:$E,0))</f>
        <v>0</v>
      </c>
      <c r="AO259" cm="1">
        <f t="array" ref="AO259">$D$10*(1+$AN259)+VLOOKUP($R259,武学奇术!$A:$ZZ,3,FALSE)+SUM(_xlfn.XLOOKUP($S259:$AG259,增益!$A:$A,增益!$C:$C,0))-$I$2</f>
        <v>1825.28</v>
      </c>
      <c r="AP259" cm="1">
        <f t="array" ref="AP259">$E$10*(1+$AN259)+VLOOKUP($R259,武学奇术!$A:$ZZ,4,FALSE)+SUM(_xlfn.XLOOKUP($S259:$AG259,增益!$A:$A,增益!$D:$D,0))-$I$2</f>
        <v>7757.36</v>
      </c>
      <c r="AQ259" s="26" cm="1">
        <f t="array" ref="AQ259">IF($F$10-$I$3+VLOOKUP($R259,武学奇术!$A:$ZZ,6,FALSE)+SUM(_xlfn.XLOOKUP(S259:AG259,增益!$A:$A,增益!$F:$F,0))&gt;0,($F$10-$I$3+VLOOKUP($R259,武学奇术!$A:$ZZ,6,FALSE)+SUM(_xlfn.XLOOKUP(S259:AG259,增益!$A:$A,增益!$F:$F,0)))/200,($F$10-$I$3+VLOOKUP($R259,武学奇术!$A:$ZZ,6,FALSE)+SUM(_xlfn.XLOOKUP(S259:AG259,增益!$A:$A,增益!$F:$F,0)))/100)</f>
        <v>0.319</v>
      </c>
      <c r="AR259" s="26" cm="1">
        <f t="array" ref="AR259">$G$10+VLOOKUP($R259,武学奇术!$A:$ZZ,7,FALSE)+SUM(_xlfn.XLOOKUP(S259:AG259,增益!$A:$A,增益!$G:$G,0))</f>
        <v>0</v>
      </c>
      <c r="AS259" s="21" cm="1">
        <f t="array" ref="AS259">VLOOKUP($R259,武学奇术!$A:$ZZ,8,FALSE)+SUM(_xlfn.XLOOKUP(S259:AG259,增益!$A:$A,增益!$H:$H,0))</f>
        <v>0</v>
      </c>
      <c r="AT259">
        <f t="shared" si="45"/>
        <v>680.02</v>
      </c>
      <c r="AU259">
        <f t="shared" si="46"/>
        <v>1288.54</v>
      </c>
      <c r="AV259" s="26" cm="1">
        <f t="array" ref="AV259">IF($F$11-$I$4+VLOOKUP($R259,武学奇术!$A:$ZZ,9,FALSE)+SUM(_xlfn.XLOOKUP(S259:AG259,增益!$A:$A,增益!$I:$I,0))&gt;0,($F$11-$I$4+VLOOKUP($R259,武学奇术!$A:$ZZ,9,FALSE)+SUM(_xlfn.XLOOKUP(S259:AG259,增益!$A:$A,增益!$I:$I,0)))/200,($F$11-$I$4+VLOOKUP($R259,武学奇术!$A:$ZZ,9,FALSE)+SUM(_xlfn.XLOOKUP(S259:AG259,增益!$A:$A,增益!$I:$I,0)))/100)</f>
        <v>0.075</v>
      </c>
      <c r="AW259" s="26" cm="1">
        <f t="array" ref="AW259">$G$11+VLOOKUP($R259,武学奇术!$A:$ZZ,10,FALSE)+SUM(_xlfn.XLOOKUP(S259:AG259,增益!$A:$A,增益!$J:$J,0))</f>
        <v>0.15</v>
      </c>
      <c r="AX259">
        <f t="shared" si="47"/>
        <v>0</v>
      </c>
      <c r="AY259">
        <f t="shared" si="48"/>
        <v>0</v>
      </c>
      <c r="AZ259" s="26" cm="1">
        <f t="array" ref="AZ259">IF($F$12-$I$4+VLOOKUP($R259,武学奇术!$A:$ZZ,11,FALSE)+SUM(_xlfn.XLOOKUP(S259:AG259,增益!$A:$A,增益!$K:$K,0))&gt;0,($F$12-$I$4+VLOOKUP($R259,武学奇术!$A:$ZZ,11,FALSE)+SUM(_xlfn.XLOOKUP(S259:AG259,增益!$A:$A,增益!$K:$K,0)))/200,($F$12-$I$4+VLOOKUP($R259,武学奇术!$A:$ZZ,11,FALSE)+SUM(_xlfn.XLOOKUP(S259:AG259,增益!$A:$A,增益!$K:$K,0)))/100)</f>
        <v>-0.3</v>
      </c>
      <c r="BA259" s="26" cm="1">
        <f t="array" ref="BA259">$G$12+VLOOKUP($R259,武学奇术!$A:$ZZ,12,FALSE)+SUM(_xlfn.XLOOKUP(S259:AG259,增益!$A:$A,增益!$L:$L,0))</f>
        <v>0</v>
      </c>
      <c r="BB259">
        <f t="shared" si="49"/>
        <v>0</v>
      </c>
      <c r="BC259">
        <f t="shared" si="50"/>
        <v>0</v>
      </c>
      <c r="BD259" s="26" cm="1">
        <f t="array" ref="BD259">IF($F$13-$I$4+VLOOKUP($R259,武学奇术!$A:$ZZ,13,FALSE)+SUM(_xlfn.XLOOKUP(S259:AG259,增益!$A:$A,增益!$M:$M,0))&gt;0,($F$13-$I$4+VLOOKUP($R259,武学奇术!$A:$ZZ,13,FALSE)+SUM(_xlfn.XLOOKUP(S259:AG259,增益!$A:$A,增益!$K:$K,0)))/200,($F$13-$I$4+VLOOKUP($R259,武学奇术!$A:$ZZ,13,FALSE)+SUM(_xlfn.XLOOKUP(S259:AG259,增益!$A:$A,增益!$M:$M,0)))/100)</f>
        <v>-0.3</v>
      </c>
      <c r="BE259" s="26" cm="1">
        <f t="array" ref="BE259">$G$13+VLOOKUP($R259,武学奇术!$A:$ZZ,14,FALSE)+SUM(_xlfn.XLOOKUP(S259:AG259,增益!$A:$A,增益!$N:$N,0))</f>
        <v>0</v>
      </c>
      <c r="BF259">
        <f t="shared" si="51"/>
        <v>0</v>
      </c>
      <c r="BG259">
        <f t="shared" si="52"/>
        <v>0</v>
      </c>
      <c r="BH259" s="26" cm="1">
        <f t="array" ref="BH259">IF($F$14-$I$4+VLOOKUP($R259,武学奇术!$A:$ZZ,15,FALSE)+SUM(_xlfn.XLOOKUP(S259:AG259,增益!$A:$A,增益!$O:$O,0))&gt;0,($F$14-$I$4+VLOOKUP($R259,武学奇术!$A:$ZZ,15,FALSE)+SUM(_xlfn.XLOOKUP(S259:AG259,增益!$A:$A,增益!$O:$O,0)))/200,($F$14-$I$4+VLOOKUP($R259,武学奇术!$A:$ZZ,15,FALSE)+SUM(_xlfn.XLOOKUP(S259:AG259,增益!$A:$A,增益!$O:$O,0)))/100)</f>
        <v>-0.3</v>
      </c>
      <c r="BI259" s="26" cm="1">
        <f t="array" ref="BI259">$G$14+VLOOKUP($R259,武学奇术!$A:$ZZ,16,FALSE)+SUM(_xlfn.XLOOKUP(S259:AG259,增益!$A:$A,增益!$P:$P,0))</f>
        <v>0</v>
      </c>
      <c r="BJ259" s="21">
        <f>MIN(IF(VLOOKUP($R259,武学奇术!$A:$ZZ,23,FALSE)=1,100%,$B$8),100%)</f>
        <v>0.8229</v>
      </c>
      <c r="BK259" s="21" cm="1">
        <f t="array" ref="BK259">IF(VLOOKUP($R259,武学奇术!$A:$ZZ,23,FALSE)=1,100%,MIN(80%,$B$9+VLOOKUP($R259,武学奇术!$A:$ZZ,17,FALSE)+SUM(_xlfn.XLOOKUP(S259:AG259,增益!$A:$A,增益!$Q:$Q,0)))+$B$11+SUM(_xlfn.XLOOKUP(S259:AG259,增益!$A:$A,增益!$U:$U,0)))*IF(VLOOKUP($R259,武学奇术!$A:$ZZ,24,FALSE)=1,0,1)</f>
        <v>0.2285</v>
      </c>
      <c r="BL259" s="21" cm="1">
        <f t="array" ref="BL259">1+$B$13+VLOOKUP($R259,武学奇术!$A:$ZZ,18,FALSE)+SUM(_xlfn.XLOOKUP(S259:AG259,增益!$A:$A,增益!$R:$R,0))</f>
        <v>1.5</v>
      </c>
      <c r="BM259" s="21" cm="1">
        <f t="array" ref="BM259">IF(VLOOKUP($R259,武学奇术!$A:$ZZ,24,FALSE)=1,100%,MIN(40%,$B$10+VLOOKUP($R259,武学奇术!$A:$ZZ,19,FALSE)+SUM(_xlfn.XLOOKUP(S259:AG259,增益!$A:$A,增益!$S:$S,0)))+$B$12+SUM(_xlfn.XLOOKUP(S259:AG259,增益!$A:$A,增益!$V:$V,0)))*IF(VLOOKUP($R259,武学奇术!$A:$ZZ,23,FALSE)=1,0,1)</f>
        <v>0.4495</v>
      </c>
      <c r="BN259" s="21" cm="1">
        <f t="array" ref="BN259">1+$B$14+VLOOKUP($R259,武学奇术!$A:$ZZ,20,FALSE)+SUM(_xlfn.XLOOKUP(S259:AG259,增益!$A:$A,增益!$T:$T,0))</f>
        <v>1.782</v>
      </c>
      <c r="BO259" s="21">
        <f t="shared" si="53"/>
        <v>0.18803265</v>
      </c>
      <c r="BP259" s="21">
        <f t="shared" si="54"/>
        <v>0.2649738</v>
      </c>
      <c r="BQ259" s="21">
        <f>IF(VLOOKUP($R259,武学奇术!$A:$ZZ,22,FALSE)=1,0,(1-$BJ259))*(1-$BM259)</f>
        <v>0.09749355</v>
      </c>
      <c r="BR259" s="21" cm="1">
        <f t="array" ref="BR259">SUM(_xlfn.XLOOKUP(S259:AG259,增益!$A:$A,增益!$W:$W,0))+$I$5</f>
        <v>0.06</v>
      </c>
    </row>
    <row r="260" spans="11:70">
      <c r="K260" s="24">
        <f>$L260*VLOOKUP($R260,武学奇术!$A:$ZZ,31,FALSE)</f>
        <v>9719.94605201287</v>
      </c>
      <c r="L260" s="24">
        <f t="shared" si="44"/>
        <v>16199.9100866881</v>
      </c>
      <c r="M260" s="24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BL260*$Q260*(1+IF(VLOOKUP($R260,武学奇术!$A:$ZZ,30,FALSE)="流血",$B$21,0))*(1+$BR260)</f>
        <v>13262.8713297513</v>
      </c>
      <c r="N260" s="24">
        <f>(($AP260*$AI260+$AJ260)*(1+$AQ260)*(1+$AR260)+($AU260*IF($G$1="鸣金",$AK260,$AI260)+IF($G$1="鸣金",$AL260*1.5,0))*(1+$AV260)*(1+$AW260)+($AY260*IF($G$1="裂石",$AK260,$AI260)+IF($G$1="裂石",$AL260*1.5,0))*(1+$AZ260)*(1+$BA260)+($BC260*IF($G$1="牵丝",$AK260,$AI260)+IF($G$1="牵丝",$AL260*1.5,0))*(1+$BD260)*(1+$BE260)+($BG260*IF($G$1="破竹",$AK260,$AI260)+IF($G$1="破竹",$AL260*1.5,0))*(1+$BH260)*(1+$BI260))*(1+$AM260)*$BN260*$Q260*(1+IF(VLOOKUP($R260,武学奇术!$A:$ZZ,30,FALSE)="流血",$B$21,0))*(1+$BR260)</f>
        <v>24415.8335903111</v>
      </c>
      <c r="O260" s="24">
        <f>((($AO260+$AP260)/2*$AI260+$AJ260)*(1+$AQ260)*(1+$AR260)+(($AT260+$AU260)/2*IF($G$1="鸣金",$AK260,$AI260)+IF($G$1="鸣金",$AL260*1.5,0))*(1+$AV260)*(1+$AW260)+(($AX260+$AY260)/2*IF($G$1="裂石",$AK260,$AI260)+IF($G$1="裂石",$AL260*1.5,0))*(1+$AZ260)*(1+$BA260)+(($BB260+$BC260)/2*IF($G$1="牵丝",$AK260,$AI260)+IF($G$1="牵丝",$AL260*1.5,0))*(1+$BD260)*(1+$BE260)+(($BF260+$BG260)/2*IF($G$1="破竹",$AK260,$AI260)+IF($G$1="破竹",$AL260*1.5,0))*(1+$BH260)*(1+$BI260))*(1+$AM260)*$Q260*(1+IF(VLOOKUP($R260,武学奇术!$A:$ZZ,30,FALSE)="流血",$B$21,0))*(1+$BR260)</f>
        <v>8841.91421983417</v>
      </c>
      <c r="P260" s="24">
        <f>((($AO260*$AI260+$AJ260)*(1+$AQ260)*(1+$AR260)+($AT260*IF($G$1="鸣金",$AK260,$AI260)+IF($G$1="鸣金",$AL260*1.5,0))*(1+$AV260)*(1+$AW260)+($AX260*IF($G$1="裂石",$AK260,$AI260)+IF($G$1="裂石",$AL260*1.5,0))*(1+$AZ260)*(1+$BA260)+($BB260*IF($G$1="牵丝",$AK260,$AI260)+IF($G$1="牵丝",$AL260*1.5,0))*(1+$BD260)*(1+$BE260)+($BF260*IF($G$1="破竹",$AK260,$AI260)+IF($G$1="破竹",$AL260*1.5,0))*(1+$BH260)*(1+$BI260))*(1+$AM260))*$Q260*(1+IF(VLOOKUP($R260,武学奇术!$A:$ZZ,30,FALSE)="流血",$B$21,0))*(1+$BR260)</f>
        <v>3982.46278853979</v>
      </c>
      <c r="Q260" s="31">
        <v>1</v>
      </c>
      <c r="R260" s="32" t="s">
        <v>199</v>
      </c>
      <c r="S260" s="32" t="s">
        <v>87</v>
      </c>
      <c r="T260" s="32" t="s">
        <v>96</v>
      </c>
      <c r="U260" s="32" t="s">
        <v>97</v>
      </c>
      <c r="V260" s="32" t="s">
        <v>73</v>
      </c>
      <c r="W260" s="32" t="s">
        <v>111</v>
      </c>
      <c r="X260" s="32" t="s">
        <v>127</v>
      </c>
      <c r="Y260" s="32" t="s">
        <v>73</v>
      </c>
      <c r="Z260" s="32" t="s">
        <v>73</v>
      </c>
      <c r="AA260" s="32" t="s">
        <v>81</v>
      </c>
      <c r="AB260" s="32" t="s">
        <v>75</v>
      </c>
      <c r="AC260" s="32" t="s">
        <v>76</v>
      </c>
      <c r="AD260" s="32" t="s">
        <v>82</v>
      </c>
      <c r="AE260" s="32" t="s">
        <v>73</v>
      </c>
      <c r="AF260" s="32" t="s">
        <v>73</v>
      </c>
      <c r="AG260" s="32" t="s">
        <v>178</v>
      </c>
      <c r="AH260" t="str">
        <f>VLOOKUP($R260,武学奇术!$A:$ZZ,25,FALSE)</f>
        <v>剑</v>
      </c>
      <c r="AI260" s="21">
        <f>VLOOKUP($R260,武学奇术!$A:$ZZ,26,FALSE)</f>
        <v>0.3465</v>
      </c>
      <c r="AJ260" s="22">
        <f>VLOOKUP($R260,武学奇术!$A:$ZZ,27,FALSE)*(1+IF(OR($AH260=$F$4,$AH260=$F$5),$B$22,0))</f>
        <v>0</v>
      </c>
      <c r="AK260" s="21">
        <f>VLOOKUP($R260,武学奇术!$A:$ZZ,28,FALSE)</f>
        <v>0.51975</v>
      </c>
      <c r="AL260" s="22">
        <f>VLOOKUP($R260,武学奇术!$A:$ZZ,29,FALSE)*(1+IF(OR($AH260=$F$4,$AH260=$F$5),$B$22,0))</f>
        <v>0</v>
      </c>
      <c r="AM260" s="21" cm="1">
        <f t="array" ref="AM260">$G$3+IFERROR(VLOOKUP($AH260,$F$4:$G$7,2,FALSE),0)+VLOOKUP($R260,武学奇术!$A:$ZZ,2,FALSE)+SUM(_xlfn.XLOOKUP($S260:$AG260,增益!$A:$A,增益!$B:$B,0))</f>
        <v>1.2391</v>
      </c>
      <c r="AN260" s="21" cm="1">
        <f t="array" ref="AN260">VLOOKUP($R260,武学奇术!$A:$ZZ,5,FALSE)+SUM(_xlfn.XLOOKUP($S260:$AG260,增益!$A:$A,增益!$E:$E,0))</f>
        <v>0</v>
      </c>
      <c r="AO260" cm="1">
        <f t="array" ref="AO260">$D$10*(1+$AN260)+VLOOKUP($R260,武学奇术!$A:$ZZ,3,FALSE)+SUM(_xlfn.XLOOKUP($S260:$AG260,增益!$A:$A,增益!$C:$C,0))-$I$2</f>
        <v>1825.28</v>
      </c>
      <c r="AP260" cm="1">
        <f t="array" ref="AP260">$E$10*(1+$AN260)+VLOOKUP($R260,武学奇术!$A:$ZZ,4,FALSE)+SUM(_xlfn.XLOOKUP($S260:$AG260,增益!$A:$A,增益!$D:$D,0))-$I$2</f>
        <v>7757.36</v>
      </c>
      <c r="AQ260" s="26" cm="1">
        <f t="array" ref="AQ260">IF($F$10-$I$3+VLOOKUP($R260,武学奇术!$A:$ZZ,6,FALSE)+SUM(_xlfn.XLOOKUP(S260:AG260,增益!$A:$A,增益!$F:$F,0))&gt;0,($F$10-$I$3+VLOOKUP($R260,武学奇术!$A:$ZZ,6,FALSE)+SUM(_xlfn.XLOOKUP(S260:AG260,增益!$A:$A,增益!$F:$F,0)))/200,($F$10-$I$3+VLOOKUP($R260,武学奇术!$A:$ZZ,6,FALSE)+SUM(_xlfn.XLOOKUP(S260:AG260,增益!$A:$A,增益!$F:$F,0)))/100)</f>
        <v>0.319</v>
      </c>
      <c r="AR260" s="26" cm="1">
        <f t="array" ref="AR260">$G$10+VLOOKUP($R260,武学奇术!$A:$ZZ,7,FALSE)+SUM(_xlfn.XLOOKUP(S260:AG260,增益!$A:$A,增益!$G:$G,0))</f>
        <v>0</v>
      </c>
      <c r="AS260" s="21" cm="1">
        <f t="array" ref="AS260">VLOOKUP($R260,武学奇术!$A:$ZZ,8,FALSE)+SUM(_xlfn.XLOOKUP(S260:AG260,增益!$A:$A,增益!$H:$H,0))</f>
        <v>0</v>
      </c>
      <c r="AT260">
        <f t="shared" si="45"/>
        <v>680.02</v>
      </c>
      <c r="AU260">
        <f t="shared" si="46"/>
        <v>1288.54</v>
      </c>
      <c r="AV260" s="26" cm="1">
        <f t="array" ref="AV260">IF($F$11-$I$4+VLOOKUP($R260,武学奇术!$A:$ZZ,9,FALSE)+SUM(_xlfn.XLOOKUP(S260:AG260,增益!$A:$A,增益!$I:$I,0))&gt;0,($F$11-$I$4+VLOOKUP($R260,武学奇术!$A:$ZZ,9,FALSE)+SUM(_xlfn.XLOOKUP(S260:AG260,增益!$A:$A,增益!$I:$I,0)))/200,($F$11-$I$4+VLOOKUP($R260,武学奇术!$A:$ZZ,9,FALSE)+SUM(_xlfn.XLOOKUP(S260:AG260,增益!$A:$A,增益!$I:$I,0)))/100)</f>
        <v>0.075</v>
      </c>
      <c r="AW260" s="26" cm="1">
        <f t="array" ref="AW260">$G$11+VLOOKUP($R260,武学奇术!$A:$ZZ,10,FALSE)+SUM(_xlfn.XLOOKUP(S260:AG260,增益!$A:$A,增益!$J:$J,0))</f>
        <v>0.15</v>
      </c>
      <c r="AX260">
        <f t="shared" si="47"/>
        <v>0</v>
      </c>
      <c r="AY260">
        <f t="shared" si="48"/>
        <v>0</v>
      </c>
      <c r="AZ260" s="26" cm="1">
        <f t="array" ref="AZ260">IF($F$12-$I$4+VLOOKUP($R260,武学奇术!$A:$ZZ,11,FALSE)+SUM(_xlfn.XLOOKUP(S260:AG260,增益!$A:$A,增益!$K:$K,0))&gt;0,($F$12-$I$4+VLOOKUP($R260,武学奇术!$A:$ZZ,11,FALSE)+SUM(_xlfn.XLOOKUP(S260:AG260,增益!$A:$A,增益!$K:$K,0)))/200,($F$12-$I$4+VLOOKUP($R260,武学奇术!$A:$ZZ,11,FALSE)+SUM(_xlfn.XLOOKUP(S260:AG260,增益!$A:$A,增益!$K:$K,0)))/100)</f>
        <v>-0.3</v>
      </c>
      <c r="BA260" s="26" cm="1">
        <f t="array" ref="BA260">$G$12+VLOOKUP($R260,武学奇术!$A:$ZZ,12,FALSE)+SUM(_xlfn.XLOOKUP(S260:AG260,增益!$A:$A,增益!$L:$L,0))</f>
        <v>0</v>
      </c>
      <c r="BB260">
        <f t="shared" si="49"/>
        <v>0</v>
      </c>
      <c r="BC260">
        <f t="shared" si="50"/>
        <v>0</v>
      </c>
      <c r="BD260" s="26" cm="1">
        <f t="array" ref="BD260">IF($F$13-$I$4+VLOOKUP($R260,武学奇术!$A:$ZZ,13,FALSE)+SUM(_xlfn.XLOOKUP(S260:AG260,增益!$A:$A,增益!$M:$M,0))&gt;0,($F$13-$I$4+VLOOKUP($R260,武学奇术!$A:$ZZ,13,FALSE)+SUM(_xlfn.XLOOKUP(S260:AG260,增益!$A:$A,增益!$K:$K,0)))/200,($F$13-$I$4+VLOOKUP($R260,武学奇术!$A:$ZZ,13,FALSE)+SUM(_xlfn.XLOOKUP(S260:AG260,增益!$A:$A,增益!$M:$M,0)))/100)</f>
        <v>-0.3</v>
      </c>
      <c r="BE260" s="26" cm="1">
        <f t="array" ref="BE260">$G$13+VLOOKUP($R260,武学奇术!$A:$ZZ,14,FALSE)+SUM(_xlfn.XLOOKUP(S260:AG260,增益!$A:$A,增益!$N:$N,0))</f>
        <v>0</v>
      </c>
      <c r="BF260">
        <f t="shared" si="51"/>
        <v>0</v>
      </c>
      <c r="BG260">
        <f t="shared" si="52"/>
        <v>0</v>
      </c>
      <c r="BH260" s="26" cm="1">
        <f t="array" ref="BH260">IF($F$14-$I$4+VLOOKUP($R260,武学奇术!$A:$ZZ,15,FALSE)+SUM(_xlfn.XLOOKUP(S260:AG260,增益!$A:$A,增益!$O:$O,0))&gt;0,($F$14-$I$4+VLOOKUP($R260,武学奇术!$A:$ZZ,15,FALSE)+SUM(_xlfn.XLOOKUP(S260:AG260,增益!$A:$A,增益!$O:$O,0)))/200,($F$14-$I$4+VLOOKUP($R260,武学奇术!$A:$ZZ,15,FALSE)+SUM(_xlfn.XLOOKUP(S260:AG260,增益!$A:$A,增益!$O:$O,0)))/100)</f>
        <v>-0.3</v>
      </c>
      <c r="BI260" s="26" cm="1">
        <f t="array" ref="BI260">$G$14+VLOOKUP($R260,武学奇术!$A:$ZZ,16,FALSE)+SUM(_xlfn.XLOOKUP(S260:AG260,增益!$A:$A,增益!$P:$P,0))</f>
        <v>0</v>
      </c>
      <c r="BJ260" s="21">
        <f>MIN(IF(VLOOKUP($R260,武学奇术!$A:$ZZ,23,FALSE)=1,100%,$B$8),100%)</f>
        <v>0.8229</v>
      </c>
      <c r="BK260" s="21" cm="1">
        <f t="array" ref="BK260">IF(VLOOKUP($R260,武学奇术!$A:$ZZ,23,FALSE)=1,100%,MIN(80%,$B$9+VLOOKUP($R260,武学奇术!$A:$ZZ,17,FALSE)+SUM(_xlfn.XLOOKUP(S260:AG260,增益!$A:$A,增益!$Q:$Q,0)))+$B$11+SUM(_xlfn.XLOOKUP(S260:AG260,增益!$A:$A,增益!$U:$U,0)))*IF(VLOOKUP($R260,武学奇术!$A:$ZZ,24,FALSE)=1,0,1)</f>
        <v>0.2285</v>
      </c>
      <c r="BL260" s="21" cm="1">
        <f t="array" ref="BL260">1+$B$13+VLOOKUP($R260,武学奇术!$A:$ZZ,18,FALSE)+SUM(_xlfn.XLOOKUP(S260:AG260,增益!$A:$A,增益!$R:$R,0))</f>
        <v>1.5</v>
      </c>
      <c r="BM260" s="21" cm="1">
        <f t="array" ref="BM260">IF(VLOOKUP($R260,武学奇术!$A:$ZZ,24,FALSE)=1,100%,MIN(40%,$B$10+VLOOKUP($R260,武学奇术!$A:$ZZ,19,FALSE)+SUM(_xlfn.XLOOKUP(S260:AG260,增益!$A:$A,增益!$S:$S,0)))+$B$12+SUM(_xlfn.XLOOKUP(S260:AG260,增益!$A:$A,增益!$V:$V,0)))*IF(VLOOKUP($R260,武学奇术!$A:$ZZ,23,FALSE)=1,0,1)</f>
        <v>0.4495</v>
      </c>
      <c r="BN260" s="21" cm="1">
        <f t="array" ref="BN260">1+$B$14+VLOOKUP($R260,武学奇术!$A:$ZZ,20,FALSE)+SUM(_xlfn.XLOOKUP(S260:AG260,增益!$A:$A,增益!$T:$T,0))</f>
        <v>1.782</v>
      </c>
      <c r="BO260" s="21">
        <f t="shared" si="53"/>
        <v>0.18803265</v>
      </c>
      <c r="BP260" s="21">
        <f t="shared" si="54"/>
        <v>0.2649738</v>
      </c>
      <c r="BQ260" s="21">
        <f>IF(VLOOKUP($R260,武学奇术!$A:$ZZ,22,FALSE)=1,0,(1-$BJ260))*(1-$BM260)</f>
        <v>0.09749355</v>
      </c>
      <c r="BR260" s="21" cm="1">
        <f t="array" ref="BR260">SUM(_xlfn.XLOOKUP(S260:AG260,增益!$A:$A,增益!$W:$W,0))+$I$5</f>
        <v>0.06</v>
      </c>
    </row>
    <row r="261" spans="11:70">
      <c r="K261" s="24">
        <f>$L261*VLOOKUP($R261,武学奇术!$A:$ZZ,31,FALSE)</f>
        <v>7775.9568416103</v>
      </c>
      <c r="L261" s="24">
        <f t="shared" si="44"/>
        <v>12959.9280693505</v>
      </c>
      <c r="M261" s="24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BL261*$Q261*(1+IF(VLOOKUP($R261,武学奇术!$A:$ZZ,30,FALSE)="流血",$B$21,0))*(1+$BR261)</f>
        <v>10610.297063801</v>
      </c>
      <c r="N261" s="24">
        <f>(($AP261*$AI261+$AJ261)*(1+$AQ261)*(1+$AR261)+($AU261*IF($G$1="鸣金",$AK261,$AI261)+IF($G$1="鸣金",$AL261*1.5,0))*(1+$AV261)*(1+$AW261)+($AY261*IF($G$1="裂石",$AK261,$AI261)+IF($G$1="裂石",$AL261*1.5,0))*(1+$AZ261)*(1+$BA261)+($BC261*IF($G$1="牵丝",$AK261,$AI261)+IF($G$1="牵丝",$AL261*1.5,0))*(1+$BD261)*(1+$BE261)+($BG261*IF($G$1="破竹",$AK261,$AI261)+IF($G$1="破竹",$AL261*1.5,0))*(1+$BH261)*(1+$BI261))*(1+$AM261)*$BN261*$Q261*(1+IF(VLOOKUP($R261,武学奇术!$A:$ZZ,30,FALSE)="流血",$B$21,0))*(1+$BR261)</f>
        <v>19532.6668722489</v>
      </c>
      <c r="O261" s="24">
        <f>((($AO261+$AP261)/2*$AI261+$AJ261)*(1+$AQ261)*(1+$AR261)+(($AT261+$AU261)/2*IF($G$1="鸣金",$AK261,$AI261)+IF($G$1="鸣金",$AL261*1.5,0))*(1+$AV261)*(1+$AW261)+(($AX261+$AY261)/2*IF($G$1="裂石",$AK261,$AI261)+IF($G$1="裂石",$AL261*1.5,0))*(1+$AZ261)*(1+$BA261)+(($BB261+$BC261)/2*IF($G$1="牵丝",$AK261,$AI261)+IF($G$1="牵丝",$AL261*1.5,0))*(1+$BD261)*(1+$BE261)+(($BF261+$BG261)/2*IF($G$1="破竹",$AK261,$AI261)+IF($G$1="破竹",$AL261*1.5,0))*(1+$BH261)*(1+$BI261))*(1+$AM261)*$Q261*(1+IF(VLOOKUP($R261,武学奇术!$A:$ZZ,30,FALSE)="流血",$B$21,0))*(1+$BR261)</f>
        <v>7073.53137586733</v>
      </c>
      <c r="P261" s="24">
        <f>((($AO261*$AI261+$AJ261)*(1+$AQ261)*(1+$AR261)+($AT261*IF($G$1="鸣金",$AK261,$AI261)+IF($G$1="鸣金",$AL261*1.5,0))*(1+$AV261)*(1+$AW261)+($AX261*IF($G$1="裂石",$AK261,$AI261)+IF($G$1="裂石",$AL261*1.5,0))*(1+$AZ261)*(1+$BA261)+($BB261*IF($G$1="牵丝",$AK261,$AI261)+IF($G$1="牵丝",$AL261*1.5,0))*(1+$BD261)*(1+$BE261)+($BF261*IF($G$1="破竹",$AK261,$AI261)+IF($G$1="破竹",$AL261*1.5,0))*(1+$BH261)*(1+$BI261))*(1+$AM261))*$Q261*(1+IF(VLOOKUP($R261,武学奇术!$A:$ZZ,30,FALSE)="流血",$B$21,0))*(1+$BR261)</f>
        <v>3185.97023083183</v>
      </c>
      <c r="Q261" s="31">
        <v>1</v>
      </c>
      <c r="R261" s="32" t="s">
        <v>197</v>
      </c>
      <c r="S261" s="32" t="s">
        <v>87</v>
      </c>
      <c r="T261" s="32" t="s">
        <v>96</v>
      </c>
      <c r="U261" s="32" t="s">
        <v>97</v>
      </c>
      <c r="V261" s="32" t="s">
        <v>73</v>
      </c>
      <c r="W261" s="32" t="s">
        <v>111</v>
      </c>
      <c r="X261" s="32" t="s">
        <v>127</v>
      </c>
      <c r="Y261" s="32" t="s">
        <v>73</v>
      </c>
      <c r="Z261" s="32" t="s">
        <v>73</v>
      </c>
      <c r="AA261" s="32" t="s">
        <v>81</v>
      </c>
      <c r="AB261" s="32" t="s">
        <v>75</v>
      </c>
      <c r="AC261" s="32" t="s">
        <v>76</v>
      </c>
      <c r="AD261" s="32" t="s">
        <v>82</v>
      </c>
      <c r="AE261" s="32" t="s">
        <v>73</v>
      </c>
      <c r="AF261" s="32" t="s">
        <v>73</v>
      </c>
      <c r="AG261" s="32" t="s">
        <v>178</v>
      </c>
      <c r="AH261" t="str">
        <f>VLOOKUP($R261,武学奇术!$A:$ZZ,25,FALSE)</f>
        <v>剑</v>
      </c>
      <c r="AI261" s="21">
        <f>VLOOKUP($R261,武学奇术!$A:$ZZ,26,FALSE)</f>
        <v>0.2772</v>
      </c>
      <c r="AJ261" s="22">
        <f>VLOOKUP($R261,武学奇术!$A:$ZZ,27,FALSE)*(1+IF(OR($AH261=$F$4,$AH261=$F$5),$B$22,0))</f>
        <v>0</v>
      </c>
      <c r="AK261" s="21">
        <f>VLOOKUP($R261,武学奇术!$A:$ZZ,28,FALSE)</f>
        <v>0.4158</v>
      </c>
      <c r="AL261" s="22">
        <f>VLOOKUP($R261,武学奇术!$A:$ZZ,29,FALSE)*(1+IF(OR($AH261=$F$4,$AH261=$F$5),$B$22,0))</f>
        <v>0</v>
      </c>
      <c r="AM261" s="21" cm="1">
        <f t="array" ref="AM261">$G$3+IFERROR(VLOOKUP($AH261,$F$4:$G$7,2,FALSE),0)+VLOOKUP($R261,武学奇术!$A:$ZZ,2,FALSE)+SUM(_xlfn.XLOOKUP($S261:$AG261,增益!$A:$A,增益!$B:$B,0))</f>
        <v>1.2391</v>
      </c>
      <c r="AN261" s="21" cm="1">
        <f t="array" ref="AN261">VLOOKUP($R261,武学奇术!$A:$ZZ,5,FALSE)+SUM(_xlfn.XLOOKUP($S261:$AG261,增益!$A:$A,增益!$E:$E,0))</f>
        <v>0</v>
      </c>
      <c r="AO261" cm="1">
        <f t="array" ref="AO261">$D$10*(1+$AN261)+VLOOKUP($R261,武学奇术!$A:$ZZ,3,FALSE)+SUM(_xlfn.XLOOKUP($S261:$AG261,增益!$A:$A,增益!$C:$C,0))-$I$2</f>
        <v>1825.28</v>
      </c>
      <c r="AP261" cm="1">
        <f t="array" ref="AP261">$E$10*(1+$AN261)+VLOOKUP($R261,武学奇术!$A:$ZZ,4,FALSE)+SUM(_xlfn.XLOOKUP($S261:$AG261,增益!$A:$A,增益!$D:$D,0))-$I$2</f>
        <v>7757.36</v>
      </c>
      <c r="AQ261" s="26" cm="1">
        <f t="array" ref="AQ261">IF($F$10-$I$3+VLOOKUP($R261,武学奇术!$A:$ZZ,6,FALSE)+SUM(_xlfn.XLOOKUP(S261:AG261,增益!$A:$A,增益!$F:$F,0))&gt;0,($F$10-$I$3+VLOOKUP($R261,武学奇术!$A:$ZZ,6,FALSE)+SUM(_xlfn.XLOOKUP(S261:AG261,增益!$A:$A,增益!$F:$F,0)))/200,($F$10-$I$3+VLOOKUP($R261,武学奇术!$A:$ZZ,6,FALSE)+SUM(_xlfn.XLOOKUP(S261:AG261,增益!$A:$A,增益!$F:$F,0)))/100)</f>
        <v>0.319</v>
      </c>
      <c r="AR261" s="26" cm="1">
        <f t="array" ref="AR261">$G$10+VLOOKUP($R261,武学奇术!$A:$ZZ,7,FALSE)+SUM(_xlfn.XLOOKUP(S261:AG261,增益!$A:$A,增益!$G:$G,0))</f>
        <v>0</v>
      </c>
      <c r="AS261" s="21" cm="1">
        <f t="array" ref="AS261">VLOOKUP($R261,武学奇术!$A:$ZZ,8,FALSE)+SUM(_xlfn.XLOOKUP(S261:AG261,增益!$A:$A,增益!$H:$H,0))</f>
        <v>0</v>
      </c>
      <c r="AT261">
        <f t="shared" si="45"/>
        <v>680.02</v>
      </c>
      <c r="AU261">
        <f t="shared" si="46"/>
        <v>1288.54</v>
      </c>
      <c r="AV261" s="26" cm="1">
        <f t="array" ref="AV261">IF($F$11-$I$4+VLOOKUP($R261,武学奇术!$A:$ZZ,9,FALSE)+SUM(_xlfn.XLOOKUP(S261:AG261,增益!$A:$A,增益!$I:$I,0))&gt;0,($F$11-$I$4+VLOOKUP($R261,武学奇术!$A:$ZZ,9,FALSE)+SUM(_xlfn.XLOOKUP(S261:AG261,增益!$A:$A,增益!$I:$I,0)))/200,($F$11-$I$4+VLOOKUP($R261,武学奇术!$A:$ZZ,9,FALSE)+SUM(_xlfn.XLOOKUP(S261:AG261,增益!$A:$A,增益!$I:$I,0)))/100)</f>
        <v>0.075</v>
      </c>
      <c r="AW261" s="26" cm="1">
        <f t="array" ref="AW261">$G$11+VLOOKUP($R261,武学奇术!$A:$ZZ,10,FALSE)+SUM(_xlfn.XLOOKUP(S261:AG261,增益!$A:$A,增益!$J:$J,0))</f>
        <v>0.15</v>
      </c>
      <c r="AX261">
        <f t="shared" si="47"/>
        <v>0</v>
      </c>
      <c r="AY261">
        <f t="shared" si="48"/>
        <v>0</v>
      </c>
      <c r="AZ261" s="26" cm="1">
        <f t="array" ref="AZ261">IF($F$12-$I$4+VLOOKUP($R261,武学奇术!$A:$ZZ,11,FALSE)+SUM(_xlfn.XLOOKUP(S261:AG261,增益!$A:$A,增益!$K:$K,0))&gt;0,($F$12-$I$4+VLOOKUP($R261,武学奇术!$A:$ZZ,11,FALSE)+SUM(_xlfn.XLOOKUP(S261:AG261,增益!$A:$A,增益!$K:$K,0)))/200,($F$12-$I$4+VLOOKUP($R261,武学奇术!$A:$ZZ,11,FALSE)+SUM(_xlfn.XLOOKUP(S261:AG261,增益!$A:$A,增益!$K:$K,0)))/100)</f>
        <v>-0.3</v>
      </c>
      <c r="BA261" s="26" cm="1">
        <f t="array" ref="BA261">$G$12+VLOOKUP($R261,武学奇术!$A:$ZZ,12,FALSE)+SUM(_xlfn.XLOOKUP(S261:AG261,增益!$A:$A,增益!$L:$L,0))</f>
        <v>0</v>
      </c>
      <c r="BB261">
        <f t="shared" si="49"/>
        <v>0</v>
      </c>
      <c r="BC261">
        <f t="shared" si="50"/>
        <v>0</v>
      </c>
      <c r="BD261" s="26" cm="1">
        <f t="array" ref="BD261">IF($F$13-$I$4+VLOOKUP($R261,武学奇术!$A:$ZZ,13,FALSE)+SUM(_xlfn.XLOOKUP(S261:AG261,增益!$A:$A,增益!$M:$M,0))&gt;0,($F$13-$I$4+VLOOKUP($R261,武学奇术!$A:$ZZ,13,FALSE)+SUM(_xlfn.XLOOKUP(S261:AG261,增益!$A:$A,增益!$K:$K,0)))/200,($F$13-$I$4+VLOOKUP($R261,武学奇术!$A:$ZZ,13,FALSE)+SUM(_xlfn.XLOOKUP(S261:AG261,增益!$A:$A,增益!$M:$M,0)))/100)</f>
        <v>-0.3</v>
      </c>
      <c r="BE261" s="26" cm="1">
        <f t="array" ref="BE261">$G$13+VLOOKUP($R261,武学奇术!$A:$ZZ,14,FALSE)+SUM(_xlfn.XLOOKUP(S261:AG261,增益!$A:$A,增益!$N:$N,0))</f>
        <v>0</v>
      </c>
      <c r="BF261">
        <f t="shared" si="51"/>
        <v>0</v>
      </c>
      <c r="BG261">
        <f t="shared" si="52"/>
        <v>0</v>
      </c>
      <c r="BH261" s="26" cm="1">
        <f t="array" ref="BH261">IF($F$14-$I$4+VLOOKUP($R261,武学奇术!$A:$ZZ,15,FALSE)+SUM(_xlfn.XLOOKUP(S261:AG261,增益!$A:$A,增益!$O:$O,0))&gt;0,($F$14-$I$4+VLOOKUP($R261,武学奇术!$A:$ZZ,15,FALSE)+SUM(_xlfn.XLOOKUP(S261:AG261,增益!$A:$A,增益!$O:$O,0)))/200,($F$14-$I$4+VLOOKUP($R261,武学奇术!$A:$ZZ,15,FALSE)+SUM(_xlfn.XLOOKUP(S261:AG261,增益!$A:$A,增益!$O:$O,0)))/100)</f>
        <v>-0.3</v>
      </c>
      <c r="BI261" s="26" cm="1">
        <f t="array" ref="BI261">$G$14+VLOOKUP($R261,武学奇术!$A:$ZZ,16,FALSE)+SUM(_xlfn.XLOOKUP(S261:AG261,增益!$A:$A,增益!$P:$P,0))</f>
        <v>0</v>
      </c>
      <c r="BJ261" s="21">
        <f>MIN(IF(VLOOKUP($R261,武学奇术!$A:$ZZ,23,FALSE)=1,100%,$B$8),100%)</f>
        <v>0.8229</v>
      </c>
      <c r="BK261" s="21" cm="1">
        <f t="array" ref="BK261">IF(VLOOKUP($R261,武学奇术!$A:$ZZ,23,FALSE)=1,100%,MIN(80%,$B$9+VLOOKUP($R261,武学奇术!$A:$ZZ,17,FALSE)+SUM(_xlfn.XLOOKUP(S261:AG261,增益!$A:$A,增益!$Q:$Q,0)))+$B$11+SUM(_xlfn.XLOOKUP(S261:AG261,增益!$A:$A,增益!$U:$U,0)))*IF(VLOOKUP($R261,武学奇术!$A:$ZZ,24,FALSE)=1,0,1)</f>
        <v>0.2285</v>
      </c>
      <c r="BL261" s="21" cm="1">
        <f t="array" ref="BL261">1+$B$13+VLOOKUP($R261,武学奇术!$A:$ZZ,18,FALSE)+SUM(_xlfn.XLOOKUP(S261:AG261,增益!$A:$A,增益!$R:$R,0))</f>
        <v>1.5</v>
      </c>
      <c r="BM261" s="21" cm="1">
        <f t="array" ref="BM261">IF(VLOOKUP($R261,武学奇术!$A:$ZZ,24,FALSE)=1,100%,MIN(40%,$B$10+VLOOKUP($R261,武学奇术!$A:$ZZ,19,FALSE)+SUM(_xlfn.XLOOKUP(S261:AG261,增益!$A:$A,增益!$S:$S,0)))+$B$12+SUM(_xlfn.XLOOKUP(S261:AG261,增益!$A:$A,增益!$V:$V,0)))*IF(VLOOKUP($R261,武学奇术!$A:$ZZ,23,FALSE)=1,0,1)</f>
        <v>0.4495</v>
      </c>
      <c r="BN261" s="21" cm="1">
        <f t="array" ref="BN261">1+$B$14+VLOOKUP($R261,武学奇术!$A:$ZZ,20,FALSE)+SUM(_xlfn.XLOOKUP(S261:AG261,增益!$A:$A,增益!$T:$T,0))</f>
        <v>1.782</v>
      </c>
      <c r="BO261" s="21">
        <f t="shared" si="53"/>
        <v>0.18803265</v>
      </c>
      <c r="BP261" s="21">
        <f t="shared" si="54"/>
        <v>0.2649738</v>
      </c>
      <c r="BQ261" s="21">
        <f>IF(VLOOKUP($R261,武学奇术!$A:$ZZ,22,FALSE)=1,0,(1-$BJ261))*(1-$BM261)</f>
        <v>0.09749355</v>
      </c>
      <c r="BR261" s="21" cm="1">
        <f t="array" ref="BR261">SUM(_xlfn.XLOOKUP(S261:AG261,增益!$A:$A,增益!$W:$W,0))+$I$5</f>
        <v>0.06</v>
      </c>
    </row>
    <row r="262" spans="11:70">
      <c r="K262" s="24">
        <f>$L262*VLOOKUP($R262,武学奇术!$A:$ZZ,31,FALSE)</f>
        <v>4859.97302600644</v>
      </c>
      <c r="L262" s="24">
        <f t="shared" si="44"/>
        <v>8099.95504334406</v>
      </c>
      <c r="M262" s="24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BL262*$Q262*(1+IF(VLOOKUP($R262,武学奇术!$A:$ZZ,30,FALSE)="流血",$B$21,0))*(1+$BR262)</f>
        <v>6631.43566487563</v>
      </c>
      <c r="N262" s="24">
        <f>(($AP262*$AI262+$AJ262)*(1+$AQ262)*(1+$AR262)+($AU262*IF($G$1="鸣金",$AK262,$AI262)+IF($G$1="鸣金",$AL262*1.5,0))*(1+$AV262)*(1+$AW262)+($AY262*IF($G$1="裂石",$AK262,$AI262)+IF($G$1="裂石",$AL262*1.5,0))*(1+$AZ262)*(1+$BA262)+($BC262*IF($G$1="牵丝",$AK262,$AI262)+IF($G$1="牵丝",$AL262*1.5,0))*(1+$BD262)*(1+$BE262)+($BG262*IF($G$1="破竹",$AK262,$AI262)+IF($G$1="破竹",$AL262*1.5,0))*(1+$BH262)*(1+$BI262))*(1+$AM262)*$BN262*$Q262*(1+IF(VLOOKUP($R262,武学奇术!$A:$ZZ,30,FALSE)="流血",$B$21,0))*(1+$BR262)</f>
        <v>12207.9167951555</v>
      </c>
      <c r="O262" s="24">
        <f>((($AO262+$AP262)/2*$AI262+$AJ262)*(1+$AQ262)*(1+$AR262)+(($AT262+$AU262)/2*IF($G$1="鸣金",$AK262,$AI262)+IF($G$1="鸣金",$AL262*1.5,0))*(1+$AV262)*(1+$AW262)+(($AX262+$AY262)/2*IF($G$1="裂石",$AK262,$AI262)+IF($G$1="裂石",$AL262*1.5,0))*(1+$AZ262)*(1+$BA262)+(($BB262+$BC262)/2*IF($G$1="牵丝",$AK262,$AI262)+IF($G$1="牵丝",$AL262*1.5,0))*(1+$BD262)*(1+$BE262)+(($BF262+$BG262)/2*IF($G$1="破竹",$AK262,$AI262)+IF($G$1="破竹",$AL262*1.5,0))*(1+$BH262)*(1+$BI262))*(1+$AM262)*$Q262*(1+IF(VLOOKUP($R262,武学奇术!$A:$ZZ,30,FALSE)="流血",$B$21,0))*(1+$BR262)</f>
        <v>4420.95710991708</v>
      </c>
      <c r="P262" s="24">
        <f>((($AO262*$AI262+$AJ262)*(1+$AQ262)*(1+$AR262)+($AT262*IF($G$1="鸣金",$AK262,$AI262)+IF($G$1="鸣金",$AL262*1.5,0))*(1+$AV262)*(1+$AW262)+($AX262*IF($G$1="裂石",$AK262,$AI262)+IF($G$1="裂石",$AL262*1.5,0))*(1+$AZ262)*(1+$BA262)+($BB262*IF($G$1="牵丝",$AK262,$AI262)+IF($G$1="牵丝",$AL262*1.5,0))*(1+$BD262)*(1+$BE262)+($BF262*IF($G$1="破竹",$AK262,$AI262)+IF($G$1="破竹",$AL262*1.5,0))*(1+$BH262)*(1+$BI262))*(1+$AM262))*$Q262*(1+IF(VLOOKUP($R262,武学奇术!$A:$ZZ,30,FALSE)="流血",$B$21,0))*(1+$BR262)</f>
        <v>1991.23139426989</v>
      </c>
      <c r="Q262" s="31">
        <v>1</v>
      </c>
      <c r="R262" s="32" t="s">
        <v>198</v>
      </c>
      <c r="S262" s="32" t="s">
        <v>87</v>
      </c>
      <c r="T262" s="32" t="s">
        <v>96</v>
      </c>
      <c r="U262" s="32" t="s">
        <v>97</v>
      </c>
      <c r="V262" s="32" t="s">
        <v>73</v>
      </c>
      <c r="W262" s="32" t="s">
        <v>111</v>
      </c>
      <c r="X262" s="32" t="s">
        <v>127</v>
      </c>
      <c r="Y262" s="32" t="s">
        <v>73</v>
      </c>
      <c r="Z262" s="32" t="s">
        <v>73</v>
      </c>
      <c r="AA262" s="32" t="s">
        <v>81</v>
      </c>
      <c r="AB262" s="32" t="s">
        <v>75</v>
      </c>
      <c r="AC262" s="32" t="s">
        <v>76</v>
      </c>
      <c r="AD262" s="32" t="s">
        <v>82</v>
      </c>
      <c r="AE262" s="32" t="s">
        <v>73</v>
      </c>
      <c r="AF262" s="32" t="s">
        <v>73</v>
      </c>
      <c r="AG262" s="32" t="s">
        <v>178</v>
      </c>
      <c r="AH262" t="str">
        <f>VLOOKUP($R262,武学奇术!$A:$ZZ,25,FALSE)</f>
        <v>剑</v>
      </c>
      <c r="AI262" s="21">
        <f>VLOOKUP($R262,武学奇术!$A:$ZZ,26,FALSE)</f>
        <v>0.17325</v>
      </c>
      <c r="AJ262" s="22">
        <f>VLOOKUP($R262,武学奇术!$A:$ZZ,27,FALSE)*(1+IF(OR($AH262=$F$4,$AH262=$F$5),$B$22,0))</f>
        <v>0</v>
      </c>
      <c r="AK262" s="21">
        <f>VLOOKUP($R262,武学奇术!$A:$ZZ,28,FALSE)</f>
        <v>0.259875</v>
      </c>
      <c r="AL262" s="22">
        <f>VLOOKUP($R262,武学奇术!$A:$ZZ,29,FALSE)*(1+IF(OR($AH262=$F$4,$AH262=$F$5),$B$22,0))</f>
        <v>0</v>
      </c>
      <c r="AM262" s="21" cm="1">
        <f t="array" ref="AM262">$G$3+IFERROR(VLOOKUP($AH262,$F$4:$G$7,2,FALSE),0)+VLOOKUP($R262,武学奇术!$A:$ZZ,2,FALSE)+SUM(_xlfn.XLOOKUP($S262:$AG262,增益!$A:$A,增益!$B:$B,0))</f>
        <v>1.2391</v>
      </c>
      <c r="AN262" s="21" cm="1">
        <f t="array" ref="AN262">VLOOKUP($R262,武学奇术!$A:$ZZ,5,FALSE)+SUM(_xlfn.XLOOKUP($S262:$AG262,增益!$A:$A,增益!$E:$E,0))</f>
        <v>0</v>
      </c>
      <c r="AO262" cm="1">
        <f t="array" ref="AO262">$D$10*(1+$AN262)+VLOOKUP($R262,武学奇术!$A:$ZZ,3,FALSE)+SUM(_xlfn.XLOOKUP($S262:$AG262,增益!$A:$A,增益!$C:$C,0))-$I$2</f>
        <v>1825.28</v>
      </c>
      <c r="AP262" cm="1">
        <f t="array" ref="AP262">$E$10*(1+$AN262)+VLOOKUP($R262,武学奇术!$A:$ZZ,4,FALSE)+SUM(_xlfn.XLOOKUP($S262:$AG262,增益!$A:$A,增益!$D:$D,0))-$I$2</f>
        <v>7757.36</v>
      </c>
      <c r="AQ262" s="26" cm="1">
        <f t="array" ref="AQ262">IF($F$10-$I$3+VLOOKUP($R262,武学奇术!$A:$ZZ,6,FALSE)+SUM(_xlfn.XLOOKUP(S262:AG262,增益!$A:$A,增益!$F:$F,0))&gt;0,($F$10-$I$3+VLOOKUP($R262,武学奇术!$A:$ZZ,6,FALSE)+SUM(_xlfn.XLOOKUP(S262:AG262,增益!$A:$A,增益!$F:$F,0)))/200,($F$10-$I$3+VLOOKUP($R262,武学奇术!$A:$ZZ,6,FALSE)+SUM(_xlfn.XLOOKUP(S262:AG262,增益!$A:$A,增益!$F:$F,0)))/100)</f>
        <v>0.319</v>
      </c>
      <c r="AR262" s="26" cm="1">
        <f t="array" ref="AR262">$G$10+VLOOKUP($R262,武学奇术!$A:$ZZ,7,FALSE)+SUM(_xlfn.XLOOKUP(S262:AG262,增益!$A:$A,增益!$G:$G,0))</f>
        <v>0</v>
      </c>
      <c r="AS262" s="21" cm="1">
        <f t="array" ref="AS262">VLOOKUP($R262,武学奇术!$A:$ZZ,8,FALSE)+SUM(_xlfn.XLOOKUP(S262:AG262,增益!$A:$A,增益!$H:$H,0))</f>
        <v>0</v>
      </c>
      <c r="AT262">
        <f t="shared" si="45"/>
        <v>680.02</v>
      </c>
      <c r="AU262">
        <f t="shared" si="46"/>
        <v>1288.54</v>
      </c>
      <c r="AV262" s="26" cm="1">
        <f t="array" ref="AV262">IF($F$11-$I$4+VLOOKUP($R262,武学奇术!$A:$ZZ,9,FALSE)+SUM(_xlfn.XLOOKUP(S262:AG262,增益!$A:$A,增益!$I:$I,0))&gt;0,($F$11-$I$4+VLOOKUP($R262,武学奇术!$A:$ZZ,9,FALSE)+SUM(_xlfn.XLOOKUP(S262:AG262,增益!$A:$A,增益!$I:$I,0)))/200,($F$11-$I$4+VLOOKUP($R262,武学奇术!$A:$ZZ,9,FALSE)+SUM(_xlfn.XLOOKUP(S262:AG262,增益!$A:$A,增益!$I:$I,0)))/100)</f>
        <v>0.075</v>
      </c>
      <c r="AW262" s="26" cm="1">
        <f t="array" ref="AW262">$G$11+VLOOKUP($R262,武学奇术!$A:$ZZ,10,FALSE)+SUM(_xlfn.XLOOKUP(S262:AG262,增益!$A:$A,增益!$J:$J,0))</f>
        <v>0.15</v>
      </c>
      <c r="AX262">
        <f t="shared" si="47"/>
        <v>0</v>
      </c>
      <c r="AY262">
        <f t="shared" si="48"/>
        <v>0</v>
      </c>
      <c r="AZ262" s="26" cm="1">
        <f t="array" ref="AZ262">IF($F$12-$I$4+VLOOKUP($R262,武学奇术!$A:$ZZ,11,FALSE)+SUM(_xlfn.XLOOKUP(S262:AG262,增益!$A:$A,增益!$K:$K,0))&gt;0,($F$12-$I$4+VLOOKUP($R262,武学奇术!$A:$ZZ,11,FALSE)+SUM(_xlfn.XLOOKUP(S262:AG262,增益!$A:$A,增益!$K:$K,0)))/200,($F$12-$I$4+VLOOKUP($R262,武学奇术!$A:$ZZ,11,FALSE)+SUM(_xlfn.XLOOKUP(S262:AG262,增益!$A:$A,增益!$K:$K,0)))/100)</f>
        <v>-0.3</v>
      </c>
      <c r="BA262" s="26" cm="1">
        <f t="array" ref="BA262">$G$12+VLOOKUP($R262,武学奇术!$A:$ZZ,12,FALSE)+SUM(_xlfn.XLOOKUP(S262:AG262,增益!$A:$A,增益!$L:$L,0))</f>
        <v>0</v>
      </c>
      <c r="BB262">
        <f t="shared" si="49"/>
        <v>0</v>
      </c>
      <c r="BC262">
        <f t="shared" si="50"/>
        <v>0</v>
      </c>
      <c r="BD262" s="26" cm="1">
        <f t="array" ref="BD262">IF($F$13-$I$4+VLOOKUP($R262,武学奇术!$A:$ZZ,13,FALSE)+SUM(_xlfn.XLOOKUP(S262:AG262,增益!$A:$A,增益!$M:$M,0))&gt;0,($F$13-$I$4+VLOOKUP($R262,武学奇术!$A:$ZZ,13,FALSE)+SUM(_xlfn.XLOOKUP(S262:AG262,增益!$A:$A,增益!$K:$K,0)))/200,($F$13-$I$4+VLOOKUP($R262,武学奇术!$A:$ZZ,13,FALSE)+SUM(_xlfn.XLOOKUP(S262:AG262,增益!$A:$A,增益!$M:$M,0)))/100)</f>
        <v>-0.3</v>
      </c>
      <c r="BE262" s="26" cm="1">
        <f t="array" ref="BE262">$G$13+VLOOKUP($R262,武学奇术!$A:$ZZ,14,FALSE)+SUM(_xlfn.XLOOKUP(S262:AG262,增益!$A:$A,增益!$N:$N,0))</f>
        <v>0</v>
      </c>
      <c r="BF262">
        <f t="shared" si="51"/>
        <v>0</v>
      </c>
      <c r="BG262">
        <f t="shared" si="52"/>
        <v>0</v>
      </c>
      <c r="BH262" s="26" cm="1">
        <f t="array" ref="BH262">IF($F$14-$I$4+VLOOKUP($R262,武学奇术!$A:$ZZ,15,FALSE)+SUM(_xlfn.XLOOKUP(S262:AG262,增益!$A:$A,增益!$O:$O,0))&gt;0,($F$14-$I$4+VLOOKUP($R262,武学奇术!$A:$ZZ,15,FALSE)+SUM(_xlfn.XLOOKUP(S262:AG262,增益!$A:$A,增益!$O:$O,0)))/200,($F$14-$I$4+VLOOKUP($R262,武学奇术!$A:$ZZ,15,FALSE)+SUM(_xlfn.XLOOKUP(S262:AG262,增益!$A:$A,增益!$O:$O,0)))/100)</f>
        <v>-0.3</v>
      </c>
      <c r="BI262" s="26" cm="1">
        <f t="array" ref="BI262">$G$14+VLOOKUP($R262,武学奇术!$A:$ZZ,16,FALSE)+SUM(_xlfn.XLOOKUP(S262:AG262,增益!$A:$A,增益!$P:$P,0))</f>
        <v>0</v>
      </c>
      <c r="BJ262" s="21">
        <f>MIN(IF(VLOOKUP($R262,武学奇术!$A:$ZZ,23,FALSE)=1,100%,$B$8),100%)</f>
        <v>0.8229</v>
      </c>
      <c r="BK262" s="21" cm="1">
        <f t="array" ref="BK262">IF(VLOOKUP($R262,武学奇术!$A:$ZZ,23,FALSE)=1,100%,MIN(80%,$B$9+VLOOKUP($R262,武学奇术!$A:$ZZ,17,FALSE)+SUM(_xlfn.XLOOKUP(S262:AG262,增益!$A:$A,增益!$Q:$Q,0)))+$B$11+SUM(_xlfn.XLOOKUP(S262:AG262,增益!$A:$A,增益!$U:$U,0)))*IF(VLOOKUP($R262,武学奇术!$A:$ZZ,24,FALSE)=1,0,1)</f>
        <v>0.2285</v>
      </c>
      <c r="BL262" s="21" cm="1">
        <f t="array" ref="BL262">1+$B$13+VLOOKUP($R262,武学奇术!$A:$ZZ,18,FALSE)+SUM(_xlfn.XLOOKUP(S262:AG262,增益!$A:$A,增益!$R:$R,0))</f>
        <v>1.5</v>
      </c>
      <c r="BM262" s="21" cm="1">
        <f t="array" ref="BM262">IF(VLOOKUP($R262,武学奇术!$A:$ZZ,24,FALSE)=1,100%,MIN(40%,$B$10+VLOOKUP($R262,武学奇术!$A:$ZZ,19,FALSE)+SUM(_xlfn.XLOOKUP(S262:AG262,增益!$A:$A,增益!$S:$S,0)))+$B$12+SUM(_xlfn.XLOOKUP(S262:AG262,增益!$A:$A,增益!$V:$V,0)))*IF(VLOOKUP($R262,武学奇术!$A:$ZZ,23,FALSE)=1,0,1)</f>
        <v>0.4495</v>
      </c>
      <c r="BN262" s="21" cm="1">
        <f t="array" ref="BN262">1+$B$14+VLOOKUP($R262,武学奇术!$A:$ZZ,20,FALSE)+SUM(_xlfn.XLOOKUP(S262:AG262,增益!$A:$A,增益!$T:$T,0))</f>
        <v>1.782</v>
      </c>
      <c r="BO262" s="21">
        <f t="shared" si="53"/>
        <v>0.18803265</v>
      </c>
      <c r="BP262" s="21">
        <f t="shared" si="54"/>
        <v>0.2649738</v>
      </c>
      <c r="BQ262" s="21">
        <f>IF(VLOOKUP($R262,武学奇术!$A:$ZZ,22,FALSE)=1,0,(1-$BJ262))*(1-$BM262)</f>
        <v>0.09749355</v>
      </c>
      <c r="BR262" s="21" cm="1">
        <f t="array" ref="BR262">SUM(_xlfn.XLOOKUP(S262:AG262,增益!$A:$A,增益!$W:$W,0))+$I$5</f>
        <v>0.06</v>
      </c>
    </row>
    <row r="263" spans="11:70">
      <c r="K263" s="24">
        <f>$L263*VLOOKUP($R263,武学奇术!$A:$ZZ,31,FALSE)</f>
        <v>9719.94605201287</v>
      </c>
      <c r="L263" s="24">
        <f t="shared" si="44"/>
        <v>16199.9100866881</v>
      </c>
      <c r="M263" s="24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BL263*$Q263*(1+IF(VLOOKUP($R263,武学奇术!$A:$ZZ,30,FALSE)="流血",$B$21,0))*(1+$BR263)</f>
        <v>13262.8713297513</v>
      </c>
      <c r="N263" s="24">
        <f>(($AP263*$AI263+$AJ263)*(1+$AQ263)*(1+$AR263)+($AU263*IF($G$1="鸣金",$AK263,$AI263)+IF($G$1="鸣金",$AL263*1.5,0))*(1+$AV263)*(1+$AW263)+($AY263*IF($G$1="裂石",$AK263,$AI263)+IF($G$1="裂石",$AL263*1.5,0))*(1+$AZ263)*(1+$BA263)+($BC263*IF($G$1="牵丝",$AK263,$AI263)+IF($G$1="牵丝",$AL263*1.5,0))*(1+$BD263)*(1+$BE263)+($BG263*IF($G$1="破竹",$AK263,$AI263)+IF($G$1="破竹",$AL263*1.5,0))*(1+$BH263)*(1+$BI263))*(1+$AM263)*$BN263*$Q263*(1+IF(VLOOKUP($R263,武学奇术!$A:$ZZ,30,FALSE)="流血",$B$21,0))*(1+$BR263)</f>
        <v>24415.8335903111</v>
      </c>
      <c r="O263" s="24">
        <f>((($AO263+$AP263)/2*$AI263+$AJ263)*(1+$AQ263)*(1+$AR263)+(($AT263+$AU263)/2*IF($G$1="鸣金",$AK263,$AI263)+IF($G$1="鸣金",$AL263*1.5,0))*(1+$AV263)*(1+$AW263)+(($AX263+$AY263)/2*IF($G$1="裂石",$AK263,$AI263)+IF($G$1="裂石",$AL263*1.5,0))*(1+$AZ263)*(1+$BA263)+(($BB263+$BC263)/2*IF($G$1="牵丝",$AK263,$AI263)+IF($G$1="牵丝",$AL263*1.5,0))*(1+$BD263)*(1+$BE263)+(($BF263+$BG263)/2*IF($G$1="破竹",$AK263,$AI263)+IF($G$1="破竹",$AL263*1.5,0))*(1+$BH263)*(1+$BI263))*(1+$AM263)*$Q263*(1+IF(VLOOKUP($R263,武学奇术!$A:$ZZ,30,FALSE)="流血",$B$21,0))*(1+$BR263)</f>
        <v>8841.91421983417</v>
      </c>
      <c r="P263" s="24">
        <f>((($AO263*$AI263+$AJ263)*(1+$AQ263)*(1+$AR263)+($AT263*IF($G$1="鸣金",$AK263,$AI263)+IF($G$1="鸣金",$AL263*1.5,0))*(1+$AV263)*(1+$AW263)+($AX263*IF($G$1="裂石",$AK263,$AI263)+IF($G$1="裂石",$AL263*1.5,0))*(1+$AZ263)*(1+$BA263)+($BB263*IF($G$1="牵丝",$AK263,$AI263)+IF($G$1="牵丝",$AL263*1.5,0))*(1+$BD263)*(1+$BE263)+($BF263*IF($G$1="破竹",$AK263,$AI263)+IF($G$1="破竹",$AL263*1.5,0))*(1+$BH263)*(1+$BI263))*(1+$AM263))*$Q263*(1+IF(VLOOKUP($R263,武学奇术!$A:$ZZ,30,FALSE)="流血",$B$21,0))*(1+$BR263)</f>
        <v>3982.46278853979</v>
      </c>
      <c r="Q263" s="31">
        <v>1</v>
      </c>
      <c r="R263" s="32" t="s">
        <v>199</v>
      </c>
      <c r="S263" s="32" t="s">
        <v>87</v>
      </c>
      <c r="T263" s="32" t="s">
        <v>96</v>
      </c>
      <c r="U263" s="32" t="s">
        <v>97</v>
      </c>
      <c r="V263" s="32" t="s">
        <v>73</v>
      </c>
      <c r="W263" s="32" t="s">
        <v>111</v>
      </c>
      <c r="X263" s="32" t="s">
        <v>127</v>
      </c>
      <c r="Y263" s="32" t="s">
        <v>73</v>
      </c>
      <c r="Z263" s="32" t="s">
        <v>73</v>
      </c>
      <c r="AA263" s="32" t="s">
        <v>81</v>
      </c>
      <c r="AB263" s="32" t="s">
        <v>75</v>
      </c>
      <c r="AC263" s="32" t="s">
        <v>76</v>
      </c>
      <c r="AD263" s="32" t="s">
        <v>82</v>
      </c>
      <c r="AE263" s="32" t="s">
        <v>73</v>
      </c>
      <c r="AF263" s="32" t="s">
        <v>73</v>
      </c>
      <c r="AG263" s="32" t="s">
        <v>178</v>
      </c>
      <c r="AH263" t="str">
        <f>VLOOKUP($R263,武学奇术!$A:$ZZ,25,FALSE)</f>
        <v>剑</v>
      </c>
      <c r="AI263" s="21">
        <f>VLOOKUP($R263,武学奇术!$A:$ZZ,26,FALSE)</f>
        <v>0.3465</v>
      </c>
      <c r="AJ263" s="22">
        <f>VLOOKUP($R263,武学奇术!$A:$ZZ,27,FALSE)*(1+IF(OR($AH263=$F$4,$AH263=$F$5),$B$22,0))</f>
        <v>0</v>
      </c>
      <c r="AK263" s="21">
        <f>VLOOKUP($R263,武学奇术!$A:$ZZ,28,FALSE)</f>
        <v>0.51975</v>
      </c>
      <c r="AL263" s="22">
        <f>VLOOKUP($R263,武学奇术!$A:$ZZ,29,FALSE)*(1+IF(OR($AH263=$F$4,$AH263=$F$5),$B$22,0))</f>
        <v>0</v>
      </c>
      <c r="AM263" s="21" cm="1">
        <f t="array" ref="AM263">$G$3+IFERROR(VLOOKUP($AH263,$F$4:$G$7,2,FALSE),0)+VLOOKUP($R263,武学奇术!$A:$ZZ,2,FALSE)+SUM(_xlfn.XLOOKUP($S263:$AG263,增益!$A:$A,增益!$B:$B,0))</f>
        <v>1.2391</v>
      </c>
      <c r="AN263" s="21" cm="1">
        <f t="array" ref="AN263">VLOOKUP($R263,武学奇术!$A:$ZZ,5,FALSE)+SUM(_xlfn.XLOOKUP($S263:$AG263,增益!$A:$A,增益!$E:$E,0))</f>
        <v>0</v>
      </c>
      <c r="AO263" cm="1">
        <f t="array" ref="AO263">$D$10*(1+$AN263)+VLOOKUP($R263,武学奇术!$A:$ZZ,3,FALSE)+SUM(_xlfn.XLOOKUP($S263:$AG263,增益!$A:$A,增益!$C:$C,0))-$I$2</f>
        <v>1825.28</v>
      </c>
      <c r="AP263" cm="1">
        <f t="array" ref="AP263">$E$10*(1+$AN263)+VLOOKUP($R263,武学奇术!$A:$ZZ,4,FALSE)+SUM(_xlfn.XLOOKUP($S263:$AG263,增益!$A:$A,增益!$D:$D,0))-$I$2</f>
        <v>7757.36</v>
      </c>
      <c r="AQ263" s="26" cm="1">
        <f t="array" ref="AQ263">IF($F$10-$I$3+VLOOKUP($R263,武学奇术!$A:$ZZ,6,FALSE)+SUM(_xlfn.XLOOKUP(S263:AG263,增益!$A:$A,增益!$F:$F,0))&gt;0,($F$10-$I$3+VLOOKUP($R263,武学奇术!$A:$ZZ,6,FALSE)+SUM(_xlfn.XLOOKUP(S263:AG263,增益!$A:$A,增益!$F:$F,0)))/200,($F$10-$I$3+VLOOKUP($R263,武学奇术!$A:$ZZ,6,FALSE)+SUM(_xlfn.XLOOKUP(S263:AG263,增益!$A:$A,增益!$F:$F,0)))/100)</f>
        <v>0.319</v>
      </c>
      <c r="AR263" s="26" cm="1">
        <f t="array" ref="AR263">$G$10+VLOOKUP($R263,武学奇术!$A:$ZZ,7,FALSE)+SUM(_xlfn.XLOOKUP(S263:AG263,增益!$A:$A,增益!$G:$G,0))</f>
        <v>0</v>
      </c>
      <c r="AS263" s="21" cm="1">
        <f t="array" ref="AS263">VLOOKUP($R263,武学奇术!$A:$ZZ,8,FALSE)+SUM(_xlfn.XLOOKUP(S263:AG263,增益!$A:$A,增益!$H:$H,0))</f>
        <v>0</v>
      </c>
      <c r="AT263">
        <f t="shared" si="45"/>
        <v>680.02</v>
      </c>
      <c r="AU263">
        <f t="shared" si="46"/>
        <v>1288.54</v>
      </c>
      <c r="AV263" s="26" cm="1">
        <f t="array" ref="AV263">IF($F$11-$I$4+VLOOKUP($R263,武学奇术!$A:$ZZ,9,FALSE)+SUM(_xlfn.XLOOKUP(S263:AG263,增益!$A:$A,增益!$I:$I,0))&gt;0,($F$11-$I$4+VLOOKUP($R263,武学奇术!$A:$ZZ,9,FALSE)+SUM(_xlfn.XLOOKUP(S263:AG263,增益!$A:$A,增益!$I:$I,0)))/200,($F$11-$I$4+VLOOKUP($R263,武学奇术!$A:$ZZ,9,FALSE)+SUM(_xlfn.XLOOKUP(S263:AG263,增益!$A:$A,增益!$I:$I,0)))/100)</f>
        <v>0.075</v>
      </c>
      <c r="AW263" s="26" cm="1">
        <f t="array" ref="AW263">$G$11+VLOOKUP($R263,武学奇术!$A:$ZZ,10,FALSE)+SUM(_xlfn.XLOOKUP(S263:AG263,增益!$A:$A,增益!$J:$J,0))</f>
        <v>0.15</v>
      </c>
      <c r="AX263">
        <f t="shared" si="47"/>
        <v>0</v>
      </c>
      <c r="AY263">
        <f t="shared" si="48"/>
        <v>0</v>
      </c>
      <c r="AZ263" s="26" cm="1">
        <f t="array" ref="AZ263">IF($F$12-$I$4+VLOOKUP($R263,武学奇术!$A:$ZZ,11,FALSE)+SUM(_xlfn.XLOOKUP(S263:AG263,增益!$A:$A,增益!$K:$K,0))&gt;0,($F$12-$I$4+VLOOKUP($R263,武学奇术!$A:$ZZ,11,FALSE)+SUM(_xlfn.XLOOKUP(S263:AG263,增益!$A:$A,增益!$K:$K,0)))/200,($F$12-$I$4+VLOOKUP($R263,武学奇术!$A:$ZZ,11,FALSE)+SUM(_xlfn.XLOOKUP(S263:AG263,增益!$A:$A,增益!$K:$K,0)))/100)</f>
        <v>-0.3</v>
      </c>
      <c r="BA263" s="26" cm="1">
        <f t="array" ref="BA263">$G$12+VLOOKUP($R263,武学奇术!$A:$ZZ,12,FALSE)+SUM(_xlfn.XLOOKUP(S263:AG263,增益!$A:$A,增益!$L:$L,0))</f>
        <v>0</v>
      </c>
      <c r="BB263">
        <f t="shared" si="49"/>
        <v>0</v>
      </c>
      <c r="BC263">
        <f t="shared" si="50"/>
        <v>0</v>
      </c>
      <c r="BD263" s="26" cm="1">
        <f t="array" ref="BD263">IF($F$13-$I$4+VLOOKUP($R263,武学奇术!$A:$ZZ,13,FALSE)+SUM(_xlfn.XLOOKUP(S263:AG263,增益!$A:$A,增益!$M:$M,0))&gt;0,($F$13-$I$4+VLOOKUP($R263,武学奇术!$A:$ZZ,13,FALSE)+SUM(_xlfn.XLOOKUP(S263:AG263,增益!$A:$A,增益!$K:$K,0)))/200,($F$13-$I$4+VLOOKUP($R263,武学奇术!$A:$ZZ,13,FALSE)+SUM(_xlfn.XLOOKUP(S263:AG263,增益!$A:$A,增益!$M:$M,0)))/100)</f>
        <v>-0.3</v>
      </c>
      <c r="BE263" s="26" cm="1">
        <f t="array" ref="BE263">$G$13+VLOOKUP($R263,武学奇术!$A:$ZZ,14,FALSE)+SUM(_xlfn.XLOOKUP(S263:AG263,增益!$A:$A,增益!$N:$N,0))</f>
        <v>0</v>
      </c>
      <c r="BF263">
        <f t="shared" si="51"/>
        <v>0</v>
      </c>
      <c r="BG263">
        <f t="shared" si="52"/>
        <v>0</v>
      </c>
      <c r="BH263" s="26" cm="1">
        <f t="array" ref="BH263">IF($F$14-$I$4+VLOOKUP($R263,武学奇术!$A:$ZZ,15,FALSE)+SUM(_xlfn.XLOOKUP(S263:AG263,增益!$A:$A,增益!$O:$O,0))&gt;0,($F$14-$I$4+VLOOKUP($R263,武学奇术!$A:$ZZ,15,FALSE)+SUM(_xlfn.XLOOKUP(S263:AG263,增益!$A:$A,增益!$O:$O,0)))/200,($F$14-$I$4+VLOOKUP($R263,武学奇术!$A:$ZZ,15,FALSE)+SUM(_xlfn.XLOOKUP(S263:AG263,增益!$A:$A,增益!$O:$O,0)))/100)</f>
        <v>-0.3</v>
      </c>
      <c r="BI263" s="26" cm="1">
        <f t="array" ref="BI263">$G$14+VLOOKUP($R263,武学奇术!$A:$ZZ,16,FALSE)+SUM(_xlfn.XLOOKUP(S263:AG263,增益!$A:$A,增益!$P:$P,0))</f>
        <v>0</v>
      </c>
      <c r="BJ263" s="21">
        <f>MIN(IF(VLOOKUP($R263,武学奇术!$A:$ZZ,23,FALSE)=1,100%,$B$8),100%)</f>
        <v>0.8229</v>
      </c>
      <c r="BK263" s="21" cm="1">
        <f t="array" ref="BK263">IF(VLOOKUP($R263,武学奇术!$A:$ZZ,23,FALSE)=1,100%,MIN(80%,$B$9+VLOOKUP($R263,武学奇术!$A:$ZZ,17,FALSE)+SUM(_xlfn.XLOOKUP(S263:AG263,增益!$A:$A,增益!$Q:$Q,0)))+$B$11+SUM(_xlfn.XLOOKUP(S263:AG263,增益!$A:$A,增益!$U:$U,0)))*IF(VLOOKUP($R263,武学奇术!$A:$ZZ,24,FALSE)=1,0,1)</f>
        <v>0.2285</v>
      </c>
      <c r="BL263" s="21" cm="1">
        <f t="array" ref="BL263">1+$B$13+VLOOKUP($R263,武学奇术!$A:$ZZ,18,FALSE)+SUM(_xlfn.XLOOKUP(S263:AG263,增益!$A:$A,增益!$R:$R,0))</f>
        <v>1.5</v>
      </c>
      <c r="BM263" s="21" cm="1">
        <f t="array" ref="BM263">IF(VLOOKUP($R263,武学奇术!$A:$ZZ,24,FALSE)=1,100%,MIN(40%,$B$10+VLOOKUP($R263,武学奇术!$A:$ZZ,19,FALSE)+SUM(_xlfn.XLOOKUP(S263:AG263,增益!$A:$A,增益!$S:$S,0)))+$B$12+SUM(_xlfn.XLOOKUP(S263:AG263,增益!$A:$A,增益!$V:$V,0)))*IF(VLOOKUP($R263,武学奇术!$A:$ZZ,23,FALSE)=1,0,1)</f>
        <v>0.4495</v>
      </c>
      <c r="BN263" s="21" cm="1">
        <f t="array" ref="BN263">1+$B$14+VLOOKUP($R263,武学奇术!$A:$ZZ,20,FALSE)+SUM(_xlfn.XLOOKUP(S263:AG263,增益!$A:$A,增益!$T:$T,0))</f>
        <v>1.782</v>
      </c>
      <c r="BO263" s="21">
        <f t="shared" si="53"/>
        <v>0.18803265</v>
      </c>
      <c r="BP263" s="21">
        <f t="shared" si="54"/>
        <v>0.2649738</v>
      </c>
      <c r="BQ263" s="21">
        <f>IF(VLOOKUP($R263,武学奇术!$A:$ZZ,22,FALSE)=1,0,(1-$BJ263))*(1-$BM263)</f>
        <v>0.09749355</v>
      </c>
      <c r="BR263" s="21" cm="1">
        <f t="array" ref="BR263">SUM(_xlfn.XLOOKUP(S263:AG263,增益!$A:$A,增益!$W:$W,0))+$I$5</f>
        <v>0.06</v>
      </c>
    </row>
    <row r="264" spans="11:70">
      <c r="K264" s="24">
        <f>$L264*VLOOKUP($R264,武学奇术!$A:$ZZ,31,FALSE)</f>
        <v>4859.97302600644</v>
      </c>
      <c r="L264" s="24">
        <f t="shared" si="44"/>
        <v>8099.95504334406</v>
      </c>
      <c r="M264" s="24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BL264*$Q264*(1+IF(VLOOKUP($R264,武学奇术!$A:$ZZ,30,FALSE)="流血",$B$21,0))*(1+$BR264)</f>
        <v>6631.43566487563</v>
      </c>
      <c r="N264" s="24">
        <f>(($AP264*$AI264+$AJ264)*(1+$AQ264)*(1+$AR264)+($AU264*IF($G$1="鸣金",$AK264,$AI264)+IF($G$1="鸣金",$AL264*1.5,0))*(1+$AV264)*(1+$AW264)+($AY264*IF($G$1="裂石",$AK264,$AI264)+IF($G$1="裂石",$AL264*1.5,0))*(1+$AZ264)*(1+$BA264)+($BC264*IF($G$1="牵丝",$AK264,$AI264)+IF($G$1="牵丝",$AL264*1.5,0))*(1+$BD264)*(1+$BE264)+($BG264*IF($G$1="破竹",$AK264,$AI264)+IF($G$1="破竹",$AL264*1.5,0))*(1+$BH264)*(1+$BI264))*(1+$AM264)*$BN264*$Q264*(1+IF(VLOOKUP($R264,武学奇术!$A:$ZZ,30,FALSE)="流血",$B$21,0))*(1+$BR264)</f>
        <v>12207.9167951555</v>
      </c>
      <c r="O264" s="24">
        <f>((($AO264+$AP264)/2*$AI264+$AJ264)*(1+$AQ264)*(1+$AR264)+(($AT264+$AU264)/2*IF($G$1="鸣金",$AK264,$AI264)+IF($G$1="鸣金",$AL264*1.5,0))*(1+$AV264)*(1+$AW264)+(($AX264+$AY264)/2*IF($G$1="裂石",$AK264,$AI264)+IF($G$1="裂石",$AL264*1.5,0))*(1+$AZ264)*(1+$BA264)+(($BB264+$BC264)/2*IF($G$1="牵丝",$AK264,$AI264)+IF($G$1="牵丝",$AL264*1.5,0))*(1+$BD264)*(1+$BE264)+(($BF264+$BG264)/2*IF($G$1="破竹",$AK264,$AI264)+IF($G$1="破竹",$AL264*1.5,0))*(1+$BH264)*(1+$BI264))*(1+$AM264)*$Q264*(1+IF(VLOOKUP($R264,武学奇术!$A:$ZZ,30,FALSE)="流血",$B$21,0))*(1+$BR264)</f>
        <v>4420.95710991708</v>
      </c>
      <c r="P264" s="24">
        <f>((($AO264*$AI264+$AJ264)*(1+$AQ264)*(1+$AR264)+($AT264*IF($G$1="鸣金",$AK264,$AI264)+IF($G$1="鸣金",$AL264*1.5,0))*(1+$AV264)*(1+$AW264)+($AX264*IF($G$1="裂石",$AK264,$AI264)+IF($G$1="裂石",$AL264*1.5,0))*(1+$AZ264)*(1+$BA264)+($BB264*IF($G$1="牵丝",$AK264,$AI264)+IF($G$1="牵丝",$AL264*1.5,0))*(1+$BD264)*(1+$BE264)+($BF264*IF($G$1="破竹",$AK264,$AI264)+IF($G$1="破竹",$AL264*1.5,0))*(1+$BH264)*(1+$BI264))*(1+$AM264))*$Q264*(1+IF(VLOOKUP($R264,武学奇术!$A:$ZZ,30,FALSE)="流血",$B$21,0))*(1+$BR264)</f>
        <v>1991.23139426989</v>
      </c>
      <c r="Q264" s="31">
        <v>1</v>
      </c>
      <c r="R264" s="32" t="s">
        <v>198</v>
      </c>
      <c r="S264" s="32" t="s">
        <v>87</v>
      </c>
      <c r="T264" s="32" t="s">
        <v>96</v>
      </c>
      <c r="U264" s="32" t="s">
        <v>97</v>
      </c>
      <c r="V264" s="32" t="s">
        <v>73</v>
      </c>
      <c r="W264" s="32" t="s">
        <v>111</v>
      </c>
      <c r="X264" s="32" t="s">
        <v>127</v>
      </c>
      <c r="Y264" s="32" t="s">
        <v>73</v>
      </c>
      <c r="Z264" s="32" t="s">
        <v>73</v>
      </c>
      <c r="AA264" s="32" t="s">
        <v>81</v>
      </c>
      <c r="AB264" s="32" t="s">
        <v>75</v>
      </c>
      <c r="AC264" s="32" t="s">
        <v>76</v>
      </c>
      <c r="AD264" s="32" t="s">
        <v>82</v>
      </c>
      <c r="AE264" s="32" t="s">
        <v>73</v>
      </c>
      <c r="AF264" s="32" t="s">
        <v>73</v>
      </c>
      <c r="AG264" s="32" t="s">
        <v>178</v>
      </c>
      <c r="AH264" t="str">
        <f>VLOOKUP($R264,武学奇术!$A:$ZZ,25,FALSE)</f>
        <v>剑</v>
      </c>
      <c r="AI264" s="21">
        <f>VLOOKUP($R264,武学奇术!$A:$ZZ,26,FALSE)</f>
        <v>0.17325</v>
      </c>
      <c r="AJ264" s="22">
        <f>VLOOKUP($R264,武学奇术!$A:$ZZ,27,FALSE)*(1+IF(OR($AH264=$F$4,$AH264=$F$5),$B$22,0))</f>
        <v>0</v>
      </c>
      <c r="AK264" s="21">
        <f>VLOOKUP($R264,武学奇术!$A:$ZZ,28,FALSE)</f>
        <v>0.259875</v>
      </c>
      <c r="AL264" s="22">
        <f>VLOOKUP($R264,武学奇术!$A:$ZZ,29,FALSE)*(1+IF(OR($AH264=$F$4,$AH264=$F$5),$B$22,0))</f>
        <v>0</v>
      </c>
      <c r="AM264" s="21" cm="1">
        <f t="array" ref="AM264">$G$3+IFERROR(VLOOKUP($AH264,$F$4:$G$7,2,FALSE),0)+VLOOKUP($R264,武学奇术!$A:$ZZ,2,FALSE)+SUM(_xlfn.XLOOKUP($S264:$AG264,增益!$A:$A,增益!$B:$B,0))</f>
        <v>1.2391</v>
      </c>
      <c r="AN264" s="21" cm="1">
        <f t="array" ref="AN264">VLOOKUP($R264,武学奇术!$A:$ZZ,5,FALSE)+SUM(_xlfn.XLOOKUP($S264:$AG264,增益!$A:$A,增益!$E:$E,0))</f>
        <v>0</v>
      </c>
      <c r="AO264" cm="1">
        <f t="array" ref="AO264">$D$10*(1+$AN264)+VLOOKUP($R264,武学奇术!$A:$ZZ,3,FALSE)+SUM(_xlfn.XLOOKUP($S264:$AG264,增益!$A:$A,增益!$C:$C,0))-$I$2</f>
        <v>1825.28</v>
      </c>
      <c r="AP264" cm="1">
        <f t="array" ref="AP264">$E$10*(1+$AN264)+VLOOKUP($R264,武学奇术!$A:$ZZ,4,FALSE)+SUM(_xlfn.XLOOKUP($S264:$AG264,增益!$A:$A,增益!$D:$D,0))-$I$2</f>
        <v>7757.36</v>
      </c>
      <c r="AQ264" s="26" cm="1">
        <f t="array" ref="AQ264">IF($F$10-$I$3+VLOOKUP($R264,武学奇术!$A:$ZZ,6,FALSE)+SUM(_xlfn.XLOOKUP(S264:AG264,增益!$A:$A,增益!$F:$F,0))&gt;0,($F$10-$I$3+VLOOKUP($R264,武学奇术!$A:$ZZ,6,FALSE)+SUM(_xlfn.XLOOKUP(S264:AG264,增益!$A:$A,增益!$F:$F,0)))/200,($F$10-$I$3+VLOOKUP($R264,武学奇术!$A:$ZZ,6,FALSE)+SUM(_xlfn.XLOOKUP(S264:AG264,增益!$A:$A,增益!$F:$F,0)))/100)</f>
        <v>0.319</v>
      </c>
      <c r="AR264" s="26" cm="1">
        <f t="array" ref="AR264">$G$10+VLOOKUP($R264,武学奇术!$A:$ZZ,7,FALSE)+SUM(_xlfn.XLOOKUP(S264:AG264,增益!$A:$A,增益!$G:$G,0))</f>
        <v>0</v>
      </c>
      <c r="AS264" s="21" cm="1">
        <f t="array" ref="AS264">VLOOKUP($R264,武学奇术!$A:$ZZ,8,FALSE)+SUM(_xlfn.XLOOKUP(S264:AG264,增益!$A:$A,增益!$H:$H,0))</f>
        <v>0</v>
      </c>
      <c r="AT264">
        <f t="shared" si="45"/>
        <v>680.02</v>
      </c>
      <c r="AU264">
        <f t="shared" si="46"/>
        <v>1288.54</v>
      </c>
      <c r="AV264" s="26" cm="1">
        <f t="array" ref="AV264">IF($F$11-$I$4+VLOOKUP($R264,武学奇术!$A:$ZZ,9,FALSE)+SUM(_xlfn.XLOOKUP(S264:AG264,增益!$A:$A,增益!$I:$I,0))&gt;0,($F$11-$I$4+VLOOKUP($R264,武学奇术!$A:$ZZ,9,FALSE)+SUM(_xlfn.XLOOKUP(S264:AG264,增益!$A:$A,增益!$I:$I,0)))/200,($F$11-$I$4+VLOOKUP($R264,武学奇术!$A:$ZZ,9,FALSE)+SUM(_xlfn.XLOOKUP(S264:AG264,增益!$A:$A,增益!$I:$I,0)))/100)</f>
        <v>0.075</v>
      </c>
      <c r="AW264" s="26" cm="1">
        <f t="array" ref="AW264">$G$11+VLOOKUP($R264,武学奇术!$A:$ZZ,10,FALSE)+SUM(_xlfn.XLOOKUP(S264:AG264,增益!$A:$A,增益!$J:$J,0))</f>
        <v>0.15</v>
      </c>
      <c r="AX264">
        <f t="shared" si="47"/>
        <v>0</v>
      </c>
      <c r="AY264">
        <f t="shared" si="48"/>
        <v>0</v>
      </c>
      <c r="AZ264" s="26" cm="1">
        <f t="array" ref="AZ264">IF($F$12-$I$4+VLOOKUP($R264,武学奇术!$A:$ZZ,11,FALSE)+SUM(_xlfn.XLOOKUP(S264:AG264,增益!$A:$A,增益!$K:$K,0))&gt;0,($F$12-$I$4+VLOOKUP($R264,武学奇术!$A:$ZZ,11,FALSE)+SUM(_xlfn.XLOOKUP(S264:AG264,增益!$A:$A,增益!$K:$K,0)))/200,($F$12-$I$4+VLOOKUP($R264,武学奇术!$A:$ZZ,11,FALSE)+SUM(_xlfn.XLOOKUP(S264:AG264,增益!$A:$A,增益!$K:$K,0)))/100)</f>
        <v>-0.3</v>
      </c>
      <c r="BA264" s="26" cm="1">
        <f t="array" ref="BA264">$G$12+VLOOKUP($R264,武学奇术!$A:$ZZ,12,FALSE)+SUM(_xlfn.XLOOKUP(S264:AG264,增益!$A:$A,增益!$L:$L,0))</f>
        <v>0</v>
      </c>
      <c r="BB264">
        <f t="shared" si="49"/>
        <v>0</v>
      </c>
      <c r="BC264">
        <f t="shared" si="50"/>
        <v>0</v>
      </c>
      <c r="BD264" s="26" cm="1">
        <f t="array" ref="BD264">IF($F$13-$I$4+VLOOKUP($R264,武学奇术!$A:$ZZ,13,FALSE)+SUM(_xlfn.XLOOKUP(S264:AG264,增益!$A:$A,增益!$M:$M,0))&gt;0,($F$13-$I$4+VLOOKUP($R264,武学奇术!$A:$ZZ,13,FALSE)+SUM(_xlfn.XLOOKUP(S264:AG264,增益!$A:$A,增益!$K:$K,0)))/200,($F$13-$I$4+VLOOKUP($R264,武学奇术!$A:$ZZ,13,FALSE)+SUM(_xlfn.XLOOKUP(S264:AG264,增益!$A:$A,增益!$M:$M,0)))/100)</f>
        <v>-0.3</v>
      </c>
      <c r="BE264" s="26" cm="1">
        <f t="array" ref="BE264">$G$13+VLOOKUP($R264,武学奇术!$A:$ZZ,14,FALSE)+SUM(_xlfn.XLOOKUP(S264:AG264,增益!$A:$A,增益!$N:$N,0))</f>
        <v>0</v>
      </c>
      <c r="BF264">
        <f t="shared" si="51"/>
        <v>0</v>
      </c>
      <c r="BG264">
        <f t="shared" si="52"/>
        <v>0</v>
      </c>
      <c r="BH264" s="26" cm="1">
        <f t="array" ref="BH264">IF($F$14-$I$4+VLOOKUP($R264,武学奇术!$A:$ZZ,15,FALSE)+SUM(_xlfn.XLOOKUP(S264:AG264,增益!$A:$A,增益!$O:$O,0))&gt;0,($F$14-$I$4+VLOOKUP($R264,武学奇术!$A:$ZZ,15,FALSE)+SUM(_xlfn.XLOOKUP(S264:AG264,增益!$A:$A,增益!$O:$O,0)))/200,($F$14-$I$4+VLOOKUP($R264,武学奇术!$A:$ZZ,15,FALSE)+SUM(_xlfn.XLOOKUP(S264:AG264,增益!$A:$A,增益!$O:$O,0)))/100)</f>
        <v>-0.3</v>
      </c>
      <c r="BI264" s="26" cm="1">
        <f t="array" ref="BI264">$G$14+VLOOKUP($R264,武学奇术!$A:$ZZ,16,FALSE)+SUM(_xlfn.XLOOKUP(S264:AG264,增益!$A:$A,增益!$P:$P,0))</f>
        <v>0</v>
      </c>
      <c r="BJ264" s="21">
        <f>MIN(IF(VLOOKUP($R264,武学奇术!$A:$ZZ,23,FALSE)=1,100%,$B$8),100%)</f>
        <v>0.8229</v>
      </c>
      <c r="BK264" s="21" cm="1">
        <f t="array" ref="BK264">IF(VLOOKUP($R264,武学奇术!$A:$ZZ,23,FALSE)=1,100%,MIN(80%,$B$9+VLOOKUP($R264,武学奇术!$A:$ZZ,17,FALSE)+SUM(_xlfn.XLOOKUP(S264:AG264,增益!$A:$A,增益!$Q:$Q,0)))+$B$11+SUM(_xlfn.XLOOKUP(S264:AG264,增益!$A:$A,增益!$U:$U,0)))*IF(VLOOKUP($R264,武学奇术!$A:$ZZ,24,FALSE)=1,0,1)</f>
        <v>0.2285</v>
      </c>
      <c r="BL264" s="21" cm="1">
        <f t="array" ref="BL264">1+$B$13+VLOOKUP($R264,武学奇术!$A:$ZZ,18,FALSE)+SUM(_xlfn.XLOOKUP(S264:AG264,增益!$A:$A,增益!$R:$R,0))</f>
        <v>1.5</v>
      </c>
      <c r="BM264" s="21" cm="1">
        <f t="array" ref="BM264">IF(VLOOKUP($R264,武学奇术!$A:$ZZ,24,FALSE)=1,100%,MIN(40%,$B$10+VLOOKUP($R264,武学奇术!$A:$ZZ,19,FALSE)+SUM(_xlfn.XLOOKUP(S264:AG264,增益!$A:$A,增益!$S:$S,0)))+$B$12+SUM(_xlfn.XLOOKUP(S264:AG264,增益!$A:$A,增益!$V:$V,0)))*IF(VLOOKUP($R264,武学奇术!$A:$ZZ,23,FALSE)=1,0,1)</f>
        <v>0.4495</v>
      </c>
      <c r="BN264" s="21" cm="1">
        <f t="array" ref="BN264">1+$B$14+VLOOKUP($R264,武学奇术!$A:$ZZ,20,FALSE)+SUM(_xlfn.XLOOKUP(S264:AG264,增益!$A:$A,增益!$T:$T,0))</f>
        <v>1.782</v>
      </c>
      <c r="BO264" s="21">
        <f t="shared" si="53"/>
        <v>0.18803265</v>
      </c>
      <c r="BP264" s="21">
        <f t="shared" si="54"/>
        <v>0.2649738</v>
      </c>
      <c r="BQ264" s="21">
        <f>IF(VLOOKUP($R264,武学奇术!$A:$ZZ,22,FALSE)=1,0,(1-$BJ264))*(1-$BM264)</f>
        <v>0.09749355</v>
      </c>
      <c r="BR264" s="21" cm="1">
        <f t="array" ref="BR264">SUM(_xlfn.XLOOKUP(S264:AG264,增益!$A:$A,增益!$W:$W,0))+$I$5</f>
        <v>0.06</v>
      </c>
    </row>
    <row r="265" spans="11:70">
      <c r="K265" s="24">
        <f>$L265*VLOOKUP($R265,武学奇术!$A:$ZZ,31,FALSE)</f>
        <v>9719.94605201287</v>
      </c>
      <c r="L265" s="24">
        <f t="shared" si="44"/>
        <v>16199.9100866881</v>
      </c>
      <c r="M265" s="24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BL265*$Q265*(1+IF(VLOOKUP($R265,武学奇术!$A:$ZZ,30,FALSE)="流血",$B$21,0))*(1+$BR265)</f>
        <v>13262.8713297513</v>
      </c>
      <c r="N265" s="24">
        <f>(($AP265*$AI265+$AJ265)*(1+$AQ265)*(1+$AR265)+($AU265*IF($G$1="鸣金",$AK265,$AI265)+IF($G$1="鸣金",$AL265*1.5,0))*(1+$AV265)*(1+$AW265)+($AY265*IF($G$1="裂石",$AK265,$AI265)+IF($G$1="裂石",$AL265*1.5,0))*(1+$AZ265)*(1+$BA265)+($BC265*IF($G$1="牵丝",$AK265,$AI265)+IF($G$1="牵丝",$AL265*1.5,0))*(1+$BD265)*(1+$BE265)+($BG265*IF($G$1="破竹",$AK265,$AI265)+IF($G$1="破竹",$AL265*1.5,0))*(1+$BH265)*(1+$BI265))*(1+$AM265)*$BN265*$Q265*(1+IF(VLOOKUP($R265,武学奇术!$A:$ZZ,30,FALSE)="流血",$B$21,0))*(1+$BR265)</f>
        <v>24415.8335903111</v>
      </c>
      <c r="O265" s="24">
        <f>((($AO265+$AP265)/2*$AI265+$AJ265)*(1+$AQ265)*(1+$AR265)+(($AT265+$AU265)/2*IF($G$1="鸣金",$AK265,$AI265)+IF($G$1="鸣金",$AL265*1.5,0))*(1+$AV265)*(1+$AW265)+(($AX265+$AY265)/2*IF($G$1="裂石",$AK265,$AI265)+IF($G$1="裂石",$AL265*1.5,0))*(1+$AZ265)*(1+$BA265)+(($BB265+$BC265)/2*IF($G$1="牵丝",$AK265,$AI265)+IF($G$1="牵丝",$AL265*1.5,0))*(1+$BD265)*(1+$BE265)+(($BF265+$BG265)/2*IF($G$1="破竹",$AK265,$AI265)+IF($G$1="破竹",$AL265*1.5,0))*(1+$BH265)*(1+$BI265))*(1+$AM265)*$Q265*(1+IF(VLOOKUP($R265,武学奇术!$A:$ZZ,30,FALSE)="流血",$B$21,0))*(1+$BR265)</f>
        <v>8841.91421983417</v>
      </c>
      <c r="P265" s="24">
        <f>((($AO265*$AI265+$AJ265)*(1+$AQ265)*(1+$AR265)+($AT265*IF($G$1="鸣金",$AK265,$AI265)+IF($G$1="鸣金",$AL265*1.5,0))*(1+$AV265)*(1+$AW265)+($AX265*IF($G$1="裂石",$AK265,$AI265)+IF($G$1="裂石",$AL265*1.5,0))*(1+$AZ265)*(1+$BA265)+($BB265*IF($G$1="牵丝",$AK265,$AI265)+IF($G$1="牵丝",$AL265*1.5,0))*(1+$BD265)*(1+$BE265)+($BF265*IF($G$1="破竹",$AK265,$AI265)+IF($G$1="破竹",$AL265*1.5,0))*(1+$BH265)*(1+$BI265))*(1+$AM265))*$Q265*(1+IF(VLOOKUP($R265,武学奇术!$A:$ZZ,30,FALSE)="流血",$B$21,0))*(1+$BR265)</f>
        <v>3982.46278853979</v>
      </c>
      <c r="Q265" s="31">
        <v>1</v>
      </c>
      <c r="R265" s="32" t="s">
        <v>199</v>
      </c>
      <c r="S265" s="32" t="s">
        <v>87</v>
      </c>
      <c r="T265" s="32" t="s">
        <v>96</v>
      </c>
      <c r="U265" s="32" t="s">
        <v>97</v>
      </c>
      <c r="V265" s="32" t="s">
        <v>73</v>
      </c>
      <c r="W265" s="32" t="s">
        <v>111</v>
      </c>
      <c r="X265" s="32" t="s">
        <v>127</v>
      </c>
      <c r="Y265" s="32" t="s">
        <v>73</v>
      </c>
      <c r="Z265" s="32" t="s">
        <v>73</v>
      </c>
      <c r="AA265" s="32" t="s">
        <v>81</v>
      </c>
      <c r="AB265" s="32" t="s">
        <v>75</v>
      </c>
      <c r="AC265" s="32" t="s">
        <v>76</v>
      </c>
      <c r="AD265" s="32" t="s">
        <v>82</v>
      </c>
      <c r="AE265" s="32" t="s">
        <v>73</v>
      </c>
      <c r="AF265" s="32" t="s">
        <v>73</v>
      </c>
      <c r="AG265" s="32" t="s">
        <v>178</v>
      </c>
      <c r="AH265" t="str">
        <f>VLOOKUP($R265,武学奇术!$A:$ZZ,25,FALSE)</f>
        <v>剑</v>
      </c>
      <c r="AI265" s="21">
        <f>VLOOKUP($R265,武学奇术!$A:$ZZ,26,FALSE)</f>
        <v>0.3465</v>
      </c>
      <c r="AJ265" s="22">
        <f>VLOOKUP($R265,武学奇术!$A:$ZZ,27,FALSE)*(1+IF(OR($AH265=$F$4,$AH265=$F$5),$B$22,0))</f>
        <v>0</v>
      </c>
      <c r="AK265" s="21">
        <f>VLOOKUP($R265,武学奇术!$A:$ZZ,28,FALSE)</f>
        <v>0.51975</v>
      </c>
      <c r="AL265" s="22">
        <f>VLOOKUP($R265,武学奇术!$A:$ZZ,29,FALSE)*(1+IF(OR($AH265=$F$4,$AH265=$F$5),$B$22,0))</f>
        <v>0</v>
      </c>
      <c r="AM265" s="21" cm="1">
        <f t="array" ref="AM265">$G$3+IFERROR(VLOOKUP($AH265,$F$4:$G$7,2,FALSE),0)+VLOOKUP($R265,武学奇术!$A:$ZZ,2,FALSE)+SUM(_xlfn.XLOOKUP($S265:$AG265,增益!$A:$A,增益!$B:$B,0))</f>
        <v>1.2391</v>
      </c>
      <c r="AN265" s="21" cm="1">
        <f t="array" ref="AN265">VLOOKUP($R265,武学奇术!$A:$ZZ,5,FALSE)+SUM(_xlfn.XLOOKUP($S265:$AG265,增益!$A:$A,增益!$E:$E,0))</f>
        <v>0</v>
      </c>
      <c r="AO265" cm="1">
        <f t="array" ref="AO265">$D$10*(1+$AN265)+VLOOKUP($R265,武学奇术!$A:$ZZ,3,FALSE)+SUM(_xlfn.XLOOKUP($S265:$AG265,增益!$A:$A,增益!$C:$C,0))-$I$2</f>
        <v>1825.28</v>
      </c>
      <c r="AP265" cm="1">
        <f t="array" ref="AP265">$E$10*(1+$AN265)+VLOOKUP($R265,武学奇术!$A:$ZZ,4,FALSE)+SUM(_xlfn.XLOOKUP($S265:$AG265,增益!$A:$A,增益!$D:$D,0))-$I$2</f>
        <v>7757.36</v>
      </c>
      <c r="AQ265" s="26" cm="1">
        <f t="array" ref="AQ265">IF($F$10-$I$3+VLOOKUP($R265,武学奇术!$A:$ZZ,6,FALSE)+SUM(_xlfn.XLOOKUP(S265:AG265,增益!$A:$A,增益!$F:$F,0))&gt;0,($F$10-$I$3+VLOOKUP($R265,武学奇术!$A:$ZZ,6,FALSE)+SUM(_xlfn.XLOOKUP(S265:AG265,增益!$A:$A,增益!$F:$F,0)))/200,($F$10-$I$3+VLOOKUP($R265,武学奇术!$A:$ZZ,6,FALSE)+SUM(_xlfn.XLOOKUP(S265:AG265,增益!$A:$A,增益!$F:$F,0)))/100)</f>
        <v>0.319</v>
      </c>
      <c r="AR265" s="26" cm="1">
        <f t="array" ref="AR265">$G$10+VLOOKUP($R265,武学奇术!$A:$ZZ,7,FALSE)+SUM(_xlfn.XLOOKUP(S265:AG265,增益!$A:$A,增益!$G:$G,0))</f>
        <v>0</v>
      </c>
      <c r="AS265" s="21" cm="1">
        <f t="array" ref="AS265">VLOOKUP($R265,武学奇术!$A:$ZZ,8,FALSE)+SUM(_xlfn.XLOOKUP(S265:AG265,增益!$A:$A,增益!$H:$H,0))</f>
        <v>0</v>
      </c>
      <c r="AT265">
        <f t="shared" si="45"/>
        <v>680.02</v>
      </c>
      <c r="AU265">
        <f t="shared" si="46"/>
        <v>1288.54</v>
      </c>
      <c r="AV265" s="26" cm="1">
        <f t="array" ref="AV265">IF($F$11-$I$4+VLOOKUP($R265,武学奇术!$A:$ZZ,9,FALSE)+SUM(_xlfn.XLOOKUP(S265:AG265,增益!$A:$A,增益!$I:$I,0))&gt;0,($F$11-$I$4+VLOOKUP($R265,武学奇术!$A:$ZZ,9,FALSE)+SUM(_xlfn.XLOOKUP(S265:AG265,增益!$A:$A,增益!$I:$I,0)))/200,($F$11-$I$4+VLOOKUP($R265,武学奇术!$A:$ZZ,9,FALSE)+SUM(_xlfn.XLOOKUP(S265:AG265,增益!$A:$A,增益!$I:$I,0)))/100)</f>
        <v>0.075</v>
      </c>
      <c r="AW265" s="26" cm="1">
        <f t="array" ref="AW265">$G$11+VLOOKUP($R265,武学奇术!$A:$ZZ,10,FALSE)+SUM(_xlfn.XLOOKUP(S265:AG265,增益!$A:$A,增益!$J:$J,0))</f>
        <v>0.15</v>
      </c>
      <c r="AX265">
        <f t="shared" si="47"/>
        <v>0</v>
      </c>
      <c r="AY265">
        <f t="shared" si="48"/>
        <v>0</v>
      </c>
      <c r="AZ265" s="26" cm="1">
        <f t="array" ref="AZ265">IF($F$12-$I$4+VLOOKUP($R265,武学奇术!$A:$ZZ,11,FALSE)+SUM(_xlfn.XLOOKUP(S265:AG265,增益!$A:$A,增益!$K:$K,0))&gt;0,($F$12-$I$4+VLOOKUP($R265,武学奇术!$A:$ZZ,11,FALSE)+SUM(_xlfn.XLOOKUP(S265:AG265,增益!$A:$A,增益!$K:$K,0)))/200,($F$12-$I$4+VLOOKUP($R265,武学奇术!$A:$ZZ,11,FALSE)+SUM(_xlfn.XLOOKUP(S265:AG265,增益!$A:$A,增益!$K:$K,0)))/100)</f>
        <v>-0.3</v>
      </c>
      <c r="BA265" s="26" cm="1">
        <f t="array" ref="BA265">$G$12+VLOOKUP($R265,武学奇术!$A:$ZZ,12,FALSE)+SUM(_xlfn.XLOOKUP(S265:AG265,增益!$A:$A,增益!$L:$L,0))</f>
        <v>0</v>
      </c>
      <c r="BB265">
        <f t="shared" si="49"/>
        <v>0</v>
      </c>
      <c r="BC265">
        <f t="shared" si="50"/>
        <v>0</v>
      </c>
      <c r="BD265" s="26" cm="1">
        <f t="array" ref="BD265">IF($F$13-$I$4+VLOOKUP($R265,武学奇术!$A:$ZZ,13,FALSE)+SUM(_xlfn.XLOOKUP(S265:AG265,增益!$A:$A,增益!$M:$M,0))&gt;0,($F$13-$I$4+VLOOKUP($R265,武学奇术!$A:$ZZ,13,FALSE)+SUM(_xlfn.XLOOKUP(S265:AG265,增益!$A:$A,增益!$K:$K,0)))/200,($F$13-$I$4+VLOOKUP($R265,武学奇术!$A:$ZZ,13,FALSE)+SUM(_xlfn.XLOOKUP(S265:AG265,增益!$A:$A,增益!$M:$M,0)))/100)</f>
        <v>-0.3</v>
      </c>
      <c r="BE265" s="26" cm="1">
        <f t="array" ref="BE265">$G$13+VLOOKUP($R265,武学奇术!$A:$ZZ,14,FALSE)+SUM(_xlfn.XLOOKUP(S265:AG265,增益!$A:$A,增益!$N:$N,0))</f>
        <v>0</v>
      </c>
      <c r="BF265">
        <f t="shared" si="51"/>
        <v>0</v>
      </c>
      <c r="BG265">
        <f t="shared" si="52"/>
        <v>0</v>
      </c>
      <c r="BH265" s="26" cm="1">
        <f t="array" ref="BH265">IF($F$14-$I$4+VLOOKUP($R265,武学奇术!$A:$ZZ,15,FALSE)+SUM(_xlfn.XLOOKUP(S265:AG265,增益!$A:$A,增益!$O:$O,0))&gt;0,($F$14-$I$4+VLOOKUP($R265,武学奇术!$A:$ZZ,15,FALSE)+SUM(_xlfn.XLOOKUP(S265:AG265,增益!$A:$A,增益!$O:$O,0)))/200,($F$14-$I$4+VLOOKUP($R265,武学奇术!$A:$ZZ,15,FALSE)+SUM(_xlfn.XLOOKUP(S265:AG265,增益!$A:$A,增益!$O:$O,0)))/100)</f>
        <v>-0.3</v>
      </c>
      <c r="BI265" s="26" cm="1">
        <f t="array" ref="BI265">$G$14+VLOOKUP($R265,武学奇术!$A:$ZZ,16,FALSE)+SUM(_xlfn.XLOOKUP(S265:AG265,增益!$A:$A,增益!$P:$P,0))</f>
        <v>0</v>
      </c>
      <c r="BJ265" s="21">
        <f>MIN(IF(VLOOKUP($R265,武学奇术!$A:$ZZ,23,FALSE)=1,100%,$B$8),100%)</f>
        <v>0.8229</v>
      </c>
      <c r="BK265" s="21" cm="1">
        <f t="array" ref="BK265">IF(VLOOKUP($R265,武学奇术!$A:$ZZ,23,FALSE)=1,100%,MIN(80%,$B$9+VLOOKUP($R265,武学奇术!$A:$ZZ,17,FALSE)+SUM(_xlfn.XLOOKUP(S265:AG265,增益!$A:$A,增益!$Q:$Q,0)))+$B$11+SUM(_xlfn.XLOOKUP(S265:AG265,增益!$A:$A,增益!$U:$U,0)))*IF(VLOOKUP($R265,武学奇术!$A:$ZZ,24,FALSE)=1,0,1)</f>
        <v>0.2285</v>
      </c>
      <c r="BL265" s="21" cm="1">
        <f t="array" ref="BL265">1+$B$13+VLOOKUP($R265,武学奇术!$A:$ZZ,18,FALSE)+SUM(_xlfn.XLOOKUP(S265:AG265,增益!$A:$A,增益!$R:$R,0))</f>
        <v>1.5</v>
      </c>
      <c r="BM265" s="21" cm="1">
        <f t="array" ref="BM265">IF(VLOOKUP($R265,武学奇术!$A:$ZZ,24,FALSE)=1,100%,MIN(40%,$B$10+VLOOKUP($R265,武学奇术!$A:$ZZ,19,FALSE)+SUM(_xlfn.XLOOKUP(S265:AG265,增益!$A:$A,增益!$S:$S,0)))+$B$12+SUM(_xlfn.XLOOKUP(S265:AG265,增益!$A:$A,增益!$V:$V,0)))*IF(VLOOKUP($R265,武学奇术!$A:$ZZ,23,FALSE)=1,0,1)</f>
        <v>0.4495</v>
      </c>
      <c r="BN265" s="21" cm="1">
        <f t="array" ref="BN265">1+$B$14+VLOOKUP($R265,武学奇术!$A:$ZZ,20,FALSE)+SUM(_xlfn.XLOOKUP(S265:AG265,增益!$A:$A,增益!$T:$T,0))</f>
        <v>1.782</v>
      </c>
      <c r="BO265" s="21">
        <f t="shared" si="53"/>
        <v>0.18803265</v>
      </c>
      <c r="BP265" s="21">
        <f t="shared" si="54"/>
        <v>0.2649738</v>
      </c>
      <c r="BQ265" s="21">
        <f>IF(VLOOKUP($R265,武学奇术!$A:$ZZ,22,FALSE)=1,0,(1-$BJ265))*(1-$BM265)</f>
        <v>0.09749355</v>
      </c>
      <c r="BR265" s="21" cm="1">
        <f t="array" ref="BR265">SUM(_xlfn.XLOOKUP(S265:AG265,增益!$A:$A,增益!$W:$W,0))+$I$5</f>
        <v>0.06</v>
      </c>
    </row>
    <row r="266" spans="11:70">
      <c r="K266" s="24">
        <f>$L266*VLOOKUP($R266,武学奇术!$A:$ZZ,31,FALSE)</f>
        <v>4859.97302600644</v>
      </c>
      <c r="L266" s="24">
        <f t="shared" si="44"/>
        <v>8099.95504334406</v>
      </c>
      <c r="M266" s="24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BL266*$Q266*(1+IF(VLOOKUP($R266,武学奇术!$A:$ZZ,30,FALSE)="流血",$B$21,0))*(1+$BR266)</f>
        <v>6631.43566487563</v>
      </c>
      <c r="N266" s="24">
        <f>(($AP266*$AI266+$AJ266)*(1+$AQ266)*(1+$AR266)+($AU266*IF($G$1="鸣金",$AK266,$AI266)+IF($G$1="鸣金",$AL266*1.5,0))*(1+$AV266)*(1+$AW266)+($AY266*IF($G$1="裂石",$AK266,$AI266)+IF($G$1="裂石",$AL266*1.5,0))*(1+$AZ266)*(1+$BA266)+($BC266*IF($G$1="牵丝",$AK266,$AI266)+IF($G$1="牵丝",$AL266*1.5,0))*(1+$BD266)*(1+$BE266)+($BG266*IF($G$1="破竹",$AK266,$AI266)+IF($G$1="破竹",$AL266*1.5,0))*(1+$BH266)*(1+$BI266))*(1+$AM266)*$BN266*$Q266*(1+IF(VLOOKUP($R266,武学奇术!$A:$ZZ,30,FALSE)="流血",$B$21,0))*(1+$BR266)</f>
        <v>12207.9167951555</v>
      </c>
      <c r="O266" s="24">
        <f>((($AO266+$AP266)/2*$AI266+$AJ266)*(1+$AQ266)*(1+$AR266)+(($AT266+$AU266)/2*IF($G$1="鸣金",$AK266,$AI266)+IF($G$1="鸣金",$AL266*1.5,0))*(1+$AV266)*(1+$AW266)+(($AX266+$AY266)/2*IF($G$1="裂石",$AK266,$AI266)+IF($G$1="裂石",$AL266*1.5,0))*(1+$AZ266)*(1+$BA266)+(($BB266+$BC266)/2*IF($G$1="牵丝",$AK266,$AI266)+IF($G$1="牵丝",$AL266*1.5,0))*(1+$BD266)*(1+$BE266)+(($BF266+$BG266)/2*IF($G$1="破竹",$AK266,$AI266)+IF($G$1="破竹",$AL266*1.5,0))*(1+$BH266)*(1+$BI266))*(1+$AM266)*$Q266*(1+IF(VLOOKUP($R266,武学奇术!$A:$ZZ,30,FALSE)="流血",$B$21,0))*(1+$BR266)</f>
        <v>4420.95710991708</v>
      </c>
      <c r="P266" s="24">
        <f>((($AO266*$AI266+$AJ266)*(1+$AQ266)*(1+$AR266)+($AT266*IF($G$1="鸣金",$AK266,$AI266)+IF($G$1="鸣金",$AL266*1.5,0))*(1+$AV266)*(1+$AW266)+($AX266*IF($G$1="裂石",$AK266,$AI266)+IF($G$1="裂石",$AL266*1.5,0))*(1+$AZ266)*(1+$BA266)+($BB266*IF($G$1="牵丝",$AK266,$AI266)+IF($G$1="牵丝",$AL266*1.5,0))*(1+$BD266)*(1+$BE266)+($BF266*IF($G$1="破竹",$AK266,$AI266)+IF($G$1="破竹",$AL266*1.5,0))*(1+$BH266)*(1+$BI266))*(1+$AM266))*$Q266*(1+IF(VLOOKUP($R266,武学奇术!$A:$ZZ,30,FALSE)="流血",$B$21,0))*(1+$BR266)</f>
        <v>1991.23139426989</v>
      </c>
      <c r="Q266" s="31">
        <v>1</v>
      </c>
      <c r="R266" s="32" t="s">
        <v>198</v>
      </c>
      <c r="S266" s="32" t="s">
        <v>87</v>
      </c>
      <c r="T266" s="32" t="s">
        <v>96</v>
      </c>
      <c r="U266" s="32" t="s">
        <v>97</v>
      </c>
      <c r="V266" s="32" t="s">
        <v>73</v>
      </c>
      <c r="W266" s="32" t="s">
        <v>111</v>
      </c>
      <c r="X266" s="32" t="s">
        <v>127</v>
      </c>
      <c r="Y266" s="32" t="s">
        <v>73</v>
      </c>
      <c r="Z266" s="32" t="s">
        <v>73</v>
      </c>
      <c r="AA266" s="32" t="s">
        <v>81</v>
      </c>
      <c r="AB266" s="32" t="s">
        <v>75</v>
      </c>
      <c r="AC266" s="32" t="s">
        <v>76</v>
      </c>
      <c r="AD266" s="32" t="s">
        <v>82</v>
      </c>
      <c r="AE266" s="32" t="s">
        <v>73</v>
      </c>
      <c r="AF266" s="32" t="s">
        <v>73</v>
      </c>
      <c r="AG266" s="32" t="s">
        <v>178</v>
      </c>
      <c r="AH266" t="str">
        <f>VLOOKUP($R266,武学奇术!$A:$ZZ,25,FALSE)</f>
        <v>剑</v>
      </c>
      <c r="AI266" s="21">
        <f>VLOOKUP($R266,武学奇术!$A:$ZZ,26,FALSE)</f>
        <v>0.17325</v>
      </c>
      <c r="AJ266" s="22">
        <f>VLOOKUP($R266,武学奇术!$A:$ZZ,27,FALSE)*(1+IF(OR($AH266=$F$4,$AH266=$F$5),$B$22,0))</f>
        <v>0</v>
      </c>
      <c r="AK266" s="21">
        <f>VLOOKUP($R266,武学奇术!$A:$ZZ,28,FALSE)</f>
        <v>0.259875</v>
      </c>
      <c r="AL266" s="22">
        <f>VLOOKUP($R266,武学奇术!$A:$ZZ,29,FALSE)*(1+IF(OR($AH266=$F$4,$AH266=$F$5),$B$22,0))</f>
        <v>0</v>
      </c>
      <c r="AM266" s="21" cm="1">
        <f t="array" ref="AM266">$G$3+IFERROR(VLOOKUP($AH266,$F$4:$G$7,2,FALSE),0)+VLOOKUP($R266,武学奇术!$A:$ZZ,2,FALSE)+SUM(_xlfn.XLOOKUP($S266:$AG266,增益!$A:$A,增益!$B:$B,0))</f>
        <v>1.2391</v>
      </c>
      <c r="AN266" s="21" cm="1">
        <f t="array" ref="AN266">VLOOKUP($R266,武学奇术!$A:$ZZ,5,FALSE)+SUM(_xlfn.XLOOKUP($S266:$AG266,增益!$A:$A,增益!$E:$E,0))</f>
        <v>0</v>
      </c>
      <c r="AO266" cm="1">
        <f t="array" ref="AO266">$D$10*(1+$AN266)+VLOOKUP($R266,武学奇术!$A:$ZZ,3,FALSE)+SUM(_xlfn.XLOOKUP($S266:$AG266,增益!$A:$A,增益!$C:$C,0))-$I$2</f>
        <v>1825.28</v>
      </c>
      <c r="AP266" cm="1">
        <f t="array" ref="AP266">$E$10*(1+$AN266)+VLOOKUP($R266,武学奇术!$A:$ZZ,4,FALSE)+SUM(_xlfn.XLOOKUP($S266:$AG266,增益!$A:$A,增益!$D:$D,0))-$I$2</f>
        <v>7757.36</v>
      </c>
      <c r="AQ266" s="26" cm="1">
        <f t="array" ref="AQ266">IF($F$10-$I$3+VLOOKUP($R266,武学奇术!$A:$ZZ,6,FALSE)+SUM(_xlfn.XLOOKUP(S266:AG266,增益!$A:$A,增益!$F:$F,0))&gt;0,($F$10-$I$3+VLOOKUP($R266,武学奇术!$A:$ZZ,6,FALSE)+SUM(_xlfn.XLOOKUP(S266:AG266,增益!$A:$A,增益!$F:$F,0)))/200,($F$10-$I$3+VLOOKUP($R266,武学奇术!$A:$ZZ,6,FALSE)+SUM(_xlfn.XLOOKUP(S266:AG266,增益!$A:$A,增益!$F:$F,0)))/100)</f>
        <v>0.319</v>
      </c>
      <c r="AR266" s="26" cm="1">
        <f t="array" ref="AR266">$G$10+VLOOKUP($R266,武学奇术!$A:$ZZ,7,FALSE)+SUM(_xlfn.XLOOKUP(S266:AG266,增益!$A:$A,增益!$G:$G,0))</f>
        <v>0</v>
      </c>
      <c r="AS266" s="21" cm="1">
        <f t="array" ref="AS266">VLOOKUP($R266,武学奇术!$A:$ZZ,8,FALSE)+SUM(_xlfn.XLOOKUP(S266:AG266,增益!$A:$A,增益!$H:$H,0))</f>
        <v>0</v>
      </c>
      <c r="AT266">
        <f t="shared" si="45"/>
        <v>680.02</v>
      </c>
      <c r="AU266">
        <f t="shared" si="46"/>
        <v>1288.54</v>
      </c>
      <c r="AV266" s="26" cm="1">
        <f t="array" ref="AV266">IF($F$11-$I$4+VLOOKUP($R266,武学奇术!$A:$ZZ,9,FALSE)+SUM(_xlfn.XLOOKUP(S266:AG266,增益!$A:$A,增益!$I:$I,0))&gt;0,($F$11-$I$4+VLOOKUP($R266,武学奇术!$A:$ZZ,9,FALSE)+SUM(_xlfn.XLOOKUP(S266:AG266,增益!$A:$A,增益!$I:$I,0)))/200,($F$11-$I$4+VLOOKUP($R266,武学奇术!$A:$ZZ,9,FALSE)+SUM(_xlfn.XLOOKUP(S266:AG266,增益!$A:$A,增益!$I:$I,0)))/100)</f>
        <v>0.075</v>
      </c>
      <c r="AW266" s="26" cm="1">
        <f t="array" ref="AW266">$G$11+VLOOKUP($R266,武学奇术!$A:$ZZ,10,FALSE)+SUM(_xlfn.XLOOKUP(S266:AG266,增益!$A:$A,增益!$J:$J,0))</f>
        <v>0.15</v>
      </c>
      <c r="AX266">
        <f t="shared" si="47"/>
        <v>0</v>
      </c>
      <c r="AY266">
        <f t="shared" si="48"/>
        <v>0</v>
      </c>
      <c r="AZ266" s="26" cm="1">
        <f t="array" ref="AZ266">IF($F$12-$I$4+VLOOKUP($R266,武学奇术!$A:$ZZ,11,FALSE)+SUM(_xlfn.XLOOKUP(S266:AG266,增益!$A:$A,增益!$K:$K,0))&gt;0,($F$12-$I$4+VLOOKUP($R266,武学奇术!$A:$ZZ,11,FALSE)+SUM(_xlfn.XLOOKUP(S266:AG266,增益!$A:$A,增益!$K:$K,0)))/200,($F$12-$I$4+VLOOKUP($R266,武学奇术!$A:$ZZ,11,FALSE)+SUM(_xlfn.XLOOKUP(S266:AG266,增益!$A:$A,增益!$K:$K,0)))/100)</f>
        <v>-0.3</v>
      </c>
      <c r="BA266" s="26" cm="1">
        <f t="array" ref="BA266">$G$12+VLOOKUP($R266,武学奇术!$A:$ZZ,12,FALSE)+SUM(_xlfn.XLOOKUP(S266:AG266,增益!$A:$A,增益!$L:$L,0))</f>
        <v>0</v>
      </c>
      <c r="BB266">
        <f t="shared" si="49"/>
        <v>0</v>
      </c>
      <c r="BC266">
        <f t="shared" si="50"/>
        <v>0</v>
      </c>
      <c r="BD266" s="26" cm="1">
        <f t="array" ref="BD266">IF($F$13-$I$4+VLOOKUP($R266,武学奇术!$A:$ZZ,13,FALSE)+SUM(_xlfn.XLOOKUP(S266:AG266,增益!$A:$A,增益!$M:$M,0))&gt;0,($F$13-$I$4+VLOOKUP($R266,武学奇术!$A:$ZZ,13,FALSE)+SUM(_xlfn.XLOOKUP(S266:AG266,增益!$A:$A,增益!$K:$K,0)))/200,($F$13-$I$4+VLOOKUP($R266,武学奇术!$A:$ZZ,13,FALSE)+SUM(_xlfn.XLOOKUP(S266:AG266,增益!$A:$A,增益!$M:$M,0)))/100)</f>
        <v>-0.3</v>
      </c>
      <c r="BE266" s="26" cm="1">
        <f t="array" ref="BE266">$G$13+VLOOKUP($R266,武学奇术!$A:$ZZ,14,FALSE)+SUM(_xlfn.XLOOKUP(S266:AG266,增益!$A:$A,增益!$N:$N,0))</f>
        <v>0</v>
      </c>
      <c r="BF266">
        <f t="shared" si="51"/>
        <v>0</v>
      </c>
      <c r="BG266">
        <f t="shared" si="52"/>
        <v>0</v>
      </c>
      <c r="BH266" s="26" cm="1">
        <f t="array" ref="BH266">IF($F$14-$I$4+VLOOKUP($R266,武学奇术!$A:$ZZ,15,FALSE)+SUM(_xlfn.XLOOKUP(S266:AG266,增益!$A:$A,增益!$O:$O,0))&gt;0,($F$14-$I$4+VLOOKUP($R266,武学奇术!$A:$ZZ,15,FALSE)+SUM(_xlfn.XLOOKUP(S266:AG266,增益!$A:$A,增益!$O:$O,0)))/200,($F$14-$I$4+VLOOKUP($R266,武学奇术!$A:$ZZ,15,FALSE)+SUM(_xlfn.XLOOKUP(S266:AG266,增益!$A:$A,增益!$O:$O,0)))/100)</f>
        <v>-0.3</v>
      </c>
      <c r="BI266" s="26" cm="1">
        <f t="array" ref="BI266">$G$14+VLOOKUP($R266,武学奇术!$A:$ZZ,16,FALSE)+SUM(_xlfn.XLOOKUP(S266:AG266,增益!$A:$A,增益!$P:$P,0))</f>
        <v>0</v>
      </c>
      <c r="BJ266" s="21">
        <f>MIN(IF(VLOOKUP($R266,武学奇术!$A:$ZZ,23,FALSE)=1,100%,$B$8),100%)</f>
        <v>0.8229</v>
      </c>
      <c r="BK266" s="21" cm="1">
        <f t="array" ref="BK266">IF(VLOOKUP($R266,武学奇术!$A:$ZZ,23,FALSE)=1,100%,MIN(80%,$B$9+VLOOKUP($R266,武学奇术!$A:$ZZ,17,FALSE)+SUM(_xlfn.XLOOKUP(S266:AG266,增益!$A:$A,增益!$Q:$Q,0)))+$B$11+SUM(_xlfn.XLOOKUP(S266:AG266,增益!$A:$A,增益!$U:$U,0)))*IF(VLOOKUP($R266,武学奇术!$A:$ZZ,24,FALSE)=1,0,1)</f>
        <v>0.2285</v>
      </c>
      <c r="BL266" s="21" cm="1">
        <f t="array" ref="BL266">1+$B$13+VLOOKUP($R266,武学奇术!$A:$ZZ,18,FALSE)+SUM(_xlfn.XLOOKUP(S266:AG266,增益!$A:$A,增益!$R:$R,0))</f>
        <v>1.5</v>
      </c>
      <c r="BM266" s="21" cm="1">
        <f t="array" ref="BM266">IF(VLOOKUP($R266,武学奇术!$A:$ZZ,24,FALSE)=1,100%,MIN(40%,$B$10+VLOOKUP($R266,武学奇术!$A:$ZZ,19,FALSE)+SUM(_xlfn.XLOOKUP(S266:AG266,增益!$A:$A,增益!$S:$S,0)))+$B$12+SUM(_xlfn.XLOOKUP(S266:AG266,增益!$A:$A,增益!$V:$V,0)))*IF(VLOOKUP($R266,武学奇术!$A:$ZZ,23,FALSE)=1,0,1)</f>
        <v>0.4495</v>
      </c>
      <c r="BN266" s="21" cm="1">
        <f t="array" ref="BN266">1+$B$14+VLOOKUP($R266,武学奇术!$A:$ZZ,20,FALSE)+SUM(_xlfn.XLOOKUP(S266:AG266,增益!$A:$A,增益!$T:$T,0))</f>
        <v>1.782</v>
      </c>
      <c r="BO266" s="21">
        <f t="shared" si="53"/>
        <v>0.18803265</v>
      </c>
      <c r="BP266" s="21">
        <f t="shared" si="54"/>
        <v>0.2649738</v>
      </c>
      <c r="BQ266" s="21">
        <f>IF(VLOOKUP($R266,武学奇术!$A:$ZZ,22,FALSE)=1,0,(1-$BJ266))*(1-$BM266)</f>
        <v>0.09749355</v>
      </c>
      <c r="BR266" s="21" cm="1">
        <f t="array" ref="BR266">SUM(_xlfn.XLOOKUP(S266:AG266,增益!$A:$A,增益!$W:$W,0))+$I$5</f>
        <v>0.06</v>
      </c>
    </row>
    <row r="267" spans="11:70">
      <c r="K267" s="24">
        <f>$L267*VLOOKUP($R267,武学奇术!$A:$ZZ,31,FALSE)</f>
        <v>5831.96763120772</v>
      </c>
      <c r="L267" s="24">
        <f t="shared" si="44"/>
        <v>9719.94605201287</v>
      </c>
      <c r="M267" s="24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BL267*$Q267*(1+IF(VLOOKUP($R267,武学奇术!$A:$ZZ,30,FALSE)="流血",$B$21,0))*(1+$BR267)</f>
        <v>7957.72279785075</v>
      </c>
      <c r="N267" s="24">
        <f>(($AP267*$AI267+$AJ267)*(1+$AQ267)*(1+$AR267)+($AU267*IF($G$1="鸣金",$AK267,$AI267)+IF($G$1="鸣金",$AL267*1.5,0))*(1+$AV267)*(1+$AW267)+($AY267*IF($G$1="裂石",$AK267,$AI267)+IF($G$1="裂石",$AL267*1.5,0))*(1+$AZ267)*(1+$BA267)+($BC267*IF($G$1="牵丝",$AK267,$AI267)+IF($G$1="牵丝",$AL267*1.5,0))*(1+$BD267)*(1+$BE267)+($BG267*IF($G$1="破竹",$AK267,$AI267)+IF($G$1="破竹",$AL267*1.5,0))*(1+$BH267)*(1+$BI267))*(1+$AM267)*$BN267*$Q267*(1+IF(VLOOKUP($R267,武学奇术!$A:$ZZ,30,FALSE)="流血",$B$21,0))*(1+$BR267)</f>
        <v>14649.5001541866</v>
      </c>
      <c r="O267" s="24">
        <f>((($AO267+$AP267)/2*$AI267+$AJ267)*(1+$AQ267)*(1+$AR267)+(($AT267+$AU267)/2*IF($G$1="鸣金",$AK267,$AI267)+IF($G$1="鸣金",$AL267*1.5,0))*(1+$AV267)*(1+$AW267)+(($AX267+$AY267)/2*IF($G$1="裂石",$AK267,$AI267)+IF($G$1="裂石",$AL267*1.5,0))*(1+$AZ267)*(1+$BA267)+(($BB267+$BC267)/2*IF($G$1="牵丝",$AK267,$AI267)+IF($G$1="牵丝",$AL267*1.5,0))*(1+$BD267)*(1+$BE267)+(($BF267+$BG267)/2*IF($G$1="破竹",$AK267,$AI267)+IF($G$1="破竹",$AL267*1.5,0))*(1+$BH267)*(1+$BI267))*(1+$AM267)*$Q267*(1+IF(VLOOKUP($R267,武学奇术!$A:$ZZ,30,FALSE)="流血",$B$21,0))*(1+$BR267)</f>
        <v>5305.1485319005</v>
      </c>
      <c r="P267" s="24">
        <f>((($AO267*$AI267+$AJ267)*(1+$AQ267)*(1+$AR267)+($AT267*IF($G$1="鸣金",$AK267,$AI267)+IF($G$1="鸣金",$AL267*1.5,0))*(1+$AV267)*(1+$AW267)+($AX267*IF($G$1="裂石",$AK267,$AI267)+IF($G$1="裂石",$AL267*1.5,0))*(1+$AZ267)*(1+$BA267)+($BB267*IF($G$1="牵丝",$AK267,$AI267)+IF($G$1="牵丝",$AL267*1.5,0))*(1+$BD267)*(1+$BE267)+($BF267*IF($G$1="破竹",$AK267,$AI267)+IF($G$1="破竹",$AL267*1.5,0))*(1+$BH267)*(1+$BI267))*(1+$AM267))*$Q267*(1+IF(VLOOKUP($R267,武学奇术!$A:$ZZ,30,FALSE)="流血",$B$21,0))*(1+$BR267)</f>
        <v>2389.47767312387</v>
      </c>
      <c r="Q267" s="31">
        <v>1</v>
      </c>
      <c r="R267" s="32" t="s">
        <v>200</v>
      </c>
      <c r="S267" s="32" t="s">
        <v>87</v>
      </c>
      <c r="T267" s="32" t="s">
        <v>96</v>
      </c>
      <c r="U267" s="32" t="s">
        <v>97</v>
      </c>
      <c r="V267" s="32" t="s">
        <v>73</v>
      </c>
      <c r="W267" s="32" t="s">
        <v>111</v>
      </c>
      <c r="X267" s="32" t="s">
        <v>127</v>
      </c>
      <c r="Y267" s="32" t="s">
        <v>73</v>
      </c>
      <c r="Z267" s="32" t="s">
        <v>73</v>
      </c>
      <c r="AA267" s="32" t="s">
        <v>81</v>
      </c>
      <c r="AB267" s="32" t="s">
        <v>75</v>
      </c>
      <c r="AC267" s="32" t="s">
        <v>76</v>
      </c>
      <c r="AD267" s="32" t="s">
        <v>82</v>
      </c>
      <c r="AE267" s="32" t="s">
        <v>73</v>
      </c>
      <c r="AF267" s="32" t="s">
        <v>73</v>
      </c>
      <c r="AG267" s="32" t="s">
        <v>178</v>
      </c>
      <c r="AH267" t="str">
        <f>VLOOKUP($R267,武学奇术!$A:$ZZ,25,FALSE)</f>
        <v>剑</v>
      </c>
      <c r="AI267" s="21">
        <f>VLOOKUP($R267,武学奇术!$A:$ZZ,26,FALSE)</f>
        <v>0.2079</v>
      </c>
      <c r="AJ267" s="22">
        <f>VLOOKUP($R267,武学奇术!$A:$ZZ,27,FALSE)*(1+IF(OR($AH267=$F$4,$AH267=$F$5),$B$22,0))</f>
        <v>0</v>
      </c>
      <c r="AK267" s="21">
        <f>VLOOKUP($R267,武学奇术!$A:$ZZ,28,FALSE)</f>
        <v>0.31185</v>
      </c>
      <c r="AL267" s="22">
        <f>VLOOKUP($R267,武学奇术!$A:$ZZ,29,FALSE)*(1+IF(OR($AH267=$F$4,$AH267=$F$5),$B$22,0))</f>
        <v>0</v>
      </c>
      <c r="AM267" s="21" cm="1">
        <f t="array" ref="AM267">$G$3+IFERROR(VLOOKUP($AH267,$F$4:$G$7,2,FALSE),0)+VLOOKUP($R267,武学奇术!$A:$ZZ,2,FALSE)+SUM(_xlfn.XLOOKUP($S267:$AG267,增益!$A:$A,增益!$B:$B,0))</f>
        <v>1.2391</v>
      </c>
      <c r="AN267" s="21" cm="1">
        <f t="array" ref="AN267">VLOOKUP($R267,武学奇术!$A:$ZZ,5,FALSE)+SUM(_xlfn.XLOOKUP($S267:$AG267,增益!$A:$A,增益!$E:$E,0))</f>
        <v>0</v>
      </c>
      <c r="AO267" cm="1">
        <f t="array" ref="AO267">$D$10*(1+$AN267)+VLOOKUP($R267,武学奇术!$A:$ZZ,3,FALSE)+SUM(_xlfn.XLOOKUP($S267:$AG267,增益!$A:$A,增益!$C:$C,0))-$I$2</f>
        <v>1825.28</v>
      </c>
      <c r="AP267" cm="1">
        <f t="array" ref="AP267">$E$10*(1+$AN267)+VLOOKUP($R267,武学奇术!$A:$ZZ,4,FALSE)+SUM(_xlfn.XLOOKUP($S267:$AG267,增益!$A:$A,增益!$D:$D,0))-$I$2</f>
        <v>7757.36</v>
      </c>
      <c r="AQ267" s="26" cm="1">
        <f t="array" ref="AQ267">IF($F$10-$I$3+VLOOKUP($R267,武学奇术!$A:$ZZ,6,FALSE)+SUM(_xlfn.XLOOKUP(S267:AG267,增益!$A:$A,增益!$F:$F,0))&gt;0,($F$10-$I$3+VLOOKUP($R267,武学奇术!$A:$ZZ,6,FALSE)+SUM(_xlfn.XLOOKUP(S267:AG267,增益!$A:$A,增益!$F:$F,0)))/200,($F$10-$I$3+VLOOKUP($R267,武学奇术!$A:$ZZ,6,FALSE)+SUM(_xlfn.XLOOKUP(S267:AG267,增益!$A:$A,增益!$F:$F,0)))/100)</f>
        <v>0.319</v>
      </c>
      <c r="AR267" s="26" cm="1">
        <f t="array" ref="AR267">$G$10+VLOOKUP($R267,武学奇术!$A:$ZZ,7,FALSE)+SUM(_xlfn.XLOOKUP(S267:AG267,增益!$A:$A,增益!$G:$G,0))</f>
        <v>0</v>
      </c>
      <c r="AS267" s="21" cm="1">
        <f t="array" ref="AS267">VLOOKUP($R267,武学奇术!$A:$ZZ,8,FALSE)+SUM(_xlfn.XLOOKUP(S267:AG267,增益!$A:$A,增益!$H:$H,0))</f>
        <v>0</v>
      </c>
      <c r="AT267">
        <f t="shared" si="45"/>
        <v>680.02</v>
      </c>
      <c r="AU267">
        <f t="shared" si="46"/>
        <v>1288.54</v>
      </c>
      <c r="AV267" s="26" cm="1">
        <f t="array" ref="AV267">IF($F$11-$I$4+VLOOKUP($R267,武学奇术!$A:$ZZ,9,FALSE)+SUM(_xlfn.XLOOKUP(S267:AG267,增益!$A:$A,增益!$I:$I,0))&gt;0,($F$11-$I$4+VLOOKUP($R267,武学奇术!$A:$ZZ,9,FALSE)+SUM(_xlfn.XLOOKUP(S267:AG267,增益!$A:$A,增益!$I:$I,0)))/200,($F$11-$I$4+VLOOKUP($R267,武学奇术!$A:$ZZ,9,FALSE)+SUM(_xlfn.XLOOKUP(S267:AG267,增益!$A:$A,增益!$I:$I,0)))/100)</f>
        <v>0.075</v>
      </c>
      <c r="AW267" s="26" cm="1">
        <f t="array" ref="AW267">$G$11+VLOOKUP($R267,武学奇术!$A:$ZZ,10,FALSE)+SUM(_xlfn.XLOOKUP(S267:AG267,增益!$A:$A,增益!$J:$J,0))</f>
        <v>0.15</v>
      </c>
      <c r="AX267">
        <f t="shared" si="47"/>
        <v>0</v>
      </c>
      <c r="AY267">
        <f t="shared" si="48"/>
        <v>0</v>
      </c>
      <c r="AZ267" s="26" cm="1">
        <f t="array" ref="AZ267">IF($F$12-$I$4+VLOOKUP($R267,武学奇术!$A:$ZZ,11,FALSE)+SUM(_xlfn.XLOOKUP(S267:AG267,增益!$A:$A,增益!$K:$K,0))&gt;0,($F$12-$I$4+VLOOKUP($R267,武学奇术!$A:$ZZ,11,FALSE)+SUM(_xlfn.XLOOKUP(S267:AG267,增益!$A:$A,增益!$K:$K,0)))/200,($F$12-$I$4+VLOOKUP($R267,武学奇术!$A:$ZZ,11,FALSE)+SUM(_xlfn.XLOOKUP(S267:AG267,增益!$A:$A,增益!$K:$K,0)))/100)</f>
        <v>-0.3</v>
      </c>
      <c r="BA267" s="26" cm="1">
        <f t="array" ref="BA267">$G$12+VLOOKUP($R267,武学奇术!$A:$ZZ,12,FALSE)+SUM(_xlfn.XLOOKUP(S267:AG267,增益!$A:$A,增益!$L:$L,0))</f>
        <v>0</v>
      </c>
      <c r="BB267">
        <f t="shared" si="49"/>
        <v>0</v>
      </c>
      <c r="BC267">
        <f t="shared" si="50"/>
        <v>0</v>
      </c>
      <c r="BD267" s="26" cm="1">
        <f t="array" ref="BD267">IF($F$13-$I$4+VLOOKUP($R267,武学奇术!$A:$ZZ,13,FALSE)+SUM(_xlfn.XLOOKUP(S267:AG267,增益!$A:$A,增益!$M:$M,0))&gt;0,($F$13-$I$4+VLOOKUP($R267,武学奇术!$A:$ZZ,13,FALSE)+SUM(_xlfn.XLOOKUP(S267:AG267,增益!$A:$A,增益!$K:$K,0)))/200,($F$13-$I$4+VLOOKUP($R267,武学奇术!$A:$ZZ,13,FALSE)+SUM(_xlfn.XLOOKUP(S267:AG267,增益!$A:$A,增益!$M:$M,0)))/100)</f>
        <v>-0.3</v>
      </c>
      <c r="BE267" s="26" cm="1">
        <f t="array" ref="BE267">$G$13+VLOOKUP($R267,武学奇术!$A:$ZZ,14,FALSE)+SUM(_xlfn.XLOOKUP(S267:AG267,增益!$A:$A,增益!$N:$N,0))</f>
        <v>0</v>
      </c>
      <c r="BF267">
        <f t="shared" si="51"/>
        <v>0</v>
      </c>
      <c r="BG267">
        <f t="shared" si="52"/>
        <v>0</v>
      </c>
      <c r="BH267" s="26" cm="1">
        <f t="array" ref="BH267">IF($F$14-$I$4+VLOOKUP($R267,武学奇术!$A:$ZZ,15,FALSE)+SUM(_xlfn.XLOOKUP(S267:AG267,增益!$A:$A,增益!$O:$O,0))&gt;0,($F$14-$I$4+VLOOKUP($R267,武学奇术!$A:$ZZ,15,FALSE)+SUM(_xlfn.XLOOKUP(S267:AG267,增益!$A:$A,增益!$O:$O,0)))/200,($F$14-$I$4+VLOOKUP($R267,武学奇术!$A:$ZZ,15,FALSE)+SUM(_xlfn.XLOOKUP(S267:AG267,增益!$A:$A,增益!$O:$O,0)))/100)</f>
        <v>-0.3</v>
      </c>
      <c r="BI267" s="26" cm="1">
        <f t="array" ref="BI267">$G$14+VLOOKUP($R267,武学奇术!$A:$ZZ,16,FALSE)+SUM(_xlfn.XLOOKUP(S267:AG267,增益!$A:$A,增益!$P:$P,0))</f>
        <v>0</v>
      </c>
      <c r="BJ267" s="21">
        <f>MIN(IF(VLOOKUP($R267,武学奇术!$A:$ZZ,23,FALSE)=1,100%,$B$8),100%)</f>
        <v>0.8229</v>
      </c>
      <c r="BK267" s="21" cm="1">
        <f t="array" ref="BK267">IF(VLOOKUP($R267,武学奇术!$A:$ZZ,23,FALSE)=1,100%,MIN(80%,$B$9+VLOOKUP($R267,武学奇术!$A:$ZZ,17,FALSE)+SUM(_xlfn.XLOOKUP(S267:AG267,增益!$A:$A,增益!$Q:$Q,0)))+$B$11+SUM(_xlfn.XLOOKUP(S267:AG267,增益!$A:$A,增益!$U:$U,0)))*IF(VLOOKUP($R267,武学奇术!$A:$ZZ,24,FALSE)=1,0,1)</f>
        <v>0.2285</v>
      </c>
      <c r="BL267" s="21" cm="1">
        <f t="array" ref="BL267">1+$B$13+VLOOKUP($R267,武学奇术!$A:$ZZ,18,FALSE)+SUM(_xlfn.XLOOKUP(S267:AG267,增益!$A:$A,增益!$R:$R,0))</f>
        <v>1.5</v>
      </c>
      <c r="BM267" s="21" cm="1">
        <f t="array" ref="BM267">IF(VLOOKUP($R267,武学奇术!$A:$ZZ,24,FALSE)=1,100%,MIN(40%,$B$10+VLOOKUP($R267,武学奇术!$A:$ZZ,19,FALSE)+SUM(_xlfn.XLOOKUP(S267:AG267,增益!$A:$A,增益!$S:$S,0)))+$B$12+SUM(_xlfn.XLOOKUP(S267:AG267,增益!$A:$A,增益!$V:$V,0)))*IF(VLOOKUP($R267,武学奇术!$A:$ZZ,23,FALSE)=1,0,1)</f>
        <v>0.4495</v>
      </c>
      <c r="BN267" s="21" cm="1">
        <f t="array" ref="BN267">1+$B$14+VLOOKUP($R267,武学奇术!$A:$ZZ,20,FALSE)+SUM(_xlfn.XLOOKUP(S267:AG267,增益!$A:$A,增益!$T:$T,0))</f>
        <v>1.782</v>
      </c>
      <c r="BO267" s="21">
        <f t="shared" si="53"/>
        <v>0.18803265</v>
      </c>
      <c r="BP267" s="21">
        <f t="shared" si="54"/>
        <v>0.2649738</v>
      </c>
      <c r="BQ267" s="21">
        <f>IF(VLOOKUP($R267,武学奇术!$A:$ZZ,22,FALSE)=1,0,(1-$BJ267))*(1-$BM267)</f>
        <v>0.09749355</v>
      </c>
      <c r="BR267" s="21" cm="1">
        <f t="array" ref="BR267">SUM(_xlfn.XLOOKUP(S267:AG267,增益!$A:$A,增益!$W:$W,0))+$I$5</f>
        <v>0.06</v>
      </c>
    </row>
    <row r="268" spans="11:70">
      <c r="K268" s="24">
        <f>$L268*VLOOKUP($R268,武学奇术!$A:$ZZ,31,FALSE)</f>
        <v>7775.9568416103</v>
      </c>
      <c r="L268" s="24">
        <f t="shared" si="44"/>
        <v>12959.9280693505</v>
      </c>
      <c r="M268" s="24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BL268*$Q268*(1+IF(VLOOKUP($R268,武学奇术!$A:$ZZ,30,FALSE)="流血",$B$21,0))*(1+$BR268)</f>
        <v>10610.297063801</v>
      </c>
      <c r="N268" s="24">
        <f>(($AP268*$AI268+$AJ268)*(1+$AQ268)*(1+$AR268)+($AU268*IF($G$1="鸣金",$AK268,$AI268)+IF($G$1="鸣金",$AL268*1.5,0))*(1+$AV268)*(1+$AW268)+($AY268*IF($G$1="裂石",$AK268,$AI268)+IF($G$1="裂石",$AL268*1.5,0))*(1+$AZ268)*(1+$BA268)+($BC268*IF($G$1="牵丝",$AK268,$AI268)+IF($G$1="牵丝",$AL268*1.5,0))*(1+$BD268)*(1+$BE268)+($BG268*IF($G$1="破竹",$AK268,$AI268)+IF($G$1="破竹",$AL268*1.5,0))*(1+$BH268)*(1+$BI268))*(1+$AM268)*$BN268*$Q268*(1+IF(VLOOKUP($R268,武学奇术!$A:$ZZ,30,FALSE)="流血",$B$21,0))*(1+$BR268)</f>
        <v>19532.6668722489</v>
      </c>
      <c r="O268" s="24">
        <f>((($AO268+$AP268)/2*$AI268+$AJ268)*(1+$AQ268)*(1+$AR268)+(($AT268+$AU268)/2*IF($G$1="鸣金",$AK268,$AI268)+IF($G$1="鸣金",$AL268*1.5,0))*(1+$AV268)*(1+$AW268)+(($AX268+$AY268)/2*IF($G$1="裂石",$AK268,$AI268)+IF($G$1="裂石",$AL268*1.5,0))*(1+$AZ268)*(1+$BA268)+(($BB268+$BC268)/2*IF($G$1="牵丝",$AK268,$AI268)+IF($G$1="牵丝",$AL268*1.5,0))*(1+$BD268)*(1+$BE268)+(($BF268+$BG268)/2*IF($G$1="破竹",$AK268,$AI268)+IF($G$1="破竹",$AL268*1.5,0))*(1+$BH268)*(1+$BI268))*(1+$AM268)*$Q268*(1+IF(VLOOKUP($R268,武学奇术!$A:$ZZ,30,FALSE)="流血",$B$21,0))*(1+$BR268)</f>
        <v>7073.53137586733</v>
      </c>
      <c r="P268" s="24">
        <f>((($AO268*$AI268+$AJ268)*(1+$AQ268)*(1+$AR268)+($AT268*IF($G$1="鸣金",$AK268,$AI268)+IF($G$1="鸣金",$AL268*1.5,0))*(1+$AV268)*(1+$AW268)+($AX268*IF($G$1="裂石",$AK268,$AI268)+IF($G$1="裂石",$AL268*1.5,0))*(1+$AZ268)*(1+$BA268)+($BB268*IF($G$1="牵丝",$AK268,$AI268)+IF($G$1="牵丝",$AL268*1.5,0))*(1+$BD268)*(1+$BE268)+($BF268*IF($G$1="破竹",$AK268,$AI268)+IF($G$1="破竹",$AL268*1.5,0))*(1+$BH268)*(1+$BI268))*(1+$AM268))*$Q268*(1+IF(VLOOKUP($R268,武学奇术!$A:$ZZ,30,FALSE)="流血",$B$21,0))*(1+$BR268)</f>
        <v>3185.97023083183</v>
      </c>
      <c r="Q268" s="31">
        <v>1</v>
      </c>
      <c r="R268" s="32" t="s">
        <v>197</v>
      </c>
      <c r="S268" s="32" t="s">
        <v>87</v>
      </c>
      <c r="T268" s="32" t="s">
        <v>96</v>
      </c>
      <c r="U268" s="32" t="s">
        <v>97</v>
      </c>
      <c r="V268" s="32" t="s">
        <v>73</v>
      </c>
      <c r="W268" s="32" t="s">
        <v>111</v>
      </c>
      <c r="X268" s="32" t="s">
        <v>127</v>
      </c>
      <c r="Y268" s="32" t="s">
        <v>73</v>
      </c>
      <c r="Z268" s="32" t="s">
        <v>73</v>
      </c>
      <c r="AA268" s="32" t="s">
        <v>81</v>
      </c>
      <c r="AB268" s="32" t="s">
        <v>75</v>
      </c>
      <c r="AC268" s="32" t="s">
        <v>76</v>
      </c>
      <c r="AD268" s="32" t="s">
        <v>82</v>
      </c>
      <c r="AE268" s="32" t="s">
        <v>73</v>
      </c>
      <c r="AF268" s="32" t="s">
        <v>73</v>
      </c>
      <c r="AG268" s="32" t="s">
        <v>178</v>
      </c>
      <c r="AH268" t="str">
        <f>VLOOKUP($R268,武学奇术!$A:$ZZ,25,FALSE)</f>
        <v>剑</v>
      </c>
      <c r="AI268" s="21">
        <f>VLOOKUP($R268,武学奇术!$A:$ZZ,26,FALSE)</f>
        <v>0.2772</v>
      </c>
      <c r="AJ268" s="22">
        <f>VLOOKUP($R268,武学奇术!$A:$ZZ,27,FALSE)*(1+IF(OR($AH268=$F$4,$AH268=$F$5),$B$22,0))</f>
        <v>0</v>
      </c>
      <c r="AK268" s="21">
        <f>VLOOKUP($R268,武学奇术!$A:$ZZ,28,FALSE)</f>
        <v>0.4158</v>
      </c>
      <c r="AL268" s="22">
        <f>VLOOKUP($R268,武学奇术!$A:$ZZ,29,FALSE)*(1+IF(OR($AH268=$F$4,$AH268=$F$5),$B$22,0))</f>
        <v>0</v>
      </c>
      <c r="AM268" s="21" cm="1">
        <f t="array" ref="AM268">$G$3+IFERROR(VLOOKUP($AH268,$F$4:$G$7,2,FALSE),0)+VLOOKUP($R268,武学奇术!$A:$ZZ,2,FALSE)+SUM(_xlfn.XLOOKUP($S268:$AG268,增益!$A:$A,增益!$B:$B,0))</f>
        <v>1.2391</v>
      </c>
      <c r="AN268" s="21" cm="1">
        <f t="array" ref="AN268">VLOOKUP($R268,武学奇术!$A:$ZZ,5,FALSE)+SUM(_xlfn.XLOOKUP($S268:$AG268,增益!$A:$A,增益!$E:$E,0))</f>
        <v>0</v>
      </c>
      <c r="AO268" cm="1">
        <f t="array" ref="AO268">$D$10*(1+$AN268)+VLOOKUP($R268,武学奇术!$A:$ZZ,3,FALSE)+SUM(_xlfn.XLOOKUP($S268:$AG268,增益!$A:$A,增益!$C:$C,0))-$I$2</f>
        <v>1825.28</v>
      </c>
      <c r="AP268" cm="1">
        <f t="array" ref="AP268">$E$10*(1+$AN268)+VLOOKUP($R268,武学奇术!$A:$ZZ,4,FALSE)+SUM(_xlfn.XLOOKUP($S268:$AG268,增益!$A:$A,增益!$D:$D,0))-$I$2</f>
        <v>7757.36</v>
      </c>
      <c r="AQ268" s="26" cm="1">
        <f t="array" ref="AQ268">IF($F$10-$I$3+VLOOKUP($R268,武学奇术!$A:$ZZ,6,FALSE)+SUM(_xlfn.XLOOKUP(S268:AG268,增益!$A:$A,增益!$F:$F,0))&gt;0,($F$10-$I$3+VLOOKUP($R268,武学奇术!$A:$ZZ,6,FALSE)+SUM(_xlfn.XLOOKUP(S268:AG268,增益!$A:$A,增益!$F:$F,0)))/200,($F$10-$I$3+VLOOKUP($R268,武学奇术!$A:$ZZ,6,FALSE)+SUM(_xlfn.XLOOKUP(S268:AG268,增益!$A:$A,增益!$F:$F,0)))/100)</f>
        <v>0.319</v>
      </c>
      <c r="AR268" s="26" cm="1">
        <f t="array" ref="AR268">$G$10+VLOOKUP($R268,武学奇术!$A:$ZZ,7,FALSE)+SUM(_xlfn.XLOOKUP(S268:AG268,增益!$A:$A,增益!$G:$G,0))</f>
        <v>0</v>
      </c>
      <c r="AS268" s="21" cm="1">
        <f t="array" ref="AS268">VLOOKUP($R268,武学奇术!$A:$ZZ,8,FALSE)+SUM(_xlfn.XLOOKUP(S268:AG268,增益!$A:$A,增益!$H:$H,0))</f>
        <v>0</v>
      </c>
      <c r="AT268">
        <f t="shared" si="45"/>
        <v>680.02</v>
      </c>
      <c r="AU268">
        <f t="shared" si="46"/>
        <v>1288.54</v>
      </c>
      <c r="AV268" s="26" cm="1">
        <f t="array" ref="AV268">IF($F$11-$I$4+VLOOKUP($R268,武学奇术!$A:$ZZ,9,FALSE)+SUM(_xlfn.XLOOKUP(S268:AG268,增益!$A:$A,增益!$I:$I,0))&gt;0,($F$11-$I$4+VLOOKUP($R268,武学奇术!$A:$ZZ,9,FALSE)+SUM(_xlfn.XLOOKUP(S268:AG268,增益!$A:$A,增益!$I:$I,0)))/200,($F$11-$I$4+VLOOKUP($R268,武学奇术!$A:$ZZ,9,FALSE)+SUM(_xlfn.XLOOKUP(S268:AG268,增益!$A:$A,增益!$I:$I,0)))/100)</f>
        <v>0.075</v>
      </c>
      <c r="AW268" s="26" cm="1">
        <f t="array" ref="AW268">$G$11+VLOOKUP($R268,武学奇术!$A:$ZZ,10,FALSE)+SUM(_xlfn.XLOOKUP(S268:AG268,增益!$A:$A,增益!$J:$J,0))</f>
        <v>0.15</v>
      </c>
      <c r="AX268">
        <f t="shared" si="47"/>
        <v>0</v>
      </c>
      <c r="AY268">
        <f t="shared" si="48"/>
        <v>0</v>
      </c>
      <c r="AZ268" s="26" cm="1">
        <f t="array" ref="AZ268">IF($F$12-$I$4+VLOOKUP($R268,武学奇术!$A:$ZZ,11,FALSE)+SUM(_xlfn.XLOOKUP(S268:AG268,增益!$A:$A,增益!$K:$K,0))&gt;0,($F$12-$I$4+VLOOKUP($R268,武学奇术!$A:$ZZ,11,FALSE)+SUM(_xlfn.XLOOKUP(S268:AG268,增益!$A:$A,增益!$K:$K,0)))/200,($F$12-$I$4+VLOOKUP($R268,武学奇术!$A:$ZZ,11,FALSE)+SUM(_xlfn.XLOOKUP(S268:AG268,增益!$A:$A,增益!$K:$K,0)))/100)</f>
        <v>-0.3</v>
      </c>
      <c r="BA268" s="26" cm="1">
        <f t="array" ref="BA268">$G$12+VLOOKUP($R268,武学奇术!$A:$ZZ,12,FALSE)+SUM(_xlfn.XLOOKUP(S268:AG268,增益!$A:$A,增益!$L:$L,0))</f>
        <v>0</v>
      </c>
      <c r="BB268">
        <f t="shared" si="49"/>
        <v>0</v>
      </c>
      <c r="BC268">
        <f t="shared" si="50"/>
        <v>0</v>
      </c>
      <c r="BD268" s="26" cm="1">
        <f t="array" ref="BD268">IF($F$13-$I$4+VLOOKUP($R268,武学奇术!$A:$ZZ,13,FALSE)+SUM(_xlfn.XLOOKUP(S268:AG268,增益!$A:$A,增益!$M:$M,0))&gt;0,($F$13-$I$4+VLOOKUP($R268,武学奇术!$A:$ZZ,13,FALSE)+SUM(_xlfn.XLOOKUP(S268:AG268,增益!$A:$A,增益!$K:$K,0)))/200,($F$13-$I$4+VLOOKUP($R268,武学奇术!$A:$ZZ,13,FALSE)+SUM(_xlfn.XLOOKUP(S268:AG268,增益!$A:$A,增益!$M:$M,0)))/100)</f>
        <v>-0.3</v>
      </c>
      <c r="BE268" s="26" cm="1">
        <f t="array" ref="BE268">$G$13+VLOOKUP($R268,武学奇术!$A:$ZZ,14,FALSE)+SUM(_xlfn.XLOOKUP(S268:AG268,增益!$A:$A,增益!$N:$N,0))</f>
        <v>0</v>
      </c>
      <c r="BF268">
        <f t="shared" si="51"/>
        <v>0</v>
      </c>
      <c r="BG268">
        <f t="shared" si="52"/>
        <v>0</v>
      </c>
      <c r="BH268" s="26" cm="1">
        <f t="array" ref="BH268">IF($F$14-$I$4+VLOOKUP($R268,武学奇术!$A:$ZZ,15,FALSE)+SUM(_xlfn.XLOOKUP(S268:AG268,增益!$A:$A,增益!$O:$O,0))&gt;0,($F$14-$I$4+VLOOKUP($R268,武学奇术!$A:$ZZ,15,FALSE)+SUM(_xlfn.XLOOKUP(S268:AG268,增益!$A:$A,增益!$O:$O,0)))/200,($F$14-$I$4+VLOOKUP($R268,武学奇术!$A:$ZZ,15,FALSE)+SUM(_xlfn.XLOOKUP(S268:AG268,增益!$A:$A,增益!$O:$O,0)))/100)</f>
        <v>-0.3</v>
      </c>
      <c r="BI268" s="26" cm="1">
        <f t="array" ref="BI268">$G$14+VLOOKUP($R268,武学奇术!$A:$ZZ,16,FALSE)+SUM(_xlfn.XLOOKUP(S268:AG268,增益!$A:$A,增益!$P:$P,0))</f>
        <v>0</v>
      </c>
      <c r="BJ268" s="21">
        <f>MIN(IF(VLOOKUP($R268,武学奇术!$A:$ZZ,23,FALSE)=1,100%,$B$8),100%)</f>
        <v>0.8229</v>
      </c>
      <c r="BK268" s="21" cm="1">
        <f t="array" ref="BK268">IF(VLOOKUP($R268,武学奇术!$A:$ZZ,23,FALSE)=1,100%,MIN(80%,$B$9+VLOOKUP($R268,武学奇术!$A:$ZZ,17,FALSE)+SUM(_xlfn.XLOOKUP(S268:AG268,增益!$A:$A,增益!$Q:$Q,0)))+$B$11+SUM(_xlfn.XLOOKUP(S268:AG268,增益!$A:$A,增益!$U:$U,0)))*IF(VLOOKUP($R268,武学奇术!$A:$ZZ,24,FALSE)=1,0,1)</f>
        <v>0.2285</v>
      </c>
      <c r="BL268" s="21" cm="1">
        <f t="array" ref="BL268">1+$B$13+VLOOKUP($R268,武学奇术!$A:$ZZ,18,FALSE)+SUM(_xlfn.XLOOKUP(S268:AG268,增益!$A:$A,增益!$R:$R,0))</f>
        <v>1.5</v>
      </c>
      <c r="BM268" s="21" cm="1">
        <f t="array" ref="BM268">IF(VLOOKUP($R268,武学奇术!$A:$ZZ,24,FALSE)=1,100%,MIN(40%,$B$10+VLOOKUP($R268,武学奇术!$A:$ZZ,19,FALSE)+SUM(_xlfn.XLOOKUP(S268:AG268,增益!$A:$A,增益!$S:$S,0)))+$B$12+SUM(_xlfn.XLOOKUP(S268:AG268,增益!$A:$A,增益!$V:$V,0)))*IF(VLOOKUP($R268,武学奇术!$A:$ZZ,23,FALSE)=1,0,1)</f>
        <v>0.4495</v>
      </c>
      <c r="BN268" s="21" cm="1">
        <f t="array" ref="BN268">1+$B$14+VLOOKUP($R268,武学奇术!$A:$ZZ,20,FALSE)+SUM(_xlfn.XLOOKUP(S268:AG268,增益!$A:$A,增益!$T:$T,0))</f>
        <v>1.782</v>
      </c>
      <c r="BO268" s="21">
        <f t="shared" si="53"/>
        <v>0.18803265</v>
      </c>
      <c r="BP268" s="21">
        <f t="shared" si="54"/>
        <v>0.2649738</v>
      </c>
      <c r="BQ268" s="21">
        <f>IF(VLOOKUP($R268,武学奇术!$A:$ZZ,22,FALSE)=1,0,(1-$BJ268))*(1-$BM268)</f>
        <v>0.09749355</v>
      </c>
      <c r="BR268" s="21" cm="1">
        <f t="array" ref="BR268">SUM(_xlfn.XLOOKUP(S268:AG268,增益!$A:$A,增益!$W:$W,0))+$I$5</f>
        <v>0.06</v>
      </c>
    </row>
    <row r="269" spans="11:70">
      <c r="K269" s="24">
        <f>$L269*VLOOKUP($R269,武学奇术!$A:$ZZ,31,FALSE)</f>
        <v>7745.15831384111</v>
      </c>
      <c r="L269" s="24">
        <f t="shared" si="44"/>
        <v>12908.5971897352</v>
      </c>
      <c r="M269" s="24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BL269*$Q269*(1+IF(VLOOKUP($R269,武学奇术!$A:$ZZ,30,FALSE)="流血",$B$21,0))*(1+$BR269)</f>
        <v>10557.0317781008</v>
      </c>
      <c r="N269" s="24">
        <f>(($AP269*$AI269+$AJ269)*(1+$AQ269)*(1+$AR269)+($AU269*IF($G$1="鸣金",$AK269,$AI269)+IF($G$1="鸣金",$AL269*1.5,0))*(1+$AV269)*(1+$AW269)+($AY269*IF($G$1="裂石",$AK269,$AI269)+IF($G$1="裂石",$AL269*1.5,0))*(1+$AZ269)*(1+$BA269)+($BC269*IF($G$1="牵丝",$AK269,$AI269)+IF($G$1="牵丝",$AL269*1.5,0))*(1+$BD269)*(1+$BE269)+($BG269*IF($G$1="破竹",$AK269,$AI269)+IF($G$1="破竹",$AL269*1.5,0))*(1+$BH269)*(1+$BI269))*(1+$AM269)*$BN269*$Q269*(1+IF(VLOOKUP($R269,武学奇术!$A:$ZZ,30,FALSE)="流血",$B$21,0))*(1+$BR269)</f>
        <v>19469.387712837</v>
      </c>
      <c r="O269" s="24">
        <f>((($AO269+$AP269)/2*$AI269+$AJ269)*(1+$AQ269)*(1+$AR269)+(($AT269+$AU269)/2*IF($G$1="鸣金",$AK269,$AI269)+IF($G$1="鸣金",$AL269*1.5,0))*(1+$AV269)*(1+$AW269)+(($AX269+$AY269)/2*IF($G$1="裂石",$AK269,$AI269)+IF($G$1="裂石",$AL269*1.5,0))*(1+$AZ269)*(1+$BA269)+(($BB269+$BC269)/2*IF($G$1="牵丝",$AK269,$AI269)+IF($G$1="牵丝",$AL269*1.5,0))*(1+$BD269)*(1+$BE269)+(($BF269+$BG269)/2*IF($G$1="破竹",$AK269,$AI269)+IF($G$1="破竹",$AL269*1.5,0))*(1+$BH269)*(1+$BI269))*(1+$AM269)*$Q269*(1+IF(VLOOKUP($R269,武学奇术!$A:$ZZ,30,FALSE)="流血",$B$21,0))*(1+$BR269)</f>
        <v>7038.02118540055</v>
      </c>
      <c r="P269" s="24">
        <f>((($AO269*$AI269+$AJ269)*(1+$AQ269)*(1+$AR269)+($AT269*IF($G$1="鸣金",$AK269,$AI269)+IF($G$1="鸣金",$AL269*1.5,0))*(1+$AV269)*(1+$AW269)+($AX269*IF($G$1="裂石",$AK269,$AI269)+IF($G$1="裂石",$AL269*1.5,0))*(1+$AZ269)*(1+$BA269)+($BB269*IF($G$1="牵丝",$AK269,$AI269)+IF($G$1="牵丝",$AL269*1.5,0))*(1+$BD269)*(1+$BE269)+($BF269*IF($G$1="破竹",$AK269,$AI269)+IF($G$1="破竹",$AL269*1.5,0))*(1+$BH269)*(1+$BI269))*(1+$AM269))*$Q269*(1+IF(VLOOKUP($R269,武学奇术!$A:$ZZ,30,FALSE)="流血",$B$21,0))*(1+$BR269)</f>
        <v>3150.46004036504</v>
      </c>
      <c r="Q269" s="31">
        <v>1</v>
      </c>
      <c r="R269" s="32" t="s">
        <v>197</v>
      </c>
      <c r="S269" s="32" t="s">
        <v>87</v>
      </c>
      <c r="T269" s="32" t="s">
        <v>96</v>
      </c>
      <c r="U269" s="32" t="s">
        <v>97</v>
      </c>
      <c r="V269" s="32" t="s">
        <v>73</v>
      </c>
      <c r="W269" s="32" t="s">
        <v>73</v>
      </c>
      <c r="X269" s="32" t="s">
        <v>127</v>
      </c>
      <c r="Y269" s="32" t="s">
        <v>73</v>
      </c>
      <c r="Z269" s="32" t="s">
        <v>73</v>
      </c>
      <c r="AA269" s="32" t="s">
        <v>73</v>
      </c>
      <c r="AB269" s="32" t="s">
        <v>75</v>
      </c>
      <c r="AC269" s="32" t="s">
        <v>76</v>
      </c>
      <c r="AD269" s="32" t="s">
        <v>82</v>
      </c>
      <c r="AE269" s="32" t="s">
        <v>73</v>
      </c>
      <c r="AF269" s="32" t="s">
        <v>73</v>
      </c>
      <c r="AG269" s="32" t="s">
        <v>178</v>
      </c>
      <c r="AH269" t="str">
        <f>VLOOKUP($R269,武学奇术!$A:$ZZ,25,FALSE)</f>
        <v>剑</v>
      </c>
      <c r="AI269" s="21">
        <f>VLOOKUP($R269,武学奇术!$A:$ZZ,26,FALSE)</f>
        <v>0.2772</v>
      </c>
      <c r="AJ269" s="22">
        <f>VLOOKUP($R269,武学奇术!$A:$ZZ,27,FALSE)*(1+IF(OR($AH269=$F$4,$AH269=$F$5),$B$22,0))</f>
        <v>0</v>
      </c>
      <c r="AK269" s="21">
        <f>VLOOKUP($R269,武学奇术!$A:$ZZ,28,FALSE)</f>
        <v>0.4158</v>
      </c>
      <c r="AL269" s="22">
        <f>VLOOKUP($R269,武学奇术!$A:$ZZ,29,FALSE)*(1+IF(OR($AH269=$F$4,$AH269=$F$5),$B$22,0))</f>
        <v>0</v>
      </c>
      <c r="AM269" s="21" cm="1">
        <f t="array" ref="AM269">$G$3+IFERROR(VLOOKUP($AH269,$F$4:$G$7,2,FALSE),0)+VLOOKUP($R269,武学奇术!$A:$ZZ,2,FALSE)+SUM(_xlfn.XLOOKUP($S269:$AG269,增益!$A:$A,增益!$B:$B,0))</f>
        <v>1.2391</v>
      </c>
      <c r="AN269" s="21" cm="1">
        <f t="array" ref="AN269">VLOOKUP($R269,武学奇术!$A:$ZZ,5,FALSE)+SUM(_xlfn.XLOOKUP($S269:$AG269,增益!$A:$A,增益!$E:$E,0))</f>
        <v>0</v>
      </c>
      <c r="AO269" cm="1">
        <f t="array" ref="AO269">$D$10*(1+$AN269)+VLOOKUP($R269,武学奇术!$A:$ZZ,3,FALSE)+SUM(_xlfn.XLOOKUP($S269:$AG269,增益!$A:$A,增益!$C:$C,0))-$I$2</f>
        <v>1794.28</v>
      </c>
      <c r="AP269" cm="1">
        <f t="array" ref="AP269">$E$10*(1+$AN269)+VLOOKUP($R269,武学奇术!$A:$ZZ,4,FALSE)+SUM(_xlfn.XLOOKUP($S269:$AG269,增益!$A:$A,增益!$D:$D,0))-$I$2</f>
        <v>7726.36</v>
      </c>
      <c r="AQ269" s="26" cm="1">
        <f t="array" ref="AQ269">IF($F$10-$I$3+VLOOKUP($R269,武学奇术!$A:$ZZ,6,FALSE)+SUM(_xlfn.XLOOKUP(S269:AG269,增益!$A:$A,增益!$F:$F,0))&gt;0,($F$10-$I$3+VLOOKUP($R269,武学奇术!$A:$ZZ,6,FALSE)+SUM(_xlfn.XLOOKUP(S269:AG269,增益!$A:$A,增益!$F:$F,0)))/200,($F$10-$I$3+VLOOKUP($R269,武学奇术!$A:$ZZ,6,FALSE)+SUM(_xlfn.XLOOKUP(S269:AG269,增益!$A:$A,增益!$F:$F,0)))/100)</f>
        <v>0.319</v>
      </c>
      <c r="AR269" s="26" cm="1">
        <f t="array" ref="AR269">$G$10+VLOOKUP($R269,武学奇术!$A:$ZZ,7,FALSE)+SUM(_xlfn.XLOOKUP(S269:AG269,增益!$A:$A,增益!$G:$G,0))</f>
        <v>0</v>
      </c>
      <c r="AS269" s="21" cm="1">
        <f t="array" ref="AS269">VLOOKUP($R269,武学奇术!$A:$ZZ,8,FALSE)+SUM(_xlfn.XLOOKUP(S269:AG269,增益!$A:$A,增益!$H:$H,0))</f>
        <v>0</v>
      </c>
      <c r="AT269">
        <f t="shared" si="45"/>
        <v>680.02</v>
      </c>
      <c r="AU269">
        <f t="shared" si="46"/>
        <v>1288.54</v>
      </c>
      <c r="AV269" s="26" cm="1">
        <f t="array" ref="AV269">IF($F$11-$I$4+VLOOKUP($R269,武学奇术!$A:$ZZ,9,FALSE)+SUM(_xlfn.XLOOKUP(S269:AG269,增益!$A:$A,增益!$I:$I,0))&gt;0,($F$11-$I$4+VLOOKUP($R269,武学奇术!$A:$ZZ,9,FALSE)+SUM(_xlfn.XLOOKUP(S269:AG269,增益!$A:$A,增益!$I:$I,0)))/200,($F$11-$I$4+VLOOKUP($R269,武学奇术!$A:$ZZ,9,FALSE)+SUM(_xlfn.XLOOKUP(S269:AG269,增益!$A:$A,增益!$I:$I,0)))/100)</f>
        <v>0.075</v>
      </c>
      <c r="AW269" s="26" cm="1">
        <f t="array" ref="AW269">$G$11+VLOOKUP($R269,武学奇术!$A:$ZZ,10,FALSE)+SUM(_xlfn.XLOOKUP(S269:AG269,增益!$A:$A,增益!$J:$J,0))</f>
        <v>0.15</v>
      </c>
      <c r="AX269">
        <f t="shared" si="47"/>
        <v>0</v>
      </c>
      <c r="AY269">
        <f t="shared" si="48"/>
        <v>0</v>
      </c>
      <c r="AZ269" s="26" cm="1">
        <f t="array" ref="AZ269">IF($F$12-$I$4+VLOOKUP($R269,武学奇术!$A:$ZZ,11,FALSE)+SUM(_xlfn.XLOOKUP(S269:AG269,增益!$A:$A,增益!$K:$K,0))&gt;0,($F$12-$I$4+VLOOKUP($R269,武学奇术!$A:$ZZ,11,FALSE)+SUM(_xlfn.XLOOKUP(S269:AG269,增益!$A:$A,增益!$K:$K,0)))/200,($F$12-$I$4+VLOOKUP($R269,武学奇术!$A:$ZZ,11,FALSE)+SUM(_xlfn.XLOOKUP(S269:AG269,增益!$A:$A,增益!$K:$K,0)))/100)</f>
        <v>-0.3</v>
      </c>
      <c r="BA269" s="26" cm="1">
        <f t="array" ref="BA269">$G$12+VLOOKUP($R269,武学奇术!$A:$ZZ,12,FALSE)+SUM(_xlfn.XLOOKUP(S269:AG269,增益!$A:$A,增益!$L:$L,0))</f>
        <v>0</v>
      </c>
      <c r="BB269">
        <f t="shared" si="49"/>
        <v>0</v>
      </c>
      <c r="BC269">
        <f t="shared" si="50"/>
        <v>0</v>
      </c>
      <c r="BD269" s="26" cm="1">
        <f t="array" ref="BD269">IF($F$13-$I$4+VLOOKUP($R269,武学奇术!$A:$ZZ,13,FALSE)+SUM(_xlfn.XLOOKUP(S269:AG269,增益!$A:$A,增益!$M:$M,0))&gt;0,($F$13-$I$4+VLOOKUP($R269,武学奇术!$A:$ZZ,13,FALSE)+SUM(_xlfn.XLOOKUP(S269:AG269,增益!$A:$A,增益!$K:$K,0)))/200,($F$13-$I$4+VLOOKUP($R269,武学奇术!$A:$ZZ,13,FALSE)+SUM(_xlfn.XLOOKUP(S269:AG269,增益!$A:$A,增益!$M:$M,0)))/100)</f>
        <v>-0.3</v>
      </c>
      <c r="BE269" s="26" cm="1">
        <f t="array" ref="BE269">$G$13+VLOOKUP($R269,武学奇术!$A:$ZZ,14,FALSE)+SUM(_xlfn.XLOOKUP(S269:AG269,增益!$A:$A,增益!$N:$N,0))</f>
        <v>0</v>
      </c>
      <c r="BF269">
        <f t="shared" si="51"/>
        <v>0</v>
      </c>
      <c r="BG269">
        <f t="shared" si="52"/>
        <v>0</v>
      </c>
      <c r="BH269" s="26" cm="1">
        <f t="array" ref="BH269">IF($F$14-$I$4+VLOOKUP($R269,武学奇术!$A:$ZZ,15,FALSE)+SUM(_xlfn.XLOOKUP(S269:AG269,增益!$A:$A,增益!$O:$O,0))&gt;0,($F$14-$I$4+VLOOKUP($R269,武学奇术!$A:$ZZ,15,FALSE)+SUM(_xlfn.XLOOKUP(S269:AG269,增益!$A:$A,增益!$O:$O,0)))/200,($F$14-$I$4+VLOOKUP($R269,武学奇术!$A:$ZZ,15,FALSE)+SUM(_xlfn.XLOOKUP(S269:AG269,增益!$A:$A,增益!$O:$O,0)))/100)</f>
        <v>-0.3</v>
      </c>
      <c r="BI269" s="26" cm="1">
        <f t="array" ref="BI269">$G$14+VLOOKUP($R269,武学奇术!$A:$ZZ,16,FALSE)+SUM(_xlfn.XLOOKUP(S269:AG269,增益!$A:$A,增益!$P:$P,0))</f>
        <v>0</v>
      </c>
      <c r="BJ269" s="21">
        <f>MIN(IF(VLOOKUP($R269,武学奇术!$A:$ZZ,23,FALSE)=1,100%,$B$8),100%)</f>
        <v>0.8229</v>
      </c>
      <c r="BK269" s="21" cm="1">
        <f t="array" ref="BK269">IF(VLOOKUP($R269,武学奇术!$A:$ZZ,23,FALSE)=1,100%,MIN(80%,$B$9+VLOOKUP($R269,武学奇术!$A:$ZZ,17,FALSE)+SUM(_xlfn.XLOOKUP(S269:AG269,增益!$A:$A,增益!$Q:$Q,0)))+$B$11+SUM(_xlfn.XLOOKUP(S269:AG269,增益!$A:$A,增益!$U:$U,0)))*IF(VLOOKUP($R269,武学奇术!$A:$ZZ,24,FALSE)=1,0,1)</f>
        <v>0.2285</v>
      </c>
      <c r="BL269" s="21" cm="1">
        <f t="array" ref="BL269">1+$B$13+VLOOKUP($R269,武学奇术!$A:$ZZ,18,FALSE)+SUM(_xlfn.XLOOKUP(S269:AG269,增益!$A:$A,增益!$R:$R,0))</f>
        <v>1.5</v>
      </c>
      <c r="BM269" s="21" cm="1">
        <f t="array" ref="BM269">IF(VLOOKUP($R269,武学奇术!$A:$ZZ,24,FALSE)=1,100%,MIN(40%,$B$10+VLOOKUP($R269,武学奇术!$A:$ZZ,19,FALSE)+SUM(_xlfn.XLOOKUP(S269:AG269,增益!$A:$A,增益!$S:$S,0)))+$B$12+SUM(_xlfn.XLOOKUP(S269:AG269,增益!$A:$A,增益!$V:$V,0)))*IF(VLOOKUP($R269,武学奇术!$A:$ZZ,23,FALSE)=1,0,1)</f>
        <v>0.4495</v>
      </c>
      <c r="BN269" s="21" cm="1">
        <f t="array" ref="BN269">1+$B$14+VLOOKUP($R269,武学奇术!$A:$ZZ,20,FALSE)+SUM(_xlfn.XLOOKUP(S269:AG269,增益!$A:$A,增益!$T:$T,0))</f>
        <v>1.782</v>
      </c>
      <c r="BO269" s="21">
        <f t="shared" si="53"/>
        <v>0.18803265</v>
      </c>
      <c r="BP269" s="21">
        <f t="shared" si="54"/>
        <v>0.2649738</v>
      </c>
      <c r="BQ269" s="21">
        <f>IF(VLOOKUP($R269,武学奇术!$A:$ZZ,22,FALSE)=1,0,(1-$BJ269))*(1-$BM269)</f>
        <v>0.09749355</v>
      </c>
      <c r="BR269" s="21" cm="1">
        <f t="array" ref="BR269">SUM(_xlfn.XLOOKUP(S269:AG269,增益!$A:$A,增益!$W:$W,0))+$I$5</f>
        <v>0.06</v>
      </c>
    </row>
    <row r="270" spans="11:70">
      <c r="K270" s="24">
        <f>$L270*VLOOKUP($R270,武学奇术!$A:$ZZ,31,FALSE)</f>
        <v>4840.72394615069</v>
      </c>
      <c r="L270" s="24">
        <f t="shared" si="44"/>
        <v>8067.87324358449</v>
      </c>
      <c r="M270" s="24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BL270*$Q270*(1+IF(VLOOKUP($R270,武学奇术!$A:$ZZ,30,FALSE)="流血",$B$21,0))*(1+$BR270)</f>
        <v>6598.14486131301</v>
      </c>
      <c r="N270" s="24">
        <f>(($AP270*$AI270+$AJ270)*(1+$AQ270)*(1+$AR270)+($AU270*IF($G$1="鸣金",$AK270,$AI270)+IF($G$1="鸣金",$AL270*1.5,0))*(1+$AV270)*(1+$AW270)+($AY270*IF($G$1="裂石",$AK270,$AI270)+IF($G$1="裂石",$AL270*1.5,0))*(1+$AZ270)*(1+$BA270)+($BC270*IF($G$1="牵丝",$AK270,$AI270)+IF($G$1="牵丝",$AL270*1.5,0))*(1+$BD270)*(1+$BE270)+($BG270*IF($G$1="破竹",$AK270,$AI270)+IF($G$1="破竹",$AL270*1.5,0))*(1+$BH270)*(1+$BI270))*(1+$AM270)*$BN270*$Q270*(1+IF(VLOOKUP($R270,武学奇术!$A:$ZZ,30,FALSE)="流血",$B$21,0))*(1+$BR270)</f>
        <v>12168.3673205232</v>
      </c>
      <c r="O270" s="24">
        <f>((($AO270+$AP270)/2*$AI270+$AJ270)*(1+$AQ270)*(1+$AR270)+(($AT270+$AU270)/2*IF($G$1="鸣金",$AK270,$AI270)+IF($G$1="鸣金",$AL270*1.5,0))*(1+$AV270)*(1+$AW270)+(($AX270+$AY270)/2*IF($G$1="裂石",$AK270,$AI270)+IF($G$1="裂石",$AL270*1.5,0))*(1+$AZ270)*(1+$BA270)+(($BB270+$BC270)/2*IF($G$1="牵丝",$AK270,$AI270)+IF($G$1="牵丝",$AL270*1.5,0))*(1+$BD270)*(1+$BE270)+(($BF270+$BG270)/2*IF($G$1="破竹",$AK270,$AI270)+IF($G$1="破竹",$AL270*1.5,0))*(1+$BH270)*(1+$BI270))*(1+$AM270)*$Q270*(1+IF(VLOOKUP($R270,武学奇术!$A:$ZZ,30,FALSE)="流血",$B$21,0))*(1+$BR270)</f>
        <v>4398.76324087534</v>
      </c>
      <c r="P270" s="24">
        <f>((($AO270*$AI270+$AJ270)*(1+$AQ270)*(1+$AR270)+($AT270*IF($G$1="鸣金",$AK270,$AI270)+IF($G$1="鸣金",$AL270*1.5,0))*(1+$AV270)*(1+$AW270)+($AX270*IF($G$1="裂石",$AK270,$AI270)+IF($G$1="裂石",$AL270*1.5,0))*(1+$AZ270)*(1+$BA270)+($BB270*IF($G$1="牵丝",$AK270,$AI270)+IF($G$1="牵丝",$AL270*1.5,0))*(1+$BD270)*(1+$BE270)+($BF270*IF($G$1="破竹",$AK270,$AI270)+IF($G$1="破竹",$AL270*1.5,0))*(1+$BH270)*(1+$BI270))*(1+$AM270))*$Q270*(1+IF(VLOOKUP($R270,武学奇术!$A:$ZZ,30,FALSE)="流血",$B$21,0))*(1+$BR270)</f>
        <v>1969.03752522815</v>
      </c>
      <c r="Q270" s="31">
        <v>1</v>
      </c>
      <c r="R270" s="32" t="s">
        <v>198</v>
      </c>
      <c r="S270" s="32" t="s">
        <v>87</v>
      </c>
      <c r="T270" s="32" t="s">
        <v>96</v>
      </c>
      <c r="U270" s="32" t="s">
        <v>97</v>
      </c>
      <c r="V270" s="32" t="s">
        <v>73</v>
      </c>
      <c r="W270" s="32" t="s">
        <v>73</v>
      </c>
      <c r="X270" s="32" t="s">
        <v>127</v>
      </c>
      <c r="Y270" s="32" t="s">
        <v>73</v>
      </c>
      <c r="Z270" s="32" t="s">
        <v>73</v>
      </c>
      <c r="AA270" s="32" t="s">
        <v>73</v>
      </c>
      <c r="AB270" s="32" t="s">
        <v>75</v>
      </c>
      <c r="AC270" s="32" t="s">
        <v>76</v>
      </c>
      <c r="AD270" s="32" t="s">
        <v>82</v>
      </c>
      <c r="AE270" s="32" t="s">
        <v>73</v>
      </c>
      <c r="AF270" s="32" t="s">
        <v>73</v>
      </c>
      <c r="AG270" s="32" t="s">
        <v>178</v>
      </c>
      <c r="AH270" t="str">
        <f>VLOOKUP($R270,武学奇术!$A:$ZZ,25,FALSE)</f>
        <v>剑</v>
      </c>
      <c r="AI270" s="21">
        <f>VLOOKUP($R270,武学奇术!$A:$ZZ,26,FALSE)</f>
        <v>0.17325</v>
      </c>
      <c r="AJ270" s="22">
        <f>VLOOKUP($R270,武学奇术!$A:$ZZ,27,FALSE)*(1+IF(OR($AH270=$F$4,$AH270=$F$5),$B$22,0))</f>
        <v>0</v>
      </c>
      <c r="AK270" s="21">
        <f>VLOOKUP($R270,武学奇术!$A:$ZZ,28,FALSE)</f>
        <v>0.259875</v>
      </c>
      <c r="AL270" s="22">
        <f>VLOOKUP($R270,武学奇术!$A:$ZZ,29,FALSE)*(1+IF(OR($AH270=$F$4,$AH270=$F$5),$B$22,0))</f>
        <v>0</v>
      </c>
      <c r="AM270" s="21" cm="1">
        <f t="array" ref="AM270">$G$3+IFERROR(VLOOKUP($AH270,$F$4:$G$7,2,FALSE),0)+VLOOKUP($R270,武学奇术!$A:$ZZ,2,FALSE)+SUM(_xlfn.XLOOKUP($S270:$AG270,增益!$A:$A,增益!$B:$B,0))</f>
        <v>1.2391</v>
      </c>
      <c r="AN270" s="21" cm="1">
        <f t="array" ref="AN270">VLOOKUP($R270,武学奇术!$A:$ZZ,5,FALSE)+SUM(_xlfn.XLOOKUP($S270:$AG270,增益!$A:$A,增益!$E:$E,0))</f>
        <v>0</v>
      </c>
      <c r="AO270" cm="1">
        <f t="array" ref="AO270">$D$10*(1+$AN270)+VLOOKUP($R270,武学奇术!$A:$ZZ,3,FALSE)+SUM(_xlfn.XLOOKUP($S270:$AG270,增益!$A:$A,增益!$C:$C,0))-$I$2</f>
        <v>1794.28</v>
      </c>
      <c r="AP270" cm="1">
        <f t="array" ref="AP270">$E$10*(1+$AN270)+VLOOKUP($R270,武学奇术!$A:$ZZ,4,FALSE)+SUM(_xlfn.XLOOKUP($S270:$AG270,增益!$A:$A,增益!$D:$D,0))-$I$2</f>
        <v>7726.36</v>
      </c>
      <c r="AQ270" s="26" cm="1">
        <f t="array" ref="AQ270">IF($F$10-$I$3+VLOOKUP($R270,武学奇术!$A:$ZZ,6,FALSE)+SUM(_xlfn.XLOOKUP(S270:AG270,增益!$A:$A,增益!$F:$F,0))&gt;0,($F$10-$I$3+VLOOKUP($R270,武学奇术!$A:$ZZ,6,FALSE)+SUM(_xlfn.XLOOKUP(S270:AG270,增益!$A:$A,增益!$F:$F,0)))/200,($F$10-$I$3+VLOOKUP($R270,武学奇术!$A:$ZZ,6,FALSE)+SUM(_xlfn.XLOOKUP(S270:AG270,增益!$A:$A,增益!$F:$F,0)))/100)</f>
        <v>0.319</v>
      </c>
      <c r="AR270" s="26" cm="1">
        <f t="array" ref="AR270">$G$10+VLOOKUP($R270,武学奇术!$A:$ZZ,7,FALSE)+SUM(_xlfn.XLOOKUP(S270:AG270,增益!$A:$A,增益!$G:$G,0))</f>
        <v>0</v>
      </c>
      <c r="AS270" s="21" cm="1">
        <f t="array" ref="AS270">VLOOKUP($R270,武学奇术!$A:$ZZ,8,FALSE)+SUM(_xlfn.XLOOKUP(S270:AG270,增益!$A:$A,增益!$H:$H,0))</f>
        <v>0</v>
      </c>
      <c r="AT270">
        <f t="shared" si="45"/>
        <v>680.02</v>
      </c>
      <c r="AU270">
        <f t="shared" si="46"/>
        <v>1288.54</v>
      </c>
      <c r="AV270" s="26" cm="1">
        <f t="array" ref="AV270">IF($F$11-$I$4+VLOOKUP($R270,武学奇术!$A:$ZZ,9,FALSE)+SUM(_xlfn.XLOOKUP(S270:AG270,增益!$A:$A,增益!$I:$I,0))&gt;0,($F$11-$I$4+VLOOKUP($R270,武学奇术!$A:$ZZ,9,FALSE)+SUM(_xlfn.XLOOKUP(S270:AG270,增益!$A:$A,增益!$I:$I,0)))/200,($F$11-$I$4+VLOOKUP($R270,武学奇术!$A:$ZZ,9,FALSE)+SUM(_xlfn.XLOOKUP(S270:AG270,增益!$A:$A,增益!$I:$I,0)))/100)</f>
        <v>0.075</v>
      </c>
      <c r="AW270" s="26" cm="1">
        <f t="array" ref="AW270">$G$11+VLOOKUP($R270,武学奇术!$A:$ZZ,10,FALSE)+SUM(_xlfn.XLOOKUP(S270:AG270,增益!$A:$A,增益!$J:$J,0))</f>
        <v>0.15</v>
      </c>
      <c r="AX270">
        <f t="shared" si="47"/>
        <v>0</v>
      </c>
      <c r="AY270">
        <f t="shared" si="48"/>
        <v>0</v>
      </c>
      <c r="AZ270" s="26" cm="1">
        <f t="array" ref="AZ270">IF($F$12-$I$4+VLOOKUP($R270,武学奇术!$A:$ZZ,11,FALSE)+SUM(_xlfn.XLOOKUP(S270:AG270,增益!$A:$A,增益!$K:$K,0))&gt;0,($F$12-$I$4+VLOOKUP($R270,武学奇术!$A:$ZZ,11,FALSE)+SUM(_xlfn.XLOOKUP(S270:AG270,增益!$A:$A,增益!$K:$K,0)))/200,($F$12-$I$4+VLOOKUP($R270,武学奇术!$A:$ZZ,11,FALSE)+SUM(_xlfn.XLOOKUP(S270:AG270,增益!$A:$A,增益!$K:$K,0)))/100)</f>
        <v>-0.3</v>
      </c>
      <c r="BA270" s="26" cm="1">
        <f t="array" ref="BA270">$G$12+VLOOKUP($R270,武学奇术!$A:$ZZ,12,FALSE)+SUM(_xlfn.XLOOKUP(S270:AG270,增益!$A:$A,增益!$L:$L,0))</f>
        <v>0</v>
      </c>
      <c r="BB270">
        <f t="shared" si="49"/>
        <v>0</v>
      </c>
      <c r="BC270">
        <f t="shared" si="50"/>
        <v>0</v>
      </c>
      <c r="BD270" s="26" cm="1">
        <f t="array" ref="BD270">IF($F$13-$I$4+VLOOKUP($R270,武学奇术!$A:$ZZ,13,FALSE)+SUM(_xlfn.XLOOKUP(S270:AG270,增益!$A:$A,增益!$M:$M,0))&gt;0,($F$13-$I$4+VLOOKUP($R270,武学奇术!$A:$ZZ,13,FALSE)+SUM(_xlfn.XLOOKUP(S270:AG270,增益!$A:$A,增益!$K:$K,0)))/200,($F$13-$I$4+VLOOKUP($R270,武学奇术!$A:$ZZ,13,FALSE)+SUM(_xlfn.XLOOKUP(S270:AG270,增益!$A:$A,增益!$M:$M,0)))/100)</f>
        <v>-0.3</v>
      </c>
      <c r="BE270" s="26" cm="1">
        <f t="array" ref="BE270">$G$13+VLOOKUP($R270,武学奇术!$A:$ZZ,14,FALSE)+SUM(_xlfn.XLOOKUP(S270:AG270,增益!$A:$A,增益!$N:$N,0))</f>
        <v>0</v>
      </c>
      <c r="BF270">
        <f t="shared" si="51"/>
        <v>0</v>
      </c>
      <c r="BG270">
        <f t="shared" si="52"/>
        <v>0</v>
      </c>
      <c r="BH270" s="26" cm="1">
        <f t="array" ref="BH270">IF($F$14-$I$4+VLOOKUP($R270,武学奇术!$A:$ZZ,15,FALSE)+SUM(_xlfn.XLOOKUP(S270:AG270,增益!$A:$A,增益!$O:$O,0))&gt;0,($F$14-$I$4+VLOOKUP($R270,武学奇术!$A:$ZZ,15,FALSE)+SUM(_xlfn.XLOOKUP(S270:AG270,增益!$A:$A,增益!$O:$O,0)))/200,($F$14-$I$4+VLOOKUP($R270,武学奇术!$A:$ZZ,15,FALSE)+SUM(_xlfn.XLOOKUP(S270:AG270,增益!$A:$A,增益!$O:$O,0)))/100)</f>
        <v>-0.3</v>
      </c>
      <c r="BI270" s="26" cm="1">
        <f t="array" ref="BI270">$G$14+VLOOKUP($R270,武学奇术!$A:$ZZ,16,FALSE)+SUM(_xlfn.XLOOKUP(S270:AG270,增益!$A:$A,增益!$P:$P,0))</f>
        <v>0</v>
      </c>
      <c r="BJ270" s="21">
        <f>MIN(IF(VLOOKUP($R270,武学奇术!$A:$ZZ,23,FALSE)=1,100%,$B$8),100%)</f>
        <v>0.8229</v>
      </c>
      <c r="BK270" s="21" cm="1">
        <f t="array" ref="BK270">IF(VLOOKUP($R270,武学奇术!$A:$ZZ,23,FALSE)=1,100%,MIN(80%,$B$9+VLOOKUP($R270,武学奇术!$A:$ZZ,17,FALSE)+SUM(_xlfn.XLOOKUP(S270:AG270,增益!$A:$A,增益!$Q:$Q,0)))+$B$11+SUM(_xlfn.XLOOKUP(S270:AG270,增益!$A:$A,增益!$U:$U,0)))*IF(VLOOKUP($R270,武学奇术!$A:$ZZ,24,FALSE)=1,0,1)</f>
        <v>0.2285</v>
      </c>
      <c r="BL270" s="21" cm="1">
        <f t="array" ref="BL270">1+$B$13+VLOOKUP($R270,武学奇术!$A:$ZZ,18,FALSE)+SUM(_xlfn.XLOOKUP(S270:AG270,增益!$A:$A,增益!$R:$R,0))</f>
        <v>1.5</v>
      </c>
      <c r="BM270" s="21" cm="1">
        <f t="array" ref="BM270">IF(VLOOKUP($R270,武学奇术!$A:$ZZ,24,FALSE)=1,100%,MIN(40%,$B$10+VLOOKUP($R270,武学奇术!$A:$ZZ,19,FALSE)+SUM(_xlfn.XLOOKUP(S270:AG270,增益!$A:$A,增益!$S:$S,0)))+$B$12+SUM(_xlfn.XLOOKUP(S270:AG270,增益!$A:$A,增益!$V:$V,0)))*IF(VLOOKUP($R270,武学奇术!$A:$ZZ,23,FALSE)=1,0,1)</f>
        <v>0.4495</v>
      </c>
      <c r="BN270" s="21" cm="1">
        <f t="array" ref="BN270">1+$B$14+VLOOKUP($R270,武学奇术!$A:$ZZ,20,FALSE)+SUM(_xlfn.XLOOKUP(S270:AG270,增益!$A:$A,增益!$T:$T,0))</f>
        <v>1.782</v>
      </c>
      <c r="BO270" s="21">
        <f t="shared" si="53"/>
        <v>0.18803265</v>
      </c>
      <c r="BP270" s="21">
        <f t="shared" si="54"/>
        <v>0.2649738</v>
      </c>
      <c r="BQ270" s="21">
        <f>IF(VLOOKUP($R270,武学奇术!$A:$ZZ,22,FALSE)=1,0,(1-$BJ270))*(1-$BM270)</f>
        <v>0.09749355</v>
      </c>
      <c r="BR270" s="21" cm="1">
        <f t="array" ref="BR270">SUM(_xlfn.XLOOKUP(S270:AG270,增益!$A:$A,增益!$W:$W,0))+$I$5</f>
        <v>0.06</v>
      </c>
    </row>
    <row r="271" spans="11:70">
      <c r="K271" s="24">
        <f>$L271*VLOOKUP($R271,武学奇术!$A:$ZZ,31,FALSE)</f>
        <v>4859.97302600644</v>
      </c>
      <c r="L271" s="24">
        <f t="shared" si="44"/>
        <v>8099.95504334406</v>
      </c>
      <c r="M271" s="24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BL271*$Q271*(1+IF(VLOOKUP($R271,武学奇术!$A:$ZZ,30,FALSE)="流血",$B$21,0))*(1+$BR271)</f>
        <v>6631.43566487563</v>
      </c>
      <c r="N271" s="24">
        <f>(($AP271*$AI271+$AJ271)*(1+$AQ271)*(1+$AR271)+($AU271*IF($G$1="鸣金",$AK271,$AI271)+IF($G$1="鸣金",$AL271*1.5,0))*(1+$AV271)*(1+$AW271)+($AY271*IF($G$1="裂石",$AK271,$AI271)+IF($G$1="裂石",$AL271*1.5,0))*(1+$AZ271)*(1+$BA271)+($BC271*IF($G$1="牵丝",$AK271,$AI271)+IF($G$1="牵丝",$AL271*1.5,0))*(1+$BD271)*(1+$BE271)+($BG271*IF($G$1="破竹",$AK271,$AI271)+IF($G$1="破竹",$AL271*1.5,0))*(1+$BH271)*(1+$BI271))*(1+$AM271)*$BN271*$Q271*(1+IF(VLOOKUP($R271,武学奇术!$A:$ZZ,30,FALSE)="流血",$B$21,0))*(1+$BR271)</f>
        <v>12207.9167951555</v>
      </c>
      <c r="O271" s="24">
        <f>((($AO271+$AP271)/2*$AI271+$AJ271)*(1+$AQ271)*(1+$AR271)+(($AT271+$AU271)/2*IF($G$1="鸣金",$AK271,$AI271)+IF($G$1="鸣金",$AL271*1.5,0))*(1+$AV271)*(1+$AW271)+(($AX271+$AY271)/2*IF($G$1="裂石",$AK271,$AI271)+IF($G$1="裂石",$AL271*1.5,0))*(1+$AZ271)*(1+$BA271)+(($BB271+$BC271)/2*IF($G$1="牵丝",$AK271,$AI271)+IF($G$1="牵丝",$AL271*1.5,0))*(1+$BD271)*(1+$BE271)+(($BF271+$BG271)/2*IF($G$1="破竹",$AK271,$AI271)+IF($G$1="破竹",$AL271*1.5,0))*(1+$BH271)*(1+$BI271))*(1+$AM271)*$Q271*(1+IF(VLOOKUP($R271,武学奇术!$A:$ZZ,30,FALSE)="流血",$B$21,0))*(1+$BR271)</f>
        <v>4420.95710991708</v>
      </c>
      <c r="P271" s="24">
        <f>((($AO271*$AI271+$AJ271)*(1+$AQ271)*(1+$AR271)+($AT271*IF($G$1="鸣金",$AK271,$AI271)+IF($G$1="鸣金",$AL271*1.5,0))*(1+$AV271)*(1+$AW271)+($AX271*IF($G$1="裂石",$AK271,$AI271)+IF($G$1="裂石",$AL271*1.5,0))*(1+$AZ271)*(1+$BA271)+($BB271*IF($G$1="牵丝",$AK271,$AI271)+IF($G$1="牵丝",$AL271*1.5,0))*(1+$BD271)*(1+$BE271)+($BF271*IF($G$1="破竹",$AK271,$AI271)+IF($G$1="破竹",$AL271*1.5,0))*(1+$BH271)*(1+$BI271))*(1+$AM271))*$Q271*(1+IF(VLOOKUP($R271,武学奇术!$A:$ZZ,30,FALSE)="流血",$B$21,0))*(1+$BR271)</f>
        <v>1991.23139426989</v>
      </c>
      <c r="Q271" s="31">
        <v>1</v>
      </c>
      <c r="R271" s="32" t="s">
        <v>198</v>
      </c>
      <c r="S271" s="32" t="s">
        <v>87</v>
      </c>
      <c r="T271" s="32" t="s">
        <v>96</v>
      </c>
      <c r="U271" s="32" t="s">
        <v>97</v>
      </c>
      <c r="V271" s="32" t="s">
        <v>73</v>
      </c>
      <c r="W271" s="32" t="s">
        <v>111</v>
      </c>
      <c r="X271" s="32" t="s">
        <v>127</v>
      </c>
      <c r="Y271" s="32" t="s">
        <v>73</v>
      </c>
      <c r="Z271" s="32" t="s">
        <v>73</v>
      </c>
      <c r="AA271" s="32" t="s">
        <v>73</v>
      </c>
      <c r="AB271" s="32" t="s">
        <v>75</v>
      </c>
      <c r="AC271" s="32" t="s">
        <v>76</v>
      </c>
      <c r="AD271" s="32" t="s">
        <v>82</v>
      </c>
      <c r="AE271" s="32" t="s">
        <v>73</v>
      </c>
      <c r="AF271" s="32" t="s">
        <v>73</v>
      </c>
      <c r="AG271" s="32" t="s">
        <v>178</v>
      </c>
      <c r="AH271" t="str">
        <f>VLOOKUP($R271,武学奇术!$A:$ZZ,25,FALSE)</f>
        <v>剑</v>
      </c>
      <c r="AI271" s="21">
        <f>VLOOKUP($R271,武学奇术!$A:$ZZ,26,FALSE)</f>
        <v>0.17325</v>
      </c>
      <c r="AJ271" s="22">
        <f>VLOOKUP($R271,武学奇术!$A:$ZZ,27,FALSE)*(1+IF(OR($AH271=$F$4,$AH271=$F$5),$B$22,0))</f>
        <v>0</v>
      </c>
      <c r="AK271" s="21">
        <f>VLOOKUP($R271,武学奇术!$A:$ZZ,28,FALSE)</f>
        <v>0.259875</v>
      </c>
      <c r="AL271" s="22">
        <f>VLOOKUP($R271,武学奇术!$A:$ZZ,29,FALSE)*(1+IF(OR($AH271=$F$4,$AH271=$F$5),$B$22,0))</f>
        <v>0</v>
      </c>
      <c r="AM271" s="21" cm="1">
        <f t="array" ref="AM271">$G$3+IFERROR(VLOOKUP($AH271,$F$4:$G$7,2,FALSE),0)+VLOOKUP($R271,武学奇术!$A:$ZZ,2,FALSE)+SUM(_xlfn.XLOOKUP($S271:$AG271,增益!$A:$A,增益!$B:$B,0))</f>
        <v>1.2391</v>
      </c>
      <c r="AN271" s="21" cm="1">
        <f t="array" ref="AN271">VLOOKUP($R271,武学奇术!$A:$ZZ,5,FALSE)+SUM(_xlfn.XLOOKUP($S271:$AG271,增益!$A:$A,增益!$E:$E,0))</f>
        <v>0</v>
      </c>
      <c r="AO271" cm="1">
        <f t="array" ref="AO271">$D$10*(1+$AN271)+VLOOKUP($R271,武学奇术!$A:$ZZ,3,FALSE)+SUM(_xlfn.XLOOKUP($S271:$AG271,增益!$A:$A,增益!$C:$C,0))-$I$2</f>
        <v>1825.28</v>
      </c>
      <c r="AP271" cm="1">
        <f t="array" ref="AP271">$E$10*(1+$AN271)+VLOOKUP($R271,武学奇术!$A:$ZZ,4,FALSE)+SUM(_xlfn.XLOOKUP($S271:$AG271,增益!$A:$A,增益!$D:$D,0))-$I$2</f>
        <v>7757.36</v>
      </c>
      <c r="AQ271" s="26" cm="1">
        <f t="array" ref="AQ271">IF($F$10-$I$3+VLOOKUP($R271,武学奇术!$A:$ZZ,6,FALSE)+SUM(_xlfn.XLOOKUP(S271:AG271,增益!$A:$A,增益!$F:$F,0))&gt;0,($F$10-$I$3+VLOOKUP($R271,武学奇术!$A:$ZZ,6,FALSE)+SUM(_xlfn.XLOOKUP(S271:AG271,增益!$A:$A,增益!$F:$F,0)))/200,($F$10-$I$3+VLOOKUP($R271,武学奇术!$A:$ZZ,6,FALSE)+SUM(_xlfn.XLOOKUP(S271:AG271,增益!$A:$A,增益!$F:$F,0)))/100)</f>
        <v>0.319</v>
      </c>
      <c r="AR271" s="26" cm="1">
        <f t="array" ref="AR271">$G$10+VLOOKUP($R271,武学奇术!$A:$ZZ,7,FALSE)+SUM(_xlfn.XLOOKUP(S271:AG271,增益!$A:$A,增益!$G:$G,0))</f>
        <v>0</v>
      </c>
      <c r="AS271" s="21" cm="1">
        <f t="array" ref="AS271">VLOOKUP($R271,武学奇术!$A:$ZZ,8,FALSE)+SUM(_xlfn.XLOOKUP(S271:AG271,增益!$A:$A,增益!$H:$H,0))</f>
        <v>0</v>
      </c>
      <c r="AT271">
        <f t="shared" si="45"/>
        <v>680.02</v>
      </c>
      <c r="AU271">
        <f t="shared" si="46"/>
        <v>1288.54</v>
      </c>
      <c r="AV271" s="26" cm="1">
        <f t="array" ref="AV271">IF($F$11-$I$4+VLOOKUP($R271,武学奇术!$A:$ZZ,9,FALSE)+SUM(_xlfn.XLOOKUP(S271:AG271,增益!$A:$A,增益!$I:$I,0))&gt;0,($F$11-$I$4+VLOOKUP($R271,武学奇术!$A:$ZZ,9,FALSE)+SUM(_xlfn.XLOOKUP(S271:AG271,增益!$A:$A,增益!$I:$I,0)))/200,($F$11-$I$4+VLOOKUP($R271,武学奇术!$A:$ZZ,9,FALSE)+SUM(_xlfn.XLOOKUP(S271:AG271,增益!$A:$A,增益!$I:$I,0)))/100)</f>
        <v>0.075</v>
      </c>
      <c r="AW271" s="26" cm="1">
        <f t="array" ref="AW271">$G$11+VLOOKUP($R271,武学奇术!$A:$ZZ,10,FALSE)+SUM(_xlfn.XLOOKUP(S271:AG271,增益!$A:$A,增益!$J:$J,0))</f>
        <v>0.15</v>
      </c>
      <c r="AX271">
        <f t="shared" si="47"/>
        <v>0</v>
      </c>
      <c r="AY271">
        <f t="shared" si="48"/>
        <v>0</v>
      </c>
      <c r="AZ271" s="26" cm="1">
        <f t="array" ref="AZ271">IF($F$12-$I$4+VLOOKUP($R271,武学奇术!$A:$ZZ,11,FALSE)+SUM(_xlfn.XLOOKUP(S271:AG271,增益!$A:$A,增益!$K:$K,0))&gt;0,($F$12-$I$4+VLOOKUP($R271,武学奇术!$A:$ZZ,11,FALSE)+SUM(_xlfn.XLOOKUP(S271:AG271,增益!$A:$A,增益!$K:$K,0)))/200,($F$12-$I$4+VLOOKUP($R271,武学奇术!$A:$ZZ,11,FALSE)+SUM(_xlfn.XLOOKUP(S271:AG271,增益!$A:$A,增益!$K:$K,0)))/100)</f>
        <v>-0.3</v>
      </c>
      <c r="BA271" s="26" cm="1">
        <f t="array" ref="BA271">$G$12+VLOOKUP($R271,武学奇术!$A:$ZZ,12,FALSE)+SUM(_xlfn.XLOOKUP(S271:AG271,增益!$A:$A,增益!$L:$L,0))</f>
        <v>0</v>
      </c>
      <c r="BB271">
        <f t="shared" si="49"/>
        <v>0</v>
      </c>
      <c r="BC271">
        <f t="shared" si="50"/>
        <v>0</v>
      </c>
      <c r="BD271" s="26" cm="1">
        <f t="array" ref="BD271">IF($F$13-$I$4+VLOOKUP($R271,武学奇术!$A:$ZZ,13,FALSE)+SUM(_xlfn.XLOOKUP(S271:AG271,增益!$A:$A,增益!$M:$M,0))&gt;0,($F$13-$I$4+VLOOKUP($R271,武学奇术!$A:$ZZ,13,FALSE)+SUM(_xlfn.XLOOKUP(S271:AG271,增益!$A:$A,增益!$K:$K,0)))/200,($F$13-$I$4+VLOOKUP($R271,武学奇术!$A:$ZZ,13,FALSE)+SUM(_xlfn.XLOOKUP(S271:AG271,增益!$A:$A,增益!$M:$M,0)))/100)</f>
        <v>-0.3</v>
      </c>
      <c r="BE271" s="26" cm="1">
        <f t="array" ref="BE271">$G$13+VLOOKUP($R271,武学奇术!$A:$ZZ,14,FALSE)+SUM(_xlfn.XLOOKUP(S271:AG271,增益!$A:$A,增益!$N:$N,0))</f>
        <v>0</v>
      </c>
      <c r="BF271">
        <f t="shared" si="51"/>
        <v>0</v>
      </c>
      <c r="BG271">
        <f t="shared" si="52"/>
        <v>0</v>
      </c>
      <c r="BH271" s="26" cm="1">
        <f t="array" ref="BH271">IF($F$14-$I$4+VLOOKUP($R271,武学奇术!$A:$ZZ,15,FALSE)+SUM(_xlfn.XLOOKUP(S271:AG271,增益!$A:$A,增益!$O:$O,0))&gt;0,($F$14-$I$4+VLOOKUP($R271,武学奇术!$A:$ZZ,15,FALSE)+SUM(_xlfn.XLOOKUP(S271:AG271,增益!$A:$A,增益!$O:$O,0)))/200,($F$14-$I$4+VLOOKUP($R271,武学奇术!$A:$ZZ,15,FALSE)+SUM(_xlfn.XLOOKUP(S271:AG271,增益!$A:$A,增益!$O:$O,0)))/100)</f>
        <v>-0.3</v>
      </c>
      <c r="BI271" s="26" cm="1">
        <f t="array" ref="BI271">$G$14+VLOOKUP($R271,武学奇术!$A:$ZZ,16,FALSE)+SUM(_xlfn.XLOOKUP(S271:AG271,增益!$A:$A,增益!$P:$P,0))</f>
        <v>0</v>
      </c>
      <c r="BJ271" s="21">
        <f>MIN(IF(VLOOKUP($R271,武学奇术!$A:$ZZ,23,FALSE)=1,100%,$B$8),100%)</f>
        <v>0.8229</v>
      </c>
      <c r="BK271" s="21" cm="1">
        <f t="array" ref="BK271">IF(VLOOKUP($R271,武学奇术!$A:$ZZ,23,FALSE)=1,100%,MIN(80%,$B$9+VLOOKUP($R271,武学奇术!$A:$ZZ,17,FALSE)+SUM(_xlfn.XLOOKUP(S271:AG271,增益!$A:$A,增益!$Q:$Q,0)))+$B$11+SUM(_xlfn.XLOOKUP(S271:AG271,增益!$A:$A,增益!$U:$U,0)))*IF(VLOOKUP($R271,武学奇术!$A:$ZZ,24,FALSE)=1,0,1)</f>
        <v>0.2285</v>
      </c>
      <c r="BL271" s="21" cm="1">
        <f t="array" ref="BL271">1+$B$13+VLOOKUP($R271,武学奇术!$A:$ZZ,18,FALSE)+SUM(_xlfn.XLOOKUP(S271:AG271,增益!$A:$A,增益!$R:$R,0))</f>
        <v>1.5</v>
      </c>
      <c r="BM271" s="21" cm="1">
        <f t="array" ref="BM271">IF(VLOOKUP($R271,武学奇术!$A:$ZZ,24,FALSE)=1,100%,MIN(40%,$B$10+VLOOKUP($R271,武学奇术!$A:$ZZ,19,FALSE)+SUM(_xlfn.XLOOKUP(S271:AG271,增益!$A:$A,增益!$S:$S,0)))+$B$12+SUM(_xlfn.XLOOKUP(S271:AG271,增益!$A:$A,增益!$V:$V,0)))*IF(VLOOKUP($R271,武学奇术!$A:$ZZ,23,FALSE)=1,0,1)</f>
        <v>0.4495</v>
      </c>
      <c r="BN271" s="21" cm="1">
        <f t="array" ref="BN271">1+$B$14+VLOOKUP($R271,武学奇术!$A:$ZZ,20,FALSE)+SUM(_xlfn.XLOOKUP(S271:AG271,增益!$A:$A,增益!$T:$T,0))</f>
        <v>1.782</v>
      </c>
      <c r="BO271" s="21">
        <f t="shared" si="53"/>
        <v>0.18803265</v>
      </c>
      <c r="BP271" s="21">
        <f t="shared" si="54"/>
        <v>0.2649738</v>
      </c>
      <c r="BQ271" s="21">
        <f>IF(VLOOKUP($R271,武学奇术!$A:$ZZ,22,FALSE)=1,0,(1-$BJ271))*(1-$BM271)</f>
        <v>0.09749355</v>
      </c>
      <c r="BR271" s="21" cm="1">
        <f t="array" ref="BR271">SUM(_xlfn.XLOOKUP(S271:AG271,增益!$A:$A,增益!$W:$W,0))+$I$5</f>
        <v>0.06</v>
      </c>
    </row>
    <row r="272" spans="11:70">
      <c r="K272" s="24">
        <f>$L272*VLOOKUP($R272,武学奇术!$A:$ZZ,31,FALSE)</f>
        <v>9719.94605201287</v>
      </c>
      <c r="L272" s="24">
        <f t="shared" si="44"/>
        <v>16199.9100866881</v>
      </c>
      <c r="M272" s="24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BL272*$Q272*(1+IF(VLOOKUP($R272,武学奇术!$A:$ZZ,30,FALSE)="流血",$B$21,0))*(1+$BR272)</f>
        <v>13262.8713297513</v>
      </c>
      <c r="N272" s="24">
        <f>(($AP272*$AI272+$AJ272)*(1+$AQ272)*(1+$AR272)+($AU272*IF($G$1="鸣金",$AK272,$AI272)+IF($G$1="鸣金",$AL272*1.5,0))*(1+$AV272)*(1+$AW272)+($AY272*IF($G$1="裂石",$AK272,$AI272)+IF($G$1="裂石",$AL272*1.5,0))*(1+$AZ272)*(1+$BA272)+($BC272*IF($G$1="牵丝",$AK272,$AI272)+IF($G$1="牵丝",$AL272*1.5,0))*(1+$BD272)*(1+$BE272)+($BG272*IF($G$1="破竹",$AK272,$AI272)+IF($G$1="破竹",$AL272*1.5,0))*(1+$BH272)*(1+$BI272))*(1+$AM272)*$BN272*$Q272*(1+IF(VLOOKUP($R272,武学奇术!$A:$ZZ,30,FALSE)="流血",$B$21,0))*(1+$BR272)</f>
        <v>24415.8335903111</v>
      </c>
      <c r="O272" s="24">
        <f>((($AO272+$AP272)/2*$AI272+$AJ272)*(1+$AQ272)*(1+$AR272)+(($AT272+$AU272)/2*IF($G$1="鸣金",$AK272,$AI272)+IF($G$1="鸣金",$AL272*1.5,0))*(1+$AV272)*(1+$AW272)+(($AX272+$AY272)/2*IF($G$1="裂石",$AK272,$AI272)+IF($G$1="裂石",$AL272*1.5,0))*(1+$AZ272)*(1+$BA272)+(($BB272+$BC272)/2*IF($G$1="牵丝",$AK272,$AI272)+IF($G$1="牵丝",$AL272*1.5,0))*(1+$BD272)*(1+$BE272)+(($BF272+$BG272)/2*IF($G$1="破竹",$AK272,$AI272)+IF($G$1="破竹",$AL272*1.5,0))*(1+$BH272)*(1+$BI272))*(1+$AM272)*$Q272*(1+IF(VLOOKUP($R272,武学奇术!$A:$ZZ,30,FALSE)="流血",$B$21,0))*(1+$BR272)</f>
        <v>8841.91421983417</v>
      </c>
      <c r="P272" s="24">
        <f>((($AO272*$AI272+$AJ272)*(1+$AQ272)*(1+$AR272)+($AT272*IF($G$1="鸣金",$AK272,$AI272)+IF($G$1="鸣金",$AL272*1.5,0))*(1+$AV272)*(1+$AW272)+($AX272*IF($G$1="裂石",$AK272,$AI272)+IF($G$1="裂石",$AL272*1.5,0))*(1+$AZ272)*(1+$BA272)+($BB272*IF($G$1="牵丝",$AK272,$AI272)+IF($G$1="牵丝",$AL272*1.5,0))*(1+$BD272)*(1+$BE272)+($BF272*IF($G$1="破竹",$AK272,$AI272)+IF($G$1="破竹",$AL272*1.5,0))*(1+$BH272)*(1+$BI272))*(1+$AM272))*$Q272*(1+IF(VLOOKUP($R272,武学奇术!$A:$ZZ,30,FALSE)="流血",$B$21,0))*(1+$BR272)</f>
        <v>3982.46278853979</v>
      </c>
      <c r="Q272" s="31">
        <v>1</v>
      </c>
      <c r="R272" s="32" t="s">
        <v>199</v>
      </c>
      <c r="S272" s="32" t="s">
        <v>87</v>
      </c>
      <c r="T272" s="32" t="s">
        <v>96</v>
      </c>
      <c r="U272" s="32" t="s">
        <v>97</v>
      </c>
      <c r="V272" s="32" t="s">
        <v>73</v>
      </c>
      <c r="W272" s="32" t="s">
        <v>111</v>
      </c>
      <c r="X272" s="32" t="s">
        <v>127</v>
      </c>
      <c r="Y272" s="32" t="s">
        <v>73</v>
      </c>
      <c r="Z272" s="32" t="s">
        <v>73</v>
      </c>
      <c r="AA272" s="32" t="s">
        <v>73</v>
      </c>
      <c r="AB272" s="32" t="s">
        <v>75</v>
      </c>
      <c r="AC272" s="32" t="s">
        <v>89</v>
      </c>
      <c r="AD272" s="32" t="s">
        <v>82</v>
      </c>
      <c r="AE272" s="32" t="s">
        <v>73</v>
      </c>
      <c r="AF272" s="32" t="s">
        <v>73</v>
      </c>
      <c r="AG272" s="32" t="s">
        <v>178</v>
      </c>
      <c r="AH272" t="str">
        <f>VLOOKUP($R272,武学奇术!$A:$ZZ,25,FALSE)</f>
        <v>剑</v>
      </c>
      <c r="AI272" s="21">
        <f>VLOOKUP($R272,武学奇术!$A:$ZZ,26,FALSE)</f>
        <v>0.3465</v>
      </c>
      <c r="AJ272" s="22">
        <f>VLOOKUP($R272,武学奇术!$A:$ZZ,27,FALSE)*(1+IF(OR($AH272=$F$4,$AH272=$F$5),$B$22,0))</f>
        <v>0</v>
      </c>
      <c r="AK272" s="21">
        <f>VLOOKUP($R272,武学奇术!$A:$ZZ,28,FALSE)</f>
        <v>0.51975</v>
      </c>
      <c r="AL272" s="22">
        <f>VLOOKUP($R272,武学奇术!$A:$ZZ,29,FALSE)*(1+IF(OR($AH272=$F$4,$AH272=$F$5),$B$22,0))</f>
        <v>0</v>
      </c>
      <c r="AM272" s="21" cm="1">
        <f t="array" ref="AM272">$G$3+IFERROR(VLOOKUP($AH272,$F$4:$G$7,2,FALSE),0)+VLOOKUP($R272,武学奇术!$A:$ZZ,2,FALSE)+SUM(_xlfn.XLOOKUP($S272:$AG272,增益!$A:$A,增益!$B:$B,0))</f>
        <v>1.2391</v>
      </c>
      <c r="AN272" s="21" cm="1">
        <f t="array" ref="AN272">VLOOKUP($R272,武学奇术!$A:$ZZ,5,FALSE)+SUM(_xlfn.XLOOKUP($S272:$AG272,增益!$A:$A,增益!$E:$E,0))</f>
        <v>0</v>
      </c>
      <c r="AO272" cm="1">
        <f t="array" ref="AO272">$D$10*(1+$AN272)+VLOOKUP($R272,武学奇术!$A:$ZZ,3,FALSE)+SUM(_xlfn.XLOOKUP($S272:$AG272,增益!$A:$A,增益!$C:$C,0))-$I$2</f>
        <v>1825.28</v>
      </c>
      <c r="AP272" cm="1">
        <f t="array" ref="AP272">$E$10*(1+$AN272)+VLOOKUP($R272,武学奇术!$A:$ZZ,4,FALSE)+SUM(_xlfn.XLOOKUP($S272:$AG272,增益!$A:$A,增益!$D:$D,0))-$I$2</f>
        <v>7757.36</v>
      </c>
      <c r="AQ272" s="26" cm="1">
        <f t="array" ref="AQ272">IF($F$10-$I$3+VLOOKUP($R272,武学奇术!$A:$ZZ,6,FALSE)+SUM(_xlfn.XLOOKUP(S272:AG272,增益!$A:$A,增益!$F:$F,0))&gt;0,($F$10-$I$3+VLOOKUP($R272,武学奇术!$A:$ZZ,6,FALSE)+SUM(_xlfn.XLOOKUP(S272:AG272,增益!$A:$A,增益!$F:$F,0)))/200,($F$10-$I$3+VLOOKUP($R272,武学奇术!$A:$ZZ,6,FALSE)+SUM(_xlfn.XLOOKUP(S272:AG272,增益!$A:$A,增益!$F:$F,0)))/100)</f>
        <v>0.319</v>
      </c>
      <c r="AR272" s="26" cm="1">
        <f t="array" ref="AR272">$G$10+VLOOKUP($R272,武学奇术!$A:$ZZ,7,FALSE)+SUM(_xlfn.XLOOKUP(S272:AG272,增益!$A:$A,增益!$G:$G,0))</f>
        <v>0</v>
      </c>
      <c r="AS272" s="21" cm="1">
        <f t="array" ref="AS272">VLOOKUP($R272,武学奇术!$A:$ZZ,8,FALSE)+SUM(_xlfn.XLOOKUP(S272:AG272,增益!$A:$A,增益!$H:$H,0))</f>
        <v>0</v>
      </c>
      <c r="AT272">
        <f t="shared" si="45"/>
        <v>680.02</v>
      </c>
      <c r="AU272">
        <f t="shared" si="46"/>
        <v>1288.54</v>
      </c>
      <c r="AV272" s="26" cm="1">
        <f t="array" ref="AV272">IF($F$11-$I$4+VLOOKUP($R272,武学奇术!$A:$ZZ,9,FALSE)+SUM(_xlfn.XLOOKUP(S272:AG272,增益!$A:$A,增益!$I:$I,0))&gt;0,($F$11-$I$4+VLOOKUP($R272,武学奇术!$A:$ZZ,9,FALSE)+SUM(_xlfn.XLOOKUP(S272:AG272,增益!$A:$A,增益!$I:$I,0)))/200,($F$11-$I$4+VLOOKUP($R272,武学奇术!$A:$ZZ,9,FALSE)+SUM(_xlfn.XLOOKUP(S272:AG272,增益!$A:$A,增益!$I:$I,0)))/100)</f>
        <v>0.075</v>
      </c>
      <c r="AW272" s="26" cm="1">
        <f t="array" ref="AW272">$G$11+VLOOKUP($R272,武学奇术!$A:$ZZ,10,FALSE)+SUM(_xlfn.XLOOKUP(S272:AG272,增益!$A:$A,增益!$J:$J,0))</f>
        <v>0.15</v>
      </c>
      <c r="AX272">
        <f t="shared" si="47"/>
        <v>0</v>
      </c>
      <c r="AY272">
        <f t="shared" si="48"/>
        <v>0</v>
      </c>
      <c r="AZ272" s="26" cm="1">
        <f t="array" ref="AZ272">IF($F$12-$I$4+VLOOKUP($R272,武学奇术!$A:$ZZ,11,FALSE)+SUM(_xlfn.XLOOKUP(S272:AG272,增益!$A:$A,增益!$K:$K,0))&gt;0,($F$12-$I$4+VLOOKUP($R272,武学奇术!$A:$ZZ,11,FALSE)+SUM(_xlfn.XLOOKUP(S272:AG272,增益!$A:$A,增益!$K:$K,0)))/200,($F$12-$I$4+VLOOKUP($R272,武学奇术!$A:$ZZ,11,FALSE)+SUM(_xlfn.XLOOKUP(S272:AG272,增益!$A:$A,增益!$K:$K,0)))/100)</f>
        <v>-0.3</v>
      </c>
      <c r="BA272" s="26" cm="1">
        <f t="array" ref="BA272">$G$12+VLOOKUP($R272,武学奇术!$A:$ZZ,12,FALSE)+SUM(_xlfn.XLOOKUP(S272:AG272,增益!$A:$A,增益!$L:$L,0))</f>
        <v>0</v>
      </c>
      <c r="BB272">
        <f t="shared" si="49"/>
        <v>0</v>
      </c>
      <c r="BC272">
        <f t="shared" si="50"/>
        <v>0</v>
      </c>
      <c r="BD272" s="26" cm="1">
        <f t="array" ref="BD272">IF($F$13-$I$4+VLOOKUP($R272,武学奇术!$A:$ZZ,13,FALSE)+SUM(_xlfn.XLOOKUP(S272:AG272,增益!$A:$A,增益!$M:$M,0))&gt;0,($F$13-$I$4+VLOOKUP($R272,武学奇术!$A:$ZZ,13,FALSE)+SUM(_xlfn.XLOOKUP(S272:AG272,增益!$A:$A,增益!$K:$K,0)))/200,($F$13-$I$4+VLOOKUP($R272,武学奇术!$A:$ZZ,13,FALSE)+SUM(_xlfn.XLOOKUP(S272:AG272,增益!$A:$A,增益!$M:$M,0)))/100)</f>
        <v>-0.3</v>
      </c>
      <c r="BE272" s="26" cm="1">
        <f t="array" ref="BE272">$G$13+VLOOKUP($R272,武学奇术!$A:$ZZ,14,FALSE)+SUM(_xlfn.XLOOKUP(S272:AG272,增益!$A:$A,增益!$N:$N,0))</f>
        <v>0</v>
      </c>
      <c r="BF272">
        <f t="shared" si="51"/>
        <v>0</v>
      </c>
      <c r="BG272">
        <f t="shared" si="52"/>
        <v>0</v>
      </c>
      <c r="BH272" s="26" cm="1">
        <f t="array" ref="BH272">IF($F$14-$I$4+VLOOKUP($R272,武学奇术!$A:$ZZ,15,FALSE)+SUM(_xlfn.XLOOKUP(S272:AG272,增益!$A:$A,增益!$O:$O,0))&gt;0,($F$14-$I$4+VLOOKUP($R272,武学奇术!$A:$ZZ,15,FALSE)+SUM(_xlfn.XLOOKUP(S272:AG272,增益!$A:$A,增益!$O:$O,0)))/200,($F$14-$I$4+VLOOKUP($R272,武学奇术!$A:$ZZ,15,FALSE)+SUM(_xlfn.XLOOKUP(S272:AG272,增益!$A:$A,增益!$O:$O,0)))/100)</f>
        <v>-0.3</v>
      </c>
      <c r="BI272" s="26" cm="1">
        <f t="array" ref="BI272">$G$14+VLOOKUP($R272,武学奇术!$A:$ZZ,16,FALSE)+SUM(_xlfn.XLOOKUP(S272:AG272,增益!$A:$A,增益!$P:$P,0))</f>
        <v>0</v>
      </c>
      <c r="BJ272" s="21">
        <f>MIN(IF(VLOOKUP($R272,武学奇术!$A:$ZZ,23,FALSE)=1,100%,$B$8),100%)</f>
        <v>0.8229</v>
      </c>
      <c r="BK272" s="21" cm="1">
        <f t="array" ref="BK272">IF(VLOOKUP($R272,武学奇术!$A:$ZZ,23,FALSE)=1,100%,MIN(80%,$B$9+VLOOKUP($R272,武学奇术!$A:$ZZ,17,FALSE)+SUM(_xlfn.XLOOKUP(S272:AG272,增益!$A:$A,增益!$Q:$Q,0)))+$B$11+SUM(_xlfn.XLOOKUP(S272:AG272,增益!$A:$A,增益!$U:$U,0)))*IF(VLOOKUP($R272,武学奇术!$A:$ZZ,24,FALSE)=1,0,1)</f>
        <v>0.2285</v>
      </c>
      <c r="BL272" s="21" cm="1">
        <f t="array" ref="BL272">1+$B$13+VLOOKUP($R272,武学奇术!$A:$ZZ,18,FALSE)+SUM(_xlfn.XLOOKUP(S272:AG272,增益!$A:$A,增益!$R:$R,0))</f>
        <v>1.5</v>
      </c>
      <c r="BM272" s="21" cm="1">
        <f t="array" ref="BM272">IF(VLOOKUP($R272,武学奇术!$A:$ZZ,24,FALSE)=1,100%,MIN(40%,$B$10+VLOOKUP($R272,武学奇术!$A:$ZZ,19,FALSE)+SUM(_xlfn.XLOOKUP(S272:AG272,增益!$A:$A,增益!$S:$S,0)))+$B$12+SUM(_xlfn.XLOOKUP(S272:AG272,增益!$A:$A,增益!$V:$V,0)))*IF(VLOOKUP($R272,武学奇术!$A:$ZZ,23,FALSE)=1,0,1)</f>
        <v>0.4495</v>
      </c>
      <c r="BN272" s="21" cm="1">
        <f t="array" ref="BN272">1+$B$14+VLOOKUP($R272,武学奇术!$A:$ZZ,20,FALSE)+SUM(_xlfn.XLOOKUP(S272:AG272,增益!$A:$A,增益!$T:$T,0))</f>
        <v>1.782</v>
      </c>
      <c r="BO272" s="21">
        <f t="shared" si="53"/>
        <v>0.18803265</v>
      </c>
      <c r="BP272" s="21">
        <f t="shared" si="54"/>
        <v>0.2649738</v>
      </c>
      <c r="BQ272" s="21">
        <f>IF(VLOOKUP($R272,武学奇术!$A:$ZZ,22,FALSE)=1,0,(1-$BJ272))*(1-$BM272)</f>
        <v>0.09749355</v>
      </c>
      <c r="BR272" s="21" cm="1">
        <f t="array" ref="BR272">SUM(_xlfn.XLOOKUP(S272:AG272,增益!$A:$A,增益!$W:$W,0))+$I$5</f>
        <v>0.06</v>
      </c>
    </row>
    <row r="273" spans="11:70">
      <c r="K273" s="24">
        <f>$L273*VLOOKUP($R273,武学奇术!$A:$ZZ,31,FALSE)</f>
        <v>10761.7874402863</v>
      </c>
      <c r="L273" s="24">
        <f t="shared" si="44"/>
        <v>17936.3124004772</v>
      </c>
      <c r="M273" s="24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BL273*$Q273*(1+IF(VLOOKUP($R273,武学奇术!$A:$ZZ,30,FALSE)="流血",$B$21,0))*(1+$BR273)</f>
        <v>14684.4644337396</v>
      </c>
      <c r="N273" s="24">
        <f>(($AP273*$AI273+$AJ273)*(1+$AQ273)*(1+$AR273)+($AU273*IF($G$1="鸣金",$AK273,$AI273)+IF($G$1="鸣金",$AL273*1.5,0))*(1+$AV273)*(1+$AW273)+($AY273*IF($G$1="裂石",$AK273,$AI273)+IF($G$1="裂石",$AL273*1.5,0))*(1+$AZ273)*(1+$BA273)+($BC273*IF($G$1="牵丝",$AK273,$AI273)+IF($G$1="牵丝",$AL273*1.5,0))*(1+$BD273)*(1+$BE273)+($BG273*IF($G$1="破竹",$AK273,$AI273)+IF($G$1="破竹",$AL273*1.5,0))*(1+$BH273)*(1+$BI273))*(1+$AM273)*$BN273*$Q273*(1+IF(VLOOKUP($R273,武学奇术!$A:$ZZ,30,FALSE)="流血",$B$21,0))*(1+$BR273)</f>
        <v>27032.8672474388</v>
      </c>
      <c r="O273" s="24">
        <f>((($AO273+$AP273)/2*$AI273+$AJ273)*(1+$AQ273)*(1+$AR273)+(($AT273+$AU273)/2*IF($G$1="鸣金",$AK273,$AI273)+IF($G$1="鸣金",$AL273*1.5,0))*(1+$AV273)*(1+$AW273)+(($AX273+$AY273)/2*IF($G$1="裂石",$AK273,$AI273)+IF($G$1="裂石",$AL273*1.5,0))*(1+$AZ273)*(1+$BA273)+(($BB273+$BC273)/2*IF($G$1="牵丝",$AK273,$AI273)+IF($G$1="牵丝",$AL273*1.5,0))*(1+$BD273)*(1+$BE273)+(($BF273+$BG273)/2*IF($G$1="破竹",$AK273,$AI273)+IF($G$1="破竹",$AL273*1.5,0))*(1+$BH273)*(1+$BI273))*(1+$AM273)*$Q273*(1+IF(VLOOKUP($R273,武学奇术!$A:$ZZ,30,FALSE)="流血",$B$21,0))*(1+$BR273)</f>
        <v>9789.6429558264</v>
      </c>
      <c r="P273" s="24">
        <f>((($AO273*$AI273+$AJ273)*(1+$AQ273)*(1+$AR273)+($AT273*IF($G$1="鸣金",$AK273,$AI273)+IF($G$1="鸣金",$AL273*1.5,0))*(1+$AV273)*(1+$AW273)+($AX273*IF($G$1="裂石",$AK273,$AI273)+IF($G$1="裂石",$AL273*1.5,0))*(1+$AZ273)*(1+$BA273)+($BB273*IF($G$1="牵丝",$AK273,$AI273)+IF($G$1="牵丝",$AL273*1.5,0))*(1+$BD273)*(1+$BE273)+($BF273*IF($G$1="破竹",$AK273,$AI273)+IF($G$1="破竹",$AL273*1.5,0))*(1+$BH273)*(1+$BI273))*(1+$AM273))*$Q273*(1+IF(VLOOKUP($R273,武学奇术!$A:$ZZ,30,FALSE)="流血",$B$21,0))*(1+$BR273)</f>
        <v>4409.32673800589</v>
      </c>
      <c r="Q273" s="31">
        <v>1</v>
      </c>
      <c r="R273" s="32" t="s">
        <v>199</v>
      </c>
      <c r="S273" s="32" t="s">
        <v>87</v>
      </c>
      <c r="T273" s="32" t="s">
        <v>96</v>
      </c>
      <c r="U273" s="32" t="s">
        <v>97</v>
      </c>
      <c r="V273" s="32" t="s">
        <v>73</v>
      </c>
      <c r="W273" s="32" t="s">
        <v>111</v>
      </c>
      <c r="X273" s="32" t="s">
        <v>127</v>
      </c>
      <c r="Y273" s="32" t="s">
        <v>73</v>
      </c>
      <c r="Z273" s="32" t="s">
        <v>73</v>
      </c>
      <c r="AA273" s="32" t="s">
        <v>73</v>
      </c>
      <c r="AB273" s="32" t="s">
        <v>75</v>
      </c>
      <c r="AC273" s="32" t="s">
        <v>89</v>
      </c>
      <c r="AD273" s="32" t="s">
        <v>82</v>
      </c>
      <c r="AE273" s="32" t="s">
        <v>90</v>
      </c>
      <c r="AF273" s="32" t="s">
        <v>73</v>
      </c>
      <c r="AG273" s="32" t="s">
        <v>178</v>
      </c>
      <c r="AH273" t="str">
        <f>VLOOKUP($R273,武学奇术!$A:$ZZ,25,FALSE)</f>
        <v>剑</v>
      </c>
      <c r="AI273" s="21">
        <f>VLOOKUP($R273,武学奇术!$A:$ZZ,26,FALSE)</f>
        <v>0.3465</v>
      </c>
      <c r="AJ273" s="22">
        <f>VLOOKUP($R273,武学奇术!$A:$ZZ,27,FALSE)*(1+IF(OR($AH273=$F$4,$AH273=$F$5),$B$22,0))</f>
        <v>0</v>
      </c>
      <c r="AK273" s="21">
        <f>VLOOKUP($R273,武学奇术!$A:$ZZ,28,FALSE)</f>
        <v>0.51975</v>
      </c>
      <c r="AL273" s="22">
        <f>VLOOKUP($R273,武学奇术!$A:$ZZ,29,FALSE)*(1+IF(OR($AH273=$F$4,$AH273=$F$5),$B$22,0))</f>
        <v>0</v>
      </c>
      <c r="AM273" s="21" cm="1">
        <f t="array" ref="AM273">$G$3+IFERROR(VLOOKUP($AH273,$F$4:$G$7,2,FALSE),0)+VLOOKUP($R273,武学奇术!$A:$ZZ,2,FALSE)+SUM(_xlfn.XLOOKUP($S273:$AG273,增益!$A:$A,增益!$B:$B,0))</f>
        <v>1.4791</v>
      </c>
      <c r="AN273" s="21" cm="1">
        <f t="array" ref="AN273">VLOOKUP($R273,武学奇术!$A:$ZZ,5,FALSE)+SUM(_xlfn.XLOOKUP($S273:$AG273,增益!$A:$A,增益!$E:$E,0))</f>
        <v>0</v>
      </c>
      <c r="AO273" cm="1">
        <f t="array" ref="AO273">$D$10*(1+$AN273)+VLOOKUP($R273,武学奇术!$A:$ZZ,3,FALSE)+SUM(_xlfn.XLOOKUP($S273:$AG273,增益!$A:$A,增益!$C:$C,0))-$I$2</f>
        <v>1825.28</v>
      </c>
      <c r="AP273" cm="1">
        <f t="array" ref="AP273">$E$10*(1+$AN273)+VLOOKUP($R273,武学奇术!$A:$ZZ,4,FALSE)+SUM(_xlfn.XLOOKUP($S273:$AG273,增益!$A:$A,增益!$D:$D,0))-$I$2</f>
        <v>7757.36</v>
      </c>
      <c r="AQ273" s="26" cm="1">
        <f t="array" ref="AQ273">IF($F$10-$I$3+VLOOKUP($R273,武学奇术!$A:$ZZ,6,FALSE)+SUM(_xlfn.XLOOKUP(S273:AG273,增益!$A:$A,增益!$F:$F,0))&gt;0,($F$10-$I$3+VLOOKUP($R273,武学奇术!$A:$ZZ,6,FALSE)+SUM(_xlfn.XLOOKUP(S273:AG273,增益!$A:$A,增益!$F:$F,0)))/200,($F$10-$I$3+VLOOKUP($R273,武学奇术!$A:$ZZ,6,FALSE)+SUM(_xlfn.XLOOKUP(S273:AG273,增益!$A:$A,增益!$F:$F,0)))/100)</f>
        <v>0.319</v>
      </c>
      <c r="AR273" s="26" cm="1">
        <f t="array" ref="AR273">$G$10+VLOOKUP($R273,武学奇术!$A:$ZZ,7,FALSE)+SUM(_xlfn.XLOOKUP(S273:AG273,增益!$A:$A,增益!$G:$G,0))</f>
        <v>0</v>
      </c>
      <c r="AS273" s="21" cm="1">
        <f t="array" ref="AS273">VLOOKUP($R273,武学奇术!$A:$ZZ,8,FALSE)+SUM(_xlfn.XLOOKUP(S273:AG273,增益!$A:$A,增益!$H:$H,0))</f>
        <v>0</v>
      </c>
      <c r="AT273">
        <f t="shared" si="45"/>
        <v>680.02</v>
      </c>
      <c r="AU273">
        <f t="shared" si="46"/>
        <v>1288.54</v>
      </c>
      <c r="AV273" s="26" cm="1">
        <f t="array" ref="AV273">IF($F$11-$I$4+VLOOKUP($R273,武学奇术!$A:$ZZ,9,FALSE)+SUM(_xlfn.XLOOKUP(S273:AG273,增益!$A:$A,增益!$I:$I,0))&gt;0,($F$11-$I$4+VLOOKUP($R273,武学奇术!$A:$ZZ,9,FALSE)+SUM(_xlfn.XLOOKUP(S273:AG273,增益!$A:$A,增益!$I:$I,0)))/200,($F$11-$I$4+VLOOKUP($R273,武学奇术!$A:$ZZ,9,FALSE)+SUM(_xlfn.XLOOKUP(S273:AG273,增益!$A:$A,增益!$I:$I,0)))/100)</f>
        <v>0.075</v>
      </c>
      <c r="AW273" s="26" cm="1">
        <f t="array" ref="AW273">$G$11+VLOOKUP($R273,武学奇术!$A:$ZZ,10,FALSE)+SUM(_xlfn.XLOOKUP(S273:AG273,增益!$A:$A,增益!$J:$J,0))</f>
        <v>0.15</v>
      </c>
      <c r="AX273">
        <f t="shared" si="47"/>
        <v>0</v>
      </c>
      <c r="AY273">
        <f t="shared" si="48"/>
        <v>0</v>
      </c>
      <c r="AZ273" s="26" cm="1">
        <f t="array" ref="AZ273">IF($F$12-$I$4+VLOOKUP($R273,武学奇术!$A:$ZZ,11,FALSE)+SUM(_xlfn.XLOOKUP(S273:AG273,增益!$A:$A,增益!$K:$K,0))&gt;0,($F$12-$I$4+VLOOKUP($R273,武学奇术!$A:$ZZ,11,FALSE)+SUM(_xlfn.XLOOKUP(S273:AG273,增益!$A:$A,增益!$K:$K,0)))/200,($F$12-$I$4+VLOOKUP($R273,武学奇术!$A:$ZZ,11,FALSE)+SUM(_xlfn.XLOOKUP(S273:AG273,增益!$A:$A,增益!$K:$K,0)))/100)</f>
        <v>-0.3</v>
      </c>
      <c r="BA273" s="26" cm="1">
        <f t="array" ref="BA273">$G$12+VLOOKUP($R273,武学奇术!$A:$ZZ,12,FALSE)+SUM(_xlfn.XLOOKUP(S273:AG273,增益!$A:$A,增益!$L:$L,0))</f>
        <v>0</v>
      </c>
      <c r="BB273">
        <f t="shared" si="49"/>
        <v>0</v>
      </c>
      <c r="BC273">
        <f t="shared" si="50"/>
        <v>0</v>
      </c>
      <c r="BD273" s="26" cm="1">
        <f t="array" ref="BD273">IF($F$13-$I$4+VLOOKUP($R273,武学奇术!$A:$ZZ,13,FALSE)+SUM(_xlfn.XLOOKUP(S273:AG273,增益!$A:$A,增益!$M:$M,0))&gt;0,($F$13-$I$4+VLOOKUP($R273,武学奇术!$A:$ZZ,13,FALSE)+SUM(_xlfn.XLOOKUP(S273:AG273,增益!$A:$A,增益!$K:$K,0)))/200,($F$13-$I$4+VLOOKUP($R273,武学奇术!$A:$ZZ,13,FALSE)+SUM(_xlfn.XLOOKUP(S273:AG273,增益!$A:$A,增益!$M:$M,0)))/100)</f>
        <v>-0.3</v>
      </c>
      <c r="BE273" s="26" cm="1">
        <f t="array" ref="BE273">$G$13+VLOOKUP($R273,武学奇术!$A:$ZZ,14,FALSE)+SUM(_xlfn.XLOOKUP(S273:AG273,增益!$A:$A,增益!$N:$N,0))</f>
        <v>0</v>
      </c>
      <c r="BF273">
        <f t="shared" si="51"/>
        <v>0</v>
      </c>
      <c r="BG273">
        <f t="shared" si="52"/>
        <v>0</v>
      </c>
      <c r="BH273" s="26" cm="1">
        <f t="array" ref="BH273">IF($F$14-$I$4+VLOOKUP($R273,武学奇术!$A:$ZZ,15,FALSE)+SUM(_xlfn.XLOOKUP(S273:AG273,增益!$A:$A,增益!$O:$O,0))&gt;0,($F$14-$I$4+VLOOKUP($R273,武学奇术!$A:$ZZ,15,FALSE)+SUM(_xlfn.XLOOKUP(S273:AG273,增益!$A:$A,增益!$O:$O,0)))/200,($F$14-$I$4+VLOOKUP($R273,武学奇术!$A:$ZZ,15,FALSE)+SUM(_xlfn.XLOOKUP(S273:AG273,增益!$A:$A,增益!$O:$O,0)))/100)</f>
        <v>-0.3</v>
      </c>
      <c r="BI273" s="26" cm="1">
        <f t="array" ref="BI273">$G$14+VLOOKUP($R273,武学奇术!$A:$ZZ,16,FALSE)+SUM(_xlfn.XLOOKUP(S273:AG273,增益!$A:$A,增益!$P:$P,0))</f>
        <v>0</v>
      </c>
      <c r="BJ273" s="21">
        <f>MIN(IF(VLOOKUP($R273,武学奇术!$A:$ZZ,23,FALSE)=1,100%,$B$8),100%)</f>
        <v>0.8229</v>
      </c>
      <c r="BK273" s="21" cm="1">
        <f t="array" ref="BK273">IF(VLOOKUP($R273,武学奇术!$A:$ZZ,23,FALSE)=1,100%,MIN(80%,$B$9+VLOOKUP($R273,武学奇术!$A:$ZZ,17,FALSE)+SUM(_xlfn.XLOOKUP(S273:AG273,增益!$A:$A,增益!$Q:$Q,0)))+$B$11+SUM(_xlfn.XLOOKUP(S273:AG273,增益!$A:$A,增益!$U:$U,0)))*IF(VLOOKUP($R273,武学奇术!$A:$ZZ,24,FALSE)=1,0,1)</f>
        <v>0.2285</v>
      </c>
      <c r="BL273" s="21" cm="1">
        <f t="array" ref="BL273">1+$B$13+VLOOKUP($R273,武学奇术!$A:$ZZ,18,FALSE)+SUM(_xlfn.XLOOKUP(S273:AG273,增益!$A:$A,增益!$R:$R,0))</f>
        <v>1.5</v>
      </c>
      <c r="BM273" s="21" cm="1">
        <f t="array" ref="BM273">IF(VLOOKUP($R273,武学奇术!$A:$ZZ,24,FALSE)=1,100%,MIN(40%,$B$10+VLOOKUP($R273,武学奇术!$A:$ZZ,19,FALSE)+SUM(_xlfn.XLOOKUP(S273:AG273,增益!$A:$A,增益!$S:$S,0)))+$B$12+SUM(_xlfn.XLOOKUP(S273:AG273,增益!$A:$A,增益!$V:$V,0)))*IF(VLOOKUP($R273,武学奇术!$A:$ZZ,23,FALSE)=1,0,1)</f>
        <v>0.4495</v>
      </c>
      <c r="BN273" s="21" cm="1">
        <f t="array" ref="BN273">1+$B$14+VLOOKUP($R273,武学奇术!$A:$ZZ,20,FALSE)+SUM(_xlfn.XLOOKUP(S273:AG273,增益!$A:$A,增益!$T:$T,0))</f>
        <v>1.782</v>
      </c>
      <c r="BO273" s="21">
        <f t="shared" si="53"/>
        <v>0.18803265</v>
      </c>
      <c r="BP273" s="21">
        <f t="shared" si="54"/>
        <v>0.2649738</v>
      </c>
      <c r="BQ273" s="21">
        <f>IF(VLOOKUP($R273,武学奇术!$A:$ZZ,22,FALSE)=1,0,(1-$BJ273))*(1-$BM273)</f>
        <v>0.09749355</v>
      </c>
      <c r="BR273" s="21" cm="1">
        <f t="array" ref="BR273">SUM(_xlfn.XLOOKUP(S273:AG273,增益!$A:$A,增益!$W:$W,0))+$I$5</f>
        <v>0.06</v>
      </c>
    </row>
    <row r="274" spans="11:70">
      <c r="K274" s="24">
        <f>$L274*VLOOKUP($R274,武学奇术!$A:$ZZ,31,FALSE)</f>
        <v>10761.7874402863</v>
      </c>
      <c r="L274" s="24">
        <f t="shared" si="44"/>
        <v>17936.3124004772</v>
      </c>
      <c r="M274" s="24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BL274*$Q274*(1+IF(VLOOKUP($R274,武学奇术!$A:$ZZ,30,FALSE)="流血",$B$21,0))*(1+$BR274)</f>
        <v>14684.4644337396</v>
      </c>
      <c r="N274" s="24">
        <f>(($AP274*$AI274+$AJ274)*(1+$AQ274)*(1+$AR274)+($AU274*IF($G$1="鸣金",$AK274,$AI274)+IF($G$1="鸣金",$AL274*1.5,0))*(1+$AV274)*(1+$AW274)+($AY274*IF($G$1="裂石",$AK274,$AI274)+IF($G$1="裂石",$AL274*1.5,0))*(1+$AZ274)*(1+$BA274)+($BC274*IF($G$1="牵丝",$AK274,$AI274)+IF($G$1="牵丝",$AL274*1.5,0))*(1+$BD274)*(1+$BE274)+($BG274*IF($G$1="破竹",$AK274,$AI274)+IF($G$1="破竹",$AL274*1.5,0))*(1+$BH274)*(1+$BI274))*(1+$AM274)*$BN274*$Q274*(1+IF(VLOOKUP($R274,武学奇术!$A:$ZZ,30,FALSE)="流血",$B$21,0))*(1+$BR274)</f>
        <v>27032.8672474388</v>
      </c>
      <c r="O274" s="24">
        <f>((($AO274+$AP274)/2*$AI274+$AJ274)*(1+$AQ274)*(1+$AR274)+(($AT274+$AU274)/2*IF($G$1="鸣金",$AK274,$AI274)+IF($G$1="鸣金",$AL274*1.5,0))*(1+$AV274)*(1+$AW274)+(($AX274+$AY274)/2*IF($G$1="裂石",$AK274,$AI274)+IF($G$1="裂石",$AL274*1.5,0))*(1+$AZ274)*(1+$BA274)+(($BB274+$BC274)/2*IF($G$1="牵丝",$AK274,$AI274)+IF($G$1="牵丝",$AL274*1.5,0))*(1+$BD274)*(1+$BE274)+(($BF274+$BG274)/2*IF($G$1="破竹",$AK274,$AI274)+IF($G$1="破竹",$AL274*1.5,0))*(1+$BH274)*(1+$BI274))*(1+$AM274)*$Q274*(1+IF(VLOOKUP($R274,武学奇术!$A:$ZZ,30,FALSE)="流血",$B$21,0))*(1+$BR274)</f>
        <v>9789.6429558264</v>
      </c>
      <c r="P274" s="24">
        <f>((($AO274*$AI274+$AJ274)*(1+$AQ274)*(1+$AR274)+($AT274*IF($G$1="鸣金",$AK274,$AI274)+IF($G$1="鸣金",$AL274*1.5,0))*(1+$AV274)*(1+$AW274)+($AX274*IF($G$1="裂石",$AK274,$AI274)+IF($G$1="裂石",$AL274*1.5,0))*(1+$AZ274)*(1+$BA274)+($BB274*IF($G$1="牵丝",$AK274,$AI274)+IF($G$1="牵丝",$AL274*1.5,0))*(1+$BD274)*(1+$BE274)+($BF274*IF($G$1="破竹",$AK274,$AI274)+IF($G$1="破竹",$AL274*1.5,0))*(1+$BH274)*(1+$BI274))*(1+$AM274))*$Q274*(1+IF(VLOOKUP($R274,武学奇术!$A:$ZZ,30,FALSE)="流血",$B$21,0))*(1+$BR274)</f>
        <v>4409.32673800589</v>
      </c>
      <c r="Q274" s="31">
        <v>1</v>
      </c>
      <c r="R274" s="32" t="s">
        <v>199</v>
      </c>
      <c r="S274" s="32" t="s">
        <v>87</v>
      </c>
      <c r="T274" s="32" t="s">
        <v>96</v>
      </c>
      <c r="U274" s="32" t="s">
        <v>97</v>
      </c>
      <c r="V274" s="32" t="s">
        <v>73</v>
      </c>
      <c r="W274" s="32" t="s">
        <v>111</v>
      </c>
      <c r="X274" s="32" t="s">
        <v>127</v>
      </c>
      <c r="Y274" s="32" t="s">
        <v>73</v>
      </c>
      <c r="Z274" s="32" t="s">
        <v>73</v>
      </c>
      <c r="AA274" s="32" t="s">
        <v>81</v>
      </c>
      <c r="AB274" s="32" t="s">
        <v>75</v>
      </c>
      <c r="AC274" s="32" t="s">
        <v>89</v>
      </c>
      <c r="AD274" s="32" t="s">
        <v>82</v>
      </c>
      <c r="AE274" s="32" t="s">
        <v>90</v>
      </c>
      <c r="AF274" s="32" t="s">
        <v>73</v>
      </c>
      <c r="AG274" s="32" t="s">
        <v>178</v>
      </c>
      <c r="AH274" t="str">
        <f>VLOOKUP($R274,武学奇术!$A:$ZZ,25,FALSE)</f>
        <v>剑</v>
      </c>
      <c r="AI274" s="21">
        <f>VLOOKUP($R274,武学奇术!$A:$ZZ,26,FALSE)</f>
        <v>0.3465</v>
      </c>
      <c r="AJ274" s="22">
        <f>VLOOKUP($R274,武学奇术!$A:$ZZ,27,FALSE)*(1+IF(OR($AH274=$F$4,$AH274=$F$5),$B$22,0))</f>
        <v>0</v>
      </c>
      <c r="AK274" s="21">
        <f>VLOOKUP($R274,武学奇术!$A:$ZZ,28,FALSE)</f>
        <v>0.51975</v>
      </c>
      <c r="AL274" s="22">
        <f>VLOOKUP($R274,武学奇术!$A:$ZZ,29,FALSE)*(1+IF(OR($AH274=$F$4,$AH274=$F$5),$B$22,0))</f>
        <v>0</v>
      </c>
      <c r="AM274" s="21" cm="1">
        <f t="array" ref="AM274">$G$3+IFERROR(VLOOKUP($AH274,$F$4:$G$7,2,FALSE),0)+VLOOKUP($R274,武学奇术!$A:$ZZ,2,FALSE)+SUM(_xlfn.XLOOKUP($S274:$AG274,增益!$A:$A,增益!$B:$B,0))</f>
        <v>1.4791</v>
      </c>
      <c r="AN274" s="21" cm="1">
        <f t="array" ref="AN274">VLOOKUP($R274,武学奇术!$A:$ZZ,5,FALSE)+SUM(_xlfn.XLOOKUP($S274:$AG274,增益!$A:$A,增益!$E:$E,0))</f>
        <v>0</v>
      </c>
      <c r="AO274" cm="1">
        <f t="array" ref="AO274">$D$10*(1+$AN274)+VLOOKUP($R274,武学奇术!$A:$ZZ,3,FALSE)+SUM(_xlfn.XLOOKUP($S274:$AG274,增益!$A:$A,增益!$C:$C,0))-$I$2</f>
        <v>1825.28</v>
      </c>
      <c r="AP274" cm="1">
        <f t="array" ref="AP274">$E$10*(1+$AN274)+VLOOKUP($R274,武学奇术!$A:$ZZ,4,FALSE)+SUM(_xlfn.XLOOKUP($S274:$AG274,增益!$A:$A,增益!$D:$D,0))-$I$2</f>
        <v>7757.36</v>
      </c>
      <c r="AQ274" s="26" cm="1">
        <f t="array" ref="AQ274">IF($F$10-$I$3+VLOOKUP($R274,武学奇术!$A:$ZZ,6,FALSE)+SUM(_xlfn.XLOOKUP(S274:AG274,增益!$A:$A,增益!$F:$F,0))&gt;0,($F$10-$I$3+VLOOKUP($R274,武学奇术!$A:$ZZ,6,FALSE)+SUM(_xlfn.XLOOKUP(S274:AG274,增益!$A:$A,增益!$F:$F,0)))/200,($F$10-$I$3+VLOOKUP($R274,武学奇术!$A:$ZZ,6,FALSE)+SUM(_xlfn.XLOOKUP(S274:AG274,增益!$A:$A,增益!$F:$F,0)))/100)</f>
        <v>0.319</v>
      </c>
      <c r="AR274" s="26" cm="1">
        <f t="array" ref="AR274">$G$10+VLOOKUP($R274,武学奇术!$A:$ZZ,7,FALSE)+SUM(_xlfn.XLOOKUP(S274:AG274,增益!$A:$A,增益!$G:$G,0))</f>
        <v>0</v>
      </c>
      <c r="AS274" s="21" cm="1">
        <f t="array" ref="AS274">VLOOKUP($R274,武学奇术!$A:$ZZ,8,FALSE)+SUM(_xlfn.XLOOKUP(S274:AG274,增益!$A:$A,增益!$H:$H,0))</f>
        <v>0</v>
      </c>
      <c r="AT274">
        <f t="shared" si="45"/>
        <v>680.02</v>
      </c>
      <c r="AU274">
        <f t="shared" si="46"/>
        <v>1288.54</v>
      </c>
      <c r="AV274" s="26" cm="1">
        <f t="array" ref="AV274">IF($F$11-$I$4+VLOOKUP($R274,武学奇术!$A:$ZZ,9,FALSE)+SUM(_xlfn.XLOOKUP(S274:AG274,增益!$A:$A,增益!$I:$I,0))&gt;0,($F$11-$I$4+VLOOKUP($R274,武学奇术!$A:$ZZ,9,FALSE)+SUM(_xlfn.XLOOKUP(S274:AG274,增益!$A:$A,增益!$I:$I,0)))/200,($F$11-$I$4+VLOOKUP($R274,武学奇术!$A:$ZZ,9,FALSE)+SUM(_xlfn.XLOOKUP(S274:AG274,增益!$A:$A,增益!$I:$I,0)))/100)</f>
        <v>0.075</v>
      </c>
      <c r="AW274" s="26" cm="1">
        <f t="array" ref="AW274">$G$11+VLOOKUP($R274,武学奇术!$A:$ZZ,10,FALSE)+SUM(_xlfn.XLOOKUP(S274:AG274,增益!$A:$A,增益!$J:$J,0))</f>
        <v>0.15</v>
      </c>
      <c r="AX274">
        <f t="shared" si="47"/>
        <v>0</v>
      </c>
      <c r="AY274">
        <f t="shared" si="48"/>
        <v>0</v>
      </c>
      <c r="AZ274" s="26" cm="1">
        <f t="array" ref="AZ274">IF($F$12-$I$4+VLOOKUP($R274,武学奇术!$A:$ZZ,11,FALSE)+SUM(_xlfn.XLOOKUP(S274:AG274,增益!$A:$A,增益!$K:$K,0))&gt;0,($F$12-$I$4+VLOOKUP($R274,武学奇术!$A:$ZZ,11,FALSE)+SUM(_xlfn.XLOOKUP(S274:AG274,增益!$A:$A,增益!$K:$K,0)))/200,($F$12-$I$4+VLOOKUP($R274,武学奇术!$A:$ZZ,11,FALSE)+SUM(_xlfn.XLOOKUP(S274:AG274,增益!$A:$A,增益!$K:$K,0)))/100)</f>
        <v>-0.3</v>
      </c>
      <c r="BA274" s="26" cm="1">
        <f t="array" ref="BA274">$G$12+VLOOKUP($R274,武学奇术!$A:$ZZ,12,FALSE)+SUM(_xlfn.XLOOKUP(S274:AG274,增益!$A:$A,增益!$L:$L,0))</f>
        <v>0</v>
      </c>
      <c r="BB274">
        <f t="shared" si="49"/>
        <v>0</v>
      </c>
      <c r="BC274">
        <f t="shared" si="50"/>
        <v>0</v>
      </c>
      <c r="BD274" s="26" cm="1">
        <f t="array" ref="BD274">IF($F$13-$I$4+VLOOKUP($R274,武学奇术!$A:$ZZ,13,FALSE)+SUM(_xlfn.XLOOKUP(S274:AG274,增益!$A:$A,增益!$M:$M,0))&gt;0,($F$13-$I$4+VLOOKUP($R274,武学奇术!$A:$ZZ,13,FALSE)+SUM(_xlfn.XLOOKUP(S274:AG274,增益!$A:$A,增益!$K:$K,0)))/200,($F$13-$I$4+VLOOKUP($R274,武学奇术!$A:$ZZ,13,FALSE)+SUM(_xlfn.XLOOKUP(S274:AG274,增益!$A:$A,增益!$M:$M,0)))/100)</f>
        <v>-0.3</v>
      </c>
      <c r="BE274" s="26" cm="1">
        <f t="array" ref="BE274">$G$13+VLOOKUP($R274,武学奇术!$A:$ZZ,14,FALSE)+SUM(_xlfn.XLOOKUP(S274:AG274,增益!$A:$A,增益!$N:$N,0))</f>
        <v>0</v>
      </c>
      <c r="BF274">
        <f t="shared" si="51"/>
        <v>0</v>
      </c>
      <c r="BG274">
        <f t="shared" si="52"/>
        <v>0</v>
      </c>
      <c r="BH274" s="26" cm="1">
        <f t="array" ref="BH274">IF($F$14-$I$4+VLOOKUP($R274,武学奇术!$A:$ZZ,15,FALSE)+SUM(_xlfn.XLOOKUP(S274:AG274,增益!$A:$A,增益!$O:$O,0))&gt;0,($F$14-$I$4+VLOOKUP($R274,武学奇术!$A:$ZZ,15,FALSE)+SUM(_xlfn.XLOOKUP(S274:AG274,增益!$A:$A,增益!$O:$O,0)))/200,($F$14-$I$4+VLOOKUP($R274,武学奇术!$A:$ZZ,15,FALSE)+SUM(_xlfn.XLOOKUP(S274:AG274,增益!$A:$A,增益!$O:$O,0)))/100)</f>
        <v>-0.3</v>
      </c>
      <c r="BI274" s="26" cm="1">
        <f t="array" ref="BI274">$G$14+VLOOKUP($R274,武学奇术!$A:$ZZ,16,FALSE)+SUM(_xlfn.XLOOKUP(S274:AG274,增益!$A:$A,增益!$P:$P,0))</f>
        <v>0</v>
      </c>
      <c r="BJ274" s="21">
        <f>MIN(IF(VLOOKUP($R274,武学奇术!$A:$ZZ,23,FALSE)=1,100%,$B$8),100%)</f>
        <v>0.8229</v>
      </c>
      <c r="BK274" s="21" cm="1">
        <f t="array" ref="BK274">IF(VLOOKUP($R274,武学奇术!$A:$ZZ,23,FALSE)=1,100%,MIN(80%,$B$9+VLOOKUP($R274,武学奇术!$A:$ZZ,17,FALSE)+SUM(_xlfn.XLOOKUP(S274:AG274,增益!$A:$A,增益!$Q:$Q,0)))+$B$11+SUM(_xlfn.XLOOKUP(S274:AG274,增益!$A:$A,增益!$U:$U,0)))*IF(VLOOKUP($R274,武学奇术!$A:$ZZ,24,FALSE)=1,0,1)</f>
        <v>0.2285</v>
      </c>
      <c r="BL274" s="21" cm="1">
        <f t="array" ref="BL274">1+$B$13+VLOOKUP($R274,武学奇术!$A:$ZZ,18,FALSE)+SUM(_xlfn.XLOOKUP(S274:AG274,增益!$A:$A,增益!$R:$R,0))</f>
        <v>1.5</v>
      </c>
      <c r="BM274" s="21" cm="1">
        <f t="array" ref="BM274">IF(VLOOKUP($R274,武学奇术!$A:$ZZ,24,FALSE)=1,100%,MIN(40%,$B$10+VLOOKUP($R274,武学奇术!$A:$ZZ,19,FALSE)+SUM(_xlfn.XLOOKUP(S274:AG274,增益!$A:$A,增益!$S:$S,0)))+$B$12+SUM(_xlfn.XLOOKUP(S274:AG274,增益!$A:$A,增益!$V:$V,0)))*IF(VLOOKUP($R274,武学奇术!$A:$ZZ,23,FALSE)=1,0,1)</f>
        <v>0.4495</v>
      </c>
      <c r="BN274" s="21" cm="1">
        <f t="array" ref="BN274">1+$B$14+VLOOKUP($R274,武学奇术!$A:$ZZ,20,FALSE)+SUM(_xlfn.XLOOKUP(S274:AG274,增益!$A:$A,增益!$T:$T,0))</f>
        <v>1.782</v>
      </c>
      <c r="BO274" s="21">
        <f t="shared" si="53"/>
        <v>0.18803265</v>
      </c>
      <c r="BP274" s="21">
        <f t="shared" si="54"/>
        <v>0.2649738</v>
      </c>
      <c r="BQ274" s="21">
        <f>IF(VLOOKUP($R274,武学奇术!$A:$ZZ,22,FALSE)=1,0,(1-$BJ274))*(1-$BM274)</f>
        <v>0.09749355</v>
      </c>
      <c r="BR274" s="21" cm="1">
        <f t="array" ref="BR274">SUM(_xlfn.XLOOKUP(S274:AG274,增益!$A:$A,增益!$W:$W,0))+$I$5</f>
        <v>0.06</v>
      </c>
    </row>
    <row r="275" spans="11:70">
      <c r="K275" s="24">
        <f>$L275*VLOOKUP($R275,武学奇术!$A:$ZZ,31,FALSE)</f>
        <v>10761.7874402863</v>
      </c>
      <c r="L275" s="24">
        <f t="shared" si="44"/>
        <v>17936.3124004772</v>
      </c>
      <c r="M275" s="24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BL275*$Q275*(1+IF(VLOOKUP($R275,武学奇术!$A:$ZZ,30,FALSE)="流血",$B$21,0))*(1+$BR275)</f>
        <v>14684.4644337396</v>
      </c>
      <c r="N275" s="24">
        <f>(($AP275*$AI275+$AJ275)*(1+$AQ275)*(1+$AR275)+($AU275*IF($G$1="鸣金",$AK275,$AI275)+IF($G$1="鸣金",$AL275*1.5,0))*(1+$AV275)*(1+$AW275)+($AY275*IF($G$1="裂石",$AK275,$AI275)+IF($G$1="裂石",$AL275*1.5,0))*(1+$AZ275)*(1+$BA275)+($BC275*IF($G$1="牵丝",$AK275,$AI275)+IF($G$1="牵丝",$AL275*1.5,0))*(1+$BD275)*(1+$BE275)+($BG275*IF($G$1="破竹",$AK275,$AI275)+IF($G$1="破竹",$AL275*1.5,0))*(1+$BH275)*(1+$BI275))*(1+$AM275)*$BN275*$Q275*(1+IF(VLOOKUP($R275,武学奇术!$A:$ZZ,30,FALSE)="流血",$B$21,0))*(1+$BR275)</f>
        <v>27032.8672474388</v>
      </c>
      <c r="O275" s="24">
        <f>((($AO275+$AP275)/2*$AI275+$AJ275)*(1+$AQ275)*(1+$AR275)+(($AT275+$AU275)/2*IF($G$1="鸣金",$AK275,$AI275)+IF($G$1="鸣金",$AL275*1.5,0))*(1+$AV275)*(1+$AW275)+(($AX275+$AY275)/2*IF($G$1="裂石",$AK275,$AI275)+IF($G$1="裂石",$AL275*1.5,0))*(1+$AZ275)*(1+$BA275)+(($BB275+$BC275)/2*IF($G$1="牵丝",$AK275,$AI275)+IF($G$1="牵丝",$AL275*1.5,0))*(1+$BD275)*(1+$BE275)+(($BF275+$BG275)/2*IF($G$1="破竹",$AK275,$AI275)+IF($G$1="破竹",$AL275*1.5,0))*(1+$BH275)*(1+$BI275))*(1+$AM275)*$Q275*(1+IF(VLOOKUP($R275,武学奇术!$A:$ZZ,30,FALSE)="流血",$B$21,0))*(1+$BR275)</f>
        <v>9789.6429558264</v>
      </c>
      <c r="P275" s="24">
        <f>((($AO275*$AI275+$AJ275)*(1+$AQ275)*(1+$AR275)+($AT275*IF($G$1="鸣金",$AK275,$AI275)+IF($G$1="鸣金",$AL275*1.5,0))*(1+$AV275)*(1+$AW275)+($AX275*IF($G$1="裂石",$AK275,$AI275)+IF($G$1="裂石",$AL275*1.5,0))*(1+$AZ275)*(1+$BA275)+($BB275*IF($G$1="牵丝",$AK275,$AI275)+IF($G$1="牵丝",$AL275*1.5,0))*(1+$BD275)*(1+$BE275)+($BF275*IF($G$1="破竹",$AK275,$AI275)+IF($G$1="破竹",$AL275*1.5,0))*(1+$BH275)*(1+$BI275))*(1+$AM275))*$Q275*(1+IF(VLOOKUP($R275,武学奇术!$A:$ZZ,30,FALSE)="流血",$B$21,0))*(1+$BR275)</f>
        <v>4409.32673800589</v>
      </c>
      <c r="Q275" s="31">
        <v>1</v>
      </c>
      <c r="R275" s="32" t="s">
        <v>199</v>
      </c>
      <c r="S275" s="32" t="s">
        <v>87</v>
      </c>
      <c r="T275" s="32" t="s">
        <v>96</v>
      </c>
      <c r="U275" s="32" t="s">
        <v>97</v>
      </c>
      <c r="V275" s="32" t="s">
        <v>73</v>
      </c>
      <c r="W275" s="32" t="s">
        <v>111</v>
      </c>
      <c r="X275" s="32" t="s">
        <v>127</v>
      </c>
      <c r="Y275" s="32" t="s">
        <v>73</v>
      </c>
      <c r="Z275" s="32" t="s">
        <v>73</v>
      </c>
      <c r="AA275" s="32" t="s">
        <v>81</v>
      </c>
      <c r="AB275" s="32" t="s">
        <v>75</v>
      </c>
      <c r="AC275" s="32" t="s">
        <v>89</v>
      </c>
      <c r="AD275" s="32" t="s">
        <v>82</v>
      </c>
      <c r="AE275" s="32" t="s">
        <v>90</v>
      </c>
      <c r="AF275" s="32" t="s">
        <v>73</v>
      </c>
      <c r="AG275" s="32" t="s">
        <v>178</v>
      </c>
      <c r="AH275" t="str">
        <f>VLOOKUP($R275,武学奇术!$A:$ZZ,25,FALSE)</f>
        <v>剑</v>
      </c>
      <c r="AI275" s="21">
        <f>VLOOKUP($R275,武学奇术!$A:$ZZ,26,FALSE)</f>
        <v>0.3465</v>
      </c>
      <c r="AJ275" s="22">
        <f>VLOOKUP($R275,武学奇术!$A:$ZZ,27,FALSE)*(1+IF(OR($AH275=$F$4,$AH275=$F$5),$B$22,0))</f>
        <v>0</v>
      </c>
      <c r="AK275" s="21">
        <f>VLOOKUP($R275,武学奇术!$A:$ZZ,28,FALSE)</f>
        <v>0.51975</v>
      </c>
      <c r="AL275" s="22">
        <f>VLOOKUP($R275,武学奇术!$A:$ZZ,29,FALSE)*(1+IF(OR($AH275=$F$4,$AH275=$F$5),$B$22,0))</f>
        <v>0</v>
      </c>
      <c r="AM275" s="21" cm="1">
        <f t="array" ref="AM275">$G$3+IFERROR(VLOOKUP($AH275,$F$4:$G$7,2,FALSE),0)+VLOOKUP($R275,武学奇术!$A:$ZZ,2,FALSE)+SUM(_xlfn.XLOOKUP($S275:$AG275,增益!$A:$A,增益!$B:$B,0))</f>
        <v>1.4791</v>
      </c>
      <c r="AN275" s="21" cm="1">
        <f t="array" ref="AN275">VLOOKUP($R275,武学奇术!$A:$ZZ,5,FALSE)+SUM(_xlfn.XLOOKUP($S275:$AG275,增益!$A:$A,增益!$E:$E,0))</f>
        <v>0</v>
      </c>
      <c r="AO275" cm="1">
        <f t="array" ref="AO275">$D$10*(1+$AN275)+VLOOKUP($R275,武学奇术!$A:$ZZ,3,FALSE)+SUM(_xlfn.XLOOKUP($S275:$AG275,增益!$A:$A,增益!$C:$C,0))-$I$2</f>
        <v>1825.28</v>
      </c>
      <c r="AP275" cm="1">
        <f t="array" ref="AP275">$E$10*(1+$AN275)+VLOOKUP($R275,武学奇术!$A:$ZZ,4,FALSE)+SUM(_xlfn.XLOOKUP($S275:$AG275,增益!$A:$A,增益!$D:$D,0))-$I$2</f>
        <v>7757.36</v>
      </c>
      <c r="AQ275" s="26" cm="1">
        <f t="array" ref="AQ275">IF($F$10-$I$3+VLOOKUP($R275,武学奇术!$A:$ZZ,6,FALSE)+SUM(_xlfn.XLOOKUP(S275:AG275,增益!$A:$A,增益!$F:$F,0))&gt;0,($F$10-$I$3+VLOOKUP($R275,武学奇术!$A:$ZZ,6,FALSE)+SUM(_xlfn.XLOOKUP(S275:AG275,增益!$A:$A,增益!$F:$F,0)))/200,($F$10-$I$3+VLOOKUP($R275,武学奇术!$A:$ZZ,6,FALSE)+SUM(_xlfn.XLOOKUP(S275:AG275,增益!$A:$A,增益!$F:$F,0)))/100)</f>
        <v>0.319</v>
      </c>
      <c r="AR275" s="26" cm="1">
        <f t="array" ref="AR275">$G$10+VLOOKUP($R275,武学奇术!$A:$ZZ,7,FALSE)+SUM(_xlfn.XLOOKUP(S275:AG275,增益!$A:$A,增益!$G:$G,0))</f>
        <v>0</v>
      </c>
      <c r="AS275" s="21" cm="1">
        <f t="array" ref="AS275">VLOOKUP($R275,武学奇术!$A:$ZZ,8,FALSE)+SUM(_xlfn.XLOOKUP(S275:AG275,增益!$A:$A,增益!$H:$H,0))</f>
        <v>0</v>
      </c>
      <c r="AT275">
        <f t="shared" si="45"/>
        <v>680.02</v>
      </c>
      <c r="AU275">
        <f t="shared" si="46"/>
        <v>1288.54</v>
      </c>
      <c r="AV275" s="26" cm="1">
        <f t="array" ref="AV275">IF($F$11-$I$4+VLOOKUP($R275,武学奇术!$A:$ZZ,9,FALSE)+SUM(_xlfn.XLOOKUP(S275:AG275,增益!$A:$A,增益!$I:$I,0))&gt;0,($F$11-$I$4+VLOOKUP($R275,武学奇术!$A:$ZZ,9,FALSE)+SUM(_xlfn.XLOOKUP(S275:AG275,增益!$A:$A,增益!$I:$I,0)))/200,($F$11-$I$4+VLOOKUP($R275,武学奇术!$A:$ZZ,9,FALSE)+SUM(_xlfn.XLOOKUP(S275:AG275,增益!$A:$A,增益!$I:$I,0)))/100)</f>
        <v>0.075</v>
      </c>
      <c r="AW275" s="26" cm="1">
        <f t="array" ref="AW275">$G$11+VLOOKUP($R275,武学奇术!$A:$ZZ,10,FALSE)+SUM(_xlfn.XLOOKUP(S275:AG275,增益!$A:$A,增益!$J:$J,0))</f>
        <v>0.15</v>
      </c>
      <c r="AX275">
        <f t="shared" si="47"/>
        <v>0</v>
      </c>
      <c r="AY275">
        <f t="shared" si="48"/>
        <v>0</v>
      </c>
      <c r="AZ275" s="26" cm="1">
        <f t="array" ref="AZ275">IF($F$12-$I$4+VLOOKUP($R275,武学奇术!$A:$ZZ,11,FALSE)+SUM(_xlfn.XLOOKUP(S275:AG275,增益!$A:$A,增益!$K:$K,0))&gt;0,($F$12-$I$4+VLOOKUP($R275,武学奇术!$A:$ZZ,11,FALSE)+SUM(_xlfn.XLOOKUP(S275:AG275,增益!$A:$A,增益!$K:$K,0)))/200,($F$12-$I$4+VLOOKUP($R275,武学奇术!$A:$ZZ,11,FALSE)+SUM(_xlfn.XLOOKUP(S275:AG275,增益!$A:$A,增益!$K:$K,0)))/100)</f>
        <v>-0.3</v>
      </c>
      <c r="BA275" s="26" cm="1">
        <f t="array" ref="BA275">$G$12+VLOOKUP($R275,武学奇术!$A:$ZZ,12,FALSE)+SUM(_xlfn.XLOOKUP(S275:AG275,增益!$A:$A,增益!$L:$L,0))</f>
        <v>0</v>
      </c>
      <c r="BB275">
        <f t="shared" si="49"/>
        <v>0</v>
      </c>
      <c r="BC275">
        <f t="shared" si="50"/>
        <v>0</v>
      </c>
      <c r="BD275" s="26" cm="1">
        <f t="array" ref="BD275">IF($F$13-$I$4+VLOOKUP($R275,武学奇术!$A:$ZZ,13,FALSE)+SUM(_xlfn.XLOOKUP(S275:AG275,增益!$A:$A,增益!$M:$M,0))&gt;0,($F$13-$I$4+VLOOKUP($R275,武学奇术!$A:$ZZ,13,FALSE)+SUM(_xlfn.XLOOKUP(S275:AG275,增益!$A:$A,增益!$K:$K,0)))/200,($F$13-$I$4+VLOOKUP($R275,武学奇术!$A:$ZZ,13,FALSE)+SUM(_xlfn.XLOOKUP(S275:AG275,增益!$A:$A,增益!$M:$M,0)))/100)</f>
        <v>-0.3</v>
      </c>
      <c r="BE275" s="26" cm="1">
        <f t="array" ref="BE275">$G$13+VLOOKUP($R275,武学奇术!$A:$ZZ,14,FALSE)+SUM(_xlfn.XLOOKUP(S275:AG275,增益!$A:$A,增益!$N:$N,0))</f>
        <v>0</v>
      </c>
      <c r="BF275">
        <f t="shared" si="51"/>
        <v>0</v>
      </c>
      <c r="BG275">
        <f t="shared" si="52"/>
        <v>0</v>
      </c>
      <c r="BH275" s="26" cm="1">
        <f t="array" ref="BH275">IF($F$14-$I$4+VLOOKUP($R275,武学奇术!$A:$ZZ,15,FALSE)+SUM(_xlfn.XLOOKUP(S275:AG275,增益!$A:$A,增益!$O:$O,0))&gt;0,($F$14-$I$4+VLOOKUP($R275,武学奇术!$A:$ZZ,15,FALSE)+SUM(_xlfn.XLOOKUP(S275:AG275,增益!$A:$A,增益!$O:$O,0)))/200,($F$14-$I$4+VLOOKUP($R275,武学奇术!$A:$ZZ,15,FALSE)+SUM(_xlfn.XLOOKUP(S275:AG275,增益!$A:$A,增益!$O:$O,0)))/100)</f>
        <v>-0.3</v>
      </c>
      <c r="BI275" s="26" cm="1">
        <f t="array" ref="BI275">$G$14+VLOOKUP($R275,武学奇术!$A:$ZZ,16,FALSE)+SUM(_xlfn.XLOOKUP(S275:AG275,增益!$A:$A,增益!$P:$P,0))</f>
        <v>0</v>
      </c>
      <c r="BJ275" s="21">
        <f>MIN(IF(VLOOKUP($R275,武学奇术!$A:$ZZ,23,FALSE)=1,100%,$B$8),100%)</f>
        <v>0.8229</v>
      </c>
      <c r="BK275" s="21" cm="1">
        <f t="array" ref="BK275">IF(VLOOKUP($R275,武学奇术!$A:$ZZ,23,FALSE)=1,100%,MIN(80%,$B$9+VLOOKUP($R275,武学奇术!$A:$ZZ,17,FALSE)+SUM(_xlfn.XLOOKUP(S275:AG275,增益!$A:$A,增益!$Q:$Q,0)))+$B$11+SUM(_xlfn.XLOOKUP(S275:AG275,增益!$A:$A,增益!$U:$U,0)))*IF(VLOOKUP($R275,武学奇术!$A:$ZZ,24,FALSE)=1,0,1)</f>
        <v>0.2285</v>
      </c>
      <c r="BL275" s="21" cm="1">
        <f t="array" ref="BL275">1+$B$13+VLOOKUP($R275,武学奇术!$A:$ZZ,18,FALSE)+SUM(_xlfn.XLOOKUP(S275:AG275,增益!$A:$A,增益!$R:$R,0))</f>
        <v>1.5</v>
      </c>
      <c r="BM275" s="21" cm="1">
        <f t="array" ref="BM275">IF(VLOOKUP($R275,武学奇术!$A:$ZZ,24,FALSE)=1,100%,MIN(40%,$B$10+VLOOKUP($R275,武学奇术!$A:$ZZ,19,FALSE)+SUM(_xlfn.XLOOKUP(S275:AG275,增益!$A:$A,增益!$S:$S,0)))+$B$12+SUM(_xlfn.XLOOKUP(S275:AG275,增益!$A:$A,增益!$V:$V,0)))*IF(VLOOKUP($R275,武学奇术!$A:$ZZ,23,FALSE)=1,0,1)</f>
        <v>0.4495</v>
      </c>
      <c r="BN275" s="21" cm="1">
        <f t="array" ref="BN275">1+$B$14+VLOOKUP($R275,武学奇术!$A:$ZZ,20,FALSE)+SUM(_xlfn.XLOOKUP(S275:AG275,增益!$A:$A,增益!$T:$T,0))</f>
        <v>1.782</v>
      </c>
      <c r="BO275" s="21">
        <f t="shared" si="53"/>
        <v>0.18803265</v>
      </c>
      <c r="BP275" s="21">
        <f t="shared" si="54"/>
        <v>0.2649738</v>
      </c>
      <c r="BQ275" s="21">
        <f>IF(VLOOKUP($R275,武学奇术!$A:$ZZ,22,FALSE)=1,0,(1-$BJ275))*(1-$BM275)</f>
        <v>0.09749355</v>
      </c>
      <c r="BR275" s="21" cm="1">
        <f t="array" ref="BR275">SUM(_xlfn.XLOOKUP(S275:AG275,增益!$A:$A,增益!$W:$W,0))+$I$5</f>
        <v>0.06</v>
      </c>
    </row>
    <row r="276" spans="11:70">
      <c r="K276" s="24">
        <f>$L276*VLOOKUP($R276,武学奇术!$A:$ZZ,31,FALSE)</f>
        <v>10761.7874402863</v>
      </c>
      <c r="L276" s="24">
        <f t="shared" si="44"/>
        <v>17936.3124004772</v>
      </c>
      <c r="M276" s="24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BL276*$Q276*(1+IF(VLOOKUP($R276,武学奇术!$A:$ZZ,30,FALSE)="流血",$B$21,0))*(1+$BR276)</f>
        <v>14684.4644337396</v>
      </c>
      <c r="N276" s="24">
        <f>(($AP276*$AI276+$AJ276)*(1+$AQ276)*(1+$AR276)+($AU276*IF($G$1="鸣金",$AK276,$AI276)+IF($G$1="鸣金",$AL276*1.5,0))*(1+$AV276)*(1+$AW276)+($AY276*IF($G$1="裂石",$AK276,$AI276)+IF($G$1="裂石",$AL276*1.5,0))*(1+$AZ276)*(1+$BA276)+($BC276*IF($G$1="牵丝",$AK276,$AI276)+IF($G$1="牵丝",$AL276*1.5,0))*(1+$BD276)*(1+$BE276)+($BG276*IF($G$1="破竹",$AK276,$AI276)+IF($G$1="破竹",$AL276*1.5,0))*(1+$BH276)*(1+$BI276))*(1+$AM276)*$BN276*$Q276*(1+IF(VLOOKUP($R276,武学奇术!$A:$ZZ,30,FALSE)="流血",$B$21,0))*(1+$BR276)</f>
        <v>27032.8672474388</v>
      </c>
      <c r="O276" s="24">
        <f>((($AO276+$AP276)/2*$AI276+$AJ276)*(1+$AQ276)*(1+$AR276)+(($AT276+$AU276)/2*IF($G$1="鸣金",$AK276,$AI276)+IF($G$1="鸣金",$AL276*1.5,0))*(1+$AV276)*(1+$AW276)+(($AX276+$AY276)/2*IF($G$1="裂石",$AK276,$AI276)+IF($G$1="裂石",$AL276*1.5,0))*(1+$AZ276)*(1+$BA276)+(($BB276+$BC276)/2*IF($G$1="牵丝",$AK276,$AI276)+IF($G$1="牵丝",$AL276*1.5,0))*(1+$BD276)*(1+$BE276)+(($BF276+$BG276)/2*IF($G$1="破竹",$AK276,$AI276)+IF($G$1="破竹",$AL276*1.5,0))*(1+$BH276)*(1+$BI276))*(1+$AM276)*$Q276*(1+IF(VLOOKUP($R276,武学奇术!$A:$ZZ,30,FALSE)="流血",$B$21,0))*(1+$BR276)</f>
        <v>9789.6429558264</v>
      </c>
      <c r="P276" s="24">
        <f>((($AO276*$AI276+$AJ276)*(1+$AQ276)*(1+$AR276)+($AT276*IF($G$1="鸣金",$AK276,$AI276)+IF($G$1="鸣金",$AL276*1.5,0))*(1+$AV276)*(1+$AW276)+($AX276*IF($G$1="裂石",$AK276,$AI276)+IF($G$1="裂石",$AL276*1.5,0))*(1+$AZ276)*(1+$BA276)+($BB276*IF($G$1="牵丝",$AK276,$AI276)+IF($G$1="牵丝",$AL276*1.5,0))*(1+$BD276)*(1+$BE276)+($BF276*IF($G$1="破竹",$AK276,$AI276)+IF($G$1="破竹",$AL276*1.5,0))*(1+$BH276)*(1+$BI276))*(1+$AM276))*$Q276*(1+IF(VLOOKUP($R276,武学奇术!$A:$ZZ,30,FALSE)="流血",$B$21,0))*(1+$BR276)</f>
        <v>4409.32673800589</v>
      </c>
      <c r="Q276" s="31">
        <v>1</v>
      </c>
      <c r="R276" s="32" t="s">
        <v>199</v>
      </c>
      <c r="S276" s="32" t="s">
        <v>87</v>
      </c>
      <c r="T276" s="32" t="s">
        <v>96</v>
      </c>
      <c r="U276" s="32" t="s">
        <v>97</v>
      </c>
      <c r="V276" s="32" t="s">
        <v>73</v>
      </c>
      <c r="W276" s="32" t="s">
        <v>111</v>
      </c>
      <c r="X276" s="32" t="s">
        <v>127</v>
      </c>
      <c r="Y276" s="32" t="s">
        <v>73</v>
      </c>
      <c r="Z276" s="32" t="s">
        <v>73</v>
      </c>
      <c r="AA276" s="32" t="s">
        <v>81</v>
      </c>
      <c r="AB276" s="32" t="s">
        <v>75</v>
      </c>
      <c r="AC276" s="32" t="s">
        <v>89</v>
      </c>
      <c r="AD276" s="32" t="s">
        <v>82</v>
      </c>
      <c r="AE276" s="32" t="s">
        <v>90</v>
      </c>
      <c r="AF276" s="32" t="s">
        <v>73</v>
      </c>
      <c r="AG276" s="32" t="s">
        <v>178</v>
      </c>
      <c r="AH276" t="str">
        <f>VLOOKUP($R276,武学奇术!$A:$ZZ,25,FALSE)</f>
        <v>剑</v>
      </c>
      <c r="AI276" s="21">
        <f>VLOOKUP($R276,武学奇术!$A:$ZZ,26,FALSE)</f>
        <v>0.3465</v>
      </c>
      <c r="AJ276" s="22">
        <f>VLOOKUP($R276,武学奇术!$A:$ZZ,27,FALSE)*(1+IF(OR($AH276=$F$4,$AH276=$F$5),$B$22,0))</f>
        <v>0</v>
      </c>
      <c r="AK276" s="21">
        <f>VLOOKUP($R276,武学奇术!$A:$ZZ,28,FALSE)</f>
        <v>0.51975</v>
      </c>
      <c r="AL276" s="22">
        <f>VLOOKUP($R276,武学奇术!$A:$ZZ,29,FALSE)*(1+IF(OR($AH276=$F$4,$AH276=$F$5),$B$22,0))</f>
        <v>0</v>
      </c>
      <c r="AM276" s="21" cm="1">
        <f t="array" ref="AM276">$G$3+IFERROR(VLOOKUP($AH276,$F$4:$G$7,2,FALSE),0)+VLOOKUP($R276,武学奇术!$A:$ZZ,2,FALSE)+SUM(_xlfn.XLOOKUP($S276:$AG276,增益!$A:$A,增益!$B:$B,0))</f>
        <v>1.4791</v>
      </c>
      <c r="AN276" s="21" cm="1">
        <f t="array" ref="AN276">VLOOKUP($R276,武学奇术!$A:$ZZ,5,FALSE)+SUM(_xlfn.XLOOKUP($S276:$AG276,增益!$A:$A,增益!$E:$E,0))</f>
        <v>0</v>
      </c>
      <c r="AO276" cm="1">
        <f t="array" ref="AO276">$D$10*(1+$AN276)+VLOOKUP($R276,武学奇术!$A:$ZZ,3,FALSE)+SUM(_xlfn.XLOOKUP($S276:$AG276,增益!$A:$A,增益!$C:$C,0))-$I$2</f>
        <v>1825.28</v>
      </c>
      <c r="AP276" cm="1">
        <f t="array" ref="AP276">$E$10*(1+$AN276)+VLOOKUP($R276,武学奇术!$A:$ZZ,4,FALSE)+SUM(_xlfn.XLOOKUP($S276:$AG276,增益!$A:$A,增益!$D:$D,0))-$I$2</f>
        <v>7757.36</v>
      </c>
      <c r="AQ276" s="26" cm="1">
        <f t="array" ref="AQ276">IF($F$10-$I$3+VLOOKUP($R276,武学奇术!$A:$ZZ,6,FALSE)+SUM(_xlfn.XLOOKUP(S276:AG276,增益!$A:$A,增益!$F:$F,0))&gt;0,($F$10-$I$3+VLOOKUP($R276,武学奇术!$A:$ZZ,6,FALSE)+SUM(_xlfn.XLOOKUP(S276:AG276,增益!$A:$A,增益!$F:$F,0)))/200,($F$10-$I$3+VLOOKUP($R276,武学奇术!$A:$ZZ,6,FALSE)+SUM(_xlfn.XLOOKUP(S276:AG276,增益!$A:$A,增益!$F:$F,0)))/100)</f>
        <v>0.319</v>
      </c>
      <c r="AR276" s="26" cm="1">
        <f t="array" ref="AR276">$G$10+VLOOKUP($R276,武学奇术!$A:$ZZ,7,FALSE)+SUM(_xlfn.XLOOKUP(S276:AG276,增益!$A:$A,增益!$G:$G,0))</f>
        <v>0</v>
      </c>
      <c r="AS276" s="21" cm="1">
        <f t="array" ref="AS276">VLOOKUP($R276,武学奇术!$A:$ZZ,8,FALSE)+SUM(_xlfn.XLOOKUP(S276:AG276,增益!$A:$A,增益!$H:$H,0))</f>
        <v>0</v>
      </c>
      <c r="AT276">
        <f t="shared" si="45"/>
        <v>680.02</v>
      </c>
      <c r="AU276">
        <f t="shared" si="46"/>
        <v>1288.54</v>
      </c>
      <c r="AV276" s="26" cm="1">
        <f t="array" ref="AV276">IF($F$11-$I$4+VLOOKUP($R276,武学奇术!$A:$ZZ,9,FALSE)+SUM(_xlfn.XLOOKUP(S276:AG276,增益!$A:$A,增益!$I:$I,0))&gt;0,($F$11-$I$4+VLOOKUP($R276,武学奇术!$A:$ZZ,9,FALSE)+SUM(_xlfn.XLOOKUP(S276:AG276,增益!$A:$A,增益!$I:$I,0)))/200,($F$11-$I$4+VLOOKUP($R276,武学奇术!$A:$ZZ,9,FALSE)+SUM(_xlfn.XLOOKUP(S276:AG276,增益!$A:$A,增益!$I:$I,0)))/100)</f>
        <v>0.075</v>
      </c>
      <c r="AW276" s="26" cm="1">
        <f t="array" ref="AW276">$G$11+VLOOKUP($R276,武学奇术!$A:$ZZ,10,FALSE)+SUM(_xlfn.XLOOKUP(S276:AG276,增益!$A:$A,增益!$J:$J,0))</f>
        <v>0.15</v>
      </c>
      <c r="AX276">
        <f t="shared" si="47"/>
        <v>0</v>
      </c>
      <c r="AY276">
        <f t="shared" si="48"/>
        <v>0</v>
      </c>
      <c r="AZ276" s="26" cm="1">
        <f t="array" ref="AZ276">IF($F$12-$I$4+VLOOKUP($R276,武学奇术!$A:$ZZ,11,FALSE)+SUM(_xlfn.XLOOKUP(S276:AG276,增益!$A:$A,增益!$K:$K,0))&gt;0,($F$12-$I$4+VLOOKUP($R276,武学奇术!$A:$ZZ,11,FALSE)+SUM(_xlfn.XLOOKUP(S276:AG276,增益!$A:$A,增益!$K:$K,0)))/200,($F$12-$I$4+VLOOKUP($R276,武学奇术!$A:$ZZ,11,FALSE)+SUM(_xlfn.XLOOKUP(S276:AG276,增益!$A:$A,增益!$K:$K,0)))/100)</f>
        <v>-0.3</v>
      </c>
      <c r="BA276" s="26" cm="1">
        <f t="array" ref="BA276">$G$12+VLOOKUP($R276,武学奇术!$A:$ZZ,12,FALSE)+SUM(_xlfn.XLOOKUP(S276:AG276,增益!$A:$A,增益!$L:$L,0))</f>
        <v>0</v>
      </c>
      <c r="BB276">
        <f t="shared" si="49"/>
        <v>0</v>
      </c>
      <c r="BC276">
        <f t="shared" si="50"/>
        <v>0</v>
      </c>
      <c r="BD276" s="26" cm="1">
        <f t="array" ref="BD276">IF($F$13-$I$4+VLOOKUP($R276,武学奇术!$A:$ZZ,13,FALSE)+SUM(_xlfn.XLOOKUP(S276:AG276,增益!$A:$A,增益!$M:$M,0))&gt;0,($F$13-$I$4+VLOOKUP($R276,武学奇术!$A:$ZZ,13,FALSE)+SUM(_xlfn.XLOOKUP(S276:AG276,增益!$A:$A,增益!$K:$K,0)))/200,($F$13-$I$4+VLOOKUP($R276,武学奇术!$A:$ZZ,13,FALSE)+SUM(_xlfn.XLOOKUP(S276:AG276,增益!$A:$A,增益!$M:$M,0)))/100)</f>
        <v>-0.3</v>
      </c>
      <c r="BE276" s="26" cm="1">
        <f t="array" ref="BE276">$G$13+VLOOKUP($R276,武学奇术!$A:$ZZ,14,FALSE)+SUM(_xlfn.XLOOKUP(S276:AG276,增益!$A:$A,增益!$N:$N,0))</f>
        <v>0</v>
      </c>
      <c r="BF276">
        <f t="shared" si="51"/>
        <v>0</v>
      </c>
      <c r="BG276">
        <f t="shared" si="52"/>
        <v>0</v>
      </c>
      <c r="BH276" s="26" cm="1">
        <f t="array" ref="BH276">IF($F$14-$I$4+VLOOKUP($R276,武学奇术!$A:$ZZ,15,FALSE)+SUM(_xlfn.XLOOKUP(S276:AG276,增益!$A:$A,增益!$O:$O,0))&gt;0,($F$14-$I$4+VLOOKUP($R276,武学奇术!$A:$ZZ,15,FALSE)+SUM(_xlfn.XLOOKUP(S276:AG276,增益!$A:$A,增益!$O:$O,0)))/200,($F$14-$I$4+VLOOKUP($R276,武学奇术!$A:$ZZ,15,FALSE)+SUM(_xlfn.XLOOKUP(S276:AG276,增益!$A:$A,增益!$O:$O,0)))/100)</f>
        <v>-0.3</v>
      </c>
      <c r="BI276" s="26" cm="1">
        <f t="array" ref="BI276">$G$14+VLOOKUP($R276,武学奇术!$A:$ZZ,16,FALSE)+SUM(_xlfn.XLOOKUP(S276:AG276,增益!$A:$A,增益!$P:$P,0))</f>
        <v>0</v>
      </c>
      <c r="BJ276" s="21">
        <f>MIN(IF(VLOOKUP($R276,武学奇术!$A:$ZZ,23,FALSE)=1,100%,$B$8),100%)</f>
        <v>0.8229</v>
      </c>
      <c r="BK276" s="21" cm="1">
        <f t="array" ref="BK276">IF(VLOOKUP($R276,武学奇术!$A:$ZZ,23,FALSE)=1,100%,MIN(80%,$B$9+VLOOKUP($R276,武学奇术!$A:$ZZ,17,FALSE)+SUM(_xlfn.XLOOKUP(S276:AG276,增益!$A:$A,增益!$Q:$Q,0)))+$B$11+SUM(_xlfn.XLOOKUP(S276:AG276,增益!$A:$A,增益!$U:$U,0)))*IF(VLOOKUP($R276,武学奇术!$A:$ZZ,24,FALSE)=1,0,1)</f>
        <v>0.2285</v>
      </c>
      <c r="BL276" s="21" cm="1">
        <f t="array" ref="BL276">1+$B$13+VLOOKUP($R276,武学奇术!$A:$ZZ,18,FALSE)+SUM(_xlfn.XLOOKUP(S276:AG276,增益!$A:$A,增益!$R:$R,0))</f>
        <v>1.5</v>
      </c>
      <c r="BM276" s="21" cm="1">
        <f t="array" ref="BM276">IF(VLOOKUP($R276,武学奇术!$A:$ZZ,24,FALSE)=1,100%,MIN(40%,$B$10+VLOOKUP($R276,武学奇术!$A:$ZZ,19,FALSE)+SUM(_xlfn.XLOOKUP(S276:AG276,增益!$A:$A,增益!$S:$S,0)))+$B$12+SUM(_xlfn.XLOOKUP(S276:AG276,增益!$A:$A,增益!$V:$V,0)))*IF(VLOOKUP($R276,武学奇术!$A:$ZZ,23,FALSE)=1,0,1)</f>
        <v>0.4495</v>
      </c>
      <c r="BN276" s="21" cm="1">
        <f t="array" ref="BN276">1+$B$14+VLOOKUP($R276,武学奇术!$A:$ZZ,20,FALSE)+SUM(_xlfn.XLOOKUP(S276:AG276,增益!$A:$A,增益!$T:$T,0))</f>
        <v>1.782</v>
      </c>
      <c r="BO276" s="21">
        <f t="shared" si="53"/>
        <v>0.18803265</v>
      </c>
      <c r="BP276" s="21">
        <f t="shared" si="54"/>
        <v>0.2649738</v>
      </c>
      <c r="BQ276" s="21">
        <f>IF(VLOOKUP($R276,武学奇术!$A:$ZZ,22,FALSE)=1,0,(1-$BJ276))*(1-$BM276)</f>
        <v>0.09749355</v>
      </c>
      <c r="BR276" s="21" cm="1">
        <f t="array" ref="BR276">SUM(_xlfn.XLOOKUP(S276:AG276,增益!$A:$A,增益!$W:$W,0))+$I$5</f>
        <v>0.06</v>
      </c>
    </row>
    <row r="277" spans="11:70">
      <c r="K277" s="24">
        <f>$L277*VLOOKUP($R277,武学奇术!$A:$ZZ,31,FALSE)</f>
        <v>10761.7874402863</v>
      </c>
      <c r="L277" s="24">
        <f t="shared" si="44"/>
        <v>17936.3124004772</v>
      </c>
      <c r="M277" s="24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BL277*$Q277*(1+IF(VLOOKUP($R277,武学奇术!$A:$ZZ,30,FALSE)="流血",$B$21,0))*(1+$BR277)</f>
        <v>14684.4644337396</v>
      </c>
      <c r="N277" s="24">
        <f>(($AP277*$AI277+$AJ277)*(1+$AQ277)*(1+$AR277)+($AU277*IF($G$1="鸣金",$AK277,$AI277)+IF($G$1="鸣金",$AL277*1.5,0))*(1+$AV277)*(1+$AW277)+($AY277*IF($G$1="裂石",$AK277,$AI277)+IF($G$1="裂石",$AL277*1.5,0))*(1+$AZ277)*(1+$BA277)+($BC277*IF($G$1="牵丝",$AK277,$AI277)+IF($G$1="牵丝",$AL277*1.5,0))*(1+$BD277)*(1+$BE277)+($BG277*IF($G$1="破竹",$AK277,$AI277)+IF($G$1="破竹",$AL277*1.5,0))*(1+$BH277)*(1+$BI277))*(1+$AM277)*$BN277*$Q277*(1+IF(VLOOKUP($R277,武学奇术!$A:$ZZ,30,FALSE)="流血",$B$21,0))*(1+$BR277)</f>
        <v>27032.8672474388</v>
      </c>
      <c r="O277" s="24">
        <f>((($AO277+$AP277)/2*$AI277+$AJ277)*(1+$AQ277)*(1+$AR277)+(($AT277+$AU277)/2*IF($G$1="鸣金",$AK277,$AI277)+IF($G$1="鸣金",$AL277*1.5,0))*(1+$AV277)*(1+$AW277)+(($AX277+$AY277)/2*IF($G$1="裂石",$AK277,$AI277)+IF($G$1="裂石",$AL277*1.5,0))*(1+$AZ277)*(1+$BA277)+(($BB277+$BC277)/2*IF($G$1="牵丝",$AK277,$AI277)+IF($G$1="牵丝",$AL277*1.5,0))*(1+$BD277)*(1+$BE277)+(($BF277+$BG277)/2*IF($G$1="破竹",$AK277,$AI277)+IF($G$1="破竹",$AL277*1.5,0))*(1+$BH277)*(1+$BI277))*(1+$AM277)*$Q277*(1+IF(VLOOKUP($R277,武学奇术!$A:$ZZ,30,FALSE)="流血",$B$21,0))*(1+$BR277)</f>
        <v>9789.6429558264</v>
      </c>
      <c r="P277" s="24">
        <f>((($AO277*$AI277+$AJ277)*(1+$AQ277)*(1+$AR277)+($AT277*IF($G$1="鸣金",$AK277,$AI277)+IF($G$1="鸣金",$AL277*1.5,0))*(1+$AV277)*(1+$AW277)+($AX277*IF($G$1="裂石",$AK277,$AI277)+IF($G$1="裂石",$AL277*1.5,0))*(1+$AZ277)*(1+$BA277)+($BB277*IF($G$1="牵丝",$AK277,$AI277)+IF($G$1="牵丝",$AL277*1.5,0))*(1+$BD277)*(1+$BE277)+($BF277*IF($G$1="破竹",$AK277,$AI277)+IF($G$1="破竹",$AL277*1.5,0))*(1+$BH277)*(1+$BI277))*(1+$AM277))*$Q277*(1+IF(VLOOKUP($R277,武学奇术!$A:$ZZ,30,FALSE)="流血",$B$21,0))*(1+$BR277)</f>
        <v>4409.32673800589</v>
      </c>
      <c r="Q277" s="31">
        <v>1</v>
      </c>
      <c r="R277" s="32" t="s">
        <v>199</v>
      </c>
      <c r="S277" s="32" t="s">
        <v>87</v>
      </c>
      <c r="T277" s="32" t="s">
        <v>96</v>
      </c>
      <c r="U277" s="32" t="s">
        <v>97</v>
      </c>
      <c r="V277" s="32" t="s">
        <v>73</v>
      </c>
      <c r="W277" s="32" t="s">
        <v>111</v>
      </c>
      <c r="X277" s="32" t="s">
        <v>127</v>
      </c>
      <c r="Y277" s="32" t="s">
        <v>73</v>
      </c>
      <c r="Z277" s="32" t="s">
        <v>73</v>
      </c>
      <c r="AA277" s="32" t="s">
        <v>81</v>
      </c>
      <c r="AB277" s="32" t="s">
        <v>75</v>
      </c>
      <c r="AC277" s="32" t="s">
        <v>89</v>
      </c>
      <c r="AD277" s="32" t="s">
        <v>82</v>
      </c>
      <c r="AE277" s="32" t="s">
        <v>90</v>
      </c>
      <c r="AF277" s="32" t="s">
        <v>73</v>
      </c>
      <c r="AG277" s="32" t="s">
        <v>178</v>
      </c>
      <c r="AH277" t="str">
        <f>VLOOKUP($R277,武学奇术!$A:$ZZ,25,FALSE)</f>
        <v>剑</v>
      </c>
      <c r="AI277" s="21">
        <f>VLOOKUP($R277,武学奇术!$A:$ZZ,26,FALSE)</f>
        <v>0.3465</v>
      </c>
      <c r="AJ277" s="22">
        <f>VLOOKUP($R277,武学奇术!$A:$ZZ,27,FALSE)*(1+IF(OR($AH277=$F$4,$AH277=$F$5),$B$22,0))</f>
        <v>0</v>
      </c>
      <c r="AK277" s="21">
        <f>VLOOKUP($R277,武学奇术!$A:$ZZ,28,FALSE)</f>
        <v>0.51975</v>
      </c>
      <c r="AL277" s="22">
        <f>VLOOKUP($R277,武学奇术!$A:$ZZ,29,FALSE)*(1+IF(OR($AH277=$F$4,$AH277=$F$5),$B$22,0))</f>
        <v>0</v>
      </c>
      <c r="AM277" s="21" cm="1">
        <f t="array" ref="AM277">$G$3+IFERROR(VLOOKUP($AH277,$F$4:$G$7,2,FALSE),0)+VLOOKUP($R277,武学奇术!$A:$ZZ,2,FALSE)+SUM(_xlfn.XLOOKUP($S277:$AG277,增益!$A:$A,增益!$B:$B,0))</f>
        <v>1.4791</v>
      </c>
      <c r="AN277" s="21" cm="1">
        <f t="array" ref="AN277">VLOOKUP($R277,武学奇术!$A:$ZZ,5,FALSE)+SUM(_xlfn.XLOOKUP($S277:$AG277,增益!$A:$A,增益!$E:$E,0))</f>
        <v>0</v>
      </c>
      <c r="AO277" cm="1">
        <f t="array" ref="AO277">$D$10*(1+$AN277)+VLOOKUP($R277,武学奇术!$A:$ZZ,3,FALSE)+SUM(_xlfn.XLOOKUP($S277:$AG277,增益!$A:$A,增益!$C:$C,0))-$I$2</f>
        <v>1825.28</v>
      </c>
      <c r="AP277" cm="1">
        <f t="array" ref="AP277">$E$10*(1+$AN277)+VLOOKUP($R277,武学奇术!$A:$ZZ,4,FALSE)+SUM(_xlfn.XLOOKUP($S277:$AG277,增益!$A:$A,增益!$D:$D,0))-$I$2</f>
        <v>7757.36</v>
      </c>
      <c r="AQ277" s="26" cm="1">
        <f t="array" ref="AQ277">IF($F$10-$I$3+VLOOKUP($R277,武学奇术!$A:$ZZ,6,FALSE)+SUM(_xlfn.XLOOKUP(S277:AG277,增益!$A:$A,增益!$F:$F,0))&gt;0,($F$10-$I$3+VLOOKUP($R277,武学奇术!$A:$ZZ,6,FALSE)+SUM(_xlfn.XLOOKUP(S277:AG277,增益!$A:$A,增益!$F:$F,0)))/200,($F$10-$I$3+VLOOKUP($R277,武学奇术!$A:$ZZ,6,FALSE)+SUM(_xlfn.XLOOKUP(S277:AG277,增益!$A:$A,增益!$F:$F,0)))/100)</f>
        <v>0.319</v>
      </c>
      <c r="AR277" s="26" cm="1">
        <f t="array" ref="AR277">$G$10+VLOOKUP($R277,武学奇术!$A:$ZZ,7,FALSE)+SUM(_xlfn.XLOOKUP(S277:AG277,增益!$A:$A,增益!$G:$G,0))</f>
        <v>0</v>
      </c>
      <c r="AS277" s="21" cm="1">
        <f t="array" ref="AS277">VLOOKUP($R277,武学奇术!$A:$ZZ,8,FALSE)+SUM(_xlfn.XLOOKUP(S277:AG277,增益!$A:$A,增益!$H:$H,0))</f>
        <v>0</v>
      </c>
      <c r="AT277">
        <f t="shared" si="45"/>
        <v>680.02</v>
      </c>
      <c r="AU277">
        <f t="shared" si="46"/>
        <v>1288.54</v>
      </c>
      <c r="AV277" s="26" cm="1">
        <f t="array" ref="AV277">IF($F$11-$I$4+VLOOKUP($R277,武学奇术!$A:$ZZ,9,FALSE)+SUM(_xlfn.XLOOKUP(S277:AG277,增益!$A:$A,增益!$I:$I,0))&gt;0,($F$11-$I$4+VLOOKUP($R277,武学奇术!$A:$ZZ,9,FALSE)+SUM(_xlfn.XLOOKUP(S277:AG277,增益!$A:$A,增益!$I:$I,0)))/200,($F$11-$I$4+VLOOKUP($R277,武学奇术!$A:$ZZ,9,FALSE)+SUM(_xlfn.XLOOKUP(S277:AG277,增益!$A:$A,增益!$I:$I,0)))/100)</f>
        <v>0.075</v>
      </c>
      <c r="AW277" s="26" cm="1">
        <f t="array" ref="AW277">$G$11+VLOOKUP($R277,武学奇术!$A:$ZZ,10,FALSE)+SUM(_xlfn.XLOOKUP(S277:AG277,增益!$A:$A,增益!$J:$J,0))</f>
        <v>0.15</v>
      </c>
      <c r="AX277">
        <f t="shared" si="47"/>
        <v>0</v>
      </c>
      <c r="AY277">
        <f t="shared" si="48"/>
        <v>0</v>
      </c>
      <c r="AZ277" s="26" cm="1">
        <f t="array" ref="AZ277">IF($F$12-$I$4+VLOOKUP($R277,武学奇术!$A:$ZZ,11,FALSE)+SUM(_xlfn.XLOOKUP(S277:AG277,增益!$A:$A,增益!$K:$K,0))&gt;0,($F$12-$I$4+VLOOKUP($R277,武学奇术!$A:$ZZ,11,FALSE)+SUM(_xlfn.XLOOKUP(S277:AG277,增益!$A:$A,增益!$K:$K,0)))/200,($F$12-$I$4+VLOOKUP($R277,武学奇术!$A:$ZZ,11,FALSE)+SUM(_xlfn.XLOOKUP(S277:AG277,增益!$A:$A,增益!$K:$K,0)))/100)</f>
        <v>-0.3</v>
      </c>
      <c r="BA277" s="26" cm="1">
        <f t="array" ref="BA277">$G$12+VLOOKUP($R277,武学奇术!$A:$ZZ,12,FALSE)+SUM(_xlfn.XLOOKUP(S277:AG277,增益!$A:$A,增益!$L:$L,0))</f>
        <v>0</v>
      </c>
      <c r="BB277">
        <f t="shared" si="49"/>
        <v>0</v>
      </c>
      <c r="BC277">
        <f t="shared" si="50"/>
        <v>0</v>
      </c>
      <c r="BD277" s="26" cm="1">
        <f t="array" ref="BD277">IF($F$13-$I$4+VLOOKUP($R277,武学奇术!$A:$ZZ,13,FALSE)+SUM(_xlfn.XLOOKUP(S277:AG277,增益!$A:$A,增益!$M:$M,0))&gt;0,($F$13-$I$4+VLOOKUP($R277,武学奇术!$A:$ZZ,13,FALSE)+SUM(_xlfn.XLOOKUP(S277:AG277,增益!$A:$A,增益!$K:$K,0)))/200,($F$13-$I$4+VLOOKUP($R277,武学奇术!$A:$ZZ,13,FALSE)+SUM(_xlfn.XLOOKUP(S277:AG277,增益!$A:$A,增益!$M:$M,0)))/100)</f>
        <v>-0.3</v>
      </c>
      <c r="BE277" s="26" cm="1">
        <f t="array" ref="BE277">$G$13+VLOOKUP($R277,武学奇术!$A:$ZZ,14,FALSE)+SUM(_xlfn.XLOOKUP(S277:AG277,增益!$A:$A,增益!$N:$N,0))</f>
        <v>0</v>
      </c>
      <c r="BF277">
        <f t="shared" si="51"/>
        <v>0</v>
      </c>
      <c r="BG277">
        <f t="shared" si="52"/>
        <v>0</v>
      </c>
      <c r="BH277" s="26" cm="1">
        <f t="array" ref="BH277">IF($F$14-$I$4+VLOOKUP($R277,武学奇术!$A:$ZZ,15,FALSE)+SUM(_xlfn.XLOOKUP(S277:AG277,增益!$A:$A,增益!$O:$O,0))&gt;0,($F$14-$I$4+VLOOKUP($R277,武学奇术!$A:$ZZ,15,FALSE)+SUM(_xlfn.XLOOKUP(S277:AG277,增益!$A:$A,增益!$O:$O,0)))/200,($F$14-$I$4+VLOOKUP($R277,武学奇术!$A:$ZZ,15,FALSE)+SUM(_xlfn.XLOOKUP(S277:AG277,增益!$A:$A,增益!$O:$O,0)))/100)</f>
        <v>-0.3</v>
      </c>
      <c r="BI277" s="26" cm="1">
        <f t="array" ref="BI277">$G$14+VLOOKUP($R277,武学奇术!$A:$ZZ,16,FALSE)+SUM(_xlfn.XLOOKUP(S277:AG277,增益!$A:$A,增益!$P:$P,0))</f>
        <v>0</v>
      </c>
      <c r="BJ277" s="21">
        <f>MIN(IF(VLOOKUP($R277,武学奇术!$A:$ZZ,23,FALSE)=1,100%,$B$8),100%)</f>
        <v>0.8229</v>
      </c>
      <c r="BK277" s="21" cm="1">
        <f t="array" ref="BK277">IF(VLOOKUP($R277,武学奇术!$A:$ZZ,23,FALSE)=1,100%,MIN(80%,$B$9+VLOOKUP($R277,武学奇术!$A:$ZZ,17,FALSE)+SUM(_xlfn.XLOOKUP(S277:AG277,增益!$A:$A,增益!$Q:$Q,0)))+$B$11+SUM(_xlfn.XLOOKUP(S277:AG277,增益!$A:$A,增益!$U:$U,0)))*IF(VLOOKUP($R277,武学奇术!$A:$ZZ,24,FALSE)=1,0,1)</f>
        <v>0.2285</v>
      </c>
      <c r="BL277" s="21" cm="1">
        <f t="array" ref="BL277">1+$B$13+VLOOKUP($R277,武学奇术!$A:$ZZ,18,FALSE)+SUM(_xlfn.XLOOKUP(S277:AG277,增益!$A:$A,增益!$R:$R,0))</f>
        <v>1.5</v>
      </c>
      <c r="BM277" s="21" cm="1">
        <f t="array" ref="BM277">IF(VLOOKUP($R277,武学奇术!$A:$ZZ,24,FALSE)=1,100%,MIN(40%,$B$10+VLOOKUP($R277,武学奇术!$A:$ZZ,19,FALSE)+SUM(_xlfn.XLOOKUP(S277:AG277,增益!$A:$A,增益!$S:$S,0)))+$B$12+SUM(_xlfn.XLOOKUP(S277:AG277,增益!$A:$A,增益!$V:$V,0)))*IF(VLOOKUP($R277,武学奇术!$A:$ZZ,23,FALSE)=1,0,1)</f>
        <v>0.4495</v>
      </c>
      <c r="BN277" s="21" cm="1">
        <f t="array" ref="BN277">1+$B$14+VLOOKUP($R277,武学奇术!$A:$ZZ,20,FALSE)+SUM(_xlfn.XLOOKUP(S277:AG277,增益!$A:$A,增益!$T:$T,0))</f>
        <v>1.782</v>
      </c>
      <c r="BO277" s="21">
        <f t="shared" si="53"/>
        <v>0.18803265</v>
      </c>
      <c r="BP277" s="21">
        <f t="shared" si="54"/>
        <v>0.2649738</v>
      </c>
      <c r="BQ277" s="21">
        <f>IF(VLOOKUP($R277,武学奇术!$A:$ZZ,22,FALSE)=1,0,(1-$BJ277))*(1-$BM277)</f>
        <v>0.09749355</v>
      </c>
      <c r="BR277" s="21" cm="1">
        <f t="array" ref="BR277">SUM(_xlfn.XLOOKUP(S277:AG277,增益!$A:$A,增益!$W:$W,0))+$I$5</f>
        <v>0.06</v>
      </c>
    </row>
    <row r="278" spans="11:70">
      <c r="K278" s="24">
        <f>$L278*VLOOKUP($R278,武学奇术!$A:$ZZ,31,FALSE)</f>
        <v>12014.5771379543</v>
      </c>
      <c r="L278" s="24">
        <f t="shared" si="44"/>
        <v>20024.2952299238</v>
      </c>
      <c r="M278" s="24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BL278*$Q278*(1+IF(VLOOKUP($R278,武学奇术!$A:$ZZ,30,FALSE)="流血",$B$21,0))*(1+$BR278)</f>
        <v>16393.8966131463</v>
      </c>
      <c r="N278" s="24">
        <f>(($AP278*$AI278+$AJ278)*(1+$AQ278)*(1+$AR278)+($AU278*IF($G$1="鸣金",$AK278,$AI278)+IF($G$1="鸣金",$AL278*1.5,0))*(1+$AV278)*(1+$AW278)+($AY278*IF($G$1="裂石",$AK278,$AI278)+IF($G$1="裂石",$AL278*1.5,0))*(1+$AZ278)*(1+$BA278)+($BC278*IF($G$1="牵丝",$AK278,$AI278)+IF($G$1="牵丝",$AL278*1.5,0))*(1+$BD278)*(1+$BE278)+($BG278*IF($G$1="破竹",$AK278,$AI278)+IF($G$1="破竹",$AL278*1.5,0))*(1+$BH278)*(1+$BI278))*(1+$AM278)*$BN278*$Q278*(1+IF(VLOOKUP($R278,武学奇术!$A:$ZZ,30,FALSE)="流血",$B$21,0))*(1+$BR278)</f>
        <v>30179.7884976429</v>
      </c>
      <c r="O278" s="24">
        <f>((($AO278+$AP278)/2*$AI278+$AJ278)*(1+$AQ278)*(1+$AR278)+(($AT278+$AU278)/2*IF($G$1="鸣金",$AK278,$AI278)+IF($G$1="鸣金",$AL278*1.5,0))*(1+$AV278)*(1+$AW278)+(($AX278+$AY278)/2*IF($G$1="裂石",$AK278,$AI278)+IF($G$1="裂石",$AL278*1.5,0))*(1+$AZ278)*(1+$BA278)+(($BB278+$BC278)/2*IF($G$1="牵丝",$AK278,$AI278)+IF($G$1="牵丝",$AL278*1.5,0))*(1+$BD278)*(1+$BE278)+(($BF278+$BG278)/2*IF($G$1="破竹",$AK278,$AI278)+IF($G$1="破竹",$AL278*1.5,0))*(1+$BH278)*(1+$BI278))*(1+$AM278)*$Q278*(1+IF(VLOOKUP($R278,武学奇术!$A:$ZZ,30,FALSE)="流血",$B$21,0))*(1+$BR278)</f>
        <v>10929.2644087642</v>
      </c>
      <c r="P278" s="24">
        <f>((($AO278*$AI278+$AJ278)*(1+$AQ278)*(1+$AR278)+($AT278*IF($G$1="鸣金",$AK278,$AI278)+IF($G$1="鸣金",$AL278*1.5,0))*(1+$AV278)*(1+$AW278)+($AX278*IF($G$1="裂石",$AK278,$AI278)+IF($G$1="裂石",$AL278*1.5,0))*(1+$AZ278)*(1+$BA278)+($BB278*IF($G$1="牵丝",$AK278,$AI278)+IF($G$1="牵丝",$AL278*1.5,0))*(1+$BD278)*(1+$BE278)+($BF278*IF($G$1="破竹",$AK278,$AI278)+IF($G$1="破竹",$AL278*1.5,0))*(1+$BH278)*(1+$BI278))*(1+$AM278))*$Q278*(1+IF(VLOOKUP($R278,武学奇术!$A:$ZZ,30,FALSE)="流血",$B$21,0))*(1+$BR278)</f>
        <v>4922.6205696929</v>
      </c>
      <c r="Q278" s="31">
        <v>1</v>
      </c>
      <c r="R278" s="32" t="s">
        <v>199</v>
      </c>
      <c r="S278" s="32" t="s">
        <v>87</v>
      </c>
      <c r="T278" s="32" t="s">
        <v>96</v>
      </c>
      <c r="U278" s="32" t="s">
        <v>97</v>
      </c>
      <c r="V278" s="32" t="s">
        <v>73</v>
      </c>
      <c r="W278" s="32" t="s">
        <v>111</v>
      </c>
      <c r="X278" s="32" t="s">
        <v>127</v>
      </c>
      <c r="Y278" s="32" t="s">
        <v>179</v>
      </c>
      <c r="Z278" s="32" t="s">
        <v>182</v>
      </c>
      <c r="AA278" s="32" t="s">
        <v>81</v>
      </c>
      <c r="AB278" s="32" t="s">
        <v>75</v>
      </c>
      <c r="AC278" s="32" t="s">
        <v>89</v>
      </c>
      <c r="AD278" s="32" t="s">
        <v>82</v>
      </c>
      <c r="AE278" s="32" t="s">
        <v>183</v>
      </c>
      <c r="AF278" s="32" t="s">
        <v>73</v>
      </c>
      <c r="AG278" s="32" t="s">
        <v>178</v>
      </c>
      <c r="AH278" t="str">
        <f>VLOOKUP($R278,武学奇术!$A:$ZZ,25,FALSE)</f>
        <v>剑</v>
      </c>
      <c r="AI278" s="21">
        <f>VLOOKUP($R278,武学奇术!$A:$ZZ,26,FALSE)</f>
        <v>0.3465</v>
      </c>
      <c r="AJ278" s="22">
        <f>VLOOKUP($R278,武学奇术!$A:$ZZ,27,FALSE)*(1+IF(OR($AH278=$F$4,$AH278=$F$5),$B$22,0))</f>
        <v>0</v>
      </c>
      <c r="AK278" s="21">
        <f>VLOOKUP($R278,武学奇术!$A:$ZZ,28,FALSE)</f>
        <v>0.51975</v>
      </c>
      <c r="AL278" s="22">
        <f>VLOOKUP($R278,武学奇术!$A:$ZZ,29,FALSE)*(1+IF(OR($AH278=$F$4,$AH278=$F$5),$B$22,0))</f>
        <v>0</v>
      </c>
      <c r="AM278" s="21" cm="1">
        <f t="array" ref="AM278">$G$3+IFERROR(VLOOKUP($AH278,$F$4:$G$7,2,FALSE),0)+VLOOKUP($R278,武学奇术!$A:$ZZ,2,FALSE)+SUM(_xlfn.XLOOKUP($S278:$AG278,增益!$A:$A,增益!$B:$B,0))</f>
        <v>1.5291</v>
      </c>
      <c r="AN278" s="21" cm="1">
        <f t="array" ref="AN278">VLOOKUP($R278,武学奇术!$A:$ZZ,5,FALSE)+SUM(_xlfn.XLOOKUP($S278:$AG278,增益!$A:$A,增益!$E:$E,0))</f>
        <v>0</v>
      </c>
      <c r="AO278" cm="1">
        <f t="array" ref="AO278">$D$10*(1+$AN278)+VLOOKUP($R278,武学奇术!$A:$ZZ,3,FALSE)+SUM(_xlfn.XLOOKUP($S278:$AG278,增益!$A:$A,增益!$C:$C,0))-$I$2</f>
        <v>1825.28</v>
      </c>
      <c r="AP278" cm="1">
        <f t="array" ref="AP278">$E$10*(1+$AN278)+VLOOKUP($R278,武学奇术!$A:$ZZ,4,FALSE)+SUM(_xlfn.XLOOKUP($S278:$AG278,增益!$A:$A,增益!$D:$D,0))-$I$2</f>
        <v>7757.36</v>
      </c>
      <c r="AQ278" s="26" cm="1">
        <f t="array" ref="AQ278">IF($F$10-$I$3+VLOOKUP($R278,武学奇术!$A:$ZZ,6,FALSE)+SUM(_xlfn.XLOOKUP(S278:AG278,增益!$A:$A,增益!$F:$F,0))&gt;0,($F$10-$I$3+VLOOKUP($R278,武学奇术!$A:$ZZ,6,FALSE)+SUM(_xlfn.XLOOKUP(S278:AG278,增益!$A:$A,增益!$F:$F,0)))/200,($F$10-$I$3+VLOOKUP($R278,武学奇术!$A:$ZZ,6,FALSE)+SUM(_xlfn.XLOOKUP(S278:AG278,增益!$A:$A,增益!$F:$F,0)))/100)</f>
        <v>0.319</v>
      </c>
      <c r="AR278" s="26" cm="1">
        <f t="array" ref="AR278">$G$10+VLOOKUP($R278,武学奇术!$A:$ZZ,7,FALSE)+SUM(_xlfn.XLOOKUP(S278:AG278,增益!$A:$A,增益!$G:$G,0))</f>
        <v>0</v>
      </c>
      <c r="AS278" s="21" cm="1">
        <f t="array" ref="AS278">VLOOKUP($R278,武学奇术!$A:$ZZ,8,FALSE)+SUM(_xlfn.XLOOKUP(S278:AG278,增益!$A:$A,增益!$H:$H,0))</f>
        <v>0</v>
      </c>
      <c r="AT278">
        <f t="shared" si="45"/>
        <v>680.02</v>
      </c>
      <c r="AU278">
        <f t="shared" si="46"/>
        <v>1288.54</v>
      </c>
      <c r="AV278" s="26" cm="1">
        <f t="array" ref="AV278">IF($F$11-$I$4+VLOOKUP($R278,武学奇术!$A:$ZZ,9,FALSE)+SUM(_xlfn.XLOOKUP(S278:AG278,增益!$A:$A,增益!$I:$I,0))&gt;0,($F$11-$I$4+VLOOKUP($R278,武学奇术!$A:$ZZ,9,FALSE)+SUM(_xlfn.XLOOKUP(S278:AG278,增益!$A:$A,增益!$I:$I,0)))/200,($F$11-$I$4+VLOOKUP($R278,武学奇术!$A:$ZZ,9,FALSE)+SUM(_xlfn.XLOOKUP(S278:AG278,增益!$A:$A,增益!$I:$I,0)))/100)</f>
        <v>0.075</v>
      </c>
      <c r="AW278" s="26" cm="1">
        <f t="array" ref="AW278">$G$11+VLOOKUP($R278,武学奇术!$A:$ZZ,10,FALSE)+SUM(_xlfn.XLOOKUP(S278:AG278,增益!$A:$A,增益!$J:$J,0))</f>
        <v>0.15</v>
      </c>
      <c r="AX278">
        <f t="shared" si="47"/>
        <v>0</v>
      </c>
      <c r="AY278">
        <f t="shared" si="48"/>
        <v>0</v>
      </c>
      <c r="AZ278" s="26" cm="1">
        <f t="array" ref="AZ278">IF($F$12-$I$4+VLOOKUP($R278,武学奇术!$A:$ZZ,11,FALSE)+SUM(_xlfn.XLOOKUP(S278:AG278,增益!$A:$A,增益!$K:$K,0))&gt;0,($F$12-$I$4+VLOOKUP($R278,武学奇术!$A:$ZZ,11,FALSE)+SUM(_xlfn.XLOOKUP(S278:AG278,增益!$A:$A,增益!$K:$K,0)))/200,($F$12-$I$4+VLOOKUP($R278,武学奇术!$A:$ZZ,11,FALSE)+SUM(_xlfn.XLOOKUP(S278:AG278,增益!$A:$A,增益!$K:$K,0)))/100)</f>
        <v>-0.3</v>
      </c>
      <c r="BA278" s="26" cm="1">
        <f t="array" ref="BA278">$G$12+VLOOKUP($R278,武学奇术!$A:$ZZ,12,FALSE)+SUM(_xlfn.XLOOKUP(S278:AG278,增益!$A:$A,增益!$L:$L,0))</f>
        <v>0</v>
      </c>
      <c r="BB278">
        <f t="shared" si="49"/>
        <v>0</v>
      </c>
      <c r="BC278">
        <f t="shared" si="50"/>
        <v>0</v>
      </c>
      <c r="BD278" s="26" cm="1">
        <f t="array" ref="BD278">IF($F$13-$I$4+VLOOKUP($R278,武学奇术!$A:$ZZ,13,FALSE)+SUM(_xlfn.XLOOKUP(S278:AG278,增益!$A:$A,增益!$M:$M,0))&gt;0,($F$13-$I$4+VLOOKUP($R278,武学奇术!$A:$ZZ,13,FALSE)+SUM(_xlfn.XLOOKUP(S278:AG278,增益!$A:$A,增益!$K:$K,0)))/200,($F$13-$I$4+VLOOKUP($R278,武学奇术!$A:$ZZ,13,FALSE)+SUM(_xlfn.XLOOKUP(S278:AG278,增益!$A:$A,增益!$M:$M,0)))/100)</f>
        <v>-0.3</v>
      </c>
      <c r="BE278" s="26" cm="1">
        <f t="array" ref="BE278">$G$13+VLOOKUP($R278,武学奇术!$A:$ZZ,14,FALSE)+SUM(_xlfn.XLOOKUP(S278:AG278,增益!$A:$A,增益!$N:$N,0))</f>
        <v>0</v>
      </c>
      <c r="BF278">
        <f t="shared" si="51"/>
        <v>0</v>
      </c>
      <c r="BG278">
        <f t="shared" si="52"/>
        <v>0</v>
      </c>
      <c r="BH278" s="26" cm="1">
        <f t="array" ref="BH278">IF($F$14-$I$4+VLOOKUP($R278,武学奇术!$A:$ZZ,15,FALSE)+SUM(_xlfn.XLOOKUP(S278:AG278,增益!$A:$A,增益!$O:$O,0))&gt;0,($F$14-$I$4+VLOOKUP($R278,武学奇术!$A:$ZZ,15,FALSE)+SUM(_xlfn.XLOOKUP(S278:AG278,增益!$A:$A,增益!$O:$O,0)))/200,($F$14-$I$4+VLOOKUP($R278,武学奇术!$A:$ZZ,15,FALSE)+SUM(_xlfn.XLOOKUP(S278:AG278,增益!$A:$A,增益!$O:$O,0)))/100)</f>
        <v>-0.3</v>
      </c>
      <c r="BI278" s="26" cm="1">
        <f t="array" ref="BI278">$G$14+VLOOKUP($R278,武学奇术!$A:$ZZ,16,FALSE)+SUM(_xlfn.XLOOKUP(S278:AG278,增益!$A:$A,增益!$P:$P,0))</f>
        <v>0</v>
      </c>
      <c r="BJ278" s="21">
        <f>MIN(IF(VLOOKUP($R278,武学奇术!$A:$ZZ,23,FALSE)=1,100%,$B$8),100%)</f>
        <v>0.8229</v>
      </c>
      <c r="BK278" s="21" cm="1">
        <f t="array" ref="BK278">IF(VLOOKUP($R278,武学奇术!$A:$ZZ,23,FALSE)=1,100%,MIN(80%,$B$9+VLOOKUP($R278,武学奇术!$A:$ZZ,17,FALSE)+SUM(_xlfn.XLOOKUP(S278:AG278,增益!$A:$A,增益!$Q:$Q,0)))+$B$11+SUM(_xlfn.XLOOKUP(S278:AG278,增益!$A:$A,增益!$U:$U,0)))*IF(VLOOKUP($R278,武学奇术!$A:$ZZ,24,FALSE)=1,0,1)</f>
        <v>0.2285</v>
      </c>
      <c r="BL278" s="21" cm="1">
        <f t="array" ref="BL278">1+$B$13+VLOOKUP($R278,武学奇术!$A:$ZZ,18,FALSE)+SUM(_xlfn.XLOOKUP(S278:AG278,增益!$A:$A,增益!$R:$R,0))</f>
        <v>1.5</v>
      </c>
      <c r="BM278" s="21" cm="1">
        <f t="array" ref="BM278">IF(VLOOKUP($R278,武学奇术!$A:$ZZ,24,FALSE)=1,100%,MIN(40%,$B$10+VLOOKUP($R278,武学奇术!$A:$ZZ,19,FALSE)+SUM(_xlfn.XLOOKUP(S278:AG278,增益!$A:$A,增益!$S:$S,0)))+$B$12+SUM(_xlfn.XLOOKUP(S278:AG278,增益!$A:$A,增益!$V:$V,0)))*IF(VLOOKUP($R278,武学奇术!$A:$ZZ,23,FALSE)=1,0,1)</f>
        <v>0.4495</v>
      </c>
      <c r="BN278" s="21" cm="1">
        <f t="array" ref="BN278">1+$B$14+VLOOKUP($R278,武学奇术!$A:$ZZ,20,FALSE)+SUM(_xlfn.XLOOKUP(S278:AG278,增益!$A:$A,增益!$T:$T,0))</f>
        <v>1.782</v>
      </c>
      <c r="BO278" s="21">
        <f t="shared" si="53"/>
        <v>0.18803265</v>
      </c>
      <c r="BP278" s="21">
        <f t="shared" si="54"/>
        <v>0.2649738</v>
      </c>
      <c r="BQ278" s="21">
        <f>IF(VLOOKUP($R278,武学奇术!$A:$ZZ,22,FALSE)=1,0,(1-$BJ278))*(1-$BM278)</f>
        <v>0.09749355</v>
      </c>
      <c r="BR278" s="21" cm="1">
        <f t="array" ref="BR278">SUM(_xlfn.XLOOKUP(S278:AG278,增益!$A:$A,增益!$W:$W,0))+$I$5</f>
        <v>0.16</v>
      </c>
    </row>
    <row r="279" spans="11:70">
      <c r="K279" s="24">
        <f>$L279*VLOOKUP($R279,武学奇术!$A:$ZZ,31,FALSE)</f>
        <v>12014.5771379543</v>
      </c>
      <c r="L279" s="24">
        <f t="shared" si="44"/>
        <v>20024.2952299238</v>
      </c>
      <c r="M279" s="24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BL279*$Q279*(1+IF(VLOOKUP($R279,武学奇术!$A:$ZZ,30,FALSE)="流血",$B$21,0))*(1+$BR279)</f>
        <v>16393.8966131463</v>
      </c>
      <c r="N279" s="24">
        <f>(($AP279*$AI279+$AJ279)*(1+$AQ279)*(1+$AR279)+($AU279*IF($G$1="鸣金",$AK279,$AI279)+IF($G$1="鸣金",$AL279*1.5,0))*(1+$AV279)*(1+$AW279)+($AY279*IF($G$1="裂石",$AK279,$AI279)+IF($G$1="裂石",$AL279*1.5,0))*(1+$AZ279)*(1+$BA279)+($BC279*IF($G$1="牵丝",$AK279,$AI279)+IF($G$1="牵丝",$AL279*1.5,0))*(1+$BD279)*(1+$BE279)+($BG279*IF($G$1="破竹",$AK279,$AI279)+IF($G$1="破竹",$AL279*1.5,0))*(1+$BH279)*(1+$BI279))*(1+$AM279)*$BN279*$Q279*(1+IF(VLOOKUP($R279,武学奇术!$A:$ZZ,30,FALSE)="流血",$B$21,0))*(1+$BR279)</f>
        <v>30179.7884976429</v>
      </c>
      <c r="O279" s="24">
        <f>((($AO279+$AP279)/2*$AI279+$AJ279)*(1+$AQ279)*(1+$AR279)+(($AT279+$AU279)/2*IF($G$1="鸣金",$AK279,$AI279)+IF($G$1="鸣金",$AL279*1.5,0))*(1+$AV279)*(1+$AW279)+(($AX279+$AY279)/2*IF($G$1="裂石",$AK279,$AI279)+IF($G$1="裂石",$AL279*1.5,0))*(1+$AZ279)*(1+$BA279)+(($BB279+$BC279)/2*IF($G$1="牵丝",$AK279,$AI279)+IF($G$1="牵丝",$AL279*1.5,0))*(1+$BD279)*(1+$BE279)+(($BF279+$BG279)/2*IF($G$1="破竹",$AK279,$AI279)+IF($G$1="破竹",$AL279*1.5,0))*(1+$BH279)*(1+$BI279))*(1+$AM279)*$Q279*(1+IF(VLOOKUP($R279,武学奇术!$A:$ZZ,30,FALSE)="流血",$B$21,0))*(1+$BR279)</f>
        <v>10929.2644087642</v>
      </c>
      <c r="P279" s="24">
        <f>((($AO279*$AI279+$AJ279)*(1+$AQ279)*(1+$AR279)+($AT279*IF($G$1="鸣金",$AK279,$AI279)+IF($G$1="鸣金",$AL279*1.5,0))*(1+$AV279)*(1+$AW279)+($AX279*IF($G$1="裂石",$AK279,$AI279)+IF($G$1="裂石",$AL279*1.5,0))*(1+$AZ279)*(1+$BA279)+($BB279*IF($G$1="牵丝",$AK279,$AI279)+IF($G$1="牵丝",$AL279*1.5,0))*(1+$BD279)*(1+$BE279)+($BF279*IF($G$1="破竹",$AK279,$AI279)+IF($G$1="破竹",$AL279*1.5,0))*(1+$BH279)*(1+$BI279))*(1+$AM279))*$Q279*(1+IF(VLOOKUP($R279,武学奇术!$A:$ZZ,30,FALSE)="流血",$B$21,0))*(1+$BR279)</f>
        <v>4922.6205696929</v>
      </c>
      <c r="Q279" s="31">
        <v>1</v>
      </c>
      <c r="R279" s="32" t="s">
        <v>199</v>
      </c>
      <c r="S279" s="32" t="s">
        <v>87</v>
      </c>
      <c r="T279" s="32" t="s">
        <v>96</v>
      </c>
      <c r="U279" s="32" t="s">
        <v>97</v>
      </c>
      <c r="V279" s="32" t="s">
        <v>73</v>
      </c>
      <c r="W279" s="32" t="s">
        <v>111</v>
      </c>
      <c r="X279" s="32" t="s">
        <v>127</v>
      </c>
      <c r="Y279" s="32" t="s">
        <v>179</v>
      </c>
      <c r="Z279" s="32" t="s">
        <v>182</v>
      </c>
      <c r="AA279" s="32" t="s">
        <v>81</v>
      </c>
      <c r="AB279" s="32" t="s">
        <v>75</v>
      </c>
      <c r="AC279" s="32" t="s">
        <v>76</v>
      </c>
      <c r="AD279" s="32" t="s">
        <v>82</v>
      </c>
      <c r="AE279" s="32" t="s">
        <v>183</v>
      </c>
      <c r="AF279" s="32" t="s">
        <v>73</v>
      </c>
      <c r="AG279" s="32" t="s">
        <v>178</v>
      </c>
      <c r="AH279" t="str">
        <f>VLOOKUP($R279,武学奇术!$A:$ZZ,25,FALSE)</f>
        <v>剑</v>
      </c>
      <c r="AI279" s="21">
        <f>VLOOKUP($R279,武学奇术!$A:$ZZ,26,FALSE)</f>
        <v>0.3465</v>
      </c>
      <c r="AJ279" s="22">
        <f>VLOOKUP($R279,武学奇术!$A:$ZZ,27,FALSE)*(1+IF(OR($AH279=$F$4,$AH279=$F$5),$B$22,0))</f>
        <v>0</v>
      </c>
      <c r="AK279" s="21">
        <f>VLOOKUP($R279,武学奇术!$A:$ZZ,28,FALSE)</f>
        <v>0.51975</v>
      </c>
      <c r="AL279" s="22">
        <f>VLOOKUP($R279,武学奇术!$A:$ZZ,29,FALSE)*(1+IF(OR($AH279=$F$4,$AH279=$F$5),$B$22,0))</f>
        <v>0</v>
      </c>
      <c r="AM279" s="21" cm="1">
        <f t="array" ref="AM279">$G$3+IFERROR(VLOOKUP($AH279,$F$4:$G$7,2,FALSE),0)+VLOOKUP($R279,武学奇术!$A:$ZZ,2,FALSE)+SUM(_xlfn.XLOOKUP($S279:$AG279,增益!$A:$A,增益!$B:$B,0))</f>
        <v>1.5291</v>
      </c>
      <c r="AN279" s="21" cm="1">
        <f t="array" ref="AN279">VLOOKUP($R279,武学奇术!$A:$ZZ,5,FALSE)+SUM(_xlfn.XLOOKUP($S279:$AG279,增益!$A:$A,增益!$E:$E,0))</f>
        <v>0</v>
      </c>
      <c r="AO279" cm="1">
        <f t="array" ref="AO279">$D$10*(1+$AN279)+VLOOKUP($R279,武学奇术!$A:$ZZ,3,FALSE)+SUM(_xlfn.XLOOKUP($S279:$AG279,增益!$A:$A,增益!$C:$C,0))-$I$2</f>
        <v>1825.28</v>
      </c>
      <c r="AP279" cm="1">
        <f t="array" ref="AP279">$E$10*(1+$AN279)+VLOOKUP($R279,武学奇术!$A:$ZZ,4,FALSE)+SUM(_xlfn.XLOOKUP($S279:$AG279,增益!$A:$A,增益!$D:$D,0))-$I$2</f>
        <v>7757.36</v>
      </c>
      <c r="AQ279" s="26" cm="1">
        <f t="array" ref="AQ279">IF($F$10-$I$3+VLOOKUP($R279,武学奇术!$A:$ZZ,6,FALSE)+SUM(_xlfn.XLOOKUP(S279:AG279,增益!$A:$A,增益!$F:$F,0))&gt;0,($F$10-$I$3+VLOOKUP($R279,武学奇术!$A:$ZZ,6,FALSE)+SUM(_xlfn.XLOOKUP(S279:AG279,增益!$A:$A,增益!$F:$F,0)))/200,($F$10-$I$3+VLOOKUP($R279,武学奇术!$A:$ZZ,6,FALSE)+SUM(_xlfn.XLOOKUP(S279:AG279,增益!$A:$A,增益!$F:$F,0)))/100)</f>
        <v>0.319</v>
      </c>
      <c r="AR279" s="26" cm="1">
        <f t="array" ref="AR279">$G$10+VLOOKUP($R279,武学奇术!$A:$ZZ,7,FALSE)+SUM(_xlfn.XLOOKUP(S279:AG279,增益!$A:$A,增益!$G:$G,0))</f>
        <v>0</v>
      </c>
      <c r="AS279" s="21" cm="1">
        <f t="array" ref="AS279">VLOOKUP($R279,武学奇术!$A:$ZZ,8,FALSE)+SUM(_xlfn.XLOOKUP(S279:AG279,增益!$A:$A,增益!$H:$H,0))</f>
        <v>0</v>
      </c>
      <c r="AT279">
        <f t="shared" si="45"/>
        <v>680.02</v>
      </c>
      <c r="AU279">
        <f t="shared" si="46"/>
        <v>1288.54</v>
      </c>
      <c r="AV279" s="26" cm="1">
        <f t="array" ref="AV279">IF($F$11-$I$4+VLOOKUP($R279,武学奇术!$A:$ZZ,9,FALSE)+SUM(_xlfn.XLOOKUP(S279:AG279,增益!$A:$A,增益!$I:$I,0))&gt;0,($F$11-$I$4+VLOOKUP($R279,武学奇术!$A:$ZZ,9,FALSE)+SUM(_xlfn.XLOOKUP(S279:AG279,增益!$A:$A,增益!$I:$I,0)))/200,($F$11-$I$4+VLOOKUP($R279,武学奇术!$A:$ZZ,9,FALSE)+SUM(_xlfn.XLOOKUP(S279:AG279,增益!$A:$A,增益!$I:$I,0)))/100)</f>
        <v>0.075</v>
      </c>
      <c r="AW279" s="26" cm="1">
        <f t="array" ref="AW279">$G$11+VLOOKUP($R279,武学奇术!$A:$ZZ,10,FALSE)+SUM(_xlfn.XLOOKUP(S279:AG279,增益!$A:$A,增益!$J:$J,0))</f>
        <v>0.15</v>
      </c>
      <c r="AX279">
        <f t="shared" si="47"/>
        <v>0</v>
      </c>
      <c r="AY279">
        <f t="shared" si="48"/>
        <v>0</v>
      </c>
      <c r="AZ279" s="26" cm="1">
        <f t="array" ref="AZ279">IF($F$12-$I$4+VLOOKUP($R279,武学奇术!$A:$ZZ,11,FALSE)+SUM(_xlfn.XLOOKUP(S279:AG279,增益!$A:$A,增益!$K:$K,0))&gt;0,($F$12-$I$4+VLOOKUP($R279,武学奇术!$A:$ZZ,11,FALSE)+SUM(_xlfn.XLOOKUP(S279:AG279,增益!$A:$A,增益!$K:$K,0)))/200,($F$12-$I$4+VLOOKUP($R279,武学奇术!$A:$ZZ,11,FALSE)+SUM(_xlfn.XLOOKUP(S279:AG279,增益!$A:$A,增益!$K:$K,0)))/100)</f>
        <v>-0.3</v>
      </c>
      <c r="BA279" s="26" cm="1">
        <f t="array" ref="BA279">$G$12+VLOOKUP($R279,武学奇术!$A:$ZZ,12,FALSE)+SUM(_xlfn.XLOOKUP(S279:AG279,增益!$A:$A,增益!$L:$L,0))</f>
        <v>0</v>
      </c>
      <c r="BB279">
        <f t="shared" si="49"/>
        <v>0</v>
      </c>
      <c r="BC279">
        <f t="shared" si="50"/>
        <v>0</v>
      </c>
      <c r="BD279" s="26" cm="1">
        <f t="array" ref="BD279">IF($F$13-$I$4+VLOOKUP($R279,武学奇术!$A:$ZZ,13,FALSE)+SUM(_xlfn.XLOOKUP(S279:AG279,增益!$A:$A,增益!$M:$M,0))&gt;0,($F$13-$I$4+VLOOKUP($R279,武学奇术!$A:$ZZ,13,FALSE)+SUM(_xlfn.XLOOKUP(S279:AG279,增益!$A:$A,增益!$K:$K,0)))/200,($F$13-$I$4+VLOOKUP($R279,武学奇术!$A:$ZZ,13,FALSE)+SUM(_xlfn.XLOOKUP(S279:AG279,增益!$A:$A,增益!$M:$M,0)))/100)</f>
        <v>-0.3</v>
      </c>
      <c r="BE279" s="26" cm="1">
        <f t="array" ref="BE279">$G$13+VLOOKUP($R279,武学奇术!$A:$ZZ,14,FALSE)+SUM(_xlfn.XLOOKUP(S279:AG279,增益!$A:$A,增益!$N:$N,0))</f>
        <v>0</v>
      </c>
      <c r="BF279">
        <f t="shared" si="51"/>
        <v>0</v>
      </c>
      <c r="BG279">
        <f t="shared" si="52"/>
        <v>0</v>
      </c>
      <c r="BH279" s="26" cm="1">
        <f t="array" ref="BH279">IF($F$14-$I$4+VLOOKUP($R279,武学奇术!$A:$ZZ,15,FALSE)+SUM(_xlfn.XLOOKUP(S279:AG279,增益!$A:$A,增益!$O:$O,0))&gt;0,($F$14-$I$4+VLOOKUP($R279,武学奇术!$A:$ZZ,15,FALSE)+SUM(_xlfn.XLOOKUP(S279:AG279,增益!$A:$A,增益!$O:$O,0)))/200,($F$14-$I$4+VLOOKUP($R279,武学奇术!$A:$ZZ,15,FALSE)+SUM(_xlfn.XLOOKUP(S279:AG279,增益!$A:$A,增益!$O:$O,0)))/100)</f>
        <v>-0.3</v>
      </c>
      <c r="BI279" s="26" cm="1">
        <f t="array" ref="BI279">$G$14+VLOOKUP($R279,武学奇术!$A:$ZZ,16,FALSE)+SUM(_xlfn.XLOOKUP(S279:AG279,增益!$A:$A,增益!$P:$P,0))</f>
        <v>0</v>
      </c>
      <c r="BJ279" s="21">
        <f>MIN(IF(VLOOKUP($R279,武学奇术!$A:$ZZ,23,FALSE)=1,100%,$B$8),100%)</f>
        <v>0.8229</v>
      </c>
      <c r="BK279" s="21" cm="1">
        <f t="array" ref="BK279">IF(VLOOKUP($R279,武学奇术!$A:$ZZ,23,FALSE)=1,100%,MIN(80%,$B$9+VLOOKUP($R279,武学奇术!$A:$ZZ,17,FALSE)+SUM(_xlfn.XLOOKUP(S279:AG279,增益!$A:$A,增益!$Q:$Q,0)))+$B$11+SUM(_xlfn.XLOOKUP(S279:AG279,增益!$A:$A,增益!$U:$U,0)))*IF(VLOOKUP($R279,武学奇术!$A:$ZZ,24,FALSE)=1,0,1)</f>
        <v>0.2285</v>
      </c>
      <c r="BL279" s="21" cm="1">
        <f t="array" ref="BL279">1+$B$13+VLOOKUP($R279,武学奇术!$A:$ZZ,18,FALSE)+SUM(_xlfn.XLOOKUP(S279:AG279,增益!$A:$A,增益!$R:$R,0))</f>
        <v>1.5</v>
      </c>
      <c r="BM279" s="21" cm="1">
        <f t="array" ref="BM279">IF(VLOOKUP($R279,武学奇术!$A:$ZZ,24,FALSE)=1,100%,MIN(40%,$B$10+VLOOKUP($R279,武学奇术!$A:$ZZ,19,FALSE)+SUM(_xlfn.XLOOKUP(S279:AG279,增益!$A:$A,增益!$S:$S,0)))+$B$12+SUM(_xlfn.XLOOKUP(S279:AG279,增益!$A:$A,增益!$V:$V,0)))*IF(VLOOKUP($R279,武学奇术!$A:$ZZ,23,FALSE)=1,0,1)</f>
        <v>0.4495</v>
      </c>
      <c r="BN279" s="21" cm="1">
        <f t="array" ref="BN279">1+$B$14+VLOOKUP($R279,武学奇术!$A:$ZZ,20,FALSE)+SUM(_xlfn.XLOOKUP(S279:AG279,增益!$A:$A,增益!$T:$T,0))</f>
        <v>1.782</v>
      </c>
      <c r="BO279" s="21">
        <f t="shared" si="53"/>
        <v>0.18803265</v>
      </c>
      <c r="BP279" s="21">
        <f t="shared" si="54"/>
        <v>0.2649738</v>
      </c>
      <c r="BQ279" s="21">
        <f>IF(VLOOKUP($R279,武学奇术!$A:$ZZ,22,FALSE)=1,0,(1-$BJ279))*(1-$BM279)</f>
        <v>0.09749355</v>
      </c>
      <c r="BR279" s="21" cm="1">
        <f t="array" ref="BR279">SUM(_xlfn.XLOOKUP(S279:AG279,增益!$A:$A,增益!$W:$W,0))+$I$5</f>
        <v>0.16</v>
      </c>
    </row>
    <row r="280" spans="11:70">
      <c r="K280" s="24">
        <f>$L280*VLOOKUP($R280,武学奇术!$A:$ZZ,31,FALSE)</f>
        <v>9611.66171036344</v>
      </c>
      <c r="L280" s="24">
        <f t="shared" si="44"/>
        <v>16019.4361839391</v>
      </c>
      <c r="M280" s="24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BL280*$Q280*(1+IF(VLOOKUP($R280,武学奇术!$A:$ZZ,30,FALSE)="流血",$B$21,0))*(1+$BR280)</f>
        <v>13115.1172905171</v>
      </c>
      <c r="N280" s="24">
        <f>(($AP280*$AI280+$AJ280)*(1+$AQ280)*(1+$AR280)+($AU280*IF($G$1="鸣金",$AK280,$AI280)+IF($G$1="鸣金",$AL280*1.5,0))*(1+$AV280)*(1+$AW280)+($AY280*IF($G$1="裂石",$AK280,$AI280)+IF($G$1="裂石",$AL280*1.5,0))*(1+$AZ280)*(1+$BA280)+($BC280*IF($G$1="牵丝",$AK280,$AI280)+IF($G$1="牵丝",$AL280*1.5,0))*(1+$BD280)*(1+$BE280)+($BG280*IF($G$1="破竹",$AK280,$AI280)+IF($G$1="破竹",$AL280*1.5,0))*(1+$BH280)*(1+$BI280))*(1+$AM280)*$BN280*$Q280*(1+IF(VLOOKUP($R280,武学奇术!$A:$ZZ,30,FALSE)="流血",$B$21,0))*(1+$BR280)</f>
        <v>24143.8307981144</v>
      </c>
      <c r="O280" s="24">
        <f>((($AO280+$AP280)/2*$AI280+$AJ280)*(1+$AQ280)*(1+$AR280)+(($AT280+$AU280)/2*IF($G$1="鸣金",$AK280,$AI280)+IF($G$1="鸣金",$AL280*1.5,0))*(1+$AV280)*(1+$AW280)+(($AX280+$AY280)/2*IF($G$1="裂石",$AK280,$AI280)+IF($G$1="裂石",$AL280*1.5,0))*(1+$AZ280)*(1+$BA280)+(($BB280+$BC280)/2*IF($G$1="牵丝",$AK280,$AI280)+IF($G$1="牵丝",$AL280*1.5,0))*(1+$BD280)*(1+$BE280)+(($BF280+$BG280)/2*IF($G$1="破竹",$AK280,$AI280)+IF($G$1="破竹",$AL280*1.5,0))*(1+$BH280)*(1+$BI280))*(1+$AM280)*$Q280*(1+IF(VLOOKUP($R280,武学奇术!$A:$ZZ,30,FALSE)="流血",$B$21,0))*(1+$BR280)</f>
        <v>8743.41152701138</v>
      </c>
      <c r="P280" s="24">
        <f>((($AO280*$AI280+$AJ280)*(1+$AQ280)*(1+$AR280)+($AT280*IF($G$1="鸣金",$AK280,$AI280)+IF($G$1="鸣金",$AL280*1.5,0))*(1+$AV280)*(1+$AW280)+($AX280*IF($G$1="裂石",$AK280,$AI280)+IF($G$1="裂石",$AL280*1.5,0))*(1+$AZ280)*(1+$BA280)+($BB280*IF($G$1="牵丝",$AK280,$AI280)+IF($G$1="牵丝",$AL280*1.5,0))*(1+$BD280)*(1+$BE280)+($BF280*IF($G$1="破竹",$AK280,$AI280)+IF($G$1="破竹",$AL280*1.5,0))*(1+$BH280)*(1+$BI280))*(1+$AM280))*$Q280*(1+IF(VLOOKUP($R280,武学奇术!$A:$ZZ,30,FALSE)="流血",$B$21,0))*(1+$BR280)</f>
        <v>3938.09645575432</v>
      </c>
      <c r="Q280" s="31">
        <v>1</v>
      </c>
      <c r="R280" s="32" t="s">
        <v>197</v>
      </c>
      <c r="S280" s="32" t="s">
        <v>87</v>
      </c>
      <c r="T280" s="32" t="s">
        <v>96</v>
      </c>
      <c r="U280" s="32" t="s">
        <v>97</v>
      </c>
      <c r="V280" s="32" t="s">
        <v>73</v>
      </c>
      <c r="W280" s="32" t="s">
        <v>111</v>
      </c>
      <c r="X280" s="32" t="s">
        <v>127</v>
      </c>
      <c r="Y280" s="32" t="s">
        <v>179</v>
      </c>
      <c r="Z280" s="32" t="s">
        <v>182</v>
      </c>
      <c r="AA280" s="32" t="s">
        <v>81</v>
      </c>
      <c r="AB280" s="32" t="s">
        <v>75</v>
      </c>
      <c r="AC280" s="32" t="s">
        <v>76</v>
      </c>
      <c r="AD280" s="32" t="s">
        <v>82</v>
      </c>
      <c r="AE280" s="32" t="s">
        <v>183</v>
      </c>
      <c r="AF280" s="32" t="s">
        <v>73</v>
      </c>
      <c r="AG280" s="32" t="s">
        <v>178</v>
      </c>
      <c r="AH280" t="str">
        <f>VLOOKUP($R280,武学奇术!$A:$ZZ,25,FALSE)</f>
        <v>剑</v>
      </c>
      <c r="AI280" s="21">
        <f>VLOOKUP($R280,武学奇术!$A:$ZZ,26,FALSE)</f>
        <v>0.2772</v>
      </c>
      <c r="AJ280" s="22">
        <f>VLOOKUP($R280,武学奇术!$A:$ZZ,27,FALSE)*(1+IF(OR($AH280=$F$4,$AH280=$F$5),$B$22,0))</f>
        <v>0</v>
      </c>
      <c r="AK280" s="21">
        <f>VLOOKUP($R280,武学奇术!$A:$ZZ,28,FALSE)</f>
        <v>0.4158</v>
      </c>
      <c r="AL280" s="22">
        <f>VLOOKUP($R280,武学奇术!$A:$ZZ,29,FALSE)*(1+IF(OR($AH280=$F$4,$AH280=$F$5),$B$22,0))</f>
        <v>0</v>
      </c>
      <c r="AM280" s="21" cm="1">
        <f t="array" ref="AM280">$G$3+IFERROR(VLOOKUP($AH280,$F$4:$G$7,2,FALSE),0)+VLOOKUP($R280,武学奇术!$A:$ZZ,2,FALSE)+SUM(_xlfn.XLOOKUP($S280:$AG280,增益!$A:$A,增益!$B:$B,0))</f>
        <v>1.5291</v>
      </c>
      <c r="AN280" s="21" cm="1">
        <f t="array" ref="AN280">VLOOKUP($R280,武学奇术!$A:$ZZ,5,FALSE)+SUM(_xlfn.XLOOKUP($S280:$AG280,增益!$A:$A,增益!$E:$E,0))</f>
        <v>0</v>
      </c>
      <c r="AO280" cm="1">
        <f t="array" ref="AO280">$D$10*(1+$AN280)+VLOOKUP($R280,武学奇术!$A:$ZZ,3,FALSE)+SUM(_xlfn.XLOOKUP($S280:$AG280,增益!$A:$A,增益!$C:$C,0))-$I$2</f>
        <v>1825.28</v>
      </c>
      <c r="AP280" cm="1">
        <f t="array" ref="AP280">$E$10*(1+$AN280)+VLOOKUP($R280,武学奇术!$A:$ZZ,4,FALSE)+SUM(_xlfn.XLOOKUP($S280:$AG280,增益!$A:$A,增益!$D:$D,0))-$I$2</f>
        <v>7757.36</v>
      </c>
      <c r="AQ280" s="26" cm="1">
        <f t="array" ref="AQ280">IF($F$10-$I$3+VLOOKUP($R280,武学奇术!$A:$ZZ,6,FALSE)+SUM(_xlfn.XLOOKUP(S280:AG280,增益!$A:$A,增益!$F:$F,0))&gt;0,($F$10-$I$3+VLOOKUP($R280,武学奇术!$A:$ZZ,6,FALSE)+SUM(_xlfn.XLOOKUP(S280:AG280,增益!$A:$A,增益!$F:$F,0)))/200,($F$10-$I$3+VLOOKUP($R280,武学奇术!$A:$ZZ,6,FALSE)+SUM(_xlfn.XLOOKUP(S280:AG280,增益!$A:$A,增益!$F:$F,0)))/100)</f>
        <v>0.319</v>
      </c>
      <c r="AR280" s="26" cm="1">
        <f t="array" ref="AR280">$G$10+VLOOKUP($R280,武学奇术!$A:$ZZ,7,FALSE)+SUM(_xlfn.XLOOKUP(S280:AG280,增益!$A:$A,增益!$G:$G,0))</f>
        <v>0</v>
      </c>
      <c r="AS280" s="21" cm="1">
        <f t="array" ref="AS280">VLOOKUP($R280,武学奇术!$A:$ZZ,8,FALSE)+SUM(_xlfn.XLOOKUP(S280:AG280,增益!$A:$A,增益!$H:$H,0))</f>
        <v>0</v>
      </c>
      <c r="AT280">
        <f t="shared" si="45"/>
        <v>680.02</v>
      </c>
      <c r="AU280">
        <f t="shared" si="46"/>
        <v>1288.54</v>
      </c>
      <c r="AV280" s="26" cm="1">
        <f t="array" ref="AV280">IF($F$11-$I$4+VLOOKUP($R280,武学奇术!$A:$ZZ,9,FALSE)+SUM(_xlfn.XLOOKUP(S280:AG280,增益!$A:$A,增益!$I:$I,0))&gt;0,($F$11-$I$4+VLOOKUP($R280,武学奇术!$A:$ZZ,9,FALSE)+SUM(_xlfn.XLOOKUP(S280:AG280,增益!$A:$A,增益!$I:$I,0)))/200,($F$11-$I$4+VLOOKUP($R280,武学奇术!$A:$ZZ,9,FALSE)+SUM(_xlfn.XLOOKUP(S280:AG280,增益!$A:$A,增益!$I:$I,0)))/100)</f>
        <v>0.075</v>
      </c>
      <c r="AW280" s="26" cm="1">
        <f t="array" ref="AW280">$G$11+VLOOKUP($R280,武学奇术!$A:$ZZ,10,FALSE)+SUM(_xlfn.XLOOKUP(S280:AG280,增益!$A:$A,增益!$J:$J,0))</f>
        <v>0.15</v>
      </c>
      <c r="AX280">
        <f t="shared" si="47"/>
        <v>0</v>
      </c>
      <c r="AY280">
        <f t="shared" si="48"/>
        <v>0</v>
      </c>
      <c r="AZ280" s="26" cm="1">
        <f t="array" ref="AZ280">IF($F$12-$I$4+VLOOKUP($R280,武学奇术!$A:$ZZ,11,FALSE)+SUM(_xlfn.XLOOKUP(S280:AG280,增益!$A:$A,增益!$K:$K,0))&gt;0,($F$12-$I$4+VLOOKUP($R280,武学奇术!$A:$ZZ,11,FALSE)+SUM(_xlfn.XLOOKUP(S280:AG280,增益!$A:$A,增益!$K:$K,0)))/200,($F$12-$I$4+VLOOKUP($R280,武学奇术!$A:$ZZ,11,FALSE)+SUM(_xlfn.XLOOKUP(S280:AG280,增益!$A:$A,增益!$K:$K,0)))/100)</f>
        <v>-0.3</v>
      </c>
      <c r="BA280" s="26" cm="1">
        <f t="array" ref="BA280">$G$12+VLOOKUP($R280,武学奇术!$A:$ZZ,12,FALSE)+SUM(_xlfn.XLOOKUP(S280:AG280,增益!$A:$A,增益!$L:$L,0))</f>
        <v>0</v>
      </c>
      <c r="BB280">
        <f t="shared" si="49"/>
        <v>0</v>
      </c>
      <c r="BC280">
        <f t="shared" si="50"/>
        <v>0</v>
      </c>
      <c r="BD280" s="26" cm="1">
        <f t="array" ref="BD280">IF($F$13-$I$4+VLOOKUP($R280,武学奇术!$A:$ZZ,13,FALSE)+SUM(_xlfn.XLOOKUP(S280:AG280,增益!$A:$A,增益!$M:$M,0))&gt;0,($F$13-$I$4+VLOOKUP($R280,武学奇术!$A:$ZZ,13,FALSE)+SUM(_xlfn.XLOOKUP(S280:AG280,增益!$A:$A,增益!$K:$K,0)))/200,($F$13-$I$4+VLOOKUP($R280,武学奇术!$A:$ZZ,13,FALSE)+SUM(_xlfn.XLOOKUP(S280:AG280,增益!$A:$A,增益!$M:$M,0)))/100)</f>
        <v>-0.3</v>
      </c>
      <c r="BE280" s="26" cm="1">
        <f t="array" ref="BE280">$G$13+VLOOKUP($R280,武学奇术!$A:$ZZ,14,FALSE)+SUM(_xlfn.XLOOKUP(S280:AG280,增益!$A:$A,增益!$N:$N,0))</f>
        <v>0</v>
      </c>
      <c r="BF280">
        <f t="shared" si="51"/>
        <v>0</v>
      </c>
      <c r="BG280">
        <f t="shared" si="52"/>
        <v>0</v>
      </c>
      <c r="BH280" s="26" cm="1">
        <f t="array" ref="BH280">IF($F$14-$I$4+VLOOKUP($R280,武学奇术!$A:$ZZ,15,FALSE)+SUM(_xlfn.XLOOKUP(S280:AG280,增益!$A:$A,增益!$O:$O,0))&gt;0,($F$14-$I$4+VLOOKUP($R280,武学奇术!$A:$ZZ,15,FALSE)+SUM(_xlfn.XLOOKUP(S280:AG280,增益!$A:$A,增益!$O:$O,0)))/200,($F$14-$I$4+VLOOKUP($R280,武学奇术!$A:$ZZ,15,FALSE)+SUM(_xlfn.XLOOKUP(S280:AG280,增益!$A:$A,增益!$O:$O,0)))/100)</f>
        <v>-0.3</v>
      </c>
      <c r="BI280" s="26" cm="1">
        <f t="array" ref="BI280">$G$14+VLOOKUP($R280,武学奇术!$A:$ZZ,16,FALSE)+SUM(_xlfn.XLOOKUP(S280:AG280,增益!$A:$A,增益!$P:$P,0))</f>
        <v>0</v>
      </c>
      <c r="BJ280" s="21">
        <f>MIN(IF(VLOOKUP($R280,武学奇术!$A:$ZZ,23,FALSE)=1,100%,$B$8),100%)</f>
        <v>0.8229</v>
      </c>
      <c r="BK280" s="21" cm="1">
        <f t="array" ref="BK280">IF(VLOOKUP($R280,武学奇术!$A:$ZZ,23,FALSE)=1,100%,MIN(80%,$B$9+VLOOKUP($R280,武学奇术!$A:$ZZ,17,FALSE)+SUM(_xlfn.XLOOKUP(S280:AG280,增益!$A:$A,增益!$Q:$Q,0)))+$B$11+SUM(_xlfn.XLOOKUP(S280:AG280,增益!$A:$A,增益!$U:$U,0)))*IF(VLOOKUP($R280,武学奇术!$A:$ZZ,24,FALSE)=1,0,1)</f>
        <v>0.2285</v>
      </c>
      <c r="BL280" s="21" cm="1">
        <f t="array" ref="BL280">1+$B$13+VLOOKUP($R280,武学奇术!$A:$ZZ,18,FALSE)+SUM(_xlfn.XLOOKUP(S280:AG280,增益!$A:$A,增益!$R:$R,0))</f>
        <v>1.5</v>
      </c>
      <c r="BM280" s="21" cm="1">
        <f t="array" ref="BM280">IF(VLOOKUP($R280,武学奇术!$A:$ZZ,24,FALSE)=1,100%,MIN(40%,$B$10+VLOOKUP($R280,武学奇术!$A:$ZZ,19,FALSE)+SUM(_xlfn.XLOOKUP(S280:AG280,增益!$A:$A,增益!$S:$S,0)))+$B$12+SUM(_xlfn.XLOOKUP(S280:AG280,增益!$A:$A,增益!$V:$V,0)))*IF(VLOOKUP($R280,武学奇术!$A:$ZZ,23,FALSE)=1,0,1)</f>
        <v>0.4495</v>
      </c>
      <c r="BN280" s="21" cm="1">
        <f t="array" ref="BN280">1+$B$14+VLOOKUP($R280,武学奇术!$A:$ZZ,20,FALSE)+SUM(_xlfn.XLOOKUP(S280:AG280,增益!$A:$A,增益!$T:$T,0))</f>
        <v>1.782</v>
      </c>
      <c r="BO280" s="21">
        <f t="shared" si="53"/>
        <v>0.18803265</v>
      </c>
      <c r="BP280" s="21">
        <f t="shared" si="54"/>
        <v>0.2649738</v>
      </c>
      <c r="BQ280" s="21">
        <f>IF(VLOOKUP($R280,武学奇术!$A:$ZZ,22,FALSE)=1,0,(1-$BJ280))*(1-$BM280)</f>
        <v>0.09749355</v>
      </c>
      <c r="BR280" s="21" cm="1">
        <f t="array" ref="BR280">SUM(_xlfn.XLOOKUP(S280:AG280,增益!$A:$A,增益!$W:$W,0))+$I$5</f>
        <v>0.16</v>
      </c>
    </row>
    <row r="281" spans="11:70">
      <c r="K281" s="24">
        <f>$L281*VLOOKUP($R281,武学奇术!$A:$ZZ,31,FALSE)</f>
        <v>5983.49527284938</v>
      </c>
      <c r="L281" s="24">
        <f t="shared" si="44"/>
        <v>9972.49212141563</v>
      </c>
      <c r="M281" s="24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BL281*$Q281*(1+IF(VLOOKUP($R281,武学奇术!$A:$ZZ,30,FALSE)="流血",$B$21,0))*(1+$BR281)</f>
        <v>8155.79839429514</v>
      </c>
      <c r="N281" s="24">
        <f>(($AP281*$AI281+$AJ281)*(1+$AQ281)*(1+$AR281)+($AU281*IF($G$1="鸣金",$AK281,$AI281)+IF($G$1="鸣金",$AL281*1.5,0))*(1+$AV281)*(1+$AW281)+($AY281*IF($G$1="裂石",$AK281,$AI281)+IF($G$1="裂石",$AL281*1.5,0))*(1+$AZ281)*(1+$BA281)+($BC281*IF($G$1="牵丝",$AK281,$AI281)+IF($G$1="牵丝",$AL281*1.5,0))*(1+$BD281)*(1+$BE281)+($BG281*IF($G$1="破竹",$AK281,$AI281)+IF($G$1="破竹",$AL281*1.5,0))*(1+$BH281)*(1+$BI281))*(1+$AM281)*$BN281*$Q281*(1+IF(VLOOKUP($R281,武学奇术!$A:$ZZ,30,FALSE)="流血",$B$21,0))*(1+$BR281)</f>
        <v>15041.0081530352</v>
      </c>
      <c r="O281" s="24">
        <f>((($AO281+$AP281)/2*$AI281+$AJ281)*(1+$AQ281)*(1+$AR281)+(($AT281+$AU281)/2*IF($G$1="鸣金",$AK281,$AI281)+IF($G$1="鸣金",$AL281*1.5,0))*(1+$AV281)*(1+$AW281)+(($AX281+$AY281)/2*IF($G$1="裂石",$AK281,$AI281)+IF($G$1="裂石",$AL281*1.5,0))*(1+$AZ281)*(1+$BA281)+(($BB281+$BC281)/2*IF($G$1="牵丝",$AK281,$AI281)+IF($G$1="牵丝",$AL281*1.5,0))*(1+$BD281)*(1+$BE281)+(($BF281+$BG281)/2*IF($G$1="破竹",$AK281,$AI281)+IF($G$1="破竹",$AL281*1.5,0))*(1+$BH281)*(1+$BI281))*(1+$AM281)*$Q281*(1+IF(VLOOKUP($R281,武学奇术!$A:$ZZ,30,FALSE)="流血",$B$21,0))*(1+$BR281)</f>
        <v>5437.19892953009</v>
      </c>
      <c r="P281" s="24">
        <f>((($AO281*$AI281+$AJ281)*(1+$AQ281)*(1+$AR281)+($AT281*IF($G$1="鸣金",$AK281,$AI281)+IF($G$1="鸣金",$AL281*1.5,0))*(1+$AV281)*(1+$AW281)+($AX281*IF($G$1="裂石",$AK281,$AI281)+IF($G$1="裂石",$AL281*1.5,0))*(1+$AZ281)*(1+$BA281)+($BB281*IF($G$1="牵丝",$AK281,$AI281)+IF($G$1="牵丝",$AL281*1.5,0))*(1+$BD281)*(1+$BE281)+($BF281*IF($G$1="破竹",$AK281,$AI281)+IF($G$1="破竹",$AL281*1.5,0))*(1+$BH281)*(1+$BI281))*(1+$AM281))*$Q281*(1+IF(VLOOKUP($R281,武学奇术!$A:$ZZ,30,FALSE)="流血",$B$21,0))*(1+$BR281)</f>
        <v>2433.87700999443</v>
      </c>
      <c r="Q281" s="31">
        <v>1</v>
      </c>
      <c r="R281" s="32" t="s">
        <v>198</v>
      </c>
      <c r="S281" s="32" t="s">
        <v>87</v>
      </c>
      <c r="T281" s="32" t="s">
        <v>96</v>
      </c>
      <c r="U281" s="32" t="s">
        <v>97</v>
      </c>
      <c r="V281" s="32" t="s">
        <v>73</v>
      </c>
      <c r="W281" s="32" t="s">
        <v>73</v>
      </c>
      <c r="X281" s="32" t="s">
        <v>127</v>
      </c>
      <c r="Y281" s="32" t="s">
        <v>179</v>
      </c>
      <c r="Z281" s="32" t="s">
        <v>182</v>
      </c>
      <c r="AA281" s="32" t="s">
        <v>81</v>
      </c>
      <c r="AB281" s="32" t="s">
        <v>75</v>
      </c>
      <c r="AC281" s="32" t="s">
        <v>76</v>
      </c>
      <c r="AD281" s="32" t="s">
        <v>82</v>
      </c>
      <c r="AE281" s="32" t="s">
        <v>183</v>
      </c>
      <c r="AF281" s="32" t="s">
        <v>73</v>
      </c>
      <c r="AG281" s="32" t="s">
        <v>178</v>
      </c>
      <c r="AH281" t="str">
        <f>VLOOKUP($R281,武学奇术!$A:$ZZ,25,FALSE)</f>
        <v>剑</v>
      </c>
      <c r="AI281" s="21">
        <f>VLOOKUP($R281,武学奇术!$A:$ZZ,26,FALSE)</f>
        <v>0.17325</v>
      </c>
      <c r="AJ281" s="22">
        <f>VLOOKUP($R281,武学奇术!$A:$ZZ,27,FALSE)*(1+IF(OR($AH281=$F$4,$AH281=$F$5),$B$22,0))</f>
        <v>0</v>
      </c>
      <c r="AK281" s="21">
        <f>VLOOKUP($R281,武学奇术!$A:$ZZ,28,FALSE)</f>
        <v>0.259875</v>
      </c>
      <c r="AL281" s="22">
        <f>VLOOKUP($R281,武学奇术!$A:$ZZ,29,FALSE)*(1+IF(OR($AH281=$F$4,$AH281=$F$5),$B$22,0))</f>
        <v>0</v>
      </c>
      <c r="AM281" s="21" cm="1">
        <f t="array" ref="AM281">$G$3+IFERROR(VLOOKUP($AH281,$F$4:$G$7,2,FALSE),0)+VLOOKUP($R281,武学奇术!$A:$ZZ,2,FALSE)+SUM(_xlfn.XLOOKUP($S281:$AG281,增益!$A:$A,增益!$B:$B,0))</f>
        <v>1.5291</v>
      </c>
      <c r="AN281" s="21" cm="1">
        <f t="array" ref="AN281">VLOOKUP($R281,武学奇术!$A:$ZZ,5,FALSE)+SUM(_xlfn.XLOOKUP($S281:$AG281,增益!$A:$A,增益!$E:$E,0))</f>
        <v>0</v>
      </c>
      <c r="AO281" cm="1">
        <f t="array" ref="AO281">$D$10*(1+$AN281)+VLOOKUP($R281,武学奇术!$A:$ZZ,3,FALSE)+SUM(_xlfn.XLOOKUP($S281:$AG281,增益!$A:$A,增益!$C:$C,0))-$I$2</f>
        <v>1794.28</v>
      </c>
      <c r="AP281" cm="1">
        <f t="array" ref="AP281">$E$10*(1+$AN281)+VLOOKUP($R281,武学奇术!$A:$ZZ,4,FALSE)+SUM(_xlfn.XLOOKUP($S281:$AG281,增益!$A:$A,增益!$D:$D,0))-$I$2</f>
        <v>7726.36</v>
      </c>
      <c r="AQ281" s="26" cm="1">
        <f t="array" ref="AQ281">IF($F$10-$I$3+VLOOKUP($R281,武学奇术!$A:$ZZ,6,FALSE)+SUM(_xlfn.XLOOKUP(S281:AG281,增益!$A:$A,增益!$F:$F,0))&gt;0,($F$10-$I$3+VLOOKUP($R281,武学奇术!$A:$ZZ,6,FALSE)+SUM(_xlfn.XLOOKUP(S281:AG281,增益!$A:$A,增益!$F:$F,0)))/200,($F$10-$I$3+VLOOKUP($R281,武学奇术!$A:$ZZ,6,FALSE)+SUM(_xlfn.XLOOKUP(S281:AG281,增益!$A:$A,增益!$F:$F,0)))/100)</f>
        <v>0.319</v>
      </c>
      <c r="AR281" s="26" cm="1">
        <f t="array" ref="AR281">$G$10+VLOOKUP($R281,武学奇术!$A:$ZZ,7,FALSE)+SUM(_xlfn.XLOOKUP(S281:AG281,增益!$A:$A,增益!$G:$G,0))</f>
        <v>0</v>
      </c>
      <c r="AS281" s="21" cm="1">
        <f t="array" ref="AS281">VLOOKUP($R281,武学奇术!$A:$ZZ,8,FALSE)+SUM(_xlfn.XLOOKUP(S281:AG281,增益!$A:$A,增益!$H:$H,0))</f>
        <v>0</v>
      </c>
      <c r="AT281">
        <f t="shared" si="45"/>
        <v>680.02</v>
      </c>
      <c r="AU281">
        <f t="shared" si="46"/>
        <v>1288.54</v>
      </c>
      <c r="AV281" s="26" cm="1">
        <f t="array" ref="AV281">IF($F$11-$I$4+VLOOKUP($R281,武学奇术!$A:$ZZ,9,FALSE)+SUM(_xlfn.XLOOKUP(S281:AG281,增益!$A:$A,增益!$I:$I,0))&gt;0,($F$11-$I$4+VLOOKUP($R281,武学奇术!$A:$ZZ,9,FALSE)+SUM(_xlfn.XLOOKUP(S281:AG281,增益!$A:$A,增益!$I:$I,0)))/200,($F$11-$I$4+VLOOKUP($R281,武学奇术!$A:$ZZ,9,FALSE)+SUM(_xlfn.XLOOKUP(S281:AG281,增益!$A:$A,增益!$I:$I,0)))/100)</f>
        <v>0.075</v>
      </c>
      <c r="AW281" s="26" cm="1">
        <f t="array" ref="AW281">$G$11+VLOOKUP($R281,武学奇术!$A:$ZZ,10,FALSE)+SUM(_xlfn.XLOOKUP(S281:AG281,增益!$A:$A,增益!$J:$J,0))</f>
        <v>0.15</v>
      </c>
      <c r="AX281">
        <f t="shared" si="47"/>
        <v>0</v>
      </c>
      <c r="AY281">
        <f t="shared" si="48"/>
        <v>0</v>
      </c>
      <c r="AZ281" s="26" cm="1">
        <f t="array" ref="AZ281">IF($F$12-$I$4+VLOOKUP($R281,武学奇术!$A:$ZZ,11,FALSE)+SUM(_xlfn.XLOOKUP(S281:AG281,增益!$A:$A,增益!$K:$K,0))&gt;0,($F$12-$I$4+VLOOKUP($R281,武学奇术!$A:$ZZ,11,FALSE)+SUM(_xlfn.XLOOKUP(S281:AG281,增益!$A:$A,增益!$K:$K,0)))/200,($F$12-$I$4+VLOOKUP($R281,武学奇术!$A:$ZZ,11,FALSE)+SUM(_xlfn.XLOOKUP(S281:AG281,增益!$A:$A,增益!$K:$K,0)))/100)</f>
        <v>-0.3</v>
      </c>
      <c r="BA281" s="26" cm="1">
        <f t="array" ref="BA281">$G$12+VLOOKUP($R281,武学奇术!$A:$ZZ,12,FALSE)+SUM(_xlfn.XLOOKUP(S281:AG281,增益!$A:$A,增益!$L:$L,0))</f>
        <v>0</v>
      </c>
      <c r="BB281">
        <f t="shared" si="49"/>
        <v>0</v>
      </c>
      <c r="BC281">
        <f t="shared" si="50"/>
        <v>0</v>
      </c>
      <c r="BD281" s="26" cm="1">
        <f t="array" ref="BD281">IF($F$13-$I$4+VLOOKUP($R281,武学奇术!$A:$ZZ,13,FALSE)+SUM(_xlfn.XLOOKUP(S281:AG281,增益!$A:$A,增益!$M:$M,0))&gt;0,($F$13-$I$4+VLOOKUP($R281,武学奇术!$A:$ZZ,13,FALSE)+SUM(_xlfn.XLOOKUP(S281:AG281,增益!$A:$A,增益!$K:$K,0)))/200,($F$13-$I$4+VLOOKUP($R281,武学奇术!$A:$ZZ,13,FALSE)+SUM(_xlfn.XLOOKUP(S281:AG281,增益!$A:$A,增益!$M:$M,0)))/100)</f>
        <v>-0.3</v>
      </c>
      <c r="BE281" s="26" cm="1">
        <f t="array" ref="BE281">$G$13+VLOOKUP($R281,武学奇术!$A:$ZZ,14,FALSE)+SUM(_xlfn.XLOOKUP(S281:AG281,增益!$A:$A,增益!$N:$N,0))</f>
        <v>0</v>
      </c>
      <c r="BF281">
        <f t="shared" si="51"/>
        <v>0</v>
      </c>
      <c r="BG281">
        <f t="shared" si="52"/>
        <v>0</v>
      </c>
      <c r="BH281" s="26" cm="1">
        <f t="array" ref="BH281">IF($F$14-$I$4+VLOOKUP($R281,武学奇术!$A:$ZZ,15,FALSE)+SUM(_xlfn.XLOOKUP(S281:AG281,增益!$A:$A,增益!$O:$O,0))&gt;0,($F$14-$I$4+VLOOKUP($R281,武学奇术!$A:$ZZ,15,FALSE)+SUM(_xlfn.XLOOKUP(S281:AG281,增益!$A:$A,增益!$O:$O,0)))/200,($F$14-$I$4+VLOOKUP($R281,武学奇术!$A:$ZZ,15,FALSE)+SUM(_xlfn.XLOOKUP(S281:AG281,增益!$A:$A,增益!$O:$O,0)))/100)</f>
        <v>-0.3</v>
      </c>
      <c r="BI281" s="26" cm="1">
        <f t="array" ref="BI281">$G$14+VLOOKUP($R281,武学奇术!$A:$ZZ,16,FALSE)+SUM(_xlfn.XLOOKUP(S281:AG281,增益!$A:$A,增益!$P:$P,0))</f>
        <v>0</v>
      </c>
      <c r="BJ281" s="21">
        <f>MIN(IF(VLOOKUP($R281,武学奇术!$A:$ZZ,23,FALSE)=1,100%,$B$8),100%)</f>
        <v>0.8229</v>
      </c>
      <c r="BK281" s="21" cm="1">
        <f t="array" ref="BK281">IF(VLOOKUP($R281,武学奇术!$A:$ZZ,23,FALSE)=1,100%,MIN(80%,$B$9+VLOOKUP($R281,武学奇术!$A:$ZZ,17,FALSE)+SUM(_xlfn.XLOOKUP(S281:AG281,增益!$A:$A,增益!$Q:$Q,0)))+$B$11+SUM(_xlfn.XLOOKUP(S281:AG281,增益!$A:$A,增益!$U:$U,0)))*IF(VLOOKUP($R281,武学奇术!$A:$ZZ,24,FALSE)=1,0,1)</f>
        <v>0.2285</v>
      </c>
      <c r="BL281" s="21" cm="1">
        <f t="array" ref="BL281">1+$B$13+VLOOKUP($R281,武学奇术!$A:$ZZ,18,FALSE)+SUM(_xlfn.XLOOKUP(S281:AG281,增益!$A:$A,增益!$R:$R,0))</f>
        <v>1.5</v>
      </c>
      <c r="BM281" s="21" cm="1">
        <f t="array" ref="BM281">IF(VLOOKUP($R281,武学奇术!$A:$ZZ,24,FALSE)=1,100%,MIN(40%,$B$10+VLOOKUP($R281,武学奇术!$A:$ZZ,19,FALSE)+SUM(_xlfn.XLOOKUP(S281:AG281,增益!$A:$A,增益!$S:$S,0)))+$B$12+SUM(_xlfn.XLOOKUP(S281:AG281,增益!$A:$A,增益!$V:$V,0)))*IF(VLOOKUP($R281,武学奇术!$A:$ZZ,23,FALSE)=1,0,1)</f>
        <v>0.4495</v>
      </c>
      <c r="BN281" s="21" cm="1">
        <f t="array" ref="BN281">1+$B$14+VLOOKUP($R281,武学奇术!$A:$ZZ,20,FALSE)+SUM(_xlfn.XLOOKUP(S281:AG281,增益!$A:$A,增益!$T:$T,0))</f>
        <v>1.782</v>
      </c>
      <c r="BO281" s="21">
        <f t="shared" si="53"/>
        <v>0.18803265</v>
      </c>
      <c r="BP281" s="21">
        <f t="shared" si="54"/>
        <v>0.2649738</v>
      </c>
      <c r="BQ281" s="21">
        <f>IF(VLOOKUP($R281,武学奇术!$A:$ZZ,22,FALSE)=1,0,(1-$BJ281))*(1-$BM281)</f>
        <v>0.09749355</v>
      </c>
      <c r="BR281" s="21" cm="1">
        <f t="array" ref="BR281">SUM(_xlfn.XLOOKUP(S281:AG281,增益!$A:$A,增益!$W:$W,0))+$I$5</f>
        <v>0.16</v>
      </c>
    </row>
    <row r="282" spans="11:70">
      <c r="K282" s="24">
        <f>$L282*VLOOKUP($R282,武学奇术!$A:$ZZ,31,FALSE)</f>
        <v>5983.49527284938</v>
      </c>
      <c r="L282" s="24">
        <f t="shared" si="44"/>
        <v>9972.49212141563</v>
      </c>
      <c r="M282" s="24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BL282*$Q282*(1+IF(VLOOKUP($R282,武学奇术!$A:$ZZ,30,FALSE)="流血",$B$21,0))*(1+$BR282)</f>
        <v>8155.79839429514</v>
      </c>
      <c r="N282" s="24">
        <f>(($AP282*$AI282+$AJ282)*(1+$AQ282)*(1+$AR282)+($AU282*IF($G$1="鸣金",$AK282,$AI282)+IF($G$1="鸣金",$AL282*1.5,0))*(1+$AV282)*(1+$AW282)+($AY282*IF($G$1="裂石",$AK282,$AI282)+IF($G$1="裂石",$AL282*1.5,0))*(1+$AZ282)*(1+$BA282)+($BC282*IF($G$1="牵丝",$AK282,$AI282)+IF($G$1="牵丝",$AL282*1.5,0))*(1+$BD282)*(1+$BE282)+($BG282*IF($G$1="破竹",$AK282,$AI282)+IF($G$1="破竹",$AL282*1.5,0))*(1+$BH282)*(1+$BI282))*(1+$AM282)*$BN282*$Q282*(1+IF(VLOOKUP($R282,武学奇术!$A:$ZZ,30,FALSE)="流血",$B$21,0))*(1+$BR282)</f>
        <v>15041.0081530352</v>
      </c>
      <c r="O282" s="24">
        <f>((($AO282+$AP282)/2*$AI282+$AJ282)*(1+$AQ282)*(1+$AR282)+(($AT282+$AU282)/2*IF($G$1="鸣金",$AK282,$AI282)+IF($G$1="鸣金",$AL282*1.5,0))*(1+$AV282)*(1+$AW282)+(($AX282+$AY282)/2*IF($G$1="裂石",$AK282,$AI282)+IF($G$1="裂石",$AL282*1.5,0))*(1+$AZ282)*(1+$BA282)+(($BB282+$BC282)/2*IF($G$1="牵丝",$AK282,$AI282)+IF($G$1="牵丝",$AL282*1.5,0))*(1+$BD282)*(1+$BE282)+(($BF282+$BG282)/2*IF($G$1="破竹",$AK282,$AI282)+IF($G$1="破竹",$AL282*1.5,0))*(1+$BH282)*(1+$BI282))*(1+$AM282)*$Q282*(1+IF(VLOOKUP($R282,武学奇术!$A:$ZZ,30,FALSE)="流血",$B$21,0))*(1+$BR282)</f>
        <v>5437.19892953009</v>
      </c>
      <c r="P282" s="24">
        <f>((($AO282*$AI282+$AJ282)*(1+$AQ282)*(1+$AR282)+($AT282*IF($G$1="鸣金",$AK282,$AI282)+IF($G$1="鸣金",$AL282*1.5,0))*(1+$AV282)*(1+$AW282)+($AX282*IF($G$1="裂石",$AK282,$AI282)+IF($G$1="裂石",$AL282*1.5,0))*(1+$AZ282)*(1+$BA282)+($BB282*IF($G$1="牵丝",$AK282,$AI282)+IF($G$1="牵丝",$AL282*1.5,0))*(1+$BD282)*(1+$BE282)+($BF282*IF($G$1="破竹",$AK282,$AI282)+IF($G$1="破竹",$AL282*1.5,0))*(1+$BH282)*(1+$BI282))*(1+$AM282))*$Q282*(1+IF(VLOOKUP($R282,武学奇术!$A:$ZZ,30,FALSE)="流血",$B$21,0))*(1+$BR282)</f>
        <v>2433.87700999443</v>
      </c>
      <c r="Q282" s="31">
        <v>1</v>
      </c>
      <c r="R282" s="32" t="s">
        <v>198</v>
      </c>
      <c r="S282" s="32" t="s">
        <v>87</v>
      </c>
      <c r="T282" s="32" t="s">
        <v>96</v>
      </c>
      <c r="U282" s="32" t="s">
        <v>97</v>
      </c>
      <c r="V282" s="32" t="s">
        <v>73</v>
      </c>
      <c r="W282" s="32" t="s">
        <v>73</v>
      </c>
      <c r="X282" s="32" t="s">
        <v>127</v>
      </c>
      <c r="Y282" s="32" t="s">
        <v>179</v>
      </c>
      <c r="Z282" s="32" t="s">
        <v>182</v>
      </c>
      <c r="AA282" s="32" t="s">
        <v>81</v>
      </c>
      <c r="AB282" s="32" t="s">
        <v>75</v>
      </c>
      <c r="AC282" s="32" t="s">
        <v>89</v>
      </c>
      <c r="AD282" s="32" t="s">
        <v>82</v>
      </c>
      <c r="AE282" s="32" t="s">
        <v>183</v>
      </c>
      <c r="AF282" s="32" t="s">
        <v>73</v>
      </c>
      <c r="AG282" s="32" t="s">
        <v>178</v>
      </c>
      <c r="AH282" t="str">
        <f>VLOOKUP($R282,武学奇术!$A:$ZZ,25,FALSE)</f>
        <v>剑</v>
      </c>
      <c r="AI282" s="21">
        <f>VLOOKUP($R282,武学奇术!$A:$ZZ,26,FALSE)</f>
        <v>0.17325</v>
      </c>
      <c r="AJ282" s="22">
        <f>VLOOKUP($R282,武学奇术!$A:$ZZ,27,FALSE)*(1+IF(OR($AH282=$F$4,$AH282=$F$5),$B$22,0))</f>
        <v>0</v>
      </c>
      <c r="AK282" s="21">
        <f>VLOOKUP($R282,武学奇术!$A:$ZZ,28,FALSE)</f>
        <v>0.259875</v>
      </c>
      <c r="AL282" s="22">
        <f>VLOOKUP($R282,武学奇术!$A:$ZZ,29,FALSE)*(1+IF(OR($AH282=$F$4,$AH282=$F$5),$B$22,0))</f>
        <v>0</v>
      </c>
      <c r="AM282" s="21" cm="1">
        <f t="array" ref="AM282">$G$3+IFERROR(VLOOKUP($AH282,$F$4:$G$7,2,FALSE),0)+VLOOKUP($R282,武学奇术!$A:$ZZ,2,FALSE)+SUM(_xlfn.XLOOKUP($S282:$AG282,增益!$A:$A,增益!$B:$B,0))</f>
        <v>1.5291</v>
      </c>
      <c r="AN282" s="21" cm="1">
        <f t="array" ref="AN282">VLOOKUP($R282,武学奇术!$A:$ZZ,5,FALSE)+SUM(_xlfn.XLOOKUP($S282:$AG282,增益!$A:$A,增益!$E:$E,0))</f>
        <v>0</v>
      </c>
      <c r="AO282" cm="1">
        <f t="array" ref="AO282">$D$10*(1+$AN282)+VLOOKUP($R282,武学奇术!$A:$ZZ,3,FALSE)+SUM(_xlfn.XLOOKUP($S282:$AG282,增益!$A:$A,增益!$C:$C,0))-$I$2</f>
        <v>1794.28</v>
      </c>
      <c r="AP282" cm="1">
        <f t="array" ref="AP282">$E$10*(1+$AN282)+VLOOKUP($R282,武学奇术!$A:$ZZ,4,FALSE)+SUM(_xlfn.XLOOKUP($S282:$AG282,增益!$A:$A,增益!$D:$D,0))-$I$2</f>
        <v>7726.36</v>
      </c>
      <c r="AQ282" s="26" cm="1">
        <f t="array" ref="AQ282">IF($F$10-$I$3+VLOOKUP($R282,武学奇术!$A:$ZZ,6,FALSE)+SUM(_xlfn.XLOOKUP(S282:AG282,增益!$A:$A,增益!$F:$F,0))&gt;0,($F$10-$I$3+VLOOKUP($R282,武学奇术!$A:$ZZ,6,FALSE)+SUM(_xlfn.XLOOKUP(S282:AG282,增益!$A:$A,增益!$F:$F,0)))/200,($F$10-$I$3+VLOOKUP($R282,武学奇术!$A:$ZZ,6,FALSE)+SUM(_xlfn.XLOOKUP(S282:AG282,增益!$A:$A,增益!$F:$F,0)))/100)</f>
        <v>0.319</v>
      </c>
      <c r="AR282" s="26" cm="1">
        <f t="array" ref="AR282">$G$10+VLOOKUP($R282,武学奇术!$A:$ZZ,7,FALSE)+SUM(_xlfn.XLOOKUP(S282:AG282,增益!$A:$A,增益!$G:$G,0))</f>
        <v>0</v>
      </c>
      <c r="AS282" s="21" cm="1">
        <f t="array" ref="AS282">VLOOKUP($R282,武学奇术!$A:$ZZ,8,FALSE)+SUM(_xlfn.XLOOKUP(S282:AG282,增益!$A:$A,增益!$H:$H,0))</f>
        <v>0</v>
      </c>
      <c r="AT282">
        <f t="shared" si="45"/>
        <v>680.02</v>
      </c>
      <c r="AU282">
        <f t="shared" si="46"/>
        <v>1288.54</v>
      </c>
      <c r="AV282" s="26" cm="1">
        <f t="array" ref="AV282">IF($F$11-$I$4+VLOOKUP($R282,武学奇术!$A:$ZZ,9,FALSE)+SUM(_xlfn.XLOOKUP(S282:AG282,增益!$A:$A,增益!$I:$I,0))&gt;0,($F$11-$I$4+VLOOKUP($R282,武学奇术!$A:$ZZ,9,FALSE)+SUM(_xlfn.XLOOKUP(S282:AG282,增益!$A:$A,增益!$I:$I,0)))/200,($F$11-$I$4+VLOOKUP($R282,武学奇术!$A:$ZZ,9,FALSE)+SUM(_xlfn.XLOOKUP(S282:AG282,增益!$A:$A,增益!$I:$I,0)))/100)</f>
        <v>0.075</v>
      </c>
      <c r="AW282" s="26" cm="1">
        <f t="array" ref="AW282">$G$11+VLOOKUP($R282,武学奇术!$A:$ZZ,10,FALSE)+SUM(_xlfn.XLOOKUP(S282:AG282,增益!$A:$A,增益!$J:$J,0))</f>
        <v>0.15</v>
      </c>
      <c r="AX282">
        <f t="shared" si="47"/>
        <v>0</v>
      </c>
      <c r="AY282">
        <f t="shared" si="48"/>
        <v>0</v>
      </c>
      <c r="AZ282" s="26" cm="1">
        <f t="array" ref="AZ282">IF($F$12-$I$4+VLOOKUP($R282,武学奇术!$A:$ZZ,11,FALSE)+SUM(_xlfn.XLOOKUP(S282:AG282,增益!$A:$A,增益!$K:$K,0))&gt;0,($F$12-$I$4+VLOOKUP($R282,武学奇术!$A:$ZZ,11,FALSE)+SUM(_xlfn.XLOOKUP(S282:AG282,增益!$A:$A,增益!$K:$K,0)))/200,($F$12-$I$4+VLOOKUP($R282,武学奇术!$A:$ZZ,11,FALSE)+SUM(_xlfn.XLOOKUP(S282:AG282,增益!$A:$A,增益!$K:$K,0)))/100)</f>
        <v>-0.3</v>
      </c>
      <c r="BA282" s="26" cm="1">
        <f t="array" ref="BA282">$G$12+VLOOKUP($R282,武学奇术!$A:$ZZ,12,FALSE)+SUM(_xlfn.XLOOKUP(S282:AG282,增益!$A:$A,增益!$L:$L,0))</f>
        <v>0</v>
      </c>
      <c r="BB282">
        <f t="shared" si="49"/>
        <v>0</v>
      </c>
      <c r="BC282">
        <f t="shared" si="50"/>
        <v>0</v>
      </c>
      <c r="BD282" s="26" cm="1">
        <f t="array" ref="BD282">IF($F$13-$I$4+VLOOKUP($R282,武学奇术!$A:$ZZ,13,FALSE)+SUM(_xlfn.XLOOKUP(S282:AG282,增益!$A:$A,增益!$M:$M,0))&gt;0,($F$13-$I$4+VLOOKUP($R282,武学奇术!$A:$ZZ,13,FALSE)+SUM(_xlfn.XLOOKUP(S282:AG282,增益!$A:$A,增益!$K:$K,0)))/200,($F$13-$I$4+VLOOKUP($R282,武学奇术!$A:$ZZ,13,FALSE)+SUM(_xlfn.XLOOKUP(S282:AG282,增益!$A:$A,增益!$M:$M,0)))/100)</f>
        <v>-0.3</v>
      </c>
      <c r="BE282" s="26" cm="1">
        <f t="array" ref="BE282">$G$13+VLOOKUP($R282,武学奇术!$A:$ZZ,14,FALSE)+SUM(_xlfn.XLOOKUP(S282:AG282,增益!$A:$A,增益!$N:$N,0))</f>
        <v>0</v>
      </c>
      <c r="BF282">
        <f t="shared" si="51"/>
        <v>0</v>
      </c>
      <c r="BG282">
        <f t="shared" si="52"/>
        <v>0</v>
      </c>
      <c r="BH282" s="26" cm="1">
        <f t="array" ref="BH282">IF($F$14-$I$4+VLOOKUP($R282,武学奇术!$A:$ZZ,15,FALSE)+SUM(_xlfn.XLOOKUP(S282:AG282,增益!$A:$A,增益!$O:$O,0))&gt;0,($F$14-$I$4+VLOOKUP($R282,武学奇术!$A:$ZZ,15,FALSE)+SUM(_xlfn.XLOOKUP(S282:AG282,增益!$A:$A,增益!$O:$O,0)))/200,($F$14-$I$4+VLOOKUP($R282,武学奇术!$A:$ZZ,15,FALSE)+SUM(_xlfn.XLOOKUP(S282:AG282,增益!$A:$A,增益!$O:$O,0)))/100)</f>
        <v>-0.3</v>
      </c>
      <c r="BI282" s="26" cm="1">
        <f t="array" ref="BI282">$G$14+VLOOKUP($R282,武学奇术!$A:$ZZ,16,FALSE)+SUM(_xlfn.XLOOKUP(S282:AG282,增益!$A:$A,增益!$P:$P,0))</f>
        <v>0</v>
      </c>
      <c r="BJ282" s="21">
        <f>MIN(IF(VLOOKUP($R282,武学奇术!$A:$ZZ,23,FALSE)=1,100%,$B$8),100%)</f>
        <v>0.8229</v>
      </c>
      <c r="BK282" s="21" cm="1">
        <f t="array" ref="BK282">IF(VLOOKUP($R282,武学奇术!$A:$ZZ,23,FALSE)=1,100%,MIN(80%,$B$9+VLOOKUP($R282,武学奇术!$A:$ZZ,17,FALSE)+SUM(_xlfn.XLOOKUP(S282:AG282,增益!$A:$A,增益!$Q:$Q,0)))+$B$11+SUM(_xlfn.XLOOKUP(S282:AG282,增益!$A:$A,增益!$U:$U,0)))*IF(VLOOKUP($R282,武学奇术!$A:$ZZ,24,FALSE)=1,0,1)</f>
        <v>0.2285</v>
      </c>
      <c r="BL282" s="21" cm="1">
        <f t="array" ref="BL282">1+$B$13+VLOOKUP($R282,武学奇术!$A:$ZZ,18,FALSE)+SUM(_xlfn.XLOOKUP(S282:AG282,增益!$A:$A,增益!$R:$R,0))</f>
        <v>1.5</v>
      </c>
      <c r="BM282" s="21" cm="1">
        <f t="array" ref="BM282">IF(VLOOKUP($R282,武学奇术!$A:$ZZ,24,FALSE)=1,100%,MIN(40%,$B$10+VLOOKUP($R282,武学奇术!$A:$ZZ,19,FALSE)+SUM(_xlfn.XLOOKUP(S282:AG282,增益!$A:$A,增益!$S:$S,0)))+$B$12+SUM(_xlfn.XLOOKUP(S282:AG282,增益!$A:$A,增益!$V:$V,0)))*IF(VLOOKUP($R282,武学奇术!$A:$ZZ,23,FALSE)=1,0,1)</f>
        <v>0.4495</v>
      </c>
      <c r="BN282" s="21" cm="1">
        <f t="array" ref="BN282">1+$B$14+VLOOKUP($R282,武学奇术!$A:$ZZ,20,FALSE)+SUM(_xlfn.XLOOKUP(S282:AG282,增益!$A:$A,增益!$T:$T,0))</f>
        <v>1.782</v>
      </c>
      <c r="BO282" s="21">
        <f t="shared" si="53"/>
        <v>0.18803265</v>
      </c>
      <c r="BP282" s="21">
        <f t="shared" si="54"/>
        <v>0.2649738</v>
      </c>
      <c r="BQ282" s="21">
        <f>IF(VLOOKUP($R282,武学奇术!$A:$ZZ,22,FALSE)=1,0,(1-$BJ282))*(1-$BM282)</f>
        <v>0.09749355</v>
      </c>
      <c r="BR282" s="21" cm="1">
        <f t="array" ref="BR282">SUM(_xlfn.XLOOKUP(S282:AG282,增益!$A:$A,增益!$W:$W,0))+$I$5</f>
        <v>0.16</v>
      </c>
    </row>
    <row r="283" spans="11:70">
      <c r="K283" s="24">
        <f>$L283*VLOOKUP($R283,武学奇术!$A:$ZZ,31,FALSE)</f>
        <v>11777.0504063511</v>
      </c>
      <c r="L283" s="24">
        <f t="shared" si="44"/>
        <v>19628.4173439184</v>
      </c>
      <c r="M283" s="24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BL283*$Q283*(1+IF(VLOOKUP($R283,武学奇术!$A:$ZZ,30,FALSE)="流血",$B$21,0))*(1+$BR283)</f>
        <v>16069.7912671112</v>
      </c>
      <c r="N283" s="24">
        <f>(($AP283*$AI283+$AJ283)*(1+$AQ283)*(1+$AR283)+($AU283*IF($G$1="鸣金",$AK283,$AI283)+IF($G$1="鸣金",$AL283*1.5,0))*(1+$AV283)*(1+$AW283)+($AY283*IF($G$1="裂石",$AK283,$AI283)+IF($G$1="裂石",$AL283*1.5,0))*(1+$AZ283)*(1+$BA283)+($BC283*IF($G$1="牵丝",$AK283,$AI283)+IF($G$1="牵丝",$AL283*1.5,0))*(1+$BD283)*(1+$BE283)+($BG283*IF($G$1="破竹",$AK283,$AI283)+IF($G$1="破竹",$AL283*1.5,0))*(1+$BH283)*(1+$BI283))*(1+$AM283)*$BN283*$Q283*(1+IF(VLOOKUP($R283,武学奇术!$A:$ZZ,30,FALSE)="流血",$B$21,0))*(1+$BR283)</f>
        <v>29583.1377424802</v>
      </c>
      <c r="O283" s="24">
        <f>((($AO283+$AP283)/2*$AI283+$AJ283)*(1+$AQ283)*(1+$AR283)+(($AT283+$AU283)/2*IF($G$1="鸣金",$AK283,$AI283)+IF($G$1="鸣金",$AL283*1.5,0))*(1+$AV283)*(1+$AW283)+(($AX283+$AY283)/2*IF($G$1="裂石",$AK283,$AI283)+IF($G$1="裂石",$AL283*1.5,0))*(1+$AZ283)*(1+$BA283)+(($BB283+$BC283)/2*IF($G$1="牵丝",$AK283,$AI283)+IF($G$1="牵丝",$AL283*1.5,0))*(1+$BD283)*(1+$BE283)+(($BF283+$BG283)/2*IF($G$1="破竹",$AK283,$AI283)+IF($G$1="破竹",$AL283*1.5,0))*(1+$BH283)*(1+$BI283))*(1+$AM283)*$Q283*(1+IF(VLOOKUP($R283,武学奇术!$A:$ZZ,30,FALSE)="流血",$B$21,0))*(1+$BR283)</f>
        <v>10713.1941780742</v>
      </c>
      <c r="P283" s="24">
        <f>((($AO283*$AI283+$AJ283)*(1+$AQ283)*(1+$AR283)+($AT283*IF($G$1="鸣金",$AK283,$AI283)+IF($G$1="鸣金",$AL283*1.5,0))*(1+$AV283)*(1+$AW283)+($AX283*IF($G$1="裂石",$AK283,$AI283)+IF($G$1="裂石",$AL283*1.5,0))*(1+$AZ283)*(1+$BA283)+($BB283*IF($G$1="牵丝",$AK283,$AI283)+IF($G$1="牵丝",$AL283*1.5,0))*(1+$BD283)*(1+$BE283)+($BF283*IF($G$1="破竹",$AK283,$AI283)+IF($G$1="破竹",$AL283*1.5,0))*(1+$BH283)*(1+$BI283))*(1+$AM283))*$Q283*(1+IF(VLOOKUP($R283,武学奇术!$A:$ZZ,30,FALSE)="流血",$B$21,0))*(1+$BR283)</f>
        <v>4825.30095857248</v>
      </c>
      <c r="Q283" s="31">
        <v>1</v>
      </c>
      <c r="R283" s="32" t="s">
        <v>199</v>
      </c>
      <c r="S283" s="32" t="s">
        <v>87</v>
      </c>
      <c r="T283" s="32" t="s">
        <v>96</v>
      </c>
      <c r="U283" s="32" t="s">
        <v>97</v>
      </c>
      <c r="V283" s="32" t="s">
        <v>73</v>
      </c>
      <c r="W283" s="32" t="s">
        <v>111</v>
      </c>
      <c r="X283" s="32" t="s">
        <v>127</v>
      </c>
      <c r="Y283" s="32" t="s">
        <v>179</v>
      </c>
      <c r="Z283" s="32" t="s">
        <v>182</v>
      </c>
      <c r="AA283" s="32" t="s">
        <v>81</v>
      </c>
      <c r="AB283" s="32" t="s">
        <v>75</v>
      </c>
      <c r="AC283" s="32" t="s">
        <v>89</v>
      </c>
      <c r="AD283" s="32" t="s">
        <v>82</v>
      </c>
      <c r="AE283" s="32" t="s">
        <v>90</v>
      </c>
      <c r="AF283" s="32" t="s">
        <v>73</v>
      </c>
      <c r="AG283" s="32" t="s">
        <v>178</v>
      </c>
      <c r="AH283" t="str">
        <f>VLOOKUP($R283,武学奇术!$A:$ZZ,25,FALSE)</f>
        <v>剑</v>
      </c>
      <c r="AI283" s="21">
        <f>VLOOKUP($R283,武学奇术!$A:$ZZ,26,FALSE)</f>
        <v>0.3465</v>
      </c>
      <c r="AJ283" s="22">
        <f>VLOOKUP($R283,武学奇术!$A:$ZZ,27,FALSE)*(1+IF(OR($AH283=$F$4,$AH283=$F$5),$B$22,0))</f>
        <v>0</v>
      </c>
      <c r="AK283" s="21">
        <f>VLOOKUP($R283,武学奇术!$A:$ZZ,28,FALSE)</f>
        <v>0.51975</v>
      </c>
      <c r="AL283" s="22">
        <f>VLOOKUP($R283,武学奇术!$A:$ZZ,29,FALSE)*(1+IF(OR($AH283=$F$4,$AH283=$F$5),$B$22,0))</f>
        <v>0</v>
      </c>
      <c r="AM283" s="21" cm="1">
        <f t="array" ref="AM283">$G$3+IFERROR(VLOOKUP($AH283,$F$4:$G$7,2,FALSE),0)+VLOOKUP($R283,武学奇术!$A:$ZZ,2,FALSE)+SUM(_xlfn.XLOOKUP($S283:$AG283,增益!$A:$A,增益!$B:$B,0))</f>
        <v>1.4791</v>
      </c>
      <c r="AN283" s="21" cm="1">
        <f t="array" ref="AN283">VLOOKUP($R283,武学奇术!$A:$ZZ,5,FALSE)+SUM(_xlfn.XLOOKUP($S283:$AG283,增益!$A:$A,增益!$E:$E,0))</f>
        <v>0</v>
      </c>
      <c r="AO283" cm="1">
        <f t="array" ref="AO283">$D$10*(1+$AN283)+VLOOKUP($R283,武学奇术!$A:$ZZ,3,FALSE)+SUM(_xlfn.XLOOKUP($S283:$AG283,增益!$A:$A,增益!$C:$C,0))-$I$2</f>
        <v>1825.28</v>
      </c>
      <c r="AP283" cm="1">
        <f t="array" ref="AP283">$E$10*(1+$AN283)+VLOOKUP($R283,武学奇术!$A:$ZZ,4,FALSE)+SUM(_xlfn.XLOOKUP($S283:$AG283,增益!$A:$A,增益!$D:$D,0))-$I$2</f>
        <v>7757.36</v>
      </c>
      <c r="AQ283" s="26" cm="1">
        <f t="array" ref="AQ283">IF($F$10-$I$3+VLOOKUP($R283,武学奇术!$A:$ZZ,6,FALSE)+SUM(_xlfn.XLOOKUP(S283:AG283,增益!$A:$A,增益!$F:$F,0))&gt;0,($F$10-$I$3+VLOOKUP($R283,武学奇术!$A:$ZZ,6,FALSE)+SUM(_xlfn.XLOOKUP(S283:AG283,增益!$A:$A,增益!$F:$F,0)))/200,($F$10-$I$3+VLOOKUP($R283,武学奇术!$A:$ZZ,6,FALSE)+SUM(_xlfn.XLOOKUP(S283:AG283,增益!$A:$A,增益!$F:$F,0)))/100)</f>
        <v>0.319</v>
      </c>
      <c r="AR283" s="26" cm="1">
        <f t="array" ref="AR283">$G$10+VLOOKUP($R283,武学奇术!$A:$ZZ,7,FALSE)+SUM(_xlfn.XLOOKUP(S283:AG283,增益!$A:$A,增益!$G:$G,0))</f>
        <v>0</v>
      </c>
      <c r="AS283" s="21" cm="1">
        <f t="array" ref="AS283">VLOOKUP($R283,武学奇术!$A:$ZZ,8,FALSE)+SUM(_xlfn.XLOOKUP(S283:AG283,增益!$A:$A,增益!$H:$H,0))</f>
        <v>0</v>
      </c>
      <c r="AT283">
        <f t="shared" si="45"/>
        <v>680.02</v>
      </c>
      <c r="AU283">
        <f t="shared" si="46"/>
        <v>1288.54</v>
      </c>
      <c r="AV283" s="26" cm="1">
        <f t="array" ref="AV283">IF($F$11-$I$4+VLOOKUP($R283,武学奇术!$A:$ZZ,9,FALSE)+SUM(_xlfn.XLOOKUP(S283:AG283,增益!$A:$A,增益!$I:$I,0))&gt;0,($F$11-$I$4+VLOOKUP($R283,武学奇术!$A:$ZZ,9,FALSE)+SUM(_xlfn.XLOOKUP(S283:AG283,增益!$A:$A,增益!$I:$I,0)))/200,($F$11-$I$4+VLOOKUP($R283,武学奇术!$A:$ZZ,9,FALSE)+SUM(_xlfn.XLOOKUP(S283:AG283,增益!$A:$A,增益!$I:$I,0)))/100)</f>
        <v>0.075</v>
      </c>
      <c r="AW283" s="26" cm="1">
        <f t="array" ref="AW283">$G$11+VLOOKUP($R283,武学奇术!$A:$ZZ,10,FALSE)+SUM(_xlfn.XLOOKUP(S283:AG283,增益!$A:$A,增益!$J:$J,0))</f>
        <v>0.15</v>
      </c>
      <c r="AX283">
        <f t="shared" si="47"/>
        <v>0</v>
      </c>
      <c r="AY283">
        <f t="shared" si="48"/>
        <v>0</v>
      </c>
      <c r="AZ283" s="26" cm="1">
        <f t="array" ref="AZ283">IF($F$12-$I$4+VLOOKUP($R283,武学奇术!$A:$ZZ,11,FALSE)+SUM(_xlfn.XLOOKUP(S283:AG283,增益!$A:$A,增益!$K:$K,0))&gt;0,($F$12-$I$4+VLOOKUP($R283,武学奇术!$A:$ZZ,11,FALSE)+SUM(_xlfn.XLOOKUP(S283:AG283,增益!$A:$A,增益!$K:$K,0)))/200,($F$12-$I$4+VLOOKUP($R283,武学奇术!$A:$ZZ,11,FALSE)+SUM(_xlfn.XLOOKUP(S283:AG283,增益!$A:$A,增益!$K:$K,0)))/100)</f>
        <v>-0.3</v>
      </c>
      <c r="BA283" s="26" cm="1">
        <f t="array" ref="BA283">$G$12+VLOOKUP($R283,武学奇术!$A:$ZZ,12,FALSE)+SUM(_xlfn.XLOOKUP(S283:AG283,增益!$A:$A,增益!$L:$L,0))</f>
        <v>0</v>
      </c>
      <c r="BB283">
        <f t="shared" si="49"/>
        <v>0</v>
      </c>
      <c r="BC283">
        <f t="shared" si="50"/>
        <v>0</v>
      </c>
      <c r="BD283" s="26" cm="1">
        <f t="array" ref="BD283">IF($F$13-$I$4+VLOOKUP($R283,武学奇术!$A:$ZZ,13,FALSE)+SUM(_xlfn.XLOOKUP(S283:AG283,增益!$A:$A,增益!$M:$M,0))&gt;0,($F$13-$I$4+VLOOKUP($R283,武学奇术!$A:$ZZ,13,FALSE)+SUM(_xlfn.XLOOKUP(S283:AG283,增益!$A:$A,增益!$K:$K,0)))/200,($F$13-$I$4+VLOOKUP($R283,武学奇术!$A:$ZZ,13,FALSE)+SUM(_xlfn.XLOOKUP(S283:AG283,增益!$A:$A,增益!$M:$M,0)))/100)</f>
        <v>-0.3</v>
      </c>
      <c r="BE283" s="26" cm="1">
        <f t="array" ref="BE283">$G$13+VLOOKUP($R283,武学奇术!$A:$ZZ,14,FALSE)+SUM(_xlfn.XLOOKUP(S283:AG283,增益!$A:$A,增益!$N:$N,0))</f>
        <v>0</v>
      </c>
      <c r="BF283">
        <f t="shared" si="51"/>
        <v>0</v>
      </c>
      <c r="BG283">
        <f t="shared" si="52"/>
        <v>0</v>
      </c>
      <c r="BH283" s="26" cm="1">
        <f t="array" ref="BH283">IF($F$14-$I$4+VLOOKUP($R283,武学奇术!$A:$ZZ,15,FALSE)+SUM(_xlfn.XLOOKUP(S283:AG283,增益!$A:$A,增益!$O:$O,0))&gt;0,($F$14-$I$4+VLOOKUP($R283,武学奇术!$A:$ZZ,15,FALSE)+SUM(_xlfn.XLOOKUP(S283:AG283,增益!$A:$A,增益!$O:$O,0)))/200,($F$14-$I$4+VLOOKUP($R283,武学奇术!$A:$ZZ,15,FALSE)+SUM(_xlfn.XLOOKUP(S283:AG283,增益!$A:$A,增益!$O:$O,0)))/100)</f>
        <v>-0.3</v>
      </c>
      <c r="BI283" s="26" cm="1">
        <f t="array" ref="BI283">$G$14+VLOOKUP($R283,武学奇术!$A:$ZZ,16,FALSE)+SUM(_xlfn.XLOOKUP(S283:AG283,增益!$A:$A,增益!$P:$P,0))</f>
        <v>0</v>
      </c>
      <c r="BJ283" s="21">
        <f>MIN(IF(VLOOKUP($R283,武学奇术!$A:$ZZ,23,FALSE)=1,100%,$B$8),100%)</f>
        <v>0.8229</v>
      </c>
      <c r="BK283" s="21" cm="1">
        <f t="array" ref="BK283">IF(VLOOKUP($R283,武学奇术!$A:$ZZ,23,FALSE)=1,100%,MIN(80%,$B$9+VLOOKUP($R283,武学奇术!$A:$ZZ,17,FALSE)+SUM(_xlfn.XLOOKUP(S283:AG283,增益!$A:$A,增益!$Q:$Q,0)))+$B$11+SUM(_xlfn.XLOOKUP(S283:AG283,增益!$A:$A,增益!$U:$U,0)))*IF(VLOOKUP($R283,武学奇术!$A:$ZZ,24,FALSE)=1,0,1)</f>
        <v>0.2285</v>
      </c>
      <c r="BL283" s="21" cm="1">
        <f t="array" ref="BL283">1+$B$13+VLOOKUP($R283,武学奇术!$A:$ZZ,18,FALSE)+SUM(_xlfn.XLOOKUP(S283:AG283,增益!$A:$A,增益!$R:$R,0))</f>
        <v>1.5</v>
      </c>
      <c r="BM283" s="21" cm="1">
        <f t="array" ref="BM283">IF(VLOOKUP($R283,武学奇术!$A:$ZZ,24,FALSE)=1,100%,MIN(40%,$B$10+VLOOKUP($R283,武学奇术!$A:$ZZ,19,FALSE)+SUM(_xlfn.XLOOKUP(S283:AG283,增益!$A:$A,增益!$S:$S,0)))+$B$12+SUM(_xlfn.XLOOKUP(S283:AG283,增益!$A:$A,增益!$V:$V,0)))*IF(VLOOKUP($R283,武学奇术!$A:$ZZ,23,FALSE)=1,0,1)</f>
        <v>0.4495</v>
      </c>
      <c r="BN283" s="21" cm="1">
        <f t="array" ref="BN283">1+$B$14+VLOOKUP($R283,武学奇术!$A:$ZZ,20,FALSE)+SUM(_xlfn.XLOOKUP(S283:AG283,增益!$A:$A,增益!$T:$T,0))</f>
        <v>1.782</v>
      </c>
      <c r="BO283" s="21">
        <f t="shared" si="53"/>
        <v>0.18803265</v>
      </c>
      <c r="BP283" s="21">
        <f t="shared" si="54"/>
        <v>0.2649738</v>
      </c>
      <c r="BQ283" s="21">
        <f>IF(VLOOKUP($R283,武学奇术!$A:$ZZ,22,FALSE)=1,0,(1-$BJ283))*(1-$BM283)</f>
        <v>0.09749355</v>
      </c>
      <c r="BR283" s="21" cm="1">
        <f t="array" ref="BR283">SUM(_xlfn.XLOOKUP(S283:AG283,增益!$A:$A,增益!$W:$W,0))+$I$5</f>
        <v>0.16</v>
      </c>
    </row>
    <row r="284" spans="11:70">
      <c r="K284" s="24">
        <f>$L284*VLOOKUP($R284,武学奇术!$A:$ZZ,31,FALSE)</f>
        <v>5888.52520317553</v>
      </c>
      <c r="L284" s="24">
        <f t="shared" si="44"/>
        <v>9814.20867195922</v>
      </c>
      <c r="M284" s="24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BL284*$Q284*(1+IF(VLOOKUP($R284,武学奇术!$A:$ZZ,30,FALSE)="流血",$B$21,0))*(1+$BR284)</f>
        <v>8034.89563355562</v>
      </c>
      <c r="N284" s="24">
        <f>(($AP284*$AI284+$AJ284)*(1+$AQ284)*(1+$AR284)+($AU284*IF($G$1="鸣金",$AK284,$AI284)+IF($G$1="鸣金",$AL284*1.5,0))*(1+$AV284)*(1+$AW284)+($AY284*IF($G$1="裂石",$AK284,$AI284)+IF($G$1="裂石",$AL284*1.5,0))*(1+$AZ284)*(1+$BA284)+($BC284*IF($G$1="牵丝",$AK284,$AI284)+IF($G$1="牵丝",$AL284*1.5,0))*(1+$BD284)*(1+$BE284)+($BG284*IF($G$1="破竹",$AK284,$AI284)+IF($G$1="破竹",$AL284*1.5,0))*(1+$BH284)*(1+$BI284))*(1+$AM284)*$BN284*$Q284*(1+IF(VLOOKUP($R284,武学奇术!$A:$ZZ,30,FALSE)="流血",$B$21,0))*(1+$BR284)</f>
        <v>14791.5688712401</v>
      </c>
      <c r="O284" s="24">
        <f>((($AO284+$AP284)/2*$AI284+$AJ284)*(1+$AQ284)*(1+$AR284)+(($AT284+$AU284)/2*IF($G$1="鸣金",$AK284,$AI284)+IF($G$1="鸣金",$AL284*1.5,0))*(1+$AV284)*(1+$AW284)+(($AX284+$AY284)/2*IF($G$1="裂石",$AK284,$AI284)+IF($G$1="裂石",$AL284*1.5,0))*(1+$AZ284)*(1+$BA284)+(($BB284+$BC284)/2*IF($G$1="牵丝",$AK284,$AI284)+IF($G$1="牵丝",$AL284*1.5,0))*(1+$BD284)*(1+$BE284)+(($BF284+$BG284)/2*IF($G$1="破竹",$AK284,$AI284)+IF($G$1="破竹",$AL284*1.5,0))*(1+$BH284)*(1+$BI284))*(1+$AM284)*$Q284*(1+IF(VLOOKUP($R284,武学奇术!$A:$ZZ,30,FALSE)="流血",$B$21,0))*(1+$BR284)</f>
        <v>5356.59708903708</v>
      </c>
      <c r="P284" s="24">
        <f>((($AO284*$AI284+$AJ284)*(1+$AQ284)*(1+$AR284)+($AT284*IF($G$1="鸣金",$AK284,$AI284)+IF($G$1="鸣金",$AL284*1.5,0))*(1+$AV284)*(1+$AW284)+($AX284*IF($G$1="裂石",$AK284,$AI284)+IF($G$1="裂石",$AL284*1.5,0))*(1+$AZ284)*(1+$BA284)+($BB284*IF($G$1="牵丝",$AK284,$AI284)+IF($G$1="牵丝",$AL284*1.5,0))*(1+$BD284)*(1+$BE284)+($BF284*IF($G$1="破竹",$AK284,$AI284)+IF($G$1="破竹",$AL284*1.5,0))*(1+$BH284)*(1+$BI284))*(1+$AM284))*$Q284*(1+IF(VLOOKUP($R284,武学奇术!$A:$ZZ,30,FALSE)="流血",$B$21,0))*(1+$BR284)</f>
        <v>2412.65047928624</v>
      </c>
      <c r="Q284" s="31">
        <v>1</v>
      </c>
      <c r="R284" s="32" t="s">
        <v>198</v>
      </c>
      <c r="S284" s="32" t="s">
        <v>87</v>
      </c>
      <c r="T284" s="32" t="s">
        <v>96</v>
      </c>
      <c r="U284" s="32" t="s">
        <v>97</v>
      </c>
      <c r="V284" s="32" t="s">
        <v>73</v>
      </c>
      <c r="W284" s="32" t="s">
        <v>111</v>
      </c>
      <c r="X284" s="32" t="s">
        <v>127</v>
      </c>
      <c r="Y284" s="32" t="s">
        <v>179</v>
      </c>
      <c r="Z284" s="32" t="s">
        <v>182</v>
      </c>
      <c r="AA284" s="32" t="s">
        <v>81</v>
      </c>
      <c r="AB284" s="32" t="s">
        <v>75</v>
      </c>
      <c r="AC284" s="32" t="s">
        <v>89</v>
      </c>
      <c r="AD284" s="32" t="s">
        <v>82</v>
      </c>
      <c r="AE284" s="32" t="s">
        <v>90</v>
      </c>
      <c r="AF284" s="32" t="s">
        <v>73</v>
      </c>
      <c r="AG284" s="32" t="s">
        <v>178</v>
      </c>
      <c r="AH284" t="str">
        <f>VLOOKUP($R284,武学奇术!$A:$ZZ,25,FALSE)</f>
        <v>剑</v>
      </c>
      <c r="AI284" s="21">
        <f>VLOOKUP($R284,武学奇术!$A:$ZZ,26,FALSE)</f>
        <v>0.17325</v>
      </c>
      <c r="AJ284" s="22">
        <f>VLOOKUP($R284,武学奇术!$A:$ZZ,27,FALSE)*(1+IF(OR($AH284=$F$4,$AH284=$F$5),$B$22,0))</f>
        <v>0</v>
      </c>
      <c r="AK284" s="21">
        <f>VLOOKUP($R284,武学奇术!$A:$ZZ,28,FALSE)</f>
        <v>0.259875</v>
      </c>
      <c r="AL284" s="22">
        <f>VLOOKUP($R284,武学奇术!$A:$ZZ,29,FALSE)*(1+IF(OR($AH284=$F$4,$AH284=$F$5),$B$22,0))</f>
        <v>0</v>
      </c>
      <c r="AM284" s="21" cm="1">
        <f t="array" ref="AM284">$G$3+IFERROR(VLOOKUP($AH284,$F$4:$G$7,2,FALSE),0)+VLOOKUP($R284,武学奇术!$A:$ZZ,2,FALSE)+SUM(_xlfn.XLOOKUP($S284:$AG284,增益!$A:$A,增益!$B:$B,0))</f>
        <v>1.4791</v>
      </c>
      <c r="AN284" s="21" cm="1">
        <f t="array" ref="AN284">VLOOKUP($R284,武学奇术!$A:$ZZ,5,FALSE)+SUM(_xlfn.XLOOKUP($S284:$AG284,增益!$A:$A,增益!$E:$E,0))</f>
        <v>0</v>
      </c>
      <c r="AO284" cm="1">
        <f t="array" ref="AO284">$D$10*(1+$AN284)+VLOOKUP($R284,武学奇术!$A:$ZZ,3,FALSE)+SUM(_xlfn.XLOOKUP($S284:$AG284,增益!$A:$A,增益!$C:$C,0))-$I$2</f>
        <v>1825.28</v>
      </c>
      <c r="AP284" cm="1">
        <f t="array" ref="AP284">$E$10*(1+$AN284)+VLOOKUP($R284,武学奇术!$A:$ZZ,4,FALSE)+SUM(_xlfn.XLOOKUP($S284:$AG284,增益!$A:$A,增益!$D:$D,0))-$I$2</f>
        <v>7757.36</v>
      </c>
      <c r="AQ284" s="26" cm="1">
        <f t="array" ref="AQ284">IF($F$10-$I$3+VLOOKUP($R284,武学奇术!$A:$ZZ,6,FALSE)+SUM(_xlfn.XLOOKUP(S284:AG284,增益!$A:$A,增益!$F:$F,0))&gt;0,($F$10-$I$3+VLOOKUP($R284,武学奇术!$A:$ZZ,6,FALSE)+SUM(_xlfn.XLOOKUP(S284:AG284,增益!$A:$A,增益!$F:$F,0)))/200,($F$10-$I$3+VLOOKUP($R284,武学奇术!$A:$ZZ,6,FALSE)+SUM(_xlfn.XLOOKUP(S284:AG284,增益!$A:$A,增益!$F:$F,0)))/100)</f>
        <v>0.319</v>
      </c>
      <c r="AR284" s="26" cm="1">
        <f t="array" ref="AR284">$G$10+VLOOKUP($R284,武学奇术!$A:$ZZ,7,FALSE)+SUM(_xlfn.XLOOKUP(S284:AG284,增益!$A:$A,增益!$G:$G,0))</f>
        <v>0</v>
      </c>
      <c r="AS284" s="21" cm="1">
        <f t="array" ref="AS284">VLOOKUP($R284,武学奇术!$A:$ZZ,8,FALSE)+SUM(_xlfn.XLOOKUP(S284:AG284,增益!$A:$A,增益!$H:$H,0))</f>
        <v>0</v>
      </c>
      <c r="AT284">
        <f t="shared" si="45"/>
        <v>680.02</v>
      </c>
      <c r="AU284">
        <f t="shared" si="46"/>
        <v>1288.54</v>
      </c>
      <c r="AV284" s="26" cm="1">
        <f t="array" ref="AV284">IF($F$11-$I$4+VLOOKUP($R284,武学奇术!$A:$ZZ,9,FALSE)+SUM(_xlfn.XLOOKUP(S284:AG284,增益!$A:$A,增益!$I:$I,0))&gt;0,($F$11-$I$4+VLOOKUP($R284,武学奇术!$A:$ZZ,9,FALSE)+SUM(_xlfn.XLOOKUP(S284:AG284,增益!$A:$A,增益!$I:$I,0)))/200,($F$11-$I$4+VLOOKUP($R284,武学奇术!$A:$ZZ,9,FALSE)+SUM(_xlfn.XLOOKUP(S284:AG284,增益!$A:$A,增益!$I:$I,0)))/100)</f>
        <v>0.075</v>
      </c>
      <c r="AW284" s="26" cm="1">
        <f t="array" ref="AW284">$G$11+VLOOKUP($R284,武学奇术!$A:$ZZ,10,FALSE)+SUM(_xlfn.XLOOKUP(S284:AG284,增益!$A:$A,增益!$J:$J,0))</f>
        <v>0.15</v>
      </c>
      <c r="AX284">
        <f t="shared" si="47"/>
        <v>0</v>
      </c>
      <c r="AY284">
        <f t="shared" si="48"/>
        <v>0</v>
      </c>
      <c r="AZ284" s="26" cm="1">
        <f t="array" ref="AZ284">IF($F$12-$I$4+VLOOKUP($R284,武学奇术!$A:$ZZ,11,FALSE)+SUM(_xlfn.XLOOKUP(S284:AG284,增益!$A:$A,增益!$K:$K,0))&gt;0,($F$12-$I$4+VLOOKUP($R284,武学奇术!$A:$ZZ,11,FALSE)+SUM(_xlfn.XLOOKUP(S284:AG284,增益!$A:$A,增益!$K:$K,0)))/200,($F$12-$I$4+VLOOKUP($R284,武学奇术!$A:$ZZ,11,FALSE)+SUM(_xlfn.XLOOKUP(S284:AG284,增益!$A:$A,增益!$K:$K,0)))/100)</f>
        <v>-0.3</v>
      </c>
      <c r="BA284" s="26" cm="1">
        <f t="array" ref="BA284">$G$12+VLOOKUP($R284,武学奇术!$A:$ZZ,12,FALSE)+SUM(_xlfn.XLOOKUP(S284:AG284,增益!$A:$A,增益!$L:$L,0))</f>
        <v>0</v>
      </c>
      <c r="BB284">
        <f t="shared" si="49"/>
        <v>0</v>
      </c>
      <c r="BC284">
        <f t="shared" si="50"/>
        <v>0</v>
      </c>
      <c r="BD284" s="26" cm="1">
        <f t="array" ref="BD284">IF($F$13-$I$4+VLOOKUP($R284,武学奇术!$A:$ZZ,13,FALSE)+SUM(_xlfn.XLOOKUP(S284:AG284,增益!$A:$A,增益!$M:$M,0))&gt;0,($F$13-$I$4+VLOOKUP($R284,武学奇术!$A:$ZZ,13,FALSE)+SUM(_xlfn.XLOOKUP(S284:AG284,增益!$A:$A,增益!$K:$K,0)))/200,($F$13-$I$4+VLOOKUP($R284,武学奇术!$A:$ZZ,13,FALSE)+SUM(_xlfn.XLOOKUP(S284:AG284,增益!$A:$A,增益!$M:$M,0)))/100)</f>
        <v>-0.3</v>
      </c>
      <c r="BE284" s="26" cm="1">
        <f t="array" ref="BE284">$G$13+VLOOKUP($R284,武学奇术!$A:$ZZ,14,FALSE)+SUM(_xlfn.XLOOKUP(S284:AG284,增益!$A:$A,增益!$N:$N,0))</f>
        <v>0</v>
      </c>
      <c r="BF284">
        <f t="shared" si="51"/>
        <v>0</v>
      </c>
      <c r="BG284">
        <f t="shared" si="52"/>
        <v>0</v>
      </c>
      <c r="BH284" s="26" cm="1">
        <f t="array" ref="BH284">IF($F$14-$I$4+VLOOKUP($R284,武学奇术!$A:$ZZ,15,FALSE)+SUM(_xlfn.XLOOKUP(S284:AG284,增益!$A:$A,增益!$O:$O,0))&gt;0,($F$14-$I$4+VLOOKUP($R284,武学奇术!$A:$ZZ,15,FALSE)+SUM(_xlfn.XLOOKUP(S284:AG284,增益!$A:$A,增益!$O:$O,0)))/200,($F$14-$I$4+VLOOKUP($R284,武学奇术!$A:$ZZ,15,FALSE)+SUM(_xlfn.XLOOKUP(S284:AG284,增益!$A:$A,增益!$O:$O,0)))/100)</f>
        <v>-0.3</v>
      </c>
      <c r="BI284" s="26" cm="1">
        <f t="array" ref="BI284">$G$14+VLOOKUP($R284,武学奇术!$A:$ZZ,16,FALSE)+SUM(_xlfn.XLOOKUP(S284:AG284,增益!$A:$A,增益!$P:$P,0))</f>
        <v>0</v>
      </c>
      <c r="BJ284" s="21">
        <f>MIN(IF(VLOOKUP($R284,武学奇术!$A:$ZZ,23,FALSE)=1,100%,$B$8),100%)</f>
        <v>0.8229</v>
      </c>
      <c r="BK284" s="21" cm="1">
        <f t="array" ref="BK284">IF(VLOOKUP($R284,武学奇术!$A:$ZZ,23,FALSE)=1,100%,MIN(80%,$B$9+VLOOKUP($R284,武学奇术!$A:$ZZ,17,FALSE)+SUM(_xlfn.XLOOKUP(S284:AG284,增益!$A:$A,增益!$Q:$Q,0)))+$B$11+SUM(_xlfn.XLOOKUP(S284:AG284,增益!$A:$A,增益!$U:$U,0)))*IF(VLOOKUP($R284,武学奇术!$A:$ZZ,24,FALSE)=1,0,1)</f>
        <v>0.2285</v>
      </c>
      <c r="BL284" s="21" cm="1">
        <f t="array" ref="BL284">1+$B$13+VLOOKUP($R284,武学奇术!$A:$ZZ,18,FALSE)+SUM(_xlfn.XLOOKUP(S284:AG284,增益!$A:$A,增益!$R:$R,0))</f>
        <v>1.5</v>
      </c>
      <c r="BM284" s="21" cm="1">
        <f t="array" ref="BM284">IF(VLOOKUP($R284,武学奇术!$A:$ZZ,24,FALSE)=1,100%,MIN(40%,$B$10+VLOOKUP($R284,武学奇术!$A:$ZZ,19,FALSE)+SUM(_xlfn.XLOOKUP(S284:AG284,增益!$A:$A,增益!$S:$S,0)))+$B$12+SUM(_xlfn.XLOOKUP(S284:AG284,增益!$A:$A,增益!$V:$V,0)))*IF(VLOOKUP($R284,武学奇术!$A:$ZZ,23,FALSE)=1,0,1)</f>
        <v>0.4495</v>
      </c>
      <c r="BN284" s="21" cm="1">
        <f t="array" ref="BN284">1+$B$14+VLOOKUP($R284,武学奇术!$A:$ZZ,20,FALSE)+SUM(_xlfn.XLOOKUP(S284:AG284,增益!$A:$A,增益!$T:$T,0))</f>
        <v>1.782</v>
      </c>
      <c r="BO284" s="21">
        <f t="shared" si="53"/>
        <v>0.18803265</v>
      </c>
      <c r="BP284" s="21">
        <f t="shared" si="54"/>
        <v>0.2649738</v>
      </c>
      <c r="BQ284" s="21">
        <f>IF(VLOOKUP($R284,武学奇术!$A:$ZZ,22,FALSE)=1,0,(1-$BJ284))*(1-$BM284)</f>
        <v>0.09749355</v>
      </c>
      <c r="BR284" s="21" cm="1">
        <f t="array" ref="BR284">SUM(_xlfn.XLOOKUP(S284:AG284,增益!$A:$A,增益!$W:$W,0))+$I$5</f>
        <v>0.16</v>
      </c>
    </row>
    <row r="285" spans="11:70">
      <c r="K285" s="24">
        <f>$L285*VLOOKUP($R285,武学奇术!$A:$ZZ,31,FALSE)</f>
        <v>0</v>
      </c>
      <c r="L285" s="24">
        <f t="shared" si="44"/>
        <v>0</v>
      </c>
      <c r="M285" s="24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BL285*$Q285*(1+IF(VLOOKUP($R285,武学奇术!$A:$ZZ,30,FALSE)="流血",$B$21,0))*(1+$BR285)</f>
        <v>0</v>
      </c>
      <c r="N285" s="24">
        <f>(($AP285*$AI285+$AJ285)*(1+$AQ285)*(1+$AR285)+($AU285*IF($G$1="鸣金",$AK285,$AI285)+IF($G$1="鸣金",$AL285*1.5,0))*(1+$AV285)*(1+$AW285)+($AY285*IF($G$1="裂石",$AK285,$AI285)+IF($G$1="裂石",$AL285*1.5,0))*(1+$AZ285)*(1+$BA285)+($BC285*IF($G$1="牵丝",$AK285,$AI285)+IF($G$1="牵丝",$AL285*1.5,0))*(1+$BD285)*(1+$BE285)+($BG285*IF($G$1="破竹",$AK285,$AI285)+IF($G$1="破竹",$AL285*1.5,0))*(1+$BH285)*(1+$BI285))*(1+$AM285)*$BN285*$Q285*(1+IF(VLOOKUP($R285,武学奇术!$A:$ZZ,30,FALSE)="流血",$B$21,0))*(1+$BR285)</f>
        <v>0</v>
      </c>
      <c r="O285" s="24">
        <f>((($AO285+$AP285)/2*$AI285+$AJ285)*(1+$AQ285)*(1+$AR285)+(($AT285+$AU285)/2*IF($G$1="鸣金",$AK285,$AI285)+IF($G$1="鸣金",$AL285*1.5,0))*(1+$AV285)*(1+$AW285)+(($AX285+$AY285)/2*IF($G$1="裂石",$AK285,$AI285)+IF($G$1="裂石",$AL285*1.5,0))*(1+$AZ285)*(1+$BA285)+(($BB285+$BC285)/2*IF($G$1="牵丝",$AK285,$AI285)+IF($G$1="牵丝",$AL285*1.5,0))*(1+$BD285)*(1+$BE285)+(($BF285+$BG285)/2*IF($G$1="破竹",$AK285,$AI285)+IF($G$1="破竹",$AL285*1.5,0))*(1+$BH285)*(1+$BI285))*(1+$AM285)*$Q285*(1+IF(VLOOKUP($R285,武学奇术!$A:$ZZ,30,FALSE)="流血",$B$21,0))*(1+$BR285)</f>
        <v>0</v>
      </c>
      <c r="P285" s="24">
        <f>((($AO285*$AI285+$AJ285)*(1+$AQ285)*(1+$AR285)+($AT285*IF($G$1="鸣金",$AK285,$AI285)+IF($G$1="鸣金",$AL285*1.5,0))*(1+$AV285)*(1+$AW285)+($AX285*IF($G$1="裂石",$AK285,$AI285)+IF($G$1="裂石",$AL285*1.5,0))*(1+$AZ285)*(1+$BA285)+($BB285*IF($G$1="牵丝",$AK285,$AI285)+IF($G$1="牵丝",$AL285*1.5,0))*(1+$BD285)*(1+$BE285)+($BF285*IF($G$1="破竹",$AK285,$AI285)+IF($G$1="破竹",$AL285*1.5,0))*(1+$BH285)*(1+$BI285))*(1+$AM285))*$Q285*(1+IF(VLOOKUP($R285,武学奇术!$A:$ZZ,30,FALSE)="流血",$B$21,0))*(1+$BR285)</f>
        <v>0</v>
      </c>
      <c r="Q285" s="31"/>
      <c r="R285" s="32" t="s">
        <v>73</v>
      </c>
      <c r="S285" s="32" t="s">
        <v>73</v>
      </c>
      <c r="T285" s="32" t="s">
        <v>73</v>
      </c>
      <c r="U285" s="32" t="s">
        <v>73</v>
      </c>
      <c r="V285" s="32" t="s">
        <v>73</v>
      </c>
      <c r="W285" s="32" t="s">
        <v>73</v>
      </c>
      <c r="X285" s="32" t="s">
        <v>73</v>
      </c>
      <c r="Y285" s="32" t="s">
        <v>73</v>
      </c>
      <c r="Z285" s="32" t="s">
        <v>73</v>
      </c>
      <c r="AA285" s="32" t="s">
        <v>73</v>
      </c>
      <c r="AB285" s="32" t="s">
        <v>73</v>
      </c>
      <c r="AC285" s="32" t="s">
        <v>73</v>
      </c>
      <c r="AD285" s="32" t="s">
        <v>73</v>
      </c>
      <c r="AE285" s="32" t="s">
        <v>73</v>
      </c>
      <c r="AF285" s="32" t="s">
        <v>73</v>
      </c>
      <c r="AG285" s="32" t="s">
        <v>73</v>
      </c>
      <c r="AH285" t="str">
        <f>VLOOKUP($R285,武学奇术!$A:$ZZ,25,FALSE)</f>
        <v>心法</v>
      </c>
      <c r="AI285" s="21">
        <f>VLOOKUP($R285,武学奇术!$A:$ZZ,26,FALSE)</f>
        <v>0</v>
      </c>
      <c r="AJ285" s="22">
        <f>VLOOKUP($R285,武学奇术!$A:$ZZ,27,FALSE)*(1+IF(OR($AH285=$F$4,$AH285=$F$5),$B$22,0))</f>
        <v>0</v>
      </c>
      <c r="AK285" s="21">
        <f>VLOOKUP($R285,武学奇术!$A:$ZZ,28,FALSE)</f>
        <v>0</v>
      </c>
      <c r="AL285" s="22">
        <f>VLOOKUP($R285,武学奇术!$A:$ZZ,29,FALSE)*(1+IF(OR($AH285=$F$4,$AH285=$F$5),$B$22,0))</f>
        <v>0</v>
      </c>
      <c r="AM285" s="21" cm="1">
        <f t="array" ref="AM285">$G$3+IFERROR(VLOOKUP($AH285,$F$4:$G$7,2,FALSE),0)+VLOOKUP($R285,武学奇术!$A:$ZZ,2,FALSE)+SUM(_xlfn.XLOOKUP($S285:$AG285,增益!$A:$A,增益!$B:$B,0))</f>
        <v>0.1042</v>
      </c>
      <c r="AN285" s="21" cm="1">
        <f t="array" ref="AN285">VLOOKUP($R285,武学奇术!$A:$ZZ,5,FALSE)+SUM(_xlfn.XLOOKUP($S285:$AG285,增益!$A:$A,增益!$E:$E,0))</f>
        <v>0</v>
      </c>
      <c r="AO285" cm="1">
        <f t="array" ref="AO285">$D$10*(1+$AN285)+VLOOKUP($R285,武学奇术!$A:$ZZ,3,FALSE)+SUM(_xlfn.XLOOKUP($S285:$AG285,增益!$A:$A,增益!$C:$C,0))-$I$2</f>
        <v>1794.28</v>
      </c>
      <c r="AP285" cm="1">
        <f t="array" ref="AP285">$E$10*(1+$AN285)+VLOOKUP($R285,武学奇术!$A:$ZZ,4,FALSE)+SUM(_xlfn.XLOOKUP($S285:$AG285,增益!$A:$A,增益!$D:$D,0))-$I$2</f>
        <v>7726.36</v>
      </c>
      <c r="AQ285" s="26" cm="1">
        <f t="array" ref="AQ285">IF($F$10-$I$3+VLOOKUP($R285,武学奇术!$A:$ZZ,6,FALSE)+SUM(_xlfn.XLOOKUP(S285:AG285,增益!$A:$A,增益!$F:$F,0))&gt;0,($F$10-$I$3+VLOOKUP($R285,武学奇术!$A:$ZZ,6,FALSE)+SUM(_xlfn.XLOOKUP(S285:AG285,增益!$A:$A,增益!$F:$F,0)))/200,($F$10-$I$3+VLOOKUP($R285,武学奇术!$A:$ZZ,6,FALSE)+SUM(_xlfn.XLOOKUP(S285:AG285,增益!$A:$A,增益!$F:$F,0)))/100)</f>
        <v>0.194</v>
      </c>
      <c r="AR285" s="26" cm="1">
        <f t="array" ref="AR285">$G$10+VLOOKUP($R285,武学奇术!$A:$ZZ,7,FALSE)+SUM(_xlfn.XLOOKUP(S285:AG285,增益!$A:$A,增益!$G:$G,0))</f>
        <v>0</v>
      </c>
      <c r="AS285" s="21" cm="1">
        <f t="array" ref="AS285">VLOOKUP($R285,武学奇术!$A:$ZZ,8,FALSE)+SUM(_xlfn.XLOOKUP(S285:AG285,增益!$A:$A,增益!$H:$H,0))</f>
        <v>0</v>
      </c>
      <c r="AT285">
        <f t="shared" si="45"/>
        <v>680.02</v>
      </c>
      <c r="AU285">
        <f t="shared" si="46"/>
        <v>1288.54</v>
      </c>
      <c r="AV285" s="26" cm="1">
        <f t="array" ref="AV285">IF($F$11-$I$4+VLOOKUP($R285,武学奇术!$A:$ZZ,9,FALSE)+SUM(_xlfn.XLOOKUP(S285:AG285,增益!$A:$A,增益!$I:$I,0))&gt;0,($F$11-$I$4+VLOOKUP($R285,武学奇术!$A:$ZZ,9,FALSE)+SUM(_xlfn.XLOOKUP(S285:AG285,增益!$A:$A,增益!$I:$I,0)))/200,($F$11-$I$4+VLOOKUP($R285,武学奇术!$A:$ZZ,9,FALSE)+SUM(_xlfn.XLOOKUP(S285:AG285,增益!$A:$A,增益!$I:$I,0)))/100)</f>
        <v>0</v>
      </c>
      <c r="AW285" s="26" cm="1">
        <f t="array" ref="AW285">$G$11+VLOOKUP($R285,武学奇术!$A:$ZZ,10,FALSE)+SUM(_xlfn.XLOOKUP(S285:AG285,增益!$A:$A,增益!$J:$J,0))</f>
        <v>0.15</v>
      </c>
      <c r="AX285">
        <f t="shared" si="47"/>
        <v>0</v>
      </c>
      <c r="AY285">
        <f t="shared" si="48"/>
        <v>0</v>
      </c>
      <c r="AZ285" s="26" cm="1">
        <f t="array" ref="AZ285">IF($F$12-$I$4+VLOOKUP($R285,武学奇术!$A:$ZZ,11,FALSE)+SUM(_xlfn.XLOOKUP(S285:AG285,增益!$A:$A,增益!$K:$K,0))&gt;0,($F$12-$I$4+VLOOKUP($R285,武学奇术!$A:$ZZ,11,FALSE)+SUM(_xlfn.XLOOKUP(S285:AG285,增益!$A:$A,增益!$K:$K,0)))/200,($F$12-$I$4+VLOOKUP($R285,武学奇术!$A:$ZZ,11,FALSE)+SUM(_xlfn.XLOOKUP(S285:AG285,增益!$A:$A,增益!$K:$K,0)))/100)</f>
        <v>-0.3</v>
      </c>
      <c r="BA285" s="26" cm="1">
        <f t="array" ref="BA285">$G$12+VLOOKUP($R285,武学奇术!$A:$ZZ,12,FALSE)+SUM(_xlfn.XLOOKUP(S285:AG285,增益!$A:$A,增益!$L:$L,0))</f>
        <v>0</v>
      </c>
      <c r="BB285">
        <f t="shared" si="49"/>
        <v>0</v>
      </c>
      <c r="BC285">
        <f t="shared" si="50"/>
        <v>0</v>
      </c>
      <c r="BD285" s="26" cm="1">
        <f t="array" ref="BD285">IF($F$13-$I$4+VLOOKUP($R285,武学奇术!$A:$ZZ,13,FALSE)+SUM(_xlfn.XLOOKUP(S285:AG285,增益!$A:$A,增益!$M:$M,0))&gt;0,($F$13-$I$4+VLOOKUP($R285,武学奇术!$A:$ZZ,13,FALSE)+SUM(_xlfn.XLOOKUP(S285:AG285,增益!$A:$A,增益!$K:$K,0)))/200,($F$13-$I$4+VLOOKUP($R285,武学奇术!$A:$ZZ,13,FALSE)+SUM(_xlfn.XLOOKUP(S285:AG285,增益!$A:$A,增益!$M:$M,0)))/100)</f>
        <v>-0.3</v>
      </c>
      <c r="BE285" s="26" cm="1">
        <f t="array" ref="BE285">$G$13+VLOOKUP($R285,武学奇术!$A:$ZZ,14,FALSE)+SUM(_xlfn.XLOOKUP(S285:AG285,增益!$A:$A,增益!$N:$N,0))</f>
        <v>0</v>
      </c>
      <c r="BF285">
        <f t="shared" si="51"/>
        <v>0</v>
      </c>
      <c r="BG285">
        <f t="shared" si="52"/>
        <v>0</v>
      </c>
      <c r="BH285" s="26" cm="1">
        <f t="array" ref="BH285">IF($F$14-$I$4+VLOOKUP($R285,武学奇术!$A:$ZZ,15,FALSE)+SUM(_xlfn.XLOOKUP(S285:AG285,增益!$A:$A,增益!$O:$O,0))&gt;0,($F$14-$I$4+VLOOKUP($R285,武学奇术!$A:$ZZ,15,FALSE)+SUM(_xlfn.XLOOKUP(S285:AG285,增益!$A:$A,增益!$O:$O,0)))/200,($F$14-$I$4+VLOOKUP($R285,武学奇术!$A:$ZZ,15,FALSE)+SUM(_xlfn.XLOOKUP(S285:AG285,增益!$A:$A,增益!$O:$O,0)))/100)</f>
        <v>-0.3</v>
      </c>
      <c r="BI285" s="26" cm="1">
        <f t="array" ref="BI285">$G$14+VLOOKUP($R285,武学奇术!$A:$ZZ,16,FALSE)+SUM(_xlfn.XLOOKUP(S285:AG285,增益!$A:$A,增益!$P:$P,0))</f>
        <v>0</v>
      </c>
      <c r="BJ285" s="21">
        <f>MIN(IF(VLOOKUP($R285,武学奇术!$A:$ZZ,23,FALSE)=1,100%,$B$8),100%)</f>
        <v>0.8229</v>
      </c>
      <c r="BK285" s="21" cm="1">
        <f t="array" ref="BK285">IF(VLOOKUP($R285,武学奇术!$A:$ZZ,23,FALSE)=1,100%,MIN(80%,$B$9+VLOOKUP($R285,武学奇术!$A:$ZZ,17,FALSE)+SUM(_xlfn.XLOOKUP(S285:AG285,增益!$A:$A,增益!$Q:$Q,0)))+$B$11+SUM(_xlfn.XLOOKUP(S285:AG285,增益!$A:$A,增益!$U:$U,0)))*IF(VLOOKUP($R285,武学奇术!$A:$ZZ,24,FALSE)=1,0,1)</f>
        <v>0.2285</v>
      </c>
      <c r="BL285" s="21" cm="1">
        <f t="array" ref="BL285">1+$B$13+VLOOKUP($R285,武学奇术!$A:$ZZ,18,FALSE)+SUM(_xlfn.XLOOKUP(S285:AG285,增益!$A:$A,增益!$R:$R,0))</f>
        <v>1.5</v>
      </c>
      <c r="BM285" s="21" cm="1">
        <f t="array" ref="BM285">IF(VLOOKUP($R285,武学奇术!$A:$ZZ,24,FALSE)=1,100%,MIN(40%,$B$10+VLOOKUP($R285,武学奇术!$A:$ZZ,19,FALSE)+SUM(_xlfn.XLOOKUP(S285:AG285,增益!$A:$A,增益!$S:$S,0)))+$B$12+SUM(_xlfn.XLOOKUP(S285:AG285,增益!$A:$A,增益!$V:$V,0)))*IF(VLOOKUP($R285,武学奇术!$A:$ZZ,23,FALSE)=1,0,1)</f>
        <v>0.4195</v>
      </c>
      <c r="BN285" s="21" cm="1">
        <f t="array" ref="BN285">1+$B$14+VLOOKUP($R285,武学奇术!$A:$ZZ,20,FALSE)+SUM(_xlfn.XLOOKUP(S285:AG285,增益!$A:$A,增益!$T:$T,0))</f>
        <v>1.402</v>
      </c>
      <c r="BO285" s="21">
        <f t="shared" si="53"/>
        <v>0.18803265</v>
      </c>
      <c r="BP285" s="21">
        <f t="shared" si="54"/>
        <v>0.2896608</v>
      </c>
      <c r="BQ285" s="21">
        <f>IF(VLOOKUP($R285,武学奇术!$A:$ZZ,22,FALSE)=1,0,(1-$BJ285))*(1-$BM285)</f>
        <v>0.10280655</v>
      </c>
      <c r="BR285" s="21" cm="1">
        <f t="array" ref="BR285">SUM(_xlfn.XLOOKUP(S285:AG285,增益!$A:$A,增益!$W:$W,0))+$I$5</f>
        <v>0.06</v>
      </c>
    </row>
    <row r="286" spans="11:70">
      <c r="K286" s="24">
        <f>$L286*VLOOKUP($R286,武学奇术!$A:$ZZ,31,FALSE)</f>
        <v>21547.4827565549</v>
      </c>
      <c r="L286" s="24">
        <f t="shared" si="44"/>
        <v>21547.4827565549</v>
      </c>
      <c r="M286" s="24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BL286*$Q286*(1+IF(VLOOKUP($R286,武学奇术!$A:$ZZ,30,FALSE)="流血",$B$21,0))*(1+$BR286)</f>
        <v>19274.2985048822</v>
      </c>
      <c r="N286" s="24">
        <f>(($AP286*$AI286+$AJ286)*(1+$AQ286)*(1+$AR286)+($AU286*IF($G$1="鸣金",$AK286,$AI286)+IF($G$1="鸣金",$AL286*1.5,0))*(1+$AV286)*(1+$AW286)+($AY286*IF($G$1="裂石",$AK286,$AI286)+IF($G$1="裂石",$AL286*1.5,0))*(1+$AZ286)*(1+$BA286)+($BC286*IF($G$1="牵丝",$AK286,$AI286)+IF($G$1="牵丝",$AL286*1.5,0))*(1+$BD286)*(1+$BE286)+($BG286*IF($G$1="破竹",$AK286,$AI286)+IF($G$1="破竹",$AL286*1.5,0))*(1+$BH286)*(1+$BI286))*(1+$AM286)*$BN286*$Q286*(1+IF(VLOOKUP($R286,武学奇术!$A:$ZZ,30,FALSE)="流血",$B$21,0))*(1+$BR286)</f>
        <v>31099.6439704961</v>
      </c>
      <c r="O286" s="24">
        <f>((($AO286+$AP286)/2*$AI286+$AJ286)*(1+$AQ286)*(1+$AR286)+(($AT286+$AU286)/2*IF($G$1="鸣金",$AK286,$AI286)+IF($G$1="鸣金",$AL286*1.5,0))*(1+$AV286)*(1+$AW286)+(($AX286+$AY286)/2*IF($G$1="裂石",$AK286,$AI286)+IF($G$1="裂石",$AL286*1.5,0))*(1+$AZ286)*(1+$BA286)+(($BB286+$BC286)/2*IF($G$1="牵丝",$AK286,$AI286)+IF($G$1="牵丝",$AL286*1.5,0))*(1+$BD286)*(1+$BE286)+(($BF286+$BG286)/2*IF($G$1="破竹",$AK286,$AI286)+IF($G$1="破竹",$AL286*1.5,0))*(1+$BH286)*(1+$BI286))*(1+$AM286)*$Q286*(1+IF(VLOOKUP($R286,武学奇术!$A:$ZZ,30,FALSE)="流血",$B$21,0))*(1+$BR286)</f>
        <v>12849.5323365882</v>
      </c>
      <c r="P286" s="24">
        <f>((($AO286*$AI286+$AJ286)*(1+$AQ286)*(1+$AR286)+($AT286*IF($G$1="鸣金",$AK286,$AI286)+IF($G$1="鸣金",$AL286*1.5,0))*(1+$AV286)*(1+$AW286)+($AX286*IF($G$1="裂石",$AK286,$AI286)+IF($G$1="裂石",$AL286*1.5,0))*(1+$AZ286)*(1+$BA286)+($BB286*IF($G$1="牵丝",$AK286,$AI286)+IF($G$1="牵丝",$AL286*1.5,0))*(1+$BD286)*(1+$BE286)+($BF286*IF($G$1="破竹",$AK286,$AI286)+IF($G$1="破竹",$AL286*1.5,0))*(1+$BH286)*(1+$BI286))*(1+$AM286))*$Q286*(1+IF(VLOOKUP($R286,武学奇术!$A:$ZZ,30,FALSE)="流血",$B$21,0))*(1+$BR286)</f>
        <v>5530.68336935264</v>
      </c>
      <c r="Q286" s="31">
        <v>1</v>
      </c>
      <c r="R286" s="32" t="s">
        <v>201</v>
      </c>
      <c r="S286" s="32" t="s">
        <v>87</v>
      </c>
      <c r="T286" s="32" t="s">
        <v>104</v>
      </c>
      <c r="U286" s="32" t="s">
        <v>73</v>
      </c>
      <c r="V286" s="32" t="s">
        <v>73</v>
      </c>
      <c r="W286" s="32" t="s">
        <v>111</v>
      </c>
      <c r="X286" s="32" t="s">
        <v>127</v>
      </c>
      <c r="Y286" s="32" t="s">
        <v>73</v>
      </c>
      <c r="Z286" s="32" t="s">
        <v>73</v>
      </c>
      <c r="AA286" s="32" t="s">
        <v>81</v>
      </c>
      <c r="AB286" s="32" t="s">
        <v>75</v>
      </c>
      <c r="AC286" s="32" t="s">
        <v>76</v>
      </c>
      <c r="AD286" s="32" t="s">
        <v>82</v>
      </c>
      <c r="AE286" s="32" t="s">
        <v>90</v>
      </c>
      <c r="AF286" s="32" t="s">
        <v>73</v>
      </c>
      <c r="AG286" s="32" t="s">
        <v>128</v>
      </c>
      <c r="AH286" t="str">
        <f>VLOOKUP($R286,武学奇术!$A:$ZZ,25,FALSE)</f>
        <v>心法</v>
      </c>
      <c r="AI286" s="21">
        <f>VLOOKUP($R286,武学奇术!$A:$ZZ,26,FALSE)</f>
        <v>1</v>
      </c>
      <c r="AJ286" s="22">
        <f>VLOOKUP($R286,武学奇术!$A:$ZZ,27,FALSE)*(1+IF(OR($AH286=$F$4,$AH286=$F$5),$B$22,0))</f>
        <v>0</v>
      </c>
      <c r="AK286" s="21">
        <f>VLOOKUP($R286,武学奇术!$A:$ZZ,28,FALSE)</f>
        <v>1</v>
      </c>
      <c r="AL286" s="22">
        <f>VLOOKUP($R286,武学奇术!$A:$ZZ,29,FALSE)*(1+IF(OR($AH286=$F$4,$AH286=$F$5),$B$22,0))</f>
        <v>0</v>
      </c>
      <c r="AM286" s="21" cm="1">
        <f t="array" ref="AM286">$G$3+IFERROR(VLOOKUP($AH286,$F$4:$G$7,2,FALSE),0)+VLOOKUP($R286,武学奇术!$A:$ZZ,2,FALSE)+SUM(_xlfn.XLOOKUP($S286:$AG286,增益!$A:$A,增益!$B:$B,0))</f>
        <v>0.7092</v>
      </c>
      <c r="AN286" s="21" cm="1">
        <f t="array" ref="AN286">VLOOKUP($R286,武学奇术!$A:$ZZ,5,FALSE)+SUM(_xlfn.XLOOKUP($S286:$AG286,增益!$A:$A,增益!$E:$E,0))</f>
        <v>0</v>
      </c>
      <c r="AO286" cm="1">
        <f t="array" ref="AO286">$D$10*(1+$AN286)+VLOOKUP($R286,武学奇术!$A:$ZZ,3,FALSE)+SUM(_xlfn.XLOOKUP($S286:$AG286,增益!$A:$A,增益!$C:$C,0))-$I$2</f>
        <v>1825.28</v>
      </c>
      <c r="AP286" cm="1">
        <f t="array" ref="AP286">$E$10*(1+$AN286)+VLOOKUP($R286,武学奇术!$A:$ZZ,4,FALSE)+SUM(_xlfn.XLOOKUP($S286:$AG286,增益!$A:$A,增益!$D:$D,0))-$I$2</f>
        <v>7757.36</v>
      </c>
      <c r="AQ286" s="26" cm="1">
        <f t="array" ref="AQ286">IF($F$10-$I$3+VLOOKUP($R286,武学奇术!$A:$ZZ,6,FALSE)+SUM(_xlfn.XLOOKUP(S286:AG286,增益!$A:$A,增益!$F:$F,0))&gt;0,($F$10-$I$3+VLOOKUP($R286,武学奇术!$A:$ZZ,6,FALSE)+SUM(_xlfn.XLOOKUP(S286:AG286,增益!$A:$A,增益!$F:$F,0)))/200,($F$10-$I$3+VLOOKUP($R286,武学奇术!$A:$ZZ,6,FALSE)+SUM(_xlfn.XLOOKUP(S286:AG286,增益!$A:$A,增益!$F:$F,0)))/100)</f>
        <v>0.244</v>
      </c>
      <c r="AR286" s="26" cm="1">
        <f t="array" ref="AR286">$G$10+VLOOKUP($R286,武学奇术!$A:$ZZ,7,FALSE)+SUM(_xlfn.XLOOKUP(S286:AG286,增益!$A:$A,增益!$G:$G,0))</f>
        <v>0</v>
      </c>
      <c r="AS286" s="21" cm="1">
        <f t="array" ref="AS286">VLOOKUP($R286,武学奇术!$A:$ZZ,8,FALSE)+SUM(_xlfn.XLOOKUP(S286:AG286,增益!$A:$A,增益!$H:$H,0))</f>
        <v>0</v>
      </c>
      <c r="AT286">
        <f t="shared" si="45"/>
        <v>680.02</v>
      </c>
      <c r="AU286">
        <f t="shared" si="46"/>
        <v>1288.54</v>
      </c>
      <c r="AV286" s="26" cm="1">
        <f t="array" ref="AV286">IF($F$11-$I$4+VLOOKUP($R286,武学奇术!$A:$ZZ,9,FALSE)+SUM(_xlfn.XLOOKUP(S286:AG286,增益!$A:$A,增益!$I:$I,0))&gt;0,($F$11-$I$4+VLOOKUP($R286,武学奇术!$A:$ZZ,9,FALSE)+SUM(_xlfn.XLOOKUP(S286:AG286,增益!$A:$A,增益!$I:$I,0)))/200,($F$11-$I$4+VLOOKUP($R286,武学奇术!$A:$ZZ,9,FALSE)+SUM(_xlfn.XLOOKUP(S286:AG286,增益!$A:$A,增益!$I:$I,0)))/100)</f>
        <v>0</v>
      </c>
      <c r="AW286" s="26" cm="1">
        <f t="array" ref="AW286">$G$11+VLOOKUP($R286,武学奇术!$A:$ZZ,10,FALSE)+SUM(_xlfn.XLOOKUP(S286:AG286,增益!$A:$A,增益!$J:$J,0))</f>
        <v>0.15</v>
      </c>
      <c r="AX286">
        <f t="shared" si="47"/>
        <v>0</v>
      </c>
      <c r="AY286">
        <f t="shared" si="48"/>
        <v>0</v>
      </c>
      <c r="AZ286" s="26" cm="1">
        <f t="array" ref="AZ286">IF($F$12-$I$4+VLOOKUP($R286,武学奇术!$A:$ZZ,11,FALSE)+SUM(_xlfn.XLOOKUP(S286:AG286,增益!$A:$A,增益!$K:$K,0))&gt;0,($F$12-$I$4+VLOOKUP($R286,武学奇术!$A:$ZZ,11,FALSE)+SUM(_xlfn.XLOOKUP(S286:AG286,增益!$A:$A,增益!$K:$K,0)))/200,($F$12-$I$4+VLOOKUP($R286,武学奇术!$A:$ZZ,11,FALSE)+SUM(_xlfn.XLOOKUP(S286:AG286,增益!$A:$A,增益!$K:$K,0)))/100)</f>
        <v>-0.3</v>
      </c>
      <c r="BA286" s="26" cm="1">
        <f t="array" ref="BA286">$G$12+VLOOKUP($R286,武学奇术!$A:$ZZ,12,FALSE)+SUM(_xlfn.XLOOKUP(S286:AG286,增益!$A:$A,增益!$L:$L,0))</f>
        <v>0</v>
      </c>
      <c r="BB286">
        <f t="shared" si="49"/>
        <v>0</v>
      </c>
      <c r="BC286">
        <f t="shared" si="50"/>
        <v>0</v>
      </c>
      <c r="BD286" s="26" cm="1">
        <f t="array" ref="BD286">IF($F$13-$I$4+VLOOKUP($R286,武学奇术!$A:$ZZ,13,FALSE)+SUM(_xlfn.XLOOKUP(S286:AG286,增益!$A:$A,增益!$M:$M,0))&gt;0,($F$13-$I$4+VLOOKUP($R286,武学奇术!$A:$ZZ,13,FALSE)+SUM(_xlfn.XLOOKUP(S286:AG286,增益!$A:$A,增益!$K:$K,0)))/200,($F$13-$I$4+VLOOKUP($R286,武学奇术!$A:$ZZ,13,FALSE)+SUM(_xlfn.XLOOKUP(S286:AG286,增益!$A:$A,增益!$M:$M,0)))/100)</f>
        <v>-0.3</v>
      </c>
      <c r="BE286" s="26" cm="1">
        <f t="array" ref="BE286">$G$13+VLOOKUP($R286,武学奇术!$A:$ZZ,14,FALSE)+SUM(_xlfn.XLOOKUP(S286:AG286,增益!$A:$A,增益!$N:$N,0))</f>
        <v>0</v>
      </c>
      <c r="BF286">
        <f t="shared" si="51"/>
        <v>0</v>
      </c>
      <c r="BG286">
        <f t="shared" si="52"/>
        <v>0</v>
      </c>
      <c r="BH286" s="26" cm="1">
        <f t="array" ref="BH286">IF($F$14-$I$4+VLOOKUP($R286,武学奇术!$A:$ZZ,15,FALSE)+SUM(_xlfn.XLOOKUP(S286:AG286,增益!$A:$A,增益!$O:$O,0))&gt;0,($F$14-$I$4+VLOOKUP($R286,武学奇术!$A:$ZZ,15,FALSE)+SUM(_xlfn.XLOOKUP(S286:AG286,增益!$A:$A,增益!$O:$O,0)))/200,($F$14-$I$4+VLOOKUP($R286,武学奇术!$A:$ZZ,15,FALSE)+SUM(_xlfn.XLOOKUP(S286:AG286,增益!$A:$A,增益!$O:$O,0)))/100)</f>
        <v>-0.3</v>
      </c>
      <c r="BI286" s="26" cm="1">
        <f t="array" ref="BI286">$G$14+VLOOKUP($R286,武学奇术!$A:$ZZ,16,FALSE)+SUM(_xlfn.XLOOKUP(S286:AG286,增益!$A:$A,增益!$P:$P,0))</f>
        <v>0</v>
      </c>
      <c r="BJ286" s="21">
        <f>MIN(IF(VLOOKUP($R286,武学奇术!$A:$ZZ,23,FALSE)=1,100%,$B$8),100%)</f>
        <v>0.8229</v>
      </c>
      <c r="BK286" s="21" cm="1">
        <f t="array" ref="BK286">IF(VLOOKUP($R286,武学奇术!$A:$ZZ,23,FALSE)=1,100%,MIN(80%,$B$9+VLOOKUP($R286,武学奇术!$A:$ZZ,17,FALSE)+SUM(_xlfn.XLOOKUP(S286:AG286,增益!$A:$A,增益!$Q:$Q,0)))+$B$11+SUM(_xlfn.XLOOKUP(S286:AG286,增益!$A:$A,增益!$U:$U,0)))*IF(VLOOKUP($R286,武学奇术!$A:$ZZ,24,FALSE)=1,0,1)</f>
        <v>0.2285</v>
      </c>
      <c r="BL286" s="21" cm="1">
        <f t="array" ref="BL286">1+$B$13+VLOOKUP($R286,武学奇术!$A:$ZZ,18,FALSE)+SUM(_xlfn.XLOOKUP(S286:AG286,增益!$A:$A,增益!$R:$R,0))</f>
        <v>1.5</v>
      </c>
      <c r="BM286" s="21" cm="1">
        <f t="array" ref="BM286">IF(VLOOKUP($R286,武学奇术!$A:$ZZ,24,FALSE)=1,100%,MIN(40%,$B$10+VLOOKUP($R286,武学奇术!$A:$ZZ,19,FALSE)+SUM(_xlfn.XLOOKUP(S286:AG286,增益!$A:$A,增益!$S:$S,0)))+$B$12+SUM(_xlfn.XLOOKUP(S286:AG286,增益!$A:$A,增益!$V:$V,0)))*IF(VLOOKUP($R286,武学奇术!$A:$ZZ,23,FALSE)=1,0,1)</f>
        <v>0.4495</v>
      </c>
      <c r="BN286" s="21" cm="1">
        <f t="array" ref="BN286">1+$B$14+VLOOKUP($R286,武学奇术!$A:$ZZ,20,FALSE)+SUM(_xlfn.XLOOKUP(S286:AG286,增益!$A:$A,增益!$T:$T,0))</f>
        <v>1.542</v>
      </c>
      <c r="BO286" s="21">
        <f t="shared" si="53"/>
        <v>0.18803265</v>
      </c>
      <c r="BP286" s="21">
        <f t="shared" si="54"/>
        <v>0.2649738</v>
      </c>
      <c r="BQ286" s="21">
        <f>IF(VLOOKUP($R286,武学奇术!$A:$ZZ,22,FALSE)=1,0,(1-$BJ286))*(1-$BM286)</f>
        <v>0.09749355</v>
      </c>
      <c r="BR286" s="21" cm="1">
        <f t="array" ref="BR286">SUM(_xlfn.XLOOKUP(S286:AG286,增益!$A:$A,增益!$W:$W,0))+$I$5</f>
        <v>0.06</v>
      </c>
    </row>
    <row r="287" spans="11:70">
      <c r="K287" s="24">
        <f>$L287*VLOOKUP($R287,武学奇术!$A:$ZZ,31,FALSE)</f>
        <v>18755.6405941958</v>
      </c>
      <c r="L287" s="24">
        <f t="shared" si="44"/>
        <v>18755.6405941958</v>
      </c>
      <c r="M287" s="24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BL287*$Q287*(1+IF(VLOOKUP($R287,武学奇术!$A:$ZZ,30,FALSE)="流血",$B$21,0))*(1+$BR287)</f>
        <v>16567.8676359542</v>
      </c>
      <c r="N287" s="24">
        <f>(($AP287*$AI287+$AJ287)*(1+$AQ287)*(1+$AR287)+($AU287*IF($G$1="鸣金",$AK287,$AI287)+IF($G$1="鸣金",$AL287*1.5,0))*(1+$AV287)*(1+$AW287)+($AY287*IF($G$1="裂石",$AK287,$AI287)+IF($G$1="裂石",$AL287*1.5,0))*(1+$AZ287)*(1+$BA287)+($BC287*IF($G$1="牵丝",$AK287,$AI287)+IF($G$1="牵丝",$AL287*1.5,0))*(1+$BD287)*(1+$BE287)+($BG287*IF($G$1="破竹",$AK287,$AI287)+IF($G$1="破竹",$AL287*1.5,0))*(1+$BH287)*(1+$BI287))*(1+$AM287)*$BN287*$Q287*(1+IF(VLOOKUP($R287,武学奇术!$A:$ZZ,30,FALSE)="流血",$B$21,0))*(1+$BR287)</f>
        <v>27252.8308540839</v>
      </c>
      <c r="O287" s="24">
        <f>((($AO287+$AP287)/2*$AI287+$AJ287)*(1+$AQ287)*(1+$AR287)+(($AT287+$AU287)/2*IF($G$1="鸣金",$AK287,$AI287)+IF($G$1="鸣金",$AL287*1.5,0))*(1+$AV287)*(1+$AW287)+(($AX287+$AY287)/2*IF($G$1="裂石",$AK287,$AI287)+IF($G$1="裂石",$AL287*1.5,0))*(1+$AZ287)*(1+$BA287)+(($BB287+$BC287)/2*IF($G$1="牵丝",$AK287,$AI287)+IF($G$1="牵丝",$AL287*1.5,0))*(1+$BD287)*(1+$BE287)+(($BF287+$BG287)/2*IF($G$1="破竹",$AK287,$AI287)+IF($G$1="破竹",$AL287*1.5,0))*(1+$BH287)*(1+$BI287))*(1+$AM287)*$Q287*(1+IF(VLOOKUP($R287,武学奇术!$A:$ZZ,30,FALSE)="流血",$B$21,0))*(1+$BR287)</f>
        <v>11045.2450906362</v>
      </c>
      <c r="P287" s="24">
        <f>((($AO287*$AI287+$AJ287)*(1+$AQ287)*(1+$AR287)+($AT287*IF($G$1="鸣金",$AK287,$AI287)+IF($G$1="鸣金",$AL287*1.5,0))*(1+$AV287)*(1+$AW287)+($AX287*IF($G$1="裂石",$AK287,$AI287)+IF($G$1="裂石",$AL287*1.5,0))*(1+$AZ287)*(1+$BA287)+($BB287*IF($G$1="牵丝",$AK287,$AI287)+IF($G$1="牵丝",$AL287*1.5,0))*(1+$BD287)*(1+$BE287)+($BF287*IF($G$1="破竹",$AK287,$AI287)+IF($G$1="破竹",$AL287*1.5,0))*(1+$BH287)*(1+$BI287))*(1+$AM287))*$Q287*(1+IF(VLOOKUP($R287,武学奇术!$A:$ZZ,30,FALSE)="流血",$B$21,0))*(1+$BR287)</f>
        <v>4754.08378554464</v>
      </c>
      <c r="Q287" s="31">
        <v>1</v>
      </c>
      <c r="R287" s="32" t="s">
        <v>201</v>
      </c>
      <c r="S287" s="32" t="s">
        <v>87</v>
      </c>
      <c r="T287" s="32" t="s">
        <v>104</v>
      </c>
      <c r="U287" s="32" t="s">
        <v>73</v>
      </c>
      <c r="V287" s="32" t="s">
        <v>73</v>
      </c>
      <c r="W287" s="32" t="s">
        <v>111</v>
      </c>
      <c r="X287" s="32" t="s">
        <v>127</v>
      </c>
      <c r="Y287" s="32" t="s">
        <v>73</v>
      </c>
      <c r="Z287" s="32" t="s">
        <v>73</v>
      </c>
      <c r="AA287" s="32" t="s">
        <v>73</v>
      </c>
      <c r="AB287" s="32" t="s">
        <v>75</v>
      </c>
      <c r="AC287" s="32" t="s">
        <v>76</v>
      </c>
      <c r="AD287" s="32" t="s">
        <v>82</v>
      </c>
      <c r="AE287" s="32" t="s">
        <v>73</v>
      </c>
      <c r="AF287" s="32" t="s">
        <v>73</v>
      </c>
      <c r="AG287" s="32" t="s">
        <v>169</v>
      </c>
      <c r="AH287" t="str">
        <f>VLOOKUP($R287,武学奇术!$A:$ZZ,25,FALSE)</f>
        <v>心法</v>
      </c>
      <c r="AI287" s="21">
        <f>VLOOKUP($R287,武学奇术!$A:$ZZ,26,FALSE)</f>
        <v>1</v>
      </c>
      <c r="AJ287" s="22">
        <f>VLOOKUP($R287,武学奇术!$A:$ZZ,27,FALSE)*(1+IF(OR($AH287=$F$4,$AH287=$F$5),$B$22,0))</f>
        <v>0</v>
      </c>
      <c r="AK287" s="21">
        <f>VLOOKUP($R287,武学奇术!$A:$ZZ,28,FALSE)</f>
        <v>1</v>
      </c>
      <c r="AL287" s="22">
        <f>VLOOKUP($R287,武学奇术!$A:$ZZ,29,FALSE)*(1+IF(OR($AH287=$F$4,$AH287=$F$5),$B$22,0))</f>
        <v>0</v>
      </c>
      <c r="AM287" s="21" cm="1">
        <f t="array" ref="AM287">$G$3+IFERROR(VLOOKUP($AH287,$F$4:$G$7,2,FALSE),0)+VLOOKUP($R287,武学奇术!$A:$ZZ,2,FALSE)+SUM(_xlfn.XLOOKUP($S287:$AG287,增益!$A:$A,增益!$B:$B,0))</f>
        <v>0.4692</v>
      </c>
      <c r="AN287" s="21" cm="1">
        <f t="array" ref="AN287">VLOOKUP($R287,武学奇术!$A:$ZZ,5,FALSE)+SUM(_xlfn.XLOOKUP($S287:$AG287,增益!$A:$A,增益!$E:$E,0))</f>
        <v>0</v>
      </c>
      <c r="AO287" cm="1">
        <f t="array" ref="AO287">$D$10*(1+$AN287)+VLOOKUP($R287,武学奇术!$A:$ZZ,3,FALSE)+SUM(_xlfn.XLOOKUP($S287:$AG287,增益!$A:$A,增益!$C:$C,0))-$I$2</f>
        <v>1825.28</v>
      </c>
      <c r="AP287" cm="1">
        <f t="array" ref="AP287">$E$10*(1+$AN287)+VLOOKUP($R287,武学奇术!$A:$ZZ,4,FALSE)+SUM(_xlfn.XLOOKUP($S287:$AG287,增益!$A:$A,增益!$D:$D,0))-$I$2</f>
        <v>7757.36</v>
      </c>
      <c r="AQ287" s="26" cm="1">
        <f t="array" ref="AQ287">IF($F$10-$I$3+VLOOKUP($R287,武学奇术!$A:$ZZ,6,FALSE)+SUM(_xlfn.XLOOKUP(S287:AG287,增益!$A:$A,增益!$F:$F,0))&gt;0,($F$10-$I$3+VLOOKUP($R287,武学奇术!$A:$ZZ,6,FALSE)+SUM(_xlfn.XLOOKUP(S287:AG287,增益!$A:$A,增益!$F:$F,0)))/200,($F$10-$I$3+VLOOKUP($R287,武学奇术!$A:$ZZ,6,FALSE)+SUM(_xlfn.XLOOKUP(S287:AG287,增益!$A:$A,增益!$F:$F,0)))/100)</f>
        <v>0.244</v>
      </c>
      <c r="AR287" s="26" cm="1">
        <f t="array" ref="AR287">$G$10+VLOOKUP($R287,武学奇术!$A:$ZZ,7,FALSE)+SUM(_xlfn.XLOOKUP(S287:AG287,增益!$A:$A,增益!$G:$G,0))</f>
        <v>0</v>
      </c>
      <c r="AS287" s="21" cm="1">
        <f t="array" ref="AS287">VLOOKUP($R287,武学奇术!$A:$ZZ,8,FALSE)+SUM(_xlfn.XLOOKUP(S287:AG287,增益!$A:$A,增益!$H:$H,0))</f>
        <v>0</v>
      </c>
      <c r="AT287">
        <f t="shared" si="45"/>
        <v>680.02</v>
      </c>
      <c r="AU287">
        <f t="shared" si="46"/>
        <v>1288.54</v>
      </c>
      <c r="AV287" s="26" cm="1">
        <f t="array" ref="AV287">IF($F$11-$I$4+VLOOKUP($R287,武学奇术!$A:$ZZ,9,FALSE)+SUM(_xlfn.XLOOKUP(S287:AG287,增益!$A:$A,增益!$I:$I,0))&gt;0,($F$11-$I$4+VLOOKUP($R287,武学奇术!$A:$ZZ,9,FALSE)+SUM(_xlfn.XLOOKUP(S287:AG287,增益!$A:$A,增益!$I:$I,0)))/200,($F$11-$I$4+VLOOKUP($R287,武学奇术!$A:$ZZ,9,FALSE)+SUM(_xlfn.XLOOKUP(S287:AG287,增益!$A:$A,增益!$I:$I,0)))/100)</f>
        <v>0</v>
      </c>
      <c r="AW287" s="26" cm="1">
        <f t="array" ref="AW287">$G$11+VLOOKUP($R287,武学奇术!$A:$ZZ,10,FALSE)+SUM(_xlfn.XLOOKUP(S287:AG287,增益!$A:$A,增益!$J:$J,0))</f>
        <v>0.15</v>
      </c>
      <c r="AX287">
        <f t="shared" si="47"/>
        <v>0</v>
      </c>
      <c r="AY287">
        <f t="shared" si="48"/>
        <v>0</v>
      </c>
      <c r="AZ287" s="26" cm="1">
        <f t="array" ref="AZ287">IF($F$12-$I$4+VLOOKUP($R287,武学奇术!$A:$ZZ,11,FALSE)+SUM(_xlfn.XLOOKUP(S287:AG287,增益!$A:$A,增益!$K:$K,0))&gt;0,($F$12-$I$4+VLOOKUP($R287,武学奇术!$A:$ZZ,11,FALSE)+SUM(_xlfn.XLOOKUP(S287:AG287,增益!$A:$A,增益!$K:$K,0)))/200,($F$12-$I$4+VLOOKUP($R287,武学奇术!$A:$ZZ,11,FALSE)+SUM(_xlfn.XLOOKUP(S287:AG287,增益!$A:$A,增益!$K:$K,0)))/100)</f>
        <v>-0.3</v>
      </c>
      <c r="BA287" s="26" cm="1">
        <f t="array" ref="BA287">$G$12+VLOOKUP($R287,武学奇术!$A:$ZZ,12,FALSE)+SUM(_xlfn.XLOOKUP(S287:AG287,增益!$A:$A,增益!$L:$L,0))</f>
        <v>0</v>
      </c>
      <c r="BB287">
        <f t="shared" si="49"/>
        <v>0</v>
      </c>
      <c r="BC287">
        <f t="shared" si="50"/>
        <v>0</v>
      </c>
      <c r="BD287" s="26" cm="1">
        <f t="array" ref="BD287">IF($F$13-$I$4+VLOOKUP($R287,武学奇术!$A:$ZZ,13,FALSE)+SUM(_xlfn.XLOOKUP(S287:AG287,增益!$A:$A,增益!$M:$M,0))&gt;0,($F$13-$I$4+VLOOKUP($R287,武学奇术!$A:$ZZ,13,FALSE)+SUM(_xlfn.XLOOKUP(S287:AG287,增益!$A:$A,增益!$K:$K,0)))/200,($F$13-$I$4+VLOOKUP($R287,武学奇术!$A:$ZZ,13,FALSE)+SUM(_xlfn.XLOOKUP(S287:AG287,增益!$A:$A,增益!$M:$M,0)))/100)</f>
        <v>-0.3</v>
      </c>
      <c r="BE287" s="26" cm="1">
        <f t="array" ref="BE287">$G$13+VLOOKUP($R287,武学奇术!$A:$ZZ,14,FALSE)+SUM(_xlfn.XLOOKUP(S287:AG287,增益!$A:$A,增益!$N:$N,0))</f>
        <v>0</v>
      </c>
      <c r="BF287">
        <f t="shared" si="51"/>
        <v>0</v>
      </c>
      <c r="BG287">
        <f t="shared" si="52"/>
        <v>0</v>
      </c>
      <c r="BH287" s="26" cm="1">
        <f t="array" ref="BH287">IF($F$14-$I$4+VLOOKUP($R287,武学奇术!$A:$ZZ,15,FALSE)+SUM(_xlfn.XLOOKUP(S287:AG287,增益!$A:$A,增益!$O:$O,0))&gt;0,($F$14-$I$4+VLOOKUP($R287,武学奇术!$A:$ZZ,15,FALSE)+SUM(_xlfn.XLOOKUP(S287:AG287,增益!$A:$A,增益!$O:$O,0)))/200,($F$14-$I$4+VLOOKUP($R287,武学奇术!$A:$ZZ,15,FALSE)+SUM(_xlfn.XLOOKUP(S287:AG287,增益!$A:$A,增益!$O:$O,0)))/100)</f>
        <v>-0.3</v>
      </c>
      <c r="BI287" s="26" cm="1">
        <f t="array" ref="BI287">$G$14+VLOOKUP($R287,武学奇术!$A:$ZZ,16,FALSE)+SUM(_xlfn.XLOOKUP(S287:AG287,增益!$A:$A,增益!$P:$P,0))</f>
        <v>0</v>
      </c>
      <c r="BJ287" s="21">
        <f>MIN(IF(VLOOKUP($R287,武学奇术!$A:$ZZ,23,FALSE)=1,100%,$B$8),100%)</f>
        <v>0.8229</v>
      </c>
      <c r="BK287" s="21" cm="1">
        <f t="array" ref="BK287">IF(VLOOKUP($R287,武学奇术!$A:$ZZ,23,FALSE)=1,100%,MIN(80%,$B$9+VLOOKUP($R287,武学奇术!$A:$ZZ,17,FALSE)+SUM(_xlfn.XLOOKUP(S287:AG287,增益!$A:$A,增益!$Q:$Q,0)))+$B$11+SUM(_xlfn.XLOOKUP(S287:AG287,增益!$A:$A,增益!$U:$U,0)))*IF(VLOOKUP($R287,武学奇术!$A:$ZZ,24,FALSE)=1,0,1)</f>
        <v>0.2285</v>
      </c>
      <c r="BL287" s="21" cm="1">
        <f t="array" ref="BL287">1+$B$13+VLOOKUP($R287,武学奇术!$A:$ZZ,18,FALSE)+SUM(_xlfn.XLOOKUP(S287:AG287,增益!$A:$A,增益!$R:$R,0))</f>
        <v>1.5</v>
      </c>
      <c r="BM287" s="21" cm="1">
        <f t="array" ref="BM287">IF(VLOOKUP($R287,武学奇术!$A:$ZZ,24,FALSE)=1,100%,MIN(40%,$B$10+VLOOKUP($R287,武学奇术!$A:$ZZ,19,FALSE)+SUM(_xlfn.XLOOKUP(S287:AG287,增益!$A:$A,增益!$S:$S,0)))+$B$12+SUM(_xlfn.XLOOKUP(S287:AG287,增益!$A:$A,增益!$V:$V,0)))*IF(VLOOKUP($R287,武学奇术!$A:$ZZ,23,FALSE)=1,0,1)</f>
        <v>0.4495</v>
      </c>
      <c r="BN287" s="21" cm="1">
        <f t="array" ref="BN287">1+$B$14+VLOOKUP($R287,武学奇术!$A:$ZZ,20,FALSE)+SUM(_xlfn.XLOOKUP(S287:AG287,增益!$A:$A,增益!$T:$T,0))</f>
        <v>1.572</v>
      </c>
      <c r="BO287" s="21">
        <f t="shared" si="53"/>
        <v>0.18803265</v>
      </c>
      <c r="BP287" s="21">
        <f t="shared" si="54"/>
        <v>0.2649738</v>
      </c>
      <c r="BQ287" s="21">
        <f>IF(VLOOKUP($R287,武学奇术!$A:$ZZ,22,FALSE)=1,0,(1-$BJ287))*(1-$BM287)</f>
        <v>0.09749355</v>
      </c>
      <c r="BR287" s="21" cm="1">
        <f t="array" ref="BR287">SUM(_xlfn.XLOOKUP(S287:AG287,增益!$A:$A,增益!$W:$W,0))+$I$5</f>
        <v>0.06</v>
      </c>
    </row>
    <row r="288" spans="11:70">
      <c r="K288" s="24">
        <f>$L288*VLOOKUP($R288,武学奇术!$A:$ZZ,31,FALSE)</f>
        <v>18907.4663458959</v>
      </c>
      <c r="L288" s="24">
        <f t="shared" si="44"/>
        <v>18907.4663458959</v>
      </c>
      <c r="M288" s="24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BL288*$Q288*(1+IF(VLOOKUP($R288,武学奇术!$A:$ZZ,30,FALSE)="流血",$B$21,0))*(1+$BR288)</f>
        <v>16477.7810521622</v>
      </c>
      <c r="N288" s="24">
        <f>(($AP288*$AI288+$AJ288)*(1+$AQ288)*(1+$AR288)+($AU288*IF($G$1="鸣金",$AK288,$AI288)+IF($G$1="鸣金",$AL288*1.5,0))*(1+$AV288)*(1+$AW288)+($AY288*IF($G$1="裂石",$AK288,$AI288)+IF($G$1="裂石",$AL288*1.5,0))*(1+$AZ288)*(1+$BA288)+($BC288*IF($G$1="牵丝",$AK288,$AI288)+IF($G$1="牵丝",$AL288*1.5,0))*(1+$BD288)*(1+$BE288)+($BG288*IF($G$1="破竹",$AK288,$AI288)+IF($G$1="破竹",$AL288*1.5,0))*(1+$BH288)*(1+$BI288))*(1+$AM288)*$BN288*$Q288*(1+IF(VLOOKUP($R288,武学奇术!$A:$ZZ,30,FALSE)="流血",$B$21,0))*(1+$BR288)</f>
        <v>27676.7105744659</v>
      </c>
      <c r="O288" s="24">
        <f>((($AO288+$AP288)/2*$AI288+$AJ288)*(1+$AQ288)*(1+$AR288)+(($AT288+$AU288)/2*IF($G$1="鸣金",$AK288,$AI288)+IF($G$1="鸣金",$AL288*1.5,0))*(1+$AV288)*(1+$AW288)+(($AX288+$AY288)/2*IF($G$1="裂石",$AK288,$AI288)+IF($G$1="裂石",$AL288*1.5,0))*(1+$AZ288)*(1+$BA288)+(($BB288+$BC288)/2*IF($G$1="牵丝",$AK288,$AI288)+IF($G$1="牵丝",$AL288*1.5,0))*(1+$BD288)*(1+$BE288)+(($BF288+$BG288)/2*IF($G$1="破竹",$AK288,$AI288)+IF($G$1="破竹",$AL288*1.5,0))*(1+$BH288)*(1+$BI288))*(1+$AM288)*$Q288*(1+IF(VLOOKUP($R288,武学奇术!$A:$ZZ,30,FALSE)="流血",$B$21,0))*(1+$BR288)</f>
        <v>10985.1873681082</v>
      </c>
      <c r="P288" s="24">
        <f>((($AO288*$AI288+$AJ288)*(1+$AQ288)*(1+$AR288)+($AT288*IF($G$1="鸣金",$AK288,$AI288)+IF($G$1="鸣金",$AL288*1.5,0))*(1+$AV288)*(1+$AW288)+($AX288*IF($G$1="裂石",$AK288,$AI288)+IF($G$1="裂石",$AL288*1.5,0))*(1+$AZ288)*(1+$BA288)+($BB288*IF($G$1="牵丝",$AK288,$AI288)+IF($G$1="牵丝",$AL288*1.5,0))*(1+$BD288)*(1+$BE288)+($BF288*IF($G$1="破竹",$AK288,$AI288)+IF($G$1="破竹",$AL288*1.5,0))*(1+$BH288)*(1+$BI288))*(1+$AM288))*$Q288*(1+IF(VLOOKUP($R288,武学奇术!$A:$ZZ,30,FALSE)="流血",$B$21,0))*(1+$BR288)</f>
        <v>4694.02606301664</v>
      </c>
      <c r="Q288" s="31">
        <v>1</v>
      </c>
      <c r="R288" s="32" t="s">
        <v>201</v>
      </c>
      <c r="S288" s="32" t="s">
        <v>87</v>
      </c>
      <c r="T288" s="32" t="s">
        <v>104</v>
      </c>
      <c r="U288" s="32" t="s">
        <v>73</v>
      </c>
      <c r="V288" s="32" t="s">
        <v>73</v>
      </c>
      <c r="W288" s="32" t="s">
        <v>73</v>
      </c>
      <c r="X288" s="32" t="s">
        <v>127</v>
      </c>
      <c r="Y288" s="32" t="s">
        <v>73</v>
      </c>
      <c r="Z288" s="32" t="s">
        <v>73</v>
      </c>
      <c r="AA288" s="32" t="s">
        <v>81</v>
      </c>
      <c r="AB288" s="32" t="s">
        <v>75</v>
      </c>
      <c r="AC288" s="32" t="s">
        <v>89</v>
      </c>
      <c r="AD288" s="32" t="s">
        <v>82</v>
      </c>
      <c r="AE288" s="32" t="s">
        <v>73</v>
      </c>
      <c r="AF288" s="32" t="s">
        <v>73</v>
      </c>
      <c r="AG288" s="32" t="s">
        <v>178</v>
      </c>
      <c r="AH288" t="str">
        <f>VLOOKUP($R288,武学奇术!$A:$ZZ,25,FALSE)</f>
        <v>心法</v>
      </c>
      <c r="AI288" s="21">
        <f>VLOOKUP($R288,武学奇术!$A:$ZZ,26,FALSE)</f>
        <v>1</v>
      </c>
      <c r="AJ288" s="22">
        <f>VLOOKUP($R288,武学奇术!$A:$ZZ,27,FALSE)*(1+IF(OR($AH288=$F$4,$AH288=$F$5),$B$22,0))</f>
        <v>0</v>
      </c>
      <c r="AK288" s="21">
        <f>VLOOKUP($R288,武学奇术!$A:$ZZ,28,FALSE)</f>
        <v>1</v>
      </c>
      <c r="AL288" s="22">
        <f>VLOOKUP($R288,武学奇术!$A:$ZZ,29,FALSE)*(1+IF(OR($AH288=$F$4,$AH288=$F$5),$B$22,0))</f>
        <v>0</v>
      </c>
      <c r="AM288" s="21" cm="1">
        <f t="array" ref="AM288">$G$3+IFERROR(VLOOKUP($AH288,$F$4:$G$7,2,FALSE),0)+VLOOKUP($R288,武学奇术!$A:$ZZ,2,FALSE)+SUM(_xlfn.XLOOKUP($S288:$AG288,增益!$A:$A,增益!$B:$B,0))</f>
        <v>0.4692</v>
      </c>
      <c r="AN288" s="21" cm="1">
        <f t="array" ref="AN288">VLOOKUP($R288,武学奇术!$A:$ZZ,5,FALSE)+SUM(_xlfn.XLOOKUP($S288:$AG288,增益!$A:$A,增益!$E:$E,0))</f>
        <v>0</v>
      </c>
      <c r="AO288" cm="1">
        <f t="array" ref="AO288">$D$10*(1+$AN288)+VLOOKUP($R288,武学奇术!$A:$ZZ,3,FALSE)+SUM(_xlfn.XLOOKUP($S288:$AG288,增益!$A:$A,增益!$C:$C,0))-$I$2</f>
        <v>1794.28</v>
      </c>
      <c r="AP288" cm="1">
        <f t="array" ref="AP288">$E$10*(1+$AN288)+VLOOKUP($R288,武学奇术!$A:$ZZ,4,FALSE)+SUM(_xlfn.XLOOKUP($S288:$AG288,增益!$A:$A,增益!$D:$D,0))-$I$2</f>
        <v>7726.36</v>
      </c>
      <c r="AQ288" s="26" cm="1">
        <f t="array" ref="AQ288">IF($F$10-$I$3+VLOOKUP($R288,武学奇术!$A:$ZZ,6,FALSE)+SUM(_xlfn.XLOOKUP(S288:AG288,增益!$A:$A,增益!$F:$F,0))&gt;0,($F$10-$I$3+VLOOKUP($R288,武学奇术!$A:$ZZ,6,FALSE)+SUM(_xlfn.XLOOKUP(S288:AG288,增益!$A:$A,增益!$F:$F,0)))/200,($F$10-$I$3+VLOOKUP($R288,武学奇术!$A:$ZZ,6,FALSE)+SUM(_xlfn.XLOOKUP(S288:AG288,增益!$A:$A,增益!$F:$F,0)))/100)</f>
        <v>0.244</v>
      </c>
      <c r="AR288" s="26" cm="1">
        <f t="array" ref="AR288">$G$10+VLOOKUP($R288,武学奇术!$A:$ZZ,7,FALSE)+SUM(_xlfn.XLOOKUP(S288:AG288,增益!$A:$A,增益!$G:$G,0))</f>
        <v>0</v>
      </c>
      <c r="AS288" s="21" cm="1">
        <f t="array" ref="AS288">VLOOKUP($R288,武学奇术!$A:$ZZ,8,FALSE)+SUM(_xlfn.XLOOKUP(S288:AG288,增益!$A:$A,增益!$H:$H,0))</f>
        <v>0</v>
      </c>
      <c r="AT288">
        <f t="shared" si="45"/>
        <v>680.02</v>
      </c>
      <c r="AU288">
        <f t="shared" si="46"/>
        <v>1288.54</v>
      </c>
      <c r="AV288" s="26" cm="1">
        <f t="array" ref="AV288">IF($F$11-$I$4+VLOOKUP($R288,武学奇术!$A:$ZZ,9,FALSE)+SUM(_xlfn.XLOOKUP(S288:AG288,增益!$A:$A,增益!$I:$I,0))&gt;0,($F$11-$I$4+VLOOKUP($R288,武学奇术!$A:$ZZ,9,FALSE)+SUM(_xlfn.XLOOKUP(S288:AG288,增益!$A:$A,增益!$I:$I,0)))/200,($F$11-$I$4+VLOOKUP($R288,武学奇术!$A:$ZZ,9,FALSE)+SUM(_xlfn.XLOOKUP(S288:AG288,增益!$A:$A,增益!$I:$I,0)))/100)</f>
        <v>0</v>
      </c>
      <c r="AW288" s="26" cm="1">
        <f t="array" ref="AW288">$G$11+VLOOKUP($R288,武学奇术!$A:$ZZ,10,FALSE)+SUM(_xlfn.XLOOKUP(S288:AG288,增益!$A:$A,增益!$J:$J,0))</f>
        <v>0.15</v>
      </c>
      <c r="AX288">
        <f t="shared" si="47"/>
        <v>0</v>
      </c>
      <c r="AY288">
        <f t="shared" si="48"/>
        <v>0</v>
      </c>
      <c r="AZ288" s="26" cm="1">
        <f t="array" ref="AZ288">IF($F$12-$I$4+VLOOKUP($R288,武学奇术!$A:$ZZ,11,FALSE)+SUM(_xlfn.XLOOKUP(S288:AG288,增益!$A:$A,增益!$K:$K,0))&gt;0,($F$12-$I$4+VLOOKUP($R288,武学奇术!$A:$ZZ,11,FALSE)+SUM(_xlfn.XLOOKUP(S288:AG288,增益!$A:$A,增益!$K:$K,0)))/200,($F$12-$I$4+VLOOKUP($R288,武学奇术!$A:$ZZ,11,FALSE)+SUM(_xlfn.XLOOKUP(S288:AG288,增益!$A:$A,增益!$K:$K,0)))/100)</f>
        <v>-0.3</v>
      </c>
      <c r="BA288" s="26" cm="1">
        <f t="array" ref="BA288">$G$12+VLOOKUP($R288,武学奇术!$A:$ZZ,12,FALSE)+SUM(_xlfn.XLOOKUP(S288:AG288,增益!$A:$A,增益!$L:$L,0))</f>
        <v>0</v>
      </c>
      <c r="BB288">
        <f t="shared" si="49"/>
        <v>0</v>
      </c>
      <c r="BC288">
        <f t="shared" si="50"/>
        <v>0</v>
      </c>
      <c r="BD288" s="26" cm="1">
        <f t="array" ref="BD288">IF($F$13-$I$4+VLOOKUP($R288,武学奇术!$A:$ZZ,13,FALSE)+SUM(_xlfn.XLOOKUP(S288:AG288,增益!$A:$A,增益!$M:$M,0))&gt;0,($F$13-$I$4+VLOOKUP($R288,武学奇术!$A:$ZZ,13,FALSE)+SUM(_xlfn.XLOOKUP(S288:AG288,增益!$A:$A,增益!$K:$K,0)))/200,($F$13-$I$4+VLOOKUP($R288,武学奇术!$A:$ZZ,13,FALSE)+SUM(_xlfn.XLOOKUP(S288:AG288,增益!$A:$A,增益!$M:$M,0)))/100)</f>
        <v>-0.3</v>
      </c>
      <c r="BE288" s="26" cm="1">
        <f t="array" ref="BE288">$G$13+VLOOKUP($R288,武学奇术!$A:$ZZ,14,FALSE)+SUM(_xlfn.XLOOKUP(S288:AG288,增益!$A:$A,增益!$N:$N,0))</f>
        <v>0</v>
      </c>
      <c r="BF288">
        <f t="shared" si="51"/>
        <v>0</v>
      </c>
      <c r="BG288">
        <f t="shared" si="52"/>
        <v>0</v>
      </c>
      <c r="BH288" s="26" cm="1">
        <f t="array" ref="BH288">IF($F$14-$I$4+VLOOKUP($R288,武学奇术!$A:$ZZ,15,FALSE)+SUM(_xlfn.XLOOKUP(S288:AG288,增益!$A:$A,增益!$O:$O,0))&gt;0,($F$14-$I$4+VLOOKUP($R288,武学奇术!$A:$ZZ,15,FALSE)+SUM(_xlfn.XLOOKUP(S288:AG288,增益!$A:$A,增益!$O:$O,0)))/200,($F$14-$I$4+VLOOKUP($R288,武学奇术!$A:$ZZ,15,FALSE)+SUM(_xlfn.XLOOKUP(S288:AG288,增益!$A:$A,增益!$O:$O,0)))/100)</f>
        <v>-0.3</v>
      </c>
      <c r="BI288" s="26" cm="1">
        <f t="array" ref="BI288">$G$14+VLOOKUP($R288,武学奇术!$A:$ZZ,16,FALSE)+SUM(_xlfn.XLOOKUP(S288:AG288,增益!$A:$A,增益!$P:$P,0))</f>
        <v>0</v>
      </c>
      <c r="BJ288" s="21">
        <f>MIN(IF(VLOOKUP($R288,武学奇术!$A:$ZZ,23,FALSE)=1,100%,$B$8),100%)</f>
        <v>0.8229</v>
      </c>
      <c r="BK288" s="21" cm="1">
        <f t="array" ref="BK288">IF(VLOOKUP($R288,武学奇术!$A:$ZZ,23,FALSE)=1,100%,MIN(80%,$B$9+VLOOKUP($R288,武学奇术!$A:$ZZ,17,FALSE)+SUM(_xlfn.XLOOKUP(S288:AG288,增益!$A:$A,增益!$Q:$Q,0)))+$B$11+SUM(_xlfn.XLOOKUP(S288:AG288,增益!$A:$A,增益!$U:$U,0)))*IF(VLOOKUP($R288,武学奇术!$A:$ZZ,24,FALSE)=1,0,1)</f>
        <v>0.2285</v>
      </c>
      <c r="BL288" s="21" cm="1">
        <f t="array" ref="BL288">1+$B$13+VLOOKUP($R288,武学奇术!$A:$ZZ,18,FALSE)+SUM(_xlfn.XLOOKUP(S288:AG288,增益!$A:$A,增益!$R:$R,0))</f>
        <v>1.5</v>
      </c>
      <c r="BM288" s="21" cm="1">
        <f t="array" ref="BM288">IF(VLOOKUP($R288,武学奇术!$A:$ZZ,24,FALSE)=1,100%,MIN(40%,$B$10+VLOOKUP($R288,武学奇术!$A:$ZZ,19,FALSE)+SUM(_xlfn.XLOOKUP(S288:AG288,增益!$A:$A,增益!$S:$S,0)))+$B$12+SUM(_xlfn.XLOOKUP(S288:AG288,增益!$A:$A,增益!$V:$V,0)))*IF(VLOOKUP($R288,武学奇术!$A:$ZZ,23,FALSE)=1,0,1)</f>
        <v>0.4495</v>
      </c>
      <c r="BN288" s="21" cm="1">
        <f t="array" ref="BN288">1+$B$14+VLOOKUP($R288,武学奇术!$A:$ZZ,20,FALSE)+SUM(_xlfn.XLOOKUP(S288:AG288,增益!$A:$A,增益!$T:$T,0))</f>
        <v>1.602</v>
      </c>
      <c r="BO288" s="21">
        <f t="shared" si="53"/>
        <v>0.18803265</v>
      </c>
      <c r="BP288" s="21">
        <f t="shared" si="54"/>
        <v>0.2649738</v>
      </c>
      <c r="BQ288" s="21">
        <f>IF(VLOOKUP($R288,武学奇术!$A:$ZZ,22,FALSE)=1,0,(1-$BJ288))*(1-$BM288)</f>
        <v>0.09749355</v>
      </c>
      <c r="BR288" s="21" cm="1">
        <f t="array" ref="BR288">SUM(_xlfn.XLOOKUP(S288:AG288,增益!$A:$A,增益!$W:$W,0))+$I$5</f>
        <v>0.06</v>
      </c>
    </row>
    <row r="289" spans="11:70">
      <c r="K289" s="24">
        <f>$L289*VLOOKUP($R289,武学奇术!$A:$ZZ,31,FALSE)</f>
        <v>24882.7380334499</v>
      </c>
      <c r="L289" s="24">
        <f t="shared" si="44"/>
        <v>24882.7380334499</v>
      </c>
      <c r="M289" s="24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BL289*$Q289*(1+IF(VLOOKUP($R289,武学奇术!$A:$ZZ,30,FALSE)="流血",$B$21,0))*(1+$BR289)</f>
        <v>21709.6607474726</v>
      </c>
      <c r="N289" s="24">
        <f>(($AP289*$AI289+$AJ289)*(1+$AQ289)*(1+$AR289)+($AU289*IF($G$1="鸣金",$AK289,$AI289)+IF($G$1="鸣金",$AL289*1.5,0))*(1+$AV289)*(1+$AW289)+($AY289*IF($G$1="裂石",$AK289,$AI289)+IF($G$1="裂石",$AL289*1.5,0))*(1+$AZ289)*(1+$BA289)+($BC289*IF($G$1="牵丝",$AK289,$AI289)+IF($G$1="牵丝",$AL289*1.5,0))*(1+$BD289)*(1+$BE289)+($BG289*IF($G$1="破竹",$AK289,$AI289)+IF($G$1="破竹",$AL289*1.5,0))*(1+$BH289)*(1+$BI289))*(1+$AM289)*$BN289*$Q289*(1+IF(VLOOKUP($R289,武学奇术!$A:$ZZ,30,FALSE)="流血",$B$21,0))*(1+$BR289)</f>
        <v>36392.1749341424</v>
      </c>
      <c r="O289" s="24">
        <f>((($AO289+$AP289)/2*$AI289+$AJ289)*(1+$AQ289)*(1+$AR289)+(($AT289+$AU289)/2*IF($G$1="鸣金",$AK289,$AI289)+IF($G$1="鸣金",$AL289*1.5,0))*(1+$AV289)*(1+$AW289)+(($AX289+$AY289)/2*IF($G$1="裂石",$AK289,$AI289)+IF($G$1="裂石",$AL289*1.5,0))*(1+$AZ289)*(1+$BA289)+(($BB289+$BC289)/2*IF($G$1="牵丝",$AK289,$AI289)+IF($G$1="牵丝",$AL289*1.5,0))*(1+$BD289)*(1+$BE289)+(($BF289+$BG289)/2*IF($G$1="破竹",$AK289,$AI289)+IF($G$1="破竹",$AL289*1.5,0))*(1+$BH289)*(1+$BI289))*(1+$AM289)*$Q289*(1+IF(VLOOKUP($R289,武学奇术!$A:$ZZ,30,FALSE)="流血",$B$21,0))*(1+$BR289)</f>
        <v>14473.1071649818</v>
      </c>
      <c r="P289" s="24">
        <f>((($AO289*$AI289+$AJ289)*(1+$AQ289)*(1+$AR289)+($AT289*IF($G$1="鸣金",$AK289,$AI289)+IF($G$1="鸣金",$AL289*1.5,0))*(1+$AV289)*(1+$AW289)+($AX289*IF($G$1="裂石",$AK289,$AI289)+IF($G$1="裂石",$AL289*1.5,0))*(1+$AZ289)*(1+$BA289)+($BB289*IF($G$1="牵丝",$AK289,$AI289)+IF($G$1="牵丝",$AL289*1.5,0))*(1+$BD289)*(1+$BE289)+($BF289*IF($G$1="破竹",$AK289,$AI289)+IF($G$1="破竹",$AL289*1.5,0))*(1+$BH289)*(1+$BI289))*(1+$AM289))*$Q289*(1+IF(VLOOKUP($R289,武学奇术!$A:$ZZ,30,FALSE)="流血",$B$21,0))*(1+$BR289)</f>
        <v>6229.50088792704</v>
      </c>
      <c r="Q289" s="31">
        <v>1</v>
      </c>
      <c r="R289" s="32" t="s">
        <v>201</v>
      </c>
      <c r="S289" s="32" t="s">
        <v>87</v>
      </c>
      <c r="T289" s="32" t="s">
        <v>104</v>
      </c>
      <c r="U289" s="32" t="s">
        <v>73</v>
      </c>
      <c r="V289" s="32" t="s">
        <v>73</v>
      </c>
      <c r="W289" s="32" t="s">
        <v>111</v>
      </c>
      <c r="X289" s="32" t="s">
        <v>127</v>
      </c>
      <c r="Y289" s="32" t="s">
        <v>179</v>
      </c>
      <c r="Z289" s="32" t="s">
        <v>182</v>
      </c>
      <c r="AA289" s="32" t="s">
        <v>73</v>
      </c>
      <c r="AB289" s="32" t="s">
        <v>75</v>
      </c>
      <c r="AC289" s="32" t="s">
        <v>89</v>
      </c>
      <c r="AD289" s="32" t="s">
        <v>82</v>
      </c>
      <c r="AE289" s="32" t="s">
        <v>183</v>
      </c>
      <c r="AF289" s="32" t="s">
        <v>73</v>
      </c>
      <c r="AG289" s="32" t="s">
        <v>178</v>
      </c>
      <c r="AH289" t="str">
        <f>VLOOKUP($R289,武学奇术!$A:$ZZ,25,FALSE)</f>
        <v>心法</v>
      </c>
      <c r="AI289" s="21">
        <f>VLOOKUP($R289,武学奇术!$A:$ZZ,26,FALSE)</f>
        <v>1</v>
      </c>
      <c r="AJ289" s="22">
        <f>VLOOKUP($R289,武学奇术!$A:$ZZ,27,FALSE)*(1+IF(OR($AH289=$F$4,$AH289=$F$5),$B$22,0))</f>
        <v>0</v>
      </c>
      <c r="AK289" s="21">
        <f>VLOOKUP($R289,武学奇术!$A:$ZZ,28,FALSE)</f>
        <v>1</v>
      </c>
      <c r="AL289" s="22">
        <f>VLOOKUP($R289,武学奇术!$A:$ZZ,29,FALSE)*(1+IF(OR($AH289=$F$4,$AH289=$F$5),$B$22,0))</f>
        <v>0</v>
      </c>
      <c r="AM289" s="21" cm="1">
        <f t="array" ref="AM289">$G$3+IFERROR(VLOOKUP($AH289,$F$4:$G$7,2,FALSE),0)+VLOOKUP($R289,武学奇术!$A:$ZZ,2,FALSE)+SUM(_xlfn.XLOOKUP($S289:$AG289,增益!$A:$A,增益!$B:$B,0))</f>
        <v>0.7592</v>
      </c>
      <c r="AN289" s="21" cm="1">
        <f t="array" ref="AN289">VLOOKUP($R289,武学奇术!$A:$ZZ,5,FALSE)+SUM(_xlfn.XLOOKUP($S289:$AG289,增益!$A:$A,增益!$E:$E,0))</f>
        <v>0</v>
      </c>
      <c r="AO289" cm="1">
        <f t="array" ref="AO289">$D$10*(1+$AN289)+VLOOKUP($R289,武学奇术!$A:$ZZ,3,FALSE)+SUM(_xlfn.XLOOKUP($S289:$AG289,增益!$A:$A,增益!$C:$C,0))-$I$2</f>
        <v>1825.28</v>
      </c>
      <c r="AP289" cm="1">
        <f t="array" ref="AP289">$E$10*(1+$AN289)+VLOOKUP($R289,武学奇术!$A:$ZZ,4,FALSE)+SUM(_xlfn.XLOOKUP($S289:$AG289,增益!$A:$A,增益!$D:$D,0))-$I$2</f>
        <v>7757.36</v>
      </c>
      <c r="AQ289" s="26" cm="1">
        <f t="array" ref="AQ289">IF($F$10-$I$3+VLOOKUP($R289,武学奇术!$A:$ZZ,6,FALSE)+SUM(_xlfn.XLOOKUP(S289:AG289,增益!$A:$A,增益!$F:$F,0))&gt;0,($F$10-$I$3+VLOOKUP($R289,武学奇术!$A:$ZZ,6,FALSE)+SUM(_xlfn.XLOOKUP(S289:AG289,增益!$A:$A,增益!$F:$F,0)))/200,($F$10-$I$3+VLOOKUP($R289,武学奇术!$A:$ZZ,6,FALSE)+SUM(_xlfn.XLOOKUP(S289:AG289,增益!$A:$A,增益!$F:$F,0)))/100)</f>
        <v>0.244</v>
      </c>
      <c r="AR289" s="26" cm="1">
        <f t="array" ref="AR289">$G$10+VLOOKUP($R289,武学奇术!$A:$ZZ,7,FALSE)+SUM(_xlfn.XLOOKUP(S289:AG289,增益!$A:$A,增益!$G:$G,0))</f>
        <v>0</v>
      </c>
      <c r="AS289" s="21" cm="1">
        <f t="array" ref="AS289">VLOOKUP($R289,武学奇术!$A:$ZZ,8,FALSE)+SUM(_xlfn.XLOOKUP(S289:AG289,增益!$A:$A,增益!$H:$H,0))</f>
        <v>0</v>
      </c>
      <c r="AT289">
        <f t="shared" si="45"/>
        <v>680.02</v>
      </c>
      <c r="AU289">
        <f t="shared" si="46"/>
        <v>1288.54</v>
      </c>
      <c r="AV289" s="26" cm="1">
        <f t="array" ref="AV289">IF($F$11-$I$4+VLOOKUP($R289,武学奇术!$A:$ZZ,9,FALSE)+SUM(_xlfn.XLOOKUP(S289:AG289,增益!$A:$A,增益!$I:$I,0))&gt;0,($F$11-$I$4+VLOOKUP($R289,武学奇术!$A:$ZZ,9,FALSE)+SUM(_xlfn.XLOOKUP(S289:AG289,增益!$A:$A,增益!$I:$I,0)))/200,($F$11-$I$4+VLOOKUP($R289,武学奇术!$A:$ZZ,9,FALSE)+SUM(_xlfn.XLOOKUP(S289:AG289,增益!$A:$A,增益!$I:$I,0)))/100)</f>
        <v>0</v>
      </c>
      <c r="AW289" s="26" cm="1">
        <f t="array" ref="AW289">$G$11+VLOOKUP($R289,武学奇术!$A:$ZZ,10,FALSE)+SUM(_xlfn.XLOOKUP(S289:AG289,增益!$A:$A,增益!$J:$J,0))</f>
        <v>0.15</v>
      </c>
      <c r="AX289">
        <f t="shared" si="47"/>
        <v>0</v>
      </c>
      <c r="AY289">
        <f t="shared" si="48"/>
        <v>0</v>
      </c>
      <c r="AZ289" s="26" cm="1">
        <f t="array" ref="AZ289">IF($F$12-$I$4+VLOOKUP($R289,武学奇术!$A:$ZZ,11,FALSE)+SUM(_xlfn.XLOOKUP(S289:AG289,增益!$A:$A,增益!$K:$K,0))&gt;0,($F$12-$I$4+VLOOKUP($R289,武学奇术!$A:$ZZ,11,FALSE)+SUM(_xlfn.XLOOKUP(S289:AG289,增益!$A:$A,增益!$K:$K,0)))/200,($F$12-$I$4+VLOOKUP($R289,武学奇术!$A:$ZZ,11,FALSE)+SUM(_xlfn.XLOOKUP(S289:AG289,增益!$A:$A,增益!$K:$K,0)))/100)</f>
        <v>-0.3</v>
      </c>
      <c r="BA289" s="26" cm="1">
        <f t="array" ref="BA289">$G$12+VLOOKUP($R289,武学奇术!$A:$ZZ,12,FALSE)+SUM(_xlfn.XLOOKUP(S289:AG289,增益!$A:$A,增益!$L:$L,0))</f>
        <v>0</v>
      </c>
      <c r="BB289">
        <f t="shared" si="49"/>
        <v>0</v>
      </c>
      <c r="BC289">
        <f t="shared" si="50"/>
        <v>0</v>
      </c>
      <c r="BD289" s="26" cm="1">
        <f t="array" ref="BD289">IF($F$13-$I$4+VLOOKUP($R289,武学奇术!$A:$ZZ,13,FALSE)+SUM(_xlfn.XLOOKUP(S289:AG289,增益!$A:$A,增益!$M:$M,0))&gt;0,($F$13-$I$4+VLOOKUP($R289,武学奇术!$A:$ZZ,13,FALSE)+SUM(_xlfn.XLOOKUP(S289:AG289,增益!$A:$A,增益!$K:$K,0)))/200,($F$13-$I$4+VLOOKUP($R289,武学奇术!$A:$ZZ,13,FALSE)+SUM(_xlfn.XLOOKUP(S289:AG289,增益!$A:$A,增益!$M:$M,0)))/100)</f>
        <v>-0.3</v>
      </c>
      <c r="BE289" s="26" cm="1">
        <f t="array" ref="BE289">$G$13+VLOOKUP($R289,武学奇术!$A:$ZZ,14,FALSE)+SUM(_xlfn.XLOOKUP(S289:AG289,增益!$A:$A,增益!$N:$N,0))</f>
        <v>0</v>
      </c>
      <c r="BF289">
        <f t="shared" si="51"/>
        <v>0</v>
      </c>
      <c r="BG289">
        <f t="shared" si="52"/>
        <v>0</v>
      </c>
      <c r="BH289" s="26" cm="1">
        <f t="array" ref="BH289">IF($F$14-$I$4+VLOOKUP($R289,武学奇术!$A:$ZZ,15,FALSE)+SUM(_xlfn.XLOOKUP(S289:AG289,增益!$A:$A,增益!$O:$O,0))&gt;0,($F$14-$I$4+VLOOKUP($R289,武学奇术!$A:$ZZ,15,FALSE)+SUM(_xlfn.XLOOKUP(S289:AG289,增益!$A:$A,增益!$O:$O,0)))/200,($F$14-$I$4+VLOOKUP($R289,武学奇术!$A:$ZZ,15,FALSE)+SUM(_xlfn.XLOOKUP(S289:AG289,增益!$A:$A,增益!$O:$O,0)))/100)</f>
        <v>-0.3</v>
      </c>
      <c r="BI289" s="26" cm="1">
        <f t="array" ref="BI289">$G$14+VLOOKUP($R289,武学奇术!$A:$ZZ,16,FALSE)+SUM(_xlfn.XLOOKUP(S289:AG289,增益!$A:$A,增益!$P:$P,0))</f>
        <v>0</v>
      </c>
      <c r="BJ289" s="21">
        <f>MIN(IF(VLOOKUP($R289,武学奇术!$A:$ZZ,23,FALSE)=1,100%,$B$8),100%)</f>
        <v>0.8229</v>
      </c>
      <c r="BK289" s="21" cm="1">
        <f t="array" ref="BK289">IF(VLOOKUP($R289,武学奇术!$A:$ZZ,23,FALSE)=1,100%,MIN(80%,$B$9+VLOOKUP($R289,武学奇术!$A:$ZZ,17,FALSE)+SUM(_xlfn.XLOOKUP(S289:AG289,增益!$A:$A,增益!$Q:$Q,0)))+$B$11+SUM(_xlfn.XLOOKUP(S289:AG289,增益!$A:$A,增益!$U:$U,0)))*IF(VLOOKUP($R289,武学奇术!$A:$ZZ,24,FALSE)=1,0,1)</f>
        <v>0.2285</v>
      </c>
      <c r="BL289" s="21" cm="1">
        <f t="array" ref="BL289">1+$B$13+VLOOKUP($R289,武学奇术!$A:$ZZ,18,FALSE)+SUM(_xlfn.XLOOKUP(S289:AG289,增益!$A:$A,增益!$R:$R,0))</f>
        <v>1.5</v>
      </c>
      <c r="BM289" s="21" cm="1">
        <f t="array" ref="BM289">IF(VLOOKUP($R289,武学奇术!$A:$ZZ,24,FALSE)=1,100%,MIN(40%,$B$10+VLOOKUP($R289,武学奇术!$A:$ZZ,19,FALSE)+SUM(_xlfn.XLOOKUP(S289:AG289,增益!$A:$A,增益!$S:$S,0)))+$B$12+SUM(_xlfn.XLOOKUP(S289:AG289,增益!$A:$A,增益!$V:$V,0)))*IF(VLOOKUP($R289,武学奇术!$A:$ZZ,23,FALSE)=1,0,1)</f>
        <v>0.4495</v>
      </c>
      <c r="BN289" s="21" cm="1">
        <f t="array" ref="BN289">1+$B$14+VLOOKUP($R289,武学奇术!$A:$ZZ,20,FALSE)+SUM(_xlfn.XLOOKUP(S289:AG289,增益!$A:$A,增益!$T:$T,0))</f>
        <v>1.602</v>
      </c>
      <c r="BO289" s="21">
        <f t="shared" si="53"/>
        <v>0.18803265</v>
      </c>
      <c r="BP289" s="21">
        <f t="shared" si="54"/>
        <v>0.2649738</v>
      </c>
      <c r="BQ289" s="21">
        <f>IF(VLOOKUP($R289,武学奇术!$A:$ZZ,22,FALSE)=1,0,(1-$BJ289))*(1-$BM289)</f>
        <v>0.09749355</v>
      </c>
      <c r="BR289" s="21" cm="1">
        <f t="array" ref="BR289">SUM(_xlfn.XLOOKUP(S289:AG289,增益!$A:$A,增益!$W:$W,0))+$I$5</f>
        <v>0.16</v>
      </c>
    </row>
    <row r="290" spans="11:70">
      <c r="K290" s="24">
        <f>$L290*VLOOKUP($R290,武学奇术!$A:$ZZ,31,FALSE)</f>
        <v>22091.424000319</v>
      </c>
      <c r="L290" s="24">
        <f t="shared" si="44"/>
        <v>22091.424000319</v>
      </c>
      <c r="M290" s="24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BL290*$Q290*(1+IF(VLOOKUP($R290,武学奇术!$A:$ZZ,30,FALSE)="流血",$B$21,0))*(1+$BR290)</f>
        <v>19274.2985048822</v>
      </c>
      <c r="N290" s="24">
        <f>(($AP290*$AI290+$AJ290)*(1+$AQ290)*(1+$AR290)+($AU290*IF($G$1="鸣金",$AK290,$AI290)+IF($G$1="鸣金",$AL290*1.5,0))*(1+$AV290)*(1+$AW290)+($AY290*IF($G$1="裂石",$AK290,$AI290)+IF($G$1="裂石",$AL290*1.5,0))*(1+$AZ290)*(1+$BA290)+($BC290*IF($G$1="牵丝",$AK290,$AI290)+IF($G$1="牵丝",$AL290*1.5,0))*(1+$BD290)*(1+$BE290)+($BG290*IF($G$1="破竹",$AK290,$AI290)+IF($G$1="破竹",$AL290*1.5,0))*(1+$BH290)*(1+$BI290))*(1+$AM290)*$BN290*$Q290*(1+IF(VLOOKUP($R290,武学奇术!$A:$ZZ,30,FALSE)="流血",$B$21,0))*(1+$BR290)</f>
        <v>32309.7468487255</v>
      </c>
      <c r="O290" s="24">
        <f>((($AO290+$AP290)/2*$AI290+$AJ290)*(1+$AQ290)*(1+$AR290)+(($AT290+$AU290)/2*IF($G$1="鸣金",$AK290,$AI290)+IF($G$1="鸣金",$AL290*1.5,0))*(1+$AV290)*(1+$AW290)+(($AX290+$AY290)/2*IF($G$1="裂石",$AK290,$AI290)+IF($G$1="裂石",$AL290*1.5,0))*(1+$AZ290)*(1+$BA290)+(($BB290+$BC290)/2*IF($G$1="牵丝",$AK290,$AI290)+IF($G$1="牵丝",$AL290*1.5,0))*(1+$BD290)*(1+$BE290)+(($BF290+$BG290)/2*IF($G$1="破竹",$AK290,$AI290)+IF($G$1="破竹",$AL290*1.5,0))*(1+$BH290)*(1+$BI290))*(1+$AM290)*$Q290*(1+IF(VLOOKUP($R290,武学奇术!$A:$ZZ,30,FALSE)="流血",$B$21,0))*(1+$BR290)</f>
        <v>12849.5323365882</v>
      </c>
      <c r="P290" s="24">
        <f>((($AO290*$AI290+$AJ290)*(1+$AQ290)*(1+$AR290)+($AT290*IF($G$1="鸣金",$AK290,$AI290)+IF($G$1="鸣金",$AL290*1.5,0))*(1+$AV290)*(1+$AW290)+($AX290*IF($G$1="裂石",$AK290,$AI290)+IF($G$1="裂石",$AL290*1.5,0))*(1+$AZ290)*(1+$BA290)+($BB290*IF($G$1="牵丝",$AK290,$AI290)+IF($G$1="牵丝",$AL290*1.5,0))*(1+$BD290)*(1+$BE290)+($BF290*IF($G$1="破竹",$AK290,$AI290)+IF($G$1="破竹",$AL290*1.5,0))*(1+$BH290)*(1+$BI290))*(1+$AM290))*$Q290*(1+IF(VLOOKUP($R290,武学奇术!$A:$ZZ,30,FALSE)="流血",$B$21,0))*(1+$BR290)</f>
        <v>5530.68336935264</v>
      </c>
      <c r="Q290" s="31">
        <f t="shared" ref="Q290:Q293" si="55">IF($E$22="易水歌",1,0)</f>
        <v>1</v>
      </c>
      <c r="R290" s="32" t="s">
        <v>201</v>
      </c>
      <c r="S290" s="32" t="s">
        <v>87</v>
      </c>
      <c r="T290" s="32" t="s">
        <v>104</v>
      </c>
      <c r="U290" s="32" t="s">
        <v>73</v>
      </c>
      <c r="V290" s="32" t="s">
        <v>73</v>
      </c>
      <c r="W290" s="32" t="s">
        <v>111</v>
      </c>
      <c r="X290" s="32" t="s">
        <v>127</v>
      </c>
      <c r="Y290" s="32" t="s">
        <v>73</v>
      </c>
      <c r="Z290" s="32" t="s">
        <v>73</v>
      </c>
      <c r="AA290" s="32" t="s">
        <v>81</v>
      </c>
      <c r="AB290" s="32" t="s">
        <v>75</v>
      </c>
      <c r="AC290" s="32" t="s">
        <v>89</v>
      </c>
      <c r="AD290" s="32" t="s">
        <v>82</v>
      </c>
      <c r="AE290" s="32" t="s">
        <v>90</v>
      </c>
      <c r="AF290" s="32" t="s">
        <v>73</v>
      </c>
      <c r="AG290" s="32" t="s">
        <v>178</v>
      </c>
      <c r="AH290" t="str">
        <f>VLOOKUP($R290,武学奇术!$A:$ZZ,25,FALSE)</f>
        <v>心法</v>
      </c>
      <c r="AI290" s="21">
        <f>VLOOKUP($R290,武学奇术!$A:$ZZ,26,FALSE)</f>
        <v>1</v>
      </c>
      <c r="AJ290" s="22">
        <f>VLOOKUP($R290,武学奇术!$A:$ZZ,27,FALSE)*(1+IF(OR($AH290=$F$4,$AH290=$F$5),$B$22,0))</f>
        <v>0</v>
      </c>
      <c r="AK290" s="21">
        <f>VLOOKUP($R290,武学奇术!$A:$ZZ,28,FALSE)</f>
        <v>1</v>
      </c>
      <c r="AL290" s="22">
        <f>VLOOKUP($R290,武学奇术!$A:$ZZ,29,FALSE)*(1+IF(OR($AH290=$F$4,$AH290=$F$5),$B$22,0))</f>
        <v>0</v>
      </c>
      <c r="AM290" s="21" cm="1">
        <f t="array" ref="AM290">$G$3+IFERROR(VLOOKUP($AH290,$F$4:$G$7,2,FALSE),0)+VLOOKUP($R290,武学奇术!$A:$ZZ,2,FALSE)+SUM(_xlfn.XLOOKUP($S290:$AG290,增益!$A:$A,增益!$B:$B,0))</f>
        <v>0.7092</v>
      </c>
      <c r="AN290" s="21" cm="1">
        <f t="array" ref="AN290">VLOOKUP($R290,武学奇术!$A:$ZZ,5,FALSE)+SUM(_xlfn.XLOOKUP($S290:$AG290,增益!$A:$A,增益!$E:$E,0))</f>
        <v>0</v>
      </c>
      <c r="AO290" cm="1">
        <f t="array" ref="AO290">$D$10*(1+$AN290)+VLOOKUP($R290,武学奇术!$A:$ZZ,3,FALSE)+SUM(_xlfn.XLOOKUP($S290:$AG290,增益!$A:$A,增益!$C:$C,0))-$I$2</f>
        <v>1825.28</v>
      </c>
      <c r="AP290" cm="1">
        <f t="array" ref="AP290">$E$10*(1+$AN290)+VLOOKUP($R290,武学奇术!$A:$ZZ,4,FALSE)+SUM(_xlfn.XLOOKUP($S290:$AG290,增益!$A:$A,增益!$D:$D,0))-$I$2</f>
        <v>7757.36</v>
      </c>
      <c r="AQ290" s="26" cm="1">
        <f t="array" ref="AQ290">IF($F$10-$I$3+VLOOKUP($R290,武学奇术!$A:$ZZ,6,FALSE)+SUM(_xlfn.XLOOKUP(S290:AG290,增益!$A:$A,增益!$F:$F,0))&gt;0,($F$10-$I$3+VLOOKUP($R290,武学奇术!$A:$ZZ,6,FALSE)+SUM(_xlfn.XLOOKUP(S290:AG290,增益!$A:$A,增益!$F:$F,0)))/200,($F$10-$I$3+VLOOKUP($R290,武学奇术!$A:$ZZ,6,FALSE)+SUM(_xlfn.XLOOKUP(S290:AG290,增益!$A:$A,增益!$F:$F,0)))/100)</f>
        <v>0.244</v>
      </c>
      <c r="AR290" s="26" cm="1">
        <f t="array" ref="AR290">$G$10+VLOOKUP($R290,武学奇术!$A:$ZZ,7,FALSE)+SUM(_xlfn.XLOOKUP(S290:AG290,增益!$A:$A,增益!$G:$G,0))</f>
        <v>0</v>
      </c>
      <c r="AS290" s="21" cm="1">
        <f t="array" ref="AS290">VLOOKUP($R290,武学奇术!$A:$ZZ,8,FALSE)+SUM(_xlfn.XLOOKUP(S290:AG290,增益!$A:$A,增益!$H:$H,0))</f>
        <v>0</v>
      </c>
      <c r="AT290">
        <f t="shared" si="45"/>
        <v>680.02</v>
      </c>
      <c r="AU290">
        <f t="shared" si="46"/>
        <v>1288.54</v>
      </c>
      <c r="AV290" s="26" cm="1">
        <f t="array" ref="AV290">IF($F$11-$I$4+VLOOKUP($R290,武学奇术!$A:$ZZ,9,FALSE)+SUM(_xlfn.XLOOKUP(S290:AG290,增益!$A:$A,增益!$I:$I,0))&gt;0,($F$11-$I$4+VLOOKUP($R290,武学奇术!$A:$ZZ,9,FALSE)+SUM(_xlfn.XLOOKUP(S290:AG290,增益!$A:$A,增益!$I:$I,0)))/200,($F$11-$I$4+VLOOKUP($R290,武学奇术!$A:$ZZ,9,FALSE)+SUM(_xlfn.XLOOKUP(S290:AG290,增益!$A:$A,增益!$I:$I,0)))/100)</f>
        <v>0</v>
      </c>
      <c r="AW290" s="26" cm="1">
        <f t="array" ref="AW290">$G$11+VLOOKUP($R290,武学奇术!$A:$ZZ,10,FALSE)+SUM(_xlfn.XLOOKUP(S290:AG290,增益!$A:$A,增益!$J:$J,0))</f>
        <v>0.15</v>
      </c>
      <c r="AX290">
        <f t="shared" si="47"/>
        <v>0</v>
      </c>
      <c r="AY290">
        <f t="shared" si="48"/>
        <v>0</v>
      </c>
      <c r="AZ290" s="26" cm="1">
        <f t="array" ref="AZ290">IF($F$12-$I$4+VLOOKUP($R290,武学奇术!$A:$ZZ,11,FALSE)+SUM(_xlfn.XLOOKUP(S290:AG290,增益!$A:$A,增益!$K:$K,0))&gt;0,($F$12-$I$4+VLOOKUP($R290,武学奇术!$A:$ZZ,11,FALSE)+SUM(_xlfn.XLOOKUP(S290:AG290,增益!$A:$A,增益!$K:$K,0)))/200,($F$12-$I$4+VLOOKUP($R290,武学奇术!$A:$ZZ,11,FALSE)+SUM(_xlfn.XLOOKUP(S290:AG290,增益!$A:$A,增益!$K:$K,0)))/100)</f>
        <v>-0.3</v>
      </c>
      <c r="BA290" s="26" cm="1">
        <f t="array" ref="BA290">$G$12+VLOOKUP($R290,武学奇术!$A:$ZZ,12,FALSE)+SUM(_xlfn.XLOOKUP(S290:AG290,增益!$A:$A,增益!$L:$L,0))</f>
        <v>0</v>
      </c>
      <c r="BB290">
        <f t="shared" si="49"/>
        <v>0</v>
      </c>
      <c r="BC290">
        <f t="shared" si="50"/>
        <v>0</v>
      </c>
      <c r="BD290" s="26" cm="1">
        <f t="array" ref="BD290">IF($F$13-$I$4+VLOOKUP($R290,武学奇术!$A:$ZZ,13,FALSE)+SUM(_xlfn.XLOOKUP(S290:AG290,增益!$A:$A,增益!$M:$M,0))&gt;0,($F$13-$I$4+VLOOKUP($R290,武学奇术!$A:$ZZ,13,FALSE)+SUM(_xlfn.XLOOKUP(S290:AG290,增益!$A:$A,增益!$K:$K,0)))/200,($F$13-$I$4+VLOOKUP($R290,武学奇术!$A:$ZZ,13,FALSE)+SUM(_xlfn.XLOOKUP(S290:AG290,增益!$A:$A,增益!$M:$M,0)))/100)</f>
        <v>-0.3</v>
      </c>
      <c r="BE290" s="26" cm="1">
        <f t="array" ref="BE290">$G$13+VLOOKUP($R290,武学奇术!$A:$ZZ,14,FALSE)+SUM(_xlfn.XLOOKUP(S290:AG290,增益!$A:$A,增益!$N:$N,0))</f>
        <v>0</v>
      </c>
      <c r="BF290">
        <f t="shared" si="51"/>
        <v>0</v>
      </c>
      <c r="BG290">
        <f t="shared" si="52"/>
        <v>0</v>
      </c>
      <c r="BH290" s="26" cm="1">
        <f t="array" ref="BH290">IF($F$14-$I$4+VLOOKUP($R290,武学奇术!$A:$ZZ,15,FALSE)+SUM(_xlfn.XLOOKUP(S290:AG290,增益!$A:$A,增益!$O:$O,0))&gt;0,($F$14-$I$4+VLOOKUP($R290,武学奇术!$A:$ZZ,15,FALSE)+SUM(_xlfn.XLOOKUP(S290:AG290,增益!$A:$A,增益!$O:$O,0)))/200,($F$14-$I$4+VLOOKUP($R290,武学奇术!$A:$ZZ,15,FALSE)+SUM(_xlfn.XLOOKUP(S290:AG290,增益!$A:$A,增益!$O:$O,0)))/100)</f>
        <v>-0.3</v>
      </c>
      <c r="BI290" s="26" cm="1">
        <f t="array" ref="BI290">$G$14+VLOOKUP($R290,武学奇术!$A:$ZZ,16,FALSE)+SUM(_xlfn.XLOOKUP(S290:AG290,增益!$A:$A,增益!$P:$P,0))</f>
        <v>0</v>
      </c>
      <c r="BJ290" s="21">
        <f>MIN(IF(VLOOKUP($R290,武学奇术!$A:$ZZ,23,FALSE)=1,100%,$B$8),100%)</f>
        <v>0.8229</v>
      </c>
      <c r="BK290" s="21" cm="1">
        <f t="array" ref="BK290">IF(VLOOKUP($R290,武学奇术!$A:$ZZ,23,FALSE)=1,100%,MIN(80%,$B$9+VLOOKUP($R290,武学奇术!$A:$ZZ,17,FALSE)+SUM(_xlfn.XLOOKUP(S290:AG290,增益!$A:$A,增益!$Q:$Q,0)))+$B$11+SUM(_xlfn.XLOOKUP(S290:AG290,增益!$A:$A,增益!$U:$U,0)))*IF(VLOOKUP($R290,武学奇术!$A:$ZZ,24,FALSE)=1,0,1)</f>
        <v>0.2285</v>
      </c>
      <c r="BL290" s="21" cm="1">
        <f t="array" ref="BL290">1+$B$13+VLOOKUP($R290,武学奇术!$A:$ZZ,18,FALSE)+SUM(_xlfn.XLOOKUP(S290:AG290,增益!$A:$A,增益!$R:$R,0))</f>
        <v>1.5</v>
      </c>
      <c r="BM290" s="21" cm="1">
        <f t="array" ref="BM290">IF(VLOOKUP($R290,武学奇术!$A:$ZZ,24,FALSE)=1,100%,MIN(40%,$B$10+VLOOKUP($R290,武学奇术!$A:$ZZ,19,FALSE)+SUM(_xlfn.XLOOKUP(S290:AG290,增益!$A:$A,增益!$S:$S,0)))+$B$12+SUM(_xlfn.XLOOKUP(S290:AG290,增益!$A:$A,增益!$V:$V,0)))*IF(VLOOKUP($R290,武学奇术!$A:$ZZ,23,FALSE)=1,0,1)</f>
        <v>0.4495</v>
      </c>
      <c r="BN290" s="21" cm="1">
        <f t="array" ref="BN290">1+$B$14+VLOOKUP($R290,武学奇术!$A:$ZZ,20,FALSE)+SUM(_xlfn.XLOOKUP(S290:AG290,增益!$A:$A,增益!$T:$T,0))</f>
        <v>1.602</v>
      </c>
      <c r="BO290" s="21">
        <f t="shared" si="53"/>
        <v>0.18803265</v>
      </c>
      <c r="BP290" s="21">
        <f t="shared" si="54"/>
        <v>0.2649738</v>
      </c>
      <c r="BQ290" s="21">
        <f>IF(VLOOKUP($R290,武学奇术!$A:$ZZ,22,FALSE)=1,0,(1-$BJ290))*(1-$BM290)</f>
        <v>0.09749355</v>
      </c>
      <c r="BR290" s="21" cm="1">
        <f t="array" ref="BR290">SUM(_xlfn.XLOOKUP(S290:AG290,增益!$A:$A,增益!$W:$W,0))+$I$5</f>
        <v>0.06</v>
      </c>
    </row>
    <row r="291" spans="11:70">
      <c r="K291" s="24">
        <f>$L291*VLOOKUP($R291,武学奇术!$A:$ZZ,31,FALSE)</f>
        <v>18989.4220344422</v>
      </c>
      <c r="L291" s="24">
        <f t="shared" si="44"/>
        <v>18989.4220344422</v>
      </c>
      <c r="M291" s="24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BL291*$Q291*(1+IF(VLOOKUP($R291,武学奇术!$A:$ZZ,30,FALSE)="流血",$B$21,0))*(1+$BR291)</f>
        <v>16567.8676359542</v>
      </c>
      <c r="N291" s="24">
        <f>(($AP291*$AI291+$AJ291)*(1+$AQ291)*(1+$AR291)+($AU291*IF($G$1="鸣金",$AK291,$AI291)+IF($G$1="鸣金",$AL291*1.5,0))*(1+$AV291)*(1+$AW291)+($AY291*IF($G$1="裂石",$AK291,$AI291)+IF($G$1="裂石",$AL291*1.5,0))*(1+$AZ291)*(1+$BA291)+($BC291*IF($G$1="牵丝",$AK291,$AI291)+IF($G$1="牵丝",$AL291*1.5,0))*(1+$BD291)*(1+$BE291)+($BG291*IF($G$1="破竹",$AK291,$AI291)+IF($G$1="破竹",$AL291*1.5,0))*(1+$BH291)*(1+$BI291))*(1+$AM291)*$BN291*$Q291*(1+IF(VLOOKUP($R291,武学奇术!$A:$ZZ,30,FALSE)="流血",$B$21,0))*(1+$BR291)</f>
        <v>27772.9230459558</v>
      </c>
      <c r="O291" s="24">
        <f>((($AO291+$AP291)/2*$AI291+$AJ291)*(1+$AQ291)*(1+$AR291)+(($AT291+$AU291)/2*IF($G$1="鸣金",$AK291,$AI291)+IF($G$1="鸣金",$AL291*1.5,0))*(1+$AV291)*(1+$AW291)+(($AX291+$AY291)/2*IF($G$1="裂石",$AK291,$AI291)+IF($G$1="裂石",$AL291*1.5,0))*(1+$AZ291)*(1+$BA291)+(($BB291+$BC291)/2*IF($G$1="牵丝",$AK291,$AI291)+IF($G$1="牵丝",$AL291*1.5,0))*(1+$BD291)*(1+$BE291)+(($BF291+$BG291)/2*IF($G$1="破竹",$AK291,$AI291)+IF($G$1="破竹",$AL291*1.5,0))*(1+$BH291)*(1+$BI291))*(1+$AM291)*$Q291*(1+IF(VLOOKUP($R291,武学奇术!$A:$ZZ,30,FALSE)="流血",$B$21,0))*(1+$BR291)</f>
        <v>11045.2450906362</v>
      </c>
      <c r="P291" s="24">
        <f>((($AO291*$AI291+$AJ291)*(1+$AQ291)*(1+$AR291)+($AT291*IF($G$1="鸣金",$AK291,$AI291)+IF($G$1="鸣金",$AL291*1.5,0))*(1+$AV291)*(1+$AW291)+($AX291*IF($G$1="裂石",$AK291,$AI291)+IF($G$1="裂石",$AL291*1.5,0))*(1+$AZ291)*(1+$BA291)+($BB291*IF($G$1="牵丝",$AK291,$AI291)+IF($G$1="牵丝",$AL291*1.5,0))*(1+$BD291)*(1+$BE291)+($BF291*IF($G$1="破竹",$AK291,$AI291)+IF($G$1="破竹",$AL291*1.5,0))*(1+$BH291)*(1+$BI291))*(1+$AM291))*$Q291*(1+IF(VLOOKUP($R291,武学奇术!$A:$ZZ,30,FALSE)="流血",$B$21,0))*(1+$BR291)</f>
        <v>4754.08378554464</v>
      </c>
      <c r="Q291" s="31">
        <f t="shared" si="55"/>
        <v>1</v>
      </c>
      <c r="R291" s="32" t="s">
        <v>201</v>
      </c>
      <c r="S291" s="32" t="s">
        <v>87</v>
      </c>
      <c r="T291" s="32" t="s">
        <v>104</v>
      </c>
      <c r="U291" s="32" t="s">
        <v>73</v>
      </c>
      <c r="V291" s="32" t="s">
        <v>73</v>
      </c>
      <c r="W291" s="32" t="s">
        <v>111</v>
      </c>
      <c r="X291" s="32" t="s">
        <v>127</v>
      </c>
      <c r="Y291" s="32" t="s">
        <v>73</v>
      </c>
      <c r="Z291" s="32" t="s">
        <v>73</v>
      </c>
      <c r="AA291" s="32" t="s">
        <v>81</v>
      </c>
      <c r="AB291" s="32" t="s">
        <v>75</v>
      </c>
      <c r="AC291" s="32" t="s">
        <v>76</v>
      </c>
      <c r="AD291" s="32" t="s">
        <v>82</v>
      </c>
      <c r="AE291" s="32" t="s">
        <v>73</v>
      </c>
      <c r="AF291" s="32" t="s">
        <v>73</v>
      </c>
      <c r="AG291" s="32" t="s">
        <v>178</v>
      </c>
      <c r="AH291" t="str">
        <f>VLOOKUP($R291,武学奇术!$A:$ZZ,25,FALSE)</f>
        <v>心法</v>
      </c>
      <c r="AI291" s="21">
        <f>VLOOKUP($R291,武学奇术!$A:$ZZ,26,FALSE)</f>
        <v>1</v>
      </c>
      <c r="AJ291" s="22">
        <f>VLOOKUP($R291,武学奇术!$A:$ZZ,27,FALSE)*(1+IF(OR($AH291=$F$4,$AH291=$F$5),$B$22,0))</f>
        <v>0</v>
      </c>
      <c r="AK291" s="21">
        <f>VLOOKUP($R291,武学奇术!$A:$ZZ,28,FALSE)</f>
        <v>1</v>
      </c>
      <c r="AL291" s="22">
        <f>VLOOKUP($R291,武学奇术!$A:$ZZ,29,FALSE)*(1+IF(OR($AH291=$F$4,$AH291=$F$5),$B$22,0))</f>
        <v>0</v>
      </c>
      <c r="AM291" s="21" cm="1">
        <f t="array" ref="AM291">$G$3+IFERROR(VLOOKUP($AH291,$F$4:$G$7,2,FALSE),0)+VLOOKUP($R291,武学奇术!$A:$ZZ,2,FALSE)+SUM(_xlfn.XLOOKUP($S291:$AG291,增益!$A:$A,增益!$B:$B,0))</f>
        <v>0.4692</v>
      </c>
      <c r="AN291" s="21" cm="1">
        <f t="array" ref="AN291">VLOOKUP($R291,武学奇术!$A:$ZZ,5,FALSE)+SUM(_xlfn.XLOOKUP($S291:$AG291,增益!$A:$A,增益!$E:$E,0))</f>
        <v>0</v>
      </c>
      <c r="AO291" cm="1">
        <f t="array" ref="AO291">$D$10*(1+$AN291)+VLOOKUP($R291,武学奇术!$A:$ZZ,3,FALSE)+SUM(_xlfn.XLOOKUP($S291:$AG291,增益!$A:$A,增益!$C:$C,0))-$I$2</f>
        <v>1825.28</v>
      </c>
      <c r="AP291" cm="1">
        <f t="array" ref="AP291">$E$10*(1+$AN291)+VLOOKUP($R291,武学奇术!$A:$ZZ,4,FALSE)+SUM(_xlfn.XLOOKUP($S291:$AG291,增益!$A:$A,增益!$D:$D,0))-$I$2</f>
        <v>7757.36</v>
      </c>
      <c r="AQ291" s="26" cm="1">
        <f t="array" ref="AQ291">IF($F$10-$I$3+VLOOKUP($R291,武学奇术!$A:$ZZ,6,FALSE)+SUM(_xlfn.XLOOKUP(S291:AG291,增益!$A:$A,增益!$F:$F,0))&gt;0,($F$10-$I$3+VLOOKUP($R291,武学奇术!$A:$ZZ,6,FALSE)+SUM(_xlfn.XLOOKUP(S291:AG291,增益!$A:$A,增益!$F:$F,0)))/200,($F$10-$I$3+VLOOKUP($R291,武学奇术!$A:$ZZ,6,FALSE)+SUM(_xlfn.XLOOKUP(S291:AG291,增益!$A:$A,增益!$F:$F,0)))/100)</f>
        <v>0.244</v>
      </c>
      <c r="AR291" s="26" cm="1">
        <f t="array" ref="AR291">$G$10+VLOOKUP($R291,武学奇术!$A:$ZZ,7,FALSE)+SUM(_xlfn.XLOOKUP(S291:AG291,增益!$A:$A,增益!$G:$G,0))</f>
        <v>0</v>
      </c>
      <c r="AS291" s="21" cm="1">
        <f t="array" ref="AS291">VLOOKUP($R291,武学奇术!$A:$ZZ,8,FALSE)+SUM(_xlfn.XLOOKUP(S291:AG291,增益!$A:$A,增益!$H:$H,0))</f>
        <v>0</v>
      </c>
      <c r="AT291">
        <f t="shared" si="45"/>
        <v>680.02</v>
      </c>
      <c r="AU291">
        <f t="shared" si="46"/>
        <v>1288.54</v>
      </c>
      <c r="AV291" s="26" cm="1">
        <f t="array" ref="AV291">IF($F$11-$I$4+VLOOKUP($R291,武学奇术!$A:$ZZ,9,FALSE)+SUM(_xlfn.XLOOKUP(S291:AG291,增益!$A:$A,增益!$I:$I,0))&gt;0,($F$11-$I$4+VLOOKUP($R291,武学奇术!$A:$ZZ,9,FALSE)+SUM(_xlfn.XLOOKUP(S291:AG291,增益!$A:$A,增益!$I:$I,0)))/200,($F$11-$I$4+VLOOKUP($R291,武学奇术!$A:$ZZ,9,FALSE)+SUM(_xlfn.XLOOKUP(S291:AG291,增益!$A:$A,增益!$I:$I,0)))/100)</f>
        <v>0</v>
      </c>
      <c r="AW291" s="26" cm="1">
        <f t="array" ref="AW291">$G$11+VLOOKUP($R291,武学奇术!$A:$ZZ,10,FALSE)+SUM(_xlfn.XLOOKUP(S291:AG291,增益!$A:$A,增益!$J:$J,0))</f>
        <v>0.15</v>
      </c>
      <c r="AX291">
        <f t="shared" si="47"/>
        <v>0</v>
      </c>
      <c r="AY291">
        <f t="shared" si="48"/>
        <v>0</v>
      </c>
      <c r="AZ291" s="26" cm="1">
        <f t="array" ref="AZ291">IF($F$12-$I$4+VLOOKUP($R291,武学奇术!$A:$ZZ,11,FALSE)+SUM(_xlfn.XLOOKUP(S291:AG291,增益!$A:$A,增益!$K:$K,0))&gt;0,($F$12-$I$4+VLOOKUP($R291,武学奇术!$A:$ZZ,11,FALSE)+SUM(_xlfn.XLOOKUP(S291:AG291,增益!$A:$A,增益!$K:$K,0)))/200,($F$12-$I$4+VLOOKUP($R291,武学奇术!$A:$ZZ,11,FALSE)+SUM(_xlfn.XLOOKUP(S291:AG291,增益!$A:$A,增益!$K:$K,0)))/100)</f>
        <v>-0.3</v>
      </c>
      <c r="BA291" s="26" cm="1">
        <f t="array" ref="BA291">$G$12+VLOOKUP($R291,武学奇术!$A:$ZZ,12,FALSE)+SUM(_xlfn.XLOOKUP(S291:AG291,增益!$A:$A,增益!$L:$L,0))</f>
        <v>0</v>
      </c>
      <c r="BB291">
        <f t="shared" si="49"/>
        <v>0</v>
      </c>
      <c r="BC291">
        <f t="shared" si="50"/>
        <v>0</v>
      </c>
      <c r="BD291" s="26" cm="1">
        <f t="array" ref="BD291">IF($F$13-$I$4+VLOOKUP($R291,武学奇术!$A:$ZZ,13,FALSE)+SUM(_xlfn.XLOOKUP(S291:AG291,增益!$A:$A,增益!$M:$M,0))&gt;0,($F$13-$I$4+VLOOKUP($R291,武学奇术!$A:$ZZ,13,FALSE)+SUM(_xlfn.XLOOKUP(S291:AG291,增益!$A:$A,增益!$K:$K,0)))/200,($F$13-$I$4+VLOOKUP($R291,武学奇术!$A:$ZZ,13,FALSE)+SUM(_xlfn.XLOOKUP(S291:AG291,增益!$A:$A,增益!$M:$M,0)))/100)</f>
        <v>-0.3</v>
      </c>
      <c r="BE291" s="26" cm="1">
        <f t="array" ref="BE291">$G$13+VLOOKUP($R291,武学奇术!$A:$ZZ,14,FALSE)+SUM(_xlfn.XLOOKUP(S291:AG291,增益!$A:$A,增益!$N:$N,0))</f>
        <v>0</v>
      </c>
      <c r="BF291">
        <f t="shared" si="51"/>
        <v>0</v>
      </c>
      <c r="BG291">
        <f t="shared" si="52"/>
        <v>0</v>
      </c>
      <c r="BH291" s="26" cm="1">
        <f t="array" ref="BH291">IF($F$14-$I$4+VLOOKUP($R291,武学奇术!$A:$ZZ,15,FALSE)+SUM(_xlfn.XLOOKUP(S291:AG291,增益!$A:$A,增益!$O:$O,0))&gt;0,($F$14-$I$4+VLOOKUP($R291,武学奇术!$A:$ZZ,15,FALSE)+SUM(_xlfn.XLOOKUP(S291:AG291,增益!$A:$A,增益!$O:$O,0)))/200,($F$14-$I$4+VLOOKUP($R291,武学奇术!$A:$ZZ,15,FALSE)+SUM(_xlfn.XLOOKUP(S291:AG291,增益!$A:$A,增益!$O:$O,0)))/100)</f>
        <v>-0.3</v>
      </c>
      <c r="BI291" s="26" cm="1">
        <f t="array" ref="BI291">$G$14+VLOOKUP($R291,武学奇术!$A:$ZZ,16,FALSE)+SUM(_xlfn.XLOOKUP(S291:AG291,增益!$A:$A,增益!$P:$P,0))</f>
        <v>0</v>
      </c>
      <c r="BJ291" s="21">
        <f>MIN(IF(VLOOKUP($R291,武学奇术!$A:$ZZ,23,FALSE)=1,100%,$B$8),100%)</f>
        <v>0.8229</v>
      </c>
      <c r="BK291" s="21" cm="1">
        <f t="array" ref="BK291">IF(VLOOKUP($R291,武学奇术!$A:$ZZ,23,FALSE)=1,100%,MIN(80%,$B$9+VLOOKUP($R291,武学奇术!$A:$ZZ,17,FALSE)+SUM(_xlfn.XLOOKUP(S291:AG291,增益!$A:$A,增益!$Q:$Q,0)))+$B$11+SUM(_xlfn.XLOOKUP(S291:AG291,增益!$A:$A,增益!$U:$U,0)))*IF(VLOOKUP($R291,武学奇术!$A:$ZZ,24,FALSE)=1,0,1)</f>
        <v>0.2285</v>
      </c>
      <c r="BL291" s="21" cm="1">
        <f t="array" ref="BL291">1+$B$13+VLOOKUP($R291,武学奇术!$A:$ZZ,18,FALSE)+SUM(_xlfn.XLOOKUP(S291:AG291,增益!$A:$A,增益!$R:$R,0))</f>
        <v>1.5</v>
      </c>
      <c r="BM291" s="21" cm="1">
        <f t="array" ref="BM291">IF(VLOOKUP($R291,武学奇术!$A:$ZZ,24,FALSE)=1,100%,MIN(40%,$B$10+VLOOKUP($R291,武学奇术!$A:$ZZ,19,FALSE)+SUM(_xlfn.XLOOKUP(S291:AG291,增益!$A:$A,增益!$S:$S,0)))+$B$12+SUM(_xlfn.XLOOKUP(S291:AG291,增益!$A:$A,增益!$V:$V,0)))*IF(VLOOKUP($R291,武学奇术!$A:$ZZ,23,FALSE)=1,0,1)</f>
        <v>0.4495</v>
      </c>
      <c r="BN291" s="21" cm="1">
        <f t="array" ref="BN291">1+$B$14+VLOOKUP($R291,武学奇术!$A:$ZZ,20,FALSE)+SUM(_xlfn.XLOOKUP(S291:AG291,增益!$A:$A,增益!$T:$T,0))</f>
        <v>1.602</v>
      </c>
      <c r="BO291" s="21">
        <f t="shared" si="53"/>
        <v>0.18803265</v>
      </c>
      <c r="BP291" s="21">
        <f t="shared" si="54"/>
        <v>0.2649738</v>
      </c>
      <c r="BQ291" s="21">
        <f>IF(VLOOKUP($R291,武学奇术!$A:$ZZ,22,FALSE)=1,0,(1-$BJ291))*(1-$BM291)</f>
        <v>0.09749355</v>
      </c>
      <c r="BR291" s="21" cm="1">
        <f t="array" ref="BR291">SUM(_xlfn.XLOOKUP(S291:AG291,增益!$A:$A,增益!$W:$W,0))+$I$5</f>
        <v>0.06</v>
      </c>
    </row>
    <row r="292" spans="11:70">
      <c r="K292" s="24">
        <f>$L292*VLOOKUP($R292,武学奇术!$A:$ZZ,31,FALSE)</f>
        <v>18907.4663458959</v>
      </c>
      <c r="L292" s="24">
        <f t="shared" si="44"/>
        <v>18907.4663458959</v>
      </c>
      <c r="M292" s="24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BL292*$Q292*(1+IF(VLOOKUP($R292,武学奇术!$A:$ZZ,30,FALSE)="流血",$B$21,0))*(1+$BR292)</f>
        <v>16477.7810521622</v>
      </c>
      <c r="N292" s="24">
        <f>(($AP292*$AI292+$AJ292)*(1+$AQ292)*(1+$AR292)+($AU292*IF($G$1="鸣金",$AK292,$AI292)+IF($G$1="鸣金",$AL292*1.5,0))*(1+$AV292)*(1+$AW292)+($AY292*IF($G$1="裂石",$AK292,$AI292)+IF($G$1="裂石",$AL292*1.5,0))*(1+$AZ292)*(1+$BA292)+($BC292*IF($G$1="牵丝",$AK292,$AI292)+IF($G$1="牵丝",$AL292*1.5,0))*(1+$BD292)*(1+$BE292)+($BG292*IF($G$1="破竹",$AK292,$AI292)+IF($G$1="破竹",$AL292*1.5,0))*(1+$BH292)*(1+$BI292))*(1+$AM292)*$BN292*$Q292*(1+IF(VLOOKUP($R292,武学奇术!$A:$ZZ,30,FALSE)="流血",$B$21,0))*(1+$BR292)</f>
        <v>27676.7105744659</v>
      </c>
      <c r="O292" s="24">
        <f>((($AO292+$AP292)/2*$AI292+$AJ292)*(1+$AQ292)*(1+$AR292)+(($AT292+$AU292)/2*IF($G$1="鸣金",$AK292,$AI292)+IF($G$1="鸣金",$AL292*1.5,0))*(1+$AV292)*(1+$AW292)+(($AX292+$AY292)/2*IF($G$1="裂石",$AK292,$AI292)+IF($G$1="裂石",$AL292*1.5,0))*(1+$AZ292)*(1+$BA292)+(($BB292+$BC292)/2*IF($G$1="牵丝",$AK292,$AI292)+IF($G$1="牵丝",$AL292*1.5,0))*(1+$BD292)*(1+$BE292)+(($BF292+$BG292)/2*IF($G$1="破竹",$AK292,$AI292)+IF($G$1="破竹",$AL292*1.5,0))*(1+$BH292)*(1+$BI292))*(1+$AM292)*$Q292*(1+IF(VLOOKUP($R292,武学奇术!$A:$ZZ,30,FALSE)="流血",$B$21,0))*(1+$BR292)</f>
        <v>10985.1873681082</v>
      </c>
      <c r="P292" s="24">
        <f>((($AO292*$AI292+$AJ292)*(1+$AQ292)*(1+$AR292)+($AT292*IF($G$1="鸣金",$AK292,$AI292)+IF($G$1="鸣金",$AL292*1.5,0))*(1+$AV292)*(1+$AW292)+($AX292*IF($G$1="裂石",$AK292,$AI292)+IF($G$1="裂石",$AL292*1.5,0))*(1+$AZ292)*(1+$BA292)+($BB292*IF($G$1="牵丝",$AK292,$AI292)+IF($G$1="牵丝",$AL292*1.5,0))*(1+$BD292)*(1+$BE292)+($BF292*IF($G$1="破竹",$AK292,$AI292)+IF($G$1="破竹",$AL292*1.5,0))*(1+$BH292)*(1+$BI292))*(1+$AM292))*$Q292*(1+IF(VLOOKUP($R292,武学奇术!$A:$ZZ,30,FALSE)="流血",$B$21,0))*(1+$BR292)</f>
        <v>4694.02606301664</v>
      </c>
      <c r="Q292" s="31">
        <f t="shared" si="55"/>
        <v>1</v>
      </c>
      <c r="R292" s="32" t="s">
        <v>201</v>
      </c>
      <c r="S292" s="32" t="s">
        <v>87</v>
      </c>
      <c r="T292" s="32" t="s">
        <v>104</v>
      </c>
      <c r="U292" s="32" t="s">
        <v>73</v>
      </c>
      <c r="V292" s="32" t="s">
        <v>73</v>
      </c>
      <c r="W292" s="32" t="s">
        <v>73</v>
      </c>
      <c r="X292" s="32" t="s">
        <v>127</v>
      </c>
      <c r="Y292" s="32" t="s">
        <v>73</v>
      </c>
      <c r="Z292" s="32" t="s">
        <v>73</v>
      </c>
      <c r="AA292" s="32" t="s">
        <v>81</v>
      </c>
      <c r="AB292" s="32" t="s">
        <v>75</v>
      </c>
      <c r="AC292" s="32" t="s">
        <v>89</v>
      </c>
      <c r="AD292" s="32" t="s">
        <v>82</v>
      </c>
      <c r="AE292" s="32" t="s">
        <v>73</v>
      </c>
      <c r="AF292" s="32" t="s">
        <v>73</v>
      </c>
      <c r="AG292" s="32" t="s">
        <v>178</v>
      </c>
      <c r="AH292" t="str">
        <f>VLOOKUP($R292,武学奇术!$A:$ZZ,25,FALSE)</f>
        <v>心法</v>
      </c>
      <c r="AI292" s="21">
        <f>VLOOKUP($R292,武学奇术!$A:$ZZ,26,FALSE)</f>
        <v>1</v>
      </c>
      <c r="AJ292" s="22">
        <f>VLOOKUP($R292,武学奇术!$A:$ZZ,27,FALSE)*(1+IF(OR($AH292=$F$4,$AH292=$F$5),$B$22,0))</f>
        <v>0</v>
      </c>
      <c r="AK292" s="21">
        <f>VLOOKUP($R292,武学奇术!$A:$ZZ,28,FALSE)</f>
        <v>1</v>
      </c>
      <c r="AL292" s="22">
        <f>VLOOKUP($R292,武学奇术!$A:$ZZ,29,FALSE)*(1+IF(OR($AH292=$F$4,$AH292=$F$5),$B$22,0))</f>
        <v>0</v>
      </c>
      <c r="AM292" s="21" cm="1">
        <f t="array" ref="AM292">$G$3+IFERROR(VLOOKUP($AH292,$F$4:$G$7,2,FALSE),0)+VLOOKUP($R292,武学奇术!$A:$ZZ,2,FALSE)+SUM(_xlfn.XLOOKUP($S292:$AG292,增益!$A:$A,增益!$B:$B,0))</f>
        <v>0.4692</v>
      </c>
      <c r="AN292" s="21" cm="1">
        <f t="array" ref="AN292">VLOOKUP($R292,武学奇术!$A:$ZZ,5,FALSE)+SUM(_xlfn.XLOOKUP($S292:$AG292,增益!$A:$A,增益!$E:$E,0))</f>
        <v>0</v>
      </c>
      <c r="AO292" cm="1">
        <f t="array" ref="AO292">$D$10*(1+$AN292)+VLOOKUP($R292,武学奇术!$A:$ZZ,3,FALSE)+SUM(_xlfn.XLOOKUP($S292:$AG292,增益!$A:$A,增益!$C:$C,0))-$I$2</f>
        <v>1794.28</v>
      </c>
      <c r="AP292" cm="1">
        <f t="array" ref="AP292">$E$10*(1+$AN292)+VLOOKUP($R292,武学奇术!$A:$ZZ,4,FALSE)+SUM(_xlfn.XLOOKUP($S292:$AG292,增益!$A:$A,增益!$D:$D,0))-$I$2</f>
        <v>7726.36</v>
      </c>
      <c r="AQ292" s="26" cm="1">
        <f t="array" ref="AQ292">IF($F$10-$I$3+VLOOKUP($R292,武学奇术!$A:$ZZ,6,FALSE)+SUM(_xlfn.XLOOKUP(S292:AG292,增益!$A:$A,增益!$F:$F,0))&gt;0,($F$10-$I$3+VLOOKUP($R292,武学奇术!$A:$ZZ,6,FALSE)+SUM(_xlfn.XLOOKUP(S292:AG292,增益!$A:$A,增益!$F:$F,0)))/200,($F$10-$I$3+VLOOKUP($R292,武学奇术!$A:$ZZ,6,FALSE)+SUM(_xlfn.XLOOKUP(S292:AG292,增益!$A:$A,增益!$F:$F,0)))/100)</f>
        <v>0.244</v>
      </c>
      <c r="AR292" s="26" cm="1">
        <f t="array" ref="AR292">$G$10+VLOOKUP($R292,武学奇术!$A:$ZZ,7,FALSE)+SUM(_xlfn.XLOOKUP(S292:AG292,增益!$A:$A,增益!$G:$G,0))</f>
        <v>0</v>
      </c>
      <c r="AS292" s="21" cm="1">
        <f t="array" ref="AS292">VLOOKUP($R292,武学奇术!$A:$ZZ,8,FALSE)+SUM(_xlfn.XLOOKUP(S292:AG292,增益!$A:$A,增益!$H:$H,0))</f>
        <v>0</v>
      </c>
      <c r="AT292">
        <f t="shared" si="45"/>
        <v>680.02</v>
      </c>
      <c r="AU292">
        <f t="shared" si="46"/>
        <v>1288.54</v>
      </c>
      <c r="AV292" s="26" cm="1">
        <f t="array" ref="AV292">IF($F$11-$I$4+VLOOKUP($R292,武学奇术!$A:$ZZ,9,FALSE)+SUM(_xlfn.XLOOKUP(S292:AG292,增益!$A:$A,增益!$I:$I,0))&gt;0,($F$11-$I$4+VLOOKUP($R292,武学奇术!$A:$ZZ,9,FALSE)+SUM(_xlfn.XLOOKUP(S292:AG292,增益!$A:$A,增益!$I:$I,0)))/200,($F$11-$I$4+VLOOKUP($R292,武学奇术!$A:$ZZ,9,FALSE)+SUM(_xlfn.XLOOKUP(S292:AG292,增益!$A:$A,增益!$I:$I,0)))/100)</f>
        <v>0</v>
      </c>
      <c r="AW292" s="26" cm="1">
        <f t="array" ref="AW292">$G$11+VLOOKUP($R292,武学奇术!$A:$ZZ,10,FALSE)+SUM(_xlfn.XLOOKUP(S292:AG292,增益!$A:$A,增益!$J:$J,0))</f>
        <v>0.15</v>
      </c>
      <c r="AX292">
        <f t="shared" si="47"/>
        <v>0</v>
      </c>
      <c r="AY292">
        <f t="shared" si="48"/>
        <v>0</v>
      </c>
      <c r="AZ292" s="26" cm="1">
        <f t="array" ref="AZ292">IF($F$12-$I$4+VLOOKUP($R292,武学奇术!$A:$ZZ,11,FALSE)+SUM(_xlfn.XLOOKUP(S292:AG292,增益!$A:$A,增益!$K:$K,0))&gt;0,($F$12-$I$4+VLOOKUP($R292,武学奇术!$A:$ZZ,11,FALSE)+SUM(_xlfn.XLOOKUP(S292:AG292,增益!$A:$A,增益!$K:$K,0)))/200,($F$12-$I$4+VLOOKUP($R292,武学奇术!$A:$ZZ,11,FALSE)+SUM(_xlfn.XLOOKUP(S292:AG292,增益!$A:$A,增益!$K:$K,0)))/100)</f>
        <v>-0.3</v>
      </c>
      <c r="BA292" s="26" cm="1">
        <f t="array" ref="BA292">$G$12+VLOOKUP($R292,武学奇术!$A:$ZZ,12,FALSE)+SUM(_xlfn.XLOOKUP(S292:AG292,增益!$A:$A,增益!$L:$L,0))</f>
        <v>0</v>
      </c>
      <c r="BB292">
        <f t="shared" si="49"/>
        <v>0</v>
      </c>
      <c r="BC292">
        <f t="shared" si="50"/>
        <v>0</v>
      </c>
      <c r="BD292" s="26" cm="1">
        <f t="array" ref="BD292">IF($F$13-$I$4+VLOOKUP($R292,武学奇术!$A:$ZZ,13,FALSE)+SUM(_xlfn.XLOOKUP(S292:AG292,增益!$A:$A,增益!$M:$M,0))&gt;0,($F$13-$I$4+VLOOKUP($R292,武学奇术!$A:$ZZ,13,FALSE)+SUM(_xlfn.XLOOKUP(S292:AG292,增益!$A:$A,增益!$K:$K,0)))/200,($F$13-$I$4+VLOOKUP($R292,武学奇术!$A:$ZZ,13,FALSE)+SUM(_xlfn.XLOOKUP(S292:AG292,增益!$A:$A,增益!$M:$M,0)))/100)</f>
        <v>-0.3</v>
      </c>
      <c r="BE292" s="26" cm="1">
        <f t="array" ref="BE292">$G$13+VLOOKUP($R292,武学奇术!$A:$ZZ,14,FALSE)+SUM(_xlfn.XLOOKUP(S292:AG292,增益!$A:$A,增益!$N:$N,0))</f>
        <v>0</v>
      </c>
      <c r="BF292">
        <f t="shared" si="51"/>
        <v>0</v>
      </c>
      <c r="BG292">
        <f t="shared" si="52"/>
        <v>0</v>
      </c>
      <c r="BH292" s="26" cm="1">
        <f t="array" ref="BH292">IF($F$14-$I$4+VLOOKUP($R292,武学奇术!$A:$ZZ,15,FALSE)+SUM(_xlfn.XLOOKUP(S292:AG292,增益!$A:$A,增益!$O:$O,0))&gt;0,($F$14-$I$4+VLOOKUP($R292,武学奇术!$A:$ZZ,15,FALSE)+SUM(_xlfn.XLOOKUP(S292:AG292,增益!$A:$A,增益!$O:$O,0)))/200,($F$14-$I$4+VLOOKUP($R292,武学奇术!$A:$ZZ,15,FALSE)+SUM(_xlfn.XLOOKUP(S292:AG292,增益!$A:$A,增益!$O:$O,0)))/100)</f>
        <v>-0.3</v>
      </c>
      <c r="BI292" s="26" cm="1">
        <f t="array" ref="BI292">$G$14+VLOOKUP($R292,武学奇术!$A:$ZZ,16,FALSE)+SUM(_xlfn.XLOOKUP(S292:AG292,增益!$A:$A,增益!$P:$P,0))</f>
        <v>0</v>
      </c>
      <c r="BJ292" s="21">
        <f>MIN(IF(VLOOKUP($R292,武学奇术!$A:$ZZ,23,FALSE)=1,100%,$B$8),100%)</f>
        <v>0.8229</v>
      </c>
      <c r="BK292" s="21" cm="1">
        <f t="array" ref="BK292">IF(VLOOKUP($R292,武学奇术!$A:$ZZ,23,FALSE)=1,100%,MIN(80%,$B$9+VLOOKUP($R292,武学奇术!$A:$ZZ,17,FALSE)+SUM(_xlfn.XLOOKUP(S292:AG292,增益!$A:$A,增益!$Q:$Q,0)))+$B$11+SUM(_xlfn.XLOOKUP(S292:AG292,增益!$A:$A,增益!$U:$U,0)))*IF(VLOOKUP($R292,武学奇术!$A:$ZZ,24,FALSE)=1,0,1)</f>
        <v>0.2285</v>
      </c>
      <c r="BL292" s="21" cm="1">
        <f t="array" ref="BL292">1+$B$13+VLOOKUP($R292,武学奇术!$A:$ZZ,18,FALSE)+SUM(_xlfn.XLOOKUP(S292:AG292,增益!$A:$A,增益!$R:$R,0))</f>
        <v>1.5</v>
      </c>
      <c r="BM292" s="21" cm="1">
        <f t="array" ref="BM292">IF(VLOOKUP($R292,武学奇术!$A:$ZZ,24,FALSE)=1,100%,MIN(40%,$B$10+VLOOKUP($R292,武学奇术!$A:$ZZ,19,FALSE)+SUM(_xlfn.XLOOKUP(S292:AG292,增益!$A:$A,增益!$S:$S,0)))+$B$12+SUM(_xlfn.XLOOKUP(S292:AG292,增益!$A:$A,增益!$V:$V,0)))*IF(VLOOKUP($R292,武学奇术!$A:$ZZ,23,FALSE)=1,0,1)</f>
        <v>0.4495</v>
      </c>
      <c r="BN292" s="21" cm="1">
        <f t="array" ref="BN292">1+$B$14+VLOOKUP($R292,武学奇术!$A:$ZZ,20,FALSE)+SUM(_xlfn.XLOOKUP(S292:AG292,增益!$A:$A,增益!$T:$T,0))</f>
        <v>1.602</v>
      </c>
      <c r="BO292" s="21">
        <f t="shared" si="53"/>
        <v>0.18803265</v>
      </c>
      <c r="BP292" s="21">
        <f t="shared" si="54"/>
        <v>0.2649738</v>
      </c>
      <c r="BQ292" s="21">
        <f>IF(VLOOKUP($R292,武学奇术!$A:$ZZ,22,FALSE)=1,0,(1-$BJ292))*(1-$BM292)</f>
        <v>0.09749355</v>
      </c>
      <c r="BR292" s="21" cm="1">
        <f t="array" ref="BR292">SUM(_xlfn.XLOOKUP(S292:AG292,增益!$A:$A,增益!$W:$W,0))+$I$5</f>
        <v>0.06</v>
      </c>
    </row>
    <row r="293" spans="11:70">
      <c r="K293" s="24">
        <f>$L293*VLOOKUP($R293,武学奇术!$A:$ZZ,31,FALSE)</f>
        <v>24882.7380334499</v>
      </c>
      <c r="L293" s="24">
        <f t="shared" si="44"/>
        <v>24882.7380334499</v>
      </c>
      <c r="M293" s="24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BL293*$Q293*(1+IF(VLOOKUP($R293,武学奇术!$A:$ZZ,30,FALSE)="流血",$B$21,0))*(1+$BR293)</f>
        <v>21709.6607474726</v>
      </c>
      <c r="N293" s="24">
        <f>(($AP293*$AI293+$AJ293)*(1+$AQ293)*(1+$AR293)+($AU293*IF($G$1="鸣金",$AK293,$AI293)+IF($G$1="鸣金",$AL293*1.5,0))*(1+$AV293)*(1+$AW293)+($AY293*IF($G$1="裂石",$AK293,$AI293)+IF($G$1="裂石",$AL293*1.5,0))*(1+$AZ293)*(1+$BA293)+($BC293*IF($G$1="牵丝",$AK293,$AI293)+IF($G$1="牵丝",$AL293*1.5,0))*(1+$BD293)*(1+$BE293)+($BG293*IF($G$1="破竹",$AK293,$AI293)+IF($G$1="破竹",$AL293*1.5,0))*(1+$BH293)*(1+$BI293))*(1+$AM293)*$BN293*$Q293*(1+IF(VLOOKUP($R293,武学奇术!$A:$ZZ,30,FALSE)="流血",$B$21,0))*(1+$BR293)</f>
        <v>36392.1749341424</v>
      </c>
      <c r="O293" s="24">
        <f>((($AO293+$AP293)/2*$AI293+$AJ293)*(1+$AQ293)*(1+$AR293)+(($AT293+$AU293)/2*IF($G$1="鸣金",$AK293,$AI293)+IF($G$1="鸣金",$AL293*1.5,0))*(1+$AV293)*(1+$AW293)+(($AX293+$AY293)/2*IF($G$1="裂石",$AK293,$AI293)+IF($G$1="裂石",$AL293*1.5,0))*(1+$AZ293)*(1+$BA293)+(($BB293+$BC293)/2*IF($G$1="牵丝",$AK293,$AI293)+IF($G$1="牵丝",$AL293*1.5,0))*(1+$BD293)*(1+$BE293)+(($BF293+$BG293)/2*IF($G$1="破竹",$AK293,$AI293)+IF($G$1="破竹",$AL293*1.5,0))*(1+$BH293)*(1+$BI293))*(1+$AM293)*$Q293*(1+IF(VLOOKUP($R293,武学奇术!$A:$ZZ,30,FALSE)="流血",$B$21,0))*(1+$BR293)</f>
        <v>14473.1071649818</v>
      </c>
      <c r="P293" s="24">
        <f>((($AO293*$AI293+$AJ293)*(1+$AQ293)*(1+$AR293)+($AT293*IF($G$1="鸣金",$AK293,$AI293)+IF($G$1="鸣金",$AL293*1.5,0))*(1+$AV293)*(1+$AW293)+($AX293*IF($G$1="裂石",$AK293,$AI293)+IF($G$1="裂石",$AL293*1.5,0))*(1+$AZ293)*(1+$BA293)+($BB293*IF($G$1="牵丝",$AK293,$AI293)+IF($G$1="牵丝",$AL293*1.5,0))*(1+$BD293)*(1+$BE293)+($BF293*IF($G$1="破竹",$AK293,$AI293)+IF($G$1="破竹",$AL293*1.5,0))*(1+$BH293)*(1+$BI293))*(1+$AM293))*$Q293*(1+IF(VLOOKUP($R293,武学奇术!$A:$ZZ,30,FALSE)="流血",$B$21,0))*(1+$BR293)</f>
        <v>6229.50088792704</v>
      </c>
      <c r="Q293" s="31">
        <f t="shared" si="55"/>
        <v>1</v>
      </c>
      <c r="R293" s="32" t="s">
        <v>201</v>
      </c>
      <c r="S293" s="32" t="s">
        <v>87</v>
      </c>
      <c r="T293" s="32" t="s">
        <v>104</v>
      </c>
      <c r="U293" s="32" t="s">
        <v>73</v>
      </c>
      <c r="V293" s="32" t="s">
        <v>73</v>
      </c>
      <c r="W293" s="32" t="s">
        <v>111</v>
      </c>
      <c r="X293" s="32" t="s">
        <v>127</v>
      </c>
      <c r="Y293" s="32" t="s">
        <v>179</v>
      </c>
      <c r="Z293" s="32" t="s">
        <v>182</v>
      </c>
      <c r="AA293" s="32" t="s">
        <v>81</v>
      </c>
      <c r="AB293" s="32" t="s">
        <v>75</v>
      </c>
      <c r="AC293" s="32" t="s">
        <v>89</v>
      </c>
      <c r="AD293" s="32" t="s">
        <v>82</v>
      </c>
      <c r="AE293" s="32" t="s">
        <v>183</v>
      </c>
      <c r="AF293" s="32" t="s">
        <v>73</v>
      </c>
      <c r="AG293" s="32" t="s">
        <v>178</v>
      </c>
      <c r="AH293" t="str">
        <f>VLOOKUP($R293,武学奇术!$A:$ZZ,25,FALSE)</f>
        <v>心法</v>
      </c>
      <c r="AI293" s="21">
        <f>VLOOKUP($R293,武学奇术!$A:$ZZ,26,FALSE)</f>
        <v>1</v>
      </c>
      <c r="AJ293" s="22">
        <f>VLOOKUP($R293,武学奇术!$A:$ZZ,27,FALSE)*(1+IF(OR($AH293=$F$4,$AH293=$F$5),$B$22,0))</f>
        <v>0</v>
      </c>
      <c r="AK293" s="21">
        <f>VLOOKUP($R293,武学奇术!$A:$ZZ,28,FALSE)</f>
        <v>1</v>
      </c>
      <c r="AL293" s="22">
        <f>VLOOKUP($R293,武学奇术!$A:$ZZ,29,FALSE)*(1+IF(OR($AH293=$F$4,$AH293=$F$5),$B$22,0))</f>
        <v>0</v>
      </c>
      <c r="AM293" s="21" cm="1">
        <f t="array" ref="AM293">$G$3+IFERROR(VLOOKUP($AH293,$F$4:$G$7,2,FALSE),0)+VLOOKUP($R293,武学奇术!$A:$ZZ,2,FALSE)+SUM(_xlfn.XLOOKUP($S293:$AG293,增益!$A:$A,增益!$B:$B,0))</f>
        <v>0.7592</v>
      </c>
      <c r="AN293" s="21" cm="1">
        <f t="array" ref="AN293">VLOOKUP($R293,武学奇术!$A:$ZZ,5,FALSE)+SUM(_xlfn.XLOOKUP($S293:$AG293,增益!$A:$A,增益!$E:$E,0))</f>
        <v>0</v>
      </c>
      <c r="AO293" cm="1">
        <f t="array" ref="AO293">$D$10*(1+$AN293)+VLOOKUP($R293,武学奇术!$A:$ZZ,3,FALSE)+SUM(_xlfn.XLOOKUP($S293:$AG293,增益!$A:$A,增益!$C:$C,0))-$I$2</f>
        <v>1825.28</v>
      </c>
      <c r="AP293" cm="1">
        <f t="array" ref="AP293">$E$10*(1+$AN293)+VLOOKUP($R293,武学奇术!$A:$ZZ,4,FALSE)+SUM(_xlfn.XLOOKUP($S293:$AG293,增益!$A:$A,增益!$D:$D,0))-$I$2</f>
        <v>7757.36</v>
      </c>
      <c r="AQ293" s="26" cm="1">
        <f t="array" ref="AQ293">IF($F$10-$I$3+VLOOKUP($R293,武学奇术!$A:$ZZ,6,FALSE)+SUM(_xlfn.XLOOKUP(S293:AG293,增益!$A:$A,增益!$F:$F,0))&gt;0,($F$10-$I$3+VLOOKUP($R293,武学奇术!$A:$ZZ,6,FALSE)+SUM(_xlfn.XLOOKUP(S293:AG293,增益!$A:$A,增益!$F:$F,0)))/200,($F$10-$I$3+VLOOKUP($R293,武学奇术!$A:$ZZ,6,FALSE)+SUM(_xlfn.XLOOKUP(S293:AG293,增益!$A:$A,增益!$F:$F,0)))/100)</f>
        <v>0.244</v>
      </c>
      <c r="AR293" s="26" cm="1">
        <f t="array" ref="AR293">$G$10+VLOOKUP($R293,武学奇术!$A:$ZZ,7,FALSE)+SUM(_xlfn.XLOOKUP(S293:AG293,增益!$A:$A,增益!$G:$G,0))</f>
        <v>0</v>
      </c>
      <c r="AS293" s="21" cm="1">
        <f t="array" ref="AS293">VLOOKUP($R293,武学奇术!$A:$ZZ,8,FALSE)+SUM(_xlfn.XLOOKUP(S293:AG293,增益!$A:$A,增益!$H:$H,0))</f>
        <v>0</v>
      </c>
      <c r="AT293">
        <f t="shared" si="45"/>
        <v>680.02</v>
      </c>
      <c r="AU293">
        <f t="shared" si="46"/>
        <v>1288.54</v>
      </c>
      <c r="AV293" s="26" cm="1">
        <f t="array" ref="AV293">IF($F$11-$I$4+VLOOKUP($R293,武学奇术!$A:$ZZ,9,FALSE)+SUM(_xlfn.XLOOKUP(S293:AG293,增益!$A:$A,增益!$I:$I,0))&gt;0,($F$11-$I$4+VLOOKUP($R293,武学奇术!$A:$ZZ,9,FALSE)+SUM(_xlfn.XLOOKUP(S293:AG293,增益!$A:$A,增益!$I:$I,0)))/200,($F$11-$I$4+VLOOKUP($R293,武学奇术!$A:$ZZ,9,FALSE)+SUM(_xlfn.XLOOKUP(S293:AG293,增益!$A:$A,增益!$I:$I,0)))/100)</f>
        <v>0</v>
      </c>
      <c r="AW293" s="26" cm="1">
        <f t="array" ref="AW293">$G$11+VLOOKUP($R293,武学奇术!$A:$ZZ,10,FALSE)+SUM(_xlfn.XLOOKUP(S293:AG293,增益!$A:$A,增益!$J:$J,0))</f>
        <v>0.15</v>
      </c>
      <c r="AX293">
        <f t="shared" si="47"/>
        <v>0</v>
      </c>
      <c r="AY293">
        <f t="shared" si="48"/>
        <v>0</v>
      </c>
      <c r="AZ293" s="26" cm="1">
        <f t="array" ref="AZ293">IF($F$12-$I$4+VLOOKUP($R293,武学奇术!$A:$ZZ,11,FALSE)+SUM(_xlfn.XLOOKUP(S293:AG293,增益!$A:$A,增益!$K:$K,0))&gt;0,($F$12-$I$4+VLOOKUP($R293,武学奇术!$A:$ZZ,11,FALSE)+SUM(_xlfn.XLOOKUP(S293:AG293,增益!$A:$A,增益!$K:$K,0)))/200,($F$12-$I$4+VLOOKUP($R293,武学奇术!$A:$ZZ,11,FALSE)+SUM(_xlfn.XLOOKUP(S293:AG293,增益!$A:$A,增益!$K:$K,0)))/100)</f>
        <v>-0.3</v>
      </c>
      <c r="BA293" s="26" cm="1">
        <f t="array" ref="BA293">$G$12+VLOOKUP($R293,武学奇术!$A:$ZZ,12,FALSE)+SUM(_xlfn.XLOOKUP(S293:AG293,增益!$A:$A,增益!$L:$L,0))</f>
        <v>0</v>
      </c>
      <c r="BB293">
        <f t="shared" si="49"/>
        <v>0</v>
      </c>
      <c r="BC293">
        <f t="shared" si="50"/>
        <v>0</v>
      </c>
      <c r="BD293" s="26" cm="1">
        <f t="array" ref="BD293">IF($F$13-$I$4+VLOOKUP($R293,武学奇术!$A:$ZZ,13,FALSE)+SUM(_xlfn.XLOOKUP(S293:AG293,增益!$A:$A,增益!$M:$M,0))&gt;0,($F$13-$I$4+VLOOKUP($R293,武学奇术!$A:$ZZ,13,FALSE)+SUM(_xlfn.XLOOKUP(S293:AG293,增益!$A:$A,增益!$K:$K,0)))/200,($F$13-$I$4+VLOOKUP($R293,武学奇术!$A:$ZZ,13,FALSE)+SUM(_xlfn.XLOOKUP(S293:AG293,增益!$A:$A,增益!$M:$M,0)))/100)</f>
        <v>-0.3</v>
      </c>
      <c r="BE293" s="26" cm="1">
        <f t="array" ref="BE293">$G$13+VLOOKUP($R293,武学奇术!$A:$ZZ,14,FALSE)+SUM(_xlfn.XLOOKUP(S293:AG293,增益!$A:$A,增益!$N:$N,0))</f>
        <v>0</v>
      </c>
      <c r="BF293">
        <f t="shared" si="51"/>
        <v>0</v>
      </c>
      <c r="BG293">
        <f t="shared" si="52"/>
        <v>0</v>
      </c>
      <c r="BH293" s="26" cm="1">
        <f t="array" ref="BH293">IF($F$14-$I$4+VLOOKUP($R293,武学奇术!$A:$ZZ,15,FALSE)+SUM(_xlfn.XLOOKUP(S293:AG293,增益!$A:$A,增益!$O:$O,0))&gt;0,($F$14-$I$4+VLOOKUP($R293,武学奇术!$A:$ZZ,15,FALSE)+SUM(_xlfn.XLOOKUP(S293:AG293,增益!$A:$A,增益!$O:$O,0)))/200,($F$14-$I$4+VLOOKUP($R293,武学奇术!$A:$ZZ,15,FALSE)+SUM(_xlfn.XLOOKUP(S293:AG293,增益!$A:$A,增益!$O:$O,0)))/100)</f>
        <v>-0.3</v>
      </c>
      <c r="BI293" s="26" cm="1">
        <f t="array" ref="BI293">$G$14+VLOOKUP($R293,武学奇术!$A:$ZZ,16,FALSE)+SUM(_xlfn.XLOOKUP(S293:AG293,增益!$A:$A,增益!$P:$P,0))</f>
        <v>0</v>
      </c>
      <c r="BJ293" s="21">
        <f>MIN(IF(VLOOKUP($R293,武学奇术!$A:$ZZ,23,FALSE)=1,100%,$B$8),100%)</f>
        <v>0.8229</v>
      </c>
      <c r="BK293" s="21" cm="1">
        <f t="array" ref="BK293">IF(VLOOKUP($R293,武学奇术!$A:$ZZ,23,FALSE)=1,100%,MIN(80%,$B$9+VLOOKUP($R293,武学奇术!$A:$ZZ,17,FALSE)+SUM(_xlfn.XLOOKUP(S293:AG293,增益!$A:$A,增益!$Q:$Q,0)))+$B$11+SUM(_xlfn.XLOOKUP(S293:AG293,增益!$A:$A,增益!$U:$U,0)))*IF(VLOOKUP($R293,武学奇术!$A:$ZZ,24,FALSE)=1,0,1)</f>
        <v>0.2285</v>
      </c>
      <c r="BL293" s="21" cm="1">
        <f t="array" ref="BL293">1+$B$13+VLOOKUP($R293,武学奇术!$A:$ZZ,18,FALSE)+SUM(_xlfn.XLOOKUP(S293:AG293,增益!$A:$A,增益!$R:$R,0))</f>
        <v>1.5</v>
      </c>
      <c r="BM293" s="21" cm="1">
        <f t="array" ref="BM293">IF(VLOOKUP($R293,武学奇术!$A:$ZZ,24,FALSE)=1,100%,MIN(40%,$B$10+VLOOKUP($R293,武学奇术!$A:$ZZ,19,FALSE)+SUM(_xlfn.XLOOKUP(S293:AG293,增益!$A:$A,增益!$S:$S,0)))+$B$12+SUM(_xlfn.XLOOKUP(S293:AG293,增益!$A:$A,增益!$V:$V,0)))*IF(VLOOKUP($R293,武学奇术!$A:$ZZ,23,FALSE)=1,0,1)</f>
        <v>0.4495</v>
      </c>
      <c r="BN293" s="21" cm="1">
        <f t="array" ref="BN293">1+$B$14+VLOOKUP($R293,武学奇术!$A:$ZZ,20,FALSE)+SUM(_xlfn.XLOOKUP(S293:AG293,增益!$A:$A,增益!$T:$T,0))</f>
        <v>1.602</v>
      </c>
      <c r="BO293" s="21">
        <f t="shared" si="53"/>
        <v>0.18803265</v>
      </c>
      <c r="BP293" s="21">
        <f t="shared" si="54"/>
        <v>0.2649738</v>
      </c>
      <c r="BQ293" s="21">
        <f>IF(VLOOKUP($R293,武学奇术!$A:$ZZ,22,FALSE)=1,0,(1-$BJ293))*(1-$BM293)</f>
        <v>0.09749355</v>
      </c>
      <c r="BR293" s="21" cm="1">
        <f t="array" ref="BR293">SUM(_xlfn.XLOOKUP(S293:AG293,增益!$A:$A,增益!$W:$W,0))+$I$5</f>
        <v>0.16</v>
      </c>
    </row>
    <row r="294" spans="11:70">
      <c r="K294" s="24">
        <f>$L294*VLOOKUP($R294,武学奇术!$A:$ZZ,31,FALSE)</f>
        <v>22642.2263410028</v>
      </c>
      <c r="L294" s="24">
        <f t="shared" si="44"/>
        <v>22642.2263410028</v>
      </c>
      <c r="M294" s="24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BL294*$Q294*(1+IF(VLOOKUP($R294,武学奇术!$A:$ZZ,30,FALSE)="流血",$B$21,0))*(1+$BR294)</f>
        <v>22255.2264480571</v>
      </c>
      <c r="N294" s="24">
        <f>(($AP294*$AI294+$AJ294)*(1+$AQ294)*(1+$AR294)+($AU294*IF($G$1="鸣金",$AK294,$AI294)+IF($G$1="鸣金",$AL294*1.5,0))*(1+$AV294)*(1+$AW294)+($AY294*IF($G$1="裂石",$AK294,$AI294)+IF($G$1="裂石",$AL294*1.5,0))*(1+$AZ294)*(1+$BA294)+($BC294*IF($G$1="牵丝",$AK294,$AI294)+IF($G$1="牵丝",$AL294*1.5,0))*(1+$BD294)*(1+$BE294)+($BG294*IF($G$1="破竹",$AK294,$AI294)+IF($G$1="破竹",$AL294*1.5,0))*(1+$BH294)*(1+$BI294))*(1+$AM294)*$BN294*$Q294*(1+IF(VLOOKUP($R294,武学奇术!$A:$ZZ,30,FALSE)="流血",$B$21,0))*(1+$BR294)</f>
        <v>32043.6183671084</v>
      </c>
      <c r="O294" s="24">
        <f>((($AO294+$AP294)/2*$AI294+$AJ294)*(1+$AQ294)*(1+$AR294)+(($AT294+$AU294)/2*IF($G$1="鸣金",$AK294,$AI294)+IF($G$1="鸣金",$AL294*1.5,0))*(1+$AV294)*(1+$AW294)+(($AX294+$AY294)/2*IF($G$1="裂石",$AK294,$AI294)+IF($G$1="裂石",$AL294*1.5,0))*(1+$AZ294)*(1+$BA294)+(($BB294+$BC294)/2*IF($G$1="牵丝",$AK294,$AI294)+IF($G$1="牵丝",$AL294*1.5,0))*(1+$BD294)*(1+$BE294)+(($BF294+$BG294)/2*IF($G$1="破竹",$AK294,$AI294)+IF($G$1="破竹",$AL294*1.5,0))*(1+$BH294)*(1+$BI294))*(1+$AM294)*$Q294*(1+IF(VLOOKUP($R294,武学奇术!$A:$ZZ,30,FALSE)="流血",$B$21,0))*(1+$BR294)</f>
        <v>14836.8176320381</v>
      </c>
      <c r="P294" s="24">
        <f>((($AO294*$AI294+$AJ294)*(1+$AQ294)*(1+$AR294)+($AT294*IF($G$1="鸣金",$AK294,$AI294)+IF($G$1="鸣金",$AL294*1.5,0))*(1+$AV294)*(1+$AW294)+($AX294*IF($G$1="裂石",$AK294,$AI294)+IF($G$1="裂石",$AL294*1.5,0))*(1+$AZ294)*(1+$BA294)+($BB294*IF($G$1="牵丝",$AK294,$AI294)+IF($G$1="牵丝",$AL294*1.5,0))*(1+$BD294)*(1+$BE294)+($BF294*IF($G$1="破竹",$AK294,$AI294)+IF($G$1="破竹",$AL294*1.5,0))*(1+$BH294)*(1+$BI294))*(1+$AM294))*$Q294*(1+IF(VLOOKUP($R294,武学奇术!$A:$ZZ,30,FALSE)="流血",$B$21,0))*(1+$BR294)</f>
        <v>6979.85455082661</v>
      </c>
      <c r="Q294" s="31">
        <v>1</v>
      </c>
      <c r="R294" s="32" t="s">
        <v>202</v>
      </c>
      <c r="S294" s="32" t="s">
        <v>72</v>
      </c>
      <c r="T294" s="32" t="s">
        <v>73</v>
      </c>
      <c r="U294" s="32" t="s">
        <v>73</v>
      </c>
      <c r="V294" s="32" t="s">
        <v>73</v>
      </c>
      <c r="W294" s="32" t="s">
        <v>73</v>
      </c>
      <c r="X294" s="32" t="s">
        <v>74</v>
      </c>
      <c r="Y294" s="32" t="s">
        <v>73</v>
      </c>
      <c r="Z294" s="32" t="s">
        <v>73</v>
      </c>
      <c r="AA294" s="32" t="s">
        <v>73</v>
      </c>
      <c r="AB294" s="32" t="s">
        <v>75</v>
      </c>
      <c r="AC294" s="32" t="s">
        <v>76</v>
      </c>
      <c r="AD294" s="32" t="s">
        <v>82</v>
      </c>
      <c r="AE294" s="32" t="s">
        <v>73</v>
      </c>
      <c r="AF294" s="32" t="s">
        <v>73</v>
      </c>
      <c r="AG294" s="32" t="s">
        <v>78</v>
      </c>
      <c r="AH294" t="str">
        <f>VLOOKUP($R294,武学奇术!$A:$ZZ,25,FALSE)</f>
        <v>群体奇术</v>
      </c>
      <c r="AI294" s="21">
        <f>VLOOKUP($R294,武学奇术!$A:$ZZ,26,FALSE)</f>
        <v>1.4904</v>
      </c>
      <c r="AJ294" s="22">
        <f>VLOOKUP($R294,武学奇术!$A:$ZZ,27,FALSE)*(1+IF(OR($AH294=$F$4,$AH294=$F$5),$B$22,0))</f>
        <v>378</v>
      </c>
      <c r="AK294" s="21">
        <f>VLOOKUP($R294,武学奇术!$A:$ZZ,28,FALSE)</f>
        <v>2.2356</v>
      </c>
      <c r="AL294" s="22">
        <f>VLOOKUP($R294,武学奇术!$A:$ZZ,29,FALSE)*(1+IF(OR($AH294=$F$4,$AH294=$F$5),$B$22,0))</f>
        <v>0</v>
      </c>
      <c r="AM294" s="21" cm="1">
        <f t="array" ref="AM294">$G$3+IFERROR(VLOOKUP($AH294,$F$4:$G$7,2,FALSE),0)+VLOOKUP($R294,武学奇术!$A:$ZZ,2,FALSE)+SUM(_xlfn.XLOOKUP($S294:$AG294,增益!$A:$A,增益!$B:$B,0))</f>
        <v>0.2142</v>
      </c>
      <c r="AN294" s="21" cm="1">
        <f t="array" ref="AN294">VLOOKUP($R294,武学奇术!$A:$ZZ,5,FALSE)+SUM(_xlfn.XLOOKUP($S294:$AG294,增益!$A:$A,增益!$E:$E,0))</f>
        <v>0</v>
      </c>
      <c r="AO294" cm="1">
        <f t="array" ref="AO294">$D$10*(1+$AN294)+VLOOKUP($R294,武学奇术!$A:$ZZ,3,FALSE)+SUM(_xlfn.XLOOKUP($S294:$AG294,增益!$A:$A,增益!$C:$C,0))-$I$2</f>
        <v>1794.28</v>
      </c>
      <c r="AP294" cm="1">
        <f t="array" ref="AP294">$E$10*(1+$AN294)+VLOOKUP($R294,武学奇术!$A:$ZZ,4,FALSE)+SUM(_xlfn.XLOOKUP($S294:$AG294,增益!$A:$A,增益!$D:$D,0))-$I$2</f>
        <v>7726.36</v>
      </c>
      <c r="AQ294" s="26" cm="1">
        <f t="array" ref="AQ294">IF($F$10-$I$3+VLOOKUP($R294,武学奇术!$A:$ZZ,6,FALSE)+SUM(_xlfn.XLOOKUP(S294:AG294,增益!$A:$A,增益!$F:$F,0))&gt;0,($F$10-$I$3+VLOOKUP($R294,武学奇术!$A:$ZZ,6,FALSE)+SUM(_xlfn.XLOOKUP(S294:AG294,增益!$A:$A,增益!$F:$F,0)))/200,($F$10-$I$3+VLOOKUP($R294,武学奇术!$A:$ZZ,6,FALSE)+SUM(_xlfn.XLOOKUP(S294:AG294,增益!$A:$A,增益!$F:$F,0)))/100)</f>
        <v>0.204</v>
      </c>
      <c r="AR294" s="26" cm="1">
        <f t="array" ref="AR294">$G$10+VLOOKUP($R294,武学奇术!$A:$ZZ,7,FALSE)+SUM(_xlfn.XLOOKUP(S294:AG294,增益!$A:$A,增益!$G:$G,0))</f>
        <v>0</v>
      </c>
      <c r="AS294" s="21" cm="1">
        <f t="array" ref="AS294">VLOOKUP($R294,武学奇术!$A:$ZZ,8,FALSE)+SUM(_xlfn.XLOOKUP(S294:AG294,增益!$A:$A,增益!$H:$H,0))</f>
        <v>0</v>
      </c>
      <c r="AT294">
        <f t="shared" si="45"/>
        <v>680.02</v>
      </c>
      <c r="AU294">
        <f t="shared" si="46"/>
        <v>1288.54</v>
      </c>
      <c r="AV294" s="26" cm="1">
        <f t="array" ref="AV294">IF($F$11-$I$4+VLOOKUP($R294,武学奇术!$A:$ZZ,9,FALSE)+SUM(_xlfn.XLOOKUP(S294:AG294,增益!$A:$A,增益!$I:$I,0))&gt;0,($F$11-$I$4+VLOOKUP($R294,武学奇术!$A:$ZZ,9,FALSE)+SUM(_xlfn.XLOOKUP(S294:AG294,增益!$A:$A,增益!$I:$I,0)))/200,($F$11-$I$4+VLOOKUP($R294,武学奇术!$A:$ZZ,9,FALSE)+SUM(_xlfn.XLOOKUP(S294:AG294,增益!$A:$A,增益!$I:$I,0)))/100)</f>
        <v>0</v>
      </c>
      <c r="AW294" s="26" cm="1">
        <f t="array" ref="AW294">$G$11+VLOOKUP($R294,武学奇术!$A:$ZZ,10,FALSE)+SUM(_xlfn.XLOOKUP(S294:AG294,增益!$A:$A,增益!$J:$J,0))</f>
        <v>0.15</v>
      </c>
      <c r="AX294">
        <f t="shared" si="47"/>
        <v>0</v>
      </c>
      <c r="AY294">
        <f t="shared" si="48"/>
        <v>0</v>
      </c>
      <c r="AZ294" s="26" cm="1">
        <f t="array" ref="AZ294">IF($F$12-$I$4+VLOOKUP($R294,武学奇术!$A:$ZZ,11,FALSE)+SUM(_xlfn.XLOOKUP(S294:AG294,增益!$A:$A,增益!$K:$K,0))&gt;0,($F$12-$I$4+VLOOKUP($R294,武学奇术!$A:$ZZ,11,FALSE)+SUM(_xlfn.XLOOKUP(S294:AG294,增益!$A:$A,增益!$K:$K,0)))/200,($F$12-$I$4+VLOOKUP($R294,武学奇术!$A:$ZZ,11,FALSE)+SUM(_xlfn.XLOOKUP(S294:AG294,增益!$A:$A,增益!$K:$K,0)))/100)</f>
        <v>-0.3</v>
      </c>
      <c r="BA294" s="26" cm="1">
        <f t="array" ref="BA294">$G$12+VLOOKUP($R294,武学奇术!$A:$ZZ,12,FALSE)+SUM(_xlfn.XLOOKUP(S294:AG294,增益!$A:$A,增益!$L:$L,0))</f>
        <v>0</v>
      </c>
      <c r="BB294">
        <f t="shared" si="49"/>
        <v>0</v>
      </c>
      <c r="BC294">
        <f t="shared" si="50"/>
        <v>0</v>
      </c>
      <c r="BD294" s="26" cm="1">
        <f t="array" ref="BD294">IF($F$13-$I$4+VLOOKUP($R294,武学奇术!$A:$ZZ,13,FALSE)+SUM(_xlfn.XLOOKUP(S294:AG294,增益!$A:$A,增益!$M:$M,0))&gt;0,($F$13-$I$4+VLOOKUP($R294,武学奇术!$A:$ZZ,13,FALSE)+SUM(_xlfn.XLOOKUP(S294:AG294,增益!$A:$A,增益!$K:$K,0)))/200,($F$13-$I$4+VLOOKUP($R294,武学奇术!$A:$ZZ,13,FALSE)+SUM(_xlfn.XLOOKUP(S294:AG294,增益!$A:$A,增益!$M:$M,0)))/100)</f>
        <v>-0.3</v>
      </c>
      <c r="BE294" s="26" cm="1">
        <f t="array" ref="BE294">$G$13+VLOOKUP($R294,武学奇术!$A:$ZZ,14,FALSE)+SUM(_xlfn.XLOOKUP(S294:AG294,增益!$A:$A,增益!$N:$N,0))</f>
        <v>0</v>
      </c>
      <c r="BF294">
        <f t="shared" si="51"/>
        <v>0</v>
      </c>
      <c r="BG294">
        <f t="shared" si="52"/>
        <v>0</v>
      </c>
      <c r="BH294" s="26" cm="1">
        <f t="array" ref="BH294">IF($F$14-$I$4+VLOOKUP($R294,武学奇术!$A:$ZZ,15,FALSE)+SUM(_xlfn.XLOOKUP(S294:AG294,增益!$A:$A,增益!$O:$O,0))&gt;0,($F$14-$I$4+VLOOKUP($R294,武学奇术!$A:$ZZ,15,FALSE)+SUM(_xlfn.XLOOKUP(S294:AG294,增益!$A:$A,增益!$O:$O,0)))/200,($F$14-$I$4+VLOOKUP($R294,武学奇术!$A:$ZZ,15,FALSE)+SUM(_xlfn.XLOOKUP(S294:AG294,增益!$A:$A,增益!$O:$O,0)))/100)</f>
        <v>-0.3</v>
      </c>
      <c r="BI294" s="26" cm="1">
        <f t="array" ref="BI294">$G$14+VLOOKUP($R294,武学奇术!$A:$ZZ,16,FALSE)+SUM(_xlfn.XLOOKUP(S294:AG294,增益!$A:$A,增益!$P:$P,0))</f>
        <v>0</v>
      </c>
      <c r="BJ294" s="21">
        <f>MIN(IF(VLOOKUP($R294,武学奇术!$A:$ZZ,23,FALSE)=1,100%,$B$8),100%)</f>
        <v>0.8229</v>
      </c>
      <c r="BK294" s="21" cm="1">
        <f t="array" ref="BK294">IF(VLOOKUP($R294,武学奇术!$A:$ZZ,23,FALSE)=1,100%,MIN(80%,$B$9+VLOOKUP($R294,武学奇术!$A:$ZZ,17,FALSE)+SUM(_xlfn.XLOOKUP(S294:AG294,增益!$A:$A,增益!$Q:$Q,0)))+$B$11+SUM(_xlfn.XLOOKUP(S294:AG294,增益!$A:$A,增益!$U:$U,0)))*IF(VLOOKUP($R294,武学奇术!$A:$ZZ,24,FALSE)=1,0,1)</f>
        <v>0.2285</v>
      </c>
      <c r="BL294" s="21" cm="1">
        <f t="array" ref="BL294">1+$B$13+VLOOKUP($R294,武学奇术!$A:$ZZ,18,FALSE)+SUM(_xlfn.XLOOKUP(S294:AG294,增益!$A:$A,增益!$R:$R,0))</f>
        <v>1.5</v>
      </c>
      <c r="BM294" s="21" cm="1">
        <f t="array" ref="BM294">IF(VLOOKUP($R294,武学奇术!$A:$ZZ,24,FALSE)=1,100%,MIN(40%,$B$10+VLOOKUP($R294,武学奇术!$A:$ZZ,19,FALSE)+SUM(_xlfn.XLOOKUP(S294:AG294,增益!$A:$A,增益!$S:$S,0)))+$B$12+SUM(_xlfn.XLOOKUP(S294:AG294,增益!$A:$A,增益!$V:$V,0)))*IF(VLOOKUP($R294,武学奇术!$A:$ZZ,23,FALSE)=1,0,1)</f>
        <v>0.4195</v>
      </c>
      <c r="BN294" s="21" cm="1">
        <f t="array" ref="BN294">1+$B$14+VLOOKUP($R294,武学奇术!$A:$ZZ,20,FALSE)+SUM(_xlfn.XLOOKUP(S294:AG294,增益!$A:$A,增益!$T:$T,0))</f>
        <v>1.412</v>
      </c>
      <c r="BO294" s="21">
        <f t="shared" si="53"/>
        <v>0.18803265</v>
      </c>
      <c r="BP294" s="21">
        <f t="shared" si="54"/>
        <v>0.2896608</v>
      </c>
      <c r="BQ294" s="21">
        <f>IF(VLOOKUP($R294,武学奇术!$A:$ZZ,22,FALSE)=1,0,(1-$BJ294))*(1-$BM294)</f>
        <v>0.10280655</v>
      </c>
      <c r="BR294" s="21" cm="1">
        <f t="array" ref="BR294">SUM(_xlfn.XLOOKUP(S294:AG294,增益!$A:$A,增益!$W:$W,0))+$I$5</f>
        <v>0.06</v>
      </c>
    </row>
    <row r="295" spans="11:70">
      <c r="K295" s="24">
        <f>$L295*VLOOKUP($R295,武学奇术!$A:$ZZ,31,FALSE)</f>
        <v>33154.5155992159</v>
      </c>
      <c r="L295" s="24">
        <f t="shared" si="44"/>
        <v>33154.5155992159</v>
      </c>
      <c r="M295" s="24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BL295*$Q295*(1+IF(VLOOKUP($R295,武学奇术!$A:$ZZ,30,FALSE)="流血",$B$21,0))*(1+$BR295)</f>
        <v>30214.5465999822</v>
      </c>
      <c r="N295" s="24">
        <f>(($AP295*$AI295+$AJ295)*(1+$AQ295)*(1+$AR295)+($AU295*IF($G$1="鸣金",$AK295,$AI295)+IF($G$1="鸣金",$AL295*1.5,0))*(1+$AV295)*(1+$AW295)+($AY295*IF($G$1="裂石",$AK295,$AI295)+IF($G$1="裂石",$AL295*1.5,0))*(1+$AZ295)*(1+$BA295)+($BC295*IF($G$1="牵丝",$AK295,$AI295)+IF($G$1="牵丝",$AL295*1.5,0))*(1+$BD295)*(1+$BE295)+($BG295*IF($G$1="破竹",$AK295,$AI295)+IF($G$1="破竹",$AL295*1.5,0))*(1+$BH295)*(1+$BI295))*(1+$AM295)*$BN295*$Q295*(1+IF(VLOOKUP($R295,武学奇术!$A:$ZZ,30,FALSE)="流血",$B$21,0))*(1+$BR295)</f>
        <v>47188.3516976716</v>
      </c>
      <c r="O295" s="24">
        <f>((($AO295+$AP295)/2*$AI295+$AJ295)*(1+$AQ295)*(1+$AR295)+(($AT295+$AU295)/2*IF($G$1="鸣金",$AK295,$AI295)+IF($G$1="鸣金",$AL295*1.5,0))*(1+$AV295)*(1+$AW295)+(($AX295+$AY295)/2*IF($G$1="裂石",$AK295,$AI295)+IF($G$1="裂石",$AL295*1.5,0))*(1+$AZ295)*(1+$BA295)+(($BB295+$BC295)/2*IF($G$1="牵丝",$AK295,$AI295)+IF($G$1="牵丝",$AL295*1.5,0))*(1+$BD295)*(1+$BE295)+(($BF295+$BG295)/2*IF($G$1="破竹",$AK295,$AI295)+IF($G$1="破竹",$AL295*1.5,0))*(1+$BH295)*(1+$BI295))*(1+$AM295)*$Q295*(1+IF(VLOOKUP($R295,武学奇术!$A:$ZZ,30,FALSE)="流血",$B$21,0))*(1+$BR295)</f>
        <v>20143.0310666548</v>
      </c>
      <c r="P295" s="24">
        <f>((($AO295*$AI295+$AJ295)*(1+$AQ295)*(1+$AR295)+($AT295*IF($G$1="鸣金",$AK295,$AI295)+IF($G$1="鸣金",$AL295*1.5,0))*(1+$AV295)*(1+$AW295)+($AX295*IF($G$1="裂石",$AK295,$AI295)+IF($G$1="裂石",$AL295*1.5,0))*(1+$AZ295)*(1+$BA295)+($BB295*IF($G$1="牵丝",$AK295,$AI295)+IF($G$1="牵丝",$AL295*1.5,0))*(1+$BD295)*(1+$BE295)+($BF295*IF($G$1="破竹",$AK295,$AI295)+IF($G$1="破竹",$AL295*1.5,0))*(1+$BH295)*(1+$BI295))*(1+$AM295))*$Q295*(1+IF(VLOOKUP($R295,武学奇术!$A:$ZZ,30,FALSE)="流血",$B$21,0))*(1+$BR295)</f>
        <v>9484.26598600431</v>
      </c>
      <c r="Q295" s="31">
        <f t="shared" ref="Q295:Q298" si="56">IF($E$22="易水歌",1,0)</f>
        <v>1</v>
      </c>
      <c r="R295" s="32" t="s">
        <v>202</v>
      </c>
      <c r="S295" s="32" t="s">
        <v>87</v>
      </c>
      <c r="T295" s="32" t="s">
        <v>104</v>
      </c>
      <c r="U295" s="32" t="s">
        <v>73</v>
      </c>
      <c r="V295" s="32" t="s">
        <v>73</v>
      </c>
      <c r="W295" s="32" t="s">
        <v>73</v>
      </c>
      <c r="X295" s="32" t="s">
        <v>91</v>
      </c>
      <c r="Y295" s="32" t="s">
        <v>73</v>
      </c>
      <c r="Z295" s="32" t="s">
        <v>73</v>
      </c>
      <c r="AA295" s="32" t="s">
        <v>81</v>
      </c>
      <c r="AB295" s="32" t="s">
        <v>75</v>
      </c>
      <c r="AC295" s="32" t="s">
        <v>89</v>
      </c>
      <c r="AD295" s="32" t="s">
        <v>82</v>
      </c>
      <c r="AE295" s="32" t="s">
        <v>90</v>
      </c>
      <c r="AF295" s="32" t="s">
        <v>73</v>
      </c>
      <c r="AG295" s="32" t="s">
        <v>78</v>
      </c>
      <c r="AH295" t="str">
        <f>VLOOKUP($R295,武学奇术!$A:$ZZ,25,FALSE)</f>
        <v>群体奇术</v>
      </c>
      <c r="AI295" s="21">
        <f>VLOOKUP($R295,武学奇术!$A:$ZZ,26,FALSE)</f>
        <v>1.4904</v>
      </c>
      <c r="AJ295" s="22">
        <f>VLOOKUP($R295,武学奇术!$A:$ZZ,27,FALSE)*(1+IF(OR($AH295=$F$4,$AH295=$F$5),$B$22,0))</f>
        <v>378</v>
      </c>
      <c r="AK295" s="21">
        <f>VLOOKUP($R295,武学奇术!$A:$ZZ,28,FALSE)</f>
        <v>2.2356</v>
      </c>
      <c r="AL295" s="22">
        <f>VLOOKUP($R295,武学奇术!$A:$ZZ,29,FALSE)*(1+IF(OR($AH295=$F$4,$AH295=$F$5),$B$22,0))</f>
        <v>0</v>
      </c>
      <c r="AM295" s="21" cm="1">
        <f t="array" ref="AM295">$G$3+IFERROR(VLOOKUP($AH295,$F$4:$G$7,2,FALSE),0)+VLOOKUP($R295,武学奇术!$A:$ZZ,2,FALSE)+SUM(_xlfn.XLOOKUP($S295:$AG295,增益!$A:$A,增益!$B:$B,0))</f>
        <v>0.6592</v>
      </c>
      <c r="AN295" s="21" cm="1">
        <f t="array" ref="AN295">VLOOKUP($R295,武学奇术!$A:$ZZ,5,FALSE)+SUM(_xlfn.XLOOKUP($S295:$AG295,增益!$A:$A,增益!$E:$E,0))</f>
        <v>0</v>
      </c>
      <c r="AO295" cm="1">
        <f t="array" ref="AO295">$D$10*(1+$AN295)+VLOOKUP($R295,武学奇术!$A:$ZZ,3,FALSE)+SUM(_xlfn.XLOOKUP($S295:$AG295,增益!$A:$A,增益!$C:$C,0))-$I$2</f>
        <v>1794.28</v>
      </c>
      <c r="AP295" cm="1">
        <f t="array" ref="AP295">$E$10*(1+$AN295)+VLOOKUP($R295,武学奇术!$A:$ZZ,4,FALSE)+SUM(_xlfn.XLOOKUP($S295:$AG295,增益!$A:$A,增益!$D:$D,0))-$I$2</f>
        <v>7726.36</v>
      </c>
      <c r="AQ295" s="26" cm="1">
        <f t="array" ref="AQ295">IF($F$10-$I$3+VLOOKUP($R295,武学奇术!$A:$ZZ,6,FALSE)+SUM(_xlfn.XLOOKUP(S295:AG295,增益!$A:$A,增益!$F:$F,0))&gt;0,($F$10-$I$3+VLOOKUP($R295,武学奇术!$A:$ZZ,6,FALSE)+SUM(_xlfn.XLOOKUP(S295:AG295,增益!$A:$A,增益!$F:$F,0)))/200,($F$10-$I$3+VLOOKUP($R295,武学奇术!$A:$ZZ,6,FALSE)+SUM(_xlfn.XLOOKUP(S295:AG295,增益!$A:$A,增益!$F:$F,0)))/100)</f>
        <v>0.194</v>
      </c>
      <c r="AR295" s="26" cm="1">
        <f t="array" ref="AR295">$G$10+VLOOKUP($R295,武学奇术!$A:$ZZ,7,FALSE)+SUM(_xlfn.XLOOKUP(S295:AG295,增益!$A:$A,增益!$G:$G,0))</f>
        <v>0</v>
      </c>
      <c r="AS295" s="21" cm="1">
        <f t="array" ref="AS295">VLOOKUP($R295,武学奇术!$A:$ZZ,8,FALSE)+SUM(_xlfn.XLOOKUP(S295:AG295,增益!$A:$A,增益!$H:$H,0))</f>
        <v>0</v>
      </c>
      <c r="AT295">
        <f t="shared" si="45"/>
        <v>680.02</v>
      </c>
      <c r="AU295">
        <f t="shared" si="46"/>
        <v>1288.54</v>
      </c>
      <c r="AV295" s="26" cm="1">
        <f t="array" ref="AV295">IF($F$11-$I$4+VLOOKUP($R295,武学奇术!$A:$ZZ,9,FALSE)+SUM(_xlfn.XLOOKUP(S295:AG295,增益!$A:$A,增益!$I:$I,0))&gt;0,($F$11-$I$4+VLOOKUP($R295,武学奇术!$A:$ZZ,9,FALSE)+SUM(_xlfn.XLOOKUP(S295:AG295,增益!$A:$A,增益!$I:$I,0)))/200,($F$11-$I$4+VLOOKUP($R295,武学奇术!$A:$ZZ,9,FALSE)+SUM(_xlfn.XLOOKUP(S295:AG295,增益!$A:$A,增益!$I:$I,0)))/100)</f>
        <v>0</v>
      </c>
      <c r="AW295" s="26" cm="1">
        <f t="array" ref="AW295">$G$11+VLOOKUP($R295,武学奇术!$A:$ZZ,10,FALSE)+SUM(_xlfn.XLOOKUP(S295:AG295,增益!$A:$A,增益!$J:$J,0))</f>
        <v>0.15</v>
      </c>
      <c r="AX295">
        <f t="shared" si="47"/>
        <v>0</v>
      </c>
      <c r="AY295">
        <f t="shared" si="48"/>
        <v>0</v>
      </c>
      <c r="AZ295" s="26" cm="1">
        <f t="array" ref="AZ295">IF($F$12-$I$4+VLOOKUP($R295,武学奇术!$A:$ZZ,11,FALSE)+SUM(_xlfn.XLOOKUP(S295:AG295,增益!$A:$A,增益!$K:$K,0))&gt;0,($F$12-$I$4+VLOOKUP($R295,武学奇术!$A:$ZZ,11,FALSE)+SUM(_xlfn.XLOOKUP(S295:AG295,增益!$A:$A,增益!$K:$K,0)))/200,($F$12-$I$4+VLOOKUP($R295,武学奇术!$A:$ZZ,11,FALSE)+SUM(_xlfn.XLOOKUP(S295:AG295,增益!$A:$A,增益!$K:$K,0)))/100)</f>
        <v>-0.3</v>
      </c>
      <c r="BA295" s="26" cm="1">
        <f t="array" ref="BA295">$G$12+VLOOKUP($R295,武学奇术!$A:$ZZ,12,FALSE)+SUM(_xlfn.XLOOKUP(S295:AG295,增益!$A:$A,增益!$L:$L,0))</f>
        <v>0</v>
      </c>
      <c r="BB295">
        <f t="shared" si="49"/>
        <v>0</v>
      </c>
      <c r="BC295">
        <f t="shared" si="50"/>
        <v>0</v>
      </c>
      <c r="BD295" s="26" cm="1">
        <f t="array" ref="BD295">IF($F$13-$I$4+VLOOKUP($R295,武学奇术!$A:$ZZ,13,FALSE)+SUM(_xlfn.XLOOKUP(S295:AG295,增益!$A:$A,增益!$M:$M,0))&gt;0,($F$13-$I$4+VLOOKUP($R295,武学奇术!$A:$ZZ,13,FALSE)+SUM(_xlfn.XLOOKUP(S295:AG295,增益!$A:$A,增益!$K:$K,0)))/200,($F$13-$I$4+VLOOKUP($R295,武学奇术!$A:$ZZ,13,FALSE)+SUM(_xlfn.XLOOKUP(S295:AG295,增益!$A:$A,增益!$M:$M,0)))/100)</f>
        <v>-0.3</v>
      </c>
      <c r="BE295" s="26" cm="1">
        <f t="array" ref="BE295">$G$13+VLOOKUP($R295,武学奇术!$A:$ZZ,14,FALSE)+SUM(_xlfn.XLOOKUP(S295:AG295,增益!$A:$A,增益!$N:$N,0))</f>
        <v>0</v>
      </c>
      <c r="BF295">
        <f t="shared" si="51"/>
        <v>0</v>
      </c>
      <c r="BG295">
        <f t="shared" si="52"/>
        <v>0</v>
      </c>
      <c r="BH295" s="26" cm="1">
        <f t="array" ref="BH295">IF($F$14-$I$4+VLOOKUP($R295,武学奇术!$A:$ZZ,15,FALSE)+SUM(_xlfn.XLOOKUP(S295:AG295,增益!$A:$A,增益!$O:$O,0))&gt;0,($F$14-$I$4+VLOOKUP($R295,武学奇术!$A:$ZZ,15,FALSE)+SUM(_xlfn.XLOOKUP(S295:AG295,增益!$A:$A,增益!$O:$O,0)))/200,($F$14-$I$4+VLOOKUP($R295,武学奇术!$A:$ZZ,15,FALSE)+SUM(_xlfn.XLOOKUP(S295:AG295,增益!$A:$A,增益!$O:$O,0)))/100)</f>
        <v>-0.3</v>
      </c>
      <c r="BI295" s="26" cm="1">
        <f t="array" ref="BI295">$G$14+VLOOKUP($R295,武学奇术!$A:$ZZ,16,FALSE)+SUM(_xlfn.XLOOKUP(S295:AG295,增益!$A:$A,增益!$P:$P,0))</f>
        <v>0</v>
      </c>
      <c r="BJ295" s="21">
        <f>MIN(IF(VLOOKUP($R295,武学奇术!$A:$ZZ,23,FALSE)=1,100%,$B$8),100%)</f>
        <v>0.8229</v>
      </c>
      <c r="BK295" s="21" cm="1">
        <f t="array" ref="BK295">IF(VLOOKUP($R295,武学奇术!$A:$ZZ,23,FALSE)=1,100%,MIN(80%,$B$9+VLOOKUP($R295,武学奇术!$A:$ZZ,17,FALSE)+SUM(_xlfn.XLOOKUP(S295:AG295,增益!$A:$A,增益!$Q:$Q,0)))+$B$11+SUM(_xlfn.XLOOKUP(S295:AG295,增益!$A:$A,增益!$U:$U,0)))*IF(VLOOKUP($R295,武学奇术!$A:$ZZ,24,FALSE)=1,0,1)</f>
        <v>0.2285</v>
      </c>
      <c r="BL295" s="21" cm="1">
        <f t="array" ref="BL295">1+$B$13+VLOOKUP($R295,武学奇术!$A:$ZZ,18,FALSE)+SUM(_xlfn.XLOOKUP(S295:AG295,增益!$A:$A,增益!$R:$R,0))</f>
        <v>1.5</v>
      </c>
      <c r="BM295" s="21" cm="1">
        <f t="array" ref="BM295">IF(VLOOKUP($R295,武学奇术!$A:$ZZ,24,FALSE)=1,100%,MIN(40%,$B$10+VLOOKUP($R295,武学奇术!$A:$ZZ,19,FALSE)+SUM(_xlfn.XLOOKUP(S295:AG295,增益!$A:$A,增益!$S:$S,0)))+$B$12+SUM(_xlfn.XLOOKUP(S295:AG295,增益!$A:$A,增益!$V:$V,0)))*IF(VLOOKUP($R295,武学奇术!$A:$ZZ,23,FALSE)=1,0,1)</f>
        <v>0.4495</v>
      </c>
      <c r="BN295" s="21" cm="1">
        <f t="array" ref="BN295">1+$B$14+VLOOKUP($R295,武学奇术!$A:$ZZ,20,FALSE)+SUM(_xlfn.XLOOKUP(S295:AG295,增益!$A:$A,增益!$T:$T,0))</f>
        <v>1.532</v>
      </c>
      <c r="BO295" s="21">
        <f t="shared" si="53"/>
        <v>0.18803265</v>
      </c>
      <c r="BP295" s="21">
        <f t="shared" si="54"/>
        <v>0.2649738</v>
      </c>
      <c r="BQ295" s="21">
        <f>IF(VLOOKUP($R295,武学奇术!$A:$ZZ,22,FALSE)=1,0,(1-$BJ295))*(1-$BM295)</f>
        <v>0.09749355</v>
      </c>
      <c r="BR295" s="21" cm="1">
        <f t="array" ref="BR295">SUM(_xlfn.XLOOKUP(S295:AG295,增益!$A:$A,增益!$W:$W,0))+$I$5</f>
        <v>0.06</v>
      </c>
    </row>
    <row r="296" spans="11:70">
      <c r="K296" s="24">
        <f>$L296*VLOOKUP($R296,武学奇术!$A:$ZZ,31,FALSE)</f>
        <v>33561.6418578486</v>
      </c>
      <c r="L296" s="24">
        <f t="shared" si="44"/>
        <v>33561.6418578486</v>
      </c>
      <c r="M296" s="24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BL296*$Q296*(1+IF(VLOOKUP($R296,武学奇术!$A:$ZZ,30,FALSE)="流血",$B$21,0))*(1+$BR296)</f>
        <v>30360.0806870402</v>
      </c>
      <c r="N296" s="24">
        <f>(($AP296*$AI296+$AJ296)*(1+$AQ296)*(1+$AR296)+($AU296*IF($G$1="鸣金",$AK296,$AI296)+IF($G$1="鸣金",$AL296*1.5,0))*(1+$AV296)*(1+$AW296)+($AY296*IF($G$1="裂石",$AK296,$AI296)+IF($G$1="裂石",$AL296*1.5,0))*(1+$AZ296)*(1+$BA296)+($BC296*IF($G$1="牵丝",$AK296,$AI296)+IF($G$1="牵丝",$AL296*1.5,0))*(1+$BD296)*(1+$BE296)+($BG296*IF($G$1="破竹",$AK296,$AI296)+IF($G$1="破竹",$AL296*1.5,0))*(1+$BH296)*(1+$BI296))*(1+$AM296)*$BN296*$Q296*(1+IF(VLOOKUP($R296,武学奇术!$A:$ZZ,30,FALSE)="流血",$B$21,0))*(1+$BR296)</f>
        <v>47954.9668893604</v>
      </c>
      <c r="O296" s="24">
        <f>((($AO296+$AP296)/2*$AI296+$AJ296)*(1+$AQ296)*(1+$AR296)+(($AT296+$AU296)/2*IF($G$1="鸣金",$AK296,$AI296)+IF($G$1="鸣金",$AL296*1.5,0))*(1+$AV296)*(1+$AW296)+(($AX296+$AY296)/2*IF($G$1="裂石",$AK296,$AI296)+IF($G$1="裂石",$AL296*1.5,0))*(1+$AZ296)*(1+$BA296)+(($BB296+$BC296)/2*IF($G$1="牵丝",$AK296,$AI296)+IF($G$1="牵丝",$AL296*1.5,0))*(1+$BD296)*(1+$BE296)+(($BF296+$BG296)/2*IF($G$1="破竹",$AK296,$AI296)+IF($G$1="破竹",$AL296*1.5,0))*(1+$BH296)*(1+$BI296))*(1+$AM296)*$Q296*(1+IF(VLOOKUP($R296,武学奇术!$A:$ZZ,30,FALSE)="流血",$B$21,0))*(1+$BR296)</f>
        <v>20240.0537913601</v>
      </c>
      <c r="P296" s="24">
        <f>((($AO296*$AI296+$AJ296)*(1+$AQ296)*(1+$AR296)+($AT296*IF($G$1="鸣金",$AK296,$AI296)+IF($G$1="鸣金",$AL296*1.5,0))*(1+$AV296)*(1+$AW296)+($AX296*IF($G$1="裂石",$AK296,$AI296)+IF($G$1="裂石",$AL296*1.5,0))*(1+$AZ296)*(1+$BA296)+($BB296*IF($G$1="牵丝",$AK296,$AI296)+IF($G$1="牵丝",$AL296*1.5,0))*(1+$BD296)*(1+$BE296)+($BF296*IF($G$1="破竹",$AK296,$AI296)+IF($G$1="破竹",$AL296*1.5,0))*(1+$BH296)*(1+$BI296))*(1+$AM296))*$Q296*(1+IF(VLOOKUP($R296,武学奇术!$A:$ZZ,30,FALSE)="流血",$B$21,0))*(1+$BR296)</f>
        <v>9581.28871070964</v>
      </c>
      <c r="Q296" s="31">
        <f t="shared" si="56"/>
        <v>1</v>
      </c>
      <c r="R296" s="32" t="s">
        <v>202</v>
      </c>
      <c r="S296" s="32" t="s">
        <v>87</v>
      </c>
      <c r="T296" s="32" t="s">
        <v>104</v>
      </c>
      <c r="U296" s="32" t="s">
        <v>73</v>
      </c>
      <c r="V296" s="32" t="s">
        <v>73</v>
      </c>
      <c r="W296" s="32" t="s">
        <v>111</v>
      </c>
      <c r="X296" s="32" t="s">
        <v>117</v>
      </c>
      <c r="Y296" s="32" t="s">
        <v>73</v>
      </c>
      <c r="Z296" s="32" t="s">
        <v>73</v>
      </c>
      <c r="AA296" s="32" t="s">
        <v>81</v>
      </c>
      <c r="AB296" s="32" t="s">
        <v>75</v>
      </c>
      <c r="AC296" s="32" t="s">
        <v>89</v>
      </c>
      <c r="AD296" s="32" t="s">
        <v>82</v>
      </c>
      <c r="AE296" s="32" t="s">
        <v>90</v>
      </c>
      <c r="AF296" s="32" t="s">
        <v>73</v>
      </c>
      <c r="AG296" s="32" t="s">
        <v>91</v>
      </c>
      <c r="AH296" t="str">
        <f>VLOOKUP($R296,武学奇术!$A:$ZZ,25,FALSE)</f>
        <v>群体奇术</v>
      </c>
      <c r="AI296" s="21">
        <f>VLOOKUP($R296,武学奇术!$A:$ZZ,26,FALSE)</f>
        <v>1.4904</v>
      </c>
      <c r="AJ296" s="22">
        <f>VLOOKUP($R296,武学奇术!$A:$ZZ,27,FALSE)*(1+IF(OR($AH296=$F$4,$AH296=$F$5),$B$22,0))</f>
        <v>378</v>
      </c>
      <c r="AK296" s="21">
        <f>VLOOKUP($R296,武学奇术!$A:$ZZ,28,FALSE)</f>
        <v>2.2356</v>
      </c>
      <c r="AL296" s="22">
        <f>VLOOKUP($R296,武学奇术!$A:$ZZ,29,FALSE)*(1+IF(OR($AH296=$F$4,$AH296=$F$5),$B$22,0))</f>
        <v>0</v>
      </c>
      <c r="AM296" s="21" cm="1">
        <f t="array" ref="AM296">$G$3+IFERROR(VLOOKUP($AH296,$F$4:$G$7,2,FALSE),0)+VLOOKUP($R296,武学奇术!$A:$ZZ,2,FALSE)+SUM(_xlfn.XLOOKUP($S296:$AG296,增益!$A:$A,增益!$B:$B,0))</f>
        <v>0.6592</v>
      </c>
      <c r="AN296" s="21" cm="1">
        <f t="array" ref="AN296">VLOOKUP($R296,武学奇术!$A:$ZZ,5,FALSE)+SUM(_xlfn.XLOOKUP($S296:$AG296,增益!$A:$A,增益!$E:$E,0))</f>
        <v>0</v>
      </c>
      <c r="AO296" cm="1">
        <f t="array" ref="AO296">$D$10*(1+$AN296)+VLOOKUP($R296,武学奇术!$A:$ZZ,3,FALSE)+SUM(_xlfn.XLOOKUP($S296:$AG296,增益!$A:$A,增益!$C:$C,0))-$I$2</f>
        <v>1825.28</v>
      </c>
      <c r="AP296" cm="1">
        <f t="array" ref="AP296">$E$10*(1+$AN296)+VLOOKUP($R296,武学奇术!$A:$ZZ,4,FALSE)+SUM(_xlfn.XLOOKUP($S296:$AG296,增益!$A:$A,增益!$D:$D,0))-$I$2</f>
        <v>7757.36</v>
      </c>
      <c r="AQ296" s="26" cm="1">
        <f t="array" ref="AQ296">IF($F$10-$I$3+VLOOKUP($R296,武学奇术!$A:$ZZ,6,FALSE)+SUM(_xlfn.XLOOKUP(S296:AG296,增益!$A:$A,增益!$F:$F,0))&gt;0,($F$10-$I$3+VLOOKUP($R296,武学奇术!$A:$ZZ,6,FALSE)+SUM(_xlfn.XLOOKUP(S296:AG296,增益!$A:$A,增益!$F:$F,0)))/200,($F$10-$I$3+VLOOKUP($R296,武学奇术!$A:$ZZ,6,FALSE)+SUM(_xlfn.XLOOKUP(S296:AG296,增益!$A:$A,增益!$F:$F,0)))/100)</f>
        <v>0.194</v>
      </c>
      <c r="AR296" s="26" cm="1">
        <f t="array" ref="AR296">$G$10+VLOOKUP($R296,武学奇术!$A:$ZZ,7,FALSE)+SUM(_xlfn.XLOOKUP(S296:AG296,增益!$A:$A,增益!$G:$G,0))</f>
        <v>0</v>
      </c>
      <c r="AS296" s="21" cm="1">
        <f t="array" ref="AS296">VLOOKUP($R296,武学奇术!$A:$ZZ,8,FALSE)+SUM(_xlfn.XLOOKUP(S296:AG296,增益!$A:$A,增益!$H:$H,0))</f>
        <v>0</v>
      </c>
      <c r="AT296">
        <f t="shared" si="45"/>
        <v>680.02</v>
      </c>
      <c r="AU296">
        <f t="shared" si="46"/>
        <v>1288.54</v>
      </c>
      <c r="AV296" s="26" cm="1">
        <f t="array" ref="AV296">IF($F$11-$I$4+VLOOKUP($R296,武学奇术!$A:$ZZ,9,FALSE)+SUM(_xlfn.XLOOKUP(S296:AG296,增益!$A:$A,增益!$I:$I,0))&gt;0,($F$11-$I$4+VLOOKUP($R296,武学奇术!$A:$ZZ,9,FALSE)+SUM(_xlfn.XLOOKUP(S296:AG296,增益!$A:$A,增益!$I:$I,0)))/200,($F$11-$I$4+VLOOKUP($R296,武学奇术!$A:$ZZ,9,FALSE)+SUM(_xlfn.XLOOKUP(S296:AG296,增益!$A:$A,增益!$I:$I,0)))/100)</f>
        <v>0</v>
      </c>
      <c r="AW296" s="26" cm="1">
        <f t="array" ref="AW296">$G$11+VLOOKUP($R296,武学奇术!$A:$ZZ,10,FALSE)+SUM(_xlfn.XLOOKUP(S296:AG296,增益!$A:$A,增益!$J:$J,0))</f>
        <v>0.15</v>
      </c>
      <c r="AX296">
        <f t="shared" si="47"/>
        <v>0</v>
      </c>
      <c r="AY296">
        <f t="shared" si="48"/>
        <v>0</v>
      </c>
      <c r="AZ296" s="26" cm="1">
        <f t="array" ref="AZ296">IF($F$12-$I$4+VLOOKUP($R296,武学奇术!$A:$ZZ,11,FALSE)+SUM(_xlfn.XLOOKUP(S296:AG296,增益!$A:$A,增益!$K:$K,0))&gt;0,($F$12-$I$4+VLOOKUP($R296,武学奇术!$A:$ZZ,11,FALSE)+SUM(_xlfn.XLOOKUP(S296:AG296,增益!$A:$A,增益!$K:$K,0)))/200,($F$12-$I$4+VLOOKUP($R296,武学奇术!$A:$ZZ,11,FALSE)+SUM(_xlfn.XLOOKUP(S296:AG296,增益!$A:$A,增益!$K:$K,0)))/100)</f>
        <v>-0.3</v>
      </c>
      <c r="BA296" s="26" cm="1">
        <f t="array" ref="BA296">$G$12+VLOOKUP($R296,武学奇术!$A:$ZZ,12,FALSE)+SUM(_xlfn.XLOOKUP(S296:AG296,增益!$A:$A,增益!$L:$L,0))</f>
        <v>0</v>
      </c>
      <c r="BB296">
        <f t="shared" si="49"/>
        <v>0</v>
      </c>
      <c r="BC296">
        <f t="shared" si="50"/>
        <v>0</v>
      </c>
      <c r="BD296" s="26" cm="1">
        <f t="array" ref="BD296">IF($F$13-$I$4+VLOOKUP($R296,武学奇术!$A:$ZZ,13,FALSE)+SUM(_xlfn.XLOOKUP(S296:AG296,增益!$A:$A,增益!$M:$M,0))&gt;0,($F$13-$I$4+VLOOKUP($R296,武学奇术!$A:$ZZ,13,FALSE)+SUM(_xlfn.XLOOKUP(S296:AG296,增益!$A:$A,增益!$K:$K,0)))/200,($F$13-$I$4+VLOOKUP($R296,武学奇术!$A:$ZZ,13,FALSE)+SUM(_xlfn.XLOOKUP(S296:AG296,增益!$A:$A,增益!$M:$M,0)))/100)</f>
        <v>-0.3</v>
      </c>
      <c r="BE296" s="26" cm="1">
        <f t="array" ref="BE296">$G$13+VLOOKUP($R296,武学奇术!$A:$ZZ,14,FALSE)+SUM(_xlfn.XLOOKUP(S296:AG296,增益!$A:$A,增益!$N:$N,0))</f>
        <v>0</v>
      </c>
      <c r="BF296">
        <f t="shared" si="51"/>
        <v>0</v>
      </c>
      <c r="BG296">
        <f t="shared" si="52"/>
        <v>0</v>
      </c>
      <c r="BH296" s="26" cm="1">
        <f t="array" ref="BH296">IF($F$14-$I$4+VLOOKUP($R296,武学奇术!$A:$ZZ,15,FALSE)+SUM(_xlfn.XLOOKUP(S296:AG296,增益!$A:$A,增益!$O:$O,0))&gt;0,($F$14-$I$4+VLOOKUP($R296,武学奇术!$A:$ZZ,15,FALSE)+SUM(_xlfn.XLOOKUP(S296:AG296,增益!$A:$A,增益!$O:$O,0)))/200,($F$14-$I$4+VLOOKUP($R296,武学奇术!$A:$ZZ,15,FALSE)+SUM(_xlfn.XLOOKUP(S296:AG296,增益!$A:$A,增益!$O:$O,0)))/100)</f>
        <v>-0.3</v>
      </c>
      <c r="BI296" s="26" cm="1">
        <f t="array" ref="BI296">$G$14+VLOOKUP($R296,武学奇术!$A:$ZZ,16,FALSE)+SUM(_xlfn.XLOOKUP(S296:AG296,增益!$A:$A,增益!$P:$P,0))</f>
        <v>0</v>
      </c>
      <c r="BJ296" s="21">
        <f>MIN(IF(VLOOKUP($R296,武学奇术!$A:$ZZ,23,FALSE)=1,100%,$B$8),100%)</f>
        <v>0.8229</v>
      </c>
      <c r="BK296" s="21" cm="1">
        <f t="array" ref="BK296">IF(VLOOKUP($R296,武学奇术!$A:$ZZ,23,FALSE)=1,100%,MIN(80%,$B$9+VLOOKUP($R296,武学奇术!$A:$ZZ,17,FALSE)+SUM(_xlfn.XLOOKUP(S296:AG296,增益!$A:$A,增益!$Q:$Q,0)))+$B$11+SUM(_xlfn.XLOOKUP(S296:AG296,增益!$A:$A,增益!$U:$U,0)))*IF(VLOOKUP($R296,武学奇术!$A:$ZZ,24,FALSE)=1,0,1)</f>
        <v>0.2285</v>
      </c>
      <c r="BL296" s="21" cm="1">
        <f t="array" ref="BL296">1+$B$13+VLOOKUP($R296,武学奇术!$A:$ZZ,18,FALSE)+SUM(_xlfn.XLOOKUP(S296:AG296,增益!$A:$A,增益!$R:$R,0))</f>
        <v>1.5</v>
      </c>
      <c r="BM296" s="21" cm="1">
        <f t="array" ref="BM296">IF(VLOOKUP($R296,武学奇术!$A:$ZZ,24,FALSE)=1,100%,MIN(40%,$B$10+VLOOKUP($R296,武学奇术!$A:$ZZ,19,FALSE)+SUM(_xlfn.XLOOKUP(S296:AG296,增益!$A:$A,增益!$S:$S,0)))+$B$12+SUM(_xlfn.XLOOKUP(S296:AG296,增益!$A:$A,增益!$V:$V,0)))*IF(VLOOKUP($R296,武学奇术!$A:$ZZ,23,FALSE)=1,0,1)</f>
        <v>0.4495</v>
      </c>
      <c r="BN296" s="21" cm="1">
        <f t="array" ref="BN296">1+$B$14+VLOOKUP($R296,武学奇术!$A:$ZZ,20,FALSE)+SUM(_xlfn.XLOOKUP(S296:AG296,增益!$A:$A,增益!$T:$T,0))</f>
        <v>1.552</v>
      </c>
      <c r="BO296" s="21">
        <f t="shared" si="53"/>
        <v>0.18803265</v>
      </c>
      <c r="BP296" s="21">
        <f t="shared" si="54"/>
        <v>0.2649738</v>
      </c>
      <c r="BQ296" s="21">
        <f>IF(VLOOKUP($R296,武学奇术!$A:$ZZ,22,FALSE)=1,0,(1-$BJ296))*(1-$BM296)</f>
        <v>0.09749355</v>
      </c>
      <c r="BR296" s="21" cm="1">
        <f t="array" ref="BR296">SUM(_xlfn.XLOOKUP(S296:AG296,增益!$A:$A,增益!$W:$W,0))+$I$5</f>
        <v>0.06</v>
      </c>
    </row>
    <row r="297" spans="11:70">
      <c r="K297" s="24">
        <f>$L297*VLOOKUP($R297,武学奇术!$A:$ZZ,31,FALSE)</f>
        <v>34996.7240593759</v>
      </c>
      <c r="L297" s="24">
        <f t="shared" si="44"/>
        <v>34996.7240593759</v>
      </c>
      <c r="M297" s="24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BL297*$Q297*(1+IF(VLOOKUP($R297,武学奇术!$A:$ZZ,30,FALSE)="流血",$B$21,0))*(1+$BR297)</f>
        <v>31904.5715409023</v>
      </c>
      <c r="N297" s="24">
        <f>(($AP297*$AI297+$AJ297)*(1+$AQ297)*(1+$AR297)+($AU297*IF($G$1="鸣金",$AK297,$AI297)+IF($G$1="鸣金",$AL297*1.5,0))*(1+$AV297)*(1+$AW297)+($AY297*IF($G$1="裂石",$AK297,$AI297)+IF($G$1="裂石",$AL297*1.5,0))*(1+$AZ297)*(1+$BA297)+($BC297*IF($G$1="牵丝",$AK297,$AI297)+IF($G$1="牵丝",$AL297*1.5,0))*(1+$BD297)*(1+$BE297)+($BG297*IF($G$1="破竹",$AK297,$AI297)+IF($G$1="破竹",$AL297*1.5,0))*(1+$BH297)*(1+$BI297))*(1+$AM297)*$BN297*$Q297*(1+IF(VLOOKUP($R297,武学奇术!$A:$ZZ,30,FALSE)="流血",$B$21,0))*(1+$BR297)</f>
        <v>49796.0159873387</v>
      </c>
      <c r="O297" s="24">
        <f>((($AO297+$AP297)/2*$AI297+$AJ297)*(1+$AQ297)*(1+$AR297)+(($AT297+$AU297)/2*IF($G$1="鸣金",$AK297,$AI297)+IF($G$1="鸣金",$AL297*1.5,0))*(1+$AV297)*(1+$AW297)+(($AX297+$AY297)/2*IF($G$1="裂石",$AK297,$AI297)+IF($G$1="裂石",$AL297*1.5,0))*(1+$AZ297)*(1+$BA297)+(($BB297+$BC297)/2*IF($G$1="牵丝",$AK297,$AI297)+IF($G$1="牵丝",$AL297*1.5,0))*(1+$BD297)*(1+$BE297)+(($BF297+$BG297)/2*IF($G$1="破竹",$AK297,$AI297)+IF($G$1="破竹",$AL297*1.5,0))*(1+$BH297)*(1+$BI297))*(1+$AM297)*$Q297*(1+IF(VLOOKUP($R297,武学奇术!$A:$ZZ,30,FALSE)="流血",$B$21,0))*(1+$BR297)</f>
        <v>21269.7143606015</v>
      </c>
      <c r="P297" s="24">
        <f>((($AO297*$AI297+$AJ297)*(1+$AQ297)*(1+$AR297)+($AT297*IF($G$1="鸣金",$AK297,$AI297)+IF($G$1="鸣金",$AL297*1.5,0))*(1+$AV297)*(1+$AW297)+($AX297*IF($G$1="裂石",$AK297,$AI297)+IF($G$1="裂石",$AL297*1.5,0))*(1+$AZ297)*(1+$BA297)+($BB297*IF($G$1="牵丝",$AK297,$AI297)+IF($G$1="牵丝",$AL297*1.5,0))*(1+$BD297)*(1+$BE297)+($BF297*IF($G$1="破竹",$AK297,$AI297)+IF($G$1="破竹",$AL297*1.5,0))*(1+$BH297)*(1+$BI297))*(1+$AM297))*$Q297*(1+IF(VLOOKUP($R297,武学奇术!$A:$ZZ,30,FALSE)="流血",$B$21,0))*(1+$BR297)</f>
        <v>10035.5018365173</v>
      </c>
      <c r="Q297" s="31">
        <f t="shared" si="56"/>
        <v>1</v>
      </c>
      <c r="R297" s="32" t="s">
        <v>202</v>
      </c>
      <c r="S297" s="32" t="s">
        <v>87</v>
      </c>
      <c r="T297" s="32" t="s">
        <v>104</v>
      </c>
      <c r="U297" s="32" t="s">
        <v>73</v>
      </c>
      <c r="V297" s="32" t="s">
        <v>73</v>
      </c>
      <c r="W297" s="32" t="s">
        <v>111</v>
      </c>
      <c r="X297" s="32" t="s">
        <v>116</v>
      </c>
      <c r="Y297" s="32" t="s">
        <v>73</v>
      </c>
      <c r="Z297" s="32" t="s">
        <v>73</v>
      </c>
      <c r="AA297" s="32" t="s">
        <v>81</v>
      </c>
      <c r="AB297" s="32" t="s">
        <v>75</v>
      </c>
      <c r="AC297" s="32" t="s">
        <v>76</v>
      </c>
      <c r="AD297" s="32" t="s">
        <v>82</v>
      </c>
      <c r="AE297" s="32" t="s">
        <v>90</v>
      </c>
      <c r="AF297" s="32" t="s">
        <v>73</v>
      </c>
      <c r="AG297" s="32" t="s">
        <v>117</v>
      </c>
      <c r="AH297" t="str">
        <f>VLOOKUP($R297,武学奇术!$A:$ZZ,25,FALSE)</f>
        <v>群体奇术</v>
      </c>
      <c r="AI297" s="21">
        <f>VLOOKUP($R297,武学奇术!$A:$ZZ,26,FALSE)</f>
        <v>1.4904</v>
      </c>
      <c r="AJ297" s="22">
        <f>VLOOKUP($R297,武学奇术!$A:$ZZ,27,FALSE)*(1+IF(OR($AH297=$F$4,$AH297=$F$5),$B$22,0))</f>
        <v>378</v>
      </c>
      <c r="AK297" s="21">
        <f>VLOOKUP($R297,武学奇术!$A:$ZZ,28,FALSE)</f>
        <v>2.2356</v>
      </c>
      <c r="AL297" s="22">
        <f>VLOOKUP($R297,武学奇术!$A:$ZZ,29,FALSE)*(1+IF(OR($AH297=$F$4,$AH297=$F$5),$B$22,0))</f>
        <v>0</v>
      </c>
      <c r="AM297" s="21" cm="1">
        <f t="array" ref="AM297">$G$3+IFERROR(VLOOKUP($AH297,$F$4:$G$7,2,FALSE),0)+VLOOKUP($R297,武学奇术!$A:$ZZ,2,FALSE)+SUM(_xlfn.XLOOKUP($S297:$AG297,增益!$A:$A,增益!$B:$B,0))</f>
        <v>0.6992</v>
      </c>
      <c r="AN297" s="21" cm="1">
        <f t="array" ref="AN297">VLOOKUP($R297,武学奇术!$A:$ZZ,5,FALSE)+SUM(_xlfn.XLOOKUP($S297:$AG297,增益!$A:$A,增益!$E:$E,0))</f>
        <v>0</v>
      </c>
      <c r="AO297" cm="1">
        <f t="array" ref="AO297">$D$10*(1+$AN297)+VLOOKUP($R297,武学奇术!$A:$ZZ,3,FALSE)+SUM(_xlfn.XLOOKUP($S297:$AG297,增益!$A:$A,增益!$C:$C,0))-$I$2</f>
        <v>1825.28</v>
      </c>
      <c r="AP297" cm="1">
        <f t="array" ref="AP297">$E$10*(1+$AN297)+VLOOKUP($R297,武学奇术!$A:$ZZ,4,FALSE)+SUM(_xlfn.XLOOKUP($S297:$AG297,增益!$A:$A,增益!$D:$D,0))-$I$2</f>
        <v>7757.36</v>
      </c>
      <c r="AQ297" s="26" cm="1">
        <f t="array" ref="AQ297">IF($F$10-$I$3+VLOOKUP($R297,武学奇术!$A:$ZZ,6,FALSE)+SUM(_xlfn.XLOOKUP(S297:AG297,增益!$A:$A,增益!$F:$F,0))&gt;0,($F$10-$I$3+VLOOKUP($R297,武学奇术!$A:$ZZ,6,FALSE)+SUM(_xlfn.XLOOKUP(S297:AG297,增益!$A:$A,增益!$F:$F,0)))/200,($F$10-$I$3+VLOOKUP($R297,武学奇术!$A:$ZZ,6,FALSE)+SUM(_xlfn.XLOOKUP(S297:AG297,增益!$A:$A,增益!$F:$F,0)))/100)</f>
        <v>0.234</v>
      </c>
      <c r="AR297" s="26" cm="1">
        <f t="array" ref="AR297">$G$10+VLOOKUP($R297,武学奇术!$A:$ZZ,7,FALSE)+SUM(_xlfn.XLOOKUP(S297:AG297,增益!$A:$A,增益!$G:$G,0))</f>
        <v>0</v>
      </c>
      <c r="AS297" s="21" cm="1">
        <f t="array" ref="AS297">VLOOKUP($R297,武学奇术!$A:$ZZ,8,FALSE)+SUM(_xlfn.XLOOKUP(S297:AG297,增益!$A:$A,增益!$H:$H,0))</f>
        <v>0</v>
      </c>
      <c r="AT297">
        <f t="shared" si="45"/>
        <v>680.02</v>
      </c>
      <c r="AU297">
        <f t="shared" si="46"/>
        <v>1288.54</v>
      </c>
      <c r="AV297" s="26" cm="1">
        <f t="array" ref="AV297">IF($F$11-$I$4+VLOOKUP($R297,武学奇术!$A:$ZZ,9,FALSE)+SUM(_xlfn.XLOOKUP(S297:AG297,增益!$A:$A,增益!$I:$I,0))&gt;0,($F$11-$I$4+VLOOKUP($R297,武学奇术!$A:$ZZ,9,FALSE)+SUM(_xlfn.XLOOKUP(S297:AG297,增益!$A:$A,增益!$I:$I,0)))/200,($F$11-$I$4+VLOOKUP($R297,武学奇术!$A:$ZZ,9,FALSE)+SUM(_xlfn.XLOOKUP(S297:AG297,增益!$A:$A,增益!$I:$I,0)))/100)</f>
        <v>0</v>
      </c>
      <c r="AW297" s="26" cm="1">
        <f t="array" ref="AW297">$G$11+VLOOKUP($R297,武学奇术!$A:$ZZ,10,FALSE)+SUM(_xlfn.XLOOKUP(S297:AG297,增益!$A:$A,增益!$J:$J,0))</f>
        <v>0.15</v>
      </c>
      <c r="AX297">
        <f t="shared" si="47"/>
        <v>0</v>
      </c>
      <c r="AY297">
        <f t="shared" si="48"/>
        <v>0</v>
      </c>
      <c r="AZ297" s="26" cm="1">
        <f t="array" ref="AZ297">IF($F$12-$I$4+VLOOKUP($R297,武学奇术!$A:$ZZ,11,FALSE)+SUM(_xlfn.XLOOKUP(S297:AG297,增益!$A:$A,增益!$K:$K,0))&gt;0,($F$12-$I$4+VLOOKUP($R297,武学奇术!$A:$ZZ,11,FALSE)+SUM(_xlfn.XLOOKUP(S297:AG297,增益!$A:$A,增益!$K:$K,0)))/200,($F$12-$I$4+VLOOKUP($R297,武学奇术!$A:$ZZ,11,FALSE)+SUM(_xlfn.XLOOKUP(S297:AG297,增益!$A:$A,增益!$K:$K,0)))/100)</f>
        <v>-0.3</v>
      </c>
      <c r="BA297" s="26" cm="1">
        <f t="array" ref="BA297">$G$12+VLOOKUP($R297,武学奇术!$A:$ZZ,12,FALSE)+SUM(_xlfn.XLOOKUP(S297:AG297,增益!$A:$A,增益!$L:$L,0))</f>
        <v>0</v>
      </c>
      <c r="BB297">
        <f t="shared" si="49"/>
        <v>0</v>
      </c>
      <c r="BC297">
        <f t="shared" si="50"/>
        <v>0</v>
      </c>
      <c r="BD297" s="26" cm="1">
        <f t="array" ref="BD297">IF($F$13-$I$4+VLOOKUP($R297,武学奇术!$A:$ZZ,13,FALSE)+SUM(_xlfn.XLOOKUP(S297:AG297,增益!$A:$A,增益!$M:$M,0))&gt;0,($F$13-$I$4+VLOOKUP($R297,武学奇术!$A:$ZZ,13,FALSE)+SUM(_xlfn.XLOOKUP(S297:AG297,增益!$A:$A,增益!$K:$K,0)))/200,($F$13-$I$4+VLOOKUP($R297,武学奇术!$A:$ZZ,13,FALSE)+SUM(_xlfn.XLOOKUP(S297:AG297,增益!$A:$A,增益!$M:$M,0)))/100)</f>
        <v>-0.3</v>
      </c>
      <c r="BE297" s="26" cm="1">
        <f t="array" ref="BE297">$G$13+VLOOKUP($R297,武学奇术!$A:$ZZ,14,FALSE)+SUM(_xlfn.XLOOKUP(S297:AG297,增益!$A:$A,增益!$N:$N,0))</f>
        <v>0</v>
      </c>
      <c r="BF297">
        <f t="shared" si="51"/>
        <v>0</v>
      </c>
      <c r="BG297">
        <f t="shared" si="52"/>
        <v>0</v>
      </c>
      <c r="BH297" s="26" cm="1">
        <f t="array" ref="BH297">IF($F$14-$I$4+VLOOKUP($R297,武学奇术!$A:$ZZ,15,FALSE)+SUM(_xlfn.XLOOKUP(S297:AG297,增益!$A:$A,增益!$O:$O,0))&gt;0,($F$14-$I$4+VLOOKUP($R297,武学奇术!$A:$ZZ,15,FALSE)+SUM(_xlfn.XLOOKUP(S297:AG297,增益!$A:$A,增益!$O:$O,0)))/200,($F$14-$I$4+VLOOKUP($R297,武学奇术!$A:$ZZ,15,FALSE)+SUM(_xlfn.XLOOKUP(S297:AG297,增益!$A:$A,增益!$O:$O,0)))/100)</f>
        <v>-0.3</v>
      </c>
      <c r="BI297" s="26" cm="1">
        <f t="array" ref="BI297">$G$14+VLOOKUP($R297,武学奇术!$A:$ZZ,16,FALSE)+SUM(_xlfn.XLOOKUP(S297:AG297,增益!$A:$A,增益!$P:$P,0))</f>
        <v>0</v>
      </c>
      <c r="BJ297" s="21">
        <f>MIN(IF(VLOOKUP($R297,武学奇术!$A:$ZZ,23,FALSE)=1,100%,$B$8),100%)</f>
        <v>0.8229</v>
      </c>
      <c r="BK297" s="21" cm="1">
        <f t="array" ref="BK297">IF(VLOOKUP($R297,武学奇术!$A:$ZZ,23,FALSE)=1,100%,MIN(80%,$B$9+VLOOKUP($R297,武学奇术!$A:$ZZ,17,FALSE)+SUM(_xlfn.XLOOKUP(S297:AG297,增益!$A:$A,增益!$Q:$Q,0)))+$B$11+SUM(_xlfn.XLOOKUP(S297:AG297,增益!$A:$A,增益!$U:$U,0)))*IF(VLOOKUP($R297,武学奇术!$A:$ZZ,24,FALSE)=1,0,1)</f>
        <v>0.2285</v>
      </c>
      <c r="BL297" s="21" cm="1">
        <f t="array" ref="BL297">1+$B$13+VLOOKUP($R297,武学奇术!$A:$ZZ,18,FALSE)+SUM(_xlfn.XLOOKUP(S297:AG297,增益!$A:$A,增益!$R:$R,0))</f>
        <v>1.5</v>
      </c>
      <c r="BM297" s="21" cm="1">
        <f t="array" ref="BM297">IF(VLOOKUP($R297,武学奇术!$A:$ZZ,24,FALSE)=1,100%,MIN(40%,$B$10+VLOOKUP($R297,武学奇术!$A:$ZZ,19,FALSE)+SUM(_xlfn.XLOOKUP(S297:AG297,增益!$A:$A,增益!$S:$S,0)))+$B$12+SUM(_xlfn.XLOOKUP(S297:AG297,增益!$A:$A,增益!$V:$V,0)))*IF(VLOOKUP($R297,武学奇术!$A:$ZZ,23,FALSE)=1,0,1)</f>
        <v>0.4495</v>
      </c>
      <c r="BN297" s="21" cm="1">
        <f t="array" ref="BN297">1+$B$14+VLOOKUP($R297,武学奇术!$A:$ZZ,20,FALSE)+SUM(_xlfn.XLOOKUP(S297:AG297,增益!$A:$A,增益!$T:$T,0))</f>
        <v>1.532</v>
      </c>
      <c r="BO297" s="21">
        <f t="shared" si="53"/>
        <v>0.18803265</v>
      </c>
      <c r="BP297" s="21">
        <f t="shared" si="54"/>
        <v>0.2649738</v>
      </c>
      <c r="BQ297" s="21">
        <f>IF(VLOOKUP($R297,武学奇术!$A:$ZZ,22,FALSE)=1,0,(1-$BJ297))*(1-$BM297)</f>
        <v>0.09749355</v>
      </c>
      <c r="BR297" s="21" cm="1">
        <f t="array" ref="BR297">SUM(_xlfn.XLOOKUP(S297:AG297,增益!$A:$A,增益!$W:$W,0))+$I$5</f>
        <v>0.06</v>
      </c>
    </row>
    <row r="298" spans="11:70">
      <c r="K298" s="24">
        <f>$L298*VLOOKUP($R298,武学奇术!$A:$ZZ,31,FALSE)</f>
        <v>35579.5747156868</v>
      </c>
      <c r="L298" s="24">
        <f t="shared" si="44"/>
        <v>35579.5747156868</v>
      </c>
      <c r="M298" s="24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BL298*$Q298*(1+IF(VLOOKUP($R298,武学奇术!$A:$ZZ,30,FALSE)="流血",$B$21,0))*(1+$BR298)</f>
        <v>32296.6718461136</v>
      </c>
      <c r="N298" s="24">
        <f>(($AP298*$AI298+$AJ298)*(1+$AQ298)*(1+$AR298)+($AU298*IF($G$1="鸣金",$AK298,$AI298)+IF($G$1="鸣金",$AL298*1.5,0))*(1+$AV298)*(1+$AW298)+($AY298*IF($G$1="裂石",$AK298,$AI298)+IF($G$1="裂石",$AL298*1.5,0))*(1+$AZ298)*(1+$BA298)+($BC298*IF($G$1="牵丝",$AK298,$AI298)+IF($G$1="牵丝",$AL298*1.5,0))*(1+$BD298)*(1+$BE298)+($BG298*IF($G$1="破竹",$AK298,$AI298)+IF($G$1="破竹",$AL298*1.5,0))*(1+$BH298)*(1+$BI298))*(1+$AM298)*$BN298*$Q298*(1+IF(VLOOKUP($R298,武学奇术!$A:$ZZ,30,FALSE)="流血",$B$21,0))*(1+$BR298)</f>
        <v>50749.5821275139</v>
      </c>
      <c r="O298" s="24">
        <f>((($AO298+$AP298)/2*$AI298+$AJ298)*(1+$AQ298)*(1+$AR298)+(($AT298+$AU298)/2*IF($G$1="鸣金",$AK298,$AI298)+IF($G$1="鸣金",$AL298*1.5,0))*(1+$AV298)*(1+$AW298)+(($AX298+$AY298)/2*IF($G$1="裂石",$AK298,$AI298)+IF($G$1="裂石",$AL298*1.5,0))*(1+$AZ298)*(1+$BA298)+(($BB298+$BC298)/2*IF($G$1="牵丝",$AK298,$AI298)+IF($G$1="牵丝",$AL298*1.5,0))*(1+$BD298)*(1+$BE298)+(($BF298+$BG298)/2*IF($G$1="破竹",$AK298,$AI298)+IF($G$1="破竹",$AL298*1.5,0))*(1+$BH298)*(1+$BI298))*(1+$AM298)*$Q298*(1+IF(VLOOKUP($R298,武学奇术!$A:$ZZ,30,FALSE)="流血",$B$21,0))*(1+$BR298)</f>
        <v>21531.1145640757</v>
      </c>
      <c r="P298" s="24">
        <f>((($AO298*$AI298+$AJ298)*(1+$AQ298)*(1+$AR298)+($AT298*IF($G$1="鸣金",$AK298,$AI298)+IF($G$1="鸣金",$AL298*1.5,0))*(1+$AV298)*(1+$AW298)+($AX298*IF($G$1="裂石",$AK298,$AI298)+IF($G$1="裂石",$AL298*1.5,0))*(1+$AZ298)*(1+$BA298)+($BB298*IF($G$1="牵丝",$AK298,$AI298)+IF($G$1="牵丝",$AL298*1.5,0))*(1+$BD298)*(1+$BE298)+($BF298*IF($G$1="破竹",$AK298,$AI298)+IF($G$1="破竹",$AL298*1.5,0))*(1+$BH298)*(1+$BI298))*(1+$AM298))*$Q298*(1+IF(VLOOKUP($R298,武学奇术!$A:$ZZ,30,FALSE)="流血",$B$21,0))*(1+$BR298)</f>
        <v>10150.6972685446</v>
      </c>
      <c r="Q298" s="31">
        <f t="shared" si="56"/>
        <v>1</v>
      </c>
      <c r="R298" s="32" t="s">
        <v>202</v>
      </c>
      <c r="S298" s="32" t="s">
        <v>87</v>
      </c>
      <c r="T298" s="32" t="s">
        <v>104</v>
      </c>
      <c r="U298" s="32" t="s">
        <v>73</v>
      </c>
      <c r="V298" s="32" t="s">
        <v>73</v>
      </c>
      <c r="W298" s="32" t="s">
        <v>111</v>
      </c>
      <c r="X298" s="32" t="s">
        <v>127</v>
      </c>
      <c r="Y298" s="32" t="s">
        <v>73</v>
      </c>
      <c r="Z298" s="32" t="s">
        <v>73</v>
      </c>
      <c r="AA298" s="32" t="s">
        <v>81</v>
      </c>
      <c r="AB298" s="32" t="s">
        <v>75</v>
      </c>
      <c r="AC298" s="32" t="s">
        <v>76</v>
      </c>
      <c r="AD298" s="32" t="s">
        <v>82</v>
      </c>
      <c r="AE298" s="32" t="s">
        <v>90</v>
      </c>
      <c r="AF298" s="32" t="s">
        <v>73</v>
      </c>
      <c r="AG298" s="32" t="s">
        <v>128</v>
      </c>
      <c r="AH298" t="str">
        <f>VLOOKUP($R298,武学奇术!$A:$ZZ,25,FALSE)</f>
        <v>群体奇术</v>
      </c>
      <c r="AI298" s="21">
        <f>VLOOKUP($R298,武学奇术!$A:$ZZ,26,FALSE)</f>
        <v>1.4904</v>
      </c>
      <c r="AJ298" s="22">
        <f>VLOOKUP($R298,武学奇术!$A:$ZZ,27,FALSE)*(1+IF(OR($AH298=$F$4,$AH298=$F$5),$B$22,0))</f>
        <v>378</v>
      </c>
      <c r="AK298" s="21">
        <f>VLOOKUP($R298,武学奇术!$A:$ZZ,28,FALSE)</f>
        <v>2.2356</v>
      </c>
      <c r="AL298" s="22">
        <f>VLOOKUP($R298,武学奇术!$A:$ZZ,29,FALSE)*(1+IF(OR($AH298=$F$4,$AH298=$F$5),$B$22,0))</f>
        <v>0</v>
      </c>
      <c r="AM298" s="21" cm="1">
        <f t="array" ref="AM298">$G$3+IFERROR(VLOOKUP($AH298,$F$4:$G$7,2,FALSE),0)+VLOOKUP($R298,武学奇术!$A:$ZZ,2,FALSE)+SUM(_xlfn.XLOOKUP($S298:$AG298,增益!$A:$A,增益!$B:$B,0))</f>
        <v>0.7092</v>
      </c>
      <c r="AN298" s="21" cm="1">
        <f t="array" ref="AN298">VLOOKUP($R298,武学奇术!$A:$ZZ,5,FALSE)+SUM(_xlfn.XLOOKUP($S298:$AG298,增益!$A:$A,增益!$E:$E,0))</f>
        <v>0</v>
      </c>
      <c r="AO298" cm="1">
        <f t="array" ref="AO298">$D$10*(1+$AN298)+VLOOKUP($R298,武学奇术!$A:$ZZ,3,FALSE)+SUM(_xlfn.XLOOKUP($S298:$AG298,增益!$A:$A,增益!$C:$C,0))-$I$2</f>
        <v>1825.28</v>
      </c>
      <c r="AP298" cm="1">
        <f t="array" ref="AP298">$E$10*(1+$AN298)+VLOOKUP($R298,武学奇术!$A:$ZZ,4,FALSE)+SUM(_xlfn.XLOOKUP($S298:$AG298,增益!$A:$A,增益!$D:$D,0))-$I$2</f>
        <v>7757.36</v>
      </c>
      <c r="AQ298" s="26" cm="1">
        <f t="array" ref="AQ298">IF($F$10-$I$3+VLOOKUP($R298,武学奇术!$A:$ZZ,6,FALSE)+SUM(_xlfn.XLOOKUP(S298:AG298,增益!$A:$A,增益!$F:$F,0))&gt;0,($F$10-$I$3+VLOOKUP($R298,武学奇术!$A:$ZZ,6,FALSE)+SUM(_xlfn.XLOOKUP(S298:AG298,增益!$A:$A,增益!$F:$F,0)))/200,($F$10-$I$3+VLOOKUP($R298,武学奇术!$A:$ZZ,6,FALSE)+SUM(_xlfn.XLOOKUP(S298:AG298,增益!$A:$A,增益!$F:$F,0)))/100)</f>
        <v>0.244</v>
      </c>
      <c r="AR298" s="26" cm="1">
        <f t="array" ref="AR298">$G$10+VLOOKUP($R298,武学奇术!$A:$ZZ,7,FALSE)+SUM(_xlfn.XLOOKUP(S298:AG298,增益!$A:$A,增益!$G:$G,0))</f>
        <v>0</v>
      </c>
      <c r="AS298" s="21" cm="1">
        <f t="array" ref="AS298">VLOOKUP($R298,武学奇术!$A:$ZZ,8,FALSE)+SUM(_xlfn.XLOOKUP(S298:AG298,增益!$A:$A,增益!$H:$H,0))</f>
        <v>0</v>
      </c>
      <c r="AT298">
        <f t="shared" si="45"/>
        <v>680.02</v>
      </c>
      <c r="AU298">
        <f t="shared" si="46"/>
        <v>1288.54</v>
      </c>
      <c r="AV298" s="26" cm="1">
        <f t="array" ref="AV298">IF($F$11-$I$4+VLOOKUP($R298,武学奇术!$A:$ZZ,9,FALSE)+SUM(_xlfn.XLOOKUP(S298:AG298,增益!$A:$A,增益!$I:$I,0))&gt;0,($F$11-$I$4+VLOOKUP($R298,武学奇术!$A:$ZZ,9,FALSE)+SUM(_xlfn.XLOOKUP(S298:AG298,增益!$A:$A,增益!$I:$I,0)))/200,($F$11-$I$4+VLOOKUP($R298,武学奇术!$A:$ZZ,9,FALSE)+SUM(_xlfn.XLOOKUP(S298:AG298,增益!$A:$A,增益!$I:$I,0)))/100)</f>
        <v>0</v>
      </c>
      <c r="AW298" s="26" cm="1">
        <f t="array" ref="AW298">$G$11+VLOOKUP($R298,武学奇术!$A:$ZZ,10,FALSE)+SUM(_xlfn.XLOOKUP(S298:AG298,增益!$A:$A,增益!$J:$J,0))</f>
        <v>0.15</v>
      </c>
      <c r="AX298">
        <f t="shared" si="47"/>
        <v>0</v>
      </c>
      <c r="AY298">
        <f t="shared" si="48"/>
        <v>0</v>
      </c>
      <c r="AZ298" s="26" cm="1">
        <f t="array" ref="AZ298">IF($F$12-$I$4+VLOOKUP($R298,武学奇术!$A:$ZZ,11,FALSE)+SUM(_xlfn.XLOOKUP(S298:AG298,增益!$A:$A,增益!$K:$K,0))&gt;0,($F$12-$I$4+VLOOKUP($R298,武学奇术!$A:$ZZ,11,FALSE)+SUM(_xlfn.XLOOKUP(S298:AG298,增益!$A:$A,增益!$K:$K,0)))/200,($F$12-$I$4+VLOOKUP($R298,武学奇术!$A:$ZZ,11,FALSE)+SUM(_xlfn.XLOOKUP(S298:AG298,增益!$A:$A,增益!$K:$K,0)))/100)</f>
        <v>-0.3</v>
      </c>
      <c r="BA298" s="26" cm="1">
        <f t="array" ref="BA298">$G$12+VLOOKUP($R298,武学奇术!$A:$ZZ,12,FALSE)+SUM(_xlfn.XLOOKUP(S298:AG298,增益!$A:$A,增益!$L:$L,0))</f>
        <v>0</v>
      </c>
      <c r="BB298">
        <f t="shared" si="49"/>
        <v>0</v>
      </c>
      <c r="BC298">
        <f t="shared" si="50"/>
        <v>0</v>
      </c>
      <c r="BD298" s="26" cm="1">
        <f t="array" ref="BD298">IF($F$13-$I$4+VLOOKUP($R298,武学奇术!$A:$ZZ,13,FALSE)+SUM(_xlfn.XLOOKUP(S298:AG298,增益!$A:$A,增益!$M:$M,0))&gt;0,($F$13-$I$4+VLOOKUP($R298,武学奇术!$A:$ZZ,13,FALSE)+SUM(_xlfn.XLOOKUP(S298:AG298,增益!$A:$A,增益!$K:$K,0)))/200,($F$13-$I$4+VLOOKUP($R298,武学奇术!$A:$ZZ,13,FALSE)+SUM(_xlfn.XLOOKUP(S298:AG298,增益!$A:$A,增益!$M:$M,0)))/100)</f>
        <v>-0.3</v>
      </c>
      <c r="BE298" s="26" cm="1">
        <f t="array" ref="BE298">$G$13+VLOOKUP($R298,武学奇术!$A:$ZZ,14,FALSE)+SUM(_xlfn.XLOOKUP(S298:AG298,增益!$A:$A,增益!$N:$N,0))</f>
        <v>0</v>
      </c>
      <c r="BF298">
        <f t="shared" si="51"/>
        <v>0</v>
      </c>
      <c r="BG298">
        <f t="shared" si="52"/>
        <v>0</v>
      </c>
      <c r="BH298" s="26" cm="1">
        <f t="array" ref="BH298">IF($F$14-$I$4+VLOOKUP($R298,武学奇术!$A:$ZZ,15,FALSE)+SUM(_xlfn.XLOOKUP(S298:AG298,增益!$A:$A,增益!$O:$O,0))&gt;0,($F$14-$I$4+VLOOKUP($R298,武学奇术!$A:$ZZ,15,FALSE)+SUM(_xlfn.XLOOKUP(S298:AG298,增益!$A:$A,增益!$O:$O,0)))/200,($F$14-$I$4+VLOOKUP($R298,武学奇术!$A:$ZZ,15,FALSE)+SUM(_xlfn.XLOOKUP(S298:AG298,增益!$A:$A,增益!$O:$O,0)))/100)</f>
        <v>-0.3</v>
      </c>
      <c r="BI298" s="26" cm="1">
        <f t="array" ref="BI298">$G$14+VLOOKUP($R298,武学奇术!$A:$ZZ,16,FALSE)+SUM(_xlfn.XLOOKUP(S298:AG298,增益!$A:$A,增益!$P:$P,0))</f>
        <v>0</v>
      </c>
      <c r="BJ298" s="21">
        <f>MIN(IF(VLOOKUP($R298,武学奇术!$A:$ZZ,23,FALSE)=1,100%,$B$8),100%)</f>
        <v>0.8229</v>
      </c>
      <c r="BK298" s="21" cm="1">
        <f t="array" ref="BK298">IF(VLOOKUP($R298,武学奇术!$A:$ZZ,23,FALSE)=1,100%,MIN(80%,$B$9+VLOOKUP($R298,武学奇术!$A:$ZZ,17,FALSE)+SUM(_xlfn.XLOOKUP(S298:AG298,增益!$A:$A,增益!$Q:$Q,0)))+$B$11+SUM(_xlfn.XLOOKUP(S298:AG298,增益!$A:$A,增益!$U:$U,0)))*IF(VLOOKUP($R298,武学奇术!$A:$ZZ,24,FALSE)=1,0,1)</f>
        <v>0.2285</v>
      </c>
      <c r="BL298" s="21" cm="1">
        <f t="array" ref="BL298">1+$B$13+VLOOKUP($R298,武学奇术!$A:$ZZ,18,FALSE)+SUM(_xlfn.XLOOKUP(S298:AG298,增益!$A:$A,增益!$R:$R,0))</f>
        <v>1.5</v>
      </c>
      <c r="BM298" s="21" cm="1">
        <f t="array" ref="BM298">IF(VLOOKUP($R298,武学奇术!$A:$ZZ,24,FALSE)=1,100%,MIN(40%,$B$10+VLOOKUP($R298,武学奇术!$A:$ZZ,19,FALSE)+SUM(_xlfn.XLOOKUP(S298:AG298,增益!$A:$A,增益!$S:$S,0)))+$B$12+SUM(_xlfn.XLOOKUP(S298:AG298,增益!$A:$A,增益!$V:$V,0)))*IF(VLOOKUP($R298,武学奇术!$A:$ZZ,23,FALSE)=1,0,1)</f>
        <v>0.4495</v>
      </c>
      <c r="BN298" s="21" cm="1">
        <f t="array" ref="BN298">1+$B$14+VLOOKUP($R298,武学奇术!$A:$ZZ,20,FALSE)+SUM(_xlfn.XLOOKUP(S298:AG298,增益!$A:$A,增益!$T:$T,0))</f>
        <v>1.542</v>
      </c>
      <c r="BO298" s="21">
        <f t="shared" si="53"/>
        <v>0.18803265</v>
      </c>
      <c r="BP298" s="21">
        <f t="shared" si="54"/>
        <v>0.2649738</v>
      </c>
      <c r="BQ298" s="21">
        <f>IF(VLOOKUP($R298,武学奇术!$A:$ZZ,22,FALSE)=1,0,(1-$BJ298))*(1-$BM298)</f>
        <v>0.09749355</v>
      </c>
      <c r="BR298" s="21" cm="1">
        <f t="array" ref="BR298">SUM(_xlfn.XLOOKUP(S298:AG298,增益!$A:$A,增益!$W:$W,0))+$I$5</f>
        <v>0.06</v>
      </c>
    </row>
  </sheetData>
  <mergeCells count="18">
    <mergeCell ref="H1:I1"/>
    <mergeCell ref="C8:G8"/>
    <mergeCell ref="C15:D15"/>
    <mergeCell ref="E21:F21"/>
    <mergeCell ref="E22:F22"/>
    <mergeCell ref="A23:A24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19 D21:D23 F15:F17">
      <formula1>"√,×"</formula1>
    </dataValidation>
    <dataValidation type="list" allowBlank="1" showInputMessage="1" showErrorMessage="1" sqref="R2:R298">
      <formula1>武学奇术!$A:$A</formula1>
    </dataValidation>
    <dataValidation type="list" allowBlank="1" showInputMessage="1" showErrorMessage="1" sqref="S2:AG298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4"/>
  <sheetViews>
    <sheetView zoomScale="85" zoomScaleNormal="85" workbookViewId="0">
      <pane xSplit="1" topLeftCell="B1" activePane="topRight" state="frozen"/>
      <selection/>
      <selection pane="topRight" activeCell="A1" sqref="A1"/>
    </sheetView>
  </sheetViews>
  <sheetFormatPr defaultColWidth="9" defaultRowHeight="13.5"/>
  <cols>
    <col min="1" max="1" width="21.45" customWidth="1"/>
    <col min="2" max="2" width="9" customWidth="1"/>
    <col min="17" max="17" width="9" style="21"/>
    <col min="26" max="26" width="9.36666666666667" style="21"/>
    <col min="27" max="27" width="9" style="22"/>
    <col min="28" max="28" width="9.36666666666667" style="21"/>
    <col min="29" max="29" width="9" style="22"/>
  </cols>
  <sheetData>
    <row r="1" spans="1:31">
      <c r="B1" t="s">
        <v>35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1" t="s">
        <v>110</v>
      </c>
      <c r="R1" t="s">
        <v>210</v>
      </c>
      <c r="S1" t="s">
        <v>112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30</v>
      </c>
      <c r="Z1" s="21" t="s">
        <v>31</v>
      </c>
      <c r="AA1" s="22" t="s">
        <v>32</v>
      </c>
      <c r="AB1" s="21" t="s">
        <v>33</v>
      </c>
      <c r="AC1" s="22" t="s">
        <v>34</v>
      </c>
      <c r="AD1" t="s">
        <v>216</v>
      </c>
      <c r="AE1" t="s">
        <v>140</v>
      </c>
    </row>
    <row r="2" spans="1:31">
      <c r="A2" t="s">
        <v>217</v>
      </c>
      <c r="B2" s="23"/>
      <c r="F2">
        <v>15</v>
      </c>
      <c r="I2">
        <v>15</v>
      </c>
      <c r="R2" s="23"/>
      <c r="T2" s="23">
        <v>0.18</v>
      </c>
      <c r="Y2" s="21" t="s">
        <v>84</v>
      </c>
      <c r="Z2" s="21">
        <f>13.2%*(1+期望!$B$22/10)</f>
        <v>0.1386</v>
      </c>
      <c r="AB2" s="21">
        <f>19.8%*(1+期望!$B$22/10)</f>
        <v>0.2079</v>
      </c>
      <c r="AD2" t="s">
        <v>218</v>
      </c>
      <c r="AE2">
        <v>0.6</v>
      </c>
    </row>
    <row r="3" spans="1:31">
      <c r="A3" t="s">
        <v>198</v>
      </c>
      <c r="B3" s="23"/>
      <c r="F3">
        <v>15</v>
      </c>
      <c r="I3">
        <v>15</v>
      </c>
      <c r="R3" s="23"/>
      <c r="T3" s="23">
        <v>0.18</v>
      </c>
      <c r="Y3" s="21" t="s">
        <v>84</v>
      </c>
      <c r="Z3" s="21">
        <f>16.5%*(1+期望!$B$22/10)</f>
        <v>0.17325</v>
      </c>
      <c r="AB3" s="21">
        <f>24.75%*(1+期望!$B$22/10)</f>
        <v>0.259875</v>
      </c>
      <c r="AD3" t="s">
        <v>218</v>
      </c>
      <c r="AE3">
        <v>0.6</v>
      </c>
    </row>
    <row r="4" spans="1:31">
      <c r="A4" t="s">
        <v>200</v>
      </c>
      <c r="B4" s="23"/>
      <c r="F4">
        <v>15</v>
      </c>
      <c r="I4">
        <v>15</v>
      </c>
      <c r="R4" s="23"/>
      <c r="T4" s="23">
        <v>0.18</v>
      </c>
      <c r="Y4" s="21" t="s">
        <v>84</v>
      </c>
      <c r="Z4" s="21">
        <f>19.8%*(1+期望!$B$22/10)</f>
        <v>0.2079</v>
      </c>
      <c r="AB4" s="21">
        <f>29.7%*(1+期望!$B$22/10)</f>
        <v>0.31185</v>
      </c>
      <c r="AD4" t="s">
        <v>218</v>
      </c>
      <c r="AE4">
        <v>0.6</v>
      </c>
    </row>
    <row r="5" spans="1:31">
      <c r="A5" t="s">
        <v>197</v>
      </c>
      <c r="B5" s="23"/>
      <c r="F5">
        <v>15</v>
      </c>
      <c r="I5">
        <v>15</v>
      </c>
      <c r="R5" s="23"/>
      <c r="T5" s="23">
        <v>0.18</v>
      </c>
      <c r="Y5" s="21" t="s">
        <v>84</v>
      </c>
      <c r="Z5" s="21">
        <f>26.4%*(1+期望!$B$22/10)</f>
        <v>0.2772</v>
      </c>
      <c r="AB5" s="21">
        <f>39.6%*(1+期望!$B$22/10)</f>
        <v>0.4158</v>
      </c>
      <c r="AD5" t="s">
        <v>218</v>
      </c>
      <c r="AE5">
        <v>0.6</v>
      </c>
    </row>
    <row r="6" spans="1:31">
      <c r="A6" t="s">
        <v>199</v>
      </c>
      <c r="B6" s="23"/>
      <c r="F6">
        <v>15</v>
      </c>
      <c r="I6">
        <v>15</v>
      </c>
      <c r="R6" s="23"/>
      <c r="T6" s="23">
        <v>0.18</v>
      </c>
      <c r="Y6" s="21" t="s">
        <v>84</v>
      </c>
      <c r="Z6" s="21">
        <f>33%*(1+期望!$B$22/10)</f>
        <v>0.3465</v>
      </c>
      <c r="AB6" s="21">
        <f>49.5%*(1+期望!$B$22/10)</f>
        <v>0.51975</v>
      </c>
      <c r="AD6" t="s">
        <v>218</v>
      </c>
      <c r="AE6">
        <v>0.6</v>
      </c>
    </row>
    <row r="7" spans="1:31">
      <c r="A7" t="s">
        <v>95</v>
      </c>
      <c r="F7">
        <v>15</v>
      </c>
      <c r="I7">
        <v>15</v>
      </c>
      <c r="R7" s="23"/>
      <c r="T7" s="23">
        <v>0.18</v>
      </c>
      <c r="Y7" s="21" t="s">
        <v>84</v>
      </c>
      <c r="Z7" s="21">
        <f>240%*(1+期望!$B$22/10)</f>
        <v>2.52</v>
      </c>
      <c r="AB7" s="21">
        <f>360%*(1+期望!$B$22/10)</f>
        <v>3.78</v>
      </c>
      <c r="AD7" t="s">
        <v>218</v>
      </c>
      <c r="AE7">
        <v>0.6</v>
      </c>
    </row>
    <row r="8" spans="1:31">
      <c r="A8" t="s">
        <v>120</v>
      </c>
      <c r="F8">
        <v>15</v>
      </c>
      <c r="I8">
        <v>15</v>
      </c>
      <c r="R8" s="23"/>
      <c r="T8" s="23">
        <v>0.18</v>
      </c>
      <c r="X8">
        <v>1</v>
      </c>
      <c r="Y8" s="21" t="s">
        <v>84</v>
      </c>
      <c r="Z8" s="21">
        <f>240%*(1+期望!$B$22/10)</f>
        <v>2.52</v>
      </c>
      <c r="AB8" s="21">
        <f>360%*(1+期望!$B$22/10)</f>
        <v>3.78</v>
      </c>
      <c r="AD8" t="s">
        <v>218</v>
      </c>
      <c r="AE8">
        <v>0.6</v>
      </c>
    </row>
    <row r="9" spans="1:31">
      <c r="A9" t="s">
        <v>177</v>
      </c>
      <c r="R9" s="23"/>
      <c r="Y9" s="21" t="s">
        <v>84</v>
      </c>
      <c r="Z9" s="21">
        <f>31.66%+47.5%</f>
        <v>0.7916</v>
      </c>
      <c r="AB9" s="21">
        <f>Z9*1.5</f>
        <v>1.1874</v>
      </c>
      <c r="AE9">
        <v>1</v>
      </c>
    </row>
    <row r="10" spans="1:31">
      <c r="A10" t="s">
        <v>103</v>
      </c>
      <c r="R10" s="23"/>
      <c r="Y10" s="21" t="s">
        <v>84</v>
      </c>
      <c r="Z10" s="21">
        <v>0.625</v>
      </c>
      <c r="AB10" s="21">
        <f>Z10*1.5</f>
        <v>0.9375</v>
      </c>
      <c r="AE10">
        <v>1</v>
      </c>
    </row>
    <row r="11" spans="1:31">
      <c r="A11" t="s">
        <v>192</v>
      </c>
      <c r="R11" s="23"/>
      <c r="Y11" s="21" t="s">
        <v>84</v>
      </c>
      <c r="Z11" s="21">
        <f>32.53%+48.8%</f>
        <v>0.8133</v>
      </c>
      <c r="AB11" s="21">
        <f>Z11*1.5</f>
        <v>1.21995</v>
      </c>
      <c r="AE11">
        <v>1</v>
      </c>
    </row>
    <row r="12" spans="1:31">
      <c r="A12" t="s">
        <v>174</v>
      </c>
      <c r="R12" s="23"/>
      <c r="Y12" s="21" t="s">
        <v>84</v>
      </c>
      <c r="Z12" s="21">
        <f>54.41%*2+40.81%*2+81.61%</f>
        <v>2.7205</v>
      </c>
      <c r="AA12" s="22">
        <f>150*2+112*2+225</f>
        <v>749</v>
      </c>
      <c r="AB12" s="21">
        <f>81.61%*2+61.21%*2+122.42%</f>
        <v>4.0806</v>
      </c>
      <c r="AC12" s="22">
        <f>82*2+61*2+123</f>
        <v>409</v>
      </c>
      <c r="AE12">
        <v>1</v>
      </c>
    </row>
    <row r="13" spans="1:31">
      <c r="A13" t="s">
        <v>219</v>
      </c>
      <c r="R13" s="23"/>
      <c r="Y13" s="21" t="s">
        <v>84</v>
      </c>
      <c r="Z13" s="21">
        <v>0.5441</v>
      </c>
      <c r="AA13" s="22">
        <v>150</v>
      </c>
      <c r="AB13" s="21">
        <v>0.8161</v>
      </c>
      <c r="AC13" s="22">
        <v>82</v>
      </c>
      <c r="AE13">
        <v>1</v>
      </c>
    </row>
    <row r="14" spans="1:31">
      <c r="A14" t="s">
        <v>191</v>
      </c>
      <c r="R14" s="23"/>
      <c r="Y14" s="21" t="s">
        <v>84</v>
      </c>
      <c r="Z14" s="21">
        <f>54.41%*2</f>
        <v>1.0882</v>
      </c>
      <c r="AA14" s="22">
        <v>300</v>
      </c>
      <c r="AB14" s="21">
        <f>81.61%*2</f>
        <v>1.6322</v>
      </c>
      <c r="AC14" s="22">
        <f>82*2</f>
        <v>164</v>
      </c>
      <c r="AE14">
        <v>1</v>
      </c>
    </row>
    <row r="15" spans="1:31">
      <c r="A15" t="s">
        <v>86</v>
      </c>
      <c r="R15" s="23"/>
      <c r="Y15" s="21" t="s">
        <v>84</v>
      </c>
      <c r="Z15" s="21">
        <v>1.1781</v>
      </c>
      <c r="AA15" s="22">
        <v>326</v>
      </c>
      <c r="AB15" s="21">
        <v>1.7672</v>
      </c>
      <c r="AC15" s="22">
        <v>177</v>
      </c>
      <c r="AE15">
        <v>1</v>
      </c>
    </row>
    <row r="16" spans="1:31">
      <c r="A16" t="s">
        <v>124</v>
      </c>
      <c r="R16" s="23"/>
      <c r="Y16" s="21" t="s">
        <v>84</v>
      </c>
      <c r="Z16" s="21">
        <f>Z18*0.5</f>
        <v>0.94015</v>
      </c>
      <c r="AA16" s="22">
        <f>AA18*0.5</f>
        <v>260</v>
      </c>
      <c r="AB16" s="21">
        <f>AB18*0.5</f>
        <v>1.41025</v>
      </c>
      <c r="AC16" s="22">
        <f>AC18*0.5</f>
        <v>141.5</v>
      </c>
      <c r="AE16">
        <v>1</v>
      </c>
    </row>
    <row r="17" spans="1:31">
      <c r="A17" t="s">
        <v>71</v>
      </c>
      <c r="R17" s="23"/>
      <c r="Y17" s="21" t="s">
        <v>84</v>
      </c>
      <c r="Z17" s="21">
        <f>Z18*9/14</f>
        <v>1.20876428571429</v>
      </c>
      <c r="AA17" s="22">
        <f>AA18*9/14</f>
        <v>334.285714285714</v>
      </c>
      <c r="AB17" s="21">
        <f>AB18*9/14</f>
        <v>1.81317857142857</v>
      </c>
      <c r="AC17" s="22">
        <f>AC18*9/14</f>
        <v>181.928571428571</v>
      </c>
      <c r="AE17">
        <v>1</v>
      </c>
    </row>
    <row r="18" spans="1:31">
      <c r="A18" t="s">
        <v>220</v>
      </c>
      <c r="R18" s="23"/>
      <c r="Y18" t="s">
        <v>84</v>
      </c>
      <c r="Z18" s="21">
        <v>1.8803</v>
      </c>
      <c r="AA18" s="22">
        <v>520</v>
      </c>
      <c r="AB18" s="21">
        <v>2.8205</v>
      </c>
      <c r="AC18" s="22">
        <v>283</v>
      </c>
      <c r="AE18">
        <v>1</v>
      </c>
    </row>
    <row r="19" spans="1:31">
      <c r="A19" t="s">
        <v>80</v>
      </c>
      <c r="R19" s="23"/>
      <c r="Y19" t="s">
        <v>93</v>
      </c>
      <c r="Z19" s="21">
        <f>32.1%*5+53.51%</f>
        <v>2.1401</v>
      </c>
      <c r="AA19" s="22">
        <f>88*5+148</f>
        <v>588</v>
      </c>
      <c r="AB19" s="21">
        <f>48.15%*5+80.26%</f>
        <v>3.2101</v>
      </c>
      <c r="AC19" s="22">
        <f>48*5+80</f>
        <v>320</v>
      </c>
      <c r="AE19">
        <v>1</v>
      </c>
    </row>
    <row r="20" spans="1:31">
      <c r="A20" t="s">
        <v>221</v>
      </c>
      <c r="R20" s="23"/>
      <c r="Y20" t="s">
        <v>93</v>
      </c>
      <c r="Z20" s="21">
        <v>1.7122</v>
      </c>
      <c r="AA20" s="22">
        <v>474</v>
      </c>
      <c r="AB20" s="21">
        <v>2.5683</v>
      </c>
      <c r="AC20" s="22">
        <v>258</v>
      </c>
      <c r="AE20">
        <v>1</v>
      </c>
    </row>
    <row r="21" spans="1:31">
      <c r="A21" t="s">
        <v>222</v>
      </c>
      <c r="R21" s="23"/>
      <c r="Y21" t="s">
        <v>93</v>
      </c>
      <c r="Z21" s="21">
        <v>2.1402</v>
      </c>
      <c r="AA21" s="22">
        <v>593</v>
      </c>
      <c r="AB21" s="21">
        <v>3.2103</v>
      </c>
      <c r="AC21" s="22">
        <v>323</v>
      </c>
      <c r="AE21">
        <v>1</v>
      </c>
    </row>
    <row r="22" spans="1:31">
      <c r="A22" t="s">
        <v>223</v>
      </c>
      <c r="R22" s="23"/>
      <c r="Y22" t="s">
        <v>93</v>
      </c>
      <c r="Z22" s="21">
        <v>2.5683</v>
      </c>
      <c r="AA22" s="22">
        <v>711</v>
      </c>
      <c r="AB22" s="21">
        <v>3.8524</v>
      </c>
      <c r="AC22" s="22">
        <v>387</v>
      </c>
      <c r="AE22">
        <v>1</v>
      </c>
    </row>
    <row r="23" spans="1:31">
      <c r="A23" t="s">
        <v>108</v>
      </c>
      <c r="R23" s="23"/>
      <c r="Y23" t="s">
        <v>93</v>
      </c>
      <c r="Z23" s="21">
        <f>256.83%*0.4</f>
        <v>1.02732</v>
      </c>
      <c r="AA23" s="22">
        <f>711*0.4</f>
        <v>284.4</v>
      </c>
      <c r="AB23" s="21">
        <f>385.24%*0.4</f>
        <v>1.54096</v>
      </c>
      <c r="AC23" s="22">
        <f>387*0.4</f>
        <v>154.8</v>
      </c>
      <c r="AE23">
        <v>1</v>
      </c>
    </row>
    <row r="24" spans="1:31">
      <c r="A24" t="s">
        <v>224</v>
      </c>
      <c r="R24" s="23"/>
      <c r="Y24" t="s">
        <v>93</v>
      </c>
      <c r="Z24" s="21">
        <f>375.26%/3</f>
        <v>1.25086666666667</v>
      </c>
      <c r="AA24" s="22">
        <f>1038/3</f>
        <v>346</v>
      </c>
      <c r="AB24" s="21">
        <f>562.9%/3</f>
        <v>1.87633333333333</v>
      </c>
      <c r="AC24" s="22">
        <f>565/3</f>
        <v>188.333333333333</v>
      </c>
      <c r="AE24">
        <v>1</v>
      </c>
    </row>
    <row r="25" spans="1:31">
      <c r="A25" t="s">
        <v>225</v>
      </c>
      <c r="R25" s="23"/>
      <c r="Y25" t="s">
        <v>93</v>
      </c>
      <c r="Z25" s="21">
        <f>375.26%/10</f>
        <v>0.37526</v>
      </c>
      <c r="AA25" s="22">
        <f>1038/10</f>
        <v>103.8</v>
      </c>
      <c r="AB25" s="21">
        <f>562.9%/10</f>
        <v>0.5629</v>
      </c>
      <c r="AC25" s="22">
        <f>565/10</f>
        <v>56.5</v>
      </c>
      <c r="AE25">
        <v>1</v>
      </c>
    </row>
    <row r="26" spans="1:31">
      <c r="A26" t="s">
        <v>226</v>
      </c>
      <c r="R26" s="23"/>
      <c r="Y26" t="s">
        <v>102</v>
      </c>
      <c r="Z26" s="21">
        <f>198.73%*2</f>
        <v>3.9746</v>
      </c>
      <c r="AA26" s="22">
        <f>504*2</f>
        <v>1008</v>
      </c>
      <c r="AB26" s="21">
        <f t="shared" ref="AB26:AB41" si="0">Z26*1.5</f>
        <v>5.9619</v>
      </c>
      <c r="AE26">
        <v>1</v>
      </c>
    </row>
    <row r="27" spans="1:31">
      <c r="A27" t="s">
        <v>202</v>
      </c>
      <c r="R27" s="23"/>
      <c r="Y27" t="s">
        <v>102</v>
      </c>
      <c r="Z27" s="21">
        <f>74.52%*2</f>
        <v>1.4904</v>
      </c>
      <c r="AA27" s="22">
        <f>189*2</f>
        <v>378</v>
      </c>
      <c r="AB27" s="21">
        <f t="shared" si="0"/>
        <v>2.2356</v>
      </c>
      <c r="AE27">
        <v>1</v>
      </c>
    </row>
    <row r="28" spans="1:31">
      <c r="A28" t="s">
        <v>227</v>
      </c>
      <c r="B28" s="23"/>
      <c r="E28" s="23"/>
      <c r="G28" s="23"/>
      <c r="N28" s="23"/>
      <c r="Q28"/>
      <c r="R28" s="23"/>
      <c r="Y28" t="s">
        <v>102</v>
      </c>
      <c r="Z28" s="21">
        <f>254.71%*2.7*1.5</f>
        <v>10.315755</v>
      </c>
      <c r="AA28" s="22">
        <f>492*2.7*1.5</f>
        <v>1992.6</v>
      </c>
      <c r="AB28" s="21">
        <f t="shared" si="0"/>
        <v>15.4736325</v>
      </c>
      <c r="AE28">
        <v>1</v>
      </c>
    </row>
    <row r="29" spans="1:31">
      <c r="A29" t="s">
        <v>228</v>
      </c>
      <c r="B29" s="23"/>
      <c r="R29" s="23"/>
      <c r="Y29" t="s">
        <v>100</v>
      </c>
      <c r="Z29" s="21">
        <f>319.88%+390.96%</f>
        <v>7.1084</v>
      </c>
      <c r="AA29" s="22">
        <f>616+753</f>
        <v>1369</v>
      </c>
      <c r="AB29" s="21">
        <f t="shared" si="0"/>
        <v>10.6626</v>
      </c>
      <c r="AE29">
        <v>1</v>
      </c>
    </row>
    <row r="30" spans="1:31">
      <c r="A30" t="s">
        <v>193</v>
      </c>
      <c r="B30" s="23">
        <v>0.47</v>
      </c>
      <c r="R30" s="23"/>
      <c r="V30">
        <v>1</v>
      </c>
      <c r="Y30" t="s">
        <v>100</v>
      </c>
      <c r="Z30" s="21">
        <f>1636.48%*2.2*0.7</f>
        <v>25.201792</v>
      </c>
      <c r="AA30" s="22">
        <f>3162*2.2*0.7</f>
        <v>4869.48</v>
      </c>
      <c r="AB30" s="21">
        <f t="shared" si="0"/>
        <v>37.802688</v>
      </c>
      <c r="AE30">
        <v>1</v>
      </c>
    </row>
    <row r="31" spans="1:31">
      <c r="A31" t="s">
        <v>229</v>
      </c>
      <c r="R31" s="23"/>
      <c r="Y31" t="s">
        <v>102</v>
      </c>
      <c r="Z31" s="21">
        <f>(416.02%+772.61%)*2</f>
        <v>23.7726</v>
      </c>
      <c r="AA31" s="22">
        <f>(803+1493)*2</f>
        <v>4592</v>
      </c>
      <c r="AB31" s="21">
        <f t="shared" si="0"/>
        <v>35.6589</v>
      </c>
      <c r="AE31">
        <v>1</v>
      </c>
    </row>
    <row r="32" spans="1:31">
      <c r="A32" t="s">
        <v>114</v>
      </c>
      <c r="B32" s="23"/>
      <c r="R32" s="23"/>
      <c r="Y32" t="s">
        <v>100</v>
      </c>
      <c r="Z32" s="21">
        <f>257.01%/2</f>
        <v>1.28505</v>
      </c>
      <c r="AA32" s="22">
        <f>502/2</f>
        <v>251</v>
      </c>
      <c r="AB32" s="21">
        <f t="shared" si="0"/>
        <v>1.927575</v>
      </c>
      <c r="AE32">
        <v>1</v>
      </c>
    </row>
    <row r="33" spans="1:31">
      <c r="A33" t="s">
        <v>187</v>
      </c>
      <c r="R33" s="23"/>
      <c r="Y33" t="s">
        <v>100</v>
      </c>
      <c r="Z33" s="21">
        <f>257.01%+141.62%</f>
        <v>3.9863</v>
      </c>
      <c r="AA33" s="22">
        <f>502+276</f>
        <v>778</v>
      </c>
      <c r="AB33" s="21">
        <f t="shared" si="0"/>
        <v>5.97945</v>
      </c>
      <c r="AE33">
        <v>1</v>
      </c>
    </row>
    <row r="34" spans="1:31">
      <c r="A34" t="s">
        <v>194</v>
      </c>
      <c r="B34" s="23"/>
      <c r="R34" s="23"/>
      <c r="T34" s="23"/>
      <c r="Y34" t="s">
        <v>100</v>
      </c>
      <c r="Z34" s="21">
        <v>0.236</v>
      </c>
      <c r="AA34" s="22">
        <v>46</v>
      </c>
      <c r="AB34" s="21">
        <f t="shared" si="0"/>
        <v>0.354</v>
      </c>
      <c r="AE34">
        <v>0.5</v>
      </c>
    </row>
    <row r="35" spans="1:31">
      <c r="A35" t="s">
        <v>230</v>
      </c>
      <c r="B35" s="23"/>
      <c r="R35" s="23"/>
      <c r="Y35" t="s">
        <v>100</v>
      </c>
      <c r="Z35" s="21">
        <f>272.42%/2</f>
        <v>1.3621</v>
      </c>
      <c r="AA35" s="22">
        <f>528/2</f>
        <v>264</v>
      </c>
      <c r="AB35" s="21">
        <f t="shared" si="0"/>
        <v>2.04315</v>
      </c>
      <c r="AE35">
        <v>1</v>
      </c>
    </row>
    <row r="36" spans="1:31">
      <c r="A36" t="s">
        <v>231</v>
      </c>
      <c r="R36" s="23"/>
      <c r="Y36" t="s">
        <v>100</v>
      </c>
      <c r="Z36" s="21">
        <f>272.42%+150.11%</f>
        <v>4.2253</v>
      </c>
      <c r="AA36" s="22">
        <f>528+291</f>
        <v>819</v>
      </c>
      <c r="AB36" s="21">
        <f t="shared" si="0"/>
        <v>6.33795</v>
      </c>
      <c r="AE36">
        <v>1</v>
      </c>
    </row>
    <row r="37" spans="1:31">
      <c r="A37" t="s">
        <v>232</v>
      </c>
      <c r="B37" s="23"/>
      <c r="R37" s="23"/>
      <c r="T37" s="23"/>
      <c r="Y37" t="s">
        <v>100</v>
      </c>
      <c r="Z37" s="21">
        <v>0.2958</v>
      </c>
      <c r="AA37" s="22">
        <v>57</v>
      </c>
      <c r="AB37" s="21">
        <f t="shared" si="0"/>
        <v>0.4437</v>
      </c>
      <c r="AE37">
        <v>0.5</v>
      </c>
    </row>
    <row r="38" spans="1:31">
      <c r="A38" t="s">
        <v>143</v>
      </c>
      <c r="R38" s="23"/>
      <c r="Y38" t="s">
        <v>100</v>
      </c>
      <c r="Z38" s="21">
        <v>1.0239</v>
      </c>
      <c r="AA38" s="22">
        <v>196</v>
      </c>
      <c r="AB38" s="21">
        <f t="shared" si="0"/>
        <v>1.53585</v>
      </c>
      <c r="AE38">
        <v>1</v>
      </c>
    </row>
    <row r="39" spans="1:31">
      <c r="A39" t="s">
        <v>157</v>
      </c>
      <c r="B39" s="23">
        <v>0.8</v>
      </c>
      <c r="R39" s="23"/>
      <c r="Y39" t="s">
        <v>100</v>
      </c>
      <c r="Z39" s="21">
        <v>1.7065</v>
      </c>
      <c r="AA39" s="22">
        <v>327</v>
      </c>
      <c r="AB39" s="21">
        <f t="shared" si="0"/>
        <v>2.55975</v>
      </c>
      <c r="AE39">
        <v>1</v>
      </c>
    </row>
    <row r="40" spans="1:31">
      <c r="A40" t="s">
        <v>233</v>
      </c>
      <c r="R40" s="23"/>
      <c r="Y40" t="s">
        <v>100</v>
      </c>
      <c r="Z40" s="21">
        <v>0.7021</v>
      </c>
      <c r="AA40" s="22">
        <v>134</v>
      </c>
      <c r="AB40" s="21">
        <f t="shared" si="0"/>
        <v>1.05315</v>
      </c>
      <c r="AE40">
        <v>1</v>
      </c>
    </row>
    <row r="41" spans="1:31">
      <c r="A41" t="s">
        <v>146</v>
      </c>
      <c r="R41" s="23"/>
      <c r="Y41" t="s">
        <v>100</v>
      </c>
      <c r="Z41" s="21">
        <v>1.609</v>
      </c>
      <c r="AA41" s="22">
        <v>308</v>
      </c>
      <c r="AB41" s="21">
        <f t="shared" si="0"/>
        <v>2.4135</v>
      </c>
      <c r="AE41">
        <v>1</v>
      </c>
    </row>
    <row r="42" spans="1:31">
      <c r="A42" t="s">
        <v>201</v>
      </c>
      <c r="R42" s="23"/>
      <c r="Y42" t="s">
        <v>234</v>
      </c>
      <c r="Z42" s="21">
        <v>1</v>
      </c>
      <c r="AB42" s="21">
        <v>1</v>
      </c>
      <c r="AE42">
        <v>1</v>
      </c>
    </row>
    <row r="43" spans="1:31">
      <c r="A43" t="s">
        <v>235</v>
      </c>
      <c r="B43" s="23"/>
      <c r="E43" s="23"/>
      <c r="G43" s="23"/>
      <c r="N43" s="23"/>
      <c r="Q43"/>
      <c r="R43" s="23"/>
      <c r="Y43" t="s">
        <v>102</v>
      </c>
      <c r="Z43" s="21">
        <f>254.71%*2.7</f>
        <v>6.87717</v>
      </c>
      <c r="AA43" s="22">
        <f>492*2.7</f>
        <v>1328.4</v>
      </c>
      <c r="AB43" s="21">
        <f>Z43*1.5</f>
        <v>10.315755</v>
      </c>
      <c r="AE43">
        <v>1</v>
      </c>
    </row>
    <row r="44" spans="1:31">
      <c r="A44" t="s">
        <v>73</v>
      </c>
      <c r="Y44" t="s">
        <v>234</v>
      </c>
      <c r="Z44" s="21">
        <v>0</v>
      </c>
      <c r="AB44" s="21">
        <v>0</v>
      </c>
      <c r="AE44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9"/>
  <sheetViews>
    <sheetView workbookViewId="0">
      <selection activeCell="A1" sqref="A1"/>
    </sheetView>
  </sheetViews>
  <sheetFormatPr defaultColWidth="9" defaultRowHeight="13.5"/>
  <cols>
    <col min="1" max="1" width="15.9083333333333" customWidth="1"/>
    <col min="2" max="2" width="9" customWidth="1"/>
    <col min="7" max="7" width="12.6333333333333" customWidth="1"/>
    <col min="8" max="8" width="14.0916666666667" customWidth="1"/>
    <col min="23" max="23" width="9" style="21"/>
    <col min="24" max="24" width="9.36666666666667" style="21"/>
    <col min="25" max="25" width="9" style="22"/>
  </cols>
  <sheetData>
    <row r="1" spans="1:27">
      <c r="B1" t="s">
        <v>35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110</v>
      </c>
      <c r="R1" t="s">
        <v>210</v>
      </c>
      <c r="S1" t="s">
        <v>112</v>
      </c>
      <c r="T1" t="s">
        <v>211</v>
      </c>
      <c r="U1" s="21" t="s">
        <v>115</v>
      </c>
      <c r="V1" s="22" t="s">
        <v>118</v>
      </c>
      <c r="W1" s="21" t="s">
        <v>66</v>
      </c>
    </row>
    <row r="2" spans="1:27">
      <c r="A2" t="s">
        <v>81</v>
      </c>
      <c r="B2" s="23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</row>
    <row r="3" spans="1:27">
      <c r="A3" t="s">
        <v>89</v>
      </c>
      <c r="B3" s="23"/>
      <c r="E3" s="23">
        <f>IF(期望!$D$21="√",12%,0)</f>
        <v>0</v>
      </c>
      <c r="H3" s="23">
        <f>IF(期望!$D$21="√",12%,0)</f>
        <v>0</v>
      </c>
      <c r="I3" s="23"/>
      <c r="Z3" s="21"/>
      <c r="AA3" s="22"/>
    </row>
    <row r="4" spans="1:27">
      <c r="A4" t="s">
        <v>76</v>
      </c>
      <c r="B4" s="23"/>
      <c r="H4" s="23">
        <f>IF(期望!$D$21="√",6%,0)</f>
        <v>0</v>
      </c>
      <c r="Z4" s="21"/>
      <c r="AA4" s="22"/>
    </row>
    <row r="5" spans="1:27">
      <c r="A5" t="s">
        <v>75</v>
      </c>
      <c r="B5" s="23"/>
      <c r="G5" s="23">
        <f>IF(期望!$D$21="√",2%,0)</f>
        <v>0</v>
      </c>
      <c r="J5" s="23">
        <f>IF(期望!$D$21="√",2%,0)</f>
        <v>0</v>
      </c>
      <c r="L5" s="23">
        <f>IF(期望!$D$21="√",2%,0)</f>
        <v>0</v>
      </c>
      <c r="N5" s="23">
        <f>IF(期望!$D$21="√",2%,0)</f>
        <v>0</v>
      </c>
      <c r="P5" s="23">
        <f>IF(期望!$D$21="√",2%,0)</f>
        <v>0</v>
      </c>
      <c r="Z5" s="21"/>
      <c r="AA5" s="22"/>
    </row>
    <row r="6" spans="1:27">
      <c r="A6" t="s">
        <v>82</v>
      </c>
      <c r="B6" s="23"/>
      <c r="G6" s="23">
        <f>IF(期望!$D$22="√",2%,0)</f>
        <v>0</v>
      </c>
      <c r="J6" s="23">
        <f>IF(期望!$D$22="√",2%,0)</f>
        <v>0</v>
      </c>
      <c r="L6" s="23">
        <f>IF(期望!$D$22="√",2%,0)</f>
        <v>0</v>
      </c>
      <c r="N6" s="23">
        <f>IF(期望!$D$22="√",2%,0)</f>
        <v>0</v>
      </c>
      <c r="P6" s="23">
        <f>IF(期望!$D$22="√",2%,0)</f>
        <v>0</v>
      </c>
      <c r="Z6" s="21"/>
      <c r="AA6" s="22"/>
    </row>
    <row r="7" spans="1:27">
      <c r="A7" t="s">
        <v>90</v>
      </c>
      <c r="B7" s="23">
        <f>IF(期望!$D$23="√",24%,0)</f>
        <v>0.24</v>
      </c>
      <c r="R7" s="21"/>
    </row>
    <row r="8" spans="1:27">
      <c r="A8" t="s">
        <v>183</v>
      </c>
      <c r="B8" s="23">
        <f>IF(期望!$D$23="√",29%,0)</f>
        <v>0.29</v>
      </c>
      <c r="R8" s="21"/>
    </row>
    <row r="9" spans="1:27">
      <c r="A9" t="s">
        <v>77</v>
      </c>
      <c r="B9" s="23">
        <v>0.02</v>
      </c>
      <c r="R9" s="23"/>
    </row>
    <row r="10" spans="1:27">
      <c r="A10" t="s">
        <v>236</v>
      </c>
      <c r="B10" s="23"/>
      <c r="R10" s="23"/>
      <c r="W10" s="21">
        <v>0.05</v>
      </c>
    </row>
    <row r="11" hidden="1" spans="1:27">
      <c r="A11" t="s">
        <v>237</v>
      </c>
      <c r="B11" s="21"/>
      <c r="R11" s="21"/>
      <c r="W11" s="21">
        <v>0.1</v>
      </c>
    </row>
    <row r="12" spans="1:27">
      <c r="A12" t="s">
        <v>179</v>
      </c>
      <c r="B12" s="23"/>
      <c r="W12" s="21">
        <v>0.1</v>
      </c>
    </row>
    <row r="13" spans="1:27">
      <c r="A13" t="s">
        <v>182</v>
      </c>
      <c r="B13" s="23"/>
      <c r="J13" s="23">
        <f>IF(期望!$D$18="√",10%,0)</f>
        <v>0</v>
      </c>
      <c r="W13" s="21">
        <f>IF(期望!$D$18="√",10%,0)</f>
        <v>0</v>
      </c>
    </row>
    <row r="14" spans="1:27">
      <c r="A14" t="s">
        <v>195</v>
      </c>
      <c r="B14" s="23">
        <v>0.1</v>
      </c>
    </row>
    <row r="15" spans="1:27">
      <c r="A15" t="s">
        <v>196</v>
      </c>
      <c r="B15" s="23">
        <v>0.3</v>
      </c>
    </row>
    <row r="16" spans="1:27">
      <c r="A16" t="s">
        <v>97</v>
      </c>
      <c r="B16" s="23">
        <v>0.5</v>
      </c>
    </row>
    <row r="17" spans="1:22">
      <c r="A17" t="s">
        <v>111</v>
      </c>
      <c r="C17">
        <v>31</v>
      </c>
      <c r="D17">
        <v>31</v>
      </c>
      <c r="R17" s="23"/>
    </row>
    <row r="18" spans="1:22">
      <c r="A18" t="s">
        <v>72</v>
      </c>
      <c r="B18" s="23">
        <v>0.1</v>
      </c>
      <c r="R18" s="23"/>
    </row>
    <row r="19" spans="1:22">
      <c r="A19" t="s">
        <v>87</v>
      </c>
      <c r="B19" s="23">
        <v>0.3</v>
      </c>
      <c r="R19" s="23"/>
    </row>
    <row r="20" spans="1:22">
      <c r="A20" t="s">
        <v>104</v>
      </c>
      <c r="B20" s="21">
        <v>0.015</v>
      </c>
      <c r="R20" s="23"/>
      <c r="S20" s="23"/>
      <c r="T20" s="23">
        <v>0.1</v>
      </c>
      <c r="V20" s="23">
        <v>0.03</v>
      </c>
    </row>
    <row r="21" spans="1:22">
      <c r="A21" t="s">
        <v>96</v>
      </c>
      <c r="B21" s="21">
        <v>0.115</v>
      </c>
      <c r="R21" s="23"/>
      <c r="S21" s="23"/>
      <c r="T21" s="23">
        <v>0.1</v>
      </c>
      <c r="V21" s="23">
        <v>0.03</v>
      </c>
    </row>
    <row r="22" spans="1:22">
      <c r="A22" t="s">
        <v>98</v>
      </c>
      <c r="B22" s="23">
        <v>0.15</v>
      </c>
      <c r="R22" s="23"/>
      <c r="S22" s="23"/>
    </row>
    <row r="23" spans="1:22">
      <c r="A23" t="s">
        <v>238</v>
      </c>
      <c r="B23" s="23"/>
      <c r="F23">
        <f>IF(期望!E22="断石之构",25,0)</f>
        <v>0</v>
      </c>
      <c r="R23" s="21">
        <f>IF(期望!E22="断石之构",25%,0)</f>
        <v>0</v>
      </c>
      <c r="S23" s="23"/>
      <c r="T23" s="23"/>
    </row>
    <row r="24" spans="1:22">
      <c r="A24" t="s">
        <v>78</v>
      </c>
      <c r="R24" s="23"/>
      <c r="S24" s="23"/>
      <c r="T24" s="23">
        <f>IF(期望!$F$16="√",1%,0)</f>
        <v>0.01</v>
      </c>
    </row>
    <row r="25" spans="1:22">
      <c r="A25" t="s">
        <v>91</v>
      </c>
      <c r="R25" s="23"/>
      <c r="S25" s="23"/>
      <c r="T25" s="23">
        <f>IF(期望!$F$16="√",2%,0)</f>
        <v>0.02</v>
      </c>
    </row>
    <row r="26" spans="1:22">
      <c r="A26" t="s">
        <v>117</v>
      </c>
      <c r="R26" s="23"/>
      <c r="S26" s="23"/>
      <c r="T26" s="23">
        <f>IF(期望!$F$16="√",3%,0)</f>
        <v>0.03</v>
      </c>
    </row>
    <row r="27" spans="1:22">
      <c r="A27" t="s">
        <v>128</v>
      </c>
      <c r="R27" s="23"/>
      <c r="S27" s="23"/>
      <c r="T27" s="23">
        <f>IF(期望!$F$16="√",4%,0)</f>
        <v>0.04</v>
      </c>
    </row>
    <row r="28" spans="1:22">
      <c r="A28" t="s">
        <v>144</v>
      </c>
      <c r="R28" s="23"/>
      <c r="S28" s="23"/>
      <c r="T28" s="23">
        <f>IF(期望!$F$16="√",5%,0)</f>
        <v>0.05</v>
      </c>
    </row>
    <row r="29" spans="1:22">
      <c r="A29" t="s">
        <v>158</v>
      </c>
      <c r="R29" s="23"/>
      <c r="S29" s="23"/>
      <c r="T29" s="23">
        <f>IF(期望!$F$16="√",6%,0)</f>
        <v>0.06</v>
      </c>
    </row>
    <row r="30" spans="1:22">
      <c r="A30" t="s">
        <v>169</v>
      </c>
      <c r="R30" s="23"/>
      <c r="S30" s="23"/>
      <c r="T30" s="23">
        <f>IF(期望!$F$16="√",7%,0)</f>
        <v>0.07</v>
      </c>
    </row>
    <row r="31" spans="1:22">
      <c r="A31" t="s">
        <v>172</v>
      </c>
      <c r="R31" s="23"/>
      <c r="S31" s="23"/>
      <c r="T31" s="23">
        <f>IF(期望!$F$16="√",8%,0)</f>
        <v>0.08</v>
      </c>
    </row>
    <row r="32" spans="1:22">
      <c r="A32" t="s">
        <v>175</v>
      </c>
      <c r="R32" s="23"/>
      <c r="S32" s="23"/>
      <c r="T32" s="23">
        <f>IF(期望!$F$16="√",9%,0)</f>
        <v>0.09</v>
      </c>
    </row>
    <row r="33" spans="1:20">
      <c r="A33" t="s">
        <v>178</v>
      </c>
      <c r="R33" s="23"/>
      <c r="S33" s="23"/>
      <c r="T33" s="23">
        <f>IF(期望!$F$16="√",10%,0)</f>
        <v>0.1</v>
      </c>
    </row>
    <row r="34" spans="1:20">
      <c r="A34" t="s">
        <v>74</v>
      </c>
      <c r="B34" s="23">
        <f>1%*IF(期望!$E$22="易水歌",1,0)</f>
        <v>0.01</v>
      </c>
      <c r="F34">
        <f>2*IF(期望!$E$22="易水歌",1,0)</f>
        <v>2</v>
      </c>
    </row>
    <row r="35" spans="1:20">
      <c r="A35" t="s">
        <v>88</v>
      </c>
      <c r="B35" s="23">
        <f>2%*IF(期望!$E$22="易水歌",1,0)</f>
        <v>0.02</v>
      </c>
      <c r="F35">
        <f>4*IF(期望!$E$22="易水歌",1,0)</f>
        <v>4</v>
      </c>
    </row>
    <row r="36" spans="1:20">
      <c r="A36" t="s">
        <v>109</v>
      </c>
      <c r="B36" s="23">
        <f>3%*IF(期望!$E$22="易水歌",1,0)</f>
        <v>0.03</v>
      </c>
      <c r="F36">
        <f>6*IF(期望!$E$22="易水歌",1,0)</f>
        <v>6</v>
      </c>
    </row>
    <row r="37" spans="1:20">
      <c r="A37" t="s">
        <v>116</v>
      </c>
      <c r="B37" s="23">
        <f>4%*IF(期望!$E$22="易水歌",1,0)</f>
        <v>0.04</v>
      </c>
      <c r="F37">
        <f>8*IF(期望!$E$22="易水歌",1,0)</f>
        <v>8</v>
      </c>
    </row>
    <row r="38" spans="1:20">
      <c r="A38" t="s">
        <v>127</v>
      </c>
      <c r="B38" s="23">
        <f>5%*IF(期望!$E$22="易水歌",1,0)</f>
        <v>0.05</v>
      </c>
      <c r="F38">
        <f>10*IF(期望!$E$22="易水歌",1,0)</f>
        <v>10</v>
      </c>
    </row>
    <row r="39" spans="1:20">
      <c r="A39" t="s">
        <v>73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C25" sqref="C25"/>
    </sheetView>
  </sheetViews>
  <sheetFormatPr defaultColWidth="9" defaultRowHeight="13.5" outlineLevelCol="3"/>
  <cols>
    <col min="1" max="1" width="9" style="1"/>
    <col min="3" max="3" width="65" customWidth="1"/>
    <col min="4" max="4" width="13.725" customWidth="1"/>
  </cols>
  <sheetData>
    <row r="1" ht="14.25" spans="1:4">
      <c r="A1" s="1" t="s">
        <v>239</v>
      </c>
      <c r="B1" t="s">
        <v>240</v>
      </c>
      <c r="C1" t="s">
        <v>241</v>
      </c>
      <c r="D1" s="2" t="s">
        <v>242</v>
      </c>
    </row>
    <row r="2" spans="1:4">
      <c r="A2" s="3">
        <v>0.1</v>
      </c>
      <c r="B2" s="4">
        <v>1</v>
      </c>
      <c r="C2" s="5" t="s">
        <v>243</v>
      </c>
      <c r="D2" t="s">
        <v>244</v>
      </c>
    </row>
    <row r="3" spans="1:4">
      <c r="A3" s="6"/>
      <c r="B3">
        <v>2</v>
      </c>
      <c r="C3" s="7" t="s">
        <v>245</v>
      </c>
    </row>
    <row r="4" spans="1:4">
      <c r="A4" s="6"/>
      <c r="B4">
        <v>3</v>
      </c>
      <c r="C4" s="7" t="s">
        <v>246</v>
      </c>
    </row>
    <row r="5" spans="1:4">
      <c r="A5" s="6"/>
      <c r="B5">
        <v>4</v>
      </c>
      <c r="C5" s="7" t="s">
        <v>247</v>
      </c>
    </row>
    <row r="6" ht="14.25" spans="1:4">
      <c r="A6" s="8"/>
      <c r="B6" s="9">
        <v>5</v>
      </c>
      <c r="C6" s="10" t="s">
        <v>248</v>
      </c>
    </row>
    <row r="7" ht="14.25" spans="1:4">
      <c r="A7" s="11">
        <v>0.2</v>
      </c>
      <c r="B7" s="12">
        <v>1</v>
      </c>
      <c r="C7" s="13" t="s">
        <v>249</v>
      </c>
    </row>
    <row r="8" ht="14.25" spans="1:4">
      <c r="A8" s="11">
        <v>0.3</v>
      </c>
      <c r="B8" s="12">
        <v>1</v>
      </c>
      <c r="C8" s="13" t="s">
        <v>249</v>
      </c>
    </row>
    <row r="9" ht="14.25" spans="1:4">
      <c r="A9" s="11">
        <v>0.4</v>
      </c>
      <c r="B9" s="12">
        <v>1</v>
      </c>
      <c r="C9" s="13" t="s">
        <v>250</v>
      </c>
    </row>
    <row r="10" ht="14.25" spans="1:4">
      <c r="A10" s="11">
        <v>0.5</v>
      </c>
      <c r="B10" s="12">
        <v>1</v>
      </c>
      <c r="C10" s="13" t="s">
        <v>251</v>
      </c>
    </row>
    <row r="11" ht="14.25" spans="1:4">
      <c r="A11" s="11">
        <v>0.6</v>
      </c>
      <c r="B11" s="12">
        <v>1</v>
      </c>
      <c r="C11" s="13" t="s">
        <v>252</v>
      </c>
    </row>
    <row r="12" ht="14.25" spans="1:4">
      <c r="A12" s="11">
        <v>0.7</v>
      </c>
      <c r="B12" s="12">
        <v>1</v>
      </c>
      <c r="C12" s="13" t="s">
        <v>253</v>
      </c>
    </row>
    <row r="13" ht="14.25" spans="1:4">
      <c r="A13" s="11">
        <v>1</v>
      </c>
      <c r="B13" s="12">
        <v>1</v>
      </c>
      <c r="C13" s="13" t="s">
        <v>254</v>
      </c>
    </row>
    <row r="14" ht="14.25" spans="1:4">
      <c r="A14" s="11">
        <v>1.1</v>
      </c>
      <c r="B14" s="12">
        <v>1</v>
      </c>
      <c r="C14" s="13" t="s">
        <v>255</v>
      </c>
    </row>
    <row r="15" ht="14.25" spans="1:4">
      <c r="A15" s="11">
        <v>1.2</v>
      </c>
      <c r="B15" s="12">
        <v>1</v>
      </c>
      <c r="C15" s="13" t="s">
        <v>256</v>
      </c>
    </row>
    <row r="16" ht="14.25" spans="1:4">
      <c r="A16" s="11">
        <v>1.3</v>
      </c>
      <c r="B16" s="12">
        <v>1</v>
      </c>
      <c r="C16" s="13" t="s">
        <v>257</v>
      </c>
    </row>
    <row r="17" ht="14.25" spans="1:3">
      <c r="A17" s="11">
        <v>1.4</v>
      </c>
      <c r="B17" s="12">
        <v>1</v>
      </c>
      <c r="C17" s="13" t="s">
        <v>249</v>
      </c>
    </row>
    <row r="18" ht="14.25" spans="1:3">
      <c r="A18" s="3">
        <v>1.5</v>
      </c>
      <c r="B18" s="4">
        <v>1</v>
      </c>
      <c r="C18" s="5" t="s">
        <v>258</v>
      </c>
    </row>
    <row r="19" spans="1:3">
      <c r="A19" s="14" t="s">
        <v>259</v>
      </c>
      <c r="B19" s="4">
        <v>1</v>
      </c>
      <c r="C19" s="15" t="s">
        <v>260</v>
      </c>
    </row>
    <row r="20" spans="1:3">
      <c r="A20" s="6"/>
      <c r="B20">
        <v>2</v>
      </c>
      <c r="C20" s="16" t="s">
        <v>261</v>
      </c>
    </row>
    <row r="21" spans="1:3">
      <c r="A21" s="6"/>
      <c r="B21">
        <v>3</v>
      </c>
      <c r="C21" s="16" t="s">
        <v>262</v>
      </c>
    </row>
    <row r="22" ht="14.25" spans="1:3">
      <c r="A22" s="8"/>
      <c r="B22" s="9">
        <v>4</v>
      </c>
      <c r="C22" s="17" t="s">
        <v>263</v>
      </c>
    </row>
    <row r="23" ht="31.5" customHeight="1" spans="1:3">
      <c r="A23" s="18" t="s">
        <v>264</v>
      </c>
      <c r="B23" s="12">
        <v>1</v>
      </c>
      <c r="C23" s="19" t="s">
        <v>265</v>
      </c>
    </row>
    <row r="24" ht="27.75" spans="1:3">
      <c r="A24" s="18" t="s">
        <v>266</v>
      </c>
      <c r="B24" s="12">
        <v>1</v>
      </c>
      <c r="C24" s="19" t="s">
        <v>267</v>
      </c>
    </row>
    <row r="25" ht="27" spans="1:3">
      <c r="A25" s="20" t="s">
        <v>268</v>
      </c>
      <c r="B25">
        <v>1</v>
      </c>
      <c r="C25" t="s">
        <v>269</v>
      </c>
    </row>
  </sheetData>
  <mergeCells count="2">
    <mergeCell ref="A2:A6"/>
    <mergeCell ref="A19:A2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流枫</cp:lastModifiedBy>
  <dcterms:created xsi:type="dcterms:W3CDTF">2023-05-13T19:15:00Z</dcterms:created>
  <dcterms:modified xsi:type="dcterms:W3CDTF">2026-09-28T19:39:52Z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B04C236E402945F4A1690FBBD61F02C4_13</vt:lpwstr>
  </property>
  <property fmtid="{D5CDD505-2E9C-101B-9397-08002B2CF9AE}" pid="4" name="CalculationRule">
    <vt:i4>0</vt:i4>
  </property>
</Properties>
</file>